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kill" sheetId="1" r:id="rId5"/>
    <sheet state="visible" name="Phase 1" sheetId="2" r:id="rId6"/>
    <sheet state="visible" name="Phase 2" sheetId="3" r:id="rId7"/>
    <sheet state="visible" name="Phase 3" sheetId="4" r:id="rId8"/>
    <sheet state="visible" name="Phase 4" sheetId="5" r:id="rId9"/>
    <sheet state="visible" name="Phase 5" sheetId="6" r:id="rId10"/>
    <sheet state="visible" name="Option" sheetId="7" r:id="rId11"/>
    <sheet state="visible" name="Phase Map" sheetId="8" r:id="rId12"/>
  </sheets>
  <definedNames>
    <definedName hidden="1" localSheetId="0" name="_xlnm._FilterDatabase">Skill!$B$2:$AZ$210</definedName>
    <definedName name="_GET_MITIGATION_TYPE_COL">LAMBDA(type, IF(type="Physical", 6, IF(type="Magical", 5, IF(type="Darkness", 7, 7))))</definedName>
    <definedName name="_VIEW_HP_BAR">LAMBDA(max_hp, damage, barrier, hp_color, damage_color, barrier_color, IFS(damage &gt; max_hp + barrier, SPARKLINE({1,0}, {"charttype","bar";"max",1;"color1",damage_color;"color2",damage_color}),damage &lt; barrier, SPARKLINE({barrier - damage,max_hp - (barrier - damage)}, {"charttype","bar";"max",max_hp;"color1",barrier_color;"color2",hp_color}),damage &gt;= barrier,SPARKLINE({max_hp + barrier - damage,damage - barrier}, {"charttype","bar";"max",max_hp;"color1",hp_color;"color2",damage_color})))</definedName>
    <definedName name="_TRANS">LAMBDA(translate, jp, en, de, fr, ko, cn, IFERROR(IFS(translate="日本語", jp, translate="English", en, translate="Deutsch", de, translate="Français", fr, translate="한국어", ko, translate="简体中文", cn), jp))</definedName>
    <definedName name="_GET_TANK_ATTACHED_BUFF_TYPE_COL">LAMBDA(type, IF(type="Physical", 7, IF(type="Magical", 6, IF(type="Darkness", 8, 8))))</definedName>
  </definedNames>
  <calcPr/>
</workbook>
</file>

<file path=xl/sharedStrings.xml><?xml version="1.0" encoding="utf-8"?>
<sst xmlns="http://schemas.openxmlformats.org/spreadsheetml/2006/main" count="10892" uniqueCount="1157">
  <si>
    <t>Role / Job</t>
  </si>
  <si>
    <t>Skill</t>
  </si>
  <si>
    <t>Icon</t>
  </si>
  <si>
    <t>Level</t>
  </si>
  <si>
    <t>Effect Time</t>
  </si>
  <si>
    <t>Recast</t>
  </si>
  <si>
    <t>Abillity</t>
  </si>
  <si>
    <t>Assign</t>
  </si>
  <si>
    <t>Charge</t>
  </si>
  <si>
    <t>Mitigation Time</t>
  </si>
  <si>
    <t>Magic</t>
  </si>
  <si>
    <t>Physical</t>
  </si>
  <si>
    <t>Unique</t>
  </si>
  <si>
    <t>Block</t>
  </si>
  <si>
    <t>Parry</t>
  </si>
  <si>
    <t>Critical Mitigation Time</t>
  </si>
  <si>
    <t>Precondition</t>
  </si>
  <si>
    <t>More Heal</t>
  </si>
  <si>
    <t>Barrier Time</t>
  </si>
  <si>
    <t>More Barrier</t>
  </si>
  <si>
    <t>HP Buff Time</t>
  </si>
  <si>
    <t>HP Buffed</t>
  </si>
  <si>
    <t>Heal Buff Target</t>
  </si>
  <si>
    <t>Heal Buff Time</t>
  </si>
  <si>
    <t>Add Heal Buffed</t>
  </si>
  <si>
    <t>Times Heal Buffed</t>
  </si>
  <si>
    <t>Barrier Buff Time</t>
  </si>
  <si>
    <t>Barrier Buffed</t>
  </si>
  <si>
    <t>Heal</t>
  </si>
  <si>
    <t>Heal Raito</t>
  </si>
  <si>
    <t>Hot Time</t>
  </si>
  <si>
    <t>Hot</t>
  </si>
  <si>
    <t>Barrior</t>
  </si>
  <si>
    <t>MP</t>
  </si>
  <si>
    <t>Available Skill Time</t>
  </si>
  <si>
    <t>Available Skill</t>
  </si>
  <si>
    <t>Timer Shared</t>
  </si>
  <si>
    <t>Icon Path</t>
  </si>
  <si>
    <t>EN</t>
  </si>
  <si>
    <t>DE</t>
  </si>
  <si>
    <t>FR</t>
  </si>
  <si>
    <t>KO</t>
  </si>
  <si>
    <t>CN</t>
  </si>
  <si>
    <t>学者</t>
  </si>
  <si>
    <t>セラフィズム</t>
  </si>
  <si>
    <t>SELF</t>
  </si>
  <si>
    <t>https://xivapi.com/i/002000/002881.png</t>
  </si>
  <si>
    <t>Seraphism</t>
  </si>
  <si>
    <t>Seraphenlehre</t>
  </si>
  <si>
    <t>Séraphisme</t>
  </si>
  <si>
    <t>アクセッション</t>
  </si>
  <si>
    <t>RANGE_PARTY</t>
  </si>
  <si>
    <t>https://xivapi.com/i/002000/002883.png</t>
  </si>
  <si>
    <t>Accession</t>
  </si>
  <si>
    <t>Höchstes Gut</t>
  </si>
  <si>
    <t>マニフェステーション</t>
  </si>
  <si>
    <t>SINGLE_PARTY</t>
  </si>
  <si>
    <t>秘策</t>
  </si>
  <si>
    <t>https://xivapi.com/i/002000/002882.png</t>
  </si>
  <si>
    <t>Manifestation</t>
  </si>
  <si>
    <t>賢者</t>
  </si>
  <si>
    <t>フィロソフィア</t>
  </si>
  <si>
    <t>SELF_EFFECTED_GCD</t>
  </si>
  <si>
    <t>https://xivapi.com/i/003000/003690.png</t>
  </si>
  <si>
    <t>Philosophia</t>
  </si>
  <si>
    <t>占星術師</t>
  </si>
  <si>
    <t>サンサイン</t>
  </si>
  <si>
    <t>ニュートラルセクト</t>
  </si>
  <si>
    <t>https://xivapi.com/i/003000/003109.png</t>
  </si>
  <si>
    <t>Sun Sign</t>
  </si>
  <si>
    <t>Sonnenzeichen</t>
  </si>
  <si>
    <t>Signe solaire</t>
  </si>
  <si>
    <t>白魔道士</t>
  </si>
  <si>
    <t>ディヴァインカレス</t>
  </si>
  <si>
    <t>テンパランス</t>
  </si>
  <si>
    <t>https://xivapi.com/i/002000/002128.png</t>
  </si>
  <si>
    <t>Divine Caress</t>
  </si>
  <si>
    <t>Göttliche Umarmung</t>
  </si>
  <si>
    <t>Caresse divine</t>
  </si>
  <si>
    <t>https://xivapi.com/i/002000/002822.png</t>
  </si>
  <si>
    <t>Recitation</t>
  </si>
  <si>
    <t>Raffinesse</t>
  </si>
  <si>
    <t>Récitation</t>
  </si>
  <si>
    <t>비책</t>
  </si>
  <si>
    <t>キャスター</t>
  </si>
  <si>
    <t>アドル</t>
  </si>
  <si>
    <t>SINGLE_ENEMY</t>
  </si>
  <si>
    <t>https://xivapi.com/i/000000/000861.png</t>
  </si>
  <si>
    <t>Addle</t>
  </si>
  <si>
    <t>Stumpfsinn</t>
  </si>
  <si>
    <t>Embrouillement</t>
  </si>
  <si>
    <t>정신 교란</t>
  </si>
  <si>
    <t>昏乱</t>
  </si>
  <si>
    <t>タンク</t>
  </si>
  <si>
    <t>リプライザル</t>
  </si>
  <si>
    <t>RANGE_ENEMY</t>
  </si>
  <si>
    <t>https://xivapi.com/i/000000/000806.png</t>
  </si>
  <si>
    <t>Reprisal</t>
  </si>
  <si>
    <t>Reflexion</t>
  </si>
  <si>
    <t>Rétorsion</t>
  </si>
  <si>
    <t>앙갚음</t>
  </si>
  <si>
    <t>雪仇</t>
  </si>
  <si>
    <t>機工士</t>
  </si>
  <si>
    <t>タクティシャン</t>
  </si>
  <si>
    <t>https://xivapi.com/i/003000/003040.png</t>
  </si>
  <si>
    <t>Tactician</t>
  </si>
  <si>
    <t>Taktiker</t>
  </si>
  <si>
    <t>Tacticien</t>
  </si>
  <si>
    <t>책략가</t>
  </si>
  <si>
    <t>策动</t>
  </si>
  <si>
    <t>近接</t>
  </si>
  <si>
    <t>牽制</t>
  </si>
  <si>
    <t>https://xivapi.com/i/000000/000828.png</t>
  </si>
  <si>
    <t>Feint</t>
  </si>
  <si>
    <t>Zermürben</t>
  </si>
  <si>
    <t>Restreinte</t>
  </si>
  <si>
    <t>견제</t>
  </si>
  <si>
    <t>牵制</t>
  </si>
  <si>
    <t>吟遊詩人</t>
  </si>
  <si>
    <t>トルバドゥール</t>
  </si>
  <si>
    <t>https://xivapi.com/i/002000/002612.png</t>
  </si>
  <si>
    <t>Troubadour</t>
  </si>
  <si>
    <t>방랑하는 음악가</t>
  </si>
  <si>
    <t>行吟</t>
  </si>
  <si>
    <t>ピュシスII</t>
  </si>
  <si>
    <t>RANGE_AFFECTED_ALL</t>
  </si>
  <si>
    <t>https://xivapi.com/i/003000/003670.png</t>
  </si>
  <si>
    <t>Physis II</t>
  </si>
  <si>
    <t>퓌시스 2</t>
  </si>
  <si>
    <t>自生II</t>
  </si>
  <si>
    <t>ディグニティ(最小)</t>
  </si>
  <si>
    <t>https://xivapi.com/i/003000/003141.png</t>
  </si>
  <si>
    <t>Essential Dignity(minimum)</t>
  </si>
  <si>
    <t>Essenzielle Würde(minimum)</t>
  </si>
  <si>
    <t>Dignité essentielle(le minimum)</t>
  </si>
  <si>
    <t>본질적 위계(최소)</t>
  </si>
  <si>
    <t>先天禀赋(最低限度)</t>
  </si>
  <si>
    <t>ディグニティ(最大)</t>
  </si>
  <si>
    <t>Essential Dignity(maximum)</t>
  </si>
  <si>
    <t>Essenzielle Würde(maximal)</t>
  </si>
  <si>
    <t>Dignité essentielle(maximum)</t>
  </si>
  <si>
    <t>본질적 위계(최대)</t>
  </si>
  <si>
    <t>先天禀赋(最大)</t>
  </si>
  <si>
    <t>テトラグラマトン</t>
  </si>
  <si>
    <t>https://xivapi.com/i/002000/002633.png</t>
  </si>
  <si>
    <t>Tetragrammaton</t>
  </si>
  <si>
    <t>Tétragramme</t>
  </si>
  <si>
    <t>신의 이름</t>
  </si>
  <si>
    <t>神名</t>
  </si>
  <si>
    <t>踊り子</t>
  </si>
  <si>
    <t>守りのサンバ</t>
  </si>
  <si>
    <t>https://xivapi.com/i/003000/003469.png</t>
  </si>
  <si>
    <t>Shield Samba</t>
  </si>
  <si>
    <t>Schildsamba</t>
  </si>
  <si>
    <t>Samba protectrice</t>
  </si>
  <si>
    <t>수세의 삼바</t>
  </si>
  <si>
    <t>防守之桑巴</t>
  </si>
  <si>
    <t>意気軒昂の策</t>
  </si>
  <si>
    <t>https://xivapi.com/i/002000/002880.png</t>
  </si>
  <si>
    <t>Concitation</t>
  </si>
  <si>
    <t>Übermut</t>
  </si>
  <si>
    <t>Traité de l'exultation</t>
  </si>
  <si>
    <t>エウクラシア・プログノシスII</t>
  </si>
  <si>
    <t>https://xivapi.com/i/003000/003689.png</t>
  </si>
  <si>
    <t>Eukrasian Prognosis II</t>
  </si>
  <si>
    <t>Eukratische Prognose II</t>
  </si>
  <si>
    <t>Prognosis eucrasique II</t>
  </si>
  <si>
    <t>コンジャクション・ヘリオス</t>
  </si>
  <si>
    <t>https://xivapi.com/i/003000/003567.png</t>
  </si>
  <si>
    <t>Helios Conjunction</t>
  </si>
  <si>
    <t>Helios in Konjunktion</t>
  </si>
  <si>
    <t>Hélios combiné</t>
  </si>
  <si>
    <t>ランパート</t>
  </si>
  <si>
    <t>SELF_AFFECTED_ALL</t>
  </si>
  <si>
    <t>https://xivapi.com/i/000000/000801.png</t>
  </si>
  <si>
    <t>Rampart</t>
  </si>
  <si>
    <t>Schutzwall</t>
  </si>
  <si>
    <t>Rempart</t>
  </si>
  <si>
    <t>철벽 방어</t>
  </si>
  <si>
    <t>铁壁</t>
  </si>
  <si>
    <t>ガンブレイカー</t>
  </si>
  <si>
    <t>グレートネビュラ</t>
  </si>
  <si>
    <t>https://xivapi.com/i/003000/003435.png</t>
  </si>
  <si>
    <t>Great Nebula</t>
  </si>
  <si>
    <t>Große Nebula</t>
  </si>
  <si>
    <t xml:space="preserve">	Grande nébuleuse</t>
  </si>
  <si>
    <t>ナイト</t>
  </si>
  <si>
    <t>エクストリームガード</t>
  </si>
  <si>
    <t>https://xivapi.com/i/002000/002524.png</t>
  </si>
  <si>
    <t>Guardian</t>
  </si>
  <si>
    <t>Heilige Wacht</t>
  </si>
  <si>
    <t>Garde extrême</t>
  </si>
  <si>
    <t>暗黒騎士</t>
  </si>
  <si>
    <t>シャドウヴィジル</t>
  </si>
  <si>
    <t>https://xivapi.com/i/003000/003094.png</t>
  </si>
  <si>
    <t xml:space="preserve">	Shadowed Vigil</t>
  </si>
  <si>
    <t>Schattenwacht</t>
  </si>
  <si>
    <t>Vigile ténébreux</t>
  </si>
  <si>
    <t>戦士</t>
  </si>
  <si>
    <t>ダムネーション</t>
  </si>
  <si>
    <t>https://xivapi.com/i/002000/002573.png</t>
  </si>
  <si>
    <t>Damnation</t>
  </si>
  <si>
    <t>Verdammnis</t>
  </si>
  <si>
    <t>メディガ</t>
  </si>
  <si>
    <t>インドゥルゲンティア</t>
  </si>
  <si>
    <t>https://xivapi.com/i/002000/002127.png</t>
  </si>
  <si>
    <t>Medica III</t>
  </si>
  <si>
    <t>Resega</t>
  </si>
  <si>
    <t>Méga Médica</t>
  </si>
  <si>
    <t>疾風怒濤の計</t>
  </si>
  <si>
    <t>https://xivapi.com/i/002000/002878.png</t>
  </si>
  <si>
    <t>Expedient</t>
  </si>
  <si>
    <t>Sturm und Drang</t>
  </si>
  <si>
    <t>Thèse fluidique</t>
  </si>
  <si>
    <t>질풍노도계</t>
  </si>
  <si>
    <t>疾风怒涛之计</t>
  </si>
  <si>
    <t>プネウマ</t>
  </si>
  <si>
    <t>https://xivapi.com/i/003000/003686.png</t>
  </si>
  <si>
    <t>Pneuma</t>
  </si>
  <si>
    <t>프네우마</t>
  </si>
  <si>
    <t>魂灵风息</t>
  </si>
  <si>
    <t>マクロコスモス(最小)</t>
  </si>
  <si>
    <t>https://xivapi.com/i/003000/003562.png</t>
  </si>
  <si>
    <t>Macrocosmos(minimum)</t>
  </si>
  <si>
    <t>Makrokosmos(minimum)</t>
  </si>
  <si>
    <t>Macrocosme(le minimum)</t>
  </si>
  <si>
    <t>대우주(최소)</t>
  </si>
  <si>
    <t>大宇宙(最低限度)</t>
  </si>
  <si>
    <t>マクロコスモス(被ダメ50%分)</t>
  </si>
  <si>
    <t>Macrocosmos(50% damage received)</t>
  </si>
  <si>
    <t>Makrokosmos(50 % erlittener Schaden)</t>
  </si>
  <si>
    <t>Macrocosme(50 % de dégâts reçus)</t>
  </si>
  <si>
    <t>대우주(피 안 50%)</t>
  </si>
  <si>
    <t>大宇宙(受到 50% 的伤害)</t>
  </si>
  <si>
    <t>リタージー・オブ・ベル(ダメージトリガー)</t>
  </si>
  <si>
    <t>https://xivapi.com/i/002000/002649.png</t>
  </si>
  <si>
    <t>Liturgy of the Bell(damage trigger)</t>
  </si>
  <si>
    <t>Glockenspiel(Schaden auslösen)</t>
  </si>
  <si>
    <t>Tintinnabule(déclencheur de dégâts)</t>
  </si>
  <si>
    <t>예배종(데미지 트리거)</t>
  </si>
  <si>
    <t>礼仪之铃(伤害触发)</t>
  </si>
  <si>
    <t>リタージー・オブ・ベル(時間経過:残1)</t>
  </si>
  <si>
    <t>Liturgy of the Bell(Time Lapse: Stack 1)</t>
  </si>
  <si>
    <t>Glockenspiel(Zeitraffer: Stapel 1)</t>
  </si>
  <si>
    <t>Tintinnabule(Time Lapse : Pile 1)</t>
  </si>
  <si>
    <t>예배종(시간 경과 : 스택 1)</t>
  </si>
  <si>
    <t>礼仪之铃(延时摄影：堆栈 1)</t>
  </si>
  <si>
    <t>リタージー・オブ・ベル(時間経過:残2)</t>
  </si>
  <si>
    <t>Liturgy of the Bell(Time Lapse: Stack 2)</t>
  </si>
  <si>
    <t>Glockenspiel(Zeitraffer: Stapel 2)</t>
  </si>
  <si>
    <t>Tintinnabule(Time Lapse : Pile 2)</t>
  </si>
  <si>
    <t>예배종(시간 경과 : 스택 2)</t>
  </si>
  <si>
    <t>礼仪之铃(延时摄影：堆栈 2)</t>
  </si>
  <si>
    <t>リタージー・オブ・ベル(時間経過:残3)</t>
  </si>
  <si>
    <t>Liturgy of the Bell(Time Lapse: Stack 3)</t>
  </si>
  <si>
    <t>Glockenspiel(Zeitraffer: Stapel 3)</t>
  </si>
  <si>
    <t>Tintinnabule(Time Lapse : Pile 3)</t>
  </si>
  <si>
    <t>예배종(시간 경과 : 스택 3)</t>
  </si>
  <si>
    <t>礼仪之铃(延时摄影：堆栈 3)</t>
  </si>
  <si>
    <t>リタージー・オブ・ベル(時間経過:残4)</t>
  </si>
  <si>
    <t>Liturgy of the Bell(Time Lapse: Stack 4)</t>
  </si>
  <si>
    <t>Glockenspiel(Zeitraffer: Stapel 4)</t>
  </si>
  <si>
    <t>Tintinnabule(Time Lapse : Pile 4)</t>
  </si>
  <si>
    <t>예배종(시간 경과 : 스택 4)</t>
  </si>
  <si>
    <t>礼仪之铃(延时摄影：堆栈 4)</t>
  </si>
  <si>
    <t>リタージー・オブ・ベル(時間経過:残5)</t>
  </si>
  <si>
    <t>Liturgy of the Bell(Time Lapse: Stack 5)</t>
  </si>
  <si>
    <t>Glockenspiel(Zeitraffer: Stapel 5)</t>
  </si>
  <si>
    <t>Tintinnabule(Time Lapse : Pile 5)</t>
  </si>
  <si>
    <t>예배종(시간 경과 : 스택 5)</t>
  </si>
  <si>
    <t>礼仪之铃(延时摄影：堆栈 5)</t>
  </si>
  <si>
    <t>ディヴァインヴェール</t>
  </si>
  <si>
    <t>https://xivapi.com/i/002000/002508.png</t>
  </si>
  <si>
    <t>Divine Veil</t>
  </si>
  <si>
    <t>Heiliger Quell</t>
  </si>
  <si>
    <t>Voile divin</t>
  </si>
  <si>
    <t>신성한 보호막</t>
  </si>
  <si>
    <t>圣光幕帘</t>
  </si>
  <si>
    <t>ピクトマンサー</t>
  </si>
  <si>
    <t>テンペラグラッサ</t>
  </si>
  <si>
    <t>https://xivapi.com/i/003000/003836.png</t>
  </si>
  <si>
    <t>Tempera Grassa</t>
  </si>
  <si>
    <t>Fette Tempera</t>
  </si>
  <si>
    <t>Tempera grassa</t>
  </si>
  <si>
    <t>展開戦術</t>
  </si>
  <si>
    <t>https://xivapi.com/i/002000/002808.png</t>
  </si>
  <si>
    <t>Deployment Tactics</t>
  </si>
  <si>
    <t>Dislokation</t>
  </si>
  <si>
    <t>Stratagème du déploiement</t>
  </si>
  <si>
    <t>전개전술</t>
  </si>
  <si>
    <t>展开战术</t>
  </si>
  <si>
    <t>ゾーエ</t>
  </si>
  <si>
    <t>https://xivapi.com/i/003000/003668.png</t>
  </si>
  <si>
    <t>Zoe</t>
  </si>
  <si>
    <t>생명력</t>
  </si>
  <si>
    <t>活化</t>
  </si>
  <si>
    <t>星天交差</t>
  </si>
  <si>
    <t>https://xivapi.com/i/003000/003556.png</t>
  </si>
  <si>
    <t>Celestial Intersection</t>
  </si>
  <si>
    <t>Kongruenz</t>
  </si>
  <si>
    <t>Rencontre céleste</t>
  </si>
  <si>
    <t>천궁의 교차</t>
  </si>
  <si>
    <t>巨星主宰</t>
  </si>
  <si>
    <t>ディヴァインベニゾン</t>
  </si>
  <si>
    <t>https://xivapi.com/i/002000/002638.png</t>
  </si>
  <si>
    <t>Divine Benison</t>
  </si>
  <si>
    <t>Göttlicher Segen</t>
  </si>
  <si>
    <t>Faveur divine</t>
  </si>
  <si>
    <t>신성한 축복</t>
  </si>
  <si>
    <t>神祝祷</t>
  </si>
  <si>
    <t>生命回生法</t>
  </si>
  <si>
    <t>https://xivapi.com/i/002000/002877.png</t>
  </si>
  <si>
    <t>Protraction</t>
  </si>
  <si>
    <t>Protraktion</t>
  </si>
  <si>
    <t>Loi de la protraction</t>
  </si>
  <si>
    <t>생명회생술</t>
  </si>
  <si>
    <t>赤魔道士</t>
  </si>
  <si>
    <t>バマジク</t>
  </si>
  <si>
    <t>https://xivapi.com/i/003000/003237.png</t>
  </si>
  <si>
    <t>Magick Barrier</t>
  </si>
  <si>
    <t>Magiebarriere</t>
  </si>
  <si>
    <t>Barrière anti-magie</t>
  </si>
  <si>
    <t>바매직</t>
  </si>
  <si>
    <t>抗死</t>
  </si>
  <si>
    <t>エクザルテーション</t>
  </si>
  <si>
    <t>https://xivapi.com/i/003000/003561.png</t>
  </si>
  <si>
    <t>Exaltation</t>
  </si>
  <si>
    <t>성위 격상</t>
  </si>
  <si>
    <t>擢升</t>
  </si>
  <si>
    <t>アクアヴェール</t>
  </si>
  <si>
    <t>https://xivapi.com/i/002000/002648.png</t>
  </si>
  <si>
    <t>Aquaveil</t>
  </si>
  <si>
    <t>Wasserschleier</t>
  </si>
  <si>
    <t>Aquavoile</t>
  </si>
  <si>
    <t>물의 장막</t>
  </si>
  <si>
    <t>水流幕</t>
  </si>
  <si>
    <t>フィジク</t>
  </si>
  <si>
    <t>https://xivapi.com/i/000000/000518.png</t>
  </si>
  <si>
    <t>Physick</t>
  </si>
  <si>
    <t>Médecine</t>
  </si>
  <si>
    <t>치유술</t>
  </si>
  <si>
    <t>医术</t>
  </si>
  <si>
    <t>鼓舞激励の策</t>
  </si>
  <si>
    <t>https://xivapi.com/i/002000/002801.png</t>
  </si>
  <si>
    <t>Adloquium</t>
  </si>
  <si>
    <t>Traité du réconfort</t>
  </si>
  <si>
    <t>고무격려책</t>
  </si>
  <si>
    <t>鼓舞激励之策</t>
  </si>
  <si>
    <t>士気高揚の策</t>
  </si>
  <si>
    <t>https://xivapi.com/i/002000/002802.png</t>
  </si>
  <si>
    <t>Succor</t>
  </si>
  <si>
    <t>Kurieren</t>
  </si>
  <si>
    <t>Traité du soulagement</t>
  </si>
  <si>
    <t>사기고양책</t>
  </si>
  <si>
    <t>士气高扬之策</t>
  </si>
  <si>
    <t>エウクラシア・ディアグノシス</t>
  </si>
  <si>
    <t>https://xivapi.com/i/003000/003659.png</t>
  </si>
  <si>
    <t>Eukrasian Diagnosis</t>
  </si>
  <si>
    <t>Eukratische Diagnose</t>
  </si>
  <si>
    <t>Diagnosis eucrasique</t>
  </si>
  <si>
    <t>정상건강: 진단치료</t>
  </si>
  <si>
    <t>均衡诊断</t>
  </si>
  <si>
    <t>エウクラシア・プログノシス</t>
  </si>
  <si>
    <t>https://xivapi.com/i/003000/003660.png</t>
  </si>
  <si>
    <t>Eukrasian Prognosis</t>
  </si>
  <si>
    <t>Eukratische Prognose</t>
  </si>
  <si>
    <t>Prognosis eucrasique</t>
  </si>
  <si>
    <t>정상건강: 예후</t>
  </si>
  <si>
    <t>均衡预后</t>
  </si>
  <si>
    <t>ディアグノシス</t>
  </si>
  <si>
    <t>https://xivapi.com/i/003000/003652.png</t>
  </si>
  <si>
    <t>Diagnosis</t>
  </si>
  <si>
    <t>Diagnose</t>
  </si>
  <si>
    <t>진단치료</t>
  </si>
  <si>
    <t>诊断</t>
  </si>
  <si>
    <t>アスペクト・ベネフィク</t>
  </si>
  <si>
    <t>https://xivapi.com/i/003000/003127.png</t>
  </si>
  <si>
    <t>Aspected Benefic</t>
  </si>
  <si>
    <t>Harmonischer Orbis</t>
  </si>
  <si>
    <t>Bienfaisance aspectée</t>
  </si>
  <si>
    <t>별읽기: 베네피크</t>
  </si>
  <si>
    <t>吉星相位</t>
  </si>
  <si>
    <t>アスペクト・ヘリオス</t>
  </si>
  <si>
    <t>https://xivapi.com/i/003000/003130.png</t>
  </si>
  <si>
    <t>Aspected Helios</t>
  </si>
  <si>
    <t>Aspektierter Helios</t>
  </si>
  <si>
    <t>Hélios aspecté</t>
  </si>
  <si>
    <t>별읽기: 헬리오스</t>
  </si>
  <si>
    <t>阳星相位</t>
  </si>
  <si>
    <t>ベネフィク</t>
  </si>
  <si>
    <t>https://xivapi.com/i/003000/003126.png</t>
  </si>
  <si>
    <t>Benefic</t>
  </si>
  <si>
    <t>Harmonieaspekt</t>
  </si>
  <si>
    <t>Bienfaisance</t>
  </si>
  <si>
    <t>베네피크</t>
  </si>
  <si>
    <t>吉星</t>
  </si>
  <si>
    <t>ベネフィラ</t>
  </si>
  <si>
    <t>https://xivapi.com/i/003000/003128.png</t>
  </si>
  <si>
    <t>Benefic II</t>
  </si>
  <si>
    <t>Harmonieaspekt II</t>
  </si>
  <si>
    <t>Bienfaisance II</t>
  </si>
  <si>
    <t>베네피라</t>
  </si>
  <si>
    <t>福星</t>
  </si>
  <si>
    <t>ヘリオス</t>
  </si>
  <si>
    <t>https://xivapi.com/i/003000/003129.png</t>
  </si>
  <si>
    <t>Helios</t>
  </si>
  <si>
    <t>Hélios</t>
  </si>
  <si>
    <t>헬리오스</t>
  </si>
  <si>
    <t>阳星</t>
  </si>
  <si>
    <t>ケアル</t>
  </si>
  <si>
    <t>https://xivapi.com/i/000000/000405.png</t>
  </si>
  <si>
    <t>Cure</t>
  </si>
  <si>
    <t>Vita</t>
  </si>
  <si>
    <t>Soin</t>
  </si>
  <si>
    <t>케알</t>
  </si>
  <si>
    <t>治疗</t>
  </si>
  <si>
    <t>ケアルガ</t>
  </si>
  <si>
    <t>https://xivapi.com/i/000000/000407.png</t>
  </si>
  <si>
    <t>Cure III</t>
  </si>
  <si>
    <t>Vitaga</t>
  </si>
  <si>
    <t>Méga Soin</t>
  </si>
  <si>
    <t>케알가</t>
  </si>
  <si>
    <t>愈疗</t>
  </si>
  <si>
    <t>ケアルラ</t>
  </si>
  <si>
    <t>https://xivapi.com/i/000000/000406.png</t>
  </si>
  <si>
    <t>Cure II</t>
  </si>
  <si>
    <t>Vitra</t>
  </si>
  <si>
    <t>Extra Soin</t>
  </si>
  <si>
    <t>케알라</t>
  </si>
  <si>
    <t>救疗</t>
  </si>
  <si>
    <t>ハート・オブ・ソラス</t>
  </si>
  <si>
    <t>https://xivapi.com/i/002000/002640.png</t>
  </si>
  <si>
    <t>Afflatus Solace</t>
  </si>
  <si>
    <t>Afflatus solatii</t>
  </si>
  <si>
    <t>Offrande de réconfort</t>
  </si>
  <si>
    <t>위로의 마음</t>
  </si>
  <si>
    <t>安慰之心</t>
  </si>
  <si>
    <t>ハート・オブ・ラプチャー</t>
  </si>
  <si>
    <t>https://xivapi.com/i/002000/002643.png</t>
  </si>
  <si>
    <t>Afflatus Rapture</t>
  </si>
  <si>
    <t>Afflatus laetitiae</t>
  </si>
  <si>
    <t>Offrande de ravissement</t>
  </si>
  <si>
    <t>황홀한 마음</t>
  </si>
  <si>
    <t>狂喜之心</t>
  </si>
  <si>
    <t>メディカ</t>
  </si>
  <si>
    <t>https://xivapi.com/i/000000/000408.png</t>
  </si>
  <si>
    <t>Medica</t>
  </si>
  <si>
    <t>Reseda</t>
  </si>
  <si>
    <t>Médica</t>
  </si>
  <si>
    <t>메디카</t>
  </si>
  <si>
    <t>医治</t>
  </si>
  <si>
    <t>メディカラ</t>
  </si>
  <si>
    <t>https://xivapi.com/i/000000/000409.png</t>
  </si>
  <si>
    <t>Medica II</t>
  </si>
  <si>
    <t>Resedra</t>
  </si>
  <si>
    <t>Extra Médica</t>
  </si>
  <si>
    <t>메디카라</t>
  </si>
  <si>
    <t>医济</t>
  </si>
  <si>
    <t>リジェネ</t>
  </si>
  <si>
    <t>https://xivapi.com/i/002000/002628.png</t>
  </si>
  <si>
    <t>Regen</t>
  </si>
  <si>
    <t>Regena</t>
  </si>
  <si>
    <t>Récup</t>
  </si>
  <si>
    <t>리제네</t>
  </si>
  <si>
    <t>再生</t>
  </si>
  <si>
    <t>エクリブリウム</t>
  </si>
  <si>
    <t>https://xivapi.com/i/002000/002560.png</t>
  </si>
  <si>
    <t>Equilibrium</t>
  </si>
  <si>
    <t>Äquilibrium</t>
  </si>
  <si>
    <t>Équilibre</t>
  </si>
  <si>
    <t>평정심</t>
  </si>
  <si>
    <t>泰然自若</t>
  </si>
  <si>
    <t>ハート・オブ・コランダム</t>
  </si>
  <si>
    <t>https://xivapi.com/i/003000/003430.png</t>
  </si>
  <si>
    <t>Heart of Corundum</t>
  </si>
  <si>
    <t>Herz des Korunds</t>
  </si>
  <si>
    <t>Cœur de corindon</t>
  </si>
  <si>
    <t>강옥의 심장</t>
  </si>
  <si>
    <t>刚玉之心</t>
  </si>
  <si>
    <t>インターベンション</t>
  </si>
  <si>
    <t>ランパート|センチネル|エクストリームガード</t>
  </si>
  <si>
    <t>https://xivapi.com/i/002000/002512.png</t>
  </si>
  <si>
    <t>Intervention</t>
  </si>
  <si>
    <t>중재</t>
  </si>
  <si>
    <t>干预</t>
  </si>
  <si>
    <t>ホーリーシェルトロン</t>
  </si>
  <si>
    <t>https://xivapi.com/i/002000/002950.png</t>
  </si>
  <si>
    <t>Holy Sheltron</t>
  </si>
  <si>
    <t>Heiliges Schiltron</t>
  </si>
  <si>
    <t>Schiltron sacré</t>
  </si>
  <si>
    <t>신성한 방벽</t>
  </si>
  <si>
    <t>圣盾阵</t>
  </si>
  <si>
    <t>オブレーション</t>
  </si>
  <si>
    <t>https://xivapi.com/i/003000/003089.png</t>
  </si>
  <si>
    <t>Oblation</t>
  </si>
  <si>
    <t>Opfergabe</t>
  </si>
  <si>
    <t>헌신</t>
  </si>
  <si>
    <t>献奉</t>
  </si>
  <si>
    <t>原初の血気</t>
  </si>
  <si>
    <t>https://xivapi.com/i/002000/002569.png</t>
  </si>
  <si>
    <t>Bloodwhetting</t>
  </si>
  <si>
    <t>Urimpuls</t>
  </si>
  <si>
    <t>Intuition fougueuse</t>
  </si>
  <si>
    <t>원초의 혈기</t>
  </si>
  <si>
    <t>原初的血气</t>
  </si>
  <si>
    <t>原初の猛り</t>
  </si>
  <si>
    <t>https://xivapi.com/i/002000/002567.png</t>
  </si>
  <si>
    <t>Nascent Flash</t>
  </si>
  <si>
    <t>Urflackern</t>
  </si>
  <si>
    <t>Exaltation naissante</t>
  </si>
  <si>
    <t>원초의 분노</t>
  </si>
  <si>
    <t>原初的勇猛</t>
  </si>
  <si>
    <t>サモン・セラフィム</t>
  </si>
  <si>
    <t>https://xivapi.com/i/002000/002850.png</t>
  </si>
  <si>
    <t>Summon Seraph</t>
  </si>
  <si>
    <t>Seraph-Beschwörung</t>
  </si>
  <si>
    <t>Invocation Séraphin</t>
  </si>
  <si>
    <t>세라핌 소환</t>
  </si>
  <si>
    <t>炽天召唤</t>
  </si>
  <si>
    <t>コンソレイション</t>
  </si>
  <si>
    <t>https://xivapi.com/i/002000/002851.png</t>
  </si>
  <si>
    <t>Consolation</t>
  </si>
  <si>
    <t>Seelentrost</t>
  </si>
  <si>
    <t>Dictame</t>
  </si>
  <si>
    <t>위안</t>
  </si>
  <si>
    <t>慰藉</t>
  </si>
  <si>
    <t>パンハイマ</t>
  </si>
  <si>
    <t>https://xivapi.com/i/003000/003679.png</t>
  </si>
  <si>
    <t>Panhaima</t>
  </si>
  <si>
    <t>온혈액</t>
  </si>
  <si>
    <t>泛输血</t>
  </si>
  <si>
    <t>パンハイマ(時間経過:残1)</t>
  </si>
  <si>
    <t>Panhaima(Time Lapse: Stack 1)</t>
  </si>
  <si>
    <t>Panhaima(Zeitraffer: Stapel 1)</t>
  </si>
  <si>
    <t>Panhaima(Time Lapse : Pile 1)</t>
  </si>
  <si>
    <t>온혈액(시간 경과 : 스택 1)</t>
  </si>
  <si>
    <t>泛输血(延时摄影：堆栈 1)</t>
  </si>
  <si>
    <t>パンハイマ(時間経過:残2)</t>
  </si>
  <si>
    <t>Panhaima(Time Lapse: Stack 2)</t>
  </si>
  <si>
    <t>Panhaima(Zeitraffer: Stapel 2)</t>
  </si>
  <si>
    <t>Panhaima(Time Lapse : Pile 2)</t>
  </si>
  <si>
    <t>온혈액(시간 경과 : 스택 2)</t>
  </si>
  <si>
    <t>泛输血(延时摄影：堆栈 2)</t>
  </si>
  <si>
    <t>パンハイマ(時間経過:残3)</t>
  </si>
  <si>
    <t>Panhaima(Time Lapse: Stack 3)</t>
  </si>
  <si>
    <t>Panhaima(Zeitraffer: Stapel 3)</t>
  </si>
  <si>
    <t>Panhaima(Time Lapse : Pile 3)</t>
  </si>
  <si>
    <t>온혈액(시간 경과 : 스택 3)</t>
  </si>
  <si>
    <t>泛输血(延时摄影：堆栈 3)</t>
  </si>
  <si>
    <t>パンハイマ(時間経過:残4)</t>
  </si>
  <si>
    <t>Panhaima(Time Lapse: Stack 4)</t>
  </si>
  <si>
    <t>Panhaima(Zeitraffer: Stapel 4)</t>
  </si>
  <si>
    <t>Panhaima(Time Lapse : Pile 4)</t>
  </si>
  <si>
    <t>온혈액(시간 경과 : 스택 4)</t>
  </si>
  <si>
    <t>泛输血(延时摄影：堆栈 4)</t>
  </si>
  <si>
    <t>パンハイマ(時間経過:残5)</t>
  </si>
  <si>
    <t>Panhaima(Time Lapse: Stack 5)</t>
  </si>
  <si>
    <t>Panhaima(Zeitraffer: Stapel 5)</t>
  </si>
  <si>
    <t>Panhaima(Time Lapse : Pile 5)</t>
  </si>
  <si>
    <t>온혈액(시간 경과 : 스택 5)</t>
  </si>
  <si>
    <t>泛输血(延时摄影：堆栈 5)</t>
  </si>
  <si>
    <t>https://xivapi.com/i/003000/003552.png</t>
  </si>
  <si>
    <t>Neutral Sect</t>
  </si>
  <si>
    <t>Neutral</t>
  </si>
  <si>
    <t>Adepte de la neutralité</t>
  </si>
  <si>
    <t>하루별읽기</t>
  </si>
  <si>
    <t>中间学派</t>
  </si>
  <si>
    <t>https://xivapi.com/i/002000/002645.png</t>
  </si>
  <si>
    <t>Temperance</t>
  </si>
  <si>
    <t>Linderung</t>
  </si>
  <si>
    <t>Tempérance</t>
  </si>
  <si>
    <t>절제</t>
  </si>
  <si>
    <t>节制</t>
  </si>
  <si>
    <t>インプロビゼーションフィニッシュ</t>
  </si>
  <si>
    <t>https://xivapi.com/i/003000/003479.png</t>
  </si>
  <si>
    <t>Improvised Finish</t>
  </si>
  <si>
    <t>Improvisiertes Finale</t>
  </si>
  <si>
    <t>Final improvisé</t>
  </si>
  <si>
    <t>즉흥 연기 마무리</t>
  </si>
  <si>
    <t>即兴表演结束</t>
  </si>
  <si>
    <t>インプロビゼーションフィニッシュ(踊りの激情0)</t>
  </si>
  <si>
    <t>Improvised Finish(Rising Rhythm 0)</t>
  </si>
  <si>
    <t>Improvisiertes Finale(Tanzekstase 0)</t>
  </si>
  <si>
    <t>Final improvisé(Frénésie des danseurs 0)</t>
  </si>
  <si>
    <t>즉흥 연기 마무리(열정 중첩 0)</t>
  </si>
  <si>
    <t>即兴表演结束(舞动的热情 0)</t>
  </si>
  <si>
    <t>インプロビゼーションフィニッシュ(踊りの激情1)</t>
  </si>
  <si>
    <t>Improvised Finish(Rising Rhythm 1)</t>
  </si>
  <si>
    <t>Improvisiertes Finale(Tanzekstase 1)</t>
  </si>
  <si>
    <t>Final improvisé(Frénésie des danseurs 1)</t>
  </si>
  <si>
    <t>즉흥 연기 마무리(열정 중첩 1)</t>
  </si>
  <si>
    <t>即兴表演结束(舞动的热情 1)</t>
  </si>
  <si>
    <t>インプロビゼーションフィニッシュ(踊りの激情2)</t>
  </si>
  <si>
    <t>Improvised Finish(Rising Rhythm 2)</t>
  </si>
  <si>
    <t>Improvisiertes Finale(Tanzekstase 2)</t>
  </si>
  <si>
    <t>Final improvisé(Frénésie des danseurs 2)</t>
  </si>
  <si>
    <t>즉흥 연기 마무리(열정 중첩 2)</t>
  </si>
  <si>
    <t>即兴表演结束(舞动的热情 2)</t>
  </si>
  <si>
    <t>インプロビゼーションフィニッシュ(踊りの激情3)</t>
  </si>
  <si>
    <t>Improvised Finish(Rising Rhythm 3)</t>
  </si>
  <si>
    <t>Improvisiertes Finale(Tanzekstase 3)</t>
  </si>
  <si>
    <t>Final improvisé(Frénésie des danseurs 3)</t>
  </si>
  <si>
    <t>즉흥 연기 마무리(열정 중첩 3)</t>
  </si>
  <si>
    <t>即兴表演结束(舞动的热情 3)</t>
  </si>
  <si>
    <t>インプロビゼーションフィニッシュ(踊りの激情4)</t>
  </si>
  <si>
    <t>Improvised Finish(Rising Rhythm 4)</t>
  </si>
  <si>
    <t>Improvisiertes Finale(Tanzekstase 4)</t>
  </si>
  <si>
    <t>Final improvisé(Frénésie des danseurs 4)</t>
  </si>
  <si>
    <t>즉흥 연기 마무리(열정 중첩 4)</t>
  </si>
  <si>
    <t>即兴表演结束(舞动的热情 4)</t>
  </si>
  <si>
    <t>野戦治療の陣</t>
  </si>
  <si>
    <t>https://xivapi.com/i/002000/002804.png</t>
  </si>
  <si>
    <t>Sacred Soil</t>
  </si>
  <si>
    <t>Geweihte Erde</t>
  </si>
  <si>
    <t>Dogme de survie</t>
  </si>
  <si>
    <t>야전치유진</t>
  </si>
  <si>
    <t>野战治疗阵</t>
  </si>
  <si>
    <t>ケーラコレ</t>
  </si>
  <si>
    <t>https://xivapi.com/i/003000/003666.png</t>
  </si>
  <si>
    <t>Kerachole</t>
  </si>
  <si>
    <t>케이라콜레</t>
  </si>
  <si>
    <t>坚角清汁</t>
  </si>
  <si>
    <t>スリル・オブ・バトル</t>
  </si>
  <si>
    <t>https://xivapi.com/i/000000/000263.png</t>
  </si>
  <si>
    <t>Thrill of Battle</t>
  </si>
  <si>
    <t>Kampfrausch</t>
  </si>
  <si>
    <t>Frisson de la bataille</t>
  </si>
  <si>
    <t>전투의 짜릿함</t>
  </si>
  <si>
    <t>战栗</t>
  </si>
  <si>
    <t>ダークミッショナリー</t>
  </si>
  <si>
    <t>https://xivapi.com/i/003000/003087.png</t>
  </si>
  <si>
    <t>Dark Missionary</t>
  </si>
  <si>
    <t>Dunkler Bote</t>
  </si>
  <si>
    <t>Missionnaire des Ténèbres</t>
  </si>
  <si>
    <t>어둠의 포교자</t>
  </si>
  <si>
    <t>暗黑布道</t>
  </si>
  <si>
    <t>フェイブレッシング</t>
  </si>
  <si>
    <t>https://xivapi.com/i/002000/002854.png</t>
  </si>
  <si>
    <t>Fey Blessing</t>
  </si>
  <si>
    <t>Gunst der Feen</t>
  </si>
  <si>
    <t>Bénédiction féérique</t>
  </si>
  <si>
    <t>요정의 축복</t>
  </si>
  <si>
    <t>异想的祥光</t>
  </si>
  <si>
    <t>ホーリズム</t>
  </si>
  <si>
    <t>https://xivapi.com/i/003000/003678.png</t>
  </si>
  <si>
    <t>Holos</t>
  </si>
  <si>
    <t>전체론</t>
  </si>
  <si>
    <t>整体论</t>
  </si>
  <si>
    <t>ホロスコープ</t>
  </si>
  <si>
    <t>https://xivapi.com/i/003000/003550.png</t>
  </si>
  <si>
    <t>Horoscope</t>
  </si>
  <si>
    <t>Horoskop</t>
  </si>
  <si>
    <t>별점운</t>
  </si>
  <si>
    <t>天宫图</t>
  </si>
  <si>
    <t>ホロスコープ・ヘリオス</t>
  </si>
  <si>
    <t>https://xivapi.com/i/003000/003551.png</t>
  </si>
  <si>
    <t>Horoscope Helios</t>
  </si>
  <si>
    <t>Helios-Horoskop</t>
  </si>
  <si>
    <t>별점운: 헬리오스</t>
  </si>
  <si>
    <t>阳星天宫图</t>
  </si>
  <si>
    <t>シェイクオフ</t>
  </si>
  <si>
    <t>https://xivapi.com/i/002000/002563.png</t>
  </si>
  <si>
    <t>Shake It Off</t>
  </si>
  <si>
    <t>Abschütteln</t>
  </si>
  <si>
    <t>Débarrassage</t>
  </si>
  <si>
    <t>뿌리치기</t>
  </si>
  <si>
    <t>摆脱</t>
  </si>
  <si>
    <t>シェルトロン</t>
  </si>
  <si>
    <t>https://xivapi.com/i/002000/002510.png</t>
  </si>
  <si>
    <t>Sheltron</t>
  </si>
  <si>
    <t>Schiltron</t>
  </si>
  <si>
    <t>방벽</t>
  </si>
  <si>
    <t>盾阵</t>
  </si>
  <si>
    <t>リゾーマタ</t>
  </si>
  <si>
    <t>https://xivapi.com/i/003000/003677.png</t>
  </si>
  <si>
    <t>Rhizomata</t>
  </si>
  <si>
    <t>Rizomata</t>
  </si>
  <si>
    <t>만물의 근원</t>
  </si>
  <si>
    <t>根素</t>
  </si>
  <si>
    <t>パッセージ・オブ・アームズ</t>
  </si>
  <si>
    <t>https://xivapi.com/i/002000/002515.png</t>
  </si>
  <si>
    <t>Passage of Arms</t>
  </si>
  <si>
    <t>Waffengang</t>
  </si>
  <si>
    <t>Passe d'armes</t>
  </si>
  <si>
    <t>결연한 수호자</t>
  </si>
  <si>
    <t>武装戍卫</t>
  </si>
  <si>
    <t>ブラックナイト</t>
  </si>
  <si>
    <t>https://xivapi.com/i/003000/003081.png</t>
  </si>
  <si>
    <t>The Blackest Night</t>
  </si>
  <si>
    <t>Schwärzeste Nacht</t>
  </si>
  <si>
    <t>Nuit noirissime</t>
  </si>
  <si>
    <t>흑야</t>
  </si>
  <si>
    <t>至黑之夜</t>
  </si>
  <si>
    <t>フェイユニオン</t>
  </si>
  <si>
    <t>https://xivapi.com/i/002000/002818.png</t>
  </si>
  <si>
    <t>Fey Union</t>
  </si>
  <si>
    <t>Feenbund</t>
  </si>
  <si>
    <t>Union féerique</t>
  </si>
  <si>
    <t>요정의 결합</t>
  </si>
  <si>
    <t>异想的融光</t>
  </si>
  <si>
    <t>ハイマ</t>
  </si>
  <si>
    <t>https://xivapi.com/i/003000/003673.png</t>
  </si>
  <si>
    <t>Haima</t>
  </si>
  <si>
    <t>혈액</t>
  </si>
  <si>
    <t>输血</t>
  </si>
  <si>
    <t>ハイマ(時間経過:残1)</t>
  </si>
  <si>
    <t>Haima(Time Lapse: Stack 1)</t>
  </si>
  <si>
    <t>Haima(Zeitraffer: Stapel 1)</t>
  </si>
  <si>
    <t>Haima(Time Lapse : Pile 1)</t>
  </si>
  <si>
    <t>혈액(시간 경과 : 스택 1)</t>
  </si>
  <si>
    <t>输血(延时摄影：堆栈 1)</t>
  </si>
  <si>
    <t>ハイマ(時間経過:残2)</t>
  </si>
  <si>
    <t>Haima(Time Lapse: Stack 2)</t>
  </si>
  <si>
    <t>Haima(Zeitraffer: Stapel 2)</t>
  </si>
  <si>
    <t>Haima(Time Lapse : Pile 2)</t>
  </si>
  <si>
    <t>혈액(시간 경과 : 스택 2)</t>
  </si>
  <si>
    <t>输血(延时摄影：堆栈 2)</t>
  </si>
  <si>
    <t>ハイマ(時間経過:残3)</t>
  </si>
  <si>
    <t>Haima(Time Lapse: Stack 3)</t>
  </si>
  <si>
    <t>Haima(Zeitraffer: Stapel 3)</t>
  </si>
  <si>
    <t>Haima(Time Lapse : Pile 3)</t>
  </si>
  <si>
    <t>혈액(시간 경과 : 스택 3)</t>
  </si>
  <si>
    <t>输血(延时摄影：堆栈 3)</t>
  </si>
  <si>
    <t>ハイマ(時間経過:残4)</t>
  </si>
  <si>
    <t>Haima(Time Lapse: Stack 4)</t>
  </si>
  <si>
    <t>Haima(Zeitraffer: Stapel 4)</t>
  </si>
  <si>
    <t>Haima(Time Lapse : Pile 4)</t>
  </si>
  <si>
    <t>혈액(시간 경과 : 스택 4)</t>
  </si>
  <si>
    <t>输血(延时摄影：堆栈 4)</t>
  </si>
  <si>
    <t>ハイマ(時間経過:残5)</t>
  </si>
  <si>
    <t>Haima(Time Lapse: Stack 5)</t>
  </si>
  <si>
    <t>Haima(Zeitraffer: Stapel 5)</t>
  </si>
  <si>
    <t>Haima(Time Lapse : Pile 5)</t>
  </si>
  <si>
    <t>혈액(시간 경과 : 스택 5)</t>
  </si>
  <si>
    <t>输血(延时摄影：堆栈 5)</t>
  </si>
  <si>
    <t>クラウンレディ</t>
  </si>
  <si>
    <t>アンブラルドロー</t>
  </si>
  <si>
    <t>https://xivapi.com/i/003000/003146.png</t>
  </si>
  <si>
    <t>Lady of Crowns</t>
  </si>
  <si>
    <t>Königin der Kronen</t>
  </si>
  <si>
    <t>RANGE_AFFECTED_GCD</t>
  </si>
  <si>
    <t>https://xivapi.com/i/002000/002639.png</t>
  </si>
  <si>
    <t>Plenary Indulgence</t>
  </si>
  <si>
    <t>Vollkommener Ablass</t>
  </si>
  <si>
    <t>Indulgence plénière</t>
  </si>
  <si>
    <t>대사면</t>
  </si>
  <si>
    <t>全大赦</t>
  </si>
  <si>
    <t>ハート・オブ・ストーン</t>
  </si>
  <si>
    <t>https://xivapi.com/i/003000/003425.png</t>
  </si>
  <si>
    <t>Heart of Stone</t>
  </si>
  <si>
    <t>Steinernes Herz</t>
  </si>
  <si>
    <t>Cœur de pierre</t>
  </si>
  <si>
    <t>돌의 심장</t>
  </si>
  <si>
    <t>石之心</t>
  </si>
  <si>
    <t>地神のミンネ</t>
  </si>
  <si>
    <t>https://xivapi.com/i/002000/002615.png</t>
  </si>
  <si>
    <t>Nature's Minne</t>
  </si>
  <si>
    <t>Nophicas Minne</t>
  </si>
  <si>
    <t>Minne de la nature</t>
  </si>
  <si>
    <t>大地神的抒情恋歌</t>
  </si>
  <si>
    <t>ハート・オブ・ライト</t>
  </si>
  <si>
    <t>https://xivapi.com/i/003000/003424.png</t>
  </si>
  <si>
    <t>Heart of Light</t>
  </si>
  <si>
    <t>Wackeres Herz</t>
  </si>
  <si>
    <t>Cœur de Lumière</t>
  </si>
  <si>
    <t>빛의 심장</t>
  </si>
  <si>
    <t>光之心</t>
  </si>
  <si>
    <t>モンク</t>
  </si>
  <si>
    <t>金剛の極意</t>
  </si>
  <si>
    <t>https://xivapi.com/i/002000/002537.png</t>
  </si>
  <si>
    <t>Riddle of Earth</t>
  </si>
  <si>
    <t>Steinernes Enigma</t>
  </si>
  <si>
    <t>Énigme de la terre</t>
  </si>
  <si>
    <t>金剛周天</t>
  </si>
  <si>
    <t>https://xivapi.com/i/002000/002549.png</t>
  </si>
  <si>
    <t>Earth's Reply</t>
  </si>
  <si>
    <t>Erdumrundung</t>
  </si>
  <si>
    <t>Réaction de la terre</t>
  </si>
  <si>
    <t>深謀遠慮の策</t>
  </si>
  <si>
    <t>https://xivapi.com/i/002000/002813.png</t>
  </si>
  <si>
    <t>Excogitation</t>
  </si>
  <si>
    <t>Weise Voraussicht</t>
  </si>
  <si>
    <t>Traité de l'excogitation</t>
  </si>
  <si>
    <t>심모원려책</t>
  </si>
  <si>
    <t>深谋远虑之策</t>
  </si>
  <si>
    <t>ウェポンブレイク</t>
  </si>
  <si>
    <t>https://xivapi.com/i/003000/003011.png</t>
  </si>
  <si>
    <t>Dismantle</t>
  </si>
  <si>
    <t>Zerlegen</t>
  </si>
  <si>
    <t>Brise-arme</t>
  </si>
  <si>
    <t>武装解除</t>
  </si>
  <si>
    <t>タウロコレ</t>
  </si>
  <si>
    <t>https://xivapi.com/i/003000/003671.png</t>
  </si>
  <si>
    <t>Taurochole</t>
  </si>
  <si>
    <t>타우로콜레</t>
  </si>
  <si>
    <t>白牛清汁</t>
  </si>
  <si>
    <t>アーサリースター(巨星の支配者)</t>
  </si>
  <si>
    <t>https://xivapi.com/i/003000/003144.png</t>
  </si>
  <si>
    <t>Earthly Star(Giant Dominance)</t>
  </si>
  <si>
    <t>Irdischer Stern(Planetare Herrschaft)</t>
  </si>
  <si>
    <t>Étoile terrestre(Domination stellaire)</t>
  </si>
  <si>
    <t>지상의 별(큰별의 지배자)</t>
  </si>
  <si>
    <t>地星(巨星主宰)</t>
  </si>
  <si>
    <t>アーサリースター(星の支配者)</t>
  </si>
  <si>
    <t>https://xivapi.com/i/003000/003143.png</t>
  </si>
  <si>
    <t>Earthly Star(Earthly Dominance)</t>
  </si>
  <si>
    <t>Irdischer Stern(Irdische Herrschaft)</t>
  </si>
  <si>
    <t>Étoile terrestre(Domination terrestre)</t>
  </si>
  <si>
    <t>지상의 별(별의 지배자)</t>
  </si>
  <si>
    <t>地星(地星主宰)</t>
  </si>
  <si>
    <t>転化</t>
  </si>
  <si>
    <t>https://xivapi.com/i/002000/002810.png</t>
  </si>
  <si>
    <t>Dissipation</t>
  </si>
  <si>
    <t>에테르 전환</t>
  </si>
  <si>
    <t>转化</t>
  </si>
  <si>
    <t>星天対抗</t>
  </si>
  <si>
    <t>https://xivapi.com/i/003000/003142.png</t>
  </si>
  <si>
    <t>Celestial Opposition</t>
  </si>
  <si>
    <t>Opposition</t>
  </si>
  <si>
    <t>Opposition céleste</t>
  </si>
  <si>
    <t>천궁의 반목</t>
  </si>
  <si>
    <t>天星冲日</t>
  </si>
  <si>
    <t>ペプシス(エウクラシア・ディアグノシス)</t>
  </si>
  <si>
    <t>https://xivapi.com/i/003000/003669.png</t>
  </si>
  <si>
    <t>Pepsis(Eukrasian Diagnosis)</t>
  </si>
  <si>
    <t>Pepsis(Eukratische Diagnose)</t>
  </si>
  <si>
    <t>Pepsis(Diagnosis eucrasique)</t>
  </si>
  <si>
    <t>소화 작용(정상건강: 진단치료)</t>
  </si>
  <si>
    <t>消化(均衡诊断)</t>
  </si>
  <si>
    <t>ペプシス(エウクラシア・プログノシス)</t>
  </si>
  <si>
    <t>Pepsis(Eukrasian Prognosis)</t>
  </si>
  <si>
    <t>Pepsis(Eukratische Prognose)</t>
  </si>
  <si>
    <t>Pepsis(Prognosis eucrasique)</t>
  </si>
  <si>
    <t>소화 작용(정상건강: 예후)</t>
  </si>
  <si>
    <t>消化(均衡预后)</t>
  </si>
  <si>
    <t>運命の輪</t>
  </si>
  <si>
    <t>https://xivapi.com/i/003000/003140.png</t>
  </si>
  <si>
    <t>Collective Unconscious</t>
  </si>
  <si>
    <t>Numinosum</t>
  </si>
  <si>
    <t>Inconscient collectif</t>
  </si>
  <si>
    <t>운명의 수레바퀴</t>
  </si>
  <si>
    <t>命运之轮</t>
  </si>
  <si>
    <t>原初の直感</t>
  </si>
  <si>
    <t>https://xivapi.com/i/002000/002559.png</t>
  </si>
  <si>
    <t>Raw Intuition</t>
  </si>
  <si>
    <t>Urinstinkt</t>
  </si>
  <si>
    <t>Intuition pure</t>
  </si>
  <si>
    <t>원초의 직감</t>
  </si>
  <si>
    <t>原初的直觉</t>
  </si>
  <si>
    <t>アサイズ</t>
  </si>
  <si>
    <t>https://xivapi.com/i/002000/002634.png</t>
  </si>
  <si>
    <t>Assize</t>
  </si>
  <si>
    <t>Assise</t>
  </si>
  <si>
    <t>Assises</t>
  </si>
  <si>
    <t>심판</t>
  </si>
  <si>
    <t>法令</t>
  </si>
  <si>
    <t>ブルワーク</t>
  </si>
  <si>
    <t>https://xivapi.com/i/000000/000167.png</t>
  </si>
  <si>
    <t>Bulwark</t>
  </si>
  <si>
    <t>Bollwerk</t>
  </si>
  <si>
    <t xml:space="preserve">	Forteresse</t>
  </si>
  <si>
    <t>壁垒</t>
  </si>
  <si>
    <t>不撓不屈の策</t>
  </si>
  <si>
    <t>https://xivapi.com/i/002000/002806.png</t>
  </si>
  <si>
    <t>Indomitability</t>
  </si>
  <si>
    <t>Unbezwingbarkeit</t>
  </si>
  <si>
    <t>Traité de la persévérance</t>
  </si>
  <si>
    <t>불요불굴책</t>
  </si>
  <si>
    <t>不屈不挠之策</t>
  </si>
  <si>
    <t>イックソコレ</t>
  </si>
  <si>
    <t>https://xivapi.com/i/003000/003667.png</t>
  </si>
  <si>
    <t>Ixochole</t>
  </si>
  <si>
    <t>익소콜레</t>
  </si>
  <si>
    <t>寄生清汁</t>
  </si>
  <si>
    <t>アサイラム</t>
  </si>
  <si>
    <t>https://xivapi.com/i/002000/002632.png</t>
  </si>
  <si>
    <t>Asylum</t>
  </si>
  <si>
    <t>Refugium</t>
  </si>
  <si>
    <t>Asile</t>
  </si>
  <si>
    <t>성소</t>
  </si>
  <si>
    <t>庇护所</t>
  </si>
  <si>
    <t>ボーライド</t>
  </si>
  <si>
    <t>https://xivapi.com/i/003000/003416.png</t>
  </si>
  <si>
    <t>Superbolide</t>
  </si>
  <si>
    <t>Meteoritenfall</t>
  </si>
  <si>
    <t>Bolide</t>
  </si>
  <si>
    <t>폭발 유성</t>
  </si>
  <si>
    <t>超火流星</t>
  </si>
  <si>
    <t>インビンシブル</t>
  </si>
  <si>
    <t>https://xivapi.com/i/002000/002502.png</t>
  </si>
  <si>
    <t>Hallowed Ground</t>
  </si>
  <si>
    <t>Heiliger Boden</t>
  </si>
  <si>
    <t>Invincible</t>
  </si>
  <si>
    <t>천하무적</t>
  </si>
  <si>
    <t>神圣领域</t>
  </si>
  <si>
    <t>リビングデッド</t>
  </si>
  <si>
    <t>https://xivapi.com/i/003000/003077.png</t>
  </si>
  <si>
    <t>Living Dead</t>
  </si>
  <si>
    <t>Totenerweckung</t>
  </si>
  <si>
    <t>Mort-vivant</t>
  </si>
  <si>
    <t>산송장</t>
  </si>
  <si>
    <t>行尸走肉</t>
  </si>
  <si>
    <t>ベネディクション</t>
  </si>
  <si>
    <t>https://xivapi.com/i/002000/002627.png</t>
  </si>
  <si>
    <t>Benediction</t>
  </si>
  <si>
    <t>Benediktion</t>
  </si>
  <si>
    <t>Bénédiction</t>
  </si>
  <si>
    <t>거룩한 축복</t>
  </si>
  <si>
    <t>天赐祝福</t>
  </si>
  <si>
    <t>ダークマインド</t>
  </si>
  <si>
    <t>https://xivapi.com/i/003000/003076.png</t>
  </si>
  <si>
    <t>Dark Mind</t>
  </si>
  <si>
    <t>Dunkler Geist</t>
  </si>
  <si>
    <t>Esprit ténébreux</t>
  </si>
  <si>
    <t>어두운 감정</t>
  </si>
  <si>
    <t>弃明投暗</t>
  </si>
  <si>
    <t>エーテルフロー</t>
  </si>
  <si>
    <t>https://xivapi.com/i/000000/000510.png</t>
  </si>
  <si>
    <t>Aetherflow</t>
  </si>
  <si>
    <t>Ätherfluss</t>
  </si>
  <si>
    <t>Flux d'éther</t>
  </si>
  <si>
    <t>에테르 순환</t>
  </si>
  <si>
    <t>以太超流</t>
  </si>
  <si>
    <t>生命活性法</t>
  </si>
  <si>
    <t>https://xivapi.com/i/002000/002805.png</t>
  </si>
  <si>
    <t>Lustrate</t>
  </si>
  <si>
    <t>Revitalisierung</t>
  </si>
  <si>
    <t>Loi de revivification</t>
  </si>
  <si>
    <t>생명활성술</t>
  </si>
  <si>
    <t>ドルオコレ</t>
  </si>
  <si>
    <t>https://xivapi.com/i/003000/003664.png</t>
  </si>
  <si>
    <t>Druochole</t>
  </si>
  <si>
    <t>드루오콜레</t>
  </si>
  <si>
    <t>灵橡清汁</t>
  </si>
  <si>
    <t>マントラ</t>
  </si>
  <si>
    <t>https://xivapi.com/i/000000/000216.png</t>
  </si>
  <si>
    <t>Mantra</t>
  </si>
  <si>
    <t>만트라</t>
  </si>
  <si>
    <t>真言</t>
  </si>
  <si>
    <t>ホルムギャング</t>
  </si>
  <si>
    <t>https://xivapi.com/i/000000/000266.png</t>
  </si>
  <si>
    <t>Holmgang</t>
  </si>
  <si>
    <t xml:space="preserve">	Holmgang</t>
  </si>
  <si>
    <t>일대일 결투</t>
  </si>
  <si>
    <t>死斗</t>
  </si>
  <si>
    <t>フェイイルミネーション</t>
  </si>
  <si>
    <t>https://xivapi.com/i/002000/002829.png</t>
  </si>
  <si>
    <t>Fey Illumination</t>
  </si>
  <si>
    <t>Illumination</t>
  </si>
  <si>
    <t>Illumination féérique</t>
  </si>
  <si>
    <t>요정의 광휘</t>
  </si>
  <si>
    <t>异想的幻光</t>
  </si>
  <si>
    <t>ネビュラ</t>
  </si>
  <si>
    <t>https://xivapi.com/i/003000/003412.png</t>
  </si>
  <si>
    <t>Nebula</t>
  </si>
  <si>
    <t>Nébuleuse</t>
  </si>
  <si>
    <t>성운</t>
  </si>
  <si>
    <t>星云</t>
  </si>
  <si>
    <t>センチネル</t>
  </si>
  <si>
    <t>https://xivapi.com/i/000000/000151.png</t>
  </si>
  <si>
    <t>Sentinel</t>
  </si>
  <si>
    <t>Sentinelle</t>
  </si>
  <si>
    <t>경계</t>
  </si>
  <si>
    <t>预警</t>
  </si>
  <si>
    <t>シャドウウォール</t>
  </si>
  <si>
    <t>https://xivapi.com/i/003000/003075.png</t>
  </si>
  <si>
    <t>Shadow Wall</t>
  </si>
  <si>
    <t>Schattenwand</t>
  </si>
  <si>
    <t>Mur d'ombre</t>
  </si>
  <si>
    <t>그림자 장벽</t>
  </si>
  <si>
    <t>暗影墙</t>
  </si>
  <si>
    <t>ヴェンジェンス</t>
  </si>
  <si>
    <t>https://xivapi.com/i/000000/000267.png</t>
  </si>
  <si>
    <t>Vengeance</t>
  </si>
  <si>
    <t>Rachsucht</t>
  </si>
  <si>
    <t>Représailles</t>
  </si>
  <si>
    <t>보복</t>
  </si>
  <si>
    <t>复仇</t>
  </si>
  <si>
    <t>アストラルドロー</t>
  </si>
  <si>
    <t>https://xivapi.com/i/003000/003564.png</t>
  </si>
  <si>
    <t>Astral Draw</t>
  </si>
  <si>
    <t>Lichtziehen</t>
  </si>
  <si>
    <t>Tirage astral</t>
  </si>
  <si>
    <t>https://xivapi.com/i/003000/003565.png</t>
  </si>
  <si>
    <t>Umbral Draw</t>
  </si>
  <si>
    <t>Schattenziehen</t>
  </si>
  <si>
    <t>Tirage ombral</t>
  </si>
  <si>
    <t>オシュオンの矢</t>
  </si>
  <si>
    <t>SINGLE_AFFECTED_ALL</t>
  </si>
  <si>
    <t>https://xivapi.com/i/003000/003112.png</t>
  </si>
  <si>
    <t>The Arrow</t>
  </si>
  <si>
    <t>Pfeil</t>
  </si>
  <si>
    <t>La Flèche</t>
  </si>
  <si>
    <t>サリャクの水瓶</t>
  </si>
  <si>
    <t>https://xivapi.com/i/003000/003114.png</t>
  </si>
  <si>
    <t>The Ewer</t>
  </si>
  <si>
    <t>Krug</t>
  </si>
  <si>
    <t>L'Aiguière</t>
  </si>
  <si>
    <t>ビエルゴの塔</t>
  </si>
  <si>
    <t>https://xivapi.com/i/003000/003115.png</t>
  </si>
  <si>
    <t>The Spire</t>
  </si>
  <si>
    <t>Turm</t>
  </si>
  <si>
    <t>La Tour</t>
  </si>
  <si>
    <t>世界樹の幹</t>
  </si>
  <si>
    <t>https://xivapi.com/i/003000/003111.png</t>
  </si>
  <si>
    <t>The Bole</t>
  </si>
  <si>
    <t>Eiche</t>
  </si>
  <si>
    <t>Le Tronc</t>
  </si>
  <si>
    <t>光の囁き</t>
  </si>
  <si>
    <t>https://xivapi.com/i/002000/002827.png</t>
  </si>
  <si>
    <t>Whispering Dawn</t>
  </si>
  <si>
    <t>Erhebendes Flüstern</t>
  </si>
  <si>
    <t>Murmure de l'aurore</t>
  </si>
  <si>
    <t>빛의 속삭임</t>
  </si>
  <si>
    <t>仙光的低语</t>
  </si>
  <si>
    <t>テンペラコート</t>
  </si>
  <si>
    <t>https://xivapi.com/i/003000/003835.png</t>
  </si>
  <si>
    <t>Tempera Coat</t>
  </si>
  <si>
    <t>Tempera-Schicht</t>
  </si>
  <si>
    <t>Enduit a tempera</t>
  </si>
  <si>
    <t>プログノシス</t>
  </si>
  <si>
    <t>https://xivapi.com/i/003000/003654.png</t>
  </si>
  <si>
    <t>Prognosis</t>
  </si>
  <si>
    <t>Prognose</t>
  </si>
  <si>
    <t>예후</t>
  </si>
  <si>
    <t>预后</t>
  </si>
  <si>
    <t>カモフラージュ</t>
  </si>
  <si>
    <t>https://xivapi.com/i/003000/003404.png</t>
  </si>
  <si>
    <t>Camouflage</t>
  </si>
  <si>
    <t>위장술</t>
  </si>
  <si>
    <t>伪装</t>
  </si>
  <si>
    <t>LB1</t>
  </si>
  <si>
    <t>https://xivapi.com/i/000000/000103.png</t>
  </si>
  <si>
    <t>LB2</t>
  </si>
  <si>
    <t>LB3</t>
  </si>
  <si>
    <t>wa</t>
  </si>
  <si>
    <t>Phase</t>
  </si>
  <si>
    <t>Total Time</t>
  </si>
  <si>
    <t>Time</t>
  </si>
  <si>
    <t>Action</t>
  </si>
  <si>
    <t>Type</t>
  </si>
  <si>
    <t>Damage</t>
  </si>
  <si>
    <t>Mitigation</t>
  </si>
  <si>
    <t>Barrier</t>
  </si>
  <si>
    <t>hide</t>
  </si>
  <si>
    <t>竜騎士</t>
  </si>
  <si>
    <t>忍者</t>
  </si>
  <si>
    <t>侍</t>
  </si>
  <si>
    <t>リーパー</t>
  </si>
  <si>
    <t>ヴァイパー</t>
  </si>
  <si>
    <t>黒魔道士</t>
  </si>
  <si>
    <t>召喚士</t>
  </si>
  <si>
    <t>Heal Buff</t>
  </si>
  <si>
    <t>Barrier Buff</t>
  </si>
  <si>
    <t>Calculate</t>
  </si>
  <si>
    <t>Total Damage</t>
  </si>
  <si>
    <t>HP Bar</t>
  </si>
  <si>
    <t>Heal Buff (PARTY)</t>
  </si>
  <si>
    <t>Heal Buff (WHM)</t>
  </si>
  <si>
    <t>Heal Buff (AST)</t>
  </si>
  <si>
    <t>Heal Buff (SCH)</t>
  </si>
  <si>
    <t>Heal Buff (SGE)</t>
  </si>
  <si>
    <t>Mitigated
Hit Damage</t>
  </si>
  <si>
    <t>Total
Barrier</t>
  </si>
  <si>
    <t>MAX HP</t>
  </si>
  <si>
    <t>Hit</t>
  </si>
  <si>
    <t>DoT</t>
  </si>
  <si>
    <t>tick</t>
  </si>
  <si>
    <t>ALL</t>
  </si>
  <si>
    <t>GCD</t>
  </si>
  <si>
    <t>-</t>
  </si>
  <si>
    <t>plummet</t>
  </si>
  <si>
    <t>first stack</t>
  </si>
  <si>
    <t>Death sentence</t>
  </si>
  <si>
    <t>First baits</t>
  </si>
  <si>
    <t>Second Baits</t>
  </si>
  <si>
    <t>Neuro Soak 1</t>
  </si>
  <si>
    <t>Neuro soak</t>
  </si>
  <si>
    <t>Third Baits</t>
  </si>
  <si>
    <t>Neuro Soak</t>
  </si>
  <si>
    <t>Fourth Baits</t>
  </si>
  <si>
    <t>Second Stack</t>
  </si>
  <si>
    <t>Plummet</t>
  </si>
  <si>
    <t>Fifth Baits</t>
  </si>
  <si>
    <t>Phase Transition</t>
  </si>
  <si>
    <t>Meteor Stream 1</t>
  </si>
  <si>
    <t>Meteor Stream 2</t>
  </si>
  <si>
    <t>Dalamud Dive</t>
  </si>
  <si>
    <t>Bahamut's Claw</t>
  </si>
  <si>
    <t>Chain Lightning</t>
  </si>
  <si>
    <t>Thermionic Beam</t>
  </si>
  <si>
    <t>Raven Dive</t>
  </si>
  <si>
    <t>Raven's Beak</t>
  </si>
  <si>
    <t>Hypernova Baits</t>
  </si>
  <si>
    <t>Meteor Stream</t>
  </si>
  <si>
    <t>Phase 3 Transition</t>
  </si>
  <si>
    <t>Seventh Umbral Era</t>
  </si>
  <si>
    <t>SCH</t>
  </si>
  <si>
    <t>AST</t>
  </si>
  <si>
    <t>calamatous Flame</t>
  </si>
  <si>
    <t>Calamatous Blaze</t>
  </si>
  <si>
    <t>Flare Breath</t>
  </si>
  <si>
    <t>Flatten</t>
  </si>
  <si>
    <t>Megaflare</t>
  </si>
  <si>
    <t>Earth Shakers</t>
  </si>
  <si>
    <t>Name</t>
  </si>
  <si>
    <t>Select</t>
  </si>
  <si>
    <t>Description</t>
  </si>
  <si>
    <t>言語設定(Language)</t>
  </si>
  <si>
    <t>English</t>
  </si>
  <si>
    <t>対象選択スキルの対象の言語設定です。設定しない場合は日本語になります。
誤訳がある場合はシート下部のディスコードサーバーにご連絡ください。
(初期値:空欄)</t>
  </si>
  <si>
    <t>On/Off</t>
  </si>
  <si>
    <t>自動チェック機能(Mitigation)</t>
  </si>
  <si>
    <r>
      <rPr>
        <rFont val="Arial"/>
        <color theme="1"/>
      </rPr>
      <t>各軽減表シートにて、</t>
    </r>
    <r>
      <rPr>
        <rFont val="Arial"/>
        <b/>
        <color theme="1"/>
      </rPr>
      <t>Mitigationのチェックボックス</t>
    </r>
    <r>
      <rPr>
        <rFont val="Arial"/>
        <color theme="1"/>
      </rPr>
      <t>において機能します。
チェックボックスにチェックを入れた時、スキルの効果時間分のチェックボックスに自動的にチェックが入ります。
この機能はScriptを使用しているため、実行時間に3秒ほど要します。
この機能を必要としない場合はOn/OffのチェックボックスをOffにしてください。
(初期値:On)</t>
    </r>
  </si>
  <si>
    <t>自動チェック機能(Barrier)</t>
  </si>
  <si>
    <r>
      <rPr>
        <rFont val="Arial"/>
        <color theme="1"/>
      </rPr>
      <t>各軽減表シートにて、</t>
    </r>
    <r>
      <rPr>
        <rFont val="Arial"/>
        <b/>
        <color theme="1"/>
      </rPr>
      <t>Barriorのチェックボックス</t>
    </r>
    <r>
      <rPr>
        <rFont val="Arial"/>
        <color theme="1"/>
      </rPr>
      <t>において機能します。
チェックボックスにチェックを入れた時、スキルの効果時間分のチェックボックスに自動的にチェックが入ります。
この機能はScriptを使用しているため、実行時間に3秒ほど要します。
この機能を必要としない場合はOn/OffのチェックボックスをOffにしてください。
(初期値:Off)</t>
    </r>
  </si>
  <si>
    <t>自動チェック機能(Heal)</t>
  </si>
  <si>
    <r>
      <rPr>
        <rFont val="Arial"/>
        <color theme="1"/>
      </rPr>
      <t>各軽減表シートにて、</t>
    </r>
    <r>
      <rPr>
        <rFont val="Arial"/>
        <b/>
        <color theme="1"/>
      </rPr>
      <t>Healのチェックボックス</t>
    </r>
    <r>
      <rPr>
        <rFont val="Arial"/>
        <color theme="1"/>
      </rPr>
      <t>において機能します。
チェックボックスにチェックを入れた時、スキルの効果時間分のチェックボックスに自動的にチェックが入ります。
この機能はScriptを使用しているため、実行時間に3秒ほど要します。
この機能を必要としない場合はOn/OffのチェックボックスをOffにしてください。
(初期値:On)</t>
    </r>
  </si>
  <si>
    <t>自動チェック外し機能</t>
  </si>
  <si>
    <t>各軽減表シートのチェックボックスにおいて機能します。
チェックボックスのチェックを外した時、スキルの効果時間分のチェックボックスに自動的にチェックが外れます。
複数の効果時間に跨ってチェックされている場合、チェックの先頭位置からスキルの効果時間ごとにチェックを外します。
この機能はScriptを使用しているため、実行時間に3秒ほど要します。
この機能を必要としない場合はOn/OffのチェックボックスをOffにしてください。
(初期値:Off)</t>
  </si>
  <si>
    <t>表示ジョブ列の指定</t>
  </si>
  <si>
    <t>選択ジョブ列の一括表示で選択したジョブのみをプルダウンに表示するためのチェック項目</t>
  </si>
  <si>
    <t>Job/Roll</t>
  </si>
  <si>
    <t>Parameter</t>
  </si>
  <si>
    <t>HP</t>
  </si>
  <si>
    <t>全て(一番低い人基準)</t>
  </si>
  <si>
    <t>MND</t>
  </si>
  <si>
    <t>HP Bar Options</t>
  </si>
  <si>
    <t>color code</t>
  </si>
  <si>
    <t>#ffd700</t>
  </si>
  <si>
    <t>Life</t>
  </si>
  <si>
    <t>#90ee90</t>
  </si>
  <si>
    <t>#e9967a</t>
  </si>
  <si>
    <r>
      <rPr/>
      <t xml:space="preserve">Created by </t>
    </r>
    <r>
      <rPr>
        <color rgb="FF1155CC"/>
        <u/>
      </rPr>
      <t>@lastagous</t>
    </r>
  </si>
  <si>
    <t>Based patch</t>
  </si>
  <si>
    <r>
      <rPr>
        <color rgb="FF000000"/>
      </rPr>
      <t xml:space="preserve">Support </t>
    </r>
    <r>
      <rPr>
        <color rgb="FF1155CC"/>
        <u/>
      </rPr>
      <t>Discord server</t>
    </r>
  </si>
  <si>
    <t>Sheet Name</t>
  </si>
  <si>
    <t xml:space="preserve"> Transition Time</t>
  </si>
  <si>
    <t>Begin Start Time</t>
  </si>
  <si>
    <t>Phase 2</t>
  </si>
  <si>
    <t>PHASE NAMES</t>
  </si>
  <si>
    <t>Phase1</t>
  </si>
  <si>
    <t>Phase 1</t>
  </si>
  <si>
    <t>Phase 3</t>
  </si>
  <si>
    <t>Phase2</t>
  </si>
  <si>
    <t>Phase 4</t>
  </si>
  <si>
    <t>Phase3</t>
  </si>
  <si>
    <t>Phase 5</t>
  </si>
  <si>
    <t>Phase4</t>
  </si>
  <si>
    <t>Option</t>
  </si>
  <si>
    <t>Phase5</t>
  </si>
  <si>
    <t>Phase Map</t>
  </si>
  <si>
    <t>Phase6</t>
  </si>
  <si>
    <t>Phase7</t>
  </si>
  <si>
    <t>Phase8</t>
  </si>
  <si>
    <t>Phase9</t>
  </si>
  <si>
    <t>Phase10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</si>
</sst>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quot;:&quot;ss"/>
    <numFmt numFmtId="165" formatCode="#,##0.0000000"/>
    <numFmt numFmtId="166" formatCode="[mm]:ss"/>
  </numFmts>
  <fonts count="45">
    <font>
      <sz val="10.0"/>
      <color rgb="FF000000"/>
      <name val="Arial"/>
      <scheme val="minor"/>
    </font>
    <font>
      <u/>
      <color rgb="FF1155CC"/>
      <name val="Arial"/>
      <scheme val="minor"/>
    </font>
    <font>
      <color theme="1"/>
      <name val="Arial"/>
      <scheme val="minor"/>
    </font>
    <font>
      <color theme="1"/>
      <name val="Arial"/>
    </font>
    <font>
      <u/>
      <color rgb="FF0000FF"/>
    </font>
    <font>
      <u/>
      <color rgb="FF0000FF"/>
    </font>
    <font>
      <u/>
      <color rgb="FF0000FF"/>
    </font>
    <font>
      <u/>
      <color rgb="FF0000FF"/>
    </font>
    <font>
      <color rgb="FFF1C232"/>
      <name val="Arial"/>
    </font>
    <font>
      <u/>
      <color rgb="FF1155CC"/>
      <name val="Arial"/>
    </font>
    <font>
      <color rgb="FF980000"/>
      <name val="Arial"/>
    </font>
    <font>
      <u/>
      <color rgb="FF0000FF"/>
      <name val="Arial"/>
    </font>
    <font>
      <color rgb="FFFF9900"/>
      <name val="Arial"/>
    </font>
    <font>
      <u/>
      <color rgb="FF0000FF"/>
      <name val="Arial"/>
    </font>
    <font>
      <color rgb="FF9900FF"/>
      <name val="Arial"/>
    </font>
    <font>
      <color rgb="FF000000"/>
      <name val="Arial"/>
      <scheme val="minor"/>
    </font>
    <font>
      <sz val="10.0"/>
      <color rgb="FF434343"/>
      <name val="Arial"/>
      <scheme val="minor"/>
    </font>
    <font>
      <color rgb="FFBDBDBD"/>
      <name val="Arial"/>
      <scheme val="minor"/>
    </font>
    <font>
      <color rgb="FF434343"/>
      <name val="Arial"/>
    </font>
    <font/>
    <font>
      <sz val="11.0"/>
      <color rgb="FF000000"/>
      <name val="Inconsolata"/>
    </font>
    <font>
      <sz val="11.0"/>
      <color rgb="FFB6D7A8"/>
      <name val="Inconsolata"/>
    </font>
    <font>
      <b/>
      <color theme="1"/>
      <name val="Arial"/>
    </font>
    <font>
      <color rgb="FF1155CC"/>
      <name val="Arial"/>
      <scheme val="minor"/>
    </font>
    <font>
      <b/>
      <color rgb="FF1155CC"/>
      <name val="Arial"/>
      <scheme val="minor"/>
    </font>
    <font>
      <b/>
      <sz val="10.0"/>
      <color rgb="FF1155CC"/>
      <name val="Arial"/>
      <scheme val="minor"/>
    </font>
    <font>
      <color rgb="FF38761D"/>
      <name val="Arial"/>
      <scheme val="minor"/>
    </font>
    <font>
      <b/>
      <color rgb="FF38761D"/>
      <name val="Arial"/>
      <scheme val="minor"/>
    </font>
    <font>
      <color rgb="FFB6D7A8"/>
      <name val="Arial"/>
      <scheme val="minor"/>
    </font>
    <font>
      <color theme="9"/>
      <name val="Meiryo"/>
    </font>
    <font>
      <color rgb="FFCC4125"/>
      <name val="Arial"/>
      <scheme val="minor"/>
    </font>
    <font>
      <color rgb="FFE06666"/>
      <name val="Arial"/>
      <scheme val="minor"/>
    </font>
    <font>
      <color rgb="FFE69138"/>
      <name val="Arial"/>
      <scheme val="minor"/>
    </font>
    <font>
      <color rgb="FF6FA8DC"/>
      <name val="Arial"/>
      <scheme val="minor"/>
    </font>
    <font>
      <sz val="11.0"/>
      <color rgb="FFDD7E6B"/>
      <name val="Inconsolata"/>
    </font>
    <font>
      <sz val="11.0"/>
      <color rgb="FFEA9999"/>
      <name val="Inconsolata"/>
    </font>
    <font>
      <sz val="11.0"/>
      <color rgb="FFF9CB9C"/>
      <name val="Inconsolata"/>
    </font>
    <font>
      <sz val="14.0"/>
      <color rgb="FF1155CC"/>
      <name val="Arial"/>
      <scheme val="minor"/>
    </font>
    <font>
      <sz val="14.0"/>
      <color rgb="FF38761D"/>
      <name val="Arial"/>
      <scheme val="minor"/>
    </font>
    <font>
      <sz val="14.0"/>
      <color rgb="FFCC4125"/>
      <name val="Arial"/>
      <scheme val="minor"/>
    </font>
    <font>
      <sz val="14.0"/>
      <color rgb="FFE06666"/>
      <name val="Arial"/>
      <scheme val="minor"/>
    </font>
    <font>
      <sz val="14.0"/>
      <color rgb="FFE69138"/>
      <name val="Arial"/>
      <scheme val="minor"/>
    </font>
    <font>
      <sz val="10.0"/>
      <color theme="1"/>
      <name val="Arial"/>
      <scheme val="minor"/>
    </font>
    <font>
      <u/>
      <color rgb="FF0000FF"/>
    </font>
    <font>
      <color rgb="FFFFFFFF"/>
      <name val="Arial"/>
      <scheme val="minor"/>
    </font>
  </fonts>
  <fills count="14">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CCCCCC"/>
        <bgColor rgb="FFCCCCCC"/>
      </patternFill>
    </fill>
    <fill>
      <patternFill patternType="solid">
        <fgColor rgb="FFB7B7B7"/>
        <bgColor rgb="FFB7B7B7"/>
      </patternFill>
    </fill>
    <fill>
      <patternFill patternType="solid">
        <fgColor rgb="FF6FA8DC"/>
        <bgColor rgb="FF6FA8DC"/>
      </patternFill>
    </fill>
    <fill>
      <patternFill patternType="solid">
        <fgColor rgb="FFB6D7A8"/>
        <bgColor rgb="FFB6D7A8"/>
      </patternFill>
    </fill>
    <fill>
      <patternFill patternType="solid">
        <fgColor rgb="FFDD7E6B"/>
        <bgColor rgb="FFDD7E6B"/>
      </patternFill>
    </fill>
    <fill>
      <patternFill patternType="solid">
        <fgColor rgb="FFEA9999"/>
        <bgColor rgb="FFEA9999"/>
      </patternFill>
    </fill>
    <fill>
      <patternFill patternType="solid">
        <fgColor rgb="FFF9CB9C"/>
        <bgColor rgb="FFF9CB9C"/>
      </patternFill>
    </fill>
    <fill>
      <patternFill patternType="solid">
        <fgColor rgb="FFD9D9D9"/>
        <bgColor rgb="FFD9D9D9"/>
      </patternFill>
    </fill>
    <fill>
      <patternFill patternType="solid">
        <fgColor rgb="FFEFEFEF"/>
        <bgColor rgb="FFEFEFEF"/>
      </patternFill>
    </fill>
  </fills>
  <borders count="32">
    <border/>
    <border>
      <left style="thin">
        <color rgb="FFCCCCCC"/>
      </left>
      <right style="thin">
        <color rgb="FFCCCCCC"/>
      </right>
      <top style="thin">
        <color rgb="FFCCCCCC"/>
      </top>
      <bottom style="thin">
        <color rgb="FFCCCCCC"/>
      </bottom>
    </border>
    <border>
      <right style="thin">
        <color rgb="FFCCCCCC"/>
      </right>
    </border>
    <border>
      <left style="thin">
        <color rgb="FFB7B7B7"/>
      </left>
    </border>
    <border>
      <right style="thin">
        <color rgb="FFB7B7B7"/>
      </right>
      <top style="thin">
        <color rgb="FFB7B7B7"/>
      </top>
      <bottom style="thin">
        <color rgb="FFB7B7B7"/>
      </bottom>
    </border>
    <border>
      <left style="thin">
        <color rgb="FFB7B7B7"/>
      </left>
      <right style="thin">
        <color rgb="FFB7B7B7"/>
      </right>
      <top style="thin">
        <color rgb="FFB7B7B7"/>
      </top>
      <bottom style="thin">
        <color rgb="FFB7B7B7"/>
      </bottom>
    </border>
    <border>
      <left style="thin">
        <color rgb="FFB7B7B7"/>
      </left>
      <right style="thin">
        <color rgb="FFCCCCCC"/>
      </right>
      <top style="thin">
        <color rgb="FFB7B7B7"/>
      </top>
      <bottom style="thin">
        <color rgb="FFB7B7B7"/>
      </bottom>
    </border>
    <border>
      <right style="thin">
        <color rgb="FFB7B7B7"/>
      </right>
      <bottom style="thin">
        <color rgb="FFB7B7B7"/>
      </bottom>
    </border>
    <border>
      <left style="thin">
        <color rgb="FFB7B7B7"/>
      </left>
      <top style="thin">
        <color rgb="FFB7B7B7"/>
      </top>
      <bottom style="thin">
        <color rgb="FFB7B7B7"/>
      </bottom>
    </border>
    <border>
      <right style="thin">
        <color rgb="FFB7B7B7"/>
      </right>
    </border>
    <border>
      <top style="thin">
        <color rgb="FFB7B7B7"/>
      </top>
      <bottom style="thin">
        <color rgb="FFB7B7B7"/>
      </bottom>
    </border>
    <border>
      <top style="thin">
        <color rgb="FFB7B7B7"/>
      </top>
    </border>
    <border>
      <left style="thin">
        <color rgb="FFB7B7B7"/>
      </left>
      <right style="thin">
        <color rgb="FFB7B7B7"/>
      </right>
      <bottom style="thin">
        <color rgb="FFB7B7B7"/>
      </bottom>
    </border>
    <border>
      <left style="thin">
        <color rgb="FFB7B7B7"/>
      </left>
      <right style="thin">
        <color rgb="FFB7B7B7"/>
      </right>
      <top style="thin">
        <color rgb="FFB7B7B7"/>
      </top>
    </border>
    <border>
      <left style="thin">
        <color rgb="FFB7B7B7"/>
      </left>
      <top style="thin">
        <color rgb="FFB7B7B7"/>
      </top>
    </border>
    <border>
      <right style="thin">
        <color rgb="FFB7B7B7"/>
      </right>
      <top style="thin">
        <color rgb="FFB7B7B7"/>
      </top>
    </border>
    <border>
      <left style="thin">
        <color rgb="FFB7B7B7"/>
      </left>
      <right style="thin">
        <color rgb="FFB7B7B7"/>
      </right>
    </border>
    <border>
      <bottom style="thin">
        <color rgb="FFB7B7B7"/>
      </bottom>
    </border>
    <border>
      <left style="thick">
        <color rgb="FFB7B7B7"/>
      </left>
      <top style="thin">
        <color rgb="FFB7B7B7"/>
      </top>
      <bottom style="thin">
        <color rgb="FFB7B7B7"/>
      </bottom>
    </border>
    <border>
      <left style="thick">
        <color rgb="FFB7B7B7"/>
      </left>
      <top style="thin">
        <color rgb="FFB7B7B7"/>
      </top>
    </border>
    <border>
      <right style="thick">
        <color rgb="FFB7B7B7"/>
      </right>
      <bottom style="thin">
        <color rgb="FF000000"/>
      </bottom>
    </border>
    <border>
      <left style="thin">
        <color rgb="FFB7B7B7"/>
      </left>
      <bottom style="thin">
        <color rgb="FFB7B7B7"/>
      </bottom>
    </border>
    <border>
      <left style="thick">
        <color rgb="FFB7B7B7"/>
      </left>
      <right style="thin">
        <color rgb="FFB7B7B7"/>
      </right>
      <top style="thin">
        <color rgb="FFB7B7B7"/>
      </top>
      <bottom style="thin">
        <color rgb="FFB7B7B7"/>
      </bottom>
    </border>
    <border>
      <left style="thick">
        <color rgb="FFB7B7B7"/>
      </left>
      <bottom style="thin">
        <color rgb="FFB7B7B7"/>
      </bottom>
    </border>
    <border>
      <left style="thin">
        <color rgb="FF000000"/>
      </left>
      <right style="thick">
        <color rgb="FFB7B7B7"/>
      </right>
      <bottom style="thin">
        <color rgb="FF000000"/>
      </bottom>
    </border>
    <border>
      <left style="thin">
        <color rgb="FF000000"/>
      </left>
      <right style="thin">
        <color rgb="FF000000"/>
      </right>
      <top style="thin">
        <color rgb="FF000000"/>
      </top>
      <bottom style="thin">
        <color rgb="FF000000"/>
      </bottom>
    </border>
    <border>
      <left style="thin">
        <color rgb="FFB7B7B7"/>
      </left>
      <right style="thick">
        <color rgb="FFB7B7B7"/>
      </right>
      <bottom style="thin">
        <color rgb="FFB7B7B7"/>
      </bottom>
    </border>
    <border>
      <left style="thin">
        <color rgb="FF666666"/>
      </left>
      <right style="thin">
        <color rgb="FF666666"/>
      </right>
      <top style="thin">
        <color rgb="FF666666"/>
      </top>
      <bottom style="thin">
        <color rgb="FF666666"/>
      </bottom>
    </border>
    <border>
      <left style="thin">
        <color rgb="FF999999"/>
      </left>
      <right style="thin">
        <color rgb="FF999999"/>
      </right>
      <top style="thin">
        <color rgb="FF999999"/>
      </top>
      <bottom style="thin">
        <color rgb="FFB7B7B7"/>
      </bottom>
    </border>
    <border>
      <right style="thin">
        <color rgb="FF999999"/>
      </right>
      <top style="thin">
        <color rgb="FF999999"/>
      </top>
      <bottom style="thin">
        <color rgb="FFB7B7B7"/>
      </bottom>
    </border>
    <border>
      <left style="thin">
        <color rgb="FF999999"/>
      </left>
      <right style="thin">
        <color rgb="FF999999"/>
      </right>
      <top style="thin">
        <color rgb="FF999999"/>
      </top>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29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xf>
    <xf borderId="0" fillId="0" fontId="2" numFmtId="4" xfId="0" applyFont="1" applyNumberFormat="1"/>
    <xf borderId="0" fillId="0" fontId="2" numFmtId="3" xfId="0" applyFont="1" applyNumberFormat="1"/>
    <xf borderId="1" fillId="2" fontId="2" numFmtId="0" xfId="0" applyAlignment="1" applyBorder="1" applyFill="1" applyFont="1">
      <alignment horizontal="center" readingOrder="0"/>
    </xf>
    <xf borderId="1" fillId="2" fontId="2" numFmtId="4" xfId="0" applyAlignment="1" applyBorder="1" applyFont="1" applyNumberFormat="1">
      <alignment horizontal="center" readingOrder="0"/>
    </xf>
    <xf borderId="1" fillId="2" fontId="2" numFmtId="3" xfId="0" applyAlignment="1" applyBorder="1" applyFont="1" applyNumberFormat="1">
      <alignment horizontal="center" readingOrder="0"/>
    </xf>
    <xf borderId="1" fillId="3" fontId="2" numFmtId="0" xfId="0" applyAlignment="1" applyBorder="1" applyFill="1" applyFont="1">
      <alignment horizontal="center" readingOrder="0"/>
    </xf>
    <xf borderId="1" fillId="3" fontId="3" numFmtId="0" xfId="0" applyAlignment="1" applyBorder="1" applyFont="1">
      <alignment horizontal="center" vertical="bottom"/>
    </xf>
    <xf borderId="1" fillId="3" fontId="2" numFmtId="0" xfId="0" applyAlignment="1" applyBorder="1" applyFont="1">
      <alignment readingOrder="0"/>
    </xf>
    <xf borderId="1" fillId="3" fontId="2" numFmtId="4" xfId="0" applyAlignment="1" applyBorder="1" applyFont="1" applyNumberFormat="1">
      <alignment readingOrder="0"/>
    </xf>
    <xf borderId="1" fillId="3" fontId="2" numFmtId="3" xfId="0" applyAlignment="1" applyBorder="1" applyFont="1" applyNumberFormat="1">
      <alignment readingOrder="0"/>
    </xf>
    <xf borderId="1" fillId="3" fontId="2" numFmtId="0" xfId="0" applyBorder="1" applyFont="1"/>
    <xf borderId="1" fillId="3" fontId="4" numFmtId="0" xfId="0" applyAlignment="1" applyBorder="1" applyFont="1">
      <alignment horizontal="center" readingOrder="0"/>
    </xf>
    <xf borderId="1" fillId="4" fontId="2" numFmtId="0" xfId="0" applyAlignment="1" applyBorder="1" applyFill="1" applyFont="1">
      <alignment horizontal="center" readingOrder="0"/>
    </xf>
    <xf borderId="1" fillId="4" fontId="3" numFmtId="0" xfId="0" applyAlignment="1" applyBorder="1" applyFont="1">
      <alignment horizontal="center" vertical="bottom"/>
    </xf>
    <xf borderId="1" fillId="4" fontId="2" numFmtId="0" xfId="0" applyAlignment="1" applyBorder="1" applyFont="1">
      <alignment readingOrder="0"/>
    </xf>
    <xf borderId="1" fillId="4" fontId="2" numFmtId="4" xfId="0" applyAlignment="1" applyBorder="1" applyFont="1" applyNumberFormat="1">
      <alignment readingOrder="0"/>
    </xf>
    <xf borderId="1" fillId="4" fontId="2" numFmtId="3" xfId="0" applyAlignment="1" applyBorder="1" applyFont="1" applyNumberFormat="1">
      <alignment readingOrder="0"/>
    </xf>
    <xf borderId="1" fillId="4" fontId="2" numFmtId="0" xfId="0" applyBorder="1" applyFont="1"/>
    <xf borderId="1" fillId="4" fontId="5" numFmtId="0" xfId="0" applyAlignment="1" applyBorder="1" applyFont="1">
      <alignment horizontal="center" readingOrder="0"/>
    </xf>
    <xf borderId="1" fillId="3" fontId="6" numFmtId="0" xfId="0" applyAlignment="1" applyBorder="1" applyFont="1">
      <alignment horizontal="center" readingOrder="0"/>
    </xf>
    <xf borderId="1" fillId="3" fontId="2" numFmtId="0" xfId="0" applyAlignment="1" applyBorder="1" applyFont="1">
      <alignment horizontal="center" readingOrder="0"/>
    </xf>
    <xf borderId="1" fillId="4" fontId="3" numFmtId="0" xfId="0" applyAlignment="1" applyBorder="1" applyFont="1">
      <alignment readingOrder="0"/>
    </xf>
    <xf borderId="1" fillId="4" fontId="7" numFmtId="0" xfId="0" applyAlignment="1" applyBorder="1" applyFont="1">
      <alignment horizontal="center" readingOrder="0"/>
    </xf>
    <xf borderId="1" fillId="3" fontId="3" numFmtId="0" xfId="0" applyAlignment="1" applyBorder="1" applyFont="1">
      <alignment readingOrder="0"/>
    </xf>
    <xf borderId="0" fillId="0" fontId="3" numFmtId="0" xfId="0" applyAlignment="1" applyFont="1">
      <alignment vertical="bottom"/>
    </xf>
    <xf borderId="1" fillId="3" fontId="3" numFmtId="0" xfId="0" applyAlignment="1" applyBorder="1" applyFont="1">
      <alignment horizontal="center" vertical="bottom"/>
    </xf>
    <xf borderId="1" fillId="3" fontId="8" numFmtId="0" xfId="0" applyAlignment="1" applyBorder="1" applyFont="1">
      <alignment horizontal="right" vertical="bottom"/>
    </xf>
    <xf borderId="1" fillId="3" fontId="3" numFmtId="0" xfId="0" applyAlignment="1" applyBorder="1" applyFont="1">
      <alignment horizontal="right" vertical="bottom"/>
    </xf>
    <xf borderId="1" fillId="3" fontId="3" numFmtId="0" xfId="0" applyAlignment="1" applyBorder="1" applyFont="1">
      <alignment horizontal="center"/>
    </xf>
    <xf borderId="1" fillId="3" fontId="3" numFmtId="0" xfId="0" applyAlignment="1" applyBorder="1" applyFont="1">
      <alignment vertical="bottom"/>
    </xf>
    <xf borderId="1" fillId="3" fontId="3" numFmtId="4" xfId="0" applyAlignment="1" applyBorder="1" applyFont="1" applyNumberFormat="1">
      <alignment vertical="bottom"/>
    </xf>
    <xf borderId="1" fillId="3" fontId="3" numFmtId="3" xfId="0" applyAlignment="1" applyBorder="1" applyFont="1" applyNumberFormat="1">
      <alignment vertical="bottom"/>
    </xf>
    <xf borderId="1" fillId="3" fontId="9" numFmtId="0" xfId="0" applyAlignment="1" applyBorder="1" applyFont="1">
      <alignment horizontal="center" vertical="bottom"/>
    </xf>
    <xf borderId="1" fillId="3" fontId="10" numFmtId="0" xfId="0" applyAlignment="1" applyBorder="1" applyFont="1">
      <alignment horizontal="right" readingOrder="0" vertical="bottom"/>
    </xf>
    <xf borderId="1" fillId="3" fontId="3" numFmtId="0" xfId="0" applyAlignment="1" applyBorder="1" applyFont="1">
      <alignment horizontal="right" readingOrder="0" vertical="bottom"/>
    </xf>
    <xf borderId="1" fillId="3" fontId="3" numFmtId="0" xfId="0" applyBorder="1" applyFont="1"/>
    <xf borderId="1" fillId="3" fontId="3" numFmtId="0" xfId="0" applyAlignment="1" applyBorder="1" applyFont="1">
      <alignment vertical="bottom"/>
    </xf>
    <xf borderId="1" fillId="3" fontId="3" numFmtId="4" xfId="0" applyAlignment="1" applyBorder="1" applyFont="1" applyNumberFormat="1">
      <alignment horizontal="right" vertical="bottom"/>
    </xf>
    <xf borderId="1" fillId="3" fontId="3" numFmtId="3" xfId="0" applyAlignment="1" applyBorder="1" applyFont="1" applyNumberFormat="1">
      <alignment horizontal="right" vertical="bottom"/>
    </xf>
    <xf borderId="1" fillId="3" fontId="11" numFmtId="0" xfId="0" applyAlignment="1" applyBorder="1" applyFont="1">
      <alignment horizontal="center" readingOrder="0" vertical="bottom"/>
    </xf>
    <xf borderId="1" fillId="4" fontId="3" numFmtId="0" xfId="0" applyBorder="1" applyFont="1"/>
    <xf borderId="1" fillId="4" fontId="3" numFmtId="0" xfId="0" applyAlignment="1" applyBorder="1" applyFont="1">
      <alignment vertical="bottom"/>
    </xf>
    <xf borderId="1" fillId="4" fontId="3" numFmtId="0" xfId="0" applyAlignment="1" applyBorder="1" applyFont="1">
      <alignment readingOrder="0" vertical="bottom"/>
    </xf>
    <xf borderId="1" fillId="3" fontId="3" numFmtId="0" xfId="0" applyAlignment="1" applyBorder="1" applyFont="1">
      <alignment readingOrder="0" vertical="bottom"/>
    </xf>
    <xf borderId="1" fillId="3" fontId="2" numFmtId="0" xfId="0" applyAlignment="1" applyBorder="1" applyFont="1">
      <alignment readingOrder="0"/>
    </xf>
    <xf borderId="1" fillId="4" fontId="3" numFmtId="9" xfId="0" applyAlignment="1" applyBorder="1" applyFont="1" applyNumberFormat="1">
      <alignment readingOrder="0" vertical="bottom"/>
    </xf>
    <xf borderId="1" fillId="3" fontId="12" numFmtId="0" xfId="0" applyAlignment="1" applyBorder="1" applyFont="1">
      <alignment horizontal="right" vertical="bottom"/>
    </xf>
    <xf borderId="1" fillId="4" fontId="3" numFmtId="0" xfId="0" applyAlignment="1" applyBorder="1" applyFont="1">
      <alignment horizontal="center" vertical="bottom"/>
    </xf>
    <xf borderId="1" fillId="4" fontId="12" numFmtId="0" xfId="0" applyAlignment="1" applyBorder="1" applyFont="1">
      <alignment horizontal="right" vertical="bottom"/>
    </xf>
    <xf borderId="1" fillId="4" fontId="3" numFmtId="0" xfId="0" applyAlignment="1" applyBorder="1" applyFont="1">
      <alignment horizontal="right" readingOrder="0" vertical="bottom"/>
    </xf>
    <xf borderId="1" fillId="4" fontId="3" numFmtId="0" xfId="0" applyAlignment="1" applyBorder="1" applyFont="1">
      <alignment horizontal="right" vertical="bottom"/>
    </xf>
    <xf borderId="1" fillId="4" fontId="3" numFmtId="4" xfId="0" applyAlignment="1" applyBorder="1" applyFont="1" applyNumberFormat="1">
      <alignment horizontal="right" vertical="bottom"/>
    </xf>
    <xf borderId="1" fillId="4" fontId="3" numFmtId="3" xfId="0" applyAlignment="1" applyBorder="1" applyFont="1" applyNumberFormat="1">
      <alignment horizontal="right" vertical="bottom"/>
    </xf>
    <xf borderId="1" fillId="4" fontId="3" numFmtId="0" xfId="0" applyAlignment="1" applyBorder="1" applyFont="1">
      <alignment vertical="bottom"/>
    </xf>
    <xf borderId="1" fillId="4" fontId="13" numFmtId="0" xfId="0" applyAlignment="1" applyBorder="1" applyFont="1">
      <alignment horizontal="center" readingOrder="0" vertical="bottom"/>
    </xf>
    <xf borderId="1" fillId="4" fontId="2" numFmtId="0" xfId="0" applyAlignment="1" applyBorder="1" applyFont="1">
      <alignment readingOrder="0"/>
    </xf>
    <xf borderId="1" fillId="4" fontId="14" numFmtId="0" xfId="0" applyAlignment="1" applyBorder="1" applyFont="1">
      <alignment horizontal="right" vertical="bottom"/>
    </xf>
    <xf borderId="1" fillId="4" fontId="3" numFmtId="0" xfId="0" applyAlignment="1" applyBorder="1" applyFont="1">
      <alignment horizontal="right" vertical="bottom"/>
    </xf>
    <xf borderId="1" fillId="4" fontId="2" numFmtId="0" xfId="0" applyAlignment="1" applyBorder="1" applyFont="1">
      <alignment horizontal="left" readingOrder="0"/>
    </xf>
    <xf borderId="1" fillId="3" fontId="2" numFmtId="9" xfId="0" applyAlignment="1" applyBorder="1" applyFont="1" applyNumberFormat="1">
      <alignment readingOrder="0"/>
    </xf>
    <xf borderId="1" fillId="3" fontId="10" numFmtId="0" xfId="0" applyAlignment="1" applyBorder="1" applyFont="1">
      <alignment horizontal="right" vertical="bottom"/>
    </xf>
    <xf borderId="1" fillId="3" fontId="3" numFmtId="9" xfId="0" applyAlignment="1" applyBorder="1" applyFont="1" applyNumberFormat="1">
      <alignment readingOrder="0" vertical="bottom"/>
    </xf>
    <xf borderId="0" fillId="0" fontId="2" numFmtId="164" xfId="0" applyFont="1" applyNumberFormat="1"/>
    <xf borderId="0" fillId="0" fontId="2" numFmtId="3" xfId="0" applyAlignment="1" applyFont="1" applyNumberFormat="1">
      <alignment horizontal="center" vertical="center"/>
    </xf>
    <xf borderId="0" fillId="0" fontId="2" numFmtId="3" xfId="0" applyAlignment="1" applyFont="1" applyNumberFormat="1">
      <alignment horizontal="center" readingOrder="0" vertical="center"/>
    </xf>
    <xf borderId="0" fillId="0" fontId="2" numFmtId="165" xfId="0" applyAlignment="1" applyFont="1" applyNumberFormat="1">
      <alignment horizontal="center" vertical="center"/>
    </xf>
    <xf borderId="2" fillId="0" fontId="2" numFmtId="3" xfId="0" applyAlignment="1" applyBorder="1" applyFont="1" applyNumberFormat="1">
      <alignment horizontal="center" vertical="center"/>
    </xf>
    <xf borderId="0" fillId="0" fontId="15" numFmtId="3" xfId="0" applyAlignment="1" applyFont="1" applyNumberFormat="1">
      <alignment horizontal="center"/>
    </xf>
    <xf borderId="0" fillId="0" fontId="15" numFmtId="4" xfId="0" applyAlignment="1" applyFont="1" applyNumberFormat="1">
      <alignment horizontal="center"/>
    </xf>
    <xf borderId="0" fillId="5" fontId="16" numFmtId="0" xfId="0" applyAlignment="1" applyFill="1" applyFont="1">
      <alignment horizontal="center" readingOrder="0"/>
    </xf>
    <xf borderId="0" fillId="5" fontId="16" numFmtId="0" xfId="0" applyAlignment="1" applyFont="1">
      <alignment horizontal="center" readingOrder="0"/>
    </xf>
    <xf borderId="0" fillId="5" fontId="16" numFmtId="164" xfId="0" applyAlignment="1" applyFont="1" applyNumberFormat="1">
      <alignment horizontal="center" readingOrder="0"/>
    </xf>
    <xf borderId="0" fillId="5" fontId="16" numFmtId="3" xfId="0" applyAlignment="1" applyFont="1" applyNumberFormat="1">
      <alignment horizontal="center" readingOrder="0"/>
    </xf>
    <xf borderId="0" fillId="5" fontId="16" numFmtId="3" xfId="0" applyAlignment="1" applyFont="1" applyNumberFormat="1">
      <alignment horizontal="center" readingOrder="0" vertical="center"/>
    </xf>
    <xf borderId="0" fillId="5" fontId="16" numFmtId="165" xfId="0" applyAlignment="1" applyFont="1" applyNumberFormat="1">
      <alignment horizontal="center" readingOrder="0" vertical="center"/>
    </xf>
    <xf borderId="2" fillId="5" fontId="16" numFmtId="3" xfId="0" applyAlignment="1" applyBorder="1" applyFont="1" applyNumberFormat="1">
      <alignment horizontal="center" readingOrder="0" vertical="center"/>
    </xf>
    <xf borderId="0" fillId="5" fontId="16" numFmtId="4" xfId="0" applyAlignment="1" applyFont="1" applyNumberFormat="1">
      <alignment horizontal="center" readingOrder="0"/>
    </xf>
    <xf borderId="3" fillId="0" fontId="17" numFmtId="3" xfId="0" applyAlignment="1" applyBorder="1" applyFont="1" applyNumberFormat="1">
      <alignment horizontal="center" readingOrder="0"/>
    </xf>
    <xf borderId="4" fillId="5" fontId="18" numFmtId="3" xfId="0" applyAlignment="1" applyBorder="1" applyFont="1" applyNumberFormat="1">
      <alignment horizontal="center"/>
    </xf>
    <xf borderId="4" fillId="5" fontId="18" numFmtId="164" xfId="0" applyAlignment="1" applyBorder="1" applyFont="1" applyNumberFormat="1">
      <alignment horizontal="center"/>
    </xf>
    <xf borderId="4" fillId="5" fontId="16" numFmtId="164" xfId="0" applyAlignment="1" applyBorder="1" applyFont="1" applyNumberFormat="1">
      <alignment horizontal="center" readingOrder="0" vertical="center"/>
    </xf>
    <xf borderId="4" fillId="5" fontId="16" numFmtId="3" xfId="0" applyAlignment="1" applyBorder="1" applyFont="1" applyNumberFormat="1">
      <alignment horizontal="center" readingOrder="0" vertical="center"/>
    </xf>
    <xf borderId="5" fillId="5" fontId="16" numFmtId="3" xfId="0" applyAlignment="1" applyBorder="1" applyFont="1" applyNumberFormat="1">
      <alignment horizontal="center" readingOrder="0" vertical="center"/>
    </xf>
    <xf borderId="5" fillId="5" fontId="16" numFmtId="3" xfId="0" applyAlignment="1" applyBorder="1" applyFont="1" applyNumberFormat="1">
      <alignment horizontal="center" vertical="center"/>
    </xf>
    <xf borderId="5" fillId="5" fontId="16" numFmtId="165" xfId="0" applyAlignment="1" applyBorder="1" applyFont="1" applyNumberFormat="1">
      <alignment horizontal="center" vertical="center"/>
    </xf>
    <xf borderId="5" fillId="5" fontId="16" numFmtId="3" xfId="0" applyAlignment="1" applyBorder="1" applyFont="1" applyNumberFormat="1">
      <alignment horizontal="center" readingOrder="0" shrinkToFit="0" vertical="center" wrapText="0"/>
    </xf>
    <xf borderId="6" fillId="5" fontId="16" numFmtId="3" xfId="0" applyAlignment="1" applyBorder="1" applyFont="1" applyNumberFormat="1">
      <alignment horizontal="center" readingOrder="0" vertical="center"/>
    </xf>
    <xf borderId="4" fillId="5" fontId="16" numFmtId="4" xfId="0" applyAlignment="1" applyBorder="1" applyFont="1" applyNumberFormat="1">
      <alignment horizontal="center" readingOrder="0" vertical="center"/>
    </xf>
    <xf borderId="3" fillId="0" fontId="3" numFmtId="3" xfId="0" applyAlignment="1" applyBorder="1" applyFont="1" applyNumberFormat="1">
      <alignment horizontal="center"/>
    </xf>
    <xf borderId="7" fillId="5" fontId="18" numFmtId="3" xfId="0" applyAlignment="1" applyBorder="1" applyFont="1" applyNumberFormat="1">
      <alignment horizontal="center"/>
    </xf>
    <xf borderId="7" fillId="5" fontId="3" numFmtId="164" xfId="0" applyBorder="1" applyFont="1" applyNumberFormat="1"/>
    <xf borderId="8" fillId="5" fontId="16" numFmtId="3" xfId="0" applyAlignment="1" applyBorder="1" applyFont="1" applyNumberFormat="1">
      <alignment horizontal="center" readingOrder="0" vertical="center"/>
    </xf>
    <xf borderId="9" fillId="5" fontId="16" numFmtId="3" xfId="0" applyAlignment="1" applyBorder="1" applyFont="1" applyNumberFormat="1">
      <alignment horizontal="center" readingOrder="0" vertical="center"/>
    </xf>
    <xf borderId="9" fillId="5" fontId="16" numFmtId="165" xfId="0" applyAlignment="1" applyBorder="1" applyFont="1" applyNumberFormat="1">
      <alignment horizontal="center" readingOrder="0" vertical="center"/>
    </xf>
    <xf borderId="10" fillId="5" fontId="16" numFmtId="4" xfId="0" applyAlignment="1" applyBorder="1" applyFont="1" applyNumberFormat="1">
      <alignment horizontal="center" readingOrder="0" vertical="center"/>
    </xf>
    <xf borderId="8" fillId="5" fontId="16" numFmtId="4" xfId="0" applyAlignment="1" applyBorder="1" applyFont="1" applyNumberFormat="1">
      <alignment horizontal="center" readingOrder="0" vertical="center"/>
    </xf>
    <xf borderId="3" fillId="0" fontId="3" numFmtId="4" xfId="0" applyAlignment="1" applyBorder="1" applyFont="1" applyNumberFormat="1">
      <alignment horizontal="center"/>
    </xf>
    <xf borderId="11" fillId="5" fontId="16" numFmtId="4" xfId="0" applyAlignment="1" applyBorder="1" applyFont="1" applyNumberFormat="1">
      <alignment horizontal="center" readingOrder="0" vertical="center"/>
    </xf>
    <xf borderId="0" fillId="5" fontId="16" numFmtId="4" xfId="0" applyAlignment="1" applyFont="1" applyNumberFormat="1">
      <alignment horizontal="center" readingOrder="0" vertical="center"/>
    </xf>
    <xf borderId="10" fillId="5" fontId="16" numFmtId="3" xfId="0" applyAlignment="1" applyBorder="1" applyFont="1" applyNumberFormat="1">
      <alignment horizontal="center" readingOrder="0" vertical="center"/>
    </xf>
    <xf borderId="11" fillId="5" fontId="16" numFmtId="3" xfId="0" applyAlignment="1" applyBorder="1" applyFont="1" applyNumberFormat="1">
      <alignment horizontal="center" readingOrder="0" vertical="center"/>
    </xf>
    <xf borderId="5" fillId="5" fontId="18" numFmtId="3" xfId="0" applyAlignment="1" applyBorder="1" applyFont="1" applyNumberFormat="1">
      <alignment horizontal="center"/>
    </xf>
    <xf borderId="12" fillId="5" fontId="18" numFmtId="4" xfId="0" applyAlignment="1" applyBorder="1" applyFont="1" applyNumberFormat="1">
      <alignment horizontal="center" vertical="bottom"/>
    </xf>
    <xf borderId="13" fillId="6" fontId="2" numFmtId="0" xfId="0" applyAlignment="1" applyBorder="1" applyFill="1" applyFont="1">
      <alignment horizontal="center" readingOrder="0" vertical="center"/>
    </xf>
    <xf borderId="14" fillId="6" fontId="2" numFmtId="164" xfId="0" applyAlignment="1" applyBorder="1" applyFont="1" applyNumberFormat="1">
      <alignment horizontal="center" readingOrder="0" vertical="center"/>
    </xf>
    <xf borderId="15" fillId="0" fontId="19" numFmtId="0" xfId="0" applyBorder="1" applyFont="1"/>
    <xf borderId="14" fillId="6" fontId="2" numFmtId="0" xfId="0" applyAlignment="1" applyBorder="1" applyFont="1">
      <alignment horizontal="center" readingOrder="0" textRotation="180" vertical="center"/>
    </xf>
    <xf borderId="11" fillId="6" fontId="2" numFmtId="3" xfId="0" applyAlignment="1" applyBorder="1" applyFont="1" applyNumberFormat="1">
      <alignment horizontal="center" readingOrder="0" vertical="center"/>
    </xf>
    <xf borderId="11" fillId="0" fontId="19" numFmtId="0" xfId="0" applyBorder="1" applyFont="1"/>
    <xf borderId="8" fillId="6" fontId="2" numFmtId="3" xfId="0" applyAlignment="1" applyBorder="1" applyFont="1" applyNumberFormat="1">
      <alignment horizontal="center" readingOrder="0" vertical="center"/>
    </xf>
    <xf borderId="10" fillId="0" fontId="19" numFmtId="0" xfId="0" applyBorder="1" applyFont="1"/>
    <xf borderId="10" fillId="6" fontId="2" numFmtId="4" xfId="0" applyAlignment="1" applyBorder="1" applyFont="1" applyNumberFormat="1">
      <alignment horizontal="center" readingOrder="0" vertical="center"/>
    </xf>
    <xf borderId="4" fillId="0" fontId="19" numFmtId="0" xfId="0" applyBorder="1" applyFont="1"/>
    <xf borderId="15" fillId="6" fontId="2" numFmtId="3" xfId="0" applyAlignment="1" applyBorder="1" applyFont="1" applyNumberFormat="1">
      <alignment horizontal="center" readingOrder="0" vertical="center"/>
    </xf>
    <xf borderId="0" fillId="6" fontId="2" numFmtId="4" xfId="0" applyAlignment="1" applyFont="1" applyNumberFormat="1">
      <alignment horizontal="center" readingOrder="0" vertical="center"/>
    </xf>
    <xf borderId="0" fillId="6" fontId="2" numFmtId="3" xfId="0" applyAlignment="1" applyFont="1" applyNumberFormat="1">
      <alignment horizontal="center" readingOrder="0" vertical="center"/>
    </xf>
    <xf borderId="16" fillId="0" fontId="19" numFmtId="0" xfId="0" applyBorder="1" applyFont="1"/>
    <xf borderId="3" fillId="0" fontId="19" numFmtId="0" xfId="0" applyBorder="1" applyFont="1"/>
    <xf borderId="9" fillId="0" fontId="19" numFmtId="0" xfId="0" applyBorder="1" applyFont="1"/>
    <xf borderId="17" fillId="0" fontId="19" numFmtId="0" xfId="0" applyBorder="1" applyFont="1"/>
    <xf borderId="7" fillId="0" fontId="19" numFmtId="0" xfId="0" applyBorder="1" applyFont="1"/>
    <xf borderId="8" fillId="7" fontId="2" numFmtId="3" xfId="0" applyAlignment="1" applyBorder="1" applyFill="1" applyFont="1" applyNumberFormat="1">
      <alignment horizontal="center" vertical="center"/>
    </xf>
    <xf borderId="18" fillId="7" fontId="2" numFmtId="3" xfId="0" applyAlignment="1" applyBorder="1" applyFont="1" applyNumberFormat="1">
      <alignment horizontal="center" vertical="center"/>
    </xf>
    <xf borderId="18" fillId="8" fontId="20" numFmtId="3" xfId="0" applyAlignment="1" applyBorder="1" applyFill="1" applyFont="1" applyNumberFormat="1">
      <alignment horizontal="center" vertical="center"/>
    </xf>
    <xf borderId="18" fillId="9" fontId="20" numFmtId="3" xfId="0" applyAlignment="1" applyBorder="1" applyFill="1" applyFont="1" applyNumberFormat="1">
      <alignment horizontal="center" vertical="center"/>
    </xf>
    <xf borderId="18" fillId="10" fontId="20" numFmtId="3" xfId="0" applyAlignment="1" applyBorder="1" applyFill="1" applyFont="1" applyNumberFormat="1">
      <alignment horizontal="center" vertical="center"/>
    </xf>
    <xf borderId="18" fillId="11" fontId="20" numFmtId="3" xfId="0" applyAlignment="1" applyBorder="1" applyFill="1" applyFont="1" applyNumberFormat="1">
      <alignment horizontal="center" vertical="center"/>
    </xf>
    <xf borderId="10" fillId="7" fontId="2" numFmtId="3" xfId="0" applyAlignment="1" applyBorder="1" applyFont="1" applyNumberFormat="1">
      <alignment horizontal="center" vertical="center"/>
    </xf>
    <xf borderId="19" fillId="5" fontId="2" numFmtId="4" xfId="0" applyAlignment="1" applyBorder="1" applyFont="1" applyNumberFormat="1">
      <alignment horizontal="center" readingOrder="0" vertical="center"/>
    </xf>
    <xf borderId="14" fillId="5" fontId="2" numFmtId="3" xfId="0" applyAlignment="1" applyBorder="1" applyFont="1" applyNumberFormat="1">
      <alignment horizontal="center" readingOrder="0" vertical="center"/>
    </xf>
    <xf borderId="11" fillId="5" fontId="15" numFmtId="3" xfId="0" applyAlignment="1" applyBorder="1" applyFont="1" applyNumberFormat="1">
      <alignment horizontal="center" readingOrder="0" vertical="center"/>
    </xf>
    <xf borderId="20" fillId="6" fontId="2" numFmtId="3" xfId="0" applyAlignment="1" applyBorder="1" applyFont="1" applyNumberFormat="1">
      <alignment horizontal="center" readingOrder="0" vertical="center"/>
    </xf>
    <xf borderId="0" fillId="7" fontId="2" numFmtId="4" xfId="0" applyAlignment="1" applyFont="1" applyNumberFormat="1">
      <alignment horizontal="center" readingOrder="0" vertical="center"/>
    </xf>
    <xf borderId="12" fillId="0" fontId="19" numFmtId="0" xfId="0" applyBorder="1" applyFont="1"/>
    <xf borderId="21" fillId="0" fontId="19" numFmtId="0" xfId="0" applyBorder="1" applyFont="1"/>
    <xf borderId="7" fillId="5" fontId="2" numFmtId="3" xfId="0" applyAlignment="1" applyBorder="1" applyFont="1" applyNumberFormat="1">
      <alignment horizontal="center" readingOrder="0" vertical="center"/>
    </xf>
    <xf borderId="5" fillId="5" fontId="2" numFmtId="3" xfId="0" applyAlignment="1" applyBorder="1" applyFont="1" applyNumberFormat="1">
      <alignment horizontal="center" readingOrder="0" vertical="center"/>
    </xf>
    <xf borderId="5" fillId="7" fontId="2" numFmtId="3" xfId="0" applyAlignment="1" applyBorder="1" applyFont="1" applyNumberFormat="1">
      <alignment horizontal="center" vertical="center"/>
    </xf>
    <xf borderId="22" fillId="7" fontId="2" numFmtId="3" xfId="0" applyAlignment="1" applyBorder="1" applyFont="1" applyNumberFormat="1">
      <alignment horizontal="center" vertical="center"/>
    </xf>
    <xf borderId="5" fillId="7" fontId="20" numFmtId="3" xfId="0" applyAlignment="1" applyBorder="1" applyFont="1" applyNumberFormat="1">
      <alignment horizontal="center" vertical="center"/>
    </xf>
    <xf borderId="8" fillId="7" fontId="20" numFmtId="3" xfId="0" applyAlignment="1" applyBorder="1" applyFont="1" applyNumberFormat="1">
      <alignment horizontal="center" vertical="center"/>
    </xf>
    <xf borderId="22" fillId="8" fontId="20" numFmtId="3" xfId="0" applyAlignment="1" applyBorder="1" applyFont="1" applyNumberFormat="1">
      <alignment horizontal="center" vertical="center"/>
    </xf>
    <xf borderId="5" fillId="8" fontId="3" numFmtId="3" xfId="0" applyAlignment="1" applyBorder="1" applyFont="1" applyNumberFormat="1">
      <alignment horizontal="center" vertical="center"/>
    </xf>
    <xf borderId="8" fillId="8" fontId="3" numFmtId="3" xfId="0" applyAlignment="1" applyBorder="1" applyFont="1" applyNumberFormat="1">
      <alignment horizontal="center" vertical="center"/>
    </xf>
    <xf borderId="5" fillId="8" fontId="20" numFmtId="3" xfId="0" applyAlignment="1" applyBorder="1" applyFont="1" applyNumberFormat="1">
      <alignment horizontal="center" vertical="center"/>
    </xf>
    <xf borderId="8" fillId="8" fontId="20" numFmtId="3" xfId="0" applyAlignment="1" applyBorder="1" applyFont="1" applyNumberFormat="1">
      <alignment horizontal="center" vertical="center"/>
    </xf>
    <xf borderId="10" fillId="8" fontId="21" numFmtId="3" xfId="0" applyAlignment="1" applyBorder="1" applyFont="1" applyNumberFormat="1">
      <alignment horizontal="center" readingOrder="0" vertical="center"/>
    </xf>
    <xf borderId="22" fillId="9" fontId="20" numFmtId="3" xfId="0" applyAlignment="1" applyBorder="1" applyFont="1" applyNumberFormat="1">
      <alignment horizontal="center" vertical="center"/>
    </xf>
    <xf borderId="10" fillId="9" fontId="3" numFmtId="3" xfId="0" applyAlignment="1" applyBorder="1" applyFont="1" applyNumberFormat="1">
      <alignment horizontal="center" vertical="center"/>
    </xf>
    <xf borderId="22" fillId="10" fontId="20" numFmtId="3" xfId="0" applyAlignment="1" applyBorder="1" applyFont="1" applyNumberFormat="1">
      <alignment horizontal="center" vertical="center"/>
    </xf>
    <xf borderId="8" fillId="10" fontId="20" numFmtId="3" xfId="0" applyAlignment="1" applyBorder="1" applyFont="1" applyNumberFormat="1">
      <alignment horizontal="center" vertical="center"/>
    </xf>
    <xf borderId="22" fillId="11" fontId="20" numFmtId="3" xfId="0" applyAlignment="1" applyBorder="1" applyFont="1" applyNumberFormat="1">
      <alignment horizontal="center" vertical="center"/>
    </xf>
    <xf borderId="8" fillId="11" fontId="20" numFmtId="3" xfId="0" applyAlignment="1" applyBorder="1" applyFont="1" applyNumberFormat="1">
      <alignment horizontal="center" vertical="center"/>
    </xf>
    <xf borderId="23" fillId="0" fontId="19" numFmtId="0" xfId="0" applyBorder="1" applyFont="1"/>
    <xf borderId="23" fillId="5" fontId="2" numFmtId="3" xfId="0" applyAlignment="1" applyBorder="1" applyFont="1" applyNumberFormat="1">
      <alignment horizontal="center" readingOrder="0" vertical="center"/>
    </xf>
    <xf borderId="0" fillId="5" fontId="2" numFmtId="3" xfId="0" applyAlignment="1" applyFont="1" applyNumberFormat="1">
      <alignment horizontal="center" readingOrder="0" vertical="center"/>
    </xf>
    <xf borderId="24" fillId="12" fontId="2" numFmtId="3" xfId="0" applyAlignment="1" applyBorder="1" applyFill="1" applyFont="1" applyNumberFormat="1">
      <alignment horizontal="right" readingOrder="0" vertical="center"/>
    </xf>
    <xf borderId="0" fillId="5" fontId="2" numFmtId="4" xfId="0" applyAlignment="1" applyFont="1" applyNumberFormat="1">
      <alignment horizontal="center" readingOrder="0" vertical="center"/>
    </xf>
    <xf borderId="25" fillId="12" fontId="2" numFmtId="3" xfId="0" applyAlignment="1" applyBorder="1" applyFont="1" applyNumberFormat="1">
      <alignment horizontal="right" readingOrder="0" vertical="center"/>
    </xf>
    <xf borderId="0" fillId="0" fontId="3" numFmtId="3" xfId="0" applyAlignment="1" applyFont="1" applyNumberFormat="1">
      <alignment horizontal="center"/>
    </xf>
    <xf borderId="13" fillId="3" fontId="3" numFmtId="0" xfId="0" applyAlignment="1" applyBorder="1" applyFont="1">
      <alignment horizontal="center" shrinkToFit="0" textRotation="180" vertical="center" wrapText="1"/>
    </xf>
    <xf borderId="4" fillId="3" fontId="22" numFmtId="166" xfId="0" applyAlignment="1" applyBorder="1" applyFont="1" applyNumberFormat="1">
      <alignment horizontal="center"/>
    </xf>
    <xf borderId="4" fillId="3" fontId="3" numFmtId="164" xfId="0" applyAlignment="1" applyBorder="1" applyFont="1" applyNumberFormat="1">
      <alignment horizontal="center"/>
    </xf>
    <xf borderId="4" fillId="3" fontId="3" numFmtId="0" xfId="0" applyAlignment="1" applyBorder="1" applyFont="1">
      <alignment horizontal="center" vertical="bottom"/>
    </xf>
    <xf borderId="5" fillId="0" fontId="2" numFmtId="0" xfId="0" applyAlignment="1" applyBorder="1" applyFont="1">
      <alignment horizontal="center" readingOrder="0"/>
    </xf>
    <xf borderId="5" fillId="0" fontId="2" numFmtId="3" xfId="0" applyAlignment="1" applyBorder="1" applyFont="1" applyNumberFormat="1">
      <alignment horizontal="center" readingOrder="0" vertical="center"/>
    </xf>
    <xf borderId="5" fillId="0" fontId="2" numFmtId="3" xfId="0" applyAlignment="1" applyBorder="1" applyFont="1" applyNumberFormat="1">
      <alignment readingOrder="0"/>
    </xf>
    <xf borderId="5" fillId="0" fontId="23" numFmtId="3" xfId="0" applyAlignment="1" applyBorder="1" applyFont="1" applyNumberFormat="1">
      <alignment horizontal="center" readingOrder="0" vertical="center"/>
    </xf>
    <xf borderId="5" fillId="0" fontId="24" numFmtId="3" xfId="0" applyAlignment="1" applyBorder="1" applyFont="1" applyNumberFormat="1">
      <alignment horizontal="center" readingOrder="0" vertical="center"/>
    </xf>
    <xf borderId="12" fillId="0" fontId="23" numFmtId="0" xfId="0" applyAlignment="1" applyBorder="1" applyFont="1">
      <alignment horizontal="center" readingOrder="0" vertical="center"/>
    </xf>
    <xf borderId="5" fillId="0" fontId="23" numFmtId="0" xfId="0" applyAlignment="1" applyBorder="1" applyFont="1">
      <alignment horizontal="center" readingOrder="0" vertical="center"/>
    </xf>
    <xf borderId="8" fillId="0" fontId="23" numFmtId="0" xfId="0" applyAlignment="1" applyBorder="1" applyFont="1">
      <alignment horizontal="center" readingOrder="0" vertical="center"/>
    </xf>
    <xf borderId="22" fillId="0" fontId="23" numFmtId="0" xfId="0" applyAlignment="1" applyBorder="1" applyFont="1">
      <alignment horizontal="center" readingOrder="0" vertical="center"/>
    </xf>
    <xf borderId="5" fillId="0" fontId="25" numFmtId="3" xfId="0" applyAlignment="1" applyBorder="1" applyFont="1" applyNumberFormat="1">
      <alignment horizontal="center" readingOrder="0" vertical="center"/>
    </xf>
    <xf borderId="8" fillId="0" fontId="23" numFmtId="3" xfId="0" applyAlignment="1" applyBorder="1" applyFont="1" applyNumberFormat="1">
      <alignment horizontal="center" readingOrder="0" vertical="center"/>
    </xf>
    <xf borderId="22" fillId="0" fontId="26" numFmtId="0" xfId="0" applyAlignment="1" applyBorder="1" applyFont="1">
      <alignment horizontal="center" readingOrder="0" vertical="center"/>
    </xf>
    <xf borderId="4" fillId="0" fontId="26" numFmtId="0" xfId="0" applyAlignment="1" applyBorder="1" applyFont="1">
      <alignment horizontal="center" readingOrder="0" vertical="center"/>
    </xf>
    <xf borderId="5" fillId="0" fontId="26" numFmtId="0" xfId="0" applyAlignment="1" applyBorder="1" applyFont="1">
      <alignment horizontal="center" readingOrder="0" vertical="center"/>
    </xf>
    <xf borderId="5" fillId="0" fontId="27" numFmtId="3" xfId="0" applyAlignment="1" applyBorder="1" applyFont="1" applyNumberFormat="1">
      <alignment horizontal="center" readingOrder="0" vertical="center"/>
    </xf>
    <xf borderId="12" fillId="0" fontId="27" numFmtId="3" xfId="0" applyAlignment="1" applyBorder="1" applyFont="1" applyNumberFormat="1">
      <alignment horizontal="center" readingOrder="0" vertical="center"/>
    </xf>
    <xf borderId="21" fillId="0" fontId="26" numFmtId="3" xfId="0" applyAlignment="1" applyBorder="1" applyFont="1" applyNumberFormat="1">
      <alignment horizontal="center" readingOrder="0" vertical="center"/>
    </xf>
    <xf borderId="8" fillId="0" fontId="26" numFmtId="3" xfId="0" applyAlignment="1" applyBorder="1" applyFont="1" applyNumberFormat="1">
      <alignment horizontal="center" readingOrder="0" vertical="center"/>
    </xf>
    <xf borderId="8" fillId="0" fontId="27" numFmtId="3" xfId="0" applyAlignment="1" applyBorder="1" applyFont="1" applyNumberFormat="1">
      <alignment horizontal="center" readingOrder="0" vertical="center"/>
    </xf>
    <xf borderId="10" fillId="0" fontId="28" numFmtId="3" xfId="0" applyAlignment="1" applyBorder="1" applyFont="1" applyNumberFormat="1">
      <alignment horizontal="center" readingOrder="0" vertical="center"/>
    </xf>
    <xf borderId="10" fillId="0" fontId="29" numFmtId="3" xfId="0" applyAlignment="1" applyBorder="1" applyFont="1" applyNumberFormat="1">
      <alignment horizontal="center" readingOrder="0" vertical="center"/>
    </xf>
    <xf borderId="22" fillId="0" fontId="30" numFmtId="0" xfId="0" applyAlignment="1" applyBorder="1" applyFont="1">
      <alignment horizontal="center" readingOrder="0" vertical="center"/>
    </xf>
    <xf borderId="8" fillId="0" fontId="30" numFmtId="0" xfId="0" applyAlignment="1" applyBorder="1" applyFont="1">
      <alignment horizontal="center" readingOrder="0" vertical="center"/>
    </xf>
    <xf borderId="18" fillId="0" fontId="30" numFmtId="0" xfId="0" applyAlignment="1" applyBorder="1" applyFont="1">
      <alignment horizontal="center" readingOrder="0" vertical="center"/>
    </xf>
    <xf borderId="22" fillId="0" fontId="31" numFmtId="0" xfId="0" applyAlignment="1" applyBorder="1" applyFont="1">
      <alignment horizontal="center" readingOrder="0" vertical="center"/>
    </xf>
    <xf borderId="8" fillId="0" fontId="31" numFmtId="0" xfId="0" applyAlignment="1" applyBorder="1" applyFont="1">
      <alignment horizontal="center" readingOrder="0" vertical="center"/>
    </xf>
    <xf borderId="8" fillId="0" fontId="15" numFmtId="3" xfId="0" applyAlignment="1" applyBorder="1" applyFont="1" applyNumberFormat="1">
      <alignment horizontal="center" readingOrder="0" vertical="center"/>
    </xf>
    <xf borderId="18" fillId="0" fontId="32" numFmtId="0" xfId="0" applyAlignment="1" applyBorder="1" applyFont="1">
      <alignment horizontal="center" readingOrder="0" vertical="center"/>
    </xf>
    <xf borderId="22" fillId="0" fontId="32" numFmtId="0" xfId="0" applyAlignment="1" applyBorder="1" applyFont="1">
      <alignment horizontal="center" readingOrder="0" vertical="center"/>
    </xf>
    <xf borderId="8" fillId="0" fontId="32" numFmtId="0" xfId="0" applyAlignment="1" applyBorder="1" applyFont="1">
      <alignment horizontal="center" readingOrder="0" vertical="center"/>
    </xf>
    <xf borderId="10" fillId="0" fontId="32" numFmtId="0" xfId="0" applyAlignment="1" applyBorder="1" applyFont="1">
      <alignment horizontal="center" readingOrder="0" vertical="center"/>
    </xf>
    <xf borderId="18" fillId="0" fontId="23" numFmtId="3" xfId="0" applyAlignment="1" applyBorder="1" applyFont="1" applyNumberFormat="1">
      <alignment horizontal="center" readingOrder="0" vertical="center"/>
    </xf>
    <xf borderId="18" fillId="3" fontId="3" numFmtId="4" xfId="0" applyAlignment="1" applyBorder="1" applyFont="1" applyNumberFormat="1">
      <alignment horizontal="right" vertical="bottom"/>
    </xf>
    <xf borderId="8" fillId="3" fontId="3" numFmtId="4" xfId="0" applyAlignment="1" applyBorder="1" applyFont="1" applyNumberFormat="1">
      <alignment horizontal="right" vertical="bottom"/>
    </xf>
    <xf borderId="8" fillId="3" fontId="3" numFmtId="3" xfId="0" applyAlignment="1" applyBorder="1" applyFont="1" applyNumberFormat="1">
      <alignment horizontal="right" vertical="bottom"/>
    </xf>
    <xf borderId="22" fillId="3" fontId="3" numFmtId="3" xfId="0" applyAlignment="1" applyBorder="1" applyFont="1" applyNumberFormat="1">
      <alignment horizontal="right" vertical="bottom"/>
    </xf>
    <xf borderId="17" fillId="3" fontId="3" numFmtId="3" xfId="0" applyAlignment="1" applyBorder="1" applyFont="1" applyNumberFormat="1">
      <alignment horizontal="right" vertical="bottom"/>
    </xf>
    <xf borderId="26" fillId="3" fontId="3" numFmtId="3" xfId="0" applyAlignment="1" applyBorder="1" applyFont="1" applyNumberFormat="1">
      <alignment vertical="bottom"/>
    </xf>
    <xf borderId="3" fillId="3" fontId="3" numFmtId="4" xfId="0" applyAlignment="1" applyBorder="1" applyFont="1" applyNumberFormat="1">
      <alignment horizontal="right" vertical="bottom"/>
    </xf>
    <xf borderId="3" fillId="3" fontId="3" numFmtId="3" xfId="0" applyAlignment="1" applyBorder="1" applyFont="1" applyNumberFormat="1">
      <alignment horizontal="right" vertical="bottom"/>
    </xf>
    <xf borderId="3" fillId="0" fontId="3" numFmtId="3" xfId="0" applyAlignment="1" applyBorder="1" applyFont="1" applyNumberFormat="1">
      <alignment horizontal="right" vertical="bottom"/>
    </xf>
    <xf borderId="16" fillId="3" fontId="3" numFmtId="0" xfId="0" applyAlignment="1" applyBorder="1" applyFont="1">
      <alignment horizontal="center" shrinkToFit="0" textRotation="180" vertical="center" wrapText="1"/>
    </xf>
    <xf borderId="7" fillId="4" fontId="22" numFmtId="166" xfId="0" applyAlignment="1" applyBorder="1" applyFont="1" applyNumberFormat="1">
      <alignment horizontal="center"/>
    </xf>
    <xf borderId="7" fillId="4" fontId="3" numFmtId="164" xfId="0" applyAlignment="1" applyBorder="1" applyFont="1" applyNumberFormat="1">
      <alignment horizontal="center"/>
    </xf>
    <xf borderId="7" fillId="4" fontId="3" numFmtId="0" xfId="0" applyAlignment="1" applyBorder="1" applyFont="1">
      <alignment horizontal="center" vertical="bottom"/>
    </xf>
    <xf borderId="18" fillId="0" fontId="23" numFmtId="3" xfId="0" applyAlignment="1" applyBorder="1" applyFont="1" applyNumberFormat="1">
      <alignment horizontal="center" vertical="center"/>
    </xf>
    <xf borderId="0" fillId="0" fontId="3" numFmtId="3" xfId="0" applyAlignment="1" applyFont="1" applyNumberFormat="1">
      <alignment horizontal="right" vertical="bottom"/>
    </xf>
    <xf borderId="7" fillId="3" fontId="22" numFmtId="166" xfId="0" applyAlignment="1" applyBorder="1" applyFont="1" applyNumberFormat="1">
      <alignment horizontal="center"/>
    </xf>
    <xf borderId="7" fillId="3" fontId="3" numFmtId="164" xfId="0" applyAlignment="1" applyBorder="1" applyFont="1" applyNumberFormat="1">
      <alignment horizontal="center"/>
    </xf>
    <xf borderId="7" fillId="3" fontId="3" numFmtId="0" xfId="0" applyAlignment="1" applyBorder="1" applyFont="1">
      <alignment horizontal="center" vertical="bottom"/>
    </xf>
    <xf borderId="7" fillId="0" fontId="22" numFmtId="164" xfId="0" applyAlignment="1" applyBorder="1" applyFont="1" applyNumberFormat="1">
      <alignment horizontal="center"/>
    </xf>
    <xf borderId="7" fillId="3" fontId="3" numFmtId="164" xfId="0" applyAlignment="1" applyBorder="1" applyFont="1" applyNumberFormat="1">
      <alignment horizontal="center" readingOrder="0" shrinkToFit="0" vertical="bottom" wrapText="1"/>
    </xf>
    <xf borderId="7" fillId="3" fontId="3" numFmtId="0" xfId="0" applyAlignment="1" applyBorder="1" applyFont="1">
      <alignment horizontal="center" vertical="bottom"/>
    </xf>
    <xf borderId="7" fillId="4" fontId="3" numFmtId="164" xfId="0" applyAlignment="1" applyBorder="1" applyFont="1" applyNumberFormat="1">
      <alignment horizontal="center" readingOrder="0" vertical="bottom"/>
    </xf>
    <xf borderId="0" fillId="4" fontId="3" numFmtId="0" xfId="0" applyAlignment="1" applyFont="1">
      <alignment horizontal="center" vertical="bottom"/>
    </xf>
    <xf borderId="7" fillId="3" fontId="3" numFmtId="164" xfId="0" applyAlignment="1" applyBorder="1" applyFont="1" applyNumberFormat="1">
      <alignment horizontal="center" readingOrder="0" vertical="bottom"/>
    </xf>
    <xf borderId="0" fillId="3" fontId="3" numFmtId="0" xfId="0" applyAlignment="1" applyFont="1">
      <alignment horizontal="center" vertical="bottom"/>
    </xf>
    <xf borderId="7" fillId="3" fontId="3" numFmtId="164" xfId="0" applyAlignment="1" applyBorder="1" applyFont="1" applyNumberFormat="1">
      <alignment horizontal="center" vertical="bottom"/>
    </xf>
    <xf borderId="7" fillId="4" fontId="3" numFmtId="164" xfId="0" applyAlignment="1" applyBorder="1" applyFont="1" applyNumberFormat="1">
      <alignment horizontal="center" vertical="bottom"/>
    </xf>
    <xf borderId="7" fillId="4" fontId="3" numFmtId="0" xfId="0" applyAlignment="1" applyBorder="1" applyFont="1">
      <alignment horizontal="center" vertical="bottom"/>
    </xf>
    <xf borderId="27" fillId="3" fontId="3" numFmtId="0" xfId="0" applyAlignment="1" applyBorder="1" applyFont="1">
      <alignment horizontal="center" vertical="bottom"/>
    </xf>
    <xf borderId="27" fillId="4" fontId="3" numFmtId="0" xfId="0" applyAlignment="1" applyBorder="1" applyFont="1">
      <alignment horizontal="center" vertical="bottom"/>
    </xf>
    <xf borderId="16" fillId="0" fontId="3" numFmtId="0" xfId="0" applyAlignment="1" applyBorder="1" applyFont="1">
      <alignment horizontal="center" readingOrder="0" shrinkToFit="0" textRotation="180" vertical="center" wrapText="1"/>
    </xf>
    <xf borderId="7" fillId="0" fontId="3" numFmtId="164" xfId="0" applyAlignment="1" applyBorder="1" applyFont="1" applyNumberFormat="1">
      <alignment horizontal="center" shrinkToFit="0" vertical="bottom" wrapText="1"/>
    </xf>
    <xf borderId="26" fillId="0" fontId="3" numFmtId="3" xfId="0" applyAlignment="1" applyBorder="1" applyFont="1" applyNumberFormat="1">
      <alignment vertical="bottom"/>
    </xf>
    <xf borderId="3" fillId="0" fontId="3" numFmtId="3" xfId="0" applyAlignment="1" applyBorder="1" applyFont="1" applyNumberFormat="1">
      <alignment horizontal="right" vertical="bottom"/>
    </xf>
    <xf borderId="7" fillId="0" fontId="3" numFmtId="164" xfId="0" applyAlignment="1" applyBorder="1" applyFont="1" applyNumberFormat="1">
      <alignment horizontal="center" vertical="bottom"/>
    </xf>
    <xf borderId="7" fillId="0" fontId="3" numFmtId="164" xfId="0" applyAlignment="1" applyBorder="1" applyFont="1" applyNumberFormat="1">
      <alignment horizontal="center" readingOrder="0" vertical="bottom"/>
    </xf>
    <xf borderId="7" fillId="4" fontId="3" numFmtId="0" xfId="0" applyAlignment="1" applyBorder="1" applyFont="1">
      <alignment horizontal="center" readingOrder="0" vertical="bottom"/>
    </xf>
    <xf borderId="7" fillId="0" fontId="3" numFmtId="164" xfId="0" applyAlignment="1" applyBorder="1" applyFont="1" applyNumberFormat="1">
      <alignment horizontal="center" readingOrder="0"/>
    </xf>
    <xf borderId="7" fillId="0" fontId="3" numFmtId="0" xfId="0" applyAlignment="1" applyBorder="1" applyFont="1">
      <alignment horizontal="center" readingOrder="0" vertical="bottom"/>
    </xf>
    <xf borderId="7" fillId="0" fontId="3" numFmtId="0" xfId="0" applyAlignment="1" applyBorder="1" applyFont="1">
      <alignment horizontal="center" vertical="bottom"/>
    </xf>
    <xf borderId="5" fillId="0" fontId="23" numFmtId="0" xfId="0" applyAlignment="1" applyBorder="1" applyFont="1">
      <alignment horizontal="right" readingOrder="0" vertical="center"/>
    </xf>
    <xf borderId="12" fillId="0" fontId="3" numFmtId="0" xfId="0" applyAlignment="1" applyBorder="1" applyFont="1">
      <alignment horizontal="center" readingOrder="0" shrinkToFit="0" textRotation="180" vertical="center" wrapText="1"/>
    </xf>
    <xf borderId="7" fillId="0" fontId="3" numFmtId="0" xfId="0" applyAlignment="1" applyBorder="1" applyFont="1">
      <alignment horizontal="center" readingOrder="0" vertical="bottom"/>
    </xf>
    <xf borderId="7" fillId="0" fontId="3" numFmtId="164" xfId="0" applyAlignment="1" applyBorder="1" applyFont="1" applyNumberFormat="1">
      <alignment horizontal="center"/>
    </xf>
    <xf borderId="7" fillId="0" fontId="3" numFmtId="0" xfId="0" applyAlignment="1" applyBorder="1" applyFont="1">
      <alignment horizontal="center" vertical="bottom"/>
    </xf>
    <xf borderId="7" fillId="12" fontId="3" numFmtId="0" xfId="0" applyAlignment="1" applyBorder="1" applyFont="1">
      <alignment horizontal="center" vertical="bottom"/>
    </xf>
    <xf borderId="28" fillId="2" fontId="3" numFmtId="0" xfId="0" applyAlignment="1" applyBorder="1" applyFont="1">
      <alignment horizontal="center" vertical="bottom"/>
    </xf>
    <xf borderId="29" fillId="2" fontId="3" numFmtId="0" xfId="0" applyAlignment="1" applyBorder="1" applyFont="1">
      <alignment horizontal="center" readingOrder="0" vertical="bottom"/>
    </xf>
    <xf borderId="29" fillId="2" fontId="3" numFmtId="0" xfId="0" applyAlignment="1" applyBorder="1" applyFont="1">
      <alignment horizontal="center" vertical="bottom"/>
    </xf>
    <xf borderId="1" fillId="13" fontId="2" numFmtId="0" xfId="0" applyAlignment="1" applyBorder="1" applyFill="1" applyFont="1">
      <alignment readingOrder="0" vertical="center"/>
    </xf>
    <xf borderId="1" fillId="0" fontId="2" numFmtId="0" xfId="0" applyAlignment="1" applyBorder="1" applyFont="1">
      <alignment horizontal="center" readingOrder="0" vertical="center"/>
    </xf>
    <xf borderId="1" fillId="13" fontId="2" numFmtId="0" xfId="0" applyAlignment="1" applyBorder="1" applyFont="1">
      <alignment readingOrder="0" shrinkToFit="0" wrapText="1"/>
    </xf>
    <xf borderId="30" fillId="0" fontId="2" numFmtId="0" xfId="0" applyAlignment="1" applyBorder="1" applyFont="1">
      <alignment horizontal="center" readingOrder="0"/>
    </xf>
    <xf borderId="30" fillId="2" fontId="2" numFmtId="0" xfId="0" applyAlignment="1" applyBorder="1" applyFont="1">
      <alignment horizontal="center" readingOrder="0"/>
    </xf>
    <xf borderId="5" fillId="13" fontId="2" numFmtId="0" xfId="0" applyAlignment="1" applyBorder="1" applyFont="1">
      <alignment readingOrder="0" vertical="center"/>
    </xf>
    <xf borderId="5" fillId="0" fontId="2" numFmtId="0" xfId="0" applyAlignment="1" applyBorder="1" applyFont="1">
      <alignment readingOrder="0"/>
    </xf>
    <xf borderId="5" fillId="13" fontId="2" numFmtId="0" xfId="0" applyAlignment="1" applyBorder="1" applyFont="1">
      <alignment readingOrder="0" shrinkToFit="0" wrapText="1"/>
    </xf>
    <xf borderId="13" fillId="13" fontId="2" numFmtId="0" xfId="0" applyAlignment="1" applyBorder="1" applyFont="1">
      <alignment readingOrder="0" vertical="center"/>
    </xf>
    <xf borderId="13" fillId="13" fontId="2" numFmtId="0" xfId="0" applyAlignment="1" applyBorder="1" applyFont="1">
      <alignment horizontal="center" readingOrder="0" vertical="center"/>
    </xf>
    <xf borderId="13" fillId="13" fontId="2" numFmtId="0" xfId="0" applyAlignment="1" applyBorder="1" applyFont="1">
      <alignment readingOrder="0" shrinkToFit="0" vertical="center" wrapText="1"/>
    </xf>
    <xf borderId="5" fillId="7" fontId="33" numFmtId="3" xfId="0" applyAlignment="1" applyBorder="1" applyFont="1" applyNumberFormat="1">
      <alignment horizontal="center" readingOrder="0"/>
    </xf>
    <xf borderId="5" fillId="8" fontId="21" numFmtId="3" xfId="0" applyAlignment="1" applyBorder="1" applyFont="1" applyNumberFormat="1">
      <alignment horizontal="center" readingOrder="0"/>
    </xf>
    <xf borderId="5" fillId="9" fontId="34" numFmtId="3" xfId="0" applyAlignment="1" applyBorder="1" applyFont="1" applyNumberFormat="1">
      <alignment horizontal="center" readingOrder="0"/>
    </xf>
    <xf borderId="5" fillId="10" fontId="35" numFmtId="3" xfId="0" applyAlignment="1" applyBorder="1" applyFont="1" applyNumberFormat="1">
      <alignment horizontal="center" readingOrder="0"/>
    </xf>
    <xf borderId="5" fillId="11" fontId="36" numFmtId="3" xfId="0" applyAlignment="1" applyBorder="1" applyFont="1" applyNumberFormat="1">
      <alignment horizontal="center" readingOrder="0"/>
    </xf>
    <xf borderId="0" fillId="11" fontId="36" numFmtId="3" xfId="0" applyAlignment="1" applyFont="1" applyNumberFormat="1">
      <alignment horizontal="center" readingOrder="0"/>
    </xf>
    <xf borderId="5" fillId="7" fontId="2" numFmtId="3" xfId="0" applyAlignment="1" applyBorder="1" applyFont="1" applyNumberFormat="1">
      <alignment horizontal="center"/>
    </xf>
    <xf borderId="5" fillId="8" fontId="20" numFmtId="3" xfId="0" applyAlignment="1" applyBorder="1" applyFont="1" applyNumberFormat="1">
      <alignment horizontal="center"/>
    </xf>
    <xf borderId="5" fillId="9" fontId="20" numFmtId="3" xfId="0" applyAlignment="1" applyBorder="1" applyFont="1" applyNumberFormat="1">
      <alignment horizontal="center"/>
    </xf>
    <xf borderId="5" fillId="10" fontId="20" numFmtId="3" xfId="0" applyAlignment="1" applyBorder="1" applyFont="1" applyNumberFormat="1">
      <alignment horizontal="center"/>
    </xf>
    <xf borderId="5" fillId="11" fontId="20" numFmtId="3" xfId="0" applyAlignment="1" applyBorder="1" applyFont="1" applyNumberFormat="1">
      <alignment horizontal="center"/>
    </xf>
    <xf borderId="5" fillId="13" fontId="37" numFmtId="0" xfId="0" applyAlignment="1" applyBorder="1" applyFont="1">
      <alignment readingOrder="0"/>
    </xf>
    <xf borderId="5" fillId="13" fontId="38" numFmtId="0" xfId="0" applyAlignment="1" applyBorder="1" applyFont="1">
      <alignment readingOrder="0"/>
    </xf>
    <xf borderId="5" fillId="13" fontId="39" numFmtId="0" xfId="0" applyAlignment="1" applyBorder="1" applyFont="1">
      <alignment readingOrder="0"/>
    </xf>
    <xf borderId="5" fillId="13" fontId="40" numFmtId="0" xfId="0" applyAlignment="1" applyBorder="1" applyFont="1">
      <alignment readingOrder="0"/>
    </xf>
    <xf borderId="5" fillId="13" fontId="41" numFmtId="0" xfId="0" applyAlignment="1" applyBorder="1" applyFont="1">
      <alignment readingOrder="0"/>
    </xf>
    <xf borderId="0" fillId="13" fontId="41" numFmtId="0" xfId="0" applyAlignment="1" applyFont="1">
      <alignment readingOrder="0"/>
    </xf>
    <xf borderId="0" fillId="13" fontId="42" numFmtId="0" xfId="0" applyAlignment="1" applyFont="1">
      <alignment readingOrder="0"/>
    </xf>
    <xf borderId="0" fillId="13" fontId="42" numFmtId="0" xfId="0" applyAlignment="1" applyFont="1">
      <alignment readingOrder="0"/>
    </xf>
    <xf borderId="31" fillId="2" fontId="2" numFmtId="0" xfId="0" applyAlignment="1" applyBorder="1" applyFont="1">
      <alignment horizontal="center" readingOrder="0"/>
    </xf>
    <xf borderId="31" fillId="13" fontId="2" numFmtId="0" xfId="0" applyAlignment="1" applyBorder="1" applyFont="1">
      <alignment readingOrder="0"/>
    </xf>
    <xf borderId="31" fillId="0" fontId="2" numFmtId="0" xfId="0" applyAlignment="1" applyBorder="1" applyFont="1">
      <alignment horizontal="left" readingOrder="0"/>
    </xf>
    <xf borderId="0" fillId="0" fontId="42" numFmtId="0" xfId="0" applyAlignment="1" applyFont="1">
      <alignment readingOrder="0"/>
    </xf>
    <xf borderId="0" fillId="0" fontId="42" numFmtId="0" xfId="0" applyAlignment="1" applyFont="1">
      <alignment readingOrder="0"/>
    </xf>
    <xf borderId="8" fillId="2" fontId="2" numFmtId="0" xfId="0" applyAlignment="1" applyBorder="1" applyFont="1">
      <alignment horizontal="center" readingOrder="0"/>
    </xf>
    <xf borderId="5" fillId="13" fontId="2" numFmtId="0" xfId="0" applyAlignment="1" applyBorder="1" applyFont="1">
      <alignment readingOrder="0"/>
    </xf>
    <xf borderId="0" fillId="0" fontId="43" numFmtId="0" xfId="0" applyAlignment="1" applyFont="1">
      <alignment horizontal="right" readingOrder="0"/>
    </xf>
    <xf borderId="0" fillId="0" fontId="2" numFmtId="0" xfId="0" applyAlignment="1" applyFont="1">
      <alignment horizontal="right" readingOrder="0"/>
    </xf>
    <xf borderId="0" fillId="0" fontId="2" numFmtId="2" xfId="0" applyAlignment="1" applyFont="1" applyNumberFormat="1">
      <alignment horizontal="left" readingOrder="0"/>
    </xf>
    <xf borderId="0" fillId="0" fontId="44" numFmtId="0" xfId="0" applyFont="1"/>
    <xf borderId="1" fillId="0" fontId="2" numFmtId="0" xfId="0" applyAlignment="1" applyBorder="1" applyFont="1">
      <alignment horizontal="center" readingOrder="0"/>
    </xf>
    <xf borderId="1" fillId="0" fontId="2" numFmtId="164" xfId="0" applyAlignment="1" applyBorder="1" applyFont="1" applyNumberFormat="1">
      <alignment horizontal="center" readingOrder="0"/>
    </xf>
    <xf borderId="0" fillId="0" fontId="2" numFmtId="0" xfId="0" applyAlignment="1" applyFont="1">
      <alignment readingOrder="0"/>
    </xf>
    <xf borderId="1" fillId="0" fontId="2" numFmtId="164" xfId="0" applyAlignment="1" applyBorder="1" applyFont="1" applyNumberFormat="1">
      <alignment horizontal="center" readingOrder="0"/>
    </xf>
    <xf borderId="1" fillId="0" fontId="2" numFmtId="164" xfId="0" applyAlignment="1" applyBorder="1" applyFont="1" applyNumberFormat="1">
      <alignment horizontal="center"/>
    </xf>
    <xf borderId="1" fillId="0" fontId="2" numFmtId="164" xfId="0" applyAlignment="1" applyBorder="1" applyFont="1" applyNumberFormat="1">
      <alignment horizontal="center"/>
    </xf>
    <xf borderId="1" fillId="0" fontId="2" numFmtId="0" xfId="0" applyAlignment="1" applyBorder="1" applyFont="1">
      <alignment horizontal="center"/>
    </xf>
    <xf borderId="1" fillId="0" fontId="2" numFmtId="0" xfId="0" applyAlignment="1" applyBorder="1" applyFont="1">
      <alignment horizontal="center"/>
    </xf>
  </cellXfs>
  <cellStyles count="1">
    <cellStyle xfId="0" name="Normal" builtinId="0"/>
  </cellStyles>
  <dxfs count="12">
    <dxf>
      <font/>
      <fill>
        <patternFill patternType="none"/>
      </fill>
      <border/>
    </dxf>
    <dxf>
      <font>
        <color rgb="FFCC0000"/>
      </font>
      <fill>
        <patternFill patternType="none"/>
      </fill>
      <border/>
    </dxf>
    <dxf>
      <font>
        <color rgb="FF9900FF"/>
      </font>
      <fill>
        <patternFill patternType="none"/>
      </fill>
      <border/>
    </dxf>
    <dxf>
      <font>
        <color rgb="FFE69138"/>
      </font>
      <fill>
        <patternFill patternType="none"/>
      </fill>
      <border/>
    </dxf>
    <dxf>
      <font>
        <color rgb="FFF1C232"/>
      </font>
      <fill>
        <patternFill patternType="none"/>
      </fill>
      <border/>
    </dxf>
    <dxf>
      <font/>
      <fill>
        <patternFill patternType="solid">
          <fgColor rgb="FFF3F3F3"/>
          <bgColor rgb="FFF3F3F3"/>
        </patternFill>
      </fill>
      <border/>
    </dxf>
    <dxf>
      <font/>
      <fill>
        <patternFill patternType="solid">
          <fgColor rgb="FFFFFFFF"/>
          <bgColor rgb="FFFFFFFF"/>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CFE2F3"/>
          <bgColor rgb="FFCFE2F3"/>
        </patternFill>
      </fill>
      <border/>
    </dxf>
    <dxf>
      <font/>
      <fill>
        <patternFill patternType="solid">
          <fgColor rgb="FFD9D9D9"/>
          <bgColor rgb="FFD9D9D9"/>
        </patternFill>
      </fill>
      <border/>
    </dxf>
    <dxf>
      <font/>
      <fill>
        <patternFill patternType="solid">
          <fgColor rgb="FFBDBDBD"/>
          <bgColor rgb="FFBDBDBD"/>
        </patternFill>
      </fill>
      <border/>
    </dxf>
  </dxfs>
  <tableStyles count="13">
    <tableStyle count="2" pivot="0" name="Phase 1-style">
      <tableStyleElement dxfId="5" type="firstRowStripe"/>
      <tableStyleElement dxfId="6" type="secondRowStripe"/>
    </tableStyle>
    <tableStyle count="2" pivot="0" name="Phase 1-style 2">
      <tableStyleElement dxfId="6" type="firstRowStripe"/>
      <tableStyleElement dxfId="5" type="secondRowStripe"/>
    </tableStyle>
    <tableStyle count="2" pivot="0" name="Phase 2-style">
      <tableStyleElement dxfId="5" type="firstRowStripe"/>
      <tableStyleElement dxfId="6" type="secondRowStripe"/>
    </tableStyle>
    <tableStyle count="2" pivot="0" name="Phase 2-style 2">
      <tableStyleElement dxfId="6" type="firstRowStripe"/>
      <tableStyleElement dxfId="5" type="secondRowStripe"/>
    </tableStyle>
    <tableStyle count="2" pivot="0" name="Phase 3-style">
      <tableStyleElement dxfId="5" type="firstRowStripe"/>
      <tableStyleElement dxfId="6" type="secondRowStripe"/>
    </tableStyle>
    <tableStyle count="2" pivot="0" name="Phase 3-style 2">
      <tableStyleElement dxfId="6" type="firstRowStripe"/>
      <tableStyleElement dxfId="5" type="secondRowStripe"/>
    </tableStyle>
    <tableStyle count="2" pivot="0" name="Phase 4-style">
      <tableStyleElement dxfId="5" type="firstRowStripe"/>
      <tableStyleElement dxfId="6" type="secondRowStripe"/>
    </tableStyle>
    <tableStyle count="2" pivot="0" name="Phase 4-style 2">
      <tableStyleElement dxfId="6" type="firstRowStripe"/>
      <tableStyleElement dxfId="5" type="secondRowStripe"/>
    </tableStyle>
    <tableStyle count="2" pivot="0" name="Phase 5-style">
      <tableStyleElement dxfId="5" type="firstRowStripe"/>
      <tableStyleElement dxfId="6" type="secondRowStripe"/>
    </tableStyle>
    <tableStyle count="2" pivot="0" name="Phase 5-style 2">
      <tableStyleElement dxfId="6" type="firstRowStripe"/>
      <tableStyleElement dxfId="5" type="secondRowStripe"/>
    </tableStyle>
    <tableStyle count="3" pivot="0" name="Option-style">
      <tableStyleElement dxfId="11" type="headerRow"/>
      <tableStyleElement dxfId="6" type="firstRowStripe"/>
      <tableStyleElement dxfId="5" type="secondRowStripe"/>
    </tableStyle>
    <tableStyle count="3" pivot="0" name="Option-style 2">
      <tableStyleElement dxfId="11" type="headerRow"/>
      <tableStyleElement dxfId="6" type="firstRowStripe"/>
      <tableStyleElement dxfId="5" type="secondRowStripe"/>
    </tableStyle>
    <tableStyle count="3" pivot="0" name="Phase Map-style">
      <tableStyleElement dxfId="11" type="headerRow"/>
      <tableStyleElement dxfId="6" type="firstRowStripe"/>
      <tableStyleElement dxfId="5"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K4:FN21" displayName="Table_1" name="Table_1" id="1">
  <tableColumns count="16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s>
  <tableStyleInfo name="Phase 1-style" showColumnStripes="0" showFirstColumn="1" showLastColumn="1" showRowStripes="1"/>
</table>
</file>

<file path=xl/tables/table2.xml><?xml version="1.0" encoding="utf-8"?>
<table xmlns="http://schemas.openxmlformats.org/spreadsheetml/2006/main" headerRowCount="0" ref="B25:FN46" displayName="Table_2" name="Table_2" id="2">
  <tableColumns count="16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s>
  <tableStyleInfo name="Phase 1-style 2" showColumnStripes="0" showFirstColumn="1" showLastColumn="1" showRowStripes="1"/>
</table>
</file>

<file path=xl/tables/table3.xml><?xml version="1.0" encoding="utf-8"?>
<table xmlns="http://schemas.openxmlformats.org/spreadsheetml/2006/main" headerRowCount="0" ref="K4:FN21" displayName="Table_3" name="Table_3" id="3">
  <tableColumns count="16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s>
  <tableStyleInfo name="Phase 2-style" showColumnStripes="0" showFirstColumn="1" showLastColumn="1" showRowStripes="1"/>
</table>
</file>

<file path=xl/tables/table4.xml><?xml version="1.0" encoding="utf-8"?>
<table xmlns="http://schemas.openxmlformats.org/spreadsheetml/2006/main" headerRowCount="0" ref="B25:FN76" displayName="Table_4" name="Table_4" id="4">
  <tableColumns count="16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s>
  <tableStyleInfo name="Phase 2-style 2" showColumnStripes="0" showFirstColumn="1" showLastColumn="1" showRowStripes="1"/>
</table>
</file>

<file path=xl/tables/table5.xml><?xml version="1.0" encoding="utf-8"?>
<table xmlns="http://schemas.openxmlformats.org/spreadsheetml/2006/main" headerRowCount="0" ref="K4:FN21" displayName="Table_5" name="Table_5" id="5">
  <tableColumns count="16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s>
  <tableStyleInfo name="Phase 3-style" showColumnStripes="0" showFirstColumn="1" showLastColumn="1" showRowStripes="1"/>
</table>
</file>

<file path=xl/tables/table6.xml><?xml version="1.0" encoding="utf-8"?>
<table xmlns="http://schemas.openxmlformats.org/spreadsheetml/2006/main" headerRowCount="0" ref="B25:FN76" displayName="Table_6" name="Table_6" id="6">
  <tableColumns count="16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s>
  <tableStyleInfo name="Phase 3-style 2" showColumnStripes="0" showFirstColumn="1" showLastColumn="1" showRowStripes="1"/>
</table>
</file>

<file path=xl/tables/table7.xml><?xml version="1.0" encoding="utf-8"?>
<table xmlns="http://schemas.openxmlformats.org/spreadsheetml/2006/main" headerRowCount="0" ref="K4:FN21" displayName="Table_7" name="Table_7" id="7">
  <tableColumns count="16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s>
  <tableStyleInfo name="Phase 4-style" showColumnStripes="0" showFirstColumn="1" showLastColumn="1" showRowStripes="1"/>
</table>
</file>

<file path=xl/tables/table8.xml><?xml version="1.0" encoding="utf-8"?>
<table xmlns="http://schemas.openxmlformats.org/spreadsheetml/2006/main" headerRowCount="0" ref="B25:FN76" displayName="Table_8" name="Table_8" id="8">
  <tableColumns count="16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s>
  <tableStyleInfo name="Phase 4-style 2" showColumnStripes="0" showFirstColumn="1" showLastColumn="1" showRowStripes="1"/>
</table>
</file>

<file path=xl/tables/table9.xml><?xml version="1.0" encoding="utf-8"?>
<table xmlns="http://schemas.openxmlformats.org/spreadsheetml/2006/main" headerRowCount="0" ref="K4:FN21" displayName="Table_9" name="Table_9" id="9">
  <tableColumns count="16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s>
  <tableStyleInfo name="Phase 5-style" showColumnStripes="0" showFirstColumn="1" showLastColumn="1" showRowStripes="1"/>
</table>
</file>

<file path=xl/tables/table10.xml><?xml version="1.0" encoding="utf-8"?>
<table xmlns="http://schemas.openxmlformats.org/spreadsheetml/2006/main" headerRowCount="0" ref="B25:FN76" displayName="Table_10" name="Table_10" id="10">
  <tableColumns count="16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s>
  <tableStyleInfo name="Phase 5-style 2" showColumnStripes="0" showFirstColumn="1" showLastColumn="1" showRowStripes="1"/>
</table>
</file>

<file path=xl/tables/table11.xml><?xml version="1.0" encoding="utf-8"?>
<table xmlns="http://schemas.openxmlformats.org/spreadsheetml/2006/main" headerRowCount="0" ref="B2:D2" displayName="Table_11" name="Table_11" id="11">
  <tableColumns count="3">
    <tableColumn name="Column1" id="1"/>
    <tableColumn name="Column2" id="2"/>
    <tableColumn name="Column3" id="3"/>
  </tableColumns>
  <tableStyleInfo name="Option-style" showColumnStripes="0" showFirstColumn="1" showLastColumn="1" showRowStripes="1"/>
  <extLst>
    <ext uri="GoogleSheetsCustomDataVersion1">
      <go:sheetsCustomData xmlns:go="http://customooxmlschemas.google.com/" headerRowCount="1"/>
    </ext>
  </extLst>
</table>
</file>

<file path=xl/tables/table12.xml><?xml version="1.0" encoding="utf-8"?>
<table xmlns="http://schemas.openxmlformats.org/spreadsheetml/2006/main" headerRowCount="0" ref="B5:D5" displayName="Table_12" name="Table_12" id="12">
  <tableColumns count="3">
    <tableColumn name="Column1" id="1"/>
    <tableColumn name="Column2" id="2"/>
    <tableColumn name="Column3" id="3"/>
  </tableColumns>
  <tableStyleInfo name="Option-style 2"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ref="B2:E12" displayName="Table_13" name="Table_13" id="13">
  <tableColumns count="4">
    <tableColumn name="Phase" id="1"/>
    <tableColumn name="Sheet Name" id="2"/>
    <tableColumn name=" Transition Time" id="3"/>
    <tableColumn name="Begin Start Time" id="4"/>
  </tableColumns>
  <tableStyleInfo name="Phase Map-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xivapi.com/i/003000/003040.png" TargetMode="External"/><Relationship Id="rId190" Type="http://schemas.openxmlformats.org/officeDocument/2006/relationships/hyperlink" Target="https://xivapi.com/i/000000/000806.png" TargetMode="External"/><Relationship Id="rId42" Type="http://schemas.openxmlformats.org/officeDocument/2006/relationships/hyperlink" Target="https://xivapi.com/i/003000/003668.png" TargetMode="External"/><Relationship Id="rId41" Type="http://schemas.openxmlformats.org/officeDocument/2006/relationships/hyperlink" Target="https://xivapi.com/i/002000/002612.png" TargetMode="External"/><Relationship Id="rId44" Type="http://schemas.openxmlformats.org/officeDocument/2006/relationships/hyperlink" Target="https://xivapi.com/i/002000/002638.png" TargetMode="External"/><Relationship Id="rId194" Type="http://schemas.openxmlformats.org/officeDocument/2006/relationships/hyperlink" Target="https://xivapi.com/i/003000/003141.png" TargetMode="External"/><Relationship Id="rId43" Type="http://schemas.openxmlformats.org/officeDocument/2006/relationships/hyperlink" Target="https://xivapi.com/i/003000/003556.png" TargetMode="External"/><Relationship Id="rId193" Type="http://schemas.openxmlformats.org/officeDocument/2006/relationships/hyperlink" Target="https://xivapi.com/i/003000/003141.png" TargetMode="External"/><Relationship Id="rId46" Type="http://schemas.openxmlformats.org/officeDocument/2006/relationships/hyperlink" Target="https://xivapi.com/i/002000/002877.png" TargetMode="External"/><Relationship Id="rId192" Type="http://schemas.openxmlformats.org/officeDocument/2006/relationships/hyperlink" Target="https://xivapi.com/i/002000/002827.png" TargetMode="External"/><Relationship Id="rId45" Type="http://schemas.openxmlformats.org/officeDocument/2006/relationships/hyperlink" Target="https://xivapi.com/i/003000/003469.png" TargetMode="External"/><Relationship Id="rId191" Type="http://schemas.openxmlformats.org/officeDocument/2006/relationships/hyperlink" Target="https://xivapi.com/i/000000/000828.png" TargetMode="External"/><Relationship Id="rId48" Type="http://schemas.openxmlformats.org/officeDocument/2006/relationships/hyperlink" Target="https://xivapi.com/i/003000/003561.png" TargetMode="External"/><Relationship Id="rId187" Type="http://schemas.openxmlformats.org/officeDocument/2006/relationships/hyperlink" Target="https://xivapi.com/i/000000/000263.png" TargetMode="External"/><Relationship Id="rId47" Type="http://schemas.openxmlformats.org/officeDocument/2006/relationships/hyperlink" Target="https://xivapi.com/i/003000/003237.png" TargetMode="External"/><Relationship Id="rId186" Type="http://schemas.openxmlformats.org/officeDocument/2006/relationships/hyperlink" Target="https://xivapi.com/i/003000/003111.png" TargetMode="External"/><Relationship Id="rId185" Type="http://schemas.openxmlformats.org/officeDocument/2006/relationships/hyperlink" Target="https://xivapi.com/i/003000/003115.png" TargetMode="External"/><Relationship Id="rId49" Type="http://schemas.openxmlformats.org/officeDocument/2006/relationships/hyperlink" Target="https://xivapi.com/i/002000/002648.png" TargetMode="External"/><Relationship Id="rId184" Type="http://schemas.openxmlformats.org/officeDocument/2006/relationships/hyperlink" Target="https://xivapi.com/i/003000/003114.png" TargetMode="External"/><Relationship Id="rId189" Type="http://schemas.openxmlformats.org/officeDocument/2006/relationships/hyperlink" Target="https://xivapi.com/i/003000/003128.png" TargetMode="External"/><Relationship Id="rId188" Type="http://schemas.openxmlformats.org/officeDocument/2006/relationships/hyperlink" Target="https://xivapi.com/i/000000/000406.png" TargetMode="External"/><Relationship Id="rId31" Type="http://schemas.openxmlformats.org/officeDocument/2006/relationships/hyperlink" Target="https://xivapi.com/i/002000/002649.png" TargetMode="External"/><Relationship Id="rId30" Type="http://schemas.openxmlformats.org/officeDocument/2006/relationships/hyperlink" Target="https://xivapi.com/i/003000/003562.png" TargetMode="External"/><Relationship Id="rId33" Type="http://schemas.openxmlformats.org/officeDocument/2006/relationships/hyperlink" Target="https://xivapi.com/i/002000/002649.png" TargetMode="External"/><Relationship Id="rId183" Type="http://schemas.openxmlformats.org/officeDocument/2006/relationships/hyperlink" Target="https://xivapi.com/i/003000/003112.png" TargetMode="External"/><Relationship Id="rId32" Type="http://schemas.openxmlformats.org/officeDocument/2006/relationships/hyperlink" Target="https://xivapi.com/i/002000/002649.png" TargetMode="External"/><Relationship Id="rId182" Type="http://schemas.openxmlformats.org/officeDocument/2006/relationships/hyperlink" Target="https://xivapi.com/i/003000/003565.png" TargetMode="External"/><Relationship Id="rId35" Type="http://schemas.openxmlformats.org/officeDocument/2006/relationships/hyperlink" Target="https://xivapi.com/i/002000/002649.png" TargetMode="External"/><Relationship Id="rId181" Type="http://schemas.openxmlformats.org/officeDocument/2006/relationships/hyperlink" Target="https://xivapi.com/i/003000/003564.png" TargetMode="External"/><Relationship Id="rId34" Type="http://schemas.openxmlformats.org/officeDocument/2006/relationships/hyperlink" Target="https://xivapi.com/i/002000/002649.png" TargetMode="External"/><Relationship Id="rId180" Type="http://schemas.openxmlformats.org/officeDocument/2006/relationships/hyperlink" Target="https://xivapi.com/i/003000/003660.png" TargetMode="External"/><Relationship Id="rId37" Type="http://schemas.openxmlformats.org/officeDocument/2006/relationships/hyperlink" Target="https://xivapi.com/i/002000/002508.png" TargetMode="External"/><Relationship Id="rId176" Type="http://schemas.openxmlformats.org/officeDocument/2006/relationships/hyperlink" Target="https://xivapi.com/i/002000/002628.png" TargetMode="External"/><Relationship Id="rId36" Type="http://schemas.openxmlformats.org/officeDocument/2006/relationships/hyperlink" Target="https://xivapi.com/i/002000/002649.png" TargetMode="External"/><Relationship Id="rId175" Type="http://schemas.openxmlformats.org/officeDocument/2006/relationships/hyperlink" Target="https://xivapi.com/i/002000/002802.png" TargetMode="External"/><Relationship Id="rId39" Type="http://schemas.openxmlformats.org/officeDocument/2006/relationships/hyperlink" Target="https://xivapi.com/i/002000/002808.png" TargetMode="External"/><Relationship Id="rId174" Type="http://schemas.openxmlformats.org/officeDocument/2006/relationships/hyperlink" Target="https://xivapi.com/i/002000/002510.png" TargetMode="External"/><Relationship Id="rId38" Type="http://schemas.openxmlformats.org/officeDocument/2006/relationships/hyperlink" Target="https://xivapi.com/i/003000/003836.png" TargetMode="External"/><Relationship Id="rId173" Type="http://schemas.openxmlformats.org/officeDocument/2006/relationships/hyperlink" Target="https://xivapi.com/i/000000/000267.png" TargetMode="External"/><Relationship Id="rId179" Type="http://schemas.openxmlformats.org/officeDocument/2006/relationships/hyperlink" Target="https://xivapi.com/i/003000/003659.png" TargetMode="External"/><Relationship Id="rId178" Type="http://schemas.openxmlformats.org/officeDocument/2006/relationships/hyperlink" Target="https://xivapi.com/i/002000/002801.png" TargetMode="External"/><Relationship Id="rId177" Type="http://schemas.openxmlformats.org/officeDocument/2006/relationships/hyperlink" Target="https://xivapi.com/i/003000/003127.png" TargetMode="External"/><Relationship Id="rId20" Type="http://schemas.openxmlformats.org/officeDocument/2006/relationships/hyperlink" Target="https://xivapi.com/i/003000/003567.png" TargetMode="External"/><Relationship Id="rId22" Type="http://schemas.openxmlformats.org/officeDocument/2006/relationships/hyperlink" Target="https://xivapi.com/i/003000/003435.png" TargetMode="External"/><Relationship Id="rId21" Type="http://schemas.openxmlformats.org/officeDocument/2006/relationships/hyperlink" Target="https://xivapi.com/i/000000/000801.png" TargetMode="External"/><Relationship Id="rId24" Type="http://schemas.openxmlformats.org/officeDocument/2006/relationships/hyperlink" Target="https://xivapi.com/i/003000/003094.png" TargetMode="External"/><Relationship Id="rId23" Type="http://schemas.openxmlformats.org/officeDocument/2006/relationships/hyperlink" Target="https://xivapi.com/i/002000/002524.png" TargetMode="External"/><Relationship Id="rId26" Type="http://schemas.openxmlformats.org/officeDocument/2006/relationships/hyperlink" Target="https://xivapi.com/i/002000/002127.png" TargetMode="External"/><Relationship Id="rId25" Type="http://schemas.openxmlformats.org/officeDocument/2006/relationships/hyperlink" Target="https://xivapi.com/i/002000/002573.png" TargetMode="External"/><Relationship Id="rId28" Type="http://schemas.openxmlformats.org/officeDocument/2006/relationships/hyperlink" Target="https://xivapi.com/i/003000/003686.png" TargetMode="External"/><Relationship Id="rId27" Type="http://schemas.openxmlformats.org/officeDocument/2006/relationships/hyperlink" Target="https://xivapi.com/i/002000/002878.png" TargetMode="External"/><Relationship Id="rId29" Type="http://schemas.openxmlformats.org/officeDocument/2006/relationships/hyperlink" Target="https://xivapi.com/i/003000/003562.png" TargetMode="External"/><Relationship Id="rId11" Type="http://schemas.openxmlformats.org/officeDocument/2006/relationships/hyperlink" Target="https://xivapi.com/i/000000/000828.png" TargetMode="External"/><Relationship Id="rId10" Type="http://schemas.openxmlformats.org/officeDocument/2006/relationships/hyperlink" Target="https://xivapi.com/i/003000/003040.png" TargetMode="External"/><Relationship Id="rId13" Type="http://schemas.openxmlformats.org/officeDocument/2006/relationships/hyperlink" Target="https://xivapi.com/i/003000/003670.png" TargetMode="External"/><Relationship Id="rId12" Type="http://schemas.openxmlformats.org/officeDocument/2006/relationships/hyperlink" Target="https://xivapi.com/i/002000/002612.png" TargetMode="External"/><Relationship Id="rId15" Type="http://schemas.openxmlformats.org/officeDocument/2006/relationships/hyperlink" Target="https://xivapi.com/i/003000/003141.png" TargetMode="External"/><Relationship Id="rId198" Type="http://schemas.openxmlformats.org/officeDocument/2006/relationships/hyperlink" Target="https://xivapi.com/i/000000/000408.png" TargetMode="External"/><Relationship Id="rId14" Type="http://schemas.openxmlformats.org/officeDocument/2006/relationships/hyperlink" Target="https://xivapi.com/i/003000/003141.png" TargetMode="External"/><Relationship Id="rId197" Type="http://schemas.openxmlformats.org/officeDocument/2006/relationships/hyperlink" Target="https://xivapi.com/i/003000/003129.png" TargetMode="External"/><Relationship Id="rId17" Type="http://schemas.openxmlformats.org/officeDocument/2006/relationships/hyperlink" Target="https://xivapi.com/i/003000/003469.png" TargetMode="External"/><Relationship Id="rId196" Type="http://schemas.openxmlformats.org/officeDocument/2006/relationships/hyperlink" Target="https://xivapi.com/i/003000/003654.png" TargetMode="External"/><Relationship Id="rId16" Type="http://schemas.openxmlformats.org/officeDocument/2006/relationships/hyperlink" Target="https://xivapi.com/i/002000/002633.png" TargetMode="External"/><Relationship Id="rId195" Type="http://schemas.openxmlformats.org/officeDocument/2006/relationships/hyperlink" Target="https://xivapi.com/i/003000/003835.png" TargetMode="External"/><Relationship Id="rId19" Type="http://schemas.openxmlformats.org/officeDocument/2006/relationships/hyperlink" Target="https://xivapi.com/i/003000/003689.png" TargetMode="External"/><Relationship Id="rId18" Type="http://schemas.openxmlformats.org/officeDocument/2006/relationships/hyperlink" Target="https://xivapi.com/i/002000/002880.png" TargetMode="External"/><Relationship Id="rId199" Type="http://schemas.openxmlformats.org/officeDocument/2006/relationships/hyperlink" Target="https://xivapi.com/i/000000/000861.png" TargetMode="External"/><Relationship Id="rId84" Type="http://schemas.openxmlformats.org/officeDocument/2006/relationships/hyperlink" Target="https://xivapi.com/i/003000/003552.png" TargetMode="External"/><Relationship Id="rId83" Type="http://schemas.openxmlformats.org/officeDocument/2006/relationships/hyperlink" Target="https://xivapi.com/i/003000/003679.png" TargetMode="External"/><Relationship Id="rId86" Type="http://schemas.openxmlformats.org/officeDocument/2006/relationships/hyperlink" Target="https://xivapi.com/i/003000/003479.png" TargetMode="External"/><Relationship Id="rId85" Type="http://schemas.openxmlformats.org/officeDocument/2006/relationships/hyperlink" Target="https://xivapi.com/i/002000/002645.png" TargetMode="External"/><Relationship Id="rId88" Type="http://schemas.openxmlformats.org/officeDocument/2006/relationships/hyperlink" Target="https://xivapi.com/i/003000/003479.png" TargetMode="External"/><Relationship Id="rId150" Type="http://schemas.openxmlformats.org/officeDocument/2006/relationships/hyperlink" Target="https://xivapi.com/i/002000/002806.png" TargetMode="External"/><Relationship Id="rId87" Type="http://schemas.openxmlformats.org/officeDocument/2006/relationships/hyperlink" Target="https://xivapi.com/i/003000/003479.png" TargetMode="External"/><Relationship Id="rId89" Type="http://schemas.openxmlformats.org/officeDocument/2006/relationships/hyperlink" Target="https://xivapi.com/i/003000/003479.png" TargetMode="External"/><Relationship Id="rId80" Type="http://schemas.openxmlformats.org/officeDocument/2006/relationships/hyperlink" Target="https://xivapi.com/i/003000/003679.png" TargetMode="External"/><Relationship Id="rId82" Type="http://schemas.openxmlformats.org/officeDocument/2006/relationships/hyperlink" Target="https://xivapi.com/i/003000/003679.png" TargetMode="External"/><Relationship Id="rId81" Type="http://schemas.openxmlformats.org/officeDocument/2006/relationships/hyperlink" Target="https://xivapi.com/i/003000/003679.png" TargetMode="External"/><Relationship Id="rId1" Type="http://schemas.openxmlformats.org/officeDocument/2006/relationships/hyperlink" Target="https://xivapi.com/i/002000/002881.png" TargetMode="External"/><Relationship Id="rId2" Type="http://schemas.openxmlformats.org/officeDocument/2006/relationships/hyperlink" Target="https://xivapi.com/i/002000/002883.png" TargetMode="External"/><Relationship Id="rId3" Type="http://schemas.openxmlformats.org/officeDocument/2006/relationships/hyperlink" Target="https://xivapi.com/i/002000/002882.png" TargetMode="External"/><Relationship Id="rId149" Type="http://schemas.openxmlformats.org/officeDocument/2006/relationships/hyperlink" Target="https://xivapi.com/i/000000/000167.png" TargetMode="External"/><Relationship Id="rId4" Type="http://schemas.openxmlformats.org/officeDocument/2006/relationships/hyperlink" Target="https://xivapi.com/i/003000/003690.png" TargetMode="External"/><Relationship Id="rId148" Type="http://schemas.openxmlformats.org/officeDocument/2006/relationships/hyperlink" Target="https://xivapi.com/i/003000/003469.png" TargetMode="External"/><Relationship Id="rId9" Type="http://schemas.openxmlformats.org/officeDocument/2006/relationships/hyperlink" Target="https://xivapi.com/i/000000/000806.png" TargetMode="External"/><Relationship Id="rId143" Type="http://schemas.openxmlformats.org/officeDocument/2006/relationships/hyperlink" Target="https://xivapi.com/i/002000/002808.png" TargetMode="External"/><Relationship Id="rId142" Type="http://schemas.openxmlformats.org/officeDocument/2006/relationships/hyperlink" Target="https://xivapi.com/i/002000/002508.png" TargetMode="External"/><Relationship Id="rId141" Type="http://schemas.openxmlformats.org/officeDocument/2006/relationships/hyperlink" Target="https://xivapi.com/i/002000/002560.png" TargetMode="External"/><Relationship Id="rId140" Type="http://schemas.openxmlformats.org/officeDocument/2006/relationships/hyperlink" Target="https://xivapi.com/i/003000/003140.png" TargetMode="External"/><Relationship Id="rId5" Type="http://schemas.openxmlformats.org/officeDocument/2006/relationships/hyperlink" Target="https://xivapi.com/i/003000/003109.png" TargetMode="External"/><Relationship Id="rId147" Type="http://schemas.openxmlformats.org/officeDocument/2006/relationships/hyperlink" Target="https://xivapi.com/i/002000/002634.png" TargetMode="External"/><Relationship Id="rId6" Type="http://schemas.openxmlformats.org/officeDocument/2006/relationships/hyperlink" Target="https://xivapi.com/i/002000/002128.png" TargetMode="External"/><Relationship Id="rId146" Type="http://schemas.openxmlformats.org/officeDocument/2006/relationships/hyperlink" Target="https://xivapi.com/i/002000/002559.png" TargetMode="External"/><Relationship Id="rId7" Type="http://schemas.openxmlformats.org/officeDocument/2006/relationships/hyperlink" Target="https://xivapi.com/i/002000/002822.png" TargetMode="External"/><Relationship Id="rId145" Type="http://schemas.openxmlformats.org/officeDocument/2006/relationships/hyperlink" Target="https://xivapi.com/i/003000/003668.png" TargetMode="External"/><Relationship Id="rId8" Type="http://schemas.openxmlformats.org/officeDocument/2006/relationships/hyperlink" Target="https://xivapi.com/i/000000/000861.png" TargetMode="External"/><Relationship Id="rId144" Type="http://schemas.openxmlformats.org/officeDocument/2006/relationships/hyperlink" Target="https://xivapi.com/i/003000/003040.png" TargetMode="External"/><Relationship Id="rId73" Type="http://schemas.openxmlformats.org/officeDocument/2006/relationships/hyperlink" Target="https://xivapi.com/i/003000/003089.png" TargetMode="External"/><Relationship Id="rId72" Type="http://schemas.openxmlformats.org/officeDocument/2006/relationships/hyperlink" Target="https://xivapi.com/i/002000/002950.png" TargetMode="External"/><Relationship Id="rId75" Type="http://schemas.openxmlformats.org/officeDocument/2006/relationships/hyperlink" Target="https://xivapi.com/i/002000/002567.png" TargetMode="External"/><Relationship Id="rId74" Type="http://schemas.openxmlformats.org/officeDocument/2006/relationships/hyperlink" Target="https://xivapi.com/i/002000/002569.png" TargetMode="External"/><Relationship Id="rId77" Type="http://schemas.openxmlformats.org/officeDocument/2006/relationships/hyperlink" Target="https://xivapi.com/i/002000/002851.png" TargetMode="External"/><Relationship Id="rId76" Type="http://schemas.openxmlformats.org/officeDocument/2006/relationships/hyperlink" Target="https://xivapi.com/i/002000/002850.png" TargetMode="External"/><Relationship Id="rId79" Type="http://schemas.openxmlformats.org/officeDocument/2006/relationships/hyperlink" Target="https://xivapi.com/i/003000/003679.png" TargetMode="External"/><Relationship Id="rId78" Type="http://schemas.openxmlformats.org/officeDocument/2006/relationships/hyperlink" Target="https://xivapi.com/i/003000/003679.png" TargetMode="External"/><Relationship Id="rId71" Type="http://schemas.openxmlformats.org/officeDocument/2006/relationships/hyperlink" Target="https://xivapi.com/i/002000/002512.png" TargetMode="External"/><Relationship Id="rId70" Type="http://schemas.openxmlformats.org/officeDocument/2006/relationships/hyperlink" Target="https://xivapi.com/i/003000/003430.png" TargetMode="External"/><Relationship Id="rId139" Type="http://schemas.openxmlformats.org/officeDocument/2006/relationships/hyperlink" Target="https://xivapi.com/i/003000/003669.png" TargetMode="External"/><Relationship Id="rId138" Type="http://schemas.openxmlformats.org/officeDocument/2006/relationships/hyperlink" Target="https://xivapi.com/i/003000/003669.png" TargetMode="External"/><Relationship Id="rId137" Type="http://schemas.openxmlformats.org/officeDocument/2006/relationships/hyperlink" Target="https://xivapi.com/i/002000/002633.png" TargetMode="External"/><Relationship Id="rId132" Type="http://schemas.openxmlformats.org/officeDocument/2006/relationships/hyperlink" Target="https://xivapi.com/i/003000/003144.png" TargetMode="External"/><Relationship Id="rId131" Type="http://schemas.openxmlformats.org/officeDocument/2006/relationships/hyperlink" Target="https://xivapi.com/i/003000/003671.png" TargetMode="External"/><Relationship Id="rId130" Type="http://schemas.openxmlformats.org/officeDocument/2006/relationships/hyperlink" Target="https://xivapi.com/i/002000/002612.png" TargetMode="External"/><Relationship Id="rId136" Type="http://schemas.openxmlformats.org/officeDocument/2006/relationships/hyperlink" Target="https://xivapi.com/i/003000/003142.png" TargetMode="External"/><Relationship Id="rId135" Type="http://schemas.openxmlformats.org/officeDocument/2006/relationships/hyperlink" Target="https://xivapi.com/i/003000/003670.png" TargetMode="External"/><Relationship Id="rId134" Type="http://schemas.openxmlformats.org/officeDocument/2006/relationships/hyperlink" Target="https://xivapi.com/i/002000/002810.png" TargetMode="External"/><Relationship Id="rId133" Type="http://schemas.openxmlformats.org/officeDocument/2006/relationships/hyperlink" Target="https://xivapi.com/i/003000/003143.png" TargetMode="External"/><Relationship Id="rId62" Type="http://schemas.openxmlformats.org/officeDocument/2006/relationships/hyperlink" Target="https://xivapi.com/i/000000/000407.png" TargetMode="External"/><Relationship Id="rId61" Type="http://schemas.openxmlformats.org/officeDocument/2006/relationships/hyperlink" Target="https://xivapi.com/i/000000/000405.png" TargetMode="External"/><Relationship Id="rId64" Type="http://schemas.openxmlformats.org/officeDocument/2006/relationships/hyperlink" Target="https://xivapi.com/i/002000/002640.png" TargetMode="External"/><Relationship Id="rId63" Type="http://schemas.openxmlformats.org/officeDocument/2006/relationships/hyperlink" Target="https://xivapi.com/i/000000/000406.png" TargetMode="External"/><Relationship Id="rId66" Type="http://schemas.openxmlformats.org/officeDocument/2006/relationships/hyperlink" Target="https://xivapi.com/i/000000/000408.png" TargetMode="External"/><Relationship Id="rId172" Type="http://schemas.openxmlformats.org/officeDocument/2006/relationships/hyperlink" Target="https://xivapi.com/i/003000/003075.png" TargetMode="External"/><Relationship Id="rId65" Type="http://schemas.openxmlformats.org/officeDocument/2006/relationships/hyperlink" Target="https://xivapi.com/i/002000/002643.png" TargetMode="External"/><Relationship Id="rId171" Type="http://schemas.openxmlformats.org/officeDocument/2006/relationships/hyperlink" Target="https://xivapi.com/i/000000/000151.png" TargetMode="External"/><Relationship Id="rId68" Type="http://schemas.openxmlformats.org/officeDocument/2006/relationships/hyperlink" Target="https://xivapi.com/i/002000/002628.png" TargetMode="External"/><Relationship Id="rId170" Type="http://schemas.openxmlformats.org/officeDocument/2006/relationships/hyperlink" Target="https://xivapi.com/i/003000/003412.png" TargetMode="External"/><Relationship Id="rId67" Type="http://schemas.openxmlformats.org/officeDocument/2006/relationships/hyperlink" Target="https://xivapi.com/i/000000/000409.png" TargetMode="External"/><Relationship Id="rId60" Type="http://schemas.openxmlformats.org/officeDocument/2006/relationships/hyperlink" Target="https://xivapi.com/i/003000/003129.png" TargetMode="External"/><Relationship Id="rId165" Type="http://schemas.openxmlformats.org/officeDocument/2006/relationships/hyperlink" Target="https://xivapi.com/i/000000/000216.png" TargetMode="External"/><Relationship Id="rId69" Type="http://schemas.openxmlformats.org/officeDocument/2006/relationships/hyperlink" Target="https://xivapi.com/i/002000/002560.png" TargetMode="External"/><Relationship Id="rId164" Type="http://schemas.openxmlformats.org/officeDocument/2006/relationships/hyperlink" Target="https://xivapi.com/i/003000/003664.png" TargetMode="External"/><Relationship Id="rId163" Type="http://schemas.openxmlformats.org/officeDocument/2006/relationships/hyperlink" Target="https://xivapi.com/i/002000/002805.png" TargetMode="External"/><Relationship Id="rId162" Type="http://schemas.openxmlformats.org/officeDocument/2006/relationships/hyperlink" Target="https://xivapi.com/i/000000/000510.png" TargetMode="External"/><Relationship Id="rId169" Type="http://schemas.openxmlformats.org/officeDocument/2006/relationships/hyperlink" Target="https://xivapi.com/i/000000/000407.png" TargetMode="External"/><Relationship Id="rId168" Type="http://schemas.openxmlformats.org/officeDocument/2006/relationships/hyperlink" Target="https://xivapi.com/i/002000/002829.png" TargetMode="External"/><Relationship Id="rId167" Type="http://schemas.openxmlformats.org/officeDocument/2006/relationships/hyperlink" Target="https://xivapi.com/i/000000/000266.png" TargetMode="External"/><Relationship Id="rId166" Type="http://schemas.openxmlformats.org/officeDocument/2006/relationships/hyperlink" Target="https://xivapi.com/i/003000/003130.png" TargetMode="External"/><Relationship Id="rId51" Type="http://schemas.openxmlformats.org/officeDocument/2006/relationships/hyperlink" Target="https://xivapi.com/i/002000/002801.png" TargetMode="External"/><Relationship Id="rId50" Type="http://schemas.openxmlformats.org/officeDocument/2006/relationships/hyperlink" Target="https://xivapi.com/i/000000/000518.png" TargetMode="External"/><Relationship Id="rId53" Type="http://schemas.openxmlformats.org/officeDocument/2006/relationships/hyperlink" Target="https://xivapi.com/i/003000/003659.png" TargetMode="External"/><Relationship Id="rId52" Type="http://schemas.openxmlformats.org/officeDocument/2006/relationships/hyperlink" Target="https://xivapi.com/i/002000/002802.png" TargetMode="External"/><Relationship Id="rId55" Type="http://schemas.openxmlformats.org/officeDocument/2006/relationships/hyperlink" Target="https://xivapi.com/i/003000/003652.png" TargetMode="External"/><Relationship Id="rId161" Type="http://schemas.openxmlformats.org/officeDocument/2006/relationships/hyperlink" Target="https://xivapi.com/i/003000/003076.png" TargetMode="External"/><Relationship Id="rId54" Type="http://schemas.openxmlformats.org/officeDocument/2006/relationships/hyperlink" Target="https://xivapi.com/i/003000/003660.png" TargetMode="External"/><Relationship Id="rId160" Type="http://schemas.openxmlformats.org/officeDocument/2006/relationships/hyperlink" Target="https://xivapi.com/i/000000/000409.png" TargetMode="External"/><Relationship Id="rId57" Type="http://schemas.openxmlformats.org/officeDocument/2006/relationships/hyperlink" Target="https://xivapi.com/i/003000/003130.png" TargetMode="External"/><Relationship Id="rId56" Type="http://schemas.openxmlformats.org/officeDocument/2006/relationships/hyperlink" Target="https://xivapi.com/i/003000/003127.png" TargetMode="External"/><Relationship Id="rId159" Type="http://schemas.openxmlformats.org/officeDocument/2006/relationships/hyperlink" Target="https://xivapi.com/i/002000/002627.png" TargetMode="External"/><Relationship Id="rId59" Type="http://schemas.openxmlformats.org/officeDocument/2006/relationships/hyperlink" Target="https://xivapi.com/i/003000/003128.png" TargetMode="External"/><Relationship Id="rId154" Type="http://schemas.openxmlformats.org/officeDocument/2006/relationships/hyperlink" Target="https://xivapi.com/i/003000/003416.png" TargetMode="External"/><Relationship Id="rId58" Type="http://schemas.openxmlformats.org/officeDocument/2006/relationships/hyperlink" Target="https://xivapi.com/i/003000/003126.png" TargetMode="External"/><Relationship Id="rId153" Type="http://schemas.openxmlformats.org/officeDocument/2006/relationships/hyperlink" Target="https://xivapi.com/i/002000/002640.png" TargetMode="External"/><Relationship Id="rId152" Type="http://schemas.openxmlformats.org/officeDocument/2006/relationships/hyperlink" Target="https://xivapi.com/i/002000/002632.png" TargetMode="External"/><Relationship Id="rId151" Type="http://schemas.openxmlformats.org/officeDocument/2006/relationships/hyperlink" Target="https://xivapi.com/i/003000/003667.png" TargetMode="External"/><Relationship Id="rId158" Type="http://schemas.openxmlformats.org/officeDocument/2006/relationships/hyperlink" Target="https://xivapi.com/i/003000/003666.png" TargetMode="External"/><Relationship Id="rId157" Type="http://schemas.openxmlformats.org/officeDocument/2006/relationships/hyperlink" Target="https://xivapi.com/i/002000/002804.png" TargetMode="External"/><Relationship Id="rId156" Type="http://schemas.openxmlformats.org/officeDocument/2006/relationships/hyperlink" Target="https://xivapi.com/i/003000/003077.png" TargetMode="External"/><Relationship Id="rId155" Type="http://schemas.openxmlformats.org/officeDocument/2006/relationships/hyperlink" Target="https://xivapi.com/i/002000/002502.png" TargetMode="External"/><Relationship Id="rId107" Type="http://schemas.openxmlformats.org/officeDocument/2006/relationships/hyperlink" Target="https://xivapi.com/i/003000/003677.png" TargetMode="External"/><Relationship Id="rId106" Type="http://schemas.openxmlformats.org/officeDocument/2006/relationships/hyperlink" Target="https://xivapi.com/i/002000/002822.png" TargetMode="External"/><Relationship Id="rId105" Type="http://schemas.openxmlformats.org/officeDocument/2006/relationships/hyperlink" Target="https://xivapi.com/i/002000/002510.png" TargetMode="External"/><Relationship Id="rId104" Type="http://schemas.openxmlformats.org/officeDocument/2006/relationships/hyperlink" Target="https://xivapi.com/i/002000/002643.png" TargetMode="External"/><Relationship Id="rId109" Type="http://schemas.openxmlformats.org/officeDocument/2006/relationships/hyperlink" Target="https://xivapi.com/i/002000/002515.png" TargetMode="External"/><Relationship Id="rId108" Type="http://schemas.openxmlformats.org/officeDocument/2006/relationships/hyperlink" Target="https://xivapi.com/i/003000/003556.png" TargetMode="External"/><Relationship Id="rId103" Type="http://schemas.openxmlformats.org/officeDocument/2006/relationships/hyperlink" Target="https://xivapi.com/i/002000/002567.png" TargetMode="External"/><Relationship Id="rId102" Type="http://schemas.openxmlformats.org/officeDocument/2006/relationships/hyperlink" Target="https://xivapi.com/i/002000/002563.png" TargetMode="External"/><Relationship Id="rId101" Type="http://schemas.openxmlformats.org/officeDocument/2006/relationships/hyperlink" Target="https://xivapi.com/i/003000/003551.png" TargetMode="External"/><Relationship Id="rId100" Type="http://schemas.openxmlformats.org/officeDocument/2006/relationships/hyperlink" Target="https://xivapi.com/i/003000/003550.png" TargetMode="External"/><Relationship Id="rId129" Type="http://schemas.openxmlformats.org/officeDocument/2006/relationships/hyperlink" Target="https://xivapi.com/i/003000/003011.png" TargetMode="External"/><Relationship Id="rId128" Type="http://schemas.openxmlformats.org/officeDocument/2006/relationships/hyperlink" Target="https://xivapi.com/i/002000/002813.png" TargetMode="External"/><Relationship Id="rId127" Type="http://schemas.openxmlformats.org/officeDocument/2006/relationships/hyperlink" Target="https://xivapi.com/i/002000/002512.png" TargetMode="External"/><Relationship Id="rId126" Type="http://schemas.openxmlformats.org/officeDocument/2006/relationships/hyperlink" Target="https://xivapi.com/i/002000/002549.png" TargetMode="External"/><Relationship Id="rId121" Type="http://schemas.openxmlformats.org/officeDocument/2006/relationships/hyperlink" Target="https://xivapi.com/i/002000/002563.png" TargetMode="External"/><Relationship Id="rId120" Type="http://schemas.openxmlformats.org/officeDocument/2006/relationships/hyperlink" Target="https://xivapi.com/i/003000/003425.png" TargetMode="External"/><Relationship Id="rId125" Type="http://schemas.openxmlformats.org/officeDocument/2006/relationships/hyperlink" Target="https://xivapi.com/i/002000/002537.png" TargetMode="External"/><Relationship Id="rId124" Type="http://schemas.openxmlformats.org/officeDocument/2006/relationships/hyperlink" Target="https://xivapi.com/i/003000/003424.png" TargetMode="External"/><Relationship Id="rId123" Type="http://schemas.openxmlformats.org/officeDocument/2006/relationships/hyperlink" Target="https://xivapi.com/i/002000/002638.png" TargetMode="External"/><Relationship Id="rId122" Type="http://schemas.openxmlformats.org/officeDocument/2006/relationships/hyperlink" Target="https://xivapi.com/i/002000/002615.png" TargetMode="External"/><Relationship Id="rId95" Type="http://schemas.openxmlformats.org/officeDocument/2006/relationships/hyperlink" Target="https://xivapi.com/i/003000/003141.png" TargetMode="External"/><Relationship Id="rId94" Type="http://schemas.openxmlformats.org/officeDocument/2006/relationships/hyperlink" Target="https://xivapi.com/i/003000/003141.png" TargetMode="External"/><Relationship Id="rId97" Type="http://schemas.openxmlformats.org/officeDocument/2006/relationships/hyperlink" Target="https://xivapi.com/i/003000/003087.png" TargetMode="External"/><Relationship Id="rId96" Type="http://schemas.openxmlformats.org/officeDocument/2006/relationships/hyperlink" Target="https://xivapi.com/i/000000/000263.png" TargetMode="External"/><Relationship Id="rId99" Type="http://schemas.openxmlformats.org/officeDocument/2006/relationships/hyperlink" Target="https://xivapi.com/i/003000/003678.png" TargetMode="External"/><Relationship Id="rId98" Type="http://schemas.openxmlformats.org/officeDocument/2006/relationships/hyperlink" Target="https://xivapi.com/i/002000/002854.png" TargetMode="External"/><Relationship Id="rId91" Type="http://schemas.openxmlformats.org/officeDocument/2006/relationships/hyperlink" Target="https://xivapi.com/i/003000/003479.png" TargetMode="External"/><Relationship Id="rId90" Type="http://schemas.openxmlformats.org/officeDocument/2006/relationships/hyperlink" Target="https://xivapi.com/i/003000/003479.png" TargetMode="External"/><Relationship Id="rId93" Type="http://schemas.openxmlformats.org/officeDocument/2006/relationships/hyperlink" Target="https://xivapi.com/i/003000/003666.png" TargetMode="External"/><Relationship Id="rId92" Type="http://schemas.openxmlformats.org/officeDocument/2006/relationships/hyperlink" Target="https://xivapi.com/i/002000/002804.png" TargetMode="External"/><Relationship Id="rId118" Type="http://schemas.openxmlformats.org/officeDocument/2006/relationships/hyperlink" Target="https://xivapi.com/i/003000/003146.png" TargetMode="External"/><Relationship Id="rId117" Type="http://schemas.openxmlformats.org/officeDocument/2006/relationships/hyperlink" Target="https://xivapi.com/i/003000/003673.png" TargetMode="External"/><Relationship Id="rId116" Type="http://schemas.openxmlformats.org/officeDocument/2006/relationships/hyperlink" Target="https://xivapi.com/i/003000/003673.png" TargetMode="External"/><Relationship Id="rId115" Type="http://schemas.openxmlformats.org/officeDocument/2006/relationships/hyperlink" Target="https://xivapi.com/i/003000/003673.png" TargetMode="External"/><Relationship Id="rId119" Type="http://schemas.openxmlformats.org/officeDocument/2006/relationships/hyperlink" Target="https://xivapi.com/i/002000/002639.png" TargetMode="External"/><Relationship Id="rId110" Type="http://schemas.openxmlformats.org/officeDocument/2006/relationships/hyperlink" Target="https://xivapi.com/i/003000/003081.png" TargetMode="External"/><Relationship Id="rId114" Type="http://schemas.openxmlformats.org/officeDocument/2006/relationships/hyperlink" Target="https://xivapi.com/i/003000/003673.png" TargetMode="External"/><Relationship Id="rId113" Type="http://schemas.openxmlformats.org/officeDocument/2006/relationships/hyperlink" Target="https://xivapi.com/i/003000/003673.png" TargetMode="External"/><Relationship Id="rId112" Type="http://schemas.openxmlformats.org/officeDocument/2006/relationships/hyperlink" Target="https://xivapi.com/i/003000/003673.png" TargetMode="External"/><Relationship Id="rId111" Type="http://schemas.openxmlformats.org/officeDocument/2006/relationships/hyperlink" Target="https://xivapi.com/i/002000/002818.png" TargetMode="External"/><Relationship Id="rId206" Type="http://schemas.openxmlformats.org/officeDocument/2006/relationships/hyperlink" Target="https://xivapi.com/i/000000/000103.png" TargetMode="External"/><Relationship Id="rId205" Type="http://schemas.openxmlformats.org/officeDocument/2006/relationships/hyperlink" Target="https://xivapi.com/i/000000/000405.png" TargetMode="External"/><Relationship Id="rId204" Type="http://schemas.openxmlformats.org/officeDocument/2006/relationships/hyperlink" Target="https://xivapi.com/i/003000/003126.png" TargetMode="External"/><Relationship Id="rId203" Type="http://schemas.openxmlformats.org/officeDocument/2006/relationships/hyperlink" Target="https://xivapi.com/i/003000/003652.png" TargetMode="External"/><Relationship Id="rId209" Type="http://schemas.openxmlformats.org/officeDocument/2006/relationships/drawing" Target="../drawings/drawing1.xml"/><Relationship Id="rId208" Type="http://schemas.openxmlformats.org/officeDocument/2006/relationships/hyperlink" Target="https://xivapi.com/i/000000/000103.png" TargetMode="External"/><Relationship Id="rId207" Type="http://schemas.openxmlformats.org/officeDocument/2006/relationships/hyperlink" Target="https://xivapi.com/i/000000/000103.png" TargetMode="External"/><Relationship Id="rId202" Type="http://schemas.openxmlformats.org/officeDocument/2006/relationships/hyperlink" Target="https://xivapi.com/i/000000/000518.png" TargetMode="External"/><Relationship Id="rId201" Type="http://schemas.openxmlformats.org/officeDocument/2006/relationships/hyperlink" Target="https://xivapi.com/i/003000/003404.png" TargetMode="External"/><Relationship Id="rId200" Type="http://schemas.openxmlformats.org/officeDocument/2006/relationships/hyperlink" Target="https://xivapi.com/i/000000/000801.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3.xml"/><Relationship Id="rId5"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5.xml"/><Relationship Id="rId5"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4" Type="http://schemas.openxmlformats.org/officeDocument/2006/relationships/table" Target="../tables/table7.xml"/><Relationship Id="rId5"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9.xml"/><Relationship Id="rId5" Type="http://schemas.openxmlformats.org/officeDocument/2006/relationships/table" Target="../tables/table10.xml"/></Relationships>
</file>

<file path=xl/worksheets/_rels/sheet7.xml.rels><?xml version="1.0" encoding="UTF-8" standalone="yes"?><Relationships xmlns="http://schemas.openxmlformats.org/package/2006/relationships"><Relationship Id="rId1" Type="http://schemas.openxmlformats.org/officeDocument/2006/relationships/hyperlink" Target="https://twitter.com/lastagous" TargetMode="External"/><Relationship Id="rId2" Type="http://schemas.openxmlformats.org/officeDocument/2006/relationships/hyperlink" Target="https://discord.gg/q2tkcTxFer" TargetMode="External"/><Relationship Id="rId3" Type="http://schemas.openxmlformats.org/officeDocument/2006/relationships/drawing" Target="../drawings/drawing7.xml"/><Relationship Id="rId6" Type="http://schemas.openxmlformats.org/officeDocument/2006/relationships/table" Target="../tables/table11.xml"/><Relationship Id="rId7" Type="http://schemas.openxmlformats.org/officeDocument/2006/relationships/table" Target="../tables/table1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6.88"/>
    <col customWidth="1" min="3" max="3" width="29.0"/>
    <col customWidth="1" min="4" max="4" width="5.38"/>
    <col customWidth="1" min="5" max="5" width="8.88"/>
    <col customWidth="1" min="6" max="6" width="12.88"/>
    <col customWidth="1" min="7" max="7" width="8.88"/>
    <col customWidth="1" min="8" max="8" width="7.63"/>
    <col customWidth="1" min="9" max="9" width="16.0"/>
    <col customWidth="1" min="10" max="10" width="8.88"/>
    <col customWidth="1" min="11" max="11" width="16.5"/>
    <col customWidth="1" min="12" max="16" width="8.88"/>
    <col customWidth="1" min="17" max="17" width="21.13"/>
    <col customWidth="1" min="18" max="20" width="8.88"/>
    <col customWidth="1" min="21" max="21" width="17.88"/>
    <col customWidth="1" min="22" max="25" width="8.88"/>
    <col customWidth="1" min="26" max="28" width="9.63"/>
    <col customWidth="1" min="29" max="29" width="14.38"/>
    <col customWidth="1" min="30" max="30" width="13.63"/>
    <col customWidth="1" min="31" max="31" width="23.25"/>
    <col customWidth="1" min="32" max="33" width="17.25"/>
    <col customWidth="1" min="34" max="34" width="18.63"/>
    <col customWidth="1" min="35" max="35" width="17.75"/>
    <col customWidth="1" min="36" max="36" width="16.88"/>
    <col customWidth="1" min="37" max="40" width="11.25"/>
    <col customWidth="1" min="41" max="41" width="15.5"/>
    <col customWidth="1" min="42" max="43" width="11.25"/>
    <col customWidth="1" min="44" max="46" width="19.75"/>
    <col customWidth="1" min="47" max="47" width="35.63"/>
    <col customWidth="1" min="48" max="48" width="27.38"/>
    <col customWidth="1" min="49" max="49" width="28.13"/>
    <col customWidth="1" min="50" max="50" width="31.63"/>
    <col customWidth="1" min="51" max="51" width="23.25"/>
    <col customWidth="1" min="52" max="52" width="21.75"/>
  </cols>
  <sheetData>
    <row r="1">
      <c r="B1" s="1"/>
      <c r="D1" s="2"/>
      <c r="L1" s="3"/>
      <c r="M1" s="3"/>
      <c r="N1" s="3"/>
      <c r="O1" s="3"/>
      <c r="P1" s="3"/>
      <c r="R1" s="3"/>
      <c r="S1" s="3"/>
      <c r="T1" s="3"/>
      <c r="U1" s="3"/>
      <c r="V1" s="3"/>
      <c r="W1" s="3"/>
      <c r="X1" s="3"/>
      <c r="Y1" s="3"/>
      <c r="Z1" s="4"/>
      <c r="AA1" s="4"/>
      <c r="AB1" s="4"/>
      <c r="AU1" s="2"/>
      <c r="AV1" s="2"/>
      <c r="AW1" s="2"/>
      <c r="AX1" s="2"/>
      <c r="AY1" s="2"/>
      <c r="AZ1" s="2"/>
    </row>
    <row r="2">
      <c r="B2" s="5" t="s">
        <v>0</v>
      </c>
      <c r="C2" s="5" t="s">
        <v>1</v>
      </c>
      <c r="D2" s="5" t="s">
        <v>2</v>
      </c>
      <c r="E2" s="5" t="s">
        <v>3</v>
      </c>
      <c r="F2" s="5" t="s">
        <v>4</v>
      </c>
      <c r="G2" s="5" t="s">
        <v>5</v>
      </c>
      <c r="H2" s="5" t="s">
        <v>6</v>
      </c>
      <c r="I2" s="5" t="s">
        <v>7</v>
      </c>
      <c r="J2" s="5" t="s">
        <v>8</v>
      </c>
      <c r="K2" s="5" t="s">
        <v>9</v>
      </c>
      <c r="L2" s="6" t="s">
        <v>10</v>
      </c>
      <c r="M2" s="6" t="s">
        <v>11</v>
      </c>
      <c r="N2" s="6" t="s">
        <v>12</v>
      </c>
      <c r="O2" s="6" t="s">
        <v>13</v>
      </c>
      <c r="P2" s="6" t="s">
        <v>14</v>
      </c>
      <c r="Q2" s="5" t="s">
        <v>15</v>
      </c>
      <c r="R2" s="6" t="s">
        <v>10</v>
      </c>
      <c r="S2" s="6" t="s">
        <v>11</v>
      </c>
      <c r="T2" s="6" t="s">
        <v>12</v>
      </c>
      <c r="U2" s="6" t="s">
        <v>16</v>
      </c>
      <c r="V2" s="6" t="s">
        <v>5</v>
      </c>
      <c r="W2" s="6" t="s">
        <v>10</v>
      </c>
      <c r="X2" s="6" t="s">
        <v>11</v>
      </c>
      <c r="Y2" s="6" t="s">
        <v>12</v>
      </c>
      <c r="Z2" s="7" t="s">
        <v>17</v>
      </c>
      <c r="AA2" s="7" t="s">
        <v>18</v>
      </c>
      <c r="AB2" s="7" t="s">
        <v>19</v>
      </c>
      <c r="AC2" s="5" t="s">
        <v>20</v>
      </c>
      <c r="AD2" s="5" t="s">
        <v>21</v>
      </c>
      <c r="AE2" s="5" t="s">
        <v>22</v>
      </c>
      <c r="AF2" s="5" t="s">
        <v>23</v>
      </c>
      <c r="AG2" s="5" t="s">
        <v>24</v>
      </c>
      <c r="AH2" s="5" t="s">
        <v>25</v>
      </c>
      <c r="AI2" s="5" t="s">
        <v>26</v>
      </c>
      <c r="AJ2" s="5" t="s">
        <v>27</v>
      </c>
      <c r="AK2" s="5" t="s">
        <v>28</v>
      </c>
      <c r="AL2" s="5" t="s">
        <v>29</v>
      </c>
      <c r="AM2" s="5" t="s">
        <v>30</v>
      </c>
      <c r="AN2" s="5" t="s">
        <v>31</v>
      </c>
      <c r="AO2" s="5" t="s">
        <v>18</v>
      </c>
      <c r="AP2" s="5" t="s">
        <v>32</v>
      </c>
      <c r="AQ2" s="5" t="s">
        <v>33</v>
      </c>
      <c r="AR2" s="5" t="s">
        <v>34</v>
      </c>
      <c r="AS2" s="5" t="s">
        <v>35</v>
      </c>
      <c r="AT2" s="5" t="s">
        <v>36</v>
      </c>
      <c r="AU2" s="5" t="s">
        <v>37</v>
      </c>
      <c r="AV2" s="5" t="s">
        <v>38</v>
      </c>
      <c r="AW2" s="5" t="s">
        <v>39</v>
      </c>
      <c r="AX2" s="5" t="s">
        <v>40</v>
      </c>
      <c r="AY2" s="5" t="s">
        <v>41</v>
      </c>
      <c r="AZ2" s="5" t="s">
        <v>42</v>
      </c>
    </row>
    <row r="3">
      <c r="B3" s="8" t="s">
        <v>43</v>
      </c>
      <c r="C3" s="8" t="s">
        <v>44</v>
      </c>
      <c r="D3" s="9" t="str">
        <f t="shared" ref="D3:D210" si="1">IMAGE(AU3)</f>
        <v/>
      </c>
      <c r="E3" s="10">
        <v>100.0</v>
      </c>
      <c r="F3" s="10">
        <v>20.0</v>
      </c>
      <c r="G3" s="10">
        <v>180.0</v>
      </c>
      <c r="H3" s="10" t="b">
        <v>1</v>
      </c>
      <c r="I3" s="10" t="s">
        <v>45</v>
      </c>
      <c r="J3" s="10">
        <v>1.0</v>
      </c>
      <c r="K3" s="10"/>
      <c r="L3" s="11"/>
      <c r="M3" s="11"/>
      <c r="N3" s="11"/>
      <c r="O3" s="11"/>
      <c r="P3" s="11"/>
      <c r="Q3" s="10"/>
      <c r="R3" s="11"/>
      <c r="S3" s="11"/>
      <c r="T3" s="11"/>
      <c r="U3" s="11"/>
      <c r="V3" s="11"/>
      <c r="W3" s="11"/>
      <c r="X3" s="11"/>
      <c r="Y3" s="11"/>
      <c r="Z3" s="12"/>
      <c r="AA3" s="12"/>
      <c r="AB3" s="12"/>
      <c r="AC3" s="10"/>
      <c r="AD3" s="10"/>
      <c r="AE3" s="10"/>
      <c r="AF3" s="10"/>
      <c r="AG3" s="10"/>
      <c r="AH3" s="10"/>
      <c r="AI3" s="13"/>
      <c r="AJ3" s="13"/>
      <c r="AK3" s="13"/>
      <c r="AL3" s="13"/>
      <c r="AM3" s="10">
        <v>20.0</v>
      </c>
      <c r="AN3" s="10">
        <v>100.0</v>
      </c>
      <c r="AO3" s="13"/>
      <c r="AP3" s="13"/>
      <c r="AQ3" s="13"/>
      <c r="AR3" s="10"/>
      <c r="AS3" s="10"/>
      <c r="AT3" s="10"/>
      <c r="AU3" s="14" t="s">
        <v>46</v>
      </c>
      <c r="AV3" s="8" t="s">
        <v>47</v>
      </c>
      <c r="AW3" s="8" t="s">
        <v>48</v>
      </c>
      <c r="AX3" s="8" t="s">
        <v>49</v>
      </c>
      <c r="AY3" s="8"/>
      <c r="AZ3" s="8"/>
    </row>
    <row r="4">
      <c r="B4" s="15" t="s">
        <v>43</v>
      </c>
      <c r="C4" s="15" t="s">
        <v>50</v>
      </c>
      <c r="D4" s="16" t="str">
        <f t="shared" si="1"/>
        <v/>
      </c>
      <c r="E4" s="17">
        <v>100.0</v>
      </c>
      <c r="F4" s="17">
        <v>30.0</v>
      </c>
      <c r="G4" s="17">
        <v>2.5</v>
      </c>
      <c r="H4" s="17" t="b">
        <v>0</v>
      </c>
      <c r="I4" s="17" t="s">
        <v>51</v>
      </c>
      <c r="J4" s="17">
        <v>1.0</v>
      </c>
      <c r="K4" s="17"/>
      <c r="L4" s="18"/>
      <c r="M4" s="18"/>
      <c r="N4" s="18"/>
      <c r="O4" s="18"/>
      <c r="P4" s="18"/>
      <c r="Q4" s="17"/>
      <c r="R4" s="18"/>
      <c r="S4" s="18"/>
      <c r="T4" s="18"/>
      <c r="U4" s="18"/>
      <c r="V4" s="18"/>
      <c r="W4" s="18"/>
      <c r="X4" s="18"/>
      <c r="Y4" s="18"/>
      <c r="Z4" s="19"/>
      <c r="AA4" s="19"/>
      <c r="AB4" s="19"/>
      <c r="AC4" s="17"/>
      <c r="AD4" s="17"/>
      <c r="AE4" s="17"/>
      <c r="AF4" s="17"/>
      <c r="AG4" s="17"/>
      <c r="AH4" s="17"/>
      <c r="AI4" s="20"/>
      <c r="AJ4" s="20"/>
      <c r="AK4" s="17">
        <v>240.0</v>
      </c>
      <c r="AL4" s="17"/>
      <c r="AM4" s="20"/>
      <c r="AN4" s="20"/>
      <c r="AO4" s="17">
        <v>30.0</v>
      </c>
      <c r="AP4" s="17">
        <v>432.0</v>
      </c>
      <c r="AQ4" s="17">
        <v>900.0</v>
      </c>
      <c r="AR4" s="17">
        <v>20.0</v>
      </c>
      <c r="AS4" s="17" t="s">
        <v>44</v>
      </c>
      <c r="AT4" s="17"/>
      <c r="AU4" s="21" t="s">
        <v>52</v>
      </c>
      <c r="AV4" s="15" t="s">
        <v>53</v>
      </c>
      <c r="AW4" s="15" t="s">
        <v>54</v>
      </c>
      <c r="AX4" s="15" t="s">
        <v>53</v>
      </c>
      <c r="AY4" s="15"/>
      <c r="AZ4" s="15"/>
    </row>
    <row r="5">
      <c r="B5" s="8" t="s">
        <v>43</v>
      </c>
      <c r="C5" s="8" t="s">
        <v>55</v>
      </c>
      <c r="D5" s="9" t="str">
        <f t="shared" si="1"/>
        <v/>
      </c>
      <c r="E5" s="10">
        <v>100.0</v>
      </c>
      <c r="F5" s="10">
        <v>30.0</v>
      </c>
      <c r="G5" s="10">
        <v>2.5</v>
      </c>
      <c r="H5" s="10" t="b">
        <v>0</v>
      </c>
      <c r="I5" s="10" t="s">
        <v>56</v>
      </c>
      <c r="J5" s="10">
        <v>1.0</v>
      </c>
      <c r="K5" s="10"/>
      <c r="L5" s="11"/>
      <c r="M5" s="11"/>
      <c r="N5" s="11"/>
      <c r="O5" s="11"/>
      <c r="P5" s="11"/>
      <c r="Q5" s="10"/>
      <c r="R5" s="11"/>
      <c r="S5" s="11"/>
      <c r="T5" s="11"/>
      <c r="U5" s="11" t="s">
        <v>57</v>
      </c>
      <c r="V5" s="11"/>
      <c r="W5" s="11"/>
      <c r="X5" s="11"/>
      <c r="Y5" s="11"/>
      <c r="Z5" s="12"/>
      <c r="AA5" s="12">
        <v>30.0</v>
      </c>
      <c r="AB5" s="12">
        <v>648.0</v>
      </c>
      <c r="AC5" s="10"/>
      <c r="AD5" s="10"/>
      <c r="AE5" s="10"/>
      <c r="AF5" s="10"/>
      <c r="AG5" s="10"/>
      <c r="AH5" s="10"/>
      <c r="AI5" s="13"/>
      <c r="AJ5" s="13"/>
      <c r="AK5" s="10">
        <v>360.0</v>
      </c>
      <c r="AL5" s="10"/>
      <c r="AM5" s="13"/>
      <c r="AN5" s="13"/>
      <c r="AO5" s="10">
        <v>30.0</v>
      </c>
      <c r="AP5" s="10">
        <v>648.0</v>
      </c>
      <c r="AQ5" s="10">
        <v>900.0</v>
      </c>
      <c r="AR5" s="10">
        <v>20.0</v>
      </c>
      <c r="AS5" s="10" t="s">
        <v>44</v>
      </c>
      <c r="AT5" s="10"/>
      <c r="AU5" s="22" t="s">
        <v>58</v>
      </c>
      <c r="AV5" s="23" t="s">
        <v>59</v>
      </c>
      <c r="AW5" s="8" t="s">
        <v>59</v>
      </c>
      <c r="AX5" s="8" t="s">
        <v>59</v>
      </c>
      <c r="AY5" s="8"/>
      <c r="AZ5" s="8"/>
    </row>
    <row r="6">
      <c r="B6" s="15" t="s">
        <v>60</v>
      </c>
      <c r="C6" s="15" t="s">
        <v>61</v>
      </c>
      <c r="D6" s="16" t="str">
        <f t="shared" si="1"/>
        <v/>
      </c>
      <c r="E6" s="17">
        <v>100.0</v>
      </c>
      <c r="F6" s="17">
        <v>20.0</v>
      </c>
      <c r="G6" s="17">
        <v>180.0</v>
      </c>
      <c r="H6" s="17" t="b">
        <v>1</v>
      </c>
      <c r="I6" s="17" t="s">
        <v>51</v>
      </c>
      <c r="J6" s="17">
        <v>1.0</v>
      </c>
      <c r="K6" s="17"/>
      <c r="L6" s="18"/>
      <c r="M6" s="18"/>
      <c r="N6" s="18"/>
      <c r="O6" s="18"/>
      <c r="P6" s="18"/>
      <c r="Q6" s="17"/>
      <c r="R6" s="18"/>
      <c r="S6" s="18"/>
      <c r="T6" s="18"/>
      <c r="U6" s="18"/>
      <c r="V6" s="18"/>
      <c r="W6" s="18"/>
      <c r="X6" s="18"/>
      <c r="Y6" s="18"/>
      <c r="Z6" s="19"/>
      <c r="AA6" s="19"/>
      <c r="AB6" s="19"/>
      <c r="AC6" s="24"/>
      <c r="AD6" s="24"/>
      <c r="AE6" s="24" t="s">
        <v>62</v>
      </c>
      <c r="AF6" s="24">
        <v>20.0</v>
      </c>
      <c r="AG6" s="24"/>
      <c r="AH6" s="17">
        <v>1.2</v>
      </c>
      <c r="AI6" s="17"/>
      <c r="AJ6" s="17"/>
      <c r="AK6" s="17"/>
      <c r="AL6" s="17"/>
      <c r="AM6" s="20"/>
      <c r="AN6" s="20"/>
      <c r="AO6" s="17"/>
      <c r="AP6" s="17"/>
      <c r="AQ6" s="17"/>
      <c r="AR6" s="17"/>
      <c r="AS6" s="17"/>
      <c r="AT6" s="17"/>
      <c r="AU6" s="25" t="s">
        <v>63</v>
      </c>
      <c r="AV6" s="15" t="s">
        <v>64</v>
      </c>
      <c r="AW6" s="15" t="s">
        <v>64</v>
      </c>
      <c r="AX6" s="15" t="s">
        <v>64</v>
      </c>
      <c r="AY6" s="15"/>
      <c r="AZ6" s="15"/>
    </row>
    <row r="7">
      <c r="B7" s="8" t="s">
        <v>65</v>
      </c>
      <c r="C7" s="8" t="s">
        <v>66</v>
      </c>
      <c r="D7" s="9" t="str">
        <f t="shared" si="1"/>
        <v/>
      </c>
      <c r="E7" s="10">
        <v>100.0</v>
      </c>
      <c r="F7" s="10">
        <v>15.0</v>
      </c>
      <c r="G7" s="10">
        <v>1.0</v>
      </c>
      <c r="H7" s="10" t="b">
        <v>1</v>
      </c>
      <c r="I7" s="10" t="s">
        <v>51</v>
      </c>
      <c r="J7" s="10">
        <v>1.0</v>
      </c>
      <c r="K7" s="10">
        <v>15.0</v>
      </c>
      <c r="L7" s="11">
        <v>0.9</v>
      </c>
      <c r="M7" s="11">
        <v>0.9</v>
      </c>
      <c r="N7" s="11">
        <v>0.9</v>
      </c>
      <c r="O7" s="11"/>
      <c r="P7" s="11"/>
      <c r="Q7" s="10"/>
      <c r="R7" s="11"/>
      <c r="S7" s="11"/>
      <c r="T7" s="11"/>
      <c r="U7" s="11"/>
      <c r="V7" s="11"/>
      <c r="W7" s="11"/>
      <c r="X7" s="11"/>
      <c r="Y7" s="11"/>
      <c r="Z7" s="12"/>
      <c r="AA7" s="12"/>
      <c r="AB7" s="12"/>
      <c r="AC7" s="26"/>
      <c r="AD7" s="26"/>
      <c r="AE7" s="26"/>
      <c r="AF7" s="26"/>
      <c r="AG7" s="26"/>
      <c r="AH7" s="13"/>
      <c r="AI7" s="10"/>
      <c r="AJ7" s="10"/>
      <c r="AK7" s="10"/>
      <c r="AL7" s="10"/>
      <c r="AM7" s="13"/>
      <c r="AN7" s="13"/>
      <c r="AO7" s="13"/>
      <c r="AP7" s="13"/>
      <c r="AQ7" s="10"/>
      <c r="AR7" s="10">
        <v>30.0</v>
      </c>
      <c r="AS7" s="10" t="s">
        <v>67</v>
      </c>
      <c r="AT7" s="10"/>
      <c r="AU7" s="14" t="s">
        <v>68</v>
      </c>
      <c r="AV7" s="8" t="s">
        <v>69</v>
      </c>
      <c r="AW7" s="8" t="s">
        <v>70</v>
      </c>
      <c r="AX7" s="8" t="s">
        <v>71</v>
      </c>
      <c r="AY7" s="8"/>
      <c r="AZ7" s="8"/>
    </row>
    <row r="8">
      <c r="B8" s="15" t="s">
        <v>72</v>
      </c>
      <c r="C8" s="15" t="s">
        <v>73</v>
      </c>
      <c r="D8" s="16" t="str">
        <f t="shared" si="1"/>
        <v/>
      </c>
      <c r="E8" s="17">
        <v>100.0</v>
      </c>
      <c r="F8" s="17">
        <v>10.0</v>
      </c>
      <c r="G8" s="17">
        <v>1.0</v>
      </c>
      <c r="H8" s="17" t="b">
        <v>0</v>
      </c>
      <c r="I8" s="17" t="s">
        <v>51</v>
      </c>
      <c r="J8" s="17">
        <v>1.0</v>
      </c>
      <c r="K8" s="17"/>
      <c r="L8" s="18"/>
      <c r="M8" s="18"/>
      <c r="N8" s="18"/>
      <c r="O8" s="18"/>
      <c r="P8" s="18"/>
      <c r="Q8" s="17"/>
      <c r="R8" s="18"/>
      <c r="S8" s="18"/>
      <c r="T8" s="18"/>
      <c r="U8" s="18"/>
      <c r="V8" s="18"/>
      <c r="W8" s="18"/>
      <c r="X8" s="18"/>
      <c r="Y8" s="18"/>
      <c r="Z8" s="19"/>
      <c r="AA8" s="19"/>
      <c r="AB8" s="19"/>
      <c r="AC8" s="24"/>
      <c r="AD8" s="24"/>
      <c r="AE8" s="24"/>
      <c r="AF8" s="24"/>
      <c r="AG8" s="24"/>
      <c r="AH8" s="17"/>
      <c r="AI8" s="17"/>
      <c r="AJ8" s="17"/>
      <c r="AK8" s="17"/>
      <c r="AL8" s="17"/>
      <c r="AM8" s="17">
        <v>15.0</v>
      </c>
      <c r="AN8" s="17">
        <v>200.0</v>
      </c>
      <c r="AO8" s="17">
        <v>10.0</v>
      </c>
      <c r="AP8" s="17">
        <v>400.0</v>
      </c>
      <c r="AQ8" s="17"/>
      <c r="AR8" s="17">
        <v>30.0</v>
      </c>
      <c r="AS8" s="17" t="s">
        <v>74</v>
      </c>
      <c r="AT8" s="17"/>
      <c r="AU8" s="21" t="s">
        <v>75</v>
      </c>
      <c r="AV8" s="15" t="s">
        <v>76</v>
      </c>
      <c r="AW8" s="15" t="s">
        <v>77</v>
      </c>
      <c r="AX8" s="15" t="s">
        <v>78</v>
      </c>
      <c r="AY8" s="15"/>
      <c r="AZ8" s="15"/>
    </row>
    <row r="9">
      <c r="A9" s="27"/>
      <c r="B9" s="28" t="s">
        <v>43</v>
      </c>
      <c r="C9" s="28" t="s">
        <v>57</v>
      </c>
      <c r="D9" s="9" t="str">
        <f t="shared" si="1"/>
        <v/>
      </c>
      <c r="E9" s="29">
        <v>98.0</v>
      </c>
      <c r="F9" s="30">
        <v>15.0</v>
      </c>
      <c r="G9" s="30">
        <v>60.0</v>
      </c>
      <c r="H9" s="31" t="b">
        <v>1</v>
      </c>
      <c r="I9" s="32" t="s">
        <v>56</v>
      </c>
      <c r="J9" s="30">
        <v>1.0</v>
      </c>
      <c r="K9" s="32"/>
      <c r="L9" s="33"/>
      <c r="M9" s="33"/>
      <c r="N9" s="33"/>
      <c r="O9" s="33"/>
      <c r="P9" s="33"/>
      <c r="Q9" s="32"/>
      <c r="R9" s="33"/>
      <c r="S9" s="33"/>
      <c r="T9" s="33"/>
      <c r="U9" s="33"/>
      <c r="V9" s="33"/>
      <c r="W9" s="33"/>
      <c r="X9" s="33"/>
      <c r="Y9" s="33"/>
      <c r="Z9" s="34"/>
      <c r="AA9" s="34"/>
      <c r="AB9" s="34"/>
      <c r="AC9" s="32"/>
      <c r="AD9" s="32"/>
      <c r="AE9" s="32"/>
      <c r="AF9" s="32"/>
      <c r="AG9" s="32"/>
      <c r="AH9" s="32"/>
      <c r="AI9" s="32"/>
      <c r="AJ9" s="32"/>
      <c r="AK9" s="32"/>
      <c r="AL9" s="32"/>
      <c r="AM9" s="32"/>
      <c r="AN9" s="32"/>
      <c r="AO9" s="32"/>
      <c r="AP9" s="32"/>
      <c r="AQ9" s="32"/>
      <c r="AR9" s="32"/>
      <c r="AS9" s="32"/>
      <c r="AT9" s="32"/>
      <c r="AU9" s="35" t="s">
        <v>79</v>
      </c>
      <c r="AV9" s="28" t="s">
        <v>80</v>
      </c>
      <c r="AW9" s="28" t="s">
        <v>81</v>
      </c>
      <c r="AX9" s="28" t="s">
        <v>82</v>
      </c>
      <c r="AY9" s="28" t="s">
        <v>83</v>
      </c>
      <c r="AZ9" s="28" t="s">
        <v>57</v>
      </c>
      <c r="BA9" s="27"/>
    </row>
    <row r="10">
      <c r="B10" s="15" t="s">
        <v>84</v>
      </c>
      <c r="C10" s="15" t="s">
        <v>85</v>
      </c>
      <c r="D10" s="16" t="str">
        <f t="shared" si="1"/>
        <v/>
      </c>
      <c r="E10" s="17">
        <v>98.0</v>
      </c>
      <c r="F10" s="17">
        <v>15.0</v>
      </c>
      <c r="G10" s="17">
        <v>90.0</v>
      </c>
      <c r="H10" s="17" t="b">
        <v>1</v>
      </c>
      <c r="I10" s="17" t="s">
        <v>86</v>
      </c>
      <c r="J10" s="17">
        <v>1.0</v>
      </c>
      <c r="K10" s="17">
        <v>15.0</v>
      </c>
      <c r="L10" s="18">
        <v>0.9</v>
      </c>
      <c r="M10" s="18">
        <v>0.95</v>
      </c>
      <c r="N10" s="18">
        <v>1.0</v>
      </c>
      <c r="O10" s="18"/>
      <c r="P10" s="18"/>
      <c r="Q10" s="17"/>
      <c r="R10" s="18"/>
      <c r="S10" s="18"/>
      <c r="T10" s="18"/>
      <c r="U10" s="18"/>
      <c r="V10" s="18"/>
      <c r="W10" s="18"/>
      <c r="X10" s="18"/>
      <c r="Y10" s="18"/>
      <c r="Z10" s="19"/>
      <c r="AA10" s="19"/>
      <c r="AB10" s="19"/>
      <c r="AC10" s="17"/>
      <c r="AD10" s="17"/>
      <c r="AE10" s="17"/>
      <c r="AF10" s="17"/>
      <c r="AG10" s="17"/>
      <c r="AH10" s="17"/>
      <c r="AI10" s="17"/>
      <c r="AJ10" s="17"/>
      <c r="AK10" s="17"/>
      <c r="AL10" s="17"/>
      <c r="AM10" s="17"/>
      <c r="AN10" s="17"/>
      <c r="AO10" s="17"/>
      <c r="AP10" s="17"/>
      <c r="AQ10" s="17"/>
      <c r="AR10" s="17"/>
      <c r="AS10" s="17"/>
      <c r="AT10" s="17"/>
      <c r="AU10" s="25" t="s">
        <v>87</v>
      </c>
      <c r="AV10" s="15" t="s">
        <v>88</v>
      </c>
      <c r="AW10" s="15" t="s">
        <v>89</v>
      </c>
      <c r="AX10" s="15" t="s">
        <v>90</v>
      </c>
      <c r="AY10" s="15" t="s">
        <v>91</v>
      </c>
      <c r="AZ10" s="15" t="s">
        <v>92</v>
      </c>
    </row>
    <row r="11">
      <c r="B11" s="8" t="s">
        <v>93</v>
      </c>
      <c r="C11" s="8" t="s">
        <v>94</v>
      </c>
      <c r="D11" s="9" t="str">
        <f t="shared" si="1"/>
        <v/>
      </c>
      <c r="E11" s="10">
        <v>98.0</v>
      </c>
      <c r="F11" s="10">
        <v>15.0</v>
      </c>
      <c r="G11" s="10">
        <v>60.0</v>
      </c>
      <c r="H11" s="10" t="b">
        <v>1</v>
      </c>
      <c r="I11" s="10" t="s">
        <v>95</v>
      </c>
      <c r="J11" s="10">
        <v>1.0</v>
      </c>
      <c r="K11" s="10">
        <v>15.0</v>
      </c>
      <c r="L11" s="11">
        <v>0.9</v>
      </c>
      <c r="M11" s="11">
        <v>0.9</v>
      </c>
      <c r="N11" s="11">
        <v>0.9</v>
      </c>
      <c r="O11" s="11"/>
      <c r="P11" s="11"/>
      <c r="Q11" s="10"/>
      <c r="R11" s="11"/>
      <c r="S11" s="11"/>
      <c r="T11" s="11"/>
      <c r="U11" s="11"/>
      <c r="V11" s="11"/>
      <c r="W11" s="11"/>
      <c r="X11" s="11"/>
      <c r="Y11" s="11"/>
      <c r="Z11" s="12"/>
      <c r="AA11" s="12"/>
      <c r="AB11" s="12"/>
      <c r="AC11" s="10"/>
      <c r="AD11" s="10"/>
      <c r="AE11" s="10"/>
      <c r="AF11" s="10"/>
      <c r="AG11" s="10"/>
      <c r="AH11" s="10"/>
      <c r="AI11" s="13"/>
      <c r="AJ11" s="13"/>
      <c r="AK11" s="13"/>
      <c r="AL11" s="13"/>
      <c r="AM11" s="13"/>
      <c r="AN11" s="13"/>
      <c r="AO11" s="13"/>
      <c r="AP11" s="13"/>
      <c r="AQ11" s="13"/>
      <c r="AR11" s="13"/>
      <c r="AS11" s="13"/>
      <c r="AT11" s="13"/>
      <c r="AU11" s="22" t="s">
        <v>96</v>
      </c>
      <c r="AV11" s="8" t="s">
        <v>97</v>
      </c>
      <c r="AW11" s="8" t="s">
        <v>98</v>
      </c>
      <c r="AX11" s="8" t="s">
        <v>99</v>
      </c>
      <c r="AY11" s="8" t="s">
        <v>100</v>
      </c>
      <c r="AZ11" s="8" t="s">
        <v>101</v>
      </c>
    </row>
    <row r="12">
      <c r="B12" s="15" t="s">
        <v>102</v>
      </c>
      <c r="C12" s="15" t="s">
        <v>103</v>
      </c>
      <c r="D12" s="16" t="str">
        <f t="shared" si="1"/>
        <v/>
      </c>
      <c r="E12" s="17">
        <v>98.0</v>
      </c>
      <c r="F12" s="17">
        <v>15.0</v>
      </c>
      <c r="G12" s="17">
        <v>90.0</v>
      </c>
      <c r="H12" s="17" t="b">
        <v>1</v>
      </c>
      <c r="I12" s="17" t="s">
        <v>51</v>
      </c>
      <c r="J12" s="17">
        <v>1.0</v>
      </c>
      <c r="K12" s="17">
        <v>15.0</v>
      </c>
      <c r="L12" s="18">
        <v>0.85</v>
      </c>
      <c r="M12" s="18">
        <v>0.85</v>
      </c>
      <c r="N12" s="18">
        <v>0.85</v>
      </c>
      <c r="O12" s="18"/>
      <c r="P12" s="18"/>
      <c r="Q12" s="17"/>
      <c r="R12" s="18"/>
      <c r="S12" s="18"/>
      <c r="T12" s="18"/>
      <c r="U12" s="18"/>
      <c r="V12" s="18"/>
      <c r="W12" s="18"/>
      <c r="X12" s="18"/>
      <c r="Y12" s="18"/>
      <c r="Z12" s="19"/>
      <c r="AA12" s="19"/>
      <c r="AB12" s="19"/>
      <c r="AC12" s="17"/>
      <c r="AD12" s="17"/>
      <c r="AE12" s="17"/>
      <c r="AF12" s="17"/>
      <c r="AG12" s="17"/>
      <c r="AH12" s="17"/>
      <c r="AI12" s="20"/>
      <c r="AJ12" s="20"/>
      <c r="AK12" s="20"/>
      <c r="AL12" s="20"/>
      <c r="AM12" s="20"/>
      <c r="AN12" s="20"/>
      <c r="AO12" s="20"/>
      <c r="AP12" s="20"/>
      <c r="AQ12" s="20"/>
      <c r="AR12" s="20"/>
      <c r="AS12" s="20"/>
      <c r="AT12" s="20"/>
      <c r="AU12" s="25" t="s">
        <v>104</v>
      </c>
      <c r="AV12" s="15" t="s">
        <v>105</v>
      </c>
      <c r="AW12" s="15" t="s">
        <v>106</v>
      </c>
      <c r="AX12" s="15" t="s">
        <v>107</v>
      </c>
      <c r="AY12" s="15" t="s">
        <v>108</v>
      </c>
      <c r="AZ12" s="15" t="s">
        <v>109</v>
      </c>
    </row>
    <row r="13">
      <c r="B13" s="8" t="s">
        <v>110</v>
      </c>
      <c r="C13" s="8" t="s">
        <v>111</v>
      </c>
      <c r="D13" s="9" t="str">
        <f t="shared" si="1"/>
        <v/>
      </c>
      <c r="E13" s="10">
        <v>98.0</v>
      </c>
      <c r="F13" s="10">
        <v>15.0</v>
      </c>
      <c r="G13" s="10">
        <v>90.0</v>
      </c>
      <c r="H13" s="10" t="b">
        <v>1</v>
      </c>
      <c r="I13" s="10" t="s">
        <v>86</v>
      </c>
      <c r="J13" s="10">
        <v>1.0</v>
      </c>
      <c r="K13" s="10">
        <v>15.0</v>
      </c>
      <c r="L13" s="11">
        <v>0.95</v>
      </c>
      <c r="M13" s="11">
        <v>0.9</v>
      </c>
      <c r="N13" s="11">
        <v>1.0</v>
      </c>
      <c r="O13" s="11"/>
      <c r="P13" s="11"/>
      <c r="Q13" s="10"/>
      <c r="R13" s="11"/>
      <c r="S13" s="11"/>
      <c r="T13" s="11"/>
      <c r="U13" s="11"/>
      <c r="V13" s="11"/>
      <c r="W13" s="11"/>
      <c r="X13" s="11"/>
      <c r="Y13" s="11"/>
      <c r="Z13" s="12"/>
      <c r="AA13" s="12"/>
      <c r="AB13" s="12"/>
      <c r="AC13" s="10"/>
      <c r="AD13" s="10"/>
      <c r="AE13" s="10"/>
      <c r="AF13" s="10"/>
      <c r="AG13" s="10"/>
      <c r="AH13" s="10"/>
      <c r="AI13" s="13"/>
      <c r="AJ13" s="13"/>
      <c r="AK13" s="13"/>
      <c r="AL13" s="13"/>
      <c r="AM13" s="13"/>
      <c r="AN13" s="13"/>
      <c r="AO13" s="13"/>
      <c r="AP13" s="13"/>
      <c r="AQ13" s="13"/>
      <c r="AR13" s="13"/>
      <c r="AS13" s="13"/>
      <c r="AT13" s="13"/>
      <c r="AU13" s="22" t="s">
        <v>112</v>
      </c>
      <c r="AV13" s="8" t="s">
        <v>113</v>
      </c>
      <c r="AW13" s="8" t="s">
        <v>114</v>
      </c>
      <c r="AX13" s="8" t="s">
        <v>115</v>
      </c>
      <c r="AY13" s="8" t="s">
        <v>116</v>
      </c>
      <c r="AZ13" s="8" t="s">
        <v>117</v>
      </c>
    </row>
    <row r="14">
      <c r="B14" s="15" t="s">
        <v>118</v>
      </c>
      <c r="C14" s="15" t="s">
        <v>119</v>
      </c>
      <c r="D14" s="16" t="str">
        <f t="shared" si="1"/>
        <v/>
      </c>
      <c r="E14" s="17">
        <v>98.0</v>
      </c>
      <c r="F14" s="17">
        <v>15.0</v>
      </c>
      <c r="G14" s="17">
        <v>90.0</v>
      </c>
      <c r="H14" s="17" t="b">
        <v>1</v>
      </c>
      <c r="I14" s="17" t="s">
        <v>51</v>
      </c>
      <c r="J14" s="17">
        <v>1.0</v>
      </c>
      <c r="K14" s="17">
        <v>15.0</v>
      </c>
      <c r="L14" s="18">
        <v>0.85</v>
      </c>
      <c r="M14" s="18">
        <v>0.85</v>
      </c>
      <c r="N14" s="18">
        <v>0.85</v>
      </c>
      <c r="O14" s="18"/>
      <c r="P14" s="18"/>
      <c r="Q14" s="17"/>
      <c r="R14" s="18"/>
      <c r="S14" s="18"/>
      <c r="T14" s="18"/>
      <c r="U14" s="18"/>
      <c r="V14" s="18"/>
      <c r="W14" s="18"/>
      <c r="X14" s="18"/>
      <c r="Y14" s="18"/>
      <c r="Z14" s="19"/>
      <c r="AA14" s="19"/>
      <c r="AB14" s="19"/>
      <c r="AC14" s="17"/>
      <c r="AD14" s="17"/>
      <c r="AE14" s="17"/>
      <c r="AF14" s="17"/>
      <c r="AG14" s="17"/>
      <c r="AH14" s="17"/>
      <c r="AI14" s="20"/>
      <c r="AJ14" s="20"/>
      <c r="AK14" s="20"/>
      <c r="AL14" s="20"/>
      <c r="AM14" s="20"/>
      <c r="AN14" s="20"/>
      <c r="AO14" s="20"/>
      <c r="AP14" s="20"/>
      <c r="AQ14" s="20"/>
      <c r="AR14" s="20"/>
      <c r="AS14" s="20"/>
      <c r="AT14" s="20"/>
      <c r="AU14" s="25" t="s">
        <v>120</v>
      </c>
      <c r="AV14" s="15" t="s">
        <v>121</v>
      </c>
      <c r="AW14" s="15" t="s">
        <v>121</v>
      </c>
      <c r="AX14" s="15" t="s">
        <v>121</v>
      </c>
      <c r="AY14" s="15" t="s">
        <v>122</v>
      </c>
      <c r="AZ14" s="15" t="s">
        <v>123</v>
      </c>
    </row>
    <row r="15">
      <c r="B15" s="8" t="s">
        <v>60</v>
      </c>
      <c r="C15" s="8" t="s">
        <v>124</v>
      </c>
      <c r="D15" s="9" t="str">
        <f t="shared" si="1"/>
        <v/>
      </c>
      <c r="E15" s="10">
        <v>98.0</v>
      </c>
      <c r="F15" s="10">
        <v>15.0</v>
      </c>
      <c r="G15" s="10">
        <v>60.0</v>
      </c>
      <c r="H15" s="10" t="b">
        <v>1</v>
      </c>
      <c r="I15" s="10" t="s">
        <v>51</v>
      </c>
      <c r="J15" s="10">
        <v>1.0</v>
      </c>
      <c r="K15" s="10"/>
      <c r="L15" s="11"/>
      <c r="M15" s="11"/>
      <c r="N15" s="11"/>
      <c r="O15" s="11"/>
      <c r="P15" s="11"/>
      <c r="Q15" s="10"/>
      <c r="R15" s="11"/>
      <c r="S15" s="11"/>
      <c r="T15" s="11"/>
      <c r="U15" s="11"/>
      <c r="V15" s="11"/>
      <c r="W15" s="11"/>
      <c r="X15" s="11"/>
      <c r="Y15" s="11"/>
      <c r="Z15" s="12"/>
      <c r="AA15" s="12"/>
      <c r="AB15" s="12"/>
      <c r="AC15" s="26"/>
      <c r="AD15" s="26"/>
      <c r="AE15" s="26" t="s">
        <v>125</v>
      </c>
      <c r="AF15" s="26">
        <v>15.0</v>
      </c>
      <c r="AG15" s="26"/>
      <c r="AH15" s="10">
        <v>1.1</v>
      </c>
      <c r="AI15" s="10"/>
      <c r="AJ15" s="10"/>
      <c r="AK15" s="10"/>
      <c r="AL15" s="10"/>
      <c r="AM15" s="10">
        <v>15.0</v>
      </c>
      <c r="AN15" s="10">
        <v>130.0</v>
      </c>
      <c r="AO15" s="13"/>
      <c r="AP15" s="13"/>
      <c r="AQ15" s="10"/>
      <c r="AR15" s="10"/>
      <c r="AS15" s="10"/>
      <c r="AT15" s="10"/>
      <c r="AU15" s="22" t="s">
        <v>126</v>
      </c>
      <c r="AV15" s="8" t="s">
        <v>127</v>
      </c>
      <c r="AW15" s="8" t="s">
        <v>127</v>
      </c>
      <c r="AX15" s="8" t="s">
        <v>127</v>
      </c>
      <c r="AY15" s="8" t="s">
        <v>128</v>
      </c>
      <c r="AZ15" s="8" t="s">
        <v>129</v>
      </c>
    </row>
    <row r="16">
      <c r="B16" s="15" t="s">
        <v>65</v>
      </c>
      <c r="C16" s="15" t="s">
        <v>130</v>
      </c>
      <c r="D16" s="16" t="str">
        <f t="shared" si="1"/>
        <v/>
      </c>
      <c r="E16" s="17">
        <v>98.0</v>
      </c>
      <c r="F16" s="17">
        <v>0.0</v>
      </c>
      <c r="G16" s="17">
        <v>40.0</v>
      </c>
      <c r="H16" s="17" t="b">
        <v>1</v>
      </c>
      <c r="I16" s="17" t="s">
        <v>56</v>
      </c>
      <c r="J16" s="17">
        <v>3.0</v>
      </c>
      <c r="K16" s="20"/>
      <c r="L16" s="18"/>
      <c r="M16" s="18"/>
      <c r="N16" s="18"/>
      <c r="O16" s="18"/>
      <c r="P16" s="18"/>
      <c r="Q16" s="17"/>
      <c r="R16" s="18"/>
      <c r="S16" s="18"/>
      <c r="T16" s="18"/>
      <c r="U16" s="18"/>
      <c r="V16" s="18"/>
      <c r="W16" s="18"/>
      <c r="X16" s="18"/>
      <c r="Y16" s="18"/>
      <c r="Z16" s="19"/>
      <c r="AA16" s="19"/>
      <c r="AB16" s="19"/>
      <c r="AC16" s="24"/>
      <c r="AD16" s="24"/>
      <c r="AE16" s="24"/>
      <c r="AF16" s="24"/>
      <c r="AG16" s="24"/>
      <c r="AH16" s="20"/>
      <c r="AI16" s="17"/>
      <c r="AJ16" s="17"/>
      <c r="AK16" s="17">
        <v>400.0</v>
      </c>
      <c r="AL16" s="17"/>
      <c r="AM16" s="20"/>
      <c r="AN16" s="20"/>
      <c r="AO16" s="20"/>
      <c r="AP16" s="20"/>
      <c r="AQ16" s="17"/>
      <c r="AR16" s="17"/>
      <c r="AS16" s="17"/>
      <c r="AT16" s="17"/>
      <c r="AU16" s="25" t="s">
        <v>131</v>
      </c>
      <c r="AV16" s="15" t="s">
        <v>132</v>
      </c>
      <c r="AW16" s="15" t="s">
        <v>133</v>
      </c>
      <c r="AX16" s="15" t="s">
        <v>134</v>
      </c>
      <c r="AY16" s="15" t="s">
        <v>135</v>
      </c>
      <c r="AZ16" s="15" t="s">
        <v>136</v>
      </c>
    </row>
    <row r="17">
      <c r="B17" s="28" t="s">
        <v>65</v>
      </c>
      <c r="C17" s="28" t="s">
        <v>137</v>
      </c>
      <c r="D17" s="9" t="str">
        <f t="shared" si="1"/>
        <v/>
      </c>
      <c r="E17" s="36">
        <v>98.0</v>
      </c>
      <c r="F17" s="37">
        <v>0.0</v>
      </c>
      <c r="G17" s="30">
        <v>40.0</v>
      </c>
      <c r="H17" s="38" t="b">
        <v>1</v>
      </c>
      <c r="I17" s="10" t="s">
        <v>56</v>
      </c>
      <c r="J17" s="37">
        <v>3.0</v>
      </c>
      <c r="K17" s="39"/>
      <c r="L17" s="40"/>
      <c r="M17" s="40"/>
      <c r="N17" s="40"/>
      <c r="O17" s="40"/>
      <c r="P17" s="40"/>
      <c r="Q17" s="30"/>
      <c r="R17" s="40"/>
      <c r="S17" s="40"/>
      <c r="T17" s="40"/>
      <c r="U17" s="40"/>
      <c r="V17" s="40"/>
      <c r="W17" s="40"/>
      <c r="X17" s="40"/>
      <c r="Y17" s="40"/>
      <c r="Z17" s="41"/>
      <c r="AA17" s="41"/>
      <c r="AB17" s="41"/>
      <c r="AC17" s="38"/>
      <c r="AD17" s="38"/>
      <c r="AE17" s="38"/>
      <c r="AF17" s="38"/>
      <c r="AG17" s="38"/>
      <c r="AH17" s="39"/>
      <c r="AI17" s="32"/>
      <c r="AJ17" s="32"/>
      <c r="AK17" s="30">
        <v>900.0</v>
      </c>
      <c r="AL17" s="30"/>
      <c r="AM17" s="39"/>
      <c r="AN17" s="39"/>
      <c r="AO17" s="39"/>
      <c r="AP17" s="39"/>
      <c r="AQ17" s="32"/>
      <c r="AR17" s="32"/>
      <c r="AS17" s="32"/>
      <c r="AT17" s="32"/>
      <c r="AU17" s="42" t="s">
        <v>131</v>
      </c>
      <c r="AV17" s="28" t="s">
        <v>138</v>
      </c>
      <c r="AW17" s="28" t="s">
        <v>139</v>
      </c>
      <c r="AX17" s="28" t="s">
        <v>140</v>
      </c>
      <c r="AY17" s="28" t="s">
        <v>141</v>
      </c>
      <c r="AZ17" s="28" t="s">
        <v>142</v>
      </c>
    </row>
    <row r="18">
      <c r="B18" s="15" t="s">
        <v>72</v>
      </c>
      <c r="C18" s="15" t="s">
        <v>143</v>
      </c>
      <c r="D18" s="16" t="str">
        <f t="shared" si="1"/>
        <v/>
      </c>
      <c r="E18" s="17">
        <v>98.0</v>
      </c>
      <c r="F18" s="17">
        <v>0.0</v>
      </c>
      <c r="G18" s="17">
        <v>60.0</v>
      </c>
      <c r="H18" s="17" t="b">
        <v>1</v>
      </c>
      <c r="I18" s="17" t="s">
        <v>56</v>
      </c>
      <c r="J18" s="17">
        <v>2.0</v>
      </c>
      <c r="K18" s="20"/>
      <c r="L18" s="18"/>
      <c r="M18" s="18"/>
      <c r="N18" s="18"/>
      <c r="O18" s="18"/>
      <c r="P18" s="18"/>
      <c r="Q18" s="17"/>
      <c r="R18" s="18"/>
      <c r="S18" s="18"/>
      <c r="T18" s="18"/>
      <c r="U18" s="18"/>
      <c r="V18" s="18"/>
      <c r="W18" s="18"/>
      <c r="X18" s="18"/>
      <c r="Y18" s="18"/>
      <c r="Z18" s="19"/>
      <c r="AA18" s="19"/>
      <c r="AB18" s="19"/>
      <c r="AC18" s="24"/>
      <c r="AD18" s="24"/>
      <c r="AE18" s="24"/>
      <c r="AF18" s="24"/>
      <c r="AG18" s="24"/>
      <c r="AH18" s="20"/>
      <c r="AI18" s="17"/>
      <c r="AJ18" s="17"/>
      <c r="AK18" s="17">
        <v>700.0</v>
      </c>
      <c r="AL18" s="17"/>
      <c r="AM18" s="20"/>
      <c r="AN18" s="20"/>
      <c r="AO18" s="20"/>
      <c r="AP18" s="20"/>
      <c r="AQ18" s="20"/>
      <c r="AR18" s="20"/>
      <c r="AS18" s="20"/>
      <c r="AT18" s="20"/>
      <c r="AU18" s="25" t="s">
        <v>144</v>
      </c>
      <c r="AV18" s="15" t="s">
        <v>145</v>
      </c>
      <c r="AW18" s="15" t="s">
        <v>145</v>
      </c>
      <c r="AX18" s="15" t="s">
        <v>146</v>
      </c>
      <c r="AY18" s="15" t="s">
        <v>147</v>
      </c>
      <c r="AZ18" s="15" t="s">
        <v>148</v>
      </c>
    </row>
    <row r="19">
      <c r="B19" s="8" t="s">
        <v>149</v>
      </c>
      <c r="C19" s="8" t="s">
        <v>150</v>
      </c>
      <c r="D19" s="9" t="str">
        <f t="shared" si="1"/>
        <v/>
      </c>
      <c r="E19" s="10">
        <v>98.0</v>
      </c>
      <c r="F19" s="10">
        <v>15.0</v>
      </c>
      <c r="G19" s="10">
        <v>90.0</v>
      </c>
      <c r="H19" s="10" t="b">
        <v>1</v>
      </c>
      <c r="I19" s="10" t="s">
        <v>51</v>
      </c>
      <c r="J19" s="10">
        <v>1.0</v>
      </c>
      <c r="K19" s="10">
        <v>15.0</v>
      </c>
      <c r="L19" s="11">
        <v>0.85</v>
      </c>
      <c r="M19" s="11">
        <v>0.85</v>
      </c>
      <c r="N19" s="11">
        <v>0.85</v>
      </c>
      <c r="O19" s="11"/>
      <c r="P19" s="11"/>
      <c r="Q19" s="10"/>
      <c r="R19" s="11"/>
      <c r="S19" s="11"/>
      <c r="T19" s="11"/>
      <c r="U19" s="11"/>
      <c r="V19" s="11"/>
      <c r="W19" s="11"/>
      <c r="X19" s="11"/>
      <c r="Y19" s="11"/>
      <c r="Z19" s="12"/>
      <c r="AA19" s="12"/>
      <c r="AB19" s="12"/>
      <c r="AC19" s="10"/>
      <c r="AD19" s="10"/>
      <c r="AE19" s="10"/>
      <c r="AF19" s="10"/>
      <c r="AG19" s="10"/>
      <c r="AH19" s="10"/>
      <c r="AI19" s="13"/>
      <c r="AJ19" s="13"/>
      <c r="AK19" s="13"/>
      <c r="AL19" s="13"/>
      <c r="AM19" s="13"/>
      <c r="AN19" s="13"/>
      <c r="AO19" s="13"/>
      <c r="AP19" s="13"/>
      <c r="AQ19" s="13"/>
      <c r="AR19" s="13"/>
      <c r="AS19" s="13"/>
      <c r="AT19" s="13"/>
      <c r="AU19" s="22" t="s">
        <v>151</v>
      </c>
      <c r="AV19" s="8" t="s">
        <v>152</v>
      </c>
      <c r="AW19" s="8" t="s">
        <v>153</v>
      </c>
      <c r="AX19" s="8" t="s">
        <v>154</v>
      </c>
      <c r="AY19" s="8" t="s">
        <v>155</v>
      </c>
      <c r="AZ19" s="8" t="s">
        <v>156</v>
      </c>
    </row>
    <row r="20">
      <c r="B20" s="15" t="s">
        <v>43</v>
      </c>
      <c r="C20" s="15" t="s">
        <v>157</v>
      </c>
      <c r="D20" s="16" t="str">
        <f t="shared" si="1"/>
        <v/>
      </c>
      <c r="E20" s="17">
        <v>96.0</v>
      </c>
      <c r="F20" s="17">
        <v>30.0</v>
      </c>
      <c r="G20" s="17">
        <v>2.5</v>
      </c>
      <c r="H20" s="17" t="b">
        <v>0</v>
      </c>
      <c r="I20" s="17" t="s">
        <v>51</v>
      </c>
      <c r="J20" s="17">
        <v>1.0</v>
      </c>
      <c r="K20" s="17"/>
      <c r="L20" s="18"/>
      <c r="M20" s="18"/>
      <c r="N20" s="18"/>
      <c r="O20" s="18"/>
      <c r="P20" s="18"/>
      <c r="Q20" s="17"/>
      <c r="R20" s="18"/>
      <c r="S20" s="18"/>
      <c r="T20" s="18"/>
      <c r="U20" s="18"/>
      <c r="V20" s="18"/>
      <c r="W20" s="18"/>
      <c r="X20" s="18"/>
      <c r="Y20" s="18"/>
      <c r="Z20" s="19"/>
      <c r="AA20" s="19"/>
      <c r="AB20" s="19"/>
      <c r="AC20" s="17"/>
      <c r="AD20" s="17"/>
      <c r="AE20" s="17"/>
      <c r="AF20" s="17"/>
      <c r="AG20" s="17"/>
      <c r="AH20" s="17"/>
      <c r="AI20" s="20"/>
      <c r="AJ20" s="20"/>
      <c r="AK20" s="17">
        <v>200.0</v>
      </c>
      <c r="AL20" s="17"/>
      <c r="AM20" s="20"/>
      <c r="AN20" s="20"/>
      <c r="AO20" s="17">
        <v>30.0</v>
      </c>
      <c r="AP20" s="17">
        <v>360.0</v>
      </c>
      <c r="AQ20" s="17">
        <v>900.0</v>
      </c>
      <c r="AR20" s="17"/>
      <c r="AS20" s="17"/>
      <c r="AT20" s="17"/>
      <c r="AU20" s="25" t="s">
        <v>158</v>
      </c>
      <c r="AV20" s="15" t="s">
        <v>159</v>
      </c>
      <c r="AW20" s="15" t="s">
        <v>160</v>
      </c>
      <c r="AX20" s="15" t="s">
        <v>161</v>
      </c>
      <c r="AY20" s="15"/>
      <c r="AZ20" s="15"/>
    </row>
    <row r="21">
      <c r="B21" s="8" t="s">
        <v>60</v>
      </c>
      <c r="C21" s="8" t="s">
        <v>162</v>
      </c>
      <c r="D21" s="9" t="str">
        <f t="shared" si="1"/>
        <v/>
      </c>
      <c r="E21" s="10">
        <v>96.0</v>
      </c>
      <c r="F21" s="10">
        <v>30.0</v>
      </c>
      <c r="G21" s="10">
        <v>2.5</v>
      </c>
      <c r="H21" s="10" t="b">
        <v>0</v>
      </c>
      <c r="I21" s="10" t="s">
        <v>51</v>
      </c>
      <c r="J21" s="10">
        <v>1.0</v>
      </c>
      <c r="K21" s="10"/>
      <c r="L21" s="11"/>
      <c r="M21" s="11"/>
      <c r="N21" s="11"/>
      <c r="O21" s="11"/>
      <c r="P21" s="11"/>
      <c r="Q21" s="10"/>
      <c r="R21" s="11"/>
      <c r="S21" s="11"/>
      <c r="T21" s="11"/>
      <c r="U21" s="11"/>
      <c r="V21" s="11"/>
      <c r="W21" s="11"/>
      <c r="X21" s="11"/>
      <c r="Y21" s="11"/>
      <c r="Z21" s="12"/>
      <c r="AA21" s="12"/>
      <c r="AB21" s="12"/>
      <c r="AC21" s="26"/>
      <c r="AD21" s="26"/>
      <c r="AE21" s="26"/>
      <c r="AF21" s="26"/>
      <c r="AG21" s="26"/>
      <c r="AH21" s="10"/>
      <c r="AI21" s="10"/>
      <c r="AJ21" s="10"/>
      <c r="AK21" s="10">
        <v>100.0</v>
      </c>
      <c r="AL21" s="10"/>
      <c r="AM21" s="13"/>
      <c r="AN21" s="13"/>
      <c r="AO21" s="10">
        <v>30.0</v>
      </c>
      <c r="AP21" s="10">
        <v>360.0</v>
      </c>
      <c r="AQ21" s="10">
        <v>800.0</v>
      </c>
      <c r="AR21" s="10"/>
      <c r="AS21" s="10"/>
      <c r="AT21" s="10"/>
      <c r="AU21" s="14" t="s">
        <v>163</v>
      </c>
      <c r="AV21" s="8" t="s">
        <v>164</v>
      </c>
      <c r="AW21" s="8" t="s">
        <v>165</v>
      </c>
      <c r="AX21" s="8" t="s">
        <v>166</v>
      </c>
      <c r="AY21" s="8"/>
      <c r="AZ21" s="8"/>
    </row>
    <row r="22">
      <c r="B22" s="15" t="s">
        <v>65</v>
      </c>
      <c r="C22" s="15" t="s">
        <v>167</v>
      </c>
      <c r="D22" s="16" t="str">
        <f t="shared" si="1"/>
        <v/>
      </c>
      <c r="E22" s="17">
        <v>96.0</v>
      </c>
      <c r="F22" s="17">
        <v>15.0</v>
      </c>
      <c r="G22" s="17">
        <v>2.5</v>
      </c>
      <c r="H22" s="17" t="b">
        <v>0</v>
      </c>
      <c r="I22" s="17" t="s">
        <v>51</v>
      </c>
      <c r="J22" s="17">
        <v>1.0</v>
      </c>
      <c r="K22" s="17"/>
      <c r="L22" s="18"/>
      <c r="M22" s="18"/>
      <c r="N22" s="18"/>
      <c r="O22" s="18"/>
      <c r="P22" s="18"/>
      <c r="Q22" s="17"/>
      <c r="R22" s="18"/>
      <c r="S22" s="18"/>
      <c r="T22" s="18"/>
      <c r="U22" s="18" t="s">
        <v>67</v>
      </c>
      <c r="V22" s="18"/>
      <c r="W22" s="18"/>
      <c r="X22" s="18"/>
      <c r="Y22" s="18"/>
      <c r="Z22" s="19"/>
      <c r="AA22" s="19">
        <v>30.0</v>
      </c>
      <c r="AB22" s="19">
        <v>312.5</v>
      </c>
      <c r="AC22" s="24"/>
      <c r="AD22" s="24"/>
      <c r="AE22" s="24"/>
      <c r="AF22" s="24"/>
      <c r="AG22" s="24"/>
      <c r="AH22" s="17"/>
      <c r="AI22" s="17"/>
      <c r="AJ22" s="17"/>
      <c r="AK22" s="17">
        <v>250.0</v>
      </c>
      <c r="AL22" s="17"/>
      <c r="AM22" s="17">
        <v>15.0</v>
      </c>
      <c r="AN22" s="17">
        <v>175.0</v>
      </c>
      <c r="AO22" s="20"/>
      <c r="AP22" s="20"/>
      <c r="AQ22" s="20"/>
      <c r="AR22" s="20"/>
      <c r="AS22" s="20"/>
      <c r="AT22" s="20"/>
      <c r="AU22" s="25" t="s">
        <v>168</v>
      </c>
      <c r="AV22" s="15" t="s">
        <v>169</v>
      </c>
      <c r="AW22" s="15" t="s">
        <v>170</v>
      </c>
      <c r="AX22" s="15" t="s">
        <v>171</v>
      </c>
      <c r="AY22" s="15"/>
      <c r="AZ22" s="15"/>
    </row>
    <row r="23">
      <c r="B23" s="8" t="s">
        <v>93</v>
      </c>
      <c r="C23" s="8" t="s">
        <v>172</v>
      </c>
      <c r="D23" s="9" t="str">
        <f t="shared" si="1"/>
        <v/>
      </c>
      <c r="E23" s="10">
        <v>94.0</v>
      </c>
      <c r="F23" s="10">
        <v>20.0</v>
      </c>
      <c r="G23" s="10">
        <v>90.0</v>
      </c>
      <c r="H23" s="10" t="b">
        <v>1</v>
      </c>
      <c r="I23" s="10" t="s">
        <v>45</v>
      </c>
      <c r="J23" s="10">
        <v>1.0</v>
      </c>
      <c r="K23" s="10">
        <v>20.0</v>
      </c>
      <c r="L23" s="11">
        <v>0.8</v>
      </c>
      <c r="M23" s="11">
        <v>0.8</v>
      </c>
      <c r="N23" s="11">
        <v>0.8</v>
      </c>
      <c r="O23" s="11"/>
      <c r="P23" s="11"/>
      <c r="Q23" s="10"/>
      <c r="R23" s="11"/>
      <c r="S23" s="11"/>
      <c r="T23" s="11"/>
      <c r="U23" s="11"/>
      <c r="V23" s="11"/>
      <c r="W23" s="11"/>
      <c r="X23" s="11"/>
      <c r="Y23" s="11"/>
      <c r="Z23" s="12"/>
      <c r="AA23" s="12"/>
      <c r="AB23" s="12"/>
      <c r="AC23" s="10"/>
      <c r="AD23" s="10"/>
      <c r="AE23" s="10" t="s">
        <v>173</v>
      </c>
      <c r="AF23" s="10">
        <v>20.0</v>
      </c>
      <c r="AG23" s="38"/>
      <c r="AH23" s="26">
        <v>1.15</v>
      </c>
      <c r="AI23" s="39"/>
      <c r="AJ23" s="39"/>
      <c r="AK23" s="39"/>
      <c r="AL23" s="39"/>
      <c r="AM23" s="39"/>
      <c r="AN23" s="39"/>
      <c r="AO23" s="39"/>
      <c r="AP23" s="39"/>
      <c r="AQ23" s="39"/>
      <c r="AR23" s="39"/>
      <c r="AS23" s="39"/>
      <c r="AT23" s="39"/>
      <c r="AU23" s="22" t="s">
        <v>174</v>
      </c>
      <c r="AV23" s="8" t="s">
        <v>175</v>
      </c>
      <c r="AW23" s="8" t="s">
        <v>176</v>
      </c>
      <c r="AX23" s="8" t="s">
        <v>177</v>
      </c>
      <c r="AY23" s="8" t="s">
        <v>178</v>
      </c>
      <c r="AZ23" s="8" t="s">
        <v>179</v>
      </c>
    </row>
    <row r="24">
      <c r="B24" s="15" t="s">
        <v>180</v>
      </c>
      <c r="C24" s="15" t="s">
        <v>181</v>
      </c>
      <c r="D24" s="16" t="str">
        <f t="shared" si="1"/>
        <v/>
      </c>
      <c r="E24" s="17">
        <v>92.0</v>
      </c>
      <c r="F24" s="17">
        <v>15.0</v>
      </c>
      <c r="G24" s="17">
        <v>120.0</v>
      </c>
      <c r="H24" s="17" t="b">
        <v>1</v>
      </c>
      <c r="I24" s="17" t="s">
        <v>45</v>
      </c>
      <c r="J24" s="17">
        <v>1.0</v>
      </c>
      <c r="K24" s="17">
        <v>15.0</v>
      </c>
      <c r="L24" s="18">
        <v>0.6</v>
      </c>
      <c r="M24" s="18">
        <v>0.6</v>
      </c>
      <c r="N24" s="18">
        <v>0.6</v>
      </c>
      <c r="O24" s="18"/>
      <c r="P24" s="18"/>
      <c r="Q24" s="17"/>
      <c r="R24" s="18"/>
      <c r="S24" s="18"/>
      <c r="T24" s="18"/>
      <c r="U24" s="18"/>
      <c r="V24" s="18"/>
      <c r="W24" s="18"/>
      <c r="X24" s="18"/>
      <c r="Y24" s="18"/>
      <c r="Z24" s="19"/>
      <c r="AA24" s="19"/>
      <c r="AB24" s="19"/>
      <c r="AC24" s="24">
        <v>15.0</v>
      </c>
      <c r="AD24" s="24">
        <v>1.2</v>
      </c>
      <c r="AE24" s="43"/>
      <c r="AF24" s="43"/>
      <c r="AG24" s="43"/>
      <c r="AH24" s="43"/>
      <c r="AI24" s="44"/>
      <c r="AJ24" s="44"/>
      <c r="AK24" s="44"/>
      <c r="AL24" s="45">
        <v>0.2</v>
      </c>
      <c r="AM24" s="44"/>
      <c r="AN24" s="44"/>
      <c r="AO24" s="44"/>
      <c r="AP24" s="44"/>
      <c r="AQ24" s="44"/>
      <c r="AR24" s="44"/>
      <c r="AS24" s="44"/>
      <c r="AT24" s="44"/>
      <c r="AU24" s="21" t="s">
        <v>182</v>
      </c>
      <c r="AV24" s="15" t="s">
        <v>183</v>
      </c>
      <c r="AW24" s="15" t="s">
        <v>184</v>
      </c>
      <c r="AX24" s="15" t="s">
        <v>185</v>
      </c>
      <c r="AY24" s="15"/>
      <c r="AZ24" s="15"/>
    </row>
    <row r="25">
      <c r="B25" s="8" t="s">
        <v>186</v>
      </c>
      <c r="C25" s="8" t="s">
        <v>187</v>
      </c>
      <c r="D25" s="9" t="str">
        <f t="shared" si="1"/>
        <v/>
      </c>
      <c r="E25" s="10">
        <v>92.0</v>
      </c>
      <c r="F25" s="10">
        <v>15.0</v>
      </c>
      <c r="G25" s="10">
        <v>120.0</v>
      </c>
      <c r="H25" s="10" t="b">
        <v>1</v>
      </c>
      <c r="I25" s="10" t="s">
        <v>45</v>
      </c>
      <c r="J25" s="10">
        <v>1.0</v>
      </c>
      <c r="K25" s="10">
        <v>15.0</v>
      </c>
      <c r="L25" s="11">
        <v>0.6</v>
      </c>
      <c r="M25" s="11">
        <v>0.6</v>
      </c>
      <c r="N25" s="11">
        <v>0.6</v>
      </c>
      <c r="O25" s="11"/>
      <c r="P25" s="11"/>
      <c r="Q25" s="10"/>
      <c r="R25" s="11"/>
      <c r="S25" s="11"/>
      <c r="T25" s="11"/>
      <c r="U25" s="11"/>
      <c r="V25" s="11"/>
      <c r="W25" s="11"/>
      <c r="X25" s="11"/>
      <c r="Y25" s="11"/>
      <c r="Z25" s="12"/>
      <c r="AA25" s="12"/>
      <c r="AB25" s="12"/>
      <c r="AC25" s="26"/>
      <c r="AD25" s="26"/>
      <c r="AE25" s="26"/>
      <c r="AF25" s="26"/>
      <c r="AG25" s="26"/>
      <c r="AH25" s="26"/>
      <c r="AI25" s="10"/>
      <c r="AJ25" s="10"/>
      <c r="AK25" s="10"/>
      <c r="AL25" s="10"/>
      <c r="AM25" s="10"/>
      <c r="AN25" s="10"/>
      <c r="AO25" s="10">
        <v>15.0</v>
      </c>
      <c r="AP25" s="10">
        <v>1000.0</v>
      </c>
      <c r="AQ25" s="10"/>
      <c r="AR25" s="10"/>
      <c r="AS25" s="10"/>
      <c r="AT25" s="10"/>
      <c r="AU25" s="14" t="s">
        <v>188</v>
      </c>
      <c r="AV25" s="8" t="s">
        <v>189</v>
      </c>
      <c r="AW25" s="8" t="s">
        <v>190</v>
      </c>
      <c r="AX25" s="8" t="s">
        <v>191</v>
      </c>
      <c r="AY25" s="8"/>
      <c r="AZ25" s="8"/>
    </row>
    <row r="26">
      <c r="B26" s="15" t="s">
        <v>192</v>
      </c>
      <c r="C26" s="15" t="s">
        <v>193</v>
      </c>
      <c r="D26" s="16" t="str">
        <f t="shared" si="1"/>
        <v/>
      </c>
      <c r="E26" s="17">
        <v>92.0</v>
      </c>
      <c r="F26" s="17">
        <v>15.0</v>
      </c>
      <c r="G26" s="17">
        <v>120.0</v>
      </c>
      <c r="H26" s="17" t="b">
        <v>1</v>
      </c>
      <c r="I26" s="17" t="s">
        <v>45</v>
      </c>
      <c r="J26" s="17">
        <v>1.0</v>
      </c>
      <c r="K26" s="17">
        <v>15.0</v>
      </c>
      <c r="L26" s="18">
        <v>0.6</v>
      </c>
      <c r="M26" s="18">
        <v>0.6</v>
      </c>
      <c r="N26" s="18">
        <v>0.6</v>
      </c>
      <c r="O26" s="18"/>
      <c r="P26" s="18"/>
      <c r="Q26" s="17"/>
      <c r="R26" s="18"/>
      <c r="S26" s="18"/>
      <c r="T26" s="18"/>
      <c r="U26" s="18"/>
      <c r="V26" s="18"/>
      <c r="W26" s="18"/>
      <c r="X26" s="18"/>
      <c r="Y26" s="18"/>
      <c r="Z26" s="19"/>
      <c r="AA26" s="19"/>
      <c r="AB26" s="19"/>
      <c r="AC26" s="43"/>
      <c r="AD26" s="43"/>
      <c r="AE26" s="43"/>
      <c r="AF26" s="43"/>
      <c r="AG26" s="43"/>
      <c r="AH26" s="43"/>
      <c r="AI26" s="44"/>
      <c r="AJ26" s="44"/>
      <c r="AK26" s="45">
        <v>1200.0</v>
      </c>
      <c r="AL26" s="45"/>
      <c r="AM26" s="44"/>
      <c r="AN26" s="44"/>
      <c r="AO26" s="44"/>
      <c r="AP26" s="44"/>
      <c r="AQ26" s="44"/>
      <c r="AR26" s="44"/>
      <c r="AS26" s="44"/>
      <c r="AT26" s="44"/>
      <c r="AU26" s="21" t="s">
        <v>194</v>
      </c>
      <c r="AV26" s="15" t="s">
        <v>195</v>
      </c>
      <c r="AW26" s="15" t="s">
        <v>196</v>
      </c>
      <c r="AX26" s="15" t="s">
        <v>197</v>
      </c>
      <c r="AY26" s="15"/>
      <c r="AZ26" s="15"/>
    </row>
    <row r="27">
      <c r="B27" s="8" t="s">
        <v>198</v>
      </c>
      <c r="C27" s="8" t="s">
        <v>199</v>
      </c>
      <c r="D27" s="9" t="str">
        <f t="shared" si="1"/>
        <v/>
      </c>
      <c r="E27" s="10">
        <v>92.0</v>
      </c>
      <c r="F27" s="10">
        <v>15.0</v>
      </c>
      <c r="G27" s="10">
        <v>120.0</v>
      </c>
      <c r="H27" s="10" t="b">
        <v>1</v>
      </c>
      <c r="I27" s="10" t="s">
        <v>45</v>
      </c>
      <c r="J27" s="10">
        <v>1.0</v>
      </c>
      <c r="K27" s="10">
        <v>15.0</v>
      </c>
      <c r="L27" s="11">
        <v>0.6</v>
      </c>
      <c r="M27" s="11">
        <v>0.6</v>
      </c>
      <c r="N27" s="11">
        <v>0.6</v>
      </c>
      <c r="O27" s="11"/>
      <c r="P27" s="11"/>
      <c r="Q27" s="10"/>
      <c r="R27" s="11"/>
      <c r="S27" s="11"/>
      <c r="T27" s="11"/>
      <c r="U27" s="11"/>
      <c r="V27" s="11"/>
      <c r="W27" s="11"/>
      <c r="X27" s="11"/>
      <c r="Y27" s="11"/>
      <c r="Z27" s="12"/>
      <c r="AA27" s="12"/>
      <c r="AB27" s="12"/>
      <c r="AC27" s="38"/>
      <c r="AD27" s="38"/>
      <c r="AE27" s="38"/>
      <c r="AF27" s="38"/>
      <c r="AG27" s="38"/>
      <c r="AH27" s="38"/>
      <c r="AI27" s="39"/>
      <c r="AJ27" s="39"/>
      <c r="AK27" s="46"/>
      <c r="AL27" s="46"/>
      <c r="AM27" s="10">
        <v>15.0</v>
      </c>
      <c r="AN27" s="46">
        <v>400.0</v>
      </c>
      <c r="AO27" s="39"/>
      <c r="AP27" s="39"/>
      <c r="AQ27" s="39"/>
      <c r="AR27" s="39"/>
      <c r="AS27" s="39"/>
      <c r="AT27" s="39"/>
      <c r="AU27" s="14" t="s">
        <v>200</v>
      </c>
      <c r="AV27" s="8" t="s">
        <v>201</v>
      </c>
      <c r="AW27" s="8" t="s">
        <v>202</v>
      </c>
      <c r="AX27" s="8" t="s">
        <v>201</v>
      </c>
      <c r="AY27" s="8"/>
      <c r="AZ27" s="8"/>
    </row>
    <row r="28">
      <c r="B28" s="15" t="s">
        <v>72</v>
      </c>
      <c r="C28" s="15" t="s">
        <v>203</v>
      </c>
      <c r="D28" s="16" t="str">
        <f t="shared" si="1"/>
        <v/>
      </c>
      <c r="E28" s="17">
        <v>92.0</v>
      </c>
      <c r="F28" s="17">
        <v>15.0</v>
      </c>
      <c r="G28" s="17">
        <v>2.5</v>
      </c>
      <c r="H28" s="17" t="b">
        <v>0</v>
      </c>
      <c r="I28" s="17" t="s">
        <v>51</v>
      </c>
      <c r="J28" s="17">
        <v>1.0</v>
      </c>
      <c r="K28" s="17"/>
      <c r="L28" s="18"/>
      <c r="M28" s="18"/>
      <c r="N28" s="18"/>
      <c r="O28" s="18"/>
      <c r="P28" s="18"/>
      <c r="Q28" s="17"/>
      <c r="R28" s="18"/>
      <c r="S28" s="18"/>
      <c r="T28" s="18"/>
      <c r="U28" s="15" t="s">
        <v>204</v>
      </c>
      <c r="V28" s="18"/>
      <c r="W28" s="18"/>
      <c r="X28" s="18"/>
      <c r="Y28" s="18"/>
      <c r="Z28" s="19">
        <v>450.0</v>
      </c>
      <c r="AA28" s="19"/>
      <c r="AB28" s="19"/>
      <c r="AC28" s="24"/>
      <c r="AD28" s="24"/>
      <c r="AE28" s="24"/>
      <c r="AF28" s="24"/>
      <c r="AG28" s="24"/>
      <c r="AH28" s="17"/>
      <c r="AI28" s="17"/>
      <c r="AJ28" s="17"/>
      <c r="AK28" s="17">
        <v>250.0</v>
      </c>
      <c r="AL28" s="17"/>
      <c r="AM28" s="17">
        <v>15.0</v>
      </c>
      <c r="AN28" s="17">
        <v>175.0</v>
      </c>
      <c r="AO28" s="20"/>
      <c r="AP28" s="20"/>
      <c r="AQ28" s="17">
        <v>1000.0</v>
      </c>
      <c r="AR28" s="17"/>
      <c r="AS28" s="17"/>
      <c r="AT28" s="17"/>
      <c r="AU28" s="25" t="s">
        <v>205</v>
      </c>
      <c r="AV28" s="15" t="s">
        <v>206</v>
      </c>
      <c r="AW28" s="15" t="s">
        <v>207</v>
      </c>
      <c r="AX28" s="15" t="s">
        <v>208</v>
      </c>
      <c r="AY28" s="15"/>
      <c r="AZ28" s="15"/>
    </row>
    <row r="29">
      <c r="B29" s="8" t="s">
        <v>43</v>
      </c>
      <c r="C29" s="8" t="s">
        <v>209</v>
      </c>
      <c r="D29" s="9" t="str">
        <f t="shared" si="1"/>
        <v/>
      </c>
      <c r="E29" s="10">
        <v>90.0</v>
      </c>
      <c r="F29" s="10">
        <v>20.0</v>
      </c>
      <c r="G29" s="10">
        <v>120.0</v>
      </c>
      <c r="H29" s="10" t="b">
        <v>1</v>
      </c>
      <c r="I29" s="10" t="s">
        <v>51</v>
      </c>
      <c r="J29" s="10">
        <v>1.0</v>
      </c>
      <c r="K29" s="10">
        <v>20.0</v>
      </c>
      <c r="L29" s="11">
        <v>0.9</v>
      </c>
      <c r="M29" s="11">
        <v>0.9</v>
      </c>
      <c r="N29" s="11">
        <v>0.9</v>
      </c>
      <c r="O29" s="11"/>
      <c r="P29" s="11"/>
      <c r="Q29" s="10"/>
      <c r="R29" s="11"/>
      <c r="S29" s="11"/>
      <c r="T29" s="11"/>
      <c r="U29" s="11"/>
      <c r="V29" s="11"/>
      <c r="W29" s="11"/>
      <c r="X29" s="11"/>
      <c r="Y29" s="11"/>
      <c r="Z29" s="12"/>
      <c r="AA29" s="12"/>
      <c r="AB29" s="12"/>
      <c r="AC29" s="10"/>
      <c r="AD29" s="10"/>
      <c r="AE29" s="10"/>
      <c r="AF29" s="10"/>
      <c r="AG29" s="10"/>
      <c r="AH29" s="10"/>
      <c r="AI29" s="13"/>
      <c r="AJ29" s="13"/>
      <c r="AK29" s="13"/>
      <c r="AL29" s="13"/>
      <c r="AM29" s="13"/>
      <c r="AN29" s="13"/>
      <c r="AO29" s="13"/>
      <c r="AP29" s="13"/>
      <c r="AQ29" s="13"/>
      <c r="AR29" s="13"/>
      <c r="AS29" s="13"/>
      <c r="AT29" s="13"/>
      <c r="AU29" s="22" t="s">
        <v>210</v>
      </c>
      <c r="AV29" s="8" t="s">
        <v>211</v>
      </c>
      <c r="AW29" s="8" t="s">
        <v>212</v>
      </c>
      <c r="AX29" s="8" t="s">
        <v>213</v>
      </c>
      <c r="AY29" s="8" t="s">
        <v>214</v>
      </c>
      <c r="AZ29" s="8" t="s">
        <v>215</v>
      </c>
    </row>
    <row r="30">
      <c r="B30" s="15" t="s">
        <v>60</v>
      </c>
      <c r="C30" s="15" t="s">
        <v>216</v>
      </c>
      <c r="D30" s="16" t="str">
        <f t="shared" si="1"/>
        <v/>
      </c>
      <c r="E30" s="17">
        <v>90.0</v>
      </c>
      <c r="F30" s="17">
        <v>0.0</v>
      </c>
      <c r="G30" s="17">
        <v>120.0</v>
      </c>
      <c r="H30" s="17" t="b">
        <v>1</v>
      </c>
      <c r="I30" s="17" t="s">
        <v>51</v>
      </c>
      <c r="J30" s="17">
        <v>1.0</v>
      </c>
      <c r="K30" s="17"/>
      <c r="L30" s="18"/>
      <c r="M30" s="18"/>
      <c r="N30" s="18"/>
      <c r="O30" s="18"/>
      <c r="P30" s="18"/>
      <c r="Q30" s="17"/>
      <c r="R30" s="18"/>
      <c r="S30" s="18"/>
      <c r="T30" s="18"/>
      <c r="U30" s="18"/>
      <c r="V30" s="18"/>
      <c r="W30" s="18"/>
      <c r="X30" s="18"/>
      <c r="Y30" s="18"/>
      <c r="Z30" s="19"/>
      <c r="AA30" s="19"/>
      <c r="AB30" s="19"/>
      <c r="AC30" s="24"/>
      <c r="AD30" s="24"/>
      <c r="AE30" s="24"/>
      <c r="AF30" s="24"/>
      <c r="AG30" s="24"/>
      <c r="AH30" s="17"/>
      <c r="AI30" s="17"/>
      <c r="AJ30" s="17"/>
      <c r="AK30" s="17">
        <v>600.0</v>
      </c>
      <c r="AL30" s="17"/>
      <c r="AM30" s="20"/>
      <c r="AN30" s="20"/>
      <c r="AO30" s="17"/>
      <c r="AP30" s="17"/>
      <c r="AQ30" s="17">
        <v>700.0</v>
      </c>
      <c r="AR30" s="17"/>
      <c r="AS30" s="17"/>
      <c r="AT30" s="17"/>
      <c r="AU30" s="25" t="s">
        <v>217</v>
      </c>
      <c r="AV30" s="15" t="s">
        <v>218</v>
      </c>
      <c r="AW30" s="15" t="s">
        <v>218</v>
      </c>
      <c r="AX30" s="15" t="s">
        <v>218</v>
      </c>
      <c r="AY30" s="15" t="s">
        <v>219</v>
      </c>
      <c r="AZ30" s="15" t="s">
        <v>220</v>
      </c>
    </row>
    <row r="31">
      <c r="B31" s="8" t="s">
        <v>65</v>
      </c>
      <c r="C31" s="8" t="s">
        <v>221</v>
      </c>
      <c r="D31" s="9" t="str">
        <f t="shared" si="1"/>
        <v/>
      </c>
      <c r="E31" s="10">
        <v>90.0</v>
      </c>
      <c r="F31" s="10">
        <v>0.0</v>
      </c>
      <c r="G31" s="10">
        <v>180.0</v>
      </c>
      <c r="H31" s="10" t="b">
        <v>1</v>
      </c>
      <c r="I31" s="10" t="s">
        <v>51</v>
      </c>
      <c r="J31" s="10">
        <v>1.0</v>
      </c>
      <c r="K31" s="10"/>
      <c r="L31" s="11"/>
      <c r="M31" s="11"/>
      <c r="N31" s="11"/>
      <c r="O31" s="11"/>
      <c r="P31" s="11"/>
      <c r="Q31" s="10"/>
      <c r="R31" s="11"/>
      <c r="S31" s="11"/>
      <c r="T31" s="11"/>
      <c r="U31" s="11"/>
      <c r="V31" s="11"/>
      <c r="W31" s="11"/>
      <c r="X31" s="11"/>
      <c r="Y31" s="11"/>
      <c r="Z31" s="12"/>
      <c r="AA31" s="12"/>
      <c r="AB31" s="12"/>
      <c r="AC31" s="26"/>
      <c r="AD31" s="26"/>
      <c r="AE31" s="26"/>
      <c r="AF31" s="26"/>
      <c r="AG31" s="26"/>
      <c r="AH31" s="10"/>
      <c r="AI31" s="10"/>
      <c r="AJ31" s="10"/>
      <c r="AK31" s="10">
        <v>200.0</v>
      </c>
      <c r="AL31" s="10"/>
      <c r="AM31" s="13"/>
      <c r="AN31" s="13"/>
      <c r="AO31" s="13"/>
      <c r="AP31" s="13"/>
      <c r="AQ31" s="13"/>
      <c r="AR31" s="13"/>
      <c r="AS31" s="13"/>
      <c r="AT31" s="13"/>
      <c r="AU31" s="22" t="s">
        <v>222</v>
      </c>
      <c r="AV31" s="8" t="s">
        <v>223</v>
      </c>
      <c r="AW31" s="8" t="s">
        <v>224</v>
      </c>
      <c r="AX31" s="8" t="s">
        <v>225</v>
      </c>
      <c r="AY31" s="8" t="s">
        <v>226</v>
      </c>
      <c r="AZ31" s="8" t="s">
        <v>227</v>
      </c>
    </row>
    <row r="32">
      <c r="B32" s="15" t="s">
        <v>65</v>
      </c>
      <c r="C32" s="15" t="s">
        <v>228</v>
      </c>
      <c r="D32" s="16" t="str">
        <f t="shared" si="1"/>
        <v/>
      </c>
      <c r="E32" s="17">
        <v>90.0</v>
      </c>
      <c r="F32" s="17">
        <v>0.0</v>
      </c>
      <c r="G32" s="17">
        <v>180.0</v>
      </c>
      <c r="H32" s="17" t="b">
        <v>1</v>
      </c>
      <c r="I32" s="17" t="s">
        <v>51</v>
      </c>
      <c r="J32" s="17">
        <v>1.0</v>
      </c>
      <c r="K32" s="17"/>
      <c r="L32" s="18"/>
      <c r="M32" s="18"/>
      <c r="N32" s="18"/>
      <c r="O32" s="18"/>
      <c r="P32" s="18"/>
      <c r="Q32" s="17"/>
      <c r="R32" s="18"/>
      <c r="S32" s="18"/>
      <c r="T32" s="18"/>
      <c r="U32" s="18"/>
      <c r="V32" s="18"/>
      <c r="W32" s="18"/>
      <c r="X32" s="18"/>
      <c r="Y32" s="18"/>
      <c r="Z32" s="19"/>
      <c r="AA32" s="19"/>
      <c r="AB32" s="19"/>
      <c r="AC32" s="24"/>
      <c r="AD32" s="24"/>
      <c r="AE32" s="24"/>
      <c r="AF32" s="24"/>
      <c r="AG32" s="24"/>
      <c r="AH32" s="17"/>
      <c r="AI32" s="17"/>
      <c r="AJ32" s="17"/>
      <c r="AK32" s="17"/>
      <c r="AL32" s="17"/>
      <c r="AM32" s="20"/>
      <c r="AN32" s="20"/>
      <c r="AO32" s="20"/>
      <c r="AP32" s="20"/>
      <c r="AQ32" s="20"/>
      <c r="AR32" s="20"/>
      <c r="AS32" s="20"/>
      <c r="AT32" s="20"/>
      <c r="AU32" s="25" t="s">
        <v>222</v>
      </c>
      <c r="AV32" s="15" t="s">
        <v>229</v>
      </c>
      <c r="AW32" s="15" t="s">
        <v>230</v>
      </c>
      <c r="AX32" s="15" t="s">
        <v>231</v>
      </c>
      <c r="AY32" s="15" t="s">
        <v>232</v>
      </c>
      <c r="AZ32" s="15" t="s">
        <v>233</v>
      </c>
    </row>
    <row r="33">
      <c r="B33" s="8" t="s">
        <v>72</v>
      </c>
      <c r="C33" s="8" t="s">
        <v>234</v>
      </c>
      <c r="D33" s="9" t="str">
        <f t="shared" si="1"/>
        <v/>
      </c>
      <c r="E33" s="10">
        <v>90.0</v>
      </c>
      <c r="F33" s="10">
        <v>0.0</v>
      </c>
      <c r="G33" s="10">
        <v>180.0</v>
      </c>
      <c r="H33" s="10" t="b">
        <v>1</v>
      </c>
      <c r="I33" s="10" t="s">
        <v>51</v>
      </c>
      <c r="J33" s="10">
        <v>1.0</v>
      </c>
      <c r="K33" s="10"/>
      <c r="L33" s="11"/>
      <c r="M33" s="11"/>
      <c r="N33" s="11"/>
      <c r="O33" s="11"/>
      <c r="P33" s="11"/>
      <c r="Q33" s="10"/>
      <c r="R33" s="11"/>
      <c r="S33" s="11"/>
      <c r="T33" s="11"/>
      <c r="U33" s="11"/>
      <c r="V33" s="11"/>
      <c r="W33" s="11"/>
      <c r="X33" s="11"/>
      <c r="Y33" s="11"/>
      <c r="Z33" s="12"/>
      <c r="AA33" s="12"/>
      <c r="AB33" s="12"/>
      <c r="AC33" s="26"/>
      <c r="AD33" s="26"/>
      <c r="AE33" s="26"/>
      <c r="AF33" s="26"/>
      <c r="AG33" s="26"/>
      <c r="AH33" s="10"/>
      <c r="AI33" s="10"/>
      <c r="AJ33" s="10"/>
      <c r="AK33" s="10">
        <v>400.0</v>
      </c>
      <c r="AL33" s="10"/>
      <c r="AM33" s="13"/>
      <c r="AN33" s="13"/>
      <c r="AO33" s="13"/>
      <c r="AP33" s="13"/>
      <c r="AQ33" s="13"/>
      <c r="AR33" s="13"/>
      <c r="AS33" s="13"/>
      <c r="AT33" s="13"/>
      <c r="AU33" s="22" t="s">
        <v>235</v>
      </c>
      <c r="AV33" s="8" t="s">
        <v>236</v>
      </c>
      <c r="AW33" s="8" t="s">
        <v>237</v>
      </c>
      <c r="AX33" s="8" t="s">
        <v>238</v>
      </c>
      <c r="AY33" s="8" t="s">
        <v>239</v>
      </c>
      <c r="AZ33" s="8" t="s">
        <v>240</v>
      </c>
    </row>
    <row r="34">
      <c r="B34" s="15" t="s">
        <v>72</v>
      </c>
      <c r="C34" s="15" t="s">
        <v>241</v>
      </c>
      <c r="D34" s="16" t="str">
        <f t="shared" si="1"/>
        <v/>
      </c>
      <c r="E34" s="17">
        <v>90.0</v>
      </c>
      <c r="F34" s="17">
        <v>0.0</v>
      </c>
      <c r="G34" s="17">
        <v>180.0</v>
      </c>
      <c r="H34" s="17" t="b">
        <v>1</v>
      </c>
      <c r="I34" s="17" t="s">
        <v>51</v>
      </c>
      <c r="J34" s="17">
        <v>1.0</v>
      </c>
      <c r="K34" s="20"/>
      <c r="L34" s="18"/>
      <c r="M34" s="18"/>
      <c r="N34" s="18"/>
      <c r="O34" s="18"/>
      <c r="P34" s="18"/>
      <c r="Q34" s="17"/>
      <c r="R34" s="18"/>
      <c r="S34" s="18"/>
      <c r="T34" s="18"/>
      <c r="U34" s="18"/>
      <c r="V34" s="18"/>
      <c r="W34" s="18"/>
      <c r="X34" s="18"/>
      <c r="Y34" s="18"/>
      <c r="Z34" s="19"/>
      <c r="AA34" s="19"/>
      <c r="AB34" s="19"/>
      <c r="AC34" s="24"/>
      <c r="AD34" s="24"/>
      <c r="AE34" s="24"/>
      <c r="AF34" s="24"/>
      <c r="AG34" s="24"/>
      <c r="AH34" s="17"/>
      <c r="AI34" s="17"/>
      <c r="AJ34" s="17"/>
      <c r="AK34" s="17">
        <v>200.0</v>
      </c>
      <c r="AL34" s="17"/>
      <c r="AM34" s="20"/>
      <c r="AN34" s="20"/>
      <c r="AO34" s="20"/>
      <c r="AP34" s="20"/>
      <c r="AQ34" s="20"/>
      <c r="AR34" s="20"/>
      <c r="AS34" s="20"/>
      <c r="AT34" s="20"/>
      <c r="AU34" s="25" t="s">
        <v>235</v>
      </c>
      <c r="AV34" s="15" t="s">
        <v>242</v>
      </c>
      <c r="AW34" s="15" t="s">
        <v>243</v>
      </c>
      <c r="AX34" s="15" t="s">
        <v>244</v>
      </c>
      <c r="AY34" s="15" t="s">
        <v>245</v>
      </c>
      <c r="AZ34" s="15" t="s">
        <v>246</v>
      </c>
    </row>
    <row r="35">
      <c r="B35" s="8" t="s">
        <v>72</v>
      </c>
      <c r="C35" s="8" t="s">
        <v>247</v>
      </c>
      <c r="D35" s="9" t="str">
        <f t="shared" si="1"/>
        <v/>
      </c>
      <c r="E35" s="10">
        <v>90.0</v>
      </c>
      <c r="F35" s="10">
        <v>0.0</v>
      </c>
      <c r="G35" s="10">
        <v>180.0</v>
      </c>
      <c r="H35" s="10" t="b">
        <v>1</v>
      </c>
      <c r="I35" s="10" t="s">
        <v>51</v>
      </c>
      <c r="J35" s="10">
        <v>1.0</v>
      </c>
      <c r="K35" s="10"/>
      <c r="L35" s="11"/>
      <c r="M35" s="11"/>
      <c r="N35" s="11"/>
      <c r="O35" s="11"/>
      <c r="P35" s="11"/>
      <c r="Q35" s="10"/>
      <c r="R35" s="11"/>
      <c r="S35" s="11"/>
      <c r="T35" s="11"/>
      <c r="U35" s="11"/>
      <c r="V35" s="11"/>
      <c r="W35" s="11"/>
      <c r="X35" s="11"/>
      <c r="Y35" s="11"/>
      <c r="Z35" s="12"/>
      <c r="AA35" s="12"/>
      <c r="AB35" s="12"/>
      <c r="AC35" s="26"/>
      <c r="AD35" s="26"/>
      <c r="AE35" s="26"/>
      <c r="AF35" s="26"/>
      <c r="AG35" s="26"/>
      <c r="AH35" s="10"/>
      <c r="AI35" s="10"/>
      <c r="AJ35" s="10"/>
      <c r="AK35" s="10">
        <v>400.0</v>
      </c>
      <c r="AL35" s="10"/>
      <c r="AM35" s="13"/>
      <c r="AN35" s="13"/>
      <c r="AO35" s="13"/>
      <c r="AP35" s="13"/>
      <c r="AQ35" s="13"/>
      <c r="AR35" s="13"/>
      <c r="AS35" s="13"/>
      <c r="AT35" s="13"/>
      <c r="AU35" s="22" t="s">
        <v>235</v>
      </c>
      <c r="AV35" s="8" t="s">
        <v>248</v>
      </c>
      <c r="AW35" s="8" t="s">
        <v>249</v>
      </c>
      <c r="AX35" s="8" t="s">
        <v>250</v>
      </c>
      <c r="AY35" s="8" t="s">
        <v>251</v>
      </c>
      <c r="AZ35" s="8" t="s">
        <v>252</v>
      </c>
    </row>
    <row r="36">
      <c r="B36" s="15" t="s">
        <v>72</v>
      </c>
      <c r="C36" s="15" t="s">
        <v>253</v>
      </c>
      <c r="D36" s="16" t="str">
        <f t="shared" si="1"/>
        <v/>
      </c>
      <c r="E36" s="17">
        <v>90.0</v>
      </c>
      <c r="F36" s="17">
        <v>0.0</v>
      </c>
      <c r="G36" s="17">
        <v>180.0</v>
      </c>
      <c r="H36" s="17" t="b">
        <v>1</v>
      </c>
      <c r="I36" s="17" t="s">
        <v>51</v>
      </c>
      <c r="J36" s="17">
        <v>1.0</v>
      </c>
      <c r="K36" s="17"/>
      <c r="L36" s="18"/>
      <c r="M36" s="18"/>
      <c r="N36" s="18"/>
      <c r="O36" s="18"/>
      <c r="P36" s="18"/>
      <c r="Q36" s="17"/>
      <c r="R36" s="18"/>
      <c r="S36" s="18"/>
      <c r="T36" s="18"/>
      <c r="U36" s="18"/>
      <c r="V36" s="18"/>
      <c r="W36" s="18"/>
      <c r="X36" s="18"/>
      <c r="Y36" s="18"/>
      <c r="Z36" s="19"/>
      <c r="AA36" s="19"/>
      <c r="AB36" s="19"/>
      <c r="AC36" s="24"/>
      <c r="AD36" s="24"/>
      <c r="AE36" s="24"/>
      <c r="AF36" s="24"/>
      <c r="AG36" s="24"/>
      <c r="AH36" s="17"/>
      <c r="AI36" s="17"/>
      <c r="AJ36" s="17"/>
      <c r="AK36" s="17">
        <v>600.0</v>
      </c>
      <c r="AL36" s="17"/>
      <c r="AM36" s="20"/>
      <c r="AN36" s="20"/>
      <c r="AO36" s="20"/>
      <c r="AP36" s="20"/>
      <c r="AQ36" s="20"/>
      <c r="AR36" s="20"/>
      <c r="AS36" s="20"/>
      <c r="AT36" s="20"/>
      <c r="AU36" s="25" t="s">
        <v>235</v>
      </c>
      <c r="AV36" s="15" t="s">
        <v>254</v>
      </c>
      <c r="AW36" s="15" t="s">
        <v>255</v>
      </c>
      <c r="AX36" s="15" t="s">
        <v>256</v>
      </c>
      <c r="AY36" s="15" t="s">
        <v>257</v>
      </c>
      <c r="AZ36" s="15" t="s">
        <v>258</v>
      </c>
    </row>
    <row r="37">
      <c r="B37" s="8" t="s">
        <v>72</v>
      </c>
      <c r="C37" s="8" t="s">
        <v>259</v>
      </c>
      <c r="D37" s="9" t="str">
        <f t="shared" si="1"/>
        <v/>
      </c>
      <c r="E37" s="10">
        <v>90.0</v>
      </c>
      <c r="F37" s="10">
        <v>0.0</v>
      </c>
      <c r="G37" s="10">
        <v>180.0</v>
      </c>
      <c r="H37" s="10" t="b">
        <v>1</v>
      </c>
      <c r="I37" s="10" t="s">
        <v>51</v>
      </c>
      <c r="J37" s="10">
        <v>1.0</v>
      </c>
      <c r="K37" s="10"/>
      <c r="L37" s="11"/>
      <c r="M37" s="11"/>
      <c r="N37" s="11"/>
      <c r="O37" s="11"/>
      <c r="P37" s="11"/>
      <c r="Q37" s="10"/>
      <c r="R37" s="11"/>
      <c r="S37" s="11"/>
      <c r="T37" s="11"/>
      <c r="U37" s="11"/>
      <c r="V37" s="11"/>
      <c r="W37" s="11"/>
      <c r="X37" s="11"/>
      <c r="Y37" s="11"/>
      <c r="Z37" s="12"/>
      <c r="AA37" s="12"/>
      <c r="AB37" s="12"/>
      <c r="AC37" s="26"/>
      <c r="AD37" s="26"/>
      <c r="AE37" s="26"/>
      <c r="AF37" s="26"/>
      <c r="AG37" s="26"/>
      <c r="AH37" s="10"/>
      <c r="AI37" s="10"/>
      <c r="AJ37" s="10"/>
      <c r="AK37" s="10">
        <v>800.0</v>
      </c>
      <c r="AL37" s="10"/>
      <c r="AM37" s="13"/>
      <c r="AN37" s="13"/>
      <c r="AO37" s="13"/>
      <c r="AP37" s="13"/>
      <c r="AQ37" s="13"/>
      <c r="AR37" s="13"/>
      <c r="AS37" s="13"/>
      <c r="AT37" s="13"/>
      <c r="AU37" s="22" t="s">
        <v>235</v>
      </c>
      <c r="AV37" s="8" t="s">
        <v>260</v>
      </c>
      <c r="AW37" s="8" t="s">
        <v>261</v>
      </c>
      <c r="AX37" s="8" t="s">
        <v>262</v>
      </c>
      <c r="AY37" s="8" t="s">
        <v>263</v>
      </c>
      <c r="AZ37" s="8" t="s">
        <v>264</v>
      </c>
    </row>
    <row r="38">
      <c r="B38" s="15" t="s">
        <v>72</v>
      </c>
      <c r="C38" s="15" t="s">
        <v>265</v>
      </c>
      <c r="D38" s="16" t="str">
        <f t="shared" si="1"/>
        <v/>
      </c>
      <c r="E38" s="17">
        <v>90.0</v>
      </c>
      <c r="F38" s="17">
        <v>0.0</v>
      </c>
      <c r="G38" s="17">
        <v>180.0</v>
      </c>
      <c r="H38" s="17" t="b">
        <v>1</v>
      </c>
      <c r="I38" s="17" t="s">
        <v>51</v>
      </c>
      <c r="J38" s="17">
        <v>1.0</v>
      </c>
      <c r="K38" s="17"/>
      <c r="L38" s="18"/>
      <c r="M38" s="18"/>
      <c r="N38" s="18"/>
      <c r="O38" s="18"/>
      <c r="P38" s="18"/>
      <c r="Q38" s="17"/>
      <c r="R38" s="18"/>
      <c r="S38" s="18"/>
      <c r="T38" s="18"/>
      <c r="U38" s="18"/>
      <c r="V38" s="18"/>
      <c r="W38" s="18"/>
      <c r="X38" s="18"/>
      <c r="Y38" s="18"/>
      <c r="Z38" s="19"/>
      <c r="AA38" s="19"/>
      <c r="AB38" s="19"/>
      <c r="AC38" s="24"/>
      <c r="AD38" s="24"/>
      <c r="AE38" s="24"/>
      <c r="AF38" s="24"/>
      <c r="AG38" s="24"/>
      <c r="AH38" s="17"/>
      <c r="AI38" s="17"/>
      <c r="AJ38" s="17"/>
      <c r="AK38" s="17">
        <v>1000.0</v>
      </c>
      <c r="AL38" s="17"/>
      <c r="AM38" s="20"/>
      <c r="AN38" s="20"/>
      <c r="AO38" s="20"/>
      <c r="AP38" s="20"/>
      <c r="AQ38" s="20"/>
      <c r="AR38" s="20"/>
      <c r="AS38" s="20"/>
      <c r="AT38" s="20"/>
      <c r="AU38" s="25" t="s">
        <v>235</v>
      </c>
      <c r="AV38" s="15" t="s">
        <v>266</v>
      </c>
      <c r="AW38" s="15" t="s">
        <v>267</v>
      </c>
      <c r="AX38" s="15" t="s">
        <v>268</v>
      </c>
      <c r="AY38" s="15" t="s">
        <v>269</v>
      </c>
      <c r="AZ38" s="15" t="s">
        <v>270</v>
      </c>
    </row>
    <row r="39">
      <c r="B39" s="8" t="s">
        <v>186</v>
      </c>
      <c r="C39" s="8" t="s">
        <v>271</v>
      </c>
      <c r="D39" s="9" t="str">
        <f t="shared" si="1"/>
        <v/>
      </c>
      <c r="E39" s="10">
        <v>88.0</v>
      </c>
      <c r="F39" s="10">
        <v>30.0</v>
      </c>
      <c r="G39" s="47">
        <v>90.0</v>
      </c>
      <c r="H39" s="10" t="b">
        <v>1</v>
      </c>
      <c r="I39" s="10" t="s">
        <v>51</v>
      </c>
      <c r="J39" s="10">
        <v>1.0</v>
      </c>
      <c r="K39" s="47"/>
      <c r="L39" s="11"/>
      <c r="M39" s="11"/>
      <c r="N39" s="11"/>
      <c r="O39" s="11"/>
      <c r="P39" s="11"/>
      <c r="Q39" s="10"/>
      <c r="R39" s="11"/>
      <c r="S39" s="11"/>
      <c r="T39" s="11"/>
      <c r="U39" s="11"/>
      <c r="V39" s="11"/>
      <c r="W39" s="11"/>
      <c r="X39" s="11"/>
      <c r="Y39" s="11"/>
      <c r="Z39" s="12"/>
      <c r="AA39" s="12"/>
      <c r="AB39" s="12"/>
      <c r="AC39" s="26"/>
      <c r="AD39" s="26"/>
      <c r="AE39" s="26"/>
      <c r="AF39" s="26"/>
      <c r="AG39" s="26"/>
      <c r="AH39" s="26"/>
      <c r="AI39" s="47">
        <v>30.0</v>
      </c>
      <c r="AJ39" s="10">
        <v>0.1</v>
      </c>
      <c r="AK39" s="10">
        <v>400.0</v>
      </c>
      <c r="AL39" s="10"/>
      <c r="AM39" s="10"/>
      <c r="AN39" s="10"/>
      <c r="AO39" s="10"/>
      <c r="AP39" s="10"/>
      <c r="AQ39" s="10"/>
      <c r="AR39" s="10"/>
      <c r="AS39" s="10"/>
      <c r="AT39" s="10"/>
      <c r="AU39" s="22" t="s">
        <v>272</v>
      </c>
      <c r="AV39" s="8" t="s">
        <v>273</v>
      </c>
      <c r="AW39" s="8" t="s">
        <v>274</v>
      </c>
      <c r="AX39" s="8" t="s">
        <v>275</v>
      </c>
      <c r="AY39" s="8" t="s">
        <v>276</v>
      </c>
      <c r="AZ39" s="8" t="s">
        <v>277</v>
      </c>
    </row>
    <row r="40">
      <c r="B40" s="15" t="s">
        <v>278</v>
      </c>
      <c r="C40" s="15" t="s">
        <v>279</v>
      </c>
      <c r="D40" s="16" t="str">
        <f t="shared" si="1"/>
        <v/>
      </c>
      <c r="E40" s="17">
        <v>88.0</v>
      </c>
      <c r="F40" s="17">
        <v>10.0</v>
      </c>
      <c r="G40" s="17">
        <v>1.0</v>
      </c>
      <c r="H40" s="17" t="b">
        <v>1</v>
      </c>
      <c r="I40" s="17" t="s">
        <v>45</v>
      </c>
      <c r="J40" s="17">
        <v>1.0</v>
      </c>
      <c r="K40" s="17"/>
      <c r="L40" s="18"/>
      <c r="M40" s="18"/>
      <c r="N40" s="18"/>
      <c r="O40" s="18"/>
      <c r="P40" s="18"/>
      <c r="Q40" s="17"/>
      <c r="R40" s="18"/>
      <c r="S40" s="18"/>
      <c r="T40" s="18"/>
      <c r="U40" s="18"/>
      <c r="V40" s="18"/>
      <c r="W40" s="18"/>
      <c r="X40" s="18"/>
      <c r="Y40" s="18"/>
      <c r="Z40" s="19"/>
      <c r="AA40" s="19"/>
      <c r="AB40" s="19"/>
      <c r="AC40" s="43"/>
      <c r="AD40" s="43"/>
      <c r="AE40" s="43"/>
      <c r="AF40" s="43"/>
      <c r="AG40" s="43"/>
      <c r="AH40" s="43"/>
      <c r="AI40" s="17">
        <v>10.0</v>
      </c>
      <c r="AJ40" s="45">
        <v>0.1</v>
      </c>
      <c r="AK40" s="44"/>
      <c r="AL40" s="44"/>
      <c r="AM40" s="44"/>
      <c r="AN40" s="44"/>
      <c r="AO40" s="48"/>
      <c r="AP40" s="48"/>
      <c r="AQ40" s="44"/>
      <c r="AR40" s="45">
        <v>10.0</v>
      </c>
      <c r="AS40" s="45"/>
      <c r="AT40" s="44"/>
      <c r="AU40" s="25" t="s">
        <v>280</v>
      </c>
      <c r="AV40" s="15" t="s">
        <v>281</v>
      </c>
      <c r="AW40" s="15" t="s">
        <v>282</v>
      </c>
      <c r="AX40" s="15" t="s">
        <v>283</v>
      </c>
      <c r="AY40" s="15"/>
      <c r="AZ40" s="15"/>
    </row>
    <row r="41">
      <c r="B41" s="8" t="s">
        <v>43</v>
      </c>
      <c r="C41" s="8" t="s">
        <v>284</v>
      </c>
      <c r="D41" s="9" t="str">
        <f t="shared" si="1"/>
        <v/>
      </c>
      <c r="E41" s="10">
        <v>88.0</v>
      </c>
      <c r="F41" s="10">
        <v>0.0</v>
      </c>
      <c r="G41" s="10">
        <v>90.0</v>
      </c>
      <c r="H41" s="10" t="b">
        <v>1</v>
      </c>
      <c r="I41" s="10" t="s">
        <v>51</v>
      </c>
      <c r="J41" s="10">
        <v>1.0</v>
      </c>
      <c r="K41" s="10"/>
      <c r="L41" s="11"/>
      <c r="M41" s="11"/>
      <c r="N41" s="11"/>
      <c r="O41" s="11"/>
      <c r="P41" s="11"/>
      <c r="Q41" s="10"/>
      <c r="R41" s="11"/>
      <c r="S41" s="11"/>
      <c r="T41" s="11"/>
      <c r="U41" s="11"/>
      <c r="V41" s="11"/>
      <c r="W41" s="11"/>
      <c r="X41" s="11"/>
      <c r="Y41" s="11"/>
      <c r="Z41" s="12"/>
      <c r="AA41" s="12"/>
      <c r="AB41" s="12"/>
      <c r="AC41" s="26"/>
      <c r="AD41" s="26"/>
      <c r="AE41" s="26"/>
      <c r="AF41" s="26"/>
      <c r="AG41" s="26"/>
      <c r="AH41" s="13"/>
      <c r="AI41" s="10"/>
      <c r="AJ41" s="10"/>
      <c r="AK41" s="13"/>
      <c r="AL41" s="13"/>
      <c r="AM41" s="10"/>
      <c r="AN41" s="10"/>
      <c r="AO41" s="10"/>
      <c r="AP41" s="10"/>
      <c r="AQ41" s="13"/>
      <c r="AR41" s="13"/>
      <c r="AS41" s="13"/>
      <c r="AT41" s="13"/>
      <c r="AU41" s="22" t="s">
        <v>285</v>
      </c>
      <c r="AV41" s="8" t="s">
        <v>286</v>
      </c>
      <c r="AW41" s="8" t="s">
        <v>287</v>
      </c>
      <c r="AX41" s="8" t="s">
        <v>288</v>
      </c>
      <c r="AY41" s="8" t="s">
        <v>289</v>
      </c>
      <c r="AZ41" s="8" t="s">
        <v>290</v>
      </c>
    </row>
    <row r="42">
      <c r="B42" s="15" t="s">
        <v>102</v>
      </c>
      <c r="C42" s="15" t="s">
        <v>103</v>
      </c>
      <c r="D42" s="16" t="str">
        <f t="shared" si="1"/>
        <v/>
      </c>
      <c r="E42" s="17">
        <v>88.0</v>
      </c>
      <c r="F42" s="17">
        <v>15.0</v>
      </c>
      <c r="G42" s="17">
        <v>90.0</v>
      </c>
      <c r="H42" s="17" t="b">
        <v>1</v>
      </c>
      <c r="I42" s="17" t="s">
        <v>51</v>
      </c>
      <c r="J42" s="17">
        <v>1.0</v>
      </c>
      <c r="K42" s="17">
        <v>15.0</v>
      </c>
      <c r="L42" s="18">
        <v>0.9</v>
      </c>
      <c r="M42" s="18">
        <v>0.9</v>
      </c>
      <c r="N42" s="18">
        <v>0.9</v>
      </c>
      <c r="O42" s="18"/>
      <c r="P42" s="18"/>
      <c r="Q42" s="17"/>
      <c r="R42" s="18"/>
      <c r="S42" s="18"/>
      <c r="T42" s="18"/>
      <c r="U42" s="18"/>
      <c r="V42" s="18"/>
      <c r="W42" s="18"/>
      <c r="X42" s="18"/>
      <c r="Y42" s="18"/>
      <c r="Z42" s="19"/>
      <c r="AA42" s="19"/>
      <c r="AB42" s="19"/>
      <c r="AC42" s="17"/>
      <c r="AD42" s="17"/>
      <c r="AE42" s="17"/>
      <c r="AF42" s="17"/>
      <c r="AG42" s="17"/>
      <c r="AH42" s="17"/>
      <c r="AI42" s="20"/>
      <c r="AJ42" s="20"/>
      <c r="AK42" s="20"/>
      <c r="AL42" s="20"/>
      <c r="AM42" s="20"/>
      <c r="AN42" s="20"/>
      <c r="AO42" s="20"/>
      <c r="AP42" s="20"/>
      <c r="AQ42" s="20"/>
      <c r="AR42" s="20"/>
      <c r="AS42" s="20"/>
      <c r="AT42" s="20"/>
      <c r="AU42" s="25" t="s">
        <v>104</v>
      </c>
      <c r="AV42" s="15" t="s">
        <v>105</v>
      </c>
      <c r="AW42" s="15" t="s">
        <v>106</v>
      </c>
      <c r="AX42" s="15" t="s">
        <v>107</v>
      </c>
      <c r="AY42" s="15" t="s">
        <v>108</v>
      </c>
      <c r="AZ42" s="15" t="s">
        <v>109</v>
      </c>
    </row>
    <row r="43">
      <c r="B43" s="8" t="s">
        <v>118</v>
      </c>
      <c r="C43" s="8" t="s">
        <v>119</v>
      </c>
      <c r="D43" s="9" t="str">
        <f t="shared" si="1"/>
        <v/>
      </c>
      <c r="E43" s="10">
        <v>88.0</v>
      </c>
      <c r="F43" s="10">
        <v>15.0</v>
      </c>
      <c r="G43" s="10">
        <v>90.0</v>
      </c>
      <c r="H43" s="10" t="b">
        <v>1</v>
      </c>
      <c r="I43" s="10" t="s">
        <v>51</v>
      </c>
      <c r="J43" s="10">
        <v>1.0</v>
      </c>
      <c r="K43" s="10">
        <v>15.0</v>
      </c>
      <c r="L43" s="11">
        <v>0.9</v>
      </c>
      <c r="M43" s="11">
        <v>0.9</v>
      </c>
      <c r="N43" s="11">
        <v>0.9</v>
      </c>
      <c r="O43" s="11"/>
      <c r="P43" s="11"/>
      <c r="Q43" s="10"/>
      <c r="R43" s="11"/>
      <c r="S43" s="11"/>
      <c r="T43" s="11"/>
      <c r="U43" s="11"/>
      <c r="V43" s="11"/>
      <c r="W43" s="11"/>
      <c r="X43" s="11"/>
      <c r="Y43" s="11"/>
      <c r="Z43" s="12"/>
      <c r="AA43" s="12"/>
      <c r="AB43" s="12"/>
      <c r="AC43" s="10"/>
      <c r="AD43" s="10"/>
      <c r="AE43" s="10"/>
      <c r="AF43" s="10"/>
      <c r="AG43" s="10"/>
      <c r="AH43" s="10"/>
      <c r="AI43" s="13"/>
      <c r="AJ43" s="13"/>
      <c r="AK43" s="13"/>
      <c r="AL43" s="13"/>
      <c r="AM43" s="13"/>
      <c r="AN43" s="13"/>
      <c r="AO43" s="13"/>
      <c r="AP43" s="13"/>
      <c r="AQ43" s="13"/>
      <c r="AR43" s="13"/>
      <c r="AS43" s="13"/>
      <c r="AT43" s="13"/>
      <c r="AU43" s="22" t="s">
        <v>120</v>
      </c>
      <c r="AV43" s="8" t="s">
        <v>121</v>
      </c>
      <c r="AW43" s="8" t="s">
        <v>121</v>
      </c>
      <c r="AX43" s="8" t="s">
        <v>121</v>
      </c>
      <c r="AY43" s="8" t="s">
        <v>122</v>
      </c>
      <c r="AZ43" s="8" t="s">
        <v>123</v>
      </c>
    </row>
    <row r="44">
      <c r="B44" s="15" t="s">
        <v>60</v>
      </c>
      <c r="C44" s="15" t="s">
        <v>291</v>
      </c>
      <c r="D44" s="16" t="str">
        <f t="shared" si="1"/>
        <v/>
      </c>
      <c r="E44" s="17">
        <v>88.0</v>
      </c>
      <c r="F44" s="17">
        <v>10.0</v>
      </c>
      <c r="G44" s="17">
        <v>90.0</v>
      </c>
      <c r="H44" s="17" t="b">
        <v>1</v>
      </c>
      <c r="I44" s="17" t="s">
        <v>45</v>
      </c>
      <c r="J44" s="17">
        <v>1.0</v>
      </c>
      <c r="K44" s="17"/>
      <c r="L44" s="18"/>
      <c r="M44" s="18"/>
      <c r="N44" s="18"/>
      <c r="O44" s="18"/>
      <c r="P44" s="18"/>
      <c r="Q44" s="17"/>
      <c r="R44" s="18"/>
      <c r="S44" s="18"/>
      <c r="T44" s="18"/>
      <c r="U44" s="18"/>
      <c r="V44" s="18"/>
      <c r="W44" s="18"/>
      <c r="X44" s="18"/>
      <c r="Y44" s="18"/>
      <c r="Z44" s="19"/>
      <c r="AA44" s="19"/>
      <c r="AB44" s="19"/>
      <c r="AC44" s="17"/>
      <c r="AD44" s="17"/>
      <c r="AE44" s="17" t="s">
        <v>62</v>
      </c>
      <c r="AF44" s="17">
        <v>30.0</v>
      </c>
      <c r="AG44" s="24"/>
      <c r="AH44" s="17">
        <v>1.5</v>
      </c>
      <c r="AI44" s="17"/>
      <c r="AJ44" s="17"/>
      <c r="AK44" s="20"/>
      <c r="AL44" s="20"/>
      <c r="AM44" s="17"/>
      <c r="AN44" s="17"/>
      <c r="AO44" s="20"/>
      <c r="AP44" s="20"/>
      <c r="AQ44" s="20"/>
      <c r="AR44" s="20"/>
      <c r="AS44" s="20"/>
      <c r="AT44" s="20"/>
      <c r="AU44" s="25" t="s">
        <v>292</v>
      </c>
      <c r="AV44" s="15" t="s">
        <v>293</v>
      </c>
      <c r="AW44" s="15" t="s">
        <v>293</v>
      </c>
      <c r="AX44" s="15" t="s">
        <v>293</v>
      </c>
      <c r="AY44" s="15" t="s">
        <v>294</v>
      </c>
      <c r="AZ44" s="15" t="s">
        <v>295</v>
      </c>
    </row>
    <row r="45">
      <c r="B45" s="28" t="s">
        <v>65</v>
      </c>
      <c r="C45" s="28" t="s">
        <v>296</v>
      </c>
      <c r="D45" s="9" t="str">
        <f t="shared" si="1"/>
        <v/>
      </c>
      <c r="E45" s="49">
        <v>88.0</v>
      </c>
      <c r="F45" s="37">
        <v>30.0</v>
      </c>
      <c r="G45" s="30">
        <v>30.0</v>
      </c>
      <c r="H45" s="38" t="b">
        <v>1</v>
      </c>
      <c r="I45" s="10" t="s">
        <v>56</v>
      </c>
      <c r="J45" s="30">
        <v>2.0</v>
      </c>
      <c r="K45" s="30"/>
      <c r="L45" s="40"/>
      <c r="M45" s="40"/>
      <c r="N45" s="40"/>
      <c r="O45" s="40"/>
      <c r="P45" s="40"/>
      <c r="Q45" s="30"/>
      <c r="R45" s="40"/>
      <c r="S45" s="40"/>
      <c r="T45" s="40"/>
      <c r="U45" s="40"/>
      <c r="V45" s="40"/>
      <c r="W45" s="40"/>
      <c r="X45" s="40"/>
      <c r="Y45" s="40"/>
      <c r="Z45" s="41"/>
      <c r="AA45" s="41"/>
      <c r="AB45" s="41"/>
      <c r="AC45" s="38"/>
      <c r="AD45" s="38"/>
      <c r="AE45" s="38"/>
      <c r="AF45" s="38"/>
      <c r="AG45" s="38"/>
      <c r="AH45" s="39"/>
      <c r="AI45" s="32"/>
      <c r="AJ45" s="32"/>
      <c r="AK45" s="30">
        <v>200.0</v>
      </c>
      <c r="AL45" s="30"/>
      <c r="AM45" s="39"/>
      <c r="AN45" s="39"/>
      <c r="AO45" s="30">
        <v>30.0</v>
      </c>
      <c r="AP45" s="30">
        <v>400.0</v>
      </c>
      <c r="AQ45" s="39"/>
      <c r="AR45" s="39"/>
      <c r="AS45" s="39"/>
      <c r="AT45" s="39"/>
      <c r="AU45" s="42" t="s">
        <v>297</v>
      </c>
      <c r="AV45" s="28" t="s">
        <v>298</v>
      </c>
      <c r="AW45" s="28" t="s">
        <v>299</v>
      </c>
      <c r="AX45" s="28" t="s">
        <v>300</v>
      </c>
      <c r="AY45" s="28" t="s">
        <v>301</v>
      </c>
      <c r="AZ45" s="28" t="s">
        <v>302</v>
      </c>
    </row>
    <row r="46">
      <c r="B46" s="50" t="s">
        <v>72</v>
      </c>
      <c r="C46" s="50" t="s">
        <v>303</v>
      </c>
      <c r="D46" s="16" t="str">
        <f t="shared" si="1"/>
        <v/>
      </c>
      <c r="E46" s="51">
        <v>88.0</v>
      </c>
      <c r="F46" s="52">
        <v>15.0</v>
      </c>
      <c r="G46" s="53">
        <v>30.0</v>
      </c>
      <c r="H46" s="43" t="b">
        <v>1</v>
      </c>
      <c r="I46" s="17" t="s">
        <v>56</v>
      </c>
      <c r="J46" s="53">
        <v>2.0</v>
      </c>
      <c r="K46" s="53"/>
      <c r="L46" s="54"/>
      <c r="M46" s="54"/>
      <c r="N46" s="54"/>
      <c r="O46" s="54"/>
      <c r="P46" s="54"/>
      <c r="Q46" s="53"/>
      <c r="R46" s="54"/>
      <c r="S46" s="54"/>
      <c r="T46" s="54"/>
      <c r="U46" s="54"/>
      <c r="V46" s="54"/>
      <c r="W46" s="54"/>
      <c r="X46" s="54"/>
      <c r="Y46" s="54"/>
      <c r="Z46" s="55"/>
      <c r="AA46" s="55"/>
      <c r="AB46" s="55"/>
      <c r="AC46" s="43"/>
      <c r="AD46" s="43"/>
      <c r="AE46" s="43"/>
      <c r="AF46" s="43"/>
      <c r="AG46" s="43"/>
      <c r="AH46" s="44"/>
      <c r="AI46" s="56"/>
      <c r="AJ46" s="56"/>
      <c r="AK46" s="44"/>
      <c r="AL46" s="44"/>
      <c r="AM46" s="44"/>
      <c r="AN46" s="44"/>
      <c r="AO46" s="53">
        <v>15.0</v>
      </c>
      <c r="AP46" s="53">
        <v>500.0</v>
      </c>
      <c r="AQ46" s="44"/>
      <c r="AR46" s="44"/>
      <c r="AS46" s="44"/>
      <c r="AT46" s="44"/>
      <c r="AU46" s="57" t="s">
        <v>304</v>
      </c>
      <c r="AV46" s="50" t="s">
        <v>305</v>
      </c>
      <c r="AW46" s="50" t="s">
        <v>306</v>
      </c>
      <c r="AX46" s="50" t="s">
        <v>307</v>
      </c>
      <c r="AY46" s="50" t="s">
        <v>308</v>
      </c>
      <c r="AZ46" s="50" t="s">
        <v>309</v>
      </c>
    </row>
    <row r="47">
      <c r="B47" s="8" t="s">
        <v>149</v>
      </c>
      <c r="C47" s="8" t="s">
        <v>150</v>
      </c>
      <c r="D47" s="9" t="str">
        <f t="shared" si="1"/>
        <v/>
      </c>
      <c r="E47" s="10">
        <v>88.0</v>
      </c>
      <c r="F47" s="10">
        <v>15.0</v>
      </c>
      <c r="G47" s="10">
        <v>90.0</v>
      </c>
      <c r="H47" s="10" t="b">
        <v>1</v>
      </c>
      <c r="I47" s="10" t="s">
        <v>51</v>
      </c>
      <c r="J47" s="10">
        <v>1.0</v>
      </c>
      <c r="K47" s="10">
        <v>15.0</v>
      </c>
      <c r="L47" s="11">
        <v>0.9</v>
      </c>
      <c r="M47" s="11">
        <v>0.9</v>
      </c>
      <c r="N47" s="11">
        <v>0.9</v>
      </c>
      <c r="O47" s="11"/>
      <c r="P47" s="11"/>
      <c r="Q47" s="10"/>
      <c r="R47" s="11"/>
      <c r="S47" s="11"/>
      <c r="T47" s="11"/>
      <c r="U47" s="11"/>
      <c r="V47" s="11"/>
      <c r="W47" s="11"/>
      <c r="X47" s="11"/>
      <c r="Y47" s="11"/>
      <c r="Z47" s="12"/>
      <c r="AA47" s="12"/>
      <c r="AB47" s="12"/>
      <c r="AC47" s="10"/>
      <c r="AD47" s="10"/>
      <c r="AE47" s="10"/>
      <c r="AF47" s="10"/>
      <c r="AG47" s="10"/>
      <c r="AH47" s="10"/>
      <c r="AI47" s="13"/>
      <c r="AJ47" s="13"/>
      <c r="AK47" s="13"/>
      <c r="AL47" s="13"/>
      <c r="AM47" s="13"/>
      <c r="AN47" s="13"/>
      <c r="AO47" s="13"/>
      <c r="AP47" s="13"/>
      <c r="AQ47" s="13"/>
      <c r="AR47" s="13"/>
      <c r="AS47" s="13"/>
      <c r="AT47" s="13"/>
      <c r="AU47" s="22" t="s">
        <v>151</v>
      </c>
      <c r="AV47" s="8" t="s">
        <v>152</v>
      </c>
      <c r="AW47" s="8" t="s">
        <v>153</v>
      </c>
      <c r="AX47" s="8" t="s">
        <v>154</v>
      </c>
      <c r="AY47" s="8" t="s">
        <v>155</v>
      </c>
      <c r="AZ47" s="8" t="s">
        <v>156</v>
      </c>
    </row>
    <row r="48">
      <c r="B48" s="15" t="s">
        <v>43</v>
      </c>
      <c r="C48" s="15" t="s">
        <v>310</v>
      </c>
      <c r="D48" s="16" t="str">
        <f t="shared" si="1"/>
        <v/>
      </c>
      <c r="E48" s="17">
        <v>86.0</v>
      </c>
      <c r="F48" s="17">
        <v>10.0</v>
      </c>
      <c r="G48" s="17">
        <v>60.0</v>
      </c>
      <c r="H48" s="17" t="b">
        <v>1</v>
      </c>
      <c r="I48" s="17" t="s">
        <v>56</v>
      </c>
      <c r="J48" s="17">
        <v>1.0</v>
      </c>
      <c r="K48" s="17"/>
      <c r="L48" s="18"/>
      <c r="M48" s="18"/>
      <c r="N48" s="18"/>
      <c r="O48" s="18"/>
      <c r="P48" s="18"/>
      <c r="Q48" s="17"/>
      <c r="R48" s="18"/>
      <c r="S48" s="18"/>
      <c r="T48" s="18"/>
      <c r="U48" s="18"/>
      <c r="V48" s="18"/>
      <c r="W48" s="18"/>
      <c r="X48" s="18"/>
      <c r="Y48" s="18"/>
      <c r="Z48" s="19"/>
      <c r="AA48" s="19"/>
      <c r="AB48" s="19"/>
      <c r="AC48" s="24">
        <v>10.0</v>
      </c>
      <c r="AD48" s="24">
        <v>1.1</v>
      </c>
      <c r="AE48" s="43"/>
      <c r="AF48" s="43"/>
      <c r="AG48" s="43"/>
      <c r="AH48" s="43"/>
      <c r="AI48" s="44"/>
      <c r="AJ48" s="44"/>
      <c r="AK48" s="44"/>
      <c r="AL48" s="44"/>
      <c r="AM48" s="44"/>
      <c r="AN48" s="44"/>
      <c r="AO48" s="44"/>
      <c r="AP48" s="44"/>
      <c r="AQ48" s="44"/>
      <c r="AR48" s="44"/>
      <c r="AS48" s="44"/>
      <c r="AT48" s="44"/>
      <c r="AU48" s="25" t="s">
        <v>311</v>
      </c>
      <c r="AV48" s="15" t="s">
        <v>312</v>
      </c>
      <c r="AW48" s="15" t="s">
        <v>313</v>
      </c>
      <c r="AX48" s="15" t="s">
        <v>314</v>
      </c>
      <c r="AY48" s="15" t="s">
        <v>315</v>
      </c>
      <c r="AZ48" s="15" t="s">
        <v>310</v>
      </c>
    </row>
    <row r="49">
      <c r="B49" s="8" t="s">
        <v>316</v>
      </c>
      <c r="C49" s="8" t="s">
        <v>317</v>
      </c>
      <c r="D49" s="9" t="str">
        <f t="shared" si="1"/>
        <v/>
      </c>
      <c r="E49" s="10">
        <v>86.0</v>
      </c>
      <c r="F49" s="10">
        <v>10.0</v>
      </c>
      <c r="G49" s="10">
        <v>120.0</v>
      </c>
      <c r="H49" s="10" t="b">
        <v>1</v>
      </c>
      <c r="I49" s="10" t="s">
        <v>51</v>
      </c>
      <c r="J49" s="10">
        <v>1.0</v>
      </c>
      <c r="K49" s="10">
        <v>10.0</v>
      </c>
      <c r="L49" s="11">
        <v>0.9</v>
      </c>
      <c r="M49" s="11">
        <v>1.0</v>
      </c>
      <c r="N49" s="11">
        <v>1.0</v>
      </c>
      <c r="O49" s="11"/>
      <c r="P49" s="11"/>
      <c r="Q49" s="10"/>
      <c r="R49" s="11"/>
      <c r="S49" s="11"/>
      <c r="T49" s="11"/>
      <c r="U49" s="11"/>
      <c r="V49" s="11"/>
      <c r="W49" s="11"/>
      <c r="X49" s="11"/>
      <c r="Y49" s="11"/>
      <c r="Z49" s="12"/>
      <c r="AA49" s="12"/>
      <c r="AB49" s="12"/>
      <c r="AC49" s="10"/>
      <c r="AD49" s="10"/>
      <c r="AE49" s="10" t="s">
        <v>125</v>
      </c>
      <c r="AF49" s="10">
        <v>10.0</v>
      </c>
      <c r="AG49" s="10"/>
      <c r="AH49" s="10">
        <v>1.05</v>
      </c>
      <c r="AI49" s="13"/>
      <c r="AJ49" s="13"/>
      <c r="AK49" s="13"/>
      <c r="AL49" s="13"/>
      <c r="AM49" s="13"/>
      <c r="AN49" s="13"/>
      <c r="AO49" s="13"/>
      <c r="AP49" s="13"/>
      <c r="AQ49" s="13"/>
      <c r="AR49" s="13"/>
      <c r="AS49" s="13"/>
      <c r="AT49" s="13"/>
      <c r="AU49" s="22" t="s">
        <v>318</v>
      </c>
      <c r="AV49" s="8" t="s">
        <v>319</v>
      </c>
      <c r="AW49" s="8" t="s">
        <v>320</v>
      </c>
      <c r="AX49" s="8" t="s">
        <v>321</v>
      </c>
      <c r="AY49" s="8" t="s">
        <v>322</v>
      </c>
      <c r="AZ49" s="8" t="s">
        <v>323</v>
      </c>
    </row>
    <row r="50">
      <c r="B50" s="15" t="s">
        <v>65</v>
      </c>
      <c r="C50" s="15" t="s">
        <v>324</v>
      </c>
      <c r="D50" s="16" t="str">
        <f t="shared" si="1"/>
        <v/>
      </c>
      <c r="E50" s="17">
        <v>86.0</v>
      </c>
      <c r="F50" s="17">
        <v>8.0</v>
      </c>
      <c r="G50" s="58">
        <v>60.0</v>
      </c>
      <c r="H50" s="17" t="b">
        <v>1</v>
      </c>
      <c r="I50" s="17" t="s">
        <v>56</v>
      </c>
      <c r="J50" s="17">
        <v>1.0</v>
      </c>
      <c r="K50" s="58">
        <v>8.0</v>
      </c>
      <c r="L50" s="18">
        <v>0.9</v>
      </c>
      <c r="M50" s="18">
        <v>0.9</v>
      </c>
      <c r="N50" s="18">
        <v>0.9</v>
      </c>
      <c r="O50" s="18"/>
      <c r="P50" s="18"/>
      <c r="Q50" s="17"/>
      <c r="R50" s="18"/>
      <c r="S50" s="18"/>
      <c r="T50" s="18"/>
      <c r="U50" s="18"/>
      <c r="V50" s="18"/>
      <c r="W50" s="18"/>
      <c r="X50" s="18"/>
      <c r="Y50" s="18"/>
      <c r="Z50" s="19"/>
      <c r="AA50" s="19"/>
      <c r="AB50" s="19"/>
      <c r="AC50" s="24"/>
      <c r="AD50" s="24"/>
      <c r="AE50" s="24"/>
      <c r="AF50" s="24"/>
      <c r="AG50" s="24"/>
      <c r="AH50" s="17"/>
      <c r="AI50" s="17"/>
      <c r="AJ50" s="17"/>
      <c r="AK50" s="17">
        <v>500.0</v>
      </c>
      <c r="AL50" s="17"/>
      <c r="AM50" s="20"/>
      <c r="AN50" s="20"/>
      <c r="AO50" s="20"/>
      <c r="AP50" s="20"/>
      <c r="AQ50" s="20"/>
      <c r="AR50" s="20"/>
      <c r="AS50" s="20"/>
      <c r="AT50" s="20"/>
      <c r="AU50" s="25" t="s">
        <v>325</v>
      </c>
      <c r="AV50" s="15" t="s">
        <v>326</v>
      </c>
      <c r="AW50" s="15" t="s">
        <v>326</v>
      </c>
      <c r="AX50" s="15" t="s">
        <v>326</v>
      </c>
      <c r="AY50" s="15" t="s">
        <v>327</v>
      </c>
      <c r="AZ50" s="15" t="s">
        <v>328</v>
      </c>
    </row>
    <row r="51">
      <c r="B51" s="8" t="s">
        <v>72</v>
      </c>
      <c r="C51" s="8" t="s">
        <v>329</v>
      </c>
      <c r="D51" s="9" t="str">
        <f t="shared" si="1"/>
        <v/>
      </c>
      <c r="E51" s="10">
        <v>86.0</v>
      </c>
      <c r="F51" s="10">
        <v>8.0</v>
      </c>
      <c r="G51" s="47">
        <v>60.0</v>
      </c>
      <c r="H51" s="10" t="b">
        <v>1</v>
      </c>
      <c r="I51" s="10" t="s">
        <v>56</v>
      </c>
      <c r="J51" s="10">
        <v>1.0</v>
      </c>
      <c r="K51" s="47">
        <v>8.0</v>
      </c>
      <c r="L51" s="11">
        <v>0.85</v>
      </c>
      <c r="M51" s="11">
        <v>0.85</v>
      </c>
      <c r="N51" s="11">
        <v>0.85</v>
      </c>
      <c r="O51" s="11"/>
      <c r="P51" s="11"/>
      <c r="Q51" s="10"/>
      <c r="R51" s="11"/>
      <c r="S51" s="11"/>
      <c r="T51" s="11"/>
      <c r="U51" s="11"/>
      <c r="V51" s="11"/>
      <c r="W51" s="11"/>
      <c r="X51" s="11"/>
      <c r="Y51" s="11"/>
      <c r="Z51" s="12"/>
      <c r="AA51" s="12"/>
      <c r="AB51" s="12"/>
      <c r="AC51" s="38"/>
      <c r="AD51" s="38"/>
      <c r="AE51" s="38"/>
      <c r="AF51" s="38"/>
      <c r="AG51" s="38"/>
      <c r="AH51" s="38"/>
      <c r="AI51" s="39"/>
      <c r="AJ51" s="39"/>
      <c r="AK51" s="39"/>
      <c r="AL51" s="39"/>
      <c r="AM51" s="39"/>
      <c r="AN51" s="39"/>
      <c r="AO51" s="39"/>
      <c r="AP51" s="39"/>
      <c r="AQ51" s="39"/>
      <c r="AR51" s="39"/>
      <c r="AS51" s="39"/>
      <c r="AT51" s="39"/>
      <c r="AU51" s="22" t="s">
        <v>330</v>
      </c>
      <c r="AV51" s="8" t="s">
        <v>331</v>
      </c>
      <c r="AW51" s="8" t="s">
        <v>332</v>
      </c>
      <c r="AX51" s="8" t="s">
        <v>333</v>
      </c>
      <c r="AY51" s="8" t="s">
        <v>334</v>
      </c>
      <c r="AZ51" s="8" t="s">
        <v>335</v>
      </c>
    </row>
    <row r="52">
      <c r="B52" s="15" t="s">
        <v>43</v>
      </c>
      <c r="C52" s="15" t="s">
        <v>336</v>
      </c>
      <c r="D52" s="16" t="str">
        <f t="shared" si="1"/>
        <v/>
      </c>
      <c r="E52" s="17">
        <v>85.0</v>
      </c>
      <c r="F52" s="17">
        <v>0.0</v>
      </c>
      <c r="G52" s="17">
        <v>2.5</v>
      </c>
      <c r="H52" s="20" t="b">
        <v>0</v>
      </c>
      <c r="I52" s="17" t="s">
        <v>56</v>
      </c>
      <c r="J52" s="17">
        <v>1.0</v>
      </c>
      <c r="K52" s="20"/>
      <c r="L52" s="18"/>
      <c r="M52" s="18"/>
      <c r="N52" s="18"/>
      <c r="O52" s="18"/>
      <c r="P52" s="18"/>
      <c r="Q52" s="17"/>
      <c r="R52" s="18"/>
      <c r="S52" s="18"/>
      <c r="T52" s="18"/>
      <c r="U52" s="18"/>
      <c r="V52" s="18"/>
      <c r="W52" s="18"/>
      <c r="X52" s="18"/>
      <c r="Y52" s="18"/>
      <c r="Z52" s="19"/>
      <c r="AA52" s="19"/>
      <c r="AB52" s="19"/>
      <c r="AC52" s="24"/>
      <c r="AD52" s="24"/>
      <c r="AE52" s="24"/>
      <c r="AF52" s="24"/>
      <c r="AG52" s="24"/>
      <c r="AH52" s="17"/>
      <c r="AI52" s="17"/>
      <c r="AJ52" s="17"/>
      <c r="AK52" s="17">
        <v>450.0</v>
      </c>
      <c r="AL52" s="17"/>
      <c r="AM52" s="20"/>
      <c r="AN52" s="20"/>
      <c r="AO52" s="20"/>
      <c r="AP52" s="20"/>
      <c r="AQ52" s="17">
        <v>400.0</v>
      </c>
      <c r="AR52" s="17"/>
      <c r="AS52" s="17"/>
      <c r="AT52" s="17"/>
      <c r="AU52" s="25" t="s">
        <v>337</v>
      </c>
      <c r="AV52" s="15" t="s">
        <v>338</v>
      </c>
      <c r="AW52" s="15" t="s">
        <v>338</v>
      </c>
      <c r="AX52" s="15" t="s">
        <v>339</v>
      </c>
      <c r="AY52" s="15" t="s">
        <v>340</v>
      </c>
      <c r="AZ52" s="15" t="s">
        <v>341</v>
      </c>
    </row>
    <row r="53">
      <c r="B53" s="8" t="s">
        <v>43</v>
      </c>
      <c r="C53" s="8" t="s">
        <v>342</v>
      </c>
      <c r="D53" s="9" t="str">
        <f t="shared" si="1"/>
        <v/>
      </c>
      <c r="E53" s="10">
        <v>85.0</v>
      </c>
      <c r="F53" s="10">
        <v>30.0</v>
      </c>
      <c r="G53" s="10">
        <v>2.5</v>
      </c>
      <c r="H53" s="13" t="b">
        <v>0</v>
      </c>
      <c r="I53" s="10" t="s">
        <v>56</v>
      </c>
      <c r="J53" s="10">
        <v>1.0</v>
      </c>
      <c r="K53" s="10"/>
      <c r="L53" s="11"/>
      <c r="M53" s="11"/>
      <c r="N53" s="11"/>
      <c r="O53" s="11"/>
      <c r="P53" s="11"/>
      <c r="Q53" s="10"/>
      <c r="R53" s="11"/>
      <c r="S53" s="11"/>
      <c r="T53" s="11"/>
      <c r="U53" s="11" t="s">
        <v>57</v>
      </c>
      <c r="V53" s="11"/>
      <c r="W53" s="11"/>
      <c r="X53" s="11"/>
      <c r="Y53" s="11"/>
      <c r="Z53" s="12"/>
      <c r="AA53" s="12">
        <v>30.0</v>
      </c>
      <c r="AB53" s="12">
        <v>540.0</v>
      </c>
      <c r="AC53" s="26"/>
      <c r="AD53" s="26"/>
      <c r="AE53" s="26"/>
      <c r="AF53" s="26"/>
      <c r="AG53" s="26"/>
      <c r="AH53" s="13"/>
      <c r="AI53" s="10"/>
      <c r="AJ53" s="10"/>
      <c r="AK53" s="10">
        <v>300.0</v>
      </c>
      <c r="AL53" s="10"/>
      <c r="AM53" s="13"/>
      <c r="AN53" s="13"/>
      <c r="AO53" s="10">
        <v>30.0</v>
      </c>
      <c r="AP53" s="10">
        <v>540.0</v>
      </c>
      <c r="AQ53" s="10">
        <v>900.0</v>
      </c>
      <c r="AR53" s="10"/>
      <c r="AS53" s="10"/>
      <c r="AT53" s="10"/>
      <c r="AU53" s="22" t="s">
        <v>343</v>
      </c>
      <c r="AV53" s="8" t="s">
        <v>344</v>
      </c>
      <c r="AW53" s="8" t="s">
        <v>344</v>
      </c>
      <c r="AX53" s="8" t="s">
        <v>345</v>
      </c>
      <c r="AY53" s="8" t="s">
        <v>346</v>
      </c>
      <c r="AZ53" s="8" t="s">
        <v>347</v>
      </c>
    </row>
    <row r="54">
      <c r="B54" s="15" t="s">
        <v>43</v>
      </c>
      <c r="C54" s="15" t="s">
        <v>348</v>
      </c>
      <c r="D54" s="16" t="str">
        <f t="shared" si="1"/>
        <v/>
      </c>
      <c r="E54" s="17">
        <v>85.0</v>
      </c>
      <c r="F54" s="17">
        <v>30.0</v>
      </c>
      <c r="G54" s="17">
        <v>2.5</v>
      </c>
      <c r="H54" s="20" t="b">
        <v>0</v>
      </c>
      <c r="I54" s="17" t="s">
        <v>51</v>
      </c>
      <c r="J54" s="17">
        <v>1.0</v>
      </c>
      <c r="K54" s="17"/>
      <c r="L54" s="18"/>
      <c r="M54" s="18"/>
      <c r="N54" s="18"/>
      <c r="O54" s="18"/>
      <c r="P54" s="18"/>
      <c r="Q54" s="17"/>
      <c r="R54" s="18"/>
      <c r="S54" s="18"/>
      <c r="T54" s="18"/>
      <c r="U54" s="18"/>
      <c r="V54" s="18"/>
      <c r="W54" s="18"/>
      <c r="X54" s="18"/>
      <c r="Y54" s="18"/>
      <c r="Z54" s="19"/>
      <c r="AA54" s="19"/>
      <c r="AB54" s="19"/>
      <c r="AC54" s="24"/>
      <c r="AD54" s="24"/>
      <c r="AE54" s="24"/>
      <c r="AF54" s="24"/>
      <c r="AG54" s="24"/>
      <c r="AH54" s="20"/>
      <c r="AI54" s="17"/>
      <c r="AJ54" s="17"/>
      <c r="AK54" s="17">
        <v>200.0</v>
      </c>
      <c r="AL54" s="17"/>
      <c r="AM54" s="17"/>
      <c r="AN54" s="17"/>
      <c r="AO54" s="17">
        <v>30.0</v>
      </c>
      <c r="AP54" s="17">
        <v>320.0</v>
      </c>
      <c r="AQ54" s="17">
        <v>900.0</v>
      </c>
      <c r="AR54" s="17"/>
      <c r="AS54" s="17"/>
      <c r="AT54" s="17"/>
      <c r="AU54" s="25" t="s">
        <v>349</v>
      </c>
      <c r="AV54" s="15" t="s">
        <v>350</v>
      </c>
      <c r="AW54" s="15" t="s">
        <v>351</v>
      </c>
      <c r="AX54" s="15" t="s">
        <v>352</v>
      </c>
      <c r="AY54" s="15" t="s">
        <v>353</v>
      </c>
      <c r="AZ54" s="15" t="s">
        <v>354</v>
      </c>
    </row>
    <row r="55">
      <c r="B55" s="8" t="s">
        <v>60</v>
      </c>
      <c r="C55" s="8" t="s">
        <v>355</v>
      </c>
      <c r="D55" s="9" t="str">
        <f t="shared" si="1"/>
        <v/>
      </c>
      <c r="E55" s="10">
        <v>85.0</v>
      </c>
      <c r="F55" s="10">
        <v>30.0</v>
      </c>
      <c r="G55" s="10">
        <v>2.5</v>
      </c>
      <c r="H55" s="13" t="b">
        <v>0</v>
      </c>
      <c r="I55" s="10" t="s">
        <v>56</v>
      </c>
      <c r="J55" s="10">
        <v>1.0</v>
      </c>
      <c r="K55" s="10"/>
      <c r="L55" s="11"/>
      <c r="M55" s="11"/>
      <c r="N55" s="11"/>
      <c r="O55" s="11"/>
      <c r="P55" s="11"/>
      <c r="Q55" s="10"/>
      <c r="R55" s="11"/>
      <c r="S55" s="11"/>
      <c r="T55" s="11"/>
      <c r="U55" s="11"/>
      <c r="V55" s="11"/>
      <c r="W55" s="11"/>
      <c r="X55" s="11"/>
      <c r="Y55" s="11"/>
      <c r="Z55" s="12"/>
      <c r="AA55" s="12"/>
      <c r="AB55" s="12"/>
      <c r="AC55" s="26"/>
      <c r="AD55" s="26"/>
      <c r="AE55" s="26"/>
      <c r="AF55" s="26"/>
      <c r="AG55" s="26"/>
      <c r="AH55" s="13"/>
      <c r="AI55" s="10"/>
      <c r="AJ55" s="10"/>
      <c r="AK55" s="10">
        <v>300.0</v>
      </c>
      <c r="AL55" s="10"/>
      <c r="AM55" s="10"/>
      <c r="AN55" s="10"/>
      <c r="AO55" s="10">
        <v>30.0</v>
      </c>
      <c r="AP55" s="10">
        <v>540.0</v>
      </c>
      <c r="AQ55" s="10">
        <v>800.0</v>
      </c>
      <c r="AR55" s="10"/>
      <c r="AS55" s="10"/>
      <c r="AT55" s="10"/>
      <c r="AU55" s="22" t="s">
        <v>356</v>
      </c>
      <c r="AV55" s="8" t="s">
        <v>357</v>
      </c>
      <c r="AW55" s="8" t="s">
        <v>358</v>
      </c>
      <c r="AX55" s="8" t="s">
        <v>359</v>
      </c>
      <c r="AY55" s="8" t="s">
        <v>360</v>
      </c>
      <c r="AZ55" s="8" t="s">
        <v>361</v>
      </c>
    </row>
    <row r="56">
      <c r="B56" s="15" t="s">
        <v>60</v>
      </c>
      <c r="C56" s="15" t="s">
        <v>362</v>
      </c>
      <c r="D56" s="16" t="str">
        <f t="shared" si="1"/>
        <v/>
      </c>
      <c r="E56" s="17">
        <v>85.0</v>
      </c>
      <c r="F56" s="17">
        <v>30.0</v>
      </c>
      <c r="G56" s="17">
        <v>2.5</v>
      </c>
      <c r="H56" s="20" t="b">
        <v>0</v>
      </c>
      <c r="I56" s="17" t="s">
        <v>51</v>
      </c>
      <c r="J56" s="17">
        <v>1.0</v>
      </c>
      <c r="K56" s="17"/>
      <c r="L56" s="18"/>
      <c r="M56" s="18"/>
      <c r="N56" s="18"/>
      <c r="O56" s="18"/>
      <c r="P56" s="18"/>
      <c r="Q56" s="17"/>
      <c r="R56" s="18"/>
      <c r="S56" s="18"/>
      <c r="T56" s="18"/>
      <c r="U56" s="18"/>
      <c r="V56" s="18"/>
      <c r="W56" s="18"/>
      <c r="X56" s="18"/>
      <c r="Y56" s="18"/>
      <c r="Z56" s="19"/>
      <c r="AA56" s="19"/>
      <c r="AB56" s="19"/>
      <c r="AC56" s="24"/>
      <c r="AD56" s="24"/>
      <c r="AE56" s="24"/>
      <c r="AF56" s="24"/>
      <c r="AG56" s="24"/>
      <c r="AH56" s="20"/>
      <c r="AI56" s="17"/>
      <c r="AJ56" s="17"/>
      <c r="AK56" s="17">
        <v>100.0</v>
      </c>
      <c r="AL56" s="17"/>
      <c r="AM56" s="20"/>
      <c r="AN56" s="20"/>
      <c r="AO56" s="17">
        <v>30.0</v>
      </c>
      <c r="AP56" s="17">
        <v>320.0</v>
      </c>
      <c r="AQ56" s="17">
        <v>800.0</v>
      </c>
      <c r="AR56" s="17"/>
      <c r="AS56" s="17"/>
      <c r="AT56" s="17"/>
      <c r="AU56" s="25" t="s">
        <v>363</v>
      </c>
      <c r="AV56" s="15" t="s">
        <v>364</v>
      </c>
      <c r="AW56" s="15" t="s">
        <v>365</v>
      </c>
      <c r="AX56" s="15" t="s">
        <v>366</v>
      </c>
      <c r="AY56" s="15" t="s">
        <v>367</v>
      </c>
      <c r="AZ56" s="15" t="s">
        <v>368</v>
      </c>
    </row>
    <row r="57">
      <c r="B57" s="8" t="s">
        <v>60</v>
      </c>
      <c r="C57" s="8" t="s">
        <v>369</v>
      </c>
      <c r="D57" s="9" t="str">
        <f t="shared" si="1"/>
        <v/>
      </c>
      <c r="E57" s="10">
        <v>85.0</v>
      </c>
      <c r="F57" s="10">
        <v>0.0</v>
      </c>
      <c r="G57" s="10">
        <v>2.5</v>
      </c>
      <c r="H57" s="13" t="b">
        <v>0</v>
      </c>
      <c r="I57" s="10" t="s">
        <v>56</v>
      </c>
      <c r="J57" s="10">
        <v>1.0</v>
      </c>
      <c r="K57" s="13"/>
      <c r="L57" s="11"/>
      <c r="M57" s="11"/>
      <c r="N57" s="11"/>
      <c r="O57" s="11"/>
      <c r="P57" s="11"/>
      <c r="Q57" s="10"/>
      <c r="R57" s="11"/>
      <c r="S57" s="11"/>
      <c r="T57" s="11"/>
      <c r="U57" s="11"/>
      <c r="V57" s="11"/>
      <c r="W57" s="11"/>
      <c r="X57" s="11"/>
      <c r="Y57" s="11"/>
      <c r="Z57" s="12"/>
      <c r="AA57" s="12"/>
      <c r="AB57" s="12"/>
      <c r="AC57" s="26"/>
      <c r="AD57" s="26"/>
      <c r="AE57" s="26"/>
      <c r="AF57" s="26"/>
      <c r="AG57" s="26"/>
      <c r="AH57" s="10"/>
      <c r="AI57" s="10"/>
      <c r="AJ57" s="10"/>
      <c r="AK57" s="10">
        <v>450.0</v>
      </c>
      <c r="AL57" s="10"/>
      <c r="AM57" s="13"/>
      <c r="AN57" s="13"/>
      <c r="AO57" s="13"/>
      <c r="AP57" s="13"/>
      <c r="AQ57" s="10">
        <v>400.0</v>
      </c>
      <c r="AR57" s="10"/>
      <c r="AS57" s="10"/>
      <c r="AT57" s="10"/>
      <c r="AU57" s="22" t="s">
        <v>370</v>
      </c>
      <c r="AV57" s="8" t="s">
        <v>371</v>
      </c>
      <c r="AW57" s="8" t="s">
        <v>372</v>
      </c>
      <c r="AX57" s="8" t="s">
        <v>371</v>
      </c>
      <c r="AY57" s="8" t="s">
        <v>373</v>
      </c>
      <c r="AZ57" s="8" t="s">
        <v>374</v>
      </c>
    </row>
    <row r="58">
      <c r="B58" s="15" t="s">
        <v>65</v>
      </c>
      <c r="C58" s="15" t="s">
        <v>375</v>
      </c>
      <c r="D58" s="16" t="str">
        <f t="shared" si="1"/>
        <v/>
      </c>
      <c r="E58" s="17">
        <v>85.0</v>
      </c>
      <c r="F58" s="17">
        <v>15.0</v>
      </c>
      <c r="G58" s="17">
        <v>2.5</v>
      </c>
      <c r="H58" s="17" t="b">
        <v>0</v>
      </c>
      <c r="I58" s="17" t="s">
        <v>56</v>
      </c>
      <c r="J58" s="17">
        <v>1.0</v>
      </c>
      <c r="K58" s="17"/>
      <c r="L58" s="18"/>
      <c r="M58" s="18"/>
      <c r="N58" s="18"/>
      <c r="O58" s="18"/>
      <c r="P58" s="18"/>
      <c r="Q58" s="17"/>
      <c r="R58" s="18"/>
      <c r="S58" s="18"/>
      <c r="T58" s="18"/>
      <c r="U58" s="18" t="s">
        <v>67</v>
      </c>
      <c r="V58" s="18"/>
      <c r="W58" s="18"/>
      <c r="X58" s="18"/>
      <c r="Y58" s="18"/>
      <c r="Z58" s="19"/>
      <c r="AA58" s="19">
        <v>30.0</v>
      </c>
      <c r="AB58" s="19">
        <v>625.0</v>
      </c>
      <c r="AC58" s="24"/>
      <c r="AD58" s="24"/>
      <c r="AE58" s="24"/>
      <c r="AF58" s="24"/>
      <c r="AG58" s="24"/>
      <c r="AH58" s="20"/>
      <c r="AI58" s="17"/>
      <c r="AJ58" s="17"/>
      <c r="AK58" s="17">
        <v>250.0</v>
      </c>
      <c r="AL58" s="17"/>
      <c r="AM58" s="17">
        <v>15.0</v>
      </c>
      <c r="AN58" s="17">
        <v>250.0</v>
      </c>
      <c r="AO58" s="20"/>
      <c r="AP58" s="20"/>
      <c r="AQ58" s="17">
        <v>400.0</v>
      </c>
      <c r="AR58" s="17"/>
      <c r="AS58" s="17"/>
      <c r="AT58" s="17"/>
      <c r="AU58" s="25" t="s">
        <v>376</v>
      </c>
      <c r="AV58" s="15" t="s">
        <v>377</v>
      </c>
      <c r="AW58" s="15" t="s">
        <v>378</v>
      </c>
      <c r="AX58" s="15" t="s">
        <v>379</v>
      </c>
      <c r="AY58" s="15" t="s">
        <v>380</v>
      </c>
      <c r="AZ58" s="15" t="s">
        <v>381</v>
      </c>
    </row>
    <row r="59">
      <c r="B59" s="8" t="s">
        <v>65</v>
      </c>
      <c r="C59" s="8" t="s">
        <v>382</v>
      </c>
      <c r="D59" s="9" t="str">
        <f t="shared" si="1"/>
        <v/>
      </c>
      <c r="E59" s="10">
        <v>85.0</v>
      </c>
      <c r="F59" s="10">
        <v>15.0</v>
      </c>
      <c r="G59" s="10">
        <v>2.5</v>
      </c>
      <c r="H59" s="13" t="b">
        <v>0</v>
      </c>
      <c r="I59" s="10" t="s">
        <v>51</v>
      </c>
      <c r="J59" s="10">
        <v>1.0</v>
      </c>
      <c r="K59" s="10"/>
      <c r="L59" s="11"/>
      <c r="M59" s="11"/>
      <c r="N59" s="11"/>
      <c r="O59" s="11"/>
      <c r="P59" s="11"/>
      <c r="Q59" s="10"/>
      <c r="R59" s="11"/>
      <c r="S59" s="11"/>
      <c r="T59" s="11"/>
      <c r="U59" s="11" t="s">
        <v>67</v>
      </c>
      <c r="V59" s="11"/>
      <c r="W59" s="11"/>
      <c r="X59" s="11"/>
      <c r="Y59" s="11"/>
      <c r="Z59" s="12"/>
      <c r="AA59" s="12">
        <v>30.0</v>
      </c>
      <c r="AB59" s="12">
        <v>312.5</v>
      </c>
      <c r="AC59" s="26"/>
      <c r="AD59" s="26"/>
      <c r="AE59" s="26"/>
      <c r="AF59" s="26"/>
      <c r="AG59" s="26"/>
      <c r="AH59" s="13"/>
      <c r="AI59" s="10"/>
      <c r="AJ59" s="10"/>
      <c r="AK59" s="10">
        <v>250.0</v>
      </c>
      <c r="AL59" s="10"/>
      <c r="AM59" s="10">
        <v>15.0</v>
      </c>
      <c r="AN59" s="10">
        <v>150.0</v>
      </c>
      <c r="AO59" s="13"/>
      <c r="AP59" s="13"/>
      <c r="AQ59" s="10">
        <v>800.0</v>
      </c>
      <c r="AR59" s="10"/>
      <c r="AS59" s="10"/>
      <c r="AT59" s="10"/>
      <c r="AU59" s="22" t="s">
        <v>383</v>
      </c>
      <c r="AV59" s="8" t="s">
        <v>384</v>
      </c>
      <c r="AW59" s="8" t="s">
        <v>385</v>
      </c>
      <c r="AX59" s="8" t="s">
        <v>386</v>
      </c>
      <c r="AY59" s="8" t="s">
        <v>387</v>
      </c>
      <c r="AZ59" s="8" t="s">
        <v>388</v>
      </c>
    </row>
    <row r="60">
      <c r="B60" s="15" t="s">
        <v>65</v>
      </c>
      <c r="C60" s="15" t="s">
        <v>389</v>
      </c>
      <c r="D60" s="16" t="str">
        <f t="shared" si="1"/>
        <v/>
      </c>
      <c r="E60" s="17">
        <v>85.0</v>
      </c>
      <c r="F60" s="17">
        <v>0.0</v>
      </c>
      <c r="G60" s="17">
        <v>2.5</v>
      </c>
      <c r="H60" s="20" t="b">
        <v>0</v>
      </c>
      <c r="I60" s="17" t="s">
        <v>56</v>
      </c>
      <c r="J60" s="17">
        <v>1.0</v>
      </c>
      <c r="K60" s="20"/>
      <c r="L60" s="18"/>
      <c r="M60" s="18"/>
      <c r="N60" s="18"/>
      <c r="O60" s="18"/>
      <c r="P60" s="18"/>
      <c r="Q60" s="17"/>
      <c r="R60" s="18"/>
      <c r="S60" s="18"/>
      <c r="T60" s="18"/>
      <c r="U60" s="18"/>
      <c r="V60" s="18"/>
      <c r="W60" s="18"/>
      <c r="X60" s="18"/>
      <c r="Y60" s="18"/>
      <c r="Z60" s="19"/>
      <c r="AA60" s="19"/>
      <c r="AB60" s="19"/>
      <c r="AC60" s="24"/>
      <c r="AD60" s="24"/>
      <c r="AE60" s="24"/>
      <c r="AF60" s="24"/>
      <c r="AG60" s="24"/>
      <c r="AH60" s="17"/>
      <c r="AI60" s="17"/>
      <c r="AJ60" s="17"/>
      <c r="AK60" s="17">
        <v>500.0</v>
      </c>
      <c r="AL60" s="17"/>
      <c r="AM60" s="20"/>
      <c r="AN60" s="20"/>
      <c r="AO60" s="20"/>
      <c r="AP60" s="20"/>
      <c r="AQ60" s="17">
        <v>400.0</v>
      </c>
      <c r="AR60" s="17"/>
      <c r="AS60" s="17"/>
      <c r="AT60" s="17"/>
      <c r="AU60" s="25" t="s">
        <v>390</v>
      </c>
      <c r="AV60" s="15" t="s">
        <v>391</v>
      </c>
      <c r="AW60" s="15" t="s">
        <v>392</v>
      </c>
      <c r="AX60" s="15" t="s">
        <v>393</v>
      </c>
      <c r="AY60" s="15" t="s">
        <v>394</v>
      </c>
      <c r="AZ60" s="15" t="s">
        <v>395</v>
      </c>
    </row>
    <row r="61">
      <c r="B61" s="8" t="s">
        <v>65</v>
      </c>
      <c r="C61" s="8" t="s">
        <v>396</v>
      </c>
      <c r="D61" s="9" t="str">
        <f t="shared" si="1"/>
        <v/>
      </c>
      <c r="E61" s="10">
        <v>85.0</v>
      </c>
      <c r="F61" s="10">
        <v>0.0</v>
      </c>
      <c r="G61" s="10">
        <v>2.5</v>
      </c>
      <c r="H61" s="13" t="b">
        <v>0</v>
      </c>
      <c r="I61" s="10" t="s">
        <v>56</v>
      </c>
      <c r="J61" s="10">
        <v>1.0</v>
      </c>
      <c r="K61" s="10"/>
      <c r="L61" s="11"/>
      <c r="M61" s="11"/>
      <c r="N61" s="11"/>
      <c r="O61" s="11"/>
      <c r="P61" s="11"/>
      <c r="Q61" s="10"/>
      <c r="R61" s="11"/>
      <c r="S61" s="11"/>
      <c r="T61" s="11"/>
      <c r="U61" s="11"/>
      <c r="V61" s="11"/>
      <c r="W61" s="11"/>
      <c r="X61" s="11"/>
      <c r="Y61" s="11"/>
      <c r="Z61" s="12"/>
      <c r="AA61" s="12"/>
      <c r="AB61" s="12"/>
      <c r="AC61" s="26"/>
      <c r="AD61" s="26"/>
      <c r="AE61" s="26"/>
      <c r="AF61" s="26"/>
      <c r="AG61" s="26"/>
      <c r="AH61" s="13"/>
      <c r="AI61" s="10"/>
      <c r="AJ61" s="10"/>
      <c r="AK61" s="10">
        <v>800.0</v>
      </c>
      <c r="AL61" s="10"/>
      <c r="AM61" s="10"/>
      <c r="AN61" s="10"/>
      <c r="AO61" s="13"/>
      <c r="AP61" s="13"/>
      <c r="AQ61" s="10">
        <v>700.0</v>
      </c>
      <c r="AR61" s="10"/>
      <c r="AS61" s="10"/>
      <c r="AT61" s="10"/>
      <c r="AU61" s="22" t="s">
        <v>397</v>
      </c>
      <c r="AV61" s="8" t="s">
        <v>398</v>
      </c>
      <c r="AW61" s="8" t="s">
        <v>399</v>
      </c>
      <c r="AX61" s="8" t="s">
        <v>400</v>
      </c>
      <c r="AY61" s="8" t="s">
        <v>401</v>
      </c>
      <c r="AZ61" s="8" t="s">
        <v>402</v>
      </c>
    </row>
    <row r="62">
      <c r="B62" s="15" t="s">
        <v>65</v>
      </c>
      <c r="C62" s="15" t="s">
        <v>403</v>
      </c>
      <c r="D62" s="16" t="str">
        <f t="shared" si="1"/>
        <v/>
      </c>
      <c r="E62" s="17">
        <v>85.0</v>
      </c>
      <c r="F62" s="17">
        <v>0.0</v>
      </c>
      <c r="G62" s="17">
        <v>2.5</v>
      </c>
      <c r="H62" s="20" t="b">
        <v>0</v>
      </c>
      <c r="I62" s="17" t="s">
        <v>51</v>
      </c>
      <c r="J62" s="17">
        <v>1.0</v>
      </c>
      <c r="K62" s="20"/>
      <c r="L62" s="18"/>
      <c r="M62" s="18"/>
      <c r="N62" s="18"/>
      <c r="O62" s="18"/>
      <c r="P62" s="18"/>
      <c r="Q62" s="17"/>
      <c r="R62" s="18"/>
      <c r="S62" s="18"/>
      <c r="T62" s="18"/>
      <c r="U62" s="18"/>
      <c r="V62" s="18"/>
      <c r="W62" s="18"/>
      <c r="X62" s="18"/>
      <c r="Y62" s="18"/>
      <c r="Z62" s="19"/>
      <c r="AA62" s="19"/>
      <c r="AB62" s="19"/>
      <c r="AC62" s="24"/>
      <c r="AD62" s="24"/>
      <c r="AE62" s="24"/>
      <c r="AF62" s="24"/>
      <c r="AG62" s="24"/>
      <c r="AH62" s="20"/>
      <c r="AI62" s="17"/>
      <c r="AJ62" s="17"/>
      <c r="AK62" s="17">
        <v>400.0</v>
      </c>
      <c r="AL62" s="17"/>
      <c r="AM62" s="20"/>
      <c r="AN62" s="20"/>
      <c r="AO62" s="20"/>
      <c r="AP62" s="20"/>
      <c r="AQ62" s="17">
        <v>700.0</v>
      </c>
      <c r="AR62" s="17"/>
      <c r="AS62" s="17"/>
      <c r="AT62" s="17"/>
      <c r="AU62" s="25" t="s">
        <v>404</v>
      </c>
      <c r="AV62" s="15" t="s">
        <v>405</v>
      </c>
      <c r="AW62" s="15" t="s">
        <v>405</v>
      </c>
      <c r="AX62" s="15" t="s">
        <v>406</v>
      </c>
      <c r="AY62" s="15" t="s">
        <v>407</v>
      </c>
      <c r="AZ62" s="15" t="s">
        <v>408</v>
      </c>
    </row>
    <row r="63">
      <c r="B63" s="8" t="s">
        <v>72</v>
      </c>
      <c r="C63" s="8" t="s">
        <v>409</v>
      </c>
      <c r="D63" s="9" t="str">
        <f t="shared" si="1"/>
        <v/>
      </c>
      <c r="E63" s="10">
        <v>85.0</v>
      </c>
      <c r="F63" s="10">
        <v>0.0</v>
      </c>
      <c r="G63" s="10">
        <v>2.5</v>
      </c>
      <c r="H63" s="13" t="b">
        <v>0</v>
      </c>
      <c r="I63" s="10" t="s">
        <v>56</v>
      </c>
      <c r="J63" s="10">
        <v>1.0</v>
      </c>
      <c r="K63" s="13"/>
      <c r="L63" s="11"/>
      <c r="M63" s="11"/>
      <c r="N63" s="11"/>
      <c r="O63" s="11"/>
      <c r="P63" s="11"/>
      <c r="Q63" s="10"/>
      <c r="R63" s="11"/>
      <c r="S63" s="11"/>
      <c r="T63" s="11"/>
      <c r="U63" s="11"/>
      <c r="V63" s="11"/>
      <c r="W63" s="11"/>
      <c r="X63" s="11"/>
      <c r="Y63" s="11"/>
      <c r="Z63" s="12"/>
      <c r="AA63" s="12"/>
      <c r="AB63" s="12"/>
      <c r="AC63" s="26"/>
      <c r="AD63" s="26"/>
      <c r="AE63" s="26"/>
      <c r="AF63" s="26"/>
      <c r="AG63" s="26"/>
      <c r="AH63" s="10"/>
      <c r="AI63" s="10"/>
      <c r="AJ63" s="10"/>
      <c r="AK63" s="10">
        <v>500.0</v>
      </c>
      <c r="AL63" s="10"/>
      <c r="AM63" s="13"/>
      <c r="AN63" s="13"/>
      <c r="AO63" s="13"/>
      <c r="AP63" s="13"/>
      <c r="AQ63" s="10">
        <v>400.0</v>
      </c>
      <c r="AR63" s="10"/>
      <c r="AS63" s="10"/>
      <c r="AT63" s="10"/>
      <c r="AU63" s="22" t="s">
        <v>410</v>
      </c>
      <c r="AV63" s="8" t="s">
        <v>411</v>
      </c>
      <c r="AW63" s="8" t="s">
        <v>412</v>
      </c>
      <c r="AX63" s="8" t="s">
        <v>413</v>
      </c>
      <c r="AY63" s="8" t="s">
        <v>414</v>
      </c>
      <c r="AZ63" s="8" t="s">
        <v>415</v>
      </c>
    </row>
    <row r="64">
      <c r="B64" s="15" t="s">
        <v>72</v>
      </c>
      <c r="C64" s="15" t="s">
        <v>416</v>
      </c>
      <c r="D64" s="16" t="str">
        <f t="shared" si="1"/>
        <v/>
      </c>
      <c r="E64" s="17">
        <v>85.0</v>
      </c>
      <c r="F64" s="17">
        <v>0.0</v>
      </c>
      <c r="G64" s="17">
        <v>2.5</v>
      </c>
      <c r="H64" s="20" t="b">
        <v>0</v>
      </c>
      <c r="I64" s="17" t="s">
        <v>51</v>
      </c>
      <c r="J64" s="17">
        <v>1.0</v>
      </c>
      <c r="K64" s="20"/>
      <c r="L64" s="18"/>
      <c r="M64" s="18"/>
      <c r="N64" s="18"/>
      <c r="O64" s="18"/>
      <c r="P64" s="18"/>
      <c r="Q64" s="17"/>
      <c r="R64" s="18"/>
      <c r="S64" s="18"/>
      <c r="T64" s="18"/>
      <c r="U64" s="15" t="s">
        <v>204</v>
      </c>
      <c r="V64" s="18"/>
      <c r="W64" s="18"/>
      <c r="X64" s="18"/>
      <c r="Y64" s="18"/>
      <c r="Z64" s="19">
        <v>800.0</v>
      </c>
      <c r="AA64" s="19"/>
      <c r="AB64" s="19"/>
      <c r="AC64" s="24"/>
      <c r="AD64" s="24"/>
      <c r="AE64" s="24"/>
      <c r="AF64" s="24"/>
      <c r="AG64" s="24"/>
      <c r="AH64" s="20"/>
      <c r="AI64" s="17"/>
      <c r="AJ64" s="17"/>
      <c r="AK64" s="17">
        <v>600.0</v>
      </c>
      <c r="AL64" s="17"/>
      <c r="AM64" s="20"/>
      <c r="AN64" s="20"/>
      <c r="AO64" s="20"/>
      <c r="AP64" s="20"/>
      <c r="AQ64" s="17">
        <v>1500.0</v>
      </c>
      <c r="AR64" s="17"/>
      <c r="AS64" s="17"/>
      <c r="AT64" s="17"/>
      <c r="AU64" s="25" t="s">
        <v>417</v>
      </c>
      <c r="AV64" s="15" t="s">
        <v>418</v>
      </c>
      <c r="AW64" s="15" t="s">
        <v>419</v>
      </c>
      <c r="AX64" s="15" t="s">
        <v>420</v>
      </c>
      <c r="AY64" s="15" t="s">
        <v>421</v>
      </c>
      <c r="AZ64" s="15" t="s">
        <v>422</v>
      </c>
    </row>
    <row r="65">
      <c r="B65" s="8" t="s">
        <v>72</v>
      </c>
      <c r="C65" s="8" t="s">
        <v>423</v>
      </c>
      <c r="D65" s="9" t="str">
        <f t="shared" si="1"/>
        <v/>
      </c>
      <c r="E65" s="10">
        <v>85.0</v>
      </c>
      <c r="F65" s="10">
        <v>0.0</v>
      </c>
      <c r="G65" s="10">
        <v>2.5</v>
      </c>
      <c r="H65" s="13" t="b">
        <v>0</v>
      </c>
      <c r="I65" s="10" t="s">
        <v>56</v>
      </c>
      <c r="J65" s="10">
        <v>1.0</v>
      </c>
      <c r="K65" s="13"/>
      <c r="L65" s="11"/>
      <c r="M65" s="11"/>
      <c r="N65" s="11"/>
      <c r="O65" s="11"/>
      <c r="P65" s="11"/>
      <c r="Q65" s="10"/>
      <c r="R65" s="11"/>
      <c r="S65" s="11"/>
      <c r="T65" s="11"/>
      <c r="U65" s="11"/>
      <c r="V65" s="11"/>
      <c r="W65" s="11"/>
      <c r="X65" s="11"/>
      <c r="Y65" s="11"/>
      <c r="Z65" s="12"/>
      <c r="AA65" s="12"/>
      <c r="AB65" s="12"/>
      <c r="AC65" s="26"/>
      <c r="AD65" s="26"/>
      <c r="AE65" s="26"/>
      <c r="AF65" s="26"/>
      <c r="AG65" s="26"/>
      <c r="AH65" s="13"/>
      <c r="AI65" s="10"/>
      <c r="AJ65" s="10"/>
      <c r="AK65" s="10">
        <v>800.0</v>
      </c>
      <c r="AL65" s="10"/>
      <c r="AM65" s="13"/>
      <c r="AN65" s="13"/>
      <c r="AO65" s="13"/>
      <c r="AP65" s="13"/>
      <c r="AQ65" s="10">
        <v>1000.0</v>
      </c>
      <c r="AR65" s="10"/>
      <c r="AS65" s="10"/>
      <c r="AT65" s="10"/>
      <c r="AU65" s="22" t="s">
        <v>424</v>
      </c>
      <c r="AV65" s="8" t="s">
        <v>425</v>
      </c>
      <c r="AW65" s="8" t="s">
        <v>426</v>
      </c>
      <c r="AX65" s="8" t="s">
        <v>427</v>
      </c>
      <c r="AY65" s="8" t="s">
        <v>428</v>
      </c>
      <c r="AZ65" s="8" t="s">
        <v>429</v>
      </c>
    </row>
    <row r="66">
      <c r="B66" s="15" t="s">
        <v>72</v>
      </c>
      <c r="C66" s="15" t="s">
        <v>430</v>
      </c>
      <c r="D66" s="16" t="str">
        <f t="shared" si="1"/>
        <v/>
      </c>
      <c r="E66" s="17">
        <v>85.0</v>
      </c>
      <c r="F66" s="17">
        <v>0.0</v>
      </c>
      <c r="G66" s="17">
        <v>2.5</v>
      </c>
      <c r="H66" s="20" t="b">
        <v>0</v>
      </c>
      <c r="I66" s="17" t="s">
        <v>56</v>
      </c>
      <c r="J66" s="17">
        <v>1.0</v>
      </c>
      <c r="K66" s="20"/>
      <c r="L66" s="18"/>
      <c r="M66" s="18"/>
      <c r="N66" s="18"/>
      <c r="O66" s="18"/>
      <c r="P66" s="18"/>
      <c r="Q66" s="17"/>
      <c r="R66" s="18"/>
      <c r="S66" s="18"/>
      <c r="T66" s="18"/>
      <c r="U66" s="18"/>
      <c r="V66" s="18"/>
      <c r="W66" s="18"/>
      <c r="X66" s="18"/>
      <c r="Y66" s="18"/>
      <c r="Z66" s="19"/>
      <c r="AA66" s="19"/>
      <c r="AB66" s="19"/>
      <c r="AC66" s="24"/>
      <c r="AD66" s="24"/>
      <c r="AE66" s="24"/>
      <c r="AF66" s="24"/>
      <c r="AG66" s="24"/>
      <c r="AH66" s="20"/>
      <c r="AI66" s="17"/>
      <c r="AJ66" s="17"/>
      <c r="AK66" s="17">
        <v>800.0</v>
      </c>
      <c r="AL66" s="17"/>
      <c r="AM66" s="20"/>
      <c r="AN66" s="20"/>
      <c r="AO66" s="20"/>
      <c r="AP66" s="20"/>
      <c r="AQ66" s="20"/>
      <c r="AR66" s="20"/>
      <c r="AS66" s="20"/>
      <c r="AT66" s="20"/>
      <c r="AU66" s="25" t="s">
        <v>431</v>
      </c>
      <c r="AV66" s="15" t="s">
        <v>432</v>
      </c>
      <c r="AW66" s="15" t="s">
        <v>433</v>
      </c>
      <c r="AX66" s="15" t="s">
        <v>434</v>
      </c>
      <c r="AY66" s="15" t="s">
        <v>435</v>
      </c>
      <c r="AZ66" s="15" t="s">
        <v>436</v>
      </c>
    </row>
    <row r="67">
      <c r="B67" s="8" t="s">
        <v>72</v>
      </c>
      <c r="C67" s="8" t="s">
        <v>437</v>
      </c>
      <c r="D67" s="9" t="str">
        <f t="shared" si="1"/>
        <v/>
      </c>
      <c r="E67" s="10">
        <v>85.0</v>
      </c>
      <c r="F67" s="10">
        <v>0.0</v>
      </c>
      <c r="G67" s="10">
        <v>2.5</v>
      </c>
      <c r="H67" s="13" t="b">
        <v>0</v>
      </c>
      <c r="I67" s="10" t="s">
        <v>51</v>
      </c>
      <c r="J67" s="10">
        <v>1.0</v>
      </c>
      <c r="K67" s="13"/>
      <c r="L67" s="11"/>
      <c r="M67" s="11"/>
      <c r="N67" s="11"/>
      <c r="O67" s="11"/>
      <c r="P67" s="11"/>
      <c r="Q67" s="10"/>
      <c r="R67" s="11"/>
      <c r="S67" s="11"/>
      <c r="T67" s="11"/>
      <c r="U67" s="11"/>
      <c r="V67" s="11"/>
      <c r="W67" s="11"/>
      <c r="X67" s="11"/>
      <c r="Y67" s="11"/>
      <c r="Z67" s="12"/>
      <c r="AA67" s="12"/>
      <c r="AB67" s="12"/>
      <c r="AC67" s="26"/>
      <c r="AD67" s="26"/>
      <c r="AE67" s="26"/>
      <c r="AF67" s="26"/>
      <c r="AG67" s="26"/>
      <c r="AH67" s="13"/>
      <c r="AI67" s="10"/>
      <c r="AJ67" s="10"/>
      <c r="AK67" s="10">
        <v>400.0</v>
      </c>
      <c r="AL67" s="10"/>
      <c r="AM67" s="13"/>
      <c r="AN67" s="13"/>
      <c r="AO67" s="13"/>
      <c r="AP67" s="13"/>
      <c r="AQ67" s="13"/>
      <c r="AR67" s="13"/>
      <c r="AS67" s="13"/>
      <c r="AT67" s="13"/>
      <c r="AU67" s="22" t="s">
        <v>438</v>
      </c>
      <c r="AV67" s="8" t="s">
        <v>439</v>
      </c>
      <c r="AW67" s="8" t="s">
        <v>440</v>
      </c>
      <c r="AX67" s="8" t="s">
        <v>441</v>
      </c>
      <c r="AY67" s="8" t="s">
        <v>442</v>
      </c>
      <c r="AZ67" s="8" t="s">
        <v>443</v>
      </c>
    </row>
    <row r="68">
      <c r="B68" s="15" t="s">
        <v>72</v>
      </c>
      <c r="C68" s="15" t="s">
        <v>444</v>
      </c>
      <c r="D68" s="16" t="str">
        <f t="shared" si="1"/>
        <v/>
      </c>
      <c r="E68" s="17">
        <v>85.0</v>
      </c>
      <c r="F68" s="17">
        <v>0.0</v>
      </c>
      <c r="G68" s="17">
        <v>2.5</v>
      </c>
      <c r="H68" s="20" t="b">
        <v>0</v>
      </c>
      <c r="I68" s="17" t="s">
        <v>51</v>
      </c>
      <c r="J68" s="17">
        <v>1.0</v>
      </c>
      <c r="K68" s="20"/>
      <c r="L68" s="18"/>
      <c r="M68" s="18"/>
      <c r="N68" s="18"/>
      <c r="O68" s="18"/>
      <c r="P68" s="18"/>
      <c r="Q68" s="17"/>
      <c r="R68" s="18"/>
      <c r="S68" s="18"/>
      <c r="T68" s="18"/>
      <c r="U68" s="15" t="s">
        <v>204</v>
      </c>
      <c r="V68" s="18"/>
      <c r="W68" s="18"/>
      <c r="X68" s="18"/>
      <c r="Y68" s="18"/>
      <c r="Z68" s="19">
        <v>600.0</v>
      </c>
      <c r="AA68" s="19"/>
      <c r="AB68" s="19"/>
      <c r="AC68" s="24"/>
      <c r="AD68" s="24"/>
      <c r="AE68" s="24"/>
      <c r="AF68" s="24"/>
      <c r="AG68" s="24"/>
      <c r="AH68" s="20"/>
      <c r="AI68" s="17"/>
      <c r="AJ68" s="17"/>
      <c r="AK68" s="17">
        <v>400.0</v>
      </c>
      <c r="AL68" s="17"/>
      <c r="AM68" s="20"/>
      <c r="AN68" s="20"/>
      <c r="AO68" s="20"/>
      <c r="AP68" s="20"/>
      <c r="AQ68" s="17">
        <v>900.0</v>
      </c>
      <c r="AR68" s="17"/>
      <c r="AS68" s="17"/>
      <c r="AT68" s="17"/>
      <c r="AU68" s="25" t="s">
        <v>445</v>
      </c>
      <c r="AV68" s="15" t="s">
        <v>446</v>
      </c>
      <c r="AW68" s="15" t="s">
        <v>447</v>
      </c>
      <c r="AX68" s="15" t="s">
        <v>448</v>
      </c>
      <c r="AY68" s="15" t="s">
        <v>449</v>
      </c>
      <c r="AZ68" s="15" t="s">
        <v>450</v>
      </c>
    </row>
    <row r="69">
      <c r="B69" s="8" t="s">
        <v>72</v>
      </c>
      <c r="C69" s="8" t="s">
        <v>451</v>
      </c>
      <c r="D69" s="9" t="str">
        <f t="shared" si="1"/>
        <v/>
      </c>
      <c r="E69" s="10">
        <v>85.0</v>
      </c>
      <c r="F69" s="10">
        <v>15.0</v>
      </c>
      <c r="G69" s="10">
        <v>2.5</v>
      </c>
      <c r="H69" s="13" t="b">
        <v>0</v>
      </c>
      <c r="I69" s="10" t="s">
        <v>51</v>
      </c>
      <c r="J69" s="10">
        <v>1.0</v>
      </c>
      <c r="K69" s="10"/>
      <c r="L69" s="11"/>
      <c r="M69" s="11"/>
      <c r="N69" s="11"/>
      <c r="O69" s="11"/>
      <c r="P69" s="11"/>
      <c r="Q69" s="10"/>
      <c r="R69" s="11"/>
      <c r="S69" s="11"/>
      <c r="T69" s="11"/>
      <c r="U69" s="11"/>
      <c r="V69" s="11"/>
      <c r="W69" s="11"/>
      <c r="X69" s="11"/>
      <c r="Y69" s="11"/>
      <c r="Z69" s="12"/>
      <c r="AA69" s="12"/>
      <c r="AB69" s="12"/>
      <c r="AC69" s="26"/>
      <c r="AD69" s="26"/>
      <c r="AE69" s="26"/>
      <c r="AF69" s="26"/>
      <c r="AG69" s="26"/>
      <c r="AH69" s="13"/>
      <c r="AI69" s="10"/>
      <c r="AJ69" s="10"/>
      <c r="AK69" s="10">
        <v>250.0</v>
      </c>
      <c r="AL69" s="10"/>
      <c r="AM69" s="10">
        <v>15.0</v>
      </c>
      <c r="AN69" s="10">
        <v>150.0</v>
      </c>
      <c r="AO69" s="13"/>
      <c r="AP69" s="13"/>
      <c r="AQ69" s="10">
        <v>1000.0</v>
      </c>
      <c r="AR69" s="10"/>
      <c r="AS69" s="10"/>
      <c r="AT69" s="10"/>
      <c r="AU69" s="22" t="s">
        <v>452</v>
      </c>
      <c r="AV69" s="8" t="s">
        <v>453</v>
      </c>
      <c r="AW69" s="8" t="s">
        <v>454</v>
      </c>
      <c r="AX69" s="8" t="s">
        <v>455</v>
      </c>
      <c r="AY69" s="8" t="s">
        <v>456</v>
      </c>
      <c r="AZ69" s="8" t="s">
        <v>457</v>
      </c>
    </row>
    <row r="70">
      <c r="B70" s="15" t="s">
        <v>72</v>
      </c>
      <c r="C70" s="15" t="s">
        <v>458</v>
      </c>
      <c r="D70" s="16" t="str">
        <f t="shared" si="1"/>
        <v/>
      </c>
      <c r="E70" s="17">
        <v>85.0</v>
      </c>
      <c r="F70" s="17">
        <v>18.0</v>
      </c>
      <c r="G70" s="17">
        <v>2.5</v>
      </c>
      <c r="H70" s="20" t="b">
        <v>0</v>
      </c>
      <c r="I70" s="17" t="s">
        <v>56</v>
      </c>
      <c r="J70" s="17">
        <v>1.0</v>
      </c>
      <c r="K70" s="17"/>
      <c r="L70" s="18"/>
      <c r="M70" s="18"/>
      <c r="N70" s="18"/>
      <c r="O70" s="18"/>
      <c r="P70" s="18"/>
      <c r="Q70" s="17"/>
      <c r="R70" s="18"/>
      <c r="S70" s="18"/>
      <c r="T70" s="18"/>
      <c r="U70" s="15" t="s">
        <v>204</v>
      </c>
      <c r="V70" s="18"/>
      <c r="W70" s="18"/>
      <c r="X70" s="18"/>
      <c r="Y70" s="18"/>
      <c r="Z70" s="19">
        <v>450.0</v>
      </c>
      <c r="AA70" s="19"/>
      <c r="AB70" s="19"/>
      <c r="AC70" s="24"/>
      <c r="AD70" s="24"/>
      <c r="AE70" s="24"/>
      <c r="AF70" s="24"/>
      <c r="AG70" s="24"/>
      <c r="AH70" s="20"/>
      <c r="AI70" s="17"/>
      <c r="AJ70" s="17"/>
      <c r="AK70" s="20"/>
      <c r="AL70" s="20"/>
      <c r="AM70" s="17">
        <v>18.0</v>
      </c>
      <c r="AN70" s="17">
        <v>250.0</v>
      </c>
      <c r="AO70" s="20"/>
      <c r="AP70" s="20"/>
      <c r="AQ70" s="17">
        <v>500.0</v>
      </c>
      <c r="AR70" s="17"/>
      <c r="AS70" s="17"/>
      <c r="AT70" s="17"/>
      <c r="AU70" s="25" t="s">
        <v>459</v>
      </c>
      <c r="AV70" s="15" t="s">
        <v>460</v>
      </c>
      <c r="AW70" s="15" t="s">
        <v>461</v>
      </c>
      <c r="AX70" s="15" t="s">
        <v>462</v>
      </c>
      <c r="AY70" s="15" t="s">
        <v>463</v>
      </c>
      <c r="AZ70" s="15" t="s">
        <v>464</v>
      </c>
    </row>
    <row r="71">
      <c r="B71" s="8" t="s">
        <v>198</v>
      </c>
      <c r="C71" s="8" t="s">
        <v>465</v>
      </c>
      <c r="D71" s="9" t="str">
        <f t="shared" si="1"/>
        <v/>
      </c>
      <c r="E71" s="10">
        <v>84.0</v>
      </c>
      <c r="F71" s="10">
        <v>0.0</v>
      </c>
      <c r="G71" s="10">
        <v>60.0</v>
      </c>
      <c r="H71" s="10" t="b">
        <v>1</v>
      </c>
      <c r="I71" s="10" t="s">
        <v>45</v>
      </c>
      <c r="J71" s="10">
        <v>1.0</v>
      </c>
      <c r="K71" s="47"/>
      <c r="L71" s="11"/>
      <c r="M71" s="11"/>
      <c r="N71" s="11"/>
      <c r="O71" s="11"/>
      <c r="P71" s="11"/>
      <c r="Q71" s="10"/>
      <c r="R71" s="11"/>
      <c r="S71" s="11"/>
      <c r="T71" s="11"/>
      <c r="U71" s="11"/>
      <c r="V71" s="11"/>
      <c r="W71" s="11"/>
      <c r="X71" s="11"/>
      <c r="Y71" s="11"/>
      <c r="Z71" s="12"/>
      <c r="AA71" s="12"/>
      <c r="AB71" s="12"/>
      <c r="AC71" s="38"/>
      <c r="AD71" s="38"/>
      <c r="AE71" s="38"/>
      <c r="AF71" s="38"/>
      <c r="AG71" s="38"/>
      <c r="AH71" s="38"/>
      <c r="AI71" s="39"/>
      <c r="AJ71" s="39"/>
      <c r="AK71" s="46">
        <v>1200.0</v>
      </c>
      <c r="AL71" s="46"/>
      <c r="AM71" s="47">
        <v>15.0</v>
      </c>
      <c r="AN71" s="46">
        <v>200.0</v>
      </c>
      <c r="AO71" s="39"/>
      <c r="AP71" s="39"/>
      <c r="AQ71" s="39"/>
      <c r="AR71" s="39"/>
      <c r="AS71" s="39"/>
      <c r="AT71" s="39"/>
      <c r="AU71" s="22" t="s">
        <v>466</v>
      </c>
      <c r="AV71" s="8" t="s">
        <v>467</v>
      </c>
      <c r="AW71" s="8" t="s">
        <v>468</v>
      </c>
      <c r="AX71" s="8" t="s">
        <v>469</v>
      </c>
      <c r="AY71" s="8" t="s">
        <v>470</v>
      </c>
      <c r="AZ71" s="8" t="s">
        <v>471</v>
      </c>
    </row>
    <row r="72">
      <c r="B72" s="15" t="s">
        <v>180</v>
      </c>
      <c r="C72" s="15" t="s">
        <v>472</v>
      </c>
      <c r="D72" s="16" t="str">
        <f t="shared" si="1"/>
        <v/>
      </c>
      <c r="E72" s="17">
        <v>82.0</v>
      </c>
      <c r="F72" s="17">
        <v>8.0</v>
      </c>
      <c r="G72" s="58">
        <v>25.0</v>
      </c>
      <c r="H72" s="17" t="b">
        <v>1</v>
      </c>
      <c r="I72" s="17" t="s">
        <v>56</v>
      </c>
      <c r="J72" s="17">
        <v>1.0</v>
      </c>
      <c r="K72" s="17">
        <v>8.0</v>
      </c>
      <c r="L72" s="18">
        <v>0.85</v>
      </c>
      <c r="M72" s="18">
        <v>0.85</v>
      </c>
      <c r="N72" s="18">
        <v>0.85</v>
      </c>
      <c r="O72" s="18"/>
      <c r="P72" s="18"/>
      <c r="Q72" s="17">
        <v>4.0</v>
      </c>
      <c r="R72" s="18">
        <v>0.85</v>
      </c>
      <c r="S72" s="18">
        <v>0.85</v>
      </c>
      <c r="T72" s="18">
        <v>0.85</v>
      </c>
      <c r="U72" s="18"/>
      <c r="V72" s="18"/>
      <c r="W72" s="18"/>
      <c r="X72" s="18"/>
      <c r="Y72" s="18"/>
      <c r="Z72" s="19"/>
      <c r="AA72" s="19"/>
      <c r="AB72" s="19"/>
      <c r="AC72" s="43"/>
      <c r="AD72" s="43"/>
      <c r="AE72" s="43"/>
      <c r="AF72" s="43"/>
      <c r="AG72" s="43"/>
      <c r="AH72" s="43"/>
      <c r="AI72" s="44"/>
      <c r="AJ72" s="44"/>
      <c r="AK72" s="44"/>
      <c r="AL72" s="44"/>
      <c r="AM72" s="44"/>
      <c r="AN72" s="44"/>
      <c r="AO72" s="44"/>
      <c r="AP72" s="44"/>
      <c r="AQ72" s="44"/>
      <c r="AR72" s="44"/>
      <c r="AS72" s="44"/>
      <c r="AT72" s="44"/>
      <c r="AU72" s="21" t="s">
        <v>473</v>
      </c>
      <c r="AV72" s="15" t="s">
        <v>474</v>
      </c>
      <c r="AW72" s="15" t="s">
        <v>475</v>
      </c>
      <c r="AX72" s="15" t="s">
        <v>476</v>
      </c>
      <c r="AY72" s="15" t="s">
        <v>477</v>
      </c>
      <c r="AZ72" s="15" t="s">
        <v>478</v>
      </c>
    </row>
    <row r="73">
      <c r="B73" s="8" t="s">
        <v>186</v>
      </c>
      <c r="C73" s="8" t="s">
        <v>479</v>
      </c>
      <c r="D73" s="9" t="str">
        <f t="shared" si="1"/>
        <v/>
      </c>
      <c r="E73" s="10">
        <v>82.0</v>
      </c>
      <c r="F73" s="10">
        <v>8.0</v>
      </c>
      <c r="G73" s="47">
        <v>10.0</v>
      </c>
      <c r="H73" s="10" t="b">
        <v>1</v>
      </c>
      <c r="I73" s="10" t="s">
        <v>56</v>
      </c>
      <c r="J73" s="10">
        <v>1.0</v>
      </c>
      <c r="K73" s="47">
        <v>8.0</v>
      </c>
      <c r="L73" s="11">
        <v>0.9</v>
      </c>
      <c r="M73" s="11">
        <v>0.9</v>
      </c>
      <c r="N73" s="11">
        <v>0.9</v>
      </c>
      <c r="O73" s="11"/>
      <c r="P73" s="11"/>
      <c r="Q73" s="10">
        <v>4.0</v>
      </c>
      <c r="R73" s="11">
        <v>0.9</v>
      </c>
      <c r="S73" s="11">
        <v>0.9</v>
      </c>
      <c r="T73" s="11">
        <v>0.9</v>
      </c>
      <c r="U73" s="11" t="s">
        <v>480</v>
      </c>
      <c r="V73" s="11"/>
      <c r="W73" s="11">
        <v>0.8</v>
      </c>
      <c r="X73" s="11">
        <v>0.8</v>
      </c>
      <c r="Y73" s="11">
        <v>0.8</v>
      </c>
      <c r="Z73" s="12"/>
      <c r="AA73" s="12"/>
      <c r="AB73" s="12"/>
      <c r="AC73" s="38"/>
      <c r="AD73" s="38"/>
      <c r="AE73" s="38"/>
      <c r="AF73" s="38"/>
      <c r="AG73" s="38"/>
      <c r="AH73" s="38"/>
      <c r="AI73" s="39"/>
      <c r="AJ73" s="39"/>
      <c r="AK73" s="39"/>
      <c r="AL73" s="39"/>
      <c r="AM73" s="46">
        <v>12.0</v>
      </c>
      <c r="AN73" s="46">
        <v>250.0</v>
      </c>
      <c r="AO73" s="39"/>
      <c r="AP73" s="39"/>
      <c r="AQ73" s="39"/>
      <c r="AR73" s="39"/>
      <c r="AS73" s="39"/>
      <c r="AT73" s="39"/>
      <c r="AU73" s="22" t="s">
        <v>481</v>
      </c>
      <c r="AV73" s="8" t="s">
        <v>482</v>
      </c>
      <c r="AW73" s="8" t="s">
        <v>482</v>
      </c>
      <c r="AX73" s="8" t="s">
        <v>482</v>
      </c>
      <c r="AY73" s="8" t="s">
        <v>483</v>
      </c>
      <c r="AZ73" s="8" t="s">
        <v>484</v>
      </c>
    </row>
    <row r="74">
      <c r="B74" s="15" t="s">
        <v>186</v>
      </c>
      <c r="C74" s="15" t="s">
        <v>485</v>
      </c>
      <c r="D74" s="16" t="str">
        <f t="shared" si="1"/>
        <v/>
      </c>
      <c r="E74" s="17">
        <v>82.0</v>
      </c>
      <c r="F74" s="17">
        <v>8.0</v>
      </c>
      <c r="G74" s="58">
        <v>5.0</v>
      </c>
      <c r="H74" s="17" t="b">
        <v>1</v>
      </c>
      <c r="I74" s="17" t="s">
        <v>45</v>
      </c>
      <c r="J74" s="17">
        <v>1.0</v>
      </c>
      <c r="K74" s="58">
        <v>8.0</v>
      </c>
      <c r="L74" s="18">
        <v>0.85</v>
      </c>
      <c r="M74" s="18">
        <v>0.85</v>
      </c>
      <c r="N74" s="18">
        <v>0.85</v>
      </c>
      <c r="O74" s="18"/>
      <c r="P74" s="18"/>
      <c r="Q74" s="17">
        <v>4.0</v>
      </c>
      <c r="R74" s="18">
        <v>0.85</v>
      </c>
      <c r="S74" s="18">
        <v>0.85</v>
      </c>
      <c r="T74" s="18">
        <v>0.85</v>
      </c>
      <c r="U74" s="18"/>
      <c r="V74" s="18"/>
      <c r="W74" s="18"/>
      <c r="X74" s="18"/>
      <c r="Y74" s="18"/>
      <c r="Z74" s="19"/>
      <c r="AA74" s="19"/>
      <c r="AB74" s="19"/>
      <c r="AC74" s="43"/>
      <c r="AD74" s="43"/>
      <c r="AE74" s="43"/>
      <c r="AF74" s="43"/>
      <c r="AG74" s="43"/>
      <c r="AH74" s="43"/>
      <c r="AI74" s="44"/>
      <c r="AJ74" s="44"/>
      <c r="AK74" s="44"/>
      <c r="AL74" s="44"/>
      <c r="AM74" s="45">
        <v>12.0</v>
      </c>
      <c r="AN74" s="45">
        <v>250.0</v>
      </c>
      <c r="AO74" s="44"/>
      <c r="AP74" s="44"/>
      <c r="AQ74" s="44"/>
      <c r="AR74" s="44"/>
      <c r="AS74" s="44"/>
      <c r="AT74" s="44"/>
      <c r="AU74" s="25" t="s">
        <v>486</v>
      </c>
      <c r="AV74" s="15" t="s">
        <v>487</v>
      </c>
      <c r="AW74" s="15" t="s">
        <v>488</v>
      </c>
      <c r="AX74" s="15" t="s">
        <v>489</v>
      </c>
      <c r="AY74" s="15" t="s">
        <v>490</v>
      </c>
      <c r="AZ74" s="15" t="s">
        <v>491</v>
      </c>
    </row>
    <row r="75">
      <c r="B75" s="8" t="s">
        <v>192</v>
      </c>
      <c r="C75" s="8" t="s">
        <v>492</v>
      </c>
      <c r="D75" s="9" t="str">
        <f t="shared" si="1"/>
        <v/>
      </c>
      <c r="E75" s="10">
        <v>82.0</v>
      </c>
      <c r="F75" s="10">
        <v>10.0</v>
      </c>
      <c r="G75" s="47">
        <v>60.0</v>
      </c>
      <c r="H75" s="10" t="b">
        <v>1</v>
      </c>
      <c r="I75" s="10" t="s">
        <v>56</v>
      </c>
      <c r="J75" s="10">
        <v>2.0</v>
      </c>
      <c r="K75" s="47">
        <v>10.0</v>
      </c>
      <c r="L75" s="11">
        <v>0.9</v>
      </c>
      <c r="M75" s="11">
        <v>0.9</v>
      </c>
      <c r="N75" s="11">
        <v>0.9</v>
      </c>
      <c r="O75" s="11"/>
      <c r="P75" s="11"/>
      <c r="Q75" s="10"/>
      <c r="R75" s="11"/>
      <c r="S75" s="11"/>
      <c r="T75" s="11"/>
      <c r="U75" s="11"/>
      <c r="V75" s="11"/>
      <c r="W75" s="11"/>
      <c r="X75" s="11"/>
      <c r="Y75" s="11"/>
      <c r="Z75" s="12"/>
      <c r="AA75" s="12"/>
      <c r="AB75" s="12"/>
      <c r="AC75" s="38"/>
      <c r="AD75" s="38"/>
      <c r="AE75" s="38"/>
      <c r="AF75" s="38"/>
      <c r="AG75" s="38"/>
      <c r="AH75" s="38"/>
      <c r="AI75" s="39"/>
      <c r="AJ75" s="39"/>
      <c r="AK75" s="39"/>
      <c r="AL75" s="39"/>
      <c r="AM75" s="39"/>
      <c r="AN75" s="39"/>
      <c r="AO75" s="39"/>
      <c r="AP75" s="39"/>
      <c r="AQ75" s="39"/>
      <c r="AR75" s="39"/>
      <c r="AS75" s="39"/>
      <c r="AT75" s="39"/>
      <c r="AU75" s="22" t="s">
        <v>493</v>
      </c>
      <c r="AV75" s="8" t="s">
        <v>494</v>
      </c>
      <c r="AW75" s="8" t="s">
        <v>495</v>
      </c>
      <c r="AX75" s="8" t="s">
        <v>494</v>
      </c>
      <c r="AY75" s="8" t="s">
        <v>496</v>
      </c>
      <c r="AZ75" s="8" t="s">
        <v>497</v>
      </c>
    </row>
    <row r="76">
      <c r="B76" s="15" t="s">
        <v>198</v>
      </c>
      <c r="C76" s="15" t="s">
        <v>498</v>
      </c>
      <c r="D76" s="16" t="str">
        <f t="shared" si="1"/>
        <v/>
      </c>
      <c r="E76" s="17">
        <v>82.0</v>
      </c>
      <c r="F76" s="17">
        <v>8.0</v>
      </c>
      <c r="G76" s="58">
        <v>25.0</v>
      </c>
      <c r="H76" s="17" t="b">
        <v>1</v>
      </c>
      <c r="I76" s="17" t="s">
        <v>45</v>
      </c>
      <c r="J76" s="17">
        <v>1.0</v>
      </c>
      <c r="K76" s="58">
        <v>8.0</v>
      </c>
      <c r="L76" s="18">
        <v>0.9</v>
      </c>
      <c r="M76" s="18">
        <v>0.9</v>
      </c>
      <c r="N76" s="18">
        <v>0.9</v>
      </c>
      <c r="O76" s="18"/>
      <c r="P76" s="18"/>
      <c r="Q76" s="17">
        <v>4.0</v>
      </c>
      <c r="R76" s="18">
        <v>0.9</v>
      </c>
      <c r="S76" s="18">
        <v>0.9</v>
      </c>
      <c r="T76" s="18">
        <v>0.9</v>
      </c>
      <c r="U76" s="18"/>
      <c r="V76" s="18"/>
      <c r="W76" s="18"/>
      <c r="X76" s="18"/>
      <c r="Y76" s="18"/>
      <c r="Z76" s="19"/>
      <c r="AA76" s="19"/>
      <c r="AB76" s="19"/>
      <c r="AC76" s="43"/>
      <c r="AD76" s="43"/>
      <c r="AE76" s="43"/>
      <c r="AF76" s="43"/>
      <c r="AG76" s="43"/>
      <c r="AH76" s="43"/>
      <c r="AI76" s="17"/>
      <c r="AJ76" s="17"/>
      <c r="AK76" s="44"/>
      <c r="AL76" s="44"/>
      <c r="AM76" s="44"/>
      <c r="AN76" s="44"/>
      <c r="AO76" s="44"/>
      <c r="AP76" s="44"/>
      <c r="AQ76" s="44"/>
      <c r="AR76" s="44"/>
      <c r="AS76" s="44"/>
      <c r="AT76" s="44"/>
      <c r="AU76" s="25" t="s">
        <v>499</v>
      </c>
      <c r="AV76" s="15" t="s">
        <v>500</v>
      </c>
      <c r="AW76" s="15" t="s">
        <v>501</v>
      </c>
      <c r="AX76" s="15" t="s">
        <v>502</v>
      </c>
      <c r="AY76" s="15" t="s">
        <v>503</v>
      </c>
      <c r="AZ76" s="15" t="s">
        <v>504</v>
      </c>
    </row>
    <row r="77">
      <c r="B77" s="8" t="s">
        <v>198</v>
      </c>
      <c r="C77" s="8" t="s">
        <v>505</v>
      </c>
      <c r="D77" s="9" t="str">
        <f t="shared" si="1"/>
        <v/>
      </c>
      <c r="E77" s="10">
        <v>82.0</v>
      </c>
      <c r="F77" s="10">
        <v>8.0</v>
      </c>
      <c r="G77" s="10">
        <v>25.0</v>
      </c>
      <c r="H77" s="10" t="b">
        <v>1</v>
      </c>
      <c r="I77" s="10" t="s">
        <v>56</v>
      </c>
      <c r="J77" s="10">
        <v>1.0</v>
      </c>
      <c r="K77" s="10">
        <v>8.0</v>
      </c>
      <c r="L77" s="11">
        <v>0.9</v>
      </c>
      <c r="M77" s="11">
        <v>0.9</v>
      </c>
      <c r="N77" s="11">
        <v>0.9</v>
      </c>
      <c r="O77" s="11"/>
      <c r="P77" s="11"/>
      <c r="Q77" s="10">
        <v>4.0</v>
      </c>
      <c r="R77" s="11">
        <v>0.9</v>
      </c>
      <c r="S77" s="11">
        <v>0.9</v>
      </c>
      <c r="T77" s="11">
        <v>0.9</v>
      </c>
      <c r="U77" s="11"/>
      <c r="V77" s="11"/>
      <c r="W77" s="11"/>
      <c r="X77" s="11"/>
      <c r="Y77" s="11"/>
      <c r="Z77" s="12"/>
      <c r="AA77" s="12"/>
      <c r="AB77" s="12"/>
      <c r="AC77" s="26"/>
      <c r="AD77" s="26"/>
      <c r="AE77" s="26"/>
      <c r="AF77" s="26"/>
      <c r="AG77" s="26"/>
      <c r="AH77" s="26"/>
      <c r="AI77" s="10"/>
      <c r="AJ77" s="10"/>
      <c r="AK77" s="10"/>
      <c r="AL77" s="10"/>
      <c r="AM77" s="10"/>
      <c r="AN77" s="10"/>
      <c r="AO77" s="10"/>
      <c r="AP77" s="10"/>
      <c r="AQ77" s="10"/>
      <c r="AR77" s="10"/>
      <c r="AS77" s="10"/>
      <c r="AT77" s="10"/>
      <c r="AU77" s="22" t="s">
        <v>506</v>
      </c>
      <c r="AV77" s="8" t="s">
        <v>507</v>
      </c>
      <c r="AW77" s="8" t="s">
        <v>508</v>
      </c>
      <c r="AX77" s="8" t="s">
        <v>509</v>
      </c>
      <c r="AY77" s="8" t="s">
        <v>510</v>
      </c>
      <c r="AZ77" s="8" t="s">
        <v>511</v>
      </c>
    </row>
    <row r="78">
      <c r="B78" s="15" t="s">
        <v>43</v>
      </c>
      <c r="C78" s="15" t="s">
        <v>512</v>
      </c>
      <c r="D78" s="16" t="str">
        <f t="shared" si="1"/>
        <v/>
      </c>
      <c r="E78" s="17">
        <v>80.0</v>
      </c>
      <c r="F78" s="17">
        <v>22.0</v>
      </c>
      <c r="G78" s="17">
        <v>120.0</v>
      </c>
      <c r="H78" s="17" t="b">
        <v>1</v>
      </c>
      <c r="I78" s="17" t="s">
        <v>45</v>
      </c>
      <c r="J78" s="17">
        <v>1.0</v>
      </c>
      <c r="K78" s="17">
        <v>22.0</v>
      </c>
      <c r="L78" s="18"/>
      <c r="M78" s="18"/>
      <c r="N78" s="18"/>
      <c r="O78" s="18"/>
      <c r="P78" s="18"/>
      <c r="Q78" s="17"/>
      <c r="R78" s="18"/>
      <c r="S78" s="18"/>
      <c r="T78" s="18"/>
      <c r="U78" s="18"/>
      <c r="V78" s="18"/>
      <c r="W78" s="18"/>
      <c r="X78" s="18"/>
      <c r="Y78" s="18"/>
      <c r="Z78" s="19"/>
      <c r="AA78" s="19"/>
      <c r="AB78" s="19"/>
      <c r="AC78" s="24"/>
      <c r="AD78" s="24"/>
      <c r="AE78" s="24"/>
      <c r="AF78" s="24"/>
      <c r="AG78" s="24"/>
      <c r="AH78" s="20"/>
      <c r="AI78" s="17"/>
      <c r="AJ78" s="17"/>
      <c r="AK78" s="20"/>
      <c r="AL78" s="20"/>
      <c r="AM78" s="17"/>
      <c r="AN78" s="17"/>
      <c r="AO78" s="17"/>
      <c r="AP78" s="17"/>
      <c r="AQ78" s="20"/>
      <c r="AR78" s="17"/>
      <c r="AS78" s="17"/>
      <c r="AT78" s="17"/>
      <c r="AU78" s="25" t="s">
        <v>513</v>
      </c>
      <c r="AV78" s="15" t="s">
        <v>514</v>
      </c>
      <c r="AW78" s="15" t="s">
        <v>515</v>
      </c>
      <c r="AX78" s="15" t="s">
        <v>516</v>
      </c>
      <c r="AY78" s="15" t="s">
        <v>517</v>
      </c>
      <c r="AZ78" s="15" t="s">
        <v>518</v>
      </c>
    </row>
    <row r="79">
      <c r="B79" s="8" t="s">
        <v>43</v>
      </c>
      <c r="C79" s="8" t="s">
        <v>519</v>
      </c>
      <c r="D79" s="9" t="str">
        <f t="shared" si="1"/>
        <v/>
      </c>
      <c r="E79" s="10">
        <v>80.0</v>
      </c>
      <c r="F79" s="10">
        <v>0.0</v>
      </c>
      <c r="G79" s="10">
        <v>30.0</v>
      </c>
      <c r="H79" s="10" t="b">
        <v>1</v>
      </c>
      <c r="I79" s="10" t="s">
        <v>51</v>
      </c>
      <c r="J79" s="10">
        <v>1.0</v>
      </c>
      <c r="K79" s="13"/>
      <c r="L79" s="11"/>
      <c r="M79" s="11"/>
      <c r="N79" s="11"/>
      <c r="O79" s="11"/>
      <c r="P79" s="11"/>
      <c r="Q79" s="10"/>
      <c r="R79" s="11"/>
      <c r="S79" s="11"/>
      <c r="T79" s="11"/>
      <c r="U79" s="11"/>
      <c r="V79" s="11"/>
      <c r="W79" s="11"/>
      <c r="X79" s="11"/>
      <c r="Y79" s="11"/>
      <c r="Z79" s="12"/>
      <c r="AA79" s="12"/>
      <c r="AB79" s="12"/>
      <c r="AC79" s="26"/>
      <c r="AD79" s="26"/>
      <c r="AE79" s="26"/>
      <c r="AF79" s="26"/>
      <c r="AG79" s="26"/>
      <c r="AH79" s="13"/>
      <c r="AI79" s="10"/>
      <c r="AJ79" s="10"/>
      <c r="AK79" s="10">
        <v>162.5</v>
      </c>
      <c r="AL79" s="10"/>
      <c r="AM79" s="13"/>
      <c r="AN79" s="13"/>
      <c r="AO79" s="10"/>
      <c r="AP79" s="10">
        <v>162.5</v>
      </c>
      <c r="AQ79" s="13"/>
      <c r="AR79" s="10">
        <v>22.0</v>
      </c>
      <c r="AS79" s="10" t="s">
        <v>512</v>
      </c>
      <c r="AT79" s="13"/>
      <c r="AU79" s="22" t="s">
        <v>520</v>
      </c>
      <c r="AV79" s="8" t="s">
        <v>521</v>
      </c>
      <c r="AW79" s="8" t="s">
        <v>522</v>
      </c>
      <c r="AX79" s="8" t="s">
        <v>523</v>
      </c>
      <c r="AY79" s="8" t="s">
        <v>524</v>
      </c>
      <c r="AZ79" s="8" t="s">
        <v>525</v>
      </c>
    </row>
    <row r="80">
      <c r="B80" s="15" t="s">
        <v>60</v>
      </c>
      <c r="C80" s="15" t="s">
        <v>526</v>
      </c>
      <c r="D80" s="16" t="str">
        <f t="shared" si="1"/>
        <v/>
      </c>
      <c r="E80" s="17">
        <v>80.0</v>
      </c>
      <c r="F80" s="17">
        <v>15.0</v>
      </c>
      <c r="G80" s="17">
        <v>120.0</v>
      </c>
      <c r="H80" s="17" t="b">
        <v>1</v>
      </c>
      <c r="I80" s="17" t="s">
        <v>51</v>
      </c>
      <c r="J80" s="17">
        <v>1.0</v>
      </c>
      <c r="K80" s="17"/>
      <c r="L80" s="18"/>
      <c r="M80" s="18"/>
      <c r="N80" s="18"/>
      <c r="O80" s="18"/>
      <c r="P80" s="18"/>
      <c r="Q80" s="17"/>
      <c r="R80" s="18"/>
      <c r="S80" s="18"/>
      <c r="T80" s="18"/>
      <c r="U80" s="18"/>
      <c r="V80" s="18"/>
      <c r="W80" s="18"/>
      <c r="X80" s="18"/>
      <c r="Y80" s="18"/>
      <c r="Z80" s="19"/>
      <c r="AA80" s="19"/>
      <c r="AB80" s="19"/>
      <c r="AC80" s="24"/>
      <c r="AD80" s="24"/>
      <c r="AE80" s="24"/>
      <c r="AF80" s="24"/>
      <c r="AG80" s="24"/>
      <c r="AH80" s="17"/>
      <c r="AI80" s="17"/>
      <c r="AJ80" s="17"/>
      <c r="AK80" s="17"/>
      <c r="AL80" s="17"/>
      <c r="AM80" s="20"/>
      <c r="AN80" s="20"/>
      <c r="AO80" s="17">
        <v>15.0</v>
      </c>
      <c r="AP80" s="17">
        <v>200.0</v>
      </c>
      <c r="AQ80" s="20"/>
      <c r="AR80" s="20"/>
      <c r="AS80" s="20"/>
      <c r="AT80" s="20"/>
      <c r="AU80" s="25" t="s">
        <v>527</v>
      </c>
      <c r="AV80" s="15" t="s">
        <v>528</v>
      </c>
      <c r="AW80" s="15" t="s">
        <v>528</v>
      </c>
      <c r="AX80" s="15" t="s">
        <v>528</v>
      </c>
      <c r="AY80" s="15" t="s">
        <v>529</v>
      </c>
      <c r="AZ80" s="15" t="s">
        <v>530</v>
      </c>
    </row>
    <row r="81">
      <c r="B81" s="8" t="s">
        <v>60</v>
      </c>
      <c r="C81" s="8" t="s">
        <v>531</v>
      </c>
      <c r="D81" s="9" t="str">
        <f t="shared" si="1"/>
        <v/>
      </c>
      <c r="E81" s="10">
        <v>80.0</v>
      </c>
      <c r="F81" s="10">
        <v>0.0</v>
      </c>
      <c r="G81" s="10">
        <v>120.0</v>
      </c>
      <c r="H81" s="10" t="b">
        <v>1</v>
      </c>
      <c r="I81" s="10" t="s">
        <v>51</v>
      </c>
      <c r="J81" s="10">
        <v>1.0</v>
      </c>
      <c r="K81" s="10"/>
      <c r="L81" s="11"/>
      <c r="M81" s="11"/>
      <c r="N81" s="11"/>
      <c r="O81" s="11"/>
      <c r="P81" s="11"/>
      <c r="Q81" s="10"/>
      <c r="R81" s="11"/>
      <c r="S81" s="11"/>
      <c r="T81" s="11"/>
      <c r="U81" s="11"/>
      <c r="V81" s="11"/>
      <c r="W81" s="11"/>
      <c r="X81" s="11"/>
      <c r="Y81" s="11"/>
      <c r="Z81" s="12"/>
      <c r="AA81" s="12"/>
      <c r="AB81" s="12"/>
      <c r="AC81" s="26"/>
      <c r="AD81" s="26"/>
      <c r="AE81" s="26"/>
      <c r="AF81" s="26"/>
      <c r="AG81" s="26"/>
      <c r="AH81" s="10"/>
      <c r="AI81" s="10"/>
      <c r="AJ81" s="10"/>
      <c r="AK81" s="10">
        <v>100.0</v>
      </c>
      <c r="AL81" s="10"/>
      <c r="AM81" s="13"/>
      <c r="AN81" s="13"/>
      <c r="AO81" s="10"/>
      <c r="AP81" s="10"/>
      <c r="AQ81" s="13"/>
      <c r="AR81" s="13"/>
      <c r="AS81" s="13"/>
      <c r="AT81" s="13"/>
      <c r="AU81" s="22" t="s">
        <v>527</v>
      </c>
      <c r="AV81" s="8" t="s">
        <v>532</v>
      </c>
      <c r="AW81" s="8" t="s">
        <v>533</v>
      </c>
      <c r="AX81" s="8" t="s">
        <v>534</v>
      </c>
      <c r="AY81" s="8" t="s">
        <v>535</v>
      </c>
      <c r="AZ81" s="8" t="s">
        <v>536</v>
      </c>
    </row>
    <row r="82">
      <c r="B82" s="15" t="s">
        <v>60</v>
      </c>
      <c r="C82" s="15" t="s">
        <v>537</v>
      </c>
      <c r="D82" s="16" t="str">
        <f t="shared" si="1"/>
        <v/>
      </c>
      <c r="E82" s="17">
        <v>80.0</v>
      </c>
      <c r="F82" s="17">
        <v>0.0</v>
      </c>
      <c r="G82" s="17">
        <v>120.0</v>
      </c>
      <c r="H82" s="17" t="b">
        <v>1</v>
      </c>
      <c r="I82" s="17" t="s">
        <v>51</v>
      </c>
      <c r="J82" s="17">
        <v>1.0</v>
      </c>
      <c r="K82" s="17"/>
      <c r="L82" s="18"/>
      <c r="M82" s="18"/>
      <c r="N82" s="18"/>
      <c r="O82" s="18"/>
      <c r="P82" s="18"/>
      <c r="Q82" s="17"/>
      <c r="R82" s="18"/>
      <c r="S82" s="18"/>
      <c r="T82" s="18"/>
      <c r="U82" s="18"/>
      <c r="V82" s="18"/>
      <c r="W82" s="18"/>
      <c r="X82" s="18"/>
      <c r="Y82" s="18"/>
      <c r="Z82" s="19"/>
      <c r="AA82" s="19"/>
      <c r="AB82" s="19"/>
      <c r="AC82" s="24"/>
      <c r="AD82" s="24"/>
      <c r="AE82" s="24"/>
      <c r="AF82" s="24"/>
      <c r="AG82" s="24"/>
      <c r="AH82" s="17"/>
      <c r="AI82" s="17"/>
      <c r="AJ82" s="17"/>
      <c r="AK82" s="17">
        <v>200.0</v>
      </c>
      <c r="AL82" s="17"/>
      <c r="AM82" s="20"/>
      <c r="AN82" s="20"/>
      <c r="AO82" s="17"/>
      <c r="AP82" s="17"/>
      <c r="AQ82" s="20"/>
      <c r="AR82" s="20"/>
      <c r="AS82" s="20"/>
      <c r="AT82" s="20"/>
      <c r="AU82" s="25" t="s">
        <v>527</v>
      </c>
      <c r="AV82" s="15" t="s">
        <v>538</v>
      </c>
      <c r="AW82" s="15" t="s">
        <v>539</v>
      </c>
      <c r="AX82" s="15" t="s">
        <v>540</v>
      </c>
      <c r="AY82" s="15" t="s">
        <v>541</v>
      </c>
      <c r="AZ82" s="15" t="s">
        <v>542</v>
      </c>
    </row>
    <row r="83">
      <c r="B83" s="8" t="s">
        <v>60</v>
      </c>
      <c r="C83" s="8" t="s">
        <v>543</v>
      </c>
      <c r="D83" s="9" t="str">
        <f t="shared" si="1"/>
        <v/>
      </c>
      <c r="E83" s="10">
        <v>80.0</v>
      </c>
      <c r="F83" s="10">
        <v>0.0</v>
      </c>
      <c r="G83" s="10">
        <v>120.0</v>
      </c>
      <c r="H83" s="10" t="b">
        <v>1</v>
      </c>
      <c r="I83" s="10" t="s">
        <v>51</v>
      </c>
      <c r="J83" s="10">
        <v>1.0</v>
      </c>
      <c r="K83" s="10"/>
      <c r="L83" s="11"/>
      <c r="M83" s="11"/>
      <c r="N83" s="11"/>
      <c r="O83" s="11"/>
      <c r="P83" s="11"/>
      <c r="Q83" s="10"/>
      <c r="R83" s="11"/>
      <c r="S83" s="11"/>
      <c r="T83" s="11"/>
      <c r="U83" s="11"/>
      <c r="V83" s="11"/>
      <c r="W83" s="11"/>
      <c r="X83" s="11"/>
      <c r="Y83" s="11"/>
      <c r="Z83" s="12"/>
      <c r="AA83" s="12"/>
      <c r="AB83" s="12"/>
      <c r="AC83" s="26"/>
      <c r="AD83" s="26"/>
      <c r="AE83" s="26"/>
      <c r="AF83" s="26"/>
      <c r="AG83" s="26"/>
      <c r="AH83" s="10"/>
      <c r="AI83" s="10"/>
      <c r="AJ83" s="10"/>
      <c r="AK83" s="10">
        <v>300.0</v>
      </c>
      <c r="AL83" s="10"/>
      <c r="AM83" s="13"/>
      <c r="AN83" s="13"/>
      <c r="AO83" s="10"/>
      <c r="AP83" s="10"/>
      <c r="AQ83" s="13"/>
      <c r="AR83" s="13"/>
      <c r="AS83" s="13"/>
      <c r="AT83" s="13"/>
      <c r="AU83" s="22" t="s">
        <v>527</v>
      </c>
      <c r="AV83" s="8" t="s">
        <v>544</v>
      </c>
      <c r="AW83" s="8" t="s">
        <v>545</v>
      </c>
      <c r="AX83" s="8" t="s">
        <v>546</v>
      </c>
      <c r="AY83" s="8" t="s">
        <v>547</v>
      </c>
      <c r="AZ83" s="8" t="s">
        <v>548</v>
      </c>
    </row>
    <row r="84">
      <c r="B84" s="15" t="s">
        <v>60</v>
      </c>
      <c r="C84" s="15" t="s">
        <v>549</v>
      </c>
      <c r="D84" s="16" t="str">
        <f t="shared" si="1"/>
        <v/>
      </c>
      <c r="E84" s="17">
        <v>80.0</v>
      </c>
      <c r="F84" s="17">
        <v>0.0</v>
      </c>
      <c r="G84" s="17">
        <v>120.0</v>
      </c>
      <c r="H84" s="17" t="b">
        <v>1</v>
      </c>
      <c r="I84" s="17" t="s">
        <v>51</v>
      </c>
      <c r="J84" s="17">
        <v>1.0</v>
      </c>
      <c r="K84" s="17"/>
      <c r="L84" s="18"/>
      <c r="M84" s="18"/>
      <c r="N84" s="18"/>
      <c r="O84" s="18"/>
      <c r="P84" s="18"/>
      <c r="Q84" s="17"/>
      <c r="R84" s="18"/>
      <c r="S84" s="18"/>
      <c r="T84" s="18"/>
      <c r="U84" s="18"/>
      <c r="V84" s="18"/>
      <c r="W84" s="18"/>
      <c r="X84" s="18"/>
      <c r="Y84" s="18"/>
      <c r="Z84" s="19"/>
      <c r="AA84" s="19"/>
      <c r="AB84" s="19"/>
      <c r="AC84" s="24"/>
      <c r="AD84" s="24"/>
      <c r="AE84" s="24"/>
      <c r="AF84" s="24"/>
      <c r="AG84" s="24"/>
      <c r="AH84" s="17"/>
      <c r="AI84" s="17"/>
      <c r="AJ84" s="17"/>
      <c r="AK84" s="17">
        <v>400.0</v>
      </c>
      <c r="AL84" s="17"/>
      <c r="AM84" s="20"/>
      <c r="AN84" s="20"/>
      <c r="AO84" s="17"/>
      <c r="AP84" s="17"/>
      <c r="AQ84" s="20"/>
      <c r="AR84" s="20"/>
      <c r="AS84" s="20"/>
      <c r="AT84" s="20"/>
      <c r="AU84" s="25" t="s">
        <v>527</v>
      </c>
      <c r="AV84" s="15" t="s">
        <v>550</v>
      </c>
      <c r="AW84" s="15" t="s">
        <v>551</v>
      </c>
      <c r="AX84" s="15" t="s">
        <v>552</v>
      </c>
      <c r="AY84" s="15" t="s">
        <v>553</v>
      </c>
      <c r="AZ84" s="15" t="s">
        <v>554</v>
      </c>
    </row>
    <row r="85">
      <c r="B85" s="8" t="s">
        <v>60</v>
      </c>
      <c r="C85" s="8" t="s">
        <v>555</v>
      </c>
      <c r="D85" s="9" t="str">
        <f t="shared" si="1"/>
        <v/>
      </c>
      <c r="E85" s="10">
        <v>80.0</v>
      </c>
      <c r="F85" s="10">
        <v>0.0</v>
      </c>
      <c r="G85" s="10">
        <v>120.0</v>
      </c>
      <c r="H85" s="10" t="b">
        <v>1</v>
      </c>
      <c r="I85" s="10" t="s">
        <v>51</v>
      </c>
      <c r="J85" s="10">
        <v>1.0</v>
      </c>
      <c r="K85" s="10"/>
      <c r="L85" s="11"/>
      <c r="M85" s="11"/>
      <c r="N85" s="11"/>
      <c r="O85" s="11"/>
      <c r="P85" s="11"/>
      <c r="Q85" s="10"/>
      <c r="R85" s="11"/>
      <c r="S85" s="11"/>
      <c r="T85" s="11"/>
      <c r="U85" s="11"/>
      <c r="V85" s="11"/>
      <c r="W85" s="11"/>
      <c r="X85" s="11"/>
      <c r="Y85" s="11"/>
      <c r="Z85" s="12"/>
      <c r="AA85" s="12"/>
      <c r="AB85" s="12"/>
      <c r="AC85" s="26"/>
      <c r="AD85" s="26"/>
      <c r="AE85" s="26"/>
      <c r="AF85" s="26"/>
      <c r="AG85" s="26"/>
      <c r="AH85" s="10"/>
      <c r="AI85" s="10"/>
      <c r="AJ85" s="10"/>
      <c r="AK85" s="10">
        <v>500.0</v>
      </c>
      <c r="AL85" s="10"/>
      <c r="AM85" s="13"/>
      <c r="AN85" s="13"/>
      <c r="AO85" s="10"/>
      <c r="AP85" s="10"/>
      <c r="AQ85" s="13"/>
      <c r="AR85" s="13"/>
      <c r="AS85" s="13"/>
      <c r="AT85" s="13"/>
      <c r="AU85" s="22" t="s">
        <v>527</v>
      </c>
      <c r="AV85" s="8" t="s">
        <v>556</v>
      </c>
      <c r="AW85" s="8" t="s">
        <v>557</v>
      </c>
      <c r="AX85" s="8" t="s">
        <v>558</v>
      </c>
      <c r="AY85" s="8" t="s">
        <v>559</v>
      </c>
      <c r="AZ85" s="8" t="s">
        <v>560</v>
      </c>
    </row>
    <row r="86">
      <c r="B86" s="15" t="s">
        <v>65</v>
      </c>
      <c r="C86" s="15" t="s">
        <v>67</v>
      </c>
      <c r="D86" s="16" t="str">
        <f t="shared" si="1"/>
        <v/>
      </c>
      <c r="E86" s="17">
        <v>80.0</v>
      </c>
      <c r="F86" s="17">
        <v>30.0</v>
      </c>
      <c r="G86" s="17">
        <v>120.0</v>
      </c>
      <c r="H86" s="17" t="b">
        <v>1</v>
      </c>
      <c r="I86" s="17" t="s">
        <v>45</v>
      </c>
      <c r="J86" s="17">
        <v>1.0</v>
      </c>
      <c r="K86" s="17"/>
      <c r="L86" s="18"/>
      <c r="M86" s="18"/>
      <c r="N86" s="18"/>
      <c r="O86" s="18"/>
      <c r="P86" s="18"/>
      <c r="Q86" s="17"/>
      <c r="R86" s="18"/>
      <c r="S86" s="18"/>
      <c r="T86" s="18"/>
      <c r="U86" s="18"/>
      <c r="V86" s="18"/>
      <c r="W86" s="18"/>
      <c r="X86" s="18"/>
      <c r="Y86" s="18"/>
      <c r="Z86" s="19"/>
      <c r="AA86" s="19"/>
      <c r="AB86" s="19"/>
      <c r="AC86" s="17"/>
      <c r="AD86" s="17"/>
      <c r="AE86" s="17" t="s">
        <v>62</v>
      </c>
      <c r="AF86" s="17">
        <v>20.0</v>
      </c>
      <c r="AG86" s="24"/>
      <c r="AH86" s="17">
        <v>1.2</v>
      </c>
      <c r="AI86" s="17"/>
      <c r="AJ86" s="17"/>
      <c r="AK86" s="17"/>
      <c r="AL86" s="17"/>
      <c r="AM86" s="20"/>
      <c r="AN86" s="20"/>
      <c r="AO86" s="20"/>
      <c r="AP86" s="20"/>
      <c r="AQ86" s="20"/>
      <c r="AR86" s="17"/>
      <c r="AS86" s="17"/>
      <c r="AT86" s="20"/>
      <c r="AU86" s="25" t="s">
        <v>561</v>
      </c>
      <c r="AV86" s="15" t="s">
        <v>562</v>
      </c>
      <c r="AW86" s="15" t="s">
        <v>563</v>
      </c>
      <c r="AX86" s="15" t="s">
        <v>564</v>
      </c>
      <c r="AY86" s="15" t="s">
        <v>565</v>
      </c>
      <c r="AZ86" s="15" t="s">
        <v>566</v>
      </c>
    </row>
    <row r="87">
      <c r="B87" s="8" t="s">
        <v>72</v>
      </c>
      <c r="C87" s="8" t="s">
        <v>74</v>
      </c>
      <c r="D87" s="9" t="str">
        <f t="shared" si="1"/>
        <v/>
      </c>
      <c r="E87" s="10">
        <v>80.0</v>
      </c>
      <c r="F87" s="10">
        <v>20.0</v>
      </c>
      <c r="G87" s="10">
        <v>120.0</v>
      </c>
      <c r="H87" s="10" t="b">
        <v>1</v>
      </c>
      <c r="I87" s="10" t="s">
        <v>51</v>
      </c>
      <c r="J87" s="10">
        <v>1.0</v>
      </c>
      <c r="K87" s="10">
        <v>20.0</v>
      </c>
      <c r="L87" s="11">
        <v>0.9</v>
      </c>
      <c r="M87" s="11">
        <v>0.9</v>
      </c>
      <c r="N87" s="11">
        <v>0.9</v>
      </c>
      <c r="O87" s="11"/>
      <c r="P87" s="11"/>
      <c r="Q87" s="10"/>
      <c r="R87" s="11"/>
      <c r="S87" s="11"/>
      <c r="T87" s="11"/>
      <c r="U87" s="11"/>
      <c r="V87" s="11"/>
      <c r="W87" s="11"/>
      <c r="X87" s="11"/>
      <c r="Y87" s="11"/>
      <c r="Z87" s="12"/>
      <c r="AA87" s="12"/>
      <c r="AB87" s="12"/>
      <c r="AC87" s="10"/>
      <c r="AD87" s="10"/>
      <c r="AE87" s="10" t="s">
        <v>62</v>
      </c>
      <c r="AF87" s="10">
        <v>20.0</v>
      </c>
      <c r="AG87" s="10"/>
      <c r="AH87" s="10">
        <v>1.2</v>
      </c>
      <c r="AI87" s="13"/>
      <c r="AJ87" s="13"/>
      <c r="AK87" s="13"/>
      <c r="AL87" s="13"/>
      <c r="AM87" s="13"/>
      <c r="AN87" s="13"/>
      <c r="AO87" s="13"/>
      <c r="AP87" s="13"/>
      <c r="AQ87" s="13"/>
      <c r="AR87" s="10"/>
      <c r="AS87" s="10"/>
      <c r="AT87" s="10"/>
      <c r="AU87" s="22" t="s">
        <v>567</v>
      </c>
      <c r="AV87" s="8" t="s">
        <v>568</v>
      </c>
      <c r="AW87" s="8" t="s">
        <v>569</v>
      </c>
      <c r="AX87" s="8" t="s">
        <v>570</v>
      </c>
      <c r="AY87" s="8" t="s">
        <v>571</v>
      </c>
      <c r="AZ87" s="8" t="s">
        <v>572</v>
      </c>
    </row>
    <row r="88">
      <c r="B88" s="15" t="s">
        <v>149</v>
      </c>
      <c r="C88" s="15" t="s">
        <v>573</v>
      </c>
      <c r="D88" s="16" t="str">
        <f t="shared" si="1"/>
        <v/>
      </c>
      <c r="E88" s="17">
        <v>80.0</v>
      </c>
      <c r="F88" s="17">
        <v>0.0</v>
      </c>
      <c r="G88" s="58">
        <v>120.0</v>
      </c>
      <c r="H88" s="17" t="b">
        <v>1</v>
      </c>
      <c r="I88" s="17" t="s">
        <v>51</v>
      </c>
      <c r="J88" s="17">
        <v>1.0</v>
      </c>
      <c r="K88" s="58"/>
      <c r="L88" s="18"/>
      <c r="M88" s="18"/>
      <c r="N88" s="18"/>
      <c r="O88" s="18"/>
      <c r="P88" s="18"/>
      <c r="Q88" s="17"/>
      <c r="R88" s="18"/>
      <c r="S88" s="18"/>
      <c r="T88" s="18"/>
      <c r="U88" s="18"/>
      <c r="V88" s="18"/>
      <c r="W88" s="18"/>
      <c r="X88" s="18"/>
      <c r="Y88" s="18"/>
      <c r="Z88" s="19"/>
      <c r="AA88" s="19"/>
      <c r="AB88" s="19"/>
      <c r="AC88" s="43"/>
      <c r="AD88" s="43"/>
      <c r="AE88" s="43"/>
      <c r="AF88" s="43"/>
      <c r="AG88" s="43"/>
      <c r="AH88" s="43"/>
      <c r="AI88" s="17"/>
      <c r="AJ88" s="17"/>
      <c r="AK88" s="17"/>
      <c r="AL88" s="17"/>
      <c r="AM88" s="17"/>
      <c r="AN88" s="17"/>
      <c r="AO88" s="17"/>
      <c r="AP88" s="17"/>
      <c r="AQ88" s="17"/>
      <c r="AR88" s="17"/>
      <c r="AS88" s="17"/>
      <c r="AT88" s="17"/>
      <c r="AU88" s="25" t="s">
        <v>574</v>
      </c>
      <c r="AV88" s="15" t="s">
        <v>575</v>
      </c>
      <c r="AW88" s="15" t="s">
        <v>576</v>
      </c>
      <c r="AX88" s="15" t="s">
        <v>577</v>
      </c>
      <c r="AY88" s="15" t="s">
        <v>578</v>
      </c>
      <c r="AZ88" s="15" t="s">
        <v>579</v>
      </c>
    </row>
    <row r="89">
      <c r="B89" s="8" t="s">
        <v>149</v>
      </c>
      <c r="C89" s="8" t="s">
        <v>580</v>
      </c>
      <c r="D89" s="9" t="str">
        <f t="shared" si="1"/>
        <v/>
      </c>
      <c r="E89" s="10">
        <v>80.0</v>
      </c>
      <c r="F89" s="10">
        <v>0.0</v>
      </c>
      <c r="G89" s="47">
        <v>120.0</v>
      </c>
      <c r="H89" s="10" t="b">
        <v>1</v>
      </c>
      <c r="I89" s="10" t="s">
        <v>51</v>
      </c>
      <c r="J89" s="10">
        <v>1.0</v>
      </c>
      <c r="K89" s="47"/>
      <c r="L89" s="11"/>
      <c r="M89" s="11"/>
      <c r="N89" s="11"/>
      <c r="O89" s="11"/>
      <c r="P89" s="11"/>
      <c r="Q89" s="10"/>
      <c r="R89" s="11"/>
      <c r="S89" s="11"/>
      <c r="T89" s="11"/>
      <c r="U89" s="11"/>
      <c r="V89" s="11"/>
      <c r="W89" s="11"/>
      <c r="X89" s="11"/>
      <c r="Y89" s="11"/>
      <c r="Z89" s="12"/>
      <c r="AA89" s="12"/>
      <c r="AB89" s="12"/>
      <c r="AC89" s="26"/>
      <c r="AD89" s="26"/>
      <c r="AE89" s="26"/>
      <c r="AF89" s="26"/>
      <c r="AG89" s="26"/>
      <c r="AH89" s="26"/>
      <c r="AI89" s="47">
        <v>30.0</v>
      </c>
      <c r="AJ89" s="10">
        <v>0.05</v>
      </c>
      <c r="AK89" s="10"/>
      <c r="AL89" s="10"/>
      <c r="AM89" s="10"/>
      <c r="AN89" s="10"/>
      <c r="AO89" s="10"/>
      <c r="AP89" s="10"/>
      <c r="AQ89" s="10"/>
      <c r="AR89" s="10"/>
      <c r="AS89" s="10"/>
      <c r="AT89" s="10"/>
      <c r="AU89" s="22" t="s">
        <v>574</v>
      </c>
      <c r="AV89" s="8" t="s">
        <v>581</v>
      </c>
      <c r="AW89" s="8" t="s">
        <v>582</v>
      </c>
      <c r="AX89" s="8" t="s">
        <v>583</v>
      </c>
      <c r="AY89" s="8" t="s">
        <v>584</v>
      </c>
      <c r="AZ89" s="8" t="s">
        <v>585</v>
      </c>
    </row>
    <row r="90">
      <c r="A90" s="27"/>
      <c r="B90" s="15" t="s">
        <v>149</v>
      </c>
      <c r="C90" s="15" t="s">
        <v>586</v>
      </c>
      <c r="D90" s="16" t="str">
        <f t="shared" si="1"/>
        <v/>
      </c>
      <c r="E90" s="17">
        <v>80.0</v>
      </c>
      <c r="F90" s="17">
        <v>0.0</v>
      </c>
      <c r="G90" s="58">
        <v>120.0</v>
      </c>
      <c r="H90" s="17" t="b">
        <v>1</v>
      </c>
      <c r="I90" s="17" t="s">
        <v>51</v>
      </c>
      <c r="J90" s="17">
        <v>1.0</v>
      </c>
      <c r="K90" s="58"/>
      <c r="L90" s="18"/>
      <c r="M90" s="18"/>
      <c r="N90" s="18"/>
      <c r="O90" s="18"/>
      <c r="P90" s="18"/>
      <c r="Q90" s="17"/>
      <c r="R90" s="18"/>
      <c r="S90" s="18"/>
      <c r="T90" s="18"/>
      <c r="U90" s="18"/>
      <c r="V90" s="18"/>
      <c r="W90" s="18"/>
      <c r="X90" s="18"/>
      <c r="Y90" s="18"/>
      <c r="Z90" s="19"/>
      <c r="AA90" s="19"/>
      <c r="AB90" s="19"/>
      <c r="AC90" s="24"/>
      <c r="AD90" s="24"/>
      <c r="AE90" s="24"/>
      <c r="AF90" s="24"/>
      <c r="AG90" s="24"/>
      <c r="AH90" s="24"/>
      <c r="AI90" s="58">
        <v>30.0</v>
      </c>
      <c r="AJ90" s="17">
        <v>0.06</v>
      </c>
      <c r="AK90" s="17"/>
      <c r="AL90" s="17"/>
      <c r="AM90" s="17"/>
      <c r="AN90" s="17"/>
      <c r="AO90" s="17"/>
      <c r="AP90" s="17"/>
      <c r="AQ90" s="17"/>
      <c r="AR90" s="17"/>
      <c r="AS90" s="17"/>
      <c r="AT90" s="17"/>
      <c r="AU90" s="25" t="s">
        <v>574</v>
      </c>
      <c r="AV90" s="15" t="s">
        <v>587</v>
      </c>
      <c r="AW90" s="15" t="s">
        <v>588</v>
      </c>
      <c r="AX90" s="15" t="s">
        <v>589</v>
      </c>
      <c r="AY90" s="15" t="s">
        <v>590</v>
      </c>
      <c r="AZ90" s="15" t="s">
        <v>591</v>
      </c>
      <c r="BA90" s="27"/>
    </row>
    <row r="91">
      <c r="A91" s="27"/>
      <c r="B91" s="8" t="s">
        <v>149</v>
      </c>
      <c r="C91" s="8" t="s">
        <v>592</v>
      </c>
      <c r="D91" s="9" t="str">
        <f t="shared" si="1"/>
        <v/>
      </c>
      <c r="E91" s="10">
        <v>80.0</v>
      </c>
      <c r="F91" s="10">
        <v>0.0</v>
      </c>
      <c r="G91" s="47">
        <v>120.0</v>
      </c>
      <c r="H91" s="10" t="b">
        <v>1</v>
      </c>
      <c r="I91" s="10" t="s">
        <v>51</v>
      </c>
      <c r="J91" s="10">
        <v>1.0</v>
      </c>
      <c r="K91" s="47"/>
      <c r="L91" s="11"/>
      <c r="M91" s="11"/>
      <c r="N91" s="11"/>
      <c r="O91" s="11"/>
      <c r="P91" s="11"/>
      <c r="Q91" s="10"/>
      <c r="R91" s="11"/>
      <c r="S91" s="11"/>
      <c r="T91" s="11"/>
      <c r="U91" s="11"/>
      <c r="V91" s="11"/>
      <c r="W91" s="11"/>
      <c r="X91" s="11"/>
      <c r="Y91" s="11"/>
      <c r="Z91" s="12"/>
      <c r="AA91" s="12"/>
      <c r="AB91" s="12"/>
      <c r="AC91" s="26"/>
      <c r="AD91" s="26"/>
      <c r="AE91" s="26"/>
      <c r="AF91" s="26"/>
      <c r="AG91" s="26"/>
      <c r="AH91" s="26"/>
      <c r="AI91" s="47">
        <v>30.0</v>
      </c>
      <c r="AJ91" s="10">
        <v>0.07</v>
      </c>
      <c r="AK91" s="10"/>
      <c r="AL91" s="10"/>
      <c r="AM91" s="10"/>
      <c r="AN91" s="10"/>
      <c r="AO91" s="10"/>
      <c r="AP91" s="10"/>
      <c r="AQ91" s="10"/>
      <c r="AR91" s="10"/>
      <c r="AS91" s="10"/>
      <c r="AT91" s="10"/>
      <c r="AU91" s="22" t="s">
        <v>574</v>
      </c>
      <c r="AV91" s="8" t="s">
        <v>593</v>
      </c>
      <c r="AW91" s="8" t="s">
        <v>594</v>
      </c>
      <c r="AX91" s="8" t="s">
        <v>595</v>
      </c>
      <c r="AY91" s="8" t="s">
        <v>596</v>
      </c>
      <c r="AZ91" s="8" t="s">
        <v>597</v>
      </c>
      <c r="BA91" s="27"/>
    </row>
    <row r="92">
      <c r="B92" s="15" t="s">
        <v>149</v>
      </c>
      <c r="C92" s="15" t="s">
        <v>598</v>
      </c>
      <c r="D92" s="16" t="str">
        <f t="shared" si="1"/>
        <v/>
      </c>
      <c r="E92" s="17">
        <v>80.0</v>
      </c>
      <c r="F92" s="17">
        <v>0.0</v>
      </c>
      <c r="G92" s="58">
        <v>120.0</v>
      </c>
      <c r="H92" s="17" t="b">
        <v>1</v>
      </c>
      <c r="I92" s="17" t="s">
        <v>51</v>
      </c>
      <c r="J92" s="17">
        <v>1.0</v>
      </c>
      <c r="K92" s="58"/>
      <c r="L92" s="18"/>
      <c r="M92" s="18"/>
      <c r="N92" s="18"/>
      <c r="O92" s="18"/>
      <c r="P92" s="18"/>
      <c r="Q92" s="17"/>
      <c r="R92" s="18"/>
      <c r="S92" s="18"/>
      <c r="T92" s="18"/>
      <c r="U92" s="18"/>
      <c r="V92" s="18"/>
      <c r="W92" s="18"/>
      <c r="X92" s="18"/>
      <c r="Y92" s="18"/>
      <c r="Z92" s="19"/>
      <c r="AA92" s="19"/>
      <c r="AB92" s="19"/>
      <c r="AC92" s="24"/>
      <c r="AD92" s="24"/>
      <c r="AE92" s="24"/>
      <c r="AF92" s="24"/>
      <c r="AG92" s="24"/>
      <c r="AH92" s="24"/>
      <c r="AI92" s="58">
        <v>30.0</v>
      </c>
      <c r="AJ92" s="17">
        <v>0.08</v>
      </c>
      <c r="AK92" s="17"/>
      <c r="AL92" s="17"/>
      <c r="AM92" s="17"/>
      <c r="AN92" s="17"/>
      <c r="AO92" s="17"/>
      <c r="AP92" s="17"/>
      <c r="AQ92" s="17"/>
      <c r="AR92" s="17"/>
      <c r="AS92" s="17"/>
      <c r="AT92" s="17"/>
      <c r="AU92" s="25" t="s">
        <v>574</v>
      </c>
      <c r="AV92" s="15" t="s">
        <v>599</v>
      </c>
      <c r="AW92" s="15" t="s">
        <v>600</v>
      </c>
      <c r="AX92" s="15" t="s">
        <v>601</v>
      </c>
      <c r="AY92" s="15" t="s">
        <v>602</v>
      </c>
      <c r="AZ92" s="15" t="s">
        <v>603</v>
      </c>
    </row>
    <row r="93">
      <c r="B93" s="8" t="s">
        <v>149</v>
      </c>
      <c r="C93" s="8" t="s">
        <v>604</v>
      </c>
      <c r="D93" s="9" t="str">
        <f t="shared" si="1"/>
        <v/>
      </c>
      <c r="E93" s="10">
        <v>80.0</v>
      </c>
      <c r="F93" s="10">
        <v>0.0</v>
      </c>
      <c r="G93" s="47">
        <v>120.0</v>
      </c>
      <c r="H93" s="10" t="b">
        <v>1</v>
      </c>
      <c r="I93" s="10" t="s">
        <v>51</v>
      </c>
      <c r="J93" s="10">
        <v>1.0</v>
      </c>
      <c r="K93" s="47"/>
      <c r="L93" s="11"/>
      <c r="M93" s="11"/>
      <c r="N93" s="11"/>
      <c r="O93" s="11"/>
      <c r="P93" s="11"/>
      <c r="Q93" s="10"/>
      <c r="R93" s="11"/>
      <c r="S93" s="11"/>
      <c r="T93" s="11"/>
      <c r="U93" s="11"/>
      <c r="V93" s="11"/>
      <c r="W93" s="11"/>
      <c r="X93" s="11"/>
      <c r="Y93" s="11"/>
      <c r="Z93" s="12"/>
      <c r="AA93" s="12"/>
      <c r="AB93" s="12"/>
      <c r="AC93" s="26"/>
      <c r="AD93" s="26"/>
      <c r="AE93" s="26"/>
      <c r="AF93" s="26"/>
      <c r="AG93" s="26"/>
      <c r="AH93" s="26"/>
      <c r="AI93" s="47">
        <v>30.0</v>
      </c>
      <c r="AJ93" s="10">
        <v>0.1</v>
      </c>
      <c r="AK93" s="10"/>
      <c r="AL93" s="10"/>
      <c r="AM93" s="10"/>
      <c r="AN93" s="10"/>
      <c r="AO93" s="10"/>
      <c r="AP93" s="10"/>
      <c r="AQ93" s="10"/>
      <c r="AR93" s="10"/>
      <c r="AS93" s="10"/>
      <c r="AT93" s="10"/>
      <c r="AU93" s="22" t="s">
        <v>574</v>
      </c>
      <c r="AV93" s="8" t="s">
        <v>605</v>
      </c>
      <c r="AW93" s="8" t="s">
        <v>606</v>
      </c>
      <c r="AX93" s="8" t="s">
        <v>607</v>
      </c>
      <c r="AY93" s="8" t="s">
        <v>608</v>
      </c>
      <c r="AZ93" s="8" t="s">
        <v>609</v>
      </c>
    </row>
    <row r="94">
      <c r="B94" s="15" t="s">
        <v>43</v>
      </c>
      <c r="C94" s="15" t="s">
        <v>610</v>
      </c>
      <c r="D94" s="16" t="str">
        <f t="shared" si="1"/>
        <v/>
      </c>
      <c r="E94" s="17">
        <v>78.0</v>
      </c>
      <c r="F94" s="17">
        <v>15.0</v>
      </c>
      <c r="G94" s="17">
        <v>30.0</v>
      </c>
      <c r="H94" s="17" t="b">
        <v>1</v>
      </c>
      <c r="I94" s="17" t="s">
        <v>51</v>
      </c>
      <c r="J94" s="17">
        <v>1.0</v>
      </c>
      <c r="K94" s="17">
        <v>15.0</v>
      </c>
      <c r="L94" s="18">
        <v>0.9</v>
      </c>
      <c r="M94" s="18">
        <v>0.9</v>
      </c>
      <c r="N94" s="18">
        <v>0.9</v>
      </c>
      <c r="O94" s="18"/>
      <c r="P94" s="18"/>
      <c r="Q94" s="17"/>
      <c r="R94" s="18"/>
      <c r="S94" s="18"/>
      <c r="T94" s="18"/>
      <c r="U94" s="18"/>
      <c r="V94" s="18"/>
      <c r="W94" s="18"/>
      <c r="X94" s="18"/>
      <c r="Y94" s="18"/>
      <c r="Z94" s="19"/>
      <c r="AA94" s="19"/>
      <c r="AB94" s="19"/>
      <c r="AC94" s="17"/>
      <c r="AD94" s="17"/>
      <c r="AE94" s="17"/>
      <c r="AF94" s="17"/>
      <c r="AG94" s="17"/>
      <c r="AH94" s="17"/>
      <c r="AI94" s="20"/>
      <c r="AJ94" s="20"/>
      <c r="AK94" s="20"/>
      <c r="AL94" s="20"/>
      <c r="AM94" s="17">
        <v>15.0</v>
      </c>
      <c r="AN94" s="17">
        <v>100.0</v>
      </c>
      <c r="AO94" s="20"/>
      <c r="AP94" s="20"/>
      <c r="AQ94" s="20"/>
      <c r="AR94" s="20"/>
      <c r="AS94" s="20"/>
      <c r="AT94" s="20"/>
      <c r="AU94" s="25" t="s">
        <v>611</v>
      </c>
      <c r="AV94" s="15" t="s">
        <v>612</v>
      </c>
      <c r="AW94" s="15" t="s">
        <v>613</v>
      </c>
      <c r="AX94" s="15" t="s">
        <v>614</v>
      </c>
      <c r="AY94" s="15" t="s">
        <v>615</v>
      </c>
      <c r="AZ94" s="15" t="s">
        <v>616</v>
      </c>
    </row>
    <row r="95">
      <c r="B95" s="8" t="s">
        <v>60</v>
      </c>
      <c r="C95" s="8" t="s">
        <v>617</v>
      </c>
      <c r="D95" s="9" t="str">
        <f t="shared" si="1"/>
        <v/>
      </c>
      <c r="E95" s="10">
        <v>78.0</v>
      </c>
      <c r="F95" s="10">
        <v>15.0</v>
      </c>
      <c r="G95" s="10">
        <v>30.0</v>
      </c>
      <c r="H95" s="10" t="b">
        <v>1</v>
      </c>
      <c r="I95" s="10" t="s">
        <v>51</v>
      </c>
      <c r="J95" s="10">
        <v>1.0</v>
      </c>
      <c r="K95" s="10">
        <v>15.0</v>
      </c>
      <c r="L95" s="11">
        <v>0.9</v>
      </c>
      <c r="M95" s="11">
        <v>0.9</v>
      </c>
      <c r="N95" s="11">
        <v>0.9</v>
      </c>
      <c r="O95" s="11"/>
      <c r="P95" s="11"/>
      <c r="Q95" s="10"/>
      <c r="R95" s="11"/>
      <c r="S95" s="11"/>
      <c r="T95" s="11"/>
      <c r="U95" s="11"/>
      <c r="V95" s="11"/>
      <c r="W95" s="11"/>
      <c r="X95" s="11"/>
      <c r="Y95" s="11"/>
      <c r="Z95" s="12"/>
      <c r="AA95" s="12"/>
      <c r="AB95" s="12"/>
      <c r="AC95" s="10"/>
      <c r="AD95" s="10"/>
      <c r="AE95" s="10"/>
      <c r="AF95" s="10"/>
      <c r="AG95" s="10"/>
      <c r="AH95" s="10"/>
      <c r="AI95" s="13"/>
      <c r="AJ95" s="13"/>
      <c r="AK95" s="13"/>
      <c r="AL95" s="13"/>
      <c r="AM95" s="10">
        <v>15.0</v>
      </c>
      <c r="AN95" s="10">
        <v>100.0</v>
      </c>
      <c r="AO95" s="13"/>
      <c r="AP95" s="13"/>
      <c r="AQ95" s="13"/>
      <c r="AR95" s="13"/>
      <c r="AS95" s="13"/>
      <c r="AT95" s="13"/>
      <c r="AU95" s="22" t="s">
        <v>618</v>
      </c>
      <c r="AV95" s="8" t="s">
        <v>619</v>
      </c>
      <c r="AW95" s="8" t="s">
        <v>619</v>
      </c>
      <c r="AX95" s="8" t="s">
        <v>619</v>
      </c>
      <c r="AY95" s="8" t="s">
        <v>620</v>
      </c>
      <c r="AZ95" s="8" t="s">
        <v>621</v>
      </c>
    </row>
    <row r="96">
      <c r="B96" s="15" t="s">
        <v>65</v>
      </c>
      <c r="C96" s="15" t="s">
        <v>130</v>
      </c>
      <c r="D96" s="16" t="str">
        <f t="shared" si="1"/>
        <v/>
      </c>
      <c r="E96" s="17">
        <v>78.0</v>
      </c>
      <c r="F96" s="17">
        <v>0.0</v>
      </c>
      <c r="G96" s="17">
        <v>40.0</v>
      </c>
      <c r="H96" s="17" t="b">
        <v>1</v>
      </c>
      <c r="I96" s="17" t="s">
        <v>56</v>
      </c>
      <c r="J96" s="17">
        <v>2.0</v>
      </c>
      <c r="K96" s="20"/>
      <c r="L96" s="18"/>
      <c r="M96" s="18"/>
      <c r="N96" s="18"/>
      <c r="O96" s="18"/>
      <c r="P96" s="18"/>
      <c r="Q96" s="17"/>
      <c r="R96" s="18"/>
      <c r="S96" s="18"/>
      <c r="T96" s="18"/>
      <c r="U96" s="18"/>
      <c r="V96" s="18"/>
      <c r="W96" s="18"/>
      <c r="X96" s="18"/>
      <c r="Y96" s="18"/>
      <c r="Z96" s="19"/>
      <c r="AA96" s="19"/>
      <c r="AB96" s="19"/>
      <c r="AC96" s="24"/>
      <c r="AD96" s="24"/>
      <c r="AE96" s="24"/>
      <c r="AF96" s="24"/>
      <c r="AG96" s="24"/>
      <c r="AH96" s="20"/>
      <c r="AI96" s="17"/>
      <c r="AJ96" s="17"/>
      <c r="AK96" s="17">
        <v>400.0</v>
      </c>
      <c r="AL96" s="17"/>
      <c r="AM96" s="20"/>
      <c r="AN96" s="20"/>
      <c r="AO96" s="20"/>
      <c r="AP96" s="20"/>
      <c r="AQ96" s="17"/>
      <c r="AR96" s="17"/>
      <c r="AS96" s="17"/>
      <c r="AT96" s="17"/>
      <c r="AU96" s="25" t="s">
        <v>131</v>
      </c>
      <c r="AV96" s="15" t="s">
        <v>132</v>
      </c>
      <c r="AW96" s="15" t="s">
        <v>133</v>
      </c>
      <c r="AX96" s="15" t="s">
        <v>134</v>
      </c>
      <c r="AY96" s="15" t="s">
        <v>135</v>
      </c>
      <c r="AZ96" s="15" t="s">
        <v>136</v>
      </c>
    </row>
    <row r="97">
      <c r="B97" s="8" t="s">
        <v>65</v>
      </c>
      <c r="C97" s="8" t="s">
        <v>137</v>
      </c>
      <c r="D97" s="9" t="str">
        <f t="shared" si="1"/>
        <v/>
      </c>
      <c r="E97" s="10">
        <v>78.0</v>
      </c>
      <c r="F97" s="10">
        <v>0.0</v>
      </c>
      <c r="G97" s="10">
        <v>40.0</v>
      </c>
      <c r="H97" s="10" t="b">
        <v>1</v>
      </c>
      <c r="I97" s="10" t="s">
        <v>56</v>
      </c>
      <c r="J97" s="10">
        <v>2.0</v>
      </c>
      <c r="K97" s="13"/>
      <c r="L97" s="11"/>
      <c r="M97" s="11"/>
      <c r="N97" s="11"/>
      <c r="O97" s="11"/>
      <c r="P97" s="11"/>
      <c r="Q97" s="10"/>
      <c r="R97" s="11"/>
      <c r="S97" s="11"/>
      <c r="T97" s="11"/>
      <c r="U97" s="11"/>
      <c r="V97" s="11"/>
      <c r="W97" s="11"/>
      <c r="X97" s="11"/>
      <c r="Y97" s="11"/>
      <c r="Z97" s="12"/>
      <c r="AA97" s="12"/>
      <c r="AB97" s="12"/>
      <c r="AC97" s="26"/>
      <c r="AD97" s="26"/>
      <c r="AE97" s="26"/>
      <c r="AF97" s="26"/>
      <c r="AG97" s="26"/>
      <c r="AH97" s="13"/>
      <c r="AI97" s="10"/>
      <c r="AJ97" s="10"/>
      <c r="AK97" s="10">
        <v>900.0</v>
      </c>
      <c r="AL97" s="10"/>
      <c r="AM97" s="13"/>
      <c r="AN97" s="13"/>
      <c r="AO97" s="13"/>
      <c r="AP97" s="13"/>
      <c r="AQ97" s="10"/>
      <c r="AR97" s="10"/>
      <c r="AS97" s="10"/>
      <c r="AT97" s="10"/>
      <c r="AU97" s="22" t="s">
        <v>131</v>
      </c>
      <c r="AV97" s="8" t="s">
        <v>138</v>
      </c>
      <c r="AW97" s="8" t="s">
        <v>139</v>
      </c>
      <c r="AX97" s="8" t="s">
        <v>140</v>
      </c>
      <c r="AY97" s="8" t="s">
        <v>141</v>
      </c>
      <c r="AZ97" s="8" t="s">
        <v>142</v>
      </c>
    </row>
    <row r="98">
      <c r="B98" s="15" t="s">
        <v>198</v>
      </c>
      <c r="C98" s="15" t="s">
        <v>622</v>
      </c>
      <c r="D98" s="16" t="str">
        <f t="shared" si="1"/>
        <v/>
      </c>
      <c r="E98" s="17">
        <v>78.0</v>
      </c>
      <c r="F98" s="17">
        <v>10.0</v>
      </c>
      <c r="G98" s="58">
        <v>90.0</v>
      </c>
      <c r="H98" s="17" t="b">
        <v>1</v>
      </c>
      <c r="I98" s="17" t="s">
        <v>45</v>
      </c>
      <c r="J98" s="17">
        <v>1.0</v>
      </c>
      <c r="K98" s="58"/>
      <c r="L98" s="18"/>
      <c r="M98" s="18"/>
      <c r="N98" s="18"/>
      <c r="O98" s="18"/>
      <c r="P98" s="18"/>
      <c r="Q98" s="17"/>
      <c r="R98" s="18"/>
      <c r="S98" s="18"/>
      <c r="T98" s="18"/>
      <c r="U98" s="18"/>
      <c r="V98" s="18"/>
      <c r="W98" s="18"/>
      <c r="X98" s="18"/>
      <c r="Y98" s="18"/>
      <c r="Z98" s="19"/>
      <c r="AA98" s="19"/>
      <c r="AB98" s="19"/>
      <c r="AC98" s="24">
        <v>10.0</v>
      </c>
      <c r="AD98" s="24">
        <v>1.2</v>
      </c>
      <c r="AE98" s="24" t="s">
        <v>173</v>
      </c>
      <c r="AF98" s="24">
        <v>10.0</v>
      </c>
      <c r="AG98" s="43"/>
      <c r="AH98" s="24">
        <v>1.2</v>
      </c>
      <c r="AI98" s="17"/>
      <c r="AJ98" s="17"/>
      <c r="AK98" s="44"/>
      <c r="AL98" s="44"/>
      <c r="AM98" s="44"/>
      <c r="AN98" s="44"/>
      <c r="AO98" s="44"/>
      <c r="AP98" s="44"/>
      <c r="AQ98" s="44"/>
      <c r="AR98" s="44"/>
      <c r="AS98" s="44"/>
      <c r="AT98" s="44"/>
      <c r="AU98" s="25" t="s">
        <v>623</v>
      </c>
      <c r="AV98" s="15" t="s">
        <v>624</v>
      </c>
      <c r="AW98" s="15" t="s">
        <v>625</v>
      </c>
      <c r="AX98" s="15" t="s">
        <v>626</v>
      </c>
      <c r="AY98" s="15" t="s">
        <v>627</v>
      </c>
      <c r="AZ98" s="15" t="s">
        <v>628</v>
      </c>
    </row>
    <row r="99">
      <c r="B99" s="8" t="s">
        <v>192</v>
      </c>
      <c r="C99" s="8" t="s">
        <v>629</v>
      </c>
      <c r="D99" s="9" t="str">
        <f t="shared" si="1"/>
        <v/>
      </c>
      <c r="E99" s="10">
        <v>66.0</v>
      </c>
      <c r="F99" s="10">
        <v>15.0</v>
      </c>
      <c r="G99" s="10">
        <v>90.0</v>
      </c>
      <c r="H99" s="10" t="b">
        <v>1</v>
      </c>
      <c r="I99" s="10" t="s">
        <v>51</v>
      </c>
      <c r="J99" s="10">
        <v>1.0</v>
      </c>
      <c r="K99" s="10">
        <v>15.0</v>
      </c>
      <c r="L99" s="11">
        <v>0.9</v>
      </c>
      <c r="M99" s="11">
        <v>0.95</v>
      </c>
      <c r="N99" s="11">
        <v>1.0</v>
      </c>
      <c r="O99" s="11"/>
      <c r="P99" s="11"/>
      <c r="Q99" s="10"/>
      <c r="R99" s="11"/>
      <c r="S99" s="11"/>
      <c r="T99" s="11"/>
      <c r="U99" s="11"/>
      <c r="V99" s="11"/>
      <c r="W99" s="11"/>
      <c r="X99" s="11"/>
      <c r="Y99" s="11"/>
      <c r="Z99" s="12"/>
      <c r="AA99" s="12"/>
      <c r="AB99" s="12"/>
      <c r="AC99" s="10"/>
      <c r="AD99" s="10"/>
      <c r="AE99" s="10"/>
      <c r="AF99" s="10"/>
      <c r="AG99" s="10"/>
      <c r="AH99" s="10"/>
      <c r="AI99" s="13"/>
      <c r="AJ99" s="13"/>
      <c r="AK99" s="13"/>
      <c r="AL99" s="13"/>
      <c r="AM99" s="13"/>
      <c r="AN99" s="13"/>
      <c r="AO99" s="13"/>
      <c r="AP99" s="13"/>
      <c r="AQ99" s="13"/>
      <c r="AR99" s="13"/>
      <c r="AS99" s="13"/>
      <c r="AT99" s="13"/>
      <c r="AU99" s="22" t="s">
        <v>630</v>
      </c>
      <c r="AV99" s="8" t="s">
        <v>631</v>
      </c>
      <c r="AW99" s="8" t="s">
        <v>632</v>
      </c>
      <c r="AX99" s="8" t="s">
        <v>633</v>
      </c>
      <c r="AY99" s="8" t="s">
        <v>634</v>
      </c>
      <c r="AZ99" s="8" t="s">
        <v>635</v>
      </c>
    </row>
    <row r="100">
      <c r="B100" s="15" t="s">
        <v>43</v>
      </c>
      <c r="C100" s="15" t="s">
        <v>636</v>
      </c>
      <c r="D100" s="16" t="str">
        <f t="shared" si="1"/>
        <v/>
      </c>
      <c r="E100" s="17">
        <v>76.0</v>
      </c>
      <c r="F100" s="17">
        <v>0.0</v>
      </c>
      <c r="G100" s="17">
        <v>60.0</v>
      </c>
      <c r="H100" s="17" t="b">
        <v>1</v>
      </c>
      <c r="I100" s="17" t="s">
        <v>51</v>
      </c>
      <c r="J100" s="17">
        <v>1.0</v>
      </c>
      <c r="K100" s="17"/>
      <c r="L100" s="18"/>
      <c r="M100" s="18"/>
      <c r="N100" s="18"/>
      <c r="O100" s="18"/>
      <c r="P100" s="18"/>
      <c r="Q100" s="17"/>
      <c r="R100" s="18"/>
      <c r="S100" s="18"/>
      <c r="T100" s="18"/>
      <c r="U100" s="18"/>
      <c r="V100" s="18"/>
      <c r="W100" s="18"/>
      <c r="X100" s="18"/>
      <c r="Y100" s="18"/>
      <c r="Z100" s="19"/>
      <c r="AA100" s="19"/>
      <c r="AB100" s="19"/>
      <c r="AC100" s="24"/>
      <c r="AD100" s="24"/>
      <c r="AE100" s="24"/>
      <c r="AF100" s="24"/>
      <c r="AG100" s="24"/>
      <c r="AH100" s="20"/>
      <c r="AI100" s="17"/>
      <c r="AJ100" s="17"/>
      <c r="AK100" s="17">
        <v>208.0</v>
      </c>
      <c r="AL100" s="17"/>
      <c r="AM100" s="20"/>
      <c r="AN100" s="20"/>
      <c r="AO100" s="20"/>
      <c r="AP100" s="20"/>
      <c r="AQ100" s="20"/>
      <c r="AR100" s="20"/>
      <c r="AS100" s="20"/>
      <c r="AT100" s="20"/>
      <c r="AU100" s="25" t="s">
        <v>637</v>
      </c>
      <c r="AV100" s="15" t="s">
        <v>638</v>
      </c>
      <c r="AW100" s="15" t="s">
        <v>639</v>
      </c>
      <c r="AX100" s="15" t="s">
        <v>640</v>
      </c>
      <c r="AY100" s="15" t="s">
        <v>641</v>
      </c>
      <c r="AZ100" s="15" t="s">
        <v>642</v>
      </c>
    </row>
    <row r="101">
      <c r="B101" s="8" t="s">
        <v>60</v>
      </c>
      <c r="C101" s="8" t="s">
        <v>643</v>
      </c>
      <c r="D101" s="9" t="str">
        <f t="shared" si="1"/>
        <v/>
      </c>
      <c r="E101" s="10">
        <v>76.0</v>
      </c>
      <c r="F101" s="10">
        <v>20.0</v>
      </c>
      <c r="G101" s="10">
        <v>120.0</v>
      </c>
      <c r="H101" s="10" t="b">
        <v>1</v>
      </c>
      <c r="I101" s="10" t="s">
        <v>51</v>
      </c>
      <c r="J101" s="10">
        <v>1.0</v>
      </c>
      <c r="K101" s="10">
        <v>20.0</v>
      </c>
      <c r="L101" s="11">
        <v>0.9</v>
      </c>
      <c r="M101" s="11">
        <v>0.9</v>
      </c>
      <c r="N101" s="11">
        <v>0.9</v>
      </c>
      <c r="O101" s="11"/>
      <c r="P101" s="11"/>
      <c r="Q101" s="10"/>
      <c r="R101" s="11"/>
      <c r="S101" s="11"/>
      <c r="T101" s="11"/>
      <c r="U101" s="11"/>
      <c r="V101" s="11"/>
      <c r="W101" s="11"/>
      <c r="X101" s="11"/>
      <c r="Y101" s="11"/>
      <c r="Z101" s="12"/>
      <c r="AA101" s="12"/>
      <c r="AB101" s="12"/>
      <c r="AC101" s="10"/>
      <c r="AD101" s="10"/>
      <c r="AE101" s="10"/>
      <c r="AF101" s="10"/>
      <c r="AG101" s="10"/>
      <c r="AH101" s="10"/>
      <c r="AI101" s="13"/>
      <c r="AJ101" s="13"/>
      <c r="AK101" s="10">
        <v>300.0</v>
      </c>
      <c r="AL101" s="10"/>
      <c r="AM101" s="13"/>
      <c r="AN101" s="13"/>
      <c r="AO101" s="10">
        <v>30.0</v>
      </c>
      <c r="AP101" s="10">
        <v>300.0</v>
      </c>
      <c r="AQ101" s="13"/>
      <c r="AR101" s="13"/>
      <c r="AS101" s="13"/>
      <c r="AT101" s="13"/>
      <c r="AU101" s="22" t="s">
        <v>644</v>
      </c>
      <c r="AV101" s="8" t="s">
        <v>645</v>
      </c>
      <c r="AW101" s="8" t="s">
        <v>645</v>
      </c>
      <c r="AX101" s="8" t="s">
        <v>645</v>
      </c>
      <c r="AY101" s="8" t="s">
        <v>646</v>
      </c>
      <c r="AZ101" s="8" t="s">
        <v>647</v>
      </c>
    </row>
    <row r="102">
      <c r="B102" s="15" t="s">
        <v>65</v>
      </c>
      <c r="C102" s="15" t="s">
        <v>648</v>
      </c>
      <c r="D102" s="16" t="str">
        <f t="shared" si="1"/>
        <v/>
      </c>
      <c r="E102" s="17">
        <v>76.0</v>
      </c>
      <c r="F102" s="17">
        <v>10.0</v>
      </c>
      <c r="G102" s="17">
        <v>60.0</v>
      </c>
      <c r="H102" s="17" t="b">
        <v>1</v>
      </c>
      <c r="I102" s="17" t="s">
        <v>51</v>
      </c>
      <c r="J102" s="17">
        <v>1.0</v>
      </c>
      <c r="K102" s="17"/>
      <c r="L102" s="18"/>
      <c r="M102" s="18"/>
      <c r="N102" s="18"/>
      <c r="O102" s="18"/>
      <c r="P102" s="18"/>
      <c r="Q102" s="17"/>
      <c r="R102" s="18"/>
      <c r="S102" s="18"/>
      <c r="T102" s="18"/>
      <c r="U102" s="18"/>
      <c r="V102" s="18"/>
      <c r="W102" s="18"/>
      <c r="X102" s="18"/>
      <c r="Y102" s="18"/>
      <c r="Z102" s="19"/>
      <c r="AA102" s="19"/>
      <c r="AB102" s="19"/>
      <c r="AC102" s="24"/>
      <c r="AD102" s="24"/>
      <c r="AE102" s="24"/>
      <c r="AF102" s="24"/>
      <c r="AG102" s="24"/>
      <c r="AH102" s="20"/>
      <c r="AI102" s="17"/>
      <c r="AJ102" s="17"/>
      <c r="AK102" s="17">
        <v>200.0</v>
      </c>
      <c r="AL102" s="17"/>
      <c r="AM102" s="20"/>
      <c r="AN102" s="20"/>
      <c r="AO102" s="20"/>
      <c r="AP102" s="20"/>
      <c r="AQ102" s="20"/>
      <c r="AR102" s="20"/>
      <c r="AS102" s="20"/>
      <c r="AT102" s="20"/>
      <c r="AU102" s="25" t="s">
        <v>649</v>
      </c>
      <c r="AV102" s="15" t="s">
        <v>650</v>
      </c>
      <c r="AW102" s="15" t="s">
        <v>651</v>
      </c>
      <c r="AX102" s="15" t="s">
        <v>650</v>
      </c>
      <c r="AY102" s="15" t="s">
        <v>652</v>
      </c>
      <c r="AZ102" s="15" t="s">
        <v>653</v>
      </c>
    </row>
    <row r="103">
      <c r="B103" s="8" t="s">
        <v>65</v>
      </c>
      <c r="C103" s="8" t="s">
        <v>654</v>
      </c>
      <c r="D103" s="9" t="str">
        <f t="shared" si="1"/>
        <v/>
      </c>
      <c r="E103" s="10">
        <v>76.0</v>
      </c>
      <c r="F103" s="10">
        <v>30.0</v>
      </c>
      <c r="G103" s="10">
        <v>60.0</v>
      </c>
      <c r="H103" s="10" t="b">
        <v>1</v>
      </c>
      <c r="I103" s="10" t="s">
        <v>51</v>
      </c>
      <c r="J103" s="10">
        <v>1.0</v>
      </c>
      <c r="K103" s="13"/>
      <c r="L103" s="11"/>
      <c r="M103" s="11"/>
      <c r="N103" s="11"/>
      <c r="O103" s="11"/>
      <c r="P103" s="11"/>
      <c r="Q103" s="10"/>
      <c r="R103" s="11"/>
      <c r="S103" s="11"/>
      <c r="T103" s="11"/>
      <c r="U103" s="11"/>
      <c r="V103" s="11"/>
      <c r="W103" s="11"/>
      <c r="X103" s="11"/>
      <c r="Y103" s="11"/>
      <c r="Z103" s="12"/>
      <c r="AA103" s="12"/>
      <c r="AB103" s="12"/>
      <c r="AC103" s="26"/>
      <c r="AD103" s="26"/>
      <c r="AE103" s="26"/>
      <c r="AF103" s="26"/>
      <c r="AG103" s="26"/>
      <c r="AH103" s="13"/>
      <c r="AI103" s="10"/>
      <c r="AJ103" s="10"/>
      <c r="AK103" s="10">
        <v>400.0</v>
      </c>
      <c r="AL103" s="10"/>
      <c r="AM103" s="13"/>
      <c r="AN103" s="13"/>
      <c r="AO103" s="13"/>
      <c r="AP103" s="13"/>
      <c r="AQ103" s="13"/>
      <c r="AR103" s="13"/>
      <c r="AS103" s="13"/>
      <c r="AT103" s="13"/>
      <c r="AU103" s="22" t="s">
        <v>655</v>
      </c>
      <c r="AV103" s="8" t="s">
        <v>656</v>
      </c>
      <c r="AW103" s="8" t="s">
        <v>657</v>
      </c>
      <c r="AX103" s="8" t="s">
        <v>386</v>
      </c>
      <c r="AY103" s="8" t="s">
        <v>658</v>
      </c>
      <c r="AZ103" s="8" t="s">
        <v>659</v>
      </c>
    </row>
    <row r="104">
      <c r="A104" s="27"/>
      <c r="B104" s="15" t="s">
        <v>198</v>
      </c>
      <c r="C104" s="15" t="s">
        <v>660</v>
      </c>
      <c r="D104" s="16" t="str">
        <f t="shared" si="1"/>
        <v/>
      </c>
      <c r="E104" s="17">
        <v>76.0</v>
      </c>
      <c r="F104" s="17">
        <v>30.0</v>
      </c>
      <c r="G104" s="58">
        <v>90.0</v>
      </c>
      <c r="H104" s="17" t="b">
        <v>1</v>
      </c>
      <c r="I104" s="17" t="s">
        <v>51</v>
      </c>
      <c r="J104" s="17">
        <v>1.0</v>
      </c>
      <c r="K104" s="17"/>
      <c r="L104" s="18"/>
      <c r="M104" s="18"/>
      <c r="N104" s="18"/>
      <c r="O104" s="18"/>
      <c r="P104" s="18"/>
      <c r="Q104" s="17"/>
      <c r="R104" s="18"/>
      <c r="S104" s="18"/>
      <c r="T104" s="18"/>
      <c r="U104" s="18"/>
      <c r="V104" s="18"/>
      <c r="W104" s="18"/>
      <c r="X104" s="18"/>
      <c r="Y104" s="18"/>
      <c r="Z104" s="19"/>
      <c r="AA104" s="19"/>
      <c r="AB104" s="19"/>
      <c r="AC104" s="24"/>
      <c r="AD104" s="24"/>
      <c r="AE104" s="24"/>
      <c r="AF104" s="24"/>
      <c r="AG104" s="24"/>
      <c r="AH104" s="24"/>
      <c r="AI104" s="17">
        <v>30.0</v>
      </c>
      <c r="AJ104" s="17">
        <v>0.15</v>
      </c>
      <c r="AK104" s="17">
        <v>300.0</v>
      </c>
      <c r="AL104" s="17"/>
      <c r="AM104" s="17">
        <v>15.0</v>
      </c>
      <c r="AN104" s="17">
        <v>100.0</v>
      </c>
      <c r="AO104" s="17"/>
      <c r="AP104" s="17"/>
      <c r="AQ104" s="17"/>
      <c r="AR104" s="17"/>
      <c r="AS104" s="17"/>
      <c r="AT104" s="17"/>
      <c r="AU104" s="25" t="s">
        <v>661</v>
      </c>
      <c r="AV104" s="15" t="s">
        <v>662</v>
      </c>
      <c r="AW104" s="15" t="s">
        <v>663</v>
      </c>
      <c r="AX104" s="15" t="s">
        <v>664</v>
      </c>
      <c r="AY104" s="15" t="s">
        <v>665</v>
      </c>
      <c r="AZ104" s="15" t="s">
        <v>666</v>
      </c>
      <c r="BA104" s="27"/>
    </row>
    <row r="105">
      <c r="A105" s="27"/>
      <c r="B105" s="8" t="s">
        <v>198</v>
      </c>
      <c r="C105" s="8" t="s">
        <v>505</v>
      </c>
      <c r="D105" s="9" t="str">
        <f t="shared" si="1"/>
        <v/>
      </c>
      <c r="E105" s="10">
        <v>76.0</v>
      </c>
      <c r="F105" s="10">
        <v>6.0</v>
      </c>
      <c r="G105" s="10">
        <v>25.0</v>
      </c>
      <c r="H105" s="10" t="b">
        <v>1</v>
      </c>
      <c r="I105" s="10" t="s">
        <v>56</v>
      </c>
      <c r="J105" s="10">
        <v>1.0</v>
      </c>
      <c r="K105" s="10">
        <v>6.0</v>
      </c>
      <c r="L105" s="11">
        <v>0.9</v>
      </c>
      <c r="M105" s="11">
        <v>0.9</v>
      </c>
      <c r="N105" s="11">
        <v>0.9</v>
      </c>
      <c r="O105" s="11"/>
      <c r="P105" s="11"/>
      <c r="Q105" s="10"/>
      <c r="R105" s="11"/>
      <c r="S105" s="11"/>
      <c r="T105" s="11"/>
      <c r="U105" s="11"/>
      <c r="V105" s="11"/>
      <c r="W105" s="11"/>
      <c r="X105" s="11"/>
      <c r="Y105" s="11"/>
      <c r="Z105" s="12"/>
      <c r="AA105" s="12"/>
      <c r="AB105" s="12"/>
      <c r="AC105" s="26"/>
      <c r="AD105" s="26"/>
      <c r="AE105" s="26"/>
      <c r="AF105" s="26"/>
      <c r="AG105" s="26"/>
      <c r="AH105" s="26"/>
      <c r="AI105" s="10"/>
      <c r="AJ105" s="10"/>
      <c r="AK105" s="10"/>
      <c r="AL105" s="10"/>
      <c r="AM105" s="10"/>
      <c r="AN105" s="10"/>
      <c r="AO105" s="10"/>
      <c r="AP105" s="10"/>
      <c r="AQ105" s="10"/>
      <c r="AR105" s="10"/>
      <c r="AS105" s="10"/>
      <c r="AT105" s="10"/>
      <c r="AU105" s="22" t="s">
        <v>506</v>
      </c>
      <c r="AV105" s="8" t="s">
        <v>507</v>
      </c>
      <c r="AW105" s="8" t="s">
        <v>508</v>
      </c>
      <c r="AX105" s="8" t="s">
        <v>509</v>
      </c>
      <c r="AY105" s="8" t="s">
        <v>510</v>
      </c>
      <c r="AZ105" s="8" t="s">
        <v>511</v>
      </c>
      <c r="BA105" s="27"/>
    </row>
    <row r="106">
      <c r="A106" s="27"/>
      <c r="B106" s="15" t="s">
        <v>72</v>
      </c>
      <c r="C106" s="15" t="s">
        <v>437</v>
      </c>
      <c r="D106" s="16" t="str">
        <f t="shared" si="1"/>
        <v/>
      </c>
      <c r="E106" s="17">
        <v>76.0</v>
      </c>
      <c r="F106" s="17">
        <v>0.0</v>
      </c>
      <c r="G106" s="17">
        <v>2.5</v>
      </c>
      <c r="H106" s="20" t="b">
        <v>0</v>
      </c>
      <c r="I106" s="17" t="s">
        <v>51</v>
      </c>
      <c r="J106" s="17">
        <v>1.0</v>
      </c>
      <c r="K106" s="20"/>
      <c r="L106" s="18"/>
      <c r="M106" s="18"/>
      <c r="N106" s="18"/>
      <c r="O106" s="18"/>
      <c r="P106" s="18"/>
      <c r="Q106" s="17"/>
      <c r="R106" s="18"/>
      <c r="S106" s="18"/>
      <c r="T106" s="18"/>
      <c r="U106" s="15" t="s">
        <v>204</v>
      </c>
      <c r="V106" s="18"/>
      <c r="W106" s="18"/>
      <c r="X106" s="18"/>
      <c r="Y106" s="18"/>
      <c r="Z106" s="19">
        <v>500.0</v>
      </c>
      <c r="AA106" s="19"/>
      <c r="AB106" s="19"/>
      <c r="AC106" s="24"/>
      <c r="AD106" s="24"/>
      <c r="AE106" s="24"/>
      <c r="AF106" s="24"/>
      <c r="AG106" s="24"/>
      <c r="AH106" s="20"/>
      <c r="AI106" s="17"/>
      <c r="AJ106" s="17"/>
      <c r="AK106" s="17">
        <v>300.0</v>
      </c>
      <c r="AL106" s="17"/>
      <c r="AM106" s="20"/>
      <c r="AN106" s="20"/>
      <c r="AO106" s="20"/>
      <c r="AP106" s="20"/>
      <c r="AQ106" s="20"/>
      <c r="AR106" s="20"/>
      <c r="AS106" s="20"/>
      <c r="AT106" s="20"/>
      <c r="AU106" s="25" t="s">
        <v>438</v>
      </c>
      <c r="AV106" s="15" t="s">
        <v>439</v>
      </c>
      <c r="AW106" s="15" t="s">
        <v>440</v>
      </c>
      <c r="AX106" s="15" t="s">
        <v>441</v>
      </c>
      <c r="AY106" s="15" t="s">
        <v>442</v>
      </c>
      <c r="AZ106" s="15" t="s">
        <v>443</v>
      </c>
      <c r="BA106" s="27"/>
    </row>
    <row r="107">
      <c r="B107" s="8" t="s">
        <v>186</v>
      </c>
      <c r="C107" s="8" t="s">
        <v>667</v>
      </c>
      <c r="D107" s="9" t="str">
        <f t="shared" si="1"/>
        <v/>
      </c>
      <c r="E107" s="10">
        <v>74.0</v>
      </c>
      <c r="F107" s="10">
        <v>6.0</v>
      </c>
      <c r="G107" s="47">
        <v>5.0</v>
      </c>
      <c r="H107" s="10" t="b">
        <v>1</v>
      </c>
      <c r="I107" s="10" t="s">
        <v>45</v>
      </c>
      <c r="J107" s="10">
        <v>1.0</v>
      </c>
      <c r="K107" s="10">
        <v>6.0</v>
      </c>
      <c r="L107" s="11">
        <v>0.85</v>
      </c>
      <c r="M107" s="11">
        <v>0.85</v>
      </c>
      <c r="N107" s="11">
        <v>0.85</v>
      </c>
      <c r="O107" s="11"/>
      <c r="P107" s="11"/>
      <c r="Q107" s="10"/>
      <c r="R107" s="11"/>
      <c r="S107" s="11"/>
      <c r="T107" s="11"/>
      <c r="U107" s="11"/>
      <c r="V107" s="11"/>
      <c r="W107" s="11"/>
      <c r="X107" s="11"/>
      <c r="Y107" s="11"/>
      <c r="Z107" s="12"/>
      <c r="AA107" s="12"/>
      <c r="AB107" s="12"/>
      <c r="AC107" s="38"/>
      <c r="AD107" s="38"/>
      <c r="AE107" s="38"/>
      <c r="AF107" s="38"/>
      <c r="AG107" s="38"/>
      <c r="AH107" s="38"/>
      <c r="AI107" s="39"/>
      <c r="AJ107" s="39"/>
      <c r="AK107" s="39"/>
      <c r="AL107" s="39"/>
      <c r="AM107" s="39"/>
      <c r="AN107" s="39"/>
      <c r="AO107" s="39"/>
      <c r="AP107" s="39"/>
      <c r="AQ107" s="39"/>
      <c r="AR107" s="39"/>
      <c r="AS107" s="39"/>
      <c r="AT107" s="39"/>
      <c r="AU107" s="22" t="s">
        <v>668</v>
      </c>
      <c r="AV107" s="8" t="s">
        <v>669</v>
      </c>
      <c r="AW107" s="8" t="s">
        <v>670</v>
      </c>
      <c r="AX107" s="8" t="s">
        <v>670</v>
      </c>
      <c r="AY107" s="8" t="s">
        <v>671</v>
      </c>
      <c r="AZ107" s="8" t="s">
        <v>672</v>
      </c>
    </row>
    <row r="108">
      <c r="B108" s="15" t="s">
        <v>43</v>
      </c>
      <c r="C108" s="15" t="s">
        <v>57</v>
      </c>
      <c r="D108" s="16" t="str">
        <f t="shared" si="1"/>
        <v/>
      </c>
      <c r="E108" s="17">
        <v>74.0</v>
      </c>
      <c r="F108" s="17">
        <v>15.0</v>
      </c>
      <c r="G108" s="17">
        <v>90.0</v>
      </c>
      <c r="H108" s="17" t="b">
        <v>1</v>
      </c>
      <c r="I108" s="17" t="s">
        <v>56</v>
      </c>
      <c r="J108" s="17">
        <v>1.0</v>
      </c>
      <c r="K108" s="17"/>
      <c r="L108" s="18"/>
      <c r="M108" s="18"/>
      <c r="N108" s="18"/>
      <c r="O108" s="18"/>
      <c r="P108" s="18"/>
      <c r="Q108" s="17"/>
      <c r="R108" s="18"/>
      <c r="S108" s="18"/>
      <c r="T108" s="18"/>
      <c r="U108" s="18"/>
      <c r="V108" s="18"/>
      <c r="W108" s="18"/>
      <c r="X108" s="18"/>
      <c r="Y108" s="18"/>
      <c r="Z108" s="19"/>
      <c r="AA108" s="19"/>
      <c r="AB108" s="19"/>
      <c r="AC108" s="24"/>
      <c r="AD108" s="24"/>
      <c r="AE108" s="24"/>
      <c r="AF108" s="24"/>
      <c r="AG108" s="24"/>
      <c r="AH108" s="20"/>
      <c r="AI108" s="17"/>
      <c r="AJ108" s="17"/>
      <c r="AK108" s="20"/>
      <c r="AL108" s="20"/>
      <c r="AM108" s="17"/>
      <c r="AN108" s="17"/>
      <c r="AO108" s="17"/>
      <c r="AP108" s="17"/>
      <c r="AQ108" s="20"/>
      <c r="AR108" s="20"/>
      <c r="AS108" s="20"/>
      <c r="AT108" s="20"/>
      <c r="AU108" s="25" t="s">
        <v>79</v>
      </c>
      <c r="AV108" s="15" t="s">
        <v>80</v>
      </c>
      <c r="AW108" s="15" t="s">
        <v>81</v>
      </c>
      <c r="AX108" s="15" t="s">
        <v>82</v>
      </c>
      <c r="AY108" s="15" t="s">
        <v>83</v>
      </c>
      <c r="AZ108" s="15" t="s">
        <v>57</v>
      </c>
    </row>
    <row r="109">
      <c r="B109" s="8" t="s">
        <v>60</v>
      </c>
      <c r="C109" s="8" t="s">
        <v>673</v>
      </c>
      <c r="D109" s="9" t="str">
        <f t="shared" si="1"/>
        <v/>
      </c>
      <c r="E109" s="10">
        <v>74.0</v>
      </c>
      <c r="F109" s="10">
        <v>0.0</v>
      </c>
      <c r="G109" s="10">
        <v>90.0</v>
      </c>
      <c r="H109" s="10" t="b">
        <v>1</v>
      </c>
      <c r="I109" s="10" t="s">
        <v>45</v>
      </c>
      <c r="J109" s="10">
        <v>1.0</v>
      </c>
      <c r="K109" s="10"/>
      <c r="L109" s="11"/>
      <c r="M109" s="11"/>
      <c r="N109" s="11"/>
      <c r="O109" s="11"/>
      <c r="P109" s="11"/>
      <c r="Q109" s="10"/>
      <c r="R109" s="11"/>
      <c r="S109" s="11"/>
      <c r="T109" s="11"/>
      <c r="U109" s="11"/>
      <c r="V109" s="11"/>
      <c r="W109" s="11"/>
      <c r="X109" s="11"/>
      <c r="Y109" s="11"/>
      <c r="Z109" s="12"/>
      <c r="AA109" s="12"/>
      <c r="AB109" s="12"/>
      <c r="AC109" s="26"/>
      <c r="AD109" s="26"/>
      <c r="AE109" s="26"/>
      <c r="AF109" s="26"/>
      <c r="AG109" s="26"/>
      <c r="AH109" s="10"/>
      <c r="AI109" s="10"/>
      <c r="AJ109" s="10"/>
      <c r="AK109" s="10"/>
      <c r="AL109" s="10"/>
      <c r="AM109" s="13"/>
      <c r="AN109" s="13"/>
      <c r="AO109" s="10"/>
      <c r="AP109" s="10"/>
      <c r="AQ109" s="10"/>
      <c r="AR109" s="10"/>
      <c r="AS109" s="10"/>
      <c r="AT109" s="10"/>
      <c r="AU109" s="22" t="s">
        <v>674</v>
      </c>
      <c r="AV109" s="8" t="s">
        <v>675</v>
      </c>
      <c r="AW109" s="8" t="s">
        <v>676</v>
      </c>
      <c r="AX109" s="8" t="s">
        <v>676</v>
      </c>
      <c r="AY109" s="8" t="s">
        <v>677</v>
      </c>
      <c r="AZ109" s="8" t="s">
        <v>678</v>
      </c>
    </row>
    <row r="110">
      <c r="B110" s="50" t="s">
        <v>65</v>
      </c>
      <c r="C110" s="50" t="s">
        <v>296</v>
      </c>
      <c r="D110" s="16" t="str">
        <f t="shared" si="1"/>
        <v/>
      </c>
      <c r="E110" s="59">
        <v>74.0</v>
      </c>
      <c r="F110" s="52">
        <v>30.0</v>
      </c>
      <c r="G110" s="53">
        <v>30.0</v>
      </c>
      <c r="H110" s="43" t="b">
        <v>1</v>
      </c>
      <c r="I110" s="17" t="s">
        <v>51</v>
      </c>
      <c r="J110" s="53">
        <v>1.0</v>
      </c>
      <c r="K110" s="53"/>
      <c r="L110" s="54"/>
      <c r="M110" s="54"/>
      <c r="N110" s="54"/>
      <c r="O110" s="54"/>
      <c r="P110" s="54"/>
      <c r="Q110" s="53"/>
      <c r="R110" s="54"/>
      <c r="S110" s="54"/>
      <c r="T110" s="54"/>
      <c r="U110" s="54"/>
      <c r="V110" s="54"/>
      <c r="W110" s="54"/>
      <c r="X110" s="54"/>
      <c r="Y110" s="54"/>
      <c r="Z110" s="55"/>
      <c r="AA110" s="55"/>
      <c r="AB110" s="55"/>
      <c r="AC110" s="43"/>
      <c r="AD110" s="43"/>
      <c r="AE110" s="43"/>
      <c r="AF110" s="43"/>
      <c r="AG110" s="43"/>
      <c r="AH110" s="44"/>
      <c r="AI110" s="56"/>
      <c r="AJ110" s="56"/>
      <c r="AK110" s="53">
        <v>200.0</v>
      </c>
      <c r="AL110" s="53"/>
      <c r="AM110" s="44"/>
      <c r="AN110" s="44"/>
      <c r="AO110" s="53">
        <v>30.0</v>
      </c>
      <c r="AP110" s="53">
        <v>400.0</v>
      </c>
      <c r="AQ110" s="44"/>
      <c r="AR110" s="44"/>
      <c r="AS110" s="44"/>
      <c r="AT110" s="44"/>
      <c r="AU110" s="57" t="s">
        <v>297</v>
      </c>
      <c r="AV110" s="50" t="s">
        <v>298</v>
      </c>
      <c r="AW110" s="50" t="s">
        <v>299</v>
      </c>
      <c r="AX110" s="50" t="s">
        <v>300</v>
      </c>
      <c r="AY110" s="50" t="s">
        <v>301</v>
      </c>
      <c r="AZ110" s="50" t="s">
        <v>302</v>
      </c>
    </row>
    <row r="111">
      <c r="B111" s="8" t="s">
        <v>186</v>
      </c>
      <c r="C111" s="8" t="s">
        <v>679</v>
      </c>
      <c r="D111" s="9" t="str">
        <f t="shared" si="1"/>
        <v/>
      </c>
      <c r="E111" s="10">
        <v>70.0</v>
      </c>
      <c r="F111" s="10">
        <v>18.0</v>
      </c>
      <c r="G111" s="10">
        <v>120.0</v>
      </c>
      <c r="H111" s="10" t="b">
        <v>1</v>
      </c>
      <c r="I111" s="10" t="s">
        <v>51</v>
      </c>
      <c r="J111" s="10">
        <v>1.0</v>
      </c>
      <c r="K111" s="10">
        <v>18.0</v>
      </c>
      <c r="L111" s="11">
        <v>0.85</v>
      </c>
      <c r="M111" s="11">
        <v>0.85</v>
      </c>
      <c r="N111" s="11">
        <v>0.85</v>
      </c>
      <c r="O111" s="11">
        <v>1.0</v>
      </c>
      <c r="P111" s="11"/>
      <c r="Q111" s="10"/>
      <c r="R111" s="11"/>
      <c r="S111" s="11"/>
      <c r="T111" s="11"/>
      <c r="U111" s="11"/>
      <c r="V111" s="11"/>
      <c r="W111" s="11"/>
      <c r="X111" s="11"/>
      <c r="Y111" s="11"/>
      <c r="Z111" s="12"/>
      <c r="AA111" s="12"/>
      <c r="AB111" s="12"/>
      <c r="AC111" s="10"/>
      <c r="AD111" s="10"/>
      <c r="AE111" s="10"/>
      <c r="AF111" s="10"/>
      <c r="AG111" s="10"/>
      <c r="AH111" s="10"/>
      <c r="AI111" s="13"/>
      <c r="AJ111" s="13"/>
      <c r="AK111" s="13"/>
      <c r="AL111" s="13"/>
      <c r="AM111" s="13"/>
      <c r="AN111" s="13"/>
      <c r="AO111" s="13"/>
      <c r="AP111" s="13"/>
      <c r="AQ111" s="13"/>
      <c r="AR111" s="13"/>
      <c r="AS111" s="13"/>
      <c r="AT111" s="13"/>
      <c r="AU111" s="22" t="s">
        <v>680</v>
      </c>
      <c r="AV111" s="8" t="s">
        <v>681</v>
      </c>
      <c r="AW111" s="8" t="s">
        <v>682</v>
      </c>
      <c r="AX111" s="8" t="s">
        <v>683</v>
      </c>
      <c r="AY111" s="8" t="s">
        <v>684</v>
      </c>
      <c r="AZ111" s="8" t="s">
        <v>685</v>
      </c>
    </row>
    <row r="112">
      <c r="B112" s="15" t="s">
        <v>192</v>
      </c>
      <c r="C112" s="15" t="s">
        <v>686</v>
      </c>
      <c r="D112" s="16" t="str">
        <f t="shared" si="1"/>
        <v/>
      </c>
      <c r="E112" s="17">
        <v>70.0</v>
      </c>
      <c r="F112" s="17">
        <v>7.0</v>
      </c>
      <c r="G112" s="58">
        <v>15.0</v>
      </c>
      <c r="H112" s="17" t="b">
        <v>1</v>
      </c>
      <c r="I112" s="17" t="s">
        <v>56</v>
      </c>
      <c r="J112" s="17">
        <v>1.0</v>
      </c>
      <c r="K112" s="58"/>
      <c r="L112" s="18"/>
      <c r="M112" s="18"/>
      <c r="N112" s="18"/>
      <c r="O112" s="18"/>
      <c r="P112" s="18"/>
      <c r="Q112" s="17"/>
      <c r="R112" s="18"/>
      <c r="S112" s="18"/>
      <c r="T112" s="18"/>
      <c r="U112" s="18"/>
      <c r="V112" s="18"/>
      <c r="W112" s="18"/>
      <c r="X112" s="18"/>
      <c r="Y112" s="18"/>
      <c r="Z112" s="19"/>
      <c r="AA112" s="19"/>
      <c r="AB112" s="19"/>
      <c r="AC112" s="43"/>
      <c r="AD112" s="43"/>
      <c r="AE112" s="43"/>
      <c r="AF112" s="43"/>
      <c r="AG112" s="43"/>
      <c r="AH112" s="43"/>
      <c r="AI112" s="58">
        <v>7.0</v>
      </c>
      <c r="AJ112" s="60">
        <v>0.25</v>
      </c>
      <c r="AK112" s="60"/>
      <c r="AL112" s="60"/>
      <c r="AM112" s="60"/>
      <c r="AN112" s="60"/>
      <c r="AO112" s="60"/>
      <c r="AP112" s="60"/>
      <c r="AQ112" s="52">
        <v>3000.0</v>
      </c>
      <c r="AR112" s="60"/>
      <c r="AS112" s="60"/>
      <c r="AT112" s="60"/>
      <c r="AU112" s="25" t="s">
        <v>687</v>
      </c>
      <c r="AV112" s="15" t="s">
        <v>688</v>
      </c>
      <c r="AW112" s="15" t="s">
        <v>689</v>
      </c>
      <c r="AX112" s="15" t="s">
        <v>690</v>
      </c>
      <c r="AY112" s="15" t="s">
        <v>691</v>
      </c>
      <c r="AZ112" s="15" t="s">
        <v>692</v>
      </c>
    </row>
    <row r="113">
      <c r="B113" s="8" t="s">
        <v>43</v>
      </c>
      <c r="C113" s="8" t="s">
        <v>693</v>
      </c>
      <c r="D113" s="9" t="str">
        <f t="shared" si="1"/>
        <v/>
      </c>
      <c r="E113" s="10">
        <v>70.0</v>
      </c>
      <c r="F113" s="10">
        <v>0.0</v>
      </c>
      <c r="G113" s="10">
        <v>3.0</v>
      </c>
      <c r="H113" s="10" t="b">
        <v>1</v>
      </c>
      <c r="I113" s="10" t="s">
        <v>56</v>
      </c>
      <c r="J113" s="10">
        <v>1.0</v>
      </c>
      <c r="K113" s="13"/>
      <c r="L113" s="11"/>
      <c r="M113" s="11"/>
      <c r="N113" s="11"/>
      <c r="O113" s="11"/>
      <c r="P113" s="11"/>
      <c r="Q113" s="10"/>
      <c r="R113" s="11"/>
      <c r="S113" s="11"/>
      <c r="T113" s="11"/>
      <c r="U113" s="11"/>
      <c r="V113" s="11"/>
      <c r="W113" s="11"/>
      <c r="X113" s="11"/>
      <c r="Y113" s="11"/>
      <c r="Z113" s="12"/>
      <c r="AA113" s="12"/>
      <c r="AB113" s="12"/>
      <c r="AC113" s="26"/>
      <c r="AD113" s="26"/>
      <c r="AE113" s="26"/>
      <c r="AF113" s="26"/>
      <c r="AG113" s="26"/>
      <c r="AH113" s="13"/>
      <c r="AI113" s="10"/>
      <c r="AJ113" s="10"/>
      <c r="AK113" s="13"/>
      <c r="AL113" s="13"/>
      <c r="AM113" s="10"/>
      <c r="AN113" s="10">
        <f>400*0.65</f>
        <v>260</v>
      </c>
      <c r="AO113" s="10"/>
      <c r="AP113" s="10"/>
      <c r="AQ113" s="13"/>
      <c r="AR113" s="13"/>
      <c r="AS113" s="13"/>
      <c r="AT113" s="13"/>
      <c r="AU113" s="22" t="s">
        <v>694</v>
      </c>
      <c r="AV113" s="8" t="s">
        <v>695</v>
      </c>
      <c r="AW113" s="8" t="s">
        <v>696</v>
      </c>
      <c r="AX113" s="8" t="s">
        <v>697</v>
      </c>
      <c r="AY113" s="8" t="s">
        <v>698</v>
      </c>
      <c r="AZ113" s="8" t="s">
        <v>699</v>
      </c>
    </row>
    <row r="114">
      <c r="B114" s="15" t="s">
        <v>60</v>
      </c>
      <c r="C114" s="15" t="s">
        <v>700</v>
      </c>
      <c r="D114" s="16" t="str">
        <f t="shared" si="1"/>
        <v/>
      </c>
      <c r="E114" s="17">
        <v>70.0</v>
      </c>
      <c r="F114" s="17">
        <v>15.0</v>
      </c>
      <c r="G114" s="17">
        <v>120.0</v>
      </c>
      <c r="H114" s="17" t="b">
        <v>1</v>
      </c>
      <c r="I114" s="17" t="s">
        <v>56</v>
      </c>
      <c r="J114" s="17">
        <v>1.0</v>
      </c>
      <c r="K114" s="17"/>
      <c r="L114" s="18"/>
      <c r="M114" s="18"/>
      <c r="N114" s="18"/>
      <c r="O114" s="18"/>
      <c r="P114" s="18"/>
      <c r="Q114" s="17"/>
      <c r="R114" s="18"/>
      <c r="S114" s="18"/>
      <c r="T114" s="18"/>
      <c r="U114" s="18"/>
      <c r="V114" s="18"/>
      <c r="W114" s="18"/>
      <c r="X114" s="18"/>
      <c r="Y114" s="18"/>
      <c r="Z114" s="19"/>
      <c r="AA114" s="19"/>
      <c r="AB114" s="19"/>
      <c r="AC114" s="24"/>
      <c r="AD114" s="24"/>
      <c r="AE114" s="24"/>
      <c r="AF114" s="24"/>
      <c r="AG114" s="24"/>
      <c r="AH114" s="20"/>
      <c r="AI114" s="17"/>
      <c r="AJ114" s="17"/>
      <c r="AK114" s="17"/>
      <c r="AL114" s="17"/>
      <c r="AM114" s="20"/>
      <c r="AN114" s="20"/>
      <c r="AO114" s="17">
        <v>15.0</v>
      </c>
      <c r="AP114" s="17">
        <v>300.0</v>
      </c>
      <c r="AQ114" s="20"/>
      <c r="AR114" s="20"/>
      <c r="AS114" s="20"/>
      <c r="AT114" s="20"/>
      <c r="AU114" s="25" t="s">
        <v>701</v>
      </c>
      <c r="AV114" s="15" t="s">
        <v>702</v>
      </c>
      <c r="AW114" s="15" t="s">
        <v>702</v>
      </c>
      <c r="AX114" s="15" t="s">
        <v>702</v>
      </c>
      <c r="AY114" s="15" t="s">
        <v>703</v>
      </c>
      <c r="AZ114" s="15" t="s">
        <v>704</v>
      </c>
    </row>
    <row r="115">
      <c r="B115" s="8" t="s">
        <v>60</v>
      </c>
      <c r="C115" s="8" t="s">
        <v>705</v>
      </c>
      <c r="D115" s="9" t="str">
        <f t="shared" si="1"/>
        <v/>
      </c>
      <c r="E115" s="10">
        <v>70.0</v>
      </c>
      <c r="F115" s="10">
        <v>0.0</v>
      </c>
      <c r="G115" s="10">
        <v>120.0</v>
      </c>
      <c r="H115" s="10" t="b">
        <v>1</v>
      </c>
      <c r="I115" s="10" t="s">
        <v>56</v>
      </c>
      <c r="J115" s="10">
        <v>1.0</v>
      </c>
      <c r="K115" s="10"/>
      <c r="L115" s="11"/>
      <c r="M115" s="11"/>
      <c r="N115" s="11"/>
      <c r="O115" s="11"/>
      <c r="P115" s="11"/>
      <c r="Q115" s="10"/>
      <c r="R115" s="11"/>
      <c r="S115" s="11"/>
      <c r="T115" s="11"/>
      <c r="U115" s="11"/>
      <c r="V115" s="11"/>
      <c r="W115" s="11"/>
      <c r="X115" s="11"/>
      <c r="Y115" s="11"/>
      <c r="Z115" s="12"/>
      <c r="AA115" s="12"/>
      <c r="AB115" s="12"/>
      <c r="AC115" s="26"/>
      <c r="AD115" s="26"/>
      <c r="AE115" s="26"/>
      <c r="AF115" s="26"/>
      <c r="AG115" s="26"/>
      <c r="AH115" s="13"/>
      <c r="AI115" s="10"/>
      <c r="AJ115" s="10"/>
      <c r="AK115" s="10">
        <v>150.0</v>
      </c>
      <c r="AL115" s="10"/>
      <c r="AM115" s="13"/>
      <c r="AN115" s="13"/>
      <c r="AO115" s="10"/>
      <c r="AP115" s="10"/>
      <c r="AQ115" s="13"/>
      <c r="AR115" s="13"/>
      <c r="AS115" s="13"/>
      <c r="AT115" s="13"/>
      <c r="AU115" s="22" t="s">
        <v>701</v>
      </c>
      <c r="AV115" s="8" t="s">
        <v>706</v>
      </c>
      <c r="AW115" s="8" t="s">
        <v>707</v>
      </c>
      <c r="AX115" s="8" t="s">
        <v>708</v>
      </c>
      <c r="AY115" s="8" t="s">
        <v>709</v>
      </c>
      <c r="AZ115" s="8" t="s">
        <v>710</v>
      </c>
    </row>
    <row r="116">
      <c r="B116" s="15" t="s">
        <v>60</v>
      </c>
      <c r="C116" s="15" t="s">
        <v>711</v>
      </c>
      <c r="D116" s="16" t="str">
        <f t="shared" si="1"/>
        <v/>
      </c>
      <c r="E116" s="17">
        <v>70.0</v>
      </c>
      <c r="F116" s="17">
        <v>0.0</v>
      </c>
      <c r="G116" s="17">
        <v>120.0</v>
      </c>
      <c r="H116" s="17" t="b">
        <v>1</v>
      </c>
      <c r="I116" s="17" t="s">
        <v>56</v>
      </c>
      <c r="J116" s="17">
        <v>1.0</v>
      </c>
      <c r="K116" s="17"/>
      <c r="L116" s="18"/>
      <c r="M116" s="18"/>
      <c r="N116" s="18"/>
      <c r="O116" s="18"/>
      <c r="P116" s="18"/>
      <c r="Q116" s="17"/>
      <c r="R116" s="18"/>
      <c r="S116" s="18"/>
      <c r="T116" s="18"/>
      <c r="U116" s="18"/>
      <c r="V116" s="18"/>
      <c r="W116" s="18"/>
      <c r="X116" s="18"/>
      <c r="Y116" s="18"/>
      <c r="Z116" s="19"/>
      <c r="AA116" s="19"/>
      <c r="AB116" s="19"/>
      <c r="AC116" s="24"/>
      <c r="AD116" s="24"/>
      <c r="AE116" s="24"/>
      <c r="AF116" s="24"/>
      <c r="AG116" s="24"/>
      <c r="AH116" s="20"/>
      <c r="AI116" s="17"/>
      <c r="AJ116" s="17"/>
      <c r="AK116" s="17">
        <v>300.0</v>
      </c>
      <c r="AL116" s="17"/>
      <c r="AM116" s="20"/>
      <c r="AN116" s="20"/>
      <c r="AO116" s="17"/>
      <c r="AP116" s="17"/>
      <c r="AQ116" s="20"/>
      <c r="AR116" s="20"/>
      <c r="AS116" s="20"/>
      <c r="AT116" s="20"/>
      <c r="AU116" s="25" t="s">
        <v>701</v>
      </c>
      <c r="AV116" s="15" t="s">
        <v>712</v>
      </c>
      <c r="AW116" s="15" t="s">
        <v>713</v>
      </c>
      <c r="AX116" s="15" t="s">
        <v>714</v>
      </c>
      <c r="AY116" s="15" t="s">
        <v>715</v>
      </c>
      <c r="AZ116" s="15" t="s">
        <v>716</v>
      </c>
    </row>
    <row r="117">
      <c r="B117" s="8" t="s">
        <v>60</v>
      </c>
      <c r="C117" s="8" t="s">
        <v>717</v>
      </c>
      <c r="D117" s="9" t="str">
        <f t="shared" si="1"/>
        <v/>
      </c>
      <c r="E117" s="10">
        <v>70.0</v>
      </c>
      <c r="F117" s="10">
        <v>0.0</v>
      </c>
      <c r="G117" s="10">
        <v>120.0</v>
      </c>
      <c r="H117" s="10" t="b">
        <v>1</v>
      </c>
      <c r="I117" s="10" t="s">
        <v>56</v>
      </c>
      <c r="J117" s="10">
        <v>1.0</v>
      </c>
      <c r="K117" s="10"/>
      <c r="L117" s="11"/>
      <c r="M117" s="11"/>
      <c r="N117" s="11"/>
      <c r="O117" s="11"/>
      <c r="P117" s="11"/>
      <c r="Q117" s="10"/>
      <c r="R117" s="11"/>
      <c r="S117" s="11"/>
      <c r="T117" s="11"/>
      <c r="U117" s="11"/>
      <c r="V117" s="11"/>
      <c r="W117" s="11"/>
      <c r="X117" s="11"/>
      <c r="Y117" s="11"/>
      <c r="Z117" s="12"/>
      <c r="AA117" s="12"/>
      <c r="AB117" s="12"/>
      <c r="AC117" s="26"/>
      <c r="AD117" s="26"/>
      <c r="AE117" s="26"/>
      <c r="AF117" s="26"/>
      <c r="AG117" s="26"/>
      <c r="AH117" s="13"/>
      <c r="AI117" s="10"/>
      <c r="AJ117" s="10"/>
      <c r="AK117" s="10">
        <v>450.0</v>
      </c>
      <c r="AL117" s="10"/>
      <c r="AM117" s="13"/>
      <c r="AN117" s="13"/>
      <c r="AO117" s="10"/>
      <c r="AP117" s="10"/>
      <c r="AQ117" s="13"/>
      <c r="AR117" s="13"/>
      <c r="AS117" s="13"/>
      <c r="AT117" s="13"/>
      <c r="AU117" s="22" t="s">
        <v>701</v>
      </c>
      <c r="AV117" s="8" t="s">
        <v>718</v>
      </c>
      <c r="AW117" s="8" t="s">
        <v>719</v>
      </c>
      <c r="AX117" s="8" t="s">
        <v>720</v>
      </c>
      <c r="AY117" s="8" t="s">
        <v>721</v>
      </c>
      <c r="AZ117" s="8" t="s">
        <v>722</v>
      </c>
    </row>
    <row r="118">
      <c r="A118" s="27"/>
      <c r="B118" s="15" t="s">
        <v>60</v>
      </c>
      <c r="C118" s="15" t="s">
        <v>723</v>
      </c>
      <c r="D118" s="16" t="str">
        <f t="shared" si="1"/>
        <v/>
      </c>
      <c r="E118" s="17">
        <v>70.0</v>
      </c>
      <c r="F118" s="17">
        <v>0.0</v>
      </c>
      <c r="G118" s="17">
        <v>120.0</v>
      </c>
      <c r="H118" s="17" t="b">
        <v>1</v>
      </c>
      <c r="I118" s="17" t="s">
        <v>56</v>
      </c>
      <c r="J118" s="17">
        <v>1.0</v>
      </c>
      <c r="K118" s="17"/>
      <c r="L118" s="18"/>
      <c r="M118" s="18"/>
      <c r="N118" s="18"/>
      <c r="O118" s="18"/>
      <c r="P118" s="18"/>
      <c r="Q118" s="17"/>
      <c r="R118" s="18"/>
      <c r="S118" s="18"/>
      <c r="T118" s="18"/>
      <c r="U118" s="18"/>
      <c r="V118" s="18"/>
      <c r="W118" s="18"/>
      <c r="X118" s="18"/>
      <c r="Y118" s="18"/>
      <c r="Z118" s="19"/>
      <c r="AA118" s="19"/>
      <c r="AB118" s="19"/>
      <c r="AC118" s="24"/>
      <c r="AD118" s="24"/>
      <c r="AE118" s="24"/>
      <c r="AF118" s="24"/>
      <c r="AG118" s="24"/>
      <c r="AH118" s="20"/>
      <c r="AI118" s="17"/>
      <c r="AJ118" s="17"/>
      <c r="AK118" s="17">
        <v>600.0</v>
      </c>
      <c r="AL118" s="17"/>
      <c r="AM118" s="20"/>
      <c r="AN118" s="20"/>
      <c r="AO118" s="17"/>
      <c r="AP118" s="17"/>
      <c r="AQ118" s="20"/>
      <c r="AR118" s="20"/>
      <c r="AS118" s="20"/>
      <c r="AT118" s="20"/>
      <c r="AU118" s="25" t="s">
        <v>701</v>
      </c>
      <c r="AV118" s="15" t="s">
        <v>724</v>
      </c>
      <c r="AW118" s="15" t="s">
        <v>725</v>
      </c>
      <c r="AX118" s="15" t="s">
        <v>726</v>
      </c>
      <c r="AY118" s="15" t="s">
        <v>727</v>
      </c>
      <c r="AZ118" s="15" t="s">
        <v>728</v>
      </c>
      <c r="BA118" s="27"/>
    </row>
    <row r="119">
      <c r="A119" s="27"/>
      <c r="B119" s="8" t="s">
        <v>60</v>
      </c>
      <c r="C119" s="8" t="s">
        <v>729</v>
      </c>
      <c r="D119" s="9" t="str">
        <f t="shared" si="1"/>
        <v/>
      </c>
      <c r="E119" s="10">
        <v>70.0</v>
      </c>
      <c r="F119" s="10">
        <v>0.0</v>
      </c>
      <c r="G119" s="10">
        <v>120.0</v>
      </c>
      <c r="H119" s="10" t="b">
        <v>1</v>
      </c>
      <c r="I119" s="10" t="s">
        <v>56</v>
      </c>
      <c r="J119" s="10">
        <v>1.0</v>
      </c>
      <c r="K119" s="10"/>
      <c r="L119" s="11"/>
      <c r="M119" s="11"/>
      <c r="N119" s="11"/>
      <c r="O119" s="11"/>
      <c r="P119" s="11"/>
      <c r="Q119" s="10"/>
      <c r="R119" s="11"/>
      <c r="S119" s="11"/>
      <c r="T119" s="11"/>
      <c r="U119" s="11"/>
      <c r="V119" s="11"/>
      <c r="W119" s="11"/>
      <c r="X119" s="11"/>
      <c r="Y119" s="11"/>
      <c r="Z119" s="12"/>
      <c r="AA119" s="12"/>
      <c r="AB119" s="12"/>
      <c r="AC119" s="26"/>
      <c r="AD119" s="26"/>
      <c r="AE119" s="26"/>
      <c r="AF119" s="26"/>
      <c r="AG119" s="26"/>
      <c r="AH119" s="13"/>
      <c r="AI119" s="10"/>
      <c r="AJ119" s="10"/>
      <c r="AK119" s="10">
        <v>750.0</v>
      </c>
      <c r="AL119" s="10"/>
      <c r="AM119" s="13"/>
      <c r="AN119" s="13"/>
      <c r="AO119" s="10"/>
      <c r="AP119" s="10"/>
      <c r="AQ119" s="13"/>
      <c r="AR119" s="13"/>
      <c r="AS119" s="13"/>
      <c r="AT119" s="13"/>
      <c r="AU119" s="22" t="s">
        <v>701</v>
      </c>
      <c r="AV119" s="8" t="s">
        <v>730</v>
      </c>
      <c r="AW119" s="8" t="s">
        <v>731</v>
      </c>
      <c r="AX119" s="8" t="s">
        <v>732</v>
      </c>
      <c r="AY119" s="8" t="s">
        <v>733</v>
      </c>
      <c r="AZ119" s="8" t="s">
        <v>734</v>
      </c>
      <c r="BA119" s="27"/>
    </row>
    <row r="120">
      <c r="B120" s="15" t="s">
        <v>65</v>
      </c>
      <c r="C120" s="15" t="s">
        <v>735</v>
      </c>
      <c r="D120" s="16" t="str">
        <f t="shared" si="1"/>
        <v/>
      </c>
      <c r="E120" s="17">
        <v>70.0</v>
      </c>
      <c r="F120" s="17">
        <v>0.0</v>
      </c>
      <c r="G120" s="17">
        <v>1.0</v>
      </c>
      <c r="H120" s="17" t="b">
        <v>1</v>
      </c>
      <c r="I120" s="17" t="s">
        <v>51</v>
      </c>
      <c r="J120" s="17">
        <v>1.0</v>
      </c>
      <c r="K120" s="17"/>
      <c r="L120" s="18"/>
      <c r="M120" s="18"/>
      <c r="N120" s="18"/>
      <c r="O120" s="18"/>
      <c r="P120" s="18"/>
      <c r="Q120" s="17"/>
      <c r="R120" s="18"/>
      <c r="S120" s="18"/>
      <c r="T120" s="18"/>
      <c r="U120" s="18"/>
      <c r="V120" s="18"/>
      <c r="W120" s="18"/>
      <c r="X120" s="18"/>
      <c r="Y120" s="18"/>
      <c r="Z120" s="19"/>
      <c r="AA120" s="19"/>
      <c r="AB120" s="19"/>
      <c r="AC120" s="24"/>
      <c r="AD120" s="24"/>
      <c r="AE120" s="24"/>
      <c r="AF120" s="24"/>
      <c r="AG120" s="24"/>
      <c r="AH120" s="58"/>
      <c r="AI120" s="17"/>
      <c r="AJ120" s="17"/>
      <c r="AK120" s="17">
        <v>400.0</v>
      </c>
      <c r="AL120" s="17"/>
      <c r="AM120" s="20"/>
      <c r="AN120" s="20"/>
      <c r="AO120" s="20"/>
      <c r="AP120" s="20"/>
      <c r="AQ120" s="20"/>
      <c r="AR120" s="17">
        <v>1200.0</v>
      </c>
      <c r="AS120" s="17" t="s">
        <v>736</v>
      </c>
      <c r="AT120" s="20"/>
      <c r="AU120" s="21" t="s">
        <v>737</v>
      </c>
      <c r="AV120" s="15" t="s">
        <v>738</v>
      </c>
      <c r="AW120" s="15" t="s">
        <v>739</v>
      </c>
      <c r="AX120" s="15"/>
      <c r="AY120" s="15"/>
      <c r="AZ120" s="15"/>
    </row>
    <row r="121">
      <c r="B121" s="8" t="s">
        <v>72</v>
      </c>
      <c r="C121" s="8" t="s">
        <v>204</v>
      </c>
      <c r="D121" s="9" t="str">
        <f t="shared" si="1"/>
        <v/>
      </c>
      <c r="E121" s="10">
        <v>70.0</v>
      </c>
      <c r="F121" s="10">
        <v>10.0</v>
      </c>
      <c r="G121" s="10">
        <v>60.0</v>
      </c>
      <c r="H121" s="10" t="b">
        <v>1</v>
      </c>
      <c r="I121" s="10" t="s">
        <v>45</v>
      </c>
      <c r="J121" s="10">
        <v>1.0</v>
      </c>
      <c r="K121" s="10"/>
      <c r="L121" s="11"/>
      <c r="M121" s="11"/>
      <c r="N121" s="11"/>
      <c r="O121" s="11"/>
      <c r="P121" s="11"/>
      <c r="Q121" s="10"/>
      <c r="R121" s="11"/>
      <c r="S121" s="11"/>
      <c r="T121" s="11"/>
      <c r="U121" s="11"/>
      <c r="V121" s="11"/>
      <c r="W121" s="11"/>
      <c r="X121" s="11"/>
      <c r="Y121" s="11"/>
      <c r="Z121" s="12"/>
      <c r="AA121" s="12"/>
      <c r="AB121" s="12"/>
      <c r="AC121" s="10"/>
      <c r="AD121" s="10"/>
      <c r="AE121" s="10" t="s">
        <v>740</v>
      </c>
      <c r="AF121" s="10">
        <v>10.0</v>
      </c>
      <c r="AG121" s="10">
        <v>200.0</v>
      </c>
      <c r="AH121" s="13"/>
      <c r="AI121" s="10"/>
      <c r="AJ121" s="10"/>
      <c r="AK121" s="13"/>
      <c r="AL121" s="13"/>
      <c r="AM121" s="13"/>
      <c r="AN121" s="13"/>
      <c r="AO121" s="13"/>
      <c r="AP121" s="13"/>
      <c r="AQ121" s="13"/>
      <c r="AR121" s="13"/>
      <c r="AS121" s="13"/>
      <c r="AT121" s="13"/>
      <c r="AU121" s="22" t="s">
        <v>741</v>
      </c>
      <c r="AV121" s="8" t="s">
        <v>742</v>
      </c>
      <c r="AW121" s="8" t="s">
        <v>743</v>
      </c>
      <c r="AX121" s="8" t="s">
        <v>744</v>
      </c>
      <c r="AY121" s="8" t="s">
        <v>745</v>
      </c>
      <c r="AZ121" s="8" t="s">
        <v>746</v>
      </c>
    </row>
    <row r="122">
      <c r="B122" s="15" t="s">
        <v>180</v>
      </c>
      <c r="C122" s="15" t="s">
        <v>747</v>
      </c>
      <c r="D122" s="16" t="str">
        <f t="shared" si="1"/>
        <v/>
      </c>
      <c r="E122" s="17">
        <v>68.0</v>
      </c>
      <c r="F122" s="17">
        <v>7.0</v>
      </c>
      <c r="G122" s="58">
        <v>25.0</v>
      </c>
      <c r="H122" s="17" t="b">
        <v>1</v>
      </c>
      <c r="I122" s="17" t="s">
        <v>56</v>
      </c>
      <c r="J122" s="17">
        <v>1.0</v>
      </c>
      <c r="K122" s="58">
        <v>7.0</v>
      </c>
      <c r="L122" s="18">
        <v>0.85</v>
      </c>
      <c r="M122" s="18">
        <v>0.85</v>
      </c>
      <c r="N122" s="18">
        <v>0.85</v>
      </c>
      <c r="O122" s="18"/>
      <c r="P122" s="18"/>
      <c r="Q122" s="17"/>
      <c r="R122" s="18"/>
      <c r="S122" s="18"/>
      <c r="T122" s="18"/>
      <c r="U122" s="18"/>
      <c r="V122" s="18"/>
      <c r="W122" s="18"/>
      <c r="X122" s="18"/>
      <c r="Y122" s="18"/>
      <c r="Z122" s="19"/>
      <c r="AA122" s="19"/>
      <c r="AB122" s="19"/>
      <c r="AC122" s="43"/>
      <c r="AD122" s="43"/>
      <c r="AE122" s="43"/>
      <c r="AF122" s="43"/>
      <c r="AG122" s="43"/>
      <c r="AH122" s="43"/>
      <c r="AI122" s="44"/>
      <c r="AJ122" s="44"/>
      <c r="AK122" s="44"/>
      <c r="AL122" s="44"/>
      <c r="AM122" s="44"/>
      <c r="AN122" s="44"/>
      <c r="AO122" s="44"/>
      <c r="AP122" s="44"/>
      <c r="AQ122" s="44"/>
      <c r="AR122" s="44"/>
      <c r="AS122" s="44"/>
      <c r="AT122" s="44"/>
      <c r="AU122" s="25" t="s">
        <v>748</v>
      </c>
      <c r="AV122" s="15" t="s">
        <v>749</v>
      </c>
      <c r="AW122" s="15" t="s">
        <v>750</v>
      </c>
      <c r="AX122" s="15" t="s">
        <v>751</v>
      </c>
      <c r="AY122" s="15" t="s">
        <v>752</v>
      </c>
      <c r="AZ122" s="15" t="s">
        <v>753</v>
      </c>
    </row>
    <row r="123">
      <c r="B123" s="8" t="s">
        <v>198</v>
      </c>
      <c r="C123" s="8" t="s">
        <v>660</v>
      </c>
      <c r="D123" s="9" t="str">
        <f t="shared" si="1"/>
        <v/>
      </c>
      <c r="E123" s="10">
        <v>68.0</v>
      </c>
      <c r="F123" s="10">
        <v>30.0</v>
      </c>
      <c r="G123" s="47">
        <v>90.0</v>
      </c>
      <c r="H123" s="10" t="b">
        <v>1</v>
      </c>
      <c r="I123" s="10" t="s">
        <v>51</v>
      </c>
      <c r="J123" s="10">
        <v>1.0</v>
      </c>
      <c r="K123" s="10"/>
      <c r="L123" s="11"/>
      <c r="M123" s="11"/>
      <c r="N123" s="11"/>
      <c r="O123" s="11"/>
      <c r="P123" s="11"/>
      <c r="Q123" s="10"/>
      <c r="R123" s="11"/>
      <c r="S123" s="11"/>
      <c r="T123" s="11"/>
      <c r="U123" s="11"/>
      <c r="V123" s="11"/>
      <c r="W123" s="11"/>
      <c r="X123" s="11"/>
      <c r="Y123" s="11"/>
      <c r="Z123" s="12"/>
      <c r="AA123" s="12"/>
      <c r="AB123" s="12"/>
      <c r="AC123" s="26"/>
      <c r="AD123" s="26"/>
      <c r="AE123" s="26"/>
      <c r="AF123" s="26"/>
      <c r="AG123" s="26"/>
      <c r="AH123" s="26"/>
      <c r="AI123" s="10">
        <v>30.0</v>
      </c>
      <c r="AJ123" s="10">
        <v>0.15</v>
      </c>
      <c r="AK123" s="10"/>
      <c r="AL123" s="10"/>
      <c r="AM123" s="10">
        <v>15.0</v>
      </c>
      <c r="AN123" s="10">
        <v>100.0</v>
      </c>
      <c r="AO123" s="10"/>
      <c r="AP123" s="10"/>
      <c r="AQ123" s="10"/>
      <c r="AR123" s="10"/>
      <c r="AS123" s="10"/>
      <c r="AT123" s="10"/>
      <c r="AU123" s="22" t="s">
        <v>661</v>
      </c>
      <c r="AV123" s="8" t="s">
        <v>662</v>
      </c>
      <c r="AW123" s="8" t="s">
        <v>663</v>
      </c>
      <c r="AX123" s="8" t="s">
        <v>664</v>
      </c>
      <c r="AY123" s="8" t="s">
        <v>665</v>
      </c>
      <c r="AZ123" s="8" t="s">
        <v>666</v>
      </c>
    </row>
    <row r="124">
      <c r="B124" s="15" t="s">
        <v>118</v>
      </c>
      <c r="C124" s="15" t="s">
        <v>754</v>
      </c>
      <c r="D124" s="16" t="str">
        <f t="shared" si="1"/>
        <v/>
      </c>
      <c r="E124" s="17">
        <v>66.0</v>
      </c>
      <c r="F124" s="17">
        <v>15.0</v>
      </c>
      <c r="G124" s="17">
        <v>120.0</v>
      </c>
      <c r="H124" s="17" t="b">
        <v>1</v>
      </c>
      <c r="I124" s="17" t="s">
        <v>56</v>
      </c>
      <c r="J124" s="17">
        <v>1.0</v>
      </c>
      <c r="K124" s="17"/>
      <c r="L124" s="18"/>
      <c r="M124" s="18"/>
      <c r="N124" s="18"/>
      <c r="O124" s="18"/>
      <c r="P124" s="18"/>
      <c r="Q124" s="17"/>
      <c r="R124" s="18"/>
      <c r="S124" s="18"/>
      <c r="T124" s="18"/>
      <c r="U124" s="18"/>
      <c r="V124" s="18"/>
      <c r="W124" s="18"/>
      <c r="X124" s="18"/>
      <c r="Y124" s="18"/>
      <c r="Z124" s="19"/>
      <c r="AA124" s="19"/>
      <c r="AB124" s="19"/>
      <c r="AC124" s="17"/>
      <c r="AD124" s="17"/>
      <c r="AE124" s="17" t="s">
        <v>125</v>
      </c>
      <c r="AF124" s="17">
        <v>15.0</v>
      </c>
      <c r="AG124" s="17"/>
      <c r="AH124" s="17">
        <v>1.15</v>
      </c>
      <c r="AI124" s="20"/>
      <c r="AJ124" s="20"/>
      <c r="AK124" s="20"/>
      <c r="AL124" s="20"/>
      <c r="AM124" s="20"/>
      <c r="AN124" s="20"/>
      <c r="AO124" s="20"/>
      <c r="AP124" s="20"/>
      <c r="AQ124" s="20"/>
      <c r="AR124" s="20"/>
      <c r="AS124" s="20"/>
      <c r="AT124" s="20"/>
      <c r="AU124" s="25" t="s">
        <v>755</v>
      </c>
      <c r="AV124" s="15" t="s">
        <v>756</v>
      </c>
      <c r="AW124" s="15" t="s">
        <v>757</v>
      </c>
      <c r="AX124" s="15" t="s">
        <v>758</v>
      </c>
      <c r="AY124" s="15" t="s">
        <v>756</v>
      </c>
      <c r="AZ124" s="15" t="s">
        <v>759</v>
      </c>
    </row>
    <row r="125">
      <c r="B125" s="8" t="s">
        <v>72</v>
      </c>
      <c r="C125" s="8" t="s">
        <v>303</v>
      </c>
      <c r="D125" s="9" t="str">
        <f t="shared" si="1"/>
        <v/>
      </c>
      <c r="E125" s="10">
        <v>66.0</v>
      </c>
      <c r="F125" s="10">
        <v>15.0</v>
      </c>
      <c r="G125" s="10">
        <v>30.0</v>
      </c>
      <c r="H125" s="10" t="b">
        <v>1</v>
      </c>
      <c r="I125" s="10" t="s">
        <v>56</v>
      </c>
      <c r="J125" s="10">
        <v>1.0</v>
      </c>
      <c r="K125" s="10"/>
      <c r="L125" s="11"/>
      <c r="M125" s="11"/>
      <c r="N125" s="11"/>
      <c r="O125" s="11"/>
      <c r="P125" s="11"/>
      <c r="Q125" s="10"/>
      <c r="R125" s="11"/>
      <c r="S125" s="11"/>
      <c r="T125" s="11"/>
      <c r="U125" s="11"/>
      <c r="V125" s="11"/>
      <c r="W125" s="11"/>
      <c r="X125" s="11"/>
      <c r="Y125" s="11"/>
      <c r="Z125" s="12"/>
      <c r="AA125" s="12"/>
      <c r="AB125" s="12"/>
      <c r="AC125" s="26"/>
      <c r="AD125" s="26"/>
      <c r="AE125" s="26"/>
      <c r="AF125" s="26"/>
      <c r="AG125" s="26"/>
      <c r="AH125" s="13"/>
      <c r="AI125" s="10"/>
      <c r="AJ125" s="10"/>
      <c r="AK125" s="13"/>
      <c r="AL125" s="13"/>
      <c r="AM125" s="13"/>
      <c r="AN125" s="13"/>
      <c r="AO125" s="10">
        <v>15.0</v>
      </c>
      <c r="AP125" s="10">
        <v>500.0</v>
      </c>
      <c r="AQ125" s="13"/>
      <c r="AR125" s="13"/>
      <c r="AS125" s="13"/>
      <c r="AT125" s="13"/>
      <c r="AU125" s="22" t="s">
        <v>304</v>
      </c>
      <c r="AV125" s="8" t="s">
        <v>305</v>
      </c>
      <c r="AW125" s="8" t="s">
        <v>306</v>
      </c>
      <c r="AX125" s="8" t="s">
        <v>307</v>
      </c>
      <c r="AY125" s="8" t="s">
        <v>308</v>
      </c>
      <c r="AZ125" s="8" t="s">
        <v>309</v>
      </c>
    </row>
    <row r="126">
      <c r="B126" s="15" t="s">
        <v>180</v>
      </c>
      <c r="C126" s="15" t="s">
        <v>760</v>
      </c>
      <c r="D126" s="16" t="str">
        <f t="shared" si="1"/>
        <v/>
      </c>
      <c r="E126" s="17">
        <v>64.0</v>
      </c>
      <c r="F126" s="17">
        <v>15.0</v>
      </c>
      <c r="G126" s="17">
        <v>90.0</v>
      </c>
      <c r="H126" s="17" t="b">
        <v>1</v>
      </c>
      <c r="I126" s="17" t="s">
        <v>51</v>
      </c>
      <c r="J126" s="17">
        <v>1.0</v>
      </c>
      <c r="K126" s="17">
        <v>15.0</v>
      </c>
      <c r="L126" s="18">
        <v>0.9</v>
      </c>
      <c r="M126" s="18">
        <v>0.95</v>
      </c>
      <c r="N126" s="18">
        <v>1.0</v>
      </c>
      <c r="O126" s="18"/>
      <c r="P126" s="18"/>
      <c r="Q126" s="17"/>
      <c r="R126" s="18"/>
      <c r="S126" s="18"/>
      <c r="T126" s="18"/>
      <c r="U126" s="18"/>
      <c r="V126" s="18"/>
      <c r="W126" s="18"/>
      <c r="X126" s="18"/>
      <c r="Y126" s="18"/>
      <c r="Z126" s="19"/>
      <c r="AA126" s="19"/>
      <c r="AB126" s="19"/>
      <c r="AC126" s="17"/>
      <c r="AD126" s="17"/>
      <c r="AE126" s="17"/>
      <c r="AF126" s="17"/>
      <c r="AG126" s="17"/>
      <c r="AH126" s="17"/>
      <c r="AI126" s="20"/>
      <c r="AJ126" s="20"/>
      <c r="AK126" s="20"/>
      <c r="AL126" s="20"/>
      <c r="AM126" s="20"/>
      <c r="AN126" s="20"/>
      <c r="AO126" s="20"/>
      <c r="AP126" s="20"/>
      <c r="AQ126" s="20"/>
      <c r="AR126" s="20"/>
      <c r="AS126" s="20"/>
      <c r="AT126" s="20"/>
      <c r="AU126" s="25" t="s">
        <v>761</v>
      </c>
      <c r="AV126" s="15" t="s">
        <v>762</v>
      </c>
      <c r="AW126" s="15" t="s">
        <v>763</v>
      </c>
      <c r="AX126" s="15" t="s">
        <v>764</v>
      </c>
      <c r="AY126" s="15" t="s">
        <v>765</v>
      </c>
      <c r="AZ126" s="15" t="s">
        <v>766</v>
      </c>
    </row>
    <row r="127">
      <c r="B127" s="8" t="s">
        <v>767</v>
      </c>
      <c r="C127" s="8" t="s">
        <v>768</v>
      </c>
      <c r="D127" s="9" t="str">
        <f t="shared" si="1"/>
        <v/>
      </c>
      <c r="E127" s="10">
        <v>64.0</v>
      </c>
      <c r="F127" s="10">
        <v>15.0</v>
      </c>
      <c r="G127" s="10">
        <v>120.0</v>
      </c>
      <c r="H127" s="10" t="b">
        <v>1</v>
      </c>
      <c r="I127" s="10" t="s">
        <v>45</v>
      </c>
      <c r="J127" s="10">
        <v>1.0</v>
      </c>
      <c r="K127" s="10">
        <v>10.0</v>
      </c>
      <c r="L127" s="11">
        <v>0.9</v>
      </c>
      <c r="M127" s="11">
        <v>0.9</v>
      </c>
      <c r="N127" s="11">
        <v>0.9</v>
      </c>
      <c r="O127" s="11"/>
      <c r="P127" s="11"/>
      <c r="Q127" s="10"/>
      <c r="R127" s="11"/>
      <c r="S127" s="11"/>
      <c r="T127" s="11"/>
      <c r="U127" s="11"/>
      <c r="V127" s="11"/>
      <c r="W127" s="11"/>
      <c r="X127" s="11"/>
      <c r="Y127" s="11"/>
      <c r="Z127" s="12"/>
      <c r="AA127" s="12"/>
      <c r="AB127" s="12"/>
      <c r="AC127" s="26"/>
      <c r="AD127" s="26"/>
      <c r="AE127" s="26"/>
      <c r="AF127" s="26"/>
      <c r="AG127" s="26"/>
      <c r="AH127" s="10"/>
      <c r="AI127" s="10"/>
      <c r="AJ127" s="10"/>
      <c r="AK127" s="10"/>
      <c r="AL127" s="10"/>
      <c r="AM127" s="10"/>
      <c r="AN127" s="10"/>
      <c r="AO127" s="10"/>
      <c r="AP127" s="10"/>
      <c r="AQ127" s="10"/>
      <c r="AR127" s="10"/>
      <c r="AS127" s="10"/>
      <c r="AT127" s="10"/>
      <c r="AU127" s="14" t="s">
        <v>769</v>
      </c>
      <c r="AV127" s="8" t="s">
        <v>770</v>
      </c>
      <c r="AW127" s="8" t="s">
        <v>771</v>
      </c>
      <c r="AX127" s="8" t="s">
        <v>772</v>
      </c>
      <c r="AY127" s="8"/>
      <c r="AZ127" s="8"/>
    </row>
    <row r="128">
      <c r="B128" s="15" t="s">
        <v>767</v>
      </c>
      <c r="C128" s="15" t="s">
        <v>773</v>
      </c>
      <c r="D128" s="16" t="str">
        <f t="shared" si="1"/>
        <v/>
      </c>
      <c r="E128" s="17">
        <v>64.0</v>
      </c>
      <c r="F128" s="17">
        <v>0.0</v>
      </c>
      <c r="G128" s="17">
        <v>1.0</v>
      </c>
      <c r="H128" s="17" t="b">
        <v>1</v>
      </c>
      <c r="I128" s="17" t="s">
        <v>45</v>
      </c>
      <c r="J128" s="17">
        <v>1.0</v>
      </c>
      <c r="K128" s="17"/>
      <c r="L128" s="18"/>
      <c r="M128" s="18"/>
      <c r="N128" s="18"/>
      <c r="O128" s="18"/>
      <c r="P128" s="18"/>
      <c r="Q128" s="17"/>
      <c r="R128" s="18"/>
      <c r="S128" s="18"/>
      <c r="T128" s="18"/>
      <c r="U128" s="18"/>
      <c r="V128" s="18"/>
      <c r="W128" s="18"/>
      <c r="X128" s="18"/>
      <c r="Y128" s="18"/>
      <c r="Z128" s="19"/>
      <c r="AA128" s="19"/>
      <c r="AB128" s="19"/>
      <c r="AC128" s="24"/>
      <c r="AD128" s="24"/>
      <c r="AE128" s="24"/>
      <c r="AF128" s="24"/>
      <c r="AG128" s="24"/>
      <c r="AH128" s="17"/>
      <c r="AI128" s="17"/>
      <c r="AJ128" s="17"/>
      <c r="AK128" s="17">
        <v>300.0</v>
      </c>
      <c r="AL128" s="17"/>
      <c r="AM128" s="17"/>
      <c r="AN128" s="17"/>
      <c r="AO128" s="17"/>
      <c r="AP128" s="17"/>
      <c r="AQ128" s="17"/>
      <c r="AR128" s="17">
        <v>30.0</v>
      </c>
      <c r="AS128" s="61" t="s">
        <v>768</v>
      </c>
      <c r="AT128" s="17"/>
      <c r="AU128" s="21" t="s">
        <v>774</v>
      </c>
      <c r="AV128" s="15" t="s">
        <v>775</v>
      </c>
      <c r="AW128" s="15" t="s">
        <v>776</v>
      </c>
      <c r="AX128" s="15" t="s">
        <v>777</v>
      </c>
      <c r="AY128" s="15"/>
      <c r="AZ128" s="15"/>
    </row>
    <row r="129">
      <c r="B129" s="8" t="s">
        <v>186</v>
      </c>
      <c r="C129" s="8" t="s">
        <v>479</v>
      </c>
      <c r="D129" s="9" t="str">
        <f t="shared" si="1"/>
        <v/>
      </c>
      <c r="E129" s="10">
        <v>62.0</v>
      </c>
      <c r="F129" s="10">
        <v>6.0</v>
      </c>
      <c r="G129" s="47">
        <v>10.0</v>
      </c>
      <c r="H129" s="10" t="b">
        <v>1</v>
      </c>
      <c r="I129" s="10" t="s">
        <v>56</v>
      </c>
      <c r="J129" s="10">
        <v>1.0</v>
      </c>
      <c r="K129" s="10">
        <v>6.0</v>
      </c>
      <c r="L129" s="11">
        <v>0.9</v>
      </c>
      <c r="M129" s="11">
        <v>0.9</v>
      </c>
      <c r="N129" s="11">
        <v>0.9</v>
      </c>
      <c r="O129" s="11"/>
      <c r="P129" s="11"/>
      <c r="Q129" s="10"/>
      <c r="R129" s="11"/>
      <c r="S129" s="11"/>
      <c r="T129" s="11"/>
      <c r="U129" s="11"/>
      <c r="V129" s="11"/>
      <c r="W129" s="11"/>
      <c r="X129" s="11"/>
      <c r="Y129" s="11"/>
      <c r="Z129" s="12"/>
      <c r="AA129" s="12"/>
      <c r="AB129" s="12"/>
      <c r="AC129" s="38"/>
      <c r="AD129" s="38"/>
      <c r="AE129" s="38"/>
      <c r="AF129" s="38"/>
      <c r="AG129" s="38"/>
      <c r="AH129" s="38"/>
      <c r="AI129" s="39"/>
      <c r="AJ129" s="39"/>
      <c r="AK129" s="39"/>
      <c r="AL129" s="39"/>
      <c r="AM129" s="39"/>
      <c r="AN129" s="39"/>
      <c r="AO129" s="39"/>
      <c r="AP129" s="39"/>
      <c r="AQ129" s="39"/>
      <c r="AR129" s="39"/>
      <c r="AS129" s="39"/>
      <c r="AT129" s="39"/>
      <c r="AU129" s="22" t="s">
        <v>481</v>
      </c>
      <c r="AV129" s="8" t="s">
        <v>482</v>
      </c>
      <c r="AW129" s="8" t="s">
        <v>482</v>
      </c>
      <c r="AX129" s="8" t="s">
        <v>482</v>
      </c>
      <c r="AY129" s="8" t="s">
        <v>483</v>
      </c>
      <c r="AZ129" s="8" t="s">
        <v>484</v>
      </c>
    </row>
    <row r="130">
      <c r="B130" s="15" t="s">
        <v>43</v>
      </c>
      <c r="C130" s="15" t="s">
        <v>778</v>
      </c>
      <c r="D130" s="16" t="str">
        <f t="shared" si="1"/>
        <v/>
      </c>
      <c r="E130" s="17">
        <v>62.0</v>
      </c>
      <c r="F130" s="17">
        <v>45.0</v>
      </c>
      <c r="G130" s="17">
        <v>45.0</v>
      </c>
      <c r="H130" s="17" t="b">
        <v>1</v>
      </c>
      <c r="I130" s="17" t="s">
        <v>56</v>
      </c>
      <c r="J130" s="17">
        <v>1.0</v>
      </c>
      <c r="K130" s="17">
        <v>45.0</v>
      </c>
      <c r="L130" s="18"/>
      <c r="M130" s="18"/>
      <c r="N130" s="18"/>
      <c r="O130" s="18"/>
      <c r="P130" s="18"/>
      <c r="Q130" s="17"/>
      <c r="R130" s="18"/>
      <c r="S130" s="18"/>
      <c r="T130" s="18"/>
      <c r="U130" s="18"/>
      <c r="V130" s="18"/>
      <c r="W130" s="18"/>
      <c r="X130" s="18"/>
      <c r="Y130" s="18"/>
      <c r="Z130" s="19"/>
      <c r="AA130" s="19"/>
      <c r="AB130" s="19"/>
      <c r="AC130" s="24"/>
      <c r="AD130" s="24"/>
      <c r="AE130" s="24"/>
      <c r="AF130" s="24"/>
      <c r="AG130" s="24"/>
      <c r="AH130" s="17"/>
      <c r="AI130" s="17"/>
      <c r="AJ130" s="17"/>
      <c r="AK130" s="17">
        <v>800.0</v>
      </c>
      <c r="AL130" s="17"/>
      <c r="AM130" s="17"/>
      <c r="AN130" s="17"/>
      <c r="AO130" s="20"/>
      <c r="AP130" s="20"/>
      <c r="AQ130" s="20"/>
      <c r="AR130" s="20"/>
      <c r="AS130" s="20"/>
      <c r="AT130" s="20"/>
      <c r="AU130" s="25" t="s">
        <v>779</v>
      </c>
      <c r="AV130" s="15" t="s">
        <v>780</v>
      </c>
      <c r="AW130" s="15" t="s">
        <v>781</v>
      </c>
      <c r="AX130" s="15" t="s">
        <v>782</v>
      </c>
      <c r="AY130" s="15" t="s">
        <v>783</v>
      </c>
      <c r="AZ130" s="15" t="s">
        <v>784</v>
      </c>
    </row>
    <row r="131">
      <c r="B131" s="8" t="s">
        <v>102</v>
      </c>
      <c r="C131" s="8" t="s">
        <v>785</v>
      </c>
      <c r="D131" s="9" t="str">
        <f t="shared" si="1"/>
        <v/>
      </c>
      <c r="E131" s="10">
        <v>62.0</v>
      </c>
      <c r="F131" s="10">
        <v>10.0</v>
      </c>
      <c r="G131" s="10">
        <v>120.0</v>
      </c>
      <c r="H131" s="10" t="b">
        <v>1</v>
      </c>
      <c r="I131" s="10" t="s">
        <v>86</v>
      </c>
      <c r="J131" s="10">
        <v>1.0</v>
      </c>
      <c r="K131" s="10">
        <v>10.0</v>
      </c>
      <c r="L131" s="11">
        <v>0.9</v>
      </c>
      <c r="M131" s="11">
        <v>0.9</v>
      </c>
      <c r="N131" s="11">
        <v>0.9</v>
      </c>
      <c r="O131" s="11"/>
      <c r="P131" s="11"/>
      <c r="Q131" s="10"/>
      <c r="R131" s="11"/>
      <c r="S131" s="11"/>
      <c r="T131" s="11"/>
      <c r="U131" s="11"/>
      <c r="V131" s="11"/>
      <c r="W131" s="11"/>
      <c r="X131" s="11"/>
      <c r="Y131" s="11"/>
      <c r="Z131" s="12"/>
      <c r="AA131" s="12"/>
      <c r="AB131" s="12"/>
      <c r="AC131" s="10"/>
      <c r="AD131" s="10"/>
      <c r="AE131" s="10"/>
      <c r="AF131" s="10"/>
      <c r="AG131" s="10"/>
      <c r="AH131" s="10"/>
      <c r="AI131" s="13"/>
      <c r="AJ131" s="13"/>
      <c r="AK131" s="13"/>
      <c r="AL131" s="13"/>
      <c r="AM131" s="13"/>
      <c r="AN131" s="13"/>
      <c r="AO131" s="13"/>
      <c r="AP131" s="13"/>
      <c r="AQ131" s="13"/>
      <c r="AR131" s="13"/>
      <c r="AS131" s="13"/>
      <c r="AT131" s="13"/>
      <c r="AU131" s="22" t="s">
        <v>786</v>
      </c>
      <c r="AV131" s="8" t="s">
        <v>787</v>
      </c>
      <c r="AW131" s="8" t="s">
        <v>788</v>
      </c>
      <c r="AX131" s="8" t="s">
        <v>789</v>
      </c>
      <c r="AY131" s="8" t="s">
        <v>787</v>
      </c>
      <c r="AZ131" s="8" t="s">
        <v>790</v>
      </c>
    </row>
    <row r="132">
      <c r="B132" s="15" t="s">
        <v>118</v>
      </c>
      <c r="C132" s="15" t="s">
        <v>119</v>
      </c>
      <c r="D132" s="16" t="str">
        <f t="shared" si="1"/>
        <v/>
      </c>
      <c r="E132" s="17">
        <v>62.0</v>
      </c>
      <c r="F132" s="17">
        <v>15.0</v>
      </c>
      <c r="G132" s="17">
        <v>120.0</v>
      </c>
      <c r="H132" s="17" t="b">
        <v>1</v>
      </c>
      <c r="I132" s="17" t="s">
        <v>51</v>
      </c>
      <c r="J132" s="17">
        <v>1.0</v>
      </c>
      <c r="K132" s="17">
        <v>15.0</v>
      </c>
      <c r="L132" s="18">
        <v>0.9</v>
      </c>
      <c r="M132" s="18">
        <v>0.9</v>
      </c>
      <c r="N132" s="18">
        <v>0.9</v>
      </c>
      <c r="O132" s="18"/>
      <c r="P132" s="18"/>
      <c r="Q132" s="17"/>
      <c r="R132" s="18"/>
      <c r="S132" s="18"/>
      <c r="T132" s="18"/>
      <c r="U132" s="18"/>
      <c r="V132" s="18"/>
      <c r="W132" s="18"/>
      <c r="X132" s="18"/>
      <c r="Y132" s="18"/>
      <c r="Z132" s="19"/>
      <c r="AA132" s="19"/>
      <c r="AB132" s="19"/>
      <c r="AC132" s="17"/>
      <c r="AD132" s="17"/>
      <c r="AE132" s="17"/>
      <c r="AF132" s="17"/>
      <c r="AG132" s="17"/>
      <c r="AH132" s="17"/>
      <c r="AI132" s="20"/>
      <c r="AJ132" s="20"/>
      <c r="AK132" s="20"/>
      <c r="AL132" s="20"/>
      <c r="AM132" s="20"/>
      <c r="AN132" s="20"/>
      <c r="AO132" s="20"/>
      <c r="AP132" s="20"/>
      <c r="AQ132" s="20"/>
      <c r="AR132" s="20"/>
      <c r="AS132" s="20"/>
      <c r="AT132" s="20"/>
      <c r="AU132" s="25" t="s">
        <v>120</v>
      </c>
      <c r="AV132" s="15" t="s">
        <v>121</v>
      </c>
      <c r="AW132" s="15" t="s">
        <v>121</v>
      </c>
      <c r="AX132" s="15" t="s">
        <v>121</v>
      </c>
      <c r="AY132" s="15" t="s">
        <v>122</v>
      </c>
      <c r="AZ132" s="15" t="s">
        <v>123</v>
      </c>
    </row>
    <row r="133">
      <c r="B133" s="8" t="s">
        <v>60</v>
      </c>
      <c r="C133" s="8" t="s">
        <v>791</v>
      </c>
      <c r="D133" s="9" t="str">
        <f t="shared" si="1"/>
        <v/>
      </c>
      <c r="E133" s="10">
        <v>62.0</v>
      </c>
      <c r="F133" s="10">
        <v>15.0</v>
      </c>
      <c r="G133" s="10">
        <v>45.0</v>
      </c>
      <c r="H133" s="10" t="b">
        <v>1</v>
      </c>
      <c r="I133" s="10" t="s">
        <v>56</v>
      </c>
      <c r="J133" s="10">
        <v>1.0</v>
      </c>
      <c r="K133" s="10">
        <v>15.0</v>
      </c>
      <c r="L133" s="11">
        <v>0.9</v>
      </c>
      <c r="M133" s="11">
        <v>0.9</v>
      </c>
      <c r="N133" s="11">
        <v>0.9</v>
      </c>
      <c r="O133" s="11"/>
      <c r="P133" s="11"/>
      <c r="Q133" s="10"/>
      <c r="R133" s="11"/>
      <c r="S133" s="11"/>
      <c r="T133" s="11"/>
      <c r="U133" s="11"/>
      <c r="V133" s="11"/>
      <c r="W133" s="11"/>
      <c r="X133" s="11"/>
      <c r="Y133" s="11"/>
      <c r="Z133" s="12"/>
      <c r="AA133" s="12"/>
      <c r="AB133" s="12"/>
      <c r="AC133" s="26"/>
      <c r="AD133" s="26"/>
      <c r="AE133" s="26"/>
      <c r="AF133" s="26"/>
      <c r="AG133" s="26"/>
      <c r="AH133" s="10"/>
      <c r="AI133" s="10"/>
      <c r="AJ133" s="10"/>
      <c r="AK133" s="10">
        <v>700.0</v>
      </c>
      <c r="AL133" s="10"/>
      <c r="AM133" s="13"/>
      <c r="AN133" s="13"/>
      <c r="AO133" s="13"/>
      <c r="AP133" s="13"/>
      <c r="AQ133" s="13"/>
      <c r="AR133" s="13"/>
      <c r="AS133" s="13"/>
      <c r="AT133" s="13"/>
      <c r="AU133" s="22" t="s">
        <v>792</v>
      </c>
      <c r="AV133" s="8" t="s">
        <v>793</v>
      </c>
      <c r="AW133" s="8" t="s">
        <v>793</v>
      </c>
      <c r="AX133" s="8" t="s">
        <v>793</v>
      </c>
      <c r="AY133" s="8" t="s">
        <v>794</v>
      </c>
      <c r="AZ133" s="8" t="s">
        <v>795</v>
      </c>
    </row>
    <row r="134">
      <c r="B134" s="15" t="s">
        <v>65</v>
      </c>
      <c r="C134" s="15" t="s">
        <v>796</v>
      </c>
      <c r="D134" s="16" t="str">
        <f t="shared" si="1"/>
        <v/>
      </c>
      <c r="E134" s="17">
        <v>62.0</v>
      </c>
      <c r="F134" s="17">
        <v>0.0</v>
      </c>
      <c r="G134" s="17">
        <v>60.0</v>
      </c>
      <c r="H134" s="17" t="b">
        <v>1</v>
      </c>
      <c r="I134" s="17" t="s">
        <v>51</v>
      </c>
      <c r="J134" s="17">
        <v>1.0</v>
      </c>
      <c r="K134" s="17"/>
      <c r="L134" s="18"/>
      <c r="M134" s="18"/>
      <c r="N134" s="18"/>
      <c r="O134" s="18"/>
      <c r="P134" s="18"/>
      <c r="Q134" s="17"/>
      <c r="R134" s="18"/>
      <c r="S134" s="18"/>
      <c r="T134" s="18"/>
      <c r="U134" s="18"/>
      <c r="V134" s="18"/>
      <c r="W134" s="18"/>
      <c r="X134" s="18"/>
      <c r="Y134" s="18"/>
      <c r="Z134" s="19"/>
      <c r="AA134" s="19"/>
      <c r="AB134" s="19"/>
      <c r="AC134" s="24"/>
      <c r="AD134" s="24"/>
      <c r="AE134" s="24"/>
      <c r="AF134" s="24"/>
      <c r="AG134" s="24"/>
      <c r="AH134" s="20"/>
      <c r="AI134" s="17"/>
      <c r="AJ134" s="17"/>
      <c r="AK134" s="17">
        <v>720.0</v>
      </c>
      <c r="AL134" s="17"/>
      <c r="AM134" s="20"/>
      <c r="AN134" s="20"/>
      <c r="AO134" s="20"/>
      <c r="AP134" s="20"/>
      <c r="AQ134" s="20"/>
      <c r="AR134" s="20"/>
      <c r="AS134" s="20"/>
      <c r="AT134" s="20"/>
      <c r="AU134" s="25" t="s">
        <v>797</v>
      </c>
      <c r="AV134" s="15" t="s">
        <v>798</v>
      </c>
      <c r="AW134" s="15" t="s">
        <v>799</v>
      </c>
      <c r="AX134" s="15" t="s">
        <v>800</v>
      </c>
      <c r="AY134" s="15" t="s">
        <v>801</v>
      </c>
      <c r="AZ134" s="15" t="s">
        <v>802</v>
      </c>
    </row>
    <row r="135">
      <c r="B135" s="8" t="s">
        <v>65</v>
      </c>
      <c r="C135" s="8" t="s">
        <v>803</v>
      </c>
      <c r="D135" s="9" t="str">
        <f t="shared" si="1"/>
        <v/>
      </c>
      <c r="E135" s="10">
        <v>62.0</v>
      </c>
      <c r="F135" s="10">
        <v>0.0</v>
      </c>
      <c r="G135" s="10">
        <v>60.0</v>
      </c>
      <c r="H135" s="10" t="b">
        <v>1</v>
      </c>
      <c r="I135" s="10" t="s">
        <v>51</v>
      </c>
      <c r="J135" s="10">
        <v>1.0</v>
      </c>
      <c r="K135" s="10"/>
      <c r="L135" s="11"/>
      <c r="M135" s="11"/>
      <c r="N135" s="11"/>
      <c r="O135" s="11"/>
      <c r="P135" s="11"/>
      <c r="Q135" s="10"/>
      <c r="R135" s="11"/>
      <c r="S135" s="11"/>
      <c r="T135" s="11"/>
      <c r="U135" s="11"/>
      <c r="V135" s="11"/>
      <c r="W135" s="11"/>
      <c r="X135" s="11"/>
      <c r="Y135" s="11"/>
      <c r="Z135" s="12"/>
      <c r="AA135" s="12"/>
      <c r="AB135" s="12"/>
      <c r="AC135" s="26"/>
      <c r="AD135" s="26"/>
      <c r="AE135" s="26"/>
      <c r="AF135" s="26"/>
      <c r="AG135" s="26"/>
      <c r="AH135" s="47"/>
      <c r="AI135" s="10"/>
      <c r="AJ135" s="10"/>
      <c r="AK135" s="10">
        <v>540.0</v>
      </c>
      <c r="AL135" s="10"/>
      <c r="AM135" s="13"/>
      <c r="AN135" s="13"/>
      <c r="AO135" s="13"/>
      <c r="AP135" s="13"/>
      <c r="AQ135" s="13"/>
      <c r="AR135" s="13"/>
      <c r="AS135" s="13"/>
      <c r="AT135" s="13"/>
      <c r="AU135" s="22" t="s">
        <v>804</v>
      </c>
      <c r="AV135" s="8" t="s">
        <v>805</v>
      </c>
      <c r="AW135" s="8" t="s">
        <v>806</v>
      </c>
      <c r="AX135" s="8" t="s">
        <v>807</v>
      </c>
      <c r="AY135" s="8" t="s">
        <v>808</v>
      </c>
      <c r="AZ135" s="8" t="s">
        <v>809</v>
      </c>
    </row>
    <row r="136">
      <c r="B136" s="15" t="s">
        <v>43</v>
      </c>
      <c r="C136" s="15" t="s">
        <v>810</v>
      </c>
      <c r="D136" s="16" t="str">
        <f t="shared" si="1"/>
        <v/>
      </c>
      <c r="E136" s="17">
        <v>60.0</v>
      </c>
      <c r="F136" s="17">
        <v>30.0</v>
      </c>
      <c r="G136" s="17">
        <v>180.0</v>
      </c>
      <c r="H136" s="17" t="b">
        <v>1</v>
      </c>
      <c r="I136" s="17" t="s">
        <v>45</v>
      </c>
      <c r="J136" s="17">
        <v>1.0</v>
      </c>
      <c r="K136" s="17"/>
      <c r="L136" s="18"/>
      <c r="M136" s="18"/>
      <c r="N136" s="18"/>
      <c r="O136" s="18"/>
      <c r="P136" s="18"/>
      <c r="Q136" s="17"/>
      <c r="R136" s="18"/>
      <c r="S136" s="18"/>
      <c r="T136" s="18"/>
      <c r="U136" s="18"/>
      <c r="V136" s="18"/>
      <c r="W136" s="18"/>
      <c r="X136" s="18"/>
      <c r="Y136" s="18"/>
      <c r="Z136" s="19"/>
      <c r="AA136" s="19"/>
      <c r="AB136" s="19"/>
      <c r="AC136" s="17"/>
      <c r="AD136" s="17"/>
      <c r="AE136" s="17" t="s">
        <v>62</v>
      </c>
      <c r="AF136" s="17">
        <v>30.0</v>
      </c>
      <c r="AG136" s="24"/>
      <c r="AH136" s="17">
        <v>1.2</v>
      </c>
      <c r="AI136" s="17"/>
      <c r="AJ136" s="17"/>
      <c r="AK136" s="17"/>
      <c r="AL136" s="17"/>
      <c r="AM136" s="17"/>
      <c r="AN136" s="17"/>
      <c r="AO136" s="20"/>
      <c r="AP136" s="20"/>
      <c r="AQ136" s="20"/>
      <c r="AR136" s="20"/>
      <c r="AS136" s="20"/>
      <c r="AT136" s="20"/>
      <c r="AU136" s="25" t="s">
        <v>811</v>
      </c>
      <c r="AV136" s="15" t="s">
        <v>812</v>
      </c>
      <c r="AW136" s="15" t="s">
        <v>812</v>
      </c>
      <c r="AX136" s="15" t="s">
        <v>812</v>
      </c>
      <c r="AY136" s="15" t="s">
        <v>813</v>
      </c>
      <c r="AZ136" s="15" t="s">
        <v>814</v>
      </c>
    </row>
    <row r="137">
      <c r="B137" s="8" t="s">
        <v>60</v>
      </c>
      <c r="C137" s="8" t="s">
        <v>124</v>
      </c>
      <c r="D137" s="9" t="str">
        <f t="shared" si="1"/>
        <v/>
      </c>
      <c r="E137" s="10">
        <v>60.0</v>
      </c>
      <c r="F137" s="10">
        <v>10.0</v>
      </c>
      <c r="G137" s="10">
        <v>60.0</v>
      </c>
      <c r="H137" s="10" t="b">
        <v>1</v>
      </c>
      <c r="I137" s="10" t="s">
        <v>51</v>
      </c>
      <c r="J137" s="10">
        <v>1.0</v>
      </c>
      <c r="K137" s="10"/>
      <c r="L137" s="11"/>
      <c r="M137" s="11"/>
      <c r="N137" s="11"/>
      <c r="O137" s="11"/>
      <c r="P137" s="11"/>
      <c r="Q137" s="10"/>
      <c r="R137" s="11"/>
      <c r="S137" s="11"/>
      <c r="T137" s="11"/>
      <c r="U137" s="11"/>
      <c r="V137" s="11"/>
      <c r="W137" s="11"/>
      <c r="X137" s="11"/>
      <c r="Y137" s="11"/>
      <c r="Z137" s="12"/>
      <c r="AA137" s="12"/>
      <c r="AB137" s="12"/>
      <c r="AC137" s="26"/>
      <c r="AD137" s="26"/>
      <c r="AE137" s="26" t="s">
        <v>125</v>
      </c>
      <c r="AF137" s="26">
        <v>10.0</v>
      </c>
      <c r="AG137" s="26"/>
      <c r="AH137" s="10">
        <v>1.1</v>
      </c>
      <c r="AI137" s="10"/>
      <c r="AJ137" s="10"/>
      <c r="AK137" s="10"/>
      <c r="AL137" s="10"/>
      <c r="AM137" s="10">
        <v>15.0</v>
      </c>
      <c r="AN137" s="10">
        <v>130.0</v>
      </c>
      <c r="AO137" s="13"/>
      <c r="AP137" s="13"/>
      <c r="AQ137" s="10"/>
      <c r="AR137" s="10"/>
      <c r="AS137" s="10"/>
      <c r="AT137" s="10"/>
      <c r="AU137" s="22" t="s">
        <v>126</v>
      </c>
      <c r="AV137" s="8" t="s">
        <v>127</v>
      </c>
      <c r="AW137" s="8" t="s">
        <v>127</v>
      </c>
      <c r="AX137" s="8" t="s">
        <v>127</v>
      </c>
      <c r="AY137" s="8" t="s">
        <v>128</v>
      </c>
      <c r="AZ137" s="8" t="s">
        <v>129</v>
      </c>
    </row>
    <row r="138">
      <c r="B138" s="15" t="s">
        <v>65</v>
      </c>
      <c r="C138" s="15" t="s">
        <v>815</v>
      </c>
      <c r="D138" s="16" t="str">
        <f t="shared" si="1"/>
        <v/>
      </c>
      <c r="E138" s="17">
        <v>60.0</v>
      </c>
      <c r="F138" s="17">
        <v>15.0</v>
      </c>
      <c r="G138" s="17">
        <v>60.0</v>
      </c>
      <c r="H138" s="17" t="b">
        <v>1</v>
      </c>
      <c r="I138" s="17" t="s">
        <v>51</v>
      </c>
      <c r="J138" s="17">
        <v>1.0</v>
      </c>
      <c r="K138" s="17"/>
      <c r="L138" s="18"/>
      <c r="M138" s="18"/>
      <c r="N138" s="18"/>
      <c r="O138" s="18"/>
      <c r="P138" s="18"/>
      <c r="Q138" s="17"/>
      <c r="R138" s="18"/>
      <c r="S138" s="18"/>
      <c r="T138" s="18"/>
      <c r="U138" s="18"/>
      <c r="V138" s="18"/>
      <c r="W138" s="18"/>
      <c r="X138" s="18"/>
      <c r="Y138" s="18"/>
      <c r="Z138" s="19"/>
      <c r="AA138" s="19"/>
      <c r="AB138" s="19"/>
      <c r="AC138" s="24"/>
      <c r="AD138" s="24"/>
      <c r="AE138" s="24"/>
      <c r="AF138" s="24"/>
      <c r="AG138" s="24"/>
      <c r="AH138" s="20"/>
      <c r="AI138" s="17"/>
      <c r="AJ138" s="17"/>
      <c r="AK138" s="17">
        <v>200.0</v>
      </c>
      <c r="AL138" s="17"/>
      <c r="AM138" s="17">
        <v>15.0</v>
      </c>
      <c r="AN138" s="17">
        <v>100.0</v>
      </c>
      <c r="AO138" s="20"/>
      <c r="AP138" s="20"/>
      <c r="AQ138" s="20"/>
      <c r="AR138" s="20"/>
      <c r="AS138" s="20"/>
      <c r="AT138" s="20"/>
      <c r="AU138" s="25" t="s">
        <v>816</v>
      </c>
      <c r="AV138" s="15" t="s">
        <v>817</v>
      </c>
      <c r="AW138" s="15" t="s">
        <v>818</v>
      </c>
      <c r="AX138" s="15" t="s">
        <v>819</v>
      </c>
      <c r="AY138" s="15" t="s">
        <v>820</v>
      </c>
      <c r="AZ138" s="15" t="s">
        <v>821</v>
      </c>
    </row>
    <row r="139">
      <c r="B139" s="8" t="s">
        <v>72</v>
      </c>
      <c r="C139" s="8" t="s">
        <v>143</v>
      </c>
      <c r="D139" s="9" t="str">
        <f t="shared" si="1"/>
        <v/>
      </c>
      <c r="E139" s="10">
        <v>60.0</v>
      </c>
      <c r="F139" s="10">
        <v>0.0</v>
      </c>
      <c r="G139" s="10">
        <v>60.0</v>
      </c>
      <c r="H139" s="10" t="b">
        <v>1</v>
      </c>
      <c r="I139" s="10" t="s">
        <v>56</v>
      </c>
      <c r="J139" s="10">
        <v>1.0</v>
      </c>
      <c r="K139" s="13"/>
      <c r="L139" s="11"/>
      <c r="M139" s="11"/>
      <c r="N139" s="11"/>
      <c r="O139" s="11"/>
      <c r="P139" s="11"/>
      <c r="Q139" s="10"/>
      <c r="R139" s="11"/>
      <c r="S139" s="11"/>
      <c r="T139" s="11"/>
      <c r="U139" s="11"/>
      <c r="V139" s="11"/>
      <c r="W139" s="11"/>
      <c r="X139" s="11"/>
      <c r="Y139" s="11"/>
      <c r="Z139" s="12"/>
      <c r="AA139" s="12"/>
      <c r="AB139" s="12"/>
      <c r="AC139" s="26"/>
      <c r="AD139" s="26"/>
      <c r="AE139" s="26"/>
      <c r="AF139" s="26"/>
      <c r="AG139" s="26"/>
      <c r="AH139" s="13"/>
      <c r="AI139" s="10"/>
      <c r="AJ139" s="10"/>
      <c r="AK139" s="10">
        <v>700.0</v>
      </c>
      <c r="AL139" s="10"/>
      <c r="AM139" s="13"/>
      <c r="AN139" s="13"/>
      <c r="AO139" s="13"/>
      <c r="AP139" s="13"/>
      <c r="AQ139" s="13"/>
      <c r="AR139" s="13"/>
      <c r="AS139" s="13"/>
      <c r="AT139" s="13"/>
      <c r="AU139" s="22" t="s">
        <v>144</v>
      </c>
      <c r="AV139" s="8" t="s">
        <v>145</v>
      </c>
      <c r="AW139" s="8" t="s">
        <v>145</v>
      </c>
      <c r="AX139" s="8" t="s">
        <v>146</v>
      </c>
      <c r="AY139" s="8" t="s">
        <v>147</v>
      </c>
      <c r="AZ139" s="8" t="s">
        <v>148</v>
      </c>
    </row>
    <row r="140">
      <c r="B140" s="15" t="s">
        <v>60</v>
      </c>
      <c r="C140" s="15" t="s">
        <v>822</v>
      </c>
      <c r="D140" s="16" t="str">
        <f t="shared" si="1"/>
        <v/>
      </c>
      <c r="E140" s="17">
        <v>58.0</v>
      </c>
      <c r="F140" s="17">
        <v>0.0</v>
      </c>
      <c r="G140" s="17">
        <v>30.0</v>
      </c>
      <c r="H140" s="17" t="b">
        <v>1</v>
      </c>
      <c r="I140" s="17" t="s">
        <v>51</v>
      </c>
      <c r="J140" s="17">
        <v>1.0</v>
      </c>
      <c r="K140" s="20"/>
      <c r="L140" s="18"/>
      <c r="M140" s="18"/>
      <c r="N140" s="18"/>
      <c r="O140" s="18"/>
      <c r="P140" s="18"/>
      <c r="Q140" s="17"/>
      <c r="R140" s="18"/>
      <c r="S140" s="18"/>
      <c r="T140" s="18"/>
      <c r="U140" s="18"/>
      <c r="V140" s="18"/>
      <c r="W140" s="18"/>
      <c r="X140" s="18"/>
      <c r="Y140" s="18"/>
      <c r="Z140" s="19"/>
      <c r="AA140" s="19"/>
      <c r="AB140" s="19"/>
      <c r="AC140" s="24"/>
      <c r="AD140" s="24"/>
      <c r="AE140" s="24"/>
      <c r="AF140" s="24"/>
      <c r="AG140" s="24"/>
      <c r="AH140" s="20"/>
      <c r="AI140" s="17"/>
      <c r="AJ140" s="17"/>
      <c r="AK140" s="17">
        <v>450.0</v>
      </c>
      <c r="AL140" s="17"/>
      <c r="AM140" s="20"/>
      <c r="AN140" s="20"/>
      <c r="AO140" s="20"/>
      <c r="AP140" s="20"/>
      <c r="AQ140" s="20"/>
      <c r="AR140" s="20"/>
      <c r="AS140" s="20"/>
      <c r="AT140" s="20"/>
      <c r="AU140" s="25" t="s">
        <v>823</v>
      </c>
      <c r="AV140" s="15" t="s">
        <v>824</v>
      </c>
      <c r="AW140" s="15" t="s">
        <v>825</v>
      </c>
      <c r="AX140" s="15" t="s">
        <v>826</v>
      </c>
      <c r="AY140" s="15" t="s">
        <v>827</v>
      </c>
      <c r="AZ140" s="15" t="s">
        <v>828</v>
      </c>
    </row>
    <row r="141">
      <c r="B141" s="8" t="s">
        <v>60</v>
      </c>
      <c r="C141" s="8" t="s">
        <v>829</v>
      </c>
      <c r="D141" s="9" t="str">
        <f t="shared" si="1"/>
        <v/>
      </c>
      <c r="E141" s="10">
        <v>58.0</v>
      </c>
      <c r="F141" s="10">
        <v>0.0</v>
      </c>
      <c r="G141" s="10">
        <v>30.0</v>
      </c>
      <c r="H141" s="10" t="b">
        <v>1</v>
      </c>
      <c r="I141" s="10" t="s">
        <v>51</v>
      </c>
      <c r="J141" s="10">
        <v>1.0</v>
      </c>
      <c r="K141" s="13"/>
      <c r="L141" s="11"/>
      <c r="M141" s="11"/>
      <c r="N141" s="11"/>
      <c r="O141" s="11"/>
      <c r="P141" s="11"/>
      <c r="Q141" s="10"/>
      <c r="R141" s="11"/>
      <c r="S141" s="11"/>
      <c r="T141" s="11"/>
      <c r="U141" s="11"/>
      <c r="V141" s="11"/>
      <c r="W141" s="11"/>
      <c r="X141" s="11"/>
      <c r="Y141" s="11"/>
      <c r="Z141" s="12"/>
      <c r="AA141" s="12"/>
      <c r="AB141" s="12"/>
      <c r="AC141" s="26"/>
      <c r="AD141" s="26"/>
      <c r="AE141" s="26"/>
      <c r="AF141" s="26"/>
      <c r="AG141" s="26"/>
      <c r="AH141" s="13"/>
      <c r="AI141" s="10"/>
      <c r="AJ141" s="10"/>
      <c r="AK141" s="10">
        <v>350.0</v>
      </c>
      <c r="AL141" s="10"/>
      <c r="AM141" s="13"/>
      <c r="AN141" s="13"/>
      <c r="AO141" s="13"/>
      <c r="AP141" s="13"/>
      <c r="AQ141" s="13"/>
      <c r="AR141" s="13"/>
      <c r="AS141" s="13"/>
      <c r="AT141" s="13"/>
      <c r="AU141" s="22" t="s">
        <v>823</v>
      </c>
      <c r="AV141" s="8" t="s">
        <v>830</v>
      </c>
      <c r="AW141" s="8" t="s">
        <v>831</v>
      </c>
      <c r="AX141" s="8" t="s">
        <v>832</v>
      </c>
      <c r="AY141" s="8" t="s">
        <v>833</v>
      </c>
      <c r="AZ141" s="8" t="s">
        <v>834</v>
      </c>
    </row>
    <row r="142">
      <c r="B142" s="15" t="s">
        <v>65</v>
      </c>
      <c r="C142" s="15" t="s">
        <v>835</v>
      </c>
      <c r="D142" s="16" t="str">
        <f t="shared" si="1"/>
        <v/>
      </c>
      <c r="E142" s="17">
        <v>58.0</v>
      </c>
      <c r="F142" s="17">
        <v>5.0</v>
      </c>
      <c r="G142" s="17">
        <v>60.0</v>
      </c>
      <c r="H142" s="17" t="b">
        <v>1</v>
      </c>
      <c r="I142" s="17" t="s">
        <v>51</v>
      </c>
      <c r="J142" s="17">
        <v>1.0</v>
      </c>
      <c r="K142" s="17">
        <v>5.0</v>
      </c>
      <c r="L142" s="18">
        <v>0.9</v>
      </c>
      <c r="M142" s="18">
        <v>0.9</v>
      </c>
      <c r="N142" s="18">
        <v>0.9</v>
      </c>
      <c r="O142" s="18"/>
      <c r="P142" s="18"/>
      <c r="Q142" s="17"/>
      <c r="R142" s="18"/>
      <c r="S142" s="18"/>
      <c r="T142" s="18"/>
      <c r="U142" s="18"/>
      <c r="V142" s="18"/>
      <c r="W142" s="18"/>
      <c r="X142" s="18"/>
      <c r="Y142" s="18"/>
      <c r="Z142" s="19"/>
      <c r="AA142" s="19"/>
      <c r="AB142" s="19"/>
      <c r="AC142" s="24"/>
      <c r="AD142" s="24"/>
      <c r="AE142" s="24"/>
      <c r="AF142" s="24"/>
      <c r="AG142" s="24"/>
      <c r="AH142" s="17"/>
      <c r="AI142" s="17"/>
      <c r="AJ142" s="17"/>
      <c r="AK142" s="20"/>
      <c r="AL142" s="20"/>
      <c r="AM142" s="17">
        <v>15.0</v>
      </c>
      <c r="AN142" s="17">
        <v>100.0</v>
      </c>
      <c r="AO142" s="20"/>
      <c r="AP142" s="20"/>
      <c r="AQ142" s="20"/>
      <c r="AR142" s="20"/>
      <c r="AS142" s="20"/>
      <c r="AT142" s="20"/>
      <c r="AU142" s="25" t="s">
        <v>836</v>
      </c>
      <c r="AV142" s="15" t="s">
        <v>837</v>
      </c>
      <c r="AW142" s="15" t="s">
        <v>838</v>
      </c>
      <c r="AX142" s="15" t="s">
        <v>839</v>
      </c>
      <c r="AY142" s="15" t="s">
        <v>840</v>
      </c>
      <c r="AZ142" s="15" t="s">
        <v>841</v>
      </c>
    </row>
    <row r="143">
      <c r="B143" s="8" t="s">
        <v>198</v>
      </c>
      <c r="C143" s="8" t="s">
        <v>465</v>
      </c>
      <c r="D143" s="9" t="str">
        <f t="shared" si="1"/>
        <v/>
      </c>
      <c r="E143" s="10">
        <v>58.0</v>
      </c>
      <c r="F143" s="10">
        <v>0.0</v>
      </c>
      <c r="G143" s="10">
        <v>60.0</v>
      </c>
      <c r="H143" s="10" t="b">
        <v>1</v>
      </c>
      <c r="I143" s="10" t="s">
        <v>45</v>
      </c>
      <c r="J143" s="10">
        <v>1.0</v>
      </c>
      <c r="K143" s="47"/>
      <c r="L143" s="11"/>
      <c r="M143" s="11"/>
      <c r="N143" s="11"/>
      <c r="O143" s="11"/>
      <c r="P143" s="11"/>
      <c r="Q143" s="10"/>
      <c r="R143" s="11"/>
      <c r="S143" s="11"/>
      <c r="T143" s="11"/>
      <c r="U143" s="11"/>
      <c r="V143" s="11"/>
      <c r="W143" s="11"/>
      <c r="X143" s="11"/>
      <c r="Y143" s="11"/>
      <c r="Z143" s="12"/>
      <c r="AA143" s="12"/>
      <c r="AB143" s="12"/>
      <c r="AC143" s="38"/>
      <c r="AD143" s="38"/>
      <c r="AE143" s="38"/>
      <c r="AF143" s="38"/>
      <c r="AG143" s="38"/>
      <c r="AH143" s="38"/>
      <c r="AI143" s="39"/>
      <c r="AJ143" s="39"/>
      <c r="AK143" s="46">
        <v>1200.0</v>
      </c>
      <c r="AL143" s="46"/>
      <c r="AM143" s="39"/>
      <c r="AN143" s="39"/>
      <c r="AO143" s="39"/>
      <c r="AP143" s="39"/>
      <c r="AQ143" s="39"/>
      <c r="AR143" s="39"/>
      <c r="AS143" s="39"/>
      <c r="AT143" s="39"/>
      <c r="AU143" s="22" t="s">
        <v>466</v>
      </c>
      <c r="AV143" s="8" t="s">
        <v>467</v>
      </c>
      <c r="AW143" s="8" t="s">
        <v>468</v>
      </c>
      <c r="AX143" s="8" t="s">
        <v>469</v>
      </c>
      <c r="AY143" s="8" t="s">
        <v>470</v>
      </c>
      <c r="AZ143" s="8" t="s">
        <v>471</v>
      </c>
    </row>
    <row r="144">
      <c r="B144" s="15" t="s">
        <v>186</v>
      </c>
      <c r="C144" s="15" t="s">
        <v>271</v>
      </c>
      <c r="D144" s="16" t="str">
        <f t="shared" si="1"/>
        <v/>
      </c>
      <c r="E144" s="17">
        <v>56.0</v>
      </c>
      <c r="F144" s="17">
        <v>30.0</v>
      </c>
      <c r="G144" s="58">
        <v>90.0</v>
      </c>
      <c r="H144" s="17" t="b">
        <v>1</v>
      </c>
      <c r="I144" s="17" t="s">
        <v>51</v>
      </c>
      <c r="J144" s="17">
        <v>1.0</v>
      </c>
      <c r="K144" s="58"/>
      <c r="L144" s="18"/>
      <c r="M144" s="18"/>
      <c r="N144" s="18"/>
      <c r="O144" s="18"/>
      <c r="P144" s="18"/>
      <c r="Q144" s="17"/>
      <c r="R144" s="18"/>
      <c r="S144" s="18"/>
      <c r="T144" s="18"/>
      <c r="U144" s="18"/>
      <c r="V144" s="18"/>
      <c r="W144" s="18"/>
      <c r="X144" s="18"/>
      <c r="Y144" s="18"/>
      <c r="Z144" s="19"/>
      <c r="AA144" s="19"/>
      <c r="AB144" s="19"/>
      <c r="AC144" s="24"/>
      <c r="AD144" s="24"/>
      <c r="AE144" s="24"/>
      <c r="AF144" s="24"/>
      <c r="AG144" s="24"/>
      <c r="AH144" s="24"/>
      <c r="AI144" s="58">
        <v>30.0</v>
      </c>
      <c r="AJ144" s="17">
        <v>0.1</v>
      </c>
      <c r="AK144" s="17"/>
      <c r="AL144" s="17"/>
      <c r="AM144" s="17"/>
      <c r="AN144" s="17"/>
      <c r="AO144" s="17"/>
      <c r="AP144" s="17"/>
      <c r="AQ144" s="17"/>
      <c r="AR144" s="17"/>
      <c r="AS144" s="17"/>
      <c r="AT144" s="17"/>
      <c r="AU144" s="25" t="s">
        <v>272</v>
      </c>
      <c r="AV144" s="15" t="s">
        <v>273</v>
      </c>
      <c r="AW144" s="15" t="s">
        <v>274</v>
      </c>
      <c r="AX144" s="15" t="s">
        <v>275</v>
      </c>
      <c r="AY144" s="15" t="s">
        <v>276</v>
      </c>
      <c r="AZ144" s="15" t="s">
        <v>277</v>
      </c>
    </row>
    <row r="145">
      <c r="B145" s="8" t="s">
        <v>43</v>
      </c>
      <c r="C145" s="8" t="s">
        <v>284</v>
      </c>
      <c r="D145" s="9" t="str">
        <f t="shared" si="1"/>
        <v/>
      </c>
      <c r="E145" s="10">
        <v>56.0</v>
      </c>
      <c r="F145" s="10">
        <v>0.0</v>
      </c>
      <c r="G145" s="10">
        <v>120.0</v>
      </c>
      <c r="H145" s="10" t="b">
        <v>1</v>
      </c>
      <c r="I145" s="10" t="s">
        <v>51</v>
      </c>
      <c r="J145" s="10">
        <v>1.0</v>
      </c>
      <c r="K145" s="10"/>
      <c r="L145" s="11"/>
      <c r="M145" s="11"/>
      <c r="N145" s="11"/>
      <c r="O145" s="11"/>
      <c r="P145" s="11"/>
      <c r="Q145" s="10"/>
      <c r="R145" s="11"/>
      <c r="S145" s="11"/>
      <c r="T145" s="11"/>
      <c r="U145" s="11"/>
      <c r="V145" s="11"/>
      <c r="W145" s="11"/>
      <c r="X145" s="11"/>
      <c r="Y145" s="11"/>
      <c r="Z145" s="12"/>
      <c r="AA145" s="12"/>
      <c r="AB145" s="12"/>
      <c r="AC145" s="26"/>
      <c r="AD145" s="26"/>
      <c r="AE145" s="26"/>
      <c r="AF145" s="26"/>
      <c r="AG145" s="26"/>
      <c r="AH145" s="13"/>
      <c r="AI145" s="10"/>
      <c r="AJ145" s="10"/>
      <c r="AK145" s="13"/>
      <c r="AL145" s="13"/>
      <c r="AM145" s="10"/>
      <c r="AN145" s="10"/>
      <c r="AO145" s="10"/>
      <c r="AP145" s="10"/>
      <c r="AQ145" s="13"/>
      <c r="AR145" s="13"/>
      <c r="AS145" s="13"/>
      <c r="AT145" s="13"/>
      <c r="AU145" s="22" t="s">
        <v>285</v>
      </c>
      <c r="AV145" s="8" t="s">
        <v>286</v>
      </c>
      <c r="AW145" s="8" t="s">
        <v>287</v>
      </c>
      <c r="AX145" s="8" t="s">
        <v>288</v>
      </c>
      <c r="AY145" s="8" t="s">
        <v>289</v>
      </c>
      <c r="AZ145" s="8" t="s">
        <v>290</v>
      </c>
    </row>
    <row r="146">
      <c r="B146" s="15" t="s">
        <v>102</v>
      </c>
      <c r="C146" s="15" t="s">
        <v>103</v>
      </c>
      <c r="D146" s="16" t="str">
        <f t="shared" si="1"/>
        <v/>
      </c>
      <c r="E146" s="17">
        <v>56.0</v>
      </c>
      <c r="F146" s="17">
        <v>15.0</v>
      </c>
      <c r="G146" s="17">
        <v>120.0</v>
      </c>
      <c r="H146" s="17" t="b">
        <v>1</v>
      </c>
      <c r="I146" s="17" t="s">
        <v>51</v>
      </c>
      <c r="J146" s="17">
        <v>1.0</v>
      </c>
      <c r="K146" s="17">
        <v>15.0</v>
      </c>
      <c r="L146" s="18">
        <v>0.9</v>
      </c>
      <c r="M146" s="18">
        <v>0.9</v>
      </c>
      <c r="N146" s="18">
        <v>0.9</v>
      </c>
      <c r="O146" s="18"/>
      <c r="P146" s="18"/>
      <c r="Q146" s="17"/>
      <c r="R146" s="18"/>
      <c r="S146" s="18"/>
      <c r="T146" s="18"/>
      <c r="U146" s="18"/>
      <c r="V146" s="18"/>
      <c r="W146" s="18"/>
      <c r="X146" s="18"/>
      <c r="Y146" s="18"/>
      <c r="Z146" s="19"/>
      <c r="AA146" s="19"/>
      <c r="AB146" s="19"/>
      <c r="AC146" s="17"/>
      <c r="AD146" s="17"/>
      <c r="AE146" s="17"/>
      <c r="AF146" s="17"/>
      <c r="AG146" s="17"/>
      <c r="AH146" s="17"/>
      <c r="AI146" s="20"/>
      <c r="AJ146" s="20"/>
      <c r="AK146" s="20"/>
      <c r="AL146" s="20"/>
      <c r="AM146" s="20"/>
      <c r="AN146" s="20"/>
      <c r="AO146" s="20"/>
      <c r="AP146" s="20"/>
      <c r="AQ146" s="20"/>
      <c r="AR146" s="20"/>
      <c r="AS146" s="20"/>
      <c r="AT146" s="20"/>
      <c r="AU146" s="25" t="s">
        <v>104</v>
      </c>
      <c r="AV146" s="15" t="s">
        <v>105</v>
      </c>
      <c r="AW146" s="15" t="s">
        <v>106</v>
      </c>
      <c r="AX146" s="15" t="s">
        <v>107</v>
      </c>
      <c r="AY146" s="15" t="s">
        <v>108</v>
      </c>
      <c r="AZ146" s="15" t="s">
        <v>109</v>
      </c>
    </row>
    <row r="147">
      <c r="B147" s="8" t="s">
        <v>60</v>
      </c>
      <c r="C147" s="8" t="s">
        <v>291</v>
      </c>
      <c r="D147" s="9" t="str">
        <f t="shared" si="1"/>
        <v/>
      </c>
      <c r="E147" s="10">
        <v>56.0</v>
      </c>
      <c r="F147" s="10">
        <v>30.0</v>
      </c>
      <c r="G147" s="10">
        <v>120.0</v>
      </c>
      <c r="H147" s="10" t="b">
        <v>1</v>
      </c>
      <c r="I147" s="10" t="s">
        <v>45</v>
      </c>
      <c r="J147" s="10">
        <v>1.0</v>
      </c>
      <c r="K147" s="10"/>
      <c r="L147" s="11"/>
      <c r="M147" s="11"/>
      <c r="N147" s="11"/>
      <c r="O147" s="11"/>
      <c r="P147" s="11"/>
      <c r="Q147" s="10"/>
      <c r="R147" s="11"/>
      <c r="S147" s="11"/>
      <c r="T147" s="11"/>
      <c r="U147" s="11"/>
      <c r="V147" s="11"/>
      <c r="W147" s="11"/>
      <c r="X147" s="11"/>
      <c r="Y147" s="11"/>
      <c r="Z147" s="12"/>
      <c r="AA147" s="12"/>
      <c r="AB147" s="12"/>
      <c r="AC147" s="10"/>
      <c r="AD147" s="10"/>
      <c r="AE147" s="10" t="s">
        <v>62</v>
      </c>
      <c r="AF147" s="10">
        <v>30.0</v>
      </c>
      <c r="AG147" s="26"/>
      <c r="AH147" s="10">
        <v>1.5</v>
      </c>
      <c r="AI147" s="10"/>
      <c r="AJ147" s="10"/>
      <c r="AK147" s="13"/>
      <c r="AL147" s="13"/>
      <c r="AM147" s="10"/>
      <c r="AN147" s="10"/>
      <c r="AO147" s="13"/>
      <c r="AP147" s="13"/>
      <c r="AQ147" s="13"/>
      <c r="AR147" s="13"/>
      <c r="AS147" s="13"/>
      <c r="AT147" s="13"/>
      <c r="AU147" s="22" t="s">
        <v>292</v>
      </c>
      <c r="AV147" s="8" t="s">
        <v>293</v>
      </c>
      <c r="AW147" s="8" t="s">
        <v>293</v>
      </c>
      <c r="AX147" s="8" t="s">
        <v>293</v>
      </c>
      <c r="AY147" s="8" t="s">
        <v>294</v>
      </c>
      <c r="AZ147" s="8" t="s">
        <v>295</v>
      </c>
    </row>
    <row r="148">
      <c r="B148" s="15" t="s">
        <v>198</v>
      </c>
      <c r="C148" s="15" t="s">
        <v>842</v>
      </c>
      <c r="D148" s="16" t="str">
        <f t="shared" si="1"/>
        <v/>
      </c>
      <c r="E148" s="17">
        <v>56.0</v>
      </c>
      <c r="F148" s="17">
        <v>6.0</v>
      </c>
      <c r="G148" s="58">
        <v>25.0</v>
      </c>
      <c r="H148" s="17" t="b">
        <v>1</v>
      </c>
      <c r="I148" s="17" t="s">
        <v>45</v>
      </c>
      <c r="J148" s="17">
        <v>1.0</v>
      </c>
      <c r="K148" s="17">
        <v>6.0</v>
      </c>
      <c r="L148" s="18">
        <v>0.9</v>
      </c>
      <c r="M148" s="18">
        <v>0.9</v>
      </c>
      <c r="N148" s="18">
        <v>0.9</v>
      </c>
      <c r="O148" s="18"/>
      <c r="P148" s="18"/>
      <c r="Q148" s="17"/>
      <c r="R148" s="18"/>
      <c r="S148" s="18"/>
      <c r="T148" s="18"/>
      <c r="U148" s="18"/>
      <c r="V148" s="18"/>
      <c r="W148" s="18"/>
      <c r="X148" s="18"/>
      <c r="Y148" s="18"/>
      <c r="Z148" s="19"/>
      <c r="AA148" s="19"/>
      <c r="AB148" s="19"/>
      <c r="AC148" s="43"/>
      <c r="AD148" s="43"/>
      <c r="AE148" s="43"/>
      <c r="AF148" s="43"/>
      <c r="AG148" s="43"/>
      <c r="AH148" s="43"/>
      <c r="AI148" s="17"/>
      <c r="AJ148" s="17"/>
      <c r="AK148" s="45"/>
      <c r="AL148" s="44"/>
      <c r="AM148" s="44"/>
      <c r="AN148" s="44"/>
      <c r="AO148" s="44"/>
      <c r="AP148" s="44"/>
      <c r="AQ148" s="44"/>
      <c r="AR148" s="44"/>
      <c r="AS148" s="44"/>
      <c r="AT148" s="44"/>
      <c r="AU148" s="25" t="s">
        <v>843</v>
      </c>
      <c r="AV148" s="15" t="s">
        <v>844</v>
      </c>
      <c r="AW148" s="15" t="s">
        <v>845</v>
      </c>
      <c r="AX148" s="15" t="s">
        <v>846</v>
      </c>
      <c r="AY148" s="15" t="s">
        <v>847</v>
      </c>
      <c r="AZ148" s="15" t="s">
        <v>848</v>
      </c>
    </row>
    <row r="149">
      <c r="B149" s="8" t="s">
        <v>72</v>
      </c>
      <c r="C149" s="8" t="s">
        <v>849</v>
      </c>
      <c r="D149" s="9" t="str">
        <f t="shared" si="1"/>
        <v/>
      </c>
      <c r="E149" s="10">
        <v>56.0</v>
      </c>
      <c r="F149" s="10">
        <v>0.0</v>
      </c>
      <c r="G149" s="10">
        <v>40.0</v>
      </c>
      <c r="H149" s="10" t="b">
        <v>1</v>
      </c>
      <c r="I149" s="10" t="s">
        <v>51</v>
      </c>
      <c r="J149" s="10">
        <v>1.0</v>
      </c>
      <c r="K149" s="13"/>
      <c r="L149" s="11"/>
      <c r="M149" s="11"/>
      <c r="N149" s="11"/>
      <c r="O149" s="11"/>
      <c r="P149" s="11"/>
      <c r="Q149" s="10"/>
      <c r="R149" s="11"/>
      <c r="S149" s="11"/>
      <c r="T149" s="11"/>
      <c r="U149" s="11"/>
      <c r="V149" s="11"/>
      <c r="W149" s="11"/>
      <c r="X149" s="11"/>
      <c r="Y149" s="11"/>
      <c r="Z149" s="12"/>
      <c r="AA149" s="12"/>
      <c r="AB149" s="12"/>
      <c r="AC149" s="26"/>
      <c r="AD149" s="26"/>
      <c r="AE149" s="26"/>
      <c r="AF149" s="26"/>
      <c r="AG149" s="26"/>
      <c r="AH149" s="13"/>
      <c r="AI149" s="10"/>
      <c r="AJ149" s="10"/>
      <c r="AK149" s="10">
        <v>400.0</v>
      </c>
      <c r="AL149" s="10"/>
      <c r="AM149" s="13"/>
      <c r="AN149" s="13"/>
      <c r="AO149" s="13"/>
      <c r="AP149" s="13"/>
      <c r="AQ149" s="13"/>
      <c r="AR149" s="13"/>
      <c r="AS149" s="13"/>
      <c r="AT149" s="13"/>
      <c r="AU149" s="22" t="s">
        <v>850</v>
      </c>
      <c r="AV149" s="8" t="s">
        <v>851</v>
      </c>
      <c r="AW149" s="8" t="s">
        <v>852</v>
      </c>
      <c r="AX149" s="8" t="s">
        <v>853</v>
      </c>
      <c r="AY149" s="8" t="s">
        <v>854</v>
      </c>
      <c r="AZ149" s="8" t="s">
        <v>855</v>
      </c>
    </row>
    <row r="150">
      <c r="B150" s="15" t="s">
        <v>149</v>
      </c>
      <c r="C150" s="15" t="s">
        <v>150</v>
      </c>
      <c r="D150" s="16" t="str">
        <f t="shared" si="1"/>
        <v/>
      </c>
      <c r="E150" s="17">
        <v>56.0</v>
      </c>
      <c r="F150" s="17">
        <v>15.0</v>
      </c>
      <c r="G150" s="17">
        <v>120.0</v>
      </c>
      <c r="H150" s="17" t="b">
        <v>1</v>
      </c>
      <c r="I150" s="17" t="s">
        <v>51</v>
      </c>
      <c r="J150" s="17">
        <v>1.0</v>
      </c>
      <c r="K150" s="17">
        <v>15.0</v>
      </c>
      <c r="L150" s="18">
        <v>0.9</v>
      </c>
      <c r="M150" s="18">
        <v>0.9</v>
      </c>
      <c r="N150" s="18">
        <v>0.9</v>
      </c>
      <c r="O150" s="18"/>
      <c r="P150" s="18"/>
      <c r="Q150" s="17"/>
      <c r="R150" s="18"/>
      <c r="S150" s="18"/>
      <c r="T150" s="18"/>
      <c r="U150" s="18"/>
      <c r="V150" s="18"/>
      <c r="W150" s="18"/>
      <c r="X150" s="18"/>
      <c r="Y150" s="18"/>
      <c r="Z150" s="19"/>
      <c r="AA150" s="19"/>
      <c r="AB150" s="19"/>
      <c r="AC150" s="17"/>
      <c r="AD150" s="17"/>
      <c r="AE150" s="17"/>
      <c r="AF150" s="17"/>
      <c r="AG150" s="17"/>
      <c r="AH150" s="17"/>
      <c r="AI150" s="20"/>
      <c r="AJ150" s="20"/>
      <c r="AK150" s="20"/>
      <c r="AL150" s="20"/>
      <c r="AM150" s="20"/>
      <c r="AN150" s="20"/>
      <c r="AO150" s="20"/>
      <c r="AP150" s="20"/>
      <c r="AQ150" s="20"/>
      <c r="AR150" s="20"/>
      <c r="AS150" s="20"/>
      <c r="AT150" s="20"/>
      <c r="AU150" s="25" t="s">
        <v>151</v>
      </c>
      <c r="AV150" s="15" t="s">
        <v>152</v>
      </c>
      <c r="AW150" s="15" t="s">
        <v>153</v>
      </c>
      <c r="AX150" s="15" t="s">
        <v>154</v>
      </c>
      <c r="AY150" s="15" t="s">
        <v>155</v>
      </c>
      <c r="AZ150" s="15" t="s">
        <v>156</v>
      </c>
    </row>
    <row r="151">
      <c r="B151" s="8" t="s">
        <v>186</v>
      </c>
      <c r="C151" s="8" t="s">
        <v>856</v>
      </c>
      <c r="D151" s="9" t="str">
        <f t="shared" si="1"/>
        <v/>
      </c>
      <c r="E151" s="10">
        <v>52.0</v>
      </c>
      <c r="F151" s="10">
        <v>10.0</v>
      </c>
      <c r="G151" s="10">
        <v>90.0</v>
      </c>
      <c r="H151" s="10" t="b">
        <v>1</v>
      </c>
      <c r="I151" s="10" t="s">
        <v>45</v>
      </c>
      <c r="J151" s="10">
        <v>1.0</v>
      </c>
      <c r="K151" s="10">
        <v>10.0</v>
      </c>
      <c r="L151" s="11"/>
      <c r="M151" s="11"/>
      <c r="N151" s="11"/>
      <c r="O151" s="11">
        <v>0.2</v>
      </c>
      <c r="P151" s="11"/>
      <c r="Q151" s="10"/>
      <c r="R151" s="11"/>
      <c r="S151" s="11"/>
      <c r="T151" s="11"/>
      <c r="U151" s="11"/>
      <c r="V151" s="11"/>
      <c r="W151" s="11"/>
      <c r="X151" s="11"/>
      <c r="Y151" s="11"/>
      <c r="Z151" s="12"/>
      <c r="AA151" s="12"/>
      <c r="AB151" s="12"/>
      <c r="AC151" s="38"/>
      <c r="AD151" s="38"/>
      <c r="AE151" s="38"/>
      <c r="AF151" s="38"/>
      <c r="AG151" s="38"/>
      <c r="AH151" s="38"/>
      <c r="AI151" s="39"/>
      <c r="AJ151" s="39"/>
      <c r="AK151" s="39"/>
      <c r="AL151" s="39"/>
      <c r="AM151" s="39"/>
      <c r="AN151" s="39"/>
      <c r="AO151" s="39"/>
      <c r="AP151" s="39"/>
      <c r="AQ151" s="39"/>
      <c r="AR151" s="39"/>
      <c r="AS151" s="39"/>
      <c r="AT151" s="39"/>
      <c r="AU151" s="22" t="s">
        <v>857</v>
      </c>
      <c r="AV151" s="8" t="s">
        <v>858</v>
      </c>
      <c r="AW151" s="8" t="s">
        <v>859</v>
      </c>
      <c r="AX151" s="8" t="s">
        <v>860</v>
      </c>
      <c r="AY151" s="8" t="s">
        <v>858</v>
      </c>
      <c r="AZ151" s="8" t="s">
        <v>861</v>
      </c>
    </row>
    <row r="152">
      <c r="B152" s="15" t="s">
        <v>43</v>
      </c>
      <c r="C152" s="15" t="s">
        <v>862</v>
      </c>
      <c r="D152" s="16" t="str">
        <f t="shared" si="1"/>
        <v/>
      </c>
      <c r="E152" s="17">
        <v>52.0</v>
      </c>
      <c r="F152" s="17">
        <v>0.0</v>
      </c>
      <c r="G152" s="17">
        <v>30.0</v>
      </c>
      <c r="H152" s="17" t="b">
        <v>1</v>
      </c>
      <c r="I152" s="17" t="s">
        <v>51</v>
      </c>
      <c r="J152" s="17">
        <v>1.0</v>
      </c>
      <c r="K152" s="20"/>
      <c r="L152" s="18"/>
      <c r="M152" s="18"/>
      <c r="N152" s="18"/>
      <c r="O152" s="18"/>
      <c r="P152" s="18"/>
      <c r="Q152" s="17"/>
      <c r="R152" s="18"/>
      <c r="S152" s="18"/>
      <c r="T152" s="18"/>
      <c r="U152" s="18"/>
      <c r="V152" s="18"/>
      <c r="W152" s="18"/>
      <c r="X152" s="18"/>
      <c r="Y152" s="18"/>
      <c r="Z152" s="19"/>
      <c r="AA152" s="19"/>
      <c r="AB152" s="19"/>
      <c r="AC152" s="24"/>
      <c r="AD152" s="24"/>
      <c r="AE152" s="24"/>
      <c r="AF152" s="24"/>
      <c r="AG152" s="24"/>
      <c r="AH152" s="20"/>
      <c r="AI152" s="17"/>
      <c r="AJ152" s="17"/>
      <c r="AK152" s="17">
        <v>400.0</v>
      </c>
      <c r="AL152" s="17"/>
      <c r="AM152" s="20"/>
      <c r="AN152" s="20"/>
      <c r="AO152" s="20"/>
      <c r="AP152" s="20"/>
      <c r="AQ152" s="20"/>
      <c r="AR152" s="20"/>
      <c r="AS152" s="20"/>
      <c r="AT152" s="20"/>
      <c r="AU152" s="25" t="s">
        <v>863</v>
      </c>
      <c r="AV152" s="15" t="s">
        <v>864</v>
      </c>
      <c r="AW152" s="15" t="s">
        <v>865</v>
      </c>
      <c r="AX152" s="15" t="s">
        <v>866</v>
      </c>
      <c r="AY152" s="15" t="s">
        <v>867</v>
      </c>
      <c r="AZ152" s="15" t="s">
        <v>868</v>
      </c>
    </row>
    <row r="153">
      <c r="B153" s="8" t="s">
        <v>60</v>
      </c>
      <c r="C153" s="8" t="s">
        <v>869</v>
      </c>
      <c r="D153" s="9" t="str">
        <f t="shared" si="1"/>
        <v/>
      </c>
      <c r="E153" s="10">
        <v>52.0</v>
      </c>
      <c r="F153" s="10">
        <v>0.0</v>
      </c>
      <c r="G153" s="10">
        <v>30.0</v>
      </c>
      <c r="H153" s="10" t="b">
        <v>1</v>
      </c>
      <c r="I153" s="10" t="s">
        <v>51</v>
      </c>
      <c r="J153" s="10">
        <v>1.0</v>
      </c>
      <c r="K153" s="10"/>
      <c r="L153" s="11"/>
      <c r="M153" s="11"/>
      <c r="N153" s="11"/>
      <c r="O153" s="11"/>
      <c r="P153" s="11"/>
      <c r="Q153" s="10"/>
      <c r="R153" s="11"/>
      <c r="S153" s="11"/>
      <c r="T153" s="11"/>
      <c r="U153" s="11"/>
      <c r="V153" s="11"/>
      <c r="W153" s="11"/>
      <c r="X153" s="11"/>
      <c r="Y153" s="11"/>
      <c r="Z153" s="12"/>
      <c r="AA153" s="12"/>
      <c r="AB153" s="12"/>
      <c r="AC153" s="26"/>
      <c r="AD153" s="26"/>
      <c r="AE153" s="26"/>
      <c r="AF153" s="26"/>
      <c r="AG153" s="26"/>
      <c r="AH153" s="13"/>
      <c r="AI153" s="10"/>
      <c r="AJ153" s="10"/>
      <c r="AK153" s="10">
        <v>400.0</v>
      </c>
      <c r="AL153" s="10"/>
      <c r="AM153" s="13"/>
      <c r="AN153" s="13"/>
      <c r="AO153" s="13"/>
      <c r="AP153" s="13"/>
      <c r="AQ153" s="13"/>
      <c r="AR153" s="13"/>
      <c r="AS153" s="13"/>
      <c r="AT153" s="13"/>
      <c r="AU153" s="22" t="s">
        <v>870</v>
      </c>
      <c r="AV153" s="8" t="s">
        <v>871</v>
      </c>
      <c r="AW153" s="8" t="s">
        <v>871</v>
      </c>
      <c r="AX153" s="8" t="s">
        <v>871</v>
      </c>
      <c r="AY153" s="8" t="s">
        <v>872</v>
      </c>
      <c r="AZ153" s="8" t="s">
        <v>873</v>
      </c>
    </row>
    <row r="154">
      <c r="B154" s="15" t="s">
        <v>72</v>
      </c>
      <c r="C154" s="15" t="s">
        <v>874</v>
      </c>
      <c r="D154" s="16" t="str">
        <f t="shared" si="1"/>
        <v/>
      </c>
      <c r="E154" s="17">
        <v>52.0</v>
      </c>
      <c r="F154" s="17">
        <v>24.0</v>
      </c>
      <c r="G154" s="17">
        <v>90.0</v>
      </c>
      <c r="H154" s="17" t="b">
        <v>1</v>
      </c>
      <c r="I154" s="17" t="s">
        <v>51</v>
      </c>
      <c r="J154" s="17">
        <v>1.0</v>
      </c>
      <c r="K154" s="17"/>
      <c r="L154" s="18"/>
      <c r="M154" s="18"/>
      <c r="N154" s="18"/>
      <c r="O154" s="18"/>
      <c r="P154" s="18"/>
      <c r="Q154" s="17"/>
      <c r="R154" s="18"/>
      <c r="S154" s="18"/>
      <c r="T154" s="18"/>
      <c r="U154" s="18"/>
      <c r="V154" s="18"/>
      <c r="W154" s="18"/>
      <c r="X154" s="18"/>
      <c r="Y154" s="18"/>
      <c r="Z154" s="19"/>
      <c r="AA154" s="19"/>
      <c r="AB154" s="19"/>
      <c r="AC154" s="17"/>
      <c r="AD154" s="17"/>
      <c r="AE154" s="17" t="s">
        <v>125</v>
      </c>
      <c r="AF154" s="17">
        <v>24.0</v>
      </c>
      <c r="AG154" s="24"/>
      <c r="AH154" s="17">
        <v>1.1</v>
      </c>
      <c r="AI154" s="17"/>
      <c r="AJ154" s="17"/>
      <c r="AK154" s="20"/>
      <c r="AL154" s="20"/>
      <c r="AM154" s="17">
        <v>24.0</v>
      </c>
      <c r="AN154" s="17">
        <v>100.0</v>
      </c>
      <c r="AO154" s="20"/>
      <c r="AP154" s="20"/>
      <c r="AQ154" s="20"/>
      <c r="AR154" s="20"/>
      <c r="AS154" s="20"/>
      <c r="AT154" s="20"/>
      <c r="AU154" s="25" t="s">
        <v>875</v>
      </c>
      <c r="AV154" s="15" t="s">
        <v>876</v>
      </c>
      <c r="AW154" s="15" t="s">
        <v>877</v>
      </c>
      <c r="AX154" s="15" t="s">
        <v>878</v>
      </c>
      <c r="AY154" s="15" t="s">
        <v>879</v>
      </c>
      <c r="AZ154" s="15" t="s">
        <v>880</v>
      </c>
    </row>
    <row r="155">
      <c r="B155" s="8" t="s">
        <v>72</v>
      </c>
      <c r="C155" s="8" t="s">
        <v>430</v>
      </c>
      <c r="D155" s="9" t="str">
        <f t="shared" si="1"/>
        <v/>
      </c>
      <c r="E155" s="10">
        <v>52.0</v>
      </c>
      <c r="F155" s="10">
        <v>0.0</v>
      </c>
      <c r="G155" s="10">
        <v>2.5</v>
      </c>
      <c r="H155" s="13" t="b">
        <v>0</v>
      </c>
      <c r="I155" s="10" t="s">
        <v>56</v>
      </c>
      <c r="J155" s="10">
        <v>1.0</v>
      </c>
      <c r="K155" s="13"/>
      <c r="L155" s="11"/>
      <c r="M155" s="11"/>
      <c r="N155" s="11"/>
      <c r="O155" s="11"/>
      <c r="P155" s="11"/>
      <c r="Q155" s="10"/>
      <c r="R155" s="11"/>
      <c r="S155" s="11"/>
      <c r="T155" s="11"/>
      <c r="U155" s="11"/>
      <c r="V155" s="11"/>
      <c r="W155" s="11"/>
      <c r="X155" s="11"/>
      <c r="Y155" s="11"/>
      <c r="Z155" s="12"/>
      <c r="AA155" s="12"/>
      <c r="AB155" s="12"/>
      <c r="AC155" s="26"/>
      <c r="AD155" s="26"/>
      <c r="AE155" s="26"/>
      <c r="AF155" s="26"/>
      <c r="AG155" s="26"/>
      <c r="AH155" s="13"/>
      <c r="AI155" s="10"/>
      <c r="AJ155" s="10"/>
      <c r="AK155" s="10">
        <v>700.0</v>
      </c>
      <c r="AL155" s="10"/>
      <c r="AM155" s="13"/>
      <c r="AN155" s="13"/>
      <c r="AO155" s="13"/>
      <c r="AP155" s="13"/>
      <c r="AQ155" s="13"/>
      <c r="AR155" s="13"/>
      <c r="AS155" s="13"/>
      <c r="AT155" s="13"/>
      <c r="AU155" s="22" t="s">
        <v>431</v>
      </c>
      <c r="AV155" s="8" t="s">
        <v>432</v>
      </c>
      <c r="AW155" s="8" t="s">
        <v>433</v>
      </c>
      <c r="AX155" s="8" t="s">
        <v>434</v>
      </c>
      <c r="AY155" s="8" t="s">
        <v>435</v>
      </c>
      <c r="AZ155" s="8" t="s">
        <v>436</v>
      </c>
    </row>
    <row r="156">
      <c r="B156" s="15" t="s">
        <v>180</v>
      </c>
      <c r="C156" s="15" t="s">
        <v>881</v>
      </c>
      <c r="D156" s="16" t="str">
        <f t="shared" si="1"/>
        <v/>
      </c>
      <c r="E156" s="17">
        <v>50.0</v>
      </c>
      <c r="F156" s="17">
        <v>10.0</v>
      </c>
      <c r="G156" s="58">
        <v>360.0</v>
      </c>
      <c r="H156" s="17" t="b">
        <v>1</v>
      </c>
      <c r="I156" s="17" t="s">
        <v>45</v>
      </c>
      <c r="J156" s="17">
        <v>1.0</v>
      </c>
      <c r="K156" s="58">
        <v>10.0</v>
      </c>
      <c r="L156" s="18">
        <v>0.0</v>
      </c>
      <c r="M156" s="18">
        <v>0.0</v>
      </c>
      <c r="N156" s="18">
        <v>0.0</v>
      </c>
      <c r="O156" s="18"/>
      <c r="P156" s="18"/>
      <c r="Q156" s="17"/>
      <c r="R156" s="18"/>
      <c r="S156" s="18"/>
      <c r="T156" s="18"/>
      <c r="U156" s="18"/>
      <c r="V156" s="18"/>
      <c r="W156" s="18"/>
      <c r="X156" s="18"/>
      <c r="Y156" s="18"/>
      <c r="Z156" s="19"/>
      <c r="AA156" s="19"/>
      <c r="AB156" s="19"/>
      <c r="AC156" s="43"/>
      <c r="AD156" s="43"/>
      <c r="AE156" s="43"/>
      <c r="AF156" s="43"/>
      <c r="AG156" s="43"/>
      <c r="AH156" s="43"/>
      <c r="AI156" s="56"/>
      <c r="AJ156" s="56"/>
      <c r="AK156" s="56"/>
      <c r="AL156" s="56"/>
      <c r="AM156" s="56"/>
      <c r="AN156" s="56"/>
      <c r="AO156" s="56"/>
      <c r="AP156" s="56"/>
      <c r="AQ156" s="56"/>
      <c r="AR156" s="56"/>
      <c r="AS156" s="56"/>
      <c r="AT156" s="56"/>
      <c r="AU156" s="25" t="s">
        <v>882</v>
      </c>
      <c r="AV156" s="15" t="s">
        <v>883</v>
      </c>
      <c r="AW156" s="15" t="s">
        <v>884</v>
      </c>
      <c r="AX156" s="15" t="s">
        <v>885</v>
      </c>
      <c r="AY156" s="15" t="s">
        <v>886</v>
      </c>
      <c r="AZ156" s="15" t="s">
        <v>887</v>
      </c>
    </row>
    <row r="157">
      <c r="B157" s="8" t="s">
        <v>186</v>
      </c>
      <c r="C157" s="8" t="s">
        <v>888</v>
      </c>
      <c r="D157" s="9" t="str">
        <f t="shared" si="1"/>
        <v/>
      </c>
      <c r="E157" s="10">
        <v>50.0</v>
      </c>
      <c r="F157" s="10">
        <v>10.0</v>
      </c>
      <c r="G157" s="47">
        <v>420.0</v>
      </c>
      <c r="H157" s="10" t="b">
        <v>1</v>
      </c>
      <c r="I157" s="10" t="s">
        <v>45</v>
      </c>
      <c r="J157" s="10">
        <v>1.0</v>
      </c>
      <c r="K157" s="47">
        <v>10.0</v>
      </c>
      <c r="L157" s="11">
        <v>0.0</v>
      </c>
      <c r="M157" s="11">
        <v>0.0</v>
      </c>
      <c r="N157" s="11">
        <v>0.0</v>
      </c>
      <c r="O157" s="11"/>
      <c r="P157" s="11"/>
      <c r="Q157" s="10"/>
      <c r="R157" s="11"/>
      <c r="S157" s="11"/>
      <c r="T157" s="11"/>
      <c r="U157" s="11"/>
      <c r="V157" s="11"/>
      <c r="W157" s="11"/>
      <c r="X157" s="11"/>
      <c r="Y157" s="11"/>
      <c r="Z157" s="12"/>
      <c r="AA157" s="12"/>
      <c r="AB157" s="12"/>
      <c r="AC157" s="38"/>
      <c r="AD157" s="38"/>
      <c r="AE157" s="38"/>
      <c r="AF157" s="38"/>
      <c r="AG157" s="38"/>
      <c r="AH157" s="38"/>
      <c r="AI157" s="39"/>
      <c r="AJ157" s="39"/>
      <c r="AK157" s="39"/>
      <c r="AL157" s="39"/>
      <c r="AM157" s="39"/>
      <c r="AN157" s="39"/>
      <c r="AO157" s="39"/>
      <c r="AP157" s="39"/>
      <c r="AQ157" s="39"/>
      <c r="AR157" s="39"/>
      <c r="AS157" s="39"/>
      <c r="AT157" s="39"/>
      <c r="AU157" s="22" t="s">
        <v>889</v>
      </c>
      <c r="AV157" s="8" t="s">
        <v>890</v>
      </c>
      <c r="AW157" s="8" t="s">
        <v>891</v>
      </c>
      <c r="AX157" s="8" t="s">
        <v>892</v>
      </c>
      <c r="AY157" s="8" t="s">
        <v>893</v>
      </c>
      <c r="AZ157" s="8" t="s">
        <v>894</v>
      </c>
    </row>
    <row r="158">
      <c r="B158" s="15" t="s">
        <v>192</v>
      </c>
      <c r="C158" s="15" t="s">
        <v>895</v>
      </c>
      <c r="D158" s="16" t="str">
        <f t="shared" si="1"/>
        <v/>
      </c>
      <c r="E158" s="17">
        <v>50.0</v>
      </c>
      <c r="F158" s="17">
        <v>10.0</v>
      </c>
      <c r="G158" s="58">
        <v>300.0</v>
      </c>
      <c r="H158" s="17" t="b">
        <v>1</v>
      </c>
      <c r="I158" s="17" t="s">
        <v>45</v>
      </c>
      <c r="J158" s="17">
        <v>1.0</v>
      </c>
      <c r="K158" s="17">
        <v>10.0</v>
      </c>
      <c r="L158" s="18">
        <v>1.0</v>
      </c>
      <c r="M158" s="18">
        <v>1.0</v>
      </c>
      <c r="N158" s="18">
        <v>1.0</v>
      </c>
      <c r="O158" s="18"/>
      <c r="P158" s="18"/>
      <c r="Q158" s="17"/>
      <c r="R158" s="18"/>
      <c r="S158" s="18"/>
      <c r="T158" s="18"/>
      <c r="U158" s="18"/>
      <c r="V158" s="18"/>
      <c r="W158" s="18"/>
      <c r="X158" s="18"/>
      <c r="Y158" s="18"/>
      <c r="Z158" s="19"/>
      <c r="AA158" s="19"/>
      <c r="AB158" s="19"/>
      <c r="AC158" s="43"/>
      <c r="AD158" s="43"/>
      <c r="AE158" s="43"/>
      <c r="AF158" s="43"/>
      <c r="AG158" s="43"/>
      <c r="AH158" s="43"/>
      <c r="AI158" s="44"/>
      <c r="AJ158" s="44"/>
      <c r="AK158" s="44"/>
      <c r="AL158" s="44"/>
      <c r="AM158" s="44"/>
      <c r="AN158" s="44"/>
      <c r="AO158" s="44"/>
      <c r="AP158" s="44"/>
      <c r="AQ158" s="44"/>
      <c r="AR158" s="44"/>
      <c r="AS158" s="44"/>
      <c r="AT158" s="44"/>
      <c r="AU158" s="25" t="s">
        <v>896</v>
      </c>
      <c r="AV158" s="15" t="s">
        <v>897</v>
      </c>
      <c r="AW158" s="15" t="s">
        <v>898</v>
      </c>
      <c r="AX158" s="15" t="s">
        <v>899</v>
      </c>
      <c r="AY158" s="15" t="s">
        <v>900</v>
      </c>
      <c r="AZ158" s="15" t="s">
        <v>901</v>
      </c>
    </row>
    <row r="159">
      <c r="B159" s="8" t="s">
        <v>43</v>
      </c>
      <c r="C159" s="8" t="s">
        <v>610</v>
      </c>
      <c r="D159" s="9" t="str">
        <f t="shared" si="1"/>
        <v/>
      </c>
      <c r="E159" s="10">
        <v>50.0</v>
      </c>
      <c r="F159" s="10">
        <v>15.0</v>
      </c>
      <c r="G159" s="10">
        <v>30.0</v>
      </c>
      <c r="H159" s="10" t="b">
        <v>1</v>
      </c>
      <c r="I159" s="10" t="s">
        <v>51</v>
      </c>
      <c r="J159" s="10">
        <v>1.0</v>
      </c>
      <c r="K159" s="10">
        <v>15.0</v>
      </c>
      <c r="L159" s="11">
        <v>0.9</v>
      </c>
      <c r="M159" s="11">
        <v>0.9</v>
      </c>
      <c r="N159" s="11">
        <v>0.9</v>
      </c>
      <c r="O159" s="11"/>
      <c r="P159" s="11"/>
      <c r="Q159" s="10"/>
      <c r="R159" s="11"/>
      <c r="S159" s="11"/>
      <c r="T159" s="11"/>
      <c r="U159" s="11"/>
      <c r="V159" s="11"/>
      <c r="W159" s="11"/>
      <c r="X159" s="11"/>
      <c r="Y159" s="11"/>
      <c r="Z159" s="12"/>
      <c r="AA159" s="12"/>
      <c r="AB159" s="12"/>
      <c r="AC159" s="10"/>
      <c r="AD159" s="10"/>
      <c r="AE159" s="10"/>
      <c r="AF159" s="10"/>
      <c r="AG159" s="10"/>
      <c r="AH159" s="10"/>
      <c r="AI159" s="13"/>
      <c r="AJ159" s="13"/>
      <c r="AK159" s="13"/>
      <c r="AL159" s="13"/>
      <c r="AM159" s="10"/>
      <c r="AN159" s="10"/>
      <c r="AO159" s="13"/>
      <c r="AP159" s="13"/>
      <c r="AQ159" s="13"/>
      <c r="AR159" s="13"/>
      <c r="AS159" s="13"/>
      <c r="AT159" s="13"/>
      <c r="AU159" s="22" t="s">
        <v>611</v>
      </c>
      <c r="AV159" s="8" t="s">
        <v>612</v>
      </c>
      <c r="AW159" s="8" t="s">
        <v>613</v>
      </c>
      <c r="AX159" s="8" t="s">
        <v>614</v>
      </c>
      <c r="AY159" s="8" t="s">
        <v>615</v>
      </c>
      <c r="AZ159" s="8" t="s">
        <v>616</v>
      </c>
    </row>
    <row r="160">
      <c r="B160" s="15" t="s">
        <v>60</v>
      </c>
      <c r="C160" s="15" t="s">
        <v>617</v>
      </c>
      <c r="D160" s="16" t="str">
        <f t="shared" si="1"/>
        <v/>
      </c>
      <c r="E160" s="17">
        <v>50.0</v>
      </c>
      <c r="F160" s="17">
        <v>15.0</v>
      </c>
      <c r="G160" s="17">
        <v>30.0</v>
      </c>
      <c r="H160" s="17" t="b">
        <v>1</v>
      </c>
      <c r="I160" s="17" t="s">
        <v>51</v>
      </c>
      <c r="J160" s="17">
        <v>1.0</v>
      </c>
      <c r="K160" s="17">
        <v>15.0</v>
      </c>
      <c r="L160" s="18">
        <v>0.9</v>
      </c>
      <c r="M160" s="18">
        <v>0.9</v>
      </c>
      <c r="N160" s="18">
        <v>0.9</v>
      </c>
      <c r="O160" s="18"/>
      <c r="P160" s="18"/>
      <c r="Q160" s="17"/>
      <c r="R160" s="18"/>
      <c r="S160" s="18"/>
      <c r="T160" s="18"/>
      <c r="U160" s="18"/>
      <c r="V160" s="18"/>
      <c r="W160" s="18"/>
      <c r="X160" s="18"/>
      <c r="Y160" s="18"/>
      <c r="Z160" s="19"/>
      <c r="AA160" s="19"/>
      <c r="AB160" s="19"/>
      <c r="AC160" s="17"/>
      <c r="AD160" s="17"/>
      <c r="AE160" s="17"/>
      <c r="AF160" s="17"/>
      <c r="AG160" s="17"/>
      <c r="AH160" s="17"/>
      <c r="AI160" s="20"/>
      <c r="AJ160" s="20"/>
      <c r="AK160" s="20"/>
      <c r="AL160" s="20"/>
      <c r="AM160" s="17"/>
      <c r="AN160" s="17"/>
      <c r="AO160" s="20"/>
      <c r="AP160" s="20"/>
      <c r="AQ160" s="20"/>
      <c r="AR160" s="20"/>
      <c r="AS160" s="20"/>
      <c r="AT160" s="20"/>
      <c r="AU160" s="25" t="s">
        <v>618</v>
      </c>
      <c r="AV160" s="15" t="s">
        <v>619</v>
      </c>
      <c r="AW160" s="15" t="s">
        <v>619</v>
      </c>
      <c r="AX160" s="15" t="s">
        <v>619</v>
      </c>
      <c r="AY160" s="15" t="s">
        <v>620</v>
      </c>
      <c r="AZ160" s="15" t="s">
        <v>621</v>
      </c>
    </row>
    <row r="161">
      <c r="B161" s="8" t="s">
        <v>72</v>
      </c>
      <c r="C161" s="8" t="s">
        <v>902</v>
      </c>
      <c r="D161" s="9" t="str">
        <f t="shared" si="1"/>
        <v/>
      </c>
      <c r="E161" s="10">
        <v>50.0</v>
      </c>
      <c r="F161" s="10">
        <v>0.0</v>
      </c>
      <c r="G161" s="10">
        <v>180.0</v>
      </c>
      <c r="H161" s="10" t="b">
        <v>1</v>
      </c>
      <c r="I161" s="10" t="s">
        <v>56</v>
      </c>
      <c r="J161" s="10">
        <v>1.0</v>
      </c>
      <c r="K161" s="13"/>
      <c r="L161" s="11"/>
      <c r="M161" s="11"/>
      <c r="N161" s="11"/>
      <c r="O161" s="11"/>
      <c r="P161" s="11"/>
      <c r="Q161" s="10"/>
      <c r="R161" s="11"/>
      <c r="S161" s="11"/>
      <c r="T161" s="11"/>
      <c r="U161" s="11"/>
      <c r="V161" s="11"/>
      <c r="W161" s="11"/>
      <c r="X161" s="11"/>
      <c r="Y161" s="11"/>
      <c r="Z161" s="12"/>
      <c r="AA161" s="12"/>
      <c r="AB161" s="12"/>
      <c r="AC161" s="26"/>
      <c r="AD161" s="26"/>
      <c r="AE161" s="26"/>
      <c r="AF161" s="26"/>
      <c r="AG161" s="26"/>
      <c r="AH161" s="13"/>
      <c r="AI161" s="10"/>
      <c r="AJ161" s="10"/>
      <c r="AK161" s="62"/>
      <c r="AL161" s="10">
        <v>1.0</v>
      </c>
      <c r="AM161" s="13"/>
      <c r="AN161" s="13"/>
      <c r="AO161" s="13"/>
      <c r="AP161" s="13"/>
      <c r="AQ161" s="13"/>
      <c r="AR161" s="13"/>
      <c r="AS161" s="13"/>
      <c r="AT161" s="13"/>
      <c r="AU161" s="22" t="s">
        <v>903</v>
      </c>
      <c r="AV161" s="8" t="s">
        <v>904</v>
      </c>
      <c r="AW161" s="8" t="s">
        <v>905</v>
      </c>
      <c r="AX161" s="8" t="s">
        <v>906</v>
      </c>
      <c r="AY161" s="8" t="s">
        <v>907</v>
      </c>
      <c r="AZ161" s="8" t="s">
        <v>908</v>
      </c>
    </row>
    <row r="162">
      <c r="B162" s="15" t="s">
        <v>72</v>
      </c>
      <c r="C162" s="15" t="s">
        <v>451</v>
      </c>
      <c r="D162" s="16" t="str">
        <f t="shared" si="1"/>
        <v/>
      </c>
      <c r="E162" s="17">
        <v>50.0</v>
      </c>
      <c r="F162" s="17">
        <v>15.0</v>
      </c>
      <c r="G162" s="17">
        <v>2.5</v>
      </c>
      <c r="H162" s="20" t="b">
        <v>0</v>
      </c>
      <c r="I162" s="17" t="s">
        <v>51</v>
      </c>
      <c r="J162" s="17">
        <v>1.0</v>
      </c>
      <c r="K162" s="17"/>
      <c r="L162" s="18"/>
      <c r="M162" s="18"/>
      <c r="N162" s="18"/>
      <c r="O162" s="18"/>
      <c r="P162" s="18"/>
      <c r="Q162" s="17"/>
      <c r="R162" s="18"/>
      <c r="S162" s="18"/>
      <c r="T162" s="18"/>
      <c r="U162" s="15" t="s">
        <v>204</v>
      </c>
      <c r="V162" s="18"/>
      <c r="W162" s="18"/>
      <c r="X162" s="18"/>
      <c r="Y162" s="18"/>
      <c r="Z162" s="19">
        <v>400.0</v>
      </c>
      <c r="AA162" s="19"/>
      <c r="AB162" s="19"/>
      <c r="AC162" s="24"/>
      <c r="AD162" s="24"/>
      <c r="AE162" s="24"/>
      <c r="AF162" s="24"/>
      <c r="AG162" s="24"/>
      <c r="AH162" s="20"/>
      <c r="AI162" s="17"/>
      <c r="AJ162" s="17"/>
      <c r="AK162" s="17">
        <v>200.0</v>
      </c>
      <c r="AL162" s="17"/>
      <c r="AM162" s="17">
        <v>15.0</v>
      </c>
      <c r="AN162" s="17">
        <v>100.0</v>
      </c>
      <c r="AO162" s="20"/>
      <c r="AP162" s="20"/>
      <c r="AQ162" s="17">
        <v>1000.0</v>
      </c>
      <c r="AR162" s="17"/>
      <c r="AS162" s="17"/>
      <c r="AT162" s="17"/>
      <c r="AU162" s="25" t="s">
        <v>452</v>
      </c>
      <c r="AV162" s="15" t="s">
        <v>453</v>
      </c>
      <c r="AW162" s="15" t="s">
        <v>454</v>
      </c>
      <c r="AX162" s="15" t="s">
        <v>455</v>
      </c>
      <c r="AY162" s="15" t="s">
        <v>456</v>
      </c>
      <c r="AZ162" s="15" t="s">
        <v>457</v>
      </c>
    </row>
    <row r="163">
      <c r="B163" s="8" t="s">
        <v>192</v>
      </c>
      <c r="C163" s="8" t="s">
        <v>909</v>
      </c>
      <c r="D163" s="9" t="str">
        <f t="shared" si="1"/>
        <v/>
      </c>
      <c r="E163" s="10">
        <v>45.0</v>
      </c>
      <c r="F163" s="10">
        <v>10.0</v>
      </c>
      <c r="G163" s="47">
        <v>60.0</v>
      </c>
      <c r="H163" s="10" t="b">
        <v>1</v>
      </c>
      <c r="I163" s="10" t="s">
        <v>45</v>
      </c>
      <c r="J163" s="10">
        <v>1.0</v>
      </c>
      <c r="K163" s="47">
        <v>10.0</v>
      </c>
      <c r="L163" s="11">
        <v>0.8</v>
      </c>
      <c r="M163" s="11">
        <v>0.9</v>
      </c>
      <c r="N163" s="11">
        <v>1.0</v>
      </c>
      <c r="O163" s="11"/>
      <c r="P163" s="11"/>
      <c r="Q163" s="10"/>
      <c r="R163" s="11"/>
      <c r="S163" s="11"/>
      <c r="T163" s="11"/>
      <c r="U163" s="11"/>
      <c r="V163" s="11"/>
      <c r="W163" s="11"/>
      <c r="X163" s="11"/>
      <c r="Y163" s="11"/>
      <c r="Z163" s="12"/>
      <c r="AA163" s="12"/>
      <c r="AB163" s="12"/>
      <c r="AC163" s="38"/>
      <c r="AD163" s="38"/>
      <c r="AE163" s="38"/>
      <c r="AF163" s="38"/>
      <c r="AG163" s="38"/>
      <c r="AH163" s="38"/>
      <c r="AI163" s="39"/>
      <c r="AJ163" s="39"/>
      <c r="AK163" s="39"/>
      <c r="AL163" s="39"/>
      <c r="AM163" s="39"/>
      <c r="AN163" s="39"/>
      <c r="AO163" s="39"/>
      <c r="AP163" s="39"/>
      <c r="AQ163" s="39"/>
      <c r="AR163" s="39"/>
      <c r="AS163" s="39"/>
      <c r="AT163" s="39"/>
      <c r="AU163" s="22" t="s">
        <v>910</v>
      </c>
      <c r="AV163" s="8" t="s">
        <v>911</v>
      </c>
      <c r="AW163" s="8" t="s">
        <v>912</v>
      </c>
      <c r="AX163" s="8" t="s">
        <v>913</v>
      </c>
      <c r="AY163" s="8" t="s">
        <v>914</v>
      </c>
      <c r="AZ163" s="8" t="s">
        <v>915</v>
      </c>
    </row>
    <row r="164">
      <c r="B164" s="15" t="s">
        <v>43</v>
      </c>
      <c r="C164" s="15" t="s">
        <v>916</v>
      </c>
      <c r="D164" s="16" t="str">
        <f t="shared" si="1"/>
        <v/>
      </c>
      <c r="E164" s="17">
        <v>45.0</v>
      </c>
      <c r="F164" s="17">
        <v>0.0</v>
      </c>
      <c r="G164" s="17">
        <v>60.0</v>
      </c>
      <c r="H164" s="17" t="b">
        <v>1</v>
      </c>
      <c r="I164" s="17" t="s">
        <v>45</v>
      </c>
      <c r="J164" s="17">
        <v>1.0</v>
      </c>
      <c r="K164" s="17"/>
      <c r="L164" s="18"/>
      <c r="M164" s="18"/>
      <c r="N164" s="18"/>
      <c r="O164" s="18"/>
      <c r="P164" s="18"/>
      <c r="Q164" s="17"/>
      <c r="R164" s="18"/>
      <c r="S164" s="18"/>
      <c r="T164" s="18"/>
      <c r="U164" s="18"/>
      <c r="V164" s="18"/>
      <c r="W164" s="18"/>
      <c r="X164" s="18"/>
      <c r="Y164" s="18"/>
      <c r="Z164" s="19"/>
      <c r="AA164" s="19"/>
      <c r="AB164" s="19"/>
      <c r="AC164" s="24"/>
      <c r="AD164" s="24"/>
      <c r="AE164" s="24"/>
      <c r="AF164" s="24"/>
      <c r="AG164" s="24"/>
      <c r="AH164" s="20"/>
      <c r="AI164" s="17"/>
      <c r="AJ164" s="17"/>
      <c r="AK164" s="20"/>
      <c r="AL164" s="20"/>
      <c r="AM164" s="17"/>
      <c r="AN164" s="17"/>
      <c r="AO164" s="17"/>
      <c r="AP164" s="17"/>
      <c r="AQ164" s="20"/>
      <c r="AR164" s="20"/>
      <c r="AS164" s="20"/>
      <c r="AT164" s="20"/>
      <c r="AU164" s="25" t="s">
        <v>917</v>
      </c>
      <c r="AV164" s="15" t="s">
        <v>918</v>
      </c>
      <c r="AW164" s="15" t="s">
        <v>919</v>
      </c>
      <c r="AX164" s="15" t="s">
        <v>920</v>
      </c>
      <c r="AY164" s="15" t="s">
        <v>921</v>
      </c>
      <c r="AZ164" s="15" t="s">
        <v>922</v>
      </c>
    </row>
    <row r="165">
      <c r="B165" s="8" t="s">
        <v>43</v>
      </c>
      <c r="C165" s="8" t="s">
        <v>923</v>
      </c>
      <c r="D165" s="9" t="str">
        <f t="shared" si="1"/>
        <v/>
      </c>
      <c r="E165" s="10">
        <v>45.0</v>
      </c>
      <c r="F165" s="10">
        <v>0.0</v>
      </c>
      <c r="G165" s="10">
        <v>1.0</v>
      </c>
      <c r="H165" s="10" t="b">
        <v>1</v>
      </c>
      <c r="I165" s="10" t="s">
        <v>56</v>
      </c>
      <c r="J165" s="10">
        <v>1.0</v>
      </c>
      <c r="K165" s="10"/>
      <c r="L165" s="11"/>
      <c r="M165" s="11"/>
      <c r="N165" s="11"/>
      <c r="O165" s="11"/>
      <c r="P165" s="11"/>
      <c r="Q165" s="10"/>
      <c r="R165" s="11"/>
      <c r="S165" s="11"/>
      <c r="T165" s="11"/>
      <c r="U165" s="11"/>
      <c r="V165" s="11"/>
      <c r="W165" s="11"/>
      <c r="X165" s="11"/>
      <c r="Y165" s="11"/>
      <c r="Z165" s="12"/>
      <c r="AA165" s="12"/>
      <c r="AB165" s="12"/>
      <c r="AC165" s="26"/>
      <c r="AD165" s="26"/>
      <c r="AE165" s="26"/>
      <c r="AF165" s="26"/>
      <c r="AG165" s="26"/>
      <c r="AH165" s="13"/>
      <c r="AI165" s="10"/>
      <c r="AJ165" s="10"/>
      <c r="AK165" s="10">
        <v>600.0</v>
      </c>
      <c r="AL165" s="10"/>
      <c r="AM165" s="10"/>
      <c r="AN165" s="10"/>
      <c r="AO165" s="13"/>
      <c r="AP165" s="13"/>
      <c r="AQ165" s="10"/>
      <c r="AR165" s="10"/>
      <c r="AS165" s="10"/>
      <c r="AT165" s="10"/>
      <c r="AU165" s="22" t="s">
        <v>924</v>
      </c>
      <c r="AV165" s="8" t="s">
        <v>925</v>
      </c>
      <c r="AW165" s="8" t="s">
        <v>926</v>
      </c>
      <c r="AX165" s="8" t="s">
        <v>927</v>
      </c>
      <c r="AY165" s="8" t="s">
        <v>928</v>
      </c>
      <c r="AZ165" s="8" t="s">
        <v>923</v>
      </c>
    </row>
    <row r="166">
      <c r="B166" s="15" t="s">
        <v>60</v>
      </c>
      <c r="C166" s="15" t="s">
        <v>929</v>
      </c>
      <c r="D166" s="16" t="str">
        <f t="shared" si="1"/>
        <v/>
      </c>
      <c r="E166" s="17">
        <v>45.0</v>
      </c>
      <c r="F166" s="17">
        <v>0.0</v>
      </c>
      <c r="G166" s="17">
        <v>1.0</v>
      </c>
      <c r="H166" s="17" t="b">
        <v>1</v>
      </c>
      <c r="I166" s="17" t="s">
        <v>56</v>
      </c>
      <c r="J166" s="17">
        <v>1.0</v>
      </c>
      <c r="K166" s="17"/>
      <c r="L166" s="18"/>
      <c r="M166" s="18"/>
      <c r="N166" s="18"/>
      <c r="O166" s="18"/>
      <c r="P166" s="18"/>
      <c r="Q166" s="17"/>
      <c r="R166" s="18"/>
      <c r="S166" s="18"/>
      <c r="T166" s="18"/>
      <c r="U166" s="18"/>
      <c r="V166" s="18"/>
      <c r="W166" s="18"/>
      <c r="X166" s="18"/>
      <c r="Y166" s="18"/>
      <c r="Z166" s="19"/>
      <c r="AA166" s="19"/>
      <c r="AB166" s="19"/>
      <c r="AC166" s="24"/>
      <c r="AD166" s="24"/>
      <c r="AE166" s="24"/>
      <c r="AF166" s="24"/>
      <c r="AG166" s="24"/>
      <c r="AH166" s="20"/>
      <c r="AI166" s="17"/>
      <c r="AJ166" s="17"/>
      <c r="AK166" s="17">
        <v>600.0</v>
      </c>
      <c r="AL166" s="17"/>
      <c r="AM166" s="17"/>
      <c r="AN166" s="17"/>
      <c r="AO166" s="20"/>
      <c r="AP166" s="20"/>
      <c r="AQ166" s="17"/>
      <c r="AR166" s="17"/>
      <c r="AS166" s="17"/>
      <c r="AT166" s="17"/>
      <c r="AU166" s="25" t="s">
        <v>930</v>
      </c>
      <c r="AV166" s="15" t="s">
        <v>931</v>
      </c>
      <c r="AW166" s="15" t="s">
        <v>931</v>
      </c>
      <c r="AX166" s="15" t="s">
        <v>931</v>
      </c>
      <c r="AY166" s="15" t="s">
        <v>932</v>
      </c>
      <c r="AZ166" s="15" t="s">
        <v>933</v>
      </c>
    </row>
    <row r="167">
      <c r="B167" s="8" t="s">
        <v>767</v>
      </c>
      <c r="C167" s="8" t="s">
        <v>934</v>
      </c>
      <c r="D167" s="9" t="str">
        <f t="shared" si="1"/>
        <v/>
      </c>
      <c r="E167" s="10">
        <v>42.0</v>
      </c>
      <c r="F167" s="10">
        <v>15.0</v>
      </c>
      <c r="G167" s="10">
        <v>90.0</v>
      </c>
      <c r="H167" s="10" t="b">
        <v>1</v>
      </c>
      <c r="I167" s="10" t="s">
        <v>51</v>
      </c>
      <c r="J167" s="10">
        <v>1.0</v>
      </c>
      <c r="K167" s="10"/>
      <c r="L167" s="11"/>
      <c r="M167" s="11"/>
      <c r="N167" s="11"/>
      <c r="O167" s="11"/>
      <c r="P167" s="11"/>
      <c r="Q167" s="10"/>
      <c r="R167" s="11"/>
      <c r="S167" s="11"/>
      <c r="T167" s="11"/>
      <c r="U167" s="11"/>
      <c r="V167" s="11"/>
      <c r="W167" s="11"/>
      <c r="X167" s="11"/>
      <c r="Y167" s="11"/>
      <c r="Z167" s="12"/>
      <c r="AA167" s="12"/>
      <c r="AB167" s="12"/>
      <c r="AC167" s="26"/>
      <c r="AD167" s="26"/>
      <c r="AE167" s="26" t="s">
        <v>125</v>
      </c>
      <c r="AF167" s="26">
        <v>15.0</v>
      </c>
      <c r="AG167" s="26"/>
      <c r="AH167" s="10">
        <v>1.1</v>
      </c>
      <c r="AI167" s="10"/>
      <c r="AJ167" s="10"/>
      <c r="AK167" s="10"/>
      <c r="AL167" s="10"/>
      <c r="AM167" s="10"/>
      <c r="AN167" s="10"/>
      <c r="AO167" s="10"/>
      <c r="AP167" s="10"/>
      <c r="AQ167" s="10"/>
      <c r="AR167" s="10"/>
      <c r="AS167" s="10"/>
      <c r="AT167" s="10"/>
      <c r="AU167" s="22" t="s">
        <v>935</v>
      </c>
      <c r="AV167" s="8" t="s">
        <v>936</v>
      </c>
      <c r="AW167" s="8" t="s">
        <v>936</v>
      </c>
      <c r="AX167" s="8" t="s">
        <v>936</v>
      </c>
      <c r="AY167" s="8" t="s">
        <v>937</v>
      </c>
      <c r="AZ167" s="8" t="s">
        <v>938</v>
      </c>
    </row>
    <row r="168">
      <c r="B168" s="15" t="s">
        <v>65</v>
      </c>
      <c r="C168" s="15" t="s">
        <v>382</v>
      </c>
      <c r="D168" s="16" t="str">
        <f t="shared" si="1"/>
        <v/>
      </c>
      <c r="E168" s="17">
        <v>42.0</v>
      </c>
      <c r="F168" s="17">
        <v>15.0</v>
      </c>
      <c r="G168" s="17">
        <v>2.5</v>
      </c>
      <c r="H168" s="20" t="b">
        <v>0</v>
      </c>
      <c r="I168" s="17" t="s">
        <v>51</v>
      </c>
      <c r="J168" s="17">
        <v>1.0</v>
      </c>
      <c r="K168" s="17"/>
      <c r="L168" s="18"/>
      <c r="M168" s="18"/>
      <c r="N168" s="18"/>
      <c r="O168" s="18"/>
      <c r="P168" s="18"/>
      <c r="Q168" s="17"/>
      <c r="R168" s="18"/>
      <c r="S168" s="18"/>
      <c r="T168" s="18"/>
      <c r="U168" s="18" t="s">
        <v>67</v>
      </c>
      <c r="V168" s="18"/>
      <c r="W168" s="18"/>
      <c r="X168" s="18"/>
      <c r="Y168" s="18"/>
      <c r="Z168" s="19"/>
      <c r="AA168" s="19">
        <v>30.0</v>
      </c>
      <c r="AB168" s="19">
        <v>250.0</v>
      </c>
      <c r="AC168" s="24"/>
      <c r="AD168" s="24"/>
      <c r="AE168" s="24"/>
      <c r="AF168" s="24"/>
      <c r="AG168" s="24"/>
      <c r="AH168" s="20"/>
      <c r="AI168" s="17"/>
      <c r="AJ168" s="17"/>
      <c r="AK168" s="17">
        <v>200.0</v>
      </c>
      <c r="AL168" s="17"/>
      <c r="AM168" s="17">
        <v>15.0</v>
      </c>
      <c r="AN168" s="17">
        <v>150.0</v>
      </c>
      <c r="AO168" s="20"/>
      <c r="AP168" s="20"/>
      <c r="AQ168" s="17">
        <v>800.0</v>
      </c>
      <c r="AR168" s="17"/>
      <c r="AS168" s="17"/>
      <c r="AT168" s="17"/>
      <c r="AU168" s="25" t="s">
        <v>383</v>
      </c>
      <c r="AV168" s="15" t="s">
        <v>384</v>
      </c>
      <c r="AW168" s="15" t="s">
        <v>385</v>
      </c>
      <c r="AX168" s="15" t="s">
        <v>386</v>
      </c>
      <c r="AY168" s="15" t="s">
        <v>387</v>
      </c>
      <c r="AZ168" s="15" t="s">
        <v>388</v>
      </c>
    </row>
    <row r="169">
      <c r="B169" s="8" t="s">
        <v>198</v>
      </c>
      <c r="C169" s="8" t="s">
        <v>939</v>
      </c>
      <c r="D169" s="9" t="str">
        <f t="shared" si="1"/>
        <v/>
      </c>
      <c r="E169" s="10">
        <v>42.0</v>
      </c>
      <c r="F169" s="10">
        <v>10.0</v>
      </c>
      <c r="G169" s="47">
        <v>240.0</v>
      </c>
      <c r="H169" s="10" t="b">
        <v>1</v>
      </c>
      <c r="I169" s="10" t="s">
        <v>45</v>
      </c>
      <c r="J169" s="10">
        <v>1.0</v>
      </c>
      <c r="K169" s="47">
        <v>10.0</v>
      </c>
      <c r="L169" s="11">
        <v>1.0</v>
      </c>
      <c r="M169" s="11">
        <v>1.0</v>
      </c>
      <c r="N169" s="11">
        <v>1.0</v>
      </c>
      <c r="O169" s="11"/>
      <c r="P169" s="11"/>
      <c r="Q169" s="10"/>
      <c r="R169" s="11"/>
      <c r="S169" s="11"/>
      <c r="T169" s="11"/>
      <c r="U169" s="11"/>
      <c r="V169" s="11"/>
      <c r="W169" s="11"/>
      <c r="X169" s="11"/>
      <c r="Y169" s="11"/>
      <c r="Z169" s="12"/>
      <c r="AA169" s="12"/>
      <c r="AB169" s="12"/>
      <c r="AC169" s="38"/>
      <c r="AD169" s="38"/>
      <c r="AE169" s="38"/>
      <c r="AF169" s="38"/>
      <c r="AG169" s="38"/>
      <c r="AH169" s="38"/>
      <c r="AI169" s="39"/>
      <c r="AJ169" s="39"/>
      <c r="AK169" s="39"/>
      <c r="AL169" s="39"/>
      <c r="AM169" s="39"/>
      <c r="AN169" s="39"/>
      <c r="AO169" s="39"/>
      <c r="AP169" s="39"/>
      <c r="AQ169" s="39"/>
      <c r="AR169" s="39"/>
      <c r="AS169" s="39"/>
      <c r="AT169" s="39"/>
      <c r="AU169" s="22" t="s">
        <v>940</v>
      </c>
      <c r="AV169" s="8" t="s">
        <v>941</v>
      </c>
      <c r="AW169" s="8" t="s">
        <v>942</v>
      </c>
      <c r="AX169" s="8" t="s">
        <v>941</v>
      </c>
      <c r="AY169" s="8" t="s">
        <v>943</v>
      </c>
      <c r="AZ169" s="8" t="s">
        <v>944</v>
      </c>
    </row>
    <row r="170">
      <c r="B170" s="15" t="s">
        <v>43</v>
      </c>
      <c r="C170" s="15" t="s">
        <v>945</v>
      </c>
      <c r="D170" s="16" t="str">
        <f t="shared" si="1"/>
        <v/>
      </c>
      <c r="E170" s="17">
        <v>40.0</v>
      </c>
      <c r="F170" s="17">
        <v>20.0</v>
      </c>
      <c r="G170" s="17">
        <v>120.0</v>
      </c>
      <c r="H170" s="17" t="b">
        <v>1</v>
      </c>
      <c r="I170" s="17" t="s">
        <v>51</v>
      </c>
      <c r="J170" s="17">
        <v>1.0</v>
      </c>
      <c r="K170" s="17">
        <v>20.0</v>
      </c>
      <c r="L170" s="18">
        <v>0.95</v>
      </c>
      <c r="M170" s="18">
        <v>1.0</v>
      </c>
      <c r="N170" s="18">
        <v>1.0</v>
      </c>
      <c r="O170" s="18"/>
      <c r="P170" s="18"/>
      <c r="Q170" s="17"/>
      <c r="R170" s="18"/>
      <c r="S170" s="18"/>
      <c r="T170" s="18"/>
      <c r="U170" s="18"/>
      <c r="V170" s="18"/>
      <c r="W170" s="18"/>
      <c r="X170" s="18"/>
      <c r="Y170" s="18"/>
      <c r="Z170" s="19"/>
      <c r="AA170" s="19"/>
      <c r="AB170" s="19"/>
      <c r="AC170" s="17"/>
      <c r="AD170" s="17"/>
      <c r="AE170" s="17" t="s">
        <v>740</v>
      </c>
      <c r="AF170" s="17">
        <v>20.0</v>
      </c>
      <c r="AG170" s="17"/>
      <c r="AH170" s="17">
        <v>1.1</v>
      </c>
      <c r="AI170" s="20"/>
      <c r="AJ170" s="20"/>
      <c r="AK170" s="20"/>
      <c r="AL170" s="20"/>
      <c r="AM170" s="20"/>
      <c r="AN170" s="20"/>
      <c r="AO170" s="20"/>
      <c r="AP170" s="20"/>
      <c r="AQ170" s="20"/>
      <c r="AR170" s="20"/>
      <c r="AS170" s="20"/>
      <c r="AT170" s="20"/>
      <c r="AU170" s="25" t="s">
        <v>946</v>
      </c>
      <c r="AV170" s="15" t="s">
        <v>947</v>
      </c>
      <c r="AW170" s="15" t="s">
        <v>948</v>
      </c>
      <c r="AX170" s="15" t="s">
        <v>949</v>
      </c>
      <c r="AY170" s="15" t="s">
        <v>950</v>
      </c>
      <c r="AZ170" s="15" t="s">
        <v>951</v>
      </c>
    </row>
    <row r="171">
      <c r="B171" s="8" t="s">
        <v>72</v>
      </c>
      <c r="C171" s="8" t="s">
        <v>416</v>
      </c>
      <c r="D171" s="9" t="str">
        <f t="shared" si="1"/>
        <v/>
      </c>
      <c r="E171" s="10">
        <v>40.0</v>
      </c>
      <c r="F171" s="10">
        <v>0.0</v>
      </c>
      <c r="G171" s="10">
        <v>2.5</v>
      </c>
      <c r="H171" s="13" t="b">
        <v>0</v>
      </c>
      <c r="I171" s="10" t="s">
        <v>51</v>
      </c>
      <c r="J171" s="10">
        <v>1.0</v>
      </c>
      <c r="K171" s="13"/>
      <c r="L171" s="11"/>
      <c r="M171" s="11"/>
      <c r="N171" s="11"/>
      <c r="O171" s="11"/>
      <c r="P171" s="11"/>
      <c r="Q171" s="10"/>
      <c r="R171" s="11"/>
      <c r="S171" s="11"/>
      <c r="T171" s="11"/>
      <c r="U171" s="8" t="s">
        <v>204</v>
      </c>
      <c r="V171" s="11"/>
      <c r="W171" s="11"/>
      <c r="X171" s="11"/>
      <c r="Y171" s="11"/>
      <c r="Z171" s="12">
        <v>750.0</v>
      </c>
      <c r="AA171" s="12"/>
      <c r="AB171" s="12"/>
      <c r="AC171" s="26"/>
      <c r="AD171" s="26"/>
      <c r="AE171" s="26"/>
      <c r="AF171" s="26"/>
      <c r="AG171" s="26"/>
      <c r="AH171" s="13"/>
      <c r="AI171" s="10"/>
      <c r="AJ171" s="10"/>
      <c r="AK171" s="10">
        <v>550.0</v>
      </c>
      <c r="AL171" s="10"/>
      <c r="AM171" s="13"/>
      <c r="AN171" s="13"/>
      <c r="AO171" s="13"/>
      <c r="AP171" s="13"/>
      <c r="AQ171" s="10">
        <v>1500.0</v>
      </c>
      <c r="AR171" s="10"/>
      <c r="AS171" s="10"/>
      <c r="AT171" s="10"/>
      <c r="AU171" s="22" t="s">
        <v>417</v>
      </c>
      <c r="AV171" s="8" t="s">
        <v>418</v>
      </c>
      <c r="AW171" s="8" t="s">
        <v>419</v>
      </c>
      <c r="AX171" s="8" t="s">
        <v>420</v>
      </c>
      <c r="AY171" s="8" t="s">
        <v>421</v>
      </c>
      <c r="AZ171" s="8" t="s">
        <v>422</v>
      </c>
    </row>
    <row r="172">
      <c r="B172" s="15" t="s">
        <v>180</v>
      </c>
      <c r="C172" s="15" t="s">
        <v>952</v>
      </c>
      <c r="D172" s="16" t="str">
        <f t="shared" si="1"/>
        <v/>
      </c>
      <c r="E172" s="17">
        <v>38.0</v>
      </c>
      <c r="F172" s="17">
        <v>15.0</v>
      </c>
      <c r="G172" s="58">
        <v>120.0</v>
      </c>
      <c r="H172" s="17" t="b">
        <v>1</v>
      </c>
      <c r="I172" s="17" t="s">
        <v>45</v>
      </c>
      <c r="J172" s="17">
        <v>1.0</v>
      </c>
      <c r="K172" s="58">
        <v>15.0</v>
      </c>
      <c r="L172" s="18">
        <v>0.7</v>
      </c>
      <c r="M172" s="18">
        <v>0.7</v>
      </c>
      <c r="N172" s="18">
        <v>0.7</v>
      </c>
      <c r="O172" s="18"/>
      <c r="P172" s="18"/>
      <c r="Q172" s="17"/>
      <c r="R172" s="18"/>
      <c r="S172" s="18"/>
      <c r="T172" s="18"/>
      <c r="U172" s="18"/>
      <c r="V172" s="18"/>
      <c r="W172" s="18"/>
      <c r="X172" s="18"/>
      <c r="Y172" s="18"/>
      <c r="Z172" s="19"/>
      <c r="AA172" s="19"/>
      <c r="AB172" s="19"/>
      <c r="AC172" s="43"/>
      <c r="AD172" s="43"/>
      <c r="AE172" s="43"/>
      <c r="AF172" s="43"/>
      <c r="AG172" s="43"/>
      <c r="AH172" s="43"/>
      <c r="AI172" s="44"/>
      <c r="AJ172" s="44"/>
      <c r="AK172" s="44"/>
      <c r="AL172" s="44"/>
      <c r="AM172" s="44"/>
      <c r="AN172" s="44"/>
      <c r="AO172" s="44"/>
      <c r="AP172" s="44"/>
      <c r="AQ172" s="44"/>
      <c r="AR172" s="44"/>
      <c r="AS172" s="44"/>
      <c r="AT172" s="44"/>
      <c r="AU172" s="25" t="s">
        <v>953</v>
      </c>
      <c r="AV172" s="15" t="s">
        <v>954</v>
      </c>
      <c r="AW172" s="15" t="s">
        <v>954</v>
      </c>
      <c r="AX172" s="15" t="s">
        <v>955</v>
      </c>
      <c r="AY172" s="15" t="s">
        <v>956</v>
      </c>
      <c r="AZ172" s="15" t="s">
        <v>957</v>
      </c>
    </row>
    <row r="173">
      <c r="B173" s="8" t="s">
        <v>186</v>
      </c>
      <c r="C173" s="8" t="s">
        <v>958</v>
      </c>
      <c r="D173" s="9" t="str">
        <f t="shared" si="1"/>
        <v/>
      </c>
      <c r="E173" s="10">
        <v>38.0</v>
      </c>
      <c r="F173" s="10">
        <v>15.0</v>
      </c>
      <c r="G173" s="47">
        <v>120.0</v>
      </c>
      <c r="H173" s="10" t="b">
        <v>1</v>
      </c>
      <c r="I173" s="10" t="s">
        <v>45</v>
      </c>
      <c r="J173" s="10">
        <v>1.0</v>
      </c>
      <c r="K173" s="47">
        <v>15.0</v>
      </c>
      <c r="L173" s="11">
        <v>0.7</v>
      </c>
      <c r="M173" s="11">
        <v>0.7</v>
      </c>
      <c r="N173" s="11">
        <v>0.7</v>
      </c>
      <c r="O173" s="11"/>
      <c r="P173" s="11"/>
      <c r="Q173" s="10"/>
      <c r="R173" s="11"/>
      <c r="S173" s="11"/>
      <c r="T173" s="11"/>
      <c r="U173" s="11"/>
      <c r="V173" s="11"/>
      <c r="W173" s="11"/>
      <c r="X173" s="11"/>
      <c r="Y173" s="11"/>
      <c r="Z173" s="12"/>
      <c r="AA173" s="12"/>
      <c r="AB173" s="12"/>
      <c r="AC173" s="38"/>
      <c r="AD173" s="38"/>
      <c r="AE173" s="38"/>
      <c r="AF173" s="38"/>
      <c r="AG173" s="38"/>
      <c r="AH173" s="38"/>
      <c r="AI173" s="39"/>
      <c r="AJ173" s="39"/>
      <c r="AK173" s="39"/>
      <c r="AL173" s="39"/>
      <c r="AM173" s="39"/>
      <c r="AN173" s="39"/>
      <c r="AO173" s="39"/>
      <c r="AP173" s="39"/>
      <c r="AQ173" s="39"/>
      <c r="AR173" s="39"/>
      <c r="AS173" s="39"/>
      <c r="AT173" s="39"/>
      <c r="AU173" s="22" t="s">
        <v>959</v>
      </c>
      <c r="AV173" s="8" t="s">
        <v>960</v>
      </c>
      <c r="AW173" s="8" t="s">
        <v>960</v>
      </c>
      <c r="AX173" s="8" t="s">
        <v>961</v>
      </c>
      <c r="AY173" s="8" t="s">
        <v>962</v>
      </c>
      <c r="AZ173" s="8" t="s">
        <v>963</v>
      </c>
    </row>
    <row r="174">
      <c r="B174" s="15" t="s">
        <v>192</v>
      </c>
      <c r="C174" s="15" t="s">
        <v>964</v>
      </c>
      <c r="D174" s="16" t="str">
        <f t="shared" si="1"/>
        <v/>
      </c>
      <c r="E174" s="17">
        <v>38.0</v>
      </c>
      <c r="F174" s="17">
        <v>15.0</v>
      </c>
      <c r="G174" s="58">
        <v>120.0</v>
      </c>
      <c r="H174" s="17" t="b">
        <v>1</v>
      </c>
      <c r="I174" s="17" t="s">
        <v>45</v>
      </c>
      <c r="J174" s="17">
        <v>1.0</v>
      </c>
      <c r="K174" s="58">
        <v>15.0</v>
      </c>
      <c r="L174" s="18">
        <v>0.7</v>
      </c>
      <c r="M174" s="18">
        <v>0.7</v>
      </c>
      <c r="N174" s="18">
        <v>0.7</v>
      </c>
      <c r="O174" s="18"/>
      <c r="P174" s="18"/>
      <c r="Q174" s="17"/>
      <c r="R174" s="18"/>
      <c r="S174" s="18"/>
      <c r="T174" s="18"/>
      <c r="U174" s="18"/>
      <c r="V174" s="18"/>
      <c r="W174" s="18"/>
      <c r="X174" s="18"/>
      <c r="Y174" s="18"/>
      <c r="Z174" s="19"/>
      <c r="AA174" s="19"/>
      <c r="AB174" s="19"/>
      <c r="AC174" s="43"/>
      <c r="AD174" s="43"/>
      <c r="AE174" s="43"/>
      <c r="AF174" s="43"/>
      <c r="AG174" s="43"/>
      <c r="AH174" s="43"/>
      <c r="AI174" s="44"/>
      <c r="AJ174" s="44"/>
      <c r="AK174" s="44"/>
      <c r="AL174" s="44"/>
      <c r="AM174" s="44"/>
      <c r="AN174" s="44"/>
      <c r="AO174" s="44"/>
      <c r="AP174" s="44"/>
      <c r="AQ174" s="44"/>
      <c r="AR174" s="44"/>
      <c r="AS174" s="44"/>
      <c r="AT174" s="44"/>
      <c r="AU174" s="25" t="s">
        <v>965</v>
      </c>
      <c r="AV174" s="15" t="s">
        <v>966</v>
      </c>
      <c r="AW174" s="15" t="s">
        <v>967</v>
      </c>
      <c r="AX174" s="15" t="s">
        <v>968</v>
      </c>
      <c r="AY174" s="15" t="s">
        <v>969</v>
      </c>
      <c r="AZ174" s="15" t="s">
        <v>970</v>
      </c>
    </row>
    <row r="175">
      <c r="B175" s="8" t="s">
        <v>198</v>
      </c>
      <c r="C175" s="8" t="s">
        <v>971</v>
      </c>
      <c r="D175" s="9" t="str">
        <f t="shared" si="1"/>
        <v/>
      </c>
      <c r="E175" s="10">
        <v>38.0</v>
      </c>
      <c r="F175" s="10">
        <v>15.0</v>
      </c>
      <c r="G175" s="47">
        <v>120.0</v>
      </c>
      <c r="H175" s="10" t="b">
        <v>1</v>
      </c>
      <c r="I175" s="10" t="s">
        <v>45</v>
      </c>
      <c r="J175" s="10">
        <v>1.0</v>
      </c>
      <c r="K175" s="47">
        <v>15.0</v>
      </c>
      <c r="L175" s="11">
        <v>0.7</v>
      </c>
      <c r="M175" s="11">
        <v>0.7</v>
      </c>
      <c r="N175" s="11">
        <v>0.7</v>
      </c>
      <c r="O175" s="11"/>
      <c r="P175" s="11"/>
      <c r="Q175" s="10"/>
      <c r="R175" s="11"/>
      <c r="S175" s="11"/>
      <c r="T175" s="11"/>
      <c r="U175" s="11"/>
      <c r="V175" s="11"/>
      <c r="W175" s="11"/>
      <c r="X175" s="11"/>
      <c r="Y175" s="11"/>
      <c r="Z175" s="12"/>
      <c r="AA175" s="12"/>
      <c r="AB175" s="12"/>
      <c r="AC175" s="38"/>
      <c r="AD175" s="38"/>
      <c r="AE175" s="38"/>
      <c r="AF175" s="38"/>
      <c r="AG175" s="38"/>
      <c r="AH175" s="38"/>
      <c r="AI175" s="10"/>
      <c r="AJ175" s="10"/>
      <c r="AK175" s="39"/>
      <c r="AL175" s="39"/>
      <c r="AM175" s="39"/>
      <c r="AN175" s="39"/>
      <c r="AO175" s="39"/>
      <c r="AP175" s="39"/>
      <c r="AQ175" s="39"/>
      <c r="AR175" s="39"/>
      <c r="AS175" s="39"/>
      <c r="AT175" s="39"/>
      <c r="AU175" s="22" t="s">
        <v>972</v>
      </c>
      <c r="AV175" s="8" t="s">
        <v>973</v>
      </c>
      <c r="AW175" s="8" t="s">
        <v>974</v>
      </c>
      <c r="AX175" s="8" t="s">
        <v>975</v>
      </c>
      <c r="AY175" s="8" t="s">
        <v>976</v>
      </c>
      <c r="AZ175" s="8" t="s">
        <v>977</v>
      </c>
    </row>
    <row r="176">
      <c r="B176" s="15" t="s">
        <v>186</v>
      </c>
      <c r="C176" s="15" t="s">
        <v>667</v>
      </c>
      <c r="D176" s="16" t="str">
        <f t="shared" si="1"/>
        <v/>
      </c>
      <c r="E176" s="17">
        <v>35.0</v>
      </c>
      <c r="F176" s="17">
        <v>4.0</v>
      </c>
      <c r="G176" s="58">
        <v>5.0</v>
      </c>
      <c r="H176" s="17" t="b">
        <v>1</v>
      </c>
      <c r="I176" s="17" t="s">
        <v>45</v>
      </c>
      <c r="J176" s="17">
        <v>1.0</v>
      </c>
      <c r="K176" s="17">
        <v>4.0</v>
      </c>
      <c r="L176" s="18">
        <v>0.85</v>
      </c>
      <c r="M176" s="18">
        <v>0.85</v>
      </c>
      <c r="N176" s="18">
        <v>0.85</v>
      </c>
      <c r="O176" s="18"/>
      <c r="P176" s="18"/>
      <c r="Q176" s="17"/>
      <c r="R176" s="18"/>
      <c r="S176" s="18"/>
      <c r="T176" s="18"/>
      <c r="U176" s="18"/>
      <c r="V176" s="18"/>
      <c r="W176" s="18"/>
      <c r="X176" s="18"/>
      <c r="Y176" s="18"/>
      <c r="Z176" s="19"/>
      <c r="AA176" s="19"/>
      <c r="AB176" s="19"/>
      <c r="AC176" s="43"/>
      <c r="AD176" s="43"/>
      <c r="AE176" s="43"/>
      <c r="AF176" s="43"/>
      <c r="AG176" s="43"/>
      <c r="AH176" s="43"/>
      <c r="AI176" s="44"/>
      <c r="AJ176" s="44"/>
      <c r="AK176" s="44"/>
      <c r="AL176" s="44"/>
      <c r="AM176" s="44"/>
      <c r="AN176" s="44"/>
      <c r="AO176" s="44"/>
      <c r="AP176" s="44"/>
      <c r="AQ176" s="44"/>
      <c r="AR176" s="44"/>
      <c r="AS176" s="44"/>
      <c r="AT176" s="44"/>
      <c r="AU176" s="25" t="s">
        <v>668</v>
      </c>
      <c r="AV176" s="15" t="s">
        <v>669</v>
      </c>
      <c r="AW176" s="15" t="s">
        <v>670</v>
      </c>
      <c r="AX176" s="15" t="s">
        <v>670</v>
      </c>
      <c r="AY176" s="15" t="s">
        <v>671</v>
      </c>
      <c r="AZ176" s="15" t="s">
        <v>672</v>
      </c>
    </row>
    <row r="177">
      <c r="B177" s="8" t="s">
        <v>43</v>
      </c>
      <c r="C177" s="8" t="s">
        <v>348</v>
      </c>
      <c r="D177" s="9" t="str">
        <f t="shared" si="1"/>
        <v/>
      </c>
      <c r="E177" s="10">
        <v>35.0</v>
      </c>
      <c r="F177" s="10">
        <v>30.0</v>
      </c>
      <c r="G177" s="10">
        <v>2.5</v>
      </c>
      <c r="H177" s="13" t="b">
        <v>0</v>
      </c>
      <c r="I177" s="10" t="s">
        <v>51</v>
      </c>
      <c r="J177" s="10">
        <v>1.0</v>
      </c>
      <c r="K177" s="10"/>
      <c r="L177" s="11"/>
      <c r="M177" s="11"/>
      <c r="N177" s="11"/>
      <c r="O177" s="11"/>
      <c r="P177" s="11"/>
      <c r="Q177" s="10"/>
      <c r="R177" s="11"/>
      <c r="S177" s="11"/>
      <c r="T177" s="11"/>
      <c r="U177" s="11"/>
      <c r="V177" s="11"/>
      <c r="W177" s="11"/>
      <c r="X177" s="11"/>
      <c r="Y177" s="11"/>
      <c r="Z177" s="12"/>
      <c r="AA177" s="12"/>
      <c r="AB177" s="12"/>
      <c r="AC177" s="26"/>
      <c r="AD177" s="26"/>
      <c r="AE177" s="26"/>
      <c r="AF177" s="26"/>
      <c r="AG177" s="26"/>
      <c r="AH177" s="13"/>
      <c r="AI177" s="10"/>
      <c r="AJ177" s="10"/>
      <c r="AK177" s="10">
        <v>200.0</v>
      </c>
      <c r="AL177" s="10"/>
      <c r="AM177" s="10"/>
      <c r="AN177" s="10"/>
      <c r="AO177" s="10">
        <v>30.0</v>
      </c>
      <c r="AP177" s="10">
        <v>230.0</v>
      </c>
      <c r="AQ177" s="10">
        <v>1000.0</v>
      </c>
      <c r="AR177" s="10"/>
      <c r="AS177" s="10"/>
      <c r="AT177" s="10"/>
      <c r="AU177" s="22" t="s">
        <v>349</v>
      </c>
      <c r="AV177" s="8" t="s">
        <v>350</v>
      </c>
      <c r="AW177" s="8" t="s">
        <v>351</v>
      </c>
      <c r="AX177" s="8" t="s">
        <v>352</v>
      </c>
      <c r="AY177" s="8" t="s">
        <v>353</v>
      </c>
      <c r="AZ177" s="8" t="s">
        <v>354</v>
      </c>
    </row>
    <row r="178">
      <c r="B178" s="15" t="s">
        <v>72</v>
      </c>
      <c r="C178" s="15" t="s">
        <v>458</v>
      </c>
      <c r="D178" s="16" t="str">
        <f t="shared" si="1"/>
        <v/>
      </c>
      <c r="E178" s="17">
        <v>35.0</v>
      </c>
      <c r="F178" s="17">
        <v>18.0</v>
      </c>
      <c r="G178" s="17">
        <v>2.5</v>
      </c>
      <c r="H178" s="20" t="b">
        <v>0</v>
      </c>
      <c r="I178" s="17" t="s">
        <v>56</v>
      </c>
      <c r="J178" s="17">
        <v>1.0</v>
      </c>
      <c r="K178" s="17"/>
      <c r="L178" s="18"/>
      <c r="M178" s="18"/>
      <c r="N178" s="18"/>
      <c r="O178" s="18"/>
      <c r="P178" s="18"/>
      <c r="Q178" s="17"/>
      <c r="R178" s="18"/>
      <c r="S178" s="18"/>
      <c r="T178" s="18"/>
      <c r="U178" s="18"/>
      <c r="V178" s="18"/>
      <c r="W178" s="18"/>
      <c r="X178" s="18"/>
      <c r="Y178" s="18"/>
      <c r="Z178" s="19"/>
      <c r="AA178" s="19"/>
      <c r="AB178" s="19"/>
      <c r="AC178" s="24"/>
      <c r="AD178" s="24"/>
      <c r="AE178" s="24"/>
      <c r="AF178" s="24"/>
      <c r="AG178" s="24"/>
      <c r="AH178" s="20"/>
      <c r="AI178" s="17"/>
      <c r="AJ178" s="17"/>
      <c r="AK178" s="20"/>
      <c r="AL178" s="20"/>
      <c r="AM178" s="17">
        <v>18.0</v>
      </c>
      <c r="AN178" s="17">
        <v>200.0</v>
      </c>
      <c r="AO178" s="20"/>
      <c r="AP178" s="20"/>
      <c r="AQ178" s="17">
        <v>500.0</v>
      </c>
      <c r="AR178" s="17"/>
      <c r="AS178" s="17"/>
      <c r="AT178" s="17"/>
      <c r="AU178" s="25" t="s">
        <v>459</v>
      </c>
      <c r="AV178" s="15" t="s">
        <v>460</v>
      </c>
      <c r="AW178" s="15" t="s">
        <v>461</v>
      </c>
      <c r="AX178" s="15" t="s">
        <v>462</v>
      </c>
      <c r="AY178" s="15" t="s">
        <v>463</v>
      </c>
      <c r="AZ178" s="15" t="s">
        <v>464</v>
      </c>
    </row>
    <row r="179">
      <c r="B179" s="8" t="s">
        <v>65</v>
      </c>
      <c r="C179" s="8" t="s">
        <v>375</v>
      </c>
      <c r="D179" s="9" t="str">
        <f t="shared" si="1"/>
        <v/>
      </c>
      <c r="E179" s="10">
        <v>34.0</v>
      </c>
      <c r="F179" s="10">
        <v>15.0</v>
      </c>
      <c r="G179" s="10">
        <v>2.5</v>
      </c>
      <c r="H179" s="10" t="b">
        <v>0</v>
      </c>
      <c r="I179" s="10" t="s">
        <v>56</v>
      </c>
      <c r="J179" s="10">
        <v>1.0</v>
      </c>
      <c r="K179" s="10"/>
      <c r="L179" s="11"/>
      <c r="M179" s="11"/>
      <c r="N179" s="11"/>
      <c r="O179" s="11"/>
      <c r="P179" s="11"/>
      <c r="Q179" s="10"/>
      <c r="R179" s="11"/>
      <c r="S179" s="11"/>
      <c r="T179" s="11"/>
      <c r="U179" s="11" t="s">
        <v>67</v>
      </c>
      <c r="V179" s="11"/>
      <c r="W179" s="11"/>
      <c r="X179" s="11"/>
      <c r="Y179" s="11"/>
      <c r="Z179" s="12"/>
      <c r="AA179" s="12">
        <v>30.0</v>
      </c>
      <c r="AB179" s="12">
        <v>500.0</v>
      </c>
      <c r="AC179" s="26"/>
      <c r="AD179" s="26"/>
      <c r="AE179" s="26"/>
      <c r="AF179" s="26"/>
      <c r="AG179" s="26"/>
      <c r="AH179" s="13"/>
      <c r="AI179" s="10"/>
      <c r="AJ179" s="10"/>
      <c r="AK179" s="10">
        <v>200.0</v>
      </c>
      <c r="AL179" s="10"/>
      <c r="AM179" s="10">
        <v>15.0</v>
      </c>
      <c r="AN179" s="10">
        <v>200.0</v>
      </c>
      <c r="AO179" s="13"/>
      <c r="AP179" s="13"/>
      <c r="AQ179" s="10">
        <v>400.0</v>
      </c>
      <c r="AR179" s="10"/>
      <c r="AS179" s="10"/>
      <c r="AT179" s="10"/>
      <c r="AU179" s="22" t="s">
        <v>376</v>
      </c>
      <c r="AV179" s="8" t="s">
        <v>377</v>
      </c>
      <c r="AW179" s="8" t="s">
        <v>378</v>
      </c>
      <c r="AX179" s="8" t="s">
        <v>379</v>
      </c>
      <c r="AY179" s="8" t="s">
        <v>380</v>
      </c>
      <c r="AZ179" s="8" t="s">
        <v>381</v>
      </c>
    </row>
    <row r="180">
      <c r="B180" s="15" t="s">
        <v>43</v>
      </c>
      <c r="C180" s="15" t="s">
        <v>342</v>
      </c>
      <c r="D180" s="16" t="str">
        <f t="shared" si="1"/>
        <v/>
      </c>
      <c r="E180" s="17">
        <v>30.0</v>
      </c>
      <c r="F180" s="17">
        <v>30.0</v>
      </c>
      <c r="G180" s="17">
        <v>2.5</v>
      </c>
      <c r="H180" s="20" t="b">
        <v>0</v>
      </c>
      <c r="I180" s="17" t="s">
        <v>56</v>
      </c>
      <c r="J180" s="17">
        <v>1.0</v>
      </c>
      <c r="K180" s="17"/>
      <c r="L180" s="18"/>
      <c r="M180" s="18"/>
      <c r="N180" s="18"/>
      <c r="O180" s="18"/>
      <c r="P180" s="18"/>
      <c r="Q180" s="17"/>
      <c r="R180" s="18"/>
      <c r="S180" s="18"/>
      <c r="T180" s="18"/>
      <c r="U180" s="18" t="s">
        <v>57</v>
      </c>
      <c r="V180" s="18"/>
      <c r="W180" s="18"/>
      <c r="X180" s="18"/>
      <c r="Y180" s="18"/>
      <c r="Z180" s="19"/>
      <c r="AA180" s="19">
        <v>30.0</v>
      </c>
      <c r="AB180" s="19">
        <v>375.0</v>
      </c>
      <c r="AC180" s="24"/>
      <c r="AD180" s="24"/>
      <c r="AE180" s="24"/>
      <c r="AF180" s="24"/>
      <c r="AG180" s="24"/>
      <c r="AH180" s="20"/>
      <c r="AI180" s="17"/>
      <c r="AJ180" s="17"/>
      <c r="AK180" s="17">
        <v>300.0</v>
      </c>
      <c r="AL180" s="17"/>
      <c r="AM180" s="20"/>
      <c r="AN180" s="20"/>
      <c r="AO180" s="17">
        <v>30.0</v>
      </c>
      <c r="AP180" s="17">
        <v>375.0</v>
      </c>
      <c r="AQ180" s="17">
        <v>1000.0</v>
      </c>
      <c r="AR180" s="17"/>
      <c r="AS180" s="17"/>
      <c r="AT180" s="17"/>
      <c r="AU180" s="25" t="s">
        <v>343</v>
      </c>
      <c r="AV180" s="15" t="s">
        <v>344</v>
      </c>
      <c r="AW180" s="15" t="s">
        <v>344</v>
      </c>
      <c r="AX180" s="15" t="s">
        <v>345</v>
      </c>
      <c r="AY180" s="15" t="s">
        <v>346</v>
      </c>
      <c r="AZ180" s="15" t="s">
        <v>347</v>
      </c>
    </row>
    <row r="181">
      <c r="B181" s="8" t="s">
        <v>60</v>
      </c>
      <c r="C181" s="8" t="s">
        <v>355</v>
      </c>
      <c r="D181" s="9" t="str">
        <f t="shared" si="1"/>
        <v/>
      </c>
      <c r="E181" s="10">
        <v>30.0</v>
      </c>
      <c r="F181" s="10">
        <v>30.0</v>
      </c>
      <c r="G181" s="10">
        <v>2.5</v>
      </c>
      <c r="H181" s="13" t="b">
        <v>0</v>
      </c>
      <c r="I181" s="10" t="s">
        <v>56</v>
      </c>
      <c r="J181" s="10">
        <v>1.0</v>
      </c>
      <c r="K181" s="10"/>
      <c r="L181" s="11"/>
      <c r="M181" s="11"/>
      <c r="N181" s="11"/>
      <c r="O181" s="11"/>
      <c r="P181" s="11"/>
      <c r="Q181" s="10"/>
      <c r="R181" s="11"/>
      <c r="S181" s="11"/>
      <c r="T181" s="11"/>
      <c r="U181" s="11"/>
      <c r="V181" s="11"/>
      <c r="W181" s="11"/>
      <c r="X181" s="11"/>
      <c r="Y181" s="11"/>
      <c r="Z181" s="12"/>
      <c r="AA181" s="12"/>
      <c r="AB181" s="12"/>
      <c r="AC181" s="26"/>
      <c r="AD181" s="26"/>
      <c r="AE181" s="26"/>
      <c r="AF181" s="26"/>
      <c r="AG181" s="26"/>
      <c r="AH181" s="13"/>
      <c r="AI181" s="10"/>
      <c r="AJ181" s="10"/>
      <c r="AK181" s="10">
        <v>300.0</v>
      </c>
      <c r="AL181" s="10"/>
      <c r="AM181" s="10"/>
      <c r="AN181" s="10"/>
      <c r="AO181" s="10">
        <v>30.0</v>
      </c>
      <c r="AP181" s="10">
        <v>375.0</v>
      </c>
      <c r="AQ181" s="10">
        <v>900.0</v>
      </c>
      <c r="AR181" s="10"/>
      <c r="AS181" s="10"/>
      <c r="AT181" s="10"/>
      <c r="AU181" s="22" t="s">
        <v>356</v>
      </c>
      <c r="AV181" s="8" t="s">
        <v>357</v>
      </c>
      <c r="AW181" s="8" t="s">
        <v>358</v>
      </c>
      <c r="AX181" s="8" t="s">
        <v>359</v>
      </c>
      <c r="AY181" s="8" t="s">
        <v>360</v>
      </c>
      <c r="AZ181" s="8" t="s">
        <v>361</v>
      </c>
    </row>
    <row r="182">
      <c r="B182" s="15" t="s">
        <v>60</v>
      </c>
      <c r="C182" s="15" t="s">
        <v>362</v>
      </c>
      <c r="D182" s="16" t="str">
        <f t="shared" si="1"/>
        <v/>
      </c>
      <c r="E182" s="17">
        <v>30.0</v>
      </c>
      <c r="F182" s="17">
        <v>30.0</v>
      </c>
      <c r="G182" s="17">
        <v>2.5</v>
      </c>
      <c r="H182" s="20" t="b">
        <v>0</v>
      </c>
      <c r="I182" s="17" t="s">
        <v>51</v>
      </c>
      <c r="J182" s="17">
        <v>1.0</v>
      </c>
      <c r="K182" s="17"/>
      <c r="L182" s="18"/>
      <c r="M182" s="18"/>
      <c r="N182" s="18"/>
      <c r="O182" s="18"/>
      <c r="P182" s="18"/>
      <c r="Q182" s="17"/>
      <c r="R182" s="18"/>
      <c r="S182" s="18"/>
      <c r="T182" s="18"/>
      <c r="U182" s="18"/>
      <c r="V182" s="18"/>
      <c r="W182" s="18"/>
      <c r="X182" s="18"/>
      <c r="Y182" s="18"/>
      <c r="Z182" s="19"/>
      <c r="AA182" s="19"/>
      <c r="AB182" s="19"/>
      <c r="AC182" s="24"/>
      <c r="AD182" s="24"/>
      <c r="AE182" s="24"/>
      <c r="AF182" s="24"/>
      <c r="AG182" s="24"/>
      <c r="AH182" s="20"/>
      <c r="AI182" s="17"/>
      <c r="AJ182" s="17"/>
      <c r="AK182" s="17">
        <v>100.0</v>
      </c>
      <c r="AL182" s="17"/>
      <c r="AM182" s="20"/>
      <c r="AN182" s="20"/>
      <c r="AO182" s="17">
        <v>30.0</v>
      </c>
      <c r="AP182" s="17">
        <v>230.0</v>
      </c>
      <c r="AQ182" s="17">
        <v>900.0</v>
      </c>
      <c r="AR182" s="17"/>
      <c r="AS182" s="17"/>
      <c r="AT182" s="17"/>
      <c r="AU182" s="25" t="s">
        <v>363</v>
      </c>
      <c r="AV182" s="15" t="s">
        <v>364</v>
      </c>
      <c r="AW182" s="15" t="s">
        <v>365</v>
      </c>
      <c r="AX182" s="15" t="s">
        <v>366</v>
      </c>
      <c r="AY182" s="15" t="s">
        <v>367</v>
      </c>
      <c r="AZ182" s="15" t="s">
        <v>368</v>
      </c>
    </row>
    <row r="183">
      <c r="B183" s="8" t="s">
        <v>65</v>
      </c>
      <c r="C183" s="8" t="s">
        <v>978</v>
      </c>
      <c r="D183" s="9" t="str">
        <f t="shared" si="1"/>
        <v/>
      </c>
      <c r="E183" s="10">
        <v>30.0</v>
      </c>
      <c r="F183" s="10">
        <v>0.0</v>
      </c>
      <c r="G183" s="10">
        <v>55.0</v>
      </c>
      <c r="H183" s="10" t="b">
        <v>1</v>
      </c>
      <c r="I183" s="10" t="s">
        <v>45</v>
      </c>
      <c r="J183" s="10">
        <v>1.0</v>
      </c>
      <c r="K183" s="10"/>
      <c r="L183" s="11"/>
      <c r="M183" s="11"/>
      <c r="N183" s="11"/>
      <c r="O183" s="11"/>
      <c r="P183" s="11"/>
      <c r="Q183" s="10"/>
      <c r="R183" s="11"/>
      <c r="S183" s="11"/>
      <c r="T183" s="11"/>
      <c r="U183" s="11"/>
      <c r="V183" s="11"/>
      <c r="W183" s="11"/>
      <c r="X183" s="11"/>
      <c r="Y183" s="11"/>
      <c r="Z183" s="12"/>
      <c r="AA183" s="12"/>
      <c r="AB183" s="12"/>
      <c r="AC183" s="26"/>
      <c r="AD183" s="26"/>
      <c r="AE183" s="26"/>
      <c r="AF183" s="26"/>
      <c r="AG183" s="26"/>
      <c r="AH183" s="13"/>
      <c r="AI183" s="10"/>
      <c r="AJ183" s="10"/>
      <c r="AK183" s="10"/>
      <c r="AL183" s="10"/>
      <c r="AM183" s="10"/>
      <c r="AN183" s="10"/>
      <c r="AO183" s="13"/>
      <c r="AP183" s="13"/>
      <c r="AQ183" s="10"/>
      <c r="AR183" s="10"/>
      <c r="AS183" s="10"/>
      <c r="AT183" s="10" t="s">
        <v>736</v>
      </c>
      <c r="AU183" s="14" t="s">
        <v>979</v>
      </c>
      <c r="AV183" s="8" t="s">
        <v>980</v>
      </c>
      <c r="AW183" s="8" t="s">
        <v>981</v>
      </c>
      <c r="AX183" s="8" t="s">
        <v>982</v>
      </c>
      <c r="AY183" s="8"/>
      <c r="AZ183" s="8"/>
    </row>
    <row r="184">
      <c r="B184" s="15" t="s">
        <v>65</v>
      </c>
      <c r="C184" s="15" t="s">
        <v>736</v>
      </c>
      <c r="D184" s="16" t="str">
        <f t="shared" si="1"/>
        <v/>
      </c>
      <c r="E184" s="17">
        <v>30.0</v>
      </c>
      <c r="F184" s="17">
        <v>0.0</v>
      </c>
      <c r="G184" s="17">
        <v>55.0</v>
      </c>
      <c r="H184" s="17" t="b">
        <v>1</v>
      </c>
      <c r="I184" s="17" t="s">
        <v>45</v>
      </c>
      <c r="J184" s="17">
        <v>1.0</v>
      </c>
      <c r="K184" s="17"/>
      <c r="L184" s="18"/>
      <c r="M184" s="18"/>
      <c r="N184" s="18"/>
      <c r="O184" s="18"/>
      <c r="P184" s="18"/>
      <c r="Q184" s="17"/>
      <c r="R184" s="18"/>
      <c r="S184" s="18"/>
      <c r="T184" s="18"/>
      <c r="U184" s="18"/>
      <c r="V184" s="18"/>
      <c r="W184" s="18"/>
      <c r="X184" s="18"/>
      <c r="Y184" s="18"/>
      <c r="Z184" s="19"/>
      <c r="AA184" s="19"/>
      <c r="AB184" s="19"/>
      <c r="AC184" s="24"/>
      <c r="AD184" s="24"/>
      <c r="AE184" s="24"/>
      <c r="AF184" s="24"/>
      <c r="AG184" s="24"/>
      <c r="AH184" s="20"/>
      <c r="AI184" s="17"/>
      <c r="AJ184" s="17"/>
      <c r="AK184" s="17"/>
      <c r="AL184" s="17"/>
      <c r="AM184" s="17"/>
      <c r="AN184" s="17"/>
      <c r="AO184" s="20"/>
      <c r="AP184" s="20"/>
      <c r="AQ184" s="17"/>
      <c r="AR184" s="17"/>
      <c r="AS184" s="17"/>
      <c r="AT184" s="17" t="s">
        <v>978</v>
      </c>
      <c r="AU184" s="25" t="s">
        <v>983</v>
      </c>
      <c r="AV184" s="15" t="s">
        <v>984</v>
      </c>
      <c r="AW184" s="15" t="s">
        <v>985</v>
      </c>
      <c r="AX184" s="15" t="s">
        <v>986</v>
      </c>
      <c r="AY184" s="15"/>
      <c r="AZ184" s="15"/>
    </row>
    <row r="185">
      <c r="B185" s="8" t="s">
        <v>65</v>
      </c>
      <c r="C185" s="8" t="s">
        <v>987</v>
      </c>
      <c r="D185" s="9" t="str">
        <f t="shared" si="1"/>
        <v/>
      </c>
      <c r="E185" s="10">
        <v>30.0</v>
      </c>
      <c r="F185" s="10">
        <v>15.0</v>
      </c>
      <c r="G185" s="10">
        <v>1.0</v>
      </c>
      <c r="H185" s="10" t="b">
        <v>1</v>
      </c>
      <c r="I185" s="10" t="s">
        <v>56</v>
      </c>
      <c r="J185" s="10">
        <v>1.0</v>
      </c>
      <c r="K185" s="10"/>
      <c r="L185" s="11"/>
      <c r="M185" s="11"/>
      <c r="N185" s="11"/>
      <c r="O185" s="11"/>
      <c r="P185" s="11"/>
      <c r="Q185" s="10"/>
      <c r="R185" s="11"/>
      <c r="S185" s="11"/>
      <c r="T185" s="11"/>
      <c r="U185" s="11"/>
      <c r="V185" s="11"/>
      <c r="W185" s="11"/>
      <c r="X185" s="11"/>
      <c r="Y185" s="11"/>
      <c r="Z185" s="12"/>
      <c r="AA185" s="12"/>
      <c r="AB185" s="12"/>
      <c r="AC185" s="26"/>
      <c r="AD185" s="26"/>
      <c r="AE185" s="26" t="s">
        <v>988</v>
      </c>
      <c r="AF185" s="26">
        <v>15.0</v>
      </c>
      <c r="AG185" s="26"/>
      <c r="AH185" s="10">
        <v>1.1</v>
      </c>
      <c r="AI185" s="10"/>
      <c r="AJ185" s="10"/>
      <c r="AK185" s="10"/>
      <c r="AL185" s="10"/>
      <c r="AM185" s="10"/>
      <c r="AN185" s="10"/>
      <c r="AO185" s="13"/>
      <c r="AP185" s="13"/>
      <c r="AQ185" s="10"/>
      <c r="AR185" s="10">
        <v>1200.0</v>
      </c>
      <c r="AS185" s="10" t="s">
        <v>978</v>
      </c>
      <c r="AT185" s="10"/>
      <c r="AU185" s="14" t="s">
        <v>989</v>
      </c>
      <c r="AV185" s="8" t="s">
        <v>990</v>
      </c>
      <c r="AW185" s="8" t="s">
        <v>991</v>
      </c>
      <c r="AX185" s="8" t="s">
        <v>992</v>
      </c>
      <c r="AY185" s="8"/>
      <c r="AZ185" s="8"/>
    </row>
    <row r="186">
      <c r="B186" s="15" t="s">
        <v>65</v>
      </c>
      <c r="C186" s="15" t="s">
        <v>993</v>
      </c>
      <c r="D186" s="16" t="str">
        <f t="shared" si="1"/>
        <v/>
      </c>
      <c r="E186" s="17">
        <v>30.0</v>
      </c>
      <c r="F186" s="17">
        <v>15.0</v>
      </c>
      <c r="G186" s="17">
        <v>1.0</v>
      </c>
      <c r="H186" s="17" t="b">
        <v>1</v>
      </c>
      <c r="I186" s="17" t="s">
        <v>56</v>
      </c>
      <c r="J186" s="17">
        <v>1.0</v>
      </c>
      <c r="K186" s="17"/>
      <c r="L186" s="18"/>
      <c r="M186" s="18"/>
      <c r="N186" s="18"/>
      <c r="O186" s="18"/>
      <c r="P186" s="18"/>
      <c r="Q186" s="17"/>
      <c r="R186" s="18"/>
      <c r="S186" s="18"/>
      <c r="T186" s="18"/>
      <c r="U186" s="18"/>
      <c r="V186" s="18"/>
      <c r="W186" s="18"/>
      <c r="X186" s="18"/>
      <c r="Y186" s="18"/>
      <c r="Z186" s="19"/>
      <c r="AA186" s="19"/>
      <c r="AB186" s="19"/>
      <c r="AC186" s="24"/>
      <c r="AD186" s="24"/>
      <c r="AE186" s="24"/>
      <c r="AF186" s="24"/>
      <c r="AG186" s="24"/>
      <c r="AH186" s="20"/>
      <c r="AI186" s="17"/>
      <c r="AJ186" s="17"/>
      <c r="AK186" s="17"/>
      <c r="AL186" s="17"/>
      <c r="AM186" s="17">
        <v>15.0</v>
      </c>
      <c r="AN186" s="17">
        <v>200.0</v>
      </c>
      <c r="AO186" s="20"/>
      <c r="AP186" s="20"/>
      <c r="AQ186" s="17"/>
      <c r="AR186" s="17">
        <v>1200.0</v>
      </c>
      <c r="AS186" s="17" t="s">
        <v>736</v>
      </c>
      <c r="AT186" s="17"/>
      <c r="AU186" s="21" t="s">
        <v>994</v>
      </c>
      <c r="AV186" s="15" t="s">
        <v>995</v>
      </c>
      <c r="AW186" s="15" t="s">
        <v>996</v>
      </c>
      <c r="AX186" s="15" t="s">
        <v>997</v>
      </c>
      <c r="AY186" s="15"/>
      <c r="AZ186" s="15"/>
    </row>
    <row r="187">
      <c r="B187" s="8" t="s">
        <v>65</v>
      </c>
      <c r="C187" s="8" t="s">
        <v>998</v>
      </c>
      <c r="D187" s="9" t="str">
        <f t="shared" si="1"/>
        <v/>
      </c>
      <c r="E187" s="10">
        <v>30.0</v>
      </c>
      <c r="F187" s="10">
        <v>30.0</v>
      </c>
      <c r="G187" s="10">
        <v>1.0</v>
      </c>
      <c r="H187" s="10" t="b">
        <v>1</v>
      </c>
      <c r="I187" s="10" t="s">
        <v>56</v>
      </c>
      <c r="J187" s="10">
        <v>1.0</v>
      </c>
      <c r="K187" s="10"/>
      <c r="L187" s="11"/>
      <c r="M187" s="11"/>
      <c r="N187" s="11"/>
      <c r="O187" s="11"/>
      <c r="P187" s="11"/>
      <c r="Q187" s="10"/>
      <c r="R187" s="11"/>
      <c r="S187" s="11"/>
      <c r="T187" s="11"/>
      <c r="U187" s="11"/>
      <c r="V187" s="11"/>
      <c r="W187" s="11"/>
      <c r="X187" s="11"/>
      <c r="Y187" s="11"/>
      <c r="Z187" s="12"/>
      <c r="AA187" s="12"/>
      <c r="AB187" s="12"/>
      <c r="AC187" s="26"/>
      <c r="AD187" s="26"/>
      <c r="AE187" s="26"/>
      <c r="AF187" s="26"/>
      <c r="AG187" s="26"/>
      <c r="AH187" s="13"/>
      <c r="AI187" s="10"/>
      <c r="AJ187" s="10"/>
      <c r="AK187" s="10"/>
      <c r="AL187" s="10"/>
      <c r="AM187" s="10"/>
      <c r="AN187" s="10"/>
      <c r="AO187" s="10">
        <v>30.0</v>
      </c>
      <c r="AP187" s="10">
        <v>400.0</v>
      </c>
      <c r="AQ187" s="10"/>
      <c r="AR187" s="10">
        <v>1200.0</v>
      </c>
      <c r="AS187" s="10" t="s">
        <v>978</v>
      </c>
      <c r="AT187" s="10"/>
      <c r="AU187" s="14" t="s">
        <v>999</v>
      </c>
      <c r="AV187" s="8" t="s">
        <v>1000</v>
      </c>
      <c r="AW187" s="8" t="s">
        <v>1001</v>
      </c>
      <c r="AX187" s="8" t="s">
        <v>1002</v>
      </c>
      <c r="AY187" s="8"/>
      <c r="AZ187" s="8"/>
    </row>
    <row r="188">
      <c r="B188" s="15" t="s">
        <v>65</v>
      </c>
      <c r="C188" s="15" t="s">
        <v>1003</v>
      </c>
      <c r="D188" s="16" t="str">
        <f t="shared" si="1"/>
        <v/>
      </c>
      <c r="E188" s="17">
        <v>30.0</v>
      </c>
      <c r="F188" s="17">
        <v>15.0</v>
      </c>
      <c r="G188" s="17">
        <v>1.0</v>
      </c>
      <c r="H188" s="17" t="b">
        <v>1</v>
      </c>
      <c r="I188" s="17" t="s">
        <v>56</v>
      </c>
      <c r="J188" s="17">
        <v>1.0</v>
      </c>
      <c r="K188" s="17">
        <v>15.0</v>
      </c>
      <c r="L188" s="18">
        <v>0.9</v>
      </c>
      <c r="M188" s="18">
        <v>0.9</v>
      </c>
      <c r="N188" s="18">
        <v>0.9</v>
      </c>
      <c r="O188" s="18"/>
      <c r="P188" s="18"/>
      <c r="Q188" s="17"/>
      <c r="R188" s="18"/>
      <c r="S188" s="18"/>
      <c r="T188" s="18"/>
      <c r="U188" s="18"/>
      <c r="V188" s="18"/>
      <c r="W188" s="18"/>
      <c r="X188" s="18"/>
      <c r="Y188" s="18"/>
      <c r="Z188" s="19"/>
      <c r="AA188" s="19"/>
      <c r="AB188" s="19"/>
      <c r="AC188" s="24"/>
      <c r="AD188" s="24"/>
      <c r="AE188" s="24"/>
      <c r="AF188" s="24"/>
      <c r="AG188" s="24"/>
      <c r="AH188" s="20"/>
      <c r="AI188" s="17"/>
      <c r="AJ188" s="17"/>
      <c r="AK188" s="17"/>
      <c r="AL188" s="17"/>
      <c r="AM188" s="17"/>
      <c r="AN188" s="17"/>
      <c r="AO188" s="20"/>
      <c r="AP188" s="20"/>
      <c r="AQ188" s="17"/>
      <c r="AR188" s="17">
        <v>1200.0</v>
      </c>
      <c r="AS188" s="17" t="s">
        <v>736</v>
      </c>
      <c r="AT188" s="17"/>
      <c r="AU188" s="21" t="s">
        <v>1004</v>
      </c>
      <c r="AV188" s="15" t="s">
        <v>1005</v>
      </c>
      <c r="AW188" s="15" t="s">
        <v>1006</v>
      </c>
      <c r="AX188" s="15" t="s">
        <v>1007</v>
      </c>
      <c r="AY188" s="15"/>
      <c r="AZ188" s="15"/>
    </row>
    <row r="189">
      <c r="B189" s="8" t="s">
        <v>198</v>
      </c>
      <c r="C189" s="8" t="s">
        <v>622</v>
      </c>
      <c r="D189" s="9" t="str">
        <f t="shared" si="1"/>
        <v/>
      </c>
      <c r="E189" s="10">
        <v>30.0</v>
      </c>
      <c r="F189" s="10">
        <v>10.0</v>
      </c>
      <c r="G189" s="47">
        <v>90.0</v>
      </c>
      <c r="H189" s="10" t="b">
        <v>1</v>
      </c>
      <c r="I189" s="10" t="s">
        <v>45</v>
      </c>
      <c r="J189" s="10">
        <v>1.0</v>
      </c>
      <c r="K189" s="47"/>
      <c r="L189" s="11"/>
      <c r="M189" s="11"/>
      <c r="N189" s="11"/>
      <c r="O189" s="11"/>
      <c r="P189" s="11"/>
      <c r="Q189" s="10"/>
      <c r="R189" s="11"/>
      <c r="S189" s="11"/>
      <c r="T189" s="11"/>
      <c r="U189" s="11"/>
      <c r="V189" s="11"/>
      <c r="W189" s="11"/>
      <c r="X189" s="11"/>
      <c r="Y189" s="11"/>
      <c r="Z189" s="12"/>
      <c r="AA189" s="12"/>
      <c r="AB189" s="12"/>
      <c r="AC189" s="26">
        <v>10.0</v>
      </c>
      <c r="AD189" s="26">
        <v>1.2</v>
      </c>
      <c r="AE189" s="38"/>
      <c r="AF189" s="38"/>
      <c r="AG189" s="38"/>
      <c r="AH189" s="38"/>
      <c r="AI189" s="10"/>
      <c r="AJ189" s="10"/>
      <c r="AK189" s="39"/>
      <c r="AL189" s="39"/>
      <c r="AM189" s="39"/>
      <c r="AN189" s="39"/>
      <c r="AO189" s="39"/>
      <c r="AP189" s="39"/>
      <c r="AQ189" s="39"/>
      <c r="AR189" s="39"/>
      <c r="AS189" s="39"/>
      <c r="AT189" s="39"/>
      <c r="AU189" s="22" t="s">
        <v>623</v>
      </c>
      <c r="AV189" s="8" t="s">
        <v>624</v>
      </c>
      <c r="AW189" s="8" t="s">
        <v>625</v>
      </c>
      <c r="AX189" s="8" t="s">
        <v>626</v>
      </c>
      <c r="AY189" s="8" t="s">
        <v>627</v>
      </c>
      <c r="AZ189" s="8" t="s">
        <v>628</v>
      </c>
    </row>
    <row r="190">
      <c r="B190" s="15" t="s">
        <v>72</v>
      </c>
      <c r="C190" s="15" t="s">
        <v>423</v>
      </c>
      <c r="D190" s="16" t="str">
        <f t="shared" si="1"/>
        <v/>
      </c>
      <c r="E190" s="17">
        <v>30.0</v>
      </c>
      <c r="F190" s="17">
        <v>0.0</v>
      </c>
      <c r="G190" s="17">
        <v>2.5</v>
      </c>
      <c r="H190" s="20" t="b">
        <v>0</v>
      </c>
      <c r="I190" s="17" t="s">
        <v>56</v>
      </c>
      <c r="J190" s="17">
        <v>1.0</v>
      </c>
      <c r="K190" s="20"/>
      <c r="L190" s="18"/>
      <c r="M190" s="18"/>
      <c r="N190" s="18"/>
      <c r="O190" s="18"/>
      <c r="P190" s="18"/>
      <c r="Q190" s="17"/>
      <c r="R190" s="18"/>
      <c r="S190" s="18"/>
      <c r="T190" s="18"/>
      <c r="U190" s="18"/>
      <c r="V190" s="18"/>
      <c r="W190" s="18"/>
      <c r="X190" s="18"/>
      <c r="Y190" s="18"/>
      <c r="Z190" s="19"/>
      <c r="AA190" s="19"/>
      <c r="AB190" s="19"/>
      <c r="AC190" s="24"/>
      <c r="AD190" s="24"/>
      <c r="AE190" s="24"/>
      <c r="AF190" s="24"/>
      <c r="AG190" s="24"/>
      <c r="AH190" s="20"/>
      <c r="AI190" s="17"/>
      <c r="AJ190" s="17"/>
      <c r="AK190" s="17">
        <v>700.0</v>
      </c>
      <c r="AL190" s="17"/>
      <c r="AM190" s="20"/>
      <c r="AN190" s="20"/>
      <c r="AO190" s="20"/>
      <c r="AP190" s="20"/>
      <c r="AQ190" s="17">
        <v>1000.0</v>
      </c>
      <c r="AR190" s="17"/>
      <c r="AS190" s="17"/>
      <c r="AT190" s="17"/>
      <c r="AU190" s="25" t="s">
        <v>424</v>
      </c>
      <c r="AV190" s="15" t="s">
        <v>425</v>
      </c>
      <c r="AW190" s="15" t="s">
        <v>426</v>
      </c>
      <c r="AX190" s="15" t="s">
        <v>427</v>
      </c>
      <c r="AY190" s="15" t="s">
        <v>428</v>
      </c>
      <c r="AZ190" s="15" t="s">
        <v>429</v>
      </c>
    </row>
    <row r="191">
      <c r="B191" s="8" t="s">
        <v>65</v>
      </c>
      <c r="C191" s="8" t="s">
        <v>396</v>
      </c>
      <c r="D191" s="9" t="str">
        <f t="shared" si="1"/>
        <v/>
      </c>
      <c r="E191" s="10">
        <v>26.0</v>
      </c>
      <c r="F191" s="10">
        <v>0.0</v>
      </c>
      <c r="G191" s="10">
        <v>2.5</v>
      </c>
      <c r="H191" s="13" t="b">
        <v>0</v>
      </c>
      <c r="I191" s="10" t="s">
        <v>56</v>
      </c>
      <c r="J191" s="10">
        <v>1.0</v>
      </c>
      <c r="K191" s="10"/>
      <c r="L191" s="11"/>
      <c r="M191" s="11"/>
      <c r="N191" s="11"/>
      <c r="O191" s="11"/>
      <c r="P191" s="11"/>
      <c r="Q191" s="10"/>
      <c r="R191" s="11"/>
      <c r="S191" s="11"/>
      <c r="T191" s="11"/>
      <c r="U191" s="11"/>
      <c r="V191" s="11"/>
      <c r="W191" s="11"/>
      <c r="X191" s="11"/>
      <c r="Y191" s="11"/>
      <c r="Z191" s="12"/>
      <c r="AA191" s="12"/>
      <c r="AB191" s="12"/>
      <c r="AC191" s="26"/>
      <c r="AD191" s="26"/>
      <c r="AE191" s="26"/>
      <c r="AF191" s="26"/>
      <c r="AG191" s="26"/>
      <c r="AH191" s="13"/>
      <c r="AI191" s="10"/>
      <c r="AJ191" s="10"/>
      <c r="AK191" s="10">
        <v>700.0</v>
      </c>
      <c r="AL191" s="10"/>
      <c r="AM191" s="10"/>
      <c r="AN191" s="10"/>
      <c r="AO191" s="13"/>
      <c r="AP191" s="13"/>
      <c r="AQ191" s="10">
        <v>700.0</v>
      </c>
      <c r="AR191" s="10"/>
      <c r="AS191" s="10"/>
      <c r="AT191" s="10"/>
      <c r="AU191" s="22" t="s">
        <v>397</v>
      </c>
      <c r="AV191" s="8" t="s">
        <v>398</v>
      </c>
      <c r="AW191" s="8" t="s">
        <v>399</v>
      </c>
      <c r="AX191" s="8" t="s">
        <v>400</v>
      </c>
      <c r="AY191" s="8" t="s">
        <v>401</v>
      </c>
      <c r="AZ191" s="8" t="s">
        <v>402</v>
      </c>
    </row>
    <row r="192">
      <c r="B192" s="15" t="s">
        <v>93</v>
      </c>
      <c r="C192" s="15" t="s">
        <v>94</v>
      </c>
      <c r="D192" s="16" t="str">
        <f t="shared" si="1"/>
        <v/>
      </c>
      <c r="E192" s="17">
        <v>22.0</v>
      </c>
      <c r="F192" s="17">
        <v>10.0</v>
      </c>
      <c r="G192" s="17">
        <v>60.0</v>
      </c>
      <c r="H192" s="17" t="b">
        <v>1</v>
      </c>
      <c r="I192" s="17" t="s">
        <v>95</v>
      </c>
      <c r="J192" s="17">
        <v>1.0</v>
      </c>
      <c r="K192" s="17">
        <v>10.0</v>
      </c>
      <c r="L192" s="18">
        <v>0.9</v>
      </c>
      <c r="M192" s="18">
        <v>0.9</v>
      </c>
      <c r="N192" s="18">
        <v>0.9</v>
      </c>
      <c r="O192" s="18"/>
      <c r="P192" s="18"/>
      <c r="Q192" s="17"/>
      <c r="R192" s="18"/>
      <c r="S192" s="18"/>
      <c r="T192" s="18"/>
      <c r="U192" s="18"/>
      <c r="V192" s="18"/>
      <c r="W192" s="18"/>
      <c r="X192" s="18"/>
      <c r="Y192" s="18"/>
      <c r="Z192" s="19"/>
      <c r="AA192" s="19"/>
      <c r="AB192" s="19"/>
      <c r="AC192" s="17"/>
      <c r="AD192" s="17"/>
      <c r="AE192" s="17"/>
      <c r="AF192" s="17"/>
      <c r="AG192" s="17"/>
      <c r="AH192" s="17"/>
      <c r="AI192" s="20"/>
      <c r="AJ192" s="20"/>
      <c r="AK192" s="20"/>
      <c r="AL192" s="20"/>
      <c r="AM192" s="20"/>
      <c r="AN192" s="20"/>
      <c r="AO192" s="20"/>
      <c r="AP192" s="20"/>
      <c r="AQ192" s="20"/>
      <c r="AR192" s="20"/>
      <c r="AS192" s="20"/>
      <c r="AT192" s="20"/>
      <c r="AU192" s="25" t="s">
        <v>96</v>
      </c>
      <c r="AV192" s="15" t="s">
        <v>97</v>
      </c>
      <c r="AW192" s="15" t="s">
        <v>98</v>
      </c>
      <c r="AX192" s="15" t="s">
        <v>99</v>
      </c>
      <c r="AY192" s="15" t="s">
        <v>100</v>
      </c>
      <c r="AZ192" s="15" t="s">
        <v>101</v>
      </c>
    </row>
    <row r="193">
      <c r="B193" s="8" t="s">
        <v>110</v>
      </c>
      <c r="C193" s="8" t="s">
        <v>111</v>
      </c>
      <c r="D193" s="9" t="str">
        <f t="shared" si="1"/>
        <v/>
      </c>
      <c r="E193" s="10">
        <v>22.0</v>
      </c>
      <c r="F193" s="10">
        <v>10.0</v>
      </c>
      <c r="G193" s="10">
        <v>90.0</v>
      </c>
      <c r="H193" s="10" t="b">
        <v>1</v>
      </c>
      <c r="I193" s="10" t="s">
        <v>86</v>
      </c>
      <c r="J193" s="10">
        <v>1.0</v>
      </c>
      <c r="K193" s="10">
        <v>10.0</v>
      </c>
      <c r="L193" s="11">
        <v>0.95</v>
      </c>
      <c r="M193" s="11">
        <v>0.9</v>
      </c>
      <c r="N193" s="11">
        <v>1.0</v>
      </c>
      <c r="O193" s="11"/>
      <c r="P193" s="11"/>
      <c r="Q193" s="10"/>
      <c r="R193" s="11"/>
      <c r="S193" s="11"/>
      <c r="T193" s="11"/>
      <c r="U193" s="11"/>
      <c r="V193" s="11"/>
      <c r="W193" s="11"/>
      <c r="X193" s="11"/>
      <c r="Y193" s="11"/>
      <c r="Z193" s="12"/>
      <c r="AA193" s="12"/>
      <c r="AB193" s="12"/>
      <c r="AC193" s="10"/>
      <c r="AD193" s="10"/>
      <c r="AE193" s="10"/>
      <c r="AF193" s="10"/>
      <c r="AG193" s="10"/>
      <c r="AH193" s="10"/>
      <c r="AI193" s="13"/>
      <c r="AJ193" s="13"/>
      <c r="AK193" s="13"/>
      <c r="AL193" s="13"/>
      <c r="AM193" s="13"/>
      <c r="AN193" s="13"/>
      <c r="AO193" s="13"/>
      <c r="AP193" s="13"/>
      <c r="AQ193" s="13"/>
      <c r="AR193" s="13"/>
      <c r="AS193" s="13"/>
      <c r="AT193" s="13"/>
      <c r="AU193" s="22" t="s">
        <v>112</v>
      </c>
      <c r="AV193" s="8" t="s">
        <v>113</v>
      </c>
      <c r="AW193" s="8" t="s">
        <v>114</v>
      </c>
      <c r="AX193" s="8" t="s">
        <v>115</v>
      </c>
      <c r="AY193" s="8" t="s">
        <v>116</v>
      </c>
      <c r="AZ193" s="8" t="s">
        <v>117</v>
      </c>
    </row>
    <row r="194">
      <c r="B194" s="15" t="s">
        <v>43</v>
      </c>
      <c r="C194" s="15" t="s">
        <v>1008</v>
      </c>
      <c r="D194" s="16" t="str">
        <f t="shared" si="1"/>
        <v/>
      </c>
      <c r="E194" s="17">
        <v>20.0</v>
      </c>
      <c r="F194" s="17">
        <v>21.0</v>
      </c>
      <c r="G194" s="17">
        <v>60.0</v>
      </c>
      <c r="H194" s="17" t="b">
        <v>1</v>
      </c>
      <c r="I194" s="17" t="s">
        <v>51</v>
      </c>
      <c r="J194" s="17">
        <v>1.0</v>
      </c>
      <c r="K194" s="17"/>
      <c r="L194" s="18"/>
      <c r="M194" s="18"/>
      <c r="N194" s="18"/>
      <c r="O194" s="18"/>
      <c r="P194" s="18"/>
      <c r="Q194" s="17"/>
      <c r="R194" s="18"/>
      <c r="S194" s="18"/>
      <c r="T194" s="18"/>
      <c r="U194" s="18"/>
      <c r="V194" s="18"/>
      <c r="W194" s="18"/>
      <c r="X194" s="18"/>
      <c r="Y194" s="18"/>
      <c r="Z194" s="19"/>
      <c r="AA194" s="19"/>
      <c r="AB194" s="19"/>
      <c r="AC194" s="24"/>
      <c r="AD194" s="24"/>
      <c r="AE194" s="24"/>
      <c r="AF194" s="24"/>
      <c r="AG194" s="24"/>
      <c r="AH194" s="20"/>
      <c r="AI194" s="17"/>
      <c r="AJ194" s="17"/>
      <c r="AK194" s="17"/>
      <c r="AL194" s="17"/>
      <c r="AM194" s="17">
        <v>21.0</v>
      </c>
      <c r="AN194" s="17">
        <v>52.0</v>
      </c>
      <c r="AO194" s="20"/>
      <c r="AP194" s="20"/>
      <c r="AQ194" s="17"/>
      <c r="AR194" s="17"/>
      <c r="AS194" s="17"/>
      <c r="AT194" s="17"/>
      <c r="AU194" s="25" t="s">
        <v>1009</v>
      </c>
      <c r="AV194" s="15" t="s">
        <v>1010</v>
      </c>
      <c r="AW194" s="15" t="s">
        <v>1011</v>
      </c>
      <c r="AX194" s="15" t="s">
        <v>1012</v>
      </c>
      <c r="AY194" s="15" t="s">
        <v>1013</v>
      </c>
      <c r="AZ194" s="15" t="s">
        <v>1014</v>
      </c>
    </row>
    <row r="195">
      <c r="B195" s="28" t="s">
        <v>65</v>
      </c>
      <c r="C195" s="28" t="s">
        <v>130</v>
      </c>
      <c r="D195" s="9" t="str">
        <f t="shared" si="1"/>
        <v/>
      </c>
      <c r="E195" s="63">
        <v>15.0</v>
      </c>
      <c r="F195" s="37">
        <v>0.0</v>
      </c>
      <c r="G195" s="30">
        <v>40.0</v>
      </c>
      <c r="H195" s="38" t="b">
        <v>1</v>
      </c>
      <c r="I195" s="10" t="s">
        <v>56</v>
      </c>
      <c r="J195" s="30">
        <v>1.0</v>
      </c>
      <c r="K195" s="39"/>
      <c r="L195" s="40"/>
      <c r="M195" s="40"/>
      <c r="N195" s="40"/>
      <c r="O195" s="40"/>
      <c r="P195" s="40"/>
      <c r="Q195" s="30"/>
      <c r="R195" s="40"/>
      <c r="S195" s="40"/>
      <c r="T195" s="40"/>
      <c r="U195" s="40"/>
      <c r="V195" s="40"/>
      <c r="W195" s="40"/>
      <c r="X195" s="40"/>
      <c r="Y195" s="40"/>
      <c r="Z195" s="41"/>
      <c r="AA195" s="41"/>
      <c r="AB195" s="41"/>
      <c r="AC195" s="38"/>
      <c r="AD195" s="38"/>
      <c r="AE195" s="38"/>
      <c r="AF195" s="38"/>
      <c r="AG195" s="38"/>
      <c r="AH195" s="39"/>
      <c r="AI195" s="32"/>
      <c r="AJ195" s="32"/>
      <c r="AK195" s="30">
        <v>400.0</v>
      </c>
      <c r="AL195" s="30"/>
      <c r="AM195" s="39"/>
      <c r="AN195" s="39"/>
      <c r="AO195" s="39"/>
      <c r="AP195" s="39"/>
      <c r="AQ195" s="32"/>
      <c r="AR195" s="32"/>
      <c r="AS195" s="32"/>
      <c r="AT195" s="32"/>
      <c r="AU195" s="42" t="s">
        <v>131</v>
      </c>
      <c r="AV195" s="28" t="s">
        <v>132</v>
      </c>
      <c r="AW195" s="28" t="s">
        <v>133</v>
      </c>
      <c r="AX195" s="28" t="s">
        <v>134</v>
      </c>
      <c r="AY195" s="28" t="s">
        <v>135</v>
      </c>
      <c r="AZ195" s="28" t="s">
        <v>136</v>
      </c>
    </row>
    <row r="196">
      <c r="B196" s="15" t="s">
        <v>65</v>
      </c>
      <c r="C196" s="15" t="s">
        <v>137</v>
      </c>
      <c r="D196" s="16" t="str">
        <f t="shared" si="1"/>
        <v/>
      </c>
      <c r="E196" s="17">
        <v>15.0</v>
      </c>
      <c r="F196" s="17">
        <v>0.0</v>
      </c>
      <c r="G196" s="17">
        <v>40.0</v>
      </c>
      <c r="H196" s="17" t="b">
        <v>1</v>
      </c>
      <c r="I196" s="17" t="s">
        <v>56</v>
      </c>
      <c r="J196" s="17">
        <v>1.0</v>
      </c>
      <c r="K196" s="20"/>
      <c r="L196" s="18"/>
      <c r="M196" s="18"/>
      <c r="N196" s="18"/>
      <c r="O196" s="18"/>
      <c r="P196" s="18"/>
      <c r="Q196" s="17"/>
      <c r="R196" s="18"/>
      <c r="S196" s="18"/>
      <c r="T196" s="18"/>
      <c r="U196" s="18"/>
      <c r="V196" s="18"/>
      <c r="W196" s="18"/>
      <c r="X196" s="18"/>
      <c r="Y196" s="18"/>
      <c r="Z196" s="19"/>
      <c r="AA196" s="19"/>
      <c r="AB196" s="19"/>
      <c r="AC196" s="24"/>
      <c r="AD196" s="24"/>
      <c r="AE196" s="24"/>
      <c r="AF196" s="24"/>
      <c r="AG196" s="24"/>
      <c r="AH196" s="20"/>
      <c r="AI196" s="17"/>
      <c r="AJ196" s="17"/>
      <c r="AK196" s="17">
        <v>900.0</v>
      </c>
      <c r="AL196" s="17"/>
      <c r="AM196" s="20"/>
      <c r="AN196" s="20"/>
      <c r="AO196" s="20"/>
      <c r="AP196" s="20"/>
      <c r="AQ196" s="17"/>
      <c r="AR196" s="17"/>
      <c r="AS196" s="17"/>
      <c r="AT196" s="17"/>
      <c r="AU196" s="25" t="s">
        <v>131</v>
      </c>
      <c r="AV196" s="15" t="s">
        <v>138</v>
      </c>
      <c r="AW196" s="15" t="s">
        <v>139</v>
      </c>
      <c r="AX196" s="15" t="s">
        <v>140</v>
      </c>
      <c r="AY196" s="15" t="s">
        <v>141</v>
      </c>
      <c r="AZ196" s="15" t="s">
        <v>142</v>
      </c>
    </row>
    <row r="197">
      <c r="B197" s="8" t="s">
        <v>278</v>
      </c>
      <c r="C197" s="8" t="s">
        <v>1015</v>
      </c>
      <c r="D197" s="9" t="str">
        <f t="shared" si="1"/>
        <v/>
      </c>
      <c r="E197" s="10">
        <v>10.0</v>
      </c>
      <c r="F197" s="10">
        <v>10.0</v>
      </c>
      <c r="G197" s="10">
        <v>120.0</v>
      </c>
      <c r="H197" s="10" t="b">
        <v>1</v>
      </c>
      <c r="I197" s="10" t="s">
        <v>45</v>
      </c>
      <c r="J197" s="10">
        <v>1.0</v>
      </c>
      <c r="K197" s="10"/>
      <c r="L197" s="11"/>
      <c r="M197" s="11"/>
      <c r="N197" s="11"/>
      <c r="O197" s="11"/>
      <c r="P197" s="11"/>
      <c r="Q197" s="10"/>
      <c r="R197" s="11"/>
      <c r="S197" s="11"/>
      <c r="T197" s="11"/>
      <c r="U197" s="11"/>
      <c r="V197" s="11"/>
      <c r="W197" s="11"/>
      <c r="X197" s="11"/>
      <c r="Y197" s="11"/>
      <c r="Z197" s="12"/>
      <c r="AA197" s="12"/>
      <c r="AB197" s="12"/>
      <c r="AC197" s="38"/>
      <c r="AD197" s="38"/>
      <c r="AE197" s="38"/>
      <c r="AF197" s="38"/>
      <c r="AG197" s="38"/>
      <c r="AH197" s="38"/>
      <c r="AI197" s="10"/>
      <c r="AJ197" s="46"/>
      <c r="AK197" s="39"/>
      <c r="AL197" s="39"/>
      <c r="AM197" s="39"/>
      <c r="AN197" s="39"/>
      <c r="AO197" s="64"/>
      <c r="AP197" s="64"/>
      <c r="AQ197" s="39"/>
      <c r="AR197" s="46">
        <v>10.0</v>
      </c>
      <c r="AS197" s="46" t="s">
        <v>1015</v>
      </c>
      <c r="AT197" s="39"/>
      <c r="AU197" s="14" t="s">
        <v>1016</v>
      </c>
      <c r="AV197" s="8" t="s">
        <v>1017</v>
      </c>
      <c r="AW197" s="8" t="s">
        <v>1018</v>
      </c>
      <c r="AX197" s="8" t="s">
        <v>1019</v>
      </c>
      <c r="AY197" s="8"/>
      <c r="AZ197" s="8"/>
    </row>
    <row r="198">
      <c r="B198" s="15" t="s">
        <v>60</v>
      </c>
      <c r="C198" s="15" t="s">
        <v>1020</v>
      </c>
      <c r="D198" s="16" t="str">
        <f t="shared" si="1"/>
        <v/>
      </c>
      <c r="E198" s="17">
        <v>10.0</v>
      </c>
      <c r="F198" s="17">
        <v>0.0</v>
      </c>
      <c r="G198" s="17">
        <v>2.5</v>
      </c>
      <c r="H198" s="20" t="b">
        <v>0</v>
      </c>
      <c r="I198" s="17" t="s">
        <v>51</v>
      </c>
      <c r="J198" s="17">
        <v>1.0</v>
      </c>
      <c r="K198" s="20"/>
      <c r="L198" s="18"/>
      <c r="M198" s="18"/>
      <c r="N198" s="18"/>
      <c r="O198" s="18"/>
      <c r="P198" s="18"/>
      <c r="Q198" s="17"/>
      <c r="R198" s="18"/>
      <c r="S198" s="18"/>
      <c r="T198" s="18"/>
      <c r="U198" s="18"/>
      <c r="V198" s="18"/>
      <c r="W198" s="18"/>
      <c r="X198" s="18"/>
      <c r="Y198" s="18"/>
      <c r="Z198" s="19"/>
      <c r="AA198" s="19"/>
      <c r="AB198" s="19"/>
      <c r="AC198" s="24"/>
      <c r="AD198" s="24"/>
      <c r="AE198" s="24"/>
      <c r="AF198" s="24"/>
      <c r="AG198" s="24"/>
      <c r="AH198" s="20"/>
      <c r="AI198" s="17"/>
      <c r="AJ198" s="17"/>
      <c r="AK198" s="17">
        <v>300.0</v>
      </c>
      <c r="AL198" s="17"/>
      <c r="AM198" s="20"/>
      <c r="AN198" s="20"/>
      <c r="AO198" s="20"/>
      <c r="AP198" s="20"/>
      <c r="AQ198" s="17">
        <v>700.0</v>
      </c>
      <c r="AR198" s="17"/>
      <c r="AS198" s="17"/>
      <c r="AT198" s="17"/>
      <c r="AU198" s="25" t="s">
        <v>1021</v>
      </c>
      <c r="AV198" s="15" t="s">
        <v>1022</v>
      </c>
      <c r="AW198" s="15" t="s">
        <v>1023</v>
      </c>
      <c r="AX198" s="15" t="s">
        <v>1022</v>
      </c>
      <c r="AY198" s="15" t="s">
        <v>1024</v>
      </c>
      <c r="AZ198" s="15" t="s">
        <v>1025</v>
      </c>
    </row>
    <row r="199">
      <c r="B199" s="8" t="s">
        <v>65</v>
      </c>
      <c r="C199" s="8" t="s">
        <v>403</v>
      </c>
      <c r="D199" s="9" t="str">
        <f t="shared" si="1"/>
        <v/>
      </c>
      <c r="E199" s="10">
        <v>10.0</v>
      </c>
      <c r="F199" s="10">
        <v>0.0</v>
      </c>
      <c r="G199" s="10">
        <v>2.5</v>
      </c>
      <c r="H199" s="13" t="b">
        <v>0</v>
      </c>
      <c r="I199" s="10" t="s">
        <v>51</v>
      </c>
      <c r="J199" s="10">
        <v>1.0</v>
      </c>
      <c r="K199" s="13"/>
      <c r="L199" s="11"/>
      <c r="M199" s="11"/>
      <c r="N199" s="11"/>
      <c r="O199" s="11"/>
      <c r="P199" s="11"/>
      <c r="Q199" s="10"/>
      <c r="R199" s="11"/>
      <c r="S199" s="11"/>
      <c r="T199" s="11"/>
      <c r="U199" s="11"/>
      <c r="V199" s="11"/>
      <c r="W199" s="11"/>
      <c r="X199" s="11"/>
      <c r="Y199" s="11"/>
      <c r="Z199" s="12"/>
      <c r="AA199" s="12"/>
      <c r="AB199" s="12"/>
      <c r="AC199" s="26"/>
      <c r="AD199" s="26"/>
      <c r="AE199" s="26"/>
      <c r="AF199" s="26"/>
      <c r="AG199" s="26"/>
      <c r="AH199" s="13"/>
      <c r="AI199" s="10"/>
      <c r="AJ199" s="10"/>
      <c r="AK199" s="10">
        <v>330.0</v>
      </c>
      <c r="AL199" s="10"/>
      <c r="AM199" s="13"/>
      <c r="AN199" s="13"/>
      <c r="AO199" s="13"/>
      <c r="AP199" s="13"/>
      <c r="AQ199" s="10">
        <v>700.0</v>
      </c>
      <c r="AR199" s="10"/>
      <c r="AS199" s="10"/>
      <c r="AT199" s="10"/>
      <c r="AU199" s="22" t="s">
        <v>404</v>
      </c>
      <c r="AV199" s="8" t="s">
        <v>405</v>
      </c>
      <c r="AW199" s="8" t="s">
        <v>405</v>
      </c>
      <c r="AX199" s="8" t="s">
        <v>406</v>
      </c>
      <c r="AY199" s="8" t="s">
        <v>407</v>
      </c>
      <c r="AZ199" s="8" t="s">
        <v>408</v>
      </c>
    </row>
    <row r="200">
      <c r="B200" s="15" t="s">
        <v>72</v>
      </c>
      <c r="C200" s="15" t="s">
        <v>444</v>
      </c>
      <c r="D200" s="16" t="str">
        <f t="shared" si="1"/>
        <v/>
      </c>
      <c r="E200" s="17">
        <v>10.0</v>
      </c>
      <c r="F200" s="17">
        <v>0.0</v>
      </c>
      <c r="G200" s="17">
        <v>2.5</v>
      </c>
      <c r="H200" s="20" t="b">
        <v>0</v>
      </c>
      <c r="I200" s="17" t="s">
        <v>51</v>
      </c>
      <c r="J200" s="17">
        <v>1.0</v>
      </c>
      <c r="K200" s="20"/>
      <c r="L200" s="18"/>
      <c r="M200" s="18"/>
      <c r="N200" s="18"/>
      <c r="O200" s="18"/>
      <c r="P200" s="18"/>
      <c r="Q200" s="17"/>
      <c r="R200" s="18"/>
      <c r="S200" s="18"/>
      <c r="T200" s="18"/>
      <c r="U200" s="15" t="s">
        <v>204</v>
      </c>
      <c r="V200" s="18"/>
      <c r="W200" s="18"/>
      <c r="X200" s="18"/>
      <c r="Y200" s="18"/>
      <c r="Z200" s="19">
        <v>500.0</v>
      </c>
      <c r="AA200" s="19"/>
      <c r="AB200" s="19"/>
      <c r="AC200" s="24"/>
      <c r="AD200" s="24"/>
      <c r="AE200" s="24"/>
      <c r="AF200" s="24"/>
      <c r="AG200" s="24"/>
      <c r="AH200" s="20"/>
      <c r="AI200" s="17"/>
      <c r="AJ200" s="17"/>
      <c r="AK200" s="17">
        <v>300.0</v>
      </c>
      <c r="AL200" s="17"/>
      <c r="AM200" s="20"/>
      <c r="AN200" s="20"/>
      <c r="AO200" s="20"/>
      <c r="AP200" s="20"/>
      <c r="AQ200" s="17">
        <v>900.0</v>
      </c>
      <c r="AR200" s="17"/>
      <c r="AS200" s="17"/>
      <c r="AT200" s="17"/>
      <c r="AU200" s="25" t="s">
        <v>445</v>
      </c>
      <c r="AV200" s="15" t="s">
        <v>446</v>
      </c>
      <c r="AW200" s="15" t="s">
        <v>447</v>
      </c>
      <c r="AX200" s="15" t="s">
        <v>448</v>
      </c>
      <c r="AY200" s="15" t="s">
        <v>449</v>
      </c>
      <c r="AZ200" s="15" t="s">
        <v>450</v>
      </c>
    </row>
    <row r="201">
      <c r="B201" s="8" t="s">
        <v>84</v>
      </c>
      <c r="C201" s="8" t="s">
        <v>85</v>
      </c>
      <c r="D201" s="9" t="str">
        <f t="shared" si="1"/>
        <v/>
      </c>
      <c r="E201" s="10">
        <v>8.0</v>
      </c>
      <c r="F201" s="10">
        <v>10.0</v>
      </c>
      <c r="G201" s="10">
        <v>90.0</v>
      </c>
      <c r="H201" s="10" t="b">
        <v>1</v>
      </c>
      <c r="I201" s="10" t="s">
        <v>86</v>
      </c>
      <c r="J201" s="10">
        <v>1.0</v>
      </c>
      <c r="K201" s="10">
        <v>10.0</v>
      </c>
      <c r="L201" s="11">
        <v>0.9</v>
      </c>
      <c r="M201" s="11">
        <v>0.95</v>
      </c>
      <c r="N201" s="11">
        <v>1.0</v>
      </c>
      <c r="O201" s="11"/>
      <c r="P201" s="11"/>
      <c r="Q201" s="10"/>
      <c r="R201" s="11"/>
      <c r="S201" s="11"/>
      <c r="T201" s="11"/>
      <c r="U201" s="11"/>
      <c r="V201" s="11"/>
      <c r="W201" s="11"/>
      <c r="X201" s="11"/>
      <c r="Y201" s="11"/>
      <c r="Z201" s="12"/>
      <c r="AA201" s="12"/>
      <c r="AB201" s="12"/>
      <c r="AC201" s="10"/>
      <c r="AD201" s="10"/>
      <c r="AE201" s="10"/>
      <c r="AF201" s="10"/>
      <c r="AG201" s="10"/>
      <c r="AH201" s="10"/>
      <c r="AI201" s="10"/>
      <c r="AJ201" s="10"/>
      <c r="AK201" s="10"/>
      <c r="AL201" s="10"/>
      <c r="AM201" s="10"/>
      <c r="AN201" s="10"/>
      <c r="AO201" s="10"/>
      <c r="AP201" s="10"/>
      <c r="AQ201" s="10"/>
      <c r="AR201" s="10"/>
      <c r="AS201" s="10"/>
      <c r="AT201" s="10"/>
      <c r="AU201" s="22" t="s">
        <v>87</v>
      </c>
      <c r="AV201" s="8" t="s">
        <v>88</v>
      </c>
      <c r="AW201" s="8" t="s">
        <v>89</v>
      </c>
      <c r="AX201" s="8" t="s">
        <v>90</v>
      </c>
      <c r="AY201" s="8" t="s">
        <v>91</v>
      </c>
      <c r="AZ201" s="8" t="s">
        <v>92</v>
      </c>
    </row>
    <row r="202">
      <c r="B202" s="15" t="s">
        <v>93</v>
      </c>
      <c r="C202" s="15" t="s">
        <v>172</v>
      </c>
      <c r="D202" s="16" t="str">
        <f t="shared" si="1"/>
        <v/>
      </c>
      <c r="E202" s="17">
        <v>8.0</v>
      </c>
      <c r="F202" s="17">
        <v>20.0</v>
      </c>
      <c r="G202" s="58">
        <v>90.0</v>
      </c>
      <c r="H202" s="17" t="b">
        <v>1</v>
      </c>
      <c r="I202" s="17" t="s">
        <v>45</v>
      </c>
      <c r="J202" s="17">
        <v>1.0</v>
      </c>
      <c r="K202" s="58">
        <v>20.0</v>
      </c>
      <c r="L202" s="18">
        <v>0.8</v>
      </c>
      <c r="M202" s="18">
        <v>0.8</v>
      </c>
      <c r="N202" s="18">
        <v>0.8</v>
      </c>
      <c r="O202" s="18"/>
      <c r="P202" s="18"/>
      <c r="Q202" s="17"/>
      <c r="R202" s="18"/>
      <c r="S202" s="18"/>
      <c r="T202" s="18"/>
      <c r="U202" s="18"/>
      <c r="V202" s="18"/>
      <c r="W202" s="18"/>
      <c r="X202" s="18"/>
      <c r="Y202" s="18"/>
      <c r="Z202" s="19"/>
      <c r="AA202" s="19"/>
      <c r="AB202" s="19"/>
      <c r="AC202" s="43"/>
      <c r="AD202" s="43"/>
      <c r="AE202" s="43"/>
      <c r="AF202" s="43"/>
      <c r="AG202" s="43"/>
      <c r="AH202" s="43"/>
      <c r="AI202" s="44"/>
      <c r="AJ202" s="44"/>
      <c r="AK202" s="44"/>
      <c r="AL202" s="44"/>
      <c r="AM202" s="44"/>
      <c r="AN202" s="44"/>
      <c r="AO202" s="44"/>
      <c r="AP202" s="44"/>
      <c r="AQ202" s="44"/>
      <c r="AR202" s="44"/>
      <c r="AS202" s="44"/>
      <c r="AT202" s="44"/>
      <c r="AU202" s="25" t="s">
        <v>174</v>
      </c>
      <c r="AV202" s="15" t="s">
        <v>175</v>
      </c>
      <c r="AW202" s="15" t="s">
        <v>176</v>
      </c>
      <c r="AX202" s="15" t="s">
        <v>177</v>
      </c>
      <c r="AY202" s="15" t="s">
        <v>178</v>
      </c>
      <c r="AZ202" s="15" t="s">
        <v>179</v>
      </c>
    </row>
    <row r="203">
      <c r="B203" s="8" t="s">
        <v>180</v>
      </c>
      <c r="C203" s="8" t="s">
        <v>1026</v>
      </c>
      <c r="D203" s="9" t="str">
        <f t="shared" si="1"/>
        <v/>
      </c>
      <c r="E203" s="10">
        <v>6.0</v>
      </c>
      <c r="F203" s="10">
        <v>20.0</v>
      </c>
      <c r="G203" s="47">
        <v>90.0</v>
      </c>
      <c r="H203" s="10" t="b">
        <v>1</v>
      </c>
      <c r="I203" s="10" t="s">
        <v>45</v>
      </c>
      <c r="J203" s="10">
        <v>1.0</v>
      </c>
      <c r="K203" s="47">
        <v>20.0</v>
      </c>
      <c r="L203" s="11">
        <v>0.9</v>
      </c>
      <c r="M203" s="11">
        <v>0.9</v>
      </c>
      <c r="N203" s="11">
        <v>0.9</v>
      </c>
      <c r="O203" s="11"/>
      <c r="P203" s="11">
        <v>0.5</v>
      </c>
      <c r="Q203" s="10"/>
      <c r="R203" s="11"/>
      <c r="S203" s="11"/>
      <c r="T203" s="11"/>
      <c r="U203" s="11"/>
      <c r="V203" s="11"/>
      <c r="W203" s="11"/>
      <c r="X203" s="11"/>
      <c r="Y203" s="11"/>
      <c r="Z203" s="12"/>
      <c r="AA203" s="12"/>
      <c r="AB203" s="12"/>
      <c r="AC203" s="38"/>
      <c r="AD203" s="38"/>
      <c r="AE203" s="38"/>
      <c r="AF203" s="38"/>
      <c r="AG203" s="38"/>
      <c r="AH203" s="38"/>
      <c r="AI203" s="39"/>
      <c r="AJ203" s="39"/>
      <c r="AK203" s="39"/>
      <c r="AL203" s="39"/>
      <c r="AM203" s="39"/>
      <c r="AN203" s="39"/>
      <c r="AO203" s="39"/>
      <c r="AP203" s="39"/>
      <c r="AQ203" s="39"/>
      <c r="AR203" s="39"/>
      <c r="AS203" s="39"/>
      <c r="AT203" s="39"/>
      <c r="AU203" s="22" t="s">
        <v>1027</v>
      </c>
      <c r="AV203" s="8" t="s">
        <v>1028</v>
      </c>
      <c r="AW203" s="8" t="s">
        <v>1028</v>
      </c>
      <c r="AX203" s="8" t="s">
        <v>1028</v>
      </c>
      <c r="AY203" s="8" t="s">
        <v>1029</v>
      </c>
      <c r="AZ203" s="8" t="s">
        <v>1030</v>
      </c>
    </row>
    <row r="204">
      <c r="B204" s="15" t="s">
        <v>43</v>
      </c>
      <c r="C204" s="15" t="s">
        <v>336</v>
      </c>
      <c r="D204" s="16" t="str">
        <f t="shared" si="1"/>
        <v/>
      </c>
      <c r="E204" s="17">
        <v>4.0</v>
      </c>
      <c r="F204" s="17">
        <v>0.0</v>
      </c>
      <c r="G204" s="17">
        <v>2.5</v>
      </c>
      <c r="H204" s="20" t="b">
        <v>0</v>
      </c>
      <c r="I204" s="17" t="s">
        <v>56</v>
      </c>
      <c r="J204" s="17">
        <v>1.0</v>
      </c>
      <c r="K204" s="20"/>
      <c r="L204" s="18"/>
      <c r="M204" s="18"/>
      <c r="N204" s="18"/>
      <c r="O204" s="18"/>
      <c r="P204" s="18"/>
      <c r="Q204" s="17"/>
      <c r="R204" s="18"/>
      <c r="S204" s="18"/>
      <c r="T204" s="18"/>
      <c r="U204" s="18"/>
      <c r="V204" s="18"/>
      <c r="W204" s="18"/>
      <c r="X204" s="18"/>
      <c r="Y204" s="18"/>
      <c r="Z204" s="19"/>
      <c r="AA204" s="19"/>
      <c r="AB204" s="19"/>
      <c r="AC204" s="24"/>
      <c r="AD204" s="24"/>
      <c r="AE204" s="24"/>
      <c r="AF204" s="24"/>
      <c r="AG204" s="24"/>
      <c r="AH204" s="17"/>
      <c r="AI204" s="17"/>
      <c r="AJ204" s="17"/>
      <c r="AK204" s="17">
        <v>400.0</v>
      </c>
      <c r="AL204" s="17"/>
      <c r="AM204" s="20"/>
      <c r="AN204" s="20"/>
      <c r="AO204" s="20"/>
      <c r="AP204" s="20"/>
      <c r="AQ204" s="17">
        <v>400.0</v>
      </c>
      <c r="AR204" s="17"/>
      <c r="AS204" s="17"/>
      <c r="AT204" s="17"/>
      <c r="AU204" s="25" t="s">
        <v>337</v>
      </c>
      <c r="AV204" s="15" t="s">
        <v>338</v>
      </c>
      <c r="AW204" s="15" t="s">
        <v>338</v>
      </c>
      <c r="AX204" s="15" t="s">
        <v>339</v>
      </c>
      <c r="AY204" s="15" t="s">
        <v>340</v>
      </c>
      <c r="AZ204" s="15" t="s">
        <v>341</v>
      </c>
    </row>
    <row r="205">
      <c r="B205" s="8" t="s">
        <v>60</v>
      </c>
      <c r="C205" s="8" t="s">
        <v>369</v>
      </c>
      <c r="D205" s="9" t="str">
        <f t="shared" si="1"/>
        <v/>
      </c>
      <c r="E205" s="10">
        <v>2.0</v>
      </c>
      <c r="F205" s="10">
        <v>0.0</v>
      </c>
      <c r="G205" s="10">
        <v>2.5</v>
      </c>
      <c r="H205" s="13" t="b">
        <v>0</v>
      </c>
      <c r="I205" s="10" t="s">
        <v>56</v>
      </c>
      <c r="J205" s="10">
        <v>1.0</v>
      </c>
      <c r="K205" s="13"/>
      <c r="L205" s="11"/>
      <c r="M205" s="11"/>
      <c r="N205" s="11"/>
      <c r="O205" s="11"/>
      <c r="P205" s="11"/>
      <c r="Q205" s="10"/>
      <c r="R205" s="11"/>
      <c r="S205" s="11"/>
      <c r="T205" s="11"/>
      <c r="U205" s="11"/>
      <c r="V205" s="11"/>
      <c r="W205" s="11"/>
      <c r="X205" s="11"/>
      <c r="Y205" s="11"/>
      <c r="Z205" s="12"/>
      <c r="AA205" s="12"/>
      <c r="AB205" s="12"/>
      <c r="AC205" s="26"/>
      <c r="AD205" s="26"/>
      <c r="AE205" s="26"/>
      <c r="AF205" s="26"/>
      <c r="AG205" s="26"/>
      <c r="AH205" s="10"/>
      <c r="AI205" s="10"/>
      <c r="AJ205" s="10"/>
      <c r="AK205" s="10">
        <v>400.0</v>
      </c>
      <c r="AL205" s="10"/>
      <c r="AM205" s="13"/>
      <c r="AN205" s="13"/>
      <c r="AO205" s="13"/>
      <c r="AP205" s="13"/>
      <c r="AQ205" s="10">
        <v>400.0</v>
      </c>
      <c r="AR205" s="10"/>
      <c r="AS205" s="10"/>
      <c r="AT205" s="10"/>
      <c r="AU205" s="22" t="s">
        <v>370</v>
      </c>
      <c r="AV205" s="8" t="s">
        <v>371</v>
      </c>
      <c r="AW205" s="8" t="s">
        <v>372</v>
      </c>
      <c r="AX205" s="8" t="s">
        <v>371</v>
      </c>
      <c r="AY205" s="8" t="s">
        <v>373</v>
      </c>
      <c r="AZ205" s="8" t="s">
        <v>374</v>
      </c>
    </row>
    <row r="206">
      <c r="B206" s="15" t="s">
        <v>65</v>
      </c>
      <c r="C206" s="15" t="s">
        <v>389</v>
      </c>
      <c r="D206" s="16" t="str">
        <f t="shared" si="1"/>
        <v/>
      </c>
      <c r="E206" s="17">
        <v>2.0</v>
      </c>
      <c r="F206" s="17">
        <v>0.0</v>
      </c>
      <c r="G206" s="17">
        <v>2.5</v>
      </c>
      <c r="H206" s="20" t="b">
        <v>0</v>
      </c>
      <c r="I206" s="17" t="s">
        <v>56</v>
      </c>
      <c r="J206" s="17">
        <v>1.0</v>
      </c>
      <c r="K206" s="20"/>
      <c r="L206" s="18"/>
      <c r="M206" s="18"/>
      <c r="N206" s="18"/>
      <c r="O206" s="18"/>
      <c r="P206" s="18"/>
      <c r="Q206" s="17"/>
      <c r="R206" s="18"/>
      <c r="S206" s="18"/>
      <c r="T206" s="18"/>
      <c r="U206" s="18"/>
      <c r="V206" s="18"/>
      <c r="W206" s="18"/>
      <c r="X206" s="18"/>
      <c r="Y206" s="18"/>
      <c r="Z206" s="19"/>
      <c r="AA206" s="19"/>
      <c r="AB206" s="19"/>
      <c r="AC206" s="24"/>
      <c r="AD206" s="24"/>
      <c r="AE206" s="24"/>
      <c r="AF206" s="24"/>
      <c r="AG206" s="24"/>
      <c r="AH206" s="17"/>
      <c r="AI206" s="17"/>
      <c r="AJ206" s="17"/>
      <c r="AK206" s="17">
        <v>450.0</v>
      </c>
      <c r="AL206" s="17"/>
      <c r="AM206" s="20"/>
      <c r="AN206" s="20"/>
      <c r="AO206" s="20"/>
      <c r="AP206" s="20"/>
      <c r="AQ206" s="17">
        <v>400.0</v>
      </c>
      <c r="AR206" s="17"/>
      <c r="AS206" s="17"/>
      <c r="AT206" s="17"/>
      <c r="AU206" s="25" t="s">
        <v>390</v>
      </c>
      <c r="AV206" s="15" t="s">
        <v>391</v>
      </c>
      <c r="AW206" s="15" t="s">
        <v>392</v>
      </c>
      <c r="AX206" s="15" t="s">
        <v>393</v>
      </c>
      <c r="AY206" s="15" t="s">
        <v>394</v>
      </c>
      <c r="AZ206" s="15" t="s">
        <v>395</v>
      </c>
    </row>
    <row r="207">
      <c r="B207" s="8" t="s">
        <v>72</v>
      </c>
      <c r="C207" s="8" t="s">
        <v>409</v>
      </c>
      <c r="D207" s="9" t="str">
        <f t="shared" si="1"/>
        <v/>
      </c>
      <c r="E207" s="10">
        <v>2.0</v>
      </c>
      <c r="F207" s="10">
        <v>0.0</v>
      </c>
      <c r="G207" s="10">
        <v>2.5</v>
      </c>
      <c r="H207" s="13" t="b">
        <v>0</v>
      </c>
      <c r="I207" s="10" t="s">
        <v>56</v>
      </c>
      <c r="J207" s="10">
        <v>1.0</v>
      </c>
      <c r="K207" s="13"/>
      <c r="L207" s="11"/>
      <c r="M207" s="11"/>
      <c r="N207" s="11"/>
      <c r="O207" s="11"/>
      <c r="P207" s="11"/>
      <c r="Q207" s="10"/>
      <c r="R207" s="11"/>
      <c r="S207" s="11"/>
      <c r="T207" s="11"/>
      <c r="U207" s="11"/>
      <c r="V207" s="11"/>
      <c r="W207" s="11"/>
      <c r="X207" s="11"/>
      <c r="Y207" s="11"/>
      <c r="Z207" s="12"/>
      <c r="AA207" s="12"/>
      <c r="AB207" s="12"/>
      <c r="AC207" s="26"/>
      <c r="AD207" s="26"/>
      <c r="AE207" s="26"/>
      <c r="AF207" s="26"/>
      <c r="AG207" s="26"/>
      <c r="AH207" s="10"/>
      <c r="AI207" s="10"/>
      <c r="AJ207" s="10"/>
      <c r="AK207" s="10">
        <v>450.0</v>
      </c>
      <c r="AL207" s="10"/>
      <c r="AM207" s="13"/>
      <c r="AN207" s="13"/>
      <c r="AO207" s="13"/>
      <c r="AP207" s="13"/>
      <c r="AQ207" s="10">
        <v>400.0</v>
      </c>
      <c r="AR207" s="10"/>
      <c r="AS207" s="10"/>
      <c r="AT207" s="10"/>
      <c r="AU207" s="22" t="s">
        <v>410</v>
      </c>
      <c r="AV207" s="8" t="s">
        <v>411</v>
      </c>
      <c r="AW207" s="8" t="s">
        <v>412</v>
      </c>
      <c r="AX207" s="8" t="s">
        <v>413</v>
      </c>
      <c r="AY207" s="8" t="s">
        <v>414</v>
      </c>
      <c r="AZ207" s="8" t="s">
        <v>415</v>
      </c>
    </row>
    <row r="208">
      <c r="B208" s="15" t="s">
        <v>93</v>
      </c>
      <c r="C208" s="15" t="s">
        <v>1031</v>
      </c>
      <c r="D208" s="16" t="str">
        <f t="shared" si="1"/>
        <v/>
      </c>
      <c r="E208" s="17">
        <v>1.0</v>
      </c>
      <c r="F208" s="17">
        <v>10.0</v>
      </c>
      <c r="G208" s="17">
        <v>2.5</v>
      </c>
      <c r="H208" s="17" t="b">
        <v>0</v>
      </c>
      <c r="I208" s="17" t="s">
        <v>51</v>
      </c>
      <c r="J208" s="17">
        <v>1.0</v>
      </c>
      <c r="K208" s="17">
        <v>10.0</v>
      </c>
      <c r="L208" s="18">
        <v>0.8</v>
      </c>
      <c r="M208" s="18">
        <v>0.8</v>
      </c>
      <c r="N208" s="18">
        <v>0.8</v>
      </c>
      <c r="O208" s="18"/>
      <c r="P208" s="18"/>
      <c r="Q208" s="17"/>
      <c r="R208" s="18"/>
      <c r="S208" s="18"/>
      <c r="T208" s="18"/>
      <c r="U208" s="18"/>
      <c r="V208" s="18"/>
      <c r="W208" s="18"/>
      <c r="X208" s="18"/>
      <c r="Y208" s="18"/>
      <c r="Z208" s="19"/>
      <c r="AA208" s="19"/>
      <c r="AB208" s="19"/>
      <c r="AC208" s="17"/>
      <c r="AD208" s="17"/>
      <c r="AE208" s="17"/>
      <c r="AF208" s="17"/>
      <c r="AG208" s="17"/>
      <c r="AH208" s="17"/>
      <c r="AI208" s="20"/>
      <c r="AJ208" s="20"/>
      <c r="AK208" s="20"/>
      <c r="AL208" s="20"/>
      <c r="AM208" s="20"/>
      <c r="AN208" s="20"/>
      <c r="AO208" s="20"/>
      <c r="AP208" s="20"/>
      <c r="AQ208" s="20"/>
      <c r="AR208" s="20"/>
      <c r="AS208" s="20"/>
      <c r="AT208" s="20"/>
      <c r="AU208" s="25" t="s">
        <v>1032</v>
      </c>
      <c r="AV208" s="15" t="s">
        <v>1031</v>
      </c>
      <c r="AW208" s="15" t="s">
        <v>1031</v>
      </c>
      <c r="AX208" s="15" t="s">
        <v>1031</v>
      </c>
      <c r="AY208" s="15" t="s">
        <v>1031</v>
      </c>
      <c r="AZ208" s="15" t="s">
        <v>1031</v>
      </c>
    </row>
    <row r="209">
      <c r="B209" s="8" t="s">
        <v>93</v>
      </c>
      <c r="C209" s="8" t="s">
        <v>1033</v>
      </c>
      <c r="D209" s="9" t="str">
        <f t="shared" si="1"/>
        <v/>
      </c>
      <c r="E209" s="10">
        <v>1.0</v>
      </c>
      <c r="F209" s="10">
        <v>15.0</v>
      </c>
      <c r="G209" s="10">
        <v>2.5</v>
      </c>
      <c r="H209" s="10" t="b">
        <v>0</v>
      </c>
      <c r="I209" s="10" t="s">
        <v>51</v>
      </c>
      <c r="J209" s="10">
        <v>1.0</v>
      </c>
      <c r="K209" s="10">
        <v>15.0</v>
      </c>
      <c r="L209" s="11">
        <v>0.6</v>
      </c>
      <c r="M209" s="11">
        <v>0.6</v>
      </c>
      <c r="N209" s="11">
        <v>0.6</v>
      </c>
      <c r="O209" s="11"/>
      <c r="P209" s="11"/>
      <c r="Q209" s="10"/>
      <c r="R209" s="11"/>
      <c r="S209" s="11"/>
      <c r="T209" s="11"/>
      <c r="U209" s="11"/>
      <c r="V209" s="11"/>
      <c r="W209" s="11"/>
      <c r="X209" s="11"/>
      <c r="Y209" s="11"/>
      <c r="Z209" s="12"/>
      <c r="AA209" s="12"/>
      <c r="AB209" s="12"/>
      <c r="AC209" s="10"/>
      <c r="AD209" s="10"/>
      <c r="AE209" s="10"/>
      <c r="AF209" s="10"/>
      <c r="AG209" s="10"/>
      <c r="AH209" s="10"/>
      <c r="AI209" s="10"/>
      <c r="AJ209" s="10"/>
      <c r="AK209" s="10"/>
      <c r="AL209" s="10"/>
      <c r="AM209" s="10"/>
      <c r="AN209" s="10"/>
      <c r="AO209" s="10"/>
      <c r="AP209" s="10"/>
      <c r="AQ209" s="10"/>
      <c r="AR209" s="10"/>
      <c r="AS209" s="10"/>
      <c r="AT209" s="10"/>
      <c r="AU209" s="22" t="s">
        <v>1032</v>
      </c>
      <c r="AV209" s="8" t="s">
        <v>1033</v>
      </c>
      <c r="AW209" s="8" t="s">
        <v>1033</v>
      </c>
      <c r="AX209" s="8" t="s">
        <v>1033</v>
      </c>
      <c r="AY209" s="8" t="s">
        <v>1033</v>
      </c>
      <c r="AZ209" s="8" t="s">
        <v>1033</v>
      </c>
    </row>
    <row r="210">
      <c r="B210" s="15" t="s">
        <v>93</v>
      </c>
      <c r="C210" s="15" t="s">
        <v>1034</v>
      </c>
      <c r="D210" s="16" t="str">
        <f t="shared" si="1"/>
        <v/>
      </c>
      <c r="E210" s="17">
        <v>1.0</v>
      </c>
      <c r="F210" s="17">
        <v>8.0</v>
      </c>
      <c r="G210" s="17">
        <v>2.5</v>
      </c>
      <c r="H210" s="20" t="b">
        <v>0</v>
      </c>
      <c r="I210" s="17" t="s">
        <v>51</v>
      </c>
      <c r="J210" s="17">
        <v>1.0</v>
      </c>
      <c r="K210" s="17">
        <v>8.0</v>
      </c>
      <c r="L210" s="18">
        <v>0.2</v>
      </c>
      <c r="M210" s="18">
        <v>0.2</v>
      </c>
      <c r="N210" s="18">
        <v>0.2</v>
      </c>
      <c r="O210" s="18"/>
      <c r="P210" s="18"/>
      <c r="Q210" s="17"/>
      <c r="R210" s="18"/>
      <c r="S210" s="18"/>
      <c r="T210" s="18"/>
      <c r="U210" s="18"/>
      <c r="V210" s="18"/>
      <c r="W210" s="18"/>
      <c r="X210" s="18"/>
      <c r="Y210" s="18"/>
      <c r="Z210" s="19"/>
      <c r="AA210" s="19"/>
      <c r="AB210" s="19"/>
      <c r="AC210" s="17"/>
      <c r="AD210" s="17"/>
      <c r="AE210" s="17"/>
      <c r="AF210" s="17"/>
      <c r="AG210" s="17"/>
      <c r="AH210" s="17"/>
      <c r="AI210" s="20"/>
      <c r="AJ210" s="20"/>
      <c r="AK210" s="20"/>
      <c r="AL210" s="20"/>
      <c r="AM210" s="20"/>
      <c r="AN210" s="20"/>
      <c r="AO210" s="20"/>
      <c r="AP210" s="20"/>
      <c r="AQ210" s="20"/>
      <c r="AR210" s="20"/>
      <c r="AS210" s="20"/>
      <c r="AT210" s="20"/>
      <c r="AU210" s="25" t="s">
        <v>1032</v>
      </c>
      <c r="AV210" s="15" t="s">
        <v>1034</v>
      </c>
      <c r="AW210" s="15" t="s">
        <v>1034</v>
      </c>
      <c r="AX210" s="15" t="s">
        <v>1034</v>
      </c>
      <c r="AY210" s="15" t="s">
        <v>1034</v>
      </c>
      <c r="AZ210" s="15" t="s">
        <v>1034</v>
      </c>
    </row>
  </sheetData>
  <autoFilter ref="$B$2:$AZ$210">
    <sortState ref="B2:AZ210">
      <sortCondition descending="1" ref="E2:E210"/>
      <sortCondition ref="B2:B210"/>
      <sortCondition ref="AS2:AS210"/>
      <sortCondition ref="C2:C210"/>
      <sortCondition ref="AE2:AE210"/>
      <sortCondition ref="AF2:AF210"/>
      <sortCondition ref="AG2:AG210"/>
      <sortCondition ref="U2:U210"/>
      <sortCondition ref="AP2:AP210"/>
      <sortCondition ref="AN2:AN210"/>
      <sortCondition ref="AK2:AK210"/>
      <sortCondition ref="AJ2:AJ210"/>
      <sortCondition ref="AH2:AH210"/>
      <sortCondition ref="Y2:Y210"/>
    </sortState>
  </autoFilter>
  <conditionalFormatting sqref="E3:E210">
    <cfRule type="cellIs" dxfId="1" priority="1" operator="lessThanOrEqual">
      <formula>70</formula>
    </cfRule>
  </conditionalFormatting>
  <conditionalFormatting sqref="E3:E210">
    <cfRule type="cellIs" dxfId="2" priority="2" operator="lessThanOrEqual">
      <formula>80</formula>
    </cfRule>
  </conditionalFormatting>
  <conditionalFormatting sqref="E3:E210">
    <cfRule type="cellIs" dxfId="3" priority="3" operator="lessThanOrEqual">
      <formula>90</formula>
    </cfRule>
  </conditionalFormatting>
  <conditionalFormatting sqref="E3:E210">
    <cfRule type="cellIs" dxfId="4" priority="4" operator="lessThanOrEqual">
      <formula>100</formula>
    </cfRule>
  </conditionalFormatting>
  <dataValidations>
    <dataValidation type="list" allowBlank="1" showErrorMessage="1" sqref="AE3:AE210">
      <formula1>"SELF_AFFECTED_ALL,SELF_AFFECTED_GCD,SELF_EFFECTED_ALL,SELF_EFFECTED_GCD,RANGE_AFFECTED_ALL,RANGE_AFFECTED_GCD,RANGE_EFFECTED_ALL,RANGE_EFFECTED_GCD,SINGLE_AFFECTED_ALL,SINGLE_AFFECTED_GCD,SINGLE_EFFECTED_ALL,SINGLE_EFFECTED_GCD"</formula1>
    </dataValidation>
    <dataValidation type="list" allowBlank="1" showErrorMessage="1" sqref="I3:I210">
      <formula1>"SELF,SINGLE_ENEMY,RANGE_ENEMY,SINGLE_PARTY,RANGE_PARTY"</formula1>
    </dataValidation>
  </dataValidations>
  <hyperlinks>
    <hyperlink r:id="rId1" ref="AU3"/>
    <hyperlink r:id="rId2" ref="AU4"/>
    <hyperlink r:id="rId3" ref="AU5"/>
    <hyperlink r:id="rId4" ref="AU6"/>
    <hyperlink r:id="rId5" ref="AU7"/>
    <hyperlink r:id="rId6" ref="AU8"/>
    <hyperlink r:id="rId7" ref="AU9"/>
    <hyperlink r:id="rId8" ref="AU10"/>
    <hyperlink r:id="rId9" ref="AU11"/>
    <hyperlink r:id="rId10" ref="AU12"/>
    <hyperlink r:id="rId11" ref="AU13"/>
    <hyperlink r:id="rId12" ref="AU14"/>
    <hyperlink r:id="rId13" ref="AU15"/>
    <hyperlink r:id="rId14" ref="AU16"/>
    <hyperlink r:id="rId15" ref="AU17"/>
    <hyperlink r:id="rId16" ref="AU18"/>
    <hyperlink r:id="rId17" ref="AU19"/>
    <hyperlink r:id="rId18" ref="AU20"/>
    <hyperlink r:id="rId19" ref="AU21"/>
    <hyperlink r:id="rId20" ref="AU22"/>
    <hyperlink r:id="rId21" ref="AU23"/>
    <hyperlink r:id="rId22" ref="AU24"/>
    <hyperlink r:id="rId23" ref="AU25"/>
    <hyperlink r:id="rId24" ref="AU26"/>
    <hyperlink r:id="rId25" ref="AU27"/>
    <hyperlink r:id="rId26" ref="AU28"/>
    <hyperlink r:id="rId27" ref="AU29"/>
    <hyperlink r:id="rId28" ref="AU30"/>
    <hyperlink r:id="rId29" ref="AU31"/>
    <hyperlink r:id="rId30" ref="AU32"/>
    <hyperlink r:id="rId31" ref="AU33"/>
    <hyperlink r:id="rId32" ref="AU34"/>
    <hyperlink r:id="rId33" ref="AU35"/>
    <hyperlink r:id="rId34" ref="AU36"/>
    <hyperlink r:id="rId35" ref="AU37"/>
    <hyperlink r:id="rId36" ref="AU38"/>
    <hyperlink r:id="rId37" ref="AU39"/>
    <hyperlink r:id="rId38" ref="AU40"/>
    <hyperlink r:id="rId39" ref="AU41"/>
    <hyperlink r:id="rId40" ref="AU42"/>
    <hyperlink r:id="rId41" ref="AU43"/>
    <hyperlink r:id="rId42" ref="AU44"/>
    <hyperlink r:id="rId43" ref="AU45"/>
    <hyperlink r:id="rId44" ref="AU46"/>
    <hyperlink r:id="rId45" ref="AU47"/>
    <hyperlink r:id="rId46" ref="AU48"/>
    <hyperlink r:id="rId47" ref="AU49"/>
    <hyperlink r:id="rId48" ref="AU50"/>
    <hyperlink r:id="rId49" ref="AU51"/>
    <hyperlink r:id="rId50" ref="AU52"/>
    <hyperlink r:id="rId51" ref="AU53"/>
    <hyperlink r:id="rId52" ref="AU54"/>
    <hyperlink r:id="rId53" ref="AU55"/>
    <hyperlink r:id="rId54" ref="AU56"/>
    <hyperlink r:id="rId55" ref="AU57"/>
    <hyperlink r:id="rId56" ref="AU58"/>
    <hyperlink r:id="rId57" ref="AU59"/>
    <hyperlink r:id="rId58" ref="AU60"/>
    <hyperlink r:id="rId59" ref="AU61"/>
    <hyperlink r:id="rId60" ref="AU62"/>
    <hyperlink r:id="rId61" ref="AU63"/>
    <hyperlink r:id="rId62" ref="AU64"/>
    <hyperlink r:id="rId63" ref="AU65"/>
    <hyperlink r:id="rId64" ref="AU66"/>
    <hyperlink r:id="rId65" ref="AU67"/>
    <hyperlink r:id="rId66" ref="AU68"/>
    <hyperlink r:id="rId67" ref="AU69"/>
    <hyperlink r:id="rId68" ref="AU70"/>
    <hyperlink r:id="rId69" ref="AU71"/>
    <hyperlink r:id="rId70" ref="AU72"/>
    <hyperlink r:id="rId71" ref="AU73"/>
    <hyperlink r:id="rId72" ref="AU74"/>
    <hyperlink r:id="rId73" ref="AU75"/>
    <hyperlink r:id="rId74" ref="AU76"/>
    <hyperlink r:id="rId75" ref="AU77"/>
    <hyperlink r:id="rId76" ref="AU78"/>
    <hyperlink r:id="rId77" ref="AU79"/>
    <hyperlink r:id="rId78" ref="AU80"/>
    <hyperlink r:id="rId79" ref="AU81"/>
    <hyperlink r:id="rId80" ref="AU82"/>
    <hyperlink r:id="rId81" ref="AU83"/>
    <hyperlink r:id="rId82" ref="AU84"/>
    <hyperlink r:id="rId83" ref="AU85"/>
    <hyperlink r:id="rId84" ref="AU86"/>
    <hyperlink r:id="rId85" ref="AU87"/>
    <hyperlink r:id="rId86" ref="AU88"/>
    <hyperlink r:id="rId87" ref="AU89"/>
    <hyperlink r:id="rId88" ref="AU90"/>
    <hyperlink r:id="rId89" ref="AU91"/>
    <hyperlink r:id="rId90" ref="AU92"/>
    <hyperlink r:id="rId91" ref="AU93"/>
    <hyperlink r:id="rId92" ref="AU94"/>
    <hyperlink r:id="rId93" ref="AU95"/>
    <hyperlink r:id="rId94" ref="AU96"/>
    <hyperlink r:id="rId95" ref="AU97"/>
    <hyperlink r:id="rId96" ref="AU98"/>
    <hyperlink r:id="rId97" ref="AU99"/>
    <hyperlink r:id="rId98" ref="AU100"/>
    <hyperlink r:id="rId99" ref="AU101"/>
    <hyperlink r:id="rId100" ref="AU102"/>
    <hyperlink r:id="rId101" ref="AU103"/>
    <hyperlink r:id="rId102" ref="AU104"/>
    <hyperlink r:id="rId103" ref="AU105"/>
    <hyperlink r:id="rId104" ref="AU106"/>
    <hyperlink r:id="rId105" ref="AU107"/>
    <hyperlink r:id="rId106" ref="AU108"/>
    <hyperlink r:id="rId107" ref="AU109"/>
    <hyperlink r:id="rId108" ref="AU110"/>
    <hyperlink r:id="rId109" ref="AU111"/>
    <hyperlink r:id="rId110" ref="AU112"/>
    <hyperlink r:id="rId111" ref="AU113"/>
    <hyperlink r:id="rId112" ref="AU114"/>
    <hyperlink r:id="rId113" ref="AU115"/>
    <hyperlink r:id="rId114" ref="AU116"/>
    <hyperlink r:id="rId115" ref="AU117"/>
    <hyperlink r:id="rId116" ref="AU118"/>
    <hyperlink r:id="rId117" ref="AU119"/>
    <hyperlink r:id="rId118" ref="AU120"/>
    <hyperlink r:id="rId119" ref="AU121"/>
    <hyperlink r:id="rId120" ref="AU122"/>
    <hyperlink r:id="rId121" ref="AU123"/>
    <hyperlink r:id="rId122" ref="AU124"/>
    <hyperlink r:id="rId123" ref="AU125"/>
    <hyperlink r:id="rId124" ref="AU126"/>
    <hyperlink r:id="rId125" ref="AU127"/>
    <hyperlink r:id="rId126" ref="AU128"/>
    <hyperlink r:id="rId127" ref="AU129"/>
    <hyperlink r:id="rId128" ref="AU130"/>
    <hyperlink r:id="rId129" ref="AU131"/>
    <hyperlink r:id="rId130" ref="AU132"/>
    <hyperlink r:id="rId131" ref="AU133"/>
    <hyperlink r:id="rId132" ref="AU134"/>
    <hyperlink r:id="rId133" ref="AU135"/>
    <hyperlink r:id="rId134" ref="AU136"/>
    <hyperlink r:id="rId135" ref="AU137"/>
    <hyperlink r:id="rId136" ref="AU138"/>
    <hyperlink r:id="rId137" ref="AU139"/>
    <hyperlink r:id="rId138" ref="AU140"/>
    <hyperlink r:id="rId139" ref="AU141"/>
    <hyperlink r:id="rId140" ref="AU142"/>
    <hyperlink r:id="rId141" ref="AU143"/>
    <hyperlink r:id="rId142" ref="AU144"/>
    <hyperlink r:id="rId143" ref="AU145"/>
    <hyperlink r:id="rId144" ref="AU146"/>
    <hyperlink r:id="rId145" ref="AU147"/>
    <hyperlink r:id="rId146" ref="AU148"/>
    <hyperlink r:id="rId147" ref="AU149"/>
    <hyperlink r:id="rId148" ref="AU150"/>
    <hyperlink r:id="rId149" ref="AU151"/>
    <hyperlink r:id="rId150" ref="AU152"/>
    <hyperlink r:id="rId151" ref="AU153"/>
    <hyperlink r:id="rId152" ref="AU154"/>
    <hyperlink r:id="rId153" ref="AU155"/>
    <hyperlink r:id="rId154" ref="AU156"/>
    <hyperlink r:id="rId155" ref="AU157"/>
    <hyperlink r:id="rId156" ref="AU158"/>
    <hyperlink r:id="rId157" ref="AU159"/>
    <hyperlink r:id="rId158" ref="AU160"/>
    <hyperlink r:id="rId159" ref="AU161"/>
    <hyperlink r:id="rId160" ref="AU162"/>
    <hyperlink r:id="rId161" ref="AU163"/>
    <hyperlink r:id="rId162" ref="AU164"/>
    <hyperlink r:id="rId163" ref="AU165"/>
    <hyperlink r:id="rId164" ref="AU166"/>
    <hyperlink r:id="rId165" ref="AU167"/>
    <hyperlink r:id="rId166" ref="AU168"/>
    <hyperlink r:id="rId167" ref="AU169"/>
    <hyperlink r:id="rId168" ref="AU170"/>
    <hyperlink r:id="rId169" ref="AU171"/>
    <hyperlink r:id="rId170" ref="AU172"/>
    <hyperlink r:id="rId171" ref="AU173"/>
    <hyperlink r:id="rId172" ref="AU174"/>
    <hyperlink r:id="rId173" ref="AU175"/>
    <hyperlink r:id="rId174" ref="AU176"/>
    <hyperlink r:id="rId175" ref="AU177"/>
    <hyperlink r:id="rId176" ref="AU178"/>
    <hyperlink r:id="rId177" ref="AU179"/>
    <hyperlink r:id="rId178" ref="AU180"/>
    <hyperlink r:id="rId179" ref="AU181"/>
    <hyperlink r:id="rId180" ref="AU182"/>
    <hyperlink r:id="rId181" ref="AU183"/>
    <hyperlink r:id="rId182" ref="AU184"/>
    <hyperlink r:id="rId183" ref="AU185"/>
    <hyperlink r:id="rId184" ref="AU186"/>
    <hyperlink r:id="rId185" ref="AU187"/>
    <hyperlink r:id="rId186" ref="AU188"/>
    <hyperlink r:id="rId187" ref="AU189"/>
    <hyperlink r:id="rId188" ref="AU190"/>
    <hyperlink r:id="rId189" ref="AU191"/>
    <hyperlink r:id="rId190" ref="AU192"/>
    <hyperlink r:id="rId191" ref="AU193"/>
    <hyperlink r:id="rId192" ref="AU194"/>
    <hyperlink r:id="rId193" ref="AU195"/>
    <hyperlink r:id="rId194" ref="AU196"/>
    <hyperlink r:id="rId195" ref="AU197"/>
    <hyperlink r:id="rId196" ref="AU198"/>
    <hyperlink r:id="rId197" ref="AU199"/>
    <hyperlink r:id="rId198" ref="AU200"/>
    <hyperlink r:id="rId199" ref="AU201"/>
    <hyperlink r:id="rId200" ref="AU202"/>
    <hyperlink r:id="rId201" ref="AU203"/>
    <hyperlink r:id="rId202" ref="AU204"/>
    <hyperlink r:id="rId203" ref="AU205"/>
    <hyperlink r:id="rId204" ref="AU206"/>
    <hyperlink r:id="rId205" ref="AU207"/>
    <hyperlink r:id="rId206" ref="AU208"/>
    <hyperlink r:id="rId207" ref="AU209"/>
    <hyperlink r:id="rId208" ref="AU210"/>
  </hyperlinks>
  <drawing r:id="rId20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4.0" topLeftCell="F25" activePane="bottomRight" state="frozen"/>
      <selection activeCell="F1" sqref="F1" pane="topRight"/>
      <selection activeCell="A25" sqref="A25" pane="bottomLeft"/>
      <selection activeCell="F25" sqref="F25" pane="bottomRight"/>
    </sheetView>
  </sheetViews>
  <sheetFormatPr customHeight="1" defaultColWidth="12.63" defaultRowHeight="15.75" outlineLevelRow="1"/>
  <cols>
    <col customWidth="1" min="1" max="1" width="2.63"/>
    <col customWidth="1" min="2" max="4" width="6.38"/>
    <col customWidth="1" min="5" max="5" width="41.38"/>
    <col customWidth="1" min="6" max="6" width="10.38"/>
    <col customWidth="1" min="7" max="7" width="2.88"/>
    <col customWidth="1" min="8" max="8" width="9.5"/>
    <col customWidth="1" min="9" max="9" width="8.88"/>
    <col customWidth="1" min="10" max="10" width="3.88"/>
    <col customWidth="1" min="11" max="13" width="3.25"/>
    <col customWidth="1" min="14" max="14" width="6.38"/>
    <col customWidth="1" min="15" max="19" width="3.25"/>
    <col customWidth="1" hidden="1" min="20" max="21" width="3.25"/>
    <col customWidth="1" hidden="1" min="22" max="22" width="6.38"/>
    <col customWidth="1" hidden="1" min="23" max="28" width="3.25"/>
    <col customWidth="1" min="29" max="30" width="3.25"/>
    <col customWidth="1" min="31" max="32" width="6.38"/>
    <col customWidth="1" min="33" max="37" width="3.25"/>
    <col customWidth="1" hidden="1" min="38" max="39" width="3.25"/>
    <col customWidth="1" hidden="1" min="40" max="40" width="6.38"/>
    <col customWidth="1" hidden="1" min="41" max="50" width="3.25"/>
    <col customWidth="1" hidden="1" min="51" max="52" width="6.38"/>
    <col customWidth="1" hidden="1" min="53" max="53" width="3.25"/>
    <col customWidth="1" hidden="1" min="54" max="54" width="6.38"/>
    <col customWidth="1" hidden="1" min="55" max="55" width="3.25"/>
    <col customWidth="1" hidden="1" min="56" max="56" width="6.38"/>
    <col customWidth="1" min="57" max="64" width="3.25"/>
    <col customWidth="1" hidden="1" min="65" max="66" width="3.25"/>
    <col customWidth="1" hidden="1" min="67" max="71" width="6.38"/>
    <col customWidth="1" hidden="1" min="72" max="72" width="3.25"/>
    <col customWidth="1" hidden="1" min="73" max="74" width="6.38"/>
    <col customWidth="1" hidden="1" min="75" max="75" width="3.25"/>
    <col customWidth="1" hidden="1" min="76" max="76" width="6.38"/>
    <col customWidth="1" min="77" max="80" width="3.25"/>
    <col customWidth="1" hidden="1" min="81" max="81" width="3.25"/>
    <col customWidth="1" min="82" max="89" width="3.25"/>
    <col customWidth="1" hidden="1" min="90" max="90" width="3.25"/>
    <col customWidth="1" hidden="1" min="91" max="95" width="6.38"/>
    <col customWidth="1" min="96" max="96" width="3.25"/>
    <col customWidth="1" min="97" max="97" width="5.75"/>
    <col customWidth="1" hidden="1" min="98" max="107" width="3.25"/>
    <col customWidth="1" hidden="1" min="108" max="111" width="6.38"/>
    <col customWidth="1" hidden="1" min="112" max="112" width="3.25"/>
    <col customWidth="1" hidden="1" min="113" max="113" width="5.75"/>
    <col customWidth="1" hidden="1" min="114" max="116" width="3.25"/>
    <col customWidth="1" min="117" max="118" width="3.25"/>
    <col customWidth="1" hidden="1" min="119" max="120" width="3.25"/>
    <col customWidth="1" min="121" max="122" width="3.25"/>
    <col customWidth="1" hidden="1" min="123" max="125" width="3.25"/>
    <col customWidth="1" hidden="1" min="126" max="126" width="3.88"/>
    <col customWidth="1" hidden="1" min="127" max="127" width="3.25"/>
    <col customWidth="1" min="128" max="128" width="3.25"/>
    <col customWidth="1" hidden="1" min="129" max="133" width="3.25"/>
    <col customWidth="1" min="134" max="134" width="3.25"/>
    <col customWidth="1" hidden="1" min="135" max="147" width="8.88"/>
    <col customWidth="1" min="148" max="149" width="9.5"/>
    <col customWidth="1" min="150" max="150" width="13.5"/>
    <col customWidth="1" hidden="1" min="151" max="154" width="8.88"/>
    <col customWidth="1" min="155" max="155" width="13.5"/>
    <col customWidth="1" hidden="1" min="156" max="159" width="8.88"/>
    <col customWidth="1" min="160" max="160" width="13.5"/>
    <col customWidth="1" hidden="1" min="161" max="164" width="8.88"/>
    <col customWidth="1" min="165" max="165" width="13.5"/>
    <col customWidth="1" hidden="1" min="166" max="169" width="8.88"/>
    <col customWidth="1" min="170" max="171" width="13.5"/>
  </cols>
  <sheetData>
    <row r="1" hidden="1">
      <c r="B1" s="1"/>
      <c r="C1" s="65"/>
      <c r="D1" s="65"/>
      <c r="G1" s="66"/>
      <c r="H1" s="4"/>
      <c r="I1" s="4"/>
      <c r="J1" s="4"/>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7" t="s">
        <v>1035</v>
      </c>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8"/>
      <c r="DJ1" s="66"/>
      <c r="DK1" s="66"/>
      <c r="DL1" s="66"/>
      <c r="DM1" s="66"/>
      <c r="DN1" s="66"/>
      <c r="DO1" s="66"/>
      <c r="DP1" s="66"/>
      <c r="DQ1" s="66"/>
      <c r="DR1" s="66"/>
      <c r="DS1" s="66"/>
      <c r="DT1" s="66"/>
      <c r="DU1" s="66"/>
      <c r="DV1" s="66"/>
      <c r="DW1" s="66"/>
      <c r="DX1" s="66"/>
      <c r="DY1" s="66"/>
      <c r="DZ1" s="66"/>
      <c r="EA1" s="69"/>
      <c r="EB1" s="66"/>
      <c r="EC1" s="66"/>
      <c r="ED1" s="66"/>
      <c r="EE1" s="3"/>
      <c r="EF1" s="4"/>
      <c r="EG1" s="4"/>
      <c r="EH1" s="4"/>
      <c r="EI1" s="4"/>
      <c r="EJ1" s="4"/>
      <c r="EK1" s="4"/>
      <c r="EL1" s="4"/>
      <c r="EM1" s="4"/>
      <c r="EN1" s="4"/>
      <c r="EO1" s="4"/>
      <c r="EP1" s="4"/>
      <c r="EQ1" s="70"/>
      <c r="ER1" s="70"/>
      <c r="ES1" s="70"/>
      <c r="ET1" s="70"/>
      <c r="EU1" s="71"/>
      <c r="EV1" s="70"/>
      <c r="EW1" s="70"/>
      <c r="EX1" s="70"/>
      <c r="EY1" s="70"/>
      <c r="EZ1" s="71"/>
      <c r="FA1" s="70"/>
      <c r="FB1" s="70"/>
      <c r="FC1" s="70"/>
      <c r="FD1" s="70"/>
      <c r="FE1" s="71"/>
      <c r="FF1" s="70"/>
      <c r="FG1" s="70"/>
      <c r="FH1" s="70"/>
      <c r="FI1" s="70"/>
      <c r="FJ1" s="71"/>
      <c r="FK1" s="70"/>
      <c r="FL1" s="70"/>
      <c r="FM1" s="70"/>
      <c r="FN1" s="70"/>
      <c r="FO1" s="70"/>
    </row>
    <row r="2" hidden="1">
      <c r="B2" s="72" t="s">
        <v>1036</v>
      </c>
      <c r="C2" s="73" t="s">
        <v>1037</v>
      </c>
      <c r="D2" s="74" t="s">
        <v>1038</v>
      </c>
      <c r="E2" s="73" t="s">
        <v>1039</v>
      </c>
      <c r="F2" s="73" t="s">
        <v>1040</v>
      </c>
      <c r="G2" s="73" t="s">
        <v>1040</v>
      </c>
      <c r="H2" s="75" t="s">
        <v>1041</v>
      </c>
      <c r="I2" s="75" t="s">
        <v>1041</v>
      </c>
      <c r="J2" s="75" t="s">
        <v>1041</v>
      </c>
      <c r="K2" s="76" t="s">
        <v>1042</v>
      </c>
      <c r="L2" s="76" t="s">
        <v>1042</v>
      </c>
      <c r="M2" s="76" t="s">
        <v>1043</v>
      </c>
      <c r="N2" s="76" t="s">
        <v>1042</v>
      </c>
      <c r="O2" s="76" t="s">
        <v>1042</v>
      </c>
      <c r="P2" s="76" t="s">
        <v>1042</v>
      </c>
      <c r="Q2" s="76" t="s">
        <v>1042</v>
      </c>
      <c r="R2" s="76" t="s">
        <v>1042</v>
      </c>
      <c r="S2" s="76" t="s">
        <v>1042</v>
      </c>
      <c r="T2" s="76" t="s">
        <v>1042</v>
      </c>
      <c r="U2" s="76" t="s">
        <v>1043</v>
      </c>
      <c r="V2" s="76" t="s">
        <v>1042</v>
      </c>
      <c r="W2" s="76" t="s">
        <v>1042</v>
      </c>
      <c r="X2" s="76" t="s">
        <v>1042</v>
      </c>
      <c r="Y2" s="76" t="s">
        <v>1042</v>
      </c>
      <c r="Z2" s="76" t="s">
        <v>1042</v>
      </c>
      <c r="AA2" s="76" t="s">
        <v>28</v>
      </c>
      <c r="AB2" s="76" t="s">
        <v>1042</v>
      </c>
      <c r="AC2" s="76" t="s">
        <v>1042</v>
      </c>
      <c r="AD2" s="76" t="s">
        <v>1042</v>
      </c>
      <c r="AE2" s="76" t="s">
        <v>1043</v>
      </c>
      <c r="AF2" s="76" t="s">
        <v>1042</v>
      </c>
      <c r="AG2" s="76" t="s">
        <v>1042</v>
      </c>
      <c r="AH2" s="76" t="s">
        <v>1042</v>
      </c>
      <c r="AI2" s="76" t="s">
        <v>1042</v>
      </c>
      <c r="AJ2" s="76" t="s">
        <v>1042</v>
      </c>
      <c r="AK2" s="76" t="s">
        <v>1042</v>
      </c>
      <c r="AL2" s="76" t="s">
        <v>1042</v>
      </c>
      <c r="AM2" s="76" t="s">
        <v>1042</v>
      </c>
      <c r="AN2" s="76" t="s">
        <v>1042</v>
      </c>
      <c r="AO2" s="76" t="s">
        <v>1042</v>
      </c>
      <c r="AP2" s="76" t="s">
        <v>1042</v>
      </c>
      <c r="AQ2" s="76" t="s">
        <v>1042</v>
      </c>
      <c r="AR2" s="76" t="s">
        <v>1042</v>
      </c>
      <c r="AS2" s="76" t="s">
        <v>1042</v>
      </c>
      <c r="AT2" s="76" t="s">
        <v>1043</v>
      </c>
      <c r="AU2" s="76" t="s">
        <v>28</v>
      </c>
      <c r="AV2" s="76" t="s">
        <v>28</v>
      </c>
      <c r="AW2" s="76" t="s">
        <v>28</v>
      </c>
      <c r="AX2" s="76" t="s">
        <v>28</v>
      </c>
      <c r="AY2" s="76" t="s">
        <v>1042</v>
      </c>
      <c r="AZ2" s="76" t="s">
        <v>1043</v>
      </c>
      <c r="BA2" s="76" t="s">
        <v>1043</v>
      </c>
      <c r="BB2" s="76" t="s">
        <v>28</v>
      </c>
      <c r="BC2" s="76" t="s">
        <v>28</v>
      </c>
      <c r="BD2" s="76" t="s">
        <v>28</v>
      </c>
      <c r="BE2" s="76" t="s">
        <v>1042</v>
      </c>
      <c r="BF2" s="76" t="s">
        <v>28</v>
      </c>
      <c r="BG2" s="76" t="s">
        <v>1042</v>
      </c>
      <c r="BH2" s="76" t="s">
        <v>1043</v>
      </c>
      <c r="BI2" s="76" t="s">
        <v>28</v>
      </c>
      <c r="BJ2" s="76" t="s">
        <v>28</v>
      </c>
      <c r="BK2" s="76" t="s">
        <v>28</v>
      </c>
      <c r="BL2" s="76" t="s">
        <v>28</v>
      </c>
      <c r="BM2" s="76" t="s">
        <v>1042</v>
      </c>
      <c r="BN2" s="76" t="s">
        <v>1042</v>
      </c>
      <c r="BO2" s="76" t="s">
        <v>1042</v>
      </c>
      <c r="BP2" s="76" t="s">
        <v>1042</v>
      </c>
      <c r="BQ2" s="76" t="s">
        <v>1042</v>
      </c>
      <c r="BR2" s="76" t="s">
        <v>1042</v>
      </c>
      <c r="BS2" s="76" t="s">
        <v>28</v>
      </c>
      <c r="BT2" s="76" t="s">
        <v>28</v>
      </c>
      <c r="BU2" s="76" t="s">
        <v>1042</v>
      </c>
      <c r="BV2" s="76" t="s">
        <v>1043</v>
      </c>
      <c r="BW2" s="76" t="s">
        <v>1043</v>
      </c>
      <c r="BX2" s="76" t="s">
        <v>1043</v>
      </c>
      <c r="BY2" s="76" t="s">
        <v>1042</v>
      </c>
      <c r="BZ2" s="76" t="s">
        <v>1042</v>
      </c>
      <c r="CA2" s="76" t="s">
        <v>1042</v>
      </c>
      <c r="CB2" s="76" t="s">
        <v>1043</v>
      </c>
      <c r="CC2" s="76" t="s">
        <v>1043</v>
      </c>
      <c r="CD2" s="76" t="s">
        <v>28</v>
      </c>
      <c r="CE2" s="76" t="s">
        <v>28</v>
      </c>
      <c r="CF2" s="76" t="s">
        <v>28</v>
      </c>
      <c r="CG2" s="76" t="s">
        <v>1043</v>
      </c>
      <c r="CH2" s="76" t="s">
        <v>1043</v>
      </c>
      <c r="CI2" s="76" t="s">
        <v>28</v>
      </c>
      <c r="CJ2" s="76" t="s">
        <v>28</v>
      </c>
      <c r="CK2" s="76" t="s">
        <v>1042</v>
      </c>
      <c r="CL2" s="76" t="s">
        <v>1043</v>
      </c>
      <c r="CM2" s="76" t="s">
        <v>1043</v>
      </c>
      <c r="CN2" s="76" t="s">
        <v>28</v>
      </c>
      <c r="CO2" s="76" t="s">
        <v>1042</v>
      </c>
      <c r="CP2" s="76" t="s">
        <v>1043</v>
      </c>
      <c r="CQ2" s="76" t="s">
        <v>1043</v>
      </c>
      <c r="CR2" s="76" t="s">
        <v>28</v>
      </c>
      <c r="CS2" s="76"/>
      <c r="CT2" s="76" t="s">
        <v>1042</v>
      </c>
      <c r="CU2" s="76" t="s">
        <v>1042</v>
      </c>
      <c r="CV2" s="76" t="s">
        <v>1043</v>
      </c>
      <c r="CW2" s="76" t="s">
        <v>1043</v>
      </c>
      <c r="CX2" s="76" t="s">
        <v>28</v>
      </c>
      <c r="CY2" s="76" t="s">
        <v>28</v>
      </c>
      <c r="CZ2" s="76" t="s">
        <v>28</v>
      </c>
      <c r="DA2" s="76" t="s">
        <v>28</v>
      </c>
      <c r="DB2" s="76" t="s">
        <v>28</v>
      </c>
      <c r="DC2" s="76" t="s">
        <v>28</v>
      </c>
      <c r="DD2" s="76" t="s">
        <v>28</v>
      </c>
      <c r="DE2" s="76" t="s">
        <v>1042</v>
      </c>
      <c r="DF2" s="76" t="s">
        <v>1043</v>
      </c>
      <c r="DG2" s="76" t="s">
        <v>1043</v>
      </c>
      <c r="DH2" s="76" t="s">
        <v>28</v>
      </c>
      <c r="DI2" s="77"/>
      <c r="DJ2" s="76" t="s">
        <v>1042</v>
      </c>
      <c r="DK2" s="76" t="s">
        <v>28</v>
      </c>
      <c r="DL2" s="76" t="s">
        <v>1042</v>
      </c>
      <c r="DM2" s="76" t="s">
        <v>1042</v>
      </c>
      <c r="DN2" s="76" t="s">
        <v>1042</v>
      </c>
      <c r="DO2" s="76" t="s">
        <v>1042</v>
      </c>
      <c r="DP2" s="76" t="s">
        <v>1042</v>
      </c>
      <c r="DQ2" s="76" t="s">
        <v>1042</v>
      </c>
      <c r="DR2" s="76" t="s">
        <v>28</v>
      </c>
      <c r="DS2" s="76" t="s">
        <v>1042</v>
      </c>
      <c r="DT2" s="76" t="s">
        <v>1042</v>
      </c>
      <c r="DU2" s="76" t="s">
        <v>1042</v>
      </c>
      <c r="DV2" s="76" t="s">
        <v>1043</v>
      </c>
      <c r="DW2" s="76" t="s">
        <v>1042</v>
      </c>
      <c r="DX2" s="76" t="s">
        <v>1042</v>
      </c>
      <c r="DY2" s="76" t="s">
        <v>1042</v>
      </c>
      <c r="DZ2" s="76" t="s">
        <v>1042</v>
      </c>
      <c r="EA2" s="78" t="s">
        <v>1042</v>
      </c>
      <c r="EB2" s="76" t="s">
        <v>1043</v>
      </c>
      <c r="EC2" s="76" t="s">
        <v>1043</v>
      </c>
      <c r="ED2" s="76" t="s">
        <v>1042</v>
      </c>
      <c r="EE2" s="75" t="s">
        <v>1042</v>
      </c>
      <c r="EF2" s="75" t="s">
        <v>28</v>
      </c>
      <c r="EG2" s="75" t="s">
        <v>28</v>
      </c>
      <c r="EH2" s="75" t="s">
        <v>28</v>
      </c>
      <c r="EI2" s="75" t="s">
        <v>28</v>
      </c>
      <c r="EJ2" s="75" t="s">
        <v>28</v>
      </c>
      <c r="EK2" s="75" t="s">
        <v>28</v>
      </c>
      <c r="EL2" s="75" t="s">
        <v>28</v>
      </c>
      <c r="EM2" s="75" t="s">
        <v>28</v>
      </c>
      <c r="EN2" s="75" t="s">
        <v>28</v>
      </c>
      <c r="EO2" s="75" t="s">
        <v>28</v>
      </c>
      <c r="EP2" s="75" t="s">
        <v>1042</v>
      </c>
      <c r="EQ2" s="75" t="s">
        <v>1043</v>
      </c>
      <c r="ER2" s="75" t="s">
        <v>1041</v>
      </c>
      <c r="ES2" s="75" t="s">
        <v>1041</v>
      </c>
      <c r="ET2" s="75"/>
      <c r="EU2" s="79" t="s">
        <v>1042</v>
      </c>
      <c r="EV2" s="75" t="s">
        <v>1042</v>
      </c>
      <c r="EW2" s="75" t="s">
        <v>28</v>
      </c>
      <c r="EX2" s="75" t="s">
        <v>1043</v>
      </c>
      <c r="EY2" s="75"/>
      <c r="EZ2" s="79" t="s">
        <v>1042</v>
      </c>
      <c r="FA2" s="75" t="s">
        <v>1042</v>
      </c>
      <c r="FB2" s="75" t="s">
        <v>28</v>
      </c>
      <c r="FC2" s="75" t="s">
        <v>1043</v>
      </c>
      <c r="FD2" s="75"/>
      <c r="FE2" s="79" t="s">
        <v>1042</v>
      </c>
      <c r="FF2" s="75" t="s">
        <v>1042</v>
      </c>
      <c r="FG2" s="75" t="s">
        <v>28</v>
      </c>
      <c r="FH2" s="75" t="s">
        <v>1043</v>
      </c>
      <c r="FI2" s="75"/>
      <c r="FJ2" s="79" t="s">
        <v>1042</v>
      </c>
      <c r="FK2" s="75" t="s">
        <v>1042</v>
      </c>
      <c r="FL2" s="75" t="s">
        <v>28</v>
      </c>
      <c r="FM2" s="75" t="s">
        <v>1043</v>
      </c>
      <c r="FN2" s="75"/>
      <c r="FO2" s="80"/>
    </row>
    <row r="3" hidden="1">
      <c r="B3" s="81" t="b">
        <f>Option!$C6</f>
        <v>1</v>
      </c>
      <c r="C3" s="82" t="str">
        <f t="array" ref="C3">IFERROR(INDEX('Phase Map'!$E$2:$E$12, MATCH(E3, 'Phase Map'!$C$2:$C$12, 0)), "hide")</f>
        <v/>
      </c>
      <c r="D3" s="83"/>
      <c r="E3" s="84" t="str">
        <f>GETSHEETNAME()</f>
        <v>Phase 1</v>
      </c>
      <c r="F3" s="84" t="s">
        <v>1044</v>
      </c>
      <c r="G3" s="84"/>
      <c r="H3" s="84"/>
      <c r="I3" s="84"/>
      <c r="J3" s="84"/>
      <c r="K3" s="85" t="s">
        <v>186</v>
      </c>
      <c r="L3" s="85" t="s">
        <v>186</v>
      </c>
      <c r="M3" s="85" t="s">
        <v>186</v>
      </c>
      <c r="N3" s="85" t="s">
        <v>186</v>
      </c>
      <c r="O3" s="85" t="s">
        <v>186</v>
      </c>
      <c r="P3" s="85" t="s">
        <v>186</v>
      </c>
      <c r="Q3" s="85" t="s">
        <v>186</v>
      </c>
      <c r="R3" s="85" t="s">
        <v>186</v>
      </c>
      <c r="S3" s="85" t="s">
        <v>186</v>
      </c>
      <c r="T3" s="85" t="s">
        <v>198</v>
      </c>
      <c r="U3" s="85" t="s">
        <v>198</v>
      </c>
      <c r="V3" s="85" t="s">
        <v>198</v>
      </c>
      <c r="W3" s="85" t="s">
        <v>198</v>
      </c>
      <c r="X3" s="85" t="s">
        <v>198</v>
      </c>
      <c r="Y3" s="85" t="s">
        <v>198</v>
      </c>
      <c r="Z3" s="85" t="s">
        <v>198</v>
      </c>
      <c r="AA3" s="85" t="s">
        <v>198</v>
      </c>
      <c r="AB3" s="85" t="s">
        <v>198</v>
      </c>
      <c r="AC3" s="85" t="s">
        <v>192</v>
      </c>
      <c r="AD3" s="85" t="s">
        <v>192</v>
      </c>
      <c r="AE3" s="85" t="s">
        <v>192</v>
      </c>
      <c r="AF3" s="85" t="s">
        <v>192</v>
      </c>
      <c r="AG3" s="85" t="s">
        <v>1044</v>
      </c>
      <c r="AH3" s="85" t="s">
        <v>192</v>
      </c>
      <c r="AI3" s="85" t="s">
        <v>192</v>
      </c>
      <c r="AJ3" s="85" t="s">
        <v>192</v>
      </c>
      <c r="AK3" s="85" t="s">
        <v>192</v>
      </c>
      <c r="AL3" s="85" t="s">
        <v>180</v>
      </c>
      <c r="AM3" s="85" t="s">
        <v>180</v>
      </c>
      <c r="AN3" s="85" t="s">
        <v>180</v>
      </c>
      <c r="AO3" s="85" t="s">
        <v>180</v>
      </c>
      <c r="AP3" s="85" t="s">
        <v>180</v>
      </c>
      <c r="AQ3" s="85" t="s">
        <v>180</v>
      </c>
      <c r="AR3" s="85" t="s">
        <v>180</v>
      </c>
      <c r="AS3" s="85" t="s">
        <v>72</v>
      </c>
      <c r="AT3" s="85" t="s">
        <v>72</v>
      </c>
      <c r="AU3" s="85" t="s">
        <v>72</v>
      </c>
      <c r="AV3" s="85" t="s">
        <v>72</v>
      </c>
      <c r="AW3" s="85" t="s">
        <v>72</v>
      </c>
      <c r="AX3" s="85" t="s">
        <v>72</v>
      </c>
      <c r="AY3" s="85" t="s">
        <v>72</v>
      </c>
      <c r="AZ3" s="85" t="s">
        <v>72</v>
      </c>
      <c r="BA3" s="85" t="s">
        <v>1044</v>
      </c>
      <c r="BB3" s="85" t="s">
        <v>72</v>
      </c>
      <c r="BC3" s="85" t="s">
        <v>1044</v>
      </c>
      <c r="BD3" s="85" t="s">
        <v>72</v>
      </c>
      <c r="BE3" s="85" t="s">
        <v>65</v>
      </c>
      <c r="BF3" s="85" t="s">
        <v>65</v>
      </c>
      <c r="BG3" s="85" t="s">
        <v>65</v>
      </c>
      <c r="BH3" s="85" t="s">
        <v>65</v>
      </c>
      <c r="BI3" s="85" t="s">
        <v>65</v>
      </c>
      <c r="BJ3" s="85" t="s">
        <v>65</v>
      </c>
      <c r="BK3" s="85" t="s">
        <v>65</v>
      </c>
      <c r="BL3" s="85" t="s">
        <v>65</v>
      </c>
      <c r="BM3" s="85" t="s">
        <v>65</v>
      </c>
      <c r="BN3" s="85" t="s">
        <v>65</v>
      </c>
      <c r="BO3" s="85" t="s">
        <v>65</v>
      </c>
      <c r="BP3" s="85" t="s">
        <v>65</v>
      </c>
      <c r="BQ3" s="85" t="s">
        <v>65</v>
      </c>
      <c r="BR3" s="85" t="s">
        <v>65</v>
      </c>
      <c r="BS3" s="85" t="s">
        <v>65</v>
      </c>
      <c r="BT3" s="85" t="s">
        <v>1044</v>
      </c>
      <c r="BU3" s="85" t="s">
        <v>65</v>
      </c>
      <c r="BV3" s="85" t="s">
        <v>65</v>
      </c>
      <c r="BW3" s="85" t="s">
        <v>1044</v>
      </c>
      <c r="BX3" s="85" t="s">
        <v>65</v>
      </c>
      <c r="BY3" s="85" t="s">
        <v>43</v>
      </c>
      <c r="BZ3" s="85" t="s">
        <v>43</v>
      </c>
      <c r="CA3" s="85" t="s">
        <v>43</v>
      </c>
      <c r="CB3" s="85" t="s">
        <v>43</v>
      </c>
      <c r="CC3" s="85" t="s">
        <v>43</v>
      </c>
      <c r="CD3" s="85" t="s">
        <v>43</v>
      </c>
      <c r="CE3" s="85" t="s">
        <v>43</v>
      </c>
      <c r="CF3" s="85" t="s">
        <v>43</v>
      </c>
      <c r="CG3" s="85" t="s">
        <v>43</v>
      </c>
      <c r="CH3" s="85" t="s">
        <v>43</v>
      </c>
      <c r="CI3" s="85" t="s">
        <v>43</v>
      </c>
      <c r="CJ3" s="85" t="s">
        <v>43</v>
      </c>
      <c r="CK3" s="85" t="s">
        <v>43</v>
      </c>
      <c r="CL3" s="85" t="s">
        <v>43</v>
      </c>
      <c r="CM3" s="85" t="s">
        <v>43</v>
      </c>
      <c r="CN3" s="85" t="s">
        <v>43</v>
      </c>
      <c r="CO3" s="86" t="s">
        <v>43</v>
      </c>
      <c r="CP3" s="86" t="s">
        <v>43</v>
      </c>
      <c r="CQ3" s="86" t="s">
        <v>43</v>
      </c>
      <c r="CR3" s="86" t="s">
        <v>43</v>
      </c>
      <c r="CS3" s="86" t="s">
        <v>43</v>
      </c>
      <c r="CT3" s="85" t="s">
        <v>60</v>
      </c>
      <c r="CU3" s="85" t="s">
        <v>60</v>
      </c>
      <c r="CV3" s="85" t="s">
        <v>60</v>
      </c>
      <c r="CW3" s="85" t="s">
        <v>60</v>
      </c>
      <c r="CX3" s="85" t="s">
        <v>60</v>
      </c>
      <c r="CY3" s="85" t="s">
        <v>60</v>
      </c>
      <c r="CZ3" s="85" t="s">
        <v>60</v>
      </c>
      <c r="DA3" s="85" t="s">
        <v>60</v>
      </c>
      <c r="DB3" s="85" t="s">
        <v>60</v>
      </c>
      <c r="DC3" s="85" t="s">
        <v>60</v>
      </c>
      <c r="DD3" s="85" t="s">
        <v>60</v>
      </c>
      <c r="DE3" s="86" t="s">
        <v>60</v>
      </c>
      <c r="DF3" s="86" t="s">
        <v>60</v>
      </c>
      <c r="DG3" s="86" t="s">
        <v>60</v>
      </c>
      <c r="DH3" s="86" t="s">
        <v>60</v>
      </c>
      <c r="DI3" s="87" t="s">
        <v>60</v>
      </c>
      <c r="DJ3" s="85" t="s">
        <v>767</v>
      </c>
      <c r="DK3" s="88" t="s">
        <v>767</v>
      </c>
      <c r="DL3" s="85" t="s">
        <v>1045</v>
      </c>
      <c r="DM3" s="85" t="s">
        <v>1046</v>
      </c>
      <c r="DN3" s="85" t="s">
        <v>1047</v>
      </c>
      <c r="DO3" s="85" t="s">
        <v>1048</v>
      </c>
      <c r="DP3" s="85" t="s">
        <v>1049</v>
      </c>
      <c r="DQ3" s="85" t="s">
        <v>118</v>
      </c>
      <c r="DR3" s="85" t="s">
        <v>118</v>
      </c>
      <c r="DS3" s="85" t="s">
        <v>102</v>
      </c>
      <c r="DT3" s="85" t="s">
        <v>102</v>
      </c>
      <c r="DU3" s="85" t="s">
        <v>149</v>
      </c>
      <c r="DV3" s="85" t="s">
        <v>149</v>
      </c>
      <c r="DW3" s="85" t="s">
        <v>1050</v>
      </c>
      <c r="DX3" s="85" t="s">
        <v>1051</v>
      </c>
      <c r="DY3" s="85" t="s">
        <v>316</v>
      </c>
      <c r="DZ3" s="85" t="s">
        <v>316</v>
      </c>
      <c r="EA3" s="89" t="s">
        <v>278</v>
      </c>
      <c r="EB3" s="89" t="s">
        <v>278</v>
      </c>
      <c r="EC3" s="89" t="s">
        <v>278</v>
      </c>
      <c r="ED3" s="85" t="s">
        <v>93</v>
      </c>
      <c r="EE3" s="90" t="s">
        <v>1044</v>
      </c>
      <c r="EF3" s="90" t="s">
        <v>1044</v>
      </c>
      <c r="EG3" s="90" t="s">
        <v>1044</v>
      </c>
      <c r="EH3" s="90" t="s">
        <v>1044</v>
      </c>
      <c r="EI3" s="90" t="s">
        <v>1044</v>
      </c>
      <c r="EJ3" s="90" t="s">
        <v>1044</v>
      </c>
      <c r="EK3" s="90" t="s">
        <v>1044</v>
      </c>
      <c r="EL3" s="90" t="s">
        <v>1044</v>
      </c>
      <c r="EM3" s="90" t="s">
        <v>1044</v>
      </c>
      <c r="EN3" s="90" t="s">
        <v>1044</v>
      </c>
      <c r="EO3" s="90" t="s">
        <v>1044</v>
      </c>
      <c r="EP3" s="90" t="s">
        <v>1044</v>
      </c>
      <c r="EQ3" s="90" t="s">
        <v>1044</v>
      </c>
      <c r="ER3" s="84"/>
      <c r="ES3" s="84"/>
      <c r="ET3" s="84"/>
      <c r="EU3" s="90" t="s">
        <v>1044</v>
      </c>
      <c r="EV3" s="85" t="s">
        <v>1044</v>
      </c>
      <c r="EW3" s="85" t="s">
        <v>1044</v>
      </c>
      <c r="EX3" s="85" t="s">
        <v>1044</v>
      </c>
      <c r="EY3" s="85" t="s">
        <v>186</v>
      </c>
      <c r="EZ3" s="90" t="s">
        <v>1044</v>
      </c>
      <c r="FA3" s="85" t="s">
        <v>1044</v>
      </c>
      <c r="FB3" s="85" t="s">
        <v>1044</v>
      </c>
      <c r="FC3" s="85" t="s">
        <v>1044</v>
      </c>
      <c r="FD3" s="85" t="s">
        <v>198</v>
      </c>
      <c r="FE3" s="90" t="s">
        <v>1044</v>
      </c>
      <c r="FF3" s="85" t="s">
        <v>1044</v>
      </c>
      <c r="FG3" s="85" t="s">
        <v>1044</v>
      </c>
      <c r="FH3" s="85" t="s">
        <v>1044</v>
      </c>
      <c r="FI3" s="85" t="s">
        <v>192</v>
      </c>
      <c r="FJ3" s="90" t="s">
        <v>1044</v>
      </c>
      <c r="FK3" s="85" t="s">
        <v>1044</v>
      </c>
      <c r="FL3" s="85" t="s">
        <v>1044</v>
      </c>
      <c r="FM3" s="85" t="s">
        <v>1044</v>
      </c>
      <c r="FN3" s="85" t="s">
        <v>180</v>
      </c>
      <c r="FO3" s="91"/>
    </row>
    <row r="4" hidden="1">
      <c r="B4" s="92" t="b">
        <f>Option!$C7</f>
        <v>1</v>
      </c>
      <c r="C4" s="93">
        <f t="array" ref="C4">IFERROR(INDEX('Phase Map'!$D$2:$D$12, MATCH(E3, 'Phase Map'!$C$2:$C$12, 0)), "")</f>
        <v>0.001701388889</v>
      </c>
      <c r="D4" s="83"/>
      <c r="E4" s="84" t="s">
        <v>1</v>
      </c>
      <c r="F4" s="84"/>
      <c r="G4" s="84"/>
      <c r="H4" s="84"/>
      <c r="I4" s="84"/>
      <c r="J4" s="84"/>
      <c r="K4" s="85" t="s">
        <v>94</v>
      </c>
      <c r="L4" s="85" t="s">
        <v>679</v>
      </c>
      <c r="M4" s="85" t="s">
        <v>271</v>
      </c>
      <c r="N4" s="85" t="s">
        <v>479</v>
      </c>
      <c r="O4" s="85" t="s">
        <v>172</v>
      </c>
      <c r="P4" s="85" t="s">
        <v>856</v>
      </c>
      <c r="Q4" s="85" t="s">
        <v>187</v>
      </c>
      <c r="R4" s="85" t="s">
        <v>485</v>
      </c>
      <c r="S4" s="85" t="s">
        <v>888</v>
      </c>
      <c r="T4" s="85" t="s">
        <v>94</v>
      </c>
      <c r="U4" s="84" t="s">
        <v>660</v>
      </c>
      <c r="V4" s="84" t="s">
        <v>505</v>
      </c>
      <c r="W4" s="84" t="s">
        <v>172</v>
      </c>
      <c r="X4" s="84" t="s">
        <v>622</v>
      </c>
      <c r="Y4" s="84" t="s">
        <v>199</v>
      </c>
      <c r="Z4" s="84" t="s">
        <v>498</v>
      </c>
      <c r="AA4" s="84" t="s">
        <v>465</v>
      </c>
      <c r="AB4" s="84" t="s">
        <v>939</v>
      </c>
      <c r="AC4" s="85" t="s">
        <v>94</v>
      </c>
      <c r="AD4" s="85" t="s">
        <v>629</v>
      </c>
      <c r="AE4" s="85" t="s">
        <v>686</v>
      </c>
      <c r="AF4" s="85" t="s">
        <v>492</v>
      </c>
      <c r="AG4" s="85"/>
      <c r="AH4" s="85" t="s">
        <v>172</v>
      </c>
      <c r="AI4" s="85" t="s">
        <v>909</v>
      </c>
      <c r="AJ4" s="94" t="s">
        <v>193</v>
      </c>
      <c r="AK4" s="84" t="s">
        <v>895</v>
      </c>
      <c r="AL4" s="85" t="s">
        <v>94</v>
      </c>
      <c r="AM4" s="85" t="s">
        <v>760</v>
      </c>
      <c r="AN4" s="85" t="s">
        <v>472</v>
      </c>
      <c r="AO4" s="85" t="s">
        <v>172</v>
      </c>
      <c r="AP4" s="94" t="s">
        <v>1026</v>
      </c>
      <c r="AQ4" s="85" t="s">
        <v>181</v>
      </c>
      <c r="AR4" s="84" t="s">
        <v>881</v>
      </c>
      <c r="AS4" s="85" t="s">
        <v>74</v>
      </c>
      <c r="AT4" s="85" t="s">
        <v>73</v>
      </c>
      <c r="AU4" s="85" t="s">
        <v>204</v>
      </c>
      <c r="AV4" s="95" t="s">
        <v>874</v>
      </c>
      <c r="AW4" s="95" t="s">
        <v>849</v>
      </c>
      <c r="AX4" s="95" t="s">
        <v>234</v>
      </c>
      <c r="AY4" s="85" t="s">
        <v>329</v>
      </c>
      <c r="AZ4" s="85" t="s">
        <v>303</v>
      </c>
      <c r="BA4" s="85"/>
      <c r="BB4" s="85" t="s">
        <v>143</v>
      </c>
      <c r="BC4" s="85"/>
      <c r="BD4" s="85" t="s">
        <v>902</v>
      </c>
      <c r="BE4" s="85" t="s">
        <v>835</v>
      </c>
      <c r="BF4" s="85" t="s">
        <v>67</v>
      </c>
      <c r="BG4" s="85" t="s">
        <v>66</v>
      </c>
      <c r="BH4" s="85" t="s">
        <v>167</v>
      </c>
      <c r="BI4" s="95" t="s">
        <v>815</v>
      </c>
      <c r="BJ4" s="95" t="s">
        <v>803</v>
      </c>
      <c r="BK4" s="95" t="s">
        <v>648</v>
      </c>
      <c r="BL4" s="95" t="s">
        <v>221</v>
      </c>
      <c r="BM4" s="95" t="s">
        <v>978</v>
      </c>
      <c r="BN4" s="95" t="s">
        <v>736</v>
      </c>
      <c r="BO4" s="95" t="s">
        <v>987</v>
      </c>
      <c r="BP4" s="95" t="s">
        <v>998</v>
      </c>
      <c r="BQ4" s="95" t="s">
        <v>1003</v>
      </c>
      <c r="BR4" s="95" t="s">
        <v>993</v>
      </c>
      <c r="BS4" s="95" t="s">
        <v>130</v>
      </c>
      <c r="BT4" s="95"/>
      <c r="BU4" s="95" t="s">
        <v>324</v>
      </c>
      <c r="BV4" s="85" t="s">
        <v>296</v>
      </c>
      <c r="BW4" s="85"/>
      <c r="BX4" s="95" t="s">
        <v>375</v>
      </c>
      <c r="BY4" s="85" t="s">
        <v>945</v>
      </c>
      <c r="BZ4" s="85" t="s">
        <v>610</v>
      </c>
      <c r="CA4" s="85" t="s">
        <v>209</v>
      </c>
      <c r="CB4" s="85" t="s">
        <v>284</v>
      </c>
      <c r="CC4" s="85" t="s">
        <v>157</v>
      </c>
      <c r="CD4" s="85" t="s">
        <v>1008</v>
      </c>
      <c r="CE4" s="85" t="s">
        <v>862</v>
      </c>
      <c r="CF4" s="85" t="s">
        <v>636</v>
      </c>
      <c r="CG4" s="85" t="s">
        <v>512</v>
      </c>
      <c r="CH4" s="85" t="s">
        <v>519</v>
      </c>
      <c r="CI4" s="85" t="s">
        <v>810</v>
      </c>
      <c r="CJ4" s="95" t="s">
        <v>57</v>
      </c>
      <c r="CK4" s="95" t="s">
        <v>44</v>
      </c>
      <c r="CL4" s="95" t="s">
        <v>50</v>
      </c>
      <c r="CM4" s="95" t="s">
        <v>55</v>
      </c>
      <c r="CN4" s="95" t="s">
        <v>923</v>
      </c>
      <c r="CO4" s="95" t="s">
        <v>310</v>
      </c>
      <c r="CP4" s="85" t="s">
        <v>342</v>
      </c>
      <c r="CQ4" s="95" t="s">
        <v>778</v>
      </c>
      <c r="CR4" s="95" t="s">
        <v>916</v>
      </c>
      <c r="CS4" s="95"/>
      <c r="CT4" s="85" t="s">
        <v>643</v>
      </c>
      <c r="CU4" s="85" t="s">
        <v>617</v>
      </c>
      <c r="CV4" s="85" t="s">
        <v>162</v>
      </c>
      <c r="CW4" s="85" t="s">
        <v>526</v>
      </c>
      <c r="CX4" s="85" t="s">
        <v>291</v>
      </c>
      <c r="CY4" s="95" t="s">
        <v>124</v>
      </c>
      <c r="CZ4" s="95" t="s">
        <v>869</v>
      </c>
      <c r="DA4" s="95" t="s">
        <v>822</v>
      </c>
      <c r="DB4" s="95" t="s">
        <v>216</v>
      </c>
      <c r="DC4" s="95" t="s">
        <v>61</v>
      </c>
      <c r="DD4" s="95" t="s">
        <v>929</v>
      </c>
      <c r="DE4" s="95" t="s">
        <v>791</v>
      </c>
      <c r="DF4" s="95" t="s">
        <v>355</v>
      </c>
      <c r="DG4" s="95" t="s">
        <v>700</v>
      </c>
      <c r="DH4" s="95" t="s">
        <v>673</v>
      </c>
      <c r="DI4" s="96"/>
      <c r="DJ4" s="85" t="s">
        <v>111</v>
      </c>
      <c r="DK4" s="88" t="s">
        <v>934</v>
      </c>
      <c r="DL4" s="85" t="s">
        <v>111</v>
      </c>
      <c r="DM4" s="85" t="s">
        <v>111</v>
      </c>
      <c r="DN4" s="85" t="s">
        <v>111</v>
      </c>
      <c r="DO4" s="85" t="s">
        <v>111</v>
      </c>
      <c r="DP4" s="85" t="s">
        <v>111</v>
      </c>
      <c r="DQ4" s="85" t="s">
        <v>119</v>
      </c>
      <c r="DR4" s="85" t="s">
        <v>754</v>
      </c>
      <c r="DS4" s="85" t="s">
        <v>103</v>
      </c>
      <c r="DT4" s="85" t="s">
        <v>785</v>
      </c>
      <c r="DU4" s="85" t="s">
        <v>150</v>
      </c>
      <c r="DV4" s="85" t="s">
        <v>580</v>
      </c>
      <c r="DW4" s="85" t="s">
        <v>85</v>
      </c>
      <c r="DX4" s="85" t="s">
        <v>85</v>
      </c>
      <c r="DY4" s="85" t="s">
        <v>85</v>
      </c>
      <c r="DZ4" s="85" t="s">
        <v>317</v>
      </c>
      <c r="EA4" s="89" t="s">
        <v>85</v>
      </c>
      <c r="EB4" s="84" t="s">
        <v>1015</v>
      </c>
      <c r="EC4" s="84" t="s">
        <v>279</v>
      </c>
      <c r="ED4" s="85" t="s">
        <v>1034</v>
      </c>
      <c r="EE4" s="90"/>
      <c r="EF4" s="90"/>
      <c r="EG4" s="90"/>
      <c r="EH4" s="90"/>
      <c r="EI4" s="90"/>
      <c r="EJ4" s="90"/>
      <c r="EK4" s="90"/>
      <c r="EL4" s="90"/>
      <c r="EM4" s="90"/>
      <c r="EN4" s="90"/>
      <c r="EO4" s="90"/>
      <c r="EP4" s="90"/>
      <c r="EQ4" s="90"/>
      <c r="ER4" s="95"/>
      <c r="ES4" s="95"/>
      <c r="ET4" s="95"/>
      <c r="EU4" s="90"/>
      <c r="EV4" s="90"/>
      <c r="EW4" s="90"/>
      <c r="EX4" s="90"/>
      <c r="EY4" s="76"/>
      <c r="EZ4" s="90"/>
      <c r="FA4" s="90"/>
      <c r="FB4" s="90"/>
      <c r="FC4" s="90"/>
      <c r="FD4" s="76"/>
      <c r="FE4" s="90"/>
      <c r="FF4" s="90"/>
      <c r="FG4" s="90"/>
      <c r="FH4" s="90"/>
      <c r="FI4" s="76"/>
      <c r="FJ4" s="90"/>
      <c r="FK4" s="90"/>
      <c r="FL4" s="90"/>
      <c r="FM4" s="90"/>
      <c r="FN4" s="76"/>
      <c r="FO4" s="91"/>
    </row>
    <row r="5" hidden="1">
      <c r="B5" s="92" t="b">
        <f>Option!$C8</f>
        <v>1</v>
      </c>
      <c r="C5" s="93" t="str">
        <f t="array" ref="C5">IFERROR(INDEX('Phase Map'!$C$3:$C$13, MATCH(E3, 'Phase Map'!$C$2:$C$12, 0)), "")</f>
        <v>Phase 2</v>
      </c>
      <c r="D5" s="83"/>
      <c r="E5" s="84" t="s">
        <v>7</v>
      </c>
      <c r="F5" s="84"/>
      <c r="G5" s="84"/>
      <c r="H5" s="84"/>
      <c r="I5" s="84"/>
      <c r="J5" s="84"/>
      <c r="K5" s="94" t="str">
        <f t="array" ref="K5">IFERROR(INDEX(Skill!$I:$I, MATCH(K$4, Skill!$C:$C, 0), 1), "")</f>
        <v>RANGE_ENEMY</v>
      </c>
      <c r="L5" s="94" t="str">
        <f t="array" ref="L5">IFERROR(INDEX(Skill!$I:$I, MATCH(L$4, Skill!$C:$C, 0), 1), "")</f>
        <v>RANGE_PARTY</v>
      </c>
      <c r="M5" s="94" t="str">
        <f t="array" ref="M5">IFERROR(INDEX(Skill!$I:$I, MATCH(M$4, Skill!$C:$C, 0), 1), "")</f>
        <v>RANGE_PARTY</v>
      </c>
      <c r="N5" s="94" t="str">
        <f t="array" ref="N5">IFERROR(INDEX(Skill!$I:$I, MATCH(N$4, Skill!$C:$C, 0), 1), "")</f>
        <v>SINGLE_PARTY</v>
      </c>
      <c r="O5" s="94" t="str">
        <f t="array" ref="O5">IFERROR(INDEX(Skill!$I:$I, MATCH(O$4, Skill!$C:$C, 0), 1), "")</f>
        <v>SELF</v>
      </c>
      <c r="P5" s="94" t="str">
        <f t="array" ref="P5">IFERROR(INDEX(Skill!$I:$I, MATCH(P$4, Skill!$C:$C, 0), 1), "")</f>
        <v>SELF</v>
      </c>
      <c r="Q5" s="94" t="str">
        <f t="array" ref="Q5">IFERROR(INDEX(Skill!$I:$I, MATCH(Q$4, Skill!$C:$C, 0), 1), "")</f>
        <v>SELF</v>
      </c>
      <c r="R5" s="94" t="str">
        <f t="array" ref="R5">IFERROR(INDEX(Skill!$I:$I, MATCH(R$4, Skill!$C:$C, 0), 1), "")</f>
        <v>SELF</v>
      </c>
      <c r="S5" s="94" t="str">
        <f t="array" ref="S5">IFERROR(INDEX(Skill!$I:$I, MATCH(S$4, Skill!$C:$C, 0), 1), "")</f>
        <v>SELF</v>
      </c>
      <c r="T5" s="94" t="str">
        <f t="array" ref="T5">IFERROR(INDEX(Skill!$I:$I, MATCH(T$4, Skill!$C:$C, 0), 1), "")</f>
        <v>RANGE_ENEMY</v>
      </c>
      <c r="U5" s="94" t="str">
        <f t="array" ref="U5">IFERROR(INDEX(Skill!$I:$I, MATCH(U$4, Skill!$C:$C, 0), 1), "")</f>
        <v>RANGE_PARTY</v>
      </c>
      <c r="V5" s="94" t="str">
        <f t="array" ref="V5">IFERROR(INDEX(Skill!$I:$I, MATCH(V$4, Skill!$C:$C, 0), 1), "")</f>
        <v>SINGLE_PARTY</v>
      </c>
      <c r="W5" s="94" t="str">
        <f t="array" ref="W5">IFERROR(INDEX(Skill!$I:$I, MATCH(W$4, Skill!$C:$C, 0), 1), "")</f>
        <v>SELF</v>
      </c>
      <c r="X5" s="94" t="str">
        <f t="array" ref="X5">IFERROR(INDEX(Skill!$I:$I, MATCH(X$4, Skill!$C:$C, 0), 1), "")</f>
        <v>SELF</v>
      </c>
      <c r="Y5" s="94" t="str">
        <f t="array" ref="Y5">IFERROR(INDEX(Skill!$I:$I, MATCH(Y$4, Skill!$C:$C, 0), 1), "")</f>
        <v>SELF</v>
      </c>
      <c r="Z5" s="94" t="str">
        <f t="array" ref="Z5">IFERROR(INDEX(Skill!$I:$I, MATCH(Z$4, Skill!$C:$C, 0), 1), "")</f>
        <v>SELF</v>
      </c>
      <c r="AA5" s="94" t="str">
        <f t="array" ref="AA5">IFERROR(INDEX(Skill!$I:$I, MATCH(AA$4, Skill!$C:$C, 0), 1), "")</f>
        <v>SELF</v>
      </c>
      <c r="AB5" s="94" t="str">
        <f t="array" ref="AB5">IFERROR(INDEX(Skill!$I:$I, MATCH(AB$4, Skill!$C:$C, 0), 1), "")</f>
        <v>SELF</v>
      </c>
      <c r="AC5" s="94" t="str">
        <f t="array" ref="AC5">IFERROR(INDEX(Skill!$I:$I, MATCH(AC$4, Skill!$C:$C, 0), 1), "")</f>
        <v>RANGE_ENEMY</v>
      </c>
      <c r="AD5" s="94" t="str">
        <f t="array" ref="AD5">IFERROR(INDEX(Skill!$I:$I, MATCH(AD$4, Skill!$C:$C, 0), 1), "")</f>
        <v>RANGE_PARTY</v>
      </c>
      <c r="AE5" s="94" t="str">
        <f t="array" ref="AE5">IFERROR(INDEX(Skill!$I:$I, MATCH(AE$4, Skill!$C:$C, 0), 1), "")</f>
        <v>SINGLE_PARTY</v>
      </c>
      <c r="AF5" s="94" t="str">
        <f t="array" ref="AF5">IFERROR(INDEX(Skill!$I:$I, MATCH(AF$4, Skill!$C:$C, 0), 1), "")</f>
        <v>SINGLE_PARTY</v>
      </c>
      <c r="AG5" s="94" t="str">
        <f t="array" ref="AG5">IFERROR(INDEX(Skill!$I:$I, MATCH(AG$4, Skill!$C:$C, 0), 1), "")</f>
        <v/>
      </c>
      <c r="AH5" s="94" t="str">
        <f t="array" ref="AH5">IFERROR(INDEX(Skill!$I:$I, MATCH(AH$4, Skill!$C:$C, 0), 1), "")</f>
        <v>SELF</v>
      </c>
      <c r="AI5" s="94" t="str">
        <f t="array" ref="AI5">IFERROR(INDEX(Skill!$I:$I, MATCH(AI$4, Skill!$C:$C, 0), 1), "")</f>
        <v>SELF</v>
      </c>
      <c r="AJ5" s="94" t="str">
        <f t="array" ref="AJ5">IFERROR(INDEX(Skill!$I:$I, MATCH(AJ$4, Skill!$C:$C, 0), 1), "")</f>
        <v>SELF</v>
      </c>
      <c r="AK5" s="94" t="str">
        <f t="array" ref="AK5">IFERROR(INDEX(Skill!$I:$I, MATCH(AK$4, Skill!$C:$C, 0), 1), "")</f>
        <v>SELF</v>
      </c>
      <c r="AL5" s="94" t="str">
        <f t="array" ref="AL5">IFERROR(INDEX(Skill!$I:$I, MATCH(AL$4, Skill!$C:$C, 0), 1), "")</f>
        <v>RANGE_ENEMY</v>
      </c>
      <c r="AM5" s="94" t="str">
        <f t="array" ref="AM5">IFERROR(INDEX(Skill!$I:$I, MATCH(AM$4, Skill!$C:$C, 0), 1), "")</f>
        <v>RANGE_PARTY</v>
      </c>
      <c r="AN5" s="94" t="str">
        <f t="array" ref="AN5">IFERROR(INDEX(Skill!$I:$I, MATCH(AN$4, Skill!$C:$C, 0), 1), "")</f>
        <v>SINGLE_PARTY</v>
      </c>
      <c r="AO5" s="94" t="str">
        <f t="array" ref="AO5">IFERROR(INDEX(Skill!$I:$I, MATCH(AO$4, Skill!$C:$C, 0), 1), "")</f>
        <v>SELF</v>
      </c>
      <c r="AP5" s="94" t="str">
        <f t="array" ref="AP5">IFERROR(INDEX(Skill!$I:$I, MATCH(AP$4, Skill!$C:$C, 0), 1), "")</f>
        <v>SELF</v>
      </c>
      <c r="AQ5" s="94" t="str">
        <f t="array" ref="AQ5">IFERROR(INDEX(Skill!$I:$I, MATCH(AQ$4, Skill!$C:$C, 0), 1), "")</f>
        <v>SELF</v>
      </c>
      <c r="AR5" s="94" t="str">
        <f t="array" ref="AR5">IFERROR(INDEX(Skill!$I:$I, MATCH(AR$4, Skill!$C:$C, 0), 1), "")</f>
        <v>SELF</v>
      </c>
      <c r="AS5" s="94" t="str">
        <f t="array" ref="AS5">IFERROR(INDEX(Skill!$I:$I, MATCH(AS$4, Skill!$C:$C, 0), 1), "")</f>
        <v>RANGE_PARTY</v>
      </c>
      <c r="AT5" s="94" t="str">
        <f t="array" ref="AT5">IFERROR(INDEX(Skill!$I:$I, MATCH(AT$4, Skill!$C:$C, 0), 1), "")</f>
        <v>RANGE_PARTY</v>
      </c>
      <c r="AU5" s="94" t="str">
        <f t="array" ref="AU5">IFERROR(INDEX(Skill!$I:$I, MATCH(AU$4, Skill!$C:$C, 0), 1), "")</f>
        <v>SELF</v>
      </c>
      <c r="AV5" s="94" t="str">
        <f t="array" ref="AV5">IFERROR(INDEX(Skill!$I:$I, MATCH(AV$4, Skill!$C:$C, 0), 1), "")</f>
        <v>RANGE_PARTY</v>
      </c>
      <c r="AW5" s="94" t="str">
        <f t="array" ref="AW5">IFERROR(INDEX(Skill!$I:$I, MATCH(AW$4, Skill!$C:$C, 0), 1), "")</f>
        <v>RANGE_PARTY</v>
      </c>
      <c r="AX5" s="94" t="str">
        <f t="array" ref="AX5">IFERROR(INDEX(Skill!$I:$I, MATCH(AX$4, Skill!$C:$C, 0), 1), "")</f>
        <v>RANGE_PARTY</v>
      </c>
      <c r="AY5" s="94" t="str">
        <f t="array" ref="AY5">IFERROR(INDEX(Skill!$I:$I, MATCH(AY$4, Skill!$C:$C, 0), 1), "")</f>
        <v>SINGLE_PARTY</v>
      </c>
      <c r="AZ5" s="94" t="str">
        <f t="array" ref="AZ5">IFERROR(INDEX(Skill!$I:$I, MATCH(AZ$4, Skill!$C:$C, 0), 1), "")</f>
        <v>SINGLE_PARTY</v>
      </c>
      <c r="BA5" s="94" t="str">
        <f t="array" ref="BA5">IFERROR(INDEX(Skill!$I:$I, MATCH(BA$4, Skill!$C:$C, 0), 1), "")</f>
        <v/>
      </c>
      <c r="BB5" s="94" t="str">
        <f t="array" ref="BB5">IFERROR(INDEX(Skill!$I:$I, MATCH(BB$4, Skill!$C:$C, 0), 1), "")</f>
        <v>SINGLE_PARTY</v>
      </c>
      <c r="BC5" s="94" t="str">
        <f t="array" ref="BC5">IFERROR(INDEX(Skill!$I:$I, MATCH(BC$4, Skill!$C:$C, 0), 1), "")</f>
        <v/>
      </c>
      <c r="BD5" s="94" t="str">
        <f t="array" ref="BD5">IFERROR(INDEX(Skill!$I:$I, MATCH(BD$4, Skill!$C:$C, 0), 1), "")</f>
        <v>SINGLE_PARTY</v>
      </c>
      <c r="BE5" s="94" t="str">
        <f t="array" ref="BE5">IFERROR(INDEX(Skill!$I:$I, MATCH(BE$4, Skill!$C:$C, 0), 1), "")</f>
        <v>RANGE_PARTY</v>
      </c>
      <c r="BF5" s="94" t="str">
        <f t="array" ref="BF5">IFERROR(INDEX(Skill!$I:$I, MATCH(BF$4, Skill!$C:$C, 0), 1), "")</f>
        <v>SELF</v>
      </c>
      <c r="BG5" s="94" t="str">
        <f t="array" ref="BG5">IFERROR(INDEX(Skill!$I:$I, MATCH(BG$4, Skill!$C:$C, 0), 1), "")</f>
        <v>RANGE_PARTY</v>
      </c>
      <c r="BH5" s="94" t="str">
        <f t="array" ref="BH5">IFERROR(INDEX(Skill!$I:$I, MATCH(BH$4, Skill!$C:$C, 0), 1), "")</f>
        <v>RANGE_PARTY</v>
      </c>
      <c r="BI5" s="94" t="str">
        <f t="array" ref="BI5">IFERROR(INDEX(Skill!$I:$I, MATCH(BI$4, Skill!$C:$C, 0), 1), "")</f>
        <v>RANGE_PARTY</v>
      </c>
      <c r="BJ5" s="94" t="str">
        <f t="array" ref="BJ5">IFERROR(INDEX(Skill!$I:$I, MATCH(BJ$4, Skill!$C:$C, 0), 1), "")</f>
        <v>RANGE_PARTY</v>
      </c>
      <c r="BK5" s="94" t="str">
        <f t="array" ref="BK5">IFERROR(INDEX(Skill!$I:$I, MATCH(BK$4, Skill!$C:$C, 0), 1), "")</f>
        <v>RANGE_PARTY</v>
      </c>
      <c r="BL5" s="94" t="str">
        <f t="array" ref="BL5">IFERROR(INDEX(Skill!$I:$I, MATCH(BL$4, Skill!$C:$C, 0), 1), "")</f>
        <v>RANGE_PARTY</v>
      </c>
      <c r="BM5" s="94" t="str">
        <f t="array" ref="BM5">IFERROR(INDEX(Skill!$I:$I, MATCH(BM$4, Skill!$C:$C, 0), 1), "")</f>
        <v>SELF</v>
      </c>
      <c r="BN5" s="94" t="str">
        <f t="array" ref="BN5">IFERROR(INDEX(Skill!$I:$I, MATCH(BN$4, Skill!$C:$C, 0), 1), "")</f>
        <v>SELF</v>
      </c>
      <c r="BO5" s="94" t="str">
        <f t="array" ref="BO5">IFERROR(INDEX(Skill!$I:$I, MATCH(BO$4, Skill!$C:$C, 0), 1), "")</f>
        <v>SINGLE_PARTY</v>
      </c>
      <c r="BP5" s="94" t="str">
        <f t="array" ref="BP5">IFERROR(INDEX(Skill!$I:$I, MATCH(BP$4, Skill!$C:$C, 0), 1), "")</f>
        <v>SINGLE_PARTY</v>
      </c>
      <c r="BQ5" s="94" t="str">
        <f t="array" ref="BQ5">IFERROR(INDEX(Skill!$I:$I, MATCH(BQ$4, Skill!$C:$C, 0), 1), "")</f>
        <v>SINGLE_PARTY</v>
      </c>
      <c r="BR5" s="94" t="str">
        <f t="array" ref="BR5">IFERROR(INDEX(Skill!$I:$I, MATCH(BR$4, Skill!$C:$C, 0), 1), "")</f>
        <v>SINGLE_PARTY</v>
      </c>
      <c r="BS5" s="94" t="str">
        <f t="array" ref="BS5">IFERROR(INDEX(Skill!$I:$I, MATCH(BS$4, Skill!$C:$C, 0), 1), "")</f>
        <v>SINGLE_PARTY</v>
      </c>
      <c r="BT5" s="94" t="str">
        <f t="array" ref="BT5">IFERROR(INDEX(Skill!$I:$I, MATCH(BT$4, Skill!$C:$C, 0), 1), "")</f>
        <v/>
      </c>
      <c r="BU5" s="94" t="str">
        <f t="array" ref="BU5">IFERROR(INDEX(Skill!$I:$I, MATCH(BU$4, Skill!$C:$C, 0), 1), "")</f>
        <v>SINGLE_PARTY</v>
      </c>
      <c r="BV5" s="94" t="str">
        <f t="array" ref="BV5">IFERROR(INDEX(Skill!$I:$I, MATCH(BV$4, Skill!$C:$C, 0), 1), "")</f>
        <v>SINGLE_PARTY</v>
      </c>
      <c r="BW5" s="94" t="str">
        <f t="array" ref="BW5">IFERROR(INDEX(Skill!$I:$I, MATCH(BW$4, Skill!$C:$C, 0), 1), "")</f>
        <v/>
      </c>
      <c r="BX5" s="94" t="str">
        <f t="array" ref="BX5">IFERROR(INDEX(Skill!$I:$I, MATCH(BX$4, Skill!$C:$C, 0), 1), "")</f>
        <v>SINGLE_PARTY</v>
      </c>
      <c r="BY5" s="94" t="str">
        <f t="array" ref="BY5">IFERROR(INDEX(Skill!$I:$I, MATCH(BY$4, Skill!$C:$C, 0), 1), "")</f>
        <v>RANGE_PARTY</v>
      </c>
      <c r="BZ5" s="94" t="str">
        <f t="array" ref="BZ5">IFERROR(INDEX(Skill!$I:$I, MATCH(BZ$4, Skill!$C:$C, 0), 1), "")</f>
        <v>RANGE_PARTY</v>
      </c>
      <c r="CA5" s="94" t="str">
        <f t="array" ref="CA5">IFERROR(INDEX(Skill!$I:$I, MATCH(CA$4, Skill!$C:$C, 0), 1), "")</f>
        <v>RANGE_PARTY</v>
      </c>
      <c r="CB5" s="94" t="str">
        <f t="array" ref="CB5">IFERROR(INDEX(Skill!$I:$I, MATCH(CB$4, Skill!$C:$C, 0), 1), "")</f>
        <v>RANGE_PARTY</v>
      </c>
      <c r="CC5" s="94" t="str">
        <f t="array" ref="CC5">IFERROR(INDEX(Skill!$I:$I, MATCH(CC$4, Skill!$C:$C, 0), 1), "")</f>
        <v>RANGE_PARTY</v>
      </c>
      <c r="CD5" s="94" t="str">
        <f t="array" ref="CD5">IFERROR(INDEX(Skill!$I:$I, MATCH(CD$4, Skill!$C:$C, 0), 1), "")</f>
        <v>RANGE_PARTY</v>
      </c>
      <c r="CE5" s="94" t="str">
        <f t="array" ref="CE5">IFERROR(INDEX(Skill!$I:$I, MATCH(CE$4, Skill!$C:$C, 0), 1), "")</f>
        <v>RANGE_PARTY</v>
      </c>
      <c r="CF5" s="94" t="str">
        <f t="array" ref="CF5">IFERROR(INDEX(Skill!$I:$I, MATCH(CF$4, Skill!$C:$C, 0), 1), "")</f>
        <v>RANGE_PARTY</v>
      </c>
      <c r="CG5" s="94" t="str">
        <f t="array" ref="CG5">IFERROR(INDEX(Skill!$I:$I, MATCH(CG$4, Skill!$C:$C, 0), 1), "")</f>
        <v>SELF</v>
      </c>
      <c r="CH5" s="94" t="str">
        <f t="array" ref="CH5">IFERROR(INDEX(Skill!$I:$I, MATCH(CH$4, Skill!$C:$C, 0), 1), "")</f>
        <v>RANGE_PARTY</v>
      </c>
      <c r="CI5" s="94" t="str">
        <f t="array" ref="CI5">IFERROR(INDEX(Skill!$I:$I, MATCH(CI$4, Skill!$C:$C, 0), 1), "")</f>
        <v>SELF</v>
      </c>
      <c r="CJ5" s="94" t="str">
        <f t="array" ref="CJ5">IFERROR(INDEX(Skill!$I:$I, MATCH(CJ$4, Skill!$C:$C, 0), 1), "")</f>
        <v>SINGLE_PARTY</v>
      </c>
      <c r="CK5" s="94" t="str">
        <f t="array" ref="CK5">IFERROR(INDEX(Skill!$I:$I, MATCH(CK$4, Skill!$C:$C, 0), 1), "")</f>
        <v>SELF</v>
      </c>
      <c r="CL5" s="94" t="str">
        <f t="array" ref="CL5">IFERROR(INDEX(Skill!$I:$I, MATCH(CL$4, Skill!$C:$C, 0), 1), "")</f>
        <v>RANGE_PARTY</v>
      </c>
      <c r="CM5" s="94" t="str">
        <f t="array" ref="CM5">IFERROR(INDEX(Skill!$I:$I, MATCH(CM$4, Skill!$C:$C, 0), 1), "")</f>
        <v>SINGLE_PARTY</v>
      </c>
      <c r="CN5" s="94" t="str">
        <f t="array" ref="CN5">IFERROR(INDEX(Skill!$I:$I, MATCH(CN$4, Skill!$C:$C, 0), 1), "")</f>
        <v>SINGLE_PARTY</v>
      </c>
      <c r="CO5" s="94" t="str">
        <f t="array" ref="CO5">IFERROR(INDEX(Skill!$I:$I, MATCH(CO$4, Skill!$C:$C, 0), 1), "")</f>
        <v>SINGLE_PARTY</v>
      </c>
      <c r="CP5" s="94" t="str">
        <f t="array" ref="CP5">IFERROR(INDEX(Skill!$I:$I, MATCH(CP$4, Skill!$C:$C, 0), 1), "")</f>
        <v>SINGLE_PARTY</v>
      </c>
      <c r="CQ5" s="94" t="str">
        <f t="array" ref="CQ5">IFERROR(INDEX(Skill!$I:$I, MATCH(CQ$4, Skill!$C:$C, 0), 1), "")</f>
        <v>SINGLE_PARTY</v>
      </c>
      <c r="CR5" s="94" t="str">
        <f t="array" ref="CR5">IFERROR(INDEX(Skill!$I:$I, MATCH(CR$4, Skill!$C:$C, 0), 1), "")</f>
        <v>SELF</v>
      </c>
      <c r="CS5" s="94" t="str">
        <f t="array" ref="CS5">IFERROR(INDEX(Skill!$I:$I, MATCH(CS$4, Skill!$C:$C, 0), 1), "")</f>
        <v/>
      </c>
      <c r="CT5" s="94" t="str">
        <f t="array" ref="CT5">IFERROR(INDEX(Skill!$I:$I, MATCH(CT$4, Skill!$C:$C, 0), 1), "")</f>
        <v>RANGE_PARTY</v>
      </c>
      <c r="CU5" s="94" t="str">
        <f t="array" ref="CU5">IFERROR(INDEX(Skill!$I:$I, MATCH(CU$4, Skill!$C:$C, 0), 1), "")</f>
        <v>RANGE_PARTY</v>
      </c>
      <c r="CV5" s="94" t="str">
        <f t="array" ref="CV5">IFERROR(INDEX(Skill!$I:$I, MATCH(CV$4, Skill!$C:$C, 0), 1), "")</f>
        <v>RANGE_PARTY</v>
      </c>
      <c r="CW5" s="94" t="str">
        <f t="array" ref="CW5">IFERROR(INDEX(Skill!$I:$I, MATCH(CW$4, Skill!$C:$C, 0), 1), "")</f>
        <v>RANGE_PARTY</v>
      </c>
      <c r="CX5" s="94" t="str">
        <f t="array" ref="CX5">IFERROR(INDEX(Skill!$I:$I, MATCH(CX$4, Skill!$C:$C, 0), 1), "")</f>
        <v>SELF</v>
      </c>
      <c r="CY5" s="94" t="str">
        <f t="array" ref="CY5">IFERROR(INDEX(Skill!$I:$I, MATCH(CY$4, Skill!$C:$C, 0), 1), "")</f>
        <v>RANGE_PARTY</v>
      </c>
      <c r="CZ5" s="94" t="str">
        <f t="array" ref="CZ5">IFERROR(INDEX(Skill!$I:$I, MATCH(CZ$4, Skill!$C:$C, 0), 1), "")</f>
        <v>RANGE_PARTY</v>
      </c>
      <c r="DA5" s="94" t="str">
        <f t="array" ref="DA5">IFERROR(INDEX(Skill!$I:$I, MATCH(DA$4, Skill!$C:$C, 0), 1), "")</f>
        <v>RANGE_PARTY</v>
      </c>
      <c r="DB5" s="94" t="str">
        <f t="array" ref="DB5">IFERROR(INDEX(Skill!$I:$I, MATCH(DB$4, Skill!$C:$C, 0), 1), "")</f>
        <v>RANGE_PARTY</v>
      </c>
      <c r="DC5" s="94" t="str">
        <f t="array" ref="DC5">IFERROR(INDEX(Skill!$I:$I, MATCH(DC$4, Skill!$C:$C, 0), 1), "")</f>
        <v>RANGE_PARTY</v>
      </c>
      <c r="DD5" s="94" t="str">
        <f t="array" ref="DD5">IFERROR(INDEX(Skill!$I:$I, MATCH(DD$4, Skill!$C:$C, 0), 1), "")</f>
        <v>SINGLE_PARTY</v>
      </c>
      <c r="DE5" s="94" t="str">
        <f t="array" ref="DE5">IFERROR(INDEX(Skill!$I:$I, MATCH(DE$4, Skill!$C:$C, 0), 1), "")</f>
        <v>SINGLE_PARTY</v>
      </c>
      <c r="DF5" s="94" t="str">
        <f t="array" ref="DF5">IFERROR(INDEX(Skill!$I:$I, MATCH(DF$4, Skill!$C:$C, 0), 1), "")</f>
        <v>SINGLE_PARTY</v>
      </c>
      <c r="DG5" s="94" t="str">
        <f t="array" ref="DG5">IFERROR(INDEX(Skill!$I:$I, MATCH(DG$4, Skill!$C:$C, 0), 1), "")</f>
        <v>SINGLE_PARTY</v>
      </c>
      <c r="DH5" s="94" t="str">
        <f t="array" ref="DH5">IFERROR(INDEX(Skill!$I:$I, MATCH(DH$4, Skill!$C:$C, 0), 1), "")</f>
        <v>SELF</v>
      </c>
      <c r="DI5" s="94" t="str">
        <f t="array" ref="DI5">IFERROR(INDEX(Skill!$I:$I, MATCH(DI$4, Skill!$C:$C, 0), 1), "")</f>
        <v/>
      </c>
      <c r="DJ5" s="94" t="str">
        <f t="array" ref="DJ5">IFERROR(INDEX(Skill!$I:$I, MATCH(DJ$4, Skill!$C:$C, 0), 1), "")</f>
        <v>SINGLE_ENEMY</v>
      </c>
      <c r="DK5" s="94" t="str">
        <f t="array" ref="DK5">IFERROR(INDEX(Skill!$I:$I, MATCH(DK$4, Skill!$C:$C, 0), 1), "")</f>
        <v>RANGE_PARTY</v>
      </c>
      <c r="DL5" s="94" t="str">
        <f t="array" ref="DL5">IFERROR(INDEX(Skill!$I:$I, MATCH(DL$4, Skill!$C:$C, 0), 1), "")</f>
        <v>SINGLE_ENEMY</v>
      </c>
      <c r="DM5" s="94" t="str">
        <f t="array" ref="DM5">IFERROR(INDEX(Skill!$I:$I, MATCH(DM$4, Skill!$C:$C, 0), 1), "")</f>
        <v>SINGLE_ENEMY</v>
      </c>
      <c r="DN5" s="94" t="str">
        <f t="array" ref="DN5">IFERROR(INDEX(Skill!$I:$I, MATCH(DN$4, Skill!$C:$C, 0), 1), "")</f>
        <v>SINGLE_ENEMY</v>
      </c>
      <c r="DO5" s="94" t="str">
        <f t="array" ref="DO5">IFERROR(INDEX(Skill!$I:$I, MATCH(DO$4, Skill!$C:$C, 0), 1), "")</f>
        <v>SINGLE_ENEMY</v>
      </c>
      <c r="DP5" s="94" t="str">
        <f t="array" ref="DP5">IFERROR(INDEX(Skill!$I:$I, MATCH(DP$4, Skill!$C:$C, 0), 1), "")</f>
        <v>SINGLE_ENEMY</v>
      </c>
      <c r="DQ5" s="94" t="str">
        <f t="array" ref="DQ5">IFERROR(INDEX(Skill!$I:$I, MATCH(DQ$4, Skill!$C:$C, 0), 1), "")</f>
        <v>RANGE_PARTY</v>
      </c>
      <c r="DR5" s="94" t="str">
        <f t="array" ref="DR5">IFERROR(INDEX(Skill!$I:$I, MATCH(DR$4, Skill!$C:$C, 0), 1), "")</f>
        <v>SINGLE_PARTY</v>
      </c>
      <c r="DS5" s="94" t="str">
        <f t="array" ref="DS5">IFERROR(INDEX(Skill!$I:$I, MATCH(DS$4, Skill!$C:$C, 0), 1), "")</f>
        <v>RANGE_PARTY</v>
      </c>
      <c r="DT5" s="94" t="str">
        <f t="array" ref="DT5">IFERROR(INDEX(Skill!$I:$I, MATCH(DT$4, Skill!$C:$C, 0), 1), "")</f>
        <v>SINGLE_ENEMY</v>
      </c>
      <c r="DU5" s="94" t="str">
        <f t="array" ref="DU5">IFERROR(INDEX(Skill!$I:$I, MATCH(DU$4, Skill!$C:$C, 0), 1), "")</f>
        <v>RANGE_PARTY</v>
      </c>
      <c r="DV5" s="94" t="str">
        <f t="array" ref="DV5">IFERROR(INDEX(Skill!$I:$I, MATCH(DV$4, Skill!$C:$C, 0), 1), "")</f>
        <v>RANGE_PARTY</v>
      </c>
      <c r="DW5" s="94" t="str">
        <f t="array" ref="DW5">IFERROR(INDEX(Skill!$I:$I, MATCH(DW$4, Skill!$C:$C, 0), 1), "")</f>
        <v>SINGLE_ENEMY</v>
      </c>
      <c r="DX5" s="94" t="str">
        <f t="array" ref="DX5">IFERROR(INDEX(Skill!$I:$I, MATCH(DX$4, Skill!$C:$C, 0), 1), "")</f>
        <v>SINGLE_ENEMY</v>
      </c>
      <c r="DY5" s="94" t="str">
        <f t="array" ref="DY5">IFERROR(INDEX(Skill!$I:$I, MATCH(DY$4, Skill!$C:$C, 0), 1), "")</f>
        <v>SINGLE_ENEMY</v>
      </c>
      <c r="DZ5" s="94" t="str">
        <f t="array" ref="DZ5">IFERROR(INDEX(Skill!$I:$I, MATCH(DZ$4, Skill!$C:$C, 0), 1), "")</f>
        <v>RANGE_PARTY</v>
      </c>
      <c r="EA5" s="89" t="str">
        <f t="array" ref="EA5">IFERROR(INDEX(Skill!$I:$I, MATCH(EA$4, Skill!$C:$C, 0), 1), "")</f>
        <v>SINGLE_ENEMY</v>
      </c>
      <c r="EB5" s="89" t="str">
        <f t="array" ref="EB5">IFERROR(INDEX(Skill!$I:$I, MATCH(EB$4, Skill!$C:$C, 0), 1), "")</f>
        <v>SELF</v>
      </c>
      <c r="EC5" s="89" t="str">
        <f t="array" ref="EC5">IFERROR(INDEX(Skill!$I:$I, MATCH(EC$4, Skill!$C:$C, 0), 1), "")</f>
        <v>SELF</v>
      </c>
      <c r="ED5" s="94" t="str">
        <f t="array" ref="ED5">IFERROR(INDEX(Skill!$I:$I, MATCH(ED$4, Skill!$C:$C, 0), 1), "")</f>
        <v>RANGE_PARTY</v>
      </c>
      <c r="EE5" s="97"/>
      <c r="EF5" s="97"/>
      <c r="EG5" s="97"/>
      <c r="EH5" s="97"/>
      <c r="EI5" s="97"/>
      <c r="EJ5" s="97"/>
      <c r="EK5" s="97"/>
      <c r="EL5" s="97"/>
      <c r="EM5" s="97"/>
      <c r="EN5" s="97"/>
      <c r="EO5" s="97"/>
      <c r="EP5" s="97"/>
      <c r="EQ5" s="97"/>
      <c r="ER5" s="76"/>
      <c r="ES5" s="76"/>
      <c r="ET5" s="76"/>
      <c r="EU5" s="97"/>
      <c r="EV5" s="97"/>
      <c r="EW5" s="97"/>
      <c r="EX5" s="97"/>
      <c r="EY5" s="76"/>
      <c r="EZ5" s="97"/>
      <c r="FA5" s="97"/>
      <c r="FB5" s="97"/>
      <c r="FC5" s="97"/>
      <c r="FD5" s="76"/>
      <c r="FE5" s="97"/>
      <c r="FF5" s="97"/>
      <c r="FG5" s="97"/>
      <c r="FH5" s="97"/>
      <c r="FI5" s="76"/>
      <c r="FJ5" s="97"/>
      <c r="FK5" s="97"/>
      <c r="FL5" s="97"/>
      <c r="FM5" s="97"/>
      <c r="FN5" s="76"/>
      <c r="FO5" s="91"/>
    </row>
    <row r="6" hidden="1">
      <c r="B6" s="92" t="b">
        <f>Option!$C9</f>
        <v>1</v>
      </c>
      <c r="C6" s="93"/>
      <c r="D6" s="83"/>
      <c r="E6" s="84" t="s">
        <v>8</v>
      </c>
      <c r="F6" s="84"/>
      <c r="G6" s="84"/>
      <c r="H6" s="84"/>
      <c r="I6" s="84"/>
      <c r="J6" s="84"/>
      <c r="K6" s="94">
        <f t="array" ref="K6">IFERROR(INDEX(Skill!$J:$J, MATCH(K$4, Skill!$C:$C, 0), 1), "")</f>
        <v>1</v>
      </c>
      <c r="L6" s="94">
        <f t="array" ref="L6">IFERROR(INDEX(Skill!$J:$J, MATCH(L$4, Skill!$C:$C, 0), 1), "")</f>
        <v>1</v>
      </c>
      <c r="M6" s="94">
        <f t="array" ref="M6">IFERROR(INDEX(Skill!$J:$J, MATCH(M$4, Skill!$C:$C, 0), 1), "")</f>
        <v>1</v>
      </c>
      <c r="N6" s="94">
        <f t="array" ref="N6">IFERROR(INDEX(Skill!$J:$J, MATCH(N$4, Skill!$C:$C, 0), 1), "")</f>
        <v>1</v>
      </c>
      <c r="O6" s="94">
        <f t="array" ref="O6">IFERROR(INDEX(Skill!$J:$J, MATCH(O$4, Skill!$C:$C, 0), 1), "")</f>
        <v>1</v>
      </c>
      <c r="P6" s="94">
        <f t="array" ref="P6">IFERROR(INDEX(Skill!$J:$J, MATCH(P$4, Skill!$C:$C, 0), 1), "")</f>
        <v>1</v>
      </c>
      <c r="Q6" s="94">
        <f t="array" ref="Q6">IFERROR(INDEX(Skill!$J:$J, MATCH(Q$4, Skill!$C:$C, 0), 1), "")</f>
        <v>1</v>
      </c>
      <c r="R6" s="94">
        <f t="array" ref="R6">IFERROR(INDEX(Skill!$J:$J, MATCH(R$4, Skill!$C:$C, 0), 1), "")</f>
        <v>1</v>
      </c>
      <c r="S6" s="94">
        <f t="array" ref="S6">IFERROR(INDEX(Skill!$J:$J, MATCH(S$4, Skill!$C:$C, 0), 1), "")</f>
        <v>1</v>
      </c>
      <c r="T6" s="94">
        <f t="array" ref="T6">IFERROR(INDEX(Skill!$J:$J, MATCH(T$4, Skill!$C:$C, 0), 1), "")</f>
        <v>1</v>
      </c>
      <c r="U6" s="94">
        <f t="array" ref="U6">IFERROR(INDEX(Skill!$J:$J, MATCH(U$4, Skill!$C:$C, 0), 1), "")</f>
        <v>1</v>
      </c>
      <c r="V6" s="94">
        <f t="array" ref="V6">IFERROR(INDEX(Skill!$J:$J, MATCH(V$4, Skill!$C:$C, 0), 1), "")</f>
        <v>1</v>
      </c>
      <c r="W6" s="94">
        <f t="array" ref="W6">IFERROR(INDEX(Skill!$J:$J, MATCH(W$4, Skill!$C:$C, 0), 1), "")</f>
        <v>1</v>
      </c>
      <c r="X6" s="94">
        <f t="array" ref="X6">IFERROR(INDEX(Skill!$J:$J, MATCH(X$4, Skill!$C:$C, 0), 1), "")</f>
        <v>1</v>
      </c>
      <c r="Y6" s="94">
        <f t="array" ref="Y6">IFERROR(INDEX(Skill!$J:$J, MATCH(Y$4, Skill!$C:$C, 0), 1), "")</f>
        <v>1</v>
      </c>
      <c r="Z6" s="94">
        <f t="array" ref="Z6">IFERROR(INDEX(Skill!$J:$J, MATCH(Z$4, Skill!$C:$C, 0), 1), "")</f>
        <v>1</v>
      </c>
      <c r="AA6" s="94">
        <f t="array" ref="AA6">IFERROR(INDEX(Skill!$J:$J, MATCH(AA$4, Skill!$C:$C, 0), 1), "")</f>
        <v>1</v>
      </c>
      <c r="AB6" s="94">
        <f t="array" ref="AB6">IFERROR(INDEX(Skill!$J:$J, MATCH(AB$4, Skill!$C:$C, 0), 1), "")</f>
        <v>1</v>
      </c>
      <c r="AC6" s="94">
        <f t="array" ref="AC6">IFERROR(INDEX(Skill!$J:$J, MATCH(AC$4, Skill!$C:$C, 0), 1), "")</f>
        <v>1</v>
      </c>
      <c r="AD6" s="94">
        <f t="array" ref="AD6">IFERROR(INDEX(Skill!$J:$J, MATCH(AD$4, Skill!$C:$C, 0), 1), "")</f>
        <v>1</v>
      </c>
      <c r="AE6" s="94">
        <f t="array" ref="AE6">IFERROR(INDEX(Skill!$J:$J, MATCH(AE$4, Skill!$C:$C, 0), 1), "")</f>
        <v>1</v>
      </c>
      <c r="AF6" s="94">
        <f t="array" ref="AF6">IFERROR(INDEX(Skill!$J:$J, MATCH(AF$4, Skill!$C:$C, 0), 1), "")</f>
        <v>2</v>
      </c>
      <c r="AG6" s="94" t="str">
        <f t="array" ref="AG6">IFERROR(INDEX(Skill!$J:$J, MATCH(AG$4, Skill!$C:$C, 0), 1), "")</f>
        <v/>
      </c>
      <c r="AH6" s="94">
        <f t="array" ref="AH6">IFERROR(INDEX(Skill!$J:$J, MATCH(AH$4, Skill!$C:$C, 0), 1), "")</f>
        <v>1</v>
      </c>
      <c r="AI6" s="94">
        <f t="array" ref="AI6">IFERROR(INDEX(Skill!$J:$J, MATCH(AI$4, Skill!$C:$C, 0), 1), "")</f>
        <v>1</v>
      </c>
      <c r="AJ6" s="94">
        <f t="array" ref="AJ6">IFERROR(INDEX(Skill!$J:$J, MATCH(AJ$4, Skill!$C:$C, 0), 1), "")</f>
        <v>1</v>
      </c>
      <c r="AK6" s="94">
        <f t="array" ref="AK6">IFERROR(INDEX(Skill!$J:$J, MATCH(AK$4, Skill!$C:$C, 0), 1), "")</f>
        <v>1</v>
      </c>
      <c r="AL6" s="94">
        <f t="array" ref="AL6">IFERROR(INDEX(Skill!$J:$J, MATCH(AL$4, Skill!$C:$C, 0), 1), "")</f>
        <v>1</v>
      </c>
      <c r="AM6" s="94">
        <f t="array" ref="AM6">IFERROR(INDEX(Skill!$J:$J, MATCH(AM$4, Skill!$C:$C, 0), 1), "")</f>
        <v>1</v>
      </c>
      <c r="AN6" s="94">
        <f t="array" ref="AN6">IFERROR(INDEX(Skill!$J:$J, MATCH(AN$4, Skill!$C:$C, 0), 1), "")</f>
        <v>1</v>
      </c>
      <c r="AO6" s="94">
        <f t="array" ref="AO6">IFERROR(INDEX(Skill!$J:$J, MATCH(AO$4, Skill!$C:$C, 0), 1), "")</f>
        <v>1</v>
      </c>
      <c r="AP6" s="94">
        <f t="array" ref="AP6">IFERROR(INDEX(Skill!$J:$J, MATCH(AP$4, Skill!$C:$C, 0), 1), "")</f>
        <v>1</v>
      </c>
      <c r="AQ6" s="94">
        <f t="array" ref="AQ6">IFERROR(INDEX(Skill!$J:$J, MATCH(AQ$4, Skill!$C:$C, 0), 1), "")</f>
        <v>1</v>
      </c>
      <c r="AR6" s="94">
        <f t="array" ref="AR6">IFERROR(INDEX(Skill!$J:$J, MATCH(AR$4, Skill!$C:$C, 0), 1), "")</f>
        <v>1</v>
      </c>
      <c r="AS6" s="94">
        <f t="array" ref="AS6">IFERROR(INDEX(Skill!$J:$J, MATCH(AS$4, Skill!$C:$C, 0), 1), "")</f>
        <v>1</v>
      </c>
      <c r="AT6" s="94">
        <f t="array" ref="AT6">IFERROR(INDEX(Skill!$J:$J, MATCH(AT$4, Skill!$C:$C, 0), 1), "")</f>
        <v>1</v>
      </c>
      <c r="AU6" s="94">
        <f t="array" ref="AU6">IFERROR(INDEX(Skill!$J:$J, MATCH(AU$4, Skill!$C:$C, 0), 1), "")</f>
        <v>1</v>
      </c>
      <c r="AV6" s="94">
        <f t="array" ref="AV6">IFERROR(INDEX(Skill!$J:$J, MATCH(AV$4, Skill!$C:$C, 0), 1), "")</f>
        <v>1</v>
      </c>
      <c r="AW6" s="94">
        <f t="array" ref="AW6">IFERROR(INDEX(Skill!$J:$J, MATCH(AW$4, Skill!$C:$C, 0), 1), "")</f>
        <v>1</v>
      </c>
      <c r="AX6" s="94">
        <f t="array" ref="AX6">IFERROR(INDEX(Skill!$J:$J, MATCH(AX$4, Skill!$C:$C, 0), 1), "")</f>
        <v>1</v>
      </c>
      <c r="AY6" s="94">
        <f t="array" ref="AY6">IFERROR(INDEX(Skill!$J:$J, MATCH(AY$4, Skill!$C:$C, 0), 1), "")</f>
        <v>1</v>
      </c>
      <c r="AZ6" s="94">
        <f t="array" ref="AZ6">IFERROR(INDEX(Skill!$J:$J, MATCH(AZ$4, Skill!$C:$C, 0), 1), "")</f>
        <v>2</v>
      </c>
      <c r="BA6" s="94" t="str">
        <f t="array" ref="BA6">IFERROR(INDEX(Skill!$J:$J, MATCH(BA$4, Skill!$C:$C, 0), 1), "")</f>
        <v/>
      </c>
      <c r="BB6" s="94">
        <f t="array" ref="BB6">IFERROR(INDEX(Skill!$J:$J, MATCH(BB$4, Skill!$C:$C, 0), 1), "")</f>
        <v>2</v>
      </c>
      <c r="BC6" s="94" t="str">
        <f t="array" ref="BC6">IFERROR(INDEX(Skill!$J:$J, MATCH(BC$4, Skill!$C:$C, 0), 1), "")</f>
        <v/>
      </c>
      <c r="BD6" s="94">
        <f t="array" ref="BD6">IFERROR(INDEX(Skill!$J:$J, MATCH(BD$4, Skill!$C:$C, 0), 1), "")</f>
        <v>1</v>
      </c>
      <c r="BE6" s="94">
        <f t="array" ref="BE6">IFERROR(INDEX(Skill!$J:$J, MATCH(BE$4, Skill!$C:$C, 0), 1), "")</f>
        <v>1</v>
      </c>
      <c r="BF6" s="94">
        <f t="array" ref="BF6">IFERROR(INDEX(Skill!$J:$J, MATCH(BF$4, Skill!$C:$C, 0), 1), "")</f>
        <v>1</v>
      </c>
      <c r="BG6" s="94">
        <f t="array" ref="BG6">IFERROR(INDEX(Skill!$J:$J, MATCH(BG$4, Skill!$C:$C, 0), 1), "")</f>
        <v>1</v>
      </c>
      <c r="BH6" s="94">
        <f t="array" ref="BH6">IFERROR(INDEX(Skill!$J:$J, MATCH(BH$4, Skill!$C:$C, 0), 1), "")</f>
        <v>1</v>
      </c>
      <c r="BI6" s="94">
        <f t="array" ref="BI6">IFERROR(INDEX(Skill!$J:$J, MATCH(BI$4, Skill!$C:$C, 0), 1), "")</f>
        <v>1</v>
      </c>
      <c r="BJ6" s="94">
        <f t="array" ref="BJ6">IFERROR(INDEX(Skill!$J:$J, MATCH(BJ$4, Skill!$C:$C, 0), 1), "")</f>
        <v>1</v>
      </c>
      <c r="BK6" s="94">
        <f t="array" ref="BK6">IFERROR(INDEX(Skill!$J:$J, MATCH(BK$4, Skill!$C:$C, 0), 1), "")</f>
        <v>1</v>
      </c>
      <c r="BL6" s="94">
        <f t="array" ref="BL6">IFERROR(INDEX(Skill!$J:$J, MATCH(BL$4, Skill!$C:$C, 0), 1), "")</f>
        <v>1</v>
      </c>
      <c r="BM6" s="94">
        <f t="array" ref="BM6">IFERROR(INDEX(Skill!$J:$J, MATCH(BM$4, Skill!$C:$C, 0), 1), "")</f>
        <v>1</v>
      </c>
      <c r="BN6" s="94">
        <f t="array" ref="BN6">IFERROR(INDEX(Skill!$J:$J, MATCH(BN$4, Skill!$C:$C, 0), 1), "")</f>
        <v>1</v>
      </c>
      <c r="BO6" s="94">
        <f t="array" ref="BO6">IFERROR(INDEX(Skill!$J:$J, MATCH(BO$4, Skill!$C:$C, 0), 1), "")</f>
        <v>1</v>
      </c>
      <c r="BP6" s="94">
        <f t="array" ref="BP6">IFERROR(INDEX(Skill!$J:$J, MATCH(BP$4, Skill!$C:$C, 0), 1), "")</f>
        <v>1</v>
      </c>
      <c r="BQ6" s="94">
        <f t="array" ref="BQ6">IFERROR(INDEX(Skill!$J:$J, MATCH(BQ$4, Skill!$C:$C, 0), 1), "")</f>
        <v>1</v>
      </c>
      <c r="BR6" s="94">
        <f t="array" ref="BR6">IFERROR(INDEX(Skill!$J:$J, MATCH(BR$4, Skill!$C:$C, 0), 1), "")</f>
        <v>1</v>
      </c>
      <c r="BS6" s="94">
        <f t="array" ref="BS6">IFERROR(INDEX(Skill!$J:$J, MATCH(BS$4, Skill!$C:$C, 0), 1), "")</f>
        <v>3</v>
      </c>
      <c r="BT6" s="94" t="str">
        <f t="array" ref="BT6">IFERROR(INDEX(Skill!$J:$J, MATCH(BT$4, Skill!$C:$C, 0), 1), "")</f>
        <v/>
      </c>
      <c r="BU6" s="94">
        <f t="array" ref="BU6">IFERROR(INDEX(Skill!$J:$J, MATCH(BU$4, Skill!$C:$C, 0), 1), "")</f>
        <v>1</v>
      </c>
      <c r="BV6" s="94">
        <f t="array" ref="BV6">IFERROR(INDEX(Skill!$J:$J, MATCH(BV$4, Skill!$C:$C, 0), 1), "")</f>
        <v>2</v>
      </c>
      <c r="BW6" s="94" t="str">
        <f t="array" ref="BW6">IFERROR(INDEX(Skill!$J:$J, MATCH(BW$4, Skill!$C:$C, 0), 1), "")</f>
        <v/>
      </c>
      <c r="BX6" s="94">
        <f t="array" ref="BX6">IFERROR(INDEX(Skill!$J:$J, MATCH(BX$4, Skill!$C:$C, 0), 1), "")</f>
        <v>1</v>
      </c>
      <c r="BY6" s="94">
        <f t="array" ref="BY6">IFERROR(INDEX(Skill!$J:$J, MATCH(BY$4, Skill!$C:$C, 0), 1), "")</f>
        <v>1</v>
      </c>
      <c r="BZ6" s="94">
        <f t="array" ref="BZ6">IFERROR(INDEX(Skill!$J:$J, MATCH(BZ$4, Skill!$C:$C, 0), 1), "")</f>
        <v>1</v>
      </c>
      <c r="CA6" s="94">
        <f t="array" ref="CA6">IFERROR(INDEX(Skill!$J:$J, MATCH(CA$4, Skill!$C:$C, 0), 1), "")</f>
        <v>1</v>
      </c>
      <c r="CB6" s="94">
        <f t="array" ref="CB6">IFERROR(INDEX(Skill!$J:$J, MATCH(CB$4, Skill!$C:$C, 0), 1), "")</f>
        <v>1</v>
      </c>
      <c r="CC6" s="94">
        <f t="array" ref="CC6">IFERROR(INDEX(Skill!$J:$J, MATCH(CC$4, Skill!$C:$C, 0), 1), "")</f>
        <v>1</v>
      </c>
      <c r="CD6" s="94">
        <f t="array" ref="CD6">IFERROR(INDEX(Skill!$J:$J, MATCH(CD$4, Skill!$C:$C, 0), 1), "")</f>
        <v>1</v>
      </c>
      <c r="CE6" s="94">
        <f t="array" ref="CE6">IFERROR(INDEX(Skill!$J:$J, MATCH(CE$4, Skill!$C:$C, 0), 1), "")</f>
        <v>1</v>
      </c>
      <c r="CF6" s="94">
        <f t="array" ref="CF6">IFERROR(INDEX(Skill!$J:$J, MATCH(CF$4, Skill!$C:$C, 0), 1), "")</f>
        <v>1</v>
      </c>
      <c r="CG6" s="94">
        <f t="array" ref="CG6">IFERROR(INDEX(Skill!$J:$J, MATCH(CG$4, Skill!$C:$C, 0), 1), "")</f>
        <v>1</v>
      </c>
      <c r="CH6" s="94">
        <f t="array" ref="CH6">IFERROR(INDEX(Skill!$J:$J, MATCH(CH$4, Skill!$C:$C, 0), 1), "")</f>
        <v>1</v>
      </c>
      <c r="CI6" s="94">
        <f t="array" ref="CI6">IFERROR(INDEX(Skill!$J:$J, MATCH(CI$4, Skill!$C:$C, 0), 1), "")</f>
        <v>1</v>
      </c>
      <c r="CJ6" s="94">
        <f t="array" ref="CJ6">IFERROR(INDEX(Skill!$J:$J, MATCH(CJ$4, Skill!$C:$C, 0), 1), "")</f>
        <v>1</v>
      </c>
      <c r="CK6" s="94">
        <f t="array" ref="CK6">IFERROR(INDEX(Skill!$J:$J, MATCH(CK$4, Skill!$C:$C, 0), 1), "")</f>
        <v>1</v>
      </c>
      <c r="CL6" s="94">
        <f t="array" ref="CL6">IFERROR(INDEX(Skill!$J:$J, MATCH(CL$4, Skill!$C:$C, 0), 1), "")</f>
        <v>1</v>
      </c>
      <c r="CM6" s="94">
        <f t="array" ref="CM6">IFERROR(INDEX(Skill!$J:$J, MATCH(CM$4, Skill!$C:$C, 0), 1), "")</f>
        <v>1</v>
      </c>
      <c r="CN6" s="94">
        <f t="array" ref="CN6">IFERROR(INDEX(Skill!$J:$J, MATCH(CN$4, Skill!$C:$C, 0), 1), "")</f>
        <v>1</v>
      </c>
      <c r="CO6" s="94">
        <f t="array" ref="CO6">IFERROR(INDEX(Skill!$J:$J, MATCH(CO$4, Skill!$C:$C, 0), 1), "")</f>
        <v>1</v>
      </c>
      <c r="CP6" s="94">
        <f t="array" ref="CP6">IFERROR(INDEX(Skill!$J:$J, MATCH(CP$4, Skill!$C:$C, 0), 1), "")</f>
        <v>1</v>
      </c>
      <c r="CQ6" s="94">
        <f t="array" ref="CQ6">IFERROR(INDEX(Skill!$J:$J, MATCH(CQ$4, Skill!$C:$C, 0), 1), "")</f>
        <v>1</v>
      </c>
      <c r="CR6" s="94">
        <f t="array" ref="CR6">IFERROR(INDEX(Skill!$J:$J, MATCH(CR$4, Skill!$C:$C, 0), 1), "")</f>
        <v>1</v>
      </c>
      <c r="CS6" s="94" t="str">
        <f t="array" ref="CS6">IFERROR(INDEX(Skill!$J:$J, MATCH(CS$4, Skill!$C:$C, 0), 1), "")</f>
        <v/>
      </c>
      <c r="CT6" s="94">
        <f t="array" ref="CT6">IFERROR(INDEX(Skill!$J:$J, MATCH(CT$4, Skill!$C:$C, 0), 1), "")</f>
        <v>1</v>
      </c>
      <c r="CU6" s="94">
        <f t="array" ref="CU6">IFERROR(INDEX(Skill!$J:$J, MATCH(CU$4, Skill!$C:$C, 0), 1), "")</f>
        <v>1</v>
      </c>
      <c r="CV6" s="94">
        <f t="array" ref="CV6">IFERROR(INDEX(Skill!$J:$J, MATCH(CV$4, Skill!$C:$C, 0), 1), "")</f>
        <v>1</v>
      </c>
      <c r="CW6" s="94">
        <f t="array" ref="CW6">IFERROR(INDEX(Skill!$J:$J, MATCH(CW$4, Skill!$C:$C, 0), 1), "")</f>
        <v>1</v>
      </c>
      <c r="CX6" s="94">
        <f t="array" ref="CX6">IFERROR(INDEX(Skill!$J:$J, MATCH(CX$4, Skill!$C:$C, 0), 1), "")</f>
        <v>1</v>
      </c>
      <c r="CY6" s="94">
        <f t="array" ref="CY6">IFERROR(INDEX(Skill!$J:$J, MATCH(CY$4, Skill!$C:$C, 0), 1), "")</f>
        <v>1</v>
      </c>
      <c r="CZ6" s="94">
        <f t="array" ref="CZ6">IFERROR(INDEX(Skill!$J:$J, MATCH(CZ$4, Skill!$C:$C, 0), 1), "")</f>
        <v>1</v>
      </c>
      <c r="DA6" s="94">
        <f t="array" ref="DA6">IFERROR(INDEX(Skill!$J:$J, MATCH(DA$4, Skill!$C:$C, 0), 1), "")</f>
        <v>1</v>
      </c>
      <c r="DB6" s="94">
        <f t="array" ref="DB6">IFERROR(INDEX(Skill!$J:$J, MATCH(DB$4, Skill!$C:$C, 0), 1), "")</f>
        <v>1</v>
      </c>
      <c r="DC6" s="94">
        <f t="array" ref="DC6">IFERROR(INDEX(Skill!$J:$J, MATCH(DC$4, Skill!$C:$C, 0), 1), "")</f>
        <v>1</v>
      </c>
      <c r="DD6" s="94">
        <f t="array" ref="DD6">IFERROR(INDEX(Skill!$J:$J, MATCH(DD$4, Skill!$C:$C, 0), 1), "")</f>
        <v>1</v>
      </c>
      <c r="DE6" s="94">
        <f t="array" ref="DE6">IFERROR(INDEX(Skill!$J:$J, MATCH(DE$4, Skill!$C:$C, 0), 1), "")</f>
        <v>1</v>
      </c>
      <c r="DF6" s="94">
        <f t="array" ref="DF6">IFERROR(INDEX(Skill!$J:$J, MATCH(DF$4, Skill!$C:$C, 0), 1), "")</f>
        <v>1</v>
      </c>
      <c r="DG6" s="94">
        <f t="array" ref="DG6">IFERROR(INDEX(Skill!$J:$J, MATCH(DG$4, Skill!$C:$C, 0), 1), "")</f>
        <v>1</v>
      </c>
      <c r="DH6" s="94">
        <f t="array" ref="DH6">IFERROR(INDEX(Skill!$J:$J, MATCH(DH$4, Skill!$C:$C, 0), 1), "")</f>
        <v>1</v>
      </c>
      <c r="DI6" s="94" t="str">
        <f t="array" ref="DI6">IFERROR(INDEX(Skill!$J:$J, MATCH(DI$4, Skill!$C:$C, 0), 1), "")</f>
        <v/>
      </c>
      <c r="DJ6" s="94">
        <f t="array" ref="DJ6">IFERROR(INDEX(Skill!$J:$J, MATCH(DJ$4, Skill!$C:$C, 0), 1), "")</f>
        <v>1</v>
      </c>
      <c r="DK6" s="94">
        <f t="array" ref="DK6">IFERROR(INDEX(Skill!$J:$J, MATCH(DK$4, Skill!$C:$C, 0), 1), "")</f>
        <v>1</v>
      </c>
      <c r="DL6" s="94">
        <f t="array" ref="DL6">IFERROR(INDEX(Skill!$J:$J, MATCH(DL$4, Skill!$C:$C, 0), 1), "")</f>
        <v>1</v>
      </c>
      <c r="DM6" s="94">
        <f t="array" ref="DM6">IFERROR(INDEX(Skill!$J:$J, MATCH(DM$4, Skill!$C:$C, 0), 1), "")</f>
        <v>1</v>
      </c>
      <c r="DN6" s="94">
        <f t="array" ref="DN6">IFERROR(INDEX(Skill!$J:$J, MATCH(DN$4, Skill!$C:$C, 0), 1), "")</f>
        <v>1</v>
      </c>
      <c r="DO6" s="94">
        <f t="array" ref="DO6">IFERROR(INDEX(Skill!$J:$J, MATCH(DO$4, Skill!$C:$C, 0), 1), "")</f>
        <v>1</v>
      </c>
      <c r="DP6" s="94">
        <f t="array" ref="DP6">IFERROR(INDEX(Skill!$J:$J, MATCH(DP$4, Skill!$C:$C, 0), 1), "")</f>
        <v>1</v>
      </c>
      <c r="DQ6" s="94">
        <f t="array" ref="DQ6">IFERROR(INDEX(Skill!$J:$J, MATCH(DQ$4, Skill!$C:$C, 0), 1), "")</f>
        <v>1</v>
      </c>
      <c r="DR6" s="94">
        <f t="array" ref="DR6">IFERROR(INDEX(Skill!$J:$J, MATCH(DR$4, Skill!$C:$C, 0), 1), "")</f>
        <v>1</v>
      </c>
      <c r="DS6" s="94">
        <f t="array" ref="DS6">IFERROR(INDEX(Skill!$J:$J, MATCH(DS$4, Skill!$C:$C, 0), 1), "")</f>
        <v>1</v>
      </c>
      <c r="DT6" s="94">
        <f t="array" ref="DT6">IFERROR(INDEX(Skill!$J:$J, MATCH(DT$4, Skill!$C:$C, 0), 1), "")</f>
        <v>1</v>
      </c>
      <c r="DU6" s="94">
        <f t="array" ref="DU6">IFERROR(INDEX(Skill!$J:$J, MATCH(DU$4, Skill!$C:$C, 0), 1), "")</f>
        <v>1</v>
      </c>
      <c r="DV6" s="94">
        <f t="array" ref="DV6">IFERROR(INDEX(Skill!$J:$J, MATCH(DV$4, Skill!$C:$C, 0), 1), "")</f>
        <v>1</v>
      </c>
      <c r="DW6" s="94">
        <f t="array" ref="DW6">IFERROR(INDEX(Skill!$J:$J, MATCH(DW$4, Skill!$C:$C, 0), 1), "")</f>
        <v>1</v>
      </c>
      <c r="DX6" s="94">
        <f t="array" ref="DX6">IFERROR(INDEX(Skill!$J:$J, MATCH(DX$4, Skill!$C:$C, 0), 1), "")</f>
        <v>1</v>
      </c>
      <c r="DY6" s="94">
        <f t="array" ref="DY6">IFERROR(INDEX(Skill!$J:$J, MATCH(DY$4, Skill!$C:$C, 0), 1), "")</f>
        <v>1</v>
      </c>
      <c r="DZ6" s="94">
        <f t="array" ref="DZ6">IFERROR(INDEX(Skill!$J:$J, MATCH(DZ$4, Skill!$C:$C, 0), 1), "")</f>
        <v>1</v>
      </c>
      <c r="EA6" s="89">
        <f t="array" ref="EA6">IFERROR(INDEX(Skill!$J:$J, MATCH(EA$4, Skill!$C:$C, 0), 1), "")</f>
        <v>1</v>
      </c>
      <c r="EB6" s="89">
        <f t="array" ref="EB6">IFERROR(INDEX(Skill!$J:$J, MATCH(EB$4, Skill!$C:$C, 0), 1), "")</f>
        <v>1</v>
      </c>
      <c r="EC6" s="89">
        <f t="array" ref="EC6">IFERROR(INDEX(Skill!$J:$J, MATCH(EC$4, Skill!$C:$C, 0), 1), "")</f>
        <v>1</v>
      </c>
      <c r="ED6" s="94">
        <f t="array" ref="ED6">IFERROR(INDEX(Skill!$J:$J, MATCH(ED$4, Skill!$C:$C, 0), 1), "")</f>
        <v>1</v>
      </c>
      <c r="EE6" s="94"/>
      <c r="EF6" s="94"/>
      <c r="EG6" s="94"/>
      <c r="EH6" s="94"/>
      <c r="EI6" s="94"/>
      <c r="EJ6" s="94"/>
      <c r="EK6" s="94"/>
      <c r="EL6" s="94"/>
      <c r="EM6" s="94"/>
      <c r="EN6" s="94"/>
      <c r="EO6" s="94"/>
      <c r="EP6" s="94"/>
      <c r="EQ6" s="94"/>
      <c r="ER6" s="94"/>
      <c r="ES6" s="94"/>
      <c r="ET6" s="94"/>
      <c r="EU6" s="94"/>
      <c r="EV6" s="94"/>
      <c r="EW6" s="94"/>
      <c r="EX6" s="94"/>
      <c r="EY6" s="94"/>
      <c r="EZ6" s="94"/>
      <c r="FA6" s="94"/>
      <c r="FB6" s="94"/>
      <c r="FC6" s="94"/>
      <c r="FD6" s="94"/>
      <c r="FE6" s="94"/>
      <c r="FF6" s="94"/>
      <c r="FG6" s="94"/>
      <c r="FH6" s="94"/>
      <c r="FI6" s="94"/>
      <c r="FJ6" s="94"/>
      <c r="FK6" s="94"/>
      <c r="FL6" s="94"/>
      <c r="FM6" s="94"/>
      <c r="FN6" s="94"/>
      <c r="FO6" s="91"/>
    </row>
    <row r="7" hidden="1">
      <c r="B7" s="92"/>
      <c r="C7" s="93"/>
      <c r="D7" s="83"/>
      <c r="E7" s="84" t="s">
        <v>6</v>
      </c>
      <c r="F7" s="84"/>
      <c r="G7" s="84"/>
      <c r="H7" s="84"/>
      <c r="I7" s="84"/>
      <c r="J7" s="84"/>
      <c r="K7" s="94" t="b">
        <f t="array" ref="K7">IFERROR(INDEX(Skill!$H:$H, MATCH(K$4, Skill!$C:$C, 0), 1), "")</f>
        <v>1</v>
      </c>
      <c r="L7" s="94" t="b">
        <f t="array" ref="L7">IFERROR(INDEX(Skill!$H:$H, MATCH(L$4, Skill!$C:$C, 0), 1), "")</f>
        <v>1</v>
      </c>
      <c r="M7" s="94" t="b">
        <f t="array" ref="M7">IFERROR(INDEX(Skill!$H:$H, MATCH(M$4, Skill!$C:$C, 0), 1), "")</f>
        <v>1</v>
      </c>
      <c r="N7" s="94" t="b">
        <f t="array" ref="N7">IFERROR(INDEX(Skill!$H:$H, MATCH(N$4, Skill!$C:$C, 0), 1), "")</f>
        <v>1</v>
      </c>
      <c r="O7" s="94" t="b">
        <f t="array" ref="O7">IFERROR(INDEX(Skill!$H:$H, MATCH(O$4, Skill!$C:$C, 0), 1), "")</f>
        <v>1</v>
      </c>
      <c r="P7" s="94" t="b">
        <f t="array" ref="P7">IFERROR(INDEX(Skill!$H:$H, MATCH(P$4, Skill!$C:$C, 0), 1), "")</f>
        <v>1</v>
      </c>
      <c r="Q7" s="94" t="b">
        <f t="array" ref="Q7">IFERROR(INDEX(Skill!$H:$H, MATCH(Q$4, Skill!$C:$C, 0), 1), "")</f>
        <v>1</v>
      </c>
      <c r="R7" s="94" t="b">
        <f t="array" ref="R7">IFERROR(INDEX(Skill!$H:$H, MATCH(R$4, Skill!$C:$C, 0), 1), "")</f>
        <v>1</v>
      </c>
      <c r="S7" s="94" t="b">
        <f t="array" ref="S7">IFERROR(INDEX(Skill!$H:$H, MATCH(S$4, Skill!$C:$C, 0), 1), "")</f>
        <v>1</v>
      </c>
      <c r="T7" s="94" t="b">
        <f t="array" ref="T7">IFERROR(INDEX(Skill!$H:$H, MATCH(T$4, Skill!$C:$C, 0), 1), "")</f>
        <v>1</v>
      </c>
      <c r="U7" s="94" t="b">
        <f t="array" ref="U7">IFERROR(INDEX(Skill!$H:$H, MATCH(U$4, Skill!$C:$C, 0), 1), "")</f>
        <v>1</v>
      </c>
      <c r="V7" s="94" t="b">
        <f t="array" ref="V7">IFERROR(INDEX(Skill!$H:$H, MATCH(V$4, Skill!$C:$C, 0), 1), "")</f>
        <v>1</v>
      </c>
      <c r="W7" s="94" t="b">
        <f t="array" ref="W7">IFERROR(INDEX(Skill!$H:$H, MATCH(W$4, Skill!$C:$C, 0), 1), "")</f>
        <v>1</v>
      </c>
      <c r="X7" s="94" t="b">
        <f t="array" ref="X7">IFERROR(INDEX(Skill!$H:$H, MATCH(X$4, Skill!$C:$C, 0), 1), "")</f>
        <v>1</v>
      </c>
      <c r="Y7" s="94" t="b">
        <f t="array" ref="Y7">IFERROR(INDEX(Skill!$H:$H, MATCH(Y$4, Skill!$C:$C, 0), 1), "")</f>
        <v>1</v>
      </c>
      <c r="Z7" s="94" t="b">
        <f t="array" ref="Z7">IFERROR(INDEX(Skill!$H:$H, MATCH(Z$4, Skill!$C:$C, 0), 1), "")</f>
        <v>1</v>
      </c>
      <c r="AA7" s="94" t="b">
        <f t="array" ref="AA7">IFERROR(INDEX(Skill!$H:$H, MATCH(AA$4, Skill!$C:$C, 0), 1), "")</f>
        <v>1</v>
      </c>
      <c r="AB7" s="94" t="b">
        <f t="array" ref="AB7">IFERROR(INDEX(Skill!$H:$H, MATCH(AB$4, Skill!$C:$C, 0), 1), "")</f>
        <v>1</v>
      </c>
      <c r="AC7" s="94" t="b">
        <f t="array" ref="AC7">IFERROR(INDEX(Skill!$H:$H, MATCH(AC$4, Skill!$C:$C, 0), 1), "")</f>
        <v>1</v>
      </c>
      <c r="AD7" s="94" t="b">
        <f t="array" ref="AD7">IFERROR(INDEX(Skill!$H:$H, MATCH(AD$4, Skill!$C:$C, 0), 1), "")</f>
        <v>1</v>
      </c>
      <c r="AE7" s="94" t="b">
        <f t="array" ref="AE7">IFERROR(INDEX(Skill!$H:$H, MATCH(AE$4, Skill!$C:$C, 0), 1), "")</f>
        <v>1</v>
      </c>
      <c r="AF7" s="94" t="b">
        <f t="array" ref="AF7">IFERROR(INDEX(Skill!$H:$H, MATCH(AF$4, Skill!$C:$C, 0), 1), "")</f>
        <v>1</v>
      </c>
      <c r="AG7" s="94" t="str">
        <f t="array" ref="AG7">IFERROR(INDEX(Skill!$H:$H, MATCH(AG$4, Skill!$C:$C, 0), 1), "")</f>
        <v/>
      </c>
      <c r="AH7" s="94" t="b">
        <f t="array" ref="AH7">IFERROR(INDEX(Skill!$H:$H, MATCH(AH$4, Skill!$C:$C, 0), 1), "")</f>
        <v>1</v>
      </c>
      <c r="AI7" s="94" t="b">
        <f t="array" ref="AI7">IFERROR(INDEX(Skill!$H:$H, MATCH(AI$4, Skill!$C:$C, 0), 1), "")</f>
        <v>1</v>
      </c>
      <c r="AJ7" s="94" t="b">
        <f t="array" ref="AJ7">IFERROR(INDEX(Skill!$H:$H, MATCH(AJ$4, Skill!$C:$C, 0), 1), "")</f>
        <v>1</v>
      </c>
      <c r="AK7" s="94" t="b">
        <f t="array" ref="AK7">IFERROR(INDEX(Skill!$H:$H, MATCH(AK$4, Skill!$C:$C, 0), 1), "")</f>
        <v>1</v>
      </c>
      <c r="AL7" s="94" t="b">
        <f t="array" ref="AL7">IFERROR(INDEX(Skill!$H:$H, MATCH(AL$4, Skill!$C:$C, 0), 1), "")</f>
        <v>1</v>
      </c>
      <c r="AM7" s="94" t="b">
        <f t="array" ref="AM7">IFERROR(INDEX(Skill!$H:$H, MATCH(AM$4, Skill!$C:$C, 0), 1), "")</f>
        <v>1</v>
      </c>
      <c r="AN7" s="94" t="b">
        <f t="array" ref="AN7">IFERROR(INDEX(Skill!$H:$H, MATCH(AN$4, Skill!$C:$C, 0), 1), "")</f>
        <v>1</v>
      </c>
      <c r="AO7" s="94" t="b">
        <f t="array" ref="AO7">IFERROR(INDEX(Skill!$H:$H, MATCH(AO$4, Skill!$C:$C, 0), 1), "")</f>
        <v>1</v>
      </c>
      <c r="AP7" s="94" t="b">
        <f t="array" ref="AP7">IFERROR(INDEX(Skill!$H:$H, MATCH(AP$4, Skill!$C:$C, 0), 1), "")</f>
        <v>1</v>
      </c>
      <c r="AQ7" s="94" t="b">
        <f t="array" ref="AQ7">IFERROR(INDEX(Skill!$H:$H, MATCH(AQ$4, Skill!$C:$C, 0), 1), "")</f>
        <v>1</v>
      </c>
      <c r="AR7" s="94" t="b">
        <f t="array" ref="AR7">IFERROR(INDEX(Skill!$H:$H, MATCH(AR$4, Skill!$C:$C, 0), 1), "")</f>
        <v>1</v>
      </c>
      <c r="AS7" s="94" t="b">
        <f t="array" ref="AS7">IFERROR(INDEX(Skill!$H:$H, MATCH(AS$4, Skill!$C:$C, 0), 1), "")</f>
        <v>1</v>
      </c>
      <c r="AT7" s="94" t="b">
        <f t="array" ref="AT7">IFERROR(INDEX(Skill!$H:$H, MATCH(AT$4, Skill!$C:$C, 0), 1), "")</f>
        <v>0</v>
      </c>
      <c r="AU7" s="94" t="b">
        <f t="array" ref="AU7">IFERROR(INDEX(Skill!$H:$H, MATCH(AU$4, Skill!$C:$C, 0), 1), "")</f>
        <v>1</v>
      </c>
      <c r="AV7" s="94" t="b">
        <f t="array" ref="AV7">IFERROR(INDEX(Skill!$H:$H, MATCH(AV$4, Skill!$C:$C, 0), 1), "")</f>
        <v>1</v>
      </c>
      <c r="AW7" s="94" t="b">
        <f t="array" ref="AW7">IFERROR(INDEX(Skill!$H:$H, MATCH(AW$4, Skill!$C:$C, 0), 1), "")</f>
        <v>1</v>
      </c>
      <c r="AX7" s="94" t="b">
        <f t="array" ref="AX7">IFERROR(INDEX(Skill!$H:$H, MATCH(AX$4, Skill!$C:$C, 0), 1), "")</f>
        <v>1</v>
      </c>
      <c r="AY7" s="94" t="b">
        <f t="array" ref="AY7">IFERROR(INDEX(Skill!$H:$H, MATCH(AY$4, Skill!$C:$C, 0), 1), "")</f>
        <v>1</v>
      </c>
      <c r="AZ7" s="94" t="b">
        <f t="array" ref="AZ7">IFERROR(INDEX(Skill!$H:$H, MATCH(AZ$4, Skill!$C:$C, 0), 1), "")</f>
        <v>1</v>
      </c>
      <c r="BA7" s="94" t="str">
        <f t="array" ref="BA7">IFERROR(INDEX(Skill!$H:$H, MATCH(BA$4, Skill!$C:$C, 0), 1), "")</f>
        <v/>
      </c>
      <c r="BB7" s="94" t="b">
        <f t="array" ref="BB7">IFERROR(INDEX(Skill!$H:$H, MATCH(BB$4, Skill!$C:$C, 0), 1), "")</f>
        <v>1</v>
      </c>
      <c r="BC7" s="94" t="str">
        <f t="array" ref="BC7">IFERROR(INDEX(Skill!$H:$H, MATCH(BC$4, Skill!$C:$C, 0), 1), "")</f>
        <v/>
      </c>
      <c r="BD7" s="94" t="b">
        <f t="array" ref="BD7">IFERROR(INDEX(Skill!$H:$H, MATCH(BD$4, Skill!$C:$C, 0), 1), "")</f>
        <v>1</v>
      </c>
      <c r="BE7" s="94" t="b">
        <f t="array" ref="BE7">IFERROR(INDEX(Skill!$H:$H, MATCH(BE$4, Skill!$C:$C, 0), 1), "")</f>
        <v>1</v>
      </c>
      <c r="BF7" s="94" t="b">
        <f t="array" ref="BF7">IFERROR(INDEX(Skill!$H:$H, MATCH(BF$4, Skill!$C:$C, 0), 1), "")</f>
        <v>1</v>
      </c>
      <c r="BG7" s="94" t="b">
        <f t="array" ref="BG7">IFERROR(INDEX(Skill!$H:$H, MATCH(BG$4, Skill!$C:$C, 0), 1), "")</f>
        <v>1</v>
      </c>
      <c r="BH7" s="94" t="b">
        <f t="array" ref="BH7">IFERROR(INDEX(Skill!$H:$H, MATCH(BH$4, Skill!$C:$C, 0), 1), "")</f>
        <v>0</v>
      </c>
      <c r="BI7" s="94" t="b">
        <f t="array" ref="BI7">IFERROR(INDEX(Skill!$H:$H, MATCH(BI$4, Skill!$C:$C, 0), 1), "")</f>
        <v>1</v>
      </c>
      <c r="BJ7" s="94" t="b">
        <f t="array" ref="BJ7">IFERROR(INDEX(Skill!$H:$H, MATCH(BJ$4, Skill!$C:$C, 0), 1), "")</f>
        <v>1</v>
      </c>
      <c r="BK7" s="94" t="b">
        <f t="array" ref="BK7">IFERROR(INDEX(Skill!$H:$H, MATCH(BK$4, Skill!$C:$C, 0), 1), "")</f>
        <v>1</v>
      </c>
      <c r="BL7" s="94" t="b">
        <f t="array" ref="BL7">IFERROR(INDEX(Skill!$H:$H, MATCH(BL$4, Skill!$C:$C, 0), 1), "")</f>
        <v>1</v>
      </c>
      <c r="BM7" s="94" t="b">
        <f t="array" ref="BM7">IFERROR(INDEX(Skill!$H:$H, MATCH(BM$4, Skill!$C:$C, 0), 1), "")</f>
        <v>1</v>
      </c>
      <c r="BN7" s="94" t="b">
        <f t="array" ref="BN7">IFERROR(INDEX(Skill!$H:$H, MATCH(BN$4, Skill!$C:$C, 0), 1), "")</f>
        <v>1</v>
      </c>
      <c r="BO7" s="94" t="b">
        <f t="array" ref="BO7">IFERROR(INDEX(Skill!$H:$H, MATCH(BO$4, Skill!$C:$C, 0), 1), "")</f>
        <v>1</v>
      </c>
      <c r="BP7" s="94" t="b">
        <f t="array" ref="BP7">IFERROR(INDEX(Skill!$H:$H, MATCH(BP$4, Skill!$C:$C, 0), 1), "")</f>
        <v>1</v>
      </c>
      <c r="BQ7" s="94" t="b">
        <f t="array" ref="BQ7">IFERROR(INDEX(Skill!$H:$H, MATCH(BQ$4, Skill!$C:$C, 0), 1), "")</f>
        <v>1</v>
      </c>
      <c r="BR7" s="94" t="b">
        <f t="array" ref="BR7">IFERROR(INDEX(Skill!$H:$H, MATCH(BR$4, Skill!$C:$C, 0), 1), "")</f>
        <v>1</v>
      </c>
      <c r="BS7" s="94" t="b">
        <f t="array" ref="BS7">IFERROR(INDEX(Skill!$H:$H, MATCH(BS$4, Skill!$C:$C, 0), 1), "")</f>
        <v>1</v>
      </c>
      <c r="BT7" s="94" t="str">
        <f t="array" ref="BT7">IFERROR(INDEX(Skill!$H:$H, MATCH(BT$4, Skill!$C:$C, 0), 1), "")</f>
        <v/>
      </c>
      <c r="BU7" s="94" t="b">
        <f t="array" ref="BU7">IFERROR(INDEX(Skill!$H:$H, MATCH(BU$4, Skill!$C:$C, 0), 1), "")</f>
        <v>1</v>
      </c>
      <c r="BV7" s="94" t="b">
        <f t="array" ref="BV7">IFERROR(INDEX(Skill!$H:$H, MATCH(BV$4, Skill!$C:$C, 0), 1), "")</f>
        <v>1</v>
      </c>
      <c r="BW7" s="94" t="str">
        <f t="array" ref="BW7">IFERROR(INDEX(Skill!$H:$H, MATCH(BW$4, Skill!$C:$C, 0), 1), "")</f>
        <v/>
      </c>
      <c r="BX7" s="94" t="b">
        <f t="array" ref="BX7">IFERROR(INDEX(Skill!$H:$H, MATCH(BX$4, Skill!$C:$C, 0), 1), "")</f>
        <v>0</v>
      </c>
      <c r="BY7" s="94" t="b">
        <f t="array" ref="BY7">IFERROR(INDEX(Skill!$H:$H, MATCH(BY$4, Skill!$C:$C, 0), 1), "")</f>
        <v>1</v>
      </c>
      <c r="BZ7" s="94" t="b">
        <f t="array" ref="BZ7">IFERROR(INDEX(Skill!$H:$H, MATCH(BZ$4, Skill!$C:$C, 0), 1), "")</f>
        <v>1</v>
      </c>
      <c r="CA7" s="94" t="b">
        <f t="array" ref="CA7">IFERROR(INDEX(Skill!$H:$H, MATCH(CA$4, Skill!$C:$C, 0), 1), "")</f>
        <v>1</v>
      </c>
      <c r="CB7" s="94" t="b">
        <f t="array" ref="CB7">IFERROR(INDEX(Skill!$H:$H, MATCH(CB$4, Skill!$C:$C, 0), 1), "")</f>
        <v>1</v>
      </c>
      <c r="CC7" s="94" t="b">
        <f t="array" ref="CC7">IFERROR(INDEX(Skill!$H:$H, MATCH(CC$4, Skill!$C:$C, 0), 1), "")</f>
        <v>0</v>
      </c>
      <c r="CD7" s="94" t="b">
        <f t="array" ref="CD7">IFERROR(INDEX(Skill!$H:$H, MATCH(CD$4, Skill!$C:$C, 0), 1), "")</f>
        <v>1</v>
      </c>
      <c r="CE7" s="94" t="b">
        <f t="array" ref="CE7">IFERROR(INDEX(Skill!$H:$H, MATCH(CE$4, Skill!$C:$C, 0), 1), "")</f>
        <v>1</v>
      </c>
      <c r="CF7" s="94" t="b">
        <f t="array" ref="CF7">IFERROR(INDEX(Skill!$H:$H, MATCH(CF$4, Skill!$C:$C, 0), 1), "")</f>
        <v>1</v>
      </c>
      <c r="CG7" s="94" t="b">
        <f t="array" ref="CG7">IFERROR(INDEX(Skill!$H:$H, MATCH(CG$4, Skill!$C:$C, 0), 1), "")</f>
        <v>1</v>
      </c>
      <c r="CH7" s="94" t="b">
        <f t="array" ref="CH7">IFERROR(INDEX(Skill!$H:$H, MATCH(CH$4, Skill!$C:$C, 0), 1), "")</f>
        <v>1</v>
      </c>
      <c r="CI7" s="94" t="b">
        <f t="array" ref="CI7">IFERROR(INDEX(Skill!$H:$H, MATCH(CI$4, Skill!$C:$C, 0), 1), "")</f>
        <v>1</v>
      </c>
      <c r="CJ7" s="94" t="b">
        <f t="array" ref="CJ7">IFERROR(INDEX(Skill!$H:$H, MATCH(CJ$4, Skill!$C:$C, 0), 1), "")</f>
        <v>1</v>
      </c>
      <c r="CK7" s="94" t="b">
        <f t="array" ref="CK7">IFERROR(INDEX(Skill!$H:$H, MATCH(CK$4, Skill!$C:$C, 0), 1), "")</f>
        <v>1</v>
      </c>
      <c r="CL7" s="94" t="b">
        <f t="array" ref="CL7">IFERROR(INDEX(Skill!$H:$H, MATCH(CL$4, Skill!$C:$C, 0), 1), "")</f>
        <v>0</v>
      </c>
      <c r="CM7" s="94" t="b">
        <f t="array" ref="CM7">IFERROR(INDEX(Skill!$H:$H, MATCH(CM$4, Skill!$C:$C, 0), 1), "")</f>
        <v>0</v>
      </c>
      <c r="CN7" s="94" t="b">
        <f t="array" ref="CN7">IFERROR(INDEX(Skill!$H:$H, MATCH(CN$4, Skill!$C:$C, 0), 1), "")</f>
        <v>1</v>
      </c>
      <c r="CO7" s="94" t="b">
        <f t="array" ref="CO7">IFERROR(INDEX(Skill!$H:$H, MATCH(CO$4, Skill!$C:$C, 0), 1), "")</f>
        <v>1</v>
      </c>
      <c r="CP7" s="94" t="b">
        <f t="array" ref="CP7">IFERROR(INDEX(Skill!$H:$H, MATCH(CP$4, Skill!$C:$C, 0), 1), "")</f>
        <v>0</v>
      </c>
      <c r="CQ7" s="94" t="b">
        <f t="array" ref="CQ7">IFERROR(INDEX(Skill!$H:$H, MATCH(CQ$4, Skill!$C:$C, 0), 1), "")</f>
        <v>1</v>
      </c>
      <c r="CR7" s="94" t="b">
        <f t="array" ref="CR7">IFERROR(INDEX(Skill!$H:$H, MATCH(CR$4, Skill!$C:$C, 0), 1), "")</f>
        <v>1</v>
      </c>
      <c r="CS7" s="94" t="str">
        <f t="array" ref="CS7">IFERROR(INDEX(Skill!$H:$H, MATCH(CS$4, Skill!$C:$C, 0), 1), "")</f>
        <v/>
      </c>
      <c r="CT7" s="94" t="b">
        <f t="array" ref="CT7">IFERROR(INDEX(Skill!$H:$H, MATCH(CT$4, Skill!$C:$C, 0), 1), "")</f>
        <v>1</v>
      </c>
      <c r="CU7" s="94" t="b">
        <f t="array" ref="CU7">IFERROR(INDEX(Skill!$H:$H, MATCH(CU$4, Skill!$C:$C, 0), 1), "")</f>
        <v>1</v>
      </c>
      <c r="CV7" s="94" t="b">
        <f t="array" ref="CV7">IFERROR(INDEX(Skill!$H:$H, MATCH(CV$4, Skill!$C:$C, 0), 1), "")</f>
        <v>0</v>
      </c>
      <c r="CW7" s="94" t="b">
        <f t="array" ref="CW7">IFERROR(INDEX(Skill!$H:$H, MATCH(CW$4, Skill!$C:$C, 0), 1), "")</f>
        <v>1</v>
      </c>
      <c r="CX7" s="94" t="b">
        <f t="array" ref="CX7">IFERROR(INDEX(Skill!$H:$H, MATCH(CX$4, Skill!$C:$C, 0), 1), "")</f>
        <v>1</v>
      </c>
      <c r="CY7" s="94" t="b">
        <f t="array" ref="CY7">IFERROR(INDEX(Skill!$H:$H, MATCH(CY$4, Skill!$C:$C, 0), 1), "")</f>
        <v>1</v>
      </c>
      <c r="CZ7" s="94" t="b">
        <f t="array" ref="CZ7">IFERROR(INDEX(Skill!$H:$H, MATCH(CZ$4, Skill!$C:$C, 0), 1), "")</f>
        <v>1</v>
      </c>
      <c r="DA7" s="94" t="b">
        <f t="array" ref="DA7">IFERROR(INDEX(Skill!$H:$H, MATCH(DA$4, Skill!$C:$C, 0), 1), "")</f>
        <v>1</v>
      </c>
      <c r="DB7" s="94" t="b">
        <f t="array" ref="DB7">IFERROR(INDEX(Skill!$H:$H, MATCH(DB$4, Skill!$C:$C, 0), 1), "")</f>
        <v>1</v>
      </c>
      <c r="DC7" s="94" t="b">
        <f t="array" ref="DC7">IFERROR(INDEX(Skill!$H:$H, MATCH(DC$4, Skill!$C:$C, 0), 1), "")</f>
        <v>1</v>
      </c>
      <c r="DD7" s="94" t="b">
        <f t="array" ref="DD7">IFERROR(INDEX(Skill!$H:$H, MATCH(DD$4, Skill!$C:$C, 0), 1), "")</f>
        <v>1</v>
      </c>
      <c r="DE7" s="94" t="b">
        <f t="array" ref="DE7">IFERROR(INDEX(Skill!$H:$H, MATCH(DE$4, Skill!$C:$C, 0), 1), "")</f>
        <v>1</v>
      </c>
      <c r="DF7" s="94" t="b">
        <f t="array" ref="DF7">IFERROR(INDEX(Skill!$H:$H, MATCH(DF$4, Skill!$C:$C, 0), 1), "")</f>
        <v>0</v>
      </c>
      <c r="DG7" s="94" t="b">
        <f t="array" ref="DG7">IFERROR(INDEX(Skill!$H:$H, MATCH(DG$4, Skill!$C:$C, 0), 1), "")</f>
        <v>1</v>
      </c>
      <c r="DH7" s="94" t="b">
        <f t="array" ref="DH7">IFERROR(INDEX(Skill!$H:$H, MATCH(DH$4, Skill!$C:$C, 0), 1), "")</f>
        <v>1</v>
      </c>
      <c r="DI7" s="94" t="str">
        <f t="array" ref="DI7">IFERROR(INDEX(Skill!$H:$H, MATCH(DI$4, Skill!$C:$C, 0), 1), "")</f>
        <v/>
      </c>
      <c r="DJ7" s="94" t="b">
        <f t="array" ref="DJ7">IFERROR(INDEX(Skill!$H:$H, MATCH(DJ$4, Skill!$C:$C, 0), 1), "")</f>
        <v>1</v>
      </c>
      <c r="DK7" s="94" t="b">
        <f t="array" ref="DK7">IFERROR(INDEX(Skill!$H:$H, MATCH(DK$4, Skill!$C:$C, 0), 1), "")</f>
        <v>1</v>
      </c>
      <c r="DL7" s="94" t="b">
        <f t="array" ref="DL7">IFERROR(INDEX(Skill!$H:$H, MATCH(DL$4, Skill!$C:$C, 0), 1), "")</f>
        <v>1</v>
      </c>
      <c r="DM7" s="94" t="b">
        <f t="array" ref="DM7">IFERROR(INDEX(Skill!$H:$H, MATCH(DM$4, Skill!$C:$C, 0), 1), "")</f>
        <v>1</v>
      </c>
      <c r="DN7" s="94" t="b">
        <f t="array" ref="DN7">IFERROR(INDEX(Skill!$H:$H, MATCH(DN$4, Skill!$C:$C, 0), 1), "")</f>
        <v>1</v>
      </c>
      <c r="DO7" s="94" t="b">
        <f t="array" ref="DO7">IFERROR(INDEX(Skill!$H:$H, MATCH(DO$4, Skill!$C:$C, 0), 1), "")</f>
        <v>1</v>
      </c>
      <c r="DP7" s="94" t="b">
        <f t="array" ref="DP7">IFERROR(INDEX(Skill!$H:$H, MATCH(DP$4, Skill!$C:$C, 0), 1), "")</f>
        <v>1</v>
      </c>
      <c r="DQ7" s="94" t="b">
        <f t="array" ref="DQ7">IFERROR(INDEX(Skill!$H:$H, MATCH(DQ$4, Skill!$C:$C, 0), 1), "")</f>
        <v>1</v>
      </c>
      <c r="DR7" s="94" t="b">
        <f t="array" ref="DR7">IFERROR(INDEX(Skill!$H:$H, MATCH(DR$4, Skill!$C:$C, 0), 1), "")</f>
        <v>1</v>
      </c>
      <c r="DS7" s="94" t="b">
        <f t="array" ref="DS7">IFERROR(INDEX(Skill!$H:$H, MATCH(DS$4, Skill!$C:$C, 0), 1), "")</f>
        <v>1</v>
      </c>
      <c r="DT7" s="94" t="b">
        <f t="array" ref="DT7">IFERROR(INDEX(Skill!$H:$H, MATCH(DT$4, Skill!$C:$C, 0), 1), "")</f>
        <v>1</v>
      </c>
      <c r="DU7" s="94" t="b">
        <f t="array" ref="DU7">IFERROR(INDEX(Skill!$H:$H, MATCH(DU$4, Skill!$C:$C, 0), 1), "")</f>
        <v>1</v>
      </c>
      <c r="DV7" s="94" t="b">
        <f t="array" ref="DV7">IFERROR(INDEX(Skill!$H:$H, MATCH(DV$4, Skill!$C:$C, 0), 1), "")</f>
        <v>1</v>
      </c>
      <c r="DW7" s="94" t="b">
        <f t="array" ref="DW7">IFERROR(INDEX(Skill!$H:$H, MATCH(DW$4, Skill!$C:$C, 0), 1), "")</f>
        <v>1</v>
      </c>
      <c r="DX7" s="94" t="b">
        <f t="array" ref="DX7">IFERROR(INDEX(Skill!$H:$H, MATCH(DX$4, Skill!$C:$C, 0), 1), "")</f>
        <v>1</v>
      </c>
      <c r="DY7" s="94" t="b">
        <f t="array" ref="DY7">IFERROR(INDEX(Skill!$H:$H, MATCH(DY$4, Skill!$C:$C, 0), 1), "")</f>
        <v>1</v>
      </c>
      <c r="DZ7" s="94" t="b">
        <f t="array" ref="DZ7">IFERROR(INDEX(Skill!$H:$H, MATCH(DZ$4, Skill!$C:$C, 0), 1), "")</f>
        <v>1</v>
      </c>
      <c r="EA7" s="89" t="b">
        <f t="array" ref="EA7">IFERROR(INDEX(Skill!$H:$H, MATCH(EA$4, Skill!$C:$C, 0), 1), "")</f>
        <v>1</v>
      </c>
      <c r="EB7" s="89" t="b">
        <f t="array" ref="EB7">IFERROR(INDEX(Skill!$H:$H, MATCH(EB$4, Skill!$C:$C, 0), 1), "")</f>
        <v>1</v>
      </c>
      <c r="EC7" s="89" t="b">
        <f t="array" ref="EC7">IFERROR(INDEX(Skill!$H:$H, MATCH(EC$4, Skill!$C:$C, 0), 1), "")</f>
        <v>1</v>
      </c>
      <c r="ED7" s="94" t="b">
        <f t="array" ref="ED7">IFERROR(INDEX(Skill!$H:$H, MATCH(ED$4, Skill!$C:$C, 0), 1), "")</f>
        <v>0</v>
      </c>
      <c r="EE7" s="94"/>
      <c r="EF7" s="94"/>
      <c r="EG7" s="94"/>
      <c r="EH7" s="94"/>
      <c r="EI7" s="94"/>
      <c r="EJ7" s="94"/>
      <c r="EK7" s="94"/>
      <c r="EL7" s="94"/>
      <c r="EM7" s="94"/>
      <c r="EN7" s="94"/>
      <c r="EO7" s="94"/>
      <c r="EP7" s="94"/>
      <c r="EQ7" s="94"/>
      <c r="ER7" s="94"/>
      <c r="ES7" s="94"/>
      <c r="ET7" s="94"/>
      <c r="EU7" s="94"/>
      <c r="EV7" s="94"/>
      <c r="EW7" s="94"/>
      <c r="EX7" s="94"/>
      <c r="EY7" s="94"/>
      <c r="EZ7" s="94"/>
      <c r="FA7" s="94"/>
      <c r="FB7" s="94"/>
      <c r="FC7" s="94"/>
      <c r="FD7" s="94"/>
      <c r="FE7" s="94"/>
      <c r="FF7" s="94"/>
      <c r="FG7" s="94"/>
      <c r="FH7" s="94"/>
      <c r="FI7" s="94"/>
      <c r="FJ7" s="94"/>
      <c r="FK7" s="94"/>
      <c r="FL7" s="94"/>
      <c r="FM7" s="94"/>
      <c r="FN7" s="94"/>
      <c r="FO7" s="91"/>
    </row>
    <row r="8" hidden="1">
      <c r="B8" s="92"/>
      <c r="C8" s="93"/>
      <c r="D8" s="83"/>
      <c r="E8" s="84" t="s">
        <v>1038</v>
      </c>
      <c r="F8" s="84"/>
      <c r="G8" s="84"/>
      <c r="H8" s="84"/>
      <c r="I8" s="84"/>
      <c r="J8" s="84"/>
      <c r="K8" s="94">
        <f t="array" ref="K8">IFERROR(INDEX(Skill!$F:$F, MATCH(K$4, Skill!$C:$C, 0), 1), "")</f>
        <v>15</v>
      </c>
      <c r="L8" s="94">
        <f t="array" ref="L8">IFERROR(INDEX(Skill!$F:$F, MATCH(L$4, Skill!$C:$C, 0), 1), "")</f>
        <v>18</v>
      </c>
      <c r="M8" s="94">
        <f t="array" ref="M8">IFERROR(INDEX(Skill!$F:$F, MATCH(M$4, Skill!$C:$C, 0), 1), "")</f>
        <v>30</v>
      </c>
      <c r="N8" s="94">
        <f t="array" ref="N8">IFERROR(INDEX(Skill!$F:$F, MATCH(N$4, Skill!$C:$C, 0), 1), "")</f>
        <v>8</v>
      </c>
      <c r="O8" s="94">
        <f t="array" ref="O8">IFERROR(INDEX(Skill!$F:$F, MATCH(O$4, Skill!$C:$C, 0), 1), "")</f>
        <v>20</v>
      </c>
      <c r="P8" s="94">
        <f t="array" ref="P8">IFERROR(INDEX(Skill!$F:$F, MATCH(P$4, Skill!$C:$C, 0), 1), "")</f>
        <v>10</v>
      </c>
      <c r="Q8" s="94">
        <f t="array" ref="Q8">IFERROR(INDEX(Skill!$F:$F, MATCH(Q$4, Skill!$C:$C, 0), 1), "")</f>
        <v>15</v>
      </c>
      <c r="R8" s="94">
        <f t="array" ref="R8">IFERROR(INDEX(Skill!$F:$F, MATCH(R$4, Skill!$C:$C, 0), 1), "")</f>
        <v>8</v>
      </c>
      <c r="S8" s="94">
        <f t="array" ref="S8">IFERROR(INDEX(Skill!$F:$F, MATCH(S$4, Skill!$C:$C, 0), 1), "")</f>
        <v>10</v>
      </c>
      <c r="T8" s="94">
        <f t="array" ref="T8">IFERROR(INDEX(Skill!$F:$F, MATCH(T$4, Skill!$C:$C, 0), 1), "")</f>
        <v>15</v>
      </c>
      <c r="U8" s="94">
        <f t="array" ref="U8">IFERROR(INDEX(Skill!$F:$F, MATCH(U$4, Skill!$C:$C, 0), 1), "")</f>
        <v>30</v>
      </c>
      <c r="V8" s="94">
        <f t="array" ref="V8">IFERROR(INDEX(Skill!$F:$F, MATCH(V$4, Skill!$C:$C, 0), 1), "")</f>
        <v>8</v>
      </c>
      <c r="W8" s="94">
        <f t="array" ref="W8">IFERROR(INDEX(Skill!$F:$F, MATCH(W$4, Skill!$C:$C, 0), 1), "")</f>
        <v>20</v>
      </c>
      <c r="X8" s="94">
        <f t="array" ref="X8">IFERROR(INDEX(Skill!$F:$F, MATCH(X$4, Skill!$C:$C, 0), 1), "")</f>
        <v>10</v>
      </c>
      <c r="Y8" s="94">
        <f t="array" ref="Y8">IFERROR(INDEX(Skill!$F:$F, MATCH(Y$4, Skill!$C:$C, 0), 1), "")</f>
        <v>15</v>
      </c>
      <c r="Z8" s="94">
        <f t="array" ref="Z8">IFERROR(INDEX(Skill!$F:$F, MATCH(Z$4, Skill!$C:$C, 0), 1), "")</f>
        <v>8</v>
      </c>
      <c r="AA8" s="94">
        <f t="array" ref="AA8">IFERROR(INDEX(Skill!$F:$F, MATCH(AA$4, Skill!$C:$C, 0), 1), "")</f>
        <v>0</v>
      </c>
      <c r="AB8" s="94">
        <f t="array" ref="AB8">IFERROR(INDEX(Skill!$F:$F, MATCH(AB$4, Skill!$C:$C, 0), 1), "")</f>
        <v>10</v>
      </c>
      <c r="AC8" s="94">
        <f t="array" ref="AC8">IFERROR(INDEX(Skill!$F:$F, MATCH(AC$4, Skill!$C:$C, 0), 1), "")</f>
        <v>15</v>
      </c>
      <c r="AD8" s="94">
        <f t="array" ref="AD8">IFERROR(INDEX(Skill!$F:$F, MATCH(AD$4, Skill!$C:$C, 0), 1), "")</f>
        <v>15</v>
      </c>
      <c r="AE8" s="94">
        <f t="array" ref="AE8">IFERROR(INDEX(Skill!$F:$F, MATCH(AE$4, Skill!$C:$C, 0), 1), "")</f>
        <v>7</v>
      </c>
      <c r="AF8" s="94">
        <f t="array" ref="AF8">IFERROR(INDEX(Skill!$F:$F, MATCH(AF$4, Skill!$C:$C, 0), 1), "")</f>
        <v>10</v>
      </c>
      <c r="AG8" s="94" t="str">
        <f t="array" ref="AG8">IFERROR(INDEX(Skill!$F:$F, MATCH(AG$4, Skill!$C:$C, 0), 1), "")</f>
        <v/>
      </c>
      <c r="AH8" s="94">
        <f t="array" ref="AH8">IFERROR(INDEX(Skill!$F:$F, MATCH(AH$4, Skill!$C:$C, 0), 1), "")</f>
        <v>20</v>
      </c>
      <c r="AI8" s="94">
        <f t="array" ref="AI8">IFERROR(INDEX(Skill!$F:$F, MATCH(AI$4, Skill!$C:$C, 0), 1), "")</f>
        <v>10</v>
      </c>
      <c r="AJ8" s="94">
        <f t="array" ref="AJ8">IFERROR(INDEX(Skill!$F:$F, MATCH(AJ$4, Skill!$C:$C, 0), 1), "")</f>
        <v>15</v>
      </c>
      <c r="AK8" s="94">
        <f t="array" ref="AK8">IFERROR(INDEX(Skill!$F:$F, MATCH(AK$4, Skill!$C:$C, 0), 1), "")</f>
        <v>10</v>
      </c>
      <c r="AL8" s="94">
        <f t="array" ref="AL8">IFERROR(INDEX(Skill!$F:$F, MATCH(AL$4, Skill!$C:$C, 0), 1), "")</f>
        <v>15</v>
      </c>
      <c r="AM8" s="94">
        <f t="array" ref="AM8">IFERROR(INDEX(Skill!$F:$F, MATCH(AM$4, Skill!$C:$C, 0), 1), "")</f>
        <v>15</v>
      </c>
      <c r="AN8" s="94">
        <f t="array" ref="AN8">IFERROR(INDEX(Skill!$F:$F, MATCH(AN$4, Skill!$C:$C, 0), 1), "")</f>
        <v>8</v>
      </c>
      <c r="AO8" s="94">
        <f t="array" ref="AO8">IFERROR(INDEX(Skill!$F:$F, MATCH(AO$4, Skill!$C:$C, 0), 1), "")</f>
        <v>20</v>
      </c>
      <c r="AP8" s="94">
        <f t="array" ref="AP8">IFERROR(INDEX(Skill!$F:$F, MATCH(AP$4, Skill!$C:$C, 0), 1), "")</f>
        <v>20</v>
      </c>
      <c r="AQ8" s="94">
        <f t="array" ref="AQ8">IFERROR(INDEX(Skill!$F:$F, MATCH(AQ$4, Skill!$C:$C, 0), 1), "")</f>
        <v>15</v>
      </c>
      <c r="AR8" s="94">
        <f t="array" ref="AR8">IFERROR(INDEX(Skill!$F:$F, MATCH(AR$4, Skill!$C:$C, 0), 1), "")</f>
        <v>10</v>
      </c>
      <c r="AS8" s="94">
        <f t="array" ref="AS8">IFERROR(INDEX(Skill!$F:$F, MATCH(AS$4, Skill!$C:$C, 0), 1), "")</f>
        <v>20</v>
      </c>
      <c r="AT8" s="94">
        <f t="array" ref="AT8">IFERROR(INDEX(Skill!$F:$F, MATCH(AT$4, Skill!$C:$C, 0), 1), "")</f>
        <v>10</v>
      </c>
      <c r="AU8" s="94">
        <f t="array" ref="AU8">IFERROR(INDEX(Skill!$F:$F, MATCH(AU$4, Skill!$C:$C, 0), 1), "")</f>
        <v>10</v>
      </c>
      <c r="AV8" s="94">
        <f t="array" ref="AV8">IFERROR(INDEX(Skill!$F:$F, MATCH(AV$4, Skill!$C:$C, 0), 1), "")</f>
        <v>24</v>
      </c>
      <c r="AW8" s="94">
        <f t="array" ref="AW8">IFERROR(INDEX(Skill!$F:$F, MATCH(AW$4, Skill!$C:$C, 0), 1), "")</f>
        <v>0</v>
      </c>
      <c r="AX8" s="94">
        <f t="array" ref="AX8">IFERROR(INDEX(Skill!$F:$F, MATCH(AX$4, Skill!$C:$C, 0), 1), "")</f>
        <v>0</v>
      </c>
      <c r="AY8" s="94">
        <f t="array" ref="AY8">IFERROR(INDEX(Skill!$F:$F, MATCH(AY$4, Skill!$C:$C, 0), 1), "")</f>
        <v>8</v>
      </c>
      <c r="AZ8" s="94">
        <f t="array" ref="AZ8">IFERROR(INDEX(Skill!$F:$F, MATCH(AZ$4, Skill!$C:$C, 0), 1), "")</f>
        <v>15</v>
      </c>
      <c r="BA8" s="94" t="str">
        <f t="array" ref="BA8">IFERROR(INDEX(Skill!$F:$F, MATCH(BA$4, Skill!$C:$C, 0), 1), "")</f>
        <v/>
      </c>
      <c r="BB8" s="94">
        <f t="array" ref="BB8">IFERROR(INDEX(Skill!$F:$F, MATCH(BB$4, Skill!$C:$C, 0), 1), "")</f>
        <v>0</v>
      </c>
      <c r="BC8" s="94" t="str">
        <f t="array" ref="BC8">IFERROR(INDEX(Skill!$F:$F, MATCH(BC$4, Skill!$C:$C, 0), 1), "")</f>
        <v/>
      </c>
      <c r="BD8" s="94">
        <f t="array" ref="BD8">IFERROR(INDEX(Skill!$F:$F, MATCH(BD$4, Skill!$C:$C, 0), 1), "")</f>
        <v>0</v>
      </c>
      <c r="BE8" s="94">
        <f t="array" ref="BE8">IFERROR(INDEX(Skill!$F:$F, MATCH(BE$4, Skill!$C:$C, 0), 1), "")</f>
        <v>5</v>
      </c>
      <c r="BF8" s="94">
        <f t="array" ref="BF8">IFERROR(INDEX(Skill!$F:$F, MATCH(BF$4, Skill!$C:$C, 0), 1), "")</f>
        <v>30</v>
      </c>
      <c r="BG8" s="94">
        <f t="array" ref="BG8">IFERROR(INDEX(Skill!$F:$F, MATCH(BG$4, Skill!$C:$C, 0), 1), "")</f>
        <v>15</v>
      </c>
      <c r="BH8" s="94">
        <f t="array" ref="BH8">IFERROR(INDEX(Skill!$F:$F, MATCH(BH$4, Skill!$C:$C, 0), 1), "")</f>
        <v>15</v>
      </c>
      <c r="BI8" s="94">
        <f t="array" ref="BI8">IFERROR(INDEX(Skill!$F:$F, MATCH(BI$4, Skill!$C:$C, 0), 1), "")</f>
        <v>15</v>
      </c>
      <c r="BJ8" s="94">
        <f t="array" ref="BJ8">IFERROR(INDEX(Skill!$F:$F, MATCH(BJ$4, Skill!$C:$C, 0), 1), "")</f>
        <v>0</v>
      </c>
      <c r="BK8" s="94">
        <f t="array" ref="BK8">IFERROR(INDEX(Skill!$F:$F, MATCH(BK$4, Skill!$C:$C, 0), 1), "")</f>
        <v>10</v>
      </c>
      <c r="BL8" s="94">
        <f t="array" ref="BL8">IFERROR(INDEX(Skill!$F:$F, MATCH(BL$4, Skill!$C:$C, 0), 1), "")</f>
        <v>0</v>
      </c>
      <c r="BM8" s="94">
        <f t="array" ref="BM8">IFERROR(INDEX(Skill!$F:$F, MATCH(BM$4, Skill!$C:$C, 0), 1), "")</f>
        <v>0</v>
      </c>
      <c r="BN8" s="94">
        <f t="array" ref="BN8">IFERROR(INDEX(Skill!$F:$F, MATCH(BN$4, Skill!$C:$C, 0), 1), "")</f>
        <v>0</v>
      </c>
      <c r="BO8" s="94">
        <f t="array" ref="BO8">IFERROR(INDEX(Skill!$F:$F, MATCH(BO$4, Skill!$C:$C, 0), 1), "")</f>
        <v>15</v>
      </c>
      <c r="BP8" s="94">
        <f t="array" ref="BP8">IFERROR(INDEX(Skill!$F:$F, MATCH(BP$4, Skill!$C:$C, 0), 1), "")</f>
        <v>30</v>
      </c>
      <c r="BQ8" s="94">
        <f t="array" ref="BQ8">IFERROR(INDEX(Skill!$F:$F, MATCH(BQ$4, Skill!$C:$C, 0), 1), "")</f>
        <v>15</v>
      </c>
      <c r="BR8" s="94">
        <f t="array" ref="BR8">IFERROR(INDEX(Skill!$F:$F, MATCH(BR$4, Skill!$C:$C, 0), 1), "")</f>
        <v>15</v>
      </c>
      <c r="BS8" s="94">
        <f t="array" ref="BS8">IFERROR(INDEX(Skill!$F:$F, MATCH(BS$4, Skill!$C:$C, 0), 1), "")</f>
        <v>0</v>
      </c>
      <c r="BT8" s="94" t="str">
        <f t="array" ref="BT8">IFERROR(INDEX(Skill!$F:$F, MATCH(BT$4, Skill!$C:$C, 0), 1), "")</f>
        <v/>
      </c>
      <c r="BU8" s="94">
        <f t="array" ref="BU8">IFERROR(INDEX(Skill!$F:$F, MATCH(BU$4, Skill!$C:$C, 0), 1), "")</f>
        <v>8</v>
      </c>
      <c r="BV8" s="94">
        <f t="array" ref="BV8">IFERROR(INDEX(Skill!$F:$F, MATCH(BV$4, Skill!$C:$C, 0), 1), "")</f>
        <v>30</v>
      </c>
      <c r="BW8" s="94" t="str">
        <f t="array" ref="BW8">IFERROR(INDEX(Skill!$F:$F, MATCH(BW$4, Skill!$C:$C, 0), 1), "")</f>
        <v/>
      </c>
      <c r="BX8" s="94">
        <f t="array" ref="BX8">IFERROR(INDEX(Skill!$F:$F, MATCH(BX$4, Skill!$C:$C, 0), 1), "")</f>
        <v>15</v>
      </c>
      <c r="BY8" s="94">
        <f t="array" ref="BY8">IFERROR(INDEX(Skill!$F:$F, MATCH(BY$4, Skill!$C:$C, 0), 1), "")</f>
        <v>20</v>
      </c>
      <c r="BZ8" s="94">
        <f t="array" ref="BZ8">IFERROR(INDEX(Skill!$F:$F, MATCH(BZ$4, Skill!$C:$C, 0), 1), "")</f>
        <v>15</v>
      </c>
      <c r="CA8" s="94">
        <f t="array" ref="CA8">IFERROR(INDEX(Skill!$F:$F, MATCH(CA$4, Skill!$C:$C, 0), 1), "")</f>
        <v>20</v>
      </c>
      <c r="CB8" s="94">
        <f t="array" ref="CB8">IFERROR(INDEX(Skill!$F:$F, MATCH(CB$4, Skill!$C:$C, 0), 1), "")</f>
        <v>0</v>
      </c>
      <c r="CC8" s="94">
        <f t="array" ref="CC8">IFERROR(INDEX(Skill!$F:$F, MATCH(CC$4, Skill!$C:$C, 0), 1), "")</f>
        <v>30</v>
      </c>
      <c r="CD8" s="94">
        <f t="array" ref="CD8">IFERROR(INDEX(Skill!$F:$F, MATCH(CD$4, Skill!$C:$C, 0), 1), "")</f>
        <v>21</v>
      </c>
      <c r="CE8" s="94">
        <f t="array" ref="CE8">IFERROR(INDEX(Skill!$F:$F, MATCH(CE$4, Skill!$C:$C, 0), 1), "")</f>
        <v>0</v>
      </c>
      <c r="CF8" s="94">
        <f t="array" ref="CF8">IFERROR(INDEX(Skill!$F:$F, MATCH(CF$4, Skill!$C:$C, 0), 1), "")</f>
        <v>0</v>
      </c>
      <c r="CG8" s="94">
        <f t="array" ref="CG8">IFERROR(INDEX(Skill!$F:$F, MATCH(CG$4, Skill!$C:$C, 0), 1), "")</f>
        <v>22</v>
      </c>
      <c r="CH8" s="94">
        <f t="array" ref="CH8">IFERROR(INDEX(Skill!$F:$F, MATCH(CH$4, Skill!$C:$C, 0), 1), "")</f>
        <v>0</v>
      </c>
      <c r="CI8" s="94">
        <f t="array" ref="CI8">IFERROR(INDEX(Skill!$F:$F, MATCH(CI$4, Skill!$C:$C, 0), 1), "")</f>
        <v>30</v>
      </c>
      <c r="CJ8" s="94">
        <f t="array" ref="CJ8">IFERROR(INDEX(Skill!$F:$F, MATCH(CJ$4, Skill!$C:$C, 0), 1), "")</f>
        <v>15</v>
      </c>
      <c r="CK8" s="94">
        <f t="array" ref="CK8">IFERROR(INDEX(Skill!$F:$F, MATCH(CK$4, Skill!$C:$C, 0), 1), "")</f>
        <v>20</v>
      </c>
      <c r="CL8" s="94">
        <f t="array" ref="CL8">IFERROR(INDEX(Skill!$F:$F, MATCH(CL$4, Skill!$C:$C, 0), 1), "")</f>
        <v>30</v>
      </c>
      <c r="CM8" s="94">
        <f t="array" ref="CM8">IFERROR(INDEX(Skill!$F:$F, MATCH(CM$4, Skill!$C:$C, 0), 1), "")</f>
        <v>30</v>
      </c>
      <c r="CN8" s="94">
        <f t="array" ref="CN8">IFERROR(INDEX(Skill!$F:$F, MATCH(CN$4, Skill!$C:$C, 0), 1), "")</f>
        <v>0</v>
      </c>
      <c r="CO8" s="94">
        <f t="array" ref="CO8">IFERROR(INDEX(Skill!$F:$F, MATCH(CO$4, Skill!$C:$C, 0), 1), "")</f>
        <v>10</v>
      </c>
      <c r="CP8" s="94">
        <f t="array" ref="CP8">IFERROR(INDEX(Skill!$F:$F, MATCH(CP$4, Skill!$C:$C, 0), 1), "")</f>
        <v>30</v>
      </c>
      <c r="CQ8" s="94">
        <f t="array" ref="CQ8">IFERROR(INDEX(Skill!$F:$F, MATCH(CQ$4, Skill!$C:$C, 0), 1), "")</f>
        <v>45</v>
      </c>
      <c r="CR8" s="94">
        <f t="array" ref="CR8">IFERROR(INDEX(Skill!$F:$F, MATCH(CR$4, Skill!$C:$C, 0), 1), "")</f>
        <v>0</v>
      </c>
      <c r="CS8" s="94" t="str">
        <f t="array" ref="CS8">IFERROR(INDEX(Skill!$F:$F, MATCH(CS$4, Skill!$C:$C, 0), 1), "")</f>
        <v/>
      </c>
      <c r="CT8" s="94">
        <f t="array" ref="CT8">IFERROR(INDEX(Skill!$F:$F, MATCH(CT$4, Skill!$C:$C, 0), 1), "")</f>
        <v>20</v>
      </c>
      <c r="CU8" s="94">
        <f t="array" ref="CU8">IFERROR(INDEX(Skill!$F:$F, MATCH(CU$4, Skill!$C:$C, 0), 1), "")</f>
        <v>15</v>
      </c>
      <c r="CV8" s="94">
        <f t="array" ref="CV8">IFERROR(INDEX(Skill!$F:$F, MATCH(CV$4, Skill!$C:$C, 0), 1), "")</f>
        <v>30</v>
      </c>
      <c r="CW8" s="94">
        <f t="array" ref="CW8">IFERROR(INDEX(Skill!$F:$F, MATCH(CW$4, Skill!$C:$C, 0), 1), "")</f>
        <v>15</v>
      </c>
      <c r="CX8" s="94">
        <f t="array" ref="CX8">IFERROR(INDEX(Skill!$F:$F, MATCH(CX$4, Skill!$C:$C, 0), 1), "")</f>
        <v>10</v>
      </c>
      <c r="CY8" s="94">
        <f t="array" ref="CY8">IFERROR(INDEX(Skill!$F:$F, MATCH(CY$4, Skill!$C:$C, 0), 1), "")</f>
        <v>15</v>
      </c>
      <c r="CZ8" s="94">
        <f t="array" ref="CZ8">IFERROR(INDEX(Skill!$F:$F, MATCH(CZ$4, Skill!$C:$C, 0), 1), "")</f>
        <v>0</v>
      </c>
      <c r="DA8" s="94">
        <f t="array" ref="DA8">IFERROR(INDEX(Skill!$F:$F, MATCH(DA$4, Skill!$C:$C, 0), 1), "")</f>
        <v>0</v>
      </c>
      <c r="DB8" s="94">
        <f t="array" ref="DB8">IFERROR(INDEX(Skill!$F:$F, MATCH(DB$4, Skill!$C:$C, 0), 1), "")</f>
        <v>0</v>
      </c>
      <c r="DC8" s="94">
        <f t="array" ref="DC8">IFERROR(INDEX(Skill!$F:$F, MATCH(DC$4, Skill!$C:$C, 0), 1), "")</f>
        <v>20</v>
      </c>
      <c r="DD8" s="94">
        <f t="array" ref="DD8">IFERROR(INDEX(Skill!$F:$F, MATCH(DD$4, Skill!$C:$C, 0), 1), "")</f>
        <v>0</v>
      </c>
      <c r="DE8" s="94">
        <f t="array" ref="DE8">IFERROR(INDEX(Skill!$F:$F, MATCH(DE$4, Skill!$C:$C, 0), 1), "")</f>
        <v>15</v>
      </c>
      <c r="DF8" s="94">
        <f t="array" ref="DF8">IFERROR(INDEX(Skill!$F:$F, MATCH(DF$4, Skill!$C:$C, 0), 1), "")</f>
        <v>30</v>
      </c>
      <c r="DG8" s="94">
        <f t="array" ref="DG8">IFERROR(INDEX(Skill!$F:$F, MATCH(DG$4, Skill!$C:$C, 0), 1), "")</f>
        <v>15</v>
      </c>
      <c r="DH8" s="94">
        <f t="array" ref="DH8">IFERROR(INDEX(Skill!$F:$F, MATCH(DH$4, Skill!$C:$C, 0), 1), "")</f>
        <v>0</v>
      </c>
      <c r="DI8" s="94" t="str">
        <f t="array" ref="DI8">IFERROR(INDEX(Skill!$F:$F, MATCH(DI$4, Skill!$C:$C, 0), 1), "")</f>
        <v/>
      </c>
      <c r="DJ8" s="94">
        <f t="array" ref="DJ8">IFERROR(INDEX(Skill!$F:$F, MATCH(DJ$4, Skill!$C:$C, 0), 1), "")</f>
        <v>15</v>
      </c>
      <c r="DK8" s="94">
        <f t="array" ref="DK8">IFERROR(INDEX(Skill!$F:$F, MATCH(DK$4, Skill!$C:$C, 0), 1), "")</f>
        <v>15</v>
      </c>
      <c r="DL8" s="94">
        <f t="array" ref="DL8">IFERROR(INDEX(Skill!$F:$F, MATCH(DL$4, Skill!$C:$C, 0), 1), "")</f>
        <v>15</v>
      </c>
      <c r="DM8" s="94">
        <f t="array" ref="DM8">IFERROR(INDEX(Skill!$F:$F, MATCH(DM$4, Skill!$C:$C, 0), 1), "")</f>
        <v>15</v>
      </c>
      <c r="DN8" s="94">
        <f t="array" ref="DN8">IFERROR(INDEX(Skill!$F:$F, MATCH(DN$4, Skill!$C:$C, 0), 1), "")</f>
        <v>15</v>
      </c>
      <c r="DO8" s="94">
        <f t="array" ref="DO8">IFERROR(INDEX(Skill!$F:$F, MATCH(DO$4, Skill!$C:$C, 0), 1), "")</f>
        <v>15</v>
      </c>
      <c r="DP8" s="94">
        <f t="array" ref="DP8">IFERROR(INDEX(Skill!$F:$F, MATCH(DP$4, Skill!$C:$C, 0), 1), "")</f>
        <v>15</v>
      </c>
      <c r="DQ8" s="94">
        <f t="array" ref="DQ8">IFERROR(INDEX(Skill!$F:$F, MATCH(DQ$4, Skill!$C:$C, 0), 1), "")</f>
        <v>15</v>
      </c>
      <c r="DR8" s="94">
        <f t="array" ref="DR8">IFERROR(INDEX(Skill!$F:$F, MATCH(DR$4, Skill!$C:$C, 0), 1), "")</f>
        <v>15</v>
      </c>
      <c r="DS8" s="94">
        <f t="array" ref="DS8">IFERROR(INDEX(Skill!$F:$F, MATCH(DS$4, Skill!$C:$C, 0), 1), "")</f>
        <v>15</v>
      </c>
      <c r="DT8" s="94">
        <f t="array" ref="DT8">IFERROR(INDEX(Skill!$F:$F, MATCH(DT$4, Skill!$C:$C, 0), 1), "")</f>
        <v>10</v>
      </c>
      <c r="DU8" s="94">
        <f t="array" ref="DU8">IFERROR(INDEX(Skill!$F:$F, MATCH(DU$4, Skill!$C:$C, 0), 1), "")</f>
        <v>15</v>
      </c>
      <c r="DV8" s="94">
        <f t="array" ref="DV8">IFERROR(INDEX(Skill!$F:$F, MATCH(DV$4, Skill!$C:$C, 0), 1), "")</f>
        <v>0</v>
      </c>
      <c r="DW8" s="94">
        <f t="array" ref="DW8">IFERROR(INDEX(Skill!$F:$F, MATCH(DW$4, Skill!$C:$C, 0), 1), "")</f>
        <v>15</v>
      </c>
      <c r="DX8" s="94">
        <f t="array" ref="DX8">IFERROR(INDEX(Skill!$F:$F, MATCH(DX$4, Skill!$C:$C, 0), 1), "")</f>
        <v>15</v>
      </c>
      <c r="DY8" s="94">
        <f t="array" ref="DY8">IFERROR(INDEX(Skill!$F:$F, MATCH(DY$4, Skill!$C:$C, 0), 1), "")</f>
        <v>15</v>
      </c>
      <c r="DZ8" s="94">
        <f t="array" ref="DZ8">IFERROR(INDEX(Skill!$F:$F, MATCH(DZ$4, Skill!$C:$C, 0), 1), "")</f>
        <v>10</v>
      </c>
      <c r="EA8" s="89">
        <f t="array" ref="EA8">IFERROR(INDEX(Skill!$F:$F, MATCH(EA$4, Skill!$C:$C, 0), 1), "")</f>
        <v>15</v>
      </c>
      <c r="EB8" s="89">
        <f t="array" ref="EB8">IFERROR(INDEX(Skill!$F:$F, MATCH(EB$4, Skill!$C:$C, 0), 1), "")</f>
        <v>10</v>
      </c>
      <c r="EC8" s="89">
        <f t="array" ref="EC8">IFERROR(INDEX(Skill!$F:$F, MATCH(EC$4, Skill!$C:$C, 0), 1), "")</f>
        <v>10</v>
      </c>
      <c r="ED8" s="94">
        <f t="array" ref="ED8">IFERROR(INDEX(Skill!$F:$F, MATCH(ED$4, Skill!$C:$C, 0), 1), "")</f>
        <v>8</v>
      </c>
      <c r="EE8" s="94"/>
      <c r="EF8" s="94"/>
      <c r="EG8" s="94"/>
      <c r="EH8" s="94"/>
      <c r="EI8" s="94"/>
      <c r="EJ8" s="94"/>
      <c r="EK8" s="94"/>
      <c r="EL8" s="94"/>
      <c r="EM8" s="94"/>
      <c r="EN8" s="94"/>
      <c r="EO8" s="94"/>
      <c r="EP8" s="94"/>
      <c r="EQ8" s="94"/>
      <c r="ER8" s="94"/>
      <c r="ES8" s="94"/>
      <c r="ET8" s="94"/>
      <c r="EU8" s="94"/>
      <c r="EV8" s="94"/>
      <c r="EW8" s="94"/>
      <c r="EX8" s="94"/>
      <c r="EY8" s="94"/>
      <c r="EZ8" s="94"/>
      <c r="FA8" s="94"/>
      <c r="FB8" s="94"/>
      <c r="FC8" s="94"/>
      <c r="FD8" s="94"/>
      <c r="FE8" s="94"/>
      <c r="FF8" s="94"/>
      <c r="FG8" s="94"/>
      <c r="FH8" s="94"/>
      <c r="FI8" s="94"/>
      <c r="FJ8" s="94"/>
      <c r="FK8" s="94"/>
      <c r="FL8" s="94"/>
      <c r="FM8" s="94"/>
      <c r="FN8" s="94"/>
      <c r="FO8" s="91"/>
    </row>
    <row r="9" hidden="1">
      <c r="B9" s="84"/>
      <c r="C9" s="83"/>
      <c r="D9" s="83"/>
      <c r="E9" s="84" t="s">
        <v>5</v>
      </c>
      <c r="F9" s="84"/>
      <c r="G9" s="84"/>
      <c r="H9" s="84"/>
      <c r="I9" s="84"/>
      <c r="J9" s="84"/>
      <c r="K9" s="94">
        <f t="array" ref="K9">IFERROR(INDEX(Skill!$G:$G, MATCH(K$4, Skill!$C:$C, 0), 1), "")</f>
        <v>60</v>
      </c>
      <c r="L9" s="94">
        <f t="array" ref="L9">IFERROR(INDEX(Skill!$G:$G, MATCH(L$4, Skill!$C:$C, 0), 1), "")</f>
        <v>120</v>
      </c>
      <c r="M9" s="94">
        <f t="array" ref="M9">IFERROR(INDEX(Skill!$G:$G, MATCH(M$4, Skill!$C:$C, 0), 1), "")</f>
        <v>90</v>
      </c>
      <c r="N9" s="94">
        <f t="array" ref="N9">IFERROR(INDEX(Skill!$G:$G, MATCH(N$4, Skill!$C:$C, 0), 1), "")</f>
        <v>10</v>
      </c>
      <c r="O9" s="94">
        <f t="array" ref="O9">IFERROR(INDEX(Skill!$G:$G, MATCH(O$4, Skill!$C:$C, 0), 1), "")</f>
        <v>90</v>
      </c>
      <c r="P9" s="94">
        <f t="array" ref="P9">IFERROR(INDEX(Skill!$G:$G, MATCH(P$4, Skill!$C:$C, 0), 1), "")</f>
        <v>90</v>
      </c>
      <c r="Q9" s="94">
        <f t="array" ref="Q9">IFERROR(INDEX(Skill!$G:$G, MATCH(Q$4, Skill!$C:$C, 0), 1), "")</f>
        <v>120</v>
      </c>
      <c r="R9" s="94">
        <f t="array" ref="R9">IFERROR(INDEX(Skill!$G:$G, MATCH(R$4, Skill!$C:$C, 0), 1), "")</f>
        <v>5</v>
      </c>
      <c r="S9" s="94">
        <f t="array" ref="S9">IFERROR(INDEX(Skill!$G:$G, MATCH(S$4, Skill!$C:$C, 0), 1), "")</f>
        <v>420</v>
      </c>
      <c r="T9" s="94">
        <f t="array" ref="T9">IFERROR(INDEX(Skill!$G:$G, MATCH(T$4, Skill!$C:$C, 0), 1), "")</f>
        <v>60</v>
      </c>
      <c r="U9" s="94">
        <f t="array" ref="U9">IFERROR(INDEX(Skill!$G:$G, MATCH(U$4, Skill!$C:$C, 0), 1), "")</f>
        <v>90</v>
      </c>
      <c r="V9" s="94">
        <f t="array" ref="V9">IFERROR(INDEX(Skill!$G:$G, MATCH(V$4, Skill!$C:$C, 0), 1), "")</f>
        <v>25</v>
      </c>
      <c r="W9" s="94">
        <f t="array" ref="W9">IFERROR(INDEX(Skill!$G:$G, MATCH(W$4, Skill!$C:$C, 0), 1), "")</f>
        <v>90</v>
      </c>
      <c r="X9" s="94">
        <f t="array" ref="X9">IFERROR(INDEX(Skill!$G:$G, MATCH(X$4, Skill!$C:$C, 0), 1), "")</f>
        <v>90</v>
      </c>
      <c r="Y9" s="94">
        <f t="array" ref="Y9">IFERROR(INDEX(Skill!$G:$G, MATCH(Y$4, Skill!$C:$C, 0), 1), "")</f>
        <v>120</v>
      </c>
      <c r="Z9" s="94">
        <f t="array" ref="Z9">IFERROR(INDEX(Skill!$G:$G, MATCH(Z$4, Skill!$C:$C, 0), 1), "")</f>
        <v>25</v>
      </c>
      <c r="AA9" s="94">
        <f t="array" ref="AA9">IFERROR(INDEX(Skill!$G:$G, MATCH(AA$4, Skill!$C:$C, 0), 1), "")</f>
        <v>60</v>
      </c>
      <c r="AB9" s="94">
        <f t="array" ref="AB9">IFERROR(INDEX(Skill!$G:$G, MATCH(AB$4, Skill!$C:$C, 0), 1), "")</f>
        <v>240</v>
      </c>
      <c r="AC9" s="94">
        <f t="array" ref="AC9">IFERROR(INDEX(Skill!$G:$G, MATCH(AC$4, Skill!$C:$C, 0), 1), "")</f>
        <v>60</v>
      </c>
      <c r="AD9" s="94">
        <f t="array" ref="AD9">IFERROR(INDEX(Skill!$G:$G, MATCH(AD$4, Skill!$C:$C, 0), 1), "")</f>
        <v>90</v>
      </c>
      <c r="AE9" s="94">
        <f t="array" ref="AE9">IFERROR(INDEX(Skill!$G:$G, MATCH(AE$4, Skill!$C:$C, 0), 1), "")</f>
        <v>15</v>
      </c>
      <c r="AF9" s="94">
        <f t="array" ref="AF9">IFERROR(INDEX(Skill!$G:$G, MATCH(AF$4, Skill!$C:$C, 0), 1), "")</f>
        <v>60</v>
      </c>
      <c r="AG9" s="94" t="str">
        <f t="array" ref="AG9">IFERROR(INDEX(Skill!$G:$G, MATCH(AG$4, Skill!$C:$C, 0), 1), "")</f>
        <v/>
      </c>
      <c r="AH9" s="94">
        <f t="array" ref="AH9">IFERROR(INDEX(Skill!$G:$G, MATCH(AH$4, Skill!$C:$C, 0), 1), "")</f>
        <v>90</v>
      </c>
      <c r="AI9" s="94">
        <f t="array" ref="AI9">IFERROR(INDEX(Skill!$G:$G, MATCH(AI$4, Skill!$C:$C, 0), 1), "")</f>
        <v>60</v>
      </c>
      <c r="AJ9" s="94">
        <f t="array" ref="AJ9">IFERROR(INDEX(Skill!$G:$G, MATCH(AJ$4, Skill!$C:$C, 0), 1), "")</f>
        <v>120</v>
      </c>
      <c r="AK9" s="94">
        <f t="array" ref="AK9">IFERROR(INDEX(Skill!$G:$G, MATCH(AK$4, Skill!$C:$C, 0), 1), "")</f>
        <v>300</v>
      </c>
      <c r="AL9" s="94">
        <f t="array" ref="AL9">IFERROR(INDEX(Skill!$G:$G, MATCH(AL$4, Skill!$C:$C, 0), 1), "")</f>
        <v>60</v>
      </c>
      <c r="AM9" s="94">
        <f t="array" ref="AM9">IFERROR(INDEX(Skill!$G:$G, MATCH(AM$4, Skill!$C:$C, 0), 1), "")</f>
        <v>90</v>
      </c>
      <c r="AN9" s="94">
        <f t="array" ref="AN9">IFERROR(INDEX(Skill!$G:$G, MATCH(AN$4, Skill!$C:$C, 0), 1), "")</f>
        <v>25</v>
      </c>
      <c r="AO9" s="94">
        <f t="array" ref="AO9">IFERROR(INDEX(Skill!$G:$G, MATCH(AO$4, Skill!$C:$C, 0), 1), "")</f>
        <v>90</v>
      </c>
      <c r="AP9" s="94">
        <f t="array" ref="AP9">IFERROR(INDEX(Skill!$G:$G, MATCH(AP$4, Skill!$C:$C, 0), 1), "")</f>
        <v>90</v>
      </c>
      <c r="AQ9" s="94">
        <f t="array" ref="AQ9">IFERROR(INDEX(Skill!$G:$G, MATCH(AQ$4, Skill!$C:$C, 0), 1), "")</f>
        <v>120</v>
      </c>
      <c r="AR9" s="94">
        <f t="array" ref="AR9">IFERROR(INDEX(Skill!$G:$G, MATCH(AR$4, Skill!$C:$C, 0), 1), "")</f>
        <v>360</v>
      </c>
      <c r="AS9" s="94">
        <f t="array" ref="AS9">IFERROR(INDEX(Skill!$G:$G, MATCH(AS$4, Skill!$C:$C, 0), 1), "")</f>
        <v>120</v>
      </c>
      <c r="AT9" s="94">
        <f t="array" ref="AT9">IFERROR(INDEX(Skill!$G:$G, MATCH(AT$4, Skill!$C:$C, 0), 1), "")</f>
        <v>1</v>
      </c>
      <c r="AU9" s="94">
        <f t="array" ref="AU9">IFERROR(INDEX(Skill!$G:$G, MATCH(AU$4, Skill!$C:$C, 0), 1), "")</f>
        <v>60</v>
      </c>
      <c r="AV9" s="94">
        <f t="array" ref="AV9">IFERROR(INDEX(Skill!$G:$G, MATCH(AV$4, Skill!$C:$C, 0), 1), "")</f>
        <v>90</v>
      </c>
      <c r="AW9" s="94">
        <f t="array" ref="AW9">IFERROR(INDEX(Skill!$G:$G, MATCH(AW$4, Skill!$C:$C, 0), 1), "")</f>
        <v>40</v>
      </c>
      <c r="AX9" s="94">
        <f t="array" ref="AX9">IFERROR(INDEX(Skill!$G:$G, MATCH(AX$4, Skill!$C:$C, 0), 1), "")</f>
        <v>180</v>
      </c>
      <c r="AY9" s="94">
        <f t="array" ref="AY9">IFERROR(INDEX(Skill!$G:$G, MATCH(AY$4, Skill!$C:$C, 0), 1), "")</f>
        <v>60</v>
      </c>
      <c r="AZ9" s="94">
        <f t="array" ref="AZ9">IFERROR(INDEX(Skill!$G:$G, MATCH(AZ$4, Skill!$C:$C, 0), 1), "")</f>
        <v>30</v>
      </c>
      <c r="BA9" s="94" t="str">
        <f t="array" ref="BA9">IFERROR(INDEX(Skill!$G:$G, MATCH(BA$4, Skill!$C:$C, 0), 1), "")</f>
        <v/>
      </c>
      <c r="BB9" s="94">
        <f t="array" ref="BB9">IFERROR(INDEX(Skill!$G:$G, MATCH(BB$4, Skill!$C:$C, 0), 1), "")</f>
        <v>60</v>
      </c>
      <c r="BC9" s="94" t="str">
        <f t="array" ref="BC9">IFERROR(INDEX(Skill!$G:$G, MATCH(BC$4, Skill!$C:$C, 0), 1), "")</f>
        <v/>
      </c>
      <c r="BD9" s="94">
        <f t="array" ref="BD9">IFERROR(INDEX(Skill!$G:$G, MATCH(BD$4, Skill!$C:$C, 0), 1), "")</f>
        <v>180</v>
      </c>
      <c r="BE9" s="94">
        <f t="array" ref="BE9">IFERROR(INDEX(Skill!$G:$G, MATCH(BE$4, Skill!$C:$C, 0), 1), "")</f>
        <v>60</v>
      </c>
      <c r="BF9" s="94">
        <f t="array" ref="BF9">IFERROR(INDEX(Skill!$G:$G, MATCH(BF$4, Skill!$C:$C, 0), 1), "")</f>
        <v>120</v>
      </c>
      <c r="BG9" s="94">
        <f t="array" ref="BG9">IFERROR(INDEX(Skill!$G:$G, MATCH(BG$4, Skill!$C:$C, 0), 1), "")</f>
        <v>1</v>
      </c>
      <c r="BH9" s="94">
        <f t="array" ref="BH9">IFERROR(INDEX(Skill!$G:$G, MATCH(BH$4, Skill!$C:$C, 0), 1), "")</f>
        <v>2.5</v>
      </c>
      <c r="BI9" s="94">
        <f t="array" ref="BI9">IFERROR(INDEX(Skill!$G:$G, MATCH(BI$4, Skill!$C:$C, 0), 1), "")</f>
        <v>60</v>
      </c>
      <c r="BJ9" s="94">
        <f t="array" ref="BJ9">IFERROR(INDEX(Skill!$G:$G, MATCH(BJ$4, Skill!$C:$C, 0), 1), "")</f>
        <v>60</v>
      </c>
      <c r="BK9" s="94">
        <f t="array" ref="BK9">IFERROR(INDEX(Skill!$G:$G, MATCH(BK$4, Skill!$C:$C, 0), 1), "")</f>
        <v>60</v>
      </c>
      <c r="BL9" s="94">
        <f t="array" ref="BL9">IFERROR(INDEX(Skill!$G:$G, MATCH(BL$4, Skill!$C:$C, 0), 1), "")</f>
        <v>180</v>
      </c>
      <c r="BM9" s="94">
        <f t="array" ref="BM9">IFERROR(INDEX(Skill!$G:$G, MATCH(BM$4, Skill!$C:$C, 0), 1), "")</f>
        <v>55</v>
      </c>
      <c r="BN9" s="94">
        <f t="array" ref="BN9">IFERROR(INDEX(Skill!$G:$G, MATCH(BN$4, Skill!$C:$C, 0), 1), "")</f>
        <v>55</v>
      </c>
      <c r="BO9" s="94">
        <f t="array" ref="BO9">IFERROR(INDEX(Skill!$G:$G, MATCH(BO$4, Skill!$C:$C, 0), 1), "")</f>
        <v>1</v>
      </c>
      <c r="BP9" s="94">
        <f t="array" ref="BP9">IFERROR(INDEX(Skill!$G:$G, MATCH(BP$4, Skill!$C:$C, 0), 1), "")</f>
        <v>1</v>
      </c>
      <c r="BQ9" s="94">
        <f t="array" ref="BQ9">IFERROR(INDEX(Skill!$G:$G, MATCH(BQ$4, Skill!$C:$C, 0), 1), "")</f>
        <v>1</v>
      </c>
      <c r="BR9" s="94">
        <f t="array" ref="BR9">IFERROR(INDEX(Skill!$G:$G, MATCH(BR$4, Skill!$C:$C, 0), 1), "")</f>
        <v>1</v>
      </c>
      <c r="BS9" s="94">
        <f t="array" ref="BS9">IFERROR(INDEX(Skill!$G:$G, MATCH(BS$4, Skill!$C:$C, 0), 1), "")</f>
        <v>40</v>
      </c>
      <c r="BT9" s="94" t="str">
        <f t="array" ref="BT9">IFERROR(INDEX(Skill!$G:$G, MATCH(BT$4, Skill!$C:$C, 0), 1), "")</f>
        <v/>
      </c>
      <c r="BU9" s="94">
        <f t="array" ref="BU9">IFERROR(INDEX(Skill!$G:$G, MATCH(BU$4, Skill!$C:$C, 0), 1), "")</f>
        <v>60</v>
      </c>
      <c r="BV9" s="94">
        <f t="array" ref="BV9">IFERROR(INDEX(Skill!$G:$G, MATCH(BV$4, Skill!$C:$C, 0), 1), "")</f>
        <v>30</v>
      </c>
      <c r="BW9" s="94" t="str">
        <f t="array" ref="BW9">IFERROR(INDEX(Skill!$G:$G, MATCH(BW$4, Skill!$C:$C, 0), 1), "")</f>
        <v/>
      </c>
      <c r="BX9" s="94">
        <f t="array" ref="BX9">IFERROR(INDEX(Skill!$G:$G, MATCH(BX$4, Skill!$C:$C, 0), 1), "")</f>
        <v>2.5</v>
      </c>
      <c r="BY9" s="94">
        <f t="array" ref="BY9">IFERROR(INDEX(Skill!$G:$G, MATCH(BY$4, Skill!$C:$C, 0), 1), "")</f>
        <v>120</v>
      </c>
      <c r="BZ9" s="94">
        <f t="array" ref="BZ9">IFERROR(INDEX(Skill!$G:$G, MATCH(BZ$4, Skill!$C:$C, 0), 1), "")</f>
        <v>30</v>
      </c>
      <c r="CA9" s="94">
        <f t="array" ref="CA9">IFERROR(INDEX(Skill!$G:$G, MATCH(CA$4, Skill!$C:$C, 0), 1), "")</f>
        <v>120</v>
      </c>
      <c r="CB9" s="94">
        <f t="array" ref="CB9">IFERROR(INDEX(Skill!$G:$G, MATCH(CB$4, Skill!$C:$C, 0), 1), "")</f>
        <v>90</v>
      </c>
      <c r="CC9" s="94">
        <f t="array" ref="CC9">IFERROR(INDEX(Skill!$G:$G, MATCH(CC$4, Skill!$C:$C, 0), 1), "")</f>
        <v>2.5</v>
      </c>
      <c r="CD9" s="94">
        <f t="array" ref="CD9">IFERROR(INDEX(Skill!$G:$G, MATCH(CD$4, Skill!$C:$C, 0), 1), "")</f>
        <v>60</v>
      </c>
      <c r="CE9" s="94">
        <f t="array" ref="CE9">IFERROR(INDEX(Skill!$G:$G, MATCH(CE$4, Skill!$C:$C, 0), 1), "")</f>
        <v>30</v>
      </c>
      <c r="CF9" s="94">
        <f t="array" ref="CF9">IFERROR(INDEX(Skill!$G:$G, MATCH(CF$4, Skill!$C:$C, 0), 1), "")</f>
        <v>60</v>
      </c>
      <c r="CG9" s="94">
        <f t="array" ref="CG9">IFERROR(INDEX(Skill!$G:$G, MATCH(CG$4, Skill!$C:$C, 0), 1), "")</f>
        <v>120</v>
      </c>
      <c r="CH9" s="94">
        <f t="array" ref="CH9">IFERROR(INDEX(Skill!$G:$G, MATCH(CH$4, Skill!$C:$C, 0), 1), "")</f>
        <v>30</v>
      </c>
      <c r="CI9" s="94">
        <f t="array" ref="CI9">IFERROR(INDEX(Skill!$G:$G, MATCH(CI$4, Skill!$C:$C, 0), 1), "")</f>
        <v>180</v>
      </c>
      <c r="CJ9" s="94">
        <f t="array" ref="CJ9">IFERROR(INDEX(Skill!$G:$G, MATCH(CJ$4, Skill!$C:$C, 0), 1), "")</f>
        <v>60</v>
      </c>
      <c r="CK9" s="94">
        <f t="array" ref="CK9">IFERROR(INDEX(Skill!$G:$G, MATCH(CK$4, Skill!$C:$C, 0), 1), "")</f>
        <v>180</v>
      </c>
      <c r="CL9" s="94">
        <f t="array" ref="CL9">IFERROR(INDEX(Skill!$G:$G, MATCH(CL$4, Skill!$C:$C, 0), 1), "")</f>
        <v>2.5</v>
      </c>
      <c r="CM9" s="94">
        <f t="array" ref="CM9">IFERROR(INDEX(Skill!$G:$G, MATCH(CM$4, Skill!$C:$C, 0), 1), "")</f>
        <v>2.5</v>
      </c>
      <c r="CN9" s="94">
        <f t="array" ref="CN9">IFERROR(INDEX(Skill!$G:$G, MATCH(CN$4, Skill!$C:$C, 0), 1), "")</f>
        <v>1</v>
      </c>
      <c r="CO9" s="94">
        <f t="array" ref="CO9">IFERROR(INDEX(Skill!$G:$G, MATCH(CO$4, Skill!$C:$C, 0), 1), "")</f>
        <v>60</v>
      </c>
      <c r="CP9" s="94">
        <f t="array" ref="CP9">IFERROR(INDEX(Skill!$G:$G, MATCH(CP$4, Skill!$C:$C, 0), 1), "")</f>
        <v>2.5</v>
      </c>
      <c r="CQ9" s="94">
        <f t="array" ref="CQ9">IFERROR(INDEX(Skill!$G:$G, MATCH(CQ$4, Skill!$C:$C, 0), 1), "")</f>
        <v>45</v>
      </c>
      <c r="CR9" s="94">
        <f t="array" ref="CR9">IFERROR(INDEX(Skill!$G:$G, MATCH(CR$4, Skill!$C:$C, 0), 1), "")</f>
        <v>60</v>
      </c>
      <c r="CS9" s="94" t="str">
        <f t="array" ref="CS9">IFERROR(INDEX(Skill!$G:$G, MATCH(CS$4, Skill!$C:$C, 0), 1), "")</f>
        <v/>
      </c>
      <c r="CT9" s="94">
        <f t="array" ref="CT9">IFERROR(INDEX(Skill!$G:$G, MATCH(CT$4, Skill!$C:$C, 0), 1), "")</f>
        <v>120</v>
      </c>
      <c r="CU9" s="94">
        <f t="array" ref="CU9">IFERROR(INDEX(Skill!$G:$G, MATCH(CU$4, Skill!$C:$C, 0), 1), "")</f>
        <v>30</v>
      </c>
      <c r="CV9" s="94">
        <f t="array" ref="CV9">IFERROR(INDEX(Skill!$G:$G, MATCH(CV$4, Skill!$C:$C, 0), 1), "")</f>
        <v>2.5</v>
      </c>
      <c r="CW9" s="94">
        <f t="array" ref="CW9">IFERROR(INDEX(Skill!$G:$G, MATCH(CW$4, Skill!$C:$C, 0), 1), "")</f>
        <v>120</v>
      </c>
      <c r="CX9" s="94">
        <f t="array" ref="CX9">IFERROR(INDEX(Skill!$G:$G, MATCH(CX$4, Skill!$C:$C, 0), 1), "")</f>
        <v>90</v>
      </c>
      <c r="CY9" s="94">
        <f t="array" ref="CY9">IFERROR(INDEX(Skill!$G:$G, MATCH(CY$4, Skill!$C:$C, 0), 1), "")</f>
        <v>60</v>
      </c>
      <c r="CZ9" s="94">
        <f t="array" ref="CZ9">IFERROR(INDEX(Skill!$G:$G, MATCH(CZ$4, Skill!$C:$C, 0), 1), "")</f>
        <v>30</v>
      </c>
      <c r="DA9" s="94">
        <f t="array" ref="DA9">IFERROR(INDEX(Skill!$G:$G, MATCH(DA$4, Skill!$C:$C, 0), 1), "")</f>
        <v>30</v>
      </c>
      <c r="DB9" s="94">
        <f t="array" ref="DB9">IFERROR(INDEX(Skill!$G:$G, MATCH(DB$4, Skill!$C:$C, 0), 1), "")</f>
        <v>120</v>
      </c>
      <c r="DC9" s="94">
        <f t="array" ref="DC9">IFERROR(INDEX(Skill!$G:$G, MATCH(DC$4, Skill!$C:$C, 0), 1), "")</f>
        <v>180</v>
      </c>
      <c r="DD9" s="94">
        <f t="array" ref="DD9">IFERROR(INDEX(Skill!$G:$G, MATCH(DD$4, Skill!$C:$C, 0), 1), "")</f>
        <v>1</v>
      </c>
      <c r="DE9" s="94">
        <f t="array" ref="DE9">IFERROR(INDEX(Skill!$G:$G, MATCH(DE$4, Skill!$C:$C, 0), 1), "")</f>
        <v>45</v>
      </c>
      <c r="DF9" s="94">
        <f t="array" ref="DF9">IFERROR(INDEX(Skill!$G:$G, MATCH(DF$4, Skill!$C:$C, 0), 1), "")</f>
        <v>2.5</v>
      </c>
      <c r="DG9" s="94">
        <f t="array" ref="DG9">IFERROR(INDEX(Skill!$G:$G, MATCH(DG$4, Skill!$C:$C, 0), 1), "")</f>
        <v>120</v>
      </c>
      <c r="DH9" s="94">
        <f t="array" ref="DH9">IFERROR(INDEX(Skill!$G:$G, MATCH(DH$4, Skill!$C:$C, 0), 1), "")</f>
        <v>90</v>
      </c>
      <c r="DI9" s="94" t="str">
        <f t="array" ref="DI9">IFERROR(INDEX(Skill!$G:$G, MATCH(DI$4, Skill!$C:$C, 0), 1), "")</f>
        <v/>
      </c>
      <c r="DJ9" s="94">
        <f t="array" ref="DJ9">IFERROR(INDEX(Skill!$G:$G, MATCH(DJ$4, Skill!$C:$C, 0), 1), "")</f>
        <v>90</v>
      </c>
      <c r="DK9" s="94">
        <f t="array" ref="DK9">IFERROR(INDEX(Skill!$G:$G, MATCH(DK$4, Skill!$C:$C, 0), 1), "")</f>
        <v>90</v>
      </c>
      <c r="DL9" s="94">
        <f t="array" ref="DL9">IFERROR(INDEX(Skill!$G:$G, MATCH(DL$4, Skill!$C:$C, 0), 1), "")</f>
        <v>90</v>
      </c>
      <c r="DM9" s="94">
        <f t="array" ref="DM9">IFERROR(INDEX(Skill!$G:$G, MATCH(DM$4, Skill!$C:$C, 0), 1), "")</f>
        <v>90</v>
      </c>
      <c r="DN9" s="94">
        <f t="array" ref="DN9">IFERROR(INDEX(Skill!$G:$G, MATCH(DN$4, Skill!$C:$C, 0), 1), "")</f>
        <v>90</v>
      </c>
      <c r="DO9" s="94">
        <f t="array" ref="DO9">IFERROR(INDEX(Skill!$G:$G, MATCH(DO$4, Skill!$C:$C, 0), 1), "")</f>
        <v>90</v>
      </c>
      <c r="DP9" s="94">
        <f t="array" ref="DP9">IFERROR(INDEX(Skill!$G:$G, MATCH(DP$4, Skill!$C:$C, 0), 1), "")</f>
        <v>90</v>
      </c>
      <c r="DQ9" s="94">
        <f t="array" ref="DQ9">IFERROR(INDEX(Skill!$G:$G, MATCH(DQ$4, Skill!$C:$C, 0), 1), "")</f>
        <v>90</v>
      </c>
      <c r="DR9" s="94">
        <f t="array" ref="DR9">IFERROR(INDEX(Skill!$G:$G, MATCH(DR$4, Skill!$C:$C, 0), 1), "")</f>
        <v>120</v>
      </c>
      <c r="DS9" s="94">
        <f t="array" ref="DS9">IFERROR(INDEX(Skill!$G:$G, MATCH(DS$4, Skill!$C:$C, 0), 1), "")</f>
        <v>90</v>
      </c>
      <c r="DT9" s="94">
        <f t="array" ref="DT9">IFERROR(INDEX(Skill!$G:$G, MATCH(DT$4, Skill!$C:$C, 0), 1), "")</f>
        <v>120</v>
      </c>
      <c r="DU9" s="94">
        <f t="array" ref="DU9">IFERROR(INDEX(Skill!$G:$G, MATCH(DU$4, Skill!$C:$C, 0), 1), "")</f>
        <v>90</v>
      </c>
      <c r="DV9" s="94">
        <f t="array" ref="DV9">IFERROR(INDEX(Skill!$G:$G, MATCH(DV$4, Skill!$C:$C, 0), 1), "")</f>
        <v>120</v>
      </c>
      <c r="DW9" s="94">
        <f t="array" ref="DW9">IFERROR(INDEX(Skill!$G:$G, MATCH(DW$4, Skill!$C:$C, 0), 1), "")</f>
        <v>90</v>
      </c>
      <c r="DX9" s="94">
        <f t="array" ref="DX9">IFERROR(INDEX(Skill!$G:$G, MATCH(DX$4, Skill!$C:$C, 0), 1), "")</f>
        <v>90</v>
      </c>
      <c r="DY9" s="94">
        <f t="array" ref="DY9">IFERROR(INDEX(Skill!$G:$G, MATCH(DY$4, Skill!$C:$C, 0), 1), "")</f>
        <v>90</v>
      </c>
      <c r="DZ9" s="94">
        <f t="array" ref="DZ9">IFERROR(INDEX(Skill!$G:$G, MATCH(DZ$4, Skill!$C:$C, 0), 1), "")</f>
        <v>120</v>
      </c>
      <c r="EA9" s="89">
        <f t="array" ref="EA9">IFERROR(INDEX(Skill!$G:$G, MATCH(EA$4, Skill!$C:$C, 0), 1), "")</f>
        <v>90</v>
      </c>
      <c r="EB9" s="89">
        <f t="array" ref="EB9">IFERROR(INDEX(Skill!$G:$G, MATCH(EB$4, Skill!$C:$C, 0), 1), "")</f>
        <v>120</v>
      </c>
      <c r="EC9" s="89">
        <f t="array" ref="EC9">IFERROR(INDEX(Skill!$G:$G, MATCH(EC$4, Skill!$C:$C, 0), 1), "")</f>
        <v>1</v>
      </c>
      <c r="ED9" s="94">
        <f t="array" ref="ED9">IFERROR(INDEX(Skill!$G:$G, MATCH(ED$4, Skill!$C:$C, 0), 1), "")</f>
        <v>2.5</v>
      </c>
      <c r="EE9" s="94"/>
      <c r="EF9" s="94"/>
      <c r="EG9" s="94"/>
      <c r="EH9" s="94"/>
      <c r="EI9" s="94"/>
      <c r="EJ9" s="94"/>
      <c r="EK9" s="94"/>
      <c r="EL9" s="94"/>
      <c r="EM9" s="94"/>
      <c r="EN9" s="94"/>
      <c r="EO9" s="94"/>
      <c r="EP9" s="94"/>
      <c r="EQ9" s="94"/>
      <c r="ER9" s="94"/>
      <c r="ES9" s="94"/>
      <c r="ET9" s="94"/>
      <c r="EU9" s="94"/>
      <c r="EV9" s="94"/>
      <c r="EW9" s="94"/>
      <c r="EX9" s="94"/>
      <c r="EY9" s="94"/>
      <c r="EZ9" s="94"/>
      <c r="FA9" s="94"/>
      <c r="FB9" s="94"/>
      <c r="FC9" s="94"/>
      <c r="FD9" s="94"/>
      <c r="FE9" s="94"/>
      <c r="FF9" s="94"/>
      <c r="FG9" s="94"/>
      <c r="FH9" s="94"/>
      <c r="FI9" s="94"/>
      <c r="FJ9" s="94"/>
      <c r="FK9" s="94"/>
      <c r="FL9" s="94"/>
      <c r="FM9" s="94"/>
      <c r="FN9" s="94"/>
      <c r="FO9" s="91"/>
    </row>
    <row r="10" hidden="1">
      <c r="A10" s="3"/>
      <c r="B10" s="90"/>
      <c r="C10" s="90"/>
      <c r="D10" s="83"/>
      <c r="E10" s="90" t="s">
        <v>11</v>
      </c>
      <c r="F10" s="90"/>
      <c r="G10" s="90"/>
      <c r="H10" s="90"/>
      <c r="I10" s="90"/>
      <c r="J10" s="90"/>
      <c r="K10" s="94">
        <f t="array" ref="K10">IFERROR(INDEX(Skill!$M:$M, MATCH(K$4, Skill!$C:$C, 0), 1), "")</f>
        <v>0.9</v>
      </c>
      <c r="L10" s="94">
        <f t="array" ref="L10">IFERROR(INDEX(Skill!$M:$M, MATCH(L$4, Skill!$C:$C, 0), 1), "")</f>
        <v>0.85</v>
      </c>
      <c r="M10" s="94" t="str">
        <f t="array" ref="M10">IFERROR(INDEX(Skill!$M:$M, MATCH(M$4, Skill!$C:$C, 0), 1), "")</f>
        <v/>
      </c>
      <c r="N10" s="94">
        <f t="array" ref="N10">IFERROR(INDEX(Skill!$M:$M, MATCH(N$4, Skill!$C:$C, 0), 1), "")</f>
        <v>0.9</v>
      </c>
      <c r="O10" s="94">
        <f t="array" ref="O10">IFERROR(INDEX(Skill!$M:$M, MATCH(O$4, Skill!$C:$C, 0), 1), "")</f>
        <v>0.8</v>
      </c>
      <c r="P10" s="94" t="str">
        <f t="array" ref="P10">IFERROR(INDEX(Skill!$M:$M, MATCH(P$4, Skill!$C:$C, 0), 1), "")</f>
        <v/>
      </c>
      <c r="Q10" s="94">
        <f t="array" ref="Q10">IFERROR(INDEX(Skill!$M:$M, MATCH(Q$4, Skill!$C:$C, 0), 1), "")</f>
        <v>0.6</v>
      </c>
      <c r="R10" s="94">
        <f t="array" ref="R10">IFERROR(INDEX(Skill!$M:$M, MATCH(R$4, Skill!$C:$C, 0), 1), "")</f>
        <v>0.85</v>
      </c>
      <c r="S10" s="94">
        <f t="array" ref="S10">IFERROR(INDEX(Skill!$M:$M, MATCH(S$4, Skill!$C:$C, 0), 1), "")</f>
        <v>0</v>
      </c>
      <c r="T10" s="94">
        <f t="array" ref="T10">IFERROR(INDEX(Skill!$M:$M, MATCH(T$4, Skill!$C:$C, 0), 1), "")</f>
        <v>0.9</v>
      </c>
      <c r="U10" s="94" t="str">
        <f t="array" ref="U10">IFERROR(INDEX(Skill!$M:$M, MATCH(U$4, Skill!$C:$C, 0), 1), "")</f>
        <v/>
      </c>
      <c r="V10" s="94">
        <f t="array" ref="V10">IFERROR(INDEX(Skill!$M:$M, MATCH(V$4, Skill!$C:$C, 0), 1), "")</f>
        <v>0.9</v>
      </c>
      <c r="W10" s="94">
        <f t="array" ref="W10">IFERROR(INDEX(Skill!$M:$M, MATCH(W$4, Skill!$C:$C, 0), 1), "")</f>
        <v>0.8</v>
      </c>
      <c r="X10" s="94" t="str">
        <f t="array" ref="X10">IFERROR(INDEX(Skill!$M:$M, MATCH(X$4, Skill!$C:$C, 0), 1), "")</f>
        <v/>
      </c>
      <c r="Y10" s="94">
        <f t="array" ref="Y10">IFERROR(INDEX(Skill!$M:$M, MATCH(Y$4, Skill!$C:$C, 0), 1), "")</f>
        <v>0.6</v>
      </c>
      <c r="Z10" s="94">
        <f t="array" ref="Z10">IFERROR(INDEX(Skill!$M:$M, MATCH(Z$4, Skill!$C:$C, 0), 1), "")</f>
        <v>0.9</v>
      </c>
      <c r="AA10" s="94" t="str">
        <f t="array" ref="AA10">IFERROR(INDEX(Skill!$M:$M, MATCH(AA$4, Skill!$C:$C, 0), 1), "")</f>
        <v/>
      </c>
      <c r="AB10" s="94">
        <f t="array" ref="AB10">IFERROR(INDEX(Skill!$M:$M, MATCH(AB$4, Skill!$C:$C, 0), 1), "")</f>
        <v>1</v>
      </c>
      <c r="AC10" s="94">
        <f t="array" ref="AC10">IFERROR(INDEX(Skill!$M:$M, MATCH(AC$4, Skill!$C:$C, 0), 1), "")</f>
        <v>0.9</v>
      </c>
      <c r="AD10" s="94">
        <f t="array" ref="AD10">IFERROR(INDEX(Skill!$M:$M, MATCH(AD$4, Skill!$C:$C, 0), 1), "")</f>
        <v>0.95</v>
      </c>
      <c r="AE10" s="94" t="str">
        <f t="array" ref="AE10">IFERROR(INDEX(Skill!$M:$M, MATCH(AE$4, Skill!$C:$C, 0), 1), "")</f>
        <v/>
      </c>
      <c r="AF10" s="94">
        <f t="array" ref="AF10">IFERROR(INDEX(Skill!$M:$M, MATCH(AF$4, Skill!$C:$C, 0), 1), "")</f>
        <v>0.9</v>
      </c>
      <c r="AG10" s="94" t="str">
        <f t="array" ref="AG10">IFERROR(INDEX(Skill!$M:$M, MATCH(AG$4, Skill!$C:$C, 0), 1), "")</f>
        <v/>
      </c>
      <c r="AH10" s="94">
        <f t="array" ref="AH10">IFERROR(INDEX(Skill!$M:$M, MATCH(AH$4, Skill!$C:$C, 0), 1), "")</f>
        <v>0.8</v>
      </c>
      <c r="AI10" s="94">
        <f t="array" ref="AI10">IFERROR(INDEX(Skill!$M:$M, MATCH(AI$4, Skill!$C:$C, 0), 1), "")</f>
        <v>0.9</v>
      </c>
      <c r="AJ10" s="94">
        <f t="array" ref="AJ10">IFERROR(INDEX(Skill!$M:$M, MATCH(AJ$4, Skill!$C:$C, 0), 1), "")</f>
        <v>0.6</v>
      </c>
      <c r="AK10" s="94">
        <f t="array" ref="AK10">IFERROR(INDEX(Skill!$M:$M, MATCH(AK$4, Skill!$C:$C, 0), 1), "")</f>
        <v>1</v>
      </c>
      <c r="AL10" s="94">
        <f t="array" ref="AL10">IFERROR(INDEX(Skill!$M:$M, MATCH(AL$4, Skill!$C:$C, 0), 1), "")</f>
        <v>0.9</v>
      </c>
      <c r="AM10" s="94">
        <f t="array" ref="AM10">IFERROR(INDEX(Skill!$M:$M, MATCH(AM$4, Skill!$C:$C, 0), 1), "")</f>
        <v>0.95</v>
      </c>
      <c r="AN10" s="94">
        <f t="array" ref="AN10">IFERROR(INDEX(Skill!$M:$M, MATCH(AN$4, Skill!$C:$C, 0), 1), "")</f>
        <v>0.85</v>
      </c>
      <c r="AO10" s="94">
        <f t="array" ref="AO10">IFERROR(INDEX(Skill!$M:$M, MATCH(AO$4, Skill!$C:$C, 0), 1), "")</f>
        <v>0.8</v>
      </c>
      <c r="AP10" s="94">
        <f t="array" ref="AP10">IFERROR(INDEX(Skill!$M:$M, MATCH(AP$4, Skill!$C:$C, 0), 1), "")</f>
        <v>0.9</v>
      </c>
      <c r="AQ10" s="94">
        <f t="array" ref="AQ10">IFERROR(INDEX(Skill!$M:$M, MATCH(AQ$4, Skill!$C:$C, 0), 1), "")</f>
        <v>0.6</v>
      </c>
      <c r="AR10" s="94">
        <f t="array" ref="AR10">IFERROR(INDEX(Skill!$M:$M, MATCH(AR$4, Skill!$C:$C, 0), 1), "")</f>
        <v>0</v>
      </c>
      <c r="AS10" s="94">
        <f t="array" ref="AS10">IFERROR(INDEX(Skill!$M:$M, MATCH(AS$4, Skill!$C:$C, 0), 1), "")</f>
        <v>0.9</v>
      </c>
      <c r="AT10" s="94" t="str">
        <f t="array" ref="AT10">IFERROR(INDEX(Skill!$M:$M, MATCH(AT$4, Skill!$C:$C, 0), 1), "")</f>
        <v/>
      </c>
      <c r="AU10" s="94" t="str">
        <f t="array" ref="AU10">IFERROR(INDEX(Skill!$M:$M, MATCH(AU$4, Skill!$C:$C, 0), 1), "")</f>
        <v/>
      </c>
      <c r="AV10" s="94" t="str">
        <f t="array" ref="AV10">IFERROR(INDEX(Skill!$M:$M, MATCH(AV$4, Skill!$C:$C, 0), 1), "")</f>
        <v/>
      </c>
      <c r="AW10" s="94" t="str">
        <f t="array" ref="AW10">IFERROR(INDEX(Skill!$M:$M, MATCH(AW$4, Skill!$C:$C, 0), 1), "")</f>
        <v/>
      </c>
      <c r="AX10" s="94" t="str">
        <f t="array" ref="AX10">IFERROR(INDEX(Skill!$M:$M, MATCH(AX$4, Skill!$C:$C, 0), 1), "")</f>
        <v/>
      </c>
      <c r="AY10" s="94">
        <f t="array" ref="AY10">IFERROR(INDEX(Skill!$M:$M, MATCH(AY$4, Skill!$C:$C, 0), 1), "")</f>
        <v>0.85</v>
      </c>
      <c r="AZ10" s="94" t="str">
        <f t="array" ref="AZ10">IFERROR(INDEX(Skill!$M:$M, MATCH(AZ$4, Skill!$C:$C, 0), 1), "")</f>
        <v/>
      </c>
      <c r="BA10" s="94" t="str">
        <f t="array" ref="BA10">IFERROR(INDEX(Skill!$M:$M, MATCH(BA$4, Skill!$C:$C, 0), 1), "")</f>
        <v/>
      </c>
      <c r="BB10" s="94" t="str">
        <f t="array" ref="BB10">IFERROR(INDEX(Skill!$M:$M, MATCH(BB$4, Skill!$C:$C, 0), 1), "")</f>
        <v/>
      </c>
      <c r="BC10" s="94" t="str">
        <f t="array" ref="BC10">IFERROR(INDEX(Skill!$M:$M, MATCH(BC$4, Skill!$C:$C, 0), 1), "")</f>
        <v/>
      </c>
      <c r="BD10" s="94" t="str">
        <f t="array" ref="BD10">IFERROR(INDEX(Skill!$M:$M, MATCH(BD$4, Skill!$C:$C, 0), 1), "")</f>
        <v/>
      </c>
      <c r="BE10" s="94">
        <f t="array" ref="BE10">IFERROR(INDEX(Skill!$M:$M, MATCH(BE$4, Skill!$C:$C, 0), 1), "")</f>
        <v>0.9</v>
      </c>
      <c r="BF10" s="94" t="str">
        <f t="array" ref="BF10">IFERROR(INDEX(Skill!$M:$M, MATCH(BF$4, Skill!$C:$C, 0), 1), "")</f>
        <v/>
      </c>
      <c r="BG10" s="94">
        <f t="array" ref="BG10">IFERROR(INDEX(Skill!$M:$M, MATCH(BG$4, Skill!$C:$C, 0), 1), "")</f>
        <v>0.9</v>
      </c>
      <c r="BH10" s="94" t="str">
        <f t="array" ref="BH10">IFERROR(INDEX(Skill!$M:$M, MATCH(BH$4, Skill!$C:$C, 0), 1), "")</f>
        <v/>
      </c>
      <c r="BI10" s="94" t="str">
        <f t="array" ref="BI10">IFERROR(INDEX(Skill!$M:$M, MATCH(BI$4, Skill!$C:$C, 0), 1), "")</f>
        <v/>
      </c>
      <c r="BJ10" s="94" t="str">
        <f t="array" ref="BJ10">IFERROR(INDEX(Skill!$M:$M, MATCH(BJ$4, Skill!$C:$C, 0), 1), "")</f>
        <v/>
      </c>
      <c r="BK10" s="94" t="str">
        <f t="array" ref="BK10">IFERROR(INDEX(Skill!$M:$M, MATCH(BK$4, Skill!$C:$C, 0), 1), "")</f>
        <v/>
      </c>
      <c r="BL10" s="94" t="str">
        <f t="array" ref="BL10">IFERROR(INDEX(Skill!$M:$M, MATCH(BL$4, Skill!$C:$C, 0), 1), "")</f>
        <v/>
      </c>
      <c r="BM10" s="94" t="str">
        <f t="array" ref="BM10">IFERROR(INDEX(Skill!$M:$M, MATCH(BM$4, Skill!$C:$C, 0), 1), "")</f>
        <v/>
      </c>
      <c r="BN10" s="94" t="str">
        <f t="array" ref="BN10">IFERROR(INDEX(Skill!$M:$M, MATCH(BN$4, Skill!$C:$C, 0), 1), "")</f>
        <v/>
      </c>
      <c r="BO10" s="94" t="str">
        <f t="array" ref="BO10">IFERROR(INDEX(Skill!$M:$M, MATCH(BO$4, Skill!$C:$C, 0), 1), "")</f>
        <v/>
      </c>
      <c r="BP10" s="94" t="str">
        <f t="array" ref="BP10">IFERROR(INDEX(Skill!$M:$M, MATCH(BP$4, Skill!$C:$C, 0), 1), "")</f>
        <v/>
      </c>
      <c r="BQ10" s="94">
        <f t="array" ref="BQ10">IFERROR(INDEX(Skill!$M:$M, MATCH(BQ$4, Skill!$C:$C, 0), 1), "")</f>
        <v>0.9</v>
      </c>
      <c r="BR10" s="94" t="str">
        <f t="array" ref="BR10">IFERROR(INDEX(Skill!$M:$M, MATCH(BR$4, Skill!$C:$C, 0), 1), "")</f>
        <v/>
      </c>
      <c r="BS10" s="94" t="str">
        <f t="array" ref="BS10">IFERROR(INDEX(Skill!$M:$M, MATCH(BS$4, Skill!$C:$C, 0), 1), "")</f>
        <v/>
      </c>
      <c r="BT10" s="94" t="str">
        <f t="array" ref="BT10">IFERROR(INDEX(Skill!$M:$M, MATCH(BT$4, Skill!$C:$C, 0), 1), "")</f>
        <v/>
      </c>
      <c r="BU10" s="94">
        <f t="array" ref="BU10">IFERROR(INDEX(Skill!$M:$M, MATCH(BU$4, Skill!$C:$C, 0), 1), "")</f>
        <v>0.9</v>
      </c>
      <c r="BV10" s="94" t="str">
        <f t="array" ref="BV10">IFERROR(INDEX(Skill!$M:$M, MATCH(BV$4, Skill!$C:$C, 0), 1), "")</f>
        <v/>
      </c>
      <c r="BW10" s="94" t="str">
        <f t="array" ref="BW10">IFERROR(INDEX(Skill!$M:$M, MATCH(BW$4, Skill!$C:$C, 0), 1), "")</f>
        <v/>
      </c>
      <c r="BX10" s="94" t="str">
        <f t="array" ref="BX10">IFERROR(INDEX(Skill!$M:$M, MATCH(BX$4, Skill!$C:$C, 0), 1), "")</f>
        <v/>
      </c>
      <c r="BY10" s="94">
        <f t="array" ref="BY10">IFERROR(INDEX(Skill!$M:$M, MATCH(BY$4, Skill!$C:$C, 0), 1), "")</f>
        <v>1</v>
      </c>
      <c r="BZ10" s="94">
        <f t="array" ref="BZ10">IFERROR(INDEX(Skill!$M:$M, MATCH(BZ$4, Skill!$C:$C, 0), 1), "")</f>
        <v>0.9</v>
      </c>
      <c r="CA10" s="94">
        <f t="array" ref="CA10">IFERROR(INDEX(Skill!$M:$M, MATCH(CA$4, Skill!$C:$C, 0), 1), "")</f>
        <v>0.9</v>
      </c>
      <c r="CB10" s="94" t="str">
        <f t="array" ref="CB10">IFERROR(INDEX(Skill!$M:$M, MATCH(CB$4, Skill!$C:$C, 0), 1), "")</f>
        <v/>
      </c>
      <c r="CC10" s="94" t="str">
        <f t="array" ref="CC10">IFERROR(INDEX(Skill!$M:$M, MATCH(CC$4, Skill!$C:$C, 0), 1), "")</f>
        <v/>
      </c>
      <c r="CD10" s="94" t="str">
        <f t="array" ref="CD10">IFERROR(INDEX(Skill!$M:$M, MATCH(CD$4, Skill!$C:$C, 0), 1), "")</f>
        <v/>
      </c>
      <c r="CE10" s="94" t="str">
        <f t="array" ref="CE10">IFERROR(INDEX(Skill!$M:$M, MATCH(CE$4, Skill!$C:$C, 0), 1), "")</f>
        <v/>
      </c>
      <c r="CF10" s="94" t="str">
        <f t="array" ref="CF10">IFERROR(INDEX(Skill!$M:$M, MATCH(CF$4, Skill!$C:$C, 0), 1), "")</f>
        <v/>
      </c>
      <c r="CG10" s="94" t="str">
        <f t="array" ref="CG10">IFERROR(INDEX(Skill!$M:$M, MATCH(CG$4, Skill!$C:$C, 0), 1), "")</f>
        <v/>
      </c>
      <c r="CH10" s="94" t="str">
        <f t="array" ref="CH10">IFERROR(INDEX(Skill!$M:$M, MATCH(CH$4, Skill!$C:$C, 0), 1), "")</f>
        <v/>
      </c>
      <c r="CI10" s="94" t="str">
        <f t="array" ref="CI10">IFERROR(INDEX(Skill!$M:$M, MATCH(CI$4, Skill!$C:$C, 0), 1), "")</f>
        <v/>
      </c>
      <c r="CJ10" s="94" t="str">
        <f t="array" ref="CJ10">IFERROR(INDEX(Skill!$M:$M, MATCH(CJ$4, Skill!$C:$C, 0), 1), "")</f>
        <v/>
      </c>
      <c r="CK10" s="94" t="str">
        <f t="array" ref="CK10">IFERROR(INDEX(Skill!$M:$M, MATCH(CK$4, Skill!$C:$C, 0), 1), "")</f>
        <v/>
      </c>
      <c r="CL10" s="94" t="str">
        <f t="array" ref="CL10">IFERROR(INDEX(Skill!$M:$M, MATCH(CL$4, Skill!$C:$C, 0), 1), "")</f>
        <v/>
      </c>
      <c r="CM10" s="94" t="str">
        <f t="array" ref="CM10">IFERROR(INDEX(Skill!$M:$M, MATCH(CM$4, Skill!$C:$C, 0), 1), "")</f>
        <v/>
      </c>
      <c r="CN10" s="94" t="str">
        <f t="array" ref="CN10">IFERROR(INDEX(Skill!$M:$M, MATCH(CN$4, Skill!$C:$C, 0), 1), "")</f>
        <v/>
      </c>
      <c r="CO10" s="94" t="str">
        <f t="array" ref="CO10">IFERROR(INDEX(Skill!$M:$M, MATCH(CO$4, Skill!$C:$C, 0), 1), "")</f>
        <v/>
      </c>
      <c r="CP10" s="94" t="str">
        <f t="array" ref="CP10">IFERROR(INDEX(Skill!$M:$M, MATCH(CP$4, Skill!$C:$C, 0), 1), "")</f>
        <v/>
      </c>
      <c r="CQ10" s="94" t="str">
        <f t="array" ref="CQ10">IFERROR(INDEX(Skill!$M:$M, MATCH(CQ$4, Skill!$C:$C, 0), 1), "")</f>
        <v/>
      </c>
      <c r="CR10" s="94" t="str">
        <f t="array" ref="CR10">IFERROR(INDEX(Skill!$M:$M, MATCH(CR$4, Skill!$C:$C, 0), 1), "")</f>
        <v/>
      </c>
      <c r="CS10" s="94" t="str">
        <f t="array" ref="CS10">IFERROR(INDEX(Skill!$M:$M, MATCH(CS$4, Skill!$C:$C, 0), 1), "")</f>
        <v/>
      </c>
      <c r="CT10" s="94">
        <f t="array" ref="CT10">IFERROR(INDEX(Skill!$M:$M, MATCH(CT$4, Skill!$C:$C, 0), 1), "")</f>
        <v>0.9</v>
      </c>
      <c r="CU10" s="94">
        <f t="array" ref="CU10">IFERROR(INDEX(Skill!$M:$M, MATCH(CU$4, Skill!$C:$C, 0), 1), "")</f>
        <v>0.9</v>
      </c>
      <c r="CV10" s="94" t="str">
        <f t="array" ref="CV10">IFERROR(INDEX(Skill!$M:$M, MATCH(CV$4, Skill!$C:$C, 0), 1), "")</f>
        <v/>
      </c>
      <c r="CW10" s="94" t="str">
        <f t="array" ref="CW10">IFERROR(INDEX(Skill!$M:$M, MATCH(CW$4, Skill!$C:$C, 0), 1), "")</f>
        <v/>
      </c>
      <c r="CX10" s="94" t="str">
        <f t="array" ref="CX10">IFERROR(INDEX(Skill!$M:$M, MATCH(CX$4, Skill!$C:$C, 0), 1), "")</f>
        <v/>
      </c>
      <c r="CY10" s="94" t="str">
        <f t="array" ref="CY10">IFERROR(INDEX(Skill!$M:$M, MATCH(CY$4, Skill!$C:$C, 0), 1), "")</f>
        <v/>
      </c>
      <c r="CZ10" s="94" t="str">
        <f t="array" ref="CZ10">IFERROR(INDEX(Skill!$M:$M, MATCH(CZ$4, Skill!$C:$C, 0), 1), "")</f>
        <v/>
      </c>
      <c r="DA10" s="94" t="str">
        <f t="array" ref="DA10">IFERROR(INDEX(Skill!$M:$M, MATCH(DA$4, Skill!$C:$C, 0), 1), "")</f>
        <v/>
      </c>
      <c r="DB10" s="94" t="str">
        <f t="array" ref="DB10">IFERROR(INDEX(Skill!$M:$M, MATCH(DB$4, Skill!$C:$C, 0), 1), "")</f>
        <v/>
      </c>
      <c r="DC10" s="94" t="str">
        <f t="array" ref="DC10">IFERROR(INDEX(Skill!$M:$M, MATCH(DC$4, Skill!$C:$C, 0), 1), "")</f>
        <v/>
      </c>
      <c r="DD10" s="94" t="str">
        <f t="array" ref="DD10">IFERROR(INDEX(Skill!$M:$M, MATCH(DD$4, Skill!$C:$C, 0), 1), "")</f>
        <v/>
      </c>
      <c r="DE10" s="94">
        <f t="array" ref="DE10">IFERROR(INDEX(Skill!$M:$M, MATCH(DE$4, Skill!$C:$C, 0), 1), "")</f>
        <v>0.9</v>
      </c>
      <c r="DF10" s="94" t="str">
        <f t="array" ref="DF10">IFERROR(INDEX(Skill!$M:$M, MATCH(DF$4, Skill!$C:$C, 0), 1), "")</f>
        <v/>
      </c>
      <c r="DG10" s="94" t="str">
        <f t="array" ref="DG10">IFERROR(INDEX(Skill!$M:$M, MATCH(DG$4, Skill!$C:$C, 0), 1), "")</f>
        <v/>
      </c>
      <c r="DH10" s="94" t="str">
        <f t="array" ref="DH10">IFERROR(INDEX(Skill!$M:$M, MATCH(DH$4, Skill!$C:$C, 0), 1), "")</f>
        <v/>
      </c>
      <c r="DI10" s="94" t="str">
        <f t="array" ref="DI10">IFERROR(INDEX(Skill!$M:$M, MATCH(DI$4, Skill!$C:$C, 0), 1), "")</f>
        <v/>
      </c>
      <c r="DJ10" s="94">
        <f t="array" ref="DJ10">IFERROR(INDEX(Skill!$M:$M, MATCH(DJ$4, Skill!$C:$C, 0), 1), "")</f>
        <v>0.9</v>
      </c>
      <c r="DK10" s="94" t="str">
        <f t="array" ref="DK10">IFERROR(INDEX(Skill!$M:$M, MATCH(DK$4, Skill!$C:$C, 0), 1), "")</f>
        <v/>
      </c>
      <c r="DL10" s="94">
        <f t="array" ref="DL10">IFERROR(INDEX(Skill!$M:$M, MATCH(DL$4, Skill!$C:$C, 0), 1), "")</f>
        <v>0.9</v>
      </c>
      <c r="DM10" s="94">
        <f t="array" ref="DM10">IFERROR(INDEX(Skill!$M:$M, MATCH(DM$4, Skill!$C:$C, 0), 1), "")</f>
        <v>0.9</v>
      </c>
      <c r="DN10" s="94">
        <f t="array" ref="DN10">IFERROR(INDEX(Skill!$M:$M, MATCH(DN$4, Skill!$C:$C, 0), 1), "")</f>
        <v>0.9</v>
      </c>
      <c r="DO10" s="94">
        <f t="array" ref="DO10">IFERROR(INDEX(Skill!$M:$M, MATCH(DO$4, Skill!$C:$C, 0), 1), "")</f>
        <v>0.9</v>
      </c>
      <c r="DP10" s="94">
        <f t="array" ref="DP10">IFERROR(INDEX(Skill!$M:$M, MATCH(DP$4, Skill!$C:$C, 0), 1), "")</f>
        <v>0.9</v>
      </c>
      <c r="DQ10" s="94">
        <f t="array" ref="DQ10">IFERROR(INDEX(Skill!$M:$M, MATCH(DQ$4, Skill!$C:$C, 0), 1), "")</f>
        <v>0.85</v>
      </c>
      <c r="DR10" s="94" t="str">
        <f t="array" ref="DR10">IFERROR(INDEX(Skill!$M:$M, MATCH(DR$4, Skill!$C:$C, 0), 1), "")</f>
        <v/>
      </c>
      <c r="DS10" s="94">
        <f t="array" ref="DS10">IFERROR(INDEX(Skill!$M:$M, MATCH(DS$4, Skill!$C:$C, 0), 1), "")</f>
        <v>0.85</v>
      </c>
      <c r="DT10" s="94">
        <f t="array" ref="DT10">IFERROR(INDEX(Skill!$M:$M, MATCH(DT$4, Skill!$C:$C, 0), 1), "")</f>
        <v>0.9</v>
      </c>
      <c r="DU10" s="94">
        <f t="array" ref="DU10">IFERROR(INDEX(Skill!$M:$M, MATCH(DU$4, Skill!$C:$C, 0), 1), "")</f>
        <v>0.85</v>
      </c>
      <c r="DV10" s="94" t="str">
        <f t="array" ref="DV10">IFERROR(INDEX(Skill!$M:$M, MATCH(DV$4, Skill!$C:$C, 0), 1), "")</f>
        <v/>
      </c>
      <c r="DW10" s="94">
        <f t="array" ref="DW10">IFERROR(INDEX(Skill!$M:$M, MATCH(DW$4, Skill!$C:$C, 0), 1), "")</f>
        <v>0.95</v>
      </c>
      <c r="DX10" s="94">
        <f t="array" ref="DX10">IFERROR(INDEX(Skill!$M:$M, MATCH(DX$4, Skill!$C:$C, 0), 1), "")</f>
        <v>0.95</v>
      </c>
      <c r="DY10" s="94">
        <f t="array" ref="DY10">IFERROR(INDEX(Skill!$M:$M, MATCH(DY$4, Skill!$C:$C, 0), 1), "")</f>
        <v>0.95</v>
      </c>
      <c r="DZ10" s="94">
        <f t="array" ref="DZ10">IFERROR(INDEX(Skill!$M:$M, MATCH(DZ$4, Skill!$C:$C, 0), 1), "")</f>
        <v>1</v>
      </c>
      <c r="EA10" s="89">
        <f t="array" ref="EA10">IFERROR(INDEX(Skill!$M:$M, MATCH(EA$4, Skill!$C:$C, 0), 1), "")</f>
        <v>0.95</v>
      </c>
      <c r="EB10" s="89" t="str">
        <f t="array" ref="EB10">IFERROR(INDEX(Skill!$M:$M, MATCH(EB$4, Skill!$C:$C, 0), 1), "")</f>
        <v/>
      </c>
      <c r="EC10" s="89" t="str">
        <f t="array" ref="EC10">IFERROR(INDEX(Skill!$M:$M, MATCH(EC$4, Skill!$C:$C, 0), 1), "")</f>
        <v/>
      </c>
      <c r="ED10" s="94">
        <f t="array" ref="ED10">IFERROR(INDEX(Skill!$M:$M, MATCH(ED$4, Skill!$C:$C, 0), 1), "")</f>
        <v>0.2</v>
      </c>
      <c r="EE10" s="98"/>
      <c r="EF10" s="98"/>
      <c r="EG10" s="98"/>
      <c r="EH10" s="98"/>
      <c r="EI10" s="98"/>
      <c r="EJ10" s="98"/>
      <c r="EK10" s="98"/>
      <c r="EL10" s="98"/>
      <c r="EM10" s="98"/>
      <c r="EN10" s="98"/>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8"/>
      <c r="FO10" s="99"/>
    </row>
    <row r="11" hidden="1">
      <c r="A11" s="3"/>
      <c r="B11" s="90"/>
      <c r="C11" s="90"/>
      <c r="D11" s="83"/>
      <c r="E11" s="90" t="s">
        <v>10</v>
      </c>
      <c r="F11" s="90"/>
      <c r="G11" s="90"/>
      <c r="H11" s="90"/>
      <c r="I11" s="90"/>
      <c r="J11" s="90"/>
      <c r="K11" s="94">
        <f t="array" ref="K11">IFERROR(INDEX(Skill!$L:$L, MATCH(K$4, Skill!$C:$C, 0), 1), "")</f>
        <v>0.9</v>
      </c>
      <c r="L11" s="94">
        <f t="array" ref="L11">IFERROR(INDEX(Skill!$L:$L, MATCH(L$4, Skill!$C:$C, 0), 1), "")</f>
        <v>0.85</v>
      </c>
      <c r="M11" s="94" t="str">
        <f t="array" ref="M11">IFERROR(INDEX(Skill!$L:$L, MATCH(M$4, Skill!$C:$C, 0), 1), "")</f>
        <v/>
      </c>
      <c r="N11" s="94">
        <f t="array" ref="N11">IFERROR(INDEX(Skill!$L:$L, MATCH(N$4, Skill!$C:$C, 0), 1), "")</f>
        <v>0.9</v>
      </c>
      <c r="O11" s="94">
        <f t="array" ref="O11">IFERROR(INDEX(Skill!$L:$L, MATCH(O$4, Skill!$C:$C, 0), 1), "")</f>
        <v>0.8</v>
      </c>
      <c r="P11" s="94" t="str">
        <f t="array" ref="P11">IFERROR(INDEX(Skill!$L:$L, MATCH(P$4, Skill!$C:$C, 0), 1), "")</f>
        <v/>
      </c>
      <c r="Q11" s="94">
        <f t="array" ref="Q11">IFERROR(INDEX(Skill!$L:$L, MATCH(Q$4, Skill!$C:$C, 0), 1), "")</f>
        <v>0.6</v>
      </c>
      <c r="R11" s="94">
        <f t="array" ref="R11">IFERROR(INDEX(Skill!$L:$L, MATCH(R$4, Skill!$C:$C, 0), 1), "")</f>
        <v>0.85</v>
      </c>
      <c r="S11" s="94">
        <f t="array" ref="S11">IFERROR(INDEX(Skill!$L:$L, MATCH(S$4, Skill!$C:$C, 0), 1), "")</f>
        <v>0</v>
      </c>
      <c r="T11" s="94">
        <f t="array" ref="T11">IFERROR(INDEX(Skill!$L:$L, MATCH(T$4, Skill!$C:$C, 0), 1), "")</f>
        <v>0.9</v>
      </c>
      <c r="U11" s="94" t="str">
        <f t="array" ref="U11">IFERROR(INDEX(Skill!$L:$L, MATCH(U$4, Skill!$C:$C, 0), 1), "")</f>
        <v/>
      </c>
      <c r="V11" s="94">
        <f t="array" ref="V11">IFERROR(INDEX(Skill!$L:$L, MATCH(V$4, Skill!$C:$C, 0), 1), "")</f>
        <v>0.9</v>
      </c>
      <c r="W11" s="94">
        <f t="array" ref="W11">IFERROR(INDEX(Skill!$L:$L, MATCH(W$4, Skill!$C:$C, 0), 1), "")</f>
        <v>0.8</v>
      </c>
      <c r="X11" s="94" t="str">
        <f t="array" ref="X11">IFERROR(INDEX(Skill!$L:$L, MATCH(X$4, Skill!$C:$C, 0), 1), "")</f>
        <v/>
      </c>
      <c r="Y11" s="94">
        <f t="array" ref="Y11">IFERROR(INDEX(Skill!$L:$L, MATCH(Y$4, Skill!$C:$C, 0), 1), "")</f>
        <v>0.6</v>
      </c>
      <c r="Z11" s="94">
        <f t="array" ref="Z11">IFERROR(INDEX(Skill!$L:$L, MATCH(Z$4, Skill!$C:$C, 0), 1), "")</f>
        <v>0.9</v>
      </c>
      <c r="AA11" s="94" t="str">
        <f t="array" ref="AA11">IFERROR(INDEX(Skill!$L:$L, MATCH(AA$4, Skill!$C:$C, 0), 1), "")</f>
        <v/>
      </c>
      <c r="AB11" s="94">
        <f t="array" ref="AB11">IFERROR(INDEX(Skill!$L:$L, MATCH(AB$4, Skill!$C:$C, 0), 1), "")</f>
        <v>1</v>
      </c>
      <c r="AC11" s="94">
        <f t="array" ref="AC11">IFERROR(INDEX(Skill!$L:$L, MATCH(AC$4, Skill!$C:$C, 0), 1), "")</f>
        <v>0.9</v>
      </c>
      <c r="AD11" s="94">
        <f t="array" ref="AD11">IFERROR(INDEX(Skill!$L:$L, MATCH(AD$4, Skill!$C:$C, 0), 1), "")</f>
        <v>0.9</v>
      </c>
      <c r="AE11" s="94" t="str">
        <f t="array" ref="AE11">IFERROR(INDEX(Skill!$L:$L, MATCH(AE$4, Skill!$C:$C, 0), 1), "")</f>
        <v/>
      </c>
      <c r="AF11" s="94">
        <f t="array" ref="AF11">IFERROR(INDEX(Skill!$L:$L, MATCH(AF$4, Skill!$C:$C, 0), 1), "")</f>
        <v>0.9</v>
      </c>
      <c r="AG11" s="94" t="str">
        <f t="array" ref="AG11">IFERROR(INDEX(Skill!$L:$L, MATCH(AG$4, Skill!$C:$C, 0), 1), "")</f>
        <v/>
      </c>
      <c r="AH11" s="94">
        <f t="array" ref="AH11">IFERROR(INDEX(Skill!$L:$L, MATCH(AH$4, Skill!$C:$C, 0), 1), "")</f>
        <v>0.8</v>
      </c>
      <c r="AI11" s="94">
        <f t="array" ref="AI11">IFERROR(INDEX(Skill!$L:$L, MATCH(AI$4, Skill!$C:$C, 0), 1), "")</f>
        <v>0.8</v>
      </c>
      <c r="AJ11" s="94">
        <f t="array" ref="AJ11">IFERROR(INDEX(Skill!$L:$L, MATCH(AJ$4, Skill!$C:$C, 0), 1), "")</f>
        <v>0.6</v>
      </c>
      <c r="AK11" s="94">
        <f t="array" ref="AK11">IFERROR(INDEX(Skill!$L:$L, MATCH(AK$4, Skill!$C:$C, 0), 1), "")</f>
        <v>1</v>
      </c>
      <c r="AL11" s="94">
        <f t="array" ref="AL11">IFERROR(INDEX(Skill!$L:$L, MATCH(AL$4, Skill!$C:$C, 0), 1), "")</f>
        <v>0.9</v>
      </c>
      <c r="AM11" s="94">
        <f t="array" ref="AM11">IFERROR(INDEX(Skill!$L:$L, MATCH(AM$4, Skill!$C:$C, 0), 1), "")</f>
        <v>0.9</v>
      </c>
      <c r="AN11" s="94">
        <f t="array" ref="AN11">IFERROR(INDEX(Skill!$L:$L, MATCH(AN$4, Skill!$C:$C, 0), 1), "")</f>
        <v>0.85</v>
      </c>
      <c r="AO11" s="94">
        <f t="array" ref="AO11">IFERROR(INDEX(Skill!$L:$L, MATCH(AO$4, Skill!$C:$C, 0), 1), "")</f>
        <v>0.8</v>
      </c>
      <c r="AP11" s="94">
        <f t="array" ref="AP11">IFERROR(INDEX(Skill!$L:$L, MATCH(AP$4, Skill!$C:$C, 0), 1), "")</f>
        <v>0.9</v>
      </c>
      <c r="AQ11" s="94">
        <f t="array" ref="AQ11">IFERROR(INDEX(Skill!$L:$L, MATCH(AQ$4, Skill!$C:$C, 0), 1), "")</f>
        <v>0.6</v>
      </c>
      <c r="AR11" s="94">
        <f t="array" ref="AR11">IFERROR(INDEX(Skill!$L:$L, MATCH(AR$4, Skill!$C:$C, 0), 1), "")</f>
        <v>0</v>
      </c>
      <c r="AS11" s="94">
        <f t="array" ref="AS11">IFERROR(INDEX(Skill!$L:$L, MATCH(AS$4, Skill!$C:$C, 0), 1), "")</f>
        <v>0.9</v>
      </c>
      <c r="AT11" s="94" t="str">
        <f t="array" ref="AT11">IFERROR(INDEX(Skill!$L:$L, MATCH(AT$4, Skill!$C:$C, 0), 1), "")</f>
        <v/>
      </c>
      <c r="AU11" s="94" t="str">
        <f t="array" ref="AU11">IFERROR(INDEX(Skill!$L:$L, MATCH(AU$4, Skill!$C:$C, 0), 1), "")</f>
        <v/>
      </c>
      <c r="AV11" s="94" t="str">
        <f t="array" ref="AV11">IFERROR(INDEX(Skill!$L:$L, MATCH(AV$4, Skill!$C:$C, 0), 1), "")</f>
        <v/>
      </c>
      <c r="AW11" s="94" t="str">
        <f t="array" ref="AW11">IFERROR(INDEX(Skill!$L:$L, MATCH(AW$4, Skill!$C:$C, 0), 1), "")</f>
        <v/>
      </c>
      <c r="AX11" s="94" t="str">
        <f t="array" ref="AX11">IFERROR(INDEX(Skill!$L:$L, MATCH(AX$4, Skill!$C:$C, 0), 1), "")</f>
        <v/>
      </c>
      <c r="AY11" s="94">
        <f t="array" ref="AY11">IFERROR(INDEX(Skill!$L:$L, MATCH(AY$4, Skill!$C:$C, 0), 1), "")</f>
        <v>0.85</v>
      </c>
      <c r="AZ11" s="94" t="str">
        <f t="array" ref="AZ11">IFERROR(INDEX(Skill!$L:$L, MATCH(AZ$4, Skill!$C:$C, 0), 1), "")</f>
        <v/>
      </c>
      <c r="BA11" s="94" t="str">
        <f t="array" ref="BA11">IFERROR(INDEX(Skill!$L:$L, MATCH(BA$4, Skill!$C:$C, 0), 1), "")</f>
        <v/>
      </c>
      <c r="BB11" s="94" t="str">
        <f t="array" ref="BB11">IFERROR(INDEX(Skill!$L:$L, MATCH(BB$4, Skill!$C:$C, 0), 1), "")</f>
        <v/>
      </c>
      <c r="BC11" s="94" t="str">
        <f t="array" ref="BC11">IFERROR(INDEX(Skill!$L:$L, MATCH(BC$4, Skill!$C:$C, 0), 1), "")</f>
        <v/>
      </c>
      <c r="BD11" s="94" t="str">
        <f t="array" ref="BD11">IFERROR(INDEX(Skill!$L:$L, MATCH(BD$4, Skill!$C:$C, 0), 1), "")</f>
        <v/>
      </c>
      <c r="BE11" s="94">
        <f t="array" ref="BE11">IFERROR(INDEX(Skill!$L:$L, MATCH(BE$4, Skill!$C:$C, 0), 1), "")</f>
        <v>0.9</v>
      </c>
      <c r="BF11" s="94" t="str">
        <f t="array" ref="BF11">IFERROR(INDEX(Skill!$L:$L, MATCH(BF$4, Skill!$C:$C, 0), 1), "")</f>
        <v/>
      </c>
      <c r="BG11" s="94">
        <f t="array" ref="BG11">IFERROR(INDEX(Skill!$L:$L, MATCH(BG$4, Skill!$C:$C, 0), 1), "")</f>
        <v>0.9</v>
      </c>
      <c r="BH11" s="94" t="str">
        <f t="array" ref="BH11">IFERROR(INDEX(Skill!$L:$L, MATCH(BH$4, Skill!$C:$C, 0), 1), "")</f>
        <v/>
      </c>
      <c r="BI11" s="94" t="str">
        <f t="array" ref="BI11">IFERROR(INDEX(Skill!$L:$L, MATCH(BI$4, Skill!$C:$C, 0), 1), "")</f>
        <v/>
      </c>
      <c r="BJ11" s="94" t="str">
        <f t="array" ref="BJ11">IFERROR(INDEX(Skill!$L:$L, MATCH(BJ$4, Skill!$C:$C, 0), 1), "")</f>
        <v/>
      </c>
      <c r="BK11" s="94" t="str">
        <f t="array" ref="BK11">IFERROR(INDEX(Skill!$L:$L, MATCH(BK$4, Skill!$C:$C, 0), 1), "")</f>
        <v/>
      </c>
      <c r="BL11" s="94" t="str">
        <f t="array" ref="BL11">IFERROR(INDEX(Skill!$L:$L, MATCH(BL$4, Skill!$C:$C, 0), 1), "")</f>
        <v/>
      </c>
      <c r="BM11" s="94" t="str">
        <f t="array" ref="BM11">IFERROR(INDEX(Skill!$L:$L, MATCH(BM$4, Skill!$C:$C, 0), 1), "")</f>
        <v/>
      </c>
      <c r="BN11" s="94" t="str">
        <f t="array" ref="BN11">IFERROR(INDEX(Skill!$L:$L, MATCH(BN$4, Skill!$C:$C, 0), 1), "")</f>
        <v/>
      </c>
      <c r="BO11" s="94" t="str">
        <f t="array" ref="BO11">IFERROR(INDEX(Skill!$L:$L, MATCH(BO$4, Skill!$C:$C, 0), 1), "")</f>
        <v/>
      </c>
      <c r="BP11" s="94" t="str">
        <f t="array" ref="BP11">IFERROR(INDEX(Skill!$L:$L, MATCH(BP$4, Skill!$C:$C, 0), 1), "")</f>
        <v/>
      </c>
      <c r="BQ11" s="94">
        <f t="array" ref="BQ11">IFERROR(INDEX(Skill!$L:$L, MATCH(BQ$4, Skill!$C:$C, 0), 1), "")</f>
        <v>0.9</v>
      </c>
      <c r="BR11" s="94" t="str">
        <f t="array" ref="BR11">IFERROR(INDEX(Skill!$L:$L, MATCH(BR$4, Skill!$C:$C, 0), 1), "")</f>
        <v/>
      </c>
      <c r="BS11" s="94" t="str">
        <f t="array" ref="BS11">IFERROR(INDEX(Skill!$L:$L, MATCH(BS$4, Skill!$C:$C, 0), 1), "")</f>
        <v/>
      </c>
      <c r="BT11" s="94" t="str">
        <f t="array" ref="BT11">IFERROR(INDEX(Skill!$L:$L, MATCH(BT$4, Skill!$C:$C, 0), 1), "")</f>
        <v/>
      </c>
      <c r="BU11" s="94">
        <f t="array" ref="BU11">IFERROR(INDEX(Skill!$L:$L, MATCH(BU$4, Skill!$C:$C, 0), 1), "")</f>
        <v>0.9</v>
      </c>
      <c r="BV11" s="94" t="str">
        <f t="array" ref="BV11">IFERROR(INDEX(Skill!$L:$L, MATCH(BV$4, Skill!$C:$C, 0), 1), "")</f>
        <v/>
      </c>
      <c r="BW11" s="94" t="str">
        <f t="array" ref="BW11">IFERROR(INDEX(Skill!$L:$L, MATCH(BW$4, Skill!$C:$C, 0), 1), "")</f>
        <v/>
      </c>
      <c r="BX11" s="94" t="str">
        <f t="array" ref="BX11">IFERROR(INDEX(Skill!$L:$L, MATCH(BX$4, Skill!$C:$C, 0), 1), "")</f>
        <v/>
      </c>
      <c r="BY11" s="94">
        <f t="array" ref="BY11">IFERROR(INDEX(Skill!$L:$L, MATCH(BY$4, Skill!$C:$C, 0), 1), "")</f>
        <v>0.95</v>
      </c>
      <c r="BZ11" s="94">
        <f t="array" ref="BZ11">IFERROR(INDEX(Skill!$L:$L, MATCH(BZ$4, Skill!$C:$C, 0), 1), "")</f>
        <v>0.9</v>
      </c>
      <c r="CA11" s="94">
        <f t="array" ref="CA11">IFERROR(INDEX(Skill!$L:$L, MATCH(CA$4, Skill!$C:$C, 0), 1), "")</f>
        <v>0.9</v>
      </c>
      <c r="CB11" s="94" t="str">
        <f t="array" ref="CB11">IFERROR(INDEX(Skill!$L:$L, MATCH(CB$4, Skill!$C:$C, 0), 1), "")</f>
        <v/>
      </c>
      <c r="CC11" s="94" t="str">
        <f t="array" ref="CC11">IFERROR(INDEX(Skill!$L:$L, MATCH(CC$4, Skill!$C:$C, 0), 1), "")</f>
        <v/>
      </c>
      <c r="CD11" s="94" t="str">
        <f t="array" ref="CD11">IFERROR(INDEX(Skill!$L:$L, MATCH(CD$4, Skill!$C:$C, 0), 1), "")</f>
        <v/>
      </c>
      <c r="CE11" s="94" t="str">
        <f t="array" ref="CE11">IFERROR(INDEX(Skill!$L:$L, MATCH(CE$4, Skill!$C:$C, 0), 1), "")</f>
        <v/>
      </c>
      <c r="CF11" s="94" t="str">
        <f t="array" ref="CF11">IFERROR(INDEX(Skill!$L:$L, MATCH(CF$4, Skill!$C:$C, 0), 1), "")</f>
        <v/>
      </c>
      <c r="CG11" s="94" t="str">
        <f t="array" ref="CG11">IFERROR(INDEX(Skill!$L:$L, MATCH(CG$4, Skill!$C:$C, 0), 1), "")</f>
        <v/>
      </c>
      <c r="CH11" s="94" t="str">
        <f t="array" ref="CH11">IFERROR(INDEX(Skill!$L:$L, MATCH(CH$4, Skill!$C:$C, 0), 1), "")</f>
        <v/>
      </c>
      <c r="CI11" s="94" t="str">
        <f t="array" ref="CI11">IFERROR(INDEX(Skill!$L:$L, MATCH(CI$4, Skill!$C:$C, 0), 1), "")</f>
        <v/>
      </c>
      <c r="CJ11" s="94" t="str">
        <f t="array" ref="CJ11">IFERROR(INDEX(Skill!$L:$L, MATCH(CJ$4, Skill!$C:$C, 0), 1), "")</f>
        <v/>
      </c>
      <c r="CK11" s="94" t="str">
        <f t="array" ref="CK11">IFERROR(INDEX(Skill!$L:$L, MATCH(CK$4, Skill!$C:$C, 0), 1), "")</f>
        <v/>
      </c>
      <c r="CL11" s="94" t="str">
        <f t="array" ref="CL11">IFERROR(INDEX(Skill!$L:$L, MATCH(CL$4, Skill!$C:$C, 0), 1), "")</f>
        <v/>
      </c>
      <c r="CM11" s="94" t="str">
        <f t="array" ref="CM11">IFERROR(INDEX(Skill!$L:$L, MATCH(CM$4, Skill!$C:$C, 0), 1), "")</f>
        <v/>
      </c>
      <c r="CN11" s="94" t="str">
        <f t="array" ref="CN11">IFERROR(INDEX(Skill!$L:$L, MATCH(CN$4, Skill!$C:$C, 0), 1), "")</f>
        <v/>
      </c>
      <c r="CO11" s="94" t="str">
        <f t="array" ref="CO11">IFERROR(INDEX(Skill!$L:$L, MATCH(CO$4, Skill!$C:$C, 0), 1), "")</f>
        <v/>
      </c>
      <c r="CP11" s="94" t="str">
        <f t="array" ref="CP11">IFERROR(INDEX(Skill!$L:$L, MATCH(CP$4, Skill!$C:$C, 0), 1), "")</f>
        <v/>
      </c>
      <c r="CQ11" s="94" t="str">
        <f t="array" ref="CQ11">IFERROR(INDEX(Skill!$L:$L, MATCH(CQ$4, Skill!$C:$C, 0), 1), "")</f>
        <v/>
      </c>
      <c r="CR11" s="94" t="str">
        <f t="array" ref="CR11">IFERROR(INDEX(Skill!$L:$L, MATCH(CR$4, Skill!$C:$C, 0), 1), "")</f>
        <v/>
      </c>
      <c r="CS11" s="94" t="str">
        <f t="array" ref="CS11">IFERROR(INDEX(Skill!$L:$L, MATCH(CS$4, Skill!$C:$C, 0), 1), "")</f>
        <v/>
      </c>
      <c r="CT11" s="94">
        <f t="array" ref="CT11">IFERROR(INDEX(Skill!$L:$L, MATCH(CT$4, Skill!$C:$C, 0), 1), "")</f>
        <v>0.9</v>
      </c>
      <c r="CU11" s="94">
        <f t="array" ref="CU11">IFERROR(INDEX(Skill!$L:$L, MATCH(CU$4, Skill!$C:$C, 0), 1), "")</f>
        <v>0.9</v>
      </c>
      <c r="CV11" s="94" t="str">
        <f t="array" ref="CV11">IFERROR(INDEX(Skill!$L:$L, MATCH(CV$4, Skill!$C:$C, 0), 1), "")</f>
        <v/>
      </c>
      <c r="CW11" s="94" t="str">
        <f t="array" ref="CW11">IFERROR(INDEX(Skill!$L:$L, MATCH(CW$4, Skill!$C:$C, 0), 1), "")</f>
        <v/>
      </c>
      <c r="CX11" s="94" t="str">
        <f t="array" ref="CX11">IFERROR(INDEX(Skill!$L:$L, MATCH(CX$4, Skill!$C:$C, 0), 1), "")</f>
        <v/>
      </c>
      <c r="CY11" s="94" t="str">
        <f t="array" ref="CY11">IFERROR(INDEX(Skill!$L:$L, MATCH(CY$4, Skill!$C:$C, 0), 1), "")</f>
        <v/>
      </c>
      <c r="CZ11" s="94" t="str">
        <f t="array" ref="CZ11">IFERROR(INDEX(Skill!$L:$L, MATCH(CZ$4, Skill!$C:$C, 0), 1), "")</f>
        <v/>
      </c>
      <c r="DA11" s="94" t="str">
        <f t="array" ref="DA11">IFERROR(INDEX(Skill!$L:$L, MATCH(DA$4, Skill!$C:$C, 0), 1), "")</f>
        <v/>
      </c>
      <c r="DB11" s="94" t="str">
        <f t="array" ref="DB11">IFERROR(INDEX(Skill!$L:$L, MATCH(DB$4, Skill!$C:$C, 0), 1), "")</f>
        <v/>
      </c>
      <c r="DC11" s="94" t="str">
        <f t="array" ref="DC11">IFERROR(INDEX(Skill!$L:$L, MATCH(DC$4, Skill!$C:$C, 0), 1), "")</f>
        <v/>
      </c>
      <c r="DD11" s="94" t="str">
        <f t="array" ref="DD11">IFERROR(INDEX(Skill!$L:$L, MATCH(DD$4, Skill!$C:$C, 0), 1), "")</f>
        <v/>
      </c>
      <c r="DE11" s="94">
        <f t="array" ref="DE11">IFERROR(INDEX(Skill!$L:$L, MATCH(DE$4, Skill!$C:$C, 0), 1), "")</f>
        <v>0.9</v>
      </c>
      <c r="DF11" s="94" t="str">
        <f t="array" ref="DF11">IFERROR(INDEX(Skill!$L:$L, MATCH(DF$4, Skill!$C:$C, 0), 1), "")</f>
        <v/>
      </c>
      <c r="DG11" s="94" t="str">
        <f t="array" ref="DG11">IFERROR(INDEX(Skill!$L:$L, MATCH(DG$4, Skill!$C:$C, 0), 1), "")</f>
        <v/>
      </c>
      <c r="DH11" s="94" t="str">
        <f t="array" ref="DH11">IFERROR(INDEX(Skill!$L:$L, MATCH(DH$4, Skill!$C:$C, 0), 1), "")</f>
        <v/>
      </c>
      <c r="DI11" s="94" t="str">
        <f t="array" ref="DI11">IFERROR(INDEX(Skill!$L:$L, MATCH(DI$4, Skill!$C:$C, 0), 1), "")</f>
        <v/>
      </c>
      <c r="DJ11" s="94">
        <f t="array" ref="DJ11">IFERROR(INDEX(Skill!$L:$L, MATCH(DJ$4, Skill!$C:$C, 0), 1), "")</f>
        <v>0.95</v>
      </c>
      <c r="DK11" s="94" t="str">
        <f t="array" ref="DK11">IFERROR(INDEX(Skill!$L:$L, MATCH(DK$4, Skill!$C:$C, 0), 1), "")</f>
        <v/>
      </c>
      <c r="DL11" s="94">
        <f t="array" ref="DL11">IFERROR(INDEX(Skill!$L:$L, MATCH(DL$4, Skill!$C:$C, 0), 1), "")</f>
        <v>0.95</v>
      </c>
      <c r="DM11" s="94">
        <f t="array" ref="DM11">IFERROR(INDEX(Skill!$L:$L, MATCH(DM$4, Skill!$C:$C, 0), 1), "")</f>
        <v>0.95</v>
      </c>
      <c r="DN11" s="94">
        <f t="array" ref="DN11">IFERROR(INDEX(Skill!$L:$L, MATCH(DN$4, Skill!$C:$C, 0), 1), "")</f>
        <v>0.95</v>
      </c>
      <c r="DO11" s="94">
        <f t="array" ref="DO11">IFERROR(INDEX(Skill!$L:$L, MATCH(DO$4, Skill!$C:$C, 0), 1), "")</f>
        <v>0.95</v>
      </c>
      <c r="DP11" s="94">
        <f t="array" ref="DP11">IFERROR(INDEX(Skill!$L:$L, MATCH(DP$4, Skill!$C:$C, 0), 1), "")</f>
        <v>0.95</v>
      </c>
      <c r="DQ11" s="94">
        <f t="array" ref="DQ11">IFERROR(INDEX(Skill!$L:$L, MATCH(DQ$4, Skill!$C:$C, 0), 1), "")</f>
        <v>0.85</v>
      </c>
      <c r="DR11" s="94" t="str">
        <f t="array" ref="DR11">IFERROR(INDEX(Skill!$L:$L, MATCH(DR$4, Skill!$C:$C, 0), 1), "")</f>
        <v/>
      </c>
      <c r="DS11" s="94">
        <f t="array" ref="DS11">IFERROR(INDEX(Skill!$L:$L, MATCH(DS$4, Skill!$C:$C, 0), 1), "")</f>
        <v>0.85</v>
      </c>
      <c r="DT11" s="94">
        <f t="array" ref="DT11">IFERROR(INDEX(Skill!$L:$L, MATCH(DT$4, Skill!$C:$C, 0), 1), "")</f>
        <v>0.9</v>
      </c>
      <c r="DU11" s="94">
        <f t="array" ref="DU11">IFERROR(INDEX(Skill!$L:$L, MATCH(DU$4, Skill!$C:$C, 0), 1), "")</f>
        <v>0.85</v>
      </c>
      <c r="DV11" s="94" t="str">
        <f t="array" ref="DV11">IFERROR(INDEX(Skill!$L:$L, MATCH(DV$4, Skill!$C:$C, 0), 1), "")</f>
        <v/>
      </c>
      <c r="DW11" s="94">
        <f t="array" ref="DW11">IFERROR(INDEX(Skill!$L:$L, MATCH(DW$4, Skill!$C:$C, 0), 1), "")</f>
        <v>0.9</v>
      </c>
      <c r="DX11" s="94">
        <f t="array" ref="DX11">IFERROR(INDEX(Skill!$L:$L, MATCH(DX$4, Skill!$C:$C, 0), 1), "")</f>
        <v>0.9</v>
      </c>
      <c r="DY11" s="94">
        <f t="array" ref="DY11">IFERROR(INDEX(Skill!$L:$L, MATCH(DY$4, Skill!$C:$C, 0), 1), "")</f>
        <v>0.9</v>
      </c>
      <c r="DZ11" s="94">
        <f t="array" ref="DZ11">IFERROR(INDEX(Skill!$L:$L, MATCH(DZ$4, Skill!$C:$C, 0), 1), "")</f>
        <v>0.9</v>
      </c>
      <c r="EA11" s="89">
        <f t="array" ref="EA11">IFERROR(INDEX(Skill!$L:$L, MATCH(EA$4, Skill!$C:$C, 0), 1), "")</f>
        <v>0.9</v>
      </c>
      <c r="EB11" s="89" t="str">
        <f t="array" ref="EB11">IFERROR(INDEX(Skill!$L:$L, MATCH(EB$4, Skill!$C:$C, 0), 1), "")</f>
        <v/>
      </c>
      <c r="EC11" s="89" t="str">
        <f t="array" ref="EC11">IFERROR(INDEX(Skill!$L:$L, MATCH(EC$4, Skill!$C:$C, 0), 1), "")</f>
        <v/>
      </c>
      <c r="ED11" s="94">
        <f t="array" ref="ED11">IFERROR(INDEX(Skill!$L:$L, MATCH(ED$4, Skill!$C:$C, 0), 1), "")</f>
        <v>0.2</v>
      </c>
      <c r="EE11" s="98"/>
      <c r="EF11" s="98"/>
      <c r="EG11" s="98"/>
      <c r="EH11" s="98"/>
      <c r="EI11" s="98"/>
      <c r="EJ11" s="98"/>
      <c r="EK11" s="98"/>
      <c r="EL11" s="98"/>
      <c r="EM11" s="98"/>
      <c r="EN11" s="98"/>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8"/>
      <c r="FO11" s="99"/>
    </row>
    <row r="12" hidden="1">
      <c r="A12" s="3"/>
      <c r="B12" s="90"/>
      <c r="C12" s="90"/>
      <c r="D12" s="83"/>
      <c r="E12" s="90" t="s">
        <v>12</v>
      </c>
      <c r="F12" s="90"/>
      <c r="G12" s="90"/>
      <c r="H12" s="90"/>
      <c r="I12" s="90"/>
      <c r="J12" s="90"/>
      <c r="K12" s="94">
        <f t="array" ref="K12">IFERROR(INDEX(Skill!$N:$N, MATCH(K$4, Skill!$C:$C, 0), 1), "")</f>
        <v>0.9</v>
      </c>
      <c r="L12" s="94">
        <f t="array" ref="L12">IFERROR(INDEX(Skill!$N:$N, MATCH(L$4, Skill!$C:$C, 0), 1), "")</f>
        <v>0.85</v>
      </c>
      <c r="M12" s="94" t="str">
        <f t="array" ref="M12">IFERROR(INDEX(Skill!$N:$N, MATCH(M$4, Skill!$C:$C, 0), 1), "")</f>
        <v/>
      </c>
      <c r="N12" s="94">
        <f t="array" ref="N12">IFERROR(INDEX(Skill!$N:$N, MATCH(N$4, Skill!$C:$C, 0), 1), "")</f>
        <v>0.9</v>
      </c>
      <c r="O12" s="94">
        <f t="array" ref="O12">IFERROR(INDEX(Skill!$N:$N, MATCH(O$4, Skill!$C:$C, 0), 1), "")</f>
        <v>0.8</v>
      </c>
      <c r="P12" s="94" t="str">
        <f t="array" ref="P12">IFERROR(INDEX(Skill!$N:$N, MATCH(P$4, Skill!$C:$C, 0), 1), "")</f>
        <v/>
      </c>
      <c r="Q12" s="94">
        <f t="array" ref="Q12">IFERROR(INDEX(Skill!$N:$N, MATCH(Q$4, Skill!$C:$C, 0), 1), "")</f>
        <v>0.6</v>
      </c>
      <c r="R12" s="94">
        <f t="array" ref="R12">IFERROR(INDEX(Skill!$N:$N, MATCH(R$4, Skill!$C:$C, 0), 1), "")</f>
        <v>0.85</v>
      </c>
      <c r="S12" s="94">
        <f t="array" ref="S12">IFERROR(INDEX(Skill!$N:$N, MATCH(S$4, Skill!$C:$C, 0), 1), "")</f>
        <v>0</v>
      </c>
      <c r="T12" s="94">
        <f t="array" ref="T12">IFERROR(INDEX(Skill!$N:$N, MATCH(T$4, Skill!$C:$C, 0), 1), "")</f>
        <v>0.9</v>
      </c>
      <c r="U12" s="94" t="str">
        <f t="array" ref="U12">IFERROR(INDEX(Skill!$N:$N, MATCH(U$4, Skill!$C:$C, 0), 1), "")</f>
        <v/>
      </c>
      <c r="V12" s="94">
        <f t="array" ref="V12">IFERROR(INDEX(Skill!$N:$N, MATCH(V$4, Skill!$C:$C, 0), 1), "")</f>
        <v>0.9</v>
      </c>
      <c r="W12" s="94">
        <f t="array" ref="W12">IFERROR(INDEX(Skill!$N:$N, MATCH(W$4, Skill!$C:$C, 0), 1), "")</f>
        <v>0.8</v>
      </c>
      <c r="X12" s="94" t="str">
        <f t="array" ref="X12">IFERROR(INDEX(Skill!$N:$N, MATCH(X$4, Skill!$C:$C, 0), 1), "")</f>
        <v/>
      </c>
      <c r="Y12" s="94">
        <f t="array" ref="Y12">IFERROR(INDEX(Skill!$N:$N, MATCH(Y$4, Skill!$C:$C, 0), 1), "")</f>
        <v>0.6</v>
      </c>
      <c r="Z12" s="94">
        <f t="array" ref="Z12">IFERROR(INDEX(Skill!$N:$N, MATCH(Z$4, Skill!$C:$C, 0), 1), "")</f>
        <v>0.9</v>
      </c>
      <c r="AA12" s="94" t="str">
        <f t="array" ref="AA12">IFERROR(INDEX(Skill!$N:$N, MATCH(AA$4, Skill!$C:$C, 0), 1), "")</f>
        <v/>
      </c>
      <c r="AB12" s="94">
        <f t="array" ref="AB12">IFERROR(INDEX(Skill!$N:$N, MATCH(AB$4, Skill!$C:$C, 0), 1), "")</f>
        <v>1</v>
      </c>
      <c r="AC12" s="94">
        <f t="array" ref="AC12">IFERROR(INDEX(Skill!$N:$N, MATCH(AC$4, Skill!$C:$C, 0), 1), "")</f>
        <v>0.9</v>
      </c>
      <c r="AD12" s="94">
        <f t="array" ref="AD12">IFERROR(INDEX(Skill!$N:$N, MATCH(AD$4, Skill!$C:$C, 0), 1), "")</f>
        <v>1</v>
      </c>
      <c r="AE12" s="94" t="str">
        <f t="array" ref="AE12">IFERROR(INDEX(Skill!$N:$N, MATCH(AE$4, Skill!$C:$C, 0), 1), "")</f>
        <v/>
      </c>
      <c r="AF12" s="94">
        <f t="array" ref="AF12">IFERROR(INDEX(Skill!$N:$N, MATCH(AF$4, Skill!$C:$C, 0), 1), "")</f>
        <v>0.9</v>
      </c>
      <c r="AG12" s="94" t="str">
        <f t="array" ref="AG12">IFERROR(INDEX(Skill!$N:$N, MATCH(AG$4, Skill!$C:$C, 0), 1), "")</f>
        <v/>
      </c>
      <c r="AH12" s="94">
        <f t="array" ref="AH12">IFERROR(INDEX(Skill!$N:$N, MATCH(AH$4, Skill!$C:$C, 0), 1), "")</f>
        <v>0.8</v>
      </c>
      <c r="AI12" s="94">
        <f t="array" ref="AI12">IFERROR(INDEX(Skill!$N:$N, MATCH(AI$4, Skill!$C:$C, 0), 1), "")</f>
        <v>1</v>
      </c>
      <c r="AJ12" s="94">
        <f t="array" ref="AJ12">IFERROR(INDEX(Skill!$N:$N, MATCH(AJ$4, Skill!$C:$C, 0), 1), "")</f>
        <v>0.6</v>
      </c>
      <c r="AK12" s="94">
        <f t="array" ref="AK12">IFERROR(INDEX(Skill!$N:$N, MATCH(AK$4, Skill!$C:$C, 0), 1), "")</f>
        <v>1</v>
      </c>
      <c r="AL12" s="94">
        <f t="array" ref="AL12">IFERROR(INDEX(Skill!$N:$N, MATCH(AL$4, Skill!$C:$C, 0), 1), "")</f>
        <v>0.9</v>
      </c>
      <c r="AM12" s="94">
        <f t="array" ref="AM12">IFERROR(INDEX(Skill!$N:$N, MATCH(AM$4, Skill!$C:$C, 0), 1), "")</f>
        <v>1</v>
      </c>
      <c r="AN12" s="94">
        <f t="array" ref="AN12">IFERROR(INDEX(Skill!$N:$N, MATCH(AN$4, Skill!$C:$C, 0), 1), "")</f>
        <v>0.85</v>
      </c>
      <c r="AO12" s="94">
        <f t="array" ref="AO12">IFERROR(INDEX(Skill!$N:$N, MATCH(AO$4, Skill!$C:$C, 0), 1), "")</f>
        <v>0.8</v>
      </c>
      <c r="AP12" s="94">
        <f t="array" ref="AP12">IFERROR(INDEX(Skill!$N:$N, MATCH(AP$4, Skill!$C:$C, 0), 1), "")</f>
        <v>0.9</v>
      </c>
      <c r="AQ12" s="94">
        <f t="array" ref="AQ12">IFERROR(INDEX(Skill!$N:$N, MATCH(AQ$4, Skill!$C:$C, 0), 1), "")</f>
        <v>0.6</v>
      </c>
      <c r="AR12" s="94">
        <f t="array" ref="AR12">IFERROR(INDEX(Skill!$N:$N, MATCH(AR$4, Skill!$C:$C, 0), 1), "")</f>
        <v>0</v>
      </c>
      <c r="AS12" s="94">
        <f t="array" ref="AS12">IFERROR(INDEX(Skill!$N:$N, MATCH(AS$4, Skill!$C:$C, 0), 1), "")</f>
        <v>0.9</v>
      </c>
      <c r="AT12" s="94" t="str">
        <f t="array" ref="AT12">IFERROR(INDEX(Skill!$N:$N, MATCH(AT$4, Skill!$C:$C, 0), 1), "")</f>
        <v/>
      </c>
      <c r="AU12" s="94" t="str">
        <f t="array" ref="AU12">IFERROR(INDEX(Skill!$N:$N, MATCH(AU$4, Skill!$C:$C, 0), 1), "")</f>
        <v/>
      </c>
      <c r="AV12" s="94" t="str">
        <f t="array" ref="AV12">IFERROR(INDEX(Skill!$N:$N, MATCH(AV$4, Skill!$C:$C, 0), 1), "")</f>
        <v/>
      </c>
      <c r="AW12" s="94" t="str">
        <f t="array" ref="AW12">IFERROR(INDEX(Skill!$N:$N, MATCH(AW$4, Skill!$C:$C, 0), 1), "")</f>
        <v/>
      </c>
      <c r="AX12" s="94" t="str">
        <f t="array" ref="AX12">IFERROR(INDEX(Skill!$N:$N, MATCH(AX$4, Skill!$C:$C, 0), 1), "")</f>
        <v/>
      </c>
      <c r="AY12" s="94">
        <f t="array" ref="AY12">IFERROR(INDEX(Skill!$N:$N, MATCH(AY$4, Skill!$C:$C, 0), 1), "")</f>
        <v>0.85</v>
      </c>
      <c r="AZ12" s="94" t="str">
        <f t="array" ref="AZ12">IFERROR(INDEX(Skill!$N:$N, MATCH(AZ$4, Skill!$C:$C, 0), 1), "")</f>
        <v/>
      </c>
      <c r="BA12" s="94" t="str">
        <f t="array" ref="BA12">IFERROR(INDEX(Skill!$N:$N, MATCH(BA$4, Skill!$C:$C, 0), 1), "")</f>
        <v/>
      </c>
      <c r="BB12" s="94" t="str">
        <f t="array" ref="BB12">IFERROR(INDEX(Skill!$N:$N, MATCH(BB$4, Skill!$C:$C, 0), 1), "")</f>
        <v/>
      </c>
      <c r="BC12" s="94" t="str">
        <f t="array" ref="BC12">IFERROR(INDEX(Skill!$N:$N, MATCH(BC$4, Skill!$C:$C, 0), 1), "")</f>
        <v/>
      </c>
      <c r="BD12" s="94" t="str">
        <f t="array" ref="BD12">IFERROR(INDEX(Skill!$N:$N, MATCH(BD$4, Skill!$C:$C, 0), 1), "")</f>
        <v/>
      </c>
      <c r="BE12" s="94">
        <f t="array" ref="BE12">IFERROR(INDEX(Skill!$N:$N, MATCH(BE$4, Skill!$C:$C, 0), 1), "")</f>
        <v>0.9</v>
      </c>
      <c r="BF12" s="94" t="str">
        <f t="array" ref="BF12">IFERROR(INDEX(Skill!$N:$N, MATCH(BF$4, Skill!$C:$C, 0), 1), "")</f>
        <v/>
      </c>
      <c r="BG12" s="94">
        <f t="array" ref="BG12">IFERROR(INDEX(Skill!$N:$N, MATCH(BG$4, Skill!$C:$C, 0), 1), "")</f>
        <v>0.9</v>
      </c>
      <c r="BH12" s="94" t="str">
        <f t="array" ref="BH12">IFERROR(INDEX(Skill!$N:$N, MATCH(BH$4, Skill!$C:$C, 0), 1), "")</f>
        <v/>
      </c>
      <c r="BI12" s="94" t="str">
        <f t="array" ref="BI12">IFERROR(INDEX(Skill!$N:$N, MATCH(BI$4, Skill!$C:$C, 0), 1), "")</f>
        <v/>
      </c>
      <c r="BJ12" s="94" t="str">
        <f t="array" ref="BJ12">IFERROR(INDEX(Skill!$N:$N, MATCH(BJ$4, Skill!$C:$C, 0), 1), "")</f>
        <v/>
      </c>
      <c r="BK12" s="94" t="str">
        <f t="array" ref="BK12">IFERROR(INDEX(Skill!$N:$N, MATCH(BK$4, Skill!$C:$C, 0), 1), "")</f>
        <v/>
      </c>
      <c r="BL12" s="94" t="str">
        <f t="array" ref="BL12">IFERROR(INDEX(Skill!$N:$N, MATCH(BL$4, Skill!$C:$C, 0), 1), "")</f>
        <v/>
      </c>
      <c r="BM12" s="94" t="str">
        <f t="array" ref="BM12">IFERROR(INDEX(Skill!$N:$N, MATCH(BM$4, Skill!$C:$C, 0), 1), "")</f>
        <v/>
      </c>
      <c r="BN12" s="94" t="str">
        <f t="array" ref="BN12">IFERROR(INDEX(Skill!$N:$N, MATCH(BN$4, Skill!$C:$C, 0), 1), "")</f>
        <v/>
      </c>
      <c r="BO12" s="94" t="str">
        <f t="array" ref="BO12">IFERROR(INDEX(Skill!$N:$N, MATCH(BO$4, Skill!$C:$C, 0), 1), "")</f>
        <v/>
      </c>
      <c r="BP12" s="94" t="str">
        <f t="array" ref="BP12">IFERROR(INDEX(Skill!$N:$N, MATCH(BP$4, Skill!$C:$C, 0), 1), "")</f>
        <v/>
      </c>
      <c r="BQ12" s="94">
        <f t="array" ref="BQ12">IFERROR(INDEX(Skill!$N:$N, MATCH(BQ$4, Skill!$C:$C, 0), 1), "")</f>
        <v>0.9</v>
      </c>
      <c r="BR12" s="94" t="str">
        <f t="array" ref="BR12">IFERROR(INDEX(Skill!$N:$N, MATCH(BR$4, Skill!$C:$C, 0), 1), "")</f>
        <v/>
      </c>
      <c r="BS12" s="94" t="str">
        <f t="array" ref="BS12">IFERROR(INDEX(Skill!$N:$N, MATCH(BS$4, Skill!$C:$C, 0), 1), "")</f>
        <v/>
      </c>
      <c r="BT12" s="94" t="str">
        <f t="array" ref="BT12">IFERROR(INDEX(Skill!$N:$N, MATCH(BT$4, Skill!$C:$C, 0), 1), "")</f>
        <v/>
      </c>
      <c r="BU12" s="94">
        <f t="array" ref="BU12">IFERROR(INDEX(Skill!$N:$N, MATCH(BU$4, Skill!$C:$C, 0), 1), "")</f>
        <v>0.9</v>
      </c>
      <c r="BV12" s="94" t="str">
        <f t="array" ref="BV12">IFERROR(INDEX(Skill!$N:$N, MATCH(BV$4, Skill!$C:$C, 0), 1), "")</f>
        <v/>
      </c>
      <c r="BW12" s="94" t="str">
        <f t="array" ref="BW12">IFERROR(INDEX(Skill!$N:$N, MATCH(BW$4, Skill!$C:$C, 0), 1), "")</f>
        <v/>
      </c>
      <c r="BX12" s="94" t="str">
        <f t="array" ref="BX12">IFERROR(INDEX(Skill!$N:$N, MATCH(BX$4, Skill!$C:$C, 0), 1), "")</f>
        <v/>
      </c>
      <c r="BY12" s="94">
        <f t="array" ref="BY12">IFERROR(INDEX(Skill!$N:$N, MATCH(BY$4, Skill!$C:$C, 0), 1), "")</f>
        <v>1</v>
      </c>
      <c r="BZ12" s="94">
        <f t="array" ref="BZ12">IFERROR(INDEX(Skill!$N:$N, MATCH(BZ$4, Skill!$C:$C, 0), 1), "")</f>
        <v>0.9</v>
      </c>
      <c r="CA12" s="94">
        <f t="array" ref="CA12">IFERROR(INDEX(Skill!$N:$N, MATCH(CA$4, Skill!$C:$C, 0), 1), "")</f>
        <v>0.9</v>
      </c>
      <c r="CB12" s="94" t="str">
        <f t="array" ref="CB12">IFERROR(INDEX(Skill!$N:$N, MATCH(CB$4, Skill!$C:$C, 0), 1), "")</f>
        <v/>
      </c>
      <c r="CC12" s="94" t="str">
        <f t="array" ref="CC12">IFERROR(INDEX(Skill!$N:$N, MATCH(CC$4, Skill!$C:$C, 0), 1), "")</f>
        <v/>
      </c>
      <c r="CD12" s="94" t="str">
        <f t="array" ref="CD12">IFERROR(INDEX(Skill!$N:$N, MATCH(CD$4, Skill!$C:$C, 0), 1), "")</f>
        <v/>
      </c>
      <c r="CE12" s="94" t="str">
        <f t="array" ref="CE12">IFERROR(INDEX(Skill!$N:$N, MATCH(CE$4, Skill!$C:$C, 0), 1), "")</f>
        <v/>
      </c>
      <c r="CF12" s="94" t="str">
        <f t="array" ref="CF12">IFERROR(INDEX(Skill!$N:$N, MATCH(CF$4, Skill!$C:$C, 0), 1), "")</f>
        <v/>
      </c>
      <c r="CG12" s="94" t="str">
        <f t="array" ref="CG12">IFERROR(INDEX(Skill!$N:$N, MATCH(CG$4, Skill!$C:$C, 0), 1), "")</f>
        <v/>
      </c>
      <c r="CH12" s="94" t="str">
        <f t="array" ref="CH12">IFERROR(INDEX(Skill!$N:$N, MATCH(CH$4, Skill!$C:$C, 0), 1), "")</f>
        <v/>
      </c>
      <c r="CI12" s="94" t="str">
        <f t="array" ref="CI12">IFERROR(INDEX(Skill!$N:$N, MATCH(CI$4, Skill!$C:$C, 0), 1), "")</f>
        <v/>
      </c>
      <c r="CJ12" s="94" t="str">
        <f t="array" ref="CJ12">IFERROR(INDEX(Skill!$N:$N, MATCH(CJ$4, Skill!$C:$C, 0), 1), "")</f>
        <v/>
      </c>
      <c r="CK12" s="94" t="str">
        <f t="array" ref="CK12">IFERROR(INDEX(Skill!$N:$N, MATCH(CK$4, Skill!$C:$C, 0), 1), "")</f>
        <v/>
      </c>
      <c r="CL12" s="94" t="str">
        <f t="array" ref="CL12">IFERROR(INDEX(Skill!$N:$N, MATCH(CL$4, Skill!$C:$C, 0), 1), "")</f>
        <v/>
      </c>
      <c r="CM12" s="94" t="str">
        <f t="array" ref="CM12">IFERROR(INDEX(Skill!$N:$N, MATCH(CM$4, Skill!$C:$C, 0), 1), "")</f>
        <v/>
      </c>
      <c r="CN12" s="94" t="str">
        <f t="array" ref="CN12">IFERROR(INDEX(Skill!$N:$N, MATCH(CN$4, Skill!$C:$C, 0), 1), "")</f>
        <v/>
      </c>
      <c r="CO12" s="94" t="str">
        <f t="array" ref="CO12">IFERROR(INDEX(Skill!$N:$N, MATCH(CO$4, Skill!$C:$C, 0), 1), "")</f>
        <v/>
      </c>
      <c r="CP12" s="94" t="str">
        <f t="array" ref="CP12">IFERROR(INDEX(Skill!$N:$N, MATCH(CP$4, Skill!$C:$C, 0), 1), "")</f>
        <v/>
      </c>
      <c r="CQ12" s="94" t="str">
        <f t="array" ref="CQ12">IFERROR(INDEX(Skill!$N:$N, MATCH(CQ$4, Skill!$C:$C, 0), 1), "")</f>
        <v/>
      </c>
      <c r="CR12" s="94" t="str">
        <f t="array" ref="CR12">IFERROR(INDEX(Skill!$N:$N, MATCH(CR$4, Skill!$C:$C, 0), 1), "")</f>
        <v/>
      </c>
      <c r="CS12" s="94" t="str">
        <f t="array" ref="CS12">IFERROR(INDEX(Skill!$N:$N, MATCH(CS$4, Skill!$C:$C, 0), 1), "")</f>
        <v/>
      </c>
      <c r="CT12" s="94">
        <f t="array" ref="CT12">IFERROR(INDEX(Skill!$N:$N, MATCH(CT$4, Skill!$C:$C, 0), 1), "")</f>
        <v>0.9</v>
      </c>
      <c r="CU12" s="94">
        <f t="array" ref="CU12">IFERROR(INDEX(Skill!$N:$N, MATCH(CU$4, Skill!$C:$C, 0), 1), "")</f>
        <v>0.9</v>
      </c>
      <c r="CV12" s="94" t="str">
        <f t="array" ref="CV12">IFERROR(INDEX(Skill!$N:$N, MATCH(CV$4, Skill!$C:$C, 0), 1), "")</f>
        <v/>
      </c>
      <c r="CW12" s="94" t="str">
        <f t="array" ref="CW12">IFERROR(INDEX(Skill!$N:$N, MATCH(CW$4, Skill!$C:$C, 0), 1), "")</f>
        <v/>
      </c>
      <c r="CX12" s="94" t="str">
        <f t="array" ref="CX12">IFERROR(INDEX(Skill!$N:$N, MATCH(CX$4, Skill!$C:$C, 0), 1), "")</f>
        <v/>
      </c>
      <c r="CY12" s="94" t="str">
        <f t="array" ref="CY12">IFERROR(INDEX(Skill!$N:$N, MATCH(CY$4, Skill!$C:$C, 0), 1), "")</f>
        <v/>
      </c>
      <c r="CZ12" s="94" t="str">
        <f t="array" ref="CZ12">IFERROR(INDEX(Skill!$N:$N, MATCH(CZ$4, Skill!$C:$C, 0), 1), "")</f>
        <v/>
      </c>
      <c r="DA12" s="94" t="str">
        <f t="array" ref="DA12">IFERROR(INDEX(Skill!$N:$N, MATCH(DA$4, Skill!$C:$C, 0), 1), "")</f>
        <v/>
      </c>
      <c r="DB12" s="94" t="str">
        <f t="array" ref="DB12">IFERROR(INDEX(Skill!$N:$N, MATCH(DB$4, Skill!$C:$C, 0), 1), "")</f>
        <v/>
      </c>
      <c r="DC12" s="94" t="str">
        <f t="array" ref="DC12">IFERROR(INDEX(Skill!$N:$N, MATCH(DC$4, Skill!$C:$C, 0), 1), "")</f>
        <v/>
      </c>
      <c r="DD12" s="94" t="str">
        <f t="array" ref="DD12">IFERROR(INDEX(Skill!$N:$N, MATCH(DD$4, Skill!$C:$C, 0), 1), "")</f>
        <v/>
      </c>
      <c r="DE12" s="94">
        <f t="array" ref="DE12">IFERROR(INDEX(Skill!$N:$N, MATCH(DE$4, Skill!$C:$C, 0), 1), "")</f>
        <v>0.9</v>
      </c>
      <c r="DF12" s="94" t="str">
        <f t="array" ref="DF12">IFERROR(INDEX(Skill!$N:$N, MATCH(DF$4, Skill!$C:$C, 0), 1), "")</f>
        <v/>
      </c>
      <c r="DG12" s="94" t="str">
        <f t="array" ref="DG12">IFERROR(INDEX(Skill!$N:$N, MATCH(DG$4, Skill!$C:$C, 0), 1), "")</f>
        <v/>
      </c>
      <c r="DH12" s="94" t="str">
        <f t="array" ref="DH12">IFERROR(INDEX(Skill!$N:$N, MATCH(DH$4, Skill!$C:$C, 0), 1), "")</f>
        <v/>
      </c>
      <c r="DI12" s="94" t="str">
        <f t="array" ref="DI12">IFERROR(INDEX(Skill!$N:$N, MATCH(DI$4, Skill!$C:$C, 0), 1), "")</f>
        <v/>
      </c>
      <c r="DJ12" s="94">
        <f t="array" ref="DJ12">IFERROR(INDEX(Skill!$N:$N, MATCH(DJ$4, Skill!$C:$C, 0), 1), "")</f>
        <v>1</v>
      </c>
      <c r="DK12" s="94" t="str">
        <f t="array" ref="DK12">IFERROR(INDEX(Skill!$N:$N, MATCH(DK$4, Skill!$C:$C, 0), 1), "")</f>
        <v/>
      </c>
      <c r="DL12" s="94">
        <f t="array" ref="DL12">IFERROR(INDEX(Skill!$N:$N, MATCH(DL$4, Skill!$C:$C, 0), 1), "")</f>
        <v>1</v>
      </c>
      <c r="DM12" s="94">
        <f t="array" ref="DM12">IFERROR(INDEX(Skill!$N:$N, MATCH(DM$4, Skill!$C:$C, 0), 1), "")</f>
        <v>1</v>
      </c>
      <c r="DN12" s="94">
        <f t="array" ref="DN12">IFERROR(INDEX(Skill!$N:$N, MATCH(DN$4, Skill!$C:$C, 0), 1), "")</f>
        <v>1</v>
      </c>
      <c r="DO12" s="94">
        <f t="array" ref="DO12">IFERROR(INDEX(Skill!$N:$N, MATCH(DO$4, Skill!$C:$C, 0), 1), "")</f>
        <v>1</v>
      </c>
      <c r="DP12" s="94">
        <f t="array" ref="DP12">IFERROR(INDEX(Skill!$N:$N, MATCH(DP$4, Skill!$C:$C, 0), 1), "")</f>
        <v>1</v>
      </c>
      <c r="DQ12" s="94">
        <f t="array" ref="DQ12">IFERROR(INDEX(Skill!$N:$N, MATCH(DQ$4, Skill!$C:$C, 0), 1), "")</f>
        <v>0.85</v>
      </c>
      <c r="DR12" s="94" t="str">
        <f t="array" ref="DR12">IFERROR(INDEX(Skill!$N:$N, MATCH(DR$4, Skill!$C:$C, 0), 1), "")</f>
        <v/>
      </c>
      <c r="DS12" s="94">
        <f t="array" ref="DS12">IFERROR(INDEX(Skill!$N:$N, MATCH(DS$4, Skill!$C:$C, 0), 1), "")</f>
        <v>0.85</v>
      </c>
      <c r="DT12" s="94">
        <f t="array" ref="DT12">IFERROR(INDEX(Skill!$N:$N, MATCH(DT$4, Skill!$C:$C, 0), 1), "")</f>
        <v>0.9</v>
      </c>
      <c r="DU12" s="94">
        <f t="array" ref="DU12">IFERROR(INDEX(Skill!$N:$N, MATCH(DU$4, Skill!$C:$C, 0), 1), "")</f>
        <v>0.85</v>
      </c>
      <c r="DV12" s="94" t="str">
        <f t="array" ref="DV12">IFERROR(INDEX(Skill!$N:$N, MATCH(DV$4, Skill!$C:$C, 0), 1), "")</f>
        <v/>
      </c>
      <c r="DW12" s="94">
        <f t="array" ref="DW12">IFERROR(INDEX(Skill!$N:$N, MATCH(DW$4, Skill!$C:$C, 0), 1), "")</f>
        <v>1</v>
      </c>
      <c r="DX12" s="94">
        <f t="array" ref="DX12">IFERROR(INDEX(Skill!$N:$N, MATCH(DX$4, Skill!$C:$C, 0), 1), "")</f>
        <v>1</v>
      </c>
      <c r="DY12" s="94">
        <f t="array" ref="DY12">IFERROR(INDEX(Skill!$N:$N, MATCH(DY$4, Skill!$C:$C, 0), 1), "")</f>
        <v>1</v>
      </c>
      <c r="DZ12" s="94">
        <f t="array" ref="DZ12">IFERROR(INDEX(Skill!$N:$N, MATCH(DZ$4, Skill!$C:$C, 0), 1), "")</f>
        <v>1</v>
      </c>
      <c r="EA12" s="89">
        <f t="array" ref="EA12">IFERROR(INDEX(Skill!$N:$N, MATCH(EA$4, Skill!$C:$C, 0), 1), "")</f>
        <v>1</v>
      </c>
      <c r="EB12" s="89" t="str">
        <f t="array" ref="EB12">IFERROR(INDEX(Skill!$N:$N, MATCH(EB$4, Skill!$C:$C, 0), 1), "")</f>
        <v/>
      </c>
      <c r="EC12" s="89" t="str">
        <f t="array" ref="EC12">IFERROR(INDEX(Skill!$N:$N, MATCH(EC$4, Skill!$C:$C, 0), 1), "")</f>
        <v/>
      </c>
      <c r="ED12" s="94">
        <f t="array" ref="ED12">IFERROR(INDEX(Skill!$N:$N, MATCH(ED$4, Skill!$C:$C, 0), 1), "")</f>
        <v>0.2</v>
      </c>
      <c r="EE12" s="98"/>
      <c r="EF12" s="98"/>
      <c r="EG12" s="98"/>
      <c r="EH12" s="98"/>
      <c r="EI12" s="98"/>
      <c r="EJ12" s="98"/>
      <c r="EK12" s="98"/>
      <c r="EL12" s="98"/>
      <c r="EM12" s="98"/>
      <c r="EN12" s="98"/>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8"/>
      <c r="FO12" s="99"/>
    </row>
    <row r="13" hidden="1">
      <c r="A13" s="3"/>
      <c r="B13" s="90"/>
      <c r="C13" s="90"/>
      <c r="D13" s="83"/>
      <c r="E13" s="90" t="s">
        <v>22</v>
      </c>
      <c r="F13" s="90"/>
      <c r="G13" s="90"/>
      <c r="H13" s="90"/>
      <c r="I13" s="90"/>
      <c r="J13" s="90"/>
      <c r="K13" s="94" t="str">
        <f t="array" ref="K13">IFERROR(INDEX(Skill!$AE:$AE, MATCH(K$4, Skill!$C:$C, 0), 1), "")</f>
        <v/>
      </c>
      <c r="L13" s="94" t="str">
        <f t="array" ref="L13">IFERROR(INDEX(Skill!$AE:$AE, MATCH(L$4, Skill!$C:$C, 0), 1), "")</f>
        <v/>
      </c>
      <c r="M13" s="94" t="str">
        <f t="array" ref="M13">IFERROR(INDEX(Skill!$AE:$AE, MATCH(M$4, Skill!$C:$C, 0), 1), "")</f>
        <v/>
      </c>
      <c r="N13" s="94" t="str">
        <f t="array" ref="N13">IFERROR(INDEX(Skill!$AE:$AE, MATCH(N$4, Skill!$C:$C, 0), 1), "")</f>
        <v/>
      </c>
      <c r="O13" s="94" t="str">
        <f t="array" ref="O13">IFERROR(INDEX(Skill!$AE:$AE, MATCH(O$4, Skill!$C:$C, 0), 1), "")</f>
        <v>SELF_AFFECTED_ALL</v>
      </c>
      <c r="P13" s="94" t="str">
        <f t="array" ref="P13">IFERROR(INDEX(Skill!$AE:$AE, MATCH(P$4, Skill!$C:$C, 0), 1), "")</f>
        <v/>
      </c>
      <c r="Q13" s="94" t="str">
        <f t="array" ref="Q13">IFERROR(INDEX(Skill!$AE:$AE, MATCH(Q$4, Skill!$C:$C, 0), 1), "")</f>
        <v/>
      </c>
      <c r="R13" s="94" t="str">
        <f t="array" ref="R13">IFERROR(INDEX(Skill!$AE:$AE, MATCH(R$4, Skill!$C:$C, 0), 1), "")</f>
        <v/>
      </c>
      <c r="S13" s="94" t="str">
        <f t="array" ref="S13">IFERROR(INDEX(Skill!$AE:$AE, MATCH(S$4, Skill!$C:$C, 0), 1), "")</f>
        <v/>
      </c>
      <c r="T13" s="94" t="str">
        <f t="array" ref="T13">IFERROR(INDEX(Skill!$AE:$AE, MATCH(T$4, Skill!$C:$C, 0), 1), "")</f>
        <v/>
      </c>
      <c r="U13" s="94" t="str">
        <f t="array" ref="U13">IFERROR(INDEX(Skill!$AE:$AE, MATCH(U$4, Skill!$C:$C, 0), 1), "")</f>
        <v/>
      </c>
      <c r="V13" s="94" t="str">
        <f t="array" ref="V13">IFERROR(INDEX(Skill!$AE:$AE, MATCH(V$4, Skill!$C:$C, 0), 1), "")</f>
        <v/>
      </c>
      <c r="W13" s="94" t="str">
        <f t="array" ref="W13">IFERROR(INDEX(Skill!$AE:$AE, MATCH(W$4, Skill!$C:$C, 0), 1), "")</f>
        <v>SELF_AFFECTED_ALL</v>
      </c>
      <c r="X13" s="94" t="str">
        <f t="array" ref="X13">IFERROR(INDEX(Skill!$AE:$AE, MATCH(X$4, Skill!$C:$C, 0), 1), "")</f>
        <v>SELF_AFFECTED_ALL</v>
      </c>
      <c r="Y13" s="94" t="str">
        <f t="array" ref="Y13">IFERROR(INDEX(Skill!$AE:$AE, MATCH(Y$4, Skill!$C:$C, 0), 1), "")</f>
        <v/>
      </c>
      <c r="Z13" s="94" t="str">
        <f t="array" ref="Z13">IFERROR(INDEX(Skill!$AE:$AE, MATCH(Z$4, Skill!$C:$C, 0), 1), "")</f>
        <v/>
      </c>
      <c r="AA13" s="94" t="str">
        <f t="array" ref="AA13">IFERROR(INDEX(Skill!$AE:$AE, MATCH(AA$4, Skill!$C:$C, 0), 1), "")</f>
        <v/>
      </c>
      <c r="AB13" s="94" t="str">
        <f t="array" ref="AB13">IFERROR(INDEX(Skill!$AE:$AE, MATCH(AB$4, Skill!$C:$C, 0), 1), "")</f>
        <v/>
      </c>
      <c r="AC13" s="94" t="str">
        <f t="array" ref="AC13">IFERROR(INDEX(Skill!$AE:$AE, MATCH(AC$4, Skill!$C:$C, 0), 1), "")</f>
        <v/>
      </c>
      <c r="AD13" s="94" t="str">
        <f t="array" ref="AD13">IFERROR(INDEX(Skill!$AE:$AE, MATCH(AD$4, Skill!$C:$C, 0), 1), "")</f>
        <v/>
      </c>
      <c r="AE13" s="94" t="str">
        <f t="array" ref="AE13">IFERROR(INDEX(Skill!$AE:$AE, MATCH(AE$4, Skill!$C:$C, 0), 1), "")</f>
        <v/>
      </c>
      <c r="AF13" s="94" t="str">
        <f t="array" ref="AF13">IFERROR(INDEX(Skill!$AE:$AE, MATCH(AF$4, Skill!$C:$C, 0), 1), "")</f>
        <v/>
      </c>
      <c r="AG13" s="94" t="str">
        <f t="array" ref="AG13">IFERROR(INDEX(Skill!$AE:$AE, MATCH(AG$4, Skill!$C:$C, 0), 1), "")</f>
        <v/>
      </c>
      <c r="AH13" s="94" t="str">
        <f t="array" ref="AH13">IFERROR(INDEX(Skill!$AE:$AE, MATCH(AH$4, Skill!$C:$C, 0), 1), "")</f>
        <v>SELF_AFFECTED_ALL</v>
      </c>
      <c r="AI13" s="94" t="str">
        <f t="array" ref="AI13">IFERROR(INDEX(Skill!$AE:$AE, MATCH(AI$4, Skill!$C:$C, 0), 1), "")</f>
        <v/>
      </c>
      <c r="AJ13" s="94" t="str">
        <f t="array" ref="AJ13">IFERROR(INDEX(Skill!$AE:$AE, MATCH(AJ$4, Skill!$C:$C, 0), 1), "")</f>
        <v/>
      </c>
      <c r="AK13" s="94" t="str">
        <f t="array" ref="AK13">IFERROR(INDEX(Skill!$AE:$AE, MATCH(AK$4, Skill!$C:$C, 0), 1), "")</f>
        <v/>
      </c>
      <c r="AL13" s="94" t="str">
        <f t="array" ref="AL13">IFERROR(INDEX(Skill!$AE:$AE, MATCH(AL$4, Skill!$C:$C, 0), 1), "")</f>
        <v/>
      </c>
      <c r="AM13" s="94" t="str">
        <f t="array" ref="AM13">IFERROR(INDEX(Skill!$AE:$AE, MATCH(AM$4, Skill!$C:$C, 0), 1), "")</f>
        <v/>
      </c>
      <c r="AN13" s="94" t="str">
        <f t="array" ref="AN13">IFERROR(INDEX(Skill!$AE:$AE, MATCH(AN$4, Skill!$C:$C, 0), 1), "")</f>
        <v/>
      </c>
      <c r="AO13" s="94" t="str">
        <f t="array" ref="AO13">IFERROR(INDEX(Skill!$AE:$AE, MATCH(AO$4, Skill!$C:$C, 0), 1), "")</f>
        <v>SELF_AFFECTED_ALL</v>
      </c>
      <c r="AP13" s="94" t="str">
        <f t="array" ref="AP13">IFERROR(INDEX(Skill!$AE:$AE, MATCH(AP$4, Skill!$C:$C, 0), 1), "")</f>
        <v/>
      </c>
      <c r="AQ13" s="94" t="str">
        <f t="array" ref="AQ13">IFERROR(INDEX(Skill!$AE:$AE, MATCH(AQ$4, Skill!$C:$C, 0), 1), "")</f>
        <v/>
      </c>
      <c r="AR13" s="94" t="str">
        <f t="array" ref="AR13">IFERROR(INDEX(Skill!$AE:$AE, MATCH(AR$4, Skill!$C:$C, 0), 1), "")</f>
        <v/>
      </c>
      <c r="AS13" s="94" t="str">
        <f t="array" ref="AS13">IFERROR(INDEX(Skill!$AE:$AE, MATCH(AS$4, Skill!$C:$C, 0), 1), "")</f>
        <v>SELF_EFFECTED_GCD</v>
      </c>
      <c r="AT13" s="94" t="str">
        <f t="array" ref="AT13">IFERROR(INDEX(Skill!$AE:$AE, MATCH(AT$4, Skill!$C:$C, 0), 1), "")</f>
        <v/>
      </c>
      <c r="AU13" s="94" t="str">
        <f t="array" ref="AU13">IFERROR(INDEX(Skill!$AE:$AE, MATCH(AU$4, Skill!$C:$C, 0), 1), "")</f>
        <v>RANGE_AFFECTED_GCD</v>
      </c>
      <c r="AV13" s="94" t="str">
        <f t="array" ref="AV13">IFERROR(INDEX(Skill!$AE:$AE, MATCH(AV$4, Skill!$C:$C, 0), 1), "")</f>
        <v>RANGE_AFFECTED_ALL</v>
      </c>
      <c r="AW13" s="94" t="str">
        <f t="array" ref="AW13">IFERROR(INDEX(Skill!$AE:$AE, MATCH(AW$4, Skill!$C:$C, 0), 1), "")</f>
        <v/>
      </c>
      <c r="AX13" s="94" t="str">
        <f t="array" ref="AX13">IFERROR(INDEX(Skill!$AE:$AE, MATCH(AX$4, Skill!$C:$C, 0), 1), "")</f>
        <v/>
      </c>
      <c r="AY13" s="94" t="str">
        <f t="array" ref="AY13">IFERROR(INDEX(Skill!$AE:$AE, MATCH(AY$4, Skill!$C:$C, 0), 1), "")</f>
        <v/>
      </c>
      <c r="AZ13" s="94" t="str">
        <f t="array" ref="AZ13">IFERROR(INDEX(Skill!$AE:$AE, MATCH(AZ$4, Skill!$C:$C, 0), 1), "")</f>
        <v/>
      </c>
      <c r="BA13" s="94" t="str">
        <f t="array" ref="BA13">IFERROR(INDEX(Skill!$AE:$AE, MATCH(BA$4, Skill!$C:$C, 0), 1), "")</f>
        <v/>
      </c>
      <c r="BB13" s="94" t="str">
        <f t="array" ref="BB13">IFERROR(INDEX(Skill!$AE:$AE, MATCH(BB$4, Skill!$C:$C, 0), 1), "")</f>
        <v/>
      </c>
      <c r="BC13" s="94" t="str">
        <f t="array" ref="BC13">IFERROR(INDEX(Skill!$AE:$AE, MATCH(BC$4, Skill!$C:$C, 0), 1), "")</f>
        <v/>
      </c>
      <c r="BD13" s="94" t="str">
        <f t="array" ref="BD13">IFERROR(INDEX(Skill!$AE:$AE, MATCH(BD$4, Skill!$C:$C, 0), 1), "")</f>
        <v/>
      </c>
      <c r="BE13" s="94" t="str">
        <f t="array" ref="BE13">IFERROR(INDEX(Skill!$AE:$AE, MATCH(BE$4, Skill!$C:$C, 0), 1), "")</f>
        <v/>
      </c>
      <c r="BF13" s="94" t="str">
        <f t="array" ref="BF13">IFERROR(INDEX(Skill!$AE:$AE, MATCH(BF$4, Skill!$C:$C, 0), 1), "")</f>
        <v>SELF_EFFECTED_GCD</v>
      </c>
      <c r="BG13" s="94" t="str">
        <f t="array" ref="BG13">IFERROR(INDEX(Skill!$AE:$AE, MATCH(BG$4, Skill!$C:$C, 0), 1), "")</f>
        <v/>
      </c>
      <c r="BH13" s="94" t="str">
        <f t="array" ref="BH13">IFERROR(INDEX(Skill!$AE:$AE, MATCH(BH$4, Skill!$C:$C, 0), 1), "")</f>
        <v/>
      </c>
      <c r="BI13" s="94" t="str">
        <f t="array" ref="BI13">IFERROR(INDEX(Skill!$AE:$AE, MATCH(BI$4, Skill!$C:$C, 0), 1), "")</f>
        <v/>
      </c>
      <c r="BJ13" s="94" t="str">
        <f t="array" ref="BJ13">IFERROR(INDEX(Skill!$AE:$AE, MATCH(BJ$4, Skill!$C:$C, 0), 1), "")</f>
        <v/>
      </c>
      <c r="BK13" s="94" t="str">
        <f t="array" ref="BK13">IFERROR(INDEX(Skill!$AE:$AE, MATCH(BK$4, Skill!$C:$C, 0), 1), "")</f>
        <v/>
      </c>
      <c r="BL13" s="94" t="str">
        <f t="array" ref="BL13">IFERROR(INDEX(Skill!$AE:$AE, MATCH(BL$4, Skill!$C:$C, 0), 1), "")</f>
        <v/>
      </c>
      <c r="BM13" s="94" t="str">
        <f t="array" ref="BM13">IFERROR(INDEX(Skill!$AE:$AE, MATCH(BM$4, Skill!$C:$C, 0), 1), "")</f>
        <v/>
      </c>
      <c r="BN13" s="94" t="str">
        <f t="array" ref="BN13">IFERROR(INDEX(Skill!$AE:$AE, MATCH(BN$4, Skill!$C:$C, 0), 1), "")</f>
        <v/>
      </c>
      <c r="BO13" s="94" t="str">
        <f t="array" ref="BO13">IFERROR(INDEX(Skill!$AE:$AE, MATCH(BO$4, Skill!$C:$C, 0), 1), "")</f>
        <v>SINGLE_AFFECTED_ALL</v>
      </c>
      <c r="BP13" s="94" t="str">
        <f t="array" ref="BP13">IFERROR(INDEX(Skill!$AE:$AE, MATCH(BP$4, Skill!$C:$C, 0), 1), "")</f>
        <v/>
      </c>
      <c r="BQ13" s="94" t="str">
        <f t="array" ref="BQ13">IFERROR(INDEX(Skill!$AE:$AE, MATCH(BQ$4, Skill!$C:$C, 0), 1), "")</f>
        <v/>
      </c>
      <c r="BR13" s="94" t="str">
        <f t="array" ref="BR13">IFERROR(INDEX(Skill!$AE:$AE, MATCH(BR$4, Skill!$C:$C, 0), 1), "")</f>
        <v/>
      </c>
      <c r="BS13" s="94" t="str">
        <f t="array" ref="BS13">IFERROR(INDEX(Skill!$AE:$AE, MATCH(BS$4, Skill!$C:$C, 0), 1), "")</f>
        <v/>
      </c>
      <c r="BT13" s="94" t="str">
        <f t="array" ref="BT13">IFERROR(INDEX(Skill!$AE:$AE, MATCH(BT$4, Skill!$C:$C, 0), 1), "")</f>
        <v/>
      </c>
      <c r="BU13" s="94" t="str">
        <f t="array" ref="BU13">IFERROR(INDEX(Skill!$AE:$AE, MATCH(BU$4, Skill!$C:$C, 0), 1), "")</f>
        <v/>
      </c>
      <c r="BV13" s="94" t="str">
        <f t="array" ref="BV13">IFERROR(INDEX(Skill!$AE:$AE, MATCH(BV$4, Skill!$C:$C, 0), 1), "")</f>
        <v/>
      </c>
      <c r="BW13" s="94" t="str">
        <f t="array" ref="BW13">IFERROR(INDEX(Skill!$AE:$AE, MATCH(BW$4, Skill!$C:$C, 0), 1), "")</f>
        <v/>
      </c>
      <c r="BX13" s="94" t="str">
        <f t="array" ref="BX13">IFERROR(INDEX(Skill!$AE:$AE, MATCH(BX$4, Skill!$C:$C, 0), 1), "")</f>
        <v/>
      </c>
      <c r="BY13" s="94" t="str">
        <f t="array" ref="BY13">IFERROR(INDEX(Skill!$AE:$AE, MATCH(BY$4, Skill!$C:$C, 0), 1), "")</f>
        <v>RANGE_AFFECTED_GCD</v>
      </c>
      <c r="BZ13" s="94" t="str">
        <f t="array" ref="BZ13">IFERROR(INDEX(Skill!$AE:$AE, MATCH(BZ$4, Skill!$C:$C, 0), 1), "")</f>
        <v/>
      </c>
      <c r="CA13" s="94" t="str">
        <f t="array" ref="CA13">IFERROR(INDEX(Skill!$AE:$AE, MATCH(CA$4, Skill!$C:$C, 0), 1), "")</f>
        <v/>
      </c>
      <c r="CB13" s="94" t="str">
        <f t="array" ref="CB13">IFERROR(INDEX(Skill!$AE:$AE, MATCH(CB$4, Skill!$C:$C, 0), 1), "")</f>
        <v/>
      </c>
      <c r="CC13" s="94" t="str">
        <f t="array" ref="CC13">IFERROR(INDEX(Skill!$AE:$AE, MATCH(CC$4, Skill!$C:$C, 0), 1), "")</f>
        <v/>
      </c>
      <c r="CD13" s="94" t="str">
        <f t="array" ref="CD13">IFERROR(INDEX(Skill!$AE:$AE, MATCH(CD$4, Skill!$C:$C, 0), 1), "")</f>
        <v/>
      </c>
      <c r="CE13" s="94" t="str">
        <f t="array" ref="CE13">IFERROR(INDEX(Skill!$AE:$AE, MATCH(CE$4, Skill!$C:$C, 0), 1), "")</f>
        <v/>
      </c>
      <c r="CF13" s="94" t="str">
        <f t="array" ref="CF13">IFERROR(INDEX(Skill!$AE:$AE, MATCH(CF$4, Skill!$C:$C, 0), 1), "")</f>
        <v/>
      </c>
      <c r="CG13" s="94" t="str">
        <f t="array" ref="CG13">IFERROR(INDEX(Skill!$AE:$AE, MATCH(CG$4, Skill!$C:$C, 0), 1), "")</f>
        <v/>
      </c>
      <c r="CH13" s="94" t="str">
        <f t="array" ref="CH13">IFERROR(INDEX(Skill!$AE:$AE, MATCH(CH$4, Skill!$C:$C, 0), 1), "")</f>
        <v/>
      </c>
      <c r="CI13" s="94" t="str">
        <f t="array" ref="CI13">IFERROR(INDEX(Skill!$AE:$AE, MATCH(CI$4, Skill!$C:$C, 0), 1), "")</f>
        <v>SELF_EFFECTED_GCD</v>
      </c>
      <c r="CJ13" s="94" t="str">
        <f t="array" ref="CJ13">IFERROR(INDEX(Skill!$AE:$AE, MATCH(CJ$4, Skill!$C:$C, 0), 1), "")</f>
        <v/>
      </c>
      <c r="CK13" s="94" t="str">
        <f t="array" ref="CK13">IFERROR(INDEX(Skill!$AE:$AE, MATCH(CK$4, Skill!$C:$C, 0), 1), "")</f>
        <v/>
      </c>
      <c r="CL13" s="94" t="str">
        <f t="array" ref="CL13">IFERROR(INDEX(Skill!$AE:$AE, MATCH(CL$4, Skill!$C:$C, 0), 1), "")</f>
        <v/>
      </c>
      <c r="CM13" s="94" t="str">
        <f t="array" ref="CM13">IFERROR(INDEX(Skill!$AE:$AE, MATCH(CM$4, Skill!$C:$C, 0), 1), "")</f>
        <v/>
      </c>
      <c r="CN13" s="94" t="str">
        <f t="array" ref="CN13">IFERROR(INDEX(Skill!$AE:$AE, MATCH(CN$4, Skill!$C:$C, 0), 1), "")</f>
        <v/>
      </c>
      <c r="CO13" s="94" t="str">
        <f t="array" ref="CO13">IFERROR(INDEX(Skill!$AE:$AE, MATCH(CO$4, Skill!$C:$C, 0), 1), "")</f>
        <v/>
      </c>
      <c r="CP13" s="94" t="str">
        <f t="array" ref="CP13">IFERROR(INDEX(Skill!$AE:$AE, MATCH(CP$4, Skill!$C:$C, 0), 1), "")</f>
        <v/>
      </c>
      <c r="CQ13" s="94" t="str">
        <f t="array" ref="CQ13">IFERROR(INDEX(Skill!$AE:$AE, MATCH(CQ$4, Skill!$C:$C, 0), 1), "")</f>
        <v/>
      </c>
      <c r="CR13" s="94" t="str">
        <f t="array" ref="CR13">IFERROR(INDEX(Skill!$AE:$AE, MATCH(CR$4, Skill!$C:$C, 0), 1), "")</f>
        <v/>
      </c>
      <c r="CS13" s="94" t="str">
        <f t="array" ref="CS13">IFERROR(INDEX(Skill!$AE:$AE, MATCH(CS$4, Skill!$C:$C, 0), 1), "")</f>
        <v/>
      </c>
      <c r="CT13" s="94" t="str">
        <f t="array" ref="CT13">IFERROR(INDEX(Skill!$AE:$AE, MATCH(CT$4, Skill!$C:$C, 0), 1), "")</f>
        <v/>
      </c>
      <c r="CU13" s="94" t="str">
        <f t="array" ref="CU13">IFERROR(INDEX(Skill!$AE:$AE, MATCH(CU$4, Skill!$C:$C, 0), 1), "")</f>
        <v/>
      </c>
      <c r="CV13" s="94" t="str">
        <f t="array" ref="CV13">IFERROR(INDEX(Skill!$AE:$AE, MATCH(CV$4, Skill!$C:$C, 0), 1), "")</f>
        <v/>
      </c>
      <c r="CW13" s="94" t="str">
        <f t="array" ref="CW13">IFERROR(INDEX(Skill!$AE:$AE, MATCH(CW$4, Skill!$C:$C, 0), 1), "")</f>
        <v/>
      </c>
      <c r="CX13" s="94" t="str">
        <f t="array" ref="CX13">IFERROR(INDEX(Skill!$AE:$AE, MATCH(CX$4, Skill!$C:$C, 0), 1), "")</f>
        <v>SELF_EFFECTED_GCD</v>
      </c>
      <c r="CY13" s="94" t="str">
        <f t="array" ref="CY13">IFERROR(INDEX(Skill!$AE:$AE, MATCH(CY$4, Skill!$C:$C, 0), 1), "")</f>
        <v>RANGE_AFFECTED_ALL</v>
      </c>
      <c r="CZ13" s="94" t="str">
        <f t="array" ref="CZ13">IFERROR(INDEX(Skill!$AE:$AE, MATCH(CZ$4, Skill!$C:$C, 0), 1), "")</f>
        <v/>
      </c>
      <c r="DA13" s="94" t="str">
        <f t="array" ref="DA13">IFERROR(INDEX(Skill!$AE:$AE, MATCH(DA$4, Skill!$C:$C, 0), 1), "")</f>
        <v/>
      </c>
      <c r="DB13" s="94" t="str">
        <f t="array" ref="DB13">IFERROR(INDEX(Skill!$AE:$AE, MATCH(DB$4, Skill!$C:$C, 0), 1), "")</f>
        <v/>
      </c>
      <c r="DC13" s="94" t="str">
        <f t="array" ref="DC13">IFERROR(INDEX(Skill!$AE:$AE, MATCH(DC$4, Skill!$C:$C, 0), 1), "")</f>
        <v>SELF_EFFECTED_GCD</v>
      </c>
      <c r="DD13" s="94" t="str">
        <f t="array" ref="DD13">IFERROR(INDEX(Skill!$AE:$AE, MATCH(DD$4, Skill!$C:$C, 0), 1), "")</f>
        <v/>
      </c>
      <c r="DE13" s="94" t="str">
        <f t="array" ref="DE13">IFERROR(INDEX(Skill!$AE:$AE, MATCH(DE$4, Skill!$C:$C, 0), 1), "")</f>
        <v/>
      </c>
      <c r="DF13" s="94" t="str">
        <f t="array" ref="DF13">IFERROR(INDEX(Skill!$AE:$AE, MATCH(DF$4, Skill!$C:$C, 0), 1), "")</f>
        <v/>
      </c>
      <c r="DG13" s="94" t="str">
        <f t="array" ref="DG13">IFERROR(INDEX(Skill!$AE:$AE, MATCH(DG$4, Skill!$C:$C, 0), 1), "")</f>
        <v/>
      </c>
      <c r="DH13" s="94" t="str">
        <f t="array" ref="DH13">IFERROR(INDEX(Skill!$AE:$AE, MATCH(DH$4, Skill!$C:$C, 0), 1), "")</f>
        <v/>
      </c>
      <c r="DI13" s="94" t="str">
        <f t="array" ref="DI13">IFERROR(INDEX(Skill!$AE:$AE, MATCH(DI$4, Skill!$C:$C, 0), 1), "")</f>
        <v/>
      </c>
      <c r="DJ13" s="94" t="str">
        <f t="array" ref="DJ13">IFERROR(INDEX(Skill!$AE:$AE, MATCH(DJ$4, Skill!$C:$C, 0), 1), "")</f>
        <v/>
      </c>
      <c r="DK13" s="94" t="str">
        <f t="array" ref="DK13">IFERROR(INDEX(Skill!$AE:$AE, MATCH(DK$4, Skill!$C:$C, 0), 1), "")</f>
        <v>RANGE_AFFECTED_ALL</v>
      </c>
      <c r="DL13" s="94" t="str">
        <f t="array" ref="DL13">IFERROR(INDEX(Skill!$AE:$AE, MATCH(DL$4, Skill!$C:$C, 0), 1), "")</f>
        <v/>
      </c>
      <c r="DM13" s="94" t="str">
        <f t="array" ref="DM13">IFERROR(INDEX(Skill!$AE:$AE, MATCH(DM$4, Skill!$C:$C, 0), 1), "")</f>
        <v/>
      </c>
      <c r="DN13" s="94" t="str">
        <f t="array" ref="DN13">IFERROR(INDEX(Skill!$AE:$AE, MATCH(DN$4, Skill!$C:$C, 0), 1), "")</f>
        <v/>
      </c>
      <c r="DO13" s="94" t="str">
        <f t="array" ref="DO13">IFERROR(INDEX(Skill!$AE:$AE, MATCH(DO$4, Skill!$C:$C, 0), 1), "")</f>
        <v/>
      </c>
      <c r="DP13" s="94" t="str">
        <f t="array" ref="DP13">IFERROR(INDEX(Skill!$AE:$AE, MATCH(DP$4, Skill!$C:$C, 0), 1), "")</f>
        <v/>
      </c>
      <c r="DQ13" s="94" t="str">
        <f t="array" ref="DQ13">IFERROR(INDEX(Skill!$AE:$AE, MATCH(DQ$4, Skill!$C:$C, 0), 1), "")</f>
        <v/>
      </c>
      <c r="DR13" s="94" t="str">
        <f t="array" ref="DR13">IFERROR(INDEX(Skill!$AE:$AE, MATCH(DR$4, Skill!$C:$C, 0), 1), "")</f>
        <v>RANGE_AFFECTED_ALL</v>
      </c>
      <c r="DS13" s="94" t="str">
        <f t="array" ref="DS13">IFERROR(INDEX(Skill!$AE:$AE, MATCH(DS$4, Skill!$C:$C, 0), 1), "")</f>
        <v/>
      </c>
      <c r="DT13" s="94" t="str">
        <f t="array" ref="DT13">IFERROR(INDEX(Skill!$AE:$AE, MATCH(DT$4, Skill!$C:$C, 0), 1), "")</f>
        <v/>
      </c>
      <c r="DU13" s="94" t="str">
        <f t="array" ref="DU13">IFERROR(INDEX(Skill!$AE:$AE, MATCH(DU$4, Skill!$C:$C, 0), 1), "")</f>
        <v/>
      </c>
      <c r="DV13" s="94" t="str">
        <f t="array" ref="DV13">IFERROR(INDEX(Skill!$AE:$AE, MATCH(DV$4, Skill!$C:$C, 0), 1), "")</f>
        <v/>
      </c>
      <c r="DW13" s="94" t="str">
        <f t="array" ref="DW13">IFERROR(INDEX(Skill!$AE:$AE, MATCH(DW$4, Skill!$C:$C, 0), 1), "")</f>
        <v/>
      </c>
      <c r="DX13" s="94" t="str">
        <f t="array" ref="DX13">IFERROR(INDEX(Skill!$AE:$AE, MATCH(DX$4, Skill!$C:$C, 0), 1), "")</f>
        <v/>
      </c>
      <c r="DY13" s="94" t="str">
        <f t="array" ref="DY13">IFERROR(INDEX(Skill!$AE:$AE, MATCH(DY$4, Skill!$C:$C, 0), 1), "")</f>
        <v/>
      </c>
      <c r="DZ13" s="94" t="str">
        <f t="array" ref="DZ13">IFERROR(INDEX(Skill!$AE:$AE, MATCH(DZ$4, Skill!$C:$C, 0), 1), "")</f>
        <v>RANGE_AFFECTED_ALL</v>
      </c>
      <c r="EA13" s="89" t="str">
        <f t="array" ref="EA13">IFERROR(INDEX(Skill!$AE:$AE, MATCH(EA$4, Skill!$C:$C, 0), 1), "")</f>
        <v/>
      </c>
      <c r="EB13" s="89" t="str">
        <f t="array" ref="EB13">IFERROR(INDEX(Skill!$AE:$AE, MATCH(EB$4, Skill!$C:$C, 0), 1), "")</f>
        <v/>
      </c>
      <c r="EC13" s="89" t="str">
        <f t="array" ref="EC13">IFERROR(INDEX(Skill!$AE:$AE, MATCH(EC$4, Skill!$C:$C, 0), 1), "")</f>
        <v/>
      </c>
      <c r="ED13" s="94" t="str">
        <f t="array" ref="ED13">IFERROR(INDEX(Skill!$AE:$AE, MATCH(ED$4, Skill!$C:$C, 0), 1), "")</f>
        <v/>
      </c>
      <c r="EE13" s="97"/>
      <c r="EF13" s="97"/>
      <c r="EG13" s="97"/>
      <c r="EH13" s="97"/>
      <c r="EI13" s="97"/>
      <c r="EJ13" s="97"/>
      <c r="EK13" s="97"/>
      <c r="EL13" s="97"/>
      <c r="EM13" s="97"/>
      <c r="EN13" s="97"/>
      <c r="EO13" s="97"/>
      <c r="EP13" s="97"/>
      <c r="EQ13" s="97"/>
      <c r="ER13" s="100"/>
      <c r="ES13" s="100"/>
      <c r="ET13" s="100"/>
      <c r="EU13" s="101"/>
      <c r="EV13" s="101"/>
      <c r="EW13" s="101"/>
      <c r="EX13" s="101"/>
      <c r="EY13" s="101"/>
      <c r="EZ13" s="101"/>
      <c r="FA13" s="101"/>
      <c r="FB13" s="101"/>
      <c r="FC13" s="101"/>
      <c r="FD13" s="101"/>
      <c r="FE13" s="101"/>
      <c r="FF13" s="101"/>
      <c r="FG13" s="101"/>
      <c r="FH13" s="101"/>
      <c r="FI13" s="101"/>
      <c r="FJ13" s="101"/>
      <c r="FK13" s="101"/>
      <c r="FL13" s="101"/>
      <c r="FM13" s="101"/>
      <c r="FN13" s="101"/>
      <c r="FO13" s="99"/>
    </row>
    <row r="14" hidden="1">
      <c r="A14" s="3"/>
      <c r="B14" s="90"/>
      <c r="C14" s="90"/>
      <c r="D14" s="83"/>
      <c r="E14" s="90" t="s">
        <v>1052</v>
      </c>
      <c r="F14" s="90"/>
      <c r="G14" s="90"/>
      <c r="H14" s="90"/>
      <c r="I14" s="90"/>
      <c r="J14" s="90"/>
      <c r="K14" s="94" t="str">
        <f t="array" ref="K14">IFERROR(INDEX(Skill!$AH:$AH, MATCH(K$4, Skill!$C:$C, 0), 1), "")</f>
        <v/>
      </c>
      <c r="L14" s="94" t="str">
        <f t="array" ref="L14">IFERROR(INDEX(Skill!$AH:$AH, MATCH(L$4, Skill!$C:$C, 0), 1), "")</f>
        <v/>
      </c>
      <c r="M14" s="94" t="str">
        <f t="array" ref="M14">IFERROR(INDEX(Skill!$AH:$AH, MATCH(M$4, Skill!$C:$C, 0), 1), "")</f>
        <v/>
      </c>
      <c r="N14" s="94" t="str">
        <f t="array" ref="N14">IFERROR(INDEX(Skill!$AH:$AH, MATCH(N$4, Skill!$C:$C, 0), 1), "")</f>
        <v/>
      </c>
      <c r="O14" s="94">
        <f t="array" ref="O14">IFERROR(INDEX(Skill!$AH:$AH, MATCH(O$4, Skill!$C:$C, 0), 1), "")</f>
        <v>1.15</v>
      </c>
      <c r="P14" s="94" t="str">
        <f t="array" ref="P14">IFERROR(INDEX(Skill!$AH:$AH, MATCH(P$4, Skill!$C:$C, 0), 1), "")</f>
        <v/>
      </c>
      <c r="Q14" s="94" t="str">
        <f t="array" ref="Q14">IFERROR(INDEX(Skill!$AH:$AH, MATCH(Q$4, Skill!$C:$C, 0), 1), "")</f>
        <v/>
      </c>
      <c r="R14" s="94" t="str">
        <f t="array" ref="R14">IFERROR(INDEX(Skill!$AH:$AH, MATCH(R$4, Skill!$C:$C, 0), 1), "")</f>
        <v/>
      </c>
      <c r="S14" s="94" t="str">
        <f t="array" ref="S14">IFERROR(INDEX(Skill!$AH:$AH, MATCH(S$4, Skill!$C:$C, 0), 1), "")</f>
        <v/>
      </c>
      <c r="T14" s="94" t="str">
        <f t="array" ref="T14">IFERROR(INDEX(Skill!$AH:$AH, MATCH(T$4, Skill!$C:$C, 0), 1), "")</f>
        <v/>
      </c>
      <c r="U14" s="94" t="str">
        <f t="array" ref="U14">IFERROR(INDEX(Skill!$AH:$AH, MATCH(U$4, Skill!$C:$C, 0), 1), "")</f>
        <v/>
      </c>
      <c r="V14" s="94" t="str">
        <f t="array" ref="V14">IFERROR(INDEX(Skill!$AH:$AH, MATCH(V$4, Skill!$C:$C, 0), 1), "")</f>
        <v/>
      </c>
      <c r="W14" s="94">
        <f t="array" ref="W14">IFERROR(INDEX(Skill!$AH:$AH, MATCH(W$4, Skill!$C:$C, 0), 1), "")</f>
        <v>1.15</v>
      </c>
      <c r="X14" s="94">
        <f t="array" ref="X14">IFERROR(INDEX(Skill!$AH:$AH, MATCH(X$4, Skill!$C:$C, 0), 1), "")</f>
        <v>1.2</v>
      </c>
      <c r="Y14" s="94" t="str">
        <f t="array" ref="Y14">IFERROR(INDEX(Skill!$AH:$AH, MATCH(Y$4, Skill!$C:$C, 0), 1), "")</f>
        <v/>
      </c>
      <c r="Z14" s="94" t="str">
        <f t="array" ref="Z14">IFERROR(INDEX(Skill!$AH:$AH, MATCH(Z$4, Skill!$C:$C, 0), 1), "")</f>
        <v/>
      </c>
      <c r="AA14" s="94" t="str">
        <f t="array" ref="AA14">IFERROR(INDEX(Skill!$AH:$AH, MATCH(AA$4, Skill!$C:$C, 0), 1), "")</f>
        <v/>
      </c>
      <c r="AB14" s="94" t="str">
        <f t="array" ref="AB14">IFERROR(INDEX(Skill!$AH:$AH, MATCH(AB$4, Skill!$C:$C, 0), 1), "")</f>
        <v/>
      </c>
      <c r="AC14" s="94" t="str">
        <f t="array" ref="AC14">IFERROR(INDEX(Skill!$AH:$AH, MATCH(AC$4, Skill!$C:$C, 0), 1), "")</f>
        <v/>
      </c>
      <c r="AD14" s="94" t="str">
        <f t="array" ref="AD14">IFERROR(INDEX(Skill!$AH:$AH, MATCH(AD$4, Skill!$C:$C, 0), 1), "")</f>
        <v/>
      </c>
      <c r="AE14" s="94" t="str">
        <f t="array" ref="AE14">IFERROR(INDEX(Skill!$AH:$AH, MATCH(AE$4, Skill!$C:$C, 0), 1), "")</f>
        <v/>
      </c>
      <c r="AF14" s="94" t="str">
        <f t="array" ref="AF14">IFERROR(INDEX(Skill!$AH:$AH, MATCH(AF$4, Skill!$C:$C, 0), 1), "")</f>
        <v/>
      </c>
      <c r="AG14" s="94" t="str">
        <f t="array" ref="AG14">IFERROR(INDEX(Skill!$AH:$AH, MATCH(AG$4, Skill!$C:$C, 0), 1), "")</f>
        <v/>
      </c>
      <c r="AH14" s="94">
        <f t="array" ref="AH14">IFERROR(INDEX(Skill!$AH:$AH, MATCH(AH$4, Skill!$C:$C, 0), 1), "")</f>
        <v>1.15</v>
      </c>
      <c r="AI14" s="94" t="str">
        <f t="array" ref="AI14">IFERROR(INDEX(Skill!$AH:$AH, MATCH(AI$4, Skill!$C:$C, 0), 1), "")</f>
        <v/>
      </c>
      <c r="AJ14" s="94" t="str">
        <f t="array" ref="AJ14">IFERROR(INDEX(Skill!$AH:$AH, MATCH(AJ$4, Skill!$C:$C, 0), 1), "")</f>
        <v/>
      </c>
      <c r="AK14" s="94" t="str">
        <f t="array" ref="AK14">IFERROR(INDEX(Skill!$AH:$AH, MATCH(AK$4, Skill!$C:$C, 0), 1), "")</f>
        <v/>
      </c>
      <c r="AL14" s="94" t="str">
        <f t="array" ref="AL14">IFERROR(INDEX(Skill!$AH:$AH, MATCH(AL$4, Skill!$C:$C, 0), 1), "")</f>
        <v/>
      </c>
      <c r="AM14" s="94" t="str">
        <f t="array" ref="AM14">IFERROR(INDEX(Skill!$AH:$AH, MATCH(AM$4, Skill!$C:$C, 0), 1), "")</f>
        <v/>
      </c>
      <c r="AN14" s="94" t="str">
        <f t="array" ref="AN14">IFERROR(INDEX(Skill!$AH:$AH, MATCH(AN$4, Skill!$C:$C, 0), 1), "")</f>
        <v/>
      </c>
      <c r="AO14" s="94">
        <f t="array" ref="AO14">IFERROR(INDEX(Skill!$AH:$AH, MATCH(AO$4, Skill!$C:$C, 0), 1), "")</f>
        <v>1.15</v>
      </c>
      <c r="AP14" s="94" t="str">
        <f t="array" ref="AP14">IFERROR(INDEX(Skill!$AH:$AH, MATCH(AP$4, Skill!$C:$C, 0), 1), "")</f>
        <v/>
      </c>
      <c r="AQ14" s="94" t="str">
        <f t="array" ref="AQ14">IFERROR(INDEX(Skill!$AH:$AH, MATCH(AQ$4, Skill!$C:$C, 0), 1), "")</f>
        <v/>
      </c>
      <c r="AR14" s="94" t="str">
        <f t="array" ref="AR14">IFERROR(INDEX(Skill!$AH:$AH, MATCH(AR$4, Skill!$C:$C, 0), 1), "")</f>
        <v/>
      </c>
      <c r="AS14" s="94">
        <f t="array" ref="AS14">IFERROR(INDEX(Skill!$AH:$AH, MATCH(AS$4, Skill!$C:$C, 0), 1), "")</f>
        <v>1.2</v>
      </c>
      <c r="AT14" s="94" t="str">
        <f t="array" ref="AT14">IFERROR(INDEX(Skill!$AH:$AH, MATCH(AT$4, Skill!$C:$C, 0), 1), "")</f>
        <v/>
      </c>
      <c r="AU14" s="94" t="str">
        <f t="array" ref="AU14">IFERROR(INDEX(Skill!$AH:$AH, MATCH(AU$4, Skill!$C:$C, 0), 1), "")</f>
        <v/>
      </c>
      <c r="AV14" s="94">
        <f t="array" ref="AV14">IFERROR(INDEX(Skill!$AH:$AH, MATCH(AV$4, Skill!$C:$C, 0), 1), "")</f>
        <v>1.1</v>
      </c>
      <c r="AW14" s="94" t="str">
        <f t="array" ref="AW14">IFERROR(INDEX(Skill!$AH:$AH, MATCH(AW$4, Skill!$C:$C, 0), 1), "")</f>
        <v/>
      </c>
      <c r="AX14" s="94" t="str">
        <f t="array" ref="AX14">IFERROR(INDEX(Skill!$AH:$AH, MATCH(AX$4, Skill!$C:$C, 0), 1), "")</f>
        <v/>
      </c>
      <c r="AY14" s="94" t="str">
        <f t="array" ref="AY14">IFERROR(INDEX(Skill!$AH:$AH, MATCH(AY$4, Skill!$C:$C, 0), 1), "")</f>
        <v/>
      </c>
      <c r="AZ14" s="94" t="str">
        <f t="array" ref="AZ14">IFERROR(INDEX(Skill!$AH:$AH, MATCH(AZ$4, Skill!$C:$C, 0), 1), "")</f>
        <v/>
      </c>
      <c r="BA14" s="94" t="str">
        <f t="array" ref="BA14">IFERROR(INDEX(Skill!$AH:$AH, MATCH(BA$4, Skill!$C:$C, 0), 1), "")</f>
        <v/>
      </c>
      <c r="BB14" s="94" t="str">
        <f t="array" ref="BB14">IFERROR(INDEX(Skill!$AH:$AH, MATCH(BB$4, Skill!$C:$C, 0), 1), "")</f>
        <v/>
      </c>
      <c r="BC14" s="94" t="str">
        <f t="array" ref="BC14">IFERROR(INDEX(Skill!$AH:$AH, MATCH(BC$4, Skill!$C:$C, 0), 1), "")</f>
        <v/>
      </c>
      <c r="BD14" s="94" t="str">
        <f t="array" ref="BD14">IFERROR(INDEX(Skill!$AH:$AH, MATCH(BD$4, Skill!$C:$C, 0), 1), "")</f>
        <v/>
      </c>
      <c r="BE14" s="94" t="str">
        <f t="array" ref="BE14">IFERROR(INDEX(Skill!$AH:$AH, MATCH(BE$4, Skill!$C:$C, 0), 1), "")</f>
        <v/>
      </c>
      <c r="BF14" s="94">
        <f t="array" ref="BF14">IFERROR(INDEX(Skill!$AH:$AH, MATCH(BF$4, Skill!$C:$C, 0), 1), "")</f>
        <v>1.2</v>
      </c>
      <c r="BG14" s="94" t="str">
        <f t="array" ref="BG14">IFERROR(INDEX(Skill!$AH:$AH, MATCH(BG$4, Skill!$C:$C, 0), 1), "")</f>
        <v/>
      </c>
      <c r="BH14" s="94" t="str">
        <f t="array" ref="BH14">IFERROR(INDEX(Skill!$AH:$AH, MATCH(BH$4, Skill!$C:$C, 0), 1), "")</f>
        <v/>
      </c>
      <c r="BI14" s="94" t="str">
        <f t="array" ref="BI14">IFERROR(INDEX(Skill!$AH:$AH, MATCH(BI$4, Skill!$C:$C, 0), 1), "")</f>
        <v/>
      </c>
      <c r="BJ14" s="94" t="str">
        <f t="array" ref="BJ14">IFERROR(INDEX(Skill!$AH:$AH, MATCH(BJ$4, Skill!$C:$C, 0), 1), "")</f>
        <v/>
      </c>
      <c r="BK14" s="94" t="str">
        <f t="array" ref="BK14">IFERROR(INDEX(Skill!$AH:$AH, MATCH(BK$4, Skill!$C:$C, 0), 1), "")</f>
        <v/>
      </c>
      <c r="BL14" s="94" t="str">
        <f t="array" ref="BL14">IFERROR(INDEX(Skill!$AH:$AH, MATCH(BL$4, Skill!$C:$C, 0), 1), "")</f>
        <v/>
      </c>
      <c r="BM14" s="94" t="str">
        <f t="array" ref="BM14">IFERROR(INDEX(Skill!$AH:$AH, MATCH(BM$4, Skill!$C:$C, 0), 1), "")</f>
        <v/>
      </c>
      <c r="BN14" s="94" t="str">
        <f t="array" ref="BN14">IFERROR(INDEX(Skill!$AH:$AH, MATCH(BN$4, Skill!$C:$C, 0), 1), "")</f>
        <v/>
      </c>
      <c r="BO14" s="94">
        <f t="array" ref="BO14">IFERROR(INDEX(Skill!$AH:$AH, MATCH(BO$4, Skill!$C:$C, 0), 1), "")</f>
        <v>1.1</v>
      </c>
      <c r="BP14" s="94" t="str">
        <f t="array" ref="BP14">IFERROR(INDEX(Skill!$AH:$AH, MATCH(BP$4, Skill!$C:$C, 0), 1), "")</f>
        <v/>
      </c>
      <c r="BQ14" s="94" t="str">
        <f t="array" ref="BQ14">IFERROR(INDEX(Skill!$AH:$AH, MATCH(BQ$4, Skill!$C:$C, 0), 1), "")</f>
        <v/>
      </c>
      <c r="BR14" s="94" t="str">
        <f t="array" ref="BR14">IFERROR(INDEX(Skill!$AH:$AH, MATCH(BR$4, Skill!$C:$C, 0), 1), "")</f>
        <v/>
      </c>
      <c r="BS14" s="94" t="str">
        <f t="array" ref="BS14">IFERROR(INDEX(Skill!$AH:$AH, MATCH(BS$4, Skill!$C:$C, 0), 1), "")</f>
        <v/>
      </c>
      <c r="BT14" s="94" t="str">
        <f t="array" ref="BT14">IFERROR(INDEX(Skill!$AH:$AH, MATCH(BT$4, Skill!$C:$C, 0), 1), "")</f>
        <v/>
      </c>
      <c r="BU14" s="94" t="str">
        <f t="array" ref="BU14">IFERROR(INDEX(Skill!$AH:$AH, MATCH(BU$4, Skill!$C:$C, 0), 1), "")</f>
        <v/>
      </c>
      <c r="BV14" s="94" t="str">
        <f t="array" ref="BV14">IFERROR(INDEX(Skill!$AH:$AH, MATCH(BV$4, Skill!$C:$C, 0), 1), "")</f>
        <v/>
      </c>
      <c r="BW14" s="94" t="str">
        <f t="array" ref="BW14">IFERROR(INDEX(Skill!$AH:$AH, MATCH(BW$4, Skill!$C:$C, 0), 1), "")</f>
        <v/>
      </c>
      <c r="BX14" s="94" t="str">
        <f t="array" ref="BX14">IFERROR(INDEX(Skill!$AH:$AH, MATCH(BX$4, Skill!$C:$C, 0), 1), "")</f>
        <v/>
      </c>
      <c r="BY14" s="94">
        <f t="array" ref="BY14">IFERROR(INDEX(Skill!$AH:$AH, MATCH(BY$4, Skill!$C:$C, 0), 1), "")</f>
        <v>1.1</v>
      </c>
      <c r="BZ14" s="94" t="str">
        <f t="array" ref="BZ14">IFERROR(INDEX(Skill!$AH:$AH, MATCH(BZ$4, Skill!$C:$C, 0), 1), "")</f>
        <v/>
      </c>
      <c r="CA14" s="94" t="str">
        <f t="array" ref="CA14">IFERROR(INDEX(Skill!$AH:$AH, MATCH(CA$4, Skill!$C:$C, 0), 1), "")</f>
        <v/>
      </c>
      <c r="CB14" s="94" t="str">
        <f t="array" ref="CB14">IFERROR(INDEX(Skill!$AH:$AH, MATCH(CB$4, Skill!$C:$C, 0), 1), "")</f>
        <v/>
      </c>
      <c r="CC14" s="94" t="str">
        <f t="array" ref="CC14">IFERROR(INDEX(Skill!$AH:$AH, MATCH(CC$4, Skill!$C:$C, 0), 1), "")</f>
        <v/>
      </c>
      <c r="CD14" s="94" t="str">
        <f t="array" ref="CD14">IFERROR(INDEX(Skill!$AH:$AH, MATCH(CD$4, Skill!$C:$C, 0), 1), "")</f>
        <v/>
      </c>
      <c r="CE14" s="94" t="str">
        <f t="array" ref="CE14">IFERROR(INDEX(Skill!$AH:$AH, MATCH(CE$4, Skill!$C:$C, 0), 1), "")</f>
        <v/>
      </c>
      <c r="CF14" s="94" t="str">
        <f t="array" ref="CF14">IFERROR(INDEX(Skill!$AH:$AH, MATCH(CF$4, Skill!$C:$C, 0), 1), "")</f>
        <v/>
      </c>
      <c r="CG14" s="94" t="str">
        <f t="array" ref="CG14">IFERROR(INDEX(Skill!$AH:$AH, MATCH(CG$4, Skill!$C:$C, 0), 1), "")</f>
        <v/>
      </c>
      <c r="CH14" s="94" t="str">
        <f t="array" ref="CH14">IFERROR(INDEX(Skill!$AH:$AH, MATCH(CH$4, Skill!$C:$C, 0), 1), "")</f>
        <v/>
      </c>
      <c r="CI14" s="94">
        <f t="array" ref="CI14">IFERROR(INDEX(Skill!$AH:$AH, MATCH(CI$4, Skill!$C:$C, 0), 1), "")</f>
        <v>1.2</v>
      </c>
      <c r="CJ14" s="94" t="str">
        <f t="array" ref="CJ14">IFERROR(INDEX(Skill!$AH:$AH, MATCH(CJ$4, Skill!$C:$C, 0), 1), "")</f>
        <v/>
      </c>
      <c r="CK14" s="94" t="str">
        <f t="array" ref="CK14">IFERROR(INDEX(Skill!$AH:$AH, MATCH(CK$4, Skill!$C:$C, 0), 1), "")</f>
        <v/>
      </c>
      <c r="CL14" s="94" t="str">
        <f t="array" ref="CL14">IFERROR(INDEX(Skill!$AH:$AH, MATCH(CL$4, Skill!$C:$C, 0), 1), "")</f>
        <v/>
      </c>
      <c r="CM14" s="94" t="str">
        <f t="array" ref="CM14">IFERROR(INDEX(Skill!$AH:$AH, MATCH(CM$4, Skill!$C:$C, 0), 1), "")</f>
        <v/>
      </c>
      <c r="CN14" s="94" t="str">
        <f t="array" ref="CN14">IFERROR(INDEX(Skill!$AH:$AH, MATCH(CN$4, Skill!$C:$C, 0), 1), "")</f>
        <v/>
      </c>
      <c r="CO14" s="94" t="str">
        <f t="array" ref="CO14">IFERROR(INDEX(Skill!$AH:$AH, MATCH(CO$4, Skill!$C:$C, 0), 1), "")</f>
        <v/>
      </c>
      <c r="CP14" s="94" t="str">
        <f t="array" ref="CP14">IFERROR(INDEX(Skill!$AH:$AH, MATCH(CP$4, Skill!$C:$C, 0), 1), "")</f>
        <v/>
      </c>
      <c r="CQ14" s="94" t="str">
        <f t="array" ref="CQ14">IFERROR(INDEX(Skill!$AH:$AH, MATCH(CQ$4, Skill!$C:$C, 0), 1), "")</f>
        <v/>
      </c>
      <c r="CR14" s="94" t="str">
        <f t="array" ref="CR14">IFERROR(INDEX(Skill!$AH:$AH, MATCH(CR$4, Skill!$C:$C, 0), 1), "")</f>
        <v/>
      </c>
      <c r="CS14" s="94" t="str">
        <f t="array" ref="CS14">IFERROR(INDEX(Skill!$AH:$AH, MATCH(CS$4, Skill!$C:$C, 0), 1), "")</f>
        <v/>
      </c>
      <c r="CT14" s="94" t="str">
        <f t="array" ref="CT14">IFERROR(INDEX(Skill!$AH:$AH, MATCH(CT$4, Skill!$C:$C, 0), 1), "")</f>
        <v/>
      </c>
      <c r="CU14" s="94" t="str">
        <f t="array" ref="CU14">IFERROR(INDEX(Skill!$AH:$AH, MATCH(CU$4, Skill!$C:$C, 0), 1), "")</f>
        <v/>
      </c>
      <c r="CV14" s="94" t="str">
        <f t="array" ref="CV14">IFERROR(INDEX(Skill!$AH:$AH, MATCH(CV$4, Skill!$C:$C, 0), 1), "")</f>
        <v/>
      </c>
      <c r="CW14" s="94" t="str">
        <f t="array" ref="CW14">IFERROR(INDEX(Skill!$AH:$AH, MATCH(CW$4, Skill!$C:$C, 0), 1), "")</f>
        <v/>
      </c>
      <c r="CX14" s="94">
        <f t="array" ref="CX14">IFERROR(INDEX(Skill!$AH:$AH, MATCH(CX$4, Skill!$C:$C, 0), 1), "")</f>
        <v>1.5</v>
      </c>
      <c r="CY14" s="94">
        <f t="array" ref="CY14">IFERROR(INDEX(Skill!$AH:$AH, MATCH(CY$4, Skill!$C:$C, 0), 1), "")</f>
        <v>1.1</v>
      </c>
      <c r="CZ14" s="94" t="str">
        <f t="array" ref="CZ14">IFERROR(INDEX(Skill!$AH:$AH, MATCH(CZ$4, Skill!$C:$C, 0), 1), "")</f>
        <v/>
      </c>
      <c r="DA14" s="94" t="str">
        <f t="array" ref="DA14">IFERROR(INDEX(Skill!$AH:$AH, MATCH(DA$4, Skill!$C:$C, 0), 1), "")</f>
        <v/>
      </c>
      <c r="DB14" s="94" t="str">
        <f t="array" ref="DB14">IFERROR(INDEX(Skill!$AH:$AH, MATCH(DB$4, Skill!$C:$C, 0), 1), "")</f>
        <v/>
      </c>
      <c r="DC14" s="94">
        <f t="array" ref="DC14">IFERROR(INDEX(Skill!$AH:$AH, MATCH(DC$4, Skill!$C:$C, 0), 1), "")</f>
        <v>1.2</v>
      </c>
      <c r="DD14" s="94" t="str">
        <f t="array" ref="DD14">IFERROR(INDEX(Skill!$AH:$AH, MATCH(DD$4, Skill!$C:$C, 0), 1), "")</f>
        <v/>
      </c>
      <c r="DE14" s="94" t="str">
        <f t="array" ref="DE14">IFERROR(INDEX(Skill!$AH:$AH, MATCH(DE$4, Skill!$C:$C, 0), 1), "")</f>
        <v/>
      </c>
      <c r="DF14" s="94" t="str">
        <f t="array" ref="DF14">IFERROR(INDEX(Skill!$AH:$AH, MATCH(DF$4, Skill!$C:$C, 0), 1), "")</f>
        <v/>
      </c>
      <c r="DG14" s="94" t="str">
        <f t="array" ref="DG14">IFERROR(INDEX(Skill!$AH:$AH, MATCH(DG$4, Skill!$C:$C, 0), 1), "")</f>
        <v/>
      </c>
      <c r="DH14" s="94" t="str">
        <f t="array" ref="DH14">IFERROR(INDEX(Skill!$AH:$AH, MATCH(DH$4, Skill!$C:$C, 0), 1), "")</f>
        <v/>
      </c>
      <c r="DI14" s="94" t="str">
        <f t="array" ref="DI14">IFERROR(INDEX(Skill!$AH:$AH, MATCH(DI$4, Skill!$C:$C, 0), 1), "")</f>
        <v/>
      </c>
      <c r="DJ14" s="94" t="str">
        <f t="array" ref="DJ14">IFERROR(INDEX(Skill!$AH:$AH, MATCH(DJ$4, Skill!$C:$C, 0), 1), "")</f>
        <v/>
      </c>
      <c r="DK14" s="94">
        <f t="array" ref="DK14">IFERROR(INDEX(Skill!$AH:$AH, MATCH(DK$4, Skill!$C:$C, 0), 1), "")</f>
        <v>1.1</v>
      </c>
      <c r="DL14" s="94" t="str">
        <f t="array" ref="DL14">IFERROR(INDEX(Skill!$AH:$AH, MATCH(DL$4, Skill!$C:$C, 0), 1), "")</f>
        <v/>
      </c>
      <c r="DM14" s="94" t="str">
        <f t="array" ref="DM14">IFERROR(INDEX(Skill!$AH:$AH, MATCH(DM$4, Skill!$C:$C, 0), 1), "")</f>
        <v/>
      </c>
      <c r="DN14" s="94" t="str">
        <f t="array" ref="DN14">IFERROR(INDEX(Skill!$AH:$AH, MATCH(DN$4, Skill!$C:$C, 0), 1), "")</f>
        <v/>
      </c>
      <c r="DO14" s="94" t="str">
        <f t="array" ref="DO14">IFERROR(INDEX(Skill!$AH:$AH, MATCH(DO$4, Skill!$C:$C, 0), 1), "")</f>
        <v/>
      </c>
      <c r="DP14" s="94" t="str">
        <f t="array" ref="DP14">IFERROR(INDEX(Skill!$AH:$AH, MATCH(DP$4, Skill!$C:$C, 0), 1), "")</f>
        <v/>
      </c>
      <c r="DQ14" s="94" t="str">
        <f t="array" ref="DQ14">IFERROR(INDEX(Skill!$AH:$AH, MATCH(DQ$4, Skill!$C:$C, 0), 1), "")</f>
        <v/>
      </c>
      <c r="DR14" s="94">
        <f t="array" ref="DR14">IFERROR(INDEX(Skill!$AH:$AH, MATCH(DR$4, Skill!$C:$C, 0), 1), "")</f>
        <v>1.15</v>
      </c>
      <c r="DS14" s="94" t="str">
        <f t="array" ref="DS14">IFERROR(INDEX(Skill!$AH:$AH, MATCH(DS$4, Skill!$C:$C, 0), 1), "")</f>
        <v/>
      </c>
      <c r="DT14" s="94" t="str">
        <f t="array" ref="DT14">IFERROR(INDEX(Skill!$AH:$AH, MATCH(DT$4, Skill!$C:$C, 0), 1), "")</f>
        <v/>
      </c>
      <c r="DU14" s="94" t="str">
        <f t="array" ref="DU14">IFERROR(INDEX(Skill!$AH:$AH, MATCH(DU$4, Skill!$C:$C, 0), 1), "")</f>
        <v/>
      </c>
      <c r="DV14" s="94" t="str">
        <f t="array" ref="DV14">IFERROR(INDEX(Skill!$AH:$AH, MATCH(DV$4, Skill!$C:$C, 0), 1), "")</f>
        <v/>
      </c>
      <c r="DW14" s="94" t="str">
        <f t="array" ref="DW14">IFERROR(INDEX(Skill!$AH:$AH, MATCH(DW$4, Skill!$C:$C, 0), 1), "")</f>
        <v/>
      </c>
      <c r="DX14" s="94" t="str">
        <f t="array" ref="DX14">IFERROR(INDEX(Skill!$AH:$AH, MATCH(DX$4, Skill!$C:$C, 0), 1), "")</f>
        <v/>
      </c>
      <c r="DY14" s="94" t="str">
        <f t="array" ref="DY14">IFERROR(INDEX(Skill!$AH:$AH, MATCH(DY$4, Skill!$C:$C, 0), 1), "")</f>
        <v/>
      </c>
      <c r="DZ14" s="94">
        <f t="array" ref="DZ14">IFERROR(INDEX(Skill!$AH:$AH, MATCH(DZ$4, Skill!$C:$C, 0), 1), "")</f>
        <v>1.05</v>
      </c>
      <c r="EA14" s="89" t="str">
        <f t="array" ref="EA14">IFERROR(INDEX(Skill!$AH:$AH, MATCH(EA$4, Skill!$C:$C, 0), 1), "")</f>
        <v/>
      </c>
      <c r="EB14" s="89" t="str">
        <f t="array" ref="EB14">IFERROR(INDEX(Skill!$AH:$AH, MATCH(EB$4, Skill!$C:$C, 0), 1), "")</f>
        <v/>
      </c>
      <c r="EC14" s="89" t="str">
        <f t="array" ref="EC14">IFERROR(INDEX(Skill!$AH:$AH, MATCH(EC$4, Skill!$C:$C, 0), 1), "")</f>
        <v/>
      </c>
      <c r="ED14" s="94" t="str">
        <f t="array" ref="ED14">IFERROR(INDEX(Skill!$AH:$AH, MATCH(ED$4, Skill!$C:$C, 0), 1), "")</f>
        <v/>
      </c>
      <c r="EE14" s="97"/>
      <c r="EF14" s="97"/>
      <c r="EG14" s="97"/>
      <c r="EH14" s="97"/>
      <c r="EI14" s="97"/>
      <c r="EJ14" s="97"/>
      <c r="EK14" s="97"/>
      <c r="EL14" s="97"/>
      <c r="EM14" s="97"/>
      <c r="EN14" s="97"/>
      <c r="EO14" s="97"/>
      <c r="EP14" s="97"/>
      <c r="EQ14" s="97"/>
      <c r="ER14" s="100"/>
      <c r="ES14" s="100"/>
      <c r="ET14" s="100"/>
      <c r="EU14" s="101"/>
      <c r="EV14" s="101"/>
      <c r="EW14" s="101"/>
      <c r="EX14" s="101"/>
      <c r="EY14" s="101"/>
      <c r="EZ14" s="101"/>
      <c r="FA14" s="101"/>
      <c r="FB14" s="101"/>
      <c r="FC14" s="101"/>
      <c r="FD14" s="101"/>
      <c r="FE14" s="101"/>
      <c r="FF14" s="101"/>
      <c r="FG14" s="101"/>
      <c r="FH14" s="101"/>
      <c r="FI14" s="101"/>
      <c r="FJ14" s="101"/>
      <c r="FK14" s="101"/>
      <c r="FL14" s="101"/>
      <c r="FM14" s="101"/>
      <c r="FN14" s="101"/>
      <c r="FO14" s="99"/>
    </row>
    <row r="15" hidden="1">
      <c r="A15" s="3"/>
      <c r="B15" s="90"/>
      <c r="C15" s="90"/>
      <c r="D15" s="83"/>
      <c r="E15" s="90" t="s">
        <v>1053</v>
      </c>
      <c r="F15" s="90"/>
      <c r="G15" s="90"/>
      <c r="H15" s="90"/>
      <c r="I15" s="90"/>
      <c r="J15" s="90"/>
      <c r="K15" s="94" t="str">
        <f t="array" ref="K15">IFERROR(INDEX(Skill!$AJ:$AJ, MATCH(K$4, Skill!$C:$C, 0), 1), "")</f>
        <v/>
      </c>
      <c r="L15" s="94" t="str">
        <f t="array" ref="L15">IFERROR(INDEX(Skill!$AJ:$AJ, MATCH(L$4, Skill!$C:$C, 0), 1), "")</f>
        <v/>
      </c>
      <c r="M15" s="94">
        <f t="array" ref="M15">IFERROR(INDEX(Skill!$AJ:$AJ, MATCH(M$4, Skill!$C:$C, 0), 1), "")</f>
        <v>0.1</v>
      </c>
      <c r="N15" s="94" t="str">
        <f t="array" ref="N15">IFERROR(INDEX(Skill!$AJ:$AJ, MATCH(N$4, Skill!$C:$C, 0), 1), "")</f>
        <v/>
      </c>
      <c r="O15" s="94" t="str">
        <f t="array" ref="O15">IFERROR(INDEX(Skill!$AJ:$AJ, MATCH(O$4, Skill!$C:$C, 0), 1), "")</f>
        <v/>
      </c>
      <c r="P15" s="94" t="str">
        <f t="array" ref="P15">IFERROR(INDEX(Skill!$AJ:$AJ, MATCH(P$4, Skill!$C:$C, 0), 1), "")</f>
        <v/>
      </c>
      <c r="Q15" s="94" t="str">
        <f t="array" ref="Q15">IFERROR(INDEX(Skill!$AJ:$AJ, MATCH(Q$4, Skill!$C:$C, 0), 1), "")</f>
        <v/>
      </c>
      <c r="R15" s="94" t="str">
        <f t="array" ref="R15">IFERROR(INDEX(Skill!$AJ:$AJ, MATCH(R$4, Skill!$C:$C, 0), 1), "")</f>
        <v/>
      </c>
      <c r="S15" s="94" t="str">
        <f t="array" ref="S15">IFERROR(INDEX(Skill!$AJ:$AJ, MATCH(S$4, Skill!$C:$C, 0), 1), "")</f>
        <v/>
      </c>
      <c r="T15" s="94" t="str">
        <f t="array" ref="T15">IFERROR(INDEX(Skill!$AJ:$AJ, MATCH(T$4, Skill!$C:$C, 0), 1), "")</f>
        <v/>
      </c>
      <c r="U15" s="94">
        <f t="array" ref="U15">IFERROR(INDEX(Skill!$AJ:$AJ, MATCH(U$4, Skill!$C:$C, 0), 1), "")</f>
        <v>0.15</v>
      </c>
      <c r="V15" s="94" t="str">
        <f t="array" ref="V15">IFERROR(INDEX(Skill!$AJ:$AJ, MATCH(V$4, Skill!$C:$C, 0), 1), "")</f>
        <v/>
      </c>
      <c r="W15" s="94" t="str">
        <f t="array" ref="W15">IFERROR(INDEX(Skill!$AJ:$AJ, MATCH(W$4, Skill!$C:$C, 0), 1), "")</f>
        <v/>
      </c>
      <c r="X15" s="94" t="str">
        <f t="array" ref="X15">IFERROR(INDEX(Skill!$AJ:$AJ, MATCH(X$4, Skill!$C:$C, 0), 1), "")</f>
        <v/>
      </c>
      <c r="Y15" s="94" t="str">
        <f t="array" ref="Y15">IFERROR(INDEX(Skill!$AJ:$AJ, MATCH(Y$4, Skill!$C:$C, 0), 1), "")</f>
        <v/>
      </c>
      <c r="Z15" s="94" t="str">
        <f t="array" ref="Z15">IFERROR(INDEX(Skill!$AJ:$AJ, MATCH(Z$4, Skill!$C:$C, 0), 1), "")</f>
        <v/>
      </c>
      <c r="AA15" s="94" t="str">
        <f t="array" ref="AA15">IFERROR(INDEX(Skill!$AJ:$AJ, MATCH(AA$4, Skill!$C:$C, 0), 1), "")</f>
        <v/>
      </c>
      <c r="AB15" s="94" t="str">
        <f t="array" ref="AB15">IFERROR(INDEX(Skill!$AJ:$AJ, MATCH(AB$4, Skill!$C:$C, 0), 1), "")</f>
        <v/>
      </c>
      <c r="AC15" s="94" t="str">
        <f t="array" ref="AC15">IFERROR(INDEX(Skill!$AJ:$AJ, MATCH(AC$4, Skill!$C:$C, 0), 1), "")</f>
        <v/>
      </c>
      <c r="AD15" s="94" t="str">
        <f t="array" ref="AD15">IFERROR(INDEX(Skill!$AJ:$AJ, MATCH(AD$4, Skill!$C:$C, 0), 1), "")</f>
        <v/>
      </c>
      <c r="AE15" s="94">
        <f t="array" ref="AE15">IFERROR(INDEX(Skill!$AJ:$AJ, MATCH(AE$4, Skill!$C:$C, 0), 1), "")</f>
        <v>0.25</v>
      </c>
      <c r="AF15" s="94" t="str">
        <f t="array" ref="AF15">IFERROR(INDEX(Skill!$AJ:$AJ, MATCH(AF$4, Skill!$C:$C, 0), 1), "")</f>
        <v/>
      </c>
      <c r="AG15" s="94" t="str">
        <f t="array" ref="AG15">IFERROR(INDEX(Skill!$AJ:$AJ, MATCH(AG$4, Skill!$C:$C, 0), 1), "")</f>
        <v/>
      </c>
      <c r="AH15" s="94" t="str">
        <f t="array" ref="AH15">IFERROR(INDEX(Skill!$AJ:$AJ, MATCH(AH$4, Skill!$C:$C, 0), 1), "")</f>
        <v/>
      </c>
      <c r="AI15" s="94" t="str">
        <f t="array" ref="AI15">IFERROR(INDEX(Skill!$AJ:$AJ, MATCH(AI$4, Skill!$C:$C, 0), 1), "")</f>
        <v/>
      </c>
      <c r="AJ15" s="94" t="str">
        <f t="array" ref="AJ15">IFERROR(INDEX(Skill!$AJ:$AJ, MATCH(AJ$4, Skill!$C:$C, 0), 1), "")</f>
        <v/>
      </c>
      <c r="AK15" s="94" t="str">
        <f t="array" ref="AK15">IFERROR(INDEX(Skill!$AJ:$AJ, MATCH(AK$4, Skill!$C:$C, 0), 1), "")</f>
        <v/>
      </c>
      <c r="AL15" s="94" t="str">
        <f t="array" ref="AL15">IFERROR(INDEX(Skill!$AJ:$AJ, MATCH(AL$4, Skill!$C:$C, 0), 1), "")</f>
        <v/>
      </c>
      <c r="AM15" s="94" t="str">
        <f t="array" ref="AM15">IFERROR(INDEX(Skill!$AJ:$AJ, MATCH(AM$4, Skill!$C:$C, 0), 1), "")</f>
        <v/>
      </c>
      <c r="AN15" s="94" t="str">
        <f t="array" ref="AN15">IFERROR(INDEX(Skill!$AJ:$AJ, MATCH(AN$4, Skill!$C:$C, 0), 1), "")</f>
        <v/>
      </c>
      <c r="AO15" s="94" t="str">
        <f t="array" ref="AO15">IFERROR(INDEX(Skill!$AJ:$AJ, MATCH(AO$4, Skill!$C:$C, 0), 1), "")</f>
        <v/>
      </c>
      <c r="AP15" s="94" t="str">
        <f t="array" ref="AP15">IFERROR(INDEX(Skill!$AJ:$AJ, MATCH(AP$4, Skill!$C:$C, 0), 1), "")</f>
        <v/>
      </c>
      <c r="AQ15" s="94" t="str">
        <f t="array" ref="AQ15">IFERROR(INDEX(Skill!$AJ:$AJ, MATCH(AQ$4, Skill!$C:$C, 0), 1), "")</f>
        <v/>
      </c>
      <c r="AR15" s="94" t="str">
        <f t="array" ref="AR15">IFERROR(INDEX(Skill!$AJ:$AJ, MATCH(AR$4, Skill!$C:$C, 0), 1), "")</f>
        <v/>
      </c>
      <c r="AS15" s="94" t="str">
        <f t="array" ref="AS15">IFERROR(INDEX(Skill!$AJ:$AJ, MATCH(AS$4, Skill!$C:$C, 0), 1), "")</f>
        <v/>
      </c>
      <c r="AT15" s="94" t="str">
        <f t="array" ref="AT15">IFERROR(INDEX(Skill!$AJ:$AJ, MATCH(AT$4, Skill!$C:$C, 0), 1), "")</f>
        <v/>
      </c>
      <c r="AU15" s="94" t="str">
        <f t="array" ref="AU15">IFERROR(INDEX(Skill!$AJ:$AJ, MATCH(AU$4, Skill!$C:$C, 0), 1), "")</f>
        <v/>
      </c>
      <c r="AV15" s="94" t="str">
        <f t="array" ref="AV15">IFERROR(INDEX(Skill!$AJ:$AJ, MATCH(AV$4, Skill!$C:$C, 0), 1), "")</f>
        <v/>
      </c>
      <c r="AW15" s="94" t="str">
        <f t="array" ref="AW15">IFERROR(INDEX(Skill!$AJ:$AJ, MATCH(AW$4, Skill!$C:$C, 0), 1), "")</f>
        <v/>
      </c>
      <c r="AX15" s="94" t="str">
        <f t="array" ref="AX15">IFERROR(INDEX(Skill!$AJ:$AJ, MATCH(AX$4, Skill!$C:$C, 0), 1), "")</f>
        <v/>
      </c>
      <c r="AY15" s="94" t="str">
        <f t="array" ref="AY15">IFERROR(INDEX(Skill!$AJ:$AJ, MATCH(AY$4, Skill!$C:$C, 0), 1), "")</f>
        <v/>
      </c>
      <c r="AZ15" s="94" t="str">
        <f t="array" ref="AZ15">IFERROR(INDEX(Skill!$AJ:$AJ, MATCH(AZ$4, Skill!$C:$C, 0), 1), "")</f>
        <v/>
      </c>
      <c r="BA15" s="94" t="str">
        <f t="array" ref="BA15">IFERROR(INDEX(Skill!$AJ:$AJ, MATCH(BA$4, Skill!$C:$C, 0), 1), "")</f>
        <v/>
      </c>
      <c r="BB15" s="94" t="str">
        <f t="array" ref="BB15">IFERROR(INDEX(Skill!$AJ:$AJ, MATCH(BB$4, Skill!$C:$C, 0), 1), "")</f>
        <v/>
      </c>
      <c r="BC15" s="94" t="str">
        <f t="array" ref="BC15">IFERROR(INDEX(Skill!$AJ:$AJ, MATCH(BC$4, Skill!$C:$C, 0), 1), "")</f>
        <v/>
      </c>
      <c r="BD15" s="94" t="str">
        <f t="array" ref="BD15">IFERROR(INDEX(Skill!$AJ:$AJ, MATCH(BD$4, Skill!$C:$C, 0), 1), "")</f>
        <v/>
      </c>
      <c r="BE15" s="94" t="str">
        <f t="array" ref="BE15">IFERROR(INDEX(Skill!$AJ:$AJ, MATCH(BE$4, Skill!$C:$C, 0), 1), "")</f>
        <v/>
      </c>
      <c r="BF15" s="94" t="str">
        <f t="array" ref="BF15">IFERROR(INDEX(Skill!$AJ:$AJ, MATCH(BF$4, Skill!$C:$C, 0), 1), "")</f>
        <v/>
      </c>
      <c r="BG15" s="94" t="str">
        <f t="array" ref="BG15">IFERROR(INDEX(Skill!$AJ:$AJ, MATCH(BG$4, Skill!$C:$C, 0), 1), "")</f>
        <v/>
      </c>
      <c r="BH15" s="94" t="str">
        <f t="array" ref="BH15">IFERROR(INDEX(Skill!$AJ:$AJ, MATCH(BH$4, Skill!$C:$C, 0), 1), "")</f>
        <v/>
      </c>
      <c r="BI15" s="94" t="str">
        <f t="array" ref="BI15">IFERROR(INDEX(Skill!$AJ:$AJ, MATCH(BI$4, Skill!$C:$C, 0), 1), "")</f>
        <v/>
      </c>
      <c r="BJ15" s="94" t="str">
        <f t="array" ref="BJ15">IFERROR(INDEX(Skill!$AJ:$AJ, MATCH(BJ$4, Skill!$C:$C, 0), 1), "")</f>
        <v/>
      </c>
      <c r="BK15" s="94" t="str">
        <f t="array" ref="BK15">IFERROR(INDEX(Skill!$AJ:$AJ, MATCH(BK$4, Skill!$C:$C, 0), 1), "")</f>
        <v/>
      </c>
      <c r="BL15" s="94" t="str">
        <f t="array" ref="BL15">IFERROR(INDEX(Skill!$AJ:$AJ, MATCH(BL$4, Skill!$C:$C, 0), 1), "")</f>
        <v/>
      </c>
      <c r="BM15" s="94" t="str">
        <f t="array" ref="BM15">IFERROR(INDEX(Skill!$AJ:$AJ, MATCH(BM$4, Skill!$C:$C, 0), 1), "")</f>
        <v/>
      </c>
      <c r="BN15" s="94" t="str">
        <f t="array" ref="BN15">IFERROR(INDEX(Skill!$AJ:$AJ, MATCH(BN$4, Skill!$C:$C, 0), 1), "")</f>
        <v/>
      </c>
      <c r="BO15" s="94" t="str">
        <f t="array" ref="BO15">IFERROR(INDEX(Skill!$AJ:$AJ, MATCH(BO$4, Skill!$C:$C, 0), 1), "")</f>
        <v/>
      </c>
      <c r="BP15" s="94" t="str">
        <f t="array" ref="BP15">IFERROR(INDEX(Skill!$AJ:$AJ, MATCH(BP$4, Skill!$C:$C, 0), 1), "")</f>
        <v/>
      </c>
      <c r="BQ15" s="94" t="str">
        <f t="array" ref="BQ15">IFERROR(INDEX(Skill!$AJ:$AJ, MATCH(BQ$4, Skill!$C:$C, 0), 1), "")</f>
        <v/>
      </c>
      <c r="BR15" s="94" t="str">
        <f t="array" ref="BR15">IFERROR(INDEX(Skill!$AJ:$AJ, MATCH(BR$4, Skill!$C:$C, 0), 1), "")</f>
        <v/>
      </c>
      <c r="BS15" s="94" t="str">
        <f t="array" ref="BS15">IFERROR(INDEX(Skill!$AJ:$AJ, MATCH(BS$4, Skill!$C:$C, 0), 1), "")</f>
        <v/>
      </c>
      <c r="BT15" s="94" t="str">
        <f t="array" ref="BT15">IFERROR(INDEX(Skill!$AJ:$AJ, MATCH(BT$4, Skill!$C:$C, 0), 1), "")</f>
        <v/>
      </c>
      <c r="BU15" s="94" t="str">
        <f t="array" ref="BU15">IFERROR(INDEX(Skill!$AJ:$AJ, MATCH(BU$4, Skill!$C:$C, 0), 1), "")</f>
        <v/>
      </c>
      <c r="BV15" s="94" t="str">
        <f t="array" ref="BV15">IFERROR(INDEX(Skill!$AJ:$AJ, MATCH(BV$4, Skill!$C:$C, 0), 1), "")</f>
        <v/>
      </c>
      <c r="BW15" s="94" t="str">
        <f t="array" ref="BW15">IFERROR(INDEX(Skill!$AJ:$AJ, MATCH(BW$4, Skill!$C:$C, 0), 1), "")</f>
        <v/>
      </c>
      <c r="BX15" s="94" t="str">
        <f t="array" ref="BX15">IFERROR(INDEX(Skill!$AJ:$AJ, MATCH(BX$4, Skill!$C:$C, 0), 1), "")</f>
        <v/>
      </c>
      <c r="BY15" s="94" t="str">
        <f t="array" ref="BY15">IFERROR(INDEX(Skill!$AJ:$AJ, MATCH(BY$4, Skill!$C:$C, 0), 1), "")</f>
        <v/>
      </c>
      <c r="BZ15" s="94" t="str">
        <f t="array" ref="BZ15">IFERROR(INDEX(Skill!$AJ:$AJ, MATCH(BZ$4, Skill!$C:$C, 0), 1), "")</f>
        <v/>
      </c>
      <c r="CA15" s="94" t="str">
        <f t="array" ref="CA15">IFERROR(INDEX(Skill!$AJ:$AJ, MATCH(CA$4, Skill!$C:$C, 0), 1), "")</f>
        <v/>
      </c>
      <c r="CB15" s="94" t="str">
        <f t="array" ref="CB15">IFERROR(INDEX(Skill!$AJ:$AJ, MATCH(CB$4, Skill!$C:$C, 0), 1), "")</f>
        <v/>
      </c>
      <c r="CC15" s="94" t="str">
        <f t="array" ref="CC15">IFERROR(INDEX(Skill!$AJ:$AJ, MATCH(CC$4, Skill!$C:$C, 0), 1), "")</f>
        <v/>
      </c>
      <c r="CD15" s="94" t="str">
        <f t="array" ref="CD15">IFERROR(INDEX(Skill!$AJ:$AJ, MATCH(CD$4, Skill!$C:$C, 0), 1), "")</f>
        <v/>
      </c>
      <c r="CE15" s="94" t="str">
        <f t="array" ref="CE15">IFERROR(INDEX(Skill!$AJ:$AJ, MATCH(CE$4, Skill!$C:$C, 0), 1), "")</f>
        <v/>
      </c>
      <c r="CF15" s="94" t="str">
        <f t="array" ref="CF15">IFERROR(INDEX(Skill!$AJ:$AJ, MATCH(CF$4, Skill!$C:$C, 0), 1), "")</f>
        <v/>
      </c>
      <c r="CG15" s="94" t="str">
        <f t="array" ref="CG15">IFERROR(INDEX(Skill!$AJ:$AJ, MATCH(CG$4, Skill!$C:$C, 0), 1), "")</f>
        <v/>
      </c>
      <c r="CH15" s="94" t="str">
        <f t="array" ref="CH15">IFERROR(INDEX(Skill!$AJ:$AJ, MATCH(CH$4, Skill!$C:$C, 0), 1), "")</f>
        <v/>
      </c>
      <c r="CI15" s="94" t="str">
        <f t="array" ref="CI15">IFERROR(INDEX(Skill!$AJ:$AJ, MATCH(CI$4, Skill!$C:$C, 0), 1), "")</f>
        <v/>
      </c>
      <c r="CJ15" s="94" t="str">
        <f t="array" ref="CJ15">IFERROR(INDEX(Skill!$AJ:$AJ, MATCH(CJ$4, Skill!$C:$C, 0), 1), "")</f>
        <v/>
      </c>
      <c r="CK15" s="94" t="str">
        <f t="array" ref="CK15">IFERROR(INDEX(Skill!$AJ:$AJ, MATCH(CK$4, Skill!$C:$C, 0), 1), "")</f>
        <v/>
      </c>
      <c r="CL15" s="94" t="str">
        <f t="array" ref="CL15">IFERROR(INDEX(Skill!$AJ:$AJ, MATCH(CL$4, Skill!$C:$C, 0), 1), "")</f>
        <v/>
      </c>
      <c r="CM15" s="94" t="str">
        <f t="array" ref="CM15">IFERROR(INDEX(Skill!$AJ:$AJ, MATCH(CM$4, Skill!$C:$C, 0), 1), "")</f>
        <v/>
      </c>
      <c r="CN15" s="94" t="str">
        <f t="array" ref="CN15">IFERROR(INDEX(Skill!$AJ:$AJ, MATCH(CN$4, Skill!$C:$C, 0), 1), "")</f>
        <v/>
      </c>
      <c r="CO15" s="94" t="str">
        <f t="array" ref="CO15">IFERROR(INDEX(Skill!$AJ:$AJ, MATCH(CO$4, Skill!$C:$C, 0), 1), "")</f>
        <v/>
      </c>
      <c r="CP15" s="94" t="str">
        <f t="array" ref="CP15">IFERROR(INDEX(Skill!$AJ:$AJ, MATCH(CP$4, Skill!$C:$C, 0), 1), "")</f>
        <v/>
      </c>
      <c r="CQ15" s="94" t="str">
        <f t="array" ref="CQ15">IFERROR(INDEX(Skill!$AJ:$AJ, MATCH(CQ$4, Skill!$C:$C, 0), 1), "")</f>
        <v/>
      </c>
      <c r="CR15" s="94" t="str">
        <f t="array" ref="CR15">IFERROR(INDEX(Skill!$AJ:$AJ, MATCH(CR$4, Skill!$C:$C, 0), 1), "")</f>
        <v/>
      </c>
      <c r="CS15" s="94" t="str">
        <f t="array" ref="CS15">IFERROR(INDEX(Skill!$AJ:$AJ, MATCH(CS$4, Skill!$C:$C, 0), 1), "")</f>
        <v/>
      </c>
      <c r="CT15" s="94" t="str">
        <f t="array" ref="CT15">IFERROR(INDEX(Skill!$AJ:$AJ, MATCH(CT$4, Skill!$C:$C, 0), 1), "")</f>
        <v/>
      </c>
      <c r="CU15" s="94" t="str">
        <f t="array" ref="CU15">IFERROR(INDEX(Skill!$AJ:$AJ, MATCH(CU$4, Skill!$C:$C, 0), 1), "")</f>
        <v/>
      </c>
      <c r="CV15" s="94" t="str">
        <f t="array" ref="CV15">IFERROR(INDEX(Skill!$AJ:$AJ, MATCH(CV$4, Skill!$C:$C, 0), 1), "")</f>
        <v/>
      </c>
      <c r="CW15" s="94" t="str">
        <f t="array" ref="CW15">IFERROR(INDEX(Skill!$AJ:$AJ, MATCH(CW$4, Skill!$C:$C, 0), 1), "")</f>
        <v/>
      </c>
      <c r="CX15" s="94" t="str">
        <f t="array" ref="CX15">IFERROR(INDEX(Skill!$AJ:$AJ, MATCH(CX$4, Skill!$C:$C, 0), 1), "")</f>
        <v/>
      </c>
      <c r="CY15" s="94" t="str">
        <f t="array" ref="CY15">IFERROR(INDEX(Skill!$AJ:$AJ, MATCH(CY$4, Skill!$C:$C, 0), 1), "")</f>
        <v/>
      </c>
      <c r="CZ15" s="94" t="str">
        <f t="array" ref="CZ15">IFERROR(INDEX(Skill!$AJ:$AJ, MATCH(CZ$4, Skill!$C:$C, 0), 1), "")</f>
        <v/>
      </c>
      <c r="DA15" s="94" t="str">
        <f t="array" ref="DA15">IFERROR(INDEX(Skill!$AJ:$AJ, MATCH(DA$4, Skill!$C:$C, 0), 1), "")</f>
        <v/>
      </c>
      <c r="DB15" s="94" t="str">
        <f t="array" ref="DB15">IFERROR(INDEX(Skill!$AJ:$AJ, MATCH(DB$4, Skill!$C:$C, 0), 1), "")</f>
        <v/>
      </c>
      <c r="DC15" s="94" t="str">
        <f t="array" ref="DC15">IFERROR(INDEX(Skill!$AJ:$AJ, MATCH(DC$4, Skill!$C:$C, 0), 1), "")</f>
        <v/>
      </c>
      <c r="DD15" s="94" t="str">
        <f t="array" ref="DD15">IFERROR(INDEX(Skill!$AJ:$AJ, MATCH(DD$4, Skill!$C:$C, 0), 1), "")</f>
        <v/>
      </c>
      <c r="DE15" s="94" t="str">
        <f t="array" ref="DE15">IFERROR(INDEX(Skill!$AJ:$AJ, MATCH(DE$4, Skill!$C:$C, 0), 1), "")</f>
        <v/>
      </c>
      <c r="DF15" s="94" t="str">
        <f t="array" ref="DF15">IFERROR(INDEX(Skill!$AJ:$AJ, MATCH(DF$4, Skill!$C:$C, 0), 1), "")</f>
        <v/>
      </c>
      <c r="DG15" s="94" t="str">
        <f t="array" ref="DG15">IFERROR(INDEX(Skill!$AJ:$AJ, MATCH(DG$4, Skill!$C:$C, 0), 1), "")</f>
        <v/>
      </c>
      <c r="DH15" s="94" t="str">
        <f t="array" ref="DH15">IFERROR(INDEX(Skill!$AJ:$AJ, MATCH(DH$4, Skill!$C:$C, 0), 1), "")</f>
        <v/>
      </c>
      <c r="DI15" s="94" t="str">
        <f t="array" ref="DI15">IFERROR(INDEX(Skill!$AJ:$AJ, MATCH(DI$4, Skill!$C:$C, 0), 1), "")</f>
        <v/>
      </c>
      <c r="DJ15" s="94" t="str">
        <f t="array" ref="DJ15">IFERROR(INDEX(Skill!$AJ:$AJ, MATCH(DJ$4, Skill!$C:$C, 0), 1), "")</f>
        <v/>
      </c>
      <c r="DK15" s="94" t="str">
        <f t="array" ref="DK15">IFERROR(INDEX(Skill!$AJ:$AJ, MATCH(DK$4, Skill!$C:$C, 0), 1), "")</f>
        <v/>
      </c>
      <c r="DL15" s="94" t="str">
        <f t="array" ref="DL15">IFERROR(INDEX(Skill!$AJ:$AJ, MATCH(DL$4, Skill!$C:$C, 0), 1), "")</f>
        <v/>
      </c>
      <c r="DM15" s="94" t="str">
        <f t="array" ref="DM15">IFERROR(INDEX(Skill!$AJ:$AJ, MATCH(DM$4, Skill!$C:$C, 0), 1), "")</f>
        <v/>
      </c>
      <c r="DN15" s="94" t="str">
        <f t="array" ref="DN15">IFERROR(INDEX(Skill!$AJ:$AJ, MATCH(DN$4, Skill!$C:$C, 0), 1), "")</f>
        <v/>
      </c>
      <c r="DO15" s="94" t="str">
        <f t="array" ref="DO15">IFERROR(INDEX(Skill!$AJ:$AJ, MATCH(DO$4, Skill!$C:$C, 0), 1), "")</f>
        <v/>
      </c>
      <c r="DP15" s="94" t="str">
        <f t="array" ref="DP15">IFERROR(INDEX(Skill!$AJ:$AJ, MATCH(DP$4, Skill!$C:$C, 0), 1), "")</f>
        <v/>
      </c>
      <c r="DQ15" s="94" t="str">
        <f t="array" ref="DQ15">IFERROR(INDEX(Skill!$AJ:$AJ, MATCH(DQ$4, Skill!$C:$C, 0), 1), "")</f>
        <v/>
      </c>
      <c r="DR15" s="94" t="str">
        <f t="array" ref="DR15">IFERROR(INDEX(Skill!$AJ:$AJ, MATCH(DR$4, Skill!$C:$C, 0), 1), "")</f>
        <v/>
      </c>
      <c r="DS15" s="94" t="str">
        <f t="array" ref="DS15">IFERROR(INDEX(Skill!$AJ:$AJ, MATCH(DS$4, Skill!$C:$C, 0), 1), "")</f>
        <v/>
      </c>
      <c r="DT15" s="94" t="str">
        <f t="array" ref="DT15">IFERROR(INDEX(Skill!$AJ:$AJ, MATCH(DT$4, Skill!$C:$C, 0), 1), "")</f>
        <v/>
      </c>
      <c r="DU15" s="94" t="str">
        <f t="array" ref="DU15">IFERROR(INDEX(Skill!$AJ:$AJ, MATCH(DU$4, Skill!$C:$C, 0), 1), "")</f>
        <v/>
      </c>
      <c r="DV15" s="94">
        <f t="array" ref="DV15">IFERROR(INDEX(Skill!$AJ:$AJ, MATCH(DV$4, Skill!$C:$C, 0), 1), "")</f>
        <v>0.05</v>
      </c>
      <c r="DW15" s="94" t="str">
        <f t="array" ref="DW15">IFERROR(INDEX(Skill!$AJ:$AJ, MATCH(DW$4, Skill!$C:$C, 0), 1), "")</f>
        <v/>
      </c>
      <c r="DX15" s="94" t="str">
        <f t="array" ref="DX15">IFERROR(INDEX(Skill!$AJ:$AJ, MATCH(DX$4, Skill!$C:$C, 0), 1), "")</f>
        <v/>
      </c>
      <c r="DY15" s="94" t="str">
        <f t="array" ref="DY15">IFERROR(INDEX(Skill!$AJ:$AJ, MATCH(DY$4, Skill!$C:$C, 0), 1), "")</f>
        <v/>
      </c>
      <c r="DZ15" s="94" t="str">
        <f t="array" ref="DZ15">IFERROR(INDEX(Skill!$AJ:$AJ, MATCH(DZ$4, Skill!$C:$C, 0), 1), "")</f>
        <v/>
      </c>
      <c r="EA15" s="89" t="str">
        <f t="array" ref="EA15">IFERROR(INDEX(Skill!$AJ:$AJ, MATCH(EA$4, Skill!$C:$C, 0), 1), "")</f>
        <v/>
      </c>
      <c r="EB15" s="89" t="str">
        <f t="array" ref="EB15">IFERROR(INDEX(Skill!$AJ:$AJ, MATCH(EB$4, Skill!$C:$C, 0), 1), "")</f>
        <v/>
      </c>
      <c r="EC15" s="89">
        <f t="array" ref="EC15">IFERROR(INDEX(Skill!$AJ:$AJ, MATCH(EC$4, Skill!$C:$C, 0), 1), "")</f>
        <v>0.1</v>
      </c>
      <c r="ED15" s="94" t="str">
        <f t="array" ref="ED15">IFERROR(INDEX(Skill!$AJ:$AJ, MATCH(ED$4, Skill!$C:$C, 0), 1), "")</f>
        <v/>
      </c>
      <c r="EE15" s="97"/>
      <c r="EF15" s="97"/>
      <c r="EG15" s="97"/>
      <c r="EH15" s="97"/>
      <c r="EI15" s="97"/>
      <c r="EJ15" s="97"/>
      <c r="EK15" s="97"/>
      <c r="EL15" s="97"/>
      <c r="EM15" s="97"/>
      <c r="EN15" s="97"/>
      <c r="EO15" s="97"/>
      <c r="EP15" s="97"/>
      <c r="EQ15" s="97"/>
      <c r="ER15" s="100"/>
      <c r="ES15" s="100"/>
      <c r="ET15" s="100"/>
      <c r="EU15" s="101"/>
      <c r="EV15" s="101"/>
      <c r="EW15" s="101"/>
      <c r="EX15" s="101"/>
      <c r="EY15" s="101"/>
      <c r="EZ15" s="101"/>
      <c r="FA15" s="101"/>
      <c r="FB15" s="101"/>
      <c r="FC15" s="101"/>
      <c r="FD15" s="101"/>
      <c r="FE15" s="101"/>
      <c r="FF15" s="101"/>
      <c r="FG15" s="101"/>
      <c r="FH15" s="101"/>
      <c r="FI15" s="101"/>
      <c r="FJ15" s="101"/>
      <c r="FK15" s="101"/>
      <c r="FL15" s="101"/>
      <c r="FM15" s="101"/>
      <c r="FN15" s="101"/>
      <c r="FO15" s="99"/>
    </row>
    <row r="16" hidden="1">
      <c r="B16" s="84"/>
      <c r="C16" s="83"/>
      <c r="D16" s="83"/>
      <c r="E16" s="84" t="s">
        <v>1043</v>
      </c>
      <c r="F16" s="84"/>
      <c r="G16" s="84"/>
      <c r="H16" s="84"/>
      <c r="I16" s="84"/>
      <c r="J16" s="84"/>
      <c r="K16" s="94" t="str">
        <f t="array" ref="K16">IFERROR(INDEX(Skill!$AP:$AP, MATCH(K$4, Skill!$C:$C, 0), 1), "")</f>
        <v/>
      </c>
      <c r="L16" s="94" t="str">
        <f t="array" ref="L16">IFERROR(INDEX(Skill!$AP:$AP, MATCH(L$4, Skill!$C:$C, 0), 1), "")</f>
        <v/>
      </c>
      <c r="M16" s="94" t="str">
        <f t="array" ref="M16">IFERROR(INDEX(Skill!$AP:$AP, MATCH(M$4, Skill!$C:$C, 0), 1), "")</f>
        <v/>
      </c>
      <c r="N16" s="94" t="str">
        <f t="array" ref="N16">IFERROR(INDEX(Skill!$AP:$AP, MATCH(N$4, Skill!$C:$C, 0), 1), "")</f>
        <v/>
      </c>
      <c r="O16" s="94" t="str">
        <f t="array" ref="O16">IFERROR(INDEX(Skill!$AP:$AP, MATCH(O$4, Skill!$C:$C, 0), 1), "")</f>
        <v/>
      </c>
      <c r="P16" s="94" t="str">
        <f t="array" ref="P16">IFERROR(INDEX(Skill!$AP:$AP, MATCH(P$4, Skill!$C:$C, 0), 1), "")</f>
        <v/>
      </c>
      <c r="Q16" s="94">
        <f t="array" ref="Q16">IFERROR(INDEX(Skill!$AP:$AP, MATCH(Q$4, Skill!$C:$C, 0), 1), "")</f>
        <v>1000</v>
      </c>
      <c r="R16" s="94" t="str">
        <f t="array" ref="R16">IFERROR(INDEX(Skill!$AP:$AP, MATCH(R$4, Skill!$C:$C, 0), 1), "")</f>
        <v/>
      </c>
      <c r="S16" s="94" t="str">
        <f t="array" ref="S16">IFERROR(INDEX(Skill!$AP:$AP, MATCH(S$4, Skill!$C:$C, 0), 1), "")</f>
        <v/>
      </c>
      <c r="T16" s="94" t="str">
        <f t="array" ref="T16">IFERROR(INDEX(Skill!$AP:$AP, MATCH(T$4, Skill!$C:$C, 0), 1), "")</f>
        <v/>
      </c>
      <c r="U16" s="94" t="str">
        <f t="array" ref="U16">IFERROR(INDEX(Skill!$AP:$AP, MATCH(U$4, Skill!$C:$C, 0), 1), "")</f>
        <v/>
      </c>
      <c r="V16" s="94" t="str">
        <f t="array" ref="V16">IFERROR(INDEX(Skill!$AP:$AP, MATCH(V$4, Skill!$C:$C, 0), 1), "")</f>
        <v/>
      </c>
      <c r="W16" s="94" t="str">
        <f t="array" ref="W16">IFERROR(INDEX(Skill!$AP:$AP, MATCH(W$4, Skill!$C:$C, 0), 1), "")</f>
        <v/>
      </c>
      <c r="X16" s="94" t="str">
        <f t="array" ref="X16">IFERROR(INDEX(Skill!$AP:$AP, MATCH(X$4, Skill!$C:$C, 0), 1), "")</f>
        <v/>
      </c>
      <c r="Y16" s="94" t="str">
        <f t="array" ref="Y16">IFERROR(INDEX(Skill!$AP:$AP, MATCH(Y$4, Skill!$C:$C, 0), 1), "")</f>
        <v/>
      </c>
      <c r="Z16" s="94" t="str">
        <f t="array" ref="Z16">IFERROR(INDEX(Skill!$AP:$AP, MATCH(Z$4, Skill!$C:$C, 0), 1), "")</f>
        <v/>
      </c>
      <c r="AA16" s="94" t="str">
        <f t="array" ref="AA16">IFERROR(INDEX(Skill!$AP:$AP, MATCH(AA$4, Skill!$C:$C, 0), 1), "")</f>
        <v/>
      </c>
      <c r="AB16" s="94" t="str">
        <f t="array" ref="AB16">IFERROR(INDEX(Skill!$AP:$AP, MATCH(AB$4, Skill!$C:$C, 0), 1), "")</f>
        <v/>
      </c>
      <c r="AC16" s="94" t="str">
        <f t="array" ref="AC16">IFERROR(INDEX(Skill!$AP:$AP, MATCH(AC$4, Skill!$C:$C, 0), 1), "")</f>
        <v/>
      </c>
      <c r="AD16" s="94" t="str">
        <f t="array" ref="AD16">IFERROR(INDEX(Skill!$AP:$AP, MATCH(AD$4, Skill!$C:$C, 0), 1), "")</f>
        <v/>
      </c>
      <c r="AE16" s="94" t="str">
        <f t="array" ref="AE16">IFERROR(INDEX(Skill!$AP:$AP, MATCH(AE$4, Skill!$C:$C, 0), 1), "")</f>
        <v/>
      </c>
      <c r="AF16" s="94" t="str">
        <f t="array" ref="AF16">IFERROR(INDEX(Skill!$AP:$AP, MATCH(AF$4, Skill!$C:$C, 0), 1), "")</f>
        <v/>
      </c>
      <c r="AG16" s="94" t="str">
        <f t="array" ref="AG16">IFERROR(INDEX(Skill!$AP:$AP, MATCH(AG$4, Skill!$C:$C, 0), 1), "")</f>
        <v/>
      </c>
      <c r="AH16" s="94" t="str">
        <f t="array" ref="AH16">IFERROR(INDEX(Skill!$AP:$AP, MATCH(AH$4, Skill!$C:$C, 0), 1), "")</f>
        <v/>
      </c>
      <c r="AI16" s="94" t="str">
        <f t="array" ref="AI16">IFERROR(INDEX(Skill!$AP:$AP, MATCH(AI$4, Skill!$C:$C, 0), 1), "")</f>
        <v/>
      </c>
      <c r="AJ16" s="94" t="str">
        <f t="array" ref="AJ16">IFERROR(INDEX(Skill!$AP:$AP, MATCH(AJ$4, Skill!$C:$C, 0), 1), "")</f>
        <v/>
      </c>
      <c r="AK16" s="94" t="str">
        <f t="array" ref="AK16">IFERROR(INDEX(Skill!$AP:$AP, MATCH(AK$4, Skill!$C:$C, 0), 1), "")</f>
        <v/>
      </c>
      <c r="AL16" s="94" t="str">
        <f t="array" ref="AL16">IFERROR(INDEX(Skill!$AP:$AP, MATCH(AL$4, Skill!$C:$C, 0), 1), "")</f>
        <v/>
      </c>
      <c r="AM16" s="94" t="str">
        <f t="array" ref="AM16">IFERROR(INDEX(Skill!$AP:$AP, MATCH(AM$4, Skill!$C:$C, 0), 1), "")</f>
        <v/>
      </c>
      <c r="AN16" s="94" t="str">
        <f t="array" ref="AN16">IFERROR(INDEX(Skill!$AP:$AP, MATCH(AN$4, Skill!$C:$C, 0), 1), "")</f>
        <v/>
      </c>
      <c r="AO16" s="94" t="str">
        <f t="array" ref="AO16">IFERROR(INDEX(Skill!$AP:$AP, MATCH(AO$4, Skill!$C:$C, 0), 1), "")</f>
        <v/>
      </c>
      <c r="AP16" s="94" t="str">
        <f t="array" ref="AP16">IFERROR(INDEX(Skill!$AP:$AP, MATCH(AP$4, Skill!$C:$C, 0), 1), "")</f>
        <v/>
      </c>
      <c r="AQ16" s="94" t="str">
        <f t="array" ref="AQ16">IFERROR(INDEX(Skill!$AP:$AP, MATCH(AQ$4, Skill!$C:$C, 0), 1), "")</f>
        <v/>
      </c>
      <c r="AR16" s="94" t="str">
        <f t="array" ref="AR16">IFERROR(INDEX(Skill!$AP:$AP, MATCH(AR$4, Skill!$C:$C, 0), 1), "")</f>
        <v/>
      </c>
      <c r="AS16" s="94" t="str">
        <f t="array" ref="AS16">IFERROR(INDEX(Skill!$AP:$AP, MATCH(AS$4, Skill!$C:$C, 0), 1), "")</f>
        <v/>
      </c>
      <c r="AT16" s="94">
        <f t="array" ref="AT16">IFERROR(INDEX(Skill!$AP:$AP, MATCH(AT$4, Skill!$C:$C, 0), 1), "")</f>
        <v>400</v>
      </c>
      <c r="AU16" s="94" t="str">
        <f t="array" ref="AU16">IFERROR(INDEX(Skill!$AP:$AP, MATCH(AU$4, Skill!$C:$C, 0), 1), "")</f>
        <v/>
      </c>
      <c r="AV16" s="94" t="str">
        <f t="array" ref="AV16">IFERROR(INDEX(Skill!$AP:$AP, MATCH(AV$4, Skill!$C:$C, 0), 1), "")</f>
        <v/>
      </c>
      <c r="AW16" s="94" t="str">
        <f t="array" ref="AW16">IFERROR(INDEX(Skill!$AP:$AP, MATCH(AW$4, Skill!$C:$C, 0), 1), "")</f>
        <v/>
      </c>
      <c r="AX16" s="94" t="str">
        <f t="array" ref="AX16">IFERROR(INDEX(Skill!$AP:$AP, MATCH(AX$4, Skill!$C:$C, 0), 1), "")</f>
        <v/>
      </c>
      <c r="AY16" s="94" t="str">
        <f t="array" ref="AY16">IFERROR(INDEX(Skill!$AP:$AP, MATCH(AY$4, Skill!$C:$C, 0), 1), "")</f>
        <v/>
      </c>
      <c r="AZ16" s="94">
        <f t="array" ref="AZ16">IFERROR(INDEX(Skill!$AP:$AP, MATCH(AZ$4, Skill!$C:$C, 0), 1), "")</f>
        <v>500</v>
      </c>
      <c r="BA16" s="94" t="str">
        <f t="array" ref="BA16">IFERROR(INDEX(Skill!$AP:$AP, MATCH(BA$4, Skill!$C:$C, 0), 1), "")</f>
        <v/>
      </c>
      <c r="BB16" s="94" t="str">
        <f t="array" ref="BB16">IFERROR(INDEX(Skill!$AP:$AP, MATCH(BB$4, Skill!$C:$C, 0), 1), "")</f>
        <v/>
      </c>
      <c r="BC16" s="94" t="str">
        <f t="array" ref="BC16">IFERROR(INDEX(Skill!$AP:$AP, MATCH(BC$4, Skill!$C:$C, 0), 1), "")</f>
        <v/>
      </c>
      <c r="BD16" s="94" t="str">
        <f t="array" ref="BD16">IFERROR(INDEX(Skill!$AP:$AP, MATCH(BD$4, Skill!$C:$C, 0), 1), "")</f>
        <v/>
      </c>
      <c r="BE16" s="94" t="str">
        <f t="array" ref="BE16">IFERROR(INDEX(Skill!$AP:$AP, MATCH(BE$4, Skill!$C:$C, 0), 1), "")</f>
        <v/>
      </c>
      <c r="BF16" s="94" t="str">
        <f t="array" ref="BF16">IFERROR(INDEX(Skill!$AP:$AP, MATCH(BF$4, Skill!$C:$C, 0), 1), "")</f>
        <v/>
      </c>
      <c r="BG16" s="94" t="str">
        <f t="array" ref="BG16">IFERROR(INDEX(Skill!$AP:$AP, MATCH(BG$4, Skill!$C:$C, 0), 1), "")</f>
        <v/>
      </c>
      <c r="BH16" s="94" t="str">
        <f t="array" ref="BH16">IFERROR(INDEX(Skill!$AP:$AP, MATCH(BH$4, Skill!$C:$C, 0), 1), "")</f>
        <v/>
      </c>
      <c r="BI16" s="94" t="str">
        <f t="array" ref="BI16">IFERROR(INDEX(Skill!$AP:$AP, MATCH(BI$4, Skill!$C:$C, 0), 1), "")</f>
        <v/>
      </c>
      <c r="BJ16" s="94" t="str">
        <f t="array" ref="BJ16">IFERROR(INDEX(Skill!$AP:$AP, MATCH(BJ$4, Skill!$C:$C, 0), 1), "")</f>
        <v/>
      </c>
      <c r="BK16" s="94" t="str">
        <f t="array" ref="BK16">IFERROR(INDEX(Skill!$AP:$AP, MATCH(BK$4, Skill!$C:$C, 0), 1), "")</f>
        <v/>
      </c>
      <c r="BL16" s="94" t="str">
        <f t="array" ref="BL16">IFERROR(INDEX(Skill!$AP:$AP, MATCH(BL$4, Skill!$C:$C, 0), 1), "")</f>
        <v/>
      </c>
      <c r="BM16" s="94" t="str">
        <f t="array" ref="BM16">IFERROR(INDEX(Skill!$AP:$AP, MATCH(BM$4, Skill!$C:$C, 0), 1), "")</f>
        <v/>
      </c>
      <c r="BN16" s="94" t="str">
        <f t="array" ref="BN16">IFERROR(INDEX(Skill!$AP:$AP, MATCH(BN$4, Skill!$C:$C, 0), 1), "")</f>
        <v/>
      </c>
      <c r="BO16" s="94" t="str">
        <f t="array" ref="BO16">IFERROR(INDEX(Skill!$AP:$AP, MATCH(BO$4, Skill!$C:$C, 0), 1), "")</f>
        <v/>
      </c>
      <c r="BP16" s="94">
        <f t="array" ref="BP16">IFERROR(INDEX(Skill!$AP:$AP, MATCH(BP$4, Skill!$C:$C, 0), 1), "")</f>
        <v>400</v>
      </c>
      <c r="BQ16" s="94" t="str">
        <f t="array" ref="BQ16">IFERROR(INDEX(Skill!$AP:$AP, MATCH(BQ$4, Skill!$C:$C, 0), 1), "")</f>
        <v/>
      </c>
      <c r="BR16" s="94" t="str">
        <f t="array" ref="BR16">IFERROR(INDEX(Skill!$AP:$AP, MATCH(BR$4, Skill!$C:$C, 0), 1), "")</f>
        <v/>
      </c>
      <c r="BS16" s="94" t="str">
        <f t="array" ref="BS16">IFERROR(INDEX(Skill!$AP:$AP, MATCH(BS$4, Skill!$C:$C, 0), 1), "")</f>
        <v/>
      </c>
      <c r="BT16" s="94" t="str">
        <f t="array" ref="BT16">IFERROR(INDEX(Skill!$AP:$AP, MATCH(BT$4, Skill!$C:$C, 0), 1), "")</f>
        <v/>
      </c>
      <c r="BU16" s="94" t="str">
        <f t="array" ref="BU16">IFERROR(INDEX(Skill!$AP:$AP, MATCH(BU$4, Skill!$C:$C, 0), 1), "")</f>
        <v/>
      </c>
      <c r="BV16" s="94">
        <f t="array" ref="BV16">IFERROR(INDEX(Skill!$AP:$AP, MATCH(BV$4, Skill!$C:$C, 0), 1), "")</f>
        <v>400</v>
      </c>
      <c r="BW16" s="94" t="str">
        <f t="array" ref="BW16">IFERROR(INDEX(Skill!$AP:$AP, MATCH(BW$4, Skill!$C:$C, 0), 1), "")</f>
        <v/>
      </c>
      <c r="BX16" s="94" t="str">
        <f t="array" ref="BX16">IFERROR(INDEX(Skill!$AP:$AP, MATCH(BX$4, Skill!$C:$C, 0), 1), "")</f>
        <v/>
      </c>
      <c r="BY16" s="94" t="str">
        <f t="array" ref="BY16">IFERROR(INDEX(Skill!$AP:$AP, MATCH(BY$4, Skill!$C:$C, 0), 1), "")</f>
        <v/>
      </c>
      <c r="BZ16" s="94" t="str">
        <f t="array" ref="BZ16">IFERROR(INDEX(Skill!$AP:$AP, MATCH(BZ$4, Skill!$C:$C, 0), 1), "")</f>
        <v/>
      </c>
      <c r="CA16" s="94" t="str">
        <f t="array" ref="CA16">IFERROR(INDEX(Skill!$AP:$AP, MATCH(CA$4, Skill!$C:$C, 0), 1), "")</f>
        <v/>
      </c>
      <c r="CB16" s="94" t="str">
        <f t="array" ref="CB16">IFERROR(INDEX(Skill!$AP:$AP, MATCH(CB$4, Skill!$C:$C, 0), 1), "")</f>
        <v/>
      </c>
      <c r="CC16" s="94">
        <f t="array" ref="CC16">IFERROR(INDEX(Skill!$AP:$AP, MATCH(CC$4, Skill!$C:$C, 0), 1), "")</f>
        <v>360</v>
      </c>
      <c r="CD16" s="94" t="str">
        <f t="array" ref="CD16">IFERROR(INDEX(Skill!$AP:$AP, MATCH(CD$4, Skill!$C:$C, 0), 1), "")</f>
        <v/>
      </c>
      <c r="CE16" s="94" t="str">
        <f t="array" ref="CE16">IFERROR(INDEX(Skill!$AP:$AP, MATCH(CE$4, Skill!$C:$C, 0), 1), "")</f>
        <v/>
      </c>
      <c r="CF16" s="94" t="str">
        <f t="array" ref="CF16">IFERROR(INDEX(Skill!$AP:$AP, MATCH(CF$4, Skill!$C:$C, 0), 1), "")</f>
        <v/>
      </c>
      <c r="CG16" s="94" t="str">
        <f t="array" ref="CG16">IFERROR(INDEX(Skill!$AP:$AP, MATCH(CG$4, Skill!$C:$C, 0), 1), "")</f>
        <v/>
      </c>
      <c r="CH16" s="94">
        <f t="array" ref="CH16">IFERROR(INDEX(Skill!$AP:$AP, MATCH(CH$4, Skill!$C:$C, 0), 1), "")</f>
        <v>162.5</v>
      </c>
      <c r="CI16" s="94" t="str">
        <f t="array" ref="CI16">IFERROR(INDEX(Skill!$AP:$AP, MATCH(CI$4, Skill!$C:$C, 0), 1), "")</f>
        <v/>
      </c>
      <c r="CJ16" s="94" t="str">
        <f t="array" ref="CJ16">IFERROR(INDEX(Skill!$AP:$AP, MATCH(CJ$4, Skill!$C:$C, 0), 1), "")</f>
        <v/>
      </c>
      <c r="CK16" s="94" t="str">
        <f t="array" ref="CK16">IFERROR(INDEX(Skill!$AP:$AP, MATCH(CK$4, Skill!$C:$C, 0), 1), "")</f>
        <v/>
      </c>
      <c r="CL16" s="94">
        <f t="array" ref="CL16">IFERROR(INDEX(Skill!$AP:$AP, MATCH(CL$4, Skill!$C:$C, 0), 1), "")</f>
        <v>432</v>
      </c>
      <c r="CM16" s="94">
        <f t="array" ref="CM16">IFERROR(INDEX(Skill!$AP:$AP, MATCH(CM$4, Skill!$C:$C, 0), 1), "")</f>
        <v>648</v>
      </c>
      <c r="CN16" s="94" t="str">
        <f t="array" ref="CN16">IFERROR(INDEX(Skill!$AP:$AP, MATCH(CN$4, Skill!$C:$C, 0), 1), "")</f>
        <v/>
      </c>
      <c r="CO16" s="94" t="str">
        <f t="array" ref="CO16">IFERROR(INDEX(Skill!$AP:$AP, MATCH(CO$4, Skill!$C:$C, 0), 1), "")</f>
        <v/>
      </c>
      <c r="CP16" s="94">
        <f t="array" ref="CP16">IFERROR(INDEX(Skill!$AP:$AP, MATCH(CP$4, Skill!$C:$C, 0), 1), "")</f>
        <v>540</v>
      </c>
      <c r="CQ16" s="94" t="str">
        <f t="array" ref="CQ16">IFERROR(INDEX(Skill!$AP:$AP, MATCH(CQ$4, Skill!$C:$C, 0), 1), "")</f>
        <v/>
      </c>
      <c r="CR16" s="94" t="str">
        <f t="array" ref="CR16">IFERROR(INDEX(Skill!$AP:$AP, MATCH(CR$4, Skill!$C:$C, 0), 1), "")</f>
        <v/>
      </c>
      <c r="CS16" s="94" t="str">
        <f t="array" ref="CS16">IFERROR(INDEX(Skill!$AP:$AP, MATCH(CS$4, Skill!$C:$C, 0), 1), "")</f>
        <v/>
      </c>
      <c r="CT16" s="94">
        <f t="array" ref="CT16">IFERROR(INDEX(Skill!$AP:$AP, MATCH(CT$4, Skill!$C:$C, 0), 1), "")</f>
        <v>300</v>
      </c>
      <c r="CU16" s="94" t="str">
        <f t="array" ref="CU16">IFERROR(INDEX(Skill!$AP:$AP, MATCH(CU$4, Skill!$C:$C, 0), 1), "")</f>
        <v/>
      </c>
      <c r="CV16" s="94">
        <f t="array" ref="CV16">IFERROR(INDEX(Skill!$AP:$AP, MATCH(CV$4, Skill!$C:$C, 0), 1), "")</f>
        <v>360</v>
      </c>
      <c r="CW16" s="94">
        <f t="array" ref="CW16">IFERROR(INDEX(Skill!$AP:$AP, MATCH(CW$4, Skill!$C:$C, 0), 1), "")</f>
        <v>200</v>
      </c>
      <c r="CX16" s="94" t="str">
        <f t="array" ref="CX16">IFERROR(INDEX(Skill!$AP:$AP, MATCH(CX$4, Skill!$C:$C, 0), 1), "")</f>
        <v/>
      </c>
      <c r="CY16" s="94" t="str">
        <f t="array" ref="CY16">IFERROR(INDEX(Skill!$AP:$AP, MATCH(CY$4, Skill!$C:$C, 0), 1), "")</f>
        <v/>
      </c>
      <c r="CZ16" s="94" t="str">
        <f t="array" ref="CZ16">IFERROR(INDEX(Skill!$AP:$AP, MATCH(CZ$4, Skill!$C:$C, 0), 1), "")</f>
        <v/>
      </c>
      <c r="DA16" s="94" t="str">
        <f t="array" ref="DA16">IFERROR(INDEX(Skill!$AP:$AP, MATCH(DA$4, Skill!$C:$C, 0), 1), "")</f>
        <v/>
      </c>
      <c r="DB16" s="94" t="str">
        <f t="array" ref="DB16">IFERROR(INDEX(Skill!$AP:$AP, MATCH(DB$4, Skill!$C:$C, 0), 1), "")</f>
        <v/>
      </c>
      <c r="DC16" s="94" t="str">
        <f t="array" ref="DC16">IFERROR(INDEX(Skill!$AP:$AP, MATCH(DC$4, Skill!$C:$C, 0), 1), "")</f>
        <v/>
      </c>
      <c r="DD16" s="94" t="str">
        <f t="array" ref="DD16">IFERROR(INDEX(Skill!$AP:$AP, MATCH(DD$4, Skill!$C:$C, 0), 1), "")</f>
        <v/>
      </c>
      <c r="DE16" s="94" t="str">
        <f t="array" ref="DE16">IFERROR(INDEX(Skill!$AP:$AP, MATCH(DE$4, Skill!$C:$C, 0), 1), "")</f>
        <v/>
      </c>
      <c r="DF16" s="94">
        <f t="array" ref="DF16">IFERROR(INDEX(Skill!$AP:$AP, MATCH(DF$4, Skill!$C:$C, 0), 1), "")</f>
        <v>540</v>
      </c>
      <c r="DG16" s="94">
        <f t="array" ref="DG16">IFERROR(INDEX(Skill!$AP:$AP, MATCH(DG$4, Skill!$C:$C, 0), 1), "")</f>
        <v>300</v>
      </c>
      <c r="DH16" s="94" t="str">
        <f t="array" ref="DH16">IFERROR(INDEX(Skill!$AP:$AP, MATCH(DH$4, Skill!$C:$C, 0), 1), "")</f>
        <v/>
      </c>
      <c r="DI16" s="94" t="str">
        <f t="array" ref="DI16">IFERROR(INDEX(Skill!$AP:$AP, MATCH(DI$4, Skill!$C:$C, 0), 1), "")</f>
        <v/>
      </c>
      <c r="DJ16" s="94" t="str">
        <f t="array" ref="DJ16">IFERROR(INDEX(Skill!$AP:$AP, MATCH(DJ$4, Skill!$C:$C, 0), 1), "")</f>
        <v/>
      </c>
      <c r="DK16" s="94" t="str">
        <f t="array" ref="DK16">IFERROR(INDEX(Skill!$AP:$AP, MATCH(DK$4, Skill!$C:$C, 0), 1), "")</f>
        <v/>
      </c>
      <c r="DL16" s="94" t="str">
        <f t="array" ref="DL16">IFERROR(INDEX(Skill!$AP:$AP, MATCH(DL$4, Skill!$C:$C, 0), 1), "")</f>
        <v/>
      </c>
      <c r="DM16" s="94" t="str">
        <f t="array" ref="DM16">IFERROR(INDEX(Skill!$AP:$AP, MATCH(DM$4, Skill!$C:$C, 0), 1), "")</f>
        <v/>
      </c>
      <c r="DN16" s="94" t="str">
        <f t="array" ref="DN16">IFERROR(INDEX(Skill!$AP:$AP, MATCH(DN$4, Skill!$C:$C, 0), 1), "")</f>
        <v/>
      </c>
      <c r="DO16" s="94" t="str">
        <f t="array" ref="DO16">IFERROR(INDEX(Skill!$AP:$AP, MATCH(DO$4, Skill!$C:$C, 0), 1), "")</f>
        <v/>
      </c>
      <c r="DP16" s="94" t="str">
        <f t="array" ref="DP16">IFERROR(INDEX(Skill!$AP:$AP, MATCH(DP$4, Skill!$C:$C, 0), 1), "")</f>
        <v/>
      </c>
      <c r="DQ16" s="94" t="str">
        <f t="array" ref="DQ16">IFERROR(INDEX(Skill!$AP:$AP, MATCH(DQ$4, Skill!$C:$C, 0), 1), "")</f>
        <v/>
      </c>
      <c r="DR16" s="94" t="str">
        <f t="array" ref="DR16">IFERROR(INDEX(Skill!$AP:$AP, MATCH(DR$4, Skill!$C:$C, 0), 1), "")</f>
        <v/>
      </c>
      <c r="DS16" s="94" t="str">
        <f t="array" ref="DS16">IFERROR(INDEX(Skill!$AP:$AP, MATCH(DS$4, Skill!$C:$C, 0), 1), "")</f>
        <v/>
      </c>
      <c r="DT16" s="94" t="str">
        <f t="array" ref="DT16">IFERROR(INDEX(Skill!$AP:$AP, MATCH(DT$4, Skill!$C:$C, 0), 1), "")</f>
        <v/>
      </c>
      <c r="DU16" s="94" t="str">
        <f t="array" ref="DU16">IFERROR(INDEX(Skill!$AP:$AP, MATCH(DU$4, Skill!$C:$C, 0), 1), "")</f>
        <v/>
      </c>
      <c r="DV16" s="94" t="str">
        <f t="array" ref="DV16">IFERROR(INDEX(Skill!$AP:$AP, MATCH(DV$4, Skill!$C:$C, 0), 1), "")</f>
        <v/>
      </c>
      <c r="DW16" s="94" t="str">
        <f t="array" ref="DW16">IFERROR(INDEX(Skill!$AP:$AP, MATCH(DW$4, Skill!$C:$C, 0), 1), "")</f>
        <v/>
      </c>
      <c r="DX16" s="94" t="str">
        <f t="array" ref="DX16">IFERROR(INDEX(Skill!$AP:$AP, MATCH(DX$4, Skill!$C:$C, 0), 1), "")</f>
        <v/>
      </c>
      <c r="DY16" s="94" t="str">
        <f t="array" ref="DY16">IFERROR(INDEX(Skill!$AP:$AP, MATCH(DY$4, Skill!$C:$C, 0), 1), "")</f>
        <v/>
      </c>
      <c r="DZ16" s="94" t="str">
        <f t="array" ref="DZ16">IFERROR(INDEX(Skill!$AP:$AP, MATCH(DZ$4, Skill!$C:$C, 0), 1), "")</f>
        <v/>
      </c>
      <c r="EA16" s="89" t="str">
        <f t="array" ref="EA16">IFERROR(INDEX(Skill!$AP:$AP, MATCH(EA$4, Skill!$C:$C, 0), 1), "")</f>
        <v/>
      </c>
      <c r="EB16" s="89" t="str">
        <f t="array" ref="EB16">IFERROR(INDEX(Skill!$AP:$AP, MATCH(EB$4, Skill!$C:$C, 0), 1), "")</f>
        <v/>
      </c>
      <c r="EC16" s="89" t="str">
        <f t="array" ref="EC16">IFERROR(INDEX(Skill!$AP:$AP, MATCH(EC$4, Skill!$C:$C, 0), 1), "")</f>
        <v/>
      </c>
      <c r="ED16" s="94" t="str">
        <f t="array" ref="ED16">IFERROR(INDEX(Skill!$AP:$AP, MATCH(ED$4, Skill!$C:$C, 0), 1), "")</f>
        <v/>
      </c>
      <c r="EE16" s="102"/>
      <c r="EF16" s="102"/>
      <c r="EG16" s="102"/>
      <c r="EH16" s="102"/>
      <c r="EI16" s="102"/>
      <c r="EJ16" s="102"/>
      <c r="EK16" s="102"/>
      <c r="EL16" s="102"/>
      <c r="EM16" s="102"/>
      <c r="EN16" s="102"/>
      <c r="EO16" s="102"/>
      <c r="EP16" s="102"/>
      <c r="EQ16" s="102"/>
      <c r="ER16" s="103"/>
      <c r="ES16" s="103"/>
      <c r="ET16" s="103"/>
      <c r="EU16" s="76"/>
      <c r="EV16" s="76"/>
      <c r="EW16" s="76"/>
      <c r="EX16" s="76"/>
      <c r="EY16" s="76"/>
      <c r="EZ16" s="76"/>
      <c r="FA16" s="76"/>
      <c r="FB16" s="76"/>
      <c r="FC16" s="76"/>
      <c r="FD16" s="76"/>
      <c r="FE16" s="76"/>
      <c r="FF16" s="76"/>
      <c r="FG16" s="76"/>
      <c r="FH16" s="76"/>
      <c r="FI16" s="76"/>
      <c r="FJ16" s="76"/>
      <c r="FK16" s="76"/>
      <c r="FL16" s="76"/>
      <c r="FM16" s="76"/>
      <c r="FN16" s="76"/>
      <c r="FO16" s="91"/>
    </row>
    <row r="17" hidden="1">
      <c r="B17" s="84"/>
      <c r="C17" s="83"/>
      <c r="D17" s="83"/>
      <c r="E17" s="104" t="s">
        <v>16</v>
      </c>
      <c r="F17" s="84"/>
      <c r="G17" s="84"/>
      <c r="H17" s="84"/>
      <c r="I17" s="84"/>
      <c r="J17" s="84"/>
      <c r="K17" s="94" t="str">
        <f t="array" ref="K17">IFERROR(INDEX(Skill!$U:$U, MATCH(K$4, Skill!$C:$C, 0), 1), "")</f>
        <v/>
      </c>
      <c r="L17" s="94" t="str">
        <f t="array" ref="L17">IFERROR(INDEX(Skill!$U:$U, MATCH(L$4, Skill!$C:$C, 0), 1), "")</f>
        <v/>
      </c>
      <c r="M17" s="94" t="str">
        <f t="array" ref="M17">IFERROR(INDEX(Skill!$U:$U, MATCH(M$4, Skill!$C:$C, 0), 1), "")</f>
        <v/>
      </c>
      <c r="N17" s="94" t="str">
        <f t="array" ref="N17">IFERROR(INDEX(Skill!$U:$U, MATCH(N$4, Skill!$C:$C, 0), 1), "")</f>
        <v>ランパート|センチネル|エクストリームガード</v>
      </c>
      <c r="O17" s="94" t="str">
        <f t="array" ref="O17">IFERROR(INDEX(Skill!$U:$U, MATCH(O$4, Skill!$C:$C, 0), 1), "")</f>
        <v/>
      </c>
      <c r="P17" s="94" t="str">
        <f t="array" ref="P17">IFERROR(INDEX(Skill!$U:$U, MATCH(P$4, Skill!$C:$C, 0), 1), "")</f>
        <v/>
      </c>
      <c r="Q17" s="94" t="str">
        <f t="array" ref="Q17">IFERROR(INDEX(Skill!$U:$U, MATCH(Q$4, Skill!$C:$C, 0), 1), "")</f>
        <v/>
      </c>
      <c r="R17" s="94" t="str">
        <f t="array" ref="R17">IFERROR(INDEX(Skill!$U:$U, MATCH(R$4, Skill!$C:$C, 0), 1), "")</f>
        <v/>
      </c>
      <c r="S17" s="94" t="str">
        <f t="array" ref="S17">IFERROR(INDEX(Skill!$U:$U, MATCH(S$4, Skill!$C:$C, 0), 1), "")</f>
        <v/>
      </c>
      <c r="T17" s="94" t="str">
        <f t="array" ref="T17">IFERROR(INDEX(Skill!$U:$U, MATCH(T$4, Skill!$C:$C, 0), 1), "")</f>
        <v/>
      </c>
      <c r="U17" s="94" t="str">
        <f t="array" ref="U17">IFERROR(INDEX(Skill!$U:$U, MATCH(U$4, Skill!$C:$C, 0), 1), "")</f>
        <v/>
      </c>
      <c r="V17" s="94" t="str">
        <f t="array" ref="V17">IFERROR(INDEX(Skill!$U:$U, MATCH(V$4, Skill!$C:$C, 0), 1), "")</f>
        <v/>
      </c>
      <c r="W17" s="94" t="str">
        <f t="array" ref="W17">IFERROR(INDEX(Skill!$U:$U, MATCH(W$4, Skill!$C:$C, 0), 1), "")</f>
        <v/>
      </c>
      <c r="X17" s="94" t="str">
        <f t="array" ref="X17">IFERROR(INDEX(Skill!$U:$U, MATCH(X$4, Skill!$C:$C, 0), 1), "")</f>
        <v/>
      </c>
      <c r="Y17" s="94" t="str">
        <f t="array" ref="Y17">IFERROR(INDEX(Skill!$U:$U, MATCH(Y$4, Skill!$C:$C, 0), 1), "")</f>
        <v/>
      </c>
      <c r="Z17" s="94" t="str">
        <f t="array" ref="Z17">IFERROR(INDEX(Skill!$U:$U, MATCH(Z$4, Skill!$C:$C, 0), 1), "")</f>
        <v/>
      </c>
      <c r="AA17" s="94" t="str">
        <f t="array" ref="AA17">IFERROR(INDEX(Skill!$U:$U, MATCH(AA$4, Skill!$C:$C, 0), 1), "")</f>
        <v/>
      </c>
      <c r="AB17" s="94" t="str">
        <f t="array" ref="AB17">IFERROR(INDEX(Skill!$U:$U, MATCH(AB$4, Skill!$C:$C, 0), 1), "")</f>
        <v/>
      </c>
      <c r="AC17" s="94" t="str">
        <f t="array" ref="AC17">IFERROR(INDEX(Skill!$U:$U, MATCH(AC$4, Skill!$C:$C, 0), 1), "")</f>
        <v/>
      </c>
      <c r="AD17" s="94" t="str">
        <f t="array" ref="AD17">IFERROR(INDEX(Skill!$U:$U, MATCH(AD$4, Skill!$C:$C, 0), 1), "")</f>
        <v/>
      </c>
      <c r="AE17" s="94" t="str">
        <f t="array" ref="AE17">IFERROR(INDEX(Skill!$U:$U, MATCH(AE$4, Skill!$C:$C, 0), 1), "")</f>
        <v/>
      </c>
      <c r="AF17" s="94" t="str">
        <f t="array" ref="AF17">IFERROR(INDEX(Skill!$U:$U, MATCH(AF$4, Skill!$C:$C, 0), 1), "")</f>
        <v/>
      </c>
      <c r="AG17" s="94" t="str">
        <f t="array" ref="AG17">IFERROR(INDEX(Skill!$U:$U, MATCH(AG$4, Skill!$C:$C, 0), 1), "")</f>
        <v/>
      </c>
      <c r="AH17" s="94" t="str">
        <f t="array" ref="AH17">IFERROR(INDEX(Skill!$U:$U, MATCH(AH$4, Skill!$C:$C, 0), 1), "")</f>
        <v/>
      </c>
      <c r="AI17" s="94" t="str">
        <f t="array" ref="AI17">IFERROR(INDEX(Skill!$U:$U, MATCH(AI$4, Skill!$C:$C, 0), 1), "")</f>
        <v/>
      </c>
      <c r="AJ17" s="94" t="str">
        <f t="array" ref="AJ17">IFERROR(INDEX(Skill!$U:$U, MATCH(AJ$4, Skill!$C:$C, 0), 1), "")</f>
        <v/>
      </c>
      <c r="AK17" s="94" t="str">
        <f t="array" ref="AK17">IFERROR(INDEX(Skill!$U:$U, MATCH(AK$4, Skill!$C:$C, 0), 1), "")</f>
        <v/>
      </c>
      <c r="AL17" s="94" t="str">
        <f t="array" ref="AL17">IFERROR(INDEX(Skill!$U:$U, MATCH(AL$4, Skill!$C:$C, 0), 1), "")</f>
        <v/>
      </c>
      <c r="AM17" s="94" t="str">
        <f t="array" ref="AM17">IFERROR(INDEX(Skill!$U:$U, MATCH(AM$4, Skill!$C:$C, 0), 1), "")</f>
        <v/>
      </c>
      <c r="AN17" s="94" t="str">
        <f t="array" ref="AN17">IFERROR(INDEX(Skill!$U:$U, MATCH(AN$4, Skill!$C:$C, 0), 1), "")</f>
        <v/>
      </c>
      <c r="AO17" s="94" t="str">
        <f t="array" ref="AO17">IFERROR(INDEX(Skill!$U:$U, MATCH(AO$4, Skill!$C:$C, 0), 1), "")</f>
        <v/>
      </c>
      <c r="AP17" s="94" t="str">
        <f t="array" ref="AP17">IFERROR(INDEX(Skill!$U:$U, MATCH(AP$4, Skill!$C:$C, 0), 1), "")</f>
        <v/>
      </c>
      <c r="AQ17" s="94" t="str">
        <f t="array" ref="AQ17">IFERROR(INDEX(Skill!$U:$U, MATCH(AQ$4, Skill!$C:$C, 0), 1), "")</f>
        <v/>
      </c>
      <c r="AR17" s="94" t="str">
        <f t="array" ref="AR17">IFERROR(INDEX(Skill!$U:$U, MATCH(AR$4, Skill!$C:$C, 0), 1), "")</f>
        <v/>
      </c>
      <c r="AS17" s="94" t="str">
        <f t="array" ref="AS17">IFERROR(INDEX(Skill!$U:$U, MATCH(AS$4, Skill!$C:$C, 0), 1), "")</f>
        <v/>
      </c>
      <c r="AT17" s="94" t="str">
        <f t="array" ref="AT17">IFERROR(INDEX(Skill!$U:$U, MATCH(AT$4, Skill!$C:$C, 0), 1), "")</f>
        <v/>
      </c>
      <c r="AU17" s="94" t="str">
        <f t="array" ref="AU17">IFERROR(INDEX(Skill!$U:$U, MATCH(AU$4, Skill!$C:$C, 0), 1), "")</f>
        <v/>
      </c>
      <c r="AV17" s="94" t="str">
        <f t="array" ref="AV17">IFERROR(INDEX(Skill!$U:$U, MATCH(AV$4, Skill!$C:$C, 0), 1), "")</f>
        <v/>
      </c>
      <c r="AW17" s="94" t="str">
        <f t="array" ref="AW17">IFERROR(INDEX(Skill!$U:$U, MATCH(AW$4, Skill!$C:$C, 0), 1), "")</f>
        <v/>
      </c>
      <c r="AX17" s="94" t="str">
        <f t="array" ref="AX17">IFERROR(INDEX(Skill!$U:$U, MATCH(AX$4, Skill!$C:$C, 0), 1), "")</f>
        <v/>
      </c>
      <c r="AY17" s="94" t="str">
        <f t="array" ref="AY17">IFERROR(INDEX(Skill!$U:$U, MATCH(AY$4, Skill!$C:$C, 0), 1), "")</f>
        <v/>
      </c>
      <c r="AZ17" s="94" t="str">
        <f t="array" ref="AZ17">IFERROR(INDEX(Skill!$U:$U, MATCH(AZ$4, Skill!$C:$C, 0), 1), "")</f>
        <v/>
      </c>
      <c r="BA17" s="94" t="str">
        <f t="array" ref="BA17">IFERROR(INDEX(Skill!$U:$U, MATCH(BA$4, Skill!$C:$C, 0), 1), "")</f>
        <v/>
      </c>
      <c r="BB17" s="94" t="str">
        <f t="array" ref="BB17">IFERROR(INDEX(Skill!$U:$U, MATCH(BB$4, Skill!$C:$C, 0), 1), "")</f>
        <v/>
      </c>
      <c r="BC17" s="94" t="str">
        <f t="array" ref="BC17">IFERROR(INDEX(Skill!$U:$U, MATCH(BC$4, Skill!$C:$C, 0), 1), "")</f>
        <v/>
      </c>
      <c r="BD17" s="94" t="str">
        <f t="array" ref="BD17">IFERROR(INDEX(Skill!$U:$U, MATCH(BD$4, Skill!$C:$C, 0), 1), "")</f>
        <v/>
      </c>
      <c r="BE17" s="94" t="str">
        <f t="array" ref="BE17">IFERROR(INDEX(Skill!$U:$U, MATCH(BE$4, Skill!$C:$C, 0), 1), "")</f>
        <v/>
      </c>
      <c r="BF17" s="94" t="str">
        <f t="array" ref="BF17">IFERROR(INDEX(Skill!$U:$U, MATCH(BF$4, Skill!$C:$C, 0), 1), "")</f>
        <v/>
      </c>
      <c r="BG17" s="94" t="str">
        <f t="array" ref="BG17">IFERROR(INDEX(Skill!$U:$U, MATCH(BG$4, Skill!$C:$C, 0), 1), "")</f>
        <v/>
      </c>
      <c r="BH17" s="94" t="str">
        <f t="array" ref="BH17">IFERROR(INDEX(Skill!$U:$U, MATCH(BH$4, Skill!$C:$C, 0), 1), "")</f>
        <v>ニュートラルセクト</v>
      </c>
      <c r="BI17" s="94" t="str">
        <f t="array" ref="BI17">IFERROR(INDEX(Skill!$U:$U, MATCH(BI$4, Skill!$C:$C, 0), 1), "")</f>
        <v/>
      </c>
      <c r="BJ17" s="94" t="str">
        <f t="array" ref="BJ17">IFERROR(INDEX(Skill!$U:$U, MATCH(BJ$4, Skill!$C:$C, 0), 1), "")</f>
        <v/>
      </c>
      <c r="BK17" s="94" t="str">
        <f t="array" ref="BK17">IFERROR(INDEX(Skill!$U:$U, MATCH(BK$4, Skill!$C:$C, 0), 1), "")</f>
        <v/>
      </c>
      <c r="BL17" s="94" t="str">
        <f t="array" ref="BL17">IFERROR(INDEX(Skill!$U:$U, MATCH(BL$4, Skill!$C:$C, 0), 1), "")</f>
        <v/>
      </c>
      <c r="BM17" s="94" t="str">
        <f t="array" ref="BM17">IFERROR(INDEX(Skill!$U:$U, MATCH(BM$4, Skill!$C:$C, 0), 1), "")</f>
        <v/>
      </c>
      <c r="BN17" s="94" t="str">
        <f t="array" ref="BN17">IFERROR(INDEX(Skill!$U:$U, MATCH(BN$4, Skill!$C:$C, 0), 1), "")</f>
        <v/>
      </c>
      <c r="BO17" s="94" t="str">
        <f t="array" ref="BO17">IFERROR(INDEX(Skill!$U:$U, MATCH(BO$4, Skill!$C:$C, 0), 1), "")</f>
        <v/>
      </c>
      <c r="BP17" s="94" t="str">
        <f t="array" ref="BP17">IFERROR(INDEX(Skill!$U:$U, MATCH(BP$4, Skill!$C:$C, 0), 1), "")</f>
        <v/>
      </c>
      <c r="BQ17" s="94" t="str">
        <f t="array" ref="BQ17">IFERROR(INDEX(Skill!$U:$U, MATCH(BQ$4, Skill!$C:$C, 0), 1), "")</f>
        <v/>
      </c>
      <c r="BR17" s="94" t="str">
        <f t="array" ref="BR17">IFERROR(INDEX(Skill!$U:$U, MATCH(BR$4, Skill!$C:$C, 0), 1), "")</f>
        <v/>
      </c>
      <c r="BS17" s="94" t="str">
        <f t="array" ref="BS17">IFERROR(INDEX(Skill!$U:$U, MATCH(BS$4, Skill!$C:$C, 0), 1), "")</f>
        <v/>
      </c>
      <c r="BT17" s="94" t="str">
        <f t="array" ref="BT17">IFERROR(INDEX(Skill!$U:$U, MATCH(BT$4, Skill!$C:$C, 0), 1), "")</f>
        <v/>
      </c>
      <c r="BU17" s="94" t="str">
        <f t="array" ref="BU17">IFERROR(INDEX(Skill!$U:$U, MATCH(BU$4, Skill!$C:$C, 0), 1), "")</f>
        <v/>
      </c>
      <c r="BV17" s="94" t="str">
        <f t="array" ref="BV17">IFERROR(INDEX(Skill!$U:$U, MATCH(BV$4, Skill!$C:$C, 0), 1), "")</f>
        <v/>
      </c>
      <c r="BW17" s="94" t="str">
        <f t="array" ref="BW17">IFERROR(INDEX(Skill!$U:$U, MATCH(BW$4, Skill!$C:$C, 0), 1), "")</f>
        <v/>
      </c>
      <c r="BX17" s="94" t="str">
        <f t="array" ref="BX17">IFERROR(INDEX(Skill!$U:$U, MATCH(BX$4, Skill!$C:$C, 0), 1), "")</f>
        <v>ニュートラルセクト</v>
      </c>
      <c r="BY17" s="94" t="str">
        <f t="array" ref="BY17">IFERROR(INDEX(Skill!$U:$U, MATCH(BY$4, Skill!$C:$C, 0), 1), "")</f>
        <v/>
      </c>
      <c r="BZ17" s="94" t="str">
        <f t="array" ref="BZ17">IFERROR(INDEX(Skill!$U:$U, MATCH(BZ$4, Skill!$C:$C, 0), 1), "")</f>
        <v/>
      </c>
      <c r="CA17" s="94" t="str">
        <f t="array" ref="CA17">IFERROR(INDEX(Skill!$U:$U, MATCH(CA$4, Skill!$C:$C, 0), 1), "")</f>
        <v/>
      </c>
      <c r="CB17" s="94" t="str">
        <f t="array" ref="CB17">IFERROR(INDEX(Skill!$U:$U, MATCH(CB$4, Skill!$C:$C, 0), 1), "")</f>
        <v/>
      </c>
      <c r="CC17" s="94" t="str">
        <f t="array" ref="CC17">IFERROR(INDEX(Skill!$U:$U, MATCH(CC$4, Skill!$C:$C, 0), 1), "")</f>
        <v/>
      </c>
      <c r="CD17" s="94" t="str">
        <f t="array" ref="CD17">IFERROR(INDEX(Skill!$U:$U, MATCH(CD$4, Skill!$C:$C, 0), 1), "")</f>
        <v/>
      </c>
      <c r="CE17" s="94" t="str">
        <f t="array" ref="CE17">IFERROR(INDEX(Skill!$U:$U, MATCH(CE$4, Skill!$C:$C, 0), 1), "")</f>
        <v/>
      </c>
      <c r="CF17" s="94" t="str">
        <f t="array" ref="CF17">IFERROR(INDEX(Skill!$U:$U, MATCH(CF$4, Skill!$C:$C, 0), 1), "")</f>
        <v/>
      </c>
      <c r="CG17" s="94" t="str">
        <f t="array" ref="CG17">IFERROR(INDEX(Skill!$U:$U, MATCH(CG$4, Skill!$C:$C, 0), 1), "")</f>
        <v/>
      </c>
      <c r="CH17" s="94" t="str">
        <f t="array" ref="CH17">IFERROR(INDEX(Skill!$U:$U, MATCH(CH$4, Skill!$C:$C, 0), 1), "")</f>
        <v/>
      </c>
      <c r="CI17" s="94" t="str">
        <f t="array" ref="CI17">IFERROR(INDEX(Skill!$U:$U, MATCH(CI$4, Skill!$C:$C, 0), 1), "")</f>
        <v/>
      </c>
      <c r="CJ17" s="94" t="str">
        <f t="array" ref="CJ17">IFERROR(INDEX(Skill!$U:$U, MATCH(CJ$4, Skill!$C:$C, 0), 1), "")</f>
        <v/>
      </c>
      <c r="CK17" s="94" t="str">
        <f t="array" ref="CK17">IFERROR(INDEX(Skill!$U:$U, MATCH(CK$4, Skill!$C:$C, 0), 1), "")</f>
        <v/>
      </c>
      <c r="CL17" s="94" t="str">
        <f t="array" ref="CL17">IFERROR(INDEX(Skill!$U:$U, MATCH(CL$4, Skill!$C:$C, 0), 1), "")</f>
        <v/>
      </c>
      <c r="CM17" s="94" t="str">
        <f t="array" ref="CM17">IFERROR(INDEX(Skill!$U:$U, MATCH(CM$4, Skill!$C:$C, 0), 1), "")</f>
        <v>秘策</v>
      </c>
      <c r="CN17" s="94" t="str">
        <f t="array" ref="CN17">IFERROR(INDEX(Skill!$U:$U, MATCH(CN$4, Skill!$C:$C, 0), 1), "")</f>
        <v/>
      </c>
      <c r="CO17" s="94" t="str">
        <f t="array" ref="CO17">IFERROR(INDEX(Skill!$U:$U, MATCH(CO$4, Skill!$C:$C, 0), 1), "")</f>
        <v/>
      </c>
      <c r="CP17" s="94" t="str">
        <f t="array" ref="CP17">IFERROR(INDEX(Skill!$U:$U, MATCH(CP$4, Skill!$C:$C, 0), 1), "")</f>
        <v>秘策</v>
      </c>
      <c r="CQ17" s="94" t="str">
        <f t="array" ref="CQ17">IFERROR(INDEX(Skill!$U:$U, MATCH(CQ$4, Skill!$C:$C, 0), 1), "")</f>
        <v/>
      </c>
      <c r="CR17" s="94" t="str">
        <f t="array" ref="CR17">IFERROR(INDEX(Skill!$U:$U, MATCH(CR$4, Skill!$C:$C, 0), 1), "")</f>
        <v/>
      </c>
      <c r="CS17" s="94" t="str">
        <f t="array" ref="CS17">IFERROR(INDEX(Skill!$U:$U, MATCH(CS$4, Skill!$C:$C, 0), 1), "")</f>
        <v/>
      </c>
      <c r="CT17" s="94" t="str">
        <f t="array" ref="CT17">IFERROR(INDEX(Skill!$U:$U, MATCH(CT$4, Skill!$C:$C, 0), 1), "")</f>
        <v/>
      </c>
      <c r="CU17" s="94" t="str">
        <f t="array" ref="CU17">IFERROR(INDEX(Skill!$U:$U, MATCH(CU$4, Skill!$C:$C, 0), 1), "")</f>
        <v/>
      </c>
      <c r="CV17" s="94" t="str">
        <f t="array" ref="CV17">IFERROR(INDEX(Skill!$U:$U, MATCH(CV$4, Skill!$C:$C, 0), 1), "")</f>
        <v/>
      </c>
      <c r="CW17" s="94" t="str">
        <f t="array" ref="CW17">IFERROR(INDEX(Skill!$U:$U, MATCH(CW$4, Skill!$C:$C, 0), 1), "")</f>
        <v/>
      </c>
      <c r="CX17" s="94" t="str">
        <f t="array" ref="CX17">IFERROR(INDEX(Skill!$U:$U, MATCH(CX$4, Skill!$C:$C, 0), 1), "")</f>
        <v/>
      </c>
      <c r="CY17" s="94" t="str">
        <f t="array" ref="CY17">IFERROR(INDEX(Skill!$U:$U, MATCH(CY$4, Skill!$C:$C, 0), 1), "")</f>
        <v/>
      </c>
      <c r="CZ17" s="94" t="str">
        <f t="array" ref="CZ17">IFERROR(INDEX(Skill!$U:$U, MATCH(CZ$4, Skill!$C:$C, 0), 1), "")</f>
        <v/>
      </c>
      <c r="DA17" s="94" t="str">
        <f t="array" ref="DA17">IFERROR(INDEX(Skill!$U:$U, MATCH(DA$4, Skill!$C:$C, 0), 1), "")</f>
        <v/>
      </c>
      <c r="DB17" s="94" t="str">
        <f t="array" ref="DB17">IFERROR(INDEX(Skill!$U:$U, MATCH(DB$4, Skill!$C:$C, 0), 1), "")</f>
        <v/>
      </c>
      <c r="DC17" s="94" t="str">
        <f t="array" ref="DC17">IFERROR(INDEX(Skill!$U:$U, MATCH(DC$4, Skill!$C:$C, 0), 1), "")</f>
        <v/>
      </c>
      <c r="DD17" s="94" t="str">
        <f t="array" ref="DD17">IFERROR(INDEX(Skill!$U:$U, MATCH(DD$4, Skill!$C:$C, 0), 1), "")</f>
        <v/>
      </c>
      <c r="DE17" s="94" t="str">
        <f t="array" ref="DE17">IFERROR(INDEX(Skill!$U:$U, MATCH(DE$4, Skill!$C:$C, 0), 1), "")</f>
        <v/>
      </c>
      <c r="DF17" s="94" t="str">
        <f t="array" ref="DF17">IFERROR(INDEX(Skill!$U:$U, MATCH(DF$4, Skill!$C:$C, 0), 1), "")</f>
        <v/>
      </c>
      <c r="DG17" s="94" t="str">
        <f t="array" ref="DG17">IFERROR(INDEX(Skill!$U:$U, MATCH(DG$4, Skill!$C:$C, 0), 1), "")</f>
        <v/>
      </c>
      <c r="DH17" s="94" t="str">
        <f t="array" ref="DH17">IFERROR(INDEX(Skill!$U:$U, MATCH(DH$4, Skill!$C:$C, 0), 1), "")</f>
        <v/>
      </c>
      <c r="DI17" s="94" t="str">
        <f t="array" ref="DI17">IFERROR(INDEX(Skill!$U:$U, MATCH(DI$4, Skill!$C:$C, 0), 1), "")</f>
        <v/>
      </c>
      <c r="DJ17" s="94" t="str">
        <f t="array" ref="DJ17">IFERROR(INDEX(Skill!$U:$U, MATCH(DJ$4, Skill!$C:$C, 0), 1), "")</f>
        <v/>
      </c>
      <c r="DK17" s="94" t="str">
        <f t="array" ref="DK17">IFERROR(INDEX(Skill!$U:$U, MATCH(DK$4, Skill!$C:$C, 0), 1), "")</f>
        <v/>
      </c>
      <c r="DL17" s="94" t="str">
        <f t="array" ref="DL17">IFERROR(INDEX(Skill!$U:$U, MATCH(DL$4, Skill!$C:$C, 0), 1), "")</f>
        <v/>
      </c>
      <c r="DM17" s="94" t="str">
        <f t="array" ref="DM17">IFERROR(INDEX(Skill!$U:$U, MATCH(DM$4, Skill!$C:$C, 0), 1), "")</f>
        <v/>
      </c>
      <c r="DN17" s="94" t="str">
        <f t="array" ref="DN17">IFERROR(INDEX(Skill!$U:$U, MATCH(DN$4, Skill!$C:$C, 0), 1), "")</f>
        <v/>
      </c>
      <c r="DO17" s="94" t="str">
        <f t="array" ref="DO17">IFERROR(INDEX(Skill!$U:$U, MATCH(DO$4, Skill!$C:$C, 0), 1), "")</f>
        <v/>
      </c>
      <c r="DP17" s="94" t="str">
        <f t="array" ref="DP17">IFERROR(INDEX(Skill!$U:$U, MATCH(DP$4, Skill!$C:$C, 0), 1), "")</f>
        <v/>
      </c>
      <c r="DQ17" s="94" t="str">
        <f t="array" ref="DQ17">IFERROR(INDEX(Skill!$U:$U, MATCH(DQ$4, Skill!$C:$C, 0), 1), "")</f>
        <v/>
      </c>
      <c r="DR17" s="94" t="str">
        <f t="array" ref="DR17">IFERROR(INDEX(Skill!$U:$U, MATCH(DR$4, Skill!$C:$C, 0), 1), "")</f>
        <v/>
      </c>
      <c r="DS17" s="94" t="str">
        <f t="array" ref="DS17">IFERROR(INDEX(Skill!$U:$U, MATCH(DS$4, Skill!$C:$C, 0), 1), "")</f>
        <v/>
      </c>
      <c r="DT17" s="94" t="str">
        <f t="array" ref="DT17">IFERROR(INDEX(Skill!$U:$U, MATCH(DT$4, Skill!$C:$C, 0), 1), "")</f>
        <v/>
      </c>
      <c r="DU17" s="94" t="str">
        <f t="array" ref="DU17">IFERROR(INDEX(Skill!$U:$U, MATCH(DU$4, Skill!$C:$C, 0), 1), "")</f>
        <v/>
      </c>
      <c r="DV17" s="94" t="str">
        <f t="array" ref="DV17">IFERROR(INDEX(Skill!$U:$U, MATCH(DV$4, Skill!$C:$C, 0), 1), "")</f>
        <v/>
      </c>
      <c r="DW17" s="94" t="str">
        <f t="array" ref="DW17">IFERROR(INDEX(Skill!$U:$U, MATCH(DW$4, Skill!$C:$C, 0), 1), "")</f>
        <v/>
      </c>
      <c r="DX17" s="94" t="str">
        <f t="array" ref="DX17">IFERROR(INDEX(Skill!$U:$U, MATCH(DX$4, Skill!$C:$C, 0), 1), "")</f>
        <v/>
      </c>
      <c r="DY17" s="94" t="str">
        <f t="array" ref="DY17">IFERROR(INDEX(Skill!$U:$U, MATCH(DY$4, Skill!$C:$C, 0), 1), "")</f>
        <v/>
      </c>
      <c r="DZ17" s="94" t="str">
        <f t="array" ref="DZ17">IFERROR(INDEX(Skill!$U:$U, MATCH(DZ$4, Skill!$C:$C, 0), 1), "")</f>
        <v/>
      </c>
      <c r="EA17" s="89" t="str">
        <f t="array" ref="EA17">IFERROR(INDEX(Skill!$U:$U, MATCH(EA$4, Skill!$C:$C, 0), 1), "")</f>
        <v/>
      </c>
      <c r="EB17" s="89" t="str">
        <f t="array" ref="EB17">IFERROR(INDEX(Skill!$U:$U, MATCH(EB$4, Skill!$C:$C, 0), 1), "")</f>
        <v/>
      </c>
      <c r="EC17" s="89" t="str">
        <f t="array" ref="EC17">IFERROR(INDEX(Skill!$U:$U, MATCH(EC$4, Skill!$C:$C, 0), 1), "")</f>
        <v/>
      </c>
      <c r="ED17" s="94" t="str">
        <f t="array" ref="ED17">IFERROR(INDEX(Skill!$U:$U, MATCH(ED$4, Skill!$C:$C, 0), 1), "")</f>
        <v/>
      </c>
      <c r="EE17" s="102"/>
      <c r="EF17" s="102"/>
      <c r="EG17" s="102"/>
      <c r="EH17" s="102"/>
      <c r="EI17" s="102"/>
      <c r="EJ17" s="102"/>
      <c r="EK17" s="102"/>
      <c r="EL17" s="102"/>
      <c r="EM17" s="102"/>
      <c r="EN17" s="102"/>
      <c r="EO17" s="102"/>
      <c r="EP17" s="102"/>
      <c r="EQ17" s="102"/>
      <c r="ER17" s="103"/>
      <c r="ES17" s="103"/>
      <c r="ET17" s="103"/>
      <c r="EU17" s="76"/>
      <c r="EV17" s="76"/>
      <c r="EW17" s="76"/>
      <c r="EX17" s="76"/>
      <c r="EY17" s="76"/>
      <c r="EZ17" s="76"/>
      <c r="FA17" s="76"/>
      <c r="FB17" s="76"/>
      <c r="FC17" s="76"/>
      <c r="FD17" s="76"/>
      <c r="FE17" s="76"/>
      <c r="FF17" s="76"/>
      <c r="FG17" s="76"/>
      <c r="FH17" s="76"/>
      <c r="FI17" s="76"/>
      <c r="FJ17" s="76"/>
      <c r="FK17" s="76"/>
      <c r="FL17" s="76"/>
      <c r="FM17" s="76"/>
      <c r="FN17" s="76"/>
      <c r="FO17" s="91"/>
    </row>
    <row r="18" hidden="1">
      <c r="B18" s="84"/>
      <c r="C18" s="83"/>
      <c r="D18" s="83"/>
      <c r="E18" s="105" t="s">
        <v>11</v>
      </c>
      <c r="F18" s="84"/>
      <c r="G18" s="84"/>
      <c r="H18" s="84"/>
      <c r="I18" s="84"/>
      <c r="J18" s="84"/>
      <c r="K18" s="94" t="str">
        <f t="array" ref="K18">IFERROR(INDEX(Skill!$X:$X, MATCH(K$4, Skill!$C:$C, 0), 1), "")</f>
        <v/>
      </c>
      <c r="L18" s="94" t="str">
        <f t="array" ref="L18">IFERROR(INDEX(Skill!$X:$X, MATCH(L$4, Skill!$C:$C, 0), 1), "")</f>
        <v/>
      </c>
      <c r="M18" s="94" t="str">
        <f t="array" ref="M18">IFERROR(INDEX(Skill!$X:$X, MATCH(M$4, Skill!$C:$C, 0), 1), "")</f>
        <v/>
      </c>
      <c r="N18" s="94">
        <f t="array" ref="N18">IFERROR(INDEX(Skill!$X:$X, MATCH(N$4, Skill!$C:$C, 0), 1), "")</f>
        <v>0.8</v>
      </c>
      <c r="O18" s="94" t="str">
        <f t="array" ref="O18">IFERROR(INDEX(Skill!$X:$X, MATCH(O$4, Skill!$C:$C, 0), 1), "")</f>
        <v/>
      </c>
      <c r="P18" s="94" t="str">
        <f t="array" ref="P18">IFERROR(INDEX(Skill!$X:$X, MATCH(P$4, Skill!$C:$C, 0), 1), "")</f>
        <v/>
      </c>
      <c r="Q18" s="94" t="str">
        <f t="array" ref="Q18">IFERROR(INDEX(Skill!$X:$X, MATCH(Q$4, Skill!$C:$C, 0), 1), "")</f>
        <v/>
      </c>
      <c r="R18" s="94" t="str">
        <f t="array" ref="R18">IFERROR(INDEX(Skill!$X:$X, MATCH(R$4, Skill!$C:$C, 0), 1), "")</f>
        <v/>
      </c>
      <c r="S18" s="94" t="str">
        <f t="array" ref="S18">IFERROR(INDEX(Skill!$X:$X, MATCH(S$4, Skill!$C:$C, 0), 1), "")</f>
        <v/>
      </c>
      <c r="T18" s="94" t="str">
        <f t="array" ref="T18">IFERROR(INDEX(Skill!$X:$X, MATCH(T$4, Skill!$C:$C, 0), 1), "")</f>
        <v/>
      </c>
      <c r="U18" s="94" t="str">
        <f t="array" ref="U18">IFERROR(INDEX(Skill!$X:$X, MATCH(U$4, Skill!$C:$C, 0), 1), "")</f>
        <v/>
      </c>
      <c r="V18" s="94" t="str">
        <f t="array" ref="V18">IFERROR(INDEX(Skill!$X:$X, MATCH(V$4, Skill!$C:$C, 0), 1), "")</f>
        <v/>
      </c>
      <c r="W18" s="94" t="str">
        <f t="array" ref="W18">IFERROR(INDEX(Skill!$X:$X, MATCH(W$4, Skill!$C:$C, 0), 1), "")</f>
        <v/>
      </c>
      <c r="X18" s="94" t="str">
        <f t="array" ref="X18">IFERROR(INDEX(Skill!$X:$X, MATCH(X$4, Skill!$C:$C, 0), 1), "")</f>
        <v/>
      </c>
      <c r="Y18" s="94" t="str">
        <f t="array" ref="Y18">IFERROR(INDEX(Skill!$X:$X, MATCH(Y$4, Skill!$C:$C, 0), 1), "")</f>
        <v/>
      </c>
      <c r="Z18" s="94" t="str">
        <f t="array" ref="Z18">IFERROR(INDEX(Skill!$X:$X, MATCH(Z$4, Skill!$C:$C, 0), 1), "")</f>
        <v/>
      </c>
      <c r="AA18" s="94" t="str">
        <f t="array" ref="AA18">IFERROR(INDEX(Skill!$X:$X, MATCH(AA$4, Skill!$C:$C, 0), 1), "")</f>
        <v/>
      </c>
      <c r="AB18" s="94" t="str">
        <f t="array" ref="AB18">IFERROR(INDEX(Skill!$X:$X, MATCH(AB$4, Skill!$C:$C, 0), 1), "")</f>
        <v/>
      </c>
      <c r="AC18" s="94" t="str">
        <f t="array" ref="AC18">IFERROR(INDEX(Skill!$X:$X, MATCH(AC$4, Skill!$C:$C, 0), 1), "")</f>
        <v/>
      </c>
      <c r="AD18" s="94" t="str">
        <f t="array" ref="AD18">IFERROR(INDEX(Skill!$X:$X, MATCH(AD$4, Skill!$C:$C, 0), 1), "")</f>
        <v/>
      </c>
      <c r="AE18" s="94" t="str">
        <f t="array" ref="AE18">IFERROR(INDEX(Skill!$X:$X, MATCH(AE$4, Skill!$C:$C, 0), 1), "")</f>
        <v/>
      </c>
      <c r="AF18" s="94" t="str">
        <f t="array" ref="AF18">IFERROR(INDEX(Skill!$X:$X, MATCH(AF$4, Skill!$C:$C, 0), 1), "")</f>
        <v/>
      </c>
      <c r="AG18" s="94" t="str">
        <f t="array" ref="AG18">IFERROR(INDEX(Skill!$X:$X, MATCH(AG$4, Skill!$C:$C, 0), 1), "")</f>
        <v/>
      </c>
      <c r="AH18" s="94" t="str">
        <f t="array" ref="AH18">IFERROR(INDEX(Skill!$X:$X, MATCH(AH$4, Skill!$C:$C, 0), 1), "")</f>
        <v/>
      </c>
      <c r="AI18" s="94" t="str">
        <f t="array" ref="AI18">IFERROR(INDEX(Skill!$X:$X, MATCH(AI$4, Skill!$C:$C, 0), 1), "")</f>
        <v/>
      </c>
      <c r="AJ18" s="94" t="str">
        <f t="array" ref="AJ18">IFERROR(INDEX(Skill!$X:$X, MATCH(AJ$4, Skill!$C:$C, 0), 1), "")</f>
        <v/>
      </c>
      <c r="AK18" s="94" t="str">
        <f t="array" ref="AK18">IFERROR(INDEX(Skill!$X:$X, MATCH(AK$4, Skill!$C:$C, 0), 1), "")</f>
        <v/>
      </c>
      <c r="AL18" s="94" t="str">
        <f t="array" ref="AL18">IFERROR(INDEX(Skill!$X:$X, MATCH(AL$4, Skill!$C:$C, 0), 1), "")</f>
        <v/>
      </c>
      <c r="AM18" s="94" t="str">
        <f t="array" ref="AM18">IFERROR(INDEX(Skill!$X:$X, MATCH(AM$4, Skill!$C:$C, 0), 1), "")</f>
        <v/>
      </c>
      <c r="AN18" s="94" t="str">
        <f t="array" ref="AN18">IFERROR(INDEX(Skill!$X:$X, MATCH(AN$4, Skill!$C:$C, 0), 1), "")</f>
        <v/>
      </c>
      <c r="AO18" s="94" t="str">
        <f t="array" ref="AO18">IFERROR(INDEX(Skill!$X:$X, MATCH(AO$4, Skill!$C:$C, 0), 1), "")</f>
        <v/>
      </c>
      <c r="AP18" s="94" t="str">
        <f t="array" ref="AP18">IFERROR(INDEX(Skill!$X:$X, MATCH(AP$4, Skill!$C:$C, 0), 1), "")</f>
        <v/>
      </c>
      <c r="AQ18" s="94" t="str">
        <f t="array" ref="AQ18">IFERROR(INDEX(Skill!$X:$X, MATCH(AQ$4, Skill!$C:$C, 0), 1), "")</f>
        <v/>
      </c>
      <c r="AR18" s="94" t="str">
        <f t="array" ref="AR18">IFERROR(INDEX(Skill!$X:$X, MATCH(AR$4, Skill!$C:$C, 0), 1), "")</f>
        <v/>
      </c>
      <c r="AS18" s="94" t="str">
        <f t="array" ref="AS18">IFERROR(INDEX(Skill!$X:$X, MATCH(AS$4, Skill!$C:$C, 0), 1), "")</f>
        <v/>
      </c>
      <c r="AT18" s="94" t="str">
        <f t="array" ref="AT18">IFERROR(INDEX(Skill!$X:$X, MATCH(AT$4, Skill!$C:$C, 0), 1), "")</f>
        <v/>
      </c>
      <c r="AU18" s="94" t="str">
        <f t="array" ref="AU18">IFERROR(INDEX(Skill!$X:$X, MATCH(AU$4, Skill!$C:$C, 0), 1), "")</f>
        <v/>
      </c>
      <c r="AV18" s="94" t="str">
        <f t="array" ref="AV18">IFERROR(INDEX(Skill!$X:$X, MATCH(AV$4, Skill!$C:$C, 0), 1), "")</f>
        <v/>
      </c>
      <c r="AW18" s="94" t="str">
        <f t="array" ref="AW18">IFERROR(INDEX(Skill!$X:$X, MATCH(AW$4, Skill!$C:$C, 0), 1), "")</f>
        <v/>
      </c>
      <c r="AX18" s="94" t="str">
        <f t="array" ref="AX18">IFERROR(INDEX(Skill!$X:$X, MATCH(AX$4, Skill!$C:$C, 0), 1), "")</f>
        <v/>
      </c>
      <c r="AY18" s="94" t="str">
        <f t="array" ref="AY18">IFERROR(INDEX(Skill!$X:$X, MATCH(AY$4, Skill!$C:$C, 0), 1), "")</f>
        <v/>
      </c>
      <c r="AZ18" s="94" t="str">
        <f t="array" ref="AZ18">IFERROR(INDEX(Skill!$X:$X, MATCH(AZ$4, Skill!$C:$C, 0), 1), "")</f>
        <v/>
      </c>
      <c r="BA18" s="94" t="str">
        <f t="array" ref="BA18">IFERROR(INDEX(Skill!$X:$X, MATCH(BA$4, Skill!$C:$C, 0), 1), "")</f>
        <v/>
      </c>
      <c r="BB18" s="94" t="str">
        <f t="array" ref="BB18">IFERROR(INDEX(Skill!$X:$X, MATCH(BB$4, Skill!$C:$C, 0), 1), "")</f>
        <v/>
      </c>
      <c r="BC18" s="94" t="str">
        <f t="array" ref="BC18">IFERROR(INDEX(Skill!$X:$X, MATCH(BC$4, Skill!$C:$C, 0), 1), "")</f>
        <v/>
      </c>
      <c r="BD18" s="94" t="str">
        <f t="array" ref="BD18">IFERROR(INDEX(Skill!$X:$X, MATCH(BD$4, Skill!$C:$C, 0), 1), "")</f>
        <v/>
      </c>
      <c r="BE18" s="94" t="str">
        <f t="array" ref="BE18">IFERROR(INDEX(Skill!$X:$X, MATCH(BE$4, Skill!$C:$C, 0), 1), "")</f>
        <v/>
      </c>
      <c r="BF18" s="94" t="str">
        <f t="array" ref="BF18">IFERROR(INDEX(Skill!$X:$X, MATCH(BF$4, Skill!$C:$C, 0), 1), "")</f>
        <v/>
      </c>
      <c r="BG18" s="94" t="str">
        <f t="array" ref="BG18">IFERROR(INDEX(Skill!$X:$X, MATCH(BG$4, Skill!$C:$C, 0), 1), "")</f>
        <v/>
      </c>
      <c r="BH18" s="94" t="str">
        <f t="array" ref="BH18">IFERROR(INDEX(Skill!$X:$X, MATCH(BH$4, Skill!$C:$C, 0), 1), "")</f>
        <v/>
      </c>
      <c r="BI18" s="94" t="str">
        <f t="array" ref="BI18">IFERROR(INDEX(Skill!$X:$X, MATCH(BI$4, Skill!$C:$C, 0), 1), "")</f>
        <v/>
      </c>
      <c r="BJ18" s="94" t="str">
        <f t="array" ref="BJ18">IFERROR(INDEX(Skill!$X:$X, MATCH(BJ$4, Skill!$C:$C, 0), 1), "")</f>
        <v/>
      </c>
      <c r="BK18" s="94" t="str">
        <f t="array" ref="BK18">IFERROR(INDEX(Skill!$X:$X, MATCH(BK$4, Skill!$C:$C, 0), 1), "")</f>
        <v/>
      </c>
      <c r="BL18" s="94" t="str">
        <f t="array" ref="BL18">IFERROR(INDEX(Skill!$X:$X, MATCH(BL$4, Skill!$C:$C, 0), 1), "")</f>
        <v/>
      </c>
      <c r="BM18" s="94" t="str">
        <f t="array" ref="BM18">IFERROR(INDEX(Skill!$X:$X, MATCH(BM$4, Skill!$C:$C, 0), 1), "")</f>
        <v/>
      </c>
      <c r="BN18" s="94" t="str">
        <f t="array" ref="BN18">IFERROR(INDEX(Skill!$X:$X, MATCH(BN$4, Skill!$C:$C, 0), 1), "")</f>
        <v/>
      </c>
      <c r="BO18" s="94" t="str">
        <f t="array" ref="BO18">IFERROR(INDEX(Skill!$X:$X, MATCH(BO$4, Skill!$C:$C, 0), 1), "")</f>
        <v/>
      </c>
      <c r="BP18" s="94" t="str">
        <f t="array" ref="BP18">IFERROR(INDEX(Skill!$X:$X, MATCH(BP$4, Skill!$C:$C, 0), 1), "")</f>
        <v/>
      </c>
      <c r="BQ18" s="94" t="str">
        <f t="array" ref="BQ18">IFERROR(INDEX(Skill!$X:$X, MATCH(BQ$4, Skill!$C:$C, 0), 1), "")</f>
        <v/>
      </c>
      <c r="BR18" s="94" t="str">
        <f t="array" ref="BR18">IFERROR(INDEX(Skill!$X:$X, MATCH(BR$4, Skill!$C:$C, 0), 1), "")</f>
        <v/>
      </c>
      <c r="BS18" s="94" t="str">
        <f t="array" ref="BS18">IFERROR(INDEX(Skill!$X:$X, MATCH(BS$4, Skill!$C:$C, 0), 1), "")</f>
        <v/>
      </c>
      <c r="BT18" s="94" t="str">
        <f t="array" ref="BT18">IFERROR(INDEX(Skill!$X:$X, MATCH(BT$4, Skill!$C:$C, 0), 1), "")</f>
        <v/>
      </c>
      <c r="BU18" s="94" t="str">
        <f t="array" ref="BU18">IFERROR(INDEX(Skill!$X:$X, MATCH(BU$4, Skill!$C:$C, 0), 1), "")</f>
        <v/>
      </c>
      <c r="BV18" s="94" t="str">
        <f t="array" ref="BV18">IFERROR(INDEX(Skill!$X:$X, MATCH(BV$4, Skill!$C:$C, 0), 1), "")</f>
        <v/>
      </c>
      <c r="BW18" s="94" t="str">
        <f t="array" ref="BW18">IFERROR(INDEX(Skill!$X:$X, MATCH(BW$4, Skill!$C:$C, 0), 1), "")</f>
        <v/>
      </c>
      <c r="BX18" s="94" t="str">
        <f t="array" ref="BX18">IFERROR(INDEX(Skill!$X:$X, MATCH(BX$4, Skill!$C:$C, 0), 1), "")</f>
        <v/>
      </c>
      <c r="BY18" s="94" t="str">
        <f t="array" ref="BY18">IFERROR(INDEX(Skill!$X:$X, MATCH(BY$4, Skill!$C:$C, 0), 1), "")</f>
        <v/>
      </c>
      <c r="BZ18" s="94" t="str">
        <f t="array" ref="BZ18">IFERROR(INDEX(Skill!$X:$X, MATCH(BZ$4, Skill!$C:$C, 0), 1), "")</f>
        <v/>
      </c>
      <c r="CA18" s="94" t="str">
        <f t="array" ref="CA18">IFERROR(INDEX(Skill!$X:$X, MATCH(CA$4, Skill!$C:$C, 0), 1), "")</f>
        <v/>
      </c>
      <c r="CB18" s="94" t="str">
        <f t="array" ref="CB18">IFERROR(INDEX(Skill!$X:$X, MATCH(CB$4, Skill!$C:$C, 0), 1), "")</f>
        <v/>
      </c>
      <c r="CC18" s="94" t="str">
        <f t="array" ref="CC18">IFERROR(INDEX(Skill!$X:$X, MATCH(CC$4, Skill!$C:$C, 0), 1), "")</f>
        <v/>
      </c>
      <c r="CD18" s="94" t="str">
        <f t="array" ref="CD18">IFERROR(INDEX(Skill!$X:$X, MATCH(CD$4, Skill!$C:$C, 0), 1), "")</f>
        <v/>
      </c>
      <c r="CE18" s="94" t="str">
        <f t="array" ref="CE18">IFERROR(INDEX(Skill!$X:$X, MATCH(CE$4, Skill!$C:$C, 0), 1), "")</f>
        <v/>
      </c>
      <c r="CF18" s="94" t="str">
        <f t="array" ref="CF18">IFERROR(INDEX(Skill!$X:$X, MATCH(CF$4, Skill!$C:$C, 0), 1), "")</f>
        <v/>
      </c>
      <c r="CG18" s="94" t="str">
        <f t="array" ref="CG18">IFERROR(INDEX(Skill!$X:$X, MATCH(CG$4, Skill!$C:$C, 0), 1), "")</f>
        <v/>
      </c>
      <c r="CH18" s="94" t="str">
        <f t="array" ref="CH18">IFERROR(INDEX(Skill!$X:$X, MATCH(CH$4, Skill!$C:$C, 0), 1), "")</f>
        <v/>
      </c>
      <c r="CI18" s="94" t="str">
        <f t="array" ref="CI18">IFERROR(INDEX(Skill!$X:$X, MATCH(CI$4, Skill!$C:$C, 0), 1), "")</f>
        <v/>
      </c>
      <c r="CJ18" s="94" t="str">
        <f t="array" ref="CJ18">IFERROR(INDEX(Skill!$X:$X, MATCH(CJ$4, Skill!$C:$C, 0), 1), "")</f>
        <v/>
      </c>
      <c r="CK18" s="94" t="str">
        <f t="array" ref="CK18">IFERROR(INDEX(Skill!$X:$X, MATCH(CK$4, Skill!$C:$C, 0), 1), "")</f>
        <v/>
      </c>
      <c r="CL18" s="94" t="str">
        <f t="array" ref="CL18">IFERROR(INDEX(Skill!$X:$X, MATCH(CL$4, Skill!$C:$C, 0), 1), "")</f>
        <v/>
      </c>
      <c r="CM18" s="94" t="str">
        <f t="array" ref="CM18">IFERROR(INDEX(Skill!$X:$X, MATCH(CM$4, Skill!$C:$C, 0), 1), "")</f>
        <v/>
      </c>
      <c r="CN18" s="94" t="str">
        <f t="array" ref="CN18">IFERROR(INDEX(Skill!$X:$X, MATCH(CN$4, Skill!$C:$C, 0), 1), "")</f>
        <v/>
      </c>
      <c r="CO18" s="94" t="str">
        <f t="array" ref="CO18">IFERROR(INDEX(Skill!$X:$X, MATCH(CO$4, Skill!$C:$C, 0), 1), "")</f>
        <v/>
      </c>
      <c r="CP18" s="94" t="str">
        <f t="array" ref="CP18">IFERROR(INDEX(Skill!$X:$X, MATCH(CP$4, Skill!$C:$C, 0), 1), "")</f>
        <v/>
      </c>
      <c r="CQ18" s="94" t="str">
        <f t="array" ref="CQ18">IFERROR(INDEX(Skill!$X:$X, MATCH(CQ$4, Skill!$C:$C, 0), 1), "")</f>
        <v/>
      </c>
      <c r="CR18" s="94" t="str">
        <f t="array" ref="CR18">IFERROR(INDEX(Skill!$X:$X, MATCH(CR$4, Skill!$C:$C, 0), 1), "")</f>
        <v/>
      </c>
      <c r="CS18" s="94" t="str">
        <f t="array" ref="CS18">IFERROR(INDEX(Skill!$X:$X, MATCH(CS$4, Skill!$C:$C, 0), 1), "")</f>
        <v/>
      </c>
      <c r="CT18" s="94" t="str">
        <f t="array" ref="CT18">IFERROR(INDEX(Skill!$X:$X, MATCH(CT$4, Skill!$C:$C, 0), 1), "")</f>
        <v/>
      </c>
      <c r="CU18" s="94" t="str">
        <f t="array" ref="CU18">IFERROR(INDEX(Skill!$X:$X, MATCH(CU$4, Skill!$C:$C, 0), 1), "")</f>
        <v/>
      </c>
      <c r="CV18" s="94" t="str">
        <f t="array" ref="CV18">IFERROR(INDEX(Skill!$X:$X, MATCH(CV$4, Skill!$C:$C, 0), 1), "")</f>
        <v/>
      </c>
      <c r="CW18" s="94" t="str">
        <f t="array" ref="CW18">IFERROR(INDEX(Skill!$X:$X, MATCH(CW$4, Skill!$C:$C, 0), 1), "")</f>
        <v/>
      </c>
      <c r="CX18" s="94" t="str">
        <f t="array" ref="CX18">IFERROR(INDEX(Skill!$X:$X, MATCH(CX$4, Skill!$C:$C, 0), 1), "")</f>
        <v/>
      </c>
      <c r="CY18" s="94" t="str">
        <f t="array" ref="CY18">IFERROR(INDEX(Skill!$X:$X, MATCH(CY$4, Skill!$C:$C, 0), 1), "")</f>
        <v/>
      </c>
      <c r="CZ18" s="94" t="str">
        <f t="array" ref="CZ18">IFERROR(INDEX(Skill!$X:$X, MATCH(CZ$4, Skill!$C:$C, 0), 1), "")</f>
        <v/>
      </c>
      <c r="DA18" s="94" t="str">
        <f t="array" ref="DA18">IFERROR(INDEX(Skill!$X:$X, MATCH(DA$4, Skill!$C:$C, 0), 1), "")</f>
        <v/>
      </c>
      <c r="DB18" s="94" t="str">
        <f t="array" ref="DB18">IFERROR(INDEX(Skill!$X:$X, MATCH(DB$4, Skill!$C:$C, 0), 1), "")</f>
        <v/>
      </c>
      <c r="DC18" s="94" t="str">
        <f t="array" ref="DC18">IFERROR(INDEX(Skill!$X:$X, MATCH(DC$4, Skill!$C:$C, 0), 1), "")</f>
        <v/>
      </c>
      <c r="DD18" s="94" t="str">
        <f t="array" ref="DD18">IFERROR(INDEX(Skill!$X:$X, MATCH(DD$4, Skill!$C:$C, 0), 1), "")</f>
        <v/>
      </c>
      <c r="DE18" s="94" t="str">
        <f t="array" ref="DE18">IFERROR(INDEX(Skill!$X:$X, MATCH(DE$4, Skill!$C:$C, 0), 1), "")</f>
        <v/>
      </c>
      <c r="DF18" s="94" t="str">
        <f t="array" ref="DF18">IFERROR(INDEX(Skill!$X:$X, MATCH(DF$4, Skill!$C:$C, 0), 1), "")</f>
        <v/>
      </c>
      <c r="DG18" s="94" t="str">
        <f t="array" ref="DG18">IFERROR(INDEX(Skill!$X:$X, MATCH(DG$4, Skill!$C:$C, 0), 1), "")</f>
        <v/>
      </c>
      <c r="DH18" s="94" t="str">
        <f t="array" ref="DH18">IFERROR(INDEX(Skill!$X:$X, MATCH(DH$4, Skill!$C:$C, 0), 1), "")</f>
        <v/>
      </c>
      <c r="DI18" s="94" t="str">
        <f t="array" ref="DI18">IFERROR(INDEX(Skill!$X:$X, MATCH(DI$4, Skill!$C:$C, 0), 1), "")</f>
        <v/>
      </c>
      <c r="DJ18" s="94" t="str">
        <f t="array" ref="DJ18">IFERROR(INDEX(Skill!$X:$X, MATCH(DJ$4, Skill!$C:$C, 0), 1), "")</f>
        <v/>
      </c>
      <c r="DK18" s="94" t="str">
        <f t="array" ref="DK18">IFERROR(INDEX(Skill!$X:$X, MATCH(DK$4, Skill!$C:$C, 0), 1), "")</f>
        <v/>
      </c>
      <c r="DL18" s="94" t="str">
        <f t="array" ref="DL18">IFERROR(INDEX(Skill!$X:$X, MATCH(DL$4, Skill!$C:$C, 0), 1), "")</f>
        <v/>
      </c>
      <c r="DM18" s="94" t="str">
        <f t="array" ref="DM18">IFERROR(INDEX(Skill!$X:$X, MATCH(DM$4, Skill!$C:$C, 0), 1), "")</f>
        <v/>
      </c>
      <c r="DN18" s="94" t="str">
        <f t="array" ref="DN18">IFERROR(INDEX(Skill!$X:$X, MATCH(DN$4, Skill!$C:$C, 0), 1), "")</f>
        <v/>
      </c>
      <c r="DO18" s="94" t="str">
        <f t="array" ref="DO18">IFERROR(INDEX(Skill!$X:$X, MATCH(DO$4, Skill!$C:$C, 0), 1), "")</f>
        <v/>
      </c>
      <c r="DP18" s="94" t="str">
        <f t="array" ref="DP18">IFERROR(INDEX(Skill!$X:$X, MATCH(DP$4, Skill!$C:$C, 0), 1), "")</f>
        <v/>
      </c>
      <c r="DQ18" s="94" t="str">
        <f t="array" ref="DQ18">IFERROR(INDEX(Skill!$X:$X, MATCH(DQ$4, Skill!$C:$C, 0), 1), "")</f>
        <v/>
      </c>
      <c r="DR18" s="94" t="str">
        <f t="array" ref="DR18">IFERROR(INDEX(Skill!$X:$X, MATCH(DR$4, Skill!$C:$C, 0), 1), "")</f>
        <v/>
      </c>
      <c r="DS18" s="94" t="str">
        <f t="array" ref="DS18">IFERROR(INDEX(Skill!$X:$X, MATCH(DS$4, Skill!$C:$C, 0), 1), "")</f>
        <v/>
      </c>
      <c r="DT18" s="94" t="str">
        <f t="array" ref="DT18">IFERROR(INDEX(Skill!$X:$X, MATCH(DT$4, Skill!$C:$C, 0), 1), "")</f>
        <v/>
      </c>
      <c r="DU18" s="94" t="str">
        <f t="array" ref="DU18">IFERROR(INDEX(Skill!$X:$X, MATCH(DU$4, Skill!$C:$C, 0), 1), "")</f>
        <v/>
      </c>
      <c r="DV18" s="94" t="str">
        <f t="array" ref="DV18">IFERROR(INDEX(Skill!$X:$X, MATCH(DV$4, Skill!$C:$C, 0), 1), "")</f>
        <v/>
      </c>
      <c r="DW18" s="94" t="str">
        <f t="array" ref="DW18">IFERROR(INDEX(Skill!$X:$X, MATCH(DW$4, Skill!$C:$C, 0), 1), "")</f>
        <v/>
      </c>
      <c r="DX18" s="94" t="str">
        <f t="array" ref="DX18">IFERROR(INDEX(Skill!$X:$X, MATCH(DX$4, Skill!$C:$C, 0), 1), "")</f>
        <v/>
      </c>
      <c r="DY18" s="94" t="str">
        <f t="array" ref="DY18">IFERROR(INDEX(Skill!$X:$X, MATCH(DY$4, Skill!$C:$C, 0), 1), "")</f>
        <v/>
      </c>
      <c r="DZ18" s="94" t="str">
        <f t="array" ref="DZ18">IFERROR(INDEX(Skill!$X:$X, MATCH(DZ$4, Skill!$C:$C, 0), 1), "")</f>
        <v/>
      </c>
      <c r="EA18" s="89" t="str">
        <f t="array" ref="EA18">IFERROR(INDEX(Skill!$X:$X, MATCH(EA$4, Skill!$C:$C, 0), 1), "")</f>
        <v/>
      </c>
      <c r="EB18" s="89" t="str">
        <f t="array" ref="EB18">IFERROR(INDEX(Skill!$X:$X, MATCH(EB$4, Skill!$C:$C, 0), 1), "")</f>
        <v/>
      </c>
      <c r="EC18" s="89" t="str">
        <f t="array" ref="EC18">IFERROR(INDEX(Skill!$X:$X, MATCH(EC$4, Skill!$C:$C, 0), 1), "")</f>
        <v/>
      </c>
      <c r="ED18" s="94" t="str">
        <f t="array" ref="ED18">IFERROR(INDEX(Skill!$X:$X, MATCH(ED$4, Skill!$C:$C, 0), 1), "")</f>
        <v/>
      </c>
      <c r="EE18" s="102"/>
      <c r="EF18" s="102"/>
      <c r="EG18" s="102"/>
      <c r="EH18" s="102"/>
      <c r="EI18" s="102"/>
      <c r="EJ18" s="102"/>
      <c r="EK18" s="102"/>
      <c r="EL18" s="102"/>
      <c r="EM18" s="102"/>
      <c r="EN18" s="102"/>
      <c r="EO18" s="102"/>
      <c r="EP18" s="102"/>
      <c r="EQ18" s="102"/>
      <c r="ER18" s="103"/>
      <c r="ES18" s="103"/>
      <c r="ET18" s="103"/>
      <c r="EU18" s="76"/>
      <c r="EV18" s="76"/>
      <c r="EW18" s="76"/>
      <c r="EX18" s="76"/>
      <c r="EY18" s="76"/>
      <c r="EZ18" s="76"/>
      <c r="FA18" s="76"/>
      <c r="FB18" s="76"/>
      <c r="FC18" s="76"/>
      <c r="FD18" s="76"/>
      <c r="FE18" s="76"/>
      <c r="FF18" s="76"/>
      <c r="FG18" s="76"/>
      <c r="FH18" s="76"/>
      <c r="FI18" s="76"/>
      <c r="FJ18" s="76"/>
      <c r="FK18" s="76"/>
      <c r="FL18" s="76"/>
      <c r="FM18" s="76"/>
      <c r="FN18" s="76"/>
      <c r="FO18" s="91"/>
    </row>
    <row r="19" hidden="1">
      <c r="B19" s="84"/>
      <c r="C19" s="83"/>
      <c r="D19" s="83"/>
      <c r="E19" s="105" t="s">
        <v>10</v>
      </c>
      <c r="F19" s="84"/>
      <c r="G19" s="84"/>
      <c r="H19" s="84"/>
      <c r="I19" s="84"/>
      <c r="J19" s="84"/>
      <c r="K19" s="94" t="str">
        <f t="array" ref="K19">IFERROR(INDEX(Skill!$W:$W, MATCH(K$4, Skill!$C:$C, 0), 1), "")</f>
        <v/>
      </c>
      <c r="L19" s="94" t="str">
        <f t="array" ref="L19">IFERROR(INDEX(Skill!$W:$W, MATCH(L$4, Skill!$C:$C, 0), 1), "")</f>
        <v/>
      </c>
      <c r="M19" s="94" t="str">
        <f t="array" ref="M19">IFERROR(INDEX(Skill!$W:$W, MATCH(M$4, Skill!$C:$C, 0), 1), "")</f>
        <v/>
      </c>
      <c r="N19" s="94">
        <f t="array" ref="N19">IFERROR(INDEX(Skill!$W:$W, MATCH(N$4, Skill!$C:$C, 0), 1), "")</f>
        <v>0.8</v>
      </c>
      <c r="O19" s="94" t="str">
        <f t="array" ref="O19">IFERROR(INDEX(Skill!$W:$W, MATCH(O$4, Skill!$C:$C, 0), 1), "")</f>
        <v/>
      </c>
      <c r="P19" s="94" t="str">
        <f t="array" ref="P19">IFERROR(INDEX(Skill!$W:$W, MATCH(P$4, Skill!$C:$C, 0), 1), "")</f>
        <v/>
      </c>
      <c r="Q19" s="94" t="str">
        <f t="array" ref="Q19">IFERROR(INDEX(Skill!$W:$W, MATCH(Q$4, Skill!$C:$C, 0), 1), "")</f>
        <v/>
      </c>
      <c r="R19" s="94" t="str">
        <f t="array" ref="R19">IFERROR(INDEX(Skill!$W:$W, MATCH(R$4, Skill!$C:$C, 0), 1), "")</f>
        <v/>
      </c>
      <c r="S19" s="94" t="str">
        <f t="array" ref="S19">IFERROR(INDEX(Skill!$W:$W, MATCH(S$4, Skill!$C:$C, 0), 1), "")</f>
        <v/>
      </c>
      <c r="T19" s="94" t="str">
        <f t="array" ref="T19">IFERROR(INDEX(Skill!$W:$W, MATCH(T$4, Skill!$C:$C, 0), 1), "")</f>
        <v/>
      </c>
      <c r="U19" s="94" t="str">
        <f t="array" ref="U19">IFERROR(INDEX(Skill!$W:$W, MATCH(U$4, Skill!$C:$C, 0), 1), "")</f>
        <v/>
      </c>
      <c r="V19" s="94" t="str">
        <f t="array" ref="V19">IFERROR(INDEX(Skill!$W:$W, MATCH(V$4, Skill!$C:$C, 0), 1), "")</f>
        <v/>
      </c>
      <c r="W19" s="94" t="str">
        <f t="array" ref="W19">IFERROR(INDEX(Skill!$W:$W, MATCH(W$4, Skill!$C:$C, 0), 1), "")</f>
        <v/>
      </c>
      <c r="X19" s="94" t="str">
        <f t="array" ref="X19">IFERROR(INDEX(Skill!$W:$W, MATCH(X$4, Skill!$C:$C, 0), 1), "")</f>
        <v/>
      </c>
      <c r="Y19" s="94" t="str">
        <f t="array" ref="Y19">IFERROR(INDEX(Skill!$W:$W, MATCH(Y$4, Skill!$C:$C, 0), 1), "")</f>
        <v/>
      </c>
      <c r="Z19" s="94" t="str">
        <f t="array" ref="Z19">IFERROR(INDEX(Skill!$W:$W, MATCH(Z$4, Skill!$C:$C, 0), 1), "")</f>
        <v/>
      </c>
      <c r="AA19" s="94" t="str">
        <f t="array" ref="AA19">IFERROR(INDEX(Skill!$W:$W, MATCH(AA$4, Skill!$C:$C, 0), 1), "")</f>
        <v/>
      </c>
      <c r="AB19" s="94" t="str">
        <f t="array" ref="AB19">IFERROR(INDEX(Skill!$W:$W, MATCH(AB$4, Skill!$C:$C, 0), 1), "")</f>
        <v/>
      </c>
      <c r="AC19" s="94" t="str">
        <f t="array" ref="AC19">IFERROR(INDEX(Skill!$W:$W, MATCH(AC$4, Skill!$C:$C, 0), 1), "")</f>
        <v/>
      </c>
      <c r="AD19" s="94" t="str">
        <f t="array" ref="AD19">IFERROR(INDEX(Skill!$W:$W, MATCH(AD$4, Skill!$C:$C, 0), 1), "")</f>
        <v/>
      </c>
      <c r="AE19" s="94" t="str">
        <f t="array" ref="AE19">IFERROR(INDEX(Skill!$W:$W, MATCH(AE$4, Skill!$C:$C, 0), 1), "")</f>
        <v/>
      </c>
      <c r="AF19" s="94" t="str">
        <f t="array" ref="AF19">IFERROR(INDEX(Skill!$W:$W, MATCH(AF$4, Skill!$C:$C, 0), 1), "")</f>
        <v/>
      </c>
      <c r="AG19" s="94" t="str">
        <f t="array" ref="AG19">IFERROR(INDEX(Skill!$W:$W, MATCH(AG$4, Skill!$C:$C, 0), 1), "")</f>
        <v/>
      </c>
      <c r="AH19" s="94" t="str">
        <f t="array" ref="AH19">IFERROR(INDEX(Skill!$W:$W, MATCH(AH$4, Skill!$C:$C, 0), 1), "")</f>
        <v/>
      </c>
      <c r="AI19" s="94" t="str">
        <f t="array" ref="AI19">IFERROR(INDEX(Skill!$W:$W, MATCH(AI$4, Skill!$C:$C, 0), 1), "")</f>
        <v/>
      </c>
      <c r="AJ19" s="94" t="str">
        <f t="array" ref="AJ19">IFERROR(INDEX(Skill!$W:$W, MATCH(AJ$4, Skill!$C:$C, 0), 1), "")</f>
        <v/>
      </c>
      <c r="AK19" s="94" t="str">
        <f t="array" ref="AK19">IFERROR(INDEX(Skill!$W:$W, MATCH(AK$4, Skill!$C:$C, 0), 1), "")</f>
        <v/>
      </c>
      <c r="AL19" s="94" t="str">
        <f t="array" ref="AL19">IFERROR(INDEX(Skill!$W:$W, MATCH(AL$4, Skill!$C:$C, 0), 1), "")</f>
        <v/>
      </c>
      <c r="AM19" s="94" t="str">
        <f t="array" ref="AM19">IFERROR(INDEX(Skill!$W:$W, MATCH(AM$4, Skill!$C:$C, 0), 1), "")</f>
        <v/>
      </c>
      <c r="AN19" s="94" t="str">
        <f t="array" ref="AN19">IFERROR(INDEX(Skill!$W:$W, MATCH(AN$4, Skill!$C:$C, 0), 1), "")</f>
        <v/>
      </c>
      <c r="AO19" s="94" t="str">
        <f t="array" ref="AO19">IFERROR(INDEX(Skill!$W:$W, MATCH(AO$4, Skill!$C:$C, 0), 1), "")</f>
        <v/>
      </c>
      <c r="AP19" s="94" t="str">
        <f t="array" ref="AP19">IFERROR(INDEX(Skill!$W:$W, MATCH(AP$4, Skill!$C:$C, 0), 1), "")</f>
        <v/>
      </c>
      <c r="AQ19" s="94" t="str">
        <f t="array" ref="AQ19">IFERROR(INDEX(Skill!$W:$W, MATCH(AQ$4, Skill!$C:$C, 0), 1), "")</f>
        <v/>
      </c>
      <c r="AR19" s="94" t="str">
        <f t="array" ref="AR19">IFERROR(INDEX(Skill!$W:$W, MATCH(AR$4, Skill!$C:$C, 0), 1), "")</f>
        <v/>
      </c>
      <c r="AS19" s="94" t="str">
        <f t="array" ref="AS19">IFERROR(INDEX(Skill!$W:$W, MATCH(AS$4, Skill!$C:$C, 0), 1), "")</f>
        <v/>
      </c>
      <c r="AT19" s="94" t="str">
        <f t="array" ref="AT19">IFERROR(INDEX(Skill!$W:$W, MATCH(AT$4, Skill!$C:$C, 0), 1), "")</f>
        <v/>
      </c>
      <c r="AU19" s="94" t="str">
        <f t="array" ref="AU19">IFERROR(INDEX(Skill!$W:$W, MATCH(AU$4, Skill!$C:$C, 0), 1), "")</f>
        <v/>
      </c>
      <c r="AV19" s="94" t="str">
        <f t="array" ref="AV19">IFERROR(INDEX(Skill!$W:$W, MATCH(AV$4, Skill!$C:$C, 0), 1), "")</f>
        <v/>
      </c>
      <c r="AW19" s="94" t="str">
        <f t="array" ref="AW19">IFERROR(INDEX(Skill!$W:$W, MATCH(AW$4, Skill!$C:$C, 0), 1), "")</f>
        <v/>
      </c>
      <c r="AX19" s="94" t="str">
        <f t="array" ref="AX19">IFERROR(INDEX(Skill!$W:$W, MATCH(AX$4, Skill!$C:$C, 0), 1), "")</f>
        <v/>
      </c>
      <c r="AY19" s="94" t="str">
        <f t="array" ref="AY19">IFERROR(INDEX(Skill!$W:$W, MATCH(AY$4, Skill!$C:$C, 0), 1), "")</f>
        <v/>
      </c>
      <c r="AZ19" s="94" t="str">
        <f t="array" ref="AZ19">IFERROR(INDEX(Skill!$W:$W, MATCH(AZ$4, Skill!$C:$C, 0), 1), "")</f>
        <v/>
      </c>
      <c r="BA19" s="94" t="str">
        <f t="array" ref="BA19">IFERROR(INDEX(Skill!$W:$W, MATCH(BA$4, Skill!$C:$C, 0), 1), "")</f>
        <v/>
      </c>
      <c r="BB19" s="94" t="str">
        <f t="array" ref="BB19">IFERROR(INDEX(Skill!$W:$W, MATCH(BB$4, Skill!$C:$C, 0), 1), "")</f>
        <v/>
      </c>
      <c r="BC19" s="94" t="str">
        <f t="array" ref="BC19">IFERROR(INDEX(Skill!$W:$W, MATCH(BC$4, Skill!$C:$C, 0), 1), "")</f>
        <v/>
      </c>
      <c r="BD19" s="94" t="str">
        <f t="array" ref="BD19">IFERROR(INDEX(Skill!$W:$W, MATCH(BD$4, Skill!$C:$C, 0), 1), "")</f>
        <v/>
      </c>
      <c r="BE19" s="94" t="str">
        <f t="array" ref="BE19">IFERROR(INDEX(Skill!$W:$W, MATCH(BE$4, Skill!$C:$C, 0), 1), "")</f>
        <v/>
      </c>
      <c r="BF19" s="94" t="str">
        <f t="array" ref="BF19">IFERROR(INDEX(Skill!$W:$W, MATCH(BF$4, Skill!$C:$C, 0), 1), "")</f>
        <v/>
      </c>
      <c r="BG19" s="94" t="str">
        <f t="array" ref="BG19">IFERROR(INDEX(Skill!$W:$W, MATCH(BG$4, Skill!$C:$C, 0), 1), "")</f>
        <v/>
      </c>
      <c r="BH19" s="94" t="str">
        <f t="array" ref="BH19">IFERROR(INDEX(Skill!$W:$W, MATCH(BH$4, Skill!$C:$C, 0), 1), "")</f>
        <v/>
      </c>
      <c r="BI19" s="94" t="str">
        <f t="array" ref="BI19">IFERROR(INDEX(Skill!$W:$W, MATCH(BI$4, Skill!$C:$C, 0), 1), "")</f>
        <v/>
      </c>
      <c r="BJ19" s="94" t="str">
        <f t="array" ref="BJ19">IFERROR(INDEX(Skill!$W:$W, MATCH(BJ$4, Skill!$C:$C, 0), 1), "")</f>
        <v/>
      </c>
      <c r="BK19" s="94" t="str">
        <f t="array" ref="BK19">IFERROR(INDEX(Skill!$W:$W, MATCH(BK$4, Skill!$C:$C, 0), 1), "")</f>
        <v/>
      </c>
      <c r="BL19" s="94" t="str">
        <f t="array" ref="BL19">IFERROR(INDEX(Skill!$W:$W, MATCH(BL$4, Skill!$C:$C, 0), 1), "")</f>
        <v/>
      </c>
      <c r="BM19" s="94" t="str">
        <f t="array" ref="BM19">IFERROR(INDEX(Skill!$W:$W, MATCH(BM$4, Skill!$C:$C, 0), 1), "")</f>
        <v/>
      </c>
      <c r="BN19" s="94" t="str">
        <f t="array" ref="BN19">IFERROR(INDEX(Skill!$W:$W, MATCH(BN$4, Skill!$C:$C, 0), 1), "")</f>
        <v/>
      </c>
      <c r="BO19" s="94" t="str">
        <f t="array" ref="BO19">IFERROR(INDEX(Skill!$W:$W, MATCH(BO$4, Skill!$C:$C, 0), 1), "")</f>
        <v/>
      </c>
      <c r="BP19" s="94" t="str">
        <f t="array" ref="BP19">IFERROR(INDEX(Skill!$W:$W, MATCH(BP$4, Skill!$C:$C, 0), 1), "")</f>
        <v/>
      </c>
      <c r="BQ19" s="94" t="str">
        <f t="array" ref="BQ19">IFERROR(INDEX(Skill!$W:$W, MATCH(BQ$4, Skill!$C:$C, 0), 1), "")</f>
        <v/>
      </c>
      <c r="BR19" s="94" t="str">
        <f t="array" ref="BR19">IFERROR(INDEX(Skill!$W:$W, MATCH(BR$4, Skill!$C:$C, 0), 1), "")</f>
        <v/>
      </c>
      <c r="BS19" s="94" t="str">
        <f t="array" ref="BS19">IFERROR(INDEX(Skill!$W:$W, MATCH(BS$4, Skill!$C:$C, 0), 1), "")</f>
        <v/>
      </c>
      <c r="BT19" s="94" t="str">
        <f t="array" ref="BT19">IFERROR(INDEX(Skill!$W:$W, MATCH(BT$4, Skill!$C:$C, 0), 1), "")</f>
        <v/>
      </c>
      <c r="BU19" s="94" t="str">
        <f t="array" ref="BU19">IFERROR(INDEX(Skill!$W:$W, MATCH(BU$4, Skill!$C:$C, 0), 1), "")</f>
        <v/>
      </c>
      <c r="BV19" s="94" t="str">
        <f t="array" ref="BV19">IFERROR(INDEX(Skill!$W:$W, MATCH(BV$4, Skill!$C:$C, 0), 1), "")</f>
        <v/>
      </c>
      <c r="BW19" s="94" t="str">
        <f t="array" ref="BW19">IFERROR(INDEX(Skill!$W:$W, MATCH(BW$4, Skill!$C:$C, 0), 1), "")</f>
        <v/>
      </c>
      <c r="BX19" s="94" t="str">
        <f t="array" ref="BX19">IFERROR(INDEX(Skill!$W:$W, MATCH(BX$4, Skill!$C:$C, 0), 1), "")</f>
        <v/>
      </c>
      <c r="BY19" s="94" t="str">
        <f t="array" ref="BY19">IFERROR(INDEX(Skill!$W:$W, MATCH(BY$4, Skill!$C:$C, 0), 1), "")</f>
        <v/>
      </c>
      <c r="BZ19" s="94" t="str">
        <f t="array" ref="BZ19">IFERROR(INDEX(Skill!$W:$W, MATCH(BZ$4, Skill!$C:$C, 0), 1), "")</f>
        <v/>
      </c>
      <c r="CA19" s="94" t="str">
        <f t="array" ref="CA19">IFERROR(INDEX(Skill!$W:$W, MATCH(CA$4, Skill!$C:$C, 0), 1), "")</f>
        <v/>
      </c>
      <c r="CB19" s="94" t="str">
        <f t="array" ref="CB19">IFERROR(INDEX(Skill!$W:$W, MATCH(CB$4, Skill!$C:$C, 0), 1), "")</f>
        <v/>
      </c>
      <c r="CC19" s="94" t="str">
        <f t="array" ref="CC19">IFERROR(INDEX(Skill!$W:$W, MATCH(CC$4, Skill!$C:$C, 0), 1), "")</f>
        <v/>
      </c>
      <c r="CD19" s="94" t="str">
        <f t="array" ref="CD19">IFERROR(INDEX(Skill!$W:$W, MATCH(CD$4, Skill!$C:$C, 0), 1), "")</f>
        <v/>
      </c>
      <c r="CE19" s="94" t="str">
        <f t="array" ref="CE19">IFERROR(INDEX(Skill!$W:$W, MATCH(CE$4, Skill!$C:$C, 0), 1), "")</f>
        <v/>
      </c>
      <c r="CF19" s="94" t="str">
        <f t="array" ref="CF19">IFERROR(INDEX(Skill!$W:$W, MATCH(CF$4, Skill!$C:$C, 0), 1), "")</f>
        <v/>
      </c>
      <c r="CG19" s="94" t="str">
        <f t="array" ref="CG19">IFERROR(INDEX(Skill!$W:$W, MATCH(CG$4, Skill!$C:$C, 0), 1), "")</f>
        <v/>
      </c>
      <c r="CH19" s="94" t="str">
        <f t="array" ref="CH19">IFERROR(INDEX(Skill!$W:$W, MATCH(CH$4, Skill!$C:$C, 0), 1), "")</f>
        <v/>
      </c>
      <c r="CI19" s="94" t="str">
        <f t="array" ref="CI19">IFERROR(INDEX(Skill!$W:$W, MATCH(CI$4, Skill!$C:$C, 0), 1), "")</f>
        <v/>
      </c>
      <c r="CJ19" s="94" t="str">
        <f t="array" ref="CJ19">IFERROR(INDEX(Skill!$W:$W, MATCH(CJ$4, Skill!$C:$C, 0), 1), "")</f>
        <v/>
      </c>
      <c r="CK19" s="94" t="str">
        <f t="array" ref="CK19">IFERROR(INDEX(Skill!$W:$W, MATCH(CK$4, Skill!$C:$C, 0), 1), "")</f>
        <v/>
      </c>
      <c r="CL19" s="94" t="str">
        <f t="array" ref="CL19">IFERROR(INDEX(Skill!$W:$W, MATCH(CL$4, Skill!$C:$C, 0), 1), "")</f>
        <v/>
      </c>
      <c r="CM19" s="94" t="str">
        <f t="array" ref="CM19">IFERROR(INDEX(Skill!$W:$W, MATCH(CM$4, Skill!$C:$C, 0), 1), "")</f>
        <v/>
      </c>
      <c r="CN19" s="94" t="str">
        <f t="array" ref="CN19">IFERROR(INDEX(Skill!$W:$W, MATCH(CN$4, Skill!$C:$C, 0), 1), "")</f>
        <v/>
      </c>
      <c r="CO19" s="94" t="str">
        <f t="array" ref="CO19">IFERROR(INDEX(Skill!$W:$W, MATCH(CO$4, Skill!$C:$C, 0), 1), "")</f>
        <v/>
      </c>
      <c r="CP19" s="94" t="str">
        <f t="array" ref="CP19">IFERROR(INDEX(Skill!$W:$W, MATCH(CP$4, Skill!$C:$C, 0), 1), "")</f>
        <v/>
      </c>
      <c r="CQ19" s="94" t="str">
        <f t="array" ref="CQ19">IFERROR(INDEX(Skill!$W:$W, MATCH(CQ$4, Skill!$C:$C, 0), 1), "")</f>
        <v/>
      </c>
      <c r="CR19" s="94" t="str">
        <f t="array" ref="CR19">IFERROR(INDEX(Skill!$W:$W, MATCH(CR$4, Skill!$C:$C, 0), 1), "")</f>
        <v/>
      </c>
      <c r="CS19" s="94" t="str">
        <f t="array" ref="CS19">IFERROR(INDEX(Skill!$W:$W, MATCH(CS$4, Skill!$C:$C, 0), 1), "")</f>
        <v/>
      </c>
      <c r="CT19" s="94" t="str">
        <f t="array" ref="CT19">IFERROR(INDEX(Skill!$W:$W, MATCH(CT$4, Skill!$C:$C, 0), 1), "")</f>
        <v/>
      </c>
      <c r="CU19" s="94" t="str">
        <f t="array" ref="CU19">IFERROR(INDEX(Skill!$W:$W, MATCH(CU$4, Skill!$C:$C, 0), 1), "")</f>
        <v/>
      </c>
      <c r="CV19" s="94" t="str">
        <f t="array" ref="CV19">IFERROR(INDEX(Skill!$W:$W, MATCH(CV$4, Skill!$C:$C, 0), 1), "")</f>
        <v/>
      </c>
      <c r="CW19" s="94" t="str">
        <f t="array" ref="CW19">IFERROR(INDEX(Skill!$W:$W, MATCH(CW$4, Skill!$C:$C, 0), 1), "")</f>
        <v/>
      </c>
      <c r="CX19" s="94" t="str">
        <f t="array" ref="CX19">IFERROR(INDEX(Skill!$W:$W, MATCH(CX$4, Skill!$C:$C, 0), 1), "")</f>
        <v/>
      </c>
      <c r="CY19" s="94" t="str">
        <f t="array" ref="CY19">IFERROR(INDEX(Skill!$W:$W, MATCH(CY$4, Skill!$C:$C, 0), 1), "")</f>
        <v/>
      </c>
      <c r="CZ19" s="94" t="str">
        <f t="array" ref="CZ19">IFERROR(INDEX(Skill!$W:$W, MATCH(CZ$4, Skill!$C:$C, 0), 1), "")</f>
        <v/>
      </c>
      <c r="DA19" s="94" t="str">
        <f t="array" ref="DA19">IFERROR(INDEX(Skill!$W:$W, MATCH(DA$4, Skill!$C:$C, 0), 1), "")</f>
        <v/>
      </c>
      <c r="DB19" s="94" t="str">
        <f t="array" ref="DB19">IFERROR(INDEX(Skill!$W:$W, MATCH(DB$4, Skill!$C:$C, 0), 1), "")</f>
        <v/>
      </c>
      <c r="DC19" s="94" t="str">
        <f t="array" ref="DC19">IFERROR(INDEX(Skill!$W:$W, MATCH(DC$4, Skill!$C:$C, 0), 1), "")</f>
        <v/>
      </c>
      <c r="DD19" s="94" t="str">
        <f t="array" ref="DD19">IFERROR(INDEX(Skill!$W:$W, MATCH(DD$4, Skill!$C:$C, 0), 1), "")</f>
        <v/>
      </c>
      <c r="DE19" s="94" t="str">
        <f t="array" ref="DE19">IFERROR(INDEX(Skill!$W:$W, MATCH(DE$4, Skill!$C:$C, 0), 1), "")</f>
        <v/>
      </c>
      <c r="DF19" s="94" t="str">
        <f t="array" ref="DF19">IFERROR(INDEX(Skill!$W:$W, MATCH(DF$4, Skill!$C:$C, 0), 1), "")</f>
        <v/>
      </c>
      <c r="DG19" s="94" t="str">
        <f t="array" ref="DG19">IFERROR(INDEX(Skill!$W:$W, MATCH(DG$4, Skill!$C:$C, 0), 1), "")</f>
        <v/>
      </c>
      <c r="DH19" s="94" t="str">
        <f t="array" ref="DH19">IFERROR(INDEX(Skill!$W:$W, MATCH(DH$4, Skill!$C:$C, 0), 1), "")</f>
        <v/>
      </c>
      <c r="DI19" s="94" t="str">
        <f t="array" ref="DI19">IFERROR(INDEX(Skill!$W:$W, MATCH(DI$4, Skill!$C:$C, 0), 1), "")</f>
        <v/>
      </c>
      <c r="DJ19" s="94" t="str">
        <f t="array" ref="DJ19">IFERROR(INDEX(Skill!$W:$W, MATCH(DJ$4, Skill!$C:$C, 0), 1), "")</f>
        <v/>
      </c>
      <c r="DK19" s="94" t="str">
        <f t="array" ref="DK19">IFERROR(INDEX(Skill!$W:$W, MATCH(DK$4, Skill!$C:$C, 0), 1), "")</f>
        <v/>
      </c>
      <c r="DL19" s="94" t="str">
        <f t="array" ref="DL19">IFERROR(INDEX(Skill!$W:$W, MATCH(DL$4, Skill!$C:$C, 0), 1), "")</f>
        <v/>
      </c>
      <c r="DM19" s="94" t="str">
        <f t="array" ref="DM19">IFERROR(INDEX(Skill!$W:$W, MATCH(DM$4, Skill!$C:$C, 0), 1), "")</f>
        <v/>
      </c>
      <c r="DN19" s="94" t="str">
        <f t="array" ref="DN19">IFERROR(INDEX(Skill!$W:$W, MATCH(DN$4, Skill!$C:$C, 0), 1), "")</f>
        <v/>
      </c>
      <c r="DO19" s="94" t="str">
        <f t="array" ref="DO19">IFERROR(INDEX(Skill!$W:$W, MATCH(DO$4, Skill!$C:$C, 0), 1), "")</f>
        <v/>
      </c>
      <c r="DP19" s="94" t="str">
        <f t="array" ref="DP19">IFERROR(INDEX(Skill!$W:$W, MATCH(DP$4, Skill!$C:$C, 0), 1), "")</f>
        <v/>
      </c>
      <c r="DQ19" s="94" t="str">
        <f t="array" ref="DQ19">IFERROR(INDEX(Skill!$W:$W, MATCH(DQ$4, Skill!$C:$C, 0), 1), "")</f>
        <v/>
      </c>
      <c r="DR19" s="94" t="str">
        <f t="array" ref="DR19">IFERROR(INDEX(Skill!$W:$W, MATCH(DR$4, Skill!$C:$C, 0), 1), "")</f>
        <v/>
      </c>
      <c r="DS19" s="94" t="str">
        <f t="array" ref="DS19">IFERROR(INDEX(Skill!$W:$W, MATCH(DS$4, Skill!$C:$C, 0), 1), "")</f>
        <v/>
      </c>
      <c r="DT19" s="94" t="str">
        <f t="array" ref="DT19">IFERROR(INDEX(Skill!$W:$W, MATCH(DT$4, Skill!$C:$C, 0), 1), "")</f>
        <v/>
      </c>
      <c r="DU19" s="94" t="str">
        <f t="array" ref="DU19">IFERROR(INDEX(Skill!$W:$W, MATCH(DU$4, Skill!$C:$C, 0), 1), "")</f>
        <v/>
      </c>
      <c r="DV19" s="94" t="str">
        <f t="array" ref="DV19">IFERROR(INDEX(Skill!$W:$W, MATCH(DV$4, Skill!$C:$C, 0), 1), "")</f>
        <v/>
      </c>
      <c r="DW19" s="94" t="str">
        <f t="array" ref="DW19">IFERROR(INDEX(Skill!$W:$W, MATCH(DW$4, Skill!$C:$C, 0), 1), "")</f>
        <v/>
      </c>
      <c r="DX19" s="94" t="str">
        <f t="array" ref="DX19">IFERROR(INDEX(Skill!$W:$W, MATCH(DX$4, Skill!$C:$C, 0), 1), "")</f>
        <v/>
      </c>
      <c r="DY19" s="94" t="str">
        <f t="array" ref="DY19">IFERROR(INDEX(Skill!$W:$W, MATCH(DY$4, Skill!$C:$C, 0), 1), "")</f>
        <v/>
      </c>
      <c r="DZ19" s="94" t="str">
        <f t="array" ref="DZ19">IFERROR(INDEX(Skill!$W:$W, MATCH(DZ$4, Skill!$C:$C, 0), 1), "")</f>
        <v/>
      </c>
      <c r="EA19" s="89" t="str">
        <f t="array" ref="EA19">IFERROR(INDEX(Skill!$W:$W, MATCH(EA$4, Skill!$C:$C, 0), 1), "")</f>
        <v/>
      </c>
      <c r="EB19" s="89" t="str">
        <f t="array" ref="EB19">IFERROR(INDEX(Skill!$W:$W, MATCH(EB$4, Skill!$C:$C, 0), 1), "")</f>
        <v/>
      </c>
      <c r="EC19" s="89" t="str">
        <f t="array" ref="EC19">IFERROR(INDEX(Skill!$W:$W, MATCH(EC$4, Skill!$C:$C, 0), 1), "")</f>
        <v/>
      </c>
      <c r="ED19" s="94" t="str">
        <f t="array" ref="ED19">IFERROR(INDEX(Skill!$W:$W, MATCH(ED$4, Skill!$C:$C, 0), 1), "")</f>
        <v/>
      </c>
      <c r="EE19" s="102"/>
      <c r="EF19" s="102"/>
      <c r="EG19" s="102"/>
      <c r="EH19" s="102"/>
      <c r="EI19" s="102"/>
      <c r="EJ19" s="102"/>
      <c r="EK19" s="102"/>
      <c r="EL19" s="102"/>
      <c r="EM19" s="102"/>
      <c r="EN19" s="102"/>
      <c r="EO19" s="102"/>
      <c r="EP19" s="102"/>
      <c r="EQ19" s="102"/>
      <c r="ER19" s="103"/>
      <c r="ES19" s="103"/>
      <c r="ET19" s="103"/>
      <c r="EU19" s="76"/>
      <c r="EV19" s="76"/>
      <c r="EW19" s="76"/>
      <c r="EX19" s="76"/>
      <c r="EY19" s="76"/>
      <c r="EZ19" s="76"/>
      <c r="FA19" s="76"/>
      <c r="FB19" s="76"/>
      <c r="FC19" s="76"/>
      <c r="FD19" s="76"/>
      <c r="FE19" s="76"/>
      <c r="FF19" s="76"/>
      <c r="FG19" s="76"/>
      <c r="FH19" s="76"/>
      <c r="FI19" s="76"/>
      <c r="FJ19" s="76"/>
      <c r="FK19" s="76"/>
      <c r="FL19" s="76"/>
      <c r="FM19" s="76"/>
      <c r="FN19" s="76"/>
      <c r="FO19" s="91"/>
    </row>
    <row r="20" hidden="1">
      <c r="B20" s="84"/>
      <c r="C20" s="83"/>
      <c r="D20" s="83"/>
      <c r="E20" s="105" t="s">
        <v>12</v>
      </c>
      <c r="F20" s="84"/>
      <c r="G20" s="84"/>
      <c r="H20" s="84"/>
      <c r="I20" s="84"/>
      <c r="J20" s="84"/>
      <c r="K20" s="94" t="str">
        <f t="array" ref="K20">IFERROR(INDEX(Skill!$Y:$Y, MATCH(K$4, Skill!$C:$C, 0), 1), "")</f>
        <v/>
      </c>
      <c r="L20" s="94" t="str">
        <f t="array" ref="L20">IFERROR(INDEX(Skill!$Y:$Y, MATCH(L$4, Skill!$C:$C, 0), 1), "")</f>
        <v/>
      </c>
      <c r="M20" s="94" t="str">
        <f t="array" ref="M20">IFERROR(INDEX(Skill!$Y:$Y, MATCH(M$4, Skill!$C:$C, 0), 1), "")</f>
        <v/>
      </c>
      <c r="N20" s="94">
        <f t="array" ref="N20">IFERROR(INDEX(Skill!$Y:$Y, MATCH(N$4, Skill!$C:$C, 0), 1), "")</f>
        <v>0.8</v>
      </c>
      <c r="O20" s="94" t="str">
        <f t="array" ref="O20">IFERROR(INDEX(Skill!$Y:$Y, MATCH(O$4, Skill!$C:$C, 0), 1), "")</f>
        <v/>
      </c>
      <c r="P20" s="94" t="str">
        <f t="array" ref="P20">IFERROR(INDEX(Skill!$Y:$Y, MATCH(P$4, Skill!$C:$C, 0), 1), "")</f>
        <v/>
      </c>
      <c r="Q20" s="94" t="str">
        <f t="array" ref="Q20">IFERROR(INDEX(Skill!$Y:$Y, MATCH(Q$4, Skill!$C:$C, 0), 1), "")</f>
        <v/>
      </c>
      <c r="R20" s="94" t="str">
        <f t="array" ref="R20">IFERROR(INDEX(Skill!$Y:$Y, MATCH(R$4, Skill!$C:$C, 0), 1), "")</f>
        <v/>
      </c>
      <c r="S20" s="94" t="str">
        <f t="array" ref="S20">IFERROR(INDEX(Skill!$Y:$Y, MATCH(S$4, Skill!$C:$C, 0), 1), "")</f>
        <v/>
      </c>
      <c r="T20" s="94" t="str">
        <f t="array" ref="T20">IFERROR(INDEX(Skill!$Y:$Y, MATCH(T$4, Skill!$C:$C, 0), 1), "")</f>
        <v/>
      </c>
      <c r="U20" s="94" t="str">
        <f t="array" ref="U20">IFERROR(INDEX(Skill!$Y:$Y, MATCH(U$4, Skill!$C:$C, 0), 1), "")</f>
        <v/>
      </c>
      <c r="V20" s="94" t="str">
        <f t="array" ref="V20">IFERROR(INDEX(Skill!$Y:$Y, MATCH(V$4, Skill!$C:$C, 0), 1), "")</f>
        <v/>
      </c>
      <c r="W20" s="94" t="str">
        <f t="array" ref="W20">IFERROR(INDEX(Skill!$Y:$Y, MATCH(W$4, Skill!$C:$C, 0), 1), "")</f>
        <v/>
      </c>
      <c r="X20" s="94" t="str">
        <f t="array" ref="X20">IFERROR(INDEX(Skill!$Y:$Y, MATCH(X$4, Skill!$C:$C, 0), 1), "")</f>
        <v/>
      </c>
      <c r="Y20" s="94" t="str">
        <f t="array" ref="Y20">IFERROR(INDEX(Skill!$Y:$Y, MATCH(Y$4, Skill!$C:$C, 0), 1), "")</f>
        <v/>
      </c>
      <c r="Z20" s="94" t="str">
        <f t="array" ref="Z20">IFERROR(INDEX(Skill!$Y:$Y, MATCH(Z$4, Skill!$C:$C, 0), 1), "")</f>
        <v/>
      </c>
      <c r="AA20" s="94" t="str">
        <f t="array" ref="AA20">IFERROR(INDEX(Skill!$Y:$Y, MATCH(AA$4, Skill!$C:$C, 0), 1), "")</f>
        <v/>
      </c>
      <c r="AB20" s="94" t="str">
        <f t="array" ref="AB20">IFERROR(INDEX(Skill!$Y:$Y, MATCH(AB$4, Skill!$C:$C, 0), 1), "")</f>
        <v/>
      </c>
      <c r="AC20" s="94" t="str">
        <f t="array" ref="AC20">IFERROR(INDEX(Skill!$Y:$Y, MATCH(AC$4, Skill!$C:$C, 0), 1), "")</f>
        <v/>
      </c>
      <c r="AD20" s="94" t="str">
        <f t="array" ref="AD20">IFERROR(INDEX(Skill!$Y:$Y, MATCH(AD$4, Skill!$C:$C, 0), 1), "")</f>
        <v/>
      </c>
      <c r="AE20" s="94" t="str">
        <f t="array" ref="AE20">IFERROR(INDEX(Skill!$Y:$Y, MATCH(AE$4, Skill!$C:$C, 0), 1), "")</f>
        <v/>
      </c>
      <c r="AF20" s="94" t="str">
        <f t="array" ref="AF20">IFERROR(INDEX(Skill!$Y:$Y, MATCH(AF$4, Skill!$C:$C, 0), 1), "")</f>
        <v/>
      </c>
      <c r="AG20" s="94" t="str">
        <f t="array" ref="AG20">IFERROR(INDEX(Skill!$Y:$Y, MATCH(AG$4, Skill!$C:$C, 0), 1), "")</f>
        <v/>
      </c>
      <c r="AH20" s="94" t="str">
        <f t="array" ref="AH20">IFERROR(INDEX(Skill!$Y:$Y, MATCH(AH$4, Skill!$C:$C, 0), 1), "")</f>
        <v/>
      </c>
      <c r="AI20" s="94" t="str">
        <f t="array" ref="AI20">IFERROR(INDEX(Skill!$Y:$Y, MATCH(AI$4, Skill!$C:$C, 0), 1), "")</f>
        <v/>
      </c>
      <c r="AJ20" s="94" t="str">
        <f t="array" ref="AJ20">IFERROR(INDEX(Skill!$Y:$Y, MATCH(AJ$4, Skill!$C:$C, 0), 1), "")</f>
        <v/>
      </c>
      <c r="AK20" s="94" t="str">
        <f t="array" ref="AK20">IFERROR(INDEX(Skill!$Y:$Y, MATCH(AK$4, Skill!$C:$C, 0), 1), "")</f>
        <v/>
      </c>
      <c r="AL20" s="94" t="str">
        <f t="array" ref="AL20">IFERROR(INDEX(Skill!$Y:$Y, MATCH(AL$4, Skill!$C:$C, 0), 1), "")</f>
        <v/>
      </c>
      <c r="AM20" s="94" t="str">
        <f t="array" ref="AM20">IFERROR(INDEX(Skill!$Y:$Y, MATCH(AM$4, Skill!$C:$C, 0), 1), "")</f>
        <v/>
      </c>
      <c r="AN20" s="94" t="str">
        <f t="array" ref="AN20">IFERROR(INDEX(Skill!$Y:$Y, MATCH(AN$4, Skill!$C:$C, 0), 1), "")</f>
        <v/>
      </c>
      <c r="AO20" s="94" t="str">
        <f t="array" ref="AO20">IFERROR(INDEX(Skill!$Y:$Y, MATCH(AO$4, Skill!$C:$C, 0), 1), "")</f>
        <v/>
      </c>
      <c r="AP20" s="94" t="str">
        <f t="array" ref="AP20">IFERROR(INDEX(Skill!$Y:$Y, MATCH(AP$4, Skill!$C:$C, 0), 1), "")</f>
        <v/>
      </c>
      <c r="AQ20" s="94" t="str">
        <f t="array" ref="AQ20">IFERROR(INDEX(Skill!$Y:$Y, MATCH(AQ$4, Skill!$C:$C, 0), 1), "")</f>
        <v/>
      </c>
      <c r="AR20" s="94" t="str">
        <f t="array" ref="AR20">IFERROR(INDEX(Skill!$Y:$Y, MATCH(AR$4, Skill!$C:$C, 0), 1), "")</f>
        <v/>
      </c>
      <c r="AS20" s="94" t="str">
        <f t="array" ref="AS20">IFERROR(INDEX(Skill!$Y:$Y, MATCH(AS$4, Skill!$C:$C, 0), 1), "")</f>
        <v/>
      </c>
      <c r="AT20" s="94" t="str">
        <f t="array" ref="AT20">IFERROR(INDEX(Skill!$Y:$Y, MATCH(AT$4, Skill!$C:$C, 0), 1), "")</f>
        <v/>
      </c>
      <c r="AU20" s="94" t="str">
        <f t="array" ref="AU20">IFERROR(INDEX(Skill!$Y:$Y, MATCH(AU$4, Skill!$C:$C, 0), 1), "")</f>
        <v/>
      </c>
      <c r="AV20" s="94" t="str">
        <f t="array" ref="AV20">IFERROR(INDEX(Skill!$Y:$Y, MATCH(AV$4, Skill!$C:$C, 0), 1), "")</f>
        <v/>
      </c>
      <c r="AW20" s="94" t="str">
        <f t="array" ref="AW20">IFERROR(INDEX(Skill!$Y:$Y, MATCH(AW$4, Skill!$C:$C, 0), 1), "")</f>
        <v/>
      </c>
      <c r="AX20" s="94" t="str">
        <f t="array" ref="AX20">IFERROR(INDEX(Skill!$Y:$Y, MATCH(AX$4, Skill!$C:$C, 0), 1), "")</f>
        <v/>
      </c>
      <c r="AY20" s="94" t="str">
        <f t="array" ref="AY20">IFERROR(INDEX(Skill!$Y:$Y, MATCH(AY$4, Skill!$C:$C, 0), 1), "")</f>
        <v/>
      </c>
      <c r="AZ20" s="94" t="str">
        <f t="array" ref="AZ20">IFERROR(INDEX(Skill!$Y:$Y, MATCH(AZ$4, Skill!$C:$C, 0), 1), "")</f>
        <v/>
      </c>
      <c r="BA20" s="94" t="str">
        <f t="array" ref="BA20">IFERROR(INDEX(Skill!$Y:$Y, MATCH(BA$4, Skill!$C:$C, 0), 1), "")</f>
        <v/>
      </c>
      <c r="BB20" s="94" t="str">
        <f t="array" ref="BB20">IFERROR(INDEX(Skill!$Y:$Y, MATCH(BB$4, Skill!$C:$C, 0), 1), "")</f>
        <v/>
      </c>
      <c r="BC20" s="94" t="str">
        <f t="array" ref="BC20">IFERROR(INDEX(Skill!$Y:$Y, MATCH(BC$4, Skill!$C:$C, 0), 1), "")</f>
        <v/>
      </c>
      <c r="BD20" s="94" t="str">
        <f t="array" ref="BD20">IFERROR(INDEX(Skill!$Y:$Y, MATCH(BD$4, Skill!$C:$C, 0), 1), "")</f>
        <v/>
      </c>
      <c r="BE20" s="94" t="str">
        <f t="array" ref="BE20">IFERROR(INDEX(Skill!$Y:$Y, MATCH(BE$4, Skill!$C:$C, 0), 1), "")</f>
        <v/>
      </c>
      <c r="BF20" s="94" t="str">
        <f t="array" ref="BF20">IFERROR(INDEX(Skill!$Y:$Y, MATCH(BF$4, Skill!$C:$C, 0), 1), "")</f>
        <v/>
      </c>
      <c r="BG20" s="94" t="str">
        <f t="array" ref="BG20">IFERROR(INDEX(Skill!$Y:$Y, MATCH(BG$4, Skill!$C:$C, 0), 1), "")</f>
        <v/>
      </c>
      <c r="BH20" s="94" t="str">
        <f t="array" ref="BH20">IFERROR(INDEX(Skill!$Y:$Y, MATCH(BH$4, Skill!$C:$C, 0), 1), "")</f>
        <v/>
      </c>
      <c r="BI20" s="94" t="str">
        <f t="array" ref="BI20">IFERROR(INDEX(Skill!$Y:$Y, MATCH(BI$4, Skill!$C:$C, 0), 1), "")</f>
        <v/>
      </c>
      <c r="BJ20" s="94" t="str">
        <f t="array" ref="BJ20">IFERROR(INDEX(Skill!$Y:$Y, MATCH(BJ$4, Skill!$C:$C, 0), 1), "")</f>
        <v/>
      </c>
      <c r="BK20" s="94" t="str">
        <f t="array" ref="BK20">IFERROR(INDEX(Skill!$Y:$Y, MATCH(BK$4, Skill!$C:$C, 0), 1), "")</f>
        <v/>
      </c>
      <c r="BL20" s="94" t="str">
        <f t="array" ref="BL20">IFERROR(INDEX(Skill!$Y:$Y, MATCH(BL$4, Skill!$C:$C, 0), 1), "")</f>
        <v/>
      </c>
      <c r="BM20" s="94" t="str">
        <f t="array" ref="BM20">IFERROR(INDEX(Skill!$Y:$Y, MATCH(BM$4, Skill!$C:$C, 0), 1), "")</f>
        <v/>
      </c>
      <c r="BN20" s="94" t="str">
        <f t="array" ref="BN20">IFERROR(INDEX(Skill!$Y:$Y, MATCH(BN$4, Skill!$C:$C, 0), 1), "")</f>
        <v/>
      </c>
      <c r="BO20" s="94" t="str">
        <f t="array" ref="BO20">IFERROR(INDEX(Skill!$Y:$Y, MATCH(BO$4, Skill!$C:$C, 0), 1), "")</f>
        <v/>
      </c>
      <c r="BP20" s="94" t="str">
        <f t="array" ref="BP20">IFERROR(INDEX(Skill!$Y:$Y, MATCH(BP$4, Skill!$C:$C, 0), 1), "")</f>
        <v/>
      </c>
      <c r="BQ20" s="94" t="str">
        <f t="array" ref="BQ20">IFERROR(INDEX(Skill!$Y:$Y, MATCH(BQ$4, Skill!$C:$C, 0), 1), "")</f>
        <v/>
      </c>
      <c r="BR20" s="94" t="str">
        <f t="array" ref="BR20">IFERROR(INDEX(Skill!$Y:$Y, MATCH(BR$4, Skill!$C:$C, 0), 1), "")</f>
        <v/>
      </c>
      <c r="BS20" s="94" t="str">
        <f t="array" ref="BS20">IFERROR(INDEX(Skill!$Y:$Y, MATCH(BS$4, Skill!$C:$C, 0), 1), "")</f>
        <v/>
      </c>
      <c r="BT20" s="94" t="str">
        <f t="array" ref="BT20">IFERROR(INDEX(Skill!$Y:$Y, MATCH(BT$4, Skill!$C:$C, 0), 1), "")</f>
        <v/>
      </c>
      <c r="BU20" s="94" t="str">
        <f t="array" ref="BU20">IFERROR(INDEX(Skill!$Y:$Y, MATCH(BU$4, Skill!$C:$C, 0), 1), "")</f>
        <v/>
      </c>
      <c r="BV20" s="94" t="str">
        <f t="array" ref="BV20">IFERROR(INDEX(Skill!$Y:$Y, MATCH(BV$4, Skill!$C:$C, 0), 1), "")</f>
        <v/>
      </c>
      <c r="BW20" s="94" t="str">
        <f t="array" ref="BW20">IFERROR(INDEX(Skill!$Y:$Y, MATCH(BW$4, Skill!$C:$C, 0), 1), "")</f>
        <v/>
      </c>
      <c r="BX20" s="94" t="str">
        <f t="array" ref="BX20">IFERROR(INDEX(Skill!$Y:$Y, MATCH(BX$4, Skill!$C:$C, 0), 1), "")</f>
        <v/>
      </c>
      <c r="BY20" s="94" t="str">
        <f t="array" ref="BY20">IFERROR(INDEX(Skill!$Y:$Y, MATCH(BY$4, Skill!$C:$C, 0), 1), "")</f>
        <v/>
      </c>
      <c r="BZ20" s="94" t="str">
        <f t="array" ref="BZ20">IFERROR(INDEX(Skill!$Y:$Y, MATCH(BZ$4, Skill!$C:$C, 0), 1), "")</f>
        <v/>
      </c>
      <c r="CA20" s="94" t="str">
        <f t="array" ref="CA20">IFERROR(INDEX(Skill!$Y:$Y, MATCH(CA$4, Skill!$C:$C, 0), 1), "")</f>
        <v/>
      </c>
      <c r="CB20" s="94" t="str">
        <f t="array" ref="CB20">IFERROR(INDEX(Skill!$Y:$Y, MATCH(CB$4, Skill!$C:$C, 0), 1), "")</f>
        <v/>
      </c>
      <c r="CC20" s="94" t="str">
        <f t="array" ref="CC20">IFERROR(INDEX(Skill!$Y:$Y, MATCH(CC$4, Skill!$C:$C, 0), 1), "")</f>
        <v/>
      </c>
      <c r="CD20" s="94" t="str">
        <f t="array" ref="CD20">IFERROR(INDEX(Skill!$Y:$Y, MATCH(CD$4, Skill!$C:$C, 0), 1), "")</f>
        <v/>
      </c>
      <c r="CE20" s="94" t="str">
        <f t="array" ref="CE20">IFERROR(INDEX(Skill!$Y:$Y, MATCH(CE$4, Skill!$C:$C, 0), 1), "")</f>
        <v/>
      </c>
      <c r="CF20" s="94" t="str">
        <f t="array" ref="CF20">IFERROR(INDEX(Skill!$Y:$Y, MATCH(CF$4, Skill!$C:$C, 0), 1), "")</f>
        <v/>
      </c>
      <c r="CG20" s="94" t="str">
        <f t="array" ref="CG20">IFERROR(INDEX(Skill!$Y:$Y, MATCH(CG$4, Skill!$C:$C, 0), 1), "")</f>
        <v/>
      </c>
      <c r="CH20" s="94" t="str">
        <f t="array" ref="CH20">IFERROR(INDEX(Skill!$Y:$Y, MATCH(CH$4, Skill!$C:$C, 0), 1), "")</f>
        <v/>
      </c>
      <c r="CI20" s="94" t="str">
        <f t="array" ref="CI20">IFERROR(INDEX(Skill!$Y:$Y, MATCH(CI$4, Skill!$C:$C, 0), 1), "")</f>
        <v/>
      </c>
      <c r="CJ20" s="94" t="str">
        <f t="array" ref="CJ20">IFERROR(INDEX(Skill!$Y:$Y, MATCH(CJ$4, Skill!$C:$C, 0), 1), "")</f>
        <v/>
      </c>
      <c r="CK20" s="94" t="str">
        <f t="array" ref="CK20">IFERROR(INDEX(Skill!$Y:$Y, MATCH(CK$4, Skill!$C:$C, 0), 1), "")</f>
        <v/>
      </c>
      <c r="CL20" s="94" t="str">
        <f t="array" ref="CL20">IFERROR(INDEX(Skill!$Y:$Y, MATCH(CL$4, Skill!$C:$C, 0), 1), "")</f>
        <v/>
      </c>
      <c r="CM20" s="94" t="str">
        <f t="array" ref="CM20">IFERROR(INDEX(Skill!$Y:$Y, MATCH(CM$4, Skill!$C:$C, 0), 1), "")</f>
        <v/>
      </c>
      <c r="CN20" s="94" t="str">
        <f t="array" ref="CN20">IFERROR(INDEX(Skill!$Y:$Y, MATCH(CN$4, Skill!$C:$C, 0), 1), "")</f>
        <v/>
      </c>
      <c r="CO20" s="94" t="str">
        <f t="array" ref="CO20">IFERROR(INDEX(Skill!$Y:$Y, MATCH(CO$4, Skill!$C:$C, 0), 1), "")</f>
        <v/>
      </c>
      <c r="CP20" s="94" t="str">
        <f t="array" ref="CP20">IFERROR(INDEX(Skill!$Y:$Y, MATCH(CP$4, Skill!$C:$C, 0), 1), "")</f>
        <v/>
      </c>
      <c r="CQ20" s="94" t="str">
        <f t="array" ref="CQ20">IFERROR(INDEX(Skill!$Y:$Y, MATCH(CQ$4, Skill!$C:$C, 0), 1), "")</f>
        <v/>
      </c>
      <c r="CR20" s="94" t="str">
        <f t="array" ref="CR20">IFERROR(INDEX(Skill!$Y:$Y, MATCH(CR$4, Skill!$C:$C, 0), 1), "")</f>
        <v/>
      </c>
      <c r="CS20" s="94" t="str">
        <f t="array" ref="CS20">IFERROR(INDEX(Skill!$Y:$Y, MATCH(CS$4, Skill!$C:$C, 0), 1), "")</f>
        <v/>
      </c>
      <c r="CT20" s="94" t="str">
        <f t="array" ref="CT20">IFERROR(INDEX(Skill!$Y:$Y, MATCH(CT$4, Skill!$C:$C, 0), 1), "")</f>
        <v/>
      </c>
      <c r="CU20" s="94" t="str">
        <f t="array" ref="CU20">IFERROR(INDEX(Skill!$Y:$Y, MATCH(CU$4, Skill!$C:$C, 0), 1), "")</f>
        <v/>
      </c>
      <c r="CV20" s="94" t="str">
        <f t="array" ref="CV20">IFERROR(INDEX(Skill!$Y:$Y, MATCH(CV$4, Skill!$C:$C, 0), 1), "")</f>
        <v/>
      </c>
      <c r="CW20" s="94" t="str">
        <f t="array" ref="CW20">IFERROR(INDEX(Skill!$Y:$Y, MATCH(CW$4, Skill!$C:$C, 0), 1), "")</f>
        <v/>
      </c>
      <c r="CX20" s="94" t="str">
        <f t="array" ref="CX20">IFERROR(INDEX(Skill!$Y:$Y, MATCH(CX$4, Skill!$C:$C, 0), 1), "")</f>
        <v/>
      </c>
      <c r="CY20" s="94" t="str">
        <f t="array" ref="CY20">IFERROR(INDEX(Skill!$Y:$Y, MATCH(CY$4, Skill!$C:$C, 0), 1), "")</f>
        <v/>
      </c>
      <c r="CZ20" s="94" t="str">
        <f t="array" ref="CZ20">IFERROR(INDEX(Skill!$Y:$Y, MATCH(CZ$4, Skill!$C:$C, 0), 1), "")</f>
        <v/>
      </c>
      <c r="DA20" s="94" t="str">
        <f t="array" ref="DA20">IFERROR(INDEX(Skill!$Y:$Y, MATCH(DA$4, Skill!$C:$C, 0), 1), "")</f>
        <v/>
      </c>
      <c r="DB20" s="94" t="str">
        <f t="array" ref="DB20">IFERROR(INDEX(Skill!$Y:$Y, MATCH(DB$4, Skill!$C:$C, 0), 1), "")</f>
        <v/>
      </c>
      <c r="DC20" s="94" t="str">
        <f t="array" ref="DC20">IFERROR(INDEX(Skill!$Y:$Y, MATCH(DC$4, Skill!$C:$C, 0), 1), "")</f>
        <v/>
      </c>
      <c r="DD20" s="94" t="str">
        <f t="array" ref="DD20">IFERROR(INDEX(Skill!$Y:$Y, MATCH(DD$4, Skill!$C:$C, 0), 1), "")</f>
        <v/>
      </c>
      <c r="DE20" s="94" t="str">
        <f t="array" ref="DE20">IFERROR(INDEX(Skill!$Y:$Y, MATCH(DE$4, Skill!$C:$C, 0), 1), "")</f>
        <v/>
      </c>
      <c r="DF20" s="94" t="str">
        <f t="array" ref="DF20">IFERROR(INDEX(Skill!$Y:$Y, MATCH(DF$4, Skill!$C:$C, 0), 1), "")</f>
        <v/>
      </c>
      <c r="DG20" s="94" t="str">
        <f t="array" ref="DG20">IFERROR(INDEX(Skill!$Y:$Y, MATCH(DG$4, Skill!$C:$C, 0), 1), "")</f>
        <v/>
      </c>
      <c r="DH20" s="94" t="str">
        <f t="array" ref="DH20">IFERROR(INDEX(Skill!$Y:$Y, MATCH(DH$4, Skill!$C:$C, 0), 1), "")</f>
        <v/>
      </c>
      <c r="DI20" s="94" t="str">
        <f t="array" ref="DI20">IFERROR(INDEX(Skill!$Y:$Y, MATCH(DI$4, Skill!$C:$C, 0), 1), "")</f>
        <v/>
      </c>
      <c r="DJ20" s="94" t="str">
        <f t="array" ref="DJ20">IFERROR(INDEX(Skill!$Y:$Y, MATCH(DJ$4, Skill!$C:$C, 0), 1), "")</f>
        <v/>
      </c>
      <c r="DK20" s="94" t="str">
        <f t="array" ref="DK20">IFERROR(INDEX(Skill!$Y:$Y, MATCH(DK$4, Skill!$C:$C, 0), 1), "")</f>
        <v/>
      </c>
      <c r="DL20" s="94" t="str">
        <f t="array" ref="DL20">IFERROR(INDEX(Skill!$Y:$Y, MATCH(DL$4, Skill!$C:$C, 0), 1), "")</f>
        <v/>
      </c>
      <c r="DM20" s="94" t="str">
        <f t="array" ref="DM20">IFERROR(INDEX(Skill!$Y:$Y, MATCH(DM$4, Skill!$C:$C, 0), 1), "")</f>
        <v/>
      </c>
      <c r="DN20" s="94" t="str">
        <f t="array" ref="DN20">IFERROR(INDEX(Skill!$Y:$Y, MATCH(DN$4, Skill!$C:$C, 0), 1), "")</f>
        <v/>
      </c>
      <c r="DO20" s="94" t="str">
        <f t="array" ref="DO20">IFERROR(INDEX(Skill!$Y:$Y, MATCH(DO$4, Skill!$C:$C, 0), 1), "")</f>
        <v/>
      </c>
      <c r="DP20" s="94" t="str">
        <f t="array" ref="DP20">IFERROR(INDEX(Skill!$Y:$Y, MATCH(DP$4, Skill!$C:$C, 0), 1), "")</f>
        <v/>
      </c>
      <c r="DQ20" s="94" t="str">
        <f t="array" ref="DQ20">IFERROR(INDEX(Skill!$Y:$Y, MATCH(DQ$4, Skill!$C:$C, 0), 1), "")</f>
        <v/>
      </c>
      <c r="DR20" s="94" t="str">
        <f t="array" ref="DR20">IFERROR(INDEX(Skill!$Y:$Y, MATCH(DR$4, Skill!$C:$C, 0), 1), "")</f>
        <v/>
      </c>
      <c r="DS20" s="94" t="str">
        <f t="array" ref="DS20">IFERROR(INDEX(Skill!$Y:$Y, MATCH(DS$4, Skill!$C:$C, 0), 1), "")</f>
        <v/>
      </c>
      <c r="DT20" s="94" t="str">
        <f t="array" ref="DT20">IFERROR(INDEX(Skill!$Y:$Y, MATCH(DT$4, Skill!$C:$C, 0), 1), "")</f>
        <v/>
      </c>
      <c r="DU20" s="94" t="str">
        <f t="array" ref="DU20">IFERROR(INDEX(Skill!$Y:$Y, MATCH(DU$4, Skill!$C:$C, 0), 1), "")</f>
        <v/>
      </c>
      <c r="DV20" s="94" t="str">
        <f t="array" ref="DV20">IFERROR(INDEX(Skill!$Y:$Y, MATCH(DV$4, Skill!$C:$C, 0), 1), "")</f>
        <v/>
      </c>
      <c r="DW20" s="94" t="str">
        <f t="array" ref="DW20">IFERROR(INDEX(Skill!$Y:$Y, MATCH(DW$4, Skill!$C:$C, 0), 1), "")</f>
        <v/>
      </c>
      <c r="DX20" s="94" t="str">
        <f t="array" ref="DX20">IFERROR(INDEX(Skill!$Y:$Y, MATCH(DX$4, Skill!$C:$C, 0), 1), "")</f>
        <v/>
      </c>
      <c r="DY20" s="94" t="str">
        <f t="array" ref="DY20">IFERROR(INDEX(Skill!$Y:$Y, MATCH(DY$4, Skill!$C:$C, 0), 1), "")</f>
        <v/>
      </c>
      <c r="DZ20" s="94" t="str">
        <f t="array" ref="DZ20">IFERROR(INDEX(Skill!$Y:$Y, MATCH(DZ$4, Skill!$C:$C, 0), 1), "")</f>
        <v/>
      </c>
      <c r="EA20" s="89" t="str">
        <f t="array" ref="EA20">IFERROR(INDEX(Skill!$Y:$Y, MATCH(EA$4, Skill!$C:$C, 0), 1), "")</f>
        <v/>
      </c>
      <c r="EB20" s="89" t="str">
        <f t="array" ref="EB20">IFERROR(INDEX(Skill!$Y:$Y, MATCH(EB$4, Skill!$C:$C, 0), 1), "")</f>
        <v/>
      </c>
      <c r="EC20" s="89" t="str">
        <f t="array" ref="EC20">IFERROR(INDEX(Skill!$Y:$Y, MATCH(EC$4, Skill!$C:$C, 0), 1), "")</f>
        <v/>
      </c>
      <c r="ED20" s="94" t="str">
        <f t="array" ref="ED20">IFERROR(INDEX(Skill!$Y:$Y, MATCH(ED$4, Skill!$C:$C, 0), 1), "")</f>
        <v/>
      </c>
      <c r="EE20" s="102"/>
      <c r="EF20" s="102"/>
      <c r="EG20" s="102"/>
      <c r="EH20" s="102"/>
      <c r="EI20" s="102"/>
      <c r="EJ20" s="102"/>
      <c r="EK20" s="102"/>
      <c r="EL20" s="102"/>
      <c r="EM20" s="102"/>
      <c r="EN20" s="102"/>
      <c r="EO20" s="102"/>
      <c r="EP20" s="102"/>
      <c r="EQ20" s="102"/>
      <c r="ER20" s="103"/>
      <c r="ES20" s="103"/>
      <c r="ET20" s="103"/>
      <c r="EU20" s="76"/>
      <c r="EV20" s="76"/>
      <c r="EW20" s="76"/>
      <c r="EX20" s="76"/>
      <c r="EY20" s="76"/>
      <c r="EZ20" s="76"/>
      <c r="FA20" s="76"/>
      <c r="FB20" s="76"/>
      <c r="FC20" s="76"/>
      <c r="FD20" s="76"/>
      <c r="FE20" s="76"/>
      <c r="FF20" s="76"/>
      <c r="FG20" s="76"/>
      <c r="FH20" s="76"/>
      <c r="FI20" s="76"/>
      <c r="FJ20" s="76"/>
      <c r="FK20" s="76"/>
      <c r="FL20" s="76"/>
      <c r="FM20" s="76"/>
      <c r="FN20" s="76"/>
      <c r="FO20" s="91"/>
    </row>
    <row r="21" hidden="1">
      <c r="B21" s="84"/>
      <c r="C21" s="83"/>
      <c r="D21" s="83"/>
      <c r="E21" s="84" t="s">
        <v>1043</v>
      </c>
      <c r="F21" s="84"/>
      <c r="G21" s="84"/>
      <c r="H21" s="84"/>
      <c r="I21" s="84"/>
      <c r="J21" s="84"/>
      <c r="K21" s="94" t="str">
        <f t="array" ref="K21">IFERROR(INDEX(Skill!$AB:$AB, MATCH(K$4, Skill!$C:$C, 0), 1), "")</f>
        <v/>
      </c>
      <c r="L21" s="94" t="str">
        <f t="array" ref="L21">IFERROR(INDEX(Skill!$AB:$AB, MATCH(L$4, Skill!$C:$C, 0), 1), "")</f>
        <v/>
      </c>
      <c r="M21" s="94" t="str">
        <f t="array" ref="M21">IFERROR(INDEX(Skill!$AB:$AB, MATCH(M$4, Skill!$C:$C, 0), 1), "")</f>
        <v/>
      </c>
      <c r="N21" s="94" t="str">
        <f t="array" ref="N21">IFERROR(INDEX(Skill!$AB:$AB, MATCH(N$4, Skill!$C:$C, 0), 1), "")</f>
        <v/>
      </c>
      <c r="O21" s="94" t="str">
        <f t="array" ref="O21">IFERROR(INDEX(Skill!$AB:$AB, MATCH(O$4, Skill!$C:$C, 0), 1), "")</f>
        <v/>
      </c>
      <c r="P21" s="94" t="str">
        <f t="array" ref="P21">IFERROR(INDEX(Skill!$AB:$AB, MATCH(P$4, Skill!$C:$C, 0), 1), "")</f>
        <v/>
      </c>
      <c r="Q21" s="94" t="str">
        <f t="array" ref="Q21">IFERROR(INDEX(Skill!$AB:$AB, MATCH(Q$4, Skill!$C:$C, 0), 1), "")</f>
        <v/>
      </c>
      <c r="R21" s="94" t="str">
        <f t="array" ref="R21">IFERROR(INDEX(Skill!$AB:$AB, MATCH(R$4, Skill!$C:$C, 0), 1), "")</f>
        <v/>
      </c>
      <c r="S21" s="94" t="str">
        <f t="array" ref="S21">IFERROR(INDEX(Skill!$AB:$AB, MATCH(S$4, Skill!$C:$C, 0), 1), "")</f>
        <v/>
      </c>
      <c r="T21" s="94" t="str">
        <f t="array" ref="T21">IFERROR(INDEX(Skill!$AB:$AB, MATCH(T$4, Skill!$C:$C, 0), 1), "")</f>
        <v/>
      </c>
      <c r="U21" s="94" t="str">
        <f t="array" ref="U21">IFERROR(INDEX(Skill!$AB:$AB, MATCH(U$4, Skill!$C:$C, 0), 1), "")</f>
        <v/>
      </c>
      <c r="V21" s="94" t="str">
        <f t="array" ref="V21">IFERROR(INDEX(Skill!$AB:$AB, MATCH(V$4, Skill!$C:$C, 0), 1), "")</f>
        <v/>
      </c>
      <c r="W21" s="94" t="str">
        <f t="array" ref="W21">IFERROR(INDEX(Skill!$AB:$AB, MATCH(W$4, Skill!$C:$C, 0), 1), "")</f>
        <v/>
      </c>
      <c r="X21" s="94" t="str">
        <f t="array" ref="X21">IFERROR(INDEX(Skill!$AB:$AB, MATCH(X$4, Skill!$C:$C, 0), 1), "")</f>
        <v/>
      </c>
      <c r="Y21" s="94" t="str">
        <f t="array" ref="Y21">IFERROR(INDEX(Skill!$AB:$AB, MATCH(Y$4, Skill!$C:$C, 0), 1), "")</f>
        <v/>
      </c>
      <c r="Z21" s="94" t="str">
        <f t="array" ref="Z21">IFERROR(INDEX(Skill!$AB:$AB, MATCH(Z$4, Skill!$C:$C, 0), 1), "")</f>
        <v/>
      </c>
      <c r="AA21" s="94" t="str">
        <f t="array" ref="AA21">IFERROR(INDEX(Skill!$AB:$AB, MATCH(AA$4, Skill!$C:$C, 0), 1), "")</f>
        <v/>
      </c>
      <c r="AB21" s="94" t="str">
        <f t="array" ref="AB21">IFERROR(INDEX(Skill!$AB:$AB, MATCH(AB$4, Skill!$C:$C, 0), 1), "")</f>
        <v/>
      </c>
      <c r="AC21" s="94" t="str">
        <f t="array" ref="AC21">IFERROR(INDEX(Skill!$AB:$AB, MATCH(AC$4, Skill!$C:$C, 0), 1), "")</f>
        <v/>
      </c>
      <c r="AD21" s="94" t="str">
        <f t="array" ref="AD21">IFERROR(INDEX(Skill!$AB:$AB, MATCH(AD$4, Skill!$C:$C, 0), 1), "")</f>
        <v/>
      </c>
      <c r="AE21" s="94" t="str">
        <f t="array" ref="AE21">IFERROR(INDEX(Skill!$AB:$AB, MATCH(AE$4, Skill!$C:$C, 0), 1), "")</f>
        <v/>
      </c>
      <c r="AF21" s="94" t="str">
        <f t="array" ref="AF21">IFERROR(INDEX(Skill!$AB:$AB, MATCH(AF$4, Skill!$C:$C, 0), 1), "")</f>
        <v/>
      </c>
      <c r="AG21" s="94" t="str">
        <f t="array" ref="AG21">IFERROR(INDEX(Skill!$AB:$AB, MATCH(AG$4, Skill!$C:$C, 0), 1), "")</f>
        <v/>
      </c>
      <c r="AH21" s="94" t="str">
        <f t="array" ref="AH21">IFERROR(INDEX(Skill!$AB:$AB, MATCH(AH$4, Skill!$C:$C, 0), 1), "")</f>
        <v/>
      </c>
      <c r="AI21" s="94" t="str">
        <f t="array" ref="AI21">IFERROR(INDEX(Skill!$AB:$AB, MATCH(AI$4, Skill!$C:$C, 0), 1), "")</f>
        <v/>
      </c>
      <c r="AJ21" s="94" t="str">
        <f t="array" ref="AJ21">IFERROR(INDEX(Skill!$AB:$AB, MATCH(AJ$4, Skill!$C:$C, 0), 1), "")</f>
        <v/>
      </c>
      <c r="AK21" s="94" t="str">
        <f t="array" ref="AK21">IFERROR(INDEX(Skill!$AB:$AB, MATCH(AK$4, Skill!$C:$C, 0), 1), "")</f>
        <v/>
      </c>
      <c r="AL21" s="94" t="str">
        <f t="array" ref="AL21">IFERROR(INDEX(Skill!$AB:$AB, MATCH(AL$4, Skill!$C:$C, 0), 1), "")</f>
        <v/>
      </c>
      <c r="AM21" s="94" t="str">
        <f t="array" ref="AM21">IFERROR(INDEX(Skill!$AB:$AB, MATCH(AM$4, Skill!$C:$C, 0), 1), "")</f>
        <v/>
      </c>
      <c r="AN21" s="94" t="str">
        <f t="array" ref="AN21">IFERROR(INDEX(Skill!$AB:$AB, MATCH(AN$4, Skill!$C:$C, 0), 1), "")</f>
        <v/>
      </c>
      <c r="AO21" s="94" t="str">
        <f t="array" ref="AO21">IFERROR(INDEX(Skill!$AB:$AB, MATCH(AO$4, Skill!$C:$C, 0), 1), "")</f>
        <v/>
      </c>
      <c r="AP21" s="94" t="str">
        <f t="array" ref="AP21">IFERROR(INDEX(Skill!$AB:$AB, MATCH(AP$4, Skill!$C:$C, 0), 1), "")</f>
        <v/>
      </c>
      <c r="AQ21" s="94" t="str">
        <f t="array" ref="AQ21">IFERROR(INDEX(Skill!$AB:$AB, MATCH(AQ$4, Skill!$C:$C, 0), 1), "")</f>
        <v/>
      </c>
      <c r="AR21" s="94" t="str">
        <f t="array" ref="AR21">IFERROR(INDEX(Skill!$AB:$AB, MATCH(AR$4, Skill!$C:$C, 0), 1), "")</f>
        <v/>
      </c>
      <c r="AS21" s="94" t="str">
        <f t="array" ref="AS21">IFERROR(INDEX(Skill!$AB:$AB, MATCH(AS$4, Skill!$C:$C, 0), 1), "")</f>
        <v/>
      </c>
      <c r="AT21" s="94" t="str">
        <f t="array" ref="AT21">IFERROR(INDEX(Skill!$AB:$AB, MATCH(AT$4, Skill!$C:$C, 0), 1), "")</f>
        <v/>
      </c>
      <c r="AU21" s="94" t="str">
        <f t="array" ref="AU21">IFERROR(INDEX(Skill!$AB:$AB, MATCH(AU$4, Skill!$C:$C, 0), 1), "")</f>
        <v/>
      </c>
      <c r="AV21" s="94" t="str">
        <f t="array" ref="AV21">IFERROR(INDEX(Skill!$AB:$AB, MATCH(AV$4, Skill!$C:$C, 0), 1), "")</f>
        <v/>
      </c>
      <c r="AW21" s="94" t="str">
        <f t="array" ref="AW21">IFERROR(INDEX(Skill!$AB:$AB, MATCH(AW$4, Skill!$C:$C, 0), 1), "")</f>
        <v/>
      </c>
      <c r="AX21" s="94" t="str">
        <f t="array" ref="AX21">IFERROR(INDEX(Skill!$AB:$AB, MATCH(AX$4, Skill!$C:$C, 0), 1), "")</f>
        <v/>
      </c>
      <c r="AY21" s="94" t="str">
        <f t="array" ref="AY21">IFERROR(INDEX(Skill!$AB:$AB, MATCH(AY$4, Skill!$C:$C, 0), 1), "")</f>
        <v/>
      </c>
      <c r="AZ21" s="94" t="str">
        <f t="array" ref="AZ21">IFERROR(INDEX(Skill!$AB:$AB, MATCH(AZ$4, Skill!$C:$C, 0), 1), "")</f>
        <v/>
      </c>
      <c r="BA21" s="94" t="str">
        <f t="array" ref="BA21">IFERROR(INDEX(Skill!$AB:$AB, MATCH(BA$4, Skill!$C:$C, 0), 1), "")</f>
        <v/>
      </c>
      <c r="BB21" s="94" t="str">
        <f t="array" ref="BB21">IFERROR(INDEX(Skill!$AB:$AB, MATCH(BB$4, Skill!$C:$C, 0), 1), "")</f>
        <v/>
      </c>
      <c r="BC21" s="94" t="str">
        <f t="array" ref="BC21">IFERROR(INDEX(Skill!$AB:$AB, MATCH(BC$4, Skill!$C:$C, 0), 1), "")</f>
        <v/>
      </c>
      <c r="BD21" s="94" t="str">
        <f t="array" ref="BD21">IFERROR(INDEX(Skill!$AB:$AB, MATCH(BD$4, Skill!$C:$C, 0), 1), "")</f>
        <v/>
      </c>
      <c r="BE21" s="94" t="str">
        <f t="array" ref="BE21">IFERROR(INDEX(Skill!$AB:$AB, MATCH(BE$4, Skill!$C:$C, 0), 1), "")</f>
        <v/>
      </c>
      <c r="BF21" s="94" t="str">
        <f t="array" ref="BF21">IFERROR(INDEX(Skill!$AB:$AB, MATCH(BF$4, Skill!$C:$C, 0), 1), "")</f>
        <v/>
      </c>
      <c r="BG21" s="94" t="str">
        <f t="array" ref="BG21">IFERROR(INDEX(Skill!$AB:$AB, MATCH(BG$4, Skill!$C:$C, 0), 1), "")</f>
        <v/>
      </c>
      <c r="BH21" s="94">
        <f t="array" ref="BH21">IFERROR(INDEX(Skill!$AB:$AB, MATCH(BH$4, Skill!$C:$C, 0), 1), "")</f>
        <v>312.5</v>
      </c>
      <c r="BI21" s="94" t="str">
        <f t="array" ref="BI21">IFERROR(INDEX(Skill!$AB:$AB, MATCH(BI$4, Skill!$C:$C, 0), 1), "")</f>
        <v/>
      </c>
      <c r="BJ21" s="94" t="str">
        <f t="array" ref="BJ21">IFERROR(INDEX(Skill!$AB:$AB, MATCH(BJ$4, Skill!$C:$C, 0), 1), "")</f>
        <v/>
      </c>
      <c r="BK21" s="94" t="str">
        <f t="array" ref="BK21">IFERROR(INDEX(Skill!$AB:$AB, MATCH(BK$4, Skill!$C:$C, 0), 1), "")</f>
        <v/>
      </c>
      <c r="BL21" s="94" t="str">
        <f t="array" ref="BL21">IFERROR(INDEX(Skill!$AB:$AB, MATCH(BL$4, Skill!$C:$C, 0), 1), "")</f>
        <v/>
      </c>
      <c r="BM21" s="94" t="str">
        <f t="array" ref="BM21">IFERROR(INDEX(Skill!$AB:$AB, MATCH(BM$4, Skill!$C:$C, 0), 1), "")</f>
        <v/>
      </c>
      <c r="BN21" s="94" t="str">
        <f t="array" ref="BN21">IFERROR(INDEX(Skill!$AB:$AB, MATCH(BN$4, Skill!$C:$C, 0), 1), "")</f>
        <v/>
      </c>
      <c r="BO21" s="94" t="str">
        <f t="array" ref="BO21">IFERROR(INDEX(Skill!$AB:$AB, MATCH(BO$4, Skill!$C:$C, 0), 1), "")</f>
        <v/>
      </c>
      <c r="BP21" s="94" t="str">
        <f t="array" ref="BP21">IFERROR(INDEX(Skill!$AB:$AB, MATCH(BP$4, Skill!$C:$C, 0), 1), "")</f>
        <v/>
      </c>
      <c r="BQ21" s="94" t="str">
        <f t="array" ref="BQ21">IFERROR(INDEX(Skill!$AB:$AB, MATCH(BQ$4, Skill!$C:$C, 0), 1), "")</f>
        <v/>
      </c>
      <c r="BR21" s="94" t="str">
        <f t="array" ref="BR21">IFERROR(INDEX(Skill!$AB:$AB, MATCH(BR$4, Skill!$C:$C, 0), 1), "")</f>
        <v/>
      </c>
      <c r="BS21" s="94" t="str">
        <f t="array" ref="BS21">IFERROR(INDEX(Skill!$AB:$AB, MATCH(BS$4, Skill!$C:$C, 0), 1), "")</f>
        <v/>
      </c>
      <c r="BT21" s="94" t="str">
        <f t="array" ref="BT21">IFERROR(INDEX(Skill!$AB:$AB, MATCH(BT$4, Skill!$C:$C, 0), 1), "")</f>
        <v/>
      </c>
      <c r="BU21" s="94" t="str">
        <f t="array" ref="BU21">IFERROR(INDEX(Skill!$AB:$AB, MATCH(BU$4, Skill!$C:$C, 0), 1), "")</f>
        <v/>
      </c>
      <c r="BV21" s="94" t="str">
        <f t="array" ref="BV21">IFERROR(INDEX(Skill!$AB:$AB, MATCH(BV$4, Skill!$C:$C, 0), 1), "")</f>
        <v/>
      </c>
      <c r="BW21" s="94" t="str">
        <f t="array" ref="BW21">IFERROR(INDEX(Skill!$AB:$AB, MATCH(BW$4, Skill!$C:$C, 0), 1), "")</f>
        <v/>
      </c>
      <c r="BX21" s="94">
        <f t="array" ref="BX21">IFERROR(INDEX(Skill!$AB:$AB, MATCH(BX$4, Skill!$C:$C, 0), 1), "")</f>
        <v>625</v>
      </c>
      <c r="BY21" s="94" t="str">
        <f t="array" ref="BY21">IFERROR(INDEX(Skill!$AB:$AB, MATCH(BY$4, Skill!$C:$C, 0), 1), "")</f>
        <v/>
      </c>
      <c r="BZ21" s="94" t="str">
        <f t="array" ref="BZ21">IFERROR(INDEX(Skill!$AB:$AB, MATCH(BZ$4, Skill!$C:$C, 0), 1), "")</f>
        <v/>
      </c>
      <c r="CA21" s="94" t="str">
        <f t="array" ref="CA21">IFERROR(INDEX(Skill!$AB:$AB, MATCH(CA$4, Skill!$C:$C, 0), 1), "")</f>
        <v/>
      </c>
      <c r="CB21" s="94" t="str">
        <f t="array" ref="CB21">IFERROR(INDEX(Skill!$AB:$AB, MATCH(CB$4, Skill!$C:$C, 0), 1), "")</f>
        <v/>
      </c>
      <c r="CC21" s="94" t="str">
        <f t="array" ref="CC21">IFERROR(INDEX(Skill!$AB:$AB, MATCH(CC$4, Skill!$C:$C, 0), 1), "")</f>
        <v/>
      </c>
      <c r="CD21" s="94" t="str">
        <f t="array" ref="CD21">IFERROR(INDEX(Skill!$AB:$AB, MATCH(CD$4, Skill!$C:$C, 0), 1), "")</f>
        <v/>
      </c>
      <c r="CE21" s="94" t="str">
        <f t="array" ref="CE21">IFERROR(INDEX(Skill!$AB:$AB, MATCH(CE$4, Skill!$C:$C, 0), 1), "")</f>
        <v/>
      </c>
      <c r="CF21" s="94" t="str">
        <f t="array" ref="CF21">IFERROR(INDEX(Skill!$AB:$AB, MATCH(CF$4, Skill!$C:$C, 0), 1), "")</f>
        <v/>
      </c>
      <c r="CG21" s="94" t="str">
        <f t="array" ref="CG21">IFERROR(INDEX(Skill!$AB:$AB, MATCH(CG$4, Skill!$C:$C, 0), 1), "")</f>
        <v/>
      </c>
      <c r="CH21" s="94" t="str">
        <f t="array" ref="CH21">IFERROR(INDEX(Skill!$AB:$AB, MATCH(CH$4, Skill!$C:$C, 0), 1), "")</f>
        <v/>
      </c>
      <c r="CI21" s="94" t="str">
        <f t="array" ref="CI21">IFERROR(INDEX(Skill!$AB:$AB, MATCH(CI$4, Skill!$C:$C, 0), 1), "")</f>
        <v/>
      </c>
      <c r="CJ21" s="94" t="str">
        <f t="array" ref="CJ21">IFERROR(INDEX(Skill!$AB:$AB, MATCH(CJ$4, Skill!$C:$C, 0), 1), "")</f>
        <v/>
      </c>
      <c r="CK21" s="94" t="str">
        <f t="array" ref="CK21">IFERROR(INDEX(Skill!$AB:$AB, MATCH(CK$4, Skill!$C:$C, 0), 1), "")</f>
        <v/>
      </c>
      <c r="CL21" s="94" t="str">
        <f t="array" ref="CL21">IFERROR(INDEX(Skill!$AB:$AB, MATCH(CL$4, Skill!$C:$C, 0), 1), "")</f>
        <v/>
      </c>
      <c r="CM21" s="94">
        <f t="array" ref="CM21">IFERROR(INDEX(Skill!$AB:$AB, MATCH(CM$4, Skill!$C:$C, 0), 1), "")</f>
        <v>648</v>
      </c>
      <c r="CN21" s="94" t="str">
        <f t="array" ref="CN21">IFERROR(INDEX(Skill!$AB:$AB, MATCH(CN$4, Skill!$C:$C, 0), 1), "")</f>
        <v/>
      </c>
      <c r="CO21" s="94" t="str">
        <f t="array" ref="CO21">IFERROR(INDEX(Skill!$AB:$AB, MATCH(CO$4, Skill!$C:$C, 0), 1), "")</f>
        <v/>
      </c>
      <c r="CP21" s="94">
        <f t="array" ref="CP21">IFERROR(INDEX(Skill!$AB:$AB, MATCH(CP$4, Skill!$C:$C, 0), 1), "")</f>
        <v>540</v>
      </c>
      <c r="CQ21" s="94" t="str">
        <f t="array" ref="CQ21">IFERROR(INDEX(Skill!$AB:$AB, MATCH(CQ$4, Skill!$C:$C, 0), 1), "")</f>
        <v/>
      </c>
      <c r="CR21" s="94" t="str">
        <f t="array" ref="CR21">IFERROR(INDEX(Skill!$AB:$AB, MATCH(CR$4, Skill!$C:$C, 0), 1), "")</f>
        <v/>
      </c>
      <c r="CS21" s="94" t="str">
        <f t="array" ref="CS21">IFERROR(INDEX(Skill!$AB:$AB, MATCH(CS$4, Skill!$C:$C, 0), 1), "")</f>
        <v/>
      </c>
      <c r="CT21" s="94" t="str">
        <f t="array" ref="CT21">IFERROR(INDEX(Skill!$AB:$AB, MATCH(CT$4, Skill!$C:$C, 0), 1), "")</f>
        <v/>
      </c>
      <c r="CU21" s="94" t="str">
        <f t="array" ref="CU21">IFERROR(INDEX(Skill!$AB:$AB, MATCH(CU$4, Skill!$C:$C, 0), 1), "")</f>
        <v/>
      </c>
      <c r="CV21" s="94" t="str">
        <f t="array" ref="CV21">IFERROR(INDEX(Skill!$AB:$AB, MATCH(CV$4, Skill!$C:$C, 0), 1), "")</f>
        <v/>
      </c>
      <c r="CW21" s="94" t="str">
        <f t="array" ref="CW21">IFERROR(INDEX(Skill!$AB:$AB, MATCH(CW$4, Skill!$C:$C, 0), 1), "")</f>
        <v/>
      </c>
      <c r="CX21" s="94" t="str">
        <f t="array" ref="CX21">IFERROR(INDEX(Skill!$AB:$AB, MATCH(CX$4, Skill!$C:$C, 0), 1), "")</f>
        <v/>
      </c>
      <c r="CY21" s="94" t="str">
        <f t="array" ref="CY21">IFERROR(INDEX(Skill!$AB:$AB, MATCH(CY$4, Skill!$C:$C, 0), 1), "")</f>
        <v/>
      </c>
      <c r="CZ21" s="94" t="str">
        <f t="array" ref="CZ21">IFERROR(INDEX(Skill!$AB:$AB, MATCH(CZ$4, Skill!$C:$C, 0), 1), "")</f>
        <v/>
      </c>
      <c r="DA21" s="94" t="str">
        <f t="array" ref="DA21">IFERROR(INDEX(Skill!$AB:$AB, MATCH(DA$4, Skill!$C:$C, 0), 1), "")</f>
        <v/>
      </c>
      <c r="DB21" s="94" t="str">
        <f t="array" ref="DB21">IFERROR(INDEX(Skill!$AB:$AB, MATCH(DB$4, Skill!$C:$C, 0), 1), "")</f>
        <v/>
      </c>
      <c r="DC21" s="94" t="str">
        <f t="array" ref="DC21">IFERROR(INDEX(Skill!$AB:$AB, MATCH(DC$4, Skill!$C:$C, 0), 1), "")</f>
        <v/>
      </c>
      <c r="DD21" s="94" t="str">
        <f t="array" ref="DD21">IFERROR(INDEX(Skill!$AB:$AB, MATCH(DD$4, Skill!$C:$C, 0), 1), "")</f>
        <v/>
      </c>
      <c r="DE21" s="94" t="str">
        <f t="array" ref="DE21">IFERROR(INDEX(Skill!$AB:$AB, MATCH(DE$4, Skill!$C:$C, 0), 1), "")</f>
        <v/>
      </c>
      <c r="DF21" s="94" t="str">
        <f t="array" ref="DF21">IFERROR(INDEX(Skill!$AB:$AB, MATCH(DF$4, Skill!$C:$C, 0), 1), "")</f>
        <v/>
      </c>
      <c r="DG21" s="94" t="str">
        <f t="array" ref="DG21">IFERROR(INDEX(Skill!$AB:$AB, MATCH(DG$4, Skill!$C:$C, 0), 1), "")</f>
        <v/>
      </c>
      <c r="DH21" s="94" t="str">
        <f t="array" ref="DH21">IFERROR(INDEX(Skill!$AB:$AB, MATCH(DH$4, Skill!$C:$C, 0), 1), "")</f>
        <v/>
      </c>
      <c r="DI21" s="94" t="str">
        <f t="array" ref="DI21">IFERROR(INDEX(Skill!$AB:$AB, MATCH(DI$4, Skill!$C:$C, 0), 1), "")</f>
        <v/>
      </c>
      <c r="DJ21" s="94" t="str">
        <f t="array" ref="DJ21">IFERROR(INDEX(Skill!$AB:$AB, MATCH(DJ$4, Skill!$C:$C, 0), 1), "")</f>
        <v/>
      </c>
      <c r="DK21" s="94" t="str">
        <f t="array" ref="DK21">IFERROR(INDEX(Skill!$AB:$AB, MATCH(DK$4, Skill!$C:$C, 0), 1), "")</f>
        <v/>
      </c>
      <c r="DL21" s="94" t="str">
        <f t="array" ref="DL21">IFERROR(INDEX(Skill!$AB:$AB, MATCH(DL$4, Skill!$C:$C, 0), 1), "")</f>
        <v/>
      </c>
      <c r="DM21" s="94" t="str">
        <f t="array" ref="DM21">IFERROR(INDEX(Skill!$AB:$AB, MATCH(DM$4, Skill!$C:$C, 0), 1), "")</f>
        <v/>
      </c>
      <c r="DN21" s="94" t="str">
        <f t="array" ref="DN21">IFERROR(INDEX(Skill!$AB:$AB, MATCH(DN$4, Skill!$C:$C, 0), 1), "")</f>
        <v/>
      </c>
      <c r="DO21" s="94" t="str">
        <f t="array" ref="DO21">IFERROR(INDEX(Skill!$AB:$AB, MATCH(DO$4, Skill!$C:$C, 0), 1), "")</f>
        <v/>
      </c>
      <c r="DP21" s="94" t="str">
        <f t="array" ref="DP21">IFERROR(INDEX(Skill!$AB:$AB, MATCH(DP$4, Skill!$C:$C, 0), 1), "")</f>
        <v/>
      </c>
      <c r="DQ21" s="94" t="str">
        <f t="array" ref="DQ21">IFERROR(INDEX(Skill!$AB:$AB, MATCH(DQ$4, Skill!$C:$C, 0), 1), "")</f>
        <v/>
      </c>
      <c r="DR21" s="94" t="str">
        <f t="array" ref="DR21">IFERROR(INDEX(Skill!$AB:$AB, MATCH(DR$4, Skill!$C:$C, 0), 1), "")</f>
        <v/>
      </c>
      <c r="DS21" s="94" t="str">
        <f t="array" ref="DS21">IFERROR(INDEX(Skill!$AB:$AB, MATCH(DS$4, Skill!$C:$C, 0), 1), "")</f>
        <v/>
      </c>
      <c r="DT21" s="94" t="str">
        <f t="array" ref="DT21">IFERROR(INDEX(Skill!$AB:$AB, MATCH(DT$4, Skill!$C:$C, 0), 1), "")</f>
        <v/>
      </c>
      <c r="DU21" s="94" t="str">
        <f t="array" ref="DU21">IFERROR(INDEX(Skill!$AB:$AB, MATCH(DU$4, Skill!$C:$C, 0), 1), "")</f>
        <v/>
      </c>
      <c r="DV21" s="94" t="str">
        <f t="array" ref="DV21">IFERROR(INDEX(Skill!$AB:$AB, MATCH(DV$4, Skill!$C:$C, 0), 1), "")</f>
        <v/>
      </c>
      <c r="DW21" s="94" t="str">
        <f t="array" ref="DW21">IFERROR(INDEX(Skill!$AB:$AB, MATCH(DW$4, Skill!$C:$C, 0), 1), "")</f>
        <v/>
      </c>
      <c r="DX21" s="94" t="str">
        <f t="array" ref="DX21">IFERROR(INDEX(Skill!$AB:$AB, MATCH(DX$4, Skill!$C:$C, 0), 1), "")</f>
        <v/>
      </c>
      <c r="DY21" s="94" t="str">
        <f t="array" ref="DY21">IFERROR(INDEX(Skill!$AB:$AB, MATCH(DY$4, Skill!$C:$C, 0), 1), "")</f>
        <v/>
      </c>
      <c r="DZ21" s="94" t="str">
        <f t="array" ref="DZ21">IFERROR(INDEX(Skill!$AB:$AB, MATCH(DZ$4, Skill!$C:$C, 0), 1), "")</f>
        <v/>
      </c>
      <c r="EA21" s="89" t="str">
        <f t="array" ref="EA21">IFERROR(INDEX(Skill!$AB:$AB, MATCH(EA$4, Skill!$C:$C, 0), 1), "")</f>
        <v/>
      </c>
      <c r="EB21" s="89" t="str">
        <f t="array" ref="EB21">IFERROR(INDEX(Skill!$AB:$AB, MATCH(EB$4, Skill!$C:$C, 0), 1), "")</f>
        <v/>
      </c>
      <c r="EC21" s="89" t="str">
        <f t="array" ref="EC21">IFERROR(INDEX(Skill!$AB:$AB, MATCH(EC$4, Skill!$C:$C, 0), 1), "")</f>
        <v/>
      </c>
      <c r="ED21" s="94" t="str">
        <f t="array" ref="ED21">IFERROR(INDEX(Skill!$AB:$AB, MATCH(ED$4, Skill!$C:$C, 0), 1), "")</f>
        <v/>
      </c>
      <c r="EE21" s="102"/>
      <c r="EF21" s="102"/>
      <c r="EG21" s="102"/>
      <c r="EH21" s="102"/>
      <c r="EI21" s="102"/>
      <c r="EJ21" s="102"/>
      <c r="EK21" s="102"/>
      <c r="EL21" s="102"/>
      <c r="EM21" s="102"/>
      <c r="EN21" s="102"/>
      <c r="EO21" s="102"/>
      <c r="EP21" s="102"/>
      <c r="EQ21" s="102"/>
      <c r="ER21" s="103"/>
      <c r="ES21" s="103"/>
      <c r="ET21" s="103"/>
      <c r="EU21" s="76"/>
      <c r="EV21" s="76"/>
      <c r="EW21" s="76"/>
      <c r="EX21" s="76"/>
      <c r="EY21" s="76"/>
      <c r="EZ21" s="76"/>
      <c r="FA21" s="76"/>
      <c r="FB21" s="76"/>
      <c r="FC21" s="76"/>
      <c r="FD21" s="76"/>
      <c r="FE21" s="76"/>
      <c r="FF21" s="76"/>
      <c r="FG21" s="76"/>
      <c r="FH21" s="76"/>
      <c r="FI21" s="76"/>
      <c r="FJ21" s="76"/>
      <c r="FK21" s="76"/>
      <c r="FL21" s="76"/>
      <c r="FM21" s="76"/>
      <c r="FN21" s="76"/>
      <c r="FO21" s="91"/>
    </row>
    <row r="22">
      <c r="B22" s="106" t="s">
        <v>1036</v>
      </c>
      <c r="C22" s="107" t="s">
        <v>1038</v>
      </c>
      <c r="D22" s="108"/>
      <c r="E22" s="106" t="s">
        <v>1039</v>
      </c>
      <c r="F22" s="109" t="s">
        <v>1040</v>
      </c>
      <c r="G22" s="108"/>
      <c r="H22" s="110" t="s">
        <v>1041</v>
      </c>
      <c r="I22" s="111"/>
      <c r="J22" s="108"/>
      <c r="K22" s="112" t="s">
        <v>1042</v>
      </c>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3"/>
      <c r="BP22" s="113"/>
      <c r="BQ22" s="113"/>
      <c r="BR22" s="113"/>
      <c r="BS22" s="113"/>
      <c r="BT22" s="113"/>
      <c r="BU22" s="113"/>
      <c r="BV22" s="113"/>
      <c r="BW22" s="113"/>
      <c r="BX22" s="113"/>
      <c r="BY22" s="113"/>
      <c r="BZ22" s="113"/>
      <c r="CA22" s="113"/>
      <c r="CB22" s="113"/>
      <c r="CC22" s="113"/>
      <c r="CD22" s="113"/>
      <c r="CE22" s="113"/>
      <c r="CF22" s="113"/>
      <c r="CG22" s="113"/>
      <c r="CH22" s="113"/>
      <c r="CI22" s="113"/>
      <c r="CJ22" s="113"/>
      <c r="CK22" s="113"/>
      <c r="CL22" s="113"/>
      <c r="CM22" s="113"/>
      <c r="CN22" s="113"/>
      <c r="CO22" s="113"/>
      <c r="CP22" s="113"/>
      <c r="CQ22" s="113"/>
      <c r="CR22" s="113"/>
      <c r="CS22" s="113"/>
      <c r="CT22" s="113"/>
      <c r="CU22" s="113"/>
      <c r="CV22" s="113"/>
      <c r="CW22" s="113"/>
      <c r="CX22" s="113"/>
      <c r="CY22" s="113"/>
      <c r="CZ22" s="113"/>
      <c r="DA22" s="113"/>
      <c r="DB22" s="113"/>
      <c r="DC22" s="113"/>
      <c r="DD22" s="113"/>
      <c r="DE22" s="113"/>
      <c r="DF22" s="113"/>
      <c r="DG22" s="113"/>
      <c r="DH22" s="113"/>
      <c r="DI22" s="113"/>
      <c r="DJ22" s="113"/>
      <c r="DK22" s="113"/>
      <c r="DL22" s="113"/>
      <c r="DM22" s="113"/>
      <c r="DN22" s="113"/>
      <c r="DO22" s="113"/>
      <c r="DP22" s="113"/>
      <c r="DQ22" s="113"/>
      <c r="DR22" s="113"/>
      <c r="DS22" s="113"/>
      <c r="DT22" s="113"/>
      <c r="DU22" s="113"/>
      <c r="DV22" s="113"/>
      <c r="DW22" s="113"/>
      <c r="DX22" s="113"/>
      <c r="DY22" s="113"/>
      <c r="DZ22" s="113"/>
      <c r="EA22" s="113"/>
      <c r="EB22" s="113"/>
      <c r="EC22" s="113"/>
      <c r="ED22" s="113"/>
      <c r="EE22" s="114" t="s">
        <v>1054</v>
      </c>
      <c r="EF22" s="113"/>
      <c r="EG22" s="113"/>
      <c r="EH22" s="113"/>
      <c r="EI22" s="113"/>
      <c r="EJ22" s="113"/>
      <c r="EK22" s="113"/>
      <c r="EL22" s="113"/>
      <c r="EM22" s="113"/>
      <c r="EN22" s="113"/>
      <c r="EO22" s="113"/>
      <c r="EP22" s="113"/>
      <c r="EQ22" s="115"/>
      <c r="ER22" s="110" t="s">
        <v>1055</v>
      </c>
      <c r="ES22" s="111"/>
      <c r="ET22" s="116" t="s">
        <v>1056</v>
      </c>
      <c r="EU22" s="117" t="s">
        <v>1054</v>
      </c>
      <c r="EY22" s="118" t="s">
        <v>1056</v>
      </c>
      <c r="EZ22" s="117" t="s">
        <v>1054</v>
      </c>
      <c r="FD22" s="118" t="s">
        <v>1056</v>
      </c>
      <c r="FE22" s="117" t="s">
        <v>1054</v>
      </c>
      <c r="FI22" s="118" t="s">
        <v>1056</v>
      </c>
      <c r="FJ22" s="117" t="s">
        <v>1054</v>
      </c>
      <c r="FN22" s="118" t="s">
        <v>1056</v>
      </c>
      <c r="FO22" s="91"/>
    </row>
    <row r="23">
      <c r="B23" s="119"/>
      <c r="C23" s="120"/>
      <c r="D23" s="121"/>
      <c r="E23" s="119"/>
      <c r="F23" s="120"/>
      <c r="G23" s="121"/>
      <c r="H23" s="122"/>
      <c r="I23" s="122"/>
      <c r="J23" s="123"/>
      <c r="K23" s="124" t="str">
        <f>IMAGE("https://xivapi.com/i/062000/062119.png")</f>
        <v/>
      </c>
      <c r="L23" s="113"/>
      <c r="M23" s="113"/>
      <c r="N23" s="113"/>
      <c r="O23" s="113"/>
      <c r="P23" s="113"/>
      <c r="Q23" s="113"/>
      <c r="R23" s="113"/>
      <c r="S23" s="115"/>
      <c r="T23" s="125" t="str">
        <f>IMAGE("https://xivapi.com/i/062000/062121.png")</f>
        <v/>
      </c>
      <c r="U23" s="113"/>
      <c r="V23" s="113"/>
      <c r="W23" s="113"/>
      <c r="X23" s="113"/>
      <c r="Y23" s="113"/>
      <c r="Z23" s="113"/>
      <c r="AA23" s="113"/>
      <c r="AB23" s="115"/>
      <c r="AC23" s="125" t="str">
        <f>IMAGE("https://xivapi.com/i/062000/062132.png")</f>
        <v/>
      </c>
      <c r="AD23" s="113"/>
      <c r="AE23" s="113"/>
      <c r="AF23" s="113"/>
      <c r="AG23" s="113"/>
      <c r="AH23" s="113"/>
      <c r="AI23" s="113"/>
      <c r="AJ23" s="113"/>
      <c r="AK23" s="115"/>
      <c r="AL23" s="125" t="str">
        <f>IMAGE("https://xivapi.com/i/062000/062137.png")</f>
        <v/>
      </c>
      <c r="AM23" s="113"/>
      <c r="AN23" s="113"/>
      <c r="AO23" s="113"/>
      <c r="AP23" s="113"/>
      <c r="AQ23" s="113"/>
      <c r="AR23" s="115"/>
      <c r="AS23" s="126" t="str">
        <f>IMAGE("https://xivapi.com/i/062000/062124.png")</f>
        <v/>
      </c>
      <c r="AT23" s="113"/>
      <c r="AU23" s="113"/>
      <c r="AV23" s="113"/>
      <c r="AW23" s="113"/>
      <c r="AX23" s="113"/>
      <c r="AY23" s="113"/>
      <c r="AZ23" s="113"/>
      <c r="BA23" s="113"/>
      <c r="BB23" s="113"/>
      <c r="BC23" s="113"/>
      <c r="BD23" s="115"/>
      <c r="BE23" s="126" t="str">
        <f>IMAGE("https://xivapi.com/i/062000/062133.png")</f>
        <v/>
      </c>
      <c r="BF23" s="113"/>
      <c r="BG23" s="113"/>
      <c r="BH23" s="113"/>
      <c r="BI23" s="113"/>
      <c r="BJ23" s="113"/>
      <c r="BK23" s="113"/>
      <c r="BL23" s="113"/>
      <c r="BM23" s="113"/>
      <c r="BN23" s="113"/>
      <c r="BO23" s="113"/>
      <c r="BP23" s="113"/>
      <c r="BQ23" s="113"/>
      <c r="BR23" s="113"/>
      <c r="BS23" s="113"/>
      <c r="BT23" s="113"/>
      <c r="BU23" s="113"/>
      <c r="BV23" s="113"/>
      <c r="BW23" s="113"/>
      <c r="BX23" s="115"/>
      <c r="BY23" s="126" t="str">
        <f>IMAGE("https://xivapi.com/i/062000/062128.png")</f>
        <v/>
      </c>
      <c r="BZ23" s="113"/>
      <c r="CA23" s="113"/>
      <c r="CB23" s="113"/>
      <c r="CC23" s="113"/>
      <c r="CD23" s="113"/>
      <c r="CE23" s="113"/>
      <c r="CF23" s="113"/>
      <c r="CG23" s="113"/>
      <c r="CH23" s="113"/>
      <c r="CI23" s="113"/>
      <c r="CJ23" s="113"/>
      <c r="CK23" s="113"/>
      <c r="CL23" s="113"/>
      <c r="CM23" s="113"/>
      <c r="CN23" s="113"/>
      <c r="CO23" s="113"/>
      <c r="CP23" s="113"/>
      <c r="CQ23" s="113"/>
      <c r="CR23" s="113"/>
      <c r="CS23" s="115"/>
      <c r="CT23" s="126" t="str">
        <f>IMAGE("https://xivapi.com/i/062000/062140.png")</f>
        <v/>
      </c>
      <c r="CU23" s="113"/>
      <c r="CV23" s="113"/>
      <c r="CW23" s="113"/>
      <c r="CX23" s="113"/>
      <c r="CY23" s="113"/>
      <c r="CZ23" s="113"/>
      <c r="DA23" s="113"/>
      <c r="DB23" s="113"/>
      <c r="DC23" s="113"/>
      <c r="DD23" s="113"/>
      <c r="DE23" s="113"/>
      <c r="DF23" s="113"/>
      <c r="DG23" s="113"/>
      <c r="DH23" s="113"/>
      <c r="DI23" s="115"/>
      <c r="DJ23" s="127" t="str">
        <f>IMAGE("https://xivapi.com/i/062000/062120.png")</f>
        <v/>
      </c>
      <c r="DK23" s="115"/>
      <c r="DL23" s="127" t="str">
        <f>IMAGE("https://xivapi.com/i/062000/062122.png")</f>
        <v/>
      </c>
      <c r="DM23" s="127" t="str">
        <f>IMAGE("https://xivapi.com/i/062000/062130.png")</f>
        <v/>
      </c>
      <c r="DN23" s="127" t="str">
        <f>IMAGE("https://xivapi.com/i/062000/062134.png")</f>
        <v/>
      </c>
      <c r="DO23" s="127" t="str">
        <f>IMAGE("https://xivapi.com/i/062000/062139.png")</f>
        <v/>
      </c>
      <c r="DP23" s="127" t="str">
        <f>IMAGE("https://xivapi.com/i/062000/062141.png")</f>
        <v/>
      </c>
      <c r="DQ23" s="128" t="str">
        <f>IMAGE("https://xivapi.com/i/062000/062123.png")</f>
        <v/>
      </c>
      <c r="DR23" s="115"/>
      <c r="DS23" s="128" t="str">
        <f>IMAGE("https://xivapi.com/i/062000/062131.png")</f>
        <v/>
      </c>
      <c r="DT23" s="115"/>
      <c r="DU23" s="128" t="str">
        <f>IMAGE("https://xivapi.com/i/062000/062138.png")</f>
        <v/>
      </c>
      <c r="DV23" s="115"/>
      <c r="DW23" s="129" t="str">
        <f>IMAGE("https://xivapi.com/i/062000/062125.png")</f>
        <v/>
      </c>
      <c r="DX23" s="129" t="str">
        <f>IMAGE("https://xivapi.com/i/062000/062127.png")</f>
        <v/>
      </c>
      <c r="DY23" s="129" t="str">
        <f>IMAGE("https://xivapi.com/i/062000/062135.png")</f>
        <v/>
      </c>
      <c r="DZ23" s="115"/>
      <c r="EA23" s="129" t="str">
        <f>IMAGE("https://xivapi.com/i/062000/062142.png")</f>
        <v/>
      </c>
      <c r="EB23" s="113"/>
      <c r="EC23" s="115"/>
      <c r="ED23" s="130" t="str">
        <f>IMAGE("https://xivapi.com/cj/misc/bordered_tank.png")</f>
        <v/>
      </c>
      <c r="EE23" s="131" t="s">
        <v>1042</v>
      </c>
      <c r="EF23" s="132" t="s">
        <v>1057</v>
      </c>
      <c r="EG23" s="111"/>
      <c r="EH23" s="132" t="s">
        <v>1058</v>
      </c>
      <c r="EI23" s="111"/>
      <c r="EJ23" s="132" t="s">
        <v>1059</v>
      </c>
      <c r="EK23" s="111"/>
      <c r="EL23" s="132" t="s">
        <v>1060</v>
      </c>
      <c r="EM23" s="111"/>
      <c r="EN23" s="132" t="s">
        <v>1061</v>
      </c>
      <c r="EO23" s="111"/>
      <c r="EP23" s="132" t="s">
        <v>1062</v>
      </c>
      <c r="EQ23" s="133" t="s">
        <v>1063</v>
      </c>
      <c r="ET23" s="134" t="s">
        <v>1064</v>
      </c>
      <c r="EU23" s="135" t="str">
        <f>IMAGE("https://xivapi.com/cj/companion/paladin.png")</f>
        <v/>
      </c>
      <c r="EZ23" s="135" t="str">
        <f>IMAGE("https://xivapi.com/cj/companion/warrior.png")</f>
        <v/>
      </c>
      <c r="FE23" s="135" t="str">
        <f>IMAGE("https://xivapi.com/cj/companion/darkknight.png")</f>
        <v/>
      </c>
      <c r="FJ23" s="135" t="str">
        <f>IMAGE("https://xivapi.com/cj/companion/gunbreaker.png")</f>
        <v/>
      </c>
      <c r="FO23" s="91"/>
    </row>
    <row r="24" collapsed="1">
      <c r="B24" s="136"/>
      <c r="C24" s="137"/>
      <c r="D24" s="123"/>
      <c r="E24" s="136"/>
      <c r="F24" s="137"/>
      <c r="G24" s="123"/>
      <c r="H24" s="138" t="s">
        <v>1065</v>
      </c>
      <c r="I24" s="139" t="s">
        <v>1066</v>
      </c>
      <c r="J24" s="139" t="s">
        <v>1067</v>
      </c>
      <c r="K24" s="140" t="str">
        <f t="array" ref="K24">IFERROR(INDEX(Skill!$D:$D, MATCH(K$4, Skill!$C:$C, 0), 1), "")</f>
        <v/>
      </c>
      <c r="L24" s="140" t="str">
        <f t="array" ref="L24">IFERROR(INDEX(Skill!$D:$D, MATCH(L$4, Skill!$C:$C, 0), 1), "")</f>
        <v/>
      </c>
      <c r="M24" s="140"/>
      <c r="N24" s="140" t="str">
        <f t="array" ref="N24">IFERROR(INDEX(Skill!$D:$D, MATCH(N$4, Skill!$C:$C, 0), 1), "")</f>
        <v/>
      </c>
      <c r="O24" s="140" t="str">
        <f t="array" ref="O24">IFERROR(INDEX(Skill!$D:$D, MATCH(O$4, Skill!$C:$C, 0), 1), "")</f>
        <v/>
      </c>
      <c r="P24" s="140" t="str">
        <f t="array" ref="P24">IFERROR(INDEX(Skill!$D:$D, MATCH(P$4, Skill!$C:$C, 0), 1), "")</f>
        <v/>
      </c>
      <c r="Q24" s="140" t="str">
        <f t="array" ref="Q24">IFERROR(INDEX(Skill!$D:$D, MATCH(Q$4, Skill!$C:$C, 0), 1), "")</f>
        <v/>
      </c>
      <c r="R24" s="140" t="str">
        <f t="array" ref="R24">IFERROR(INDEX(Skill!$D:$D, MATCH(R$4, Skill!$C:$C, 0), 1), "")</f>
        <v/>
      </c>
      <c r="S24" s="140" t="str">
        <f t="array" ref="S24">IFERROR(INDEX(Skill!$D:$D, MATCH(S$4, Skill!$C:$C, 0), 1), "")</f>
        <v/>
      </c>
      <c r="T24" s="141" t="str">
        <f t="array" ref="T24">IFERROR(INDEX(Skill!$D:$D, MATCH(T$4, Skill!$C:$C, 0), 1), "")</f>
        <v/>
      </c>
      <c r="U24" s="124" t="str">
        <f t="array" ref="U24">IFERROR(INDEX(Skill!$D:$D, MATCH(U$4, Skill!$C:$C, 0), 1), "")</f>
        <v/>
      </c>
      <c r="V24" s="124" t="str">
        <f t="array" ref="V24">IFERROR(INDEX(Skill!$D:$D, MATCH(V$4, Skill!$C:$C, 0), 1), "")</f>
        <v/>
      </c>
      <c r="W24" s="124" t="str">
        <f t="array" ref="W24">IFERROR(INDEX(Skill!$D:$D, MATCH(W$4, Skill!$C:$C, 0), 1), "")</f>
        <v/>
      </c>
      <c r="X24" s="124" t="str">
        <f t="array" ref="X24">IFERROR(INDEX(Skill!$D:$D, MATCH(X$4, Skill!$C:$C, 0), 1), "")</f>
        <v/>
      </c>
      <c r="Y24" s="124" t="str">
        <f t="array" ref="Y24">IFERROR(INDEX(Skill!$D:$D, MATCH(Y$4, Skill!$C:$C, 0), 1), "")</f>
        <v/>
      </c>
      <c r="Z24" s="124" t="str">
        <f t="array" ref="Z24">IFERROR(INDEX(Skill!$D:$D, MATCH(Z$4, Skill!$C:$C, 0), 1), "")</f>
        <v/>
      </c>
      <c r="AA24" s="124" t="str">
        <f t="array" ref="AA24">IFERROR(INDEX(Skill!$D:$D, MATCH(AA$4, Skill!$C:$C, 0), 1), "")</f>
        <v/>
      </c>
      <c r="AB24" s="124" t="str">
        <f t="array" ref="AB24">IFERROR(INDEX(Skill!$D:$D, MATCH(AB$4, Skill!$C:$C, 0), 1), "")</f>
        <v/>
      </c>
      <c r="AC24" s="141" t="str">
        <f t="array" ref="AC24">IFERROR(INDEX(Skill!$D:$D, MATCH(AC$4, Skill!$C:$C, 0), 1), "")</f>
        <v/>
      </c>
      <c r="AD24" s="142" t="str">
        <f t="array" ref="AD24">IFERROR(INDEX(Skill!$D:$D, MATCH(AD$4, Skill!$C:$C, 0), 1), "")</f>
        <v/>
      </c>
      <c r="AE24" s="142" t="str">
        <f t="array" ref="AE24">IFERROR(INDEX(Skill!$D:$D, MATCH(AE$4, Skill!$C:$C, 0), 1), "")</f>
        <v/>
      </c>
      <c r="AF24" s="143" t="str">
        <f t="array" ref="AF24">IFERROR(INDEX(Skill!$D:$D, MATCH(AF$4, Skill!$C:$C, 0), 1), "")</f>
        <v/>
      </c>
      <c r="AG24" s="115"/>
      <c r="AH24" s="142" t="str">
        <f t="array" ref="AH24">IFERROR(INDEX(Skill!$D:$D, MATCH(AH$4, Skill!$C:$C, 0), 1), "")</f>
        <v/>
      </c>
      <c r="AI24" s="142" t="str">
        <f t="array" ref="AI24">IFERROR(INDEX(Skill!$D:$D, MATCH(AI$4, Skill!$C:$C, 0), 1), "")</f>
        <v/>
      </c>
      <c r="AJ24" s="142" t="str">
        <f t="array" ref="AJ24">IFERROR(INDEX(Skill!$D:$D, MATCH(AJ$4, Skill!$C:$C, 0), 1), "")</f>
        <v/>
      </c>
      <c r="AK24" s="142" t="str">
        <f t="array" ref="AK24">IFERROR(INDEX(Skill!$D:$D, MATCH(AK$4, Skill!$C:$C, 0), 1), "")</f>
        <v/>
      </c>
      <c r="AL24" s="141" t="str">
        <f t="array" ref="AL24">IFERROR(INDEX(Skill!$D:$D, MATCH(AL$4, Skill!$C:$C, 0), 1), "")</f>
        <v/>
      </c>
      <c r="AM24" s="140" t="str">
        <f t="array" ref="AM24">IFERROR(INDEX(Skill!$D:$D, MATCH(AM$4, Skill!$C:$C, 0), 1), "")</f>
        <v/>
      </c>
      <c r="AN24" s="140" t="str">
        <f t="array" ref="AN24">IFERROR(INDEX(Skill!$D:$D, MATCH(AN$4, Skill!$C:$C, 0), 1), "")</f>
        <v/>
      </c>
      <c r="AO24" s="140" t="str">
        <f t="array" ref="AO24">IFERROR(INDEX(Skill!$D:$D, MATCH(AO$4, Skill!$C:$C, 0), 1), "")</f>
        <v/>
      </c>
      <c r="AP24" s="140" t="str">
        <f t="array" ref="AP24">IFERROR(INDEX(Skill!$D:$D, MATCH(AP$4, Skill!$C:$C, 0), 1), "")</f>
        <v/>
      </c>
      <c r="AQ24" s="140" t="str">
        <f t="array" ref="AQ24">IFERROR(INDEX(Skill!$D:$D, MATCH(AQ$4, Skill!$C:$C, 0), 1), "")</f>
        <v/>
      </c>
      <c r="AR24" s="140" t="str">
        <f t="array" ref="AR24">IFERROR(INDEX(Skill!$D:$D, MATCH(AR$4, Skill!$C:$C, 0), 1), "")</f>
        <v/>
      </c>
      <c r="AS24" s="144" t="str">
        <f t="array" ref="AS24">IFERROR(INDEX(Skill!$D:$D, MATCH(AS$4, Skill!$C:$C, 0), 1), "")</f>
        <v/>
      </c>
      <c r="AT24" s="145" t="str">
        <f t="array" ref="AT24">IFERROR(INDEX(Skill!$D:$D, MATCH(AT$4, Skill!$C:$C, 0), 1), "")</f>
        <v/>
      </c>
      <c r="AU24" s="145" t="str">
        <f t="array" ref="AU24">IFERROR(INDEX(Skill!$D:$D, MATCH(AU$4, Skill!$C:$C, 0), 1), "")</f>
        <v/>
      </c>
      <c r="AV24" s="145" t="str">
        <f t="array" ref="AV24">IFERROR(INDEX(Skill!$D:$D, MATCH(AV$4, Skill!$C:$C, 0), 1), "")</f>
        <v/>
      </c>
      <c r="AW24" s="145" t="str">
        <f t="array" ref="AW24">IFERROR(INDEX(Skill!$D:$D, MATCH(AW$4, Skill!$C:$C, 0), 1), "")</f>
        <v/>
      </c>
      <c r="AX24" s="145" t="str">
        <f t="array" ref="AX24">IFERROR(INDEX(Skill!$D:$D, MATCH(AX$4, Skill!$C:$C, 0), 1), "")</f>
        <v/>
      </c>
      <c r="AY24" s="145" t="str">
        <f t="array" ref="AY24">IFERROR(INDEX(Skill!$D:$D, MATCH(AY$4, Skill!$C:$C, 0), 1), "")</f>
        <v/>
      </c>
      <c r="AZ24" s="146" t="str">
        <f t="array" ref="AZ24">IFERROR(INDEX(Skill!$D:$D, MATCH(AZ$4, Skill!$C:$C, 0), 1), "")</f>
        <v/>
      </c>
      <c r="BA24" s="115"/>
      <c r="BB24" s="146" t="str">
        <f t="array" ref="BB24">IFERROR(INDEX(Skill!$D:$D, MATCH(BB$4, Skill!$C:$C, 0), 1), "")</f>
        <v/>
      </c>
      <c r="BC24" s="115"/>
      <c r="BD24" s="145" t="str">
        <f t="array" ref="BD24">IFERROR(INDEX(Skill!$D:$D, MATCH(BD$4, Skill!$C:$C, 0), 1), "")</f>
        <v/>
      </c>
      <c r="BE24" s="144" t="str">
        <f t="array" ref="BE24">IFERROR(INDEX(Skill!$D:$D, MATCH(BE$4, Skill!$C:$C, 0), 1), "")</f>
        <v/>
      </c>
      <c r="BF24" s="147" t="str">
        <f t="array" ref="BF24">IFERROR(INDEX(Skill!$D:$D, MATCH(BF$4, Skill!$C:$C, 0), 1), "")</f>
        <v/>
      </c>
      <c r="BG24" s="147" t="str">
        <f t="array" ref="BG24">IFERROR(INDEX(Skill!$D:$D, MATCH(BG$4, Skill!$C:$C, 0), 1), "")</f>
        <v/>
      </c>
      <c r="BH24" s="147" t="str">
        <f t="array" ref="BH24">IFERROR(INDEX(Skill!$D:$D, MATCH(BH$4, Skill!$C:$C, 0), 1), "")</f>
        <v/>
      </c>
      <c r="BI24" s="147" t="str">
        <f t="array" ref="BI24">IFERROR(INDEX(Skill!$D:$D, MATCH(BI$4, Skill!$C:$C, 0), 1), "")</f>
        <v/>
      </c>
      <c r="BJ24" s="147" t="str">
        <f t="array" ref="BJ24">IFERROR(INDEX(Skill!$D:$D, MATCH(BJ$4, Skill!$C:$C, 0), 1), "")</f>
        <v/>
      </c>
      <c r="BK24" s="147" t="str">
        <f t="array" ref="BK24">IFERROR(INDEX(Skill!$D:$D, MATCH(BK$4, Skill!$C:$C, 0), 1), "")</f>
        <v/>
      </c>
      <c r="BL24" s="147" t="str">
        <f t="array" ref="BL24">IFERROR(INDEX(Skill!$D:$D, MATCH(BL$4, Skill!$C:$C, 0), 1), "")</f>
        <v/>
      </c>
      <c r="BM24" s="147" t="str">
        <f t="array" ref="BM24">IFERROR(INDEX(Skill!$D:$D, MATCH(BM$4, Skill!$C:$C, 0), 1), "")</f>
        <v/>
      </c>
      <c r="BN24" s="147" t="str">
        <f t="array" ref="BN24">IFERROR(INDEX(Skill!$D:$D, MATCH(BN$4, Skill!$C:$C, 0), 1), "")</f>
        <v/>
      </c>
      <c r="BO24" s="147" t="str">
        <f t="array" ref="BO24">IFERROR(INDEX(Skill!$D:$D, MATCH(BO$4, Skill!$C:$C, 0), 1), "")</f>
        <v/>
      </c>
      <c r="BP24" s="147" t="str">
        <f t="array" ref="BP24">IFERROR(INDEX(Skill!$D:$D, MATCH(BP$4, Skill!$C:$C, 0), 1), "")</f>
        <v/>
      </c>
      <c r="BQ24" s="147" t="str">
        <f t="array" ref="BQ24">IFERROR(INDEX(Skill!$D:$D, MATCH(BQ$4, Skill!$C:$C, 0), 1), "")</f>
        <v/>
      </c>
      <c r="BR24" s="147" t="str">
        <f t="array" ref="BR24">IFERROR(INDEX(Skill!$D:$D, MATCH(BR$4, Skill!$C:$C, 0), 1), "")</f>
        <v/>
      </c>
      <c r="BS24" s="148" t="str">
        <f t="array" ref="BS24">IFERROR(INDEX(Skill!$D:$D, MATCH(BS$4, Skill!$C:$C, 0), 1), "")</f>
        <v/>
      </c>
      <c r="BT24" s="115"/>
      <c r="BU24" s="147" t="str">
        <f t="array" ref="BU24">IFERROR(INDEX(Skill!$D:$D, MATCH(BU$4, Skill!$C:$C, 0), 1), "")</f>
        <v/>
      </c>
      <c r="BV24" s="148" t="str">
        <f t="array" ref="BV24">IFERROR(INDEX(Skill!$D:$D, MATCH(BV$4, Skill!$C:$C, 0), 1), "")</f>
        <v/>
      </c>
      <c r="BW24" s="115"/>
      <c r="BX24" s="147" t="str">
        <f t="array" ref="BX24">IFERROR(INDEX(Skill!$D:$D, MATCH(BX$4, Skill!$C:$C, 0), 1), "")</f>
        <v/>
      </c>
      <c r="BY24" s="144" t="str">
        <f t="array" ref="BY24">IFERROR(INDEX(Skill!$D:$D, MATCH(BY$4, Skill!$C:$C, 0), 1), "")</f>
        <v/>
      </c>
      <c r="BZ24" s="147" t="str">
        <f t="array" ref="BZ24">IFERROR(INDEX(Skill!$D:$D, MATCH(BZ$4, Skill!$C:$C, 0), 1), "")</f>
        <v/>
      </c>
      <c r="CA24" s="147" t="str">
        <f t="array" ref="CA24">IFERROR(INDEX(Skill!$D:$D, MATCH(CA$4, Skill!$C:$C, 0), 1), "")</f>
        <v/>
      </c>
      <c r="CB24" s="147" t="str">
        <f t="array" ref="CB24">IFERROR(INDEX(Skill!$D:$D, MATCH(CB$4, Skill!$C:$C, 0), 1), "")</f>
        <v/>
      </c>
      <c r="CC24" s="147" t="str">
        <f t="array" ref="CC24">IFERROR(INDEX(Skill!$D:$D, MATCH(CC$4, Skill!$C:$C, 0), 1), "")</f>
        <v/>
      </c>
      <c r="CD24" s="147" t="str">
        <f t="array" ref="CD24">IFERROR(INDEX(Skill!$D:$D, MATCH(CD$4, Skill!$C:$C, 0), 1), "")</f>
        <v/>
      </c>
      <c r="CE24" s="147" t="str">
        <f t="array" ref="CE24">IFERROR(INDEX(Skill!$D:$D, MATCH(CE$4, Skill!$C:$C, 0), 1), "")</f>
        <v/>
      </c>
      <c r="CF24" s="147" t="str">
        <f t="array" ref="CF24">IFERROR(INDEX(Skill!$D:$D, MATCH(CF$4, Skill!$C:$C, 0), 1), "")</f>
        <v/>
      </c>
      <c r="CG24" s="147" t="str">
        <f t="array" ref="CG24">IFERROR(INDEX(Skill!$D:$D, MATCH(CG$4, Skill!$C:$C, 0), 1), "")</f>
        <v/>
      </c>
      <c r="CH24" s="147" t="str">
        <f t="array" ref="CH24">IFERROR(INDEX(Skill!$D:$D, MATCH(CH$4, Skill!$C:$C, 0), 1), "")</f>
        <v/>
      </c>
      <c r="CI24" s="147" t="str">
        <f t="array" ref="CI24">IFERROR(INDEX(Skill!$D:$D, MATCH(CI$4, Skill!$C:$C, 0), 1), "")</f>
        <v/>
      </c>
      <c r="CJ24" s="147" t="str">
        <f t="array" ref="CJ24">IFERROR(INDEX(Skill!$D:$D, MATCH(CJ$4, Skill!$C:$C, 0), 1), "")</f>
        <v/>
      </c>
      <c r="CK24" s="147" t="str">
        <f t="array" ref="CK24">IFERROR(INDEX(Skill!$D:$D, MATCH(CK$4, Skill!$C:$C, 0), 1), "")</f>
        <v/>
      </c>
      <c r="CL24" s="147" t="str">
        <f t="array" ref="CL24">IFERROR(INDEX(Skill!$D:$D, MATCH(CL$4, Skill!$C:$C, 0), 1), "")</f>
        <v/>
      </c>
      <c r="CM24" s="147" t="str">
        <f t="array" ref="CM24">IFERROR(INDEX(Skill!$D:$D, MATCH(CM$4, Skill!$C:$C, 0), 1), "")</f>
        <v/>
      </c>
      <c r="CN24" s="147" t="str">
        <f t="array" ref="CN24">IFERROR(INDEX(Skill!$D:$D, MATCH(CN$4, Skill!$C:$C, 0), 1), "")</f>
        <v/>
      </c>
      <c r="CO24" s="147" t="str">
        <f t="array" ref="CO24">IFERROR(INDEX(Skill!$D:$D, MATCH(CO$4, Skill!$C:$C, 0), 1), "")</f>
        <v/>
      </c>
      <c r="CP24" s="147" t="str">
        <f t="array" ref="CP24">IFERROR(INDEX(Skill!$D:$D, MATCH(CP$4, Skill!$C:$C, 0), 1), "")</f>
        <v/>
      </c>
      <c r="CQ24" s="147" t="str">
        <f t="array" ref="CQ24">IFERROR(INDEX(Skill!$D:$D, MATCH(CQ$4, Skill!$C:$C, 0), 1), "")</f>
        <v/>
      </c>
      <c r="CR24" s="147" t="str">
        <f t="array" ref="CR24">IFERROR(INDEX(Skill!$D:$D, MATCH(CR$4, Skill!$C:$C, 0), 1), "")</f>
        <v/>
      </c>
      <c r="CS24" s="147" t="str">
        <f>IMAGE("http://drive.google.com/uc?export=view&amp;id=1AdMXq2oDpA84xtFE73ql3oAKBb8YsCwr")</f>
        <v/>
      </c>
      <c r="CT24" s="144" t="str">
        <f t="array" ref="CT24">IFERROR(INDEX(Skill!$D:$D, MATCH(CT$4, Skill!$C:$C, 0), 1), "")</f>
        <v/>
      </c>
      <c r="CU24" s="147" t="str">
        <f t="array" ref="CU24">IFERROR(INDEX(Skill!$D:$D, MATCH(CU$4, Skill!$C:$C, 0), 1), "")</f>
        <v/>
      </c>
      <c r="CV24" s="147" t="str">
        <f t="array" ref="CV24">IFERROR(INDEX(Skill!$D:$D, MATCH(CV$4, Skill!$C:$C, 0), 1), "")</f>
        <v/>
      </c>
      <c r="CW24" s="147" t="str">
        <f t="array" ref="CW24">IFERROR(INDEX(Skill!$D:$D, MATCH(CW$4, Skill!$C:$C, 0), 1), "")</f>
        <v/>
      </c>
      <c r="CX24" s="147" t="str">
        <f t="array" ref="CX24">IFERROR(INDEX(Skill!$D:$D, MATCH(CX$4, Skill!$C:$C, 0), 1), "")</f>
        <v/>
      </c>
      <c r="CY24" s="147" t="str">
        <f t="array" ref="CY24">IFERROR(INDEX(Skill!$D:$D, MATCH(CY$4, Skill!$C:$C, 0), 1), "")</f>
        <v/>
      </c>
      <c r="CZ24" s="147" t="str">
        <f t="array" ref="CZ24">IFERROR(INDEX(Skill!$D:$D, MATCH(CZ$4, Skill!$C:$C, 0), 1), "")</f>
        <v/>
      </c>
      <c r="DA24" s="147" t="str">
        <f t="array" ref="DA24">IFERROR(INDEX(Skill!$D:$D, MATCH(DA$4, Skill!$C:$C, 0), 1), "")</f>
        <v/>
      </c>
      <c r="DB24" s="147" t="str">
        <f t="array" ref="DB24">IFERROR(INDEX(Skill!$D:$D, MATCH(DB$4, Skill!$C:$C, 0), 1), "")</f>
        <v/>
      </c>
      <c r="DC24" s="147" t="str">
        <f t="array" ref="DC24">IFERROR(INDEX(Skill!$D:$D, MATCH(DC$4, Skill!$C:$C, 0), 1), "")</f>
        <v/>
      </c>
      <c r="DD24" s="147" t="str">
        <f t="array" ref="DD24">IFERROR(INDEX(Skill!$D:$D, MATCH(DD$4, Skill!$C:$C, 0), 1), "")</f>
        <v/>
      </c>
      <c r="DE24" s="147" t="str">
        <f t="array" ref="DE24">IFERROR(INDEX(Skill!$D:$D, MATCH(DE$4, Skill!$C:$C, 0), 1), "")</f>
        <v/>
      </c>
      <c r="DF24" s="147" t="str">
        <f t="array" ref="DF24">IFERROR(INDEX(Skill!$D:$D, MATCH(DF$4, Skill!$C:$C, 0), 1), "")</f>
        <v/>
      </c>
      <c r="DG24" s="147" t="str">
        <f t="array" ref="DG24">IFERROR(INDEX(Skill!$D:$D, MATCH(DG$4, Skill!$C:$C, 0), 1), "")</f>
        <v/>
      </c>
      <c r="DH24" s="147" t="str">
        <f t="array" ref="DH24">IFERROR(INDEX(Skill!$D:$D, MATCH(DH$4, Skill!$C:$C, 0), 1), "")</f>
        <v/>
      </c>
      <c r="DI24" s="149" t="str">
        <f>IMAGE("http://drive.google.com/uc?export=view&amp;id=1FcMZkz9P-d2sGOIP9AD8bApVpM0bcRKd")</f>
        <v/>
      </c>
      <c r="DJ24" s="150" t="str">
        <f t="array" ref="DJ24">IFERROR(INDEX(Skill!$D:$D, MATCH(DJ$4, Skill!$C:$C, 0), 1), "")</f>
        <v/>
      </c>
      <c r="DK24" s="151" t="str">
        <f t="array" ref="DK24">IFERROR(INDEX(Skill!$D:$D, MATCH(DK$4, Skill!$C:$C, 0), 1), "")</f>
        <v/>
      </c>
      <c r="DL24" s="127" t="str">
        <f t="array" ref="DL24">IFERROR(INDEX(Skill!$D:$D, MATCH(DL$4, Skill!$C:$C, 0), 1), "")</f>
        <v/>
      </c>
      <c r="DM24" s="127" t="str">
        <f t="array" ref="DM24">IFERROR(INDEX(Skill!$D:$D, MATCH(DM$4, Skill!$C:$C, 0), 1), "")</f>
        <v/>
      </c>
      <c r="DN24" s="127" t="str">
        <f t="array" ref="DN24">IFERROR(INDEX(Skill!$D:$D, MATCH(DN$4, Skill!$C:$C, 0), 1), "")</f>
        <v/>
      </c>
      <c r="DO24" s="127" t="str">
        <f t="array" ref="DO24">IFERROR(INDEX(Skill!$D:$D, MATCH(DO$4, Skill!$C:$C, 0), 1), "")</f>
        <v/>
      </c>
      <c r="DP24" s="127" t="str">
        <f t="array" ref="DP24">IFERROR(INDEX(Skill!$D:$D, MATCH(DP$4, Skill!$C:$C, 0), 1), "")</f>
        <v/>
      </c>
      <c r="DQ24" s="152" t="str">
        <f t="array" ref="DQ24">IFERROR(INDEX(Skill!$D:$D, MATCH(DQ$4, Skill!$C:$C, 0), 1), "")</f>
        <v/>
      </c>
      <c r="DR24" s="153" t="str">
        <f t="array" ref="DR24">IFERROR(INDEX(Skill!$D:$D, MATCH(DR$4, Skill!$C:$C, 0), 1), "")</f>
        <v/>
      </c>
      <c r="DS24" s="152" t="str">
        <f t="array" ref="DS24">IFERROR(INDEX(Skill!$D:$D, MATCH(DS$4, Skill!$C:$C, 0), 1), "")</f>
        <v/>
      </c>
      <c r="DT24" s="153" t="str">
        <f t="array" ref="DT24">IFERROR(INDEX(Skill!$D:$D, MATCH(DT$4, Skill!$C:$C, 0), 1), "")</f>
        <v/>
      </c>
      <c r="DU24" s="152" t="str">
        <f t="array" ref="DU24">IFERROR(INDEX(Skill!$D:$D, MATCH(DU$4, Skill!$C:$C, 0), 1), "")</f>
        <v/>
      </c>
      <c r="DV24" s="153" t="str">
        <f t="array" ref="DV24">IFERROR(INDEX(Skill!$D:$D, MATCH(DV$4, Skill!$C:$C, 0), 1), "")</f>
        <v/>
      </c>
      <c r="DW24" s="129" t="str">
        <f t="array" ref="DW24">IFERROR(INDEX(Skill!$D:$D, MATCH(DW$4, Skill!$C:$C, 0), 1), "")</f>
        <v/>
      </c>
      <c r="DX24" s="129" t="str">
        <f t="array" ref="DX24">IFERROR(INDEX(Skill!$D:$D, MATCH(DX$4, Skill!$C:$C, 0), 1), "")</f>
        <v/>
      </c>
      <c r="DY24" s="154" t="str">
        <f t="array" ref="DY24">IFERROR(INDEX(Skill!$D:$D, MATCH(DY$4, Skill!$C:$C, 0), 1), "")</f>
        <v/>
      </c>
      <c r="DZ24" s="155" t="str">
        <f t="array" ref="DZ24">IFERROR(INDEX(Skill!$D:$D, MATCH(DZ$4, Skill!$C:$C, 0), 1), "")</f>
        <v/>
      </c>
      <c r="EA24" s="154" t="str">
        <f t="array" ref="EA24">IFERROR(INDEX(Skill!$D:$D, MATCH(EA$4, Skill!$C:$C, 0), 1), "")</f>
        <v/>
      </c>
      <c r="EB24" s="154" t="str">
        <f t="array" ref="EB24">IFERROR(INDEX(Skill!$D:$D, MATCH(EB$4, Skill!$C:$C, 0), 1), "")</f>
        <v/>
      </c>
      <c r="EC24" s="154" t="str">
        <f t="array" ref="EC24">IFERROR(INDEX(Skill!$D:$D, MATCH(EC$4, Skill!$C:$C, 0), 1), "")</f>
        <v/>
      </c>
      <c r="ED24" s="125" t="str">
        <f t="array" ref="ED24">IFERROR(INDEX(Skill!$D:$D, MATCH(ED$4, Skill!$C:$C, 0), 1), "")</f>
        <v/>
      </c>
      <c r="EE24" s="156"/>
      <c r="EF24" s="132" t="s">
        <v>1068</v>
      </c>
      <c r="EG24" s="132" t="s">
        <v>1069</v>
      </c>
      <c r="EH24" s="132" t="s">
        <v>1068</v>
      </c>
      <c r="EI24" s="132" t="s">
        <v>1069</v>
      </c>
      <c r="EJ24" s="132" t="s">
        <v>1068</v>
      </c>
      <c r="EK24" s="132" t="s">
        <v>1069</v>
      </c>
      <c r="EL24" s="132" t="s">
        <v>1068</v>
      </c>
      <c r="EM24" s="132" t="s">
        <v>1069</v>
      </c>
      <c r="EN24" s="132" t="s">
        <v>1068</v>
      </c>
      <c r="EO24" s="132" t="s">
        <v>1069</v>
      </c>
      <c r="EP24" s="137"/>
      <c r="EQ24" s="122"/>
      <c r="ER24" s="157" t="s">
        <v>1065</v>
      </c>
      <c r="ES24" s="158" t="s">
        <v>1066</v>
      </c>
      <c r="ET24" s="159">
        <f>Option!$D$21</f>
        <v>142000</v>
      </c>
      <c r="EU24" s="160" t="s">
        <v>1042</v>
      </c>
      <c r="EV24" s="158" t="s">
        <v>1041</v>
      </c>
      <c r="EW24" s="158" t="s">
        <v>1052</v>
      </c>
      <c r="EX24" s="158" t="s">
        <v>1043</v>
      </c>
      <c r="EY24" s="161">
        <f>Option!$D$17</f>
        <v>225800</v>
      </c>
      <c r="EZ24" s="160" t="s">
        <v>1042</v>
      </c>
      <c r="FA24" s="158" t="s">
        <v>1041</v>
      </c>
      <c r="FB24" s="158" t="s">
        <v>1052</v>
      </c>
      <c r="FC24" s="158" t="s">
        <v>1043</v>
      </c>
      <c r="FD24" s="161">
        <f>Option!$D$18</f>
        <v>225800</v>
      </c>
      <c r="FE24" s="160" t="s">
        <v>1042</v>
      </c>
      <c r="FF24" s="158" t="s">
        <v>1041</v>
      </c>
      <c r="FG24" s="158" t="s">
        <v>1052</v>
      </c>
      <c r="FH24" s="158" t="s">
        <v>1043</v>
      </c>
      <c r="FI24" s="161">
        <f>Option!$D$19</f>
        <v>225800</v>
      </c>
      <c r="FJ24" s="160" t="s">
        <v>1042</v>
      </c>
      <c r="FK24" s="158" t="s">
        <v>1041</v>
      </c>
      <c r="FL24" s="158" t="s">
        <v>1052</v>
      </c>
      <c r="FM24" s="158" t="s">
        <v>1043</v>
      </c>
      <c r="FN24" s="161">
        <f>Option!$D$20</f>
        <v>225800</v>
      </c>
      <c r="FO24" s="162"/>
    </row>
    <row r="25" hidden="1" outlineLevel="1">
      <c r="B25" s="163"/>
      <c r="C25" s="164">
        <f t="shared" ref="C25:C46" si="1">IFERROR(C$3+D25, D25)</f>
        <v>-0.0002314814815</v>
      </c>
      <c r="D25" s="165">
        <v>-2.314814814814815E-4</v>
      </c>
      <c r="E25" s="166" t="str">
        <f>SWITCH(Option!C3, "日本語", "戦闘開始まで20秒", "English", "Battle commencing in 20 seconds!", "Deutsch", "Noch 20 Sekunden bis Kampfbeginn!", "Français", "Début du combat dans 20 secondes!", "한국어", "Battle commencing in 20 seconds!", "简体中文", "Battle commencing in 20 seconds!", "戦闘開始まで20秒")</f>
        <v>Battle commencing in 20 seconds!</v>
      </c>
      <c r="F25" s="167"/>
      <c r="G25" s="168" t="str">
        <f t="shared" ref="G25:G29" si="2">SWITCH(F25,
"Physical", image("https://xivapi.com/i/060000/060011.png"),
"Magic", image("https://xivapi.com/i/060000/060012.png"),
"Unique", image("https://xivapi.com/i/060000/060013.png"),
"")</f>
        <v/>
      </c>
      <c r="H25" s="169"/>
      <c r="I25" s="169"/>
      <c r="J25" s="169"/>
      <c r="K25" s="170" t="b">
        <v>0</v>
      </c>
      <c r="L25" s="170" t="b">
        <v>0</v>
      </c>
      <c r="M25" s="170" t="b">
        <v>0</v>
      </c>
      <c r="N25" s="171" t="s">
        <v>1070</v>
      </c>
      <c r="O25" s="172" t="b">
        <v>0</v>
      </c>
      <c r="P25" s="173" t="b">
        <v>0</v>
      </c>
      <c r="Q25" s="173" t="b">
        <v>0</v>
      </c>
      <c r="R25" s="173" t="b">
        <v>0</v>
      </c>
      <c r="S25" s="174" t="b">
        <v>0</v>
      </c>
      <c r="T25" s="175" t="b">
        <v>0</v>
      </c>
      <c r="U25" s="173" t="b">
        <v>0</v>
      </c>
      <c r="V25" s="171" t="s">
        <v>1070</v>
      </c>
      <c r="W25" s="172" t="b">
        <v>0</v>
      </c>
      <c r="X25" s="173" t="b">
        <v>0</v>
      </c>
      <c r="Y25" s="173" t="b">
        <v>0</v>
      </c>
      <c r="Z25" s="173" t="b">
        <v>0</v>
      </c>
      <c r="AA25" s="174" t="b">
        <v>0</v>
      </c>
      <c r="AB25" s="174" t="b">
        <v>0</v>
      </c>
      <c r="AC25" s="175" t="b">
        <v>0</v>
      </c>
      <c r="AD25" s="173" t="b">
        <v>0</v>
      </c>
      <c r="AE25" s="176" t="s">
        <v>1070</v>
      </c>
      <c r="AF25" s="171" t="s">
        <v>1070</v>
      </c>
      <c r="AG25" s="177">
        <f>IFERROR(__xludf.DUMMYFUNCTION("IF(
  ISNUMBER(AG24),
  MIN(MAX(
    AG24
    + MAX(
      ROUNDDOWN(($D25 - MAX(IFERROR(FILTER($D$24:$D24, AG$24:AG24 &lt;&gt; AF$6, AG$23:AG23 = AF$6), 0))) * (60 * 60 * 24) / AF$9) - ROUNDDOWN(($D24 - MAX(IFERROR(FILTER($D$23:$D23, AG$23:AG23 &lt;&gt; AF$6, AG$22:"&amp;"AG22 = AF$6), 0))) * (60 * 60 * 24) / 60),
      0
    )
    - COUNTIF(AF25, ""&lt;&gt;-""),
  0), AF$6),
  AF$6 - COUNTIF(AF25, ""&lt;&gt;-"")
)"),2.0)</f>
        <v>2</v>
      </c>
      <c r="AH25" s="173" t="b">
        <v>0</v>
      </c>
      <c r="AI25" s="173" t="b">
        <v>0</v>
      </c>
      <c r="AJ25" s="173" t="b">
        <v>0</v>
      </c>
      <c r="AK25" s="174" t="b">
        <v>0</v>
      </c>
      <c r="AL25" s="175" t="b">
        <v>0</v>
      </c>
      <c r="AM25" s="173" t="b">
        <v>0</v>
      </c>
      <c r="AN25" s="171" t="s">
        <v>1070</v>
      </c>
      <c r="AO25" s="173" t="b">
        <v>0</v>
      </c>
      <c r="AP25" s="173" t="b">
        <v>0</v>
      </c>
      <c r="AQ25" s="173" t="b">
        <v>0</v>
      </c>
      <c r="AR25" s="174" t="b">
        <v>0</v>
      </c>
      <c r="AS25" s="178" t="b">
        <v>0</v>
      </c>
      <c r="AT25" s="179" t="b">
        <v>0</v>
      </c>
      <c r="AU25" s="180" t="b">
        <v>0</v>
      </c>
      <c r="AV25" s="180" t="b">
        <v>0</v>
      </c>
      <c r="AW25" s="180" t="b">
        <v>0</v>
      </c>
      <c r="AX25" s="180" t="b">
        <v>0</v>
      </c>
      <c r="AY25" s="181" t="s">
        <v>1070</v>
      </c>
      <c r="AZ25" s="182" t="s">
        <v>1070</v>
      </c>
      <c r="BA25" s="183">
        <f>IFERROR(__xludf.DUMMYFUNCTION("IF(
  ISNUMBER(BA24),
  MIN(MAX(
    BA24
    + MAX(
      ROUNDDOWN(($D25 - MAX(IFERROR(FILTER($D$24:$D24, BA$24:BA24 &lt;&gt; AZ$6, BA$23:BA23 = AZ$6), 0))) * (60 * 60 * 24) / AZ$9) - ROUNDDOWN(($D24 - MAX(IFERROR(FILTER($D$23:$D23, BA$23:BA23 &lt;&gt; AZ$6, BA$22:"&amp;"BA22 = AZ$6), 0))) * (60 * 60 * 24) / 60),
      0
    )
    - COUNTIF(AZ25, ""&lt;&gt;-""),
  0), AZ$6),
  AZ$6 - COUNTIF(AZ25, ""&lt;&gt;-"")
)"),2.0)</f>
        <v>2</v>
      </c>
      <c r="BB25" s="181" t="s">
        <v>1070</v>
      </c>
      <c r="BC25" s="183">
        <f>IFERROR(__xludf.DUMMYFUNCTION("IF(
  ISNUMBER(BC24),
  MIN(MAX(
    BC24
    + MAX(
      ROUNDDOWN(($D25 - MAX(IFERROR(FILTER($D$24:$D24, BC$24:BC24 &lt;&gt; BB$6, BC$23:BC23 = BB$6), 0))) * (60 * 60 * 24) / BB$9) - ROUNDDOWN(($D24 - MAX(IFERROR(FILTER($D$23:$D23, BC$23:BC23 &lt;&gt; BB$6, BC$22:"&amp;"BC22 = BB$6), 0))) * (60 * 60 * 24) / 60),
      0
    )
    - COUNTIF(BB25, ""&lt;&gt;-""),
  0), BB$6),
  BB$6 - COUNTIF(BB25, ""&lt;&gt;-"")
)"),2.0)</f>
        <v>2</v>
      </c>
      <c r="BD25" s="181" t="s">
        <v>1070</v>
      </c>
      <c r="BE25" s="178" t="b">
        <v>0</v>
      </c>
      <c r="BF25" s="180" t="b">
        <v>0</v>
      </c>
      <c r="BG25" s="180" t="b">
        <v>0</v>
      </c>
      <c r="BH25" s="180" t="b">
        <v>0</v>
      </c>
      <c r="BI25" s="180" t="b">
        <v>0</v>
      </c>
      <c r="BJ25" s="180" t="b">
        <v>0</v>
      </c>
      <c r="BK25" s="180" t="b">
        <v>0</v>
      </c>
      <c r="BL25" s="180" t="b">
        <v>0</v>
      </c>
      <c r="BM25" s="180" t="b">
        <v>0</v>
      </c>
      <c r="BN25" s="180" t="b">
        <v>0</v>
      </c>
      <c r="BO25" s="181" t="s">
        <v>1070</v>
      </c>
      <c r="BP25" s="181" t="s">
        <v>1070</v>
      </c>
      <c r="BQ25" s="181" t="s">
        <v>1070</v>
      </c>
      <c r="BR25" s="181" t="s">
        <v>1070</v>
      </c>
      <c r="BS25" s="181" t="s">
        <v>1070</v>
      </c>
      <c r="BT25" s="184">
        <f>IFERROR(__xludf.DUMMYFUNCTION("IF(
  ISNUMBER(BT24),
  MIN(MAX(
    BT24
    + MAX(
      ROUNDDOWN(($D25 - MAX(IFERROR(FILTER($D$24:$D24, BT$24:BT24 &lt;&gt; BS$6, BT$23:BT23 = BS$6), 0))) * (60 * 60 * 24) / BS$9) - ROUNDDOWN(($D24 - MAX(IFERROR(FILTER($D$23:$D23, BT$23:BT23 &lt;&gt; BS$6, BT$22:"&amp;"BT22 = BS$6), 0))) * (60 * 60 * 24) / 60),
      0
    )
    - COUNTIF(BS25, ""&lt;&gt;-""),
  0), BS$6),
  BS$6 - COUNTIF(BS25, ""&lt;&gt;-"")
)"),3.0)</f>
        <v>3</v>
      </c>
      <c r="BU25" s="181" t="s">
        <v>1070</v>
      </c>
      <c r="BV25" s="181" t="s">
        <v>1070</v>
      </c>
      <c r="BW25" s="184">
        <f>IFERROR(__xludf.DUMMYFUNCTION("IF(
  ISNUMBER(BW24),
  MIN(MAX(
    BW24
    + MAX(
      ROUNDDOWN(($D25 - MAX(IFERROR(FILTER($D$24:$D24, BW$24:BW24 &lt;&gt; BV$6, BW$23:BW23 = BV$6), 0))) * (60 * 60 * 24) / BV$9) - ROUNDDOWN(($D24 - MAX(IFERROR(FILTER($D$23:$D23, BW$23:BW23 &lt;&gt; BV$6, BW$22:"&amp;"BW22 = BV$6), 0))) * (60 * 60 * 24) / 60),
      0
    )
    - COUNTIF(BV25, ""&lt;&gt;-""),
  0), BV$6),
  BV$6 - COUNTIF(BV25, ""&lt;&gt;-"")
)"),2.0)</f>
        <v>2</v>
      </c>
      <c r="BX25" s="185" t="s">
        <v>1070</v>
      </c>
      <c r="BY25" s="178" t="b">
        <v>0</v>
      </c>
      <c r="BZ25" s="180" t="b">
        <v>0</v>
      </c>
      <c r="CA25" s="180" t="b">
        <v>0</v>
      </c>
      <c r="CB25" s="180" t="b">
        <v>0</v>
      </c>
      <c r="CC25" s="180" t="b">
        <v>0</v>
      </c>
      <c r="CD25" s="180" t="b">
        <v>0</v>
      </c>
      <c r="CE25" s="180" t="b">
        <v>0</v>
      </c>
      <c r="CF25" s="180" t="b">
        <v>0</v>
      </c>
      <c r="CG25" s="180" t="b">
        <v>0</v>
      </c>
      <c r="CH25" s="180" t="b">
        <v>0</v>
      </c>
      <c r="CI25" s="180" t="b">
        <v>0</v>
      </c>
      <c r="CJ25" s="180" t="b">
        <v>0</v>
      </c>
      <c r="CK25" s="180" t="b">
        <v>0</v>
      </c>
      <c r="CL25" s="180" t="b">
        <v>0</v>
      </c>
      <c r="CM25" s="181" t="s">
        <v>1070</v>
      </c>
      <c r="CN25" s="181" t="s">
        <v>1070</v>
      </c>
      <c r="CO25" s="181" t="s">
        <v>1070</v>
      </c>
      <c r="CP25" s="181" t="s">
        <v>1070</v>
      </c>
      <c r="CQ25" s="185" t="s">
        <v>1070</v>
      </c>
      <c r="CR25" s="180" t="b">
        <v>0</v>
      </c>
      <c r="CS25" s="186" t="str">
        <f t="shared" ref="CS25:CS46" si="3">SWITCH(
    IF(OR(AND(CI25, CI24&lt;&gt;TRUE), CR25), 3, IF(ISTEXT(CS24), FIND("◇", CS24&amp;"◇") - 1, 0))
  - COUNTIFS({BZ25,CE25}, "=TRUE", {BZ24,CE24}, "&lt;&gt;TRUE")
  - COUNTIF({CN25,CQ25}, "&lt;&gt;-")
  + IF(COUNTIFS({BZ25,CE25}, "=TRUE", {BZ24,CE24}, "&lt;&gt;TRUE") + COUNTIF({CN25,CQ25}, "&lt;&gt;-"), COUNTIFS(CJ25, "=TRUE", CJ24, "&lt;&gt;TRUE"), 0),
  0, "◇◇◇", 1, "◆◇◇", 2, "◆◆◇", 3, "◆◆◆", "◇◇◇"
)</f>
        <v>◇◇◇</v>
      </c>
      <c r="CT25" s="178" t="b">
        <v>0</v>
      </c>
      <c r="CU25" s="180" t="b">
        <v>0</v>
      </c>
      <c r="CV25" s="180" t="b">
        <v>0</v>
      </c>
      <c r="CW25" s="180" t="b">
        <v>0</v>
      </c>
      <c r="CX25" s="180" t="b">
        <v>0</v>
      </c>
      <c r="CY25" s="180" t="b">
        <v>0</v>
      </c>
      <c r="CZ25" s="180" t="b">
        <v>0</v>
      </c>
      <c r="DA25" s="180" t="b">
        <v>0</v>
      </c>
      <c r="DB25" s="180" t="b">
        <v>0</v>
      </c>
      <c r="DC25" s="180" t="b">
        <v>0</v>
      </c>
      <c r="DD25" s="181" t="s">
        <v>1070</v>
      </c>
      <c r="DE25" s="181" t="s">
        <v>1070</v>
      </c>
      <c r="DF25" s="181" t="s">
        <v>1070</v>
      </c>
      <c r="DG25" s="185" t="s">
        <v>1070</v>
      </c>
      <c r="DH25" s="180" t="b">
        <v>0</v>
      </c>
      <c r="DI25" s="187" t="str">
        <f>IFERROR(__xludf.DUMMYFUNCTION("SWITCH(
  IF(
    ISTEXT(DI24),
    IF (
      FIND(""○"", DI24&amp;""○"") &gt; 3,
      3,
      FIND(""○"", DI24&amp;""○"")
      + MAX(
        ROUNDDOWN(($D25 - MAX(IFERROR(FILTER(D$24:D24, DI$24:DI24 &lt;&gt; ""●●●"", DI$23:DI23 = ""●●●""), 0))) * (60 * 60 * 24) / 20"&amp;") - ROUNDDOWN(($D24 - MAX(IFERROR(FILTER(D$23:D23, DI$23:DI23 &lt;&gt; ""●●●"", DI$22:DI22 = ""●●●""), 0))) * (60 * 60 * 24) / 20),
        0
      ) - 1
    ) - COUNTIFS(CU25, ""=TRUE"", CU24, ""&lt;&gt;TRUE"") - COUNTIF(CZ25, ""=TRUE"") - COUNTIF({DD25,DE25}, ""&lt;&gt;-"&amp;""") + COUNTIF(DH25, ""=TRUE""),
    3
  ),
  0, ""○○○"", 1, ""●○○"", 2, ""●●○"", 3, ""●●●"", 4, ""●●●"", ""○○○""
)"),"●●●")</f>
        <v>●●●</v>
      </c>
      <c r="DJ25" s="188" t="b">
        <v>0</v>
      </c>
      <c r="DK25" s="189" t="b">
        <v>0</v>
      </c>
      <c r="DL25" s="190" t="b">
        <v>0</v>
      </c>
      <c r="DM25" s="190" t="b">
        <v>0</v>
      </c>
      <c r="DN25" s="190" t="b">
        <v>0</v>
      </c>
      <c r="DO25" s="190" t="b">
        <v>0</v>
      </c>
      <c r="DP25" s="190" t="b">
        <v>0</v>
      </c>
      <c r="DQ25" s="191" t="b">
        <v>0</v>
      </c>
      <c r="DR25" s="192" t="b">
        <v>0</v>
      </c>
      <c r="DS25" s="191" t="b">
        <v>0</v>
      </c>
      <c r="DT25" s="192" t="b">
        <v>0</v>
      </c>
      <c r="DU25" s="191" t="b">
        <v>0</v>
      </c>
      <c r="DV25" s="193" t="s">
        <v>1070</v>
      </c>
      <c r="DW25" s="194" t="b">
        <v>0</v>
      </c>
      <c r="DX25" s="194" t="b">
        <v>0</v>
      </c>
      <c r="DY25" s="195" t="b">
        <v>0</v>
      </c>
      <c r="DZ25" s="196" t="b">
        <v>0</v>
      </c>
      <c r="EA25" s="195" t="b">
        <v>0</v>
      </c>
      <c r="EB25" s="197" t="b">
        <v>0</v>
      </c>
      <c r="EC25" s="197" t="b">
        <v>0</v>
      </c>
      <c r="ED25" s="198" t="b">
        <v>0</v>
      </c>
      <c r="EE25" s="199">
        <f>IFERROR(__xludf.DUMMYFUNCTION("IFERROR(
   PRODUCT(
     MAP(
       INDEX(TRANSPOSE(UNIQUE(TRANSPOSE(FILTER({IF($F25=""Physical"", K$10:ED$10, IF($F25=""Magic"", K$11:ED$11, K$12:ED$12));K$4:ED$4;K25:ED25}, K25:ED25=TRUE)))), 1, 0),
       INDEX(TRANSPOSE(UNIQUE(TRANSPOSE(FILTER({IF($"&amp;"F25=""Physical"", K$18:ED$18, IF($F25=""Magic"", K$19:ED$19, K$20:ED$20));K$4:ED$4;K25:ED25}, K25:ED25=TRUE)))), 1, 0),
       INDEX(TRANSPOSE(UNIQUE(TRANSPOSE(FILTER({K$5:ED$5;K$4:ED$4;K25:ED25}, K25:ED25=TRUE)))), 1, 0),
       INDEX(TRANSPOSE(UNIQUE(TR"&amp;"ANSPOSE(FILTER({K$17:ED$17;K$4:ED$4;K25:ED25}, K25:ED25=TRUE)))), 1, 0),
       LAMBDA(
         mitigation,
         enhance,
         assign,
         precondition,
         IF(
           REGEXMATCH(assign, ""RANGE_PARTY|SINGLE_ENEMY|RANGE_ENEMY""),
  "&amp;"         IF(
             OR(ARRAYFORMULA((IF(precondition="""", FALSE, REGEXMATCH(K$4:ED$4, precondition))) * (K25:ED25=TRUE))),
             IF(ISNUMBER(enhance), enhance, 1),
             IF(ISNUMBER(mitigation), mitigation, 1)
           ),
          "&amp;" 1
         )
       )
     )
   ),
   1
 )"),1.0)</f>
        <v>1</v>
      </c>
      <c r="EF25" s="200">
        <f>IFERROR(__xludf.DUMMYFUNCTION("PRODUCT(
   MAP(
     K$14:ED$14,
     K$13:ED$13,
     K25:ED25,
     LAMBDA(
       buff,
       target,
       check,
       IF(
         AND(check=TRUE, REGEXMATCH(target, ""RANGE_AFFECTED_ALL|RANGE_EFFECTED_ALL""), ISNUMBER(buff)),
         buff,
   "&amp;"      1
       )
     )
   )
 )"),1.0)</f>
        <v>1</v>
      </c>
      <c r="EG25" s="200">
        <f>IFERROR(__xludf.DUMMYFUNCTION("PRODUCT(
   MAP(
     K$14:ED$14,
     K$13:ED$13,
     K25:ED25,
     LAMBDA(
       buff,
       target,
       check,
       IF(
         AND(check=TRUE, REGEXMATCH(target, ""RANGE_AFFECTED_GCD|RANGE_EFFECTED_GCD""), ISNUMBER(buff)),
         buff,
   "&amp;"      1
       )
     )
   )
 )"),1.0)</f>
        <v>1</v>
      </c>
      <c r="EH25" s="200">
        <f>IFERROR(__xludf.DUMMYFUNCTION("PRODUCT(
   MAP(
     K$3:ED$3,
     K$14:ED$14,
     K$13:ED$13,
     K25:ED25,
     LAMBDA(
       job,
       buff,
       target,
       check,
       IF(
         AND(check=TRUE, REGEXMATCH(target, ""SELF_EFFECTED_ALL""), ISNUMBER(buff), job=""白魔道士"""&amp;"),
         buff,
         1
       )
     )
   )
 )"),1.0)</f>
        <v>1</v>
      </c>
      <c r="EI25" s="200">
        <f>IFERROR(__xludf.DUMMYFUNCTION("PRODUCT(
   MAP(
     K$3:ED$3,
     K$14:ED$14,
     K$13:ED$13,
     K25:ED25,
     LAMBDA(
       job,
       buff,
       target,
       check,
       IF(
         AND(check=TRUE, REGEXMATCH(target, ""SELF_EFFECTED_GCD""), ISNUMBER(buff), job=""白魔道士"""&amp;"),
         buff,
         1
       )
     )
   )
 )"),1.0)</f>
        <v>1</v>
      </c>
      <c r="EJ25" s="200">
        <f>IFERROR(__xludf.DUMMYFUNCTION("PRODUCT(
   MAP(
     K$3:ED$3,
     K$14:ED$14,
     K$13:ED$13,
     K25:ED25,
     LAMBDA(
       job,
       buff,
       target,
       check,
       IF(
         AND(check=TRUE, REGEXMATCH(target, ""SELF_EFFECTED_ALL""), ISNUMBER(buff), job=""占星術師"""&amp;"),
         buff,
         1
       )
     )
   )
 )"),1.0)</f>
        <v>1</v>
      </c>
      <c r="EK25" s="200">
        <f>IFERROR(__xludf.DUMMYFUNCTION("PRODUCT(
   MAP(
     K$3:ED$3,
     K$14:ED$14,
     K$13:ED$13,
     K25:ED25,
     LAMBDA(
       job,
       buff,
       target,
       check,
       IF(
         AND(check=TRUE, REGEXMATCH(target, ""SELF_EFFECTED_GCD""), ISNUMBER(buff), job=""占星術師"""&amp;"),
         buff,
         1
       )
     )
   )
 )"),1.0)</f>
        <v>1</v>
      </c>
      <c r="EL25" s="200">
        <f>IFERROR(__xludf.DUMMYFUNCTION("PRODUCT(
   MAP(
     K$3:ED$3,
     K$14:ED$14,
     K$13:ED$13,
     K25:ED25,
     LAMBDA(
       job,
       buff,
       target,
       check,
       IF(
         AND(check=TRUE, REGEXMATCH(target, ""SELF_EFFECTED_ALL""), ISNUMBER(buff), job=""学者""),"&amp;"
         buff,
         1
       )
     )
   )
 )"),1.0)</f>
        <v>1</v>
      </c>
      <c r="EM25" s="200">
        <f>IFERROR(__xludf.DUMMYFUNCTION("PRODUCT(
   MAP(
     K$3:ED$3,
     K$14:ED$14,
     K$13:ED$13,
     K25:ED25,
     LAMBDA(
       job,
       buff,
       target,
       check,
       IF(
         AND(check=TRUE, REGEXMATCH(target, ""SELF_EFFECTED_GCD""), ISNUMBER(buff), job=""学者""),"&amp;"
         buff,
         1
       )
     )
   )
 )"),1.0)</f>
        <v>1</v>
      </c>
      <c r="EN25" s="200">
        <f>IFERROR(__xludf.DUMMYFUNCTION("PRODUCT(
   MAP(
     K$3:ED$3,
     K$14:ED$14,
     K$13:ED$13,
     K25:ED25,
     LAMBDA(
       job,
       buff,
       target,
       check,
       IF(
         AND(check=TRUE, REGEXMATCH(target, ""SELF_EFFECTED_ALL""), ISNUMBER(buff), job=""賢者""),"&amp;"
         buff,
         1
       )
     )
   )
 )"),1.0)</f>
        <v>1</v>
      </c>
      <c r="EO25" s="200">
        <f>IFERROR(__xludf.DUMMYFUNCTION("PRODUCT(
   MAP(
     K$3:ED$3,
     K$14:ED$14,
     K$13:ED$13,
     K25:ED25,
     LAMBDA(
       job,
       buff,
       target,
       check,
       IF(
         AND(check=TRUE, REGEXMATCH(target, ""SELF_EFFECTED_GCD""), ISNUMBER(buff), job=""賢者""),"&amp;"
         buff,
         1
       )
     )
   )
 )"),1.0)</f>
        <v>1</v>
      </c>
      <c r="EP25" s="201">
        <f t="shared" ref="EP25:EP46" si="4">H25*EE25</f>
        <v>0</v>
      </c>
      <c r="EQ25" s="201">
        <f>IFERROR(__xludf.DUMMYFUNCTION("SUM(
   MAP(
     K$4:ED$4,
     K$3:ED$3,
     K$7:ED$7,
     K$15:ED$15,
     K$16:ED$16,
     K$21:ED$21,
     K$5:ED$5,
     K$17:ED$17,
     K25:ED25,
     LAMBDA(
       name,
       job,
       abillity,
       buff,
       barrier,
       enhance,"&amp;"
       assign,
       precondition,
       check,
       SWITCH(
         name,
         ""シェイクオフ"", IF(check=TRUE, buff + (0.02 * COUNTIF(ARRAYFORMULA((REGEXMATCH($K$4:$ED$4, ""スリル・オブ・バトル|ヴェンジェンス|原初の血気|ダムネーション"")) * (K25:ED25=TRUE)), 1)), 0),
         "&amp;"""インプロビゼーションフィニッシュ(踊りの激情0)"", IF(ISNUMBER(check), INDEX(Skill!$AJ:$AJ, MATCH(SUBSTITUTE(DV$4, 0, check), Skill!$C:$C, 0)), 0),
         IF(
           AND(check=TRUE, REGEXMATCH(assign, ""RANGE_PARTY"")),
           IF(
             OR(ARRAYFORMULA((IF(pr"&amp;"econdition="""", FALSE, REGEXMATCH($K$4:$ED$4, precondition))) * (K25:ED25=TRUE))),
             enhance,
             IF(barrier="""", buff, barrier)
           ),
           0
         )
       ) *
       SWITCH(
         job,
         ""ナイト"", EY$24,
 "&amp;"        ""戦士"", FD$24,
         ""踊り子"", ET$24,
         ""ピクトマンサー"", ET$24,
         ""白魔道士"", EF25 * EH25 * IF(abillity, 1, EG25 * EI25) * (Option!$D$22 * 0.81 / 100),
         ""占星術師"", EF25 * EJ25 * IF(abillity, 1, EG25 * EK25) * (Option!$D$23 * 0.81 "&amp;"/ 100),
         ""学者"", EF25 * EL25 * IF(abillity, 1, EG25 * EM25) * (Option!$D$24 * 0.81 / 100),
         ""賢者"", EF25 * EN25 * IF(abillity, 1, EG25 * EO25) * (Option!$D$25 * 0.81 / 100),
         1
       )
     )
   )
 )"),0.0)</f>
        <v>0</v>
      </c>
      <c r="ER25" s="202">
        <f t="shared" ref="ER25:ER46" si="5">IF(EP25 &lt; EQ25, 0, EP25 - EQ25)</f>
        <v>0</v>
      </c>
      <c r="ES25" s="203">
        <f t="shared" ref="ES25:ES46" si="6">I25*J25*EE25</f>
        <v>0</v>
      </c>
      <c r="ET25" s="204" t="str">
        <f>IFERROR(__xludf.DUMMYFUNCTION("IFS(
  EP25 &gt; $ET$24 + EQ25,
  SPARKLINE({ 1, 0 }, {""charttype"",""bar"";""max"", 1;""color1"",Option!$D$30;""color2"",Option!$D$30}),
  EP25 &lt; EQ25,
  SPARKLINE({EQ25 - EP25, $ET$24 - (EQ25 - EP25)}, {""charttype"",""bar"";""max"",$ET$24;""color1"",Opti"&amp;"on!$D$28;""color2"",Option!$D$29}),
  EP25 &gt;= EQ25,
  SPARKLINE({$ET$24 + EQ25 - EP25,EP25 - EQ25}, {""charttype"",""bar"";""max"",$ET$24;""color1"",Option!$D$29;""color2"",Option!$D$30})
)"),"")</f>
        <v/>
      </c>
      <c r="EU25" s="205">
        <f>IFERROR(__xludf.DUMMYFUNCTION("PRODUCT(
   MAP(
     IF($F25=""Physical"", K$10:ED$10, IF($F25=""Magic"", K$11:ED$11, K$12:ED$12)),
     IF($F25=""Physical"", K$18:ED$18, IF($F25=""Magic"", K$19:ED$19, K$20:ED$20)),
     K$3:ED$3,
     K$5:ED$5,
     K$17:ED$17,
     K25:ED25,
     LAM"&amp;"BDA(
       mitigation,
       enhance,
       job,
       assign,
       precondition,
       check,
       IF(
         OR(AND(check=TRUE, REGEXMATCH(assign, ""SELF""), job=""ナイト""), AND(check=Option!$E$13, REGEXMATCH(assign, ""SINGLE_PARTY""))),
      "&amp;"   IF(
           OR(ARRAYFORMULA((IF(precondition="""", FALSE, REGEXMATCH($K$4:$ED$4, precondition))) * (K25:ED25=TRUE))),
           enhance,
           mitigation
         ),
         1
       )
     )
   )
 ) * EE25"),1.0)</f>
        <v>1</v>
      </c>
      <c r="EV25" s="206">
        <f t="shared" ref="EV25:EV46" si="7">H25 * EU25 * 0.8</f>
        <v>0</v>
      </c>
      <c r="EW25" s="205">
        <f>IFERROR(__xludf.DUMMYFUNCTION("PRODUCT(
   MAP(
     K$3:ED$3,
     K$14:ED$14,
     K$13:ED$13,
     K25:ED25,
     LAMBDA(
       job,
       buff,
       target,
       check,
       IF(
         OR(AND(check=TRUE, REGEXMATCH(target, ""SELF_AFFECTED_ALL""), job=""ナイト""), AND(check=O"&amp;"ption!$E$13, REGEXMATCH(target, ""SINGLE_AFFECTED_ALL""))),
         buff,
         1
       )
     )
   )
 )"),1.0)</f>
        <v>1</v>
      </c>
      <c r="EX25" s="206">
        <f>IFERROR(__xludf.DUMMYFUNCTION("SUM(
   MAP(
     K$3:ED$3,
     K$7:ED$7,
     K$15:ED$15,
     K$16:ED$16,
     K$21:ED$21,
     K$5:ED$5,
     K$17:ED$17,
     K25:ED25,
     LAMBDA(
       job,
       abillity,
       buff,
       barrier,
       enhance,
       assign,
       preco"&amp;"ndition,
       check,
       IF(
         OR(AND(check=TRUE, REGEXMATCH(assign, ""SELF""), job=""ナイト""), AND(check=Option!$E$13, REGEXMATCH(assign, ""SINGLE_PARTY""))),
         IF(
           OR(ARRAYFORMULA((IF(precondition="""", FALSE, REGEXMATCH($K$4"&amp;":$ED$4, precondition))) * (K25:ED25=TRUE))),
           enhance,
           IF(barrier="""", buff, barrier)
         ),
         0
       ) *
       SWITCH(
         job,
         ""暗黒騎士"", EY$24,
         ""白魔道士"", EF25 * EH25 * EW25 * IF(abillity, 1, EG"&amp;"25 * EI25) * (Option!$D$22 * 0.81 / 100),
         ""占星術師"", EF25 * EJ25 * EW25 * IF(abillity, 1, EG25 * EK25) * (Option!$D$23 * 0.81 / 100),
         ""学者"", EF25 * EL25 * EW25 * IF(abillity, 1, EG25 * EM25) * (Option!$D$24 * 0.81 / 100),
         ""賢者"""&amp;", EF25 * EN25 * EW25 * IF(abillity, 1, EG25 * EO25) * (Option!$D$25 * 0.81 / 100),
         1
       )
     )
   )
 ) + EQ25"),0.0)</f>
        <v>0</v>
      </c>
      <c r="EY25" s="206">
        <f t="shared" ref="EY25:EY46" si="8">MAX(EV25 - EX25, 0)</f>
        <v>0</v>
      </c>
      <c r="EZ25" s="205">
        <f>IFERROR(__xludf.DUMMYFUNCTION("PRODUCT(
   MAP(
     IF($F25=""Physical"", K$10:ED$10, IF($F25=""Magic"", K$11:ED$11, K$12:ED$12)),
     IF($F25=""Physical"", K$18:ED$18, IF($F25=""Magic"", K$19:ED$19, K$20:ED$20)),
     K$3:ED$3,
     K$5:ED$5,
     K$17:ED$17,
     K25:ED25,
     LAM"&amp;"BDA(
       mitigation,
       enhance,
       job,
       assign,
       precondition,
       check,
       IF(
         OR(AND(check=TRUE, REGEXMATCH(assign, ""SELF""), job=""戦士""), AND(check=Option!$F$13, REGEXMATCH(assign, ""SINGLE_PARTY""))),
       "&amp;"  IF(
           OR(ARRAYFORMULA((IF(precondition="""", FALSE, REGEXMATCH($K$4:$ED$4, precondition))) * (K25:ED25=TRUE))),
           enhance,
           mitigation
         ),
         1
       )
     )
   )
 ) * EE25"),1.0)</f>
        <v>1</v>
      </c>
      <c r="FA25" s="206">
        <f t="shared" ref="FA25:FA46" si="9">H25 * EZ25 * 0.8</f>
        <v>0</v>
      </c>
      <c r="FB25" s="205">
        <f>IFERROR(__xludf.DUMMYFUNCTION("PRODUCT(
   MAP(
     K$3:ED$3,
     K$14:ED$14,
     K$13:ED$13,
     K25:ED25,
     LAMBDA(
       job,
       buff,
       target,
       check,
       IF(
         OR(AND(check=TRUE, REGEXMATCH(target, ""SELF_AFFECTED_ALL""), job=""戦士""), AND(check=Op"&amp;"tion!$F$13, REGEXMATCH(target, ""SINGLE_AFFECTED_ALL""))),
         buff,
         1
       )
     )
   )
 )"),1.0)</f>
        <v>1</v>
      </c>
      <c r="FC25" s="206">
        <f>IFERROR(__xludf.DUMMYFUNCTION("SUM(
   MAP(
     K$3:ED$3,
     K$7:ED$7,
     K$15:ED$15,
     K$16:ED$16,
     K$21:ED$21,
     K$5:ED$5,
     K$17:ED$17,
     K25:ED25,
     LAMBDA(
       job,
       abillity,
       buff,
       barrier,
       enhance,
       assign,
       preco"&amp;"ndition,
       check,
       IF(
         OR(AND(check=TRUE, REGEXMATCH(assign, ""SELF""), job=""戦士""), AND(check=Option!$F$13, REGEXMATCH(assign, ""SINGLE_PARTY""))),
         IF(
           OR(ARRAYFORMULA((IF(precondition="""", FALSE, REGEXMATCH($K$4:"&amp;"$ED$4, precondition))) * (K25:ED25=TRUE))),
           enhance,
           IF(barrier="""", buff, barrier)
         ),
         0
       ) *
       SWITCH(
         job,
         ""暗黒騎士"", FD$24,
         ""白魔道士"", EF25 * EH25 * FB25 * IF(abillity, 1, EG2"&amp;"5 * EI25) * (Option!$D$22 * 0.81 / 100),
         ""占星術師"", EF25 * EJ25 * FFB25 * IF(abillity, 1, EG25 * EK25) * (Option!$D$23 * 0.81 / 100),
         ""学者"", EF25 * EL25 * FB25 * IF(abillity, 1, EG25 * EM25) * (Option!$D$24 * 0.81 / 100),
         ""賢者"""&amp;", EF25 * EN25 * FB25 * IF(abillity, 1, EG25 * EO25) * (Option!$D$25 * 0.81 / 100),
         1
       )
     )
   )
 ) + EQ25"),0.0)</f>
        <v>0</v>
      </c>
      <c r="FD25" s="206">
        <f t="shared" ref="FD25:FD46" si="10">MAX(FA25 - FC25, 0)</f>
        <v>0</v>
      </c>
      <c r="FE25" s="205">
        <f>IFERROR(__xludf.DUMMYFUNCTION("PRODUCT(
   MAP(
     IF($F25=""Physical"", K$10:ED$10, IF($F25=""Magic"", K$11:ED$11, K$12:ED$12)),
     IF($F25=""Physical"", K$18:ED$18, IF($F25=""Magic"", K$19:ED$19, K$20:ED$20)),
     K$3:ED$3,
     K$5:ED$5,
     K$17:ED$17,
     K25:ED25,
     LAM"&amp;"BDA(
       mitigation,
       enhance,
       job,
       assign,
       precondition,
       check,
       IF(
         OR(AND(check=TRUE, REGEXMATCH(assign, ""SELF""), job=""暗黒騎士""), AND(check=Option!$G$13, REGEXMATCH(assign, ""SINGLE_PARTY""))),
     "&amp;"    IF(
           OR(ARRAYFORMULA((IF(precondition="""", FALSE, REGEXMATCH($K$4:$ED$4, precondition))) * (K25:ED25=TRUE))),
           enhance,
           mitigation
         ),
         1
       )
     )
   )
 ) * EE25"),1.0)</f>
        <v>1</v>
      </c>
      <c r="FF25" s="206">
        <f t="shared" ref="FF25:FF46" si="11">H25 * FE25 * 0.8</f>
        <v>0</v>
      </c>
      <c r="FG25" s="205">
        <f>IFERROR(__xludf.DUMMYFUNCTION("PRODUCT(
   MAP(
     K$3:ED$3,
     K$14:ED$14,
     K$13:ED$13,
     K25:ED25,
     LAMBDA(
       job,
       buff,
       target,
       check,
       IF(
         OR(AND(check=TRUE, REGEXMATCH(target, ""SELF_AFFECTED_ALL""), job=""暗黒騎士""), AND(check="&amp;"Option!$G$13, REGEXMATCH(target, ""SINGLE_AFFECTED_ALL""))),
         buff,
         1
       )
     )
   )
 )"),1.0)</f>
        <v>1</v>
      </c>
      <c r="FH25" s="206">
        <f>IFERROR(__xludf.DUMMYFUNCTION("SUM(
   MAP(
     K$3:ED$3,
     K$7:ED$7,
     K$15:ED$15,
     K$16:ED$16,
     K$21:ED$21,
     K$5:ED$5,
     K$17:ED$17,
     K25:ED25,
     LAMBDA(
       job,
       abillity,
       buff,
       barrier,
       enhance,
       assign,
       preco"&amp;"ndition,
       check,
       IF(
         OR(AND(check=TRUE, REGEXMATCH(assign, ""SELF""), job=""暗黒騎士""), AND(check=Option!$G$13, REGEXMATCH(assign, ""SINGLE_PARTY""))),
         IF(
           OR(ARRAYFORMULA((IF(precondition="""", FALSE, REGEXMATCH($K$"&amp;"4:$ED$4, precondition))) * (K25:ED25=TRUE))),
           enhance,
           IF(barrier="""", buff, barrier)
         ),
         0
       ) *
       SWITCH(
         job,
         ""暗黒騎士"", FI$24,
         ""白魔道士"", EF25 * EH25 * FG25 * IF(abillity, 1, E"&amp;"G25 * EI25) * (Option!$D$22 * 0.81 / 100),
         ""占星術師"", EF25 * EJ25 * FG25 * IF(abillity, 1, EG25 * EK25) * (Option!$D$23 * 0.81 / 100),
         ""学者"", EF25 * EL25 * FG25 * IF(abillity, 1, EG25 * EM25) * (Option!$D$24 * 0.81 / 100),
         ""賢者"&amp;""", EF25 * EN25 * FG25 * IF(abillity, 1, EG25 * EO25) * (Option!$D$25 * 0.81 / 100),
         1
       )
     )
   )
 ) + EQ25"),0.0)</f>
        <v>0</v>
      </c>
      <c r="FI25" s="206">
        <f t="shared" ref="FI25:FI46" si="12">MAX(FF25 - FH25, 0)</f>
        <v>0</v>
      </c>
      <c r="FJ25" s="205">
        <f>IFERROR(__xludf.DUMMYFUNCTION("PRODUCT(
   MAP(
     IF($F25=""Physical"", K$10:ED$10, IF($F25=""Magic"", K$11:ED$11, K$12:ED$12)),
     IF($F25=""Physical"", K$18:ED$18, IF($F25=""Magic"", K$19:ED$19, K$20:ED$20)),
     K$3:ED$3,
     K$5:ED$5,
     K$17:ED$17,
     K25:ED25,
     LAM"&amp;"BDA(
       mitigation,
       enhance,
       job,
       assign,
       precondition,
       check,
       IF(
         OR(AND(check=TRUE, REGEXMATCH(assign, ""SELF""), job=""ガンブレイカー""), AND(check=Option!$H$13, REGEXMATCH(assign, ""SINGLE_PARTY""))),
  "&amp;"       IF(
           OR(ARRAYFORMULA((IF(precondition="""", FALSE, REGEXMATCH($K$4:$ED$4, precondition))) * (K25:ED25=TRUE))),
           enhance,
           mitigation
         ),
         1
       )
     )
   )
 ) * EE25"),1.0)</f>
        <v>1</v>
      </c>
      <c r="FK25" s="206">
        <f t="shared" ref="FK25:FK46" si="13">H25 * FJ25 * 0.8</f>
        <v>0</v>
      </c>
      <c r="FL25" s="205">
        <f>IFERROR(__xludf.DUMMYFUNCTION("PRODUCT(
   MAP(
     K$3:ED$3,
     K$14:ED$14,
     K$13:ED$13,
     K25:ED25,
     LAMBDA(
       job,
       buff,
       target,
       check,
       IF(
         OR(AND(check=TRUE, REGEXMATCH(target, ""SELF_AFFECTED_ALL""), job=""ガンブレイカー""), AND(che"&amp;"ck=Option!$H$13, REGEXMATCH(target, ""SINGLE_AFFECTED_ALL""))),
         buff,
         1
       )
     )
   )
 )"),1.0)</f>
        <v>1</v>
      </c>
      <c r="FM25" s="206">
        <f>IFERROR(__xludf.DUMMYFUNCTION("SUM(
   MAP(
     K$3:ED$3,
     K$7:ED$7,
     K$15:ED$15,
     K$16:ED$16,
     K$21:ED$21,
     K$5:ED$5,
     K$17:ED$17,
     K25:ED25,
     LAMBDA(
       job,
       abillity,
       buff,
       barrier,
       enhance,
       assign,
       preco"&amp;"ndition,
       check,
       IF(
         OR(AND(check=TRUE, REGEXMATCH(assign, ""SELF""), job=""ガンブレイカー""), AND(check=Option!$H$13, REGEXMATCH(assign, ""SINGLE_PARTY""))),
         IF(
           OR(ARRAYFORMULA((IF(precondition="""", FALSE, REGEXMATCH("&amp;"$K$4:$ED$4, precondition))) * (K25:ED25=TRUE))),
           enhance,
           IF(barrier="""", buff, barrier)
         ),
         0
       ) *
       SWITCH(
         job,
         ""暗黒騎士"", FN$24,
         ""白魔道士"", EF25 * EH25 * FL25 * IF(abillity, 1"&amp;", EG25 * EI25) * (Option!$D$22 * 0.81 / 100),
         ""占星術師"", EF25 * EJ25 * FL25 * IF(abillity, 1, EG25 * EK25) * (Option!$D$23 * 0.81 / 100),
         ""学者"", EF25 * EL25 * FL25 * IF(abillity, 1, EG25 * EM25) * (Option!$D$24 * 0.81 / 100),
         """&amp;"賢者"", EF25 * EN25 * FL25 * IF(abillity, 1, EG25 * EO25) * (Option!$D$25 * 0.81 / 100),
         1
       )
     )
   )
 ) + EQ25"),0.0)</f>
        <v>0</v>
      </c>
      <c r="FN25" s="206">
        <f t="shared" ref="FN25:FN46" si="14">MAX(FK25 - FM25, 0)</f>
        <v>0</v>
      </c>
      <c r="FO25" s="207"/>
    </row>
    <row r="26" hidden="1" outlineLevel="1">
      <c r="B26" s="208"/>
      <c r="C26" s="209">
        <f t="shared" si="1"/>
        <v>-0.0001736111111</v>
      </c>
      <c r="D26" s="210">
        <v>-1.7361111111111112E-4</v>
      </c>
      <c r="E26" s="211" t="str">
        <f>SWITCH(Option!C3, "日本語", "戦闘開始まで15秒", "English", "Battle commencing in 15 seconds!", "Deutsch", "Noch 15 Sekunden!", "Français", "Début du combat dans 15 secondes!", "한국어", "Battle commencing in 15 seconds!", "简体中文", "Battle commencing in 15 seconds!", "戦闘開始まで15秒")</f>
        <v>Battle commencing in 15 seconds!</v>
      </c>
      <c r="F26" s="167"/>
      <c r="G26" s="168" t="str">
        <f t="shared" si="2"/>
        <v/>
      </c>
      <c r="H26" s="169"/>
      <c r="I26" s="169"/>
      <c r="J26" s="169"/>
      <c r="K26" s="170" t="b">
        <v>0</v>
      </c>
      <c r="L26" s="170" t="b">
        <v>0</v>
      </c>
      <c r="M26" s="170" t="b">
        <v>0</v>
      </c>
      <c r="N26" s="171" t="s">
        <v>1070</v>
      </c>
      <c r="O26" s="172" t="b">
        <v>0</v>
      </c>
      <c r="P26" s="173" t="b">
        <v>0</v>
      </c>
      <c r="Q26" s="173" t="b">
        <v>0</v>
      </c>
      <c r="R26" s="173" t="b">
        <v>0</v>
      </c>
      <c r="S26" s="174" t="b">
        <v>0</v>
      </c>
      <c r="T26" s="175" t="b">
        <v>0</v>
      </c>
      <c r="U26" s="173" t="b">
        <v>0</v>
      </c>
      <c r="V26" s="171" t="s">
        <v>1070</v>
      </c>
      <c r="W26" s="172" t="b">
        <v>0</v>
      </c>
      <c r="X26" s="173" t="b">
        <v>0</v>
      </c>
      <c r="Y26" s="173" t="b">
        <v>0</v>
      </c>
      <c r="Z26" s="173" t="b">
        <v>0</v>
      </c>
      <c r="AA26" s="174" t="b">
        <v>0</v>
      </c>
      <c r="AB26" s="174" t="b">
        <v>0</v>
      </c>
      <c r="AC26" s="175" t="b">
        <v>0</v>
      </c>
      <c r="AD26" s="173" t="b">
        <v>0</v>
      </c>
      <c r="AE26" s="176" t="s">
        <v>1070</v>
      </c>
      <c r="AF26" s="171" t="s">
        <v>1070</v>
      </c>
      <c r="AG26" s="177">
        <f>IFERROR(__xludf.DUMMYFUNCTION("IF(
  ISNUMBER(AG25),
  MIN(MAX(
    AG25
    + MAX(
      ROUNDDOWN(($D26 - MAX(IFERROR(FILTER($D$24:$D25, AG$24:AG25 &lt;&gt; AF$6, AG$23:AG24 = AF$6), 0))) * (60 * 60 * 24) / AF$9) - ROUNDDOWN(($D25 - MAX(IFERROR(FILTER($D$23:$D24, AG$23:AG24 &lt;&gt; AF$6, AG$22:"&amp;"AG23 = AF$6), 0))) * (60 * 60 * 24) / 60),
      0
    )
    - COUNTIF(AF26, ""&lt;&gt;-""),
  0), AF$6),
  AF$6 - COUNTIF(AF26, ""&lt;&gt;-"")
)"),2.0)</f>
        <v>2</v>
      </c>
      <c r="AH26" s="173" t="b">
        <v>0</v>
      </c>
      <c r="AI26" s="173" t="b">
        <v>0</v>
      </c>
      <c r="AJ26" s="173" t="b">
        <v>0</v>
      </c>
      <c r="AK26" s="174" t="b">
        <v>0</v>
      </c>
      <c r="AL26" s="175" t="b">
        <v>0</v>
      </c>
      <c r="AM26" s="173" t="b">
        <v>0</v>
      </c>
      <c r="AN26" s="171" t="s">
        <v>1070</v>
      </c>
      <c r="AO26" s="173" t="b">
        <v>0</v>
      </c>
      <c r="AP26" s="173" t="b">
        <v>0</v>
      </c>
      <c r="AQ26" s="173" t="b">
        <v>0</v>
      </c>
      <c r="AR26" s="174" t="b">
        <v>0</v>
      </c>
      <c r="AS26" s="178" t="b">
        <v>0</v>
      </c>
      <c r="AT26" s="179" t="b">
        <v>0</v>
      </c>
      <c r="AU26" s="180" t="b">
        <v>0</v>
      </c>
      <c r="AV26" s="180" t="b">
        <v>0</v>
      </c>
      <c r="AW26" s="180" t="b">
        <v>0</v>
      </c>
      <c r="AX26" s="180" t="b">
        <v>0</v>
      </c>
      <c r="AY26" s="181" t="s">
        <v>1070</v>
      </c>
      <c r="AZ26" s="181" t="s">
        <v>1070</v>
      </c>
      <c r="BA26" s="184">
        <f>IFERROR(__xludf.DUMMYFUNCTION("IF(
  ISNUMBER(BA25),
  MIN(MAX(
    BA25
    + MAX(
      ROUNDDOWN((D26 - MAX(IFERROR(FILTER(D$24:D25, BA$24:BA25 &lt;&gt; AZ$6, BA$23:BA24 = AZ$6), 0))) * (60 * 60 * 24) / AZ$9) - ROUNDDOWN((D25 - MAX(IFERROR(FILTER(D$23:D24, BA$23:BA24 &lt;&gt; AZ$6, BA$22:BA23 ="&amp;" AZ$6), 0))) * (60 * 60 * 24) / AZ$9),
      0
    )
    - COUNTIF(AZ26, ""&lt;&gt;-""),
  0), AZ$6),
  AZ$6 - COUNTIF(AZ26, ""&lt;&gt;-"")
)"),2.0)</f>
        <v>2</v>
      </c>
      <c r="BB26" s="181" t="s">
        <v>1070</v>
      </c>
      <c r="BC26" s="183">
        <f>IFERROR(__xludf.DUMMYFUNCTION("IF(
  ISNUMBER(BC25),
  MIN(MAX(
    BC25
    + MAX(
      ROUNDDOWN(($D26 - MAX(IFERROR(FILTER($D$24:$D25, BC$24:BC25 &lt;&gt; BB$6, BC$23:BC24 = BB$6), 0))) * (60 * 60 * 24) / BB$9) - ROUNDDOWN(($D25 - MAX(IFERROR(FILTER($D$23:$D24, BC$23:BC24 &lt;&gt; BB$6, BC$22:"&amp;"BC23 = BB$6), 0))) * (60 * 60 * 24) / 60),
      0
    )
    - COUNTIF(BB26, ""&lt;&gt;-""),
  0), BB$6),
  BB$6 - COUNTIF(BB26, ""&lt;&gt;-"")
)"),2.0)</f>
        <v>2</v>
      </c>
      <c r="BD26" s="181" t="s">
        <v>1070</v>
      </c>
      <c r="BE26" s="178" t="b">
        <v>0</v>
      </c>
      <c r="BF26" s="180" t="b">
        <v>0</v>
      </c>
      <c r="BG26" s="180" t="b">
        <v>0</v>
      </c>
      <c r="BH26" s="180" t="b">
        <v>0</v>
      </c>
      <c r="BI26" s="180" t="b">
        <v>0</v>
      </c>
      <c r="BJ26" s="180" t="b">
        <v>0</v>
      </c>
      <c r="BK26" s="180" t="b">
        <v>0</v>
      </c>
      <c r="BL26" s="180" t="b">
        <v>0</v>
      </c>
      <c r="BM26" s="180" t="b">
        <v>0</v>
      </c>
      <c r="BN26" s="180" t="b">
        <v>0</v>
      </c>
      <c r="BO26" s="181" t="s">
        <v>1070</v>
      </c>
      <c r="BP26" s="181" t="s">
        <v>1070</v>
      </c>
      <c r="BQ26" s="181" t="s">
        <v>1070</v>
      </c>
      <c r="BR26" s="181" t="s">
        <v>1070</v>
      </c>
      <c r="BS26" s="181" t="s">
        <v>1070</v>
      </c>
      <c r="BT26" s="184">
        <f>IFERROR(__xludf.DUMMYFUNCTION("IF(
  ISNUMBER(BT25),
  MIN(MAX(
    BT25
    + MAX(
      ROUNDDOWN((D26 - MAX(IFERROR(FILTER(D$24:D25, BT$24:BT25 &lt;&gt; BS$6, BT$23:BT24 = BS$6), 0))) * (60 * 60 * 24) / BS$9) - ROUNDDOWN((D25 - MAX(IFERROR(FILTER(D$23:D24, BT$23:BT24 &lt;&gt; BS$6, BT$22:BT23 ="&amp;" BS$6), 0))) * (60 * 60 * 24) / BS$9),
      0
    )
    - COUNTIF(BS26, ""&lt;&gt;-""),
  0), BS$6),
  BS$6 - COUNTIF(BS26, ""&lt;&gt;-"")
)"),3.0)</f>
        <v>3</v>
      </c>
      <c r="BU26" s="181" t="s">
        <v>1070</v>
      </c>
      <c r="BV26" s="181" t="s">
        <v>1070</v>
      </c>
      <c r="BW26" s="184">
        <f>IFERROR(__xludf.DUMMYFUNCTION("IF(
  ISNUMBER(BW25),
  MIN(MAX(
    BW25
    + MAX(
      ROUNDDOWN((D26 - MAX(IFERROR(FILTER(D$24:D25, BW$24:BW25 &lt;&gt; BV$6, BW$23:BW24 = BV$6), 0))) * (60 * 60 * 24) / BV$9) - ROUNDDOWN((D25 - MAX(IFERROR(FILTER(D$23:D24, BW$23:BW24 &lt;&gt; BV$6, BW$22:BW23 ="&amp;" BV$6), 0))) * (60 * 60 * 24) / BV$9),
      0
    )
    - COUNTIF(BV26, ""&lt;&gt;-""),
  0), BV$6),
  BV$6 - COUNTIF(BV26, ""&lt;&gt;-"")
)"),2.0)</f>
        <v>2</v>
      </c>
      <c r="BX26" s="185" t="s">
        <v>1070</v>
      </c>
      <c r="BY26" s="178" t="b">
        <v>0</v>
      </c>
      <c r="BZ26" s="180" t="b">
        <v>0</v>
      </c>
      <c r="CA26" s="180" t="b">
        <v>0</v>
      </c>
      <c r="CB26" s="180" t="b">
        <v>0</v>
      </c>
      <c r="CC26" s="180" t="b">
        <v>0</v>
      </c>
      <c r="CD26" s="180" t="b">
        <v>0</v>
      </c>
      <c r="CE26" s="180" t="b">
        <v>0</v>
      </c>
      <c r="CF26" s="180" t="b">
        <v>0</v>
      </c>
      <c r="CG26" s="180" t="b">
        <v>0</v>
      </c>
      <c r="CH26" s="180" t="b">
        <v>0</v>
      </c>
      <c r="CI26" s="180" t="b">
        <v>0</v>
      </c>
      <c r="CJ26" s="180" t="b">
        <v>0</v>
      </c>
      <c r="CK26" s="180" t="b">
        <v>0</v>
      </c>
      <c r="CL26" s="180" t="b">
        <v>0</v>
      </c>
      <c r="CM26" s="181" t="s">
        <v>1070</v>
      </c>
      <c r="CN26" s="181" t="s">
        <v>1070</v>
      </c>
      <c r="CO26" s="181" t="s">
        <v>1070</v>
      </c>
      <c r="CP26" s="181" t="s">
        <v>1070</v>
      </c>
      <c r="CQ26" s="185" t="s">
        <v>1070</v>
      </c>
      <c r="CR26" s="180" t="b">
        <v>0</v>
      </c>
      <c r="CS26" s="186" t="str">
        <f t="shared" si="3"/>
        <v>◇◇◇</v>
      </c>
      <c r="CT26" s="178" t="b">
        <v>0</v>
      </c>
      <c r="CU26" s="180" t="b">
        <v>0</v>
      </c>
      <c r="CV26" s="180" t="b">
        <v>0</v>
      </c>
      <c r="CW26" s="180" t="b">
        <v>0</v>
      </c>
      <c r="CX26" s="180" t="b">
        <v>0</v>
      </c>
      <c r="CY26" s="180" t="b">
        <v>0</v>
      </c>
      <c r="CZ26" s="180" t="b">
        <v>0</v>
      </c>
      <c r="DA26" s="180" t="b">
        <v>0</v>
      </c>
      <c r="DB26" s="180" t="b">
        <v>0</v>
      </c>
      <c r="DC26" s="180" t="b">
        <v>0</v>
      </c>
      <c r="DD26" s="181" t="s">
        <v>1070</v>
      </c>
      <c r="DE26" s="181" t="s">
        <v>1070</v>
      </c>
      <c r="DF26" s="181" t="s">
        <v>1070</v>
      </c>
      <c r="DG26" s="185" t="s">
        <v>1070</v>
      </c>
      <c r="DH26" s="180" t="b">
        <v>0</v>
      </c>
      <c r="DI26" s="187" t="str">
        <f>IFERROR(__xludf.DUMMYFUNCTION("SWITCH(
  IF(
    ISTEXT(DI25),
    IF (
      FIND(""○"", DI25&amp;""○"") &gt; 3,
      3,
      FIND(""○"", DI25&amp;""○"")
      + MAX(
        ROUNDDOWN(($D26 - MAX(IFERROR(FILTER(D$24:D25, DI$24:DI25 &lt;&gt; ""●●●"", DI$23:DI24 = ""●●●""), 0))) * (60 * 60 * 24) / 20"&amp;") - ROUNDDOWN(($D25 - MAX(IFERROR(FILTER(D$23:D24, DI$23:DI24 &lt;&gt; ""●●●"", DI$22:DI23 = ""●●●""), 0))) * (60 * 60 * 24) / 20),
        0
      ) - 1
    ) - COUNTIFS(CU26, ""=TRUE"", CU25, ""&lt;&gt;TRUE"") - COUNTIF(CZ26, ""=TRUE"") - COUNTIF({DD26,DE26}, ""&lt;&gt;-"&amp;""") + COUNTIF(DH26, ""=TRUE""),
    3
  ),
  0, ""○○○"", 1, ""●○○"", 2, ""●●○"", 3, ""●●●"", 4, ""●●●"", ""○○○""
)"),"●●●")</f>
        <v>●●●</v>
      </c>
      <c r="DJ26" s="188" t="b">
        <v>0</v>
      </c>
      <c r="DK26" s="189" t="b">
        <v>0</v>
      </c>
      <c r="DL26" s="190" t="b">
        <v>0</v>
      </c>
      <c r="DM26" s="190" t="b">
        <v>0</v>
      </c>
      <c r="DN26" s="190" t="b">
        <v>0</v>
      </c>
      <c r="DO26" s="190" t="b">
        <v>0</v>
      </c>
      <c r="DP26" s="190" t="b">
        <v>0</v>
      </c>
      <c r="DQ26" s="191" t="b">
        <v>0</v>
      </c>
      <c r="DR26" s="192" t="b">
        <v>0</v>
      </c>
      <c r="DS26" s="191" t="b">
        <v>0</v>
      </c>
      <c r="DT26" s="192" t="b">
        <v>0</v>
      </c>
      <c r="DU26" s="191" t="b">
        <v>0</v>
      </c>
      <c r="DV26" s="193" t="s">
        <v>1070</v>
      </c>
      <c r="DW26" s="194" t="b">
        <v>0</v>
      </c>
      <c r="DX26" s="194" t="b">
        <v>0</v>
      </c>
      <c r="DY26" s="195" t="b">
        <v>0</v>
      </c>
      <c r="DZ26" s="196" t="b">
        <v>0</v>
      </c>
      <c r="EA26" s="195" t="b">
        <v>0</v>
      </c>
      <c r="EB26" s="197" t="b">
        <v>0</v>
      </c>
      <c r="EC26" s="197" t="b">
        <v>0</v>
      </c>
      <c r="ED26" s="212" t="b">
        <v>0</v>
      </c>
      <c r="EE26" s="199">
        <f>IFERROR(__xludf.DUMMYFUNCTION("IFERROR(
   PRODUCT(
     MAP(
       INDEX(TRANSPOSE(UNIQUE(TRANSPOSE(FILTER({IF($F26=""Physical"", K$10:ED$10, IF($F26=""Magic"", K$11:ED$11, K$12:ED$12));K$4:ED$4;K26:ED26}, K26:ED26=TRUE)))), 1, 0),
       INDEX(TRANSPOSE(UNIQUE(TRANSPOSE(FILTER({IF($"&amp;"F26=""Physical"", K$18:ED$18, IF($F26=""Magic"", K$19:ED$19, K$20:ED$20));K$4:ED$4;K26:ED26}, K26:ED26=TRUE)))), 1, 0),
       INDEX(TRANSPOSE(UNIQUE(TRANSPOSE(FILTER({K$5:ED$5;K$4:ED$4;K26:ED26}, K26:ED26=TRUE)))), 1, 0),
       INDEX(TRANSPOSE(UNIQUE(TR"&amp;"ANSPOSE(FILTER({K$17:ED$17;K$4:ED$4;K26:ED26}, K26:ED26=TRUE)))), 1, 0),
       LAMBDA(
         mitigation,
         enhance,
         assign,
         precondition,
         IF(
           REGEXMATCH(assign, ""RANGE_PARTY|SINGLE_ENEMY|RANGE_ENEMY""),
  "&amp;"         IF(
             OR(ARRAYFORMULA((IF(precondition="""", FALSE, REGEXMATCH(K$4:ED$4, precondition))) * (K26:ED26=TRUE))),
             IF(ISNUMBER(enhance), enhance, 1),
             IF(ISNUMBER(mitigation), mitigation, 1)
           ),
          "&amp;" 1
         )
       )
     )
   ),
   1
 )"),1.0)</f>
        <v>1</v>
      </c>
      <c r="EF26" s="200">
        <f>IFERROR(__xludf.DUMMYFUNCTION("PRODUCT(
   MAP(
     K$14:ED$14,
     K$13:ED$13,
     K26:ED26,
     LAMBDA(
       buff,
       target,
       check,
       IF(
         AND(check=TRUE, REGEXMATCH(target, ""RANGE_AFFECTED_ALL|RANGE_EFFECTED_ALL""), ISNUMBER(buff)),
         buff,
   "&amp;"      1
       )
     )
   )
 )"),1.0)</f>
        <v>1</v>
      </c>
      <c r="EG26" s="200">
        <f>IFERROR(__xludf.DUMMYFUNCTION("PRODUCT(
   MAP(
     K$14:ED$14,
     K$13:ED$13,
     K26:ED26,
     LAMBDA(
       buff,
       target,
       check,
       IF(
         AND(check=TRUE, REGEXMATCH(target, ""RANGE_AFFECTED_GCD|RANGE_EFFECTED_GCD""), ISNUMBER(buff)),
         buff,
   "&amp;"      1
       )
     )
   )
 )"),1.0)</f>
        <v>1</v>
      </c>
      <c r="EH26" s="200">
        <f>IFERROR(__xludf.DUMMYFUNCTION("PRODUCT(
   MAP(
     K$3:ED$3,
     K$14:ED$14,
     K$13:ED$13,
     K26:ED26,
     LAMBDA(
       job,
       buff,
       target,
       check,
       IF(
         AND(check=TRUE, REGEXMATCH(target, ""SELF_EFFECTED_ALL""), ISNUMBER(buff), job=""白魔道士"""&amp;"),
         buff,
         1
       )
     )
   )
 )"),1.0)</f>
        <v>1</v>
      </c>
      <c r="EI26" s="200">
        <f>IFERROR(__xludf.DUMMYFUNCTION("PRODUCT(
   MAP(
     K$3:ED$3,
     K$14:ED$14,
     K$13:ED$13,
     K26:ED26,
     LAMBDA(
       job,
       buff,
       target,
       check,
       IF(
         AND(check=TRUE, REGEXMATCH(target, ""SELF_EFFECTED_GCD""), ISNUMBER(buff), job=""白魔道士"""&amp;"),
         buff,
         1
       )
     )
   )
 )"),1.0)</f>
        <v>1</v>
      </c>
      <c r="EJ26" s="200">
        <f>IFERROR(__xludf.DUMMYFUNCTION("PRODUCT(
   MAP(
     K$3:ED$3,
     K$14:ED$14,
     K$13:ED$13,
     K26:ED26,
     LAMBDA(
       job,
       buff,
       target,
       check,
       IF(
         AND(check=TRUE, REGEXMATCH(target, ""SELF_EFFECTED_ALL""), ISNUMBER(buff), job=""占星術師"""&amp;"),
         buff,
         1
       )
     )
   )
 )"),1.0)</f>
        <v>1</v>
      </c>
      <c r="EK26" s="200">
        <f>IFERROR(__xludf.DUMMYFUNCTION("PRODUCT(
   MAP(
     K$3:ED$3,
     K$14:ED$14,
     K$13:ED$13,
     K26:ED26,
     LAMBDA(
       job,
       buff,
       target,
       check,
       IF(
         AND(check=TRUE, REGEXMATCH(target, ""SELF_EFFECTED_GCD""), ISNUMBER(buff), job=""占星術師"""&amp;"),
         buff,
         1
       )
     )
   )
 )"),1.0)</f>
        <v>1</v>
      </c>
      <c r="EL26" s="200">
        <f>IFERROR(__xludf.DUMMYFUNCTION("PRODUCT(
   MAP(
     K$3:ED$3,
     K$14:ED$14,
     K$13:ED$13,
     K26:ED26,
     LAMBDA(
       job,
       buff,
       target,
       check,
       IF(
         AND(check=TRUE, REGEXMATCH(target, ""SELF_EFFECTED_ALL""), ISNUMBER(buff), job=""学者""),"&amp;"
         buff,
         1
       )
     )
   )
 )"),1.0)</f>
        <v>1</v>
      </c>
      <c r="EM26" s="200">
        <f>IFERROR(__xludf.DUMMYFUNCTION("PRODUCT(
   MAP(
     K$3:ED$3,
     K$14:ED$14,
     K$13:ED$13,
     K26:ED26,
     LAMBDA(
       job,
       buff,
       target,
       check,
       IF(
         AND(check=TRUE, REGEXMATCH(target, ""SELF_EFFECTED_GCD""), ISNUMBER(buff), job=""学者""),"&amp;"
         buff,
         1
       )
     )
   )
 )"),1.0)</f>
        <v>1</v>
      </c>
      <c r="EN26" s="200">
        <f>IFERROR(__xludf.DUMMYFUNCTION("PRODUCT(
   MAP(
     K$3:ED$3,
     K$14:ED$14,
     K$13:ED$13,
     K26:ED26,
     LAMBDA(
       job,
       buff,
       target,
       check,
       IF(
         AND(check=TRUE, REGEXMATCH(target, ""SELF_EFFECTED_ALL""), ISNUMBER(buff), job=""賢者""),"&amp;"
         buff,
         1
       )
     )
   )
 )"),1.0)</f>
        <v>1</v>
      </c>
      <c r="EO26" s="200">
        <f>IFERROR(__xludf.DUMMYFUNCTION("PRODUCT(
   MAP(
     K$3:ED$3,
     K$14:ED$14,
     K$13:ED$13,
     K26:ED26,
     LAMBDA(
       job,
       buff,
       target,
       check,
       IF(
         AND(check=TRUE, REGEXMATCH(target, ""SELF_EFFECTED_GCD""), ISNUMBER(buff), job=""賢者""),"&amp;"
         buff,
         1
       )
     )
   )
 )"),1.0)</f>
        <v>1</v>
      </c>
      <c r="EP26" s="201">
        <f t="shared" si="4"/>
        <v>0</v>
      </c>
      <c r="EQ26" s="201">
        <f>IFERROR(__xludf.DUMMYFUNCTION("SUM(
   MAP(
     K$4:ED$4,
     K$3:ED$3,
     K$7:ED$7,
     K$15:ED$15,
     K$16:ED$16,
     K$21:ED$21,
     K$5:ED$5,
     K$17:ED$17,
     K26:ED26,
     LAMBDA(
       name,
       job,
       abillity,
       buff,
       barrier,
       enhance,"&amp;"
       assign,
       precondition,
       check,
       SWITCH(
         name,
         ""シェイクオフ"", IF(check=TRUE, buff + (0.02 * COUNTIF(ARRAYFORMULA((REGEXMATCH($K$4:$ED$4, ""スリル・オブ・バトル|ヴェンジェンス|原初の血気|ダムネーション"")) * (K26:ED26=TRUE)), 1)), 0),
         "&amp;"""インプロビゼーションフィニッシュ(踊りの激情0)"", IF(ISNUMBER(check), INDEX(Skill!$AJ:$AJ, MATCH(SUBSTITUTE(DV$4, 0, check), Skill!$C:$C, 0)), 0),
         IF(
           AND(check=TRUE, REGEXMATCH(assign, ""RANGE_PARTY"")),
           IF(
             OR(ARRAYFORMULA((IF(pr"&amp;"econdition="""", FALSE, REGEXMATCH($K$4:$ED$4, precondition))) * (K26:ED26=TRUE))),
             enhance,
             IF(barrier="""", buff, barrier)
           ),
           0
         )
       ) *
       SWITCH(
         job,
         ""ナイト"", EY$24,
 "&amp;"        ""戦士"", FD$24,
         ""踊り子"", ET$24,
         ""ピクトマンサー"", ET$24,
         ""白魔道士"", EF26 * EH26 * IF(abillity, 1, EG26 * EI26) * (Option!$D$22 * 0.81 / 100),
         ""占星術師"", EF26 * EJ26 * IF(abillity, 1, EG26 * EK26) * (Option!$D$23 * 0.81 "&amp;"/ 100),
         ""学者"", EF26 * EL26 * IF(abillity, 1, EG26 * EM26) * (Option!$D$24 * 0.81 / 100),
         ""賢者"", EF26 * EN26 * IF(abillity, 1, EG26 * EO26) * (Option!$D$25 * 0.81 / 100),
         1
       )
     )
   )
 )"),0.0)</f>
        <v>0</v>
      </c>
      <c r="ER26" s="202">
        <f t="shared" si="5"/>
        <v>0</v>
      </c>
      <c r="ES26" s="203">
        <f t="shared" si="6"/>
        <v>0</v>
      </c>
      <c r="ET26" s="204" t="str">
        <f>IFERROR(__xludf.DUMMYFUNCTION("IFS(
  EP26 &gt; $ET$24 + EQ26,
  SPARKLINE({ 1, 0 }, {""charttype"",""bar"";""max"", 1;""color1"",Option!$D$30;""color2"",Option!$D$30}),
  EP26 &lt; EQ26,
  SPARKLINE({EQ26 - EP26, $ET$24 - (EQ26 - EP26)}, {""charttype"",""bar"";""max"",$ET$24;""color1"",Opti"&amp;"on!$D$28;""color2"",Option!$D$29}),
  EP26 &gt;= EQ26,
  SPARKLINE({$ET$24 + EQ26 - EP26,EP26 - EQ26}, {""charttype"",""bar"";""max"",$ET$24;""color1"",Option!$D$29;""color2"",Option!$D$30})
)"),"")</f>
        <v/>
      </c>
      <c r="EU26" s="205">
        <f>IFERROR(__xludf.DUMMYFUNCTION("PRODUCT(
   MAP(
     IF($F26=""Physical"", K$10:ED$10, IF($F26=""Magic"", K$11:ED$11, K$12:ED$12)),
     IF($F26=""Physical"", K$18:ED$18, IF($F26=""Magic"", K$19:ED$19, K$20:ED$20)),
     K$3:ED$3,
     K$5:ED$5,
     K$17:ED$17,
     K26:ED26,
     LAM"&amp;"BDA(
       mitigation,
       enhance,
       job,
       assign,
       precondition,
       check,
       IF(
         OR(AND(check=TRUE, REGEXMATCH(assign, ""SELF""), job=""ナイト""), AND(check=Option!$E$13, REGEXMATCH(assign, ""SINGLE_PARTY""))),
      "&amp;"   IF(
           OR(ARRAYFORMULA((IF(precondition="""", FALSE, REGEXMATCH($K$4:$ED$4, precondition))) * (K26:ED26=TRUE))),
           enhance,
           mitigation
         ),
         1
       )
     )
   )
 ) * EE26"),1.0)</f>
        <v>1</v>
      </c>
      <c r="EV26" s="206">
        <f t="shared" si="7"/>
        <v>0</v>
      </c>
      <c r="EW26" s="205">
        <f>IFERROR(__xludf.DUMMYFUNCTION("PRODUCT(
   MAP(
     K$3:ED$3,
     K$14:ED$14,
     K$13:ED$13,
     K26:ED26,
     LAMBDA(
       job,
       buff,
       target,
       check,
       IF(
         OR(AND(check=TRUE, REGEXMATCH(target, ""SELF_AFFECTED_ALL""), job=""ナイト""), AND(check=O"&amp;"ption!$E$13, REGEXMATCH(target, ""SINGLE_AFFECTED_ALL""))),
         buff,
         1
       )
     )
   )
 )"),1.0)</f>
        <v>1</v>
      </c>
      <c r="EX26" s="206">
        <f>IFERROR(__xludf.DUMMYFUNCTION("SUM(
   MAP(
     K$3:ED$3,
     K$7:ED$7,
     K$15:ED$15,
     K$16:ED$16,
     K$21:ED$21,
     K$5:ED$5,
     K$17:ED$17,
     K26:ED26,
     LAMBDA(
       job,
       abillity,
       buff,
       barrier,
       enhance,
       assign,
       preco"&amp;"ndition,
       check,
       IF(
         OR(AND(check=TRUE, REGEXMATCH(assign, ""SELF""), job=""ナイト""), AND(check=Option!$E$13, REGEXMATCH(assign, ""SINGLE_PARTY""))),
         IF(
           OR(ARRAYFORMULA((IF(precondition="""", FALSE, REGEXMATCH($K$4"&amp;":$ED$4, precondition))) * (K26:ED26=TRUE))),
           enhance,
           IF(barrier="""", buff, barrier)
         ),
         0
       ) *
       SWITCH(
         job,
         ""暗黒騎士"", EY$24,
         ""白魔道士"", EF26 * EH26 * EW26 * IF(abillity, 1, EG"&amp;"26 * EI26) * (Option!$D$22 * 0.81 / 100),
         ""占星術師"", EF26 * EJ26 * EW26 * IF(abillity, 1, EG26 * EK26) * (Option!$D$23 * 0.81 / 100),
         ""学者"", EF26 * EL26 * EW26 * IF(abillity, 1, EG26 * EM26) * (Option!$D$24 * 0.81 / 100),
         ""賢者"""&amp;", EF26 * EN26 * EW26 * IF(abillity, 1, EG26 * EO26) * (Option!$D$25 * 0.81 / 100),
         1
       )
     )
   )
 ) + EQ26"),0.0)</f>
        <v>0</v>
      </c>
      <c r="EY26" s="206">
        <f t="shared" si="8"/>
        <v>0</v>
      </c>
      <c r="EZ26" s="205">
        <f>IFERROR(__xludf.DUMMYFUNCTION("PRODUCT(
   MAP(
     IF($F26=""Physical"", K$10:ED$10, IF($F26=""Magic"", K$11:ED$11, K$12:ED$12)),
     IF($F26=""Physical"", K$18:ED$18, IF($F26=""Magic"", K$19:ED$19, K$20:ED$20)),
     K$3:ED$3,
     K$5:ED$5,
     K$17:ED$17,
     K26:ED26,
     LAM"&amp;"BDA(
       mitigation,
       enhance,
       job,
       assign,
       precondition,
       check,
       IF(
         OR(AND(check=TRUE, REGEXMATCH(assign, ""SELF""), job=""戦士""), AND(check=Option!$F$13, REGEXMATCH(assign, ""SINGLE_PARTY""))),
       "&amp;"  IF(
           OR(ARRAYFORMULA((IF(precondition="""", FALSE, REGEXMATCH($K$4:$ED$4, precondition))) * (K26:ED26=TRUE))),
           enhance,
           mitigation
         ),
         1
       )
     )
   )
 ) * EE26"),1.0)</f>
        <v>1</v>
      </c>
      <c r="FA26" s="206">
        <f t="shared" si="9"/>
        <v>0</v>
      </c>
      <c r="FB26" s="205">
        <f>IFERROR(__xludf.DUMMYFUNCTION("PRODUCT(
   MAP(
     K$3:ED$3,
     K$14:ED$14,
     K$13:ED$13,
     K26:ED26,
     LAMBDA(
       job,
       buff,
       target,
       check,
       IF(
         OR(AND(check=TRUE, REGEXMATCH(target, ""SELF_AFFECTED_ALL""), job=""戦士""), AND(check=Op"&amp;"tion!$F$13, REGEXMATCH(target, ""SINGLE_AFFECTED_ALL""))),
         buff,
         1
       )
     )
   )
 )"),1.0)</f>
        <v>1</v>
      </c>
      <c r="FC26" s="206">
        <f>IFERROR(__xludf.DUMMYFUNCTION("SUM(
   MAP(
     K$3:ED$3,
     K$7:ED$7,
     K$15:ED$15,
     K$16:ED$16,
     K$21:ED$21,
     K$5:ED$5,
     K$17:ED$17,
     K26:ED26,
     LAMBDA(
       job,
       abillity,
       buff,
       barrier,
       enhance,
       assign,
       preco"&amp;"ndition,
       check,
       IF(
         OR(AND(check=TRUE, REGEXMATCH(assign, ""SELF""), job=""戦士""), AND(check=Option!$F$13, REGEXMATCH(assign, ""SINGLE_PARTY""))),
         IF(
           OR(ARRAYFORMULA((IF(precondition="""", FALSE, REGEXMATCH($K$4:"&amp;"$ED$4, precondition))) * (K26:ED26=TRUE))),
           enhance,
           IF(barrier="""", buff, barrier)
         ),
         0
       ) *
       SWITCH(
         job,
         ""暗黒騎士"", FD$24,
         ""白魔道士"", EF26 * EH26 * FB26 * IF(abillity, 1, EG2"&amp;"6 * EI26) * (Option!$D$22 * 0.81 / 100),
         ""占星術師"", EF26 * EJ26 * FFB26 * IF(abillity, 1, EG26 * EK26) * (Option!$D$23 * 0.81 / 100),
         ""学者"", EF26 * EL26 * FB26 * IF(abillity, 1, EG26 * EM26) * (Option!$D$24 * 0.81 / 100),
         ""賢者"""&amp;", EF26 * EN26 * FB26 * IF(abillity, 1, EG26 * EO26) * (Option!$D$25 * 0.81 / 100),
         1
       )
     )
   )
 ) + EQ26"),0.0)</f>
        <v>0</v>
      </c>
      <c r="FD26" s="206">
        <f t="shared" si="10"/>
        <v>0</v>
      </c>
      <c r="FE26" s="205">
        <f>IFERROR(__xludf.DUMMYFUNCTION("PRODUCT(
   MAP(
     IF($F26=""Physical"", K$10:ED$10, IF($F26=""Magic"", K$11:ED$11, K$12:ED$12)),
     IF($F26=""Physical"", K$18:ED$18, IF($F26=""Magic"", K$19:ED$19, K$20:ED$20)),
     K$3:ED$3,
     K$5:ED$5,
     K$17:ED$17,
     K26:ED26,
     LAM"&amp;"BDA(
       mitigation,
       enhance,
       job,
       assign,
       precondition,
       check,
       IF(
         OR(AND(check=TRUE, REGEXMATCH(assign, ""SELF""), job=""暗黒騎士""), AND(check=Option!$G$13, REGEXMATCH(assign, ""SINGLE_PARTY""))),
     "&amp;"    IF(
           OR(ARRAYFORMULA((IF(precondition="""", FALSE, REGEXMATCH($K$4:$ED$4, precondition))) * (K26:ED26=TRUE))),
           enhance,
           mitigation
         ),
         1
       )
     )
   )
 ) * EE26"),1.0)</f>
        <v>1</v>
      </c>
      <c r="FF26" s="206">
        <f t="shared" si="11"/>
        <v>0</v>
      </c>
      <c r="FG26" s="205">
        <f>IFERROR(__xludf.DUMMYFUNCTION("PRODUCT(
   MAP(
     K$3:ED$3,
     K$14:ED$14,
     K$13:ED$13,
     K26:ED26,
     LAMBDA(
       job,
       buff,
       target,
       check,
       IF(
         OR(AND(check=TRUE, REGEXMATCH(target, ""SELF_AFFECTED_ALL""), job=""暗黒騎士""), AND(check="&amp;"Option!$G$13, REGEXMATCH(target, ""SINGLE_AFFECTED_ALL""))),
         buff,
         1
       )
     )
   )
 )"),1.0)</f>
        <v>1</v>
      </c>
      <c r="FH26" s="206">
        <f>IFERROR(__xludf.DUMMYFUNCTION("SUM(
   MAP(
     K$3:ED$3,
     K$7:ED$7,
     K$15:ED$15,
     K$16:ED$16,
     K$21:ED$21,
     K$5:ED$5,
     K$17:ED$17,
     K26:ED26,
     LAMBDA(
       job,
       abillity,
       buff,
       barrier,
       enhance,
       assign,
       preco"&amp;"ndition,
       check,
       IF(
         OR(AND(check=TRUE, REGEXMATCH(assign, ""SELF""), job=""暗黒騎士""), AND(check=Option!$G$13, REGEXMATCH(assign, ""SINGLE_PARTY""))),
         IF(
           OR(ARRAYFORMULA((IF(precondition="""", FALSE, REGEXMATCH($K$"&amp;"4:$ED$4, precondition))) * (K26:ED26=TRUE))),
           enhance,
           IF(barrier="""", buff, barrier)
         ),
         0
       ) *
       SWITCH(
         job,
         ""暗黒騎士"", FI$24,
         ""白魔道士"", EF26 * EH26 * FG26 * IF(abillity, 1, E"&amp;"G26 * EI26) * (Option!$D$22 * 0.81 / 100),
         ""占星術師"", EF26 * EJ26 * FG26 * IF(abillity, 1, EG26 * EK26) * (Option!$D$23 * 0.81 / 100),
         ""学者"", EF26 * EL26 * FG26 * IF(abillity, 1, EG26 * EM26) * (Option!$D$24 * 0.81 / 100),
         ""賢者"&amp;""", EF26 * EN26 * FG26 * IF(abillity, 1, EG26 * EO26) * (Option!$D$25 * 0.81 / 100),
         1
       )
     )
   )
 ) + EQ26"),0.0)</f>
        <v>0</v>
      </c>
      <c r="FI26" s="206">
        <f t="shared" si="12"/>
        <v>0</v>
      </c>
      <c r="FJ26" s="205">
        <f>IFERROR(__xludf.DUMMYFUNCTION("PRODUCT(
   MAP(
     IF($F26=""Physical"", K$10:ED$10, IF($F26=""Magic"", K$11:ED$11, K$12:ED$12)),
     IF($F26=""Physical"", K$18:ED$18, IF($F26=""Magic"", K$19:ED$19, K$20:ED$20)),
     K$3:ED$3,
     K$5:ED$5,
     K$17:ED$17,
     K26:ED26,
     LAM"&amp;"BDA(
       mitigation,
       enhance,
       job,
       assign,
       precondition,
       check,
       IF(
         OR(AND(check=TRUE, REGEXMATCH(assign, ""SELF""), job=""ガンブレイカー""), AND(check=Option!$H$13, REGEXMATCH(assign, ""SINGLE_PARTY""))),
  "&amp;"       IF(
           OR(ARRAYFORMULA((IF(precondition="""", FALSE, REGEXMATCH($K$4:$ED$4, precondition))) * (K26:ED26=TRUE))),
           enhance,
           mitigation
         ),
         1
       )
     )
   )
 ) * EE26"),1.0)</f>
        <v>1</v>
      </c>
      <c r="FK26" s="206">
        <f t="shared" si="13"/>
        <v>0</v>
      </c>
      <c r="FL26" s="205">
        <f>IFERROR(__xludf.DUMMYFUNCTION("PRODUCT(
   MAP(
     K$3:ED$3,
     K$14:ED$14,
     K$13:ED$13,
     K26:ED26,
     LAMBDA(
       job,
       buff,
       target,
       check,
       IF(
         OR(AND(check=TRUE, REGEXMATCH(target, ""SELF_AFFECTED_ALL""), job=""ガンブレイカー""), AND(che"&amp;"ck=Option!$H$13, REGEXMATCH(target, ""SINGLE_AFFECTED_ALL""))),
         buff,
         1
       )
     )
   )
 )"),1.0)</f>
        <v>1</v>
      </c>
      <c r="FM26" s="206">
        <f>IFERROR(__xludf.DUMMYFUNCTION("SUM(
   MAP(
     K$3:ED$3,
     K$7:ED$7,
     K$15:ED$15,
     K$16:ED$16,
     K$21:ED$21,
     K$5:ED$5,
     K$17:ED$17,
     K26:ED26,
     LAMBDA(
       job,
       abillity,
       buff,
       barrier,
       enhance,
       assign,
       preco"&amp;"ndition,
       check,
       IF(
         OR(AND(check=TRUE, REGEXMATCH(assign, ""SELF""), job=""ガンブレイカー""), AND(check=Option!$H$13, REGEXMATCH(assign, ""SINGLE_PARTY""))),
         IF(
           OR(ARRAYFORMULA((IF(precondition="""", FALSE, REGEXMATCH("&amp;"$K$4:$ED$4, precondition))) * (K26:ED26=TRUE))),
           enhance,
           IF(barrier="""", buff, barrier)
         ),
         0
       ) *
       SWITCH(
         job,
         ""暗黒騎士"", FN$24,
         ""白魔道士"", EF26 * EH26 * FL26 * IF(abillity, 1"&amp;", EG26 * EI26) * (Option!$D$22 * 0.81 / 100),
         ""占星術師"", EF26 * EJ26 * FL26 * IF(abillity, 1, EG26 * EK26) * (Option!$D$23 * 0.81 / 100),
         ""学者"", EF26 * EL26 * FL26 * IF(abillity, 1, EG26 * EM26) * (Option!$D$24 * 0.81 / 100),
         """&amp;"賢者"", EF26 * EN26 * FL26 * IF(abillity, 1, EG26 * EO26) * (Option!$D$25 * 0.81 / 100),
         1
       )
     )
   )
 ) + EQ26"),0.0)</f>
        <v>0</v>
      </c>
      <c r="FN26" s="206">
        <f t="shared" si="14"/>
        <v>0</v>
      </c>
      <c r="FO26" s="213"/>
    </row>
    <row r="27" hidden="1" outlineLevel="1">
      <c r="B27" s="208"/>
      <c r="C27" s="214">
        <f t="shared" si="1"/>
        <v>-0.0001157407407</v>
      </c>
      <c r="D27" s="215">
        <v>-1.1574074074074075E-4</v>
      </c>
      <c r="E27" s="216" t="str">
        <f>SWITCH(Option!C3, "日本語", "戦闘開始まで10秒", "English", "Battle commencing in 10 seconds!", "Deutsch", "Noch 10 Sekunden!", "Français", "Début du combat dans 10 secondes!", "한국어", "Battle commencing in 10 seconds!", "简体中文", "Battle commencing in 10 seconds!", "戦闘開始まで10秒")</f>
        <v>Battle commencing in 10 seconds!</v>
      </c>
      <c r="F27" s="167"/>
      <c r="G27" s="168" t="str">
        <f t="shared" si="2"/>
        <v/>
      </c>
      <c r="H27" s="169"/>
      <c r="I27" s="169"/>
      <c r="J27" s="169"/>
      <c r="K27" s="170" t="b">
        <v>0</v>
      </c>
      <c r="L27" s="170" t="b">
        <v>0</v>
      </c>
      <c r="M27" s="170" t="b">
        <v>0</v>
      </c>
      <c r="N27" s="171" t="s">
        <v>1070</v>
      </c>
      <c r="O27" s="172" t="b">
        <v>0</v>
      </c>
      <c r="P27" s="173" t="b">
        <v>0</v>
      </c>
      <c r="Q27" s="173" t="b">
        <v>0</v>
      </c>
      <c r="R27" s="173" t="b">
        <v>0</v>
      </c>
      <c r="S27" s="174" t="b">
        <v>0</v>
      </c>
      <c r="T27" s="175" t="b">
        <v>0</v>
      </c>
      <c r="U27" s="173" t="b">
        <v>0</v>
      </c>
      <c r="V27" s="171" t="s">
        <v>1070</v>
      </c>
      <c r="W27" s="172" t="b">
        <v>0</v>
      </c>
      <c r="X27" s="173" t="b">
        <v>0</v>
      </c>
      <c r="Y27" s="173" t="b">
        <v>0</v>
      </c>
      <c r="Z27" s="173" t="b">
        <v>0</v>
      </c>
      <c r="AA27" s="174" t="b">
        <v>0</v>
      </c>
      <c r="AB27" s="174" t="b">
        <v>0</v>
      </c>
      <c r="AC27" s="175" t="b">
        <v>0</v>
      </c>
      <c r="AD27" s="173" t="b">
        <v>0</v>
      </c>
      <c r="AE27" s="176" t="s">
        <v>1070</v>
      </c>
      <c r="AF27" s="171" t="s">
        <v>1070</v>
      </c>
      <c r="AG27" s="177">
        <f>IFERROR(__xludf.DUMMYFUNCTION("IF(
  ISNUMBER(AG26),
  MIN(MAX(
    AG26
    + MAX(
      ROUNDDOWN(($D27 - MAX(IFERROR(FILTER($D$24:$D26, AG$24:AG26 &lt;&gt; AF$6, AG$23:AG25 = AF$6), 0))) * (60 * 60 * 24) / AF$9) - ROUNDDOWN(($D26 - MAX(IFERROR(FILTER($D$23:$D25, AG$23:AG25 &lt;&gt; AF$6, AG$22:"&amp;"AG24 = AF$6), 0))) * (60 * 60 * 24) / 60),
      0
    )
    - COUNTIF(AF27, ""&lt;&gt;-""),
  0), AF$6),
  AF$6 - COUNTIF(AF27, ""&lt;&gt;-"")
)"),2.0)</f>
        <v>2</v>
      </c>
      <c r="AH27" s="173" t="b">
        <v>0</v>
      </c>
      <c r="AI27" s="173" t="b">
        <v>0</v>
      </c>
      <c r="AJ27" s="173" t="b">
        <v>0</v>
      </c>
      <c r="AK27" s="174" t="b">
        <v>0</v>
      </c>
      <c r="AL27" s="175" t="b">
        <v>0</v>
      </c>
      <c r="AM27" s="173" t="b">
        <v>0</v>
      </c>
      <c r="AN27" s="171" t="s">
        <v>1070</v>
      </c>
      <c r="AO27" s="173" t="b">
        <v>0</v>
      </c>
      <c r="AP27" s="173" t="b">
        <v>0</v>
      </c>
      <c r="AQ27" s="173" t="b">
        <v>0</v>
      </c>
      <c r="AR27" s="174" t="b">
        <v>0</v>
      </c>
      <c r="AS27" s="178" t="b">
        <v>0</v>
      </c>
      <c r="AT27" s="179" t="b">
        <v>0</v>
      </c>
      <c r="AU27" s="180" t="b">
        <v>0</v>
      </c>
      <c r="AV27" s="180" t="b">
        <v>0</v>
      </c>
      <c r="AW27" s="180" t="b">
        <v>0</v>
      </c>
      <c r="AX27" s="180" t="b">
        <v>0</v>
      </c>
      <c r="AY27" s="181" t="s">
        <v>1070</v>
      </c>
      <c r="AZ27" s="181" t="s">
        <v>1070</v>
      </c>
      <c r="BA27" s="184">
        <f>IFERROR(__xludf.DUMMYFUNCTION("IF(
  ISNUMBER(BA26),
  MIN(MAX(
    BA26
    + MAX(
      ROUNDDOWN((D27 - MAX(IFERROR(FILTER(D$24:D26, BA$24:BA26 &lt;&gt; AZ$6, BA$23:BA25 = AZ$6), 0))) * (60 * 60 * 24) / AZ$9) - ROUNDDOWN((D26 - MAX(IFERROR(FILTER(D$23:D25, BA$23:BA25 &lt;&gt; AZ$6, BA$22:BA24 ="&amp;" AZ$6), 0))) * (60 * 60 * 24) / AZ$9),
      0
    )
    - COUNTIF(AZ27, ""&lt;&gt;-""),
  0), AZ$6),
  AZ$6 - COUNTIF(AZ27, ""&lt;&gt;-"")
)"),2.0)</f>
        <v>2</v>
      </c>
      <c r="BB27" s="181" t="s">
        <v>1070</v>
      </c>
      <c r="BC27" s="183">
        <f>IFERROR(__xludf.DUMMYFUNCTION("IF(
  ISNUMBER(BC26),
  MIN(MAX(
    BC26
    + MAX(
      ROUNDDOWN(($D27 - MAX(IFERROR(FILTER($D$24:$D26, BC$24:BC26 &lt;&gt; BB$6, BC$23:BC25 = BB$6), 0))) * (60 * 60 * 24) / BB$9) - ROUNDDOWN(($D26 - MAX(IFERROR(FILTER($D$23:$D25, BC$23:BC25 &lt;&gt; BB$6, BC$22:"&amp;"BC24 = BB$6), 0))) * (60 * 60 * 24) / 60),
      0
    )
    - COUNTIF(BB27, ""&lt;&gt;-""),
  0), BB$6),
  BB$6 - COUNTIF(BB27, ""&lt;&gt;-"")
)"),2.0)</f>
        <v>2</v>
      </c>
      <c r="BD27" s="181" t="s">
        <v>1070</v>
      </c>
      <c r="BE27" s="178" t="b">
        <v>0</v>
      </c>
      <c r="BF27" s="180" t="b">
        <v>0</v>
      </c>
      <c r="BG27" s="180" t="b">
        <v>0</v>
      </c>
      <c r="BH27" s="180" t="b">
        <v>0</v>
      </c>
      <c r="BI27" s="180" t="b">
        <v>0</v>
      </c>
      <c r="BJ27" s="180" t="b">
        <v>0</v>
      </c>
      <c r="BK27" s="180" t="b">
        <v>0</v>
      </c>
      <c r="BL27" s="180" t="b">
        <v>0</v>
      </c>
      <c r="BM27" s="180" t="b">
        <v>0</v>
      </c>
      <c r="BN27" s="180" t="b">
        <v>0</v>
      </c>
      <c r="BO27" s="181" t="s">
        <v>1070</v>
      </c>
      <c r="BP27" s="181" t="s">
        <v>1070</v>
      </c>
      <c r="BQ27" s="181" t="s">
        <v>1070</v>
      </c>
      <c r="BR27" s="181" t="s">
        <v>1070</v>
      </c>
      <c r="BS27" s="181" t="s">
        <v>1070</v>
      </c>
      <c r="BT27" s="184">
        <f>IFERROR(__xludf.DUMMYFUNCTION("IF(
  ISNUMBER(BT26),
  MIN(MAX(
    BT26
    + MAX(
      ROUNDDOWN((D27 - MAX(IFERROR(FILTER(D$24:D26, BT$24:BT26 &lt;&gt; BS$6, BT$23:BT25 = BS$6), 0))) * (60 * 60 * 24) / BS$9) - ROUNDDOWN((D26 - MAX(IFERROR(FILTER(D$23:D25, BT$23:BT25 &lt;&gt; BS$6, BT$22:BT24 ="&amp;" BS$6), 0))) * (60 * 60 * 24) / BS$9),
      0
    )
    - COUNTIF(BS27, ""&lt;&gt;-""),
  0), BS$6),
  BS$6 - COUNTIF(BS27, ""&lt;&gt;-"")
)"),3.0)</f>
        <v>3</v>
      </c>
      <c r="BU27" s="181" t="s">
        <v>1070</v>
      </c>
      <c r="BV27" s="181" t="s">
        <v>1070</v>
      </c>
      <c r="BW27" s="184">
        <f>IFERROR(__xludf.DUMMYFUNCTION("IF(
  ISNUMBER(BW26),
  MIN(MAX(
    BW26
    + MAX(
      ROUNDDOWN((D27 - MAX(IFERROR(FILTER(D$24:D26, BW$24:BW26 &lt;&gt; BV$6, BW$23:BW25 = BV$6), 0))) * (60 * 60 * 24) / BV$9) - ROUNDDOWN((D26 - MAX(IFERROR(FILTER(D$23:D25, BW$23:BW25 &lt;&gt; BV$6, BW$22:BW24 ="&amp;" BV$6), 0))) * (60 * 60 * 24) / BV$9),
      0
    )
    - COUNTIF(BV27, ""&lt;&gt;-""),
  0), BV$6),
  BV$6 - COUNTIF(BV27, ""&lt;&gt;-"")
)"),2.0)</f>
        <v>2</v>
      </c>
      <c r="BX27" s="185" t="s">
        <v>1070</v>
      </c>
      <c r="BY27" s="178" t="b">
        <v>0</v>
      </c>
      <c r="BZ27" s="180" t="b">
        <v>0</v>
      </c>
      <c r="CA27" s="180" t="b">
        <v>0</v>
      </c>
      <c r="CB27" s="180" t="b">
        <v>0</v>
      </c>
      <c r="CC27" s="180" t="b">
        <v>0</v>
      </c>
      <c r="CD27" s="180" t="b">
        <v>0</v>
      </c>
      <c r="CE27" s="180" t="b">
        <v>0</v>
      </c>
      <c r="CF27" s="180" t="b">
        <v>0</v>
      </c>
      <c r="CG27" s="180" t="b">
        <v>0</v>
      </c>
      <c r="CH27" s="180" t="b">
        <v>0</v>
      </c>
      <c r="CI27" s="180" t="b">
        <v>0</v>
      </c>
      <c r="CJ27" s="180" t="b">
        <v>0</v>
      </c>
      <c r="CK27" s="180" t="b">
        <v>0</v>
      </c>
      <c r="CL27" s="180" t="b">
        <v>0</v>
      </c>
      <c r="CM27" s="181" t="s">
        <v>1070</v>
      </c>
      <c r="CN27" s="181" t="s">
        <v>1070</v>
      </c>
      <c r="CO27" s="181" t="s">
        <v>1070</v>
      </c>
      <c r="CP27" s="181" t="s">
        <v>1070</v>
      </c>
      <c r="CQ27" s="185" t="s">
        <v>1070</v>
      </c>
      <c r="CR27" s="180" t="b">
        <v>0</v>
      </c>
      <c r="CS27" s="186" t="str">
        <f t="shared" si="3"/>
        <v>◇◇◇</v>
      </c>
      <c r="CT27" s="178" t="b">
        <v>0</v>
      </c>
      <c r="CU27" s="180" t="b">
        <v>0</v>
      </c>
      <c r="CV27" s="180" t="b">
        <v>0</v>
      </c>
      <c r="CW27" s="180" t="b">
        <v>0</v>
      </c>
      <c r="CX27" s="180" t="b">
        <v>0</v>
      </c>
      <c r="CY27" s="180" t="b">
        <v>0</v>
      </c>
      <c r="CZ27" s="180" t="b">
        <v>0</v>
      </c>
      <c r="DA27" s="180" t="b">
        <v>0</v>
      </c>
      <c r="DB27" s="180" t="b">
        <v>0</v>
      </c>
      <c r="DC27" s="180" t="b">
        <v>0</v>
      </c>
      <c r="DD27" s="181" t="s">
        <v>1070</v>
      </c>
      <c r="DE27" s="181" t="s">
        <v>1070</v>
      </c>
      <c r="DF27" s="181" t="s">
        <v>1070</v>
      </c>
      <c r="DG27" s="185" t="s">
        <v>1070</v>
      </c>
      <c r="DH27" s="180" t="b">
        <v>0</v>
      </c>
      <c r="DI27" s="187" t="str">
        <f>IFERROR(__xludf.DUMMYFUNCTION("SWITCH(
  IF(
    ISTEXT(DI26),
    IF (
      FIND(""○"", DI26&amp;""○"") &gt; 3,
      3,
      FIND(""○"", DI26&amp;""○"")
      + MAX(
        ROUNDDOWN(($D27 - MAX(IFERROR(FILTER(D$24:D26, DI$24:DI26 &lt;&gt; ""●●●"", DI$23:DI25 = ""●●●""), 0))) * (60 * 60 * 24) / 20"&amp;") - ROUNDDOWN(($D26 - MAX(IFERROR(FILTER(D$23:D25, DI$23:DI25 &lt;&gt; ""●●●"", DI$22:DI24 = ""●●●""), 0))) * (60 * 60 * 24) / 20),
        0
      ) - 1
    ) - COUNTIFS(CU27, ""=TRUE"", CU26, ""&lt;&gt;TRUE"") - COUNTIF(CZ27, ""=TRUE"") - COUNTIF({DD27,DE27}, ""&lt;&gt;-"&amp;""") + COUNTIF(DH27, ""=TRUE""),
    3
  ),
  0, ""○○○"", 1, ""●○○"", 2, ""●●○"", 3, ""●●●"", 4, ""●●●"", ""○○○""
)"),"●●●")</f>
        <v>●●●</v>
      </c>
      <c r="DJ27" s="188" t="b">
        <v>0</v>
      </c>
      <c r="DK27" s="189" t="b">
        <v>0</v>
      </c>
      <c r="DL27" s="190" t="b">
        <v>0</v>
      </c>
      <c r="DM27" s="190" t="b">
        <v>0</v>
      </c>
      <c r="DN27" s="190" t="b">
        <v>0</v>
      </c>
      <c r="DO27" s="190" t="b">
        <v>0</v>
      </c>
      <c r="DP27" s="190" t="b">
        <v>0</v>
      </c>
      <c r="DQ27" s="191" t="b">
        <v>0</v>
      </c>
      <c r="DR27" s="192" t="b">
        <v>0</v>
      </c>
      <c r="DS27" s="191" t="b">
        <v>0</v>
      </c>
      <c r="DT27" s="192" t="b">
        <v>0</v>
      </c>
      <c r="DU27" s="191" t="b">
        <v>0</v>
      </c>
      <c r="DV27" s="193" t="s">
        <v>1070</v>
      </c>
      <c r="DW27" s="194" t="b">
        <v>0</v>
      </c>
      <c r="DX27" s="194" t="b">
        <v>0</v>
      </c>
      <c r="DY27" s="195" t="b">
        <v>0</v>
      </c>
      <c r="DZ27" s="196" t="b">
        <v>0</v>
      </c>
      <c r="EA27" s="195" t="b">
        <v>0</v>
      </c>
      <c r="EB27" s="197" t="b">
        <v>0</v>
      </c>
      <c r="EC27" s="197" t="b">
        <v>0</v>
      </c>
      <c r="ED27" s="212" t="b">
        <v>0</v>
      </c>
      <c r="EE27" s="199">
        <f>IFERROR(__xludf.DUMMYFUNCTION("IFERROR(
   PRODUCT(
     MAP(
       INDEX(TRANSPOSE(UNIQUE(TRANSPOSE(FILTER({IF($F27=""Physical"", K$10:ED$10, IF($F27=""Magic"", K$11:ED$11, K$12:ED$12));K$4:ED$4;K27:ED27}, K27:ED27=TRUE)))), 1, 0),
       INDEX(TRANSPOSE(UNIQUE(TRANSPOSE(FILTER({IF($"&amp;"F27=""Physical"", K$18:ED$18, IF($F27=""Magic"", K$19:ED$19, K$20:ED$20));K$4:ED$4;K27:ED27}, K27:ED27=TRUE)))), 1, 0),
       INDEX(TRANSPOSE(UNIQUE(TRANSPOSE(FILTER({K$5:ED$5;K$4:ED$4;K27:ED27}, K27:ED27=TRUE)))), 1, 0),
       INDEX(TRANSPOSE(UNIQUE(TR"&amp;"ANSPOSE(FILTER({K$17:ED$17;K$4:ED$4;K27:ED27}, K27:ED27=TRUE)))), 1, 0),
       LAMBDA(
         mitigation,
         enhance,
         assign,
         precondition,
         IF(
           REGEXMATCH(assign, ""RANGE_PARTY|SINGLE_ENEMY|RANGE_ENEMY""),
  "&amp;"         IF(
             OR(ARRAYFORMULA((IF(precondition="""", FALSE, REGEXMATCH(K$4:ED$4, precondition))) * (K27:ED27=TRUE))),
             IF(ISNUMBER(enhance), enhance, 1),
             IF(ISNUMBER(mitigation), mitigation, 1)
           ),
          "&amp;" 1
         )
       )
     )
   ),
   1
 )"),1.0)</f>
        <v>1</v>
      </c>
      <c r="EF27" s="200">
        <f>IFERROR(__xludf.DUMMYFUNCTION("PRODUCT(
   MAP(
     K$14:ED$14,
     K$13:ED$13,
     K27:ED27,
     LAMBDA(
       buff,
       target,
       check,
       IF(
         AND(check=TRUE, REGEXMATCH(target, ""RANGE_AFFECTED_ALL|RANGE_EFFECTED_ALL""), ISNUMBER(buff)),
         buff,
   "&amp;"      1
       )
     )
   )
 )"),1.0)</f>
        <v>1</v>
      </c>
      <c r="EG27" s="200">
        <f>IFERROR(__xludf.DUMMYFUNCTION("PRODUCT(
   MAP(
     K$14:ED$14,
     K$13:ED$13,
     K27:ED27,
     LAMBDA(
       buff,
       target,
       check,
       IF(
         AND(check=TRUE, REGEXMATCH(target, ""RANGE_AFFECTED_GCD|RANGE_EFFECTED_GCD""), ISNUMBER(buff)),
         buff,
   "&amp;"      1
       )
     )
   )
 )"),1.0)</f>
        <v>1</v>
      </c>
      <c r="EH27" s="200">
        <f>IFERROR(__xludf.DUMMYFUNCTION("PRODUCT(
   MAP(
     K$3:ED$3,
     K$14:ED$14,
     K$13:ED$13,
     K27:ED27,
     LAMBDA(
       job,
       buff,
       target,
       check,
       IF(
         AND(check=TRUE, REGEXMATCH(target, ""SELF_EFFECTED_ALL""), ISNUMBER(buff), job=""白魔道士"""&amp;"),
         buff,
         1
       )
     )
   )
 )"),1.0)</f>
        <v>1</v>
      </c>
      <c r="EI27" s="200">
        <f>IFERROR(__xludf.DUMMYFUNCTION("PRODUCT(
   MAP(
     K$3:ED$3,
     K$14:ED$14,
     K$13:ED$13,
     K27:ED27,
     LAMBDA(
       job,
       buff,
       target,
       check,
       IF(
         AND(check=TRUE, REGEXMATCH(target, ""SELF_EFFECTED_GCD""), ISNUMBER(buff), job=""白魔道士"""&amp;"),
         buff,
         1
       )
     )
   )
 )"),1.0)</f>
        <v>1</v>
      </c>
      <c r="EJ27" s="200">
        <f>IFERROR(__xludf.DUMMYFUNCTION("PRODUCT(
   MAP(
     K$3:ED$3,
     K$14:ED$14,
     K$13:ED$13,
     K27:ED27,
     LAMBDA(
       job,
       buff,
       target,
       check,
       IF(
         AND(check=TRUE, REGEXMATCH(target, ""SELF_EFFECTED_ALL""), ISNUMBER(buff), job=""占星術師"""&amp;"),
         buff,
         1
       )
     )
   )
 )"),1.0)</f>
        <v>1</v>
      </c>
      <c r="EK27" s="200">
        <f>IFERROR(__xludf.DUMMYFUNCTION("PRODUCT(
   MAP(
     K$3:ED$3,
     K$14:ED$14,
     K$13:ED$13,
     K27:ED27,
     LAMBDA(
       job,
       buff,
       target,
       check,
       IF(
         AND(check=TRUE, REGEXMATCH(target, ""SELF_EFFECTED_GCD""), ISNUMBER(buff), job=""占星術師"""&amp;"),
         buff,
         1
       )
     )
   )
 )"),1.0)</f>
        <v>1</v>
      </c>
      <c r="EL27" s="200">
        <f>IFERROR(__xludf.DUMMYFUNCTION("PRODUCT(
   MAP(
     K$3:ED$3,
     K$14:ED$14,
     K$13:ED$13,
     K27:ED27,
     LAMBDA(
       job,
       buff,
       target,
       check,
       IF(
         AND(check=TRUE, REGEXMATCH(target, ""SELF_EFFECTED_ALL""), ISNUMBER(buff), job=""学者""),"&amp;"
         buff,
         1
       )
     )
   )
 )"),1.0)</f>
        <v>1</v>
      </c>
      <c r="EM27" s="200">
        <f>IFERROR(__xludf.DUMMYFUNCTION("PRODUCT(
   MAP(
     K$3:ED$3,
     K$14:ED$14,
     K$13:ED$13,
     K27:ED27,
     LAMBDA(
       job,
       buff,
       target,
       check,
       IF(
         AND(check=TRUE, REGEXMATCH(target, ""SELF_EFFECTED_GCD""), ISNUMBER(buff), job=""学者""),"&amp;"
         buff,
         1
       )
     )
   )
 )"),1.0)</f>
        <v>1</v>
      </c>
      <c r="EN27" s="200">
        <f>IFERROR(__xludf.DUMMYFUNCTION("PRODUCT(
   MAP(
     K$3:ED$3,
     K$14:ED$14,
     K$13:ED$13,
     K27:ED27,
     LAMBDA(
       job,
       buff,
       target,
       check,
       IF(
         AND(check=TRUE, REGEXMATCH(target, ""SELF_EFFECTED_ALL""), ISNUMBER(buff), job=""賢者""),"&amp;"
         buff,
         1
       )
     )
   )
 )"),1.0)</f>
        <v>1</v>
      </c>
      <c r="EO27" s="200">
        <f>IFERROR(__xludf.DUMMYFUNCTION("PRODUCT(
   MAP(
     K$3:ED$3,
     K$14:ED$14,
     K$13:ED$13,
     K27:ED27,
     LAMBDA(
       job,
       buff,
       target,
       check,
       IF(
         AND(check=TRUE, REGEXMATCH(target, ""SELF_EFFECTED_GCD""), ISNUMBER(buff), job=""賢者""),"&amp;"
         buff,
         1
       )
     )
   )
 )"),1.0)</f>
        <v>1</v>
      </c>
      <c r="EP27" s="201">
        <f t="shared" si="4"/>
        <v>0</v>
      </c>
      <c r="EQ27" s="201">
        <f>IFERROR(__xludf.DUMMYFUNCTION("SUM(
   MAP(
     K$4:ED$4,
     K$3:ED$3,
     K$7:ED$7,
     K$15:ED$15,
     K$16:ED$16,
     K$21:ED$21,
     K$5:ED$5,
     K$17:ED$17,
     K27:ED27,
     LAMBDA(
       name,
       job,
       abillity,
       buff,
       barrier,
       enhance,"&amp;"
       assign,
       precondition,
       check,
       SWITCH(
         name,
         ""シェイクオフ"", IF(check=TRUE, buff + (0.02 * COUNTIF(ARRAYFORMULA((REGEXMATCH($K$4:$ED$4, ""スリル・オブ・バトル|ヴェンジェンス|原初の血気|ダムネーション"")) * (K27:ED27=TRUE)), 1)), 0),
         "&amp;"""インプロビゼーションフィニッシュ(踊りの激情0)"", IF(ISNUMBER(check), INDEX(Skill!$AJ:$AJ, MATCH(SUBSTITUTE(DV$4, 0, check), Skill!$C:$C, 0)), 0),
         IF(
           AND(check=TRUE, REGEXMATCH(assign, ""RANGE_PARTY"")),
           IF(
             OR(ARRAYFORMULA((IF(pr"&amp;"econdition="""", FALSE, REGEXMATCH($K$4:$ED$4, precondition))) * (K27:ED27=TRUE))),
             enhance,
             IF(barrier="""", buff, barrier)
           ),
           0
         )
       ) *
       SWITCH(
         job,
         ""ナイト"", EY$24,
 "&amp;"        ""戦士"", FD$24,
         ""踊り子"", ET$24,
         ""ピクトマンサー"", ET$24,
         ""白魔道士"", EF27 * EH27 * IF(abillity, 1, EG27 * EI27) * (Option!$D$22 * 0.81 / 100),
         ""占星術師"", EF27 * EJ27 * IF(abillity, 1, EG27 * EK27) * (Option!$D$23 * 0.81 "&amp;"/ 100),
         ""学者"", EF27 * EL27 * IF(abillity, 1, EG27 * EM27) * (Option!$D$24 * 0.81 / 100),
         ""賢者"", EF27 * EN27 * IF(abillity, 1, EG27 * EO27) * (Option!$D$25 * 0.81 / 100),
         1
       )
     )
   )
 )"),0.0)</f>
        <v>0</v>
      </c>
      <c r="ER27" s="202">
        <f t="shared" si="5"/>
        <v>0</v>
      </c>
      <c r="ES27" s="203">
        <f t="shared" si="6"/>
        <v>0</v>
      </c>
      <c r="ET27" s="204" t="str">
        <f>IFERROR(__xludf.DUMMYFUNCTION("IFS(
  EP27 &gt; $ET$24 + EQ27,
  SPARKLINE({ 1, 0 }, {""charttype"",""bar"";""max"", 1;""color1"",Option!$D$30;""color2"",Option!$D$30}),
  EP27 &lt; EQ27,
  SPARKLINE({EQ27 - EP27, $ET$24 - (EQ27 - EP27)}, {""charttype"",""bar"";""max"",$ET$24;""color1"",Opti"&amp;"on!$D$28;""color2"",Option!$D$29}),
  EP27 &gt;= EQ27,
  SPARKLINE({$ET$24 + EQ27 - EP27,EP27 - EQ27}, {""charttype"",""bar"";""max"",$ET$24;""color1"",Option!$D$29;""color2"",Option!$D$30})
)"),"")</f>
        <v/>
      </c>
      <c r="EU27" s="205">
        <f>IFERROR(__xludf.DUMMYFUNCTION("PRODUCT(
   MAP(
     IF($F27=""Physical"", K$10:ED$10, IF($F27=""Magic"", K$11:ED$11, K$12:ED$12)),
     IF($F27=""Physical"", K$18:ED$18, IF($F27=""Magic"", K$19:ED$19, K$20:ED$20)),
     K$3:ED$3,
     K$5:ED$5,
     K$17:ED$17,
     K27:ED27,
     LAM"&amp;"BDA(
       mitigation,
       enhance,
       job,
       assign,
       precondition,
       check,
       IF(
         OR(AND(check=TRUE, REGEXMATCH(assign, ""SELF""), job=""ナイト""), AND(check=Option!$E$13, REGEXMATCH(assign, ""SINGLE_PARTY""))),
      "&amp;"   IF(
           OR(ARRAYFORMULA((IF(precondition="""", FALSE, REGEXMATCH($K$4:$ED$4, precondition))) * (K27:ED27=TRUE))),
           enhance,
           mitigation
         ),
         1
       )
     )
   )
 ) * EE27"),1.0)</f>
        <v>1</v>
      </c>
      <c r="EV27" s="206">
        <f t="shared" si="7"/>
        <v>0</v>
      </c>
      <c r="EW27" s="205">
        <f>IFERROR(__xludf.DUMMYFUNCTION("PRODUCT(
   MAP(
     K$3:ED$3,
     K$14:ED$14,
     K$13:ED$13,
     K27:ED27,
     LAMBDA(
       job,
       buff,
       target,
       check,
       IF(
         OR(AND(check=TRUE, REGEXMATCH(target, ""SELF_AFFECTED_ALL""), job=""ナイト""), AND(check=O"&amp;"ption!$E$13, REGEXMATCH(target, ""SINGLE_AFFECTED_ALL""))),
         buff,
         1
       )
     )
   )
 )"),1.0)</f>
        <v>1</v>
      </c>
      <c r="EX27" s="206">
        <f>IFERROR(__xludf.DUMMYFUNCTION("SUM(
   MAP(
     K$3:ED$3,
     K$7:ED$7,
     K$15:ED$15,
     K$16:ED$16,
     K$21:ED$21,
     K$5:ED$5,
     K$17:ED$17,
     K27:ED27,
     LAMBDA(
       job,
       abillity,
       buff,
       barrier,
       enhance,
       assign,
       preco"&amp;"ndition,
       check,
       IF(
         OR(AND(check=TRUE, REGEXMATCH(assign, ""SELF""), job=""ナイト""), AND(check=Option!$E$13, REGEXMATCH(assign, ""SINGLE_PARTY""))),
         IF(
           OR(ARRAYFORMULA((IF(precondition="""", FALSE, REGEXMATCH($K$4"&amp;":$ED$4, precondition))) * (K27:ED27=TRUE))),
           enhance,
           IF(barrier="""", buff, barrier)
         ),
         0
       ) *
       SWITCH(
         job,
         ""暗黒騎士"", EY$24,
         ""白魔道士"", EF27 * EH27 * EW27 * IF(abillity, 1, EG"&amp;"27 * EI27) * (Option!$D$22 * 0.81 / 100),
         ""占星術師"", EF27 * EJ27 * EW27 * IF(abillity, 1, EG27 * EK27) * (Option!$D$23 * 0.81 / 100),
         ""学者"", EF27 * EL27 * EW27 * IF(abillity, 1, EG27 * EM27) * (Option!$D$24 * 0.81 / 100),
         ""賢者"""&amp;", EF27 * EN27 * EW27 * IF(abillity, 1, EG27 * EO27) * (Option!$D$25 * 0.81 / 100),
         1
       )
     )
   )
 ) + EQ27"),0.0)</f>
        <v>0</v>
      </c>
      <c r="EY27" s="206">
        <f t="shared" si="8"/>
        <v>0</v>
      </c>
      <c r="EZ27" s="205">
        <f>IFERROR(__xludf.DUMMYFUNCTION("PRODUCT(
   MAP(
     IF($F27=""Physical"", K$10:ED$10, IF($F27=""Magic"", K$11:ED$11, K$12:ED$12)),
     IF($F27=""Physical"", K$18:ED$18, IF($F27=""Magic"", K$19:ED$19, K$20:ED$20)),
     K$3:ED$3,
     K$5:ED$5,
     K$17:ED$17,
     K27:ED27,
     LAM"&amp;"BDA(
       mitigation,
       enhance,
       job,
       assign,
       precondition,
       check,
       IF(
         OR(AND(check=TRUE, REGEXMATCH(assign, ""SELF""), job=""戦士""), AND(check=Option!$F$13, REGEXMATCH(assign, ""SINGLE_PARTY""))),
       "&amp;"  IF(
           OR(ARRAYFORMULA((IF(precondition="""", FALSE, REGEXMATCH($K$4:$ED$4, precondition))) * (K27:ED27=TRUE))),
           enhance,
           mitigation
         ),
         1
       )
     )
   )
 ) * EE27"),1.0)</f>
        <v>1</v>
      </c>
      <c r="FA27" s="206">
        <f t="shared" si="9"/>
        <v>0</v>
      </c>
      <c r="FB27" s="205">
        <f>IFERROR(__xludf.DUMMYFUNCTION("PRODUCT(
   MAP(
     K$3:ED$3,
     K$14:ED$14,
     K$13:ED$13,
     K27:ED27,
     LAMBDA(
       job,
       buff,
       target,
       check,
       IF(
         OR(AND(check=TRUE, REGEXMATCH(target, ""SELF_AFFECTED_ALL""), job=""戦士""), AND(check=Op"&amp;"tion!$F$13, REGEXMATCH(target, ""SINGLE_AFFECTED_ALL""))),
         buff,
         1
       )
     )
   )
 )"),1.0)</f>
        <v>1</v>
      </c>
      <c r="FC27" s="206">
        <f>IFERROR(__xludf.DUMMYFUNCTION("SUM(
   MAP(
     K$3:ED$3,
     K$7:ED$7,
     K$15:ED$15,
     K$16:ED$16,
     K$21:ED$21,
     K$5:ED$5,
     K$17:ED$17,
     K27:ED27,
     LAMBDA(
       job,
       abillity,
       buff,
       barrier,
       enhance,
       assign,
       preco"&amp;"ndition,
       check,
       IF(
         OR(AND(check=TRUE, REGEXMATCH(assign, ""SELF""), job=""戦士""), AND(check=Option!$F$13, REGEXMATCH(assign, ""SINGLE_PARTY""))),
         IF(
           OR(ARRAYFORMULA((IF(precondition="""", FALSE, REGEXMATCH($K$4:"&amp;"$ED$4, precondition))) * (K27:ED27=TRUE))),
           enhance,
           IF(barrier="""", buff, barrier)
         ),
         0
       ) *
       SWITCH(
         job,
         ""暗黒騎士"", FD$24,
         ""白魔道士"", EF27 * EH27 * FB27 * IF(abillity, 1, EG2"&amp;"7 * EI27) * (Option!$D$22 * 0.81 / 100),
         ""占星術師"", EF27 * EJ27 * FFB27 * IF(abillity, 1, EG27 * EK27) * (Option!$D$23 * 0.81 / 100),
         ""学者"", EF27 * EL27 * FB27 * IF(abillity, 1, EG27 * EM27) * (Option!$D$24 * 0.81 / 100),
         ""賢者"""&amp;", EF27 * EN27 * FB27 * IF(abillity, 1, EG27 * EO27) * (Option!$D$25 * 0.81 / 100),
         1
       )
     )
   )
 ) + EQ27"),0.0)</f>
        <v>0</v>
      </c>
      <c r="FD27" s="206">
        <f t="shared" si="10"/>
        <v>0</v>
      </c>
      <c r="FE27" s="205">
        <f>IFERROR(__xludf.DUMMYFUNCTION("PRODUCT(
   MAP(
     IF($F27=""Physical"", K$10:ED$10, IF($F27=""Magic"", K$11:ED$11, K$12:ED$12)),
     IF($F27=""Physical"", K$18:ED$18, IF($F27=""Magic"", K$19:ED$19, K$20:ED$20)),
     K$3:ED$3,
     K$5:ED$5,
     K$17:ED$17,
     K27:ED27,
     LAM"&amp;"BDA(
       mitigation,
       enhance,
       job,
       assign,
       precondition,
       check,
       IF(
         OR(AND(check=TRUE, REGEXMATCH(assign, ""SELF""), job=""暗黒騎士""), AND(check=Option!$G$13, REGEXMATCH(assign, ""SINGLE_PARTY""))),
     "&amp;"    IF(
           OR(ARRAYFORMULA((IF(precondition="""", FALSE, REGEXMATCH($K$4:$ED$4, precondition))) * (K27:ED27=TRUE))),
           enhance,
           mitigation
         ),
         1
       )
     )
   )
 ) * EE27"),1.0)</f>
        <v>1</v>
      </c>
      <c r="FF27" s="206">
        <f t="shared" si="11"/>
        <v>0</v>
      </c>
      <c r="FG27" s="205">
        <f>IFERROR(__xludf.DUMMYFUNCTION("PRODUCT(
   MAP(
     K$3:ED$3,
     K$14:ED$14,
     K$13:ED$13,
     K27:ED27,
     LAMBDA(
       job,
       buff,
       target,
       check,
       IF(
         OR(AND(check=TRUE, REGEXMATCH(target, ""SELF_AFFECTED_ALL""), job=""暗黒騎士""), AND(check="&amp;"Option!$G$13, REGEXMATCH(target, ""SINGLE_AFFECTED_ALL""))),
         buff,
         1
       )
     )
   )
 )"),1.0)</f>
        <v>1</v>
      </c>
      <c r="FH27" s="206">
        <f>IFERROR(__xludf.DUMMYFUNCTION("SUM(
   MAP(
     K$3:ED$3,
     K$7:ED$7,
     K$15:ED$15,
     K$16:ED$16,
     K$21:ED$21,
     K$5:ED$5,
     K$17:ED$17,
     K27:ED27,
     LAMBDA(
       job,
       abillity,
       buff,
       barrier,
       enhance,
       assign,
       preco"&amp;"ndition,
       check,
       IF(
         OR(AND(check=TRUE, REGEXMATCH(assign, ""SELF""), job=""暗黒騎士""), AND(check=Option!$G$13, REGEXMATCH(assign, ""SINGLE_PARTY""))),
         IF(
           OR(ARRAYFORMULA((IF(precondition="""", FALSE, REGEXMATCH($K$"&amp;"4:$ED$4, precondition))) * (K27:ED27=TRUE))),
           enhance,
           IF(barrier="""", buff, barrier)
         ),
         0
       ) *
       SWITCH(
         job,
         ""暗黒騎士"", FI$24,
         ""白魔道士"", EF27 * EH27 * FG27 * IF(abillity, 1, E"&amp;"G27 * EI27) * (Option!$D$22 * 0.81 / 100),
         ""占星術師"", EF27 * EJ27 * FG27 * IF(abillity, 1, EG27 * EK27) * (Option!$D$23 * 0.81 / 100),
         ""学者"", EF27 * EL27 * FG27 * IF(abillity, 1, EG27 * EM27) * (Option!$D$24 * 0.81 / 100),
         ""賢者"&amp;""", EF27 * EN27 * FG27 * IF(abillity, 1, EG27 * EO27) * (Option!$D$25 * 0.81 / 100),
         1
       )
     )
   )
 ) + EQ27"),0.0)</f>
        <v>0</v>
      </c>
      <c r="FI27" s="206">
        <f t="shared" si="12"/>
        <v>0</v>
      </c>
      <c r="FJ27" s="205">
        <f>IFERROR(__xludf.DUMMYFUNCTION("PRODUCT(
   MAP(
     IF($F27=""Physical"", K$10:ED$10, IF($F27=""Magic"", K$11:ED$11, K$12:ED$12)),
     IF($F27=""Physical"", K$18:ED$18, IF($F27=""Magic"", K$19:ED$19, K$20:ED$20)),
     K$3:ED$3,
     K$5:ED$5,
     K$17:ED$17,
     K27:ED27,
     LAM"&amp;"BDA(
       mitigation,
       enhance,
       job,
       assign,
       precondition,
       check,
       IF(
         OR(AND(check=TRUE, REGEXMATCH(assign, ""SELF""), job=""ガンブレイカー""), AND(check=Option!$H$13, REGEXMATCH(assign, ""SINGLE_PARTY""))),
  "&amp;"       IF(
           OR(ARRAYFORMULA((IF(precondition="""", FALSE, REGEXMATCH($K$4:$ED$4, precondition))) * (K27:ED27=TRUE))),
           enhance,
           mitigation
         ),
         1
       )
     )
   )
 ) * EE27"),1.0)</f>
        <v>1</v>
      </c>
      <c r="FK27" s="206">
        <f t="shared" si="13"/>
        <v>0</v>
      </c>
      <c r="FL27" s="205">
        <f>IFERROR(__xludf.DUMMYFUNCTION("PRODUCT(
   MAP(
     K$3:ED$3,
     K$14:ED$14,
     K$13:ED$13,
     K27:ED27,
     LAMBDA(
       job,
       buff,
       target,
       check,
       IF(
         OR(AND(check=TRUE, REGEXMATCH(target, ""SELF_AFFECTED_ALL""), job=""ガンブレイカー""), AND(che"&amp;"ck=Option!$H$13, REGEXMATCH(target, ""SINGLE_AFFECTED_ALL""))),
         buff,
         1
       )
     )
   )
 )"),1.0)</f>
        <v>1</v>
      </c>
      <c r="FM27" s="206">
        <f>IFERROR(__xludf.DUMMYFUNCTION("SUM(
   MAP(
     K$3:ED$3,
     K$7:ED$7,
     K$15:ED$15,
     K$16:ED$16,
     K$21:ED$21,
     K$5:ED$5,
     K$17:ED$17,
     K27:ED27,
     LAMBDA(
       job,
       abillity,
       buff,
       barrier,
       enhance,
       assign,
       preco"&amp;"ndition,
       check,
       IF(
         OR(AND(check=TRUE, REGEXMATCH(assign, ""SELF""), job=""ガンブレイカー""), AND(check=Option!$H$13, REGEXMATCH(assign, ""SINGLE_PARTY""))),
         IF(
           OR(ARRAYFORMULA((IF(precondition="""", FALSE, REGEXMATCH("&amp;"$K$4:$ED$4, precondition))) * (K27:ED27=TRUE))),
           enhance,
           IF(barrier="""", buff, barrier)
         ),
         0
       ) *
       SWITCH(
         job,
         ""暗黒騎士"", FN$24,
         ""白魔道士"", EF27 * EH27 * FL27 * IF(abillity, 1"&amp;", EG27 * EI27) * (Option!$D$22 * 0.81 / 100),
         ""占星術師"", EF27 * EJ27 * FL27 * IF(abillity, 1, EG27 * EK27) * (Option!$D$23 * 0.81 / 100),
         ""学者"", EF27 * EL27 * FL27 * IF(abillity, 1, EG27 * EM27) * (Option!$D$24 * 0.81 / 100),
         """&amp;"賢者"", EF27 * EN27 * FL27 * IF(abillity, 1, EG27 * EO27) * (Option!$D$25 * 0.81 / 100),
         1
       )
     )
   )
 ) + EQ27"),0.0)</f>
        <v>0</v>
      </c>
      <c r="FN27" s="206">
        <f t="shared" si="14"/>
        <v>0</v>
      </c>
      <c r="FO27" s="213"/>
    </row>
    <row r="28" hidden="1" outlineLevel="1">
      <c r="B28" s="208"/>
      <c r="C28" s="209">
        <f t="shared" si="1"/>
        <v>-0.00005787037037</v>
      </c>
      <c r="D28" s="210">
        <v>-5.787037037037037E-5</v>
      </c>
      <c r="E28" s="211" t="str">
        <f>SWITCH(Option!C3, "日本語", "戦闘開始まで5秒", "English", "Battle commencing in 5 seconds!", "Deutsch", "Noch 5 Sekunden!", "Français", "Début du combat dans 5 secondes!", "한국어", "Battle commencing in 5 seconds!", "简体中文", "Battle commencing in 5 seconds!", "戦闘開始まで5秒")</f>
        <v>Battle commencing in 5 seconds!</v>
      </c>
      <c r="F28" s="167"/>
      <c r="G28" s="168" t="str">
        <f t="shared" si="2"/>
        <v/>
      </c>
      <c r="H28" s="169"/>
      <c r="I28" s="169"/>
      <c r="J28" s="169"/>
      <c r="K28" s="170" t="b">
        <v>0</v>
      </c>
      <c r="L28" s="170" t="b">
        <v>0</v>
      </c>
      <c r="M28" s="170" t="b">
        <v>0</v>
      </c>
      <c r="N28" s="171" t="s">
        <v>1070</v>
      </c>
      <c r="O28" s="172" t="b">
        <v>0</v>
      </c>
      <c r="P28" s="173" t="b">
        <v>0</v>
      </c>
      <c r="Q28" s="173" t="b">
        <v>0</v>
      </c>
      <c r="R28" s="173" t="b">
        <v>0</v>
      </c>
      <c r="S28" s="174" t="b">
        <v>0</v>
      </c>
      <c r="T28" s="175" t="b">
        <v>0</v>
      </c>
      <c r="U28" s="173" t="b">
        <v>0</v>
      </c>
      <c r="V28" s="171" t="s">
        <v>1070</v>
      </c>
      <c r="W28" s="172" t="b">
        <v>0</v>
      </c>
      <c r="X28" s="173" t="b">
        <v>0</v>
      </c>
      <c r="Y28" s="173" t="b">
        <v>0</v>
      </c>
      <c r="Z28" s="173" t="b">
        <v>0</v>
      </c>
      <c r="AA28" s="174" t="b">
        <v>0</v>
      </c>
      <c r="AB28" s="174" t="b">
        <v>0</v>
      </c>
      <c r="AC28" s="175" t="b">
        <v>0</v>
      </c>
      <c r="AD28" s="173" t="b">
        <v>0</v>
      </c>
      <c r="AE28" s="176" t="s">
        <v>1070</v>
      </c>
      <c r="AF28" s="171" t="s">
        <v>1070</v>
      </c>
      <c r="AG28" s="177">
        <f>IFERROR(__xludf.DUMMYFUNCTION("IF(
  ISNUMBER(AG27),
  MIN(MAX(
    AG27
    + MAX(
      ROUNDDOWN(($D28 - MAX(IFERROR(FILTER($D$24:$D27, AG$24:AG27 &lt;&gt; AF$6, AG$23:AG26 = AF$6), 0))) * (60 * 60 * 24) / AF$9) - ROUNDDOWN(($D27 - MAX(IFERROR(FILTER($D$23:$D26, AG$23:AG26 &lt;&gt; AF$6, AG$22:"&amp;"AG25 = AF$6), 0))) * (60 * 60 * 24) / 60),
      0
    )
    - COUNTIF(AF28, ""&lt;&gt;-""),
  0), AF$6),
  AF$6 - COUNTIF(AF28, ""&lt;&gt;-"")
)"),2.0)</f>
        <v>2</v>
      </c>
      <c r="AH28" s="173" t="b">
        <v>0</v>
      </c>
      <c r="AI28" s="173" t="b">
        <v>0</v>
      </c>
      <c r="AJ28" s="173" t="b">
        <v>0</v>
      </c>
      <c r="AK28" s="174" t="b">
        <v>0</v>
      </c>
      <c r="AL28" s="175" t="b">
        <v>0</v>
      </c>
      <c r="AM28" s="173" t="b">
        <v>0</v>
      </c>
      <c r="AN28" s="171" t="s">
        <v>1070</v>
      </c>
      <c r="AO28" s="173" t="b">
        <v>0</v>
      </c>
      <c r="AP28" s="173" t="b">
        <v>0</v>
      </c>
      <c r="AQ28" s="173" t="b">
        <v>0</v>
      </c>
      <c r="AR28" s="174" t="b">
        <v>0</v>
      </c>
      <c r="AS28" s="178" t="b">
        <v>0</v>
      </c>
      <c r="AT28" s="179" t="b">
        <v>0</v>
      </c>
      <c r="AU28" s="180" t="b">
        <v>0</v>
      </c>
      <c r="AV28" s="180" t="b">
        <v>0</v>
      </c>
      <c r="AW28" s="180" t="b">
        <v>0</v>
      </c>
      <c r="AX28" s="180" t="b">
        <v>0</v>
      </c>
      <c r="AY28" s="181" t="s">
        <v>1070</v>
      </c>
      <c r="AZ28" s="181" t="s">
        <v>1070</v>
      </c>
      <c r="BA28" s="184">
        <f>IFERROR(__xludf.DUMMYFUNCTION("IF(
  ISNUMBER(BA27),
  MIN(MAX(
    BA27
    + MAX(
      ROUNDDOWN((D28 - MAX(IFERROR(FILTER(D$24:D27, BA$24:BA27 &lt;&gt; AZ$6, BA$23:BA26 = AZ$6), 0))) * (60 * 60 * 24) / AZ$9) - ROUNDDOWN((D27 - MAX(IFERROR(FILTER(D$23:D26, BA$23:BA26 &lt;&gt; AZ$6, BA$22:BA25 ="&amp;" AZ$6), 0))) * (60 * 60 * 24) / AZ$9),
      0
    )
    - COUNTIF(AZ28, ""&lt;&gt;-""),
  0), AZ$6),
  AZ$6 - COUNTIF(AZ28, ""&lt;&gt;-"")
)"),2.0)</f>
        <v>2</v>
      </c>
      <c r="BB28" s="181" t="s">
        <v>1070</v>
      </c>
      <c r="BC28" s="183">
        <f>IFERROR(__xludf.DUMMYFUNCTION("IF(
  ISNUMBER(BC27),
  MIN(MAX(
    BC27
    + MAX(
      ROUNDDOWN(($D28 - MAX(IFERROR(FILTER($D$24:$D27, BC$24:BC27 &lt;&gt; BB$6, BC$23:BC26 = BB$6), 0))) * (60 * 60 * 24) / BB$9) - ROUNDDOWN(($D27 - MAX(IFERROR(FILTER($D$23:$D26, BC$23:BC26 &lt;&gt; BB$6, BC$22:"&amp;"BC25 = BB$6), 0))) * (60 * 60 * 24) / 60),
      0
    )
    - COUNTIF(BB28, ""&lt;&gt;-""),
  0), BB$6),
  BB$6 - COUNTIF(BB28, ""&lt;&gt;-"")
)"),2.0)</f>
        <v>2</v>
      </c>
      <c r="BD28" s="181" t="s">
        <v>1070</v>
      </c>
      <c r="BE28" s="178" t="b">
        <v>0</v>
      </c>
      <c r="BF28" s="180" t="b">
        <v>0</v>
      </c>
      <c r="BG28" s="180" t="b">
        <v>0</v>
      </c>
      <c r="BH28" s="180" t="b">
        <v>0</v>
      </c>
      <c r="BI28" s="180" t="b">
        <v>0</v>
      </c>
      <c r="BJ28" s="180" t="b">
        <v>0</v>
      </c>
      <c r="BK28" s="180" t="b">
        <v>0</v>
      </c>
      <c r="BL28" s="180" t="b">
        <v>0</v>
      </c>
      <c r="BM28" s="180" t="b">
        <v>0</v>
      </c>
      <c r="BN28" s="180" t="b">
        <v>0</v>
      </c>
      <c r="BO28" s="181" t="s">
        <v>1070</v>
      </c>
      <c r="BP28" s="181" t="s">
        <v>1070</v>
      </c>
      <c r="BQ28" s="181" t="s">
        <v>1070</v>
      </c>
      <c r="BR28" s="181" t="s">
        <v>1070</v>
      </c>
      <c r="BS28" s="181" t="s">
        <v>1070</v>
      </c>
      <c r="BT28" s="184">
        <f>IFERROR(__xludf.DUMMYFUNCTION("IF(
  ISNUMBER(BT27),
  MIN(MAX(
    BT27
    + MAX(
      ROUNDDOWN((D28 - MAX(IFERROR(FILTER(D$24:D27, BT$24:BT27 &lt;&gt; BS$6, BT$23:BT26 = BS$6), 0))) * (60 * 60 * 24) / BS$9) - ROUNDDOWN((D27 - MAX(IFERROR(FILTER(D$23:D26, BT$23:BT26 &lt;&gt; BS$6, BT$22:BT25 ="&amp;" BS$6), 0))) * (60 * 60 * 24) / BS$9),
      0
    )
    - COUNTIF(BS28, ""&lt;&gt;-""),
  0), BS$6),
  BS$6 - COUNTIF(BS28, ""&lt;&gt;-"")
)"),3.0)</f>
        <v>3</v>
      </c>
      <c r="BU28" s="181" t="s">
        <v>1070</v>
      </c>
      <c r="BV28" s="181" t="s">
        <v>1070</v>
      </c>
      <c r="BW28" s="184">
        <f>IFERROR(__xludf.DUMMYFUNCTION("IF(
  ISNUMBER(BW27),
  MIN(MAX(
    BW27
    + MAX(
      ROUNDDOWN((D28 - MAX(IFERROR(FILTER(D$24:D27, BW$24:BW27 &lt;&gt; BV$6, BW$23:BW26 = BV$6), 0))) * (60 * 60 * 24) / BV$9) - ROUNDDOWN((D27 - MAX(IFERROR(FILTER(D$23:D26, BW$23:BW26 &lt;&gt; BV$6, BW$22:BW25 ="&amp;" BV$6), 0))) * (60 * 60 * 24) / BV$9),
      0
    )
    - COUNTIF(BV28, ""&lt;&gt;-""),
  0), BV$6),
  BV$6 - COUNTIF(BV28, ""&lt;&gt;-"")
)"),2.0)</f>
        <v>2</v>
      </c>
      <c r="BX28" s="185" t="s">
        <v>1070</v>
      </c>
      <c r="BY28" s="178" t="b">
        <v>0</v>
      </c>
      <c r="BZ28" s="180" t="b">
        <v>0</v>
      </c>
      <c r="CA28" s="180" t="b">
        <v>0</v>
      </c>
      <c r="CB28" s="180" t="b">
        <v>0</v>
      </c>
      <c r="CC28" s="180" t="b">
        <v>0</v>
      </c>
      <c r="CD28" s="180" t="b">
        <v>0</v>
      </c>
      <c r="CE28" s="180" t="b">
        <v>0</v>
      </c>
      <c r="CF28" s="180" t="b">
        <v>0</v>
      </c>
      <c r="CG28" s="180" t="b">
        <v>0</v>
      </c>
      <c r="CH28" s="180" t="b">
        <v>0</v>
      </c>
      <c r="CI28" s="180" t="b">
        <v>0</v>
      </c>
      <c r="CJ28" s="180" t="b">
        <v>0</v>
      </c>
      <c r="CK28" s="180" t="b">
        <v>0</v>
      </c>
      <c r="CL28" s="180" t="b">
        <v>0</v>
      </c>
      <c r="CM28" s="181" t="s">
        <v>1070</v>
      </c>
      <c r="CN28" s="181" t="s">
        <v>1070</v>
      </c>
      <c r="CO28" s="181" t="s">
        <v>1070</v>
      </c>
      <c r="CP28" s="181" t="s">
        <v>1070</v>
      </c>
      <c r="CQ28" s="185" t="s">
        <v>1070</v>
      </c>
      <c r="CR28" s="180" t="b">
        <v>0</v>
      </c>
      <c r="CS28" s="186" t="str">
        <f t="shared" si="3"/>
        <v>◇◇◇</v>
      </c>
      <c r="CT28" s="178" t="b">
        <v>0</v>
      </c>
      <c r="CU28" s="180" t="b">
        <v>0</v>
      </c>
      <c r="CV28" s="180" t="b">
        <v>0</v>
      </c>
      <c r="CW28" s="180" t="b">
        <v>0</v>
      </c>
      <c r="CX28" s="180" t="b">
        <v>0</v>
      </c>
      <c r="CY28" s="180" t="b">
        <v>0</v>
      </c>
      <c r="CZ28" s="180" t="b">
        <v>0</v>
      </c>
      <c r="DA28" s="180" t="b">
        <v>0</v>
      </c>
      <c r="DB28" s="180" t="b">
        <v>0</v>
      </c>
      <c r="DC28" s="180" t="b">
        <v>0</v>
      </c>
      <c r="DD28" s="181" t="s">
        <v>1070</v>
      </c>
      <c r="DE28" s="181" t="s">
        <v>1070</v>
      </c>
      <c r="DF28" s="181" t="s">
        <v>1070</v>
      </c>
      <c r="DG28" s="185" t="s">
        <v>1070</v>
      </c>
      <c r="DH28" s="180" t="b">
        <v>0</v>
      </c>
      <c r="DI28" s="187" t="str">
        <f>IFERROR(__xludf.DUMMYFUNCTION("SWITCH(
  IF(
    ISTEXT(DI27),
    IF (
      FIND(""○"", DI27&amp;""○"") &gt; 3,
      3,
      FIND(""○"", DI27&amp;""○"")
      + MAX(
        ROUNDDOWN(($D28 - MAX(IFERROR(FILTER(D$24:D27, DI$24:DI27 &lt;&gt; ""●●●"", DI$23:DI26 = ""●●●""), 0))) * (60 * 60 * 24) / 20"&amp;") - ROUNDDOWN(($D27 - MAX(IFERROR(FILTER(D$23:D26, DI$23:DI26 &lt;&gt; ""●●●"", DI$22:DI25 = ""●●●""), 0))) * (60 * 60 * 24) / 20),
        0
      ) - 1
    ) - COUNTIFS(CU28, ""=TRUE"", CU27, ""&lt;&gt;TRUE"") - COUNTIF(CZ28, ""=TRUE"") - COUNTIF({DD28,DE28}, ""&lt;&gt;-"&amp;""") + COUNTIF(DH28, ""=TRUE""),
    3
  ),
  0, ""○○○"", 1, ""●○○"", 2, ""●●○"", 3, ""●●●"", 4, ""●●●"", ""○○○""
)"),"●●●")</f>
        <v>●●●</v>
      </c>
      <c r="DJ28" s="188" t="b">
        <v>0</v>
      </c>
      <c r="DK28" s="189" t="b">
        <v>0</v>
      </c>
      <c r="DL28" s="190" t="b">
        <v>0</v>
      </c>
      <c r="DM28" s="190" t="b">
        <v>0</v>
      </c>
      <c r="DN28" s="190" t="b">
        <v>0</v>
      </c>
      <c r="DO28" s="190" t="b">
        <v>0</v>
      </c>
      <c r="DP28" s="190" t="b">
        <v>0</v>
      </c>
      <c r="DQ28" s="191" t="b">
        <v>0</v>
      </c>
      <c r="DR28" s="192" t="b">
        <v>0</v>
      </c>
      <c r="DS28" s="191" t="b">
        <v>0</v>
      </c>
      <c r="DT28" s="192" t="b">
        <v>0</v>
      </c>
      <c r="DU28" s="191" t="b">
        <v>0</v>
      </c>
      <c r="DV28" s="193" t="s">
        <v>1070</v>
      </c>
      <c r="DW28" s="194" t="b">
        <v>0</v>
      </c>
      <c r="DX28" s="194" t="b">
        <v>0</v>
      </c>
      <c r="DY28" s="195" t="b">
        <v>0</v>
      </c>
      <c r="DZ28" s="196" t="b">
        <v>0</v>
      </c>
      <c r="EA28" s="195" t="b">
        <v>0</v>
      </c>
      <c r="EB28" s="197" t="b">
        <v>0</v>
      </c>
      <c r="EC28" s="197" t="b">
        <v>0</v>
      </c>
      <c r="ED28" s="212" t="b">
        <v>0</v>
      </c>
      <c r="EE28" s="199">
        <f>IFERROR(__xludf.DUMMYFUNCTION("IFERROR(
   PRODUCT(
     MAP(
       INDEX(TRANSPOSE(UNIQUE(TRANSPOSE(FILTER({IF($F28=""Physical"", K$10:ED$10, IF($F28=""Magic"", K$11:ED$11, K$12:ED$12));K$4:ED$4;K28:ED28}, K28:ED28=TRUE)))), 1, 0),
       INDEX(TRANSPOSE(UNIQUE(TRANSPOSE(FILTER({IF($"&amp;"F28=""Physical"", K$18:ED$18, IF($F28=""Magic"", K$19:ED$19, K$20:ED$20));K$4:ED$4;K28:ED28}, K28:ED28=TRUE)))), 1, 0),
       INDEX(TRANSPOSE(UNIQUE(TRANSPOSE(FILTER({K$5:ED$5;K$4:ED$4;K28:ED28}, K28:ED28=TRUE)))), 1, 0),
       INDEX(TRANSPOSE(UNIQUE(TR"&amp;"ANSPOSE(FILTER({K$17:ED$17;K$4:ED$4;K28:ED28}, K28:ED28=TRUE)))), 1, 0),
       LAMBDA(
         mitigation,
         enhance,
         assign,
         precondition,
         IF(
           REGEXMATCH(assign, ""RANGE_PARTY|SINGLE_ENEMY|RANGE_ENEMY""),
  "&amp;"         IF(
             OR(ARRAYFORMULA((IF(precondition="""", FALSE, REGEXMATCH(K$4:ED$4, precondition))) * (K28:ED28=TRUE))),
             IF(ISNUMBER(enhance), enhance, 1),
             IF(ISNUMBER(mitigation), mitigation, 1)
           ),
          "&amp;" 1
         )
       )
     )
   ),
   1
 )"),1.0)</f>
        <v>1</v>
      </c>
      <c r="EF28" s="200">
        <f>IFERROR(__xludf.DUMMYFUNCTION("PRODUCT(
   MAP(
     K$14:ED$14,
     K$13:ED$13,
     K28:ED28,
     LAMBDA(
       buff,
       target,
       check,
       IF(
         AND(check=TRUE, REGEXMATCH(target, ""RANGE_AFFECTED_ALL|RANGE_EFFECTED_ALL""), ISNUMBER(buff)),
         buff,
   "&amp;"      1
       )
     )
   )
 )"),1.0)</f>
        <v>1</v>
      </c>
      <c r="EG28" s="200">
        <f>IFERROR(__xludf.DUMMYFUNCTION("PRODUCT(
   MAP(
     K$14:ED$14,
     K$13:ED$13,
     K28:ED28,
     LAMBDA(
       buff,
       target,
       check,
       IF(
         AND(check=TRUE, REGEXMATCH(target, ""RANGE_AFFECTED_GCD|RANGE_EFFECTED_GCD""), ISNUMBER(buff)),
         buff,
   "&amp;"      1
       )
     )
   )
 )"),1.0)</f>
        <v>1</v>
      </c>
      <c r="EH28" s="200">
        <f>IFERROR(__xludf.DUMMYFUNCTION("PRODUCT(
   MAP(
     K$3:ED$3,
     K$14:ED$14,
     K$13:ED$13,
     K28:ED28,
     LAMBDA(
       job,
       buff,
       target,
       check,
       IF(
         AND(check=TRUE, REGEXMATCH(target, ""SELF_EFFECTED_ALL""), ISNUMBER(buff), job=""白魔道士"""&amp;"),
         buff,
         1
       )
     )
   )
 )"),1.0)</f>
        <v>1</v>
      </c>
      <c r="EI28" s="200">
        <f>IFERROR(__xludf.DUMMYFUNCTION("PRODUCT(
   MAP(
     K$3:ED$3,
     K$14:ED$14,
     K$13:ED$13,
     K28:ED28,
     LAMBDA(
       job,
       buff,
       target,
       check,
       IF(
         AND(check=TRUE, REGEXMATCH(target, ""SELF_EFFECTED_GCD""), ISNUMBER(buff), job=""白魔道士"""&amp;"),
         buff,
         1
       )
     )
   )
 )"),1.0)</f>
        <v>1</v>
      </c>
      <c r="EJ28" s="200">
        <f>IFERROR(__xludf.DUMMYFUNCTION("PRODUCT(
   MAP(
     K$3:ED$3,
     K$14:ED$14,
     K$13:ED$13,
     K28:ED28,
     LAMBDA(
       job,
       buff,
       target,
       check,
       IF(
         AND(check=TRUE, REGEXMATCH(target, ""SELF_EFFECTED_ALL""), ISNUMBER(buff), job=""占星術師"""&amp;"),
         buff,
         1
       )
     )
   )
 )"),1.0)</f>
        <v>1</v>
      </c>
      <c r="EK28" s="200">
        <f>IFERROR(__xludf.DUMMYFUNCTION("PRODUCT(
   MAP(
     K$3:ED$3,
     K$14:ED$14,
     K$13:ED$13,
     K28:ED28,
     LAMBDA(
       job,
       buff,
       target,
       check,
       IF(
         AND(check=TRUE, REGEXMATCH(target, ""SELF_EFFECTED_GCD""), ISNUMBER(buff), job=""占星術師"""&amp;"),
         buff,
         1
       )
     )
   )
 )"),1.0)</f>
        <v>1</v>
      </c>
      <c r="EL28" s="200">
        <f>IFERROR(__xludf.DUMMYFUNCTION("PRODUCT(
   MAP(
     K$3:ED$3,
     K$14:ED$14,
     K$13:ED$13,
     K28:ED28,
     LAMBDA(
       job,
       buff,
       target,
       check,
       IF(
         AND(check=TRUE, REGEXMATCH(target, ""SELF_EFFECTED_ALL""), ISNUMBER(buff), job=""学者""),"&amp;"
         buff,
         1
       )
     )
   )
 )"),1.0)</f>
        <v>1</v>
      </c>
      <c r="EM28" s="200">
        <f>IFERROR(__xludf.DUMMYFUNCTION("PRODUCT(
   MAP(
     K$3:ED$3,
     K$14:ED$14,
     K$13:ED$13,
     K28:ED28,
     LAMBDA(
       job,
       buff,
       target,
       check,
       IF(
         AND(check=TRUE, REGEXMATCH(target, ""SELF_EFFECTED_GCD""), ISNUMBER(buff), job=""学者""),"&amp;"
         buff,
         1
       )
     )
   )
 )"),1.0)</f>
        <v>1</v>
      </c>
      <c r="EN28" s="200">
        <f>IFERROR(__xludf.DUMMYFUNCTION("PRODUCT(
   MAP(
     K$3:ED$3,
     K$14:ED$14,
     K$13:ED$13,
     K28:ED28,
     LAMBDA(
       job,
       buff,
       target,
       check,
       IF(
         AND(check=TRUE, REGEXMATCH(target, ""SELF_EFFECTED_ALL""), ISNUMBER(buff), job=""賢者""),"&amp;"
         buff,
         1
       )
     )
   )
 )"),1.0)</f>
        <v>1</v>
      </c>
      <c r="EO28" s="200">
        <f>IFERROR(__xludf.DUMMYFUNCTION("PRODUCT(
   MAP(
     K$3:ED$3,
     K$14:ED$14,
     K$13:ED$13,
     K28:ED28,
     LAMBDA(
       job,
       buff,
       target,
       check,
       IF(
         AND(check=TRUE, REGEXMATCH(target, ""SELF_EFFECTED_GCD""), ISNUMBER(buff), job=""賢者""),"&amp;"
         buff,
         1
       )
     )
   )
 )"),1.0)</f>
        <v>1</v>
      </c>
      <c r="EP28" s="201">
        <f t="shared" si="4"/>
        <v>0</v>
      </c>
      <c r="EQ28" s="201">
        <f>IFERROR(__xludf.DUMMYFUNCTION("SUM(
   MAP(
     K$4:ED$4,
     K$3:ED$3,
     K$7:ED$7,
     K$15:ED$15,
     K$16:ED$16,
     K$21:ED$21,
     K$5:ED$5,
     K$17:ED$17,
     K28:ED28,
     LAMBDA(
       name,
       job,
       abillity,
       buff,
       barrier,
       enhance,"&amp;"
       assign,
       precondition,
       check,
       SWITCH(
         name,
         ""シェイクオフ"", IF(check=TRUE, buff + (0.02 * COUNTIF(ARRAYFORMULA((REGEXMATCH($K$4:$ED$4, ""スリル・オブ・バトル|ヴェンジェンス|原初の血気|ダムネーション"")) * (K28:ED28=TRUE)), 1)), 0),
         "&amp;"""インプロビゼーションフィニッシュ(踊りの激情0)"", IF(ISNUMBER(check), INDEX(Skill!$AJ:$AJ, MATCH(SUBSTITUTE(DV$4, 0, check), Skill!$C:$C, 0)), 0),
         IF(
           AND(check=TRUE, REGEXMATCH(assign, ""RANGE_PARTY"")),
           IF(
             OR(ARRAYFORMULA((IF(pr"&amp;"econdition="""", FALSE, REGEXMATCH($K$4:$ED$4, precondition))) * (K28:ED28=TRUE))),
             enhance,
             IF(barrier="""", buff, barrier)
           ),
           0
         )
       ) *
       SWITCH(
         job,
         ""ナイト"", EY$24,
 "&amp;"        ""戦士"", FD$24,
         ""踊り子"", ET$24,
         ""ピクトマンサー"", ET$24,
         ""白魔道士"", EF28 * EH28 * IF(abillity, 1, EG28 * EI28) * (Option!$D$22 * 0.81 / 100),
         ""占星術師"", EF28 * EJ28 * IF(abillity, 1, EG28 * EK28) * (Option!$D$23 * 0.81 "&amp;"/ 100),
         ""学者"", EF28 * EL28 * IF(abillity, 1, EG28 * EM28) * (Option!$D$24 * 0.81 / 100),
         ""賢者"", EF28 * EN28 * IF(abillity, 1, EG28 * EO28) * (Option!$D$25 * 0.81 / 100),
         1
       )
     )
   )
 )"),0.0)</f>
        <v>0</v>
      </c>
      <c r="ER28" s="202">
        <f t="shared" si="5"/>
        <v>0</v>
      </c>
      <c r="ES28" s="203">
        <f t="shared" si="6"/>
        <v>0</v>
      </c>
      <c r="ET28" s="204" t="str">
        <f>IFERROR(__xludf.DUMMYFUNCTION("IFS(
  EP28 &gt; $ET$24 + EQ28,
  SPARKLINE({ 1, 0 }, {""charttype"",""bar"";""max"", 1;""color1"",Option!$D$30;""color2"",Option!$D$30}),
  EP28 &lt; EQ28,
  SPARKLINE({EQ28 - EP28, $ET$24 - (EQ28 - EP28)}, {""charttype"",""bar"";""max"",$ET$24;""color1"",Opti"&amp;"on!$D$28;""color2"",Option!$D$29}),
  EP28 &gt;= EQ28,
  SPARKLINE({$ET$24 + EQ28 - EP28,EP28 - EQ28}, {""charttype"",""bar"";""max"",$ET$24;""color1"",Option!$D$29;""color2"",Option!$D$30})
)"),"")</f>
        <v/>
      </c>
      <c r="EU28" s="205">
        <f>IFERROR(__xludf.DUMMYFUNCTION("PRODUCT(
   MAP(
     IF($F28=""Physical"", K$10:ED$10, IF($F28=""Magic"", K$11:ED$11, K$12:ED$12)),
     IF($F28=""Physical"", K$18:ED$18, IF($F28=""Magic"", K$19:ED$19, K$20:ED$20)),
     K$3:ED$3,
     K$5:ED$5,
     K$17:ED$17,
     K28:ED28,
     LAM"&amp;"BDA(
       mitigation,
       enhance,
       job,
       assign,
       precondition,
       check,
       IF(
         OR(AND(check=TRUE, REGEXMATCH(assign, ""SELF""), job=""ナイト""), AND(check=Option!$E$13, REGEXMATCH(assign, ""SINGLE_PARTY""))),
      "&amp;"   IF(
           OR(ARRAYFORMULA((IF(precondition="""", FALSE, REGEXMATCH($K$4:$ED$4, precondition))) * (K28:ED28=TRUE))),
           enhance,
           mitigation
         ),
         1
       )
     )
   )
 ) * EE28"),1.0)</f>
        <v>1</v>
      </c>
      <c r="EV28" s="206">
        <f t="shared" si="7"/>
        <v>0</v>
      </c>
      <c r="EW28" s="205">
        <f>IFERROR(__xludf.DUMMYFUNCTION("PRODUCT(
   MAP(
     K$3:ED$3,
     K$14:ED$14,
     K$13:ED$13,
     K28:ED28,
     LAMBDA(
       job,
       buff,
       target,
       check,
       IF(
         OR(AND(check=TRUE, REGEXMATCH(target, ""SELF_AFFECTED_ALL""), job=""ナイト""), AND(check=O"&amp;"ption!$E$13, REGEXMATCH(target, ""SINGLE_AFFECTED_ALL""))),
         buff,
         1
       )
     )
   )
 )"),1.0)</f>
        <v>1</v>
      </c>
      <c r="EX28" s="206">
        <f>IFERROR(__xludf.DUMMYFUNCTION("SUM(
   MAP(
     K$3:ED$3,
     K$7:ED$7,
     K$15:ED$15,
     K$16:ED$16,
     K$21:ED$21,
     K$5:ED$5,
     K$17:ED$17,
     K28:ED28,
     LAMBDA(
       job,
       abillity,
       buff,
       barrier,
       enhance,
       assign,
       preco"&amp;"ndition,
       check,
       IF(
         OR(AND(check=TRUE, REGEXMATCH(assign, ""SELF""), job=""ナイト""), AND(check=Option!$E$13, REGEXMATCH(assign, ""SINGLE_PARTY""))),
         IF(
           OR(ARRAYFORMULA((IF(precondition="""", FALSE, REGEXMATCH($K$4"&amp;":$ED$4, precondition))) * (K28:ED28=TRUE))),
           enhance,
           IF(barrier="""", buff, barrier)
         ),
         0
       ) *
       SWITCH(
         job,
         ""暗黒騎士"", EY$24,
         ""白魔道士"", EF28 * EH28 * EW28 * IF(abillity, 1, EG"&amp;"28 * EI28) * (Option!$D$22 * 0.81 / 100),
         ""占星術師"", EF28 * EJ28 * EW28 * IF(abillity, 1, EG28 * EK28) * (Option!$D$23 * 0.81 / 100),
         ""学者"", EF28 * EL28 * EW28 * IF(abillity, 1, EG28 * EM28) * (Option!$D$24 * 0.81 / 100),
         ""賢者"""&amp;", EF28 * EN28 * EW28 * IF(abillity, 1, EG28 * EO28) * (Option!$D$25 * 0.81 / 100),
         1
       )
     )
   )
 ) + EQ28"),0.0)</f>
        <v>0</v>
      </c>
      <c r="EY28" s="206">
        <f t="shared" si="8"/>
        <v>0</v>
      </c>
      <c r="EZ28" s="205">
        <f>IFERROR(__xludf.DUMMYFUNCTION("PRODUCT(
   MAP(
     IF($F28=""Physical"", K$10:ED$10, IF($F28=""Magic"", K$11:ED$11, K$12:ED$12)),
     IF($F28=""Physical"", K$18:ED$18, IF($F28=""Magic"", K$19:ED$19, K$20:ED$20)),
     K$3:ED$3,
     K$5:ED$5,
     K$17:ED$17,
     K28:ED28,
     LAM"&amp;"BDA(
       mitigation,
       enhance,
       job,
       assign,
       precondition,
       check,
       IF(
         OR(AND(check=TRUE, REGEXMATCH(assign, ""SELF""), job=""戦士""), AND(check=Option!$F$13, REGEXMATCH(assign, ""SINGLE_PARTY""))),
       "&amp;"  IF(
           OR(ARRAYFORMULA((IF(precondition="""", FALSE, REGEXMATCH($K$4:$ED$4, precondition))) * (K28:ED28=TRUE))),
           enhance,
           mitigation
         ),
         1
       )
     )
   )
 ) * EE28"),1.0)</f>
        <v>1</v>
      </c>
      <c r="FA28" s="206">
        <f t="shared" si="9"/>
        <v>0</v>
      </c>
      <c r="FB28" s="205">
        <f>IFERROR(__xludf.DUMMYFUNCTION("PRODUCT(
   MAP(
     K$3:ED$3,
     K$14:ED$14,
     K$13:ED$13,
     K28:ED28,
     LAMBDA(
       job,
       buff,
       target,
       check,
       IF(
         OR(AND(check=TRUE, REGEXMATCH(target, ""SELF_AFFECTED_ALL""), job=""戦士""), AND(check=Op"&amp;"tion!$F$13, REGEXMATCH(target, ""SINGLE_AFFECTED_ALL""))),
         buff,
         1
       )
     )
   )
 )"),1.0)</f>
        <v>1</v>
      </c>
      <c r="FC28" s="206">
        <f>IFERROR(__xludf.DUMMYFUNCTION("SUM(
   MAP(
     K$3:ED$3,
     K$7:ED$7,
     K$15:ED$15,
     K$16:ED$16,
     K$21:ED$21,
     K$5:ED$5,
     K$17:ED$17,
     K28:ED28,
     LAMBDA(
       job,
       abillity,
       buff,
       barrier,
       enhance,
       assign,
       preco"&amp;"ndition,
       check,
       IF(
         OR(AND(check=TRUE, REGEXMATCH(assign, ""SELF""), job=""戦士""), AND(check=Option!$F$13, REGEXMATCH(assign, ""SINGLE_PARTY""))),
         IF(
           OR(ARRAYFORMULA((IF(precondition="""", FALSE, REGEXMATCH($K$4:"&amp;"$ED$4, precondition))) * (K28:ED28=TRUE))),
           enhance,
           IF(barrier="""", buff, barrier)
         ),
         0
       ) *
       SWITCH(
         job,
         ""暗黒騎士"", FD$24,
         ""白魔道士"", EF28 * EH28 * FB28 * IF(abillity, 1, EG2"&amp;"8 * EI28) * (Option!$D$22 * 0.81 / 100),
         ""占星術師"", EF28 * EJ28 * FFB28 * IF(abillity, 1, EG28 * EK28) * (Option!$D$23 * 0.81 / 100),
         ""学者"", EF28 * EL28 * FB28 * IF(abillity, 1, EG28 * EM28) * (Option!$D$24 * 0.81 / 100),
         ""賢者"""&amp;", EF28 * EN28 * FB28 * IF(abillity, 1, EG28 * EO28) * (Option!$D$25 * 0.81 / 100),
         1
       )
     )
   )
 ) + EQ28"),0.0)</f>
        <v>0</v>
      </c>
      <c r="FD28" s="206">
        <f t="shared" si="10"/>
        <v>0</v>
      </c>
      <c r="FE28" s="205">
        <f>IFERROR(__xludf.DUMMYFUNCTION("PRODUCT(
   MAP(
     IF($F28=""Physical"", K$10:ED$10, IF($F28=""Magic"", K$11:ED$11, K$12:ED$12)),
     IF($F28=""Physical"", K$18:ED$18, IF($F28=""Magic"", K$19:ED$19, K$20:ED$20)),
     K$3:ED$3,
     K$5:ED$5,
     K$17:ED$17,
     K28:ED28,
     LAM"&amp;"BDA(
       mitigation,
       enhance,
       job,
       assign,
       precondition,
       check,
       IF(
         OR(AND(check=TRUE, REGEXMATCH(assign, ""SELF""), job=""暗黒騎士""), AND(check=Option!$G$13, REGEXMATCH(assign, ""SINGLE_PARTY""))),
     "&amp;"    IF(
           OR(ARRAYFORMULA((IF(precondition="""", FALSE, REGEXMATCH($K$4:$ED$4, precondition))) * (K28:ED28=TRUE))),
           enhance,
           mitigation
         ),
         1
       )
     )
   )
 ) * EE28"),1.0)</f>
        <v>1</v>
      </c>
      <c r="FF28" s="206">
        <f t="shared" si="11"/>
        <v>0</v>
      </c>
      <c r="FG28" s="205">
        <f>IFERROR(__xludf.DUMMYFUNCTION("PRODUCT(
   MAP(
     K$3:ED$3,
     K$14:ED$14,
     K$13:ED$13,
     K28:ED28,
     LAMBDA(
       job,
       buff,
       target,
       check,
       IF(
         OR(AND(check=TRUE, REGEXMATCH(target, ""SELF_AFFECTED_ALL""), job=""暗黒騎士""), AND(check="&amp;"Option!$G$13, REGEXMATCH(target, ""SINGLE_AFFECTED_ALL""))),
         buff,
         1
       )
     )
   )
 )"),1.0)</f>
        <v>1</v>
      </c>
      <c r="FH28" s="206">
        <f>IFERROR(__xludf.DUMMYFUNCTION("SUM(
   MAP(
     K$3:ED$3,
     K$7:ED$7,
     K$15:ED$15,
     K$16:ED$16,
     K$21:ED$21,
     K$5:ED$5,
     K$17:ED$17,
     K28:ED28,
     LAMBDA(
       job,
       abillity,
       buff,
       barrier,
       enhance,
       assign,
       preco"&amp;"ndition,
       check,
       IF(
         OR(AND(check=TRUE, REGEXMATCH(assign, ""SELF""), job=""暗黒騎士""), AND(check=Option!$G$13, REGEXMATCH(assign, ""SINGLE_PARTY""))),
         IF(
           OR(ARRAYFORMULA((IF(precondition="""", FALSE, REGEXMATCH($K$"&amp;"4:$ED$4, precondition))) * (K28:ED28=TRUE))),
           enhance,
           IF(barrier="""", buff, barrier)
         ),
         0
       ) *
       SWITCH(
         job,
         ""暗黒騎士"", FI$24,
         ""白魔道士"", EF28 * EH28 * FG28 * IF(abillity, 1, E"&amp;"G28 * EI28) * (Option!$D$22 * 0.81 / 100),
         ""占星術師"", EF28 * EJ28 * FG28 * IF(abillity, 1, EG28 * EK28) * (Option!$D$23 * 0.81 / 100),
         ""学者"", EF28 * EL28 * FG28 * IF(abillity, 1, EG28 * EM28) * (Option!$D$24 * 0.81 / 100),
         ""賢者"&amp;""", EF28 * EN28 * FG28 * IF(abillity, 1, EG28 * EO28) * (Option!$D$25 * 0.81 / 100),
         1
       )
     )
   )
 ) + EQ28"),0.0)</f>
        <v>0</v>
      </c>
      <c r="FI28" s="206">
        <f t="shared" si="12"/>
        <v>0</v>
      </c>
      <c r="FJ28" s="205">
        <f>IFERROR(__xludf.DUMMYFUNCTION("PRODUCT(
   MAP(
     IF($F28=""Physical"", K$10:ED$10, IF($F28=""Magic"", K$11:ED$11, K$12:ED$12)),
     IF($F28=""Physical"", K$18:ED$18, IF($F28=""Magic"", K$19:ED$19, K$20:ED$20)),
     K$3:ED$3,
     K$5:ED$5,
     K$17:ED$17,
     K28:ED28,
     LAM"&amp;"BDA(
       mitigation,
       enhance,
       job,
       assign,
       precondition,
       check,
       IF(
         OR(AND(check=TRUE, REGEXMATCH(assign, ""SELF""), job=""ガンブレイカー""), AND(check=Option!$H$13, REGEXMATCH(assign, ""SINGLE_PARTY""))),
  "&amp;"       IF(
           OR(ARRAYFORMULA((IF(precondition="""", FALSE, REGEXMATCH($K$4:$ED$4, precondition))) * (K28:ED28=TRUE))),
           enhance,
           mitigation
         ),
         1
       )
     )
   )
 ) * EE28"),1.0)</f>
        <v>1</v>
      </c>
      <c r="FK28" s="206">
        <f t="shared" si="13"/>
        <v>0</v>
      </c>
      <c r="FL28" s="205">
        <f>IFERROR(__xludf.DUMMYFUNCTION("PRODUCT(
   MAP(
     K$3:ED$3,
     K$14:ED$14,
     K$13:ED$13,
     K28:ED28,
     LAMBDA(
       job,
       buff,
       target,
       check,
       IF(
         OR(AND(check=TRUE, REGEXMATCH(target, ""SELF_AFFECTED_ALL""), job=""ガンブレイカー""), AND(che"&amp;"ck=Option!$H$13, REGEXMATCH(target, ""SINGLE_AFFECTED_ALL""))),
         buff,
         1
       )
     )
   )
 )"),1.0)</f>
        <v>1</v>
      </c>
      <c r="FM28" s="206">
        <f>IFERROR(__xludf.DUMMYFUNCTION("SUM(
   MAP(
     K$3:ED$3,
     K$7:ED$7,
     K$15:ED$15,
     K$16:ED$16,
     K$21:ED$21,
     K$5:ED$5,
     K$17:ED$17,
     K28:ED28,
     LAMBDA(
       job,
       abillity,
       buff,
       barrier,
       enhance,
       assign,
       preco"&amp;"ndition,
       check,
       IF(
         OR(AND(check=TRUE, REGEXMATCH(assign, ""SELF""), job=""ガンブレイカー""), AND(check=Option!$H$13, REGEXMATCH(assign, ""SINGLE_PARTY""))),
         IF(
           OR(ARRAYFORMULA((IF(precondition="""", FALSE, REGEXMATCH("&amp;"$K$4:$ED$4, precondition))) * (K28:ED28=TRUE))),
           enhance,
           IF(barrier="""", buff, barrier)
         ),
         0
       ) *
       SWITCH(
         job,
         ""暗黒騎士"", FN$24,
         ""白魔道士"", EF28 * EH28 * FL28 * IF(abillity, 1"&amp;", EG28 * EI28) * (Option!$D$22 * 0.81 / 100),
         ""占星術師"", EF28 * EJ28 * FL28 * IF(abillity, 1, EG28 * EK28) * (Option!$D$23 * 0.81 / 100),
         ""学者"", EF28 * EL28 * FL28 * IF(abillity, 1, EG28 * EM28) * (Option!$D$24 * 0.81 / 100),
         """&amp;"賢者"", EF28 * EN28 * FL28 * IF(abillity, 1, EG28 * EO28) * (Option!$D$25 * 0.81 / 100),
         1
       )
     )
   )
 ) + EQ28"),0.0)</f>
        <v>0</v>
      </c>
      <c r="FN28" s="206">
        <f t="shared" si="14"/>
        <v>0</v>
      </c>
      <c r="FO28" s="213"/>
    </row>
    <row r="29">
      <c r="B29" s="208"/>
      <c r="C29" s="217">
        <f t="shared" si="1"/>
        <v>0.00006944444444</v>
      </c>
      <c r="D29" s="218">
        <v>6.944444444444444E-5</v>
      </c>
      <c r="E29" s="219" t="s">
        <v>1071</v>
      </c>
      <c r="F29" s="167" t="s">
        <v>11</v>
      </c>
      <c r="G29" s="168" t="str">
        <f t="shared" si="2"/>
        <v/>
      </c>
      <c r="H29" s="169"/>
      <c r="I29" s="169"/>
      <c r="J29" s="169"/>
      <c r="K29" s="170" t="b">
        <v>0</v>
      </c>
      <c r="L29" s="170" t="b">
        <v>0</v>
      </c>
      <c r="M29" s="170" t="b">
        <v>1</v>
      </c>
      <c r="N29" s="171" t="s">
        <v>1070</v>
      </c>
      <c r="O29" s="172" t="b">
        <v>0</v>
      </c>
      <c r="P29" s="173" t="b">
        <v>0</v>
      </c>
      <c r="Q29" s="173" t="b">
        <v>0</v>
      </c>
      <c r="R29" s="173" t="b">
        <v>0</v>
      </c>
      <c r="S29" s="174" t="b">
        <v>0</v>
      </c>
      <c r="T29" s="175" t="b">
        <v>0</v>
      </c>
      <c r="U29" s="173" t="b">
        <v>0</v>
      </c>
      <c r="V29" s="171" t="s">
        <v>1070</v>
      </c>
      <c r="W29" s="172" t="b">
        <v>0</v>
      </c>
      <c r="X29" s="173" t="b">
        <v>0</v>
      </c>
      <c r="Y29" s="173" t="b">
        <v>0</v>
      </c>
      <c r="Z29" s="173" t="b">
        <v>0</v>
      </c>
      <c r="AA29" s="174" t="b">
        <v>0</v>
      </c>
      <c r="AB29" s="174" t="b">
        <v>0</v>
      </c>
      <c r="AC29" s="175" t="b">
        <v>0</v>
      </c>
      <c r="AD29" s="173" t="b">
        <v>0</v>
      </c>
      <c r="AE29" s="176" t="s">
        <v>1070</v>
      </c>
      <c r="AF29" s="171" t="s">
        <v>1070</v>
      </c>
      <c r="AG29" s="177">
        <f>IFERROR(__xludf.DUMMYFUNCTION("IF(
  ISNUMBER(AG28),
  MIN(MAX(
    AG28
    + MAX(
      ROUNDDOWN(($D29 - MAX(IFERROR(FILTER($D$24:$D28, AG$24:AG28 &lt;&gt; AF$6, AG$23:AG27 = AF$6), 0))) * (60 * 60 * 24) / AF$9) - ROUNDDOWN(($D28 - MAX(IFERROR(FILTER($D$23:$D27, AG$23:AG27 &lt;&gt; AF$6, AG$22:"&amp;"AG26 = AF$6), 0))) * (60 * 60 * 24) / 60),
      0
    )
    - COUNTIF(AF29, ""&lt;&gt;-""),
  0), AF$6),
  AF$6 - COUNTIF(AF29, ""&lt;&gt;-"")
)"),2.0)</f>
        <v>2</v>
      </c>
      <c r="AH29" s="173" t="b">
        <v>0</v>
      </c>
      <c r="AI29" s="173" t="b">
        <v>0</v>
      </c>
      <c r="AJ29" s="173" t="b">
        <v>0</v>
      </c>
      <c r="AK29" s="174" t="b">
        <v>0</v>
      </c>
      <c r="AL29" s="175" t="b">
        <v>0</v>
      </c>
      <c r="AM29" s="173" t="b">
        <v>0</v>
      </c>
      <c r="AN29" s="171" t="s">
        <v>1070</v>
      </c>
      <c r="AO29" s="173" t="b">
        <v>0</v>
      </c>
      <c r="AP29" s="173" t="b">
        <v>0</v>
      </c>
      <c r="AQ29" s="173" t="b">
        <v>0</v>
      </c>
      <c r="AR29" s="174" t="b">
        <v>0</v>
      </c>
      <c r="AS29" s="178" t="b">
        <v>0</v>
      </c>
      <c r="AT29" s="179" t="b">
        <v>0</v>
      </c>
      <c r="AU29" s="180" t="b">
        <v>0</v>
      </c>
      <c r="AV29" s="180" t="b">
        <v>0</v>
      </c>
      <c r="AW29" s="180" t="b">
        <v>0</v>
      </c>
      <c r="AX29" s="180" t="b">
        <v>0</v>
      </c>
      <c r="AY29" s="181" t="s">
        <v>1070</v>
      </c>
      <c r="AZ29" s="181" t="s">
        <v>1070</v>
      </c>
      <c r="BA29" s="184">
        <f>IFERROR(__xludf.DUMMYFUNCTION("IF(
  ISNUMBER(BA28),
  MIN(MAX(
    BA28
    + MAX(
      ROUNDDOWN((D29 - MAX(IFERROR(FILTER(D$24:D28, BA$24:BA28 &lt;&gt; AZ$6, BA$23:BA27 = AZ$6), 0))) * (60 * 60 * 24) / AZ$9) - ROUNDDOWN((D28 - MAX(IFERROR(FILTER(D$23:D27, BA$23:BA27 &lt;&gt; AZ$6, BA$22:BA26 ="&amp;" AZ$6), 0))) * (60 * 60 * 24) / AZ$9),
      0
    )
    - COUNTIF(AZ29, ""&lt;&gt;-""),
  0), AZ$6),
  AZ$6 - COUNTIF(AZ29, ""&lt;&gt;-"")
)"),2.0)</f>
        <v>2</v>
      </c>
      <c r="BB29" s="181" t="s">
        <v>1070</v>
      </c>
      <c r="BC29" s="183">
        <f>IFERROR(__xludf.DUMMYFUNCTION("IF(
  ISNUMBER(BC28),
  MIN(MAX(
    BC28
    + MAX(
      ROUNDDOWN(($D29 - MAX(IFERROR(FILTER($D$24:$D28, BC$24:BC28 &lt;&gt; BB$6, BC$23:BC27 = BB$6), 0))) * (60 * 60 * 24) / BB$9) - ROUNDDOWN(($D28 - MAX(IFERROR(FILTER($D$23:$D27, BC$23:BC27 &lt;&gt; BB$6, BC$22:"&amp;"BC26 = BB$6), 0))) * (60 * 60 * 24) / 60),
      0
    )
    - COUNTIF(BB29, ""&lt;&gt;-""),
  0), BB$6),
  BB$6 - COUNTIF(BB29, ""&lt;&gt;-"")
)"),2.0)</f>
        <v>2</v>
      </c>
      <c r="BD29" s="181" t="s">
        <v>1070</v>
      </c>
      <c r="BE29" s="178" t="b">
        <v>0</v>
      </c>
      <c r="BF29" s="180" t="b">
        <v>0</v>
      </c>
      <c r="BG29" s="180" t="b">
        <v>0</v>
      </c>
      <c r="BH29" s="180" t="b">
        <v>0</v>
      </c>
      <c r="BI29" s="180" t="b">
        <v>0</v>
      </c>
      <c r="BJ29" s="180" t="b">
        <v>0</v>
      </c>
      <c r="BK29" s="180" t="b">
        <v>0</v>
      </c>
      <c r="BL29" s="180" t="b">
        <v>0</v>
      </c>
      <c r="BM29" s="180" t="b">
        <v>0</v>
      </c>
      <c r="BN29" s="180" t="b">
        <v>0</v>
      </c>
      <c r="BO29" s="181" t="s">
        <v>1070</v>
      </c>
      <c r="BP29" s="181" t="s">
        <v>1070</v>
      </c>
      <c r="BQ29" s="181" t="s">
        <v>1070</v>
      </c>
      <c r="BR29" s="181" t="s">
        <v>1070</v>
      </c>
      <c r="BS29" s="181" t="s">
        <v>1070</v>
      </c>
      <c r="BT29" s="184">
        <f>IFERROR(__xludf.DUMMYFUNCTION("IF(
  ISNUMBER(BT28),
  MIN(MAX(
    BT28
    + MAX(
      ROUNDDOWN((D29 - MAX(IFERROR(FILTER(D$24:D28, BT$24:BT28 &lt;&gt; BS$6, BT$23:BT27 = BS$6), 0))) * (60 * 60 * 24) / BS$9) - ROUNDDOWN((D28 - MAX(IFERROR(FILTER(D$23:D27, BT$23:BT27 &lt;&gt; BS$6, BT$22:BT26 ="&amp;" BS$6), 0))) * (60 * 60 * 24) / BS$9),
      0
    )
    - COUNTIF(BS29, ""&lt;&gt;-""),
  0), BS$6),
  BS$6 - COUNTIF(BS29, ""&lt;&gt;-"")
)"),3.0)</f>
        <v>3</v>
      </c>
      <c r="BU29" s="181" t="s">
        <v>1070</v>
      </c>
      <c r="BV29" s="181" t="s">
        <v>1070</v>
      </c>
      <c r="BW29" s="184">
        <f>IFERROR(__xludf.DUMMYFUNCTION("IF(
  ISNUMBER(BW28),
  MIN(MAX(
    BW28
    + MAX(
      ROUNDDOWN((D29 - MAX(IFERROR(FILTER(D$24:D28, BW$24:BW28 &lt;&gt; BV$6, BW$23:BW27 = BV$6), 0))) * (60 * 60 * 24) / BV$9) - ROUNDDOWN((D28 - MAX(IFERROR(FILTER(D$23:D27, BW$23:BW27 &lt;&gt; BV$6, BW$22:BW26 ="&amp;" BV$6), 0))) * (60 * 60 * 24) / BV$9),
      0
    )
    - COUNTIF(BV29, ""&lt;&gt;-""),
  0), BV$6),
  BV$6 - COUNTIF(BV29, ""&lt;&gt;-"")
)"),2.0)</f>
        <v>2</v>
      </c>
      <c r="BX29" s="185" t="s">
        <v>1070</v>
      </c>
      <c r="BY29" s="178" t="b">
        <v>0</v>
      </c>
      <c r="BZ29" s="180" t="b">
        <v>0</v>
      </c>
      <c r="CA29" s="180" t="b">
        <v>0</v>
      </c>
      <c r="CB29" s="180" t="b">
        <v>0</v>
      </c>
      <c r="CC29" s="180" t="b">
        <v>0</v>
      </c>
      <c r="CD29" s="180" t="b">
        <v>0</v>
      </c>
      <c r="CE29" s="180" t="b">
        <v>0</v>
      </c>
      <c r="CF29" s="180" t="b">
        <v>0</v>
      </c>
      <c r="CG29" s="180" t="b">
        <v>0</v>
      </c>
      <c r="CH29" s="180" t="b">
        <v>0</v>
      </c>
      <c r="CI29" s="180" t="b">
        <v>0</v>
      </c>
      <c r="CJ29" s="180" t="b">
        <v>0</v>
      </c>
      <c r="CK29" s="180" t="b">
        <v>0</v>
      </c>
      <c r="CL29" s="180" t="b">
        <v>0</v>
      </c>
      <c r="CM29" s="181" t="s">
        <v>1070</v>
      </c>
      <c r="CN29" s="181" t="s">
        <v>1070</v>
      </c>
      <c r="CO29" s="181" t="s">
        <v>1070</v>
      </c>
      <c r="CP29" s="181" t="s">
        <v>1070</v>
      </c>
      <c r="CQ29" s="185" t="s">
        <v>1070</v>
      </c>
      <c r="CR29" s="180" t="b">
        <v>0</v>
      </c>
      <c r="CS29" s="186" t="str">
        <f t="shared" si="3"/>
        <v>◇◇◇</v>
      </c>
      <c r="CT29" s="178" t="b">
        <v>0</v>
      </c>
      <c r="CU29" s="180" t="b">
        <v>0</v>
      </c>
      <c r="CV29" s="180" t="b">
        <v>0</v>
      </c>
      <c r="CW29" s="180" t="b">
        <v>0</v>
      </c>
      <c r="CX29" s="180" t="b">
        <v>0</v>
      </c>
      <c r="CY29" s="180" t="b">
        <v>0</v>
      </c>
      <c r="CZ29" s="180" t="b">
        <v>0</v>
      </c>
      <c r="DA29" s="180" t="b">
        <v>0</v>
      </c>
      <c r="DB29" s="180" t="b">
        <v>0</v>
      </c>
      <c r="DC29" s="180" t="b">
        <v>0</v>
      </c>
      <c r="DD29" s="181" t="s">
        <v>1070</v>
      </c>
      <c r="DE29" s="181" t="s">
        <v>1070</v>
      </c>
      <c r="DF29" s="181" t="s">
        <v>1070</v>
      </c>
      <c r="DG29" s="185" t="s">
        <v>1070</v>
      </c>
      <c r="DH29" s="180" t="b">
        <v>0</v>
      </c>
      <c r="DI29" s="187" t="str">
        <f>IFERROR(__xludf.DUMMYFUNCTION("SWITCH(
  IF(
    ISTEXT(DI28),
    IF (
      FIND(""○"", DI28&amp;""○"") &gt; 3,
      3,
      FIND(""○"", DI28&amp;""○"")
      + MAX(
        ROUNDDOWN(($D29 - MAX(IFERROR(FILTER(D$24:D28, DI$24:DI28 &lt;&gt; ""●●●"", DI$23:DI27 = ""●●●""), 0))) * (60 * 60 * 24) / 20"&amp;") - ROUNDDOWN(($D28 - MAX(IFERROR(FILTER(D$23:D27, DI$23:DI27 &lt;&gt; ""●●●"", DI$22:DI26 = ""●●●""), 0))) * (60 * 60 * 24) / 20),
        0
      ) - 1
    ) - COUNTIFS(CU29, ""=TRUE"", CU28, ""&lt;&gt;TRUE"") - COUNTIF(CZ29, ""=TRUE"") - COUNTIF({DD29,DE29}, ""&lt;&gt;-"&amp;""") + COUNTIF(DH29, ""=TRUE""),
    3
  ),
  0, ""○○○"", 1, ""●○○"", 2, ""●●○"", 3, ""●●●"", 4, ""●●●"", ""○○○""
)"),"●●●")</f>
        <v>●●●</v>
      </c>
      <c r="DJ29" s="188" t="b">
        <v>0</v>
      </c>
      <c r="DK29" s="189" t="b">
        <v>0</v>
      </c>
      <c r="DL29" s="190" t="b">
        <v>0</v>
      </c>
      <c r="DM29" s="190" t="b">
        <v>0</v>
      </c>
      <c r="DN29" s="190" t="b">
        <v>0</v>
      </c>
      <c r="DO29" s="190" t="b">
        <v>0</v>
      </c>
      <c r="DP29" s="190" t="b">
        <v>0</v>
      </c>
      <c r="DQ29" s="191" t="b">
        <v>0</v>
      </c>
      <c r="DR29" s="192" t="b">
        <v>0</v>
      </c>
      <c r="DS29" s="191" t="b">
        <v>0</v>
      </c>
      <c r="DT29" s="192" t="b">
        <v>0</v>
      </c>
      <c r="DU29" s="191" t="b">
        <v>0</v>
      </c>
      <c r="DV29" s="193" t="s">
        <v>1070</v>
      </c>
      <c r="DW29" s="194" t="b">
        <v>0</v>
      </c>
      <c r="DX29" s="194" t="b">
        <v>0</v>
      </c>
      <c r="DY29" s="195" t="b">
        <v>0</v>
      </c>
      <c r="DZ29" s="196" t="b">
        <v>0</v>
      </c>
      <c r="EA29" s="195" t="b">
        <v>0</v>
      </c>
      <c r="EB29" s="197" t="b">
        <v>0</v>
      </c>
      <c r="EC29" s="197" t="b">
        <v>0</v>
      </c>
      <c r="ED29" s="212" t="b">
        <v>0</v>
      </c>
      <c r="EE29" s="199">
        <f>IFERROR(__xludf.DUMMYFUNCTION("IFERROR(
   PRODUCT(
     MAP(
       INDEX(TRANSPOSE(UNIQUE(TRANSPOSE(FILTER({IF($F29=""Physical"", K$10:ED$10, IF($F29=""Magic"", K$11:ED$11, K$12:ED$12));K$4:ED$4;K29:ED29}, K29:ED29=TRUE)))), 1, 0),
       INDEX(TRANSPOSE(UNIQUE(TRANSPOSE(FILTER({IF($"&amp;"F29=""Physical"", K$18:ED$18, IF($F29=""Magic"", K$19:ED$19, K$20:ED$20));K$4:ED$4;K29:ED29}, K29:ED29=TRUE)))), 1, 0),
       INDEX(TRANSPOSE(UNIQUE(TRANSPOSE(FILTER({K$5:ED$5;K$4:ED$4;K29:ED29}, K29:ED29=TRUE)))), 1, 0),
       INDEX(TRANSPOSE(UNIQUE(TR"&amp;"ANSPOSE(FILTER({K$17:ED$17;K$4:ED$4;K29:ED29}, K29:ED29=TRUE)))), 1, 0),
       LAMBDA(
         mitigation,
         enhance,
         assign,
         precondition,
         IF(
           REGEXMATCH(assign, ""RANGE_PARTY|SINGLE_ENEMY|RANGE_ENEMY""),
  "&amp;"         IF(
             OR(ARRAYFORMULA((IF(precondition="""", FALSE, REGEXMATCH(K$4:ED$4, precondition))) * (K29:ED29=TRUE))),
             IF(ISNUMBER(enhance), enhance, 1),
             IF(ISNUMBER(mitigation), mitigation, 1)
           ),
          "&amp;" 1
         )
       )
     )
   ),
   1
 )"),1.0)</f>
        <v>1</v>
      </c>
      <c r="EF29" s="200">
        <f>IFERROR(__xludf.DUMMYFUNCTION("PRODUCT(
   MAP(
     K$14:ED$14,
     K$13:ED$13,
     K29:ED29,
     LAMBDA(
       buff,
       target,
       check,
       IF(
         AND(check=TRUE, REGEXMATCH(target, ""RANGE_AFFECTED_ALL|RANGE_EFFECTED_ALL""), ISNUMBER(buff)),
         buff,
   "&amp;"      1
       )
     )
   )
 )"),1.0)</f>
        <v>1</v>
      </c>
      <c r="EG29" s="200">
        <f>IFERROR(__xludf.DUMMYFUNCTION("PRODUCT(
   MAP(
     K$14:ED$14,
     K$13:ED$13,
     K29:ED29,
     LAMBDA(
       buff,
       target,
       check,
       IF(
         AND(check=TRUE, REGEXMATCH(target, ""RANGE_AFFECTED_GCD|RANGE_EFFECTED_GCD""), ISNUMBER(buff)),
         buff,
   "&amp;"      1
       )
     )
   )
 )"),1.0)</f>
        <v>1</v>
      </c>
      <c r="EH29" s="200">
        <f>IFERROR(__xludf.DUMMYFUNCTION("PRODUCT(
   MAP(
     K$3:ED$3,
     K$14:ED$14,
     K$13:ED$13,
     K29:ED29,
     LAMBDA(
       job,
       buff,
       target,
       check,
       IF(
         AND(check=TRUE, REGEXMATCH(target, ""SELF_EFFECTED_ALL""), ISNUMBER(buff), job=""白魔道士"""&amp;"),
         buff,
         1
       )
     )
   )
 )"),1.0)</f>
        <v>1</v>
      </c>
      <c r="EI29" s="200">
        <f>IFERROR(__xludf.DUMMYFUNCTION("PRODUCT(
   MAP(
     K$3:ED$3,
     K$14:ED$14,
     K$13:ED$13,
     K29:ED29,
     LAMBDA(
       job,
       buff,
       target,
       check,
       IF(
         AND(check=TRUE, REGEXMATCH(target, ""SELF_EFFECTED_GCD""), ISNUMBER(buff), job=""白魔道士"""&amp;"),
         buff,
         1
       )
     )
   )
 )"),1.0)</f>
        <v>1</v>
      </c>
      <c r="EJ29" s="200">
        <f>IFERROR(__xludf.DUMMYFUNCTION("PRODUCT(
   MAP(
     K$3:ED$3,
     K$14:ED$14,
     K$13:ED$13,
     K29:ED29,
     LAMBDA(
       job,
       buff,
       target,
       check,
       IF(
         AND(check=TRUE, REGEXMATCH(target, ""SELF_EFFECTED_ALL""), ISNUMBER(buff), job=""占星術師"""&amp;"),
         buff,
         1
       )
     )
   )
 )"),1.0)</f>
        <v>1</v>
      </c>
      <c r="EK29" s="200">
        <f>IFERROR(__xludf.DUMMYFUNCTION("PRODUCT(
   MAP(
     K$3:ED$3,
     K$14:ED$14,
     K$13:ED$13,
     K29:ED29,
     LAMBDA(
       job,
       buff,
       target,
       check,
       IF(
         AND(check=TRUE, REGEXMATCH(target, ""SELF_EFFECTED_GCD""), ISNUMBER(buff), job=""占星術師"""&amp;"),
         buff,
         1
       )
     )
   )
 )"),1.0)</f>
        <v>1</v>
      </c>
      <c r="EL29" s="200">
        <f>IFERROR(__xludf.DUMMYFUNCTION("PRODUCT(
   MAP(
     K$3:ED$3,
     K$14:ED$14,
     K$13:ED$13,
     K29:ED29,
     LAMBDA(
       job,
       buff,
       target,
       check,
       IF(
         AND(check=TRUE, REGEXMATCH(target, ""SELF_EFFECTED_ALL""), ISNUMBER(buff), job=""学者""),"&amp;"
         buff,
         1
       )
     )
   )
 )"),1.0)</f>
        <v>1</v>
      </c>
      <c r="EM29" s="200">
        <f>IFERROR(__xludf.DUMMYFUNCTION("PRODUCT(
   MAP(
     K$3:ED$3,
     K$14:ED$14,
     K$13:ED$13,
     K29:ED29,
     LAMBDA(
       job,
       buff,
       target,
       check,
       IF(
         AND(check=TRUE, REGEXMATCH(target, ""SELF_EFFECTED_GCD""), ISNUMBER(buff), job=""学者""),"&amp;"
         buff,
         1
       )
     )
   )
 )"),1.0)</f>
        <v>1</v>
      </c>
      <c r="EN29" s="200">
        <f>IFERROR(__xludf.DUMMYFUNCTION("PRODUCT(
   MAP(
     K$3:ED$3,
     K$14:ED$14,
     K$13:ED$13,
     K29:ED29,
     LAMBDA(
       job,
       buff,
       target,
       check,
       IF(
         AND(check=TRUE, REGEXMATCH(target, ""SELF_EFFECTED_ALL""), ISNUMBER(buff), job=""賢者""),"&amp;"
         buff,
         1
       )
     )
   )
 )"),1.0)</f>
        <v>1</v>
      </c>
      <c r="EO29" s="200">
        <f>IFERROR(__xludf.DUMMYFUNCTION("PRODUCT(
   MAP(
     K$3:ED$3,
     K$14:ED$14,
     K$13:ED$13,
     K29:ED29,
     LAMBDA(
       job,
       buff,
       target,
       check,
       IF(
         AND(check=TRUE, REGEXMATCH(target, ""SELF_EFFECTED_GCD""), ISNUMBER(buff), job=""賢者""),"&amp;"
         buff,
         1
       )
     )
   )
 )"),1.0)</f>
        <v>1</v>
      </c>
      <c r="EP29" s="201">
        <f t="shared" si="4"/>
        <v>0</v>
      </c>
      <c r="EQ29" s="201">
        <f>IFERROR(__xludf.DUMMYFUNCTION("SUM(
   MAP(
     K$4:ED$4,
     K$3:ED$3,
     K$7:ED$7,
     K$15:ED$15,
     K$16:ED$16,
     K$21:ED$21,
     K$5:ED$5,
     K$17:ED$17,
     K29:ED29,
     LAMBDA(
       name,
       job,
       abillity,
       buff,
       barrier,
       enhance,"&amp;"
       assign,
       precondition,
       check,
       SWITCH(
         name,
         ""シェイクオフ"", IF(check=TRUE, buff + (0.02 * COUNTIF(ARRAYFORMULA((REGEXMATCH($K$4:$ED$4, ""スリル・オブ・バトル|ヴェンジェンス|原初の血気|ダムネーション"")) * (K29:ED29=TRUE)), 1)), 0),
         "&amp;"""インプロビゼーションフィニッシュ(踊りの激情0)"", IF(ISNUMBER(check), INDEX(Skill!$AJ:$AJ, MATCH(SUBSTITUTE(DV$4, 0, check), Skill!$C:$C, 0)), 0),
         IF(
           AND(check=TRUE, REGEXMATCH(assign, ""RANGE_PARTY"")),
           IF(
             OR(ARRAYFORMULA((IF(pr"&amp;"econdition="""", FALSE, REGEXMATCH($K$4:$ED$4, precondition))) * (K29:ED29=TRUE))),
             enhance,
             IF(barrier="""", buff, barrier)
           ),
           0
         )
       ) *
       SWITCH(
         job,
         ""ナイト"", EY$24,
 "&amp;"        ""戦士"", FD$24,
         ""踊り子"", ET$24,
         ""ピクトマンサー"", ET$24,
         ""白魔道士"", EF29 * EH29 * IF(abillity, 1, EG29 * EI29) * (Option!$D$22 * 0.81 / 100),
         ""占星術師"", EF29 * EJ29 * IF(abillity, 1, EG29 * EK29) * (Option!$D$23 * 0.81 "&amp;"/ 100),
         ""学者"", EF29 * EL29 * IF(abillity, 1, EG29 * EM29) * (Option!$D$24 * 0.81 / 100),
         ""賢者"", EF29 * EN29 * IF(abillity, 1, EG29 * EO29) * (Option!$D$25 * 0.81 / 100),
         1
       )
     )
   )
 )"),22580.0)</f>
        <v>22580</v>
      </c>
      <c r="ER29" s="202">
        <f t="shared" si="5"/>
        <v>0</v>
      </c>
      <c r="ES29" s="203">
        <f t="shared" si="6"/>
        <v>0</v>
      </c>
      <c r="ET29" s="204" t="str">
        <f>IFERROR(__xludf.DUMMYFUNCTION("IFS(
  EP29 &gt; $ET$24 + EQ29,
  SPARKLINE({ 1, 0 }, {""charttype"",""bar"";""max"", 1;""color1"",Option!$D$30;""color2"",Option!$D$30}),
  EP29 &lt; EQ29,
  SPARKLINE({EQ29 - EP29, $ET$24 - (EQ29 - EP29)}, {""charttype"",""bar"";""max"",$ET$24;""color1"",Opti"&amp;"on!$D$28;""color2"",Option!$D$29}),
  EP29 &gt;= EQ29,
  SPARKLINE({$ET$24 + EQ29 - EP29,EP29 - EQ29}, {""charttype"",""bar"";""max"",$ET$24;""color1"",Option!$D$29;""color2"",Option!$D$30})
)"),"")</f>
        <v/>
      </c>
      <c r="EU29" s="205">
        <f>IFERROR(__xludf.DUMMYFUNCTION("PRODUCT(
   MAP(
     IF($F29=""Physical"", K$10:ED$10, IF($F29=""Magic"", K$11:ED$11, K$12:ED$12)),
     IF($F29=""Physical"", K$18:ED$18, IF($F29=""Magic"", K$19:ED$19, K$20:ED$20)),
     K$3:ED$3,
     K$5:ED$5,
     K$17:ED$17,
     K29:ED29,
     LAM"&amp;"BDA(
       mitigation,
       enhance,
       job,
       assign,
       precondition,
       check,
       IF(
         OR(AND(check=TRUE, REGEXMATCH(assign, ""SELF""), job=""ナイト""), AND(check=Option!$E$13, REGEXMATCH(assign, ""SINGLE_PARTY""))),
      "&amp;"   IF(
           OR(ARRAYFORMULA((IF(precondition="""", FALSE, REGEXMATCH($K$4:$ED$4, precondition))) * (K29:ED29=TRUE))),
           enhance,
           mitigation
         ),
         1
       )
     )
   )
 ) * EE29"),1.0)</f>
        <v>1</v>
      </c>
      <c r="EV29" s="206">
        <f t="shared" si="7"/>
        <v>0</v>
      </c>
      <c r="EW29" s="205">
        <f>IFERROR(__xludf.DUMMYFUNCTION("PRODUCT(
   MAP(
     K$3:ED$3,
     K$14:ED$14,
     K$13:ED$13,
     K29:ED29,
     LAMBDA(
       job,
       buff,
       target,
       check,
       IF(
         OR(AND(check=TRUE, REGEXMATCH(target, ""SELF_AFFECTED_ALL""), job=""ナイト""), AND(check=O"&amp;"ption!$E$13, REGEXMATCH(target, ""SINGLE_AFFECTED_ALL""))),
         buff,
         1
       )
     )
   )
 )"),1.0)</f>
        <v>1</v>
      </c>
      <c r="EX29" s="206">
        <f>IFERROR(__xludf.DUMMYFUNCTION("SUM(
   MAP(
     K$3:ED$3,
     K$7:ED$7,
     K$15:ED$15,
     K$16:ED$16,
     K$21:ED$21,
     K$5:ED$5,
     K$17:ED$17,
     K29:ED29,
     LAMBDA(
       job,
       abillity,
       buff,
       barrier,
       enhance,
       assign,
       preco"&amp;"ndition,
       check,
       IF(
         OR(AND(check=TRUE, REGEXMATCH(assign, ""SELF""), job=""ナイト""), AND(check=Option!$E$13, REGEXMATCH(assign, ""SINGLE_PARTY""))),
         IF(
           OR(ARRAYFORMULA((IF(precondition="""", FALSE, REGEXMATCH($K$4"&amp;":$ED$4, precondition))) * (K29:ED29=TRUE))),
           enhance,
           IF(barrier="""", buff, barrier)
         ),
         0
       ) *
       SWITCH(
         job,
         ""暗黒騎士"", EY$24,
         ""白魔道士"", EF29 * EH29 * EW29 * IF(abillity, 1, EG"&amp;"29 * EI29) * (Option!$D$22 * 0.81 / 100),
         ""占星術師"", EF29 * EJ29 * EW29 * IF(abillity, 1, EG29 * EK29) * (Option!$D$23 * 0.81 / 100),
         ""学者"", EF29 * EL29 * EW29 * IF(abillity, 1, EG29 * EM29) * (Option!$D$24 * 0.81 / 100),
         ""賢者"""&amp;", EF29 * EN29 * EW29 * IF(abillity, 1, EG29 * EO29) * (Option!$D$25 * 0.81 / 100),
         1
       )
     )
   )
 ) + EQ29"),22580.0)</f>
        <v>22580</v>
      </c>
      <c r="EY29" s="206">
        <f t="shared" si="8"/>
        <v>0</v>
      </c>
      <c r="EZ29" s="205">
        <f>IFERROR(__xludf.DUMMYFUNCTION("PRODUCT(
   MAP(
     IF($F29=""Physical"", K$10:ED$10, IF($F29=""Magic"", K$11:ED$11, K$12:ED$12)),
     IF($F29=""Physical"", K$18:ED$18, IF($F29=""Magic"", K$19:ED$19, K$20:ED$20)),
     K$3:ED$3,
     K$5:ED$5,
     K$17:ED$17,
     K29:ED29,
     LAM"&amp;"BDA(
       mitigation,
       enhance,
       job,
       assign,
       precondition,
       check,
       IF(
         OR(AND(check=TRUE, REGEXMATCH(assign, ""SELF""), job=""戦士""), AND(check=Option!$F$13, REGEXMATCH(assign, ""SINGLE_PARTY""))),
       "&amp;"  IF(
           OR(ARRAYFORMULA((IF(precondition="""", FALSE, REGEXMATCH($K$4:$ED$4, precondition))) * (K29:ED29=TRUE))),
           enhance,
           mitigation
         ),
         1
       )
     )
   )
 ) * EE29"),1.0)</f>
        <v>1</v>
      </c>
      <c r="FA29" s="206">
        <f t="shared" si="9"/>
        <v>0</v>
      </c>
      <c r="FB29" s="205">
        <f>IFERROR(__xludf.DUMMYFUNCTION("PRODUCT(
   MAP(
     K$3:ED$3,
     K$14:ED$14,
     K$13:ED$13,
     K29:ED29,
     LAMBDA(
       job,
       buff,
       target,
       check,
       IF(
         OR(AND(check=TRUE, REGEXMATCH(target, ""SELF_AFFECTED_ALL""), job=""戦士""), AND(check=Op"&amp;"tion!$F$13, REGEXMATCH(target, ""SINGLE_AFFECTED_ALL""))),
         buff,
         1
       )
     )
   )
 )"),1.0)</f>
        <v>1</v>
      </c>
      <c r="FC29" s="206">
        <f>IFERROR(__xludf.DUMMYFUNCTION("SUM(
   MAP(
     K$3:ED$3,
     K$7:ED$7,
     K$15:ED$15,
     K$16:ED$16,
     K$21:ED$21,
     K$5:ED$5,
     K$17:ED$17,
     K29:ED29,
     LAMBDA(
       job,
       abillity,
       buff,
       barrier,
       enhance,
       assign,
       preco"&amp;"ndition,
       check,
       IF(
         OR(AND(check=TRUE, REGEXMATCH(assign, ""SELF""), job=""戦士""), AND(check=Option!$F$13, REGEXMATCH(assign, ""SINGLE_PARTY""))),
         IF(
           OR(ARRAYFORMULA((IF(precondition="""", FALSE, REGEXMATCH($K$4:"&amp;"$ED$4, precondition))) * (K29:ED29=TRUE))),
           enhance,
           IF(barrier="""", buff, barrier)
         ),
         0
       ) *
       SWITCH(
         job,
         ""暗黒騎士"", FD$24,
         ""白魔道士"", EF29 * EH29 * FB29 * IF(abillity, 1, EG2"&amp;"9 * EI29) * (Option!$D$22 * 0.81 / 100),
         ""占星術師"", EF29 * EJ29 * FFB29 * IF(abillity, 1, EG29 * EK29) * (Option!$D$23 * 0.81 / 100),
         ""学者"", EF29 * EL29 * FB29 * IF(abillity, 1, EG29 * EM29) * (Option!$D$24 * 0.81 / 100),
         ""賢者"""&amp;", EF29 * EN29 * FB29 * IF(abillity, 1, EG29 * EO29) * (Option!$D$25 * 0.81 / 100),
         1
       )
     )
   )
 ) + EQ29"),22580.0)</f>
        <v>22580</v>
      </c>
      <c r="FD29" s="206">
        <f t="shared" si="10"/>
        <v>0</v>
      </c>
      <c r="FE29" s="205">
        <f>IFERROR(__xludf.DUMMYFUNCTION("PRODUCT(
   MAP(
     IF($F29=""Physical"", K$10:ED$10, IF($F29=""Magic"", K$11:ED$11, K$12:ED$12)),
     IF($F29=""Physical"", K$18:ED$18, IF($F29=""Magic"", K$19:ED$19, K$20:ED$20)),
     K$3:ED$3,
     K$5:ED$5,
     K$17:ED$17,
     K29:ED29,
     LAM"&amp;"BDA(
       mitigation,
       enhance,
       job,
       assign,
       precondition,
       check,
       IF(
         OR(AND(check=TRUE, REGEXMATCH(assign, ""SELF""), job=""暗黒騎士""), AND(check=Option!$G$13, REGEXMATCH(assign, ""SINGLE_PARTY""))),
     "&amp;"    IF(
           OR(ARRAYFORMULA((IF(precondition="""", FALSE, REGEXMATCH($K$4:$ED$4, precondition))) * (K29:ED29=TRUE))),
           enhance,
           mitigation
         ),
         1
       )
     )
   )
 ) * EE29"),1.0)</f>
        <v>1</v>
      </c>
      <c r="FF29" s="206">
        <f t="shared" si="11"/>
        <v>0</v>
      </c>
      <c r="FG29" s="205">
        <f>IFERROR(__xludf.DUMMYFUNCTION("PRODUCT(
   MAP(
     K$3:ED$3,
     K$14:ED$14,
     K$13:ED$13,
     K29:ED29,
     LAMBDA(
       job,
       buff,
       target,
       check,
       IF(
         OR(AND(check=TRUE, REGEXMATCH(target, ""SELF_AFFECTED_ALL""), job=""暗黒騎士""), AND(check="&amp;"Option!$G$13, REGEXMATCH(target, ""SINGLE_AFFECTED_ALL""))),
         buff,
         1
       )
     )
   )
 )"),1.0)</f>
        <v>1</v>
      </c>
      <c r="FH29" s="206">
        <f>IFERROR(__xludf.DUMMYFUNCTION("SUM(
   MAP(
     K$3:ED$3,
     K$7:ED$7,
     K$15:ED$15,
     K$16:ED$16,
     K$21:ED$21,
     K$5:ED$5,
     K$17:ED$17,
     K29:ED29,
     LAMBDA(
       job,
       abillity,
       buff,
       barrier,
       enhance,
       assign,
       preco"&amp;"ndition,
       check,
       IF(
         OR(AND(check=TRUE, REGEXMATCH(assign, ""SELF""), job=""暗黒騎士""), AND(check=Option!$G$13, REGEXMATCH(assign, ""SINGLE_PARTY""))),
         IF(
           OR(ARRAYFORMULA((IF(precondition="""", FALSE, REGEXMATCH($K$"&amp;"4:$ED$4, precondition))) * (K29:ED29=TRUE))),
           enhance,
           IF(barrier="""", buff, barrier)
         ),
         0
       ) *
       SWITCH(
         job,
         ""暗黒騎士"", FI$24,
         ""白魔道士"", EF29 * EH29 * FG29 * IF(abillity, 1, E"&amp;"G29 * EI29) * (Option!$D$22 * 0.81 / 100),
         ""占星術師"", EF29 * EJ29 * FG29 * IF(abillity, 1, EG29 * EK29) * (Option!$D$23 * 0.81 / 100),
         ""学者"", EF29 * EL29 * FG29 * IF(abillity, 1, EG29 * EM29) * (Option!$D$24 * 0.81 / 100),
         ""賢者"&amp;""", EF29 * EN29 * FG29 * IF(abillity, 1, EG29 * EO29) * (Option!$D$25 * 0.81 / 100),
         1
       )
     )
   )
 ) + EQ29"),22580.0)</f>
        <v>22580</v>
      </c>
      <c r="FI29" s="206">
        <f t="shared" si="12"/>
        <v>0</v>
      </c>
      <c r="FJ29" s="205">
        <f>IFERROR(__xludf.DUMMYFUNCTION("PRODUCT(
   MAP(
     IF($F29=""Physical"", K$10:ED$10, IF($F29=""Magic"", K$11:ED$11, K$12:ED$12)),
     IF($F29=""Physical"", K$18:ED$18, IF($F29=""Magic"", K$19:ED$19, K$20:ED$20)),
     K$3:ED$3,
     K$5:ED$5,
     K$17:ED$17,
     K29:ED29,
     LAM"&amp;"BDA(
       mitigation,
       enhance,
       job,
       assign,
       precondition,
       check,
       IF(
         OR(AND(check=TRUE, REGEXMATCH(assign, ""SELF""), job=""ガンブレイカー""), AND(check=Option!$H$13, REGEXMATCH(assign, ""SINGLE_PARTY""))),
  "&amp;"       IF(
           OR(ARRAYFORMULA((IF(precondition="""", FALSE, REGEXMATCH($K$4:$ED$4, precondition))) * (K29:ED29=TRUE))),
           enhance,
           mitigation
         ),
         1
       )
     )
   )
 ) * EE29"),1.0)</f>
        <v>1</v>
      </c>
      <c r="FK29" s="206">
        <f t="shared" si="13"/>
        <v>0</v>
      </c>
      <c r="FL29" s="205">
        <f>IFERROR(__xludf.DUMMYFUNCTION("PRODUCT(
   MAP(
     K$3:ED$3,
     K$14:ED$14,
     K$13:ED$13,
     K29:ED29,
     LAMBDA(
       job,
       buff,
       target,
       check,
       IF(
         OR(AND(check=TRUE, REGEXMATCH(target, ""SELF_AFFECTED_ALL""), job=""ガンブレイカー""), AND(che"&amp;"ck=Option!$H$13, REGEXMATCH(target, ""SINGLE_AFFECTED_ALL""))),
         buff,
         1
       )
     )
   )
 )"),1.0)</f>
        <v>1</v>
      </c>
      <c r="FM29" s="206">
        <f>IFERROR(__xludf.DUMMYFUNCTION("SUM(
   MAP(
     K$3:ED$3,
     K$7:ED$7,
     K$15:ED$15,
     K$16:ED$16,
     K$21:ED$21,
     K$5:ED$5,
     K$17:ED$17,
     K29:ED29,
     LAMBDA(
       job,
       abillity,
       buff,
       barrier,
       enhance,
       assign,
       preco"&amp;"ndition,
       check,
       IF(
         OR(AND(check=TRUE, REGEXMATCH(assign, ""SELF""), job=""ガンブレイカー""), AND(check=Option!$H$13, REGEXMATCH(assign, ""SINGLE_PARTY""))),
         IF(
           OR(ARRAYFORMULA((IF(precondition="""", FALSE, REGEXMATCH("&amp;"$K$4:$ED$4, precondition))) * (K29:ED29=TRUE))),
           enhance,
           IF(barrier="""", buff, barrier)
         ),
         0
       ) *
       SWITCH(
         job,
         ""暗黒騎士"", FN$24,
         ""白魔道士"", EF29 * EH29 * FL29 * IF(abillity, 1"&amp;", EG29 * EI29) * (Option!$D$22 * 0.81 / 100),
         ""占星術師"", EF29 * EJ29 * FL29 * IF(abillity, 1, EG29 * EK29) * (Option!$D$23 * 0.81 / 100),
         ""学者"", EF29 * EL29 * FL29 * IF(abillity, 1, EG29 * EM29) * (Option!$D$24 * 0.81 / 100),
         """&amp;"賢者"", EF29 * EN29 * FL29 * IF(abillity, 1, EG29 * EO29) * (Option!$D$25 * 0.81 / 100),
         1
       )
     )
   )
 ) + EQ29"),22580.0)</f>
        <v>22580</v>
      </c>
      <c r="FN29" s="206">
        <f t="shared" si="14"/>
        <v>0</v>
      </c>
      <c r="FO29" s="213"/>
    </row>
    <row r="30">
      <c r="B30" s="208"/>
      <c r="C30" s="217">
        <f t="shared" si="1"/>
        <v>0.0001851851852</v>
      </c>
      <c r="D30" s="220">
        <v>1.8518518518518518E-4</v>
      </c>
      <c r="E30" s="221" t="s">
        <v>1072</v>
      </c>
      <c r="F30" s="167" t="s">
        <v>10</v>
      </c>
      <c r="G30" s="168"/>
      <c r="H30" s="169">
        <v>18500.0</v>
      </c>
      <c r="I30" s="169"/>
      <c r="J30" s="169"/>
      <c r="K30" s="170" t="b">
        <v>0</v>
      </c>
      <c r="L30" s="170" t="b">
        <v>0</v>
      </c>
      <c r="M30" s="170" t="b">
        <v>1</v>
      </c>
      <c r="N30" s="171" t="s">
        <v>1070</v>
      </c>
      <c r="O30" s="172" t="b">
        <v>0</v>
      </c>
      <c r="P30" s="173" t="b">
        <v>0</v>
      </c>
      <c r="Q30" s="173" t="b">
        <v>0</v>
      </c>
      <c r="R30" s="173" t="b">
        <v>0</v>
      </c>
      <c r="S30" s="174" t="b">
        <v>0</v>
      </c>
      <c r="T30" s="175" t="b">
        <v>0</v>
      </c>
      <c r="U30" s="173" t="b">
        <v>0</v>
      </c>
      <c r="V30" s="171" t="s">
        <v>1070</v>
      </c>
      <c r="W30" s="172" t="b">
        <v>0</v>
      </c>
      <c r="X30" s="173" t="b">
        <v>0</v>
      </c>
      <c r="Y30" s="173" t="b">
        <v>0</v>
      </c>
      <c r="Z30" s="173" t="b">
        <v>0</v>
      </c>
      <c r="AA30" s="174" t="b">
        <v>0</v>
      </c>
      <c r="AB30" s="174" t="b">
        <v>0</v>
      </c>
      <c r="AC30" s="175" t="b">
        <v>0</v>
      </c>
      <c r="AD30" s="173" t="b">
        <v>0</v>
      </c>
      <c r="AE30" s="176" t="s">
        <v>1070</v>
      </c>
      <c r="AF30" s="171" t="s">
        <v>1070</v>
      </c>
      <c r="AG30" s="177">
        <f>IFERROR(__xludf.DUMMYFUNCTION("IF(
  ISNUMBER(AG29),
  MIN(MAX(
    AG29
    + MAX(
      ROUNDDOWN(($D30 - MAX(IFERROR(FILTER($D$24:$D29, AG$24:AG29 &lt;&gt; AF$6, AG$23:AG28 = AF$6), 0))) * (60 * 60 * 24) / AF$9) - ROUNDDOWN(($D29 - MAX(IFERROR(FILTER($D$23:$D28, AG$23:AG28 &lt;&gt; AF$6, AG$22:"&amp;"AG27 = AF$6), 0))) * (60 * 60 * 24) / 60),
      0
    )
    - COUNTIF(AF30, ""&lt;&gt;-""),
  0), AF$6),
  AF$6 - COUNTIF(AF30, ""&lt;&gt;-"")
)"),2.0)</f>
        <v>2</v>
      </c>
      <c r="AH30" s="173" t="b">
        <v>0</v>
      </c>
      <c r="AI30" s="173" t="b">
        <v>0</v>
      </c>
      <c r="AJ30" s="173" t="b">
        <v>0</v>
      </c>
      <c r="AK30" s="174" t="b">
        <v>0</v>
      </c>
      <c r="AL30" s="175" t="b">
        <v>0</v>
      </c>
      <c r="AM30" s="173" t="b">
        <v>0</v>
      </c>
      <c r="AN30" s="171" t="s">
        <v>1070</v>
      </c>
      <c r="AO30" s="173" t="b">
        <v>0</v>
      </c>
      <c r="AP30" s="173" t="b">
        <v>0</v>
      </c>
      <c r="AQ30" s="173" t="b">
        <v>0</v>
      </c>
      <c r="AR30" s="174" t="b">
        <v>0</v>
      </c>
      <c r="AS30" s="178" t="b">
        <v>0</v>
      </c>
      <c r="AT30" s="179" t="b">
        <v>0</v>
      </c>
      <c r="AU30" s="180" t="b">
        <v>0</v>
      </c>
      <c r="AV30" s="180" t="b">
        <v>0</v>
      </c>
      <c r="AW30" s="180" t="b">
        <v>0</v>
      </c>
      <c r="AX30" s="180" t="b">
        <v>0</v>
      </c>
      <c r="AY30" s="181" t="s">
        <v>1070</v>
      </c>
      <c r="AZ30" s="181" t="s">
        <v>1070</v>
      </c>
      <c r="BA30" s="184">
        <f>IFERROR(__xludf.DUMMYFUNCTION("IF(
  ISNUMBER(BA29),
  MIN(MAX(
    BA29
    + MAX(
      ROUNDDOWN((D30 - MAX(IFERROR(FILTER(D$24:D29, BA$24:BA29 &lt;&gt; AZ$6, BA$23:BA28 = AZ$6), 0))) * (60 * 60 * 24) / AZ$9) - ROUNDDOWN((D29 - MAX(IFERROR(FILTER(D$23:D28, BA$23:BA28 &lt;&gt; AZ$6, BA$22:BA27 ="&amp;" AZ$6), 0))) * (60 * 60 * 24) / AZ$9),
      0
    )
    - COUNTIF(AZ30, ""&lt;&gt;-""),
  0), AZ$6),
  AZ$6 - COUNTIF(AZ30, ""&lt;&gt;-"")
)"),2.0)</f>
        <v>2</v>
      </c>
      <c r="BB30" s="181" t="s">
        <v>1070</v>
      </c>
      <c r="BC30" s="183">
        <f>IFERROR(__xludf.DUMMYFUNCTION("IF(
  ISNUMBER(BC29),
  MIN(MAX(
    BC29
    + MAX(
      ROUNDDOWN(($D30 - MAX(IFERROR(FILTER($D$24:$D29, BC$24:BC29 &lt;&gt; BB$6, BC$23:BC28 = BB$6), 0))) * (60 * 60 * 24) / BB$9) - ROUNDDOWN(($D29 - MAX(IFERROR(FILTER($D$23:$D28, BC$23:BC28 &lt;&gt; BB$6, BC$22:"&amp;"BC27 = BB$6), 0))) * (60 * 60 * 24) / 60),
      0
    )
    - COUNTIF(BB30, ""&lt;&gt;-""),
  0), BB$6),
  BB$6 - COUNTIF(BB30, ""&lt;&gt;-"")
)"),2.0)</f>
        <v>2</v>
      </c>
      <c r="BD30" s="181" t="s">
        <v>1070</v>
      </c>
      <c r="BE30" s="178" t="b">
        <v>0</v>
      </c>
      <c r="BF30" s="180" t="b">
        <v>0</v>
      </c>
      <c r="BG30" s="180" t="b">
        <v>0</v>
      </c>
      <c r="BH30" s="180" t="b">
        <v>0</v>
      </c>
      <c r="BI30" s="180" t="b">
        <v>0</v>
      </c>
      <c r="BJ30" s="180" t="b">
        <v>0</v>
      </c>
      <c r="BK30" s="180" t="b">
        <v>0</v>
      </c>
      <c r="BL30" s="180" t="b">
        <v>0</v>
      </c>
      <c r="BM30" s="180" t="b">
        <v>0</v>
      </c>
      <c r="BN30" s="180" t="b">
        <v>0</v>
      </c>
      <c r="BO30" s="181" t="s">
        <v>1070</v>
      </c>
      <c r="BP30" s="181" t="s">
        <v>1070</v>
      </c>
      <c r="BQ30" s="181" t="s">
        <v>1070</v>
      </c>
      <c r="BR30" s="181" t="s">
        <v>1070</v>
      </c>
      <c r="BS30" s="181" t="s">
        <v>1070</v>
      </c>
      <c r="BT30" s="184">
        <f>IFERROR(__xludf.DUMMYFUNCTION("IF(
  ISNUMBER(BT29),
  MIN(MAX(
    BT29
    + MAX(
      ROUNDDOWN((D30 - MAX(IFERROR(FILTER(D$24:D29, BT$24:BT29 &lt;&gt; BS$6, BT$23:BT28 = BS$6), 0))) * (60 * 60 * 24) / BS$9) - ROUNDDOWN((D29 - MAX(IFERROR(FILTER(D$23:D28, BT$23:BT28 &lt;&gt; BS$6, BT$22:BT27 ="&amp;" BS$6), 0))) * (60 * 60 * 24) / BS$9),
      0
    )
    - COUNTIF(BS30, ""&lt;&gt;-""),
  0), BS$6),
  BS$6 - COUNTIF(BS30, ""&lt;&gt;-"")
)"),3.0)</f>
        <v>3</v>
      </c>
      <c r="BU30" s="181" t="s">
        <v>1070</v>
      </c>
      <c r="BV30" s="181" t="s">
        <v>1070</v>
      </c>
      <c r="BW30" s="184">
        <f>IFERROR(__xludf.DUMMYFUNCTION("IF(
  ISNUMBER(BW29),
  MIN(MAX(
    BW29
    + MAX(
      ROUNDDOWN((D30 - MAX(IFERROR(FILTER(D$24:D29, BW$24:BW29 &lt;&gt; BV$6, BW$23:BW28 = BV$6), 0))) * (60 * 60 * 24) / BV$9) - ROUNDDOWN((D29 - MAX(IFERROR(FILTER(D$23:D28, BW$23:BW28 &lt;&gt; BV$6, BW$22:BW27 ="&amp;" BV$6), 0))) * (60 * 60 * 24) / BV$9),
      0
    )
    - COUNTIF(BV30, ""&lt;&gt;-""),
  0), BV$6),
  BV$6 - COUNTIF(BV30, ""&lt;&gt;-"")
)"),2.0)</f>
        <v>2</v>
      </c>
      <c r="BX30" s="185" t="s">
        <v>1070</v>
      </c>
      <c r="BY30" s="178" t="b">
        <v>0</v>
      </c>
      <c r="BZ30" s="180" t="b">
        <v>0</v>
      </c>
      <c r="CA30" s="180" t="b">
        <v>0</v>
      </c>
      <c r="CB30" s="180" t="b">
        <v>0</v>
      </c>
      <c r="CC30" s="180" t="b">
        <v>0</v>
      </c>
      <c r="CD30" s="180" t="b">
        <v>0</v>
      </c>
      <c r="CE30" s="180" t="b">
        <v>0</v>
      </c>
      <c r="CF30" s="180" t="b">
        <v>0</v>
      </c>
      <c r="CG30" s="180" t="b">
        <v>0</v>
      </c>
      <c r="CH30" s="180" t="b">
        <v>0</v>
      </c>
      <c r="CI30" s="180" t="b">
        <v>0</v>
      </c>
      <c r="CJ30" s="180" t="b">
        <v>0</v>
      </c>
      <c r="CK30" s="180" t="b">
        <v>0</v>
      </c>
      <c r="CL30" s="180" t="b">
        <v>0</v>
      </c>
      <c r="CM30" s="181" t="s">
        <v>1070</v>
      </c>
      <c r="CN30" s="181" t="s">
        <v>1070</v>
      </c>
      <c r="CO30" s="181" t="s">
        <v>1070</v>
      </c>
      <c r="CP30" s="181" t="s">
        <v>1070</v>
      </c>
      <c r="CQ30" s="185" t="s">
        <v>1070</v>
      </c>
      <c r="CR30" s="180" t="b">
        <v>0</v>
      </c>
      <c r="CS30" s="186" t="str">
        <f t="shared" si="3"/>
        <v>◇◇◇</v>
      </c>
      <c r="CT30" s="178" t="b">
        <v>0</v>
      </c>
      <c r="CU30" s="180" t="b">
        <v>0</v>
      </c>
      <c r="CV30" s="180" t="b">
        <v>0</v>
      </c>
      <c r="CW30" s="180" t="b">
        <v>0</v>
      </c>
      <c r="CX30" s="180" t="b">
        <v>0</v>
      </c>
      <c r="CY30" s="180" t="b">
        <v>0</v>
      </c>
      <c r="CZ30" s="180" t="b">
        <v>0</v>
      </c>
      <c r="DA30" s="180" t="b">
        <v>0</v>
      </c>
      <c r="DB30" s="180" t="b">
        <v>0</v>
      </c>
      <c r="DC30" s="180" t="b">
        <v>0</v>
      </c>
      <c r="DD30" s="181" t="s">
        <v>1070</v>
      </c>
      <c r="DE30" s="181" t="s">
        <v>1070</v>
      </c>
      <c r="DF30" s="181" t="s">
        <v>1070</v>
      </c>
      <c r="DG30" s="185" t="s">
        <v>1070</v>
      </c>
      <c r="DH30" s="180" t="b">
        <v>0</v>
      </c>
      <c r="DI30" s="187" t="str">
        <f>IFERROR(__xludf.DUMMYFUNCTION("SWITCH(
  IF(
    ISTEXT(DI29),
    IF (
      FIND(""○"", DI29&amp;""○"") &gt; 3,
      3,
      FIND(""○"", DI29&amp;""○"")
      + MAX(
        ROUNDDOWN(($D30 - MAX(IFERROR(FILTER(D$24:D29, DI$24:DI29 &lt;&gt; ""●●●"", DI$23:DI28 = ""●●●""), 0))) * (60 * 60 * 24) / 20"&amp;") - ROUNDDOWN(($D29 - MAX(IFERROR(FILTER(D$23:D28, DI$23:DI28 &lt;&gt; ""●●●"", DI$22:DI27 = ""●●●""), 0))) * (60 * 60 * 24) / 20),
        0
      ) - 1
    ) - COUNTIFS(CU30, ""=TRUE"", CU29, ""&lt;&gt;TRUE"") - COUNTIF(CZ30, ""=TRUE"") - COUNTIF({DD30,DE30}, ""&lt;&gt;-"&amp;""") + COUNTIF(DH30, ""=TRUE""),
    3
  ),
  0, ""○○○"", 1, ""●○○"", 2, ""●●○"", 3, ""●●●"", 4, ""●●●"", ""○○○""
)"),"●●●")</f>
        <v>●●●</v>
      </c>
      <c r="DJ30" s="188" t="b">
        <v>0</v>
      </c>
      <c r="DK30" s="189" t="b">
        <v>0</v>
      </c>
      <c r="DL30" s="190" t="b">
        <v>0</v>
      </c>
      <c r="DM30" s="190" t="b">
        <v>0</v>
      </c>
      <c r="DN30" s="190" t="b">
        <v>0</v>
      </c>
      <c r="DO30" s="190" t="b">
        <v>0</v>
      </c>
      <c r="DP30" s="190" t="b">
        <v>0</v>
      </c>
      <c r="DQ30" s="191" t="b">
        <v>1</v>
      </c>
      <c r="DR30" s="192" t="b">
        <v>0</v>
      </c>
      <c r="DS30" s="191" t="b">
        <v>0</v>
      </c>
      <c r="DT30" s="192" t="b">
        <v>0</v>
      </c>
      <c r="DU30" s="191" t="b">
        <v>0</v>
      </c>
      <c r="DV30" s="193" t="s">
        <v>1070</v>
      </c>
      <c r="DW30" s="194" t="b">
        <v>0</v>
      </c>
      <c r="DX30" s="194" t="b">
        <v>0</v>
      </c>
      <c r="DY30" s="195" t="b">
        <v>0</v>
      </c>
      <c r="DZ30" s="196" t="b">
        <v>0</v>
      </c>
      <c r="EA30" s="195" t="b">
        <v>0</v>
      </c>
      <c r="EB30" s="197" t="b">
        <v>0</v>
      </c>
      <c r="EC30" s="197" t="b">
        <v>0</v>
      </c>
      <c r="ED30" s="212" t="b">
        <v>0</v>
      </c>
      <c r="EE30" s="199">
        <f>IFERROR(__xludf.DUMMYFUNCTION("IFERROR(
   PRODUCT(
     MAP(
       INDEX(TRANSPOSE(UNIQUE(TRANSPOSE(FILTER({IF($F30=""Physical"", K$10:ED$10, IF($F30=""Magic"", K$11:ED$11, K$12:ED$12));K$4:ED$4;K30:ED30}, K30:ED30=TRUE)))), 1, 0),
       INDEX(TRANSPOSE(UNIQUE(TRANSPOSE(FILTER({IF($"&amp;"F30=""Physical"", K$18:ED$18, IF($F30=""Magic"", K$19:ED$19, K$20:ED$20));K$4:ED$4;K30:ED30}, K30:ED30=TRUE)))), 1, 0),
       INDEX(TRANSPOSE(UNIQUE(TRANSPOSE(FILTER({K$5:ED$5;K$4:ED$4;K30:ED30}, K30:ED30=TRUE)))), 1, 0),
       INDEX(TRANSPOSE(UNIQUE(TR"&amp;"ANSPOSE(FILTER({K$17:ED$17;K$4:ED$4;K30:ED30}, K30:ED30=TRUE)))), 1, 0),
       LAMBDA(
         mitigation,
         enhance,
         assign,
         precondition,
         IF(
           REGEXMATCH(assign, ""RANGE_PARTY|SINGLE_ENEMY|RANGE_ENEMY""),
  "&amp;"         IF(
             OR(ARRAYFORMULA((IF(precondition="""", FALSE, REGEXMATCH(K$4:ED$4, precondition))) * (K30:ED30=TRUE))),
             IF(ISNUMBER(enhance), enhance, 1),
             IF(ISNUMBER(mitigation), mitigation, 1)
           ),
          "&amp;" 1
         )
       )
     )
   ),
   1
 )"),0.85)</f>
        <v>0.85</v>
      </c>
      <c r="EF30" s="200">
        <f>IFERROR(__xludf.DUMMYFUNCTION("PRODUCT(
   MAP(
     K$14:ED$14,
     K$13:ED$13,
     K30:ED30,
     LAMBDA(
       buff,
       target,
       check,
       IF(
         AND(check=TRUE, REGEXMATCH(target, ""RANGE_AFFECTED_ALL|RANGE_EFFECTED_ALL""), ISNUMBER(buff)),
         buff,
   "&amp;"      1
       )
     )
   )
 )"),1.0)</f>
        <v>1</v>
      </c>
      <c r="EG30" s="200">
        <f>IFERROR(__xludf.DUMMYFUNCTION("PRODUCT(
   MAP(
     K$14:ED$14,
     K$13:ED$13,
     K30:ED30,
     LAMBDA(
       buff,
       target,
       check,
       IF(
         AND(check=TRUE, REGEXMATCH(target, ""RANGE_AFFECTED_GCD|RANGE_EFFECTED_GCD""), ISNUMBER(buff)),
         buff,
   "&amp;"      1
       )
     )
   )
 )"),1.0)</f>
        <v>1</v>
      </c>
      <c r="EH30" s="200">
        <f>IFERROR(__xludf.DUMMYFUNCTION("PRODUCT(
   MAP(
     K$3:ED$3,
     K$14:ED$14,
     K$13:ED$13,
     K30:ED30,
     LAMBDA(
       job,
       buff,
       target,
       check,
       IF(
         AND(check=TRUE, REGEXMATCH(target, ""SELF_EFFECTED_ALL""), ISNUMBER(buff), job=""白魔道士"""&amp;"),
         buff,
         1
       )
     )
   )
 )"),1.0)</f>
        <v>1</v>
      </c>
      <c r="EI30" s="200">
        <f>IFERROR(__xludf.DUMMYFUNCTION("PRODUCT(
   MAP(
     K$3:ED$3,
     K$14:ED$14,
     K$13:ED$13,
     K30:ED30,
     LAMBDA(
       job,
       buff,
       target,
       check,
       IF(
         AND(check=TRUE, REGEXMATCH(target, ""SELF_EFFECTED_GCD""), ISNUMBER(buff), job=""白魔道士"""&amp;"),
         buff,
         1
       )
     )
   )
 )"),1.0)</f>
        <v>1</v>
      </c>
      <c r="EJ30" s="200">
        <f>IFERROR(__xludf.DUMMYFUNCTION("PRODUCT(
   MAP(
     K$3:ED$3,
     K$14:ED$14,
     K$13:ED$13,
     K30:ED30,
     LAMBDA(
       job,
       buff,
       target,
       check,
       IF(
         AND(check=TRUE, REGEXMATCH(target, ""SELF_EFFECTED_ALL""), ISNUMBER(buff), job=""占星術師"""&amp;"),
         buff,
         1
       )
     )
   )
 )"),1.0)</f>
        <v>1</v>
      </c>
      <c r="EK30" s="200">
        <f>IFERROR(__xludf.DUMMYFUNCTION("PRODUCT(
   MAP(
     K$3:ED$3,
     K$14:ED$14,
     K$13:ED$13,
     K30:ED30,
     LAMBDA(
       job,
       buff,
       target,
       check,
       IF(
         AND(check=TRUE, REGEXMATCH(target, ""SELF_EFFECTED_GCD""), ISNUMBER(buff), job=""占星術師"""&amp;"),
         buff,
         1
       )
     )
   )
 )"),1.0)</f>
        <v>1</v>
      </c>
      <c r="EL30" s="200">
        <f>IFERROR(__xludf.DUMMYFUNCTION("PRODUCT(
   MAP(
     K$3:ED$3,
     K$14:ED$14,
     K$13:ED$13,
     K30:ED30,
     LAMBDA(
       job,
       buff,
       target,
       check,
       IF(
         AND(check=TRUE, REGEXMATCH(target, ""SELF_EFFECTED_ALL""), ISNUMBER(buff), job=""学者""),"&amp;"
         buff,
         1
       )
     )
   )
 )"),1.0)</f>
        <v>1</v>
      </c>
      <c r="EM30" s="200">
        <f>IFERROR(__xludf.DUMMYFUNCTION("PRODUCT(
   MAP(
     K$3:ED$3,
     K$14:ED$14,
     K$13:ED$13,
     K30:ED30,
     LAMBDA(
       job,
       buff,
       target,
       check,
       IF(
         AND(check=TRUE, REGEXMATCH(target, ""SELF_EFFECTED_GCD""), ISNUMBER(buff), job=""学者""),"&amp;"
         buff,
         1
       )
     )
   )
 )"),1.0)</f>
        <v>1</v>
      </c>
      <c r="EN30" s="200">
        <f>IFERROR(__xludf.DUMMYFUNCTION("PRODUCT(
   MAP(
     K$3:ED$3,
     K$14:ED$14,
     K$13:ED$13,
     K30:ED30,
     LAMBDA(
       job,
       buff,
       target,
       check,
       IF(
         AND(check=TRUE, REGEXMATCH(target, ""SELF_EFFECTED_ALL""), ISNUMBER(buff), job=""賢者""),"&amp;"
         buff,
         1
       )
     )
   )
 )"),1.0)</f>
        <v>1</v>
      </c>
      <c r="EO30" s="200">
        <f>IFERROR(__xludf.DUMMYFUNCTION("PRODUCT(
   MAP(
     K$3:ED$3,
     K$14:ED$14,
     K$13:ED$13,
     K30:ED30,
     LAMBDA(
       job,
       buff,
       target,
       check,
       IF(
         AND(check=TRUE, REGEXMATCH(target, ""SELF_EFFECTED_GCD""), ISNUMBER(buff), job=""賢者""),"&amp;"
         buff,
         1
       )
     )
   )
 )"),1.0)</f>
        <v>1</v>
      </c>
      <c r="EP30" s="201">
        <f t="shared" si="4"/>
        <v>15725</v>
      </c>
      <c r="EQ30" s="201">
        <f>IFERROR(__xludf.DUMMYFUNCTION("SUM(
   MAP(
     K$4:ED$4,
     K$3:ED$3,
     K$7:ED$7,
     K$15:ED$15,
     K$16:ED$16,
     K$21:ED$21,
     K$5:ED$5,
     K$17:ED$17,
     K30:ED30,
     LAMBDA(
       name,
       job,
       abillity,
       buff,
       barrier,
       enhance,"&amp;"
       assign,
       precondition,
       check,
       SWITCH(
         name,
         ""シェイクオフ"", IF(check=TRUE, buff + (0.02 * COUNTIF(ARRAYFORMULA((REGEXMATCH($K$4:$ED$4, ""スリル・オブ・バトル|ヴェンジェンス|原初の血気|ダムネーション"")) * (K30:ED30=TRUE)), 1)), 0),
         "&amp;"""インプロビゼーションフィニッシュ(踊りの激情0)"", IF(ISNUMBER(check), INDEX(Skill!$AJ:$AJ, MATCH(SUBSTITUTE(DV$4, 0, check), Skill!$C:$C, 0)), 0),
         IF(
           AND(check=TRUE, REGEXMATCH(assign, ""RANGE_PARTY"")),
           IF(
             OR(ARRAYFORMULA((IF(pr"&amp;"econdition="""", FALSE, REGEXMATCH($K$4:$ED$4, precondition))) * (K30:ED30=TRUE))),
             enhance,
             IF(barrier="""", buff, barrier)
           ),
           0
         )
       ) *
       SWITCH(
         job,
         ""ナイト"", EY$24,
 "&amp;"        ""戦士"", FD$24,
         ""踊り子"", ET$24,
         ""ピクトマンサー"", ET$24,
         ""白魔道士"", EF30 * EH30 * IF(abillity, 1, EG30 * EI30) * (Option!$D$22 * 0.81 / 100),
         ""占星術師"", EF30 * EJ30 * IF(abillity, 1, EG30 * EK30) * (Option!$D$23 * 0.81 "&amp;"/ 100),
         ""学者"", EF30 * EL30 * IF(abillity, 1, EG30 * EM30) * (Option!$D$24 * 0.81 / 100),
         ""賢者"", EF30 * EN30 * IF(abillity, 1, EG30 * EO30) * (Option!$D$25 * 0.81 / 100),
         1
       )
     )
   )
 )"),22580.0)</f>
        <v>22580</v>
      </c>
      <c r="ER30" s="202">
        <f t="shared" si="5"/>
        <v>0</v>
      </c>
      <c r="ES30" s="203">
        <f t="shared" si="6"/>
        <v>0</v>
      </c>
      <c r="ET30" s="204" t="str">
        <f>IFERROR(__xludf.DUMMYFUNCTION("IFS(
  EP30 &gt; $ET$24 + EQ30,
  SPARKLINE({ 1, 0 }, {""charttype"",""bar"";""max"", 1;""color1"",Option!$D$30;""color2"",Option!$D$30}),
  EP30 &lt; EQ30,
  SPARKLINE({EQ30 - EP30, $ET$24 - (EQ30 - EP30)}, {""charttype"",""bar"";""max"",$ET$24;""color1"",Opti"&amp;"on!$D$28;""color2"",Option!$D$29}),
  EP30 &gt;= EQ30,
  SPARKLINE({$ET$24 + EQ30 - EP30,EP30 - EQ30}, {""charttype"",""bar"";""max"",$ET$24;""color1"",Option!$D$29;""color2"",Option!$D$30})
)"),"")</f>
        <v/>
      </c>
      <c r="EU30" s="205">
        <f>IFERROR(__xludf.DUMMYFUNCTION("PRODUCT(
   MAP(
     IF($F30=""Physical"", K$10:ED$10, IF($F30=""Magic"", K$11:ED$11, K$12:ED$12)),
     IF($F30=""Physical"", K$18:ED$18, IF($F30=""Magic"", K$19:ED$19, K$20:ED$20)),
     K$3:ED$3,
     K$5:ED$5,
     K$17:ED$17,
     K30:ED30,
     LAM"&amp;"BDA(
       mitigation,
       enhance,
       job,
       assign,
       precondition,
       check,
       IF(
         OR(AND(check=TRUE, REGEXMATCH(assign, ""SELF""), job=""ナイト""), AND(check=Option!$E$13, REGEXMATCH(assign, ""SINGLE_PARTY""))),
      "&amp;"   IF(
           OR(ARRAYFORMULA((IF(precondition="""", FALSE, REGEXMATCH($K$4:$ED$4, precondition))) * (K30:ED30=TRUE))),
           enhance,
           mitigation
         ),
         1
       )
     )
   )
 ) * EE30"),0.85)</f>
        <v>0.85</v>
      </c>
      <c r="EV30" s="206">
        <f t="shared" si="7"/>
        <v>12580</v>
      </c>
      <c r="EW30" s="205">
        <f>IFERROR(__xludf.DUMMYFUNCTION("PRODUCT(
   MAP(
     K$3:ED$3,
     K$14:ED$14,
     K$13:ED$13,
     K30:ED30,
     LAMBDA(
       job,
       buff,
       target,
       check,
       IF(
         OR(AND(check=TRUE, REGEXMATCH(target, ""SELF_AFFECTED_ALL""), job=""ナイト""), AND(check=O"&amp;"ption!$E$13, REGEXMATCH(target, ""SINGLE_AFFECTED_ALL""))),
         buff,
         1
       )
     )
   )
 )"),1.0)</f>
        <v>1</v>
      </c>
      <c r="EX30" s="206">
        <f>IFERROR(__xludf.DUMMYFUNCTION("SUM(
   MAP(
     K$3:ED$3,
     K$7:ED$7,
     K$15:ED$15,
     K$16:ED$16,
     K$21:ED$21,
     K$5:ED$5,
     K$17:ED$17,
     K30:ED30,
     LAMBDA(
       job,
       abillity,
       buff,
       barrier,
       enhance,
       assign,
       preco"&amp;"ndition,
       check,
       IF(
         OR(AND(check=TRUE, REGEXMATCH(assign, ""SELF""), job=""ナイト""), AND(check=Option!$E$13, REGEXMATCH(assign, ""SINGLE_PARTY""))),
         IF(
           OR(ARRAYFORMULA((IF(precondition="""", FALSE, REGEXMATCH($K$4"&amp;":$ED$4, precondition))) * (K30:ED30=TRUE))),
           enhance,
           IF(barrier="""", buff, barrier)
         ),
         0
       ) *
       SWITCH(
         job,
         ""暗黒騎士"", EY$24,
         ""白魔道士"", EF30 * EH30 * EW30 * IF(abillity, 1, EG"&amp;"30 * EI30) * (Option!$D$22 * 0.81 / 100),
         ""占星術師"", EF30 * EJ30 * EW30 * IF(abillity, 1, EG30 * EK30) * (Option!$D$23 * 0.81 / 100),
         ""学者"", EF30 * EL30 * EW30 * IF(abillity, 1, EG30 * EM30) * (Option!$D$24 * 0.81 / 100),
         ""賢者"""&amp;", EF30 * EN30 * EW30 * IF(abillity, 1, EG30 * EO30) * (Option!$D$25 * 0.81 / 100),
         1
       )
     )
   )
 ) + EQ30"),22580.0)</f>
        <v>22580</v>
      </c>
      <c r="EY30" s="206">
        <f t="shared" si="8"/>
        <v>0</v>
      </c>
      <c r="EZ30" s="205">
        <f>IFERROR(__xludf.DUMMYFUNCTION("PRODUCT(
   MAP(
     IF($F30=""Physical"", K$10:ED$10, IF($F30=""Magic"", K$11:ED$11, K$12:ED$12)),
     IF($F30=""Physical"", K$18:ED$18, IF($F30=""Magic"", K$19:ED$19, K$20:ED$20)),
     K$3:ED$3,
     K$5:ED$5,
     K$17:ED$17,
     K30:ED30,
     LAM"&amp;"BDA(
       mitigation,
       enhance,
       job,
       assign,
       precondition,
       check,
       IF(
         OR(AND(check=TRUE, REGEXMATCH(assign, ""SELF""), job=""戦士""), AND(check=Option!$F$13, REGEXMATCH(assign, ""SINGLE_PARTY""))),
       "&amp;"  IF(
           OR(ARRAYFORMULA((IF(precondition="""", FALSE, REGEXMATCH($K$4:$ED$4, precondition))) * (K30:ED30=TRUE))),
           enhance,
           mitigation
         ),
         1
       )
     )
   )
 ) * EE30"),0.85)</f>
        <v>0.85</v>
      </c>
      <c r="FA30" s="206">
        <f t="shared" si="9"/>
        <v>12580</v>
      </c>
      <c r="FB30" s="205">
        <f>IFERROR(__xludf.DUMMYFUNCTION("PRODUCT(
   MAP(
     K$3:ED$3,
     K$14:ED$14,
     K$13:ED$13,
     K30:ED30,
     LAMBDA(
       job,
       buff,
       target,
       check,
       IF(
         OR(AND(check=TRUE, REGEXMATCH(target, ""SELF_AFFECTED_ALL""), job=""戦士""), AND(check=Op"&amp;"tion!$F$13, REGEXMATCH(target, ""SINGLE_AFFECTED_ALL""))),
         buff,
         1
       )
     )
   )
 )"),1.0)</f>
        <v>1</v>
      </c>
      <c r="FC30" s="206">
        <f>IFERROR(__xludf.DUMMYFUNCTION("SUM(
   MAP(
     K$3:ED$3,
     K$7:ED$7,
     K$15:ED$15,
     K$16:ED$16,
     K$21:ED$21,
     K$5:ED$5,
     K$17:ED$17,
     K30:ED30,
     LAMBDA(
       job,
       abillity,
       buff,
       barrier,
       enhance,
       assign,
       preco"&amp;"ndition,
       check,
       IF(
         OR(AND(check=TRUE, REGEXMATCH(assign, ""SELF""), job=""戦士""), AND(check=Option!$F$13, REGEXMATCH(assign, ""SINGLE_PARTY""))),
         IF(
           OR(ARRAYFORMULA((IF(precondition="""", FALSE, REGEXMATCH($K$4:"&amp;"$ED$4, precondition))) * (K30:ED30=TRUE))),
           enhance,
           IF(barrier="""", buff, barrier)
         ),
         0
       ) *
       SWITCH(
         job,
         ""暗黒騎士"", FD$24,
         ""白魔道士"", EF30 * EH30 * FB30 * IF(abillity, 1, EG3"&amp;"0 * EI30) * (Option!$D$22 * 0.81 / 100),
         ""占星術師"", EF30 * EJ30 * FFB30 * IF(abillity, 1, EG30 * EK30) * (Option!$D$23 * 0.81 / 100),
         ""学者"", EF30 * EL30 * FB30 * IF(abillity, 1, EG30 * EM30) * (Option!$D$24 * 0.81 / 100),
         ""賢者"""&amp;", EF30 * EN30 * FB30 * IF(abillity, 1, EG30 * EO30) * (Option!$D$25 * 0.81 / 100),
         1
       )
     )
   )
 ) + EQ30"),22580.0)</f>
        <v>22580</v>
      </c>
      <c r="FD30" s="206">
        <f t="shared" si="10"/>
        <v>0</v>
      </c>
      <c r="FE30" s="205">
        <f>IFERROR(__xludf.DUMMYFUNCTION("PRODUCT(
   MAP(
     IF($F30=""Physical"", K$10:ED$10, IF($F30=""Magic"", K$11:ED$11, K$12:ED$12)),
     IF($F30=""Physical"", K$18:ED$18, IF($F30=""Magic"", K$19:ED$19, K$20:ED$20)),
     K$3:ED$3,
     K$5:ED$5,
     K$17:ED$17,
     K30:ED30,
     LAM"&amp;"BDA(
       mitigation,
       enhance,
       job,
       assign,
       precondition,
       check,
       IF(
         OR(AND(check=TRUE, REGEXMATCH(assign, ""SELF""), job=""暗黒騎士""), AND(check=Option!$G$13, REGEXMATCH(assign, ""SINGLE_PARTY""))),
     "&amp;"    IF(
           OR(ARRAYFORMULA((IF(precondition="""", FALSE, REGEXMATCH($K$4:$ED$4, precondition))) * (K30:ED30=TRUE))),
           enhance,
           mitigation
         ),
         1
       )
     )
   )
 ) * EE30"),0.85)</f>
        <v>0.85</v>
      </c>
      <c r="FF30" s="206">
        <f t="shared" si="11"/>
        <v>12580</v>
      </c>
      <c r="FG30" s="205">
        <f>IFERROR(__xludf.DUMMYFUNCTION("PRODUCT(
   MAP(
     K$3:ED$3,
     K$14:ED$14,
     K$13:ED$13,
     K30:ED30,
     LAMBDA(
       job,
       buff,
       target,
       check,
       IF(
         OR(AND(check=TRUE, REGEXMATCH(target, ""SELF_AFFECTED_ALL""), job=""暗黒騎士""), AND(check="&amp;"Option!$G$13, REGEXMATCH(target, ""SINGLE_AFFECTED_ALL""))),
         buff,
         1
       )
     )
   )
 )"),1.0)</f>
        <v>1</v>
      </c>
      <c r="FH30" s="206">
        <f>IFERROR(__xludf.DUMMYFUNCTION("SUM(
   MAP(
     K$3:ED$3,
     K$7:ED$7,
     K$15:ED$15,
     K$16:ED$16,
     K$21:ED$21,
     K$5:ED$5,
     K$17:ED$17,
     K30:ED30,
     LAMBDA(
       job,
       abillity,
       buff,
       barrier,
       enhance,
       assign,
       preco"&amp;"ndition,
       check,
       IF(
         OR(AND(check=TRUE, REGEXMATCH(assign, ""SELF""), job=""暗黒騎士""), AND(check=Option!$G$13, REGEXMATCH(assign, ""SINGLE_PARTY""))),
         IF(
           OR(ARRAYFORMULA((IF(precondition="""", FALSE, REGEXMATCH($K$"&amp;"4:$ED$4, precondition))) * (K30:ED30=TRUE))),
           enhance,
           IF(barrier="""", buff, barrier)
         ),
         0
       ) *
       SWITCH(
         job,
         ""暗黒騎士"", FI$24,
         ""白魔道士"", EF30 * EH30 * FG30 * IF(abillity, 1, E"&amp;"G30 * EI30) * (Option!$D$22 * 0.81 / 100),
         ""占星術師"", EF30 * EJ30 * FG30 * IF(abillity, 1, EG30 * EK30) * (Option!$D$23 * 0.81 / 100),
         ""学者"", EF30 * EL30 * FG30 * IF(abillity, 1, EG30 * EM30) * (Option!$D$24 * 0.81 / 100),
         ""賢者"&amp;""", EF30 * EN30 * FG30 * IF(abillity, 1, EG30 * EO30) * (Option!$D$25 * 0.81 / 100),
         1
       )
     )
   )
 ) + EQ30"),22580.0)</f>
        <v>22580</v>
      </c>
      <c r="FI30" s="206">
        <f t="shared" si="12"/>
        <v>0</v>
      </c>
      <c r="FJ30" s="205">
        <f>IFERROR(__xludf.DUMMYFUNCTION("PRODUCT(
   MAP(
     IF($F30=""Physical"", K$10:ED$10, IF($F30=""Magic"", K$11:ED$11, K$12:ED$12)),
     IF($F30=""Physical"", K$18:ED$18, IF($F30=""Magic"", K$19:ED$19, K$20:ED$20)),
     K$3:ED$3,
     K$5:ED$5,
     K$17:ED$17,
     K30:ED30,
     LAM"&amp;"BDA(
       mitigation,
       enhance,
       job,
       assign,
       precondition,
       check,
       IF(
         OR(AND(check=TRUE, REGEXMATCH(assign, ""SELF""), job=""ガンブレイカー""), AND(check=Option!$H$13, REGEXMATCH(assign, ""SINGLE_PARTY""))),
  "&amp;"       IF(
           OR(ARRAYFORMULA((IF(precondition="""", FALSE, REGEXMATCH($K$4:$ED$4, precondition))) * (K30:ED30=TRUE))),
           enhance,
           mitigation
         ),
         1
       )
     )
   )
 ) * EE30"),0.85)</f>
        <v>0.85</v>
      </c>
      <c r="FK30" s="206">
        <f t="shared" si="13"/>
        <v>12580</v>
      </c>
      <c r="FL30" s="205">
        <f>IFERROR(__xludf.DUMMYFUNCTION("PRODUCT(
   MAP(
     K$3:ED$3,
     K$14:ED$14,
     K$13:ED$13,
     K30:ED30,
     LAMBDA(
       job,
       buff,
       target,
       check,
       IF(
         OR(AND(check=TRUE, REGEXMATCH(target, ""SELF_AFFECTED_ALL""), job=""ガンブレイカー""), AND(che"&amp;"ck=Option!$H$13, REGEXMATCH(target, ""SINGLE_AFFECTED_ALL""))),
         buff,
         1
       )
     )
   )
 )"),1.0)</f>
        <v>1</v>
      </c>
      <c r="FM30" s="206">
        <f>IFERROR(__xludf.DUMMYFUNCTION("SUM(
   MAP(
     K$3:ED$3,
     K$7:ED$7,
     K$15:ED$15,
     K$16:ED$16,
     K$21:ED$21,
     K$5:ED$5,
     K$17:ED$17,
     K30:ED30,
     LAMBDA(
       job,
       abillity,
       buff,
       barrier,
       enhance,
       assign,
       preco"&amp;"ndition,
       check,
       IF(
         OR(AND(check=TRUE, REGEXMATCH(assign, ""SELF""), job=""ガンブレイカー""), AND(check=Option!$H$13, REGEXMATCH(assign, ""SINGLE_PARTY""))),
         IF(
           OR(ARRAYFORMULA((IF(precondition="""", FALSE, REGEXMATCH("&amp;"$K$4:$ED$4, precondition))) * (K30:ED30=TRUE))),
           enhance,
           IF(barrier="""", buff, barrier)
         ),
         0
       ) *
       SWITCH(
         job,
         ""暗黒騎士"", FN$24,
         ""白魔道士"", EF30 * EH30 * FL30 * IF(abillity, 1"&amp;", EG30 * EI30) * (Option!$D$22 * 0.81 / 100),
         ""占星術師"", EF30 * EJ30 * FL30 * IF(abillity, 1, EG30 * EK30) * (Option!$D$23 * 0.81 / 100),
         ""学者"", EF30 * EL30 * FL30 * IF(abillity, 1, EG30 * EM30) * (Option!$D$24 * 0.81 / 100),
         """&amp;"賢者"", EF30 * EN30 * FL30 * IF(abillity, 1, EG30 * EO30) * (Option!$D$25 * 0.81 / 100),
         1
       )
     )
   )
 ) + EQ30"),22580.0)</f>
        <v>22580</v>
      </c>
      <c r="FN30" s="206">
        <f t="shared" si="14"/>
        <v>0</v>
      </c>
      <c r="FO30" s="213"/>
    </row>
    <row r="31">
      <c r="B31" s="208"/>
      <c r="C31" s="217">
        <f t="shared" si="1"/>
        <v>0.0002777777778</v>
      </c>
      <c r="D31" s="222">
        <v>2.777777777777778E-4</v>
      </c>
      <c r="E31" s="223" t="s">
        <v>1073</v>
      </c>
      <c r="F31" s="167" t="s">
        <v>11</v>
      </c>
      <c r="G31" s="168"/>
      <c r="H31" s="169">
        <v>22500.0</v>
      </c>
      <c r="I31" s="169"/>
      <c r="J31" s="169"/>
      <c r="K31" s="170" t="b">
        <v>0</v>
      </c>
      <c r="L31" s="170" t="b">
        <v>0</v>
      </c>
      <c r="M31" s="170" t="b">
        <v>1</v>
      </c>
      <c r="N31" s="171" t="s">
        <v>1070</v>
      </c>
      <c r="O31" s="172" t="b">
        <v>0</v>
      </c>
      <c r="P31" s="173" t="b">
        <v>0</v>
      </c>
      <c r="Q31" s="173" t="b">
        <v>0</v>
      </c>
      <c r="R31" s="173" t="b">
        <v>0</v>
      </c>
      <c r="S31" s="174" t="b">
        <v>0</v>
      </c>
      <c r="T31" s="175" t="b">
        <v>0</v>
      </c>
      <c r="U31" s="173" t="b">
        <v>0</v>
      </c>
      <c r="V31" s="171" t="s">
        <v>1070</v>
      </c>
      <c r="W31" s="172" t="b">
        <v>0</v>
      </c>
      <c r="X31" s="173" t="b">
        <v>0</v>
      </c>
      <c r="Y31" s="173" t="b">
        <v>0</v>
      </c>
      <c r="Z31" s="173" t="b">
        <v>0</v>
      </c>
      <c r="AA31" s="174" t="b">
        <v>0</v>
      </c>
      <c r="AB31" s="174" t="b">
        <v>0</v>
      </c>
      <c r="AC31" s="175" t="b">
        <v>0</v>
      </c>
      <c r="AD31" s="173" t="b">
        <v>0</v>
      </c>
      <c r="AE31" s="176" t="s">
        <v>1070</v>
      </c>
      <c r="AF31" s="171" t="s">
        <v>1070</v>
      </c>
      <c r="AG31" s="177">
        <f>IFERROR(__xludf.DUMMYFUNCTION("IF(
  ISNUMBER(AG30),
  MIN(MAX(
    AG30
    + MAX(
      ROUNDDOWN(($D31 - MAX(IFERROR(FILTER($D$24:$D30, AG$24:AG30 &lt;&gt; AF$6, AG$23:AG29 = AF$6), 0))) * (60 * 60 * 24) / AF$9) - ROUNDDOWN(($D30 - MAX(IFERROR(FILTER($D$23:$D29, AG$23:AG29 &lt;&gt; AF$6, AG$22:"&amp;"AG28 = AF$6), 0))) * (60 * 60 * 24) / 60),
      0
    )
    - COUNTIF(AF31, ""&lt;&gt;-""),
  0), AF$6),
  AF$6 - COUNTIF(AF31, ""&lt;&gt;-"")
)"),2.0)</f>
        <v>2</v>
      </c>
      <c r="AH31" s="173" t="b">
        <v>0</v>
      </c>
      <c r="AI31" s="173" t="b">
        <v>0</v>
      </c>
      <c r="AJ31" s="173" t="b">
        <v>0</v>
      </c>
      <c r="AK31" s="174" t="b">
        <v>0</v>
      </c>
      <c r="AL31" s="175" t="b">
        <v>0</v>
      </c>
      <c r="AM31" s="173" t="b">
        <v>0</v>
      </c>
      <c r="AN31" s="171" t="s">
        <v>1070</v>
      </c>
      <c r="AO31" s="173" t="b">
        <v>0</v>
      </c>
      <c r="AP31" s="173" t="b">
        <v>0</v>
      </c>
      <c r="AQ31" s="173" t="b">
        <v>0</v>
      </c>
      <c r="AR31" s="174" t="b">
        <v>0</v>
      </c>
      <c r="AS31" s="178" t="b">
        <v>0</v>
      </c>
      <c r="AT31" s="179" t="b">
        <v>0</v>
      </c>
      <c r="AU31" s="180" t="b">
        <v>0</v>
      </c>
      <c r="AV31" s="180" t="b">
        <v>0</v>
      </c>
      <c r="AW31" s="180" t="b">
        <v>0</v>
      </c>
      <c r="AX31" s="180" t="b">
        <v>0</v>
      </c>
      <c r="AY31" s="181" t="s">
        <v>1070</v>
      </c>
      <c r="AZ31" s="181" t="s">
        <v>1070</v>
      </c>
      <c r="BA31" s="184">
        <f>IFERROR(__xludf.DUMMYFUNCTION("IF(
  ISNUMBER(BA30),
  MIN(MAX(
    BA30
    + MAX(
      ROUNDDOWN((D31 - MAX(IFERROR(FILTER(D$24:D30, BA$24:BA30 &lt;&gt; AZ$6, BA$23:BA29 = AZ$6), 0))) * (60 * 60 * 24) / AZ$9) - ROUNDDOWN((D30 - MAX(IFERROR(FILTER(D$23:D29, BA$23:BA29 &lt;&gt; AZ$6, BA$22:BA28 ="&amp;" AZ$6), 0))) * (60 * 60 * 24) / AZ$9),
      0
    )
    - COUNTIF(AZ31, ""&lt;&gt;-""),
  0), AZ$6),
  AZ$6 - COUNTIF(AZ31, ""&lt;&gt;-"")
)"),2.0)</f>
        <v>2</v>
      </c>
      <c r="BB31" s="181" t="s">
        <v>1070</v>
      </c>
      <c r="BC31" s="183">
        <f>IFERROR(__xludf.DUMMYFUNCTION("IF(
  ISNUMBER(BC30),
  MIN(MAX(
    BC30
    + MAX(
      ROUNDDOWN(($D31 - MAX(IFERROR(FILTER($D$24:$D30, BC$24:BC30 &lt;&gt; BB$6, BC$23:BC29 = BB$6), 0))) * (60 * 60 * 24) / BB$9) - ROUNDDOWN(($D30 - MAX(IFERROR(FILTER($D$23:$D29, BC$23:BC29 &lt;&gt; BB$6, BC$22:"&amp;"BC28 = BB$6), 0))) * (60 * 60 * 24) / 60),
      0
    )
    - COUNTIF(BB31, ""&lt;&gt;-""),
  0), BB$6),
  BB$6 - COUNTIF(BB31, ""&lt;&gt;-"")
)"),2.0)</f>
        <v>2</v>
      </c>
      <c r="BD31" s="181" t="s">
        <v>1070</v>
      </c>
      <c r="BE31" s="178" t="b">
        <v>0</v>
      </c>
      <c r="BF31" s="180" t="b">
        <v>0</v>
      </c>
      <c r="BG31" s="180" t="b">
        <v>0</v>
      </c>
      <c r="BH31" s="180" t="b">
        <v>0</v>
      </c>
      <c r="BI31" s="180" t="b">
        <v>0</v>
      </c>
      <c r="BJ31" s="180" t="b">
        <v>0</v>
      </c>
      <c r="BK31" s="180" t="b">
        <v>0</v>
      </c>
      <c r="BL31" s="180" t="b">
        <v>0</v>
      </c>
      <c r="BM31" s="180" t="b">
        <v>0</v>
      </c>
      <c r="BN31" s="180" t="b">
        <v>0</v>
      </c>
      <c r="BO31" s="181" t="s">
        <v>1070</v>
      </c>
      <c r="BP31" s="181" t="s">
        <v>1070</v>
      </c>
      <c r="BQ31" s="181" t="s">
        <v>1070</v>
      </c>
      <c r="BR31" s="181" t="s">
        <v>1070</v>
      </c>
      <c r="BS31" s="181" t="s">
        <v>1070</v>
      </c>
      <c r="BT31" s="184">
        <f>IFERROR(__xludf.DUMMYFUNCTION("IF(
  ISNUMBER(BT30),
  MIN(MAX(
    BT30
    + MAX(
      ROUNDDOWN((D31 - MAX(IFERROR(FILTER(D$24:D30, BT$24:BT30 &lt;&gt; BS$6, BT$23:BT29 = BS$6), 0))) * (60 * 60 * 24) / BS$9) - ROUNDDOWN((D30 - MAX(IFERROR(FILTER(D$23:D29, BT$23:BT29 &lt;&gt; BS$6, BT$22:BT28 ="&amp;" BS$6), 0))) * (60 * 60 * 24) / BS$9),
      0
    )
    - COUNTIF(BS31, ""&lt;&gt;-""),
  0), BS$6),
  BS$6 - COUNTIF(BS31, ""&lt;&gt;-"")
)"),3.0)</f>
        <v>3</v>
      </c>
      <c r="BU31" s="181" t="s">
        <v>1070</v>
      </c>
      <c r="BV31" s="181" t="s">
        <v>1070</v>
      </c>
      <c r="BW31" s="184">
        <f>IFERROR(__xludf.DUMMYFUNCTION("IF(
  ISNUMBER(BW30),
  MIN(MAX(
    BW30
    + MAX(
      ROUNDDOWN((D31 - MAX(IFERROR(FILTER(D$24:D30, BW$24:BW30 &lt;&gt; BV$6, BW$23:BW29 = BV$6), 0))) * (60 * 60 * 24) / BV$9) - ROUNDDOWN((D30 - MAX(IFERROR(FILTER(D$23:D29, BW$23:BW29 &lt;&gt; BV$6, BW$22:BW28 ="&amp;" BV$6), 0))) * (60 * 60 * 24) / BV$9),
      0
    )
    - COUNTIF(BV31, ""&lt;&gt;-""),
  0), BV$6),
  BV$6 - COUNTIF(BV31, ""&lt;&gt;-"")
)"),2.0)</f>
        <v>2</v>
      </c>
      <c r="BX31" s="185" t="s">
        <v>1070</v>
      </c>
      <c r="BY31" s="178" t="b">
        <v>0</v>
      </c>
      <c r="BZ31" s="180" t="b">
        <v>0</v>
      </c>
      <c r="CA31" s="180" t="b">
        <v>0</v>
      </c>
      <c r="CB31" s="180" t="b">
        <v>0</v>
      </c>
      <c r="CC31" s="180" t="b">
        <v>0</v>
      </c>
      <c r="CD31" s="180" t="b">
        <v>0</v>
      </c>
      <c r="CE31" s="180" t="b">
        <v>0</v>
      </c>
      <c r="CF31" s="180" t="b">
        <v>0</v>
      </c>
      <c r="CG31" s="180" t="b">
        <v>0</v>
      </c>
      <c r="CH31" s="180" t="b">
        <v>0</v>
      </c>
      <c r="CI31" s="180" t="b">
        <v>0</v>
      </c>
      <c r="CJ31" s="180" t="b">
        <v>0</v>
      </c>
      <c r="CK31" s="180" t="b">
        <v>0</v>
      </c>
      <c r="CL31" s="180" t="b">
        <v>0</v>
      </c>
      <c r="CM31" s="181" t="s">
        <v>1070</v>
      </c>
      <c r="CN31" s="181" t="s">
        <v>1070</v>
      </c>
      <c r="CO31" s="181" t="s">
        <v>1070</v>
      </c>
      <c r="CP31" s="181" t="s">
        <v>1070</v>
      </c>
      <c r="CQ31" s="185" t="s">
        <v>1070</v>
      </c>
      <c r="CR31" s="180" t="b">
        <v>0</v>
      </c>
      <c r="CS31" s="186" t="str">
        <f t="shared" si="3"/>
        <v>◇◇◇</v>
      </c>
      <c r="CT31" s="178" t="b">
        <v>0</v>
      </c>
      <c r="CU31" s="180" t="b">
        <v>0</v>
      </c>
      <c r="CV31" s="180" t="b">
        <v>0</v>
      </c>
      <c r="CW31" s="180" t="b">
        <v>0</v>
      </c>
      <c r="CX31" s="180" t="b">
        <v>0</v>
      </c>
      <c r="CY31" s="180" t="b">
        <v>0</v>
      </c>
      <c r="CZ31" s="180" t="b">
        <v>0</v>
      </c>
      <c r="DA31" s="180" t="b">
        <v>0</v>
      </c>
      <c r="DB31" s="180" t="b">
        <v>0</v>
      </c>
      <c r="DC31" s="180" t="b">
        <v>0</v>
      </c>
      <c r="DD31" s="181" t="s">
        <v>1070</v>
      </c>
      <c r="DE31" s="181" t="s">
        <v>1070</v>
      </c>
      <c r="DF31" s="181" t="s">
        <v>1070</v>
      </c>
      <c r="DG31" s="185" t="s">
        <v>1070</v>
      </c>
      <c r="DH31" s="180" t="b">
        <v>0</v>
      </c>
      <c r="DI31" s="187" t="str">
        <f>IFERROR(__xludf.DUMMYFUNCTION("SWITCH(
  IF(
    ISTEXT(DI30),
    IF (
      FIND(""○"", DI30&amp;""○"") &gt; 3,
      3,
      FIND(""○"", DI30&amp;""○"")
      + MAX(
        ROUNDDOWN(($D31 - MAX(IFERROR(FILTER(D$24:D30, DI$24:DI30 &lt;&gt; ""●●●"", DI$23:DI29 = ""●●●""), 0))) * (60 * 60 * 24) / 20"&amp;") - ROUNDDOWN(($D30 - MAX(IFERROR(FILTER(D$23:D29, DI$23:DI29 &lt;&gt; ""●●●"", DI$22:DI28 = ""●●●""), 0))) * (60 * 60 * 24) / 20),
        0
      ) - 1
    ) - COUNTIFS(CU31, ""=TRUE"", CU30, ""&lt;&gt;TRUE"") - COUNTIF(CZ31, ""=TRUE"") - COUNTIF({DD31,DE31}, ""&lt;&gt;-"&amp;""") + COUNTIF(DH31, ""=TRUE""),
    3
  ),
  0, ""○○○"", 1, ""●○○"", 2, ""●●○"", 3, ""●●●"", 4, ""●●●"", ""○○○""
)"),"●●●")</f>
        <v>●●●</v>
      </c>
      <c r="DJ31" s="188" t="b">
        <v>0</v>
      </c>
      <c r="DK31" s="189" t="b">
        <v>0</v>
      </c>
      <c r="DL31" s="190" t="b">
        <v>0</v>
      </c>
      <c r="DM31" s="190" t="b">
        <v>0</v>
      </c>
      <c r="DN31" s="190" t="b">
        <v>0</v>
      </c>
      <c r="DO31" s="190" t="b">
        <v>0</v>
      </c>
      <c r="DP31" s="190" t="b">
        <v>0</v>
      </c>
      <c r="DQ31" s="191" t="b">
        <v>1</v>
      </c>
      <c r="DR31" s="192" t="b">
        <v>0</v>
      </c>
      <c r="DS31" s="191" t="b">
        <v>0</v>
      </c>
      <c r="DT31" s="192" t="b">
        <v>0</v>
      </c>
      <c r="DU31" s="191" t="b">
        <v>0</v>
      </c>
      <c r="DV31" s="193" t="s">
        <v>1070</v>
      </c>
      <c r="DW31" s="194" t="b">
        <v>0</v>
      </c>
      <c r="DX31" s="194" t="b">
        <v>0</v>
      </c>
      <c r="DY31" s="195" t="b">
        <v>0</v>
      </c>
      <c r="DZ31" s="196" t="b">
        <v>0</v>
      </c>
      <c r="EA31" s="195" t="b">
        <v>0</v>
      </c>
      <c r="EB31" s="197" t="b">
        <v>0</v>
      </c>
      <c r="EC31" s="197" t="b">
        <v>0</v>
      </c>
      <c r="ED31" s="212" t="b">
        <v>0</v>
      </c>
      <c r="EE31" s="199">
        <f>IFERROR(__xludf.DUMMYFUNCTION("IFERROR(
   PRODUCT(
     MAP(
       INDEX(TRANSPOSE(UNIQUE(TRANSPOSE(FILTER({IF($F31=""Physical"", K$10:ED$10, IF($F31=""Magic"", K$11:ED$11, K$12:ED$12));K$4:ED$4;K31:ED31}, K31:ED31=TRUE)))), 1, 0),
       INDEX(TRANSPOSE(UNIQUE(TRANSPOSE(FILTER({IF($"&amp;"F31=""Physical"", K$18:ED$18, IF($F31=""Magic"", K$19:ED$19, K$20:ED$20));K$4:ED$4;K31:ED31}, K31:ED31=TRUE)))), 1, 0),
       INDEX(TRANSPOSE(UNIQUE(TRANSPOSE(FILTER({K$5:ED$5;K$4:ED$4;K31:ED31}, K31:ED31=TRUE)))), 1, 0),
       INDEX(TRANSPOSE(UNIQUE(TR"&amp;"ANSPOSE(FILTER({K$17:ED$17;K$4:ED$4;K31:ED31}, K31:ED31=TRUE)))), 1, 0),
       LAMBDA(
         mitigation,
         enhance,
         assign,
         precondition,
         IF(
           REGEXMATCH(assign, ""RANGE_PARTY|SINGLE_ENEMY|RANGE_ENEMY""),
  "&amp;"         IF(
             OR(ARRAYFORMULA((IF(precondition="""", FALSE, REGEXMATCH(K$4:ED$4, precondition))) * (K31:ED31=TRUE))),
             IF(ISNUMBER(enhance), enhance, 1),
             IF(ISNUMBER(mitigation), mitigation, 1)
           ),
          "&amp;" 1
         )
       )
     )
   ),
   1
 )"),0.85)</f>
        <v>0.85</v>
      </c>
      <c r="EF31" s="200">
        <f>IFERROR(__xludf.DUMMYFUNCTION("PRODUCT(
   MAP(
     K$14:ED$14,
     K$13:ED$13,
     K31:ED31,
     LAMBDA(
       buff,
       target,
       check,
       IF(
         AND(check=TRUE, REGEXMATCH(target, ""RANGE_AFFECTED_ALL|RANGE_EFFECTED_ALL""), ISNUMBER(buff)),
         buff,
   "&amp;"      1
       )
     )
   )
 )"),1.0)</f>
        <v>1</v>
      </c>
      <c r="EG31" s="200">
        <f>IFERROR(__xludf.DUMMYFUNCTION("PRODUCT(
   MAP(
     K$14:ED$14,
     K$13:ED$13,
     K31:ED31,
     LAMBDA(
       buff,
       target,
       check,
       IF(
         AND(check=TRUE, REGEXMATCH(target, ""RANGE_AFFECTED_GCD|RANGE_EFFECTED_GCD""), ISNUMBER(buff)),
         buff,
   "&amp;"      1
       )
     )
   )
 )"),1.0)</f>
        <v>1</v>
      </c>
      <c r="EH31" s="200">
        <f>IFERROR(__xludf.DUMMYFUNCTION("PRODUCT(
   MAP(
     K$3:ED$3,
     K$14:ED$14,
     K$13:ED$13,
     K31:ED31,
     LAMBDA(
       job,
       buff,
       target,
       check,
       IF(
         AND(check=TRUE, REGEXMATCH(target, ""SELF_EFFECTED_ALL""), ISNUMBER(buff), job=""白魔道士"""&amp;"),
         buff,
         1
       )
     )
   )
 )"),1.0)</f>
        <v>1</v>
      </c>
      <c r="EI31" s="200">
        <f>IFERROR(__xludf.DUMMYFUNCTION("PRODUCT(
   MAP(
     K$3:ED$3,
     K$14:ED$14,
     K$13:ED$13,
     K31:ED31,
     LAMBDA(
       job,
       buff,
       target,
       check,
       IF(
         AND(check=TRUE, REGEXMATCH(target, ""SELF_EFFECTED_GCD""), ISNUMBER(buff), job=""白魔道士"""&amp;"),
         buff,
         1
       )
     )
   )
 )"),1.0)</f>
        <v>1</v>
      </c>
      <c r="EJ31" s="200">
        <f>IFERROR(__xludf.DUMMYFUNCTION("PRODUCT(
   MAP(
     K$3:ED$3,
     K$14:ED$14,
     K$13:ED$13,
     K31:ED31,
     LAMBDA(
       job,
       buff,
       target,
       check,
       IF(
         AND(check=TRUE, REGEXMATCH(target, ""SELF_EFFECTED_ALL""), ISNUMBER(buff), job=""占星術師"""&amp;"),
         buff,
         1
       )
     )
   )
 )"),1.0)</f>
        <v>1</v>
      </c>
      <c r="EK31" s="200">
        <f>IFERROR(__xludf.DUMMYFUNCTION("PRODUCT(
   MAP(
     K$3:ED$3,
     K$14:ED$14,
     K$13:ED$13,
     K31:ED31,
     LAMBDA(
       job,
       buff,
       target,
       check,
       IF(
         AND(check=TRUE, REGEXMATCH(target, ""SELF_EFFECTED_GCD""), ISNUMBER(buff), job=""占星術師"""&amp;"),
         buff,
         1
       )
     )
   )
 )"),1.0)</f>
        <v>1</v>
      </c>
      <c r="EL31" s="200">
        <f>IFERROR(__xludf.DUMMYFUNCTION("PRODUCT(
   MAP(
     K$3:ED$3,
     K$14:ED$14,
     K$13:ED$13,
     K31:ED31,
     LAMBDA(
       job,
       buff,
       target,
       check,
       IF(
         AND(check=TRUE, REGEXMATCH(target, ""SELF_EFFECTED_ALL""), ISNUMBER(buff), job=""学者""),"&amp;"
         buff,
         1
       )
     )
   )
 )"),1.0)</f>
        <v>1</v>
      </c>
      <c r="EM31" s="200">
        <f>IFERROR(__xludf.DUMMYFUNCTION("PRODUCT(
   MAP(
     K$3:ED$3,
     K$14:ED$14,
     K$13:ED$13,
     K31:ED31,
     LAMBDA(
       job,
       buff,
       target,
       check,
       IF(
         AND(check=TRUE, REGEXMATCH(target, ""SELF_EFFECTED_GCD""), ISNUMBER(buff), job=""学者""),"&amp;"
         buff,
         1
       )
     )
   )
 )"),1.0)</f>
        <v>1</v>
      </c>
      <c r="EN31" s="200">
        <f>IFERROR(__xludf.DUMMYFUNCTION("PRODUCT(
   MAP(
     K$3:ED$3,
     K$14:ED$14,
     K$13:ED$13,
     K31:ED31,
     LAMBDA(
       job,
       buff,
       target,
       check,
       IF(
         AND(check=TRUE, REGEXMATCH(target, ""SELF_EFFECTED_ALL""), ISNUMBER(buff), job=""賢者""),"&amp;"
         buff,
         1
       )
     )
   )
 )"),1.0)</f>
        <v>1</v>
      </c>
      <c r="EO31" s="200">
        <f>IFERROR(__xludf.DUMMYFUNCTION("PRODUCT(
   MAP(
     K$3:ED$3,
     K$14:ED$14,
     K$13:ED$13,
     K31:ED31,
     LAMBDA(
       job,
       buff,
       target,
       check,
       IF(
         AND(check=TRUE, REGEXMATCH(target, ""SELF_EFFECTED_GCD""), ISNUMBER(buff), job=""賢者""),"&amp;"
         buff,
         1
       )
     )
   )
 )"),1.0)</f>
        <v>1</v>
      </c>
      <c r="EP31" s="201">
        <f t="shared" si="4"/>
        <v>19125</v>
      </c>
      <c r="EQ31" s="201">
        <f>IFERROR(__xludf.DUMMYFUNCTION("SUM(
   MAP(
     K$4:ED$4,
     K$3:ED$3,
     K$7:ED$7,
     K$15:ED$15,
     K$16:ED$16,
     K$21:ED$21,
     K$5:ED$5,
     K$17:ED$17,
     K31:ED31,
     LAMBDA(
       name,
       job,
       abillity,
       buff,
       barrier,
       enhance,"&amp;"
       assign,
       precondition,
       check,
       SWITCH(
         name,
         ""シェイクオフ"", IF(check=TRUE, buff + (0.02 * COUNTIF(ARRAYFORMULA((REGEXMATCH($K$4:$ED$4, ""スリル・オブ・バトル|ヴェンジェンス|原初の血気|ダムネーション"")) * (K31:ED31=TRUE)), 1)), 0),
         "&amp;"""インプロビゼーションフィニッシュ(踊りの激情0)"", IF(ISNUMBER(check), INDEX(Skill!$AJ:$AJ, MATCH(SUBSTITUTE(DV$4, 0, check), Skill!$C:$C, 0)), 0),
         IF(
           AND(check=TRUE, REGEXMATCH(assign, ""RANGE_PARTY"")),
           IF(
             OR(ARRAYFORMULA((IF(pr"&amp;"econdition="""", FALSE, REGEXMATCH($K$4:$ED$4, precondition))) * (K31:ED31=TRUE))),
             enhance,
             IF(barrier="""", buff, barrier)
           ),
           0
         )
       ) *
       SWITCH(
         job,
         ""ナイト"", EY$24,
 "&amp;"        ""戦士"", FD$24,
         ""踊り子"", ET$24,
         ""ピクトマンサー"", ET$24,
         ""白魔道士"", EF31 * EH31 * IF(abillity, 1, EG31 * EI31) * (Option!$D$22 * 0.81 / 100),
         ""占星術師"", EF31 * EJ31 * IF(abillity, 1, EG31 * EK31) * (Option!$D$23 * 0.81 "&amp;"/ 100),
         ""学者"", EF31 * EL31 * IF(abillity, 1, EG31 * EM31) * (Option!$D$24 * 0.81 / 100),
         ""賢者"", EF31 * EN31 * IF(abillity, 1, EG31 * EO31) * (Option!$D$25 * 0.81 / 100),
         1
       )
     )
   )
 )"),22580.0)</f>
        <v>22580</v>
      </c>
      <c r="ER31" s="202">
        <f t="shared" si="5"/>
        <v>0</v>
      </c>
      <c r="ES31" s="203">
        <f t="shared" si="6"/>
        <v>0</v>
      </c>
      <c r="ET31" s="204" t="str">
        <f>IFERROR(__xludf.DUMMYFUNCTION("IFS(
  EP31 &gt; $ET$24 + EQ31,
  SPARKLINE({ 1, 0 }, {""charttype"",""bar"";""max"", 1;""color1"",Option!$D$30;""color2"",Option!$D$30}),
  EP31 &lt; EQ31,
  SPARKLINE({EQ31 - EP31, $ET$24 - (EQ31 - EP31)}, {""charttype"",""bar"";""max"",$ET$24;""color1"",Opti"&amp;"on!$D$28;""color2"",Option!$D$29}),
  EP31 &gt;= EQ31,
  SPARKLINE({$ET$24 + EQ31 - EP31,EP31 - EQ31}, {""charttype"",""bar"";""max"",$ET$24;""color1"",Option!$D$29;""color2"",Option!$D$30})
)"),"")</f>
        <v/>
      </c>
      <c r="EU31" s="205">
        <f>IFERROR(__xludf.DUMMYFUNCTION("PRODUCT(
   MAP(
     IF($F31=""Physical"", K$10:ED$10, IF($F31=""Magic"", K$11:ED$11, K$12:ED$12)),
     IF($F31=""Physical"", K$18:ED$18, IF($F31=""Magic"", K$19:ED$19, K$20:ED$20)),
     K$3:ED$3,
     K$5:ED$5,
     K$17:ED$17,
     K31:ED31,
     LAM"&amp;"BDA(
       mitigation,
       enhance,
       job,
       assign,
       precondition,
       check,
       IF(
         OR(AND(check=TRUE, REGEXMATCH(assign, ""SELF""), job=""ナイト""), AND(check=Option!$E$13, REGEXMATCH(assign, ""SINGLE_PARTY""))),
      "&amp;"   IF(
           OR(ARRAYFORMULA((IF(precondition="""", FALSE, REGEXMATCH($K$4:$ED$4, precondition))) * (K31:ED31=TRUE))),
           enhance,
           mitigation
         ),
         1
       )
     )
   )
 ) * EE31"),0.85)</f>
        <v>0.85</v>
      </c>
      <c r="EV31" s="206">
        <f t="shared" si="7"/>
        <v>15300</v>
      </c>
      <c r="EW31" s="205">
        <f>IFERROR(__xludf.DUMMYFUNCTION("PRODUCT(
   MAP(
     K$3:ED$3,
     K$14:ED$14,
     K$13:ED$13,
     K31:ED31,
     LAMBDA(
       job,
       buff,
       target,
       check,
       IF(
         OR(AND(check=TRUE, REGEXMATCH(target, ""SELF_AFFECTED_ALL""), job=""ナイト""), AND(check=O"&amp;"ption!$E$13, REGEXMATCH(target, ""SINGLE_AFFECTED_ALL""))),
         buff,
         1
       )
     )
   )
 )"),1.0)</f>
        <v>1</v>
      </c>
      <c r="EX31" s="206">
        <f>IFERROR(__xludf.DUMMYFUNCTION("SUM(
   MAP(
     K$3:ED$3,
     K$7:ED$7,
     K$15:ED$15,
     K$16:ED$16,
     K$21:ED$21,
     K$5:ED$5,
     K$17:ED$17,
     K31:ED31,
     LAMBDA(
       job,
       abillity,
       buff,
       barrier,
       enhance,
       assign,
       preco"&amp;"ndition,
       check,
       IF(
         OR(AND(check=TRUE, REGEXMATCH(assign, ""SELF""), job=""ナイト""), AND(check=Option!$E$13, REGEXMATCH(assign, ""SINGLE_PARTY""))),
         IF(
           OR(ARRAYFORMULA((IF(precondition="""", FALSE, REGEXMATCH($K$4"&amp;":$ED$4, precondition))) * (K31:ED31=TRUE))),
           enhance,
           IF(barrier="""", buff, barrier)
         ),
         0
       ) *
       SWITCH(
         job,
         ""暗黒騎士"", EY$24,
         ""白魔道士"", EF31 * EH31 * EW31 * IF(abillity, 1, EG"&amp;"31 * EI31) * (Option!$D$22 * 0.81 / 100),
         ""占星術師"", EF31 * EJ31 * EW31 * IF(abillity, 1, EG31 * EK31) * (Option!$D$23 * 0.81 / 100),
         ""学者"", EF31 * EL31 * EW31 * IF(abillity, 1, EG31 * EM31) * (Option!$D$24 * 0.81 / 100),
         ""賢者"""&amp;", EF31 * EN31 * EW31 * IF(abillity, 1, EG31 * EO31) * (Option!$D$25 * 0.81 / 100),
         1
       )
     )
   )
 ) + EQ31"),22580.0)</f>
        <v>22580</v>
      </c>
      <c r="EY31" s="206">
        <f t="shared" si="8"/>
        <v>0</v>
      </c>
      <c r="EZ31" s="205">
        <f>IFERROR(__xludf.DUMMYFUNCTION("PRODUCT(
   MAP(
     IF($F31=""Physical"", K$10:ED$10, IF($F31=""Magic"", K$11:ED$11, K$12:ED$12)),
     IF($F31=""Physical"", K$18:ED$18, IF($F31=""Magic"", K$19:ED$19, K$20:ED$20)),
     K$3:ED$3,
     K$5:ED$5,
     K$17:ED$17,
     K31:ED31,
     LAM"&amp;"BDA(
       mitigation,
       enhance,
       job,
       assign,
       precondition,
       check,
       IF(
         OR(AND(check=TRUE, REGEXMATCH(assign, ""SELF""), job=""戦士""), AND(check=Option!$F$13, REGEXMATCH(assign, ""SINGLE_PARTY""))),
       "&amp;"  IF(
           OR(ARRAYFORMULA((IF(precondition="""", FALSE, REGEXMATCH($K$4:$ED$4, precondition))) * (K31:ED31=TRUE))),
           enhance,
           mitigation
         ),
         1
       )
     )
   )
 ) * EE31"),0.85)</f>
        <v>0.85</v>
      </c>
      <c r="FA31" s="206">
        <f t="shared" si="9"/>
        <v>15300</v>
      </c>
      <c r="FB31" s="205">
        <f>IFERROR(__xludf.DUMMYFUNCTION("PRODUCT(
   MAP(
     K$3:ED$3,
     K$14:ED$14,
     K$13:ED$13,
     K31:ED31,
     LAMBDA(
       job,
       buff,
       target,
       check,
       IF(
         OR(AND(check=TRUE, REGEXMATCH(target, ""SELF_AFFECTED_ALL""), job=""戦士""), AND(check=Op"&amp;"tion!$F$13, REGEXMATCH(target, ""SINGLE_AFFECTED_ALL""))),
         buff,
         1
       )
     )
   )
 )"),1.0)</f>
        <v>1</v>
      </c>
      <c r="FC31" s="206">
        <f>IFERROR(__xludf.DUMMYFUNCTION("SUM(
   MAP(
     K$3:ED$3,
     K$7:ED$7,
     K$15:ED$15,
     K$16:ED$16,
     K$21:ED$21,
     K$5:ED$5,
     K$17:ED$17,
     K31:ED31,
     LAMBDA(
       job,
       abillity,
       buff,
       barrier,
       enhance,
       assign,
       preco"&amp;"ndition,
       check,
       IF(
         OR(AND(check=TRUE, REGEXMATCH(assign, ""SELF""), job=""戦士""), AND(check=Option!$F$13, REGEXMATCH(assign, ""SINGLE_PARTY""))),
         IF(
           OR(ARRAYFORMULA((IF(precondition="""", FALSE, REGEXMATCH($K$4:"&amp;"$ED$4, precondition))) * (K31:ED31=TRUE))),
           enhance,
           IF(barrier="""", buff, barrier)
         ),
         0
       ) *
       SWITCH(
         job,
         ""暗黒騎士"", FD$24,
         ""白魔道士"", EF31 * EH31 * FB31 * IF(abillity, 1, EG3"&amp;"1 * EI31) * (Option!$D$22 * 0.81 / 100),
         ""占星術師"", EF31 * EJ31 * FFB31 * IF(abillity, 1, EG31 * EK31) * (Option!$D$23 * 0.81 / 100),
         ""学者"", EF31 * EL31 * FB31 * IF(abillity, 1, EG31 * EM31) * (Option!$D$24 * 0.81 / 100),
         ""賢者"""&amp;", EF31 * EN31 * FB31 * IF(abillity, 1, EG31 * EO31) * (Option!$D$25 * 0.81 / 100),
         1
       )
     )
   )
 ) + EQ31"),22580.0)</f>
        <v>22580</v>
      </c>
      <c r="FD31" s="206">
        <f t="shared" si="10"/>
        <v>0</v>
      </c>
      <c r="FE31" s="205">
        <f>IFERROR(__xludf.DUMMYFUNCTION("PRODUCT(
   MAP(
     IF($F31=""Physical"", K$10:ED$10, IF($F31=""Magic"", K$11:ED$11, K$12:ED$12)),
     IF($F31=""Physical"", K$18:ED$18, IF($F31=""Magic"", K$19:ED$19, K$20:ED$20)),
     K$3:ED$3,
     K$5:ED$5,
     K$17:ED$17,
     K31:ED31,
     LAM"&amp;"BDA(
       mitigation,
       enhance,
       job,
       assign,
       precondition,
       check,
       IF(
         OR(AND(check=TRUE, REGEXMATCH(assign, ""SELF""), job=""暗黒騎士""), AND(check=Option!$G$13, REGEXMATCH(assign, ""SINGLE_PARTY""))),
     "&amp;"    IF(
           OR(ARRAYFORMULA((IF(precondition="""", FALSE, REGEXMATCH($K$4:$ED$4, precondition))) * (K31:ED31=TRUE))),
           enhance,
           mitigation
         ),
         1
       )
     )
   )
 ) * EE31"),0.85)</f>
        <v>0.85</v>
      </c>
      <c r="FF31" s="206">
        <f t="shared" si="11"/>
        <v>15300</v>
      </c>
      <c r="FG31" s="205">
        <f>IFERROR(__xludf.DUMMYFUNCTION("PRODUCT(
   MAP(
     K$3:ED$3,
     K$14:ED$14,
     K$13:ED$13,
     K31:ED31,
     LAMBDA(
       job,
       buff,
       target,
       check,
       IF(
         OR(AND(check=TRUE, REGEXMATCH(target, ""SELF_AFFECTED_ALL""), job=""暗黒騎士""), AND(check="&amp;"Option!$G$13, REGEXMATCH(target, ""SINGLE_AFFECTED_ALL""))),
         buff,
         1
       )
     )
   )
 )"),1.0)</f>
        <v>1</v>
      </c>
      <c r="FH31" s="206">
        <f>IFERROR(__xludf.DUMMYFUNCTION("SUM(
   MAP(
     K$3:ED$3,
     K$7:ED$7,
     K$15:ED$15,
     K$16:ED$16,
     K$21:ED$21,
     K$5:ED$5,
     K$17:ED$17,
     K31:ED31,
     LAMBDA(
       job,
       abillity,
       buff,
       barrier,
       enhance,
       assign,
       preco"&amp;"ndition,
       check,
       IF(
         OR(AND(check=TRUE, REGEXMATCH(assign, ""SELF""), job=""暗黒騎士""), AND(check=Option!$G$13, REGEXMATCH(assign, ""SINGLE_PARTY""))),
         IF(
           OR(ARRAYFORMULA((IF(precondition="""", FALSE, REGEXMATCH($K$"&amp;"4:$ED$4, precondition))) * (K31:ED31=TRUE))),
           enhance,
           IF(barrier="""", buff, barrier)
         ),
         0
       ) *
       SWITCH(
         job,
         ""暗黒騎士"", FI$24,
         ""白魔道士"", EF31 * EH31 * FG31 * IF(abillity, 1, E"&amp;"G31 * EI31) * (Option!$D$22 * 0.81 / 100),
         ""占星術師"", EF31 * EJ31 * FG31 * IF(abillity, 1, EG31 * EK31) * (Option!$D$23 * 0.81 / 100),
         ""学者"", EF31 * EL31 * FG31 * IF(abillity, 1, EG31 * EM31) * (Option!$D$24 * 0.81 / 100),
         ""賢者"&amp;""", EF31 * EN31 * FG31 * IF(abillity, 1, EG31 * EO31) * (Option!$D$25 * 0.81 / 100),
         1
       )
     )
   )
 ) + EQ31"),22580.0)</f>
        <v>22580</v>
      </c>
      <c r="FI31" s="206">
        <f t="shared" si="12"/>
        <v>0</v>
      </c>
      <c r="FJ31" s="205">
        <f>IFERROR(__xludf.DUMMYFUNCTION("PRODUCT(
   MAP(
     IF($F31=""Physical"", K$10:ED$10, IF($F31=""Magic"", K$11:ED$11, K$12:ED$12)),
     IF($F31=""Physical"", K$18:ED$18, IF($F31=""Magic"", K$19:ED$19, K$20:ED$20)),
     K$3:ED$3,
     K$5:ED$5,
     K$17:ED$17,
     K31:ED31,
     LAM"&amp;"BDA(
       mitigation,
       enhance,
       job,
       assign,
       precondition,
       check,
       IF(
         OR(AND(check=TRUE, REGEXMATCH(assign, ""SELF""), job=""ガンブレイカー""), AND(check=Option!$H$13, REGEXMATCH(assign, ""SINGLE_PARTY""))),
  "&amp;"       IF(
           OR(ARRAYFORMULA((IF(precondition="""", FALSE, REGEXMATCH($K$4:$ED$4, precondition))) * (K31:ED31=TRUE))),
           enhance,
           mitigation
         ),
         1
       )
     )
   )
 ) * EE31"),0.85)</f>
        <v>0.85</v>
      </c>
      <c r="FK31" s="206">
        <f t="shared" si="13"/>
        <v>15300</v>
      </c>
      <c r="FL31" s="205">
        <f>IFERROR(__xludf.DUMMYFUNCTION("PRODUCT(
   MAP(
     K$3:ED$3,
     K$14:ED$14,
     K$13:ED$13,
     K31:ED31,
     LAMBDA(
       job,
       buff,
       target,
       check,
       IF(
         OR(AND(check=TRUE, REGEXMATCH(target, ""SELF_AFFECTED_ALL""), job=""ガンブレイカー""), AND(che"&amp;"ck=Option!$H$13, REGEXMATCH(target, ""SINGLE_AFFECTED_ALL""))),
         buff,
         1
       )
     )
   )
 )"),1.0)</f>
        <v>1</v>
      </c>
      <c r="FM31" s="206">
        <f>IFERROR(__xludf.DUMMYFUNCTION("SUM(
   MAP(
     K$3:ED$3,
     K$7:ED$7,
     K$15:ED$15,
     K$16:ED$16,
     K$21:ED$21,
     K$5:ED$5,
     K$17:ED$17,
     K31:ED31,
     LAMBDA(
       job,
       abillity,
       buff,
       barrier,
       enhance,
       assign,
       preco"&amp;"ndition,
       check,
       IF(
         OR(AND(check=TRUE, REGEXMATCH(assign, ""SELF""), job=""ガンブレイカー""), AND(check=Option!$H$13, REGEXMATCH(assign, ""SINGLE_PARTY""))),
         IF(
           OR(ARRAYFORMULA((IF(precondition="""", FALSE, REGEXMATCH("&amp;"$K$4:$ED$4, precondition))) * (K31:ED31=TRUE))),
           enhance,
           IF(barrier="""", buff, barrier)
         ),
         0
       ) *
       SWITCH(
         job,
         ""暗黒騎士"", FN$24,
         ""白魔道士"", EF31 * EH31 * FL31 * IF(abillity, 1"&amp;", EG31 * EI31) * (Option!$D$22 * 0.81 / 100),
         ""占星術師"", EF31 * EJ31 * FL31 * IF(abillity, 1, EG31 * EK31) * (Option!$D$23 * 0.81 / 100),
         ""学者"", EF31 * EL31 * FL31 * IF(abillity, 1, EG31 * EM31) * (Option!$D$24 * 0.81 / 100),
         """&amp;"賢者"", EF31 * EN31 * FL31 * IF(abillity, 1, EG31 * EO31) * (Option!$D$25 * 0.81 / 100),
         1
       )
     )
   )
 ) + EQ31"),22580.0)</f>
        <v>22580</v>
      </c>
      <c r="FN31" s="206">
        <f t="shared" si="14"/>
        <v>0</v>
      </c>
      <c r="FO31" s="213"/>
    </row>
    <row r="32">
      <c r="B32" s="208"/>
      <c r="C32" s="217">
        <f t="shared" si="1"/>
        <v>0.0004282407407</v>
      </c>
      <c r="D32" s="224">
        <v>4.2824074074074075E-4</v>
      </c>
      <c r="E32" s="219" t="s">
        <v>1074</v>
      </c>
      <c r="F32" s="167" t="s">
        <v>10</v>
      </c>
      <c r="G32" s="168"/>
      <c r="H32" s="169">
        <v>800.0</v>
      </c>
      <c r="I32" s="169"/>
      <c r="J32" s="169"/>
      <c r="K32" s="170" t="b">
        <v>0</v>
      </c>
      <c r="L32" s="170" t="b">
        <v>0</v>
      </c>
      <c r="M32" s="170" t="b">
        <v>0</v>
      </c>
      <c r="N32" s="171" t="s">
        <v>1070</v>
      </c>
      <c r="O32" s="172" t="b">
        <v>0</v>
      </c>
      <c r="P32" s="173" t="b">
        <v>0</v>
      </c>
      <c r="Q32" s="173" t="b">
        <v>0</v>
      </c>
      <c r="R32" s="173" t="b">
        <v>0</v>
      </c>
      <c r="S32" s="174" t="b">
        <v>0</v>
      </c>
      <c r="T32" s="175" t="b">
        <v>0</v>
      </c>
      <c r="U32" s="173" t="b">
        <v>0</v>
      </c>
      <c r="V32" s="171" t="s">
        <v>1070</v>
      </c>
      <c r="W32" s="172" t="b">
        <v>0</v>
      </c>
      <c r="X32" s="173" t="b">
        <v>0</v>
      </c>
      <c r="Y32" s="173" t="b">
        <v>0</v>
      </c>
      <c r="Z32" s="173" t="b">
        <v>0</v>
      </c>
      <c r="AA32" s="174" t="b">
        <v>0</v>
      </c>
      <c r="AB32" s="174" t="b">
        <v>0</v>
      </c>
      <c r="AC32" s="175" t="b">
        <v>0</v>
      </c>
      <c r="AD32" s="173" t="b">
        <v>0</v>
      </c>
      <c r="AE32" s="176" t="s">
        <v>1070</v>
      </c>
      <c r="AF32" s="171" t="s">
        <v>1070</v>
      </c>
      <c r="AG32" s="177">
        <f>IFERROR(__xludf.DUMMYFUNCTION("IF(
  ISNUMBER(#REF!),
  MIN(MAX(
    #REF!
    + MAX(
      ROUNDDOWN(($D33 - MAX(IFERROR(FILTER($D$24:$D32, AG$24:AG31 &lt;&gt; AF$6, AG$23:AG31 = AF$6), 0))) * (60 * 60 * 24) / AF$9) - ROUNDDOWN(($D32 - MAX(IFERROR(FILTER($D$23:$D31, AG$23:AG31 &lt;&gt; AF$6, AG$2"&amp;"2:AG31 = AF$6), 0))) * (60 * 60 * 24) / 60),
      0
    )
    - COUNTIF(AF32, ""&lt;&gt;-""),
  0), AF$6),
  AF$6 - COUNTIF(AF32, ""&lt;&gt;-"")
)"),2.0)</f>
        <v>2</v>
      </c>
      <c r="AH32" s="173" t="b">
        <v>0</v>
      </c>
      <c r="AI32" s="173" t="b">
        <v>0</v>
      </c>
      <c r="AJ32" s="173" t="b">
        <v>0</v>
      </c>
      <c r="AK32" s="174" t="b">
        <v>0</v>
      </c>
      <c r="AL32" s="175" t="b">
        <v>0</v>
      </c>
      <c r="AM32" s="173" t="b">
        <v>0</v>
      </c>
      <c r="AN32" s="171" t="s">
        <v>1070</v>
      </c>
      <c r="AO32" s="173" t="b">
        <v>0</v>
      </c>
      <c r="AP32" s="173" t="b">
        <v>0</v>
      </c>
      <c r="AQ32" s="173" t="b">
        <v>0</v>
      </c>
      <c r="AR32" s="174" t="b">
        <v>0</v>
      </c>
      <c r="AS32" s="178" t="b">
        <v>0</v>
      </c>
      <c r="AT32" s="179" t="b">
        <v>0</v>
      </c>
      <c r="AU32" s="180" t="b">
        <v>0</v>
      </c>
      <c r="AV32" s="180" t="b">
        <v>0</v>
      </c>
      <c r="AW32" s="180" t="b">
        <v>0</v>
      </c>
      <c r="AX32" s="180" t="b">
        <v>0</v>
      </c>
      <c r="AY32" s="181" t="s">
        <v>1070</v>
      </c>
      <c r="AZ32" s="181" t="s">
        <v>1070</v>
      </c>
      <c r="BA32" s="184">
        <f>IFERROR(__xludf.DUMMYFUNCTION("IF(
  ISNUMBER(#REF!),
  MIN(MAX(
    #REF!
    + MAX(
      ROUNDDOWN((D33 - MAX(IFERROR(FILTER(D$24:D32, BA$24:BA31 &lt;&gt; AZ$6, BA$23:BA31 = AZ$6), 0))) * (60 * 60 * 24) / AZ$9) - ROUNDDOWN((D32 - MAX(IFERROR(FILTER(D$23:D31, BA$23:BA31 &lt;&gt; AZ$6, BA$22:BA31"&amp;" = AZ$6), 0))) * (60 * 60 * 24) / AZ$9),
      0
    )
    - COUNTIF(AZ32, ""&lt;&gt;-""),
  0), AZ$6),
  AZ$6 - COUNTIF(AZ32, ""&lt;&gt;-"")
)"),2.0)</f>
        <v>2</v>
      </c>
      <c r="BB32" s="181" t="s">
        <v>1070</v>
      </c>
      <c r="BC32" s="183">
        <f>IFERROR(__xludf.DUMMYFUNCTION("IF(
  ISNUMBER(#REF!),
  MIN(MAX(
    #REF!
    + MAX(
      ROUNDDOWN(($D33 - MAX(IFERROR(FILTER($D$24:$D32, BC$24:BC31 &lt;&gt; BB$6, BC$23:BC31 = BB$6), 0))) * (60 * 60 * 24) / BB$9) - ROUNDDOWN(($D32 - MAX(IFERROR(FILTER($D$23:$D31, BC$23:BC31 &lt;&gt; BB$6, BC$2"&amp;"2:BC31 = BB$6), 0))) * (60 * 60 * 24) / 60),
      0
    )
    - COUNTIF(BB32, ""&lt;&gt;-""),
  0), BB$6),
  BB$6 - COUNTIF(BB32, ""&lt;&gt;-"")
)"),2.0)</f>
        <v>2</v>
      </c>
      <c r="BD32" s="181" t="s">
        <v>1070</v>
      </c>
      <c r="BE32" s="178" t="b">
        <v>0</v>
      </c>
      <c r="BF32" s="180" t="b">
        <v>0</v>
      </c>
      <c r="BG32" s="180" t="b">
        <v>0</v>
      </c>
      <c r="BH32" s="180" t="b">
        <v>0</v>
      </c>
      <c r="BI32" s="180" t="b">
        <v>0</v>
      </c>
      <c r="BJ32" s="180" t="b">
        <v>0</v>
      </c>
      <c r="BK32" s="180" t="b">
        <v>0</v>
      </c>
      <c r="BL32" s="180" t="b">
        <v>0</v>
      </c>
      <c r="BM32" s="180" t="b">
        <v>0</v>
      </c>
      <c r="BN32" s="180" t="b">
        <v>0</v>
      </c>
      <c r="BO32" s="181" t="s">
        <v>1070</v>
      </c>
      <c r="BP32" s="181" t="s">
        <v>1070</v>
      </c>
      <c r="BQ32" s="181" t="s">
        <v>1070</v>
      </c>
      <c r="BR32" s="181" t="s">
        <v>1070</v>
      </c>
      <c r="BS32" s="181" t="s">
        <v>1070</v>
      </c>
      <c r="BT32" s="184">
        <f>IFERROR(__xludf.DUMMYFUNCTION("IF(
  ISNUMBER(#REF!),
  MIN(MAX(
    #REF!
    + MAX(
      ROUNDDOWN((D33 - MAX(IFERROR(FILTER(D$24:D32, BT$24:BT31 &lt;&gt; BS$6, BT$23:BT31 = BS$6), 0))) * (60 * 60 * 24) / BS$9) - ROUNDDOWN((D32 - MAX(IFERROR(FILTER(D$23:D31, BT$23:BT31 &lt;&gt; BS$6, BT$22:BT31"&amp;" = BS$6), 0))) * (60 * 60 * 24) / BS$9),
      0
    )
    - COUNTIF(BS32, ""&lt;&gt;-""),
  0), BS$6),
  BS$6 - COUNTIF(BS32, ""&lt;&gt;-"")
)"),3.0)</f>
        <v>3</v>
      </c>
      <c r="BU32" s="181" t="s">
        <v>1070</v>
      </c>
      <c r="BV32" s="181" t="s">
        <v>1070</v>
      </c>
      <c r="BW32" s="184">
        <f>IFERROR(__xludf.DUMMYFUNCTION("IF(
  ISNUMBER(#REF!),
  MIN(MAX(
    #REF!
    + MAX(
      ROUNDDOWN((D33 - MAX(IFERROR(FILTER(D$24:D32, BW$24:BW31 &lt;&gt; BV$6, BW$23:BW31 = BV$6), 0))) * (60 * 60 * 24) / BV$9) - ROUNDDOWN((D32 - MAX(IFERROR(FILTER(D$23:D31, BW$23:BW31 &lt;&gt; BV$6, BW$22:BW31"&amp;" = BV$6), 0))) * (60 * 60 * 24) / BV$9),
      0
    )
    - COUNTIF(BV32, ""&lt;&gt;-""),
  0), BV$6),
  BV$6 - COUNTIF(BV32, ""&lt;&gt;-"")
)"),2.0)</f>
        <v>2</v>
      </c>
      <c r="BX32" s="185" t="s">
        <v>1070</v>
      </c>
      <c r="BY32" s="178" t="b">
        <v>0</v>
      </c>
      <c r="BZ32" s="180" t="b">
        <v>0</v>
      </c>
      <c r="CA32" s="180" t="b">
        <v>0</v>
      </c>
      <c r="CB32" s="180" t="b">
        <v>0</v>
      </c>
      <c r="CC32" s="180" t="b">
        <v>0</v>
      </c>
      <c r="CD32" s="180" t="b">
        <v>0</v>
      </c>
      <c r="CE32" s="180" t="b">
        <v>0</v>
      </c>
      <c r="CF32" s="180" t="b">
        <v>0</v>
      </c>
      <c r="CG32" s="180" t="b">
        <v>0</v>
      </c>
      <c r="CH32" s="180" t="b">
        <v>0</v>
      </c>
      <c r="CI32" s="180" t="b">
        <v>0</v>
      </c>
      <c r="CJ32" s="180" t="b">
        <v>0</v>
      </c>
      <c r="CK32" s="180" t="b">
        <v>0</v>
      </c>
      <c r="CL32" s="180" t="b">
        <v>0</v>
      </c>
      <c r="CM32" s="181" t="s">
        <v>1070</v>
      </c>
      <c r="CN32" s="181" t="s">
        <v>1070</v>
      </c>
      <c r="CO32" s="181" t="s">
        <v>1070</v>
      </c>
      <c r="CP32" s="181" t="s">
        <v>1070</v>
      </c>
      <c r="CQ32" s="185" t="s">
        <v>1070</v>
      </c>
      <c r="CR32" s="180" t="b">
        <v>0</v>
      </c>
      <c r="CS32" s="186" t="str">
        <f t="shared" si="3"/>
        <v>◇◇◇</v>
      </c>
      <c r="CT32" s="178" t="b">
        <v>0</v>
      </c>
      <c r="CU32" s="180" t="b">
        <v>0</v>
      </c>
      <c r="CV32" s="180" t="b">
        <v>0</v>
      </c>
      <c r="CW32" s="180" t="b">
        <v>0</v>
      </c>
      <c r="CX32" s="180" t="b">
        <v>0</v>
      </c>
      <c r="CY32" s="180" t="b">
        <v>0</v>
      </c>
      <c r="CZ32" s="180" t="b">
        <v>0</v>
      </c>
      <c r="DA32" s="180" t="b">
        <v>0</v>
      </c>
      <c r="DB32" s="180" t="b">
        <v>0</v>
      </c>
      <c r="DC32" s="180" t="b">
        <v>0</v>
      </c>
      <c r="DD32" s="181" t="s">
        <v>1070</v>
      </c>
      <c r="DE32" s="181" t="s">
        <v>1070</v>
      </c>
      <c r="DF32" s="181" t="s">
        <v>1070</v>
      </c>
      <c r="DG32" s="185" t="s">
        <v>1070</v>
      </c>
      <c r="DH32" s="180" t="b">
        <v>0</v>
      </c>
      <c r="DI32" s="187" t="str">
        <f>IFERROR(__xludf.DUMMYFUNCTION("SWITCH(
  IF(
    ISTEXT(#REF!),
    IF (
      FIND(""○"", #REF!&amp;""○"") &gt; 3,
      3,
      FIND(""○"", #REF!&amp;""○"")
      + MAX(
        ROUNDDOWN(($D33 - MAX(IFERROR(FILTER(D$24:D32, DI$24:DI31 &lt;&gt; ""●●●"", DI$23:DI31 = ""●●●""), 0))) * (60 * 60 * 24) /"&amp;" 20) - ROUNDDOWN(($D32 - MAX(IFERROR(FILTER(D$23:D31, DI$23:DI31 &lt;&gt; ""●●●"", DI$22:DI31 = ""●●●""), 0))) * (60 * 60 * 24) / 20),
        0
      ) - 1
    ) - COUNTIFS(CU32, ""=TRUE"", #REF!, ""&lt;&gt;TRUE"") - COUNTIF(CZ32, ""=TRUE"") - COUNTIF({DD32,DE32}, "&amp;"""&lt;&gt;-"") + COUNTIF(DH32, ""=TRUE""),
    3
  ),
  0, ""○○○"", 1, ""●○○"", 2, ""●●○"", 3, ""●●●"", 4, ""●●●"", ""○○○""
)"),"●●●")</f>
        <v>●●●</v>
      </c>
      <c r="DJ32" s="188" t="b">
        <v>0</v>
      </c>
      <c r="DK32" s="189" t="b">
        <v>0</v>
      </c>
      <c r="DL32" s="190" t="b">
        <v>0</v>
      </c>
      <c r="DM32" s="190" t="b">
        <v>0</v>
      </c>
      <c r="DN32" s="190" t="b">
        <v>0</v>
      </c>
      <c r="DO32" s="190" t="b">
        <v>0</v>
      </c>
      <c r="DP32" s="190" t="b">
        <v>0</v>
      </c>
      <c r="DQ32" s="191" t="b">
        <v>0</v>
      </c>
      <c r="DR32" s="192" t="b">
        <v>0</v>
      </c>
      <c r="DS32" s="191" t="b">
        <v>0</v>
      </c>
      <c r="DT32" s="192" t="b">
        <v>0</v>
      </c>
      <c r="DU32" s="191" t="b">
        <v>0</v>
      </c>
      <c r="DV32" s="193" t="s">
        <v>1070</v>
      </c>
      <c r="DW32" s="194" t="b">
        <v>0</v>
      </c>
      <c r="DX32" s="194" t="b">
        <v>0</v>
      </c>
      <c r="DY32" s="195" t="b">
        <v>0</v>
      </c>
      <c r="DZ32" s="196" t="b">
        <v>0</v>
      </c>
      <c r="EA32" s="195" t="b">
        <v>0</v>
      </c>
      <c r="EB32" s="197" t="b">
        <v>0</v>
      </c>
      <c r="EC32" s="197" t="b">
        <v>0</v>
      </c>
      <c r="ED32" s="212" t="b">
        <v>0</v>
      </c>
      <c r="EE32" s="199">
        <f>IFERROR(__xludf.DUMMYFUNCTION("IFERROR(
   PRODUCT(
     MAP(
       INDEX(TRANSPOSE(UNIQUE(TRANSPOSE(FILTER({IF($F32=""Physical"", K$10:ED$10, IF($F32=""Magic"", K$11:ED$11, K$12:ED$12));K$4:ED$4;K32:ED32}, K32:ED32=TRUE)))), 1, 0),
       INDEX(TRANSPOSE(UNIQUE(TRANSPOSE(FILTER({IF($"&amp;"F32=""Physical"", K$18:ED$18, IF($F32=""Magic"", K$19:ED$19, K$20:ED$20));K$4:ED$4;K32:ED32}, K32:ED32=TRUE)))), 1, 0),
       INDEX(TRANSPOSE(UNIQUE(TRANSPOSE(FILTER({K$5:ED$5;K$4:ED$4;K32:ED32}, K32:ED32=TRUE)))), 1, 0),
       INDEX(TRANSPOSE(UNIQUE(TR"&amp;"ANSPOSE(FILTER({K$17:ED$17;K$4:ED$4;K32:ED32}, K32:ED32=TRUE)))), 1, 0),
       LAMBDA(
         mitigation,
         enhance,
         assign,
         precondition,
         IF(
           REGEXMATCH(assign, ""RANGE_PARTY|SINGLE_ENEMY|RANGE_ENEMY""),
  "&amp;"         IF(
             OR(ARRAYFORMULA((IF(precondition="""", FALSE, REGEXMATCH(K$4:ED$4, precondition))) * (K32:ED32=TRUE))),
             IF(ISNUMBER(enhance), enhance, 1),
             IF(ISNUMBER(mitigation), mitigation, 1)
           ),
          "&amp;" 1
         )
       )
     )
   ),
   1
 )"),1.0)</f>
        <v>1</v>
      </c>
      <c r="EF32" s="200">
        <f>IFERROR(__xludf.DUMMYFUNCTION("PRODUCT(
   MAP(
     K$14:ED$14,
     K$13:ED$13,
     K32:ED32,
     LAMBDA(
       buff,
       target,
       check,
       IF(
         AND(check=TRUE, REGEXMATCH(target, ""RANGE_AFFECTED_ALL|RANGE_EFFECTED_ALL""), ISNUMBER(buff)),
         buff,
   "&amp;"      1
       )
     )
   )
 )"),1.0)</f>
        <v>1</v>
      </c>
      <c r="EG32" s="200">
        <f>IFERROR(__xludf.DUMMYFUNCTION("PRODUCT(
   MAP(
     K$14:ED$14,
     K$13:ED$13,
     K32:ED32,
     LAMBDA(
       buff,
       target,
       check,
       IF(
         AND(check=TRUE, REGEXMATCH(target, ""RANGE_AFFECTED_GCD|RANGE_EFFECTED_GCD""), ISNUMBER(buff)),
         buff,
   "&amp;"      1
       )
     )
   )
 )"),1.0)</f>
        <v>1</v>
      </c>
      <c r="EH32" s="200">
        <f>IFERROR(__xludf.DUMMYFUNCTION("PRODUCT(
   MAP(
     K$3:ED$3,
     K$14:ED$14,
     K$13:ED$13,
     K32:ED32,
     LAMBDA(
       job,
       buff,
       target,
       check,
       IF(
         AND(check=TRUE, REGEXMATCH(target, ""SELF_EFFECTED_ALL""), ISNUMBER(buff), job=""白魔道士"""&amp;"),
         buff,
         1
       )
     )
   )
 )"),1.0)</f>
        <v>1</v>
      </c>
      <c r="EI32" s="200">
        <f>IFERROR(__xludf.DUMMYFUNCTION("PRODUCT(
   MAP(
     K$3:ED$3,
     K$14:ED$14,
     K$13:ED$13,
     K32:ED32,
     LAMBDA(
       job,
       buff,
       target,
       check,
       IF(
         AND(check=TRUE, REGEXMATCH(target, ""SELF_EFFECTED_GCD""), ISNUMBER(buff), job=""白魔道士"""&amp;"),
         buff,
         1
       )
     )
   )
 )"),1.0)</f>
        <v>1</v>
      </c>
      <c r="EJ32" s="200">
        <f>IFERROR(__xludf.DUMMYFUNCTION("PRODUCT(
   MAP(
     K$3:ED$3,
     K$14:ED$14,
     K$13:ED$13,
     K32:ED32,
     LAMBDA(
       job,
       buff,
       target,
       check,
       IF(
         AND(check=TRUE, REGEXMATCH(target, ""SELF_EFFECTED_ALL""), ISNUMBER(buff), job=""占星術師"""&amp;"),
         buff,
         1
       )
     )
   )
 )"),1.0)</f>
        <v>1</v>
      </c>
      <c r="EK32" s="200">
        <f>IFERROR(__xludf.DUMMYFUNCTION("PRODUCT(
   MAP(
     K$3:ED$3,
     K$14:ED$14,
     K$13:ED$13,
     K32:ED32,
     LAMBDA(
       job,
       buff,
       target,
       check,
       IF(
         AND(check=TRUE, REGEXMATCH(target, ""SELF_EFFECTED_GCD""), ISNUMBER(buff), job=""占星術師"""&amp;"),
         buff,
         1
       )
     )
   )
 )"),1.0)</f>
        <v>1</v>
      </c>
      <c r="EL32" s="200">
        <f>IFERROR(__xludf.DUMMYFUNCTION("PRODUCT(
   MAP(
     K$3:ED$3,
     K$14:ED$14,
     K$13:ED$13,
     K32:ED32,
     LAMBDA(
       job,
       buff,
       target,
       check,
       IF(
         AND(check=TRUE, REGEXMATCH(target, ""SELF_EFFECTED_ALL""), ISNUMBER(buff), job=""学者""),"&amp;"
         buff,
         1
       )
     )
   )
 )"),1.0)</f>
        <v>1</v>
      </c>
      <c r="EM32" s="200">
        <f>IFERROR(__xludf.DUMMYFUNCTION("PRODUCT(
   MAP(
     K$3:ED$3,
     K$14:ED$14,
     K$13:ED$13,
     K32:ED32,
     LAMBDA(
       job,
       buff,
       target,
       check,
       IF(
         AND(check=TRUE, REGEXMATCH(target, ""SELF_EFFECTED_GCD""), ISNUMBER(buff), job=""学者""),"&amp;"
         buff,
         1
       )
     )
   )
 )"),1.0)</f>
        <v>1</v>
      </c>
      <c r="EN32" s="200">
        <f>IFERROR(__xludf.DUMMYFUNCTION("PRODUCT(
   MAP(
     K$3:ED$3,
     K$14:ED$14,
     K$13:ED$13,
     K32:ED32,
     LAMBDA(
       job,
       buff,
       target,
       check,
       IF(
         AND(check=TRUE, REGEXMATCH(target, ""SELF_EFFECTED_ALL""), ISNUMBER(buff), job=""賢者""),"&amp;"
         buff,
         1
       )
     )
   )
 )"),1.0)</f>
        <v>1</v>
      </c>
      <c r="EO32" s="200">
        <f>IFERROR(__xludf.DUMMYFUNCTION("PRODUCT(
   MAP(
     K$3:ED$3,
     K$14:ED$14,
     K$13:ED$13,
     K32:ED32,
     LAMBDA(
       job,
       buff,
       target,
       check,
       IF(
         AND(check=TRUE, REGEXMATCH(target, ""SELF_EFFECTED_GCD""), ISNUMBER(buff), job=""賢者""),"&amp;"
         buff,
         1
       )
     )
   )
 )"),1.0)</f>
        <v>1</v>
      </c>
      <c r="EP32" s="201">
        <f t="shared" si="4"/>
        <v>800</v>
      </c>
      <c r="EQ32" s="201">
        <f>IFERROR(__xludf.DUMMYFUNCTION("SUM(
   MAP(
     K$4:ED$4,
     K$3:ED$3,
     K$7:ED$7,
     K$15:ED$15,
     K$16:ED$16,
     K$21:ED$21,
     K$5:ED$5,
     K$17:ED$17,
     K32:ED32,
     LAMBDA(
       name,
       job,
       abillity,
       buff,
       barrier,
       enhance,"&amp;"
       assign,
       precondition,
       check,
       SWITCH(
         name,
         ""シェイクオフ"", IF(check=TRUE, buff + (0.02 * COUNTIF(ARRAYFORMULA((REGEXMATCH($K$4:$ED$4, ""スリル・オブ・バトル|ヴェンジェンス|原初の血気|ダムネーション"")) * (K32:ED32=TRUE)), 1)), 0),
         "&amp;"""インプロビゼーションフィニッシュ(踊りの激情0)"", IF(ISNUMBER(check), INDEX(Skill!$AJ:$AJ, MATCH(SUBSTITUTE(DV$4, 0, check), Skill!$C:$C, 0)), 0),
         IF(
           AND(check=TRUE, REGEXMATCH(assign, ""RANGE_PARTY"")),
           IF(
             OR(ARRAYFORMULA((IF(pr"&amp;"econdition="""", FALSE, REGEXMATCH($K$4:$ED$4, precondition))) * (K32:ED32=TRUE))),
             enhance,
             IF(barrier="""", buff, barrier)
           ),
           0
         )
       ) *
       SWITCH(
         job,
         ""ナイト"", EY$24,
 "&amp;"        ""戦士"", FD$24,
         ""踊り子"", ET$24,
         ""ピクトマンサー"", ET$24,
         ""白魔道士"", EF32 * EH32 * IF(abillity, 1, EG32 * EI32) * (Option!$D$22 * 0.81 / 100),
         ""占星術師"", EF32 * EJ32 * IF(abillity, 1, EG32 * EK32) * (Option!$D$23 * 0.81 "&amp;"/ 100),
         ""学者"", EF32 * EL32 * IF(abillity, 1, EG32 * EM32) * (Option!$D$24 * 0.81 / 100),
         ""賢者"", EF32 * EN32 * IF(abillity, 1, EG32 * EO32) * (Option!$D$25 * 0.81 / 100),
         1
       )
     )
   )
 )"),0.0)</f>
        <v>0</v>
      </c>
      <c r="ER32" s="202">
        <f t="shared" si="5"/>
        <v>800</v>
      </c>
      <c r="ES32" s="203">
        <f t="shared" si="6"/>
        <v>0</v>
      </c>
      <c r="ET32" s="204" t="str">
        <f>IFERROR(__xludf.DUMMYFUNCTION("IFS(
  EP32 &gt; $ET$24 + EQ32,
  SPARKLINE({ 1, 0 }, {""charttype"",""bar"";""max"", 1;""color1"",Option!$D$30;""color2"",Option!$D$30}),
  EP32 &lt; EQ32,
  SPARKLINE({EQ32 - EP32, $ET$24 - (EQ32 - EP32)}, {""charttype"",""bar"";""max"",$ET$24;""color1"",Opti"&amp;"on!$D$28;""color2"",Option!$D$29}),
  EP32 &gt;= EQ32,
  SPARKLINE({$ET$24 + EQ32 - EP32,EP32 - EQ32}, {""charttype"",""bar"";""max"",$ET$24;""color1"",Option!$D$29;""color2"",Option!$D$30})
)"),"")</f>
        <v/>
      </c>
      <c r="EU32" s="205">
        <f>IFERROR(__xludf.DUMMYFUNCTION("PRODUCT(
   MAP(
     IF($F32=""Physical"", K$10:ED$10, IF($F32=""Magic"", K$11:ED$11, K$12:ED$12)),
     IF($F32=""Physical"", K$18:ED$18, IF($F32=""Magic"", K$19:ED$19, K$20:ED$20)),
     K$3:ED$3,
     K$5:ED$5,
     K$17:ED$17,
     K32:ED32,
     LAM"&amp;"BDA(
       mitigation,
       enhance,
       job,
       assign,
       precondition,
       check,
       IF(
         OR(AND(check=TRUE, REGEXMATCH(assign, ""SELF""), job=""ナイト""), AND(check=Option!$E$13, REGEXMATCH(assign, ""SINGLE_PARTY""))),
      "&amp;"   IF(
           OR(ARRAYFORMULA((IF(precondition="""", FALSE, REGEXMATCH($K$4:$ED$4, precondition))) * (K32:ED32=TRUE))),
           enhance,
           mitigation
         ),
         1
       )
     )
   )
 ) * EE32"),1.0)</f>
        <v>1</v>
      </c>
      <c r="EV32" s="206">
        <f t="shared" si="7"/>
        <v>640</v>
      </c>
      <c r="EW32" s="205">
        <f>IFERROR(__xludf.DUMMYFUNCTION("PRODUCT(
   MAP(
     K$3:ED$3,
     K$14:ED$14,
     K$13:ED$13,
     K32:ED32,
     LAMBDA(
       job,
       buff,
       target,
       check,
       IF(
         OR(AND(check=TRUE, REGEXMATCH(target, ""SELF_AFFECTED_ALL""), job=""ナイト""), AND(check=O"&amp;"ption!$E$13, REGEXMATCH(target, ""SINGLE_AFFECTED_ALL""))),
         buff,
         1
       )
     )
   )
 )"),1.0)</f>
        <v>1</v>
      </c>
      <c r="EX32" s="206">
        <f>IFERROR(__xludf.DUMMYFUNCTION("SUM(
   MAP(
     K$3:ED$3,
     K$7:ED$7,
     K$15:ED$15,
     K$16:ED$16,
     K$21:ED$21,
     K$5:ED$5,
     K$17:ED$17,
     K32:ED32,
     LAMBDA(
       job,
       abillity,
       buff,
       barrier,
       enhance,
       assign,
       preco"&amp;"ndition,
       check,
       IF(
         OR(AND(check=TRUE, REGEXMATCH(assign, ""SELF""), job=""ナイト""), AND(check=Option!$E$13, REGEXMATCH(assign, ""SINGLE_PARTY""))),
         IF(
           OR(ARRAYFORMULA((IF(precondition="""", FALSE, REGEXMATCH($K$4"&amp;":$ED$4, precondition))) * (K32:ED32=TRUE))),
           enhance,
           IF(barrier="""", buff, barrier)
         ),
         0
       ) *
       SWITCH(
         job,
         ""暗黒騎士"", EY$24,
         ""白魔道士"", EF32 * EH32 * EW32 * IF(abillity, 1, EG"&amp;"32 * EI32) * (Option!$D$22 * 0.81 / 100),
         ""占星術師"", EF32 * EJ32 * EW32 * IF(abillity, 1, EG32 * EK32) * (Option!$D$23 * 0.81 / 100),
         ""学者"", EF32 * EL32 * EW32 * IF(abillity, 1, EG32 * EM32) * (Option!$D$24 * 0.81 / 100),
         ""賢者"""&amp;", EF32 * EN32 * EW32 * IF(abillity, 1, EG32 * EO32) * (Option!$D$25 * 0.81 / 100),
         1
       )
     )
   )
 ) + EQ32"),0.0)</f>
        <v>0</v>
      </c>
      <c r="EY32" s="206">
        <f t="shared" si="8"/>
        <v>640</v>
      </c>
      <c r="EZ32" s="205">
        <f>IFERROR(__xludf.DUMMYFUNCTION("PRODUCT(
   MAP(
     IF($F32=""Physical"", K$10:ED$10, IF($F32=""Magic"", K$11:ED$11, K$12:ED$12)),
     IF($F32=""Physical"", K$18:ED$18, IF($F32=""Magic"", K$19:ED$19, K$20:ED$20)),
     K$3:ED$3,
     K$5:ED$5,
     K$17:ED$17,
     K32:ED32,
     LAM"&amp;"BDA(
       mitigation,
       enhance,
       job,
       assign,
       precondition,
       check,
       IF(
         OR(AND(check=TRUE, REGEXMATCH(assign, ""SELF""), job=""戦士""), AND(check=Option!$F$13, REGEXMATCH(assign, ""SINGLE_PARTY""))),
       "&amp;"  IF(
           OR(ARRAYFORMULA((IF(precondition="""", FALSE, REGEXMATCH($K$4:$ED$4, precondition))) * (K32:ED32=TRUE))),
           enhance,
           mitigation
         ),
         1
       )
     )
   )
 ) * EE32"),1.0)</f>
        <v>1</v>
      </c>
      <c r="FA32" s="206">
        <f t="shared" si="9"/>
        <v>640</v>
      </c>
      <c r="FB32" s="205">
        <f>IFERROR(__xludf.DUMMYFUNCTION("PRODUCT(
   MAP(
     K$3:ED$3,
     K$14:ED$14,
     K$13:ED$13,
     K32:ED32,
     LAMBDA(
       job,
       buff,
       target,
       check,
       IF(
         OR(AND(check=TRUE, REGEXMATCH(target, ""SELF_AFFECTED_ALL""), job=""戦士""), AND(check=Op"&amp;"tion!$F$13, REGEXMATCH(target, ""SINGLE_AFFECTED_ALL""))),
         buff,
         1
       )
     )
   )
 )"),1.0)</f>
        <v>1</v>
      </c>
      <c r="FC32" s="206">
        <f>IFERROR(__xludf.DUMMYFUNCTION("SUM(
   MAP(
     K$3:ED$3,
     K$7:ED$7,
     K$15:ED$15,
     K$16:ED$16,
     K$21:ED$21,
     K$5:ED$5,
     K$17:ED$17,
     K32:ED32,
     LAMBDA(
       job,
       abillity,
       buff,
       barrier,
       enhance,
       assign,
       preco"&amp;"ndition,
       check,
       IF(
         OR(AND(check=TRUE, REGEXMATCH(assign, ""SELF""), job=""戦士""), AND(check=Option!$F$13, REGEXMATCH(assign, ""SINGLE_PARTY""))),
         IF(
           OR(ARRAYFORMULA((IF(precondition="""", FALSE, REGEXMATCH($K$4:"&amp;"$ED$4, precondition))) * (K32:ED32=TRUE))),
           enhance,
           IF(barrier="""", buff, barrier)
         ),
         0
       ) *
       SWITCH(
         job,
         ""暗黒騎士"", FD$24,
         ""白魔道士"", EF32 * EH32 * FB32 * IF(abillity, 1, EG3"&amp;"2 * EI32) * (Option!$D$22 * 0.81 / 100),
         ""占星術師"", EF32 * EJ32 * FFB32 * IF(abillity, 1, EG32 * EK32) * (Option!$D$23 * 0.81 / 100),
         ""学者"", EF32 * EL32 * FB32 * IF(abillity, 1, EG32 * EM32) * (Option!$D$24 * 0.81 / 100),
         ""賢者"""&amp;", EF32 * EN32 * FB32 * IF(abillity, 1, EG32 * EO32) * (Option!$D$25 * 0.81 / 100),
         1
       )
     )
   )
 ) + EQ32"),0.0)</f>
        <v>0</v>
      </c>
      <c r="FD32" s="206">
        <f t="shared" si="10"/>
        <v>640</v>
      </c>
      <c r="FE32" s="205">
        <f>IFERROR(__xludf.DUMMYFUNCTION("PRODUCT(
   MAP(
     IF($F32=""Physical"", K$10:ED$10, IF($F32=""Magic"", K$11:ED$11, K$12:ED$12)),
     IF($F32=""Physical"", K$18:ED$18, IF($F32=""Magic"", K$19:ED$19, K$20:ED$20)),
     K$3:ED$3,
     K$5:ED$5,
     K$17:ED$17,
     K32:ED32,
     LAM"&amp;"BDA(
       mitigation,
       enhance,
       job,
       assign,
       precondition,
       check,
       IF(
         OR(AND(check=TRUE, REGEXMATCH(assign, ""SELF""), job=""暗黒騎士""), AND(check=Option!$G$13, REGEXMATCH(assign, ""SINGLE_PARTY""))),
     "&amp;"    IF(
           OR(ARRAYFORMULA((IF(precondition="""", FALSE, REGEXMATCH($K$4:$ED$4, precondition))) * (K32:ED32=TRUE))),
           enhance,
           mitigation
         ),
         1
       )
     )
   )
 ) * EE32"),1.0)</f>
        <v>1</v>
      </c>
      <c r="FF32" s="206">
        <f t="shared" si="11"/>
        <v>640</v>
      </c>
      <c r="FG32" s="205">
        <f>IFERROR(__xludf.DUMMYFUNCTION("PRODUCT(
   MAP(
     K$3:ED$3,
     K$14:ED$14,
     K$13:ED$13,
     K32:ED32,
     LAMBDA(
       job,
       buff,
       target,
       check,
       IF(
         OR(AND(check=TRUE, REGEXMATCH(target, ""SELF_AFFECTED_ALL""), job=""暗黒騎士""), AND(check="&amp;"Option!$G$13, REGEXMATCH(target, ""SINGLE_AFFECTED_ALL""))),
         buff,
         1
       )
     )
   )
 )"),1.0)</f>
        <v>1</v>
      </c>
      <c r="FH32" s="206">
        <f>IFERROR(__xludf.DUMMYFUNCTION("SUM(
   MAP(
     K$3:ED$3,
     K$7:ED$7,
     K$15:ED$15,
     K$16:ED$16,
     K$21:ED$21,
     K$5:ED$5,
     K$17:ED$17,
     K32:ED32,
     LAMBDA(
       job,
       abillity,
       buff,
       barrier,
       enhance,
       assign,
       preco"&amp;"ndition,
       check,
       IF(
         OR(AND(check=TRUE, REGEXMATCH(assign, ""SELF""), job=""暗黒騎士""), AND(check=Option!$G$13, REGEXMATCH(assign, ""SINGLE_PARTY""))),
         IF(
           OR(ARRAYFORMULA((IF(precondition="""", FALSE, REGEXMATCH($K$"&amp;"4:$ED$4, precondition))) * (K32:ED32=TRUE))),
           enhance,
           IF(barrier="""", buff, barrier)
         ),
         0
       ) *
       SWITCH(
         job,
         ""暗黒騎士"", FI$24,
         ""白魔道士"", EF32 * EH32 * FG32 * IF(abillity, 1, E"&amp;"G32 * EI32) * (Option!$D$22 * 0.81 / 100),
         ""占星術師"", EF32 * EJ32 * FG32 * IF(abillity, 1, EG32 * EK32) * (Option!$D$23 * 0.81 / 100),
         ""学者"", EF32 * EL32 * FG32 * IF(abillity, 1, EG32 * EM32) * (Option!$D$24 * 0.81 / 100),
         ""賢者"&amp;""", EF32 * EN32 * FG32 * IF(abillity, 1, EG32 * EO32) * (Option!$D$25 * 0.81 / 100),
         1
       )
     )
   )
 ) + EQ32"),0.0)</f>
        <v>0</v>
      </c>
      <c r="FI32" s="206">
        <f t="shared" si="12"/>
        <v>640</v>
      </c>
      <c r="FJ32" s="205">
        <f>IFERROR(__xludf.DUMMYFUNCTION("PRODUCT(
   MAP(
     IF($F32=""Physical"", K$10:ED$10, IF($F32=""Magic"", K$11:ED$11, K$12:ED$12)),
     IF($F32=""Physical"", K$18:ED$18, IF($F32=""Magic"", K$19:ED$19, K$20:ED$20)),
     K$3:ED$3,
     K$5:ED$5,
     K$17:ED$17,
     K32:ED32,
     LAM"&amp;"BDA(
       mitigation,
       enhance,
       job,
       assign,
       precondition,
       check,
       IF(
         OR(AND(check=TRUE, REGEXMATCH(assign, ""SELF""), job=""ガンブレイカー""), AND(check=Option!$H$13, REGEXMATCH(assign, ""SINGLE_PARTY""))),
  "&amp;"       IF(
           OR(ARRAYFORMULA((IF(precondition="""", FALSE, REGEXMATCH($K$4:$ED$4, precondition))) * (K32:ED32=TRUE))),
           enhance,
           mitigation
         ),
         1
       )
     )
   )
 ) * EE32"),1.0)</f>
        <v>1</v>
      </c>
      <c r="FK32" s="206">
        <f t="shared" si="13"/>
        <v>640</v>
      </c>
      <c r="FL32" s="205">
        <f>IFERROR(__xludf.DUMMYFUNCTION("PRODUCT(
   MAP(
     K$3:ED$3,
     K$14:ED$14,
     K$13:ED$13,
     K32:ED32,
     LAMBDA(
       job,
       buff,
       target,
       check,
       IF(
         OR(AND(check=TRUE, REGEXMATCH(target, ""SELF_AFFECTED_ALL""), job=""ガンブレイカー""), AND(che"&amp;"ck=Option!$H$13, REGEXMATCH(target, ""SINGLE_AFFECTED_ALL""))),
         buff,
         1
       )
     )
   )
 )"),1.0)</f>
        <v>1</v>
      </c>
      <c r="FM32" s="206">
        <f>IFERROR(__xludf.DUMMYFUNCTION("SUM(
   MAP(
     K$3:ED$3,
     K$7:ED$7,
     K$15:ED$15,
     K$16:ED$16,
     K$21:ED$21,
     K$5:ED$5,
     K$17:ED$17,
     K32:ED32,
     LAMBDA(
       job,
       abillity,
       buff,
       barrier,
       enhance,
       assign,
       preco"&amp;"ndition,
       check,
       IF(
         OR(AND(check=TRUE, REGEXMATCH(assign, ""SELF""), job=""ガンブレイカー""), AND(check=Option!$H$13, REGEXMATCH(assign, ""SINGLE_PARTY""))),
         IF(
           OR(ARRAYFORMULA((IF(precondition="""", FALSE, REGEXMATCH("&amp;"$K$4:$ED$4, precondition))) * (K32:ED32=TRUE))),
           enhance,
           IF(barrier="""", buff, barrier)
         ),
         0
       ) *
       SWITCH(
         job,
         ""暗黒騎士"", FN$24,
         ""白魔道士"", EF32 * EH32 * FL32 * IF(abillity, 1"&amp;", EG32 * EI32) * (Option!$D$22 * 0.81 / 100),
         ""占星術師"", EF32 * EJ32 * FL32 * IF(abillity, 1, EG32 * EK32) * (Option!$D$23 * 0.81 / 100),
         ""学者"", EF32 * EL32 * FL32 * IF(abillity, 1, EG32 * EM32) * (Option!$D$24 * 0.81 / 100),
         """&amp;"賢者"", EF32 * EN32 * FL32 * IF(abillity, 1, EG32 * EO32) * (Option!$D$25 * 0.81 / 100),
         1
       )
     )
   )
 ) + EQ32"),0.0)</f>
        <v>0</v>
      </c>
      <c r="FN32" s="206">
        <f t="shared" si="14"/>
        <v>640</v>
      </c>
      <c r="FO32" s="213"/>
    </row>
    <row r="33">
      <c r="B33" s="208"/>
      <c r="C33" s="217">
        <f t="shared" si="1"/>
        <v>0.0005671296296</v>
      </c>
      <c r="D33" s="225">
        <v>5.671296296296297E-4</v>
      </c>
      <c r="E33" s="226" t="s">
        <v>1075</v>
      </c>
      <c r="F33" s="167" t="s">
        <v>10</v>
      </c>
      <c r="G33" s="168"/>
      <c r="H33" s="169">
        <v>800.0</v>
      </c>
      <c r="I33" s="169"/>
      <c r="J33" s="169"/>
      <c r="K33" s="170" t="b">
        <v>0</v>
      </c>
      <c r="L33" s="170" t="b">
        <v>0</v>
      </c>
      <c r="M33" s="170" t="b">
        <v>0</v>
      </c>
      <c r="N33" s="171" t="s">
        <v>1070</v>
      </c>
      <c r="O33" s="172" t="b">
        <v>0</v>
      </c>
      <c r="P33" s="173" t="b">
        <v>0</v>
      </c>
      <c r="Q33" s="173" t="b">
        <v>0</v>
      </c>
      <c r="R33" s="173" t="b">
        <v>0</v>
      </c>
      <c r="S33" s="174" t="b">
        <v>0</v>
      </c>
      <c r="T33" s="175" t="b">
        <v>0</v>
      </c>
      <c r="U33" s="173" t="b">
        <v>0</v>
      </c>
      <c r="V33" s="171" t="s">
        <v>1070</v>
      </c>
      <c r="W33" s="172" t="b">
        <v>0</v>
      </c>
      <c r="X33" s="173" t="b">
        <v>0</v>
      </c>
      <c r="Y33" s="173" t="b">
        <v>0</v>
      </c>
      <c r="Z33" s="173" t="b">
        <v>0</v>
      </c>
      <c r="AA33" s="174" t="b">
        <v>0</v>
      </c>
      <c r="AB33" s="174" t="b">
        <v>0</v>
      </c>
      <c r="AC33" s="175" t="b">
        <v>0</v>
      </c>
      <c r="AD33" s="173" t="b">
        <v>0</v>
      </c>
      <c r="AE33" s="176" t="s">
        <v>1070</v>
      </c>
      <c r="AF33" s="171" t="s">
        <v>1070</v>
      </c>
      <c r="AG33" s="177">
        <f>IFERROR(__xludf.DUMMYFUNCTION("IF(
  ISNUMBER(AG32),
  MIN(MAX(
    AG32
    + MAX(
      ROUNDDOWN(($D34 - MAX(IFERROR(FILTER($D$24:$D33, AG$24:AG32 &lt;&gt; AF$6, AG$23:AG31 = AF$6), 0))) * (60 * 60 * 24) / AF$9) - ROUNDDOWN(($D33 - MAX(IFERROR(FILTER($D$23:$D32, AG$23:AG31 &lt;&gt; AF$6, AG$22:"&amp;"AG31 = AF$6), 0))) * (60 * 60 * 24) / 60),
      0
    )
    - COUNTIF(AF33, ""&lt;&gt;-""),
  0), AF$6),
  AF$6 - COUNTIF(AF33, ""&lt;&gt;-"")
)"),2.0)</f>
        <v>2</v>
      </c>
      <c r="AH33" s="173" t="b">
        <v>0</v>
      </c>
      <c r="AI33" s="173" t="b">
        <v>0</v>
      </c>
      <c r="AJ33" s="173" t="b">
        <v>0</v>
      </c>
      <c r="AK33" s="174" t="b">
        <v>0</v>
      </c>
      <c r="AL33" s="175" t="b">
        <v>0</v>
      </c>
      <c r="AM33" s="173" t="b">
        <v>0</v>
      </c>
      <c r="AN33" s="171" t="s">
        <v>1070</v>
      </c>
      <c r="AO33" s="173" t="b">
        <v>0</v>
      </c>
      <c r="AP33" s="173" t="b">
        <v>0</v>
      </c>
      <c r="AQ33" s="173" t="b">
        <v>0</v>
      </c>
      <c r="AR33" s="174" t="b">
        <v>0</v>
      </c>
      <c r="AS33" s="178" t="b">
        <v>0</v>
      </c>
      <c r="AT33" s="179" t="b">
        <v>0</v>
      </c>
      <c r="AU33" s="180" t="b">
        <v>0</v>
      </c>
      <c r="AV33" s="180" t="b">
        <v>0</v>
      </c>
      <c r="AW33" s="180" t="b">
        <v>0</v>
      </c>
      <c r="AX33" s="180" t="b">
        <v>0</v>
      </c>
      <c r="AY33" s="181" t="s">
        <v>1070</v>
      </c>
      <c r="AZ33" s="181" t="s">
        <v>1070</v>
      </c>
      <c r="BA33" s="184">
        <f>IFERROR(__xludf.DUMMYFUNCTION("IF(
  ISNUMBER(BA32),
  MIN(MAX(
    BA32
    + MAX(
      ROUNDDOWN((D34 - MAX(IFERROR(FILTER(D$24:D33, BA$24:BA32 &lt;&gt; AZ$6, BA$23:BA31 = AZ$6), 0))) * (60 * 60 * 24) / AZ$9) - ROUNDDOWN((D33 - MAX(IFERROR(FILTER(D$23:D32, BA$23:BA31 &lt;&gt; AZ$6, BA$22:BA31 ="&amp;" AZ$6), 0))) * (60 * 60 * 24) / AZ$9),
      0
    )
    - COUNTIF(AZ33, ""&lt;&gt;-""),
  0), AZ$6),
  AZ$6 - COUNTIF(AZ33, ""&lt;&gt;-"")
)"),2.0)</f>
        <v>2</v>
      </c>
      <c r="BB33" s="181" t="s">
        <v>1070</v>
      </c>
      <c r="BC33" s="183">
        <f>IFERROR(__xludf.DUMMYFUNCTION("IF(
  ISNUMBER(BC32),
  MIN(MAX(
    BC32
    + MAX(
      ROUNDDOWN(($D34 - MAX(IFERROR(FILTER($D$24:$D33, BC$24:BC32 &lt;&gt; BB$6, BC$23:BC31 = BB$6), 0))) * (60 * 60 * 24) / BB$9) - ROUNDDOWN(($D33 - MAX(IFERROR(FILTER($D$23:$D32, BC$23:BC31 &lt;&gt; BB$6, BC$22:"&amp;"BC31 = BB$6), 0))) * (60 * 60 * 24) / 60),
      0
    )
    - COUNTIF(BB33, ""&lt;&gt;-""),
  0), BB$6),
  BB$6 - COUNTIF(BB33, ""&lt;&gt;-"")
)"),2.0)</f>
        <v>2</v>
      </c>
      <c r="BD33" s="181" t="s">
        <v>1070</v>
      </c>
      <c r="BE33" s="178" t="b">
        <v>0</v>
      </c>
      <c r="BF33" s="180" t="b">
        <v>0</v>
      </c>
      <c r="BG33" s="180" t="b">
        <v>0</v>
      </c>
      <c r="BH33" s="180" t="b">
        <v>0</v>
      </c>
      <c r="BI33" s="180" t="b">
        <v>0</v>
      </c>
      <c r="BJ33" s="180" t="b">
        <v>0</v>
      </c>
      <c r="BK33" s="180" t="b">
        <v>0</v>
      </c>
      <c r="BL33" s="180" t="b">
        <v>0</v>
      </c>
      <c r="BM33" s="180" t="b">
        <v>0</v>
      </c>
      <c r="BN33" s="180" t="b">
        <v>0</v>
      </c>
      <c r="BO33" s="181" t="s">
        <v>1070</v>
      </c>
      <c r="BP33" s="181" t="s">
        <v>1070</v>
      </c>
      <c r="BQ33" s="181" t="s">
        <v>1070</v>
      </c>
      <c r="BR33" s="181" t="s">
        <v>1070</v>
      </c>
      <c r="BS33" s="181" t="s">
        <v>1070</v>
      </c>
      <c r="BT33" s="184">
        <f>IFERROR(__xludf.DUMMYFUNCTION("IF(
  ISNUMBER(BT32),
  MIN(MAX(
    BT32
    + MAX(
      ROUNDDOWN((D34 - MAX(IFERROR(FILTER(D$24:D33, BT$24:BT32 &lt;&gt; BS$6, BT$23:BT31 = BS$6), 0))) * (60 * 60 * 24) / BS$9) - ROUNDDOWN((D33 - MAX(IFERROR(FILTER(D$23:D32, BT$23:BT31 &lt;&gt; BS$6, BT$22:BT31 ="&amp;" BS$6), 0))) * (60 * 60 * 24) / BS$9),
      0
    )
    - COUNTIF(BS33, ""&lt;&gt;-""),
  0), BS$6),
  BS$6 - COUNTIF(BS33, ""&lt;&gt;-"")
)"),3.0)</f>
        <v>3</v>
      </c>
      <c r="BU33" s="181" t="s">
        <v>1070</v>
      </c>
      <c r="BV33" s="181" t="s">
        <v>1070</v>
      </c>
      <c r="BW33" s="184">
        <f>IFERROR(__xludf.DUMMYFUNCTION("IF(
  ISNUMBER(BW32),
  MIN(MAX(
    BW32
    + MAX(
      ROUNDDOWN((D34 - MAX(IFERROR(FILTER(D$24:D33, BW$24:BW32 &lt;&gt; BV$6, BW$23:BW31 = BV$6), 0))) * (60 * 60 * 24) / BV$9) - ROUNDDOWN((D33 - MAX(IFERROR(FILTER(D$23:D32, BW$23:BW31 &lt;&gt; BV$6, BW$22:BW31 ="&amp;" BV$6), 0))) * (60 * 60 * 24) / BV$9),
      0
    )
    - COUNTIF(BV33, ""&lt;&gt;-""),
  0), BV$6),
  BV$6 - COUNTIF(BV33, ""&lt;&gt;-"")
)"),2.0)</f>
        <v>2</v>
      </c>
      <c r="BX33" s="185" t="s">
        <v>1070</v>
      </c>
      <c r="BY33" s="178" t="b">
        <v>0</v>
      </c>
      <c r="BZ33" s="180" t="b">
        <v>0</v>
      </c>
      <c r="CA33" s="180" t="b">
        <v>0</v>
      </c>
      <c r="CB33" s="180" t="b">
        <v>0</v>
      </c>
      <c r="CC33" s="180" t="b">
        <v>0</v>
      </c>
      <c r="CD33" s="180" t="b">
        <v>0</v>
      </c>
      <c r="CE33" s="180" t="b">
        <v>0</v>
      </c>
      <c r="CF33" s="180" t="b">
        <v>0</v>
      </c>
      <c r="CG33" s="180" t="b">
        <v>0</v>
      </c>
      <c r="CH33" s="180" t="b">
        <v>0</v>
      </c>
      <c r="CI33" s="180" t="b">
        <v>0</v>
      </c>
      <c r="CJ33" s="180" t="b">
        <v>0</v>
      </c>
      <c r="CK33" s="180" t="b">
        <v>0</v>
      </c>
      <c r="CL33" s="180" t="b">
        <v>0</v>
      </c>
      <c r="CM33" s="181" t="s">
        <v>1070</v>
      </c>
      <c r="CN33" s="181" t="s">
        <v>1070</v>
      </c>
      <c r="CO33" s="181" t="s">
        <v>1070</v>
      </c>
      <c r="CP33" s="181" t="s">
        <v>1070</v>
      </c>
      <c r="CQ33" s="185" t="s">
        <v>1070</v>
      </c>
      <c r="CR33" s="180" t="b">
        <v>0</v>
      </c>
      <c r="CS33" s="186" t="str">
        <f t="shared" si="3"/>
        <v>◇◇◇</v>
      </c>
      <c r="CT33" s="178" t="b">
        <v>0</v>
      </c>
      <c r="CU33" s="180" t="b">
        <v>0</v>
      </c>
      <c r="CV33" s="180" t="b">
        <v>0</v>
      </c>
      <c r="CW33" s="180" t="b">
        <v>0</v>
      </c>
      <c r="CX33" s="180" t="b">
        <v>0</v>
      </c>
      <c r="CY33" s="180" t="b">
        <v>0</v>
      </c>
      <c r="CZ33" s="180" t="b">
        <v>0</v>
      </c>
      <c r="DA33" s="180" t="b">
        <v>0</v>
      </c>
      <c r="DB33" s="180" t="b">
        <v>0</v>
      </c>
      <c r="DC33" s="180" t="b">
        <v>0</v>
      </c>
      <c r="DD33" s="181" t="s">
        <v>1070</v>
      </c>
      <c r="DE33" s="181" t="s">
        <v>1070</v>
      </c>
      <c r="DF33" s="181" t="s">
        <v>1070</v>
      </c>
      <c r="DG33" s="185" t="s">
        <v>1070</v>
      </c>
      <c r="DH33" s="180" t="b">
        <v>0</v>
      </c>
      <c r="DI33" s="187" t="str">
        <f>IFERROR(__xludf.DUMMYFUNCTION("SWITCH(
  IF(
    ISTEXT(DI32),
    IF (
      FIND(""○"", DI32&amp;""○"") &gt; 3,
      3,
      FIND(""○"", DI32&amp;""○"")
      + MAX(
        ROUNDDOWN(($D34 - MAX(IFERROR(FILTER(D$24:D33, DI$24:DI32 &lt;&gt; ""●●●"", DI$23:DI31 = ""●●●""), 0))) * (60 * 60 * 24) / 20"&amp;") - ROUNDDOWN(($D33 - MAX(IFERROR(FILTER(D$23:D32, DI$23:DI31 &lt;&gt; ""●●●"", DI$22:DI31 = ""●●●""), 0))) * (60 * 60 * 24) / 20),
        0
      ) - 1
    ) - COUNTIFS(CU33, ""=TRUE"", CU32, ""&lt;&gt;TRUE"") - COUNTIF(CZ33, ""=TRUE"") - COUNTIF({DD33,DE33}, ""&lt;&gt;-"&amp;""") + COUNTIF(DH33, ""=TRUE""),
    3
  ),
  0, ""○○○"", 1, ""●○○"", 2, ""●●○"", 3, ""●●●"", 4, ""●●●"", ""○○○""
)"),"●●●")</f>
        <v>●●●</v>
      </c>
      <c r="DJ33" s="188" t="b">
        <v>0</v>
      </c>
      <c r="DK33" s="189" t="b">
        <v>0</v>
      </c>
      <c r="DL33" s="190" t="b">
        <v>0</v>
      </c>
      <c r="DM33" s="190" t="b">
        <v>0</v>
      </c>
      <c r="DN33" s="190" t="b">
        <v>0</v>
      </c>
      <c r="DO33" s="190" t="b">
        <v>0</v>
      </c>
      <c r="DP33" s="190" t="b">
        <v>0</v>
      </c>
      <c r="DQ33" s="191" t="b">
        <v>0</v>
      </c>
      <c r="DR33" s="192" t="b">
        <v>0</v>
      </c>
      <c r="DS33" s="191" t="b">
        <v>0</v>
      </c>
      <c r="DT33" s="192" t="b">
        <v>0</v>
      </c>
      <c r="DU33" s="191" t="b">
        <v>0</v>
      </c>
      <c r="DV33" s="193" t="s">
        <v>1070</v>
      </c>
      <c r="DW33" s="194" t="b">
        <v>0</v>
      </c>
      <c r="DX33" s="194" t="b">
        <v>0</v>
      </c>
      <c r="DY33" s="195" t="b">
        <v>0</v>
      </c>
      <c r="DZ33" s="196" t="b">
        <v>0</v>
      </c>
      <c r="EA33" s="195" t="b">
        <v>0</v>
      </c>
      <c r="EB33" s="197" t="b">
        <v>0</v>
      </c>
      <c r="EC33" s="197" t="b">
        <v>0</v>
      </c>
      <c r="ED33" s="212" t="b">
        <v>0</v>
      </c>
      <c r="EE33" s="199">
        <f>IFERROR(__xludf.DUMMYFUNCTION("IFERROR(
   PRODUCT(
     MAP(
       INDEX(TRANSPOSE(UNIQUE(TRANSPOSE(FILTER({IF($F33=""Physical"", K$10:ED$10, IF($F33=""Magic"", K$11:ED$11, K$12:ED$12));K$4:ED$4;K33:ED33}, K33:ED33=TRUE)))), 1, 0),
       INDEX(TRANSPOSE(UNIQUE(TRANSPOSE(FILTER({IF($"&amp;"F33=""Physical"", K$18:ED$18, IF($F33=""Magic"", K$19:ED$19, K$20:ED$20));K$4:ED$4;K33:ED33}, K33:ED33=TRUE)))), 1, 0),
       INDEX(TRANSPOSE(UNIQUE(TRANSPOSE(FILTER({K$5:ED$5;K$4:ED$4;K33:ED33}, K33:ED33=TRUE)))), 1, 0),
       INDEX(TRANSPOSE(UNIQUE(TR"&amp;"ANSPOSE(FILTER({K$17:ED$17;K$4:ED$4;K33:ED33}, K33:ED33=TRUE)))), 1, 0),
       LAMBDA(
         mitigation,
         enhance,
         assign,
         precondition,
         IF(
           REGEXMATCH(assign, ""RANGE_PARTY|SINGLE_ENEMY|RANGE_ENEMY""),
  "&amp;"         IF(
             OR(ARRAYFORMULA((IF(precondition="""", FALSE, REGEXMATCH(K$4:ED$4, precondition))) * (K33:ED33=TRUE))),
             IF(ISNUMBER(enhance), enhance, 1),
             IF(ISNUMBER(mitigation), mitigation, 1)
           ),
          "&amp;" 1
         )
       )
     )
   ),
   1
 )"),1.0)</f>
        <v>1</v>
      </c>
      <c r="EF33" s="200">
        <f>IFERROR(__xludf.DUMMYFUNCTION("PRODUCT(
   MAP(
     K$14:ED$14,
     K$13:ED$13,
     K33:ED33,
     LAMBDA(
       buff,
       target,
       check,
       IF(
         AND(check=TRUE, REGEXMATCH(target, ""RANGE_AFFECTED_ALL|RANGE_EFFECTED_ALL""), ISNUMBER(buff)),
         buff,
   "&amp;"      1
       )
     )
   )
 )"),1.0)</f>
        <v>1</v>
      </c>
      <c r="EG33" s="200">
        <f>IFERROR(__xludf.DUMMYFUNCTION("PRODUCT(
   MAP(
     K$14:ED$14,
     K$13:ED$13,
     K33:ED33,
     LAMBDA(
       buff,
       target,
       check,
       IF(
         AND(check=TRUE, REGEXMATCH(target, ""RANGE_AFFECTED_GCD|RANGE_EFFECTED_GCD""), ISNUMBER(buff)),
         buff,
   "&amp;"      1
       )
     )
   )
 )"),1.0)</f>
        <v>1</v>
      </c>
      <c r="EH33" s="200">
        <f>IFERROR(__xludf.DUMMYFUNCTION("PRODUCT(
   MAP(
     K$3:ED$3,
     K$14:ED$14,
     K$13:ED$13,
     K33:ED33,
     LAMBDA(
       job,
       buff,
       target,
       check,
       IF(
         AND(check=TRUE, REGEXMATCH(target, ""SELF_EFFECTED_ALL""), ISNUMBER(buff), job=""白魔道士"""&amp;"),
         buff,
         1
       )
     )
   )
 )"),1.0)</f>
        <v>1</v>
      </c>
      <c r="EI33" s="200">
        <f>IFERROR(__xludf.DUMMYFUNCTION("PRODUCT(
   MAP(
     K$3:ED$3,
     K$14:ED$14,
     K$13:ED$13,
     K33:ED33,
     LAMBDA(
       job,
       buff,
       target,
       check,
       IF(
         AND(check=TRUE, REGEXMATCH(target, ""SELF_EFFECTED_GCD""), ISNUMBER(buff), job=""白魔道士"""&amp;"),
         buff,
         1
       )
     )
   )
 )"),1.0)</f>
        <v>1</v>
      </c>
      <c r="EJ33" s="200">
        <f>IFERROR(__xludf.DUMMYFUNCTION("PRODUCT(
   MAP(
     K$3:ED$3,
     K$14:ED$14,
     K$13:ED$13,
     K33:ED33,
     LAMBDA(
       job,
       buff,
       target,
       check,
       IF(
         AND(check=TRUE, REGEXMATCH(target, ""SELF_EFFECTED_ALL""), ISNUMBER(buff), job=""占星術師"""&amp;"),
         buff,
         1
       )
     )
   )
 )"),1.0)</f>
        <v>1</v>
      </c>
      <c r="EK33" s="200">
        <f>IFERROR(__xludf.DUMMYFUNCTION("PRODUCT(
   MAP(
     K$3:ED$3,
     K$14:ED$14,
     K$13:ED$13,
     K33:ED33,
     LAMBDA(
       job,
       buff,
       target,
       check,
       IF(
         AND(check=TRUE, REGEXMATCH(target, ""SELF_EFFECTED_GCD""), ISNUMBER(buff), job=""占星術師"""&amp;"),
         buff,
         1
       )
     )
   )
 )"),1.0)</f>
        <v>1</v>
      </c>
      <c r="EL33" s="200">
        <f>IFERROR(__xludf.DUMMYFUNCTION("PRODUCT(
   MAP(
     K$3:ED$3,
     K$14:ED$14,
     K$13:ED$13,
     K33:ED33,
     LAMBDA(
       job,
       buff,
       target,
       check,
       IF(
         AND(check=TRUE, REGEXMATCH(target, ""SELF_EFFECTED_ALL""), ISNUMBER(buff), job=""学者""),"&amp;"
         buff,
         1
       )
     )
   )
 )"),1.0)</f>
        <v>1</v>
      </c>
      <c r="EM33" s="200">
        <f>IFERROR(__xludf.DUMMYFUNCTION("PRODUCT(
   MAP(
     K$3:ED$3,
     K$14:ED$14,
     K$13:ED$13,
     K33:ED33,
     LAMBDA(
       job,
       buff,
       target,
       check,
       IF(
         AND(check=TRUE, REGEXMATCH(target, ""SELF_EFFECTED_GCD""), ISNUMBER(buff), job=""学者""),"&amp;"
         buff,
         1
       )
     )
   )
 )"),1.0)</f>
        <v>1</v>
      </c>
      <c r="EN33" s="200">
        <f>IFERROR(__xludf.DUMMYFUNCTION("PRODUCT(
   MAP(
     K$3:ED$3,
     K$14:ED$14,
     K$13:ED$13,
     K33:ED33,
     LAMBDA(
       job,
       buff,
       target,
       check,
       IF(
         AND(check=TRUE, REGEXMATCH(target, ""SELF_EFFECTED_ALL""), ISNUMBER(buff), job=""賢者""),"&amp;"
         buff,
         1
       )
     )
   )
 )"),1.0)</f>
        <v>1</v>
      </c>
      <c r="EO33" s="200">
        <f>IFERROR(__xludf.DUMMYFUNCTION("PRODUCT(
   MAP(
     K$3:ED$3,
     K$14:ED$14,
     K$13:ED$13,
     K33:ED33,
     LAMBDA(
       job,
       buff,
       target,
       check,
       IF(
         AND(check=TRUE, REGEXMATCH(target, ""SELF_EFFECTED_GCD""), ISNUMBER(buff), job=""賢者""),"&amp;"
         buff,
         1
       )
     )
   )
 )"),1.0)</f>
        <v>1</v>
      </c>
      <c r="EP33" s="201">
        <f t="shared" si="4"/>
        <v>800</v>
      </c>
      <c r="EQ33" s="201">
        <f>IFERROR(__xludf.DUMMYFUNCTION("SUM(
   MAP(
     K$4:ED$4,
     K$3:ED$3,
     K$7:ED$7,
     K$15:ED$15,
     K$16:ED$16,
     K$21:ED$21,
     K$5:ED$5,
     K$17:ED$17,
     K33:ED33,
     LAMBDA(
       name,
       job,
       abillity,
       buff,
       barrier,
       enhance,"&amp;"
       assign,
       precondition,
       check,
       SWITCH(
         name,
         ""シェイクオフ"", IF(check=TRUE, buff + (0.02 * COUNTIF(ARRAYFORMULA((REGEXMATCH($K$4:$ED$4, ""スリル・オブ・バトル|ヴェンジェンス|原初の血気|ダムネーション"")) * (K33:ED33=TRUE)), 1)), 0),
         "&amp;"""インプロビゼーションフィニッシュ(踊りの激情0)"", IF(ISNUMBER(check), INDEX(Skill!$AJ:$AJ, MATCH(SUBSTITUTE(DV$4, 0, check), Skill!$C:$C, 0)), 0),
         IF(
           AND(check=TRUE, REGEXMATCH(assign, ""RANGE_PARTY"")),
           IF(
             OR(ARRAYFORMULA((IF(pr"&amp;"econdition="""", FALSE, REGEXMATCH($K$4:$ED$4, precondition))) * (K33:ED33=TRUE))),
             enhance,
             IF(barrier="""", buff, barrier)
           ),
           0
         )
       ) *
       SWITCH(
         job,
         ""ナイト"", EY$24,
 "&amp;"        ""戦士"", FD$24,
         ""踊り子"", ET$24,
         ""ピクトマンサー"", ET$24,
         ""白魔道士"", EF33 * EH33 * IF(abillity, 1, EG33 * EI33) * (Option!$D$22 * 0.81 / 100),
         ""占星術師"", EF33 * EJ33 * IF(abillity, 1, EG33 * EK33) * (Option!$D$23 * 0.81 "&amp;"/ 100),
         ""学者"", EF33 * EL33 * IF(abillity, 1, EG33 * EM33) * (Option!$D$24 * 0.81 / 100),
         ""賢者"", EF33 * EN33 * IF(abillity, 1, EG33 * EO33) * (Option!$D$25 * 0.81 / 100),
         1
       )
     )
   )
 )"),0.0)</f>
        <v>0</v>
      </c>
      <c r="ER33" s="202">
        <f t="shared" si="5"/>
        <v>800</v>
      </c>
      <c r="ES33" s="203">
        <f t="shared" si="6"/>
        <v>0</v>
      </c>
      <c r="ET33" s="204" t="str">
        <f>IFERROR(__xludf.DUMMYFUNCTION("IFS(
  EP33 &gt; $ET$24 + EQ33,
  SPARKLINE({ 1, 0 }, {""charttype"",""bar"";""max"", 1;""color1"",Option!$D$30;""color2"",Option!$D$30}),
  EP33 &lt; EQ33,
  SPARKLINE({EQ33 - EP33, $ET$24 - (EQ33 - EP33)}, {""charttype"",""bar"";""max"",$ET$24;""color1"",Opti"&amp;"on!$D$28;""color2"",Option!$D$29}),
  EP33 &gt;= EQ33,
  SPARKLINE({$ET$24 + EQ33 - EP33,EP33 - EQ33}, {""charttype"",""bar"";""max"",$ET$24;""color1"",Option!$D$29;""color2"",Option!$D$30})
)"),"")</f>
        <v/>
      </c>
      <c r="EU33" s="205">
        <f>IFERROR(__xludf.DUMMYFUNCTION("PRODUCT(
   MAP(
     IF($F33=""Physical"", K$10:ED$10, IF($F33=""Magic"", K$11:ED$11, K$12:ED$12)),
     IF($F33=""Physical"", K$18:ED$18, IF($F33=""Magic"", K$19:ED$19, K$20:ED$20)),
     K$3:ED$3,
     K$5:ED$5,
     K$17:ED$17,
     K33:ED33,
     LAM"&amp;"BDA(
       mitigation,
       enhance,
       job,
       assign,
       precondition,
       check,
       IF(
         OR(AND(check=TRUE, REGEXMATCH(assign, ""SELF""), job=""ナイト""), AND(check=Option!$E$13, REGEXMATCH(assign, ""SINGLE_PARTY""))),
      "&amp;"   IF(
           OR(ARRAYFORMULA((IF(precondition="""", FALSE, REGEXMATCH($K$4:$ED$4, precondition))) * (K33:ED33=TRUE))),
           enhance,
           mitigation
         ),
         1
       )
     )
   )
 ) * EE33"),1.0)</f>
        <v>1</v>
      </c>
      <c r="EV33" s="206">
        <f t="shared" si="7"/>
        <v>640</v>
      </c>
      <c r="EW33" s="205">
        <f>IFERROR(__xludf.DUMMYFUNCTION("PRODUCT(
   MAP(
     K$3:ED$3,
     K$14:ED$14,
     K$13:ED$13,
     K33:ED33,
     LAMBDA(
       job,
       buff,
       target,
       check,
       IF(
         OR(AND(check=TRUE, REGEXMATCH(target, ""SELF_AFFECTED_ALL""), job=""ナイト""), AND(check=O"&amp;"ption!$E$13, REGEXMATCH(target, ""SINGLE_AFFECTED_ALL""))),
         buff,
         1
       )
     )
   )
 )"),1.0)</f>
        <v>1</v>
      </c>
      <c r="EX33" s="206">
        <f>IFERROR(__xludf.DUMMYFUNCTION("SUM(
   MAP(
     K$3:ED$3,
     K$7:ED$7,
     K$15:ED$15,
     K$16:ED$16,
     K$21:ED$21,
     K$5:ED$5,
     K$17:ED$17,
     K33:ED33,
     LAMBDA(
       job,
       abillity,
       buff,
       barrier,
       enhance,
       assign,
       preco"&amp;"ndition,
       check,
       IF(
         OR(AND(check=TRUE, REGEXMATCH(assign, ""SELF""), job=""ナイト""), AND(check=Option!$E$13, REGEXMATCH(assign, ""SINGLE_PARTY""))),
         IF(
           OR(ARRAYFORMULA((IF(precondition="""", FALSE, REGEXMATCH($K$4"&amp;":$ED$4, precondition))) * (K33:ED33=TRUE))),
           enhance,
           IF(barrier="""", buff, barrier)
         ),
         0
       ) *
       SWITCH(
         job,
         ""暗黒騎士"", EY$24,
         ""白魔道士"", EF33 * EH33 * EW33 * IF(abillity, 1, EG"&amp;"33 * EI33) * (Option!$D$22 * 0.81 / 100),
         ""占星術師"", EF33 * EJ33 * EW33 * IF(abillity, 1, EG33 * EK33) * (Option!$D$23 * 0.81 / 100),
         ""学者"", EF33 * EL33 * EW33 * IF(abillity, 1, EG33 * EM33) * (Option!$D$24 * 0.81 / 100),
         ""賢者"""&amp;", EF33 * EN33 * EW33 * IF(abillity, 1, EG33 * EO33) * (Option!$D$25 * 0.81 / 100),
         1
       )
     )
   )
 ) + EQ33"),0.0)</f>
        <v>0</v>
      </c>
      <c r="EY33" s="206">
        <f t="shared" si="8"/>
        <v>640</v>
      </c>
      <c r="EZ33" s="205">
        <f>IFERROR(__xludf.DUMMYFUNCTION("PRODUCT(
   MAP(
     IF($F33=""Physical"", K$10:ED$10, IF($F33=""Magic"", K$11:ED$11, K$12:ED$12)),
     IF($F33=""Physical"", K$18:ED$18, IF($F33=""Magic"", K$19:ED$19, K$20:ED$20)),
     K$3:ED$3,
     K$5:ED$5,
     K$17:ED$17,
     K33:ED33,
     LAM"&amp;"BDA(
       mitigation,
       enhance,
       job,
       assign,
       precondition,
       check,
       IF(
         OR(AND(check=TRUE, REGEXMATCH(assign, ""SELF""), job=""戦士""), AND(check=Option!$F$13, REGEXMATCH(assign, ""SINGLE_PARTY""))),
       "&amp;"  IF(
           OR(ARRAYFORMULA((IF(precondition="""", FALSE, REGEXMATCH($K$4:$ED$4, precondition))) * (K33:ED33=TRUE))),
           enhance,
           mitigation
         ),
         1
       )
     )
   )
 ) * EE33"),1.0)</f>
        <v>1</v>
      </c>
      <c r="FA33" s="206">
        <f t="shared" si="9"/>
        <v>640</v>
      </c>
      <c r="FB33" s="205">
        <f>IFERROR(__xludf.DUMMYFUNCTION("PRODUCT(
   MAP(
     K$3:ED$3,
     K$14:ED$14,
     K$13:ED$13,
     K33:ED33,
     LAMBDA(
       job,
       buff,
       target,
       check,
       IF(
         OR(AND(check=TRUE, REGEXMATCH(target, ""SELF_AFFECTED_ALL""), job=""戦士""), AND(check=Op"&amp;"tion!$F$13, REGEXMATCH(target, ""SINGLE_AFFECTED_ALL""))),
         buff,
         1
       )
     )
   )
 )"),1.0)</f>
        <v>1</v>
      </c>
      <c r="FC33" s="206">
        <f>IFERROR(__xludf.DUMMYFUNCTION("SUM(
   MAP(
     K$3:ED$3,
     K$7:ED$7,
     K$15:ED$15,
     K$16:ED$16,
     K$21:ED$21,
     K$5:ED$5,
     K$17:ED$17,
     K33:ED33,
     LAMBDA(
       job,
       abillity,
       buff,
       barrier,
       enhance,
       assign,
       preco"&amp;"ndition,
       check,
       IF(
         OR(AND(check=TRUE, REGEXMATCH(assign, ""SELF""), job=""戦士""), AND(check=Option!$F$13, REGEXMATCH(assign, ""SINGLE_PARTY""))),
         IF(
           OR(ARRAYFORMULA((IF(precondition="""", FALSE, REGEXMATCH($K$4:"&amp;"$ED$4, precondition))) * (K33:ED33=TRUE))),
           enhance,
           IF(barrier="""", buff, barrier)
         ),
         0
       ) *
       SWITCH(
         job,
         ""暗黒騎士"", FD$24,
         ""白魔道士"", EF33 * EH33 * FB33 * IF(abillity, 1, EG3"&amp;"3 * EI33) * (Option!$D$22 * 0.81 / 100),
         ""占星術師"", EF33 * EJ33 * FFB33 * IF(abillity, 1, EG33 * EK33) * (Option!$D$23 * 0.81 / 100),
         ""学者"", EF33 * EL33 * FB33 * IF(abillity, 1, EG33 * EM33) * (Option!$D$24 * 0.81 / 100),
         ""賢者"""&amp;", EF33 * EN33 * FB33 * IF(abillity, 1, EG33 * EO33) * (Option!$D$25 * 0.81 / 100),
         1
       )
     )
   )
 ) + EQ33"),0.0)</f>
        <v>0</v>
      </c>
      <c r="FD33" s="206">
        <f t="shared" si="10"/>
        <v>640</v>
      </c>
      <c r="FE33" s="205">
        <f>IFERROR(__xludf.DUMMYFUNCTION("PRODUCT(
   MAP(
     IF($F33=""Physical"", K$10:ED$10, IF($F33=""Magic"", K$11:ED$11, K$12:ED$12)),
     IF($F33=""Physical"", K$18:ED$18, IF($F33=""Magic"", K$19:ED$19, K$20:ED$20)),
     K$3:ED$3,
     K$5:ED$5,
     K$17:ED$17,
     K33:ED33,
     LAM"&amp;"BDA(
       mitigation,
       enhance,
       job,
       assign,
       precondition,
       check,
       IF(
         OR(AND(check=TRUE, REGEXMATCH(assign, ""SELF""), job=""暗黒騎士""), AND(check=Option!$G$13, REGEXMATCH(assign, ""SINGLE_PARTY""))),
     "&amp;"    IF(
           OR(ARRAYFORMULA((IF(precondition="""", FALSE, REGEXMATCH($K$4:$ED$4, precondition))) * (K33:ED33=TRUE))),
           enhance,
           mitigation
         ),
         1
       )
     )
   )
 ) * EE33"),1.0)</f>
        <v>1</v>
      </c>
      <c r="FF33" s="206">
        <f t="shared" si="11"/>
        <v>640</v>
      </c>
      <c r="FG33" s="205">
        <f>IFERROR(__xludf.DUMMYFUNCTION("PRODUCT(
   MAP(
     K$3:ED$3,
     K$14:ED$14,
     K$13:ED$13,
     K33:ED33,
     LAMBDA(
       job,
       buff,
       target,
       check,
       IF(
         OR(AND(check=TRUE, REGEXMATCH(target, ""SELF_AFFECTED_ALL""), job=""暗黒騎士""), AND(check="&amp;"Option!$G$13, REGEXMATCH(target, ""SINGLE_AFFECTED_ALL""))),
         buff,
         1
       )
     )
   )
 )"),1.0)</f>
        <v>1</v>
      </c>
      <c r="FH33" s="206">
        <f>IFERROR(__xludf.DUMMYFUNCTION("SUM(
   MAP(
     K$3:ED$3,
     K$7:ED$7,
     K$15:ED$15,
     K$16:ED$16,
     K$21:ED$21,
     K$5:ED$5,
     K$17:ED$17,
     K33:ED33,
     LAMBDA(
       job,
       abillity,
       buff,
       barrier,
       enhance,
       assign,
       preco"&amp;"ndition,
       check,
       IF(
         OR(AND(check=TRUE, REGEXMATCH(assign, ""SELF""), job=""暗黒騎士""), AND(check=Option!$G$13, REGEXMATCH(assign, ""SINGLE_PARTY""))),
         IF(
           OR(ARRAYFORMULA((IF(precondition="""", FALSE, REGEXMATCH($K$"&amp;"4:$ED$4, precondition))) * (K33:ED33=TRUE))),
           enhance,
           IF(barrier="""", buff, barrier)
         ),
         0
       ) *
       SWITCH(
         job,
         ""暗黒騎士"", FI$24,
         ""白魔道士"", EF33 * EH33 * FG33 * IF(abillity, 1, E"&amp;"G33 * EI33) * (Option!$D$22 * 0.81 / 100),
         ""占星術師"", EF33 * EJ33 * FG33 * IF(abillity, 1, EG33 * EK33) * (Option!$D$23 * 0.81 / 100),
         ""学者"", EF33 * EL33 * FG33 * IF(abillity, 1, EG33 * EM33) * (Option!$D$24 * 0.81 / 100),
         ""賢者"&amp;""", EF33 * EN33 * FG33 * IF(abillity, 1, EG33 * EO33) * (Option!$D$25 * 0.81 / 100),
         1
       )
     )
   )
 ) + EQ33"),0.0)</f>
        <v>0</v>
      </c>
      <c r="FI33" s="206">
        <f t="shared" si="12"/>
        <v>640</v>
      </c>
      <c r="FJ33" s="205">
        <f>IFERROR(__xludf.DUMMYFUNCTION("PRODUCT(
   MAP(
     IF($F33=""Physical"", K$10:ED$10, IF($F33=""Magic"", K$11:ED$11, K$12:ED$12)),
     IF($F33=""Physical"", K$18:ED$18, IF($F33=""Magic"", K$19:ED$19, K$20:ED$20)),
     K$3:ED$3,
     K$5:ED$5,
     K$17:ED$17,
     K33:ED33,
     LAM"&amp;"BDA(
       mitigation,
       enhance,
       job,
       assign,
       precondition,
       check,
       IF(
         OR(AND(check=TRUE, REGEXMATCH(assign, ""SELF""), job=""ガンブレイカー""), AND(check=Option!$H$13, REGEXMATCH(assign, ""SINGLE_PARTY""))),
  "&amp;"       IF(
           OR(ARRAYFORMULA((IF(precondition="""", FALSE, REGEXMATCH($K$4:$ED$4, precondition))) * (K33:ED33=TRUE))),
           enhance,
           mitigation
         ),
         1
       )
     )
   )
 ) * EE33"),1.0)</f>
        <v>1</v>
      </c>
      <c r="FK33" s="206">
        <f t="shared" si="13"/>
        <v>640</v>
      </c>
      <c r="FL33" s="205">
        <f>IFERROR(__xludf.DUMMYFUNCTION("PRODUCT(
   MAP(
     K$3:ED$3,
     K$14:ED$14,
     K$13:ED$13,
     K33:ED33,
     LAMBDA(
       job,
       buff,
       target,
       check,
       IF(
         OR(AND(check=TRUE, REGEXMATCH(target, ""SELF_AFFECTED_ALL""), job=""ガンブレイカー""), AND(che"&amp;"ck=Option!$H$13, REGEXMATCH(target, ""SINGLE_AFFECTED_ALL""))),
         buff,
         1
       )
     )
   )
 )"),1.0)</f>
        <v>1</v>
      </c>
      <c r="FM33" s="206">
        <f>IFERROR(__xludf.DUMMYFUNCTION("SUM(
   MAP(
     K$3:ED$3,
     K$7:ED$7,
     K$15:ED$15,
     K$16:ED$16,
     K$21:ED$21,
     K$5:ED$5,
     K$17:ED$17,
     K33:ED33,
     LAMBDA(
       job,
       abillity,
       buff,
       barrier,
       enhance,
       assign,
       preco"&amp;"ndition,
       check,
       IF(
         OR(AND(check=TRUE, REGEXMATCH(assign, ""SELF""), job=""ガンブレイカー""), AND(check=Option!$H$13, REGEXMATCH(assign, ""SINGLE_PARTY""))),
         IF(
           OR(ARRAYFORMULA((IF(precondition="""", FALSE, REGEXMATCH("&amp;"$K$4:$ED$4, precondition))) * (K33:ED33=TRUE))),
           enhance,
           IF(barrier="""", buff, barrier)
         ),
         0
       ) *
       SWITCH(
         job,
         ""暗黒騎士"", FN$24,
         ""白魔道士"", EF33 * EH33 * FL33 * IF(abillity, 1"&amp;", EG33 * EI33) * (Option!$D$22 * 0.81 / 100),
         ""占星術師"", EF33 * EJ33 * FL33 * IF(abillity, 1, EG33 * EK33) * (Option!$D$23 * 0.81 / 100),
         ""学者"", EF33 * EL33 * FL33 * IF(abillity, 1, EG33 * EM33) * (Option!$D$24 * 0.81 / 100),
         """&amp;"賢者"", EF33 * EN33 * FL33 * IF(abillity, 1, EG33 * EO33) * (Option!$D$25 * 0.81 / 100),
         1
       )
     )
   )
 ) + EQ33"),0.0)</f>
        <v>0</v>
      </c>
      <c r="FN33" s="206">
        <f t="shared" si="14"/>
        <v>640</v>
      </c>
      <c r="FO33" s="213"/>
    </row>
    <row r="34">
      <c r="B34" s="208"/>
      <c r="C34" s="217">
        <f t="shared" si="1"/>
        <v>0.0005902777778</v>
      </c>
      <c r="D34" s="224">
        <v>5.902777777777778E-4</v>
      </c>
      <c r="E34" s="227" t="s">
        <v>1076</v>
      </c>
      <c r="F34" s="167" t="s">
        <v>10</v>
      </c>
      <c r="G34" s="168"/>
      <c r="H34" s="169">
        <v>2000.0</v>
      </c>
      <c r="I34" s="169"/>
      <c r="J34" s="169"/>
      <c r="K34" s="170" t="b">
        <v>0</v>
      </c>
      <c r="L34" s="170" t="b">
        <v>0</v>
      </c>
      <c r="M34" s="170" t="b">
        <v>0</v>
      </c>
      <c r="N34" s="171" t="s">
        <v>1070</v>
      </c>
      <c r="O34" s="172" t="b">
        <v>0</v>
      </c>
      <c r="P34" s="173" t="b">
        <v>0</v>
      </c>
      <c r="Q34" s="173" t="b">
        <v>0</v>
      </c>
      <c r="R34" s="173" t="b">
        <v>0</v>
      </c>
      <c r="S34" s="174" t="b">
        <v>0</v>
      </c>
      <c r="T34" s="175" t="b">
        <v>0</v>
      </c>
      <c r="U34" s="173" t="b">
        <v>0</v>
      </c>
      <c r="V34" s="171" t="s">
        <v>1070</v>
      </c>
      <c r="W34" s="172" t="b">
        <v>0</v>
      </c>
      <c r="X34" s="173" t="b">
        <v>0</v>
      </c>
      <c r="Y34" s="173" t="b">
        <v>0</v>
      </c>
      <c r="Z34" s="173" t="b">
        <v>0</v>
      </c>
      <c r="AA34" s="174" t="b">
        <v>0</v>
      </c>
      <c r="AB34" s="174" t="b">
        <v>0</v>
      </c>
      <c r="AC34" s="175" t="b">
        <v>0</v>
      </c>
      <c r="AD34" s="173" t="b">
        <v>0</v>
      </c>
      <c r="AE34" s="176" t="s">
        <v>1070</v>
      </c>
      <c r="AF34" s="171" t="s">
        <v>1070</v>
      </c>
      <c r="AG34" s="177">
        <f>IFERROR(__xludf.DUMMYFUNCTION("IF(
  ISNUMBER(AG33),
  MIN(MAX(
    AG33
    + MAX(
      ROUNDDOWN(($D35 - MAX(IFERROR(FILTER($D$24:$D34, AG$24:AG33 &lt;&gt; AF$6, AG$23:AG32 = AF$6), 0))) * (60 * 60 * 24) / AF$9) - ROUNDDOWN(($D34 - MAX(IFERROR(FILTER($D$23:$D33, AG$23:AG32 &lt;&gt; AF$6, AG$22:"&amp;"AG31 = AF$6), 0))) * (60 * 60 * 24) / 60),
      0
    )
    - COUNTIF(AF34, ""&lt;&gt;-""),
  0), AF$6),
  AF$6 - COUNTIF(AF34, ""&lt;&gt;-"")
)"),2.0)</f>
        <v>2</v>
      </c>
      <c r="AH34" s="173" t="b">
        <v>0</v>
      </c>
      <c r="AI34" s="173" t="b">
        <v>0</v>
      </c>
      <c r="AJ34" s="173" t="b">
        <v>0</v>
      </c>
      <c r="AK34" s="174" t="b">
        <v>0</v>
      </c>
      <c r="AL34" s="175" t="b">
        <v>0</v>
      </c>
      <c r="AM34" s="173" t="b">
        <v>0</v>
      </c>
      <c r="AN34" s="171" t="s">
        <v>1070</v>
      </c>
      <c r="AO34" s="173" t="b">
        <v>0</v>
      </c>
      <c r="AP34" s="173" t="b">
        <v>0</v>
      </c>
      <c r="AQ34" s="173" t="b">
        <v>0</v>
      </c>
      <c r="AR34" s="174" t="b">
        <v>0</v>
      </c>
      <c r="AS34" s="178" t="b">
        <v>0</v>
      </c>
      <c r="AT34" s="179" t="b">
        <v>0</v>
      </c>
      <c r="AU34" s="180" t="b">
        <v>0</v>
      </c>
      <c r="AV34" s="180" t="b">
        <v>0</v>
      </c>
      <c r="AW34" s="180" t="b">
        <v>0</v>
      </c>
      <c r="AX34" s="180" t="b">
        <v>0</v>
      </c>
      <c r="AY34" s="181" t="s">
        <v>1070</v>
      </c>
      <c r="AZ34" s="181" t="s">
        <v>1070</v>
      </c>
      <c r="BA34" s="184">
        <f>IFERROR(__xludf.DUMMYFUNCTION("IF(
  ISNUMBER(BA33),
  MIN(MAX(
    BA33
    + MAX(
      ROUNDDOWN((D35 - MAX(IFERROR(FILTER(D$24:D34, BA$24:BA33 &lt;&gt; AZ$6, BA$23:BA32 = AZ$6), 0))) * (60 * 60 * 24) / AZ$9) - ROUNDDOWN((D34 - MAX(IFERROR(FILTER(D$23:D33, BA$23:BA32 &lt;&gt; AZ$6, BA$22:BA31 ="&amp;" AZ$6), 0))) * (60 * 60 * 24) / AZ$9),
      0
    )
    - COUNTIF(AZ34, ""&lt;&gt;-""),
  0), AZ$6),
  AZ$6 - COUNTIF(AZ34, ""&lt;&gt;-"")
)"),2.0)</f>
        <v>2</v>
      </c>
      <c r="BB34" s="181" t="s">
        <v>1070</v>
      </c>
      <c r="BC34" s="183">
        <f>IFERROR(__xludf.DUMMYFUNCTION("IF(
  ISNUMBER(BC33),
  MIN(MAX(
    BC33
    + MAX(
      ROUNDDOWN(($D35 - MAX(IFERROR(FILTER($D$24:$D34, BC$24:BC33 &lt;&gt; BB$6, BC$23:BC32 = BB$6), 0))) * (60 * 60 * 24) / BB$9) - ROUNDDOWN(($D34 - MAX(IFERROR(FILTER($D$23:$D33, BC$23:BC32 &lt;&gt; BB$6, BC$22:"&amp;"BC31 = BB$6), 0))) * (60 * 60 * 24) / 60),
      0
    )
    - COUNTIF(BB34, ""&lt;&gt;-""),
  0), BB$6),
  BB$6 - COUNTIF(BB34, ""&lt;&gt;-"")
)"),2.0)</f>
        <v>2</v>
      </c>
      <c r="BD34" s="181" t="s">
        <v>1070</v>
      </c>
      <c r="BE34" s="178" t="b">
        <v>0</v>
      </c>
      <c r="BF34" s="180" t="b">
        <v>0</v>
      </c>
      <c r="BG34" s="180" t="b">
        <v>0</v>
      </c>
      <c r="BH34" s="180" t="b">
        <v>0</v>
      </c>
      <c r="BI34" s="180" t="b">
        <v>0</v>
      </c>
      <c r="BJ34" s="180" t="b">
        <v>0</v>
      </c>
      <c r="BK34" s="180" t="b">
        <v>0</v>
      </c>
      <c r="BL34" s="180" t="b">
        <v>0</v>
      </c>
      <c r="BM34" s="180" t="b">
        <v>0</v>
      </c>
      <c r="BN34" s="180" t="b">
        <v>0</v>
      </c>
      <c r="BO34" s="181" t="s">
        <v>1070</v>
      </c>
      <c r="BP34" s="181" t="s">
        <v>1070</v>
      </c>
      <c r="BQ34" s="181" t="s">
        <v>1070</v>
      </c>
      <c r="BR34" s="181" t="s">
        <v>1070</v>
      </c>
      <c r="BS34" s="181" t="s">
        <v>1070</v>
      </c>
      <c r="BT34" s="184">
        <f>IFERROR(__xludf.DUMMYFUNCTION("IF(
  ISNUMBER(BT33),
  MIN(MAX(
    BT33
    + MAX(
      ROUNDDOWN((D35 - MAX(IFERROR(FILTER(D$24:D34, BT$24:BT33 &lt;&gt; BS$6, BT$23:BT32 = BS$6), 0))) * (60 * 60 * 24) / BS$9) - ROUNDDOWN((D34 - MAX(IFERROR(FILTER(D$23:D33, BT$23:BT32 &lt;&gt; BS$6, BT$22:BT31 ="&amp;" BS$6), 0))) * (60 * 60 * 24) / BS$9),
      0
    )
    - COUNTIF(BS34, ""&lt;&gt;-""),
  0), BS$6),
  BS$6 - COUNTIF(BS34, ""&lt;&gt;-"")
)"),3.0)</f>
        <v>3</v>
      </c>
      <c r="BU34" s="181" t="s">
        <v>1070</v>
      </c>
      <c r="BV34" s="181" t="s">
        <v>1070</v>
      </c>
      <c r="BW34" s="184">
        <f>IFERROR(__xludf.DUMMYFUNCTION("IF(
  ISNUMBER(BW33),
  MIN(MAX(
    BW33
    + MAX(
      ROUNDDOWN((D35 - MAX(IFERROR(FILTER(D$24:D34, BW$24:BW33 &lt;&gt; BV$6, BW$23:BW32 = BV$6), 0))) * (60 * 60 * 24) / BV$9) - ROUNDDOWN((D34 - MAX(IFERROR(FILTER(D$23:D33, BW$23:BW32 &lt;&gt; BV$6, BW$22:BW31 ="&amp;" BV$6), 0))) * (60 * 60 * 24) / BV$9),
      0
    )
    - COUNTIF(BV34, ""&lt;&gt;-""),
  0), BV$6),
  BV$6 - COUNTIF(BV34, ""&lt;&gt;-"")
)"),2.0)</f>
        <v>2</v>
      </c>
      <c r="BX34" s="185" t="s">
        <v>1070</v>
      </c>
      <c r="BY34" s="178" t="b">
        <v>0</v>
      </c>
      <c r="BZ34" s="180" t="b">
        <v>0</v>
      </c>
      <c r="CA34" s="180" t="b">
        <v>0</v>
      </c>
      <c r="CB34" s="180" t="b">
        <v>0</v>
      </c>
      <c r="CC34" s="180" t="b">
        <v>0</v>
      </c>
      <c r="CD34" s="180" t="b">
        <v>0</v>
      </c>
      <c r="CE34" s="180" t="b">
        <v>0</v>
      </c>
      <c r="CF34" s="180" t="b">
        <v>0</v>
      </c>
      <c r="CG34" s="180" t="b">
        <v>0</v>
      </c>
      <c r="CH34" s="180" t="b">
        <v>0</v>
      </c>
      <c r="CI34" s="180" t="b">
        <v>0</v>
      </c>
      <c r="CJ34" s="180" t="b">
        <v>0</v>
      </c>
      <c r="CK34" s="180" t="b">
        <v>0</v>
      </c>
      <c r="CL34" s="180" t="b">
        <v>0</v>
      </c>
      <c r="CM34" s="181" t="s">
        <v>1070</v>
      </c>
      <c r="CN34" s="181" t="s">
        <v>1070</v>
      </c>
      <c r="CO34" s="181" t="s">
        <v>1070</v>
      </c>
      <c r="CP34" s="181" t="s">
        <v>1070</v>
      </c>
      <c r="CQ34" s="185" t="s">
        <v>1070</v>
      </c>
      <c r="CR34" s="180" t="b">
        <v>0</v>
      </c>
      <c r="CS34" s="186" t="str">
        <f t="shared" si="3"/>
        <v>◇◇◇</v>
      </c>
      <c r="CT34" s="178" t="b">
        <v>0</v>
      </c>
      <c r="CU34" s="180" t="b">
        <v>0</v>
      </c>
      <c r="CV34" s="180" t="b">
        <v>0</v>
      </c>
      <c r="CW34" s="180" t="b">
        <v>0</v>
      </c>
      <c r="CX34" s="180" t="b">
        <v>0</v>
      </c>
      <c r="CY34" s="180" t="b">
        <v>0</v>
      </c>
      <c r="CZ34" s="180" t="b">
        <v>0</v>
      </c>
      <c r="DA34" s="180" t="b">
        <v>0</v>
      </c>
      <c r="DB34" s="180" t="b">
        <v>0</v>
      </c>
      <c r="DC34" s="180" t="b">
        <v>0</v>
      </c>
      <c r="DD34" s="181" t="s">
        <v>1070</v>
      </c>
      <c r="DE34" s="181" t="s">
        <v>1070</v>
      </c>
      <c r="DF34" s="181" t="s">
        <v>1070</v>
      </c>
      <c r="DG34" s="185" t="s">
        <v>1070</v>
      </c>
      <c r="DH34" s="180" t="b">
        <v>0</v>
      </c>
      <c r="DI34" s="187" t="str">
        <f>IFERROR(__xludf.DUMMYFUNCTION("SWITCH(
  IF(
    ISTEXT(DI33),
    IF (
      FIND(""○"", DI33&amp;""○"") &gt; 3,
      3,
      FIND(""○"", DI33&amp;""○"")
      + MAX(
        ROUNDDOWN(($D35 - MAX(IFERROR(FILTER(D$24:D34, DI$24:DI33 &lt;&gt; ""●●●"", DI$23:DI32 = ""●●●""), 0))) * (60 * 60 * 24) / 20"&amp;") - ROUNDDOWN(($D34 - MAX(IFERROR(FILTER(D$23:D33, DI$23:DI32 &lt;&gt; ""●●●"", DI$22:DI31 = ""●●●""), 0))) * (60 * 60 * 24) / 20),
        0
      ) - 1
    ) - COUNTIFS(CU34, ""=TRUE"", CU33, ""&lt;&gt;TRUE"") - COUNTIF(CZ34, ""=TRUE"") - COUNTIF({DD34,DE34}, ""&lt;&gt;-"&amp;""") + COUNTIF(DH34, ""=TRUE""),
    3
  ),
  0, ""○○○"", 1, ""●○○"", 2, ""●●○"", 3, ""●●●"", 4, ""●●●"", ""○○○""
)"),"●●●")</f>
        <v>●●●</v>
      </c>
      <c r="DJ34" s="188" t="b">
        <v>0</v>
      </c>
      <c r="DK34" s="189" t="b">
        <v>0</v>
      </c>
      <c r="DL34" s="190" t="b">
        <v>0</v>
      </c>
      <c r="DM34" s="190" t="b">
        <v>0</v>
      </c>
      <c r="DN34" s="190" t="b">
        <v>0</v>
      </c>
      <c r="DO34" s="190" t="b">
        <v>0</v>
      </c>
      <c r="DP34" s="190" t="b">
        <v>0</v>
      </c>
      <c r="DQ34" s="191" t="b">
        <v>0</v>
      </c>
      <c r="DR34" s="192" t="b">
        <v>0</v>
      </c>
      <c r="DS34" s="191" t="b">
        <v>0</v>
      </c>
      <c r="DT34" s="192" t="b">
        <v>0</v>
      </c>
      <c r="DU34" s="191" t="b">
        <v>0</v>
      </c>
      <c r="DV34" s="193" t="s">
        <v>1070</v>
      </c>
      <c r="DW34" s="194" t="b">
        <v>0</v>
      </c>
      <c r="DX34" s="194" t="b">
        <v>0</v>
      </c>
      <c r="DY34" s="195" t="b">
        <v>0</v>
      </c>
      <c r="DZ34" s="196" t="b">
        <v>0</v>
      </c>
      <c r="EA34" s="195" t="b">
        <v>0</v>
      </c>
      <c r="EB34" s="197" t="b">
        <v>0</v>
      </c>
      <c r="EC34" s="197" t="b">
        <v>0</v>
      </c>
      <c r="ED34" s="212" t="b">
        <v>0</v>
      </c>
      <c r="EE34" s="199">
        <f>IFERROR(__xludf.DUMMYFUNCTION("IFERROR(
   PRODUCT(
     MAP(
       INDEX(TRANSPOSE(UNIQUE(TRANSPOSE(FILTER({IF($F34=""Physical"", K$10:ED$10, IF($F34=""Magic"", K$11:ED$11, K$12:ED$12));K$4:ED$4;K34:ED34}, K34:ED34=TRUE)))), 1, 0),
       INDEX(TRANSPOSE(UNIQUE(TRANSPOSE(FILTER({IF($"&amp;"F34=""Physical"", K$18:ED$18, IF($F34=""Magic"", K$19:ED$19, K$20:ED$20));K$4:ED$4;K34:ED34}, K34:ED34=TRUE)))), 1, 0),
       INDEX(TRANSPOSE(UNIQUE(TRANSPOSE(FILTER({K$5:ED$5;K$4:ED$4;K34:ED34}, K34:ED34=TRUE)))), 1, 0),
       INDEX(TRANSPOSE(UNIQUE(TR"&amp;"ANSPOSE(FILTER({K$17:ED$17;K$4:ED$4;K34:ED34}, K34:ED34=TRUE)))), 1, 0),
       LAMBDA(
         mitigation,
         enhance,
         assign,
         precondition,
         IF(
           REGEXMATCH(assign, ""RANGE_PARTY|SINGLE_ENEMY|RANGE_ENEMY""),
  "&amp;"         IF(
             OR(ARRAYFORMULA((IF(precondition="""", FALSE, REGEXMATCH(K$4:ED$4, precondition))) * (K34:ED34=TRUE))),
             IF(ISNUMBER(enhance), enhance, 1),
             IF(ISNUMBER(mitigation), mitigation, 1)
           ),
          "&amp;" 1
         )
       )
     )
   ),
   1
 )"),1.0)</f>
        <v>1</v>
      </c>
      <c r="EF34" s="200">
        <f>IFERROR(__xludf.DUMMYFUNCTION("PRODUCT(
   MAP(
     K$14:ED$14,
     K$13:ED$13,
     K34:ED34,
     LAMBDA(
       buff,
       target,
       check,
       IF(
         AND(check=TRUE, REGEXMATCH(target, ""RANGE_AFFECTED_ALL|RANGE_EFFECTED_ALL""), ISNUMBER(buff)),
         buff,
   "&amp;"      1
       )
     )
   )
 )"),1.0)</f>
        <v>1</v>
      </c>
      <c r="EG34" s="200">
        <f>IFERROR(__xludf.DUMMYFUNCTION("PRODUCT(
   MAP(
     K$14:ED$14,
     K$13:ED$13,
     K34:ED34,
     LAMBDA(
       buff,
       target,
       check,
       IF(
         AND(check=TRUE, REGEXMATCH(target, ""RANGE_AFFECTED_GCD|RANGE_EFFECTED_GCD""), ISNUMBER(buff)),
         buff,
   "&amp;"      1
       )
     )
   )
 )"),1.0)</f>
        <v>1</v>
      </c>
      <c r="EH34" s="200">
        <f>IFERROR(__xludf.DUMMYFUNCTION("PRODUCT(
   MAP(
     K$3:ED$3,
     K$14:ED$14,
     K$13:ED$13,
     K34:ED34,
     LAMBDA(
       job,
       buff,
       target,
       check,
       IF(
         AND(check=TRUE, REGEXMATCH(target, ""SELF_EFFECTED_ALL""), ISNUMBER(buff), job=""白魔道士"""&amp;"),
         buff,
         1
       )
     )
   )
 )"),1.0)</f>
        <v>1</v>
      </c>
      <c r="EI34" s="200">
        <f>IFERROR(__xludf.DUMMYFUNCTION("PRODUCT(
   MAP(
     K$3:ED$3,
     K$14:ED$14,
     K$13:ED$13,
     K34:ED34,
     LAMBDA(
       job,
       buff,
       target,
       check,
       IF(
         AND(check=TRUE, REGEXMATCH(target, ""SELF_EFFECTED_GCD""), ISNUMBER(buff), job=""白魔道士"""&amp;"),
         buff,
         1
       )
     )
   )
 )"),1.0)</f>
        <v>1</v>
      </c>
      <c r="EJ34" s="200">
        <f>IFERROR(__xludf.DUMMYFUNCTION("PRODUCT(
   MAP(
     K$3:ED$3,
     K$14:ED$14,
     K$13:ED$13,
     K34:ED34,
     LAMBDA(
       job,
       buff,
       target,
       check,
       IF(
         AND(check=TRUE, REGEXMATCH(target, ""SELF_EFFECTED_ALL""), ISNUMBER(buff), job=""占星術師"""&amp;"),
         buff,
         1
       )
     )
   )
 )"),1.0)</f>
        <v>1</v>
      </c>
      <c r="EK34" s="200">
        <f>IFERROR(__xludf.DUMMYFUNCTION("PRODUCT(
   MAP(
     K$3:ED$3,
     K$14:ED$14,
     K$13:ED$13,
     K34:ED34,
     LAMBDA(
       job,
       buff,
       target,
       check,
       IF(
         AND(check=TRUE, REGEXMATCH(target, ""SELF_EFFECTED_GCD""), ISNUMBER(buff), job=""占星術師"""&amp;"),
         buff,
         1
       )
     )
   )
 )"),1.0)</f>
        <v>1</v>
      </c>
      <c r="EL34" s="200">
        <f>IFERROR(__xludf.DUMMYFUNCTION("PRODUCT(
   MAP(
     K$3:ED$3,
     K$14:ED$14,
     K$13:ED$13,
     K34:ED34,
     LAMBDA(
       job,
       buff,
       target,
       check,
       IF(
         AND(check=TRUE, REGEXMATCH(target, ""SELF_EFFECTED_ALL""), ISNUMBER(buff), job=""学者""),"&amp;"
         buff,
         1
       )
     )
   )
 )"),1.0)</f>
        <v>1</v>
      </c>
      <c r="EM34" s="200">
        <f>IFERROR(__xludf.DUMMYFUNCTION("PRODUCT(
   MAP(
     K$3:ED$3,
     K$14:ED$14,
     K$13:ED$13,
     K34:ED34,
     LAMBDA(
       job,
       buff,
       target,
       check,
       IF(
         AND(check=TRUE, REGEXMATCH(target, ""SELF_EFFECTED_GCD""), ISNUMBER(buff), job=""学者""),"&amp;"
         buff,
         1
       )
     )
   )
 )"),1.0)</f>
        <v>1</v>
      </c>
      <c r="EN34" s="200">
        <f>IFERROR(__xludf.DUMMYFUNCTION("PRODUCT(
   MAP(
     K$3:ED$3,
     K$14:ED$14,
     K$13:ED$13,
     K34:ED34,
     LAMBDA(
       job,
       buff,
       target,
       check,
       IF(
         AND(check=TRUE, REGEXMATCH(target, ""SELF_EFFECTED_ALL""), ISNUMBER(buff), job=""賢者""),"&amp;"
         buff,
         1
       )
     )
   )
 )"),1.0)</f>
        <v>1</v>
      </c>
      <c r="EO34" s="200">
        <f>IFERROR(__xludf.DUMMYFUNCTION("PRODUCT(
   MAP(
     K$3:ED$3,
     K$14:ED$14,
     K$13:ED$13,
     K34:ED34,
     LAMBDA(
       job,
       buff,
       target,
       check,
       IF(
         AND(check=TRUE, REGEXMATCH(target, ""SELF_EFFECTED_GCD""), ISNUMBER(buff), job=""賢者""),"&amp;"
         buff,
         1
       )
     )
   )
 )"),1.0)</f>
        <v>1</v>
      </c>
      <c r="EP34" s="201">
        <f t="shared" si="4"/>
        <v>2000</v>
      </c>
      <c r="EQ34" s="201">
        <f>IFERROR(__xludf.DUMMYFUNCTION("SUM(
   MAP(
     K$4:ED$4,
     K$3:ED$3,
     K$7:ED$7,
     K$15:ED$15,
     K$16:ED$16,
     K$21:ED$21,
     K$5:ED$5,
     K$17:ED$17,
     K34:ED34,
     LAMBDA(
       name,
       job,
       abillity,
       buff,
       barrier,
       enhance,"&amp;"
       assign,
       precondition,
       check,
       SWITCH(
         name,
         ""シェイクオフ"", IF(check=TRUE, buff + (0.02 * COUNTIF(ARRAYFORMULA((REGEXMATCH($K$4:$ED$4, ""スリル・オブ・バトル|ヴェンジェンス|原初の血気|ダムネーション"")) * (K34:ED34=TRUE)), 1)), 0),
         "&amp;"""インプロビゼーションフィニッシュ(踊りの激情0)"", IF(ISNUMBER(check), INDEX(Skill!$AJ:$AJ, MATCH(SUBSTITUTE(DV$4, 0, check), Skill!$C:$C, 0)), 0),
         IF(
           AND(check=TRUE, REGEXMATCH(assign, ""RANGE_PARTY"")),
           IF(
             OR(ARRAYFORMULA((IF(pr"&amp;"econdition="""", FALSE, REGEXMATCH($K$4:$ED$4, precondition))) * (K34:ED34=TRUE))),
             enhance,
             IF(barrier="""", buff, barrier)
           ),
           0
         )
       ) *
       SWITCH(
         job,
         ""ナイト"", EY$24,
 "&amp;"        ""戦士"", FD$24,
         ""踊り子"", ET$24,
         ""ピクトマンサー"", ET$24,
         ""白魔道士"", EF34 * EH34 * IF(abillity, 1, EG34 * EI34) * (Option!$D$22 * 0.81 / 100),
         ""占星術師"", EF34 * EJ34 * IF(abillity, 1, EG34 * EK34) * (Option!$D$23 * 0.81 "&amp;"/ 100),
         ""学者"", EF34 * EL34 * IF(abillity, 1, EG34 * EM34) * (Option!$D$24 * 0.81 / 100),
         ""賢者"", EF34 * EN34 * IF(abillity, 1, EG34 * EO34) * (Option!$D$25 * 0.81 / 100),
         1
       )
     )
   )
 )"),0.0)</f>
        <v>0</v>
      </c>
      <c r="ER34" s="202">
        <f t="shared" si="5"/>
        <v>2000</v>
      </c>
      <c r="ES34" s="203">
        <f t="shared" si="6"/>
        <v>0</v>
      </c>
      <c r="ET34" s="204" t="str">
        <f>IFERROR(__xludf.DUMMYFUNCTION("IFS(
  EP34 &gt; $ET$24 + EQ34,
  SPARKLINE({ 1, 0 }, {""charttype"",""bar"";""max"", 1;""color1"",Option!$D$30;""color2"",Option!$D$30}),
  EP34 &lt; EQ34,
  SPARKLINE({EQ34 - EP34, $ET$24 - (EQ34 - EP34)}, {""charttype"",""bar"";""max"",$ET$24;""color1"",Opti"&amp;"on!$D$28;""color2"",Option!$D$29}),
  EP34 &gt;= EQ34,
  SPARKLINE({$ET$24 + EQ34 - EP34,EP34 - EQ34}, {""charttype"",""bar"";""max"",$ET$24;""color1"",Option!$D$29;""color2"",Option!$D$30})
)"),"")</f>
        <v/>
      </c>
      <c r="EU34" s="205">
        <f>IFERROR(__xludf.DUMMYFUNCTION("PRODUCT(
   MAP(
     IF($F34=""Physical"", K$10:ED$10, IF($F34=""Magic"", K$11:ED$11, K$12:ED$12)),
     IF($F34=""Physical"", K$18:ED$18, IF($F34=""Magic"", K$19:ED$19, K$20:ED$20)),
     K$3:ED$3,
     K$5:ED$5,
     K$17:ED$17,
     K34:ED34,
     LAM"&amp;"BDA(
       mitigation,
       enhance,
       job,
       assign,
       precondition,
       check,
       IF(
         OR(AND(check=TRUE, REGEXMATCH(assign, ""SELF""), job=""ナイト""), AND(check=Option!$E$13, REGEXMATCH(assign, ""SINGLE_PARTY""))),
      "&amp;"   IF(
           OR(ARRAYFORMULA((IF(precondition="""", FALSE, REGEXMATCH($K$4:$ED$4, precondition))) * (K34:ED34=TRUE))),
           enhance,
           mitigation
         ),
         1
       )
     )
   )
 ) * EE34"),1.0)</f>
        <v>1</v>
      </c>
      <c r="EV34" s="206">
        <f t="shared" si="7"/>
        <v>1600</v>
      </c>
      <c r="EW34" s="205">
        <f>IFERROR(__xludf.DUMMYFUNCTION("PRODUCT(
   MAP(
     K$3:ED$3,
     K$14:ED$14,
     K$13:ED$13,
     K34:ED34,
     LAMBDA(
       job,
       buff,
       target,
       check,
       IF(
         OR(AND(check=TRUE, REGEXMATCH(target, ""SELF_AFFECTED_ALL""), job=""ナイト""), AND(check=O"&amp;"ption!$E$13, REGEXMATCH(target, ""SINGLE_AFFECTED_ALL""))),
         buff,
         1
       )
     )
   )
 )"),1.0)</f>
        <v>1</v>
      </c>
      <c r="EX34" s="206">
        <f>IFERROR(__xludf.DUMMYFUNCTION("SUM(
   MAP(
     K$3:ED$3,
     K$7:ED$7,
     K$15:ED$15,
     K$16:ED$16,
     K$21:ED$21,
     K$5:ED$5,
     K$17:ED$17,
     K34:ED34,
     LAMBDA(
       job,
       abillity,
       buff,
       barrier,
       enhance,
       assign,
       preco"&amp;"ndition,
       check,
       IF(
         OR(AND(check=TRUE, REGEXMATCH(assign, ""SELF""), job=""ナイト""), AND(check=Option!$E$13, REGEXMATCH(assign, ""SINGLE_PARTY""))),
         IF(
           OR(ARRAYFORMULA((IF(precondition="""", FALSE, REGEXMATCH($K$4"&amp;":$ED$4, precondition))) * (K34:ED34=TRUE))),
           enhance,
           IF(barrier="""", buff, barrier)
         ),
         0
       ) *
       SWITCH(
         job,
         ""暗黒騎士"", EY$24,
         ""白魔道士"", EF34 * EH34 * EW34 * IF(abillity, 1, EG"&amp;"34 * EI34) * (Option!$D$22 * 0.81 / 100),
         ""占星術師"", EF34 * EJ34 * EW34 * IF(abillity, 1, EG34 * EK34) * (Option!$D$23 * 0.81 / 100),
         ""学者"", EF34 * EL34 * EW34 * IF(abillity, 1, EG34 * EM34) * (Option!$D$24 * 0.81 / 100),
         ""賢者"""&amp;", EF34 * EN34 * EW34 * IF(abillity, 1, EG34 * EO34) * (Option!$D$25 * 0.81 / 100),
         1
       )
     )
   )
 ) + EQ34"),0.0)</f>
        <v>0</v>
      </c>
      <c r="EY34" s="206">
        <f t="shared" si="8"/>
        <v>1600</v>
      </c>
      <c r="EZ34" s="205">
        <f>IFERROR(__xludf.DUMMYFUNCTION("PRODUCT(
   MAP(
     IF($F34=""Physical"", K$10:ED$10, IF($F34=""Magic"", K$11:ED$11, K$12:ED$12)),
     IF($F34=""Physical"", K$18:ED$18, IF($F34=""Magic"", K$19:ED$19, K$20:ED$20)),
     K$3:ED$3,
     K$5:ED$5,
     K$17:ED$17,
     K34:ED34,
     LAM"&amp;"BDA(
       mitigation,
       enhance,
       job,
       assign,
       precondition,
       check,
       IF(
         OR(AND(check=TRUE, REGEXMATCH(assign, ""SELF""), job=""戦士""), AND(check=Option!$F$13, REGEXMATCH(assign, ""SINGLE_PARTY""))),
       "&amp;"  IF(
           OR(ARRAYFORMULA((IF(precondition="""", FALSE, REGEXMATCH($K$4:$ED$4, precondition))) * (K34:ED34=TRUE))),
           enhance,
           mitigation
         ),
         1
       )
     )
   )
 ) * EE34"),1.0)</f>
        <v>1</v>
      </c>
      <c r="FA34" s="206">
        <f t="shared" si="9"/>
        <v>1600</v>
      </c>
      <c r="FB34" s="205">
        <f>IFERROR(__xludf.DUMMYFUNCTION("PRODUCT(
   MAP(
     K$3:ED$3,
     K$14:ED$14,
     K$13:ED$13,
     K34:ED34,
     LAMBDA(
       job,
       buff,
       target,
       check,
       IF(
         OR(AND(check=TRUE, REGEXMATCH(target, ""SELF_AFFECTED_ALL""), job=""戦士""), AND(check=Op"&amp;"tion!$F$13, REGEXMATCH(target, ""SINGLE_AFFECTED_ALL""))),
         buff,
         1
       )
     )
   )
 )"),1.0)</f>
        <v>1</v>
      </c>
      <c r="FC34" s="206">
        <f>IFERROR(__xludf.DUMMYFUNCTION("SUM(
   MAP(
     K$3:ED$3,
     K$7:ED$7,
     K$15:ED$15,
     K$16:ED$16,
     K$21:ED$21,
     K$5:ED$5,
     K$17:ED$17,
     K34:ED34,
     LAMBDA(
       job,
       abillity,
       buff,
       barrier,
       enhance,
       assign,
       preco"&amp;"ndition,
       check,
       IF(
         OR(AND(check=TRUE, REGEXMATCH(assign, ""SELF""), job=""戦士""), AND(check=Option!$F$13, REGEXMATCH(assign, ""SINGLE_PARTY""))),
         IF(
           OR(ARRAYFORMULA((IF(precondition="""", FALSE, REGEXMATCH($K$4:"&amp;"$ED$4, precondition))) * (K34:ED34=TRUE))),
           enhance,
           IF(barrier="""", buff, barrier)
         ),
         0
       ) *
       SWITCH(
         job,
         ""暗黒騎士"", FD$24,
         ""白魔道士"", EF34 * EH34 * FB34 * IF(abillity, 1, EG3"&amp;"4 * EI34) * (Option!$D$22 * 0.81 / 100),
         ""占星術師"", EF34 * EJ34 * FFB34 * IF(abillity, 1, EG34 * EK34) * (Option!$D$23 * 0.81 / 100),
         ""学者"", EF34 * EL34 * FB34 * IF(abillity, 1, EG34 * EM34) * (Option!$D$24 * 0.81 / 100),
         ""賢者"""&amp;", EF34 * EN34 * FB34 * IF(abillity, 1, EG34 * EO34) * (Option!$D$25 * 0.81 / 100),
         1
       )
     )
   )
 ) + EQ34"),0.0)</f>
        <v>0</v>
      </c>
      <c r="FD34" s="206">
        <f t="shared" si="10"/>
        <v>1600</v>
      </c>
      <c r="FE34" s="205">
        <f>IFERROR(__xludf.DUMMYFUNCTION("PRODUCT(
   MAP(
     IF($F34=""Physical"", K$10:ED$10, IF($F34=""Magic"", K$11:ED$11, K$12:ED$12)),
     IF($F34=""Physical"", K$18:ED$18, IF($F34=""Magic"", K$19:ED$19, K$20:ED$20)),
     K$3:ED$3,
     K$5:ED$5,
     K$17:ED$17,
     K34:ED34,
     LAM"&amp;"BDA(
       mitigation,
       enhance,
       job,
       assign,
       precondition,
       check,
       IF(
         OR(AND(check=TRUE, REGEXMATCH(assign, ""SELF""), job=""暗黒騎士""), AND(check=Option!$G$13, REGEXMATCH(assign, ""SINGLE_PARTY""))),
     "&amp;"    IF(
           OR(ARRAYFORMULA((IF(precondition="""", FALSE, REGEXMATCH($K$4:$ED$4, precondition))) * (K34:ED34=TRUE))),
           enhance,
           mitigation
         ),
         1
       )
     )
   )
 ) * EE34"),1.0)</f>
        <v>1</v>
      </c>
      <c r="FF34" s="206">
        <f t="shared" si="11"/>
        <v>1600</v>
      </c>
      <c r="FG34" s="205">
        <f>IFERROR(__xludf.DUMMYFUNCTION("PRODUCT(
   MAP(
     K$3:ED$3,
     K$14:ED$14,
     K$13:ED$13,
     K34:ED34,
     LAMBDA(
       job,
       buff,
       target,
       check,
       IF(
         OR(AND(check=TRUE, REGEXMATCH(target, ""SELF_AFFECTED_ALL""), job=""暗黒騎士""), AND(check="&amp;"Option!$G$13, REGEXMATCH(target, ""SINGLE_AFFECTED_ALL""))),
         buff,
         1
       )
     )
   )
 )"),1.0)</f>
        <v>1</v>
      </c>
      <c r="FH34" s="206">
        <f>IFERROR(__xludf.DUMMYFUNCTION("SUM(
   MAP(
     K$3:ED$3,
     K$7:ED$7,
     K$15:ED$15,
     K$16:ED$16,
     K$21:ED$21,
     K$5:ED$5,
     K$17:ED$17,
     K34:ED34,
     LAMBDA(
       job,
       abillity,
       buff,
       barrier,
       enhance,
       assign,
       preco"&amp;"ndition,
       check,
       IF(
         OR(AND(check=TRUE, REGEXMATCH(assign, ""SELF""), job=""暗黒騎士""), AND(check=Option!$G$13, REGEXMATCH(assign, ""SINGLE_PARTY""))),
         IF(
           OR(ARRAYFORMULA((IF(precondition="""", FALSE, REGEXMATCH($K$"&amp;"4:$ED$4, precondition))) * (K34:ED34=TRUE))),
           enhance,
           IF(barrier="""", buff, barrier)
         ),
         0
       ) *
       SWITCH(
         job,
         ""暗黒騎士"", FI$24,
         ""白魔道士"", EF34 * EH34 * FG34 * IF(abillity, 1, E"&amp;"G34 * EI34) * (Option!$D$22 * 0.81 / 100),
         ""占星術師"", EF34 * EJ34 * FG34 * IF(abillity, 1, EG34 * EK34) * (Option!$D$23 * 0.81 / 100),
         ""学者"", EF34 * EL34 * FG34 * IF(abillity, 1, EG34 * EM34) * (Option!$D$24 * 0.81 / 100),
         ""賢者"&amp;""", EF34 * EN34 * FG34 * IF(abillity, 1, EG34 * EO34) * (Option!$D$25 * 0.81 / 100),
         1
       )
     )
   )
 ) + EQ34"),0.0)</f>
        <v>0</v>
      </c>
      <c r="FI34" s="206">
        <f t="shared" si="12"/>
        <v>1600</v>
      </c>
      <c r="FJ34" s="205">
        <f>IFERROR(__xludf.DUMMYFUNCTION("PRODUCT(
   MAP(
     IF($F34=""Physical"", K$10:ED$10, IF($F34=""Magic"", K$11:ED$11, K$12:ED$12)),
     IF($F34=""Physical"", K$18:ED$18, IF($F34=""Magic"", K$19:ED$19, K$20:ED$20)),
     K$3:ED$3,
     K$5:ED$5,
     K$17:ED$17,
     K34:ED34,
     LAM"&amp;"BDA(
       mitigation,
       enhance,
       job,
       assign,
       precondition,
       check,
       IF(
         OR(AND(check=TRUE, REGEXMATCH(assign, ""SELF""), job=""ガンブレイカー""), AND(check=Option!$H$13, REGEXMATCH(assign, ""SINGLE_PARTY""))),
  "&amp;"       IF(
           OR(ARRAYFORMULA((IF(precondition="""", FALSE, REGEXMATCH($K$4:$ED$4, precondition))) * (K34:ED34=TRUE))),
           enhance,
           mitigation
         ),
         1
       )
     )
   )
 ) * EE34"),1.0)</f>
        <v>1</v>
      </c>
      <c r="FK34" s="206">
        <f t="shared" si="13"/>
        <v>1600</v>
      </c>
      <c r="FL34" s="205">
        <f>IFERROR(__xludf.DUMMYFUNCTION("PRODUCT(
   MAP(
     K$3:ED$3,
     K$14:ED$14,
     K$13:ED$13,
     K34:ED34,
     LAMBDA(
       job,
       buff,
       target,
       check,
       IF(
         OR(AND(check=TRUE, REGEXMATCH(target, ""SELF_AFFECTED_ALL""), job=""ガンブレイカー""), AND(che"&amp;"ck=Option!$H$13, REGEXMATCH(target, ""SINGLE_AFFECTED_ALL""))),
         buff,
         1
       )
     )
   )
 )"),1.0)</f>
        <v>1</v>
      </c>
      <c r="FM34" s="206">
        <f>IFERROR(__xludf.DUMMYFUNCTION("SUM(
   MAP(
     K$3:ED$3,
     K$7:ED$7,
     K$15:ED$15,
     K$16:ED$16,
     K$21:ED$21,
     K$5:ED$5,
     K$17:ED$17,
     K34:ED34,
     LAMBDA(
       job,
       abillity,
       buff,
       barrier,
       enhance,
       assign,
       preco"&amp;"ndition,
       check,
       IF(
         OR(AND(check=TRUE, REGEXMATCH(assign, ""SELF""), job=""ガンブレイカー""), AND(check=Option!$H$13, REGEXMATCH(assign, ""SINGLE_PARTY""))),
         IF(
           OR(ARRAYFORMULA((IF(precondition="""", FALSE, REGEXMATCH("&amp;"$K$4:$ED$4, precondition))) * (K34:ED34=TRUE))),
           enhance,
           IF(barrier="""", buff, barrier)
         ),
         0
       ) *
       SWITCH(
         job,
         ""暗黒騎士"", FN$24,
         ""白魔道士"", EF34 * EH34 * FL34 * IF(abillity, 1"&amp;", EG34 * EI34) * (Option!$D$22 * 0.81 / 100),
         ""占星術師"", EF34 * EJ34 * FL34 * IF(abillity, 1, EG34 * EK34) * (Option!$D$23 * 0.81 / 100),
         ""学者"", EF34 * EL34 * FL34 * IF(abillity, 1, EG34 * EM34) * (Option!$D$24 * 0.81 / 100),
         """&amp;"賢者"", EF34 * EN34 * FL34 * IF(abillity, 1, EG34 * EO34) * (Option!$D$25 * 0.81 / 100),
         1
       )
     )
   )
 ) + EQ34"),0.0)</f>
        <v>0</v>
      </c>
      <c r="FN34" s="206">
        <f t="shared" si="14"/>
        <v>1600</v>
      </c>
      <c r="FO34" s="213"/>
    </row>
    <row r="35">
      <c r="B35" s="208"/>
      <c r="C35" s="217">
        <f t="shared" si="1"/>
        <v>0.0006944444444</v>
      </c>
      <c r="D35" s="225">
        <v>6.944444444444445E-4</v>
      </c>
      <c r="E35" s="228" t="s">
        <v>1073</v>
      </c>
      <c r="F35" s="167" t="s">
        <v>11</v>
      </c>
      <c r="G35" s="168"/>
      <c r="H35" s="169">
        <v>22500.0</v>
      </c>
      <c r="I35" s="169"/>
      <c r="J35" s="169"/>
      <c r="K35" s="170" t="b">
        <v>0</v>
      </c>
      <c r="L35" s="170" t="b">
        <v>0</v>
      </c>
      <c r="M35" s="170" t="b">
        <v>0</v>
      </c>
      <c r="N35" s="171" t="s">
        <v>1070</v>
      </c>
      <c r="O35" s="172" t="b">
        <v>0</v>
      </c>
      <c r="P35" s="173" t="b">
        <v>0</v>
      </c>
      <c r="Q35" s="173" t="b">
        <v>0</v>
      </c>
      <c r="R35" s="173" t="b">
        <v>0</v>
      </c>
      <c r="S35" s="174" t="b">
        <v>0</v>
      </c>
      <c r="T35" s="175" t="b">
        <v>0</v>
      </c>
      <c r="U35" s="173" t="b">
        <v>0</v>
      </c>
      <c r="V35" s="171" t="s">
        <v>1070</v>
      </c>
      <c r="W35" s="172" t="b">
        <v>0</v>
      </c>
      <c r="X35" s="173" t="b">
        <v>0</v>
      </c>
      <c r="Y35" s="173" t="b">
        <v>0</v>
      </c>
      <c r="Z35" s="173" t="b">
        <v>0</v>
      </c>
      <c r="AA35" s="174" t="b">
        <v>0</v>
      </c>
      <c r="AB35" s="174" t="b">
        <v>0</v>
      </c>
      <c r="AC35" s="175" t="b">
        <v>0</v>
      </c>
      <c r="AD35" s="173" t="b">
        <v>0</v>
      </c>
      <c r="AE35" s="176" t="s">
        <v>1070</v>
      </c>
      <c r="AF35" s="171" t="s">
        <v>1070</v>
      </c>
      <c r="AG35" s="177">
        <f>IFERROR(__xludf.DUMMYFUNCTION("IF(
  ISNUMBER(AG34),
  MIN(MAX(
    AG34
    + MAX(
      ROUNDDOWN(($D36 - MAX(IFERROR(FILTER($D$24:$D35, AG$24:AG34 &lt;&gt; AF$6, AG$23:AG33 = AF$6), 0))) * (60 * 60 * 24) / AF$9) - ROUNDDOWN(($D35 - MAX(IFERROR(FILTER($D$23:$D34, AG$23:AG33 &lt;&gt; AF$6, AG$22:"&amp;"AG32 = AF$6), 0))) * (60 * 60 * 24) / 60),
      0
    )
    - COUNTIF(AF35, ""&lt;&gt;-""),
  0), AF$6),
  AF$6 - COUNTIF(AF35, ""&lt;&gt;-"")
)"),2.0)</f>
        <v>2</v>
      </c>
      <c r="AH35" s="173" t="b">
        <v>0</v>
      </c>
      <c r="AI35" s="173" t="b">
        <v>0</v>
      </c>
      <c r="AJ35" s="173" t="b">
        <v>0</v>
      </c>
      <c r="AK35" s="174" t="b">
        <v>0</v>
      </c>
      <c r="AL35" s="175" t="b">
        <v>0</v>
      </c>
      <c r="AM35" s="173" t="b">
        <v>0</v>
      </c>
      <c r="AN35" s="171" t="s">
        <v>1070</v>
      </c>
      <c r="AO35" s="173" t="b">
        <v>0</v>
      </c>
      <c r="AP35" s="173" t="b">
        <v>0</v>
      </c>
      <c r="AQ35" s="173" t="b">
        <v>0</v>
      </c>
      <c r="AR35" s="174" t="b">
        <v>0</v>
      </c>
      <c r="AS35" s="178" t="b">
        <v>0</v>
      </c>
      <c r="AT35" s="179" t="b">
        <v>0</v>
      </c>
      <c r="AU35" s="180" t="b">
        <v>0</v>
      </c>
      <c r="AV35" s="180" t="b">
        <v>0</v>
      </c>
      <c r="AW35" s="180" t="b">
        <v>0</v>
      </c>
      <c r="AX35" s="180" t="b">
        <v>0</v>
      </c>
      <c r="AY35" s="181" t="s">
        <v>1070</v>
      </c>
      <c r="AZ35" s="181" t="s">
        <v>1070</v>
      </c>
      <c r="BA35" s="184">
        <f>IFERROR(__xludf.DUMMYFUNCTION("IF(
  ISNUMBER(BA34),
  MIN(MAX(
    BA34
    + MAX(
      ROUNDDOWN((D36 - MAX(IFERROR(FILTER(D$24:D35, BA$24:BA34 &lt;&gt; AZ$6, BA$23:BA33 = AZ$6), 0))) * (60 * 60 * 24) / AZ$9) - ROUNDDOWN((D35 - MAX(IFERROR(FILTER(D$23:D34, BA$23:BA33 &lt;&gt; AZ$6, BA$22:BA32 ="&amp;" AZ$6), 0))) * (60 * 60 * 24) / AZ$9),
      0
    )
    - COUNTIF(AZ35, ""&lt;&gt;-""),
  0), AZ$6),
  AZ$6 - COUNTIF(AZ35, ""&lt;&gt;-"")
)"),2.0)</f>
        <v>2</v>
      </c>
      <c r="BB35" s="181" t="s">
        <v>1070</v>
      </c>
      <c r="BC35" s="183">
        <f>IFERROR(__xludf.DUMMYFUNCTION("IF(
  ISNUMBER(BC34),
  MIN(MAX(
    BC34
    + MAX(
      ROUNDDOWN(($D36 - MAX(IFERROR(FILTER($D$24:$D35, BC$24:BC34 &lt;&gt; BB$6, BC$23:BC33 = BB$6), 0))) * (60 * 60 * 24) / BB$9) - ROUNDDOWN(($D35 - MAX(IFERROR(FILTER($D$23:$D34, BC$23:BC33 &lt;&gt; BB$6, BC$22:"&amp;"BC32 = BB$6), 0))) * (60 * 60 * 24) / 60),
      0
    )
    - COUNTIF(BB35, ""&lt;&gt;-""),
  0), BB$6),
  BB$6 - COUNTIF(BB35, ""&lt;&gt;-"")
)"),2.0)</f>
        <v>2</v>
      </c>
      <c r="BD35" s="181" t="s">
        <v>1070</v>
      </c>
      <c r="BE35" s="178" t="b">
        <v>0</v>
      </c>
      <c r="BF35" s="180" t="b">
        <v>0</v>
      </c>
      <c r="BG35" s="180" t="b">
        <v>0</v>
      </c>
      <c r="BH35" s="180" t="b">
        <v>0</v>
      </c>
      <c r="BI35" s="180" t="b">
        <v>0</v>
      </c>
      <c r="BJ35" s="180" t="b">
        <v>0</v>
      </c>
      <c r="BK35" s="180" t="b">
        <v>0</v>
      </c>
      <c r="BL35" s="180" t="b">
        <v>0</v>
      </c>
      <c r="BM35" s="180" t="b">
        <v>0</v>
      </c>
      <c r="BN35" s="180" t="b">
        <v>0</v>
      </c>
      <c r="BO35" s="181" t="s">
        <v>1070</v>
      </c>
      <c r="BP35" s="181" t="s">
        <v>1070</v>
      </c>
      <c r="BQ35" s="181" t="s">
        <v>1070</v>
      </c>
      <c r="BR35" s="181" t="s">
        <v>1070</v>
      </c>
      <c r="BS35" s="181" t="s">
        <v>1070</v>
      </c>
      <c r="BT35" s="184">
        <f>IFERROR(__xludf.DUMMYFUNCTION("IF(
  ISNUMBER(BT34),
  MIN(MAX(
    BT34
    + MAX(
      ROUNDDOWN((D36 - MAX(IFERROR(FILTER(D$24:D35, BT$24:BT34 &lt;&gt; BS$6, BT$23:BT33 = BS$6), 0))) * (60 * 60 * 24) / BS$9) - ROUNDDOWN((D35 - MAX(IFERROR(FILTER(D$23:D34, BT$23:BT33 &lt;&gt; BS$6, BT$22:BT32 ="&amp;" BS$6), 0))) * (60 * 60 * 24) / BS$9),
      0
    )
    - COUNTIF(BS35, ""&lt;&gt;-""),
  0), BS$6),
  BS$6 - COUNTIF(BS35, ""&lt;&gt;-"")
)"),3.0)</f>
        <v>3</v>
      </c>
      <c r="BU35" s="181" t="s">
        <v>1070</v>
      </c>
      <c r="BV35" s="181" t="s">
        <v>1070</v>
      </c>
      <c r="BW35" s="184">
        <f>IFERROR(__xludf.DUMMYFUNCTION("IF(
  ISNUMBER(BW34),
  MIN(MAX(
    BW34
    + MAX(
      ROUNDDOWN((D36 - MAX(IFERROR(FILTER(D$24:D35, BW$24:BW34 &lt;&gt; BV$6, BW$23:BW33 = BV$6), 0))) * (60 * 60 * 24) / BV$9) - ROUNDDOWN((D35 - MAX(IFERROR(FILTER(D$23:D34, BW$23:BW33 &lt;&gt; BV$6, BW$22:BW32 ="&amp;" BV$6), 0))) * (60 * 60 * 24) / BV$9),
      0
    )
    - COUNTIF(BV35, ""&lt;&gt;-""),
  0), BV$6),
  BV$6 - COUNTIF(BV35, ""&lt;&gt;-"")
)"),2.0)</f>
        <v>2</v>
      </c>
      <c r="BX35" s="185" t="s">
        <v>1070</v>
      </c>
      <c r="BY35" s="178" t="b">
        <v>0</v>
      </c>
      <c r="BZ35" s="180" t="b">
        <v>0</v>
      </c>
      <c r="CA35" s="180" t="b">
        <v>0</v>
      </c>
      <c r="CB35" s="180" t="b">
        <v>0</v>
      </c>
      <c r="CC35" s="180" t="b">
        <v>0</v>
      </c>
      <c r="CD35" s="180" t="b">
        <v>0</v>
      </c>
      <c r="CE35" s="180" t="b">
        <v>0</v>
      </c>
      <c r="CF35" s="180" t="b">
        <v>0</v>
      </c>
      <c r="CG35" s="180" t="b">
        <v>0</v>
      </c>
      <c r="CH35" s="180" t="b">
        <v>0</v>
      </c>
      <c r="CI35" s="180" t="b">
        <v>0</v>
      </c>
      <c r="CJ35" s="180" t="b">
        <v>0</v>
      </c>
      <c r="CK35" s="180" t="b">
        <v>0</v>
      </c>
      <c r="CL35" s="180" t="b">
        <v>0</v>
      </c>
      <c r="CM35" s="181" t="s">
        <v>1070</v>
      </c>
      <c r="CN35" s="181" t="s">
        <v>1070</v>
      </c>
      <c r="CO35" s="181" t="s">
        <v>1070</v>
      </c>
      <c r="CP35" s="181" t="s">
        <v>1070</v>
      </c>
      <c r="CQ35" s="185" t="s">
        <v>1070</v>
      </c>
      <c r="CR35" s="180" t="b">
        <v>0</v>
      </c>
      <c r="CS35" s="186" t="str">
        <f t="shared" si="3"/>
        <v>◇◇◇</v>
      </c>
      <c r="CT35" s="178" t="b">
        <v>0</v>
      </c>
      <c r="CU35" s="180" t="b">
        <v>0</v>
      </c>
      <c r="CV35" s="180" t="b">
        <v>0</v>
      </c>
      <c r="CW35" s="180" t="b">
        <v>0</v>
      </c>
      <c r="CX35" s="180" t="b">
        <v>0</v>
      </c>
      <c r="CY35" s="180" t="b">
        <v>0</v>
      </c>
      <c r="CZ35" s="180" t="b">
        <v>0</v>
      </c>
      <c r="DA35" s="180" t="b">
        <v>0</v>
      </c>
      <c r="DB35" s="180" t="b">
        <v>0</v>
      </c>
      <c r="DC35" s="180" t="b">
        <v>0</v>
      </c>
      <c r="DD35" s="181" t="s">
        <v>1070</v>
      </c>
      <c r="DE35" s="181" t="s">
        <v>1070</v>
      </c>
      <c r="DF35" s="181" t="s">
        <v>1070</v>
      </c>
      <c r="DG35" s="185" t="s">
        <v>1070</v>
      </c>
      <c r="DH35" s="180" t="b">
        <v>0</v>
      </c>
      <c r="DI35" s="187" t="str">
        <f>IFERROR(__xludf.DUMMYFUNCTION("SWITCH(
  IF(
    ISTEXT(DI34),
    IF (
      FIND(""○"", DI34&amp;""○"") &gt; 3,
      3,
      FIND(""○"", DI34&amp;""○"")
      + MAX(
        ROUNDDOWN(($D36 - MAX(IFERROR(FILTER(D$24:D35, DI$24:DI34 &lt;&gt; ""●●●"", DI$23:DI33 = ""●●●""), 0))) * (60 * 60 * 24) / 20"&amp;") - ROUNDDOWN(($D35 - MAX(IFERROR(FILTER(D$23:D34, DI$23:DI33 &lt;&gt; ""●●●"", DI$22:DI32 = ""●●●""), 0))) * (60 * 60 * 24) / 20),
        0
      ) - 1
    ) - COUNTIFS(CU35, ""=TRUE"", CU34, ""&lt;&gt;TRUE"") - COUNTIF(CZ35, ""=TRUE"") - COUNTIF({DD35,DE35}, ""&lt;&gt;-"&amp;""") + COUNTIF(DH35, ""=TRUE""),
    3
  ),
  0, ""○○○"", 1, ""●○○"", 2, ""●●○"", 3, ""●●●"", 4, ""●●●"", ""○○○""
)"),"●●●")</f>
        <v>●●●</v>
      </c>
      <c r="DJ35" s="188" t="b">
        <v>0</v>
      </c>
      <c r="DK35" s="189" t="b">
        <v>0</v>
      </c>
      <c r="DL35" s="190" t="b">
        <v>0</v>
      </c>
      <c r="DM35" s="190" t="b">
        <v>0</v>
      </c>
      <c r="DN35" s="190" t="b">
        <v>0</v>
      </c>
      <c r="DO35" s="190" t="b">
        <v>0</v>
      </c>
      <c r="DP35" s="190" t="b">
        <v>0</v>
      </c>
      <c r="DQ35" s="191" t="b">
        <v>0</v>
      </c>
      <c r="DR35" s="192" t="b">
        <v>0</v>
      </c>
      <c r="DS35" s="191" t="b">
        <v>0</v>
      </c>
      <c r="DT35" s="192" t="b">
        <v>0</v>
      </c>
      <c r="DU35" s="191" t="b">
        <v>0</v>
      </c>
      <c r="DV35" s="193" t="s">
        <v>1070</v>
      </c>
      <c r="DW35" s="194" t="b">
        <v>0</v>
      </c>
      <c r="DX35" s="194" t="b">
        <v>0</v>
      </c>
      <c r="DY35" s="195" t="b">
        <v>0</v>
      </c>
      <c r="DZ35" s="196" t="b">
        <v>0</v>
      </c>
      <c r="EA35" s="195" t="b">
        <v>0</v>
      </c>
      <c r="EB35" s="197" t="b">
        <v>0</v>
      </c>
      <c r="EC35" s="197" t="b">
        <v>0</v>
      </c>
      <c r="ED35" s="212" t="b">
        <v>0</v>
      </c>
      <c r="EE35" s="199">
        <f>IFERROR(__xludf.DUMMYFUNCTION("IFERROR(
   PRODUCT(
     MAP(
       INDEX(TRANSPOSE(UNIQUE(TRANSPOSE(FILTER({IF($F35=""Physical"", K$10:ED$10, IF($F35=""Magic"", K$11:ED$11, K$12:ED$12));K$4:ED$4;K35:ED35}, K35:ED35=TRUE)))), 1, 0),
       INDEX(TRANSPOSE(UNIQUE(TRANSPOSE(FILTER({IF($"&amp;"F35=""Physical"", K$18:ED$18, IF($F35=""Magic"", K$19:ED$19, K$20:ED$20));K$4:ED$4;K35:ED35}, K35:ED35=TRUE)))), 1, 0),
       INDEX(TRANSPOSE(UNIQUE(TRANSPOSE(FILTER({K$5:ED$5;K$4:ED$4;K35:ED35}, K35:ED35=TRUE)))), 1, 0),
       INDEX(TRANSPOSE(UNIQUE(TR"&amp;"ANSPOSE(FILTER({K$17:ED$17;K$4:ED$4;K35:ED35}, K35:ED35=TRUE)))), 1, 0),
       LAMBDA(
         mitigation,
         enhance,
         assign,
         precondition,
         IF(
           REGEXMATCH(assign, ""RANGE_PARTY|SINGLE_ENEMY|RANGE_ENEMY""),
  "&amp;"         IF(
             OR(ARRAYFORMULA((IF(precondition="""", FALSE, REGEXMATCH(K$4:ED$4, precondition))) * (K35:ED35=TRUE))),
             IF(ISNUMBER(enhance), enhance, 1),
             IF(ISNUMBER(mitigation), mitigation, 1)
           ),
          "&amp;" 1
         )
       )
     )
   ),
   1
 )"),1.0)</f>
        <v>1</v>
      </c>
      <c r="EF35" s="200">
        <f>IFERROR(__xludf.DUMMYFUNCTION("PRODUCT(
   MAP(
     K$14:ED$14,
     K$13:ED$13,
     K35:ED35,
     LAMBDA(
       buff,
       target,
       check,
       IF(
         AND(check=TRUE, REGEXMATCH(target, ""RANGE_AFFECTED_ALL|RANGE_EFFECTED_ALL""), ISNUMBER(buff)),
         buff,
   "&amp;"      1
       )
     )
   )
 )"),1.0)</f>
        <v>1</v>
      </c>
      <c r="EG35" s="200">
        <f>IFERROR(__xludf.DUMMYFUNCTION("PRODUCT(
   MAP(
     K$14:ED$14,
     K$13:ED$13,
     K35:ED35,
     LAMBDA(
       buff,
       target,
       check,
       IF(
         AND(check=TRUE, REGEXMATCH(target, ""RANGE_AFFECTED_GCD|RANGE_EFFECTED_GCD""), ISNUMBER(buff)),
         buff,
   "&amp;"      1
       )
     )
   )
 )"),1.0)</f>
        <v>1</v>
      </c>
      <c r="EH35" s="200">
        <f>IFERROR(__xludf.DUMMYFUNCTION("PRODUCT(
   MAP(
     K$3:ED$3,
     K$14:ED$14,
     K$13:ED$13,
     K35:ED35,
     LAMBDA(
       job,
       buff,
       target,
       check,
       IF(
         AND(check=TRUE, REGEXMATCH(target, ""SELF_EFFECTED_ALL""), ISNUMBER(buff), job=""白魔道士"""&amp;"),
         buff,
         1
       )
     )
   )
 )"),1.0)</f>
        <v>1</v>
      </c>
      <c r="EI35" s="200">
        <f>IFERROR(__xludf.DUMMYFUNCTION("PRODUCT(
   MAP(
     K$3:ED$3,
     K$14:ED$14,
     K$13:ED$13,
     K35:ED35,
     LAMBDA(
       job,
       buff,
       target,
       check,
       IF(
         AND(check=TRUE, REGEXMATCH(target, ""SELF_EFFECTED_GCD""), ISNUMBER(buff), job=""白魔道士"""&amp;"),
         buff,
         1
       )
     )
   )
 )"),1.0)</f>
        <v>1</v>
      </c>
      <c r="EJ35" s="200">
        <f>IFERROR(__xludf.DUMMYFUNCTION("PRODUCT(
   MAP(
     K$3:ED$3,
     K$14:ED$14,
     K$13:ED$13,
     K35:ED35,
     LAMBDA(
       job,
       buff,
       target,
       check,
       IF(
         AND(check=TRUE, REGEXMATCH(target, ""SELF_EFFECTED_ALL""), ISNUMBER(buff), job=""占星術師"""&amp;"),
         buff,
         1
       )
     )
   )
 )"),1.0)</f>
        <v>1</v>
      </c>
      <c r="EK35" s="200">
        <f>IFERROR(__xludf.DUMMYFUNCTION("PRODUCT(
   MAP(
     K$3:ED$3,
     K$14:ED$14,
     K$13:ED$13,
     K35:ED35,
     LAMBDA(
       job,
       buff,
       target,
       check,
       IF(
         AND(check=TRUE, REGEXMATCH(target, ""SELF_EFFECTED_GCD""), ISNUMBER(buff), job=""占星術師"""&amp;"),
         buff,
         1
       )
     )
   )
 )"),1.0)</f>
        <v>1</v>
      </c>
      <c r="EL35" s="200">
        <f>IFERROR(__xludf.DUMMYFUNCTION("PRODUCT(
   MAP(
     K$3:ED$3,
     K$14:ED$14,
     K$13:ED$13,
     K35:ED35,
     LAMBDA(
       job,
       buff,
       target,
       check,
       IF(
         AND(check=TRUE, REGEXMATCH(target, ""SELF_EFFECTED_ALL""), ISNUMBER(buff), job=""学者""),"&amp;"
         buff,
         1
       )
     )
   )
 )"),1.0)</f>
        <v>1</v>
      </c>
      <c r="EM35" s="200">
        <f>IFERROR(__xludf.DUMMYFUNCTION("PRODUCT(
   MAP(
     K$3:ED$3,
     K$14:ED$14,
     K$13:ED$13,
     K35:ED35,
     LAMBDA(
       job,
       buff,
       target,
       check,
       IF(
         AND(check=TRUE, REGEXMATCH(target, ""SELF_EFFECTED_GCD""), ISNUMBER(buff), job=""学者""),"&amp;"
         buff,
         1
       )
     )
   )
 )"),1.0)</f>
        <v>1</v>
      </c>
      <c r="EN35" s="200">
        <f>IFERROR(__xludf.DUMMYFUNCTION("PRODUCT(
   MAP(
     K$3:ED$3,
     K$14:ED$14,
     K$13:ED$13,
     K35:ED35,
     LAMBDA(
       job,
       buff,
       target,
       check,
       IF(
         AND(check=TRUE, REGEXMATCH(target, ""SELF_EFFECTED_ALL""), ISNUMBER(buff), job=""賢者""),"&amp;"
         buff,
         1
       )
     )
   )
 )"),1.0)</f>
        <v>1</v>
      </c>
      <c r="EO35" s="200">
        <f>IFERROR(__xludf.DUMMYFUNCTION("PRODUCT(
   MAP(
     K$3:ED$3,
     K$14:ED$14,
     K$13:ED$13,
     K35:ED35,
     LAMBDA(
       job,
       buff,
       target,
       check,
       IF(
         AND(check=TRUE, REGEXMATCH(target, ""SELF_EFFECTED_GCD""), ISNUMBER(buff), job=""賢者""),"&amp;"
         buff,
         1
       )
     )
   )
 )"),1.0)</f>
        <v>1</v>
      </c>
      <c r="EP35" s="201">
        <f t="shared" si="4"/>
        <v>22500</v>
      </c>
      <c r="EQ35" s="201">
        <f>IFERROR(__xludf.DUMMYFUNCTION("SUM(
   MAP(
     K$4:ED$4,
     K$3:ED$3,
     K$7:ED$7,
     K$15:ED$15,
     K$16:ED$16,
     K$21:ED$21,
     K$5:ED$5,
     K$17:ED$17,
     K35:ED35,
     LAMBDA(
       name,
       job,
       abillity,
       buff,
       barrier,
       enhance,"&amp;"
       assign,
       precondition,
       check,
       SWITCH(
         name,
         ""シェイクオフ"", IF(check=TRUE, buff + (0.02 * COUNTIF(ARRAYFORMULA((REGEXMATCH($K$4:$ED$4, ""スリル・オブ・バトル|ヴェンジェンス|原初の血気|ダムネーション"")) * (K35:ED35=TRUE)), 1)), 0),
         "&amp;"""インプロビゼーションフィニッシュ(踊りの激情0)"", IF(ISNUMBER(check), INDEX(Skill!$AJ:$AJ, MATCH(SUBSTITUTE(DV$4, 0, check), Skill!$C:$C, 0)), 0),
         IF(
           AND(check=TRUE, REGEXMATCH(assign, ""RANGE_PARTY"")),
           IF(
             OR(ARRAYFORMULA((IF(pr"&amp;"econdition="""", FALSE, REGEXMATCH($K$4:$ED$4, precondition))) * (K35:ED35=TRUE))),
             enhance,
             IF(barrier="""", buff, barrier)
           ),
           0
         )
       ) *
       SWITCH(
         job,
         ""ナイト"", EY$24,
 "&amp;"        ""戦士"", FD$24,
         ""踊り子"", ET$24,
         ""ピクトマンサー"", ET$24,
         ""白魔道士"", EF35 * EH35 * IF(abillity, 1, EG35 * EI35) * (Option!$D$22 * 0.81 / 100),
         ""占星術師"", EF35 * EJ35 * IF(abillity, 1, EG35 * EK35) * (Option!$D$23 * 0.81 "&amp;"/ 100),
         ""学者"", EF35 * EL35 * IF(abillity, 1, EG35 * EM35) * (Option!$D$24 * 0.81 / 100),
         ""賢者"", EF35 * EN35 * IF(abillity, 1, EG35 * EO35) * (Option!$D$25 * 0.81 / 100),
         1
       )
     )
   )
 )"),0.0)</f>
        <v>0</v>
      </c>
      <c r="ER35" s="202">
        <f t="shared" si="5"/>
        <v>22500</v>
      </c>
      <c r="ES35" s="203">
        <f t="shared" si="6"/>
        <v>0</v>
      </c>
      <c r="ET35" s="204" t="str">
        <f>IFERROR(__xludf.DUMMYFUNCTION("IFS(
  EP35 &gt; $ET$24 + EQ35,
  SPARKLINE({ 1, 0 }, {""charttype"",""bar"";""max"", 1;""color1"",Option!$D$30;""color2"",Option!$D$30}),
  EP35 &lt; EQ35,
  SPARKLINE({EQ35 - EP35, $ET$24 - (EQ35 - EP35)}, {""charttype"",""bar"";""max"",$ET$24;""color1"",Opti"&amp;"on!$D$28;""color2"",Option!$D$29}),
  EP35 &gt;= EQ35,
  SPARKLINE({$ET$24 + EQ35 - EP35,EP35 - EQ35}, {""charttype"",""bar"";""max"",$ET$24;""color1"",Option!$D$29;""color2"",Option!$D$30})
)"),"")</f>
        <v/>
      </c>
      <c r="EU35" s="205">
        <f>IFERROR(__xludf.DUMMYFUNCTION("PRODUCT(
   MAP(
     IF($F35=""Physical"", K$10:ED$10, IF($F35=""Magic"", K$11:ED$11, K$12:ED$12)),
     IF($F35=""Physical"", K$18:ED$18, IF($F35=""Magic"", K$19:ED$19, K$20:ED$20)),
     K$3:ED$3,
     K$5:ED$5,
     K$17:ED$17,
     K35:ED35,
     LAM"&amp;"BDA(
       mitigation,
       enhance,
       job,
       assign,
       precondition,
       check,
       IF(
         OR(AND(check=TRUE, REGEXMATCH(assign, ""SELF""), job=""ナイト""), AND(check=Option!$E$13, REGEXMATCH(assign, ""SINGLE_PARTY""))),
      "&amp;"   IF(
           OR(ARRAYFORMULA((IF(precondition="""", FALSE, REGEXMATCH($K$4:$ED$4, precondition))) * (K35:ED35=TRUE))),
           enhance,
           mitigation
         ),
         1
       )
     )
   )
 ) * EE35"),1.0)</f>
        <v>1</v>
      </c>
      <c r="EV35" s="206">
        <f t="shared" si="7"/>
        <v>18000</v>
      </c>
      <c r="EW35" s="205">
        <f>IFERROR(__xludf.DUMMYFUNCTION("PRODUCT(
   MAP(
     K$3:ED$3,
     K$14:ED$14,
     K$13:ED$13,
     K35:ED35,
     LAMBDA(
       job,
       buff,
       target,
       check,
       IF(
         OR(AND(check=TRUE, REGEXMATCH(target, ""SELF_AFFECTED_ALL""), job=""ナイト""), AND(check=O"&amp;"ption!$E$13, REGEXMATCH(target, ""SINGLE_AFFECTED_ALL""))),
         buff,
         1
       )
     )
   )
 )"),1.0)</f>
        <v>1</v>
      </c>
      <c r="EX35" s="206">
        <f>IFERROR(__xludf.DUMMYFUNCTION("SUM(
   MAP(
     K$3:ED$3,
     K$7:ED$7,
     K$15:ED$15,
     K$16:ED$16,
     K$21:ED$21,
     K$5:ED$5,
     K$17:ED$17,
     K35:ED35,
     LAMBDA(
       job,
       abillity,
       buff,
       barrier,
       enhance,
       assign,
       preco"&amp;"ndition,
       check,
       IF(
         OR(AND(check=TRUE, REGEXMATCH(assign, ""SELF""), job=""ナイト""), AND(check=Option!$E$13, REGEXMATCH(assign, ""SINGLE_PARTY""))),
         IF(
           OR(ARRAYFORMULA((IF(precondition="""", FALSE, REGEXMATCH($K$4"&amp;":$ED$4, precondition))) * (K35:ED35=TRUE))),
           enhance,
           IF(barrier="""", buff, barrier)
         ),
         0
       ) *
       SWITCH(
         job,
         ""暗黒騎士"", EY$24,
         ""白魔道士"", EF35 * EH35 * EW35 * IF(abillity, 1, EG"&amp;"35 * EI35) * (Option!$D$22 * 0.81 / 100),
         ""占星術師"", EF35 * EJ35 * EW35 * IF(abillity, 1, EG35 * EK35) * (Option!$D$23 * 0.81 / 100),
         ""学者"", EF35 * EL35 * EW35 * IF(abillity, 1, EG35 * EM35) * (Option!$D$24 * 0.81 / 100),
         ""賢者"""&amp;", EF35 * EN35 * EW35 * IF(abillity, 1, EG35 * EO35) * (Option!$D$25 * 0.81 / 100),
         1
       )
     )
   )
 ) + EQ35"),0.0)</f>
        <v>0</v>
      </c>
      <c r="EY35" s="206">
        <f t="shared" si="8"/>
        <v>18000</v>
      </c>
      <c r="EZ35" s="205">
        <f>IFERROR(__xludf.DUMMYFUNCTION("PRODUCT(
   MAP(
     IF($F35=""Physical"", K$10:ED$10, IF($F35=""Magic"", K$11:ED$11, K$12:ED$12)),
     IF($F35=""Physical"", K$18:ED$18, IF($F35=""Magic"", K$19:ED$19, K$20:ED$20)),
     K$3:ED$3,
     K$5:ED$5,
     K$17:ED$17,
     K35:ED35,
     LAM"&amp;"BDA(
       mitigation,
       enhance,
       job,
       assign,
       precondition,
       check,
       IF(
         OR(AND(check=TRUE, REGEXMATCH(assign, ""SELF""), job=""戦士""), AND(check=Option!$F$13, REGEXMATCH(assign, ""SINGLE_PARTY""))),
       "&amp;"  IF(
           OR(ARRAYFORMULA((IF(precondition="""", FALSE, REGEXMATCH($K$4:$ED$4, precondition))) * (K35:ED35=TRUE))),
           enhance,
           mitigation
         ),
         1
       )
     )
   )
 ) * EE35"),1.0)</f>
        <v>1</v>
      </c>
      <c r="FA35" s="206">
        <f t="shared" si="9"/>
        <v>18000</v>
      </c>
      <c r="FB35" s="205">
        <f>IFERROR(__xludf.DUMMYFUNCTION("PRODUCT(
   MAP(
     K$3:ED$3,
     K$14:ED$14,
     K$13:ED$13,
     K35:ED35,
     LAMBDA(
       job,
       buff,
       target,
       check,
       IF(
         OR(AND(check=TRUE, REGEXMATCH(target, ""SELF_AFFECTED_ALL""), job=""戦士""), AND(check=Op"&amp;"tion!$F$13, REGEXMATCH(target, ""SINGLE_AFFECTED_ALL""))),
         buff,
         1
       )
     )
   )
 )"),1.0)</f>
        <v>1</v>
      </c>
      <c r="FC35" s="206">
        <f>IFERROR(__xludf.DUMMYFUNCTION("SUM(
   MAP(
     K$3:ED$3,
     K$7:ED$7,
     K$15:ED$15,
     K$16:ED$16,
     K$21:ED$21,
     K$5:ED$5,
     K$17:ED$17,
     K35:ED35,
     LAMBDA(
       job,
       abillity,
       buff,
       barrier,
       enhance,
       assign,
       preco"&amp;"ndition,
       check,
       IF(
         OR(AND(check=TRUE, REGEXMATCH(assign, ""SELF""), job=""戦士""), AND(check=Option!$F$13, REGEXMATCH(assign, ""SINGLE_PARTY""))),
         IF(
           OR(ARRAYFORMULA((IF(precondition="""", FALSE, REGEXMATCH($K$4:"&amp;"$ED$4, precondition))) * (K35:ED35=TRUE))),
           enhance,
           IF(barrier="""", buff, barrier)
         ),
         0
       ) *
       SWITCH(
         job,
         ""暗黒騎士"", FD$24,
         ""白魔道士"", EF35 * EH35 * FB35 * IF(abillity, 1, EG3"&amp;"5 * EI35) * (Option!$D$22 * 0.81 / 100),
         ""占星術師"", EF35 * EJ35 * FFB35 * IF(abillity, 1, EG35 * EK35) * (Option!$D$23 * 0.81 / 100),
         ""学者"", EF35 * EL35 * FB35 * IF(abillity, 1, EG35 * EM35) * (Option!$D$24 * 0.81 / 100),
         ""賢者"""&amp;", EF35 * EN35 * FB35 * IF(abillity, 1, EG35 * EO35) * (Option!$D$25 * 0.81 / 100),
         1
       )
     )
   )
 ) + EQ35"),0.0)</f>
        <v>0</v>
      </c>
      <c r="FD35" s="206">
        <f t="shared" si="10"/>
        <v>18000</v>
      </c>
      <c r="FE35" s="205">
        <f>IFERROR(__xludf.DUMMYFUNCTION("PRODUCT(
   MAP(
     IF($F35=""Physical"", K$10:ED$10, IF($F35=""Magic"", K$11:ED$11, K$12:ED$12)),
     IF($F35=""Physical"", K$18:ED$18, IF($F35=""Magic"", K$19:ED$19, K$20:ED$20)),
     K$3:ED$3,
     K$5:ED$5,
     K$17:ED$17,
     K35:ED35,
     LAM"&amp;"BDA(
       mitigation,
       enhance,
       job,
       assign,
       precondition,
       check,
       IF(
         OR(AND(check=TRUE, REGEXMATCH(assign, ""SELF""), job=""暗黒騎士""), AND(check=Option!$G$13, REGEXMATCH(assign, ""SINGLE_PARTY""))),
     "&amp;"    IF(
           OR(ARRAYFORMULA((IF(precondition="""", FALSE, REGEXMATCH($K$4:$ED$4, precondition))) * (K35:ED35=TRUE))),
           enhance,
           mitigation
         ),
         1
       )
     )
   )
 ) * EE35"),1.0)</f>
        <v>1</v>
      </c>
      <c r="FF35" s="206">
        <f t="shared" si="11"/>
        <v>18000</v>
      </c>
      <c r="FG35" s="205">
        <f>IFERROR(__xludf.DUMMYFUNCTION("PRODUCT(
   MAP(
     K$3:ED$3,
     K$14:ED$14,
     K$13:ED$13,
     K35:ED35,
     LAMBDA(
       job,
       buff,
       target,
       check,
       IF(
         OR(AND(check=TRUE, REGEXMATCH(target, ""SELF_AFFECTED_ALL""), job=""暗黒騎士""), AND(check="&amp;"Option!$G$13, REGEXMATCH(target, ""SINGLE_AFFECTED_ALL""))),
         buff,
         1
       )
     )
   )
 )"),1.0)</f>
        <v>1</v>
      </c>
      <c r="FH35" s="206">
        <f>IFERROR(__xludf.DUMMYFUNCTION("SUM(
   MAP(
     K$3:ED$3,
     K$7:ED$7,
     K$15:ED$15,
     K$16:ED$16,
     K$21:ED$21,
     K$5:ED$5,
     K$17:ED$17,
     K35:ED35,
     LAMBDA(
       job,
       abillity,
       buff,
       barrier,
       enhance,
       assign,
       preco"&amp;"ndition,
       check,
       IF(
         OR(AND(check=TRUE, REGEXMATCH(assign, ""SELF""), job=""暗黒騎士""), AND(check=Option!$G$13, REGEXMATCH(assign, ""SINGLE_PARTY""))),
         IF(
           OR(ARRAYFORMULA((IF(precondition="""", FALSE, REGEXMATCH($K$"&amp;"4:$ED$4, precondition))) * (K35:ED35=TRUE))),
           enhance,
           IF(barrier="""", buff, barrier)
         ),
         0
       ) *
       SWITCH(
         job,
         ""暗黒騎士"", FI$24,
         ""白魔道士"", EF35 * EH35 * FG35 * IF(abillity, 1, E"&amp;"G35 * EI35) * (Option!$D$22 * 0.81 / 100),
         ""占星術師"", EF35 * EJ35 * FG35 * IF(abillity, 1, EG35 * EK35) * (Option!$D$23 * 0.81 / 100),
         ""学者"", EF35 * EL35 * FG35 * IF(abillity, 1, EG35 * EM35) * (Option!$D$24 * 0.81 / 100),
         ""賢者"&amp;""", EF35 * EN35 * FG35 * IF(abillity, 1, EG35 * EO35) * (Option!$D$25 * 0.81 / 100),
         1
       )
     )
   )
 ) + EQ35"),0.0)</f>
        <v>0</v>
      </c>
      <c r="FI35" s="206">
        <f t="shared" si="12"/>
        <v>18000</v>
      </c>
      <c r="FJ35" s="205">
        <f>IFERROR(__xludf.DUMMYFUNCTION("PRODUCT(
   MAP(
     IF($F35=""Physical"", K$10:ED$10, IF($F35=""Magic"", K$11:ED$11, K$12:ED$12)),
     IF($F35=""Physical"", K$18:ED$18, IF($F35=""Magic"", K$19:ED$19, K$20:ED$20)),
     K$3:ED$3,
     K$5:ED$5,
     K$17:ED$17,
     K35:ED35,
     LAM"&amp;"BDA(
       mitigation,
       enhance,
       job,
       assign,
       precondition,
       check,
       IF(
         OR(AND(check=TRUE, REGEXMATCH(assign, ""SELF""), job=""ガンブレイカー""), AND(check=Option!$H$13, REGEXMATCH(assign, ""SINGLE_PARTY""))),
  "&amp;"       IF(
           OR(ARRAYFORMULA((IF(precondition="""", FALSE, REGEXMATCH($K$4:$ED$4, precondition))) * (K35:ED35=TRUE))),
           enhance,
           mitigation
         ),
         1
       )
     )
   )
 ) * EE35"),1.0)</f>
        <v>1</v>
      </c>
      <c r="FK35" s="206">
        <f t="shared" si="13"/>
        <v>18000</v>
      </c>
      <c r="FL35" s="205">
        <f>IFERROR(__xludf.DUMMYFUNCTION("PRODUCT(
   MAP(
     K$3:ED$3,
     K$14:ED$14,
     K$13:ED$13,
     K35:ED35,
     LAMBDA(
       job,
       buff,
       target,
       check,
       IF(
         OR(AND(check=TRUE, REGEXMATCH(target, ""SELF_AFFECTED_ALL""), job=""ガンブレイカー""), AND(che"&amp;"ck=Option!$H$13, REGEXMATCH(target, ""SINGLE_AFFECTED_ALL""))),
         buff,
         1
       )
     )
   )
 )"),1.0)</f>
        <v>1</v>
      </c>
      <c r="FM35" s="206">
        <f>IFERROR(__xludf.DUMMYFUNCTION("SUM(
   MAP(
     K$3:ED$3,
     K$7:ED$7,
     K$15:ED$15,
     K$16:ED$16,
     K$21:ED$21,
     K$5:ED$5,
     K$17:ED$17,
     K35:ED35,
     LAMBDA(
       job,
       abillity,
       buff,
       barrier,
       enhance,
       assign,
       preco"&amp;"ndition,
       check,
       IF(
         OR(AND(check=TRUE, REGEXMATCH(assign, ""SELF""), job=""ガンブレイカー""), AND(check=Option!$H$13, REGEXMATCH(assign, ""SINGLE_PARTY""))),
         IF(
           OR(ARRAYFORMULA((IF(precondition="""", FALSE, REGEXMATCH("&amp;"$K$4:$ED$4, precondition))) * (K35:ED35=TRUE))),
           enhance,
           IF(barrier="""", buff, barrier)
         ),
         0
       ) *
       SWITCH(
         job,
         ""暗黒騎士"", FN$24,
         ""白魔道士"", EF35 * EH35 * FL35 * IF(abillity, 1"&amp;", EG35 * EI35) * (Option!$D$22 * 0.81 / 100),
         ""占星術師"", EF35 * EJ35 * FL35 * IF(abillity, 1, EG35 * EK35) * (Option!$D$23 * 0.81 / 100),
         ""学者"", EF35 * EL35 * FL35 * IF(abillity, 1, EG35 * EM35) * (Option!$D$24 * 0.81 / 100),
         """&amp;"賢者"", EF35 * EN35 * FL35 * IF(abillity, 1, EG35 * EO35) * (Option!$D$25 * 0.81 / 100),
         1
       )
     )
   )
 ) + EQ35"),0.0)</f>
        <v>0</v>
      </c>
      <c r="FN35" s="206">
        <f t="shared" si="14"/>
        <v>18000</v>
      </c>
      <c r="FO35" s="213"/>
    </row>
    <row r="36">
      <c r="B36" s="208"/>
      <c r="C36" s="217">
        <f t="shared" si="1"/>
        <v>0.0008333333333</v>
      </c>
      <c r="D36" s="224">
        <v>8.333333333333334E-4</v>
      </c>
      <c r="E36" s="227" t="s">
        <v>1077</v>
      </c>
      <c r="F36" s="167" t="s">
        <v>10</v>
      </c>
      <c r="G36" s="168" t="str">
        <f t="shared" ref="G36:G46" si="15">SWITCH(F36,
"Physical", image("https://xivapi.com/i/060000/060011.png"),
"Magic", image("https://xivapi.com/i/060000/060012.png"),
"Unique", image("https://xivapi.com/i/060000/060013.png"),
"")</f>
        <v/>
      </c>
      <c r="H36" s="169">
        <v>2000.0</v>
      </c>
      <c r="I36" s="169"/>
      <c r="J36" s="169"/>
      <c r="K36" s="170" t="b">
        <v>0</v>
      </c>
      <c r="L36" s="170" t="b">
        <v>0</v>
      </c>
      <c r="M36" s="170" t="b">
        <v>0</v>
      </c>
      <c r="N36" s="171" t="s">
        <v>1070</v>
      </c>
      <c r="O36" s="172" t="b">
        <v>0</v>
      </c>
      <c r="P36" s="173" t="b">
        <v>0</v>
      </c>
      <c r="Q36" s="173" t="b">
        <v>0</v>
      </c>
      <c r="R36" s="173" t="b">
        <v>0</v>
      </c>
      <c r="S36" s="174" t="b">
        <v>0</v>
      </c>
      <c r="T36" s="175" t="b">
        <v>0</v>
      </c>
      <c r="U36" s="173" t="b">
        <v>0</v>
      </c>
      <c r="V36" s="171" t="s">
        <v>1070</v>
      </c>
      <c r="W36" s="172" t="b">
        <v>0</v>
      </c>
      <c r="X36" s="173" t="b">
        <v>0</v>
      </c>
      <c r="Y36" s="173" t="b">
        <v>0</v>
      </c>
      <c r="Z36" s="173" t="b">
        <v>0</v>
      </c>
      <c r="AA36" s="174" t="b">
        <v>0</v>
      </c>
      <c r="AB36" s="174" t="b">
        <v>0</v>
      </c>
      <c r="AC36" s="175" t="b">
        <v>0</v>
      </c>
      <c r="AD36" s="173" t="b">
        <v>0</v>
      </c>
      <c r="AE36" s="176" t="s">
        <v>1070</v>
      </c>
      <c r="AF36" s="171" t="s">
        <v>1070</v>
      </c>
      <c r="AG36" s="177">
        <f>IFERROR(__xludf.DUMMYFUNCTION("IF(
  ISNUMBER(AG35),
  MIN(MAX(
    AG35
    + MAX(
      ROUNDDOWN(($D37 - MAX(IFERROR(FILTER($D$24:$D36, AG$24:AG35 &lt;&gt; AF$6, AG$23:AG34 = AF$6), 0))) * (60 * 60 * 24) / AF$9) - ROUNDDOWN(($D36 - MAX(IFERROR(FILTER($D$23:$D35, AG$23:AG34 &lt;&gt; AF$6, AG$22:"&amp;"AG33 = AF$6), 0))) * (60 * 60 * 24) / 60),
      0
    )
    - COUNTIF(AF36, ""&lt;&gt;-""),
  0), AF$6),
  AF$6 - COUNTIF(AF36, ""&lt;&gt;-"")
)"),2.0)</f>
        <v>2</v>
      </c>
      <c r="AH36" s="173" t="b">
        <v>0</v>
      </c>
      <c r="AI36" s="173" t="b">
        <v>0</v>
      </c>
      <c r="AJ36" s="173" t="b">
        <v>0</v>
      </c>
      <c r="AK36" s="174" t="b">
        <v>0</v>
      </c>
      <c r="AL36" s="175" t="b">
        <v>0</v>
      </c>
      <c r="AM36" s="173" t="b">
        <v>0</v>
      </c>
      <c r="AN36" s="171" t="s">
        <v>1070</v>
      </c>
      <c r="AO36" s="173" t="b">
        <v>0</v>
      </c>
      <c r="AP36" s="173" t="b">
        <v>0</v>
      </c>
      <c r="AQ36" s="173" t="b">
        <v>0</v>
      </c>
      <c r="AR36" s="174" t="b">
        <v>0</v>
      </c>
      <c r="AS36" s="178" t="b">
        <v>0</v>
      </c>
      <c r="AT36" s="179" t="b">
        <v>0</v>
      </c>
      <c r="AU36" s="180" t="b">
        <v>0</v>
      </c>
      <c r="AV36" s="180" t="b">
        <v>0</v>
      </c>
      <c r="AW36" s="180" t="b">
        <v>0</v>
      </c>
      <c r="AX36" s="180" t="b">
        <v>0</v>
      </c>
      <c r="AY36" s="181" t="s">
        <v>1070</v>
      </c>
      <c r="AZ36" s="181" t="s">
        <v>1070</v>
      </c>
      <c r="BA36" s="184">
        <f>IFERROR(__xludf.DUMMYFUNCTION("IF(
  ISNUMBER(BA35),
  MIN(MAX(
    BA35
    + MAX(
      ROUNDDOWN((D37 - MAX(IFERROR(FILTER(D$24:D36, BA$24:BA35 &lt;&gt; AZ$6, BA$23:BA34 = AZ$6), 0))) * (60 * 60 * 24) / AZ$9) - ROUNDDOWN((D36 - MAX(IFERROR(FILTER(D$23:D35, BA$23:BA34 &lt;&gt; AZ$6, BA$22:BA33 ="&amp;" AZ$6), 0))) * (60 * 60 * 24) / AZ$9),
      0
    )
    - COUNTIF(AZ36, ""&lt;&gt;-""),
  0), AZ$6),
  AZ$6 - COUNTIF(AZ36, ""&lt;&gt;-"")
)"),2.0)</f>
        <v>2</v>
      </c>
      <c r="BB36" s="181" t="s">
        <v>1070</v>
      </c>
      <c r="BC36" s="183">
        <f>IFERROR(__xludf.DUMMYFUNCTION("IF(
  ISNUMBER(BC35),
  MIN(MAX(
    BC35
    + MAX(
      ROUNDDOWN(($D37 - MAX(IFERROR(FILTER($D$24:$D36, BC$24:BC35 &lt;&gt; BB$6, BC$23:BC34 = BB$6), 0))) * (60 * 60 * 24) / BB$9) - ROUNDDOWN(($D36 - MAX(IFERROR(FILTER($D$23:$D35, BC$23:BC34 &lt;&gt; BB$6, BC$22:"&amp;"BC33 = BB$6), 0))) * (60 * 60 * 24) / 60),
      0
    )
    - COUNTIF(BB36, ""&lt;&gt;-""),
  0), BB$6),
  BB$6 - COUNTIF(BB36, ""&lt;&gt;-"")
)"),2.0)</f>
        <v>2</v>
      </c>
      <c r="BD36" s="181" t="s">
        <v>1070</v>
      </c>
      <c r="BE36" s="178" t="b">
        <v>0</v>
      </c>
      <c r="BF36" s="180" t="b">
        <v>0</v>
      </c>
      <c r="BG36" s="180" t="b">
        <v>0</v>
      </c>
      <c r="BH36" s="180" t="b">
        <v>0</v>
      </c>
      <c r="BI36" s="180" t="b">
        <v>0</v>
      </c>
      <c r="BJ36" s="180" t="b">
        <v>0</v>
      </c>
      <c r="BK36" s="180" t="b">
        <v>0</v>
      </c>
      <c r="BL36" s="180" t="b">
        <v>0</v>
      </c>
      <c r="BM36" s="180" t="b">
        <v>0</v>
      </c>
      <c r="BN36" s="180" t="b">
        <v>0</v>
      </c>
      <c r="BO36" s="181" t="s">
        <v>1070</v>
      </c>
      <c r="BP36" s="181" t="s">
        <v>1070</v>
      </c>
      <c r="BQ36" s="181" t="s">
        <v>1070</v>
      </c>
      <c r="BR36" s="181" t="s">
        <v>1070</v>
      </c>
      <c r="BS36" s="181" t="s">
        <v>1070</v>
      </c>
      <c r="BT36" s="184">
        <f>IFERROR(__xludf.DUMMYFUNCTION("IF(
  ISNUMBER(BT35),
  MIN(MAX(
    BT35
    + MAX(
      ROUNDDOWN((D37 - MAX(IFERROR(FILTER(D$24:D36, BT$24:BT35 &lt;&gt; BS$6, BT$23:BT34 = BS$6), 0))) * (60 * 60 * 24) / BS$9) - ROUNDDOWN((D36 - MAX(IFERROR(FILTER(D$23:D35, BT$23:BT34 &lt;&gt; BS$6, BT$22:BT33 ="&amp;" BS$6), 0))) * (60 * 60 * 24) / BS$9),
      0
    )
    - COUNTIF(BS36, ""&lt;&gt;-""),
  0), BS$6),
  BS$6 - COUNTIF(BS36, ""&lt;&gt;-"")
)"),3.0)</f>
        <v>3</v>
      </c>
      <c r="BU36" s="181" t="s">
        <v>1070</v>
      </c>
      <c r="BV36" s="181" t="s">
        <v>1070</v>
      </c>
      <c r="BW36" s="184">
        <f>IFERROR(__xludf.DUMMYFUNCTION("IF(
  ISNUMBER(BW35),
  MIN(MAX(
    BW35
    + MAX(
      ROUNDDOWN((D37 - MAX(IFERROR(FILTER(D$24:D36, BW$24:BW35 &lt;&gt; BV$6, BW$23:BW34 = BV$6), 0))) * (60 * 60 * 24) / BV$9) - ROUNDDOWN((D36 - MAX(IFERROR(FILTER(D$23:D35, BW$23:BW34 &lt;&gt; BV$6, BW$22:BW33 ="&amp;" BV$6), 0))) * (60 * 60 * 24) / BV$9),
      0
    )
    - COUNTIF(BV36, ""&lt;&gt;-""),
  0), BV$6),
  BV$6 - COUNTIF(BV36, ""&lt;&gt;-"")
)"),2.0)</f>
        <v>2</v>
      </c>
      <c r="BX36" s="185" t="s">
        <v>1070</v>
      </c>
      <c r="BY36" s="178" t="b">
        <v>0</v>
      </c>
      <c r="BZ36" s="180" t="b">
        <v>0</v>
      </c>
      <c r="CA36" s="180" t="b">
        <v>0</v>
      </c>
      <c r="CB36" s="180" t="b">
        <v>0</v>
      </c>
      <c r="CC36" s="180" t="b">
        <v>0</v>
      </c>
      <c r="CD36" s="180" t="b">
        <v>0</v>
      </c>
      <c r="CE36" s="180" t="b">
        <v>0</v>
      </c>
      <c r="CF36" s="180" t="b">
        <v>0</v>
      </c>
      <c r="CG36" s="180" t="b">
        <v>0</v>
      </c>
      <c r="CH36" s="180" t="b">
        <v>0</v>
      </c>
      <c r="CI36" s="180" t="b">
        <v>0</v>
      </c>
      <c r="CJ36" s="180" t="b">
        <v>0</v>
      </c>
      <c r="CK36" s="180" t="b">
        <v>0</v>
      </c>
      <c r="CL36" s="180" t="b">
        <v>0</v>
      </c>
      <c r="CM36" s="181" t="s">
        <v>1070</v>
      </c>
      <c r="CN36" s="181" t="s">
        <v>1070</v>
      </c>
      <c r="CO36" s="181" t="s">
        <v>1070</v>
      </c>
      <c r="CP36" s="181" t="s">
        <v>1070</v>
      </c>
      <c r="CQ36" s="185" t="s">
        <v>1070</v>
      </c>
      <c r="CR36" s="180" t="b">
        <v>0</v>
      </c>
      <c r="CS36" s="186" t="str">
        <f t="shared" si="3"/>
        <v>◇◇◇</v>
      </c>
      <c r="CT36" s="178" t="b">
        <v>0</v>
      </c>
      <c r="CU36" s="180" t="b">
        <v>0</v>
      </c>
      <c r="CV36" s="180" t="b">
        <v>0</v>
      </c>
      <c r="CW36" s="180" t="b">
        <v>0</v>
      </c>
      <c r="CX36" s="180" t="b">
        <v>0</v>
      </c>
      <c r="CY36" s="180" t="b">
        <v>0</v>
      </c>
      <c r="CZ36" s="180" t="b">
        <v>0</v>
      </c>
      <c r="DA36" s="180" t="b">
        <v>0</v>
      </c>
      <c r="DB36" s="180" t="b">
        <v>0</v>
      </c>
      <c r="DC36" s="180" t="b">
        <v>0</v>
      </c>
      <c r="DD36" s="181" t="s">
        <v>1070</v>
      </c>
      <c r="DE36" s="181" t="s">
        <v>1070</v>
      </c>
      <c r="DF36" s="181" t="s">
        <v>1070</v>
      </c>
      <c r="DG36" s="185" t="s">
        <v>1070</v>
      </c>
      <c r="DH36" s="180" t="b">
        <v>0</v>
      </c>
      <c r="DI36" s="187" t="str">
        <f>IFERROR(__xludf.DUMMYFUNCTION("SWITCH(
  IF(
    ISTEXT(DI35),
    IF (
      FIND(""○"", DI35&amp;""○"") &gt; 3,
      3,
      FIND(""○"", DI35&amp;""○"")
      + MAX(
        ROUNDDOWN(($D37 - MAX(IFERROR(FILTER(D$24:D36, DI$24:DI35 &lt;&gt; ""●●●"", DI$23:DI34 = ""●●●""), 0))) * (60 * 60 * 24) / 20"&amp;") - ROUNDDOWN(($D36 - MAX(IFERROR(FILTER(D$23:D35, DI$23:DI34 &lt;&gt; ""●●●"", DI$22:DI33 = ""●●●""), 0))) * (60 * 60 * 24) / 20),
        0
      ) - 1
    ) - COUNTIFS(CU36, ""=TRUE"", CU35, ""&lt;&gt;TRUE"") - COUNTIF(CZ36, ""=TRUE"") - COUNTIF({DD36,DE36}, ""&lt;&gt;-"&amp;""") + COUNTIF(DH36, ""=TRUE""),
    3
  ),
  0, ""○○○"", 1, ""●○○"", 2, ""●●○"", 3, ""●●●"", 4, ""●●●"", ""○○○""
)"),"●●●")</f>
        <v>●●●</v>
      </c>
      <c r="DJ36" s="188" t="b">
        <v>0</v>
      </c>
      <c r="DK36" s="189" t="b">
        <v>0</v>
      </c>
      <c r="DL36" s="190" t="b">
        <v>0</v>
      </c>
      <c r="DM36" s="190" t="b">
        <v>0</v>
      </c>
      <c r="DN36" s="190" t="b">
        <v>0</v>
      </c>
      <c r="DO36" s="190" t="b">
        <v>0</v>
      </c>
      <c r="DP36" s="190" t="b">
        <v>0</v>
      </c>
      <c r="DQ36" s="191" t="b">
        <v>0</v>
      </c>
      <c r="DR36" s="192" t="b">
        <v>0</v>
      </c>
      <c r="DS36" s="191" t="b">
        <v>0</v>
      </c>
      <c r="DT36" s="192" t="b">
        <v>0</v>
      </c>
      <c r="DU36" s="191" t="b">
        <v>0</v>
      </c>
      <c r="DV36" s="193" t="s">
        <v>1070</v>
      </c>
      <c r="DW36" s="194" t="b">
        <v>0</v>
      </c>
      <c r="DX36" s="194" t="b">
        <v>0</v>
      </c>
      <c r="DY36" s="195" t="b">
        <v>0</v>
      </c>
      <c r="DZ36" s="196" t="b">
        <v>0</v>
      </c>
      <c r="EA36" s="195" t="b">
        <v>0</v>
      </c>
      <c r="EB36" s="197" t="b">
        <v>0</v>
      </c>
      <c r="EC36" s="197" t="b">
        <v>0</v>
      </c>
      <c r="ED36" s="212" t="b">
        <v>0</v>
      </c>
      <c r="EE36" s="199">
        <f>IFERROR(__xludf.DUMMYFUNCTION("IFERROR(
   PRODUCT(
     MAP(
       INDEX(TRANSPOSE(UNIQUE(TRANSPOSE(FILTER({IF($F36=""Physical"", K$10:ED$10, IF($F36=""Magic"", K$11:ED$11, K$12:ED$12));K$4:ED$4;K36:ED36}, K36:ED36=TRUE)))), 1, 0),
       INDEX(TRANSPOSE(UNIQUE(TRANSPOSE(FILTER({IF($"&amp;"F36=""Physical"", K$18:ED$18, IF($F36=""Magic"", K$19:ED$19, K$20:ED$20));K$4:ED$4;K36:ED36}, K36:ED36=TRUE)))), 1, 0),
       INDEX(TRANSPOSE(UNIQUE(TRANSPOSE(FILTER({K$5:ED$5;K$4:ED$4;K36:ED36}, K36:ED36=TRUE)))), 1, 0),
       INDEX(TRANSPOSE(UNIQUE(TR"&amp;"ANSPOSE(FILTER({K$17:ED$17;K$4:ED$4;K36:ED36}, K36:ED36=TRUE)))), 1, 0),
       LAMBDA(
         mitigation,
         enhance,
         assign,
         precondition,
         IF(
           REGEXMATCH(assign, ""RANGE_PARTY|SINGLE_ENEMY|RANGE_ENEMY""),
  "&amp;"         IF(
             OR(ARRAYFORMULA((IF(precondition="""", FALSE, REGEXMATCH(K$4:ED$4, precondition))) * (K36:ED36=TRUE))),
             IF(ISNUMBER(enhance), enhance, 1),
             IF(ISNUMBER(mitigation), mitigation, 1)
           ),
          "&amp;" 1
         )
       )
     )
   ),
   1
 )"),1.0)</f>
        <v>1</v>
      </c>
      <c r="EF36" s="200">
        <f>IFERROR(__xludf.DUMMYFUNCTION("PRODUCT(
   MAP(
     K$14:ED$14,
     K$13:ED$13,
     K36:ED36,
     LAMBDA(
       buff,
       target,
       check,
       IF(
         AND(check=TRUE, REGEXMATCH(target, ""RANGE_AFFECTED_ALL|RANGE_EFFECTED_ALL""), ISNUMBER(buff)),
         buff,
   "&amp;"      1
       )
     )
   )
 )"),1.0)</f>
        <v>1</v>
      </c>
      <c r="EG36" s="200">
        <f>IFERROR(__xludf.DUMMYFUNCTION("PRODUCT(
   MAP(
     K$14:ED$14,
     K$13:ED$13,
     K36:ED36,
     LAMBDA(
       buff,
       target,
       check,
       IF(
         AND(check=TRUE, REGEXMATCH(target, ""RANGE_AFFECTED_GCD|RANGE_EFFECTED_GCD""), ISNUMBER(buff)),
         buff,
   "&amp;"      1
       )
     )
   )
 )"),1.0)</f>
        <v>1</v>
      </c>
      <c r="EH36" s="200">
        <f>IFERROR(__xludf.DUMMYFUNCTION("PRODUCT(
   MAP(
     K$3:ED$3,
     K$14:ED$14,
     K$13:ED$13,
     K36:ED36,
     LAMBDA(
       job,
       buff,
       target,
       check,
       IF(
         AND(check=TRUE, REGEXMATCH(target, ""SELF_EFFECTED_ALL""), ISNUMBER(buff), job=""白魔道士"""&amp;"),
         buff,
         1
       )
     )
   )
 )"),1.0)</f>
        <v>1</v>
      </c>
      <c r="EI36" s="200">
        <f>IFERROR(__xludf.DUMMYFUNCTION("PRODUCT(
   MAP(
     K$3:ED$3,
     K$14:ED$14,
     K$13:ED$13,
     K36:ED36,
     LAMBDA(
       job,
       buff,
       target,
       check,
       IF(
         AND(check=TRUE, REGEXMATCH(target, ""SELF_EFFECTED_GCD""), ISNUMBER(buff), job=""白魔道士"""&amp;"),
         buff,
         1
       )
     )
   )
 )"),1.0)</f>
        <v>1</v>
      </c>
      <c r="EJ36" s="200">
        <f>IFERROR(__xludf.DUMMYFUNCTION("PRODUCT(
   MAP(
     K$3:ED$3,
     K$14:ED$14,
     K$13:ED$13,
     K36:ED36,
     LAMBDA(
       job,
       buff,
       target,
       check,
       IF(
         AND(check=TRUE, REGEXMATCH(target, ""SELF_EFFECTED_ALL""), ISNUMBER(buff), job=""占星術師"""&amp;"),
         buff,
         1
       )
     )
   )
 )"),1.0)</f>
        <v>1</v>
      </c>
      <c r="EK36" s="200">
        <f>IFERROR(__xludf.DUMMYFUNCTION("PRODUCT(
   MAP(
     K$3:ED$3,
     K$14:ED$14,
     K$13:ED$13,
     K36:ED36,
     LAMBDA(
       job,
       buff,
       target,
       check,
       IF(
         AND(check=TRUE, REGEXMATCH(target, ""SELF_EFFECTED_GCD""), ISNUMBER(buff), job=""占星術師"""&amp;"),
         buff,
         1
       )
     )
   )
 )"),1.0)</f>
        <v>1</v>
      </c>
      <c r="EL36" s="200">
        <f>IFERROR(__xludf.DUMMYFUNCTION("PRODUCT(
   MAP(
     K$3:ED$3,
     K$14:ED$14,
     K$13:ED$13,
     K36:ED36,
     LAMBDA(
       job,
       buff,
       target,
       check,
       IF(
         AND(check=TRUE, REGEXMATCH(target, ""SELF_EFFECTED_ALL""), ISNUMBER(buff), job=""学者""),"&amp;"
         buff,
         1
       )
     )
   )
 )"),1.0)</f>
        <v>1</v>
      </c>
      <c r="EM36" s="200">
        <f>IFERROR(__xludf.DUMMYFUNCTION("PRODUCT(
   MAP(
     K$3:ED$3,
     K$14:ED$14,
     K$13:ED$13,
     K36:ED36,
     LAMBDA(
       job,
       buff,
       target,
       check,
       IF(
         AND(check=TRUE, REGEXMATCH(target, ""SELF_EFFECTED_GCD""), ISNUMBER(buff), job=""学者""),"&amp;"
         buff,
         1
       )
     )
   )
 )"),1.0)</f>
        <v>1</v>
      </c>
      <c r="EN36" s="200">
        <f>IFERROR(__xludf.DUMMYFUNCTION("PRODUCT(
   MAP(
     K$3:ED$3,
     K$14:ED$14,
     K$13:ED$13,
     K36:ED36,
     LAMBDA(
       job,
       buff,
       target,
       check,
       IF(
         AND(check=TRUE, REGEXMATCH(target, ""SELF_EFFECTED_ALL""), ISNUMBER(buff), job=""賢者""),"&amp;"
         buff,
         1
       )
     )
   )
 )"),1.0)</f>
        <v>1</v>
      </c>
      <c r="EO36" s="200">
        <f>IFERROR(__xludf.DUMMYFUNCTION("PRODUCT(
   MAP(
     K$3:ED$3,
     K$14:ED$14,
     K$13:ED$13,
     K36:ED36,
     LAMBDA(
       job,
       buff,
       target,
       check,
       IF(
         AND(check=TRUE, REGEXMATCH(target, ""SELF_EFFECTED_GCD""), ISNUMBER(buff), job=""賢者""),"&amp;"
         buff,
         1
       )
     )
   )
 )"),1.0)</f>
        <v>1</v>
      </c>
      <c r="EP36" s="201">
        <f t="shared" si="4"/>
        <v>2000</v>
      </c>
      <c r="EQ36" s="201">
        <f>IFERROR(__xludf.DUMMYFUNCTION("SUM(
   MAP(
     K$4:ED$4,
     K$3:ED$3,
     K$7:ED$7,
     K$15:ED$15,
     K$16:ED$16,
     K$21:ED$21,
     K$5:ED$5,
     K$17:ED$17,
     K36:ED36,
     LAMBDA(
       name,
       job,
       abillity,
       buff,
       barrier,
       enhance,"&amp;"
       assign,
       precondition,
       check,
       SWITCH(
         name,
         ""シェイクオフ"", IF(check=TRUE, buff + (0.02 * COUNTIF(ARRAYFORMULA((REGEXMATCH($K$4:$ED$4, ""スリル・オブ・バトル|ヴェンジェンス|原初の血気|ダムネーション"")) * (K36:ED36=TRUE)), 1)), 0),
         "&amp;"""インプロビゼーションフィニッシュ(踊りの激情0)"", IF(ISNUMBER(check), INDEX(Skill!$AJ:$AJ, MATCH(SUBSTITUTE(DV$4, 0, check), Skill!$C:$C, 0)), 0),
         IF(
           AND(check=TRUE, REGEXMATCH(assign, ""RANGE_PARTY"")),
           IF(
             OR(ARRAYFORMULA((IF(pr"&amp;"econdition="""", FALSE, REGEXMATCH($K$4:$ED$4, precondition))) * (K36:ED36=TRUE))),
             enhance,
             IF(barrier="""", buff, barrier)
           ),
           0
         )
       ) *
       SWITCH(
         job,
         ""ナイト"", EY$24,
 "&amp;"        ""戦士"", FD$24,
         ""踊り子"", ET$24,
         ""ピクトマンサー"", ET$24,
         ""白魔道士"", EF36 * EH36 * IF(abillity, 1, EG36 * EI36) * (Option!$D$22 * 0.81 / 100),
         ""占星術師"", EF36 * EJ36 * IF(abillity, 1, EG36 * EK36) * (Option!$D$23 * 0.81 "&amp;"/ 100),
         ""学者"", EF36 * EL36 * IF(abillity, 1, EG36 * EM36) * (Option!$D$24 * 0.81 / 100),
         ""賢者"", EF36 * EN36 * IF(abillity, 1, EG36 * EO36) * (Option!$D$25 * 0.81 / 100),
         1
       )
     )
   )
 )"),0.0)</f>
        <v>0</v>
      </c>
      <c r="ER36" s="202">
        <f t="shared" si="5"/>
        <v>2000</v>
      </c>
      <c r="ES36" s="203">
        <f t="shared" si="6"/>
        <v>0</v>
      </c>
      <c r="ET36" s="204" t="str">
        <f>IFERROR(__xludf.DUMMYFUNCTION("IFS(
  EP36 &gt; $ET$24 + EQ36,
  SPARKLINE({ 1, 0 }, {""charttype"",""bar"";""max"", 1;""color1"",Option!$D$30;""color2"",Option!$D$30}),
  EP36 &lt; EQ36,
  SPARKLINE({EQ36 - EP36, $ET$24 - (EQ36 - EP36)}, {""charttype"",""bar"";""max"",$ET$24;""color1"",Opti"&amp;"on!$D$28;""color2"",Option!$D$29}),
  EP36 &gt;= EQ36,
  SPARKLINE({$ET$24 + EQ36 - EP36,EP36 - EQ36}, {""charttype"",""bar"";""max"",$ET$24;""color1"",Option!$D$29;""color2"",Option!$D$30})
)"),"")</f>
        <v/>
      </c>
      <c r="EU36" s="205">
        <f>IFERROR(__xludf.DUMMYFUNCTION("PRODUCT(
   MAP(
     IF($F36=""Physical"", K$10:ED$10, IF($F36=""Magic"", K$11:ED$11, K$12:ED$12)),
     IF($F36=""Physical"", K$18:ED$18, IF($F36=""Magic"", K$19:ED$19, K$20:ED$20)),
     K$3:ED$3,
     K$5:ED$5,
     K$17:ED$17,
     K36:ED36,
     LAM"&amp;"BDA(
       mitigation,
       enhance,
       job,
       assign,
       precondition,
       check,
       IF(
         OR(AND(check=TRUE, REGEXMATCH(assign, ""SELF""), job=""ナイト""), AND(check=Option!$E$13, REGEXMATCH(assign, ""SINGLE_PARTY""))),
      "&amp;"   IF(
           OR(ARRAYFORMULA((IF(precondition="""", FALSE, REGEXMATCH($K$4:$ED$4, precondition))) * (K36:ED36=TRUE))),
           enhance,
           mitigation
         ),
         1
       )
     )
   )
 ) * EE36"),1.0)</f>
        <v>1</v>
      </c>
      <c r="EV36" s="206">
        <f t="shared" si="7"/>
        <v>1600</v>
      </c>
      <c r="EW36" s="205">
        <f>IFERROR(__xludf.DUMMYFUNCTION("PRODUCT(
   MAP(
     K$3:ED$3,
     K$14:ED$14,
     K$13:ED$13,
     K36:ED36,
     LAMBDA(
       job,
       buff,
       target,
       check,
       IF(
         OR(AND(check=TRUE, REGEXMATCH(target, ""SELF_AFFECTED_ALL""), job=""ナイト""), AND(check=O"&amp;"ption!$E$13, REGEXMATCH(target, ""SINGLE_AFFECTED_ALL""))),
         buff,
         1
       )
     )
   )
 )"),1.0)</f>
        <v>1</v>
      </c>
      <c r="EX36" s="206">
        <f>IFERROR(__xludf.DUMMYFUNCTION("SUM(
   MAP(
     K$3:ED$3,
     K$7:ED$7,
     K$15:ED$15,
     K$16:ED$16,
     K$21:ED$21,
     K$5:ED$5,
     K$17:ED$17,
     K36:ED36,
     LAMBDA(
       job,
       abillity,
       buff,
       barrier,
       enhance,
       assign,
       preco"&amp;"ndition,
       check,
       IF(
         OR(AND(check=TRUE, REGEXMATCH(assign, ""SELF""), job=""ナイト""), AND(check=Option!$E$13, REGEXMATCH(assign, ""SINGLE_PARTY""))),
         IF(
           OR(ARRAYFORMULA((IF(precondition="""", FALSE, REGEXMATCH($K$4"&amp;":$ED$4, precondition))) * (K36:ED36=TRUE))),
           enhance,
           IF(barrier="""", buff, barrier)
         ),
         0
       ) *
       SWITCH(
         job,
         ""暗黒騎士"", EY$24,
         ""白魔道士"", EF36 * EH36 * EW36 * IF(abillity, 1, EG"&amp;"36 * EI36) * (Option!$D$22 * 0.81 / 100),
         ""占星術師"", EF36 * EJ36 * EW36 * IF(abillity, 1, EG36 * EK36) * (Option!$D$23 * 0.81 / 100),
         ""学者"", EF36 * EL36 * EW36 * IF(abillity, 1, EG36 * EM36) * (Option!$D$24 * 0.81 / 100),
         ""賢者"""&amp;", EF36 * EN36 * EW36 * IF(abillity, 1, EG36 * EO36) * (Option!$D$25 * 0.81 / 100),
         1
       )
     )
   )
 ) + EQ36"),0.0)</f>
        <v>0</v>
      </c>
      <c r="EY36" s="206">
        <f t="shared" si="8"/>
        <v>1600</v>
      </c>
      <c r="EZ36" s="205">
        <f>IFERROR(__xludf.DUMMYFUNCTION("PRODUCT(
   MAP(
     IF($F36=""Physical"", K$10:ED$10, IF($F36=""Magic"", K$11:ED$11, K$12:ED$12)),
     IF($F36=""Physical"", K$18:ED$18, IF($F36=""Magic"", K$19:ED$19, K$20:ED$20)),
     K$3:ED$3,
     K$5:ED$5,
     K$17:ED$17,
     K36:ED36,
     LAM"&amp;"BDA(
       mitigation,
       enhance,
       job,
       assign,
       precondition,
       check,
       IF(
         OR(AND(check=TRUE, REGEXMATCH(assign, ""SELF""), job=""戦士""), AND(check=Option!$F$13, REGEXMATCH(assign, ""SINGLE_PARTY""))),
       "&amp;"  IF(
           OR(ARRAYFORMULA((IF(precondition="""", FALSE, REGEXMATCH($K$4:$ED$4, precondition))) * (K36:ED36=TRUE))),
           enhance,
           mitigation
         ),
         1
       )
     )
   )
 ) * EE36"),1.0)</f>
        <v>1</v>
      </c>
      <c r="FA36" s="206">
        <f t="shared" si="9"/>
        <v>1600</v>
      </c>
      <c r="FB36" s="205">
        <f>IFERROR(__xludf.DUMMYFUNCTION("PRODUCT(
   MAP(
     K$3:ED$3,
     K$14:ED$14,
     K$13:ED$13,
     K36:ED36,
     LAMBDA(
       job,
       buff,
       target,
       check,
       IF(
         OR(AND(check=TRUE, REGEXMATCH(target, ""SELF_AFFECTED_ALL""), job=""戦士""), AND(check=Op"&amp;"tion!$F$13, REGEXMATCH(target, ""SINGLE_AFFECTED_ALL""))),
         buff,
         1
       )
     )
   )
 )"),1.0)</f>
        <v>1</v>
      </c>
      <c r="FC36" s="206">
        <f>IFERROR(__xludf.DUMMYFUNCTION("SUM(
   MAP(
     K$3:ED$3,
     K$7:ED$7,
     K$15:ED$15,
     K$16:ED$16,
     K$21:ED$21,
     K$5:ED$5,
     K$17:ED$17,
     K36:ED36,
     LAMBDA(
       job,
       abillity,
       buff,
       barrier,
       enhance,
       assign,
       preco"&amp;"ndition,
       check,
       IF(
         OR(AND(check=TRUE, REGEXMATCH(assign, ""SELF""), job=""戦士""), AND(check=Option!$F$13, REGEXMATCH(assign, ""SINGLE_PARTY""))),
         IF(
           OR(ARRAYFORMULA((IF(precondition="""", FALSE, REGEXMATCH($K$4:"&amp;"$ED$4, precondition))) * (K36:ED36=TRUE))),
           enhance,
           IF(barrier="""", buff, barrier)
         ),
         0
       ) *
       SWITCH(
         job,
         ""暗黒騎士"", FD$24,
         ""白魔道士"", EF36 * EH36 * FB36 * IF(abillity, 1, EG3"&amp;"6 * EI36) * (Option!$D$22 * 0.81 / 100),
         ""占星術師"", EF36 * EJ36 * FFB36 * IF(abillity, 1, EG36 * EK36) * (Option!$D$23 * 0.81 / 100),
         ""学者"", EF36 * EL36 * FB36 * IF(abillity, 1, EG36 * EM36) * (Option!$D$24 * 0.81 / 100),
         ""賢者"""&amp;", EF36 * EN36 * FB36 * IF(abillity, 1, EG36 * EO36) * (Option!$D$25 * 0.81 / 100),
         1
       )
     )
   )
 ) + EQ36"),0.0)</f>
        <v>0</v>
      </c>
      <c r="FD36" s="206">
        <f t="shared" si="10"/>
        <v>1600</v>
      </c>
      <c r="FE36" s="205">
        <f>IFERROR(__xludf.DUMMYFUNCTION("PRODUCT(
   MAP(
     IF($F36=""Physical"", K$10:ED$10, IF($F36=""Magic"", K$11:ED$11, K$12:ED$12)),
     IF($F36=""Physical"", K$18:ED$18, IF($F36=""Magic"", K$19:ED$19, K$20:ED$20)),
     K$3:ED$3,
     K$5:ED$5,
     K$17:ED$17,
     K36:ED36,
     LAM"&amp;"BDA(
       mitigation,
       enhance,
       job,
       assign,
       precondition,
       check,
       IF(
         OR(AND(check=TRUE, REGEXMATCH(assign, ""SELF""), job=""暗黒騎士""), AND(check=Option!$G$13, REGEXMATCH(assign, ""SINGLE_PARTY""))),
     "&amp;"    IF(
           OR(ARRAYFORMULA((IF(precondition="""", FALSE, REGEXMATCH($K$4:$ED$4, precondition))) * (K36:ED36=TRUE))),
           enhance,
           mitigation
         ),
         1
       )
     )
   )
 ) * EE36"),1.0)</f>
        <v>1</v>
      </c>
      <c r="FF36" s="206">
        <f t="shared" si="11"/>
        <v>1600</v>
      </c>
      <c r="FG36" s="205">
        <f>IFERROR(__xludf.DUMMYFUNCTION("PRODUCT(
   MAP(
     K$3:ED$3,
     K$14:ED$14,
     K$13:ED$13,
     K36:ED36,
     LAMBDA(
       job,
       buff,
       target,
       check,
       IF(
         OR(AND(check=TRUE, REGEXMATCH(target, ""SELF_AFFECTED_ALL""), job=""暗黒騎士""), AND(check="&amp;"Option!$G$13, REGEXMATCH(target, ""SINGLE_AFFECTED_ALL""))),
         buff,
         1
       )
     )
   )
 )"),1.0)</f>
        <v>1</v>
      </c>
      <c r="FH36" s="206">
        <f>IFERROR(__xludf.DUMMYFUNCTION("SUM(
   MAP(
     K$3:ED$3,
     K$7:ED$7,
     K$15:ED$15,
     K$16:ED$16,
     K$21:ED$21,
     K$5:ED$5,
     K$17:ED$17,
     K36:ED36,
     LAMBDA(
       job,
       abillity,
       buff,
       barrier,
       enhance,
       assign,
       preco"&amp;"ndition,
       check,
       IF(
         OR(AND(check=TRUE, REGEXMATCH(assign, ""SELF""), job=""暗黒騎士""), AND(check=Option!$G$13, REGEXMATCH(assign, ""SINGLE_PARTY""))),
         IF(
           OR(ARRAYFORMULA((IF(precondition="""", FALSE, REGEXMATCH($K$"&amp;"4:$ED$4, precondition))) * (K36:ED36=TRUE))),
           enhance,
           IF(barrier="""", buff, barrier)
         ),
         0
       ) *
       SWITCH(
         job,
         ""暗黒騎士"", FI$24,
         ""白魔道士"", EF36 * EH36 * FG36 * IF(abillity, 1, E"&amp;"G36 * EI36) * (Option!$D$22 * 0.81 / 100),
         ""占星術師"", EF36 * EJ36 * FG36 * IF(abillity, 1, EG36 * EK36) * (Option!$D$23 * 0.81 / 100),
         ""学者"", EF36 * EL36 * FG36 * IF(abillity, 1, EG36 * EM36) * (Option!$D$24 * 0.81 / 100),
         ""賢者"&amp;""", EF36 * EN36 * FG36 * IF(abillity, 1, EG36 * EO36) * (Option!$D$25 * 0.81 / 100),
         1
       )
     )
   )
 ) + EQ36"),0.0)</f>
        <v>0</v>
      </c>
      <c r="FI36" s="206">
        <f t="shared" si="12"/>
        <v>1600</v>
      </c>
      <c r="FJ36" s="205">
        <f>IFERROR(__xludf.DUMMYFUNCTION("PRODUCT(
   MAP(
     IF($F36=""Physical"", K$10:ED$10, IF($F36=""Magic"", K$11:ED$11, K$12:ED$12)),
     IF($F36=""Physical"", K$18:ED$18, IF($F36=""Magic"", K$19:ED$19, K$20:ED$20)),
     K$3:ED$3,
     K$5:ED$5,
     K$17:ED$17,
     K36:ED36,
     LAM"&amp;"BDA(
       mitigation,
       enhance,
       job,
       assign,
       precondition,
       check,
       IF(
         OR(AND(check=TRUE, REGEXMATCH(assign, ""SELF""), job=""ガンブレイカー""), AND(check=Option!$H$13, REGEXMATCH(assign, ""SINGLE_PARTY""))),
  "&amp;"       IF(
           OR(ARRAYFORMULA((IF(precondition="""", FALSE, REGEXMATCH($K$4:$ED$4, precondition))) * (K36:ED36=TRUE))),
           enhance,
           mitigation
         ),
         1
       )
     )
   )
 ) * EE36"),1.0)</f>
        <v>1</v>
      </c>
      <c r="FK36" s="206">
        <f t="shared" si="13"/>
        <v>1600</v>
      </c>
      <c r="FL36" s="205">
        <f>IFERROR(__xludf.DUMMYFUNCTION("PRODUCT(
   MAP(
     K$3:ED$3,
     K$14:ED$14,
     K$13:ED$13,
     K36:ED36,
     LAMBDA(
       job,
       buff,
       target,
       check,
       IF(
         OR(AND(check=TRUE, REGEXMATCH(target, ""SELF_AFFECTED_ALL""), job=""ガンブレイカー""), AND(che"&amp;"ck=Option!$H$13, REGEXMATCH(target, ""SINGLE_AFFECTED_ALL""))),
         buff,
         1
       )
     )
   )
 )"),1.0)</f>
        <v>1</v>
      </c>
      <c r="FM36" s="206">
        <f>IFERROR(__xludf.DUMMYFUNCTION("SUM(
   MAP(
     K$3:ED$3,
     K$7:ED$7,
     K$15:ED$15,
     K$16:ED$16,
     K$21:ED$21,
     K$5:ED$5,
     K$17:ED$17,
     K36:ED36,
     LAMBDA(
       job,
       abillity,
       buff,
       barrier,
       enhance,
       assign,
       preco"&amp;"ndition,
       check,
       IF(
         OR(AND(check=TRUE, REGEXMATCH(assign, ""SELF""), job=""ガンブレイカー""), AND(check=Option!$H$13, REGEXMATCH(assign, ""SINGLE_PARTY""))),
         IF(
           OR(ARRAYFORMULA((IF(precondition="""", FALSE, REGEXMATCH("&amp;"$K$4:$ED$4, precondition))) * (K36:ED36=TRUE))),
           enhance,
           IF(barrier="""", buff, barrier)
         ),
         0
       ) *
       SWITCH(
         job,
         ""暗黒騎士"", FN$24,
         ""白魔道士"", EF36 * EH36 * FL36 * IF(abillity, 1"&amp;", EG36 * EI36) * (Option!$D$22 * 0.81 / 100),
         ""占星術師"", EF36 * EJ36 * FL36 * IF(abillity, 1, EG36 * EK36) * (Option!$D$23 * 0.81 / 100),
         ""学者"", EF36 * EL36 * FL36 * IF(abillity, 1, EG36 * EM36) * (Option!$D$24 * 0.81 / 100),
         """&amp;"賢者"", EF36 * EN36 * FL36 * IF(abillity, 1, EG36 * EO36) * (Option!$D$25 * 0.81 / 100),
         1
       )
     )
   )
 ) + EQ36"),0.0)</f>
        <v>0</v>
      </c>
      <c r="FN36" s="206">
        <f t="shared" si="14"/>
        <v>1600</v>
      </c>
      <c r="FO36" s="213"/>
    </row>
    <row r="37">
      <c r="B37" s="208"/>
      <c r="C37" s="217">
        <f t="shared" si="1"/>
        <v>0.0009375</v>
      </c>
      <c r="D37" s="225">
        <v>9.375E-4</v>
      </c>
      <c r="E37" s="228" t="s">
        <v>1078</v>
      </c>
      <c r="F37" s="167" t="s">
        <v>10</v>
      </c>
      <c r="G37" s="168" t="str">
        <f t="shared" si="15"/>
        <v/>
      </c>
      <c r="H37" s="169">
        <v>800.0</v>
      </c>
      <c r="I37" s="169"/>
      <c r="J37" s="169"/>
      <c r="K37" s="170" t="b">
        <v>0</v>
      </c>
      <c r="L37" s="170" t="b">
        <v>0</v>
      </c>
      <c r="M37" s="170" t="b">
        <v>0</v>
      </c>
      <c r="N37" s="171" t="s">
        <v>1070</v>
      </c>
      <c r="O37" s="172" t="b">
        <v>0</v>
      </c>
      <c r="P37" s="173" t="b">
        <v>0</v>
      </c>
      <c r="Q37" s="173" t="b">
        <v>0</v>
      </c>
      <c r="R37" s="173" t="b">
        <v>0</v>
      </c>
      <c r="S37" s="174" t="b">
        <v>0</v>
      </c>
      <c r="T37" s="175" t="b">
        <v>0</v>
      </c>
      <c r="U37" s="173" t="b">
        <v>0</v>
      </c>
      <c r="V37" s="171" t="s">
        <v>1070</v>
      </c>
      <c r="W37" s="172" t="b">
        <v>0</v>
      </c>
      <c r="X37" s="173" t="b">
        <v>0</v>
      </c>
      <c r="Y37" s="173" t="b">
        <v>0</v>
      </c>
      <c r="Z37" s="173" t="b">
        <v>0</v>
      </c>
      <c r="AA37" s="174" t="b">
        <v>0</v>
      </c>
      <c r="AB37" s="174" t="b">
        <v>0</v>
      </c>
      <c r="AC37" s="175" t="b">
        <v>0</v>
      </c>
      <c r="AD37" s="173" t="b">
        <v>0</v>
      </c>
      <c r="AE37" s="176" t="s">
        <v>1070</v>
      </c>
      <c r="AF37" s="171" t="s">
        <v>1070</v>
      </c>
      <c r="AG37" s="177">
        <f>IFERROR(__xludf.DUMMYFUNCTION("IF(
  ISNUMBER(AG36),
  MIN(MAX(
    AG36
    + MAX(
      ROUNDDOWN(($D38 - MAX(IFERROR(FILTER($D$24:$D37, AG$24:AG36 &lt;&gt; AF$6, AG$23:AG35 = AF$6), 0))) * (60 * 60 * 24) / AF$9) - ROUNDDOWN(($D37 - MAX(IFERROR(FILTER($D$23:$D36, AG$23:AG35 &lt;&gt; AF$6, AG$22:"&amp;"AG34 = AF$6), 0))) * (60 * 60 * 24) / 60),
      0
    )
    - COUNTIF(AF37, ""&lt;&gt;-""),
  0), AF$6),
  AF$6 - COUNTIF(AF37, ""&lt;&gt;-"")
)"),2.0)</f>
        <v>2</v>
      </c>
      <c r="AH37" s="173" t="b">
        <v>0</v>
      </c>
      <c r="AI37" s="173" t="b">
        <v>0</v>
      </c>
      <c r="AJ37" s="173" t="b">
        <v>0</v>
      </c>
      <c r="AK37" s="174" t="b">
        <v>0</v>
      </c>
      <c r="AL37" s="175" t="b">
        <v>0</v>
      </c>
      <c r="AM37" s="173" t="b">
        <v>0</v>
      </c>
      <c r="AN37" s="171" t="s">
        <v>1070</v>
      </c>
      <c r="AO37" s="173" t="b">
        <v>0</v>
      </c>
      <c r="AP37" s="173" t="b">
        <v>0</v>
      </c>
      <c r="AQ37" s="173" t="b">
        <v>0</v>
      </c>
      <c r="AR37" s="174" t="b">
        <v>0</v>
      </c>
      <c r="AS37" s="178" t="b">
        <v>0</v>
      </c>
      <c r="AT37" s="179" t="b">
        <v>0</v>
      </c>
      <c r="AU37" s="180" t="b">
        <v>0</v>
      </c>
      <c r="AV37" s="180" t="b">
        <v>0</v>
      </c>
      <c r="AW37" s="180" t="b">
        <v>0</v>
      </c>
      <c r="AX37" s="180" t="b">
        <v>0</v>
      </c>
      <c r="AY37" s="181" t="s">
        <v>1070</v>
      </c>
      <c r="AZ37" s="181" t="s">
        <v>1070</v>
      </c>
      <c r="BA37" s="184">
        <f>IFERROR(__xludf.DUMMYFUNCTION("IF(
  ISNUMBER(BA36),
  MIN(MAX(
    BA36
    + MAX(
      ROUNDDOWN((D38 - MAX(IFERROR(FILTER(D$24:D37, BA$24:BA36 &lt;&gt; AZ$6, BA$23:BA35 = AZ$6), 0))) * (60 * 60 * 24) / AZ$9) - ROUNDDOWN((D37 - MAX(IFERROR(FILTER(D$23:D36, BA$23:BA35 &lt;&gt; AZ$6, BA$22:BA34 ="&amp;" AZ$6), 0))) * (60 * 60 * 24) / AZ$9),
      0
    )
    - COUNTIF(AZ37, ""&lt;&gt;-""),
  0), AZ$6),
  AZ$6 - COUNTIF(AZ37, ""&lt;&gt;-"")
)"),2.0)</f>
        <v>2</v>
      </c>
      <c r="BB37" s="181" t="s">
        <v>1070</v>
      </c>
      <c r="BC37" s="183">
        <f>IFERROR(__xludf.DUMMYFUNCTION("IF(
  ISNUMBER(BC36),
  MIN(MAX(
    BC36
    + MAX(
      ROUNDDOWN(($D38 - MAX(IFERROR(FILTER($D$24:$D37, BC$24:BC36 &lt;&gt; BB$6, BC$23:BC35 = BB$6), 0))) * (60 * 60 * 24) / BB$9) - ROUNDDOWN(($D37 - MAX(IFERROR(FILTER($D$23:$D36, BC$23:BC35 &lt;&gt; BB$6, BC$22:"&amp;"BC34 = BB$6), 0))) * (60 * 60 * 24) / 60),
      0
    )
    - COUNTIF(BB37, ""&lt;&gt;-""),
  0), BB$6),
  BB$6 - COUNTIF(BB37, ""&lt;&gt;-"")
)"),2.0)</f>
        <v>2</v>
      </c>
      <c r="BD37" s="181" t="s">
        <v>1070</v>
      </c>
      <c r="BE37" s="178" t="b">
        <v>0</v>
      </c>
      <c r="BF37" s="180" t="b">
        <v>0</v>
      </c>
      <c r="BG37" s="180" t="b">
        <v>0</v>
      </c>
      <c r="BH37" s="180" t="b">
        <v>0</v>
      </c>
      <c r="BI37" s="180" t="b">
        <v>0</v>
      </c>
      <c r="BJ37" s="180" t="b">
        <v>0</v>
      </c>
      <c r="BK37" s="180" t="b">
        <v>0</v>
      </c>
      <c r="BL37" s="180" t="b">
        <v>0</v>
      </c>
      <c r="BM37" s="180" t="b">
        <v>0</v>
      </c>
      <c r="BN37" s="180" t="b">
        <v>0</v>
      </c>
      <c r="BO37" s="181" t="s">
        <v>1070</v>
      </c>
      <c r="BP37" s="181" t="s">
        <v>1070</v>
      </c>
      <c r="BQ37" s="181" t="s">
        <v>1070</v>
      </c>
      <c r="BR37" s="181" t="s">
        <v>1070</v>
      </c>
      <c r="BS37" s="181" t="s">
        <v>1070</v>
      </c>
      <c r="BT37" s="184">
        <f>IFERROR(__xludf.DUMMYFUNCTION("IF(
  ISNUMBER(BT36),
  MIN(MAX(
    BT36
    + MAX(
      ROUNDDOWN((D38 - MAX(IFERROR(FILTER(D$24:D37, BT$24:BT36 &lt;&gt; BS$6, BT$23:BT35 = BS$6), 0))) * (60 * 60 * 24) / BS$9) - ROUNDDOWN((D37 - MAX(IFERROR(FILTER(D$23:D36, BT$23:BT35 &lt;&gt; BS$6, BT$22:BT34 ="&amp;" BS$6), 0))) * (60 * 60 * 24) / BS$9),
      0
    )
    - COUNTIF(BS37, ""&lt;&gt;-""),
  0), BS$6),
  BS$6 - COUNTIF(BS37, ""&lt;&gt;-"")
)"),3.0)</f>
        <v>3</v>
      </c>
      <c r="BU37" s="181" t="s">
        <v>1070</v>
      </c>
      <c r="BV37" s="181" t="s">
        <v>1070</v>
      </c>
      <c r="BW37" s="184">
        <f>IFERROR(__xludf.DUMMYFUNCTION("IF(
  ISNUMBER(BW36),
  MIN(MAX(
    BW36
    + MAX(
      ROUNDDOWN((D38 - MAX(IFERROR(FILTER(D$24:D37, BW$24:BW36 &lt;&gt; BV$6, BW$23:BW35 = BV$6), 0))) * (60 * 60 * 24) / BV$9) - ROUNDDOWN((D37 - MAX(IFERROR(FILTER(D$23:D36, BW$23:BW35 &lt;&gt; BV$6, BW$22:BW34 ="&amp;" BV$6), 0))) * (60 * 60 * 24) / BV$9),
      0
    )
    - COUNTIF(BV37, ""&lt;&gt;-""),
  0), BV$6),
  BV$6 - COUNTIF(BV37, ""&lt;&gt;-"")
)"),2.0)</f>
        <v>2</v>
      </c>
      <c r="BX37" s="185" t="s">
        <v>1070</v>
      </c>
      <c r="BY37" s="178" t="b">
        <v>0</v>
      </c>
      <c r="BZ37" s="180" t="b">
        <v>0</v>
      </c>
      <c r="CA37" s="180" t="b">
        <v>0</v>
      </c>
      <c r="CB37" s="180" t="b">
        <v>0</v>
      </c>
      <c r="CC37" s="180" t="b">
        <v>0</v>
      </c>
      <c r="CD37" s="180" t="b">
        <v>0</v>
      </c>
      <c r="CE37" s="180" t="b">
        <v>0</v>
      </c>
      <c r="CF37" s="180" t="b">
        <v>0</v>
      </c>
      <c r="CG37" s="180" t="b">
        <v>0</v>
      </c>
      <c r="CH37" s="180" t="b">
        <v>0</v>
      </c>
      <c r="CI37" s="180" t="b">
        <v>0</v>
      </c>
      <c r="CJ37" s="180" t="b">
        <v>0</v>
      </c>
      <c r="CK37" s="180" t="b">
        <v>0</v>
      </c>
      <c r="CL37" s="180" t="b">
        <v>0</v>
      </c>
      <c r="CM37" s="181" t="s">
        <v>1070</v>
      </c>
      <c r="CN37" s="181" t="s">
        <v>1070</v>
      </c>
      <c r="CO37" s="181" t="s">
        <v>1070</v>
      </c>
      <c r="CP37" s="181" t="s">
        <v>1070</v>
      </c>
      <c r="CQ37" s="185" t="s">
        <v>1070</v>
      </c>
      <c r="CR37" s="180" t="b">
        <v>0</v>
      </c>
      <c r="CS37" s="186" t="str">
        <f t="shared" si="3"/>
        <v>◇◇◇</v>
      </c>
      <c r="CT37" s="178" t="b">
        <v>0</v>
      </c>
      <c r="CU37" s="180" t="b">
        <v>0</v>
      </c>
      <c r="CV37" s="180" t="b">
        <v>0</v>
      </c>
      <c r="CW37" s="180" t="b">
        <v>0</v>
      </c>
      <c r="CX37" s="180" t="b">
        <v>0</v>
      </c>
      <c r="CY37" s="180" t="b">
        <v>0</v>
      </c>
      <c r="CZ37" s="180" t="b">
        <v>0</v>
      </c>
      <c r="DA37" s="180" t="b">
        <v>0</v>
      </c>
      <c r="DB37" s="180" t="b">
        <v>0</v>
      </c>
      <c r="DC37" s="180" t="b">
        <v>0</v>
      </c>
      <c r="DD37" s="181" t="s">
        <v>1070</v>
      </c>
      <c r="DE37" s="181" t="s">
        <v>1070</v>
      </c>
      <c r="DF37" s="181" t="s">
        <v>1070</v>
      </c>
      <c r="DG37" s="185" t="s">
        <v>1070</v>
      </c>
      <c r="DH37" s="180" t="b">
        <v>0</v>
      </c>
      <c r="DI37" s="187" t="str">
        <f>IFERROR(__xludf.DUMMYFUNCTION("SWITCH(
  IF(
    ISTEXT(DI36),
    IF (
      FIND(""○"", DI36&amp;""○"") &gt; 3,
      3,
      FIND(""○"", DI36&amp;""○"")
      + MAX(
        ROUNDDOWN(($D38 - MAX(IFERROR(FILTER(D$24:D37, DI$24:DI36 &lt;&gt; ""●●●"", DI$23:DI35 = ""●●●""), 0))) * (60 * 60 * 24) / 20"&amp;") - ROUNDDOWN(($D37 - MAX(IFERROR(FILTER(D$23:D36, DI$23:DI35 &lt;&gt; ""●●●"", DI$22:DI34 = ""●●●""), 0))) * (60 * 60 * 24) / 20),
        0
      ) - 1
    ) - COUNTIFS(CU37, ""=TRUE"", CU36, ""&lt;&gt;TRUE"") - COUNTIF(CZ37, ""=TRUE"") - COUNTIF({DD37,DE37}, ""&lt;&gt;-"&amp;""") + COUNTIF(DH37, ""=TRUE""),
    3
  ),
  0, ""○○○"", 1, ""●○○"", 2, ""●●○"", 3, ""●●●"", 4, ""●●●"", ""○○○""
)"),"●●●")</f>
        <v>●●●</v>
      </c>
      <c r="DJ37" s="188" t="b">
        <v>0</v>
      </c>
      <c r="DK37" s="189" t="b">
        <v>0</v>
      </c>
      <c r="DL37" s="190" t="b">
        <v>0</v>
      </c>
      <c r="DM37" s="190" t="b">
        <v>0</v>
      </c>
      <c r="DN37" s="190" t="b">
        <v>0</v>
      </c>
      <c r="DO37" s="190" t="b">
        <v>0</v>
      </c>
      <c r="DP37" s="190" t="b">
        <v>0</v>
      </c>
      <c r="DQ37" s="191" t="b">
        <v>0</v>
      </c>
      <c r="DR37" s="192" t="b">
        <v>0</v>
      </c>
      <c r="DS37" s="191" t="b">
        <v>0</v>
      </c>
      <c r="DT37" s="192" t="b">
        <v>0</v>
      </c>
      <c r="DU37" s="191" t="b">
        <v>0</v>
      </c>
      <c r="DV37" s="193" t="s">
        <v>1070</v>
      </c>
      <c r="DW37" s="194" t="b">
        <v>0</v>
      </c>
      <c r="DX37" s="194" t="b">
        <v>0</v>
      </c>
      <c r="DY37" s="195" t="b">
        <v>0</v>
      </c>
      <c r="DZ37" s="196" t="b">
        <v>0</v>
      </c>
      <c r="EA37" s="195" t="b">
        <v>0</v>
      </c>
      <c r="EB37" s="197" t="b">
        <v>0</v>
      </c>
      <c r="EC37" s="197" t="b">
        <v>0</v>
      </c>
      <c r="ED37" s="212" t="b">
        <v>0</v>
      </c>
      <c r="EE37" s="199">
        <f>IFERROR(__xludf.DUMMYFUNCTION("IFERROR(
   PRODUCT(
     MAP(
       INDEX(TRANSPOSE(UNIQUE(TRANSPOSE(FILTER({IF($F37=""Physical"", K$10:ED$10, IF($F37=""Magic"", K$11:ED$11, K$12:ED$12));K$4:ED$4;K37:ED37}, K37:ED37=TRUE)))), 1, 0),
       INDEX(TRANSPOSE(UNIQUE(TRANSPOSE(FILTER({IF($"&amp;"F37=""Physical"", K$18:ED$18, IF($F37=""Magic"", K$19:ED$19, K$20:ED$20));K$4:ED$4;K37:ED37}, K37:ED37=TRUE)))), 1, 0),
       INDEX(TRANSPOSE(UNIQUE(TRANSPOSE(FILTER({K$5:ED$5;K$4:ED$4;K37:ED37}, K37:ED37=TRUE)))), 1, 0),
       INDEX(TRANSPOSE(UNIQUE(TR"&amp;"ANSPOSE(FILTER({K$17:ED$17;K$4:ED$4;K37:ED37}, K37:ED37=TRUE)))), 1, 0),
       LAMBDA(
         mitigation,
         enhance,
         assign,
         precondition,
         IF(
           REGEXMATCH(assign, ""RANGE_PARTY|SINGLE_ENEMY|RANGE_ENEMY""),
  "&amp;"         IF(
             OR(ARRAYFORMULA((IF(precondition="""", FALSE, REGEXMATCH(K$4:ED$4, precondition))) * (K37:ED37=TRUE))),
             IF(ISNUMBER(enhance), enhance, 1),
             IF(ISNUMBER(mitigation), mitigation, 1)
           ),
          "&amp;" 1
         )
       )
     )
   ),
   1
 )"),1.0)</f>
        <v>1</v>
      </c>
      <c r="EF37" s="200">
        <f>IFERROR(__xludf.DUMMYFUNCTION("PRODUCT(
   MAP(
     K$14:ED$14,
     K$13:ED$13,
     K37:ED37,
     LAMBDA(
       buff,
       target,
       check,
       IF(
         AND(check=TRUE, REGEXMATCH(target, ""RANGE_AFFECTED_ALL|RANGE_EFFECTED_ALL""), ISNUMBER(buff)),
         buff,
   "&amp;"      1
       )
     )
   )
 )"),1.0)</f>
        <v>1</v>
      </c>
      <c r="EG37" s="200">
        <f>IFERROR(__xludf.DUMMYFUNCTION("PRODUCT(
   MAP(
     K$14:ED$14,
     K$13:ED$13,
     K37:ED37,
     LAMBDA(
       buff,
       target,
       check,
       IF(
         AND(check=TRUE, REGEXMATCH(target, ""RANGE_AFFECTED_GCD|RANGE_EFFECTED_GCD""), ISNUMBER(buff)),
         buff,
   "&amp;"      1
       )
     )
   )
 )"),1.0)</f>
        <v>1</v>
      </c>
      <c r="EH37" s="200">
        <f>IFERROR(__xludf.DUMMYFUNCTION("PRODUCT(
   MAP(
     K$3:ED$3,
     K$14:ED$14,
     K$13:ED$13,
     K37:ED37,
     LAMBDA(
       job,
       buff,
       target,
       check,
       IF(
         AND(check=TRUE, REGEXMATCH(target, ""SELF_EFFECTED_ALL""), ISNUMBER(buff), job=""白魔道士"""&amp;"),
         buff,
         1
       )
     )
   )
 )"),1.0)</f>
        <v>1</v>
      </c>
      <c r="EI37" s="200">
        <f>IFERROR(__xludf.DUMMYFUNCTION("PRODUCT(
   MAP(
     K$3:ED$3,
     K$14:ED$14,
     K$13:ED$13,
     K37:ED37,
     LAMBDA(
       job,
       buff,
       target,
       check,
       IF(
         AND(check=TRUE, REGEXMATCH(target, ""SELF_EFFECTED_GCD""), ISNUMBER(buff), job=""白魔道士"""&amp;"),
         buff,
         1
       )
     )
   )
 )"),1.0)</f>
        <v>1</v>
      </c>
      <c r="EJ37" s="200">
        <f>IFERROR(__xludf.DUMMYFUNCTION("PRODUCT(
   MAP(
     K$3:ED$3,
     K$14:ED$14,
     K$13:ED$13,
     K37:ED37,
     LAMBDA(
       job,
       buff,
       target,
       check,
       IF(
         AND(check=TRUE, REGEXMATCH(target, ""SELF_EFFECTED_ALL""), ISNUMBER(buff), job=""占星術師"""&amp;"),
         buff,
         1
       )
     )
   )
 )"),1.0)</f>
        <v>1</v>
      </c>
      <c r="EK37" s="200">
        <f>IFERROR(__xludf.DUMMYFUNCTION("PRODUCT(
   MAP(
     K$3:ED$3,
     K$14:ED$14,
     K$13:ED$13,
     K37:ED37,
     LAMBDA(
       job,
       buff,
       target,
       check,
       IF(
         AND(check=TRUE, REGEXMATCH(target, ""SELF_EFFECTED_GCD""), ISNUMBER(buff), job=""占星術師"""&amp;"),
         buff,
         1
       )
     )
   )
 )"),1.0)</f>
        <v>1</v>
      </c>
      <c r="EL37" s="200">
        <f>IFERROR(__xludf.DUMMYFUNCTION("PRODUCT(
   MAP(
     K$3:ED$3,
     K$14:ED$14,
     K$13:ED$13,
     K37:ED37,
     LAMBDA(
       job,
       buff,
       target,
       check,
       IF(
         AND(check=TRUE, REGEXMATCH(target, ""SELF_EFFECTED_ALL""), ISNUMBER(buff), job=""学者""),"&amp;"
         buff,
         1
       )
     )
   )
 )"),1.0)</f>
        <v>1</v>
      </c>
      <c r="EM37" s="200">
        <f>IFERROR(__xludf.DUMMYFUNCTION("PRODUCT(
   MAP(
     K$3:ED$3,
     K$14:ED$14,
     K$13:ED$13,
     K37:ED37,
     LAMBDA(
       job,
       buff,
       target,
       check,
       IF(
         AND(check=TRUE, REGEXMATCH(target, ""SELF_EFFECTED_GCD""), ISNUMBER(buff), job=""学者""),"&amp;"
         buff,
         1
       )
     )
   )
 )"),1.0)</f>
        <v>1</v>
      </c>
      <c r="EN37" s="200">
        <f>IFERROR(__xludf.DUMMYFUNCTION("PRODUCT(
   MAP(
     K$3:ED$3,
     K$14:ED$14,
     K$13:ED$13,
     K37:ED37,
     LAMBDA(
       job,
       buff,
       target,
       check,
       IF(
         AND(check=TRUE, REGEXMATCH(target, ""SELF_EFFECTED_ALL""), ISNUMBER(buff), job=""賢者""),"&amp;"
         buff,
         1
       )
     )
   )
 )"),1.0)</f>
        <v>1</v>
      </c>
      <c r="EO37" s="200">
        <f>IFERROR(__xludf.DUMMYFUNCTION("PRODUCT(
   MAP(
     K$3:ED$3,
     K$14:ED$14,
     K$13:ED$13,
     K37:ED37,
     LAMBDA(
       job,
       buff,
       target,
       check,
       IF(
         AND(check=TRUE, REGEXMATCH(target, ""SELF_EFFECTED_GCD""), ISNUMBER(buff), job=""賢者""),"&amp;"
         buff,
         1
       )
     )
   )
 )"),1.0)</f>
        <v>1</v>
      </c>
      <c r="EP37" s="201">
        <f t="shared" si="4"/>
        <v>800</v>
      </c>
      <c r="EQ37" s="201">
        <f>IFERROR(__xludf.DUMMYFUNCTION("SUM(
   MAP(
     K$4:ED$4,
     K$3:ED$3,
     K$7:ED$7,
     K$15:ED$15,
     K$16:ED$16,
     K$21:ED$21,
     K$5:ED$5,
     K$17:ED$17,
     K37:ED37,
     LAMBDA(
       name,
       job,
       abillity,
       buff,
       barrier,
       enhance,"&amp;"
       assign,
       precondition,
       check,
       SWITCH(
         name,
         ""シェイクオフ"", IF(check=TRUE, buff + (0.02 * COUNTIF(ARRAYFORMULA((REGEXMATCH($K$4:$ED$4, ""スリル・オブ・バトル|ヴェンジェンス|原初の血気|ダムネーション"")) * (K37:ED37=TRUE)), 1)), 0),
         "&amp;"""インプロビゼーションフィニッシュ(踊りの激情0)"", IF(ISNUMBER(check), INDEX(Skill!$AJ:$AJ, MATCH(SUBSTITUTE(DV$4, 0, check), Skill!$C:$C, 0)), 0),
         IF(
           AND(check=TRUE, REGEXMATCH(assign, ""RANGE_PARTY"")),
           IF(
             OR(ARRAYFORMULA((IF(pr"&amp;"econdition="""", FALSE, REGEXMATCH($K$4:$ED$4, precondition))) * (K37:ED37=TRUE))),
             enhance,
             IF(barrier="""", buff, barrier)
           ),
           0
         )
       ) *
       SWITCH(
         job,
         ""ナイト"", EY$24,
 "&amp;"        ""戦士"", FD$24,
         ""踊り子"", ET$24,
         ""ピクトマンサー"", ET$24,
         ""白魔道士"", EF37 * EH37 * IF(abillity, 1, EG37 * EI37) * (Option!$D$22 * 0.81 / 100),
         ""占星術師"", EF37 * EJ37 * IF(abillity, 1, EG37 * EK37) * (Option!$D$23 * 0.81 "&amp;"/ 100),
         ""学者"", EF37 * EL37 * IF(abillity, 1, EG37 * EM37) * (Option!$D$24 * 0.81 / 100),
         ""賢者"", EF37 * EN37 * IF(abillity, 1, EG37 * EO37) * (Option!$D$25 * 0.81 / 100),
         1
       )
     )
   )
 )"),0.0)</f>
        <v>0</v>
      </c>
      <c r="ER37" s="202">
        <f t="shared" si="5"/>
        <v>800</v>
      </c>
      <c r="ES37" s="203">
        <f t="shared" si="6"/>
        <v>0</v>
      </c>
      <c r="ET37" s="204" t="str">
        <f>IFERROR(__xludf.DUMMYFUNCTION("IFS(
  EP37 &gt; $ET$24 + EQ37,
  SPARKLINE({ 1, 0 }, {""charttype"",""bar"";""max"", 1;""color1"",Option!$D$30;""color2"",Option!$D$30}),
  EP37 &lt; EQ37,
  SPARKLINE({EQ37 - EP37, $ET$24 - (EQ37 - EP37)}, {""charttype"",""bar"";""max"",$ET$24;""color1"",Opti"&amp;"on!$D$28;""color2"",Option!$D$29}),
  EP37 &gt;= EQ37,
  SPARKLINE({$ET$24 + EQ37 - EP37,EP37 - EQ37}, {""charttype"",""bar"";""max"",$ET$24;""color1"",Option!$D$29;""color2"",Option!$D$30})
)"),"")</f>
        <v/>
      </c>
      <c r="EU37" s="205">
        <f>IFERROR(__xludf.DUMMYFUNCTION("PRODUCT(
   MAP(
     IF($F37=""Physical"", K$10:ED$10, IF($F37=""Magic"", K$11:ED$11, K$12:ED$12)),
     IF($F37=""Physical"", K$18:ED$18, IF($F37=""Magic"", K$19:ED$19, K$20:ED$20)),
     K$3:ED$3,
     K$5:ED$5,
     K$17:ED$17,
     K37:ED37,
     LAM"&amp;"BDA(
       mitigation,
       enhance,
       job,
       assign,
       precondition,
       check,
       IF(
         OR(AND(check=TRUE, REGEXMATCH(assign, ""SELF""), job=""ナイト""), AND(check=Option!$E$13, REGEXMATCH(assign, ""SINGLE_PARTY""))),
      "&amp;"   IF(
           OR(ARRAYFORMULA((IF(precondition="""", FALSE, REGEXMATCH($K$4:$ED$4, precondition))) * (K37:ED37=TRUE))),
           enhance,
           mitigation
         ),
         1
       )
     )
   )
 ) * EE37"),1.0)</f>
        <v>1</v>
      </c>
      <c r="EV37" s="206">
        <f t="shared" si="7"/>
        <v>640</v>
      </c>
      <c r="EW37" s="205">
        <f>IFERROR(__xludf.DUMMYFUNCTION("PRODUCT(
   MAP(
     K$3:ED$3,
     K$14:ED$14,
     K$13:ED$13,
     K37:ED37,
     LAMBDA(
       job,
       buff,
       target,
       check,
       IF(
         OR(AND(check=TRUE, REGEXMATCH(target, ""SELF_AFFECTED_ALL""), job=""ナイト""), AND(check=O"&amp;"ption!$E$13, REGEXMATCH(target, ""SINGLE_AFFECTED_ALL""))),
         buff,
         1
       )
     )
   )
 )"),1.0)</f>
        <v>1</v>
      </c>
      <c r="EX37" s="206">
        <f>IFERROR(__xludf.DUMMYFUNCTION("SUM(
   MAP(
     K$3:ED$3,
     K$7:ED$7,
     K$15:ED$15,
     K$16:ED$16,
     K$21:ED$21,
     K$5:ED$5,
     K$17:ED$17,
     K37:ED37,
     LAMBDA(
       job,
       abillity,
       buff,
       barrier,
       enhance,
       assign,
       preco"&amp;"ndition,
       check,
       IF(
         OR(AND(check=TRUE, REGEXMATCH(assign, ""SELF""), job=""ナイト""), AND(check=Option!$E$13, REGEXMATCH(assign, ""SINGLE_PARTY""))),
         IF(
           OR(ARRAYFORMULA((IF(precondition="""", FALSE, REGEXMATCH($K$4"&amp;":$ED$4, precondition))) * (K37:ED37=TRUE))),
           enhance,
           IF(barrier="""", buff, barrier)
         ),
         0
       ) *
       SWITCH(
         job,
         ""暗黒騎士"", EY$24,
         ""白魔道士"", EF37 * EH37 * EW37 * IF(abillity, 1, EG"&amp;"37 * EI37) * (Option!$D$22 * 0.81 / 100),
         ""占星術師"", EF37 * EJ37 * EW37 * IF(abillity, 1, EG37 * EK37) * (Option!$D$23 * 0.81 / 100),
         ""学者"", EF37 * EL37 * EW37 * IF(abillity, 1, EG37 * EM37) * (Option!$D$24 * 0.81 / 100),
         ""賢者"""&amp;", EF37 * EN37 * EW37 * IF(abillity, 1, EG37 * EO37) * (Option!$D$25 * 0.81 / 100),
         1
       )
     )
   )
 ) + EQ37"),0.0)</f>
        <v>0</v>
      </c>
      <c r="EY37" s="206">
        <f t="shared" si="8"/>
        <v>640</v>
      </c>
      <c r="EZ37" s="205">
        <f>IFERROR(__xludf.DUMMYFUNCTION("PRODUCT(
   MAP(
     IF($F37=""Physical"", K$10:ED$10, IF($F37=""Magic"", K$11:ED$11, K$12:ED$12)),
     IF($F37=""Physical"", K$18:ED$18, IF($F37=""Magic"", K$19:ED$19, K$20:ED$20)),
     K$3:ED$3,
     K$5:ED$5,
     K$17:ED$17,
     K37:ED37,
     LAM"&amp;"BDA(
       mitigation,
       enhance,
       job,
       assign,
       precondition,
       check,
       IF(
         OR(AND(check=TRUE, REGEXMATCH(assign, ""SELF""), job=""戦士""), AND(check=Option!$F$13, REGEXMATCH(assign, ""SINGLE_PARTY""))),
       "&amp;"  IF(
           OR(ARRAYFORMULA((IF(precondition="""", FALSE, REGEXMATCH($K$4:$ED$4, precondition))) * (K37:ED37=TRUE))),
           enhance,
           mitigation
         ),
         1
       )
     )
   )
 ) * EE37"),1.0)</f>
        <v>1</v>
      </c>
      <c r="FA37" s="206">
        <f t="shared" si="9"/>
        <v>640</v>
      </c>
      <c r="FB37" s="205">
        <f>IFERROR(__xludf.DUMMYFUNCTION("PRODUCT(
   MAP(
     K$3:ED$3,
     K$14:ED$14,
     K$13:ED$13,
     K37:ED37,
     LAMBDA(
       job,
       buff,
       target,
       check,
       IF(
         OR(AND(check=TRUE, REGEXMATCH(target, ""SELF_AFFECTED_ALL""), job=""戦士""), AND(check=Op"&amp;"tion!$F$13, REGEXMATCH(target, ""SINGLE_AFFECTED_ALL""))),
         buff,
         1
       )
     )
   )
 )"),1.0)</f>
        <v>1</v>
      </c>
      <c r="FC37" s="206">
        <f>IFERROR(__xludf.DUMMYFUNCTION("SUM(
   MAP(
     K$3:ED$3,
     K$7:ED$7,
     K$15:ED$15,
     K$16:ED$16,
     K$21:ED$21,
     K$5:ED$5,
     K$17:ED$17,
     K37:ED37,
     LAMBDA(
       job,
       abillity,
       buff,
       barrier,
       enhance,
       assign,
       preco"&amp;"ndition,
       check,
       IF(
         OR(AND(check=TRUE, REGEXMATCH(assign, ""SELF""), job=""戦士""), AND(check=Option!$F$13, REGEXMATCH(assign, ""SINGLE_PARTY""))),
         IF(
           OR(ARRAYFORMULA((IF(precondition="""", FALSE, REGEXMATCH($K$4:"&amp;"$ED$4, precondition))) * (K37:ED37=TRUE))),
           enhance,
           IF(barrier="""", buff, barrier)
         ),
         0
       ) *
       SWITCH(
         job,
         ""暗黒騎士"", FD$24,
         ""白魔道士"", EF37 * EH37 * FB37 * IF(abillity, 1, EG3"&amp;"7 * EI37) * (Option!$D$22 * 0.81 / 100),
         ""占星術師"", EF37 * EJ37 * FFB37 * IF(abillity, 1, EG37 * EK37) * (Option!$D$23 * 0.81 / 100),
         ""学者"", EF37 * EL37 * FB37 * IF(abillity, 1, EG37 * EM37) * (Option!$D$24 * 0.81 / 100),
         ""賢者"""&amp;", EF37 * EN37 * FB37 * IF(abillity, 1, EG37 * EO37) * (Option!$D$25 * 0.81 / 100),
         1
       )
     )
   )
 ) + EQ37"),0.0)</f>
        <v>0</v>
      </c>
      <c r="FD37" s="206">
        <f t="shared" si="10"/>
        <v>640</v>
      </c>
      <c r="FE37" s="205">
        <f>IFERROR(__xludf.DUMMYFUNCTION("PRODUCT(
   MAP(
     IF($F37=""Physical"", K$10:ED$10, IF($F37=""Magic"", K$11:ED$11, K$12:ED$12)),
     IF($F37=""Physical"", K$18:ED$18, IF($F37=""Magic"", K$19:ED$19, K$20:ED$20)),
     K$3:ED$3,
     K$5:ED$5,
     K$17:ED$17,
     K37:ED37,
     LAM"&amp;"BDA(
       mitigation,
       enhance,
       job,
       assign,
       precondition,
       check,
       IF(
         OR(AND(check=TRUE, REGEXMATCH(assign, ""SELF""), job=""暗黒騎士""), AND(check=Option!$G$13, REGEXMATCH(assign, ""SINGLE_PARTY""))),
     "&amp;"    IF(
           OR(ARRAYFORMULA((IF(precondition="""", FALSE, REGEXMATCH($K$4:$ED$4, precondition))) * (K37:ED37=TRUE))),
           enhance,
           mitigation
         ),
         1
       )
     )
   )
 ) * EE37"),1.0)</f>
        <v>1</v>
      </c>
      <c r="FF37" s="206">
        <f t="shared" si="11"/>
        <v>640</v>
      </c>
      <c r="FG37" s="205">
        <f>IFERROR(__xludf.DUMMYFUNCTION("PRODUCT(
   MAP(
     K$3:ED$3,
     K$14:ED$14,
     K$13:ED$13,
     K37:ED37,
     LAMBDA(
       job,
       buff,
       target,
       check,
       IF(
         OR(AND(check=TRUE, REGEXMATCH(target, ""SELF_AFFECTED_ALL""), job=""暗黒騎士""), AND(check="&amp;"Option!$G$13, REGEXMATCH(target, ""SINGLE_AFFECTED_ALL""))),
         buff,
         1
       )
     )
   )
 )"),1.0)</f>
        <v>1</v>
      </c>
      <c r="FH37" s="206">
        <f>IFERROR(__xludf.DUMMYFUNCTION("SUM(
   MAP(
     K$3:ED$3,
     K$7:ED$7,
     K$15:ED$15,
     K$16:ED$16,
     K$21:ED$21,
     K$5:ED$5,
     K$17:ED$17,
     K37:ED37,
     LAMBDA(
       job,
       abillity,
       buff,
       barrier,
       enhance,
       assign,
       preco"&amp;"ndition,
       check,
       IF(
         OR(AND(check=TRUE, REGEXMATCH(assign, ""SELF""), job=""暗黒騎士""), AND(check=Option!$G$13, REGEXMATCH(assign, ""SINGLE_PARTY""))),
         IF(
           OR(ARRAYFORMULA((IF(precondition="""", FALSE, REGEXMATCH($K$"&amp;"4:$ED$4, precondition))) * (K37:ED37=TRUE))),
           enhance,
           IF(barrier="""", buff, barrier)
         ),
         0
       ) *
       SWITCH(
         job,
         ""暗黒騎士"", FI$24,
         ""白魔道士"", EF37 * EH37 * FG37 * IF(abillity, 1, E"&amp;"G37 * EI37) * (Option!$D$22 * 0.81 / 100),
         ""占星術師"", EF37 * EJ37 * FG37 * IF(abillity, 1, EG37 * EK37) * (Option!$D$23 * 0.81 / 100),
         ""学者"", EF37 * EL37 * FG37 * IF(abillity, 1, EG37 * EM37) * (Option!$D$24 * 0.81 / 100),
         ""賢者"&amp;""", EF37 * EN37 * FG37 * IF(abillity, 1, EG37 * EO37) * (Option!$D$25 * 0.81 / 100),
         1
       )
     )
   )
 ) + EQ37"),0.0)</f>
        <v>0</v>
      </c>
      <c r="FI37" s="206">
        <f t="shared" si="12"/>
        <v>640</v>
      </c>
      <c r="FJ37" s="205">
        <f>IFERROR(__xludf.DUMMYFUNCTION("PRODUCT(
   MAP(
     IF($F37=""Physical"", K$10:ED$10, IF($F37=""Magic"", K$11:ED$11, K$12:ED$12)),
     IF($F37=""Physical"", K$18:ED$18, IF($F37=""Magic"", K$19:ED$19, K$20:ED$20)),
     K$3:ED$3,
     K$5:ED$5,
     K$17:ED$17,
     K37:ED37,
     LAM"&amp;"BDA(
       mitigation,
       enhance,
       job,
       assign,
       precondition,
       check,
       IF(
         OR(AND(check=TRUE, REGEXMATCH(assign, ""SELF""), job=""ガンブレイカー""), AND(check=Option!$H$13, REGEXMATCH(assign, ""SINGLE_PARTY""))),
  "&amp;"       IF(
           OR(ARRAYFORMULA((IF(precondition="""", FALSE, REGEXMATCH($K$4:$ED$4, precondition))) * (K37:ED37=TRUE))),
           enhance,
           mitigation
         ),
         1
       )
     )
   )
 ) * EE37"),1.0)</f>
        <v>1</v>
      </c>
      <c r="FK37" s="206">
        <f t="shared" si="13"/>
        <v>640</v>
      </c>
      <c r="FL37" s="205">
        <f>IFERROR(__xludf.DUMMYFUNCTION("PRODUCT(
   MAP(
     K$3:ED$3,
     K$14:ED$14,
     K$13:ED$13,
     K37:ED37,
     LAMBDA(
       job,
       buff,
       target,
       check,
       IF(
         OR(AND(check=TRUE, REGEXMATCH(target, ""SELF_AFFECTED_ALL""), job=""ガンブレイカー""), AND(che"&amp;"ck=Option!$H$13, REGEXMATCH(target, ""SINGLE_AFFECTED_ALL""))),
         buff,
         1
       )
     )
   )
 )"),1.0)</f>
        <v>1</v>
      </c>
      <c r="FM37" s="206">
        <f>IFERROR(__xludf.DUMMYFUNCTION("SUM(
   MAP(
     K$3:ED$3,
     K$7:ED$7,
     K$15:ED$15,
     K$16:ED$16,
     K$21:ED$21,
     K$5:ED$5,
     K$17:ED$17,
     K37:ED37,
     LAMBDA(
       job,
       abillity,
       buff,
       barrier,
       enhance,
       assign,
       preco"&amp;"ndition,
       check,
       IF(
         OR(AND(check=TRUE, REGEXMATCH(assign, ""SELF""), job=""ガンブレイカー""), AND(check=Option!$H$13, REGEXMATCH(assign, ""SINGLE_PARTY""))),
         IF(
           OR(ARRAYFORMULA((IF(precondition="""", FALSE, REGEXMATCH("&amp;"$K$4:$ED$4, precondition))) * (K37:ED37=TRUE))),
           enhance,
           IF(barrier="""", buff, barrier)
         ),
         0
       ) *
       SWITCH(
         job,
         ""暗黒騎士"", FN$24,
         ""白魔道士"", EF37 * EH37 * FL37 * IF(abillity, 1"&amp;", EG37 * EI37) * (Option!$D$22 * 0.81 / 100),
         ""占星術師"", EF37 * EJ37 * FL37 * IF(abillity, 1, EG37 * EK37) * (Option!$D$23 * 0.81 / 100),
         ""学者"", EF37 * EL37 * FL37 * IF(abillity, 1, EG37 * EM37) * (Option!$D$24 * 0.81 / 100),
         """&amp;"賢者"", EF37 * EN37 * FL37 * IF(abillity, 1, EG37 * EO37) * (Option!$D$25 * 0.81 / 100),
         1
       )
     )
   )
 ) + EQ37"),0.0)</f>
        <v>0</v>
      </c>
      <c r="FN37" s="206">
        <f t="shared" si="14"/>
        <v>640</v>
      </c>
      <c r="FO37" s="213"/>
    </row>
    <row r="38">
      <c r="B38" s="208"/>
      <c r="C38" s="217">
        <f t="shared" si="1"/>
        <v>0.001076388889</v>
      </c>
      <c r="D38" s="224">
        <v>0.0010763888888888889</v>
      </c>
      <c r="E38" s="227" t="s">
        <v>1079</v>
      </c>
      <c r="F38" s="167" t="s">
        <v>10</v>
      </c>
      <c r="G38" s="168" t="str">
        <f t="shared" si="15"/>
        <v/>
      </c>
      <c r="H38" s="169">
        <v>2000.0</v>
      </c>
      <c r="I38" s="169"/>
      <c r="J38" s="169"/>
      <c r="K38" s="170" t="b">
        <v>0</v>
      </c>
      <c r="L38" s="170" t="b">
        <v>0</v>
      </c>
      <c r="M38" s="170" t="b">
        <v>0</v>
      </c>
      <c r="N38" s="171" t="s">
        <v>1070</v>
      </c>
      <c r="O38" s="172" t="b">
        <v>0</v>
      </c>
      <c r="P38" s="173" t="b">
        <v>0</v>
      </c>
      <c r="Q38" s="173" t="b">
        <v>0</v>
      </c>
      <c r="R38" s="173" t="b">
        <v>0</v>
      </c>
      <c r="S38" s="174" t="b">
        <v>0</v>
      </c>
      <c r="T38" s="175" t="b">
        <v>0</v>
      </c>
      <c r="U38" s="173" t="b">
        <v>0</v>
      </c>
      <c r="V38" s="171" t="s">
        <v>1070</v>
      </c>
      <c r="W38" s="172" t="b">
        <v>0</v>
      </c>
      <c r="X38" s="173" t="b">
        <v>0</v>
      </c>
      <c r="Y38" s="173" t="b">
        <v>0</v>
      </c>
      <c r="Z38" s="173" t="b">
        <v>0</v>
      </c>
      <c r="AA38" s="174" t="b">
        <v>0</v>
      </c>
      <c r="AB38" s="174" t="b">
        <v>0</v>
      </c>
      <c r="AC38" s="175" t="b">
        <v>0</v>
      </c>
      <c r="AD38" s="173" t="b">
        <v>0</v>
      </c>
      <c r="AE38" s="176" t="s">
        <v>1070</v>
      </c>
      <c r="AF38" s="171" t="s">
        <v>1070</v>
      </c>
      <c r="AG38" s="177">
        <f>IFERROR(__xludf.DUMMYFUNCTION("IF(
  ISNUMBER(AG37),
  MIN(MAX(
    AG37
    + MAX(
      ROUNDDOWN(($D39 - MAX(IFERROR(FILTER($D$24:$D38, AG$24:AG37 &lt;&gt; AF$6, AG$23:AG36 = AF$6), 0))) * (60 * 60 * 24) / AF$9) - ROUNDDOWN(($D38 - MAX(IFERROR(FILTER($D$23:$D37, AG$23:AG36 &lt;&gt; AF$6, AG$22:"&amp;"AG35 = AF$6), 0))) * (60 * 60 * 24) / 60),
      0
    )
    - COUNTIF(AF38, ""&lt;&gt;-""),
  0), AF$6),
  AF$6 - COUNTIF(AF38, ""&lt;&gt;-"")
)"),2.0)</f>
        <v>2</v>
      </c>
      <c r="AH38" s="173" t="b">
        <v>0</v>
      </c>
      <c r="AI38" s="173" t="b">
        <v>0</v>
      </c>
      <c r="AJ38" s="173" t="b">
        <v>0</v>
      </c>
      <c r="AK38" s="174" t="b">
        <v>0</v>
      </c>
      <c r="AL38" s="175" t="b">
        <v>0</v>
      </c>
      <c r="AM38" s="173" t="b">
        <v>0</v>
      </c>
      <c r="AN38" s="171" t="s">
        <v>1070</v>
      </c>
      <c r="AO38" s="173" t="b">
        <v>0</v>
      </c>
      <c r="AP38" s="173" t="b">
        <v>0</v>
      </c>
      <c r="AQ38" s="173" t="b">
        <v>0</v>
      </c>
      <c r="AR38" s="174" t="b">
        <v>0</v>
      </c>
      <c r="AS38" s="178" t="b">
        <v>0</v>
      </c>
      <c r="AT38" s="179" t="b">
        <v>0</v>
      </c>
      <c r="AU38" s="180" t="b">
        <v>0</v>
      </c>
      <c r="AV38" s="180" t="b">
        <v>0</v>
      </c>
      <c r="AW38" s="180" t="b">
        <v>0</v>
      </c>
      <c r="AX38" s="180" t="b">
        <v>0</v>
      </c>
      <c r="AY38" s="181" t="s">
        <v>1070</v>
      </c>
      <c r="AZ38" s="181" t="s">
        <v>1070</v>
      </c>
      <c r="BA38" s="184">
        <f>IFERROR(__xludf.DUMMYFUNCTION("IF(
  ISNUMBER(BA37),
  MIN(MAX(
    BA37
    + MAX(
      ROUNDDOWN((D39 - MAX(IFERROR(FILTER(D$24:D38, BA$24:BA37 &lt;&gt; AZ$6, BA$23:BA36 = AZ$6), 0))) * (60 * 60 * 24) / AZ$9) - ROUNDDOWN((D38 - MAX(IFERROR(FILTER(D$23:D37, BA$23:BA36 &lt;&gt; AZ$6, BA$22:BA35 ="&amp;" AZ$6), 0))) * (60 * 60 * 24) / AZ$9),
      0
    )
    - COUNTIF(AZ38, ""&lt;&gt;-""),
  0), AZ$6),
  AZ$6 - COUNTIF(AZ38, ""&lt;&gt;-"")
)"),2.0)</f>
        <v>2</v>
      </c>
      <c r="BB38" s="181" t="s">
        <v>1070</v>
      </c>
      <c r="BC38" s="183">
        <f>IFERROR(__xludf.DUMMYFUNCTION("IF(
  ISNUMBER(BC37),
  MIN(MAX(
    BC37
    + MAX(
      ROUNDDOWN(($D39 - MAX(IFERROR(FILTER($D$24:$D38, BC$24:BC37 &lt;&gt; BB$6, BC$23:BC36 = BB$6), 0))) * (60 * 60 * 24) / BB$9) - ROUNDDOWN(($D38 - MAX(IFERROR(FILTER($D$23:$D37, BC$23:BC36 &lt;&gt; BB$6, BC$22:"&amp;"BC35 = BB$6), 0))) * (60 * 60 * 24) / 60),
      0
    )
    - COUNTIF(BB38, ""&lt;&gt;-""),
  0), BB$6),
  BB$6 - COUNTIF(BB38, ""&lt;&gt;-"")
)"),2.0)</f>
        <v>2</v>
      </c>
      <c r="BD38" s="181" t="s">
        <v>1070</v>
      </c>
      <c r="BE38" s="178" t="b">
        <v>0</v>
      </c>
      <c r="BF38" s="180" t="b">
        <v>0</v>
      </c>
      <c r="BG38" s="180" t="b">
        <v>0</v>
      </c>
      <c r="BH38" s="180" t="b">
        <v>0</v>
      </c>
      <c r="BI38" s="180" t="b">
        <v>0</v>
      </c>
      <c r="BJ38" s="180" t="b">
        <v>0</v>
      </c>
      <c r="BK38" s="180" t="b">
        <v>0</v>
      </c>
      <c r="BL38" s="180" t="b">
        <v>0</v>
      </c>
      <c r="BM38" s="180" t="b">
        <v>0</v>
      </c>
      <c r="BN38" s="180" t="b">
        <v>0</v>
      </c>
      <c r="BO38" s="181" t="s">
        <v>1070</v>
      </c>
      <c r="BP38" s="181" t="s">
        <v>1070</v>
      </c>
      <c r="BQ38" s="181" t="s">
        <v>1070</v>
      </c>
      <c r="BR38" s="181" t="s">
        <v>1070</v>
      </c>
      <c r="BS38" s="181" t="s">
        <v>1070</v>
      </c>
      <c r="BT38" s="184">
        <f>IFERROR(__xludf.DUMMYFUNCTION("IF(
  ISNUMBER(BT37),
  MIN(MAX(
    BT37
    + MAX(
      ROUNDDOWN((D39 - MAX(IFERROR(FILTER(D$24:D38, BT$24:BT37 &lt;&gt; BS$6, BT$23:BT36 = BS$6), 0))) * (60 * 60 * 24) / BS$9) - ROUNDDOWN((D38 - MAX(IFERROR(FILTER(D$23:D37, BT$23:BT36 &lt;&gt; BS$6, BT$22:BT35 ="&amp;" BS$6), 0))) * (60 * 60 * 24) / BS$9),
      0
    )
    - COUNTIF(BS38, ""&lt;&gt;-""),
  0), BS$6),
  BS$6 - COUNTIF(BS38, ""&lt;&gt;-"")
)"),3.0)</f>
        <v>3</v>
      </c>
      <c r="BU38" s="181" t="s">
        <v>1070</v>
      </c>
      <c r="BV38" s="181" t="s">
        <v>1070</v>
      </c>
      <c r="BW38" s="184">
        <f>IFERROR(__xludf.DUMMYFUNCTION("IF(
  ISNUMBER(BW37),
  MIN(MAX(
    BW37
    + MAX(
      ROUNDDOWN((D39 - MAX(IFERROR(FILTER(D$24:D38, BW$24:BW37 &lt;&gt; BV$6, BW$23:BW36 = BV$6), 0))) * (60 * 60 * 24) / BV$9) - ROUNDDOWN((D38 - MAX(IFERROR(FILTER(D$23:D37, BW$23:BW36 &lt;&gt; BV$6, BW$22:BW35 ="&amp;" BV$6), 0))) * (60 * 60 * 24) / BV$9),
      0
    )
    - COUNTIF(BV38, ""&lt;&gt;-""),
  0), BV$6),
  BV$6 - COUNTIF(BV38, ""&lt;&gt;-"")
)"),2.0)</f>
        <v>2</v>
      </c>
      <c r="BX38" s="185" t="s">
        <v>1070</v>
      </c>
      <c r="BY38" s="178" t="b">
        <v>0</v>
      </c>
      <c r="BZ38" s="180" t="b">
        <v>0</v>
      </c>
      <c r="CA38" s="180" t="b">
        <v>0</v>
      </c>
      <c r="CB38" s="180" t="b">
        <v>0</v>
      </c>
      <c r="CC38" s="180" t="b">
        <v>0</v>
      </c>
      <c r="CD38" s="180" t="b">
        <v>0</v>
      </c>
      <c r="CE38" s="180" t="b">
        <v>0</v>
      </c>
      <c r="CF38" s="180" t="b">
        <v>0</v>
      </c>
      <c r="CG38" s="180" t="b">
        <v>0</v>
      </c>
      <c r="CH38" s="180" t="b">
        <v>0</v>
      </c>
      <c r="CI38" s="180" t="b">
        <v>0</v>
      </c>
      <c r="CJ38" s="180" t="b">
        <v>0</v>
      </c>
      <c r="CK38" s="180" t="b">
        <v>0</v>
      </c>
      <c r="CL38" s="180" t="b">
        <v>0</v>
      </c>
      <c r="CM38" s="181" t="s">
        <v>1070</v>
      </c>
      <c r="CN38" s="181" t="s">
        <v>1070</v>
      </c>
      <c r="CO38" s="181" t="s">
        <v>1070</v>
      </c>
      <c r="CP38" s="181" t="s">
        <v>1070</v>
      </c>
      <c r="CQ38" s="185" t="s">
        <v>1070</v>
      </c>
      <c r="CR38" s="180" t="b">
        <v>0</v>
      </c>
      <c r="CS38" s="186" t="str">
        <f t="shared" si="3"/>
        <v>◇◇◇</v>
      </c>
      <c r="CT38" s="178" t="b">
        <v>0</v>
      </c>
      <c r="CU38" s="180" t="b">
        <v>0</v>
      </c>
      <c r="CV38" s="180" t="b">
        <v>0</v>
      </c>
      <c r="CW38" s="180" t="b">
        <v>0</v>
      </c>
      <c r="CX38" s="180" t="b">
        <v>0</v>
      </c>
      <c r="CY38" s="180" t="b">
        <v>0</v>
      </c>
      <c r="CZ38" s="180" t="b">
        <v>0</v>
      </c>
      <c r="DA38" s="180" t="b">
        <v>0</v>
      </c>
      <c r="DB38" s="180" t="b">
        <v>0</v>
      </c>
      <c r="DC38" s="180" t="b">
        <v>0</v>
      </c>
      <c r="DD38" s="181" t="s">
        <v>1070</v>
      </c>
      <c r="DE38" s="181" t="s">
        <v>1070</v>
      </c>
      <c r="DF38" s="181" t="s">
        <v>1070</v>
      </c>
      <c r="DG38" s="185" t="s">
        <v>1070</v>
      </c>
      <c r="DH38" s="180" t="b">
        <v>0</v>
      </c>
      <c r="DI38" s="187" t="str">
        <f>IFERROR(__xludf.DUMMYFUNCTION("SWITCH(
  IF(
    ISTEXT(DI37),
    IF (
      FIND(""○"", DI37&amp;""○"") &gt; 3,
      3,
      FIND(""○"", DI37&amp;""○"")
      + MAX(
        ROUNDDOWN(($D39 - MAX(IFERROR(FILTER(D$24:D38, DI$24:DI37 &lt;&gt; ""●●●"", DI$23:DI36 = ""●●●""), 0))) * (60 * 60 * 24) / 20"&amp;") - ROUNDDOWN(($D38 - MAX(IFERROR(FILTER(D$23:D37, DI$23:DI36 &lt;&gt; ""●●●"", DI$22:DI35 = ""●●●""), 0))) * (60 * 60 * 24) / 20),
        0
      ) - 1
    ) - COUNTIFS(CU38, ""=TRUE"", CU37, ""&lt;&gt;TRUE"") - COUNTIF(CZ38, ""=TRUE"") - COUNTIF({DD38,DE38}, ""&lt;&gt;-"&amp;""") + COUNTIF(DH38, ""=TRUE""),
    3
  ),
  0, ""○○○"", 1, ""●○○"", 2, ""●●○"", 3, ""●●●"", 4, ""●●●"", ""○○○""
)"),"●●●")</f>
        <v>●●●</v>
      </c>
      <c r="DJ38" s="188" t="b">
        <v>0</v>
      </c>
      <c r="DK38" s="189" t="b">
        <v>0</v>
      </c>
      <c r="DL38" s="190" t="b">
        <v>0</v>
      </c>
      <c r="DM38" s="190" t="b">
        <v>0</v>
      </c>
      <c r="DN38" s="190" t="b">
        <v>0</v>
      </c>
      <c r="DO38" s="190" t="b">
        <v>0</v>
      </c>
      <c r="DP38" s="190" t="b">
        <v>0</v>
      </c>
      <c r="DQ38" s="191" t="b">
        <v>0</v>
      </c>
      <c r="DR38" s="192" t="b">
        <v>0</v>
      </c>
      <c r="DS38" s="191" t="b">
        <v>0</v>
      </c>
      <c r="DT38" s="192" t="b">
        <v>0</v>
      </c>
      <c r="DU38" s="191" t="b">
        <v>0</v>
      </c>
      <c r="DV38" s="193" t="s">
        <v>1070</v>
      </c>
      <c r="DW38" s="194" t="b">
        <v>0</v>
      </c>
      <c r="DX38" s="194" t="b">
        <v>0</v>
      </c>
      <c r="DY38" s="195" t="b">
        <v>0</v>
      </c>
      <c r="DZ38" s="196" t="b">
        <v>0</v>
      </c>
      <c r="EA38" s="195" t="b">
        <v>0</v>
      </c>
      <c r="EB38" s="197" t="b">
        <v>0</v>
      </c>
      <c r="EC38" s="197" t="b">
        <v>0</v>
      </c>
      <c r="ED38" s="212" t="b">
        <v>0</v>
      </c>
      <c r="EE38" s="199">
        <f>IFERROR(__xludf.DUMMYFUNCTION("IFERROR(
   PRODUCT(
     MAP(
       INDEX(TRANSPOSE(UNIQUE(TRANSPOSE(FILTER({IF($F38=""Physical"", K$10:ED$10, IF($F38=""Magic"", K$11:ED$11, K$12:ED$12));K$4:ED$4;K38:ED38}, K38:ED38=TRUE)))), 1, 0),
       INDEX(TRANSPOSE(UNIQUE(TRANSPOSE(FILTER({IF($"&amp;"F38=""Physical"", K$18:ED$18, IF($F38=""Magic"", K$19:ED$19, K$20:ED$20));K$4:ED$4;K38:ED38}, K38:ED38=TRUE)))), 1, 0),
       INDEX(TRANSPOSE(UNIQUE(TRANSPOSE(FILTER({K$5:ED$5;K$4:ED$4;K38:ED38}, K38:ED38=TRUE)))), 1, 0),
       INDEX(TRANSPOSE(UNIQUE(TR"&amp;"ANSPOSE(FILTER({K$17:ED$17;K$4:ED$4;K38:ED38}, K38:ED38=TRUE)))), 1, 0),
       LAMBDA(
         mitigation,
         enhance,
         assign,
         precondition,
         IF(
           REGEXMATCH(assign, ""RANGE_PARTY|SINGLE_ENEMY|RANGE_ENEMY""),
  "&amp;"         IF(
             OR(ARRAYFORMULA((IF(precondition="""", FALSE, REGEXMATCH(K$4:ED$4, precondition))) * (K38:ED38=TRUE))),
             IF(ISNUMBER(enhance), enhance, 1),
             IF(ISNUMBER(mitigation), mitigation, 1)
           ),
          "&amp;" 1
         )
       )
     )
   ),
   1
 )"),1.0)</f>
        <v>1</v>
      </c>
      <c r="EF38" s="200">
        <f>IFERROR(__xludf.DUMMYFUNCTION("PRODUCT(
   MAP(
     K$14:ED$14,
     K$13:ED$13,
     K38:ED38,
     LAMBDA(
       buff,
       target,
       check,
       IF(
         AND(check=TRUE, REGEXMATCH(target, ""RANGE_AFFECTED_ALL|RANGE_EFFECTED_ALL""), ISNUMBER(buff)),
         buff,
   "&amp;"      1
       )
     )
   )
 )"),1.0)</f>
        <v>1</v>
      </c>
      <c r="EG38" s="200">
        <f>IFERROR(__xludf.DUMMYFUNCTION("PRODUCT(
   MAP(
     K$14:ED$14,
     K$13:ED$13,
     K38:ED38,
     LAMBDA(
       buff,
       target,
       check,
       IF(
         AND(check=TRUE, REGEXMATCH(target, ""RANGE_AFFECTED_GCD|RANGE_EFFECTED_GCD""), ISNUMBER(buff)),
         buff,
   "&amp;"      1
       )
     )
   )
 )"),1.0)</f>
        <v>1</v>
      </c>
      <c r="EH38" s="200">
        <f>IFERROR(__xludf.DUMMYFUNCTION("PRODUCT(
   MAP(
     K$3:ED$3,
     K$14:ED$14,
     K$13:ED$13,
     K38:ED38,
     LAMBDA(
       job,
       buff,
       target,
       check,
       IF(
         AND(check=TRUE, REGEXMATCH(target, ""SELF_EFFECTED_ALL""), ISNUMBER(buff), job=""白魔道士"""&amp;"),
         buff,
         1
       )
     )
   )
 )"),1.0)</f>
        <v>1</v>
      </c>
      <c r="EI38" s="200">
        <f>IFERROR(__xludf.DUMMYFUNCTION("PRODUCT(
   MAP(
     K$3:ED$3,
     K$14:ED$14,
     K$13:ED$13,
     K38:ED38,
     LAMBDA(
       job,
       buff,
       target,
       check,
       IF(
         AND(check=TRUE, REGEXMATCH(target, ""SELF_EFFECTED_GCD""), ISNUMBER(buff), job=""白魔道士"""&amp;"),
         buff,
         1
       )
     )
   )
 )"),1.0)</f>
        <v>1</v>
      </c>
      <c r="EJ38" s="200">
        <f>IFERROR(__xludf.DUMMYFUNCTION("PRODUCT(
   MAP(
     K$3:ED$3,
     K$14:ED$14,
     K$13:ED$13,
     K38:ED38,
     LAMBDA(
       job,
       buff,
       target,
       check,
       IF(
         AND(check=TRUE, REGEXMATCH(target, ""SELF_EFFECTED_ALL""), ISNUMBER(buff), job=""占星術師"""&amp;"),
         buff,
         1
       )
     )
   )
 )"),1.0)</f>
        <v>1</v>
      </c>
      <c r="EK38" s="200">
        <f>IFERROR(__xludf.DUMMYFUNCTION("PRODUCT(
   MAP(
     K$3:ED$3,
     K$14:ED$14,
     K$13:ED$13,
     K38:ED38,
     LAMBDA(
       job,
       buff,
       target,
       check,
       IF(
         AND(check=TRUE, REGEXMATCH(target, ""SELF_EFFECTED_GCD""), ISNUMBER(buff), job=""占星術師"""&amp;"),
         buff,
         1
       )
     )
   )
 )"),1.0)</f>
        <v>1</v>
      </c>
      <c r="EL38" s="200">
        <f>IFERROR(__xludf.DUMMYFUNCTION("PRODUCT(
   MAP(
     K$3:ED$3,
     K$14:ED$14,
     K$13:ED$13,
     K38:ED38,
     LAMBDA(
       job,
       buff,
       target,
       check,
       IF(
         AND(check=TRUE, REGEXMATCH(target, ""SELF_EFFECTED_ALL""), ISNUMBER(buff), job=""学者""),"&amp;"
         buff,
         1
       )
     )
   )
 )"),1.0)</f>
        <v>1</v>
      </c>
      <c r="EM38" s="200">
        <f>IFERROR(__xludf.DUMMYFUNCTION("PRODUCT(
   MAP(
     K$3:ED$3,
     K$14:ED$14,
     K$13:ED$13,
     K38:ED38,
     LAMBDA(
       job,
       buff,
       target,
       check,
       IF(
         AND(check=TRUE, REGEXMATCH(target, ""SELF_EFFECTED_GCD""), ISNUMBER(buff), job=""学者""),"&amp;"
         buff,
         1
       )
     )
   )
 )"),1.0)</f>
        <v>1</v>
      </c>
      <c r="EN38" s="200">
        <f>IFERROR(__xludf.DUMMYFUNCTION("PRODUCT(
   MAP(
     K$3:ED$3,
     K$14:ED$14,
     K$13:ED$13,
     K38:ED38,
     LAMBDA(
       job,
       buff,
       target,
       check,
       IF(
         AND(check=TRUE, REGEXMATCH(target, ""SELF_EFFECTED_ALL""), ISNUMBER(buff), job=""賢者""),"&amp;"
         buff,
         1
       )
     )
   )
 )"),1.0)</f>
        <v>1</v>
      </c>
      <c r="EO38" s="200">
        <f>IFERROR(__xludf.DUMMYFUNCTION("PRODUCT(
   MAP(
     K$3:ED$3,
     K$14:ED$14,
     K$13:ED$13,
     K38:ED38,
     LAMBDA(
       job,
       buff,
       target,
       check,
       IF(
         AND(check=TRUE, REGEXMATCH(target, ""SELF_EFFECTED_GCD""), ISNUMBER(buff), job=""賢者""),"&amp;"
         buff,
         1
       )
     )
   )
 )"),1.0)</f>
        <v>1</v>
      </c>
      <c r="EP38" s="201">
        <f t="shared" si="4"/>
        <v>2000</v>
      </c>
      <c r="EQ38" s="201">
        <f>IFERROR(__xludf.DUMMYFUNCTION("SUM(
   MAP(
     K$4:ED$4,
     K$3:ED$3,
     K$7:ED$7,
     K$15:ED$15,
     K$16:ED$16,
     K$21:ED$21,
     K$5:ED$5,
     K$17:ED$17,
     K38:ED38,
     LAMBDA(
       name,
       job,
       abillity,
       buff,
       barrier,
       enhance,"&amp;"
       assign,
       precondition,
       check,
       SWITCH(
         name,
         ""シェイクオフ"", IF(check=TRUE, buff + (0.02 * COUNTIF(ARRAYFORMULA((REGEXMATCH($K$4:$ED$4, ""スリル・オブ・バトル|ヴェンジェンス|原初の血気|ダムネーション"")) * (K38:ED38=TRUE)), 1)), 0),
         "&amp;"""インプロビゼーションフィニッシュ(踊りの激情0)"", IF(ISNUMBER(check), INDEX(Skill!$AJ:$AJ, MATCH(SUBSTITUTE(DV$4, 0, check), Skill!$C:$C, 0)), 0),
         IF(
           AND(check=TRUE, REGEXMATCH(assign, ""RANGE_PARTY"")),
           IF(
             OR(ARRAYFORMULA((IF(pr"&amp;"econdition="""", FALSE, REGEXMATCH($K$4:$ED$4, precondition))) * (K38:ED38=TRUE))),
             enhance,
             IF(barrier="""", buff, barrier)
           ),
           0
         )
       ) *
       SWITCH(
         job,
         ""ナイト"", EY$24,
 "&amp;"        ""戦士"", FD$24,
         ""踊り子"", ET$24,
         ""ピクトマンサー"", ET$24,
         ""白魔道士"", EF38 * EH38 * IF(abillity, 1, EG38 * EI38) * (Option!$D$22 * 0.81 / 100),
         ""占星術師"", EF38 * EJ38 * IF(abillity, 1, EG38 * EK38) * (Option!$D$23 * 0.81 "&amp;"/ 100),
         ""学者"", EF38 * EL38 * IF(abillity, 1, EG38 * EM38) * (Option!$D$24 * 0.81 / 100),
         ""賢者"", EF38 * EN38 * IF(abillity, 1, EG38 * EO38) * (Option!$D$25 * 0.81 / 100),
         1
       )
     )
   )
 )"),0.0)</f>
        <v>0</v>
      </c>
      <c r="ER38" s="202">
        <f t="shared" si="5"/>
        <v>2000</v>
      </c>
      <c r="ES38" s="203">
        <f t="shared" si="6"/>
        <v>0</v>
      </c>
      <c r="ET38" s="204" t="str">
        <f>IFERROR(__xludf.DUMMYFUNCTION("IFS(
  EP38 &gt; $ET$24 + EQ38,
  SPARKLINE({ 1, 0 }, {""charttype"",""bar"";""max"", 1;""color1"",Option!$D$30;""color2"",Option!$D$30}),
  EP38 &lt; EQ38,
  SPARKLINE({EQ38 - EP38, $ET$24 - (EQ38 - EP38)}, {""charttype"",""bar"";""max"",$ET$24;""color1"",Opti"&amp;"on!$D$28;""color2"",Option!$D$29}),
  EP38 &gt;= EQ38,
  SPARKLINE({$ET$24 + EQ38 - EP38,EP38 - EQ38}, {""charttype"",""bar"";""max"",$ET$24;""color1"",Option!$D$29;""color2"",Option!$D$30})
)"),"")</f>
        <v/>
      </c>
      <c r="EU38" s="205">
        <f>IFERROR(__xludf.DUMMYFUNCTION("PRODUCT(
   MAP(
     IF($F38=""Physical"", K$10:ED$10, IF($F38=""Magic"", K$11:ED$11, K$12:ED$12)),
     IF($F38=""Physical"", K$18:ED$18, IF($F38=""Magic"", K$19:ED$19, K$20:ED$20)),
     K$3:ED$3,
     K$5:ED$5,
     K$17:ED$17,
     K38:ED38,
     LAM"&amp;"BDA(
       mitigation,
       enhance,
       job,
       assign,
       precondition,
       check,
       IF(
         OR(AND(check=TRUE, REGEXMATCH(assign, ""SELF""), job=""ナイト""), AND(check=Option!$E$13, REGEXMATCH(assign, ""SINGLE_PARTY""))),
      "&amp;"   IF(
           OR(ARRAYFORMULA((IF(precondition="""", FALSE, REGEXMATCH($K$4:$ED$4, precondition))) * (K38:ED38=TRUE))),
           enhance,
           mitigation
         ),
         1
       )
     )
   )
 ) * EE38"),1.0)</f>
        <v>1</v>
      </c>
      <c r="EV38" s="206">
        <f t="shared" si="7"/>
        <v>1600</v>
      </c>
      <c r="EW38" s="205">
        <f>IFERROR(__xludf.DUMMYFUNCTION("PRODUCT(
   MAP(
     K$3:ED$3,
     K$14:ED$14,
     K$13:ED$13,
     K38:ED38,
     LAMBDA(
       job,
       buff,
       target,
       check,
       IF(
         OR(AND(check=TRUE, REGEXMATCH(target, ""SELF_AFFECTED_ALL""), job=""ナイト""), AND(check=O"&amp;"ption!$E$13, REGEXMATCH(target, ""SINGLE_AFFECTED_ALL""))),
         buff,
         1
       )
     )
   )
 )"),1.0)</f>
        <v>1</v>
      </c>
      <c r="EX38" s="206">
        <f>IFERROR(__xludf.DUMMYFUNCTION("SUM(
   MAP(
     K$3:ED$3,
     K$7:ED$7,
     K$15:ED$15,
     K$16:ED$16,
     K$21:ED$21,
     K$5:ED$5,
     K$17:ED$17,
     K38:ED38,
     LAMBDA(
       job,
       abillity,
       buff,
       barrier,
       enhance,
       assign,
       preco"&amp;"ndition,
       check,
       IF(
         OR(AND(check=TRUE, REGEXMATCH(assign, ""SELF""), job=""ナイト""), AND(check=Option!$E$13, REGEXMATCH(assign, ""SINGLE_PARTY""))),
         IF(
           OR(ARRAYFORMULA((IF(precondition="""", FALSE, REGEXMATCH($K$4"&amp;":$ED$4, precondition))) * (K38:ED38=TRUE))),
           enhance,
           IF(barrier="""", buff, barrier)
         ),
         0
       ) *
       SWITCH(
         job,
         ""暗黒騎士"", EY$24,
         ""白魔道士"", EF38 * EH38 * EW38 * IF(abillity, 1, EG"&amp;"38 * EI38) * (Option!$D$22 * 0.81 / 100),
         ""占星術師"", EF38 * EJ38 * EW38 * IF(abillity, 1, EG38 * EK38) * (Option!$D$23 * 0.81 / 100),
         ""学者"", EF38 * EL38 * EW38 * IF(abillity, 1, EG38 * EM38) * (Option!$D$24 * 0.81 / 100),
         ""賢者"""&amp;", EF38 * EN38 * EW38 * IF(abillity, 1, EG38 * EO38) * (Option!$D$25 * 0.81 / 100),
         1
       )
     )
   )
 ) + EQ38"),0.0)</f>
        <v>0</v>
      </c>
      <c r="EY38" s="206">
        <f t="shared" si="8"/>
        <v>1600</v>
      </c>
      <c r="EZ38" s="205">
        <f>IFERROR(__xludf.DUMMYFUNCTION("PRODUCT(
   MAP(
     IF($F38=""Physical"", K$10:ED$10, IF($F38=""Magic"", K$11:ED$11, K$12:ED$12)),
     IF($F38=""Physical"", K$18:ED$18, IF($F38=""Magic"", K$19:ED$19, K$20:ED$20)),
     K$3:ED$3,
     K$5:ED$5,
     K$17:ED$17,
     K38:ED38,
     LAM"&amp;"BDA(
       mitigation,
       enhance,
       job,
       assign,
       precondition,
       check,
       IF(
         OR(AND(check=TRUE, REGEXMATCH(assign, ""SELF""), job=""戦士""), AND(check=Option!$F$13, REGEXMATCH(assign, ""SINGLE_PARTY""))),
       "&amp;"  IF(
           OR(ARRAYFORMULA((IF(precondition="""", FALSE, REGEXMATCH($K$4:$ED$4, precondition))) * (K38:ED38=TRUE))),
           enhance,
           mitigation
         ),
         1
       )
     )
   )
 ) * EE38"),1.0)</f>
        <v>1</v>
      </c>
      <c r="FA38" s="206">
        <f t="shared" si="9"/>
        <v>1600</v>
      </c>
      <c r="FB38" s="205">
        <f>IFERROR(__xludf.DUMMYFUNCTION("PRODUCT(
   MAP(
     K$3:ED$3,
     K$14:ED$14,
     K$13:ED$13,
     K38:ED38,
     LAMBDA(
       job,
       buff,
       target,
       check,
       IF(
         OR(AND(check=TRUE, REGEXMATCH(target, ""SELF_AFFECTED_ALL""), job=""戦士""), AND(check=Op"&amp;"tion!$F$13, REGEXMATCH(target, ""SINGLE_AFFECTED_ALL""))),
         buff,
         1
       )
     )
   )
 )"),1.0)</f>
        <v>1</v>
      </c>
      <c r="FC38" s="206">
        <f>IFERROR(__xludf.DUMMYFUNCTION("SUM(
   MAP(
     K$3:ED$3,
     K$7:ED$7,
     K$15:ED$15,
     K$16:ED$16,
     K$21:ED$21,
     K$5:ED$5,
     K$17:ED$17,
     K38:ED38,
     LAMBDA(
       job,
       abillity,
       buff,
       barrier,
       enhance,
       assign,
       preco"&amp;"ndition,
       check,
       IF(
         OR(AND(check=TRUE, REGEXMATCH(assign, ""SELF""), job=""戦士""), AND(check=Option!$F$13, REGEXMATCH(assign, ""SINGLE_PARTY""))),
         IF(
           OR(ARRAYFORMULA((IF(precondition="""", FALSE, REGEXMATCH($K$4:"&amp;"$ED$4, precondition))) * (K38:ED38=TRUE))),
           enhance,
           IF(barrier="""", buff, barrier)
         ),
         0
       ) *
       SWITCH(
         job,
         ""暗黒騎士"", FD$24,
         ""白魔道士"", EF38 * EH38 * FB38 * IF(abillity, 1, EG3"&amp;"8 * EI38) * (Option!$D$22 * 0.81 / 100),
         ""占星術師"", EF38 * EJ38 * FFB38 * IF(abillity, 1, EG38 * EK38) * (Option!$D$23 * 0.81 / 100),
         ""学者"", EF38 * EL38 * FB38 * IF(abillity, 1, EG38 * EM38) * (Option!$D$24 * 0.81 / 100),
         ""賢者"""&amp;", EF38 * EN38 * FB38 * IF(abillity, 1, EG38 * EO38) * (Option!$D$25 * 0.81 / 100),
         1
       )
     )
   )
 ) + EQ38"),0.0)</f>
        <v>0</v>
      </c>
      <c r="FD38" s="206">
        <f t="shared" si="10"/>
        <v>1600</v>
      </c>
      <c r="FE38" s="205">
        <f>IFERROR(__xludf.DUMMYFUNCTION("PRODUCT(
   MAP(
     IF($F38=""Physical"", K$10:ED$10, IF($F38=""Magic"", K$11:ED$11, K$12:ED$12)),
     IF($F38=""Physical"", K$18:ED$18, IF($F38=""Magic"", K$19:ED$19, K$20:ED$20)),
     K$3:ED$3,
     K$5:ED$5,
     K$17:ED$17,
     K38:ED38,
     LAM"&amp;"BDA(
       mitigation,
       enhance,
       job,
       assign,
       precondition,
       check,
       IF(
         OR(AND(check=TRUE, REGEXMATCH(assign, ""SELF""), job=""暗黒騎士""), AND(check=Option!$G$13, REGEXMATCH(assign, ""SINGLE_PARTY""))),
     "&amp;"    IF(
           OR(ARRAYFORMULA((IF(precondition="""", FALSE, REGEXMATCH($K$4:$ED$4, precondition))) * (K38:ED38=TRUE))),
           enhance,
           mitigation
         ),
         1
       )
     )
   )
 ) * EE38"),1.0)</f>
        <v>1</v>
      </c>
      <c r="FF38" s="206">
        <f t="shared" si="11"/>
        <v>1600</v>
      </c>
      <c r="FG38" s="205">
        <f>IFERROR(__xludf.DUMMYFUNCTION("PRODUCT(
   MAP(
     K$3:ED$3,
     K$14:ED$14,
     K$13:ED$13,
     K38:ED38,
     LAMBDA(
       job,
       buff,
       target,
       check,
       IF(
         OR(AND(check=TRUE, REGEXMATCH(target, ""SELF_AFFECTED_ALL""), job=""暗黒騎士""), AND(check="&amp;"Option!$G$13, REGEXMATCH(target, ""SINGLE_AFFECTED_ALL""))),
         buff,
         1
       )
     )
   )
 )"),1.0)</f>
        <v>1</v>
      </c>
      <c r="FH38" s="206">
        <f>IFERROR(__xludf.DUMMYFUNCTION("SUM(
   MAP(
     K$3:ED$3,
     K$7:ED$7,
     K$15:ED$15,
     K$16:ED$16,
     K$21:ED$21,
     K$5:ED$5,
     K$17:ED$17,
     K38:ED38,
     LAMBDA(
       job,
       abillity,
       buff,
       barrier,
       enhance,
       assign,
       preco"&amp;"ndition,
       check,
       IF(
         OR(AND(check=TRUE, REGEXMATCH(assign, ""SELF""), job=""暗黒騎士""), AND(check=Option!$G$13, REGEXMATCH(assign, ""SINGLE_PARTY""))),
         IF(
           OR(ARRAYFORMULA((IF(precondition="""", FALSE, REGEXMATCH($K$"&amp;"4:$ED$4, precondition))) * (K38:ED38=TRUE))),
           enhance,
           IF(barrier="""", buff, barrier)
         ),
         0
       ) *
       SWITCH(
         job,
         ""暗黒騎士"", FI$24,
         ""白魔道士"", EF38 * EH38 * FG38 * IF(abillity, 1, E"&amp;"G38 * EI38) * (Option!$D$22 * 0.81 / 100),
         ""占星術師"", EF38 * EJ38 * FG38 * IF(abillity, 1, EG38 * EK38) * (Option!$D$23 * 0.81 / 100),
         ""学者"", EF38 * EL38 * FG38 * IF(abillity, 1, EG38 * EM38) * (Option!$D$24 * 0.81 / 100),
         ""賢者"&amp;""", EF38 * EN38 * FG38 * IF(abillity, 1, EG38 * EO38) * (Option!$D$25 * 0.81 / 100),
         1
       )
     )
   )
 ) + EQ38"),0.0)</f>
        <v>0</v>
      </c>
      <c r="FI38" s="206">
        <f t="shared" si="12"/>
        <v>1600</v>
      </c>
      <c r="FJ38" s="205">
        <f>IFERROR(__xludf.DUMMYFUNCTION("PRODUCT(
   MAP(
     IF($F38=""Physical"", K$10:ED$10, IF($F38=""Magic"", K$11:ED$11, K$12:ED$12)),
     IF($F38=""Physical"", K$18:ED$18, IF($F38=""Magic"", K$19:ED$19, K$20:ED$20)),
     K$3:ED$3,
     K$5:ED$5,
     K$17:ED$17,
     K38:ED38,
     LAM"&amp;"BDA(
       mitigation,
       enhance,
       job,
       assign,
       precondition,
       check,
       IF(
         OR(AND(check=TRUE, REGEXMATCH(assign, ""SELF""), job=""ガンブレイカー""), AND(check=Option!$H$13, REGEXMATCH(assign, ""SINGLE_PARTY""))),
  "&amp;"       IF(
           OR(ARRAYFORMULA((IF(precondition="""", FALSE, REGEXMATCH($K$4:$ED$4, precondition))) * (K38:ED38=TRUE))),
           enhance,
           mitigation
         ),
         1
       )
     )
   )
 ) * EE38"),1.0)</f>
        <v>1</v>
      </c>
      <c r="FK38" s="206">
        <f t="shared" si="13"/>
        <v>1600</v>
      </c>
      <c r="FL38" s="205">
        <f>IFERROR(__xludf.DUMMYFUNCTION("PRODUCT(
   MAP(
     K$3:ED$3,
     K$14:ED$14,
     K$13:ED$13,
     K38:ED38,
     LAMBDA(
       job,
       buff,
       target,
       check,
       IF(
         OR(AND(check=TRUE, REGEXMATCH(target, ""SELF_AFFECTED_ALL""), job=""ガンブレイカー""), AND(che"&amp;"ck=Option!$H$13, REGEXMATCH(target, ""SINGLE_AFFECTED_ALL""))),
         buff,
         1
       )
     )
   )
 )"),1.0)</f>
        <v>1</v>
      </c>
      <c r="FM38" s="206">
        <f>IFERROR(__xludf.DUMMYFUNCTION("SUM(
   MAP(
     K$3:ED$3,
     K$7:ED$7,
     K$15:ED$15,
     K$16:ED$16,
     K$21:ED$21,
     K$5:ED$5,
     K$17:ED$17,
     K38:ED38,
     LAMBDA(
       job,
       abillity,
       buff,
       barrier,
       enhance,
       assign,
       preco"&amp;"ndition,
       check,
       IF(
         OR(AND(check=TRUE, REGEXMATCH(assign, ""SELF""), job=""ガンブレイカー""), AND(check=Option!$H$13, REGEXMATCH(assign, ""SINGLE_PARTY""))),
         IF(
           OR(ARRAYFORMULA((IF(precondition="""", FALSE, REGEXMATCH("&amp;"$K$4:$ED$4, precondition))) * (K38:ED38=TRUE))),
           enhance,
           IF(barrier="""", buff, barrier)
         ),
         0
       ) *
       SWITCH(
         job,
         ""暗黒騎士"", FN$24,
         ""白魔道士"", EF38 * EH38 * FL38 * IF(abillity, 1"&amp;", EG38 * EI38) * (Option!$D$22 * 0.81 / 100),
         ""占星術師"", EF38 * EJ38 * FL38 * IF(abillity, 1, EG38 * EK38) * (Option!$D$23 * 0.81 / 100),
         ""学者"", EF38 * EL38 * FL38 * IF(abillity, 1, EG38 * EM38) * (Option!$D$24 * 0.81 / 100),
         """&amp;"賢者"", EF38 * EN38 * FL38 * IF(abillity, 1, EG38 * EO38) * (Option!$D$25 * 0.81 / 100),
         1
       )
     )
   )
 ) + EQ38"),0.0)</f>
        <v>0</v>
      </c>
      <c r="FN38" s="206">
        <f t="shared" si="14"/>
        <v>1600</v>
      </c>
      <c r="FO38" s="213"/>
    </row>
    <row r="39">
      <c r="B39" s="208"/>
      <c r="C39" s="217">
        <f t="shared" si="1"/>
        <v>0.001076388889</v>
      </c>
      <c r="D39" s="225">
        <v>0.0010763888888888889</v>
      </c>
      <c r="E39" s="228" t="s">
        <v>1080</v>
      </c>
      <c r="F39" s="167" t="s">
        <v>10</v>
      </c>
      <c r="G39" s="168" t="str">
        <f t="shared" si="15"/>
        <v/>
      </c>
      <c r="H39" s="169">
        <v>800.0</v>
      </c>
      <c r="I39" s="169"/>
      <c r="J39" s="169"/>
      <c r="K39" s="170" t="b">
        <v>0</v>
      </c>
      <c r="L39" s="170" t="b">
        <v>0</v>
      </c>
      <c r="M39" s="170" t="b">
        <v>0</v>
      </c>
      <c r="N39" s="171" t="s">
        <v>1070</v>
      </c>
      <c r="O39" s="172" t="b">
        <v>0</v>
      </c>
      <c r="P39" s="173" t="b">
        <v>0</v>
      </c>
      <c r="Q39" s="173" t="b">
        <v>0</v>
      </c>
      <c r="R39" s="173" t="b">
        <v>0</v>
      </c>
      <c r="S39" s="174" t="b">
        <v>0</v>
      </c>
      <c r="T39" s="175" t="b">
        <v>0</v>
      </c>
      <c r="U39" s="173" t="b">
        <v>0</v>
      </c>
      <c r="V39" s="171" t="s">
        <v>1070</v>
      </c>
      <c r="W39" s="172" t="b">
        <v>0</v>
      </c>
      <c r="X39" s="173" t="b">
        <v>0</v>
      </c>
      <c r="Y39" s="173" t="b">
        <v>0</v>
      </c>
      <c r="Z39" s="173" t="b">
        <v>0</v>
      </c>
      <c r="AA39" s="174" t="b">
        <v>0</v>
      </c>
      <c r="AB39" s="174" t="b">
        <v>0</v>
      </c>
      <c r="AC39" s="175" t="b">
        <v>0</v>
      </c>
      <c r="AD39" s="173" t="b">
        <v>0</v>
      </c>
      <c r="AE39" s="176" t="s">
        <v>1070</v>
      </c>
      <c r="AF39" s="171" t="s">
        <v>1070</v>
      </c>
      <c r="AG39" s="177">
        <f>IFERROR(__xludf.DUMMYFUNCTION("IF(
  ISNUMBER(AG38),
  MIN(MAX(
    AG38
    + MAX(
      ROUNDDOWN(($D40 - MAX(IFERROR(FILTER($D$24:$D39, AG$24:AG38 &lt;&gt; AF$6, AG$23:AG37 = AF$6), 0))) * (60 * 60 * 24) / AF$9) - ROUNDDOWN(($D39 - MAX(IFERROR(FILTER($D$23:$D38, AG$23:AG37 &lt;&gt; AF$6, AG$22:"&amp;"AG36 = AF$6), 0))) * (60 * 60 * 24) / 60),
      0
    )
    - COUNTIF(AF39, ""&lt;&gt;-""),
  0), AF$6),
  AF$6 - COUNTIF(AF39, ""&lt;&gt;-"")
)"),2.0)</f>
        <v>2</v>
      </c>
      <c r="AH39" s="173" t="b">
        <v>0</v>
      </c>
      <c r="AI39" s="173" t="b">
        <v>0</v>
      </c>
      <c r="AJ39" s="173" t="b">
        <v>0</v>
      </c>
      <c r="AK39" s="174" t="b">
        <v>0</v>
      </c>
      <c r="AL39" s="175" t="b">
        <v>0</v>
      </c>
      <c r="AM39" s="173" t="b">
        <v>0</v>
      </c>
      <c r="AN39" s="171" t="s">
        <v>1070</v>
      </c>
      <c r="AO39" s="173" t="b">
        <v>0</v>
      </c>
      <c r="AP39" s="173" t="b">
        <v>0</v>
      </c>
      <c r="AQ39" s="173" t="b">
        <v>0</v>
      </c>
      <c r="AR39" s="174" t="b">
        <v>0</v>
      </c>
      <c r="AS39" s="178" t="b">
        <v>0</v>
      </c>
      <c r="AT39" s="179" t="b">
        <v>0</v>
      </c>
      <c r="AU39" s="180" t="b">
        <v>0</v>
      </c>
      <c r="AV39" s="180" t="b">
        <v>0</v>
      </c>
      <c r="AW39" s="180" t="b">
        <v>0</v>
      </c>
      <c r="AX39" s="180" t="b">
        <v>0</v>
      </c>
      <c r="AY39" s="181" t="s">
        <v>1070</v>
      </c>
      <c r="AZ39" s="181" t="s">
        <v>1070</v>
      </c>
      <c r="BA39" s="184">
        <f>IFERROR(__xludf.DUMMYFUNCTION("IF(
  ISNUMBER(BA38),
  MIN(MAX(
    BA38
    + MAX(
      ROUNDDOWN((D40 - MAX(IFERROR(FILTER(D$24:D39, BA$24:BA38 &lt;&gt; AZ$6, BA$23:BA37 = AZ$6), 0))) * (60 * 60 * 24) / AZ$9) - ROUNDDOWN((D39 - MAX(IFERROR(FILTER(D$23:D38, BA$23:BA37 &lt;&gt; AZ$6, BA$22:BA36 ="&amp;" AZ$6), 0))) * (60 * 60 * 24) / AZ$9),
      0
    )
    - COUNTIF(AZ39, ""&lt;&gt;-""),
  0), AZ$6),
  AZ$6 - COUNTIF(AZ39, ""&lt;&gt;-"")
)"),2.0)</f>
        <v>2</v>
      </c>
      <c r="BB39" s="181" t="s">
        <v>1070</v>
      </c>
      <c r="BC39" s="183">
        <f>IFERROR(__xludf.DUMMYFUNCTION("IF(
  ISNUMBER(BC38),
  MIN(MAX(
    BC38
    + MAX(
      ROUNDDOWN(($D40 - MAX(IFERROR(FILTER($D$24:$D39, BC$24:BC38 &lt;&gt; BB$6, BC$23:BC37 = BB$6), 0))) * (60 * 60 * 24) / BB$9) - ROUNDDOWN(($D39 - MAX(IFERROR(FILTER($D$23:$D38, BC$23:BC37 &lt;&gt; BB$6, BC$22:"&amp;"BC36 = BB$6), 0))) * (60 * 60 * 24) / 60),
      0
    )
    - COUNTIF(BB39, ""&lt;&gt;-""),
  0), BB$6),
  BB$6 - COUNTIF(BB39, ""&lt;&gt;-"")
)"),2.0)</f>
        <v>2</v>
      </c>
      <c r="BD39" s="181" t="s">
        <v>1070</v>
      </c>
      <c r="BE39" s="178" t="b">
        <v>0</v>
      </c>
      <c r="BF39" s="180" t="b">
        <v>0</v>
      </c>
      <c r="BG39" s="180" t="b">
        <v>0</v>
      </c>
      <c r="BH39" s="180" t="b">
        <v>0</v>
      </c>
      <c r="BI39" s="180" t="b">
        <v>0</v>
      </c>
      <c r="BJ39" s="180" t="b">
        <v>0</v>
      </c>
      <c r="BK39" s="180" t="b">
        <v>0</v>
      </c>
      <c r="BL39" s="180" t="b">
        <v>0</v>
      </c>
      <c r="BM39" s="180" t="b">
        <v>0</v>
      </c>
      <c r="BN39" s="180" t="b">
        <v>0</v>
      </c>
      <c r="BO39" s="181" t="s">
        <v>1070</v>
      </c>
      <c r="BP39" s="181" t="s">
        <v>1070</v>
      </c>
      <c r="BQ39" s="181" t="s">
        <v>1070</v>
      </c>
      <c r="BR39" s="181" t="s">
        <v>1070</v>
      </c>
      <c r="BS39" s="181" t="s">
        <v>1070</v>
      </c>
      <c r="BT39" s="184">
        <f>IFERROR(__xludf.DUMMYFUNCTION("IF(
  ISNUMBER(BT38),
  MIN(MAX(
    BT38
    + MAX(
      ROUNDDOWN((D40 - MAX(IFERROR(FILTER(D$24:D39, BT$24:BT38 &lt;&gt; BS$6, BT$23:BT37 = BS$6), 0))) * (60 * 60 * 24) / BS$9) - ROUNDDOWN((D39 - MAX(IFERROR(FILTER(D$23:D38, BT$23:BT37 &lt;&gt; BS$6, BT$22:BT36 ="&amp;" BS$6), 0))) * (60 * 60 * 24) / BS$9),
      0
    )
    - COUNTIF(BS39, ""&lt;&gt;-""),
  0), BS$6),
  BS$6 - COUNTIF(BS39, ""&lt;&gt;-"")
)"),3.0)</f>
        <v>3</v>
      </c>
      <c r="BU39" s="181" t="s">
        <v>1070</v>
      </c>
      <c r="BV39" s="181" t="s">
        <v>1070</v>
      </c>
      <c r="BW39" s="184">
        <f>IFERROR(__xludf.DUMMYFUNCTION("IF(
  ISNUMBER(BW38),
  MIN(MAX(
    BW38
    + MAX(
      ROUNDDOWN((D40 - MAX(IFERROR(FILTER(D$24:D39, BW$24:BW38 &lt;&gt; BV$6, BW$23:BW37 = BV$6), 0))) * (60 * 60 * 24) / BV$9) - ROUNDDOWN((D39 - MAX(IFERROR(FILTER(D$23:D38, BW$23:BW37 &lt;&gt; BV$6, BW$22:BW36 ="&amp;" BV$6), 0))) * (60 * 60 * 24) / BV$9),
      0
    )
    - COUNTIF(BV39, ""&lt;&gt;-""),
  0), BV$6),
  BV$6 - COUNTIF(BV39, ""&lt;&gt;-"")
)"),2.0)</f>
        <v>2</v>
      </c>
      <c r="BX39" s="185" t="s">
        <v>1070</v>
      </c>
      <c r="BY39" s="178" t="b">
        <v>0</v>
      </c>
      <c r="BZ39" s="180" t="b">
        <v>0</v>
      </c>
      <c r="CA39" s="180" t="b">
        <v>0</v>
      </c>
      <c r="CB39" s="180" t="b">
        <v>0</v>
      </c>
      <c r="CC39" s="180" t="b">
        <v>0</v>
      </c>
      <c r="CD39" s="180" t="b">
        <v>0</v>
      </c>
      <c r="CE39" s="180" t="b">
        <v>0</v>
      </c>
      <c r="CF39" s="180" t="b">
        <v>0</v>
      </c>
      <c r="CG39" s="180" t="b">
        <v>0</v>
      </c>
      <c r="CH39" s="180" t="b">
        <v>0</v>
      </c>
      <c r="CI39" s="180" t="b">
        <v>0</v>
      </c>
      <c r="CJ39" s="180" t="b">
        <v>0</v>
      </c>
      <c r="CK39" s="180" t="b">
        <v>0</v>
      </c>
      <c r="CL39" s="180" t="b">
        <v>0</v>
      </c>
      <c r="CM39" s="181" t="s">
        <v>1070</v>
      </c>
      <c r="CN39" s="181" t="s">
        <v>1070</v>
      </c>
      <c r="CO39" s="181" t="s">
        <v>1070</v>
      </c>
      <c r="CP39" s="181" t="s">
        <v>1070</v>
      </c>
      <c r="CQ39" s="185" t="s">
        <v>1070</v>
      </c>
      <c r="CR39" s="180" t="b">
        <v>0</v>
      </c>
      <c r="CS39" s="186" t="str">
        <f t="shared" si="3"/>
        <v>◇◇◇</v>
      </c>
      <c r="CT39" s="178" t="b">
        <v>0</v>
      </c>
      <c r="CU39" s="180" t="b">
        <v>0</v>
      </c>
      <c r="CV39" s="180" t="b">
        <v>0</v>
      </c>
      <c r="CW39" s="180" t="b">
        <v>0</v>
      </c>
      <c r="CX39" s="180" t="b">
        <v>0</v>
      </c>
      <c r="CY39" s="180" t="b">
        <v>0</v>
      </c>
      <c r="CZ39" s="180" t="b">
        <v>0</v>
      </c>
      <c r="DA39" s="180" t="b">
        <v>0</v>
      </c>
      <c r="DB39" s="180" t="b">
        <v>0</v>
      </c>
      <c r="DC39" s="180" t="b">
        <v>0</v>
      </c>
      <c r="DD39" s="181" t="s">
        <v>1070</v>
      </c>
      <c r="DE39" s="181" t="s">
        <v>1070</v>
      </c>
      <c r="DF39" s="181" t="s">
        <v>1070</v>
      </c>
      <c r="DG39" s="185" t="s">
        <v>1070</v>
      </c>
      <c r="DH39" s="180" t="b">
        <v>0</v>
      </c>
      <c r="DI39" s="187" t="str">
        <f>IFERROR(__xludf.DUMMYFUNCTION("SWITCH(
  IF(
    ISTEXT(DI38),
    IF (
      FIND(""○"", DI38&amp;""○"") &gt; 3,
      3,
      FIND(""○"", DI38&amp;""○"")
      + MAX(
        ROUNDDOWN(($D40 - MAX(IFERROR(FILTER(D$24:D39, DI$24:DI38 &lt;&gt; ""●●●"", DI$23:DI37 = ""●●●""), 0))) * (60 * 60 * 24) / 20"&amp;") - ROUNDDOWN(($D39 - MAX(IFERROR(FILTER(D$23:D38, DI$23:DI37 &lt;&gt; ""●●●"", DI$22:DI36 = ""●●●""), 0))) * (60 * 60 * 24) / 20),
        0
      ) - 1
    ) - COUNTIFS(CU39, ""=TRUE"", CU38, ""&lt;&gt;TRUE"") - COUNTIF(CZ39, ""=TRUE"") - COUNTIF({DD39,DE39}, ""&lt;&gt;-"&amp;""") + COUNTIF(DH39, ""=TRUE""),
    3
  ),
  0, ""○○○"", 1, ""●○○"", 2, ""●●○"", 3, ""●●●"", 4, ""●●●"", ""○○○""
)"),"●●●")</f>
        <v>●●●</v>
      </c>
      <c r="DJ39" s="188" t="b">
        <v>0</v>
      </c>
      <c r="DK39" s="189" t="b">
        <v>0</v>
      </c>
      <c r="DL39" s="190" t="b">
        <v>0</v>
      </c>
      <c r="DM39" s="190" t="b">
        <v>0</v>
      </c>
      <c r="DN39" s="190" t="b">
        <v>0</v>
      </c>
      <c r="DO39" s="190" t="b">
        <v>0</v>
      </c>
      <c r="DP39" s="190" t="b">
        <v>0</v>
      </c>
      <c r="DQ39" s="191" t="b">
        <v>0</v>
      </c>
      <c r="DR39" s="192" t="b">
        <v>0</v>
      </c>
      <c r="DS39" s="191" t="b">
        <v>0</v>
      </c>
      <c r="DT39" s="192" t="b">
        <v>0</v>
      </c>
      <c r="DU39" s="191" t="b">
        <v>0</v>
      </c>
      <c r="DV39" s="193" t="s">
        <v>1070</v>
      </c>
      <c r="DW39" s="194" t="b">
        <v>0</v>
      </c>
      <c r="DX39" s="194" t="b">
        <v>0</v>
      </c>
      <c r="DY39" s="195" t="b">
        <v>0</v>
      </c>
      <c r="DZ39" s="196" t="b">
        <v>0</v>
      </c>
      <c r="EA39" s="195" t="b">
        <v>0</v>
      </c>
      <c r="EB39" s="197" t="b">
        <v>0</v>
      </c>
      <c r="EC39" s="197" t="b">
        <v>0</v>
      </c>
      <c r="ED39" s="212" t="b">
        <v>0</v>
      </c>
      <c r="EE39" s="199">
        <f>IFERROR(__xludf.DUMMYFUNCTION("IFERROR(
   PRODUCT(
     MAP(
       INDEX(TRANSPOSE(UNIQUE(TRANSPOSE(FILTER({IF($F39=""Physical"", K$10:ED$10, IF($F39=""Magic"", K$11:ED$11, K$12:ED$12));K$4:ED$4;K39:ED39}, K39:ED39=TRUE)))), 1, 0),
       INDEX(TRANSPOSE(UNIQUE(TRANSPOSE(FILTER({IF($"&amp;"F39=""Physical"", K$18:ED$18, IF($F39=""Magic"", K$19:ED$19, K$20:ED$20));K$4:ED$4;K39:ED39}, K39:ED39=TRUE)))), 1, 0),
       INDEX(TRANSPOSE(UNIQUE(TRANSPOSE(FILTER({K$5:ED$5;K$4:ED$4;K39:ED39}, K39:ED39=TRUE)))), 1, 0),
       INDEX(TRANSPOSE(UNIQUE(TR"&amp;"ANSPOSE(FILTER({K$17:ED$17;K$4:ED$4;K39:ED39}, K39:ED39=TRUE)))), 1, 0),
       LAMBDA(
         mitigation,
         enhance,
         assign,
         precondition,
         IF(
           REGEXMATCH(assign, ""RANGE_PARTY|SINGLE_ENEMY|RANGE_ENEMY""),
  "&amp;"         IF(
             OR(ARRAYFORMULA((IF(precondition="""", FALSE, REGEXMATCH(K$4:ED$4, precondition))) * (K39:ED39=TRUE))),
             IF(ISNUMBER(enhance), enhance, 1),
             IF(ISNUMBER(mitigation), mitigation, 1)
           ),
          "&amp;" 1
         )
       )
     )
   ),
   1
 )"),1.0)</f>
        <v>1</v>
      </c>
      <c r="EF39" s="200">
        <f>IFERROR(__xludf.DUMMYFUNCTION("PRODUCT(
   MAP(
     K$14:ED$14,
     K$13:ED$13,
     K39:ED39,
     LAMBDA(
       buff,
       target,
       check,
       IF(
         AND(check=TRUE, REGEXMATCH(target, ""RANGE_AFFECTED_ALL|RANGE_EFFECTED_ALL""), ISNUMBER(buff)),
         buff,
   "&amp;"      1
       )
     )
   )
 )"),1.0)</f>
        <v>1</v>
      </c>
      <c r="EG39" s="200">
        <f>IFERROR(__xludf.DUMMYFUNCTION("PRODUCT(
   MAP(
     K$14:ED$14,
     K$13:ED$13,
     K39:ED39,
     LAMBDA(
       buff,
       target,
       check,
       IF(
         AND(check=TRUE, REGEXMATCH(target, ""RANGE_AFFECTED_GCD|RANGE_EFFECTED_GCD""), ISNUMBER(buff)),
         buff,
   "&amp;"      1
       )
     )
   )
 )"),1.0)</f>
        <v>1</v>
      </c>
      <c r="EH39" s="200">
        <f>IFERROR(__xludf.DUMMYFUNCTION("PRODUCT(
   MAP(
     K$3:ED$3,
     K$14:ED$14,
     K$13:ED$13,
     K39:ED39,
     LAMBDA(
       job,
       buff,
       target,
       check,
       IF(
         AND(check=TRUE, REGEXMATCH(target, ""SELF_EFFECTED_ALL""), ISNUMBER(buff), job=""白魔道士"""&amp;"),
         buff,
         1
       )
     )
   )
 )"),1.0)</f>
        <v>1</v>
      </c>
      <c r="EI39" s="200">
        <f>IFERROR(__xludf.DUMMYFUNCTION("PRODUCT(
   MAP(
     K$3:ED$3,
     K$14:ED$14,
     K$13:ED$13,
     K39:ED39,
     LAMBDA(
       job,
       buff,
       target,
       check,
       IF(
         AND(check=TRUE, REGEXMATCH(target, ""SELF_EFFECTED_GCD""), ISNUMBER(buff), job=""白魔道士"""&amp;"),
         buff,
         1
       )
     )
   )
 )"),1.0)</f>
        <v>1</v>
      </c>
      <c r="EJ39" s="200">
        <f>IFERROR(__xludf.DUMMYFUNCTION("PRODUCT(
   MAP(
     K$3:ED$3,
     K$14:ED$14,
     K$13:ED$13,
     K39:ED39,
     LAMBDA(
       job,
       buff,
       target,
       check,
       IF(
         AND(check=TRUE, REGEXMATCH(target, ""SELF_EFFECTED_ALL""), ISNUMBER(buff), job=""占星術師"""&amp;"),
         buff,
         1
       )
     )
   )
 )"),1.0)</f>
        <v>1</v>
      </c>
      <c r="EK39" s="200">
        <f>IFERROR(__xludf.DUMMYFUNCTION("PRODUCT(
   MAP(
     K$3:ED$3,
     K$14:ED$14,
     K$13:ED$13,
     K39:ED39,
     LAMBDA(
       job,
       buff,
       target,
       check,
       IF(
         AND(check=TRUE, REGEXMATCH(target, ""SELF_EFFECTED_GCD""), ISNUMBER(buff), job=""占星術師"""&amp;"),
         buff,
         1
       )
     )
   )
 )"),1.0)</f>
        <v>1</v>
      </c>
      <c r="EL39" s="200">
        <f>IFERROR(__xludf.DUMMYFUNCTION("PRODUCT(
   MAP(
     K$3:ED$3,
     K$14:ED$14,
     K$13:ED$13,
     K39:ED39,
     LAMBDA(
       job,
       buff,
       target,
       check,
       IF(
         AND(check=TRUE, REGEXMATCH(target, ""SELF_EFFECTED_ALL""), ISNUMBER(buff), job=""学者""),"&amp;"
         buff,
         1
       )
     )
   )
 )"),1.0)</f>
        <v>1</v>
      </c>
      <c r="EM39" s="200">
        <f>IFERROR(__xludf.DUMMYFUNCTION("PRODUCT(
   MAP(
     K$3:ED$3,
     K$14:ED$14,
     K$13:ED$13,
     K39:ED39,
     LAMBDA(
       job,
       buff,
       target,
       check,
       IF(
         AND(check=TRUE, REGEXMATCH(target, ""SELF_EFFECTED_GCD""), ISNUMBER(buff), job=""学者""),"&amp;"
         buff,
         1
       )
     )
   )
 )"),1.0)</f>
        <v>1</v>
      </c>
      <c r="EN39" s="200">
        <f>IFERROR(__xludf.DUMMYFUNCTION("PRODUCT(
   MAP(
     K$3:ED$3,
     K$14:ED$14,
     K$13:ED$13,
     K39:ED39,
     LAMBDA(
       job,
       buff,
       target,
       check,
       IF(
         AND(check=TRUE, REGEXMATCH(target, ""SELF_EFFECTED_ALL""), ISNUMBER(buff), job=""賢者""),"&amp;"
         buff,
         1
       )
     )
   )
 )"),1.0)</f>
        <v>1</v>
      </c>
      <c r="EO39" s="200">
        <f>IFERROR(__xludf.DUMMYFUNCTION("PRODUCT(
   MAP(
     K$3:ED$3,
     K$14:ED$14,
     K$13:ED$13,
     K39:ED39,
     LAMBDA(
       job,
       buff,
       target,
       check,
       IF(
         AND(check=TRUE, REGEXMATCH(target, ""SELF_EFFECTED_GCD""), ISNUMBER(buff), job=""賢者""),"&amp;"
         buff,
         1
       )
     )
   )
 )"),1.0)</f>
        <v>1</v>
      </c>
      <c r="EP39" s="201">
        <f t="shared" si="4"/>
        <v>800</v>
      </c>
      <c r="EQ39" s="201">
        <f>IFERROR(__xludf.DUMMYFUNCTION("SUM(
   MAP(
     K$4:ED$4,
     K$3:ED$3,
     K$7:ED$7,
     K$15:ED$15,
     K$16:ED$16,
     K$21:ED$21,
     K$5:ED$5,
     K$17:ED$17,
     K39:ED39,
     LAMBDA(
       name,
       job,
       abillity,
       buff,
       barrier,
       enhance,"&amp;"
       assign,
       precondition,
       check,
       SWITCH(
         name,
         ""シェイクオフ"", IF(check=TRUE, buff + (0.02 * COUNTIF(ARRAYFORMULA((REGEXMATCH($K$4:$ED$4, ""スリル・オブ・バトル|ヴェンジェンス|原初の血気|ダムネーション"")) * (K39:ED39=TRUE)), 1)), 0),
         "&amp;"""インプロビゼーションフィニッシュ(踊りの激情0)"", IF(ISNUMBER(check), INDEX(Skill!$AJ:$AJ, MATCH(SUBSTITUTE(DV$4, 0, check), Skill!$C:$C, 0)), 0),
         IF(
           AND(check=TRUE, REGEXMATCH(assign, ""RANGE_PARTY"")),
           IF(
             OR(ARRAYFORMULA((IF(pr"&amp;"econdition="""", FALSE, REGEXMATCH($K$4:$ED$4, precondition))) * (K39:ED39=TRUE))),
             enhance,
             IF(barrier="""", buff, barrier)
           ),
           0
         )
       ) *
       SWITCH(
         job,
         ""ナイト"", EY$24,
 "&amp;"        ""戦士"", FD$24,
         ""踊り子"", ET$24,
         ""ピクトマンサー"", ET$24,
         ""白魔道士"", EF39 * EH39 * IF(abillity, 1, EG39 * EI39) * (Option!$D$22 * 0.81 / 100),
         ""占星術師"", EF39 * EJ39 * IF(abillity, 1, EG39 * EK39) * (Option!$D$23 * 0.81 "&amp;"/ 100),
         ""学者"", EF39 * EL39 * IF(abillity, 1, EG39 * EM39) * (Option!$D$24 * 0.81 / 100),
         ""賢者"", EF39 * EN39 * IF(abillity, 1, EG39 * EO39) * (Option!$D$25 * 0.81 / 100),
         1
       )
     )
   )
 )"),0.0)</f>
        <v>0</v>
      </c>
      <c r="ER39" s="202">
        <f t="shared" si="5"/>
        <v>800</v>
      </c>
      <c r="ES39" s="203">
        <f t="shared" si="6"/>
        <v>0</v>
      </c>
      <c r="ET39" s="204" t="str">
        <f>IFERROR(__xludf.DUMMYFUNCTION("IFS(
  EP39 &gt; $ET$24 + EQ39,
  SPARKLINE({ 1, 0 }, {""charttype"",""bar"";""max"", 1;""color1"",Option!$D$30;""color2"",Option!$D$30}),
  EP39 &lt; EQ39,
  SPARKLINE({EQ39 - EP39, $ET$24 - (EQ39 - EP39)}, {""charttype"",""bar"";""max"",$ET$24;""color1"",Opti"&amp;"on!$D$28;""color2"",Option!$D$29}),
  EP39 &gt;= EQ39,
  SPARKLINE({$ET$24 + EQ39 - EP39,EP39 - EQ39}, {""charttype"",""bar"";""max"",$ET$24;""color1"",Option!$D$29;""color2"",Option!$D$30})
)"),"")</f>
        <v/>
      </c>
      <c r="EU39" s="205">
        <f>IFERROR(__xludf.DUMMYFUNCTION("PRODUCT(
   MAP(
     IF($F39=""Physical"", K$10:ED$10, IF($F39=""Magic"", K$11:ED$11, K$12:ED$12)),
     IF($F39=""Physical"", K$18:ED$18, IF($F39=""Magic"", K$19:ED$19, K$20:ED$20)),
     K$3:ED$3,
     K$5:ED$5,
     K$17:ED$17,
     K39:ED39,
     LAM"&amp;"BDA(
       mitigation,
       enhance,
       job,
       assign,
       precondition,
       check,
       IF(
         OR(AND(check=TRUE, REGEXMATCH(assign, ""SELF""), job=""ナイト""), AND(check=Option!$E$13, REGEXMATCH(assign, ""SINGLE_PARTY""))),
      "&amp;"   IF(
           OR(ARRAYFORMULA((IF(precondition="""", FALSE, REGEXMATCH($K$4:$ED$4, precondition))) * (K39:ED39=TRUE))),
           enhance,
           mitigation
         ),
         1
       )
     )
   )
 ) * EE39"),1.0)</f>
        <v>1</v>
      </c>
      <c r="EV39" s="206">
        <f t="shared" si="7"/>
        <v>640</v>
      </c>
      <c r="EW39" s="205">
        <f>IFERROR(__xludf.DUMMYFUNCTION("PRODUCT(
   MAP(
     K$3:ED$3,
     K$14:ED$14,
     K$13:ED$13,
     K39:ED39,
     LAMBDA(
       job,
       buff,
       target,
       check,
       IF(
         OR(AND(check=TRUE, REGEXMATCH(target, ""SELF_AFFECTED_ALL""), job=""ナイト""), AND(check=O"&amp;"ption!$E$13, REGEXMATCH(target, ""SINGLE_AFFECTED_ALL""))),
         buff,
         1
       )
     )
   )
 )"),1.0)</f>
        <v>1</v>
      </c>
      <c r="EX39" s="206">
        <f>IFERROR(__xludf.DUMMYFUNCTION("SUM(
   MAP(
     K$3:ED$3,
     K$7:ED$7,
     K$15:ED$15,
     K$16:ED$16,
     K$21:ED$21,
     K$5:ED$5,
     K$17:ED$17,
     K39:ED39,
     LAMBDA(
       job,
       abillity,
       buff,
       barrier,
       enhance,
       assign,
       preco"&amp;"ndition,
       check,
       IF(
         OR(AND(check=TRUE, REGEXMATCH(assign, ""SELF""), job=""ナイト""), AND(check=Option!$E$13, REGEXMATCH(assign, ""SINGLE_PARTY""))),
         IF(
           OR(ARRAYFORMULA((IF(precondition="""", FALSE, REGEXMATCH($K$4"&amp;":$ED$4, precondition))) * (K39:ED39=TRUE))),
           enhance,
           IF(barrier="""", buff, barrier)
         ),
         0
       ) *
       SWITCH(
         job,
         ""暗黒騎士"", EY$24,
         ""白魔道士"", EF39 * EH39 * EW39 * IF(abillity, 1, EG"&amp;"39 * EI39) * (Option!$D$22 * 0.81 / 100),
         ""占星術師"", EF39 * EJ39 * EW39 * IF(abillity, 1, EG39 * EK39) * (Option!$D$23 * 0.81 / 100),
         ""学者"", EF39 * EL39 * EW39 * IF(abillity, 1, EG39 * EM39) * (Option!$D$24 * 0.81 / 100),
         ""賢者"""&amp;", EF39 * EN39 * EW39 * IF(abillity, 1, EG39 * EO39) * (Option!$D$25 * 0.81 / 100),
         1
       )
     )
   )
 ) + EQ39"),0.0)</f>
        <v>0</v>
      </c>
      <c r="EY39" s="206">
        <f t="shared" si="8"/>
        <v>640</v>
      </c>
      <c r="EZ39" s="205">
        <f>IFERROR(__xludf.DUMMYFUNCTION("PRODUCT(
   MAP(
     IF($F39=""Physical"", K$10:ED$10, IF($F39=""Magic"", K$11:ED$11, K$12:ED$12)),
     IF($F39=""Physical"", K$18:ED$18, IF($F39=""Magic"", K$19:ED$19, K$20:ED$20)),
     K$3:ED$3,
     K$5:ED$5,
     K$17:ED$17,
     K39:ED39,
     LAM"&amp;"BDA(
       mitigation,
       enhance,
       job,
       assign,
       precondition,
       check,
       IF(
         OR(AND(check=TRUE, REGEXMATCH(assign, ""SELF""), job=""戦士""), AND(check=Option!$F$13, REGEXMATCH(assign, ""SINGLE_PARTY""))),
       "&amp;"  IF(
           OR(ARRAYFORMULA((IF(precondition="""", FALSE, REGEXMATCH($K$4:$ED$4, precondition))) * (K39:ED39=TRUE))),
           enhance,
           mitigation
         ),
         1
       )
     )
   )
 ) * EE39"),1.0)</f>
        <v>1</v>
      </c>
      <c r="FA39" s="206">
        <f t="shared" si="9"/>
        <v>640</v>
      </c>
      <c r="FB39" s="205">
        <f>IFERROR(__xludf.DUMMYFUNCTION("PRODUCT(
   MAP(
     K$3:ED$3,
     K$14:ED$14,
     K$13:ED$13,
     K39:ED39,
     LAMBDA(
       job,
       buff,
       target,
       check,
       IF(
         OR(AND(check=TRUE, REGEXMATCH(target, ""SELF_AFFECTED_ALL""), job=""戦士""), AND(check=Op"&amp;"tion!$F$13, REGEXMATCH(target, ""SINGLE_AFFECTED_ALL""))),
         buff,
         1
       )
     )
   )
 )"),1.0)</f>
        <v>1</v>
      </c>
      <c r="FC39" s="206">
        <f>IFERROR(__xludf.DUMMYFUNCTION("SUM(
   MAP(
     K$3:ED$3,
     K$7:ED$7,
     K$15:ED$15,
     K$16:ED$16,
     K$21:ED$21,
     K$5:ED$5,
     K$17:ED$17,
     K39:ED39,
     LAMBDA(
       job,
       abillity,
       buff,
       barrier,
       enhance,
       assign,
       preco"&amp;"ndition,
       check,
       IF(
         OR(AND(check=TRUE, REGEXMATCH(assign, ""SELF""), job=""戦士""), AND(check=Option!$F$13, REGEXMATCH(assign, ""SINGLE_PARTY""))),
         IF(
           OR(ARRAYFORMULA((IF(precondition="""", FALSE, REGEXMATCH($K$4:"&amp;"$ED$4, precondition))) * (K39:ED39=TRUE))),
           enhance,
           IF(barrier="""", buff, barrier)
         ),
         0
       ) *
       SWITCH(
         job,
         ""暗黒騎士"", FD$24,
         ""白魔道士"", EF39 * EH39 * FB39 * IF(abillity, 1, EG3"&amp;"9 * EI39) * (Option!$D$22 * 0.81 / 100),
         ""占星術師"", EF39 * EJ39 * FFB39 * IF(abillity, 1, EG39 * EK39) * (Option!$D$23 * 0.81 / 100),
         ""学者"", EF39 * EL39 * FB39 * IF(abillity, 1, EG39 * EM39) * (Option!$D$24 * 0.81 / 100),
         ""賢者"""&amp;", EF39 * EN39 * FB39 * IF(abillity, 1, EG39 * EO39) * (Option!$D$25 * 0.81 / 100),
         1
       )
     )
   )
 ) + EQ39"),0.0)</f>
        <v>0</v>
      </c>
      <c r="FD39" s="206">
        <f t="shared" si="10"/>
        <v>640</v>
      </c>
      <c r="FE39" s="205">
        <f>IFERROR(__xludf.DUMMYFUNCTION("PRODUCT(
   MAP(
     IF($F39=""Physical"", K$10:ED$10, IF($F39=""Magic"", K$11:ED$11, K$12:ED$12)),
     IF($F39=""Physical"", K$18:ED$18, IF($F39=""Magic"", K$19:ED$19, K$20:ED$20)),
     K$3:ED$3,
     K$5:ED$5,
     K$17:ED$17,
     K39:ED39,
     LAM"&amp;"BDA(
       mitigation,
       enhance,
       job,
       assign,
       precondition,
       check,
       IF(
         OR(AND(check=TRUE, REGEXMATCH(assign, ""SELF""), job=""暗黒騎士""), AND(check=Option!$G$13, REGEXMATCH(assign, ""SINGLE_PARTY""))),
     "&amp;"    IF(
           OR(ARRAYFORMULA((IF(precondition="""", FALSE, REGEXMATCH($K$4:$ED$4, precondition))) * (K39:ED39=TRUE))),
           enhance,
           mitigation
         ),
         1
       )
     )
   )
 ) * EE39"),1.0)</f>
        <v>1</v>
      </c>
      <c r="FF39" s="206">
        <f t="shared" si="11"/>
        <v>640</v>
      </c>
      <c r="FG39" s="205">
        <f>IFERROR(__xludf.DUMMYFUNCTION("PRODUCT(
   MAP(
     K$3:ED$3,
     K$14:ED$14,
     K$13:ED$13,
     K39:ED39,
     LAMBDA(
       job,
       buff,
       target,
       check,
       IF(
         OR(AND(check=TRUE, REGEXMATCH(target, ""SELF_AFFECTED_ALL""), job=""暗黒騎士""), AND(check="&amp;"Option!$G$13, REGEXMATCH(target, ""SINGLE_AFFECTED_ALL""))),
         buff,
         1
       )
     )
   )
 )"),1.0)</f>
        <v>1</v>
      </c>
      <c r="FH39" s="206">
        <f>IFERROR(__xludf.DUMMYFUNCTION("SUM(
   MAP(
     K$3:ED$3,
     K$7:ED$7,
     K$15:ED$15,
     K$16:ED$16,
     K$21:ED$21,
     K$5:ED$5,
     K$17:ED$17,
     K39:ED39,
     LAMBDA(
       job,
       abillity,
       buff,
       barrier,
       enhance,
       assign,
       preco"&amp;"ndition,
       check,
       IF(
         OR(AND(check=TRUE, REGEXMATCH(assign, ""SELF""), job=""暗黒騎士""), AND(check=Option!$G$13, REGEXMATCH(assign, ""SINGLE_PARTY""))),
         IF(
           OR(ARRAYFORMULA((IF(precondition="""", FALSE, REGEXMATCH($K$"&amp;"4:$ED$4, precondition))) * (K39:ED39=TRUE))),
           enhance,
           IF(barrier="""", buff, barrier)
         ),
         0
       ) *
       SWITCH(
         job,
         ""暗黒騎士"", FI$24,
         ""白魔道士"", EF39 * EH39 * FG39 * IF(abillity, 1, E"&amp;"G39 * EI39) * (Option!$D$22 * 0.81 / 100),
         ""占星術師"", EF39 * EJ39 * FG39 * IF(abillity, 1, EG39 * EK39) * (Option!$D$23 * 0.81 / 100),
         ""学者"", EF39 * EL39 * FG39 * IF(abillity, 1, EG39 * EM39) * (Option!$D$24 * 0.81 / 100),
         ""賢者"&amp;""", EF39 * EN39 * FG39 * IF(abillity, 1, EG39 * EO39) * (Option!$D$25 * 0.81 / 100),
         1
       )
     )
   )
 ) + EQ39"),0.0)</f>
        <v>0</v>
      </c>
      <c r="FI39" s="206">
        <f t="shared" si="12"/>
        <v>640</v>
      </c>
      <c r="FJ39" s="205">
        <f>IFERROR(__xludf.DUMMYFUNCTION("PRODUCT(
   MAP(
     IF($F39=""Physical"", K$10:ED$10, IF($F39=""Magic"", K$11:ED$11, K$12:ED$12)),
     IF($F39=""Physical"", K$18:ED$18, IF($F39=""Magic"", K$19:ED$19, K$20:ED$20)),
     K$3:ED$3,
     K$5:ED$5,
     K$17:ED$17,
     K39:ED39,
     LAM"&amp;"BDA(
       mitigation,
       enhance,
       job,
       assign,
       precondition,
       check,
       IF(
         OR(AND(check=TRUE, REGEXMATCH(assign, ""SELF""), job=""ガンブレイカー""), AND(check=Option!$H$13, REGEXMATCH(assign, ""SINGLE_PARTY""))),
  "&amp;"       IF(
           OR(ARRAYFORMULA((IF(precondition="""", FALSE, REGEXMATCH($K$4:$ED$4, precondition))) * (K39:ED39=TRUE))),
           enhance,
           mitigation
         ),
         1
       )
     )
   )
 ) * EE39"),1.0)</f>
        <v>1</v>
      </c>
      <c r="FK39" s="206">
        <f t="shared" si="13"/>
        <v>640</v>
      </c>
      <c r="FL39" s="205">
        <f>IFERROR(__xludf.DUMMYFUNCTION("PRODUCT(
   MAP(
     K$3:ED$3,
     K$14:ED$14,
     K$13:ED$13,
     K39:ED39,
     LAMBDA(
       job,
       buff,
       target,
       check,
       IF(
         OR(AND(check=TRUE, REGEXMATCH(target, ""SELF_AFFECTED_ALL""), job=""ガンブレイカー""), AND(che"&amp;"ck=Option!$H$13, REGEXMATCH(target, ""SINGLE_AFFECTED_ALL""))),
         buff,
         1
       )
     )
   )
 )"),1.0)</f>
        <v>1</v>
      </c>
      <c r="FM39" s="206">
        <f>IFERROR(__xludf.DUMMYFUNCTION("SUM(
   MAP(
     K$3:ED$3,
     K$7:ED$7,
     K$15:ED$15,
     K$16:ED$16,
     K$21:ED$21,
     K$5:ED$5,
     K$17:ED$17,
     K39:ED39,
     LAMBDA(
       job,
       abillity,
       buff,
       barrier,
       enhance,
       assign,
       preco"&amp;"ndition,
       check,
       IF(
         OR(AND(check=TRUE, REGEXMATCH(assign, ""SELF""), job=""ガンブレイカー""), AND(check=Option!$H$13, REGEXMATCH(assign, ""SINGLE_PARTY""))),
         IF(
           OR(ARRAYFORMULA((IF(precondition="""", FALSE, REGEXMATCH("&amp;"$K$4:$ED$4, precondition))) * (K39:ED39=TRUE))),
           enhance,
           IF(barrier="""", buff, barrier)
         ),
         0
       ) *
       SWITCH(
         job,
         ""暗黒騎士"", FN$24,
         ""白魔道士"", EF39 * EH39 * FL39 * IF(abillity, 1"&amp;", EG39 * EI39) * (Option!$D$22 * 0.81 / 100),
         ""占星術師"", EF39 * EJ39 * FL39 * IF(abillity, 1, EG39 * EK39) * (Option!$D$23 * 0.81 / 100),
         ""学者"", EF39 * EL39 * FL39 * IF(abillity, 1, EG39 * EM39) * (Option!$D$24 * 0.81 / 100),
         """&amp;"賢者"", EF39 * EN39 * FL39 * IF(abillity, 1, EG39 * EO39) * (Option!$D$25 * 0.81 / 100),
         1
       )
     )
   )
 ) + EQ39"),0.0)</f>
        <v>0</v>
      </c>
      <c r="FN39" s="206">
        <f t="shared" si="14"/>
        <v>640</v>
      </c>
      <c r="FO39" s="213"/>
    </row>
    <row r="40">
      <c r="B40" s="208"/>
      <c r="C40" s="217">
        <f t="shared" si="1"/>
        <v>0.001145833333</v>
      </c>
      <c r="D40" s="224">
        <v>0.0011458333333333333</v>
      </c>
      <c r="E40" s="227" t="s">
        <v>1081</v>
      </c>
      <c r="F40" s="167" t="s">
        <v>10</v>
      </c>
      <c r="G40" s="168" t="str">
        <f t="shared" si="15"/>
        <v/>
      </c>
      <c r="H40" s="169">
        <v>18500.0</v>
      </c>
      <c r="I40" s="169"/>
      <c r="J40" s="169"/>
      <c r="K40" s="170" t="b">
        <v>0</v>
      </c>
      <c r="L40" s="170" t="b">
        <v>0</v>
      </c>
      <c r="M40" s="170" t="b">
        <v>0</v>
      </c>
      <c r="N40" s="171" t="s">
        <v>1070</v>
      </c>
      <c r="O40" s="172" t="b">
        <v>0</v>
      </c>
      <c r="P40" s="173" t="b">
        <v>0</v>
      </c>
      <c r="Q40" s="173" t="b">
        <v>0</v>
      </c>
      <c r="R40" s="173" t="b">
        <v>0</v>
      </c>
      <c r="S40" s="174" t="b">
        <v>0</v>
      </c>
      <c r="T40" s="175" t="b">
        <v>0</v>
      </c>
      <c r="U40" s="173" t="b">
        <v>0</v>
      </c>
      <c r="V40" s="171" t="s">
        <v>1070</v>
      </c>
      <c r="W40" s="172" t="b">
        <v>0</v>
      </c>
      <c r="X40" s="173" t="b">
        <v>0</v>
      </c>
      <c r="Y40" s="173" t="b">
        <v>0</v>
      </c>
      <c r="Z40" s="173" t="b">
        <v>0</v>
      </c>
      <c r="AA40" s="174" t="b">
        <v>0</v>
      </c>
      <c r="AB40" s="174" t="b">
        <v>0</v>
      </c>
      <c r="AC40" s="175" t="b">
        <v>0</v>
      </c>
      <c r="AD40" s="173" t="b">
        <v>0</v>
      </c>
      <c r="AE40" s="176" t="s">
        <v>1070</v>
      </c>
      <c r="AF40" s="171" t="s">
        <v>1070</v>
      </c>
      <c r="AG40" s="177">
        <f>IFERROR(__xludf.DUMMYFUNCTION("IF(
  ISNUMBER(AG39),
  MIN(MAX(
    AG39
    + MAX(
      ROUNDDOWN(($D41 - MAX(IFERROR(FILTER($D$24:$D40, AG$24:AG39 &lt;&gt; AF$6, AG$23:AG38 = AF$6), 0))) * (60 * 60 * 24) / AF$9) - ROUNDDOWN(($D40 - MAX(IFERROR(FILTER($D$23:$D39, AG$23:AG38 &lt;&gt; AF$6, AG$22:"&amp;"AG37 = AF$6), 0))) * (60 * 60 * 24) / 60),
      0
    )
    - COUNTIF(AF40, ""&lt;&gt;-""),
  0), AF$6),
  AF$6 - COUNTIF(AF40, ""&lt;&gt;-"")
)"),2.0)</f>
        <v>2</v>
      </c>
      <c r="AH40" s="173" t="b">
        <v>0</v>
      </c>
      <c r="AI40" s="173" t="b">
        <v>0</v>
      </c>
      <c r="AJ40" s="173" t="b">
        <v>0</v>
      </c>
      <c r="AK40" s="174" t="b">
        <v>0</v>
      </c>
      <c r="AL40" s="175" t="b">
        <v>0</v>
      </c>
      <c r="AM40" s="173" t="b">
        <v>0</v>
      </c>
      <c r="AN40" s="171" t="s">
        <v>1070</v>
      </c>
      <c r="AO40" s="173" t="b">
        <v>0</v>
      </c>
      <c r="AP40" s="173" t="b">
        <v>0</v>
      </c>
      <c r="AQ40" s="173" t="b">
        <v>0</v>
      </c>
      <c r="AR40" s="174" t="b">
        <v>0</v>
      </c>
      <c r="AS40" s="178" t="b">
        <v>0</v>
      </c>
      <c r="AT40" s="179" t="b">
        <v>0</v>
      </c>
      <c r="AU40" s="180" t="b">
        <v>0</v>
      </c>
      <c r="AV40" s="180" t="b">
        <v>0</v>
      </c>
      <c r="AW40" s="180" t="b">
        <v>0</v>
      </c>
      <c r="AX40" s="180" t="b">
        <v>0</v>
      </c>
      <c r="AY40" s="181" t="s">
        <v>1070</v>
      </c>
      <c r="AZ40" s="181" t="s">
        <v>1070</v>
      </c>
      <c r="BA40" s="184">
        <f>IFERROR(__xludf.DUMMYFUNCTION("IF(
  ISNUMBER(BA39),
  MIN(MAX(
    BA39
    + MAX(
      ROUNDDOWN((D41 - MAX(IFERROR(FILTER(D$24:D40, BA$24:BA39 &lt;&gt; AZ$6, BA$23:BA38 = AZ$6), 0))) * (60 * 60 * 24) / AZ$9) - ROUNDDOWN((D40 - MAX(IFERROR(FILTER(D$23:D39, BA$23:BA38 &lt;&gt; AZ$6, BA$22:BA37 ="&amp;" AZ$6), 0))) * (60 * 60 * 24) / AZ$9),
      0
    )
    - COUNTIF(AZ40, ""&lt;&gt;-""),
  0), AZ$6),
  AZ$6 - COUNTIF(AZ40, ""&lt;&gt;-"")
)"),2.0)</f>
        <v>2</v>
      </c>
      <c r="BB40" s="181" t="s">
        <v>1070</v>
      </c>
      <c r="BC40" s="183">
        <f>IFERROR(__xludf.DUMMYFUNCTION("IF(
  ISNUMBER(BC39),
  MIN(MAX(
    BC39
    + MAX(
      ROUNDDOWN(($D41 - MAX(IFERROR(FILTER($D$24:$D40, BC$24:BC39 &lt;&gt; BB$6, BC$23:BC38 = BB$6), 0))) * (60 * 60 * 24) / BB$9) - ROUNDDOWN(($D40 - MAX(IFERROR(FILTER($D$23:$D39, BC$23:BC38 &lt;&gt; BB$6, BC$22:"&amp;"BC37 = BB$6), 0))) * (60 * 60 * 24) / 60),
      0
    )
    - COUNTIF(BB40, ""&lt;&gt;-""),
  0), BB$6),
  BB$6 - COUNTIF(BB40, ""&lt;&gt;-"")
)"),2.0)</f>
        <v>2</v>
      </c>
      <c r="BD40" s="181" t="s">
        <v>1070</v>
      </c>
      <c r="BE40" s="178" t="b">
        <v>0</v>
      </c>
      <c r="BF40" s="180" t="b">
        <v>0</v>
      </c>
      <c r="BG40" s="180" t="b">
        <v>0</v>
      </c>
      <c r="BH40" s="180" t="b">
        <v>0</v>
      </c>
      <c r="BI40" s="180" t="b">
        <v>0</v>
      </c>
      <c r="BJ40" s="180" t="b">
        <v>0</v>
      </c>
      <c r="BK40" s="180" t="b">
        <v>0</v>
      </c>
      <c r="BL40" s="180" t="b">
        <v>0</v>
      </c>
      <c r="BM40" s="180" t="b">
        <v>0</v>
      </c>
      <c r="BN40" s="180" t="b">
        <v>0</v>
      </c>
      <c r="BO40" s="181" t="s">
        <v>1070</v>
      </c>
      <c r="BP40" s="181" t="s">
        <v>1070</v>
      </c>
      <c r="BQ40" s="181" t="s">
        <v>1070</v>
      </c>
      <c r="BR40" s="181" t="s">
        <v>1070</v>
      </c>
      <c r="BS40" s="181" t="s">
        <v>1070</v>
      </c>
      <c r="BT40" s="184">
        <f>IFERROR(__xludf.DUMMYFUNCTION("IF(
  ISNUMBER(BT39),
  MIN(MAX(
    BT39
    + MAX(
      ROUNDDOWN((D41 - MAX(IFERROR(FILTER(D$24:D40, BT$24:BT39 &lt;&gt; BS$6, BT$23:BT38 = BS$6), 0))) * (60 * 60 * 24) / BS$9) - ROUNDDOWN((D40 - MAX(IFERROR(FILTER(D$23:D39, BT$23:BT38 &lt;&gt; BS$6, BT$22:BT37 ="&amp;" BS$6), 0))) * (60 * 60 * 24) / BS$9),
      0
    )
    - COUNTIF(BS40, ""&lt;&gt;-""),
  0), BS$6),
  BS$6 - COUNTIF(BS40, ""&lt;&gt;-"")
)"),3.0)</f>
        <v>3</v>
      </c>
      <c r="BU40" s="181" t="s">
        <v>1070</v>
      </c>
      <c r="BV40" s="181" t="s">
        <v>1070</v>
      </c>
      <c r="BW40" s="184">
        <f>IFERROR(__xludf.DUMMYFUNCTION("IF(
  ISNUMBER(BW39),
  MIN(MAX(
    BW39
    + MAX(
      ROUNDDOWN((D41 - MAX(IFERROR(FILTER(D$24:D40, BW$24:BW39 &lt;&gt; BV$6, BW$23:BW38 = BV$6), 0))) * (60 * 60 * 24) / BV$9) - ROUNDDOWN((D40 - MAX(IFERROR(FILTER(D$23:D39, BW$23:BW38 &lt;&gt; BV$6, BW$22:BW37 ="&amp;" BV$6), 0))) * (60 * 60 * 24) / BV$9),
      0
    )
    - COUNTIF(BV40, ""&lt;&gt;-""),
  0), BV$6),
  BV$6 - COUNTIF(BV40, ""&lt;&gt;-"")
)"),2.0)</f>
        <v>2</v>
      </c>
      <c r="BX40" s="185" t="s">
        <v>1070</v>
      </c>
      <c r="BY40" s="178" t="b">
        <v>0</v>
      </c>
      <c r="BZ40" s="180" t="b">
        <v>0</v>
      </c>
      <c r="CA40" s="180" t="b">
        <v>0</v>
      </c>
      <c r="CB40" s="180" t="b">
        <v>0</v>
      </c>
      <c r="CC40" s="180" t="b">
        <v>0</v>
      </c>
      <c r="CD40" s="180" t="b">
        <v>0</v>
      </c>
      <c r="CE40" s="180" t="b">
        <v>0</v>
      </c>
      <c r="CF40" s="180" t="b">
        <v>0</v>
      </c>
      <c r="CG40" s="180" t="b">
        <v>0</v>
      </c>
      <c r="CH40" s="180" t="b">
        <v>0</v>
      </c>
      <c r="CI40" s="180" t="b">
        <v>0</v>
      </c>
      <c r="CJ40" s="180" t="b">
        <v>0</v>
      </c>
      <c r="CK40" s="180" t="b">
        <v>0</v>
      </c>
      <c r="CL40" s="180" t="b">
        <v>0</v>
      </c>
      <c r="CM40" s="181" t="s">
        <v>1070</v>
      </c>
      <c r="CN40" s="181" t="s">
        <v>1070</v>
      </c>
      <c r="CO40" s="181" t="s">
        <v>1070</v>
      </c>
      <c r="CP40" s="181" t="s">
        <v>1070</v>
      </c>
      <c r="CQ40" s="185" t="s">
        <v>1070</v>
      </c>
      <c r="CR40" s="180" t="b">
        <v>0</v>
      </c>
      <c r="CS40" s="186" t="str">
        <f t="shared" si="3"/>
        <v>◇◇◇</v>
      </c>
      <c r="CT40" s="178" t="b">
        <v>0</v>
      </c>
      <c r="CU40" s="180" t="b">
        <v>0</v>
      </c>
      <c r="CV40" s="180" t="b">
        <v>0</v>
      </c>
      <c r="CW40" s="180" t="b">
        <v>0</v>
      </c>
      <c r="CX40" s="180" t="b">
        <v>0</v>
      </c>
      <c r="CY40" s="180" t="b">
        <v>0</v>
      </c>
      <c r="CZ40" s="180" t="b">
        <v>0</v>
      </c>
      <c r="DA40" s="180" t="b">
        <v>0</v>
      </c>
      <c r="DB40" s="180" t="b">
        <v>0</v>
      </c>
      <c r="DC40" s="180" t="b">
        <v>0</v>
      </c>
      <c r="DD40" s="181" t="s">
        <v>1070</v>
      </c>
      <c r="DE40" s="181" t="s">
        <v>1070</v>
      </c>
      <c r="DF40" s="181" t="s">
        <v>1070</v>
      </c>
      <c r="DG40" s="185" t="s">
        <v>1070</v>
      </c>
      <c r="DH40" s="180" t="b">
        <v>0</v>
      </c>
      <c r="DI40" s="187" t="str">
        <f>IFERROR(__xludf.DUMMYFUNCTION("SWITCH(
  IF(
    ISTEXT(DI39),
    IF (
      FIND(""○"", DI39&amp;""○"") &gt; 3,
      3,
      FIND(""○"", DI39&amp;""○"")
      + MAX(
        ROUNDDOWN(($D41 - MAX(IFERROR(FILTER(D$24:D40, DI$24:DI39 &lt;&gt; ""●●●"", DI$23:DI38 = ""●●●""), 0))) * (60 * 60 * 24) / 20"&amp;") - ROUNDDOWN(($D40 - MAX(IFERROR(FILTER(D$23:D39, DI$23:DI38 &lt;&gt; ""●●●"", DI$22:DI37 = ""●●●""), 0))) * (60 * 60 * 24) / 20),
        0
      ) - 1
    ) - COUNTIFS(CU40, ""=TRUE"", CU39, ""&lt;&gt;TRUE"") - COUNTIF(CZ40, ""=TRUE"") - COUNTIF({DD40,DE40}, ""&lt;&gt;-"&amp;""") + COUNTIF(DH40, ""=TRUE""),
    3
  ),
  0, ""○○○"", 1, ""●○○"", 2, ""●●○"", 3, ""●●●"", 4, ""●●●"", ""○○○""
)"),"●●●")</f>
        <v>●●●</v>
      </c>
      <c r="DJ40" s="188" t="b">
        <v>0</v>
      </c>
      <c r="DK40" s="189" t="b">
        <v>0</v>
      </c>
      <c r="DL40" s="190" t="b">
        <v>0</v>
      </c>
      <c r="DM40" s="190" t="b">
        <v>0</v>
      </c>
      <c r="DN40" s="190" t="b">
        <v>0</v>
      </c>
      <c r="DO40" s="190" t="b">
        <v>0</v>
      </c>
      <c r="DP40" s="190" t="b">
        <v>0</v>
      </c>
      <c r="DQ40" s="191" t="b">
        <v>0</v>
      </c>
      <c r="DR40" s="192" t="b">
        <v>0</v>
      </c>
      <c r="DS40" s="191" t="b">
        <v>0</v>
      </c>
      <c r="DT40" s="192" t="b">
        <v>0</v>
      </c>
      <c r="DU40" s="191" t="b">
        <v>0</v>
      </c>
      <c r="DV40" s="193" t="s">
        <v>1070</v>
      </c>
      <c r="DW40" s="194" t="b">
        <v>0</v>
      </c>
      <c r="DX40" s="194" t="b">
        <v>0</v>
      </c>
      <c r="DY40" s="195" t="b">
        <v>0</v>
      </c>
      <c r="DZ40" s="196" t="b">
        <v>0</v>
      </c>
      <c r="EA40" s="195" t="b">
        <v>0</v>
      </c>
      <c r="EB40" s="197" t="b">
        <v>0</v>
      </c>
      <c r="EC40" s="197" t="b">
        <v>0</v>
      </c>
      <c r="ED40" s="212" t="b">
        <v>0</v>
      </c>
      <c r="EE40" s="199">
        <f>IFERROR(__xludf.DUMMYFUNCTION("IFERROR(
   PRODUCT(
     MAP(
       INDEX(TRANSPOSE(UNIQUE(TRANSPOSE(FILTER({IF($F40=""Physical"", K$10:ED$10, IF($F40=""Magic"", K$11:ED$11, K$12:ED$12));K$4:ED$4;K40:ED40}, K40:ED40=TRUE)))), 1, 0),
       INDEX(TRANSPOSE(UNIQUE(TRANSPOSE(FILTER({IF($"&amp;"F40=""Physical"", K$18:ED$18, IF($F40=""Magic"", K$19:ED$19, K$20:ED$20));K$4:ED$4;K40:ED40}, K40:ED40=TRUE)))), 1, 0),
       INDEX(TRANSPOSE(UNIQUE(TRANSPOSE(FILTER({K$5:ED$5;K$4:ED$4;K40:ED40}, K40:ED40=TRUE)))), 1, 0),
       INDEX(TRANSPOSE(UNIQUE(TR"&amp;"ANSPOSE(FILTER({K$17:ED$17;K$4:ED$4;K40:ED40}, K40:ED40=TRUE)))), 1, 0),
       LAMBDA(
         mitigation,
         enhance,
         assign,
         precondition,
         IF(
           REGEXMATCH(assign, ""RANGE_PARTY|SINGLE_ENEMY|RANGE_ENEMY""),
  "&amp;"         IF(
             OR(ARRAYFORMULA((IF(precondition="""", FALSE, REGEXMATCH(K$4:ED$4, precondition))) * (K40:ED40=TRUE))),
             IF(ISNUMBER(enhance), enhance, 1),
             IF(ISNUMBER(mitigation), mitigation, 1)
           ),
          "&amp;" 1
         )
       )
     )
   ),
   1
 )"),1.0)</f>
        <v>1</v>
      </c>
      <c r="EF40" s="200">
        <f>IFERROR(__xludf.DUMMYFUNCTION("PRODUCT(
   MAP(
     K$14:ED$14,
     K$13:ED$13,
     K40:ED40,
     LAMBDA(
       buff,
       target,
       check,
       IF(
         AND(check=TRUE, REGEXMATCH(target, ""RANGE_AFFECTED_ALL|RANGE_EFFECTED_ALL""), ISNUMBER(buff)),
         buff,
   "&amp;"      1
       )
     )
   )
 )"),1.0)</f>
        <v>1</v>
      </c>
      <c r="EG40" s="200">
        <f>IFERROR(__xludf.DUMMYFUNCTION("PRODUCT(
   MAP(
     K$14:ED$14,
     K$13:ED$13,
     K40:ED40,
     LAMBDA(
       buff,
       target,
       check,
       IF(
         AND(check=TRUE, REGEXMATCH(target, ""RANGE_AFFECTED_GCD|RANGE_EFFECTED_GCD""), ISNUMBER(buff)),
         buff,
   "&amp;"      1
       )
     )
   )
 )"),1.0)</f>
        <v>1</v>
      </c>
      <c r="EH40" s="200">
        <f>IFERROR(__xludf.DUMMYFUNCTION("PRODUCT(
   MAP(
     K$3:ED$3,
     K$14:ED$14,
     K$13:ED$13,
     K40:ED40,
     LAMBDA(
       job,
       buff,
       target,
       check,
       IF(
         AND(check=TRUE, REGEXMATCH(target, ""SELF_EFFECTED_ALL""), ISNUMBER(buff), job=""白魔道士"""&amp;"),
         buff,
         1
       )
     )
   )
 )"),1.0)</f>
        <v>1</v>
      </c>
      <c r="EI40" s="200">
        <f>IFERROR(__xludf.DUMMYFUNCTION("PRODUCT(
   MAP(
     K$3:ED$3,
     K$14:ED$14,
     K$13:ED$13,
     K40:ED40,
     LAMBDA(
       job,
       buff,
       target,
       check,
       IF(
         AND(check=TRUE, REGEXMATCH(target, ""SELF_EFFECTED_GCD""), ISNUMBER(buff), job=""白魔道士"""&amp;"),
         buff,
         1
       )
     )
   )
 )"),1.0)</f>
        <v>1</v>
      </c>
      <c r="EJ40" s="200">
        <f>IFERROR(__xludf.DUMMYFUNCTION("PRODUCT(
   MAP(
     K$3:ED$3,
     K$14:ED$14,
     K$13:ED$13,
     K40:ED40,
     LAMBDA(
       job,
       buff,
       target,
       check,
       IF(
         AND(check=TRUE, REGEXMATCH(target, ""SELF_EFFECTED_ALL""), ISNUMBER(buff), job=""占星術師"""&amp;"),
         buff,
         1
       )
     )
   )
 )"),1.0)</f>
        <v>1</v>
      </c>
      <c r="EK40" s="200">
        <f>IFERROR(__xludf.DUMMYFUNCTION("PRODUCT(
   MAP(
     K$3:ED$3,
     K$14:ED$14,
     K$13:ED$13,
     K40:ED40,
     LAMBDA(
       job,
       buff,
       target,
       check,
       IF(
         AND(check=TRUE, REGEXMATCH(target, ""SELF_EFFECTED_GCD""), ISNUMBER(buff), job=""占星術師"""&amp;"),
         buff,
         1
       )
     )
   )
 )"),1.0)</f>
        <v>1</v>
      </c>
      <c r="EL40" s="200">
        <f>IFERROR(__xludf.DUMMYFUNCTION("PRODUCT(
   MAP(
     K$3:ED$3,
     K$14:ED$14,
     K$13:ED$13,
     K40:ED40,
     LAMBDA(
       job,
       buff,
       target,
       check,
       IF(
         AND(check=TRUE, REGEXMATCH(target, ""SELF_EFFECTED_ALL""), ISNUMBER(buff), job=""学者""),"&amp;"
         buff,
         1
       )
     )
   )
 )"),1.0)</f>
        <v>1</v>
      </c>
      <c r="EM40" s="200">
        <f>IFERROR(__xludf.DUMMYFUNCTION("PRODUCT(
   MAP(
     K$3:ED$3,
     K$14:ED$14,
     K$13:ED$13,
     K40:ED40,
     LAMBDA(
       job,
       buff,
       target,
       check,
       IF(
         AND(check=TRUE, REGEXMATCH(target, ""SELF_EFFECTED_GCD""), ISNUMBER(buff), job=""学者""),"&amp;"
         buff,
         1
       )
     )
   )
 )"),1.0)</f>
        <v>1</v>
      </c>
      <c r="EN40" s="200">
        <f>IFERROR(__xludf.DUMMYFUNCTION("PRODUCT(
   MAP(
     K$3:ED$3,
     K$14:ED$14,
     K$13:ED$13,
     K40:ED40,
     LAMBDA(
       job,
       buff,
       target,
       check,
       IF(
         AND(check=TRUE, REGEXMATCH(target, ""SELF_EFFECTED_ALL""), ISNUMBER(buff), job=""賢者""),"&amp;"
         buff,
         1
       )
     )
   )
 )"),1.0)</f>
        <v>1</v>
      </c>
      <c r="EO40" s="200">
        <f>IFERROR(__xludf.DUMMYFUNCTION("PRODUCT(
   MAP(
     K$3:ED$3,
     K$14:ED$14,
     K$13:ED$13,
     K40:ED40,
     LAMBDA(
       job,
       buff,
       target,
       check,
       IF(
         AND(check=TRUE, REGEXMATCH(target, ""SELF_EFFECTED_GCD""), ISNUMBER(buff), job=""賢者""),"&amp;"
         buff,
         1
       )
     )
   )
 )"),1.0)</f>
        <v>1</v>
      </c>
      <c r="EP40" s="201">
        <f t="shared" si="4"/>
        <v>18500</v>
      </c>
      <c r="EQ40" s="201">
        <f>IFERROR(__xludf.DUMMYFUNCTION("SUM(
   MAP(
     K$4:ED$4,
     K$3:ED$3,
     K$7:ED$7,
     K$15:ED$15,
     K$16:ED$16,
     K$21:ED$21,
     K$5:ED$5,
     K$17:ED$17,
     K40:ED40,
     LAMBDA(
       name,
       job,
       abillity,
       buff,
       barrier,
       enhance,"&amp;"
       assign,
       precondition,
       check,
       SWITCH(
         name,
         ""シェイクオフ"", IF(check=TRUE, buff + (0.02 * COUNTIF(ARRAYFORMULA((REGEXMATCH($K$4:$ED$4, ""スリル・オブ・バトル|ヴェンジェンス|原初の血気|ダムネーション"")) * (K40:ED40=TRUE)), 1)), 0),
         "&amp;"""インプロビゼーションフィニッシュ(踊りの激情0)"", IF(ISNUMBER(check), INDEX(Skill!$AJ:$AJ, MATCH(SUBSTITUTE(DV$4, 0, check), Skill!$C:$C, 0)), 0),
         IF(
           AND(check=TRUE, REGEXMATCH(assign, ""RANGE_PARTY"")),
           IF(
             OR(ARRAYFORMULA((IF(pr"&amp;"econdition="""", FALSE, REGEXMATCH($K$4:$ED$4, precondition))) * (K40:ED40=TRUE))),
             enhance,
             IF(barrier="""", buff, barrier)
           ),
           0
         )
       ) *
       SWITCH(
         job,
         ""ナイト"", EY$24,
 "&amp;"        ""戦士"", FD$24,
         ""踊り子"", ET$24,
         ""ピクトマンサー"", ET$24,
         ""白魔道士"", EF40 * EH40 * IF(abillity, 1, EG40 * EI40) * (Option!$D$22 * 0.81 / 100),
         ""占星術師"", EF40 * EJ40 * IF(abillity, 1, EG40 * EK40) * (Option!$D$23 * 0.81 "&amp;"/ 100),
         ""学者"", EF40 * EL40 * IF(abillity, 1, EG40 * EM40) * (Option!$D$24 * 0.81 / 100),
         ""賢者"", EF40 * EN40 * IF(abillity, 1, EG40 * EO40) * (Option!$D$25 * 0.81 / 100),
         1
       )
     )
   )
 )"),0.0)</f>
        <v>0</v>
      </c>
      <c r="ER40" s="202">
        <f t="shared" si="5"/>
        <v>18500</v>
      </c>
      <c r="ES40" s="203">
        <f t="shared" si="6"/>
        <v>0</v>
      </c>
      <c r="ET40" s="204" t="str">
        <f>IFERROR(__xludf.DUMMYFUNCTION("IFS(
  EP40 &gt; $ET$24 + EQ40,
  SPARKLINE({ 1, 0 }, {""charttype"",""bar"";""max"", 1;""color1"",Option!$D$30;""color2"",Option!$D$30}),
  EP40 &lt; EQ40,
  SPARKLINE({EQ40 - EP40, $ET$24 - (EQ40 - EP40)}, {""charttype"",""bar"";""max"",$ET$24;""color1"",Opti"&amp;"on!$D$28;""color2"",Option!$D$29}),
  EP40 &gt;= EQ40,
  SPARKLINE({$ET$24 + EQ40 - EP40,EP40 - EQ40}, {""charttype"",""bar"";""max"",$ET$24;""color1"",Option!$D$29;""color2"",Option!$D$30})
)"),"")</f>
        <v/>
      </c>
      <c r="EU40" s="205">
        <f>IFERROR(__xludf.DUMMYFUNCTION("PRODUCT(
   MAP(
     IF($F40=""Physical"", K$10:ED$10, IF($F40=""Magic"", K$11:ED$11, K$12:ED$12)),
     IF($F40=""Physical"", K$18:ED$18, IF($F40=""Magic"", K$19:ED$19, K$20:ED$20)),
     K$3:ED$3,
     K$5:ED$5,
     K$17:ED$17,
     K40:ED40,
     LAM"&amp;"BDA(
       mitigation,
       enhance,
       job,
       assign,
       precondition,
       check,
       IF(
         OR(AND(check=TRUE, REGEXMATCH(assign, ""SELF""), job=""ナイト""), AND(check=Option!$E$13, REGEXMATCH(assign, ""SINGLE_PARTY""))),
      "&amp;"   IF(
           OR(ARRAYFORMULA((IF(precondition="""", FALSE, REGEXMATCH($K$4:$ED$4, precondition))) * (K40:ED40=TRUE))),
           enhance,
           mitigation
         ),
         1
       )
     )
   )
 ) * EE40"),1.0)</f>
        <v>1</v>
      </c>
      <c r="EV40" s="206">
        <f t="shared" si="7"/>
        <v>14800</v>
      </c>
      <c r="EW40" s="205">
        <f>IFERROR(__xludf.DUMMYFUNCTION("PRODUCT(
   MAP(
     K$3:ED$3,
     K$14:ED$14,
     K$13:ED$13,
     K40:ED40,
     LAMBDA(
       job,
       buff,
       target,
       check,
       IF(
         OR(AND(check=TRUE, REGEXMATCH(target, ""SELF_AFFECTED_ALL""), job=""ナイト""), AND(check=O"&amp;"ption!$E$13, REGEXMATCH(target, ""SINGLE_AFFECTED_ALL""))),
         buff,
         1
       )
     )
   )
 )"),1.0)</f>
        <v>1</v>
      </c>
      <c r="EX40" s="206">
        <f>IFERROR(__xludf.DUMMYFUNCTION("SUM(
   MAP(
     K$3:ED$3,
     K$7:ED$7,
     K$15:ED$15,
     K$16:ED$16,
     K$21:ED$21,
     K$5:ED$5,
     K$17:ED$17,
     K40:ED40,
     LAMBDA(
       job,
       abillity,
       buff,
       barrier,
       enhance,
       assign,
       preco"&amp;"ndition,
       check,
       IF(
         OR(AND(check=TRUE, REGEXMATCH(assign, ""SELF""), job=""ナイト""), AND(check=Option!$E$13, REGEXMATCH(assign, ""SINGLE_PARTY""))),
         IF(
           OR(ARRAYFORMULA((IF(precondition="""", FALSE, REGEXMATCH($K$4"&amp;":$ED$4, precondition))) * (K40:ED40=TRUE))),
           enhance,
           IF(barrier="""", buff, barrier)
         ),
         0
       ) *
       SWITCH(
         job,
         ""暗黒騎士"", EY$24,
         ""白魔道士"", EF40 * EH40 * EW40 * IF(abillity, 1, EG"&amp;"40 * EI40) * (Option!$D$22 * 0.81 / 100),
         ""占星術師"", EF40 * EJ40 * EW40 * IF(abillity, 1, EG40 * EK40) * (Option!$D$23 * 0.81 / 100),
         ""学者"", EF40 * EL40 * EW40 * IF(abillity, 1, EG40 * EM40) * (Option!$D$24 * 0.81 / 100),
         ""賢者"""&amp;", EF40 * EN40 * EW40 * IF(abillity, 1, EG40 * EO40) * (Option!$D$25 * 0.81 / 100),
         1
       )
     )
   )
 ) + EQ40"),0.0)</f>
        <v>0</v>
      </c>
      <c r="EY40" s="206">
        <f t="shared" si="8"/>
        <v>14800</v>
      </c>
      <c r="EZ40" s="205">
        <f>IFERROR(__xludf.DUMMYFUNCTION("PRODUCT(
   MAP(
     IF($F40=""Physical"", K$10:ED$10, IF($F40=""Magic"", K$11:ED$11, K$12:ED$12)),
     IF($F40=""Physical"", K$18:ED$18, IF($F40=""Magic"", K$19:ED$19, K$20:ED$20)),
     K$3:ED$3,
     K$5:ED$5,
     K$17:ED$17,
     K40:ED40,
     LAM"&amp;"BDA(
       mitigation,
       enhance,
       job,
       assign,
       precondition,
       check,
       IF(
         OR(AND(check=TRUE, REGEXMATCH(assign, ""SELF""), job=""戦士""), AND(check=Option!$F$13, REGEXMATCH(assign, ""SINGLE_PARTY""))),
       "&amp;"  IF(
           OR(ARRAYFORMULA((IF(precondition="""", FALSE, REGEXMATCH($K$4:$ED$4, precondition))) * (K40:ED40=TRUE))),
           enhance,
           mitigation
         ),
         1
       )
     )
   )
 ) * EE40"),1.0)</f>
        <v>1</v>
      </c>
      <c r="FA40" s="206">
        <f t="shared" si="9"/>
        <v>14800</v>
      </c>
      <c r="FB40" s="205">
        <f>IFERROR(__xludf.DUMMYFUNCTION("PRODUCT(
   MAP(
     K$3:ED$3,
     K$14:ED$14,
     K$13:ED$13,
     K40:ED40,
     LAMBDA(
       job,
       buff,
       target,
       check,
       IF(
         OR(AND(check=TRUE, REGEXMATCH(target, ""SELF_AFFECTED_ALL""), job=""戦士""), AND(check=Op"&amp;"tion!$F$13, REGEXMATCH(target, ""SINGLE_AFFECTED_ALL""))),
         buff,
         1
       )
     )
   )
 )"),1.0)</f>
        <v>1</v>
      </c>
      <c r="FC40" s="206">
        <f>IFERROR(__xludf.DUMMYFUNCTION("SUM(
   MAP(
     K$3:ED$3,
     K$7:ED$7,
     K$15:ED$15,
     K$16:ED$16,
     K$21:ED$21,
     K$5:ED$5,
     K$17:ED$17,
     K40:ED40,
     LAMBDA(
       job,
       abillity,
       buff,
       barrier,
       enhance,
       assign,
       preco"&amp;"ndition,
       check,
       IF(
         OR(AND(check=TRUE, REGEXMATCH(assign, ""SELF""), job=""戦士""), AND(check=Option!$F$13, REGEXMATCH(assign, ""SINGLE_PARTY""))),
         IF(
           OR(ARRAYFORMULA((IF(precondition="""", FALSE, REGEXMATCH($K$4:"&amp;"$ED$4, precondition))) * (K40:ED40=TRUE))),
           enhance,
           IF(barrier="""", buff, barrier)
         ),
         0
       ) *
       SWITCH(
         job,
         ""暗黒騎士"", FD$24,
         ""白魔道士"", EF40 * EH40 * FB40 * IF(abillity, 1, EG4"&amp;"0 * EI40) * (Option!$D$22 * 0.81 / 100),
         ""占星術師"", EF40 * EJ40 * FFB40 * IF(abillity, 1, EG40 * EK40) * (Option!$D$23 * 0.81 / 100),
         ""学者"", EF40 * EL40 * FB40 * IF(abillity, 1, EG40 * EM40) * (Option!$D$24 * 0.81 / 100),
         ""賢者"""&amp;", EF40 * EN40 * FB40 * IF(abillity, 1, EG40 * EO40) * (Option!$D$25 * 0.81 / 100),
         1
       )
     )
   )
 ) + EQ40"),0.0)</f>
        <v>0</v>
      </c>
      <c r="FD40" s="206">
        <f t="shared" si="10"/>
        <v>14800</v>
      </c>
      <c r="FE40" s="205">
        <f>IFERROR(__xludf.DUMMYFUNCTION("PRODUCT(
   MAP(
     IF($F40=""Physical"", K$10:ED$10, IF($F40=""Magic"", K$11:ED$11, K$12:ED$12)),
     IF($F40=""Physical"", K$18:ED$18, IF($F40=""Magic"", K$19:ED$19, K$20:ED$20)),
     K$3:ED$3,
     K$5:ED$5,
     K$17:ED$17,
     K40:ED40,
     LAM"&amp;"BDA(
       mitigation,
       enhance,
       job,
       assign,
       precondition,
       check,
       IF(
         OR(AND(check=TRUE, REGEXMATCH(assign, ""SELF""), job=""暗黒騎士""), AND(check=Option!$G$13, REGEXMATCH(assign, ""SINGLE_PARTY""))),
     "&amp;"    IF(
           OR(ARRAYFORMULA((IF(precondition="""", FALSE, REGEXMATCH($K$4:$ED$4, precondition))) * (K40:ED40=TRUE))),
           enhance,
           mitigation
         ),
         1
       )
     )
   )
 ) * EE40"),1.0)</f>
        <v>1</v>
      </c>
      <c r="FF40" s="206">
        <f t="shared" si="11"/>
        <v>14800</v>
      </c>
      <c r="FG40" s="205">
        <f>IFERROR(__xludf.DUMMYFUNCTION("PRODUCT(
   MAP(
     K$3:ED$3,
     K$14:ED$14,
     K$13:ED$13,
     K40:ED40,
     LAMBDA(
       job,
       buff,
       target,
       check,
       IF(
         OR(AND(check=TRUE, REGEXMATCH(target, ""SELF_AFFECTED_ALL""), job=""暗黒騎士""), AND(check="&amp;"Option!$G$13, REGEXMATCH(target, ""SINGLE_AFFECTED_ALL""))),
         buff,
         1
       )
     )
   )
 )"),1.0)</f>
        <v>1</v>
      </c>
      <c r="FH40" s="206">
        <f>IFERROR(__xludf.DUMMYFUNCTION("SUM(
   MAP(
     K$3:ED$3,
     K$7:ED$7,
     K$15:ED$15,
     K$16:ED$16,
     K$21:ED$21,
     K$5:ED$5,
     K$17:ED$17,
     K40:ED40,
     LAMBDA(
       job,
       abillity,
       buff,
       barrier,
       enhance,
       assign,
       preco"&amp;"ndition,
       check,
       IF(
         OR(AND(check=TRUE, REGEXMATCH(assign, ""SELF""), job=""暗黒騎士""), AND(check=Option!$G$13, REGEXMATCH(assign, ""SINGLE_PARTY""))),
         IF(
           OR(ARRAYFORMULA((IF(precondition="""", FALSE, REGEXMATCH($K$"&amp;"4:$ED$4, precondition))) * (K40:ED40=TRUE))),
           enhance,
           IF(barrier="""", buff, barrier)
         ),
         0
       ) *
       SWITCH(
         job,
         ""暗黒騎士"", FI$24,
         ""白魔道士"", EF40 * EH40 * FG40 * IF(abillity, 1, E"&amp;"G40 * EI40) * (Option!$D$22 * 0.81 / 100),
         ""占星術師"", EF40 * EJ40 * FG40 * IF(abillity, 1, EG40 * EK40) * (Option!$D$23 * 0.81 / 100),
         ""学者"", EF40 * EL40 * FG40 * IF(abillity, 1, EG40 * EM40) * (Option!$D$24 * 0.81 / 100),
         ""賢者"&amp;""", EF40 * EN40 * FG40 * IF(abillity, 1, EG40 * EO40) * (Option!$D$25 * 0.81 / 100),
         1
       )
     )
   )
 ) + EQ40"),0.0)</f>
        <v>0</v>
      </c>
      <c r="FI40" s="206">
        <f t="shared" si="12"/>
        <v>14800</v>
      </c>
      <c r="FJ40" s="205">
        <f>IFERROR(__xludf.DUMMYFUNCTION("PRODUCT(
   MAP(
     IF($F40=""Physical"", K$10:ED$10, IF($F40=""Magic"", K$11:ED$11, K$12:ED$12)),
     IF($F40=""Physical"", K$18:ED$18, IF($F40=""Magic"", K$19:ED$19, K$20:ED$20)),
     K$3:ED$3,
     K$5:ED$5,
     K$17:ED$17,
     K40:ED40,
     LAM"&amp;"BDA(
       mitigation,
       enhance,
       job,
       assign,
       precondition,
       check,
       IF(
         OR(AND(check=TRUE, REGEXMATCH(assign, ""SELF""), job=""ガンブレイカー""), AND(check=Option!$H$13, REGEXMATCH(assign, ""SINGLE_PARTY""))),
  "&amp;"       IF(
           OR(ARRAYFORMULA((IF(precondition="""", FALSE, REGEXMATCH($K$4:$ED$4, precondition))) * (K40:ED40=TRUE))),
           enhance,
           mitigation
         ),
         1
       )
     )
   )
 ) * EE40"),1.0)</f>
        <v>1</v>
      </c>
      <c r="FK40" s="206">
        <f t="shared" si="13"/>
        <v>14800</v>
      </c>
      <c r="FL40" s="205">
        <f>IFERROR(__xludf.DUMMYFUNCTION("PRODUCT(
   MAP(
     K$3:ED$3,
     K$14:ED$14,
     K$13:ED$13,
     K40:ED40,
     LAMBDA(
       job,
       buff,
       target,
       check,
       IF(
         OR(AND(check=TRUE, REGEXMATCH(target, ""SELF_AFFECTED_ALL""), job=""ガンブレイカー""), AND(che"&amp;"ck=Option!$H$13, REGEXMATCH(target, ""SINGLE_AFFECTED_ALL""))),
         buff,
         1
       )
     )
   )
 )"),1.0)</f>
        <v>1</v>
      </c>
      <c r="FM40" s="206">
        <f>IFERROR(__xludf.DUMMYFUNCTION("SUM(
   MAP(
     K$3:ED$3,
     K$7:ED$7,
     K$15:ED$15,
     K$16:ED$16,
     K$21:ED$21,
     K$5:ED$5,
     K$17:ED$17,
     K40:ED40,
     LAMBDA(
       job,
       abillity,
       buff,
       barrier,
       enhance,
       assign,
       preco"&amp;"ndition,
       check,
       IF(
         OR(AND(check=TRUE, REGEXMATCH(assign, ""SELF""), job=""ガンブレイカー""), AND(check=Option!$H$13, REGEXMATCH(assign, ""SINGLE_PARTY""))),
         IF(
           OR(ARRAYFORMULA((IF(precondition="""", FALSE, REGEXMATCH("&amp;"$K$4:$ED$4, precondition))) * (K40:ED40=TRUE))),
           enhance,
           IF(barrier="""", buff, barrier)
         ),
         0
       ) *
       SWITCH(
         job,
         ""暗黒騎士"", FN$24,
         ""白魔道士"", EF40 * EH40 * FL40 * IF(abillity, 1"&amp;", EG40 * EI40) * (Option!$D$22 * 0.81 / 100),
         ""占星術師"", EF40 * EJ40 * FL40 * IF(abillity, 1, EG40 * EK40) * (Option!$D$23 * 0.81 / 100),
         ""学者"", EF40 * EL40 * FL40 * IF(abillity, 1, EG40 * EM40) * (Option!$D$24 * 0.81 / 100),
         """&amp;"賢者"", EF40 * EN40 * FL40 * IF(abillity, 1, EG40 * EO40) * (Option!$D$25 * 0.81 / 100),
         1
       )
     )
   )
 ) + EQ40"),0.0)</f>
        <v>0</v>
      </c>
      <c r="FN40" s="206">
        <f t="shared" si="14"/>
        <v>14800</v>
      </c>
      <c r="FO40" s="213"/>
    </row>
    <row r="41">
      <c r="B41" s="208"/>
      <c r="C41" s="217">
        <f t="shared" si="1"/>
        <v>0.001261574074</v>
      </c>
      <c r="D41" s="225">
        <v>0.001261574074074074</v>
      </c>
      <c r="E41" s="228" t="s">
        <v>1073</v>
      </c>
      <c r="F41" s="167" t="s">
        <v>11</v>
      </c>
      <c r="G41" s="168" t="str">
        <f t="shared" si="15"/>
        <v/>
      </c>
      <c r="H41" s="169">
        <v>22500.0</v>
      </c>
      <c r="I41" s="169"/>
      <c r="J41" s="169"/>
      <c r="K41" s="170" t="b">
        <v>0</v>
      </c>
      <c r="L41" s="170" t="b">
        <v>0</v>
      </c>
      <c r="M41" s="170" t="b">
        <v>0</v>
      </c>
      <c r="N41" s="171" t="s">
        <v>1070</v>
      </c>
      <c r="O41" s="172" t="b">
        <v>0</v>
      </c>
      <c r="P41" s="173" t="b">
        <v>0</v>
      </c>
      <c r="Q41" s="173" t="b">
        <v>0</v>
      </c>
      <c r="R41" s="173" t="b">
        <v>0</v>
      </c>
      <c r="S41" s="174" t="b">
        <v>0</v>
      </c>
      <c r="T41" s="175" t="b">
        <v>0</v>
      </c>
      <c r="U41" s="173" t="b">
        <v>0</v>
      </c>
      <c r="V41" s="171" t="s">
        <v>1070</v>
      </c>
      <c r="W41" s="172" t="b">
        <v>0</v>
      </c>
      <c r="X41" s="173" t="b">
        <v>0</v>
      </c>
      <c r="Y41" s="173" t="b">
        <v>0</v>
      </c>
      <c r="Z41" s="173" t="b">
        <v>0</v>
      </c>
      <c r="AA41" s="174" t="b">
        <v>0</v>
      </c>
      <c r="AB41" s="174" t="b">
        <v>0</v>
      </c>
      <c r="AC41" s="175" t="b">
        <v>0</v>
      </c>
      <c r="AD41" s="173" t="b">
        <v>0</v>
      </c>
      <c r="AE41" s="176" t="s">
        <v>1070</v>
      </c>
      <c r="AF41" s="171" t="s">
        <v>1070</v>
      </c>
      <c r="AG41" s="177">
        <f>IFERROR(__xludf.DUMMYFUNCTION("IF(
  ISNUMBER(AG40),
  MIN(MAX(
    AG40
    + MAX(
      ROUNDDOWN(($D42 - MAX(IFERROR(FILTER($D$24:$D41, AG$24:AG40 &lt;&gt; AF$6, AG$23:AG39 = AF$6), 0))) * (60 * 60 * 24) / AF$9) - ROUNDDOWN(($D41 - MAX(IFERROR(FILTER($D$23:$D40, AG$23:AG39 &lt;&gt; AF$6, AG$22:"&amp;"AG38 = AF$6), 0))) * (60 * 60 * 24) / 60),
      0
    )
    - COUNTIF(AF41, ""&lt;&gt;-""),
  0), AF$6),
  AF$6 - COUNTIF(AF41, ""&lt;&gt;-"")
)"),2.0)</f>
        <v>2</v>
      </c>
      <c r="AH41" s="173" t="b">
        <v>0</v>
      </c>
      <c r="AI41" s="173" t="b">
        <v>0</v>
      </c>
      <c r="AJ41" s="173" t="b">
        <v>0</v>
      </c>
      <c r="AK41" s="174" t="b">
        <v>0</v>
      </c>
      <c r="AL41" s="175" t="b">
        <v>0</v>
      </c>
      <c r="AM41" s="173" t="b">
        <v>0</v>
      </c>
      <c r="AN41" s="171" t="s">
        <v>1070</v>
      </c>
      <c r="AO41" s="173" t="b">
        <v>0</v>
      </c>
      <c r="AP41" s="173" t="b">
        <v>0</v>
      </c>
      <c r="AQ41" s="173" t="b">
        <v>0</v>
      </c>
      <c r="AR41" s="174" t="b">
        <v>0</v>
      </c>
      <c r="AS41" s="178" t="b">
        <v>0</v>
      </c>
      <c r="AT41" s="179" t="b">
        <v>0</v>
      </c>
      <c r="AU41" s="180" t="b">
        <v>0</v>
      </c>
      <c r="AV41" s="180" t="b">
        <v>0</v>
      </c>
      <c r="AW41" s="180" t="b">
        <v>0</v>
      </c>
      <c r="AX41" s="180" t="b">
        <v>0</v>
      </c>
      <c r="AY41" s="181" t="s">
        <v>1070</v>
      </c>
      <c r="AZ41" s="181" t="s">
        <v>1070</v>
      </c>
      <c r="BA41" s="184">
        <f>IFERROR(__xludf.DUMMYFUNCTION("IF(
  ISNUMBER(BA40),
  MIN(MAX(
    BA40
    + MAX(
      ROUNDDOWN((D42 - MAX(IFERROR(FILTER(D$24:D41, BA$24:BA40 &lt;&gt; AZ$6, BA$23:BA39 = AZ$6), 0))) * (60 * 60 * 24) / AZ$9) - ROUNDDOWN((D41 - MAX(IFERROR(FILTER(D$23:D40, BA$23:BA39 &lt;&gt; AZ$6, BA$22:BA38 ="&amp;" AZ$6), 0))) * (60 * 60 * 24) / AZ$9),
      0
    )
    - COUNTIF(AZ41, ""&lt;&gt;-""),
  0), AZ$6),
  AZ$6 - COUNTIF(AZ41, ""&lt;&gt;-"")
)"),2.0)</f>
        <v>2</v>
      </c>
      <c r="BB41" s="181" t="s">
        <v>1070</v>
      </c>
      <c r="BC41" s="183">
        <f>IFERROR(__xludf.DUMMYFUNCTION("IF(
  ISNUMBER(BC40),
  MIN(MAX(
    BC40
    + MAX(
      ROUNDDOWN(($D42 - MAX(IFERROR(FILTER($D$24:$D41, BC$24:BC40 &lt;&gt; BB$6, BC$23:BC39 = BB$6), 0))) * (60 * 60 * 24) / BB$9) - ROUNDDOWN(($D41 - MAX(IFERROR(FILTER($D$23:$D40, BC$23:BC39 &lt;&gt; BB$6, BC$22:"&amp;"BC38 = BB$6), 0))) * (60 * 60 * 24) / 60),
      0
    )
    - COUNTIF(BB41, ""&lt;&gt;-""),
  0), BB$6),
  BB$6 - COUNTIF(BB41, ""&lt;&gt;-"")
)"),2.0)</f>
        <v>2</v>
      </c>
      <c r="BD41" s="181" t="s">
        <v>1070</v>
      </c>
      <c r="BE41" s="178" t="b">
        <v>0</v>
      </c>
      <c r="BF41" s="180" t="b">
        <v>0</v>
      </c>
      <c r="BG41" s="180" t="b">
        <v>0</v>
      </c>
      <c r="BH41" s="180" t="b">
        <v>0</v>
      </c>
      <c r="BI41" s="180" t="b">
        <v>0</v>
      </c>
      <c r="BJ41" s="180" t="b">
        <v>0</v>
      </c>
      <c r="BK41" s="180" t="b">
        <v>0</v>
      </c>
      <c r="BL41" s="180" t="b">
        <v>0</v>
      </c>
      <c r="BM41" s="180" t="b">
        <v>0</v>
      </c>
      <c r="BN41" s="180" t="b">
        <v>0</v>
      </c>
      <c r="BO41" s="181" t="s">
        <v>1070</v>
      </c>
      <c r="BP41" s="181" t="s">
        <v>1070</v>
      </c>
      <c r="BQ41" s="181" t="s">
        <v>1070</v>
      </c>
      <c r="BR41" s="181" t="s">
        <v>1070</v>
      </c>
      <c r="BS41" s="181" t="s">
        <v>1070</v>
      </c>
      <c r="BT41" s="184">
        <f>IFERROR(__xludf.DUMMYFUNCTION("IF(
  ISNUMBER(BT40),
  MIN(MAX(
    BT40
    + MAX(
      ROUNDDOWN((D42 - MAX(IFERROR(FILTER(D$24:D41, BT$24:BT40 &lt;&gt; BS$6, BT$23:BT39 = BS$6), 0))) * (60 * 60 * 24) / BS$9) - ROUNDDOWN((D41 - MAX(IFERROR(FILTER(D$23:D40, BT$23:BT39 &lt;&gt; BS$6, BT$22:BT38 ="&amp;" BS$6), 0))) * (60 * 60 * 24) / BS$9),
      0
    )
    - COUNTIF(BS41, ""&lt;&gt;-""),
  0), BS$6),
  BS$6 - COUNTIF(BS41, ""&lt;&gt;-"")
)"),3.0)</f>
        <v>3</v>
      </c>
      <c r="BU41" s="181" t="s">
        <v>1070</v>
      </c>
      <c r="BV41" s="181" t="s">
        <v>1070</v>
      </c>
      <c r="BW41" s="184">
        <f>IFERROR(__xludf.DUMMYFUNCTION("IF(
  ISNUMBER(BW40),
  MIN(MAX(
    BW40
    + MAX(
      ROUNDDOWN((D42 - MAX(IFERROR(FILTER(D$24:D41, BW$24:BW40 &lt;&gt; BV$6, BW$23:BW39 = BV$6), 0))) * (60 * 60 * 24) / BV$9) - ROUNDDOWN((D41 - MAX(IFERROR(FILTER(D$23:D40, BW$23:BW39 &lt;&gt; BV$6, BW$22:BW38 ="&amp;" BV$6), 0))) * (60 * 60 * 24) / BV$9),
      0
    )
    - COUNTIF(BV41, ""&lt;&gt;-""),
  0), BV$6),
  BV$6 - COUNTIF(BV41, ""&lt;&gt;-"")
)"),2.0)</f>
        <v>2</v>
      </c>
      <c r="BX41" s="185" t="s">
        <v>1070</v>
      </c>
      <c r="BY41" s="178" t="b">
        <v>0</v>
      </c>
      <c r="BZ41" s="180" t="b">
        <v>0</v>
      </c>
      <c r="CA41" s="180" t="b">
        <v>0</v>
      </c>
      <c r="CB41" s="180" t="b">
        <v>0</v>
      </c>
      <c r="CC41" s="180" t="b">
        <v>0</v>
      </c>
      <c r="CD41" s="180" t="b">
        <v>0</v>
      </c>
      <c r="CE41" s="180" t="b">
        <v>0</v>
      </c>
      <c r="CF41" s="180" t="b">
        <v>0</v>
      </c>
      <c r="CG41" s="180" t="b">
        <v>0</v>
      </c>
      <c r="CH41" s="180" t="b">
        <v>0</v>
      </c>
      <c r="CI41" s="180" t="b">
        <v>0</v>
      </c>
      <c r="CJ41" s="180" t="b">
        <v>0</v>
      </c>
      <c r="CK41" s="180" t="b">
        <v>0</v>
      </c>
      <c r="CL41" s="180" t="b">
        <v>0</v>
      </c>
      <c r="CM41" s="181" t="s">
        <v>1070</v>
      </c>
      <c r="CN41" s="181" t="s">
        <v>1070</v>
      </c>
      <c r="CO41" s="181" t="s">
        <v>1070</v>
      </c>
      <c r="CP41" s="181" t="s">
        <v>1070</v>
      </c>
      <c r="CQ41" s="185" t="s">
        <v>1070</v>
      </c>
      <c r="CR41" s="180" t="b">
        <v>0</v>
      </c>
      <c r="CS41" s="186" t="str">
        <f t="shared" si="3"/>
        <v>◇◇◇</v>
      </c>
      <c r="CT41" s="178" t="b">
        <v>0</v>
      </c>
      <c r="CU41" s="180" t="b">
        <v>0</v>
      </c>
      <c r="CV41" s="180" t="b">
        <v>0</v>
      </c>
      <c r="CW41" s="180" t="b">
        <v>0</v>
      </c>
      <c r="CX41" s="180" t="b">
        <v>0</v>
      </c>
      <c r="CY41" s="180" t="b">
        <v>0</v>
      </c>
      <c r="CZ41" s="180" t="b">
        <v>0</v>
      </c>
      <c r="DA41" s="180" t="b">
        <v>0</v>
      </c>
      <c r="DB41" s="180" t="b">
        <v>0</v>
      </c>
      <c r="DC41" s="180" t="b">
        <v>0</v>
      </c>
      <c r="DD41" s="181" t="s">
        <v>1070</v>
      </c>
      <c r="DE41" s="181" t="s">
        <v>1070</v>
      </c>
      <c r="DF41" s="181" t="s">
        <v>1070</v>
      </c>
      <c r="DG41" s="185" t="s">
        <v>1070</v>
      </c>
      <c r="DH41" s="180" t="b">
        <v>0</v>
      </c>
      <c r="DI41" s="187" t="str">
        <f>IFERROR(__xludf.DUMMYFUNCTION("SWITCH(
  IF(
    ISTEXT(DI40),
    IF (
      FIND(""○"", DI40&amp;""○"") &gt; 3,
      3,
      FIND(""○"", DI40&amp;""○"")
      + MAX(
        ROUNDDOWN(($D42 - MAX(IFERROR(FILTER(D$24:D41, DI$24:DI40 &lt;&gt; ""●●●"", DI$23:DI39 = ""●●●""), 0))) * (60 * 60 * 24) / 20"&amp;") - ROUNDDOWN(($D41 - MAX(IFERROR(FILTER(D$23:D40, DI$23:DI39 &lt;&gt; ""●●●"", DI$22:DI38 = ""●●●""), 0))) * (60 * 60 * 24) / 20),
        0
      ) - 1
    ) - COUNTIFS(CU41, ""=TRUE"", CU40, ""&lt;&gt;TRUE"") - COUNTIF(CZ41, ""=TRUE"") - COUNTIF({DD41,DE41}, ""&lt;&gt;-"&amp;""") + COUNTIF(DH41, ""=TRUE""),
    3
  ),
  0, ""○○○"", 1, ""●○○"", 2, ""●●○"", 3, ""●●●"", 4, ""●●●"", ""○○○""
)"),"●●●")</f>
        <v>●●●</v>
      </c>
      <c r="DJ41" s="188" t="b">
        <v>0</v>
      </c>
      <c r="DK41" s="189" t="b">
        <v>0</v>
      </c>
      <c r="DL41" s="190" t="b">
        <v>0</v>
      </c>
      <c r="DM41" s="190" t="b">
        <v>0</v>
      </c>
      <c r="DN41" s="190" t="b">
        <v>0</v>
      </c>
      <c r="DO41" s="190" t="b">
        <v>0</v>
      </c>
      <c r="DP41" s="190" t="b">
        <v>0</v>
      </c>
      <c r="DQ41" s="191" t="b">
        <v>0</v>
      </c>
      <c r="DR41" s="192" t="b">
        <v>0</v>
      </c>
      <c r="DS41" s="191" t="b">
        <v>0</v>
      </c>
      <c r="DT41" s="192" t="b">
        <v>0</v>
      </c>
      <c r="DU41" s="191" t="b">
        <v>0</v>
      </c>
      <c r="DV41" s="193" t="s">
        <v>1070</v>
      </c>
      <c r="DW41" s="194" t="b">
        <v>0</v>
      </c>
      <c r="DX41" s="194" t="b">
        <v>0</v>
      </c>
      <c r="DY41" s="195" t="b">
        <v>0</v>
      </c>
      <c r="DZ41" s="196" t="b">
        <v>0</v>
      </c>
      <c r="EA41" s="195" t="b">
        <v>0</v>
      </c>
      <c r="EB41" s="197" t="b">
        <v>0</v>
      </c>
      <c r="EC41" s="197" t="b">
        <v>0</v>
      </c>
      <c r="ED41" s="212" t="b">
        <v>0</v>
      </c>
      <c r="EE41" s="199">
        <f>IFERROR(__xludf.DUMMYFUNCTION("IFERROR(
   PRODUCT(
     MAP(
       INDEX(TRANSPOSE(UNIQUE(TRANSPOSE(FILTER({IF($F41=""Physical"", K$10:ED$10, IF($F41=""Magic"", K$11:ED$11, K$12:ED$12));K$4:ED$4;K41:ED41}, K41:ED41=TRUE)))), 1, 0),
       INDEX(TRANSPOSE(UNIQUE(TRANSPOSE(FILTER({IF($"&amp;"F41=""Physical"", K$18:ED$18, IF($F41=""Magic"", K$19:ED$19, K$20:ED$20));K$4:ED$4;K41:ED41}, K41:ED41=TRUE)))), 1, 0),
       INDEX(TRANSPOSE(UNIQUE(TRANSPOSE(FILTER({K$5:ED$5;K$4:ED$4;K41:ED41}, K41:ED41=TRUE)))), 1, 0),
       INDEX(TRANSPOSE(UNIQUE(TR"&amp;"ANSPOSE(FILTER({K$17:ED$17;K$4:ED$4;K41:ED41}, K41:ED41=TRUE)))), 1, 0),
       LAMBDA(
         mitigation,
         enhance,
         assign,
         precondition,
         IF(
           REGEXMATCH(assign, ""RANGE_PARTY|SINGLE_ENEMY|RANGE_ENEMY""),
  "&amp;"         IF(
             OR(ARRAYFORMULA((IF(precondition="""", FALSE, REGEXMATCH(K$4:ED$4, precondition))) * (K41:ED41=TRUE))),
             IF(ISNUMBER(enhance), enhance, 1),
             IF(ISNUMBER(mitigation), mitigation, 1)
           ),
          "&amp;" 1
         )
       )
     )
   ),
   1
 )"),1.0)</f>
        <v>1</v>
      </c>
      <c r="EF41" s="200">
        <f>IFERROR(__xludf.DUMMYFUNCTION("PRODUCT(
   MAP(
     K$14:ED$14,
     K$13:ED$13,
     K41:ED41,
     LAMBDA(
       buff,
       target,
       check,
       IF(
         AND(check=TRUE, REGEXMATCH(target, ""RANGE_AFFECTED_ALL|RANGE_EFFECTED_ALL""), ISNUMBER(buff)),
         buff,
   "&amp;"      1
       )
     )
   )
 )"),1.0)</f>
        <v>1</v>
      </c>
      <c r="EG41" s="200">
        <f>IFERROR(__xludf.DUMMYFUNCTION("PRODUCT(
   MAP(
     K$14:ED$14,
     K$13:ED$13,
     K41:ED41,
     LAMBDA(
       buff,
       target,
       check,
       IF(
         AND(check=TRUE, REGEXMATCH(target, ""RANGE_AFFECTED_GCD|RANGE_EFFECTED_GCD""), ISNUMBER(buff)),
         buff,
   "&amp;"      1
       )
     )
   )
 )"),1.0)</f>
        <v>1</v>
      </c>
      <c r="EH41" s="200">
        <f>IFERROR(__xludf.DUMMYFUNCTION("PRODUCT(
   MAP(
     K$3:ED$3,
     K$14:ED$14,
     K$13:ED$13,
     K41:ED41,
     LAMBDA(
       job,
       buff,
       target,
       check,
       IF(
         AND(check=TRUE, REGEXMATCH(target, ""SELF_EFFECTED_ALL""), ISNUMBER(buff), job=""白魔道士"""&amp;"),
         buff,
         1
       )
     )
   )
 )"),1.0)</f>
        <v>1</v>
      </c>
      <c r="EI41" s="200">
        <f>IFERROR(__xludf.DUMMYFUNCTION("PRODUCT(
   MAP(
     K$3:ED$3,
     K$14:ED$14,
     K$13:ED$13,
     K41:ED41,
     LAMBDA(
       job,
       buff,
       target,
       check,
       IF(
         AND(check=TRUE, REGEXMATCH(target, ""SELF_EFFECTED_GCD""), ISNUMBER(buff), job=""白魔道士"""&amp;"),
         buff,
         1
       )
     )
   )
 )"),1.0)</f>
        <v>1</v>
      </c>
      <c r="EJ41" s="200">
        <f>IFERROR(__xludf.DUMMYFUNCTION("PRODUCT(
   MAP(
     K$3:ED$3,
     K$14:ED$14,
     K$13:ED$13,
     K41:ED41,
     LAMBDA(
       job,
       buff,
       target,
       check,
       IF(
         AND(check=TRUE, REGEXMATCH(target, ""SELF_EFFECTED_ALL""), ISNUMBER(buff), job=""占星術師"""&amp;"),
         buff,
         1
       )
     )
   )
 )"),1.0)</f>
        <v>1</v>
      </c>
      <c r="EK41" s="200">
        <f>IFERROR(__xludf.DUMMYFUNCTION("PRODUCT(
   MAP(
     K$3:ED$3,
     K$14:ED$14,
     K$13:ED$13,
     K41:ED41,
     LAMBDA(
       job,
       buff,
       target,
       check,
       IF(
         AND(check=TRUE, REGEXMATCH(target, ""SELF_EFFECTED_GCD""), ISNUMBER(buff), job=""占星術師"""&amp;"),
         buff,
         1
       )
     )
   )
 )"),1.0)</f>
        <v>1</v>
      </c>
      <c r="EL41" s="200">
        <f>IFERROR(__xludf.DUMMYFUNCTION("PRODUCT(
   MAP(
     K$3:ED$3,
     K$14:ED$14,
     K$13:ED$13,
     K41:ED41,
     LAMBDA(
       job,
       buff,
       target,
       check,
       IF(
         AND(check=TRUE, REGEXMATCH(target, ""SELF_EFFECTED_ALL""), ISNUMBER(buff), job=""学者""),"&amp;"
         buff,
         1
       )
     )
   )
 )"),1.0)</f>
        <v>1</v>
      </c>
      <c r="EM41" s="200">
        <f>IFERROR(__xludf.DUMMYFUNCTION("PRODUCT(
   MAP(
     K$3:ED$3,
     K$14:ED$14,
     K$13:ED$13,
     K41:ED41,
     LAMBDA(
       job,
       buff,
       target,
       check,
       IF(
         AND(check=TRUE, REGEXMATCH(target, ""SELF_EFFECTED_GCD""), ISNUMBER(buff), job=""学者""),"&amp;"
         buff,
         1
       )
     )
   )
 )"),1.0)</f>
        <v>1</v>
      </c>
      <c r="EN41" s="200">
        <f>IFERROR(__xludf.DUMMYFUNCTION("PRODUCT(
   MAP(
     K$3:ED$3,
     K$14:ED$14,
     K$13:ED$13,
     K41:ED41,
     LAMBDA(
       job,
       buff,
       target,
       check,
       IF(
         AND(check=TRUE, REGEXMATCH(target, ""SELF_EFFECTED_ALL""), ISNUMBER(buff), job=""賢者""),"&amp;"
         buff,
         1
       )
     )
   )
 )"),1.0)</f>
        <v>1</v>
      </c>
      <c r="EO41" s="200">
        <f>IFERROR(__xludf.DUMMYFUNCTION("PRODUCT(
   MAP(
     K$3:ED$3,
     K$14:ED$14,
     K$13:ED$13,
     K41:ED41,
     LAMBDA(
       job,
       buff,
       target,
       check,
       IF(
         AND(check=TRUE, REGEXMATCH(target, ""SELF_EFFECTED_GCD""), ISNUMBER(buff), job=""賢者""),"&amp;"
         buff,
         1
       )
     )
   )
 )"),1.0)</f>
        <v>1</v>
      </c>
      <c r="EP41" s="201">
        <f t="shared" si="4"/>
        <v>22500</v>
      </c>
      <c r="EQ41" s="201">
        <f>IFERROR(__xludf.DUMMYFUNCTION("SUM(
   MAP(
     K$4:ED$4,
     K$3:ED$3,
     K$7:ED$7,
     K$15:ED$15,
     K$16:ED$16,
     K$21:ED$21,
     K$5:ED$5,
     K$17:ED$17,
     K41:ED41,
     LAMBDA(
       name,
       job,
       abillity,
       buff,
       barrier,
       enhance,"&amp;"
       assign,
       precondition,
       check,
       SWITCH(
         name,
         ""シェイクオフ"", IF(check=TRUE, buff + (0.02 * COUNTIF(ARRAYFORMULA((REGEXMATCH($K$4:$ED$4, ""スリル・オブ・バトル|ヴェンジェンス|原初の血気|ダムネーション"")) * (K41:ED41=TRUE)), 1)), 0),
         "&amp;"""インプロビゼーションフィニッシュ(踊りの激情0)"", IF(ISNUMBER(check), INDEX(Skill!$AJ:$AJ, MATCH(SUBSTITUTE(DV$4, 0, check), Skill!$C:$C, 0)), 0),
         IF(
           AND(check=TRUE, REGEXMATCH(assign, ""RANGE_PARTY"")),
           IF(
             OR(ARRAYFORMULA((IF(pr"&amp;"econdition="""", FALSE, REGEXMATCH($K$4:$ED$4, precondition))) * (K41:ED41=TRUE))),
             enhance,
             IF(barrier="""", buff, barrier)
           ),
           0
         )
       ) *
       SWITCH(
         job,
         ""ナイト"", EY$24,
 "&amp;"        ""戦士"", FD$24,
         ""踊り子"", ET$24,
         ""ピクトマンサー"", ET$24,
         ""白魔道士"", EF41 * EH41 * IF(abillity, 1, EG41 * EI41) * (Option!$D$22 * 0.81 / 100),
         ""占星術師"", EF41 * EJ41 * IF(abillity, 1, EG41 * EK41) * (Option!$D$23 * 0.81 "&amp;"/ 100),
         ""学者"", EF41 * EL41 * IF(abillity, 1, EG41 * EM41) * (Option!$D$24 * 0.81 / 100),
         ""賢者"", EF41 * EN41 * IF(abillity, 1, EG41 * EO41) * (Option!$D$25 * 0.81 / 100),
         1
       )
     )
   )
 )"),0.0)</f>
        <v>0</v>
      </c>
      <c r="ER41" s="202">
        <f t="shared" si="5"/>
        <v>22500</v>
      </c>
      <c r="ES41" s="203">
        <f t="shared" si="6"/>
        <v>0</v>
      </c>
      <c r="ET41" s="204" t="str">
        <f>IFERROR(__xludf.DUMMYFUNCTION("IFS(
  EP41 &gt; $ET$24 + EQ41,
  SPARKLINE({ 1, 0 }, {""charttype"",""bar"";""max"", 1;""color1"",Option!$D$30;""color2"",Option!$D$30}),
  EP41 &lt; EQ41,
  SPARKLINE({EQ41 - EP41, $ET$24 - (EQ41 - EP41)}, {""charttype"",""bar"";""max"",$ET$24;""color1"",Opti"&amp;"on!$D$28;""color2"",Option!$D$29}),
  EP41 &gt;= EQ41,
  SPARKLINE({$ET$24 + EQ41 - EP41,EP41 - EQ41}, {""charttype"",""bar"";""max"",$ET$24;""color1"",Option!$D$29;""color2"",Option!$D$30})
)"),"")</f>
        <v/>
      </c>
      <c r="EU41" s="205">
        <f>IFERROR(__xludf.DUMMYFUNCTION("PRODUCT(
   MAP(
     IF($F41=""Physical"", K$10:ED$10, IF($F41=""Magic"", K$11:ED$11, K$12:ED$12)),
     IF($F41=""Physical"", K$18:ED$18, IF($F41=""Magic"", K$19:ED$19, K$20:ED$20)),
     K$3:ED$3,
     K$5:ED$5,
     K$17:ED$17,
     K41:ED41,
     LAM"&amp;"BDA(
       mitigation,
       enhance,
       job,
       assign,
       precondition,
       check,
       IF(
         OR(AND(check=TRUE, REGEXMATCH(assign, ""SELF""), job=""ナイト""), AND(check=Option!$E$13, REGEXMATCH(assign, ""SINGLE_PARTY""))),
      "&amp;"   IF(
           OR(ARRAYFORMULA((IF(precondition="""", FALSE, REGEXMATCH($K$4:$ED$4, precondition))) * (K41:ED41=TRUE))),
           enhance,
           mitigation
         ),
         1
       )
     )
   )
 ) * EE41"),1.0)</f>
        <v>1</v>
      </c>
      <c r="EV41" s="206">
        <f t="shared" si="7"/>
        <v>18000</v>
      </c>
      <c r="EW41" s="205">
        <f>IFERROR(__xludf.DUMMYFUNCTION("PRODUCT(
   MAP(
     K$3:ED$3,
     K$14:ED$14,
     K$13:ED$13,
     K41:ED41,
     LAMBDA(
       job,
       buff,
       target,
       check,
       IF(
         OR(AND(check=TRUE, REGEXMATCH(target, ""SELF_AFFECTED_ALL""), job=""ナイト""), AND(check=O"&amp;"ption!$E$13, REGEXMATCH(target, ""SINGLE_AFFECTED_ALL""))),
         buff,
         1
       )
     )
   )
 )"),1.0)</f>
        <v>1</v>
      </c>
      <c r="EX41" s="206">
        <f>IFERROR(__xludf.DUMMYFUNCTION("SUM(
   MAP(
     K$3:ED$3,
     K$7:ED$7,
     K$15:ED$15,
     K$16:ED$16,
     K$21:ED$21,
     K$5:ED$5,
     K$17:ED$17,
     K41:ED41,
     LAMBDA(
       job,
       abillity,
       buff,
       barrier,
       enhance,
       assign,
       preco"&amp;"ndition,
       check,
       IF(
         OR(AND(check=TRUE, REGEXMATCH(assign, ""SELF""), job=""ナイト""), AND(check=Option!$E$13, REGEXMATCH(assign, ""SINGLE_PARTY""))),
         IF(
           OR(ARRAYFORMULA((IF(precondition="""", FALSE, REGEXMATCH($K$4"&amp;":$ED$4, precondition))) * (K41:ED41=TRUE))),
           enhance,
           IF(barrier="""", buff, barrier)
         ),
         0
       ) *
       SWITCH(
         job,
         ""暗黒騎士"", EY$24,
         ""白魔道士"", EF41 * EH41 * EW41 * IF(abillity, 1, EG"&amp;"41 * EI41) * (Option!$D$22 * 0.81 / 100),
         ""占星術師"", EF41 * EJ41 * EW41 * IF(abillity, 1, EG41 * EK41) * (Option!$D$23 * 0.81 / 100),
         ""学者"", EF41 * EL41 * EW41 * IF(abillity, 1, EG41 * EM41) * (Option!$D$24 * 0.81 / 100),
         ""賢者"""&amp;", EF41 * EN41 * EW41 * IF(abillity, 1, EG41 * EO41) * (Option!$D$25 * 0.81 / 100),
         1
       )
     )
   )
 ) + EQ41"),0.0)</f>
        <v>0</v>
      </c>
      <c r="EY41" s="206">
        <f t="shared" si="8"/>
        <v>18000</v>
      </c>
      <c r="EZ41" s="205">
        <f>IFERROR(__xludf.DUMMYFUNCTION("PRODUCT(
   MAP(
     IF($F41=""Physical"", K$10:ED$10, IF($F41=""Magic"", K$11:ED$11, K$12:ED$12)),
     IF($F41=""Physical"", K$18:ED$18, IF($F41=""Magic"", K$19:ED$19, K$20:ED$20)),
     K$3:ED$3,
     K$5:ED$5,
     K$17:ED$17,
     K41:ED41,
     LAM"&amp;"BDA(
       mitigation,
       enhance,
       job,
       assign,
       precondition,
       check,
       IF(
         OR(AND(check=TRUE, REGEXMATCH(assign, ""SELF""), job=""戦士""), AND(check=Option!$F$13, REGEXMATCH(assign, ""SINGLE_PARTY""))),
       "&amp;"  IF(
           OR(ARRAYFORMULA((IF(precondition="""", FALSE, REGEXMATCH($K$4:$ED$4, precondition))) * (K41:ED41=TRUE))),
           enhance,
           mitigation
         ),
         1
       )
     )
   )
 ) * EE41"),1.0)</f>
        <v>1</v>
      </c>
      <c r="FA41" s="206">
        <f t="shared" si="9"/>
        <v>18000</v>
      </c>
      <c r="FB41" s="205">
        <f>IFERROR(__xludf.DUMMYFUNCTION("PRODUCT(
   MAP(
     K$3:ED$3,
     K$14:ED$14,
     K$13:ED$13,
     K41:ED41,
     LAMBDA(
       job,
       buff,
       target,
       check,
       IF(
         OR(AND(check=TRUE, REGEXMATCH(target, ""SELF_AFFECTED_ALL""), job=""戦士""), AND(check=Op"&amp;"tion!$F$13, REGEXMATCH(target, ""SINGLE_AFFECTED_ALL""))),
         buff,
         1
       )
     )
   )
 )"),1.0)</f>
        <v>1</v>
      </c>
      <c r="FC41" s="206">
        <f>IFERROR(__xludf.DUMMYFUNCTION("SUM(
   MAP(
     K$3:ED$3,
     K$7:ED$7,
     K$15:ED$15,
     K$16:ED$16,
     K$21:ED$21,
     K$5:ED$5,
     K$17:ED$17,
     K41:ED41,
     LAMBDA(
       job,
       abillity,
       buff,
       barrier,
       enhance,
       assign,
       preco"&amp;"ndition,
       check,
       IF(
         OR(AND(check=TRUE, REGEXMATCH(assign, ""SELF""), job=""戦士""), AND(check=Option!$F$13, REGEXMATCH(assign, ""SINGLE_PARTY""))),
         IF(
           OR(ARRAYFORMULA((IF(precondition="""", FALSE, REGEXMATCH($K$4:"&amp;"$ED$4, precondition))) * (K41:ED41=TRUE))),
           enhance,
           IF(barrier="""", buff, barrier)
         ),
         0
       ) *
       SWITCH(
         job,
         ""暗黒騎士"", FD$24,
         ""白魔道士"", EF41 * EH41 * FB41 * IF(abillity, 1, EG4"&amp;"1 * EI41) * (Option!$D$22 * 0.81 / 100),
         ""占星術師"", EF41 * EJ41 * FFB41 * IF(abillity, 1, EG41 * EK41) * (Option!$D$23 * 0.81 / 100),
         ""学者"", EF41 * EL41 * FB41 * IF(abillity, 1, EG41 * EM41) * (Option!$D$24 * 0.81 / 100),
         ""賢者"""&amp;", EF41 * EN41 * FB41 * IF(abillity, 1, EG41 * EO41) * (Option!$D$25 * 0.81 / 100),
         1
       )
     )
   )
 ) + EQ41"),0.0)</f>
        <v>0</v>
      </c>
      <c r="FD41" s="206">
        <f t="shared" si="10"/>
        <v>18000</v>
      </c>
      <c r="FE41" s="205">
        <f>IFERROR(__xludf.DUMMYFUNCTION("PRODUCT(
   MAP(
     IF($F41=""Physical"", K$10:ED$10, IF($F41=""Magic"", K$11:ED$11, K$12:ED$12)),
     IF($F41=""Physical"", K$18:ED$18, IF($F41=""Magic"", K$19:ED$19, K$20:ED$20)),
     K$3:ED$3,
     K$5:ED$5,
     K$17:ED$17,
     K41:ED41,
     LAM"&amp;"BDA(
       mitigation,
       enhance,
       job,
       assign,
       precondition,
       check,
       IF(
         OR(AND(check=TRUE, REGEXMATCH(assign, ""SELF""), job=""暗黒騎士""), AND(check=Option!$G$13, REGEXMATCH(assign, ""SINGLE_PARTY""))),
     "&amp;"    IF(
           OR(ARRAYFORMULA((IF(precondition="""", FALSE, REGEXMATCH($K$4:$ED$4, precondition))) * (K41:ED41=TRUE))),
           enhance,
           mitigation
         ),
         1
       )
     )
   )
 ) * EE41"),1.0)</f>
        <v>1</v>
      </c>
      <c r="FF41" s="206">
        <f t="shared" si="11"/>
        <v>18000</v>
      </c>
      <c r="FG41" s="205">
        <f>IFERROR(__xludf.DUMMYFUNCTION("PRODUCT(
   MAP(
     K$3:ED$3,
     K$14:ED$14,
     K$13:ED$13,
     K41:ED41,
     LAMBDA(
       job,
       buff,
       target,
       check,
       IF(
         OR(AND(check=TRUE, REGEXMATCH(target, ""SELF_AFFECTED_ALL""), job=""暗黒騎士""), AND(check="&amp;"Option!$G$13, REGEXMATCH(target, ""SINGLE_AFFECTED_ALL""))),
         buff,
         1
       )
     )
   )
 )"),1.0)</f>
        <v>1</v>
      </c>
      <c r="FH41" s="206">
        <f>IFERROR(__xludf.DUMMYFUNCTION("SUM(
   MAP(
     K$3:ED$3,
     K$7:ED$7,
     K$15:ED$15,
     K$16:ED$16,
     K$21:ED$21,
     K$5:ED$5,
     K$17:ED$17,
     K41:ED41,
     LAMBDA(
       job,
       abillity,
       buff,
       barrier,
       enhance,
       assign,
       preco"&amp;"ndition,
       check,
       IF(
         OR(AND(check=TRUE, REGEXMATCH(assign, ""SELF""), job=""暗黒騎士""), AND(check=Option!$G$13, REGEXMATCH(assign, ""SINGLE_PARTY""))),
         IF(
           OR(ARRAYFORMULA((IF(precondition="""", FALSE, REGEXMATCH($K$"&amp;"4:$ED$4, precondition))) * (K41:ED41=TRUE))),
           enhance,
           IF(barrier="""", buff, barrier)
         ),
         0
       ) *
       SWITCH(
         job,
         ""暗黒騎士"", FI$24,
         ""白魔道士"", EF41 * EH41 * FG41 * IF(abillity, 1, E"&amp;"G41 * EI41) * (Option!$D$22 * 0.81 / 100),
         ""占星術師"", EF41 * EJ41 * FG41 * IF(abillity, 1, EG41 * EK41) * (Option!$D$23 * 0.81 / 100),
         ""学者"", EF41 * EL41 * FG41 * IF(abillity, 1, EG41 * EM41) * (Option!$D$24 * 0.81 / 100),
         ""賢者"&amp;""", EF41 * EN41 * FG41 * IF(abillity, 1, EG41 * EO41) * (Option!$D$25 * 0.81 / 100),
         1
       )
     )
   )
 ) + EQ41"),0.0)</f>
        <v>0</v>
      </c>
      <c r="FI41" s="206">
        <f t="shared" si="12"/>
        <v>18000</v>
      </c>
      <c r="FJ41" s="205">
        <f>IFERROR(__xludf.DUMMYFUNCTION("PRODUCT(
   MAP(
     IF($F41=""Physical"", K$10:ED$10, IF($F41=""Magic"", K$11:ED$11, K$12:ED$12)),
     IF($F41=""Physical"", K$18:ED$18, IF($F41=""Magic"", K$19:ED$19, K$20:ED$20)),
     K$3:ED$3,
     K$5:ED$5,
     K$17:ED$17,
     K41:ED41,
     LAM"&amp;"BDA(
       mitigation,
       enhance,
       job,
       assign,
       precondition,
       check,
       IF(
         OR(AND(check=TRUE, REGEXMATCH(assign, ""SELF""), job=""ガンブレイカー""), AND(check=Option!$H$13, REGEXMATCH(assign, ""SINGLE_PARTY""))),
  "&amp;"       IF(
           OR(ARRAYFORMULA((IF(precondition="""", FALSE, REGEXMATCH($K$4:$ED$4, precondition))) * (K41:ED41=TRUE))),
           enhance,
           mitigation
         ),
         1
       )
     )
   )
 ) * EE41"),1.0)</f>
        <v>1</v>
      </c>
      <c r="FK41" s="206">
        <f t="shared" si="13"/>
        <v>18000</v>
      </c>
      <c r="FL41" s="205">
        <f>IFERROR(__xludf.DUMMYFUNCTION("PRODUCT(
   MAP(
     K$3:ED$3,
     K$14:ED$14,
     K$13:ED$13,
     K41:ED41,
     LAMBDA(
       job,
       buff,
       target,
       check,
       IF(
         OR(AND(check=TRUE, REGEXMATCH(target, ""SELF_AFFECTED_ALL""), job=""ガンブレイカー""), AND(che"&amp;"ck=Option!$H$13, REGEXMATCH(target, ""SINGLE_AFFECTED_ALL""))),
         buff,
         1
       )
     )
   )
 )"),1.0)</f>
        <v>1</v>
      </c>
      <c r="FM41" s="206">
        <f>IFERROR(__xludf.DUMMYFUNCTION("SUM(
   MAP(
     K$3:ED$3,
     K$7:ED$7,
     K$15:ED$15,
     K$16:ED$16,
     K$21:ED$21,
     K$5:ED$5,
     K$17:ED$17,
     K41:ED41,
     LAMBDA(
       job,
       abillity,
       buff,
       barrier,
       enhance,
       assign,
       preco"&amp;"ndition,
       check,
       IF(
         OR(AND(check=TRUE, REGEXMATCH(assign, ""SELF""), job=""ガンブレイカー""), AND(check=Option!$H$13, REGEXMATCH(assign, ""SINGLE_PARTY""))),
         IF(
           OR(ARRAYFORMULA((IF(precondition="""", FALSE, REGEXMATCH("&amp;"$K$4:$ED$4, precondition))) * (K41:ED41=TRUE))),
           enhance,
           IF(barrier="""", buff, barrier)
         ),
         0
       ) *
       SWITCH(
         job,
         ""暗黒騎士"", FN$24,
         ""白魔道士"", EF41 * EH41 * FL41 * IF(abillity, 1"&amp;", EG41 * EI41) * (Option!$D$22 * 0.81 / 100),
         ""占星術師"", EF41 * EJ41 * FL41 * IF(abillity, 1, EG41 * EK41) * (Option!$D$23 * 0.81 / 100),
         ""学者"", EF41 * EL41 * FL41 * IF(abillity, 1, EG41 * EM41) * (Option!$D$24 * 0.81 / 100),
         """&amp;"賢者"", EF41 * EN41 * FL41 * IF(abillity, 1, EG41 * EO41) * (Option!$D$25 * 0.81 / 100),
         1
       )
     )
   )
 ) + EQ41"),0.0)</f>
        <v>0</v>
      </c>
      <c r="FN41" s="206">
        <f t="shared" si="14"/>
        <v>18000</v>
      </c>
      <c r="FO41" s="213"/>
    </row>
    <row r="42">
      <c r="B42" s="208"/>
      <c r="C42" s="217">
        <f t="shared" si="1"/>
        <v>0.001296296296</v>
      </c>
      <c r="D42" s="224">
        <v>0.0012962962962962963</v>
      </c>
      <c r="E42" s="227" t="s">
        <v>1082</v>
      </c>
      <c r="F42" s="167" t="s">
        <v>11</v>
      </c>
      <c r="G42" s="168" t="str">
        <f t="shared" si="15"/>
        <v/>
      </c>
      <c r="H42" s="169"/>
      <c r="I42" s="169"/>
      <c r="J42" s="169"/>
      <c r="K42" s="170" t="b">
        <v>0</v>
      </c>
      <c r="L42" s="170" t="b">
        <v>0</v>
      </c>
      <c r="M42" s="170" t="b">
        <v>0</v>
      </c>
      <c r="N42" s="171" t="s">
        <v>1070</v>
      </c>
      <c r="O42" s="172" t="b">
        <v>0</v>
      </c>
      <c r="P42" s="173" t="b">
        <v>0</v>
      </c>
      <c r="Q42" s="173" t="b">
        <v>0</v>
      </c>
      <c r="R42" s="173" t="b">
        <v>0</v>
      </c>
      <c r="S42" s="174" t="b">
        <v>0</v>
      </c>
      <c r="T42" s="175" t="b">
        <v>0</v>
      </c>
      <c r="U42" s="173" t="b">
        <v>0</v>
      </c>
      <c r="V42" s="171" t="s">
        <v>1070</v>
      </c>
      <c r="W42" s="172" t="b">
        <v>0</v>
      </c>
      <c r="X42" s="173" t="b">
        <v>0</v>
      </c>
      <c r="Y42" s="173" t="b">
        <v>0</v>
      </c>
      <c r="Z42" s="173" t="b">
        <v>0</v>
      </c>
      <c r="AA42" s="174" t="b">
        <v>0</v>
      </c>
      <c r="AB42" s="174" t="b">
        <v>0</v>
      </c>
      <c r="AC42" s="175" t="b">
        <v>0</v>
      </c>
      <c r="AD42" s="173" t="b">
        <v>0</v>
      </c>
      <c r="AE42" s="176" t="s">
        <v>1070</v>
      </c>
      <c r="AF42" s="171" t="s">
        <v>1070</v>
      </c>
      <c r="AG42" s="177">
        <f>IFERROR(__xludf.DUMMYFUNCTION("IF(
  ISNUMBER(AG41),
  MIN(MAX(
    AG41
    + MAX(
      ROUNDDOWN(($D43 - MAX(IFERROR(FILTER($D$24:$D42, AG$24:AG41 &lt;&gt; AF$6, AG$23:AG40 = AF$6), 0))) * (60 * 60 * 24) / AF$9) - ROUNDDOWN(($D42 - MAX(IFERROR(FILTER($D$23:$D41, AG$23:AG40 &lt;&gt; AF$6, AG$22:"&amp;"AG39 = AF$6), 0))) * (60 * 60 * 24) / 60),
      0
    )
    - COUNTIF(AF42, ""&lt;&gt;-""),
  0), AF$6),
  AF$6 - COUNTIF(AF42, ""&lt;&gt;-"")
)"),2.0)</f>
        <v>2</v>
      </c>
      <c r="AH42" s="173" t="b">
        <v>0</v>
      </c>
      <c r="AI42" s="173" t="b">
        <v>0</v>
      </c>
      <c r="AJ42" s="173" t="b">
        <v>0</v>
      </c>
      <c r="AK42" s="174" t="b">
        <v>0</v>
      </c>
      <c r="AL42" s="175" t="b">
        <v>0</v>
      </c>
      <c r="AM42" s="173" t="b">
        <v>0</v>
      </c>
      <c r="AN42" s="171" t="s">
        <v>1070</v>
      </c>
      <c r="AO42" s="173" t="b">
        <v>0</v>
      </c>
      <c r="AP42" s="173" t="b">
        <v>0</v>
      </c>
      <c r="AQ42" s="173" t="b">
        <v>0</v>
      </c>
      <c r="AR42" s="174" t="b">
        <v>0</v>
      </c>
      <c r="AS42" s="178" t="b">
        <v>0</v>
      </c>
      <c r="AT42" s="179" t="b">
        <v>0</v>
      </c>
      <c r="AU42" s="180" t="b">
        <v>0</v>
      </c>
      <c r="AV42" s="180" t="b">
        <v>0</v>
      </c>
      <c r="AW42" s="180" t="b">
        <v>0</v>
      </c>
      <c r="AX42" s="180" t="b">
        <v>0</v>
      </c>
      <c r="AY42" s="181" t="s">
        <v>1070</v>
      </c>
      <c r="AZ42" s="181" t="s">
        <v>1070</v>
      </c>
      <c r="BA42" s="184">
        <f>IFERROR(__xludf.DUMMYFUNCTION("IF(
  ISNUMBER(BA41),
  MIN(MAX(
    BA41
    + MAX(
      ROUNDDOWN((D43 - MAX(IFERROR(FILTER(D$24:D42, BA$24:BA41 &lt;&gt; AZ$6, BA$23:BA40 = AZ$6), 0))) * (60 * 60 * 24) / AZ$9) - ROUNDDOWN((D42 - MAX(IFERROR(FILTER(D$23:D41, BA$23:BA40 &lt;&gt; AZ$6, BA$22:BA39 ="&amp;" AZ$6), 0))) * (60 * 60 * 24) / AZ$9),
      0
    )
    - COUNTIF(AZ42, ""&lt;&gt;-""),
  0), AZ$6),
  AZ$6 - COUNTIF(AZ42, ""&lt;&gt;-"")
)"),2.0)</f>
        <v>2</v>
      </c>
      <c r="BB42" s="181" t="s">
        <v>1070</v>
      </c>
      <c r="BC42" s="183">
        <f>IFERROR(__xludf.DUMMYFUNCTION("IF(
  ISNUMBER(BC41),
  MIN(MAX(
    BC41
    + MAX(
      ROUNDDOWN(($D43 - MAX(IFERROR(FILTER($D$24:$D42, BC$24:BC41 &lt;&gt; BB$6, BC$23:BC40 = BB$6), 0))) * (60 * 60 * 24) / BB$9) - ROUNDDOWN(($D42 - MAX(IFERROR(FILTER($D$23:$D41, BC$23:BC40 &lt;&gt; BB$6, BC$22:"&amp;"BC39 = BB$6), 0))) * (60 * 60 * 24) / 60),
      0
    )
    - COUNTIF(BB42, ""&lt;&gt;-""),
  0), BB$6),
  BB$6 - COUNTIF(BB42, ""&lt;&gt;-"")
)"),2.0)</f>
        <v>2</v>
      </c>
      <c r="BD42" s="181" t="s">
        <v>1070</v>
      </c>
      <c r="BE42" s="178" t="b">
        <v>0</v>
      </c>
      <c r="BF42" s="180" t="b">
        <v>0</v>
      </c>
      <c r="BG42" s="180" t="b">
        <v>0</v>
      </c>
      <c r="BH42" s="180" t="b">
        <v>0</v>
      </c>
      <c r="BI42" s="180" t="b">
        <v>0</v>
      </c>
      <c r="BJ42" s="180" t="b">
        <v>0</v>
      </c>
      <c r="BK42" s="180" t="b">
        <v>0</v>
      </c>
      <c r="BL42" s="180" t="b">
        <v>0</v>
      </c>
      <c r="BM42" s="180" t="b">
        <v>0</v>
      </c>
      <c r="BN42" s="180" t="b">
        <v>0</v>
      </c>
      <c r="BO42" s="181" t="s">
        <v>1070</v>
      </c>
      <c r="BP42" s="181" t="s">
        <v>1070</v>
      </c>
      <c r="BQ42" s="181" t="s">
        <v>1070</v>
      </c>
      <c r="BR42" s="181" t="s">
        <v>1070</v>
      </c>
      <c r="BS42" s="181" t="s">
        <v>1070</v>
      </c>
      <c r="BT42" s="184">
        <f>IFERROR(__xludf.DUMMYFUNCTION("IF(
  ISNUMBER(BT41),
  MIN(MAX(
    BT41
    + MAX(
      ROUNDDOWN((D43 - MAX(IFERROR(FILTER(D$24:D42, BT$24:BT41 &lt;&gt; BS$6, BT$23:BT40 = BS$6), 0))) * (60 * 60 * 24) / BS$9) - ROUNDDOWN((D42 - MAX(IFERROR(FILTER(D$23:D41, BT$23:BT40 &lt;&gt; BS$6, BT$22:BT39 ="&amp;" BS$6), 0))) * (60 * 60 * 24) / BS$9),
      0
    )
    - COUNTIF(BS42, ""&lt;&gt;-""),
  0), BS$6),
  BS$6 - COUNTIF(BS42, ""&lt;&gt;-"")
)"),3.0)</f>
        <v>3</v>
      </c>
      <c r="BU42" s="181" t="s">
        <v>1070</v>
      </c>
      <c r="BV42" s="181" t="s">
        <v>1070</v>
      </c>
      <c r="BW42" s="184">
        <f>IFERROR(__xludf.DUMMYFUNCTION("IF(
  ISNUMBER(BW41),
  MIN(MAX(
    BW41
    + MAX(
      ROUNDDOWN((D43 - MAX(IFERROR(FILTER(D$24:D42, BW$24:BW41 &lt;&gt; BV$6, BW$23:BW40 = BV$6), 0))) * (60 * 60 * 24) / BV$9) - ROUNDDOWN((D42 - MAX(IFERROR(FILTER(D$23:D41, BW$23:BW40 &lt;&gt; BV$6, BW$22:BW39 ="&amp;" BV$6), 0))) * (60 * 60 * 24) / BV$9),
      0
    )
    - COUNTIF(BV42, ""&lt;&gt;-""),
  0), BV$6),
  BV$6 - COUNTIF(BV42, ""&lt;&gt;-"")
)"),2.0)</f>
        <v>2</v>
      </c>
      <c r="BX42" s="185" t="s">
        <v>1070</v>
      </c>
      <c r="BY42" s="178" t="b">
        <v>0</v>
      </c>
      <c r="BZ42" s="180" t="b">
        <v>0</v>
      </c>
      <c r="CA42" s="180" t="b">
        <v>0</v>
      </c>
      <c r="CB42" s="180" t="b">
        <v>0</v>
      </c>
      <c r="CC42" s="180" t="b">
        <v>0</v>
      </c>
      <c r="CD42" s="180" t="b">
        <v>0</v>
      </c>
      <c r="CE42" s="180" t="b">
        <v>0</v>
      </c>
      <c r="CF42" s="180" t="b">
        <v>0</v>
      </c>
      <c r="CG42" s="180" t="b">
        <v>0</v>
      </c>
      <c r="CH42" s="180" t="b">
        <v>0</v>
      </c>
      <c r="CI42" s="180" t="b">
        <v>0</v>
      </c>
      <c r="CJ42" s="180" t="b">
        <v>0</v>
      </c>
      <c r="CK42" s="180" t="b">
        <v>0</v>
      </c>
      <c r="CL42" s="180" t="b">
        <v>0</v>
      </c>
      <c r="CM42" s="181" t="s">
        <v>1070</v>
      </c>
      <c r="CN42" s="181" t="s">
        <v>1070</v>
      </c>
      <c r="CO42" s="181" t="s">
        <v>1070</v>
      </c>
      <c r="CP42" s="181" t="s">
        <v>1070</v>
      </c>
      <c r="CQ42" s="185" t="s">
        <v>1070</v>
      </c>
      <c r="CR42" s="180" t="b">
        <v>0</v>
      </c>
      <c r="CS42" s="186" t="str">
        <f t="shared" si="3"/>
        <v>◇◇◇</v>
      </c>
      <c r="CT42" s="178" t="b">
        <v>0</v>
      </c>
      <c r="CU42" s="180" t="b">
        <v>0</v>
      </c>
      <c r="CV42" s="180" t="b">
        <v>0</v>
      </c>
      <c r="CW42" s="180" t="b">
        <v>0</v>
      </c>
      <c r="CX42" s="180" t="b">
        <v>0</v>
      </c>
      <c r="CY42" s="180" t="b">
        <v>0</v>
      </c>
      <c r="CZ42" s="180" t="b">
        <v>0</v>
      </c>
      <c r="DA42" s="180" t="b">
        <v>0</v>
      </c>
      <c r="DB42" s="180" t="b">
        <v>0</v>
      </c>
      <c r="DC42" s="180" t="b">
        <v>0</v>
      </c>
      <c r="DD42" s="181" t="s">
        <v>1070</v>
      </c>
      <c r="DE42" s="181" t="s">
        <v>1070</v>
      </c>
      <c r="DF42" s="181" t="s">
        <v>1070</v>
      </c>
      <c r="DG42" s="185" t="s">
        <v>1070</v>
      </c>
      <c r="DH42" s="180" t="b">
        <v>0</v>
      </c>
      <c r="DI42" s="187" t="str">
        <f>IFERROR(__xludf.DUMMYFUNCTION("SWITCH(
  IF(
    ISTEXT(DI41),
    IF (
      FIND(""○"", DI41&amp;""○"") &gt; 3,
      3,
      FIND(""○"", DI41&amp;""○"")
      + MAX(
        ROUNDDOWN(($D43 - MAX(IFERROR(FILTER(D$24:D42, DI$24:DI41 &lt;&gt; ""●●●"", DI$23:DI40 = ""●●●""), 0))) * (60 * 60 * 24) / 20"&amp;") - ROUNDDOWN(($D42 - MAX(IFERROR(FILTER(D$23:D41, DI$23:DI40 &lt;&gt; ""●●●"", DI$22:DI39 = ""●●●""), 0))) * (60 * 60 * 24) / 20),
        0
      ) - 1
    ) - COUNTIFS(CU42, ""=TRUE"", CU41, ""&lt;&gt;TRUE"") - COUNTIF(CZ42, ""=TRUE"") - COUNTIF({DD42,DE42}, ""&lt;&gt;-"&amp;""") + COUNTIF(DH42, ""=TRUE""),
    3
  ),
  0, ""○○○"", 1, ""●○○"", 2, ""●●○"", 3, ""●●●"", 4, ""●●●"", ""○○○""
)"),"●●●")</f>
        <v>●●●</v>
      </c>
      <c r="DJ42" s="188" t="b">
        <v>0</v>
      </c>
      <c r="DK42" s="189" t="b">
        <v>0</v>
      </c>
      <c r="DL42" s="190" t="b">
        <v>0</v>
      </c>
      <c r="DM42" s="190" t="b">
        <v>0</v>
      </c>
      <c r="DN42" s="190" t="b">
        <v>0</v>
      </c>
      <c r="DO42" s="190" t="b">
        <v>0</v>
      </c>
      <c r="DP42" s="190" t="b">
        <v>0</v>
      </c>
      <c r="DQ42" s="191" t="b">
        <v>0</v>
      </c>
      <c r="DR42" s="192" t="b">
        <v>0</v>
      </c>
      <c r="DS42" s="191" t="b">
        <v>0</v>
      </c>
      <c r="DT42" s="192" t="b">
        <v>0</v>
      </c>
      <c r="DU42" s="191" t="b">
        <v>0</v>
      </c>
      <c r="DV42" s="193" t="s">
        <v>1070</v>
      </c>
      <c r="DW42" s="194" t="b">
        <v>0</v>
      </c>
      <c r="DX42" s="194" t="b">
        <v>0</v>
      </c>
      <c r="DY42" s="195" t="b">
        <v>0</v>
      </c>
      <c r="DZ42" s="196" t="b">
        <v>0</v>
      </c>
      <c r="EA42" s="195" t="b">
        <v>0</v>
      </c>
      <c r="EB42" s="197" t="b">
        <v>0</v>
      </c>
      <c r="EC42" s="197" t="b">
        <v>0</v>
      </c>
      <c r="ED42" s="212" t="b">
        <v>0</v>
      </c>
      <c r="EE42" s="199">
        <f>IFERROR(__xludf.DUMMYFUNCTION("IFERROR(
   PRODUCT(
     MAP(
       INDEX(TRANSPOSE(UNIQUE(TRANSPOSE(FILTER({IF($F42=""Physical"", K$10:ED$10, IF($F42=""Magic"", K$11:ED$11, K$12:ED$12));K$4:ED$4;K42:ED42}, K42:ED42=TRUE)))), 1, 0),
       INDEX(TRANSPOSE(UNIQUE(TRANSPOSE(FILTER({IF($"&amp;"F42=""Physical"", K$18:ED$18, IF($F42=""Magic"", K$19:ED$19, K$20:ED$20));K$4:ED$4;K42:ED42}, K42:ED42=TRUE)))), 1, 0),
       INDEX(TRANSPOSE(UNIQUE(TRANSPOSE(FILTER({K$5:ED$5;K$4:ED$4;K42:ED42}, K42:ED42=TRUE)))), 1, 0),
       INDEX(TRANSPOSE(UNIQUE(TR"&amp;"ANSPOSE(FILTER({K$17:ED$17;K$4:ED$4;K42:ED42}, K42:ED42=TRUE)))), 1, 0),
       LAMBDA(
         mitigation,
         enhance,
         assign,
         precondition,
         IF(
           REGEXMATCH(assign, ""RANGE_PARTY|SINGLE_ENEMY|RANGE_ENEMY""),
  "&amp;"         IF(
             OR(ARRAYFORMULA((IF(precondition="""", FALSE, REGEXMATCH(K$4:ED$4, precondition))) * (K42:ED42=TRUE))),
             IF(ISNUMBER(enhance), enhance, 1),
             IF(ISNUMBER(mitigation), mitigation, 1)
           ),
          "&amp;" 1
         )
       )
     )
   ),
   1
 )"),1.0)</f>
        <v>1</v>
      </c>
      <c r="EF42" s="200">
        <f>IFERROR(__xludf.DUMMYFUNCTION("PRODUCT(
   MAP(
     K$14:ED$14,
     K$13:ED$13,
     K42:ED42,
     LAMBDA(
       buff,
       target,
       check,
       IF(
         AND(check=TRUE, REGEXMATCH(target, ""RANGE_AFFECTED_ALL|RANGE_EFFECTED_ALL""), ISNUMBER(buff)),
         buff,
   "&amp;"      1
       )
     )
   )
 )"),1.0)</f>
        <v>1</v>
      </c>
      <c r="EG42" s="200">
        <f>IFERROR(__xludf.DUMMYFUNCTION("PRODUCT(
   MAP(
     K$14:ED$14,
     K$13:ED$13,
     K42:ED42,
     LAMBDA(
       buff,
       target,
       check,
       IF(
         AND(check=TRUE, REGEXMATCH(target, ""RANGE_AFFECTED_GCD|RANGE_EFFECTED_GCD""), ISNUMBER(buff)),
         buff,
   "&amp;"      1
       )
     )
   )
 )"),1.0)</f>
        <v>1</v>
      </c>
      <c r="EH42" s="200">
        <f>IFERROR(__xludf.DUMMYFUNCTION("PRODUCT(
   MAP(
     K$3:ED$3,
     K$14:ED$14,
     K$13:ED$13,
     K42:ED42,
     LAMBDA(
       job,
       buff,
       target,
       check,
       IF(
         AND(check=TRUE, REGEXMATCH(target, ""SELF_EFFECTED_ALL""), ISNUMBER(buff), job=""白魔道士"""&amp;"),
         buff,
         1
       )
     )
   )
 )"),1.0)</f>
        <v>1</v>
      </c>
      <c r="EI42" s="200">
        <f>IFERROR(__xludf.DUMMYFUNCTION("PRODUCT(
   MAP(
     K$3:ED$3,
     K$14:ED$14,
     K$13:ED$13,
     K42:ED42,
     LAMBDA(
       job,
       buff,
       target,
       check,
       IF(
         AND(check=TRUE, REGEXMATCH(target, ""SELF_EFFECTED_GCD""), ISNUMBER(buff), job=""白魔道士"""&amp;"),
         buff,
         1
       )
     )
   )
 )"),1.0)</f>
        <v>1</v>
      </c>
      <c r="EJ42" s="200">
        <f>IFERROR(__xludf.DUMMYFUNCTION("PRODUCT(
   MAP(
     K$3:ED$3,
     K$14:ED$14,
     K$13:ED$13,
     K42:ED42,
     LAMBDA(
       job,
       buff,
       target,
       check,
       IF(
         AND(check=TRUE, REGEXMATCH(target, ""SELF_EFFECTED_ALL""), ISNUMBER(buff), job=""占星術師"""&amp;"),
         buff,
         1
       )
     )
   )
 )"),1.0)</f>
        <v>1</v>
      </c>
      <c r="EK42" s="200">
        <f>IFERROR(__xludf.DUMMYFUNCTION("PRODUCT(
   MAP(
     K$3:ED$3,
     K$14:ED$14,
     K$13:ED$13,
     K42:ED42,
     LAMBDA(
       job,
       buff,
       target,
       check,
       IF(
         AND(check=TRUE, REGEXMATCH(target, ""SELF_EFFECTED_GCD""), ISNUMBER(buff), job=""占星術師"""&amp;"),
         buff,
         1
       )
     )
   )
 )"),1.0)</f>
        <v>1</v>
      </c>
      <c r="EL42" s="200">
        <f>IFERROR(__xludf.DUMMYFUNCTION("PRODUCT(
   MAP(
     K$3:ED$3,
     K$14:ED$14,
     K$13:ED$13,
     K42:ED42,
     LAMBDA(
       job,
       buff,
       target,
       check,
       IF(
         AND(check=TRUE, REGEXMATCH(target, ""SELF_EFFECTED_ALL""), ISNUMBER(buff), job=""学者""),"&amp;"
         buff,
         1
       )
     )
   )
 )"),1.0)</f>
        <v>1</v>
      </c>
      <c r="EM42" s="200">
        <f>IFERROR(__xludf.DUMMYFUNCTION("PRODUCT(
   MAP(
     K$3:ED$3,
     K$14:ED$14,
     K$13:ED$13,
     K42:ED42,
     LAMBDA(
       job,
       buff,
       target,
       check,
       IF(
         AND(check=TRUE, REGEXMATCH(target, ""SELF_EFFECTED_GCD""), ISNUMBER(buff), job=""学者""),"&amp;"
         buff,
         1
       )
     )
   )
 )"),1.0)</f>
        <v>1</v>
      </c>
      <c r="EN42" s="200">
        <f>IFERROR(__xludf.DUMMYFUNCTION("PRODUCT(
   MAP(
     K$3:ED$3,
     K$14:ED$14,
     K$13:ED$13,
     K42:ED42,
     LAMBDA(
       job,
       buff,
       target,
       check,
       IF(
         AND(check=TRUE, REGEXMATCH(target, ""SELF_EFFECTED_ALL""), ISNUMBER(buff), job=""賢者""),"&amp;"
         buff,
         1
       )
     )
   )
 )"),1.0)</f>
        <v>1</v>
      </c>
      <c r="EO42" s="200">
        <f>IFERROR(__xludf.DUMMYFUNCTION("PRODUCT(
   MAP(
     K$3:ED$3,
     K$14:ED$14,
     K$13:ED$13,
     K42:ED42,
     LAMBDA(
       job,
       buff,
       target,
       check,
       IF(
         AND(check=TRUE, REGEXMATCH(target, ""SELF_EFFECTED_GCD""), ISNUMBER(buff), job=""賢者""),"&amp;"
         buff,
         1
       )
     )
   )
 )"),1.0)</f>
        <v>1</v>
      </c>
      <c r="EP42" s="201">
        <f t="shared" si="4"/>
        <v>0</v>
      </c>
      <c r="EQ42" s="201">
        <f>IFERROR(__xludf.DUMMYFUNCTION("SUM(
   MAP(
     K$4:ED$4,
     K$3:ED$3,
     K$7:ED$7,
     K$15:ED$15,
     K$16:ED$16,
     K$21:ED$21,
     K$5:ED$5,
     K$17:ED$17,
     K42:ED42,
     LAMBDA(
       name,
       job,
       abillity,
       buff,
       barrier,
       enhance,"&amp;"
       assign,
       precondition,
       check,
       SWITCH(
         name,
         ""シェイクオフ"", IF(check=TRUE, buff + (0.02 * COUNTIF(ARRAYFORMULA((REGEXMATCH($K$4:$ED$4, ""スリル・オブ・バトル|ヴェンジェンス|原初の血気|ダムネーション"")) * (K42:ED42=TRUE)), 1)), 0),
         "&amp;"""インプロビゼーションフィニッシュ(踊りの激情0)"", IF(ISNUMBER(check), INDEX(Skill!$AJ:$AJ, MATCH(SUBSTITUTE(DV$4, 0, check), Skill!$C:$C, 0)), 0),
         IF(
           AND(check=TRUE, REGEXMATCH(assign, ""RANGE_PARTY"")),
           IF(
             OR(ARRAYFORMULA((IF(pr"&amp;"econdition="""", FALSE, REGEXMATCH($K$4:$ED$4, precondition))) * (K42:ED42=TRUE))),
             enhance,
             IF(barrier="""", buff, barrier)
           ),
           0
         )
       ) *
       SWITCH(
         job,
         ""ナイト"", EY$24,
 "&amp;"        ""戦士"", FD$24,
         ""踊り子"", ET$24,
         ""ピクトマンサー"", ET$24,
         ""白魔道士"", EF42 * EH42 * IF(abillity, 1, EG42 * EI42) * (Option!$D$22 * 0.81 / 100),
         ""占星術師"", EF42 * EJ42 * IF(abillity, 1, EG42 * EK42) * (Option!$D$23 * 0.81 "&amp;"/ 100),
         ""学者"", EF42 * EL42 * IF(abillity, 1, EG42 * EM42) * (Option!$D$24 * 0.81 / 100),
         ""賢者"", EF42 * EN42 * IF(abillity, 1, EG42 * EO42) * (Option!$D$25 * 0.81 / 100),
         1
       )
     )
   )
 )"),0.0)</f>
        <v>0</v>
      </c>
      <c r="ER42" s="202">
        <f t="shared" si="5"/>
        <v>0</v>
      </c>
      <c r="ES42" s="203">
        <f t="shared" si="6"/>
        <v>0</v>
      </c>
      <c r="ET42" s="204" t="str">
        <f>IFERROR(__xludf.DUMMYFUNCTION("IFS(
  EP42 &gt; $ET$24 + EQ42,
  SPARKLINE({ 1, 0 }, {""charttype"",""bar"";""max"", 1;""color1"",Option!$D$30;""color2"",Option!$D$30}),
  EP42 &lt; EQ42,
  SPARKLINE({EQ42 - EP42, $ET$24 - (EQ42 - EP42)}, {""charttype"",""bar"";""max"",$ET$24;""color1"",Opti"&amp;"on!$D$28;""color2"",Option!$D$29}),
  EP42 &gt;= EQ42,
  SPARKLINE({$ET$24 + EQ42 - EP42,EP42 - EQ42}, {""charttype"",""bar"";""max"",$ET$24;""color1"",Option!$D$29;""color2"",Option!$D$30})
)"),"")</f>
        <v/>
      </c>
      <c r="EU42" s="205">
        <f>IFERROR(__xludf.DUMMYFUNCTION("PRODUCT(
   MAP(
     IF($F42=""Physical"", K$10:ED$10, IF($F42=""Magic"", K$11:ED$11, K$12:ED$12)),
     IF($F42=""Physical"", K$18:ED$18, IF($F42=""Magic"", K$19:ED$19, K$20:ED$20)),
     K$3:ED$3,
     K$5:ED$5,
     K$17:ED$17,
     K42:ED42,
     LAM"&amp;"BDA(
       mitigation,
       enhance,
       job,
       assign,
       precondition,
       check,
       IF(
         OR(AND(check=TRUE, REGEXMATCH(assign, ""SELF""), job=""ナイト""), AND(check=Option!$E$13, REGEXMATCH(assign, ""SINGLE_PARTY""))),
      "&amp;"   IF(
           OR(ARRAYFORMULA((IF(precondition="""", FALSE, REGEXMATCH($K$4:$ED$4, precondition))) * (K42:ED42=TRUE))),
           enhance,
           mitigation
         ),
         1
       )
     )
   )
 ) * EE42"),1.0)</f>
        <v>1</v>
      </c>
      <c r="EV42" s="206">
        <f t="shared" si="7"/>
        <v>0</v>
      </c>
      <c r="EW42" s="205">
        <f>IFERROR(__xludf.DUMMYFUNCTION("PRODUCT(
   MAP(
     K$3:ED$3,
     K$14:ED$14,
     K$13:ED$13,
     K42:ED42,
     LAMBDA(
       job,
       buff,
       target,
       check,
       IF(
         OR(AND(check=TRUE, REGEXMATCH(target, ""SELF_AFFECTED_ALL""), job=""ナイト""), AND(check=O"&amp;"ption!$E$13, REGEXMATCH(target, ""SINGLE_AFFECTED_ALL""))),
         buff,
         1
       )
     )
   )
 )"),1.0)</f>
        <v>1</v>
      </c>
      <c r="EX42" s="206">
        <f>IFERROR(__xludf.DUMMYFUNCTION("SUM(
   MAP(
     K$3:ED$3,
     K$7:ED$7,
     K$15:ED$15,
     K$16:ED$16,
     K$21:ED$21,
     K$5:ED$5,
     K$17:ED$17,
     K42:ED42,
     LAMBDA(
       job,
       abillity,
       buff,
       barrier,
       enhance,
       assign,
       preco"&amp;"ndition,
       check,
       IF(
         OR(AND(check=TRUE, REGEXMATCH(assign, ""SELF""), job=""ナイト""), AND(check=Option!$E$13, REGEXMATCH(assign, ""SINGLE_PARTY""))),
         IF(
           OR(ARRAYFORMULA((IF(precondition="""", FALSE, REGEXMATCH($K$4"&amp;":$ED$4, precondition))) * (K42:ED42=TRUE))),
           enhance,
           IF(barrier="""", buff, barrier)
         ),
         0
       ) *
       SWITCH(
         job,
         ""暗黒騎士"", EY$24,
         ""白魔道士"", EF42 * EH42 * EW42 * IF(abillity, 1, EG"&amp;"42 * EI42) * (Option!$D$22 * 0.81 / 100),
         ""占星術師"", EF42 * EJ42 * EW42 * IF(abillity, 1, EG42 * EK42) * (Option!$D$23 * 0.81 / 100),
         ""学者"", EF42 * EL42 * EW42 * IF(abillity, 1, EG42 * EM42) * (Option!$D$24 * 0.81 / 100),
         ""賢者"""&amp;", EF42 * EN42 * EW42 * IF(abillity, 1, EG42 * EO42) * (Option!$D$25 * 0.81 / 100),
         1
       )
     )
   )
 ) + EQ42"),0.0)</f>
        <v>0</v>
      </c>
      <c r="EY42" s="206">
        <f t="shared" si="8"/>
        <v>0</v>
      </c>
      <c r="EZ42" s="205">
        <f>IFERROR(__xludf.DUMMYFUNCTION("PRODUCT(
   MAP(
     IF($F42=""Physical"", K$10:ED$10, IF($F42=""Magic"", K$11:ED$11, K$12:ED$12)),
     IF($F42=""Physical"", K$18:ED$18, IF($F42=""Magic"", K$19:ED$19, K$20:ED$20)),
     K$3:ED$3,
     K$5:ED$5,
     K$17:ED$17,
     K42:ED42,
     LAM"&amp;"BDA(
       mitigation,
       enhance,
       job,
       assign,
       precondition,
       check,
       IF(
         OR(AND(check=TRUE, REGEXMATCH(assign, ""SELF""), job=""戦士""), AND(check=Option!$F$13, REGEXMATCH(assign, ""SINGLE_PARTY""))),
       "&amp;"  IF(
           OR(ARRAYFORMULA((IF(precondition="""", FALSE, REGEXMATCH($K$4:$ED$4, precondition))) * (K42:ED42=TRUE))),
           enhance,
           mitigation
         ),
         1
       )
     )
   )
 ) * EE42"),1.0)</f>
        <v>1</v>
      </c>
      <c r="FA42" s="206">
        <f t="shared" si="9"/>
        <v>0</v>
      </c>
      <c r="FB42" s="205">
        <f>IFERROR(__xludf.DUMMYFUNCTION("PRODUCT(
   MAP(
     K$3:ED$3,
     K$14:ED$14,
     K$13:ED$13,
     K42:ED42,
     LAMBDA(
       job,
       buff,
       target,
       check,
       IF(
         OR(AND(check=TRUE, REGEXMATCH(target, ""SELF_AFFECTED_ALL""), job=""戦士""), AND(check=Op"&amp;"tion!$F$13, REGEXMATCH(target, ""SINGLE_AFFECTED_ALL""))),
         buff,
         1
       )
     )
   )
 )"),1.0)</f>
        <v>1</v>
      </c>
      <c r="FC42" s="206">
        <f>IFERROR(__xludf.DUMMYFUNCTION("SUM(
   MAP(
     K$3:ED$3,
     K$7:ED$7,
     K$15:ED$15,
     K$16:ED$16,
     K$21:ED$21,
     K$5:ED$5,
     K$17:ED$17,
     K42:ED42,
     LAMBDA(
       job,
       abillity,
       buff,
       barrier,
       enhance,
       assign,
       preco"&amp;"ndition,
       check,
       IF(
         OR(AND(check=TRUE, REGEXMATCH(assign, ""SELF""), job=""戦士""), AND(check=Option!$F$13, REGEXMATCH(assign, ""SINGLE_PARTY""))),
         IF(
           OR(ARRAYFORMULA((IF(precondition="""", FALSE, REGEXMATCH($K$4:"&amp;"$ED$4, precondition))) * (K42:ED42=TRUE))),
           enhance,
           IF(barrier="""", buff, barrier)
         ),
         0
       ) *
       SWITCH(
         job,
         ""暗黒騎士"", FD$24,
         ""白魔道士"", EF42 * EH42 * FB42 * IF(abillity, 1, EG4"&amp;"2 * EI42) * (Option!$D$22 * 0.81 / 100),
         ""占星術師"", EF42 * EJ42 * FFB42 * IF(abillity, 1, EG42 * EK42) * (Option!$D$23 * 0.81 / 100),
         ""学者"", EF42 * EL42 * FB42 * IF(abillity, 1, EG42 * EM42) * (Option!$D$24 * 0.81 / 100),
         ""賢者"""&amp;", EF42 * EN42 * FB42 * IF(abillity, 1, EG42 * EO42) * (Option!$D$25 * 0.81 / 100),
         1
       )
     )
   )
 ) + EQ42"),0.0)</f>
        <v>0</v>
      </c>
      <c r="FD42" s="206">
        <f t="shared" si="10"/>
        <v>0</v>
      </c>
      <c r="FE42" s="205">
        <f>IFERROR(__xludf.DUMMYFUNCTION("PRODUCT(
   MAP(
     IF($F42=""Physical"", K$10:ED$10, IF($F42=""Magic"", K$11:ED$11, K$12:ED$12)),
     IF($F42=""Physical"", K$18:ED$18, IF($F42=""Magic"", K$19:ED$19, K$20:ED$20)),
     K$3:ED$3,
     K$5:ED$5,
     K$17:ED$17,
     K42:ED42,
     LAM"&amp;"BDA(
       mitigation,
       enhance,
       job,
       assign,
       precondition,
       check,
       IF(
         OR(AND(check=TRUE, REGEXMATCH(assign, ""SELF""), job=""暗黒騎士""), AND(check=Option!$G$13, REGEXMATCH(assign, ""SINGLE_PARTY""))),
     "&amp;"    IF(
           OR(ARRAYFORMULA((IF(precondition="""", FALSE, REGEXMATCH($K$4:$ED$4, precondition))) * (K42:ED42=TRUE))),
           enhance,
           mitigation
         ),
         1
       )
     )
   )
 ) * EE42"),1.0)</f>
        <v>1</v>
      </c>
      <c r="FF42" s="206">
        <f t="shared" si="11"/>
        <v>0</v>
      </c>
      <c r="FG42" s="205">
        <f>IFERROR(__xludf.DUMMYFUNCTION("PRODUCT(
   MAP(
     K$3:ED$3,
     K$14:ED$14,
     K$13:ED$13,
     K42:ED42,
     LAMBDA(
       job,
       buff,
       target,
       check,
       IF(
         OR(AND(check=TRUE, REGEXMATCH(target, ""SELF_AFFECTED_ALL""), job=""暗黒騎士""), AND(check="&amp;"Option!$G$13, REGEXMATCH(target, ""SINGLE_AFFECTED_ALL""))),
         buff,
         1
       )
     )
   )
 )"),1.0)</f>
        <v>1</v>
      </c>
      <c r="FH42" s="206">
        <f>IFERROR(__xludf.DUMMYFUNCTION("SUM(
   MAP(
     K$3:ED$3,
     K$7:ED$7,
     K$15:ED$15,
     K$16:ED$16,
     K$21:ED$21,
     K$5:ED$5,
     K$17:ED$17,
     K42:ED42,
     LAMBDA(
       job,
       abillity,
       buff,
       barrier,
       enhance,
       assign,
       preco"&amp;"ndition,
       check,
       IF(
         OR(AND(check=TRUE, REGEXMATCH(assign, ""SELF""), job=""暗黒騎士""), AND(check=Option!$G$13, REGEXMATCH(assign, ""SINGLE_PARTY""))),
         IF(
           OR(ARRAYFORMULA((IF(precondition="""", FALSE, REGEXMATCH($K$"&amp;"4:$ED$4, precondition))) * (K42:ED42=TRUE))),
           enhance,
           IF(barrier="""", buff, barrier)
         ),
         0
       ) *
       SWITCH(
         job,
         ""暗黒騎士"", FI$24,
         ""白魔道士"", EF42 * EH42 * FG42 * IF(abillity, 1, E"&amp;"G42 * EI42) * (Option!$D$22 * 0.81 / 100),
         ""占星術師"", EF42 * EJ42 * FG42 * IF(abillity, 1, EG42 * EK42) * (Option!$D$23 * 0.81 / 100),
         ""学者"", EF42 * EL42 * FG42 * IF(abillity, 1, EG42 * EM42) * (Option!$D$24 * 0.81 / 100),
         ""賢者"&amp;""", EF42 * EN42 * FG42 * IF(abillity, 1, EG42 * EO42) * (Option!$D$25 * 0.81 / 100),
         1
       )
     )
   )
 ) + EQ42"),0.0)</f>
        <v>0</v>
      </c>
      <c r="FI42" s="206">
        <f t="shared" si="12"/>
        <v>0</v>
      </c>
      <c r="FJ42" s="205">
        <f>IFERROR(__xludf.DUMMYFUNCTION("PRODUCT(
   MAP(
     IF($F42=""Physical"", K$10:ED$10, IF($F42=""Magic"", K$11:ED$11, K$12:ED$12)),
     IF($F42=""Physical"", K$18:ED$18, IF($F42=""Magic"", K$19:ED$19, K$20:ED$20)),
     K$3:ED$3,
     K$5:ED$5,
     K$17:ED$17,
     K42:ED42,
     LAM"&amp;"BDA(
       mitigation,
       enhance,
       job,
       assign,
       precondition,
       check,
       IF(
         OR(AND(check=TRUE, REGEXMATCH(assign, ""SELF""), job=""ガンブレイカー""), AND(check=Option!$H$13, REGEXMATCH(assign, ""SINGLE_PARTY""))),
  "&amp;"       IF(
           OR(ARRAYFORMULA((IF(precondition="""", FALSE, REGEXMATCH($K$4:$ED$4, precondition))) * (K42:ED42=TRUE))),
           enhance,
           mitigation
         ),
         1
       )
     )
   )
 ) * EE42"),1.0)</f>
        <v>1</v>
      </c>
      <c r="FK42" s="206">
        <f t="shared" si="13"/>
        <v>0</v>
      </c>
      <c r="FL42" s="205">
        <f>IFERROR(__xludf.DUMMYFUNCTION("PRODUCT(
   MAP(
     K$3:ED$3,
     K$14:ED$14,
     K$13:ED$13,
     K42:ED42,
     LAMBDA(
       job,
       buff,
       target,
       check,
       IF(
         OR(AND(check=TRUE, REGEXMATCH(target, ""SELF_AFFECTED_ALL""), job=""ガンブレイカー""), AND(che"&amp;"ck=Option!$H$13, REGEXMATCH(target, ""SINGLE_AFFECTED_ALL""))),
         buff,
         1
       )
     )
   )
 )"),1.0)</f>
        <v>1</v>
      </c>
      <c r="FM42" s="206">
        <f>IFERROR(__xludf.DUMMYFUNCTION("SUM(
   MAP(
     K$3:ED$3,
     K$7:ED$7,
     K$15:ED$15,
     K$16:ED$16,
     K$21:ED$21,
     K$5:ED$5,
     K$17:ED$17,
     K42:ED42,
     LAMBDA(
       job,
       abillity,
       buff,
       barrier,
       enhance,
       assign,
       preco"&amp;"ndition,
       check,
       IF(
         OR(AND(check=TRUE, REGEXMATCH(assign, ""SELF""), job=""ガンブレイカー""), AND(check=Option!$H$13, REGEXMATCH(assign, ""SINGLE_PARTY""))),
         IF(
           OR(ARRAYFORMULA((IF(precondition="""", FALSE, REGEXMATCH("&amp;"$K$4:$ED$4, precondition))) * (K42:ED42=TRUE))),
           enhance,
           IF(barrier="""", buff, barrier)
         ),
         0
       ) *
       SWITCH(
         job,
         ""暗黒騎士"", FN$24,
         ""白魔道士"", EF42 * EH42 * FL42 * IF(abillity, 1"&amp;", EG42 * EI42) * (Option!$D$22 * 0.81 / 100),
         ""占星術師"", EF42 * EJ42 * FL42 * IF(abillity, 1, EG42 * EK42) * (Option!$D$23 * 0.81 / 100),
         ""学者"", EF42 * EL42 * FL42 * IF(abillity, 1, EG42 * EM42) * (Option!$D$24 * 0.81 / 100),
         """&amp;"賢者"", EF42 * EN42 * FL42 * IF(abillity, 1, EG42 * EO42) * (Option!$D$25 * 0.81 / 100),
         1
       )
     )
   )
 ) + EQ42"),0.0)</f>
        <v>0</v>
      </c>
      <c r="FN42" s="206">
        <f t="shared" si="14"/>
        <v>0</v>
      </c>
      <c r="FO42" s="213"/>
    </row>
    <row r="43">
      <c r="B43" s="208"/>
      <c r="C43" s="217">
        <f t="shared" si="1"/>
        <v>0.001423611111</v>
      </c>
      <c r="D43" s="225">
        <v>0.0014236111111111112</v>
      </c>
      <c r="E43" s="228" t="s">
        <v>1079</v>
      </c>
      <c r="F43" s="167" t="s">
        <v>10</v>
      </c>
      <c r="G43" s="168" t="str">
        <f t="shared" si="15"/>
        <v/>
      </c>
      <c r="H43" s="169">
        <v>2000.0</v>
      </c>
      <c r="I43" s="169"/>
      <c r="J43" s="169"/>
      <c r="K43" s="170" t="b">
        <v>0</v>
      </c>
      <c r="L43" s="170" t="b">
        <v>0</v>
      </c>
      <c r="M43" s="170" t="b">
        <v>0</v>
      </c>
      <c r="N43" s="171" t="s">
        <v>1070</v>
      </c>
      <c r="O43" s="172" t="b">
        <v>0</v>
      </c>
      <c r="P43" s="173" t="b">
        <v>0</v>
      </c>
      <c r="Q43" s="173" t="b">
        <v>0</v>
      </c>
      <c r="R43" s="173" t="b">
        <v>0</v>
      </c>
      <c r="S43" s="174" t="b">
        <v>0</v>
      </c>
      <c r="T43" s="175" t="b">
        <v>0</v>
      </c>
      <c r="U43" s="173" t="b">
        <v>0</v>
      </c>
      <c r="V43" s="171" t="s">
        <v>1070</v>
      </c>
      <c r="W43" s="172" t="b">
        <v>0</v>
      </c>
      <c r="X43" s="173" t="b">
        <v>0</v>
      </c>
      <c r="Y43" s="173" t="b">
        <v>0</v>
      </c>
      <c r="Z43" s="173" t="b">
        <v>0</v>
      </c>
      <c r="AA43" s="174" t="b">
        <v>0</v>
      </c>
      <c r="AB43" s="174" t="b">
        <v>0</v>
      </c>
      <c r="AC43" s="175" t="b">
        <v>0</v>
      </c>
      <c r="AD43" s="173" t="b">
        <v>0</v>
      </c>
      <c r="AE43" s="176" t="s">
        <v>1070</v>
      </c>
      <c r="AF43" s="171" t="s">
        <v>1070</v>
      </c>
      <c r="AG43" s="177">
        <f>IFERROR(__xludf.DUMMYFUNCTION("IF(
  ISNUMBER(AG42),
  MIN(MAX(
    AG42
    + MAX(
      ROUNDDOWN(($D44 - MAX(IFERROR(FILTER($D$24:$D43, AG$24:AG42 &lt;&gt; AF$6, AG$23:AG41 = AF$6), 0))) * (60 * 60 * 24) / AF$9) - ROUNDDOWN(($D43 - MAX(IFERROR(FILTER($D$23:$D42, AG$23:AG41 &lt;&gt; AF$6, AG$22:"&amp;"AG40 = AF$6), 0))) * (60 * 60 * 24) / 60),
      0
    )
    - COUNTIF(AF43, ""&lt;&gt;-""),
  0), AF$6),
  AF$6 - COUNTIF(AF43, ""&lt;&gt;-"")
)"),2.0)</f>
        <v>2</v>
      </c>
      <c r="AH43" s="173" t="b">
        <v>0</v>
      </c>
      <c r="AI43" s="173" t="b">
        <v>0</v>
      </c>
      <c r="AJ43" s="173" t="b">
        <v>0</v>
      </c>
      <c r="AK43" s="174" t="b">
        <v>0</v>
      </c>
      <c r="AL43" s="175" t="b">
        <v>0</v>
      </c>
      <c r="AM43" s="173" t="b">
        <v>0</v>
      </c>
      <c r="AN43" s="171" t="s">
        <v>1070</v>
      </c>
      <c r="AO43" s="173" t="b">
        <v>0</v>
      </c>
      <c r="AP43" s="173" t="b">
        <v>0</v>
      </c>
      <c r="AQ43" s="173" t="b">
        <v>0</v>
      </c>
      <c r="AR43" s="174" t="b">
        <v>0</v>
      </c>
      <c r="AS43" s="178" t="b">
        <v>0</v>
      </c>
      <c r="AT43" s="179" t="b">
        <v>0</v>
      </c>
      <c r="AU43" s="180" t="b">
        <v>0</v>
      </c>
      <c r="AV43" s="180" t="b">
        <v>0</v>
      </c>
      <c r="AW43" s="180" t="b">
        <v>0</v>
      </c>
      <c r="AX43" s="180" t="b">
        <v>0</v>
      </c>
      <c r="AY43" s="181" t="s">
        <v>1070</v>
      </c>
      <c r="AZ43" s="181" t="s">
        <v>1070</v>
      </c>
      <c r="BA43" s="184">
        <f>IFERROR(__xludf.DUMMYFUNCTION("IF(
  ISNUMBER(BA42),
  MIN(MAX(
    BA42
    + MAX(
      ROUNDDOWN((D44 - MAX(IFERROR(FILTER(D$24:D43, BA$24:BA42 &lt;&gt; AZ$6, BA$23:BA41 = AZ$6), 0))) * (60 * 60 * 24) / AZ$9) - ROUNDDOWN((D43 - MAX(IFERROR(FILTER(D$23:D42, BA$23:BA41 &lt;&gt; AZ$6, BA$22:BA40 ="&amp;" AZ$6), 0))) * (60 * 60 * 24) / AZ$9),
      0
    )
    - COUNTIF(AZ43, ""&lt;&gt;-""),
  0), AZ$6),
  AZ$6 - COUNTIF(AZ43, ""&lt;&gt;-"")
)"),2.0)</f>
        <v>2</v>
      </c>
      <c r="BB43" s="181" t="s">
        <v>1070</v>
      </c>
      <c r="BC43" s="183">
        <f>IFERROR(__xludf.DUMMYFUNCTION("IF(
  ISNUMBER(BC42),
  MIN(MAX(
    BC42
    + MAX(
      ROUNDDOWN(($D44 - MAX(IFERROR(FILTER($D$24:$D43, BC$24:BC42 &lt;&gt; BB$6, BC$23:BC41 = BB$6), 0))) * (60 * 60 * 24) / BB$9) - ROUNDDOWN(($D43 - MAX(IFERROR(FILTER($D$23:$D42, BC$23:BC41 &lt;&gt; BB$6, BC$22:"&amp;"BC40 = BB$6), 0))) * (60 * 60 * 24) / 60),
      0
    )
    - COUNTIF(BB43, ""&lt;&gt;-""),
  0), BB$6),
  BB$6 - COUNTIF(BB43, ""&lt;&gt;-"")
)"),2.0)</f>
        <v>2</v>
      </c>
      <c r="BD43" s="181" t="s">
        <v>1070</v>
      </c>
      <c r="BE43" s="178" t="b">
        <v>0</v>
      </c>
      <c r="BF43" s="180" t="b">
        <v>0</v>
      </c>
      <c r="BG43" s="180" t="b">
        <v>0</v>
      </c>
      <c r="BH43" s="180" t="b">
        <v>0</v>
      </c>
      <c r="BI43" s="180" t="b">
        <v>0</v>
      </c>
      <c r="BJ43" s="180" t="b">
        <v>0</v>
      </c>
      <c r="BK43" s="180" t="b">
        <v>0</v>
      </c>
      <c r="BL43" s="180" t="b">
        <v>0</v>
      </c>
      <c r="BM43" s="180" t="b">
        <v>0</v>
      </c>
      <c r="BN43" s="180" t="b">
        <v>0</v>
      </c>
      <c r="BO43" s="181" t="s">
        <v>1070</v>
      </c>
      <c r="BP43" s="181" t="s">
        <v>1070</v>
      </c>
      <c r="BQ43" s="181" t="s">
        <v>1070</v>
      </c>
      <c r="BR43" s="181" t="s">
        <v>1070</v>
      </c>
      <c r="BS43" s="181" t="s">
        <v>1070</v>
      </c>
      <c r="BT43" s="184">
        <f>IFERROR(__xludf.DUMMYFUNCTION("IF(
  ISNUMBER(BT42),
  MIN(MAX(
    BT42
    + MAX(
      ROUNDDOWN((D44 - MAX(IFERROR(FILTER(D$24:D43, BT$24:BT42 &lt;&gt; BS$6, BT$23:BT41 = BS$6), 0))) * (60 * 60 * 24) / BS$9) - ROUNDDOWN((D43 - MAX(IFERROR(FILTER(D$23:D42, BT$23:BT41 &lt;&gt; BS$6, BT$22:BT40 ="&amp;" BS$6), 0))) * (60 * 60 * 24) / BS$9),
      0
    )
    - COUNTIF(BS43, ""&lt;&gt;-""),
  0), BS$6),
  BS$6 - COUNTIF(BS43, ""&lt;&gt;-"")
)"),3.0)</f>
        <v>3</v>
      </c>
      <c r="BU43" s="181" t="s">
        <v>1070</v>
      </c>
      <c r="BV43" s="181" t="s">
        <v>1070</v>
      </c>
      <c r="BW43" s="184">
        <f>IFERROR(__xludf.DUMMYFUNCTION("IF(
  ISNUMBER(BW42),
  MIN(MAX(
    BW42
    + MAX(
      ROUNDDOWN((D44 - MAX(IFERROR(FILTER(D$24:D43, BW$24:BW42 &lt;&gt; BV$6, BW$23:BW41 = BV$6), 0))) * (60 * 60 * 24) / BV$9) - ROUNDDOWN((D43 - MAX(IFERROR(FILTER(D$23:D42, BW$23:BW41 &lt;&gt; BV$6, BW$22:BW40 ="&amp;" BV$6), 0))) * (60 * 60 * 24) / BV$9),
      0
    )
    - COUNTIF(BV43, ""&lt;&gt;-""),
  0), BV$6),
  BV$6 - COUNTIF(BV43, ""&lt;&gt;-"")
)"),2.0)</f>
        <v>2</v>
      </c>
      <c r="BX43" s="185" t="s">
        <v>1070</v>
      </c>
      <c r="BY43" s="178" t="b">
        <v>0</v>
      </c>
      <c r="BZ43" s="180" t="b">
        <v>0</v>
      </c>
      <c r="CA43" s="180" t="b">
        <v>0</v>
      </c>
      <c r="CB43" s="180" t="b">
        <v>0</v>
      </c>
      <c r="CC43" s="180" t="b">
        <v>0</v>
      </c>
      <c r="CD43" s="180" t="b">
        <v>0</v>
      </c>
      <c r="CE43" s="180" t="b">
        <v>0</v>
      </c>
      <c r="CF43" s="180" t="b">
        <v>0</v>
      </c>
      <c r="CG43" s="180" t="b">
        <v>0</v>
      </c>
      <c r="CH43" s="180" t="b">
        <v>0</v>
      </c>
      <c r="CI43" s="180" t="b">
        <v>0</v>
      </c>
      <c r="CJ43" s="180" t="b">
        <v>0</v>
      </c>
      <c r="CK43" s="180" t="b">
        <v>0</v>
      </c>
      <c r="CL43" s="180" t="b">
        <v>0</v>
      </c>
      <c r="CM43" s="181" t="s">
        <v>1070</v>
      </c>
      <c r="CN43" s="181" t="s">
        <v>1070</v>
      </c>
      <c r="CO43" s="181" t="s">
        <v>1070</v>
      </c>
      <c r="CP43" s="181" t="s">
        <v>1070</v>
      </c>
      <c r="CQ43" s="185" t="s">
        <v>1070</v>
      </c>
      <c r="CR43" s="180" t="b">
        <v>0</v>
      </c>
      <c r="CS43" s="186" t="str">
        <f t="shared" si="3"/>
        <v>◇◇◇</v>
      </c>
      <c r="CT43" s="178" t="b">
        <v>0</v>
      </c>
      <c r="CU43" s="180" t="b">
        <v>0</v>
      </c>
      <c r="CV43" s="180" t="b">
        <v>0</v>
      </c>
      <c r="CW43" s="180" t="b">
        <v>0</v>
      </c>
      <c r="CX43" s="180" t="b">
        <v>0</v>
      </c>
      <c r="CY43" s="180" t="b">
        <v>0</v>
      </c>
      <c r="CZ43" s="180" t="b">
        <v>0</v>
      </c>
      <c r="DA43" s="180" t="b">
        <v>0</v>
      </c>
      <c r="DB43" s="180" t="b">
        <v>0</v>
      </c>
      <c r="DC43" s="180" t="b">
        <v>0</v>
      </c>
      <c r="DD43" s="181" t="s">
        <v>1070</v>
      </c>
      <c r="DE43" s="181" t="s">
        <v>1070</v>
      </c>
      <c r="DF43" s="181" t="s">
        <v>1070</v>
      </c>
      <c r="DG43" s="185" t="s">
        <v>1070</v>
      </c>
      <c r="DH43" s="180" t="b">
        <v>0</v>
      </c>
      <c r="DI43" s="187" t="str">
        <f>IFERROR(__xludf.DUMMYFUNCTION("SWITCH(
  IF(
    ISTEXT(DI42),
    IF (
      FIND(""○"", DI42&amp;""○"") &gt; 3,
      3,
      FIND(""○"", DI42&amp;""○"")
      + MAX(
        ROUNDDOWN(($D44 - MAX(IFERROR(FILTER(D$24:D43, DI$24:DI42 &lt;&gt; ""●●●"", DI$23:DI41 = ""●●●""), 0))) * (60 * 60 * 24) / 20"&amp;") - ROUNDDOWN(($D43 - MAX(IFERROR(FILTER(D$23:D42, DI$23:DI41 &lt;&gt; ""●●●"", DI$22:DI40 = ""●●●""), 0))) * (60 * 60 * 24) / 20),
        0
      ) - 1
    ) - COUNTIFS(CU43, ""=TRUE"", CU42, ""&lt;&gt;TRUE"") - COUNTIF(CZ43, ""=TRUE"") - COUNTIF({DD43,DE43}, ""&lt;&gt;-"&amp;""") + COUNTIF(DH43, ""=TRUE""),
    3
  ),
  0, ""○○○"", 1, ""●○○"", 2, ""●●○"", 3, ""●●●"", 4, ""●●●"", ""○○○""
)"),"●●●")</f>
        <v>●●●</v>
      </c>
      <c r="DJ43" s="188" t="b">
        <v>0</v>
      </c>
      <c r="DK43" s="189" t="b">
        <v>0</v>
      </c>
      <c r="DL43" s="190" t="b">
        <v>0</v>
      </c>
      <c r="DM43" s="190" t="b">
        <v>0</v>
      </c>
      <c r="DN43" s="190" t="b">
        <v>0</v>
      </c>
      <c r="DO43" s="190" t="b">
        <v>0</v>
      </c>
      <c r="DP43" s="190" t="b">
        <v>0</v>
      </c>
      <c r="DQ43" s="191" t="b">
        <v>0</v>
      </c>
      <c r="DR43" s="192" t="b">
        <v>0</v>
      </c>
      <c r="DS43" s="191" t="b">
        <v>0</v>
      </c>
      <c r="DT43" s="192" t="b">
        <v>0</v>
      </c>
      <c r="DU43" s="191" t="b">
        <v>0</v>
      </c>
      <c r="DV43" s="193" t="s">
        <v>1070</v>
      </c>
      <c r="DW43" s="194" t="b">
        <v>0</v>
      </c>
      <c r="DX43" s="194" t="b">
        <v>0</v>
      </c>
      <c r="DY43" s="195" t="b">
        <v>0</v>
      </c>
      <c r="DZ43" s="196" t="b">
        <v>0</v>
      </c>
      <c r="EA43" s="195" t="b">
        <v>0</v>
      </c>
      <c r="EB43" s="197" t="b">
        <v>0</v>
      </c>
      <c r="EC43" s="197" t="b">
        <v>0</v>
      </c>
      <c r="ED43" s="212" t="b">
        <v>0</v>
      </c>
      <c r="EE43" s="199">
        <f>IFERROR(__xludf.DUMMYFUNCTION("IFERROR(
   PRODUCT(
     MAP(
       INDEX(TRANSPOSE(UNIQUE(TRANSPOSE(FILTER({IF($F43=""Physical"", K$10:ED$10, IF($F43=""Magic"", K$11:ED$11, K$12:ED$12));K$4:ED$4;K43:ED43}, K43:ED43=TRUE)))), 1, 0),
       INDEX(TRANSPOSE(UNIQUE(TRANSPOSE(FILTER({IF($"&amp;"F43=""Physical"", K$18:ED$18, IF($F43=""Magic"", K$19:ED$19, K$20:ED$20));K$4:ED$4;K43:ED43}, K43:ED43=TRUE)))), 1, 0),
       INDEX(TRANSPOSE(UNIQUE(TRANSPOSE(FILTER({K$5:ED$5;K$4:ED$4;K43:ED43}, K43:ED43=TRUE)))), 1, 0),
       INDEX(TRANSPOSE(UNIQUE(TR"&amp;"ANSPOSE(FILTER({K$17:ED$17;K$4:ED$4;K43:ED43}, K43:ED43=TRUE)))), 1, 0),
       LAMBDA(
         mitigation,
         enhance,
         assign,
         precondition,
         IF(
           REGEXMATCH(assign, ""RANGE_PARTY|SINGLE_ENEMY|RANGE_ENEMY""),
  "&amp;"         IF(
             OR(ARRAYFORMULA((IF(precondition="""", FALSE, REGEXMATCH(K$4:ED$4, precondition))) * (K43:ED43=TRUE))),
             IF(ISNUMBER(enhance), enhance, 1),
             IF(ISNUMBER(mitigation), mitigation, 1)
           ),
          "&amp;" 1
         )
       )
     )
   ),
   1
 )"),1.0)</f>
        <v>1</v>
      </c>
      <c r="EF43" s="200">
        <f>IFERROR(__xludf.DUMMYFUNCTION("PRODUCT(
   MAP(
     K$14:ED$14,
     K$13:ED$13,
     K43:ED43,
     LAMBDA(
       buff,
       target,
       check,
       IF(
         AND(check=TRUE, REGEXMATCH(target, ""RANGE_AFFECTED_ALL|RANGE_EFFECTED_ALL""), ISNUMBER(buff)),
         buff,
   "&amp;"      1
       )
     )
   )
 )"),1.0)</f>
        <v>1</v>
      </c>
      <c r="EG43" s="200">
        <f>IFERROR(__xludf.DUMMYFUNCTION("PRODUCT(
   MAP(
     K$14:ED$14,
     K$13:ED$13,
     K43:ED43,
     LAMBDA(
       buff,
       target,
       check,
       IF(
         AND(check=TRUE, REGEXMATCH(target, ""RANGE_AFFECTED_GCD|RANGE_EFFECTED_GCD""), ISNUMBER(buff)),
         buff,
   "&amp;"      1
       )
     )
   )
 )"),1.0)</f>
        <v>1</v>
      </c>
      <c r="EH43" s="200">
        <f>IFERROR(__xludf.DUMMYFUNCTION("PRODUCT(
   MAP(
     K$3:ED$3,
     K$14:ED$14,
     K$13:ED$13,
     K43:ED43,
     LAMBDA(
       job,
       buff,
       target,
       check,
       IF(
         AND(check=TRUE, REGEXMATCH(target, ""SELF_EFFECTED_ALL""), ISNUMBER(buff), job=""白魔道士"""&amp;"),
         buff,
         1
       )
     )
   )
 )"),1.0)</f>
        <v>1</v>
      </c>
      <c r="EI43" s="200">
        <f>IFERROR(__xludf.DUMMYFUNCTION("PRODUCT(
   MAP(
     K$3:ED$3,
     K$14:ED$14,
     K$13:ED$13,
     K43:ED43,
     LAMBDA(
       job,
       buff,
       target,
       check,
       IF(
         AND(check=TRUE, REGEXMATCH(target, ""SELF_EFFECTED_GCD""), ISNUMBER(buff), job=""白魔道士"""&amp;"),
         buff,
         1
       )
     )
   )
 )"),1.0)</f>
        <v>1</v>
      </c>
      <c r="EJ43" s="200">
        <f>IFERROR(__xludf.DUMMYFUNCTION("PRODUCT(
   MAP(
     K$3:ED$3,
     K$14:ED$14,
     K$13:ED$13,
     K43:ED43,
     LAMBDA(
       job,
       buff,
       target,
       check,
       IF(
         AND(check=TRUE, REGEXMATCH(target, ""SELF_EFFECTED_ALL""), ISNUMBER(buff), job=""占星術師"""&amp;"),
         buff,
         1
       )
     )
   )
 )"),1.0)</f>
        <v>1</v>
      </c>
      <c r="EK43" s="200">
        <f>IFERROR(__xludf.DUMMYFUNCTION("PRODUCT(
   MAP(
     K$3:ED$3,
     K$14:ED$14,
     K$13:ED$13,
     K43:ED43,
     LAMBDA(
       job,
       buff,
       target,
       check,
       IF(
         AND(check=TRUE, REGEXMATCH(target, ""SELF_EFFECTED_GCD""), ISNUMBER(buff), job=""占星術師"""&amp;"),
         buff,
         1
       )
     )
   )
 )"),1.0)</f>
        <v>1</v>
      </c>
      <c r="EL43" s="200">
        <f>IFERROR(__xludf.DUMMYFUNCTION("PRODUCT(
   MAP(
     K$3:ED$3,
     K$14:ED$14,
     K$13:ED$13,
     K43:ED43,
     LAMBDA(
       job,
       buff,
       target,
       check,
       IF(
         AND(check=TRUE, REGEXMATCH(target, ""SELF_EFFECTED_ALL""), ISNUMBER(buff), job=""学者""),"&amp;"
         buff,
         1
       )
     )
   )
 )"),1.0)</f>
        <v>1</v>
      </c>
      <c r="EM43" s="200">
        <f>IFERROR(__xludf.DUMMYFUNCTION("PRODUCT(
   MAP(
     K$3:ED$3,
     K$14:ED$14,
     K$13:ED$13,
     K43:ED43,
     LAMBDA(
       job,
       buff,
       target,
       check,
       IF(
         AND(check=TRUE, REGEXMATCH(target, ""SELF_EFFECTED_GCD""), ISNUMBER(buff), job=""学者""),"&amp;"
         buff,
         1
       )
     )
   )
 )"),1.0)</f>
        <v>1</v>
      </c>
      <c r="EN43" s="200">
        <f>IFERROR(__xludf.DUMMYFUNCTION("PRODUCT(
   MAP(
     K$3:ED$3,
     K$14:ED$14,
     K$13:ED$13,
     K43:ED43,
     LAMBDA(
       job,
       buff,
       target,
       check,
       IF(
         AND(check=TRUE, REGEXMATCH(target, ""SELF_EFFECTED_ALL""), ISNUMBER(buff), job=""賢者""),"&amp;"
         buff,
         1
       )
     )
   )
 )"),1.0)</f>
        <v>1</v>
      </c>
      <c r="EO43" s="200">
        <f>IFERROR(__xludf.DUMMYFUNCTION("PRODUCT(
   MAP(
     K$3:ED$3,
     K$14:ED$14,
     K$13:ED$13,
     K43:ED43,
     LAMBDA(
       job,
       buff,
       target,
       check,
       IF(
         AND(check=TRUE, REGEXMATCH(target, ""SELF_EFFECTED_GCD""), ISNUMBER(buff), job=""賢者""),"&amp;"
         buff,
         1
       )
     )
   )
 )"),1.0)</f>
        <v>1</v>
      </c>
      <c r="EP43" s="201">
        <f t="shared" si="4"/>
        <v>2000</v>
      </c>
      <c r="EQ43" s="201">
        <f>IFERROR(__xludf.DUMMYFUNCTION("SUM(
   MAP(
     K$4:ED$4,
     K$3:ED$3,
     K$7:ED$7,
     K$15:ED$15,
     K$16:ED$16,
     K$21:ED$21,
     K$5:ED$5,
     K$17:ED$17,
     K43:ED43,
     LAMBDA(
       name,
       job,
       abillity,
       buff,
       barrier,
       enhance,"&amp;"
       assign,
       precondition,
       check,
       SWITCH(
         name,
         ""シェイクオフ"", IF(check=TRUE, buff + (0.02 * COUNTIF(ARRAYFORMULA((REGEXMATCH($K$4:$ED$4, ""スリル・オブ・バトル|ヴェンジェンス|原初の血気|ダムネーション"")) * (K43:ED43=TRUE)), 1)), 0),
         "&amp;"""インプロビゼーションフィニッシュ(踊りの激情0)"", IF(ISNUMBER(check), INDEX(Skill!$AJ:$AJ, MATCH(SUBSTITUTE(DV$4, 0, check), Skill!$C:$C, 0)), 0),
         IF(
           AND(check=TRUE, REGEXMATCH(assign, ""RANGE_PARTY"")),
           IF(
             OR(ARRAYFORMULA((IF(pr"&amp;"econdition="""", FALSE, REGEXMATCH($K$4:$ED$4, precondition))) * (K43:ED43=TRUE))),
             enhance,
             IF(barrier="""", buff, barrier)
           ),
           0
         )
       ) *
       SWITCH(
         job,
         ""ナイト"", EY$24,
 "&amp;"        ""戦士"", FD$24,
         ""踊り子"", ET$24,
         ""ピクトマンサー"", ET$24,
         ""白魔道士"", EF43 * EH43 * IF(abillity, 1, EG43 * EI43) * (Option!$D$22 * 0.81 / 100),
         ""占星術師"", EF43 * EJ43 * IF(abillity, 1, EG43 * EK43) * (Option!$D$23 * 0.81 "&amp;"/ 100),
         ""学者"", EF43 * EL43 * IF(abillity, 1, EG43 * EM43) * (Option!$D$24 * 0.81 / 100),
         ""賢者"", EF43 * EN43 * IF(abillity, 1, EG43 * EO43) * (Option!$D$25 * 0.81 / 100),
         1
       )
     )
   )
 )"),0.0)</f>
        <v>0</v>
      </c>
      <c r="ER43" s="202">
        <f t="shared" si="5"/>
        <v>2000</v>
      </c>
      <c r="ES43" s="203">
        <f t="shared" si="6"/>
        <v>0</v>
      </c>
      <c r="ET43" s="204" t="str">
        <f>IFERROR(__xludf.DUMMYFUNCTION("IFS(
  EP43 &gt; $ET$24 + EQ43,
  SPARKLINE({ 1, 0 }, {""charttype"",""bar"";""max"", 1;""color1"",Option!$D$30;""color2"",Option!$D$30}),
  EP43 &lt; EQ43,
  SPARKLINE({EQ43 - EP43, $ET$24 - (EQ43 - EP43)}, {""charttype"",""bar"";""max"",$ET$24;""color1"",Opti"&amp;"on!$D$28;""color2"",Option!$D$29}),
  EP43 &gt;= EQ43,
  SPARKLINE({$ET$24 + EQ43 - EP43,EP43 - EQ43}, {""charttype"",""bar"";""max"",$ET$24;""color1"",Option!$D$29;""color2"",Option!$D$30})
)"),"")</f>
        <v/>
      </c>
      <c r="EU43" s="205">
        <f>IFERROR(__xludf.DUMMYFUNCTION("PRODUCT(
   MAP(
     IF($F43=""Physical"", K$10:ED$10, IF($F43=""Magic"", K$11:ED$11, K$12:ED$12)),
     IF($F43=""Physical"", K$18:ED$18, IF($F43=""Magic"", K$19:ED$19, K$20:ED$20)),
     K$3:ED$3,
     K$5:ED$5,
     K$17:ED$17,
     K43:ED43,
     LAM"&amp;"BDA(
       mitigation,
       enhance,
       job,
       assign,
       precondition,
       check,
       IF(
         OR(AND(check=TRUE, REGEXMATCH(assign, ""SELF""), job=""ナイト""), AND(check=Option!$E$13, REGEXMATCH(assign, ""SINGLE_PARTY""))),
      "&amp;"   IF(
           OR(ARRAYFORMULA((IF(precondition="""", FALSE, REGEXMATCH($K$4:$ED$4, precondition))) * (K43:ED43=TRUE))),
           enhance,
           mitigation
         ),
         1
       )
     )
   )
 ) * EE43"),1.0)</f>
        <v>1</v>
      </c>
      <c r="EV43" s="206">
        <f t="shared" si="7"/>
        <v>1600</v>
      </c>
      <c r="EW43" s="205">
        <f>IFERROR(__xludf.DUMMYFUNCTION("PRODUCT(
   MAP(
     K$3:ED$3,
     K$14:ED$14,
     K$13:ED$13,
     K43:ED43,
     LAMBDA(
       job,
       buff,
       target,
       check,
       IF(
         OR(AND(check=TRUE, REGEXMATCH(target, ""SELF_AFFECTED_ALL""), job=""ナイト""), AND(check=O"&amp;"ption!$E$13, REGEXMATCH(target, ""SINGLE_AFFECTED_ALL""))),
         buff,
         1
       )
     )
   )
 )"),1.0)</f>
        <v>1</v>
      </c>
      <c r="EX43" s="206">
        <f>IFERROR(__xludf.DUMMYFUNCTION("SUM(
   MAP(
     K$3:ED$3,
     K$7:ED$7,
     K$15:ED$15,
     K$16:ED$16,
     K$21:ED$21,
     K$5:ED$5,
     K$17:ED$17,
     K43:ED43,
     LAMBDA(
       job,
       abillity,
       buff,
       barrier,
       enhance,
       assign,
       preco"&amp;"ndition,
       check,
       IF(
         OR(AND(check=TRUE, REGEXMATCH(assign, ""SELF""), job=""ナイト""), AND(check=Option!$E$13, REGEXMATCH(assign, ""SINGLE_PARTY""))),
         IF(
           OR(ARRAYFORMULA((IF(precondition="""", FALSE, REGEXMATCH($K$4"&amp;":$ED$4, precondition))) * (K43:ED43=TRUE))),
           enhance,
           IF(barrier="""", buff, barrier)
         ),
         0
       ) *
       SWITCH(
         job,
         ""暗黒騎士"", EY$24,
         ""白魔道士"", EF43 * EH43 * EW43 * IF(abillity, 1, EG"&amp;"43 * EI43) * (Option!$D$22 * 0.81 / 100),
         ""占星術師"", EF43 * EJ43 * EW43 * IF(abillity, 1, EG43 * EK43) * (Option!$D$23 * 0.81 / 100),
         ""学者"", EF43 * EL43 * EW43 * IF(abillity, 1, EG43 * EM43) * (Option!$D$24 * 0.81 / 100),
         ""賢者"""&amp;", EF43 * EN43 * EW43 * IF(abillity, 1, EG43 * EO43) * (Option!$D$25 * 0.81 / 100),
         1
       )
     )
   )
 ) + EQ43"),0.0)</f>
        <v>0</v>
      </c>
      <c r="EY43" s="206">
        <f t="shared" si="8"/>
        <v>1600</v>
      </c>
      <c r="EZ43" s="205">
        <f>IFERROR(__xludf.DUMMYFUNCTION("PRODUCT(
   MAP(
     IF($F43=""Physical"", K$10:ED$10, IF($F43=""Magic"", K$11:ED$11, K$12:ED$12)),
     IF($F43=""Physical"", K$18:ED$18, IF($F43=""Magic"", K$19:ED$19, K$20:ED$20)),
     K$3:ED$3,
     K$5:ED$5,
     K$17:ED$17,
     K43:ED43,
     LAM"&amp;"BDA(
       mitigation,
       enhance,
       job,
       assign,
       precondition,
       check,
       IF(
         OR(AND(check=TRUE, REGEXMATCH(assign, ""SELF""), job=""戦士""), AND(check=Option!$F$13, REGEXMATCH(assign, ""SINGLE_PARTY""))),
       "&amp;"  IF(
           OR(ARRAYFORMULA((IF(precondition="""", FALSE, REGEXMATCH($K$4:$ED$4, precondition))) * (K43:ED43=TRUE))),
           enhance,
           mitigation
         ),
         1
       )
     )
   )
 ) * EE43"),1.0)</f>
        <v>1</v>
      </c>
      <c r="FA43" s="206">
        <f t="shared" si="9"/>
        <v>1600</v>
      </c>
      <c r="FB43" s="205">
        <f>IFERROR(__xludf.DUMMYFUNCTION("PRODUCT(
   MAP(
     K$3:ED$3,
     K$14:ED$14,
     K$13:ED$13,
     K43:ED43,
     LAMBDA(
       job,
       buff,
       target,
       check,
       IF(
         OR(AND(check=TRUE, REGEXMATCH(target, ""SELF_AFFECTED_ALL""), job=""戦士""), AND(check=Op"&amp;"tion!$F$13, REGEXMATCH(target, ""SINGLE_AFFECTED_ALL""))),
         buff,
         1
       )
     )
   )
 )"),1.0)</f>
        <v>1</v>
      </c>
      <c r="FC43" s="206">
        <f>IFERROR(__xludf.DUMMYFUNCTION("SUM(
   MAP(
     K$3:ED$3,
     K$7:ED$7,
     K$15:ED$15,
     K$16:ED$16,
     K$21:ED$21,
     K$5:ED$5,
     K$17:ED$17,
     K43:ED43,
     LAMBDA(
       job,
       abillity,
       buff,
       barrier,
       enhance,
       assign,
       preco"&amp;"ndition,
       check,
       IF(
         OR(AND(check=TRUE, REGEXMATCH(assign, ""SELF""), job=""戦士""), AND(check=Option!$F$13, REGEXMATCH(assign, ""SINGLE_PARTY""))),
         IF(
           OR(ARRAYFORMULA((IF(precondition="""", FALSE, REGEXMATCH($K$4:"&amp;"$ED$4, precondition))) * (K43:ED43=TRUE))),
           enhance,
           IF(barrier="""", buff, barrier)
         ),
         0
       ) *
       SWITCH(
         job,
         ""暗黒騎士"", FD$24,
         ""白魔道士"", EF43 * EH43 * FB43 * IF(abillity, 1, EG4"&amp;"3 * EI43) * (Option!$D$22 * 0.81 / 100),
         ""占星術師"", EF43 * EJ43 * FFB43 * IF(abillity, 1, EG43 * EK43) * (Option!$D$23 * 0.81 / 100),
         ""学者"", EF43 * EL43 * FB43 * IF(abillity, 1, EG43 * EM43) * (Option!$D$24 * 0.81 / 100),
         ""賢者"""&amp;", EF43 * EN43 * FB43 * IF(abillity, 1, EG43 * EO43) * (Option!$D$25 * 0.81 / 100),
         1
       )
     )
   )
 ) + EQ43"),0.0)</f>
        <v>0</v>
      </c>
      <c r="FD43" s="206">
        <f t="shared" si="10"/>
        <v>1600</v>
      </c>
      <c r="FE43" s="205">
        <f>IFERROR(__xludf.DUMMYFUNCTION("PRODUCT(
   MAP(
     IF($F43=""Physical"", K$10:ED$10, IF($F43=""Magic"", K$11:ED$11, K$12:ED$12)),
     IF($F43=""Physical"", K$18:ED$18, IF($F43=""Magic"", K$19:ED$19, K$20:ED$20)),
     K$3:ED$3,
     K$5:ED$5,
     K$17:ED$17,
     K43:ED43,
     LAM"&amp;"BDA(
       mitigation,
       enhance,
       job,
       assign,
       precondition,
       check,
       IF(
         OR(AND(check=TRUE, REGEXMATCH(assign, ""SELF""), job=""暗黒騎士""), AND(check=Option!$G$13, REGEXMATCH(assign, ""SINGLE_PARTY""))),
     "&amp;"    IF(
           OR(ARRAYFORMULA((IF(precondition="""", FALSE, REGEXMATCH($K$4:$ED$4, precondition))) * (K43:ED43=TRUE))),
           enhance,
           mitigation
         ),
         1
       )
     )
   )
 ) * EE43"),1.0)</f>
        <v>1</v>
      </c>
      <c r="FF43" s="206">
        <f t="shared" si="11"/>
        <v>1600</v>
      </c>
      <c r="FG43" s="205">
        <f>IFERROR(__xludf.DUMMYFUNCTION("PRODUCT(
   MAP(
     K$3:ED$3,
     K$14:ED$14,
     K$13:ED$13,
     K43:ED43,
     LAMBDA(
       job,
       buff,
       target,
       check,
       IF(
         OR(AND(check=TRUE, REGEXMATCH(target, ""SELF_AFFECTED_ALL""), job=""暗黒騎士""), AND(check="&amp;"Option!$G$13, REGEXMATCH(target, ""SINGLE_AFFECTED_ALL""))),
         buff,
         1
       )
     )
   )
 )"),1.0)</f>
        <v>1</v>
      </c>
      <c r="FH43" s="206">
        <f>IFERROR(__xludf.DUMMYFUNCTION("SUM(
   MAP(
     K$3:ED$3,
     K$7:ED$7,
     K$15:ED$15,
     K$16:ED$16,
     K$21:ED$21,
     K$5:ED$5,
     K$17:ED$17,
     K43:ED43,
     LAMBDA(
       job,
       abillity,
       buff,
       barrier,
       enhance,
       assign,
       preco"&amp;"ndition,
       check,
       IF(
         OR(AND(check=TRUE, REGEXMATCH(assign, ""SELF""), job=""暗黒騎士""), AND(check=Option!$G$13, REGEXMATCH(assign, ""SINGLE_PARTY""))),
         IF(
           OR(ARRAYFORMULA((IF(precondition="""", FALSE, REGEXMATCH($K$"&amp;"4:$ED$4, precondition))) * (K43:ED43=TRUE))),
           enhance,
           IF(barrier="""", buff, barrier)
         ),
         0
       ) *
       SWITCH(
         job,
         ""暗黒騎士"", FI$24,
         ""白魔道士"", EF43 * EH43 * FG43 * IF(abillity, 1, E"&amp;"G43 * EI43) * (Option!$D$22 * 0.81 / 100),
         ""占星術師"", EF43 * EJ43 * FG43 * IF(abillity, 1, EG43 * EK43) * (Option!$D$23 * 0.81 / 100),
         ""学者"", EF43 * EL43 * FG43 * IF(abillity, 1, EG43 * EM43) * (Option!$D$24 * 0.81 / 100),
         ""賢者"&amp;""", EF43 * EN43 * FG43 * IF(abillity, 1, EG43 * EO43) * (Option!$D$25 * 0.81 / 100),
         1
       )
     )
   )
 ) + EQ43"),0.0)</f>
        <v>0</v>
      </c>
      <c r="FI43" s="206">
        <f t="shared" si="12"/>
        <v>1600</v>
      </c>
      <c r="FJ43" s="205">
        <f>IFERROR(__xludf.DUMMYFUNCTION("PRODUCT(
   MAP(
     IF($F43=""Physical"", K$10:ED$10, IF($F43=""Magic"", K$11:ED$11, K$12:ED$12)),
     IF($F43=""Physical"", K$18:ED$18, IF($F43=""Magic"", K$19:ED$19, K$20:ED$20)),
     K$3:ED$3,
     K$5:ED$5,
     K$17:ED$17,
     K43:ED43,
     LAM"&amp;"BDA(
       mitigation,
       enhance,
       job,
       assign,
       precondition,
       check,
       IF(
         OR(AND(check=TRUE, REGEXMATCH(assign, ""SELF""), job=""ガンブレイカー""), AND(check=Option!$H$13, REGEXMATCH(assign, ""SINGLE_PARTY""))),
  "&amp;"       IF(
           OR(ARRAYFORMULA((IF(precondition="""", FALSE, REGEXMATCH($K$4:$ED$4, precondition))) * (K43:ED43=TRUE))),
           enhance,
           mitigation
         ),
         1
       )
     )
   )
 ) * EE43"),1.0)</f>
        <v>1</v>
      </c>
      <c r="FK43" s="206">
        <f t="shared" si="13"/>
        <v>1600</v>
      </c>
      <c r="FL43" s="205">
        <f>IFERROR(__xludf.DUMMYFUNCTION("PRODUCT(
   MAP(
     K$3:ED$3,
     K$14:ED$14,
     K$13:ED$13,
     K43:ED43,
     LAMBDA(
       job,
       buff,
       target,
       check,
       IF(
         OR(AND(check=TRUE, REGEXMATCH(target, ""SELF_AFFECTED_ALL""), job=""ガンブレイカー""), AND(che"&amp;"ck=Option!$H$13, REGEXMATCH(target, ""SINGLE_AFFECTED_ALL""))),
         buff,
         1
       )
     )
   )
 )"),1.0)</f>
        <v>1</v>
      </c>
      <c r="FM43" s="206">
        <f>IFERROR(__xludf.DUMMYFUNCTION("SUM(
   MAP(
     K$3:ED$3,
     K$7:ED$7,
     K$15:ED$15,
     K$16:ED$16,
     K$21:ED$21,
     K$5:ED$5,
     K$17:ED$17,
     K43:ED43,
     LAMBDA(
       job,
       abillity,
       buff,
       barrier,
       enhance,
       assign,
       preco"&amp;"ndition,
       check,
       IF(
         OR(AND(check=TRUE, REGEXMATCH(assign, ""SELF""), job=""ガンブレイカー""), AND(check=Option!$H$13, REGEXMATCH(assign, ""SINGLE_PARTY""))),
         IF(
           OR(ARRAYFORMULA((IF(precondition="""", FALSE, REGEXMATCH("&amp;"$K$4:$ED$4, precondition))) * (K43:ED43=TRUE))),
           enhance,
           IF(barrier="""", buff, barrier)
         ),
         0
       ) *
       SWITCH(
         job,
         ""暗黒騎士"", FN$24,
         ""白魔道士"", EF43 * EH43 * FL43 * IF(abillity, 1"&amp;", EG43 * EI43) * (Option!$D$22 * 0.81 / 100),
         ""占星術師"", EF43 * EJ43 * FL43 * IF(abillity, 1, EG43 * EK43) * (Option!$D$23 * 0.81 / 100),
         ""学者"", EF43 * EL43 * FL43 * IF(abillity, 1, EG43 * EM43) * (Option!$D$24 * 0.81 / 100),
         """&amp;"賢者"", EF43 * EN43 * FL43 * IF(abillity, 1, EG43 * EO43) * (Option!$D$25 * 0.81 / 100),
         1
       )
     )
   )
 ) + EQ43"),0.0)</f>
        <v>0</v>
      </c>
      <c r="FN43" s="206">
        <f t="shared" si="14"/>
        <v>1600</v>
      </c>
      <c r="FO43" s="213"/>
    </row>
    <row r="44">
      <c r="B44" s="208"/>
      <c r="C44" s="217">
        <f t="shared" si="1"/>
        <v>0.001469907407</v>
      </c>
      <c r="D44" s="224">
        <v>0.0014699074074074074</v>
      </c>
      <c r="E44" s="227" t="s">
        <v>1082</v>
      </c>
      <c r="F44" s="167" t="s">
        <v>11</v>
      </c>
      <c r="G44" s="168" t="str">
        <f t="shared" si="15"/>
        <v/>
      </c>
      <c r="H44" s="169"/>
      <c r="I44" s="169"/>
      <c r="J44" s="169"/>
      <c r="K44" s="170" t="b">
        <v>0</v>
      </c>
      <c r="L44" s="170" t="b">
        <v>0</v>
      </c>
      <c r="M44" s="170" t="b">
        <v>0</v>
      </c>
      <c r="N44" s="171" t="s">
        <v>1070</v>
      </c>
      <c r="O44" s="172" t="b">
        <v>0</v>
      </c>
      <c r="P44" s="173" t="b">
        <v>0</v>
      </c>
      <c r="Q44" s="173" t="b">
        <v>0</v>
      </c>
      <c r="R44" s="173" t="b">
        <v>0</v>
      </c>
      <c r="S44" s="174" t="b">
        <v>0</v>
      </c>
      <c r="T44" s="175" t="b">
        <v>0</v>
      </c>
      <c r="U44" s="173" t="b">
        <v>0</v>
      </c>
      <c r="V44" s="171" t="s">
        <v>1070</v>
      </c>
      <c r="W44" s="172" t="b">
        <v>0</v>
      </c>
      <c r="X44" s="173" t="b">
        <v>0</v>
      </c>
      <c r="Y44" s="173" t="b">
        <v>0</v>
      </c>
      <c r="Z44" s="173" t="b">
        <v>0</v>
      </c>
      <c r="AA44" s="174" t="b">
        <v>0</v>
      </c>
      <c r="AB44" s="174" t="b">
        <v>0</v>
      </c>
      <c r="AC44" s="175" t="b">
        <v>0</v>
      </c>
      <c r="AD44" s="173" t="b">
        <v>0</v>
      </c>
      <c r="AE44" s="176" t="s">
        <v>1070</v>
      </c>
      <c r="AF44" s="171" t="s">
        <v>1070</v>
      </c>
      <c r="AG44" s="177">
        <f>IFERROR(__xludf.DUMMYFUNCTION("IF(
  ISNUMBER(AG43),
  MIN(MAX(
    AG43
    + MAX(
      ROUNDDOWN(($D45 - MAX(IFERROR(FILTER($D$24:$D44, AG$24:AG43 &lt;&gt; AF$6, AG$23:AG42 = AF$6), 0))) * (60 * 60 * 24) / AF$9) - ROUNDDOWN(($D44 - MAX(IFERROR(FILTER($D$23:$D43, AG$23:AG42 &lt;&gt; AF$6, AG$22:"&amp;"AG41 = AF$6), 0))) * (60 * 60 * 24) / 60),
      0
    )
    - COUNTIF(AF44, ""&lt;&gt;-""),
  0), AF$6),
  AF$6 - COUNTIF(AF44, ""&lt;&gt;-"")
)"),2.0)</f>
        <v>2</v>
      </c>
      <c r="AH44" s="173" t="b">
        <v>0</v>
      </c>
      <c r="AI44" s="173" t="b">
        <v>0</v>
      </c>
      <c r="AJ44" s="173" t="b">
        <v>0</v>
      </c>
      <c r="AK44" s="174" t="b">
        <v>0</v>
      </c>
      <c r="AL44" s="175" t="b">
        <v>0</v>
      </c>
      <c r="AM44" s="173" t="b">
        <v>0</v>
      </c>
      <c r="AN44" s="171" t="s">
        <v>1070</v>
      </c>
      <c r="AO44" s="173" t="b">
        <v>0</v>
      </c>
      <c r="AP44" s="173" t="b">
        <v>0</v>
      </c>
      <c r="AQ44" s="173" t="b">
        <v>0</v>
      </c>
      <c r="AR44" s="174" t="b">
        <v>0</v>
      </c>
      <c r="AS44" s="178" t="b">
        <v>0</v>
      </c>
      <c r="AT44" s="179" t="b">
        <v>0</v>
      </c>
      <c r="AU44" s="180" t="b">
        <v>0</v>
      </c>
      <c r="AV44" s="180" t="b">
        <v>0</v>
      </c>
      <c r="AW44" s="180" t="b">
        <v>0</v>
      </c>
      <c r="AX44" s="180" t="b">
        <v>0</v>
      </c>
      <c r="AY44" s="181" t="s">
        <v>1070</v>
      </c>
      <c r="AZ44" s="181" t="s">
        <v>1070</v>
      </c>
      <c r="BA44" s="184">
        <f>IFERROR(__xludf.DUMMYFUNCTION("IF(
  ISNUMBER(BA43),
  MIN(MAX(
    BA43
    + MAX(
      ROUNDDOWN((D45 - MAX(IFERROR(FILTER(D$24:D44, BA$24:BA43 &lt;&gt; AZ$6, BA$23:BA42 = AZ$6), 0))) * (60 * 60 * 24) / AZ$9) - ROUNDDOWN((D44 - MAX(IFERROR(FILTER(D$23:D43, BA$23:BA42 &lt;&gt; AZ$6, BA$22:BA41 ="&amp;" AZ$6), 0))) * (60 * 60 * 24) / AZ$9),
      0
    )
    - COUNTIF(AZ44, ""&lt;&gt;-""),
  0), AZ$6),
  AZ$6 - COUNTIF(AZ44, ""&lt;&gt;-"")
)"),2.0)</f>
        <v>2</v>
      </c>
      <c r="BB44" s="181" t="s">
        <v>1070</v>
      </c>
      <c r="BC44" s="183">
        <f>IFERROR(__xludf.DUMMYFUNCTION("IF(
  ISNUMBER(BC43),
  MIN(MAX(
    BC43
    + MAX(
      ROUNDDOWN(($D45 - MAX(IFERROR(FILTER($D$24:$D44, BC$24:BC43 &lt;&gt; BB$6, BC$23:BC42 = BB$6), 0))) * (60 * 60 * 24) / BB$9) - ROUNDDOWN(($D44 - MAX(IFERROR(FILTER($D$23:$D43, BC$23:BC42 &lt;&gt; BB$6, BC$22:"&amp;"BC41 = BB$6), 0))) * (60 * 60 * 24) / 60),
      0
    )
    - COUNTIF(BB44, ""&lt;&gt;-""),
  0), BB$6),
  BB$6 - COUNTIF(BB44, ""&lt;&gt;-"")
)"),2.0)</f>
        <v>2</v>
      </c>
      <c r="BD44" s="181" t="s">
        <v>1070</v>
      </c>
      <c r="BE44" s="178" t="b">
        <v>0</v>
      </c>
      <c r="BF44" s="180" t="b">
        <v>0</v>
      </c>
      <c r="BG44" s="180" t="b">
        <v>0</v>
      </c>
      <c r="BH44" s="180" t="b">
        <v>0</v>
      </c>
      <c r="BI44" s="180" t="b">
        <v>0</v>
      </c>
      <c r="BJ44" s="180" t="b">
        <v>0</v>
      </c>
      <c r="BK44" s="180" t="b">
        <v>0</v>
      </c>
      <c r="BL44" s="180" t="b">
        <v>0</v>
      </c>
      <c r="BM44" s="180" t="b">
        <v>0</v>
      </c>
      <c r="BN44" s="180" t="b">
        <v>0</v>
      </c>
      <c r="BO44" s="181" t="s">
        <v>1070</v>
      </c>
      <c r="BP44" s="181" t="s">
        <v>1070</v>
      </c>
      <c r="BQ44" s="181" t="s">
        <v>1070</v>
      </c>
      <c r="BR44" s="181" t="s">
        <v>1070</v>
      </c>
      <c r="BS44" s="181" t="s">
        <v>1070</v>
      </c>
      <c r="BT44" s="184">
        <f>IFERROR(__xludf.DUMMYFUNCTION("IF(
  ISNUMBER(BT43),
  MIN(MAX(
    BT43
    + MAX(
      ROUNDDOWN((D45 - MAX(IFERROR(FILTER(D$24:D44, BT$24:BT43 &lt;&gt; BS$6, BT$23:BT42 = BS$6), 0))) * (60 * 60 * 24) / BS$9) - ROUNDDOWN((D44 - MAX(IFERROR(FILTER(D$23:D43, BT$23:BT42 &lt;&gt; BS$6, BT$22:BT41 ="&amp;" BS$6), 0))) * (60 * 60 * 24) / BS$9),
      0
    )
    - COUNTIF(BS44, ""&lt;&gt;-""),
  0), BS$6),
  BS$6 - COUNTIF(BS44, ""&lt;&gt;-"")
)"),3.0)</f>
        <v>3</v>
      </c>
      <c r="BU44" s="181" t="s">
        <v>1070</v>
      </c>
      <c r="BV44" s="181" t="s">
        <v>1070</v>
      </c>
      <c r="BW44" s="184">
        <f>IFERROR(__xludf.DUMMYFUNCTION("IF(
  ISNUMBER(BW43),
  MIN(MAX(
    BW43
    + MAX(
      ROUNDDOWN((D45 - MAX(IFERROR(FILTER(D$24:D44, BW$24:BW43 &lt;&gt; BV$6, BW$23:BW42 = BV$6), 0))) * (60 * 60 * 24) / BV$9) - ROUNDDOWN((D44 - MAX(IFERROR(FILTER(D$23:D43, BW$23:BW42 &lt;&gt; BV$6, BW$22:BW41 ="&amp;" BV$6), 0))) * (60 * 60 * 24) / BV$9),
      0
    )
    - COUNTIF(BV44, ""&lt;&gt;-""),
  0), BV$6),
  BV$6 - COUNTIF(BV44, ""&lt;&gt;-"")
)"),2.0)</f>
        <v>2</v>
      </c>
      <c r="BX44" s="185" t="s">
        <v>1070</v>
      </c>
      <c r="BY44" s="178" t="b">
        <v>0</v>
      </c>
      <c r="BZ44" s="180" t="b">
        <v>0</v>
      </c>
      <c r="CA44" s="180" t="b">
        <v>0</v>
      </c>
      <c r="CB44" s="180" t="b">
        <v>0</v>
      </c>
      <c r="CC44" s="180" t="b">
        <v>0</v>
      </c>
      <c r="CD44" s="180" t="b">
        <v>0</v>
      </c>
      <c r="CE44" s="180" t="b">
        <v>0</v>
      </c>
      <c r="CF44" s="180" t="b">
        <v>0</v>
      </c>
      <c r="CG44" s="180" t="b">
        <v>0</v>
      </c>
      <c r="CH44" s="180" t="b">
        <v>0</v>
      </c>
      <c r="CI44" s="180" t="b">
        <v>0</v>
      </c>
      <c r="CJ44" s="180" t="b">
        <v>0</v>
      </c>
      <c r="CK44" s="180" t="b">
        <v>0</v>
      </c>
      <c r="CL44" s="180" t="b">
        <v>0</v>
      </c>
      <c r="CM44" s="181" t="s">
        <v>1070</v>
      </c>
      <c r="CN44" s="181" t="s">
        <v>1070</v>
      </c>
      <c r="CO44" s="181" t="s">
        <v>1070</v>
      </c>
      <c r="CP44" s="181" t="s">
        <v>1070</v>
      </c>
      <c r="CQ44" s="185" t="s">
        <v>1070</v>
      </c>
      <c r="CR44" s="180" t="b">
        <v>0</v>
      </c>
      <c r="CS44" s="186" t="str">
        <f t="shared" si="3"/>
        <v>◇◇◇</v>
      </c>
      <c r="CT44" s="178" t="b">
        <v>0</v>
      </c>
      <c r="CU44" s="180" t="b">
        <v>0</v>
      </c>
      <c r="CV44" s="180" t="b">
        <v>0</v>
      </c>
      <c r="CW44" s="180" t="b">
        <v>0</v>
      </c>
      <c r="CX44" s="180" t="b">
        <v>0</v>
      </c>
      <c r="CY44" s="180" t="b">
        <v>0</v>
      </c>
      <c r="CZ44" s="180" t="b">
        <v>0</v>
      </c>
      <c r="DA44" s="180" t="b">
        <v>0</v>
      </c>
      <c r="DB44" s="180" t="b">
        <v>0</v>
      </c>
      <c r="DC44" s="180" t="b">
        <v>0</v>
      </c>
      <c r="DD44" s="181" t="s">
        <v>1070</v>
      </c>
      <c r="DE44" s="181" t="s">
        <v>1070</v>
      </c>
      <c r="DF44" s="181" t="s">
        <v>1070</v>
      </c>
      <c r="DG44" s="185" t="s">
        <v>1070</v>
      </c>
      <c r="DH44" s="180" t="b">
        <v>0</v>
      </c>
      <c r="DI44" s="187" t="str">
        <f>IFERROR(__xludf.DUMMYFUNCTION("SWITCH(
  IF(
    ISTEXT(DI43),
    IF (
      FIND(""○"", DI43&amp;""○"") &gt; 3,
      3,
      FIND(""○"", DI43&amp;""○"")
      + MAX(
        ROUNDDOWN(($D45 - MAX(IFERROR(FILTER(D$24:D44, DI$24:DI43 &lt;&gt; ""●●●"", DI$23:DI42 = ""●●●""), 0))) * (60 * 60 * 24) / 20"&amp;") - ROUNDDOWN(($D44 - MAX(IFERROR(FILTER(D$23:D43, DI$23:DI42 &lt;&gt; ""●●●"", DI$22:DI41 = ""●●●""), 0))) * (60 * 60 * 24) / 20),
        0
      ) - 1
    ) - COUNTIFS(CU44, ""=TRUE"", CU43, ""&lt;&gt;TRUE"") - COUNTIF(CZ44, ""=TRUE"") - COUNTIF({DD44,DE44}, ""&lt;&gt;-"&amp;""") + COUNTIF(DH44, ""=TRUE""),
    3
  ),
  0, ""○○○"", 1, ""●○○"", 2, ""●●○"", 3, ""●●●"", 4, ""●●●"", ""○○○""
)"),"●●●")</f>
        <v>●●●</v>
      </c>
      <c r="DJ44" s="188" t="b">
        <v>0</v>
      </c>
      <c r="DK44" s="189" t="b">
        <v>0</v>
      </c>
      <c r="DL44" s="190" t="b">
        <v>0</v>
      </c>
      <c r="DM44" s="190" t="b">
        <v>0</v>
      </c>
      <c r="DN44" s="190" t="b">
        <v>0</v>
      </c>
      <c r="DO44" s="190" t="b">
        <v>0</v>
      </c>
      <c r="DP44" s="190" t="b">
        <v>0</v>
      </c>
      <c r="DQ44" s="191" t="b">
        <v>0</v>
      </c>
      <c r="DR44" s="192" t="b">
        <v>0</v>
      </c>
      <c r="DS44" s="191" t="b">
        <v>0</v>
      </c>
      <c r="DT44" s="192" t="b">
        <v>0</v>
      </c>
      <c r="DU44" s="191" t="b">
        <v>0</v>
      </c>
      <c r="DV44" s="193" t="s">
        <v>1070</v>
      </c>
      <c r="DW44" s="194" t="b">
        <v>0</v>
      </c>
      <c r="DX44" s="194" t="b">
        <v>0</v>
      </c>
      <c r="DY44" s="195" t="b">
        <v>0</v>
      </c>
      <c r="DZ44" s="196" t="b">
        <v>0</v>
      </c>
      <c r="EA44" s="195" t="b">
        <v>0</v>
      </c>
      <c r="EB44" s="197" t="b">
        <v>0</v>
      </c>
      <c r="EC44" s="197" t="b">
        <v>0</v>
      </c>
      <c r="ED44" s="212" t="b">
        <v>0</v>
      </c>
      <c r="EE44" s="199">
        <f>IFERROR(__xludf.DUMMYFUNCTION("IFERROR(
   PRODUCT(
     MAP(
       INDEX(TRANSPOSE(UNIQUE(TRANSPOSE(FILTER({IF($F44=""Physical"", K$10:ED$10, IF($F44=""Magic"", K$11:ED$11, K$12:ED$12));K$4:ED$4;K44:ED44}, K44:ED44=TRUE)))), 1, 0),
       INDEX(TRANSPOSE(UNIQUE(TRANSPOSE(FILTER({IF($"&amp;"F44=""Physical"", K$18:ED$18, IF($F44=""Magic"", K$19:ED$19, K$20:ED$20));K$4:ED$4;K44:ED44}, K44:ED44=TRUE)))), 1, 0),
       INDEX(TRANSPOSE(UNIQUE(TRANSPOSE(FILTER({K$5:ED$5;K$4:ED$4;K44:ED44}, K44:ED44=TRUE)))), 1, 0),
       INDEX(TRANSPOSE(UNIQUE(TR"&amp;"ANSPOSE(FILTER({K$17:ED$17;K$4:ED$4;K44:ED44}, K44:ED44=TRUE)))), 1, 0),
       LAMBDA(
         mitigation,
         enhance,
         assign,
         precondition,
         IF(
           REGEXMATCH(assign, ""RANGE_PARTY|SINGLE_ENEMY|RANGE_ENEMY""),
  "&amp;"         IF(
             OR(ARRAYFORMULA((IF(precondition="""", FALSE, REGEXMATCH(K$4:ED$4, precondition))) * (K44:ED44=TRUE))),
             IF(ISNUMBER(enhance), enhance, 1),
             IF(ISNUMBER(mitigation), mitigation, 1)
           ),
          "&amp;" 1
         )
       )
     )
   ),
   1
 )"),1.0)</f>
        <v>1</v>
      </c>
      <c r="EF44" s="200">
        <f>IFERROR(__xludf.DUMMYFUNCTION("PRODUCT(
   MAP(
     K$14:ED$14,
     K$13:ED$13,
     K44:ED44,
     LAMBDA(
       buff,
       target,
       check,
       IF(
         AND(check=TRUE, REGEXMATCH(target, ""RANGE_AFFECTED_ALL|RANGE_EFFECTED_ALL""), ISNUMBER(buff)),
         buff,
   "&amp;"      1
       )
     )
   )
 )"),1.0)</f>
        <v>1</v>
      </c>
      <c r="EG44" s="200">
        <f>IFERROR(__xludf.DUMMYFUNCTION("PRODUCT(
   MAP(
     K$14:ED$14,
     K$13:ED$13,
     K44:ED44,
     LAMBDA(
       buff,
       target,
       check,
       IF(
         AND(check=TRUE, REGEXMATCH(target, ""RANGE_AFFECTED_GCD|RANGE_EFFECTED_GCD""), ISNUMBER(buff)),
         buff,
   "&amp;"      1
       )
     )
   )
 )"),1.0)</f>
        <v>1</v>
      </c>
      <c r="EH44" s="200">
        <f>IFERROR(__xludf.DUMMYFUNCTION("PRODUCT(
   MAP(
     K$3:ED$3,
     K$14:ED$14,
     K$13:ED$13,
     K44:ED44,
     LAMBDA(
       job,
       buff,
       target,
       check,
       IF(
         AND(check=TRUE, REGEXMATCH(target, ""SELF_EFFECTED_ALL""), ISNUMBER(buff), job=""白魔道士"""&amp;"),
         buff,
         1
       )
     )
   )
 )"),1.0)</f>
        <v>1</v>
      </c>
      <c r="EI44" s="200">
        <f>IFERROR(__xludf.DUMMYFUNCTION("PRODUCT(
   MAP(
     K$3:ED$3,
     K$14:ED$14,
     K$13:ED$13,
     K44:ED44,
     LAMBDA(
       job,
       buff,
       target,
       check,
       IF(
         AND(check=TRUE, REGEXMATCH(target, ""SELF_EFFECTED_GCD""), ISNUMBER(buff), job=""白魔道士"""&amp;"),
         buff,
         1
       )
     )
   )
 )"),1.0)</f>
        <v>1</v>
      </c>
      <c r="EJ44" s="200">
        <f>IFERROR(__xludf.DUMMYFUNCTION("PRODUCT(
   MAP(
     K$3:ED$3,
     K$14:ED$14,
     K$13:ED$13,
     K44:ED44,
     LAMBDA(
       job,
       buff,
       target,
       check,
       IF(
         AND(check=TRUE, REGEXMATCH(target, ""SELF_EFFECTED_ALL""), ISNUMBER(buff), job=""占星術師"""&amp;"),
         buff,
         1
       )
     )
   )
 )"),1.0)</f>
        <v>1</v>
      </c>
      <c r="EK44" s="200">
        <f>IFERROR(__xludf.DUMMYFUNCTION("PRODUCT(
   MAP(
     K$3:ED$3,
     K$14:ED$14,
     K$13:ED$13,
     K44:ED44,
     LAMBDA(
       job,
       buff,
       target,
       check,
       IF(
         AND(check=TRUE, REGEXMATCH(target, ""SELF_EFFECTED_GCD""), ISNUMBER(buff), job=""占星術師"""&amp;"),
         buff,
         1
       )
     )
   )
 )"),1.0)</f>
        <v>1</v>
      </c>
      <c r="EL44" s="200">
        <f>IFERROR(__xludf.DUMMYFUNCTION("PRODUCT(
   MAP(
     K$3:ED$3,
     K$14:ED$14,
     K$13:ED$13,
     K44:ED44,
     LAMBDA(
       job,
       buff,
       target,
       check,
       IF(
         AND(check=TRUE, REGEXMATCH(target, ""SELF_EFFECTED_ALL""), ISNUMBER(buff), job=""学者""),"&amp;"
         buff,
         1
       )
     )
   )
 )"),1.0)</f>
        <v>1</v>
      </c>
      <c r="EM44" s="200">
        <f>IFERROR(__xludf.DUMMYFUNCTION("PRODUCT(
   MAP(
     K$3:ED$3,
     K$14:ED$14,
     K$13:ED$13,
     K44:ED44,
     LAMBDA(
       job,
       buff,
       target,
       check,
       IF(
         AND(check=TRUE, REGEXMATCH(target, ""SELF_EFFECTED_GCD""), ISNUMBER(buff), job=""学者""),"&amp;"
         buff,
         1
       )
     )
   )
 )"),1.0)</f>
        <v>1</v>
      </c>
      <c r="EN44" s="200">
        <f>IFERROR(__xludf.DUMMYFUNCTION("PRODUCT(
   MAP(
     K$3:ED$3,
     K$14:ED$14,
     K$13:ED$13,
     K44:ED44,
     LAMBDA(
       job,
       buff,
       target,
       check,
       IF(
         AND(check=TRUE, REGEXMATCH(target, ""SELF_EFFECTED_ALL""), ISNUMBER(buff), job=""賢者""),"&amp;"
         buff,
         1
       )
     )
   )
 )"),1.0)</f>
        <v>1</v>
      </c>
      <c r="EO44" s="200">
        <f>IFERROR(__xludf.DUMMYFUNCTION("PRODUCT(
   MAP(
     K$3:ED$3,
     K$14:ED$14,
     K$13:ED$13,
     K44:ED44,
     LAMBDA(
       job,
       buff,
       target,
       check,
       IF(
         AND(check=TRUE, REGEXMATCH(target, ""SELF_EFFECTED_GCD""), ISNUMBER(buff), job=""賢者""),"&amp;"
         buff,
         1
       )
     )
   )
 )"),1.0)</f>
        <v>1</v>
      </c>
      <c r="EP44" s="201">
        <f t="shared" si="4"/>
        <v>0</v>
      </c>
      <c r="EQ44" s="201">
        <f>IFERROR(__xludf.DUMMYFUNCTION("SUM(
   MAP(
     K$4:ED$4,
     K$3:ED$3,
     K$7:ED$7,
     K$15:ED$15,
     K$16:ED$16,
     K$21:ED$21,
     K$5:ED$5,
     K$17:ED$17,
     K44:ED44,
     LAMBDA(
       name,
       job,
       abillity,
       buff,
       barrier,
       enhance,"&amp;"
       assign,
       precondition,
       check,
       SWITCH(
         name,
         ""シェイクオフ"", IF(check=TRUE, buff + (0.02 * COUNTIF(ARRAYFORMULA((REGEXMATCH($K$4:$ED$4, ""スリル・オブ・バトル|ヴェンジェンス|原初の血気|ダムネーション"")) * (K44:ED44=TRUE)), 1)), 0),
         "&amp;"""インプロビゼーションフィニッシュ(踊りの激情0)"", IF(ISNUMBER(check), INDEX(Skill!$AJ:$AJ, MATCH(SUBSTITUTE(DV$4, 0, check), Skill!$C:$C, 0)), 0),
         IF(
           AND(check=TRUE, REGEXMATCH(assign, ""RANGE_PARTY"")),
           IF(
             OR(ARRAYFORMULA((IF(pr"&amp;"econdition="""", FALSE, REGEXMATCH($K$4:$ED$4, precondition))) * (K44:ED44=TRUE))),
             enhance,
             IF(barrier="""", buff, barrier)
           ),
           0
         )
       ) *
       SWITCH(
         job,
         ""ナイト"", EY$24,
 "&amp;"        ""戦士"", FD$24,
         ""踊り子"", ET$24,
         ""ピクトマンサー"", ET$24,
         ""白魔道士"", EF44 * EH44 * IF(abillity, 1, EG44 * EI44) * (Option!$D$22 * 0.81 / 100),
         ""占星術師"", EF44 * EJ44 * IF(abillity, 1, EG44 * EK44) * (Option!$D$23 * 0.81 "&amp;"/ 100),
         ""学者"", EF44 * EL44 * IF(abillity, 1, EG44 * EM44) * (Option!$D$24 * 0.81 / 100),
         ""賢者"", EF44 * EN44 * IF(abillity, 1, EG44 * EO44) * (Option!$D$25 * 0.81 / 100),
         1
       )
     )
   )
 )"),0.0)</f>
        <v>0</v>
      </c>
      <c r="ER44" s="202">
        <f t="shared" si="5"/>
        <v>0</v>
      </c>
      <c r="ES44" s="203">
        <f t="shared" si="6"/>
        <v>0</v>
      </c>
      <c r="ET44" s="204" t="str">
        <f>IFERROR(__xludf.DUMMYFUNCTION("IFS(
  EP44 &gt; $ET$24 + EQ44,
  SPARKLINE({ 1, 0 }, {""charttype"",""bar"";""max"", 1;""color1"",Option!$D$30;""color2"",Option!$D$30}),
  EP44 &lt; EQ44,
  SPARKLINE({EQ44 - EP44, $ET$24 - (EQ44 - EP44)}, {""charttype"",""bar"";""max"",$ET$24;""color1"",Opti"&amp;"on!$D$28;""color2"",Option!$D$29}),
  EP44 &gt;= EQ44,
  SPARKLINE({$ET$24 + EQ44 - EP44,EP44 - EQ44}, {""charttype"",""bar"";""max"",$ET$24;""color1"",Option!$D$29;""color2"",Option!$D$30})
)"),"")</f>
        <v/>
      </c>
      <c r="EU44" s="205">
        <f>IFERROR(__xludf.DUMMYFUNCTION("PRODUCT(
   MAP(
     IF($F44=""Physical"", K$10:ED$10, IF($F44=""Magic"", K$11:ED$11, K$12:ED$12)),
     IF($F44=""Physical"", K$18:ED$18, IF($F44=""Magic"", K$19:ED$19, K$20:ED$20)),
     K$3:ED$3,
     K$5:ED$5,
     K$17:ED$17,
     K44:ED44,
     LAM"&amp;"BDA(
       mitigation,
       enhance,
       job,
       assign,
       precondition,
       check,
       IF(
         OR(AND(check=TRUE, REGEXMATCH(assign, ""SELF""), job=""ナイト""), AND(check=Option!$E$13, REGEXMATCH(assign, ""SINGLE_PARTY""))),
      "&amp;"   IF(
           OR(ARRAYFORMULA((IF(precondition="""", FALSE, REGEXMATCH($K$4:$ED$4, precondition))) * (K44:ED44=TRUE))),
           enhance,
           mitigation
         ),
         1
       )
     )
   )
 ) * EE44"),1.0)</f>
        <v>1</v>
      </c>
      <c r="EV44" s="206">
        <f t="shared" si="7"/>
        <v>0</v>
      </c>
      <c r="EW44" s="205">
        <f>IFERROR(__xludf.DUMMYFUNCTION("PRODUCT(
   MAP(
     K$3:ED$3,
     K$14:ED$14,
     K$13:ED$13,
     K44:ED44,
     LAMBDA(
       job,
       buff,
       target,
       check,
       IF(
         OR(AND(check=TRUE, REGEXMATCH(target, ""SELF_AFFECTED_ALL""), job=""ナイト""), AND(check=O"&amp;"ption!$E$13, REGEXMATCH(target, ""SINGLE_AFFECTED_ALL""))),
         buff,
         1
       )
     )
   )
 )"),1.0)</f>
        <v>1</v>
      </c>
      <c r="EX44" s="206">
        <f>IFERROR(__xludf.DUMMYFUNCTION("SUM(
   MAP(
     K$3:ED$3,
     K$7:ED$7,
     K$15:ED$15,
     K$16:ED$16,
     K$21:ED$21,
     K$5:ED$5,
     K$17:ED$17,
     K44:ED44,
     LAMBDA(
       job,
       abillity,
       buff,
       barrier,
       enhance,
       assign,
       preco"&amp;"ndition,
       check,
       IF(
         OR(AND(check=TRUE, REGEXMATCH(assign, ""SELF""), job=""ナイト""), AND(check=Option!$E$13, REGEXMATCH(assign, ""SINGLE_PARTY""))),
         IF(
           OR(ARRAYFORMULA((IF(precondition="""", FALSE, REGEXMATCH($K$4"&amp;":$ED$4, precondition))) * (K44:ED44=TRUE))),
           enhance,
           IF(barrier="""", buff, barrier)
         ),
         0
       ) *
       SWITCH(
         job,
         ""暗黒騎士"", EY$24,
         ""白魔道士"", EF44 * EH44 * EW44 * IF(abillity, 1, EG"&amp;"44 * EI44) * (Option!$D$22 * 0.81 / 100),
         ""占星術師"", EF44 * EJ44 * EW44 * IF(abillity, 1, EG44 * EK44) * (Option!$D$23 * 0.81 / 100),
         ""学者"", EF44 * EL44 * EW44 * IF(abillity, 1, EG44 * EM44) * (Option!$D$24 * 0.81 / 100),
         ""賢者"""&amp;", EF44 * EN44 * EW44 * IF(abillity, 1, EG44 * EO44) * (Option!$D$25 * 0.81 / 100),
         1
       )
     )
   )
 ) + EQ44"),0.0)</f>
        <v>0</v>
      </c>
      <c r="EY44" s="206">
        <f t="shared" si="8"/>
        <v>0</v>
      </c>
      <c r="EZ44" s="205">
        <f>IFERROR(__xludf.DUMMYFUNCTION("PRODUCT(
   MAP(
     IF($F44=""Physical"", K$10:ED$10, IF($F44=""Magic"", K$11:ED$11, K$12:ED$12)),
     IF($F44=""Physical"", K$18:ED$18, IF($F44=""Magic"", K$19:ED$19, K$20:ED$20)),
     K$3:ED$3,
     K$5:ED$5,
     K$17:ED$17,
     K44:ED44,
     LAM"&amp;"BDA(
       mitigation,
       enhance,
       job,
       assign,
       precondition,
       check,
       IF(
         OR(AND(check=TRUE, REGEXMATCH(assign, ""SELF""), job=""戦士""), AND(check=Option!$F$13, REGEXMATCH(assign, ""SINGLE_PARTY""))),
       "&amp;"  IF(
           OR(ARRAYFORMULA((IF(precondition="""", FALSE, REGEXMATCH($K$4:$ED$4, precondition))) * (K44:ED44=TRUE))),
           enhance,
           mitigation
         ),
         1
       )
     )
   )
 ) * EE44"),1.0)</f>
        <v>1</v>
      </c>
      <c r="FA44" s="206">
        <f t="shared" si="9"/>
        <v>0</v>
      </c>
      <c r="FB44" s="205">
        <f>IFERROR(__xludf.DUMMYFUNCTION("PRODUCT(
   MAP(
     K$3:ED$3,
     K$14:ED$14,
     K$13:ED$13,
     K44:ED44,
     LAMBDA(
       job,
       buff,
       target,
       check,
       IF(
         OR(AND(check=TRUE, REGEXMATCH(target, ""SELF_AFFECTED_ALL""), job=""戦士""), AND(check=Op"&amp;"tion!$F$13, REGEXMATCH(target, ""SINGLE_AFFECTED_ALL""))),
         buff,
         1
       )
     )
   )
 )"),1.0)</f>
        <v>1</v>
      </c>
      <c r="FC44" s="206">
        <f>IFERROR(__xludf.DUMMYFUNCTION("SUM(
   MAP(
     K$3:ED$3,
     K$7:ED$7,
     K$15:ED$15,
     K$16:ED$16,
     K$21:ED$21,
     K$5:ED$5,
     K$17:ED$17,
     K44:ED44,
     LAMBDA(
       job,
       abillity,
       buff,
       barrier,
       enhance,
       assign,
       preco"&amp;"ndition,
       check,
       IF(
         OR(AND(check=TRUE, REGEXMATCH(assign, ""SELF""), job=""戦士""), AND(check=Option!$F$13, REGEXMATCH(assign, ""SINGLE_PARTY""))),
         IF(
           OR(ARRAYFORMULA((IF(precondition="""", FALSE, REGEXMATCH($K$4:"&amp;"$ED$4, precondition))) * (K44:ED44=TRUE))),
           enhance,
           IF(barrier="""", buff, barrier)
         ),
         0
       ) *
       SWITCH(
         job,
         ""暗黒騎士"", FD$24,
         ""白魔道士"", EF44 * EH44 * FB44 * IF(abillity, 1, EG4"&amp;"4 * EI44) * (Option!$D$22 * 0.81 / 100),
         ""占星術師"", EF44 * EJ44 * FFB44 * IF(abillity, 1, EG44 * EK44) * (Option!$D$23 * 0.81 / 100),
         ""学者"", EF44 * EL44 * FB44 * IF(abillity, 1, EG44 * EM44) * (Option!$D$24 * 0.81 / 100),
         ""賢者"""&amp;", EF44 * EN44 * FB44 * IF(abillity, 1, EG44 * EO44) * (Option!$D$25 * 0.81 / 100),
         1
       )
     )
   )
 ) + EQ44"),0.0)</f>
        <v>0</v>
      </c>
      <c r="FD44" s="206">
        <f t="shared" si="10"/>
        <v>0</v>
      </c>
      <c r="FE44" s="205">
        <f>IFERROR(__xludf.DUMMYFUNCTION("PRODUCT(
   MAP(
     IF($F44=""Physical"", K$10:ED$10, IF($F44=""Magic"", K$11:ED$11, K$12:ED$12)),
     IF($F44=""Physical"", K$18:ED$18, IF($F44=""Magic"", K$19:ED$19, K$20:ED$20)),
     K$3:ED$3,
     K$5:ED$5,
     K$17:ED$17,
     K44:ED44,
     LAM"&amp;"BDA(
       mitigation,
       enhance,
       job,
       assign,
       precondition,
       check,
       IF(
         OR(AND(check=TRUE, REGEXMATCH(assign, ""SELF""), job=""暗黒騎士""), AND(check=Option!$G$13, REGEXMATCH(assign, ""SINGLE_PARTY""))),
     "&amp;"    IF(
           OR(ARRAYFORMULA((IF(precondition="""", FALSE, REGEXMATCH($K$4:$ED$4, precondition))) * (K44:ED44=TRUE))),
           enhance,
           mitigation
         ),
         1
       )
     )
   )
 ) * EE44"),1.0)</f>
        <v>1</v>
      </c>
      <c r="FF44" s="206">
        <f t="shared" si="11"/>
        <v>0</v>
      </c>
      <c r="FG44" s="205">
        <f>IFERROR(__xludf.DUMMYFUNCTION("PRODUCT(
   MAP(
     K$3:ED$3,
     K$14:ED$14,
     K$13:ED$13,
     K44:ED44,
     LAMBDA(
       job,
       buff,
       target,
       check,
       IF(
         OR(AND(check=TRUE, REGEXMATCH(target, ""SELF_AFFECTED_ALL""), job=""暗黒騎士""), AND(check="&amp;"Option!$G$13, REGEXMATCH(target, ""SINGLE_AFFECTED_ALL""))),
         buff,
         1
       )
     )
   )
 )"),1.0)</f>
        <v>1</v>
      </c>
      <c r="FH44" s="206">
        <f>IFERROR(__xludf.DUMMYFUNCTION("SUM(
   MAP(
     K$3:ED$3,
     K$7:ED$7,
     K$15:ED$15,
     K$16:ED$16,
     K$21:ED$21,
     K$5:ED$5,
     K$17:ED$17,
     K44:ED44,
     LAMBDA(
       job,
       abillity,
       buff,
       barrier,
       enhance,
       assign,
       preco"&amp;"ndition,
       check,
       IF(
         OR(AND(check=TRUE, REGEXMATCH(assign, ""SELF""), job=""暗黒騎士""), AND(check=Option!$G$13, REGEXMATCH(assign, ""SINGLE_PARTY""))),
         IF(
           OR(ARRAYFORMULA((IF(precondition="""", FALSE, REGEXMATCH($K$"&amp;"4:$ED$4, precondition))) * (K44:ED44=TRUE))),
           enhance,
           IF(barrier="""", buff, barrier)
         ),
         0
       ) *
       SWITCH(
         job,
         ""暗黒騎士"", FI$24,
         ""白魔道士"", EF44 * EH44 * FG44 * IF(abillity, 1, E"&amp;"G44 * EI44) * (Option!$D$22 * 0.81 / 100),
         ""占星術師"", EF44 * EJ44 * FG44 * IF(abillity, 1, EG44 * EK44) * (Option!$D$23 * 0.81 / 100),
         ""学者"", EF44 * EL44 * FG44 * IF(abillity, 1, EG44 * EM44) * (Option!$D$24 * 0.81 / 100),
         ""賢者"&amp;""", EF44 * EN44 * FG44 * IF(abillity, 1, EG44 * EO44) * (Option!$D$25 * 0.81 / 100),
         1
       )
     )
   )
 ) + EQ44"),0.0)</f>
        <v>0</v>
      </c>
      <c r="FI44" s="206">
        <f t="shared" si="12"/>
        <v>0</v>
      </c>
      <c r="FJ44" s="205">
        <f>IFERROR(__xludf.DUMMYFUNCTION("PRODUCT(
   MAP(
     IF($F44=""Physical"", K$10:ED$10, IF($F44=""Magic"", K$11:ED$11, K$12:ED$12)),
     IF($F44=""Physical"", K$18:ED$18, IF($F44=""Magic"", K$19:ED$19, K$20:ED$20)),
     K$3:ED$3,
     K$5:ED$5,
     K$17:ED$17,
     K44:ED44,
     LAM"&amp;"BDA(
       mitigation,
       enhance,
       job,
       assign,
       precondition,
       check,
       IF(
         OR(AND(check=TRUE, REGEXMATCH(assign, ""SELF""), job=""ガンブレイカー""), AND(check=Option!$H$13, REGEXMATCH(assign, ""SINGLE_PARTY""))),
  "&amp;"       IF(
           OR(ARRAYFORMULA((IF(precondition="""", FALSE, REGEXMATCH($K$4:$ED$4, precondition))) * (K44:ED44=TRUE))),
           enhance,
           mitigation
         ),
         1
       )
     )
   )
 ) * EE44"),1.0)</f>
        <v>1</v>
      </c>
      <c r="FK44" s="206">
        <f t="shared" si="13"/>
        <v>0</v>
      </c>
      <c r="FL44" s="205">
        <f>IFERROR(__xludf.DUMMYFUNCTION("PRODUCT(
   MAP(
     K$3:ED$3,
     K$14:ED$14,
     K$13:ED$13,
     K44:ED44,
     LAMBDA(
       job,
       buff,
       target,
       check,
       IF(
         OR(AND(check=TRUE, REGEXMATCH(target, ""SELF_AFFECTED_ALL""), job=""ガンブレイカー""), AND(che"&amp;"ck=Option!$H$13, REGEXMATCH(target, ""SINGLE_AFFECTED_ALL""))),
         buff,
         1
       )
     )
   )
 )"),1.0)</f>
        <v>1</v>
      </c>
      <c r="FM44" s="206">
        <f>IFERROR(__xludf.DUMMYFUNCTION("SUM(
   MAP(
     K$3:ED$3,
     K$7:ED$7,
     K$15:ED$15,
     K$16:ED$16,
     K$21:ED$21,
     K$5:ED$5,
     K$17:ED$17,
     K44:ED44,
     LAMBDA(
       job,
       abillity,
       buff,
       barrier,
       enhance,
       assign,
       preco"&amp;"ndition,
       check,
       IF(
         OR(AND(check=TRUE, REGEXMATCH(assign, ""SELF""), job=""ガンブレイカー""), AND(check=Option!$H$13, REGEXMATCH(assign, ""SINGLE_PARTY""))),
         IF(
           OR(ARRAYFORMULA((IF(precondition="""", FALSE, REGEXMATCH("&amp;"$K$4:$ED$4, precondition))) * (K44:ED44=TRUE))),
           enhance,
           IF(barrier="""", buff, barrier)
         ),
         0
       ) *
       SWITCH(
         job,
         ""暗黒騎士"", FN$24,
         ""白魔道士"", EF44 * EH44 * FL44 * IF(abillity, 1"&amp;", EG44 * EI44) * (Option!$D$22 * 0.81 / 100),
         ""占星術師"", EF44 * EJ44 * FL44 * IF(abillity, 1, EG44 * EK44) * (Option!$D$23 * 0.81 / 100),
         ""学者"", EF44 * EL44 * FL44 * IF(abillity, 1, EG44 * EM44) * (Option!$D$24 * 0.81 / 100),
         """&amp;"賢者"", EF44 * EN44 * FL44 * IF(abillity, 1, EG44 * EO44) * (Option!$D$25 * 0.81 / 100),
         1
       )
     )
   )
 ) + EQ44"),0.0)</f>
        <v>0</v>
      </c>
      <c r="FN44" s="206">
        <f t="shared" si="14"/>
        <v>0</v>
      </c>
      <c r="FO44" s="213"/>
    </row>
    <row r="45">
      <c r="B45" s="208"/>
      <c r="C45" s="217">
        <f t="shared" si="1"/>
        <v>0.00150462963</v>
      </c>
      <c r="D45" s="225">
        <v>0.0015046296296296296</v>
      </c>
      <c r="E45" s="228" t="s">
        <v>1083</v>
      </c>
      <c r="F45" s="167" t="s">
        <v>10</v>
      </c>
      <c r="G45" s="168" t="str">
        <f t="shared" si="15"/>
        <v/>
      </c>
      <c r="H45" s="169">
        <v>800.0</v>
      </c>
      <c r="I45" s="169"/>
      <c r="J45" s="169"/>
      <c r="K45" s="170" t="b">
        <v>0</v>
      </c>
      <c r="L45" s="170" t="b">
        <v>0</v>
      </c>
      <c r="M45" s="170" t="b">
        <v>0</v>
      </c>
      <c r="N45" s="171" t="s">
        <v>1070</v>
      </c>
      <c r="O45" s="172" t="b">
        <v>0</v>
      </c>
      <c r="P45" s="173" t="b">
        <v>0</v>
      </c>
      <c r="Q45" s="173" t="b">
        <v>0</v>
      </c>
      <c r="R45" s="173" t="b">
        <v>0</v>
      </c>
      <c r="S45" s="174" t="b">
        <v>0</v>
      </c>
      <c r="T45" s="175" t="b">
        <v>0</v>
      </c>
      <c r="U45" s="173" t="b">
        <v>0</v>
      </c>
      <c r="V45" s="171" t="s">
        <v>1070</v>
      </c>
      <c r="W45" s="172" t="b">
        <v>0</v>
      </c>
      <c r="X45" s="173" t="b">
        <v>0</v>
      </c>
      <c r="Y45" s="173" t="b">
        <v>0</v>
      </c>
      <c r="Z45" s="173" t="b">
        <v>0</v>
      </c>
      <c r="AA45" s="174" t="b">
        <v>0</v>
      </c>
      <c r="AB45" s="174" t="b">
        <v>0</v>
      </c>
      <c r="AC45" s="175" t="b">
        <v>0</v>
      </c>
      <c r="AD45" s="173" t="b">
        <v>0</v>
      </c>
      <c r="AE45" s="176" t="s">
        <v>1070</v>
      </c>
      <c r="AF45" s="171" t="s">
        <v>1070</v>
      </c>
      <c r="AG45" s="177">
        <f>IFERROR(__xludf.DUMMYFUNCTION("IF(
  ISNUMBER(#REF!),
  MIN(MAX(
    #REF!
    + MAX(
      ROUNDDOWN((#REF! - MAX(IFERROR(FILTER($D$24:$D45, AG$24:AG44 &lt;&gt; AF$6, AG$23:AG44 = AF$6), 0))) * (60 * 60 * 24) / AF$9) - ROUNDDOWN((#REF! - MAX(IFERROR(FILTER($D$23:$D45, AG$23:AG44 &lt;&gt; AF$6, AG"&amp;"$22:AG43 = AF$6), 0))) * (60 * 60 * 24) / 60),
      0
    )
    - COUNTIF(AF45, ""&lt;&gt;-""),
  0), AF$6),
  AF$6 - COUNTIF(AF45, ""&lt;&gt;-"")
)"),2.0)</f>
        <v>2</v>
      </c>
      <c r="AH45" s="173" t="b">
        <v>0</v>
      </c>
      <c r="AI45" s="173" t="b">
        <v>0</v>
      </c>
      <c r="AJ45" s="173" t="b">
        <v>0</v>
      </c>
      <c r="AK45" s="174" t="b">
        <v>0</v>
      </c>
      <c r="AL45" s="175" t="b">
        <v>0</v>
      </c>
      <c r="AM45" s="173" t="b">
        <v>0</v>
      </c>
      <c r="AN45" s="171" t="s">
        <v>1070</v>
      </c>
      <c r="AO45" s="173" t="b">
        <v>0</v>
      </c>
      <c r="AP45" s="173" t="b">
        <v>0</v>
      </c>
      <c r="AQ45" s="173" t="b">
        <v>0</v>
      </c>
      <c r="AR45" s="174" t="b">
        <v>0</v>
      </c>
      <c r="AS45" s="178" t="b">
        <v>0</v>
      </c>
      <c r="AT45" s="179" t="b">
        <v>0</v>
      </c>
      <c r="AU45" s="180" t="b">
        <v>0</v>
      </c>
      <c r="AV45" s="180" t="b">
        <v>0</v>
      </c>
      <c r="AW45" s="180" t="b">
        <v>0</v>
      </c>
      <c r="AX45" s="180" t="b">
        <v>0</v>
      </c>
      <c r="AY45" s="181" t="s">
        <v>1070</v>
      </c>
      <c r="AZ45" s="181" t="s">
        <v>1070</v>
      </c>
      <c r="BA45" s="184">
        <f>IFERROR(__xludf.DUMMYFUNCTION("IF(
  ISNUMBER(#REF!),
  MIN(MAX(
    #REF!
    + MAX(
      ROUNDDOWN((#REF! - MAX(IFERROR(FILTER(D$24:D45, BA$24:BA44 &lt;&gt; AZ$6, BA$23:BA44 = AZ$6), 0))) * (60 * 60 * 24) / AZ$9) - ROUNDDOWN((#REF! - MAX(IFERROR(FILTER(D$23:D45, BA$23:BA44 &lt;&gt; AZ$6, BA$22:"&amp;"BA43 = AZ$6), 0))) * (60 * 60 * 24) / AZ$9),
      0
    )
    - COUNTIF(AZ45, ""&lt;&gt;-""),
  0), AZ$6),
  AZ$6 - COUNTIF(AZ45, ""&lt;&gt;-"")
)"),2.0)</f>
        <v>2</v>
      </c>
      <c r="BB45" s="181" t="s">
        <v>1070</v>
      </c>
      <c r="BC45" s="183">
        <f>IFERROR(__xludf.DUMMYFUNCTION("IF(
  ISNUMBER(#REF!),
  MIN(MAX(
    #REF!
    + MAX(
      ROUNDDOWN((#REF! - MAX(IFERROR(FILTER($D$24:$D45, BC$24:BC44 &lt;&gt; BB$6, BC$23:BC44 = BB$6), 0))) * (60 * 60 * 24) / BB$9) - ROUNDDOWN((#REF! - MAX(IFERROR(FILTER($D$23:$D45, BC$23:BC44 &lt;&gt; BB$6, BC"&amp;"$22:BC43 = BB$6), 0))) * (60 * 60 * 24) / 60),
      0
    )
    - COUNTIF(BB45, ""&lt;&gt;-""),
  0), BB$6),
  BB$6 - COUNTIF(BB45, ""&lt;&gt;-"")
)"),2.0)</f>
        <v>2</v>
      </c>
      <c r="BD45" s="181" t="s">
        <v>1070</v>
      </c>
      <c r="BE45" s="178" t="b">
        <v>0</v>
      </c>
      <c r="BF45" s="180" t="b">
        <v>0</v>
      </c>
      <c r="BG45" s="180" t="b">
        <v>0</v>
      </c>
      <c r="BH45" s="180" t="b">
        <v>0</v>
      </c>
      <c r="BI45" s="180" t="b">
        <v>0</v>
      </c>
      <c r="BJ45" s="180" t="b">
        <v>0</v>
      </c>
      <c r="BK45" s="180" t="b">
        <v>0</v>
      </c>
      <c r="BL45" s="180" t="b">
        <v>0</v>
      </c>
      <c r="BM45" s="180" t="b">
        <v>0</v>
      </c>
      <c r="BN45" s="180" t="b">
        <v>0</v>
      </c>
      <c r="BO45" s="181" t="s">
        <v>1070</v>
      </c>
      <c r="BP45" s="181" t="s">
        <v>1070</v>
      </c>
      <c r="BQ45" s="181" t="s">
        <v>1070</v>
      </c>
      <c r="BR45" s="181" t="s">
        <v>1070</v>
      </c>
      <c r="BS45" s="181" t="s">
        <v>1070</v>
      </c>
      <c r="BT45" s="184">
        <f>IFERROR(__xludf.DUMMYFUNCTION("IF(
  ISNUMBER(#REF!),
  MIN(MAX(
    #REF!
    + MAX(
      ROUNDDOWN((#REF! - MAX(IFERROR(FILTER(D$24:D45, BT$24:BT44 &lt;&gt; BS$6, BT$23:BT44 = BS$6), 0))) * (60 * 60 * 24) / BS$9) - ROUNDDOWN((#REF! - MAX(IFERROR(FILTER(D$23:D45, BT$23:BT44 &lt;&gt; BS$6, BT$22:"&amp;"BT43 = BS$6), 0))) * (60 * 60 * 24) / BS$9),
      0
    )
    - COUNTIF(BS45, ""&lt;&gt;-""),
  0), BS$6),
  BS$6 - COUNTIF(BS45, ""&lt;&gt;-"")
)"),3.0)</f>
        <v>3</v>
      </c>
      <c r="BU45" s="181" t="s">
        <v>1070</v>
      </c>
      <c r="BV45" s="181" t="s">
        <v>1070</v>
      </c>
      <c r="BW45" s="184">
        <f>IFERROR(__xludf.DUMMYFUNCTION("IF(
  ISNUMBER(#REF!),
  MIN(MAX(
    #REF!
    + MAX(
      ROUNDDOWN((#REF! - MAX(IFERROR(FILTER(D$24:D45, BW$24:BW44 &lt;&gt; BV$6, BW$23:BW44 = BV$6), 0))) * (60 * 60 * 24) / BV$9) - ROUNDDOWN((#REF! - MAX(IFERROR(FILTER(D$23:D45, BW$23:BW44 &lt;&gt; BV$6, BW$22:"&amp;"BW43 = BV$6), 0))) * (60 * 60 * 24) / BV$9),
      0
    )
    - COUNTIF(BV45, ""&lt;&gt;-""),
  0), BV$6),
  BV$6 - COUNTIF(BV45, ""&lt;&gt;-"")
)"),2.0)</f>
        <v>2</v>
      </c>
      <c r="BX45" s="185" t="s">
        <v>1070</v>
      </c>
      <c r="BY45" s="178" t="b">
        <v>0</v>
      </c>
      <c r="BZ45" s="180" t="b">
        <v>0</v>
      </c>
      <c r="CA45" s="180" t="b">
        <v>0</v>
      </c>
      <c r="CB45" s="180" t="b">
        <v>0</v>
      </c>
      <c r="CC45" s="180" t="b">
        <v>0</v>
      </c>
      <c r="CD45" s="180" t="b">
        <v>0</v>
      </c>
      <c r="CE45" s="180" t="b">
        <v>0</v>
      </c>
      <c r="CF45" s="180" t="b">
        <v>0</v>
      </c>
      <c r="CG45" s="180" t="b">
        <v>0</v>
      </c>
      <c r="CH45" s="180" t="b">
        <v>0</v>
      </c>
      <c r="CI45" s="180" t="b">
        <v>0</v>
      </c>
      <c r="CJ45" s="180" t="b">
        <v>0</v>
      </c>
      <c r="CK45" s="180" t="b">
        <v>0</v>
      </c>
      <c r="CL45" s="180" t="b">
        <v>0</v>
      </c>
      <c r="CM45" s="181" t="s">
        <v>1070</v>
      </c>
      <c r="CN45" s="181" t="s">
        <v>1070</v>
      </c>
      <c r="CO45" s="181" t="s">
        <v>1070</v>
      </c>
      <c r="CP45" s="181" t="s">
        <v>1070</v>
      </c>
      <c r="CQ45" s="185" t="s">
        <v>1070</v>
      </c>
      <c r="CR45" s="180" t="b">
        <v>0</v>
      </c>
      <c r="CS45" s="186" t="str">
        <f t="shared" si="3"/>
        <v>◇◇◇</v>
      </c>
      <c r="CT45" s="178" t="b">
        <v>0</v>
      </c>
      <c r="CU45" s="180" t="b">
        <v>0</v>
      </c>
      <c r="CV45" s="180" t="b">
        <v>0</v>
      </c>
      <c r="CW45" s="180" t="b">
        <v>0</v>
      </c>
      <c r="CX45" s="180" t="b">
        <v>0</v>
      </c>
      <c r="CY45" s="180" t="b">
        <v>0</v>
      </c>
      <c r="CZ45" s="180" t="b">
        <v>0</v>
      </c>
      <c r="DA45" s="180" t="b">
        <v>0</v>
      </c>
      <c r="DB45" s="180" t="b">
        <v>0</v>
      </c>
      <c r="DC45" s="180" t="b">
        <v>0</v>
      </c>
      <c r="DD45" s="181" t="s">
        <v>1070</v>
      </c>
      <c r="DE45" s="181" t="s">
        <v>1070</v>
      </c>
      <c r="DF45" s="181" t="s">
        <v>1070</v>
      </c>
      <c r="DG45" s="185" t="s">
        <v>1070</v>
      </c>
      <c r="DH45" s="180" t="b">
        <v>0</v>
      </c>
      <c r="DI45" s="187" t="str">
        <f>IFERROR(__xludf.DUMMYFUNCTION("SWITCH(
  IF(
    ISTEXT(#REF!),
    IF (
      FIND(""○"", #REF!&amp;""○"") &gt; 3,
      3,
      FIND(""○"", #REF!&amp;""○"")
      + MAX(
        ROUNDDOWN((#REF! - MAX(IFERROR(FILTER(D$24:D45, DI$24:DI44 &lt;&gt; ""●●●"", DI$23:DI44 = ""●●●""), 0))) * (60 * 60 * 24) "&amp;"/ 20) - ROUNDDOWN((#REF! - MAX(IFERROR(FILTER(D$23:D45, DI$23:DI44 &lt;&gt; ""●●●"", DI$22:DI43 = ""●●●""), 0))) * (60 * 60 * 24) / 20),
        0
      ) - 1
    ) - COUNTIFS(CU45, ""=TRUE"", #REF!, ""&lt;&gt;TRUE"") - COUNTIF(CZ45, ""=TRUE"") - COUNTIF({DD45,DE45},"&amp;" ""&lt;&gt;-"") + COUNTIF(DH45, ""=TRUE""),
    3
  ),
  0, ""○○○"", 1, ""●○○"", 2, ""●●○"", 3, ""●●●"", 4, ""●●●"", ""○○○""
)"),"●●●")</f>
        <v>●●●</v>
      </c>
      <c r="DJ45" s="188" t="b">
        <v>0</v>
      </c>
      <c r="DK45" s="189" t="b">
        <v>0</v>
      </c>
      <c r="DL45" s="190" t="b">
        <v>0</v>
      </c>
      <c r="DM45" s="190" t="b">
        <v>0</v>
      </c>
      <c r="DN45" s="190" t="b">
        <v>0</v>
      </c>
      <c r="DO45" s="190" t="b">
        <v>0</v>
      </c>
      <c r="DP45" s="190" t="b">
        <v>0</v>
      </c>
      <c r="DQ45" s="191" t="b">
        <v>0</v>
      </c>
      <c r="DR45" s="192" t="b">
        <v>0</v>
      </c>
      <c r="DS45" s="191" t="b">
        <v>0</v>
      </c>
      <c r="DT45" s="192" t="b">
        <v>0</v>
      </c>
      <c r="DU45" s="191" t="b">
        <v>0</v>
      </c>
      <c r="DV45" s="193" t="s">
        <v>1070</v>
      </c>
      <c r="DW45" s="194" t="b">
        <v>0</v>
      </c>
      <c r="DX45" s="194" t="b">
        <v>0</v>
      </c>
      <c r="DY45" s="195" t="b">
        <v>0</v>
      </c>
      <c r="DZ45" s="196" t="b">
        <v>0</v>
      </c>
      <c r="EA45" s="195" t="b">
        <v>0</v>
      </c>
      <c r="EB45" s="197" t="b">
        <v>0</v>
      </c>
      <c r="EC45" s="197" t="b">
        <v>0</v>
      </c>
      <c r="ED45" s="212" t="b">
        <v>0</v>
      </c>
      <c r="EE45" s="199">
        <f>IFERROR(__xludf.DUMMYFUNCTION("IFERROR(
   PRODUCT(
     MAP(
       INDEX(TRANSPOSE(UNIQUE(TRANSPOSE(FILTER({IF($F45=""Physical"", K$10:ED$10, IF($F45=""Magic"", K$11:ED$11, K$12:ED$12));K$4:ED$4;K45:ED45}, K45:ED45=TRUE)))), 1, 0),
       INDEX(TRANSPOSE(UNIQUE(TRANSPOSE(FILTER({IF($"&amp;"F45=""Physical"", K$18:ED$18, IF($F45=""Magic"", K$19:ED$19, K$20:ED$20));K$4:ED$4;K45:ED45}, K45:ED45=TRUE)))), 1, 0),
       INDEX(TRANSPOSE(UNIQUE(TRANSPOSE(FILTER({K$5:ED$5;K$4:ED$4;K45:ED45}, K45:ED45=TRUE)))), 1, 0),
       INDEX(TRANSPOSE(UNIQUE(TR"&amp;"ANSPOSE(FILTER({K$17:ED$17;K$4:ED$4;K45:ED45}, K45:ED45=TRUE)))), 1, 0),
       LAMBDA(
         mitigation,
         enhance,
         assign,
         precondition,
         IF(
           REGEXMATCH(assign, ""RANGE_PARTY|SINGLE_ENEMY|RANGE_ENEMY""),
  "&amp;"         IF(
             OR(ARRAYFORMULA((IF(precondition="""", FALSE, REGEXMATCH(K$4:ED$4, precondition))) * (K45:ED45=TRUE))),
             IF(ISNUMBER(enhance), enhance, 1),
             IF(ISNUMBER(mitigation), mitigation, 1)
           ),
          "&amp;" 1
         )
       )
     )
   ),
   1
 )"),1.0)</f>
        <v>1</v>
      </c>
      <c r="EF45" s="200">
        <f>IFERROR(__xludf.DUMMYFUNCTION("PRODUCT(
   MAP(
     K$14:ED$14,
     K$13:ED$13,
     K45:ED45,
     LAMBDA(
       buff,
       target,
       check,
       IF(
         AND(check=TRUE, REGEXMATCH(target, ""RANGE_AFFECTED_ALL|RANGE_EFFECTED_ALL""), ISNUMBER(buff)),
         buff,
   "&amp;"      1
       )
     )
   )
 )"),1.0)</f>
        <v>1</v>
      </c>
      <c r="EG45" s="200">
        <f>IFERROR(__xludf.DUMMYFUNCTION("PRODUCT(
   MAP(
     K$14:ED$14,
     K$13:ED$13,
     K45:ED45,
     LAMBDA(
       buff,
       target,
       check,
       IF(
         AND(check=TRUE, REGEXMATCH(target, ""RANGE_AFFECTED_GCD|RANGE_EFFECTED_GCD""), ISNUMBER(buff)),
         buff,
   "&amp;"      1
       )
     )
   )
 )"),1.0)</f>
        <v>1</v>
      </c>
      <c r="EH45" s="200">
        <f>IFERROR(__xludf.DUMMYFUNCTION("PRODUCT(
   MAP(
     K$3:ED$3,
     K$14:ED$14,
     K$13:ED$13,
     K45:ED45,
     LAMBDA(
       job,
       buff,
       target,
       check,
       IF(
         AND(check=TRUE, REGEXMATCH(target, ""SELF_EFFECTED_ALL""), ISNUMBER(buff), job=""白魔道士"""&amp;"),
         buff,
         1
       )
     )
   )
 )"),1.0)</f>
        <v>1</v>
      </c>
      <c r="EI45" s="200">
        <f>IFERROR(__xludf.DUMMYFUNCTION("PRODUCT(
   MAP(
     K$3:ED$3,
     K$14:ED$14,
     K$13:ED$13,
     K45:ED45,
     LAMBDA(
       job,
       buff,
       target,
       check,
       IF(
         AND(check=TRUE, REGEXMATCH(target, ""SELF_EFFECTED_GCD""), ISNUMBER(buff), job=""白魔道士"""&amp;"),
         buff,
         1
       )
     )
   )
 )"),1.0)</f>
        <v>1</v>
      </c>
      <c r="EJ45" s="200">
        <f>IFERROR(__xludf.DUMMYFUNCTION("PRODUCT(
   MAP(
     K$3:ED$3,
     K$14:ED$14,
     K$13:ED$13,
     K45:ED45,
     LAMBDA(
       job,
       buff,
       target,
       check,
       IF(
         AND(check=TRUE, REGEXMATCH(target, ""SELF_EFFECTED_ALL""), ISNUMBER(buff), job=""占星術師"""&amp;"),
         buff,
         1
       )
     )
   )
 )"),1.0)</f>
        <v>1</v>
      </c>
      <c r="EK45" s="200">
        <f>IFERROR(__xludf.DUMMYFUNCTION("PRODUCT(
   MAP(
     K$3:ED$3,
     K$14:ED$14,
     K$13:ED$13,
     K45:ED45,
     LAMBDA(
       job,
       buff,
       target,
       check,
       IF(
         AND(check=TRUE, REGEXMATCH(target, ""SELF_EFFECTED_GCD""), ISNUMBER(buff), job=""占星術師"""&amp;"),
         buff,
         1
       )
     )
   )
 )"),1.0)</f>
        <v>1</v>
      </c>
      <c r="EL45" s="200">
        <f>IFERROR(__xludf.DUMMYFUNCTION("PRODUCT(
   MAP(
     K$3:ED$3,
     K$14:ED$14,
     K$13:ED$13,
     K45:ED45,
     LAMBDA(
       job,
       buff,
       target,
       check,
       IF(
         AND(check=TRUE, REGEXMATCH(target, ""SELF_EFFECTED_ALL""), ISNUMBER(buff), job=""学者""),"&amp;"
         buff,
         1
       )
     )
   )
 )"),1.0)</f>
        <v>1</v>
      </c>
      <c r="EM45" s="200">
        <f>IFERROR(__xludf.DUMMYFUNCTION("PRODUCT(
   MAP(
     K$3:ED$3,
     K$14:ED$14,
     K$13:ED$13,
     K45:ED45,
     LAMBDA(
       job,
       buff,
       target,
       check,
       IF(
         AND(check=TRUE, REGEXMATCH(target, ""SELF_EFFECTED_GCD""), ISNUMBER(buff), job=""学者""),"&amp;"
         buff,
         1
       )
     )
   )
 )"),1.0)</f>
        <v>1</v>
      </c>
      <c r="EN45" s="200">
        <f>IFERROR(__xludf.DUMMYFUNCTION("PRODUCT(
   MAP(
     K$3:ED$3,
     K$14:ED$14,
     K$13:ED$13,
     K45:ED45,
     LAMBDA(
       job,
       buff,
       target,
       check,
       IF(
         AND(check=TRUE, REGEXMATCH(target, ""SELF_EFFECTED_ALL""), ISNUMBER(buff), job=""賢者""),"&amp;"
         buff,
         1
       )
     )
   )
 )"),1.0)</f>
        <v>1</v>
      </c>
      <c r="EO45" s="200">
        <f>IFERROR(__xludf.DUMMYFUNCTION("PRODUCT(
   MAP(
     K$3:ED$3,
     K$14:ED$14,
     K$13:ED$13,
     K45:ED45,
     LAMBDA(
       job,
       buff,
       target,
       check,
       IF(
         AND(check=TRUE, REGEXMATCH(target, ""SELF_EFFECTED_GCD""), ISNUMBER(buff), job=""賢者""),"&amp;"
         buff,
         1
       )
     )
   )
 )"),1.0)</f>
        <v>1</v>
      </c>
      <c r="EP45" s="201">
        <f t="shared" si="4"/>
        <v>800</v>
      </c>
      <c r="EQ45" s="201">
        <f>IFERROR(__xludf.DUMMYFUNCTION("SUM(
   MAP(
     K$4:ED$4,
     K$3:ED$3,
     K$7:ED$7,
     K$15:ED$15,
     K$16:ED$16,
     K$21:ED$21,
     K$5:ED$5,
     K$17:ED$17,
     K45:ED45,
     LAMBDA(
       name,
       job,
       abillity,
       buff,
       barrier,
       enhance,"&amp;"
       assign,
       precondition,
       check,
       SWITCH(
         name,
         ""シェイクオフ"", IF(check=TRUE, buff + (0.02 * COUNTIF(ARRAYFORMULA((REGEXMATCH($K$4:$ED$4, ""スリル・オブ・バトル|ヴェンジェンス|原初の血気|ダムネーション"")) * (K45:ED45=TRUE)), 1)), 0),
         "&amp;"""インプロビゼーションフィニッシュ(踊りの激情0)"", IF(ISNUMBER(check), INDEX(Skill!$AJ:$AJ, MATCH(SUBSTITUTE(DV$4, 0, check), Skill!$C:$C, 0)), 0),
         IF(
           AND(check=TRUE, REGEXMATCH(assign, ""RANGE_PARTY"")),
           IF(
             OR(ARRAYFORMULA((IF(pr"&amp;"econdition="""", FALSE, REGEXMATCH($K$4:$ED$4, precondition))) * (K45:ED45=TRUE))),
             enhance,
             IF(barrier="""", buff, barrier)
           ),
           0
         )
       ) *
       SWITCH(
         job,
         ""ナイト"", EY$24,
 "&amp;"        ""戦士"", FD$24,
         ""踊り子"", ET$24,
         ""ピクトマンサー"", ET$24,
         ""白魔道士"", EF45 * EH45 * IF(abillity, 1, EG45 * EI45) * (Option!$D$22 * 0.81 / 100),
         ""占星術師"", EF45 * EJ45 * IF(abillity, 1, EG45 * EK45) * (Option!$D$23 * 0.81 "&amp;"/ 100),
         ""学者"", EF45 * EL45 * IF(abillity, 1, EG45 * EM45) * (Option!$D$24 * 0.81 / 100),
         ""賢者"", EF45 * EN45 * IF(abillity, 1, EG45 * EO45) * (Option!$D$25 * 0.81 / 100),
         1
       )
     )
   )
 )"),0.0)</f>
        <v>0</v>
      </c>
      <c r="ER45" s="202">
        <f t="shared" si="5"/>
        <v>800</v>
      </c>
      <c r="ES45" s="203">
        <f t="shared" si="6"/>
        <v>0</v>
      </c>
      <c r="ET45" s="204" t="str">
        <f>IFERROR(__xludf.DUMMYFUNCTION("IFS(
  EP45 &gt; $ET$24 + EQ45,
  SPARKLINE({ 1, 0 }, {""charttype"",""bar"";""max"", 1;""color1"",Option!$D$30;""color2"",Option!$D$30}),
  EP45 &lt; EQ45,
  SPARKLINE({EQ45 - EP45, $ET$24 - (EQ45 - EP45)}, {""charttype"",""bar"";""max"",$ET$24;""color1"",Opti"&amp;"on!$D$28;""color2"",Option!$D$29}),
  EP45 &gt;= EQ45,
  SPARKLINE({$ET$24 + EQ45 - EP45,EP45 - EQ45}, {""charttype"",""bar"";""max"",$ET$24;""color1"",Option!$D$29;""color2"",Option!$D$30})
)"),"")</f>
        <v/>
      </c>
      <c r="EU45" s="205">
        <f>IFERROR(__xludf.DUMMYFUNCTION("PRODUCT(
   MAP(
     IF($F45=""Physical"", K$10:ED$10, IF($F45=""Magic"", K$11:ED$11, K$12:ED$12)),
     IF($F45=""Physical"", K$18:ED$18, IF($F45=""Magic"", K$19:ED$19, K$20:ED$20)),
     K$3:ED$3,
     K$5:ED$5,
     K$17:ED$17,
     K45:ED45,
     LAM"&amp;"BDA(
       mitigation,
       enhance,
       job,
       assign,
       precondition,
       check,
       IF(
         OR(AND(check=TRUE, REGEXMATCH(assign, ""SELF""), job=""ナイト""), AND(check=Option!$E$13, REGEXMATCH(assign, ""SINGLE_PARTY""))),
      "&amp;"   IF(
           OR(ARRAYFORMULA((IF(precondition="""", FALSE, REGEXMATCH($K$4:$ED$4, precondition))) * (K45:ED45=TRUE))),
           enhance,
           mitigation
         ),
         1
       )
     )
   )
 ) * EE45"),1.0)</f>
        <v>1</v>
      </c>
      <c r="EV45" s="206">
        <f t="shared" si="7"/>
        <v>640</v>
      </c>
      <c r="EW45" s="205">
        <f>IFERROR(__xludf.DUMMYFUNCTION("PRODUCT(
   MAP(
     K$3:ED$3,
     K$14:ED$14,
     K$13:ED$13,
     K45:ED45,
     LAMBDA(
       job,
       buff,
       target,
       check,
       IF(
         OR(AND(check=TRUE, REGEXMATCH(target, ""SELF_AFFECTED_ALL""), job=""ナイト""), AND(check=O"&amp;"ption!$E$13, REGEXMATCH(target, ""SINGLE_AFFECTED_ALL""))),
         buff,
         1
       )
     )
   )
 )"),1.0)</f>
        <v>1</v>
      </c>
      <c r="EX45" s="206">
        <f>IFERROR(__xludf.DUMMYFUNCTION("SUM(
   MAP(
     K$3:ED$3,
     K$7:ED$7,
     K$15:ED$15,
     K$16:ED$16,
     K$21:ED$21,
     K$5:ED$5,
     K$17:ED$17,
     K45:ED45,
     LAMBDA(
       job,
       abillity,
       buff,
       barrier,
       enhance,
       assign,
       preco"&amp;"ndition,
       check,
       IF(
         OR(AND(check=TRUE, REGEXMATCH(assign, ""SELF""), job=""ナイト""), AND(check=Option!$E$13, REGEXMATCH(assign, ""SINGLE_PARTY""))),
         IF(
           OR(ARRAYFORMULA((IF(precondition="""", FALSE, REGEXMATCH($K$4"&amp;":$ED$4, precondition))) * (K45:ED45=TRUE))),
           enhance,
           IF(barrier="""", buff, barrier)
         ),
         0
       ) *
       SWITCH(
         job,
         ""暗黒騎士"", EY$24,
         ""白魔道士"", EF45 * EH45 * EW45 * IF(abillity, 1, EG"&amp;"45 * EI45) * (Option!$D$22 * 0.81 / 100),
         ""占星術師"", EF45 * EJ45 * EW45 * IF(abillity, 1, EG45 * EK45) * (Option!$D$23 * 0.81 / 100),
         ""学者"", EF45 * EL45 * EW45 * IF(abillity, 1, EG45 * EM45) * (Option!$D$24 * 0.81 / 100),
         ""賢者"""&amp;", EF45 * EN45 * EW45 * IF(abillity, 1, EG45 * EO45) * (Option!$D$25 * 0.81 / 100),
         1
       )
     )
   )
 ) + EQ45"),0.0)</f>
        <v>0</v>
      </c>
      <c r="EY45" s="206">
        <f t="shared" si="8"/>
        <v>640</v>
      </c>
      <c r="EZ45" s="205">
        <f>IFERROR(__xludf.DUMMYFUNCTION("PRODUCT(
   MAP(
     IF($F45=""Physical"", K$10:ED$10, IF($F45=""Magic"", K$11:ED$11, K$12:ED$12)),
     IF($F45=""Physical"", K$18:ED$18, IF($F45=""Magic"", K$19:ED$19, K$20:ED$20)),
     K$3:ED$3,
     K$5:ED$5,
     K$17:ED$17,
     K45:ED45,
     LAM"&amp;"BDA(
       mitigation,
       enhance,
       job,
       assign,
       precondition,
       check,
       IF(
         OR(AND(check=TRUE, REGEXMATCH(assign, ""SELF""), job=""戦士""), AND(check=Option!$F$13, REGEXMATCH(assign, ""SINGLE_PARTY""))),
       "&amp;"  IF(
           OR(ARRAYFORMULA((IF(precondition="""", FALSE, REGEXMATCH($K$4:$ED$4, precondition))) * (K45:ED45=TRUE))),
           enhance,
           mitigation
         ),
         1
       )
     )
   )
 ) * EE45"),1.0)</f>
        <v>1</v>
      </c>
      <c r="FA45" s="206">
        <f t="shared" si="9"/>
        <v>640</v>
      </c>
      <c r="FB45" s="205">
        <f>IFERROR(__xludf.DUMMYFUNCTION("PRODUCT(
   MAP(
     K$3:ED$3,
     K$14:ED$14,
     K$13:ED$13,
     K45:ED45,
     LAMBDA(
       job,
       buff,
       target,
       check,
       IF(
         OR(AND(check=TRUE, REGEXMATCH(target, ""SELF_AFFECTED_ALL""), job=""戦士""), AND(check=Op"&amp;"tion!$F$13, REGEXMATCH(target, ""SINGLE_AFFECTED_ALL""))),
         buff,
         1
       )
     )
   )
 )"),1.0)</f>
        <v>1</v>
      </c>
      <c r="FC45" s="206">
        <f>IFERROR(__xludf.DUMMYFUNCTION("SUM(
   MAP(
     K$3:ED$3,
     K$7:ED$7,
     K$15:ED$15,
     K$16:ED$16,
     K$21:ED$21,
     K$5:ED$5,
     K$17:ED$17,
     K45:ED45,
     LAMBDA(
       job,
       abillity,
       buff,
       barrier,
       enhance,
       assign,
       preco"&amp;"ndition,
       check,
       IF(
         OR(AND(check=TRUE, REGEXMATCH(assign, ""SELF""), job=""戦士""), AND(check=Option!$F$13, REGEXMATCH(assign, ""SINGLE_PARTY""))),
         IF(
           OR(ARRAYFORMULA((IF(precondition="""", FALSE, REGEXMATCH($K$4:"&amp;"$ED$4, precondition))) * (K45:ED45=TRUE))),
           enhance,
           IF(barrier="""", buff, barrier)
         ),
         0
       ) *
       SWITCH(
         job,
         ""暗黒騎士"", FD$24,
         ""白魔道士"", EF45 * EH45 * FB45 * IF(abillity, 1, EG4"&amp;"5 * EI45) * (Option!$D$22 * 0.81 / 100),
         ""占星術師"", EF45 * EJ45 * FFB45 * IF(abillity, 1, EG45 * EK45) * (Option!$D$23 * 0.81 / 100),
         ""学者"", EF45 * EL45 * FB45 * IF(abillity, 1, EG45 * EM45) * (Option!$D$24 * 0.81 / 100),
         ""賢者"""&amp;", EF45 * EN45 * FB45 * IF(abillity, 1, EG45 * EO45) * (Option!$D$25 * 0.81 / 100),
         1
       )
     )
   )
 ) + EQ45"),0.0)</f>
        <v>0</v>
      </c>
      <c r="FD45" s="206">
        <f t="shared" si="10"/>
        <v>640</v>
      </c>
      <c r="FE45" s="205">
        <f>IFERROR(__xludf.DUMMYFUNCTION("PRODUCT(
   MAP(
     IF($F45=""Physical"", K$10:ED$10, IF($F45=""Magic"", K$11:ED$11, K$12:ED$12)),
     IF($F45=""Physical"", K$18:ED$18, IF($F45=""Magic"", K$19:ED$19, K$20:ED$20)),
     K$3:ED$3,
     K$5:ED$5,
     K$17:ED$17,
     K45:ED45,
     LAM"&amp;"BDA(
       mitigation,
       enhance,
       job,
       assign,
       precondition,
       check,
       IF(
         OR(AND(check=TRUE, REGEXMATCH(assign, ""SELF""), job=""暗黒騎士""), AND(check=Option!$G$13, REGEXMATCH(assign, ""SINGLE_PARTY""))),
     "&amp;"    IF(
           OR(ARRAYFORMULA((IF(precondition="""", FALSE, REGEXMATCH($K$4:$ED$4, precondition))) * (K45:ED45=TRUE))),
           enhance,
           mitigation
         ),
         1
       )
     )
   )
 ) * EE45"),1.0)</f>
        <v>1</v>
      </c>
      <c r="FF45" s="206">
        <f t="shared" si="11"/>
        <v>640</v>
      </c>
      <c r="FG45" s="205">
        <f>IFERROR(__xludf.DUMMYFUNCTION("PRODUCT(
   MAP(
     K$3:ED$3,
     K$14:ED$14,
     K$13:ED$13,
     K45:ED45,
     LAMBDA(
       job,
       buff,
       target,
       check,
       IF(
         OR(AND(check=TRUE, REGEXMATCH(target, ""SELF_AFFECTED_ALL""), job=""暗黒騎士""), AND(check="&amp;"Option!$G$13, REGEXMATCH(target, ""SINGLE_AFFECTED_ALL""))),
         buff,
         1
       )
     )
   )
 )"),1.0)</f>
        <v>1</v>
      </c>
      <c r="FH45" s="206">
        <f>IFERROR(__xludf.DUMMYFUNCTION("SUM(
   MAP(
     K$3:ED$3,
     K$7:ED$7,
     K$15:ED$15,
     K$16:ED$16,
     K$21:ED$21,
     K$5:ED$5,
     K$17:ED$17,
     K45:ED45,
     LAMBDA(
       job,
       abillity,
       buff,
       barrier,
       enhance,
       assign,
       preco"&amp;"ndition,
       check,
       IF(
         OR(AND(check=TRUE, REGEXMATCH(assign, ""SELF""), job=""暗黒騎士""), AND(check=Option!$G$13, REGEXMATCH(assign, ""SINGLE_PARTY""))),
         IF(
           OR(ARRAYFORMULA((IF(precondition="""", FALSE, REGEXMATCH($K$"&amp;"4:$ED$4, precondition))) * (K45:ED45=TRUE))),
           enhance,
           IF(barrier="""", buff, barrier)
         ),
         0
       ) *
       SWITCH(
         job,
         ""暗黒騎士"", FI$24,
         ""白魔道士"", EF45 * EH45 * FG45 * IF(abillity, 1, E"&amp;"G45 * EI45) * (Option!$D$22 * 0.81 / 100),
         ""占星術師"", EF45 * EJ45 * FG45 * IF(abillity, 1, EG45 * EK45) * (Option!$D$23 * 0.81 / 100),
         ""学者"", EF45 * EL45 * FG45 * IF(abillity, 1, EG45 * EM45) * (Option!$D$24 * 0.81 / 100),
         ""賢者"&amp;""", EF45 * EN45 * FG45 * IF(abillity, 1, EG45 * EO45) * (Option!$D$25 * 0.81 / 100),
         1
       )
     )
   )
 ) + EQ45"),0.0)</f>
        <v>0</v>
      </c>
      <c r="FI45" s="206">
        <f t="shared" si="12"/>
        <v>640</v>
      </c>
      <c r="FJ45" s="205">
        <f>IFERROR(__xludf.DUMMYFUNCTION("PRODUCT(
   MAP(
     IF($F45=""Physical"", K$10:ED$10, IF($F45=""Magic"", K$11:ED$11, K$12:ED$12)),
     IF($F45=""Physical"", K$18:ED$18, IF($F45=""Magic"", K$19:ED$19, K$20:ED$20)),
     K$3:ED$3,
     K$5:ED$5,
     K$17:ED$17,
     K45:ED45,
     LAM"&amp;"BDA(
       mitigation,
       enhance,
       job,
       assign,
       precondition,
       check,
       IF(
         OR(AND(check=TRUE, REGEXMATCH(assign, ""SELF""), job=""ガンブレイカー""), AND(check=Option!$H$13, REGEXMATCH(assign, ""SINGLE_PARTY""))),
  "&amp;"       IF(
           OR(ARRAYFORMULA((IF(precondition="""", FALSE, REGEXMATCH($K$4:$ED$4, precondition))) * (K45:ED45=TRUE))),
           enhance,
           mitigation
         ),
         1
       )
     )
   )
 ) * EE45"),1.0)</f>
        <v>1</v>
      </c>
      <c r="FK45" s="206">
        <f t="shared" si="13"/>
        <v>640</v>
      </c>
      <c r="FL45" s="205">
        <f>IFERROR(__xludf.DUMMYFUNCTION("PRODUCT(
   MAP(
     K$3:ED$3,
     K$14:ED$14,
     K$13:ED$13,
     K45:ED45,
     LAMBDA(
       job,
       buff,
       target,
       check,
       IF(
         OR(AND(check=TRUE, REGEXMATCH(target, ""SELF_AFFECTED_ALL""), job=""ガンブレイカー""), AND(che"&amp;"ck=Option!$H$13, REGEXMATCH(target, ""SINGLE_AFFECTED_ALL""))),
         buff,
         1
       )
     )
   )
 )"),1.0)</f>
        <v>1</v>
      </c>
      <c r="FM45" s="206">
        <f>IFERROR(__xludf.DUMMYFUNCTION("SUM(
   MAP(
     K$3:ED$3,
     K$7:ED$7,
     K$15:ED$15,
     K$16:ED$16,
     K$21:ED$21,
     K$5:ED$5,
     K$17:ED$17,
     K45:ED45,
     LAMBDA(
       job,
       abillity,
       buff,
       barrier,
       enhance,
       assign,
       preco"&amp;"ndition,
       check,
       IF(
         OR(AND(check=TRUE, REGEXMATCH(assign, ""SELF""), job=""ガンブレイカー""), AND(check=Option!$H$13, REGEXMATCH(assign, ""SINGLE_PARTY""))),
         IF(
           OR(ARRAYFORMULA((IF(precondition="""", FALSE, REGEXMATCH("&amp;"$K$4:$ED$4, precondition))) * (K45:ED45=TRUE))),
           enhance,
           IF(barrier="""", buff, barrier)
         ),
         0
       ) *
       SWITCH(
         job,
         ""暗黒騎士"", FN$24,
         ""白魔道士"", EF45 * EH45 * FL45 * IF(abillity, 1"&amp;", EG45 * EI45) * (Option!$D$22 * 0.81 / 100),
         ""占星術師"", EF45 * EJ45 * FL45 * IF(abillity, 1, EG45 * EK45) * (Option!$D$23 * 0.81 / 100),
         ""学者"", EF45 * EL45 * FL45 * IF(abillity, 1, EG45 * EM45) * (Option!$D$24 * 0.81 / 100),
         """&amp;"賢者"", EF45 * EN45 * FL45 * IF(abillity, 1, EG45 * EO45) * (Option!$D$25 * 0.81 / 100),
         1
       )
     )
   )
 ) + EQ45"),0.0)</f>
        <v>0</v>
      </c>
      <c r="FN45" s="206">
        <f t="shared" si="14"/>
        <v>640</v>
      </c>
      <c r="FO45" s="213"/>
    </row>
    <row r="46">
      <c r="B46" s="208"/>
      <c r="C46" s="217">
        <f t="shared" si="1"/>
        <v>0.001701388889</v>
      </c>
      <c r="D46" s="220">
        <v>0.0017013888888888888</v>
      </c>
      <c r="E46" s="228" t="s">
        <v>1083</v>
      </c>
      <c r="F46" s="167" t="s">
        <v>10</v>
      </c>
      <c r="G46" s="168" t="str">
        <f t="shared" si="15"/>
        <v/>
      </c>
      <c r="H46" s="169">
        <v>800.0</v>
      </c>
      <c r="I46" s="169"/>
      <c r="J46" s="169"/>
      <c r="K46" s="170" t="b">
        <v>0</v>
      </c>
      <c r="L46" s="170" t="b">
        <v>0</v>
      </c>
      <c r="M46" s="170" t="b">
        <v>0</v>
      </c>
      <c r="N46" s="171" t="s">
        <v>1070</v>
      </c>
      <c r="O46" s="172" t="b">
        <v>0</v>
      </c>
      <c r="P46" s="173" t="b">
        <v>0</v>
      </c>
      <c r="Q46" s="173" t="b">
        <v>0</v>
      </c>
      <c r="R46" s="173" t="b">
        <v>0</v>
      </c>
      <c r="S46" s="174" t="b">
        <v>0</v>
      </c>
      <c r="T46" s="175" t="b">
        <v>0</v>
      </c>
      <c r="U46" s="173" t="b">
        <v>0</v>
      </c>
      <c r="V46" s="171" t="s">
        <v>1070</v>
      </c>
      <c r="W46" s="172" t="b">
        <v>0</v>
      </c>
      <c r="X46" s="173" t="b">
        <v>0</v>
      </c>
      <c r="Y46" s="173" t="b">
        <v>0</v>
      </c>
      <c r="Z46" s="173" t="b">
        <v>0</v>
      </c>
      <c r="AA46" s="174" t="b">
        <v>0</v>
      </c>
      <c r="AB46" s="174" t="b">
        <v>0</v>
      </c>
      <c r="AC46" s="175" t="b">
        <v>0</v>
      </c>
      <c r="AD46" s="173" t="b">
        <v>0</v>
      </c>
      <c r="AE46" s="176" t="s">
        <v>1070</v>
      </c>
      <c r="AF46" s="171" t="s">
        <v>1070</v>
      </c>
      <c r="AG46" s="177">
        <f>IFERROR(__xludf.DUMMYFUNCTION("IF(
  ISNUMBER(#REF!),
  MIN(MAX(
    #REF!
    + MAX(
      ROUNDDOWN(($D47 - MAX(IFERROR(FILTER($D$24:$D46, AG$24:AG45 &lt;&gt; AF$6, AG$23:AG45 = AF$6), 0))) * (60 * 60 * 24) / AF$9) - ROUNDDOWN((#REF! - MAX(IFERROR(FILTER($D$23:$D46, AG$23:AG45 &lt;&gt; AF$6, AG$"&amp;"22:AG44 = AF$6), 0))) * (60 * 60 * 24) / 60),
      0
    )
    - COUNTIF(AF46, ""&lt;&gt;-""),
  0), AF$6),
  AF$6 - COUNTIF(AF46, ""&lt;&gt;-"")
)"),2.0)</f>
        <v>2</v>
      </c>
      <c r="AH46" s="173" t="b">
        <v>0</v>
      </c>
      <c r="AI46" s="173" t="b">
        <v>0</v>
      </c>
      <c r="AJ46" s="173" t="b">
        <v>0</v>
      </c>
      <c r="AK46" s="174" t="b">
        <v>0</v>
      </c>
      <c r="AL46" s="175" t="b">
        <v>0</v>
      </c>
      <c r="AM46" s="173" t="b">
        <v>0</v>
      </c>
      <c r="AN46" s="171" t="s">
        <v>1070</v>
      </c>
      <c r="AO46" s="173" t="b">
        <v>0</v>
      </c>
      <c r="AP46" s="173" t="b">
        <v>0</v>
      </c>
      <c r="AQ46" s="173" t="b">
        <v>0</v>
      </c>
      <c r="AR46" s="174" t="b">
        <v>0</v>
      </c>
      <c r="AS46" s="178" t="b">
        <v>0</v>
      </c>
      <c r="AT46" s="179" t="b">
        <v>0</v>
      </c>
      <c r="AU46" s="180" t="b">
        <v>0</v>
      </c>
      <c r="AV46" s="180" t="b">
        <v>0</v>
      </c>
      <c r="AW46" s="180" t="b">
        <v>0</v>
      </c>
      <c r="AX46" s="180" t="b">
        <v>0</v>
      </c>
      <c r="AY46" s="181" t="s">
        <v>1070</v>
      </c>
      <c r="AZ46" s="181" t="s">
        <v>1070</v>
      </c>
      <c r="BA46" s="184">
        <f>IFERROR(__xludf.DUMMYFUNCTION("IF(
  ISNUMBER(#REF!),
  MIN(MAX(
    #REF!
    + MAX(
      ROUNDDOWN((D47 - MAX(IFERROR(FILTER(D$24:D46, BA$24:BA45 &lt;&gt; AZ$6, BA$23:BA45 = AZ$6), 0))) * (60 * 60 * 24) / AZ$9) - ROUNDDOWN((#REF! - MAX(IFERROR(FILTER(D$23:D46, BA$23:BA45 &lt;&gt; AZ$6, BA$22:BA"&amp;"44 = AZ$6), 0))) * (60 * 60 * 24) / AZ$9),
      0
    )
    - COUNTIF(AZ46, ""&lt;&gt;-""),
  0), AZ$6),
  AZ$6 - COUNTIF(AZ46, ""&lt;&gt;-"")
)"),2.0)</f>
        <v>2</v>
      </c>
      <c r="BB46" s="181" t="s">
        <v>1070</v>
      </c>
      <c r="BC46" s="183">
        <f>IFERROR(__xludf.DUMMYFUNCTION("IF(
  ISNUMBER(#REF!),
  MIN(MAX(
    #REF!
    + MAX(
      ROUNDDOWN(($D47 - MAX(IFERROR(FILTER($D$24:$D46, BC$24:BC45 &lt;&gt; BB$6, BC$23:BC45 = BB$6), 0))) * (60 * 60 * 24) / BB$9) - ROUNDDOWN((#REF! - MAX(IFERROR(FILTER($D$23:$D46, BC$23:BC45 &lt;&gt; BB$6, BC$"&amp;"22:BC44 = BB$6), 0))) * (60 * 60 * 24) / 60),
      0
    )
    - COUNTIF(BB46, ""&lt;&gt;-""),
  0), BB$6),
  BB$6 - COUNTIF(BB46, ""&lt;&gt;-"")
)"),2.0)</f>
        <v>2</v>
      </c>
      <c r="BD46" s="181" t="s">
        <v>1070</v>
      </c>
      <c r="BE46" s="178" t="b">
        <v>0</v>
      </c>
      <c r="BF46" s="180" t="b">
        <v>0</v>
      </c>
      <c r="BG46" s="180" t="b">
        <v>0</v>
      </c>
      <c r="BH46" s="180" t="b">
        <v>0</v>
      </c>
      <c r="BI46" s="180" t="b">
        <v>0</v>
      </c>
      <c r="BJ46" s="180" t="b">
        <v>0</v>
      </c>
      <c r="BK46" s="180" t="b">
        <v>0</v>
      </c>
      <c r="BL46" s="180" t="b">
        <v>0</v>
      </c>
      <c r="BM46" s="180" t="b">
        <v>0</v>
      </c>
      <c r="BN46" s="180" t="b">
        <v>0</v>
      </c>
      <c r="BO46" s="181" t="s">
        <v>1070</v>
      </c>
      <c r="BP46" s="181" t="s">
        <v>1070</v>
      </c>
      <c r="BQ46" s="181" t="s">
        <v>1070</v>
      </c>
      <c r="BR46" s="181" t="s">
        <v>1070</v>
      </c>
      <c r="BS46" s="181" t="s">
        <v>1070</v>
      </c>
      <c r="BT46" s="184">
        <f>IFERROR(__xludf.DUMMYFUNCTION("IF(
  ISNUMBER(#REF!),
  MIN(MAX(
    #REF!
    + MAX(
      ROUNDDOWN((D47 - MAX(IFERROR(FILTER(D$24:D46, BT$24:BT45 &lt;&gt; BS$6, BT$23:BT45 = BS$6), 0))) * (60 * 60 * 24) / BS$9) - ROUNDDOWN((#REF! - MAX(IFERROR(FILTER(D$23:D46, BT$23:BT45 &lt;&gt; BS$6, BT$22:BT"&amp;"44 = BS$6), 0))) * (60 * 60 * 24) / BS$9),
      0
    )
    - COUNTIF(BS46, ""&lt;&gt;-""),
  0), BS$6),
  BS$6 - COUNTIF(BS46, ""&lt;&gt;-"")
)"),3.0)</f>
        <v>3</v>
      </c>
      <c r="BU46" s="181" t="s">
        <v>1070</v>
      </c>
      <c r="BV46" s="181" t="s">
        <v>1070</v>
      </c>
      <c r="BW46" s="184">
        <f>IFERROR(__xludf.DUMMYFUNCTION("IF(
  ISNUMBER(#REF!),
  MIN(MAX(
    #REF!
    + MAX(
      ROUNDDOWN((D47 - MAX(IFERROR(FILTER(D$24:D46, BW$24:BW45 &lt;&gt; BV$6, BW$23:BW45 = BV$6), 0))) * (60 * 60 * 24) / BV$9) - ROUNDDOWN((#REF! - MAX(IFERROR(FILTER(D$23:D46, BW$23:BW45 &lt;&gt; BV$6, BW$22:BW"&amp;"44 = BV$6), 0))) * (60 * 60 * 24) / BV$9),
      0
    )
    - COUNTIF(BV46, ""&lt;&gt;-""),
  0), BV$6),
  BV$6 - COUNTIF(BV46, ""&lt;&gt;-"")
)"),2.0)</f>
        <v>2</v>
      </c>
      <c r="BX46" s="185" t="s">
        <v>1070</v>
      </c>
      <c r="BY46" s="178" t="b">
        <v>0</v>
      </c>
      <c r="BZ46" s="180" t="b">
        <v>0</v>
      </c>
      <c r="CA46" s="180" t="b">
        <v>0</v>
      </c>
      <c r="CB46" s="180" t="b">
        <v>0</v>
      </c>
      <c r="CC46" s="180" t="b">
        <v>0</v>
      </c>
      <c r="CD46" s="180" t="b">
        <v>0</v>
      </c>
      <c r="CE46" s="180" t="b">
        <v>0</v>
      </c>
      <c r="CF46" s="180" t="b">
        <v>0</v>
      </c>
      <c r="CG46" s="180" t="b">
        <v>0</v>
      </c>
      <c r="CH46" s="180" t="b">
        <v>0</v>
      </c>
      <c r="CI46" s="180" t="b">
        <v>0</v>
      </c>
      <c r="CJ46" s="180" t="b">
        <v>0</v>
      </c>
      <c r="CK46" s="180" t="b">
        <v>0</v>
      </c>
      <c r="CL46" s="180" t="b">
        <v>0</v>
      </c>
      <c r="CM46" s="181" t="s">
        <v>1070</v>
      </c>
      <c r="CN46" s="181" t="s">
        <v>1070</v>
      </c>
      <c r="CO46" s="181" t="s">
        <v>1070</v>
      </c>
      <c r="CP46" s="181" t="s">
        <v>1070</v>
      </c>
      <c r="CQ46" s="185" t="s">
        <v>1070</v>
      </c>
      <c r="CR46" s="180" t="b">
        <v>0</v>
      </c>
      <c r="CS46" s="186" t="str">
        <f t="shared" si="3"/>
        <v>◇◇◇</v>
      </c>
      <c r="CT46" s="178" t="b">
        <v>0</v>
      </c>
      <c r="CU46" s="180" t="b">
        <v>0</v>
      </c>
      <c r="CV46" s="180" t="b">
        <v>0</v>
      </c>
      <c r="CW46" s="180" t="b">
        <v>0</v>
      </c>
      <c r="CX46" s="180" t="b">
        <v>0</v>
      </c>
      <c r="CY46" s="180" t="b">
        <v>0</v>
      </c>
      <c r="CZ46" s="180" t="b">
        <v>0</v>
      </c>
      <c r="DA46" s="180" t="b">
        <v>0</v>
      </c>
      <c r="DB46" s="180" t="b">
        <v>0</v>
      </c>
      <c r="DC46" s="180" t="b">
        <v>0</v>
      </c>
      <c r="DD46" s="181" t="s">
        <v>1070</v>
      </c>
      <c r="DE46" s="181" t="s">
        <v>1070</v>
      </c>
      <c r="DF46" s="181" t="s">
        <v>1070</v>
      </c>
      <c r="DG46" s="185" t="s">
        <v>1070</v>
      </c>
      <c r="DH46" s="180" t="b">
        <v>0</v>
      </c>
      <c r="DI46" s="187" t="str">
        <f>IFERROR(__xludf.DUMMYFUNCTION("SWITCH(
  IF(
    ISTEXT(#REF!),
    IF (
      FIND(""○"", #REF!&amp;""○"") &gt; 3,
      3,
      FIND(""○"", #REF!&amp;""○"")
      + MAX(
        ROUNDDOWN(($D47 - MAX(IFERROR(FILTER(D$24:D46, DI$24:DI45 &lt;&gt; ""●●●"", DI$23:DI45 = ""●●●""), 0))) * (60 * 60 * 24) /"&amp;" 20) - ROUNDDOWN((#REF! - MAX(IFERROR(FILTER(D$23:D46, DI$23:DI45 &lt;&gt; ""●●●"", DI$22:DI44 = ""●●●""), 0))) * (60 * 60 * 24) / 20),
        0
      ) - 1
    ) - COUNTIFS(CU46, ""=TRUE"", #REF!, ""&lt;&gt;TRUE"") - COUNTIF(CZ46, ""=TRUE"") - COUNTIF({DD46,DE46}, "&amp;"""&lt;&gt;-"") + COUNTIF(DH46, ""=TRUE""),
    3
  ),
  0, ""○○○"", 1, ""●○○"", 2, ""●●○"", 3, ""●●●"", 4, ""●●●"", ""○○○""
)"),"●●●")</f>
        <v>●●●</v>
      </c>
      <c r="DJ46" s="188" t="b">
        <v>0</v>
      </c>
      <c r="DK46" s="189" t="b">
        <v>0</v>
      </c>
      <c r="DL46" s="190" t="b">
        <v>0</v>
      </c>
      <c r="DM46" s="190" t="b">
        <v>0</v>
      </c>
      <c r="DN46" s="190" t="b">
        <v>0</v>
      </c>
      <c r="DO46" s="190" t="b">
        <v>0</v>
      </c>
      <c r="DP46" s="190" t="b">
        <v>0</v>
      </c>
      <c r="DQ46" s="191" t="b">
        <v>0</v>
      </c>
      <c r="DR46" s="192" t="b">
        <v>0</v>
      </c>
      <c r="DS46" s="191" t="b">
        <v>0</v>
      </c>
      <c r="DT46" s="192" t="b">
        <v>0</v>
      </c>
      <c r="DU46" s="191" t="b">
        <v>0</v>
      </c>
      <c r="DV46" s="193" t="s">
        <v>1070</v>
      </c>
      <c r="DW46" s="194" t="b">
        <v>0</v>
      </c>
      <c r="DX46" s="194" t="b">
        <v>0</v>
      </c>
      <c r="DY46" s="195" t="b">
        <v>0</v>
      </c>
      <c r="DZ46" s="196" t="b">
        <v>0</v>
      </c>
      <c r="EA46" s="195" t="b">
        <v>0</v>
      </c>
      <c r="EB46" s="197" t="b">
        <v>0</v>
      </c>
      <c r="EC46" s="197" t="b">
        <v>0</v>
      </c>
      <c r="ED46" s="212" t="b">
        <v>0</v>
      </c>
      <c r="EE46" s="199">
        <f>IFERROR(__xludf.DUMMYFUNCTION("IFERROR(
   PRODUCT(
     MAP(
       INDEX(TRANSPOSE(UNIQUE(TRANSPOSE(FILTER({IF($F46=""Physical"", K$10:ED$10, IF($F46=""Magic"", K$11:ED$11, K$12:ED$12));K$4:ED$4;K46:ED46}, K46:ED46=TRUE)))), 1, 0),
       INDEX(TRANSPOSE(UNIQUE(TRANSPOSE(FILTER({IF($"&amp;"F46=""Physical"", K$18:ED$18, IF($F46=""Magic"", K$19:ED$19, K$20:ED$20));K$4:ED$4;K46:ED46}, K46:ED46=TRUE)))), 1, 0),
       INDEX(TRANSPOSE(UNIQUE(TRANSPOSE(FILTER({K$5:ED$5;K$4:ED$4;K46:ED46}, K46:ED46=TRUE)))), 1, 0),
       INDEX(TRANSPOSE(UNIQUE(TR"&amp;"ANSPOSE(FILTER({K$17:ED$17;K$4:ED$4;K46:ED46}, K46:ED46=TRUE)))), 1, 0),
       LAMBDA(
         mitigation,
         enhance,
         assign,
         precondition,
         IF(
           REGEXMATCH(assign, ""RANGE_PARTY|SINGLE_ENEMY|RANGE_ENEMY""),
  "&amp;"         IF(
             OR(ARRAYFORMULA((IF(precondition="""", FALSE, REGEXMATCH(K$4:ED$4, precondition))) * (K46:ED46=TRUE))),
             IF(ISNUMBER(enhance), enhance, 1),
             IF(ISNUMBER(mitigation), mitigation, 1)
           ),
          "&amp;" 1
         )
       )
     )
   ),
   1
 )"),1.0)</f>
        <v>1</v>
      </c>
      <c r="EF46" s="200">
        <f>IFERROR(__xludf.DUMMYFUNCTION("PRODUCT(
   MAP(
     K$14:ED$14,
     K$13:ED$13,
     K46:ED46,
     LAMBDA(
       buff,
       target,
       check,
       IF(
         AND(check=TRUE, REGEXMATCH(target, ""RANGE_AFFECTED_ALL|RANGE_EFFECTED_ALL""), ISNUMBER(buff)),
         buff,
   "&amp;"      1
       )
     )
   )
 )"),1.0)</f>
        <v>1</v>
      </c>
      <c r="EG46" s="200">
        <f>IFERROR(__xludf.DUMMYFUNCTION("PRODUCT(
   MAP(
     K$14:ED$14,
     K$13:ED$13,
     K46:ED46,
     LAMBDA(
       buff,
       target,
       check,
       IF(
         AND(check=TRUE, REGEXMATCH(target, ""RANGE_AFFECTED_GCD|RANGE_EFFECTED_GCD""), ISNUMBER(buff)),
         buff,
   "&amp;"      1
       )
     )
   )
 )"),1.0)</f>
        <v>1</v>
      </c>
      <c r="EH46" s="200">
        <f>IFERROR(__xludf.DUMMYFUNCTION("PRODUCT(
   MAP(
     K$3:ED$3,
     K$14:ED$14,
     K$13:ED$13,
     K46:ED46,
     LAMBDA(
       job,
       buff,
       target,
       check,
       IF(
         AND(check=TRUE, REGEXMATCH(target, ""SELF_EFFECTED_ALL""), ISNUMBER(buff), job=""白魔道士"""&amp;"),
         buff,
         1
       )
     )
   )
 )"),1.0)</f>
        <v>1</v>
      </c>
      <c r="EI46" s="200">
        <f>IFERROR(__xludf.DUMMYFUNCTION("PRODUCT(
   MAP(
     K$3:ED$3,
     K$14:ED$14,
     K$13:ED$13,
     K46:ED46,
     LAMBDA(
       job,
       buff,
       target,
       check,
       IF(
         AND(check=TRUE, REGEXMATCH(target, ""SELF_EFFECTED_GCD""), ISNUMBER(buff), job=""白魔道士"""&amp;"),
         buff,
         1
       )
     )
   )
 )"),1.0)</f>
        <v>1</v>
      </c>
      <c r="EJ46" s="200">
        <f>IFERROR(__xludf.DUMMYFUNCTION("PRODUCT(
   MAP(
     K$3:ED$3,
     K$14:ED$14,
     K$13:ED$13,
     K46:ED46,
     LAMBDA(
       job,
       buff,
       target,
       check,
       IF(
         AND(check=TRUE, REGEXMATCH(target, ""SELF_EFFECTED_ALL""), ISNUMBER(buff), job=""占星術師"""&amp;"),
         buff,
         1
       )
     )
   )
 )"),1.0)</f>
        <v>1</v>
      </c>
      <c r="EK46" s="200">
        <f>IFERROR(__xludf.DUMMYFUNCTION("PRODUCT(
   MAP(
     K$3:ED$3,
     K$14:ED$14,
     K$13:ED$13,
     K46:ED46,
     LAMBDA(
       job,
       buff,
       target,
       check,
       IF(
         AND(check=TRUE, REGEXMATCH(target, ""SELF_EFFECTED_GCD""), ISNUMBER(buff), job=""占星術師"""&amp;"),
         buff,
         1
       )
     )
   )
 )"),1.0)</f>
        <v>1</v>
      </c>
      <c r="EL46" s="200">
        <f>IFERROR(__xludf.DUMMYFUNCTION("PRODUCT(
   MAP(
     K$3:ED$3,
     K$14:ED$14,
     K$13:ED$13,
     K46:ED46,
     LAMBDA(
       job,
       buff,
       target,
       check,
       IF(
         AND(check=TRUE, REGEXMATCH(target, ""SELF_EFFECTED_ALL""), ISNUMBER(buff), job=""学者""),"&amp;"
         buff,
         1
       )
     )
   )
 )"),1.0)</f>
        <v>1</v>
      </c>
      <c r="EM46" s="200">
        <f>IFERROR(__xludf.DUMMYFUNCTION("PRODUCT(
   MAP(
     K$3:ED$3,
     K$14:ED$14,
     K$13:ED$13,
     K46:ED46,
     LAMBDA(
       job,
       buff,
       target,
       check,
       IF(
         AND(check=TRUE, REGEXMATCH(target, ""SELF_EFFECTED_GCD""), ISNUMBER(buff), job=""学者""),"&amp;"
         buff,
         1
       )
     )
   )
 )"),1.0)</f>
        <v>1</v>
      </c>
      <c r="EN46" s="200">
        <f>IFERROR(__xludf.DUMMYFUNCTION("PRODUCT(
   MAP(
     K$3:ED$3,
     K$14:ED$14,
     K$13:ED$13,
     K46:ED46,
     LAMBDA(
       job,
       buff,
       target,
       check,
       IF(
         AND(check=TRUE, REGEXMATCH(target, ""SELF_EFFECTED_ALL""), ISNUMBER(buff), job=""賢者""),"&amp;"
         buff,
         1
       )
     )
   )
 )"),1.0)</f>
        <v>1</v>
      </c>
      <c r="EO46" s="200">
        <f>IFERROR(__xludf.DUMMYFUNCTION("PRODUCT(
   MAP(
     K$3:ED$3,
     K$14:ED$14,
     K$13:ED$13,
     K46:ED46,
     LAMBDA(
       job,
       buff,
       target,
       check,
       IF(
         AND(check=TRUE, REGEXMATCH(target, ""SELF_EFFECTED_GCD""), ISNUMBER(buff), job=""賢者""),"&amp;"
         buff,
         1
       )
     )
   )
 )"),1.0)</f>
        <v>1</v>
      </c>
      <c r="EP46" s="201">
        <f t="shared" si="4"/>
        <v>800</v>
      </c>
      <c r="EQ46" s="201">
        <f>IFERROR(__xludf.DUMMYFUNCTION("SUM(
   MAP(
     K$4:ED$4,
     K$3:ED$3,
     K$7:ED$7,
     K$15:ED$15,
     K$16:ED$16,
     K$21:ED$21,
     K$5:ED$5,
     K$17:ED$17,
     K46:ED46,
     LAMBDA(
       name,
       job,
       abillity,
       buff,
       barrier,
       enhance,"&amp;"
       assign,
       precondition,
       check,
       SWITCH(
         name,
         ""シェイクオフ"", IF(check=TRUE, buff + (0.02 * COUNTIF(ARRAYFORMULA((REGEXMATCH($K$4:$ED$4, ""スリル・オブ・バトル|ヴェンジェンス|原初の血気|ダムネーション"")) * (K46:ED46=TRUE)), 1)), 0),
         "&amp;"""インプロビゼーションフィニッシュ(踊りの激情0)"", IF(ISNUMBER(check), INDEX(Skill!$AJ:$AJ, MATCH(SUBSTITUTE(DV$4, 0, check), Skill!$C:$C, 0)), 0),
         IF(
           AND(check=TRUE, REGEXMATCH(assign, ""RANGE_PARTY"")),
           IF(
             OR(ARRAYFORMULA((IF(pr"&amp;"econdition="""", FALSE, REGEXMATCH($K$4:$ED$4, precondition))) * (K46:ED46=TRUE))),
             enhance,
             IF(barrier="""", buff, barrier)
           ),
           0
         )
       ) *
       SWITCH(
         job,
         ""ナイト"", EY$24,
 "&amp;"        ""戦士"", FD$24,
         ""踊り子"", ET$24,
         ""ピクトマンサー"", ET$24,
         ""白魔道士"", EF46 * EH46 * IF(abillity, 1, EG46 * EI46) * (Option!$D$22 * 0.81 / 100),
         ""占星術師"", EF46 * EJ46 * IF(abillity, 1, EG46 * EK46) * (Option!$D$23 * 0.81 "&amp;"/ 100),
         ""学者"", EF46 * EL46 * IF(abillity, 1, EG46 * EM46) * (Option!$D$24 * 0.81 / 100),
         ""賢者"", EF46 * EN46 * IF(abillity, 1, EG46 * EO46) * (Option!$D$25 * 0.81 / 100),
         1
       )
     )
   )
 )"),0.0)</f>
        <v>0</v>
      </c>
      <c r="ER46" s="202">
        <f t="shared" si="5"/>
        <v>800</v>
      </c>
      <c r="ES46" s="203">
        <f t="shared" si="6"/>
        <v>0</v>
      </c>
      <c r="ET46" s="204" t="str">
        <f>IFERROR(__xludf.DUMMYFUNCTION("IFS(
  EP46 &gt; $ET$24 + EQ46,
  SPARKLINE({ 1, 0 }, {""charttype"",""bar"";""max"", 1;""color1"",Option!$D$30;""color2"",Option!$D$30}),
  EP46 &lt; EQ46,
  SPARKLINE({EQ46 - EP46, $ET$24 - (EQ46 - EP46)}, {""charttype"",""bar"";""max"",$ET$24;""color1"",Opti"&amp;"on!$D$28;""color2"",Option!$D$29}),
  EP46 &gt;= EQ46,
  SPARKLINE({$ET$24 + EQ46 - EP46,EP46 - EQ46}, {""charttype"",""bar"";""max"",$ET$24;""color1"",Option!$D$29;""color2"",Option!$D$30})
)"),"")</f>
        <v/>
      </c>
      <c r="EU46" s="205">
        <f>IFERROR(__xludf.DUMMYFUNCTION("PRODUCT(
   MAP(
     IF($F46=""Physical"", K$10:ED$10, IF($F46=""Magic"", K$11:ED$11, K$12:ED$12)),
     IF($F46=""Physical"", K$18:ED$18, IF($F46=""Magic"", K$19:ED$19, K$20:ED$20)),
     K$3:ED$3,
     K$5:ED$5,
     K$17:ED$17,
     K46:ED46,
     LAM"&amp;"BDA(
       mitigation,
       enhance,
       job,
       assign,
       precondition,
       check,
       IF(
         OR(AND(check=TRUE, REGEXMATCH(assign, ""SELF""), job=""ナイト""), AND(check=Option!$E$13, REGEXMATCH(assign, ""SINGLE_PARTY""))),
      "&amp;"   IF(
           OR(ARRAYFORMULA((IF(precondition="""", FALSE, REGEXMATCH($K$4:$ED$4, precondition))) * (K46:ED46=TRUE))),
           enhance,
           mitigation
         ),
         1
       )
     )
   )
 ) * EE46"),1.0)</f>
        <v>1</v>
      </c>
      <c r="EV46" s="206">
        <f t="shared" si="7"/>
        <v>640</v>
      </c>
      <c r="EW46" s="205">
        <f>IFERROR(__xludf.DUMMYFUNCTION("PRODUCT(
   MAP(
     K$3:ED$3,
     K$14:ED$14,
     K$13:ED$13,
     K46:ED46,
     LAMBDA(
       job,
       buff,
       target,
       check,
       IF(
         OR(AND(check=TRUE, REGEXMATCH(target, ""SELF_AFFECTED_ALL""), job=""ナイト""), AND(check=O"&amp;"ption!$E$13, REGEXMATCH(target, ""SINGLE_AFFECTED_ALL""))),
         buff,
         1
       )
     )
   )
 )"),1.0)</f>
        <v>1</v>
      </c>
      <c r="EX46" s="206">
        <f>IFERROR(__xludf.DUMMYFUNCTION("SUM(
   MAP(
     K$3:ED$3,
     K$7:ED$7,
     K$15:ED$15,
     K$16:ED$16,
     K$21:ED$21,
     K$5:ED$5,
     K$17:ED$17,
     K46:ED46,
     LAMBDA(
       job,
       abillity,
       buff,
       barrier,
       enhance,
       assign,
       preco"&amp;"ndition,
       check,
       IF(
         OR(AND(check=TRUE, REGEXMATCH(assign, ""SELF""), job=""ナイト""), AND(check=Option!$E$13, REGEXMATCH(assign, ""SINGLE_PARTY""))),
         IF(
           OR(ARRAYFORMULA((IF(precondition="""", FALSE, REGEXMATCH($K$4"&amp;":$ED$4, precondition))) * (K46:ED46=TRUE))),
           enhance,
           IF(barrier="""", buff, barrier)
         ),
         0
       ) *
       SWITCH(
         job,
         ""暗黒騎士"", EY$24,
         ""白魔道士"", EF46 * EH46 * EW46 * IF(abillity, 1, EG"&amp;"46 * EI46) * (Option!$D$22 * 0.81 / 100),
         ""占星術師"", EF46 * EJ46 * EW46 * IF(abillity, 1, EG46 * EK46) * (Option!$D$23 * 0.81 / 100),
         ""学者"", EF46 * EL46 * EW46 * IF(abillity, 1, EG46 * EM46) * (Option!$D$24 * 0.81 / 100),
         ""賢者"""&amp;", EF46 * EN46 * EW46 * IF(abillity, 1, EG46 * EO46) * (Option!$D$25 * 0.81 / 100),
         1
       )
     )
   )
 ) + EQ46"),0.0)</f>
        <v>0</v>
      </c>
      <c r="EY46" s="206">
        <f t="shared" si="8"/>
        <v>640</v>
      </c>
      <c r="EZ46" s="205">
        <f>IFERROR(__xludf.DUMMYFUNCTION("PRODUCT(
   MAP(
     IF($F46=""Physical"", K$10:ED$10, IF($F46=""Magic"", K$11:ED$11, K$12:ED$12)),
     IF($F46=""Physical"", K$18:ED$18, IF($F46=""Magic"", K$19:ED$19, K$20:ED$20)),
     K$3:ED$3,
     K$5:ED$5,
     K$17:ED$17,
     K46:ED46,
     LAM"&amp;"BDA(
       mitigation,
       enhance,
       job,
       assign,
       precondition,
       check,
       IF(
         OR(AND(check=TRUE, REGEXMATCH(assign, ""SELF""), job=""戦士""), AND(check=Option!$F$13, REGEXMATCH(assign, ""SINGLE_PARTY""))),
       "&amp;"  IF(
           OR(ARRAYFORMULA((IF(precondition="""", FALSE, REGEXMATCH($K$4:$ED$4, precondition))) * (K46:ED46=TRUE))),
           enhance,
           mitigation
         ),
         1
       )
     )
   )
 ) * EE46"),1.0)</f>
        <v>1</v>
      </c>
      <c r="FA46" s="206">
        <f t="shared" si="9"/>
        <v>640</v>
      </c>
      <c r="FB46" s="205">
        <f>IFERROR(__xludf.DUMMYFUNCTION("PRODUCT(
   MAP(
     K$3:ED$3,
     K$14:ED$14,
     K$13:ED$13,
     K46:ED46,
     LAMBDA(
       job,
       buff,
       target,
       check,
       IF(
         OR(AND(check=TRUE, REGEXMATCH(target, ""SELF_AFFECTED_ALL""), job=""戦士""), AND(check=Op"&amp;"tion!$F$13, REGEXMATCH(target, ""SINGLE_AFFECTED_ALL""))),
         buff,
         1
       )
     )
   )
 )"),1.0)</f>
        <v>1</v>
      </c>
      <c r="FC46" s="206">
        <f>IFERROR(__xludf.DUMMYFUNCTION("SUM(
   MAP(
     K$3:ED$3,
     K$7:ED$7,
     K$15:ED$15,
     K$16:ED$16,
     K$21:ED$21,
     K$5:ED$5,
     K$17:ED$17,
     K46:ED46,
     LAMBDA(
       job,
       abillity,
       buff,
       barrier,
       enhance,
       assign,
       preco"&amp;"ndition,
       check,
       IF(
         OR(AND(check=TRUE, REGEXMATCH(assign, ""SELF""), job=""戦士""), AND(check=Option!$F$13, REGEXMATCH(assign, ""SINGLE_PARTY""))),
         IF(
           OR(ARRAYFORMULA((IF(precondition="""", FALSE, REGEXMATCH($K$4:"&amp;"$ED$4, precondition))) * (K46:ED46=TRUE))),
           enhance,
           IF(barrier="""", buff, barrier)
         ),
         0
       ) *
       SWITCH(
         job,
         ""暗黒騎士"", FD$24,
         ""白魔道士"", EF46 * EH46 * FB46 * IF(abillity, 1, EG4"&amp;"6 * EI46) * (Option!$D$22 * 0.81 / 100),
         ""占星術師"", EF46 * EJ46 * FFB46 * IF(abillity, 1, EG46 * EK46) * (Option!$D$23 * 0.81 / 100),
         ""学者"", EF46 * EL46 * FB46 * IF(abillity, 1, EG46 * EM46) * (Option!$D$24 * 0.81 / 100),
         ""賢者"""&amp;", EF46 * EN46 * FB46 * IF(abillity, 1, EG46 * EO46) * (Option!$D$25 * 0.81 / 100),
         1
       )
     )
   )
 ) + EQ46"),0.0)</f>
        <v>0</v>
      </c>
      <c r="FD46" s="206">
        <f t="shared" si="10"/>
        <v>640</v>
      </c>
      <c r="FE46" s="205">
        <f>IFERROR(__xludf.DUMMYFUNCTION("PRODUCT(
   MAP(
     IF($F46=""Physical"", K$10:ED$10, IF($F46=""Magic"", K$11:ED$11, K$12:ED$12)),
     IF($F46=""Physical"", K$18:ED$18, IF($F46=""Magic"", K$19:ED$19, K$20:ED$20)),
     K$3:ED$3,
     K$5:ED$5,
     K$17:ED$17,
     K46:ED46,
     LAM"&amp;"BDA(
       mitigation,
       enhance,
       job,
       assign,
       precondition,
       check,
       IF(
         OR(AND(check=TRUE, REGEXMATCH(assign, ""SELF""), job=""暗黒騎士""), AND(check=Option!$G$13, REGEXMATCH(assign, ""SINGLE_PARTY""))),
     "&amp;"    IF(
           OR(ARRAYFORMULA((IF(precondition="""", FALSE, REGEXMATCH($K$4:$ED$4, precondition))) * (K46:ED46=TRUE))),
           enhance,
           mitigation
         ),
         1
       )
     )
   )
 ) * EE46"),1.0)</f>
        <v>1</v>
      </c>
      <c r="FF46" s="206">
        <f t="shared" si="11"/>
        <v>640</v>
      </c>
      <c r="FG46" s="205">
        <f>IFERROR(__xludf.DUMMYFUNCTION("PRODUCT(
   MAP(
     K$3:ED$3,
     K$14:ED$14,
     K$13:ED$13,
     K46:ED46,
     LAMBDA(
       job,
       buff,
       target,
       check,
       IF(
         OR(AND(check=TRUE, REGEXMATCH(target, ""SELF_AFFECTED_ALL""), job=""暗黒騎士""), AND(check="&amp;"Option!$G$13, REGEXMATCH(target, ""SINGLE_AFFECTED_ALL""))),
         buff,
         1
       )
     )
   )
 )"),1.0)</f>
        <v>1</v>
      </c>
      <c r="FH46" s="206">
        <f>IFERROR(__xludf.DUMMYFUNCTION("SUM(
   MAP(
     K$3:ED$3,
     K$7:ED$7,
     K$15:ED$15,
     K$16:ED$16,
     K$21:ED$21,
     K$5:ED$5,
     K$17:ED$17,
     K46:ED46,
     LAMBDA(
       job,
       abillity,
       buff,
       barrier,
       enhance,
       assign,
       preco"&amp;"ndition,
       check,
       IF(
         OR(AND(check=TRUE, REGEXMATCH(assign, ""SELF""), job=""暗黒騎士""), AND(check=Option!$G$13, REGEXMATCH(assign, ""SINGLE_PARTY""))),
         IF(
           OR(ARRAYFORMULA((IF(precondition="""", FALSE, REGEXMATCH($K$"&amp;"4:$ED$4, precondition))) * (K46:ED46=TRUE))),
           enhance,
           IF(barrier="""", buff, barrier)
         ),
         0
       ) *
       SWITCH(
         job,
         ""暗黒騎士"", FI$24,
         ""白魔道士"", EF46 * EH46 * FG46 * IF(abillity, 1, E"&amp;"G46 * EI46) * (Option!$D$22 * 0.81 / 100),
         ""占星術師"", EF46 * EJ46 * FG46 * IF(abillity, 1, EG46 * EK46) * (Option!$D$23 * 0.81 / 100),
         ""学者"", EF46 * EL46 * FG46 * IF(abillity, 1, EG46 * EM46) * (Option!$D$24 * 0.81 / 100),
         ""賢者"&amp;""", EF46 * EN46 * FG46 * IF(abillity, 1, EG46 * EO46) * (Option!$D$25 * 0.81 / 100),
         1
       )
     )
   )
 ) + EQ46"),0.0)</f>
        <v>0</v>
      </c>
      <c r="FI46" s="206">
        <f t="shared" si="12"/>
        <v>640</v>
      </c>
      <c r="FJ46" s="205">
        <f>IFERROR(__xludf.DUMMYFUNCTION("PRODUCT(
   MAP(
     IF($F46=""Physical"", K$10:ED$10, IF($F46=""Magic"", K$11:ED$11, K$12:ED$12)),
     IF($F46=""Physical"", K$18:ED$18, IF($F46=""Magic"", K$19:ED$19, K$20:ED$20)),
     K$3:ED$3,
     K$5:ED$5,
     K$17:ED$17,
     K46:ED46,
     LAM"&amp;"BDA(
       mitigation,
       enhance,
       job,
       assign,
       precondition,
       check,
       IF(
         OR(AND(check=TRUE, REGEXMATCH(assign, ""SELF""), job=""ガンブレイカー""), AND(check=Option!$H$13, REGEXMATCH(assign, ""SINGLE_PARTY""))),
  "&amp;"       IF(
           OR(ARRAYFORMULA((IF(precondition="""", FALSE, REGEXMATCH($K$4:$ED$4, precondition))) * (K46:ED46=TRUE))),
           enhance,
           mitigation
         ),
         1
       )
     )
   )
 ) * EE46"),1.0)</f>
        <v>1</v>
      </c>
      <c r="FK46" s="206">
        <f t="shared" si="13"/>
        <v>640</v>
      </c>
      <c r="FL46" s="205">
        <f>IFERROR(__xludf.DUMMYFUNCTION("PRODUCT(
   MAP(
     K$3:ED$3,
     K$14:ED$14,
     K$13:ED$13,
     K46:ED46,
     LAMBDA(
       job,
       buff,
       target,
       check,
       IF(
         OR(AND(check=TRUE, REGEXMATCH(target, ""SELF_AFFECTED_ALL""), job=""ガンブレイカー""), AND(che"&amp;"ck=Option!$H$13, REGEXMATCH(target, ""SINGLE_AFFECTED_ALL""))),
         buff,
         1
       )
     )
   )
 )"),1.0)</f>
        <v>1</v>
      </c>
      <c r="FM46" s="206">
        <f>IFERROR(__xludf.DUMMYFUNCTION("SUM(
   MAP(
     K$3:ED$3,
     K$7:ED$7,
     K$15:ED$15,
     K$16:ED$16,
     K$21:ED$21,
     K$5:ED$5,
     K$17:ED$17,
     K46:ED46,
     LAMBDA(
       job,
       abillity,
       buff,
       barrier,
       enhance,
       assign,
       preco"&amp;"ndition,
       check,
       IF(
         OR(AND(check=TRUE, REGEXMATCH(assign, ""SELF""), job=""ガンブレイカー""), AND(check=Option!$H$13, REGEXMATCH(assign, ""SINGLE_PARTY""))),
         IF(
           OR(ARRAYFORMULA((IF(precondition="""", FALSE, REGEXMATCH("&amp;"$K$4:$ED$4, precondition))) * (K46:ED46=TRUE))),
           enhance,
           IF(barrier="""", buff, barrier)
         ),
         0
       ) *
       SWITCH(
         job,
         ""暗黒騎士"", FN$24,
         ""白魔道士"", EF46 * EH46 * FL46 * IF(abillity, 1"&amp;", EG46 * EI46) * (Option!$D$22 * 0.81 / 100),
         ""占星術師"", EF46 * EJ46 * FL46 * IF(abillity, 1, EG46 * EK46) * (Option!$D$23 * 0.81 / 100),
         ""学者"", EF46 * EL46 * FL46 * IF(abillity, 1, EG46 * EM46) * (Option!$D$24 * 0.81 / 100),
         """&amp;"賢者"", EF46 * EN46 * FL46 * IF(abillity, 1, EG46 * EO46) * (Option!$D$25 * 0.81 / 100),
         1
       )
     )
   )
 ) + EQ46"),0.0)</f>
        <v>0</v>
      </c>
      <c r="FN46" s="206">
        <f t="shared" si="14"/>
        <v>640</v>
      </c>
      <c r="FO46" s="213"/>
    </row>
    <row r="47">
      <c r="C47" s="65"/>
      <c r="D47" s="65"/>
      <c r="G47" s="66"/>
      <c r="H47" s="4"/>
      <c r="I47" s="4"/>
      <c r="J47" s="4"/>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6"/>
      <c r="BS47" s="66"/>
      <c r="BT47" s="66"/>
      <c r="BU47" s="66"/>
      <c r="BV47" s="66"/>
      <c r="BW47" s="66"/>
      <c r="BX47" s="66"/>
      <c r="BY47" s="66"/>
      <c r="BZ47" s="66"/>
      <c r="CA47" s="66"/>
      <c r="CB47" s="66"/>
      <c r="CC47" s="66"/>
      <c r="CD47" s="66"/>
      <c r="CE47" s="66"/>
      <c r="CF47" s="66"/>
      <c r="CG47" s="66"/>
      <c r="CH47" s="66"/>
      <c r="CI47" s="66"/>
      <c r="CJ47" s="66"/>
      <c r="CK47" s="66"/>
      <c r="CL47" s="66"/>
      <c r="CM47" s="66"/>
      <c r="CN47" s="66"/>
      <c r="CO47" s="66"/>
      <c r="CP47" s="66"/>
      <c r="CQ47" s="66"/>
      <c r="CR47" s="66"/>
      <c r="CS47" s="66"/>
      <c r="CT47" s="66"/>
      <c r="CU47" s="66"/>
      <c r="CV47" s="66"/>
      <c r="CW47" s="66"/>
      <c r="CX47" s="66"/>
      <c r="CY47" s="66"/>
      <c r="CZ47" s="66"/>
      <c r="DA47" s="66"/>
      <c r="DB47" s="66"/>
      <c r="DC47" s="66"/>
      <c r="DD47" s="66"/>
      <c r="DE47" s="66"/>
      <c r="DF47" s="66"/>
      <c r="DG47" s="66"/>
      <c r="DH47" s="66"/>
      <c r="DI47" s="68"/>
      <c r="DJ47" s="66"/>
      <c r="DK47" s="66"/>
      <c r="DL47" s="66"/>
      <c r="DM47" s="66"/>
      <c r="DN47" s="66"/>
      <c r="DO47" s="66"/>
      <c r="DP47" s="66"/>
      <c r="DQ47" s="66"/>
      <c r="DR47" s="66"/>
      <c r="DS47" s="66"/>
      <c r="DT47" s="66"/>
      <c r="DU47" s="66"/>
      <c r="DV47" s="66"/>
      <c r="DW47" s="66"/>
      <c r="DX47" s="66"/>
      <c r="DY47" s="66"/>
      <c r="DZ47" s="66"/>
      <c r="EA47" s="69"/>
      <c r="EB47" s="66"/>
      <c r="EC47" s="66"/>
      <c r="ED47" s="66"/>
      <c r="EE47" s="3"/>
      <c r="EF47" s="4"/>
      <c r="EG47" s="4"/>
      <c r="EH47" s="4"/>
      <c r="EI47" s="4"/>
      <c r="EJ47" s="4"/>
      <c r="EK47" s="4"/>
      <c r="EL47" s="4"/>
      <c r="EM47" s="4"/>
      <c r="EN47" s="4"/>
      <c r="EO47" s="4"/>
      <c r="EP47" s="4"/>
      <c r="EQ47" s="70"/>
      <c r="ER47" s="70"/>
      <c r="ES47" s="70"/>
      <c r="ET47" s="204"/>
      <c r="EU47" s="71"/>
      <c r="EV47" s="70"/>
      <c r="EW47" s="70"/>
      <c r="EX47" s="70"/>
      <c r="EY47" s="70"/>
      <c r="EZ47" s="71"/>
      <c r="FA47" s="70"/>
      <c r="FB47" s="70"/>
      <c r="FC47" s="70"/>
      <c r="FD47" s="70"/>
      <c r="FE47" s="71"/>
      <c r="FF47" s="70"/>
      <c r="FG47" s="70"/>
      <c r="FH47" s="70"/>
      <c r="FI47" s="70"/>
      <c r="FJ47" s="71"/>
      <c r="FK47" s="70"/>
      <c r="FL47" s="70"/>
      <c r="FM47" s="70"/>
      <c r="FN47" s="70"/>
      <c r="FO47" s="70"/>
    </row>
  </sheetData>
  <mergeCells count="43">
    <mergeCell ref="BY23:CS23"/>
    <mergeCell ref="CT23:DI23"/>
    <mergeCell ref="EE23:EE24"/>
    <mergeCell ref="EF23:EG23"/>
    <mergeCell ref="EH23:EI23"/>
    <mergeCell ref="EJ23:EK23"/>
    <mergeCell ref="EL23:EM23"/>
    <mergeCell ref="EN23:EO23"/>
    <mergeCell ref="EP23:EP24"/>
    <mergeCell ref="EQ23:EQ24"/>
    <mergeCell ref="AF24:AG24"/>
    <mergeCell ref="AZ24:BA24"/>
    <mergeCell ref="BB24:BC24"/>
    <mergeCell ref="BS24:BT24"/>
    <mergeCell ref="B22:B24"/>
    <mergeCell ref="C22:D24"/>
    <mergeCell ref="E22:E24"/>
    <mergeCell ref="F22:G24"/>
    <mergeCell ref="H22:J23"/>
    <mergeCell ref="K22:ED22"/>
    <mergeCell ref="ER22:ES23"/>
    <mergeCell ref="BV24:BW24"/>
    <mergeCell ref="EE22:EQ22"/>
    <mergeCell ref="EU22:EX22"/>
    <mergeCell ref="EZ22:FC22"/>
    <mergeCell ref="FE22:FH22"/>
    <mergeCell ref="FJ22:FM22"/>
    <mergeCell ref="K23:S23"/>
    <mergeCell ref="T23:AB23"/>
    <mergeCell ref="AC23:AK23"/>
    <mergeCell ref="AL23:AR23"/>
    <mergeCell ref="AS23:BD23"/>
    <mergeCell ref="BE23:BX23"/>
    <mergeCell ref="DJ23:DK23"/>
    <mergeCell ref="DQ23:DR23"/>
    <mergeCell ref="DS23:DT23"/>
    <mergeCell ref="DU23:DV23"/>
    <mergeCell ref="DY23:DZ23"/>
    <mergeCell ref="EA23:EC23"/>
    <mergeCell ref="EU23:EY23"/>
    <mergeCell ref="EZ23:FD23"/>
    <mergeCell ref="FE23:FI23"/>
    <mergeCell ref="FJ23:FN23"/>
  </mergeCells>
  <conditionalFormatting sqref="K25:ED46">
    <cfRule type="expression" dxfId="7" priority="1">
      <formula>OR(COUNTIFS($D$25:$D25,"&gt;"&amp;$D25 - K$8/(60*60*24), K$25:K25, "=TRUE", K$24:K24, "&lt;&gt;TRUE"), COUNTIFS($D$25:$D25,"&gt;"&amp;$D25 - K$8/(60*60*24), K$25:K25, "&lt;&gt;TRUE", K$25:K25, "&lt;&gt;FALSE", K$25:K25, "&lt;&gt;-", K$24:K24, "=-"), IF(ISBLANK($K6), COUNTIFS($D$25,"&gt;"&amp;$D25 - K$8/(60*60*24), K$25, "&lt;&gt;TRUE", K$25, "&lt;&gt;FALSE", K$25, "&lt;&gt;-"), 0))</formula>
    </cfRule>
  </conditionalFormatting>
  <conditionalFormatting sqref="K25:ED46">
    <cfRule type="expression" dxfId="8" priority="2">
      <formula>IF(K$6&gt;1, 0, COUNTIFS($D$25:$D25,"&gt;"&amp;$D25 - K$9/(60*60*24), K$25:K25, "=TRUE", K$24:K24, "&lt;&gt;TRUE")+COUNTIFS($D$25:$D25,"&gt;"&amp;$D25 - K$9/(60*60*24), K$25:K25, "&lt;&gt;TRUE", K$25:K25, "&lt;&gt;FALSE", K$25:K25, "&lt;&gt;-", K$24:K24, "=-")+COUNTIFS($D$25,"&gt;"&amp;$D25 - K$9/(60*60*24), K$25, "&lt;&gt;TRUE", K$25, "&lt;&gt;FALSE", K$25, "&lt;&gt;-")) &gt;0</formula>
    </cfRule>
  </conditionalFormatting>
  <conditionalFormatting sqref="K25:ED46">
    <cfRule type="expression" dxfId="8" priority="3">
      <formula>AND(K$6 &gt; 1, L25 = 0)</formula>
    </cfRule>
  </conditionalFormatting>
  <conditionalFormatting sqref="K25:ED46">
    <cfRule type="expression" dxfId="9" priority="4">
      <formula>AND(K$6 &gt; 1, L25 &lt; K$6)</formula>
    </cfRule>
  </conditionalFormatting>
  <conditionalFormatting sqref="E25:E46">
    <cfRule type="containsText" dxfId="10" priority="5" operator="containsText" text="AA">
      <formula>NOT(ISERROR(SEARCH(("AA"),(E25))))</formula>
    </cfRule>
  </conditionalFormatting>
  <dataValidations>
    <dataValidation type="list" allowBlank="1" sqref="F25:F46">
      <formula1>"Physical,Magic,Unique"</formula1>
    </dataValidation>
    <dataValidation type="list" allowBlank="1" showErrorMessage="1" sqref="DV25:DV46">
      <formula1>"-,0,1,2,3,4"</formula1>
    </dataValidation>
    <dataValidation type="list" allowBlank="1" sqref="N25:N46 V25:V46 AE25:AF46 AN25:AN46 AY25:AZ46 BB25:BB46 BD25:BD46 BO25:BS46 BU25:BV46 BX25:BX46 CM25:CQ46 DD25:DG46">
      <formula1>Option!$D$14:$X$14</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4.0" topLeftCell="F25" activePane="bottomRight" state="frozen"/>
      <selection activeCell="F1" sqref="F1" pane="topRight"/>
      <selection activeCell="A25" sqref="A25" pane="bottomLeft"/>
      <selection activeCell="F25" sqref="F25" pane="bottomRight"/>
    </sheetView>
  </sheetViews>
  <sheetFormatPr customHeight="1" defaultColWidth="12.63" defaultRowHeight="15.75"/>
  <cols>
    <col customWidth="1" min="1" max="1" width="2.63"/>
    <col customWidth="1" min="2" max="4" width="6.38"/>
    <col customWidth="1" min="5" max="5" width="41.38"/>
    <col customWidth="1" min="6" max="6" width="10.38"/>
    <col customWidth="1" min="7" max="7" width="2.88"/>
    <col customWidth="1" min="8" max="8" width="9.5"/>
    <col customWidth="1" min="9" max="9" width="8.88"/>
    <col customWidth="1" min="10" max="10" width="3.88"/>
    <col customWidth="1" min="11" max="13" width="3.25"/>
    <col customWidth="1" min="14" max="14" width="6.38"/>
    <col customWidth="1" min="15" max="19" width="3.25"/>
    <col customWidth="1" hidden="1" min="20" max="21" width="3.25"/>
    <col customWidth="1" hidden="1" min="22" max="22" width="6.38"/>
    <col customWidth="1" hidden="1" min="23" max="28" width="3.25"/>
    <col customWidth="1" min="29" max="30" width="3.25"/>
    <col customWidth="1" min="31" max="32" width="6.38"/>
    <col customWidth="1" min="33" max="37" width="3.25"/>
    <col customWidth="1" hidden="1" min="38" max="39" width="3.25"/>
    <col customWidth="1" hidden="1" min="40" max="40" width="6.38"/>
    <col customWidth="1" hidden="1" min="41" max="50" width="3.25"/>
    <col customWidth="1" hidden="1" min="51" max="52" width="6.38"/>
    <col customWidth="1" hidden="1" min="53" max="53" width="3.25"/>
    <col customWidth="1" hidden="1" min="54" max="54" width="6.38"/>
    <col customWidth="1" hidden="1" min="55" max="55" width="3.25"/>
    <col customWidth="1" hidden="1" min="56" max="56" width="6.38"/>
    <col customWidth="1" min="57" max="64" width="3.25"/>
    <col customWidth="1" hidden="1" min="65" max="66" width="3.25"/>
    <col customWidth="1" hidden="1" min="67" max="71" width="6.38"/>
    <col customWidth="1" hidden="1" min="72" max="72" width="3.25"/>
    <col customWidth="1" hidden="1" min="73" max="74" width="6.38"/>
    <col customWidth="1" hidden="1" min="75" max="75" width="3.25"/>
    <col customWidth="1" hidden="1" min="76" max="76" width="6.38"/>
    <col customWidth="1" min="77" max="80" width="3.25"/>
    <col customWidth="1" hidden="1" min="81" max="81" width="3.25"/>
    <col customWidth="1" min="82" max="89" width="3.25"/>
    <col customWidth="1" hidden="1" min="90" max="90" width="3.25"/>
    <col customWidth="1" hidden="1" min="91" max="95" width="6.38"/>
    <col customWidth="1" min="96" max="96" width="3.25"/>
    <col customWidth="1" min="97" max="97" width="5.75"/>
    <col customWidth="1" hidden="1" min="98" max="107" width="3.25"/>
    <col customWidth="1" hidden="1" min="108" max="111" width="6.38"/>
    <col customWidth="1" hidden="1" min="112" max="112" width="3.25"/>
    <col customWidth="1" hidden="1" min="113" max="113" width="5.75"/>
    <col customWidth="1" hidden="1" min="114" max="117" width="3.25"/>
    <col customWidth="1" min="118" max="118" width="3.25"/>
    <col customWidth="1" hidden="1" min="119" max="120" width="3.25"/>
    <col customWidth="1" min="121" max="122" width="3.25"/>
    <col customWidth="1" hidden="1" min="123" max="125" width="3.25"/>
    <col customWidth="1" hidden="1" min="126" max="126" width="3.88"/>
    <col customWidth="1" hidden="1" min="127" max="127" width="3.25"/>
    <col customWidth="1" min="128" max="130" width="3.25"/>
    <col customWidth="1" hidden="1" min="131" max="133" width="3.25"/>
    <col customWidth="1" min="134" max="134" width="3.25"/>
    <col customWidth="1" hidden="1" min="135" max="147" width="8.88"/>
    <col customWidth="1" min="148" max="149" width="9.5"/>
    <col customWidth="1" min="150" max="150" width="13.5"/>
    <col customWidth="1" hidden="1" min="151" max="154" width="8.88"/>
    <col customWidth="1" min="155" max="155" width="13.5"/>
    <col customWidth="1" hidden="1" min="156" max="159" width="8.88"/>
    <col customWidth="1" min="160" max="160" width="13.5"/>
    <col customWidth="1" hidden="1" min="161" max="164" width="8.88"/>
    <col customWidth="1" min="165" max="165" width="13.5"/>
    <col customWidth="1" hidden="1" min="166" max="169" width="8.88"/>
    <col customWidth="1" min="170" max="171" width="13.5"/>
  </cols>
  <sheetData>
    <row r="1" hidden="1">
      <c r="B1" s="1"/>
      <c r="C1" s="65"/>
      <c r="D1" s="65"/>
      <c r="G1" s="66"/>
      <c r="H1" s="4"/>
      <c r="I1" s="4"/>
      <c r="J1" s="4"/>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7" t="s">
        <v>1035</v>
      </c>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8"/>
      <c r="DJ1" s="66"/>
      <c r="DK1" s="66"/>
      <c r="DL1" s="66"/>
      <c r="DM1" s="66"/>
      <c r="DN1" s="66"/>
      <c r="DO1" s="66"/>
      <c r="DP1" s="66"/>
      <c r="DQ1" s="66"/>
      <c r="DR1" s="66"/>
      <c r="DS1" s="66"/>
      <c r="DT1" s="66"/>
      <c r="DU1" s="66"/>
      <c r="DV1" s="66"/>
      <c r="DW1" s="66"/>
      <c r="DX1" s="66"/>
      <c r="DY1" s="66"/>
      <c r="DZ1" s="66"/>
      <c r="EA1" s="69"/>
      <c r="EB1" s="66"/>
      <c r="EC1" s="66"/>
      <c r="ED1" s="66"/>
      <c r="EE1" s="3"/>
      <c r="EF1" s="4"/>
      <c r="EG1" s="4"/>
      <c r="EH1" s="4"/>
      <c r="EI1" s="4"/>
      <c r="EJ1" s="4"/>
      <c r="EK1" s="4"/>
      <c r="EL1" s="4"/>
      <c r="EM1" s="4"/>
      <c r="EN1" s="4"/>
      <c r="EO1" s="4"/>
      <c r="EP1" s="4"/>
      <c r="EQ1" s="70"/>
      <c r="ER1" s="70"/>
      <c r="ES1" s="70"/>
      <c r="ET1" s="70"/>
      <c r="EU1" s="71"/>
      <c r="EV1" s="70"/>
      <c r="EW1" s="70"/>
      <c r="EX1" s="70"/>
      <c r="EY1" s="70"/>
      <c r="EZ1" s="71"/>
      <c r="FA1" s="70"/>
      <c r="FB1" s="70"/>
      <c r="FC1" s="70"/>
      <c r="FD1" s="70"/>
      <c r="FE1" s="71"/>
      <c r="FF1" s="70"/>
      <c r="FG1" s="70"/>
      <c r="FH1" s="70"/>
      <c r="FI1" s="70"/>
      <c r="FJ1" s="71"/>
      <c r="FK1" s="70"/>
      <c r="FL1" s="70"/>
      <c r="FM1" s="70"/>
      <c r="FN1" s="70"/>
      <c r="FO1" s="70"/>
    </row>
    <row r="2" hidden="1">
      <c r="B2" s="72" t="s">
        <v>1036</v>
      </c>
      <c r="C2" s="73" t="s">
        <v>1037</v>
      </c>
      <c r="D2" s="74" t="s">
        <v>1038</v>
      </c>
      <c r="E2" s="73" t="s">
        <v>1039</v>
      </c>
      <c r="F2" s="73" t="s">
        <v>1040</v>
      </c>
      <c r="G2" s="73" t="s">
        <v>1040</v>
      </c>
      <c r="H2" s="75" t="s">
        <v>1041</v>
      </c>
      <c r="I2" s="75" t="s">
        <v>1041</v>
      </c>
      <c r="J2" s="75" t="s">
        <v>1041</v>
      </c>
      <c r="K2" s="76" t="s">
        <v>1042</v>
      </c>
      <c r="L2" s="76" t="s">
        <v>1042</v>
      </c>
      <c r="M2" s="76" t="s">
        <v>1043</v>
      </c>
      <c r="N2" s="76" t="s">
        <v>1042</v>
      </c>
      <c r="O2" s="76" t="s">
        <v>1042</v>
      </c>
      <c r="P2" s="76" t="s">
        <v>1042</v>
      </c>
      <c r="Q2" s="76" t="s">
        <v>1042</v>
      </c>
      <c r="R2" s="76" t="s">
        <v>1042</v>
      </c>
      <c r="S2" s="76" t="s">
        <v>1042</v>
      </c>
      <c r="T2" s="76" t="s">
        <v>1042</v>
      </c>
      <c r="U2" s="76" t="s">
        <v>1043</v>
      </c>
      <c r="V2" s="76" t="s">
        <v>1042</v>
      </c>
      <c r="W2" s="76" t="s">
        <v>1042</v>
      </c>
      <c r="X2" s="76" t="s">
        <v>1042</v>
      </c>
      <c r="Y2" s="76" t="s">
        <v>1042</v>
      </c>
      <c r="Z2" s="76" t="s">
        <v>1042</v>
      </c>
      <c r="AA2" s="76" t="s">
        <v>28</v>
      </c>
      <c r="AB2" s="76" t="s">
        <v>1042</v>
      </c>
      <c r="AC2" s="76" t="s">
        <v>1042</v>
      </c>
      <c r="AD2" s="76" t="s">
        <v>1042</v>
      </c>
      <c r="AE2" s="76" t="s">
        <v>1043</v>
      </c>
      <c r="AF2" s="76" t="s">
        <v>1042</v>
      </c>
      <c r="AG2" s="76" t="s">
        <v>1042</v>
      </c>
      <c r="AH2" s="76" t="s">
        <v>1042</v>
      </c>
      <c r="AI2" s="76" t="s">
        <v>1042</v>
      </c>
      <c r="AJ2" s="76" t="s">
        <v>1042</v>
      </c>
      <c r="AK2" s="76" t="s">
        <v>1042</v>
      </c>
      <c r="AL2" s="76" t="s">
        <v>1042</v>
      </c>
      <c r="AM2" s="76" t="s">
        <v>1042</v>
      </c>
      <c r="AN2" s="76" t="s">
        <v>1042</v>
      </c>
      <c r="AO2" s="76" t="s">
        <v>1042</v>
      </c>
      <c r="AP2" s="76" t="s">
        <v>1042</v>
      </c>
      <c r="AQ2" s="76" t="s">
        <v>1042</v>
      </c>
      <c r="AR2" s="76" t="s">
        <v>1042</v>
      </c>
      <c r="AS2" s="76" t="s">
        <v>1042</v>
      </c>
      <c r="AT2" s="76" t="s">
        <v>1043</v>
      </c>
      <c r="AU2" s="76" t="s">
        <v>28</v>
      </c>
      <c r="AV2" s="76" t="s">
        <v>28</v>
      </c>
      <c r="AW2" s="76" t="s">
        <v>28</v>
      </c>
      <c r="AX2" s="76" t="s">
        <v>28</v>
      </c>
      <c r="AY2" s="76" t="s">
        <v>1042</v>
      </c>
      <c r="AZ2" s="76" t="s">
        <v>1043</v>
      </c>
      <c r="BA2" s="76" t="s">
        <v>1043</v>
      </c>
      <c r="BB2" s="76" t="s">
        <v>28</v>
      </c>
      <c r="BC2" s="76" t="s">
        <v>28</v>
      </c>
      <c r="BD2" s="76" t="s">
        <v>28</v>
      </c>
      <c r="BE2" s="76" t="s">
        <v>1042</v>
      </c>
      <c r="BF2" s="76" t="s">
        <v>28</v>
      </c>
      <c r="BG2" s="76" t="s">
        <v>1042</v>
      </c>
      <c r="BH2" s="76" t="s">
        <v>1043</v>
      </c>
      <c r="BI2" s="76" t="s">
        <v>28</v>
      </c>
      <c r="BJ2" s="76" t="s">
        <v>28</v>
      </c>
      <c r="BK2" s="76" t="s">
        <v>28</v>
      </c>
      <c r="BL2" s="76" t="s">
        <v>28</v>
      </c>
      <c r="BM2" s="76" t="s">
        <v>1042</v>
      </c>
      <c r="BN2" s="76" t="s">
        <v>1042</v>
      </c>
      <c r="BO2" s="76" t="s">
        <v>1042</v>
      </c>
      <c r="BP2" s="76" t="s">
        <v>1042</v>
      </c>
      <c r="BQ2" s="76" t="s">
        <v>1042</v>
      </c>
      <c r="BR2" s="76" t="s">
        <v>1042</v>
      </c>
      <c r="BS2" s="76" t="s">
        <v>28</v>
      </c>
      <c r="BT2" s="76" t="s">
        <v>28</v>
      </c>
      <c r="BU2" s="76" t="s">
        <v>1042</v>
      </c>
      <c r="BV2" s="76" t="s">
        <v>1043</v>
      </c>
      <c r="BW2" s="76" t="s">
        <v>1043</v>
      </c>
      <c r="BX2" s="76" t="s">
        <v>1043</v>
      </c>
      <c r="BY2" s="76" t="s">
        <v>1042</v>
      </c>
      <c r="BZ2" s="76" t="s">
        <v>1042</v>
      </c>
      <c r="CA2" s="76" t="s">
        <v>1042</v>
      </c>
      <c r="CB2" s="76" t="s">
        <v>1043</v>
      </c>
      <c r="CC2" s="76" t="s">
        <v>1043</v>
      </c>
      <c r="CD2" s="76" t="s">
        <v>28</v>
      </c>
      <c r="CE2" s="76" t="s">
        <v>28</v>
      </c>
      <c r="CF2" s="76" t="s">
        <v>28</v>
      </c>
      <c r="CG2" s="76" t="s">
        <v>1043</v>
      </c>
      <c r="CH2" s="76" t="s">
        <v>1043</v>
      </c>
      <c r="CI2" s="76" t="s">
        <v>28</v>
      </c>
      <c r="CJ2" s="76" t="s">
        <v>28</v>
      </c>
      <c r="CK2" s="76" t="s">
        <v>1042</v>
      </c>
      <c r="CL2" s="76" t="s">
        <v>1043</v>
      </c>
      <c r="CM2" s="76" t="s">
        <v>1043</v>
      </c>
      <c r="CN2" s="76" t="s">
        <v>28</v>
      </c>
      <c r="CO2" s="76" t="s">
        <v>1042</v>
      </c>
      <c r="CP2" s="76" t="s">
        <v>1043</v>
      </c>
      <c r="CQ2" s="76" t="s">
        <v>1043</v>
      </c>
      <c r="CR2" s="76" t="s">
        <v>28</v>
      </c>
      <c r="CS2" s="76"/>
      <c r="CT2" s="76" t="s">
        <v>1042</v>
      </c>
      <c r="CU2" s="76" t="s">
        <v>1042</v>
      </c>
      <c r="CV2" s="76" t="s">
        <v>1043</v>
      </c>
      <c r="CW2" s="76" t="s">
        <v>1043</v>
      </c>
      <c r="CX2" s="76" t="s">
        <v>28</v>
      </c>
      <c r="CY2" s="76" t="s">
        <v>28</v>
      </c>
      <c r="CZ2" s="76" t="s">
        <v>28</v>
      </c>
      <c r="DA2" s="76" t="s">
        <v>28</v>
      </c>
      <c r="DB2" s="76" t="s">
        <v>28</v>
      </c>
      <c r="DC2" s="76" t="s">
        <v>28</v>
      </c>
      <c r="DD2" s="76" t="s">
        <v>28</v>
      </c>
      <c r="DE2" s="76" t="s">
        <v>1042</v>
      </c>
      <c r="DF2" s="76" t="s">
        <v>1043</v>
      </c>
      <c r="DG2" s="76" t="s">
        <v>1043</v>
      </c>
      <c r="DH2" s="76" t="s">
        <v>28</v>
      </c>
      <c r="DI2" s="77"/>
      <c r="DJ2" s="76" t="s">
        <v>1042</v>
      </c>
      <c r="DK2" s="76" t="s">
        <v>28</v>
      </c>
      <c r="DL2" s="76" t="s">
        <v>1042</v>
      </c>
      <c r="DM2" s="76" t="s">
        <v>1042</v>
      </c>
      <c r="DN2" s="76" t="s">
        <v>1042</v>
      </c>
      <c r="DO2" s="76" t="s">
        <v>1042</v>
      </c>
      <c r="DP2" s="76" t="s">
        <v>1042</v>
      </c>
      <c r="DQ2" s="76" t="s">
        <v>1042</v>
      </c>
      <c r="DR2" s="76" t="s">
        <v>28</v>
      </c>
      <c r="DS2" s="76" t="s">
        <v>1042</v>
      </c>
      <c r="DT2" s="76" t="s">
        <v>1042</v>
      </c>
      <c r="DU2" s="76" t="s">
        <v>1042</v>
      </c>
      <c r="DV2" s="76" t="s">
        <v>1043</v>
      </c>
      <c r="DW2" s="76" t="s">
        <v>1042</v>
      </c>
      <c r="DX2" s="76" t="s">
        <v>1042</v>
      </c>
      <c r="DY2" s="76" t="s">
        <v>1042</v>
      </c>
      <c r="DZ2" s="76" t="s">
        <v>1042</v>
      </c>
      <c r="EA2" s="78" t="s">
        <v>1042</v>
      </c>
      <c r="EB2" s="76" t="s">
        <v>1043</v>
      </c>
      <c r="EC2" s="76" t="s">
        <v>1043</v>
      </c>
      <c r="ED2" s="76" t="s">
        <v>1042</v>
      </c>
      <c r="EE2" s="75" t="s">
        <v>1042</v>
      </c>
      <c r="EF2" s="75" t="s">
        <v>28</v>
      </c>
      <c r="EG2" s="75" t="s">
        <v>28</v>
      </c>
      <c r="EH2" s="75" t="s">
        <v>28</v>
      </c>
      <c r="EI2" s="75" t="s">
        <v>28</v>
      </c>
      <c r="EJ2" s="75" t="s">
        <v>28</v>
      </c>
      <c r="EK2" s="75" t="s">
        <v>28</v>
      </c>
      <c r="EL2" s="75" t="s">
        <v>28</v>
      </c>
      <c r="EM2" s="75" t="s">
        <v>28</v>
      </c>
      <c r="EN2" s="75" t="s">
        <v>28</v>
      </c>
      <c r="EO2" s="75" t="s">
        <v>28</v>
      </c>
      <c r="EP2" s="75" t="s">
        <v>1042</v>
      </c>
      <c r="EQ2" s="75" t="s">
        <v>1043</v>
      </c>
      <c r="ER2" s="75" t="s">
        <v>1041</v>
      </c>
      <c r="ES2" s="75" t="s">
        <v>1041</v>
      </c>
      <c r="ET2" s="75"/>
      <c r="EU2" s="79" t="s">
        <v>1042</v>
      </c>
      <c r="EV2" s="75" t="s">
        <v>1042</v>
      </c>
      <c r="EW2" s="75" t="s">
        <v>28</v>
      </c>
      <c r="EX2" s="75" t="s">
        <v>1043</v>
      </c>
      <c r="EY2" s="75"/>
      <c r="EZ2" s="79" t="s">
        <v>1042</v>
      </c>
      <c r="FA2" s="75" t="s">
        <v>1042</v>
      </c>
      <c r="FB2" s="75" t="s">
        <v>28</v>
      </c>
      <c r="FC2" s="75" t="s">
        <v>1043</v>
      </c>
      <c r="FD2" s="75"/>
      <c r="FE2" s="79" t="s">
        <v>1042</v>
      </c>
      <c r="FF2" s="75" t="s">
        <v>1042</v>
      </c>
      <c r="FG2" s="75" t="s">
        <v>28</v>
      </c>
      <c r="FH2" s="75" t="s">
        <v>1043</v>
      </c>
      <c r="FI2" s="75"/>
      <c r="FJ2" s="79" t="s">
        <v>1042</v>
      </c>
      <c r="FK2" s="75" t="s">
        <v>1042</v>
      </c>
      <c r="FL2" s="75" t="s">
        <v>28</v>
      </c>
      <c r="FM2" s="75" t="s">
        <v>1043</v>
      </c>
      <c r="FN2" s="75"/>
      <c r="FO2" s="80"/>
    </row>
    <row r="3" hidden="1">
      <c r="B3" s="81" t="b">
        <f>Option!$C6</f>
        <v>1</v>
      </c>
      <c r="C3" s="82">
        <f t="array" ref="C3">IFERROR(INDEX('Phase Map'!$E$2:$E$12, MATCH(E3, 'Phase Map'!$C$2:$C$12, 0)), "hide")</f>
        <v>0.001701388889</v>
      </c>
      <c r="D3" s="83"/>
      <c r="E3" s="84" t="str">
        <f>GETSHEETNAME()</f>
        <v>Phase 2</v>
      </c>
      <c r="F3" s="84" t="s">
        <v>1044</v>
      </c>
      <c r="G3" s="84"/>
      <c r="H3" s="84"/>
      <c r="I3" s="84"/>
      <c r="J3" s="84"/>
      <c r="K3" s="85" t="s">
        <v>186</v>
      </c>
      <c r="L3" s="85" t="s">
        <v>186</v>
      </c>
      <c r="M3" s="85" t="s">
        <v>186</v>
      </c>
      <c r="N3" s="85" t="s">
        <v>186</v>
      </c>
      <c r="O3" s="85" t="s">
        <v>186</v>
      </c>
      <c r="P3" s="85" t="s">
        <v>186</v>
      </c>
      <c r="Q3" s="85" t="s">
        <v>186</v>
      </c>
      <c r="R3" s="85" t="s">
        <v>186</v>
      </c>
      <c r="S3" s="85" t="s">
        <v>186</v>
      </c>
      <c r="T3" s="85" t="s">
        <v>198</v>
      </c>
      <c r="U3" s="85" t="s">
        <v>198</v>
      </c>
      <c r="V3" s="85" t="s">
        <v>198</v>
      </c>
      <c r="W3" s="85" t="s">
        <v>198</v>
      </c>
      <c r="X3" s="85" t="s">
        <v>198</v>
      </c>
      <c r="Y3" s="85" t="s">
        <v>198</v>
      </c>
      <c r="Z3" s="85" t="s">
        <v>198</v>
      </c>
      <c r="AA3" s="85" t="s">
        <v>198</v>
      </c>
      <c r="AB3" s="85" t="s">
        <v>198</v>
      </c>
      <c r="AC3" s="85" t="s">
        <v>192</v>
      </c>
      <c r="AD3" s="85" t="s">
        <v>192</v>
      </c>
      <c r="AE3" s="85" t="s">
        <v>192</v>
      </c>
      <c r="AF3" s="85" t="s">
        <v>192</v>
      </c>
      <c r="AG3" s="85" t="s">
        <v>1044</v>
      </c>
      <c r="AH3" s="85" t="s">
        <v>192</v>
      </c>
      <c r="AI3" s="85" t="s">
        <v>192</v>
      </c>
      <c r="AJ3" s="85" t="s">
        <v>192</v>
      </c>
      <c r="AK3" s="85" t="s">
        <v>192</v>
      </c>
      <c r="AL3" s="85" t="s">
        <v>180</v>
      </c>
      <c r="AM3" s="85" t="s">
        <v>180</v>
      </c>
      <c r="AN3" s="85" t="s">
        <v>180</v>
      </c>
      <c r="AO3" s="85" t="s">
        <v>180</v>
      </c>
      <c r="AP3" s="85" t="s">
        <v>180</v>
      </c>
      <c r="AQ3" s="85" t="s">
        <v>180</v>
      </c>
      <c r="AR3" s="85" t="s">
        <v>180</v>
      </c>
      <c r="AS3" s="85" t="s">
        <v>72</v>
      </c>
      <c r="AT3" s="85" t="s">
        <v>72</v>
      </c>
      <c r="AU3" s="85" t="s">
        <v>72</v>
      </c>
      <c r="AV3" s="85" t="s">
        <v>72</v>
      </c>
      <c r="AW3" s="85" t="s">
        <v>72</v>
      </c>
      <c r="AX3" s="85" t="s">
        <v>72</v>
      </c>
      <c r="AY3" s="85" t="s">
        <v>72</v>
      </c>
      <c r="AZ3" s="85" t="s">
        <v>72</v>
      </c>
      <c r="BA3" s="85" t="s">
        <v>1044</v>
      </c>
      <c r="BB3" s="85" t="s">
        <v>72</v>
      </c>
      <c r="BC3" s="85" t="s">
        <v>1044</v>
      </c>
      <c r="BD3" s="85" t="s">
        <v>72</v>
      </c>
      <c r="BE3" s="85" t="s">
        <v>65</v>
      </c>
      <c r="BF3" s="85" t="s">
        <v>65</v>
      </c>
      <c r="BG3" s="85" t="s">
        <v>65</v>
      </c>
      <c r="BH3" s="85" t="s">
        <v>65</v>
      </c>
      <c r="BI3" s="85" t="s">
        <v>65</v>
      </c>
      <c r="BJ3" s="85" t="s">
        <v>65</v>
      </c>
      <c r="BK3" s="85" t="s">
        <v>65</v>
      </c>
      <c r="BL3" s="85" t="s">
        <v>65</v>
      </c>
      <c r="BM3" s="85" t="s">
        <v>65</v>
      </c>
      <c r="BN3" s="85" t="s">
        <v>65</v>
      </c>
      <c r="BO3" s="85" t="s">
        <v>65</v>
      </c>
      <c r="BP3" s="85" t="s">
        <v>65</v>
      </c>
      <c r="BQ3" s="85" t="s">
        <v>65</v>
      </c>
      <c r="BR3" s="85" t="s">
        <v>65</v>
      </c>
      <c r="BS3" s="85" t="s">
        <v>65</v>
      </c>
      <c r="BT3" s="85" t="s">
        <v>1044</v>
      </c>
      <c r="BU3" s="85" t="s">
        <v>65</v>
      </c>
      <c r="BV3" s="85" t="s">
        <v>65</v>
      </c>
      <c r="BW3" s="85" t="s">
        <v>1044</v>
      </c>
      <c r="BX3" s="85" t="s">
        <v>65</v>
      </c>
      <c r="BY3" s="85" t="s">
        <v>43</v>
      </c>
      <c r="BZ3" s="85" t="s">
        <v>43</v>
      </c>
      <c r="CA3" s="85" t="s">
        <v>43</v>
      </c>
      <c r="CB3" s="85" t="s">
        <v>43</v>
      </c>
      <c r="CC3" s="85" t="s">
        <v>43</v>
      </c>
      <c r="CD3" s="85" t="s">
        <v>43</v>
      </c>
      <c r="CE3" s="85" t="s">
        <v>43</v>
      </c>
      <c r="CF3" s="85" t="s">
        <v>43</v>
      </c>
      <c r="CG3" s="85" t="s">
        <v>43</v>
      </c>
      <c r="CH3" s="85" t="s">
        <v>43</v>
      </c>
      <c r="CI3" s="85" t="s">
        <v>43</v>
      </c>
      <c r="CJ3" s="85" t="s">
        <v>43</v>
      </c>
      <c r="CK3" s="85" t="s">
        <v>43</v>
      </c>
      <c r="CL3" s="85" t="s">
        <v>43</v>
      </c>
      <c r="CM3" s="85" t="s">
        <v>43</v>
      </c>
      <c r="CN3" s="85" t="s">
        <v>43</v>
      </c>
      <c r="CO3" s="86" t="s">
        <v>43</v>
      </c>
      <c r="CP3" s="86" t="s">
        <v>43</v>
      </c>
      <c r="CQ3" s="86" t="s">
        <v>43</v>
      </c>
      <c r="CR3" s="86" t="s">
        <v>43</v>
      </c>
      <c r="CS3" s="86" t="s">
        <v>43</v>
      </c>
      <c r="CT3" s="85" t="s">
        <v>60</v>
      </c>
      <c r="CU3" s="85" t="s">
        <v>60</v>
      </c>
      <c r="CV3" s="85" t="s">
        <v>60</v>
      </c>
      <c r="CW3" s="85" t="s">
        <v>60</v>
      </c>
      <c r="CX3" s="85" t="s">
        <v>60</v>
      </c>
      <c r="CY3" s="85" t="s">
        <v>60</v>
      </c>
      <c r="CZ3" s="85" t="s">
        <v>60</v>
      </c>
      <c r="DA3" s="85" t="s">
        <v>60</v>
      </c>
      <c r="DB3" s="85" t="s">
        <v>60</v>
      </c>
      <c r="DC3" s="85" t="s">
        <v>60</v>
      </c>
      <c r="DD3" s="85" t="s">
        <v>60</v>
      </c>
      <c r="DE3" s="86" t="s">
        <v>60</v>
      </c>
      <c r="DF3" s="86" t="s">
        <v>60</v>
      </c>
      <c r="DG3" s="86" t="s">
        <v>60</v>
      </c>
      <c r="DH3" s="86" t="s">
        <v>60</v>
      </c>
      <c r="DI3" s="87" t="s">
        <v>60</v>
      </c>
      <c r="DJ3" s="85" t="s">
        <v>767</v>
      </c>
      <c r="DK3" s="88" t="s">
        <v>767</v>
      </c>
      <c r="DL3" s="85" t="s">
        <v>1045</v>
      </c>
      <c r="DM3" s="85" t="s">
        <v>1046</v>
      </c>
      <c r="DN3" s="85" t="s">
        <v>1047</v>
      </c>
      <c r="DO3" s="85" t="s">
        <v>1048</v>
      </c>
      <c r="DP3" s="85" t="s">
        <v>1049</v>
      </c>
      <c r="DQ3" s="85" t="s">
        <v>118</v>
      </c>
      <c r="DR3" s="85" t="s">
        <v>118</v>
      </c>
      <c r="DS3" s="85" t="s">
        <v>102</v>
      </c>
      <c r="DT3" s="85" t="s">
        <v>102</v>
      </c>
      <c r="DU3" s="85" t="s">
        <v>149</v>
      </c>
      <c r="DV3" s="85" t="s">
        <v>149</v>
      </c>
      <c r="DW3" s="85" t="s">
        <v>1050</v>
      </c>
      <c r="DX3" s="85" t="s">
        <v>1051</v>
      </c>
      <c r="DY3" s="85" t="s">
        <v>316</v>
      </c>
      <c r="DZ3" s="85" t="s">
        <v>316</v>
      </c>
      <c r="EA3" s="89" t="s">
        <v>278</v>
      </c>
      <c r="EB3" s="89" t="s">
        <v>278</v>
      </c>
      <c r="EC3" s="89" t="s">
        <v>278</v>
      </c>
      <c r="ED3" s="85" t="s">
        <v>93</v>
      </c>
      <c r="EE3" s="90" t="s">
        <v>1044</v>
      </c>
      <c r="EF3" s="90" t="s">
        <v>1044</v>
      </c>
      <c r="EG3" s="90" t="s">
        <v>1044</v>
      </c>
      <c r="EH3" s="90" t="s">
        <v>1044</v>
      </c>
      <c r="EI3" s="90" t="s">
        <v>1044</v>
      </c>
      <c r="EJ3" s="90" t="s">
        <v>1044</v>
      </c>
      <c r="EK3" s="90" t="s">
        <v>1044</v>
      </c>
      <c r="EL3" s="90" t="s">
        <v>1044</v>
      </c>
      <c r="EM3" s="90" t="s">
        <v>1044</v>
      </c>
      <c r="EN3" s="90" t="s">
        <v>1044</v>
      </c>
      <c r="EO3" s="90" t="s">
        <v>1044</v>
      </c>
      <c r="EP3" s="90" t="s">
        <v>1044</v>
      </c>
      <c r="EQ3" s="90" t="s">
        <v>1044</v>
      </c>
      <c r="ER3" s="84"/>
      <c r="ES3" s="84"/>
      <c r="ET3" s="84"/>
      <c r="EU3" s="90" t="s">
        <v>1044</v>
      </c>
      <c r="EV3" s="85" t="s">
        <v>1044</v>
      </c>
      <c r="EW3" s="85" t="s">
        <v>1044</v>
      </c>
      <c r="EX3" s="85" t="s">
        <v>1044</v>
      </c>
      <c r="EY3" s="85" t="s">
        <v>186</v>
      </c>
      <c r="EZ3" s="90" t="s">
        <v>1044</v>
      </c>
      <c r="FA3" s="85" t="s">
        <v>1044</v>
      </c>
      <c r="FB3" s="85" t="s">
        <v>1044</v>
      </c>
      <c r="FC3" s="85" t="s">
        <v>1044</v>
      </c>
      <c r="FD3" s="85" t="s">
        <v>198</v>
      </c>
      <c r="FE3" s="90" t="s">
        <v>1044</v>
      </c>
      <c r="FF3" s="85" t="s">
        <v>1044</v>
      </c>
      <c r="FG3" s="85" t="s">
        <v>1044</v>
      </c>
      <c r="FH3" s="85" t="s">
        <v>1044</v>
      </c>
      <c r="FI3" s="85" t="s">
        <v>192</v>
      </c>
      <c r="FJ3" s="90" t="s">
        <v>1044</v>
      </c>
      <c r="FK3" s="85" t="s">
        <v>1044</v>
      </c>
      <c r="FL3" s="85" t="s">
        <v>1044</v>
      </c>
      <c r="FM3" s="85" t="s">
        <v>1044</v>
      </c>
      <c r="FN3" s="85" t="s">
        <v>180</v>
      </c>
      <c r="FO3" s="91"/>
    </row>
    <row r="4" hidden="1">
      <c r="B4" s="92" t="b">
        <f>Option!$C7</f>
        <v>1</v>
      </c>
      <c r="C4" s="93">
        <f t="array" ref="C4">IFERROR(INDEX('Phase Map'!$D$2:$D$12, MATCH(E3, 'Phase Map'!$C$2:$C$12, 0)), "")</f>
        <v>0.00380787037</v>
      </c>
      <c r="D4" s="83"/>
      <c r="E4" s="84" t="s">
        <v>1</v>
      </c>
      <c r="F4" s="84"/>
      <c r="G4" s="84"/>
      <c r="H4" s="84"/>
      <c r="I4" s="84"/>
      <c r="J4" s="84"/>
      <c r="K4" s="85" t="s">
        <v>94</v>
      </c>
      <c r="L4" s="85" t="s">
        <v>679</v>
      </c>
      <c r="M4" s="85" t="s">
        <v>271</v>
      </c>
      <c r="N4" s="85" t="s">
        <v>479</v>
      </c>
      <c r="O4" s="85" t="s">
        <v>172</v>
      </c>
      <c r="P4" s="85" t="s">
        <v>856</v>
      </c>
      <c r="Q4" s="85" t="s">
        <v>187</v>
      </c>
      <c r="R4" s="85" t="s">
        <v>485</v>
      </c>
      <c r="S4" s="85" t="s">
        <v>888</v>
      </c>
      <c r="T4" s="85" t="s">
        <v>94</v>
      </c>
      <c r="U4" s="84" t="s">
        <v>660</v>
      </c>
      <c r="V4" s="84" t="s">
        <v>505</v>
      </c>
      <c r="W4" s="84" t="s">
        <v>172</v>
      </c>
      <c r="X4" s="84" t="s">
        <v>622</v>
      </c>
      <c r="Y4" s="84" t="s">
        <v>199</v>
      </c>
      <c r="Z4" s="84" t="s">
        <v>498</v>
      </c>
      <c r="AA4" s="84" t="s">
        <v>465</v>
      </c>
      <c r="AB4" s="84" t="s">
        <v>939</v>
      </c>
      <c r="AC4" s="85" t="s">
        <v>94</v>
      </c>
      <c r="AD4" s="85" t="s">
        <v>629</v>
      </c>
      <c r="AE4" s="85" t="s">
        <v>686</v>
      </c>
      <c r="AF4" s="85" t="s">
        <v>492</v>
      </c>
      <c r="AG4" s="85"/>
      <c r="AH4" s="85" t="s">
        <v>172</v>
      </c>
      <c r="AI4" s="85" t="s">
        <v>909</v>
      </c>
      <c r="AJ4" s="94" t="s">
        <v>193</v>
      </c>
      <c r="AK4" s="84" t="s">
        <v>895</v>
      </c>
      <c r="AL4" s="85" t="s">
        <v>94</v>
      </c>
      <c r="AM4" s="85" t="s">
        <v>760</v>
      </c>
      <c r="AN4" s="85" t="s">
        <v>472</v>
      </c>
      <c r="AO4" s="85" t="s">
        <v>172</v>
      </c>
      <c r="AP4" s="94" t="s">
        <v>1026</v>
      </c>
      <c r="AQ4" s="85" t="s">
        <v>181</v>
      </c>
      <c r="AR4" s="84" t="s">
        <v>881</v>
      </c>
      <c r="AS4" s="85" t="s">
        <v>74</v>
      </c>
      <c r="AT4" s="85" t="s">
        <v>73</v>
      </c>
      <c r="AU4" s="85" t="s">
        <v>204</v>
      </c>
      <c r="AV4" s="95" t="s">
        <v>874</v>
      </c>
      <c r="AW4" s="95" t="s">
        <v>849</v>
      </c>
      <c r="AX4" s="95" t="s">
        <v>234</v>
      </c>
      <c r="AY4" s="85" t="s">
        <v>329</v>
      </c>
      <c r="AZ4" s="85" t="s">
        <v>303</v>
      </c>
      <c r="BA4" s="85"/>
      <c r="BB4" s="85" t="s">
        <v>143</v>
      </c>
      <c r="BC4" s="85"/>
      <c r="BD4" s="85" t="s">
        <v>902</v>
      </c>
      <c r="BE4" s="85" t="s">
        <v>835</v>
      </c>
      <c r="BF4" s="85" t="s">
        <v>67</v>
      </c>
      <c r="BG4" s="85" t="s">
        <v>66</v>
      </c>
      <c r="BH4" s="85" t="s">
        <v>167</v>
      </c>
      <c r="BI4" s="95" t="s">
        <v>815</v>
      </c>
      <c r="BJ4" s="95" t="s">
        <v>803</v>
      </c>
      <c r="BK4" s="95" t="s">
        <v>648</v>
      </c>
      <c r="BL4" s="95" t="s">
        <v>221</v>
      </c>
      <c r="BM4" s="95" t="s">
        <v>978</v>
      </c>
      <c r="BN4" s="95" t="s">
        <v>736</v>
      </c>
      <c r="BO4" s="95" t="s">
        <v>987</v>
      </c>
      <c r="BP4" s="95" t="s">
        <v>998</v>
      </c>
      <c r="BQ4" s="95" t="s">
        <v>1003</v>
      </c>
      <c r="BR4" s="95" t="s">
        <v>993</v>
      </c>
      <c r="BS4" s="95" t="s">
        <v>130</v>
      </c>
      <c r="BT4" s="95"/>
      <c r="BU4" s="95" t="s">
        <v>324</v>
      </c>
      <c r="BV4" s="85" t="s">
        <v>296</v>
      </c>
      <c r="BW4" s="85"/>
      <c r="BX4" s="95" t="s">
        <v>375</v>
      </c>
      <c r="BY4" s="85" t="s">
        <v>945</v>
      </c>
      <c r="BZ4" s="85" t="s">
        <v>610</v>
      </c>
      <c r="CA4" s="85" t="s">
        <v>209</v>
      </c>
      <c r="CB4" s="85" t="s">
        <v>284</v>
      </c>
      <c r="CC4" s="85" t="s">
        <v>157</v>
      </c>
      <c r="CD4" s="85" t="s">
        <v>1008</v>
      </c>
      <c r="CE4" s="85" t="s">
        <v>862</v>
      </c>
      <c r="CF4" s="85" t="s">
        <v>636</v>
      </c>
      <c r="CG4" s="85" t="s">
        <v>512</v>
      </c>
      <c r="CH4" s="85" t="s">
        <v>519</v>
      </c>
      <c r="CI4" s="85" t="s">
        <v>810</v>
      </c>
      <c r="CJ4" s="95" t="s">
        <v>57</v>
      </c>
      <c r="CK4" s="95" t="s">
        <v>44</v>
      </c>
      <c r="CL4" s="95" t="s">
        <v>50</v>
      </c>
      <c r="CM4" s="95" t="s">
        <v>55</v>
      </c>
      <c r="CN4" s="95" t="s">
        <v>923</v>
      </c>
      <c r="CO4" s="95" t="s">
        <v>310</v>
      </c>
      <c r="CP4" s="85" t="s">
        <v>342</v>
      </c>
      <c r="CQ4" s="95" t="s">
        <v>778</v>
      </c>
      <c r="CR4" s="95" t="s">
        <v>916</v>
      </c>
      <c r="CS4" s="95"/>
      <c r="CT4" s="85" t="s">
        <v>643</v>
      </c>
      <c r="CU4" s="85" t="s">
        <v>617</v>
      </c>
      <c r="CV4" s="85" t="s">
        <v>162</v>
      </c>
      <c r="CW4" s="85" t="s">
        <v>526</v>
      </c>
      <c r="CX4" s="85" t="s">
        <v>291</v>
      </c>
      <c r="CY4" s="95" t="s">
        <v>124</v>
      </c>
      <c r="CZ4" s="95" t="s">
        <v>869</v>
      </c>
      <c r="DA4" s="95" t="s">
        <v>822</v>
      </c>
      <c r="DB4" s="95" t="s">
        <v>216</v>
      </c>
      <c r="DC4" s="95" t="s">
        <v>61</v>
      </c>
      <c r="DD4" s="95" t="s">
        <v>929</v>
      </c>
      <c r="DE4" s="95" t="s">
        <v>791</v>
      </c>
      <c r="DF4" s="95" t="s">
        <v>355</v>
      </c>
      <c r="DG4" s="95" t="s">
        <v>700</v>
      </c>
      <c r="DH4" s="95" t="s">
        <v>673</v>
      </c>
      <c r="DI4" s="96"/>
      <c r="DJ4" s="85" t="s">
        <v>111</v>
      </c>
      <c r="DK4" s="88" t="s">
        <v>934</v>
      </c>
      <c r="DL4" s="85" t="s">
        <v>111</v>
      </c>
      <c r="DM4" s="85" t="s">
        <v>111</v>
      </c>
      <c r="DN4" s="85" t="s">
        <v>111</v>
      </c>
      <c r="DO4" s="85" t="s">
        <v>111</v>
      </c>
      <c r="DP4" s="85" t="s">
        <v>111</v>
      </c>
      <c r="DQ4" s="85" t="s">
        <v>119</v>
      </c>
      <c r="DR4" s="85" t="s">
        <v>754</v>
      </c>
      <c r="DS4" s="85" t="s">
        <v>103</v>
      </c>
      <c r="DT4" s="85" t="s">
        <v>785</v>
      </c>
      <c r="DU4" s="85" t="s">
        <v>150</v>
      </c>
      <c r="DV4" s="85" t="s">
        <v>580</v>
      </c>
      <c r="DW4" s="85" t="s">
        <v>85</v>
      </c>
      <c r="DX4" s="85" t="s">
        <v>85</v>
      </c>
      <c r="DY4" s="85" t="s">
        <v>85</v>
      </c>
      <c r="DZ4" s="85" t="s">
        <v>317</v>
      </c>
      <c r="EA4" s="89" t="s">
        <v>85</v>
      </c>
      <c r="EB4" s="84" t="s">
        <v>1015</v>
      </c>
      <c r="EC4" s="84" t="s">
        <v>279</v>
      </c>
      <c r="ED4" s="85" t="s">
        <v>1034</v>
      </c>
      <c r="EE4" s="90"/>
      <c r="EF4" s="90"/>
      <c r="EG4" s="90"/>
      <c r="EH4" s="90"/>
      <c r="EI4" s="90"/>
      <c r="EJ4" s="90"/>
      <c r="EK4" s="90"/>
      <c r="EL4" s="90"/>
      <c r="EM4" s="90"/>
      <c r="EN4" s="90"/>
      <c r="EO4" s="90"/>
      <c r="EP4" s="90"/>
      <c r="EQ4" s="90"/>
      <c r="ER4" s="95"/>
      <c r="ES4" s="95"/>
      <c r="ET4" s="95"/>
      <c r="EU4" s="90"/>
      <c r="EV4" s="90"/>
      <c r="EW4" s="90"/>
      <c r="EX4" s="90"/>
      <c r="EY4" s="76"/>
      <c r="EZ4" s="90"/>
      <c r="FA4" s="90"/>
      <c r="FB4" s="90"/>
      <c r="FC4" s="90"/>
      <c r="FD4" s="76"/>
      <c r="FE4" s="90"/>
      <c r="FF4" s="90"/>
      <c r="FG4" s="90"/>
      <c r="FH4" s="90"/>
      <c r="FI4" s="76"/>
      <c r="FJ4" s="90"/>
      <c r="FK4" s="90"/>
      <c r="FL4" s="90"/>
      <c r="FM4" s="90"/>
      <c r="FN4" s="76"/>
      <c r="FO4" s="91"/>
    </row>
    <row r="5" hidden="1">
      <c r="B5" s="92" t="b">
        <f>Option!$C8</f>
        <v>1</v>
      </c>
      <c r="C5" s="93" t="str">
        <f t="array" ref="C5">IFERROR(INDEX('Phase Map'!$C$3:$C$13, MATCH(E3, 'Phase Map'!$C$2:$C$12, 0)), "")</f>
        <v>Phase 3</v>
      </c>
      <c r="D5" s="83"/>
      <c r="E5" s="84" t="s">
        <v>7</v>
      </c>
      <c r="F5" s="84"/>
      <c r="G5" s="84"/>
      <c r="H5" s="84"/>
      <c r="I5" s="84"/>
      <c r="J5" s="84"/>
      <c r="K5" s="94" t="str">
        <f t="array" ref="K5">IFERROR(INDEX(Skill!$I:$I, MATCH(K$4, Skill!$C:$C, 0), 1), "")</f>
        <v>RANGE_ENEMY</v>
      </c>
      <c r="L5" s="94" t="str">
        <f t="array" ref="L5">IFERROR(INDEX(Skill!$I:$I, MATCH(L$4, Skill!$C:$C, 0), 1), "")</f>
        <v>RANGE_PARTY</v>
      </c>
      <c r="M5" s="94" t="str">
        <f t="array" ref="M5">IFERROR(INDEX(Skill!$I:$I, MATCH(M$4, Skill!$C:$C, 0), 1), "")</f>
        <v>RANGE_PARTY</v>
      </c>
      <c r="N5" s="94" t="str">
        <f t="array" ref="N5">IFERROR(INDEX(Skill!$I:$I, MATCH(N$4, Skill!$C:$C, 0), 1), "")</f>
        <v>SINGLE_PARTY</v>
      </c>
      <c r="O5" s="94" t="str">
        <f t="array" ref="O5">IFERROR(INDEX(Skill!$I:$I, MATCH(O$4, Skill!$C:$C, 0), 1), "")</f>
        <v>SELF</v>
      </c>
      <c r="P5" s="94" t="str">
        <f t="array" ref="P5">IFERROR(INDEX(Skill!$I:$I, MATCH(P$4, Skill!$C:$C, 0), 1), "")</f>
        <v>SELF</v>
      </c>
      <c r="Q5" s="94" t="str">
        <f t="array" ref="Q5">IFERROR(INDEX(Skill!$I:$I, MATCH(Q$4, Skill!$C:$C, 0), 1), "")</f>
        <v>SELF</v>
      </c>
      <c r="R5" s="94" t="str">
        <f t="array" ref="R5">IFERROR(INDEX(Skill!$I:$I, MATCH(R$4, Skill!$C:$C, 0), 1), "")</f>
        <v>SELF</v>
      </c>
      <c r="S5" s="94" t="str">
        <f t="array" ref="S5">IFERROR(INDEX(Skill!$I:$I, MATCH(S$4, Skill!$C:$C, 0), 1), "")</f>
        <v>SELF</v>
      </c>
      <c r="T5" s="94" t="str">
        <f t="array" ref="T5">IFERROR(INDEX(Skill!$I:$I, MATCH(T$4, Skill!$C:$C, 0), 1), "")</f>
        <v>RANGE_ENEMY</v>
      </c>
      <c r="U5" s="94" t="str">
        <f t="array" ref="U5">IFERROR(INDEX(Skill!$I:$I, MATCH(U$4, Skill!$C:$C, 0), 1), "")</f>
        <v>RANGE_PARTY</v>
      </c>
      <c r="V5" s="94" t="str">
        <f t="array" ref="V5">IFERROR(INDEX(Skill!$I:$I, MATCH(V$4, Skill!$C:$C, 0), 1), "")</f>
        <v>SINGLE_PARTY</v>
      </c>
      <c r="W5" s="94" t="str">
        <f t="array" ref="W5">IFERROR(INDEX(Skill!$I:$I, MATCH(W$4, Skill!$C:$C, 0), 1), "")</f>
        <v>SELF</v>
      </c>
      <c r="X5" s="94" t="str">
        <f t="array" ref="X5">IFERROR(INDEX(Skill!$I:$I, MATCH(X$4, Skill!$C:$C, 0), 1), "")</f>
        <v>SELF</v>
      </c>
      <c r="Y5" s="94" t="str">
        <f t="array" ref="Y5">IFERROR(INDEX(Skill!$I:$I, MATCH(Y$4, Skill!$C:$C, 0), 1), "")</f>
        <v>SELF</v>
      </c>
      <c r="Z5" s="94" t="str">
        <f t="array" ref="Z5">IFERROR(INDEX(Skill!$I:$I, MATCH(Z$4, Skill!$C:$C, 0), 1), "")</f>
        <v>SELF</v>
      </c>
      <c r="AA5" s="94" t="str">
        <f t="array" ref="AA5">IFERROR(INDEX(Skill!$I:$I, MATCH(AA$4, Skill!$C:$C, 0), 1), "")</f>
        <v>SELF</v>
      </c>
      <c r="AB5" s="94" t="str">
        <f t="array" ref="AB5">IFERROR(INDEX(Skill!$I:$I, MATCH(AB$4, Skill!$C:$C, 0), 1), "")</f>
        <v>SELF</v>
      </c>
      <c r="AC5" s="94" t="str">
        <f t="array" ref="AC5">IFERROR(INDEX(Skill!$I:$I, MATCH(AC$4, Skill!$C:$C, 0), 1), "")</f>
        <v>RANGE_ENEMY</v>
      </c>
      <c r="AD5" s="94" t="str">
        <f t="array" ref="AD5">IFERROR(INDEX(Skill!$I:$I, MATCH(AD$4, Skill!$C:$C, 0), 1), "")</f>
        <v>RANGE_PARTY</v>
      </c>
      <c r="AE5" s="94" t="str">
        <f t="array" ref="AE5">IFERROR(INDEX(Skill!$I:$I, MATCH(AE$4, Skill!$C:$C, 0), 1), "")</f>
        <v>SINGLE_PARTY</v>
      </c>
      <c r="AF5" s="94" t="str">
        <f t="array" ref="AF5">IFERROR(INDEX(Skill!$I:$I, MATCH(AF$4, Skill!$C:$C, 0), 1), "")</f>
        <v>SINGLE_PARTY</v>
      </c>
      <c r="AG5" s="94" t="str">
        <f t="array" ref="AG5">IFERROR(INDEX(Skill!$I:$I, MATCH(AG$4, Skill!$C:$C, 0), 1), "")</f>
        <v/>
      </c>
      <c r="AH5" s="94" t="str">
        <f t="array" ref="AH5">IFERROR(INDEX(Skill!$I:$I, MATCH(AH$4, Skill!$C:$C, 0), 1), "")</f>
        <v>SELF</v>
      </c>
      <c r="AI5" s="94" t="str">
        <f t="array" ref="AI5">IFERROR(INDEX(Skill!$I:$I, MATCH(AI$4, Skill!$C:$C, 0), 1), "")</f>
        <v>SELF</v>
      </c>
      <c r="AJ5" s="94" t="str">
        <f t="array" ref="AJ5">IFERROR(INDEX(Skill!$I:$I, MATCH(AJ$4, Skill!$C:$C, 0), 1), "")</f>
        <v>SELF</v>
      </c>
      <c r="AK5" s="94" t="str">
        <f t="array" ref="AK5">IFERROR(INDEX(Skill!$I:$I, MATCH(AK$4, Skill!$C:$C, 0), 1), "")</f>
        <v>SELF</v>
      </c>
      <c r="AL5" s="94" t="str">
        <f t="array" ref="AL5">IFERROR(INDEX(Skill!$I:$I, MATCH(AL$4, Skill!$C:$C, 0), 1), "")</f>
        <v>RANGE_ENEMY</v>
      </c>
      <c r="AM5" s="94" t="str">
        <f t="array" ref="AM5">IFERROR(INDEX(Skill!$I:$I, MATCH(AM$4, Skill!$C:$C, 0), 1), "")</f>
        <v>RANGE_PARTY</v>
      </c>
      <c r="AN5" s="94" t="str">
        <f t="array" ref="AN5">IFERROR(INDEX(Skill!$I:$I, MATCH(AN$4, Skill!$C:$C, 0), 1), "")</f>
        <v>SINGLE_PARTY</v>
      </c>
      <c r="AO5" s="94" t="str">
        <f t="array" ref="AO5">IFERROR(INDEX(Skill!$I:$I, MATCH(AO$4, Skill!$C:$C, 0), 1), "")</f>
        <v>SELF</v>
      </c>
      <c r="AP5" s="94" t="str">
        <f t="array" ref="AP5">IFERROR(INDEX(Skill!$I:$I, MATCH(AP$4, Skill!$C:$C, 0), 1), "")</f>
        <v>SELF</v>
      </c>
      <c r="AQ5" s="94" t="str">
        <f t="array" ref="AQ5">IFERROR(INDEX(Skill!$I:$I, MATCH(AQ$4, Skill!$C:$C, 0), 1), "")</f>
        <v>SELF</v>
      </c>
      <c r="AR5" s="94" t="str">
        <f t="array" ref="AR5">IFERROR(INDEX(Skill!$I:$I, MATCH(AR$4, Skill!$C:$C, 0), 1), "")</f>
        <v>SELF</v>
      </c>
      <c r="AS5" s="94" t="str">
        <f t="array" ref="AS5">IFERROR(INDEX(Skill!$I:$I, MATCH(AS$4, Skill!$C:$C, 0), 1), "")</f>
        <v>RANGE_PARTY</v>
      </c>
      <c r="AT5" s="94" t="str">
        <f t="array" ref="AT5">IFERROR(INDEX(Skill!$I:$I, MATCH(AT$4, Skill!$C:$C, 0), 1), "")</f>
        <v>RANGE_PARTY</v>
      </c>
      <c r="AU5" s="94" t="str">
        <f t="array" ref="AU5">IFERROR(INDEX(Skill!$I:$I, MATCH(AU$4, Skill!$C:$C, 0), 1), "")</f>
        <v>SELF</v>
      </c>
      <c r="AV5" s="94" t="str">
        <f t="array" ref="AV5">IFERROR(INDEX(Skill!$I:$I, MATCH(AV$4, Skill!$C:$C, 0), 1), "")</f>
        <v>RANGE_PARTY</v>
      </c>
      <c r="AW5" s="94" t="str">
        <f t="array" ref="AW5">IFERROR(INDEX(Skill!$I:$I, MATCH(AW$4, Skill!$C:$C, 0), 1), "")</f>
        <v>RANGE_PARTY</v>
      </c>
      <c r="AX5" s="94" t="str">
        <f t="array" ref="AX5">IFERROR(INDEX(Skill!$I:$I, MATCH(AX$4, Skill!$C:$C, 0), 1), "")</f>
        <v>RANGE_PARTY</v>
      </c>
      <c r="AY5" s="94" t="str">
        <f t="array" ref="AY5">IFERROR(INDEX(Skill!$I:$I, MATCH(AY$4, Skill!$C:$C, 0), 1), "")</f>
        <v>SINGLE_PARTY</v>
      </c>
      <c r="AZ5" s="94" t="str">
        <f t="array" ref="AZ5">IFERROR(INDEX(Skill!$I:$I, MATCH(AZ$4, Skill!$C:$C, 0), 1), "")</f>
        <v>SINGLE_PARTY</v>
      </c>
      <c r="BA5" s="94" t="str">
        <f t="array" ref="BA5">IFERROR(INDEX(Skill!$I:$I, MATCH(BA$4, Skill!$C:$C, 0), 1), "")</f>
        <v/>
      </c>
      <c r="BB5" s="94" t="str">
        <f t="array" ref="BB5">IFERROR(INDEX(Skill!$I:$I, MATCH(BB$4, Skill!$C:$C, 0), 1), "")</f>
        <v>SINGLE_PARTY</v>
      </c>
      <c r="BC5" s="94" t="str">
        <f t="array" ref="BC5">IFERROR(INDEX(Skill!$I:$I, MATCH(BC$4, Skill!$C:$C, 0), 1), "")</f>
        <v/>
      </c>
      <c r="BD5" s="94" t="str">
        <f t="array" ref="BD5">IFERROR(INDEX(Skill!$I:$I, MATCH(BD$4, Skill!$C:$C, 0), 1), "")</f>
        <v>SINGLE_PARTY</v>
      </c>
      <c r="BE5" s="94" t="str">
        <f t="array" ref="BE5">IFERROR(INDEX(Skill!$I:$I, MATCH(BE$4, Skill!$C:$C, 0), 1), "")</f>
        <v>RANGE_PARTY</v>
      </c>
      <c r="BF5" s="94" t="str">
        <f t="array" ref="BF5">IFERROR(INDEX(Skill!$I:$I, MATCH(BF$4, Skill!$C:$C, 0), 1), "")</f>
        <v>SELF</v>
      </c>
      <c r="BG5" s="94" t="str">
        <f t="array" ref="BG5">IFERROR(INDEX(Skill!$I:$I, MATCH(BG$4, Skill!$C:$C, 0), 1), "")</f>
        <v>RANGE_PARTY</v>
      </c>
      <c r="BH5" s="94" t="str">
        <f t="array" ref="BH5">IFERROR(INDEX(Skill!$I:$I, MATCH(BH$4, Skill!$C:$C, 0), 1), "")</f>
        <v>RANGE_PARTY</v>
      </c>
      <c r="BI5" s="94" t="str">
        <f t="array" ref="BI5">IFERROR(INDEX(Skill!$I:$I, MATCH(BI$4, Skill!$C:$C, 0), 1), "")</f>
        <v>RANGE_PARTY</v>
      </c>
      <c r="BJ5" s="94" t="str">
        <f t="array" ref="BJ5">IFERROR(INDEX(Skill!$I:$I, MATCH(BJ$4, Skill!$C:$C, 0), 1), "")</f>
        <v>RANGE_PARTY</v>
      </c>
      <c r="BK5" s="94" t="str">
        <f t="array" ref="BK5">IFERROR(INDEX(Skill!$I:$I, MATCH(BK$4, Skill!$C:$C, 0), 1), "")</f>
        <v>RANGE_PARTY</v>
      </c>
      <c r="BL5" s="94" t="str">
        <f t="array" ref="BL5">IFERROR(INDEX(Skill!$I:$I, MATCH(BL$4, Skill!$C:$C, 0), 1), "")</f>
        <v>RANGE_PARTY</v>
      </c>
      <c r="BM5" s="94" t="str">
        <f t="array" ref="BM5">IFERROR(INDEX(Skill!$I:$I, MATCH(BM$4, Skill!$C:$C, 0), 1), "")</f>
        <v>SELF</v>
      </c>
      <c r="BN5" s="94" t="str">
        <f t="array" ref="BN5">IFERROR(INDEX(Skill!$I:$I, MATCH(BN$4, Skill!$C:$C, 0), 1), "")</f>
        <v>SELF</v>
      </c>
      <c r="BO5" s="94" t="str">
        <f t="array" ref="BO5">IFERROR(INDEX(Skill!$I:$I, MATCH(BO$4, Skill!$C:$C, 0), 1), "")</f>
        <v>SINGLE_PARTY</v>
      </c>
      <c r="BP5" s="94" t="str">
        <f t="array" ref="BP5">IFERROR(INDEX(Skill!$I:$I, MATCH(BP$4, Skill!$C:$C, 0), 1), "")</f>
        <v>SINGLE_PARTY</v>
      </c>
      <c r="BQ5" s="94" t="str">
        <f t="array" ref="BQ5">IFERROR(INDEX(Skill!$I:$I, MATCH(BQ$4, Skill!$C:$C, 0), 1), "")</f>
        <v>SINGLE_PARTY</v>
      </c>
      <c r="BR5" s="94" t="str">
        <f t="array" ref="BR5">IFERROR(INDEX(Skill!$I:$I, MATCH(BR$4, Skill!$C:$C, 0), 1), "")</f>
        <v>SINGLE_PARTY</v>
      </c>
      <c r="BS5" s="94" t="str">
        <f t="array" ref="BS5">IFERROR(INDEX(Skill!$I:$I, MATCH(BS$4, Skill!$C:$C, 0), 1), "")</f>
        <v>SINGLE_PARTY</v>
      </c>
      <c r="BT5" s="94" t="str">
        <f t="array" ref="BT5">IFERROR(INDEX(Skill!$I:$I, MATCH(BT$4, Skill!$C:$C, 0), 1), "")</f>
        <v/>
      </c>
      <c r="BU5" s="94" t="str">
        <f t="array" ref="BU5">IFERROR(INDEX(Skill!$I:$I, MATCH(BU$4, Skill!$C:$C, 0), 1), "")</f>
        <v>SINGLE_PARTY</v>
      </c>
      <c r="BV5" s="94" t="str">
        <f t="array" ref="BV5">IFERROR(INDEX(Skill!$I:$I, MATCH(BV$4, Skill!$C:$C, 0), 1), "")</f>
        <v>SINGLE_PARTY</v>
      </c>
      <c r="BW5" s="94" t="str">
        <f t="array" ref="BW5">IFERROR(INDEX(Skill!$I:$I, MATCH(BW$4, Skill!$C:$C, 0), 1), "")</f>
        <v/>
      </c>
      <c r="BX5" s="94" t="str">
        <f t="array" ref="BX5">IFERROR(INDEX(Skill!$I:$I, MATCH(BX$4, Skill!$C:$C, 0), 1), "")</f>
        <v>SINGLE_PARTY</v>
      </c>
      <c r="BY5" s="94" t="str">
        <f t="array" ref="BY5">IFERROR(INDEX(Skill!$I:$I, MATCH(BY$4, Skill!$C:$C, 0), 1), "")</f>
        <v>RANGE_PARTY</v>
      </c>
      <c r="BZ5" s="94" t="str">
        <f t="array" ref="BZ5">IFERROR(INDEX(Skill!$I:$I, MATCH(BZ$4, Skill!$C:$C, 0), 1), "")</f>
        <v>RANGE_PARTY</v>
      </c>
      <c r="CA5" s="94" t="str">
        <f t="array" ref="CA5">IFERROR(INDEX(Skill!$I:$I, MATCH(CA$4, Skill!$C:$C, 0), 1), "")</f>
        <v>RANGE_PARTY</v>
      </c>
      <c r="CB5" s="94" t="str">
        <f t="array" ref="CB5">IFERROR(INDEX(Skill!$I:$I, MATCH(CB$4, Skill!$C:$C, 0), 1), "")</f>
        <v>RANGE_PARTY</v>
      </c>
      <c r="CC5" s="94" t="str">
        <f t="array" ref="CC5">IFERROR(INDEX(Skill!$I:$I, MATCH(CC$4, Skill!$C:$C, 0), 1), "")</f>
        <v>RANGE_PARTY</v>
      </c>
      <c r="CD5" s="94" t="str">
        <f t="array" ref="CD5">IFERROR(INDEX(Skill!$I:$I, MATCH(CD$4, Skill!$C:$C, 0), 1), "")</f>
        <v>RANGE_PARTY</v>
      </c>
      <c r="CE5" s="94" t="str">
        <f t="array" ref="CE5">IFERROR(INDEX(Skill!$I:$I, MATCH(CE$4, Skill!$C:$C, 0), 1), "")</f>
        <v>RANGE_PARTY</v>
      </c>
      <c r="CF5" s="94" t="str">
        <f t="array" ref="CF5">IFERROR(INDEX(Skill!$I:$I, MATCH(CF$4, Skill!$C:$C, 0), 1), "")</f>
        <v>RANGE_PARTY</v>
      </c>
      <c r="CG5" s="94" t="str">
        <f t="array" ref="CG5">IFERROR(INDEX(Skill!$I:$I, MATCH(CG$4, Skill!$C:$C, 0), 1), "")</f>
        <v>SELF</v>
      </c>
      <c r="CH5" s="94" t="str">
        <f t="array" ref="CH5">IFERROR(INDEX(Skill!$I:$I, MATCH(CH$4, Skill!$C:$C, 0), 1), "")</f>
        <v>RANGE_PARTY</v>
      </c>
      <c r="CI5" s="94" t="str">
        <f t="array" ref="CI5">IFERROR(INDEX(Skill!$I:$I, MATCH(CI$4, Skill!$C:$C, 0), 1), "")</f>
        <v>SELF</v>
      </c>
      <c r="CJ5" s="94" t="str">
        <f t="array" ref="CJ5">IFERROR(INDEX(Skill!$I:$I, MATCH(CJ$4, Skill!$C:$C, 0), 1), "")</f>
        <v>SINGLE_PARTY</v>
      </c>
      <c r="CK5" s="94" t="str">
        <f t="array" ref="CK5">IFERROR(INDEX(Skill!$I:$I, MATCH(CK$4, Skill!$C:$C, 0), 1), "")</f>
        <v>SELF</v>
      </c>
      <c r="CL5" s="94" t="str">
        <f t="array" ref="CL5">IFERROR(INDEX(Skill!$I:$I, MATCH(CL$4, Skill!$C:$C, 0), 1), "")</f>
        <v>RANGE_PARTY</v>
      </c>
      <c r="CM5" s="94" t="str">
        <f t="array" ref="CM5">IFERROR(INDEX(Skill!$I:$I, MATCH(CM$4, Skill!$C:$C, 0), 1), "")</f>
        <v>SINGLE_PARTY</v>
      </c>
      <c r="CN5" s="94" t="str">
        <f t="array" ref="CN5">IFERROR(INDEX(Skill!$I:$I, MATCH(CN$4, Skill!$C:$C, 0), 1), "")</f>
        <v>SINGLE_PARTY</v>
      </c>
      <c r="CO5" s="94" t="str">
        <f t="array" ref="CO5">IFERROR(INDEX(Skill!$I:$I, MATCH(CO$4, Skill!$C:$C, 0), 1), "")</f>
        <v>SINGLE_PARTY</v>
      </c>
      <c r="CP5" s="94" t="str">
        <f t="array" ref="CP5">IFERROR(INDEX(Skill!$I:$I, MATCH(CP$4, Skill!$C:$C, 0), 1), "")</f>
        <v>SINGLE_PARTY</v>
      </c>
      <c r="CQ5" s="94" t="str">
        <f t="array" ref="CQ5">IFERROR(INDEX(Skill!$I:$I, MATCH(CQ$4, Skill!$C:$C, 0), 1), "")</f>
        <v>SINGLE_PARTY</v>
      </c>
      <c r="CR5" s="94" t="str">
        <f t="array" ref="CR5">IFERROR(INDEX(Skill!$I:$I, MATCH(CR$4, Skill!$C:$C, 0), 1), "")</f>
        <v>SELF</v>
      </c>
      <c r="CS5" s="94" t="str">
        <f t="array" ref="CS5">IFERROR(INDEX(Skill!$I:$I, MATCH(CS$4, Skill!$C:$C, 0), 1), "")</f>
        <v/>
      </c>
      <c r="CT5" s="94" t="str">
        <f t="array" ref="CT5">IFERROR(INDEX(Skill!$I:$I, MATCH(CT$4, Skill!$C:$C, 0), 1), "")</f>
        <v>RANGE_PARTY</v>
      </c>
      <c r="CU5" s="94" t="str">
        <f t="array" ref="CU5">IFERROR(INDEX(Skill!$I:$I, MATCH(CU$4, Skill!$C:$C, 0), 1), "")</f>
        <v>RANGE_PARTY</v>
      </c>
      <c r="CV5" s="94" t="str">
        <f t="array" ref="CV5">IFERROR(INDEX(Skill!$I:$I, MATCH(CV$4, Skill!$C:$C, 0), 1), "")</f>
        <v>RANGE_PARTY</v>
      </c>
      <c r="CW5" s="94" t="str">
        <f t="array" ref="CW5">IFERROR(INDEX(Skill!$I:$I, MATCH(CW$4, Skill!$C:$C, 0), 1), "")</f>
        <v>RANGE_PARTY</v>
      </c>
      <c r="CX5" s="94" t="str">
        <f t="array" ref="CX5">IFERROR(INDEX(Skill!$I:$I, MATCH(CX$4, Skill!$C:$C, 0), 1), "")</f>
        <v>SELF</v>
      </c>
      <c r="CY5" s="94" t="str">
        <f t="array" ref="CY5">IFERROR(INDEX(Skill!$I:$I, MATCH(CY$4, Skill!$C:$C, 0), 1), "")</f>
        <v>RANGE_PARTY</v>
      </c>
      <c r="CZ5" s="94" t="str">
        <f t="array" ref="CZ5">IFERROR(INDEX(Skill!$I:$I, MATCH(CZ$4, Skill!$C:$C, 0), 1), "")</f>
        <v>RANGE_PARTY</v>
      </c>
      <c r="DA5" s="94" t="str">
        <f t="array" ref="DA5">IFERROR(INDEX(Skill!$I:$I, MATCH(DA$4, Skill!$C:$C, 0), 1), "")</f>
        <v>RANGE_PARTY</v>
      </c>
      <c r="DB5" s="94" t="str">
        <f t="array" ref="DB5">IFERROR(INDEX(Skill!$I:$I, MATCH(DB$4, Skill!$C:$C, 0), 1), "")</f>
        <v>RANGE_PARTY</v>
      </c>
      <c r="DC5" s="94" t="str">
        <f t="array" ref="DC5">IFERROR(INDEX(Skill!$I:$I, MATCH(DC$4, Skill!$C:$C, 0), 1), "")</f>
        <v>RANGE_PARTY</v>
      </c>
      <c r="DD5" s="94" t="str">
        <f t="array" ref="DD5">IFERROR(INDEX(Skill!$I:$I, MATCH(DD$4, Skill!$C:$C, 0), 1), "")</f>
        <v>SINGLE_PARTY</v>
      </c>
      <c r="DE5" s="94" t="str">
        <f t="array" ref="DE5">IFERROR(INDEX(Skill!$I:$I, MATCH(DE$4, Skill!$C:$C, 0), 1), "")</f>
        <v>SINGLE_PARTY</v>
      </c>
      <c r="DF5" s="94" t="str">
        <f t="array" ref="DF5">IFERROR(INDEX(Skill!$I:$I, MATCH(DF$4, Skill!$C:$C, 0), 1), "")</f>
        <v>SINGLE_PARTY</v>
      </c>
      <c r="DG5" s="94" t="str">
        <f t="array" ref="DG5">IFERROR(INDEX(Skill!$I:$I, MATCH(DG$4, Skill!$C:$C, 0), 1), "")</f>
        <v>SINGLE_PARTY</v>
      </c>
      <c r="DH5" s="94" t="str">
        <f t="array" ref="DH5">IFERROR(INDEX(Skill!$I:$I, MATCH(DH$4, Skill!$C:$C, 0), 1), "")</f>
        <v>SELF</v>
      </c>
      <c r="DI5" s="94" t="str">
        <f t="array" ref="DI5">IFERROR(INDEX(Skill!$I:$I, MATCH(DI$4, Skill!$C:$C, 0), 1), "")</f>
        <v/>
      </c>
      <c r="DJ5" s="94" t="str">
        <f t="array" ref="DJ5">IFERROR(INDEX(Skill!$I:$I, MATCH(DJ$4, Skill!$C:$C, 0), 1), "")</f>
        <v>SINGLE_ENEMY</v>
      </c>
      <c r="DK5" s="94" t="str">
        <f t="array" ref="DK5">IFERROR(INDEX(Skill!$I:$I, MATCH(DK$4, Skill!$C:$C, 0), 1), "")</f>
        <v>RANGE_PARTY</v>
      </c>
      <c r="DL5" s="94" t="str">
        <f t="array" ref="DL5">IFERROR(INDEX(Skill!$I:$I, MATCH(DL$4, Skill!$C:$C, 0), 1), "")</f>
        <v>SINGLE_ENEMY</v>
      </c>
      <c r="DM5" s="94" t="str">
        <f t="array" ref="DM5">IFERROR(INDEX(Skill!$I:$I, MATCH(DM$4, Skill!$C:$C, 0), 1), "")</f>
        <v>SINGLE_ENEMY</v>
      </c>
      <c r="DN5" s="94" t="str">
        <f t="array" ref="DN5">IFERROR(INDEX(Skill!$I:$I, MATCH(DN$4, Skill!$C:$C, 0), 1), "")</f>
        <v>SINGLE_ENEMY</v>
      </c>
      <c r="DO5" s="94" t="str">
        <f t="array" ref="DO5">IFERROR(INDEX(Skill!$I:$I, MATCH(DO$4, Skill!$C:$C, 0), 1), "")</f>
        <v>SINGLE_ENEMY</v>
      </c>
      <c r="DP5" s="94" t="str">
        <f t="array" ref="DP5">IFERROR(INDEX(Skill!$I:$I, MATCH(DP$4, Skill!$C:$C, 0), 1), "")</f>
        <v>SINGLE_ENEMY</v>
      </c>
      <c r="DQ5" s="94" t="str">
        <f t="array" ref="DQ5">IFERROR(INDEX(Skill!$I:$I, MATCH(DQ$4, Skill!$C:$C, 0), 1), "")</f>
        <v>RANGE_PARTY</v>
      </c>
      <c r="DR5" s="94" t="str">
        <f t="array" ref="DR5">IFERROR(INDEX(Skill!$I:$I, MATCH(DR$4, Skill!$C:$C, 0), 1), "")</f>
        <v>SINGLE_PARTY</v>
      </c>
      <c r="DS5" s="94" t="str">
        <f t="array" ref="DS5">IFERROR(INDEX(Skill!$I:$I, MATCH(DS$4, Skill!$C:$C, 0), 1), "")</f>
        <v>RANGE_PARTY</v>
      </c>
      <c r="DT5" s="94" t="str">
        <f t="array" ref="DT5">IFERROR(INDEX(Skill!$I:$I, MATCH(DT$4, Skill!$C:$C, 0), 1), "")</f>
        <v>SINGLE_ENEMY</v>
      </c>
      <c r="DU5" s="94" t="str">
        <f t="array" ref="DU5">IFERROR(INDEX(Skill!$I:$I, MATCH(DU$4, Skill!$C:$C, 0), 1), "")</f>
        <v>RANGE_PARTY</v>
      </c>
      <c r="DV5" s="94" t="str">
        <f t="array" ref="DV5">IFERROR(INDEX(Skill!$I:$I, MATCH(DV$4, Skill!$C:$C, 0), 1), "")</f>
        <v>RANGE_PARTY</v>
      </c>
      <c r="DW5" s="94" t="str">
        <f t="array" ref="DW5">IFERROR(INDEX(Skill!$I:$I, MATCH(DW$4, Skill!$C:$C, 0), 1), "")</f>
        <v>SINGLE_ENEMY</v>
      </c>
      <c r="DX5" s="94" t="str">
        <f t="array" ref="DX5">IFERROR(INDEX(Skill!$I:$I, MATCH(DX$4, Skill!$C:$C, 0), 1), "")</f>
        <v>SINGLE_ENEMY</v>
      </c>
      <c r="DY5" s="94" t="str">
        <f t="array" ref="DY5">IFERROR(INDEX(Skill!$I:$I, MATCH(DY$4, Skill!$C:$C, 0), 1), "")</f>
        <v>SINGLE_ENEMY</v>
      </c>
      <c r="DZ5" s="94" t="str">
        <f t="array" ref="DZ5">IFERROR(INDEX(Skill!$I:$I, MATCH(DZ$4, Skill!$C:$C, 0), 1), "")</f>
        <v>RANGE_PARTY</v>
      </c>
      <c r="EA5" s="89" t="str">
        <f t="array" ref="EA5">IFERROR(INDEX(Skill!$I:$I, MATCH(EA$4, Skill!$C:$C, 0), 1), "")</f>
        <v>SINGLE_ENEMY</v>
      </c>
      <c r="EB5" s="89" t="str">
        <f t="array" ref="EB5">IFERROR(INDEX(Skill!$I:$I, MATCH(EB$4, Skill!$C:$C, 0), 1), "")</f>
        <v>SELF</v>
      </c>
      <c r="EC5" s="89" t="str">
        <f t="array" ref="EC5">IFERROR(INDEX(Skill!$I:$I, MATCH(EC$4, Skill!$C:$C, 0), 1), "")</f>
        <v>SELF</v>
      </c>
      <c r="ED5" s="94" t="str">
        <f t="array" ref="ED5">IFERROR(INDEX(Skill!$I:$I, MATCH(ED$4, Skill!$C:$C, 0), 1), "")</f>
        <v>RANGE_PARTY</v>
      </c>
      <c r="EE5" s="97"/>
      <c r="EF5" s="97"/>
      <c r="EG5" s="97"/>
      <c r="EH5" s="97"/>
      <c r="EI5" s="97"/>
      <c r="EJ5" s="97"/>
      <c r="EK5" s="97"/>
      <c r="EL5" s="97"/>
      <c r="EM5" s="97"/>
      <c r="EN5" s="97"/>
      <c r="EO5" s="97"/>
      <c r="EP5" s="97"/>
      <c r="EQ5" s="97"/>
      <c r="ER5" s="76"/>
      <c r="ES5" s="76"/>
      <c r="ET5" s="76"/>
      <c r="EU5" s="97"/>
      <c r="EV5" s="97"/>
      <c r="EW5" s="97"/>
      <c r="EX5" s="97"/>
      <c r="EY5" s="76"/>
      <c r="EZ5" s="97"/>
      <c r="FA5" s="97"/>
      <c r="FB5" s="97"/>
      <c r="FC5" s="97"/>
      <c r="FD5" s="76"/>
      <c r="FE5" s="97"/>
      <c r="FF5" s="97"/>
      <c r="FG5" s="97"/>
      <c r="FH5" s="97"/>
      <c r="FI5" s="76"/>
      <c r="FJ5" s="97"/>
      <c r="FK5" s="97"/>
      <c r="FL5" s="97"/>
      <c r="FM5" s="97"/>
      <c r="FN5" s="76"/>
      <c r="FO5" s="91"/>
    </row>
    <row r="6" hidden="1">
      <c r="B6" s="92" t="b">
        <f>Option!$C9</f>
        <v>1</v>
      </c>
      <c r="C6" s="93"/>
      <c r="D6" s="83"/>
      <c r="E6" s="84" t="s">
        <v>8</v>
      </c>
      <c r="F6" s="84"/>
      <c r="G6" s="84"/>
      <c r="H6" s="84"/>
      <c r="I6" s="84"/>
      <c r="J6" s="84"/>
      <c r="K6" s="94">
        <f t="array" ref="K6">IFERROR(INDEX(Skill!$J:$J, MATCH(K$4, Skill!$C:$C, 0), 1), "")</f>
        <v>1</v>
      </c>
      <c r="L6" s="94">
        <f t="array" ref="L6">IFERROR(INDEX(Skill!$J:$J, MATCH(L$4, Skill!$C:$C, 0), 1), "")</f>
        <v>1</v>
      </c>
      <c r="M6" s="94">
        <f t="array" ref="M6">IFERROR(INDEX(Skill!$J:$J, MATCH(M$4, Skill!$C:$C, 0), 1), "")</f>
        <v>1</v>
      </c>
      <c r="N6" s="94">
        <f t="array" ref="N6">IFERROR(INDEX(Skill!$J:$J, MATCH(N$4, Skill!$C:$C, 0), 1), "")</f>
        <v>1</v>
      </c>
      <c r="O6" s="94">
        <f t="array" ref="O6">IFERROR(INDEX(Skill!$J:$J, MATCH(O$4, Skill!$C:$C, 0), 1), "")</f>
        <v>1</v>
      </c>
      <c r="P6" s="94">
        <f t="array" ref="P6">IFERROR(INDEX(Skill!$J:$J, MATCH(P$4, Skill!$C:$C, 0), 1), "")</f>
        <v>1</v>
      </c>
      <c r="Q6" s="94">
        <f t="array" ref="Q6">IFERROR(INDEX(Skill!$J:$J, MATCH(Q$4, Skill!$C:$C, 0), 1), "")</f>
        <v>1</v>
      </c>
      <c r="R6" s="94">
        <f t="array" ref="R6">IFERROR(INDEX(Skill!$J:$J, MATCH(R$4, Skill!$C:$C, 0), 1), "")</f>
        <v>1</v>
      </c>
      <c r="S6" s="94">
        <f t="array" ref="S6">IFERROR(INDEX(Skill!$J:$J, MATCH(S$4, Skill!$C:$C, 0), 1), "")</f>
        <v>1</v>
      </c>
      <c r="T6" s="94">
        <f t="array" ref="T6">IFERROR(INDEX(Skill!$J:$J, MATCH(T$4, Skill!$C:$C, 0), 1), "")</f>
        <v>1</v>
      </c>
      <c r="U6" s="94">
        <f t="array" ref="U6">IFERROR(INDEX(Skill!$J:$J, MATCH(U$4, Skill!$C:$C, 0), 1), "")</f>
        <v>1</v>
      </c>
      <c r="V6" s="94">
        <f t="array" ref="V6">IFERROR(INDEX(Skill!$J:$J, MATCH(V$4, Skill!$C:$C, 0), 1), "")</f>
        <v>1</v>
      </c>
      <c r="W6" s="94">
        <f t="array" ref="W6">IFERROR(INDEX(Skill!$J:$J, MATCH(W$4, Skill!$C:$C, 0), 1), "")</f>
        <v>1</v>
      </c>
      <c r="X6" s="94">
        <f t="array" ref="X6">IFERROR(INDEX(Skill!$J:$J, MATCH(X$4, Skill!$C:$C, 0), 1), "")</f>
        <v>1</v>
      </c>
      <c r="Y6" s="94">
        <f t="array" ref="Y6">IFERROR(INDEX(Skill!$J:$J, MATCH(Y$4, Skill!$C:$C, 0), 1), "")</f>
        <v>1</v>
      </c>
      <c r="Z6" s="94">
        <f t="array" ref="Z6">IFERROR(INDEX(Skill!$J:$J, MATCH(Z$4, Skill!$C:$C, 0), 1), "")</f>
        <v>1</v>
      </c>
      <c r="AA6" s="94">
        <f t="array" ref="AA6">IFERROR(INDEX(Skill!$J:$J, MATCH(AA$4, Skill!$C:$C, 0), 1), "")</f>
        <v>1</v>
      </c>
      <c r="AB6" s="94">
        <f t="array" ref="AB6">IFERROR(INDEX(Skill!$J:$J, MATCH(AB$4, Skill!$C:$C, 0), 1), "")</f>
        <v>1</v>
      </c>
      <c r="AC6" s="94">
        <f t="array" ref="AC6">IFERROR(INDEX(Skill!$J:$J, MATCH(AC$4, Skill!$C:$C, 0), 1), "")</f>
        <v>1</v>
      </c>
      <c r="AD6" s="94">
        <f t="array" ref="AD6">IFERROR(INDEX(Skill!$J:$J, MATCH(AD$4, Skill!$C:$C, 0), 1), "")</f>
        <v>1</v>
      </c>
      <c r="AE6" s="94">
        <f t="array" ref="AE6">IFERROR(INDEX(Skill!$J:$J, MATCH(AE$4, Skill!$C:$C, 0), 1), "")</f>
        <v>1</v>
      </c>
      <c r="AF6" s="94">
        <f t="array" ref="AF6">IFERROR(INDEX(Skill!$J:$J, MATCH(AF$4, Skill!$C:$C, 0), 1), "")</f>
        <v>2</v>
      </c>
      <c r="AG6" s="94" t="str">
        <f t="array" ref="AG6">IFERROR(INDEX(Skill!$J:$J, MATCH(AG$4, Skill!$C:$C, 0), 1), "")</f>
        <v/>
      </c>
      <c r="AH6" s="94">
        <f t="array" ref="AH6">IFERROR(INDEX(Skill!$J:$J, MATCH(AH$4, Skill!$C:$C, 0), 1), "")</f>
        <v>1</v>
      </c>
      <c r="AI6" s="94">
        <f t="array" ref="AI6">IFERROR(INDEX(Skill!$J:$J, MATCH(AI$4, Skill!$C:$C, 0), 1), "")</f>
        <v>1</v>
      </c>
      <c r="AJ6" s="94">
        <f t="array" ref="AJ6">IFERROR(INDEX(Skill!$J:$J, MATCH(AJ$4, Skill!$C:$C, 0), 1), "")</f>
        <v>1</v>
      </c>
      <c r="AK6" s="94">
        <f t="array" ref="AK6">IFERROR(INDEX(Skill!$J:$J, MATCH(AK$4, Skill!$C:$C, 0), 1), "")</f>
        <v>1</v>
      </c>
      <c r="AL6" s="94">
        <f t="array" ref="AL6">IFERROR(INDEX(Skill!$J:$J, MATCH(AL$4, Skill!$C:$C, 0), 1), "")</f>
        <v>1</v>
      </c>
      <c r="AM6" s="94">
        <f t="array" ref="AM6">IFERROR(INDEX(Skill!$J:$J, MATCH(AM$4, Skill!$C:$C, 0), 1), "")</f>
        <v>1</v>
      </c>
      <c r="AN6" s="94">
        <f t="array" ref="AN6">IFERROR(INDEX(Skill!$J:$J, MATCH(AN$4, Skill!$C:$C, 0), 1), "")</f>
        <v>1</v>
      </c>
      <c r="AO6" s="94">
        <f t="array" ref="AO6">IFERROR(INDEX(Skill!$J:$J, MATCH(AO$4, Skill!$C:$C, 0), 1), "")</f>
        <v>1</v>
      </c>
      <c r="AP6" s="94">
        <f t="array" ref="AP6">IFERROR(INDEX(Skill!$J:$J, MATCH(AP$4, Skill!$C:$C, 0), 1), "")</f>
        <v>1</v>
      </c>
      <c r="AQ6" s="94">
        <f t="array" ref="AQ6">IFERROR(INDEX(Skill!$J:$J, MATCH(AQ$4, Skill!$C:$C, 0), 1), "")</f>
        <v>1</v>
      </c>
      <c r="AR6" s="94">
        <f t="array" ref="AR6">IFERROR(INDEX(Skill!$J:$J, MATCH(AR$4, Skill!$C:$C, 0), 1), "")</f>
        <v>1</v>
      </c>
      <c r="AS6" s="94">
        <f t="array" ref="AS6">IFERROR(INDEX(Skill!$J:$J, MATCH(AS$4, Skill!$C:$C, 0), 1), "")</f>
        <v>1</v>
      </c>
      <c r="AT6" s="94">
        <f t="array" ref="AT6">IFERROR(INDEX(Skill!$J:$J, MATCH(AT$4, Skill!$C:$C, 0), 1), "")</f>
        <v>1</v>
      </c>
      <c r="AU6" s="94">
        <f t="array" ref="AU6">IFERROR(INDEX(Skill!$J:$J, MATCH(AU$4, Skill!$C:$C, 0), 1), "")</f>
        <v>1</v>
      </c>
      <c r="AV6" s="94">
        <f t="array" ref="AV6">IFERROR(INDEX(Skill!$J:$J, MATCH(AV$4, Skill!$C:$C, 0), 1), "")</f>
        <v>1</v>
      </c>
      <c r="AW6" s="94">
        <f t="array" ref="AW6">IFERROR(INDEX(Skill!$J:$J, MATCH(AW$4, Skill!$C:$C, 0), 1), "")</f>
        <v>1</v>
      </c>
      <c r="AX6" s="94">
        <f t="array" ref="AX6">IFERROR(INDEX(Skill!$J:$J, MATCH(AX$4, Skill!$C:$C, 0), 1), "")</f>
        <v>1</v>
      </c>
      <c r="AY6" s="94">
        <f t="array" ref="AY6">IFERROR(INDEX(Skill!$J:$J, MATCH(AY$4, Skill!$C:$C, 0), 1), "")</f>
        <v>1</v>
      </c>
      <c r="AZ6" s="94">
        <f t="array" ref="AZ6">IFERROR(INDEX(Skill!$J:$J, MATCH(AZ$4, Skill!$C:$C, 0), 1), "")</f>
        <v>2</v>
      </c>
      <c r="BA6" s="94" t="str">
        <f t="array" ref="BA6">IFERROR(INDEX(Skill!$J:$J, MATCH(BA$4, Skill!$C:$C, 0), 1), "")</f>
        <v/>
      </c>
      <c r="BB6" s="94">
        <f t="array" ref="BB6">IFERROR(INDEX(Skill!$J:$J, MATCH(BB$4, Skill!$C:$C, 0), 1), "")</f>
        <v>2</v>
      </c>
      <c r="BC6" s="94" t="str">
        <f t="array" ref="BC6">IFERROR(INDEX(Skill!$J:$J, MATCH(BC$4, Skill!$C:$C, 0), 1), "")</f>
        <v/>
      </c>
      <c r="BD6" s="94">
        <f t="array" ref="BD6">IFERROR(INDEX(Skill!$J:$J, MATCH(BD$4, Skill!$C:$C, 0), 1), "")</f>
        <v>1</v>
      </c>
      <c r="BE6" s="94">
        <f t="array" ref="BE6">IFERROR(INDEX(Skill!$J:$J, MATCH(BE$4, Skill!$C:$C, 0), 1), "")</f>
        <v>1</v>
      </c>
      <c r="BF6" s="94">
        <f t="array" ref="BF6">IFERROR(INDEX(Skill!$J:$J, MATCH(BF$4, Skill!$C:$C, 0), 1), "")</f>
        <v>1</v>
      </c>
      <c r="BG6" s="94">
        <f t="array" ref="BG6">IFERROR(INDEX(Skill!$J:$J, MATCH(BG$4, Skill!$C:$C, 0), 1), "")</f>
        <v>1</v>
      </c>
      <c r="BH6" s="94">
        <f t="array" ref="BH6">IFERROR(INDEX(Skill!$J:$J, MATCH(BH$4, Skill!$C:$C, 0), 1), "")</f>
        <v>1</v>
      </c>
      <c r="BI6" s="94">
        <f t="array" ref="BI6">IFERROR(INDEX(Skill!$J:$J, MATCH(BI$4, Skill!$C:$C, 0), 1), "")</f>
        <v>1</v>
      </c>
      <c r="BJ6" s="94">
        <f t="array" ref="BJ6">IFERROR(INDEX(Skill!$J:$J, MATCH(BJ$4, Skill!$C:$C, 0), 1), "")</f>
        <v>1</v>
      </c>
      <c r="BK6" s="94">
        <f t="array" ref="BK6">IFERROR(INDEX(Skill!$J:$J, MATCH(BK$4, Skill!$C:$C, 0), 1), "")</f>
        <v>1</v>
      </c>
      <c r="BL6" s="94">
        <f t="array" ref="BL6">IFERROR(INDEX(Skill!$J:$J, MATCH(BL$4, Skill!$C:$C, 0), 1), "")</f>
        <v>1</v>
      </c>
      <c r="BM6" s="94">
        <f t="array" ref="BM6">IFERROR(INDEX(Skill!$J:$J, MATCH(BM$4, Skill!$C:$C, 0), 1), "")</f>
        <v>1</v>
      </c>
      <c r="BN6" s="94">
        <f t="array" ref="BN6">IFERROR(INDEX(Skill!$J:$J, MATCH(BN$4, Skill!$C:$C, 0), 1), "")</f>
        <v>1</v>
      </c>
      <c r="BO6" s="94">
        <f t="array" ref="BO6">IFERROR(INDEX(Skill!$J:$J, MATCH(BO$4, Skill!$C:$C, 0), 1), "")</f>
        <v>1</v>
      </c>
      <c r="BP6" s="94">
        <f t="array" ref="BP6">IFERROR(INDEX(Skill!$J:$J, MATCH(BP$4, Skill!$C:$C, 0), 1), "")</f>
        <v>1</v>
      </c>
      <c r="BQ6" s="94">
        <f t="array" ref="BQ6">IFERROR(INDEX(Skill!$J:$J, MATCH(BQ$4, Skill!$C:$C, 0), 1), "")</f>
        <v>1</v>
      </c>
      <c r="BR6" s="94">
        <f t="array" ref="BR6">IFERROR(INDEX(Skill!$J:$J, MATCH(BR$4, Skill!$C:$C, 0), 1), "")</f>
        <v>1</v>
      </c>
      <c r="BS6" s="94">
        <f t="array" ref="BS6">IFERROR(INDEX(Skill!$J:$J, MATCH(BS$4, Skill!$C:$C, 0), 1), "")</f>
        <v>3</v>
      </c>
      <c r="BT6" s="94" t="str">
        <f t="array" ref="BT6">IFERROR(INDEX(Skill!$J:$J, MATCH(BT$4, Skill!$C:$C, 0), 1), "")</f>
        <v/>
      </c>
      <c r="BU6" s="94">
        <f t="array" ref="BU6">IFERROR(INDEX(Skill!$J:$J, MATCH(BU$4, Skill!$C:$C, 0), 1), "")</f>
        <v>1</v>
      </c>
      <c r="BV6" s="94">
        <f t="array" ref="BV6">IFERROR(INDEX(Skill!$J:$J, MATCH(BV$4, Skill!$C:$C, 0), 1), "")</f>
        <v>2</v>
      </c>
      <c r="BW6" s="94" t="str">
        <f t="array" ref="BW6">IFERROR(INDEX(Skill!$J:$J, MATCH(BW$4, Skill!$C:$C, 0), 1), "")</f>
        <v/>
      </c>
      <c r="BX6" s="94">
        <f t="array" ref="BX6">IFERROR(INDEX(Skill!$J:$J, MATCH(BX$4, Skill!$C:$C, 0), 1), "")</f>
        <v>1</v>
      </c>
      <c r="BY6" s="94">
        <f t="array" ref="BY6">IFERROR(INDEX(Skill!$J:$J, MATCH(BY$4, Skill!$C:$C, 0), 1), "")</f>
        <v>1</v>
      </c>
      <c r="BZ6" s="94">
        <f t="array" ref="BZ6">IFERROR(INDEX(Skill!$J:$J, MATCH(BZ$4, Skill!$C:$C, 0), 1), "")</f>
        <v>1</v>
      </c>
      <c r="CA6" s="94">
        <f t="array" ref="CA6">IFERROR(INDEX(Skill!$J:$J, MATCH(CA$4, Skill!$C:$C, 0), 1), "")</f>
        <v>1</v>
      </c>
      <c r="CB6" s="94">
        <f t="array" ref="CB6">IFERROR(INDEX(Skill!$J:$J, MATCH(CB$4, Skill!$C:$C, 0), 1), "")</f>
        <v>1</v>
      </c>
      <c r="CC6" s="94">
        <f t="array" ref="CC6">IFERROR(INDEX(Skill!$J:$J, MATCH(CC$4, Skill!$C:$C, 0), 1), "")</f>
        <v>1</v>
      </c>
      <c r="CD6" s="94">
        <f t="array" ref="CD6">IFERROR(INDEX(Skill!$J:$J, MATCH(CD$4, Skill!$C:$C, 0), 1), "")</f>
        <v>1</v>
      </c>
      <c r="CE6" s="94">
        <f t="array" ref="CE6">IFERROR(INDEX(Skill!$J:$J, MATCH(CE$4, Skill!$C:$C, 0), 1), "")</f>
        <v>1</v>
      </c>
      <c r="CF6" s="94">
        <f t="array" ref="CF6">IFERROR(INDEX(Skill!$J:$J, MATCH(CF$4, Skill!$C:$C, 0), 1), "")</f>
        <v>1</v>
      </c>
      <c r="CG6" s="94">
        <f t="array" ref="CG6">IFERROR(INDEX(Skill!$J:$J, MATCH(CG$4, Skill!$C:$C, 0), 1), "")</f>
        <v>1</v>
      </c>
      <c r="CH6" s="94">
        <f t="array" ref="CH6">IFERROR(INDEX(Skill!$J:$J, MATCH(CH$4, Skill!$C:$C, 0), 1), "")</f>
        <v>1</v>
      </c>
      <c r="CI6" s="94">
        <f t="array" ref="CI6">IFERROR(INDEX(Skill!$J:$J, MATCH(CI$4, Skill!$C:$C, 0), 1), "")</f>
        <v>1</v>
      </c>
      <c r="CJ6" s="94">
        <f t="array" ref="CJ6">IFERROR(INDEX(Skill!$J:$J, MATCH(CJ$4, Skill!$C:$C, 0), 1), "")</f>
        <v>1</v>
      </c>
      <c r="CK6" s="94">
        <f t="array" ref="CK6">IFERROR(INDEX(Skill!$J:$J, MATCH(CK$4, Skill!$C:$C, 0), 1), "")</f>
        <v>1</v>
      </c>
      <c r="CL6" s="94">
        <f t="array" ref="CL6">IFERROR(INDEX(Skill!$J:$J, MATCH(CL$4, Skill!$C:$C, 0), 1), "")</f>
        <v>1</v>
      </c>
      <c r="CM6" s="94">
        <f t="array" ref="CM6">IFERROR(INDEX(Skill!$J:$J, MATCH(CM$4, Skill!$C:$C, 0), 1), "")</f>
        <v>1</v>
      </c>
      <c r="CN6" s="94">
        <f t="array" ref="CN6">IFERROR(INDEX(Skill!$J:$J, MATCH(CN$4, Skill!$C:$C, 0), 1), "")</f>
        <v>1</v>
      </c>
      <c r="CO6" s="94">
        <f t="array" ref="CO6">IFERROR(INDEX(Skill!$J:$J, MATCH(CO$4, Skill!$C:$C, 0), 1), "")</f>
        <v>1</v>
      </c>
      <c r="CP6" s="94">
        <f t="array" ref="CP6">IFERROR(INDEX(Skill!$J:$J, MATCH(CP$4, Skill!$C:$C, 0), 1), "")</f>
        <v>1</v>
      </c>
      <c r="CQ6" s="94">
        <f t="array" ref="CQ6">IFERROR(INDEX(Skill!$J:$J, MATCH(CQ$4, Skill!$C:$C, 0), 1), "")</f>
        <v>1</v>
      </c>
      <c r="CR6" s="94">
        <f t="array" ref="CR6">IFERROR(INDEX(Skill!$J:$J, MATCH(CR$4, Skill!$C:$C, 0), 1), "")</f>
        <v>1</v>
      </c>
      <c r="CS6" s="94" t="str">
        <f t="array" ref="CS6">IFERROR(INDEX(Skill!$J:$J, MATCH(CS$4, Skill!$C:$C, 0), 1), "")</f>
        <v/>
      </c>
      <c r="CT6" s="94">
        <f t="array" ref="CT6">IFERROR(INDEX(Skill!$J:$J, MATCH(CT$4, Skill!$C:$C, 0), 1), "")</f>
        <v>1</v>
      </c>
      <c r="CU6" s="94">
        <f t="array" ref="CU6">IFERROR(INDEX(Skill!$J:$J, MATCH(CU$4, Skill!$C:$C, 0), 1), "")</f>
        <v>1</v>
      </c>
      <c r="CV6" s="94">
        <f t="array" ref="CV6">IFERROR(INDEX(Skill!$J:$J, MATCH(CV$4, Skill!$C:$C, 0), 1), "")</f>
        <v>1</v>
      </c>
      <c r="CW6" s="94">
        <f t="array" ref="CW6">IFERROR(INDEX(Skill!$J:$J, MATCH(CW$4, Skill!$C:$C, 0), 1), "")</f>
        <v>1</v>
      </c>
      <c r="CX6" s="94">
        <f t="array" ref="CX6">IFERROR(INDEX(Skill!$J:$J, MATCH(CX$4, Skill!$C:$C, 0), 1), "")</f>
        <v>1</v>
      </c>
      <c r="CY6" s="94">
        <f t="array" ref="CY6">IFERROR(INDEX(Skill!$J:$J, MATCH(CY$4, Skill!$C:$C, 0), 1), "")</f>
        <v>1</v>
      </c>
      <c r="CZ6" s="94">
        <f t="array" ref="CZ6">IFERROR(INDEX(Skill!$J:$J, MATCH(CZ$4, Skill!$C:$C, 0), 1), "")</f>
        <v>1</v>
      </c>
      <c r="DA6" s="94">
        <f t="array" ref="DA6">IFERROR(INDEX(Skill!$J:$J, MATCH(DA$4, Skill!$C:$C, 0), 1), "")</f>
        <v>1</v>
      </c>
      <c r="DB6" s="94">
        <f t="array" ref="DB6">IFERROR(INDEX(Skill!$J:$J, MATCH(DB$4, Skill!$C:$C, 0), 1), "")</f>
        <v>1</v>
      </c>
      <c r="DC6" s="94">
        <f t="array" ref="DC6">IFERROR(INDEX(Skill!$J:$J, MATCH(DC$4, Skill!$C:$C, 0), 1), "")</f>
        <v>1</v>
      </c>
      <c r="DD6" s="94">
        <f t="array" ref="DD6">IFERROR(INDEX(Skill!$J:$J, MATCH(DD$4, Skill!$C:$C, 0), 1), "")</f>
        <v>1</v>
      </c>
      <c r="DE6" s="94">
        <f t="array" ref="DE6">IFERROR(INDEX(Skill!$J:$J, MATCH(DE$4, Skill!$C:$C, 0), 1), "")</f>
        <v>1</v>
      </c>
      <c r="DF6" s="94">
        <f t="array" ref="DF6">IFERROR(INDEX(Skill!$J:$J, MATCH(DF$4, Skill!$C:$C, 0), 1), "")</f>
        <v>1</v>
      </c>
      <c r="DG6" s="94">
        <f t="array" ref="DG6">IFERROR(INDEX(Skill!$J:$J, MATCH(DG$4, Skill!$C:$C, 0), 1), "")</f>
        <v>1</v>
      </c>
      <c r="DH6" s="94">
        <f t="array" ref="DH6">IFERROR(INDEX(Skill!$J:$J, MATCH(DH$4, Skill!$C:$C, 0), 1), "")</f>
        <v>1</v>
      </c>
      <c r="DI6" s="94" t="str">
        <f t="array" ref="DI6">IFERROR(INDEX(Skill!$J:$J, MATCH(DI$4, Skill!$C:$C, 0), 1), "")</f>
        <v/>
      </c>
      <c r="DJ6" s="94">
        <f t="array" ref="DJ6">IFERROR(INDEX(Skill!$J:$J, MATCH(DJ$4, Skill!$C:$C, 0), 1), "")</f>
        <v>1</v>
      </c>
      <c r="DK6" s="94">
        <f t="array" ref="DK6">IFERROR(INDEX(Skill!$J:$J, MATCH(DK$4, Skill!$C:$C, 0), 1), "")</f>
        <v>1</v>
      </c>
      <c r="DL6" s="94">
        <f t="array" ref="DL6">IFERROR(INDEX(Skill!$J:$J, MATCH(DL$4, Skill!$C:$C, 0), 1), "")</f>
        <v>1</v>
      </c>
      <c r="DM6" s="94">
        <f t="array" ref="DM6">IFERROR(INDEX(Skill!$J:$J, MATCH(DM$4, Skill!$C:$C, 0), 1), "")</f>
        <v>1</v>
      </c>
      <c r="DN6" s="94">
        <f t="array" ref="DN6">IFERROR(INDEX(Skill!$J:$J, MATCH(DN$4, Skill!$C:$C, 0), 1), "")</f>
        <v>1</v>
      </c>
      <c r="DO6" s="94">
        <f t="array" ref="DO6">IFERROR(INDEX(Skill!$J:$J, MATCH(DO$4, Skill!$C:$C, 0), 1), "")</f>
        <v>1</v>
      </c>
      <c r="DP6" s="94">
        <f t="array" ref="DP6">IFERROR(INDEX(Skill!$J:$J, MATCH(DP$4, Skill!$C:$C, 0), 1), "")</f>
        <v>1</v>
      </c>
      <c r="DQ6" s="94">
        <f t="array" ref="DQ6">IFERROR(INDEX(Skill!$J:$J, MATCH(DQ$4, Skill!$C:$C, 0), 1), "")</f>
        <v>1</v>
      </c>
      <c r="DR6" s="94">
        <f t="array" ref="DR6">IFERROR(INDEX(Skill!$J:$J, MATCH(DR$4, Skill!$C:$C, 0), 1), "")</f>
        <v>1</v>
      </c>
      <c r="DS6" s="94">
        <f t="array" ref="DS6">IFERROR(INDEX(Skill!$J:$J, MATCH(DS$4, Skill!$C:$C, 0), 1), "")</f>
        <v>1</v>
      </c>
      <c r="DT6" s="94">
        <f t="array" ref="DT6">IFERROR(INDEX(Skill!$J:$J, MATCH(DT$4, Skill!$C:$C, 0), 1), "")</f>
        <v>1</v>
      </c>
      <c r="DU6" s="94">
        <f t="array" ref="DU6">IFERROR(INDEX(Skill!$J:$J, MATCH(DU$4, Skill!$C:$C, 0), 1), "")</f>
        <v>1</v>
      </c>
      <c r="DV6" s="94">
        <f t="array" ref="DV6">IFERROR(INDEX(Skill!$J:$J, MATCH(DV$4, Skill!$C:$C, 0), 1), "")</f>
        <v>1</v>
      </c>
      <c r="DW6" s="94">
        <f t="array" ref="DW6">IFERROR(INDEX(Skill!$J:$J, MATCH(DW$4, Skill!$C:$C, 0), 1), "")</f>
        <v>1</v>
      </c>
      <c r="DX6" s="94">
        <f t="array" ref="DX6">IFERROR(INDEX(Skill!$J:$J, MATCH(DX$4, Skill!$C:$C, 0), 1), "")</f>
        <v>1</v>
      </c>
      <c r="DY6" s="94">
        <f t="array" ref="DY6">IFERROR(INDEX(Skill!$J:$J, MATCH(DY$4, Skill!$C:$C, 0), 1), "")</f>
        <v>1</v>
      </c>
      <c r="DZ6" s="94">
        <f t="array" ref="DZ6">IFERROR(INDEX(Skill!$J:$J, MATCH(DZ$4, Skill!$C:$C, 0), 1), "")</f>
        <v>1</v>
      </c>
      <c r="EA6" s="89">
        <f t="array" ref="EA6">IFERROR(INDEX(Skill!$J:$J, MATCH(EA$4, Skill!$C:$C, 0), 1), "")</f>
        <v>1</v>
      </c>
      <c r="EB6" s="89">
        <f t="array" ref="EB6">IFERROR(INDEX(Skill!$J:$J, MATCH(EB$4, Skill!$C:$C, 0), 1), "")</f>
        <v>1</v>
      </c>
      <c r="EC6" s="89">
        <f t="array" ref="EC6">IFERROR(INDEX(Skill!$J:$J, MATCH(EC$4, Skill!$C:$C, 0), 1), "")</f>
        <v>1</v>
      </c>
      <c r="ED6" s="94">
        <f t="array" ref="ED6">IFERROR(INDEX(Skill!$J:$J, MATCH(ED$4, Skill!$C:$C, 0), 1), "")</f>
        <v>1</v>
      </c>
      <c r="EE6" s="94"/>
      <c r="EF6" s="94"/>
      <c r="EG6" s="94"/>
      <c r="EH6" s="94"/>
      <c r="EI6" s="94"/>
      <c r="EJ6" s="94"/>
      <c r="EK6" s="94"/>
      <c r="EL6" s="94"/>
      <c r="EM6" s="94"/>
      <c r="EN6" s="94"/>
      <c r="EO6" s="94"/>
      <c r="EP6" s="94"/>
      <c r="EQ6" s="94"/>
      <c r="ER6" s="94"/>
      <c r="ES6" s="94"/>
      <c r="ET6" s="94"/>
      <c r="EU6" s="94"/>
      <c r="EV6" s="94"/>
      <c r="EW6" s="94"/>
      <c r="EX6" s="94"/>
      <c r="EY6" s="94"/>
      <c r="EZ6" s="94"/>
      <c r="FA6" s="94"/>
      <c r="FB6" s="94"/>
      <c r="FC6" s="94"/>
      <c r="FD6" s="94"/>
      <c r="FE6" s="94"/>
      <c r="FF6" s="94"/>
      <c r="FG6" s="94"/>
      <c r="FH6" s="94"/>
      <c r="FI6" s="94"/>
      <c r="FJ6" s="94"/>
      <c r="FK6" s="94"/>
      <c r="FL6" s="94"/>
      <c r="FM6" s="94"/>
      <c r="FN6" s="94"/>
      <c r="FO6" s="91"/>
    </row>
    <row r="7" hidden="1">
      <c r="B7" s="92"/>
      <c r="C7" s="93"/>
      <c r="D7" s="83"/>
      <c r="E7" s="84" t="s">
        <v>6</v>
      </c>
      <c r="F7" s="84"/>
      <c r="G7" s="84"/>
      <c r="H7" s="84"/>
      <c r="I7" s="84"/>
      <c r="J7" s="84"/>
      <c r="K7" s="94" t="b">
        <f t="array" ref="K7">IFERROR(INDEX(Skill!$H:$H, MATCH(K$4, Skill!$C:$C, 0), 1), "")</f>
        <v>1</v>
      </c>
      <c r="L7" s="94" t="b">
        <f t="array" ref="L7">IFERROR(INDEX(Skill!$H:$H, MATCH(L$4, Skill!$C:$C, 0), 1), "")</f>
        <v>1</v>
      </c>
      <c r="M7" s="94" t="b">
        <f t="array" ref="M7">IFERROR(INDEX(Skill!$H:$H, MATCH(M$4, Skill!$C:$C, 0), 1), "")</f>
        <v>1</v>
      </c>
      <c r="N7" s="94" t="b">
        <f t="array" ref="N7">IFERROR(INDEX(Skill!$H:$H, MATCH(N$4, Skill!$C:$C, 0), 1), "")</f>
        <v>1</v>
      </c>
      <c r="O7" s="94" t="b">
        <f t="array" ref="O7">IFERROR(INDEX(Skill!$H:$H, MATCH(O$4, Skill!$C:$C, 0), 1), "")</f>
        <v>1</v>
      </c>
      <c r="P7" s="94" t="b">
        <f t="array" ref="P7">IFERROR(INDEX(Skill!$H:$H, MATCH(P$4, Skill!$C:$C, 0), 1), "")</f>
        <v>1</v>
      </c>
      <c r="Q7" s="94" t="b">
        <f t="array" ref="Q7">IFERROR(INDEX(Skill!$H:$H, MATCH(Q$4, Skill!$C:$C, 0), 1), "")</f>
        <v>1</v>
      </c>
      <c r="R7" s="94" t="b">
        <f t="array" ref="R7">IFERROR(INDEX(Skill!$H:$H, MATCH(R$4, Skill!$C:$C, 0), 1), "")</f>
        <v>1</v>
      </c>
      <c r="S7" s="94" t="b">
        <f t="array" ref="S7">IFERROR(INDEX(Skill!$H:$H, MATCH(S$4, Skill!$C:$C, 0), 1), "")</f>
        <v>1</v>
      </c>
      <c r="T7" s="94" t="b">
        <f t="array" ref="T7">IFERROR(INDEX(Skill!$H:$H, MATCH(T$4, Skill!$C:$C, 0), 1), "")</f>
        <v>1</v>
      </c>
      <c r="U7" s="94" t="b">
        <f t="array" ref="U7">IFERROR(INDEX(Skill!$H:$H, MATCH(U$4, Skill!$C:$C, 0), 1), "")</f>
        <v>1</v>
      </c>
      <c r="V7" s="94" t="b">
        <f t="array" ref="V7">IFERROR(INDEX(Skill!$H:$H, MATCH(V$4, Skill!$C:$C, 0), 1), "")</f>
        <v>1</v>
      </c>
      <c r="W7" s="94" t="b">
        <f t="array" ref="W7">IFERROR(INDEX(Skill!$H:$H, MATCH(W$4, Skill!$C:$C, 0), 1), "")</f>
        <v>1</v>
      </c>
      <c r="X7" s="94" t="b">
        <f t="array" ref="X7">IFERROR(INDEX(Skill!$H:$H, MATCH(X$4, Skill!$C:$C, 0), 1), "")</f>
        <v>1</v>
      </c>
      <c r="Y7" s="94" t="b">
        <f t="array" ref="Y7">IFERROR(INDEX(Skill!$H:$H, MATCH(Y$4, Skill!$C:$C, 0), 1), "")</f>
        <v>1</v>
      </c>
      <c r="Z7" s="94" t="b">
        <f t="array" ref="Z7">IFERROR(INDEX(Skill!$H:$H, MATCH(Z$4, Skill!$C:$C, 0), 1), "")</f>
        <v>1</v>
      </c>
      <c r="AA7" s="94" t="b">
        <f t="array" ref="AA7">IFERROR(INDEX(Skill!$H:$H, MATCH(AA$4, Skill!$C:$C, 0), 1), "")</f>
        <v>1</v>
      </c>
      <c r="AB7" s="94" t="b">
        <f t="array" ref="AB7">IFERROR(INDEX(Skill!$H:$H, MATCH(AB$4, Skill!$C:$C, 0), 1), "")</f>
        <v>1</v>
      </c>
      <c r="AC7" s="94" t="b">
        <f t="array" ref="AC7">IFERROR(INDEX(Skill!$H:$H, MATCH(AC$4, Skill!$C:$C, 0), 1), "")</f>
        <v>1</v>
      </c>
      <c r="AD7" s="94" t="b">
        <f t="array" ref="AD7">IFERROR(INDEX(Skill!$H:$H, MATCH(AD$4, Skill!$C:$C, 0), 1), "")</f>
        <v>1</v>
      </c>
      <c r="AE7" s="94" t="b">
        <f t="array" ref="AE7">IFERROR(INDEX(Skill!$H:$H, MATCH(AE$4, Skill!$C:$C, 0), 1), "")</f>
        <v>1</v>
      </c>
      <c r="AF7" s="94" t="b">
        <f t="array" ref="AF7">IFERROR(INDEX(Skill!$H:$H, MATCH(AF$4, Skill!$C:$C, 0), 1), "")</f>
        <v>1</v>
      </c>
      <c r="AG7" s="94" t="str">
        <f t="array" ref="AG7">IFERROR(INDEX(Skill!$H:$H, MATCH(AG$4, Skill!$C:$C, 0), 1), "")</f>
        <v/>
      </c>
      <c r="AH7" s="94" t="b">
        <f t="array" ref="AH7">IFERROR(INDEX(Skill!$H:$H, MATCH(AH$4, Skill!$C:$C, 0), 1), "")</f>
        <v>1</v>
      </c>
      <c r="AI7" s="94" t="b">
        <f t="array" ref="AI7">IFERROR(INDEX(Skill!$H:$H, MATCH(AI$4, Skill!$C:$C, 0), 1), "")</f>
        <v>1</v>
      </c>
      <c r="AJ7" s="94" t="b">
        <f t="array" ref="AJ7">IFERROR(INDEX(Skill!$H:$H, MATCH(AJ$4, Skill!$C:$C, 0), 1), "")</f>
        <v>1</v>
      </c>
      <c r="AK7" s="94" t="b">
        <f t="array" ref="AK7">IFERROR(INDEX(Skill!$H:$H, MATCH(AK$4, Skill!$C:$C, 0), 1), "")</f>
        <v>1</v>
      </c>
      <c r="AL7" s="94" t="b">
        <f t="array" ref="AL7">IFERROR(INDEX(Skill!$H:$H, MATCH(AL$4, Skill!$C:$C, 0), 1), "")</f>
        <v>1</v>
      </c>
      <c r="AM7" s="94" t="b">
        <f t="array" ref="AM7">IFERROR(INDEX(Skill!$H:$H, MATCH(AM$4, Skill!$C:$C, 0), 1), "")</f>
        <v>1</v>
      </c>
      <c r="AN7" s="94" t="b">
        <f t="array" ref="AN7">IFERROR(INDEX(Skill!$H:$H, MATCH(AN$4, Skill!$C:$C, 0), 1), "")</f>
        <v>1</v>
      </c>
      <c r="AO7" s="94" t="b">
        <f t="array" ref="AO7">IFERROR(INDEX(Skill!$H:$H, MATCH(AO$4, Skill!$C:$C, 0), 1), "")</f>
        <v>1</v>
      </c>
      <c r="AP7" s="94" t="b">
        <f t="array" ref="AP7">IFERROR(INDEX(Skill!$H:$H, MATCH(AP$4, Skill!$C:$C, 0), 1), "")</f>
        <v>1</v>
      </c>
      <c r="AQ7" s="94" t="b">
        <f t="array" ref="AQ7">IFERROR(INDEX(Skill!$H:$H, MATCH(AQ$4, Skill!$C:$C, 0), 1), "")</f>
        <v>1</v>
      </c>
      <c r="AR7" s="94" t="b">
        <f t="array" ref="AR7">IFERROR(INDEX(Skill!$H:$H, MATCH(AR$4, Skill!$C:$C, 0), 1), "")</f>
        <v>1</v>
      </c>
      <c r="AS7" s="94" t="b">
        <f t="array" ref="AS7">IFERROR(INDEX(Skill!$H:$H, MATCH(AS$4, Skill!$C:$C, 0), 1), "")</f>
        <v>1</v>
      </c>
      <c r="AT7" s="94" t="b">
        <f t="array" ref="AT7">IFERROR(INDEX(Skill!$H:$H, MATCH(AT$4, Skill!$C:$C, 0), 1), "")</f>
        <v>0</v>
      </c>
      <c r="AU7" s="94" t="b">
        <f t="array" ref="AU7">IFERROR(INDEX(Skill!$H:$H, MATCH(AU$4, Skill!$C:$C, 0), 1), "")</f>
        <v>1</v>
      </c>
      <c r="AV7" s="94" t="b">
        <f t="array" ref="AV7">IFERROR(INDEX(Skill!$H:$H, MATCH(AV$4, Skill!$C:$C, 0), 1), "")</f>
        <v>1</v>
      </c>
      <c r="AW7" s="94" t="b">
        <f t="array" ref="AW7">IFERROR(INDEX(Skill!$H:$H, MATCH(AW$4, Skill!$C:$C, 0), 1), "")</f>
        <v>1</v>
      </c>
      <c r="AX7" s="94" t="b">
        <f t="array" ref="AX7">IFERROR(INDEX(Skill!$H:$H, MATCH(AX$4, Skill!$C:$C, 0), 1), "")</f>
        <v>1</v>
      </c>
      <c r="AY7" s="94" t="b">
        <f t="array" ref="AY7">IFERROR(INDEX(Skill!$H:$H, MATCH(AY$4, Skill!$C:$C, 0), 1), "")</f>
        <v>1</v>
      </c>
      <c r="AZ7" s="94" t="b">
        <f t="array" ref="AZ7">IFERROR(INDEX(Skill!$H:$H, MATCH(AZ$4, Skill!$C:$C, 0), 1), "")</f>
        <v>1</v>
      </c>
      <c r="BA7" s="94" t="str">
        <f t="array" ref="BA7">IFERROR(INDEX(Skill!$H:$H, MATCH(BA$4, Skill!$C:$C, 0), 1), "")</f>
        <v/>
      </c>
      <c r="BB7" s="94" t="b">
        <f t="array" ref="BB7">IFERROR(INDEX(Skill!$H:$H, MATCH(BB$4, Skill!$C:$C, 0), 1), "")</f>
        <v>1</v>
      </c>
      <c r="BC7" s="94" t="str">
        <f t="array" ref="BC7">IFERROR(INDEX(Skill!$H:$H, MATCH(BC$4, Skill!$C:$C, 0), 1), "")</f>
        <v/>
      </c>
      <c r="BD7" s="94" t="b">
        <f t="array" ref="BD7">IFERROR(INDEX(Skill!$H:$H, MATCH(BD$4, Skill!$C:$C, 0), 1), "")</f>
        <v>1</v>
      </c>
      <c r="BE7" s="94" t="b">
        <f t="array" ref="BE7">IFERROR(INDEX(Skill!$H:$H, MATCH(BE$4, Skill!$C:$C, 0), 1), "")</f>
        <v>1</v>
      </c>
      <c r="BF7" s="94" t="b">
        <f t="array" ref="BF7">IFERROR(INDEX(Skill!$H:$H, MATCH(BF$4, Skill!$C:$C, 0), 1), "")</f>
        <v>1</v>
      </c>
      <c r="BG7" s="94" t="b">
        <f t="array" ref="BG7">IFERROR(INDEX(Skill!$H:$H, MATCH(BG$4, Skill!$C:$C, 0), 1), "")</f>
        <v>1</v>
      </c>
      <c r="BH7" s="94" t="b">
        <f t="array" ref="BH7">IFERROR(INDEX(Skill!$H:$H, MATCH(BH$4, Skill!$C:$C, 0), 1), "")</f>
        <v>0</v>
      </c>
      <c r="BI7" s="94" t="b">
        <f t="array" ref="BI7">IFERROR(INDEX(Skill!$H:$H, MATCH(BI$4, Skill!$C:$C, 0), 1), "")</f>
        <v>1</v>
      </c>
      <c r="BJ7" s="94" t="b">
        <f t="array" ref="BJ7">IFERROR(INDEX(Skill!$H:$H, MATCH(BJ$4, Skill!$C:$C, 0), 1), "")</f>
        <v>1</v>
      </c>
      <c r="BK7" s="94" t="b">
        <f t="array" ref="BK7">IFERROR(INDEX(Skill!$H:$H, MATCH(BK$4, Skill!$C:$C, 0), 1), "")</f>
        <v>1</v>
      </c>
      <c r="BL7" s="94" t="b">
        <f t="array" ref="BL7">IFERROR(INDEX(Skill!$H:$H, MATCH(BL$4, Skill!$C:$C, 0), 1), "")</f>
        <v>1</v>
      </c>
      <c r="BM7" s="94" t="b">
        <f t="array" ref="BM7">IFERROR(INDEX(Skill!$H:$H, MATCH(BM$4, Skill!$C:$C, 0), 1), "")</f>
        <v>1</v>
      </c>
      <c r="BN7" s="94" t="b">
        <f t="array" ref="BN7">IFERROR(INDEX(Skill!$H:$H, MATCH(BN$4, Skill!$C:$C, 0), 1), "")</f>
        <v>1</v>
      </c>
      <c r="BO7" s="94" t="b">
        <f t="array" ref="BO7">IFERROR(INDEX(Skill!$H:$H, MATCH(BO$4, Skill!$C:$C, 0), 1), "")</f>
        <v>1</v>
      </c>
      <c r="BP7" s="94" t="b">
        <f t="array" ref="BP7">IFERROR(INDEX(Skill!$H:$H, MATCH(BP$4, Skill!$C:$C, 0), 1), "")</f>
        <v>1</v>
      </c>
      <c r="BQ7" s="94" t="b">
        <f t="array" ref="BQ7">IFERROR(INDEX(Skill!$H:$H, MATCH(BQ$4, Skill!$C:$C, 0), 1), "")</f>
        <v>1</v>
      </c>
      <c r="BR7" s="94" t="b">
        <f t="array" ref="BR7">IFERROR(INDEX(Skill!$H:$H, MATCH(BR$4, Skill!$C:$C, 0), 1), "")</f>
        <v>1</v>
      </c>
      <c r="BS7" s="94" t="b">
        <f t="array" ref="BS7">IFERROR(INDEX(Skill!$H:$H, MATCH(BS$4, Skill!$C:$C, 0), 1), "")</f>
        <v>1</v>
      </c>
      <c r="BT7" s="94" t="str">
        <f t="array" ref="BT7">IFERROR(INDEX(Skill!$H:$H, MATCH(BT$4, Skill!$C:$C, 0), 1), "")</f>
        <v/>
      </c>
      <c r="BU7" s="94" t="b">
        <f t="array" ref="BU7">IFERROR(INDEX(Skill!$H:$H, MATCH(BU$4, Skill!$C:$C, 0), 1), "")</f>
        <v>1</v>
      </c>
      <c r="BV7" s="94" t="b">
        <f t="array" ref="BV7">IFERROR(INDEX(Skill!$H:$H, MATCH(BV$4, Skill!$C:$C, 0), 1), "")</f>
        <v>1</v>
      </c>
      <c r="BW7" s="94" t="str">
        <f t="array" ref="BW7">IFERROR(INDEX(Skill!$H:$H, MATCH(BW$4, Skill!$C:$C, 0), 1), "")</f>
        <v/>
      </c>
      <c r="BX7" s="94" t="b">
        <f t="array" ref="BX7">IFERROR(INDEX(Skill!$H:$H, MATCH(BX$4, Skill!$C:$C, 0), 1), "")</f>
        <v>0</v>
      </c>
      <c r="BY7" s="94" t="b">
        <f t="array" ref="BY7">IFERROR(INDEX(Skill!$H:$H, MATCH(BY$4, Skill!$C:$C, 0), 1), "")</f>
        <v>1</v>
      </c>
      <c r="BZ7" s="94" t="b">
        <f t="array" ref="BZ7">IFERROR(INDEX(Skill!$H:$H, MATCH(BZ$4, Skill!$C:$C, 0), 1), "")</f>
        <v>1</v>
      </c>
      <c r="CA7" s="94" t="b">
        <f t="array" ref="CA7">IFERROR(INDEX(Skill!$H:$H, MATCH(CA$4, Skill!$C:$C, 0), 1), "")</f>
        <v>1</v>
      </c>
      <c r="CB7" s="94" t="b">
        <f t="array" ref="CB7">IFERROR(INDEX(Skill!$H:$H, MATCH(CB$4, Skill!$C:$C, 0), 1), "")</f>
        <v>1</v>
      </c>
      <c r="CC7" s="94" t="b">
        <f t="array" ref="CC7">IFERROR(INDEX(Skill!$H:$H, MATCH(CC$4, Skill!$C:$C, 0), 1), "")</f>
        <v>0</v>
      </c>
      <c r="CD7" s="94" t="b">
        <f t="array" ref="CD7">IFERROR(INDEX(Skill!$H:$H, MATCH(CD$4, Skill!$C:$C, 0), 1), "")</f>
        <v>1</v>
      </c>
      <c r="CE7" s="94" t="b">
        <f t="array" ref="CE7">IFERROR(INDEX(Skill!$H:$H, MATCH(CE$4, Skill!$C:$C, 0), 1), "")</f>
        <v>1</v>
      </c>
      <c r="CF7" s="94" t="b">
        <f t="array" ref="CF7">IFERROR(INDEX(Skill!$H:$H, MATCH(CF$4, Skill!$C:$C, 0), 1), "")</f>
        <v>1</v>
      </c>
      <c r="CG7" s="94" t="b">
        <f t="array" ref="CG7">IFERROR(INDEX(Skill!$H:$H, MATCH(CG$4, Skill!$C:$C, 0), 1), "")</f>
        <v>1</v>
      </c>
      <c r="CH7" s="94" t="b">
        <f t="array" ref="CH7">IFERROR(INDEX(Skill!$H:$H, MATCH(CH$4, Skill!$C:$C, 0), 1), "")</f>
        <v>1</v>
      </c>
      <c r="CI7" s="94" t="b">
        <f t="array" ref="CI7">IFERROR(INDEX(Skill!$H:$H, MATCH(CI$4, Skill!$C:$C, 0), 1), "")</f>
        <v>1</v>
      </c>
      <c r="CJ7" s="94" t="b">
        <f t="array" ref="CJ7">IFERROR(INDEX(Skill!$H:$H, MATCH(CJ$4, Skill!$C:$C, 0), 1), "")</f>
        <v>1</v>
      </c>
      <c r="CK7" s="94" t="b">
        <f t="array" ref="CK7">IFERROR(INDEX(Skill!$H:$H, MATCH(CK$4, Skill!$C:$C, 0), 1), "")</f>
        <v>1</v>
      </c>
      <c r="CL7" s="94" t="b">
        <f t="array" ref="CL7">IFERROR(INDEX(Skill!$H:$H, MATCH(CL$4, Skill!$C:$C, 0), 1), "")</f>
        <v>0</v>
      </c>
      <c r="CM7" s="94" t="b">
        <f t="array" ref="CM7">IFERROR(INDEX(Skill!$H:$H, MATCH(CM$4, Skill!$C:$C, 0), 1), "")</f>
        <v>0</v>
      </c>
      <c r="CN7" s="94" t="b">
        <f t="array" ref="CN7">IFERROR(INDEX(Skill!$H:$H, MATCH(CN$4, Skill!$C:$C, 0), 1), "")</f>
        <v>1</v>
      </c>
      <c r="CO7" s="94" t="b">
        <f t="array" ref="CO7">IFERROR(INDEX(Skill!$H:$H, MATCH(CO$4, Skill!$C:$C, 0), 1), "")</f>
        <v>1</v>
      </c>
      <c r="CP7" s="94" t="b">
        <f t="array" ref="CP7">IFERROR(INDEX(Skill!$H:$H, MATCH(CP$4, Skill!$C:$C, 0), 1), "")</f>
        <v>0</v>
      </c>
      <c r="CQ7" s="94" t="b">
        <f t="array" ref="CQ7">IFERROR(INDEX(Skill!$H:$H, MATCH(CQ$4, Skill!$C:$C, 0), 1), "")</f>
        <v>1</v>
      </c>
      <c r="CR7" s="94" t="b">
        <f t="array" ref="CR7">IFERROR(INDEX(Skill!$H:$H, MATCH(CR$4, Skill!$C:$C, 0), 1), "")</f>
        <v>1</v>
      </c>
      <c r="CS7" s="94" t="str">
        <f t="array" ref="CS7">IFERROR(INDEX(Skill!$H:$H, MATCH(CS$4, Skill!$C:$C, 0), 1), "")</f>
        <v/>
      </c>
      <c r="CT7" s="94" t="b">
        <f t="array" ref="CT7">IFERROR(INDEX(Skill!$H:$H, MATCH(CT$4, Skill!$C:$C, 0), 1), "")</f>
        <v>1</v>
      </c>
      <c r="CU7" s="94" t="b">
        <f t="array" ref="CU7">IFERROR(INDEX(Skill!$H:$H, MATCH(CU$4, Skill!$C:$C, 0), 1), "")</f>
        <v>1</v>
      </c>
      <c r="CV7" s="94" t="b">
        <f t="array" ref="CV7">IFERROR(INDEX(Skill!$H:$H, MATCH(CV$4, Skill!$C:$C, 0), 1), "")</f>
        <v>0</v>
      </c>
      <c r="CW7" s="94" t="b">
        <f t="array" ref="CW7">IFERROR(INDEX(Skill!$H:$H, MATCH(CW$4, Skill!$C:$C, 0), 1), "")</f>
        <v>1</v>
      </c>
      <c r="CX7" s="94" t="b">
        <f t="array" ref="CX7">IFERROR(INDEX(Skill!$H:$H, MATCH(CX$4, Skill!$C:$C, 0), 1), "")</f>
        <v>1</v>
      </c>
      <c r="CY7" s="94" t="b">
        <f t="array" ref="CY7">IFERROR(INDEX(Skill!$H:$H, MATCH(CY$4, Skill!$C:$C, 0), 1), "")</f>
        <v>1</v>
      </c>
      <c r="CZ7" s="94" t="b">
        <f t="array" ref="CZ7">IFERROR(INDEX(Skill!$H:$H, MATCH(CZ$4, Skill!$C:$C, 0), 1), "")</f>
        <v>1</v>
      </c>
      <c r="DA7" s="94" t="b">
        <f t="array" ref="DA7">IFERROR(INDEX(Skill!$H:$H, MATCH(DA$4, Skill!$C:$C, 0), 1), "")</f>
        <v>1</v>
      </c>
      <c r="DB7" s="94" t="b">
        <f t="array" ref="DB7">IFERROR(INDEX(Skill!$H:$H, MATCH(DB$4, Skill!$C:$C, 0), 1), "")</f>
        <v>1</v>
      </c>
      <c r="DC7" s="94" t="b">
        <f t="array" ref="DC7">IFERROR(INDEX(Skill!$H:$H, MATCH(DC$4, Skill!$C:$C, 0), 1), "")</f>
        <v>1</v>
      </c>
      <c r="DD7" s="94" t="b">
        <f t="array" ref="DD7">IFERROR(INDEX(Skill!$H:$H, MATCH(DD$4, Skill!$C:$C, 0), 1), "")</f>
        <v>1</v>
      </c>
      <c r="DE7" s="94" t="b">
        <f t="array" ref="DE7">IFERROR(INDEX(Skill!$H:$H, MATCH(DE$4, Skill!$C:$C, 0), 1), "")</f>
        <v>1</v>
      </c>
      <c r="DF7" s="94" t="b">
        <f t="array" ref="DF7">IFERROR(INDEX(Skill!$H:$H, MATCH(DF$4, Skill!$C:$C, 0), 1), "")</f>
        <v>0</v>
      </c>
      <c r="DG7" s="94" t="b">
        <f t="array" ref="DG7">IFERROR(INDEX(Skill!$H:$H, MATCH(DG$4, Skill!$C:$C, 0), 1), "")</f>
        <v>1</v>
      </c>
      <c r="DH7" s="94" t="b">
        <f t="array" ref="DH7">IFERROR(INDEX(Skill!$H:$H, MATCH(DH$4, Skill!$C:$C, 0), 1), "")</f>
        <v>1</v>
      </c>
      <c r="DI7" s="94" t="str">
        <f t="array" ref="DI7">IFERROR(INDEX(Skill!$H:$H, MATCH(DI$4, Skill!$C:$C, 0), 1), "")</f>
        <v/>
      </c>
      <c r="DJ7" s="94" t="b">
        <f t="array" ref="DJ7">IFERROR(INDEX(Skill!$H:$H, MATCH(DJ$4, Skill!$C:$C, 0), 1), "")</f>
        <v>1</v>
      </c>
      <c r="DK7" s="94" t="b">
        <f t="array" ref="DK7">IFERROR(INDEX(Skill!$H:$H, MATCH(DK$4, Skill!$C:$C, 0), 1), "")</f>
        <v>1</v>
      </c>
      <c r="DL7" s="94" t="b">
        <f t="array" ref="DL7">IFERROR(INDEX(Skill!$H:$H, MATCH(DL$4, Skill!$C:$C, 0), 1), "")</f>
        <v>1</v>
      </c>
      <c r="DM7" s="94" t="b">
        <f t="array" ref="DM7">IFERROR(INDEX(Skill!$H:$H, MATCH(DM$4, Skill!$C:$C, 0), 1), "")</f>
        <v>1</v>
      </c>
      <c r="DN7" s="94" t="b">
        <f t="array" ref="DN7">IFERROR(INDEX(Skill!$H:$H, MATCH(DN$4, Skill!$C:$C, 0), 1), "")</f>
        <v>1</v>
      </c>
      <c r="DO7" s="94" t="b">
        <f t="array" ref="DO7">IFERROR(INDEX(Skill!$H:$H, MATCH(DO$4, Skill!$C:$C, 0), 1), "")</f>
        <v>1</v>
      </c>
      <c r="DP7" s="94" t="b">
        <f t="array" ref="DP7">IFERROR(INDEX(Skill!$H:$H, MATCH(DP$4, Skill!$C:$C, 0), 1), "")</f>
        <v>1</v>
      </c>
      <c r="DQ7" s="94" t="b">
        <f t="array" ref="DQ7">IFERROR(INDEX(Skill!$H:$H, MATCH(DQ$4, Skill!$C:$C, 0), 1), "")</f>
        <v>1</v>
      </c>
      <c r="DR7" s="94" t="b">
        <f t="array" ref="DR7">IFERROR(INDEX(Skill!$H:$H, MATCH(DR$4, Skill!$C:$C, 0), 1), "")</f>
        <v>1</v>
      </c>
      <c r="DS7" s="94" t="b">
        <f t="array" ref="DS7">IFERROR(INDEX(Skill!$H:$H, MATCH(DS$4, Skill!$C:$C, 0), 1), "")</f>
        <v>1</v>
      </c>
      <c r="DT7" s="94" t="b">
        <f t="array" ref="DT7">IFERROR(INDEX(Skill!$H:$H, MATCH(DT$4, Skill!$C:$C, 0), 1), "")</f>
        <v>1</v>
      </c>
      <c r="DU7" s="94" t="b">
        <f t="array" ref="DU7">IFERROR(INDEX(Skill!$H:$H, MATCH(DU$4, Skill!$C:$C, 0), 1), "")</f>
        <v>1</v>
      </c>
      <c r="DV7" s="94" t="b">
        <f t="array" ref="DV7">IFERROR(INDEX(Skill!$H:$H, MATCH(DV$4, Skill!$C:$C, 0), 1), "")</f>
        <v>1</v>
      </c>
      <c r="DW7" s="94" t="b">
        <f t="array" ref="DW7">IFERROR(INDEX(Skill!$H:$H, MATCH(DW$4, Skill!$C:$C, 0), 1), "")</f>
        <v>1</v>
      </c>
      <c r="DX7" s="94" t="b">
        <f t="array" ref="DX7">IFERROR(INDEX(Skill!$H:$H, MATCH(DX$4, Skill!$C:$C, 0), 1), "")</f>
        <v>1</v>
      </c>
      <c r="DY7" s="94" t="b">
        <f t="array" ref="DY7">IFERROR(INDEX(Skill!$H:$H, MATCH(DY$4, Skill!$C:$C, 0), 1), "")</f>
        <v>1</v>
      </c>
      <c r="DZ7" s="94" t="b">
        <f t="array" ref="DZ7">IFERROR(INDEX(Skill!$H:$H, MATCH(DZ$4, Skill!$C:$C, 0), 1), "")</f>
        <v>1</v>
      </c>
      <c r="EA7" s="89" t="b">
        <f t="array" ref="EA7">IFERROR(INDEX(Skill!$H:$H, MATCH(EA$4, Skill!$C:$C, 0), 1), "")</f>
        <v>1</v>
      </c>
      <c r="EB7" s="89" t="b">
        <f t="array" ref="EB7">IFERROR(INDEX(Skill!$H:$H, MATCH(EB$4, Skill!$C:$C, 0), 1), "")</f>
        <v>1</v>
      </c>
      <c r="EC7" s="89" t="b">
        <f t="array" ref="EC7">IFERROR(INDEX(Skill!$H:$H, MATCH(EC$4, Skill!$C:$C, 0), 1), "")</f>
        <v>1</v>
      </c>
      <c r="ED7" s="94" t="b">
        <f t="array" ref="ED7">IFERROR(INDEX(Skill!$H:$H, MATCH(ED$4, Skill!$C:$C, 0), 1), "")</f>
        <v>0</v>
      </c>
      <c r="EE7" s="94"/>
      <c r="EF7" s="94"/>
      <c r="EG7" s="94"/>
      <c r="EH7" s="94"/>
      <c r="EI7" s="94"/>
      <c r="EJ7" s="94"/>
      <c r="EK7" s="94"/>
      <c r="EL7" s="94"/>
      <c r="EM7" s="94"/>
      <c r="EN7" s="94"/>
      <c r="EO7" s="94"/>
      <c r="EP7" s="94"/>
      <c r="EQ7" s="94"/>
      <c r="ER7" s="94"/>
      <c r="ES7" s="94"/>
      <c r="ET7" s="94"/>
      <c r="EU7" s="94"/>
      <c r="EV7" s="94"/>
      <c r="EW7" s="94"/>
      <c r="EX7" s="94"/>
      <c r="EY7" s="94"/>
      <c r="EZ7" s="94"/>
      <c r="FA7" s="94"/>
      <c r="FB7" s="94"/>
      <c r="FC7" s="94"/>
      <c r="FD7" s="94"/>
      <c r="FE7" s="94"/>
      <c r="FF7" s="94"/>
      <c r="FG7" s="94"/>
      <c r="FH7" s="94"/>
      <c r="FI7" s="94"/>
      <c r="FJ7" s="94"/>
      <c r="FK7" s="94"/>
      <c r="FL7" s="94"/>
      <c r="FM7" s="94"/>
      <c r="FN7" s="94"/>
      <c r="FO7" s="91"/>
    </row>
    <row r="8" hidden="1">
      <c r="B8" s="92"/>
      <c r="C8" s="93"/>
      <c r="D8" s="83"/>
      <c r="E8" s="84" t="s">
        <v>1038</v>
      </c>
      <c r="F8" s="84"/>
      <c r="G8" s="84"/>
      <c r="H8" s="84"/>
      <c r="I8" s="84"/>
      <c r="J8" s="84"/>
      <c r="K8" s="94">
        <f t="array" ref="K8">IFERROR(INDEX(Skill!$F:$F, MATCH(K$4, Skill!$C:$C, 0), 1), "")</f>
        <v>15</v>
      </c>
      <c r="L8" s="94">
        <f t="array" ref="L8">IFERROR(INDEX(Skill!$F:$F, MATCH(L$4, Skill!$C:$C, 0), 1), "")</f>
        <v>18</v>
      </c>
      <c r="M8" s="94">
        <f t="array" ref="M8">IFERROR(INDEX(Skill!$F:$F, MATCH(M$4, Skill!$C:$C, 0), 1), "")</f>
        <v>30</v>
      </c>
      <c r="N8" s="94">
        <f t="array" ref="N8">IFERROR(INDEX(Skill!$F:$F, MATCH(N$4, Skill!$C:$C, 0), 1), "")</f>
        <v>8</v>
      </c>
      <c r="O8" s="94">
        <f t="array" ref="O8">IFERROR(INDEX(Skill!$F:$F, MATCH(O$4, Skill!$C:$C, 0), 1), "")</f>
        <v>20</v>
      </c>
      <c r="P8" s="94">
        <f t="array" ref="P8">IFERROR(INDEX(Skill!$F:$F, MATCH(P$4, Skill!$C:$C, 0), 1), "")</f>
        <v>10</v>
      </c>
      <c r="Q8" s="94">
        <f t="array" ref="Q8">IFERROR(INDEX(Skill!$F:$F, MATCH(Q$4, Skill!$C:$C, 0), 1), "")</f>
        <v>15</v>
      </c>
      <c r="R8" s="94">
        <f t="array" ref="R8">IFERROR(INDEX(Skill!$F:$F, MATCH(R$4, Skill!$C:$C, 0), 1), "")</f>
        <v>8</v>
      </c>
      <c r="S8" s="94">
        <f t="array" ref="S8">IFERROR(INDEX(Skill!$F:$F, MATCH(S$4, Skill!$C:$C, 0), 1), "")</f>
        <v>10</v>
      </c>
      <c r="T8" s="94">
        <f t="array" ref="T8">IFERROR(INDEX(Skill!$F:$F, MATCH(T$4, Skill!$C:$C, 0), 1), "")</f>
        <v>15</v>
      </c>
      <c r="U8" s="94">
        <f t="array" ref="U8">IFERROR(INDEX(Skill!$F:$F, MATCH(U$4, Skill!$C:$C, 0), 1), "")</f>
        <v>30</v>
      </c>
      <c r="V8" s="94">
        <f t="array" ref="V8">IFERROR(INDEX(Skill!$F:$F, MATCH(V$4, Skill!$C:$C, 0), 1), "")</f>
        <v>8</v>
      </c>
      <c r="W8" s="94">
        <f t="array" ref="W8">IFERROR(INDEX(Skill!$F:$F, MATCH(W$4, Skill!$C:$C, 0), 1), "")</f>
        <v>20</v>
      </c>
      <c r="X8" s="94">
        <f t="array" ref="X8">IFERROR(INDEX(Skill!$F:$F, MATCH(X$4, Skill!$C:$C, 0), 1), "")</f>
        <v>10</v>
      </c>
      <c r="Y8" s="94">
        <f t="array" ref="Y8">IFERROR(INDEX(Skill!$F:$F, MATCH(Y$4, Skill!$C:$C, 0), 1), "")</f>
        <v>15</v>
      </c>
      <c r="Z8" s="94">
        <f t="array" ref="Z8">IFERROR(INDEX(Skill!$F:$F, MATCH(Z$4, Skill!$C:$C, 0), 1), "")</f>
        <v>8</v>
      </c>
      <c r="AA8" s="94">
        <f t="array" ref="AA8">IFERROR(INDEX(Skill!$F:$F, MATCH(AA$4, Skill!$C:$C, 0), 1), "")</f>
        <v>0</v>
      </c>
      <c r="AB8" s="94">
        <f t="array" ref="AB8">IFERROR(INDEX(Skill!$F:$F, MATCH(AB$4, Skill!$C:$C, 0), 1), "")</f>
        <v>10</v>
      </c>
      <c r="AC8" s="94">
        <f t="array" ref="AC8">IFERROR(INDEX(Skill!$F:$F, MATCH(AC$4, Skill!$C:$C, 0), 1), "")</f>
        <v>15</v>
      </c>
      <c r="AD8" s="94">
        <f t="array" ref="AD8">IFERROR(INDEX(Skill!$F:$F, MATCH(AD$4, Skill!$C:$C, 0), 1), "")</f>
        <v>15</v>
      </c>
      <c r="AE8" s="94">
        <f t="array" ref="AE8">IFERROR(INDEX(Skill!$F:$F, MATCH(AE$4, Skill!$C:$C, 0), 1), "")</f>
        <v>7</v>
      </c>
      <c r="AF8" s="94">
        <f t="array" ref="AF8">IFERROR(INDEX(Skill!$F:$F, MATCH(AF$4, Skill!$C:$C, 0), 1), "")</f>
        <v>10</v>
      </c>
      <c r="AG8" s="94" t="str">
        <f t="array" ref="AG8">IFERROR(INDEX(Skill!$F:$F, MATCH(AG$4, Skill!$C:$C, 0), 1), "")</f>
        <v/>
      </c>
      <c r="AH8" s="94">
        <f t="array" ref="AH8">IFERROR(INDEX(Skill!$F:$F, MATCH(AH$4, Skill!$C:$C, 0), 1), "")</f>
        <v>20</v>
      </c>
      <c r="AI8" s="94">
        <f t="array" ref="AI8">IFERROR(INDEX(Skill!$F:$F, MATCH(AI$4, Skill!$C:$C, 0), 1), "")</f>
        <v>10</v>
      </c>
      <c r="AJ8" s="94">
        <f t="array" ref="AJ8">IFERROR(INDEX(Skill!$F:$F, MATCH(AJ$4, Skill!$C:$C, 0), 1), "")</f>
        <v>15</v>
      </c>
      <c r="AK8" s="94">
        <f t="array" ref="AK8">IFERROR(INDEX(Skill!$F:$F, MATCH(AK$4, Skill!$C:$C, 0), 1), "")</f>
        <v>10</v>
      </c>
      <c r="AL8" s="94">
        <f t="array" ref="AL8">IFERROR(INDEX(Skill!$F:$F, MATCH(AL$4, Skill!$C:$C, 0), 1), "")</f>
        <v>15</v>
      </c>
      <c r="AM8" s="94">
        <f t="array" ref="AM8">IFERROR(INDEX(Skill!$F:$F, MATCH(AM$4, Skill!$C:$C, 0), 1), "")</f>
        <v>15</v>
      </c>
      <c r="AN8" s="94">
        <f t="array" ref="AN8">IFERROR(INDEX(Skill!$F:$F, MATCH(AN$4, Skill!$C:$C, 0), 1), "")</f>
        <v>8</v>
      </c>
      <c r="AO8" s="94">
        <f t="array" ref="AO8">IFERROR(INDEX(Skill!$F:$F, MATCH(AO$4, Skill!$C:$C, 0), 1), "")</f>
        <v>20</v>
      </c>
      <c r="AP8" s="94">
        <f t="array" ref="AP8">IFERROR(INDEX(Skill!$F:$F, MATCH(AP$4, Skill!$C:$C, 0), 1), "")</f>
        <v>20</v>
      </c>
      <c r="AQ8" s="94">
        <f t="array" ref="AQ8">IFERROR(INDEX(Skill!$F:$F, MATCH(AQ$4, Skill!$C:$C, 0), 1), "")</f>
        <v>15</v>
      </c>
      <c r="AR8" s="94">
        <f t="array" ref="AR8">IFERROR(INDEX(Skill!$F:$F, MATCH(AR$4, Skill!$C:$C, 0), 1), "")</f>
        <v>10</v>
      </c>
      <c r="AS8" s="94">
        <f t="array" ref="AS8">IFERROR(INDEX(Skill!$F:$F, MATCH(AS$4, Skill!$C:$C, 0), 1), "")</f>
        <v>20</v>
      </c>
      <c r="AT8" s="94">
        <f t="array" ref="AT8">IFERROR(INDEX(Skill!$F:$F, MATCH(AT$4, Skill!$C:$C, 0), 1), "")</f>
        <v>10</v>
      </c>
      <c r="AU8" s="94">
        <f t="array" ref="AU8">IFERROR(INDEX(Skill!$F:$F, MATCH(AU$4, Skill!$C:$C, 0), 1), "")</f>
        <v>10</v>
      </c>
      <c r="AV8" s="94">
        <f t="array" ref="AV8">IFERROR(INDEX(Skill!$F:$F, MATCH(AV$4, Skill!$C:$C, 0), 1), "")</f>
        <v>24</v>
      </c>
      <c r="AW8" s="94">
        <f t="array" ref="AW8">IFERROR(INDEX(Skill!$F:$F, MATCH(AW$4, Skill!$C:$C, 0), 1), "")</f>
        <v>0</v>
      </c>
      <c r="AX8" s="94">
        <f t="array" ref="AX8">IFERROR(INDEX(Skill!$F:$F, MATCH(AX$4, Skill!$C:$C, 0), 1), "")</f>
        <v>0</v>
      </c>
      <c r="AY8" s="94">
        <f t="array" ref="AY8">IFERROR(INDEX(Skill!$F:$F, MATCH(AY$4, Skill!$C:$C, 0), 1), "")</f>
        <v>8</v>
      </c>
      <c r="AZ8" s="94">
        <f t="array" ref="AZ8">IFERROR(INDEX(Skill!$F:$F, MATCH(AZ$4, Skill!$C:$C, 0), 1), "")</f>
        <v>15</v>
      </c>
      <c r="BA8" s="94" t="str">
        <f t="array" ref="BA8">IFERROR(INDEX(Skill!$F:$F, MATCH(BA$4, Skill!$C:$C, 0), 1), "")</f>
        <v/>
      </c>
      <c r="BB8" s="94">
        <f t="array" ref="BB8">IFERROR(INDEX(Skill!$F:$F, MATCH(BB$4, Skill!$C:$C, 0), 1), "")</f>
        <v>0</v>
      </c>
      <c r="BC8" s="94" t="str">
        <f t="array" ref="BC8">IFERROR(INDEX(Skill!$F:$F, MATCH(BC$4, Skill!$C:$C, 0), 1), "")</f>
        <v/>
      </c>
      <c r="BD8" s="94">
        <f t="array" ref="BD8">IFERROR(INDEX(Skill!$F:$F, MATCH(BD$4, Skill!$C:$C, 0), 1), "")</f>
        <v>0</v>
      </c>
      <c r="BE8" s="94">
        <f t="array" ref="BE8">IFERROR(INDEX(Skill!$F:$F, MATCH(BE$4, Skill!$C:$C, 0), 1), "")</f>
        <v>5</v>
      </c>
      <c r="BF8" s="94">
        <f t="array" ref="BF8">IFERROR(INDEX(Skill!$F:$F, MATCH(BF$4, Skill!$C:$C, 0), 1), "")</f>
        <v>30</v>
      </c>
      <c r="BG8" s="94">
        <f t="array" ref="BG8">IFERROR(INDEX(Skill!$F:$F, MATCH(BG$4, Skill!$C:$C, 0), 1), "")</f>
        <v>15</v>
      </c>
      <c r="BH8" s="94">
        <f t="array" ref="BH8">IFERROR(INDEX(Skill!$F:$F, MATCH(BH$4, Skill!$C:$C, 0), 1), "")</f>
        <v>15</v>
      </c>
      <c r="BI8" s="94">
        <f t="array" ref="BI8">IFERROR(INDEX(Skill!$F:$F, MATCH(BI$4, Skill!$C:$C, 0), 1), "")</f>
        <v>15</v>
      </c>
      <c r="BJ8" s="94">
        <f t="array" ref="BJ8">IFERROR(INDEX(Skill!$F:$F, MATCH(BJ$4, Skill!$C:$C, 0), 1), "")</f>
        <v>0</v>
      </c>
      <c r="BK8" s="94">
        <f t="array" ref="BK8">IFERROR(INDEX(Skill!$F:$F, MATCH(BK$4, Skill!$C:$C, 0), 1), "")</f>
        <v>10</v>
      </c>
      <c r="BL8" s="94">
        <f t="array" ref="BL8">IFERROR(INDEX(Skill!$F:$F, MATCH(BL$4, Skill!$C:$C, 0), 1), "")</f>
        <v>0</v>
      </c>
      <c r="BM8" s="94">
        <f t="array" ref="BM8">IFERROR(INDEX(Skill!$F:$F, MATCH(BM$4, Skill!$C:$C, 0), 1), "")</f>
        <v>0</v>
      </c>
      <c r="BN8" s="94">
        <f t="array" ref="BN8">IFERROR(INDEX(Skill!$F:$F, MATCH(BN$4, Skill!$C:$C, 0), 1), "")</f>
        <v>0</v>
      </c>
      <c r="BO8" s="94">
        <f t="array" ref="BO8">IFERROR(INDEX(Skill!$F:$F, MATCH(BO$4, Skill!$C:$C, 0), 1), "")</f>
        <v>15</v>
      </c>
      <c r="BP8" s="94">
        <f t="array" ref="BP8">IFERROR(INDEX(Skill!$F:$F, MATCH(BP$4, Skill!$C:$C, 0), 1), "")</f>
        <v>30</v>
      </c>
      <c r="BQ8" s="94">
        <f t="array" ref="BQ8">IFERROR(INDEX(Skill!$F:$F, MATCH(BQ$4, Skill!$C:$C, 0), 1), "")</f>
        <v>15</v>
      </c>
      <c r="BR8" s="94">
        <f t="array" ref="BR8">IFERROR(INDEX(Skill!$F:$F, MATCH(BR$4, Skill!$C:$C, 0), 1), "")</f>
        <v>15</v>
      </c>
      <c r="BS8" s="94">
        <f t="array" ref="BS8">IFERROR(INDEX(Skill!$F:$F, MATCH(BS$4, Skill!$C:$C, 0), 1), "")</f>
        <v>0</v>
      </c>
      <c r="BT8" s="94" t="str">
        <f t="array" ref="BT8">IFERROR(INDEX(Skill!$F:$F, MATCH(BT$4, Skill!$C:$C, 0), 1), "")</f>
        <v/>
      </c>
      <c r="BU8" s="94">
        <f t="array" ref="BU8">IFERROR(INDEX(Skill!$F:$F, MATCH(BU$4, Skill!$C:$C, 0), 1), "")</f>
        <v>8</v>
      </c>
      <c r="BV8" s="94">
        <f t="array" ref="BV8">IFERROR(INDEX(Skill!$F:$F, MATCH(BV$4, Skill!$C:$C, 0), 1), "")</f>
        <v>30</v>
      </c>
      <c r="BW8" s="94" t="str">
        <f t="array" ref="BW8">IFERROR(INDEX(Skill!$F:$F, MATCH(BW$4, Skill!$C:$C, 0), 1), "")</f>
        <v/>
      </c>
      <c r="BX8" s="94">
        <f t="array" ref="BX8">IFERROR(INDEX(Skill!$F:$F, MATCH(BX$4, Skill!$C:$C, 0), 1), "")</f>
        <v>15</v>
      </c>
      <c r="BY8" s="94">
        <f t="array" ref="BY8">IFERROR(INDEX(Skill!$F:$F, MATCH(BY$4, Skill!$C:$C, 0), 1), "")</f>
        <v>20</v>
      </c>
      <c r="BZ8" s="94">
        <f t="array" ref="BZ8">IFERROR(INDEX(Skill!$F:$F, MATCH(BZ$4, Skill!$C:$C, 0), 1), "")</f>
        <v>15</v>
      </c>
      <c r="CA8" s="94">
        <f t="array" ref="CA8">IFERROR(INDEX(Skill!$F:$F, MATCH(CA$4, Skill!$C:$C, 0), 1), "")</f>
        <v>20</v>
      </c>
      <c r="CB8" s="94">
        <f t="array" ref="CB8">IFERROR(INDEX(Skill!$F:$F, MATCH(CB$4, Skill!$C:$C, 0), 1), "")</f>
        <v>0</v>
      </c>
      <c r="CC8" s="94">
        <f t="array" ref="CC8">IFERROR(INDEX(Skill!$F:$F, MATCH(CC$4, Skill!$C:$C, 0), 1), "")</f>
        <v>30</v>
      </c>
      <c r="CD8" s="94">
        <f t="array" ref="CD8">IFERROR(INDEX(Skill!$F:$F, MATCH(CD$4, Skill!$C:$C, 0), 1), "")</f>
        <v>21</v>
      </c>
      <c r="CE8" s="94">
        <f t="array" ref="CE8">IFERROR(INDEX(Skill!$F:$F, MATCH(CE$4, Skill!$C:$C, 0), 1), "")</f>
        <v>0</v>
      </c>
      <c r="CF8" s="94">
        <f t="array" ref="CF8">IFERROR(INDEX(Skill!$F:$F, MATCH(CF$4, Skill!$C:$C, 0), 1), "")</f>
        <v>0</v>
      </c>
      <c r="CG8" s="94">
        <f t="array" ref="CG8">IFERROR(INDEX(Skill!$F:$F, MATCH(CG$4, Skill!$C:$C, 0), 1), "")</f>
        <v>22</v>
      </c>
      <c r="CH8" s="94">
        <f t="array" ref="CH8">IFERROR(INDEX(Skill!$F:$F, MATCH(CH$4, Skill!$C:$C, 0), 1), "")</f>
        <v>0</v>
      </c>
      <c r="CI8" s="94">
        <f t="array" ref="CI8">IFERROR(INDEX(Skill!$F:$F, MATCH(CI$4, Skill!$C:$C, 0), 1), "")</f>
        <v>30</v>
      </c>
      <c r="CJ8" s="94">
        <f t="array" ref="CJ8">IFERROR(INDEX(Skill!$F:$F, MATCH(CJ$4, Skill!$C:$C, 0), 1), "")</f>
        <v>15</v>
      </c>
      <c r="CK8" s="94">
        <f t="array" ref="CK8">IFERROR(INDEX(Skill!$F:$F, MATCH(CK$4, Skill!$C:$C, 0), 1), "")</f>
        <v>20</v>
      </c>
      <c r="CL8" s="94">
        <f t="array" ref="CL8">IFERROR(INDEX(Skill!$F:$F, MATCH(CL$4, Skill!$C:$C, 0), 1), "")</f>
        <v>30</v>
      </c>
      <c r="CM8" s="94">
        <f t="array" ref="CM8">IFERROR(INDEX(Skill!$F:$F, MATCH(CM$4, Skill!$C:$C, 0), 1), "")</f>
        <v>30</v>
      </c>
      <c r="CN8" s="94">
        <f t="array" ref="CN8">IFERROR(INDEX(Skill!$F:$F, MATCH(CN$4, Skill!$C:$C, 0), 1), "")</f>
        <v>0</v>
      </c>
      <c r="CO8" s="94">
        <f t="array" ref="CO8">IFERROR(INDEX(Skill!$F:$F, MATCH(CO$4, Skill!$C:$C, 0), 1), "")</f>
        <v>10</v>
      </c>
      <c r="CP8" s="94">
        <f t="array" ref="CP8">IFERROR(INDEX(Skill!$F:$F, MATCH(CP$4, Skill!$C:$C, 0), 1), "")</f>
        <v>30</v>
      </c>
      <c r="CQ8" s="94">
        <f t="array" ref="CQ8">IFERROR(INDEX(Skill!$F:$F, MATCH(CQ$4, Skill!$C:$C, 0), 1), "")</f>
        <v>45</v>
      </c>
      <c r="CR8" s="94">
        <f t="array" ref="CR8">IFERROR(INDEX(Skill!$F:$F, MATCH(CR$4, Skill!$C:$C, 0), 1), "")</f>
        <v>0</v>
      </c>
      <c r="CS8" s="94" t="str">
        <f t="array" ref="CS8">IFERROR(INDEX(Skill!$F:$F, MATCH(CS$4, Skill!$C:$C, 0), 1), "")</f>
        <v/>
      </c>
      <c r="CT8" s="94">
        <f t="array" ref="CT8">IFERROR(INDEX(Skill!$F:$F, MATCH(CT$4, Skill!$C:$C, 0), 1), "")</f>
        <v>20</v>
      </c>
      <c r="CU8" s="94">
        <f t="array" ref="CU8">IFERROR(INDEX(Skill!$F:$F, MATCH(CU$4, Skill!$C:$C, 0), 1), "")</f>
        <v>15</v>
      </c>
      <c r="CV8" s="94">
        <f t="array" ref="CV8">IFERROR(INDEX(Skill!$F:$F, MATCH(CV$4, Skill!$C:$C, 0), 1), "")</f>
        <v>30</v>
      </c>
      <c r="CW8" s="94">
        <f t="array" ref="CW8">IFERROR(INDEX(Skill!$F:$F, MATCH(CW$4, Skill!$C:$C, 0), 1), "")</f>
        <v>15</v>
      </c>
      <c r="CX8" s="94">
        <f t="array" ref="CX8">IFERROR(INDEX(Skill!$F:$F, MATCH(CX$4, Skill!$C:$C, 0), 1), "")</f>
        <v>10</v>
      </c>
      <c r="CY8" s="94">
        <f t="array" ref="CY8">IFERROR(INDEX(Skill!$F:$F, MATCH(CY$4, Skill!$C:$C, 0), 1), "")</f>
        <v>15</v>
      </c>
      <c r="CZ8" s="94">
        <f t="array" ref="CZ8">IFERROR(INDEX(Skill!$F:$F, MATCH(CZ$4, Skill!$C:$C, 0), 1), "")</f>
        <v>0</v>
      </c>
      <c r="DA8" s="94">
        <f t="array" ref="DA8">IFERROR(INDEX(Skill!$F:$F, MATCH(DA$4, Skill!$C:$C, 0), 1), "")</f>
        <v>0</v>
      </c>
      <c r="DB8" s="94">
        <f t="array" ref="DB8">IFERROR(INDEX(Skill!$F:$F, MATCH(DB$4, Skill!$C:$C, 0), 1), "")</f>
        <v>0</v>
      </c>
      <c r="DC8" s="94">
        <f t="array" ref="DC8">IFERROR(INDEX(Skill!$F:$F, MATCH(DC$4, Skill!$C:$C, 0), 1), "")</f>
        <v>20</v>
      </c>
      <c r="DD8" s="94">
        <f t="array" ref="DD8">IFERROR(INDEX(Skill!$F:$F, MATCH(DD$4, Skill!$C:$C, 0), 1), "")</f>
        <v>0</v>
      </c>
      <c r="DE8" s="94">
        <f t="array" ref="DE8">IFERROR(INDEX(Skill!$F:$F, MATCH(DE$4, Skill!$C:$C, 0), 1), "")</f>
        <v>15</v>
      </c>
      <c r="DF8" s="94">
        <f t="array" ref="DF8">IFERROR(INDEX(Skill!$F:$F, MATCH(DF$4, Skill!$C:$C, 0), 1), "")</f>
        <v>30</v>
      </c>
      <c r="DG8" s="94">
        <f t="array" ref="DG8">IFERROR(INDEX(Skill!$F:$F, MATCH(DG$4, Skill!$C:$C, 0), 1), "")</f>
        <v>15</v>
      </c>
      <c r="DH8" s="94">
        <f t="array" ref="DH8">IFERROR(INDEX(Skill!$F:$F, MATCH(DH$4, Skill!$C:$C, 0), 1), "")</f>
        <v>0</v>
      </c>
      <c r="DI8" s="94" t="str">
        <f t="array" ref="DI8">IFERROR(INDEX(Skill!$F:$F, MATCH(DI$4, Skill!$C:$C, 0), 1), "")</f>
        <v/>
      </c>
      <c r="DJ8" s="94">
        <f t="array" ref="DJ8">IFERROR(INDEX(Skill!$F:$F, MATCH(DJ$4, Skill!$C:$C, 0), 1), "")</f>
        <v>15</v>
      </c>
      <c r="DK8" s="94">
        <f t="array" ref="DK8">IFERROR(INDEX(Skill!$F:$F, MATCH(DK$4, Skill!$C:$C, 0), 1), "")</f>
        <v>15</v>
      </c>
      <c r="DL8" s="94">
        <f t="array" ref="DL8">IFERROR(INDEX(Skill!$F:$F, MATCH(DL$4, Skill!$C:$C, 0), 1), "")</f>
        <v>15</v>
      </c>
      <c r="DM8" s="94">
        <f t="array" ref="DM8">IFERROR(INDEX(Skill!$F:$F, MATCH(DM$4, Skill!$C:$C, 0), 1), "")</f>
        <v>15</v>
      </c>
      <c r="DN8" s="94">
        <f t="array" ref="DN8">IFERROR(INDEX(Skill!$F:$F, MATCH(DN$4, Skill!$C:$C, 0), 1), "")</f>
        <v>15</v>
      </c>
      <c r="DO8" s="94">
        <f t="array" ref="DO8">IFERROR(INDEX(Skill!$F:$F, MATCH(DO$4, Skill!$C:$C, 0), 1), "")</f>
        <v>15</v>
      </c>
      <c r="DP8" s="94">
        <f t="array" ref="DP8">IFERROR(INDEX(Skill!$F:$F, MATCH(DP$4, Skill!$C:$C, 0), 1), "")</f>
        <v>15</v>
      </c>
      <c r="DQ8" s="94">
        <f t="array" ref="DQ8">IFERROR(INDEX(Skill!$F:$F, MATCH(DQ$4, Skill!$C:$C, 0), 1), "")</f>
        <v>15</v>
      </c>
      <c r="DR8" s="94">
        <f t="array" ref="DR8">IFERROR(INDEX(Skill!$F:$F, MATCH(DR$4, Skill!$C:$C, 0), 1), "")</f>
        <v>15</v>
      </c>
      <c r="DS8" s="94">
        <f t="array" ref="DS8">IFERROR(INDEX(Skill!$F:$F, MATCH(DS$4, Skill!$C:$C, 0), 1), "")</f>
        <v>15</v>
      </c>
      <c r="DT8" s="94">
        <f t="array" ref="DT8">IFERROR(INDEX(Skill!$F:$F, MATCH(DT$4, Skill!$C:$C, 0), 1), "")</f>
        <v>10</v>
      </c>
      <c r="DU8" s="94">
        <f t="array" ref="DU8">IFERROR(INDEX(Skill!$F:$F, MATCH(DU$4, Skill!$C:$C, 0), 1), "")</f>
        <v>15</v>
      </c>
      <c r="DV8" s="94">
        <f t="array" ref="DV8">IFERROR(INDEX(Skill!$F:$F, MATCH(DV$4, Skill!$C:$C, 0), 1), "")</f>
        <v>0</v>
      </c>
      <c r="DW8" s="94">
        <f t="array" ref="DW8">IFERROR(INDEX(Skill!$F:$F, MATCH(DW$4, Skill!$C:$C, 0), 1), "")</f>
        <v>15</v>
      </c>
      <c r="DX8" s="94">
        <f t="array" ref="DX8">IFERROR(INDEX(Skill!$F:$F, MATCH(DX$4, Skill!$C:$C, 0), 1), "")</f>
        <v>15</v>
      </c>
      <c r="DY8" s="94">
        <f t="array" ref="DY8">IFERROR(INDEX(Skill!$F:$F, MATCH(DY$4, Skill!$C:$C, 0), 1), "")</f>
        <v>15</v>
      </c>
      <c r="DZ8" s="94">
        <f t="array" ref="DZ8">IFERROR(INDEX(Skill!$F:$F, MATCH(DZ$4, Skill!$C:$C, 0), 1), "")</f>
        <v>10</v>
      </c>
      <c r="EA8" s="89">
        <f t="array" ref="EA8">IFERROR(INDEX(Skill!$F:$F, MATCH(EA$4, Skill!$C:$C, 0), 1), "")</f>
        <v>15</v>
      </c>
      <c r="EB8" s="89">
        <f t="array" ref="EB8">IFERROR(INDEX(Skill!$F:$F, MATCH(EB$4, Skill!$C:$C, 0), 1), "")</f>
        <v>10</v>
      </c>
      <c r="EC8" s="89">
        <f t="array" ref="EC8">IFERROR(INDEX(Skill!$F:$F, MATCH(EC$4, Skill!$C:$C, 0), 1), "")</f>
        <v>10</v>
      </c>
      <c r="ED8" s="94">
        <f t="array" ref="ED8">IFERROR(INDEX(Skill!$F:$F, MATCH(ED$4, Skill!$C:$C, 0), 1), "")</f>
        <v>8</v>
      </c>
      <c r="EE8" s="94"/>
      <c r="EF8" s="94"/>
      <c r="EG8" s="94"/>
      <c r="EH8" s="94"/>
      <c r="EI8" s="94"/>
      <c r="EJ8" s="94"/>
      <c r="EK8" s="94"/>
      <c r="EL8" s="94"/>
      <c r="EM8" s="94"/>
      <c r="EN8" s="94"/>
      <c r="EO8" s="94"/>
      <c r="EP8" s="94"/>
      <c r="EQ8" s="94"/>
      <c r="ER8" s="94"/>
      <c r="ES8" s="94"/>
      <c r="ET8" s="94"/>
      <c r="EU8" s="94"/>
      <c r="EV8" s="94"/>
      <c r="EW8" s="94"/>
      <c r="EX8" s="94"/>
      <c r="EY8" s="94"/>
      <c r="EZ8" s="94"/>
      <c r="FA8" s="94"/>
      <c r="FB8" s="94"/>
      <c r="FC8" s="94"/>
      <c r="FD8" s="94"/>
      <c r="FE8" s="94"/>
      <c r="FF8" s="94"/>
      <c r="FG8" s="94"/>
      <c r="FH8" s="94"/>
      <c r="FI8" s="94"/>
      <c r="FJ8" s="94"/>
      <c r="FK8" s="94"/>
      <c r="FL8" s="94"/>
      <c r="FM8" s="94"/>
      <c r="FN8" s="94"/>
      <c r="FO8" s="91"/>
    </row>
    <row r="9" hidden="1">
      <c r="B9" s="84"/>
      <c r="C9" s="83"/>
      <c r="D9" s="83"/>
      <c r="E9" s="84" t="s">
        <v>5</v>
      </c>
      <c r="F9" s="84"/>
      <c r="G9" s="84"/>
      <c r="H9" s="84"/>
      <c r="I9" s="84"/>
      <c r="J9" s="84"/>
      <c r="K9" s="94">
        <f t="array" ref="K9">IFERROR(INDEX(Skill!$G:$G, MATCH(K$4, Skill!$C:$C, 0), 1), "")</f>
        <v>60</v>
      </c>
      <c r="L9" s="94">
        <f t="array" ref="L9">IFERROR(INDEX(Skill!$G:$G, MATCH(L$4, Skill!$C:$C, 0), 1), "")</f>
        <v>120</v>
      </c>
      <c r="M9" s="94">
        <f t="array" ref="M9">IFERROR(INDEX(Skill!$G:$G, MATCH(M$4, Skill!$C:$C, 0), 1), "")</f>
        <v>90</v>
      </c>
      <c r="N9" s="94">
        <f t="array" ref="N9">IFERROR(INDEX(Skill!$G:$G, MATCH(N$4, Skill!$C:$C, 0), 1), "")</f>
        <v>10</v>
      </c>
      <c r="O9" s="94">
        <f t="array" ref="O9">IFERROR(INDEX(Skill!$G:$G, MATCH(O$4, Skill!$C:$C, 0), 1), "")</f>
        <v>90</v>
      </c>
      <c r="P9" s="94">
        <f t="array" ref="P9">IFERROR(INDEX(Skill!$G:$G, MATCH(P$4, Skill!$C:$C, 0), 1), "")</f>
        <v>90</v>
      </c>
      <c r="Q9" s="94">
        <f t="array" ref="Q9">IFERROR(INDEX(Skill!$G:$G, MATCH(Q$4, Skill!$C:$C, 0), 1), "")</f>
        <v>120</v>
      </c>
      <c r="R9" s="94">
        <f t="array" ref="R9">IFERROR(INDEX(Skill!$G:$G, MATCH(R$4, Skill!$C:$C, 0), 1), "")</f>
        <v>5</v>
      </c>
      <c r="S9" s="94">
        <f t="array" ref="S9">IFERROR(INDEX(Skill!$G:$G, MATCH(S$4, Skill!$C:$C, 0), 1), "")</f>
        <v>420</v>
      </c>
      <c r="T9" s="94">
        <f t="array" ref="T9">IFERROR(INDEX(Skill!$G:$G, MATCH(T$4, Skill!$C:$C, 0), 1), "")</f>
        <v>60</v>
      </c>
      <c r="U9" s="94">
        <f t="array" ref="U9">IFERROR(INDEX(Skill!$G:$G, MATCH(U$4, Skill!$C:$C, 0), 1), "")</f>
        <v>90</v>
      </c>
      <c r="V9" s="94">
        <f t="array" ref="V9">IFERROR(INDEX(Skill!$G:$G, MATCH(V$4, Skill!$C:$C, 0), 1), "")</f>
        <v>25</v>
      </c>
      <c r="W9" s="94">
        <f t="array" ref="W9">IFERROR(INDEX(Skill!$G:$G, MATCH(W$4, Skill!$C:$C, 0), 1), "")</f>
        <v>90</v>
      </c>
      <c r="X9" s="94">
        <f t="array" ref="X9">IFERROR(INDEX(Skill!$G:$G, MATCH(X$4, Skill!$C:$C, 0), 1), "")</f>
        <v>90</v>
      </c>
      <c r="Y9" s="94">
        <f t="array" ref="Y9">IFERROR(INDEX(Skill!$G:$G, MATCH(Y$4, Skill!$C:$C, 0), 1), "")</f>
        <v>120</v>
      </c>
      <c r="Z9" s="94">
        <f t="array" ref="Z9">IFERROR(INDEX(Skill!$G:$G, MATCH(Z$4, Skill!$C:$C, 0), 1), "")</f>
        <v>25</v>
      </c>
      <c r="AA9" s="94">
        <f t="array" ref="AA9">IFERROR(INDEX(Skill!$G:$G, MATCH(AA$4, Skill!$C:$C, 0), 1), "")</f>
        <v>60</v>
      </c>
      <c r="AB9" s="94">
        <f t="array" ref="AB9">IFERROR(INDEX(Skill!$G:$G, MATCH(AB$4, Skill!$C:$C, 0), 1), "")</f>
        <v>240</v>
      </c>
      <c r="AC9" s="94">
        <f t="array" ref="AC9">IFERROR(INDEX(Skill!$G:$G, MATCH(AC$4, Skill!$C:$C, 0), 1), "")</f>
        <v>60</v>
      </c>
      <c r="AD9" s="94">
        <f t="array" ref="AD9">IFERROR(INDEX(Skill!$G:$G, MATCH(AD$4, Skill!$C:$C, 0), 1), "")</f>
        <v>90</v>
      </c>
      <c r="AE9" s="94">
        <f t="array" ref="AE9">IFERROR(INDEX(Skill!$G:$G, MATCH(AE$4, Skill!$C:$C, 0), 1), "")</f>
        <v>15</v>
      </c>
      <c r="AF9" s="94">
        <f t="array" ref="AF9">IFERROR(INDEX(Skill!$G:$G, MATCH(AF$4, Skill!$C:$C, 0), 1), "")</f>
        <v>60</v>
      </c>
      <c r="AG9" s="94" t="str">
        <f t="array" ref="AG9">IFERROR(INDEX(Skill!$G:$G, MATCH(AG$4, Skill!$C:$C, 0), 1), "")</f>
        <v/>
      </c>
      <c r="AH9" s="94">
        <f t="array" ref="AH9">IFERROR(INDEX(Skill!$G:$G, MATCH(AH$4, Skill!$C:$C, 0), 1), "")</f>
        <v>90</v>
      </c>
      <c r="AI9" s="94">
        <f t="array" ref="AI9">IFERROR(INDEX(Skill!$G:$G, MATCH(AI$4, Skill!$C:$C, 0), 1), "")</f>
        <v>60</v>
      </c>
      <c r="AJ9" s="94">
        <f t="array" ref="AJ9">IFERROR(INDEX(Skill!$G:$G, MATCH(AJ$4, Skill!$C:$C, 0), 1), "")</f>
        <v>120</v>
      </c>
      <c r="AK9" s="94">
        <f t="array" ref="AK9">IFERROR(INDEX(Skill!$G:$G, MATCH(AK$4, Skill!$C:$C, 0), 1), "")</f>
        <v>300</v>
      </c>
      <c r="AL9" s="94">
        <f t="array" ref="AL9">IFERROR(INDEX(Skill!$G:$G, MATCH(AL$4, Skill!$C:$C, 0), 1), "")</f>
        <v>60</v>
      </c>
      <c r="AM9" s="94">
        <f t="array" ref="AM9">IFERROR(INDEX(Skill!$G:$G, MATCH(AM$4, Skill!$C:$C, 0), 1), "")</f>
        <v>90</v>
      </c>
      <c r="AN9" s="94">
        <f t="array" ref="AN9">IFERROR(INDEX(Skill!$G:$G, MATCH(AN$4, Skill!$C:$C, 0), 1), "")</f>
        <v>25</v>
      </c>
      <c r="AO9" s="94">
        <f t="array" ref="AO9">IFERROR(INDEX(Skill!$G:$G, MATCH(AO$4, Skill!$C:$C, 0), 1), "")</f>
        <v>90</v>
      </c>
      <c r="AP9" s="94">
        <f t="array" ref="AP9">IFERROR(INDEX(Skill!$G:$G, MATCH(AP$4, Skill!$C:$C, 0), 1), "")</f>
        <v>90</v>
      </c>
      <c r="AQ9" s="94">
        <f t="array" ref="AQ9">IFERROR(INDEX(Skill!$G:$G, MATCH(AQ$4, Skill!$C:$C, 0), 1), "")</f>
        <v>120</v>
      </c>
      <c r="AR9" s="94">
        <f t="array" ref="AR9">IFERROR(INDEX(Skill!$G:$G, MATCH(AR$4, Skill!$C:$C, 0), 1), "")</f>
        <v>360</v>
      </c>
      <c r="AS9" s="94">
        <f t="array" ref="AS9">IFERROR(INDEX(Skill!$G:$G, MATCH(AS$4, Skill!$C:$C, 0), 1), "")</f>
        <v>120</v>
      </c>
      <c r="AT9" s="94">
        <f t="array" ref="AT9">IFERROR(INDEX(Skill!$G:$G, MATCH(AT$4, Skill!$C:$C, 0), 1), "")</f>
        <v>1</v>
      </c>
      <c r="AU9" s="94">
        <f t="array" ref="AU9">IFERROR(INDEX(Skill!$G:$G, MATCH(AU$4, Skill!$C:$C, 0), 1), "")</f>
        <v>60</v>
      </c>
      <c r="AV9" s="94">
        <f t="array" ref="AV9">IFERROR(INDEX(Skill!$G:$G, MATCH(AV$4, Skill!$C:$C, 0), 1), "")</f>
        <v>90</v>
      </c>
      <c r="AW9" s="94">
        <f t="array" ref="AW9">IFERROR(INDEX(Skill!$G:$G, MATCH(AW$4, Skill!$C:$C, 0), 1), "")</f>
        <v>40</v>
      </c>
      <c r="AX9" s="94">
        <f t="array" ref="AX9">IFERROR(INDEX(Skill!$G:$G, MATCH(AX$4, Skill!$C:$C, 0), 1), "")</f>
        <v>180</v>
      </c>
      <c r="AY9" s="94">
        <f t="array" ref="AY9">IFERROR(INDEX(Skill!$G:$G, MATCH(AY$4, Skill!$C:$C, 0), 1), "")</f>
        <v>60</v>
      </c>
      <c r="AZ9" s="94">
        <f t="array" ref="AZ9">IFERROR(INDEX(Skill!$G:$G, MATCH(AZ$4, Skill!$C:$C, 0), 1), "")</f>
        <v>30</v>
      </c>
      <c r="BA9" s="94" t="str">
        <f t="array" ref="BA9">IFERROR(INDEX(Skill!$G:$G, MATCH(BA$4, Skill!$C:$C, 0), 1), "")</f>
        <v/>
      </c>
      <c r="BB9" s="94">
        <f t="array" ref="BB9">IFERROR(INDEX(Skill!$G:$G, MATCH(BB$4, Skill!$C:$C, 0), 1), "")</f>
        <v>60</v>
      </c>
      <c r="BC9" s="94" t="str">
        <f t="array" ref="BC9">IFERROR(INDEX(Skill!$G:$G, MATCH(BC$4, Skill!$C:$C, 0), 1), "")</f>
        <v/>
      </c>
      <c r="BD9" s="94">
        <f t="array" ref="BD9">IFERROR(INDEX(Skill!$G:$G, MATCH(BD$4, Skill!$C:$C, 0), 1), "")</f>
        <v>180</v>
      </c>
      <c r="BE9" s="94">
        <f t="array" ref="BE9">IFERROR(INDEX(Skill!$G:$G, MATCH(BE$4, Skill!$C:$C, 0), 1), "")</f>
        <v>60</v>
      </c>
      <c r="BF9" s="94">
        <f t="array" ref="BF9">IFERROR(INDEX(Skill!$G:$G, MATCH(BF$4, Skill!$C:$C, 0), 1), "")</f>
        <v>120</v>
      </c>
      <c r="BG9" s="94">
        <f t="array" ref="BG9">IFERROR(INDEX(Skill!$G:$G, MATCH(BG$4, Skill!$C:$C, 0), 1), "")</f>
        <v>1</v>
      </c>
      <c r="BH9" s="94">
        <f t="array" ref="BH9">IFERROR(INDEX(Skill!$G:$G, MATCH(BH$4, Skill!$C:$C, 0), 1), "")</f>
        <v>2.5</v>
      </c>
      <c r="BI9" s="94">
        <f t="array" ref="BI9">IFERROR(INDEX(Skill!$G:$G, MATCH(BI$4, Skill!$C:$C, 0), 1), "")</f>
        <v>60</v>
      </c>
      <c r="BJ9" s="94">
        <f t="array" ref="BJ9">IFERROR(INDEX(Skill!$G:$G, MATCH(BJ$4, Skill!$C:$C, 0), 1), "")</f>
        <v>60</v>
      </c>
      <c r="BK9" s="94">
        <f t="array" ref="BK9">IFERROR(INDEX(Skill!$G:$G, MATCH(BK$4, Skill!$C:$C, 0), 1), "")</f>
        <v>60</v>
      </c>
      <c r="BL9" s="94">
        <f t="array" ref="BL9">IFERROR(INDEX(Skill!$G:$G, MATCH(BL$4, Skill!$C:$C, 0), 1), "")</f>
        <v>180</v>
      </c>
      <c r="BM9" s="94">
        <f t="array" ref="BM9">IFERROR(INDEX(Skill!$G:$G, MATCH(BM$4, Skill!$C:$C, 0), 1), "")</f>
        <v>55</v>
      </c>
      <c r="BN9" s="94">
        <f t="array" ref="BN9">IFERROR(INDEX(Skill!$G:$G, MATCH(BN$4, Skill!$C:$C, 0), 1), "")</f>
        <v>55</v>
      </c>
      <c r="BO9" s="94">
        <f t="array" ref="BO9">IFERROR(INDEX(Skill!$G:$G, MATCH(BO$4, Skill!$C:$C, 0), 1), "")</f>
        <v>1</v>
      </c>
      <c r="BP9" s="94">
        <f t="array" ref="BP9">IFERROR(INDEX(Skill!$G:$G, MATCH(BP$4, Skill!$C:$C, 0), 1), "")</f>
        <v>1</v>
      </c>
      <c r="BQ9" s="94">
        <f t="array" ref="BQ9">IFERROR(INDEX(Skill!$G:$G, MATCH(BQ$4, Skill!$C:$C, 0), 1), "")</f>
        <v>1</v>
      </c>
      <c r="BR9" s="94">
        <f t="array" ref="BR9">IFERROR(INDEX(Skill!$G:$G, MATCH(BR$4, Skill!$C:$C, 0), 1), "")</f>
        <v>1</v>
      </c>
      <c r="BS9" s="94">
        <f t="array" ref="BS9">IFERROR(INDEX(Skill!$G:$G, MATCH(BS$4, Skill!$C:$C, 0), 1), "")</f>
        <v>40</v>
      </c>
      <c r="BT9" s="94" t="str">
        <f t="array" ref="BT9">IFERROR(INDEX(Skill!$G:$G, MATCH(BT$4, Skill!$C:$C, 0), 1), "")</f>
        <v/>
      </c>
      <c r="BU9" s="94">
        <f t="array" ref="BU9">IFERROR(INDEX(Skill!$G:$G, MATCH(BU$4, Skill!$C:$C, 0), 1), "")</f>
        <v>60</v>
      </c>
      <c r="BV9" s="94">
        <f t="array" ref="BV9">IFERROR(INDEX(Skill!$G:$G, MATCH(BV$4, Skill!$C:$C, 0), 1), "")</f>
        <v>30</v>
      </c>
      <c r="BW9" s="94" t="str">
        <f t="array" ref="BW9">IFERROR(INDEX(Skill!$G:$G, MATCH(BW$4, Skill!$C:$C, 0), 1), "")</f>
        <v/>
      </c>
      <c r="BX9" s="94">
        <f t="array" ref="BX9">IFERROR(INDEX(Skill!$G:$G, MATCH(BX$4, Skill!$C:$C, 0), 1), "")</f>
        <v>2.5</v>
      </c>
      <c r="BY9" s="94">
        <f t="array" ref="BY9">IFERROR(INDEX(Skill!$G:$G, MATCH(BY$4, Skill!$C:$C, 0), 1), "")</f>
        <v>120</v>
      </c>
      <c r="BZ9" s="94">
        <f t="array" ref="BZ9">IFERROR(INDEX(Skill!$G:$G, MATCH(BZ$4, Skill!$C:$C, 0), 1), "")</f>
        <v>30</v>
      </c>
      <c r="CA9" s="94">
        <f t="array" ref="CA9">IFERROR(INDEX(Skill!$G:$G, MATCH(CA$4, Skill!$C:$C, 0), 1), "")</f>
        <v>120</v>
      </c>
      <c r="CB9" s="94">
        <f t="array" ref="CB9">IFERROR(INDEX(Skill!$G:$G, MATCH(CB$4, Skill!$C:$C, 0), 1), "")</f>
        <v>90</v>
      </c>
      <c r="CC9" s="94">
        <f t="array" ref="CC9">IFERROR(INDEX(Skill!$G:$G, MATCH(CC$4, Skill!$C:$C, 0), 1), "")</f>
        <v>2.5</v>
      </c>
      <c r="CD9" s="94">
        <f t="array" ref="CD9">IFERROR(INDEX(Skill!$G:$G, MATCH(CD$4, Skill!$C:$C, 0), 1), "")</f>
        <v>60</v>
      </c>
      <c r="CE9" s="94">
        <f t="array" ref="CE9">IFERROR(INDEX(Skill!$G:$G, MATCH(CE$4, Skill!$C:$C, 0), 1), "")</f>
        <v>30</v>
      </c>
      <c r="CF9" s="94">
        <f t="array" ref="CF9">IFERROR(INDEX(Skill!$G:$G, MATCH(CF$4, Skill!$C:$C, 0), 1), "")</f>
        <v>60</v>
      </c>
      <c r="CG9" s="94">
        <f t="array" ref="CG9">IFERROR(INDEX(Skill!$G:$G, MATCH(CG$4, Skill!$C:$C, 0), 1), "")</f>
        <v>120</v>
      </c>
      <c r="CH9" s="94">
        <f t="array" ref="CH9">IFERROR(INDEX(Skill!$G:$G, MATCH(CH$4, Skill!$C:$C, 0), 1), "")</f>
        <v>30</v>
      </c>
      <c r="CI9" s="94">
        <f t="array" ref="CI9">IFERROR(INDEX(Skill!$G:$G, MATCH(CI$4, Skill!$C:$C, 0), 1), "")</f>
        <v>180</v>
      </c>
      <c r="CJ9" s="94">
        <f t="array" ref="CJ9">IFERROR(INDEX(Skill!$G:$G, MATCH(CJ$4, Skill!$C:$C, 0), 1), "")</f>
        <v>60</v>
      </c>
      <c r="CK9" s="94">
        <f t="array" ref="CK9">IFERROR(INDEX(Skill!$G:$G, MATCH(CK$4, Skill!$C:$C, 0), 1), "")</f>
        <v>180</v>
      </c>
      <c r="CL9" s="94">
        <f t="array" ref="CL9">IFERROR(INDEX(Skill!$G:$G, MATCH(CL$4, Skill!$C:$C, 0), 1), "")</f>
        <v>2.5</v>
      </c>
      <c r="CM9" s="94">
        <f t="array" ref="CM9">IFERROR(INDEX(Skill!$G:$G, MATCH(CM$4, Skill!$C:$C, 0), 1), "")</f>
        <v>2.5</v>
      </c>
      <c r="CN9" s="94">
        <f t="array" ref="CN9">IFERROR(INDEX(Skill!$G:$G, MATCH(CN$4, Skill!$C:$C, 0), 1), "")</f>
        <v>1</v>
      </c>
      <c r="CO9" s="94">
        <f t="array" ref="CO9">IFERROR(INDEX(Skill!$G:$G, MATCH(CO$4, Skill!$C:$C, 0), 1), "")</f>
        <v>60</v>
      </c>
      <c r="CP9" s="94">
        <f t="array" ref="CP9">IFERROR(INDEX(Skill!$G:$G, MATCH(CP$4, Skill!$C:$C, 0), 1), "")</f>
        <v>2.5</v>
      </c>
      <c r="CQ9" s="94">
        <f t="array" ref="CQ9">IFERROR(INDEX(Skill!$G:$G, MATCH(CQ$4, Skill!$C:$C, 0), 1), "")</f>
        <v>45</v>
      </c>
      <c r="CR9" s="94">
        <f t="array" ref="CR9">IFERROR(INDEX(Skill!$G:$G, MATCH(CR$4, Skill!$C:$C, 0), 1), "")</f>
        <v>60</v>
      </c>
      <c r="CS9" s="94" t="str">
        <f t="array" ref="CS9">IFERROR(INDEX(Skill!$G:$G, MATCH(CS$4, Skill!$C:$C, 0), 1), "")</f>
        <v/>
      </c>
      <c r="CT9" s="94">
        <f t="array" ref="CT9">IFERROR(INDEX(Skill!$G:$G, MATCH(CT$4, Skill!$C:$C, 0), 1), "")</f>
        <v>120</v>
      </c>
      <c r="CU9" s="94">
        <f t="array" ref="CU9">IFERROR(INDEX(Skill!$G:$G, MATCH(CU$4, Skill!$C:$C, 0), 1), "")</f>
        <v>30</v>
      </c>
      <c r="CV9" s="94">
        <f t="array" ref="CV9">IFERROR(INDEX(Skill!$G:$G, MATCH(CV$4, Skill!$C:$C, 0), 1), "")</f>
        <v>2.5</v>
      </c>
      <c r="CW9" s="94">
        <f t="array" ref="CW9">IFERROR(INDEX(Skill!$G:$G, MATCH(CW$4, Skill!$C:$C, 0), 1), "")</f>
        <v>120</v>
      </c>
      <c r="CX9" s="94">
        <f t="array" ref="CX9">IFERROR(INDEX(Skill!$G:$G, MATCH(CX$4, Skill!$C:$C, 0), 1), "")</f>
        <v>90</v>
      </c>
      <c r="CY9" s="94">
        <f t="array" ref="CY9">IFERROR(INDEX(Skill!$G:$G, MATCH(CY$4, Skill!$C:$C, 0), 1), "")</f>
        <v>60</v>
      </c>
      <c r="CZ9" s="94">
        <f t="array" ref="CZ9">IFERROR(INDEX(Skill!$G:$G, MATCH(CZ$4, Skill!$C:$C, 0), 1), "")</f>
        <v>30</v>
      </c>
      <c r="DA9" s="94">
        <f t="array" ref="DA9">IFERROR(INDEX(Skill!$G:$G, MATCH(DA$4, Skill!$C:$C, 0), 1), "")</f>
        <v>30</v>
      </c>
      <c r="DB9" s="94">
        <f t="array" ref="DB9">IFERROR(INDEX(Skill!$G:$G, MATCH(DB$4, Skill!$C:$C, 0), 1), "")</f>
        <v>120</v>
      </c>
      <c r="DC9" s="94">
        <f t="array" ref="DC9">IFERROR(INDEX(Skill!$G:$G, MATCH(DC$4, Skill!$C:$C, 0), 1), "")</f>
        <v>180</v>
      </c>
      <c r="DD9" s="94">
        <f t="array" ref="DD9">IFERROR(INDEX(Skill!$G:$G, MATCH(DD$4, Skill!$C:$C, 0), 1), "")</f>
        <v>1</v>
      </c>
      <c r="DE9" s="94">
        <f t="array" ref="DE9">IFERROR(INDEX(Skill!$G:$G, MATCH(DE$4, Skill!$C:$C, 0), 1), "")</f>
        <v>45</v>
      </c>
      <c r="DF9" s="94">
        <f t="array" ref="DF9">IFERROR(INDEX(Skill!$G:$G, MATCH(DF$4, Skill!$C:$C, 0), 1), "")</f>
        <v>2.5</v>
      </c>
      <c r="DG9" s="94">
        <f t="array" ref="DG9">IFERROR(INDEX(Skill!$G:$G, MATCH(DG$4, Skill!$C:$C, 0), 1), "")</f>
        <v>120</v>
      </c>
      <c r="DH9" s="94">
        <f t="array" ref="DH9">IFERROR(INDEX(Skill!$G:$G, MATCH(DH$4, Skill!$C:$C, 0), 1), "")</f>
        <v>90</v>
      </c>
      <c r="DI9" s="94" t="str">
        <f t="array" ref="DI9">IFERROR(INDEX(Skill!$G:$G, MATCH(DI$4, Skill!$C:$C, 0), 1), "")</f>
        <v/>
      </c>
      <c r="DJ9" s="94">
        <f t="array" ref="DJ9">IFERROR(INDEX(Skill!$G:$G, MATCH(DJ$4, Skill!$C:$C, 0), 1), "")</f>
        <v>90</v>
      </c>
      <c r="DK9" s="94">
        <f t="array" ref="DK9">IFERROR(INDEX(Skill!$G:$G, MATCH(DK$4, Skill!$C:$C, 0), 1), "")</f>
        <v>90</v>
      </c>
      <c r="DL9" s="94">
        <f t="array" ref="DL9">IFERROR(INDEX(Skill!$G:$G, MATCH(DL$4, Skill!$C:$C, 0), 1), "")</f>
        <v>90</v>
      </c>
      <c r="DM9" s="94">
        <f t="array" ref="DM9">IFERROR(INDEX(Skill!$G:$G, MATCH(DM$4, Skill!$C:$C, 0), 1), "")</f>
        <v>90</v>
      </c>
      <c r="DN9" s="94">
        <f t="array" ref="DN9">IFERROR(INDEX(Skill!$G:$G, MATCH(DN$4, Skill!$C:$C, 0), 1), "")</f>
        <v>90</v>
      </c>
      <c r="DO9" s="94">
        <f t="array" ref="DO9">IFERROR(INDEX(Skill!$G:$G, MATCH(DO$4, Skill!$C:$C, 0), 1), "")</f>
        <v>90</v>
      </c>
      <c r="DP9" s="94">
        <f t="array" ref="DP9">IFERROR(INDEX(Skill!$G:$G, MATCH(DP$4, Skill!$C:$C, 0), 1), "")</f>
        <v>90</v>
      </c>
      <c r="DQ9" s="94">
        <f t="array" ref="DQ9">IFERROR(INDEX(Skill!$G:$G, MATCH(DQ$4, Skill!$C:$C, 0), 1), "")</f>
        <v>90</v>
      </c>
      <c r="DR9" s="94">
        <f t="array" ref="DR9">IFERROR(INDEX(Skill!$G:$G, MATCH(DR$4, Skill!$C:$C, 0), 1), "")</f>
        <v>120</v>
      </c>
      <c r="DS9" s="94">
        <f t="array" ref="DS9">IFERROR(INDEX(Skill!$G:$G, MATCH(DS$4, Skill!$C:$C, 0), 1), "")</f>
        <v>90</v>
      </c>
      <c r="DT9" s="94">
        <f t="array" ref="DT9">IFERROR(INDEX(Skill!$G:$G, MATCH(DT$4, Skill!$C:$C, 0), 1), "")</f>
        <v>120</v>
      </c>
      <c r="DU9" s="94">
        <f t="array" ref="DU9">IFERROR(INDEX(Skill!$G:$G, MATCH(DU$4, Skill!$C:$C, 0), 1), "")</f>
        <v>90</v>
      </c>
      <c r="DV9" s="94">
        <f t="array" ref="DV9">IFERROR(INDEX(Skill!$G:$G, MATCH(DV$4, Skill!$C:$C, 0), 1), "")</f>
        <v>120</v>
      </c>
      <c r="DW9" s="94">
        <f t="array" ref="DW9">IFERROR(INDEX(Skill!$G:$G, MATCH(DW$4, Skill!$C:$C, 0), 1), "")</f>
        <v>90</v>
      </c>
      <c r="DX9" s="94">
        <f t="array" ref="DX9">IFERROR(INDEX(Skill!$G:$G, MATCH(DX$4, Skill!$C:$C, 0), 1), "")</f>
        <v>90</v>
      </c>
      <c r="DY9" s="94">
        <f t="array" ref="DY9">IFERROR(INDEX(Skill!$G:$G, MATCH(DY$4, Skill!$C:$C, 0), 1), "")</f>
        <v>90</v>
      </c>
      <c r="DZ9" s="94">
        <f t="array" ref="DZ9">IFERROR(INDEX(Skill!$G:$G, MATCH(DZ$4, Skill!$C:$C, 0), 1), "")</f>
        <v>120</v>
      </c>
      <c r="EA9" s="89">
        <f t="array" ref="EA9">IFERROR(INDEX(Skill!$G:$G, MATCH(EA$4, Skill!$C:$C, 0), 1), "")</f>
        <v>90</v>
      </c>
      <c r="EB9" s="89">
        <f t="array" ref="EB9">IFERROR(INDEX(Skill!$G:$G, MATCH(EB$4, Skill!$C:$C, 0), 1), "")</f>
        <v>120</v>
      </c>
      <c r="EC9" s="89">
        <f t="array" ref="EC9">IFERROR(INDEX(Skill!$G:$G, MATCH(EC$4, Skill!$C:$C, 0), 1), "")</f>
        <v>1</v>
      </c>
      <c r="ED9" s="94">
        <f t="array" ref="ED9">IFERROR(INDEX(Skill!$G:$G, MATCH(ED$4, Skill!$C:$C, 0), 1), "")</f>
        <v>2.5</v>
      </c>
      <c r="EE9" s="94"/>
      <c r="EF9" s="94"/>
      <c r="EG9" s="94"/>
      <c r="EH9" s="94"/>
      <c r="EI9" s="94"/>
      <c r="EJ9" s="94"/>
      <c r="EK9" s="94"/>
      <c r="EL9" s="94"/>
      <c r="EM9" s="94"/>
      <c r="EN9" s="94"/>
      <c r="EO9" s="94"/>
      <c r="EP9" s="94"/>
      <c r="EQ9" s="94"/>
      <c r="ER9" s="94"/>
      <c r="ES9" s="94"/>
      <c r="ET9" s="94"/>
      <c r="EU9" s="94"/>
      <c r="EV9" s="94"/>
      <c r="EW9" s="94"/>
      <c r="EX9" s="94"/>
      <c r="EY9" s="94"/>
      <c r="EZ9" s="94"/>
      <c r="FA9" s="94"/>
      <c r="FB9" s="94"/>
      <c r="FC9" s="94"/>
      <c r="FD9" s="94"/>
      <c r="FE9" s="94"/>
      <c r="FF9" s="94"/>
      <c r="FG9" s="94"/>
      <c r="FH9" s="94"/>
      <c r="FI9" s="94"/>
      <c r="FJ9" s="94"/>
      <c r="FK9" s="94"/>
      <c r="FL9" s="94"/>
      <c r="FM9" s="94"/>
      <c r="FN9" s="94"/>
      <c r="FO9" s="91"/>
    </row>
    <row r="10" hidden="1">
      <c r="A10" s="3"/>
      <c r="B10" s="90"/>
      <c r="C10" s="90"/>
      <c r="D10" s="90"/>
      <c r="E10" s="90" t="s">
        <v>11</v>
      </c>
      <c r="F10" s="90"/>
      <c r="G10" s="90"/>
      <c r="H10" s="90"/>
      <c r="I10" s="90"/>
      <c r="J10" s="90"/>
      <c r="K10" s="94">
        <f t="array" ref="K10">IFERROR(INDEX(Skill!$M:$M, MATCH(K$4, Skill!$C:$C, 0), 1), "")</f>
        <v>0.9</v>
      </c>
      <c r="L10" s="94">
        <f t="array" ref="L10">IFERROR(INDEX(Skill!$M:$M, MATCH(L$4, Skill!$C:$C, 0), 1), "")</f>
        <v>0.85</v>
      </c>
      <c r="M10" s="94" t="str">
        <f t="array" ref="M10">IFERROR(INDEX(Skill!$M:$M, MATCH(M$4, Skill!$C:$C, 0), 1), "")</f>
        <v/>
      </c>
      <c r="N10" s="94">
        <f t="array" ref="N10">IFERROR(INDEX(Skill!$M:$M, MATCH(N$4, Skill!$C:$C, 0), 1), "")</f>
        <v>0.9</v>
      </c>
      <c r="O10" s="94">
        <f t="array" ref="O10">IFERROR(INDEX(Skill!$M:$M, MATCH(O$4, Skill!$C:$C, 0), 1), "")</f>
        <v>0.8</v>
      </c>
      <c r="P10" s="94" t="str">
        <f t="array" ref="P10">IFERROR(INDEX(Skill!$M:$M, MATCH(P$4, Skill!$C:$C, 0), 1), "")</f>
        <v/>
      </c>
      <c r="Q10" s="94">
        <f t="array" ref="Q10">IFERROR(INDEX(Skill!$M:$M, MATCH(Q$4, Skill!$C:$C, 0), 1), "")</f>
        <v>0.6</v>
      </c>
      <c r="R10" s="94">
        <f t="array" ref="R10">IFERROR(INDEX(Skill!$M:$M, MATCH(R$4, Skill!$C:$C, 0), 1), "")</f>
        <v>0.85</v>
      </c>
      <c r="S10" s="94">
        <f t="array" ref="S10">IFERROR(INDEX(Skill!$M:$M, MATCH(S$4, Skill!$C:$C, 0), 1), "")</f>
        <v>0</v>
      </c>
      <c r="T10" s="94">
        <f t="array" ref="T10">IFERROR(INDEX(Skill!$M:$M, MATCH(T$4, Skill!$C:$C, 0), 1), "")</f>
        <v>0.9</v>
      </c>
      <c r="U10" s="94" t="str">
        <f t="array" ref="U10">IFERROR(INDEX(Skill!$M:$M, MATCH(U$4, Skill!$C:$C, 0), 1), "")</f>
        <v/>
      </c>
      <c r="V10" s="94">
        <f t="array" ref="V10">IFERROR(INDEX(Skill!$M:$M, MATCH(V$4, Skill!$C:$C, 0), 1), "")</f>
        <v>0.9</v>
      </c>
      <c r="W10" s="94">
        <f t="array" ref="W10">IFERROR(INDEX(Skill!$M:$M, MATCH(W$4, Skill!$C:$C, 0), 1), "")</f>
        <v>0.8</v>
      </c>
      <c r="X10" s="94" t="str">
        <f t="array" ref="X10">IFERROR(INDEX(Skill!$M:$M, MATCH(X$4, Skill!$C:$C, 0), 1), "")</f>
        <v/>
      </c>
      <c r="Y10" s="94">
        <f t="array" ref="Y10">IFERROR(INDEX(Skill!$M:$M, MATCH(Y$4, Skill!$C:$C, 0), 1), "")</f>
        <v>0.6</v>
      </c>
      <c r="Z10" s="94">
        <f t="array" ref="Z10">IFERROR(INDEX(Skill!$M:$M, MATCH(Z$4, Skill!$C:$C, 0), 1), "")</f>
        <v>0.9</v>
      </c>
      <c r="AA10" s="94" t="str">
        <f t="array" ref="AA10">IFERROR(INDEX(Skill!$M:$M, MATCH(AA$4, Skill!$C:$C, 0), 1), "")</f>
        <v/>
      </c>
      <c r="AB10" s="94">
        <f t="array" ref="AB10">IFERROR(INDEX(Skill!$M:$M, MATCH(AB$4, Skill!$C:$C, 0), 1), "")</f>
        <v>1</v>
      </c>
      <c r="AC10" s="94">
        <f t="array" ref="AC10">IFERROR(INDEX(Skill!$M:$M, MATCH(AC$4, Skill!$C:$C, 0), 1), "")</f>
        <v>0.9</v>
      </c>
      <c r="AD10" s="94">
        <f t="array" ref="AD10">IFERROR(INDEX(Skill!$M:$M, MATCH(AD$4, Skill!$C:$C, 0), 1), "")</f>
        <v>0.95</v>
      </c>
      <c r="AE10" s="94" t="str">
        <f t="array" ref="AE10">IFERROR(INDEX(Skill!$M:$M, MATCH(AE$4, Skill!$C:$C, 0), 1), "")</f>
        <v/>
      </c>
      <c r="AF10" s="94">
        <f t="array" ref="AF10">IFERROR(INDEX(Skill!$M:$M, MATCH(AF$4, Skill!$C:$C, 0), 1), "")</f>
        <v>0.9</v>
      </c>
      <c r="AG10" s="94" t="str">
        <f t="array" ref="AG10">IFERROR(INDEX(Skill!$M:$M, MATCH(AG$4, Skill!$C:$C, 0), 1), "")</f>
        <v/>
      </c>
      <c r="AH10" s="94">
        <f t="array" ref="AH10">IFERROR(INDEX(Skill!$M:$M, MATCH(AH$4, Skill!$C:$C, 0), 1), "")</f>
        <v>0.8</v>
      </c>
      <c r="AI10" s="94">
        <f t="array" ref="AI10">IFERROR(INDEX(Skill!$M:$M, MATCH(AI$4, Skill!$C:$C, 0), 1), "")</f>
        <v>0.9</v>
      </c>
      <c r="AJ10" s="94">
        <f t="array" ref="AJ10">IFERROR(INDEX(Skill!$M:$M, MATCH(AJ$4, Skill!$C:$C, 0), 1), "")</f>
        <v>0.6</v>
      </c>
      <c r="AK10" s="94">
        <f t="array" ref="AK10">IFERROR(INDEX(Skill!$M:$M, MATCH(AK$4, Skill!$C:$C, 0), 1), "")</f>
        <v>1</v>
      </c>
      <c r="AL10" s="94">
        <f t="array" ref="AL10">IFERROR(INDEX(Skill!$M:$M, MATCH(AL$4, Skill!$C:$C, 0), 1), "")</f>
        <v>0.9</v>
      </c>
      <c r="AM10" s="94">
        <f t="array" ref="AM10">IFERROR(INDEX(Skill!$M:$M, MATCH(AM$4, Skill!$C:$C, 0), 1), "")</f>
        <v>0.95</v>
      </c>
      <c r="AN10" s="94">
        <f t="array" ref="AN10">IFERROR(INDEX(Skill!$M:$M, MATCH(AN$4, Skill!$C:$C, 0), 1), "")</f>
        <v>0.85</v>
      </c>
      <c r="AO10" s="94">
        <f t="array" ref="AO10">IFERROR(INDEX(Skill!$M:$M, MATCH(AO$4, Skill!$C:$C, 0), 1), "")</f>
        <v>0.8</v>
      </c>
      <c r="AP10" s="94">
        <f t="array" ref="AP10">IFERROR(INDEX(Skill!$M:$M, MATCH(AP$4, Skill!$C:$C, 0), 1), "")</f>
        <v>0.9</v>
      </c>
      <c r="AQ10" s="94">
        <f t="array" ref="AQ10">IFERROR(INDEX(Skill!$M:$M, MATCH(AQ$4, Skill!$C:$C, 0), 1), "")</f>
        <v>0.6</v>
      </c>
      <c r="AR10" s="94">
        <f t="array" ref="AR10">IFERROR(INDEX(Skill!$M:$M, MATCH(AR$4, Skill!$C:$C, 0), 1), "")</f>
        <v>0</v>
      </c>
      <c r="AS10" s="94">
        <f t="array" ref="AS10">IFERROR(INDEX(Skill!$M:$M, MATCH(AS$4, Skill!$C:$C, 0), 1), "")</f>
        <v>0.9</v>
      </c>
      <c r="AT10" s="94" t="str">
        <f t="array" ref="AT10">IFERROR(INDEX(Skill!$M:$M, MATCH(AT$4, Skill!$C:$C, 0), 1), "")</f>
        <v/>
      </c>
      <c r="AU10" s="94" t="str">
        <f t="array" ref="AU10">IFERROR(INDEX(Skill!$M:$M, MATCH(AU$4, Skill!$C:$C, 0), 1), "")</f>
        <v/>
      </c>
      <c r="AV10" s="94" t="str">
        <f t="array" ref="AV10">IFERROR(INDEX(Skill!$M:$M, MATCH(AV$4, Skill!$C:$C, 0), 1), "")</f>
        <v/>
      </c>
      <c r="AW10" s="94" t="str">
        <f t="array" ref="AW10">IFERROR(INDEX(Skill!$M:$M, MATCH(AW$4, Skill!$C:$C, 0), 1), "")</f>
        <v/>
      </c>
      <c r="AX10" s="94" t="str">
        <f t="array" ref="AX10">IFERROR(INDEX(Skill!$M:$M, MATCH(AX$4, Skill!$C:$C, 0), 1), "")</f>
        <v/>
      </c>
      <c r="AY10" s="94">
        <f t="array" ref="AY10">IFERROR(INDEX(Skill!$M:$M, MATCH(AY$4, Skill!$C:$C, 0), 1), "")</f>
        <v>0.85</v>
      </c>
      <c r="AZ10" s="94" t="str">
        <f t="array" ref="AZ10">IFERROR(INDEX(Skill!$M:$M, MATCH(AZ$4, Skill!$C:$C, 0), 1), "")</f>
        <v/>
      </c>
      <c r="BA10" s="94" t="str">
        <f t="array" ref="BA10">IFERROR(INDEX(Skill!$M:$M, MATCH(BA$4, Skill!$C:$C, 0), 1), "")</f>
        <v/>
      </c>
      <c r="BB10" s="94" t="str">
        <f t="array" ref="BB10">IFERROR(INDEX(Skill!$M:$M, MATCH(BB$4, Skill!$C:$C, 0), 1), "")</f>
        <v/>
      </c>
      <c r="BC10" s="94" t="str">
        <f t="array" ref="BC10">IFERROR(INDEX(Skill!$M:$M, MATCH(BC$4, Skill!$C:$C, 0), 1), "")</f>
        <v/>
      </c>
      <c r="BD10" s="94" t="str">
        <f t="array" ref="BD10">IFERROR(INDEX(Skill!$M:$M, MATCH(BD$4, Skill!$C:$C, 0), 1), "")</f>
        <v/>
      </c>
      <c r="BE10" s="94">
        <f t="array" ref="BE10">IFERROR(INDEX(Skill!$M:$M, MATCH(BE$4, Skill!$C:$C, 0), 1), "")</f>
        <v>0.9</v>
      </c>
      <c r="BF10" s="94" t="str">
        <f t="array" ref="BF10">IFERROR(INDEX(Skill!$M:$M, MATCH(BF$4, Skill!$C:$C, 0), 1), "")</f>
        <v/>
      </c>
      <c r="BG10" s="94">
        <f t="array" ref="BG10">IFERROR(INDEX(Skill!$M:$M, MATCH(BG$4, Skill!$C:$C, 0), 1), "")</f>
        <v>0.9</v>
      </c>
      <c r="BH10" s="94" t="str">
        <f t="array" ref="BH10">IFERROR(INDEX(Skill!$M:$M, MATCH(BH$4, Skill!$C:$C, 0), 1), "")</f>
        <v/>
      </c>
      <c r="BI10" s="94" t="str">
        <f t="array" ref="BI10">IFERROR(INDEX(Skill!$M:$M, MATCH(BI$4, Skill!$C:$C, 0), 1), "")</f>
        <v/>
      </c>
      <c r="BJ10" s="94" t="str">
        <f t="array" ref="BJ10">IFERROR(INDEX(Skill!$M:$M, MATCH(BJ$4, Skill!$C:$C, 0), 1), "")</f>
        <v/>
      </c>
      <c r="BK10" s="94" t="str">
        <f t="array" ref="BK10">IFERROR(INDEX(Skill!$M:$M, MATCH(BK$4, Skill!$C:$C, 0), 1), "")</f>
        <v/>
      </c>
      <c r="BL10" s="94" t="str">
        <f t="array" ref="BL10">IFERROR(INDEX(Skill!$M:$M, MATCH(BL$4, Skill!$C:$C, 0), 1), "")</f>
        <v/>
      </c>
      <c r="BM10" s="94" t="str">
        <f t="array" ref="BM10">IFERROR(INDEX(Skill!$M:$M, MATCH(BM$4, Skill!$C:$C, 0), 1), "")</f>
        <v/>
      </c>
      <c r="BN10" s="94" t="str">
        <f t="array" ref="BN10">IFERROR(INDEX(Skill!$M:$M, MATCH(BN$4, Skill!$C:$C, 0), 1), "")</f>
        <v/>
      </c>
      <c r="BO10" s="94" t="str">
        <f t="array" ref="BO10">IFERROR(INDEX(Skill!$M:$M, MATCH(BO$4, Skill!$C:$C, 0), 1), "")</f>
        <v/>
      </c>
      <c r="BP10" s="94" t="str">
        <f t="array" ref="BP10">IFERROR(INDEX(Skill!$M:$M, MATCH(BP$4, Skill!$C:$C, 0), 1), "")</f>
        <v/>
      </c>
      <c r="BQ10" s="94">
        <f t="array" ref="BQ10">IFERROR(INDEX(Skill!$M:$M, MATCH(BQ$4, Skill!$C:$C, 0), 1), "")</f>
        <v>0.9</v>
      </c>
      <c r="BR10" s="94" t="str">
        <f t="array" ref="BR10">IFERROR(INDEX(Skill!$M:$M, MATCH(BR$4, Skill!$C:$C, 0), 1), "")</f>
        <v/>
      </c>
      <c r="BS10" s="94" t="str">
        <f t="array" ref="BS10">IFERROR(INDEX(Skill!$M:$M, MATCH(BS$4, Skill!$C:$C, 0), 1), "")</f>
        <v/>
      </c>
      <c r="BT10" s="94" t="str">
        <f t="array" ref="BT10">IFERROR(INDEX(Skill!$M:$M, MATCH(BT$4, Skill!$C:$C, 0), 1), "")</f>
        <v/>
      </c>
      <c r="BU10" s="94">
        <f t="array" ref="BU10">IFERROR(INDEX(Skill!$M:$M, MATCH(BU$4, Skill!$C:$C, 0), 1), "")</f>
        <v>0.9</v>
      </c>
      <c r="BV10" s="94" t="str">
        <f t="array" ref="BV10">IFERROR(INDEX(Skill!$M:$M, MATCH(BV$4, Skill!$C:$C, 0), 1), "")</f>
        <v/>
      </c>
      <c r="BW10" s="94" t="str">
        <f t="array" ref="BW10">IFERROR(INDEX(Skill!$M:$M, MATCH(BW$4, Skill!$C:$C, 0), 1), "")</f>
        <v/>
      </c>
      <c r="BX10" s="94" t="str">
        <f t="array" ref="BX10">IFERROR(INDEX(Skill!$M:$M, MATCH(BX$4, Skill!$C:$C, 0), 1), "")</f>
        <v/>
      </c>
      <c r="BY10" s="94">
        <f t="array" ref="BY10">IFERROR(INDEX(Skill!$M:$M, MATCH(BY$4, Skill!$C:$C, 0), 1), "")</f>
        <v>1</v>
      </c>
      <c r="BZ10" s="94">
        <f t="array" ref="BZ10">IFERROR(INDEX(Skill!$M:$M, MATCH(BZ$4, Skill!$C:$C, 0), 1), "")</f>
        <v>0.9</v>
      </c>
      <c r="CA10" s="94">
        <f t="array" ref="CA10">IFERROR(INDEX(Skill!$M:$M, MATCH(CA$4, Skill!$C:$C, 0), 1), "")</f>
        <v>0.9</v>
      </c>
      <c r="CB10" s="94" t="str">
        <f t="array" ref="CB10">IFERROR(INDEX(Skill!$M:$M, MATCH(CB$4, Skill!$C:$C, 0), 1), "")</f>
        <v/>
      </c>
      <c r="CC10" s="94" t="str">
        <f t="array" ref="CC10">IFERROR(INDEX(Skill!$M:$M, MATCH(CC$4, Skill!$C:$C, 0), 1), "")</f>
        <v/>
      </c>
      <c r="CD10" s="94" t="str">
        <f t="array" ref="CD10">IFERROR(INDEX(Skill!$M:$M, MATCH(CD$4, Skill!$C:$C, 0), 1), "")</f>
        <v/>
      </c>
      <c r="CE10" s="94" t="str">
        <f t="array" ref="CE10">IFERROR(INDEX(Skill!$M:$M, MATCH(CE$4, Skill!$C:$C, 0), 1), "")</f>
        <v/>
      </c>
      <c r="CF10" s="94" t="str">
        <f t="array" ref="CF10">IFERROR(INDEX(Skill!$M:$M, MATCH(CF$4, Skill!$C:$C, 0), 1), "")</f>
        <v/>
      </c>
      <c r="CG10" s="94" t="str">
        <f t="array" ref="CG10">IFERROR(INDEX(Skill!$M:$M, MATCH(CG$4, Skill!$C:$C, 0), 1), "")</f>
        <v/>
      </c>
      <c r="CH10" s="94" t="str">
        <f t="array" ref="CH10">IFERROR(INDEX(Skill!$M:$M, MATCH(CH$4, Skill!$C:$C, 0), 1), "")</f>
        <v/>
      </c>
      <c r="CI10" s="94" t="str">
        <f t="array" ref="CI10">IFERROR(INDEX(Skill!$M:$M, MATCH(CI$4, Skill!$C:$C, 0), 1), "")</f>
        <v/>
      </c>
      <c r="CJ10" s="94" t="str">
        <f t="array" ref="CJ10">IFERROR(INDEX(Skill!$M:$M, MATCH(CJ$4, Skill!$C:$C, 0), 1), "")</f>
        <v/>
      </c>
      <c r="CK10" s="94" t="str">
        <f t="array" ref="CK10">IFERROR(INDEX(Skill!$M:$M, MATCH(CK$4, Skill!$C:$C, 0), 1), "")</f>
        <v/>
      </c>
      <c r="CL10" s="94" t="str">
        <f t="array" ref="CL10">IFERROR(INDEX(Skill!$M:$M, MATCH(CL$4, Skill!$C:$C, 0), 1), "")</f>
        <v/>
      </c>
      <c r="CM10" s="94" t="str">
        <f t="array" ref="CM10">IFERROR(INDEX(Skill!$M:$M, MATCH(CM$4, Skill!$C:$C, 0), 1), "")</f>
        <v/>
      </c>
      <c r="CN10" s="94" t="str">
        <f t="array" ref="CN10">IFERROR(INDEX(Skill!$M:$M, MATCH(CN$4, Skill!$C:$C, 0), 1), "")</f>
        <v/>
      </c>
      <c r="CO10" s="94" t="str">
        <f t="array" ref="CO10">IFERROR(INDEX(Skill!$M:$M, MATCH(CO$4, Skill!$C:$C, 0), 1), "")</f>
        <v/>
      </c>
      <c r="CP10" s="94" t="str">
        <f t="array" ref="CP10">IFERROR(INDEX(Skill!$M:$M, MATCH(CP$4, Skill!$C:$C, 0), 1), "")</f>
        <v/>
      </c>
      <c r="CQ10" s="94" t="str">
        <f t="array" ref="CQ10">IFERROR(INDEX(Skill!$M:$M, MATCH(CQ$4, Skill!$C:$C, 0), 1), "")</f>
        <v/>
      </c>
      <c r="CR10" s="94" t="str">
        <f t="array" ref="CR10">IFERROR(INDEX(Skill!$M:$M, MATCH(CR$4, Skill!$C:$C, 0), 1), "")</f>
        <v/>
      </c>
      <c r="CS10" s="94" t="str">
        <f t="array" ref="CS10">IFERROR(INDEX(Skill!$M:$M, MATCH(CS$4, Skill!$C:$C, 0), 1), "")</f>
        <v/>
      </c>
      <c r="CT10" s="94">
        <f t="array" ref="CT10">IFERROR(INDEX(Skill!$M:$M, MATCH(CT$4, Skill!$C:$C, 0), 1), "")</f>
        <v>0.9</v>
      </c>
      <c r="CU10" s="94">
        <f t="array" ref="CU10">IFERROR(INDEX(Skill!$M:$M, MATCH(CU$4, Skill!$C:$C, 0), 1), "")</f>
        <v>0.9</v>
      </c>
      <c r="CV10" s="94" t="str">
        <f t="array" ref="CV10">IFERROR(INDEX(Skill!$M:$M, MATCH(CV$4, Skill!$C:$C, 0), 1), "")</f>
        <v/>
      </c>
      <c r="CW10" s="94" t="str">
        <f t="array" ref="CW10">IFERROR(INDEX(Skill!$M:$M, MATCH(CW$4, Skill!$C:$C, 0), 1), "")</f>
        <v/>
      </c>
      <c r="CX10" s="94" t="str">
        <f t="array" ref="CX10">IFERROR(INDEX(Skill!$M:$M, MATCH(CX$4, Skill!$C:$C, 0), 1), "")</f>
        <v/>
      </c>
      <c r="CY10" s="94" t="str">
        <f t="array" ref="CY10">IFERROR(INDEX(Skill!$M:$M, MATCH(CY$4, Skill!$C:$C, 0), 1), "")</f>
        <v/>
      </c>
      <c r="CZ10" s="94" t="str">
        <f t="array" ref="CZ10">IFERROR(INDEX(Skill!$M:$M, MATCH(CZ$4, Skill!$C:$C, 0), 1), "")</f>
        <v/>
      </c>
      <c r="DA10" s="94" t="str">
        <f t="array" ref="DA10">IFERROR(INDEX(Skill!$M:$M, MATCH(DA$4, Skill!$C:$C, 0), 1), "")</f>
        <v/>
      </c>
      <c r="DB10" s="94" t="str">
        <f t="array" ref="DB10">IFERROR(INDEX(Skill!$M:$M, MATCH(DB$4, Skill!$C:$C, 0), 1), "")</f>
        <v/>
      </c>
      <c r="DC10" s="94" t="str">
        <f t="array" ref="DC10">IFERROR(INDEX(Skill!$M:$M, MATCH(DC$4, Skill!$C:$C, 0), 1), "")</f>
        <v/>
      </c>
      <c r="DD10" s="94" t="str">
        <f t="array" ref="DD10">IFERROR(INDEX(Skill!$M:$M, MATCH(DD$4, Skill!$C:$C, 0), 1), "")</f>
        <v/>
      </c>
      <c r="DE10" s="94">
        <f t="array" ref="DE10">IFERROR(INDEX(Skill!$M:$M, MATCH(DE$4, Skill!$C:$C, 0), 1), "")</f>
        <v>0.9</v>
      </c>
      <c r="DF10" s="94" t="str">
        <f t="array" ref="DF10">IFERROR(INDEX(Skill!$M:$M, MATCH(DF$4, Skill!$C:$C, 0), 1), "")</f>
        <v/>
      </c>
      <c r="DG10" s="94" t="str">
        <f t="array" ref="DG10">IFERROR(INDEX(Skill!$M:$M, MATCH(DG$4, Skill!$C:$C, 0), 1), "")</f>
        <v/>
      </c>
      <c r="DH10" s="94" t="str">
        <f t="array" ref="DH10">IFERROR(INDEX(Skill!$M:$M, MATCH(DH$4, Skill!$C:$C, 0), 1), "")</f>
        <v/>
      </c>
      <c r="DI10" s="94" t="str">
        <f t="array" ref="DI10">IFERROR(INDEX(Skill!$M:$M, MATCH(DI$4, Skill!$C:$C, 0), 1), "")</f>
        <v/>
      </c>
      <c r="DJ10" s="94">
        <f t="array" ref="DJ10">IFERROR(INDEX(Skill!$M:$M, MATCH(DJ$4, Skill!$C:$C, 0), 1), "")</f>
        <v>0.9</v>
      </c>
      <c r="DK10" s="94" t="str">
        <f t="array" ref="DK10">IFERROR(INDEX(Skill!$M:$M, MATCH(DK$4, Skill!$C:$C, 0), 1), "")</f>
        <v/>
      </c>
      <c r="DL10" s="94">
        <f t="array" ref="DL10">IFERROR(INDEX(Skill!$M:$M, MATCH(DL$4, Skill!$C:$C, 0), 1), "")</f>
        <v>0.9</v>
      </c>
      <c r="DM10" s="94">
        <f t="array" ref="DM10">IFERROR(INDEX(Skill!$M:$M, MATCH(DM$4, Skill!$C:$C, 0), 1), "")</f>
        <v>0.9</v>
      </c>
      <c r="DN10" s="94">
        <f t="array" ref="DN10">IFERROR(INDEX(Skill!$M:$M, MATCH(DN$4, Skill!$C:$C, 0), 1), "")</f>
        <v>0.9</v>
      </c>
      <c r="DO10" s="94">
        <f t="array" ref="DO10">IFERROR(INDEX(Skill!$M:$M, MATCH(DO$4, Skill!$C:$C, 0), 1), "")</f>
        <v>0.9</v>
      </c>
      <c r="DP10" s="94">
        <f t="array" ref="DP10">IFERROR(INDEX(Skill!$M:$M, MATCH(DP$4, Skill!$C:$C, 0), 1), "")</f>
        <v>0.9</v>
      </c>
      <c r="DQ10" s="94">
        <f t="array" ref="DQ10">IFERROR(INDEX(Skill!$M:$M, MATCH(DQ$4, Skill!$C:$C, 0), 1), "")</f>
        <v>0.85</v>
      </c>
      <c r="DR10" s="94" t="str">
        <f t="array" ref="DR10">IFERROR(INDEX(Skill!$M:$M, MATCH(DR$4, Skill!$C:$C, 0), 1), "")</f>
        <v/>
      </c>
      <c r="DS10" s="94">
        <f t="array" ref="DS10">IFERROR(INDEX(Skill!$M:$M, MATCH(DS$4, Skill!$C:$C, 0), 1), "")</f>
        <v>0.85</v>
      </c>
      <c r="DT10" s="94">
        <f t="array" ref="DT10">IFERROR(INDEX(Skill!$M:$M, MATCH(DT$4, Skill!$C:$C, 0), 1), "")</f>
        <v>0.9</v>
      </c>
      <c r="DU10" s="94">
        <f t="array" ref="DU10">IFERROR(INDEX(Skill!$M:$M, MATCH(DU$4, Skill!$C:$C, 0), 1), "")</f>
        <v>0.85</v>
      </c>
      <c r="DV10" s="94" t="str">
        <f t="array" ref="DV10">IFERROR(INDEX(Skill!$M:$M, MATCH(DV$4, Skill!$C:$C, 0), 1), "")</f>
        <v/>
      </c>
      <c r="DW10" s="94">
        <f t="array" ref="DW10">IFERROR(INDEX(Skill!$M:$M, MATCH(DW$4, Skill!$C:$C, 0), 1), "")</f>
        <v>0.95</v>
      </c>
      <c r="DX10" s="94">
        <f t="array" ref="DX10">IFERROR(INDEX(Skill!$M:$M, MATCH(DX$4, Skill!$C:$C, 0), 1), "")</f>
        <v>0.95</v>
      </c>
      <c r="DY10" s="94">
        <f t="array" ref="DY10">IFERROR(INDEX(Skill!$M:$M, MATCH(DY$4, Skill!$C:$C, 0), 1), "")</f>
        <v>0.95</v>
      </c>
      <c r="DZ10" s="94">
        <f t="array" ref="DZ10">IFERROR(INDEX(Skill!$M:$M, MATCH(DZ$4, Skill!$C:$C, 0), 1), "")</f>
        <v>1</v>
      </c>
      <c r="EA10" s="89">
        <f t="array" ref="EA10">IFERROR(INDEX(Skill!$M:$M, MATCH(EA$4, Skill!$C:$C, 0), 1), "")</f>
        <v>0.95</v>
      </c>
      <c r="EB10" s="89" t="str">
        <f t="array" ref="EB10">IFERROR(INDEX(Skill!$M:$M, MATCH(EB$4, Skill!$C:$C, 0), 1), "")</f>
        <v/>
      </c>
      <c r="EC10" s="89" t="str">
        <f t="array" ref="EC10">IFERROR(INDEX(Skill!$M:$M, MATCH(EC$4, Skill!$C:$C, 0), 1), "")</f>
        <v/>
      </c>
      <c r="ED10" s="94">
        <f t="array" ref="ED10">IFERROR(INDEX(Skill!$M:$M, MATCH(ED$4, Skill!$C:$C, 0), 1), "")</f>
        <v>0.2</v>
      </c>
      <c r="EE10" s="98"/>
      <c r="EF10" s="98"/>
      <c r="EG10" s="98"/>
      <c r="EH10" s="98"/>
      <c r="EI10" s="98"/>
      <c r="EJ10" s="98"/>
      <c r="EK10" s="98"/>
      <c r="EL10" s="98"/>
      <c r="EM10" s="98"/>
      <c r="EN10" s="98"/>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8"/>
      <c r="FO10" s="99"/>
    </row>
    <row r="11" hidden="1">
      <c r="A11" s="3"/>
      <c r="B11" s="90"/>
      <c r="C11" s="90"/>
      <c r="D11" s="90"/>
      <c r="E11" s="90" t="s">
        <v>10</v>
      </c>
      <c r="F11" s="90"/>
      <c r="G11" s="90"/>
      <c r="H11" s="90"/>
      <c r="I11" s="90"/>
      <c r="J11" s="90"/>
      <c r="K11" s="94">
        <f t="array" ref="K11">IFERROR(INDEX(Skill!$L:$L, MATCH(K$4, Skill!$C:$C, 0), 1), "")</f>
        <v>0.9</v>
      </c>
      <c r="L11" s="94">
        <f t="array" ref="L11">IFERROR(INDEX(Skill!$L:$L, MATCH(L$4, Skill!$C:$C, 0), 1), "")</f>
        <v>0.85</v>
      </c>
      <c r="M11" s="94" t="str">
        <f t="array" ref="M11">IFERROR(INDEX(Skill!$L:$L, MATCH(M$4, Skill!$C:$C, 0), 1), "")</f>
        <v/>
      </c>
      <c r="N11" s="94">
        <f t="array" ref="N11">IFERROR(INDEX(Skill!$L:$L, MATCH(N$4, Skill!$C:$C, 0), 1), "")</f>
        <v>0.9</v>
      </c>
      <c r="O11" s="94">
        <f t="array" ref="O11">IFERROR(INDEX(Skill!$L:$L, MATCH(O$4, Skill!$C:$C, 0), 1), "")</f>
        <v>0.8</v>
      </c>
      <c r="P11" s="94" t="str">
        <f t="array" ref="P11">IFERROR(INDEX(Skill!$L:$L, MATCH(P$4, Skill!$C:$C, 0), 1), "")</f>
        <v/>
      </c>
      <c r="Q11" s="94">
        <f t="array" ref="Q11">IFERROR(INDEX(Skill!$L:$L, MATCH(Q$4, Skill!$C:$C, 0), 1), "")</f>
        <v>0.6</v>
      </c>
      <c r="R11" s="94">
        <f t="array" ref="R11">IFERROR(INDEX(Skill!$L:$L, MATCH(R$4, Skill!$C:$C, 0), 1), "")</f>
        <v>0.85</v>
      </c>
      <c r="S11" s="94">
        <f t="array" ref="S11">IFERROR(INDEX(Skill!$L:$L, MATCH(S$4, Skill!$C:$C, 0), 1), "")</f>
        <v>0</v>
      </c>
      <c r="T11" s="94">
        <f t="array" ref="T11">IFERROR(INDEX(Skill!$L:$L, MATCH(T$4, Skill!$C:$C, 0), 1), "")</f>
        <v>0.9</v>
      </c>
      <c r="U11" s="94" t="str">
        <f t="array" ref="U11">IFERROR(INDEX(Skill!$L:$L, MATCH(U$4, Skill!$C:$C, 0), 1), "")</f>
        <v/>
      </c>
      <c r="V11" s="94">
        <f t="array" ref="V11">IFERROR(INDEX(Skill!$L:$L, MATCH(V$4, Skill!$C:$C, 0), 1), "")</f>
        <v>0.9</v>
      </c>
      <c r="W11" s="94">
        <f t="array" ref="W11">IFERROR(INDEX(Skill!$L:$L, MATCH(W$4, Skill!$C:$C, 0), 1), "")</f>
        <v>0.8</v>
      </c>
      <c r="X11" s="94" t="str">
        <f t="array" ref="X11">IFERROR(INDEX(Skill!$L:$L, MATCH(X$4, Skill!$C:$C, 0), 1), "")</f>
        <v/>
      </c>
      <c r="Y11" s="94">
        <f t="array" ref="Y11">IFERROR(INDEX(Skill!$L:$L, MATCH(Y$4, Skill!$C:$C, 0), 1), "")</f>
        <v>0.6</v>
      </c>
      <c r="Z11" s="94">
        <f t="array" ref="Z11">IFERROR(INDEX(Skill!$L:$L, MATCH(Z$4, Skill!$C:$C, 0), 1), "")</f>
        <v>0.9</v>
      </c>
      <c r="AA11" s="94" t="str">
        <f t="array" ref="AA11">IFERROR(INDEX(Skill!$L:$L, MATCH(AA$4, Skill!$C:$C, 0), 1), "")</f>
        <v/>
      </c>
      <c r="AB11" s="94">
        <f t="array" ref="AB11">IFERROR(INDEX(Skill!$L:$L, MATCH(AB$4, Skill!$C:$C, 0), 1), "")</f>
        <v>1</v>
      </c>
      <c r="AC11" s="94">
        <f t="array" ref="AC11">IFERROR(INDEX(Skill!$L:$L, MATCH(AC$4, Skill!$C:$C, 0), 1), "")</f>
        <v>0.9</v>
      </c>
      <c r="AD11" s="94">
        <f t="array" ref="AD11">IFERROR(INDEX(Skill!$L:$L, MATCH(AD$4, Skill!$C:$C, 0), 1), "")</f>
        <v>0.9</v>
      </c>
      <c r="AE11" s="94" t="str">
        <f t="array" ref="AE11">IFERROR(INDEX(Skill!$L:$L, MATCH(AE$4, Skill!$C:$C, 0), 1), "")</f>
        <v/>
      </c>
      <c r="AF11" s="94">
        <f t="array" ref="AF11">IFERROR(INDEX(Skill!$L:$L, MATCH(AF$4, Skill!$C:$C, 0), 1), "")</f>
        <v>0.9</v>
      </c>
      <c r="AG11" s="94" t="str">
        <f t="array" ref="AG11">IFERROR(INDEX(Skill!$L:$L, MATCH(AG$4, Skill!$C:$C, 0), 1), "")</f>
        <v/>
      </c>
      <c r="AH11" s="94">
        <f t="array" ref="AH11">IFERROR(INDEX(Skill!$L:$L, MATCH(AH$4, Skill!$C:$C, 0), 1), "")</f>
        <v>0.8</v>
      </c>
      <c r="AI11" s="94">
        <f t="array" ref="AI11">IFERROR(INDEX(Skill!$L:$L, MATCH(AI$4, Skill!$C:$C, 0), 1), "")</f>
        <v>0.8</v>
      </c>
      <c r="AJ11" s="94">
        <f t="array" ref="AJ11">IFERROR(INDEX(Skill!$L:$L, MATCH(AJ$4, Skill!$C:$C, 0), 1), "")</f>
        <v>0.6</v>
      </c>
      <c r="AK11" s="94">
        <f t="array" ref="AK11">IFERROR(INDEX(Skill!$L:$L, MATCH(AK$4, Skill!$C:$C, 0), 1), "")</f>
        <v>1</v>
      </c>
      <c r="AL11" s="94">
        <f t="array" ref="AL11">IFERROR(INDEX(Skill!$L:$L, MATCH(AL$4, Skill!$C:$C, 0), 1), "")</f>
        <v>0.9</v>
      </c>
      <c r="AM11" s="94">
        <f t="array" ref="AM11">IFERROR(INDEX(Skill!$L:$L, MATCH(AM$4, Skill!$C:$C, 0), 1), "")</f>
        <v>0.9</v>
      </c>
      <c r="AN11" s="94">
        <f t="array" ref="AN11">IFERROR(INDEX(Skill!$L:$L, MATCH(AN$4, Skill!$C:$C, 0), 1), "")</f>
        <v>0.85</v>
      </c>
      <c r="AO11" s="94">
        <f t="array" ref="AO11">IFERROR(INDEX(Skill!$L:$L, MATCH(AO$4, Skill!$C:$C, 0), 1), "")</f>
        <v>0.8</v>
      </c>
      <c r="AP11" s="94">
        <f t="array" ref="AP11">IFERROR(INDEX(Skill!$L:$L, MATCH(AP$4, Skill!$C:$C, 0), 1), "")</f>
        <v>0.9</v>
      </c>
      <c r="AQ11" s="94">
        <f t="array" ref="AQ11">IFERROR(INDEX(Skill!$L:$L, MATCH(AQ$4, Skill!$C:$C, 0), 1), "")</f>
        <v>0.6</v>
      </c>
      <c r="AR11" s="94">
        <f t="array" ref="AR11">IFERROR(INDEX(Skill!$L:$L, MATCH(AR$4, Skill!$C:$C, 0), 1), "")</f>
        <v>0</v>
      </c>
      <c r="AS11" s="94">
        <f t="array" ref="AS11">IFERROR(INDEX(Skill!$L:$L, MATCH(AS$4, Skill!$C:$C, 0), 1), "")</f>
        <v>0.9</v>
      </c>
      <c r="AT11" s="94" t="str">
        <f t="array" ref="AT11">IFERROR(INDEX(Skill!$L:$L, MATCH(AT$4, Skill!$C:$C, 0), 1), "")</f>
        <v/>
      </c>
      <c r="AU11" s="94" t="str">
        <f t="array" ref="AU11">IFERROR(INDEX(Skill!$L:$L, MATCH(AU$4, Skill!$C:$C, 0), 1), "")</f>
        <v/>
      </c>
      <c r="AV11" s="94" t="str">
        <f t="array" ref="AV11">IFERROR(INDEX(Skill!$L:$L, MATCH(AV$4, Skill!$C:$C, 0), 1), "")</f>
        <v/>
      </c>
      <c r="AW11" s="94" t="str">
        <f t="array" ref="AW11">IFERROR(INDEX(Skill!$L:$L, MATCH(AW$4, Skill!$C:$C, 0), 1), "")</f>
        <v/>
      </c>
      <c r="AX11" s="94" t="str">
        <f t="array" ref="AX11">IFERROR(INDEX(Skill!$L:$L, MATCH(AX$4, Skill!$C:$C, 0), 1), "")</f>
        <v/>
      </c>
      <c r="AY11" s="94">
        <f t="array" ref="AY11">IFERROR(INDEX(Skill!$L:$L, MATCH(AY$4, Skill!$C:$C, 0), 1), "")</f>
        <v>0.85</v>
      </c>
      <c r="AZ11" s="94" t="str">
        <f t="array" ref="AZ11">IFERROR(INDEX(Skill!$L:$L, MATCH(AZ$4, Skill!$C:$C, 0), 1), "")</f>
        <v/>
      </c>
      <c r="BA11" s="94" t="str">
        <f t="array" ref="BA11">IFERROR(INDEX(Skill!$L:$L, MATCH(BA$4, Skill!$C:$C, 0), 1), "")</f>
        <v/>
      </c>
      <c r="BB11" s="94" t="str">
        <f t="array" ref="BB11">IFERROR(INDEX(Skill!$L:$L, MATCH(BB$4, Skill!$C:$C, 0), 1), "")</f>
        <v/>
      </c>
      <c r="BC11" s="94" t="str">
        <f t="array" ref="BC11">IFERROR(INDEX(Skill!$L:$L, MATCH(BC$4, Skill!$C:$C, 0), 1), "")</f>
        <v/>
      </c>
      <c r="BD11" s="94" t="str">
        <f t="array" ref="BD11">IFERROR(INDEX(Skill!$L:$L, MATCH(BD$4, Skill!$C:$C, 0), 1), "")</f>
        <v/>
      </c>
      <c r="BE11" s="94">
        <f t="array" ref="BE11">IFERROR(INDEX(Skill!$L:$L, MATCH(BE$4, Skill!$C:$C, 0), 1), "")</f>
        <v>0.9</v>
      </c>
      <c r="BF11" s="94" t="str">
        <f t="array" ref="BF11">IFERROR(INDEX(Skill!$L:$L, MATCH(BF$4, Skill!$C:$C, 0), 1), "")</f>
        <v/>
      </c>
      <c r="BG11" s="94">
        <f t="array" ref="BG11">IFERROR(INDEX(Skill!$L:$L, MATCH(BG$4, Skill!$C:$C, 0), 1), "")</f>
        <v>0.9</v>
      </c>
      <c r="BH11" s="94" t="str">
        <f t="array" ref="BH11">IFERROR(INDEX(Skill!$L:$L, MATCH(BH$4, Skill!$C:$C, 0), 1), "")</f>
        <v/>
      </c>
      <c r="BI11" s="94" t="str">
        <f t="array" ref="BI11">IFERROR(INDEX(Skill!$L:$L, MATCH(BI$4, Skill!$C:$C, 0), 1), "")</f>
        <v/>
      </c>
      <c r="BJ11" s="94" t="str">
        <f t="array" ref="BJ11">IFERROR(INDEX(Skill!$L:$L, MATCH(BJ$4, Skill!$C:$C, 0), 1), "")</f>
        <v/>
      </c>
      <c r="BK11" s="94" t="str">
        <f t="array" ref="BK11">IFERROR(INDEX(Skill!$L:$L, MATCH(BK$4, Skill!$C:$C, 0), 1), "")</f>
        <v/>
      </c>
      <c r="BL11" s="94" t="str">
        <f t="array" ref="BL11">IFERROR(INDEX(Skill!$L:$L, MATCH(BL$4, Skill!$C:$C, 0), 1), "")</f>
        <v/>
      </c>
      <c r="BM11" s="94" t="str">
        <f t="array" ref="BM11">IFERROR(INDEX(Skill!$L:$L, MATCH(BM$4, Skill!$C:$C, 0), 1), "")</f>
        <v/>
      </c>
      <c r="BN11" s="94" t="str">
        <f t="array" ref="BN11">IFERROR(INDEX(Skill!$L:$L, MATCH(BN$4, Skill!$C:$C, 0), 1), "")</f>
        <v/>
      </c>
      <c r="BO11" s="94" t="str">
        <f t="array" ref="BO11">IFERROR(INDEX(Skill!$L:$L, MATCH(BO$4, Skill!$C:$C, 0), 1), "")</f>
        <v/>
      </c>
      <c r="BP11" s="94" t="str">
        <f t="array" ref="BP11">IFERROR(INDEX(Skill!$L:$L, MATCH(BP$4, Skill!$C:$C, 0), 1), "")</f>
        <v/>
      </c>
      <c r="BQ11" s="94">
        <f t="array" ref="BQ11">IFERROR(INDEX(Skill!$L:$L, MATCH(BQ$4, Skill!$C:$C, 0), 1), "")</f>
        <v>0.9</v>
      </c>
      <c r="BR11" s="94" t="str">
        <f t="array" ref="BR11">IFERROR(INDEX(Skill!$L:$L, MATCH(BR$4, Skill!$C:$C, 0), 1), "")</f>
        <v/>
      </c>
      <c r="BS11" s="94" t="str">
        <f t="array" ref="BS11">IFERROR(INDEX(Skill!$L:$L, MATCH(BS$4, Skill!$C:$C, 0), 1), "")</f>
        <v/>
      </c>
      <c r="BT11" s="94" t="str">
        <f t="array" ref="BT11">IFERROR(INDEX(Skill!$L:$L, MATCH(BT$4, Skill!$C:$C, 0), 1), "")</f>
        <v/>
      </c>
      <c r="BU11" s="94">
        <f t="array" ref="BU11">IFERROR(INDEX(Skill!$L:$L, MATCH(BU$4, Skill!$C:$C, 0), 1), "")</f>
        <v>0.9</v>
      </c>
      <c r="BV11" s="94" t="str">
        <f t="array" ref="BV11">IFERROR(INDEX(Skill!$L:$L, MATCH(BV$4, Skill!$C:$C, 0), 1), "")</f>
        <v/>
      </c>
      <c r="BW11" s="94" t="str">
        <f t="array" ref="BW11">IFERROR(INDEX(Skill!$L:$L, MATCH(BW$4, Skill!$C:$C, 0), 1), "")</f>
        <v/>
      </c>
      <c r="BX11" s="94" t="str">
        <f t="array" ref="BX11">IFERROR(INDEX(Skill!$L:$L, MATCH(BX$4, Skill!$C:$C, 0), 1), "")</f>
        <v/>
      </c>
      <c r="BY11" s="94">
        <f t="array" ref="BY11">IFERROR(INDEX(Skill!$L:$L, MATCH(BY$4, Skill!$C:$C, 0), 1), "")</f>
        <v>0.95</v>
      </c>
      <c r="BZ11" s="94">
        <f t="array" ref="BZ11">IFERROR(INDEX(Skill!$L:$L, MATCH(BZ$4, Skill!$C:$C, 0), 1), "")</f>
        <v>0.9</v>
      </c>
      <c r="CA11" s="94">
        <f t="array" ref="CA11">IFERROR(INDEX(Skill!$L:$L, MATCH(CA$4, Skill!$C:$C, 0), 1), "")</f>
        <v>0.9</v>
      </c>
      <c r="CB11" s="94" t="str">
        <f t="array" ref="CB11">IFERROR(INDEX(Skill!$L:$L, MATCH(CB$4, Skill!$C:$C, 0), 1), "")</f>
        <v/>
      </c>
      <c r="CC11" s="94" t="str">
        <f t="array" ref="CC11">IFERROR(INDEX(Skill!$L:$L, MATCH(CC$4, Skill!$C:$C, 0), 1), "")</f>
        <v/>
      </c>
      <c r="CD11" s="94" t="str">
        <f t="array" ref="CD11">IFERROR(INDEX(Skill!$L:$L, MATCH(CD$4, Skill!$C:$C, 0), 1), "")</f>
        <v/>
      </c>
      <c r="CE11" s="94" t="str">
        <f t="array" ref="CE11">IFERROR(INDEX(Skill!$L:$L, MATCH(CE$4, Skill!$C:$C, 0), 1), "")</f>
        <v/>
      </c>
      <c r="CF11" s="94" t="str">
        <f t="array" ref="CF11">IFERROR(INDEX(Skill!$L:$L, MATCH(CF$4, Skill!$C:$C, 0), 1), "")</f>
        <v/>
      </c>
      <c r="CG11" s="94" t="str">
        <f t="array" ref="CG11">IFERROR(INDEX(Skill!$L:$L, MATCH(CG$4, Skill!$C:$C, 0), 1), "")</f>
        <v/>
      </c>
      <c r="CH11" s="94" t="str">
        <f t="array" ref="CH11">IFERROR(INDEX(Skill!$L:$L, MATCH(CH$4, Skill!$C:$C, 0), 1), "")</f>
        <v/>
      </c>
      <c r="CI11" s="94" t="str">
        <f t="array" ref="CI11">IFERROR(INDEX(Skill!$L:$L, MATCH(CI$4, Skill!$C:$C, 0), 1), "")</f>
        <v/>
      </c>
      <c r="CJ11" s="94" t="str">
        <f t="array" ref="CJ11">IFERROR(INDEX(Skill!$L:$L, MATCH(CJ$4, Skill!$C:$C, 0), 1), "")</f>
        <v/>
      </c>
      <c r="CK11" s="94" t="str">
        <f t="array" ref="CK11">IFERROR(INDEX(Skill!$L:$L, MATCH(CK$4, Skill!$C:$C, 0), 1), "")</f>
        <v/>
      </c>
      <c r="CL11" s="94" t="str">
        <f t="array" ref="CL11">IFERROR(INDEX(Skill!$L:$L, MATCH(CL$4, Skill!$C:$C, 0), 1), "")</f>
        <v/>
      </c>
      <c r="CM11" s="94" t="str">
        <f t="array" ref="CM11">IFERROR(INDEX(Skill!$L:$L, MATCH(CM$4, Skill!$C:$C, 0), 1), "")</f>
        <v/>
      </c>
      <c r="CN11" s="94" t="str">
        <f t="array" ref="CN11">IFERROR(INDEX(Skill!$L:$L, MATCH(CN$4, Skill!$C:$C, 0), 1), "")</f>
        <v/>
      </c>
      <c r="CO11" s="94" t="str">
        <f t="array" ref="CO11">IFERROR(INDEX(Skill!$L:$L, MATCH(CO$4, Skill!$C:$C, 0), 1), "")</f>
        <v/>
      </c>
      <c r="CP11" s="94" t="str">
        <f t="array" ref="CP11">IFERROR(INDEX(Skill!$L:$L, MATCH(CP$4, Skill!$C:$C, 0), 1), "")</f>
        <v/>
      </c>
      <c r="CQ11" s="94" t="str">
        <f t="array" ref="CQ11">IFERROR(INDEX(Skill!$L:$L, MATCH(CQ$4, Skill!$C:$C, 0), 1), "")</f>
        <v/>
      </c>
      <c r="CR11" s="94" t="str">
        <f t="array" ref="CR11">IFERROR(INDEX(Skill!$L:$L, MATCH(CR$4, Skill!$C:$C, 0), 1), "")</f>
        <v/>
      </c>
      <c r="CS11" s="94" t="str">
        <f t="array" ref="CS11">IFERROR(INDEX(Skill!$L:$L, MATCH(CS$4, Skill!$C:$C, 0), 1), "")</f>
        <v/>
      </c>
      <c r="CT11" s="94">
        <f t="array" ref="CT11">IFERROR(INDEX(Skill!$L:$L, MATCH(CT$4, Skill!$C:$C, 0), 1), "")</f>
        <v>0.9</v>
      </c>
      <c r="CU11" s="94">
        <f t="array" ref="CU11">IFERROR(INDEX(Skill!$L:$L, MATCH(CU$4, Skill!$C:$C, 0), 1), "")</f>
        <v>0.9</v>
      </c>
      <c r="CV11" s="94" t="str">
        <f t="array" ref="CV11">IFERROR(INDEX(Skill!$L:$L, MATCH(CV$4, Skill!$C:$C, 0), 1), "")</f>
        <v/>
      </c>
      <c r="CW11" s="94" t="str">
        <f t="array" ref="CW11">IFERROR(INDEX(Skill!$L:$L, MATCH(CW$4, Skill!$C:$C, 0), 1), "")</f>
        <v/>
      </c>
      <c r="CX11" s="94" t="str">
        <f t="array" ref="CX11">IFERROR(INDEX(Skill!$L:$L, MATCH(CX$4, Skill!$C:$C, 0), 1), "")</f>
        <v/>
      </c>
      <c r="CY11" s="94" t="str">
        <f t="array" ref="CY11">IFERROR(INDEX(Skill!$L:$L, MATCH(CY$4, Skill!$C:$C, 0), 1), "")</f>
        <v/>
      </c>
      <c r="CZ11" s="94" t="str">
        <f t="array" ref="CZ11">IFERROR(INDEX(Skill!$L:$L, MATCH(CZ$4, Skill!$C:$C, 0), 1), "")</f>
        <v/>
      </c>
      <c r="DA11" s="94" t="str">
        <f t="array" ref="DA11">IFERROR(INDEX(Skill!$L:$L, MATCH(DA$4, Skill!$C:$C, 0), 1), "")</f>
        <v/>
      </c>
      <c r="DB11" s="94" t="str">
        <f t="array" ref="DB11">IFERROR(INDEX(Skill!$L:$L, MATCH(DB$4, Skill!$C:$C, 0), 1), "")</f>
        <v/>
      </c>
      <c r="DC11" s="94" t="str">
        <f t="array" ref="DC11">IFERROR(INDEX(Skill!$L:$L, MATCH(DC$4, Skill!$C:$C, 0), 1), "")</f>
        <v/>
      </c>
      <c r="DD11" s="94" t="str">
        <f t="array" ref="DD11">IFERROR(INDEX(Skill!$L:$L, MATCH(DD$4, Skill!$C:$C, 0), 1), "")</f>
        <v/>
      </c>
      <c r="DE11" s="94">
        <f t="array" ref="DE11">IFERROR(INDEX(Skill!$L:$L, MATCH(DE$4, Skill!$C:$C, 0), 1), "")</f>
        <v>0.9</v>
      </c>
      <c r="DF11" s="94" t="str">
        <f t="array" ref="DF11">IFERROR(INDEX(Skill!$L:$L, MATCH(DF$4, Skill!$C:$C, 0), 1), "")</f>
        <v/>
      </c>
      <c r="DG11" s="94" t="str">
        <f t="array" ref="DG11">IFERROR(INDEX(Skill!$L:$L, MATCH(DG$4, Skill!$C:$C, 0), 1), "")</f>
        <v/>
      </c>
      <c r="DH11" s="94" t="str">
        <f t="array" ref="DH11">IFERROR(INDEX(Skill!$L:$L, MATCH(DH$4, Skill!$C:$C, 0), 1), "")</f>
        <v/>
      </c>
      <c r="DI11" s="94" t="str">
        <f t="array" ref="DI11">IFERROR(INDEX(Skill!$L:$L, MATCH(DI$4, Skill!$C:$C, 0), 1), "")</f>
        <v/>
      </c>
      <c r="DJ11" s="94">
        <f t="array" ref="DJ11">IFERROR(INDEX(Skill!$L:$L, MATCH(DJ$4, Skill!$C:$C, 0), 1), "")</f>
        <v>0.95</v>
      </c>
      <c r="DK11" s="94" t="str">
        <f t="array" ref="DK11">IFERROR(INDEX(Skill!$L:$L, MATCH(DK$4, Skill!$C:$C, 0), 1), "")</f>
        <v/>
      </c>
      <c r="DL11" s="94">
        <f t="array" ref="DL11">IFERROR(INDEX(Skill!$L:$L, MATCH(DL$4, Skill!$C:$C, 0), 1), "")</f>
        <v>0.95</v>
      </c>
      <c r="DM11" s="94">
        <f t="array" ref="DM11">IFERROR(INDEX(Skill!$L:$L, MATCH(DM$4, Skill!$C:$C, 0), 1), "")</f>
        <v>0.95</v>
      </c>
      <c r="DN11" s="94">
        <f t="array" ref="DN11">IFERROR(INDEX(Skill!$L:$L, MATCH(DN$4, Skill!$C:$C, 0), 1), "")</f>
        <v>0.95</v>
      </c>
      <c r="DO11" s="94">
        <f t="array" ref="DO11">IFERROR(INDEX(Skill!$L:$L, MATCH(DO$4, Skill!$C:$C, 0), 1), "")</f>
        <v>0.95</v>
      </c>
      <c r="DP11" s="94">
        <f t="array" ref="DP11">IFERROR(INDEX(Skill!$L:$L, MATCH(DP$4, Skill!$C:$C, 0), 1), "")</f>
        <v>0.95</v>
      </c>
      <c r="DQ11" s="94">
        <f t="array" ref="DQ11">IFERROR(INDEX(Skill!$L:$L, MATCH(DQ$4, Skill!$C:$C, 0), 1), "")</f>
        <v>0.85</v>
      </c>
      <c r="DR11" s="94" t="str">
        <f t="array" ref="DR11">IFERROR(INDEX(Skill!$L:$L, MATCH(DR$4, Skill!$C:$C, 0), 1), "")</f>
        <v/>
      </c>
      <c r="DS11" s="94">
        <f t="array" ref="DS11">IFERROR(INDEX(Skill!$L:$L, MATCH(DS$4, Skill!$C:$C, 0), 1), "")</f>
        <v>0.85</v>
      </c>
      <c r="DT11" s="94">
        <f t="array" ref="DT11">IFERROR(INDEX(Skill!$L:$L, MATCH(DT$4, Skill!$C:$C, 0), 1), "")</f>
        <v>0.9</v>
      </c>
      <c r="DU11" s="94">
        <f t="array" ref="DU11">IFERROR(INDEX(Skill!$L:$L, MATCH(DU$4, Skill!$C:$C, 0), 1), "")</f>
        <v>0.85</v>
      </c>
      <c r="DV11" s="94" t="str">
        <f t="array" ref="DV11">IFERROR(INDEX(Skill!$L:$L, MATCH(DV$4, Skill!$C:$C, 0), 1), "")</f>
        <v/>
      </c>
      <c r="DW11" s="94">
        <f t="array" ref="DW11">IFERROR(INDEX(Skill!$L:$L, MATCH(DW$4, Skill!$C:$C, 0), 1), "")</f>
        <v>0.9</v>
      </c>
      <c r="DX11" s="94">
        <f t="array" ref="DX11">IFERROR(INDEX(Skill!$L:$L, MATCH(DX$4, Skill!$C:$C, 0), 1), "")</f>
        <v>0.9</v>
      </c>
      <c r="DY11" s="94">
        <f t="array" ref="DY11">IFERROR(INDEX(Skill!$L:$L, MATCH(DY$4, Skill!$C:$C, 0), 1), "")</f>
        <v>0.9</v>
      </c>
      <c r="DZ11" s="94">
        <f t="array" ref="DZ11">IFERROR(INDEX(Skill!$L:$L, MATCH(DZ$4, Skill!$C:$C, 0), 1), "")</f>
        <v>0.9</v>
      </c>
      <c r="EA11" s="89">
        <f t="array" ref="EA11">IFERROR(INDEX(Skill!$L:$L, MATCH(EA$4, Skill!$C:$C, 0), 1), "")</f>
        <v>0.9</v>
      </c>
      <c r="EB11" s="89" t="str">
        <f t="array" ref="EB11">IFERROR(INDEX(Skill!$L:$L, MATCH(EB$4, Skill!$C:$C, 0), 1), "")</f>
        <v/>
      </c>
      <c r="EC11" s="89" t="str">
        <f t="array" ref="EC11">IFERROR(INDEX(Skill!$L:$L, MATCH(EC$4, Skill!$C:$C, 0), 1), "")</f>
        <v/>
      </c>
      <c r="ED11" s="94">
        <f t="array" ref="ED11">IFERROR(INDEX(Skill!$L:$L, MATCH(ED$4, Skill!$C:$C, 0), 1), "")</f>
        <v>0.2</v>
      </c>
      <c r="EE11" s="98"/>
      <c r="EF11" s="98"/>
      <c r="EG11" s="98"/>
      <c r="EH11" s="98"/>
      <c r="EI11" s="98"/>
      <c r="EJ11" s="98"/>
      <c r="EK11" s="98"/>
      <c r="EL11" s="98"/>
      <c r="EM11" s="98"/>
      <c r="EN11" s="98"/>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8"/>
      <c r="FO11" s="99"/>
    </row>
    <row r="12" hidden="1">
      <c r="A12" s="3"/>
      <c r="B12" s="90"/>
      <c r="C12" s="90"/>
      <c r="D12" s="90"/>
      <c r="E12" s="90" t="s">
        <v>12</v>
      </c>
      <c r="F12" s="90"/>
      <c r="G12" s="90"/>
      <c r="H12" s="90"/>
      <c r="I12" s="90"/>
      <c r="J12" s="90"/>
      <c r="K12" s="94">
        <f t="array" ref="K12">IFERROR(INDEX(Skill!$N:$N, MATCH(K$4, Skill!$C:$C, 0), 1), "")</f>
        <v>0.9</v>
      </c>
      <c r="L12" s="94">
        <f t="array" ref="L12">IFERROR(INDEX(Skill!$N:$N, MATCH(L$4, Skill!$C:$C, 0), 1), "")</f>
        <v>0.85</v>
      </c>
      <c r="M12" s="94" t="str">
        <f t="array" ref="M12">IFERROR(INDEX(Skill!$N:$N, MATCH(M$4, Skill!$C:$C, 0), 1), "")</f>
        <v/>
      </c>
      <c r="N12" s="94">
        <f t="array" ref="N12">IFERROR(INDEX(Skill!$N:$N, MATCH(N$4, Skill!$C:$C, 0), 1), "")</f>
        <v>0.9</v>
      </c>
      <c r="O12" s="94">
        <f t="array" ref="O12">IFERROR(INDEX(Skill!$N:$N, MATCH(O$4, Skill!$C:$C, 0), 1), "")</f>
        <v>0.8</v>
      </c>
      <c r="P12" s="94" t="str">
        <f t="array" ref="P12">IFERROR(INDEX(Skill!$N:$N, MATCH(P$4, Skill!$C:$C, 0), 1), "")</f>
        <v/>
      </c>
      <c r="Q12" s="94">
        <f t="array" ref="Q12">IFERROR(INDEX(Skill!$N:$N, MATCH(Q$4, Skill!$C:$C, 0), 1), "")</f>
        <v>0.6</v>
      </c>
      <c r="R12" s="94">
        <f t="array" ref="R12">IFERROR(INDEX(Skill!$N:$N, MATCH(R$4, Skill!$C:$C, 0), 1), "")</f>
        <v>0.85</v>
      </c>
      <c r="S12" s="94">
        <f t="array" ref="S12">IFERROR(INDEX(Skill!$N:$N, MATCH(S$4, Skill!$C:$C, 0), 1), "")</f>
        <v>0</v>
      </c>
      <c r="T12" s="94">
        <f t="array" ref="T12">IFERROR(INDEX(Skill!$N:$N, MATCH(T$4, Skill!$C:$C, 0), 1), "")</f>
        <v>0.9</v>
      </c>
      <c r="U12" s="94" t="str">
        <f t="array" ref="U12">IFERROR(INDEX(Skill!$N:$N, MATCH(U$4, Skill!$C:$C, 0), 1), "")</f>
        <v/>
      </c>
      <c r="V12" s="94">
        <f t="array" ref="V12">IFERROR(INDEX(Skill!$N:$N, MATCH(V$4, Skill!$C:$C, 0), 1), "")</f>
        <v>0.9</v>
      </c>
      <c r="W12" s="94">
        <f t="array" ref="W12">IFERROR(INDEX(Skill!$N:$N, MATCH(W$4, Skill!$C:$C, 0), 1), "")</f>
        <v>0.8</v>
      </c>
      <c r="X12" s="94" t="str">
        <f t="array" ref="X12">IFERROR(INDEX(Skill!$N:$N, MATCH(X$4, Skill!$C:$C, 0), 1), "")</f>
        <v/>
      </c>
      <c r="Y12" s="94">
        <f t="array" ref="Y12">IFERROR(INDEX(Skill!$N:$N, MATCH(Y$4, Skill!$C:$C, 0), 1), "")</f>
        <v>0.6</v>
      </c>
      <c r="Z12" s="94">
        <f t="array" ref="Z12">IFERROR(INDEX(Skill!$N:$N, MATCH(Z$4, Skill!$C:$C, 0), 1), "")</f>
        <v>0.9</v>
      </c>
      <c r="AA12" s="94" t="str">
        <f t="array" ref="AA12">IFERROR(INDEX(Skill!$N:$N, MATCH(AA$4, Skill!$C:$C, 0), 1), "")</f>
        <v/>
      </c>
      <c r="AB12" s="94">
        <f t="array" ref="AB12">IFERROR(INDEX(Skill!$N:$N, MATCH(AB$4, Skill!$C:$C, 0), 1), "")</f>
        <v>1</v>
      </c>
      <c r="AC12" s="94">
        <f t="array" ref="AC12">IFERROR(INDEX(Skill!$N:$N, MATCH(AC$4, Skill!$C:$C, 0), 1), "")</f>
        <v>0.9</v>
      </c>
      <c r="AD12" s="94">
        <f t="array" ref="AD12">IFERROR(INDEX(Skill!$N:$N, MATCH(AD$4, Skill!$C:$C, 0), 1), "")</f>
        <v>1</v>
      </c>
      <c r="AE12" s="94" t="str">
        <f t="array" ref="AE12">IFERROR(INDEX(Skill!$N:$N, MATCH(AE$4, Skill!$C:$C, 0), 1), "")</f>
        <v/>
      </c>
      <c r="AF12" s="94">
        <f t="array" ref="AF12">IFERROR(INDEX(Skill!$N:$N, MATCH(AF$4, Skill!$C:$C, 0), 1), "")</f>
        <v>0.9</v>
      </c>
      <c r="AG12" s="94" t="str">
        <f t="array" ref="AG12">IFERROR(INDEX(Skill!$N:$N, MATCH(AG$4, Skill!$C:$C, 0), 1), "")</f>
        <v/>
      </c>
      <c r="AH12" s="94">
        <f t="array" ref="AH12">IFERROR(INDEX(Skill!$N:$N, MATCH(AH$4, Skill!$C:$C, 0), 1), "")</f>
        <v>0.8</v>
      </c>
      <c r="AI12" s="94">
        <f t="array" ref="AI12">IFERROR(INDEX(Skill!$N:$N, MATCH(AI$4, Skill!$C:$C, 0), 1), "")</f>
        <v>1</v>
      </c>
      <c r="AJ12" s="94">
        <f t="array" ref="AJ12">IFERROR(INDEX(Skill!$N:$N, MATCH(AJ$4, Skill!$C:$C, 0), 1), "")</f>
        <v>0.6</v>
      </c>
      <c r="AK12" s="94">
        <f t="array" ref="AK12">IFERROR(INDEX(Skill!$N:$N, MATCH(AK$4, Skill!$C:$C, 0), 1), "")</f>
        <v>1</v>
      </c>
      <c r="AL12" s="94">
        <f t="array" ref="AL12">IFERROR(INDEX(Skill!$N:$N, MATCH(AL$4, Skill!$C:$C, 0), 1), "")</f>
        <v>0.9</v>
      </c>
      <c r="AM12" s="94">
        <f t="array" ref="AM12">IFERROR(INDEX(Skill!$N:$N, MATCH(AM$4, Skill!$C:$C, 0), 1), "")</f>
        <v>1</v>
      </c>
      <c r="AN12" s="94">
        <f t="array" ref="AN12">IFERROR(INDEX(Skill!$N:$N, MATCH(AN$4, Skill!$C:$C, 0), 1), "")</f>
        <v>0.85</v>
      </c>
      <c r="AO12" s="94">
        <f t="array" ref="AO12">IFERROR(INDEX(Skill!$N:$N, MATCH(AO$4, Skill!$C:$C, 0), 1), "")</f>
        <v>0.8</v>
      </c>
      <c r="AP12" s="94">
        <f t="array" ref="AP12">IFERROR(INDEX(Skill!$N:$N, MATCH(AP$4, Skill!$C:$C, 0), 1), "")</f>
        <v>0.9</v>
      </c>
      <c r="AQ12" s="94">
        <f t="array" ref="AQ12">IFERROR(INDEX(Skill!$N:$N, MATCH(AQ$4, Skill!$C:$C, 0), 1), "")</f>
        <v>0.6</v>
      </c>
      <c r="AR12" s="94">
        <f t="array" ref="AR12">IFERROR(INDEX(Skill!$N:$N, MATCH(AR$4, Skill!$C:$C, 0), 1), "")</f>
        <v>0</v>
      </c>
      <c r="AS12" s="94">
        <f t="array" ref="AS12">IFERROR(INDEX(Skill!$N:$N, MATCH(AS$4, Skill!$C:$C, 0), 1), "")</f>
        <v>0.9</v>
      </c>
      <c r="AT12" s="94" t="str">
        <f t="array" ref="AT12">IFERROR(INDEX(Skill!$N:$N, MATCH(AT$4, Skill!$C:$C, 0), 1), "")</f>
        <v/>
      </c>
      <c r="AU12" s="94" t="str">
        <f t="array" ref="AU12">IFERROR(INDEX(Skill!$N:$N, MATCH(AU$4, Skill!$C:$C, 0), 1), "")</f>
        <v/>
      </c>
      <c r="AV12" s="94" t="str">
        <f t="array" ref="AV12">IFERROR(INDEX(Skill!$N:$N, MATCH(AV$4, Skill!$C:$C, 0), 1), "")</f>
        <v/>
      </c>
      <c r="AW12" s="94" t="str">
        <f t="array" ref="AW12">IFERROR(INDEX(Skill!$N:$N, MATCH(AW$4, Skill!$C:$C, 0), 1), "")</f>
        <v/>
      </c>
      <c r="AX12" s="94" t="str">
        <f t="array" ref="AX12">IFERROR(INDEX(Skill!$N:$N, MATCH(AX$4, Skill!$C:$C, 0), 1), "")</f>
        <v/>
      </c>
      <c r="AY12" s="94">
        <f t="array" ref="AY12">IFERROR(INDEX(Skill!$N:$N, MATCH(AY$4, Skill!$C:$C, 0), 1), "")</f>
        <v>0.85</v>
      </c>
      <c r="AZ12" s="94" t="str">
        <f t="array" ref="AZ12">IFERROR(INDEX(Skill!$N:$N, MATCH(AZ$4, Skill!$C:$C, 0), 1), "")</f>
        <v/>
      </c>
      <c r="BA12" s="94" t="str">
        <f t="array" ref="BA12">IFERROR(INDEX(Skill!$N:$N, MATCH(BA$4, Skill!$C:$C, 0), 1), "")</f>
        <v/>
      </c>
      <c r="BB12" s="94" t="str">
        <f t="array" ref="BB12">IFERROR(INDEX(Skill!$N:$N, MATCH(BB$4, Skill!$C:$C, 0), 1), "")</f>
        <v/>
      </c>
      <c r="BC12" s="94" t="str">
        <f t="array" ref="BC12">IFERROR(INDEX(Skill!$N:$N, MATCH(BC$4, Skill!$C:$C, 0), 1), "")</f>
        <v/>
      </c>
      <c r="BD12" s="94" t="str">
        <f t="array" ref="BD12">IFERROR(INDEX(Skill!$N:$N, MATCH(BD$4, Skill!$C:$C, 0), 1), "")</f>
        <v/>
      </c>
      <c r="BE12" s="94">
        <f t="array" ref="BE12">IFERROR(INDEX(Skill!$N:$N, MATCH(BE$4, Skill!$C:$C, 0), 1), "")</f>
        <v>0.9</v>
      </c>
      <c r="BF12" s="94" t="str">
        <f t="array" ref="BF12">IFERROR(INDEX(Skill!$N:$N, MATCH(BF$4, Skill!$C:$C, 0), 1), "")</f>
        <v/>
      </c>
      <c r="BG12" s="94">
        <f t="array" ref="BG12">IFERROR(INDEX(Skill!$N:$N, MATCH(BG$4, Skill!$C:$C, 0), 1), "")</f>
        <v>0.9</v>
      </c>
      <c r="BH12" s="94" t="str">
        <f t="array" ref="BH12">IFERROR(INDEX(Skill!$N:$N, MATCH(BH$4, Skill!$C:$C, 0), 1), "")</f>
        <v/>
      </c>
      <c r="BI12" s="94" t="str">
        <f t="array" ref="BI12">IFERROR(INDEX(Skill!$N:$N, MATCH(BI$4, Skill!$C:$C, 0), 1), "")</f>
        <v/>
      </c>
      <c r="BJ12" s="94" t="str">
        <f t="array" ref="BJ12">IFERROR(INDEX(Skill!$N:$N, MATCH(BJ$4, Skill!$C:$C, 0), 1), "")</f>
        <v/>
      </c>
      <c r="BK12" s="94" t="str">
        <f t="array" ref="BK12">IFERROR(INDEX(Skill!$N:$N, MATCH(BK$4, Skill!$C:$C, 0), 1), "")</f>
        <v/>
      </c>
      <c r="BL12" s="94" t="str">
        <f t="array" ref="BL12">IFERROR(INDEX(Skill!$N:$N, MATCH(BL$4, Skill!$C:$C, 0), 1), "")</f>
        <v/>
      </c>
      <c r="BM12" s="94" t="str">
        <f t="array" ref="BM12">IFERROR(INDEX(Skill!$N:$N, MATCH(BM$4, Skill!$C:$C, 0), 1), "")</f>
        <v/>
      </c>
      <c r="BN12" s="94" t="str">
        <f t="array" ref="BN12">IFERROR(INDEX(Skill!$N:$N, MATCH(BN$4, Skill!$C:$C, 0), 1), "")</f>
        <v/>
      </c>
      <c r="BO12" s="94" t="str">
        <f t="array" ref="BO12">IFERROR(INDEX(Skill!$N:$N, MATCH(BO$4, Skill!$C:$C, 0), 1), "")</f>
        <v/>
      </c>
      <c r="BP12" s="94" t="str">
        <f t="array" ref="BP12">IFERROR(INDEX(Skill!$N:$N, MATCH(BP$4, Skill!$C:$C, 0), 1), "")</f>
        <v/>
      </c>
      <c r="BQ12" s="94">
        <f t="array" ref="BQ12">IFERROR(INDEX(Skill!$N:$N, MATCH(BQ$4, Skill!$C:$C, 0), 1), "")</f>
        <v>0.9</v>
      </c>
      <c r="BR12" s="94" t="str">
        <f t="array" ref="BR12">IFERROR(INDEX(Skill!$N:$N, MATCH(BR$4, Skill!$C:$C, 0), 1), "")</f>
        <v/>
      </c>
      <c r="BS12" s="94" t="str">
        <f t="array" ref="BS12">IFERROR(INDEX(Skill!$N:$N, MATCH(BS$4, Skill!$C:$C, 0), 1), "")</f>
        <v/>
      </c>
      <c r="BT12" s="94" t="str">
        <f t="array" ref="BT12">IFERROR(INDEX(Skill!$N:$N, MATCH(BT$4, Skill!$C:$C, 0), 1), "")</f>
        <v/>
      </c>
      <c r="BU12" s="94">
        <f t="array" ref="BU12">IFERROR(INDEX(Skill!$N:$N, MATCH(BU$4, Skill!$C:$C, 0), 1), "")</f>
        <v>0.9</v>
      </c>
      <c r="BV12" s="94" t="str">
        <f t="array" ref="BV12">IFERROR(INDEX(Skill!$N:$N, MATCH(BV$4, Skill!$C:$C, 0), 1), "")</f>
        <v/>
      </c>
      <c r="BW12" s="94" t="str">
        <f t="array" ref="BW12">IFERROR(INDEX(Skill!$N:$N, MATCH(BW$4, Skill!$C:$C, 0), 1), "")</f>
        <v/>
      </c>
      <c r="BX12" s="94" t="str">
        <f t="array" ref="BX12">IFERROR(INDEX(Skill!$N:$N, MATCH(BX$4, Skill!$C:$C, 0), 1), "")</f>
        <v/>
      </c>
      <c r="BY12" s="94">
        <f t="array" ref="BY12">IFERROR(INDEX(Skill!$N:$N, MATCH(BY$4, Skill!$C:$C, 0), 1), "")</f>
        <v>1</v>
      </c>
      <c r="BZ12" s="94">
        <f t="array" ref="BZ12">IFERROR(INDEX(Skill!$N:$N, MATCH(BZ$4, Skill!$C:$C, 0), 1), "")</f>
        <v>0.9</v>
      </c>
      <c r="CA12" s="94">
        <f t="array" ref="CA12">IFERROR(INDEX(Skill!$N:$N, MATCH(CA$4, Skill!$C:$C, 0), 1), "")</f>
        <v>0.9</v>
      </c>
      <c r="CB12" s="94" t="str">
        <f t="array" ref="CB12">IFERROR(INDEX(Skill!$N:$N, MATCH(CB$4, Skill!$C:$C, 0), 1), "")</f>
        <v/>
      </c>
      <c r="CC12" s="94" t="str">
        <f t="array" ref="CC12">IFERROR(INDEX(Skill!$N:$N, MATCH(CC$4, Skill!$C:$C, 0), 1), "")</f>
        <v/>
      </c>
      <c r="CD12" s="94" t="str">
        <f t="array" ref="CD12">IFERROR(INDEX(Skill!$N:$N, MATCH(CD$4, Skill!$C:$C, 0), 1), "")</f>
        <v/>
      </c>
      <c r="CE12" s="94" t="str">
        <f t="array" ref="CE12">IFERROR(INDEX(Skill!$N:$N, MATCH(CE$4, Skill!$C:$C, 0), 1), "")</f>
        <v/>
      </c>
      <c r="CF12" s="94" t="str">
        <f t="array" ref="CF12">IFERROR(INDEX(Skill!$N:$N, MATCH(CF$4, Skill!$C:$C, 0), 1), "")</f>
        <v/>
      </c>
      <c r="CG12" s="94" t="str">
        <f t="array" ref="CG12">IFERROR(INDEX(Skill!$N:$N, MATCH(CG$4, Skill!$C:$C, 0), 1), "")</f>
        <v/>
      </c>
      <c r="CH12" s="94" t="str">
        <f t="array" ref="CH12">IFERROR(INDEX(Skill!$N:$N, MATCH(CH$4, Skill!$C:$C, 0), 1), "")</f>
        <v/>
      </c>
      <c r="CI12" s="94" t="str">
        <f t="array" ref="CI12">IFERROR(INDEX(Skill!$N:$N, MATCH(CI$4, Skill!$C:$C, 0), 1), "")</f>
        <v/>
      </c>
      <c r="CJ12" s="94" t="str">
        <f t="array" ref="CJ12">IFERROR(INDEX(Skill!$N:$N, MATCH(CJ$4, Skill!$C:$C, 0), 1), "")</f>
        <v/>
      </c>
      <c r="CK12" s="94" t="str">
        <f t="array" ref="CK12">IFERROR(INDEX(Skill!$N:$N, MATCH(CK$4, Skill!$C:$C, 0), 1), "")</f>
        <v/>
      </c>
      <c r="CL12" s="94" t="str">
        <f t="array" ref="CL12">IFERROR(INDEX(Skill!$N:$N, MATCH(CL$4, Skill!$C:$C, 0), 1), "")</f>
        <v/>
      </c>
      <c r="CM12" s="94" t="str">
        <f t="array" ref="CM12">IFERROR(INDEX(Skill!$N:$N, MATCH(CM$4, Skill!$C:$C, 0), 1), "")</f>
        <v/>
      </c>
      <c r="CN12" s="94" t="str">
        <f t="array" ref="CN12">IFERROR(INDEX(Skill!$N:$N, MATCH(CN$4, Skill!$C:$C, 0), 1), "")</f>
        <v/>
      </c>
      <c r="CO12" s="94" t="str">
        <f t="array" ref="CO12">IFERROR(INDEX(Skill!$N:$N, MATCH(CO$4, Skill!$C:$C, 0), 1), "")</f>
        <v/>
      </c>
      <c r="CP12" s="94" t="str">
        <f t="array" ref="CP12">IFERROR(INDEX(Skill!$N:$N, MATCH(CP$4, Skill!$C:$C, 0), 1), "")</f>
        <v/>
      </c>
      <c r="CQ12" s="94" t="str">
        <f t="array" ref="CQ12">IFERROR(INDEX(Skill!$N:$N, MATCH(CQ$4, Skill!$C:$C, 0), 1), "")</f>
        <v/>
      </c>
      <c r="CR12" s="94" t="str">
        <f t="array" ref="CR12">IFERROR(INDEX(Skill!$N:$N, MATCH(CR$4, Skill!$C:$C, 0), 1), "")</f>
        <v/>
      </c>
      <c r="CS12" s="94" t="str">
        <f t="array" ref="CS12">IFERROR(INDEX(Skill!$N:$N, MATCH(CS$4, Skill!$C:$C, 0), 1), "")</f>
        <v/>
      </c>
      <c r="CT12" s="94">
        <f t="array" ref="CT12">IFERROR(INDEX(Skill!$N:$N, MATCH(CT$4, Skill!$C:$C, 0), 1), "")</f>
        <v>0.9</v>
      </c>
      <c r="CU12" s="94">
        <f t="array" ref="CU12">IFERROR(INDEX(Skill!$N:$N, MATCH(CU$4, Skill!$C:$C, 0), 1), "")</f>
        <v>0.9</v>
      </c>
      <c r="CV12" s="94" t="str">
        <f t="array" ref="CV12">IFERROR(INDEX(Skill!$N:$N, MATCH(CV$4, Skill!$C:$C, 0), 1), "")</f>
        <v/>
      </c>
      <c r="CW12" s="94" t="str">
        <f t="array" ref="CW12">IFERROR(INDEX(Skill!$N:$N, MATCH(CW$4, Skill!$C:$C, 0), 1), "")</f>
        <v/>
      </c>
      <c r="CX12" s="94" t="str">
        <f t="array" ref="CX12">IFERROR(INDEX(Skill!$N:$N, MATCH(CX$4, Skill!$C:$C, 0), 1), "")</f>
        <v/>
      </c>
      <c r="CY12" s="94" t="str">
        <f t="array" ref="CY12">IFERROR(INDEX(Skill!$N:$N, MATCH(CY$4, Skill!$C:$C, 0), 1), "")</f>
        <v/>
      </c>
      <c r="CZ12" s="94" t="str">
        <f t="array" ref="CZ12">IFERROR(INDEX(Skill!$N:$N, MATCH(CZ$4, Skill!$C:$C, 0), 1), "")</f>
        <v/>
      </c>
      <c r="DA12" s="94" t="str">
        <f t="array" ref="DA12">IFERROR(INDEX(Skill!$N:$N, MATCH(DA$4, Skill!$C:$C, 0), 1), "")</f>
        <v/>
      </c>
      <c r="DB12" s="94" t="str">
        <f t="array" ref="DB12">IFERROR(INDEX(Skill!$N:$N, MATCH(DB$4, Skill!$C:$C, 0), 1), "")</f>
        <v/>
      </c>
      <c r="DC12" s="94" t="str">
        <f t="array" ref="DC12">IFERROR(INDEX(Skill!$N:$N, MATCH(DC$4, Skill!$C:$C, 0), 1), "")</f>
        <v/>
      </c>
      <c r="DD12" s="94" t="str">
        <f t="array" ref="DD12">IFERROR(INDEX(Skill!$N:$N, MATCH(DD$4, Skill!$C:$C, 0), 1), "")</f>
        <v/>
      </c>
      <c r="DE12" s="94">
        <f t="array" ref="DE12">IFERROR(INDEX(Skill!$N:$N, MATCH(DE$4, Skill!$C:$C, 0), 1), "")</f>
        <v>0.9</v>
      </c>
      <c r="DF12" s="94" t="str">
        <f t="array" ref="DF12">IFERROR(INDEX(Skill!$N:$N, MATCH(DF$4, Skill!$C:$C, 0), 1), "")</f>
        <v/>
      </c>
      <c r="DG12" s="94" t="str">
        <f t="array" ref="DG12">IFERROR(INDEX(Skill!$N:$N, MATCH(DG$4, Skill!$C:$C, 0), 1), "")</f>
        <v/>
      </c>
      <c r="DH12" s="94" t="str">
        <f t="array" ref="DH12">IFERROR(INDEX(Skill!$N:$N, MATCH(DH$4, Skill!$C:$C, 0), 1), "")</f>
        <v/>
      </c>
      <c r="DI12" s="94" t="str">
        <f t="array" ref="DI12">IFERROR(INDEX(Skill!$N:$N, MATCH(DI$4, Skill!$C:$C, 0), 1), "")</f>
        <v/>
      </c>
      <c r="DJ12" s="94">
        <f t="array" ref="DJ12">IFERROR(INDEX(Skill!$N:$N, MATCH(DJ$4, Skill!$C:$C, 0), 1), "")</f>
        <v>1</v>
      </c>
      <c r="DK12" s="94" t="str">
        <f t="array" ref="DK12">IFERROR(INDEX(Skill!$N:$N, MATCH(DK$4, Skill!$C:$C, 0), 1), "")</f>
        <v/>
      </c>
      <c r="DL12" s="94">
        <f t="array" ref="DL12">IFERROR(INDEX(Skill!$N:$N, MATCH(DL$4, Skill!$C:$C, 0), 1), "")</f>
        <v>1</v>
      </c>
      <c r="DM12" s="94">
        <f t="array" ref="DM12">IFERROR(INDEX(Skill!$N:$N, MATCH(DM$4, Skill!$C:$C, 0), 1), "")</f>
        <v>1</v>
      </c>
      <c r="DN12" s="94">
        <f t="array" ref="DN12">IFERROR(INDEX(Skill!$N:$N, MATCH(DN$4, Skill!$C:$C, 0), 1), "")</f>
        <v>1</v>
      </c>
      <c r="DO12" s="94">
        <f t="array" ref="DO12">IFERROR(INDEX(Skill!$N:$N, MATCH(DO$4, Skill!$C:$C, 0), 1), "")</f>
        <v>1</v>
      </c>
      <c r="DP12" s="94">
        <f t="array" ref="DP12">IFERROR(INDEX(Skill!$N:$N, MATCH(DP$4, Skill!$C:$C, 0), 1), "")</f>
        <v>1</v>
      </c>
      <c r="DQ12" s="94">
        <f t="array" ref="DQ12">IFERROR(INDEX(Skill!$N:$N, MATCH(DQ$4, Skill!$C:$C, 0), 1), "")</f>
        <v>0.85</v>
      </c>
      <c r="DR12" s="94" t="str">
        <f t="array" ref="DR12">IFERROR(INDEX(Skill!$N:$N, MATCH(DR$4, Skill!$C:$C, 0), 1), "")</f>
        <v/>
      </c>
      <c r="DS12" s="94">
        <f t="array" ref="DS12">IFERROR(INDEX(Skill!$N:$N, MATCH(DS$4, Skill!$C:$C, 0), 1), "")</f>
        <v>0.85</v>
      </c>
      <c r="DT12" s="94">
        <f t="array" ref="DT12">IFERROR(INDEX(Skill!$N:$N, MATCH(DT$4, Skill!$C:$C, 0), 1), "")</f>
        <v>0.9</v>
      </c>
      <c r="DU12" s="94">
        <f t="array" ref="DU12">IFERROR(INDEX(Skill!$N:$N, MATCH(DU$4, Skill!$C:$C, 0), 1), "")</f>
        <v>0.85</v>
      </c>
      <c r="DV12" s="94" t="str">
        <f t="array" ref="DV12">IFERROR(INDEX(Skill!$N:$N, MATCH(DV$4, Skill!$C:$C, 0), 1), "")</f>
        <v/>
      </c>
      <c r="DW12" s="94">
        <f t="array" ref="DW12">IFERROR(INDEX(Skill!$N:$N, MATCH(DW$4, Skill!$C:$C, 0), 1), "")</f>
        <v>1</v>
      </c>
      <c r="DX12" s="94">
        <f t="array" ref="DX12">IFERROR(INDEX(Skill!$N:$N, MATCH(DX$4, Skill!$C:$C, 0), 1), "")</f>
        <v>1</v>
      </c>
      <c r="DY12" s="94">
        <f t="array" ref="DY12">IFERROR(INDEX(Skill!$N:$N, MATCH(DY$4, Skill!$C:$C, 0), 1), "")</f>
        <v>1</v>
      </c>
      <c r="DZ12" s="94">
        <f t="array" ref="DZ12">IFERROR(INDEX(Skill!$N:$N, MATCH(DZ$4, Skill!$C:$C, 0), 1), "")</f>
        <v>1</v>
      </c>
      <c r="EA12" s="89">
        <f t="array" ref="EA12">IFERROR(INDEX(Skill!$N:$N, MATCH(EA$4, Skill!$C:$C, 0), 1), "")</f>
        <v>1</v>
      </c>
      <c r="EB12" s="89" t="str">
        <f t="array" ref="EB12">IFERROR(INDEX(Skill!$N:$N, MATCH(EB$4, Skill!$C:$C, 0), 1), "")</f>
        <v/>
      </c>
      <c r="EC12" s="89" t="str">
        <f t="array" ref="EC12">IFERROR(INDEX(Skill!$N:$N, MATCH(EC$4, Skill!$C:$C, 0), 1), "")</f>
        <v/>
      </c>
      <c r="ED12" s="94">
        <f t="array" ref="ED12">IFERROR(INDEX(Skill!$N:$N, MATCH(ED$4, Skill!$C:$C, 0), 1), "")</f>
        <v>0.2</v>
      </c>
      <c r="EE12" s="98"/>
      <c r="EF12" s="98"/>
      <c r="EG12" s="98"/>
      <c r="EH12" s="98"/>
      <c r="EI12" s="98"/>
      <c r="EJ12" s="98"/>
      <c r="EK12" s="98"/>
      <c r="EL12" s="98"/>
      <c r="EM12" s="98"/>
      <c r="EN12" s="98"/>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8"/>
      <c r="FO12" s="99"/>
    </row>
    <row r="13" hidden="1">
      <c r="A13" s="3"/>
      <c r="B13" s="90"/>
      <c r="C13" s="90"/>
      <c r="D13" s="90"/>
      <c r="E13" s="90" t="s">
        <v>22</v>
      </c>
      <c r="F13" s="90"/>
      <c r="G13" s="90"/>
      <c r="H13" s="90"/>
      <c r="I13" s="90"/>
      <c r="J13" s="90"/>
      <c r="K13" s="94" t="str">
        <f t="array" ref="K13">IFERROR(INDEX(Skill!$AE:$AE, MATCH(K$4, Skill!$C:$C, 0), 1), "")</f>
        <v/>
      </c>
      <c r="L13" s="94" t="str">
        <f t="array" ref="L13">IFERROR(INDEX(Skill!$AE:$AE, MATCH(L$4, Skill!$C:$C, 0), 1), "")</f>
        <v/>
      </c>
      <c r="M13" s="94" t="str">
        <f t="array" ref="M13">IFERROR(INDEX(Skill!$AE:$AE, MATCH(M$4, Skill!$C:$C, 0), 1), "")</f>
        <v/>
      </c>
      <c r="N13" s="94" t="str">
        <f t="array" ref="N13">IFERROR(INDEX(Skill!$AE:$AE, MATCH(N$4, Skill!$C:$C, 0), 1), "")</f>
        <v/>
      </c>
      <c r="O13" s="94" t="str">
        <f t="array" ref="O13">IFERROR(INDEX(Skill!$AE:$AE, MATCH(O$4, Skill!$C:$C, 0), 1), "")</f>
        <v>SELF_AFFECTED_ALL</v>
      </c>
      <c r="P13" s="94" t="str">
        <f t="array" ref="P13">IFERROR(INDEX(Skill!$AE:$AE, MATCH(P$4, Skill!$C:$C, 0), 1), "")</f>
        <v/>
      </c>
      <c r="Q13" s="94" t="str">
        <f t="array" ref="Q13">IFERROR(INDEX(Skill!$AE:$AE, MATCH(Q$4, Skill!$C:$C, 0), 1), "")</f>
        <v/>
      </c>
      <c r="R13" s="94" t="str">
        <f t="array" ref="R13">IFERROR(INDEX(Skill!$AE:$AE, MATCH(R$4, Skill!$C:$C, 0), 1), "")</f>
        <v/>
      </c>
      <c r="S13" s="94" t="str">
        <f t="array" ref="S13">IFERROR(INDEX(Skill!$AE:$AE, MATCH(S$4, Skill!$C:$C, 0), 1), "")</f>
        <v/>
      </c>
      <c r="T13" s="94" t="str">
        <f t="array" ref="T13">IFERROR(INDEX(Skill!$AE:$AE, MATCH(T$4, Skill!$C:$C, 0), 1), "")</f>
        <v/>
      </c>
      <c r="U13" s="94" t="str">
        <f t="array" ref="U13">IFERROR(INDEX(Skill!$AE:$AE, MATCH(U$4, Skill!$C:$C, 0), 1), "")</f>
        <v/>
      </c>
      <c r="V13" s="94" t="str">
        <f t="array" ref="V13">IFERROR(INDEX(Skill!$AE:$AE, MATCH(V$4, Skill!$C:$C, 0), 1), "")</f>
        <v/>
      </c>
      <c r="W13" s="94" t="str">
        <f t="array" ref="W13">IFERROR(INDEX(Skill!$AE:$AE, MATCH(W$4, Skill!$C:$C, 0), 1), "")</f>
        <v>SELF_AFFECTED_ALL</v>
      </c>
      <c r="X13" s="94" t="str">
        <f t="array" ref="X13">IFERROR(INDEX(Skill!$AE:$AE, MATCH(X$4, Skill!$C:$C, 0), 1), "")</f>
        <v>SELF_AFFECTED_ALL</v>
      </c>
      <c r="Y13" s="94" t="str">
        <f t="array" ref="Y13">IFERROR(INDEX(Skill!$AE:$AE, MATCH(Y$4, Skill!$C:$C, 0), 1), "")</f>
        <v/>
      </c>
      <c r="Z13" s="94" t="str">
        <f t="array" ref="Z13">IFERROR(INDEX(Skill!$AE:$AE, MATCH(Z$4, Skill!$C:$C, 0), 1), "")</f>
        <v/>
      </c>
      <c r="AA13" s="94" t="str">
        <f t="array" ref="AA13">IFERROR(INDEX(Skill!$AE:$AE, MATCH(AA$4, Skill!$C:$C, 0), 1), "")</f>
        <v/>
      </c>
      <c r="AB13" s="94" t="str">
        <f t="array" ref="AB13">IFERROR(INDEX(Skill!$AE:$AE, MATCH(AB$4, Skill!$C:$C, 0), 1), "")</f>
        <v/>
      </c>
      <c r="AC13" s="94" t="str">
        <f t="array" ref="AC13">IFERROR(INDEX(Skill!$AE:$AE, MATCH(AC$4, Skill!$C:$C, 0), 1), "")</f>
        <v/>
      </c>
      <c r="AD13" s="94" t="str">
        <f t="array" ref="AD13">IFERROR(INDEX(Skill!$AE:$AE, MATCH(AD$4, Skill!$C:$C, 0), 1), "")</f>
        <v/>
      </c>
      <c r="AE13" s="94" t="str">
        <f t="array" ref="AE13">IFERROR(INDEX(Skill!$AE:$AE, MATCH(AE$4, Skill!$C:$C, 0), 1), "")</f>
        <v/>
      </c>
      <c r="AF13" s="94" t="str">
        <f t="array" ref="AF13">IFERROR(INDEX(Skill!$AE:$AE, MATCH(AF$4, Skill!$C:$C, 0), 1), "")</f>
        <v/>
      </c>
      <c r="AG13" s="94" t="str">
        <f t="array" ref="AG13">IFERROR(INDEX(Skill!$AE:$AE, MATCH(AG$4, Skill!$C:$C, 0), 1), "")</f>
        <v/>
      </c>
      <c r="AH13" s="94" t="str">
        <f t="array" ref="AH13">IFERROR(INDEX(Skill!$AE:$AE, MATCH(AH$4, Skill!$C:$C, 0), 1), "")</f>
        <v>SELF_AFFECTED_ALL</v>
      </c>
      <c r="AI13" s="94" t="str">
        <f t="array" ref="AI13">IFERROR(INDEX(Skill!$AE:$AE, MATCH(AI$4, Skill!$C:$C, 0), 1), "")</f>
        <v/>
      </c>
      <c r="AJ13" s="94" t="str">
        <f t="array" ref="AJ13">IFERROR(INDEX(Skill!$AE:$AE, MATCH(AJ$4, Skill!$C:$C, 0), 1), "")</f>
        <v/>
      </c>
      <c r="AK13" s="94" t="str">
        <f t="array" ref="AK13">IFERROR(INDEX(Skill!$AE:$AE, MATCH(AK$4, Skill!$C:$C, 0), 1), "")</f>
        <v/>
      </c>
      <c r="AL13" s="94" t="str">
        <f t="array" ref="AL13">IFERROR(INDEX(Skill!$AE:$AE, MATCH(AL$4, Skill!$C:$C, 0), 1), "")</f>
        <v/>
      </c>
      <c r="AM13" s="94" t="str">
        <f t="array" ref="AM13">IFERROR(INDEX(Skill!$AE:$AE, MATCH(AM$4, Skill!$C:$C, 0), 1), "")</f>
        <v/>
      </c>
      <c r="AN13" s="94" t="str">
        <f t="array" ref="AN13">IFERROR(INDEX(Skill!$AE:$AE, MATCH(AN$4, Skill!$C:$C, 0), 1), "")</f>
        <v/>
      </c>
      <c r="AO13" s="94" t="str">
        <f t="array" ref="AO13">IFERROR(INDEX(Skill!$AE:$AE, MATCH(AO$4, Skill!$C:$C, 0), 1), "")</f>
        <v>SELF_AFFECTED_ALL</v>
      </c>
      <c r="AP13" s="94" t="str">
        <f t="array" ref="AP13">IFERROR(INDEX(Skill!$AE:$AE, MATCH(AP$4, Skill!$C:$C, 0), 1), "")</f>
        <v/>
      </c>
      <c r="AQ13" s="94" t="str">
        <f t="array" ref="AQ13">IFERROR(INDEX(Skill!$AE:$AE, MATCH(AQ$4, Skill!$C:$C, 0), 1), "")</f>
        <v/>
      </c>
      <c r="AR13" s="94" t="str">
        <f t="array" ref="AR13">IFERROR(INDEX(Skill!$AE:$AE, MATCH(AR$4, Skill!$C:$C, 0), 1), "")</f>
        <v/>
      </c>
      <c r="AS13" s="94" t="str">
        <f t="array" ref="AS13">IFERROR(INDEX(Skill!$AE:$AE, MATCH(AS$4, Skill!$C:$C, 0), 1), "")</f>
        <v>SELF_EFFECTED_GCD</v>
      </c>
      <c r="AT13" s="94" t="str">
        <f t="array" ref="AT13">IFERROR(INDEX(Skill!$AE:$AE, MATCH(AT$4, Skill!$C:$C, 0), 1), "")</f>
        <v/>
      </c>
      <c r="AU13" s="94" t="str">
        <f t="array" ref="AU13">IFERROR(INDEX(Skill!$AE:$AE, MATCH(AU$4, Skill!$C:$C, 0), 1), "")</f>
        <v>RANGE_AFFECTED_GCD</v>
      </c>
      <c r="AV13" s="94" t="str">
        <f t="array" ref="AV13">IFERROR(INDEX(Skill!$AE:$AE, MATCH(AV$4, Skill!$C:$C, 0), 1), "")</f>
        <v>RANGE_AFFECTED_ALL</v>
      </c>
      <c r="AW13" s="94" t="str">
        <f t="array" ref="AW13">IFERROR(INDEX(Skill!$AE:$AE, MATCH(AW$4, Skill!$C:$C, 0), 1), "")</f>
        <v/>
      </c>
      <c r="AX13" s="94" t="str">
        <f t="array" ref="AX13">IFERROR(INDEX(Skill!$AE:$AE, MATCH(AX$4, Skill!$C:$C, 0), 1), "")</f>
        <v/>
      </c>
      <c r="AY13" s="94" t="str">
        <f t="array" ref="AY13">IFERROR(INDEX(Skill!$AE:$AE, MATCH(AY$4, Skill!$C:$C, 0), 1), "")</f>
        <v/>
      </c>
      <c r="AZ13" s="94" t="str">
        <f t="array" ref="AZ13">IFERROR(INDEX(Skill!$AE:$AE, MATCH(AZ$4, Skill!$C:$C, 0), 1), "")</f>
        <v/>
      </c>
      <c r="BA13" s="94" t="str">
        <f t="array" ref="BA13">IFERROR(INDEX(Skill!$AE:$AE, MATCH(BA$4, Skill!$C:$C, 0), 1), "")</f>
        <v/>
      </c>
      <c r="BB13" s="94" t="str">
        <f t="array" ref="BB13">IFERROR(INDEX(Skill!$AE:$AE, MATCH(BB$4, Skill!$C:$C, 0), 1), "")</f>
        <v/>
      </c>
      <c r="BC13" s="94" t="str">
        <f t="array" ref="BC13">IFERROR(INDEX(Skill!$AE:$AE, MATCH(BC$4, Skill!$C:$C, 0), 1), "")</f>
        <v/>
      </c>
      <c r="BD13" s="94" t="str">
        <f t="array" ref="BD13">IFERROR(INDEX(Skill!$AE:$AE, MATCH(BD$4, Skill!$C:$C, 0), 1), "")</f>
        <v/>
      </c>
      <c r="BE13" s="94" t="str">
        <f t="array" ref="BE13">IFERROR(INDEX(Skill!$AE:$AE, MATCH(BE$4, Skill!$C:$C, 0), 1), "")</f>
        <v/>
      </c>
      <c r="BF13" s="94" t="str">
        <f t="array" ref="BF13">IFERROR(INDEX(Skill!$AE:$AE, MATCH(BF$4, Skill!$C:$C, 0), 1), "")</f>
        <v>SELF_EFFECTED_GCD</v>
      </c>
      <c r="BG13" s="94" t="str">
        <f t="array" ref="BG13">IFERROR(INDEX(Skill!$AE:$AE, MATCH(BG$4, Skill!$C:$C, 0), 1), "")</f>
        <v/>
      </c>
      <c r="BH13" s="94" t="str">
        <f t="array" ref="BH13">IFERROR(INDEX(Skill!$AE:$AE, MATCH(BH$4, Skill!$C:$C, 0), 1), "")</f>
        <v/>
      </c>
      <c r="BI13" s="94" t="str">
        <f t="array" ref="BI13">IFERROR(INDEX(Skill!$AE:$AE, MATCH(BI$4, Skill!$C:$C, 0), 1), "")</f>
        <v/>
      </c>
      <c r="BJ13" s="94" t="str">
        <f t="array" ref="BJ13">IFERROR(INDEX(Skill!$AE:$AE, MATCH(BJ$4, Skill!$C:$C, 0), 1), "")</f>
        <v/>
      </c>
      <c r="BK13" s="94" t="str">
        <f t="array" ref="BK13">IFERROR(INDEX(Skill!$AE:$AE, MATCH(BK$4, Skill!$C:$C, 0), 1), "")</f>
        <v/>
      </c>
      <c r="BL13" s="94" t="str">
        <f t="array" ref="BL13">IFERROR(INDEX(Skill!$AE:$AE, MATCH(BL$4, Skill!$C:$C, 0), 1), "")</f>
        <v/>
      </c>
      <c r="BM13" s="94" t="str">
        <f t="array" ref="BM13">IFERROR(INDEX(Skill!$AE:$AE, MATCH(BM$4, Skill!$C:$C, 0), 1), "")</f>
        <v/>
      </c>
      <c r="BN13" s="94" t="str">
        <f t="array" ref="BN13">IFERROR(INDEX(Skill!$AE:$AE, MATCH(BN$4, Skill!$C:$C, 0), 1), "")</f>
        <v/>
      </c>
      <c r="BO13" s="94" t="str">
        <f t="array" ref="BO13">IFERROR(INDEX(Skill!$AE:$AE, MATCH(BO$4, Skill!$C:$C, 0), 1), "")</f>
        <v>SINGLE_AFFECTED_ALL</v>
      </c>
      <c r="BP13" s="94" t="str">
        <f t="array" ref="BP13">IFERROR(INDEX(Skill!$AE:$AE, MATCH(BP$4, Skill!$C:$C, 0), 1), "")</f>
        <v/>
      </c>
      <c r="BQ13" s="94" t="str">
        <f t="array" ref="BQ13">IFERROR(INDEX(Skill!$AE:$AE, MATCH(BQ$4, Skill!$C:$C, 0), 1), "")</f>
        <v/>
      </c>
      <c r="BR13" s="94" t="str">
        <f t="array" ref="BR13">IFERROR(INDEX(Skill!$AE:$AE, MATCH(BR$4, Skill!$C:$C, 0), 1), "")</f>
        <v/>
      </c>
      <c r="BS13" s="94" t="str">
        <f t="array" ref="BS13">IFERROR(INDEX(Skill!$AE:$AE, MATCH(BS$4, Skill!$C:$C, 0), 1), "")</f>
        <v/>
      </c>
      <c r="BT13" s="94" t="str">
        <f t="array" ref="BT13">IFERROR(INDEX(Skill!$AE:$AE, MATCH(BT$4, Skill!$C:$C, 0), 1), "")</f>
        <v/>
      </c>
      <c r="BU13" s="94" t="str">
        <f t="array" ref="BU13">IFERROR(INDEX(Skill!$AE:$AE, MATCH(BU$4, Skill!$C:$C, 0), 1), "")</f>
        <v/>
      </c>
      <c r="BV13" s="94" t="str">
        <f t="array" ref="BV13">IFERROR(INDEX(Skill!$AE:$AE, MATCH(BV$4, Skill!$C:$C, 0), 1), "")</f>
        <v/>
      </c>
      <c r="BW13" s="94" t="str">
        <f t="array" ref="BW13">IFERROR(INDEX(Skill!$AE:$AE, MATCH(BW$4, Skill!$C:$C, 0), 1), "")</f>
        <v/>
      </c>
      <c r="BX13" s="94" t="str">
        <f t="array" ref="BX13">IFERROR(INDEX(Skill!$AE:$AE, MATCH(BX$4, Skill!$C:$C, 0), 1), "")</f>
        <v/>
      </c>
      <c r="BY13" s="94" t="str">
        <f t="array" ref="BY13">IFERROR(INDEX(Skill!$AE:$AE, MATCH(BY$4, Skill!$C:$C, 0), 1), "")</f>
        <v>RANGE_AFFECTED_GCD</v>
      </c>
      <c r="BZ13" s="94" t="str">
        <f t="array" ref="BZ13">IFERROR(INDEX(Skill!$AE:$AE, MATCH(BZ$4, Skill!$C:$C, 0), 1), "")</f>
        <v/>
      </c>
      <c r="CA13" s="94" t="str">
        <f t="array" ref="CA13">IFERROR(INDEX(Skill!$AE:$AE, MATCH(CA$4, Skill!$C:$C, 0), 1), "")</f>
        <v/>
      </c>
      <c r="CB13" s="94" t="str">
        <f t="array" ref="CB13">IFERROR(INDEX(Skill!$AE:$AE, MATCH(CB$4, Skill!$C:$C, 0), 1), "")</f>
        <v/>
      </c>
      <c r="CC13" s="94" t="str">
        <f t="array" ref="CC13">IFERROR(INDEX(Skill!$AE:$AE, MATCH(CC$4, Skill!$C:$C, 0), 1), "")</f>
        <v/>
      </c>
      <c r="CD13" s="94" t="str">
        <f t="array" ref="CD13">IFERROR(INDEX(Skill!$AE:$AE, MATCH(CD$4, Skill!$C:$C, 0), 1), "")</f>
        <v/>
      </c>
      <c r="CE13" s="94" t="str">
        <f t="array" ref="CE13">IFERROR(INDEX(Skill!$AE:$AE, MATCH(CE$4, Skill!$C:$C, 0), 1), "")</f>
        <v/>
      </c>
      <c r="CF13" s="94" t="str">
        <f t="array" ref="CF13">IFERROR(INDEX(Skill!$AE:$AE, MATCH(CF$4, Skill!$C:$C, 0), 1), "")</f>
        <v/>
      </c>
      <c r="CG13" s="94" t="str">
        <f t="array" ref="CG13">IFERROR(INDEX(Skill!$AE:$AE, MATCH(CG$4, Skill!$C:$C, 0), 1), "")</f>
        <v/>
      </c>
      <c r="CH13" s="94" t="str">
        <f t="array" ref="CH13">IFERROR(INDEX(Skill!$AE:$AE, MATCH(CH$4, Skill!$C:$C, 0), 1), "")</f>
        <v/>
      </c>
      <c r="CI13" s="94" t="str">
        <f t="array" ref="CI13">IFERROR(INDEX(Skill!$AE:$AE, MATCH(CI$4, Skill!$C:$C, 0), 1), "")</f>
        <v>SELF_EFFECTED_GCD</v>
      </c>
      <c r="CJ13" s="94" t="str">
        <f t="array" ref="CJ13">IFERROR(INDEX(Skill!$AE:$AE, MATCH(CJ$4, Skill!$C:$C, 0), 1), "")</f>
        <v/>
      </c>
      <c r="CK13" s="94" t="str">
        <f t="array" ref="CK13">IFERROR(INDEX(Skill!$AE:$AE, MATCH(CK$4, Skill!$C:$C, 0), 1), "")</f>
        <v/>
      </c>
      <c r="CL13" s="94" t="str">
        <f t="array" ref="CL13">IFERROR(INDEX(Skill!$AE:$AE, MATCH(CL$4, Skill!$C:$C, 0), 1), "")</f>
        <v/>
      </c>
      <c r="CM13" s="94" t="str">
        <f t="array" ref="CM13">IFERROR(INDEX(Skill!$AE:$AE, MATCH(CM$4, Skill!$C:$C, 0), 1), "")</f>
        <v/>
      </c>
      <c r="CN13" s="94" t="str">
        <f t="array" ref="CN13">IFERROR(INDEX(Skill!$AE:$AE, MATCH(CN$4, Skill!$C:$C, 0), 1), "")</f>
        <v/>
      </c>
      <c r="CO13" s="94" t="str">
        <f t="array" ref="CO13">IFERROR(INDEX(Skill!$AE:$AE, MATCH(CO$4, Skill!$C:$C, 0), 1), "")</f>
        <v/>
      </c>
      <c r="CP13" s="94" t="str">
        <f t="array" ref="CP13">IFERROR(INDEX(Skill!$AE:$AE, MATCH(CP$4, Skill!$C:$C, 0), 1), "")</f>
        <v/>
      </c>
      <c r="CQ13" s="94" t="str">
        <f t="array" ref="CQ13">IFERROR(INDEX(Skill!$AE:$AE, MATCH(CQ$4, Skill!$C:$C, 0), 1), "")</f>
        <v/>
      </c>
      <c r="CR13" s="94" t="str">
        <f t="array" ref="CR13">IFERROR(INDEX(Skill!$AE:$AE, MATCH(CR$4, Skill!$C:$C, 0), 1), "")</f>
        <v/>
      </c>
      <c r="CS13" s="94" t="str">
        <f t="array" ref="CS13">IFERROR(INDEX(Skill!$AE:$AE, MATCH(CS$4, Skill!$C:$C, 0), 1), "")</f>
        <v/>
      </c>
      <c r="CT13" s="94" t="str">
        <f t="array" ref="CT13">IFERROR(INDEX(Skill!$AE:$AE, MATCH(CT$4, Skill!$C:$C, 0), 1), "")</f>
        <v/>
      </c>
      <c r="CU13" s="94" t="str">
        <f t="array" ref="CU13">IFERROR(INDEX(Skill!$AE:$AE, MATCH(CU$4, Skill!$C:$C, 0), 1), "")</f>
        <v/>
      </c>
      <c r="CV13" s="94" t="str">
        <f t="array" ref="CV13">IFERROR(INDEX(Skill!$AE:$AE, MATCH(CV$4, Skill!$C:$C, 0), 1), "")</f>
        <v/>
      </c>
      <c r="CW13" s="94" t="str">
        <f t="array" ref="CW13">IFERROR(INDEX(Skill!$AE:$AE, MATCH(CW$4, Skill!$C:$C, 0), 1), "")</f>
        <v/>
      </c>
      <c r="CX13" s="94" t="str">
        <f t="array" ref="CX13">IFERROR(INDEX(Skill!$AE:$AE, MATCH(CX$4, Skill!$C:$C, 0), 1), "")</f>
        <v>SELF_EFFECTED_GCD</v>
      </c>
      <c r="CY13" s="94" t="str">
        <f t="array" ref="CY13">IFERROR(INDEX(Skill!$AE:$AE, MATCH(CY$4, Skill!$C:$C, 0), 1), "")</f>
        <v>RANGE_AFFECTED_ALL</v>
      </c>
      <c r="CZ13" s="94" t="str">
        <f t="array" ref="CZ13">IFERROR(INDEX(Skill!$AE:$AE, MATCH(CZ$4, Skill!$C:$C, 0), 1), "")</f>
        <v/>
      </c>
      <c r="DA13" s="94" t="str">
        <f t="array" ref="DA13">IFERROR(INDEX(Skill!$AE:$AE, MATCH(DA$4, Skill!$C:$C, 0), 1), "")</f>
        <v/>
      </c>
      <c r="DB13" s="94" t="str">
        <f t="array" ref="DB13">IFERROR(INDEX(Skill!$AE:$AE, MATCH(DB$4, Skill!$C:$C, 0), 1), "")</f>
        <v/>
      </c>
      <c r="DC13" s="94" t="str">
        <f t="array" ref="DC13">IFERROR(INDEX(Skill!$AE:$AE, MATCH(DC$4, Skill!$C:$C, 0), 1), "")</f>
        <v>SELF_EFFECTED_GCD</v>
      </c>
      <c r="DD13" s="94" t="str">
        <f t="array" ref="DD13">IFERROR(INDEX(Skill!$AE:$AE, MATCH(DD$4, Skill!$C:$C, 0), 1), "")</f>
        <v/>
      </c>
      <c r="DE13" s="94" t="str">
        <f t="array" ref="DE13">IFERROR(INDEX(Skill!$AE:$AE, MATCH(DE$4, Skill!$C:$C, 0), 1), "")</f>
        <v/>
      </c>
      <c r="DF13" s="94" t="str">
        <f t="array" ref="DF13">IFERROR(INDEX(Skill!$AE:$AE, MATCH(DF$4, Skill!$C:$C, 0), 1), "")</f>
        <v/>
      </c>
      <c r="DG13" s="94" t="str">
        <f t="array" ref="DG13">IFERROR(INDEX(Skill!$AE:$AE, MATCH(DG$4, Skill!$C:$C, 0), 1), "")</f>
        <v/>
      </c>
      <c r="DH13" s="94" t="str">
        <f t="array" ref="DH13">IFERROR(INDEX(Skill!$AE:$AE, MATCH(DH$4, Skill!$C:$C, 0), 1), "")</f>
        <v/>
      </c>
      <c r="DI13" s="94" t="str">
        <f t="array" ref="DI13">IFERROR(INDEX(Skill!$AE:$AE, MATCH(DI$4, Skill!$C:$C, 0), 1), "")</f>
        <v/>
      </c>
      <c r="DJ13" s="94" t="str">
        <f t="array" ref="DJ13">IFERROR(INDEX(Skill!$AE:$AE, MATCH(DJ$4, Skill!$C:$C, 0), 1), "")</f>
        <v/>
      </c>
      <c r="DK13" s="94" t="str">
        <f t="array" ref="DK13">IFERROR(INDEX(Skill!$AE:$AE, MATCH(DK$4, Skill!$C:$C, 0), 1), "")</f>
        <v>RANGE_AFFECTED_ALL</v>
      </c>
      <c r="DL13" s="94" t="str">
        <f t="array" ref="DL13">IFERROR(INDEX(Skill!$AE:$AE, MATCH(DL$4, Skill!$C:$C, 0), 1), "")</f>
        <v/>
      </c>
      <c r="DM13" s="94" t="str">
        <f t="array" ref="DM13">IFERROR(INDEX(Skill!$AE:$AE, MATCH(DM$4, Skill!$C:$C, 0), 1), "")</f>
        <v/>
      </c>
      <c r="DN13" s="94" t="str">
        <f t="array" ref="DN13">IFERROR(INDEX(Skill!$AE:$AE, MATCH(DN$4, Skill!$C:$C, 0), 1), "")</f>
        <v/>
      </c>
      <c r="DO13" s="94" t="str">
        <f t="array" ref="DO13">IFERROR(INDEX(Skill!$AE:$AE, MATCH(DO$4, Skill!$C:$C, 0), 1), "")</f>
        <v/>
      </c>
      <c r="DP13" s="94" t="str">
        <f t="array" ref="DP13">IFERROR(INDEX(Skill!$AE:$AE, MATCH(DP$4, Skill!$C:$C, 0), 1), "")</f>
        <v/>
      </c>
      <c r="DQ13" s="94" t="str">
        <f t="array" ref="DQ13">IFERROR(INDEX(Skill!$AE:$AE, MATCH(DQ$4, Skill!$C:$C, 0), 1), "")</f>
        <v/>
      </c>
      <c r="DR13" s="94" t="str">
        <f t="array" ref="DR13">IFERROR(INDEX(Skill!$AE:$AE, MATCH(DR$4, Skill!$C:$C, 0), 1), "")</f>
        <v>RANGE_AFFECTED_ALL</v>
      </c>
      <c r="DS13" s="94" t="str">
        <f t="array" ref="DS13">IFERROR(INDEX(Skill!$AE:$AE, MATCH(DS$4, Skill!$C:$C, 0), 1), "")</f>
        <v/>
      </c>
      <c r="DT13" s="94" t="str">
        <f t="array" ref="DT13">IFERROR(INDEX(Skill!$AE:$AE, MATCH(DT$4, Skill!$C:$C, 0), 1), "")</f>
        <v/>
      </c>
      <c r="DU13" s="94" t="str">
        <f t="array" ref="DU13">IFERROR(INDEX(Skill!$AE:$AE, MATCH(DU$4, Skill!$C:$C, 0), 1), "")</f>
        <v/>
      </c>
      <c r="DV13" s="94" t="str">
        <f t="array" ref="DV13">IFERROR(INDEX(Skill!$AE:$AE, MATCH(DV$4, Skill!$C:$C, 0), 1), "")</f>
        <v/>
      </c>
      <c r="DW13" s="94" t="str">
        <f t="array" ref="DW13">IFERROR(INDEX(Skill!$AE:$AE, MATCH(DW$4, Skill!$C:$C, 0), 1), "")</f>
        <v/>
      </c>
      <c r="DX13" s="94" t="str">
        <f t="array" ref="DX13">IFERROR(INDEX(Skill!$AE:$AE, MATCH(DX$4, Skill!$C:$C, 0), 1), "")</f>
        <v/>
      </c>
      <c r="DY13" s="94" t="str">
        <f t="array" ref="DY13">IFERROR(INDEX(Skill!$AE:$AE, MATCH(DY$4, Skill!$C:$C, 0), 1), "")</f>
        <v/>
      </c>
      <c r="DZ13" s="94" t="str">
        <f t="array" ref="DZ13">IFERROR(INDEX(Skill!$AE:$AE, MATCH(DZ$4, Skill!$C:$C, 0), 1), "")</f>
        <v>RANGE_AFFECTED_ALL</v>
      </c>
      <c r="EA13" s="89" t="str">
        <f t="array" ref="EA13">IFERROR(INDEX(Skill!$AE:$AE, MATCH(EA$4, Skill!$C:$C, 0), 1), "")</f>
        <v/>
      </c>
      <c r="EB13" s="89" t="str">
        <f t="array" ref="EB13">IFERROR(INDEX(Skill!$AE:$AE, MATCH(EB$4, Skill!$C:$C, 0), 1), "")</f>
        <v/>
      </c>
      <c r="EC13" s="89" t="str">
        <f t="array" ref="EC13">IFERROR(INDEX(Skill!$AE:$AE, MATCH(EC$4, Skill!$C:$C, 0), 1), "")</f>
        <v/>
      </c>
      <c r="ED13" s="94" t="str">
        <f t="array" ref="ED13">IFERROR(INDEX(Skill!$AE:$AE, MATCH(ED$4, Skill!$C:$C, 0), 1), "")</f>
        <v/>
      </c>
      <c r="EE13" s="97"/>
      <c r="EF13" s="97"/>
      <c r="EG13" s="97"/>
      <c r="EH13" s="97"/>
      <c r="EI13" s="97"/>
      <c r="EJ13" s="97"/>
      <c r="EK13" s="97"/>
      <c r="EL13" s="97"/>
      <c r="EM13" s="97"/>
      <c r="EN13" s="97"/>
      <c r="EO13" s="97"/>
      <c r="EP13" s="97"/>
      <c r="EQ13" s="97"/>
      <c r="ER13" s="100"/>
      <c r="ES13" s="100"/>
      <c r="ET13" s="100"/>
      <c r="EU13" s="101"/>
      <c r="EV13" s="101"/>
      <c r="EW13" s="101"/>
      <c r="EX13" s="101"/>
      <c r="EY13" s="101"/>
      <c r="EZ13" s="101"/>
      <c r="FA13" s="101"/>
      <c r="FB13" s="101"/>
      <c r="FC13" s="101"/>
      <c r="FD13" s="101"/>
      <c r="FE13" s="101"/>
      <c r="FF13" s="101"/>
      <c r="FG13" s="101"/>
      <c r="FH13" s="101"/>
      <c r="FI13" s="101"/>
      <c r="FJ13" s="101"/>
      <c r="FK13" s="101"/>
      <c r="FL13" s="101"/>
      <c r="FM13" s="101"/>
      <c r="FN13" s="101"/>
      <c r="FO13" s="99"/>
    </row>
    <row r="14" hidden="1">
      <c r="A14" s="3"/>
      <c r="B14" s="90"/>
      <c r="C14" s="90"/>
      <c r="D14" s="90"/>
      <c r="E14" s="90" t="s">
        <v>1052</v>
      </c>
      <c r="F14" s="90"/>
      <c r="G14" s="90"/>
      <c r="H14" s="90"/>
      <c r="I14" s="90"/>
      <c r="J14" s="90"/>
      <c r="K14" s="94" t="str">
        <f t="array" ref="K14">IFERROR(INDEX(Skill!$AH:$AH, MATCH(K$4, Skill!$C:$C, 0), 1), "")</f>
        <v/>
      </c>
      <c r="L14" s="94" t="str">
        <f t="array" ref="L14">IFERROR(INDEX(Skill!$AH:$AH, MATCH(L$4, Skill!$C:$C, 0), 1), "")</f>
        <v/>
      </c>
      <c r="M14" s="94" t="str">
        <f t="array" ref="M14">IFERROR(INDEX(Skill!$AH:$AH, MATCH(M$4, Skill!$C:$C, 0), 1), "")</f>
        <v/>
      </c>
      <c r="N14" s="94" t="str">
        <f t="array" ref="N14">IFERROR(INDEX(Skill!$AH:$AH, MATCH(N$4, Skill!$C:$C, 0), 1), "")</f>
        <v/>
      </c>
      <c r="O14" s="94">
        <f t="array" ref="O14">IFERROR(INDEX(Skill!$AH:$AH, MATCH(O$4, Skill!$C:$C, 0), 1), "")</f>
        <v>1.15</v>
      </c>
      <c r="P14" s="94" t="str">
        <f t="array" ref="P14">IFERROR(INDEX(Skill!$AH:$AH, MATCH(P$4, Skill!$C:$C, 0), 1), "")</f>
        <v/>
      </c>
      <c r="Q14" s="94" t="str">
        <f t="array" ref="Q14">IFERROR(INDEX(Skill!$AH:$AH, MATCH(Q$4, Skill!$C:$C, 0), 1), "")</f>
        <v/>
      </c>
      <c r="R14" s="94" t="str">
        <f t="array" ref="R14">IFERROR(INDEX(Skill!$AH:$AH, MATCH(R$4, Skill!$C:$C, 0), 1), "")</f>
        <v/>
      </c>
      <c r="S14" s="94" t="str">
        <f t="array" ref="S14">IFERROR(INDEX(Skill!$AH:$AH, MATCH(S$4, Skill!$C:$C, 0), 1), "")</f>
        <v/>
      </c>
      <c r="T14" s="94" t="str">
        <f t="array" ref="T14">IFERROR(INDEX(Skill!$AH:$AH, MATCH(T$4, Skill!$C:$C, 0), 1), "")</f>
        <v/>
      </c>
      <c r="U14" s="94" t="str">
        <f t="array" ref="U14">IFERROR(INDEX(Skill!$AH:$AH, MATCH(U$4, Skill!$C:$C, 0), 1), "")</f>
        <v/>
      </c>
      <c r="V14" s="94" t="str">
        <f t="array" ref="V14">IFERROR(INDEX(Skill!$AH:$AH, MATCH(V$4, Skill!$C:$C, 0), 1), "")</f>
        <v/>
      </c>
      <c r="W14" s="94">
        <f t="array" ref="W14">IFERROR(INDEX(Skill!$AH:$AH, MATCH(W$4, Skill!$C:$C, 0), 1), "")</f>
        <v>1.15</v>
      </c>
      <c r="X14" s="94">
        <f t="array" ref="X14">IFERROR(INDEX(Skill!$AH:$AH, MATCH(X$4, Skill!$C:$C, 0), 1), "")</f>
        <v>1.2</v>
      </c>
      <c r="Y14" s="94" t="str">
        <f t="array" ref="Y14">IFERROR(INDEX(Skill!$AH:$AH, MATCH(Y$4, Skill!$C:$C, 0), 1), "")</f>
        <v/>
      </c>
      <c r="Z14" s="94" t="str">
        <f t="array" ref="Z14">IFERROR(INDEX(Skill!$AH:$AH, MATCH(Z$4, Skill!$C:$C, 0), 1), "")</f>
        <v/>
      </c>
      <c r="AA14" s="94" t="str">
        <f t="array" ref="AA14">IFERROR(INDEX(Skill!$AH:$AH, MATCH(AA$4, Skill!$C:$C, 0), 1), "")</f>
        <v/>
      </c>
      <c r="AB14" s="94" t="str">
        <f t="array" ref="AB14">IFERROR(INDEX(Skill!$AH:$AH, MATCH(AB$4, Skill!$C:$C, 0), 1), "")</f>
        <v/>
      </c>
      <c r="AC14" s="94" t="str">
        <f t="array" ref="AC14">IFERROR(INDEX(Skill!$AH:$AH, MATCH(AC$4, Skill!$C:$C, 0), 1), "")</f>
        <v/>
      </c>
      <c r="AD14" s="94" t="str">
        <f t="array" ref="AD14">IFERROR(INDEX(Skill!$AH:$AH, MATCH(AD$4, Skill!$C:$C, 0), 1), "")</f>
        <v/>
      </c>
      <c r="AE14" s="94" t="str">
        <f t="array" ref="AE14">IFERROR(INDEX(Skill!$AH:$AH, MATCH(AE$4, Skill!$C:$C, 0), 1), "")</f>
        <v/>
      </c>
      <c r="AF14" s="94" t="str">
        <f t="array" ref="AF14">IFERROR(INDEX(Skill!$AH:$AH, MATCH(AF$4, Skill!$C:$C, 0), 1), "")</f>
        <v/>
      </c>
      <c r="AG14" s="94" t="str">
        <f t="array" ref="AG14">IFERROR(INDEX(Skill!$AH:$AH, MATCH(AG$4, Skill!$C:$C, 0), 1), "")</f>
        <v/>
      </c>
      <c r="AH14" s="94">
        <f t="array" ref="AH14">IFERROR(INDEX(Skill!$AH:$AH, MATCH(AH$4, Skill!$C:$C, 0), 1), "")</f>
        <v>1.15</v>
      </c>
      <c r="AI14" s="94" t="str">
        <f t="array" ref="AI14">IFERROR(INDEX(Skill!$AH:$AH, MATCH(AI$4, Skill!$C:$C, 0), 1), "")</f>
        <v/>
      </c>
      <c r="AJ14" s="94" t="str">
        <f t="array" ref="AJ14">IFERROR(INDEX(Skill!$AH:$AH, MATCH(AJ$4, Skill!$C:$C, 0), 1), "")</f>
        <v/>
      </c>
      <c r="AK14" s="94" t="str">
        <f t="array" ref="AK14">IFERROR(INDEX(Skill!$AH:$AH, MATCH(AK$4, Skill!$C:$C, 0), 1), "")</f>
        <v/>
      </c>
      <c r="AL14" s="94" t="str">
        <f t="array" ref="AL14">IFERROR(INDEX(Skill!$AH:$AH, MATCH(AL$4, Skill!$C:$C, 0), 1), "")</f>
        <v/>
      </c>
      <c r="AM14" s="94" t="str">
        <f t="array" ref="AM14">IFERROR(INDEX(Skill!$AH:$AH, MATCH(AM$4, Skill!$C:$C, 0), 1), "")</f>
        <v/>
      </c>
      <c r="AN14" s="94" t="str">
        <f t="array" ref="AN14">IFERROR(INDEX(Skill!$AH:$AH, MATCH(AN$4, Skill!$C:$C, 0), 1), "")</f>
        <v/>
      </c>
      <c r="AO14" s="94">
        <f t="array" ref="AO14">IFERROR(INDEX(Skill!$AH:$AH, MATCH(AO$4, Skill!$C:$C, 0), 1), "")</f>
        <v>1.15</v>
      </c>
      <c r="AP14" s="94" t="str">
        <f t="array" ref="AP14">IFERROR(INDEX(Skill!$AH:$AH, MATCH(AP$4, Skill!$C:$C, 0), 1), "")</f>
        <v/>
      </c>
      <c r="AQ14" s="94" t="str">
        <f t="array" ref="AQ14">IFERROR(INDEX(Skill!$AH:$AH, MATCH(AQ$4, Skill!$C:$C, 0), 1), "")</f>
        <v/>
      </c>
      <c r="AR14" s="94" t="str">
        <f t="array" ref="AR14">IFERROR(INDEX(Skill!$AH:$AH, MATCH(AR$4, Skill!$C:$C, 0), 1), "")</f>
        <v/>
      </c>
      <c r="AS14" s="94">
        <f t="array" ref="AS14">IFERROR(INDEX(Skill!$AH:$AH, MATCH(AS$4, Skill!$C:$C, 0), 1), "")</f>
        <v>1.2</v>
      </c>
      <c r="AT14" s="94" t="str">
        <f t="array" ref="AT14">IFERROR(INDEX(Skill!$AH:$AH, MATCH(AT$4, Skill!$C:$C, 0), 1), "")</f>
        <v/>
      </c>
      <c r="AU14" s="94" t="str">
        <f t="array" ref="AU14">IFERROR(INDEX(Skill!$AH:$AH, MATCH(AU$4, Skill!$C:$C, 0), 1), "")</f>
        <v/>
      </c>
      <c r="AV14" s="94">
        <f t="array" ref="AV14">IFERROR(INDEX(Skill!$AH:$AH, MATCH(AV$4, Skill!$C:$C, 0), 1), "")</f>
        <v>1.1</v>
      </c>
      <c r="AW14" s="94" t="str">
        <f t="array" ref="AW14">IFERROR(INDEX(Skill!$AH:$AH, MATCH(AW$4, Skill!$C:$C, 0), 1), "")</f>
        <v/>
      </c>
      <c r="AX14" s="94" t="str">
        <f t="array" ref="AX14">IFERROR(INDEX(Skill!$AH:$AH, MATCH(AX$4, Skill!$C:$C, 0), 1), "")</f>
        <v/>
      </c>
      <c r="AY14" s="94" t="str">
        <f t="array" ref="AY14">IFERROR(INDEX(Skill!$AH:$AH, MATCH(AY$4, Skill!$C:$C, 0), 1), "")</f>
        <v/>
      </c>
      <c r="AZ14" s="94" t="str">
        <f t="array" ref="AZ14">IFERROR(INDEX(Skill!$AH:$AH, MATCH(AZ$4, Skill!$C:$C, 0), 1), "")</f>
        <v/>
      </c>
      <c r="BA14" s="94" t="str">
        <f t="array" ref="BA14">IFERROR(INDEX(Skill!$AH:$AH, MATCH(BA$4, Skill!$C:$C, 0), 1), "")</f>
        <v/>
      </c>
      <c r="BB14" s="94" t="str">
        <f t="array" ref="BB14">IFERROR(INDEX(Skill!$AH:$AH, MATCH(BB$4, Skill!$C:$C, 0), 1), "")</f>
        <v/>
      </c>
      <c r="BC14" s="94" t="str">
        <f t="array" ref="BC14">IFERROR(INDEX(Skill!$AH:$AH, MATCH(BC$4, Skill!$C:$C, 0), 1), "")</f>
        <v/>
      </c>
      <c r="BD14" s="94" t="str">
        <f t="array" ref="BD14">IFERROR(INDEX(Skill!$AH:$AH, MATCH(BD$4, Skill!$C:$C, 0), 1), "")</f>
        <v/>
      </c>
      <c r="BE14" s="94" t="str">
        <f t="array" ref="BE14">IFERROR(INDEX(Skill!$AH:$AH, MATCH(BE$4, Skill!$C:$C, 0), 1), "")</f>
        <v/>
      </c>
      <c r="BF14" s="94">
        <f t="array" ref="BF14">IFERROR(INDEX(Skill!$AH:$AH, MATCH(BF$4, Skill!$C:$C, 0), 1), "")</f>
        <v>1.2</v>
      </c>
      <c r="BG14" s="94" t="str">
        <f t="array" ref="BG14">IFERROR(INDEX(Skill!$AH:$AH, MATCH(BG$4, Skill!$C:$C, 0), 1), "")</f>
        <v/>
      </c>
      <c r="BH14" s="94" t="str">
        <f t="array" ref="BH14">IFERROR(INDEX(Skill!$AH:$AH, MATCH(BH$4, Skill!$C:$C, 0), 1), "")</f>
        <v/>
      </c>
      <c r="BI14" s="94" t="str">
        <f t="array" ref="BI14">IFERROR(INDEX(Skill!$AH:$AH, MATCH(BI$4, Skill!$C:$C, 0), 1), "")</f>
        <v/>
      </c>
      <c r="BJ14" s="94" t="str">
        <f t="array" ref="BJ14">IFERROR(INDEX(Skill!$AH:$AH, MATCH(BJ$4, Skill!$C:$C, 0), 1), "")</f>
        <v/>
      </c>
      <c r="BK14" s="94" t="str">
        <f t="array" ref="BK14">IFERROR(INDEX(Skill!$AH:$AH, MATCH(BK$4, Skill!$C:$C, 0), 1), "")</f>
        <v/>
      </c>
      <c r="BL14" s="94" t="str">
        <f t="array" ref="BL14">IFERROR(INDEX(Skill!$AH:$AH, MATCH(BL$4, Skill!$C:$C, 0), 1), "")</f>
        <v/>
      </c>
      <c r="BM14" s="94" t="str">
        <f t="array" ref="BM14">IFERROR(INDEX(Skill!$AH:$AH, MATCH(BM$4, Skill!$C:$C, 0), 1), "")</f>
        <v/>
      </c>
      <c r="BN14" s="94" t="str">
        <f t="array" ref="BN14">IFERROR(INDEX(Skill!$AH:$AH, MATCH(BN$4, Skill!$C:$C, 0), 1), "")</f>
        <v/>
      </c>
      <c r="BO14" s="94">
        <f t="array" ref="BO14">IFERROR(INDEX(Skill!$AH:$AH, MATCH(BO$4, Skill!$C:$C, 0), 1), "")</f>
        <v>1.1</v>
      </c>
      <c r="BP14" s="94" t="str">
        <f t="array" ref="BP14">IFERROR(INDEX(Skill!$AH:$AH, MATCH(BP$4, Skill!$C:$C, 0), 1), "")</f>
        <v/>
      </c>
      <c r="BQ14" s="94" t="str">
        <f t="array" ref="BQ14">IFERROR(INDEX(Skill!$AH:$AH, MATCH(BQ$4, Skill!$C:$C, 0), 1), "")</f>
        <v/>
      </c>
      <c r="BR14" s="94" t="str">
        <f t="array" ref="BR14">IFERROR(INDEX(Skill!$AH:$AH, MATCH(BR$4, Skill!$C:$C, 0), 1), "")</f>
        <v/>
      </c>
      <c r="BS14" s="94" t="str">
        <f t="array" ref="BS14">IFERROR(INDEX(Skill!$AH:$AH, MATCH(BS$4, Skill!$C:$C, 0), 1), "")</f>
        <v/>
      </c>
      <c r="BT14" s="94" t="str">
        <f t="array" ref="BT14">IFERROR(INDEX(Skill!$AH:$AH, MATCH(BT$4, Skill!$C:$C, 0), 1), "")</f>
        <v/>
      </c>
      <c r="BU14" s="94" t="str">
        <f t="array" ref="BU14">IFERROR(INDEX(Skill!$AH:$AH, MATCH(BU$4, Skill!$C:$C, 0), 1), "")</f>
        <v/>
      </c>
      <c r="BV14" s="94" t="str">
        <f t="array" ref="BV14">IFERROR(INDEX(Skill!$AH:$AH, MATCH(BV$4, Skill!$C:$C, 0), 1), "")</f>
        <v/>
      </c>
      <c r="BW14" s="94" t="str">
        <f t="array" ref="BW14">IFERROR(INDEX(Skill!$AH:$AH, MATCH(BW$4, Skill!$C:$C, 0), 1), "")</f>
        <v/>
      </c>
      <c r="BX14" s="94" t="str">
        <f t="array" ref="BX14">IFERROR(INDEX(Skill!$AH:$AH, MATCH(BX$4, Skill!$C:$C, 0), 1), "")</f>
        <v/>
      </c>
      <c r="BY14" s="94">
        <f t="array" ref="BY14">IFERROR(INDEX(Skill!$AH:$AH, MATCH(BY$4, Skill!$C:$C, 0), 1), "")</f>
        <v>1.1</v>
      </c>
      <c r="BZ14" s="94" t="str">
        <f t="array" ref="BZ14">IFERROR(INDEX(Skill!$AH:$AH, MATCH(BZ$4, Skill!$C:$C, 0), 1), "")</f>
        <v/>
      </c>
      <c r="CA14" s="94" t="str">
        <f t="array" ref="CA14">IFERROR(INDEX(Skill!$AH:$AH, MATCH(CA$4, Skill!$C:$C, 0), 1), "")</f>
        <v/>
      </c>
      <c r="CB14" s="94" t="str">
        <f t="array" ref="CB14">IFERROR(INDEX(Skill!$AH:$AH, MATCH(CB$4, Skill!$C:$C, 0), 1), "")</f>
        <v/>
      </c>
      <c r="CC14" s="94" t="str">
        <f t="array" ref="CC14">IFERROR(INDEX(Skill!$AH:$AH, MATCH(CC$4, Skill!$C:$C, 0), 1), "")</f>
        <v/>
      </c>
      <c r="CD14" s="94" t="str">
        <f t="array" ref="CD14">IFERROR(INDEX(Skill!$AH:$AH, MATCH(CD$4, Skill!$C:$C, 0), 1), "")</f>
        <v/>
      </c>
      <c r="CE14" s="94" t="str">
        <f t="array" ref="CE14">IFERROR(INDEX(Skill!$AH:$AH, MATCH(CE$4, Skill!$C:$C, 0), 1), "")</f>
        <v/>
      </c>
      <c r="CF14" s="94" t="str">
        <f t="array" ref="CF14">IFERROR(INDEX(Skill!$AH:$AH, MATCH(CF$4, Skill!$C:$C, 0), 1), "")</f>
        <v/>
      </c>
      <c r="CG14" s="94" t="str">
        <f t="array" ref="CG14">IFERROR(INDEX(Skill!$AH:$AH, MATCH(CG$4, Skill!$C:$C, 0), 1), "")</f>
        <v/>
      </c>
      <c r="CH14" s="94" t="str">
        <f t="array" ref="CH14">IFERROR(INDEX(Skill!$AH:$AH, MATCH(CH$4, Skill!$C:$C, 0), 1), "")</f>
        <v/>
      </c>
      <c r="CI14" s="94">
        <f t="array" ref="CI14">IFERROR(INDEX(Skill!$AH:$AH, MATCH(CI$4, Skill!$C:$C, 0), 1), "")</f>
        <v>1.2</v>
      </c>
      <c r="CJ14" s="94" t="str">
        <f t="array" ref="CJ14">IFERROR(INDEX(Skill!$AH:$AH, MATCH(CJ$4, Skill!$C:$C, 0), 1), "")</f>
        <v/>
      </c>
      <c r="CK14" s="94" t="str">
        <f t="array" ref="CK14">IFERROR(INDEX(Skill!$AH:$AH, MATCH(CK$4, Skill!$C:$C, 0), 1), "")</f>
        <v/>
      </c>
      <c r="CL14" s="94" t="str">
        <f t="array" ref="CL14">IFERROR(INDEX(Skill!$AH:$AH, MATCH(CL$4, Skill!$C:$C, 0), 1), "")</f>
        <v/>
      </c>
      <c r="CM14" s="94" t="str">
        <f t="array" ref="CM14">IFERROR(INDEX(Skill!$AH:$AH, MATCH(CM$4, Skill!$C:$C, 0), 1), "")</f>
        <v/>
      </c>
      <c r="CN14" s="94" t="str">
        <f t="array" ref="CN14">IFERROR(INDEX(Skill!$AH:$AH, MATCH(CN$4, Skill!$C:$C, 0), 1), "")</f>
        <v/>
      </c>
      <c r="CO14" s="94" t="str">
        <f t="array" ref="CO14">IFERROR(INDEX(Skill!$AH:$AH, MATCH(CO$4, Skill!$C:$C, 0), 1), "")</f>
        <v/>
      </c>
      <c r="CP14" s="94" t="str">
        <f t="array" ref="CP14">IFERROR(INDEX(Skill!$AH:$AH, MATCH(CP$4, Skill!$C:$C, 0), 1), "")</f>
        <v/>
      </c>
      <c r="CQ14" s="94" t="str">
        <f t="array" ref="CQ14">IFERROR(INDEX(Skill!$AH:$AH, MATCH(CQ$4, Skill!$C:$C, 0), 1), "")</f>
        <v/>
      </c>
      <c r="CR14" s="94" t="str">
        <f t="array" ref="CR14">IFERROR(INDEX(Skill!$AH:$AH, MATCH(CR$4, Skill!$C:$C, 0), 1), "")</f>
        <v/>
      </c>
      <c r="CS14" s="94" t="str">
        <f t="array" ref="CS14">IFERROR(INDEX(Skill!$AH:$AH, MATCH(CS$4, Skill!$C:$C, 0), 1), "")</f>
        <v/>
      </c>
      <c r="CT14" s="94" t="str">
        <f t="array" ref="CT14">IFERROR(INDEX(Skill!$AH:$AH, MATCH(CT$4, Skill!$C:$C, 0), 1), "")</f>
        <v/>
      </c>
      <c r="CU14" s="94" t="str">
        <f t="array" ref="CU14">IFERROR(INDEX(Skill!$AH:$AH, MATCH(CU$4, Skill!$C:$C, 0), 1), "")</f>
        <v/>
      </c>
      <c r="CV14" s="94" t="str">
        <f t="array" ref="CV14">IFERROR(INDEX(Skill!$AH:$AH, MATCH(CV$4, Skill!$C:$C, 0), 1), "")</f>
        <v/>
      </c>
      <c r="CW14" s="94" t="str">
        <f t="array" ref="CW14">IFERROR(INDEX(Skill!$AH:$AH, MATCH(CW$4, Skill!$C:$C, 0), 1), "")</f>
        <v/>
      </c>
      <c r="CX14" s="94">
        <f t="array" ref="CX14">IFERROR(INDEX(Skill!$AH:$AH, MATCH(CX$4, Skill!$C:$C, 0), 1), "")</f>
        <v>1.5</v>
      </c>
      <c r="CY14" s="94">
        <f t="array" ref="CY14">IFERROR(INDEX(Skill!$AH:$AH, MATCH(CY$4, Skill!$C:$C, 0), 1), "")</f>
        <v>1.1</v>
      </c>
      <c r="CZ14" s="94" t="str">
        <f t="array" ref="CZ14">IFERROR(INDEX(Skill!$AH:$AH, MATCH(CZ$4, Skill!$C:$C, 0), 1), "")</f>
        <v/>
      </c>
      <c r="DA14" s="94" t="str">
        <f t="array" ref="DA14">IFERROR(INDEX(Skill!$AH:$AH, MATCH(DA$4, Skill!$C:$C, 0), 1), "")</f>
        <v/>
      </c>
      <c r="DB14" s="94" t="str">
        <f t="array" ref="DB14">IFERROR(INDEX(Skill!$AH:$AH, MATCH(DB$4, Skill!$C:$C, 0), 1), "")</f>
        <v/>
      </c>
      <c r="DC14" s="94">
        <f t="array" ref="DC14">IFERROR(INDEX(Skill!$AH:$AH, MATCH(DC$4, Skill!$C:$C, 0), 1), "")</f>
        <v>1.2</v>
      </c>
      <c r="DD14" s="94" t="str">
        <f t="array" ref="DD14">IFERROR(INDEX(Skill!$AH:$AH, MATCH(DD$4, Skill!$C:$C, 0), 1), "")</f>
        <v/>
      </c>
      <c r="DE14" s="94" t="str">
        <f t="array" ref="DE14">IFERROR(INDEX(Skill!$AH:$AH, MATCH(DE$4, Skill!$C:$C, 0), 1), "")</f>
        <v/>
      </c>
      <c r="DF14" s="94" t="str">
        <f t="array" ref="DF14">IFERROR(INDEX(Skill!$AH:$AH, MATCH(DF$4, Skill!$C:$C, 0), 1), "")</f>
        <v/>
      </c>
      <c r="DG14" s="94" t="str">
        <f t="array" ref="DG14">IFERROR(INDEX(Skill!$AH:$AH, MATCH(DG$4, Skill!$C:$C, 0), 1), "")</f>
        <v/>
      </c>
      <c r="DH14" s="94" t="str">
        <f t="array" ref="DH14">IFERROR(INDEX(Skill!$AH:$AH, MATCH(DH$4, Skill!$C:$C, 0), 1), "")</f>
        <v/>
      </c>
      <c r="DI14" s="94" t="str">
        <f t="array" ref="DI14">IFERROR(INDEX(Skill!$AH:$AH, MATCH(DI$4, Skill!$C:$C, 0), 1), "")</f>
        <v/>
      </c>
      <c r="DJ14" s="94" t="str">
        <f t="array" ref="DJ14">IFERROR(INDEX(Skill!$AH:$AH, MATCH(DJ$4, Skill!$C:$C, 0), 1), "")</f>
        <v/>
      </c>
      <c r="DK14" s="94">
        <f t="array" ref="DK14">IFERROR(INDEX(Skill!$AH:$AH, MATCH(DK$4, Skill!$C:$C, 0), 1), "")</f>
        <v>1.1</v>
      </c>
      <c r="DL14" s="94" t="str">
        <f t="array" ref="DL14">IFERROR(INDEX(Skill!$AH:$AH, MATCH(DL$4, Skill!$C:$C, 0), 1), "")</f>
        <v/>
      </c>
      <c r="DM14" s="94" t="str">
        <f t="array" ref="DM14">IFERROR(INDEX(Skill!$AH:$AH, MATCH(DM$4, Skill!$C:$C, 0), 1), "")</f>
        <v/>
      </c>
      <c r="DN14" s="94" t="str">
        <f t="array" ref="DN14">IFERROR(INDEX(Skill!$AH:$AH, MATCH(DN$4, Skill!$C:$C, 0), 1), "")</f>
        <v/>
      </c>
      <c r="DO14" s="94" t="str">
        <f t="array" ref="DO14">IFERROR(INDEX(Skill!$AH:$AH, MATCH(DO$4, Skill!$C:$C, 0), 1), "")</f>
        <v/>
      </c>
      <c r="DP14" s="94" t="str">
        <f t="array" ref="DP14">IFERROR(INDEX(Skill!$AH:$AH, MATCH(DP$4, Skill!$C:$C, 0), 1), "")</f>
        <v/>
      </c>
      <c r="DQ14" s="94" t="str">
        <f t="array" ref="DQ14">IFERROR(INDEX(Skill!$AH:$AH, MATCH(DQ$4, Skill!$C:$C, 0), 1), "")</f>
        <v/>
      </c>
      <c r="DR14" s="94">
        <f t="array" ref="DR14">IFERROR(INDEX(Skill!$AH:$AH, MATCH(DR$4, Skill!$C:$C, 0), 1), "")</f>
        <v>1.15</v>
      </c>
      <c r="DS14" s="94" t="str">
        <f t="array" ref="DS14">IFERROR(INDEX(Skill!$AH:$AH, MATCH(DS$4, Skill!$C:$C, 0), 1), "")</f>
        <v/>
      </c>
      <c r="DT14" s="94" t="str">
        <f t="array" ref="DT14">IFERROR(INDEX(Skill!$AH:$AH, MATCH(DT$4, Skill!$C:$C, 0), 1), "")</f>
        <v/>
      </c>
      <c r="DU14" s="94" t="str">
        <f t="array" ref="DU14">IFERROR(INDEX(Skill!$AH:$AH, MATCH(DU$4, Skill!$C:$C, 0), 1), "")</f>
        <v/>
      </c>
      <c r="DV14" s="94" t="str">
        <f t="array" ref="DV14">IFERROR(INDEX(Skill!$AH:$AH, MATCH(DV$4, Skill!$C:$C, 0), 1), "")</f>
        <v/>
      </c>
      <c r="DW14" s="94" t="str">
        <f t="array" ref="DW14">IFERROR(INDEX(Skill!$AH:$AH, MATCH(DW$4, Skill!$C:$C, 0), 1), "")</f>
        <v/>
      </c>
      <c r="DX14" s="94" t="str">
        <f t="array" ref="DX14">IFERROR(INDEX(Skill!$AH:$AH, MATCH(DX$4, Skill!$C:$C, 0), 1), "")</f>
        <v/>
      </c>
      <c r="DY14" s="94" t="str">
        <f t="array" ref="DY14">IFERROR(INDEX(Skill!$AH:$AH, MATCH(DY$4, Skill!$C:$C, 0), 1), "")</f>
        <v/>
      </c>
      <c r="DZ14" s="94">
        <f t="array" ref="DZ14">IFERROR(INDEX(Skill!$AH:$AH, MATCH(DZ$4, Skill!$C:$C, 0), 1), "")</f>
        <v>1.05</v>
      </c>
      <c r="EA14" s="89" t="str">
        <f t="array" ref="EA14">IFERROR(INDEX(Skill!$AH:$AH, MATCH(EA$4, Skill!$C:$C, 0), 1), "")</f>
        <v/>
      </c>
      <c r="EB14" s="89" t="str">
        <f t="array" ref="EB14">IFERROR(INDEX(Skill!$AH:$AH, MATCH(EB$4, Skill!$C:$C, 0), 1), "")</f>
        <v/>
      </c>
      <c r="EC14" s="89" t="str">
        <f t="array" ref="EC14">IFERROR(INDEX(Skill!$AH:$AH, MATCH(EC$4, Skill!$C:$C, 0), 1), "")</f>
        <v/>
      </c>
      <c r="ED14" s="94" t="str">
        <f t="array" ref="ED14">IFERROR(INDEX(Skill!$AH:$AH, MATCH(ED$4, Skill!$C:$C, 0), 1), "")</f>
        <v/>
      </c>
      <c r="EE14" s="97"/>
      <c r="EF14" s="97"/>
      <c r="EG14" s="97"/>
      <c r="EH14" s="97"/>
      <c r="EI14" s="97"/>
      <c r="EJ14" s="97"/>
      <c r="EK14" s="97"/>
      <c r="EL14" s="97"/>
      <c r="EM14" s="97"/>
      <c r="EN14" s="97"/>
      <c r="EO14" s="97"/>
      <c r="EP14" s="97"/>
      <c r="EQ14" s="97"/>
      <c r="ER14" s="100"/>
      <c r="ES14" s="100"/>
      <c r="ET14" s="100"/>
      <c r="EU14" s="101"/>
      <c r="EV14" s="101"/>
      <c r="EW14" s="101"/>
      <c r="EX14" s="101"/>
      <c r="EY14" s="101"/>
      <c r="EZ14" s="101"/>
      <c r="FA14" s="101"/>
      <c r="FB14" s="101"/>
      <c r="FC14" s="101"/>
      <c r="FD14" s="101"/>
      <c r="FE14" s="101"/>
      <c r="FF14" s="101"/>
      <c r="FG14" s="101"/>
      <c r="FH14" s="101"/>
      <c r="FI14" s="101"/>
      <c r="FJ14" s="101"/>
      <c r="FK14" s="101"/>
      <c r="FL14" s="101"/>
      <c r="FM14" s="101"/>
      <c r="FN14" s="101"/>
      <c r="FO14" s="99"/>
    </row>
    <row r="15" hidden="1">
      <c r="A15" s="3"/>
      <c r="B15" s="90"/>
      <c r="C15" s="90"/>
      <c r="D15" s="90"/>
      <c r="E15" s="90" t="s">
        <v>1053</v>
      </c>
      <c r="F15" s="90"/>
      <c r="G15" s="90"/>
      <c r="H15" s="90"/>
      <c r="I15" s="90"/>
      <c r="J15" s="90"/>
      <c r="K15" s="94" t="str">
        <f t="array" ref="K15">IFERROR(INDEX(Skill!$AJ:$AJ, MATCH(K$4, Skill!$C:$C, 0), 1), "")</f>
        <v/>
      </c>
      <c r="L15" s="94" t="str">
        <f t="array" ref="L15">IFERROR(INDEX(Skill!$AJ:$AJ, MATCH(L$4, Skill!$C:$C, 0), 1), "")</f>
        <v/>
      </c>
      <c r="M15" s="94">
        <f t="array" ref="M15">IFERROR(INDEX(Skill!$AJ:$AJ, MATCH(M$4, Skill!$C:$C, 0), 1), "")</f>
        <v>0.1</v>
      </c>
      <c r="N15" s="94" t="str">
        <f t="array" ref="N15">IFERROR(INDEX(Skill!$AJ:$AJ, MATCH(N$4, Skill!$C:$C, 0), 1), "")</f>
        <v/>
      </c>
      <c r="O15" s="94" t="str">
        <f t="array" ref="O15">IFERROR(INDEX(Skill!$AJ:$AJ, MATCH(O$4, Skill!$C:$C, 0), 1), "")</f>
        <v/>
      </c>
      <c r="P15" s="94" t="str">
        <f t="array" ref="P15">IFERROR(INDEX(Skill!$AJ:$AJ, MATCH(P$4, Skill!$C:$C, 0), 1), "")</f>
        <v/>
      </c>
      <c r="Q15" s="94" t="str">
        <f t="array" ref="Q15">IFERROR(INDEX(Skill!$AJ:$AJ, MATCH(Q$4, Skill!$C:$C, 0), 1), "")</f>
        <v/>
      </c>
      <c r="R15" s="94" t="str">
        <f t="array" ref="R15">IFERROR(INDEX(Skill!$AJ:$AJ, MATCH(R$4, Skill!$C:$C, 0), 1), "")</f>
        <v/>
      </c>
      <c r="S15" s="94" t="str">
        <f t="array" ref="S15">IFERROR(INDEX(Skill!$AJ:$AJ, MATCH(S$4, Skill!$C:$C, 0), 1), "")</f>
        <v/>
      </c>
      <c r="T15" s="94" t="str">
        <f t="array" ref="T15">IFERROR(INDEX(Skill!$AJ:$AJ, MATCH(T$4, Skill!$C:$C, 0), 1), "")</f>
        <v/>
      </c>
      <c r="U15" s="94">
        <f t="array" ref="U15">IFERROR(INDEX(Skill!$AJ:$AJ, MATCH(U$4, Skill!$C:$C, 0), 1), "")</f>
        <v>0.15</v>
      </c>
      <c r="V15" s="94" t="str">
        <f t="array" ref="V15">IFERROR(INDEX(Skill!$AJ:$AJ, MATCH(V$4, Skill!$C:$C, 0), 1), "")</f>
        <v/>
      </c>
      <c r="W15" s="94" t="str">
        <f t="array" ref="W15">IFERROR(INDEX(Skill!$AJ:$AJ, MATCH(W$4, Skill!$C:$C, 0), 1), "")</f>
        <v/>
      </c>
      <c r="X15" s="94" t="str">
        <f t="array" ref="X15">IFERROR(INDEX(Skill!$AJ:$AJ, MATCH(X$4, Skill!$C:$C, 0), 1), "")</f>
        <v/>
      </c>
      <c r="Y15" s="94" t="str">
        <f t="array" ref="Y15">IFERROR(INDEX(Skill!$AJ:$AJ, MATCH(Y$4, Skill!$C:$C, 0), 1), "")</f>
        <v/>
      </c>
      <c r="Z15" s="94" t="str">
        <f t="array" ref="Z15">IFERROR(INDEX(Skill!$AJ:$AJ, MATCH(Z$4, Skill!$C:$C, 0), 1), "")</f>
        <v/>
      </c>
      <c r="AA15" s="94" t="str">
        <f t="array" ref="AA15">IFERROR(INDEX(Skill!$AJ:$AJ, MATCH(AA$4, Skill!$C:$C, 0), 1), "")</f>
        <v/>
      </c>
      <c r="AB15" s="94" t="str">
        <f t="array" ref="AB15">IFERROR(INDEX(Skill!$AJ:$AJ, MATCH(AB$4, Skill!$C:$C, 0), 1), "")</f>
        <v/>
      </c>
      <c r="AC15" s="94" t="str">
        <f t="array" ref="AC15">IFERROR(INDEX(Skill!$AJ:$AJ, MATCH(AC$4, Skill!$C:$C, 0), 1), "")</f>
        <v/>
      </c>
      <c r="AD15" s="94" t="str">
        <f t="array" ref="AD15">IFERROR(INDEX(Skill!$AJ:$AJ, MATCH(AD$4, Skill!$C:$C, 0), 1), "")</f>
        <v/>
      </c>
      <c r="AE15" s="94">
        <f t="array" ref="AE15">IFERROR(INDEX(Skill!$AJ:$AJ, MATCH(AE$4, Skill!$C:$C, 0), 1), "")</f>
        <v>0.25</v>
      </c>
      <c r="AF15" s="94" t="str">
        <f t="array" ref="AF15">IFERROR(INDEX(Skill!$AJ:$AJ, MATCH(AF$4, Skill!$C:$C, 0), 1), "")</f>
        <v/>
      </c>
      <c r="AG15" s="94" t="str">
        <f t="array" ref="AG15">IFERROR(INDEX(Skill!$AJ:$AJ, MATCH(AG$4, Skill!$C:$C, 0), 1), "")</f>
        <v/>
      </c>
      <c r="AH15" s="94" t="str">
        <f t="array" ref="AH15">IFERROR(INDEX(Skill!$AJ:$AJ, MATCH(AH$4, Skill!$C:$C, 0), 1), "")</f>
        <v/>
      </c>
      <c r="AI15" s="94" t="str">
        <f t="array" ref="AI15">IFERROR(INDEX(Skill!$AJ:$AJ, MATCH(AI$4, Skill!$C:$C, 0), 1), "")</f>
        <v/>
      </c>
      <c r="AJ15" s="94" t="str">
        <f t="array" ref="AJ15">IFERROR(INDEX(Skill!$AJ:$AJ, MATCH(AJ$4, Skill!$C:$C, 0), 1), "")</f>
        <v/>
      </c>
      <c r="AK15" s="94" t="str">
        <f t="array" ref="AK15">IFERROR(INDEX(Skill!$AJ:$AJ, MATCH(AK$4, Skill!$C:$C, 0), 1), "")</f>
        <v/>
      </c>
      <c r="AL15" s="94" t="str">
        <f t="array" ref="AL15">IFERROR(INDEX(Skill!$AJ:$AJ, MATCH(AL$4, Skill!$C:$C, 0), 1), "")</f>
        <v/>
      </c>
      <c r="AM15" s="94" t="str">
        <f t="array" ref="AM15">IFERROR(INDEX(Skill!$AJ:$AJ, MATCH(AM$4, Skill!$C:$C, 0), 1), "")</f>
        <v/>
      </c>
      <c r="AN15" s="94" t="str">
        <f t="array" ref="AN15">IFERROR(INDEX(Skill!$AJ:$AJ, MATCH(AN$4, Skill!$C:$C, 0), 1), "")</f>
        <v/>
      </c>
      <c r="AO15" s="94" t="str">
        <f t="array" ref="AO15">IFERROR(INDEX(Skill!$AJ:$AJ, MATCH(AO$4, Skill!$C:$C, 0), 1), "")</f>
        <v/>
      </c>
      <c r="AP15" s="94" t="str">
        <f t="array" ref="AP15">IFERROR(INDEX(Skill!$AJ:$AJ, MATCH(AP$4, Skill!$C:$C, 0), 1), "")</f>
        <v/>
      </c>
      <c r="AQ15" s="94" t="str">
        <f t="array" ref="AQ15">IFERROR(INDEX(Skill!$AJ:$AJ, MATCH(AQ$4, Skill!$C:$C, 0), 1), "")</f>
        <v/>
      </c>
      <c r="AR15" s="94" t="str">
        <f t="array" ref="AR15">IFERROR(INDEX(Skill!$AJ:$AJ, MATCH(AR$4, Skill!$C:$C, 0), 1), "")</f>
        <v/>
      </c>
      <c r="AS15" s="94" t="str">
        <f t="array" ref="AS15">IFERROR(INDEX(Skill!$AJ:$AJ, MATCH(AS$4, Skill!$C:$C, 0), 1), "")</f>
        <v/>
      </c>
      <c r="AT15" s="94" t="str">
        <f t="array" ref="AT15">IFERROR(INDEX(Skill!$AJ:$AJ, MATCH(AT$4, Skill!$C:$C, 0), 1), "")</f>
        <v/>
      </c>
      <c r="AU15" s="94" t="str">
        <f t="array" ref="AU15">IFERROR(INDEX(Skill!$AJ:$AJ, MATCH(AU$4, Skill!$C:$C, 0), 1), "")</f>
        <v/>
      </c>
      <c r="AV15" s="94" t="str">
        <f t="array" ref="AV15">IFERROR(INDEX(Skill!$AJ:$AJ, MATCH(AV$4, Skill!$C:$C, 0), 1), "")</f>
        <v/>
      </c>
      <c r="AW15" s="94" t="str">
        <f t="array" ref="AW15">IFERROR(INDEX(Skill!$AJ:$AJ, MATCH(AW$4, Skill!$C:$C, 0), 1), "")</f>
        <v/>
      </c>
      <c r="AX15" s="94" t="str">
        <f t="array" ref="AX15">IFERROR(INDEX(Skill!$AJ:$AJ, MATCH(AX$4, Skill!$C:$C, 0), 1), "")</f>
        <v/>
      </c>
      <c r="AY15" s="94" t="str">
        <f t="array" ref="AY15">IFERROR(INDEX(Skill!$AJ:$AJ, MATCH(AY$4, Skill!$C:$C, 0), 1), "")</f>
        <v/>
      </c>
      <c r="AZ15" s="94" t="str">
        <f t="array" ref="AZ15">IFERROR(INDEX(Skill!$AJ:$AJ, MATCH(AZ$4, Skill!$C:$C, 0), 1), "")</f>
        <v/>
      </c>
      <c r="BA15" s="94" t="str">
        <f t="array" ref="BA15">IFERROR(INDEX(Skill!$AJ:$AJ, MATCH(BA$4, Skill!$C:$C, 0), 1), "")</f>
        <v/>
      </c>
      <c r="BB15" s="94" t="str">
        <f t="array" ref="BB15">IFERROR(INDEX(Skill!$AJ:$AJ, MATCH(BB$4, Skill!$C:$C, 0), 1), "")</f>
        <v/>
      </c>
      <c r="BC15" s="94" t="str">
        <f t="array" ref="BC15">IFERROR(INDEX(Skill!$AJ:$AJ, MATCH(BC$4, Skill!$C:$C, 0), 1), "")</f>
        <v/>
      </c>
      <c r="BD15" s="94" t="str">
        <f t="array" ref="BD15">IFERROR(INDEX(Skill!$AJ:$AJ, MATCH(BD$4, Skill!$C:$C, 0), 1), "")</f>
        <v/>
      </c>
      <c r="BE15" s="94" t="str">
        <f t="array" ref="BE15">IFERROR(INDEX(Skill!$AJ:$AJ, MATCH(BE$4, Skill!$C:$C, 0), 1), "")</f>
        <v/>
      </c>
      <c r="BF15" s="94" t="str">
        <f t="array" ref="BF15">IFERROR(INDEX(Skill!$AJ:$AJ, MATCH(BF$4, Skill!$C:$C, 0), 1), "")</f>
        <v/>
      </c>
      <c r="BG15" s="94" t="str">
        <f t="array" ref="BG15">IFERROR(INDEX(Skill!$AJ:$AJ, MATCH(BG$4, Skill!$C:$C, 0), 1), "")</f>
        <v/>
      </c>
      <c r="BH15" s="94" t="str">
        <f t="array" ref="BH15">IFERROR(INDEX(Skill!$AJ:$AJ, MATCH(BH$4, Skill!$C:$C, 0), 1), "")</f>
        <v/>
      </c>
      <c r="BI15" s="94" t="str">
        <f t="array" ref="BI15">IFERROR(INDEX(Skill!$AJ:$AJ, MATCH(BI$4, Skill!$C:$C, 0), 1), "")</f>
        <v/>
      </c>
      <c r="BJ15" s="94" t="str">
        <f t="array" ref="BJ15">IFERROR(INDEX(Skill!$AJ:$AJ, MATCH(BJ$4, Skill!$C:$C, 0), 1), "")</f>
        <v/>
      </c>
      <c r="BK15" s="94" t="str">
        <f t="array" ref="BK15">IFERROR(INDEX(Skill!$AJ:$AJ, MATCH(BK$4, Skill!$C:$C, 0), 1), "")</f>
        <v/>
      </c>
      <c r="BL15" s="94" t="str">
        <f t="array" ref="BL15">IFERROR(INDEX(Skill!$AJ:$AJ, MATCH(BL$4, Skill!$C:$C, 0), 1), "")</f>
        <v/>
      </c>
      <c r="BM15" s="94" t="str">
        <f t="array" ref="BM15">IFERROR(INDEX(Skill!$AJ:$AJ, MATCH(BM$4, Skill!$C:$C, 0), 1), "")</f>
        <v/>
      </c>
      <c r="BN15" s="94" t="str">
        <f t="array" ref="BN15">IFERROR(INDEX(Skill!$AJ:$AJ, MATCH(BN$4, Skill!$C:$C, 0), 1), "")</f>
        <v/>
      </c>
      <c r="BO15" s="94" t="str">
        <f t="array" ref="BO15">IFERROR(INDEX(Skill!$AJ:$AJ, MATCH(BO$4, Skill!$C:$C, 0), 1), "")</f>
        <v/>
      </c>
      <c r="BP15" s="94" t="str">
        <f t="array" ref="BP15">IFERROR(INDEX(Skill!$AJ:$AJ, MATCH(BP$4, Skill!$C:$C, 0), 1), "")</f>
        <v/>
      </c>
      <c r="BQ15" s="94" t="str">
        <f t="array" ref="BQ15">IFERROR(INDEX(Skill!$AJ:$AJ, MATCH(BQ$4, Skill!$C:$C, 0), 1), "")</f>
        <v/>
      </c>
      <c r="BR15" s="94" t="str">
        <f t="array" ref="BR15">IFERROR(INDEX(Skill!$AJ:$AJ, MATCH(BR$4, Skill!$C:$C, 0), 1), "")</f>
        <v/>
      </c>
      <c r="BS15" s="94" t="str">
        <f t="array" ref="BS15">IFERROR(INDEX(Skill!$AJ:$AJ, MATCH(BS$4, Skill!$C:$C, 0), 1), "")</f>
        <v/>
      </c>
      <c r="BT15" s="94" t="str">
        <f t="array" ref="BT15">IFERROR(INDEX(Skill!$AJ:$AJ, MATCH(BT$4, Skill!$C:$C, 0), 1), "")</f>
        <v/>
      </c>
      <c r="BU15" s="94" t="str">
        <f t="array" ref="BU15">IFERROR(INDEX(Skill!$AJ:$AJ, MATCH(BU$4, Skill!$C:$C, 0), 1), "")</f>
        <v/>
      </c>
      <c r="BV15" s="94" t="str">
        <f t="array" ref="BV15">IFERROR(INDEX(Skill!$AJ:$AJ, MATCH(BV$4, Skill!$C:$C, 0), 1), "")</f>
        <v/>
      </c>
      <c r="BW15" s="94" t="str">
        <f t="array" ref="BW15">IFERROR(INDEX(Skill!$AJ:$AJ, MATCH(BW$4, Skill!$C:$C, 0), 1), "")</f>
        <v/>
      </c>
      <c r="BX15" s="94" t="str">
        <f t="array" ref="BX15">IFERROR(INDEX(Skill!$AJ:$AJ, MATCH(BX$4, Skill!$C:$C, 0), 1), "")</f>
        <v/>
      </c>
      <c r="BY15" s="94" t="str">
        <f t="array" ref="BY15">IFERROR(INDEX(Skill!$AJ:$AJ, MATCH(BY$4, Skill!$C:$C, 0), 1), "")</f>
        <v/>
      </c>
      <c r="BZ15" s="94" t="str">
        <f t="array" ref="BZ15">IFERROR(INDEX(Skill!$AJ:$AJ, MATCH(BZ$4, Skill!$C:$C, 0), 1), "")</f>
        <v/>
      </c>
      <c r="CA15" s="94" t="str">
        <f t="array" ref="CA15">IFERROR(INDEX(Skill!$AJ:$AJ, MATCH(CA$4, Skill!$C:$C, 0), 1), "")</f>
        <v/>
      </c>
      <c r="CB15" s="94" t="str">
        <f t="array" ref="CB15">IFERROR(INDEX(Skill!$AJ:$AJ, MATCH(CB$4, Skill!$C:$C, 0), 1), "")</f>
        <v/>
      </c>
      <c r="CC15" s="94" t="str">
        <f t="array" ref="CC15">IFERROR(INDEX(Skill!$AJ:$AJ, MATCH(CC$4, Skill!$C:$C, 0), 1), "")</f>
        <v/>
      </c>
      <c r="CD15" s="94" t="str">
        <f t="array" ref="CD15">IFERROR(INDEX(Skill!$AJ:$AJ, MATCH(CD$4, Skill!$C:$C, 0), 1), "")</f>
        <v/>
      </c>
      <c r="CE15" s="94" t="str">
        <f t="array" ref="CE15">IFERROR(INDEX(Skill!$AJ:$AJ, MATCH(CE$4, Skill!$C:$C, 0), 1), "")</f>
        <v/>
      </c>
      <c r="CF15" s="94" t="str">
        <f t="array" ref="CF15">IFERROR(INDEX(Skill!$AJ:$AJ, MATCH(CF$4, Skill!$C:$C, 0), 1), "")</f>
        <v/>
      </c>
      <c r="CG15" s="94" t="str">
        <f t="array" ref="CG15">IFERROR(INDEX(Skill!$AJ:$AJ, MATCH(CG$4, Skill!$C:$C, 0), 1), "")</f>
        <v/>
      </c>
      <c r="CH15" s="94" t="str">
        <f t="array" ref="CH15">IFERROR(INDEX(Skill!$AJ:$AJ, MATCH(CH$4, Skill!$C:$C, 0), 1), "")</f>
        <v/>
      </c>
      <c r="CI15" s="94" t="str">
        <f t="array" ref="CI15">IFERROR(INDEX(Skill!$AJ:$AJ, MATCH(CI$4, Skill!$C:$C, 0), 1), "")</f>
        <v/>
      </c>
      <c r="CJ15" s="94" t="str">
        <f t="array" ref="CJ15">IFERROR(INDEX(Skill!$AJ:$AJ, MATCH(CJ$4, Skill!$C:$C, 0), 1), "")</f>
        <v/>
      </c>
      <c r="CK15" s="94" t="str">
        <f t="array" ref="CK15">IFERROR(INDEX(Skill!$AJ:$AJ, MATCH(CK$4, Skill!$C:$C, 0), 1), "")</f>
        <v/>
      </c>
      <c r="CL15" s="94" t="str">
        <f t="array" ref="CL15">IFERROR(INDEX(Skill!$AJ:$AJ, MATCH(CL$4, Skill!$C:$C, 0), 1), "")</f>
        <v/>
      </c>
      <c r="CM15" s="94" t="str">
        <f t="array" ref="CM15">IFERROR(INDEX(Skill!$AJ:$AJ, MATCH(CM$4, Skill!$C:$C, 0), 1), "")</f>
        <v/>
      </c>
      <c r="CN15" s="94" t="str">
        <f t="array" ref="CN15">IFERROR(INDEX(Skill!$AJ:$AJ, MATCH(CN$4, Skill!$C:$C, 0), 1), "")</f>
        <v/>
      </c>
      <c r="CO15" s="94" t="str">
        <f t="array" ref="CO15">IFERROR(INDEX(Skill!$AJ:$AJ, MATCH(CO$4, Skill!$C:$C, 0), 1), "")</f>
        <v/>
      </c>
      <c r="CP15" s="94" t="str">
        <f t="array" ref="CP15">IFERROR(INDEX(Skill!$AJ:$AJ, MATCH(CP$4, Skill!$C:$C, 0), 1), "")</f>
        <v/>
      </c>
      <c r="CQ15" s="94" t="str">
        <f t="array" ref="CQ15">IFERROR(INDEX(Skill!$AJ:$AJ, MATCH(CQ$4, Skill!$C:$C, 0), 1), "")</f>
        <v/>
      </c>
      <c r="CR15" s="94" t="str">
        <f t="array" ref="CR15">IFERROR(INDEX(Skill!$AJ:$AJ, MATCH(CR$4, Skill!$C:$C, 0), 1), "")</f>
        <v/>
      </c>
      <c r="CS15" s="94" t="str">
        <f t="array" ref="CS15">IFERROR(INDEX(Skill!$AJ:$AJ, MATCH(CS$4, Skill!$C:$C, 0), 1), "")</f>
        <v/>
      </c>
      <c r="CT15" s="94" t="str">
        <f t="array" ref="CT15">IFERROR(INDEX(Skill!$AJ:$AJ, MATCH(CT$4, Skill!$C:$C, 0), 1), "")</f>
        <v/>
      </c>
      <c r="CU15" s="94" t="str">
        <f t="array" ref="CU15">IFERROR(INDEX(Skill!$AJ:$AJ, MATCH(CU$4, Skill!$C:$C, 0), 1), "")</f>
        <v/>
      </c>
      <c r="CV15" s="94" t="str">
        <f t="array" ref="CV15">IFERROR(INDEX(Skill!$AJ:$AJ, MATCH(CV$4, Skill!$C:$C, 0), 1), "")</f>
        <v/>
      </c>
      <c r="CW15" s="94" t="str">
        <f t="array" ref="CW15">IFERROR(INDEX(Skill!$AJ:$AJ, MATCH(CW$4, Skill!$C:$C, 0), 1), "")</f>
        <v/>
      </c>
      <c r="CX15" s="94" t="str">
        <f t="array" ref="CX15">IFERROR(INDEX(Skill!$AJ:$AJ, MATCH(CX$4, Skill!$C:$C, 0), 1), "")</f>
        <v/>
      </c>
      <c r="CY15" s="94" t="str">
        <f t="array" ref="CY15">IFERROR(INDEX(Skill!$AJ:$AJ, MATCH(CY$4, Skill!$C:$C, 0), 1), "")</f>
        <v/>
      </c>
      <c r="CZ15" s="94" t="str">
        <f t="array" ref="CZ15">IFERROR(INDEX(Skill!$AJ:$AJ, MATCH(CZ$4, Skill!$C:$C, 0), 1), "")</f>
        <v/>
      </c>
      <c r="DA15" s="94" t="str">
        <f t="array" ref="DA15">IFERROR(INDEX(Skill!$AJ:$AJ, MATCH(DA$4, Skill!$C:$C, 0), 1), "")</f>
        <v/>
      </c>
      <c r="DB15" s="94" t="str">
        <f t="array" ref="DB15">IFERROR(INDEX(Skill!$AJ:$AJ, MATCH(DB$4, Skill!$C:$C, 0), 1), "")</f>
        <v/>
      </c>
      <c r="DC15" s="94" t="str">
        <f t="array" ref="DC15">IFERROR(INDEX(Skill!$AJ:$AJ, MATCH(DC$4, Skill!$C:$C, 0), 1), "")</f>
        <v/>
      </c>
      <c r="DD15" s="94" t="str">
        <f t="array" ref="DD15">IFERROR(INDEX(Skill!$AJ:$AJ, MATCH(DD$4, Skill!$C:$C, 0), 1), "")</f>
        <v/>
      </c>
      <c r="DE15" s="94" t="str">
        <f t="array" ref="DE15">IFERROR(INDEX(Skill!$AJ:$AJ, MATCH(DE$4, Skill!$C:$C, 0), 1), "")</f>
        <v/>
      </c>
      <c r="DF15" s="94" t="str">
        <f t="array" ref="DF15">IFERROR(INDEX(Skill!$AJ:$AJ, MATCH(DF$4, Skill!$C:$C, 0), 1), "")</f>
        <v/>
      </c>
      <c r="DG15" s="94" t="str">
        <f t="array" ref="DG15">IFERROR(INDEX(Skill!$AJ:$AJ, MATCH(DG$4, Skill!$C:$C, 0), 1), "")</f>
        <v/>
      </c>
      <c r="DH15" s="94" t="str">
        <f t="array" ref="DH15">IFERROR(INDEX(Skill!$AJ:$AJ, MATCH(DH$4, Skill!$C:$C, 0), 1), "")</f>
        <v/>
      </c>
      <c r="DI15" s="94" t="str">
        <f t="array" ref="DI15">IFERROR(INDEX(Skill!$AJ:$AJ, MATCH(DI$4, Skill!$C:$C, 0), 1), "")</f>
        <v/>
      </c>
      <c r="DJ15" s="94" t="str">
        <f t="array" ref="DJ15">IFERROR(INDEX(Skill!$AJ:$AJ, MATCH(DJ$4, Skill!$C:$C, 0), 1), "")</f>
        <v/>
      </c>
      <c r="DK15" s="94" t="str">
        <f t="array" ref="DK15">IFERROR(INDEX(Skill!$AJ:$AJ, MATCH(DK$4, Skill!$C:$C, 0), 1), "")</f>
        <v/>
      </c>
      <c r="DL15" s="94" t="str">
        <f t="array" ref="DL15">IFERROR(INDEX(Skill!$AJ:$AJ, MATCH(DL$4, Skill!$C:$C, 0), 1), "")</f>
        <v/>
      </c>
      <c r="DM15" s="94" t="str">
        <f t="array" ref="DM15">IFERROR(INDEX(Skill!$AJ:$AJ, MATCH(DM$4, Skill!$C:$C, 0), 1), "")</f>
        <v/>
      </c>
      <c r="DN15" s="94" t="str">
        <f t="array" ref="DN15">IFERROR(INDEX(Skill!$AJ:$AJ, MATCH(DN$4, Skill!$C:$C, 0), 1), "")</f>
        <v/>
      </c>
      <c r="DO15" s="94" t="str">
        <f t="array" ref="DO15">IFERROR(INDEX(Skill!$AJ:$AJ, MATCH(DO$4, Skill!$C:$C, 0), 1), "")</f>
        <v/>
      </c>
      <c r="DP15" s="94" t="str">
        <f t="array" ref="DP15">IFERROR(INDEX(Skill!$AJ:$AJ, MATCH(DP$4, Skill!$C:$C, 0), 1), "")</f>
        <v/>
      </c>
      <c r="DQ15" s="94" t="str">
        <f t="array" ref="DQ15">IFERROR(INDEX(Skill!$AJ:$AJ, MATCH(DQ$4, Skill!$C:$C, 0), 1), "")</f>
        <v/>
      </c>
      <c r="DR15" s="94" t="str">
        <f t="array" ref="DR15">IFERROR(INDEX(Skill!$AJ:$AJ, MATCH(DR$4, Skill!$C:$C, 0), 1), "")</f>
        <v/>
      </c>
      <c r="DS15" s="94" t="str">
        <f t="array" ref="DS15">IFERROR(INDEX(Skill!$AJ:$AJ, MATCH(DS$4, Skill!$C:$C, 0), 1), "")</f>
        <v/>
      </c>
      <c r="DT15" s="94" t="str">
        <f t="array" ref="DT15">IFERROR(INDEX(Skill!$AJ:$AJ, MATCH(DT$4, Skill!$C:$C, 0), 1), "")</f>
        <v/>
      </c>
      <c r="DU15" s="94" t="str">
        <f t="array" ref="DU15">IFERROR(INDEX(Skill!$AJ:$AJ, MATCH(DU$4, Skill!$C:$C, 0), 1), "")</f>
        <v/>
      </c>
      <c r="DV15" s="94">
        <f t="array" ref="DV15">IFERROR(INDEX(Skill!$AJ:$AJ, MATCH(DV$4, Skill!$C:$C, 0), 1), "")</f>
        <v>0.05</v>
      </c>
      <c r="DW15" s="94" t="str">
        <f t="array" ref="DW15">IFERROR(INDEX(Skill!$AJ:$AJ, MATCH(DW$4, Skill!$C:$C, 0), 1), "")</f>
        <v/>
      </c>
      <c r="DX15" s="94" t="str">
        <f t="array" ref="DX15">IFERROR(INDEX(Skill!$AJ:$AJ, MATCH(DX$4, Skill!$C:$C, 0), 1), "")</f>
        <v/>
      </c>
      <c r="DY15" s="94" t="str">
        <f t="array" ref="DY15">IFERROR(INDEX(Skill!$AJ:$AJ, MATCH(DY$4, Skill!$C:$C, 0), 1), "")</f>
        <v/>
      </c>
      <c r="DZ15" s="94" t="str">
        <f t="array" ref="DZ15">IFERROR(INDEX(Skill!$AJ:$AJ, MATCH(DZ$4, Skill!$C:$C, 0), 1), "")</f>
        <v/>
      </c>
      <c r="EA15" s="89" t="str">
        <f t="array" ref="EA15">IFERROR(INDEX(Skill!$AJ:$AJ, MATCH(EA$4, Skill!$C:$C, 0), 1), "")</f>
        <v/>
      </c>
      <c r="EB15" s="89" t="str">
        <f t="array" ref="EB15">IFERROR(INDEX(Skill!$AJ:$AJ, MATCH(EB$4, Skill!$C:$C, 0), 1), "")</f>
        <v/>
      </c>
      <c r="EC15" s="89">
        <f t="array" ref="EC15">IFERROR(INDEX(Skill!$AJ:$AJ, MATCH(EC$4, Skill!$C:$C, 0), 1), "")</f>
        <v>0.1</v>
      </c>
      <c r="ED15" s="94" t="str">
        <f t="array" ref="ED15">IFERROR(INDEX(Skill!$AJ:$AJ, MATCH(ED$4, Skill!$C:$C, 0), 1), "")</f>
        <v/>
      </c>
      <c r="EE15" s="97"/>
      <c r="EF15" s="97"/>
      <c r="EG15" s="97"/>
      <c r="EH15" s="97"/>
      <c r="EI15" s="97"/>
      <c r="EJ15" s="97"/>
      <c r="EK15" s="97"/>
      <c r="EL15" s="97"/>
      <c r="EM15" s="97"/>
      <c r="EN15" s="97"/>
      <c r="EO15" s="97"/>
      <c r="EP15" s="97"/>
      <c r="EQ15" s="97"/>
      <c r="ER15" s="100"/>
      <c r="ES15" s="100"/>
      <c r="ET15" s="100"/>
      <c r="EU15" s="101"/>
      <c r="EV15" s="101"/>
      <c r="EW15" s="101"/>
      <c r="EX15" s="101"/>
      <c r="EY15" s="101"/>
      <c r="EZ15" s="101"/>
      <c r="FA15" s="101"/>
      <c r="FB15" s="101"/>
      <c r="FC15" s="101"/>
      <c r="FD15" s="101"/>
      <c r="FE15" s="101"/>
      <c r="FF15" s="101"/>
      <c r="FG15" s="101"/>
      <c r="FH15" s="101"/>
      <c r="FI15" s="101"/>
      <c r="FJ15" s="101"/>
      <c r="FK15" s="101"/>
      <c r="FL15" s="101"/>
      <c r="FM15" s="101"/>
      <c r="FN15" s="101"/>
      <c r="FO15" s="99"/>
    </row>
    <row r="16" hidden="1">
      <c r="B16" s="84"/>
      <c r="C16" s="83"/>
      <c r="D16" s="83"/>
      <c r="E16" s="84" t="s">
        <v>1043</v>
      </c>
      <c r="F16" s="84"/>
      <c r="G16" s="84"/>
      <c r="H16" s="84"/>
      <c r="I16" s="84"/>
      <c r="J16" s="84"/>
      <c r="K16" s="94" t="str">
        <f t="array" ref="K16">IFERROR(INDEX(Skill!$AP:$AP, MATCH(K$4, Skill!$C:$C, 0), 1), "")</f>
        <v/>
      </c>
      <c r="L16" s="94" t="str">
        <f t="array" ref="L16">IFERROR(INDEX(Skill!$AP:$AP, MATCH(L$4, Skill!$C:$C, 0), 1), "")</f>
        <v/>
      </c>
      <c r="M16" s="94" t="str">
        <f t="array" ref="M16">IFERROR(INDEX(Skill!$AP:$AP, MATCH(M$4, Skill!$C:$C, 0), 1), "")</f>
        <v/>
      </c>
      <c r="N16" s="94" t="str">
        <f t="array" ref="N16">IFERROR(INDEX(Skill!$AP:$AP, MATCH(N$4, Skill!$C:$C, 0), 1), "")</f>
        <v/>
      </c>
      <c r="O16" s="94" t="str">
        <f t="array" ref="O16">IFERROR(INDEX(Skill!$AP:$AP, MATCH(O$4, Skill!$C:$C, 0), 1), "")</f>
        <v/>
      </c>
      <c r="P16" s="94" t="str">
        <f t="array" ref="P16">IFERROR(INDEX(Skill!$AP:$AP, MATCH(P$4, Skill!$C:$C, 0), 1), "")</f>
        <v/>
      </c>
      <c r="Q16" s="94">
        <f t="array" ref="Q16">IFERROR(INDEX(Skill!$AP:$AP, MATCH(Q$4, Skill!$C:$C, 0), 1), "")</f>
        <v>1000</v>
      </c>
      <c r="R16" s="94" t="str">
        <f t="array" ref="R16">IFERROR(INDEX(Skill!$AP:$AP, MATCH(R$4, Skill!$C:$C, 0), 1), "")</f>
        <v/>
      </c>
      <c r="S16" s="94" t="str">
        <f t="array" ref="S16">IFERROR(INDEX(Skill!$AP:$AP, MATCH(S$4, Skill!$C:$C, 0), 1), "")</f>
        <v/>
      </c>
      <c r="T16" s="94" t="str">
        <f t="array" ref="T16">IFERROR(INDEX(Skill!$AP:$AP, MATCH(T$4, Skill!$C:$C, 0), 1), "")</f>
        <v/>
      </c>
      <c r="U16" s="94" t="str">
        <f t="array" ref="U16">IFERROR(INDEX(Skill!$AP:$AP, MATCH(U$4, Skill!$C:$C, 0), 1), "")</f>
        <v/>
      </c>
      <c r="V16" s="94" t="str">
        <f t="array" ref="V16">IFERROR(INDEX(Skill!$AP:$AP, MATCH(V$4, Skill!$C:$C, 0), 1), "")</f>
        <v/>
      </c>
      <c r="W16" s="94" t="str">
        <f t="array" ref="W16">IFERROR(INDEX(Skill!$AP:$AP, MATCH(W$4, Skill!$C:$C, 0), 1), "")</f>
        <v/>
      </c>
      <c r="X16" s="94" t="str">
        <f t="array" ref="X16">IFERROR(INDEX(Skill!$AP:$AP, MATCH(X$4, Skill!$C:$C, 0), 1), "")</f>
        <v/>
      </c>
      <c r="Y16" s="94" t="str">
        <f t="array" ref="Y16">IFERROR(INDEX(Skill!$AP:$AP, MATCH(Y$4, Skill!$C:$C, 0), 1), "")</f>
        <v/>
      </c>
      <c r="Z16" s="94" t="str">
        <f t="array" ref="Z16">IFERROR(INDEX(Skill!$AP:$AP, MATCH(Z$4, Skill!$C:$C, 0), 1), "")</f>
        <v/>
      </c>
      <c r="AA16" s="94" t="str">
        <f t="array" ref="AA16">IFERROR(INDEX(Skill!$AP:$AP, MATCH(AA$4, Skill!$C:$C, 0), 1), "")</f>
        <v/>
      </c>
      <c r="AB16" s="94" t="str">
        <f t="array" ref="AB16">IFERROR(INDEX(Skill!$AP:$AP, MATCH(AB$4, Skill!$C:$C, 0), 1), "")</f>
        <v/>
      </c>
      <c r="AC16" s="94" t="str">
        <f t="array" ref="AC16">IFERROR(INDEX(Skill!$AP:$AP, MATCH(AC$4, Skill!$C:$C, 0), 1), "")</f>
        <v/>
      </c>
      <c r="AD16" s="94" t="str">
        <f t="array" ref="AD16">IFERROR(INDEX(Skill!$AP:$AP, MATCH(AD$4, Skill!$C:$C, 0), 1), "")</f>
        <v/>
      </c>
      <c r="AE16" s="94" t="str">
        <f t="array" ref="AE16">IFERROR(INDEX(Skill!$AP:$AP, MATCH(AE$4, Skill!$C:$C, 0), 1), "")</f>
        <v/>
      </c>
      <c r="AF16" s="94" t="str">
        <f t="array" ref="AF16">IFERROR(INDEX(Skill!$AP:$AP, MATCH(AF$4, Skill!$C:$C, 0), 1), "")</f>
        <v/>
      </c>
      <c r="AG16" s="94" t="str">
        <f t="array" ref="AG16">IFERROR(INDEX(Skill!$AP:$AP, MATCH(AG$4, Skill!$C:$C, 0), 1), "")</f>
        <v/>
      </c>
      <c r="AH16" s="94" t="str">
        <f t="array" ref="AH16">IFERROR(INDEX(Skill!$AP:$AP, MATCH(AH$4, Skill!$C:$C, 0), 1), "")</f>
        <v/>
      </c>
      <c r="AI16" s="94" t="str">
        <f t="array" ref="AI16">IFERROR(INDEX(Skill!$AP:$AP, MATCH(AI$4, Skill!$C:$C, 0), 1), "")</f>
        <v/>
      </c>
      <c r="AJ16" s="94" t="str">
        <f t="array" ref="AJ16">IFERROR(INDEX(Skill!$AP:$AP, MATCH(AJ$4, Skill!$C:$C, 0), 1), "")</f>
        <v/>
      </c>
      <c r="AK16" s="94" t="str">
        <f t="array" ref="AK16">IFERROR(INDEX(Skill!$AP:$AP, MATCH(AK$4, Skill!$C:$C, 0), 1), "")</f>
        <v/>
      </c>
      <c r="AL16" s="94" t="str">
        <f t="array" ref="AL16">IFERROR(INDEX(Skill!$AP:$AP, MATCH(AL$4, Skill!$C:$C, 0), 1), "")</f>
        <v/>
      </c>
      <c r="AM16" s="94" t="str">
        <f t="array" ref="AM16">IFERROR(INDEX(Skill!$AP:$AP, MATCH(AM$4, Skill!$C:$C, 0), 1), "")</f>
        <v/>
      </c>
      <c r="AN16" s="94" t="str">
        <f t="array" ref="AN16">IFERROR(INDEX(Skill!$AP:$AP, MATCH(AN$4, Skill!$C:$C, 0), 1), "")</f>
        <v/>
      </c>
      <c r="AO16" s="94" t="str">
        <f t="array" ref="AO16">IFERROR(INDEX(Skill!$AP:$AP, MATCH(AO$4, Skill!$C:$C, 0), 1), "")</f>
        <v/>
      </c>
      <c r="AP16" s="94" t="str">
        <f t="array" ref="AP16">IFERROR(INDEX(Skill!$AP:$AP, MATCH(AP$4, Skill!$C:$C, 0), 1), "")</f>
        <v/>
      </c>
      <c r="AQ16" s="94" t="str">
        <f t="array" ref="AQ16">IFERROR(INDEX(Skill!$AP:$AP, MATCH(AQ$4, Skill!$C:$C, 0), 1), "")</f>
        <v/>
      </c>
      <c r="AR16" s="94" t="str">
        <f t="array" ref="AR16">IFERROR(INDEX(Skill!$AP:$AP, MATCH(AR$4, Skill!$C:$C, 0), 1), "")</f>
        <v/>
      </c>
      <c r="AS16" s="94" t="str">
        <f t="array" ref="AS16">IFERROR(INDEX(Skill!$AP:$AP, MATCH(AS$4, Skill!$C:$C, 0), 1), "")</f>
        <v/>
      </c>
      <c r="AT16" s="94">
        <f t="array" ref="AT16">IFERROR(INDEX(Skill!$AP:$AP, MATCH(AT$4, Skill!$C:$C, 0), 1), "")</f>
        <v>400</v>
      </c>
      <c r="AU16" s="94" t="str">
        <f t="array" ref="AU16">IFERROR(INDEX(Skill!$AP:$AP, MATCH(AU$4, Skill!$C:$C, 0), 1), "")</f>
        <v/>
      </c>
      <c r="AV16" s="94" t="str">
        <f t="array" ref="AV16">IFERROR(INDEX(Skill!$AP:$AP, MATCH(AV$4, Skill!$C:$C, 0), 1), "")</f>
        <v/>
      </c>
      <c r="AW16" s="94" t="str">
        <f t="array" ref="AW16">IFERROR(INDEX(Skill!$AP:$AP, MATCH(AW$4, Skill!$C:$C, 0), 1), "")</f>
        <v/>
      </c>
      <c r="AX16" s="94" t="str">
        <f t="array" ref="AX16">IFERROR(INDEX(Skill!$AP:$AP, MATCH(AX$4, Skill!$C:$C, 0), 1), "")</f>
        <v/>
      </c>
      <c r="AY16" s="94" t="str">
        <f t="array" ref="AY16">IFERROR(INDEX(Skill!$AP:$AP, MATCH(AY$4, Skill!$C:$C, 0), 1), "")</f>
        <v/>
      </c>
      <c r="AZ16" s="94">
        <f t="array" ref="AZ16">IFERROR(INDEX(Skill!$AP:$AP, MATCH(AZ$4, Skill!$C:$C, 0), 1), "")</f>
        <v>500</v>
      </c>
      <c r="BA16" s="94" t="str">
        <f t="array" ref="BA16">IFERROR(INDEX(Skill!$AP:$AP, MATCH(BA$4, Skill!$C:$C, 0), 1), "")</f>
        <v/>
      </c>
      <c r="BB16" s="94" t="str">
        <f t="array" ref="BB16">IFERROR(INDEX(Skill!$AP:$AP, MATCH(BB$4, Skill!$C:$C, 0), 1), "")</f>
        <v/>
      </c>
      <c r="BC16" s="94" t="str">
        <f t="array" ref="BC16">IFERROR(INDEX(Skill!$AP:$AP, MATCH(BC$4, Skill!$C:$C, 0), 1), "")</f>
        <v/>
      </c>
      <c r="BD16" s="94" t="str">
        <f t="array" ref="BD16">IFERROR(INDEX(Skill!$AP:$AP, MATCH(BD$4, Skill!$C:$C, 0), 1), "")</f>
        <v/>
      </c>
      <c r="BE16" s="94" t="str">
        <f t="array" ref="BE16">IFERROR(INDEX(Skill!$AP:$AP, MATCH(BE$4, Skill!$C:$C, 0), 1), "")</f>
        <v/>
      </c>
      <c r="BF16" s="94" t="str">
        <f t="array" ref="BF16">IFERROR(INDEX(Skill!$AP:$AP, MATCH(BF$4, Skill!$C:$C, 0), 1), "")</f>
        <v/>
      </c>
      <c r="BG16" s="94" t="str">
        <f t="array" ref="BG16">IFERROR(INDEX(Skill!$AP:$AP, MATCH(BG$4, Skill!$C:$C, 0), 1), "")</f>
        <v/>
      </c>
      <c r="BH16" s="94" t="str">
        <f t="array" ref="BH16">IFERROR(INDEX(Skill!$AP:$AP, MATCH(BH$4, Skill!$C:$C, 0), 1), "")</f>
        <v/>
      </c>
      <c r="BI16" s="94" t="str">
        <f t="array" ref="BI16">IFERROR(INDEX(Skill!$AP:$AP, MATCH(BI$4, Skill!$C:$C, 0), 1), "")</f>
        <v/>
      </c>
      <c r="BJ16" s="94" t="str">
        <f t="array" ref="BJ16">IFERROR(INDEX(Skill!$AP:$AP, MATCH(BJ$4, Skill!$C:$C, 0), 1), "")</f>
        <v/>
      </c>
      <c r="BK16" s="94" t="str">
        <f t="array" ref="BK16">IFERROR(INDEX(Skill!$AP:$AP, MATCH(BK$4, Skill!$C:$C, 0), 1), "")</f>
        <v/>
      </c>
      <c r="BL16" s="94" t="str">
        <f t="array" ref="BL16">IFERROR(INDEX(Skill!$AP:$AP, MATCH(BL$4, Skill!$C:$C, 0), 1), "")</f>
        <v/>
      </c>
      <c r="BM16" s="94" t="str">
        <f t="array" ref="BM16">IFERROR(INDEX(Skill!$AP:$AP, MATCH(BM$4, Skill!$C:$C, 0), 1), "")</f>
        <v/>
      </c>
      <c r="BN16" s="94" t="str">
        <f t="array" ref="BN16">IFERROR(INDEX(Skill!$AP:$AP, MATCH(BN$4, Skill!$C:$C, 0), 1), "")</f>
        <v/>
      </c>
      <c r="BO16" s="94" t="str">
        <f t="array" ref="BO16">IFERROR(INDEX(Skill!$AP:$AP, MATCH(BO$4, Skill!$C:$C, 0), 1), "")</f>
        <v/>
      </c>
      <c r="BP16" s="94">
        <f t="array" ref="BP16">IFERROR(INDEX(Skill!$AP:$AP, MATCH(BP$4, Skill!$C:$C, 0), 1), "")</f>
        <v>400</v>
      </c>
      <c r="BQ16" s="94" t="str">
        <f t="array" ref="BQ16">IFERROR(INDEX(Skill!$AP:$AP, MATCH(BQ$4, Skill!$C:$C, 0), 1), "")</f>
        <v/>
      </c>
      <c r="BR16" s="94" t="str">
        <f t="array" ref="BR16">IFERROR(INDEX(Skill!$AP:$AP, MATCH(BR$4, Skill!$C:$C, 0), 1), "")</f>
        <v/>
      </c>
      <c r="BS16" s="94" t="str">
        <f t="array" ref="BS16">IFERROR(INDEX(Skill!$AP:$AP, MATCH(BS$4, Skill!$C:$C, 0), 1), "")</f>
        <v/>
      </c>
      <c r="BT16" s="94" t="str">
        <f t="array" ref="BT16">IFERROR(INDEX(Skill!$AP:$AP, MATCH(BT$4, Skill!$C:$C, 0), 1), "")</f>
        <v/>
      </c>
      <c r="BU16" s="94" t="str">
        <f t="array" ref="BU16">IFERROR(INDEX(Skill!$AP:$AP, MATCH(BU$4, Skill!$C:$C, 0), 1), "")</f>
        <v/>
      </c>
      <c r="BV16" s="94">
        <f t="array" ref="BV16">IFERROR(INDEX(Skill!$AP:$AP, MATCH(BV$4, Skill!$C:$C, 0), 1), "")</f>
        <v>400</v>
      </c>
      <c r="BW16" s="94" t="str">
        <f t="array" ref="BW16">IFERROR(INDEX(Skill!$AP:$AP, MATCH(BW$4, Skill!$C:$C, 0), 1), "")</f>
        <v/>
      </c>
      <c r="BX16" s="94" t="str">
        <f t="array" ref="BX16">IFERROR(INDEX(Skill!$AP:$AP, MATCH(BX$4, Skill!$C:$C, 0), 1), "")</f>
        <v/>
      </c>
      <c r="BY16" s="94" t="str">
        <f t="array" ref="BY16">IFERROR(INDEX(Skill!$AP:$AP, MATCH(BY$4, Skill!$C:$C, 0), 1), "")</f>
        <v/>
      </c>
      <c r="BZ16" s="94" t="str">
        <f t="array" ref="BZ16">IFERROR(INDEX(Skill!$AP:$AP, MATCH(BZ$4, Skill!$C:$C, 0), 1), "")</f>
        <v/>
      </c>
      <c r="CA16" s="94" t="str">
        <f t="array" ref="CA16">IFERROR(INDEX(Skill!$AP:$AP, MATCH(CA$4, Skill!$C:$C, 0), 1), "")</f>
        <v/>
      </c>
      <c r="CB16" s="94" t="str">
        <f t="array" ref="CB16">IFERROR(INDEX(Skill!$AP:$AP, MATCH(CB$4, Skill!$C:$C, 0), 1), "")</f>
        <v/>
      </c>
      <c r="CC16" s="94">
        <f t="array" ref="CC16">IFERROR(INDEX(Skill!$AP:$AP, MATCH(CC$4, Skill!$C:$C, 0), 1), "")</f>
        <v>360</v>
      </c>
      <c r="CD16" s="94" t="str">
        <f t="array" ref="CD16">IFERROR(INDEX(Skill!$AP:$AP, MATCH(CD$4, Skill!$C:$C, 0), 1), "")</f>
        <v/>
      </c>
      <c r="CE16" s="94" t="str">
        <f t="array" ref="CE16">IFERROR(INDEX(Skill!$AP:$AP, MATCH(CE$4, Skill!$C:$C, 0), 1), "")</f>
        <v/>
      </c>
      <c r="CF16" s="94" t="str">
        <f t="array" ref="CF16">IFERROR(INDEX(Skill!$AP:$AP, MATCH(CF$4, Skill!$C:$C, 0), 1), "")</f>
        <v/>
      </c>
      <c r="CG16" s="94" t="str">
        <f t="array" ref="CG16">IFERROR(INDEX(Skill!$AP:$AP, MATCH(CG$4, Skill!$C:$C, 0), 1), "")</f>
        <v/>
      </c>
      <c r="CH16" s="94">
        <f t="array" ref="CH16">IFERROR(INDEX(Skill!$AP:$AP, MATCH(CH$4, Skill!$C:$C, 0), 1), "")</f>
        <v>162.5</v>
      </c>
      <c r="CI16" s="94" t="str">
        <f t="array" ref="CI16">IFERROR(INDEX(Skill!$AP:$AP, MATCH(CI$4, Skill!$C:$C, 0), 1), "")</f>
        <v/>
      </c>
      <c r="CJ16" s="94" t="str">
        <f t="array" ref="CJ16">IFERROR(INDEX(Skill!$AP:$AP, MATCH(CJ$4, Skill!$C:$C, 0), 1), "")</f>
        <v/>
      </c>
      <c r="CK16" s="94" t="str">
        <f t="array" ref="CK16">IFERROR(INDEX(Skill!$AP:$AP, MATCH(CK$4, Skill!$C:$C, 0), 1), "")</f>
        <v/>
      </c>
      <c r="CL16" s="94">
        <f t="array" ref="CL16">IFERROR(INDEX(Skill!$AP:$AP, MATCH(CL$4, Skill!$C:$C, 0), 1), "")</f>
        <v>432</v>
      </c>
      <c r="CM16" s="94">
        <f t="array" ref="CM16">IFERROR(INDEX(Skill!$AP:$AP, MATCH(CM$4, Skill!$C:$C, 0), 1), "")</f>
        <v>648</v>
      </c>
      <c r="CN16" s="94" t="str">
        <f t="array" ref="CN16">IFERROR(INDEX(Skill!$AP:$AP, MATCH(CN$4, Skill!$C:$C, 0), 1), "")</f>
        <v/>
      </c>
      <c r="CO16" s="94" t="str">
        <f t="array" ref="CO16">IFERROR(INDEX(Skill!$AP:$AP, MATCH(CO$4, Skill!$C:$C, 0), 1), "")</f>
        <v/>
      </c>
      <c r="CP16" s="94">
        <f t="array" ref="CP16">IFERROR(INDEX(Skill!$AP:$AP, MATCH(CP$4, Skill!$C:$C, 0), 1), "")</f>
        <v>540</v>
      </c>
      <c r="CQ16" s="94" t="str">
        <f t="array" ref="CQ16">IFERROR(INDEX(Skill!$AP:$AP, MATCH(CQ$4, Skill!$C:$C, 0), 1), "")</f>
        <v/>
      </c>
      <c r="CR16" s="94" t="str">
        <f t="array" ref="CR16">IFERROR(INDEX(Skill!$AP:$AP, MATCH(CR$4, Skill!$C:$C, 0), 1), "")</f>
        <v/>
      </c>
      <c r="CS16" s="94" t="str">
        <f t="array" ref="CS16">IFERROR(INDEX(Skill!$AP:$AP, MATCH(CS$4, Skill!$C:$C, 0), 1), "")</f>
        <v/>
      </c>
      <c r="CT16" s="94">
        <f t="array" ref="CT16">IFERROR(INDEX(Skill!$AP:$AP, MATCH(CT$4, Skill!$C:$C, 0), 1), "")</f>
        <v>300</v>
      </c>
      <c r="CU16" s="94" t="str">
        <f t="array" ref="CU16">IFERROR(INDEX(Skill!$AP:$AP, MATCH(CU$4, Skill!$C:$C, 0), 1), "")</f>
        <v/>
      </c>
      <c r="CV16" s="94">
        <f t="array" ref="CV16">IFERROR(INDEX(Skill!$AP:$AP, MATCH(CV$4, Skill!$C:$C, 0), 1), "")</f>
        <v>360</v>
      </c>
      <c r="CW16" s="94">
        <f t="array" ref="CW16">IFERROR(INDEX(Skill!$AP:$AP, MATCH(CW$4, Skill!$C:$C, 0), 1), "")</f>
        <v>200</v>
      </c>
      <c r="CX16" s="94" t="str">
        <f t="array" ref="CX16">IFERROR(INDEX(Skill!$AP:$AP, MATCH(CX$4, Skill!$C:$C, 0), 1), "")</f>
        <v/>
      </c>
      <c r="CY16" s="94" t="str">
        <f t="array" ref="CY16">IFERROR(INDEX(Skill!$AP:$AP, MATCH(CY$4, Skill!$C:$C, 0), 1), "")</f>
        <v/>
      </c>
      <c r="CZ16" s="94" t="str">
        <f t="array" ref="CZ16">IFERROR(INDEX(Skill!$AP:$AP, MATCH(CZ$4, Skill!$C:$C, 0), 1), "")</f>
        <v/>
      </c>
      <c r="DA16" s="94" t="str">
        <f t="array" ref="DA16">IFERROR(INDEX(Skill!$AP:$AP, MATCH(DA$4, Skill!$C:$C, 0), 1), "")</f>
        <v/>
      </c>
      <c r="DB16" s="94" t="str">
        <f t="array" ref="DB16">IFERROR(INDEX(Skill!$AP:$AP, MATCH(DB$4, Skill!$C:$C, 0), 1), "")</f>
        <v/>
      </c>
      <c r="DC16" s="94" t="str">
        <f t="array" ref="DC16">IFERROR(INDEX(Skill!$AP:$AP, MATCH(DC$4, Skill!$C:$C, 0), 1), "")</f>
        <v/>
      </c>
      <c r="DD16" s="94" t="str">
        <f t="array" ref="DD16">IFERROR(INDEX(Skill!$AP:$AP, MATCH(DD$4, Skill!$C:$C, 0), 1), "")</f>
        <v/>
      </c>
      <c r="DE16" s="94" t="str">
        <f t="array" ref="DE16">IFERROR(INDEX(Skill!$AP:$AP, MATCH(DE$4, Skill!$C:$C, 0), 1), "")</f>
        <v/>
      </c>
      <c r="DF16" s="94">
        <f t="array" ref="DF16">IFERROR(INDEX(Skill!$AP:$AP, MATCH(DF$4, Skill!$C:$C, 0), 1), "")</f>
        <v>540</v>
      </c>
      <c r="DG16" s="94">
        <f t="array" ref="DG16">IFERROR(INDEX(Skill!$AP:$AP, MATCH(DG$4, Skill!$C:$C, 0), 1), "")</f>
        <v>300</v>
      </c>
      <c r="DH16" s="94" t="str">
        <f t="array" ref="DH16">IFERROR(INDEX(Skill!$AP:$AP, MATCH(DH$4, Skill!$C:$C, 0), 1), "")</f>
        <v/>
      </c>
      <c r="DI16" s="94" t="str">
        <f t="array" ref="DI16">IFERROR(INDEX(Skill!$AP:$AP, MATCH(DI$4, Skill!$C:$C, 0), 1), "")</f>
        <v/>
      </c>
      <c r="DJ16" s="94" t="str">
        <f t="array" ref="DJ16">IFERROR(INDEX(Skill!$AP:$AP, MATCH(DJ$4, Skill!$C:$C, 0), 1), "")</f>
        <v/>
      </c>
      <c r="DK16" s="94" t="str">
        <f t="array" ref="DK16">IFERROR(INDEX(Skill!$AP:$AP, MATCH(DK$4, Skill!$C:$C, 0), 1), "")</f>
        <v/>
      </c>
      <c r="DL16" s="94" t="str">
        <f t="array" ref="DL16">IFERROR(INDEX(Skill!$AP:$AP, MATCH(DL$4, Skill!$C:$C, 0), 1), "")</f>
        <v/>
      </c>
      <c r="DM16" s="94" t="str">
        <f t="array" ref="DM16">IFERROR(INDEX(Skill!$AP:$AP, MATCH(DM$4, Skill!$C:$C, 0), 1), "")</f>
        <v/>
      </c>
      <c r="DN16" s="94" t="str">
        <f t="array" ref="DN16">IFERROR(INDEX(Skill!$AP:$AP, MATCH(DN$4, Skill!$C:$C, 0), 1), "")</f>
        <v/>
      </c>
      <c r="DO16" s="94" t="str">
        <f t="array" ref="DO16">IFERROR(INDEX(Skill!$AP:$AP, MATCH(DO$4, Skill!$C:$C, 0), 1), "")</f>
        <v/>
      </c>
      <c r="DP16" s="94" t="str">
        <f t="array" ref="DP16">IFERROR(INDEX(Skill!$AP:$AP, MATCH(DP$4, Skill!$C:$C, 0), 1), "")</f>
        <v/>
      </c>
      <c r="DQ16" s="94" t="str">
        <f t="array" ref="DQ16">IFERROR(INDEX(Skill!$AP:$AP, MATCH(DQ$4, Skill!$C:$C, 0), 1), "")</f>
        <v/>
      </c>
      <c r="DR16" s="94" t="str">
        <f t="array" ref="DR16">IFERROR(INDEX(Skill!$AP:$AP, MATCH(DR$4, Skill!$C:$C, 0), 1), "")</f>
        <v/>
      </c>
      <c r="DS16" s="94" t="str">
        <f t="array" ref="DS16">IFERROR(INDEX(Skill!$AP:$AP, MATCH(DS$4, Skill!$C:$C, 0), 1), "")</f>
        <v/>
      </c>
      <c r="DT16" s="94" t="str">
        <f t="array" ref="DT16">IFERROR(INDEX(Skill!$AP:$AP, MATCH(DT$4, Skill!$C:$C, 0), 1), "")</f>
        <v/>
      </c>
      <c r="DU16" s="94" t="str">
        <f t="array" ref="DU16">IFERROR(INDEX(Skill!$AP:$AP, MATCH(DU$4, Skill!$C:$C, 0), 1), "")</f>
        <v/>
      </c>
      <c r="DV16" s="94" t="str">
        <f t="array" ref="DV16">IFERROR(INDEX(Skill!$AP:$AP, MATCH(DV$4, Skill!$C:$C, 0), 1), "")</f>
        <v/>
      </c>
      <c r="DW16" s="94" t="str">
        <f t="array" ref="DW16">IFERROR(INDEX(Skill!$AP:$AP, MATCH(DW$4, Skill!$C:$C, 0), 1), "")</f>
        <v/>
      </c>
      <c r="DX16" s="94" t="str">
        <f t="array" ref="DX16">IFERROR(INDEX(Skill!$AP:$AP, MATCH(DX$4, Skill!$C:$C, 0), 1), "")</f>
        <v/>
      </c>
      <c r="DY16" s="94" t="str">
        <f t="array" ref="DY16">IFERROR(INDEX(Skill!$AP:$AP, MATCH(DY$4, Skill!$C:$C, 0), 1), "")</f>
        <v/>
      </c>
      <c r="DZ16" s="94" t="str">
        <f t="array" ref="DZ16">IFERROR(INDEX(Skill!$AP:$AP, MATCH(DZ$4, Skill!$C:$C, 0), 1), "")</f>
        <v/>
      </c>
      <c r="EA16" s="89" t="str">
        <f t="array" ref="EA16">IFERROR(INDEX(Skill!$AP:$AP, MATCH(EA$4, Skill!$C:$C, 0), 1), "")</f>
        <v/>
      </c>
      <c r="EB16" s="89" t="str">
        <f t="array" ref="EB16">IFERROR(INDEX(Skill!$AP:$AP, MATCH(EB$4, Skill!$C:$C, 0), 1), "")</f>
        <v/>
      </c>
      <c r="EC16" s="89" t="str">
        <f t="array" ref="EC16">IFERROR(INDEX(Skill!$AP:$AP, MATCH(EC$4, Skill!$C:$C, 0), 1), "")</f>
        <v/>
      </c>
      <c r="ED16" s="94" t="str">
        <f t="array" ref="ED16">IFERROR(INDEX(Skill!$AP:$AP, MATCH(ED$4, Skill!$C:$C, 0), 1), "")</f>
        <v/>
      </c>
      <c r="EE16" s="102"/>
      <c r="EF16" s="102"/>
      <c r="EG16" s="102"/>
      <c r="EH16" s="102"/>
      <c r="EI16" s="102"/>
      <c r="EJ16" s="102"/>
      <c r="EK16" s="102"/>
      <c r="EL16" s="102"/>
      <c r="EM16" s="102"/>
      <c r="EN16" s="102"/>
      <c r="EO16" s="102"/>
      <c r="EP16" s="102"/>
      <c r="EQ16" s="102"/>
      <c r="ER16" s="103"/>
      <c r="ES16" s="103"/>
      <c r="ET16" s="103"/>
      <c r="EU16" s="76"/>
      <c r="EV16" s="76"/>
      <c r="EW16" s="76"/>
      <c r="EX16" s="76"/>
      <c r="EY16" s="76"/>
      <c r="EZ16" s="76"/>
      <c r="FA16" s="76"/>
      <c r="FB16" s="76"/>
      <c r="FC16" s="76"/>
      <c r="FD16" s="76"/>
      <c r="FE16" s="76"/>
      <c r="FF16" s="76"/>
      <c r="FG16" s="76"/>
      <c r="FH16" s="76"/>
      <c r="FI16" s="76"/>
      <c r="FJ16" s="76"/>
      <c r="FK16" s="76"/>
      <c r="FL16" s="76"/>
      <c r="FM16" s="76"/>
      <c r="FN16" s="76"/>
      <c r="FO16" s="91"/>
    </row>
    <row r="17" hidden="1">
      <c r="B17" s="84"/>
      <c r="C17" s="83"/>
      <c r="D17" s="83"/>
      <c r="E17" s="104" t="s">
        <v>16</v>
      </c>
      <c r="F17" s="84"/>
      <c r="G17" s="84"/>
      <c r="H17" s="84"/>
      <c r="I17" s="84"/>
      <c r="J17" s="84"/>
      <c r="K17" s="94" t="str">
        <f t="array" ref="K17">IFERROR(INDEX(Skill!$U:$U, MATCH(K$4, Skill!$C:$C, 0), 1), "")</f>
        <v/>
      </c>
      <c r="L17" s="94" t="str">
        <f t="array" ref="L17">IFERROR(INDEX(Skill!$U:$U, MATCH(L$4, Skill!$C:$C, 0), 1), "")</f>
        <v/>
      </c>
      <c r="M17" s="94" t="str">
        <f t="array" ref="M17">IFERROR(INDEX(Skill!$U:$U, MATCH(M$4, Skill!$C:$C, 0), 1), "")</f>
        <v/>
      </c>
      <c r="N17" s="94" t="str">
        <f t="array" ref="N17">IFERROR(INDEX(Skill!$U:$U, MATCH(N$4, Skill!$C:$C, 0), 1), "")</f>
        <v>ランパート|センチネル|エクストリームガード</v>
      </c>
      <c r="O17" s="94" t="str">
        <f t="array" ref="O17">IFERROR(INDEX(Skill!$U:$U, MATCH(O$4, Skill!$C:$C, 0), 1), "")</f>
        <v/>
      </c>
      <c r="P17" s="94" t="str">
        <f t="array" ref="P17">IFERROR(INDEX(Skill!$U:$U, MATCH(P$4, Skill!$C:$C, 0), 1), "")</f>
        <v/>
      </c>
      <c r="Q17" s="94" t="str">
        <f t="array" ref="Q17">IFERROR(INDEX(Skill!$U:$U, MATCH(Q$4, Skill!$C:$C, 0), 1), "")</f>
        <v/>
      </c>
      <c r="R17" s="94" t="str">
        <f t="array" ref="R17">IFERROR(INDEX(Skill!$U:$U, MATCH(R$4, Skill!$C:$C, 0), 1), "")</f>
        <v/>
      </c>
      <c r="S17" s="94" t="str">
        <f t="array" ref="S17">IFERROR(INDEX(Skill!$U:$U, MATCH(S$4, Skill!$C:$C, 0), 1), "")</f>
        <v/>
      </c>
      <c r="T17" s="94" t="str">
        <f t="array" ref="T17">IFERROR(INDEX(Skill!$U:$U, MATCH(T$4, Skill!$C:$C, 0), 1), "")</f>
        <v/>
      </c>
      <c r="U17" s="94" t="str">
        <f t="array" ref="U17">IFERROR(INDEX(Skill!$U:$U, MATCH(U$4, Skill!$C:$C, 0), 1), "")</f>
        <v/>
      </c>
      <c r="V17" s="94" t="str">
        <f t="array" ref="V17">IFERROR(INDEX(Skill!$U:$U, MATCH(V$4, Skill!$C:$C, 0), 1), "")</f>
        <v/>
      </c>
      <c r="W17" s="94" t="str">
        <f t="array" ref="W17">IFERROR(INDEX(Skill!$U:$U, MATCH(W$4, Skill!$C:$C, 0), 1), "")</f>
        <v/>
      </c>
      <c r="X17" s="94" t="str">
        <f t="array" ref="X17">IFERROR(INDEX(Skill!$U:$U, MATCH(X$4, Skill!$C:$C, 0), 1), "")</f>
        <v/>
      </c>
      <c r="Y17" s="94" t="str">
        <f t="array" ref="Y17">IFERROR(INDEX(Skill!$U:$U, MATCH(Y$4, Skill!$C:$C, 0), 1), "")</f>
        <v/>
      </c>
      <c r="Z17" s="94" t="str">
        <f t="array" ref="Z17">IFERROR(INDEX(Skill!$U:$U, MATCH(Z$4, Skill!$C:$C, 0), 1), "")</f>
        <v/>
      </c>
      <c r="AA17" s="94" t="str">
        <f t="array" ref="AA17">IFERROR(INDEX(Skill!$U:$U, MATCH(AA$4, Skill!$C:$C, 0), 1), "")</f>
        <v/>
      </c>
      <c r="AB17" s="94" t="str">
        <f t="array" ref="AB17">IFERROR(INDEX(Skill!$U:$U, MATCH(AB$4, Skill!$C:$C, 0), 1), "")</f>
        <v/>
      </c>
      <c r="AC17" s="94" t="str">
        <f t="array" ref="AC17">IFERROR(INDEX(Skill!$U:$U, MATCH(AC$4, Skill!$C:$C, 0), 1), "")</f>
        <v/>
      </c>
      <c r="AD17" s="94" t="str">
        <f t="array" ref="AD17">IFERROR(INDEX(Skill!$U:$U, MATCH(AD$4, Skill!$C:$C, 0), 1), "")</f>
        <v/>
      </c>
      <c r="AE17" s="94" t="str">
        <f t="array" ref="AE17">IFERROR(INDEX(Skill!$U:$U, MATCH(AE$4, Skill!$C:$C, 0), 1), "")</f>
        <v/>
      </c>
      <c r="AF17" s="94" t="str">
        <f t="array" ref="AF17">IFERROR(INDEX(Skill!$U:$U, MATCH(AF$4, Skill!$C:$C, 0), 1), "")</f>
        <v/>
      </c>
      <c r="AG17" s="94" t="str">
        <f t="array" ref="AG17">IFERROR(INDEX(Skill!$U:$U, MATCH(AG$4, Skill!$C:$C, 0), 1), "")</f>
        <v/>
      </c>
      <c r="AH17" s="94" t="str">
        <f t="array" ref="AH17">IFERROR(INDEX(Skill!$U:$U, MATCH(AH$4, Skill!$C:$C, 0), 1), "")</f>
        <v/>
      </c>
      <c r="AI17" s="94" t="str">
        <f t="array" ref="AI17">IFERROR(INDEX(Skill!$U:$U, MATCH(AI$4, Skill!$C:$C, 0), 1), "")</f>
        <v/>
      </c>
      <c r="AJ17" s="94" t="str">
        <f t="array" ref="AJ17">IFERROR(INDEX(Skill!$U:$U, MATCH(AJ$4, Skill!$C:$C, 0), 1), "")</f>
        <v/>
      </c>
      <c r="AK17" s="94" t="str">
        <f t="array" ref="AK17">IFERROR(INDEX(Skill!$U:$U, MATCH(AK$4, Skill!$C:$C, 0), 1), "")</f>
        <v/>
      </c>
      <c r="AL17" s="94" t="str">
        <f t="array" ref="AL17">IFERROR(INDEX(Skill!$U:$U, MATCH(AL$4, Skill!$C:$C, 0), 1), "")</f>
        <v/>
      </c>
      <c r="AM17" s="94" t="str">
        <f t="array" ref="AM17">IFERROR(INDEX(Skill!$U:$U, MATCH(AM$4, Skill!$C:$C, 0), 1), "")</f>
        <v/>
      </c>
      <c r="AN17" s="94" t="str">
        <f t="array" ref="AN17">IFERROR(INDEX(Skill!$U:$U, MATCH(AN$4, Skill!$C:$C, 0), 1), "")</f>
        <v/>
      </c>
      <c r="AO17" s="94" t="str">
        <f t="array" ref="AO17">IFERROR(INDEX(Skill!$U:$U, MATCH(AO$4, Skill!$C:$C, 0), 1), "")</f>
        <v/>
      </c>
      <c r="AP17" s="94" t="str">
        <f t="array" ref="AP17">IFERROR(INDEX(Skill!$U:$U, MATCH(AP$4, Skill!$C:$C, 0), 1), "")</f>
        <v/>
      </c>
      <c r="AQ17" s="94" t="str">
        <f t="array" ref="AQ17">IFERROR(INDEX(Skill!$U:$U, MATCH(AQ$4, Skill!$C:$C, 0), 1), "")</f>
        <v/>
      </c>
      <c r="AR17" s="94" t="str">
        <f t="array" ref="AR17">IFERROR(INDEX(Skill!$U:$U, MATCH(AR$4, Skill!$C:$C, 0), 1), "")</f>
        <v/>
      </c>
      <c r="AS17" s="94" t="str">
        <f t="array" ref="AS17">IFERROR(INDEX(Skill!$U:$U, MATCH(AS$4, Skill!$C:$C, 0), 1), "")</f>
        <v/>
      </c>
      <c r="AT17" s="94" t="str">
        <f t="array" ref="AT17">IFERROR(INDEX(Skill!$U:$U, MATCH(AT$4, Skill!$C:$C, 0), 1), "")</f>
        <v/>
      </c>
      <c r="AU17" s="94" t="str">
        <f t="array" ref="AU17">IFERROR(INDEX(Skill!$U:$U, MATCH(AU$4, Skill!$C:$C, 0), 1), "")</f>
        <v/>
      </c>
      <c r="AV17" s="94" t="str">
        <f t="array" ref="AV17">IFERROR(INDEX(Skill!$U:$U, MATCH(AV$4, Skill!$C:$C, 0), 1), "")</f>
        <v/>
      </c>
      <c r="AW17" s="94" t="str">
        <f t="array" ref="AW17">IFERROR(INDEX(Skill!$U:$U, MATCH(AW$4, Skill!$C:$C, 0), 1), "")</f>
        <v/>
      </c>
      <c r="AX17" s="94" t="str">
        <f t="array" ref="AX17">IFERROR(INDEX(Skill!$U:$U, MATCH(AX$4, Skill!$C:$C, 0), 1), "")</f>
        <v/>
      </c>
      <c r="AY17" s="94" t="str">
        <f t="array" ref="AY17">IFERROR(INDEX(Skill!$U:$U, MATCH(AY$4, Skill!$C:$C, 0), 1), "")</f>
        <v/>
      </c>
      <c r="AZ17" s="94" t="str">
        <f t="array" ref="AZ17">IFERROR(INDEX(Skill!$U:$U, MATCH(AZ$4, Skill!$C:$C, 0), 1), "")</f>
        <v/>
      </c>
      <c r="BA17" s="94" t="str">
        <f t="array" ref="BA17">IFERROR(INDEX(Skill!$U:$U, MATCH(BA$4, Skill!$C:$C, 0), 1), "")</f>
        <v/>
      </c>
      <c r="BB17" s="94" t="str">
        <f t="array" ref="BB17">IFERROR(INDEX(Skill!$U:$U, MATCH(BB$4, Skill!$C:$C, 0), 1), "")</f>
        <v/>
      </c>
      <c r="BC17" s="94" t="str">
        <f t="array" ref="BC17">IFERROR(INDEX(Skill!$U:$U, MATCH(BC$4, Skill!$C:$C, 0), 1), "")</f>
        <v/>
      </c>
      <c r="BD17" s="94" t="str">
        <f t="array" ref="BD17">IFERROR(INDEX(Skill!$U:$U, MATCH(BD$4, Skill!$C:$C, 0), 1), "")</f>
        <v/>
      </c>
      <c r="BE17" s="94" t="str">
        <f t="array" ref="BE17">IFERROR(INDEX(Skill!$U:$U, MATCH(BE$4, Skill!$C:$C, 0), 1), "")</f>
        <v/>
      </c>
      <c r="BF17" s="94" t="str">
        <f t="array" ref="BF17">IFERROR(INDEX(Skill!$U:$U, MATCH(BF$4, Skill!$C:$C, 0), 1), "")</f>
        <v/>
      </c>
      <c r="BG17" s="94" t="str">
        <f t="array" ref="BG17">IFERROR(INDEX(Skill!$U:$U, MATCH(BG$4, Skill!$C:$C, 0), 1), "")</f>
        <v/>
      </c>
      <c r="BH17" s="94" t="str">
        <f t="array" ref="BH17">IFERROR(INDEX(Skill!$U:$U, MATCH(BH$4, Skill!$C:$C, 0), 1), "")</f>
        <v>ニュートラルセクト</v>
      </c>
      <c r="BI17" s="94" t="str">
        <f t="array" ref="BI17">IFERROR(INDEX(Skill!$U:$U, MATCH(BI$4, Skill!$C:$C, 0), 1), "")</f>
        <v/>
      </c>
      <c r="BJ17" s="94" t="str">
        <f t="array" ref="BJ17">IFERROR(INDEX(Skill!$U:$U, MATCH(BJ$4, Skill!$C:$C, 0), 1), "")</f>
        <v/>
      </c>
      <c r="BK17" s="94" t="str">
        <f t="array" ref="BK17">IFERROR(INDEX(Skill!$U:$U, MATCH(BK$4, Skill!$C:$C, 0), 1), "")</f>
        <v/>
      </c>
      <c r="BL17" s="94" t="str">
        <f t="array" ref="BL17">IFERROR(INDEX(Skill!$U:$U, MATCH(BL$4, Skill!$C:$C, 0), 1), "")</f>
        <v/>
      </c>
      <c r="BM17" s="94" t="str">
        <f t="array" ref="BM17">IFERROR(INDEX(Skill!$U:$U, MATCH(BM$4, Skill!$C:$C, 0), 1), "")</f>
        <v/>
      </c>
      <c r="BN17" s="94" t="str">
        <f t="array" ref="BN17">IFERROR(INDEX(Skill!$U:$U, MATCH(BN$4, Skill!$C:$C, 0), 1), "")</f>
        <v/>
      </c>
      <c r="BO17" s="94" t="str">
        <f t="array" ref="BO17">IFERROR(INDEX(Skill!$U:$U, MATCH(BO$4, Skill!$C:$C, 0), 1), "")</f>
        <v/>
      </c>
      <c r="BP17" s="94" t="str">
        <f t="array" ref="BP17">IFERROR(INDEX(Skill!$U:$U, MATCH(BP$4, Skill!$C:$C, 0), 1), "")</f>
        <v/>
      </c>
      <c r="BQ17" s="94" t="str">
        <f t="array" ref="BQ17">IFERROR(INDEX(Skill!$U:$U, MATCH(BQ$4, Skill!$C:$C, 0), 1), "")</f>
        <v/>
      </c>
      <c r="BR17" s="94" t="str">
        <f t="array" ref="BR17">IFERROR(INDEX(Skill!$U:$U, MATCH(BR$4, Skill!$C:$C, 0), 1), "")</f>
        <v/>
      </c>
      <c r="BS17" s="94" t="str">
        <f t="array" ref="BS17">IFERROR(INDEX(Skill!$U:$U, MATCH(BS$4, Skill!$C:$C, 0), 1), "")</f>
        <v/>
      </c>
      <c r="BT17" s="94" t="str">
        <f t="array" ref="BT17">IFERROR(INDEX(Skill!$U:$U, MATCH(BT$4, Skill!$C:$C, 0), 1), "")</f>
        <v/>
      </c>
      <c r="BU17" s="94" t="str">
        <f t="array" ref="BU17">IFERROR(INDEX(Skill!$U:$U, MATCH(BU$4, Skill!$C:$C, 0), 1), "")</f>
        <v/>
      </c>
      <c r="BV17" s="94" t="str">
        <f t="array" ref="BV17">IFERROR(INDEX(Skill!$U:$U, MATCH(BV$4, Skill!$C:$C, 0), 1), "")</f>
        <v/>
      </c>
      <c r="BW17" s="94" t="str">
        <f t="array" ref="BW17">IFERROR(INDEX(Skill!$U:$U, MATCH(BW$4, Skill!$C:$C, 0), 1), "")</f>
        <v/>
      </c>
      <c r="BX17" s="94" t="str">
        <f t="array" ref="BX17">IFERROR(INDEX(Skill!$U:$U, MATCH(BX$4, Skill!$C:$C, 0), 1), "")</f>
        <v>ニュートラルセクト</v>
      </c>
      <c r="BY17" s="94" t="str">
        <f t="array" ref="BY17">IFERROR(INDEX(Skill!$U:$U, MATCH(BY$4, Skill!$C:$C, 0), 1), "")</f>
        <v/>
      </c>
      <c r="BZ17" s="94" t="str">
        <f t="array" ref="BZ17">IFERROR(INDEX(Skill!$U:$U, MATCH(BZ$4, Skill!$C:$C, 0), 1), "")</f>
        <v/>
      </c>
      <c r="CA17" s="94" t="str">
        <f t="array" ref="CA17">IFERROR(INDEX(Skill!$U:$U, MATCH(CA$4, Skill!$C:$C, 0), 1), "")</f>
        <v/>
      </c>
      <c r="CB17" s="94" t="str">
        <f t="array" ref="CB17">IFERROR(INDEX(Skill!$U:$U, MATCH(CB$4, Skill!$C:$C, 0), 1), "")</f>
        <v/>
      </c>
      <c r="CC17" s="94" t="str">
        <f t="array" ref="CC17">IFERROR(INDEX(Skill!$U:$U, MATCH(CC$4, Skill!$C:$C, 0), 1), "")</f>
        <v/>
      </c>
      <c r="CD17" s="94" t="str">
        <f t="array" ref="CD17">IFERROR(INDEX(Skill!$U:$U, MATCH(CD$4, Skill!$C:$C, 0), 1), "")</f>
        <v/>
      </c>
      <c r="CE17" s="94" t="str">
        <f t="array" ref="CE17">IFERROR(INDEX(Skill!$U:$U, MATCH(CE$4, Skill!$C:$C, 0), 1), "")</f>
        <v/>
      </c>
      <c r="CF17" s="94" t="str">
        <f t="array" ref="CF17">IFERROR(INDEX(Skill!$U:$U, MATCH(CF$4, Skill!$C:$C, 0), 1), "")</f>
        <v/>
      </c>
      <c r="CG17" s="94" t="str">
        <f t="array" ref="CG17">IFERROR(INDEX(Skill!$U:$U, MATCH(CG$4, Skill!$C:$C, 0), 1), "")</f>
        <v/>
      </c>
      <c r="CH17" s="94" t="str">
        <f t="array" ref="CH17">IFERROR(INDEX(Skill!$U:$U, MATCH(CH$4, Skill!$C:$C, 0), 1), "")</f>
        <v/>
      </c>
      <c r="CI17" s="94" t="str">
        <f t="array" ref="CI17">IFERROR(INDEX(Skill!$U:$U, MATCH(CI$4, Skill!$C:$C, 0), 1), "")</f>
        <v/>
      </c>
      <c r="CJ17" s="94" t="str">
        <f t="array" ref="CJ17">IFERROR(INDEX(Skill!$U:$U, MATCH(CJ$4, Skill!$C:$C, 0), 1), "")</f>
        <v/>
      </c>
      <c r="CK17" s="94" t="str">
        <f t="array" ref="CK17">IFERROR(INDEX(Skill!$U:$U, MATCH(CK$4, Skill!$C:$C, 0), 1), "")</f>
        <v/>
      </c>
      <c r="CL17" s="94" t="str">
        <f t="array" ref="CL17">IFERROR(INDEX(Skill!$U:$U, MATCH(CL$4, Skill!$C:$C, 0), 1), "")</f>
        <v/>
      </c>
      <c r="CM17" s="94" t="str">
        <f t="array" ref="CM17">IFERROR(INDEX(Skill!$U:$U, MATCH(CM$4, Skill!$C:$C, 0), 1), "")</f>
        <v>秘策</v>
      </c>
      <c r="CN17" s="94" t="str">
        <f t="array" ref="CN17">IFERROR(INDEX(Skill!$U:$U, MATCH(CN$4, Skill!$C:$C, 0), 1), "")</f>
        <v/>
      </c>
      <c r="CO17" s="94" t="str">
        <f t="array" ref="CO17">IFERROR(INDEX(Skill!$U:$U, MATCH(CO$4, Skill!$C:$C, 0), 1), "")</f>
        <v/>
      </c>
      <c r="CP17" s="94" t="str">
        <f t="array" ref="CP17">IFERROR(INDEX(Skill!$U:$U, MATCH(CP$4, Skill!$C:$C, 0), 1), "")</f>
        <v>秘策</v>
      </c>
      <c r="CQ17" s="94" t="str">
        <f t="array" ref="CQ17">IFERROR(INDEX(Skill!$U:$U, MATCH(CQ$4, Skill!$C:$C, 0), 1), "")</f>
        <v/>
      </c>
      <c r="CR17" s="94" t="str">
        <f t="array" ref="CR17">IFERROR(INDEX(Skill!$U:$U, MATCH(CR$4, Skill!$C:$C, 0), 1), "")</f>
        <v/>
      </c>
      <c r="CS17" s="94" t="str">
        <f t="array" ref="CS17">IFERROR(INDEX(Skill!$U:$U, MATCH(CS$4, Skill!$C:$C, 0), 1), "")</f>
        <v/>
      </c>
      <c r="CT17" s="94" t="str">
        <f t="array" ref="CT17">IFERROR(INDEX(Skill!$U:$U, MATCH(CT$4, Skill!$C:$C, 0), 1), "")</f>
        <v/>
      </c>
      <c r="CU17" s="94" t="str">
        <f t="array" ref="CU17">IFERROR(INDEX(Skill!$U:$U, MATCH(CU$4, Skill!$C:$C, 0), 1), "")</f>
        <v/>
      </c>
      <c r="CV17" s="94" t="str">
        <f t="array" ref="CV17">IFERROR(INDEX(Skill!$U:$U, MATCH(CV$4, Skill!$C:$C, 0), 1), "")</f>
        <v/>
      </c>
      <c r="CW17" s="94" t="str">
        <f t="array" ref="CW17">IFERROR(INDEX(Skill!$U:$U, MATCH(CW$4, Skill!$C:$C, 0), 1), "")</f>
        <v/>
      </c>
      <c r="CX17" s="94" t="str">
        <f t="array" ref="CX17">IFERROR(INDEX(Skill!$U:$U, MATCH(CX$4, Skill!$C:$C, 0), 1), "")</f>
        <v/>
      </c>
      <c r="CY17" s="94" t="str">
        <f t="array" ref="CY17">IFERROR(INDEX(Skill!$U:$U, MATCH(CY$4, Skill!$C:$C, 0), 1), "")</f>
        <v/>
      </c>
      <c r="CZ17" s="94" t="str">
        <f t="array" ref="CZ17">IFERROR(INDEX(Skill!$U:$U, MATCH(CZ$4, Skill!$C:$C, 0), 1), "")</f>
        <v/>
      </c>
      <c r="DA17" s="94" t="str">
        <f t="array" ref="DA17">IFERROR(INDEX(Skill!$U:$U, MATCH(DA$4, Skill!$C:$C, 0), 1), "")</f>
        <v/>
      </c>
      <c r="DB17" s="94" t="str">
        <f t="array" ref="DB17">IFERROR(INDEX(Skill!$U:$U, MATCH(DB$4, Skill!$C:$C, 0), 1), "")</f>
        <v/>
      </c>
      <c r="DC17" s="94" t="str">
        <f t="array" ref="DC17">IFERROR(INDEX(Skill!$U:$U, MATCH(DC$4, Skill!$C:$C, 0), 1), "")</f>
        <v/>
      </c>
      <c r="DD17" s="94" t="str">
        <f t="array" ref="DD17">IFERROR(INDEX(Skill!$U:$U, MATCH(DD$4, Skill!$C:$C, 0), 1), "")</f>
        <v/>
      </c>
      <c r="DE17" s="94" t="str">
        <f t="array" ref="DE17">IFERROR(INDEX(Skill!$U:$U, MATCH(DE$4, Skill!$C:$C, 0), 1), "")</f>
        <v/>
      </c>
      <c r="DF17" s="94" t="str">
        <f t="array" ref="DF17">IFERROR(INDEX(Skill!$U:$U, MATCH(DF$4, Skill!$C:$C, 0), 1), "")</f>
        <v/>
      </c>
      <c r="DG17" s="94" t="str">
        <f t="array" ref="DG17">IFERROR(INDEX(Skill!$U:$U, MATCH(DG$4, Skill!$C:$C, 0), 1), "")</f>
        <v/>
      </c>
      <c r="DH17" s="94" t="str">
        <f t="array" ref="DH17">IFERROR(INDEX(Skill!$U:$U, MATCH(DH$4, Skill!$C:$C, 0), 1), "")</f>
        <v/>
      </c>
      <c r="DI17" s="94" t="str">
        <f t="array" ref="DI17">IFERROR(INDEX(Skill!$U:$U, MATCH(DI$4, Skill!$C:$C, 0), 1), "")</f>
        <v/>
      </c>
      <c r="DJ17" s="94" t="str">
        <f t="array" ref="DJ17">IFERROR(INDEX(Skill!$U:$U, MATCH(DJ$4, Skill!$C:$C, 0), 1), "")</f>
        <v/>
      </c>
      <c r="DK17" s="94" t="str">
        <f t="array" ref="DK17">IFERROR(INDEX(Skill!$U:$U, MATCH(DK$4, Skill!$C:$C, 0), 1), "")</f>
        <v/>
      </c>
      <c r="DL17" s="94" t="str">
        <f t="array" ref="DL17">IFERROR(INDEX(Skill!$U:$U, MATCH(DL$4, Skill!$C:$C, 0), 1), "")</f>
        <v/>
      </c>
      <c r="DM17" s="94" t="str">
        <f t="array" ref="DM17">IFERROR(INDEX(Skill!$U:$U, MATCH(DM$4, Skill!$C:$C, 0), 1), "")</f>
        <v/>
      </c>
      <c r="DN17" s="94" t="str">
        <f t="array" ref="DN17">IFERROR(INDEX(Skill!$U:$U, MATCH(DN$4, Skill!$C:$C, 0), 1), "")</f>
        <v/>
      </c>
      <c r="DO17" s="94" t="str">
        <f t="array" ref="DO17">IFERROR(INDEX(Skill!$U:$U, MATCH(DO$4, Skill!$C:$C, 0), 1), "")</f>
        <v/>
      </c>
      <c r="DP17" s="94" t="str">
        <f t="array" ref="DP17">IFERROR(INDEX(Skill!$U:$U, MATCH(DP$4, Skill!$C:$C, 0), 1), "")</f>
        <v/>
      </c>
      <c r="DQ17" s="94" t="str">
        <f t="array" ref="DQ17">IFERROR(INDEX(Skill!$U:$U, MATCH(DQ$4, Skill!$C:$C, 0), 1), "")</f>
        <v/>
      </c>
      <c r="DR17" s="94" t="str">
        <f t="array" ref="DR17">IFERROR(INDEX(Skill!$U:$U, MATCH(DR$4, Skill!$C:$C, 0), 1), "")</f>
        <v/>
      </c>
      <c r="DS17" s="94" t="str">
        <f t="array" ref="DS17">IFERROR(INDEX(Skill!$U:$U, MATCH(DS$4, Skill!$C:$C, 0), 1), "")</f>
        <v/>
      </c>
      <c r="DT17" s="94" t="str">
        <f t="array" ref="DT17">IFERROR(INDEX(Skill!$U:$U, MATCH(DT$4, Skill!$C:$C, 0), 1), "")</f>
        <v/>
      </c>
      <c r="DU17" s="94" t="str">
        <f t="array" ref="DU17">IFERROR(INDEX(Skill!$U:$U, MATCH(DU$4, Skill!$C:$C, 0), 1), "")</f>
        <v/>
      </c>
      <c r="DV17" s="94" t="str">
        <f t="array" ref="DV17">IFERROR(INDEX(Skill!$U:$U, MATCH(DV$4, Skill!$C:$C, 0), 1), "")</f>
        <v/>
      </c>
      <c r="DW17" s="94" t="str">
        <f t="array" ref="DW17">IFERROR(INDEX(Skill!$U:$U, MATCH(DW$4, Skill!$C:$C, 0), 1), "")</f>
        <v/>
      </c>
      <c r="DX17" s="94" t="str">
        <f t="array" ref="DX17">IFERROR(INDEX(Skill!$U:$U, MATCH(DX$4, Skill!$C:$C, 0), 1), "")</f>
        <v/>
      </c>
      <c r="DY17" s="94" t="str">
        <f t="array" ref="DY17">IFERROR(INDEX(Skill!$U:$U, MATCH(DY$4, Skill!$C:$C, 0), 1), "")</f>
        <v/>
      </c>
      <c r="DZ17" s="94" t="str">
        <f t="array" ref="DZ17">IFERROR(INDEX(Skill!$U:$U, MATCH(DZ$4, Skill!$C:$C, 0), 1), "")</f>
        <v/>
      </c>
      <c r="EA17" s="89" t="str">
        <f t="array" ref="EA17">IFERROR(INDEX(Skill!$U:$U, MATCH(EA$4, Skill!$C:$C, 0), 1), "")</f>
        <v/>
      </c>
      <c r="EB17" s="89" t="str">
        <f t="array" ref="EB17">IFERROR(INDEX(Skill!$U:$U, MATCH(EB$4, Skill!$C:$C, 0), 1), "")</f>
        <v/>
      </c>
      <c r="EC17" s="89" t="str">
        <f t="array" ref="EC17">IFERROR(INDEX(Skill!$U:$U, MATCH(EC$4, Skill!$C:$C, 0), 1), "")</f>
        <v/>
      </c>
      <c r="ED17" s="94" t="str">
        <f t="array" ref="ED17">IFERROR(INDEX(Skill!$U:$U, MATCH(ED$4, Skill!$C:$C, 0), 1), "")</f>
        <v/>
      </c>
      <c r="EE17" s="102"/>
      <c r="EF17" s="102"/>
      <c r="EG17" s="102"/>
      <c r="EH17" s="102"/>
      <c r="EI17" s="102"/>
      <c r="EJ17" s="102"/>
      <c r="EK17" s="102"/>
      <c r="EL17" s="102"/>
      <c r="EM17" s="102"/>
      <c r="EN17" s="102"/>
      <c r="EO17" s="102"/>
      <c r="EP17" s="102"/>
      <c r="EQ17" s="102"/>
      <c r="ER17" s="103"/>
      <c r="ES17" s="103"/>
      <c r="ET17" s="103"/>
      <c r="EU17" s="76"/>
      <c r="EV17" s="76"/>
      <c r="EW17" s="76"/>
      <c r="EX17" s="76"/>
      <c r="EY17" s="76"/>
      <c r="EZ17" s="76"/>
      <c r="FA17" s="76"/>
      <c r="FB17" s="76"/>
      <c r="FC17" s="76"/>
      <c r="FD17" s="76"/>
      <c r="FE17" s="76"/>
      <c r="FF17" s="76"/>
      <c r="FG17" s="76"/>
      <c r="FH17" s="76"/>
      <c r="FI17" s="76"/>
      <c r="FJ17" s="76"/>
      <c r="FK17" s="76"/>
      <c r="FL17" s="76"/>
      <c r="FM17" s="76"/>
      <c r="FN17" s="76"/>
      <c r="FO17" s="91"/>
    </row>
    <row r="18" hidden="1">
      <c r="B18" s="84"/>
      <c r="C18" s="83"/>
      <c r="D18" s="83"/>
      <c r="E18" s="105" t="s">
        <v>11</v>
      </c>
      <c r="F18" s="84"/>
      <c r="G18" s="84"/>
      <c r="H18" s="84"/>
      <c r="I18" s="84"/>
      <c r="J18" s="84"/>
      <c r="K18" s="94" t="str">
        <f t="array" ref="K18">IFERROR(INDEX(Skill!$X:$X, MATCH(K$4, Skill!$C:$C, 0), 1), "")</f>
        <v/>
      </c>
      <c r="L18" s="94" t="str">
        <f t="array" ref="L18">IFERROR(INDEX(Skill!$X:$X, MATCH(L$4, Skill!$C:$C, 0), 1), "")</f>
        <v/>
      </c>
      <c r="M18" s="94" t="str">
        <f t="array" ref="M18">IFERROR(INDEX(Skill!$X:$X, MATCH(M$4, Skill!$C:$C, 0), 1), "")</f>
        <v/>
      </c>
      <c r="N18" s="94">
        <f t="array" ref="N18">IFERROR(INDEX(Skill!$X:$X, MATCH(N$4, Skill!$C:$C, 0), 1), "")</f>
        <v>0.8</v>
      </c>
      <c r="O18" s="94" t="str">
        <f t="array" ref="O18">IFERROR(INDEX(Skill!$X:$X, MATCH(O$4, Skill!$C:$C, 0), 1), "")</f>
        <v/>
      </c>
      <c r="P18" s="94" t="str">
        <f t="array" ref="P18">IFERROR(INDEX(Skill!$X:$X, MATCH(P$4, Skill!$C:$C, 0), 1), "")</f>
        <v/>
      </c>
      <c r="Q18" s="94" t="str">
        <f t="array" ref="Q18">IFERROR(INDEX(Skill!$X:$X, MATCH(Q$4, Skill!$C:$C, 0), 1), "")</f>
        <v/>
      </c>
      <c r="R18" s="94" t="str">
        <f t="array" ref="R18">IFERROR(INDEX(Skill!$X:$X, MATCH(R$4, Skill!$C:$C, 0), 1), "")</f>
        <v/>
      </c>
      <c r="S18" s="94" t="str">
        <f t="array" ref="S18">IFERROR(INDEX(Skill!$X:$X, MATCH(S$4, Skill!$C:$C, 0), 1), "")</f>
        <v/>
      </c>
      <c r="T18" s="94" t="str">
        <f t="array" ref="T18">IFERROR(INDEX(Skill!$X:$X, MATCH(T$4, Skill!$C:$C, 0), 1), "")</f>
        <v/>
      </c>
      <c r="U18" s="94" t="str">
        <f t="array" ref="U18">IFERROR(INDEX(Skill!$X:$X, MATCH(U$4, Skill!$C:$C, 0), 1), "")</f>
        <v/>
      </c>
      <c r="V18" s="94" t="str">
        <f t="array" ref="V18">IFERROR(INDEX(Skill!$X:$X, MATCH(V$4, Skill!$C:$C, 0), 1), "")</f>
        <v/>
      </c>
      <c r="W18" s="94" t="str">
        <f t="array" ref="W18">IFERROR(INDEX(Skill!$X:$X, MATCH(W$4, Skill!$C:$C, 0), 1), "")</f>
        <v/>
      </c>
      <c r="X18" s="94" t="str">
        <f t="array" ref="X18">IFERROR(INDEX(Skill!$X:$X, MATCH(X$4, Skill!$C:$C, 0), 1), "")</f>
        <v/>
      </c>
      <c r="Y18" s="94" t="str">
        <f t="array" ref="Y18">IFERROR(INDEX(Skill!$X:$X, MATCH(Y$4, Skill!$C:$C, 0), 1), "")</f>
        <v/>
      </c>
      <c r="Z18" s="94" t="str">
        <f t="array" ref="Z18">IFERROR(INDEX(Skill!$X:$X, MATCH(Z$4, Skill!$C:$C, 0), 1), "")</f>
        <v/>
      </c>
      <c r="AA18" s="94" t="str">
        <f t="array" ref="AA18">IFERROR(INDEX(Skill!$X:$X, MATCH(AA$4, Skill!$C:$C, 0), 1), "")</f>
        <v/>
      </c>
      <c r="AB18" s="94" t="str">
        <f t="array" ref="AB18">IFERROR(INDEX(Skill!$X:$X, MATCH(AB$4, Skill!$C:$C, 0), 1), "")</f>
        <v/>
      </c>
      <c r="AC18" s="94" t="str">
        <f t="array" ref="AC18">IFERROR(INDEX(Skill!$X:$X, MATCH(AC$4, Skill!$C:$C, 0), 1), "")</f>
        <v/>
      </c>
      <c r="AD18" s="94" t="str">
        <f t="array" ref="AD18">IFERROR(INDEX(Skill!$X:$X, MATCH(AD$4, Skill!$C:$C, 0), 1), "")</f>
        <v/>
      </c>
      <c r="AE18" s="94" t="str">
        <f t="array" ref="AE18">IFERROR(INDEX(Skill!$X:$X, MATCH(AE$4, Skill!$C:$C, 0), 1), "")</f>
        <v/>
      </c>
      <c r="AF18" s="94" t="str">
        <f t="array" ref="AF18">IFERROR(INDEX(Skill!$X:$X, MATCH(AF$4, Skill!$C:$C, 0), 1), "")</f>
        <v/>
      </c>
      <c r="AG18" s="94" t="str">
        <f t="array" ref="AG18">IFERROR(INDEX(Skill!$X:$X, MATCH(AG$4, Skill!$C:$C, 0), 1), "")</f>
        <v/>
      </c>
      <c r="AH18" s="94" t="str">
        <f t="array" ref="AH18">IFERROR(INDEX(Skill!$X:$X, MATCH(AH$4, Skill!$C:$C, 0), 1), "")</f>
        <v/>
      </c>
      <c r="AI18" s="94" t="str">
        <f t="array" ref="AI18">IFERROR(INDEX(Skill!$X:$X, MATCH(AI$4, Skill!$C:$C, 0), 1), "")</f>
        <v/>
      </c>
      <c r="AJ18" s="94" t="str">
        <f t="array" ref="AJ18">IFERROR(INDEX(Skill!$X:$X, MATCH(AJ$4, Skill!$C:$C, 0), 1), "")</f>
        <v/>
      </c>
      <c r="AK18" s="94" t="str">
        <f t="array" ref="AK18">IFERROR(INDEX(Skill!$X:$X, MATCH(AK$4, Skill!$C:$C, 0), 1), "")</f>
        <v/>
      </c>
      <c r="AL18" s="94" t="str">
        <f t="array" ref="AL18">IFERROR(INDEX(Skill!$X:$X, MATCH(AL$4, Skill!$C:$C, 0), 1), "")</f>
        <v/>
      </c>
      <c r="AM18" s="94" t="str">
        <f t="array" ref="AM18">IFERROR(INDEX(Skill!$X:$X, MATCH(AM$4, Skill!$C:$C, 0), 1), "")</f>
        <v/>
      </c>
      <c r="AN18" s="94" t="str">
        <f t="array" ref="AN18">IFERROR(INDEX(Skill!$X:$X, MATCH(AN$4, Skill!$C:$C, 0), 1), "")</f>
        <v/>
      </c>
      <c r="AO18" s="94" t="str">
        <f t="array" ref="AO18">IFERROR(INDEX(Skill!$X:$X, MATCH(AO$4, Skill!$C:$C, 0), 1), "")</f>
        <v/>
      </c>
      <c r="AP18" s="94" t="str">
        <f t="array" ref="AP18">IFERROR(INDEX(Skill!$X:$X, MATCH(AP$4, Skill!$C:$C, 0), 1), "")</f>
        <v/>
      </c>
      <c r="AQ18" s="94" t="str">
        <f t="array" ref="AQ18">IFERROR(INDEX(Skill!$X:$X, MATCH(AQ$4, Skill!$C:$C, 0), 1), "")</f>
        <v/>
      </c>
      <c r="AR18" s="94" t="str">
        <f t="array" ref="AR18">IFERROR(INDEX(Skill!$X:$X, MATCH(AR$4, Skill!$C:$C, 0), 1), "")</f>
        <v/>
      </c>
      <c r="AS18" s="94" t="str">
        <f t="array" ref="AS18">IFERROR(INDEX(Skill!$X:$X, MATCH(AS$4, Skill!$C:$C, 0), 1), "")</f>
        <v/>
      </c>
      <c r="AT18" s="94" t="str">
        <f t="array" ref="AT18">IFERROR(INDEX(Skill!$X:$X, MATCH(AT$4, Skill!$C:$C, 0), 1), "")</f>
        <v/>
      </c>
      <c r="AU18" s="94" t="str">
        <f t="array" ref="AU18">IFERROR(INDEX(Skill!$X:$X, MATCH(AU$4, Skill!$C:$C, 0), 1), "")</f>
        <v/>
      </c>
      <c r="AV18" s="94" t="str">
        <f t="array" ref="AV18">IFERROR(INDEX(Skill!$X:$X, MATCH(AV$4, Skill!$C:$C, 0), 1), "")</f>
        <v/>
      </c>
      <c r="AW18" s="94" t="str">
        <f t="array" ref="AW18">IFERROR(INDEX(Skill!$X:$X, MATCH(AW$4, Skill!$C:$C, 0), 1), "")</f>
        <v/>
      </c>
      <c r="AX18" s="94" t="str">
        <f t="array" ref="AX18">IFERROR(INDEX(Skill!$X:$X, MATCH(AX$4, Skill!$C:$C, 0), 1), "")</f>
        <v/>
      </c>
      <c r="AY18" s="94" t="str">
        <f t="array" ref="AY18">IFERROR(INDEX(Skill!$X:$X, MATCH(AY$4, Skill!$C:$C, 0), 1), "")</f>
        <v/>
      </c>
      <c r="AZ18" s="94" t="str">
        <f t="array" ref="AZ18">IFERROR(INDEX(Skill!$X:$X, MATCH(AZ$4, Skill!$C:$C, 0), 1), "")</f>
        <v/>
      </c>
      <c r="BA18" s="94" t="str">
        <f t="array" ref="BA18">IFERROR(INDEX(Skill!$X:$X, MATCH(BA$4, Skill!$C:$C, 0), 1), "")</f>
        <v/>
      </c>
      <c r="BB18" s="94" t="str">
        <f t="array" ref="BB18">IFERROR(INDEX(Skill!$X:$X, MATCH(BB$4, Skill!$C:$C, 0), 1), "")</f>
        <v/>
      </c>
      <c r="BC18" s="94" t="str">
        <f t="array" ref="BC18">IFERROR(INDEX(Skill!$X:$X, MATCH(BC$4, Skill!$C:$C, 0), 1), "")</f>
        <v/>
      </c>
      <c r="BD18" s="94" t="str">
        <f t="array" ref="BD18">IFERROR(INDEX(Skill!$X:$X, MATCH(BD$4, Skill!$C:$C, 0), 1), "")</f>
        <v/>
      </c>
      <c r="BE18" s="94" t="str">
        <f t="array" ref="BE18">IFERROR(INDEX(Skill!$X:$X, MATCH(BE$4, Skill!$C:$C, 0), 1), "")</f>
        <v/>
      </c>
      <c r="BF18" s="94" t="str">
        <f t="array" ref="BF18">IFERROR(INDEX(Skill!$X:$X, MATCH(BF$4, Skill!$C:$C, 0), 1), "")</f>
        <v/>
      </c>
      <c r="BG18" s="94" t="str">
        <f t="array" ref="BG18">IFERROR(INDEX(Skill!$X:$X, MATCH(BG$4, Skill!$C:$C, 0), 1), "")</f>
        <v/>
      </c>
      <c r="BH18" s="94" t="str">
        <f t="array" ref="BH18">IFERROR(INDEX(Skill!$X:$X, MATCH(BH$4, Skill!$C:$C, 0), 1), "")</f>
        <v/>
      </c>
      <c r="BI18" s="94" t="str">
        <f t="array" ref="BI18">IFERROR(INDEX(Skill!$X:$X, MATCH(BI$4, Skill!$C:$C, 0), 1), "")</f>
        <v/>
      </c>
      <c r="BJ18" s="94" t="str">
        <f t="array" ref="BJ18">IFERROR(INDEX(Skill!$X:$X, MATCH(BJ$4, Skill!$C:$C, 0), 1), "")</f>
        <v/>
      </c>
      <c r="BK18" s="94" t="str">
        <f t="array" ref="BK18">IFERROR(INDEX(Skill!$X:$X, MATCH(BK$4, Skill!$C:$C, 0), 1), "")</f>
        <v/>
      </c>
      <c r="BL18" s="94" t="str">
        <f t="array" ref="BL18">IFERROR(INDEX(Skill!$X:$X, MATCH(BL$4, Skill!$C:$C, 0), 1), "")</f>
        <v/>
      </c>
      <c r="BM18" s="94" t="str">
        <f t="array" ref="BM18">IFERROR(INDEX(Skill!$X:$X, MATCH(BM$4, Skill!$C:$C, 0), 1), "")</f>
        <v/>
      </c>
      <c r="BN18" s="94" t="str">
        <f t="array" ref="BN18">IFERROR(INDEX(Skill!$X:$X, MATCH(BN$4, Skill!$C:$C, 0), 1), "")</f>
        <v/>
      </c>
      <c r="BO18" s="94" t="str">
        <f t="array" ref="BO18">IFERROR(INDEX(Skill!$X:$X, MATCH(BO$4, Skill!$C:$C, 0), 1), "")</f>
        <v/>
      </c>
      <c r="BP18" s="94" t="str">
        <f t="array" ref="BP18">IFERROR(INDEX(Skill!$X:$X, MATCH(BP$4, Skill!$C:$C, 0), 1), "")</f>
        <v/>
      </c>
      <c r="BQ18" s="94" t="str">
        <f t="array" ref="BQ18">IFERROR(INDEX(Skill!$X:$X, MATCH(BQ$4, Skill!$C:$C, 0), 1), "")</f>
        <v/>
      </c>
      <c r="BR18" s="94" t="str">
        <f t="array" ref="BR18">IFERROR(INDEX(Skill!$X:$X, MATCH(BR$4, Skill!$C:$C, 0), 1), "")</f>
        <v/>
      </c>
      <c r="BS18" s="94" t="str">
        <f t="array" ref="BS18">IFERROR(INDEX(Skill!$X:$X, MATCH(BS$4, Skill!$C:$C, 0), 1), "")</f>
        <v/>
      </c>
      <c r="BT18" s="94" t="str">
        <f t="array" ref="BT18">IFERROR(INDEX(Skill!$X:$X, MATCH(BT$4, Skill!$C:$C, 0), 1), "")</f>
        <v/>
      </c>
      <c r="BU18" s="94" t="str">
        <f t="array" ref="BU18">IFERROR(INDEX(Skill!$X:$X, MATCH(BU$4, Skill!$C:$C, 0), 1), "")</f>
        <v/>
      </c>
      <c r="BV18" s="94" t="str">
        <f t="array" ref="BV18">IFERROR(INDEX(Skill!$X:$X, MATCH(BV$4, Skill!$C:$C, 0), 1), "")</f>
        <v/>
      </c>
      <c r="BW18" s="94" t="str">
        <f t="array" ref="BW18">IFERROR(INDEX(Skill!$X:$X, MATCH(BW$4, Skill!$C:$C, 0), 1), "")</f>
        <v/>
      </c>
      <c r="BX18" s="94" t="str">
        <f t="array" ref="BX18">IFERROR(INDEX(Skill!$X:$X, MATCH(BX$4, Skill!$C:$C, 0), 1), "")</f>
        <v/>
      </c>
      <c r="BY18" s="94" t="str">
        <f t="array" ref="BY18">IFERROR(INDEX(Skill!$X:$X, MATCH(BY$4, Skill!$C:$C, 0), 1), "")</f>
        <v/>
      </c>
      <c r="BZ18" s="94" t="str">
        <f t="array" ref="BZ18">IFERROR(INDEX(Skill!$X:$X, MATCH(BZ$4, Skill!$C:$C, 0), 1), "")</f>
        <v/>
      </c>
      <c r="CA18" s="94" t="str">
        <f t="array" ref="CA18">IFERROR(INDEX(Skill!$X:$X, MATCH(CA$4, Skill!$C:$C, 0), 1), "")</f>
        <v/>
      </c>
      <c r="CB18" s="94" t="str">
        <f t="array" ref="CB18">IFERROR(INDEX(Skill!$X:$X, MATCH(CB$4, Skill!$C:$C, 0), 1), "")</f>
        <v/>
      </c>
      <c r="CC18" s="94" t="str">
        <f t="array" ref="CC18">IFERROR(INDEX(Skill!$X:$X, MATCH(CC$4, Skill!$C:$C, 0), 1), "")</f>
        <v/>
      </c>
      <c r="CD18" s="94" t="str">
        <f t="array" ref="CD18">IFERROR(INDEX(Skill!$X:$X, MATCH(CD$4, Skill!$C:$C, 0), 1), "")</f>
        <v/>
      </c>
      <c r="CE18" s="94" t="str">
        <f t="array" ref="CE18">IFERROR(INDEX(Skill!$X:$X, MATCH(CE$4, Skill!$C:$C, 0), 1), "")</f>
        <v/>
      </c>
      <c r="CF18" s="94" t="str">
        <f t="array" ref="CF18">IFERROR(INDEX(Skill!$X:$X, MATCH(CF$4, Skill!$C:$C, 0), 1), "")</f>
        <v/>
      </c>
      <c r="CG18" s="94" t="str">
        <f t="array" ref="CG18">IFERROR(INDEX(Skill!$X:$X, MATCH(CG$4, Skill!$C:$C, 0), 1), "")</f>
        <v/>
      </c>
      <c r="CH18" s="94" t="str">
        <f t="array" ref="CH18">IFERROR(INDEX(Skill!$X:$X, MATCH(CH$4, Skill!$C:$C, 0), 1), "")</f>
        <v/>
      </c>
      <c r="CI18" s="94" t="str">
        <f t="array" ref="CI18">IFERROR(INDEX(Skill!$X:$X, MATCH(CI$4, Skill!$C:$C, 0), 1), "")</f>
        <v/>
      </c>
      <c r="CJ18" s="94" t="str">
        <f t="array" ref="CJ18">IFERROR(INDEX(Skill!$X:$X, MATCH(CJ$4, Skill!$C:$C, 0), 1), "")</f>
        <v/>
      </c>
      <c r="CK18" s="94" t="str">
        <f t="array" ref="CK18">IFERROR(INDEX(Skill!$X:$X, MATCH(CK$4, Skill!$C:$C, 0), 1), "")</f>
        <v/>
      </c>
      <c r="CL18" s="94" t="str">
        <f t="array" ref="CL18">IFERROR(INDEX(Skill!$X:$X, MATCH(CL$4, Skill!$C:$C, 0), 1), "")</f>
        <v/>
      </c>
      <c r="CM18" s="94" t="str">
        <f t="array" ref="CM18">IFERROR(INDEX(Skill!$X:$X, MATCH(CM$4, Skill!$C:$C, 0), 1), "")</f>
        <v/>
      </c>
      <c r="CN18" s="94" t="str">
        <f t="array" ref="CN18">IFERROR(INDEX(Skill!$X:$X, MATCH(CN$4, Skill!$C:$C, 0), 1), "")</f>
        <v/>
      </c>
      <c r="CO18" s="94" t="str">
        <f t="array" ref="CO18">IFERROR(INDEX(Skill!$X:$X, MATCH(CO$4, Skill!$C:$C, 0), 1), "")</f>
        <v/>
      </c>
      <c r="CP18" s="94" t="str">
        <f t="array" ref="CP18">IFERROR(INDEX(Skill!$X:$X, MATCH(CP$4, Skill!$C:$C, 0), 1), "")</f>
        <v/>
      </c>
      <c r="CQ18" s="94" t="str">
        <f t="array" ref="CQ18">IFERROR(INDEX(Skill!$X:$X, MATCH(CQ$4, Skill!$C:$C, 0), 1), "")</f>
        <v/>
      </c>
      <c r="CR18" s="94" t="str">
        <f t="array" ref="CR18">IFERROR(INDEX(Skill!$X:$X, MATCH(CR$4, Skill!$C:$C, 0), 1), "")</f>
        <v/>
      </c>
      <c r="CS18" s="94" t="str">
        <f t="array" ref="CS18">IFERROR(INDEX(Skill!$X:$X, MATCH(CS$4, Skill!$C:$C, 0), 1), "")</f>
        <v/>
      </c>
      <c r="CT18" s="94" t="str">
        <f t="array" ref="CT18">IFERROR(INDEX(Skill!$X:$X, MATCH(CT$4, Skill!$C:$C, 0), 1), "")</f>
        <v/>
      </c>
      <c r="CU18" s="94" t="str">
        <f t="array" ref="CU18">IFERROR(INDEX(Skill!$X:$X, MATCH(CU$4, Skill!$C:$C, 0), 1), "")</f>
        <v/>
      </c>
      <c r="CV18" s="94" t="str">
        <f t="array" ref="CV18">IFERROR(INDEX(Skill!$X:$X, MATCH(CV$4, Skill!$C:$C, 0), 1), "")</f>
        <v/>
      </c>
      <c r="CW18" s="94" t="str">
        <f t="array" ref="CW18">IFERROR(INDEX(Skill!$X:$X, MATCH(CW$4, Skill!$C:$C, 0), 1), "")</f>
        <v/>
      </c>
      <c r="CX18" s="94" t="str">
        <f t="array" ref="CX18">IFERROR(INDEX(Skill!$X:$X, MATCH(CX$4, Skill!$C:$C, 0), 1), "")</f>
        <v/>
      </c>
      <c r="CY18" s="94" t="str">
        <f t="array" ref="CY18">IFERROR(INDEX(Skill!$X:$X, MATCH(CY$4, Skill!$C:$C, 0), 1), "")</f>
        <v/>
      </c>
      <c r="CZ18" s="94" t="str">
        <f t="array" ref="CZ18">IFERROR(INDEX(Skill!$X:$X, MATCH(CZ$4, Skill!$C:$C, 0), 1), "")</f>
        <v/>
      </c>
      <c r="DA18" s="94" t="str">
        <f t="array" ref="DA18">IFERROR(INDEX(Skill!$X:$X, MATCH(DA$4, Skill!$C:$C, 0), 1), "")</f>
        <v/>
      </c>
      <c r="DB18" s="94" t="str">
        <f t="array" ref="DB18">IFERROR(INDEX(Skill!$X:$X, MATCH(DB$4, Skill!$C:$C, 0), 1), "")</f>
        <v/>
      </c>
      <c r="DC18" s="94" t="str">
        <f t="array" ref="DC18">IFERROR(INDEX(Skill!$X:$X, MATCH(DC$4, Skill!$C:$C, 0), 1), "")</f>
        <v/>
      </c>
      <c r="DD18" s="94" t="str">
        <f t="array" ref="DD18">IFERROR(INDEX(Skill!$X:$X, MATCH(DD$4, Skill!$C:$C, 0), 1), "")</f>
        <v/>
      </c>
      <c r="DE18" s="94" t="str">
        <f t="array" ref="DE18">IFERROR(INDEX(Skill!$X:$X, MATCH(DE$4, Skill!$C:$C, 0), 1), "")</f>
        <v/>
      </c>
      <c r="DF18" s="94" t="str">
        <f t="array" ref="DF18">IFERROR(INDEX(Skill!$X:$X, MATCH(DF$4, Skill!$C:$C, 0), 1), "")</f>
        <v/>
      </c>
      <c r="DG18" s="94" t="str">
        <f t="array" ref="DG18">IFERROR(INDEX(Skill!$X:$X, MATCH(DG$4, Skill!$C:$C, 0), 1), "")</f>
        <v/>
      </c>
      <c r="DH18" s="94" t="str">
        <f t="array" ref="DH18">IFERROR(INDEX(Skill!$X:$X, MATCH(DH$4, Skill!$C:$C, 0), 1), "")</f>
        <v/>
      </c>
      <c r="DI18" s="94" t="str">
        <f t="array" ref="DI18">IFERROR(INDEX(Skill!$X:$X, MATCH(DI$4, Skill!$C:$C, 0), 1), "")</f>
        <v/>
      </c>
      <c r="DJ18" s="94" t="str">
        <f t="array" ref="DJ18">IFERROR(INDEX(Skill!$X:$X, MATCH(DJ$4, Skill!$C:$C, 0), 1), "")</f>
        <v/>
      </c>
      <c r="DK18" s="94" t="str">
        <f t="array" ref="DK18">IFERROR(INDEX(Skill!$X:$X, MATCH(DK$4, Skill!$C:$C, 0), 1), "")</f>
        <v/>
      </c>
      <c r="DL18" s="94" t="str">
        <f t="array" ref="DL18">IFERROR(INDEX(Skill!$X:$X, MATCH(DL$4, Skill!$C:$C, 0), 1), "")</f>
        <v/>
      </c>
      <c r="DM18" s="94" t="str">
        <f t="array" ref="DM18">IFERROR(INDEX(Skill!$X:$X, MATCH(DM$4, Skill!$C:$C, 0), 1), "")</f>
        <v/>
      </c>
      <c r="DN18" s="94" t="str">
        <f t="array" ref="DN18">IFERROR(INDEX(Skill!$X:$X, MATCH(DN$4, Skill!$C:$C, 0), 1), "")</f>
        <v/>
      </c>
      <c r="DO18" s="94" t="str">
        <f t="array" ref="DO18">IFERROR(INDEX(Skill!$X:$X, MATCH(DO$4, Skill!$C:$C, 0), 1), "")</f>
        <v/>
      </c>
      <c r="DP18" s="94" t="str">
        <f t="array" ref="DP18">IFERROR(INDEX(Skill!$X:$X, MATCH(DP$4, Skill!$C:$C, 0), 1), "")</f>
        <v/>
      </c>
      <c r="DQ18" s="94" t="str">
        <f t="array" ref="DQ18">IFERROR(INDEX(Skill!$X:$X, MATCH(DQ$4, Skill!$C:$C, 0), 1), "")</f>
        <v/>
      </c>
      <c r="DR18" s="94" t="str">
        <f t="array" ref="DR18">IFERROR(INDEX(Skill!$X:$X, MATCH(DR$4, Skill!$C:$C, 0), 1), "")</f>
        <v/>
      </c>
      <c r="DS18" s="94" t="str">
        <f t="array" ref="DS18">IFERROR(INDEX(Skill!$X:$X, MATCH(DS$4, Skill!$C:$C, 0), 1), "")</f>
        <v/>
      </c>
      <c r="DT18" s="94" t="str">
        <f t="array" ref="DT18">IFERROR(INDEX(Skill!$X:$X, MATCH(DT$4, Skill!$C:$C, 0), 1), "")</f>
        <v/>
      </c>
      <c r="DU18" s="94" t="str">
        <f t="array" ref="DU18">IFERROR(INDEX(Skill!$X:$X, MATCH(DU$4, Skill!$C:$C, 0), 1), "")</f>
        <v/>
      </c>
      <c r="DV18" s="94" t="str">
        <f t="array" ref="DV18">IFERROR(INDEX(Skill!$X:$X, MATCH(DV$4, Skill!$C:$C, 0), 1), "")</f>
        <v/>
      </c>
      <c r="DW18" s="94" t="str">
        <f t="array" ref="DW18">IFERROR(INDEX(Skill!$X:$X, MATCH(DW$4, Skill!$C:$C, 0), 1), "")</f>
        <v/>
      </c>
      <c r="DX18" s="94" t="str">
        <f t="array" ref="DX18">IFERROR(INDEX(Skill!$X:$X, MATCH(DX$4, Skill!$C:$C, 0), 1), "")</f>
        <v/>
      </c>
      <c r="DY18" s="94" t="str">
        <f t="array" ref="DY18">IFERROR(INDEX(Skill!$X:$X, MATCH(DY$4, Skill!$C:$C, 0), 1), "")</f>
        <v/>
      </c>
      <c r="DZ18" s="94" t="str">
        <f t="array" ref="DZ18">IFERROR(INDEX(Skill!$X:$X, MATCH(DZ$4, Skill!$C:$C, 0), 1), "")</f>
        <v/>
      </c>
      <c r="EA18" s="89" t="str">
        <f t="array" ref="EA18">IFERROR(INDEX(Skill!$X:$X, MATCH(EA$4, Skill!$C:$C, 0), 1), "")</f>
        <v/>
      </c>
      <c r="EB18" s="89" t="str">
        <f t="array" ref="EB18">IFERROR(INDEX(Skill!$X:$X, MATCH(EB$4, Skill!$C:$C, 0), 1), "")</f>
        <v/>
      </c>
      <c r="EC18" s="89" t="str">
        <f t="array" ref="EC18">IFERROR(INDEX(Skill!$X:$X, MATCH(EC$4, Skill!$C:$C, 0), 1), "")</f>
        <v/>
      </c>
      <c r="ED18" s="94" t="str">
        <f t="array" ref="ED18">IFERROR(INDEX(Skill!$X:$X, MATCH(ED$4, Skill!$C:$C, 0), 1), "")</f>
        <v/>
      </c>
      <c r="EE18" s="102"/>
      <c r="EF18" s="102"/>
      <c r="EG18" s="102"/>
      <c r="EH18" s="102"/>
      <c r="EI18" s="102"/>
      <c r="EJ18" s="102"/>
      <c r="EK18" s="102"/>
      <c r="EL18" s="102"/>
      <c r="EM18" s="102"/>
      <c r="EN18" s="102"/>
      <c r="EO18" s="102"/>
      <c r="EP18" s="102"/>
      <c r="EQ18" s="102"/>
      <c r="ER18" s="103"/>
      <c r="ES18" s="103"/>
      <c r="ET18" s="103"/>
      <c r="EU18" s="76"/>
      <c r="EV18" s="76"/>
      <c r="EW18" s="76"/>
      <c r="EX18" s="76"/>
      <c r="EY18" s="76"/>
      <c r="EZ18" s="76"/>
      <c r="FA18" s="76"/>
      <c r="FB18" s="76"/>
      <c r="FC18" s="76"/>
      <c r="FD18" s="76"/>
      <c r="FE18" s="76"/>
      <c r="FF18" s="76"/>
      <c r="FG18" s="76"/>
      <c r="FH18" s="76"/>
      <c r="FI18" s="76"/>
      <c r="FJ18" s="76"/>
      <c r="FK18" s="76"/>
      <c r="FL18" s="76"/>
      <c r="FM18" s="76"/>
      <c r="FN18" s="76"/>
      <c r="FO18" s="91"/>
    </row>
    <row r="19" hidden="1">
      <c r="B19" s="84"/>
      <c r="C19" s="83"/>
      <c r="D19" s="83"/>
      <c r="E19" s="105" t="s">
        <v>10</v>
      </c>
      <c r="F19" s="84"/>
      <c r="G19" s="84"/>
      <c r="H19" s="84"/>
      <c r="I19" s="84"/>
      <c r="J19" s="84"/>
      <c r="K19" s="94" t="str">
        <f t="array" ref="K19">IFERROR(INDEX(Skill!$W:$W, MATCH(K$4, Skill!$C:$C, 0), 1), "")</f>
        <v/>
      </c>
      <c r="L19" s="94" t="str">
        <f t="array" ref="L19">IFERROR(INDEX(Skill!$W:$W, MATCH(L$4, Skill!$C:$C, 0), 1), "")</f>
        <v/>
      </c>
      <c r="M19" s="94" t="str">
        <f t="array" ref="M19">IFERROR(INDEX(Skill!$W:$W, MATCH(M$4, Skill!$C:$C, 0), 1), "")</f>
        <v/>
      </c>
      <c r="N19" s="94">
        <f t="array" ref="N19">IFERROR(INDEX(Skill!$W:$W, MATCH(N$4, Skill!$C:$C, 0), 1), "")</f>
        <v>0.8</v>
      </c>
      <c r="O19" s="94" t="str">
        <f t="array" ref="O19">IFERROR(INDEX(Skill!$W:$W, MATCH(O$4, Skill!$C:$C, 0), 1), "")</f>
        <v/>
      </c>
      <c r="P19" s="94" t="str">
        <f t="array" ref="P19">IFERROR(INDEX(Skill!$W:$W, MATCH(P$4, Skill!$C:$C, 0), 1), "")</f>
        <v/>
      </c>
      <c r="Q19" s="94" t="str">
        <f t="array" ref="Q19">IFERROR(INDEX(Skill!$W:$W, MATCH(Q$4, Skill!$C:$C, 0), 1), "")</f>
        <v/>
      </c>
      <c r="R19" s="94" t="str">
        <f t="array" ref="R19">IFERROR(INDEX(Skill!$W:$W, MATCH(R$4, Skill!$C:$C, 0), 1), "")</f>
        <v/>
      </c>
      <c r="S19" s="94" t="str">
        <f t="array" ref="S19">IFERROR(INDEX(Skill!$W:$W, MATCH(S$4, Skill!$C:$C, 0), 1), "")</f>
        <v/>
      </c>
      <c r="T19" s="94" t="str">
        <f t="array" ref="T19">IFERROR(INDEX(Skill!$W:$W, MATCH(T$4, Skill!$C:$C, 0), 1), "")</f>
        <v/>
      </c>
      <c r="U19" s="94" t="str">
        <f t="array" ref="U19">IFERROR(INDEX(Skill!$W:$W, MATCH(U$4, Skill!$C:$C, 0), 1), "")</f>
        <v/>
      </c>
      <c r="V19" s="94" t="str">
        <f t="array" ref="V19">IFERROR(INDEX(Skill!$W:$W, MATCH(V$4, Skill!$C:$C, 0), 1), "")</f>
        <v/>
      </c>
      <c r="W19" s="94" t="str">
        <f t="array" ref="W19">IFERROR(INDEX(Skill!$W:$W, MATCH(W$4, Skill!$C:$C, 0), 1), "")</f>
        <v/>
      </c>
      <c r="X19" s="94" t="str">
        <f t="array" ref="X19">IFERROR(INDEX(Skill!$W:$W, MATCH(X$4, Skill!$C:$C, 0), 1), "")</f>
        <v/>
      </c>
      <c r="Y19" s="94" t="str">
        <f t="array" ref="Y19">IFERROR(INDEX(Skill!$W:$W, MATCH(Y$4, Skill!$C:$C, 0), 1), "")</f>
        <v/>
      </c>
      <c r="Z19" s="94" t="str">
        <f t="array" ref="Z19">IFERROR(INDEX(Skill!$W:$W, MATCH(Z$4, Skill!$C:$C, 0), 1), "")</f>
        <v/>
      </c>
      <c r="AA19" s="94" t="str">
        <f t="array" ref="AA19">IFERROR(INDEX(Skill!$W:$W, MATCH(AA$4, Skill!$C:$C, 0), 1), "")</f>
        <v/>
      </c>
      <c r="AB19" s="94" t="str">
        <f t="array" ref="AB19">IFERROR(INDEX(Skill!$W:$W, MATCH(AB$4, Skill!$C:$C, 0), 1), "")</f>
        <v/>
      </c>
      <c r="AC19" s="94" t="str">
        <f t="array" ref="AC19">IFERROR(INDEX(Skill!$W:$W, MATCH(AC$4, Skill!$C:$C, 0), 1), "")</f>
        <v/>
      </c>
      <c r="AD19" s="94" t="str">
        <f t="array" ref="AD19">IFERROR(INDEX(Skill!$W:$W, MATCH(AD$4, Skill!$C:$C, 0), 1), "")</f>
        <v/>
      </c>
      <c r="AE19" s="94" t="str">
        <f t="array" ref="AE19">IFERROR(INDEX(Skill!$W:$W, MATCH(AE$4, Skill!$C:$C, 0), 1), "")</f>
        <v/>
      </c>
      <c r="AF19" s="94" t="str">
        <f t="array" ref="AF19">IFERROR(INDEX(Skill!$W:$W, MATCH(AF$4, Skill!$C:$C, 0), 1), "")</f>
        <v/>
      </c>
      <c r="AG19" s="94" t="str">
        <f t="array" ref="AG19">IFERROR(INDEX(Skill!$W:$W, MATCH(AG$4, Skill!$C:$C, 0), 1), "")</f>
        <v/>
      </c>
      <c r="AH19" s="94" t="str">
        <f t="array" ref="AH19">IFERROR(INDEX(Skill!$W:$W, MATCH(AH$4, Skill!$C:$C, 0), 1), "")</f>
        <v/>
      </c>
      <c r="AI19" s="94" t="str">
        <f t="array" ref="AI19">IFERROR(INDEX(Skill!$W:$W, MATCH(AI$4, Skill!$C:$C, 0), 1), "")</f>
        <v/>
      </c>
      <c r="AJ19" s="94" t="str">
        <f t="array" ref="AJ19">IFERROR(INDEX(Skill!$W:$W, MATCH(AJ$4, Skill!$C:$C, 0), 1), "")</f>
        <v/>
      </c>
      <c r="AK19" s="94" t="str">
        <f t="array" ref="AK19">IFERROR(INDEX(Skill!$W:$W, MATCH(AK$4, Skill!$C:$C, 0), 1), "")</f>
        <v/>
      </c>
      <c r="AL19" s="94" t="str">
        <f t="array" ref="AL19">IFERROR(INDEX(Skill!$W:$W, MATCH(AL$4, Skill!$C:$C, 0), 1), "")</f>
        <v/>
      </c>
      <c r="AM19" s="94" t="str">
        <f t="array" ref="AM19">IFERROR(INDEX(Skill!$W:$W, MATCH(AM$4, Skill!$C:$C, 0), 1), "")</f>
        <v/>
      </c>
      <c r="AN19" s="94" t="str">
        <f t="array" ref="AN19">IFERROR(INDEX(Skill!$W:$W, MATCH(AN$4, Skill!$C:$C, 0), 1), "")</f>
        <v/>
      </c>
      <c r="AO19" s="94" t="str">
        <f t="array" ref="AO19">IFERROR(INDEX(Skill!$W:$W, MATCH(AO$4, Skill!$C:$C, 0), 1), "")</f>
        <v/>
      </c>
      <c r="AP19" s="94" t="str">
        <f t="array" ref="AP19">IFERROR(INDEX(Skill!$W:$W, MATCH(AP$4, Skill!$C:$C, 0), 1), "")</f>
        <v/>
      </c>
      <c r="AQ19" s="94" t="str">
        <f t="array" ref="AQ19">IFERROR(INDEX(Skill!$W:$W, MATCH(AQ$4, Skill!$C:$C, 0), 1), "")</f>
        <v/>
      </c>
      <c r="AR19" s="94" t="str">
        <f t="array" ref="AR19">IFERROR(INDEX(Skill!$W:$W, MATCH(AR$4, Skill!$C:$C, 0), 1), "")</f>
        <v/>
      </c>
      <c r="AS19" s="94" t="str">
        <f t="array" ref="AS19">IFERROR(INDEX(Skill!$W:$W, MATCH(AS$4, Skill!$C:$C, 0), 1), "")</f>
        <v/>
      </c>
      <c r="AT19" s="94" t="str">
        <f t="array" ref="AT19">IFERROR(INDEX(Skill!$W:$W, MATCH(AT$4, Skill!$C:$C, 0), 1), "")</f>
        <v/>
      </c>
      <c r="AU19" s="94" t="str">
        <f t="array" ref="AU19">IFERROR(INDEX(Skill!$W:$W, MATCH(AU$4, Skill!$C:$C, 0), 1), "")</f>
        <v/>
      </c>
      <c r="AV19" s="94" t="str">
        <f t="array" ref="AV19">IFERROR(INDEX(Skill!$W:$W, MATCH(AV$4, Skill!$C:$C, 0), 1), "")</f>
        <v/>
      </c>
      <c r="AW19" s="94" t="str">
        <f t="array" ref="AW19">IFERROR(INDEX(Skill!$W:$W, MATCH(AW$4, Skill!$C:$C, 0), 1), "")</f>
        <v/>
      </c>
      <c r="AX19" s="94" t="str">
        <f t="array" ref="AX19">IFERROR(INDEX(Skill!$W:$W, MATCH(AX$4, Skill!$C:$C, 0), 1), "")</f>
        <v/>
      </c>
      <c r="AY19" s="94" t="str">
        <f t="array" ref="AY19">IFERROR(INDEX(Skill!$W:$W, MATCH(AY$4, Skill!$C:$C, 0), 1), "")</f>
        <v/>
      </c>
      <c r="AZ19" s="94" t="str">
        <f t="array" ref="AZ19">IFERROR(INDEX(Skill!$W:$W, MATCH(AZ$4, Skill!$C:$C, 0), 1), "")</f>
        <v/>
      </c>
      <c r="BA19" s="94" t="str">
        <f t="array" ref="BA19">IFERROR(INDEX(Skill!$W:$W, MATCH(BA$4, Skill!$C:$C, 0), 1), "")</f>
        <v/>
      </c>
      <c r="BB19" s="94" t="str">
        <f t="array" ref="BB19">IFERROR(INDEX(Skill!$W:$W, MATCH(BB$4, Skill!$C:$C, 0), 1), "")</f>
        <v/>
      </c>
      <c r="BC19" s="94" t="str">
        <f t="array" ref="BC19">IFERROR(INDEX(Skill!$W:$W, MATCH(BC$4, Skill!$C:$C, 0), 1), "")</f>
        <v/>
      </c>
      <c r="BD19" s="94" t="str">
        <f t="array" ref="BD19">IFERROR(INDEX(Skill!$W:$W, MATCH(BD$4, Skill!$C:$C, 0), 1), "")</f>
        <v/>
      </c>
      <c r="BE19" s="94" t="str">
        <f t="array" ref="BE19">IFERROR(INDEX(Skill!$W:$W, MATCH(BE$4, Skill!$C:$C, 0), 1), "")</f>
        <v/>
      </c>
      <c r="BF19" s="94" t="str">
        <f t="array" ref="BF19">IFERROR(INDEX(Skill!$W:$W, MATCH(BF$4, Skill!$C:$C, 0), 1), "")</f>
        <v/>
      </c>
      <c r="BG19" s="94" t="str">
        <f t="array" ref="BG19">IFERROR(INDEX(Skill!$W:$W, MATCH(BG$4, Skill!$C:$C, 0), 1), "")</f>
        <v/>
      </c>
      <c r="BH19" s="94" t="str">
        <f t="array" ref="BH19">IFERROR(INDEX(Skill!$W:$W, MATCH(BH$4, Skill!$C:$C, 0), 1), "")</f>
        <v/>
      </c>
      <c r="BI19" s="94" t="str">
        <f t="array" ref="BI19">IFERROR(INDEX(Skill!$W:$W, MATCH(BI$4, Skill!$C:$C, 0), 1), "")</f>
        <v/>
      </c>
      <c r="BJ19" s="94" t="str">
        <f t="array" ref="BJ19">IFERROR(INDEX(Skill!$W:$W, MATCH(BJ$4, Skill!$C:$C, 0), 1), "")</f>
        <v/>
      </c>
      <c r="BK19" s="94" t="str">
        <f t="array" ref="BK19">IFERROR(INDEX(Skill!$W:$W, MATCH(BK$4, Skill!$C:$C, 0), 1), "")</f>
        <v/>
      </c>
      <c r="BL19" s="94" t="str">
        <f t="array" ref="BL19">IFERROR(INDEX(Skill!$W:$W, MATCH(BL$4, Skill!$C:$C, 0), 1), "")</f>
        <v/>
      </c>
      <c r="BM19" s="94" t="str">
        <f t="array" ref="BM19">IFERROR(INDEX(Skill!$W:$W, MATCH(BM$4, Skill!$C:$C, 0), 1), "")</f>
        <v/>
      </c>
      <c r="BN19" s="94" t="str">
        <f t="array" ref="BN19">IFERROR(INDEX(Skill!$W:$W, MATCH(BN$4, Skill!$C:$C, 0), 1), "")</f>
        <v/>
      </c>
      <c r="BO19" s="94" t="str">
        <f t="array" ref="BO19">IFERROR(INDEX(Skill!$W:$W, MATCH(BO$4, Skill!$C:$C, 0), 1), "")</f>
        <v/>
      </c>
      <c r="BP19" s="94" t="str">
        <f t="array" ref="BP19">IFERROR(INDEX(Skill!$W:$W, MATCH(BP$4, Skill!$C:$C, 0), 1), "")</f>
        <v/>
      </c>
      <c r="BQ19" s="94" t="str">
        <f t="array" ref="BQ19">IFERROR(INDEX(Skill!$W:$W, MATCH(BQ$4, Skill!$C:$C, 0), 1), "")</f>
        <v/>
      </c>
      <c r="BR19" s="94" t="str">
        <f t="array" ref="BR19">IFERROR(INDEX(Skill!$W:$W, MATCH(BR$4, Skill!$C:$C, 0), 1), "")</f>
        <v/>
      </c>
      <c r="BS19" s="94" t="str">
        <f t="array" ref="BS19">IFERROR(INDEX(Skill!$W:$W, MATCH(BS$4, Skill!$C:$C, 0), 1), "")</f>
        <v/>
      </c>
      <c r="BT19" s="94" t="str">
        <f t="array" ref="BT19">IFERROR(INDEX(Skill!$W:$W, MATCH(BT$4, Skill!$C:$C, 0), 1), "")</f>
        <v/>
      </c>
      <c r="BU19" s="94" t="str">
        <f t="array" ref="BU19">IFERROR(INDEX(Skill!$W:$W, MATCH(BU$4, Skill!$C:$C, 0), 1), "")</f>
        <v/>
      </c>
      <c r="BV19" s="94" t="str">
        <f t="array" ref="BV19">IFERROR(INDEX(Skill!$W:$W, MATCH(BV$4, Skill!$C:$C, 0), 1), "")</f>
        <v/>
      </c>
      <c r="BW19" s="94" t="str">
        <f t="array" ref="BW19">IFERROR(INDEX(Skill!$W:$W, MATCH(BW$4, Skill!$C:$C, 0), 1), "")</f>
        <v/>
      </c>
      <c r="BX19" s="94" t="str">
        <f t="array" ref="BX19">IFERROR(INDEX(Skill!$W:$W, MATCH(BX$4, Skill!$C:$C, 0), 1), "")</f>
        <v/>
      </c>
      <c r="BY19" s="94" t="str">
        <f t="array" ref="BY19">IFERROR(INDEX(Skill!$W:$W, MATCH(BY$4, Skill!$C:$C, 0), 1), "")</f>
        <v/>
      </c>
      <c r="BZ19" s="94" t="str">
        <f t="array" ref="BZ19">IFERROR(INDEX(Skill!$W:$W, MATCH(BZ$4, Skill!$C:$C, 0), 1), "")</f>
        <v/>
      </c>
      <c r="CA19" s="94" t="str">
        <f t="array" ref="CA19">IFERROR(INDEX(Skill!$W:$W, MATCH(CA$4, Skill!$C:$C, 0), 1), "")</f>
        <v/>
      </c>
      <c r="CB19" s="94" t="str">
        <f t="array" ref="CB19">IFERROR(INDEX(Skill!$W:$W, MATCH(CB$4, Skill!$C:$C, 0), 1), "")</f>
        <v/>
      </c>
      <c r="CC19" s="94" t="str">
        <f t="array" ref="CC19">IFERROR(INDEX(Skill!$W:$W, MATCH(CC$4, Skill!$C:$C, 0), 1), "")</f>
        <v/>
      </c>
      <c r="CD19" s="94" t="str">
        <f t="array" ref="CD19">IFERROR(INDEX(Skill!$W:$W, MATCH(CD$4, Skill!$C:$C, 0), 1), "")</f>
        <v/>
      </c>
      <c r="CE19" s="94" t="str">
        <f t="array" ref="CE19">IFERROR(INDEX(Skill!$W:$W, MATCH(CE$4, Skill!$C:$C, 0), 1), "")</f>
        <v/>
      </c>
      <c r="CF19" s="94" t="str">
        <f t="array" ref="CF19">IFERROR(INDEX(Skill!$W:$W, MATCH(CF$4, Skill!$C:$C, 0), 1), "")</f>
        <v/>
      </c>
      <c r="CG19" s="94" t="str">
        <f t="array" ref="CG19">IFERROR(INDEX(Skill!$W:$W, MATCH(CG$4, Skill!$C:$C, 0), 1), "")</f>
        <v/>
      </c>
      <c r="CH19" s="94" t="str">
        <f t="array" ref="CH19">IFERROR(INDEX(Skill!$W:$W, MATCH(CH$4, Skill!$C:$C, 0), 1), "")</f>
        <v/>
      </c>
      <c r="CI19" s="94" t="str">
        <f t="array" ref="CI19">IFERROR(INDEX(Skill!$W:$W, MATCH(CI$4, Skill!$C:$C, 0), 1), "")</f>
        <v/>
      </c>
      <c r="CJ19" s="94" t="str">
        <f t="array" ref="CJ19">IFERROR(INDEX(Skill!$W:$W, MATCH(CJ$4, Skill!$C:$C, 0), 1), "")</f>
        <v/>
      </c>
      <c r="CK19" s="94" t="str">
        <f t="array" ref="CK19">IFERROR(INDEX(Skill!$W:$W, MATCH(CK$4, Skill!$C:$C, 0), 1), "")</f>
        <v/>
      </c>
      <c r="CL19" s="94" t="str">
        <f t="array" ref="CL19">IFERROR(INDEX(Skill!$W:$W, MATCH(CL$4, Skill!$C:$C, 0), 1), "")</f>
        <v/>
      </c>
      <c r="CM19" s="94" t="str">
        <f t="array" ref="CM19">IFERROR(INDEX(Skill!$W:$W, MATCH(CM$4, Skill!$C:$C, 0), 1), "")</f>
        <v/>
      </c>
      <c r="CN19" s="94" t="str">
        <f t="array" ref="CN19">IFERROR(INDEX(Skill!$W:$W, MATCH(CN$4, Skill!$C:$C, 0), 1), "")</f>
        <v/>
      </c>
      <c r="CO19" s="94" t="str">
        <f t="array" ref="CO19">IFERROR(INDEX(Skill!$W:$W, MATCH(CO$4, Skill!$C:$C, 0), 1), "")</f>
        <v/>
      </c>
      <c r="CP19" s="94" t="str">
        <f t="array" ref="CP19">IFERROR(INDEX(Skill!$W:$W, MATCH(CP$4, Skill!$C:$C, 0), 1), "")</f>
        <v/>
      </c>
      <c r="CQ19" s="94" t="str">
        <f t="array" ref="CQ19">IFERROR(INDEX(Skill!$W:$W, MATCH(CQ$4, Skill!$C:$C, 0), 1), "")</f>
        <v/>
      </c>
      <c r="CR19" s="94" t="str">
        <f t="array" ref="CR19">IFERROR(INDEX(Skill!$W:$W, MATCH(CR$4, Skill!$C:$C, 0), 1), "")</f>
        <v/>
      </c>
      <c r="CS19" s="94" t="str">
        <f t="array" ref="CS19">IFERROR(INDEX(Skill!$W:$W, MATCH(CS$4, Skill!$C:$C, 0), 1), "")</f>
        <v/>
      </c>
      <c r="CT19" s="94" t="str">
        <f t="array" ref="CT19">IFERROR(INDEX(Skill!$W:$W, MATCH(CT$4, Skill!$C:$C, 0), 1), "")</f>
        <v/>
      </c>
      <c r="CU19" s="94" t="str">
        <f t="array" ref="CU19">IFERROR(INDEX(Skill!$W:$W, MATCH(CU$4, Skill!$C:$C, 0), 1), "")</f>
        <v/>
      </c>
      <c r="CV19" s="94" t="str">
        <f t="array" ref="CV19">IFERROR(INDEX(Skill!$W:$W, MATCH(CV$4, Skill!$C:$C, 0), 1), "")</f>
        <v/>
      </c>
      <c r="CW19" s="94" t="str">
        <f t="array" ref="CW19">IFERROR(INDEX(Skill!$W:$W, MATCH(CW$4, Skill!$C:$C, 0), 1), "")</f>
        <v/>
      </c>
      <c r="CX19" s="94" t="str">
        <f t="array" ref="CX19">IFERROR(INDEX(Skill!$W:$W, MATCH(CX$4, Skill!$C:$C, 0), 1), "")</f>
        <v/>
      </c>
      <c r="CY19" s="94" t="str">
        <f t="array" ref="CY19">IFERROR(INDEX(Skill!$W:$W, MATCH(CY$4, Skill!$C:$C, 0), 1), "")</f>
        <v/>
      </c>
      <c r="CZ19" s="94" t="str">
        <f t="array" ref="CZ19">IFERROR(INDEX(Skill!$W:$W, MATCH(CZ$4, Skill!$C:$C, 0), 1), "")</f>
        <v/>
      </c>
      <c r="DA19" s="94" t="str">
        <f t="array" ref="DA19">IFERROR(INDEX(Skill!$W:$W, MATCH(DA$4, Skill!$C:$C, 0), 1), "")</f>
        <v/>
      </c>
      <c r="DB19" s="94" t="str">
        <f t="array" ref="DB19">IFERROR(INDEX(Skill!$W:$W, MATCH(DB$4, Skill!$C:$C, 0), 1), "")</f>
        <v/>
      </c>
      <c r="DC19" s="94" t="str">
        <f t="array" ref="DC19">IFERROR(INDEX(Skill!$W:$W, MATCH(DC$4, Skill!$C:$C, 0), 1), "")</f>
        <v/>
      </c>
      <c r="DD19" s="94" t="str">
        <f t="array" ref="DD19">IFERROR(INDEX(Skill!$W:$W, MATCH(DD$4, Skill!$C:$C, 0), 1), "")</f>
        <v/>
      </c>
      <c r="DE19" s="94" t="str">
        <f t="array" ref="DE19">IFERROR(INDEX(Skill!$W:$W, MATCH(DE$4, Skill!$C:$C, 0), 1), "")</f>
        <v/>
      </c>
      <c r="DF19" s="94" t="str">
        <f t="array" ref="DF19">IFERROR(INDEX(Skill!$W:$W, MATCH(DF$4, Skill!$C:$C, 0), 1), "")</f>
        <v/>
      </c>
      <c r="DG19" s="94" t="str">
        <f t="array" ref="DG19">IFERROR(INDEX(Skill!$W:$W, MATCH(DG$4, Skill!$C:$C, 0), 1), "")</f>
        <v/>
      </c>
      <c r="DH19" s="94" t="str">
        <f t="array" ref="DH19">IFERROR(INDEX(Skill!$W:$W, MATCH(DH$4, Skill!$C:$C, 0), 1), "")</f>
        <v/>
      </c>
      <c r="DI19" s="94" t="str">
        <f t="array" ref="DI19">IFERROR(INDEX(Skill!$W:$W, MATCH(DI$4, Skill!$C:$C, 0), 1), "")</f>
        <v/>
      </c>
      <c r="DJ19" s="94" t="str">
        <f t="array" ref="DJ19">IFERROR(INDEX(Skill!$W:$W, MATCH(DJ$4, Skill!$C:$C, 0), 1), "")</f>
        <v/>
      </c>
      <c r="DK19" s="94" t="str">
        <f t="array" ref="DK19">IFERROR(INDEX(Skill!$W:$W, MATCH(DK$4, Skill!$C:$C, 0), 1), "")</f>
        <v/>
      </c>
      <c r="DL19" s="94" t="str">
        <f t="array" ref="DL19">IFERROR(INDEX(Skill!$W:$W, MATCH(DL$4, Skill!$C:$C, 0), 1), "")</f>
        <v/>
      </c>
      <c r="DM19" s="94" t="str">
        <f t="array" ref="DM19">IFERROR(INDEX(Skill!$W:$W, MATCH(DM$4, Skill!$C:$C, 0), 1), "")</f>
        <v/>
      </c>
      <c r="DN19" s="94" t="str">
        <f t="array" ref="DN19">IFERROR(INDEX(Skill!$W:$W, MATCH(DN$4, Skill!$C:$C, 0), 1), "")</f>
        <v/>
      </c>
      <c r="DO19" s="94" t="str">
        <f t="array" ref="DO19">IFERROR(INDEX(Skill!$W:$W, MATCH(DO$4, Skill!$C:$C, 0), 1), "")</f>
        <v/>
      </c>
      <c r="DP19" s="94" t="str">
        <f t="array" ref="DP19">IFERROR(INDEX(Skill!$W:$W, MATCH(DP$4, Skill!$C:$C, 0), 1), "")</f>
        <v/>
      </c>
      <c r="DQ19" s="94" t="str">
        <f t="array" ref="DQ19">IFERROR(INDEX(Skill!$W:$W, MATCH(DQ$4, Skill!$C:$C, 0), 1), "")</f>
        <v/>
      </c>
      <c r="DR19" s="94" t="str">
        <f t="array" ref="DR19">IFERROR(INDEX(Skill!$W:$W, MATCH(DR$4, Skill!$C:$C, 0), 1), "")</f>
        <v/>
      </c>
      <c r="DS19" s="94" t="str">
        <f t="array" ref="DS19">IFERROR(INDEX(Skill!$W:$W, MATCH(DS$4, Skill!$C:$C, 0), 1), "")</f>
        <v/>
      </c>
      <c r="DT19" s="94" t="str">
        <f t="array" ref="DT19">IFERROR(INDEX(Skill!$W:$W, MATCH(DT$4, Skill!$C:$C, 0), 1), "")</f>
        <v/>
      </c>
      <c r="DU19" s="94" t="str">
        <f t="array" ref="DU19">IFERROR(INDEX(Skill!$W:$W, MATCH(DU$4, Skill!$C:$C, 0), 1), "")</f>
        <v/>
      </c>
      <c r="DV19" s="94" t="str">
        <f t="array" ref="DV19">IFERROR(INDEX(Skill!$W:$W, MATCH(DV$4, Skill!$C:$C, 0), 1), "")</f>
        <v/>
      </c>
      <c r="DW19" s="94" t="str">
        <f t="array" ref="DW19">IFERROR(INDEX(Skill!$W:$W, MATCH(DW$4, Skill!$C:$C, 0), 1), "")</f>
        <v/>
      </c>
      <c r="DX19" s="94" t="str">
        <f t="array" ref="DX19">IFERROR(INDEX(Skill!$W:$W, MATCH(DX$4, Skill!$C:$C, 0), 1), "")</f>
        <v/>
      </c>
      <c r="DY19" s="94" t="str">
        <f t="array" ref="DY19">IFERROR(INDEX(Skill!$W:$W, MATCH(DY$4, Skill!$C:$C, 0), 1), "")</f>
        <v/>
      </c>
      <c r="DZ19" s="94" t="str">
        <f t="array" ref="DZ19">IFERROR(INDEX(Skill!$W:$W, MATCH(DZ$4, Skill!$C:$C, 0), 1), "")</f>
        <v/>
      </c>
      <c r="EA19" s="89" t="str">
        <f t="array" ref="EA19">IFERROR(INDEX(Skill!$W:$W, MATCH(EA$4, Skill!$C:$C, 0), 1), "")</f>
        <v/>
      </c>
      <c r="EB19" s="89" t="str">
        <f t="array" ref="EB19">IFERROR(INDEX(Skill!$W:$W, MATCH(EB$4, Skill!$C:$C, 0), 1), "")</f>
        <v/>
      </c>
      <c r="EC19" s="89" t="str">
        <f t="array" ref="EC19">IFERROR(INDEX(Skill!$W:$W, MATCH(EC$4, Skill!$C:$C, 0), 1), "")</f>
        <v/>
      </c>
      <c r="ED19" s="94" t="str">
        <f t="array" ref="ED19">IFERROR(INDEX(Skill!$W:$W, MATCH(ED$4, Skill!$C:$C, 0), 1), "")</f>
        <v/>
      </c>
      <c r="EE19" s="102"/>
      <c r="EF19" s="102"/>
      <c r="EG19" s="102"/>
      <c r="EH19" s="102"/>
      <c r="EI19" s="102"/>
      <c r="EJ19" s="102"/>
      <c r="EK19" s="102"/>
      <c r="EL19" s="102"/>
      <c r="EM19" s="102"/>
      <c r="EN19" s="102"/>
      <c r="EO19" s="102"/>
      <c r="EP19" s="102"/>
      <c r="EQ19" s="102"/>
      <c r="ER19" s="103"/>
      <c r="ES19" s="103"/>
      <c r="ET19" s="103"/>
      <c r="EU19" s="76"/>
      <c r="EV19" s="76"/>
      <c r="EW19" s="76"/>
      <c r="EX19" s="76"/>
      <c r="EY19" s="76"/>
      <c r="EZ19" s="76"/>
      <c r="FA19" s="76"/>
      <c r="FB19" s="76"/>
      <c r="FC19" s="76"/>
      <c r="FD19" s="76"/>
      <c r="FE19" s="76"/>
      <c r="FF19" s="76"/>
      <c r="FG19" s="76"/>
      <c r="FH19" s="76"/>
      <c r="FI19" s="76"/>
      <c r="FJ19" s="76"/>
      <c r="FK19" s="76"/>
      <c r="FL19" s="76"/>
      <c r="FM19" s="76"/>
      <c r="FN19" s="76"/>
      <c r="FO19" s="91"/>
    </row>
    <row r="20" hidden="1">
      <c r="B20" s="84"/>
      <c r="C20" s="83"/>
      <c r="D20" s="83"/>
      <c r="E20" s="105" t="s">
        <v>12</v>
      </c>
      <c r="F20" s="84"/>
      <c r="G20" s="84"/>
      <c r="H20" s="84"/>
      <c r="I20" s="84"/>
      <c r="J20" s="84"/>
      <c r="K20" s="94" t="str">
        <f t="array" ref="K20">IFERROR(INDEX(Skill!$Y:$Y, MATCH(K$4, Skill!$C:$C, 0), 1), "")</f>
        <v/>
      </c>
      <c r="L20" s="94" t="str">
        <f t="array" ref="L20">IFERROR(INDEX(Skill!$Y:$Y, MATCH(L$4, Skill!$C:$C, 0), 1), "")</f>
        <v/>
      </c>
      <c r="M20" s="94" t="str">
        <f t="array" ref="M20">IFERROR(INDEX(Skill!$Y:$Y, MATCH(M$4, Skill!$C:$C, 0), 1), "")</f>
        <v/>
      </c>
      <c r="N20" s="94">
        <f t="array" ref="N20">IFERROR(INDEX(Skill!$Y:$Y, MATCH(N$4, Skill!$C:$C, 0), 1), "")</f>
        <v>0.8</v>
      </c>
      <c r="O20" s="94" t="str">
        <f t="array" ref="O20">IFERROR(INDEX(Skill!$Y:$Y, MATCH(O$4, Skill!$C:$C, 0), 1), "")</f>
        <v/>
      </c>
      <c r="P20" s="94" t="str">
        <f t="array" ref="P20">IFERROR(INDEX(Skill!$Y:$Y, MATCH(P$4, Skill!$C:$C, 0), 1), "")</f>
        <v/>
      </c>
      <c r="Q20" s="94" t="str">
        <f t="array" ref="Q20">IFERROR(INDEX(Skill!$Y:$Y, MATCH(Q$4, Skill!$C:$C, 0), 1), "")</f>
        <v/>
      </c>
      <c r="R20" s="94" t="str">
        <f t="array" ref="R20">IFERROR(INDEX(Skill!$Y:$Y, MATCH(R$4, Skill!$C:$C, 0), 1), "")</f>
        <v/>
      </c>
      <c r="S20" s="94" t="str">
        <f t="array" ref="S20">IFERROR(INDEX(Skill!$Y:$Y, MATCH(S$4, Skill!$C:$C, 0), 1), "")</f>
        <v/>
      </c>
      <c r="T20" s="94" t="str">
        <f t="array" ref="T20">IFERROR(INDEX(Skill!$Y:$Y, MATCH(T$4, Skill!$C:$C, 0), 1), "")</f>
        <v/>
      </c>
      <c r="U20" s="94" t="str">
        <f t="array" ref="U20">IFERROR(INDEX(Skill!$Y:$Y, MATCH(U$4, Skill!$C:$C, 0), 1), "")</f>
        <v/>
      </c>
      <c r="V20" s="94" t="str">
        <f t="array" ref="V20">IFERROR(INDEX(Skill!$Y:$Y, MATCH(V$4, Skill!$C:$C, 0), 1), "")</f>
        <v/>
      </c>
      <c r="W20" s="94" t="str">
        <f t="array" ref="W20">IFERROR(INDEX(Skill!$Y:$Y, MATCH(W$4, Skill!$C:$C, 0), 1), "")</f>
        <v/>
      </c>
      <c r="X20" s="94" t="str">
        <f t="array" ref="X20">IFERROR(INDEX(Skill!$Y:$Y, MATCH(X$4, Skill!$C:$C, 0), 1), "")</f>
        <v/>
      </c>
      <c r="Y20" s="94" t="str">
        <f t="array" ref="Y20">IFERROR(INDEX(Skill!$Y:$Y, MATCH(Y$4, Skill!$C:$C, 0), 1), "")</f>
        <v/>
      </c>
      <c r="Z20" s="94" t="str">
        <f t="array" ref="Z20">IFERROR(INDEX(Skill!$Y:$Y, MATCH(Z$4, Skill!$C:$C, 0), 1), "")</f>
        <v/>
      </c>
      <c r="AA20" s="94" t="str">
        <f t="array" ref="AA20">IFERROR(INDEX(Skill!$Y:$Y, MATCH(AA$4, Skill!$C:$C, 0), 1), "")</f>
        <v/>
      </c>
      <c r="AB20" s="94" t="str">
        <f t="array" ref="AB20">IFERROR(INDEX(Skill!$Y:$Y, MATCH(AB$4, Skill!$C:$C, 0), 1), "")</f>
        <v/>
      </c>
      <c r="AC20" s="94" t="str">
        <f t="array" ref="AC20">IFERROR(INDEX(Skill!$Y:$Y, MATCH(AC$4, Skill!$C:$C, 0), 1), "")</f>
        <v/>
      </c>
      <c r="AD20" s="94" t="str">
        <f t="array" ref="AD20">IFERROR(INDEX(Skill!$Y:$Y, MATCH(AD$4, Skill!$C:$C, 0), 1), "")</f>
        <v/>
      </c>
      <c r="AE20" s="94" t="str">
        <f t="array" ref="AE20">IFERROR(INDEX(Skill!$Y:$Y, MATCH(AE$4, Skill!$C:$C, 0), 1), "")</f>
        <v/>
      </c>
      <c r="AF20" s="94" t="str">
        <f t="array" ref="AF20">IFERROR(INDEX(Skill!$Y:$Y, MATCH(AF$4, Skill!$C:$C, 0), 1), "")</f>
        <v/>
      </c>
      <c r="AG20" s="94" t="str">
        <f t="array" ref="AG20">IFERROR(INDEX(Skill!$Y:$Y, MATCH(AG$4, Skill!$C:$C, 0), 1), "")</f>
        <v/>
      </c>
      <c r="AH20" s="94" t="str">
        <f t="array" ref="AH20">IFERROR(INDEX(Skill!$Y:$Y, MATCH(AH$4, Skill!$C:$C, 0), 1), "")</f>
        <v/>
      </c>
      <c r="AI20" s="94" t="str">
        <f t="array" ref="AI20">IFERROR(INDEX(Skill!$Y:$Y, MATCH(AI$4, Skill!$C:$C, 0), 1), "")</f>
        <v/>
      </c>
      <c r="AJ20" s="94" t="str">
        <f t="array" ref="AJ20">IFERROR(INDEX(Skill!$Y:$Y, MATCH(AJ$4, Skill!$C:$C, 0), 1), "")</f>
        <v/>
      </c>
      <c r="AK20" s="94" t="str">
        <f t="array" ref="AK20">IFERROR(INDEX(Skill!$Y:$Y, MATCH(AK$4, Skill!$C:$C, 0), 1), "")</f>
        <v/>
      </c>
      <c r="AL20" s="94" t="str">
        <f t="array" ref="AL20">IFERROR(INDEX(Skill!$Y:$Y, MATCH(AL$4, Skill!$C:$C, 0), 1), "")</f>
        <v/>
      </c>
      <c r="AM20" s="94" t="str">
        <f t="array" ref="AM20">IFERROR(INDEX(Skill!$Y:$Y, MATCH(AM$4, Skill!$C:$C, 0), 1), "")</f>
        <v/>
      </c>
      <c r="AN20" s="94" t="str">
        <f t="array" ref="AN20">IFERROR(INDEX(Skill!$Y:$Y, MATCH(AN$4, Skill!$C:$C, 0), 1), "")</f>
        <v/>
      </c>
      <c r="AO20" s="94" t="str">
        <f t="array" ref="AO20">IFERROR(INDEX(Skill!$Y:$Y, MATCH(AO$4, Skill!$C:$C, 0), 1), "")</f>
        <v/>
      </c>
      <c r="AP20" s="94" t="str">
        <f t="array" ref="AP20">IFERROR(INDEX(Skill!$Y:$Y, MATCH(AP$4, Skill!$C:$C, 0), 1), "")</f>
        <v/>
      </c>
      <c r="AQ20" s="94" t="str">
        <f t="array" ref="AQ20">IFERROR(INDEX(Skill!$Y:$Y, MATCH(AQ$4, Skill!$C:$C, 0), 1), "")</f>
        <v/>
      </c>
      <c r="AR20" s="94" t="str">
        <f t="array" ref="AR20">IFERROR(INDEX(Skill!$Y:$Y, MATCH(AR$4, Skill!$C:$C, 0), 1), "")</f>
        <v/>
      </c>
      <c r="AS20" s="94" t="str">
        <f t="array" ref="AS20">IFERROR(INDEX(Skill!$Y:$Y, MATCH(AS$4, Skill!$C:$C, 0), 1), "")</f>
        <v/>
      </c>
      <c r="AT20" s="94" t="str">
        <f t="array" ref="AT20">IFERROR(INDEX(Skill!$Y:$Y, MATCH(AT$4, Skill!$C:$C, 0), 1), "")</f>
        <v/>
      </c>
      <c r="AU20" s="94" t="str">
        <f t="array" ref="AU20">IFERROR(INDEX(Skill!$Y:$Y, MATCH(AU$4, Skill!$C:$C, 0), 1), "")</f>
        <v/>
      </c>
      <c r="AV20" s="94" t="str">
        <f t="array" ref="AV20">IFERROR(INDEX(Skill!$Y:$Y, MATCH(AV$4, Skill!$C:$C, 0), 1), "")</f>
        <v/>
      </c>
      <c r="AW20" s="94" t="str">
        <f t="array" ref="AW20">IFERROR(INDEX(Skill!$Y:$Y, MATCH(AW$4, Skill!$C:$C, 0), 1), "")</f>
        <v/>
      </c>
      <c r="AX20" s="94" t="str">
        <f t="array" ref="AX20">IFERROR(INDEX(Skill!$Y:$Y, MATCH(AX$4, Skill!$C:$C, 0), 1), "")</f>
        <v/>
      </c>
      <c r="AY20" s="94" t="str">
        <f t="array" ref="AY20">IFERROR(INDEX(Skill!$Y:$Y, MATCH(AY$4, Skill!$C:$C, 0), 1), "")</f>
        <v/>
      </c>
      <c r="AZ20" s="94" t="str">
        <f t="array" ref="AZ20">IFERROR(INDEX(Skill!$Y:$Y, MATCH(AZ$4, Skill!$C:$C, 0), 1), "")</f>
        <v/>
      </c>
      <c r="BA20" s="94" t="str">
        <f t="array" ref="BA20">IFERROR(INDEX(Skill!$Y:$Y, MATCH(BA$4, Skill!$C:$C, 0), 1), "")</f>
        <v/>
      </c>
      <c r="BB20" s="94" t="str">
        <f t="array" ref="BB20">IFERROR(INDEX(Skill!$Y:$Y, MATCH(BB$4, Skill!$C:$C, 0), 1), "")</f>
        <v/>
      </c>
      <c r="BC20" s="94" t="str">
        <f t="array" ref="BC20">IFERROR(INDEX(Skill!$Y:$Y, MATCH(BC$4, Skill!$C:$C, 0), 1), "")</f>
        <v/>
      </c>
      <c r="BD20" s="94" t="str">
        <f t="array" ref="BD20">IFERROR(INDEX(Skill!$Y:$Y, MATCH(BD$4, Skill!$C:$C, 0), 1), "")</f>
        <v/>
      </c>
      <c r="BE20" s="94" t="str">
        <f t="array" ref="BE20">IFERROR(INDEX(Skill!$Y:$Y, MATCH(BE$4, Skill!$C:$C, 0), 1), "")</f>
        <v/>
      </c>
      <c r="BF20" s="94" t="str">
        <f t="array" ref="BF20">IFERROR(INDEX(Skill!$Y:$Y, MATCH(BF$4, Skill!$C:$C, 0), 1), "")</f>
        <v/>
      </c>
      <c r="BG20" s="94" t="str">
        <f t="array" ref="BG20">IFERROR(INDEX(Skill!$Y:$Y, MATCH(BG$4, Skill!$C:$C, 0), 1), "")</f>
        <v/>
      </c>
      <c r="BH20" s="94" t="str">
        <f t="array" ref="BH20">IFERROR(INDEX(Skill!$Y:$Y, MATCH(BH$4, Skill!$C:$C, 0), 1), "")</f>
        <v/>
      </c>
      <c r="BI20" s="94" t="str">
        <f t="array" ref="BI20">IFERROR(INDEX(Skill!$Y:$Y, MATCH(BI$4, Skill!$C:$C, 0), 1), "")</f>
        <v/>
      </c>
      <c r="BJ20" s="94" t="str">
        <f t="array" ref="BJ20">IFERROR(INDEX(Skill!$Y:$Y, MATCH(BJ$4, Skill!$C:$C, 0), 1), "")</f>
        <v/>
      </c>
      <c r="BK20" s="94" t="str">
        <f t="array" ref="BK20">IFERROR(INDEX(Skill!$Y:$Y, MATCH(BK$4, Skill!$C:$C, 0), 1), "")</f>
        <v/>
      </c>
      <c r="BL20" s="94" t="str">
        <f t="array" ref="BL20">IFERROR(INDEX(Skill!$Y:$Y, MATCH(BL$4, Skill!$C:$C, 0), 1), "")</f>
        <v/>
      </c>
      <c r="BM20" s="94" t="str">
        <f t="array" ref="BM20">IFERROR(INDEX(Skill!$Y:$Y, MATCH(BM$4, Skill!$C:$C, 0), 1), "")</f>
        <v/>
      </c>
      <c r="BN20" s="94" t="str">
        <f t="array" ref="BN20">IFERROR(INDEX(Skill!$Y:$Y, MATCH(BN$4, Skill!$C:$C, 0), 1), "")</f>
        <v/>
      </c>
      <c r="BO20" s="94" t="str">
        <f t="array" ref="BO20">IFERROR(INDEX(Skill!$Y:$Y, MATCH(BO$4, Skill!$C:$C, 0), 1), "")</f>
        <v/>
      </c>
      <c r="BP20" s="94" t="str">
        <f t="array" ref="BP20">IFERROR(INDEX(Skill!$Y:$Y, MATCH(BP$4, Skill!$C:$C, 0), 1), "")</f>
        <v/>
      </c>
      <c r="BQ20" s="94" t="str">
        <f t="array" ref="BQ20">IFERROR(INDEX(Skill!$Y:$Y, MATCH(BQ$4, Skill!$C:$C, 0), 1), "")</f>
        <v/>
      </c>
      <c r="BR20" s="94" t="str">
        <f t="array" ref="BR20">IFERROR(INDEX(Skill!$Y:$Y, MATCH(BR$4, Skill!$C:$C, 0), 1), "")</f>
        <v/>
      </c>
      <c r="BS20" s="94" t="str">
        <f t="array" ref="BS20">IFERROR(INDEX(Skill!$Y:$Y, MATCH(BS$4, Skill!$C:$C, 0), 1), "")</f>
        <v/>
      </c>
      <c r="BT20" s="94" t="str">
        <f t="array" ref="BT20">IFERROR(INDEX(Skill!$Y:$Y, MATCH(BT$4, Skill!$C:$C, 0), 1), "")</f>
        <v/>
      </c>
      <c r="BU20" s="94" t="str">
        <f t="array" ref="BU20">IFERROR(INDEX(Skill!$Y:$Y, MATCH(BU$4, Skill!$C:$C, 0), 1), "")</f>
        <v/>
      </c>
      <c r="BV20" s="94" t="str">
        <f t="array" ref="BV20">IFERROR(INDEX(Skill!$Y:$Y, MATCH(BV$4, Skill!$C:$C, 0), 1), "")</f>
        <v/>
      </c>
      <c r="BW20" s="94" t="str">
        <f t="array" ref="BW20">IFERROR(INDEX(Skill!$Y:$Y, MATCH(BW$4, Skill!$C:$C, 0), 1), "")</f>
        <v/>
      </c>
      <c r="BX20" s="94" t="str">
        <f t="array" ref="BX20">IFERROR(INDEX(Skill!$Y:$Y, MATCH(BX$4, Skill!$C:$C, 0), 1), "")</f>
        <v/>
      </c>
      <c r="BY20" s="94" t="str">
        <f t="array" ref="BY20">IFERROR(INDEX(Skill!$Y:$Y, MATCH(BY$4, Skill!$C:$C, 0), 1), "")</f>
        <v/>
      </c>
      <c r="BZ20" s="94" t="str">
        <f t="array" ref="BZ20">IFERROR(INDEX(Skill!$Y:$Y, MATCH(BZ$4, Skill!$C:$C, 0), 1), "")</f>
        <v/>
      </c>
      <c r="CA20" s="94" t="str">
        <f t="array" ref="CA20">IFERROR(INDEX(Skill!$Y:$Y, MATCH(CA$4, Skill!$C:$C, 0), 1), "")</f>
        <v/>
      </c>
      <c r="CB20" s="94" t="str">
        <f t="array" ref="CB20">IFERROR(INDEX(Skill!$Y:$Y, MATCH(CB$4, Skill!$C:$C, 0), 1), "")</f>
        <v/>
      </c>
      <c r="CC20" s="94" t="str">
        <f t="array" ref="CC20">IFERROR(INDEX(Skill!$Y:$Y, MATCH(CC$4, Skill!$C:$C, 0), 1), "")</f>
        <v/>
      </c>
      <c r="CD20" s="94" t="str">
        <f t="array" ref="CD20">IFERROR(INDEX(Skill!$Y:$Y, MATCH(CD$4, Skill!$C:$C, 0), 1), "")</f>
        <v/>
      </c>
      <c r="CE20" s="94" t="str">
        <f t="array" ref="CE20">IFERROR(INDEX(Skill!$Y:$Y, MATCH(CE$4, Skill!$C:$C, 0), 1), "")</f>
        <v/>
      </c>
      <c r="CF20" s="94" t="str">
        <f t="array" ref="CF20">IFERROR(INDEX(Skill!$Y:$Y, MATCH(CF$4, Skill!$C:$C, 0), 1), "")</f>
        <v/>
      </c>
      <c r="CG20" s="94" t="str">
        <f t="array" ref="CG20">IFERROR(INDEX(Skill!$Y:$Y, MATCH(CG$4, Skill!$C:$C, 0), 1), "")</f>
        <v/>
      </c>
      <c r="CH20" s="94" t="str">
        <f t="array" ref="CH20">IFERROR(INDEX(Skill!$Y:$Y, MATCH(CH$4, Skill!$C:$C, 0), 1), "")</f>
        <v/>
      </c>
      <c r="CI20" s="94" t="str">
        <f t="array" ref="CI20">IFERROR(INDEX(Skill!$Y:$Y, MATCH(CI$4, Skill!$C:$C, 0), 1), "")</f>
        <v/>
      </c>
      <c r="CJ20" s="94" t="str">
        <f t="array" ref="CJ20">IFERROR(INDEX(Skill!$Y:$Y, MATCH(CJ$4, Skill!$C:$C, 0), 1), "")</f>
        <v/>
      </c>
      <c r="CK20" s="94" t="str">
        <f t="array" ref="CK20">IFERROR(INDEX(Skill!$Y:$Y, MATCH(CK$4, Skill!$C:$C, 0), 1), "")</f>
        <v/>
      </c>
      <c r="CL20" s="94" t="str">
        <f t="array" ref="CL20">IFERROR(INDEX(Skill!$Y:$Y, MATCH(CL$4, Skill!$C:$C, 0), 1), "")</f>
        <v/>
      </c>
      <c r="CM20" s="94" t="str">
        <f t="array" ref="CM20">IFERROR(INDEX(Skill!$Y:$Y, MATCH(CM$4, Skill!$C:$C, 0), 1), "")</f>
        <v/>
      </c>
      <c r="CN20" s="94" t="str">
        <f t="array" ref="CN20">IFERROR(INDEX(Skill!$Y:$Y, MATCH(CN$4, Skill!$C:$C, 0), 1), "")</f>
        <v/>
      </c>
      <c r="CO20" s="94" t="str">
        <f t="array" ref="CO20">IFERROR(INDEX(Skill!$Y:$Y, MATCH(CO$4, Skill!$C:$C, 0), 1), "")</f>
        <v/>
      </c>
      <c r="CP20" s="94" t="str">
        <f t="array" ref="CP20">IFERROR(INDEX(Skill!$Y:$Y, MATCH(CP$4, Skill!$C:$C, 0), 1), "")</f>
        <v/>
      </c>
      <c r="CQ20" s="94" t="str">
        <f t="array" ref="CQ20">IFERROR(INDEX(Skill!$Y:$Y, MATCH(CQ$4, Skill!$C:$C, 0), 1), "")</f>
        <v/>
      </c>
      <c r="CR20" s="94" t="str">
        <f t="array" ref="CR20">IFERROR(INDEX(Skill!$Y:$Y, MATCH(CR$4, Skill!$C:$C, 0), 1), "")</f>
        <v/>
      </c>
      <c r="CS20" s="94" t="str">
        <f t="array" ref="CS20">IFERROR(INDEX(Skill!$Y:$Y, MATCH(CS$4, Skill!$C:$C, 0), 1), "")</f>
        <v/>
      </c>
      <c r="CT20" s="94" t="str">
        <f t="array" ref="CT20">IFERROR(INDEX(Skill!$Y:$Y, MATCH(CT$4, Skill!$C:$C, 0), 1), "")</f>
        <v/>
      </c>
      <c r="CU20" s="94" t="str">
        <f t="array" ref="CU20">IFERROR(INDEX(Skill!$Y:$Y, MATCH(CU$4, Skill!$C:$C, 0), 1), "")</f>
        <v/>
      </c>
      <c r="CV20" s="94" t="str">
        <f t="array" ref="CV20">IFERROR(INDEX(Skill!$Y:$Y, MATCH(CV$4, Skill!$C:$C, 0), 1), "")</f>
        <v/>
      </c>
      <c r="CW20" s="94" t="str">
        <f t="array" ref="CW20">IFERROR(INDEX(Skill!$Y:$Y, MATCH(CW$4, Skill!$C:$C, 0), 1), "")</f>
        <v/>
      </c>
      <c r="CX20" s="94" t="str">
        <f t="array" ref="CX20">IFERROR(INDEX(Skill!$Y:$Y, MATCH(CX$4, Skill!$C:$C, 0), 1), "")</f>
        <v/>
      </c>
      <c r="CY20" s="94" t="str">
        <f t="array" ref="CY20">IFERROR(INDEX(Skill!$Y:$Y, MATCH(CY$4, Skill!$C:$C, 0), 1), "")</f>
        <v/>
      </c>
      <c r="CZ20" s="94" t="str">
        <f t="array" ref="CZ20">IFERROR(INDEX(Skill!$Y:$Y, MATCH(CZ$4, Skill!$C:$C, 0), 1), "")</f>
        <v/>
      </c>
      <c r="DA20" s="94" t="str">
        <f t="array" ref="DA20">IFERROR(INDEX(Skill!$Y:$Y, MATCH(DA$4, Skill!$C:$C, 0), 1), "")</f>
        <v/>
      </c>
      <c r="DB20" s="94" t="str">
        <f t="array" ref="DB20">IFERROR(INDEX(Skill!$Y:$Y, MATCH(DB$4, Skill!$C:$C, 0), 1), "")</f>
        <v/>
      </c>
      <c r="DC20" s="94" t="str">
        <f t="array" ref="DC20">IFERROR(INDEX(Skill!$Y:$Y, MATCH(DC$4, Skill!$C:$C, 0), 1), "")</f>
        <v/>
      </c>
      <c r="DD20" s="94" t="str">
        <f t="array" ref="DD20">IFERROR(INDEX(Skill!$Y:$Y, MATCH(DD$4, Skill!$C:$C, 0), 1), "")</f>
        <v/>
      </c>
      <c r="DE20" s="94" t="str">
        <f t="array" ref="DE20">IFERROR(INDEX(Skill!$Y:$Y, MATCH(DE$4, Skill!$C:$C, 0), 1), "")</f>
        <v/>
      </c>
      <c r="DF20" s="94" t="str">
        <f t="array" ref="DF20">IFERROR(INDEX(Skill!$Y:$Y, MATCH(DF$4, Skill!$C:$C, 0), 1), "")</f>
        <v/>
      </c>
      <c r="DG20" s="94" t="str">
        <f t="array" ref="DG20">IFERROR(INDEX(Skill!$Y:$Y, MATCH(DG$4, Skill!$C:$C, 0), 1), "")</f>
        <v/>
      </c>
      <c r="DH20" s="94" t="str">
        <f t="array" ref="DH20">IFERROR(INDEX(Skill!$Y:$Y, MATCH(DH$4, Skill!$C:$C, 0), 1), "")</f>
        <v/>
      </c>
      <c r="DI20" s="94" t="str">
        <f t="array" ref="DI20">IFERROR(INDEX(Skill!$Y:$Y, MATCH(DI$4, Skill!$C:$C, 0), 1), "")</f>
        <v/>
      </c>
      <c r="DJ20" s="94" t="str">
        <f t="array" ref="DJ20">IFERROR(INDEX(Skill!$Y:$Y, MATCH(DJ$4, Skill!$C:$C, 0), 1), "")</f>
        <v/>
      </c>
      <c r="DK20" s="94" t="str">
        <f t="array" ref="DK20">IFERROR(INDEX(Skill!$Y:$Y, MATCH(DK$4, Skill!$C:$C, 0), 1), "")</f>
        <v/>
      </c>
      <c r="DL20" s="94" t="str">
        <f t="array" ref="DL20">IFERROR(INDEX(Skill!$Y:$Y, MATCH(DL$4, Skill!$C:$C, 0), 1), "")</f>
        <v/>
      </c>
      <c r="DM20" s="94" t="str">
        <f t="array" ref="DM20">IFERROR(INDEX(Skill!$Y:$Y, MATCH(DM$4, Skill!$C:$C, 0), 1), "")</f>
        <v/>
      </c>
      <c r="DN20" s="94" t="str">
        <f t="array" ref="DN20">IFERROR(INDEX(Skill!$Y:$Y, MATCH(DN$4, Skill!$C:$C, 0), 1), "")</f>
        <v/>
      </c>
      <c r="DO20" s="94" t="str">
        <f t="array" ref="DO20">IFERROR(INDEX(Skill!$Y:$Y, MATCH(DO$4, Skill!$C:$C, 0), 1), "")</f>
        <v/>
      </c>
      <c r="DP20" s="94" t="str">
        <f t="array" ref="DP20">IFERROR(INDEX(Skill!$Y:$Y, MATCH(DP$4, Skill!$C:$C, 0), 1), "")</f>
        <v/>
      </c>
      <c r="DQ20" s="94" t="str">
        <f t="array" ref="DQ20">IFERROR(INDEX(Skill!$Y:$Y, MATCH(DQ$4, Skill!$C:$C, 0), 1), "")</f>
        <v/>
      </c>
      <c r="DR20" s="94" t="str">
        <f t="array" ref="DR20">IFERROR(INDEX(Skill!$Y:$Y, MATCH(DR$4, Skill!$C:$C, 0), 1), "")</f>
        <v/>
      </c>
      <c r="DS20" s="94" t="str">
        <f t="array" ref="DS20">IFERROR(INDEX(Skill!$Y:$Y, MATCH(DS$4, Skill!$C:$C, 0), 1), "")</f>
        <v/>
      </c>
      <c r="DT20" s="94" t="str">
        <f t="array" ref="DT20">IFERROR(INDEX(Skill!$Y:$Y, MATCH(DT$4, Skill!$C:$C, 0), 1), "")</f>
        <v/>
      </c>
      <c r="DU20" s="94" t="str">
        <f t="array" ref="DU20">IFERROR(INDEX(Skill!$Y:$Y, MATCH(DU$4, Skill!$C:$C, 0), 1), "")</f>
        <v/>
      </c>
      <c r="DV20" s="94" t="str">
        <f t="array" ref="DV20">IFERROR(INDEX(Skill!$Y:$Y, MATCH(DV$4, Skill!$C:$C, 0), 1), "")</f>
        <v/>
      </c>
      <c r="DW20" s="94" t="str">
        <f t="array" ref="DW20">IFERROR(INDEX(Skill!$Y:$Y, MATCH(DW$4, Skill!$C:$C, 0), 1), "")</f>
        <v/>
      </c>
      <c r="DX20" s="94" t="str">
        <f t="array" ref="DX20">IFERROR(INDEX(Skill!$Y:$Y, MATCH(DX$4, Skill!$C:$C, 0), 1), "")</f>
        <v/>
      </c>
      <c r="DY20" s="94" t="str">
        <f t="array" ref="DY20">IFERROR(INDEX(Skill!$Y:$Y, MATCH(DY$4, Skill!$C:$C, 0), 1), "")</f>
        <v/>
      </c>
      <c r="DZ20" s="94" t="str">
        <f t="array" ref="DZ20">IFERROR(INDEX(Skill!$Y:$Y, MATCH(DZ$4, Skill!$C:$C, 0), 1), "")</f>
        <v/>
      </c>
      <c r="EA20" s="89" t="str">
        <f t="array" ref="EA20">IFERROR(INDEX(Skill!$Y:$Y, MATCH(EA$4, Skill!$C:$C, 0), 1), "")</f>
        <v/>
      </c>
      <c r="EB20" s="89" t="str">
        <f t="array" ref="EB20">IFERROR(INDEX(Skill!$Y:$Y, MATCH(EB$4, Skill!$C:$C, 0), 1), "")</f>
        <v/>
      </c>
      <c r="EC20" s="89" t="str">
        <f t="array" ref="EC20">IFERROR(INDEX(Skill!$Y:$Y, MATCH(EC$4, Skill!$C:$C, 0), 1), "")</f>
        <v/>
      </c>
      <c r="ED20" s="94" t="str">
        <f t="array" ref="ED20">IFERROR(INDEX(Skill!$Y:$Y, MATCH(ED$4, Skill!$C:$C, 0), 1), "")</f>
        <v/>
      </c>
      <c r="EE20" s="102"/>
      <c r="EF20" s="102"/>
      <c r="EG20" s="102"/>
      <c r="EH20" s="102"/>
      <c r="EI20" s="102"/>
      <c r="EJ20" s="102"/>
      <c r="EK20" s="102"/>
      <c r="EL20" s="102"/>
      <c r="EM20" s="102"/>
      <c r="EN20" s="102"/>
      <c r="EO20" s="102"/>
      <c r="EP20" s="102"/>
      <c r="EQ20" s="102"/>
      <c r="ER20" s="103"/>
      <c r="ES20" s="103"/>
      <c r="ET20" s="103"/>
      <c r="EU20" s="76"/>
      <c r="EV20" s="76"/>
      <c r="EW20" s="76"/>
      <c r="EX20" s="76"/>
      <c r="EY20" s="76"/>
      <c r="EZ20" s="76"/>
      <c r="FA20" s="76"/>
      <c r="FB20" s="76"/>
      <c r="FC20" s="76"/>
      <c r="FD20" s="76"/>
      <c r="FE20" s="76"/>
      <c r="FF20" s="76"/>
      <c r="FG20" s="76"/>
      <c r="FH20" s="76"/>
      <c r="FI20" s="76"/>
      <c r="FJ20" s="76"/>
      <c r="FK20" s="76"/>
      <c r="FL20" s="76"/>
      <c r="FM20" s="76"/>
      <c r="FN20" s="76"/>
      <c r="FO20" s="91"/>
    </row>
    <row r="21" hidden="1">
      <c r="B21" s="84"/>
      <c r="C21" s="83"/>
      <c r="D21" s="83"/>
      <c r="E21" s="84" t="s">
        <v>1043</v>
      </c>
      <c r="F21" s="84"/>
      <c r="G21" s="84"/>
      <c r="H21" s="84"/>
      <c r="I21" s="84"/>
      <c r="J21" s="84"/>
      <c r="K21" s="94" t="str">
        <f t="array" ref="K21">IFERROR(INDEX(Skill!$AB:$AB, MATCH(K$4, Skill!$C:$C, 0), 1), "")</f>
        <v/>
      </c>
      <c r="L21" s="94" t="str">
        <f t="array" ref="L21">IFERROR(INDEX(Skill!$AB:$AB, MATCH(L$4, Skill!$C:$C, 0), 1), "")</f>
        <v/>
      </c>
      <c r="M21" s="94" t="str">
        <f t="array" ref="M21">IFERROR(INDEX(Skill!$AB:$AB, MATCH(M$4, Skill!$C:$C, 0), 1), "")</f>
        <v/>
      </c>
      <c r="N21" s="94" t="str">
        <f t="array" ref="N21">IFERROR(INDEX(Skill!$AB:$AB, MATCH(N$4, Skill!$C:$C, 0), 1), "")</f>
        <v/>
      </c>
      <c r="O21" s="94" t="str">
        <f t="array" ref="O21">IFERROR(INDEX(Skill!$AB:$AB, MATCH(O$4, Skill!$C:$C, 0), 1), "")</f>
        <v/>
      </c>
      <c r="P21" s="94" t="str">
        <f t="array" ref="P21">IFERROR(INDEX(Skill!$AB:$AB, MATCH(P$4, Skill!$C:$C, 0), 1), "")</f>
        <v/>
      </c>
      <c r="Q21" s="94" t="str">
        <f t="array" ref="Q21">IFERROR(INDEX(Skill!$AB:$AB, MATCH(Q$4, Skill!$C:$C, 0), 1), "")</f>
        <v/>
      </c>
      <c r="R21" s="94" t="str">
        <f t="array" ref="R21">IFERROR(INDEX(Skill!$AB:$AB, MATCH(R$4, Skill!$C:$C, 0), 1), "")</f>
        <v/>
      </c>
      <c r="S21" s="94" t="str">
        <f t="array" ref="S21">IFERROR(INDEX(Skill!$AB:$AB, MATCH(S$4, Skill!$C:$C, 0), 1), "")</f>
        <v/>
      </c>
      <c r="T21" s="94" t="str">
        <f t="array" ref="T21">IFERROR(INDEX(Skill!$AB:$AB, MATCH(T$4, Skill!$C:$C, 0), 1), "")</f>
        <v/>
      </c>
      <c r="U21" s="94" t="str">
        <f t="array" ref="U21">IFERROR(INDEX(Skill!$AB:$AB, MATCH(U$4, Skill!$C:$C, 0), 1), "")</f>
        <v/>
      </c>
      <c r="V21" s="94" t="str">
        <f t="array" ref="V21">IFERROR(INDEX(Skill!$AB:$AB, MATCH(V$4, Skill!$C:$C, 0), 1), "")</f>
        <v/>
      </c>
      <c r="W21" s="94" t="str">
        <f t="array" ref="W21">IFERROR(INDEX(Skill!$AB:$AB, MATCH(W$4, Skill!$C:$C, 0), 1), "")</f>
        <v/>
      </c>
      <c r="X21" s="94" t="str">
        <f t="array" ref="X21">IFERROR(INDEX(Skill!$AB:$AB, MATCH(X$4, Skill!$C:$C, 0), 1), "")</f>
        <v/>
      </c>
      <c r="Y21" s="94" t="str">
        <f t="array" ref="Y21">IFERROR(INDEX(Skill!$AB:$AB, MATCH(Y$4, Skill!$C:$C, 0), 1), "")</f>
        <v/>
      </c>
      <c r="Z21" s="94" t="str">
        <f t="array" ref="Z21">IFERROR(INDEX(Skill!$AB:$AB, MATCH(Z$4, Skill!$C:$C, 0), 1), "")</f>
        <v/>
      </c>
      <c r="AA21" s="94" t="str">
        <f t="array" ref="AA21">IFERROR(INDEX(Skill!$AB:$AB, MATCH(AA$4, Skill!$C:$C, 0), 1), "")</f>
        <v/>
      </c>
      <c r="AB21" s="94" t="str">
        <f t="array" ref="AB21">IFERROR(INDEX(Skill!$AB:$AB, MATCH(AB$4, Skill!$C:$C, 0), 1), "")</f>
        <v/>
      </c>
      <c r="AC21" s="94" t="str">
        <f t="array" ref="AC21">IFERROR(INDEX(Skill!$AB:$AB, MATCH(AC$4, Skill!$C:$C, 0), 1), "")</f>
        <v/>
      </c>
      <c r="AD21" s="94" t="str">
        <f t="array" ref="AD21">IFERROR(INDEX(Skill!$AB:$AB, MATCH(AD$4, Skill!$C:$C, 0), 1), "")</f>
        <v/>
      </c>
      <c r="AE21" s="94" t="str">
        <f t="array" ref="AE21">IFERROR(INDEX(Skill!$AB:$AB, MATCH(AE$4, Skill!$C:$C, 0), 1), "")</f>
        <v/>
      </c>
      <c r="AF21" s="94" t="str">
        <f t="array" ref="AF21">IFERROR(INDEX(Skill!$AB:$AB, MATCH(AF$4, Skill!$C:$C, 0), 1), "")</f>
        <v/>
      </c>
      <c r="AG21" s="94" t="str">
        <f t="array" ref="AG21">IFERROR(INDEX(Skill!$AB:$AB, MATCH(AG$4, Skill!$C:$C, 0), 1), "")</f>
        <v/>
      </c>
      <c r="AH21" s="94" t="str">
        <f t="array" ref="AH21">IFERROR(INDEX(Skill!$AB:$AB, MATCH(AH$4, Skill!$C:$C, 0), 1), "")</f>
        <v/>
      </c>
      <c r="AI21" s="94" t="str">
        <f t="array" ref="AI21">IFERROR(INDEX(Skill!$AB:$AB, MATCH(AI$4, Skill!$C:$C, 0), 1), "")</f>
        <v/>
      </c>
      <c r="AJ21" s="94" t="str">
        <f t="array" ref="AJ21">IFERROR(INDEX(Skill!$AB:$AB, MATCH(AJ$4, Skill!$C:$C, 0), 1), "")</f>
        <v/>
      </c>
      <c r="AK21" s="94" t="str">
        <f t="array" ref="AK21">IFERROR(INDEX(Skill!$AB:$AB, MATCH(AK$4, Skill!$C:$C, 0), 1), "")</f>
        <v/>
      </c>
      <c r="AL21" s="94" t="str">
        <f t="array" ref="AL21">IFERROR(INDEX(Skill!$AB:$AB, MATCH(AL$4, Skill!$C:$C, 0), 1), "")</f>
        <v/>
      </c>
      <c r="AM21" s="94" t="str">
        <f t="array" ref="AM21">IFERROR(INDEX(Skill!$AB:$AB, MATCH(AM$4, Skill!$C:$C, 0), 1), "")</f>
        <v/>
      </c>
      <c r="AN21" s="94" t="str">
        <f t="array" ref="AN21">IFERROR(INDEX(Skill!$AB:$AB, MATCH(AN$4, Skill!$C:$C, 0), 1), "")</f>
        <v/>
      </c>
      <c r="AO21" s="94" t="str">
        <f t="array" ref="AO21">IFERROR(INDEX(Skill!$AB:$AB, MATCH(AO$4, Skill!$C:$C, 0), 1), "")</f>
        <v/>
      </c>
      <c r="AP21" s="94" t="str">
        <f t="array" ref="AP21">IFERROR(INDEX(Skill!$AB:$AB, MATCH(AP$4, Skill!$C:$C, 0), 1), "")</f>
        <v/>
      </c>
      <c r="AQ21" s="94" t="str">
        <f t="array" ref="AQ21">IFERROR(INDEX(Skill!$AB:$AB, MATCH(AQ$4, Skill!$C:$C, 0), 1), "")</f>
        <v/>
      </c>
      <c r="AR21" s="94" t="str">
        <f t="array" ref="AR21">IFERROR(INDEX(Skill!$AB:$AB, MATCH(AR$4, Skill!$C:$C, 0), 1), "")</f>
        <v/>
      </c>
      <c r="AS21" s="94" t="str">
        <f t="array" ref="AS21">IFERROR(INDEX(Skill!$AB:$AB, MATCH(AS$4, Skill!$C:$C, 0), 1), "")</f>
        <v/>
      </c>
      <c r="AT21" s="94" t="str">
        <f t="array" ref="AT21">IFERROR(INDEX(Skill!$AB:$AB, MATCH(AT$4, Skill!$C:$C, 0), 1), "")</f>
        <v/>
      </c>
      <c r="AU21" s="94" t="str">
        <f t="array" ref="AU21">IFERROR(INDEX(Skill!$AB:$AB, MATCH(AU$4, Skill!$C:$C, 0), 1), "")</f>
        <v/>
      </c>
      <c r="AV21" s="94" t="str">
        <f t="array" ref="AV21">IFERROR(INDEX(Skill!$AB:$AB, MATCH(AV$4, Skill!$C:$C, 0), 1), "")</f>
        <v/>
      </c>
      <c r="AW21" s="94" t="str">
        <f t="array" ref="AW21">IFERROR(INDEX(Skill!$AB:$AB, MATCH(AW$4, Skill!$C:$C, 0), 1), "")</f>
        <v/>
      </c>
      <c r="AX21" s="94" t="str">
        <f t="array" ref="AX21">IFERROR(INDEX(Skill!$AB:$AB, MATCH(AX$4, Skill!$C:$C, 0), 1), "")</f>
        <v/>
      </c>
      <c r="AY21" s="94" t="str">
        <f t="array" ref="AY21">IFERROR(INDEX(Skill!$AB:$AB, MATCH(AY$4, Skill!$C:$C, 0), 1), "")</f>
        <v/>
      </c>
      <c r="AZ21" s="94" t="str">
        <f t="array" ref="AZ21">IFERROR(INDEX(Skill!$AB:$AB, MATCH(AZ$4, Skill!$C:$C, 0), 1), "")</f>
        <v/>
      </c>
      <c r="BA21" s="94" t="str">
        <f t="array" ref="BA21">IFERROR(INDEX(Skill!$AB:$AB, MATCH(BA$4, Skill!$C:$C, 0), 1), "")</f>
        <v/>
      </c>
      <c r="BB21" s="94" t="str">
        <f t="array" ref="BB21">IFERROR(INDEX(Skill!$AB:$AB, MATCH(BB$4, Skill!$C:$C, 0), 1), "")</f>
        <v/>
      </c>
      <c r="BC21" s="94" t="str">
        <f t="array" ref="BC21">IFERROR(INDEX(Skill!$AB:$AB, MATCH(BC$4, Skill!$C:$C, 0), 1), "")</f>
        <v/>
      </c>
      <c r="BD21" s="94" t="str">
        <f t="array" ref="BD21">IFERROR(INDEX(Skill!$AB:$AB, MATCH(BD$4, Skill!$C:$C, 0), 1), "")</f>
        <v/>
      </c>
      <c r="BE21" s="94" t="str">
        <f t="array" ref="BE21">IFERROR(INDEX(Skill!$AB:$AB, MATCH(BE$4, Skill!$C:$C, 0), 1), "")</f>
        <v/>
      </c>
      <c r="BF21" s="94" t="str">
        <f t="array" ref="BF21">IFERROR(INDEX(Skill!$AB:$AB, MATCH(BF$4, Skill!$C:$C, 0), 1), "")</f>
        <v/>
      </c>
      <c r="BG21" s="94" t="str">
        <f t="array" ref="BG21">IFERROR(INDEX(Skill!$AB:$AB, MATCH(BG$4, Skill!$C:$C, 0), 1), "")</f>
        <v/>
      </c>
      <c r="BH21" s="94">
        <f t="array" ref="BH21">IFERROR(INDEX(Skill!$AB:$AB, MATCH(BH$4, Skill!$C:$C, 0), 1), "")</f>
        <v>312.5</v>
      </c>
      <c r="BI21" s="94" t="str">
        <f t="array" ref="BI21">IFERROR(INDEX(Skill!$AB:$AB, MATCH(BI$4, Skill!$C:$C, 0), 1), "")</f>
        <v/>
      </c>
      <c r="BJ21" s="94" t="str">
        <f t="array" ref="BJ21">IFERROR(INDEX(Skill!$AB:$AB, MATCH(BJ$4, Skill!$C:$C, 0), 1), "")</f>
        <v/>
      </c>
      <c r="BK21" s="94" t="str">
        <f t="array" ref="BK21">IFERROR(INDEX(Skill!$AB:$AB, MATCH(BK$4, Skill!$C:$C, 0), 1), "")</f>
        <v/>
      </c>
      <c r="BL21" s="94" t="str">
        <f t="array" ref="BL21">IFERROR(INDEX(Skill!$AB:$AB, MATCH(BL$4, Skill!$C:$C, 0), 1), "")</f>
        <v/>
      </c>
      <c r="BM21" s="94" t="str">
        <f t="array" ref="BM21">IFERROR(INDEX(Skill!$AB:$AB, MATCH(BM$4, Skill!$C:$C, 0), 1), "")</f>
        <v/>
      </c>
      <c r="BN21" s="94" t="str">
        <f t="array" ref="BN21">IFERROR(INDEX(Skill!$AB:$AB, MATCH(BN$4, Skill!$C:$C, 0), 1), "")</f>
        <v/>
      </c>
      <c r="BO21" s="94" t="str">
        <f t="array" ref="BO21">IFERROR(INDEX(Skill!$AB:$AB, MATCH(BO$4, Skill!$C:$C, 0), 1), "")</f>
        <v/>
      </c>
      <c r="BP21" s="94" t="str">
        <f t="array" ref="BP21">IFERROR(INDEX(Skill!$AB:$AB, MATCH(BP$4, Skill!$C:$C, 0), 1), "")</f>
        <v/>
      </c>
      <c r="BQ21" s="94" t="str">
        <f t="array" ref="BQ21">IFERROR(INDEX(Skill!$AB:$AB, MATCH(BQ$4, Skill!$C:$C, 0), 1), "")</f>
        <v/>
      </c>
      <c r="BR21" s="94" t="str">
        <f t="array" ref="BR21">IFERROR(INDEX(Skill!$AB:$AB, MATCH(BR$4, Skill!$C:$C, 0), 1), "")</f>
        <v/>
      </c>
      <c r="BS21" s="94" t="str">
        <f t="array" ref="BS21">IFERROR(INDEX(Skill!$AB:$AB, MATCH(BS$4, Skill!$C:$C, 0), 1), "")</f>
        <v/>
      </c>
      <c r="BT21" s="94" t="str">
        <f t="array" ref="BT21">IFERROR(INDEX(Skill!$AB:$AB, MATCH(BT$4, Skill!$C:$C, 0), 1), "")</f>
        <v/>
      </c>
      <c r="BU21" s="94" t="str">
        <f t="array" ref="BU21">IFERROR(INDEX(Skill!$AB:$AB, MATCH(BU$4, Skill!$C:$C, 0), 1), "")</f>
        <v/>
      </c>
      <c r="BV21" s="94" t="str">
        <f t="array" ref="BV21">IFERROR(INDEX(Skill!$AB:$AB, MATCH(BV$4, Skill!$C:$C, 0), 1), "")</f>
        <v/>
      </c>
      <c r="BW21" s="94" t="str">
        <f t="array" ref="BW21">IFERROR(INDEX(Skill!$AB:$AB, MATCH(BW$4, Skill!$C:$C, 0), 1), "")</f>
        <v/>
      </c>
      <c r="BX21" s="94">
        <f t="array" ref="BX21">IFERROR(INDEX(Skill!$AB:$AB, MATCH(BX$4, Skill!$C:$C, 0), 1), "")</f>
        <v>625</v>
      </c>
      <c r="BY21" s="94" t="str">
        <f t="array" ref="BY21">IFERROR(INDEX(Skill!$AB:$AB, MATCH(BY$4, Skill!$C:$C, 0), 1), "")</f>
        <v/>
      </c>
      <c r="BZ21" s="94" t="str">
        <f t="array" ref="BZ21">IFERROR(INDEX(Skill!$AB:$AB, MATCH(BZ$4, Skill!$C:$C, 0), 1), "")</f>
        <v/>
      </c>
      <c r="CA21" s="94" t="str">
        <f t="array" ref="CA21">IFERROR(INDEX(Skill!$AB:$AB, MATCH(CA$4, Skill!$C:$C, 0), 1), "")</f>
        <v/>
      </c>
      <c r="CB21" s="94" t="str">
        <f t="array" ref="CB21">IFERROR(INDEX(Skill!$AB:$AB, MATCH(CB$4, Skill!$C:$C, 0), 1), "")</f>
        <v/>
      </c>
      <c r="CC21" s="94" t="str">
        <f t="array" ref="CC21">IFERROR(INDEX(Skill!$AB:$AB, MATCH(CC$4, Skill!$C:$C, 0), 1), "")</f>
        <v/>
      </c>
      <c r="CD21" s="94" t="str">
        <f t="array" ref="CD21">IFERROR(INDEX(Skill!$AB:$AB, MATCH(CD$4, Skill!$C:$C, 0), 1), "")</f>
        <v/>
      </c>
      <c r="CE21" s="94" t="str">
        <f t="array" ref="CE21">IFERROR(INDEX(Skill!$AB:$AB, MATCH(CE$4, Skill!$C:$C, 0), 1), "")</f>
        <v/>
      </c>
      <c r="CF21" s="94" t="str">
        <f t="array" ref="CF21">IFERROR(INDEX(Skill!$AB:$AB, MATCH(CF$4, Skill!$C:$C, 0), 1), "")</f>
        <v/>
      </c>
      <c r="CG21" s="94" t="str">
        <f t="array" ref="CG21">IFERROR(INDEX(Skill!$AB:$AB, MATCH(CG$4, Skill!$C:$C, 0), 1), "")</f>
        <v/>
      </c>
      <c r="CH21" s="94" t="str">
        <f t="array" ref="CH21">IFERROR(INDEX(Skill!$AB:$AB, MATCH(CH$4, Skill!$C:$C, 0), 1), "")</f>
        <v/>
      </c>
      <c r="CI21" s="94" t="str">
        <f t="array" ref="CI21">IFERROR(INDEX(Skill!$AB:$AB, MATCH(CI$4, Skill!$C:$C, 0), 1), "")</f>
        <v/>
      </c>
      <c r="CJ21" s="94" t="str">
        <f t="array" ref="CJ21">IFERROR(INDEX(Skill!$AB:$AB, MATCH(CJ$4, Skill!$C:$C, 0), 1), "")</f>
        <v/>
      </c>
      <c r="CK21" s="94" t="str">
        <f t="array" ref="CK21">IFERROR(INDEX(Skill!$AB:$AB, MATCH(CK$4, Skill!$C:$C, 0), 1), "")</f>
        <v/>
      </c>
      <c r="CL21" s="94" t="str">
        <f t="array" ref="CL21">IFERROR(INDEX(Skill!$AB:$AB, MATCH(CL$4, Skill!$C:$C, 0), 1), "")</f>
        <v/>
      </c>
      <c r="CM21" s="94">
        <f t="array" ref="CM21">IFERROR(INDEX(Skill!$AB:$AB, MATCH(CM$4, Skill!$C:$C, 0), 1), "")</f>
        <v>648</v>
      </c>
      <c r="CN21" s="94" t="str">
        <f t="array" ref="CN21">IFERROR(INDEX(Skill!$AB:$AB, MATCH(CN$4, Skill!$C:$C, 0), 1), "")</f>
        <v/>
      </c>
      <c r="CO21" s="94" t="str">
        <f t="array" ref="CO21">IFERROR(INDEX(Skill!$AB:$AB, MATCH(CO$4, Skill!$C:$C, 0), 1), "")</f>
        <v/>
      </c>
      <c r="CP21" s="94">
        <f t="array" ref="CP21">IFERROR(INDEX(Skill!$AB:$AB, MATCH(CP$4, Skill!$C:$C, 0), 1), "")</f>
        <v>540</v>
      </c>
      <c r="CQ21" s="94" t="str">
        <f t="array" ref="CQ21">IFERROR(INDEX(Skill!$AB:$AB, MATCH(CQ$4, Skill!$C:$C, 0), 1), "")</f>
        <v/>
      </c>
      <c r="CR21" s="94" t="str">
        <f t="array" ref="CR21">IFERROR(INDEX(Skill!$AB:$AB, MATCH(CR$4, Skill!$C:$C, 0), 1), "")</f>
        <v/>
      </c>
      <c r="CS21" s="94" t="str">
        <f t="array" ref="CS21">IFERROR(INDEX(Skill!$AB:$AB, MATCH(CS$4, Skill!$C:$C, 0), 1), "")</f>
        <v/>
      </c>
      <c r="CT21" s="94" t="str">
        <f t="array" ref="CT21">IFERROR(INDEX(Skill!$AB:$AB, MATCH(CT$4, Skill!$C:$C, 0), 1), "")</f>
        <v/>
      </c>
      <c r="CU21" s="94" t="str">
        <f t="array" ref="CU21">IFERROR(INDEX(Skill!$AB:$AB, MATCH(CU$4, Skill!$C:$C, 0), 1), "")</f>
        <v/>
      </c>
      <c r="CV21" s="94" t="str">
        <f t="array" ref="CV21">IFERROR(INDEX(Skill!$AB:$AB, MATCH(CV$4, Skill!$C:$C, 0), 1), "")</f>
        <v/>
      </c>
      <c r="CW21" s="94" t="str">
        <f t="array" ref="CW21">IFERROR(INDEX(Skill!$AB:$AB, MATCH(CW$4, Skill!$C:$C, 0), 1), "")</f>
        <v/>
      </c>
      <c r="CX21" s="94" t="str">
        <f t="array" ref="CX21">IFERROR(INDEX(Skill!$AB:$AB, MATCH(CX$4, Skill!$C:$C, 0), 1), "")</f>
        <v/>
      </c>
      <c r="CY21" s="94" t="str">
        <f t="array" ref="CY21">IFERROR(INDEX(Skill!$AB:$AB, MATCH(CY$4, Skill!$C:$C, 0), 1), "")</f>
        <v/>
      </c>
      <c r="CZ21" s="94" t="str">
        <f t="array" ref="CZ21">IFERROR(INDEX(Skill!$AB:$AB, MATCH(CZ$4, Skill!$C:$C, 0), 1), "")</f>
        <v/>
      </c>
      <c r="DA21" s="94" t="str">
        <f t="array" ref="DA21">IFERROR(INDEX(Skill!$AB:$AB, MATCH(DA$4, Skill!$C:$C, 0), 1), "")</f>
        <v/>
      </c>
      <c r="DB21" s="94" t="str">
        <f t="array" ref="DB21">IFERROR(INDEX(Skill!$AB:$AB, MATCH(DB$4, Skill!$C:$C, 0), 1), "")</f>
        <v/>
      </c>
      <c r="DC21" s="94" t="str">
        <f t="array" ref="DC21">IFERROR(INDEX(Skill!$AB:$AB, MATCH(DC$4, Skill!$C:$C, 0), 1), "")</f>
        <v/>
      </c>
      <c r="DD21" s="94" t="str">
        <f t="array" ref="DD21">IFERROR(INDEX(Skill!$AB:$AB, MATCH(DD$4, Skill!$C:$C, 0), 1), "")</f>
        <v/>
      </c>
      <c r="DE21" s="94" t="str">
        <f t="array" ref="DE21">IFERROR(INDEX(Skill!$AB:$AB, MATCH(DE$4, Skill!$C:$C, 0), 1), "")</f>
        <v/>
      </c>
      <c r="DF21" s="94" t="str">
        <f t="array" ref="DF21">IFERROR(INDEX(Skill!$AB:$AB, MATCH(DF$4, Skill!$C:$C, 0), 1), "")</f>
        <v/>
      </c>
      <c r="DG21" s="94" t="str">
        <f t="array" ref="DG21">IFERROR(INDEX(Skill!$AB:$AB, MATCH(DG$4, Skill!$C:$C, 0), 1), "")</f>
        <v/>
      </c>
      <c r="DH21" s="94" t="str">
        <f t="array" ref="DH21">IFERROR(INDEX(Skill!$AB:$AB, MATCH(DH$4, Skill!$C:$C, 0), 1), "")</f>
        <v/>
      </c>
      <c r="DI21" s="94" t="str">
        <f t="array" ref="DI21">IFERROR(INDEX(Skill!$AB:$AB, MATCH(DI$4, Skill!$C:$C, 0), 1), "")</f>
        <v/>
      </c>
      <c r="DJ21" s="94" t="str">
        <f t="array" ref="DJ21">IFERROR(INDEX(Skill!$AB:$AB, MATCH(DJ$4, Skill!$C:$C, 0), 1), "")</f>
        <v/>
      </c>
      <c r="DK21" s="94" t="str">
        <f t="array" ref="DK21">IFERROR(INDEX(Skill!$AB:$AB, MATCH(DK$4, Skill!$C:$C, 0), 1), "")</f>
        <v/>
      </c>
      <c r="DL21" s="94" t="str">
        <f t="array" ref="DL21">IFERROR(INDEX(Skill!$AB:$AB, MATCH(DL$4, Skill!$C:$C, 0), 1), "")</f>
        <v/>
      </c>
      <c r="DM21" s="94" t="str">
        <f t="array" ref="DM21">IFERROR(INDEX(Skill!$AB:$AB, MATCH(DM$4, Skill!$C:$C, 0), 1), "")</f>
        <v/>
      </c>
      <c r="DN21" s="94" t="str">
        <f t="array" ref="DN21">IFERROR(INDEX(Skill!$AB:$AB, MATCH(DN$4, Skill!$C:$C, 0), 1), "")</f>
        <v/>
      </c>
      <c r="DO21" s="94" t="str">
        <f t="array" ref="DO21">IFERROR(INDEX(Skill!$AB:$AB, MATCH(DO$4, Skill!$C:$C, 0), 1), "")</f>
        <v/>
      </c>
      <c r="DP21" s="94" t="str">
        <f t="array" ref="DP21">IFERROR(INDEX(Skill!$AB:$AB, MATCH(DP$4, Skill!$C:$C, 0), 1), "")</f>
        <v/>
      </c>
      <c r="DQ21" s="94" t="str">
        <f t="array" ref="DQ21">IFERROR(INDEX(Skill!$AB:$AB, MATCH(DQ$4, Skill!$C:$C, 0), 1), "")</f>
        <v/>
      </c>
      <c r="DR21" s="94" t="str">
        <f t="array" ref="DR21">IFERROR(INDEX(Skill!$AB:$AB, MATCH(DR$4, Skill!$C:$C, 0), 1), "")</f>
        <v/>
      </c>
      <c r="DS21" s="94" t="str">
        <f t="array" ref="DS21">IFERROR(INDEX(Skill!$AB:$AB, MATCH(DS$4, Skill!$C:$C, 0), 1), "")</f>
        <v/>
      </c>
      <c r="DT21" s="94" t="str">
        <f t="array" ref="DT21">IFERROR(INDEX(Skill!$AB:$AB, MATCH(DT$4, Skill!$C:$C, 0), 1), "")</f>
        <v/>
      </c>
      <c r="DU21" s="94" t="str">
        <f t="array" ref="DU21">IFERROR(INDEX(Skill!$AB:$AB, MATCH(DU$4, Skill!$C:$C, 0), 1), "")</f>
        <v/>
      </c>
      <c r="DV21" s="94" t="str">
        <f t="array" ref="DV21">IFERROR(INDEX(Skill!$AB:$AB, MATCH(DV$4, Skill!$C:$C, 0), 1), "")</f>
        <v/>
      </c>
      <c r="DW21" s="94" t="str">
        <f t="array" ref="DW21">IFERROR(INDEX(Skill!$AB:$AB, MATCH(DW$4, Skill!$C:$C, 0), 1), "")</f>
        <v/>
      </c>
      <c r="DX21" s="94" t="str">
        <f t="array" ref="DX21">IFERROR(INDEX(Skill!$AB:$AB, MATCH(DX$4, Skill!$C:$C, 0), 1), "")</f>
        <v/>
      </c>
      <c r="DY21" s="94" t="str">
        <f t="array" ref="DY21">IFERROR(INDEX(Skill!$AB:$AB, MATCH(DY$4, Skill!$C:$C, 0), 1), "")</f>
        <v/>
      </c>
      <c r="DZ21" s="94" t="str">
        <f t="array" ref="DZ21">IFERROR(INDEX(Skill!$AB:$AB, MATCH(DZ$4, Skill!$C:$C, 0), 1), "")</f>
        <v/>
      </c>
      <c r="EA21" s="89" t="str">
        <f t="array" ref="EA21">IFERROR(INDEX(Skill!$AB:$AB, MATCH(EA$4, Skill!$C:$C, 0), 1), "")</f>
        <v/>
      </c>
      <c r="EB21" s="89" t="str">
        <f t="array" ref="EB21">IFERROR(INDEX(Skill!$AB:$AB, MATCH(EB$4, Skill!$C:$C, 0), 1), "")</f>
        <v/>
      </c>
      <c r="EC21" s="89" t="str">
        <f t="array" ref="EC21">IFERROR(INDEX(Skill!$AB:$AB, MATCH(EC$4, Skill!$C:$C, 0), 1), "")</f>
        <v/>
      </c>
      <c r="ED21" s="94" t="str">
        <f t="array" ref="ED21">IFERROR(INDEX(Skill!$AB:$AB, MATCH(ED$4, Skill!$C:$C, 0), 1), "")</f>
        <v/>
      </c>
      <c r="EE21" s="102"/>
      <c r="EF21" s="102"/>
      <c r="EG21" s="102"/>
      <c r="EH21" s="102"/>
      <c r="EI21" s="102"/>
      <c r="EJ21" s="102"/>
      <c r="EK21" s="102"/>
      <c r="EL21" s="102"/>
      <c r="EM21" s="102"/>
      <c r="EN21" s="102"/>
      <c r="EO21" s="102"/>
      <c r="EP21" s="102"/>
      <c r="EQ21" s="102"/>
      <c r="ER21" s="103"/>
      <c r="ES21" s="103"/>
      <c r="ET21" s="103"/>
      <c r="EU21" s="76"/>
      <c r="EV21" s="76"/>
      <c r="EW21" s="76"/>
      <c r="EX21" s="76"/>
      <c r="EY21" s="76"/>
      <c r="EZ21" s="76"/>
      <c r="FA21" s="76"/>
      <c r="FB21" s="76"/>
      <c r="FC21" s="76"/>
      <c r="FD21" s="76"/>
      <c r="FE21" s="76"/>
      <c r="FF21" s="76"/>
      <c r="FG21" s="76"/>
      <c r="FH21" s="76"/>
      <c r="FI21" s="76"/>
      <c r="FJ21" s="76"/>
      <c r="FK21" s="76"/>
      <c r="FL21" s="76"/>
      <c r="FM21" s="76"/>
      <c r="FN21" s="76"/>
      <c r="FO21" s="91"/>
    </row>
    <row r="22">
      <c r="B22" s="106" t="s">
        <v>1036</v>
      </c>
      <c r="C22" s="107" t="s">
        <v>1038</v>
      </c>
      <c r="D22" s="108"/>
      <c r="E22" s="106" t="s">
        <v>1039</v>
      </c>
      <c r="F22" s="109" t="s">
        <v>1040</v>
      </c>
      <c r="G22" s="108"/>
      <c r="H22" s="110" t="s">
        <v>1041</v>
      </c>
      <c r="I22" s="111"/>
      <c r="J22" s="108"/>
      <c r="K22" s="112" t="s">
        <v>1042</v>
      </c>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3"/>
      <c r="BP22" s="113"/>
      <c r="BQ22" s="113"/>
      <c r="BR22" s="113"/>
      <c r="BS22" s="113"/>
      <c r="BT22" s="113"/>
      <c r="BU22" s="113"/>
      <c r="BV22" s="113"/>
      <c r="BW22" s="113"/>
      <c r="BX22" s="113"/>
      <c r="BY22" s="113"/>
      <c r="BZ22" s="113"/>
      <c r="CA22" s="113"/>
      <c r="CB22" s="113"/>
      <c r="CC22" s="113"/>
      <c r="CD22" s="113"/>
      <c r="CE22" s="113"/>
      <c r="CF22" s="113"/>
      <c r="CG22" s="113"/>
      <c r="CH22" s="113"/>
      <c r="CI22" s="113"/>
      <c r="CJ22" s="113"/>
      <c r="CK22" s="113"/>
      <c r="CL22" s="113"/>
      <c r="CM22" s="113"/>
      <c r="CN22" s="113"/>
      <c r="CO22" s="113"/>
      <c r="CP22" s="113"/>
      <c r="CQ22" s="113"/>
      <c r="CR22" s="113"/>
      <c r="CS22" s="113"/>
      <c r="CT22" s="113"/>
      <c r="CU22" s="113"/>
      <c r="CV22" s="113"/>
      <c r="CW22" s="113"/>
      <c r="CX22" s="113"/>
      <c r="CY22" s="113"/>
      <c r="CZ22" s="113"/>
      <c r="DA22" s="113"/>
      <c r="DB22" s="113"/>
      <c r="DC22" s="113"/>
      <c r="DD22" s="113"/>
      <c r="DE22" s="113"/>
      <c r="DF22" s="113"/>
      <c r="DG22" s="113"/>
      <c r="DH22" s="113"/>
      <c r="DI22" s="113"/>
      <c r="DJ22" s="113"/>
      <c r="DK22" s="113"/>
      <c r="DL22" s="113"/>
      <c r="DM22" s="113"/>
      <c r="DN22" s="113"/>
      <c r="DO22" s="113"/>
      <c r="DP22" s="113"/>
      <c r="DQ22" s="113"/>
      <c r="DR22" s="113"/>
      <c r="DS22" s="113"/>
      <c r="DT22" s="113"/>
      <c r="DU22" s="113"/>
      <c r="DV22" s="113"/>
      <c r="DW22" s="113"/>
      <c r="DX22" s="113"/>
      <c r="DY22" s="113"/>
      <c r="DZ22" s="113"/>
      <c r="EA22" s="113"/>
      <c r="EB22" s="113"/>
      <c r="EC22" s="113"/>
      <c r="ED22" s="113"/>
      <c r="EE22" s="114" t="s">
        <v>1054</v>
      </c>
      <c r="EF22" s="113"/>
      <c r="EG22" s="113"/>
      <c r="EH22" s="113"/>
      <c r="EI22" s="113"/>
      <c r="EJ22" s="113"/>
      <c r="EK22" s="113"/>
      <c r="EL22" s="113"/>
      <c r="EM22" s="113"/>
      <c r="EN22" s="113"/>
      <c r="EO22" s="113"/>
      <c r="EP22" s="113"/>
      <c r="EQ22" s="115"/>
      <c r="ER22" s="110" t="s">
        <v>1055</v>
      </c>
      <c r="ES22" s="111"/>
      <c r="ET22" s="116" t="s">
        <v>1056</v>
      </c>
      <c r="EU22" s="117" t="s">
        <v>1054</v>
      </c>
      <c r="EY22" s="118" t="s">
        <v>1056</v>
      </c>
      <c r="EZ22" s="117" t="s">
        <v>1054</v>
      </c>
      <c r="FD22" s="118" t="s">
        <v>1056</v>
      </c>
      <c r="FE22" s="117" t="s">
        <v>1054</v>
      </c>
      <c r="FI22" s="118" t="s">
        <v>1056</v>
      </c>
      <c r="FJ22" s="117" t="s">
        <v>1054</v>
      </c>
      <c r="FN22" s="118" t="s">
        <v>1056</v>
      </c>
      <c r="FO22" s="91"/>
    </row>
    <row r="23">
      <c r="B23" s="119"/>
      <c r="C23" s="120"/>
      <c r="D23" s="121"/>
      <c r="E23" s="119"/>
      <c r="F23" s="120"/>
      <c r="G23" s="121"/>
      <c r="H23" s="122"/>
      <c r="I23" s="122"/>
      <c r="J23" s="123"/>
      <c r="K23" s="124" t="str">
        <f>IMAGE("https://xivapi.com/i/062000/062119.png")</f>
        <v/>
      </c>
      <c r="L23" s="113"/>
      <c r="M23" s="113"/>
      <c r="N23" s="113"/>
      <c r="O23" s="113"/>
      <c r="P23" s="113"/>
      <c r="Q23" s="113"/>
      <c r="R23" s="113"/>
      <c r="S23" s="115"/>
      <c r="T23" s="125" t="str">
        <f>IMAGE("https://xivapi.com/i/062000/062121.png")</f>
        <v/>
      </c>
      <c r="U23" s="113"/>
      <c r="V23" s="113"/>
      <c r="W23" s="113"/>
      <c r="X23" s="113"/>
      <c r="Y23" s="113"/>
      <c r="Z23" s="113"/>
      <c r="AA23" s="113"/>
      <c r="AB23" s="115"/>
      <c r="AC23" s="125" t="str">
        <f>IMAGE("https://xivapi.com/i/062000/062132.png")</f>
        <v/>
      </c>
      <c r="AD23" s="113"/>
      <c r="AE23" s="113"/>
      <c r="AF23" s="113"/>
      <c r="AG23" s="113"/>
      <c r="AH23" s="113"/>
      <c r="AI23" s="113"/>
      <c r="AJ23" s="113"/>
      <c r="AK23" s="115"/>
      <c r="AL23" s="125" t="str">
        <f>IMAGE("https://xivapi.com/i/062000/062137.png")</f>
        <v/>
      </c>
      <c r="AM23" s="113"/>
      <c r="AN23" s="113"/>
      <c r="AO23" s="113"/>
      <c r="AP23" s="113"/>
      <c r="AQ23" s="113"/>
      <c r="AR23" s="115"/>
      <c r="AS23" s="126" t="str">
        <f>IMAGE("https://xivapi.com/i/062000/062124.png")</f>
        <v/>
      </c>
      <c r="AT23" s="113"/>
      <c r="AU23" s="113"/>
      <c r="AV23" s="113"/>
      <c r="AW23" s="113"/>
      <c r="AX23" s="113"/>
      <c r="AY23" s="113"/>
      <c r="AZ23" s="113"/>
      <c r="BA23" s="113"/>
      <c r="BB23" s="113"/>
      <c r="BC23" s="113"/>
      <c r="BD23" s="115"/>
      <c r="BE23" s="126" t="str">
        <f>IMAGE("https://xivapi.com/i/062000/062133.png")</f>
        <v/>
      </c>
      <c r="BF23" s="113"/>
      <c r="BG23" s="113"/>
      <c r="BH23" s="113"/>
      <c r="BI23" s="113"/>
      <c r="BJ23" s="113"/>
      <c r="BK23" s="113"/>
      <c r="BL23" s="113"/>
      <c r="BM23" s="113"/>
      <c r="BN23" s="113"/>
      <c r="BO23" s="113"/>
      <c r="BP23" s="113"/>
      <c r="BQ23" s="113"/>
      <c r="BR23" s="113"/>
      <c r="BS23" s="113"/>
      <c r="BT23" s="113"/>
      <c r="BU23" s="113"/>
      <c r="BV23" s="113"/>
      <c r="BW23" s="113"/>
      <c r="BX23" s="115"/>
      <c r="BY23" s="126" t="str">
        <f>IMAGE("https://xivapi.com/i/062000/062128.png")</f>
        <v/>
      </c>
      <c r="BZ23" s="113"/>
      <c r="CA23" s="113"/>
      <c r="CB23" s="113"/>
      <c r="CC23" s="113"/>
      <c r="CD23" s="113"/>
      <c r="CE23" s="113"/>
      <c r="CF23" s="113"/>
      <c r="CG23" s="113"/>
      <c r="CH23" s="113"/>
      <c r="CI23" s="113"/>
      <c r="CJ23" s="113"/>
      <c r="CK23" s="113"/>
      <c r="CL23" s="113"/>
      <c r="CM23" s="113"/>
      <c r="CN23" s="113"/>
      <c r="CO23" s="113"/>
      <c r="CP23" s="113"/>
      <c r="CQ23" s="113"/>
      <c r="CR23" s="113"/>
      <c r="CS23" s="115"/>
      <c r="CT23" s="126" t="str">
        <f>IMAGE("https://xivapi.com/i/062000/062140.png")</f>
        <v/>
      </c>
      <c r="CU23" s="113"/>
      <c r="CV23" s="113"/>
      <c r="CW23" s="113"/>
      <c r="CX23" s="113"/>
      <c r="CY23" s="113"/>
      <c r="CZ23" s="113"/>
      <c r="DA23" s="113"/>
      <c r="DB23" s="113"/>
      <c r="DC23" s="113"/>
      <c r="DD23" s="113"/>
      <c r="DE23" s="113"/>
      <c r="DF23" s="113"/>
      <c r="DG23" s="113"/>
      <c r="DH23" s="113"/>
      <c r="DI23" s="115"/>
      <c r="DJ23" s="127" t="str">
        <f>IMAGE("https://xivapi.com/i/062000/062120.png")</f>
        <v/>
      </c>
      <c r="DK23" s="115"/>
      <c r="DL23" s="127" t="str">
        <f>IMAGE("https://xivapi.com/i/062000/062122.png")</f>
        <v/>
      </c>
      <c r="DM23" s="127" t="str">
        <f>IMAGE("https://xivapi.com/i/062000/062130.png")</f>
        <v/>
      </c>
      <c r="DN23" s="127" t="str">
        <f>IMAGE("https://xivapi.com/i/062000/062134.png")</f>
        <v/>
      </c>
      <c r="DO23" s="127" t="str">
        <f>IMAGE("https://xivapi.com/i/062000/062139.png")</f>
        <v/>
      </c>
      <c r="DP23" s="127" t="str">
        <f>IMAGE("https://xivapi.com/i/062000/062141.png")</f>
        <v/>
      </c>
      <c r="DQ23" s="128" t="str">
        <f>IMAGE("https://xivapi.com/i/062000/062123.png")</f>
        <v/>
      </c>
      <c r="DR23" s="115"/>
      <c r="DS23" s="128" t="str">
        <f>IMAGE("https://xivapi.com/i/062000/062131.png")</f>
        <v/>
      </c>
      <c r="DT23" s="115"/>
      <c r="DU23" s="128" t="str">
        <f>IMAGE("https://xivapi.com/i/062000/062138.png")</f>
        <v/>
      </c>
      <c r="DV23" s="115"/>
      <c r="DW23" s="129" t="str">
        <f>IMAGE("https://xivapi.com/i/062000/062125.png")</f>
        <v/>
      </c>
      <c r="DX23" s="129" t="str">
        <f>IMAGE("https://xivapi.com/i/062000/062127.png")</f>
        <v/>
      </c>
      <c r="DY23" s="129" t="str">
        <f>IMAGE("https://xivapi.com/i/062000/062135.png")</f>
        <v/>
      </c>
      <c r="DZ23" s="115"/>
      <c r="EA23" s="129" t="str">
        <f>IMAGE("https://xivapi.com/i/062000/062142.png")</f>
        <v/>
      </c>
      <c r="EB23" s="113"/>
      <c r="EC23" s="115"/>
      <c r="ED23" s="130" t="str">
        <f>IMAGE("https://xivapi.com/cj/misc/bordered_tank.png")</f>
        <v/>
      </c>
      <c r="EE23" s="131" t="s">
        <v>1042</v>
      </c>
      <c r="EF23" s="132" t="s">
        <v>1057</v>
      </c>
      <c r="EG23" s="111"/>
      <c r="EH23" s="132" t="s">
        <v>1058</v>
      </c>
      <c r="EI23" s="111"/>
      <c r="EJ23" s="132" t="s">
        <v>1059</v>
      </c>
      <c r="EK23" s="111"/>
      <c r="EL23" s="132" t="s">
        <v>1060</v>
      </c>
      <c r="EM23" s="111"/>
      <c r="EN23" s="132" t="s">
        <v>1061</v>
      </c>
      <c r="EO23" s="111"/>
      <c r="EP23" s="132" t="s">
        <v>1062</v>
      </c>
      <c r="EQ23" s="133" t="s">
        <v>1063</v>
      </c>
      <c r="ET23" s="134" t="s">
        <v>1064</v>
      </c>
      <c r="EU23" s="135" t="str">
        <f>IMAGE("https://xivapi.com/cj/companion/paladin.png")</f>
        <v/>
      </c>
      <c r="EZ23" s="135" t="str">
        <f>IMAGE("https://xivapi.com/cj/companion/warrior.png")</f>
        <v/>
      </c>
      <c r="FE23" s="135" t="str">
        <f>IMAGE("https://xivapi.com/cj/companion/darkknight.png")</f>
        <v/>
      </c>
      <c r="FJ23" s="135" t="str">
        <f>IMAGE("https://xivapi.com/cj/companion/gunbreaker.png")</f>
        <v/>
      </c>
      <c r="FO23" s="91"/>
    </row>
    <row r="24">
      <c r="B24" s="136"/>
      <c r="C24" s="137"/>
      <c r="D24" s="123"/>
      <c r="E24" s="136"/>
      <c r="F24" s="137"/>
      <c r="G24" s="123"/>
      <c r="H24" s="138" t="s">
        <v>1065</v>
      </c>
      <c r="I24" s="139" t="s">
        <v>1066</v>
      </c>
      <c r="J24" s="139" t="s">
        <v>1067</v>
      </c>
      <c r="K24" s="140" t="str">
        <f t="array" ref="K24">IFERROR(INDEX(Skill!$D:$D, MATCH(K$4, Skill!$C:$C, 0), 1), "")</f>
        <v/>
      </c>
      <c r="L24" s="140" t="str">
        <f t="array" ref="L24">IFERROR(INDEX(Skill!$D:$D, MATCH(L$4, Skill!$C:$C, 0), 1), "")</f>
        <v/>
      </c>
      <c r="M24" s="140" t="str">
        <f t="array" ref="M24">IFERROR(INDEX(Skill!$D:$D, MATCH(M$4, Skill!$C:$C, 0), 1), "")</f>
        <v/>
      </c>
      <c r="N24" s="140" t="str">
        <f t="array" ref="N24">IFERROR(INDEX(Skill!$D:$D, MATCH(N$4, Skill!$C:$C, 0), 1), "")</f>
        <v/>
      </c>
      <c r="O24" s="140" t="str">
        <f t="array" ref="O24">IFERROR(INDEX(Skill!$D:$D, MATCH(O$4, Skill!$C:$C, 0), 1), "")</f>
        <v/>
      </c>
      <c r="P24" s="140" t="str">
        <f t="array" ref="P24">IFERROR(INDEX(Skill!$D:$D, MATCH(P$4, Skill!$C:$C, 0), 1), "")</f>
        <v/>
      </c>
      <c r="Q24" s="140" t="str">
        <f t="array" ref="Q24">IFERROR(INDEX(Skill!$D:$D, MATCH(Q$4, Skill!$C:$C, 0), 1), "")</f>
        <v/>
      </c>
      <c r="R24" s="140" t="str">
        <f t="array" ref="R24">IFERROR(INDEX(Skill!$D:$D, MATCH(R$4, Skill!$C:$C, 0), 1), "")</f>
        <v/>
      </c>
      <c r="S24" s="140" t="str">
        <f t="array" ref="S24">IFERROR(INDEX(Skill!$D:$D, MATCH(S$4, Skill!$C:$C, 0), 1), "")</f>
        <v/>
      </c>
      <c r="T24" s="141" t="str">
        <f t="array" ref="T24">IFERROR(INDEX(Skill!$D:$D, MATCH(T$4, Skill!$C:$C, 0), 1), "")</f>
        <v/>
      </c>
      <c r="U24" s="124" t="str">
        <f t="array" ref="U24">IFERROR(INDEX(Skill!$D:$D, MATCH(U$4, Skill!$C:$C, 0), 1), "")</f>
        <v/>
      </c>
      <c r="V24" s="124" t="str">
        <f t="array" ref="V24">IFERROR(INDEX(Skill!$D:$D, MATCH(V$4, Skill!$C:$C, 0), 1), "")</f>
        <v/>
      </c>
      <c r="W24" s="124" t="str">
        <f t="array" ref="W24">IFERROR(INDEX(Skill!$D:$D, MATCH(W$4, Skill!$C:$C, 0), 1), "")</f>
        <v/>
      </c>
      <c r="X24" s="124" t="str">
        <f t="array" ref="X24">IFERROR(INDEX(Skill!$D:$D, MATCH(X$4, Skill!$C:$C, 0), 1), "")</f>
        <v/>
      </c>
      <c r="Y24" s="124" t="str">
        <f t="array" ref="Y24">IFERROR(INDEX(Skill!$D:$D, MATCH(Y$4, Skill!$C:$C, 0), 1), "")</f>
        <v/>
      </c>
      <c r="Z24" s="124" t="str">
        <f t="array" ref="Z24">IFERROR(INDEX(Skill!$D:$D, MATCH(Z$4, Skill!$C:$C, 0), 1), "")</f>
        <v/>
      </c>
      <c r="AA24" s="124" t="str">
        <f t="array" ref="AA24">IFERROR(INDEX(Skill!$D:$D, MATCH(AA$4, Skill!$C:$C, 0), 1), "")</f>
        <v/>
      </c>
      <c r="AB24" s="124" t="str">
        <f t="array" ref="AB24">IFERROR(INDEX(Skill!$D:$D, MATCH(AB$4, Skill!$C:$C, 0), 1), "")</f>
        <v/>
      </c>
      <c r="AC24" s="141" t="str">
        <f t="array" ref="AC24">IFERROR(INDEX(Skill!$D:$D, MATCH(AC$4, Skill!$C:$C, 0), 1), "")</f>
        <v/>
      </c>
      <c r="AD24" s="142" t="str">
        <f t="array" ref="AD24">IFERROR(INDEX(Skill!$D:$D, MATCH(AD$4, Skill!$C:$C, 0), 1), "")</f>
        <v/>
      </c>
      <c r="AE24" s="142" t="str">
        <f t="array" ref="AE24">IFERROR(INDEX(Skill!$D:$D, MATCH(AE$4, Skill!$C:$C, 0), 1), "")</f>
        <v/>
      </c>
      <c r="AF24" s="143" t="str">
        <f t="array" ref="AF24">IFERROR(INDEX(Skill!$D:$D, MATCH(AF$4, Skill!$C:$C, 0), 1), "")</f>
        <v/>
      </c>
      <c r="AG24" s="115"/>
      <c r="AH24" s="142" t="str">
        <f t="array" ref="AH24">IFERROR(INDEX(Skill!$D:$D, MATCH(AH$4, Skill!$C:$C, 0), 1), "")</f>
        <v/>
      </c>
      <c r="AI24" s="142" t="str">
        <f t="array" ref="AI24">IFERROR(INDEX(Skill!$D:$D, MATCH(AI$4, Skill!$C:$C, 0), 1), "")</f>
        <v/>
      </c>
      <c r="AJ24" s="142" t="str">
        <f t="array" ref="AJ24">IFERROR(INDEX(Skill!$D:$D, MATCH(AJ$4, Skill!$C:$C, 0), 1), "")</f>
        <v/>
      </c>
      <c r="AK24" s="142" t="str">
        <f t="array" ref="AK24">IFERROR(INDEX(Skill!$D:$D, MATCH(AK$4, Skill!$C:$C, 0), 1), "")</f>
        <v/>
      </c>
      <c r="AL24" s="141" t="str">
        <f t="array" ref="AL24">IFERROR(INDEX(Skill!$D:$D, MATCH(AL$4, Skill!$C:$C, 0), 1), "")</f>
        <v/>
      </c>
      <c r="AM24" s="140" t="str">
        <f t="array" ref="AM24">IFERROR(INDEX(Skill!$D:$D, MATCH(AM$4, Skill!$C:$C, 0), 1), "")</f>
        <v/>
      </c>
      <c r="AN24" s="140" t="str">
        <f t="array" ref="AN24">IFERROR(INDEX(Skill!$D:$D, MATCH(AN$4, Skill!$C:$C, 0), 1), "")</f>
        <v/>
      </c>
      <c r="AO24" s="140" t="str">
        <f t="array" ref="AO24">IFERROR(INDEX(Skill!$D:$D, MATCH(AO$4, Skill!$C:$C, 0), 1), "")</f>
        <v/>
      </c>
      <c r="AP24" s="140" t="str">
        <f t="array" ref="AP24">IFERROR(INDEX(Skill!$D:$D, MATCH(AP$4, Skill!$C:$C, 0), 1), "")</f>
        <v/>
      </c>
      <c r="AQ24" s="140" t="str">
        <f t="array" ref="AQ24">IFERROR(INDEX(Skill!$D:$D, MATCH(AQ$4, Skill!$C:$C, 0), 1), "")</f>
        <v/>
      </c>
      <c r="AR24" s="140" t="str">
        <f t="array" ref="AR24">IFERROR(INDEX(Skill!$D:$D, MATCH(AR$4, Skill!$C:$C, 0), 1), "")</f>
        <v/>
      </c>
      <c r="AS24" s="144" t="str">
        <f t="array" ref="AS24">IFERROR(INDEX(Skill!$D:$D, MATCH(AS$4, Skill!$C:$C, 0), 1), "")</f>
        <v/>
      </c>
      <c r="AT24" s="145" t="str">
        <f t="array" ref="AT24">IFERROR(INDEX(Skill!$D:$D, MATCH(AT$4, Skill!$C:$C, 0), 1), "")</f>
        <v/>
      </c>
      <c r="AU24" s="145" t="str">
        <f t="array" ref="AU24">IFERROR(INDEX(Skill!$D:$D, MATCH(AU$4, Skill!$C:$C, 0), 1), "")</f>
        <v/>
      </c>
      <c r="AV24" s="145" t="str">
        <f t="array" ref="AV24">IFERROR(INDEX(Skill!$D:$D, MATCH(AV$4, Skill!$C:$C, 0), 1), "")</f>
        <v/>
      </c>
      <c r="AW24" s="145" t="str">
        <f t="array" ref="AW24">IFERROR(INDEX(Skill!$D:$D, MATCH(AW$4, Skill!$C:$C, 0), 1), "")</f>
        <v/>
      </c>
      <c r="AX24" s="145" t="str">
        <f t="array" ref="AX24">IFERROR(INDEX(Skill!$D:$D, MATCH(AX$4, Skill!$C:$C, 0), 1), "")</f>
        <v/>
      </c>
      <c r="AY24" s="145" t="str">
        <f t="array" ref="AY24">IFERROR(INDEX(Skill!$D:$D, MATCH(AY$4, Skill!$C:$C, 0), 1), "")</f>
        <v/>
      </c>
      <c r="AZ24" s="146" t="str">
        <f t="array" ref="AZ24">IFERROR(INDEX(Skill!$D:$D, MATCH(AZ$4, Skill!$C:$C, 0), 1), "")</f>
        <v/>
      </c>
      <c r="BA24" s="115"/>
      <c r="BB24" s="146" t="str">
        <f t="array" ref="BB24">IFERROR(INDEX(Skill!$D:$D, MATCH(BB$4, Skill!$C:$C, 0), 1), "")</f>
        <v/>
      </c>
      <c r="BC24" s="115"/>
      <c r="BD24" s="145" t="str">
        <f t="array" ref="BD24">IFERROR(INDEX(Skill!$D:$D, MATCH(BD$4, Skill!$C:$C, 0), 1), "")</f>
        <v/>
      </c>
      <c r="BE24" s="144" t="str">
        <f t="array" ref="BE24">IFERROR(INDEX(Skill!$D:$D, MATCH(BE$4, Skill!$C:$C, 0), 1), "")</f>
        <v/>
      </c>
      <c r="BF24" s="147" t="str">
        <f t="array" ref="BF24">IFERROR(INDEX(Skill!$D:$D, MATCH(BF$4, Skill!$C:$C, 0), 1), "")</f>
        <v/>
      </c>
      <c r="BG24" s="147" t="str">
        <f t="array" ref="BG24">IFERROR(INDEX(Skill!$D:$D, MATCH(BG$4, Skill!$C:$C, 0), 1), "")</f>
        <v/>
      </c>
      <c r="BH24" s="147" t="str">
        <f t="array" ref="BH24">IFERROR(INDEX(Skill!$D:$D, MATCH(BH$4, Skill!$C:$C, 0), 1), "")</f>
        <v/>
      </c>
      <c r="BI24" s="147" t="str">
        <f t="array" ref="BI24">IFERROR(INDEX(Skill!$D:$D, MATCH(BI$4, Skill!$C:$C, 0), 1), "")</f>
        <v/>
      </c>
      <c r="BJ24" s="147" t="str">
        <f t="array" ref="BJ24">IFERROR(INDEX(Skill!$D:$D, MATCH(BJ$4, Skill!$C:$C, 0), 1), "")</f>
        <v/>
      </c>
      <c r="BK24" s="147" t="str">
        <f t="array" ref="BK24">IFERROR(INDEX(Skill!$D:$D, MATCH(BK$4, Skill!$C:$C, 0), 1), "")</f>
        <v/>
      </c>
      <c r="BL24" s="147" t="str">
        <f t="array" ref="BL24">IFERROR(INDEX(Skill!$D:$D, MATCH(BL$4, Skill!$C:$C, 0), 1), "")</f>
        <v/>
      </c>
      <c r="BM24" s="147" t="str">
        <f t="array" ref="BM24">IFERROR(INDEX(Skill!$D:$D, MATCH(BM$4, Skill!$C:$C, 0), 1), "")</f>
        <v/>
      </c>
      <c r="BN24" s="147" t="str">
        <f t="array" ref="BN24">IFERROR(INDEX(Skill!$D:$D, MATCH(BN$4, Skill!$C:$C, 0), 1), "")</f>
        <v/>
      </c>
      <c r="BO24" s="147" t="str">
        <f t="array" ref="BO24">IFERROR(INDEX(Skill!$D:$D, MATCH(BO$4, Skill!$C:$C, 0), 1), "")</f>
        <v/>
      </c>
      <c r="BP24" s="147" t="str">
        <f t="array" ref="BP24">IFERROR(INDEX(Skill!$D:$D, MATCH(BP$4, Skill!$C:$C, 0), 1), "")</f>
        <v/>
      </c>
      <c r="BQ24" s="147" t="str">
        <f t="array" ref="BQ24">IFERROR(INDEX(Skill!$D:$D, MATCH(BQ$4, Skill!$C:$C, 0), 1), "")</f>
        <v/>
      </c>
      <c r="BR24" s="147" t="str">
        <f t="array" ref="BR24">IFERROR(INDEX(Skill!$D:$D, MATCH(BR$4, Skill!$C:$C, 0), 1), "")</f>
        <v/>
      </c>
      <c r="BS24" s="148" t="str">
        <f t="array" ref="BS24">IFERROR(INDEX(Skill!$D:$D, MATCH(BS$4, Skill!$C:$C, 0), 1), "")</f>
        <v/>
      </c>
      <c r="BT24" s="115"/>
      <c r="BU24" s="147" t="str">
        <f t="array" ref="BU24">IFERROR(INDEX(Skill!$D:$D, MATCH(BU$4, Skill!$C:$C, 0), 1), "")</f>
        <v/>
      </c>
      <c r="BV24" s="148" t="str">
        <f t="array" ref="BV24">IFERROR(INDEX(Skill!$D:$D, MATCH(BV$4, Skill!$C:$C, 0), 1), "")</f>
        <v/>
      </c>
      <c r="BW24" s="115"/>
      <c r="BX24" s="147" t="str">
        <f t="array" ref="BX24">IFERROR(INDEX(Skill!$D:$D, MATCH(BX$4, Skill!$C:$C, 0), 1), "")</f>
        <v/>
      </c>
      <c r="BY24" s="144" t="str">
        <f t="array" ref="BY24">IFERROR(INDEX(Skill!$D:$D, MATCH(BY$4, Skill!$C:$C, 0), 1), "")</f>
        <v/>
      </c>
      <c r="BZ24" s="147" t="str">
        <f t="array" ref="BZ24">IFERROR(INDEX(Skill!$D:$D, MATCH(BZ$4, Skill!$C:$C, 0), 1), "")</f>
        <v/>
      </c>
      <c r="CA24" s="147" t="str">
        <f t="array" ref="CA24">IFERROR(INDEX(Skill!$D:$D, MATCH(CA$4, Skill!$C:$C, 0), 1), "")</f>
        <v/>
      </c>
      <c r="CB24" s="147" t="str">
        <f t="array" ref="CB24">IFERROR(INDEX(Skill!$D:$D, MATCH(CB$4, Skill!$C:$C, 0), 1), "")</f>
        <v/>
      </c>
      <c r="CC24" s="147" t="str">
        <f t="array" ref="CC24">IFERROR(INDEX(Skill!$D:$D, MATCH(CC$4, Skill!$C:$C, 0), 1), "")</f>
        <v/>
      </c>
      <c r="CD24" s="147" t="str">
        <f t="array" ref="CD24">IFERROR(INDEX(Skill!$D:$D, MATCH(CD$4, Skill!$C:$C, 0), 1), "")</f>
        <v/>
      </c>
      <c r="CE24" s="147" t="str">
        <f t="array" ref="CE24">IFERROR(INDEX(Skill!$D:$D, MATCH(CE$4, Skill!$C:$C, 0), 1), "")</f>
        <v/>
      </c>
      <c r="CF24" s="147" t="str">
        <f t="array" ref="CF24">IFERROR(INDEX(Skill!$D:$D, MATCH(CF$4, Skill!$C:$C, 0), 1), "")</f>
        <v/>
      </c>
      <c r="CG24" s="147" t="str">
        <f t="array" ref="CG24">IFERROR(INDEX(Skill!$D:$D, MATCH(CG$4, Skill!$C:$C, 0), 1), "")</f>
        <v/>
      </c>
      <c r="CH24" s="147" t="str">
        <f t="array" ref="CH24">IFERROR(INDEX(Skill!$D:$D, MATCH(CH$4, Skill!$C:$C, 0), 1), "")</f>
        <v/>
      </c>
      <c r="CI24" s="147" t="str">
        <f t="array" ref="CI24">IFERROR(INDEX(Skill!$D:$D, MATCH(CI$4, Skill!$C:$C, 0), 1), "")</f>
        <v/>
      </c>
      <c r="CJ24" s="147" t="str">
        <f t="array" ref="CJ24">IFERROR(INDEX(Skill!$D:$D, MATCH(CJ$4, Skill!$C:$C, 0), 1), "")</f>
        <v/>
      </c>
      <c r="CK24" s="147" t="str">
        <f t="array" ref="CK24">IFERROR(INDEX(Skill!$D:$D, MATCH(CK$4, Skill!$C:$C, 0), 1), "")</f>
        <v/>
      </c>
      <c r="CL24" s="147" t="str">
        <f t="array" ref="CL24">IFERROR(INDEX(Skill!$D:$D, MATCH(CL$4, Skill!$C:$C, 0), 1), "")</f>
        <v/>
      </c>
      <c r="CM24" s="147" t="str">
        <f t="array" ref="CM24">IFERROR(INDEX(Skill!$D:$D, MATCH(CM$4, Skill!$C:$C, 0), 1), "")</f>
        <v/>
      </c>
      <c r="CN24" s="147" t="str">
        <f t="array" ref="CN24">IFERROR(INDEX(Skill!$D:$D, MATCH(CN$4, Skill!$C:$C, 0), 1), "")</f>
        <v/>
      </c>
      <c r="CO24" s="147" t="str">
        <f t="array" ref="CO24">IFERROR(INDEX(Skill!$D:$D, MATCH(CO$4, Skill!$C:$C, 0), 1), "")</f>
        <v/>
      </c>
      <c r="CP24" s="147" t="str">
        <f t="array" ref="CP24">IFERROR(INDEX(Skill!$D:$D, MATCH(CP$4, Skill!$C:$C, 0), 1), "")</f>
        <v/>
      </c>
      <c r="CQ24" s="147" t="str">
        <f t="array" ref="CQ24">IFERROR(INDEX(Skill!$D:$D, MATCH(CQ$4, Skill!$C:$C, 0), 1), "")</f>
        <v/>
      </c>
      <c r="CR24" s="147" t="str">
        <f t="array" ref="CR24">IFERROR(INDEX(Skill!$D:$D, MATCH(CR$4, Skill!$C:$C, 0), 1), "")</f>
        <v/>
      </c>
      <c r="CS24" s="147" t="str">
        <f>IMAGE("http://drive.google.com/uc?export=view&amp;id=1AdMXq2oDpA84xtFE73ql3oAKBb8YsCwr")</f>
        <v/>
      </c>
      <c r="CT24" s="144" t="str">
        <f t="array" ref="CT24">IFERROR(INDEX(Skill!$D:$D, MATCH(CT$4, Skill!$C:$C, 0), 1), "")</f>
        <v/>
      </c>
      <c r="CU24" s="147" t="str">
        <f t="array" ref="CU24">IFERROR(INDEX(Skill!$D:$D, MATCH(CU$4, Skill!$C:$C, 0), 1), "")</f>
        <v/>
      </c>
      <c r="CV24" s="147" t="str">
        <f t="array" ref="CV24">IFERROR(INDEX(Skill!$D:$D, MATCH(CV$4, Skill!$C:$C, 0), 1), "")</f>
        <v/>
      </c>
      <c r="CW24" s="147" t="str">
        <f t="array" ref="CW24">IFERROR(INDEX(Skill!$D:$D, MATCH(CW$4, Skill!$C:$C, 0), 1), "")</f>
        <v/>
      </c>
      <c r="CX24" s="147" t="str">
        <f t="array" ref="CX24">IFERROR(INDEX(Skill!$D:$D, MATCH(CX$4, Skill!$C:$C, 0), 1), "")</f>
        <v/>
      </c>
      <c r="CY24" s="147" t="str">
        <f t="array" ref="CY24">IFERROR(INDEX(Skill!$D:$D, MATCH(CY$4, Skill!$C:$C, 0), 1), "")</f>
        <v/>
      </c>
      <c r="CZ24" s="147" t="str">
        <f t="array" ref="CZ24">IFERROR(INDEX(Skill!$D:$D, MATCH(CZ$4, Skill!$C:$C, 0), 1), "")</f>
        <v/>
      </c>
      <c r="DA24" s="147" t="str">
        <f t="array" ref="DA24">IFERROR(INDEX(Skill!$D:$D, MATCH(DA$4, Skill!$C:$C, 0), 1), "")</f>
        <v/>
      </c>
      <c r="DB24" s="147" t="str">
        <f t="array" ref="DB24">IFERROR(INDEX(Skill!$D:$D, MATCH(DB$4, Skill!$C:$C, 0), 1), "")</f>
        <v/>
      </c>
      <c r="DC24" s="147" t="str">
        <f t="array" ref="DC24">IFERROR(INDEX(Skill!$D:$D, MATCH(DC$4, Skill!$C:$C, 0), 1), "")</f>
        <v/>
      </c>
      <c r="DD24" s="147" t="str">
        <f t="array" ref="DD24">IFERROR(INDEX(Skill!$D:$D, MATCH(DD$4, Skill!$C:$C, 0), 1), "")</f>
        <v/>
      </c>
      <c r="DE24" s="147" t="str">
        <f t="array" ref="DE24">IFERROR(INDEX(Skill!$D:$D, MATCH(DE$4, Skill!$C:$C, 0), 1), "")</f>
        <v/>
      </c>
      <c r="DF24" s="147" t="str">
        <f t="array" ref="DF24">IFERROR(INDEX(Skill!$D:$D, MATCH(DF$4, Skill!$C:$C, 0), 1), "")</f>
        <v/>
      </c>
      <c r="DG24" s="147" t="str">
        <f t="array" ref="DG24">IFERROR(INDEX(Skill!$D:$D, MATCH(DG$4, Skill!$C:$C, 0), 1), "")</f>
        <v/>
      </c>
      <c r="DH24" s="147" t="str">
        <f t="array" ref="DH24">IFERROR(INDEX(Skill!$D:$D, MATCH(DH$4, Skill!$C:$C, 0), 1), "")</f>
        <v/>
      </c>
      <c r="DI24" s="149" t="str">
        <f>IMAGE("http://drive.google.com/uc?export=view&amp;id=1FcMZkz9P-d2sGOIP9AD8bApVpM0bcRKd")</f>
        <v/>
      </c>
      <c r="DJ24" s="150" t="str">
        <f t="array" ref="DJ24">IFERROR(INDEX(Skill!$D:$D, MATCH(DJ$4, Skill!$C:$C, 0), 1), "")</f>
        <v/>
      </c>
      <c r="DK24" s="151" t="str">
        <f t="array" ref="DK24">IFERROR(INDEX(Skill!$D:$D, MATCH(DK$4, Skill!$C:$C, 0), 1), "")</f>
        <v/>
      </c>
      <c r="DL24" s="127" t="str">
        <f t="array" ref="DL24">IFERROR(INDEX(Skill!$D:$D, MATCH(DL$4, Skill!$C:$C, 0), 1), "")</f>
        <v/>
      </c>
      <c r="DM24" s="127" t="str">
        <f t="array" ref="DM24">IFERROR(INDEX(Skill!$D:$D, MATCH(DM$4, Skill!$C:$C, 0), 1), "")</f>
        <v/>
      </c>
      <c r="DN24" s="127" t="str">
        <f t="array" ref="DN24">IFERROR(INDEX(Skill!$D:$D, MATCH(DN$4, Skill!$C:$C, 0), 1), "")</f>
        <v/>
      </c>
      <c r="DO24" s="127" t="str">
        <f t="array" ref="DO24">IFERROR(INDEX(Skill!$D:$D, MATCH(DO$4, Skill!$C:$C, 0), 1), "")</f>
        <v/>
      </c>
      <c r="DP24" s="127" t="str">
        <f t="array" ref="DP24">IFERROR(INDEX(Skill!$D:$D, MATCH(DP$4, Skill!$C:$C, 0), 1), "")</f>
        <v/>
      </c>
      <c r="DQ24" s="152" t="str">
        <f t="array" ref="DQ24">IFERROR(INDEX(Skill!$D:$D, MATCH(DQ$4, Skill!$C:$C, 0), 1), "")</f>
        <v/>
      </c>
      <c r="DR24" s="153" t="str">
        <f t="array" ref="DR24">IFERROR(INDEX(Skill!$D:$D, MATCH(DR$4, Skill!$C:$C, 0), 1), "")</f>
        <v/>
      </c>
      <c r="DS24" s="152" t="str">
        <f t="array" ref="DS24">IFERROR(INDEX(Skill!$D:$D, MATCH(DS$4, Skill!$C:$C, 0), 1), "")</f>
        <v/>
      </c>
      <c r="DT24" s="153" t="str">
        <f t="array" ref="DT24">IFERROR(INDEX(Skill!$D:$D, MATCH(DT$4, Skill!$C:$C, 0), 1), "")</f>
        <v/>
      </c>
      <c r="DU24" s="152" t="str">
        <f t="array" ref="DU24">IFERROR(INDEX(Skill!$D:$D, MATCH(DU$4, Skill!$C:$C, 0), 1), "")</f>
        <v/>
      </c>
      <c r="DV24" s="153" t="str">
        <f t="array" ref="DV24">IFERROR(INDEX(Skill!$D:$D, MATCH(DV$4, Skill!$C:$C, 0), 1), "")</f>
        <v/>
      </c>
      <c r="DW24" s="129" t="str">
        <f t="array" ref="DW24">IFERROR(INDEX(Skill!$D:$D, MATCH(DW$4, Skill!$C:$C, 0), 1), "")</f>
        <v/>
      </c>
      <c r="DX24" s="129" t="str">
        <f t="array" ref="DX24">IFERROR(INDEX(Skill!$D:$D, MATCH(DX$4, Skill!$C:$C, 0), 1), "")</f>
        <v/>
      </c>
      <c r="DY24" s="154" t="str">
        <f t="array" ref="DY24">IFERROR(INDEX(Skill!$D:$D, MATCH(DY$4, Skill!$C:$C, 0), 1), "")</f>
        <v/>
      </c>
      <c r="DZ24" s="155" t="str">
        <f t="array" ref="DZ24">IFERROR(INDEX(Skill!$D:$D, MATCH(DZ$4, Skill!$C:$C, 0), 1), "")</f>
        <v/>
      </c>
      <c r="EA24" s="154" t="str">
        <f t="array" ref="EA24">IFERROR(INDEX(Skill!$D:$D, MATCH(EA$4, Skill!$C:$C, 0), 1), "")</f>
        <v/>
      </c>
      <c r="EB24" s="154" t="str">
        <f t="array" ref="EB24">IFERROR(INDEX(Skill!$D:$D, MATCH(EB$4, Skill!$C:$C, 0), 1), "")</f>
        <v/>
      </c>
      <c r="EC24" s="154" t="str">
        <f t="array" ref="EC24">IFERROR(INDEX(Skill!$D:$D, MATCH(EC$4, Skill!$C:$C, 0), 1), "")</f>
        <v/>
      </c>
      <c r="ED24" s="125" t="str">
        <f t="array" ref="ED24">IFERROR(INDEX(Skill!$D:$D, MATCH(ED$4, Skill!$C:$C, 0), 1), "")</f>
        <v/>
      </c>
      <c r="EE24" s="156"/>
      <c r="EF24" s="132" t="s">
        <v>1068</v>
      </c>
      <c r="EG24" s="132" t="s">
        <v>1069</v>
      </c>
      <c r="EH24" s="132" t="s">
        <v>1068</v>
      </c>
      <c r="EI24" s="132" t="s">
        <v>1069</v>
      </c>
      <c r="EJ24" s="132" t="s">
        <v>1068</v>
      </c>
      <c r="EK24" s="132" t="s">
        <v>1069</v>
      </c>
      <c r="EL24" s="132" t="s">
        <v>1068</v>
      </c>
      <c r="EM24" s="132" t="s">
        <v>1069</v>
      </c>
      <c r="EN24" s="132" t="s">
        <v>1068</v>
      </c>
      <c r="EO24" s="132" t="s">
        <v>1069</v>
      </c>
      <c r="EP24" s="137"/>
      <c r="EQ24" s="122"/>
      <c r="ER24" s="157" t="s">
        <v>1065</v>
      </c>
      <c r="ES24" s="158" t="s">
        <v>1066</v>
      </c>
      <c r="ET24" s="159">
        <f>Option!$D$21</f>
        <v>142000</v>
      </c>
      <c r="EU24" s="160" t="s">
        <v>1042</v>
      </c>
      <c r="EV24" s="158" t="s">
        <v>1041</v>
      </c>
      <c r="EW24" s="158" t="s">
        <v>1052</v>
      </c>
      <c r="EX24" s="158" t="s">
        <v>1043</v>
      </c>
      <c r="EY24" s="161">
        <f>Option!$D$17</f>
        <v>225800</v>
      </c>
      <c r="EZ24" s="160" t="s">
        <v>1042</v>
      </c>
      <c r="FA24" s="158" t="s">
        <v>1041</v>
      </c>
      <c r="FB24" s="158" t="s">
        <v>1052</v>
      </c>
      <c r="FC24" s="158" t="s">
        <v>1043</v>
      </c>
      <c r="FD24" s="161">
        <f>Option!$D$18</f>
        <v>225800</v>
      </c>
      <c r="FE24" s="160" t="s">
        <v>1042</v>
      </c>
      <c r="FF24" s="158" t="s">
        <v>1041</v>
      </c>
      <c r="FG24" s="158" t="s">
        <v>1052</v>
      </c>
      <c r="FH24" s="158" t="s">
        <v>1043</v>
      </c>
      <c r="FI24" s="161">
        <f>Option!$D$19</f>
        <v>225800</v>
      </c>
      <c r="FJ24" s="160" t="s">
        <v>1042</v>
      </c>
      <c r="FK24" s="158" t="s">
        <v>1041</v>
      </c>
      <c r="FL24" s="158" t="s">
        <v>1052</v>
      </c>
      <c r="FM24" s="158" t="s">
        <v>1043</v>
      </c>
      <c r="FN24" s="161">
        <f>Option!$D$20</f>
        <v>225800</v>
      </c>
      <c r="FO24" s="162"/>
    </row>
    <row r="25">
      <c r="B25" s="229"/>
      <c r="C25" s="217">
        <f t="shared" ref="C25:C45" si="1">IFERROR(C$3+D25, D25)</f>
        <v>0.001701388889</v>
      </c>
      <c r="D25" s="230">
        <v>0.0</v>
      </c>
      <c r="E25" s="219" t="s">
        <v>1084</v>
      </c>
      <c r="F25" s="167"/>
      <c r="G25" s="168" t="str">
        <f t="shared" ref="G25:G76" si="2">SWITCH(F25,
"Physical", image("https://xivapi.com/i/060000/060011.png"),
"Magic", image("https://xivapi.com/i/060000/060012.png"),
"Unique", image("https://xivapi.com/i/060000/060013.png"),
"")</f>
        <v/>
      </c>
      <c r="H25" s="169"/>
      <c r="I25" s="169"/>
      <c r="J25" s="169"/>
      <c r="K25" s="170" t="b">
        <v>0</v>
      </c>
      <c r="L25" s="170" t="b">
        <v>0</v>
      </c>
      <c r="M25" s="170" t="b">
        <v>0</v>
      </c>
      <c r="N25" s="171" t="s">
        <v>1070</v>
      </c>
      <c r="O25" s="172" t="b">
        <v>0</v>
      </c>
      <c r="P25" s="173" t="b">
        <v>0</v>
      </c>
      <c r="Q25" s="173" t="b">
        <v>0</v>
      </c>
      <c r="R25" s="173" t="b">
        <v>0</v>
      </c>
      <c r="S25" s="174" t="b">
        <v>0</v>
      </c>
      <c r="T25" s="175" t="b">
        <v>0</v>
      </c>
      <c r="U25" s="173" t="b">
        <v>0</v>
      </c>
      <c r="V25" s="171" t="s">
        <v>1070</v>
      </c>
      <c r="W25" s="172" t="b">
        <v>0</v>
      </c>
      <c r="X25" s="173" t="b">
        <v>0</v>
      </c>
      <c r="Y25" s="173" t="b">
        <v>0</v>
      </c>
      <c r="Z25" s="173" t="b">
        <v>0</v>
      </c>
      <c r="AA25" s="174" t="b">
        <v>0</v>
      </c>
      <c r="AB25" s="174" t="b">
        <v>0</v>
      </c>
      <c r="AC25" s="175" t="b">
        <v>0</v>
      </c>
      <c r="AD25" s="173" t="b">
        <v>1</v>
      </c>
      <c r="AE25" s="176" t="s">
        <v>1070</v>
      </c>
      <c r="AF25" s="171" t="s">
        <v>1070</v>
      </c>
      <c r="AG25" s="177">
        <f>IFERROR(__xludf.DUMMYFUNCTION("IF(
  ISNUMBER(#REF!),
  MIN(MAX(
    #REF!
    + MAX(
      ROUNDDOWN(($D25 - MAX(IFERROR(FILTER($D$24:$D24, AG$24:AG24 &lt;&gt; AF$6, AG$23:AG24 = AF$6), 0))) * (60 * 60 * 24) / AF$9) - ROUNDDOWN((#REF! - MAX(IFERROR(FILTER($D$23:$D24, AG$23:AG24 &lt;&gt; AF$6, AG$"&amp;"22:AG24 = AF$6), 0))) * (60 * 60 * 24) / 60),
      0
    )
    - COUNTIF(AF25, ""&lt;&gt;-""),
  0), AF$6),
  AF$6 - COUNTIF(AF25, ""&lt;&gt;-"")
)"),2.0)</f>
        <v>2</v>
      </c>
      <c r="AH25" s="173" t="b">
        <v>0</v>
      </c>
      <c r="AI25" s="173" t="b">
        <v>0</v>
      </c>
      <c r="AJ25" s="173" t="b">
        <v>0</v>
      </c>
      <c r="AK25" s="174" t="b">
        <v>0</v>
      </c>
      <c r="AL25" s="175" t="b">
        <v>0</v>
      </c>
      <c r="AM25" s="173" t="b">
        <v>0</v>
      </c>
      <c r="AN25" s="171" t="s">
        <v>1070</v>
      </c>
      <c r="AO25" s="173" t="b">
        <v>0</v>
      </c>
      <c r="AP25" s="173" t="b">
        <v>0</v>
      </c>
      <c r="AQ25" s="173" t="b">
        <v>0</v>
      </c>
      <c r="AR25" s="174" t="b">
        <v>0</v>
      </c>
      <c r="AS25" s="178" t="b">
        <v>0</v>
      </c>
      <c r="AT25" s="179" t="b">
        <v>0</v>
      </c>
      <c r="AU25" s="180" t="b">
        <v>0</v>
      </c>
      <c r="AV25" s="180" t="b">
        <v>0</v>
      </c>
      <c r="AW25" s="180" t="b">
        <v>0</v>
      </c>
      <c r="AX25" s="180" t="b">
        <v>0</v>
      </c>
      <c r="AY25" s="181" t="s">
        <v>1070</v>
      </c>
      <c r="AZ25" s="181" t="s">
        <v>1070</v>
      </c>
      <c r="BA25" s="184">
        <f>IFERROR(__xludf.DUMMYFUNCTION("IF(
  ISNUMBER(#REF!),
  MIN(MAX(
    #REF!
    + MAX(
      ROUNDDOWN((D25 - MAX(IFERROR(FILTER(D$24:D24, BA$24:BA24 &lt;&gt; AZ$6, BA$23:BA24 = AZ$6), 0))) * (60 * 60 * 24) / AZ$9) - ROUNDDOWN((#REF! - MAX(IFERROR(FILTER(D$23:D24, BA$23:BA24 &lt;&gt; AZ$6, BA$22:BA"&amp;"24 = AZ$6), 0))) * (60 * 60 * 24) / AZ$9),
      0
    )
    - COUNTIF(AZ25, ""&lt;&gt;-""),
  0), AZ$6),
  AZ$6 - COUNTIF(AZ25, ""&lt;&gt;-"")
)"),2.0)</f>
        <v>2</v>
      </c>
      <c r="BB25" s="181" t="s">
        <v>1070</v>
      </c>
      <c r="BC25" s="183">
        <f>IFERROR(__xludf.DUMMYFUNCTION("IF(
  ISNUMBER(#REF!),
  MIN(MAX(
    #REF!
    + MAX(
      ROUNDDOWN(($D25 - MAX(IFERROR(FILTER($D$24:$D24, BC$24:BC24 &lt;&gt; BB$6, BC$23:BC24 = BB$6), 0))) * (60 * 60 * 24) / BB$9) - ROUNDDOWN((#REF! - MAX(IFERROR(FILTER($D$23:$D24, BC$23:BC24 &lt;&gt; BB$6, BC$"&amp;"22:BC24 = BB$6), 0))) * (60 * 60 * 24) / 60),
      0
    )
    - COUNTIF(BB25, ""&lt;&gt;-""),
  0), BB$6),
  BB$6 - COUNTIF(BB25, ""&lt;&gt;-"")
)"),2.0)</f>
        <v>2</v>
      </c>
      <c r="BD25" s="181" t="s">
        <v>1070</v>
      </c>
      <c r="BE25" s="178" t="b">
        <v>0</v>
      </c>
      <c r="BF25" s="180" t="b">
        <v>0</v>
      </c>
      <c r="BG25" s="180" t="b">
        <v>0</v>
      </c>
      <c r="BH25" s="180" t="b">
        <v>0</v>
      </c>
      <c r="BI25" s="180" t="b">
        <v>0</v>
      </c>
      <c r="BJ25" s="180" t="b">
        <v>0</v>
      </c>
      <c r="BK25" s="180" t="b">
        <v>0</v>
      </c>
      <c r="BL25" s="180" t="b">
        <v>0</v>
      </c>
      <c r="BM25" s="180" t="b">
        <v>0</v>
      </c>
      <c r="BN25" s="180" t="b">
        <v>0</v>
      </c>
      <c r="BO25" s="181" t="s">
        <v>1070</v>
      </c>
      <c r="BP25" s="181" t="s">
        <v>1070</v>
      </c>
      <c r="BQ25" s="181" t="s">
        <v>1070</v>
      </c>
      <c r="BR25" s="181" t="s">
        <v>1070</v>
      </c>
      <c r="BS25" s="181" t="s">
        <v>1070</v>
      </c>
      <c r="BT25" s="184">
        <f>IFERROR(__xludf.DUMMYFUNCTION("IF(
  ISNUMBER(#REF!),
  MIN(MAX(
    #REF!
    + MAX(
      ROUNDDOWN((D25 - MAX(IFERROR(FILTER(D$24:D24, BT$24:BT24 &lt;&gt; BS$6, BT$23:BT24 = BS$6), 0))) * (60 * 60 * 24) / BS$9) - ROUNDDOWN((#REF! - MAX(IFERROR(FILTER(D$23:D24, BT$23:BT24 &lt;&gt; BS$6, BT$22:BT"&amp;"24 = BS$6), 0))) * (60 * 60 * 24) / BS$9),
      0
    )
    - COUNTIF(BS25, ""&lt;&gt;-""),
  0), BS$6),
  BS$6 - COUNTIF(BS25, ""&lt;&gt;-"")
)"),3.0)</f>
        <v>3</v>
      </c>
      <c r="BU25" s="181" t="s">
        <v>1070</v>
      </c>
      <c r="BV25" s="181" t="s">
        <v>1070</v>
      </c>
      <c r="BW25" s="184">
        <f>IFERROR(__xludf.DUMMYFUNCTION("IF(
  ISNUMBER(#REF!),
  MIN(MAX(
    #REF!
    + MAX(
      ROUNDDOWN((D25 - MAX(IFERROR(FILTER(D$24:D24, BW$24:BW24 &lt;&gt; BV$6, BW$23:BW24 = BV$6), 0))) * (60 * 60 * 24) / BV$9) - ROUNDDOWN((#REF! - MAX(IFERROR(FILTER(D$23:D24, BW$23:BW24 &lt;&gt; BV$6, BW$22:BW"&amp;"24 = BV$6), 0))) * (60 * 60 * 24) / BV$9),
      0
    )
    - COUNTIF(BV25, ""&lt;&gt;-""),
  0), BV$6),
  BV$6 - COUNTIF(BV25, ""&lt;&gt;-"")
)"),2.0)</f>
        <v>2</v>
      </c>
      <c r="BX25" s="185" t="s">
        <v>1070</v>
      </c>
      <c r="BY25" s="178" t="b">
        <v>0</v>
      </c>
      <c r="BZ25" s="180" t="b">
        <v>1</v>
      </c>
      <c r="CA25" s="180" t="b">
        <v>0</v>
      </c>
      <c r="CB25" s="180" t="b">
        <v>0</v>
      </c>
      <c r="CC25" s="180" t="b">
        <v>0</v>
      </c>
      <c r="CD25" s="180" t="b">
        <v>0</v>
      </c>
      <c r="CE25" s="180" t="b">
        <v>0</v>
      </c>
      <c r="CF25" s="180" t="b">
        <v>0</v>
      </c>
      <c r="CG25" s="180" t="b">
        <v>0</v>
      </c>
      <c r="CH25" s="180" t="b">
        <v>0</v>
      </c>
      <c r="CI25" s="180" t="b">
        <v>0</v>
      </c>
      <c r="CJ25" s="180" t="b">
        <v>0</v>
      </c>
      <c r="CK25" s="180" t="b">
        <v>0</v>
      </c>
      <c r="CL25" s="180" t="b">
        <v>0</v>
      </c>
      <c r="CM25" s="181" t="s">
        <v>1070</v>
      </c>
      <c r="CN25" s="181" t="s">
        <v>1070</v>
      </c>
      <c r="CO25" s="181" t="s">
        <v>1070</v>
      </c>
      <c r="CP25" s="181" t="s">
        <v>1070</v>
      </c>
      <c r="CQ25" s="185" t="s">
        <v>1070</v>
      </c>
      <c r="CR25" s="180" t="b">
        <v>0</v>
      </c>
      <c r="CS25" s="186" t="str">
        <f t="array" ref="CS25">SWITCH(
    IF(OR(AND(CI25, #REF!&lt;&gt;TRUE), CR25), 3, IF(ISTEXT(#REF!), FIND("◇", #REF!&amp;"◇") - 1, 0))
  - COUNTIFS({BZ25,CE25}, "=TRUE", {#REF!,#REF!}, "&lt;&gt;TRUE")
  - COUNTIF({CN25,CQ25}, "&lt;&gt;-")
  + IF(COUNTIFS({BZ25,CE25}, "=TRUE", {#REF!,#REF!}, "&lt;&gt;TRUE") + COUNTIF({CN25,CQ25}, "&lt;&gt;-"), COUNTIFS(CJ25, "=TRUE", #REF!, "&lt;&gt;TRUE"), 0),
  0, "◇◇◇", 1, "◆◇◇", 2, "◆◆◇", 3, "◆◆◆", "◇◇◇"
)</f>
        <v>#REF!</v>
      </c>
      <c r="CT25" s="178" t="b">
        <v>0</v>
      </c>
      <c r="CU25" s="180" t="b">
        <v>0</v>
      </c>
      <c r="CV25" s="180" t="b">
        <v>0</v>
      </c>
      <c r="CW25" s="180" t="b">
        <v>0</v>
      </c>
      <c r="CX25" s="180" t="b">
        <v>0</v>
      </c>
      <c r="CY25" s="180" t="b">
        <v>0</v>
      </c>
      <c r="CZ25" s="180" t="b">
        <v>0</v>
      </c>
      <c r="DA25" s="180" t="b">
        <v>0</v>
      </c>
      <c r="DB25" s="180" t="b">
        <v>0</v>
      </c>
      <c r="DC25" s="180" t="b">
        <v>0</v>
      </c>
      <c r="DD25" s="181" t="s">
        <v>1070</v>
      </c>
      <c r="DE25" s="181" t="s">
        <v>1070</v>
      </c>
      <c r="DF25" s="181" t="s">
        <v>1070</v>
      </c>
      <c r="DG25" s="185" t="s">
        <v>1070</v>
      </c>
      <c r="DH25" s="180" t="b">
        <v>0</v>
      </c>
      <c r="DI25" s="187" t="str">
        <f>IFERROR(__xludf.DUMMYFUNCTION("SWITCH(
  IF(
    ISTEXT(#REF!),
    IF (
      FIND(""○"", #REF!&amp;""○"") &gt; 3,
      3,
      FIND(""○"", #REF!&amp;""○"")
      + MAX(
        ROUNDDOWN(($D25 - MAX(IFERROR(FILTER(D$24:D24, DI$24:DI24 &lt;&gt; ""●●●"", DI$23:DI24 = ""●●●""), 0))) * (60 * 60 * 24) /"&amp;" 20) - ROUNDDOWN((#REF! - MAX(IFERROR(FILTER(D$23:D24, DI$23:DI24 &lt;&gt; ""●●●"", DI$22:DI24 = ""●●●""), 0))) * (60 * 60 * 24) / 20),
        0
      ) - 1
    ) - COUNTIFS(CU25, ""=TRUE"", #REF!, ""&lt;&gt;TRUE"") - COUNTIF(CZ25, ""=TRUE"") - COUNTIF({DD25,DE25}, "&amp;"""&lt;&gt;-"") + COUNTIF(DH25, ""=TRUE""),
    3
  ),
  0, ""○○○"", 1, ""●○○"", 2, ""●●○"", 3, ""●●●"", 4, ""●●●"", ""○○○""
)"),"●●●")</f>
        <v>●●●</v>
      </c>
      <c r="DJ25" s="188" t="b">
        <v>0</v>
      </c>
      <c r="DK25" s="189" t="b">
        <v>0</v>
      </c>
      <c r="DL25" s="190" t="b">
        <v>0</v>
      </c>
      <c r="DM25" s="190" t="b">
        <v>0</v>
      </c>
      <c r="DN25" s="190" t="b">
        <v>0</v>
      </c>
      <c r="DO25" s="190" t="b">
        <v>0</v>
      </c>
      <c r="DP25" s="190" t="b">
        <v>0</v>
      </c>
      <c r="DQ25" s="191" t="b">
        <v>1</v>
      </c>
      <c r="DR25" s="192" t="b">
        <v>0</v>
      </c>
      <c r="DS25" s="191" t="b">
        <v>0</v>
      </c>
      <c r="DT25" s="192" t="b">
        <v>0</v>
      </c>
      <c r="DU25" s="191" t="b">
        <v>0</v>
      </c>
      <c r="DV25" s="193" t="s">
        <v>1070</v>
      </c>
      <c r="DW25" s="194" t="b">
        <v>0</v>
      </c>
      <c r="DX25" s="194" t="b">
        <v>0</v>
      </c>
      <c r="DY25" s="195" t="b">
        <v>0</v>
      </c>
      <c r="DZ25" s="196" t="b">
        <v>0</v>
      </c>
      <c r="EA25" s="195" t="b">
        <v>0</v>
      </c>
      <c r="EB25" s="197" t="b">
        <v>0</v>
      </c>
      <c r="EC25" s="197" t="b">
        <v>0</v>
      </c>
      <c r="ED25" s="198" t="b">
        <v>0</v>
      </c>
      <c r="EE25" s="199">
        <f>IFERROR(__xludf.DUMMYFUNCTION("IFERROR(
   PRODUCT(
     MAP(
       INDEX(TRANSPOSE(UNIQUE(TRANSPOSE(FILTER({IF($F25=""Physical"", K$10:ED$10, IF($F25=""Magic"", K$11:ED$11, K$12:ED$12));K$4:ED$4;K25:ED25}, K25:ED25=TRUE)))), 1, 0),
       INDEX(TRANSPOSE(UNIQUE(TRANSPOSE(FILTER({IF($"&amp;"F25=""Physical"", K$18:ED$18, IF($F25=""Magic"", K$19:ED$19, K$20:ED$20));K$4:ED$4;K25:ED25}, K25:ED25=TRUE)))), 1, 0),
       INDEX(TRANSPOSE(UNIQUE(TRANSPOSE(FILTER({K$5:ED$5;K$4:ED$4;K25:ED25}, K25:ED25=TRUE)))), 1, 0),
       INDEX(TRANSPOSE(UNIQUE(TR"&amp;"ANSPOSE(FILTER({K$17:ED$17;K$4:ED$4;K25:ED25}, K25:ED25=TRUE)))), 1, 0),
       LAMBDA(
         mitigation,
         enhance,
         assign,
         precondition,
         IF(
           REGEXMATCH(assign, ""RANGE_PARTY|SINGLE_ENEMY|RANGE_ENEMY""),
  "&amp;"         IF(
             OR(ARRAYFORMULA((IF(precondition="""", FALSE, REGEXMATCH(K$4:ED$4, precondition))) * (K25:ED25=TRUE))),
             IF(ISNUMBER(enhance), enhance, 1),
             IF(ISNUMBER(mitigation), mitigation, 1)
           ),
          "&amp;" 1
         )
       )
     )
   ),
   1
 )"),1.0)</f>
        <v>1</v>
      </c>
      <c r="EF25" s="200" t="str">
        <f>IFERROR(__xludf.DUMMYFUNCTION("PRODUCT(
   MAP(
     K$14:ED$14,
     K$13:ED$13,
     K25:ED25,
     LAMBDA(
       buff,
       target,
       check,
       IF(
         AND(check=TRUE, REGEXMATCH(target, ""RANGE_AFFECTED_ALL|RANGE_EFFECTED_ALL""), ISNUMBER(buff)),
         buff,
   "&amp;"      1
       )
     )
   )
 )"),"#REF!")</f>
        <v>#REF!</v>
      </c>
      <c r="EG25" s="200" t="str">
        <f>IFERROR(__xludf.DUMMYFUNCTION("PRODUCT(
   MAP(
     K$14:ED$14,
     K$13:ED$13,
     K25:ED25,
     LAMBDA(
       buff,
       target,
       check,
       IF(
         AND(check=TRUE, REGEXMATCH(target, ""RANGE_AFFECTED_GCD|RANGE_EFFECTED_GCD""), ISNUMBER(buff)),
         buff,
   "&amp;"      1
       )
     )
   )
 )"),"#REF!")</f>
        <v>#REF!</v>
      </c>
      <c r="EH25" s="200" t="str">
        <f>IFERROR(__xludf.DUMMYFUNCTION("PRODUCT(
   MAP(
     K$3:ED$3,
     K$14:ED$14,
     K$13:ED$13,
     K25:ED25,
     LAMBDA(
       job,
       buff,
       target,
       check,
       IF(
         AND(check=TRUE, REGEXMATCH(target, ""SELF_EFFECTED_ALL""), ISNUMBER(buff), job=""白魔道士"""&amp;"),
         buff,
         1
       )
     )
   )
 )"),"#REF!")</f>
        <v>#REF!</v>
      </c>
      <c r="EI25" s="200" t="str">
        <f>IFERROR(__xludf.DUMMYFUNCTION("PRODUCT(
   MAP(
     K$3:ED$3,
     K$14:ED$14,
     K$13:ED$13,
     K25:ED25,
     LAMBDA(
       job,
       buff,
       target,
       check,
       IF(
         AND(check=TRUE, REGEXMATCH(target, ""SELF_EFFECTED_GCD""), ISNUMBER(buff), job=""白魔道士"""&amp;"),
         buff,
         1
       )
     )
   )
 )"),"#REF!")</f>
        <v>#REF!</v>
      </c>
      <c r="EJ25" s="200" t="str">
        <f>IFERROR(__xludf.DUMMYFUNCTION("PRODUCT(
   MAP(
     K$3:ED$3,
     K$14:ED$14,
     K$13:ED$13,
     K25:ED25,
     LAMBDA(
       job,
       buff,
       target,
       check,
       IF(
         AND(check=TRUE, REGEXMATCH(target, ""SELF_EFFECTED_ALL""), ISNUMBER(buff), job=""占星術師"""&amp;"),
         buff,
         1
       )
     )
   )
 )"),"#REF!")</f>
        <v>#REF!</v>
      </c>
      <c r="EK25" s="200" t="str">
        <f>IFERROR(__xludf.DUMMYFUNCTION("PRODUCT(
   MAP(
     K$3:ED$3,
     K$14:ED$14,
     K$13:ED$13,
     K25:ED25,
     LAMBDA(
       job,
       buff,
       target,
       check,
       IF(
         AND(check=TRUE, REGEXMATCH(target, ""SELF_EFFECTED_GCD""), ISNUMBER(buff), job=""占星術師"""&amp;"),
         buff,
         1
       )
     )
   )
 )"),"#REF!")</f>
        <v>#REF!</v>
      </c>
      <c r="EL25" s="200" t="str">
        <f>IFERROR(__xludf.DUMMYFUNCTION("PRODUCT(
   MAP(
     K$3:ED$3,
     K$14:ED$14,
     K$13:ED$13,
     K25:ED25,
     LAMBDA(
       job,
       buff,
       target,
       check,
       IF(
         AND(check=TRUE, REGEXMATCH(target, ""SELF_EFFECTED_ALL""), ISNUMBER(buff), job=""学者""),"&amp;"
         buff,
         1
       )
     )
   )
 )"),"#REF!")</f>
        <v>#REF!</v>
      </c>
      <c r="EM25" s="200" t="str">
        <f>IFERROR(__xludf.DUMMYFUNCTION("PRODUCT(
   MAP(
     K$3:ED$3,
     K$14:ED$14,
     K$13:ED$13,
     K25:ED25,
     LAMBDA(
       job,
       buff,
       target,
       check,
       IF(
         AND(check=TRUE, REGEXMATCH(target, ""SELF_EFFECTED_GCD""), ISNUMBER(buff), job=""学者""),"&amp;"
         buff,
         1
       )
     )
   )
 )"),"#REF!")</f>
        <v>#REF!</v>
      </c>
      <c r="EN25" s="200" t="str">
        <f>IFERROR(__xludf.DUMMYFUNCTION("PRODUCT(
   MAP(
     K$3:ED$3,
     K$14:ED$14,
     K$13:ED$13,
     K25:ED25,
     LAMBDA(
       job,
       buff,
       target,
       check,
       IF(
         AND(check=TRUE, REGEXMATCH(target, ""SELF_EFFECTED_ALL""), ISNUMBER(buff), job=""賢者""),"&amp;"
         buff,
         1
       )
     )
   )
 )"),"#REF!")</f>
        <v>#REF!</v>
      </c>
      <c r="EO25" s="200" t="str">
        <f>IFERROR(__xludf.DUMMYFUNCTION("PRODUCT(
   MAP(
     K$3:ED$3,
     K$14:ED$14,
     K$13:ED$13,
     K25:ED25,
     LAMBDA(
       job,
       buff,
       target,
       check,
       IF(
         AND(check=TRUE, REGEXMATCH(target, ""SELF_EFFECTED_GCD""), ISNUMBER(buff), job=""賢者""),"&amp;"
         buff,
         1
       )
     )
   )
 )"),"#REF!")</f>
        <v>#REF!</v>
      </c>
      <c r="EP25" s="201">
        <f t="shared" ref="EP25:EP76" si="3">H25*EE25</f>
        <v>0</v>
      </c>
      <c r="EQ25" s="201" t="str">
        <f>IFERROR(__xludf.DUMMYFUNCTION("SUM(
   MAP(
     K$4:ED$4,
     K$3:ED$3,
     K$7:ED$7,
     K$15:ED$15,
     K$16:ED$16,
     K$21:ED$21,
     K$5:ED$5,
     K$17:ED$17,
     K25:ED25,
     LAMBDA(
       name,
       job,
       abillity,
       buff,
       barrier,
       enhance,"&amp;"
       assign,
       precondition,
       check,
       SWITCH(
         name,
         ""シェイクオフ"", IF(check=TRUE, buff + (0.02 * COUNTIF(ARRAYFORMULA((REGEXMATCH($K$4:$ED$4, ""スリル・オブ・バトル|ヴェンジェンス|原初の血気|ダムネーション"")) * (K25:ED25=TRUE)), 1)), 0),
         "&amp;"""インプロビゼーションフィニッシュ(踊りの激情0)"", IF(ISNUMBER(check), INDEX(Skill!$AJ:$AJ, MATCH(SUBSTITUTE(DV$4, 0, check), Skill!$C:$C, 0)), 0),
         IF(
           AND(check=TRUE, REGEXMATCH(assign, ""RANGE_PARTY"")),
           IF(
             OR(ARRAYFORMULA((IF(pr"&amp;"econdition="""", FALSE, REGEXMATCH($K$4:$ED$4, precondition))) * (K25:ED25=TRUE))),
             enhance,
             IF(barrier="""", buff, barrier)
           ),
           0
         )
       ) *
       SWITCH(
         job,
         ""ナイト"", EY$24,
 "&amp;"        ""戦士"", FD$24,
         ""踊り子"", ET$24,
         ""ピクトマンサー"", ET$24,
         ""白魔道士"", EF25 * EH25 * IF(abillity, 1, EG25 * EI25) * (Option!$D$22 * 0.81 / 100),
         ""占星術師"", EF25 * EJ25 * IF(abillity, 1, EG25 * EK25) * (Option!$D$23 * 0.81 "&amp;"/ 100),
         ""学者"", EF25 * EL25 * IF(abillity, 1, EG25 * EM25) * (Option!$D$24 * 0.81 / 100),
         ""賢者"", EF25 * EN25 * IF(abillity, 1, EG25 * EO25) * (Option!$D$25 * 0.81 / 100),
         1
       )
     )
   )
 )"),"#REF!")</f>
        <v>#REF!</v>
      </c>
      <c r="ER25" s="202" t="str">
        <f t="shared" ref="ER25:ER76" si="4">IF(EP25 &lt; EQ25, 0, EP25 - EQ25)</f>
        <v>#REF!</v>
      </c>
      <c r="ES25" s="203">
        <f t="shared" ref="ES25:ES76" si="5">I25*J25*EE25</f>
        <v>0</v>
      </c>
      <c r="ET25" s="231" t="str">
        <f>IFERROR(__xludf.DUMMYFUNCTION("IFS(
  EP25 &gt; $ET$24 + EQ25,
  SPARKLINE({ 1, 0 }, {""charttype"",""bar"";""max"", 1;""color1"",Option!$D$30;""color2"",Option!$D$30}),
  EP25 &lt; EQ25,
  SPARKLINE({EQ25 - EP25, $ET$24 - (EQ25 - EP25)}, {""charttype"",""bar"";""max"",$ET$24;""color1"",Opti"&amp;"on!$D$28;""color2"",Option!$D$29}),
  EP25 &gt;= EQ25,
  SPARKLINE({$ET$24 + EQ25 - EP25,EP25 - EQ25}, {""charttype"",""bar"";""max"",$ET$24;""color1"",Option!$D$29;""color2"",Option!$D$30})
)"),"#REF!")</f>
        <v>#REF!</v>
      </c>
      <c r="EU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job=""ナイト""), AND(check=Option!$E$13, REGEXMATCH(assign, ""SINGLE_PARTY""))),
      "&amp;"   IF(
           OR(ARRAYFORMULA((IF(precondition="""", FALSE, REGEXMATCH($K$4:$ED$4, precondition))) * (K25:ED25=TRUE))),
           enhance,
           mitigation
         ),
         1
       )
     )
   )
 ) * EE25"),"#REF!")</f>
        <v>#REF!</v>
      </c>
      <c r="EV25" s="206" t="str">
        <f t="shared" ref="EV25:EV76" si="6">H25 * EU25 * 0.8</f>
        <v>#REF!</v>
      </c>
      <c r="EW25" s="205" t="str">
        <f>IFERROR(__xludf.DUMMYFUNCTION("PRODUCT(
   MAP(
     K$3:ED$3,
     K$14:ED$14,
     K$13:ED$13,
     K25:ED25,
     LAMBDA(
       job,
       buff,
       target,
       check,
       IF(
         OR(AND(check=TRUE, REGEXMATCH(target, ""SELF_AFFECTED_ALL""), job=""ナイト""), AND(check=O"&amp;"ption!$E$13, REGEXMATCH(target, ""SINGLE_AFFECTED_ALL""))),
         buff,
         1
       )
     )
   )
 )"),"#REF!")</f>
        <v>#REF!</v>
      </c>
      <c r="EX25" s="206" t="str">
        <f>IFERROR(__xludf.DUMMYFUNCTION("SUM(
   MAP(
     K$3:ED$3,
     K$7:ED$7,
     K$15:ED$15,
     K$16:ED$16,
     K$21:ED$21,
     K$5:ED$5,
     K$17:ED$17,
     K25:ED25,
     LAMBDA(
       job,
       abillity,
       buff,
       barrier,
       enhance,
       assign,
       preco"&amp;"ndition,
       check,
       IF(
         OR(AND(check=TRUE, REGEXMATCH(assign, ""SELF""), job=""ナイト""), AND(check=Option!$E$13, REGEXMATCH(assign, ""SINGLE_PARTY""))),
         IF(
           OR(ARRAYFORMULA((IF(precondition="""", FALSE, REGEXMATCH($K$4"&amp;":$ED$4, precondition))) * (K25:ED25=TRUE))),
           enhance,
           IF(barrier="""", buff, barrier)
         ),
         0
       ) *
       SWITCH(
         job,
         ""暗黒騎士"", EY$24,
         ""白魔道士"", EF25 * EH25 * EW25 * IF(abillity, 1, EG"&amp;"25 * EI25) * (Option!$D$22 * 0.81 / 100),
         ""占星術師"", EF25 * EJ25 * EW25 * IF(abillity, 1, EG25 * EK25) * (Option!$D$23 * 0.81 / 100),
         ""学者"", EF25 * EL25 * EW25 * IF(abillity, 1, EG25 * EM25) * (Option!$D$24 * 0.81 / 100),
         ""賢者"""&amp;", EF25 * EN25 * EW25 * IF(abillity, 1, EG25 * EO25) * (Option!$D$25 * 0.81 / 100),
         1
       )
     )
   )
 ) + EQ25"),"#REF!")</f>
        <v>#REF!</v>
      </c>
      <c r="EY25" s="232" t="str">
        <f t="shared" ref="EY25:EY76" si="7">MAX(EV25 - EX25, 0)</f>
        <v>#REF!</v>
      </c>
      <c r="EZ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job=""戦士""), AND(check=Option!$F$13, REGEXMATCH(assign, ""SINGLE_PARTY""))),
       "&amp;"  IF(
           OR(ARRAYFORMULA((IF(precondition="""", FALSE, REGEXMATCH($K$4:$ED$4, precondition))) * (K25:ED25=TRUE))),
           enhance,
           mitigation
         ),
         1
       )
     )
   )
 ) * EE25"),"#REF!")</f>
        <v>#REF!</v>
      </c>
      <c r="FA25" s="206" t="str">
        <f t="shared" ref="FA25:FA76" si="8">H25 * EZ25 * 0.8</f>
        <v>#REF!</v>
      </c>
      <c r="FB25" s="205" t="str">
        <f>IFERROR(__xludf.DUMMYFUNCTION("PRODUCT(
   MAP(
     K$3:ED$3,
     K$14:ED$14,
     K$13:ED$13,
     K25:ED25,
     LAMBDA(
       job,
       buff,
       target,
       check,
       IF(
         OR(AND(check=TRUE, REGEXMATCH(target, ""SELF_AFFECTED_ALL""), job=""戦士""), AND(check=Op"&amp;"tion!$F$13, REGEXMATCH(target, ""SINGLE_AFFECTED_ALL""))),
         buff,
         1
       )
     )
   )
 )"),"#REF!")</f>
        <v>#REF!</v>
      </c>
      <c r="FC25" s="206" t="str">
        <f>IFERROR(__xludf.DUMMYFUNCTION("SUM(
   MAP(
     K$3:ED$3,
     K$7:ED$7,
     K$15:ED$15,
     K$16:ED$16,
     K$21:ED$21,
     K$5:ED$5,
     K$17:ED$17,
     K25:ED25,
     LAMBDA(
       job,
       abillity,
       buff,
       barrier,
       enhance,
       assign,
       preco"&amp;"ndition,
       check,
       IF(
         OR(AND(check=TRUE, REGEXMATCH(assign, ""SELF""), job=""戦士""), AND(check=Option!$F$13, REGEXMATCH(assign, ""SINGLE_PARTY""))),
         IF(
           OR(ARRAYFORMULA((IF(precondition="""", FALSE, REGEXMATCH($K$4:"&amp;"$ED$4, precondition))) * (K25:ED25=TRUE))),
           enhance,
           IF(barrier="""", buff, barrier)
         ),
         0
       ) *
       SWITCH(
         job,
         ""暗黒騎士"", FD$24,
         ""白魔道士"", EF25 * EH25 * FB25 * IF(abillity, 1, EG2"&amp;"5 * EI25) * (Option!$D$22 * 0.81 / 100),
         ""占星術師"", EF25 * EJ25 * FFB25 * IF(abillity, 1, EG25 * EK25) * (Option!$D$23 * 0.81 / 100),
         ""学者"", EF25 * EL25 * FB25 * IF(abillity, 1, EG25 * EM25) * (Option!$D$24 * 0.81 / 100),
         ""賢者"""&amp;", EF25 * EN25 * FB25 * IF(abillity, 1, EG25 * EO25) * (Option!$D$25 * 0.81 / 100),
         1
       )
     )
   )
 ) + EQ25"),"#REF!")</f>
        <v>#REF!</v>
      </c>
      <c r="FD25" s="206" t="str">
        <f t="shared" ref="FD25:FD76" si="9">MAX(FA25 - FC25, 0)</f>
        <v>#REF!</v>
      </c>
      <c r="FE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job=""暗黒騎士""), AND(check=Option!$G$13, REGEXMATCH(assign, ""SINGLE_PARTY""))),
     "&amp;"    IF(
           OR(ARRAYFORMULA((IF(precondition="""", FALSE, REGEXMATCH($K$4:$ED$4, precondition))) * (K25:ED25=TRUE))),
           enhance,
           mitigation
         ),
         1
       )
     )
   )
 ) * EE25"),"#REF!")</f>
        <v>#REF!</v>
      </c>
      <c r="FF25" s="206" t="str">
        <f t="shared" ref="FF25:FF76" si="10">H25 * FE25 * 0.8</f>
        <v>#REF!</v>
      </c>
      <c r="FG25" s="205" t="str">
        <f>IFERROR(__xludf.DUMMYFUNCTION("PRODUCT(
   MAP(
     K$3:ED$3,
     K$14:ED$14,
     K$13:ED$13,
     K25:ED25,
     LAMBDA(
       job,
       buff,
       target,
       check,
       IF(
         OR(AND(check=TRUE, REGEXMATCH(target, ""SELF_AFFECTED_ALL""), job=""暗黒騎士""), AND(check="&amp;"Option!$G$13, REGEXMATCH(target, ""SINGLE_AFFECTED_ALL""))),
         buff,
         1
       )
     )
   )
 )"),"#REF!")</f>
        <v>#REF!</v>
      </c>
      <c r="FH25" s="206" t="str">
        <f>IFERROR(__xludf.DUMMYFUNCTION("SUM(
   MAP(
     K$3:ED$3,
     K$7:ED$7,
     K$15:ED$15,
     K$16:ED$16,
     K$21:ED$21,
     K$5:ED$5,
     K$17:ED$17,
     K25:ED25,
     LAMBDA(
       job,
       abillity,
       buff,
       barrier,
       enhance,
       assign,
       preco"&amp;"ndition,
       check,
       IF(
         OR(AND(check=TRUE, REGEXMATCH(assign, ""SELF""), job=""暗黒騎士""), AND(check=Option!$G$13, REGEXMATCH(assign, ""SINGLE_PARTY""))),
         IF(
           OR(ARRAYFORMULA((IF(precondition="""", FALSE, REGEXMATCH($K$"&amp;"4:$ED$4, precondition))) * (K25:ED25=TRUE))),
           enhance,
           IF(barrier="""", buff, barrier)
         ),
         0
       ) *
       SWITCH(
         job,
         ""暗黒騎士"", FI$24,
         ""白魔道士"", EF25 * EH25 * FG25 * IF(abillity, 1, E"&amp;"G25 * EI25) * (Option!$D$22 * 0.81 / 100),
         ""占星術師"", EF25 * EJ25 * FG25 * IF(abillity, 1, EG25 * EK25) * (Option!$D$23 * 0.81 / 100),
         ""学者"", EF25 * EL25 * FG25 * IF(abillity, 1, EG25 * EM25) * (Option!$D$24 * 0.81 / 100),
         ""賢者"&amp;""", EF25 * EN25 * FG25 * IF(abillity, 1, EG25 * EO25) * (Option!$D$25 * 0.81 / 100),
         1
       )
     )
   )
 ) + EQ25"),"#REF!")</f>
        <v>#REF!</v>
      </c>
      <c r="FI25" s="206" t="str">
        <f t="shared" ref="FI25:FI76" si="11">MAX(FF25 - FH25, 0)</f>
        <v>#REF!</v>
      </c>
      <c r="FJ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job=""ガンブレイカー""), AND(check=Option!$H$13, REGEXMATCH(assign, ""SINGLE_PARTY""))),
  "&amp;"       IF(
           OR(ARRAYFORMULA((IF(precondition="""", FALSE, REGEXMATCH($K$4:$ED$4, precondition))) * (K25:ED25=TRUE))),
           enhance,
           mitigation
         ),
         1
       )
     )
   )
 ) * EE25"),"#REF!")</f>
        <v>#REF!</v>
      </c>
      <c r="FK25" s="206" t="str">
        <f t="shared" ref="FK25:FK76" si="12">H25 * FJ25 * 0.8</f>
        <v>#REF!</v>
      </c>
      <c r="FL25" s="205" t="str">
        <f>IFERROR(__xludf.DUMMYFUNCTION("PRODUCT(
   MAP(
     K$3:ED$3,
     K$14:ED$14,
     K$13:ED$13,
     K25:ED25,
     LAMBDA(
       job,
       buff,
       target,
       check,
       IF(
         OR(AND(check=TRUE, REGEXMATCH(target, ""SELF_AFFECTED_ALL""), job=""ガンブレイカー""), AND(che"&amp;"ck=Option!$H$13, REGEXMATCH(target, ""SINGLE_AFFECTED_ALL""))),
         buff,
         1
       )
     )
   )
 )"),"#REF!")</f>
        <v>#REF!</v>
      </c>
      <c r="FM25" s="206" t="str">
        <f>IFERROR(__xludf.DUMMYFUNCTION("SUM(
   MAP(
     K$3:ED$3,
     K$7:ED$7,
     K$15:ED$15,
     K$16:ED$16,
     K$21:ED$21,
     K$5:ED$5,
     K$17:ED$17,
     K25:ED25,
     LAMBDA(
       job,
       abillity,
       buff,
       barrier,
       enhance,
       assign,
       preco"&amp;"ndition,
       check,
       IF(
         OR(AND(check=TRUE, REGEXMATCH(assign, ""SELF""), job=""ガンブレイカー""), AND(check=Option!$H$13, REGEXMATCH(assign, ""SINGLE_PARTY""))),
         IF(
           OR(ARRAYFORMULA((IF(precondition="""", FALSE, REGEXMATCH("&amp;"$K$4:$ED$4, precondition))) * (K25:ED25=TRUE))),
           enhance,
           IF(barrier="""", buff, barrier)
         ),
         0
       ) *
       SWITCH(
         job,
         ""暗黒騎士"", FN$24,
         ""白魔道士"", EF25 * EH25 * FL25 * IF(abillity, 1"&amp;", EG25 * EI25) * (Option!$D$22 * 0.81 / 100),
         ""占星術師"", EF25 * EJ25 * FL25 * IF(abillity, 1, EG25 * EK25) * (Option!$D$23 * 0.81 / 100),
         ""学者"", EF25 * EL25 * FL25 * IF(abillity, 1, EG25 * EM25) * (Option!$D$24 * 0.81 / 100),
         """&amp;"賢者"", EF25 * EN25 * FL25 * IF(abillity, 1, EG25 * EO25) * (Option!$D$25 * 0.81 / 100),
         1
       )
     )
   )
 ) + EQ25"),"#REF!")</f>
        <v>#REF!</v>
      </c>
      <c r="FN25" s="206" t="str">
        <f t="shared" ref="FN25:FN76" si="13">MAX(FK25 - FM25, 0)</f>
        <v>#REF!</v>
      </c>
      <c r="FO25" s="213"/>
    </row>
    <row r="26">
      <c r="B26" s="229"/>
      <c r="C26" s="217">
        <f t="shared" si="1"/>
        <v>0.001770833333</v>
      </c>
      <c r="D26" s="233">
        <v>6.944444444444444E-5</v>
      </c>
      <c r="E26" s="221" t="s">
        <v>1085</v>
      </c>
      <c r="F26" s="167" t="s">
        <v>11</v>
      </c>
      <c r="G26" s="168" t="str">
        <f t="shared" si="2"/>
        <v/>
      </c>
      <c r="H26" s="169">
        <v>12000.0</v>
      </c>
      <c r="I26" s="169"/>
      <c r="J26" s="169"/>
      <c r="K26" s="170" t="b">
        <v>0</v>
      </c>
      <c r="L26" s="170" t="b">
        <v>0</v>
      </c>
      <c r="M26" s="170" t="b">
        <v>0</v>
      </c>
      <c r="N26" s="171" t="s">
        <v>1070</v>
      </c>
      <c r="O26" s="172" t="b">
        <v>0</v>
      </c>
      <c r="P26" s="173" t="b">
        <v>0</v>
      </c>
      <c r="Q26" s="173" t="b">
        <v>0</v>
      </c>
      <c r="R26" s="173" t="b">
        <v>0</v>
      </c>
      <c r="S26" s="174" t="b">
        <v>0</v>
      </c>
      <c r="T26" s="175" t="b">
        <v>0</v>
      </c>
      <c r="U26" s="173" t="b">
        <v>0</v>
      </c>
      <c r="V26" s="171" t="s">
        <v>1070</v>
      </c>
      <c r="W26" s="172" t="b">
        <v>0</v>
      </c>
      <c r="X26" s="173" t="b">
        <v>0</v>
      </c>
      <c r="Y26" s="173" t="b">
        <v>0</v>
      </c>
      <c r="Z26" s="173" t="b">
        <v>0</v>
      </c>
      <c r="AA26" s="174" t="b">
        <v>0</v>
      </c>
      <c r="AB26" s="174" t="b">
        <v>0</v>
      </c>
      <c r="AC26" s="175" t="b">
        <v>0</v>
      </c>
      <c r="AD26" s="173" t="b">
        <v>1</v>
      </c>
      <c r="AE26" s="176" t="s">
        <v>1070</v>
      </c>
      <c r="AF26" s="171" t="s">
        <v>1070</v>
      </c>
      <c r="AG26" s="177">
        <f>IFERROR(__xludf.DUMMYFUNCTION("IF(
  ISNUMBER(AG25),
  MIN(MAX(
    AG25
    + MAX(
      ROUNDDOWN(($D26 - MAX(IFERROR(FILTER($D$24:$D25, AG$24:AG25 &lt;&gt; AF$6, AG$23:AG24 = AF$6), 0))) * (60 * 60 * 24) / AF$9) - ROUNDDOWN(($D25 - MAX(IFERROR(FILTER($D$23:$D24, AG$23:AG24 &lt;&gt; AF$6, AG$22:"&amp;"AG24 = AF$6), 0))) * (60 * 60 * 24) / 60),
      0
    )
    - COUNTIF(AF26, ""&lt;&gt;-""),
  0), AF$6),
  AF$6 - COUNTIF(AF26, ""&lt;&gt;-"")
)"),2.0)</f>
        <v>2</v>
      </c>
      <c r="AH26" s="173" t="b">
        <v>0</v>
      </c>
      <c r="AI26" s="173" t="b">
        <v>0</v>
      </c>
      <c r="AJ26" s="173" t="b">
        <v>0</v>
      </c>
      <c r="AK26" s="174" t="b">
        <v>0</v>
      </c>
      <c r="AL26" s="175" t="b">
        <v>0</v>
      </c>
      <c r="AM26" s="173" t="b">
        <v>0</v>
      </c>
      <c r="AN26" s="171" t="s">
        <v>1070</v>
      </c>
      <c r="AO26" s="173" t="b">
        <v>0</v>
      </c>
      <c r="AP26" s="173" t="b">
        <v>0</v>
      </c>
      <c r="AQ26" s="173" t="b">
        <v>0</v>
      </c>
      <c r="AR26" s="174" t="b">
        <v>0</v>
      </c>
      <c r="AS26" s="178" t="b">
        <v>0</v>
      </c>
      <c r="AT26" s="179" t="b">
        <v>0</v>
      </c>
      <c r="AU26" s="180" t="b">
        <v>0</v>
      </c>
      <c r="AV26" s="180" t="b">
        <v>0</v>
      </c>
      <c r="AW26" s="180" t="b">
        <v>0</v>
      </c>
      <c r="AX26" s="180" t="b">
        <v>0</v>
      </c>
      <c r="AY26" s="181" t="s">
        <v>1070</v>
      </c>
      <c r="AZ26" s="181" t="s">
        <v>1070</v>
      </c>
      <c r="BA26" s="184">
        <f>IFERROR(__xludf.DUMMYFUNCTION("IF(
  ISNUMBER(BA25),
  MIN(MAX(
    BA25
    + MAX(
      ROUNDDOWN((D26 - MAX(IFERROR(FILTER(D$24:D25, BA$24:BA25 &lt;&gt; AZ$6, BA$23:BA24 = AZ$6), 0))) * (60 * 60 * 24) / AZ$9) - ROUNDDOWN((D25 - MAX(IFERROR(FILTER(D$23:D24, BA$23:BA24 &lt;&gt; AZ$6, BA$22:BA24 ="&amp;" AZ$6), 0))) * (60 * 60 * 24) / AZ$9),
      0
    )
    - COUNTIF(AZ26, ""&lt;&gt;-""),
  0), AZ$6),
  AZ$6 - COUNTIF(AZ26, ""&lt;&gt;-"")
)"),2.0)</f>
        <v>2</v>
      </c>
      <c r="BB26" s="181" t="s">
        <v>1070</v>
      </c>
      <c r="BC26" s="183">
        <f>IFERROR(__xludf.DUMMYFUNCTION("IF(
  ISNUMBER(BC25),
  MIN(MAX(
    BC25
    + MAX(
      ROUNDDOWN(($D26 - MAX(IFERROR(FILTER($D$24:$D25, BC$24:BC25 &lt;&gt; BB$6, BC$23:BC24 = BB$6), 0))) * (60 * 60 * 24) / BB$9) - ROUNDDOWN(($D25 - MAX(IFERROR(FILTER($D$23:$D24, BC$23:BC24 &lt;&gt; BB$6, BC$22:"&amp;"BC24 = BB$6), 0))) * (60 * 60 * 24) / 60),
      0
    )
    - COUNTIF(BB26, ""&lt;&gt;-""),
  0), BB$6),
  BB$6 - COUNTIF(BB26, ""&lt;&gt;-"")
)"),2.0)</f>
        <v>2</v>
      </c>
      <c r="BD26" s="181" t="s">
        <v>1070</v>
      </c>
      <c r="BE26" s="178" t="b">
        <v>1</v>
      </c>
      <c r="BF26" s="180" t="b">
        <v>0</v>
      </c>
      <c r="BG26" s="180" t="b">
        <v>0</v>
      </c>
      <c r="BH26" s="180" t="b">
        <v>0</v>
      </c>
      <c r="BI26" s="180" t="b">
        <v>0</v>
      </c>
      <c r="BJ26" s="180" t="b">
        <v>0</v>
      </c>
      <c r="BK26" s="180" t="b">
        <v>0</v>
      </c>
      <c r="BL26" s="180" t="b">
        <v>0</v>
      </c>
      <c r="BM26" s="180" t="b">
        <v>0</v>
      </c>
      <c r="BN26" s="180" t="b">
        <v>0</v>
      </c>
      <c r="BO26" s="181" t="s">
        <v>1070</v>
      </c>
      <c r="BP26" s="181" t="s">
        <v>1070</v>
      </c>
      <c r="BQ26" s="181" t="s">
        <v>1070</v>
      </c>
      <c r="BR26" s="181" t="s">
        <v>1070</v>
      </c>
      <c r="BS26" s="181" t="s">
        <v>1070</v>
      </c>
      <c r="BT26" s="184">
        <f>IFERROR(__xludf.DUMMYFUNCTION("IF(
  ISNUMBER(BT25),
  MIN(MAX(
    BT25
    + MAX(
      ROUNDDOWN((D26 - MAX(IFERROR(FILTER(D$24:D25, BT$24:BT25 &lt;&gt; BS$6, BT$23:BT24 = BS$6), 0))) * (60 * 60 * 24) / BS$9) - ROUNDDOWN((D25 - MAX(IFERROR(FILTER(D$23:D24, BT$23:BT24 &lt;&gt; BS$6, BT$22:BT24 ="&amp;" BS$6), 0))) * (60 * 60 * 24) / BS$9),
      0
    )
    - COUNTIF(BS26, ""&lt;&gt;-""),
  0), BS$6),
  BS$6 - COUNTIF(BS26, ""&lt;&gt;-"")
)"),3.0)</f>
        <v>3</v>
      </c>
      <c r="BU26" s="181" t="s">
        <v>1070</v>
      </c>
      <c r="BV26" s="181" t="s">
        <v>1070</v>
      </c>
      <c r="BW26" s="184">
        <f>IFERROR(__xludf.DUMMYFUNCTION("IF(
  ISNUMBER(BW25),
  MIN(MAX(
    BW25
    + MAX(
      ROUNDDOWN((D26 - MAX(IFERROR(FILTER(D$24:D25, BW$24:BW25 &lt;&gt; BV$6, BW$23:BW24 = BV$6), 0))) * (60 * 60 * 24) / BV$9) - ROUNDDOWN((D25 - MAX(IFERROR(FILTER(D$23:D24, BW$23:BW24 &lt;&gt; BV$6, BW$22:BW24 ="&amp;" BV$6), 0))) * (60 * 60 * 24) / BV$9),
      0
    )
    - COUNTIF(BV26, ""&lt;&gt;-""),
  0), BV$6),
  BV$6 - COUNTIF(BV26, ""&lt;&gt;-"")
)"),2.0)</f>
        <v>2</v>
      </c>
      <c r="BX26" s="185" t="s">
        <v>1070</v>
      </c>
      <c r="BY26" s="178" t="b">
        <v>0</v>
      </c>
      <c r="BZ26" s="180" t="b">
        <v>1</v>
      </c>
      <c r="CA26" s="180" t="b">
        <v>0</v>
      </c>
      <c r="CB26" s="180" t="b">
        <v>0</v>
      </c>
      <c r="CC26" s="180" t="b">
        <v>0</v>
      </c>
      <c r="CD26" s="180" t="b">
        <v>0</v>
      </c>
      <c r="CE26" s="180" t="b">
        <v>0</v>
      </c>
      <c r="CF26" s="180" t="b">
        <v>0</v>
      </c>
      <c r="CG26" s="180" t="b">
        <v>0</v>
      </c>
      <c r="CH26" s="180" t="b">
        <v>0</v>
      </c>
      <c r="CI26" s="180" t="b">
        <v>0</v>
      </c>
      <c r="CJ26" s="180" t="b">
        <v>0</v>
      </c>
      <c r="CK26" s="180" t="b">
        <v>0</v>
      </c>
      <c r="CL26" s="180" t="b">
        <v>0</v>
      </c>
      <c r="CM26" s="181" t="s">
        <v>1070</v>
      </c>
      <c r="CN26" s="181" t="s">
        <v>1070</v>
      </c>
      <c r="CO26" s="181" t="s">
        <v>1070</v>
      </c>
      <c r="CP26" s="181" t="s">
        <v>1070</v>
      </c>
      <c r="CQ26" s="185" t="s">
        <v>1070</v>
      </c>
      <c r="CR26" s="180" t="b">
        <v>0</v>
      </c>
      <c r="CS26" s="186" t="str">
        <f t="shared" ref="CS26:CS76" si="14">SWITCH(
    IF(OR(AND(CI26, CI25&lt;&gt;TRUE), CR26), 3, IF(ISTEXT(CS25), FIND("◇", CS25&amp;"◇") - 1, 0))
  - COUNTIFS({BZ26,CE26}, "=TRUE", {BZ25,CE25}, "&lt;&gt;TRUE")
  - COUNTIF({CN26,CQ26}, "&lt;&gt;-")
  + IF(COUNTIFS({BZ26,CE26}, "=TRUE", {BZ25,CE25}, "&lt;&gt;TRUE") + COUNTIF({CN26,CQ26}, "&lt;&gt;-"), COUNTIFS(CJ26, "=TRUE", CJ25, "&lt;&gt;TRUE"), 0),
  0, "◇◇◇", 1, "◆◇◇", 2, "◆◆◇", 3, "◆◆◆", "◇◇◇"
)</f>
        <v>◇◇◇</v>
      </c>
      <c r="CT26" s="178" t="b">
        <v>0</v>
      </c>
      <c r="CU26" s="180" t="b">
        <v>0</v>
      </c>
      <c r="CV26" s="180" t="b">
        <v>0</v>
      </c>
      <c r="CW26" s="180" t="b">
        <v>0</v>
      </c>
      <c r="CX26" s="180" t="b">
        <v>0</v>
      </c>
      <c r="CY26" s="180" t="b">
        <v>0</v>
      </c>
      <c r="CZ26" s="180" t="b">
        <v>0</v>
      </c>
      <c r="DA26" s="180" t="b">
        <v>0</v>
      </c>
      <c r="DB26" s="180" t="b">
        <v>0</v>
      </c>
      <c r="DC26" s="180" t="b">
        <v>0</v>
      </c>
      <c r="DD26" s="181" t="s">
        <v>1070</v>
      </c>
      <c r="DE26" s="181" t="s">
        <v>1070</v>
      </c>
      <c r="DF26" s="181" t="s">
        <v>1070</v>
      </c>
      <c r="DG26" s="185" t="s">
        <v>1070</v>
      </c>
      <c r="DH26" s="180" t="b">
        <v>0</v>
      </c>
      <c r="DI26" s="187" t="str">
        <f>IFERROR(__xludf.DUMMYFUNCTION("SWITCH(
  IF(
    ISTEXT(DI25),
    IF (
      FIND(""○"", DI25&amp;""○"") &gt; 3,
      3,
      FIND(""○"", DI25&amp;""○"")
      + MAX(
        ROUNDDOWN(($D26 - MAX(IFERROR(FILTER(D$24:D25, DI$24:DI25 &lt;&gt; ""●●●"", DI$23:DI24 = ""●●●""), 0))) * (60 * 60 * 24) / 20"&amp;") - ROUNDDOWN(($D25 - MAX(IFERROR(FILTER(D$23:D24, DI$23:DI24 &lt;&gt; ""●●●"", DI$22:DI24 = ""●●●""), 0))) * (60 * 60 * 24) / 20),
        0
      ) - 1
    ) - COUNTIFS(CU26, ""=TRUE"", CU25, ""&lt;&gt;TRUE"") - COUNTIF(CZ26, ""=TRUE"") - COUNTIF({DD26,DE26}, ""&lt;&gt;-"&amp;""") + COUNTIF(DH26, ""=TRUE""),
    3
  ),
  0, ""○○○"", 1, ""●○○"", 2, ""●●○"", 3, ""●●●"", 4, ""●●●"", ""○○○""
)"),"●●●")</f>
        <v>●●●</v>
      </c>
      <c r="DJ26" s="188" t="b">
        <v>0</v>
      </c>
      <c r="DK26" s="189" t="b">
        <v>0</v>
      </c>
      <c r="DL26" s="190" t="b">
        <v>0</v>
      </c>
      <c r="DM26" s="190" t="b">
        <v>0</v>
      </c>
      <c r="DN26" s="190" t="b">
        <v>0</v>
      </c>
      <c r="DO26" s="190" t="b">
        <v>0</v>
      </c>
      <c r="DP26" s="190" t="b">
        <v>0</v>
      </c>
      <c r="DQ26" s="191" t="b">
        <v>1</v>
      </c>
      <c r="DR26" s="192" t="b">
        <v>0</v>
      </c>
      <c r="DS26" s="191" t="b">
        <v>0</v>
      </c>
      <c r="DT26" s="192" t="b">
        <v>0</v>
      </c>
      <c r="DU26" s="191" t="b">
        <v>0</v>
      </c>
      <c r="DV26" s="193" t="s">
        <v>1070</v>
      </c>
      <c r="DW26" s="194" t="b">
        <v>0</v>
      </c>
      <c r="DX26" s="194" t="b">
        <v>0</v>
      </c>
      <c r="DY26" s="195" t="b">
        <v>0</v>
      </c>
      <c r="DZ26" s="196" t="b">
        <v>0</v>
      </c>
      <c r="EA26" s="195" t="b">
        <v>0</v>
      </c>
      <c r="EB26" s="197" t="b">
        <v>0</v>
      </c>
      <c r="EC26" s="197" t="b">
        <v>0</v>
      </c>
      <c r="ED26" s="198" t="b">
        <v>1</v>
      </c>
      <c r="EE26" s="199">
        <f>IFERROR(__xludf.DUMMYFUNCTION("IFERROR(
   PRODUCT(
     MAP(
       INDEX(TRANSPOSE(UNIQUE(TRANSPOSE(FILTER({IF($F26=""Physical"", K$10:ED$10, IF($F26=""Magic"", K$11:ED$11, K$12:ED$12));K$4:ED$4;K26:ED26}, K26:ED26=TRUE)))), 1, 0),
       INDEX(TRANSPOSE(UNIQUE(TRANSPOSE(FILTER({IF($"&amp;"F26=""Physical"", K$18:ED$18, IF($F26=""Magic"", K$19:ED$19, K$20:ED$20));K$4:ED$4;K26:ED26}, K26:ED26=TRUE)))), 1, 0),
       INDEX(TRANSPOSE(UNIQUE(TRANSPOSE(FILTER({K$5:ED$5;K$4:ED$4;K26:ED26}, K26:ED26=TRUE)))), 1, 0),
       INDEX(TRANSPOSE(UNIQUE(TR"&amp;"ANSPOSE(FILTER({K$17:ED$17;K$4:ED$4;K26:ED26}, K26:ED26=TRUE)))), 1, 0),
       LAMBDA(
         mitigation,
         enhance,
         assign,
         precondition,
         IF(
           REGEXMATCH(assign, ""RANGE_PARTY|SINGLE_ENEMY|RANGE_ENEMY""),
  "&amp;"         IF(
             OR(ARRAYFORMULA((IF(precondition="""", FALSE, REGEXMATCH(K$4:ED$4, precondition))) * (K26:ED26=TRUE))),
             IF(ISNUMBER(enhance), enhance, 1),
             IF(ISNUMBER(mitigation), mitigation, 1)
           ),
          "&amp;" 1
         )
       )
     )
   ),
   1
 )"),0.130815)</f>
        <v>0.130815</v>
      </c>
      <c r="EF26" s="200">
        <f>IFERROR(__xludf.DUMMYFUNCTION("PRODUCT(
   MAP(
     K$14:ED$14,
     K$13:ED$13,
     K26:ED26,
     LAMBDA(
       buff,
       target,
       check,
       IF(
         AND(check=TRUE, REGEXMATCH(target, ""RANGE_AFFECTED_ALL|RANGE_EFFECTED_ALL""), ISNUMBER(buff)),
         buff,
   "&amp;"      1
       )
     )
   )
 )"),1.0)</f>
        <v>1</v>
      </c>
      <c r="EG26" s="200">
        <f>IFERROR(__xludf.DUMMYFUNCTION("PRODUCT(
   MAP(
     K$14:ED$14,
     K$13:ED$13,
     K26:ED26,
     LAMBDA(
       buff,
       target,
       check,
       IF(
         AND(check=TRUE, REGEXMATCH(target, ""RANGE_AFFECTED_GCD|RANGE_EFFECTED_GCD""), ISNUMBER(buff)),
         buff,
   "&amp;"      1
       )
     )
   )
 )"),1.0)</f>
        <v>1</v>
      </c>
      <c r="EH26" s="200">
        <f>IFERROR(__xludf.DUMMYFUNCTION("PRODUCT(
   MAP(
     K$3:ED$3,
     K$14:ED$14,
     K$13:ED$13,
     K26:ED26,
     LAMBDA(
       job,
       buff,
       target,
       check,
       IF(
         AND(check=TRUE, REGEXMATCH(target, ""SELF_EFFECTED_ALL""), ISNUMBER(buff), job=""白魔道士"""&amp;"),
         buff,
         1
       )
     )
   )
 )"),1.0)</f>
        <v>1</v>
      </c>
      <c r="EI26" s="200">
        <f>IFERROR(__xludf.DUMMYFUNCTION("PRODUCT(
   MAP(
     K$3:ED$3,
     K$14:ED$14,
     K$13:ED$13,
     K26:ED26,
     LAMBDA(
       job,
       buff,
       target,
       check,
       IF(
         AND(check=TRUE, REGEXMATCH(target, ""SELF_EFFECTED_GCD""), ISNUMBER(buff), job=""白魔道士"""&amp;"),
         buff,
         1
       )
     )
   )
 )"),1.0)</f>
        <v>1</v>
      </c>
      <c r="EJ26" s="200">
        <f>IFERROR(__xludf.DUMMYFUNCTION("PRODUCT(
   MAP(
     K$3:ED$3,
     K$14:ED$14,
     K$13:ED$13,
     K26:ED26,
     LAMBDA(
       job,
       buff,
       target,
       check,
       IF(
         AND(check=TRUE, REGEXMATCH(target, ""SELF_EFFECTED_ALL""), ISNUMBER(buff), job=""占星術師"""&amp;"),
         buff,
         1
       )
     )
   )
 )"),1.0)</f>
        <v>1</v>
      </c>
      <c r="EK26" s="200">
        <f>IFERROR(__xludf.DUMMYFUNCTION("PRODUCT(
   MAP(
     K$3:ED$3,
     K$14:ED$14,
     K$13:ED$13,
     K26:ED26,
     LAMBDA(
       job,
       buff,
       target,
       check,
       IF(
         AND(check=TRUE, REGEXMATCH(target, ""SELF_EFFECTED_GCD""), ISNUMBER(buff), job=""占星術師"""&amp;"),
         buff,
         1
       )
     )
   )
 )"),1.0)</f>
        <v>1</v>
      </c>
      <c r="EL26" s="200">
        <f>IFERROR(__xludf.DUMMYFUNCTION("PRODUCT(
   MAP(
     K$3:ED$3,
     K$14:ED$14,
     K$13:ED$13,
     K26:ED26,
     LAMBDA(
       job,
       buff,
       target,
       check,
       IF(
         AND(check=TRUE, REGEXMATCH(target, ""SELF_EFFECTED_ALL""), ISNUMBER(buff), job=""学者""),"&amp;"
         buff,
         1
       )
     )
   )
 )"),1.0)</f>
        <v>1</v>
      </c>
      <c r="EM26" s="200">
        <f>IFERROR(__xludf.DUMMYFUNCTION("PRODUCT(
   MAP(
     K$3:ED$3,
     K$14:ED$14,
     K$13:ED$13,
     K26:ED26,
     LAMBDA(
       job,
       buff,
       target,
       check,
       IF(
         AND(check=TRUE, REGEXMATCH(target, ""SELF_EFFECTED_GCD""), ISNUMBER(buff), job=""学者""),"&amp;"
         buff,
         1
       )
     )
   )
 )"),1.0)</f>
        <v>1</v>
      </c>
      <c r="EN26" s="200">
        <f>IFERROR(__xludf.DUMMYFUNCTION("PRODUCT(
   MAP(
     K$3:ED$3,
     K$14:ED$14,
     K$13:ED$13,
     K26:ED26,
     LAMBDA(
       job,
       buff,
       target,
       check,
       IF(
         AND(check=TRUE, REGEXMATCH(target, ""SELF_EFFECTED_ALL""), ISNUMBER(buff), job=""賢者""),"&amp;"
         buff,
         1
       )
     )
   )
 )"),1.0)</f>
        <v>1</v>
      </c>
      <c r="EO26" s="200">
        <f>IFERROR(__xludf.DUMMYFUNCTION("PRODUCT(
   MAP(
     K$3:ED$3,
     K$14:ED$14,
     K$13:ED$13,
     K26:ED26,
     LAMBDA(
       job,
       buff,
       target,
       check,
       IF(
         AND(check=TRUE, REGEXMATCH(target, ""SELF_EFFECTED_GCD""), ISNUMBER(buff), job=""賢者""),"&amp;"
         buff,
         1
       )
     )
   )
 )"),1.0)</f>
        <v>1</v>
      </c>
      <c r="EP26" s="201">
        <f t="shared" si="3"/>
        <v>1569.78</v>
      </c>
      <c r="EQ26" s="201">
        <f>IFERROR(__xludf.DUMMYFUNCTION("SUM(
   MAP(
     K$4:ED$4,
     K$3:ED$3,
     K$7:ED$7,
     K$15:ED$15,
     K$16:ED$16,
     K$21:ED$21,
     K$5:ED$5,
     K$17:ED$17,
     K26:ED26,
     LAMBDA(
       name,
       job,
       abillity,
       buff,
       barrier,
       enhance,"&amp;"
       assign,
       precondition,
       check,
       SWITCH(
         name,
         ""シェイクオフ"", IF(check=TRUE, buff + (0.02 * COUNTIF(ARRAYFORMULA((REGEXMATCH($K$4:$ED$4, ""スリル・オブ・バトル|ヴェンジェンス|原初の血気|ダムネーション"")) * (K26:ED26=TRUE)), 1)), 0),
         "&amp;"""インプロビゼーションフィニッシュ(踊りの激情0)"", IF(ISNUMBER(check), INDEX(Skill!$AJ:$AJ, MATCH(SUBSTITUTE(DV$4, 0, check), Skill!$C:$C, 0)), 0),
         IF(
           AND(check=TRUE, REGEXMATCH(assign, ""RANGE_PARTY"")),
           IF(
             OR(ARRAYFORMULA((IF(pr"&amp;"econdition="""", FALSE, REGEXMATCH($K$4:$ED$4, precondition))) * (K26:ED26=TRUE))),
             enhance,
             IF(barrier="""", buff, barrier)
           ),
           0
         )
       ) *
       SWITCH(
         job,
         ""ナイト"", EY$24,
 "&amp;"        ""戦士"", FD$24,
         ""踊り子"", ET$24,
         ""ピクトマンサー"", ET$24,
         ""白魔道士"", EF26 * EH26 * IF(abillity, 1, EG26 * EI26) * (Option!$D$22 * 0.81 / 100),
         ""占星術師"", EF26 * EJ26 * IF(abillity, 1, EG26 * EK26) * (Option!$D$23 * 0.81 "&amp;"/ 100),
         ""学者"", EF26 * EL26 * IF(abillity, 1, EG26 * EM26) * (Option!$D$24 * 0.81 / 100),
         ""賢者"", EF26 * EN26 * IF(abillity, 1, EG26 * EO26) * (Option!$D$25 * 0.81 / 100),
         1
       )
     )
   )
 )"),0.0)</f>
        <v>0</v>
      </c>
      <c r="ER26" s="202">
        <f t="shared" si="4"/>
        <v>1569.78</v>
      </c>
      <c r="ES26" s="203">
        <f t="shared" si="5"/>
        <v>0</v>
      </c>
      <c r="ET26" s="231" t="str">
        <f>IFERROR(__xludf.DUMMYFUNCTION("IFS(
  EP26 &gt; $ET$24 + EQ26,
  SPARKLINE({ 1, 0 }, {""charttype"",""bar"";""max"", 1;""color1"",Option!$D$30;""color2"",Option!$D$30}),
  EP26 &lt; EQ26,
  SPARKLINE({EQ26 - EP26, $ET$24 - (EQ26 - EP26)}, {""charttype"",""bar"";""max"",$ET$24;""color1"",Opti"&amp;"on!$D$28;""color2"",Option!$D$29}),
  EP26 &gt;= EQ26,
  SPARKLINE({$ET$24 + EQ26 - EP26,EP26 - EQ26}, {""charttype"",""bar"";""max"",$ET$24;""color1"",Option!$D$29;""color2"",Option!$D$30})
)"),"")</f>
        <v/>
      </c>
      <c r="EU26" s="205">
        <f>IFERROR(__xludf.DUMMYFUNCTION("PRODUCT(
   MAP(
     IF($F26=""Physical"", K$10:ED$10, IF($F26=""Magic"", K$11:ED$11, K$12:ED$12)),
     IF($F26=""Physical"", K$18:ED$18, IF($F26=""Magic"", K$19:ED$19, K$20:ED$20)),
     K$3:ED$3,
     K$5:ED$5,
     K$17:ED$17,
     K26:ED26,
     LAM"&amp;"BDA(
       mitigation,
       enhance,
       job,
       assign,
       precondition,
       check,
       IF(
         OR(AND(check=TRUE, REGEXMATCH(assign, ""SELF""), job=""ナイト""), AND(check=Option!$E$13, REGEXMATCH(assign, ""SINGLE_PARTY""))),
      "&amp;"   IF(
           OR(ARRAYFORMULA((IF(precondition="""", FALSE, REGEXMATCH($K$4:$ED$4, precondition))) * (K26:ED26=TRUE))),
           enhance,
           mitigation
         ),
         1
       )
     )
   )
 ) * EE26"),0.130815)</f>
        <v>0.130815</v>
      </c>
      <c r="EV26" s="206">
        <f t="shared" si="6"/>
        <v>1255.824</v>
      </c>
      <c r="EW26" s="205">
        <f>IFERROR(__xludf.DUMMYFUNCTION("PRODUCT(
   MAP(
     K$3:ED$3,
     K$14:ED$14,
     K$13:ED$13,
     K26:ED26,
     LAMBDA(
       job,
       buff,
       target,
       check,
       IF(
         OR(AND(check=TRUE, REGEXMATCH(target, ""SELF_AFFECTED_ALL""), job=""ナイト""), AND(check=O"&amp;"ption!$E$13, REGEXMATCH(target, ""SINGLE_AFFECTED_ALL""))),
         buff,
         1
       )
     )
   )
 )"),1.0)</f>
        <v>1</v>
      </c>
      <c r="EX26" s="206">
        <f>IFERROR(__xludf.DUMMYFUNCTION("SUM(
   MAP(
     K$3:ED$3,
     K$7:ED$7,
     K$15:ED$15,
     K$16:ED$16,
     K$21:ED$21,
     K$5:ED$5,
     K$17:ED$17,
     K26:ED26,
     LAMBDA(
       job,
       abillity,
       buff,
       barrier,
       enhance,
       assign,
       preco"&amp;"ndition,
       check,
       IF(
         OR(AND(check=TRUE, REGEXMATCH(assign, ""SELF""), job=""ナイト""), AND(check=Option!$E$13, REGEXMATCH(assign, ""SINGLE_PARTY""))),
         IF(
           OR(ARRAYFORMULA((IF(precondition="""", FALSE, REGEXMATCH($K$4"&amp;":$ED$4, precondition))) * (K26:ED26=TRUE))),
           enhance,
           IF(barrier="""", buff, barrier)
         ),
         0
       ) *
       SWITCH(
         job,
         ""暗黒騎士"", EY$24,
         ""白魔道士"", EF26 * EH26 * EW26 * IF(abillity, 1, EG"&amp;"26 * EI26) * (Option!$D$22 * 0.81 / 100),
         ""占星術師"", EF26 * EJ26 * EW26 * IF(abillity, 1, EG26 * EK26) * (Option!$D$23 * 0.81 / 100),
         ""学者"", EF26 * EL26 * EW26 * IF(abillity, 1, EG26 * EM26) * (Option!$D$24 * 0.81 / 100),
         ""賢者"""&amp;", EF26 * EN26 * EW26 * IF(abillity, 1, EG26 * EO26) * (Option!$D$25 * 0.81 / 100),
         1
       )
     )
   )
 ) + EQ26"),0.0)</f>
        <v>0</v>
      </c>
      <c r="EY26" s="232">
        <f t="shared" si="7"/>
        <v>1255.824</v>
      </c>
      <c r="EZ26" s="205">
        <f>IFERROR(__xludf.DUMMYFUNCTION("PRODUCT(
   MAP(
     IF($F26=""Physical"", K$10:ED$10, IF($F26=""Magic"", K$11:ED$11, K$12:ED$12)),
     IF($F26=""Physical"", K$18:ED$18, IF($F26=""Magic"", K$19:ED$19, K$20:ED$20)),
     K$3:ED$3,
     K$5:ED$5,
     K$17:ED$17,
     K26:ED26,
     LAM"&amp;"BDA(
       mitigation,
       enhance,
       job,
       assign,
       precondition,
       check,
       IF(
         OR(AND(check=TRUE, REGEXMATCH(assign, ""SELF""), job=""戦士""), AND(check=Option!$F$13, REGEXMATCH(assign, ""SINGLE_PARTY""))),
       "&amp;"  IF(
           OR(ARRAYFORMULA((IF(precondition="""", FALSE, REGEXMATCH($K$4:$ED$4, precondition))) * (K26:ED26=TRUE))),
           enhance,
           mitigation
         ),
         1
       )
     )
   )
 ) * EE26"),0.130815)</f>
        <v>0.130815</v>
      </c>
      <c r="FA26" s="206">
        <f t="shared" si="8"/>
        <v>1255.824</v>
      </c>
      <c r="FB26" s="205">
        <f>IFERROR(__xludf.DUMMYFUNCTION("PRODUCT(
   MAP(
     K$3:ED$3,
     K$14:ED$14,
     K$13:ED$13,
     K26:ED26,
     LAMBDA(
       job,
       buff,
       target,
       check,
       IF(
         OR(AND(check=TRUE, REGEXMATCH(target, ""SELF_AFFECTED_ALL""), job=""戦士""), AND(check=Op"&amp;"tion!$F$13, REGEXMATCH(target, ""SINGLE_AFFECTED_ALL""))),
         buff,
         1
       )
     )
   )
 )"),1.0)</f>
        <v>1</v>
      </c>
      <c r="FC26" s="206">
        <f>IFERROR(__xludf.DUMMYFUNCTION("SUM(
   MAP(
     K$3:ED$3,
     K$7:ED$7,
     K$15:ED$15,
     K$16:ED$16,
     K$21:ED$21,
     K$5:ED$5,
     K$17:ED$17,
     K26:ED26,
     LAMBDA(
       job,
       abillity,
       buff,
       barrier,
       enhance,
       assign,
       preco"&amp;"ndition,
       check,
       IF(
         OR(AND(check=TRUE, REGEXMATCH(assign, ""SELF""), job=""戦士""), AND(check=Option!$F$13, REGEXMATCH(assign, ""SINGLE_PARTY""))),
         IF(
           OR(ARRAYFORMULA((IF(precondition="""", FALSE, REGEXMATCH($K$4:"&amp;"$ED$4, precondition))) * (K26:ED26=TRUE))),
           enhance,
           IF(barrier="""", buff, barrier)
         ),
         0
       ) *
       SWITCH(
         job,
         ""暗黒騎士"", FD$24,
         ""白魔道士"", EF26 * EH26 * FB26 * IF(abillity, 1, EG2"&amp;"6 * EI26) * (Option!$D$22 * 0.81 / 100),
         ""占星術師"", EF26 * EJ26 * FFB26 * IF(abillity, 1, EG26 * EK26) * (Option!$D$23 * 0.81 / 100),
         ""学者"", EF26 * EL26 * FB26 * IF(abillity, 1, EG26 * EM26) * (Option!$D$24 * 0.81 / 100),
         ""賢者"""&amp;", EF26 * EN26 * FB26 * IF(abillity, 1, EG26 * EO26) * (Option!$D$25 * 0.81 / 100),
         1
       )
     )
   )
 ) + EQ26"),0.0)</f>
        <v>0</v>
      </c>
      <c r="FD26" s="206">
        <f t="shared" si="9"/>
        <v>1255.824</v>
      </c>
      <c r="FE26" s="205">
        <f>IFERROR(__xludf.DUMMYFUNCTION("PRODUCT(
   MAP(
     IF($F26=""Physical"", K$10:ED$10, IF($F26=""Magic"", K$11:ED$11, K$12:ED$12)),
     IF($F26=""Physical"", K$18:ED$18, IF($F26=""Magic"", K$19:ED$19, K$20:ED$20)),
     K$3:ED$3,
     K$5:ED$5,
     K$17:ED$17,
     K26:ED26,
     LAM"&amp;"BDA(
       mitigation,
       enhance,
       job,
       assign,
       precondition,
       check,
       IF(
         OR(AND(check=TRUE, REGEXMATCH(assign, ""SELF""), job=""暗黒騎士""), AND(check=Option!$G$13, REGEXMATCH(assign, ""SINGLE_PARTY""))),
     "&amp;"    IF(
           OR(ARRAYFORMULA((IF(precondition="""", FALSE, REGEXMATCH($K$4:$ED$4, precondition))) * (K26:ED26=TRUE))),
           enhance,
           mitigation
         ),
         1
       )
     )
   )
 ) * EE26"),0.130815)</f>
        <v>0.130815</v>
      </c>
      <c r="FF26" s="206">
        <f t="shared" si="10"/>
        <v>1255.824</v>
      </c>
      <c r="FG26" s="205">
        <f>IFERROR(__xludf.DUMMYFUNCTION("PRODUCT(
   MAP(
     K$3:ED$3,
     K$14:ED$14,
     K$13:ED$13,
     K26:ED26,
     LAMBDA(
       job,
       buff,
       target,
       check,
       IF(
         OR(AND(check=TRUE, REGEXMATCH(target, ""SELF_AFFECTED_ALL""), job=""暗黒騎士""), AND(check="&amp;"Option!$G$13, REGEXMATCH(target, ""SINGLE_AFFECTED_ALL""))),
         buff,
         1
       )
     )
   )
 )"),1.0)</f>
        <v>1</v>
      </c>
      <c r="FH26" s="206">
        <f>IFERROR(__xludf.DUMMYFUNCTION("SUM(
   MAP(
     K$3:ED$3,
     K$7:ED$7,
     K$15:ED$15,
     K$16:ED$16,
     K$21:ED$21,
     K$5:ED$5,
     K$17:ED$17,
     K26:ED26,
     LAMBDA(
       job,
       abillity,
       buff,
       barrier,
       enhance,
       assign,
       preco"&amp;"ndition,
       check,
       IF(
         OR(AND(check=TRUE, REGEXMATCH(assign, ""SELF""), job=""暗黒騎士""), AND(check=Option!$G$13, REGEXMATCH(assign, ""SINGLE_PARTY""))),
         IF(
           OR(ARRAYFORMULA((IF(precondition="""", FALSE, REGEXMATCH($K$"&amp;"4:$ED$4, precondition))) * (K26:ED26=TRUE))),
           enhance,
           IF(barrier="""", buff, barrier)
         ),
         0
       ) *
       SWITCH(
         job,
         ""暗黒騎士"", FI$24,
         ""白魔道士"", EF26 * EH26 * FG26 * IF(abillity, 1, E"&amp;"G26 * EI26) * (Option!$D$22 * 0.81 / 100),
         ""占星術師"", EF26 * EJ26 * FG26 * IF(abillity, 1, EG26 * EK26) * (Option!$D$23 * 0.81 / 100),
         ""学者"", EF26 * EL26 * FG26 * IF(abillity, 1, EG26 * EM26) * (Option!$D$24 * 0.81 / 100),
         ""賢者"&amp;""", EF26 * EN26 * FG26 * IF(abillity, 1, EG26 * EO26) * (Option!$D$25 * 0.81 / 100),
         1
       )
     )
   )
 ) + EQ26"),0.0)</f>
        <v>0</v>
      </c>
      <c r="FI26" s="206">
        <f t="shared" si="11"/>
        <v>1255.824</v>
      </c>
      <c r="FJ26" s="205">
        <f>IFERROR(__xludf.DUMMYFUNCTION("PRODUCT(
   MAP(
     IF($F26=""Physical"", K$10:ED$10, IF($F26=""Magic"", K$11:ED$11, K$12:ED$12)),
     IF($F26=""Physical"", K$18:ED$18, IF($F26=""Magic"", K$19:ED$19, K$20:ED$20)),
     K$3:ED$3,
     K$5:ED$5,
     K$17:ED$17,
     K26:ED26,
     LAM"&amp;"BDA(
       mitigation,
       enhance,
       job,
       assign,
       precondition,
       check,
       IF(
         OR(AND(check=TRUE, REGEXMATCH(assign, ""SELF""), job=""ガンブレイカー""), AND(check=Option!$H$13, REGEXMATCH(assign, ""SINGLE_PARTY""))),
  "&amp;"       IF(
           OR(ARRAYFORMULA((IF(precondition="""", FALSE, REGEXMATCH($K$4:$ED$4, precondition))) * (K26:ED26=TRUE))),
           enhance,
           mitigation
         ),
         1
       )
     )
   )
 ) * EE26"),0.130815)</f>
        <v>0.130815</v>
      </c>
      <c r="FK26" s="206">
        <f t="shared" si="12"/>
        <v>1255.824</v>
      </c>
      <c r="FL26" s="205">
        <f>IFERROR(__xludf.DUMMYFUNCTION("PRODUCT(
   MAP(
     K$3:ED$3,
     K$14:ED$14,
     K$13:ED$13,
     K26:ED26,
     LAMBDA(
       job,
       buff,
       target,
       check,
       IF(
         OR(AND(check=TRUE, REGEXMATCH(target, ""SELF_AFFECTED_ALL""), job=""ガンブレイカー""), AND(che"&amp;"ck=Option!$H$13, REGEXMATCH(target, ""SINGLE_AFFECTED_ALL""))),
         buff,
         1
       )
     )
   )
 )"),1.0)</f>
        <v>1</v>
      </c>
      <c r="FM26" s="206">
        <f>IFERROR(__xludf.DUMMYFUNCTION("SUM(
   MAP(
     K$3:ED$3,
     K$7:ED$7,
     K$15:ED$15,
     K$16:ED$16,
     K$21:ED$21,
     K$5:ED$5,
     K$17:ED$17,
     K26:ED26,
     LAMBDA(
       job,
       abillity,
       buff,
       barrier,
       enhance,
       assign,
       preco"&amp;"ndition,
       check,
       IF(
         OR(AND(check=TRUE, REGEXMATCH(assign, ""SELF""), job=""ガンブレイカー""), AND(check=Option!$H$13, REGEXMATCH(assign, ""SINGLE_PARTY""))),
         IF(
           OR(ARRAYFORMULA((IF(precondition="""", FALSE, REGEXMATCH("&amp;"$K$4:$ED$4, precondition))) * (K26:ED26=TRUE))),
           enhance,
           IF(barrier="""", buff, barrier)
         ),
         0
       ) *
       SWITCH(
         job,
         ""暗黒騎士"", FN$24,
         ""白魔道士"", EF26 * EH26 * FL26 * IF(abillity, 1"&amp;", EG26 * EI26) * (Option!$D$22 * 0.81 / 100),
         ""占星術師"", EF26 * EJ26 * FL26 * IF(abillity, 1, EG26 * EK26) * (Option!$D$23 * 0.81 / 100),
         ""学者"", EF26 * EL26 * FL26 * IF(abillity, 1, EG26 * EM26) * (Option!$D$24 * 0.81 / 100),
         """&amp;"賢者"", EF26 * EN26 * FL26 * IF(abillity, 1, EG26 * EO26) * (Option!$D$25 * 0.81 / 100),
         1
       )
     )
   )
 ) + EQ26"),0.0)</f>
        <v>0</v>
      </c>
      <c r="FN26" s="206">
        <f t="shared" si="13"/>
        <v>1255.824</v>
      </c>
      <c r="FO26" s="213"/>
    </row>
    <row r="27">
      <c r="B27" s="229"/>
      <c r="C27" s="217">
        <f t="shared" si="1"/>
        <v>0.001805555556</v>
      </c>
      <c r="D27" s="233">
        <v>1.0416666666666667E-4</v>
      </c>
      <c r="E27" s="219" t="s">
        <v>1086</v>
      </c>
      <c r="F27" s="167" t="s">
        <v>11</v>
      </c>
      <c r="G27" s="168" t="str">
        <f t="shared" si="2"/>
        <v/>
      </c>
      <c r="H27" s="169">
        <v>12000.0</v>
      </c>
      <c r="I27" s="169"/>
      <c r="J27" s="169"/>
      <c r="K27" s="170" t="b">
        <v>0</v>
      </c>
      <c r="L27" s="170" t="b">
        <v>0</v>
      </c>
      <c r="M27" s="170" t="b">
        <v>0</v>
      </c>
      <c r="N27" s="171" t="s">
        <v>1070</v>
      </c>
      <c r="O27" s="172" t="b">
        <v>0</v>
      </c>
      <c r="P27" s="173" t="b">
        <v>0</v>
      </c>
      <c r="Q27" s="173" t="b">
        <v>0</v>
      </c>
      <c r="R27" s="173" t="b">
        <v>0</v>
      </c>
      <c r="S27" s="174" t="b">
        <v>0</v>
      </c>
      <c r="T27" s="175" t="b">
        <v>0</v>
      </c>
      <c r="U27" s="173" t="b">
        <v>0</v>
      </c>
      <c r="V27" s="171" t="s">
        <v>1070</v>
      </c>
      <c r="W27" s="172" t="b">
        <v>0</v>
      </c>
      <c r="X27" s="173" t="b">
        <v>0</v>
      </c>
      <c r="Y27" s="173" t="b">
        <v>0</v>
      </c>
      <c r="Z27" s="173" t="b">
        <v>0</v>
      </c>
      <c r="AA27" s="174" t="b">
        <v>0</v>
      </c>
      <c r="AB27" s="174" t="b">
        <v>0</v>
      </c>
      <c r="AC27" s="175" t="b">
        <v>0</v>
      </c>
      <c r="AD27" s="173" t="b">
        <v>1</v>
      </c>
      <c r="AE27" s="176" t="s">
        <v>1070</v>
      </c>
      <c r="AF27" s="171" t="s">
        <v>1070</v>
      </c>
      <c r="AG27" s="177">
        <f>IFERROR(__xludf.DUMMYFUNCTION("IF(
  ISNUMBER(AG26),
  MIN(MAX(
    AG26
    + MAX(
      ROUNDDOWN(($D27 - MAX(IFERROR(FILTER($D$24:$D26, AG$24:AG26 &lt;&gt; AF$6, AG$23:AG25 = AF$6), 0))) * (60 * 60 * 24) / AF$9) - ROUNDDOWN(($D26 - MAX(IFERROR(FILTER($D$23:$D25, AG$23:AG25 &lt;&gt; AF$6, AG$22:"&amp;"AG24 = AF$6), 0))) * (60 * 60 * 24) / 60),
      0
    )
    - COUNTIF(AF27, ""&lt;&gt;-""),
  0), AF$6),
  AF$6 - COUNTIF(AF27, ""&lt;&gt;-"")
)"),2.0)</f>
        <v>2</v>
      </c>
      <c r="AH27" s="173" t="b">
        <v>0</v>
      </c>
      <c r="AI27" s="173" t="b">
        <v>0</v>
      </c>
      <c r="AJ27" s="173" t="b">
        <v>0</v>
      </c>
      <c r="AK27" s="174" t="b">
        <v>0</v>
      </c>
      <c r="AL27" s="175" t="b">
        <v>0</v>
      </c>
      <c r="AM27" s="173" t="b">
        <v>0</v>
      </c>
      <c r="AN27" s="171" t="s">
        <v>1070</v>
      </c>
      <c r="AO27" s="173" t="b">
        <v>0</v>
      </c>
      <c r="AP27" s="173" t="b">
        <v>0</v>
      </c>
      <c r="AQ27" s="173" t="b">
        <v>0</v>
      </c>
      <c r="AR27" s="174" t="b">
        <v>0</v>
      </c>
      <c r="AS27" s="178" t="b">
        <v>0</v>
      </c>
      <c r="AT27" s="179" t="b">
        <v>0</v>
      </c>
      <c r="AU27" s="180" t="b">
        <v>0</v>
      </c>
      <c r="AV27" s="180" t="b">
        <v>0</v>
      </c>
      <c r="AW27" s="180" t="b">
        <v>0</v>
      </c>
      <c r="AX27" s="180" t="b">
        <v>0</v>
      </c>
      <c r="AY27" s="181" t="s">
        <v>1070</v>
      </c>
      <c r="AZ27" s="181" t="s">
        <v>1070</v>
      </c>
      <c r="BA27" s="184">
        <f>IFERROR(__xludf.DUMMYFUNCTION("IF(
  ISNUMBER(BA26),
  MIN(MAX(
    BA26
    + MAX(
      ROUNDDOWN((D27 - MAX(IFERROR(FILTER(D$24:D26, BA$24:BA26 &lt;&gt; AZ$6, BA$23:BA25 = AZ$6), 0))) * (60 * 60 * 24) / AZ$9) - ROUNDDOWN((D26 - MAX(IFERROR(FILTER(D$23:D25, BA$23:BA25 &lt;&gt; AZ$6, BA$22:BA24 ="&amp;" AZ$6), 0))) * (60 * 60 * 24) / AZ$9),
      0
    )
    - COUNTIF(AZ27, ""&lt;&gt;-""),
  0), AZ$6),
  AZ$6 - COUNTIF(AZ27, ""&lt;&gt;-"")
)"),2.0)</f>
        <v>2</v>
      </c>
      <c r="BB27" s="181" t="s">
        <v>1070</v>
      </c>
      <c r="BC27" s="183">
        <f>IFERROR(__xludf.DUMMYFUNCTION("IF(
  ISNUMBER(BC26),
  MIN(MAX(
    BC26
    + MAX(
      ROUNDDOWN(($D27 - MAX(IFERROR(FILTER($D$24:$D26, BC$24:BC26 &lt;&gt; BB$6, BC$23:BC25 = BB$6), 0))) * (60 * 60 * 24) / BB$9) - ROUNDDOWN(($D26 - MAX(IFERROR(FILTER($D$23:$D25, BC$23:BC25 &lt;&gt; BB$6, BC$22:"&amp;"BC24 = BB$6), 0))) * (60 * 60 * 24) / 60),
      0
    )
    - COUNTIF(BB27, ""&lt;&gt;-""),
  0), BB$6),
  BB$6 - COUNTIF(BB27, ""&lt;&gt;-"")
)"),2.0)</f>
        <v>2</v>
      </c>
      <c r="BD27" s="181" t="s">
        <v>1070</v>
      </c>
      <c r="BE27" s="178" t="b">
        <v>1</v>
      </c>
      <c r="BF27" s="180" t="b">
        <v>0</v>
      </c>
      <c r="BG27" s="180" t="b">
        <v>0</v>
      </c>
      <c r="BH27" s="180" t="b">
        <v>0</v>
      </c>
      <c r="BI27" s="180" t="b">
        <v>0</v>
      </c>
      <c r="BJ27" s="180" t="b">
        <v>0</v>
      </c>
      <c r="BK27" s="180" t="b">
        <v>0</v>
      </c>
      <c r="BL27" s="180" t="b">
        <v>0</v>
      </c>
      <c r="BM27" s="180" t="b">
        <v>0</v>
      </c>
      <c r="BN27" s="180" t="b">
        <v>0</v>
      </c>
      <c r="BO27" s="181" t="s">
        <v>1070</v>
      </c>
      <c r="BP27" s="181" t="s">
        <v>1070</v>
      </c>
      <c r="BQ27" s="181" t="s">
        <v>1070</v>
      </c>
      <c r="BR27" s="181" t="s">
        <v>1070</v>
      </c>
      <c r="BS27" s="181" t="s">
        <v>1070</v>
      </c>
      <c r="BT27" s="184">
        <f>IFERROR(__xludf.DUMMYFUNCTION("IF(
  ISNUMBER(BT26),
  MIN(MAX(
    BT26
    + MAX(
      ROUNDDOWN((D27 - MAX(IFERROR(FILTER(D$24:D26, BT$24:BT26 &lt;&gt; BS$6, BT$23:BT25 = BS$6), 0))) * (60 * 60 * 24) / BS$9) - ROUNDDOWN((D26 - MAX(IFERROR(FILTER(D$23:D25, BT$23:BT25 &lt;&gt; BS$6, BT$22:BT24 ="&amp;" BS$6), 0))) * (60 * 60 * 24) / BS$9),
      0
    )
    - COUNTIF(BS27, ""&lt;&gt;-""),
  0), BS$6),
  BS$6 - COUNTIF(BS27, ""&lt;&gt;-"")
)"),3.0)</f>
        <v>3</v>
      </c>
      <c r="BU27" s="181" t="s">
        <v>1070</v>
      </c>
      <c r="BV27" s="181" t="s">
        <v>1070</v>
      </c>
      <c r="BW27" s="184">
        <f>IFERROR(__xludf.DUMMYFUNCTION("IF(
  ISNUMBER(BW26),
  MIN(MAX(
    BW26
    + MAX(
      ROUNDDOWN((D27 - MAX(IFERROR(FILTER(D$24:D26, BW$24:BW26 &lt;&gt; BV$6, BW$23:BW25 = BV$6), 0))) * (60 * 60 * 24) / BV$9) - ROUNDDOWN((D26 - MAX(IFERROR(FILTER(D$23:D25, BW$23:BW25 &lt;&gt; BV$6, BW$22:BW24 ="&amp;" BV$6), 0))) * (60 * 60 * 24) / BV$9),
      0
    )
    - COUNTIF(BV27, ""&lt;&gt;-""),
  0), BV$6),
  BV$6 - COUNTIF(BV27, ""&lt;&gt;-"")
)"),2.0)</f>
        <v>2</v>
      </c>
      <c r="BX27" s="185" t="s">
        <v>1070</v>
      </c>
      <c r="BY27" s="178" t="b">
        <v>0</v>
      </c>
      <c r="BZ27" s="180" t="b">
        <v>1</v>
      </c>
      <c r="CA27" s="180" t="b">
        <v>0</v>
      </c>
      <c r="CB27" s="180" t="b">
        <v>0</v>
      </c>
      <c r="CC27" s="180" t="b">
        <v>0</v>
      </c>
      <c r="CD27" s="180" t="b">
        <v>0</v>
      </c>
      <c r="CE27" s="180" t="b">
        <v>0</v>
      </c>
      <c r="CF27" s="180" t="b">
        <v>0</v>
      </c>
      <c r="CG27" s="180" t="b">
        <v>0</v>
      </c>
      <c r="CH27" s="180" t="b">
        <v>0</v>
      </c>
      <c r="CI27" s="180" t="b">
        <v>0</v>
      </c>
      <c r="CJ27" s="180" t="b">
        <v>0</v>
      </c>
      <c r="CK27" s="180" t="b">
        <v>0</v>
      </c>
      <c r="CL27" s="180" t="b">
        <v>0</v>
      </c>
      <c r="CM27" s="181" t="s">
        <v>1070</v>
      </c>
      <c r="CN27" s="181" t="s">
        <v>1070</v>
      </c>
      <c r="CO27" s="181" t="s">
        <v>1070</v>
      </c>
      <c r="CP27" s="181" t="s">
        <v>1070</v>
      </c>
      <c r="CQ27" s="185" t="s">
        <v>1070</v>
      </c>
      <c r="CR27" s="180" t="b">
        <v>0</v>
      </c>
      <c r="CS27" s="186" t="str">
        <f t="shared" si="14"/>
        <v>◇◇◇</v>
      </c>
      <c r="CT27" s="178" t="b">
        <v>0</v>
      </c>
      <c r="CU27" s="180" t="b">
        <v>0</v>
      </c>
      <c r="CV27" s="180" t="b">
        <v>0</v>
      </c>
      <c r="CW27" s="180" t="b">
        <v>0</v>
      </c>
      <c r="CX27" s="180" t="b">
        <v>0</v>
      </c>
      <c r="CY27" s="180" t="b">
        <v>0</v>
      </c>
      <c r="CZ27" s="180" t="b">
        <v>0</v>
      </c>
      <c r="DA27" s="180" t="b">
        <v>0</v>
      </c>
      <c r="DB27" s="180" t="b">
        <v>0</v>
      </c>
      <c r="DC27" s="180" t="b">
        <v>0</v>
      </c>
      <c r="DD27" s="181" t="s">
        <v>1070</v>
      </c>
      <c r="DE27" s="181" t="s">
        <v>1070</v>
      </c>
      <c r="DF27" s="181" t="s">
        <v>1070</v>
      </c>
      <c r="DG27" s="185" t="s">
        <v>1070</v>
      </c>
      <c r="DH27" s="180" t="b">
        <v>0</v>
      </c>
      <c r="DI27" s="187" t="str">
        <f>IFERROR(__xludf.DUMMYFUNCTION("SWITCH(
  IF(
    ISTEXT(DI26),
    IF (
      FIND(""○"", DI26&amp;""○"") &gt; 3,
      3,
      FIND(""○"", DI26&amp;""○"")
      + MAX(
        ROUNDDOWN(($D27 - MAX(IFERROR(FILTER(D$24:D26, DI$24:DI26 &lt;&gt; ""●●●"", DI$23:DI25 = ""●●●""), 0))) * (60 * 60 * 24) / 20"&amp;") - ROUNDDOWN(($D26 - MAX(IFERROR(FILTER(D$23:D25, DI$23:DI25 &lt;&gt; ""●●●"", DI$22:DI24 = ""●●●""), 0))) * (60 * 60 * 24) / 20),
        0
      ) - 1
    ) - COUNTIFS(CU27, ""=TRUE"", CU26, ""&lt;&gt;TRUE"") - COUNTIF(CZ27, ""=TRUE"") - COUNTIF({DD27,DE27}, ""&lt;&gt;-"&amp;""") + COUNTIF(DH27, ""=TRUE""),
    3
  ),
  0, ""○○○"", 1, ""●○○"", 2, ""●●○"", 3, ""●●●"", 4, ""●●●"", ""○○○""
)"),"●●●")</f>
        <v>●●●</v>
      </c>
      <c r="DJ27" s="188" t="b">
        <v>0</v>
      </c>
      <c r="DK27" s="189" t="b">
        <v>0</v>
      </c>
      <c r="DL27" s="190" t="b">
        <v>0</v>
      </c>
      <c r="DM27" s="190" t="b">
        <v>0</v>
      </c>
      <c r="DN27" s="190" t="b">
        <v>0</v>
      </c>
      <c r="DO27" s="190" t="b">
        <v>0</v>
      </c>
      <c r="DP27" s="190" t="b">
        <v>0</v>
      </c>
      <c r="DQ27" s="191" t="b">
        <v>1</v>
      </c>
      <c r="DR27" s="192" t="b">
        <v>0</v>
      </c>
      <c r="DS27" s="191" t="b">
        <v>0</v>
      </c>
      <c r="DT27" s="192" t="b">
        <v>0</v>
      </c>
      <c r="DU27" s="191" t="b">
        <v>0</v>
      </c>
      <c r="DV27" s="193" t="s">
        <v>1070</v>
      </c>
      <c r="DW27" s="194" t="b">
        <v>0</v>
      </c>
      <c r="DX27" s="194" t="b">
        <v>0</v>
      </c>
      <c r="DY27" s="195" t="b">
        <v>0</v>
      </c>
      <c r="DZ27" s="196" t="b">
        <v>0</v>
      </c>
      <c r="EA27" s="195" t="b">
        <v>0</v>
      </c>
      <c r="EB27" s="197" t="b">
        <v>0</v>
      </c>
      <c r="EC27" s="197" t="b">
        <v>0</v>
      </c>
      <c r="ED27" s="198" t="b">
        <v>1</v>
      </c>
      <c r="EE27" s="199">
        <f>IFERROR(__xludf.DUMMYFUNCTION("IFERROR(
   PRODUCT(
     MAP(
       INDEX(TRANSPOSE(UNIQUE(TRANSPOSE(FILTER({IF($F27=""Physical"", K$10:ED$10, IF($F27=""Magic"", K$11:ED$11, K$12:ED$12));K$4:ED$4;K27:ED27}, K27:ED27=TRUE)))), 1, 0),
       INDEX(TRANSPOSE(UNIQUE(TRANSPOSE(FILTER({IF($"&amp;"F27=""Physical"", K$18:ED$18, IF($F27=""Magic"", K$19:ED$19, K$20:ED$20));K$4:ED$4;K27:ED27}, K27:ED27=TRUE)))), 1, 0),
       INDEX(TRANSPOSE(UNIQUE(TRANSPOSE(FILTER({K$5:ED$5;K$4:ED$4;K27:ED27}, K27:ED27=TRUE)))), 1, 0),
       INDEX(TRANSPOSE(UNIQUE(TR"&amp;"ANSPOSE(FILTER({K$17:ED$17;K$4:ED$4;K27:ED27}, K27:ED27=TRUE)))), 1, 0),
       LAMBDA(
         mitigation,
         enhance,
         assign,
         precondition,
         IF(
           REGEXMATCH(assign, ""RANGE_PARTY|SINGLE_ENEMY|RANGE_ENEMY""),
  "&amp;"         IF(
             OR(ARRAYFORMULA((IF(precondition="""", FALSE, REGEXMATCH(K$4:ED$4, precondition))) * (K27:ED27=TRUE))),
             IF(ISNUMBER(enhance), enhance, 1),
             IF(ISNUMBER(mitigation), mitigation, 1)
           ),
          "&amp;" 1
         )
       )
     )
   ),
   1
 )"),0.130815)</f>
        <v>0.130815</v>
      </c>
      <c r="EF27" s="200">
        <f>IFERROR(__xludf.DUMMYFUNCTION("PRODUCT(
   MAP(
     K$14:ED$14,
     K$13:ED$13,
     K27:ED27,
     LAMBDA(
       buff,
       target,
       check,
       IF(
         AND(check=TRUE, REGEXMATCH(target, ""RANGE_AFFECTED_ALL|RANGE_EFFECTED_ALL""), ISNUMBER(buff)),
         buff,
   "&amp;"      1
       )
     )
   )
 )"),1.0)</f>
        <v>1</v>
      </c>
      <c r="EG27" s="200">
        <f>IFERROR(__xludf.DUMMYFUNCTION("PRODUCT(
   MAP(
     K$14:ED$14,
     K$13:ED$13,
     K27:ED27,
     LAMBDA(
       buff,
       target,
       check,
       IF(
         AND(check=TRUE, REGEXMATCH(target, ""RANGE_AFFECTED_GCD|RANGE_EFFECTED_GCD""), ISNUMBER(buff)),
         buff,
   "&amp;"      1
       )
     )
   )
 )"),1.0)</f>
        <v>1</v>
      </c>
      <c r="EH27" s="200">
        <f>IFERROR(__xludf.DUMMYFUNCTION("PRODUCT(
   MAP(
     K$3:ED$3,
     K$14:ED$14,
     K$13:ED$13,
     K27:ED27,
     LAMBDA(
       job,
       buff,
       target,
       check,
       IF(
         AND(check=TRUE, REGEXMATCH(target, ""SELF_EFFECTED_ALL""), ISNUMBER(buff), job=""白魔道士"""&amp;"),
         buff,
         1
       )
     )
   )
 )"),1.0)</f>
        <v>1</v>
      </c>
      <c r="EI27" s="200">
        <f>IFERROR(__xludf.DUMMYFUNCTION("PRODUCT(
   MAP(
     K$3:ED$3,
     K$14:ED$14,
     K$13:ED$13,
     K27:ED27,
     LAMBDA(
       job,
       buff,
       target,
       check,
       IF(
         AND(check=TRUE, REGEXMATCH(target, ""SELF_EFFECTED_GCD""), ISNUMBER(buff), job=""白魔道士"""&amp;"),
         buff,
         1
       )
     )
   )
 )"),1.0)</f>
        <v>1</v>
      </c>
      <c r="EJ27" s="200">
        <f>IFERROR(__xludf.DUMMYFUNCTION("PRODUCT(
   MAP(
     K$3:ED$3,
     K$14:ED$14,
     K$13:ED$13,
     K27:ED27,
     LAMBDA(
       job,
       buff,
       target,
       check,
       IF(
         AND(check=TRUE, REGEXMATCH(target, ""SELF_EFFECTED_ALL""), ISNUMBER(buff), job=""占星術師"""&amp;"),
         buff,
         1
       )
     )
   )
 )"),1.0)</f>
        <v>1</v>
      </c>
      <c r="EK27" s="200">
        <f>IFERROR(__xludf.DUMMYFUNCTION("PRODUCT(
   MAP(
     K$3:ED$3,
     K$14:ED$14,
     K$13:ED$13,
     K27:ED27,
     LAMBDA(
       job,
       buff,
       target,
       check,
       IF(
         AND(check=TRUE, REGEXMATCH(target, ""SELF_EFFECTED_GCD""), ISNUMBER(buff), job=""占星術師"""&amp;"),
         buff,
         1
       )
     )
   )
 )"),1.0)</f>
        <v>1</v>
      </c>
      <c r="EL27" s="200">
        <f>IFERROR(__xludf.DUMMYFUNCTION("PRODUCT(
   MAP(
     K$3:ED$3,
     K$14:ED$14,
     K$13:ED$13,
     K27:ED27,
     LAMBDA(
       job,
       buff,
       target,
       check,
       IF(
         AND(check=TRUE, REGEXMATCH(target, ""SELF_EFFECTED_ALL""), ISNUMBER(buff), job=""学者""),"&amp;"
         buff,
         1
       )
     )
   )
 )"),1.0)</f>
        <v>1</v>
      </c>
      <c r="EM27" s="200">
        <f>IFERROR(__xludf.DUMMYFUNCTION("PRODUCT(
   MAP(
     K$3:ED$3,
     K$14:ED$14,
     K$13:ED$13,
     K27:ED27,
     LAMBDA(
       job,
       buff,
       target,
       check,
       IF(
         AND(check=TRUE, REGEXMATCH(target, ""SELF_EFFECTED_GCD""), ISNUMBER(buff), job=""学者""),"&amp;"
         buff,
         1
       )
     )
   )
 )"),1.0)</f>
        <v>1</v>
      </c>
      <c r="EN27" s="200">
        <f>IFERROR(__xludf.DUMMYFUNCTION("PRODUCT(
   MAP(
     K$3:ED$3,
     K$14:ED$14,
     K$13:ED$13,
     K27:ED27,
     LAMBDA(
       job,
       buff,
       target,
       check,
       IF(
         AND(check=TRUE, REGEXMATCH(target, ""SELF_EFFECTED_ALL""), ISNUMBER(buff), job=""賢者""),"&amp;"
         buff,
         1
       )
     )
   )
 )"),1.0)</f>
        <v>1</v>
      </c>
      <c r="EO27" s="200">
        <f>IFERROR(__xludf.DUMMYFUNCTION("PRODUCT(
   MAP(
     K$3:ED$3,
     K$14:ED$14,
     K$13:ED$13,
     K27:ED27,
     LAMBDA(
       job,
       buff,
       target,
       check,
       IF(
         AND(check=TRUE, REGEXMATCH(target, ""SELF_EFFECTED_GCD""), ISNUMBER(buff), job=""賢者""),"&amp;"
         buff,
         1
       )
     )
   )
 )"),1.0)</f>
        <v>1</v>
      </c>
      <c r="EP27" s="201">
        <f t="shared" si="3"/>
        <v>1569.78</v>
      </c>
      <c r="EQ27" s="201">
        <f>IFERROR(__xludf.DUMMYFUNCTION("SUM(
   MAP(
     K$4:ED$4,
     K$3:ED$3,
     K$7:ED$7,
     K$15:ED$15,
     K$16:ED$16,
     K$21:ED$21,
     K$5:ED$5,
     K$17:ED$17,
     K27:ED27,
     LAMBDA(
       name,
       job,
       abillity,
       buff,
       barrier,
       enhance,"&amp;"
       assign,
       precondition,
       check,
       SWITCH(
         name,
         ""シェイクオフ"", IF(check=TRUE, buff + (0.02 * COUNTIF(ARRAYFORMULA((REGEXMATCH($K$4:$ED$4, ""スリル・オブ・バトル|ヴェンジェンス|原初の血気|ダムネーション"")) * (K27:ED27=TRUE)), 1)), 0),
         "&amp;"""インプロビゼーションフィニッシュ(踊りの激情0)"", IF(ISNUMBER(check), INDEX(Skill!$AJ:$AJ, MATCH(SUBSTITUTE(DV$4, 0, check), Skill!$C:$C, 0)), 0),
         IF(
           AND(check=TRUE, REGEXMATCH(assign, ""RANGE_PARTY"")),
           IF(
             OR(ARRAYFORMULA((IF(pr"&amp;"econdition="""", FALSE, REGEXMATCH($K$4:$ED$4, precondition))) * (K27:ED27=TRUE))),
             enhance,
             IF(barrier="""", buff, barrier)
           ),
           0
         )
       ) *
       SWITCH(
         job,
         ""ナイト"", EY$24,
 "&amp;"        ""戦士"", FD$24,
         ""踊り子"", ET$24,
         ""ピクトマンサー"", ET$24,
         ""白魔道士"", EF27 * EH27 * IF(abillity, 1, EG27 * EI27) * (Option!$D$22 * 0.81 / 100),
         ""占星術師"", EF27 * EJ27 * IF(abillity, 1, EG27 * EK27) * (Option!$D$23 * 0.81 "&amp;"/ 100),
         ""学者"", EF27 * EL27 * IF(abillity, 1, EG27 * EM27) * (Option!$D$24 * 0.81 / 100),
         ""賢者"", EF27 * EN27 * IF(abillity, 1, EG27 * EO27) * (Option!$D$25 * 0.81 / 100),
         1
       )
     )
   )
 )"),0.0)</f>
        <v>0</v>
      </c>
      <c r="ER27" s="202">
        <f t="shared" si="4"/>
        <v>1569.78</v>
      </c>
      <c r="ES27" s="203">
        <f t="shared" si="5"/>
        <v>0</v>
      </c>
      <c r="ET27" s="231" t="str">
        <f>IFERROR(__xludf.DUMMYFUNCTION("IFS(
  EP27 &gt; $ET$24 + EQ27,
  SPARKLINE({ 1, 0 }, {""charttype"",""bar"";""max"", 1;""color1"",Option!$D$30;""color2"",Option!$D$30}),
  EP27 &lt; EQ27,
  SPARKLINE({EQ27 - EP27, $ET$24 - (EQ27 - EP27)}, {""charttype"",""bar"";""max"",$ET$24;""color1"",Opti"&amp;"on!$D$28;""color2"",Option!$D$29}),
  EP27 &gt;= EQ27,
  SPARKLINE({$ET$24 + EQ27 - EP27,EP27 - EQ27}, {""charttype"",""bar"";""max"",$ET$24;""color1"",Option!$D$29;""color2"",Option!$D$30})
)"),"")</f>
        <v/>
      </c>
      <c r="EU27" s="205">
        <f>IFERROR(__xludf.DUMMYFUNCTION("PRODUCT(
   MAP(
     IF($F27=""Physical"", K$10:ED$10, IF($F27=""Magic"", K$11:ED$11, K$12:ED$12)),
     IF($F27=""Physical"", K$18:ED$18, IF($F27=""Magic"", K$19:ED$19, K$20:ED$20)),
     K$3:ED$3,
     K$5:ED$5,
     K$17:ED$17,
     K27:ED27,
     LAM"&amp;"BDA(
       mitigation,
       enhance,
       job,
       assign,
       precondition,
       check,
       IF(
         OR(AND(check=TRUE, REGEXMATCH(assign, ""SELF""), job=""ナイト""), AND(check=Option!$E$13, REGEXMATCH(assign, ""SINGLE_PARTY""))),
      "&amp;"   IF(
           OR(ARRAYFORMULA((IF(precondition="""", FALSE, REGEXMATCH($K$4:$ED$4, precondition))) * (K27:ED27=TRUE))),
           enhance,
           mitigation
         ),
         1
       )
     )
   )
 ) * EE27"),0.130815)</f>
        <v>0.130815</v>
      </c>
      <c r="EV27" s="206">
        <f t="shared" si="6"/>
        <v>1255.824</v>
      </c>
      <c r="EW27" s="205">
        <f>IFERROR(__xludf.DUMMYFUNCTION("PRODUCT(
   MAP(
     K$3:ED$3,
     K$14:ED$14,
     K$13:ED$13,
     K27:ED27,
     LAMBDA(
       job,
       buff,
       target,
       check,
       IF(
         OR(AND(check=TRUE, REGEXMATCH(target, ""SELF_AFFECTED_ALL""), job=""ナイト""), AND(check=O"&amp;"ption!$E$13, REGEXMATCH(target, ""SINGLE_AFFECTED_ALL""))),
         buff,
         1
       )
     )
   )
 )"),1.0)</f>
        <v>1</v>
      </c>
      <c r="EX27" s="206">
        <f>IFERROR(__xludf.DUMMYFUNCTION("SUM(
   MAP(
     K$3:ED$3,
     K$7:ED$7,
     K$15:ED$15,
     K$16:ED$16,
     K$21:ED$21,
     K$5:ED$5,
     K$17:ED$17,
     K27:ED27,
     LAMBDA(
       job,
       abillity,
       buff,
       barrier,
       enhance,
       assign,
       preco"&amp;"ndition,
       check,
       IF(
         OR(AND(check=TRUE, REGEXMATCH(assign, ""SELF""), job=""ナイト""), AND(check=Option!$E$13, REGEXMATCH(assign, ""SINGLE_PARTY""))),
         IF(
           OR(ARRAYFORMULA((IF(precondition="""", FALSE, REGEXMATCH($K$4"&amp;":$ED$4, precondition))) * (K27:ED27=TRUE))),
           enhance,
           IF(barrier="""", buff, barrier)
         ),
         0
       ) *
       SWITCH(
         job,
         ""暗黒騎士"", EY$24,
         ""白魔道士"", EF27 * EH27 * EW27 * IF(abillity, 1, EG"&amp;"27 * EI27) * (Option!$D$22 * 0.81 / 100),
         ""占星術師"", EF27 * EJ27 * EW27 * IF(abillity, 1, EG27 * EK27) * (Option!$D$23 * 0.81 / 100),
         ""学者"", EF27 * EL27 * EW27 * IF(abillity, 1, EG27 * EM27) * (Option!$D$24 * 0.81 / 100),
         ""賢者"""&amp;", EF27 * EN27 * EW27 * IF(abillity, 1, EG27 * EO27) * (Option!$D$25 * 0.81 / 100),
         1
       )
     )
   )
 ) + EQ27"),0.0)</f>
        <v>0</v>
      </c>
      <c r="EY27" s="232">
        <f t="shared" si="7"/>
        <v>1255.824</v>
      </c>
      <c r="EZ27" s="205">
        <f>IFERROR(__xludf.DUMMYFUNCTION("PRODUCT(
   MAP(
     IF($F27=""Physical"", K$10:ED$10, IF($F27=""Magic"", K$11:ED$11, K$12:ED$12)),
     IF($F27=""Physical"", K$18:ED$18, IF($F27=""Magic"", K$19:ED$19, K$20:ED$20)),
     K$3:ED$3,
     K$5:ED$5,
     K$17:ED$17,
     K27:ED27,
     LAM"&amp;"BDA(
       mitigation,
       enhance,
       job,
       assign,
       precondition,
       check,
       IF(
         OR(AND(check=TRUE, REGEXMATCH(assign, ""SELF""), job=""戦士""), AND(check=Option!$F$13, REGEXMATCH(assign, ""SINGLE_PARTY""))),
       "&amp;"  IF(
           OR(ARRAYFORMULA((IF(precondition="""", FALSE, REGEXMATCH($K$4:$ED$4, precondition))) * (K27:ED27=TRUE))),
           enhance,
           mitigation
         ),
         1
       )
     )
   )
 ) * EE27"),0.130815)</f>
        <v>0.130815</v>
      </c>
      <c r="FA27" s="206">
        <f t="shared" si="8"/>
        <v>1255.824</v>
      </c>
      <c r="FB27" s="205">
        <f>IFERROR(__xludf.DUMMYFUNCTION("PRODUCT(
   MAP(
     K$3:ED$3,
     K$14:ED$14,
     K$13:ED$13,
     K27:ED27,
     LAMBDA(
       job,
       buff,
       target,
       check,
       IF(
         OR(AND(check=TRUE, REGEXMATCH(target, ""SELF_AFFECTED_ALL""), job=""戦士""), AND(check=Op"&amp;"tion!$F$13, REGEXMATCH(target, ""SINGLE_AFFECTED_ALL""))),
         buff,
         1
       )
     )
   )
 )"),1.0)</f>
        <v>1</v>
      </c>
      <c r="FC27" s="206">
        <f>IFERROR(__xludf.DUMMYFUNCTION("SUM(
   MAP(
     K$3:ED$3,
     K$7:ED$7,
     K$15:ED$15,
     K$16:ED$16,
     K$21:ED$21,
     K$5:ED$5,
     K$17:ED$17,
     K27:ED27,
     LAMBDA(
       job,
       abillity,
       buff,
       barrier,
       enhance,
       assign,
       preco"&amp;"ndition,
       check,
       IF(
         OR(AND(check=TRUE, REGEXMATCH(assign, ""SELF""), job=""戦士""), AND(check=Option!$F$13, REGEXMATCH(assign, ""SINGLE_PARTY""))),
         IF(
           OR(ARRAYFORMULA((IF(precondition="""", FALSE, REGEXMATCH($K$4:"&amp;"$ED$4, precondition))) * (K27:ED27=TRUE))),
           enhance,
           IF(barrier="""", buff, barrier)
         ),
         0
       ) *
       SWITCH(
         job,
         ""暗黒騎士"", FD$24,
         ""白魔道士"", EF27 * EH27 * FB27 * IF(abillity, 1, EG2"&amp;"7 * EI27) * (Option!$D$22 * 0.81 / 100),
         ""占星術師"", EF27 * EJ27 * FFB27 * IF(abillity, 1, EG27 * EK27) * (Option!$D$23 * 0.81 / 100),
         ""学者"", EF27 * EL27 * FB27 * IF(abillity, 1, EG27 * EM27) * (Option!$D$24 * 0.81 / 100),
         ""賢者"""&amp;", EF27 * EN27 * FB27 * IF(abillity, 1, EG27 * EO27) * (Option!$D$25 * 0.81 / 100),
         1
       )
     )
   )
 ) + EQ27"),0.0)</f>
        <v>0</v>
      </c>
      <c r="FD27" s="206">
        <f t="shared" si="9"/>
        <v>1255.824</v>
      </c>
      <c r="FE27" s="205">
        <f>IFERROR(__xludf.DUMMYFUNCTION("PRODUCT(
   MAP(
     IF($F27=""Physical"", K$10:ED$10, IF($F27=""Magic"", K$11:ED$11, K$12:ED$12)),
     IF($F27=""Physical"", K$18:ED$18, IF($F27=""Magic"", K$19:ED$19, K$20:ED$20)),
     K$3:ED$3,
     K$5:ED$5,
     K$17:ED$17,
     K27:ED27,
     LAM"&amp;"BDA(
       mitigation,
       enhance,
       job,
       assign,
       precondition,
       check,
       IF(
         OR(AND(check=TRUE, REGEXMATCH(assign, ""SELF""), job=""暗黒騎士""), AND(check=Option!$G$13, REGEXMATCH(assign, ""SINGLE_PARTY""))),
     "&amp;"    IF(
           OR(ARRAYFORMULA((IF(precondition="""", FALSE, REGEXMATCH($K$4:$ED$4, precondition))) * (K27:ED27=TRUE))),
           enhance,
           mitigation
         ),
         1
       )
     )
   )
 ) * EE27"),0.130815)</f>
        <v>0.130815</v>
      </c>
      <c r="FF27" s="206">
        <f t="shared" si="10"/>
        <v>1255.824</v>
      </c>
      <c r="FG27" s="205">
        <f>IFERROR(__xludf.DUMMYFUNCTION("PRODUCT(
   MAP(
     K$3:ED$3,
     K$14:ED$14,
     K$13:ED$13,
     K27:ED27,
     LAMBDA(
       job,
       buff,
       target,
       check,
       IF(
         OR(AND(check=TRUE, REGEXMATCH(target, ""SELF_AFFECTED_ALL""), job=""暗黒騎士""), AND(check="&amp;"Option!$G$13, REGEXMATCH(target, ""SINGLE_AFFECTED_ALL""))),
         buff,
         1
       )
     )
   )
 )"),1.0)</f>
        <v>1</v>
      </c>
      <c r="FH27" s="206">
        <f>IFERROR(__xludf.DUMMYFUNCTION("SUM(
   MAP(
     K$3:ED$3,
     K$7:ED$7,
     K$15:ED$15,
     K$16:ED$16,
     K$21:ED$21,
     K$5:ED$5,
     K$17:ED$17,
     K27:ED27,
     LAMBDA(
       job,
       abillity,
       buff,
       barrier,
       enhance,
       assign,
       preco"&amp;"ndition,
       check,
       IF(
         OR(AND(check=TRUE, REGEXMATCH(assign, ""SELF""), job=""暗黒騎士""), AND(check=Option!$G$13, REGEXMATCH(assign, ""SINGLE_PARTY""))),
         IF(
           OR(ARRAYFORMULA((IF(precondition="""", FALSE, REGEXMATCH($K$"&amp;"4:$ED$4, precondition))) * (K27:ED27=TRUE))),
           enhance,
           IF(barrier="""", buff, barrier)
         ),
         0
       ) *
       SWITCH(
         job,
         ""暗黒騎士"", FI$24,
         ""白魔道士"", EF27 * EH27 * FG27 * IF(abillity, 1, E"&amp;"G27 * EI27) * (Option!$D$22 * 0.81 / 100),
         ""占星術師"", EF27 * EJ27 * FG27 * IF(abillity, 1, EG27 * EK27) * (Option!$D$23 * 0.81 / 100),
         ""学者"", EF27 * EL27 * FG27 * IF(abillity, 1, EG27 * EM27) * (Option!$D$24 * 0.81 / 100),
         ""賢者"&amp;""", EF27 * EN27 * FG27 * IF(abillity, 1, EG27 * EO27) * (Option!$D$25 * 0.81 / 100),
         1
       )
     )
   )
 ) + EQ27"),0.0)</f>
        <v>0</v>
      </c>
      <c r="FI27" s="206">
        <f t="shared" si="11"/>
        <v>1255.824</v>
      </c>
      <c r="FJ27" s="205">
        <f>IFERROR(__xludf.DUMMYFUNCTION("PRODUCT(
   MAP(
     IF($F27=""Physical"", K$10:ED$10, IF($F27=""Magic"", K$11:ED$11, K$12:ED$12)),
     IF($F27=""Physical"", K$18:ED$18, IF($F27=""Magic"", K$19:ED$19, K$20:ED$20)),
     K$3:ED$3,
     K$5:ED$5,
     K$17:ED$17,
     K27:ED27,
     LAM"&amp;"BDA(
       mitigation,
       enhance,
       job,
       assign,
       precondition,
       check,
       IF(
         OR(AND(check=TRUE, REGEXMATCH(assign, ""SELF""), job=""ガンブレイカー""), AND(check=Option!$H$13, REGEXMATCH(assign, ""SINGLE_PARTY""))),
  "&amp;"       IF(
           OR(ARRAYFORMULA((IF(precondition="""", FALSE, REGEXMATCH($K$4:$ED$4, precondition))) * (K27:ED27=TRUE))),
           enhance,
           mitigation
         ),
         1
       )
     )
   )
 ) * EE27"),0.130815)</f>
        <v>0.130815</v>
      </c>
      <c r="FK27" s="206">
        <f t="shared" si="12"/>
        <v>1255.824</v>
      </c>
      <c r="FL27" s="205">
        <f>IFERROR(__xludf.DUMMYFUNCTION("PRODUCT(
   MAP(
     K$3:ED$3,
     K$14:ED$14,
     K$13:ED$13,
     K27:ED27,
     LAMBDA(
       job,
       buff,
       target,
       check,
       IF(
         OR(AND(check=TRUE, REGEXMATCH(target, ""SELF_AFFECTED_ALL""), job=""ガンブレイカー""), AND(che"&amp;"ck=Option!$H$13, REGEXMATCH(target, ""SINGLE_AFFECTED_ALL""))),
         buff,
         1
       )
     )
   )
 )"),1.0)</f>
        <v>1</v>
      </c>
      <c r="FM27" s="206">
        <f>IFERROR(__xludf.DUMMYFUNCTION("SUM(
   MAP(
     K$3:ED$3,
     K$7:ED$7,
     K$15:ED$15,
     K$16:ED$16,
     K$21:ED$21,
     K$5:ED$5,
     K$17:ED$17,
     K27:ED27,
     LAMBDA(
       job,
       abillity,
       buff,
       barrier,
       enhance,
       assign,
       preco"&amp;"ndition,
       check,
       IF(
         OR(AND(check=TRUE, REGEXMATCH(assign, ""SELF""), job=""ガンブレイカー""), AND(check=Option!$H$13, REGEXMATCH(assign, ""SINGLE_PARTY""))),
         IF(
           OR(ARRAYFORMULA((IF(precondition="""", FALSE, REGEXMATCH("&amp;"$K$4:$ED$4, precondition))) * (K27:ED27=TRUE))),
           enhance,
           IF(barrier="""", buff, barrier)
         ),
         0
       ) *
       SWITCH(
         job,
         ""暗黒騎士"", FN$24,
         ""白魔道士"", EF27 * EH27 * FL27 * IF(abillity, 1"&amp;", EG27 * EI27) * (Option!$D$22 * 0.81 / 100),
         ""占星術師"", EF27 * EJ27 * FL27 * IF(abillity, 1, EG27 * EK27) * (Option!$D$23 * 0.81 / 100),
         ""学者"", EF27 * EL27 * FL27 * IF(abillity, 1, EG27 * EM27) * (Option!$D$24 * 0.81 / 100),
         """&amp;"賢者"", EF27 * EN27 * FL27 * IF(abillity, 1, EG27 * EO27) * (Option!$D$25 * 0.81 / 100),
         1
       )
     )
   )
 ) + EQ27"),0.0)</f>
        <v>0</v>
      </c>
      <c r="FN27" s="206">
        <f t="shared" si="13"/>
        <v>1255.824</v>
      </c>
      <c r="FO27" s="213"/>
    </row>
    <row r="28">
      <c r="B28" s="229"/>
      <c r="C28" s="217">
        <f t="shared" si="1"/>
        <v>0.001840277778</v>
      </c>
      <c r="D28" s="233">
        <v>1.388888888888889E-4</v>
      </c>
      <c r="E28" s="221" t="s">
        <v>1087</v>
      </c>
      <c r="F28" s="167" t="s">
        <v>11</v>
      </c>
      <c r="G28" s="168" t="str">
        <f t="shared" si="2"/>
        <v/>
      </c>
      <c r="H28" s="169">
        <v>16000.0</v>
      </c>
      <c r="I28" s="169"/>
      <c r="J28" s="169"/>
      <c r="K28" s="170" t="b">
        <v>0</v>
      </c>
      <c r="L28" s="170" t="b">
        <v>0</v>
      </c>
      <c r="M28" s="170" t="b">
        <v>0</v>
      </c>
      <c r="N28" s="171" t="s">
        <v>1070</v>
      </c>
      <c r="O28" s="172" t="b">
        <v>0</v>
      </c>
      <c r="P28" s="173" t="b">
        <v>0</v>
      </c>
      <c r="Q28" s="173" t="b">
        <v>0</v>
      </c>
      <c r="R28" s="173" t="b">
        <v>0</v>
      </c>
      <c r="S28" s="174" t="b">
        <v>0</v>
      </c>
      <c r="T28" s="175" t="b">
        <v>0</v>
      </c>
      <c r="U28" s="173" t="b">
        <v>0</v>
      </c>
      <c r="V28" s="171" t="s">
        <v>1070</v>
      </c>
      <c r="W28" s="172" t="b">
        <v>0</v>
      </c>
      <c r="X28" s="173" t="b">
        <v>0</v>
      </c>
      <c r="Y28" s="173" t="b">
        <v>0</v>
      </c>
      <c r="Z28" s="173" t="b">
        <v>0</v>
      </c>
      <c r="AA28" s="174" t="b">
        <v>0</v>
      </c>
      <c r="AB28" s="174" t="b">
        <v>0</v>
      </c>
      <c r="AC28" s="175" t="b">
        <v>0</v>
      </c>
      <c r="AD28" s="173" t="b">
        <v>1</v>
      </c>
      <c r="AE28" s="176" t="s">
        <v>1070</v>
      </c>
      <c r="AF28" s="171" t="s">
        <v>1070</v>
      </c>
      <c r="AG28" s="177">
        <f>IFERROR(__xludf.DUMMYFUNCTION("IF(
  ISNUMBER(AG27),
  MIN(MAX(
    AG27
    + MAX(
      ROUNDDOWN(($D28 - MAX(IFERROR(FILTER($D$24:$D27, AG$24:AG27 &lt;&gt; AF$6, AG$23:AG26 = AF$6), 0))) * (60 * 60 * 24) / AF$9) - ROUNDDOWN(($D27 - MAX(IFERROR(FILTER($D$23:$D26, AG$23:AG26 &lt;&gt; AF$6, AG$22:"&amp;"AG25 = AF$6), 0))) * (60 * 60 * 24) / 60),
      0
    )
    - COUNTIF(AF28, ""&lt;&gt;-""),
  0), AF$6),
  AF$6 - COUNTIF(AF28, ""&lt;&gt;-"")
)"),2.0)</f>
        <v>2</v>
      </c>
      <c r="AH28" s="173" t="b">
        <v>0</v>
      </c>
      <c r="AI28" s="173" t="b">
        <v>0</v>
      </c>
      <c r="AJ28" s="173" t="b">
        <v>0</v>
      </c>
      <c r="AK28" s="174" t="b">
        <v>0</v>
      </c>
      <c r="AL28" s="175" t="b">
        <v>0</v>
      </c>
      <c r="AM28" s="173" t="b">
        <v>0</v>
      </c>
      <c r="AN28" s="171" t="s">
        <v>1070</v>
      </c>
      <c r="AO28" s="173" t="b">
        <v>0</v>
      </c>
      <c r="AP28" s="173" t="b">
        <v>0</v>
      </c>
      <c r="AQ28" s="173" t="b">
        <v>0</v>
      </c>
      <c r="AR28" s="174" t="b">
        <v>0</v>
      </c>
      <c r="AS28" s="178" t="b">
        <v>0</v>
      </c>
      <c r="AT28" s="179" t="b">
        <v>0</v>
      </c>
      <c r="AU28" s="180" t="b">
        <v>0</v>
      </c>
      <c r="AV28" s="180" t="b">
        <v>0</v>
      </c>
      <c r="AW28" s="180" t="b">
        <v>0</v>
      </c>
      <c r="AX28" s="180" t="b">
        <v>0</v>
      </c>
      <c r="AY28" s="181" t="s">
        <v>1070</v>
      </c>
      <c r="AZ28" s="181" t="s">
        <v>1070</v>
      </c>
      <c r="BA28" s="184">
        <f>IFERROR(__xludf.DUMMYFUNCTION("IF(
  ISNUMBER(BA27),
  MIN(MAX(
    BA27
    + MAX(
      ROUNDDOWN((D28 - MAX(IFERROR(FILTER(D$24:D27, BA$24:BA27 &lt;&gt; AZ$6, BA$23:BA26 = AZ$6), 0))) * (60 * 60 * 24) / AZ$9) - ROUNDDOWN((D27 - MAX(IFERROR(FILTER(D$23:D26, BA$23:BA26 &lt;&gt; AZ$6, BA$22:BA25 ="&amp;" AZ$6), 0))) * (60 * 60 * 24) / AZ$9),
      0
    )
    - COUNTIF(AZ28, ""&lt;&gt;-""),
  0), AZ$6),
  AZ$6 - COUNTIF(AZ28, ""&lt;&gt;-"")
)"),2.0)</f>
        <v>2</v>
      </c>
      <c r="BB28" s="181" t="s">
        <v>1070</v>
      </c>
      <c r="BC28" s="183">
        <f>IFERROR(__xludf.DUMMYFUNCTION("IF(
  ISNUMBER(BC27),
  MIN(MAX(
    BC27
    + MAX(
      ROUNDDOWN(($D28 - MAX(IFERROR(FILTER($D$24:$D27, BC$24:BC27 &lt;&gt; BB$6, BC$23:BC26 = BB$6), 0))) * (60 * 60 * 24) / BB$9) - ROUNDDOWN(($D27 - MAX(IFERROR(FILTER($D$23:$D26, BC$23:BC26 &lt;&gt; BB$6, BC$22:"&amp;"BC25 = BB$6), 0))) * (60 * 60 * 24) / 60),
      0
    )
    - COUNTIF(BB28, ""&lt;&gt;-""),
  0), BB$6),
  BB$6 - COUNTIF(BB28, ""&lt;&gt;-"")
)"),2.0)</f>
        <v>2</v>
      </c>
      <c r="BD28" s="181" t="s">
        <v>1070</v>
      </c>
      <c r="BE28" s="178" t="b">
        <v>0</v>
      </c>
      <c r="BF28" s="180" t="b">
        <v>0</v>
      </c>
      <c r="BG28" s="180" t="b">
        <v>0</v>
      </c>
      <c r="BH28" s="180" t="b">
        <v>0</v>
      </c>
      <c r="BI28" s="180" t="b">
        <v>0</v>
      </c>
      <c r="BJ28" s="180" t="b">
        <v>0</v>
      </c>
      <c r="BK28" s="180" t="b">
        <v>0</v>
      </c>
      <c r="BL28" s="180" t="b">
        <v>0</v>
      </c>
      <c r="BM28" s="180" t="b">
        <v>0</v>
      </c>
      <c r="BN28" s="180" t="b">
        <v>0</v>
      </c>
      <c r="BO28" s="181" t="s">
        <v>1070</v>
      </c>
      <c r="BP28" s="181" t="s">
        <v>1070</v>
      </c>
      <c r="BQ28" s="181" t="s">
        <v>1070</v>
      </c>
      <c r="BR28" s="181" t="s">
        <v>1070</v>
      </c>
      <c r="BS28" s="181" t="s">
        <v>1070</v>
      </c>
      <c r="BT28" s="184">
        <f>IFERROR(__xludf.DUMMYFUNCTION("IF(
  ISNUMBER(BT27),
  MIN(MAX(
    BT27
    + MAX(
      ROUNDDOWN((D28 - MAX(IFERROR(FILTER(D$24:D27, BT$24:BT27 &lt;&gt; BS$6, BT$23:BT26 = BS$6), 0))) * (60 * 60 * 24) / BS$9) - ROUNDDOWN((D27 - MAX(IFERROR(FILTER(D$23:D26, BT$23:BT26 &lt;&gt; BS$6, BT$22:BT25 ="&amp;" BS$6), 0))) * (60 * 60 * 24) / BS$9),
      0
    )
    - COUNTIF(BS28, ""&lt;&gt;-""),
  0), BS$6),
  BS$6 - COUNTIF(BS28, ""&lt;&gt;-"")
)"),3.0)</f>
        <v>3</v>
      </c>
      <c r="BU28" s="181" t="s">
        <v>1070</v>
      </c>
      <c r="BV28" s="181" t="s">
        <v>1070</v>
      </c>
      <c r="BW28" s="184">
        <f>IFERROR(__xludf.DUMMYFUNCTION("IF(
  ISNUMBER(BW27),
  MIN(MAX(
    BW27
    + MAX(
      ROUNDDOWN((D28 - MAX(IFERROR(FILTER(D$24:D27, BW$24:BW27 &lt;&gt; BV$6, BW$23:BW26 = BV$6), 0))) * (60 * 60 * 24) / BV$9) - ROUNDDOWN((D27 - MAX(IFERROR(FILTER(D$23:D26, BW$23:BW26 &lt;&gt; BV$6, BW$22:BW25 ="&amp;" BV$6), 0))) * (60 * 60 * 24) / BV$9),
      0
    )
    - COUNTIF(BV28, ""&lt;&gt;-""),
  0), BV$6),
  BV$6 - COUNTIF(BV28, ""&lt;&gt;-"")
)"),2.0)</f>
        <v>2</v>
      </c>
      <c r="BX28" s="185" t="s">
        <v>1070</v>
      </c>
      <c r="BY28" s="178" t="b">
        <v>0</v>
      </c>
      <c r="BZ28" s="180" t="b">
        <v>1</v>
      </c>
      <c r="CA28" s="180" t="b">
        <v>0</v>
      </c>
      <c r="CB28" s="180" t="b">
        <v>0</v>
      </c>
      <c r="CC28" s="180" t="b">
        <v>0</v>
      </c>
      <c r="CD28" s="180" t="b">
        <v>0</v>
      </c>
      <c r="CE28" s="180" t="b">
        <v>0</v>
      </c>
      <c r="CF28" s="180" t="b">
        <v>0</v>
      </c>
      <c r="CG28" s="180" t="b">
        <v>0</v>
      </c>
      <c r="CH28" s="180" t="b">
        <v>0</v>
      </c>
      <c r="CI28" s="180" t="b">
        <v>0</v>
      </c>
      <c r="CJ28" s="180" t="b">
        <v>0</v>
      </c>
      <c r="CK28" s="180" t="b">
        <v>0</v>
      </c>
      <c r="CL28" s="180" t="b">
        <v>0</v>
      </c>
      <c r="CM28" s="181" t="s">
        <v>1070</v>
      </c>
      <c r="CN28" s="181" t="s">
        <v>1070</v>
      </c>
      <c r="CO28" s="181" t="s">
        <v>1070</v>
      </c>
      <c r="CP28" s="181" t="s">
        <v>1070</v>
      </c>
      <c r="CQ28" s="185" t="s">
        <v>1070</v>
      </c>
      <c r="CR28" s="180" t="b">
        <v>0</v>
      </c>
      <c r="CS28" s="186" t="str">
        <f t="shared" si="14"/>
        <v>◇◇◇</v>
      </c>
      <c r="CT28" s="178" t="b">
        <v>0</v>
      </c>
      <c r="CU28" s="180" t="b">
        <v>0</v>
      </c>
      <c r="CV28" s="180" t="b">
        <v>0</v>
      </c>
      <c r="CW28" s="180" t="b">
        <v>0</v>
      </c>
      <c r="CX28" s="180" t="b">
        <v>0</v>
      </c>
      <c r="CY28" s="180" t="b">
        <v>0</v>
      </c>
      <c r="CZ28" s="180" t="b">
        <v>0</v>
      </c>
      <c r="DA28" s="180" t="b">
        <v>0</v>
      </c>
      <c r="DB28" s="180" t="b">
        <v>0</v>
      </c>
      <c r="DC28" s="180" t="b">
        <v>0</v>
      </c>
      <c r="DD28" s="181" t="s">
        <v>1070</v>
      </c>
      <c r="DE28" s="181" t="s">
        <v>1070</v>
      </c>
      <c r="DF28" s="181" t="s">
        <v>1070</v>
      </c>
      <c r="DG28" s="185" t="s">
        <v>1070</v>
      </c>
      <c r="DH28" s="180" t="b">
        <v>0</v>
      </c>
      <c r="DI28" s="187" t="str">
        <f>IFERROR(__xludf.DUMMYFUNCTION("SWITCH(
  IF(
    ISTEXT(DI27),
    IF (
      FIND(""○"", DI27&amp;""○"") &gt; 3,
      3,
      FIND(""○"", DI27&amp;""○"")
      + MAX(
        ROUNDDOWN(($D28 - MAX(IFERROR(FILTER(D$24:D27, DI$24:DI27 &lt;&gt; ""●●●"", DI$23:DI26 = ""●●●""), 0))) * (60 * 60 * 24) / 20"&amp;") - ROUNDDOWN(($D27 - MAX(IFERROR(FILTER(D$23:D26, DI$23:DI26 &lt;&gt; ""●●●"", DI$22:DI25 = ""●●●""), 0))) * (60 * 60 * 24) / 20),
        0
      ) - 1
    ) - COUNTIFS(CU28, ""=TRUE"", CU27, ""&lt;&gt;TRUE"") - COUNTIF(CZ28, ""=TRUE"") - COUNTIF({DD28,DE28}, ""&lt;&gt;-"&amp;""") + COUNTIF(DH28, ""=TRUE""),
    3
  ),
  0, ""○○○"", 1, ""●○○"", 2, ""●●○"", 3, ""●●●"", 4, ""●●●"", ""○○○""
)"),"●●●")</f>
        <v>●●●</v>
      </c>
      <c r="DJ28" s="188" t="b">
        <v>0</v>
      </c>
      <c r="DK28" s="189" t="b">
        <v>0</v>
      </c>
      <c r="DL28" s="190" t="b">
        <v>0</v>
      </c>
      <c r="DM28" s="190" t="b">
        <v>0</v>
      </c>
      <c r="DN28" s="190" t="b">
        <v>0</v>
      </c>
      <c r="DO28" s="190" t="b">
        <v>0</v>
      </c>
      <c r="DP28" s="190" t="b">
        <v>0</v>
      </c>
      <c r="DQ28" s="191" t="b">
        <v>1</v>
      </c>
      <c r="DR28" s="192" t="b">
        <v>0</v>
      </c>
      <c r="DS28" s="191" t="b">
        <v>0</v>
      </c>
      <c r="DT28" s="192" t="b">
        <v>0</v>
      </c>
      <c r="DU28" s="191" t="b">
        <v>0</v>
      </c>
      <c r="DV28" s="193" t="s">
        <v>1070</v>
      </c>
      <c r="DW28" s="194" t="b">
        <v>0</v>
      </c>
      <c r="DX28" s="194" t="b">
        <v>0</v>
      </c>
      <c r="DY28" s="195" t="b">
        <v>0</v>
      </c>
      <c r="DZ28" s="196" t="b">
        <v>0</v>
      </c>
      <c r="EA28" s="195" t="b">
        <v>0</v>
      </c>
      <c r="EB28" s="197" t="b">
        <v>0</v>
      </c>
      <c r="EC28" s="197" t="b">
        <v>0</v>
      </c>
      <c r="ED28" s="198" t="b">
        <v>1</v>
      </c>
      <c r="EE28" s="199">
        <f>IFERROR(__xludf.DUMMYFUNCTION("IFERROR(
   PRODUCT(
     MAP(
       INDEX(TRANSPOSE(UNIQUE(TRANSPOSE(FILTER({IF($F28=""Physical"", K$10:ED$10, IF($F28=""Magic"", K$11:ED$11, K$12:ED$12));K$4:ED$4;K28:ED28}, K28:ED28=TRUE)))), 1, 0),
       INDEX(TRANSPOSE(UNIQUE(TRANSPOSE(FILTER({IF($"&amp;"F28=""Physical"", K$18:ED$18, IF($F28=""Magic"", K$19:ED$19, K$20:ED$20));K$4:ED$4;K28:ED28}, K28:ED28=TRUE)))), 1, 0),
       INDEX(TRANSPOSE(UNIQUE(TRANSPOSE(FILTER({K$5:ED$5;K$4:ED$4;K28:ED28}, K28:ED28=TRUE)))), 1, 0),
       INDEX(TRANSPOSE(UNIQUE(TR"&amp;"ANSPOSE(FILTER({K$17:ED$17;K$4:ED$4;K28:ED28}, K28:ED28=TRUE)))), 1, 0),
       LAMBDA(
         mitigation,
         enhance,
         assign,
         precondition,
         IF(
           REGEXMATCH(assign, ""RANGE_PARTY|SINGLE_ENEMY|RANGE_ENEMY""),
  "&amp;"         IF(
             OR(ARRAYFORMULA((IF(precondition="""", FALSE, REGEXMATCH(K$4:ED$4, precondition))) * (K28:ED28=TRUE))),
             IF(ISNUMBER(enhance), enhance, 1),
             IF(ISNUMBER(mitigation), mitigation, 1)
           ),
          "&amp;" 1
         )
       )
     )
   ),
   1
 )"),0.14535)</f>
        <v>0.14535</v>
      </c>
      <c r="EF28" s="200">
        <f>IFERROR(__xludf.DUMMYFUNCTION("PRODUCT(
   MAP(
     K$14:ED$14,
     K$13:ED$13,
     K28:ED28,
     LAMBDA(
       buff,
       target,
       check,
       IF(
         AND(check=TRUE, REGEXMATCH(target, ""RANGE_AFFECTED_ALL|RANGE_EFFECTED_ALL""), ISNUMBER(buff)),
         buff,
   "&amp;"      1
       )
     )
   )
 )"),1.0)</f>
        <v>1</v>
      </c>
      <c r="EG28" s="200">
        <f>IFERROR(__xludf.DUMMYFUNCTION("PRODUCT(
   MAP(
     K$14:ED$14,
     K$13:ED$13,
     K28:ED28,
     LAMBDA(
       buff,
       target,
       check,
       IF(
         AND(check=TRUE, REGEXMATCH(target, ""RANGE_AFFECTED_GCD|RANGE_EFFECTED_GCD""), ISNUMBER(buff)),
         buff,
   "&amp;"      1
       )
     )
   )
 )"),1.0)</f>
        <v>1</v>
      </c>
      <c r="EH28" s="200">
        <f>IFERROR(__xludf.DUMMYFUNCTION("PRODUCT(
   MAP(
     K$3:ED$3,
     K$14:ED$14,
     K$13:ED$13,
     K28:ED28,
     LAMBDA(
       job,
       buff,
       target,
       check,
       IF(
         AND(check=TRUE, REGEXMATCH(target, ""SELF_EFFECTED_ALL""), ISNUMBER(buff), job=""白魔道士"""&amp;"),
         buff,
         1
       )
     )
   )
 )"),1.0)</f>
        <v>1</v>
      </c>
      <c r="EI28" s="200">
        <f>IFERROR(__xludf.DUMMYFUNCTION("PRODUCT(
   MAP(
     K$3:ED$3,
     K$14:ED$14,
     K$13:ED$13,
     K28:ED28,
     LAMBDA(
       job,
       buff,
       target,
       check,
       IF(
         AND(check=TRUE, REGEXMATCH(target, ""SELF_EFFECTED_GCD""), ISNUMBER(buff), job=""白魔道士"""&amp;"),
         buff,
         1
       )
     )
   )
 )"),1.0)</f>
        <v>1</v>
      </c>
      <c r="EJ28" s="200">
        <f>IFERROR(__xludf.DUMMYFUNCTION("PRODUCT(
   MAP(
     K$3:ED$3,
     K$14:ED$14,
     K$13:ED$13,
     K28:ED28,
     LAMBDA(
       job,
       buff,
       target,
       check,
       IF(
         AND(check=TRUE, REGEXMATCH(target, ""SELF_EFFECTED_ALL""), ISNUMBER(buff), job=""占星術師"""&amp;"),
         buff,
         1
       )
     )
   )
 )"),1.0)</f>
        <v>1</v>
      </c>
      <c r="EK28" s="200">
        <f>IFERROR(__xludf.DUMMYFUNCTION("PRODUCT(
   MAP(
     K$3:ED$3,
     K$14:ED$14,
     K$13:ED$13,
     K28:ED28,
     LAMBDA(
       job,
       buff,
       target,
       check,
       IF(
         AND(check=TRUE, REGEXMATCH(target, ""SELF_EFFECTED_GCD""), ISNUMBER(buff), job=""占星術師"""&amp;"),
         buff,
         1
       )
     )
   )
 )"),1.0)</f>
        <v>1</v>
      </c>
      <c r="EL28" s="200">
        <f>IFERROR(__xludf.DUMMYFUNCTION("PRODUCT(
   MAP(
     K$3:ED$3,
     K$14:ED$14,
     K$13:ED$13,
     K28:ED28,
     LAMBDA(
       job,
       buff,
       target,
       check,
       IF(
         AND(check=TRUE, REGEXMATCH(target, ""SELF_EFFECTED_ALL""), ISNUMBER(buff), job=""学者""),"&amp;"
         buff,
         1
       )
     )
   )
 )"),1.0)</f>
        <v>1</v>
      </c>
      <c r="EM28" s="200">
        <f>IFERROR(__xludf.DUMMYFUNCTION("PRODUCT(
   MAP(
     K$3:ED$3,
     K$14:ED$14,
     K$13:ED$13,
     K28:ED28,
     LAMBDA(
       job,
       buff,
       target,
       check,
       IF(
         AND(check=TRUE, REGEXMATCH(target, ""SELF_EFFECTED_GCD""), ISNUMBER(buff), job=""学者""),"&amp;"
         buff,
         1
       )
     )
   )
 )"),1.0)</f>
        <v>1</v>
      </c>
      <c r="EN28" s="200">
        <f>IFERROR(__xludf.DUMMYFUNCTION("PRODUCT(
   MAP(
     K$3:ED$3,
     K$14:ED$14,
     K$13:ED$13,
     K28:ED28,
     LAMBDA(
       job,
       buff,
       target,
       check,
       IF(
         AND(check=TRUE, REGEXMATCH(target, ""SELF_EFFECTED_ALL""), ISNUMBER(buff), job=""賢者""),"&amp;"
         buff,
         1
       )
     )
   )
 )"),1.0)</f>
        <v>1</v>
      </c>
      <c r="EO28" s="200">
        <f>IFERROR(__xludf.DUMMYFUNCTION("PRODUCT(
   MAP(
     K$3:ED$3,
     K$14:ED$14,
     K$13:ED$13,
     K28:ED28,
     LAMBDA(
       job,
       buff,
       target,
       check,
       IF(
         AND(check=TRUE, REGEXMATCH(target, ""SELF_EFFECTED_GCD""), ISNUMBER(buff), job=""賢者""),"&amp;"
         buff,
         1
       )
     )
   )
 )"),1.0)</f>
        <v>1</v>
      </c>
      <c r="EP28" s="201">
        <f t="shared" si="3"/>
        <v>2325.6</v>
      </c>
      <c r="EQ28" s="201">
        <f>IFERROR(__xludf.DUMMYFUNCTION("SUM(
   MAP(
     K$4:ED$4,
     K$3:ED$3,
     K$7:ED$7,
     K$15:ED$15,
     K$16:ED$16,
     K$21:ED$21,
     K$5:ED$5,
     K$17:ED$17,
     K28:ED28,
     LAMBDA(
       name,
       job,
       abillity,
       buff,
       barrier,
       enhance,"&amp;"
       assign,
       precondition,
       check,
       SWITCH(
         name,
         ""シェイクオフ"", IF(check=TRUE, buff + (0.02 * COUNTIF(ARRAYFORMULA((REGEXMATCH($K$4:$ED$4, ""スリル・オブ・バトル|ヴェンジェンス|原初の血気|ダムネーション"")) * (K28:ED28=TRUE)), 1)), 0),
         "&amp;"""インプロビゼーションフィニッシュ(踊りの激情0)"", IF(ISNUMBER(check), INDEX(Skill!$AJ:$AJ, MATCH(SUBSTITUTE(DV$4, 0, check), Skill!$C:$C, 0)), 0),
         IF(
           AND(check=TRUE, REGEXMATCH(assign, ""RANGE_PARTY"")),
           IF(
             OR(ARRAYFORMULA((IF(pr"&amp;"econdition="""", FALSE, REGEXMATCH($K$4:$ED$4, precondition))) * (K28:ED28=TRUE))),
             enhance,
             IF(barrier="""", buff, barrier)
           ),
           0
         )
       ) *
       SWITCH(
         job,
         ""ナイト"", EY$24,
 "&amp;"        ""戦士"", FD$24,
         ""踊り子"", ET$24,
         ""ピクトマンサー"", ET$24,
         ""白魔道士"", EF28 * EH28 * IF(abillity, 1, EG28 * EI28) * (Option!$D$22 * 0.81 / 100),
         ""占星術師"", EF28 * EJ28 * IF(abillity, 1, EG28 * EK28) * (Option!$D$23 * 0.81 "&amp;"/ 100),
         ""学者"", EF28 * EL28 * IF(abillity, 1, EG28 * EM28) * (Option!$D$24 * 0.81 / 100),
         ""賢者"", EF28 * EN28 * IF(abillity, 1, EG28 * EO28) * (Option!$D$25 * 0.81 / 100),
         1
       )
     )
   )
 )"),0.0)</f>
        <v>0</v>
      </c>
      <c r="ER28" s="202">
        <f t="shared" si="4"/>
        <v>2325.6</v>
      </c>
      <c r="ES28" s="203">
        <f t="shared" si="5"/>
        <v>0</v>
      </c>
      <c r="ET28" s="231" t="str">
        <f>IFERROR(__xludf.DUMMYFUNCTION("IFS(
  EP28 &gt; $ET$24 + EQ28,
  SPARKLINE({ 1, 0 }, {""charttype"",""bar"";""max"", 1;""color1"",Option!$D$30;""color2"",Option!$D$30}),
  EP28 &lt; EQ28,
  SPARKLINE({EQ28 - EP28, $ET$24 - (EQ28 - EP28)}, {""charttype"",""bar"";""max"",$ET$24;""color1"",Opti"&amp;"on!$D$28;""color2"",Option!$D$29}),
  EP28 &gt;= EQ28,
  SPARKLINE({$ET$24 + EQ28 - EP28,EP28 - EQ28}, {""charttype"",""bar"";""max"",$ET$24;""color1"",Option!$D$29;""color2"",Option!$D$30})
)"),"")</f>
        <v/>
      </c>
      <c r="EU28" s="205">
        <f>IFERROR(__xludf.DUMMYFUNCTION("PRODUCT(
   MAP(
     IF($F28=""Physical"", K$10:ED$10, IF($F28=""Magic"", K$11:ED$11, K$12:ED$12)),
     IF($F28=""Physical"", K$18:ED$18, IF($F28=""Magic"", K$19:ED$19, K$20:ED$20)),
     K$3:ED$3,
     K$5:ED$5,
     K$17:ED$17,
     K28:ED28,
     LAM"&amp;"BDA(
       mitigation,
       enhance,
       job,
       assign,
       precondition,
       check,
       IF(
         OR(AND(check=TRUE, REGEXMATCH(assign, ""SELF""), job=""ナイト""), AND(check=Option!$E$13, REGEXMATCH(assign, ""SINGLE_PARTY""))),
      "&amp;"   IF(
           OR(ARRAYFORMULA((IF(precondition="""", FALSE, REGEXMATCH($K$4:$ED$4, precondition))) * (K28:ED28=TRUE))),
           enhance,
           mitigation
         ),
         1
       )
     )
   )
 ) * EE28"),0.14535)</f>
        <v>0.14535</v>
      </c>
      <c r="EV28" s="206">
        <f t="shared" si="6"/>
        <v>1860.48</v>
      </c>
      <c r="EW28" s="205">
        <f>IFERROR(__xludf.DUMMYFUNCTION("PRODUCT(
   MAP(
     K$3:ED$3,
     K$14:ED$14,
     K$13:ED$13,
     K28:ED28,
     LAMBDA(
       job,
       buff,
       target,
       check,
       IF(
         OR(AND(check=TRUE, REGEXMATCH(target, ""SELF_AFFECTED_ALL""), job=""ナイト""), AND(check=O"&amp;"ption!$E$13, REGEXMATCH(target, ""SINGLE_AFFECTED_ALL""))),
         buff,
         1
       )
     )
   )
 )"),1.0)</f>
        <v>1</v>
      </c>
      <c r="EX28" s="206">
        <f>IFERROR(__xludf.DUMMYFUNCTION("SUM(
   MAP(
     K$3:ED$3,
     K$7:ED$7,
     K$15:ED$15,
     K$16:ED$16,
     K$21:ED$21,
     K$5:ED$5,
     K$17:ED$17,
     K28:ED28,
     LAMBDA(
       job,
       abillity,
       buff,
       barrier,
       enhance,
       assign,
       preco"&amp;"ndition,
       check,
       IF(
         OR(AND(check=TRUE, REGEXMATCH(assign, ""SELF""), job=""ナイト""), AND(check=Option!$E$13, REGEXMATCH(assign, ""SINGLE_PARTY""))),
         IF(
           OR(ARRAYFORMULA((IF(precondition="""", FALSE, REGEXMATCH($K$4"&amp;":$ED$4, precondition))) * (K28:ED28=TRUE))),
           enhance,
           IF(barrier="""", buff, barrier)
         ),
         0
       ) *
       SWITCH(
         job,
         ""暗黒騎士"", EY$24,
         ""白魔道士"", EF28 * EH28 * EW28 * IF(abillity, 1, EG"&amp;"28 * EI28) * (Option!$D$22 * 0.81 / 100),
         ""占星術師"", EF28 * EJ28 * EW28 * IF(abillity, 1, EG28 * EK28) * (Option!$D$23 * 0.81 / 100),
         ""学者"", EF28 * EL28 * EW28 * IF(abillity, 1, EG28 * EM28) * (Option!$D$24 * 0.81 / 100),
         ""賢者"""&amp;", EF28 * EN28 * EW28 * IF(abillity, 1, EG28 * EO28) * (Option!$D$25 * 0.81 / 100),
         1
       )
     )
   )
 ) + EQ28"),0.0)</f>
        <v>0</v>
      </c>
      <c r="EY28" s="232">
        <f t="shared" si="7"/>
        <v>1860.48</v>
      </c>
      <c r="EZ28" s="205">
        <f>IFERROR(__xludf.DUMMYFUNCTION("PRODUCT(
   MAP(
     IF($F28=""Physical"", K$10:ED$10, IF($F28=""Magic"", K$11:ED$11, K$12:ED$12)),
     IF($F28=""Physical"", K$18:ED$18, IF($F28=""Magic"", K$19:ED$19, K$20:ED$20)),
     K$3:ED$3,
     K$5:ED$5,
     K$17:ED$17,
     K28:ED28,
     LAM"&amp;"BDA(
       mitigation,
       enhance,
       job,
       assign,
       precondition,
       check,
       IF(
         OR(AND(check=TRUE, REGEXMATCH(assign, ""SELF""), job=""戦士""), AND(check=Option!$F$13, REGEXMATCH(assign, ""SINGLE_PARTY""))),
       "&amp;"  IF(
           OR(ARRAYFORMULA((IF(precondition="""", FALSE, REGEXMATCH($K$4:$ED$4, precondition))) * (K28:ED28=TRUE))),
           enhance,
           mitigation
         ),
         1
       )
     )
   )
 ) * EE28"),0.14535)</f>
        <v>0.14535</v>
      </c>
      <c r="FA28" s="206">
        <f t="shared" si="8"/>
        <v>1860.48</v>
      </c>
      <c r="FB28" s="205">
        <f>IFERROR(__xludf.DUMMYFUNCTION("PRODUCT(
   MAP(
     K$3:ED$3,
     K$14:ED$14,
     K$13:ED$13,
     K28:ED28,
     LAMBDA(
       job,
       buff,
       target,
       check,
       IF(
         OR(AND(check=TRUE, REGEXMATCH(target, ""SELF_AFFECTED_ALL""), job=""戦士""), AND(check=Op"&amp;"tion!$F$13, REGEXMATCH(target, ""SINGLE_AFFECTED_ALL""))),
         buff,
         1
       )
     )
   )
 )"),1.0)</f>
        <v>1</v>
      </c>
      <c r="FC28" s="206">
        <f>IFERROR(__xludf.DUMMYFUNCTION("SUM(
   MAP(
     K$3:ED$3,
     K$7:ED$7,
     K$15:ED$15,
     K$16:ED$16,
     K$21:ED$21,
     K$5:ED$5,
     K$17:ED$17,
     K28:ED28,
     LAMBDA(
       job,
       abillity,
       buff,
       barrier,
       enhance,
       assign,
       preco"&amp;"ndition,
       check,
       IF(
         OR(AND(check=TRUE, REGEXMATCH(assign, ""SELF""), job=""戦士""), AND(check=Option!$F$13, REGEXMATCH(assign, ""SINGLE_PARTY""))),
         IF(
           OR(ARRAYFORMULA((IF(precondition="""", FALSE, REGEXMATCH($K$4:"&amp;"$ED$4, precondition))) * (K28:ED28=TRUE))),
           enhance,
           IF(barrier="""", buff, barrier)
         ),
         0
       ) *
       SWITCH(
         job,
         ""暗黒騎士"", FD$24,
         ""白魔道士"", EF28 * EH28 * FB28 * IF(abillity, 1, EG2"&amp;"8 * EI28) * (Option!$D$22 * 0.81 / 100),
         ""占星術師"", EF28 * EJ28 * FFB28 * IF(abillity, 1, EG28 * EK28) * (Option!$D$23 * 0.81 / 100),
         ""学者"", EF28 * EL28 * FB28 * IF(abillity, 1, EG28 * EM28) * (Option!$D$24 * 0.81 / 100),
         ""賢者"""&amp;", EF28 * EN28 * FB28 * IF(abillity, 1, EG28 * EO28) * (Option!$D$25 * 0.81 / 100),
         1
       )
     )
   )
 ) + EQ28"),0.0)</f>
        <v>0</v>
      </c>
      <c r="FD28" s="206">
        <f t="shared" si="9"/>
        <v>1860.48</v>
      </c>
      <c r="FE28" s="205">
        <f>IFERROR(__xludf.DUMMYFUNCTION("PRODUCT(
   MAP(
     IF($F28=""Physical"", K$10:ED$10, IF($F28=""Magic"", K$11:ED$11, K$12:ED$12)),
     IF($F28=""Physical"", K$18:ED$18, IF($F28=""Magic"", K$19:ED$19, K$20:ED$20)),
     K$3:ED$3,
     K$5:ED$5,
     K$17:ED$17,
     K28:ED28,
     LAM"&amp;"BDA(
       mitigation,
       enhance,
       job,
       assign,
       precondition,
       check,
       IF(
         OR(AND(check=TRUE, REGEXMATCH(assign, ""SELF""), job=""暗黒騎士""), AND(check=Option!$G$13, REGEXMATCH(assign, ""SINGLE_PARTY""))),
     "&amp;"    IF(
           OR(ARRAYFORMULA((IF(precondition="""", FALSE, REGEXMATCH($K$4:$ED$4, precondition))) * (K28:ED28=TRUE))),
           enhance,
           mitigation
         ),
         1
       )
     )
   )
 ) * EE28"),0.14535)</f>
        <v>0.14535</v>
      </c>
      <c r="FF28" s="206">
        <f t="shared" si="10"/>
        <v>1860.48</v>
      </c>
      <c r="FG28" s="205">
        <f>IFERROR(__xludf.DUMMYFUNCTION("PRODUCT(
   MAP(
     K$3:ED$3,
     K$14:ED$14,
     K$13:ED$13,
     K28:ED28,
     LAMBDA(
       job,
       buff,
       target,
       check,
       IF(
         OR(AND(check=TRUE, REGEXMATCH(target, ""SELF_AFFECTED_ALL""), job=""暗黒騎士""), AND(check="&amp;"Option!$G$13, REGEXMATCH(target, ""SINGLE_AFFECTED_ALL""))),
         buff,
         1
       )
     )
   )
 )"),1.0)</f>
        <v>1</v>
      </c>
      <c r="FH28" s="206">
        <f>IFERROR(__xludf.DUMMYFUNCTION("SUM(
   MAP(
     K$3:ED$3,
     K$7:ED$7,
     K$15:ED$15,
     K$16:ED$16,
     K$21:ED$21,
     K$5:ED$5,
     K$17:ED$17,
     K28:ED28,
     LAMBDA(
       job,
       abillity,
       buff,
       barrier,
       enhance,
       assign,
       preco"&amp;"ndition,
       check,
       IF(
         OR(AND(check=TRUE, REGEXMATCH(assign, ""SELF""), job=""暗黒騎士""), AND(check=Option!$G$13, REGEXMATCH(assign, ""SINGLE_PARTY""))),
         IF(
           OR(ARRAYFORMULA((IF(precondition="""", FALSE, REGEXMATCH($K$"&amp;"4:$ED$4, precondition))) * (K28:ED28=TRUE))),
           enhance,
           IF(barrier="""", buff, barrier)
         ),
         0
       ) *
       SWITCH(
         job,
         ""暗黒騎士"", FI$24,
         ""白魔道士"", EF28 * EH28 * FG28 * IF(abillity, 1, E"&amp;"G28 * EI28) * (Option!$D$22 * 0.81 / 100),
         ""占星術師"", EF28 * EJ28 * FG28 * IF(abillity, 1, EG28 * EK28) * (Option!$D$23 * 0.81 / 100),
         ""学者"", EF28 * EL28 * FG28 * IF(abillity, 1, EG28 * EM28) * (Option!$D$24 * 0.81 / 100),
         ""賢者"&amp;""", EF28 * EN28 * FG28 * IF(abillity, 1, EG28 * EO28) * (Option!$D$25 * 0.81 / 100),
         1
       )
     )
   )
 ) + EQ28"),0.0)</f>
        <v>0</v>
      </c>
      <c r="FI28" s="206">
        <f t="shared" si="11"/>
        <v>1860.48</v>
      </c>
      <c r="FJ28" s="205">
        <f>IFERROR(__xludf.DUMMYFUNCTION("PRODUCT(
   MAP(
     IF($F28=""Physical"", K$10:ED$10, IF($F28=""Magic"", K$11:ED$11, K$12:ED$12)),
     IF($F28=""Physical"", K$18:ED$18, IF($F28=""Magic"", K$19:ED$19, K$20:ED$20)),
     K$3:ED$3,
     K$5:ED$5,
     K$17:ED$17,
     K28:ED28,
     LAM"&amp;"BDA(
       mitigation,
       enhance,
       job,
       assign,
       precondition,
       check,
       IF(
         OR(AND(check=TRUE, REGEXMATCH(assign, ""SELF""), job=""ガンブレイカー""), AND(check=Option!$H$13, REGEXMATCH(assign, ""SINGLE_PARTY""))),
  "&amp;"       IF(
           OR(ARRAYFORMULA((IF(precondition="""", FALSE, REGEXMATCH($K$4:$ED$4, precondition))) * (K28:ED28=TRUE))),
           enhance,
           mitigation
         ),
         1
       )
     )
   )
 ) * EE28"),0.14535)</f>
        <v>0.14535</v>
      </c>
      <c r="FK28" s="206">
        <f t="shared" si="12"/>
        <v>1860.48</v>
      </c>
      <c r="FL28" s="205">
        <f>IFERROR(__xludf.DUMMYFUNCTION("PRODUCT(
   MAP(
     K$3:ED$3,
     K$14:ED$14,
     K$13:ED$13,
     K28:ED28,
     LAMBDA(
       job,
       buff,
       target,
       check,
       IF(
         OR(AND(check=TRUE, REGEXMATCH(target, ""SELF_AFFECTED_ALL""), job=""ガンブレイカー""), AND(che"&amp;"ck=Option!$H$13, REGEXMATCH(target, ""SINGLE_AFFECTED_ALL""))),
         buff,
         1
       )
     )
   )
 )"),1.0)</f>
        <v>1</v>
      </c>
      <c r="FM28" s="206">
        <f>IFERROR(__xludf.DUMMYFUNCTION("SUM(
   MAP(
     K$3:ED$3,
     K$7:ED$7,
     K$15:ED$15,
     K$16:ED$16,
     K$21:ED$21,
     K$5:ED$5,
     K$17:ED$17,
     K28:ED28,
     LAMBDA(
       job,
       abillity,
       buff,
       barrier,
       enhance,
       assign,
       preco"&amp;"ndition,
       check,
       IF(
         OR(AND(check=TRUE, REGEXMATCH(assign, ""SELF""), job=""ガンブレイカー""), AND(check=Option!$H$13, REGEXMATCH(assign, ""SINGLE_PARTY""))),
         IF(
           OR(ARRAYFORMULA((IF(precondition="""", FALSE, REGEXMATCH("&amp;"$K$4:$ED$4, precondition))) * (K28:ED28=TRUE))),
           enhance,
           IF(barrier="""", buff, barrier)
         ),
         0
       ) *
       SWITCH(
         job,
         ""暗黒騎士"", FN$24,
         ""白魔道士"", EF28 * EH28 * FL28 * IF(abillity, 1"&amp;", EG28 * EI28) * (Option!$D$22 * 0.81 / 100),
         ""占星術師"", EF28 * EJ28 * FL28 * IF(abillity, 1, EG28 * EK28) * (Option!$D$23 * 0.81 / 100),
         ""学者"", EF28 * EL28 * FL28 * IF(abillity, 1, EG28 * EM28) * (Option!$D$24 * 0.81 / 100),
         """&amp;"賢者"", EF28 * EN28 * FL28 * IF(abillity, 1, EG28 * EO28) * (Option!$D$25 * 0.81 / 100),
         1
       )
     )
   )
 ) + EQ28"),0.0)</f>
        <v>0</v>
      </c>
      <c r="FN28" s="206">
        <f t="shared" si="13"/>
        <v>1860.48</v>
      </c>
      <c r="FO28" s="213"/>
    </row>
    <row r="29">
      <c r="B29" s="229"/>
      <c r="C29" s="217">
        <f t="shared" si="1"/>
        <v>0.001863425926</v>
      </c>
      <c r="D29" s="233">
        <v>1.6203703703703703E-4</v>
      </c>
      <c r="E29" s="223" t="s">
        <v>1088</v>
      </c>
      <c r="F29" s="167" t="s">
        <v>11</v>
      </c>
      <c r="G29" s="168" t="str">
        <f t="shared" si="2"/>
        <v/>
      </c>
      <c r="H29" s="169">
        <v>17500.0</v>
      </c>
      <c r="I29" s="169"/>
      <c r="J29" s="169"/>
      <c r="K29" s="170" t="b">
        <v>0</v>
      </c>
      <c r="L29" s="170" t="b">
        <v>0</v>
      </c>
      <c r="M29" s="170" t="b">
        <v>0</v>
      </c>
      <c r="N29" s="171" t="s">
        <v>1070</v>
      </c>
      <c r="O29" s="172" t="b">
        <v>0</v>
      </c>
      <c r="P29" s="173" t="b">
        <v>0</v>
      </c>
      <c r="Q29" s="173" t="b">
        <v>0</v>
      </c>
      <c r="R29" s="173" t="b">
        <v>0</v>
      </c>
      <c r="S29" s="174" t="b">
        <v>0</v>
      </c>
      <c r="T29" s="175" t="b">
        <v>0</v>
      </c>
      <c r="U29" s="173" t="b">
        <v>0</v>
      </c>
      <c r="V29" s="171" t="s">
        <v>1070</v>
      </c>
      <c r="W29" s="172" t="b">
        <v>0</v>
      </c>
      <c r="X29" s="173" t="b">
        <v>0</v>
      </c>
      <c r="Y29" s="173" t="b">
        <v>0</v>
      </c>
      <c r="Z29" s="173" t="b">
        <v>0</v>
      </c>
      <c r="AA29" s="174" t="b">
        <v>0</v>
      </c>
      <c r="AB29" s="174" t="b">
        <v>0</v>
      </c>
      <c r="AC29" s="175" t="b">
        <v>0</v>
      </c>
      <c r="AD29" s="173" t="b">
        <v>1</v>
      </c>
      <c r="AE29" s="176" t="s">
        <v>1070</v>
      </c>
      <c r="AF29" s="171" t="s">
        <v>1070</v>
      </c>
      <c r="AG29" s="177">
        <f>IFERROR(__xludf.DUMMYFUNCTION("IF(
  ISNUMBER(AG28),
  MIN(MAX(
    AG28
    + MAX(
      ROUNDDOWN(($D29 - MAX(IFERROR(FILTER($D$24:$D28, AG$24:AG28 &lt;&gt; AF$6, AG$23:AG27 = AF$6), 0))) * (60 * 60 * 24) / AF$9) - ROUNDDOWN(($D28 - MAX(IFERROR(FILTER($D$23:$D27, AG$23:AG27 &lt;&gt; AF$6, AG$22:"&amp;"AG26 = AF$6), 0))) * (60 * 60 * 24) / 60),
      0
    )
    - COUNTIF(AF29, ""&lt;&gt;-""),
  0), AF$6),
  AF$6 - COUNTIF(AF29, ""&lt;&gt;-"")
)"),2.0)</f>
        <v>2</v>
      </c>
      <c r="AH29" s="173" t="b">
        <v>0</v>
      </c>
      <c r="AI29" s="173" t="b">
        <v>0</v>
      </c>
      <c r="AJ29" s="173" t="b">
        <v>0</v>
      </c>
      <c r="AK29" s="174" t="b">
        <v>0</v>
      </c>
      <c r="AL29" s="175" t="b">
        <v>0</v>
      </c>
      <c r="AM29" s="173" t="b">
        <v>0</v>
      </c>
      <c r="AN29" s="171" t="s">
        <v>1070</v>
      </c>
      <c r="AO29" s="173" t="b">
        <v>0</v>
      </c>
      <c r="AP29" s="173" t="b">
        <v>0</v>
      </c>
      <c r="AQ29" s="173" t="b">
        <v>0</v>
      </c>
      <c r="AR29" s="174" t="b">
        <v>0</v>
      </c>
      <c r="AS29" s="178" t="b">
        <v>0</v>
      </c>
      <c r="AT29" s="179" t="b">
        <v>0</v>
      </c>
      <c r="AU29" s="180" t="b">
        <v>0</v>
      </c>
      <c r="AV29" s="180" t="b">
        <v>0</v>
      </c>
      <c r="AW29" s="180" t="b">
        <v>0</v>
      </c>
      <c r="AX29" s="180" t="b">
        <v>0</v>
      </c>
      <c r="AY29" s="181" t="s">
        <v>1070</v>
      </c>
      <c r="AZ29" s="181" t="s">
        <v>1070</v>
      </c>
      <c r="BA29" s="184">
        <f>IFERROR(__xludf.DUMMYFUNCTION("IF(
  ISNUMBER(BA28),
  MIN(MAX(
    BA28
    + MAX(
      ROUNDDOWN((D29 - MAX(IFERROR(FILTER(D$24:D28, BA$24:BA28 &lt;&gt; AZ$6, BA$23:BA27 = AZ$6), 0))) * (60 * 60 * 24) / AZ$9) - ROUNDDOWN((D28 - MAX(IFERROR(FILTER(D$23:D27, BA$23:BA27 &lt;&gt; AZ$6, BA$22:BA26 ="&amp;" AZ$6), 0))) * (60 * 60 * 24) / AZ$9),
      0
    )
    - COUNTIF(AZ29, ""&lt;&gt;-""),
  0), AZ$6),
  AZ$6 - COUNTIF(AZ29, ""&lt;&gt;-"")
)"),2.0)</f>
        <v>2</v>
      </c>
      <c r="BB29" s="181" t="s">
        <v>1070</v>
      </c>
      <c r="BC29" s="183">
        <f>IFERROR(__xludf.DUMMYFUNCTION("IF(
  ISNUMBER(BC28),
  MIN(MAX(
    BC28
    + MAX(
      ROUNDDOWN(($D29 - MAX(IFERROR(FILTER($D$24:$D28, BC$24:BC28 &lt;&gt; BB$6, BC$23:BC27 = BB$6), 0))) * (60 * 60 * 24) / BB$9) - ROUNDDOWN(($D28 - MAX(IFERROR(FILTER($D$23:$D27, BC$23:BC27 &lt;&gt; BB$6, BC$22:"&amp;"BC26 = BB$6), 0))) * (60 * 60 * 24) / 60),
      0
    )
    - COUNTIF(BB29, ""&lt;&gt;-""),
  0), BB$6),
  BB$6 - COUNTIF(BB29, ""&lt;&gt;-"")
)"),2.0)</f>
        <v>2</v>
      </c>
      <c r="BD29" s="181" t="s">
        <v>1070</v>
      </c>
      <c r="BE29" s="178" t="b">
        <v>0</v>
      </c>
      <c r="BF29" s="180" t="b">
        <v>0</v>
      </c>
      <c r="BG29" s="180" t="b">
        <v>0</v>
      </c>
      <c r="BH29" s="180" t="b">
        <v>0</v>
      </c>
      <c r="BI29" s="180" t="b">
        <v>0</v>
      </c>
      <c r="BJ29" s="180" t="b">
        <v>0</v>
      </c>
      <c r="BK29" s="180" t="b">
        <v>0</v>
      </c>
      <c r="BL29" s="180" t="b">
        <v>0</v>
      </c>
      <c r="BM29" s="180" t="b">
        <v>0</v>
      </c>
      <c r="BN29" s="180" t="b">
        <v>0</v>
      </c>
      <c r="BO29" s="181" t="s">
        <v>1070</v>
      </c>
      <c r="BP29" s="181" t="s">
        <v>1070</v>
      </c>
      <c r="BQ29" s="181" t="s">
        <v>1070</v>
      </c>
      <c r="BR29" s="181" t="s">
        <v>1070</v>
      </c>
      <c r="BS29" s="181" t="s">
        <v>1070</v>
      </c>
      <c r="BT29" s="184">
        <f>IFERROR(__xludf.DUMMYFUNCTION("IF(
  ISNUMBER(BT28),
  MIN(MAX(
    BT28
    + MAX(
      ROUNDDOWN((D29 - MAX(IFERROR(FILTER(D$24:D28, BT$24:BT28 &lt;&gt; BS$6, BT$23:BT27 = BS$6), 0))) * (60 * 60 * 24) / BS$9) - ROUNDDOWN((D28 - MAX(IFERROR(FILTER(D$23:D27, BT$23:BT27 &lt;&gt; BS$6, BT$22:BT26 ="&amp;" BS$6), 0))) * (60 * 60 * 24) / BS$9),
      0
    )
    - COUNTIF(BS29, ""&lt;&gt;-""),
  0), BS$6),
  BS$6 - COUNTIF(BS29, ""&lt;&gt;-"")
)"),3.0)</f>
        <v>3</v>
      </c>
      <c r="BU29" s="181" t="s">
        <v>1070</v>
      </c>
      <c r="BV29" s="181" t="s">
        <v>1070</v>
      </c>
      <c r="BW29" s="184">
        <f>IFERROR(__xludf.DUMMYFUNCTION("IF(
  ISNUMBER(BW28),
  MIN(MAX(
    BW28
    + MAX(
      ROUNDDOWN((D29 - MAX(IFERROR(FILTER(D$24:D28, BW$24:BW28 &lt;&gt; BV$6, BW$23:BW27 = BV$6), 0))) * (60 * 60 * 24) / BV$9) - ROUNDDOWN((D28 - MAX(IFERROR(FILTER(D$23:D27, BW$23:BW27 &lt;&gt; BV$6, BW$22:BW26 ="&amp;" BV$6), 0))) * (60 * 60 * 24) / BV$9),
      0
    )
    - COUNTIF(BV29, ""&lt;&gt;-""),
  0), BV$6),
  BV$6 - COUNTIF(BV29, ""&lt;&gt;-"")
)"),2.0)</f>
        <v>2</v>
      </c>
      <c r="BX29" s="185" t="s">
        <v>1070</v>
      </c>
      <c r="BY29" s="178" t="b">
        <v>0</v>
      </c>
      <c r="BZ29" s="180" t="b">
        <v>1</v>
      </c>
      <c r="CA29" s="180" t="b">
        <v>0</v>
      </c>
      <c r="CB29" s="180" t="b">
        <v>0</v>
      </c>
      <c r="CC29" s="180" t="b">
        <v>0</v>
      </c>
      <c r="CD29" s="180" t="b">
        <v>0</v>
      </c>
      <c r="CE29" s="180" t="b">
        <v>0</v>
      </c>
      <c r="CF29" s="180" t="b">
        <v>0</v>
      </c>
      <c r="CG29" s="180" t="b">
        <v>0</v>
      </c>
      <c r="CH29" s="180" t="b">
        <v>0</v>
      </c>
      <c r="CI29" s="180" t="b">
        <v>0</v>
      </c>
      <c r="CJ29" s="180" t="b">
        <v>0</v>
      </c>
      <c r="CK29" s="180" t="b">
        <v>0</v>
      </c>
      <c r="CL29" s="180" t="b">
        <v>0</v>
      </c>
      <c r="CM29" s="181" t="s">
        <v>1070</v>
      </c>
      <c r="CN29" s="181" t="s">
        <v>1070</v>
      </c>
      <c r="CO29" s="181" t="s">
        <v>1070</v>
      </c>
      <c r="CP29" s="181" t="s">
        <v>1070</v>
      </c>
      <c r="CQ29" s="185" t="s">
        <v>1070</v>
      </c>
      <c r="CR29" s="180" t="b">
        <v>0</v>
      </c>
      <c r="CS29" s="186" t="str">
        <f t="shared" si="14"/>
        <v>◇◇◇</v>
      </c>
      <c r="CT29" s="178" t="b">
        <v>0</v>
      </c>
      <c r="CU29" s="180" t="b">
        <v>0</v>
      </c>
      <c r="CV29" s="180" t="b">
        <v>0</v>
      </c>
      <c r="CW29" s="180" t="b">
        <v>0</v>
      </c>
      <c r="CX29" s="180" t="b">
        <v>0</v>
      </c>
      <c r="CY29" s="180" t="b">
        <v>0</v>
      </c>
      <c r="CZ29" s="180" t="b">
        <v>0</v>
      </c>
      <c r="DA29" s="180" t="b">
        <v>0</v>
      </c>
      <c r="DB29" s="180" t="b">
        <v>0</v>
      </c>
      <c r="DC29" s="180" t="b">
        <v>0</v>
      </c>
      <c r="DD29" s="181" t="s">
        <v>1070</v>
      </c>
      <c r="DE29" s="181" t="s">
        <v>1070</v>
      </c>
      <c r="DF29" s="181" t="s">
        <v>1070</v>
      </c>
      <c r="DG29" s="185" t="s">
        <v>1070</v>
      </c>
      <c r="DH29" s="180" t="b">
        <v>0</v>
      </c>
      <c r="DI29" s="187" t="str">
        <f>IFERROR(__xludf.DUMMYFUNCTION("SWITCH(
  IF(
    ISTEXT(DI28),
    IF (
      FIND(""○"", DI28&amp;""○"") &gt; 3,
      3,
      FIND(""○"", DI28&amp;""○"")
      + MAX(
        ROUNDDOWN(($D29 - MAX(IFERROR(FILTER(D$24:D28, DI$24:DI28 &lt;&gt; ""●●●"", DI$23:DI27 = ""●●●""), 0))) * (60 * 60 * 24) / 20"&amp;") - ROUNDDOWN(($D28 - MAX(IFERROR(FILTER(D$23:D27, DI$23:DI27 &lt;&gt; ""●●●"", DI$22:DI26 = ""●●●""), 0))) * (60 * 60 * 24) / 20),
        0
      ) - 1
    ) - COUNTIFS(CU29, ""=TRUE"", CU28, ""&lt;&gt;TRUE"") - COUNTIF(CZ29, ""=TRUE"") - COUNTIF({DD29,DE29}, ""&lt;&gt;-"&amp;""") + COUNTIF(DH29, ""=TRUE""),
    3
  ),
  0, ""○○○"", 1, ""●○○"", 2, ""●●○"", 3, ""●●●"", 4, ""●●●"", ""○○○""
)"),"●●●")</f>
        <v>●●●</v>
      </c>
      <c r="DJ29" s="188" t="b">
        <v>0</v>
      </c>
      <c r="DK29" s="189" t="b">
        <v>0</v>
      </c>
      <c r="DL29" s="190" t="b">
        <v>0</v>
      </c>
      <c r="DM29" s="190" t="b">
        <v>0</v>
      </c>
      <c r="DN29" s="190" t="b">
        <v>0</v>
      </c>
      <c r="DO29" s="190" t="b">
        <v>0</v>
      </c>
      <c r="DP29" s="190" t="b">
        <v>0</v>
      </c>
      <c r="DQ29" s="191" t="b">
        <v>1</v>
      </c>
      <c r="DR29" s="192" t="b">
        <v>0</v>
      </c>
      <c r="DS29" s="191" t="b">
        <v>0</v>
      </c>
      <c r="DT29" s="192" t="b">
        <v>0</v>
      </c>
      <c r="DU29" s="191" t="b">
        <v>0</v>
      </c>
      <c r="DV29" s="193" t="s">
        <v>1070</v>
      </c>
      <c r="DW29" s="194" t="b">
        <v>0</v>
      </c>
      <c r="DX29" s="194" t="b">
        <v>0</v>
      </c>
      <c r="DY29" s="195" t="b">
        <v>0</v>
      </c>
      <c r="DZ29" s="196" t="b">
        <v>0</v>
      </c>
      <c r="EA29" s="195" t="b">
        <v>0</v>
      </c>
      <c r="EB29" s="197" t="b">
        <v>0</v>
      </c>
      <c r="EC29" s="197" t="b">
        <v>0</v>
      </c>
      <c r="ED29" s="198" t="b">
        <v>1</v>
      </c>
      <c r="EE29" s="199">
        <f>IFERROR(__xludf.DUMMYFUNCTION("IFERROR(
   PRODUCT(
     MAP(
       INDEX(TRANSPOSE(UNIQUE(TRANSPOSE(FILTER({IF($F29=""Physical"", K$10:ED$10, IF($F29=""Magic"", K$11:ED$11, K$12:ED$12));K$4:ED$4;K29:ED29}, K29:ED29=TRUE)))), 1, 0),
       INDEX(TRANSPOSE(UNIQUE(TRANSPOSE(FILTER({IF($"&amp;"F29=""Physical"", K$18:ED$18, IF($F29=""Magic"", K$19:ED$19, K$20:ED$20));K$4:ED$4;K29:ED29}, K29:ED29=TRUE)))), 1, 0),
       INDEX(TRANSPOSE(UNIQUE(TRANSPOSE(FILTER({K$5:ED$5;K$4:ED$4;K29:ED29}, K29:ED29=TRUE)))), 1, 0),
       INDEX(TRANSPOSE(UNIQUE(TR"&amp;"ANSPOSE(FILTER({K$17:ED$17;K$4:ED$4;K29:ED29}, K29:ED29=TRUE)))), 1, 0),
       LAMBDA(
         mitigation,
         enhance,
         assign,
         precondition,
         IF(
           REGEXMATCH(assign, ""RANGE_PARTY|SINGLE_ENEMY|RANGE_ENEMY""),
  "&amp;"         IF(
             OR(ARRAYFORMULA((IF(precondition="""", FALSE, REGEXMATCH(K$4:ED$4, precondition))) * (K29:ED29=TRUE))),
             IF(ISNUMBER(enhance), enhance, 1),
             IF(ISNUMBER(mitigation), mitigation, 1)
           ),
          "&amp;" 1
         )
       )
     )
   ),
   1
 )"),0.14535)</f>
        <v>0.14535</v>
      </c>
      <c r="EF29" s="200">
        <f>IFERROR(__xludf.DUMMYFUNCTION("PRODUCT(
   MAP(
     K$14:ED$14,
     K$13:ED$13,
     K29:ED29,
     LAMBDA(
       buff,
       target,
       check,
       IF(
         AND(check=TRUE, REGEXMATCH(target, ""RANGE_AFFECTED_ALL|RANGE_EFFECTED_ALL""), ISNUMBER(buff)),
         buff,
   "&amp;"      1
       )
     )
   )
 )"),1.0)</f>
        <v>1</v>
      </c>
      <c r="EG29" s="200">
        <f>IFERROR(__xludf.DUMMYFUNCTION("PRODUCT(
   MAP(
     K$14:ED$14,
     K$13:ED$13,
     K29:ED29,
     LAMBDA(
       buff,
       target,
       check,
       IF(
         AND(check=TRUE, REGEXMATCH(target, ""RANGE_AFFECTED_GCD|RANGE_EFFECTED_GCD""), ISNUMBER(buff)),
         buff,
   "&amp;"      1
       )
     )
   )
 )"),1.0)</f>
        <v>1</v>
      </c>
      <c r="EH29" s="200">
        <f>IFERROR(__xludf.DUMMYFUNCTION("PRODUCT(
   MAP(
     K$3:ED$3,
     K$14:ED$14,
     K$13:ED$13,
     K29:ED29,
     LAMBDA(
       job,
       buff,
       target,
       check,
       IF(
         AND(check=TRUE, REGEXMATCH(target, ""SELF_EFFECTED_ALL""), ISNUMBER(buff), job=""白魔道士"""&amp;"),
         buff,
         1
       )
     )
   )
 )"),1.0)</f>
        <v>1</v>
      </c>
      <c r="EI29" s="200">
        <f>IFERROR(__xludf.DUMMYFUNCTION("PRODUCT(
   MAP(
     K$3:ED$3,
     K$14:ED$14,
     K$13:ED$13,
     K29:ED29,
     LAMBDA(
       job,
       buff,
       target,
       check,
       IF(
         AND(check=TRUE, REGEXMATCH(target, ""SELF_EFFECTED_GCD""), ISNUMBER(buff), job=""白魔道士"""&amp;"),
         buff,
         1
       )
     )
   )
 )"),1.0)</f>
        <v>1</v>
      </c>
      <c r="EJ29" s="200">
        <f>IFERROR(__xludf.DUMMYFUNCTION("PRODUCT(
   MAP(
     K$3:ED$3,
     K$14:ED$14,
     K$13:ED$13,
     K29:ED29,
     LAMBDA(
       job,
       buff,
       target,
       check,
       IF(
         AND(check=TRUE, REGEXMATCH(target, ""SELF_EFFECTED_ALL""), ISNUMBER(buff), job=""占星術師"""&amp;"),
         buff,
         1
       )
     )
   )
 )"),1.0)</f>
        <v>1</v>
      </c>
      <c r="EK29" s="200">
        <f>IFERROR(__xludf.DUMMYFUNCTION("PRODUCT(
   MAP(
     K$3:ED$3,
     K$14:ED$14,
     K$13:ED$13,
     K29:ED29,
     LAMBDA(
       job,
       buff,
       target,
       check,
       IF(
         AND(check=TRUE, REGEXMATCH(target, ""SELF_EFFECTED_GCD""), ISNUMBER(buff), job=""占星術師"""&amp;"),
         buff,
         1
       )
     )
   )
 )"),1.0)</f>
        <v>1</v>
      </c>
      <c r="EL29" s="200">
        <f>IFERROR(__xludf.DUMMYFUNCTION("PRODUCT(
   MAP(
     K$3:ED$3,
     K$14:ED$14,
     K$13:ED$13,
     K29:ED29,
     LAMBDA(
       job,
       buff,
       target,
       check,
       IF(
         AND(check=TRUE, REGEXMATCH(target, ""SELF_EFFECTED_ALL""), ISNUMBER(buff), job=""学者""),"&amp;"
         buff,
         1
       )
     )
   )
 )"),1.0)</f>
        <v>1</v>
      </c>
      <c r="EM29" s="200">
        <f>IFERROR(__xludf.DUMMYFUNCTION("PRODUCT(
   MAP(
     K$3:ED$3,
     K$14:ED$14,
     K$13:ED$13,
     K29:ED29,
     LAMBDA(
       job,
       buff,
       target,
       check,
       IF(
         AND(check=TRUE, REGEXMATCH(target, ""SELF_EFFECTED_GCD""), ISNUMBER(buff), job=""学者""),"&amp;"
         buff,
         1
       )
     )
   )
 )"),1.0)</f>
        <v>1</v>
      </c>
      <c r="EN29" s="200">
        <f>IFERROR(__xludf.DUMMYFUNCTION("PRODUCT(
   MAP(
     K$3:ED$3,
     K$14:ED$14,
     K$13:ED$13,
     K29:ED29,
     LAMBDA(
       job,
       buff,
       target,
       check,
       IF(
         AND(check=TRUE, REGEXMATCH(target, ""SELF_EFFECTED_ALL""), ISNUMBER(buff), job=""賢者""),"&amp;"
         buff,
         1
       )
     )
   )
 )"),1.0)</f>
        <v>1</v>
      </c>
      <c r="EO29" s="200">
        <f>IFERROR(__xludf.DUMMYFUNCTION("PRODUCT(
   MAP(
     K$3:ED$3,
     K$14:ED$14,
     K$13:ED$13,
     K29:ED29,
     LAMBDA(
       job,
       buff,
       target,
       check,
       IF(
         AND(check=TRUE, REGEXMATCH(target, ""SELF_EFFECTED_GCD""), ISNUMBER(buff), job=""賢者""),"&amp;"
         buff,
         1
       )
     )
   )
 )"),1.0)</f>
        <v>1</v>
      </c>
      <c r="EP29" s="201">
        <f t="shared" si="3"/>
        <v>2543.625</v>
      </c>
      <c r="EQ29" s="201">
        <f>IFERROR(__xludf.DUMMYFUNCTION("SUM(
   MAP(
     K$4:ED$4,
     K$3:ED$3,
     K$7:ED$7,
     K$15:ED$15,
     K$16:ED$16,
     K$21:ED$21,
     K$5:ED$5,
     K$17:ED$17,
     K29:ED29,
     LAMBDA(
       name,
       job,
       abillity,
       buff,
       barrier,
       enhance,"&amp;"
       assign,
       precondition,
       check,
       SWITCH(
         name,
         ""シェイクオフ"", IF(check=TRUE, buff + (0.02 * COUNTIF(ARRAYFORMULA((REGEXMATCH($K$4:$ED$4, ""スリル・オブ・バトル|ヴェンジェンス|原初の血気|ダムネーション"")) * (K29:ED29=TRUE)), 1)), 0),
         "&amp;"""インプロビゼーションフィニッシュ(踊りの激情0)"", IF(ISNUMBER(check), INDEX(Skill!$AJ:$AJ, MATCH(SUBSTITUTE(DV$4, 0, check), Skill!$C:$C, 0)), 0),
         IF(
           AND(check=TRUE, REGEXMATCH(assign, ""RANGE_PARTY"")),
           IF(
             OR(ARRAYFORMULA((IF(pr"&amp;"econdition="""", FALSE, REGEXMATCH($K$4:$ED$4, precondition))) * (K29:ED29=TRUE))),
             enhance,
             IF(barrier="""", buff, barrier)
           ),
           0
         )
       ) *
       SWITCH(
         job,
         ""ナイト"", EY$24,
 "&amp;"        ""戦士"", FD$24,
         ""踊り子"", ET$24,
         ""ピクトマンサー"", ET$24,
         ""白魔道士"", EF29 * EH29 * IF(abillity, 1, EG29 * EI29) * (Option!$D$22 * 0.81 / 100),
         ""占星術師"", EF29 * EJ29 * IF(abillity, 1, EG29 * EK29) * (Option!$D$23 * 0.81 "&amp;"/ 100),
         ""学者"", EF29 * EL29 * IF(abillity, 1, EG29 * EM29) * (Option!$D$24 * 0.81 / 100),
         ""賢者"", EF29 * EN29 * IF(abillity, 1, EG29 * EO29) * (Option!$D$25 * 0.81 / 100),
         1
       )
     )
   )
 )"),0.0)</f>
        <v>0</v>
      </c>
      <c r="ER29" s="202">
        <f t="shared" si="4"/>
        <v>2543.625</v>
      </c>
      <c r="ES29" s="203">
        <f t="shared" si="5"/>
        <v>0</v>
      </c>
      <c r="ET29" s="231" t="str">
        <f>IFERROR(__xludf.DUMMYFUNCTION("IFS(
  EP29 &gt; $ET$24 + EQ29,
  SPARKLINE({ 1, 0 }, {""charttype"",""bar"";""max"", 1;""color1"",Option!$D$30;""color2"",Option!$D$30}),
  EP29 &lt; EQ29,
  SPARKLINE({EQ29 - EP29, $ET$24 - (EQ29 - EP29)}, {""charttype"",""bar"";""max"",$ET$24;""color1"",Opti"&amp;"on!$D$28;""color2"",Option!$D$29}),
  EP29 &gt;= EQ29,
  SPARKLINE({$ET$24 + EQ29 - EP29,EP29 - EQ29}, {""charttype"",""bar"";""max"",$ET$24;""color1"",Option!$D$29;""color2"",Option!$D$30})
)"),"")</f>
        <v/>
      </c>
      <c r="EU29" s="205">
        <f>IFERROR(__xludf.DUMMYFUNCTION("PRODUCT(
   MAP(
     IF($F29=""Physical"", K$10:ED$10, IF($F29=""Magic"", K$11:ED$11, K$12:ED$12)),
     IF($F29=""Physical"", K$18:ED$18, IF($F29=""Magic"", K$19:ED$19, K$20:ED$20)),
     K$3:ED$3,
     K$5:ED$5,
     K$17:ED$17,
     K29:ED29,
     LAM"&amp;"BDA(
       mitigation,
       enhance,
       job,
       assign,
       precondition,
       check,
       IF(
         OR(AND(check=TRUE, REGEXMATCH(assign, ""SELF""), job=""ナイト""), AND(check=Option!$E$13, REGEXMATCH(assign, ""SINGLE_PARTY""))),
      "&amp;"   IF(
           OR(ARRAYFORMULA((IF(precondition="""", FALSE, REGEXMATCH($K$4:$ED$4, precondition))) * (K29:ED29=TRUE))),
           enhance,
           mitigation
         ),
         1
       )
     )
   )
 ) * EE29"),0.14535)</f>
        <v>0.14535</v>
      </c>
      <c r="EV29" s="206">
        <f t="shared" si="6"/>
        <v>2034.9</v>
      </c>
      <c r="EW29" s="205">
        <f>IFERROR(__xludf.DUMMYFUNCTION("PRODUCT(
   MAP(
     K$3:ED$3,
     K$14:ED$14,
     K$13:ED$13,
     K29:ED29,
     LAMBDA(
       job,
       buff,
       target,
       check,
       IF(
         OR(AND(check=TRUE, REGEXMATCH(target, ""SELF_AFFECTED_ALL""), job=""ナイト""), AND(check=O"&amp;"ption!$E$13, REGEXMATCH(target, ""SINGLE_AFFECTED_ALL""))),
         buff,
         1
       )
     )
   )
 )"),1.0)</f>
        <v>1</v>
      </c>
      <c r="EX29" s="206">
        <f>IFERROR(__xludf.DUMMYFUNCTION("SUM(
   MAP(
     K$3:ED$3,
     K$7:ED$7,
     K$15:ED$15,
     K$16:ED$16,
     K$21:ED$21,
     K$5:ED$5,
     K$17:ED$17,
     K29:ED29,
     LAMBDA(
       job,
       abillity,
       buff,
       barrier,
       enhance,
       assign,
       preco"&amp;"ndition,
       check,
       IF(
         OR(AND(check=TRUE, REGEXMATCH(assign, ""SELF""), job=""ナイト""), AND(check=Option!$E$13, REGEXMATCH(assign, ""SINGLE_PARTY""))),
         IF(
           OR(ARRAYFORMULA((IF(precondition="""", FALSE, REGEXMATCH($K$4"&amp;":$ED$4, precondition))) * (K29:ED29=TRUE))),
           enhance,
           IF(barrier="""", buff, barrier)
         ),
         0
       ) *
       SWITCH(
         job,
         ""暗黒騎士"", EY$24,
         ""白魔道士"", EF29 * EH29 * EW29 * IF(abillity, 1, EG"&amp;"29 * EI29) * (Option!$D$22 * 0.81 / 100),
         ""占星術師"", EF29 * EJ29 * EW29 * IF(abillity, 1, EG29 * EK29) * (Option!$D$23 * 0.81 / 100),
         ""学者"", EF29 * EL29 * EW29 * IF(abillity, 1, EG29 * EM29) * (Option!$D$24 * 0.81 / 100),
         ""賢者"""&amp;", EF29 * EN29 * EW29 * IF(abillity, 1, EG29 * EO29) * (Option!$D$25 * 0.81 / 100),
         1
       )
     )
   )
 ) + EQ29"),0.0)</f>
        <v>0</v>
      </c>
      <c r="EY29" s="232">
        <f t="shared" si="7"/>
        <v>2034.9</v>
      </c>
      <c r="EZ29" s="205">
        <f>IFERROR(__xludf.DUMMYFUNCTION("PRODUCT(
   MAP(
     IF($F29=""Physical"", K$10:ED$10, IF($F29=""Magic"", K$11:ED$11, K$12:ED$12)),
     IF($F29=""Physical"", K$18:ED$18, IF($F29=""Magic"", K$19:ED$19, K$20:ED$20)),
     K$3:ED$3,
     K$5:ED$5,
     K$17:ED$17,
     K29:ED29,
     LAM"&amp;"BDA(
       mitigation,
       enhance,
       job,
       assign,
       precondition,
       check,
       IF(
         OR(AND(check=TRUE, REGEXMATCH(assign, ""SELF""), job=""戦士""), AND(check=Option!$F$13, REGEXMATCH(assign, ""SINGLE_PARTY""))),
       "&amp;"  IF(
           OR(ARRAYFORMULA((IF(precondition="""", FALSE, REGEXMATCH($K$4:$ED$4, precondition))) * (K29:ED29=TRUE))),
           enhance,
           mitigation
         ),
         1
       )
     )
   )
 ) * EE29"),0.14535)</f>
        <v>0.14535</v>
      </c>
      <c r="FA29" s="206">
        <f t="shared" si="8"/>
        <v>2034.9</v>
      </c>
      <c r="FB29" s="205">
        <f>IFERROR(__xludf.DUMMYFUNCTION("PRODUCT(
   MAP(
     K$3:ED$3,
     K$14:ED$14,
     K$13:ED$13,
     K29:ED29,
     LAMBDA(
       job,
       buff,
       target,
       check,
       IF(
         OR(AND(check=TRUE, REGEXMATCH(target, ""SELF_AFFECTED_ALL""), job=""戦士""), AND(check=Op"&amp;"tion!$F$13, REGEXMATCH(target, ""SINGLE_AFFECTED_ALL""))),
         buff,
         1
       )
     )
   )
 )"),1.0)</f>
        <v>1</v>
      </c>
      <c r="FC29" s="206">
        <f>IFERROR(__xludf.DUMMYFUNCTION("SUM(
   MAP(
     K$3:ED$3,
     K$7:ED$7,
     K$15:ED$15,
     K$16:ED$16,
     K$21:ED$21,
     K$5:ED$5,
     K$17:ED$17,
     K29:ED29,
     LAMBDA(
       job,
       abillity,
       buff,
       barrier,
       enhance,
       assign,
       preco"&amp;"ndition,
       check,
       IF(
         OR(AND(check=TRUE, REGEXMATCH(assign, ""SELF""), job=""戦士""), AND(check=Option!$F$13, REGEXMATCH(assign, ""SINGLE_PARTY""))),
         IF(
           OR(ARRAYFORMULA((IF(precondition="""", FALSE, REGEXMATCH($K$4:"&amp;"$ED$4, precondition))) * (K29:ED29=TRUE))),
           enhance,
           IF(barrier="""", buff, barrier)
         ),
         0
       ) *
       SWITCH(
         job,
         ""暗黒騎士"", FD$24,
         ""白魔道士"", EF29 * EH29 * FB29 * IF(abillity, 1, EG2"&amp;"9 * EI29) * (Option!$D$22 * 0.81 / 100),
         ""占星術師"", EF29 * EJ29 * FFB29 * IF(abillity, 1, EG29 * EK29) * (Option!$D$23 * 0.81 / 100),
         ""学者"", EF29 * EL29 * FB29 * IF(abillity, 1, EG29 * EM29) * (Option!$D$24 * 0.81 / 100),
         ""賢者"""&amp;", EF29 * EN29 * FB29 * IF(abillity, 1, EG29 * EO29) * (Option!$D$25 * 0.81 / 100),
         1
       )
     )
   )
 ) + EQ29"),0.0)</f>
        <v>0</v>
      </c>
      <c r="FD29" s="206">
        <f t="shared" si="9"/>
        <v>2034.9</v>
      </c>
      <c r="FE29" s="205">
        <f>IFERROR(__xludf.DUMMYFUNCTION("PRODUCT(
   MAP(
     IF($F29=""Physical"", K$10:ED$10, IF($F29=""Magic"", K$11:ED$11, K$12:ED$12)),
     IF($F29=""Physical"", K$18:ED$18, IF($F29=""Magic"", K$19:ED$19, K$20:ED$20)),
     K$3:ED$3,
     K$5:ED$5,
     K$17:ED$17,
     K29:ED29,
     LAM"&amp;"BDA(
       mitigation,
       enhance,
       job,
       assign,
       precondition,
       check,
       IF(
         OR(AND(check=TRUE, REGEXMATCH(assign, ""SELF""), job=""暗黒騎士""), AND(check=Option!$G$13, REGEXMATCH(assign, ""SINGLE_PARTY""))),
     "&amp;"    IF(
           OR(ARRAYFORMULA((IF(precondition="""", FALSE, REGEXMATCH($K$4:$ED$4, precondition))) * (K29:ED29=TRUE))),
           enhance,
           mitigation
         ),
         1
       )
     )
   )
 ) * EE29"),0.14535)</f>
        <v>0.14535</v>
      </c>
      <c r="FF29" s="206">
        <f t="shared" si="10"/>
        <v>2034.9</v>
      </c>
      <c r="FG29" s="205">
        <f>IFERROR(__xludf.DUMMYFUNCTION("PRODUCT(
   MAP(
     K$3:ED$3,
     K$14:ED$14,
     K$13:ED$13,
     K29:ED29,
     LAMBDA(
       job,
       buff,
       target,
       check,
       IF(
         OR(AND(check=TRUE, REGEXMATCH(target, ""SELF_AFFECTED_ALL""), job=""暗黒騎士""), AND(check="&amp;"Option!$G$13, REGEXMATCH(target, ""SINGLE_AFFECTED_ALL""))),
         buff,
         1
       )
     )
   )
 )"),1.0)</f>
        <v>1</v>
      </c>
      <c r="FH29" s="206">
        <f>IFERROR(__xludf.DUMMYFUNCTION("SUM(
   MAP(
     K$3:ED$3,
     K$7:ED$7,
     K$15:ED$15,
     K$16:ED$16,
     K$21:ED$21,
     K$5:ED$5,
     K$17:ED$17,
     K29:ED29,
     LAMBDA(
       job,
       abillity,
       buff,
       barrier,
       enhance,
       assign,
       preco"&amp;"ndition,
       check,
       IF(
         OR(AND(check=TRUE, REGEXMATCH(assign, ""SELF""), job=""暗黒騎士""), AND(check=Option!$G$13, REGEXMATCH(assign, ""SINGLE_PARTY""))),
         IF(
           OR(ARRAYFORMULA((IF(precondition="""", FALSE, REGEXMATCH($K$"&amp;"4:$ED$4, precondition))) * (K29:ED29=TRUE))),
           enhance,
           IF(barrier="""", buff, barrier)
         ),
         0
       ) *
       SWITCH(
         job,
         ""暗黒騎士"", FI$24,
         ""白魔道士"", EF29 * EH29 * FG29 * IF(abillity, 1, E"&amp;"G29 * EI29) * (Option!$D$22 * 0.81 / 100),
         ""占星術師"", EF29 * EJ29 * FG29 * IF(abillity, 1, EG29 * EK29) * (Option!$D$23 * 0.81 / 100),
         ""学者"", EF29 * EL29 * FG29 * IF(abillity, 1, EG29 * EM29) * (Option!$D$24 * 0.81 / 100),
         ""賢者"&amp;""", EF29 * EN29 * FG29 * IF(abillity, 1, EG29 * EO29) * (Option!$D$25 * 0.81 / 100),
         1
       )
     )
   )
 ) + EQ29"),0.0)</f>
        <v>0</v>
      </c>
      <c r="FI29" s="206">
        <f t="shared" si="11"/>
        <v>2034.9</v>
      </c>
      <c r="FJ29" s="205">
        <f>IFERROR(__xludf.DUMMYFUNCTION("PRODUCT(
   MAP(
     IF($F29=""Physical"", K$10:ED$10, IF($F29=""Magic"", K$11:ED$11, K$12:ED$12)),
     IF($F29=""Physical"", K$18:ED$18, IF($F29=""Magic"", K$19:ED$19, K$20:ED$20)),
     K$3:ED$3,
     K$5:ED$5,
     K$17:ED$17,
     K29:ED29,
     LAM"&amp;"BDA(
       mitigation,
       enhance,
       job,
       assign,
       precondition,
       check,
       IF(
         OR(AND(check=TRUE, REGEXMATCH(assign, ""SELF""), job=""ガンブレイカー""), AND(check=Option!$H$13, REGEXMATCH(assign, ""SINGLE_PARTY""))),
  "&amp;"       IF(
           OR(ARRAYFORMULA((IF(precondition="""", FALSE, REGEXMATCH($K$4:$ED$4, precondition))) * (K29:ED29=TRUE))),
           enhance,
           mitigation
         ),
         1
       )
     )
   )
 ) * EE29"),0.14535)</f>
        <v>0.14535</v>
      </c>
      <c r="FK29" s="206">
        <f t="shared" si="12"/>
        <v>2034.9</v>
      </c>
      <c r="FL29" s="205">
        <f>IFERROR(__xludf.DUMMYFUNCTION("PRODUCT(
   MAP(
     K$3:ED$3,
     K$14:ED$14,
     K$13:ED$13,
     K29:ED29,
     LAMBDA(
       job,
       buff,
       target,
       check,
       IF(
         OR(AND(check=TRUE, REGEXMATCH(target, ""SELF_AFFECTED_ALL""), job=""ガンブレイカー""), AND(che"&amp;"ck=Option!$H$13, REGEXMATCH(target, ""SINGLE_AFFECTED_ALL""))),
         buff,
         1
       )
     )
   )
 )"),1.0)</f>
        <v>1</v>
      </c>
      <c r="FM29" s="206">
        <f>IFERROR(__xludf.DUMMYFUNCTION("SUM(
   MAP(
     K$3:ED$3,
     K$7:ED$7,
     K$15:ED$15,
     K$16:ED$16,
     K$21:ED$21,
     K$5:ED$5,
     K$17:ED$17,
     K29:ED29,
     LAMBDA(
       job,
       abillity,
       buff,
       barrier,
       enhance,
       assign,
       preco"&amp;"ndition,
       check,
       IF(
         OR(AND(check=TRUE, REGEXMATCH(assign, ""SELF""), job=""ガンブレイカー""), AND(check=Option!$H$13, REGEXMATCH(assign, ""SINGLE_PARTY""))),
         IF(
           OR(ARRAYFORMULA((IF(precondition="""", FALSE, REGEXMATCH("&amp;"$K$4:$ED$4, precondition))) * (K29:ED29=TRUE))),
           enhance,
           IF(barrier="""", buff, barrier)
         ),
         0
       ) *
       SWITCH(
         job,
         ""暗黒騎士"", FN$24,
         ""白魔道士"", EF29 * EH29 * FL29 * IF(abillity, 1"&amp;", EG29 * EI29) * (Option!$D$22 * 0.81 / 100),
         ""占星術師"", EF29 * EJ29 * FL29 * IF(abillity, 1, EG29 * EK29) * (Option!$D$23 * 0.81 / 100),
         ""学者"", EF29 * EL29 * FL29 * IF(abillity, 1, EG29 * EM29) * (Option!$D$24 * 0.81 / 100),
         """&amp;"賢者"", EF29 * EN29 * FL29 * IF(abillity, 1, EG29 * EO29) * (Option!$D$25 * 0.81 / 100),
         1
       )
     )
   )
 ) + EQ29"),0.0)</f>
        <v>0</v>
      </c>
      <c r="FN29" s="206">
        <f t="shared" si="13"/>
        <v>2034.9</v>
      </c>
      <c r="FO29" s="213"/>
    </row>
    <row r="30">
      <c r="B30" s="229"/>
      <c r="C30" s="217">
        <f t="shared" si="1"/>
        <v>0.002060185185</v>
      </c>
      <c r="D30" s="233">
        <v>3.587962962962963E-4</v>
      </c>
      <c r="E30" s="226" t="s">
        <v>1089</v>
      </c>
      <c r="F30" s="167" t="s">
        <v>10</v>
      </c>
      <c r="G30" s="168" t="str">
        <f t="shared" si="2"/>
        <v/>
      </c>
      <c r="H30" s="169">
        <v>1100.0</v>
      </c>
      <c r="I30" s="169"/>
      <c r="J30" s="169"/>
      <c r="K30" s="170" t="b">
        <v>0</v>
      </c>
      <c r="L30" s="170" t="b">
        <v>0</v>
      </c>
      <c r="M30" s="170" t="b">
        <v>0</v>
      </c>
      <c r="N30" s="171" t="s">
        <v>1070</v>
      </c>
      <c r="O30" s="172" t="b">
        <v>0</v>
      </c>
      <c r="P30" s="173" t="b">
        <v>0</v>
      </c>
      <c r="Q30" s="173" t="b">
        <v>0</v>
      </c>
      <c r="R30" s="173" t="b">
        <v>0</v>
      </c>
      <c r="S30" s="174" t="b">
        <v>0</v>
      </c>
      <c r="T30" s="175" t="b">
        <v>0</v>
      </c>
      <c r="U30" s="173" t="b">
        <v>0</v>
      </c>
      <c r="V30" s="171" t="s">
        <v>1070</v>
      </c>
      <c r="W30" s="172" t="b">
        <v>0</v>
      </c>
      <c r="X30" s="173" t="b">
        <v>0</v>
      </c>
      <c r="Y30" s="173" t="b">
        <v>0</v>
      </c>
      <c r="Z30" s="173" t="b">
        <v>0</v>
      </c>
      <c r="AA30" s="174" t="b">
        <v>0</v>
      </c>
      <c r="AB30" s="174" t="b">
        <v>0</v>
      </c>
      <c r="AC30" s="175" t="b">
        <v>0</v>
      </c>
      <c r="AD30" s="173" t="b">
        <v>0</v>
      </c>
      <c r="AE30" s="176" t="s">
        <v>1070</v>
      </c>
      <c r="AF30" s="171" t="s">
        <v>1070</v>
      </c>
      <c r="AG30" s="177">
        <f>IFERROR(__xludf.DUMMYFUNCTION("IF(
  ISNUMBER(AG29),
  MIN(MAX(
    AG29
    + MAX(
      ROUNDDOWN(($D30 - MAX(IFERROR(FILTER($D$24:$D29, AG$24:AG29 &lt;&gt; AF$6, AG$23:AG28 = AF$6), 0))) * (60 * 60 * 24) / AF$9) - ROUNDDOWN(($D29 - MAX(IFERROR(FILTER($D$23:$D28, AG$23:AG28 &lt;&gt; AF$6, AG$22:"&amp;"AG27 = AF$6), 0))) * (60 * 60 * 24) / 60),
      0
    )
    - COUNTIF(AF30, ""&lt;&gt;-""),
  0), AF$6),
  AF$6 - COUNTIF(AF30, ""&lt;&gt;-"")
)"),2.0)</f>
        <v>2</v>
      </c>
      <c r="AH30" s="173" t="b">
        <v>0</v>
      </c>
      <c r="AI30" s="173" t="b">
        <v>0</v>
      </c>
      <c r="AJ30" s="173" t="b">
        <v>0</v>
      </c>
      <c r="AK30" s="174" t="b">
        <v>0</v>
      </c>
      <c r="AL30" s="175" t="b">
        <v>0</v>
      </c>
      <c r="AM30" s="173" t="b">
        <v>0</v>
      </c>
      <c r="AN30" s="171" t="s">
        <v>1070</v>
      </c>
      <c r="AO30" s="173" t="b">
        <v>0</v>
      </c>
      <c r="AP30" s="173" t="b">
        <v>0</v>
      </c>
      <c r="AQ30" s="173" t="b">
        <v>0</v>
      </c>
      <c r="AR30" s="174" t="b">
        <v>0</v>
      </c>
      <c r="AS30" s="178" t="b">
        <v>0</v>
      </c>
      <c r="AT30" s="179" t="b">
        <v>0</v>
      </c>
      <c r="AU30" s="180" t="b">
        <v>0</v>
      </c>
      <c r="AV30" s="180" t="b">
        <v>0</v>
      </c>
      <c r="AW30" s="180" t="b">
        <v>0</v>
      </c>
      <c r="AX30" s="180" t="b">
        <v>0</v>
      </c>
      <c r="AY30" s="181" t="s">
        <v>1070</v>
      </c>
      <c r="AZ30" s="181" t="s">
        <v>1070</v>
      </c>
      <c r="BA30" s="184">
        <f>IFERROR(__xludf.DUMMYFUNCTION("IF(
  ISNUMBER(BA29),
  MIN(MAX(
    BA29
    + MAX(
      ROUNDDOWN((D30 - MAX(IFERROR(FILTER(D$24:D29, BA$24:BA29 &lt;&gt; AZ$6, BA$23:BA28 = AZ$6), 0))) * (60 * 60 * 24) / AZ$9) - ROUNDDOWN((D29 - MAX(IFERROR(FILTER(D$23:D28, BA$23:BA28 &lt;&gt; AZ$6, BA$22:BA27 ="&amp;" AZ$6), 0))) * (60 * 60 * 24) / AZ$9),
      0
    )
    - COUNTIF(AZ30, ""&lt;&gt;-""),
  0), AZ$6),
  AZ$6 - COUNTIF(AZ30, ""&lt;&gt;-"")
)"),2.0)</f>
        <v>2</v>
      </c>
      <c r="BB30" s="181" t="s">
        <v>1070</v>
      </c>
      <c r="BC30" s="183">
        <f>IFERROR(__xludf.DUMMYFUNCTION("IF(
  ISNUMBER(BC29),
  MIN(MAX(
    BC29
    + MAX(
      ROUNDDOWN(($D30 - MAX(IFERROR(FILTER($D$24:$D29, BC$24:BC29 &lt;&gt; BB$6, BC$23:BC28 = BB$6), 0))) * (60 * 60 * 24) / BB$9) - ROUNDDOWN(($D29 - MAX(IFERROR(FILTER($D$23:$D28, BC$23:BC28 &lt;&gt; BB$6, BC$22:"&amp;"BC27 = BB$6), 0))) * (60 * 60 * 24) / 60),
      0
    )
    - COUNTIF(BB30, ""&lt;&gt;-""),
  0), BB$6),
  BB$6 - COUNTIF(BB30, ""&lt;&gt;-"")
)"),2.0)</f>
        <v>2</v>
      </c>
      <c r="BD30" s="181" t="s">
        <v>1070</v>
      </c>
      <c r="BE30" s="178" t="b">
        <v>0</v>
      </c>
      <c r="BF30" s="180" t="b">
        <v>0</v>
      </c>
      <c r="BG30" s="180" t="b">
        <v>0</v>
      </c>
      <c r="BH30" s="180" t="b">
        <v>0</v>
      </c>
      <c r="BI30" s="180" t="b">
        <v>0</v>
      </c>
      <c r="BJ30" s="180" t="b">
        <v>0</v>
      </c>
      <c r="BK30" s="180" t="b">
        <v>0</v>
      </c>
      <c r="BL30" s="180" t="b">
        <v>0</v>
      </c>
      <c r="BM30" s="180" t="b">
        <v>0</v>
      </c>
      <c r="BN30" s="180" t="b">
        <v>0</v>
      </c>
      <c r="BO30" s="181" t="s">
        <v>1070</v>
      </c>
      <c r="BP30" s="181" t="s">
        <v>1070</v>
      </c>
      <c r="BQ30" s="181" t="s">
        <v>1070</v>
      </c>
      <c r="BR30" s="181" t="s">
        <v>1070</v>
      </c>
      <c r="BS30" s="181" t="s">
        <v>1070</v>
      </c>
      <c r="BT30" s="184">
        <f>IFERROR(__xludf.DUMMYFUNCTION("IF(
  ISNUMBER(BT29),
  MIN(MAX(
    BT29
    + MAX(
      ROUNDDOWN((D30 - MAX(IFERROR(FILTER(D$24:D29, BT$24:BT29 &lt;&gt; BS$6, BT$23:BT28 = BS$6), 0))) * (60 * 60 * 24) / BS$9) - ROUNDDOWN((D29 - MAX(IFERROR(FILTER(D$23:D28, BT$23:BT28 &lt;&gt; BS$6, BT$22:BT27 ="&amp;" BS$6), 0))) * (60 * 60 * 24) / BS$9),
      0
    )
    - COUNTIF(BS30, ""&lt;&gt;-""),
  0), BS$6),
  BS$6 - COUNTIF(BS30, ""&lt;&gt;-"")
)"),3.0)</f>
        <v>3</v>
      </c>
      <c r="BU30" s="181" t="s">
        <v>1070</v>
      </c>
      <c r="BV30" s="181" t="s">
        <v>1070</v>
      </c>
      <c r="BW30" s="184">
        <f>IFERROR(__xludf.DUMMYFUNCTION("IF(
  ISNUMBER(BW29),
  MIN(MAX(
    BW29
    + MAX(
      ROUNDDOWN((D30 - MAX(IFERROR(FILTER(D$24:D29, BW$24:BW29 &lt;&gt; BV$6, BW$23:BW28 = BV$6), 0))) * (60 * 60 * 24) / BV$9) - ROUNDDOWN((D29 - MAX(IFERROR(FILTER(D$23:D28, BW$23:BW28 &lt;&gt; BV$6, BW$22:BW27 ="&amp;" BV$6), 0))) * (60 * 60 * 24) / BV$9),
      0
    )
    - COUNTIF(BV30, ""&lt;&gt;-""),
  0), BV$6),
  BV$6 - COUNTIF(BV30, ""&lt;&gt;-"")
)"),2.0)</f>
        <v>2</v>
      </c>
      <c r="BX30" s="185" t="s">
        <v>1070</v>
      </c>
      <c r="BY30" s="178" t="b">
        <v>0</v>
      </c>
      <c r="BZ30" s="180" t="b">
        <v>0</v>
      </c>
      <c r="CA30" s="180" t="b">
        <v>0</v>
      </c>
      <c r="CB30" s="180" t="b">
        <v>0</v>
      </c>
      <c r="CC30" s="180" t="b">
        <v>0</v>
      </c>
      <c r="CD30" s="180" t="b">
        <v>0</v>
      </c>
      <c r="CE30" s="180" t="b">
        <v>0</v>
      </c>
      <c r="CF30" s="180" t="b">
        <v>0</v>
      </c>
      <c r="CG30" s="180" t="b">
        <v>0</v>
      </c>
      <c r="CH30" s="180" t="b">
        <v>0</v>
      </c>
      <c r="CI30" s="180" t="b">
        <v>0</v>
      </c>
      <c r="CJ30" s="180" t="b">
        <v>0</v>
      </c>
      <c r="CK30" s="180" t="b">
        <v>0</v>
      </c>
      <c r="CL30" s="180" t="b">
        <v>0</v>
      </c>
      <c r="CM30" s="181" t="s">
        <v>1070</v>
      </c>
      <c r="CN30" s="181" t="s">
        <v>1070</v>
      </c>
      <c r="CO30" s="181" t="s">
        <v>1070</v>
      </c>
      <c r="CP30" s="181" t="s">
        <v>1070</v>
      </c>
      <c r="CQ30" s="185" t="s">
        <v>1070</v>
      </c>
      <c r="CR30" s="180" t="b">
        <v>0</v>
      </c>
      <c r="CS30" s="186" t="str">
        <f t="shared" si="14"/>
        <v>◇◇◇</v>
      </c>
      <c r="CT30" s="178" t="b">
        <v>0</v>
      </c>
      <c r="CU30" s="180" t="b">
        <v>0</v>
      </c>
      <c r="CV30" s="180" t="b">
        <v>0</v>
      </c>
      <c r="CW30" s="180" t="b">
        <v>0</v>
      </c>
      <c r="CX30" s="180" t="b">
        <v>0</v>
      </c>
      <c r="CY30" s="180" t="b">
        <v>0</v>
      </c>
      <c r="CZ30" s="180" t="b">
        <v>0</v>
      </c>
      <c r="DA30" s="180" t="b">
        <v>0</v>
      </c>
      <c r="DB30" s="180" t="b">
        <v>0</v>
      </c>
      <c r="DC30" s="180" t="b">
        <v>0</v>
      </c>
      <c r="DD30" s="181" t="s">
        <v>1070</v>
      </c>
      <c r="DE30" s="181" t="s">
        <v>1070</v>
      </c>
      <c r="DF30" s="181" t="s">
        <v>1070</v>
      </c>
      <c r="DG30" s="185" t="s">
        <v>1070</v>
      </c>
      <c r="DH30" s="180" t="b">
        <v>0</v>
      </c>
      <c r="DI30" s="187" t="str">
        <f>IFERROR(__xludf.DUMMYFUNCTION("SWITCH(
  IF(
    ISTEXT(DI29),
    IF (
      FIND(""○"", DI29&amp;""○"") &gt; 3,
      3,
      FIND(""○"", DI29&amp;""○"")
      + MAX(
        ROUNDDOWN(($D30 - MAX(IFERROR(FILTER(D$24:D29, DI$24:DI29 &lt;&gt; ""●●●"", DI$23:DI28 = ""●●●""), 0))) * (60 * 60 * 24) / 20"&amp;") - ROUNDDOWN(($D29 - MAX(IFERROR(FILTER(D$23:D28, DI$23:DI28 &lt;&gt; ""●●●"", DI$22:DI27 = ""●●●""), 0))) * (60 * 60 * 24) / 20),
        0
      ) - 1
    ) - COUNTIFS(CU30, ""=TRUE"", CU29, ""&lt;&gt;TRUE"") - COUNTIF(CZ30, ""=TRUE"") - COUNTIF({DD30,DE30}, ""&lt;&gt;-"&amp;""") + COUNTIF(DH30, ""=TRUE""),
    3
  ),
  0, ""○○○"", 1, ""●○○"", 2, ""●●○"", 3, ""●●●"", 4, ""●●●"", ""○○○""
)"),"●●●")</f>
        <v>●●●</v>
      </c>
      <c r="DJ30" s="188" t="b">
        <v>0</v>
      </c>
      <c r="DK30" s="189" t="b">
        <v>0</v>
      </c>
      <c r="DL30" s="190" t="b">
        <v>0</v>
      </c>
      <c r="DM30" s="190" t="b">
        <v>0</v>
      </c>
      <c r="DN30" s="190" t="b">
        <v>0</v>
      </c>
      <c r="DO30" s="190" t="b">
        <v>0</v>
      </c>
      <c r="DP30" s="190" t="b">
        <v>0</v>
      </c>
      <c r="DQ30" s="191" t="b">
        <v>0</v>
      </c>
      <c r="DR30" s="192" t="b">
        <v>0</v>
      </c>
      <c r="DS30" s="191" t="b">
        <v>0</v>
      </c>
      <c r="DT30" s="192" t="b">
        <v>0</v>
      </c>
      <c r="DU30" s="191" t="b">
        <v>0</v>
      </c>
      <c r="DV30" s="193" t="s">
        <v>1070</v>
      </c>
      <c r="DW30" s="194" t="b">
        <v>0</v>
      </c>
      <c r="DX30" s="194" t="b">
        <v>0</v>
      </c>
      <c r="DY30" s="195" t="b">
        <v>0</v>
      </c>
      <c r="DZ30" s="196" t="b">
        <v>0</v>
      </c>
      <c r="EA30" s="195" t="b">
        <v>0</v>
      </c>
      <c r="EB30" s="197" t="b">
        <v>0</v>
      </c>
      <c r="EC30" s="197" t="b">
        <v>0</v>
      </c>
      <c r="ED30" s="212" t="b">
        <v>0</v>
      </c>
      <c r="EE30" s="199">
        <f>IFERROR(__xludf.DUMMYFUNCTION("IFERROR(
   PRODUCT(
     MAP(
       INDEX(TRANSPOSE(UNIQUE(TRANSPOSE(FILTER({IF($F30=""Physical"", K$10:ED$10, IF($F30=""Magic"", K$11:ED$11, K$12:ED$12));K$4:ED$4;K30:ED30}, K30:ED30=TRUE)))), 1, 0),
       INDEX(TRANSPOSE(UNIQUE(TRANSPOSE(FILTER({IF($"&amp;"F30=""Physical"", K$18:ED$18, IF($F30=""Magic"", K$19:ED$19, K$20:ED$20));K$4:ED$4;K30:ED30}, K30:ED30=TRUE)))), 1, 0),
       INDEX(TRANSPOSE(UNIQUE(TRANSPOSE(FILTER({K$5:ED$5;K$4:ED$4;K30:ED30}, K30:ED30=TRUE)))), 1, 0),
       INDEX(TRANSPOSE(UNIQUE(TR"&amp;"ANSPOSE(FILTER({K$17:ED$17;K$4:ED$4;K30:ED30}, K30:ED30=TRUE)))), 1, 0),
       LAMBDA(
         mitigation,
         enhance,
         assign,
         precondition,
         IF(
           REGEXMATCH(assign, ""RANGE_PARTY|SINGLE_ENEMY|RANGE_ENEMY""),
  "&amp;"         IF(
             OR(ARRAYFORMULA((IF(precondition="""", FALSE, REGEXMATCH(K$4:ED$4, precondition))) * (K30:ED30=TRUE))),
             IF(ISNUMBER(enhance), enhance, 1),
             IF(ISNUMBER(mitigation), mitigation, 1)
           ),
          "&amp;" 1
         )
       )
     )
   ),
   1
 )"),1.0)</f>
        <v>1</v>
      </c>
      <c r="EF30" s="200">
        <f>IFERROR(__xludf.DUMMYFUNCTION("PRODUCT(
   MAP(
     K$14:ED$14,
     K$13:ED$13,
     K30:ED30,
     LAMBDA(
       buff,
       target,
       check,
       IF(
         AND(check=TRUE, REGEXMATCH(target, ""RANGE_AFFECTED_ALL|RANGE_EFFECTED_ALL""), ISNUMBER(buff)),
         buff,
   "&amp;"      1
       )
     )
   )
 )"),1.0)</f>
        <v>1</v>
      </c>
      <c r="EG30" s="200">
        <f>IFERROR(__xludf.DUMMYFUNCTION("PRODUCT(
   MAP(
     K$14:ED$14,
     K$13:ED$13,
     K30:ED30,
     LAMBDA(
       buff,
       target,
       check,
       IF(
         AND(check=TRUE, REGEXMATCH(target, ""RANGE_AFFECTED_GCD|RANGE_EFFECTED_GCD""), ISNUMBER(buff)),
         buff,
   "&amp;"      1
       )
     )
   )
 )"),1.0)</f>
        <v>1</v>
      </c>
      <c r="EH30" s="200">
        <f>IFERROR(__xludf.DUMMYFUNCTION("PRODUCT(
   MAP(
     K$3:ED$3,
     K$14:ED$14,
     K$13:ED$13,
     K30:ED30,
     LAMBDA(
       job,
       buff,
       target,
       check,
       IF(
         AND(check=TRUE, REGEXMATCH(target, ""SELF_EFFECTED_ALL""), ISNUMBER(buff), job=""白魔道士"""&amp;"),
         buff,
         1
       )
     )
   )
 )"),1.0)</f>
        <v>1</v>
      </c>
      <c r="EI30" s="200">
        <f>IFERROR(__xludf.DUMMYFUNCTION("PRODUCT(
   MAP(
     K$3:ED$3,
     K$14:ED$14,
     K$13:ED$13,
     K30:ED30,
     LAMBDA(
       job,
       buff,
       target,
       check,
       IF(
         AND(check=TRUE, REGEXMATCH(target, ""SELF_EFFECTED_GCD""), ISNUMBER(buff), job=""白魔道士"""&amp;"),
         buff,
         1
       )
     )
   )
 )"),1.0)</f>
        <v>1</v>
      </c>
      <c r="EJ30" s="200">
        <f>IFERROR(__xludf.DUMMYFUNCTION("PRODUCT(
   MAP(
     K$3:ED$3,
     K$14:ED$14,
     K$13:ED$13,
     K30:ED30,
     LAMBDA(
       job,
       buff,
       target,
       check,
       IF(
         AND(check=TRUE, REGEXMATCH(target, ""SELF_EFFECTED_ALL""), ISNUMBER(buff), job=""占星術師"""&amp;"),
         buff,
         1
       )
     )
   )
 )"),1.0)</f>
        <v>1</v>
      </c>
      <c r="EK30" s="200">
        <f>IFERROR(__xludf.DUMMYFUNCTION("PRODUCT(
   MAP(
     K$3:ED$3,
     K$14:ED$14,
     K$13:ED$13,
     K30:ED30,
     LAMBDA(
       job,
       buff,
       target,
       check,
       IF(
         AND(check=TRUE, REGEXMATCH(target, ""SELF_EFFECTED_GCD""), ISNUMBER(buff), job=""占星術師"""&amp;"),
         buff,
         1
       )
     )
   )
 )"),1.0)</f>
        <v>1</v>
      </c>
      <c r="EL30" s="200">
        <f>IFERROR(__xludf.DUMMYFUNCTION("PRODUCT(
   MAP(
     K$3:ED$3,
     K$14:ED$14,
     K$13:ED$13,
     K30:ED30,
     LAMBDA(
       job,
       buff,
       target,
       check,
       IF(
         AND(check=TRUE, REGEXMATCH(target, ""SELF_EFFECTED_ALL""), ISNUMBER(buff), job=""学者""),"&amp;"
         buff,
         1
       )
     )
   )
 )"),1.0)</f>
        <v>1</v>
      </c>
      <c r="EM30" s="200">
        <f>IFERROR(__xludf.DUMMYFUNCTION("PRODUCT(
   MAP(
     K$3:ED$3,
     K$14:ED$14,
     K$13:ED$13,
     K30:ED30,
     LAMBDA(
       job,
       buff,
       target,
       check,
       IF(
         AND(check=TRUE, REGEXMATCH(target, ""SELF_EFFECTED_GCD""), ISNUMBER(buff), job=""学者""),"&amp;"
         buff,
         1
       )
     )
   )
 )"),1.0)</f>
        <v>1</v>
      </c>
      <c r="EN30" s="200">
        <f>IFERROR(__xludf.DUMMYFUNCTION("PRODUCT(
   MAP(
     K$3:ED$3,
     K$14:ED$14,
     K$13:ED$13,
     K30:ED30,
     LAMBDA(
       job,
       buff,
       target,
       check,
       IF(
         AND(check=TRUE, REGEXMATCH(target, ""SELF_EFFECTED_ALL""), ISNUMBER(buff), job=""賢者""),"&amp;"
         buff,
         1
       )
     )
   )
 )"),1.0)</f>
        <v>1</v>
      </c>
      <c r="EO30" s="200">
        <f>IFERROR(__xludf.DUMMYFUNCTION("PRODUCT(
   MAP(
     K$3:ED$3,
     K$14:ED$14,
     K$13:ED$13,
     K30:ED30,
     LAMBDA(
       job,
       buff,
       target,
       check,
       IF(
         AND(check=TRUE, REGEXMATCH(target, ""SELF_EFFECTED_GCD""), ISNUMBER(buff), job=""賢者""),"&amp;"
         buff,
         1
       )
     )
   )
 )"),1.0)</f>
        <v>1</v>
      </c>
      <c r="EP30" s="201">
        <f t="shared" si="3"/>
        <v>1100</v>
      </c>
      <c r="EQ30" s="201">
        <f>IFERROR(__xludf.DUMMYFUNCTION("SUM(
   MAP(
     K$4:ED$4,
     K$3:ED$3,
     K$7:ED$7,
     K$15:ED$15,
     K$16:ED$16,
     K$21:ED$21,
     K$5:ED$5,
     K$17:ED$17,
     K30:ED30,
     LAMBDA(
       name,
       job,
       abillity,
       buff,
       barrier,
       enhance,"&amp;"
       assign,
       precondition,
       check,
       SWITCH(
         name,
         ""シェイクオフ"", IF(check=TRUE, buff + (0.02 * COUNTIF(ARRAYFORMULA((REGEXMATCH($K$4:$ED$4, ""スリル・オブ・バトル|ヴェンジェンス|原初の血気|ダムネーション"")) * (K30:ED30=TRUE)), 1)), 0),
         "&amp;"""インプロビゼーションフィニッシュ(踊りの激情0)"", IF(ISNUMBER(check), INDEX(Skill!$AJ:$AJ, MATCH(SUBSTITUTE(DV$4, 0, check), Skill!$C:$C, 0)), 0),
         IF(
           AND(check=TRUE, REGEXMATCH(assign, ""RANGE_PARTY"")),
           IF(
             OR(ARRAYFORMULA((IF(pr"&amp;"econdition="""", FALSE, REGEXMATCH($K$4:$ED$4, precondition))) * (K30:ED30=TRUE))),
             enhance,
             IF(barrier="""", buff, barrier)
           ),
           0
         )
       ) *
       SWITCH(
         job,
         ""ナイト"", EY$24,
 "&amp;"        ""戦士"", FD$24,
         ""踊り子"", ET$24,
         ""ピクトマンサー"", ET$24,
         ""白魔道士"", EF30 * EH30 * IF(abillity, 1, EG30 * EI30) * (Option!$D$22 * 0.81 / 100),
         ""占星術師"", EF30 * EJ30 * IF(abillity, 1, EG30 * EK30) * (Option!$D$23 * 0.81 "&amp;"/ 100),
         ""学者"", EF30 * EL30 * IF(abillity, 1, EG30 * EM30) * (Option!$D$24 * 0.81 / 100),
         ""賢者"", EF30 * EN30 * IF(abillity, 1, EG30 * EO30) * (Option!$D$25 * 0.81 / 100),
         1
       )
     )
   )
 )"),0.0)</f>
        <v>0</v>
      </c>
      <c r="ER30" s="202">
        <f t="shared" si="4"/>
        <v>1100</v>
      </c>
      <c r="ES30" s="203">
        <f t="shared" si="5"/>
        <v>0</v>
      </c>
      <c r="ET30" s="231" t="str">
        <f>IFERROR(__xludf.DUMMYFUNCTION("IFS(
  EP30 &gt; $ET$24 + EQ30,
  SPARKLINE({ 1, 0 }, {""charttype"",""bar"";""max"", 1;""color1"",Option!$D$30;""color2"",Option!$D$30}),
  EP30 &lt; EQ30,
  SPARKLINE({EQ30 - EP30, $ET$24 - (EQ30 - EP30)}, {""charttype"",""bar"";""max"",$ET$24;""color1"",Opti"&amp;"on!$D$28;""color2"",Option!$D$29}),
  EP30 &gt;= EQ30,
  SPARKLINE({$ET$24 + EQ30 - EP30,EP30 - EQ30}, {""charttype"",""bar"";""max"",$ET$24;""color1"",Option!$D$29;""color2"",Option!$D$30})
)"),"")</f>
        <v/>
      </c>
      <c r="EU30" s="205">
        <f>IFERROR(__xludf.DUMMYFUNCTION("PRODUCT(
   MAP(
     IF($F30=""Physical"", K$10:ED$10, IF($F30=""Magic"", K$11:ED$11, K$12:ED$12)),
     IF($F30=""Physical"", K$18:ED$18, IF($F30=""Magic"", K$19:ED$19, K$20:ED$20)),
     K$3:ED$3,
     K$5:ED$5,
     K$17:ED$17,
     K30:ED30,
     LAM"&amp;"BDA(
       mitigation,
       enhance,
       job,
       assign,
       precondition,
       check,
       IF(
         OR(AND(check=TRUE, REGEXMATCH(assign, ""SELF""), job=""ナイト""), AND(check=Option!$E$13, REGEXMATCH(assign, ""SINGLE_PARTY""))),
      "&amp;"   IF(
           OR(ARRAYFORMULA((IF(precondition="""", FALSE, REGEXMATCH($K$4:$ED$4, precondition))) * (K30:ED30=TRUE))),
           enhance,
           mitigation
         ),
         1
       )
     )
   )
 ) * EE30"),1.0)</f>
        <v>1</v>
      </c>
      <c r="EV30" s="206">
        <f t="shared" si="6"/>
        <v>880</v>
      </c>
      <c r="EW30" s="205">
        <f>IFERROR(__xludf.DUMMYFUNCTION("PRODUCT(
   MAP(
     K$3:ED$3,
     K$14:ED$14,
     K$13:ED$13,
     K30:ED30,
     LAMBDA(
       job,
       buff,
       target,
       check,
       IF(
         OR(AND(check=TRUE, REGEXMATCH(target, ""SELF_AFFECTED_ALL""), job=""ナイト""), AND(check=O"&amp;"ption!$E$13, REGEXMATCH(target, ""SINGLE_AFFECTED_ALL""))),
         buff,
         1
       )
     )
   )
 )"),1.0)</f>
        <v>1</v>
      </c>
      <c r="EX30" s="206">
        <f>IFERROR(__xludf.DUMMYFUNCTION("SUM(
   MAP(
     K$3:ED$3,
     K$7:ED$7,
     K$15:ED$15,
     K$16:ED$16,
     K$21:ED$21,
     K$5:ED$5,
     K$17:ED$17,
     K30:ED30,
     LAMBDA(
       job,
       abillity,
       buff,
       barrier,
       enhance,
       assign,
       preco"&amp;"ndition,
       check,
       IF(
         OR(AND(check=TRUE, REGEXMATCH(assign, ""SELF""), job=""ナイト""), AND(check=Option!$E$13, REGEXMATCH(assign, ""SINGLE_PARTY""))),
         IF(
           OR(ARRAYFORMULA((IF(precondition="""", FALSE, REGEXMATCH($K$4"&amp;":$ED$4, precondition))) * (K30:ED30=TRUE))),
           enhance,
           IF(barrier="""", buff, barrier)
         ),
         0
       ) *
       SWITCH(
         job,
         ""暗黒騎士"", EY$24,
         ""白魔道士"", EF30 * EH30 * EW30 * IF(abillity, 1, EG"&amp;"30 * EI30) * (Option!$D$22 * 0.81 / 100),
         ""占星術師"", EF30 * EJ30 * EW30 * IF(abillity, 1, EG30 * EK30) * (Option!$D$23 * 0.81 / 100),
         ""学者"", EF30 * EL30 * EW30 * IF(abillity, 1, EG30 * EM30) * (Option!$D$24 * 0.81 / 100),
         ""賢者"""&amp;", EF30 * EN30 * EW30 * IF(abillity, 1, EG30 * EO30) * (Option!$D$25 * 0.81 / 100),
         1
       )
     )
   )
 ) + EQ30"),0.0)</f>
        <v>0</v>
      </c>
      <c r="EY30" s="232">
        <f t="shared" si="7"/>
        <v>880</v>
      </c>
      <c r="EZ30" s="205">
        <f>IFERROR(__xludf.DUMMYFUNCTION("PRODUCT(
   MAP(
     IF($F30=""Physical"", K$10:ED$10, IF($F30=""Magic"", K$11:ED$11, K$12:ED$12)),
     IF($F30=""Physical"", K$18:ED$18, IF($F30=""Magic"", K$19:ED$19, K$20:ED$20)),
     K$3:ED$3,
     K$5:ED$5,
     K$17:ED$17,
     K30:ED30,
     LAM"&amp;"BDA(
       mitigation,
       enhance,
       job,
       assign,
       precondition,
       check,
       IF(
         OR(AND(check=TRUE, REGEXMATCH(assign, ""SELF""), job=""戦士""), AND(check=Option!$F$13, REGEXMATCH(assign, ""SINGLE_PARTY""))),
       "&amp;"  IF(
           OR(ARRAYFORMULA((IF(precondition="""", FALSE, REGEXMATCH($K$4:$ED$4, precondition))) * (K30:ED30=TRUE))),
           enhance,
           mitigation
         ),
         1
       )
     )
   )
 ) * EE30"),1.0)</f>
        <v>1</v>
      </c>
      <c r="FA30" s="206">
        <f t="shared" si="8"/>
        <v>880</v>
      </c>
      <c r="FB30" s="205">
        <f>IFERROR(__xludf.DUMMYFUNCTION("PRODUCT(
   MAP(
     K$3:ED$3,
     K$14:ED$14,
     K$13:ED$13,
     K30:ED30,
     LAMBDA(
       job,
       buff,
       target,
       check,
       IF(
         OR(AND(check=TRUE, REGEXMATCH(target, ""SELF_AFFECTED_ALL""), job=""戦士""), AND(check=Op"&amp;"tion!$F$13, REGEXMATCH(target, ""SINGLE_AFFECTED_ALL""))),
         buff,
         1
       )
     )
   )
 )"),1.0)</f>
        <v>1</v>
      </c>
      <c r="FC30" s="206">
        <f>IFERROR(__xludf.DUMMYFUNCTION("SUM(
   MAP(
     K$3:ED$3,
     K$7:ED$7,
     K$15:ED$15,
     K$16:ED$16,
     K$21:ED$21,
     K$5:ED$5,
     K$17:ED$17,
     K30:ED30,
     LAMBDA(
       job,
       abillity,
       buff,
       barrier,
       enhance,
       assign,
       preco"&amp;"ndition,
       check,
       IF(
         OR(AND(check=TRUE, REGEXMATCH(assign, ""SELF""), job=""戦士""), AND(check=Option!$F$13, REGEXMATCH(assign, ""SINGLE_PARTY""))),
         IF(
           OR(ARRAYFORMULA((IF(precondition="""", FALSE, REGEXMATCH($K$4:"&amp;"$ED$4, precondition))) * (K30:ED30=TRUE))),
           enhance,
           IF(barrier="""", buff, barrier)
         ),
         0
       ) *
       SWITCH(
         job,
         ""暗黒騎士"", FD$24,
         ""白魔道士"", EF30 * EH30 * FB30 * IF(abillity, 1, EG3"&amp;"0 * EI30) * (Option!$D$22 * 0.81 / 100),
         ""占星術師"", EF30 * EJ30 * FFB30 * IF(abillity, 1, EG30 * EK30) * (Option!$D$23 * 0.81 / 100),
         ""学者"", EF30 * EL30 * FB30 * IF(abillity, 1, EG30 * EM30) * (Option!$D$24 * 0.81 / 100),
         ""賢者"""&amp;", EF30 * EN30 * FB30 * IF(abillity, 1, EG30 * EO30) * (Option!$D$25 * 0.81 / 100),
         1
       )
     )
   )
 ) + EQ30"),0.0)</f>
        <v>0</v>
      </c>
      <c r="FD30" s="206">
        <f t="shared" si="9"/>
        <v>880</v>
      </c>
      <c r="FE30" s="205">
        <f>IFERROR(__xludf.DUMMYFUNCTION("PRODUCT(
   MAP(
     IF($F30=""Physical"", K$10:ED$10, IF($F30=""Magic"", K$11:ED$11, K$12:ED$12)),
     IF($F30=""Physical"", K$18:ED$18, IF($F30=""Magic"", K$19:ED$19, K$20:ED$20)),
     K$3:ED$3,
     K$5:ED$5,
     K$17:ED$17,
     K30:ED30,
     LAM"&amp;"BDA(
       mitigation,
       enhance,
       job,
       assign,
       precondition,
       check,
       IF(
         OR(AND(check=TRUE, REGEXMATCH(assign, ""SELF""), job=""暗黒騎士""), AND(check=Option!$G$13, REGEXMATCH(assign, ""SINGLE_PARTY""))),
     "&amp;"    IF(
           OR(ARRAYFORMULA((IF(precondition="""", FALSE, REGEXMATCH($K$4:$ED$4, precondition))) * (K30:ED30=TRUE))),
           enhance,
           mitigation
         ),
         1
       )
     )
   )
 ) * EE30"),1.0)</f>
        <v>1</v>
      </c>
      <c r="FF30" s="206">
        <f t="shared" si="10"/>
        <v>880</v>
      </c>
      <c r="FG30" s="205">
        <f>IFERROR(__xludf.DUMMYFUNCTION("PRODUCT(
   MAP(
     K$3:ED$3,
     K$14:ED$14,
     K$13:ED$13,
     K30:ED30,
     LAMBDA(
       job,
       buff,
       target,
       check,
       IF(
         OR(AND(check=TRUE, REGEXMATCH(target, ""SELF_AFFECTED_ALL""), job=""暗黒騎士""), AND(check="&amp;"Option!$G$13, REGEXMATCH(target, ""SINGLE_AFFECTED_ALL""))),
         buff,
         1
       )
     )
   )
 )"),1.0)</f>
        <v>1</v>
      </c>
      <c r="FH30" s="206">
        <f>IFERROR(__xludf.DUMMYFUNCTION("SUM(
   MAP(
     K$3:ED$3,
     K$7:ED$7,
     K$15:ED$15,
     K$16:ED$16,
     K$21:ED$21,
     K$5:ED$5,
     K$17:ED$17,
     K30:ED30,
     LAMBDA(
       job,
       abillity,
       buff,
       barrier,
       enhance,
       assign,
       preco"&amp;"ndition,
       check,
       IF(
         OR(AND(check=TRUE, REGEXMATCH(assign, ""SELF""), job=""暗黒騎士""), AND(check=Option!$G$13, REGEXMATCH(assign, ""SINGLE_PARTY""))),
         IF(
           OR(ARRAYFORMULA((IF(precondition="""", FALSE, REGEXMATCH($K$"&amp;"4:$ED$4, precondition))) * (K30:ED30=TRUE))),
           enhance,
           IF(barrier="""", buff, barrier)
         ),
         0
       ) *
       SWITCH(
         job,
         ""暗黒騎士"", FI$24,
         ""白魔道士"", EF30 * EH30 * FG30 * IF(abillity, 1, E"&amp;"G30 * EI30) * (Option!$D$22 * 0.81 / 100),
         ""占星術師"", EF30 * EJ30 * FG30 * IF(abillity, 1, EG30 * EK30) * (Option!$D$23 * 0.81 / 100),
         ""学者"", EF30 * EL30 * FG30 * IF(abillity, 1, EG30 * EM30) * (Option!$D$24 * 0.81 / 100),
         ""賢者"&amp;""", EF30 * EN30 * FG30 * IF(abillity, 1, EG30 * EO30) * (Option!$D$25 * 0.81 / 100),
         1
       )
     )
   )
 ) + EQ30"),0.0)</f>
        <v>0</v>
      </c>
      <c r="FI30" s="206">
        <f t="shared" si="11"/>
        <v>880</v>
      </c>
      <c r="FJ30" s="205">
        <f>IFERROR(__xludf.DUMMYFUNCTION("PRODUCT(
   MAP(
     IF($F30=""Physical"", K$10:ED$10, IF($F30=""Magic"", K$11:ED$11, K$12:ED$12)),
     IF($F30=""Physical"", K$18:ED$18, IF($F30=""Magic"", K$19:ED$19, K$20:ED$20)),
     K$3:ED$3,
     K$5:ED$5,
     K$17:ED$17,
     K30:ED30,
     LAM"&amp;"BDA(
       mitigation,
       enhance,
       job,
       assign,
       precondition,
       check,
       IF(
         OR(AND(check=TRUE, REGEXMATCH(assign, ""SELF""), job=""ガンブレイカー""), AND(check=Option!$H$13, REGEXMATCH(assign, ""SINGLE_PARTY""))),
  "&amp;"       IF(
           OR(ARRAYFORMULA((IF(precondition="""", FALSE, REGEXMATCH($K$4:$ED$4, precondition))) * (K30:ED30=TRUE))),
           enhance,
           mitigation
         ),
         1
       )
     )
   )
 ) * EE30"),1.0)</f>
        <v>1</v>
      </c>
      <c r="FK30" s="206">
        <f t="shared" si="12"/>
        <v>880</v>
      </c>
      <c r="FL30" s="205">
        <f>IFERROR(__xludf.DUMMYFUNCTION("PRODUCT(
   MAP(
     K$3:ED$3,
     K$14:ED$14,
     K$13:ED$13,
     K30:ED30,
     LAMBDA(
       job,
       buff,
       target,
       check,
       IF(
         OR(AND(check=TRUE, REGEXMATCH(target, ""SELF_AFFECTED_ALL""), job=""ガンブレイカー""), AND(che"&amp;"ck=Option!$H$13, REGEXMATCH(target, ""SINGLE_AFFECTED_ALL""))),
         buff,
         1
       )
     )
   )
 )"),1.0)</f>
        <v>1</v>
      </c>
      <c r="FM30" s="206">
        <f>IFERROR(__xludf.DUMMYFUNCTION("SUM(
   MAP(
     K$3:ED$3,
     K$7:ED$7,
     K$15:ED$15,
     K$16:ED$16,
     K$21:ED$21,
     K$5:ED$5,
     K$17:ED$17,
     K30:ED30,
     LAMBDA(
       job,
       abillity,
       buff,
       barrier,
       enhance,
       assign,
       preco"&amp;"ndition,
       check,
       IF(
         OR(AND(check=TRUE, REGEXMATCH(assign, ""SELF""), job=""ガンブレイカー""), AND(check=Option!$H$13, REGEXMATCH(assign, ""SINGLE_PARTY""))),
         IF(
           OR(ARRAYFORMULA((IF(precondition="""", FALSE, REGEXMATCH("&amp;"$K$4:$ED$4, precondition))) * (K30:ED30=TRUE))),
           enhance,
           IF(barrier="""", buff, barrier)
         ),
         0
       ) *
       SWITCH(
         job,
         ""暗黒騎士"", FN$24,
         ""白魔道士"", EF30 * EH30 * FL30 * IF(abillity, 1"&amp;", EG30 * EI30) * (Option!$D$22 * 0.81 / 100),
         ""占星術師"", EF30 * EJ30 * FL30 * IF(abillity, 1, EG30 * EK30) * (Option!$D$23 * 0.81 / 100),
         ""学者"", EF30 * EL30 * FL30 * IF(abillity, 1, EG30 * EM30) * (Option!$D$24 * 0.81 / 100),
         """&amp;"賢者"", EF30 * EN30 * FL30 * IF(abillity, 1, EG30 * EO30) * (Option!$D$25 * 0.81 / 100),
         1
       )
     )
   )
 ) + EQ30"),0.0)</f>
        <v>0</v>
      </c>
      <c r="FN30" s="206">
        <f t="shared" si="13"/>
        <v>880</v>
      </c>
      <c r="FO30" s="213"/>
    </row>
    <row r="31">
      <c r="B31" s="229"/>
      <c r="C31" s="217">
        <f t="shared" si="1"/>
        <v>0.002164351852</v>
      </c>
      <c r="D31" s="233">
        <v>4.62962962962963E-4</v>
      </c>
      <c r="E31" s="223" t="s">
        <v>1090</v>
      </c>
      <c r="F31" s="167" t="s">
        <v>10</v>
      </c>
      <c r="G31" s="168" t="str">
        <f t="shared" si="2"/>
        <v/>
      </c>
      <c r="H31" s="169">
        <v>15000.0</v>
      </c>
      <c r="I31" s="169"/>
      <c r="J31" s="169"/>
      <c r="K31" s="170" t="b">
        <v>0</v>
      </c>
      <c r="L31" s="170" t="b">
        <v>0</v>
      </c>
      <c r="M31" s="170" t="b">
        <v>0</v>
      </c>
      <c r="N31" s="171" t="s">
        <v>1070</v>
      </c>
      <c r="O31" s="172" t="b">
        <v>0</v>
      </c>
      <c r="P31" s="173" t="b">
        <v>0</v>
      </c>
      <c r="Q31" s="173" t="b">
        <v>0</v>
      </c>
      <c r="R31" s="173" t="b">
        <v>0</v>
      </c>
      <c r="S31" s="174" t="b">
        <v>0</v>
      </c>
      <c r="T31" s="175" t="b">
        <v>0</v>
      </c>
      <c r="U31" s="173" t="b">
        <v>0</v>
      </c>
      <c r="V31" s="171" t="s">
        <v>1070</v>
      </c>
      <c r="W31" s="172" t="b">
        <v>0</v>
      </c>
      <c r="X31" s="173" t="b">
        <v>0</v>
      </c>
      <c r="Y31" s="173" t="b">
        <v>0</v>
      </c>
      <c r="Z31" s="173" t="b">
        <v>0</v>
      </c>
      <c r="AA31" s="174" t="b">
        <v>0</v>
      </c>
      <c r="AB31" s="174" t="b">
        <v>0</v>
      </c>
      <c r="AC31" s="175" t="b">
        <v>0</v>
      </c>
      <c r="AD31" s="173" t="b">
        <v>0</v>
      </c>
      <c r="AE31" s="176" t="s">
        <v>1070</v>
      </c>
      <c r="AF31" s="171" t="s">
        <v>1070</v>
      </c>
      <c r="AG31" s="177">
        <f>IFERROR(__xludf.DUMMYFUNCTION("IF(
  ISNUMBER(AG30),
  MIN(MAX(
    AG30
    + MAX(
      ROUNDDOWN(($D31 - MAX(IFERROR(FILTER($D$24:$D30, AG$24:AG30 &lt;&gt; AF$6, AG$23:AG29 = AF$6), 0))) * (60 * 60 * 24) / AF$9) - ROUNDDOWN(($D30 - MAX(IFERROR(FILTER($D$23:$D29, AG$23:AG29 &lt;&gt; AF$6, AG$22:"&amp;"AG28 = AF$6), 0))) * (60 * 60 * 24) / 60),
      0
    )
    - COUNTIF(AF31, ""&lt;&gt;-""),
  0), AF$6),
  AF$6 - COUNTIF(AF31, ""&lt;&gt;-"")
)"),2.0)</f>
        <v>2</v>
      </c>
      <c r="AH31" s="173" t="b">
        <v>0</v>
      </c>
      <c r="AI31" s="173" t="b">
        <v>0</v>
      </c>
      <c r="AJ31" s="173" t="b">
        <v>0</v>
      </c>
      <c r="AK31" s="174" t="b">
        <v>0</v>
      </c>
      <c r="AL31" s="175" t="b">
        <v>0</v>
      </c>
      <c r="AM31" s="173" t="b">
        <v>0</v>
      </c>
      <c r="AN31" s="171" t="s">
        <v>1070</v>
      </c>
      <c r="AO31" s="173" t="b">
        <v>0</v>
      </c>
      <c r="AP31" s="173" t="b">
        <v>0</v>
      </c>
      <c r="AQ31" s="173" t="b">
        <v>0</v>
      </c>
      <c r="AR31" s="174" t="b">
        <v>0</v>
      </c>
      <c r="AS31" s="178" t="b">
        <v>0</v>
      </c>
      <c r="AT31" s="179" t="b">
        <v>0</v>
      </c>
      <c r="AU31" s="180" t="b">
        <v>0</v>
      </c>
      <c r="AV31" s="180" t="b">
        <v>0</v>
      </c>
      <c r="AW31" s="180" t="b">
        <v>0</v>
      </c>
      <c r="AX31" s="180" t="b">
        <v>0</v>
      </c>
      <c r="AY31" s="181" t="s">
        <v>1070</v>
      </c>
      <c r="AZ31" s="181" t="s">
        <v>1070</v>
      </c>
      <c r="BA31" s="184">
        <f>IFERROR(__xludf.DUMMYFUNCTION("IF(
  ISNUMBER(BA30),
  MIN(MAX(
    BA30
    + MAX(
      ROUNDDOWN((D31 - MAX(IFERROR(FILTER(D$24:D30, BA$24:BA30 &lt;&gt; AZ$6, BA$23:BA29 = AZ$6), 0))) * (60 * 60 * 24) / AZ$9) - ROUNDDOWN((D30 - MAX(IFERROR(FILTER(D$23:D29, BA$23:BA29 &lt;&gt; AZ$6, BA$22:BA28 ="&amp;" AZ$6), 0))) * (60 * 60 * 24) / AZ$9),
      0
    )
    - COUNTIF(AZ31, ""&lt;&gt;-""),
  0), AZ$6),
  AZ$6 - COUNTIF(AZ31, ""&lt;&gt;-"")
)"),2.0)</f>
        <v>2</v>
      </c>
      <c r="BB31" s="181" t="s">
        <v>1070</v>
      </c>
      <c r="BC31" s="183">
        <f>IFERROR(__xludf.DUMMYFUNCTION("IF(
  ISNUMBER(BC30),
  MIN(MAX(
    BC30
    + MAX(
      ROUNDDOWN(($D31 - MAX(IFERROR(FILTER($D$24:$D30, BC$24:BC30 &lt;&gt; BB$6, BC$23:BC29 = BB$6), 0))) * (60 * 60 * 24) / BB$9) - ROUNDDOWN(($D30 - MAX(IFERROR(FILTER($D$23:$D29, BC$23:BC29 &lt;&gt; BB$6, BC$22:"&amp;"BC28 = BB$6), 0))) * (60 * 60 * 24) / 60),
      0
    )
    - COUNTIF(BB31, ""&lt;&gt;-""),
  0), BB$6),
  BB$6 - COUNTIF(BB31, ""&lt;&gt;-"")
)"),2.0)</f>
        <v>2</v>
      </c>
      <c r="BD31" s="181" t="s">
        <v>1070</v>
      </c>
      <c r="BE31" s="178" t="b">
        <v>0</v>
      </c>
      <c r="BF31" s="180" t="b">
        <v>0</v>
      </c>
      <c r="BG31" s="180" t="b">
        <v>0</v>
      </c>
      <c r="BH31" s="180" t="b">
        <v>0</v>
      </c>
      <c r="BI31" s="180" t="b">
        <v>0</v>
      </c>
      <c r="BJ31" s="180" t="b">
        <v>0</v>
      </c>
      <c r="BK31" s="180" t="b">
        <v>0</v>
      </c>
      <c r="BL31" s="180" t="b">
        <v>0</v>
      </c>
      <c r="BM31" s="180" t="b">
        <v>0</v>
      </c>
      <c r="BN31" s="180" t="b">
        <v>0</v>
      </c>
      <c r="BO31" s="181" t="s">
        <v>1070</v>
      </c>
      <c r="BP31" s="181" t="s">
        <v>1070</v>
      </c>
      <c r="BQ31" s="181" t="s">
        <v>1070</v>
      </c>
      <c r="BR31" s="181" t="s">
        <v>1070</v>
      </c>
      <c r="BS31" s="181" t="s">
        <v>1070</v>
      </c>
      <c r="BT31" s="184">
        <f>IFERROR(__xludf.DUMMYFUNCTION("IF(
  ISNUMBER(BT30),
  MIN(MAX(
    BT30
    + MAX(
      ROUNDDOWN((D31 - MAX(IFERROR(FILTER(D$24:D30, BT$24:BT30 &lt;&gt; BS$6, BT$23:BT29 = BS$6), 0))) * (60 * 60 * 24) / BS$9) - ROUNDDOWN((D30 - MAX(IFERROR(FILTER(D$23:D29, BT$23:BT29 &lt;&gt; BS$6, BT$22:BT28 ="&amp;" BS$6), 0))) * (60 * 60 * 24) / BS$9),
      0
    )
    - COUNTIF(BS31, ""&lt;&gt;-""),
  0), BS$6),
  BS$6 - COUNTIF(BS31, ""&lt;&gt;-"")
)"),3.0)</f>
        <v>3</v>
      </c>
      <c r="BU31" s="181" t="s">
        <v>1070</v>
      </c>
      <c r="BV31" s="181" t="s">
        <v>1070</v>
      </c>
      <c r="BW31" s="184">
        <f>IFERROR(__xludf.DUMMYFUNCTION("IF(
  ISNUMBER(BW30),
  MIN(MAX(
    BW30
    + MAX(
      ROUNDDOWN((D31 - MAX(IFERROR(FILTER(D$24:D30, BW$24:BW30 &lt;&gt; BV$6, BW$23:BW29 = BV$6), 0))) * (60 * 60 * 24) / BV$9) - ROUNDDOWN((D30 - MAX(IFERROR(FILTER(D$23:D29, BW$23:BW29 &lt;&gt; BV$6, BW$22:BW28 ="&amp;" BV$6), 0))) * (60 * 60 * 24) / BV$9),
      0
    )
    - COUNTIF(BV31, ""&lt;&gt;-""),
  0), BV$6),
  BV$6 - COUNTIF(BV31, ""&lt;&gt;-"")
)"),2.0)</f>
        <v>2</v>
      </c>
      <c r="BX31" s="185" t="s">
        <v>1070</v>
      </c>
      <c r="BY31" s="178" t="b">
        <v>0</v>
      </c>
      <c r="BZ31" s="180" t="b">
        <v>0</v>
      </c>
      <c r="CA31" s="180" t="b">
        <v>0</v>
      </c>
      <c r="CB31" s="180" t="b">
        <v>0</v>
      </c>
      <c r="CC31" s="180" t="b">
        <v>0</v>
      </c>
      <c r="CD31" s="180" t="b">
        <v>0</v>
      </c>
      <c r="CE31" s="180" t="b">
        <v>0</v>
      </c>
      <c r="CF31" s="180" t="b">
        <v>0</v>
      </c>
      <c r="CG31" s="180" t="b">
        <v>0</v>
      </c>
      <c r="CH31" s="180" t="b">
        <v>0</v>
      </c>
      <c r="CI31" s="180" t="b">
        <v>0</v>
      </c>
      <c r="CJ31" s="180" t="b">
        <v>0</v>
      </c>
      <c r="CK31" s="180" t="b">
        <v>0</v>
      </c>
      <c r="CL31" s="180" t="b">
        <v>0</v>
      </c>
      <c r="CM31" s="181" t="s">
        <v>1070</v>
      </c>
      <c r="CN31" s="181" t="s">
        <v>1070</v>
      </c>
      <c r="CO31" s="181" t="s">
        <v>1070</v>
      </c>
      <c r="CP31" s="181" t="s">
        <v>1070</v>
      </c>
      <c r="CQ31" s="185" t="s">
        <v>1070</v>
      </c>
      <c r="CR31" s="180" t="b">
        <v>0</v>
      </c>
      <c r="CS31" s="186" t="str">
        <f t="shared" si="14"/>
        <v>◇◇◇</v>
      </c>
      <c r="CT31" s="178" t="b">
        <v>0</v>
      </c>
      <c r="CU31" s="180" t="b">
        <v>0</v>
      </c>
      <c r="CV31" s="180" t="b">
        <v>0</v>
      </c>
      <c r="CW31" s="180" t="b">
        <v>0</v>
      </c>
      <c r="CX31" s="180" t="b">
        <v>0</v>
      </c>
      <c r="CY31" s="180" t="b">
        <v>0</v>
      </c>
      <c r="CZ31" s="180" t="b">
        <v>0</v>
      </c>
      <c r="DA31" s="180" t="b">
        <v>0</v>
      </c>
      <c r="DB31" s="180" t="b">
        <v>0</v>
      </c>
      <c r="DC31" s="180" t="b">
        <v>0</v>
      </c>
      <c r="DD31" s="181" t="s">
        <v>1070</v>
      </c>
      <c r="DE31" s="181" t="s">
        <v>1070</v>
      </c>
      <c r="DF31" s="181" t="s">
        <v>1070</v>
      </c>
      <c r="DG31" s="185" t="s">
        <v>1070</v>
      </c>
      <c r="DH31" s="180" t="b">
        <v>0</v>
      </c>
      <c r="DI31" s="187" t="str">
        <f>IFERROR(__xludf.DUMMYFUNCTION("SWITCH(
  IF(
    ISTEXT(DI30),
    IF (
      FIND(""○"", DI30&amp;""○"") &gt; 3,
      3,
      FIND(""○"", DI30&amp;""○"")
      + MAX(
        ROUNDDOWN(($D31 - MAX(IFERROR(FILTER(D$24:D30, DI$24:DI30 &lt;&gt; ""●●●"", DI$23:DI29 = ""●●●""), 0))) * (60 * 60 * 24) / 20"&amp;") - ROUNDDOWN(($D30 - MAX(IFERROR(FILTER(D$23:D29, DI$23:DI29 &lt;&gt; ""●●●"", DI$22:DI28 = ""●●●""), 0))) * (60 * 60 * 24) / 20),
        0
      ) - 1
    ) - COUNTIFS(CU31, ""=TRUE"", CU30, ""&lt;&gt;TRUE"") - COUNTIF(CZ31, ""=TRUE"") - COUNTIF({DD31,DE31}, ""&lt;&gt;-"&amp;""") + COUNTIF(DH31, ""=TRUE""),
    3
  ),
  0, ""○○○"", 1, ""●○○"", 2, ""●●○"", 3, ""●●●"", 4, ""●●●"", ""○○○""
)"),"●●●")</f>
        <v>●●●</v>
      </c>
      <c r="DJ31" s="188" t="b">
        <v>0</v>
      </c>
      <c r="DK31" s="189" t="b">
        <v>0</v>
      </c>
      <c r="DL31" s="190" t="b">
        <v>0</v>
      </c>
      <c r="DM31" s="190" t="b">
        <v>0</v>
      </c>
      <c r="DN31" s="190" t="b">
        <v>0</v>
      </c>
      <c r="DO31" s="190" t="b">
        <v>0</v>
      </c>
      <c r="DP31" s="190" t="b">
        <v>0</v>
      </c>
      <c r="DQ31" s="191" t="b">
        <v>0</v>
      </c>
      <c r="DR31" s="192" t="b">
        <v>0</v>
      </c>
      <c r="DS31" s="191" t="b">
        <v>0</v>
      </c>
      <c r="DT31" s="192" t="b">
        <v>0</v>
      </c>
      <c r="DU31" s="191" t="b">
        <v>0</v>
      </c>
      <c r="DV31" s="193" t="s">
        <v>1070</v>
      </c>
      <c r="DW31" s="194" t="b">
        <v>0</v>
      </c>
      <c r="DX31" s="194" t="b">
        <v>0</v>
      </c>
      <c r="DY31" s="195" t="b">
        <v>0</v>
      </c>
      <c r="DZ31" s="196" t="b">
        <v>0</v>
      </c>
      <c r="EA31" s="195" t="b">
        <v>0</v>
      </c>
      <c r="EB31" s="197" t="b">
        <v>0</v>
      </c>
      <c r="EC31" s="197" t="b">
        <v>0</v>
      </c>
      <c r="ED31" s="212" t="b">
        <v>0</v>
      </c>
      <c r="EE31" s="199">
        <f>IFERROR(__xludf.DUMMYFUNCTION("IFERROR(
   PRODUCT(
     MAP(
       INDEX(TRANSPOSE(UNIQUE(TRANSPOSE(FILTER({IF($F31=""Physical"", K$10:ED$10, IF($F31=""Magic"", K$11:ED$11, K$12:ED$12));K$4:ED$4;K31:ED31}, K31:ED31=TRUE)))), 1, 0),
       INDEX(TRANSPOSE(UNIQUE(TRANSPOSE(FILTER({IF($"&amp;"F31=""Physical"", K$18:ED$18, IF($F31=""Magic"", K$19:ED$19, K$20:ED$20));K$4:ED$4;K31:ED31}, K31:ED31=TRUE)))), 1, 0),
       INDEX(TRANSPOSE(UNIQUE(TRANSPOSE(FILTER({K$5:ED$5;K$4:ED$4;K31:ED31}, K31:ED31=TRUE)))), 1, 0),
       INDEX(TRANSPOSE(UNIQUE(TR"&amp;"ANSPOSE(FILTER({K$17:ED$17;K$4:ED$4;K31:ED31}, K31:ED31=TRUE)))), 1, 0),
       LAMBDA(
         mitigation,
         enhance,
         assign,
         precondition,
         IF(
           REGEXMATCH(assign, ""RANGE_PARTY|SINGLE_ENEMY|RANGE_ENEMY""),
  "&amp;"         IF(
             OR(ARRAYFORMULA((IF(precondition="""", FALSE, REGEXMATCH(K$4:ED$4, precondition))) * (K31:ED31=TRUE))),
             IF(ISNUMBER(enhance), enhance, 1),
             IF(ISNUMBER(mitigation), mitigation, 1)
           ),
          "&amp;" 1
         )
       )
     )
   ),
   1
 )"),1.0)</f>
        <v>1</v>
      </c>
      <c r="EF31" s="200">
        <f>IFERROR(__xludf.DUMMYFUNCTION("PRODUCT(
   MAP(
     K$14:ED$14,
     K$13:ED$13,
     K31:ED31,
     LAMBDA(
       buff,
       target,
       check,
       IF(
         AND(check=TRUE, REGEXMATCH(target, ""RANGE_AFFECTED_ALL|RANGE_EFFECTED_ALL""), ISNUMBER(buff)),
         buff,
   "&amp;"      1
       )
     )
   )
 )"),1.0)</f>
        <v>1</v>
      </c>
      <c r="EG31" s="200">
        <f>IFERROR(__xludf.DUMMYFUNCTION("PRODUCT(
   MAP(
     K$14:ED$14,
     K$13:ED$13,
     K31:ED31,
     LAMBDA(
       buff,
       target,
       check,
       IF(
         AND(check=TRUE, REGEXMATCH(target, ""RANGE_AFFECTED_GCD|RANGE_EFFECTED_GCD""), ISNUMBER(buff)),
         buff,
   "&amp;"      1
       )
     )
   )
 )"),1.0)</f>
        <v>1</v>
      </c>
      <c r="EH31" s="200">
        <f>IFERROR(__xludf.DUMMYFUNCTION("PRODUCT(
   MAP(
     K$3:ED$3,
     K$14:ED$14,
     K$13:ED$13,
     K31:ED31,
     LAMBDA(
       job,
       buff,
       target,
       check,
       IF(
         AND(check=TRUE, REGEXMATCH(target, ""SELF_EFFECTED_ALL""), ISNUMBER(buff), job=""白魔道士"""&amp;"),
         buff,
         1
       )
     )
   )
 )"),1.0)</f>
        <v>1</v>
      </c>
      <c r="EI31" s="200">
        <f>IFERROR(__xludf.DUMMYFUNCTION("PRODUCT(
   MAP(
     K$3:ED$3,
     K$14:ED$14,
     K$13:ED$13,
     K31:ED31,
     LAMBDA(
       job,
       buff,
       target,
       check,
       IF(
         AND(check=TRUE, REGEXMATCH(target, ""SELF_EFFECTED_GCD""), ISNUMBER(buff), job=""白魔道士"""&amp;"),
         buff,
         1
       )
     )
   )
 )"),1.0)</f>
        <v>1</v>
      </c>
      <c r="EJ31" s="200">
        <f>IFERROR(__xludf.DUMMYFUNCTION("PRODUCT(
   MAP(
     K$3:ED$3,
     K$14:ED$14,
     K$13:ED$13,
     K31:ED31,
     LAMBDA(
       job,
       buff,
       target,
       check,
       IF(
         AND(check=TRUE, REGEXMATCH(target, ""SELF_EFFECTED_ALL""), ISNUMBER(buff), job=""占星術師"""&amp;"),
         buff,
         1
       )
     )
   )
 )"),1.0)</f>
        <v>1</v>
      </c>
      <c r="EK31" s="200">
        <f>IFERROR(__xludf.DUMMYFUNCTION("PRODUCT(
   MAP(
     K$3:ED$3,
     K$14:ED$14,
     K$13:ED$13,
     K31:ED31,
     LAMBDA(
       job,
       buff,
       target,
       check,
       IF(
         AND(check=TRUE, REGEXMATCH(target, ""SELF_EFFECTED_GCD""), ISNUMBER(buff), job=""占星術師"""&amp;"),
         buff,
         1
       )
     )
   )
 )"),1.0)</f>
        <v>1</v>
      </c>
      <c r="EL31" s="200">
        <f>IFERROR(__xludf.DUMMYFUNCTION("PRODUCT(
   MAP(
     K$3:ED$3,
     K$14:ED$14,
     K$13:ED$13,
     K31:ED31,
     LAMBDA(
       job,
       buff,
       target,
       check,
       IF(
         AND(check=TRUE, REGEXMATCH(target, ""SELF_EFFECTED_ALL""), ISNUMBER(buff), job=""学者""),"&amp;"
         buff,
         1
       )
     )
   )
 )"),1.0)</f>
        <v>1</v>
      </c>
      <c r="EM31" s="200">
        <f>IFERROR(__xludf.DUMMYFUNCTION("PRODUCT(
   MAP(
     K$3:ED$3,
     K$14:ED$14,
     K$13:ED$13,
     K31:ED31,
     LAMBDA(
       job,
       buff,
       target,
       check,
       IF(
         AND(check=TRUE, REGEXMATCH(target, ""SELF_EFFECTED_GCD""), ISNUMBER(buff), job=""学者""),"&amp;"
         buff,
         1
       )
     )
   )
 )"),1.0)</f>
        <v>1</v>
      </c>
      <c r="EN31" s="200">
        <f>IFERROR(__xludf.DUMMYFUNCTION("PRODUCT(
   MAP(
     K$3:ED$3,
     K$14:ED$14,
     K$13:ED$13,
     K31:ED31,
     LAMBDA(
       job,
       buff,
       target,
       check,
       IF(
         AND(check=TRUE, REGEXMATCH(target, ""SELF_EFFECTED_ALL""), ISNUMBER(buff), job=""賢者""),"&amp;"
         buff,
         1
       )
     )
   )
 )"),1.0)</f>
        <v>1</v>
      </c>
      <c r="EO31" s="200">
        <f>IFERROR(__xludf.DUMMYFUNCTION("PRODUCT(
   MAP(
     K$3:ED$3,
     K$14:ED$14,
     K$13:ED$13,
     K31:ED31,
     LAMBDA(
       job,
       buff,
       target,
       check,
       IF(
         AND(check=TRUE, REGEXMATCH(target, ""SELF_EFFECTED_GCD""), ISNUMBER(buff), job=""賢者""),"&amp;"
         buff,
         1
       )
     )
   )
 )"),1.0)</f>
        <v>1</v>
      </c>
      <c r="EP31" s="201">
        <f t="shared" si="3"/>
        <v>15000</v>
      </c>
      <c r="EQ31" s="201">
        <f>IFERROR(__xludf.DUMMYFUNCTION("SUM(
   MAP(
     K$4:ED$4,
     K$3:ED$3,
     K$7:ED$7,
     K$15:ED$15,
     K$16:ED$16,
     K$21:ED$21,
     K$5:ED$5,
     K$17:ED$17,
     K31:ED31,
     LAMBDA(
       name,
       job,
       abillity,
       buff,
       barrier,
       enhance,"&amp;"
       assign,
       precondition,
       check,
       SWITCH(
         name,
         ""シェイクオフ"", IF(check=TRUE, buff + (0.02 * COUNTIF(ARRAYFORMULA((REGEXMATCH($K$4:$ED$4, ""スリル・オブ・バトル|ヴェンジェンス|原初の血気|ダムネーション"")) * (K31:ED31=TRUE)), 1)), 0),
         "&amp;"""インプロビゼーションフィニッシュ(踊りの激情0)"", IF(ISNUMBER(check), INDEX(Skill!$AJ:$AJ, MATCH(SUBSTITUTE(DV$4, 0, check), Skill!$C:$C, 0)), 0),
         IF(
           AND(check=TRUE, REGEXMATCH(assign, ""RANGE_PARTY"")),
           IF(
             OR(ARRAYFORMULA((IF(pr"&amp;"econdition="""", FALSE, REGEXMATCH($K$4:$ED$4, precondition))) * (K31:ED31=TRUE))),
             enhance,
             IF(barrier="""", buff, barrier)
           ),
           0
         )
       ) *
       SWITCH(
         job,
         ""ナイト"", EY$24,
 "&amp;"        ""戦士"", FD$24,
         ""踊り子"", ET$24,
         ""ピクトマンサー"", ET$24,
         ""白魔道士"", EF31 * EH31 * IF(abillity, 1, EG31 * EI31) * (Option!$D$22 * 0.81 / 100),
         ""占星術師"", EF31 * EJ31 * IF(abillity, 1, EG31 * EK31) * (Option!$D$23 * 0.81 "&amp;"/ 100),
         ""学者"", EF31 * EL31 * IF(abillity, 1, EG31 * EM31) * (Option!$D$24 * 0.81 / 100),
         ""賢者"", EF31 * EN31 * IF(abillity, 1, EG31 * EO31) * (Option!$D$25 * 0.81 / 100),
         1
       )
     )
   )
 )"),0.0)</f>
        <v>0</v>
      </c>
      <c r="ER31" s="202">
        <f t="shared" si="4"/>
        <v>15000</v>
      </c>
      <c r="ES31" s="203">
        <f t="shared" si="5"/>
        <v>0</v>
      </c>
      <c r="ET31" s="231" t="str">
        <f>IFERROR(__xludf.DUMMYFUNCTION("IFS(
  EP31 &gt; $ET$24 + EQ31,
  SPARKLINE({ 1, 0 }, {""charttype"",""bar"";""max"", 1;""color1"",Option!$D$30;""color2"",Option!$D$30}),
  EP31 &lt; EQ31,
  SPARKLINE({EQ31 - EP31, $ET$24 - (EQ31 - EP31)}, {""charttype"",""bar"";""max"",$ET$24;""color1"",Opti"&amp;"on!$D$28;""color2"",Option!$D$29}),
  EP31 &gt;= EQ31,
  SPARKLINE({$ET$24 + EQ31 - EP31,EP31 - EQ31}, {""charttype"",""bar"";""max"",$ET$24;""color1"",Option!$D$29;""color2"",Option!$D$30})
)"),"")</f>
        <v/>
      </c>
      <c r="EU31" s="205">
        <f>IFERROR(__xludf.DUMMYFUNCTION("PRODUCT(
   MAP(
     IF($F31=""Physical"", K$10:ED$10, IF($F31=""Magic"", K$11:ED$11, K$12:ED$12)),
     IF($F31=""Physical"", K$18:ED$18, IF($F31=""Magic"", K$19:ED$19, K$20:ED$20)),
     K$3:ED$3,
     K$5:ED$5,
     K$17:ED$17,
     K31:ED31,
     LAM"&amp;"BDA(
       mitigation,
       enhance,
       job,
       assign,
       precondition,
       check,
       IF(
         OR(AND(check=TRUE, REGEXMATCH(assign, ""SELF""), job=""ナイト""), AND(check=Option!$E$13, REGEXMATCH(assign, ""SINGLE_PARTY""))),
      "&amp;"   IF(
           OR(ARRAYFORMULA((IF(precondition="""", FALSE, REGEXMATCH($K$4:$ED$4, precondition))) * (K31:ED31=TRUE))),
           enhance,
           mitigation
         ),
         1
       )
     )
   )
 ) * EE31"),1.0)</f>
        <v>1</v>
      </c>
      <c r="EV31" s="206">
        <f t="shared" si="6"/>
        <v>12000</v>
      </c>
      <c r="EW31" s="205">
        <f>IFERROR(__xludf.DUMMYFUNCTION("PRODUCT(
   MAP(
     K$3:ED$3,
     K$14:ED$14,
     K$13:ED$13,
     K31:ED31,
     LAMBDA(
       job,
       buff,
       target,
       check,
       IF(
         OR(AND(check=TRUE, REGEXMATCH(target, ""SELF_AFFECTED_ALL""), job=""ナイト""), AND(check=O"&amp;"ption!$E$13, REGEXMATCH(target, ""SINGLE_AFFECTED_ALL""))),
         buff,
         1
       )
     )
   )
 )"),1.0)</f>
        <v>1</v>
      </c>
      <c r="EX31" s="206">
        <f>IFERROR(__xludf.DUMMYFUNCTION("SUM(
   MAP(
     K$3:ED$3,
     K$7:ED$7,
     K$15:ED$15,
     K$16:ED$16,
     K$21:ED$21,
     K$5:ED$5,
     K$17:ED$17,
     K31:ED31,
     LAMBDA(
       job,
       abillity,
       buff,
       barrier,
       enhance,
       assign,
       preco"&amp;"ndition,
       check,
       IF(
         OR(AND(check=TRUE, REGEXMATCH(assign, ""SELF""), job=""ナイト""), AND(check=Option!$E$13, REGEXMATCH(assign, ""SINGLE_PARTY""))),
         IF(
           OR(ARRAYFORMULA((IF(precondition="""", FALSE, REGEXMATCH($K$4"&amp;":$ED$4, precondition))) * (K31:ED31=TRUE))),
           enhance,
           IF(barrier="""", buff, barrier)
         ),
         0
       ) *
       SWITCH(
         job,
         ""暗黒騎士"", EY$24,
         ""白魔道士"", EF31 * EH31 * EW31 * IF(abillity, 1, EG"&amp;"31 * EI31) * (Option!$D$22 * 0.81 / 100),
         ""占星術師"", EF31 * EJ31 * EW31 * IF(abillity, 1, EG31 * EK31) * (Option!$D$23 * 0.81 / 100),
         ""学者"", EF31 * EL31 * EW31 * IF(abillity, 1, EG31 * EM31) * (Option!$D$24 * 0.81 / 100),
         ""賢者"""&amp;", EF31 * EN31 * EW31 * IF(abillity, 1, EG31 * EO31) * (Option!$D$25 * 0.81 / 100),
         1
       )
     )
   )
 ) + EQ31"),0.0)</f>
        <v>0</v>
      </c>
      <c r="EY31" s="232">
        <f t="shared" si="7"/>
        <v>12000</v>
      </c>
      <c r="EZ31" s="205">
        <f>IFERROR(__xludf.DUMMYFUNCTION("PRODUCT(
   MAP(
     IF($F31=""Physical"", K$10:ED$10, IF($F31=""Magic"", K$11:ED$11, K$12:ED$12)),
     IF($F31=""Physical"", K$18:ED$18, IF($F31=""Magic"", K$19:ED$19, K$20:ED$20)),
     K$3:ED$3,
     K$5:ED$5,
     K$17:ED$17,
     K31:ED31,
     LAM"&amp;"BDA(
       mitigation,
       enhance,
       job,
       assign,
       precondition,
       check,
       IF(
         OR(AND(check=TRUE, REGEXMATCH(assign, ""SELF""), job=""戦士""), AND(check=Option!$F$13, REGEXMATCH(assign, ""SINGLE_PARTY""))),
       "&amp;"  IF(
           OR(ARRAYFORMULA((IF(precondition="""", FALSE, REGEXMATCH($K$4:$ED$4, precondition))) * (K31:ED31=TRUE))),
           enhance,
           mitigation
         ),
         1
       )
     )
   )
 ) * EE31"),1.0)</f>
        <v>1</v>
      </c>
      <c r="FA31" s="206">
        <f t="shared" si="8"/>
        <v>12000</v>
      </c>
      <c r="FB31" s="205">
        <f>IFERROR(__xludf.DUMMYFUNCTION("PRODUCT(
   MAP(
     K$3:ED$3,
     K$14:ED$14,
     K$13:ED$13,
     K31:ED31,
     LAMBDA(
       job,
       buff,
       target,
       check,
       IF(
         OR(AND(check=TRUE, REGEXMATCH(target, ""SELF_AFFECTED_ALL""), job=""戦士""), AND(check=Op"&amp;"tion!$F$13, REGEXMATCH(target, ""SINGLE_AFFECTED_ALL""))),
         buff,
         1
       )
     )
   )
 )"),1.0)</f>
        <v>1</v>
      </c>
      <c r="FC31" s="206">
        <f>IFERROR(__xludf.DUMMYFUNCTION("SUM(
   MAP(
     K$3:ED$3,
     K$7:ED$7,
     K$15:ED$15,
     K$16:ED$16,
     K$21:ED$21,
     K$5:ED$5,
     K$17:ED$17,
     K31:ED31,
     LAMBDA(
       job,
       abillity,
       buff,
       barrier,
       enhance,
       assign,
       preco"&amp;"ndition,
       check,
       IF(
         OR(AND(check=TRUE, REGEXMATCH(assign, ""SELF""), job=""戦士""), AND(check=Option!$F$13, REGEXMATCH(assign, ""SINGLE_PARTY""))),
         IF(
           OR(ARRAYFORMULA((IF(precondition="""", FALSE, REGEXMATCH($K$4:"&amp;"$ED$4, precondition))) * (K31:ED31=TRUE))),
           enhance,
           IF(barrier="""", buff, barrier)
         ),
         0
       ) *
       SWITCH(
         job,
         ""暗黒騎士"", FD$24,
         ""白魔道士"", EF31 * EH31 * FB31 * IF(abillity, 1, EG3"&amp;"1 * EI31) * (Option!$D$22 * 0.81 / 100),
         ""占星術師"", EF31 * EJ31 * FFB31 * IF(abillity, 1, EG31 * EK31) * (Option!$D$23 * 0.81 / 100),
         ""学者"", EF31 * EL31 * FB31 * IF(abillity, 1, EG31 * EM31) * (Option!$D$24 * 0.81 / 100),
         ""賢者"""&amp;", EF31 * EN31 * FB31 * IF(abillity, 1, EG31 * EO31) * (Option!$D$25 * 0.81 / 100),
         1
       )
     )
   )
 ) + EQ31"),0.0)</f>
        <v>0</v>
      </c>
      <c r="FD31" s="206">
        <f t="shared" si="9"/>
        <v>12000</v>
      </c>
      <c r="FE31" s="205">
        <f>IFERROR(__xludf.DUMMYFUNCTION("PRODUCT(
   MAP(
     IF($F31=""Physical"", K$10:ED$10, IF($F31=""Magic"", K$11:ED$11, K$12:ED$12)),
     IF($F31=""Physical"", K$18:ED$18, IF($F31=""Magic"", K$19:ED$19, K$20:ED$20)),
     K$3:ED$3,
     K$5:ED$5,
     K$17:ED$17,
     K31:ED31,
     LAM"&amp;"BDA(
       mitigation,
       enhance,
       job,
       assign,
       precondition,
       check,
       IF(
         OR(AND(check=TRUE, REGEXMATCH(assign, ""SELF""), job=""暗黒騎士""), AND(check=Option!$G$13, REGEXMATCH(assign, ""SINGLE_PARTY""))),
     "&amp;"    IF(
           OR(ARRAYFORMULA((IF(precondition="""", FALSE, REGEXMATCH($K$4:$ED$4, precondition))) * (K31:ED31=TRUE))),
           enhance,
           mitigation
         ),
         1
       )
     )
   )
 ) * EE31"),1.0)</f>
        <v>1</v>
      </c>
      <c r="FF31" s="206">
        <f t="shared" si="10"/>
        <v>12000</v>
      </c>
      <c r="FG31" s="205">
        <f>IFERROR(__xludf.DUMMYFUNCTION("PRODUCT(
   MAP(
     K$3:ED$3,
     K$14:ED$14,
     K$13:ED$13,
     K31:ED31,
     LAMBDA(
       job,
       buff,
       target,
       check,
       IF(
         OR(AND(check=TRUE, REGEXMATCH(target, ""SELF_AFFECTED_ALL""), job=""暗黒騎士""), AND(check="&amp;"Option!$G$13, REGEXMATCH(target, ""SINGLE_AFFECTED_ALL""))),
         buff,
         1
       )
     )
   )
 )"),1.0)</f>
        <v>1</v>
      </c>
      <c r="FH31" s="206">
        <f>IFERROR(__xludf.DUMMYFUNCTION("SUM(
   MAP(
     K$3:ED$3,
     K$7:ED$7,
     K$15:ED$15,
     K$16:ED$16,
     K$21:ED$21,
     K$5:ED$5,
     K$17:ED$17,
     K31:ED31,
     LAMBDA(
       job,
       abillity,
       buff,
       barrier,
       enhance,
       assign,
       preco"&amp;"ndition,
       check,
       IF(
         OR(AND(check=TRUE, REGEXMATCH(assign, ""SELF""), job=""暗黒騎士""), AND(check=Option!$G$13, REGEXMATCH(assign, ""SINGLE_PARTY""))),
         IF(
           OR(ARRAYFORMULA((IF(precondition="""", FALSE, REGEXMATCH($K$"&amp;"4:$ED$4, precondition))) * (K31:ED31=TRUE))),
           enhance,
           IF(barrier="""", buff, barrier)
         ),
         0
       ) *
       SWITCH(
         job,
         ""暗黒騎士"", FI$24,
         ""白魔道士"", EF31 * EH31 * FG31 * IF(abillity, 1, E"&amp;"G31 * EI31) * (Option!$D$22 * 0.81 / 100),
         ""占星術師"", EF31 * EJ31 * FG31 * IF(abillity, 1, EG31 * EK31) * (Option!$D$23 * 0.81 / 100),
         ""学者"", EF31 * EL31 * FG31 * IF(abillity, 1, EG31 * EM31) * (Option!$D$24 * 0.81 / 100),
         ""賢者"&amp;""", EF31 * EN31 * FG31 * IF(abillity, 1, EG31 * EO31) * (Option!$D$25 * 0.81 / 100),
         1
       )
     )
   )
 ) + EQ31"),0.0)</f>
        <v>0</v>
      </c>
      <c r="FI31" s="206">
        <f t="shared" si="11"/>
        <v>12000</v>
      </c>
      <c r="FJ31" s="205">
        <f>IFERROR(__xludf.DUMMYFUNCTION("PRODUCT(
   MAP(
     IF($F31=""Physical"", K$10:ED$10, IF($F31=""Magic"", K$11:ED$11, K$12:ED$12)),
     IF($F31=""Physical"", K$18:ED$18, IF($F31=""Magic"", K$19:ED$19, K$20:ED$20)),
     K$3:ED$3,
     K$5:ED$5,
     K$17:ED$17,
     K31:ED31,
     LAM"&amp;"BDA(
       mitigation,
       enhance,
       job,
       assign,
       precondition,
       check,
       IF(
         OR(AND(check=TRUE, REGEXMATCH(assign, ""SELF""), job=""ガンブレイカー""), AND(check=Option!$H$13, REGEXMATCH(assign, ""SINGLE_PARTY""))),
  "&amp;"       IF(
           OR(ARRAYFORMULA((IF(precondition="""", FALSE, REGEXMATCH($K$4:$ED$4, precondition))) * (K31:ED31=TRUE))),
           enhance,
           mitigation
         ),
         1
       )
     )
   )
 ) * EE31"),1.0)</f>
        <v>1</v>
      </c>
      <c r="FK31" s="206">
        <f t="shared" si="12"/>
        <v>12000</v>
      </c>
      <c r="FL31" s="205">
        <f>IFERROR(__xludf.DUMMYFUNCTION("PRODUCT(
   MAP(
     K$3:ED$3,
     K$14:ED$14,
     K$13:ED$13,
     K31:ED31,
     LAMBDA(
       job,
       buff,
       target,
       check,
       IF(
         OR(AND(check=TRUE, REGEXMATCH(target, ""SELF_AFFECTED_ALL""), job=""ガンブレイカー""), AND(che"&amp;"ck=Option!$H$13, REGEXMATCH(target, ""SINGLE_AFFECTED_ALL""))),
         buff,
         1
       )
     )
   )
 )"),1.0)</f>
        <v>1</v>
      </c>
      <c r="FM31" s="206">
        <f>IFERROR(__xludf.DUMMYFUNCTION("SUM(
   MAP(
     K$3:ED$3,
     K$7:ED$7,
     K$15:ED$15,
     K$16:ED$16,
     K$21:ED$21,
     K$5:ED$5,
     K$17:ED$17,
     K31:ED31,
     LAMBDA(
       job,
       abillity,
       buff,
       barrier,
       enhance,
       assign,
       preco"&amp;"ndition,
       check,
       IF(
         OR(AND(check=TRUE, REGEXMATCH(assign, ""SELF""), job=""ガンブレイカー""), AND(check=Option!$H$13, REGEXMATCH(assign, ""SINGLE_PARTY""))),
         IF(
           OR(ARRAYFORMULA((IF(precondition="""", FALSE, REGEXMATCH("&amp;"$K$4:$ED$4, precondition))) * (K31:ED31=TRUE))),
           enhance,
           IF(barrier="""", buff, barrier)
         ),
         0
       ) *
       SWITCH(
         job,
         ""暗黒騎士"", FN$24,
         ""白魔道士"", EF31 * EH31 * FL31 * IF(abillity, 1"&amp;", EG31 * EI31) * (Option!$D$22 * 0.81 / 100),
         ""占星術師"", EF31 * EJ31 * FL31 * IF(abillity, 1, EG31 * EK31) * (Option!$D$23 * 0.81 / 100),
         ""学者"", EF31 * EL31 * FL31 * IF(abillity, 1, EG31 * EM31) * (Option!$D$24 * 0.81 / 100),
         """&amp;"賢者"", EF31 * EN31 * FL31 * IF(abillity, 1, EG31 * EO31) * (Option!$D$25 * 0.81 / 100),
         1
       )
     )
   )
 ) + EQ31"),0.0)</f>
        <v>0</v>
      </c>
      <c r="FN31" s="206">
        <f t="shared" si="13"/>
        <v>12000</v>
      </c>
      <c r="FO31" s="213"/>
    </row>
    <row r="32">
      <c r="B32" s="229"/>
      <c r="C32" s="217">
        <f t="shared" si="1"/>
        <v>0.002291666667</v>
      </c>
      <c r="D32" s="233">
        <v>5.902777777777778E-4</v>
      </c>
      <c r="E32" s="221" t="s">
        <v>1088</v>
      </c>
      <c r="F32" s="167" t="s">
        <v>11</v>
      </c>
      <c r="G32" s="168" t="str">
        <f t="shared" si="2"/>
        <v/>
      </c>
      <c r="H32" s="169">
        <v>17500.0</v>
      </c>
      <c r="I32" s="169"/>
      <c r="J32" s="169"/>
      <c r="K32" s="170" t="b">
        <v>0</v>
      </c>
      <c r="L32" s="170" t="b">
        <v>0</v>
      </c>
      <c r="M32" s="170" t="b">
        <v>0</v>
      </c>
      <c r="N32" s="171" t="s">
        <v>1070</v>
      </c>
      <c r="O32" s="172" t="b">
        <v>0</v>
      </c>
      <c r="P32" s="173" t="b">
        <v>0</v>
      </c>
      <c r="Q32" s="173" t="b">
        <v>0</v>
      </c>
      <c r="R32" s="173" t="b">
        <v>0</v>
      </c>
      <c r="S32" s="174" t="b">
        <v>0</v>
      </c>
      <c r="T32" s="175" t="b">
        <v>0</v>
      </c>
      <c r="U32" s="173" t="b">
        <v>0</v>
      </c>
      <c r="V32" s="171" t="s">
        <v>1070</v>
      </c>
      <c r="W32" s="172" t="b">
        <v>0</v>
      </c>
      <c r="X32" s="173" t="b">
        <v>0</v>
      </c>
      <c r="Y32" s="173" t="b">
        <v>0</v>
      </c>
      <c r="Z32" s="173" t="b">
        <v>0</v>
      </c>
      <c r="AA32" s="174" t="b">
        <v>0</v>
      </c>
      <c r="AB32" s="174" t="b">
        <v>0</v>
      </c>
      <c r="AC32" s="175" t="b">
        <v>0</v>
      </c>
      <c r="AD32" s="173" t="b">
        <v>0</v>
      </c>
      <c r="AE32" s="176" t="s">
        <v>1070</v>
      </c>
      <c r="AF32" s="171" t="s">
        <v>1070</v>
      </c>
      <c r="AG32" s="177">
        <f>IFERROR(__xludf.DUMMYFUNCTION("IF(
  ISNUMBER(AG31),
  MIN(MAX(
    AG31
    + MAX(
      ROUNDDOWN(($D32 - MAX(IFERROR(FILTER($D$24:$D31, AG$24:AG31 &lt;&gt; AF$6, AG$23:AG30 = AF$6), 0))) * (60 * 60 * 24) / AF$9) - ROUNDDOWN(($D31 - MAX(IFERROR(FILTER($D$23:$D30, AG$23:AG30 &lt;&gt; AF$6, AG$22:"&amp;"AG29 = AF$6), 0))) * (60 * 60 * 24) / 60),
      0
    )
    - COUNTIF(AF32, ""&lt;&gt;-""),
  0), AF$6),
  AF$6 - COUNTIF(AF32, ""&lt;&gt;-"")
)"),2.0)</f>
        <v>2</v>
      </c>
      <c r="AH32" s="173" t="b">
        <v>0</v>
      </c>
      <c r="AI32" s="173" t="b">
        <v>0</v>
      </c>
      <c r="AJ32" s="173" t="b">
        <v>0</v>
      </c>
      <c r="AK32" s="174" t="b">
        <v>0</v>
      </c>
      <c r="AL32" s="175" t="b">
        <v>0</v>
      </c>
      <c r="AM32" s="173" t="b">
        <v>0</v>
      </c>
      <c r="AN32" s="171" t="s">
        <v>1070</v>
      </c>
      <c r="AO32" s="173" t="b">
        <v>0</v>
      </c>
      <c r="AP32" s="173" t="b">
        <v>0</v>
      </c>
      <c r="AQ32" s="173" t="b">
        <v>0</v>
      </c>
      <c r="AR32" s="174" t="b">
        <v>0</v>
      </c>
      <c r="AS32" s="178" t="b">
        <v>0</v>
      </c>
      <c r="AT32" s="179" t="b">
        <v>0</v>
      </c>
      <c r="AU32" s="180" t="b">
        <v>0</v>
      </c>
      <c r="AV32" s="180" t="b">
        <v>0</v>
      </c>
      <c r="AW32" s="180" t="b">
        <v>0</v>
      </c>
      <c r="AX32" s="180" t="b">
        <v>0</v>
      </c>
      <c r="AY32" s="181" t="s">
        <v>1070</v>
      </c>
      <c r="AZ32" s="181" t="s">
        <v>1070</v>
      </c>
      <c r="BA32" s="184">
        <f>IFERROR(__xludf.DUMMYFUNCTION("IF(
  ISNUMBER(BA31),
  MIN(MAX(
    BA31
    + MAX(
      ROUNDDOWN((D32 - MAX(IFERROR(FILTER(D$24:D31, BA$24:BA31 &lt;&gt; AZ$6, BA$23:BA30 = AZ$6), 0))) * (60 * 60 * 24) / AZ$9) - ROUNDDOWN((D31 - MAX(IFERROR(FILTER(D$23:D30, BA$23:BA30 &lt;&gt; AZ$6, BA$22:BA29 ="&amp;" AZ$6), 0))) * (60 * 60 * 24) / AZ$9),
      0
    )
    - COUNTIF(AZ32, ""&lt;&gt;-""),
  0), AZ$6),
  AZ$6 - COUNTIF(AZ32, ""&lt;&gt;-"")
)"),2.0)</f>
        <v>2</v>
      </c>
      <c r="BB32" s="181" t="s">
        <v>1070</v>
      </c>
      <c r="BC32" s="183">
        <f>IFERROR(__xludf.DUMMYFUNCTION("IF(
  ISNUMBER(BC31),
  MIN(MAX(
    BC31
    + MAX(
      ROUNDDOWN(($D32 - MAX(IFERROR(FILTER($D$24:$D31, BC$24:BC31 &lt;&gt; BB$6, BC$23:BC30 = BB$6), 0))) * (60 * 60 * 24) / BB$9) - ROUNDDOWN(($D31 - MAX(IFERROR(FILTER($D$23:$D30, BC$23:BC30 &lt;&gt; BB$6, BC$22:"&amp;"BC29 = BB$6), 0))) * (60 * 60 * 24) / 60),
      0
    )
    - COUNTIF(BB32, ""&lt;&gt;-""),
  0), BB$6),
  BB$6 - COUNTIF(BB32, ""&lt;&gt;-"")
)"),2.0)</f>
        <v>2</v>
      </c>
      <c r="BD32" s="181" t="s">
        <v>1070</v>
      </c>
      <c r="BE32" s="178" t="b">
        <v>0</v>
      </c>
      <c r="BF32" s="180" t="b">
        <v>0</v>
      </c>
      <c r="BG32" s="180" t="b">
        <v>0</v>
      </c>
      <c r="BH32" s="180" t="b">
        <v>0</v>
      </c>
      <c r="BI32" s="180" t="b">
        <v>0</v>
      </c>
      <c r="BJ32" s="180" t="b">
        <v>0</v>
      </c>
      <c r="BK32" s="180" t="b">
        <v>0</v>
      </c>
      <c r="BL32" s="180" t="b">
        <v>0</v>
      </c>
      <c r="BM32" s="180" t="b">
        <v>0</v>
      </c>
      <c r="BN32" s="180" t="b">
        <v>0</v>
      </c>
      <c r="BO32" s="181" t="s">
        <v>1070</v>
      </c>
      <c r="BP32" s="181" t="s">
        <v>1070</v>
      </c>
      <c r="BQ32" s="181" t="s">
        <v>1070</v>
      </c>
      <c r="BR32" s="181" t="s">
        <v>1070</v>
      </c>
      <c r="BS32" s="181" t="s">
        <v>1070</v>
      </c>
      <c r="BT32" s="184">
        <f>IFERROR(__xludf.DUMMYFUNCTION("IF(
  ISNUMBER(BT31),
  MIN(MAX(
    BT31
    + MAX(
      ROUNDDOWN((D32 - MAX(IFERROR(FILTER(D$24:D31, BT$24:BT31 &lt;&gt; BS$6, BT$23:BT30 = BS$6), 0))) * (60 * 60 * 24) / BS$9) - ROUNDDOWN((D31 - MAX(IFERROR(FILTER(D$23:D30, BT$23:BT30 &lt;&gt; BS$6, BT$22:BT29 ="&amp;" BS$6), 0))) * (60 * 60 * 24) / BS$9),
      0
    )
    - COUNTIF(BS32, ""&lt;&gt;-""),
  0), BS$6),
  BS$6 - COUNTIF(BS32, ""&lt;&gt;-"")
)"),3.0)</f>
        <v>3</v>
      </c>
      <c r="BU32" s="181" t="s">
        <v>1070</v>
      </c>
      <c r="BV32" s="181" t="s">
        <v>1070</v>
      </c>
      <c r="BW32" s="184">
        <f>IFERROR(__xludf.DUMMYFUNCTION("IF(
  ISNUMBER(BW31),
  MIN(MAX(
    BW31
    + MAX(
      ROUNDDOWN((D32 - MAX(IFERROR(FILTER(D$24:D31, BW$24:BW31 &lt;&gt; BV$6, BW$23:BW30 = BV$6), 0))) * (60 * 60 * 24) / BV$9) - ROUNDDOWN((D31 - MAX(IFERROR(FILTER(D$23:D30, BW$23:BW30 &lt;&gt; BV$6, BW$22:BW29 ="&amp;" BV$6), 0))) * (60 * 60 * 24) / BV$9),
      0
    )
    - COUNTIF(BV32, ""&lt;&gt;-""),
  0), BV$6),
  BV$6 - COUNTIF(BV32, ""&lt;&gt;-"")
)"),2.0)</f>
        <v>2</v>
      </c>
      <c r="BX32" s="185" t="s">
        <v>1070</v>
      </c>
      <c r="BY32" s="178" t="b">
        <v>0</v>
      </c>
      <c r="BZ32" s="180" t="b">
        <v>0</v>
      </c>
      <c r="CA32" s="180" t="b">
        <v>0</v>
      </c>
      <c r="CB32" s="180" t="b">
        <v>0</v>
      </c>
      <c r="CC32" s="180" t="b">
        <v>0</v>
      </c>
      <c r="CD32" s="180" t="b">
        <v>0</v>
      </c>
      <c r="CE32" s="180" t="b">
        <v>0</v>
      </c>
      <c r="CF32" s="180" t="b">
        <v>0</v>
      </c>
      <c r="CG32" s="180" t="b">
        <v>0</v>
      </c>
      <c r="CH32" s="180" t="b">
        <v>0</v>
      </c>
      <c r="CI32" s="180" t="b">
        <v>0</v>
      </c>
      <c r="CJ32" s="180" t="b">
        <v>0</v>
      </c>
      <c r="CK32" s="180" t="b">
        <v>0</v>
      </c>
      <c r="CL32" s="180" t="b">
        <v>0</v>
      </c>
      <c r="CM32" s="181" t="s">
        <v>1070</v>
      </c>
      <c r="CN32" s="181" t="s">
        <v>1070</v>
      </c>
      <c r="CO32" s="181" t="s">
        <v>1070</v>
      </c>
      <c r="CP32" s="181" t="s">
        <v>1070</v>
      </c>
      <c r="CQ32" s="185" t="s">
        <v>1070</v>
      </c>
      <c r="CR32" s="180" t="b">
        <v>0</v>
      </c>
      <c r="CS32" s="186" t="str">
        <f t="shared" si="14"/>
        <v>◇◇◇</v>
      </c>
      <c r="CT32" s="178" t="b">
        <v>0</v>
      </c>
      <c r="CU32" s="180" t="b">
        <v>0</v>
      </c>
      <c r="CV32" s="180" t="b">
        <v>0</v>
      </c>
      <c r="CW32" s="180" t="b">
        <v>0</v>
      </c>
      <c r="CX32" s="180" t="b">
        <v>0</v>
      </c>
      <c r="CY32" s="180" t="b">
        <v>0</v>
      </c>
      <c r="CZ32" s="180" t="b">
        <v>0</v>
      </c>
      <c r="DA32" s="180" t="b">
        <v>0</v>
      </c>
      <c r="DB32" s="180" t="b">
        <v>0</v>
      </c>
      <c r="DC32" s="180" t="b">
        <v>0</v>
      </c>
      <c r="DD32" s="181" t="s">
        <v>1070</v>
      </c>
      <c r="DE32" s="181" t="s">
        <v>1070</v>
      </c>
      <c r="DF32" s="181" t="s">
        <v>1070</v>
      </c>
      <c r="DG32" s="185" t="s">
        <v>1070</v>
      </c>
      <c r="DH32" s="180" t="b">
        <v>0</v>
      </c>
      <c r="DI32" s="187" t="str">
        <f>IFERROR(__xludf.DUMMYFUNCTION("SWITCH(
  IF(
    ISTEXT(DI31),
    IF (
      FIND(""○"", DI31&amp;""○"") &gt; 3,
      3,
      FIND(""○"", DI31&amp;""○"")
      + MAX(
        ROUNDDOWN(($D32 - MAX(IFERROR(FILTER(D$24:D31, DI$24:DI31 &lt;&gt; ""●●●"", DI$23:DI30 = ""●●●""), 0))) * (60 * 60 * 24) / 20"&amp;") - ROUNDDOWN(($D31 - MAX(IFERROR(FILTER(D$23:D30, DI$23:DI30 &lt;&gt; ""●●●"", DI$22:DI29 = ""●●●""), 0))) * (60 * 60 * 24) / 20),
        0
      ) - 1
    ) - COUNTIFS(CU32, ""=TRUE"", CU31, ""&lt;&gt;TRUE"") - COUNTIF(CZ32, ""=TRUE"") - COUNTIF({DD32,DE32}, ""&lt;&gt;-"&amp;""") + COUNTIF(DH32, ""=TRUE""),
    3
  ),
  0, ""○○○"", 1, ""●○○"", 2, ""●●○"", 3, ""●●●"", 4, ""●●●"", ""○○○""
)"),"●●●")</f>
        <v>●●●</v>
      </c>
      <c r="DJ32" s="188" t="b">
        <v>0</v>
      </c>
      <c r="DK32" s="189" t="b">
        <v>0</v>
      </c>
      <c r="DL32" s="190" t="b">
        <v>0</v>
      </c>
      <c r="DM32" s="190" t="b">
        <v>0</v>
      </c>
      <c r="DN32" s="190" t="b">
        <v>0</v>
      </c>
      <c r="DO32" s="190" t="b">
        <v>0</v>
      </c>
      <c r="DP32" s="190" t="b">
        <v>0</v>
      </c>
      <c r="DQ32" s="191" t="b">
        <v>0</v>
      </c>
      <c r="DR32" s="192" t="b">
        <v>0</v>
      </c>
      <c r="DS32" s="191" t="b">
        <v>0</v>
      </c>
      <c r="DT32" s="192" t="b">
        <v>0</v>
      </c>
      <c r="DU32" s="191" t="b">
        <v>0</v>
      </c>
      <c r="DV32" s="193" t="s">
        <v>1070</v>
      </c>
      <c r="DW32" s="194" t="b">
        <v>0</v>
      </c>
      <c r="DX32" s="194" t="b">
        <v>0</v>
      </c>
      <c r="DY32" s="195" t="b">
        <v>0</v>
      </c>
      <c r="DZ32" s="196" t="b">
        <v>0</v>
      </c>
      <c r="EA32" s="195" t="b">
        <v>0</v>
      </c>
      <c r="EB32" s="197" t="b">
        <v>0</v>
      </c>
      <c r="EC32" s="197" t="b">
        <v>0</v>
      </c>
      <c r="ED32" s="212" t="b">
        <v>0</v>
      </c>
      <c r="EE32" s="199">
        <f>IFERROR(__xludf.DUMMYFUNCTION("IFERROR(
   PRODUCT(
     MAP(
       INDEX(TRANSPOSE(UNIQUE(TRANSPOSE(FILTER({IF($F32=""Physical"", K$10:ED$10, IF($F32=""Magic"", K$11:ED$11, K$12:ED$12));K$4:ED$4;K32:ED32}, K32:ED32=TRUE)))), 1, 0),
       INDEX(TRANSPOSE(UNIQUE(TRANSPOSE(FILTER({IF($"&amp;"F32=""Physical"", K$18:ED$18, IF($F32=""Magic"", K$19:ED$19, K$20:ED$20));K$4:ED$4;K32:ED32}, K32:ED32=TRUE)))), 1, 0),
       INDEX(TRANSPOSE(UNIQUE(TRANSPOSE(FILTER({K$5:ED$5;K$4:ED$4;K32:ED32}, K32:ED32=TRUE)))), 1, 0),
       INDEX(TRANSPOSE(UNIQUE(TR"&amp;"ANSPOSE(FILTER({K$17:ED$17;K$4:ED$4;K32:ED32}, K32:ED32=TRUE)))), 1, 0),
       LAMBDA(
         mitigation,
         enhance,
         assign,
         precondition,
         IF(
           REGEXMATCH(assign, ""RANGE_PARTY|SINGLE_ENEMY|RANGE_ENEMY""),
  "&amp;"         IF(
             OR(ARRAYFORMULA((IF(precondition="""", FALSE, REGEXMATCH(K$4:ED$4, precondition))) * (K32:ED32=TRUE))),
             IF(ISNUMBER(enhance), enhance, 1),
             IF(ISNUMBER(mitigation), mitigation, 1)
           ),
          "&amp;" 1
         )
       )
     )
   ),
   1
 )"),1.0)</f>
        <v>1</v>
      </c>
      <c r="EF32" s="200">
        <f>IFERROR(__xludf.DUMMYFUNCTION("PRODUCT(
   MAP(
     K$14:ED$14,
     K$13:ED$13,
     K32:ED32,
     LAMBDA(
       buff,
       target,
       check,
       IF(
         AND(check=TRUE, REGEXMATCH(target, ""RANGE_AFFECTED_ALL|RANGE_EFFECTED_ALL""), ISNUMBER(buff)),
         buff,
   "&amp;"      1
       )
     )
   )
 )"),1.0)</f>
        <v>1</v>
      </c>
      <c r="EG32" s="200">
        <f>IFERROR(__xludf.DUMMYFUNCTION("PRODUCT(
   MAP(
     K$14:ED$14,
     K$13:ED$13,
     K32:ED32,
     LAMBDA(
       buff,
       target,
       check,
       IF(
         AND(check=TRUE, REGEXMATCH(target, ""RANGE_AFFECTED_GCD|RANGE_EFFECTED_GCD""), ISNUMBER(buff)),
         buff,
   "&amp;"      1
       )
     )
   )
 )"),1.0)</f>
        <v>1</v>
      </c>
      <c r="EH32" s="200">
        <f>IFERROR(__xludf.DUMMYFUNCTION("PRODUCT(
   MAP(
     K$3:ED$3,
     K$14:ED$14,
     K$13:ED$13,
     K32:ED32,
     LAMBDA(
       job,
       buff,
       target,
       check,
       IF(
         AND(check=TRUE, REGEXMATCH(target, ""SELF_EFFECTED_ALL""), ISNUMBER(buff), job=""白魔道士"""&amp;"),
         buff,
         1
       )
     )
   )
 )"),1.0)</f>
        <v>1</v>
      </c>
      <c r="EI32" s="200">
        <f>IFERROR(__xludf.DUMMYFUNCTION("PRODUCT(
   MAP(
     K$3:ED$3,
     K$14:ED$14,
     K$13:ED$13,
     K32:ED32,
     LAMBDA(
       job,
       buff,
       target,
       check,
       IF(
         AND(check=TRUE, REGEXMATCH(target, ""SELF_EFFECTED_GCD""), ISNUMBER(buff), job=""白魔道士"""&amp;"),
         buff,
         1
       )
     )
   )
 )"),1.0)</f>
        <v>1</v>
      </c>
      <c r="EJ32" s="200">
        <f>IFERROR(__xludf.DUMMYFUNCTION("PRODUCT(
   MAP(
     K$3:ED$3,
     K$14:ED$14,
     K$13:ED$13,
     K32:ED32,
     LAMBDA(
       job,
       buff,
       target,
       check,
       IF(
         AND(check=TRUE, REGEXMATCH(target, ""SELF_EFFECTED_ALL""), ISNUMBER(buff), job=""占星術師"""&amp;"),
         buff,
         1
       )
     )
   )
 )"),1.0)</f>
        <v>1</v>
      </c>
      <c r="EK32" s="200">
        <f>IFERROR(__xludf.DUMMYFUNCTION("PRODUCT(
   MAP(
     K$3:ED$3,
     K$14:ED$14,
     K$13:ED$13,
     K32:ED32,
     LAMBDA(
       job,
       buff,
       target,
       check,
       IF(
         AND(check=TRUE, REGEXMATCH(target, ""SELF_EFFECTED_GCD""), ISNUMBER(buff), job=""占星術師"""&amp;"),
         buff,
         1
       )
     )
   )
 )"),1.0)</f>
        <v>1</v>
      </c>
      <c r="EL32" s="200">
        <f>IFERROR(__xludf.DUMMYFUNCTION("PRODUCT(
   MAP(
     K$3:ED$3,
     K$14:ED$14,
     K$13:ED$13,
     K32:ED32,
     LAMBDA(
       job,
       buff,
       target,
       check,
       IF(
         AND(check=TRUE, REGEXMATCH(target, ""SELF_EFFECTED_ALL""), ISNUMBER(buff), job=""学者""),"&amp;"
         buff,
         1
       )
     )
   )
 )"),1.0)</f>
        <v>1</v>
      </c>
      <c r="EM32" s="200">
        <f>IFERROR(__xludf.DUMMYFUNCTION("PRODUCT(
   MAP(
     K$3:ED$3,
     K$14:ED$14,
     K$13:ED$13,
     K32:ED32,
     LAMBDA(
       job,
       buff,
       target,
       check,
       IF(
         AND(check=TRUE, REGEXMATCH(target, ""SELF_EFFECTED_GCD""), ISNUMBER(buff), job=""学者""),"&amp;"
         buff,
         1
       )
     )
   )
 )"),1.0)</f>
        <v>1</v>
      </c>
      <c r="EN32" s="200">
        <f>IFERROR(__xludf.DUMMYFUNCTION("PRODUCT(
   MAP(
     K$3:ED$3,
     K$14:ED$14,
     K$13:ED$13,
     K32:ED32,
     LAMBDA(
       job,
       buff,
       target,
       check,
       IF(
         AND(check=TRUE, REGEXMATCH(target, ""SELF_EFFECTED_ALL""), ISNUMBER(buff), job=""賢者""),"&amp;"
         buff,
         1
       )
     )
   )
 )"),1.0)</f>
        <v>1</v>
      </c>
      <c r="EO32" s="200">
        <f>IFERROR(__xludf.DUMMYFUNCTION("PRODUCT(
   MAP(
     K$3:ED$3,
     K$14:ED$14,
     K$13:ED$13,
     K32:ED32,
     LAMBDA(
       job,
       buff,
       target,
       check,
       IF(
         AND(check=TRUE, REGEXMATCH(target, ""SELF_EFFECTED_GCD""), ISNUMBER(buff), job=""賢者""),"&amp;"
         buff,
         1
       )
     )
   )
 )"),1.0)</f>
        <v>1</v>
      </c>
      <c r="EP32" s="201">
        <f t="shared" si="3"/>
        <v>17500</v>
      </c>
      <c r="EQ32" s="201">
        <f>IFERROR(__xludf.DUMMYFUNCTION("SUM(
   MAP(
     K$4:ED$4,
     K$3:ED$3,
     K$7:ED$7,
     K$15:ED$15,
     K$16:ED$16,
     K$21:ED$21,
     K$5:ED$5,
     K$17:ED$17,
     K32:ED32,
     LAMBDA(
       name,
       job,
       abillity,
       buff,
       barrier,
       enhance,"&amp;"
       assign,
       precondition,
       check,
       SWITCH(
         name,
         ""シェイクオフ"", IF(check=TRUE, buff + (0.02 * COUNTIF(ARRAYFORMULA((REGEXMATCH($K$4:$ED$4, ""スリル・オブ・バトル|ヴェンジェンス|原初の血気|ダムネーション"")) * (K32:ED32=TRUE)), 1)), 0),
         "&amp;"""インプロビゼーションフィニッシュ(踊りの激情0)"", IF(ISNUMBER(check), INDEX(Skill!$AJ:$AJ, MATCH(SUBSTITUTE(DV$4, 0, check), Skill!$C:$C, 0)), 0),
         IF(
           AND(check=TRUE, REGEXMATCH(assign, ""RANGE_PARTY"")),
           IF(
             OR(ARRAYFORMULA((IF(pr"&amp;"econdition="""", FALSE, REGEXMATCH($K$4:$ED$4, precondition))) * (K32:ED32=TRUE))),
             enhance,
             IF(barrier="""", buff, barrier)
           ),
           0
         )
       ) *
       SWITCH(
         job,
         ""ナイト"", EY$24,
 "&amp;"        ""戦士"", FD$24,
         ""踊り子"", ET$24,
         ""ピクトマンサー"", ET$24,
         ""白魔道士"", EF32 * EH32 * IF(abillity, 1, EG32 * EI32) * (Option!$D$22 * 0.81 / 100),
         ""占星術師"", EF32 * EJ32 * IF(abillity, 1, EG32 * EK32) * (Option!$D$23 * 0.81 "&amp;"/ 100),
         ""学者"", EF32 * EL32 * IF(abillity, 1, EG32 * EM32) * (Option!$D$24 * 0.81 / 100),
         ""賢者"", EF32 * EN32 * IF(abillity, 1, EG32 * EO32) * (Option!$D$25 * 0.81 / 100),
         1
       )
     )
   )
 )"),0.0)</f>
        <v>0</v>
      </c>
      <c r="ER32" s="202">
        <f t="shared" si="4"/>
        <v>17500</v>
      </c>
      <c r="ES32" s="203">
        <f t="shared" si="5"/>
        <v>0</v>
      </c>
      <c r="ET32" s="231" t="str">
        <f>IFERROR(__xludf.DUMMYFUNCTION("IFS(
  EP32 &gt; $ET$24 + EQ32,
  SPARKLINE({ 1, 0 }, {""charttype"",""bar"";""max"", 1;""color1"",Option!$D$30;""color2"",Option!$D$30}),
  EP32 &lt; EQ32,
  SPARKLINE({EQ32 - EP32, $ET$24 - (EQ32 - EP32)}, {""charttype"",""bar"";""max"",$ET$24;""color1"",Opti"&amp;"on!$D$28;""color2"",Option!$D$29}),
  EP32 &gt;= EQ32,
  SPARKLINE({$ET$24 + EQ32 - EP32,EP32 - EQ32}, {""charttype"",""bar"";""max"",$ET$24;""color1"",Option!$D$29;""color2"",Option!$D$30})
)"),"")</f>
        <v/>
      </c>
      <c r="EU32" s="205">
        <f>IFERROR(__xludf.DUMMYFUNCTION("PRODUCT(
   MAP(
     IF($F32=""Physical"", K$10:ED$10, IF($F32=""Magic"", K$11:ED$11, K$12:ED$12)),
     IF($F32=""Physical"", K$18:ED$18, IF($F32=""Magic"", K$19:ED$19, K$20:ED$20)),
     K$3:ED$3,
     K$5:ED$5,
     K$17:ED$17,
     K32:ED32,
     LAM"&amp;"BDA(
       mitigation,
       enhance,
       job,
       assign,
       precondition,
       check,
       IF(
         OR(AND(check=TRUE, REGEXMATCH(assign, ""SELF""), job=""ナイト""), AND(check=Option!$E$13, REGEXMATCH(assign, ""SINGLE_PARTY""))),
      "&amp;"   IF(
           OR(ARRAYFORMULA((IF(precondition="""", FALSE, REGEXMATCH($K$4:$ED$4, precondition))) * (K32:ED32=TRUE))),
           enhance,
           mitigation
         ),
         1
       )
     )
   )
 ) * EE32"),1.0)</f>
        <v>1</v>
      </c>
      <c r="EV32" s="206">
        <f t="shared" si="6"/>
        <v>14000</v>
      </c>
      <c r="EW32" s="205">
        <f>IFERROR(__xludf.DUMMYFUNCTION("PRODUCT(
   MAP(
     K$3:ED$3,
     K$14:ED$14,
     K$13:ED$13,
     K32:ED32,
     LAMBDA(
       job,
       buff,
       target,
       check,
       IF(
         OR(AND(check=TRUE, REGEXMATCH(target, ""SELF_AFFECTED_ALL""), job=""ナイト""), AND(check=O"&amp;"ption!$E$13, REGEXMATCH(target, ""SINGLE_AFFECTED_ALL""))),
         buff,
         1
       )
     )
   )
 )"),1.0)</f>
        <v>1</v>
      </c>
      <c r="EX32" s="206">
        <f>IFERROR(__xludf.DUMMYFUNCTION("SUM(
   MAP(
     K$3:ED$3,
     K$7:ED$7,
     K$15:ED$15,
     K$16:ED$16,
     K$21:ED$21,
     K$5:ED$5,
     K$17:ED$17,
     K32:ED32,
     LAMBDA(
       job,
       abillity,
       buff,
       barrier,
       enhance,
       assign,
       preco"&amp;"ndition,
       check,
       IF(
         OR(AND(check=TRUE, REGEXMATCH(assign, ""SELF""), job=""ナイト""), AND(check=Option!$E$13, REGEXMATCH(assign, ""SINGLE_PARTY""))),
         IF(
           OR(ARRAYFORMULA((IF(precondition="""", FALSE, REGEXMATCH($K$4"&amp;":$ED$4, precondition))) * (K32:ED32=TRUE))),
           enhance,
           IF(barrier="""", buff, barrier)
         ),
         0
       ) *
       SWITCH(
         job,
         ""暗黒騎士"", EY$24,
         ""白魔道士"", EF32 * EH32 * EW32 * IF(abillity, 1, EG"&amp;"32 * EI32) * (Option!$D$22 * 0.81 / 100),
         ""占星術師"", EF32 * EJ32 * EW32 * IF(abillity, 1, EG32 * EK32) * (Option!$D$23 * 0.81 / 100),
         ""学者"", EF32 * EL32 * EW32 * IF(abillity, 1, EG32 * EM32) * (Option!$D$24 * 0.81 / 100),
         ""賢者"""&amp;", EF32 * EN32 * EW32 * IF(abillity, 1, EG32 * EO32) * (Option!$D$25 * 0.81 / 100),
         1
       )
     )
   )
 ) + EQ32"),0.0)</f>
        <v>0</v>
      </c>
      <c r="EY32" s="232">
        <f t="shared" si="7"/>
        <v>14000</v>
      </c>
      <c r="EZ32" s="205">
        <f>IFERROR(__xludf.DUMMYFUNCTION("PRODUCT(
   MAP(
     IF($F32=""Physical"", K$10:ED$10, IF($F32=""Magic"", K$11:ED$11, K$12:ED$12)),
     IF($F32=""Physical"", K$18:ED$18, IF($F32=""Magic"", K$19:ED$19, K$20:ED$20)),
     K$3:ED$3,
     K$5:ED$5,
     K$17:ED$17,
     K32:ED32,
     LAM"&amp;"BDA(
       mitigation,
       enhance,
       job,
       assign,
       precondition,
       check,
       IF(
         OR(AND(check=TRUE, REGEXMATCH(assign, ""SELF""), job=""戦士""), AND(check=Option!$F$13, REGEXMATCH(assign, ""SINGLE_PARTY""))),
       "&amp;"  IF(
           OR(ARRAYFORMULA((IF(precondition="""", FALSE, REGEXMATCH($K$4:$ED$4, precondition))) * (K32:ED32=TRUE))),
           enhance,
           mitigation
         ),
         1
       )
     )
   )
 ) * EE32"),1.0)</f>
        <v>1</v>
      </c>
      <c r="FA32" s="206">
        <f t="shared" si="8"/>
        <v>14000</v>
      </c>
      <c r="FB32" s="205">
        <f>IFERROR(__xludf.DUMMYFUNCTION("PRODUCT(
   MAP(
     K$3:ED$3,
     K$14:ED$14,
     K$13:ED$13,
     K32:ED32,
     LAMBDA(
       job,
       buff,
       target,
       check,
       IF(
         OR(AND(check=TRUE, REGEXMATCH(target, ""SELF_AFFECTED_ALL""), job=""戦士""), AND(check=Op"&amp;"tion!$F$13, REGEXMATCH(target, ""SINGLE_AFFECTED_ALL""))),
         buff,
         1
       )
     )
   )
 )"),1.0)</f>
        <v>1</v>
      </c>
      <c r="FC32" s="206">
        <f>IFERROR(__xludf.DUMMYFUNCTION("SUM(
   MAP(
     K$3:ED$3,
     K$7:ED$7,
     K$15:ED$15,
     K$16:ED$16,
     K$21:ED$21,
     K$5:ED$5,
     K$17:ED$17,
     K32:ED32,
     LAMBDA(
       job,
       abillity,
       buff,
       barrier,
       enhance,
       assign,
       preco"&amp;"ndition,
       check,
       IF(
         OR(AND(check=TRUE, REGEXMATCH(assign, ""SELF""), job=""戦士""), AND(check=Option!$F$13, REGEXMATCH(assign, ""SINGLE_PARTY""))),
         IF(
           OR(ARRAYFORMULA((IF(precondition="""", FALSE, REGEXMATCH($K$4:"&amp;"$ED$4, precondition))) * (K32:ED32=TRUE))),
           enhance,
           IF(barrier="""", buff, barrier)
         ),
         0
       ) *
       SWITCH(
         job,
         ""暗黒騎士"", FD$24,
         ""白魔道士"", EF32 * EH32 * FB32 * IF(abillity, 1, EG3"&amp;"2 * EI32) * (Option!$D$22 * 0.81 / 100),
         ""占星術師"", EF32 * EJ32 * FFB32 * IF(abillity, 1, EG32 * EK32) * (Option!$D$23 * 0.81 / 100),
         ""学者"", EF32 * EL32 * FB32 * IF(abillity, 1, EG32 * EM32) * (Option!$D$24 * 0.81 / 100),
         ""賢者"""&amp;", EF32 * EN32 * FB32 * IF(abillity, 1, EG32 * EO32) * (Option!$D$25 * 0.81 / 100),
         1
       )
     )
   )
 ) + EQ32"),0.0)</f>
        <v>0</v>
      </c>
      <c r="FD32" s="206">
        <f t="shared" si="9"/>
        <v>14000</v>
      </c>
      <c r="FE32" s="205">
        <f>IFERROR(__xludf.DUMMYFUNCTION("PRODUCT(
   MAP(
     IF($F32=""Physical"", K$10:ED$10, IF($F32=""Magic"", K$11:ED$11, K$12:ED$12)),
     IF($F32=""Physical"", K$18:ED$18, IF($F32=""Magic"", K$19:ED$19, K$20:ED$20)),
     K$3:ED$3,
     K$5:ED$5,
     K$17:ED$17,
     K32:ED32,
     LAM"&amp;"BDA(
       mitigation,
       enhance,
       job,
       assign,
       precondition,
       check,
       IF(
         OR(AND(check=TRUE, REGEXMATCH(assign, ""SELF""), job=""暗黒騎士""), AND(check=Option!$G$13, REGEXMATCH(assign, ""SINGLE_PARTY""))),
     "&amp;"    IF(
           OR(ARRAYFORMULA((IF(precondition="""", FALSE, REGEXMATCH($K$4:$ED$4, precondition))) * (K32:ED32=TRUE))),
           enhance,
           mitigation
         ),
         1
       )
     )
   )
 ) * EE32"),1.0)</f>
        <v>1</v>
      </c>
      <c r="FF32" s="206">
        <f t="shared" si="10"/>
        <v>14000</v>
      </c>
      <c r="FG32" s="205">
        <f>IFERROR(__xludf.DUMMYFUNCTION("PRODUCT(
   MAP(
     K$3:ED$3,
     K$14:ED$14,
     K$13:ED$13,
     K32:ED32,
     LAMBDA(
       job,
       buff,
       target,
       check,
       IF(
         OR(AND(check=TRUE, REGEXMATCH(target, ""SELF_AFFECTED_ALL""), job=""暗黒騎士""), AND(check="&amp;"Option!$G$13, REGEXMATCH(target, ""SINGLE_AFFECTED_ALL""))),
         buff,
         1
       )
     )
   )
 )"),1.0)</f>
        <v>1</v>
      </c>
      <c r="FH32" s="206">
        <f>IFERROR(__xludf.DUMMYFUNCTION("SUM(
   MAP(
     K$3:ED$3,
     K$7:ED$7,
     K$15:ED$15,
     K$16:ED$16,
     K$21:ED$21,
     K$5:ED$5,
     K$17:ED$17,
     K32:ED32,
     LAMBDA(
       job,
       abillity,
       buff,
       barrier,
       enhance,
       assign,
       preco"&amp;"ndition,
       check,
       IF(
         OR(AND(check=TRUE, REGEXMATCH(assign, ""SELF""), job=""暗黒騎士""), AND(check=Option!$G$13, REGEXMATCH(assign, ""SINGLE_PARTY""))),
         IF(
           OR(ARRAYFORMULA((IF(precondition="""", FALSE, REGEXMATCH($K$"&amp;"4:$ED$4, precondition))) * (K32:ED32=TRUE))),
           enhance,
           IF(barrier="""", buff, barrier)
         ),
         0
       ) *
       SWITCH(
         job,
         ""暗黒騎士"", FI$24,
         ""白魔道士"", EF32 * EH32 * FG32 * IF(abillity, 1, E"&amp;"G32 * EI32) * (Option!$D$22 * 0.81 / 100),
         ""占星術師"", EF32 * EJ32 * FG32 * IF(abillity, 1, EG32 * EK32) * (Option!$D$23 * 0.81 / 100),
         ""学者"", EF32 * EL32 * FG32 * IF(abillity, 1, EG32 * EM32) * (Option!$D$24 * 0.81 / 100),
         ""賢者"&amp;""", EF32 * EN32 * FG32 * IF(abillity, 1, EG32 * EO32) * (Option!$D$25 * 0.81 / 100),
         1
       )
     )
   )
 ) + EQ32"),0.0)</f>
        <v>0</v>
      </c>
      <c r="FI32" s="206">
        <f t="shared" si="11"/>
        <v>14000</v>
      </c>
      <c r="FJ32" s="205">
        <f>IFERROR(__xludf.DUMMYFUNCTION("PRODUCT(
   MAP(
     IF($F32=""Physical"", K$10:ED$10, IF($F32=""Magic"", K$11:ED$11, K$12:ED$12)),
     IF($F32=""Physical"", K$18:ED$18, IF($F32=""Magic"", K$19:ED$19, K$20:ED$20)),
     K$3:ED$3,
     K$5:ED$5,
     K$17:ED$17,
     K32:ED32,
     LAM"&amp;"BDA(
       mitigation,
       enhance,
       job,
       assign,
       precondition,
       check,
       IF(
         OR(AND(check=TRUE, REGEXMATCH(assign, ""SELF""), job=""ガンブレイカー""), AND(check=Option!$H$13, REGEXMATCH(assign, ""SINGLE_PARTY""))),
  "&amp;"       IF(
           OR(ARRAYFORMULA((IF(precondition="""", FALSE, REGEXMATCH($K$4:$ED$4, precondition))) * (K32:ED32=TRUE))),
           enhance,
           mitigation
         ),
         1
       )
     )
   )
 ) * EE32"),1.0)</f>
        <v>1</v>
      </c>
      <c r="FK32" s="206">
        <f t="shared" si="12"/>
        <v>14000</v>
      </c>
      <c r="FL32" s="205">
        <f>IFERROR(__xludf.DUMMYFUNCTION("PRODUCT(
   MAP(
     K$3:ED$3,
     K$14:ED$14,
     K$13:ED$13,
     K32:ED32,
     LAMBDA(
       job,
       buff,
       target,
       check,
       IF(
         OR(AND(check=TRUE, REGEXMATCH(target, ""SELF_AFFECTED_ALL""), job=""ガンブレイカー""), AND(che"&amp;"ck=Option!$H$13, REGEXMATCH(target, ""SINGLE_AFFECTED_ALL""))),
         buff,
         1
       )
     )
   )
 )"),1.0)</f>
        <v>1</v>
      </c>
      <c r="FM32" s="206">
        <f>IFERROR(__xludf.DUMMYFUNCTION("SUM(
   MAP(
     K$3:ED$3,
     K$7:ED$7,
     K$15:ED$15,
     K$16:ED$16,
     K$21:ED$21,
     K$5:ED$5,
     K$17:ED$17,
     K32:ED32,
     LAMBDA(
       job,
       abillity,
       buff,
       barrier,
       enhance,
       assign,
       preco"&amp;"ndition,
       check,
       IF(
         OR(AND(check=TRUE, REGEXMATCH(assign, ""SELF""), job=""ガンブレイカー""), AND(check=Option!$H$13, REGEXMATCH(assign, ""SINGLE_PARTY""))),
         IF(
           OR(ARRAYFORMULA((IF(precondition="""", FALSE, REGEXMATCH("&amp;"$K$4:$ED$4, precondition))) * (K32:ED32=TRUE))),
           enhance,
           IF(barrier="""", buff, barrier)
         ),
         0
       ) *
       SWITCH(
         job,
         ""暗黒騎士"", FN$24,
         ""白魔道士"", EF32 * EH32 * FL32 * IF(abillity, 1"&amp;", EG32 * EI32) * (Option!$D$22 * 0.81 / 100),
         ""占星術師"", EF32 * EJ32 * FL32 * IF(abillity, 1, EG32 * EK32) * (Option!$D$23 * 0.81 / 100),
         ""学者"", EF32 * EL32 * FL32 * IF(abillity, 1, EG32 * EM32) * (Option!$D$24 * 0.81 / 100),
         """&amp;"賢者"", EF32 * EN32 * FL32 * IF(abillity, 1, EG32 * EO32) * (Option!$D$25 * 0.81 / 100),
         1
       )
     )
   )
 ) + EQ32"),0.0)</f>
        <v>0</v>
      </c>
      <c r="FN32" s="206">
        <f t="shared" si="13"/>
        <v>14000</v>
      </c>
      <c r="FO32" s="213"/>
    </row>
    <row r="33">
      <c r="B33" s="229"/>
      <c r="C33" s="217">
        <f t="shared" si="1"/>
        <v>0.002349537037</v>
      </c>
      <c r="D33" s="233">
        <v>6.481481481481481E-4</v>
      </c>
      <c r="E33" s="219" t="s">
        <v>1089</v>
      </c>
      <c r="F33" s="167" t="s">
        <v>10</v>
      </c>
      <c r="G33" s="168" t="str">
        <f t="shared" si="2"/>
        <v/>
      </c>
      <c r="H33" s="169">
        <v>1100.0</v>
      </c>
      <c r="I33" s="169"/>
      <c r="J33" s="169"/>
      <c r="K33" s="170" t="b">
        <v>0</v>
      </c>
      <c r="L33" s="170" t="b">
        <v>0</v>
      </c>
      <c r="M33" s="170" t="b">
        <v>0</v>
      </c>
      <c r="N33" s="171" t="s">
        <v>1070</v>
      </c>
      <c r="O33" s="172" t="b">
        <v>0</v>
      </c>
      <c r="P33" s="173" t="b">
        <v>0</v>
      </c>
      <c r="Q33" s="173" t="b">
        <v>0</v>
      </c>
      <c r="R33" s="173" t="b">
        <v>0</v>
      </c>
      <c r="S33" s="174" t="b">
        <v>0</v>
      </c>
      <c r="T33" s="175" t="b">
        <v>0</v>
      </c>
      <c r="U33" s="173" t="b">
        <v>0</v>
      </c>
      <c r="V33" s="171" t="s">
        <v>1070</v>
      </c>
      <c r="W33" s="172" t="b">
        <v>0</v>
      </c>
      <c r="X33" s="173" t="b">
        <v>0</v>
      </c>
      <c r="Y33" s="173" t="b">
        <v>0</v>
      </c>
      <c r="Z33" s="173" t="b">
        <v>0</v>
      </c>
      <c r="AA33" s="174" t="b">
        <v>0</v>
      </c>
      <c r="AB33" s="174" t="b">
        <v>0</v>
      </c>
      <c r="AC33" s="175" t="b">
        <v>0</v>
      </c>
      <c r="AD33" s="173" t="b">
        <v>0</v>
      </c>
      <c r="AE33" s="176" t="s">
        <v>1070</v>
      </c>
      <c r="AF33" s="171" t="s">
        <v>1070</v>
      </c>
      <c r="AG33" s="177">
        <f>IFERROR(__xludf.DUMMYFUNCTION("IF(
  ISNUMBER(AG32),
  MIN(MAX(
    AG32
    + MAX(
      ROUNDDOWN(($D33 - MAX(IFERROR(FILTER($D$24:$D32, AG$24:AG32 &lt;&gt; AF$6, AG$23:AG31 = AF$6), 0))) * (60 * 60 * 24) / AF$9) - ROUNDDOWN(($D32 - MAX(IFERROR(FILTER($D$23:$D31, AG$23:AG31 &lt;&gt; AF$6, AG$22:"&amp;"AG30 = AF$6), 0))) * (60 * 60 * 24) / 60),
      0
    )
    - COUNTIF(AF33, ""&lt;&gt;-""),
  0), AF$6),
  AF$6 - COUNTIF(AF33, ""&lt;&gt;-"")
)"),2.0)</f>
        <v>2</v>
      </c>
      <c r="AH33" s="173" t="b">
        <v>0</v>
      </c>
      <c r="AI33" s="173" t="b">
        <v>0</v>
      </c>
      <c r="AJ33" s="173" t="b">
        <v>0</v>
      </c>
      <c r="AK33" s="174" t="b">
        <v>0</v>
      </c>
      <c r="AL33" s="175" t="b">
        <v>0</v>
      </c>
      <c r="AM33" s="173" t="b">
        <v>0</v>
      </c>
      <c r="AN33" s="171" t="s">
        <v>1070</v>
      </c>
      <c r="AO33" s="173" t="b">
        <v>0</v>
      </c>
      <c r="AP33" s="173" t="b">
        <v>0</v>
      </c>
      <c r="AQ33" s="173" t="b">
        <v>0</v>
      </c>
      <c r="AR33" s="174" t="b">
        <v>0</v>
      </c>
      <c r="AS33" s="178" t="b">
        <v>0</v>
      </c>
      <c r="AT33" s="179" t="b">
        <v>0</v>
      </c>
      <c r="AU33" s="180" t="b">
        <v>0</v>
      </c>
      <c r="AV33" s="180" t="b">
        <v>0</v>
      </c>
      <c r="AW33" s="180" t="b">
        <v>0</v>
      </c>
      <c r="AX33" s="180" t="b">
        <v>0</v>
      </c>
      <c r="AY33" s="181" t="s">
        <v>1070</v>
      </c>
      <c r="AZ33" s="181" t="s">
        <v>1070</v>
      </c>
      <c r="BA33" s="184">
        <f>IFERROR(__xludf.DUMMYFUNCTION("IF(
  ISNUMBER(BA32),
  MIN(MAX(
    BA32
    + MAX(
      ROUNDDOWN((D33 - MAX(IFERROR(FILTER(D$24:D32, BA$24:BA32 &lt;&gt; AZ$6, BA$23:BA31 = AZ$6), 0))) * (60 * 60 * 24) / AZ$9) - ROUNDDOWN((D32 - MAX(IFERROR(FILTER(D$23:D31, BA$23:BA31 &lt;&gt; AZ$6, BA$22:BA30 ="&amp;" AZ$6), 0))) * (60 * 60 * 24) / AZ$9),
      0
    )
    - COUNTIF(AZ33, ""&lt;&gt;-""),
  0), AZ$6),
  AZ$6 - COUNTIF(AZ33, ""&lt;&gt;-"")
)"),2.0)</f>
        <v>2</v>
      </c>
      <c r="BB33" s="181" t="s">
        <v>1070</v>
      </c>
      <c r="BC33" s="183">
        <f>IFERROR(__xludf.DUMMYFUNCTION("IF(
  ISNUMBER(BC32),
  MIN(MAX(
    BC32
    + MAX(
      ROUNDDOWN(($D33 - MAX(IFERROR(FILTER($D$24:$D32, BC$24:BC32 &lt;&gt; BB$6, BC$23:BC31 = BB$6), 0))) * (60 * 60 * 24) / BB$9) - ROUNDDOWN(($D32 - MAX(IFERROR(FILTER($D$23:$D31, BC$23:BC31 &lt;&gt; BB$6, BC$22:"&amp;"BC30 = BB$6), 0))) * (60 * 60 * 24) / 60),
      0
    )
    - COUNTIF(BB33, ""&lt;&gt;-""),
  0), BB$6),
  BB$6 - COUNTIF(BB33, ""&lt;&gt;-"")
)"),2.0)</f>
        <v>2</v>
      </c>
      <c r="BD33" s="181" t="s">
        <v>1070</v>
      </c>
      <c r="BE33" s="178" t="b">
        <v>0</v>
      </c>
      <c r="BF33" s="180" t="b">
        <v>0</v>
      </c>
      <c r="BG33" s="180" t="b">
        <v>0</v>
      </c>
      <c r="BH33" s="180" t="b">
        <v>0</v>
      </c>
      <c r="BI33" s="180" t="b">
        <v>0</v>
      </c>
      <c r="BJ33" s="180" t="b">
        <v>0</v>
      </c>
      <c r="BK33" s="180" t="b">
        <v>0</v>
      </c>
      <c r="BL33" s="180" t="b">
        <v>0</v>
      </c>
      <c r="BM33" s="180" t="b">
        <v>0</v>
      </c>
      <c r="BN33" s="180" t="b">
        <v>0</v>
      </c>
      <c r="BO33" s="181" t="s">
        <v>1070</v>
      </c>
      <c r="BP33" s="181" t="s">
        <v>1070</v>
      </c>
      <c r="BQ33" s="181" t="s">
        <v>1070</v>
      </c>
      <c r="BR33" s="181" t="s">
        <v>1070</v>
      </c>
      <c r="BS33" s="181" t="s">
        <v>1070</v>
      </c>
      <c r="BT33" s="184">
        <f>IFERROR(__xludf.DUMMYFUNCTION("IF(
  ISNUMBER(BT32),
  MIN(MAX(
    BT32
    + MAX(
      ROUNDDOWN((D33 - MAX(IFERROR(FILTER(D$24:D32, BT$24:BT32 &lt;&gt; BS$6, BT$23:BT31 = BS$6), 0))) * (60 * 60 * 24) / BS$9) - ROUNDDOWN((D32 - MAX(IFERROR(FILTER(D$23:D31, BT$23:BT31 &lt;&gt; BS$6, BT$22:BT30 ="&amp;" BS$6), 0))) * (60 * 60 * 24) / BS$9),
      0
    )
    - COUNTIF(BS33, ""&lt;&gt;-""),
  0), BS$6),
  BS$6 - COUNTIF(BS33, ""&lt;&gt;-"")
)"),3.0)</f>
        <v>3</v>
      </c>
      <c r="BU33" s="181" t="s">
        <v>1070</v>
      </c>
      <c r="BV33" s="181" t="s">
        <v>1070</v>
      </c>
      <c r="BW33" s="184">
        <f>IFERROR(__xludf.DUMMYFUNCTION("IF(
  ISNUMBER(BW32),
  MIN(MAX(
    BW32
    + MAX(
      ROUNDDOWN((D33 - MAX(IFERROR(FILTER(D$24:D32, BW$24:BW32 &lt;&gt; BV$6, BW$23:BW31 = BV$6), 0))) * (60 * 60 * 24) / BV$9) - ROUNDDOWN((D32 - MAX(IFERROR(FILTER(D$23:D31, BW$23:BW31 &lt;&gt; BV$6, BW$22:BW30 ="&amp;" BV$6), 0))) * (60 * 60 * 24) / BV$9),
      0
    )
    - COUNTIF(BV33, ""&lt;&gt;-""),
  0), BV$6),
  BV$6 - COUNTIF(BV33, ""&lt;&gt;-"")
)"),2.0)</f>
        <v>2</v>
      </c>
      <c r="BX33" s="185" t="s">
        <v>1070</v>
      </c>
      <c r="BY33" s="178" t="b">
        <v>0</v>
      </c>
      <c r="BZ33" s="180" t="b">
        <v>0</v>
      </c>
      <c r="CA33" s="180" t="b">
        <v>0</v>
      </c>
      <c r="CB33" s="180" t="b">
        <v>0</v>
      </c>
      <c r="CC33" s="180" t="b">
        <v>0</v>
      </c>
      <c r="CD33" s="180" t="b">
        <v>0</v>
      </c>
      <c r="CE33" s="180" t="b">
        <v>0</v>
      </c>
      <c r="CF33" s="180" t="b">
        <v>0</v>
      </c>
      <c r="CG33" s="180" t="b">
        <v>0</v>
      </c>
      <c r="CH33" s="180" t="b">
        <v>0</v>
      </c>
      <c r="CI33" s="180" t="b">
        <v>0</v>
      </c>
      <c r="CJ33" s="180" t="b">
        <v>0</v>
      </c>
      <c r="CK33" s="180" t="b">
        <v>0</v>
      </c>
      <c r="CL33" s="180" t="b">
        <v>0</v>
      </c>
      <c r="CM33" s="181" t="s">
        <v>1070</v>
      </c>
      <c r="CN33" s="181" t="s">
        <v>1070</v>
      </c>
      <c r="CO33" s="181" t="s">
        <v>1070</v>
      </c>
      <c r="CP33" s="181" t="s">
        <v>1070</v>
      </c>
      <c r="CQ33" s="185" t="s">
        <v>1070</v>
      </c>
      <c r="CR33" s="180" t="b">
        <v>0</v>
      </c>
      <c r="CS33" s="186" t="str">
        <f t="shared" si="14"/>
        <v>◇◇◇</v>
      </c>
      <c r="CT33" s="178" t="b">
        <v>0</v>
      </c>
      <c r="CU33" s="180" t="b">
        <v>0</v>
      </c>
      <c r="CV33" s="180" t="b">
        <v>0</v>
      </c>
      <c r="CW33" s="180" t="b">
        <v>0</v>
      </c>
      <c r="CX33" s="180" t="b">
        <v>0</v>
      </c>
      <c r="CY33" s="180" t="b">
        <v>0</v>
      </c>
      <c r="CZ33" s="180" t="b">
        <v>0</v>
      </c>
      <c r="DA33" s="180" t="b">
        <v>0</v>
      </c>
      <c r="DB33" s="180" t="b">
        <v>0</v>
      </c>
      <c r="DC33" s="180" t="b">
        <v>0</v>
      </c>
      <c r="DD33" s="181" t="s">
        <v>1070</v>
      </c>
      <c r="DE33" s="181" t="s">
        <v>1070</v>
      </c>
      <c r="DF33" s="181" t="s">
        <v>1070</v>
      </c>
      <c r="DG33" s="185" t="s">
        <v>1070</v>
      </c>
      <c r="DH33" s="180" t="b">
        <v>0</v>
      </c>
      <c r="DI33" s="187" t="str">
        <f>IFERROR(__xludf.DUMMYFUNCTION("SWITCH(
  IF(
    ISTEXT(DI32),
    IF (
      FIND(""○"", DI32&amp;""○"") &gt; 3,
      3,
      FIND(""○"", DI32&amp;""○"")
      + MAX(
        ROUNDDOWN(($D33 - MAX(IFERROR(FILTER(D$24:D32, DI$24:DI32 &lt;&gt; ""●●●"", DI$23:DI31 = ""●●●""), 0))) * (60 * 60 * 24) / 20"&amp;") - ROUNDDOWN(($D32 - MAX(IFERROR(FILTER(D$23:D31, DI$23:DI31 &lt;&gt; ""●●●"", DI$22:DI30 = ""●●●""), 0))) * (60 * 60 * 24) / 20),
        0
      ) - 1
    ) - COUNTIFS(CU33, ""=TRUE"", CU32, ""&lt;&gt;TRUE"") - COUNTIF(CZ33, ""=TRUE"") - COUNTIF({DD33,DE33}, ""&lt;&gt;-"&amp;""") + COUNTIF(DH33, ""=TRUE""),
    3
  ),
  0, ""○○○"", 1, ""●○○"", 2, ""●●○"", 3, ""●●●"", 4, ""●●●"", ""○○○""
)"),"●●●")</f>
        <v>●●●</v>
      </c>
      <c r="DJ33" s="188" t="b">
        <v>0</v>
      </c>
      <c r="DK33" s="189" t="b">
        <v>0</v>
      </c>
      <c r="DL33" s="190" t="b">
        <v>0</v>
      </c>
      <c r="DM33" s="190" t="b">
        <v>0</v>
      </c>
      <c r="DN33" s="190" t="b">
        <v>0</v>
      </c>
      <c r="DO33" s="190" t="b">
        <v>0</v>
      </c>
      <c r="DP33" s="190" t="b">
        <v>0</v>
      </c>
      <c r="DQ33" s="191" t="b">
        <v>0</v>
      </c>
      <c r="DR33" s="192" t="b">
        <v>0</v>
      </c>
      <c r="DS33" s="191" t="b">
        <v>0</v>
      </c>
      <c r="DT33" s="192" t="b">
        <v>0</v>
      </c>
      <c r="DU33" s="191" t="b">
        <v>0</v>
      </c>
      <c r="DV33" s="193" t="s">
        <v>1070</v>
      </c>
      <c r="DW33" s="194" t="b">
        <v>0</v>
      </c>
      <c r="DX33" s="194" t="b">
        <v>0</v>
      </c>
      <c r="DY33" s="195" t="b">
        <v>0</v>
      </c>
      <c r="DZ33" s="196" t="b">
        <v>0</v>
      </c>
      <c r="EA33" s="195" t="b">
        <v>0</v>
      </c>
      <c r="EB33" s="197" t="b">
        <v>0</v>
      </c>
      <c r="EC33" s="197" t="b">
        <v>0</v>
      </c>
      <c r="ED33" s="212" t="b">
        <v>0</v>
      </c>
      <c r="EE33" s="199">
        <f>IFERROR(__xludf.DUMMYFUNCTION("IFERROR(
   PRODUCT(
     MAP(
       INDEX(TRANSPOSE(UNIQUE(TRANSPOSE(FILTER({IF($F33=""Physical"", K$10:ED$10, IF($F33=""Magic"", K$11:ED$11, K$12:ED$12));K$4:ED$4;K33:ED33}, K33:ED33=TRUE)))), 1, 0),
       INDEX(TRANSPOSE(UNIQUE(TRANSPOSE(FILTER({IF($"&amp;"F33=""Physical"", K$18:ED$18, IF($F33=""Magic"", K$19:ED$19, K$20:ED$20));K$4:ED$4;K33:ED33}, K33:ED33=TRUE)))), 1, 0),
       INDEX(TRANSPOSE(UNIQUE(TRANSPOSE(FILTER({K$5:ED$5;K$4:ED$4;K33:ED33}, K33:ED33=TRUE)))), 1, 0),
       INDEX(TRANSPOSE(UNIQUE(TR"&amp;"ANSPOSE(FILTER({K$17:ED$17;K$4:ED$4;K33:ED33}, K33:ED33=TRUE)))), 1, 0),
       LAMBDA(
         mitigation,
         enhance,
         assign,
         precondition,
         IF(
           REGEXMATCH(assign, ""RANGE_PARTY|SINGLE_ENEMY|RANGE_ENEMY""),
  "&amp;"         IF(
             OR(ARRAYFORMULA((IF(precondition="""", FALSE, REGEXMATCH(K$4:ED$4, precondition))) * (K33:ED33=TRUE))),
             IF(ISNUMBER(enhance), enhance, 1),
             IF(ISNUMBER(mitigation), mitigation, 1)
           ),
          "&amp;" 1
         )
       )
     )
   ),
   1
 )"),1.0)</f>
        <v>1</v>
      </c>
      <c r="EF33" s="200">
        <f>IFERROR(__xludf.DUMMYFUNCTION("PRODUCT(
   MAP(
     K$14:ED$14,
     K$13:ED$13,
     K33:ED33,
     LAMBDA(
       buff,
       target,
       check,
       IF(
         AND(check=TRUE, REGEXMATCH(target, ""RANGE_AFFECTED_ALL|RANGE_EFFECTED_ALL""), ISNUMBER(buff)),
         buff,
   "&amp;"      1
       )
     )
   )
 )"),1.0)</f>
        <v>1</v>
      </c>
      <c r="EG33" s="200">
        <f>IFERROR(__xludf.DUMMYFUNCTION("PRODUCT(
   MAP(
     K$14:ED$14,
     K$13:ED$13,
     K33:ED33,
     LAMBDA(
       buff,
       target,
       check,
       IF(
         AND(check=TRUE, REGEXMATCH(target, ""RANGE_AFFECTED_GCD|RANGE_EFFECTED_GCD""), ISNUMBER(buff)),
         buff,
   "&amp;"      1
       )
     )
   )
 )"),1.0)</f>
        <v>1</v>
      </c>
      <c r="EH33" s="200">
        <f>IFERROR(__xludf.DUMMYFUNCTION("PRODUCT(
   MAP(
     K$3:ED$3,
     K$14:ED$14,
     K$13:ED$13,
     K33:ED33,
     LAMBDA(
       job,
       buff,
       target,
       check,
       IF(
         AND(check=TRUE, REGEXMATCH(target, ""SELF_EFFECTED_ALL""), ISNUMBER(buff), job=""白魔道士"""&amp;"),
         buff,
         1
       )
     )
   )
 )"),1.0)</f>
        <v>1</v>
      </c>
      <c r="EI33" s="200">
        <f>IFERROR(__xludf.DUMMYFUNCTION("PRODUCT(
   MAP(
     K$3:ED$3,
     K$14:ED$14,
     K$13:ED$13,
     K33:ED33,
     LAMBDA(
       job,
       buff,
       target,
       check,
       IF(
         AND(check=TRUE, REGEXMATCH(target, ""SELF_EFFECTED_GCD""), ISNUMBER(buff), job=""白魔道士"""&amp;"),
         buff,
         1
       )
     )
   )
 )"),1.0)</f>
        <v>1</v>
      </c>
      <c r="EJ33" s="200">
        <f>IFERROR(__xludf.DUMMYFUNCTION("PRODUCT(
   MAP(
     K$3:ED$3,
     K$14:ED$14,
     K$13:ED$13,
     K33:ED33,
     LAMBDA(
       job,
       buff,
       target,
       check,
       IF(
         AND(check=TRUE, REGEXMATCH(target, ""SELF_EFFECTED_ALL""), ISNUMBER(buff), job=""占星術師"""&amp;"),
         buff,
         1
       )
     )
   )
 )"),1.0)</f>
        <v>1</v>
      </c>
      <c r="EK33" s="200">
        <f>IFERROR(__xludf.DUMMYFUNCTION("PRODUCT(
   MAP(
     K$3:ED$3,
     K$14:ED$14,
     K$13:ED$13,
     K33:ED33,
     LAMBDA(
       job,
       buff,
       target,
       check,
       IF(
         AND(check=TRUE, REGEXMATCH(target, ""SELF_EFFECTED_GCD""), ISNUMBER(buff), job=""占星術師"""&amp;"),
         buff,
         1
       )
     )
   )
 )"),1.0)</f>
        <v>1</v>
      </c>
      <c r="EL33" s="200">
        <f>IFERROR(__xludf.DUMMYFUNCTION("PRODUCT(
   MAP(
     K$3:ED$3,
     K$14:ED$14,
     K$13:ED$13,
     K33:ED33,
     LAMBDA(
       job,
       buff,
       target,
       check,
       IF(
         AND(check=TRUE, REGEXMATCH(target, ""SELF_EFFECTED_ALL""), ISNUMBER(buff), job=""学者""),"&amp;"
         buff,
         1
       )
     )
   )
 )"),1.0)</f>
        <v>1</v>
      </c>
      <c r="EM33" s="200">
        <f>IFERROR(__xludf.DUMMYFUNCTION("PRODUCT(
   MAP(
     K$3:ED$3,
     K$14:ED$14,
     K$13:ED$13,
     K33:ED33,
     LAMBDA(
       job,
       buff,
       target,
       check,
       IF(
         AND(check=TRUE, REGEXMATCH(target, ""SELF_EFFECTED_GCD""), ISNUMBER(buff), job=""学者""),"&amp;"
         buff,
         1
       )
     )
   )
 )"),1.0)</f>
        <v>1</v>
      </c>
      <c r="EN33" s="200">
        <f>IFERROR(__xludf.DUMMYFUNCTION("PRODUCT(
   MAP(
     K$3:ED$3,
     K$14:ED$14,
     K$13:ED$13,
     K33:ED33,
     LAMBDA(
       job,
       buff,
       target,
       check,
       IF(
         AND(check=TRUE, REGEXMATCH(target, ""SELF_EFFECTED_ALL""), ISNUMBER(buff), job=""賢者""),"&amp;"
         buff,
         1
       )
     )
   )
 )"),1.0)</f>
        <v>1</v>
      </c>
      <c r="EO33" s="200">
        <f>IFERROR(__xludf.DUMMYFUNCTION("PRODUCT(
   MAP(
     K$3:ED$3,
     K$14:ED$14,
     K$13:ED$13,
     K33:ED33,
     LAMBDA(
       job,
       buff,
       target,
       check,
       IF(
         AND(check=TRUE, REGEXMATCH(target, ""SELF_EFFECTED_GCD""), ISNUMBER(buff), job=""賢者""),"&amp;"
         buff,
         1
       )
     )
   )
 )"),1.0)</f>
        <v>1</v>
      </c>
      <c r="EP33" s="201">
        <f t="shared" si="3"/>
        <v>1100</v>
      </c>
      <c r="EQ33" s="201">
        <f>IFERROR(__xludf.DUMMYFUNCTION("SUM(
   MAP(
     K$4:ED$4,
     K$3:ED$3,
     K$7:ED$7,
     K$15:ED$15,
     K$16:ED$16,
     K$21:ED$21,
     K$5:ED$5,
     K$17:ED$17,
     K33:ED33,
     LAMBDA(
       name,
       job,
       abillity,
       buff,
       barrier,
       enhance,"&amp;"
       assign,
       precondition,
       check,
       SWITCH(
         name,
         ""シェイクオフ"", IF(check=TRUE, buff + (0.02 * COUNTIF(ARRAYFORMULA((REGEXMATCH($K$4:$ED$4, ""スリル・オブ・バトル|ヴェンジェンス|原初の血気|ダムネーション"")) * (K33:ED33=TRUE)), 1)), 0),
         "&amp;"""インプロビゼーションフィニッシュ(踊りの激情0)"", IF(ISNUMBER(check), INDEX(Skill!$AJ:$AJ, MATCH(SUBSTITUTE(DV$4, 0, check), Skill!$C:$C, 0)), 0),
         IF(
           AND(check=TRUE, REGEXMATCH(assign, ""RANGE_PARTY"")),
           IF(
             OR(ARRAYFORMULA((IF(pr"&amp;"econdition="""", FALSE, REGEXMATCH($K$4:$ED$4, precondition))) * (K33:ED33=TRUE))),
             enhance,
             IF(barrier="""", buff, barrier)
           ),
           0
         )
       ) *
       SWITCH(
         job,
         ""ナイト"", EY$24,
 "&amp;"        ""戦士"", FD$24,
         ""踊り子"", ET$24,
         ""ピクトマンサー"", ET$24,
         ""白魔道士"", EF33 * EH33 * IF(abillity, 1, EG33 * EI33) * (Option!$D$22 * 0.81 / 100),
         ""占星術師"", EF33 * EJ33 * IF(abillity, 1, EG33 * EK33) * (Option!$D$23 * 0.81 "&amp;"/ 100),
         ""学者"", EF33 * EL33 * IF(abillity, 1, EG33 * EM33) * (Option!$D$24 * 0.81 / 100),
         ""賢者"", EF33 * EN33 * IF(abillity, 1, EG33 * EO33) * (Option!$D$25 * 0.81 / 100),
         1
       )
     )
   )
 )"),0.0)</f>
        <v>0</v>
      </c>
      <c r="ER33" s="202">
        <f t="shared" si="4"/>
        <v>1100</v>
      </c>
      <c r="ES33" s="203">
        <f t="shared" si="5"/>
        <v>0</v>
      </c>
      <c r="ET33" s="231" t="str">
        <f>IFERROR(__xludf.DUMMYFUNCTION("IFS(
  EP33 &gt; $ET$24 + EQ33,
  SPARKLINE({ 1, 0 }, {""charttype"",""bar"";""max"", 1;""color1"",Option!$D$30;""color2"",Option!$D$30}),
  EP33 &lt; EQ33,
  SPARKLINE({EQ33 - EP33, $ET$24 - (EQ33 - EP33)}, {""charttype"",""bar"";""max"",$ET$24;""color1"",Opti"&amp;"on!$D$28;""color2"",Option!$D$29}),
  EP33 &gt;= EQ33,
  SPARKLINE({$ET$24 + EQ33 - EP33,EP33 - EQ33}, {""charttype"",""bar"";""max"",$ET$24;""color1"",Option!$D$29;""color2"",Option!$D$30})
)"),"")</f>
        <v/>
      </c>
      <c r="EU33" s="205">
        <f>IFERROR(__xludf.DUMMYFUNCTION("PRODUCT(
   MAP(
     IF($F33=""Physical"", K$10:ED$10, IF($F33=""Magic"", K$11:ED$11, K$12:ED$12)),
     IF($F33=""Physical"", K$18:ED$18, IF($F33=""Magic"", K$19:ED$19, K$20:ED$20)),
     K$3:ED$3,
     K$5:ED$5,
     K$17:ED$17,
     K33:ED33,
     LAM"&amp;"BDA(
       mitigation,
       enhance,
       job,
       assign,
       precondition,
       check,
       IF(
         OR(AND(check=TRUE, REGEXMATCH(assign, ""SELF""), job=""ナイト""), AND(check=Option!$E$13, REGEXMATCH(assign, ""SINGLE_PARTY""))),
      "&amp;"   IF(
           OR(ARRAYFORMULA((IF(precondition="""", FALSE, REGEXMATCH($K$4:$ED$4, precondition))) * (K33:ED33=TRUE))),
           enhance,
           mitigation
         ),
         1
       )
     )
   )
 ) * EE33"),1.0)</f>
        <v>1</v>
      </c>
      <c r="EV33" s="206">
        <f t="shared" si="6"/>
        <v>880</v>
      </c>
      <c r="EW33" s="205">
        <f>IFERROR(__xludf.DUMMYFUNCTION("PRODUCT(
   MAP(
     K$3:ED$3,
     K$14:ED$14,
     K$13:ED$13,
     K33:ED33,
     LAMBDA(
       job,
       buff,
       target,
       check,
       IF(
         OR(AND(check=TRUE, REGEXMATCH(target, ""SELF_AFFECTED_ALL""), job=""ナイト""), AND(check=O"&amp;"ption!$E$13, REGEXMATCH(target, ""SINGLE_AFFECTED_ALL""))),
         buff,
         1
       )
     )
   )
 )"),1.0)</f>
        <v>1</v>
      </c>
      <c r="EX33" s="206">
        <f>IFERROR(__xludf.DUMMYFUNCTION("SUM(
   MAP(
     K$3:ED$3,
     K$7:ED$7,
     K$15:ED$15,
     K$16:ED$16,
     K$21:ED$21,
     K$5:ED$5,
     K$17:ED$17,
     K33:ED33,
     LAMBDA(
       job,
       abillity,
       buff,
       barrier,
       enhance,
       assign,
       preco"&amp;"ndition,
       check,
       IF(
         OR(AND(check=TRUE, REGEXMATCH(assign, ""SELF""), job=""ナイト""), AND(check=Option!$E$13, REGEXMATCH(assign, ""SINGLE_PARTY""))),
         IF(
           OR(ARRAYFORMULA((IF(precondition="""", FALSE, REGEXMATCH($K$4"&amp;":$ED$4, precondition))) * (K33:ED33=TRUE))),
           enhance,
           IF(barrier="""", buff, barrier)
         ),
         0
       ) *
       SWITCH(
         job,
         ""暗黒騎士"", EY$24,
         ""白魔道士"", EF33 * EH33 * EW33 * IF(abillity, 1, EG"&amp;"33 * EI33) * (Option!$D$22 * 0.81 / 100),
         ""占星術師"", EF33 * EJ33 * EW33 * IF(abillity, 1, EG33 * EK33) * (Option!$D$23 * 0.81 / 100),
         ""学者"", EF33 * EL33 * EW33 * IF(abillity, 1, EG33 * EM33) * (Option!$D$24 * 0.81 / 100),
         ""賢者"""&amp;", EF33 * EN33 * EW33 * IF(abillity, 1, EG33 * EO33) * (Option!$D$25 * 0.81 / 100),
         1
       )
     )
   )
 ) + EQ33"),0.0)</f>
        <v>0</v>
      </c>
      <c r="EY33" s="232">
        <f t="shared" si="7"/>
        <v>880</v>
      </c>
      <c r="EZ33" s="205">
        <f>IFERROR(__xludf.DUMMYFUNCTION("PRODUCT(
   MAP(
     IF($F33=""Physical"", K$10:ED$10, IF($F33=""Magic"", K$11:ED$11, K$12:ED$12)),
     IF($F33=""Physical"", K$18:ED$18, IF($F33=""Magic"", K$19:ED$19, K$20:ED$20)),
     K$3:ED$3,
     K$5:ED$5,
     K$17:ED$17,
     K33:ED33,
     LAM"&amp;"BDA(
       mitigation,
       enhance,
       job,
       assign,
       precondition,
       check,
       IF(
         OR(AND(check=TRUE, REGEXMATCH(assign, ""SELF""), job=""戦士""), AND(check=Option!$F$13, REGEXMATCH(assign, ""SINGLE_PARTY""))),
       "&amp;"  IF(
           OR(ARRAYFORMULA((IF(precondition="""", FALSE, REGEXMATCH($K$4:$ED$4, precondition))) * (K33:ED33=TRUE))),
           enhance,
           mitigation
         ),
         1
       )
     )
   )
 ) * EE33"),1.0)</f>
        <v>1</v>
      </c>
      <c r="FA33" s="206">
        <f t="shared" si="8"/>
        <v>880</v>
      </c>
      <c r="FB33" s="205">
        <f>IFERROR(__xludf.DUMMYFUNCTION("PRODUCT(
   MAP(
     K$3:ED$3,
     K$14:ED$14,
     K$13:ED$13,
     K33:ED33,
     LAMBDA(
       job,
       buff,
       target,
       check,
       IF(
         OR(AND(check=TRUE, REGEXMATCH(target, ""SELF_AFFECTED_ALL""), job=""戦士""), AND(check=Op"&amp;"tion!$F$13, REGEXMATCH(target, ""SINGLE_AFFECTED_ALL""))),
         buff,
         1
       )
     )
   )
 )"),1.0)</f>
        <v>1</v>
      </c>
      <c r="FC33" s="206">
        <f>IFERROR(__xludf.DUMMYFUNCTION("SUM(
   MAP(
     K$3:ED$3,
     K$7:ED$7,
     K$15:ED$15,
     K$16:ED$16,
     K$21:ED$21,
     K$5:ED$5,
     K$17:ED$17,
     K33:ED33,
     LAMBDA(
       job,
       abillity,
       buff,
       barrier,
       enhance,
       assign,
       preco"&amp;"ndition,
       check,
       IF(
         OR(AND(check=TRUE, REGEXMATCH(assign, ""SELF""), job=""戦士""), AND(check=Option!$F$13, REGEXMATCH(assign, ""SINGLE_PARTY""))),
         IF(
           OR(ARRAYFORMULA((IF(precondition="""", FALSE, REGEXMATCH($K$4:"&amp;"$ED$4, precondition))) * (K33:ED33=TRUE))),
           enhance,
           IF(barrier="""", buff, barrier)
         ),
         0
       ) *
       SWITCH(
         job,
         ""暗黒騎士"", FD$24,
         ""白魔道士"", EF33 * EH33 * FB33 * IF(abillity, 1, EG3"&amp;"3 * EI33) * (Option!$D$22 * 0.81 / 100),
         ""占星術師"", EF33 * EJ33 * FFB33 * IF(abillity, 1, EG33 * EK33) * (Option!$D$23 * 0.81 / 100),
         ""学者"", EF33 * EL33 * FB33 * IF(abillity, 1, EG33 * EM33) * (Option!$D$24 * 0.81 / 100),
         ""賢者"""&amp;", EF33 * EN33 * FB33 * IF(abillity, 1, EG33 * EO33) * (Option!$D$25 * 0.81 / 100),
         1
       )
     )
   )
 ) + EQ33"),0.0)</f>
        <v>0</v>
      </c>
      <c r="FD33" s="206">
        <f t="shared" si="9"/>
        <v>880</v>
      </c>
      <c r="FE33" s="205">
        <f>IFERROR(__xludf.DUMMYFUNCTION("PRODUCT(
   MAP(
     IF($F33=""Physical"", K$10:ED$10, IF($F33=""Magic"", K$11:ED$11, K$12:ED$12)),
     IF($F33=""Physical"", K$18:ED$18, IF($F33=""Magic"", K$19:ED$19, K$20:ED$20)),
     K$3:ED$3,
     K$5:ED$5,
     K$17:ED$17,
     K33:ED33,
     LAM"&amp;"BDA(
       mitigation,
       enhance,
       job,
       assign,
       precondition,
       check,
       IF(
         OR(AND(check=TRUE, REGEXMATCH(assign, ""SELF""), job=""暗黒騎士""), AND(check=Option!$G$13, REGEXMATCH(assign, ""SINGLE_PARTY""))),
     "&amp;"    IF(
           OR(ARRAYFORMULA((IF(precondition="""", FALSE, REGEXMATCH($K$4:$ED$4, precondition))) * (K33:ED33=TRUE))),
           enhance,
           mitigation
         ),
         1
       )
     )
   )
 ) * EE33"),1.0)</f>
        <v>1</v>
      </c>
      <c r="FF33" s="206">
        <f t="shared" si="10"/>
        <v>880</v>
      </c>
      <c r="FG33" s="205">
        <f>IFERROR(__xludf.DUMMYFUNCTION("PRODUCT(
   MAP(
     K$3:ED$3,
     K$14:ED$14,
     K$13:ED$13,
     K33:ED33,
     LAMBDA(
       job,
       buff,
       target,
       check,
       IF(
         OR(AND(check=TRUE, REGEXMATCH(target, ""SELF_AFFECTED_ALL""), job=""暗黒騎士""), AND(check="&amp;"Option!$G$13, REGEXMATCH(target, ""SINGLE_AFFECTED_ALL""))),
         buff,
         1
       )
     )
   )
 )"),1.0)</f>
        <v>1</v>
      </c>
      <c r="FH33" s="206">
        <f>IFERROR(__xludf.DUMMYFUNCTION("SUM(
   MAP(
     K$3:ED$3,
     K$7:ED$7,
     K$15:ED$15,
     K$16:ED$16,
     K$21:ED$21,
     K$5:ED$5,
     K$17:ED$17,
     K33:ED33,
     LAMBDA(
       job,
       abillity,
       buff,
       barrier,
       enhance,
       assign,
       preco"&amp;"ndition,
       check,
       IF(
         OR(AND(check=TRUE, REGEXMATCH(assign, ""SELF""), job=""暗黒騎士""), AND(check=Option!$G$13, REGEXMATCH(assign, ""SINGLE_PARTY""))),
         IF(
           OR(ARRAYFORMULA((IF(precondition="""", FALSE, REGEXMATCH($K$"&amp;"4:$ED$4, precondition))) * (K33:ED33=TRUE))),
           enhance,
           IF(barrier="""", buff, barrier)
         ),
         0
       ) *
       SWITCH(
         job,
         ""暗黒騎士"", FI$24,
         ""白魔道士"", EF33 * EH33 * FG33 * IF(abillity, 1, E"&amp;"G33 * EI33) * (Option!$D$22 * 0.81 / 100),
         ""占星術師"", EF33 * EJ33 * FG33 * IF(abillity, 1, EG33 * EK33) * (Option!$D$23 * 0.81 / 100),
         ""学者"", EF33 * EL33 * FG33 * IF(abillity, 1, EG33 * EM33) * (Option!$D$24 * 0.81 / 100),
         ""賢者"&amp;""", EF33 * EN33 * FG33 * IF(abillity, 1, EG33 * EO33) * (Option!$D$25 * 0.81 / 100),
         1
       )
     )
   )
 ) + EQ33"),0.0)</f>
        <v>0</v>
      </c>
      <c r="FI33" s="206">
        <f t="shared" si="11"/>
        <v>880</v>
      </c>
      <c r="FJ33" s="205">
        <f>IFERROR(__xludf.DUMMYFUNCTION("PRODUCT(
   MAP(
     IF($F33=""Physical"", K$10:ED$10, IF($F33=""Magic"", K$11:ED$11, K$12:ED$12)),
     IF($F33=""Physical"", K$18:ED$18, IF($F33=""Magic"", K$19:ED$19, K$20:ED$20)),
     K$3:ED$3,
     K$5:ED$5,
     K$17:ED$17,
     K33:ED33,
     LAM"&amp;"BDA(
       mitigation,
       enhance,
       job,
       assign,
       precondition,
       check,
       IF(
         OR(AND(check=TRUE, REGEXMATCH(assign, ""SELF""), job=""ガンブレイカー""), AND(check=Option!$H$13, REGEXMATCH(assign, ""SINGLE_PARTY""))),
  "&amp;"       IF(
           OR(ARRAYFORMULA((IF(precondition="""", FALSE, REGEXMATCH($K$4:$ED$4, precondition))) * (K33:ED33=TRUE))),
           enhance,
           mitigation
         ),
         1
       )
     )
   )
 ) * EE33"),1.0)</f>
        <v>1</v>
      </c>
      <c r="FK33" s="206">
        <f t="shared" si="12"/>
        <v>880</v>
      </c>
      <c r="FL33" s="205">
        <f>IFERROR(__xludf.DUMMYFUNCTION("PRODUCT(
   MAP(
     K$3:ED$3,
     K$14:ED$14,
     K$13:ED$13,
     K33:ED33,
     LAMBDA(
       job,
       buff,
       target,
       check,
       IF(
         OR(AND(check=TRUE, REGEXMATCH(target, ""SELF_AFFECTED_ALL""), job=""ガンブレイカー""), AND(che"&amp;"ck=Option!$H$13, REGEXMATCH(target, ""SINGLE_AFFECTED_ALL""))),
         buff,
         1
       )
     )
   )
 )"),1.0)</f>
        <v>1</v>
      </c>
      <c r="FM33" s="206">
        <f>IFERROR(__xludf.DUMMYFUNCTION("SUM(
   MAP(
     K$3:ED$3,
     K$7:ED$7,
     K$15:ED$15,
     K$16:ED$16,
     K$21:ED$21,
     K$5:ED$5,
     K$17:ED$17,
     K33:ED33,
     LAMBDA(
       job,
       abillity,
       buff,
       barrier,
       enhance,
       assign,
       preco"&amp;"ndition,
       check,
       IF(
         OR(AND(check=TRUE, REGEXMATCH(assign, ""SELF""), job=""ガンブレイカー""), AND(check=Option!$H$13, REGEXMATCH(assign, ""SINGLE_PARTY""))),
         IF(
           OR(ARRAYFORMULA((IF(precondition="""", FALSE, REGEXMATCH("&amp;"$K$4:$ED$4, precondition))) * (K33:ED33=TRUE))),
           enhance,
           IF(barrier="""", buff, barrier)
         ),
         0
       ) *
       SWITCH(
         job,
         ""暗黒騎士"", FN$24,
         ""白魔道士"", EF33 * EH33 * FL33 * IF(abillity, 1"&amp;", EG33 * EI33) * (Option!$D$22 * 0.81 / 100),
         ""占星術師"", EF33 * EJ33 * FL33 * IF(abillity, 1, EG33 * EK33) * (Option!$D$23 * 0.81 / 100),
         ""学者"", EF33 * EL33 * FL33 * IF(abillity, 1, EG33 * EM33) * (Option!$D$24 * 0.81 / 100),
         """&amp;"賢者"", EF33 * EN33 * FL33 * IF(abillity, 1, EG33 * EO33) * (Option!$D$25 * 0.81 / 100),
         1
       )
     )
   )
 ) + EQ33"),0.0)</f>
        <v>0</v>
      </c>
      <c r="FN33" s="206">
        <f t="shared" si="13"/>
        <v>880</v>
      </c>
      <c r="FO33" s="213"/>
    </row>
    <row r="34">
      <c r="B34" s="229"/>
      <c r="C34" s="217">
        <f t="shared" si="1"/>
        <v>0.002453703704</v>
      </c>
      <c r="D34" s="233">
        <v>7.523148148148148E-4</v>
      </c>
      <c r="E34" s="226" t="s">
        <v>1090</v>
      </c>
      <c r="F34" s="167" t="s">
        <v>10</v>
      </c>
      <c r="G34" s="168" t="str">
        <f t="shared" si="2"/>
        <v/>
      </c>
      <c r="H34" s="169">
        <v>15000.0</v>
      </c>
      <c r="I34" s="169"/>
      <c r="J34" s="169"/>
      <c r="K34" s="170" t="b">
        <v>0</v>
      </c>
      <c r="L34" s="170" t="b">
        <v>0</v>
      </c>
      <c r="M34" s="170" t="b">
        <v>0</v>
      </c>
      <c r="N34" s="171" t="s">
        <v>1070</v>
      </c>
      <c r="O34" s="172" t="b">
        <v>0</v>
      </c>
      <c r="P34" s="173" t="b">
        <v>0</v>
      </c>
      <c r="Q34" s="173" t="b">
        <v>0</v>
      </c>
      <c r="R34" s="173" t="b">
        <v>0</v>
      </c>
      <c r="S34" s="174" t="b">
        <v>0</v>
      </c>
      <c r="T34" s="175" t="b">
        <v>0</v>
      </c>
      <c r="U34" s="173" t="b">
        <v>0</v>
      </c>
      <c r="V34" s="171" t="s">
        <v>1070</v>
      </c>
      <c r="W34" s="172" t="b">
        <v>0</v>
      </c>
      <c r="X34" s="173" t="b">
        <v>0</v>
      </c>
      <c r="Y34" s="173" t="b">
        <v>0</v>
      </c>
      <c r="Z34" s="173" t="b">
        <v>0</v>
      </c>
      <c r="AA34" s="174" t="b">
        <v>0</v>
      </c>
      <c r="AB34" s="174" t="b">
        <v>0</v>
      </c>
      <c r="AC34" s="175" t="b">
        <v>0</v>
      </c>
      <c r="AD34" s="173" t="b">
        <v>0</v>
      </c>
      <c r="AE34" s="176" t="s">
        <v>1070</v>
      </c>
      <c r="AF34" s="171" t="s">
        <v>1070</v>
      </c>
      <c r="AG34" s="177">
        <f>IFERROR(__xludf.DUMMYFUNCTION("IF(
  ISNUMBER(AG33),
  MIN(MAX(
    AG33
    + MAX(
      ROUNDDOWN(($D34 - MAX(IFERROR(FILTER($D$24:$D33, AG$24:AG33 &lt;&gt; AF$6, AG$23:AG32 = AF$6), 0))) * (60 * 60 * 24) / AF$9) - ROUNDDOWN(($D33 - MAX(IFERROR(FILTER($D$23:$D32, AG$23:AG32 &lt;&gt; AF$6, AG$22:"&amp;"AG31 = AF$6), 0))) * (60 * 60 * 24) / 60),
      0
    )
    - COUNTIF(AF34, ""&lt;&gt;-""),
  0), AF$6),
  AF$6 - COUNTIF(AF34, ""&lt;&gt;-"")
)"),2.0)</f>
        <v>2</v>
      </c>
      <c r="AH34" s="173" t="b">
        <v>0</v>
      </c>
      <c r="AI34" s="173" t="b">
        <v>0</v>
      </c>
      <c r="AJ34" s="173" t="b">
        <v>0</v>
      </c>
      <c r="AK34" s="174" t="b">
        <v>0</v>
      </c>
      <c r="AL34" s="175" t="b">
        <v>0</v>
      </c>
      <c r="AM34" s="173" t="b">
        <v>0</v>
      </c>
      <c r="AN34" s="171" t="s">
        <v>1070</v>
      </c>
      <c r="AO34" s="173" t="b">
        <v>0</v>
      </c>
      <c r="AP34" s="173" t="b">
        <v>0</v>
      </c>
      <c r="AQ34" s="173" t="b">
        <v>0</v>
      </c>
      <c r="AR34" s="174" t="b">
        <v>0</v>
      </c>
      <c r="AS34" s="178" t="b">
        <v>0</v>
      </c>
      <c r="AT34" s="179" t="b">
        <v>0</v>
      </c>
      <c r="AU34" s="180" t="b">
        <v>0</v>
      </c>
      <c r="AV34" s="180" t="b">
        <v>0</v>
      </c>
      <c r="AW34" s="180" t="b">
        <v>0</v>
      </c>
      <c r="AX34" s="180" t="b">
        <v>0</v>
      </c>
      <c r="AY34" s="181" t="s">
        <v>1070</v>
      </c>
      <c r="AZ34" s="181" t="s">
        <v>1070</v>
      </c>
      <c r="BA34" s="184">
        <f>IFERROR(__xludf.DUMMYFUNCTION("IF(
  ISNUMBER(BA33),
  MIN(MAX(
    BA33
    + MAX(
      ROUNDDOWN((D34 - MAX(IFERROR(FILTER(D$24:D33, BA$24:BA33 &lt;&gt; AZ$6, BA$23:BA32 = AZ$6), 0))) * (60 * 60 * 24) / AZ$9) - ROUNDDOWN((D33 - MAX(IFERROR(FILTER(D$23:D32, BA$23:BA32 &lt;&gt; AZ$6, BA$22:BA31 ="&amp;" AZ$6), 0))) * (60 * 60 * 24) / AZ$9),
      0
    )
    - COUNTIF(AZ34, ""&lt;&gt;-""),
  0), AZ$6),
  AZ$6 - COUNTIF(AZ34, ""&lt;&gt;-"")
)"),2.0)</f>
        <v>2</v>
      </c>
      <c r="BB34" s="181" t="s">
        <v>1070</v>
      </c>
      <c r="BC34" s="183">
        <f>IFERROR(__xludf.DUMMYFUNCTION("IF(
  ISNUMBER(BC33),
  MIN(MAX(
    BC33
    + MAX(
      ROUNDDOWN(($D34 - MAX(IFERROR(FILTER($D$24:$D33, BC$24:BC33 &lt;&gt; BB$6, BC$23:BC32 = BB$6), 0))) * (60 * 60 * 24) / BB$9) - ROUNDDOWN(($D33 - MAX(IFERROR(FILTER($D$23:$D32, BC$23:BC32 &lt;&gt; BB$6, BC$22:"&amp;"BC31 = BB$6), 0))) * (60 * 60 * 24) / 60),
      0
    )
    - COUNTIF(BB34, ""&lt;&gt;-""),
  0), BB$6),
  BB$6 - COUNTIF(BB34, ""&lt;&gt;-"")
)"),2.0)</f>
        <v>2</v>
      </c>
      <c r="BD34" s="181" t="s">
        <v>1070</v>
      </c>
      <c r="BE34" s="178" t="b">
        <v>0</v>
      </c>
      <c r="BF34" s="180" t="b">
        <v>0</v>
      </c>
      <c r="BG34" s="180" t="b">
        <v>0</v>
      </c>
      <c r="BH34" s="180" t="b">
        <v>0</v>
      </c>
      <c r="BI34" s="180" t="b">
        <v>0</v>
      </c>
      <c r="BJ34" s="180" t="b">
        <v>0</v>
      </c>
      <c r="BK34" s="180" t="b">
        <v>0</v>
      </c>
      <c r="BL34" s="180" t="b">
        <v>0</v>
      </c>
      <c r="BM34" s="180" t="b">
        <v>0</v>
      </c>
      <c r="BN34" s="180" t="b">
        <v>0</v>
      </c>
      <c r="BO34" s="181" t="s">
        <v>1070</v>
      </c>
      <c r="BP34" s="181" t="s">
        <v>1070</v>
      </c>
      <c r="BQ34" s="181" t="s">
        <v>1070</v>
      </c>
      <c r="BR34" s="181" t="s">
        <v>1070</v>
      </c>
      <c r="BS34" s="181" t="s">
        <v>1070</v>
      </c>
      <c r="BT34" s="184">
        <f>IFERROR(__xludf.DUMMYFUNCTION("IF(
  ISNUMBER(BT33),
  MIN(MAX(
    BT33
    + MAX(
      ROUNDDOWN((D34 - MAX(IFERROR(FILTER(D$24:D33, BT$24:BT33 &lt;&gt; BS$6, BT$23:BT32 = BS$6), 0))) * (60 * 60 * 24) / BS$9) - ROUNDDOWN((D33 - MAX(IFERROR(FILTER(D$23:D32, BT$23:BT32 &lt;&gt; BS$6, BT$22:BT31 ="&amp;" BS$6), 0))) * (60 * 60 * 24) / BS$9),
      0
    )
    - COUNTIF(BS34, ""&lt;&gt;-""),
  0), BS$6),
  BS$6 - COUNTIF(BS34, ""&lt;&gt;-"")
)"),3.0)</f>
        <v>3</v>
      </c>
      <c r="BU34" s="181" t="s">
        <v>1070</v>
      </c>
      <c r="BV34" s="181" t="s">
        <v>1070</v>
      </c>
      <c r="BW34" s="184">
        <f>IFERROR(__xludf.DUMMYFUNCTION("IF(
  ISNUMBER(BW33),
  MIN(MAX(
    BW33
    + MAX(
      ROUNDDOWN((D34 - MAX(IFERROR(FILTER(D$24:D33, BW$24:BW33 &lt;&gt; BV$6, BW$23:BW32 = BV$6), 0))) * (60 * 60 * 24) / BV$9) - ROUNDDOWN((D33 - MAX(IFERROR(FILTER(D$23:D32, BW$23:BW32 &lt;&gt; BV$6, BW$22:BW31 ="&amp;" BV$6), 0))) * (60 * 60 * 24) / BV$9),
      0
    )
    - COUNTIF(BV34, ""&lt;&gt;-""),
  0), BV$6),
  BV$6 - COUNTIF(BV34, ""&lt;&gt;-"")
)"),2.0)</f>
        <v>2</v>
      </c>
      <c r="BX34" s="185" t="s">
        <v>1070</v>
      </c>
      <c r="BY34" s="178" t="b">
        <v>0</v>
      </c>
      <c r="BZ34" s="180" t="b">
        <v>0</v>
      </c>
      <c r="CA34" s="180" t="b">
        <v>0</v>
      </c>
      <c r="CB34" s="180" t="b">
        <v>0</v>
      </c>
      <c r="CC34" s="180" t="b">
        <v>0</v>
      </c>
      <c r="CD34" s="180" t="b">
        <v>0</v>
      </c>
      <c r="CE34" s="180" t="b">
        <v>0</v>
      </c>
      <c r="CF34" s="180" t="b">
        <v>0</v>
      </c>
      <c r="CG34" s="180" t="b">
        <v>0</v>
      </c>
      <c r="CH34" s="180" t="b">
        <v>0</v>
      </c>
      <c r="CI34" s="180" t="b">
        <v>0</v>
      </c>
      <c r="CJ34" s="180" t="b">
        <v>0</v>
      </c>
      <c r="CK34" s="180" t="b">
        <v>0</v>
      </c>
      <c r="CL34" s="180" t="b">
        <v>0</v>
      </c>
      <c r="CM34" s="181" t="s">
        <v>1070</v>
      </c>
      <c r="CN34" s="181" t="s">
        <v>1070</v>
      </c>
      <c r="CO34" s="181" t="s">
        <v>1070</v>
      </c>
      <c r="CP34" s="181" t="s">
        <v>1070</v>
      </c>
      <c r="CQ34" s="185" t="s">
        <v>1070</v>
      </c>
      <c r="CR34" s="180" t="b">
        <v>0</v>
      </c>
      <c r="CS34" s="186" t="str">
        <f t="shared" si="14"/>
        <v>◇◇◇</v>
      </c>
      <c r="CT34" s="178" t="b">
        <v>0</v>
      </c>
      <c r="CU34" s="180" t="b">
        <v>0</v>
      </c>
      <c r="CV34" s="180" t="b">
        <v>0</v>
      </c>
      <c r="CW34" s="180" t="b">
        <v>0</v>
      </c>
      <c r="CX34" s="180" t="b">
        <v>0</v>
      </c>
      <c r="CY34" s="180" t="b">
        <v>0</v>
      </c>
      <c r="CZ34" s="180" t="b">
        <v>0</v>
      </c>
      <c r="DA34" s="180" t="b">
        <v>0</v>
      </c>
      <c r="DB34" s="180" t="b">
        <v>0</v>
      </c>
      <c r="DC34" s="180" t="b">
        <v>0</v>
      </c>
      <c r="DD34" s="181" t="s">
        <v>1070</v>
      </c>
      <c r="DE34" s="181" t="s">
        <v>1070</v>
      </c>
      <c r="DF34" s="181" t="s">
        <v>1070</v>
      </c>
      <c r="DG34" s="185" t="s">
        <v>1070</v>
      </c>
      <c r="DH34" s="180" t="b">
        <v>0</v>
      </c>
      <c r="DI34" s="187" t="str">
        <f>IFERROR(__xludf.DUMMYFUNCTION("SWITCH(
  IF(
    ISTEXT(DI33),
    IF (
      FIND(""○"", DI33&amp;""○"") &gt; 3,
      3,
      FIND(""○"", DI33&amp;""○"")
      + MAX(
        ROUNDDOWN(($D34 - MAX(IFERROR(FILTER(D$24:D33, DI$24:DI33 &lt;&gt; ""●●●"", DI$23:DI32 = ""●●●""), 0))) * (60 * 60 * 24) / 20"&amp;") - ROUNDDOWN(($D33 - MAX(IFERROR(FILTER(D$23:D32, DI$23:DI32 &lt;&gt; ""●●●"", DI$22:DI31 = ""●●●""), 0))) * (60 * 60 * 24) / 20),
        0
      ) - 1
    ) - COUNTIFS(CU34, ""=TRUE"", CU33, ""&lt;&gt;TRUE"") - COUNTIF(CZ34, ""=TRUE"") - COUNTIF({DD34,DE34}, ""&lt;&gt;-"&amp;""") + COUNTIF(DH34, ""=TRUE""),
    3
  ),
  0, ""○○○"", 1, ""●○○"", 2, ""●●○"", 3, ""●●●"", 4, ""●●●"", ""○○○""
)"),"●●●")</f>
        <v>●●●</v>
      </c>
      <c r="DJ34" s="188" t="b">
        <v>0</v>
      </c>
      <c r="DK34" s="189" t="b">
        <v>0</v>
      </c>
      <c r="DL34" s="190" t="b">
        <v>0</v>
      </c>
      <c r="DM34" s="190" t="b">
        <v>0</v>
      </c>
      <c r="DN34" s="190" t="b">
        <v>0</v>
      </c>
      <c r="DO34" s="190" t="b">
        <v>0</v>
      </c>
      <c r="DP34" s="190" t="b">
        <v>0</v>
      </c>
      <c r="DQ34" s="191" t="b">
        <v>0</v>
      </c>
      <c r="DR34" s="192" t="b">
        <v>0</v>
      </c>
      <c r="DS34" s="191" t="b">
        <v>0</v>
      </c>
      <c r="DT34" s="192" t="b">
        <v>0</v>
      </c>
      <c r="DU34" s="191" t="b">
        <v>0</v>
      </c>
      <c r="DV34" s="193" t="s">
        <v>1070</v>
      </c>
      <c r="DW34" s="194" t="b">
        <v>0</v>
      </c>
      <c r="DX34" s="194" t="b">
        <v>0</v>
      </c>
      <c r="DY34" s="195" t="b">
        <v>0</v>
      </c>
      <c r="DZ34" s="196" t="b">
        <v>0</v>
      </c>
      <c r="EA34" s="195" t="b">
        <v>0</v>
      </c>
      <c r="EB34" s="197" t="b">
        <v>0</v>
      </c>
      <c r="EC34" s="197" t="b">
        <v>0</v>
      </c>
      <c r="ED34" s="212" t="b">
        <v>0</v>
      </c>
      <c r="EE34" s="199">
        <f>IFERROR(__xludf.DUMMYFUNCTION("IFERROR(
   PRODUCT(
     MAP(
       INDEX(TRANSPOSE(UNIQUE(TRANSPOSE(FILTER({IF($F34=""Physical"", K$10:ED$10, IF($F34=""Magic"", K$11:ED$11, K$12:ED$12));K$4:ED$4;K34:ED34}, K34:ED34=TRUE)))), 1, 0),
       INDEX(TRANSPOSE(UNIQUE(TRANSPOSE(FILTER({IF($"&amp;"F34=""Physical"", K$18:ED$18, IF($F34=""Magic"", K$19:ED$19, K$20:ED$20));K$4:ED$4;K34:ED34}, K34:ED34=TRUE)))), 1, 0),
       INDEX(TRANSPOSE(UNIQUE(TRANSPOSE(FILTER({K$5:ED$5;K$4:ED$4;K34:ED34}, K34:ED34=TRUE)))), 1, 0),
       INDEX(TRANSPOSE(UNIQUE(TR"&amp;"ANSPOSE(FILTER({K$17:ED$17;K$4:ED$4;K34:ED34}, K34:ED34=TRUE)))), 1, 0),
       LAMBDA(
         mitigation,
         enhance,
         assign,
         precondition,
         IF(
           REGEXMATCH(assign, ""RANGE_PARTY|SINGLE_ENEMY|RANGE_ENEMY""),
  "&amp;"         IF(
             OR(ARRAYFORMULA((IF(precondition="""", FALSE, REGEXMATCH(K$4:ED$4, precondition))) * (K34:ED34=TRUE))),
             IF(ISNUMBER(enhance), enhance, 1),
             IF(ISNUMBER(mitigation), mitigation, 1)
           ),
          "&amp;" 1
         )
       )
     )
   ),
   1
 )"),1.0)</f>
        <v>1</v>
      </c>
      <c r="EF34" s="200">
        <f>IFERROR(__xludf.DUMMYFUNCTION("PRODUCT(
   MAP(
     K$14:ED$14,
     K$13:ED$13,
     K34:ED34,
     LAMBDA(
       buff,
       target,
       check,
       IF(
         AND(check=TRUE, REGEXMATCH(target, ""RANGE_AFFECTED_ALL|RANGE_EFFECTED_ALL""), ISNUMBER(buff)),
         buff,
   "&amp;"      1
       )
     )
   )
 )"),1.0)</f>
        <v>1</v>
      </c>
      <c r="EG34" s="200">
        <f>IFERROR(__xludf.DUMMYFUNCTION("PRODUCT(
   MAP(
     K$14:ED$14,
     K$13:ED$13,
     K34:ED34,
     LAMBDA(
       buff,
       target,
       check,
       IF(
         AND(check=TRUE, REGEXMATCH(target, ""RANGE_AFFECTED_GCD|RANGE_EFFECTED_GCD""), ISNUMBER(buff)),
         buff,
   "&amp;"      1
       )
     )
   )
 )"),1.0)</f>
        <v>1</v>
      </c>
      <c r="EH34" s="200">
        <f>IFERROR(__xludf.DUMMYFUNCTION("PRODUCT(
   MAP(
     K$3:ED$3,
     K$14:ED$14,
     K$13:ED$13,
     K34:ED34,
     LAMBDA(
       job,
       buff,
       target,
       check,
       IF(
         AND(check=TRUE, REGEXMATCH(target, ""SELF_EFFECTED_ALL""), ISNUMBER(buff), job=""白魔道士"""&amp;"),
         buff,
         1
       )
     )
   )
 )"),1.0)</f>
        <v>1</v>
      </c>
      <c r="EI34" s="200">
        <f>IFERROR(__xludf.DUMMYFUNCTION("PRODUCT(
   MAP(
     K$3:ED$3,
     K$14:ED$14,
     K$13:ED$13,
     K34:ED34,
     LAMBDA(
       job,
       buff,
       target,
       check,
       IF(
         AND(check=TRUE, REGEXMATCH(target, ""SELF_EFFECTED_GCD""), ISNUMBER(buff), job=""白魔道士"""&amp;"),
         buff,
         1
       )
     )
   )
 )"),1.0)</f>
        <v>1</v>
      </c>
      <c r="EJ34" s="200">
        <f>IFERROR(__xludf.DUMMYFUNCTION("PRODUCT(
   MAP(
     K$3:ED$3,
     K$14:ED$14,
     K$13:ED$13,
     K34:ED34,
     LAMBDA(
       job,
       buff,
       target,
       check,
       IF(
         AND(check=TRUE, REGEXMATCH(target, ""SELF_EFFECTED_ALL""), ISNUMBER(buff), job=""占星術師"""&amp;"),
         buff,
         1
       )
     )
   )
 )"),1.0)</f>
        <v>1</v>
      </c>
      <c r="EK34" s="200">
        <f>IFERROR(__xludf.DUMMYFUNCTION("PRODUCT(
   MAP(
     K$3:ED$3,
     K$14:ED$14,
     K$13:ED$13,
     K34:ED34,
     LAMBDA(
       job,
       buff,
       target,
       check,
       IF(
         AND(check=TRUE, REGEXMATCH(target, ""SELF_EFFECTED_GCD""), ISNUMBER(buff), job=""占星術師"""&amp;"),
         buff,
         1
       )
     )
   )
 )"),1.0)</f>
        <v>1</v>
      </c>
      <c r="EL34" s="200">
        <f>IFERROR(__xludf.DUMMYFUNCTION("PRODUCT(
   MAP(
     K$3:ED$3,
     K$14:ED$14,
     K$13:ED$13,
     K34:ED34,
     LAMBDA(
       job,
       buff,
       target,
       check,
       IF(
         AND(check=TRUE, REGEXMATCH(target, ""SELF_EFFECTED_ALL""), ISNUMBER(buff), job=""学者""),"&amp;"
         buff,
         1
       )
     )
   )
 )"),1.0)</f>
        <v>1</v>
      </c>
      <c r="EM34" s="200">
        <f>IFERROR(__xludf.DUMMYFUNCTION("PRODUCT(
   MAP(
     K$3:ED$3,
     K$14:ED$14,
     K$13:ED$13,
     K34:ED34,
     LAMBDA(
       job,
       buff,
       target,
       check,
       IF(
         AND(check=TRUE, REGEXMATCH(target, ""SELF_EFFECTED_GCD""), ISNUMBER(buff), job=""学者""),"&amp;"
         buff,
         1
       )
     )
   )
 )"),1.0)</f>
        <v>1</v>
      </c>
      <c r="EN34" s="200">
        <f>IFERROR(__xludf.DUMMYFUNCTION("PRODUCT(
   MAP(
     K$3:ED$3,
     K$14:ED$14,
     K$13:ED$13,
     K34:ED34,
     LAMBDA(
       job,
       buff,
       target,
       check,
       IF(
         AND(check=TRUE, REGEXMATCH(target, ""SELF_EFFECTED_ALL""), ISNUMBER(buff), job=""賢者""),"&amp;"
         buff,
         1
       )
     )
   )
 )"),1.0)</f>
        <v>1</v>
      </c>
      <c r="EO34" s="200">
        <f>IFERROR(__xludf.DUMMYFUNCTION("PRODUCT(
   MAP(
     K$3:ED$3,
     K$14:ED$14,
     K$13:ED$13,
     K34:ED34,
     LAMBDA(
       job,
       buff,
       target,
       check,
       IF(
         AND(check=TRUE, REGEXMATCH(target, ""SELF_EFFECTED_GCD""), ISNUMBER(buff), job=""賢者""),"&amp;"
         buff,
         1
       )
     )
   )
 )"),1.0)</f>
        <v>1</v>
      </c>
      <c r="EP34" s="201">
        <f t="shared" si="3"/>
        <v>15000</v>
      </c>
      <c r="EQ34" s="201">
        <f>IFERROR(__xludf.DUMMYFUNCTION("SUM(
   MAP(
     K$4:ED$4,
     K$3:ED$3,
     K$7:ED$7,
     K$15:ED$15,
     K$16:ED$16,
     K$21:ED$21,
     K$5:ED$5,
     K$17:ED$17,
     K34:ED34,
     LAMBDA(
       name,
       job,
       abillity,
       buff,
       barrier,
       enhance,"&amp;"
       assign,
       precondition,
       check,
       SWITCH(
         name,
         ""シェイクオフ"", IF(check=TRUE, buff + (0.02 * COUNTIF(ARRAYFORMULA((REGEXMATCH($K$4:$ED$4, ""スリル・オブ・バトル|ヴェンジェンス|原初の血気|ダムネーション"")) * (K34:ED34=TRUE)), 1)), 0),
         "&amp;"""インプロビゼーションフィニッシュ(踊りの激情0)"", IF(ISNUMBER(check), INDEX(Skill!$AJ:$AJ, MATCH(SUBSTITUTE(DV$4, 0, check), Skill!$C:$C, 0)), 0),
         IF(
           AND(check=TRUE, REGEXMATCH(assign, ""RANGE_PARTY"")),
           IF(
             OR(ARRAYFORMULA((IF(pr"&amp;"econdition="""", FALSE, REGEXMATCH($K$4:$ED$4, precondition))) * (K34:ED34=TRUE))),
             enhance,
             IF(barrier="""", buff, barrier)
           ),
           0
         )
       ) *
       SWITCH(
         job,
         ""ナイト"", EY$24,
 "&amp;"        ""戦士"", FD$24,
         ""踊り子"", ET$24,
         ""ピクトマンサー"", ET$24,
         ""白魔道士"", EF34 * EH34 * IF(abillity, 1, EG34 * EI34) * (Option!$D$22 * 0.81 / 100),
         ""占星術師"", EF34 * EJ34 * IF(abillity, 1, EG34 * EK34) * (Option!$D$23 * 0.81 "&amp;"/ 100),
         ""学者"", EF34 * EL34 * IF(abillity, 1, EG34 * EM34) * (Option!$D$24 * 0.81 / 100),
         ""賢者"", EF34 * EN34 * IF(abillity, 1, EG34 * EO34) * (Option!$D$25 * 0.81 / 100),
         1
       )
     )
   )
 )"),0.0)</f>
        <v>0</v>
      </c>
      <c r="ER34" s="202">
        <f t="shared" si="4"/>
        <v>15000</v>
      </c>
      <c r="ES34" s="203">
        <f t="shared" si="5"/>
        <v>0</v>
      </c>
      <c r="ET34" s="231" t="str">
        <f>IFERROR(__xludf.DUMMYFUNCTION("IFS(
  EP34 &gt; $ET$24 + EQ34,
  SPARKLINE({ 1, 0 }, {""charttype"",""bar"";""max"", 1;""color1"",Option!$D$30;""color2"",Option!$D$30}),
  EP34 &lt; EQ34,
  SPARKLINE({EQ34 - EP34, $ET$24 - (EQ34 - EP34)}, {""charttype"",""bar"";""max"",$ET$24;""color1"",Opti"&amp;"on!$D$28;""color2"",Option!$D$29}),
  EP34 &gt;= EQ34,
  SPARKLINE({$ET$24 + EQ34 - EP34,EP34 - EQ34}, {""charttype"",""bar"";""max"",$ET$24;""color1"",Option!$D$29;""color2"",Option!$D$30})
)"),"")</f>
        <v/>
      </c>
      <c r="EU34" s="205">
        <f>IFERROR(__xludf.DUMMYFUNCTION("PRODUCT(
   MAP(
     IF($F34=""Physical"", K$10:ED$10, IF($F34=""Magic"", K$11:ED$11, K$12:ED$12)),
     IF($F34=""Physical"", K$18:ED$18, IF($F34=""Magic"", K$19:ED$19, K$20:ED$20)),
     K$3:ED$3,
     K$5:ED$5,
     K$17:ED$17,
     K34:ED34,
     LAM"&amp;"BDA(
       mitigation,
       enhance,
       job,
       assign,
       precondition,
       check,
       IF(
         OR(AND(check=TRUE, REGEXMATCH(assign, ""SELF""), job=""ナイト""), AND(check=Option!$E$13, REGEXMATCH(assign, ""SINGLE_PARTY""))),
      "&amp;"   IF(
           OR(ARRAYFORMULA((IF(precondition="""", FALSE, REGEXMATCH($K$4:$ED$4, precondition))) * (K34:ED34=TRUE))),
           enhance,
           mitigation
         ),
         1
       )
     )
   )
 ) * EE34"),1.0)</f>
        <v>1</v>
      </c>
      <c r="EV34" s="206">
        <f t="shared" si="6"/>
        <v>12000</v>
      </c>
      <c r="EW34" s="205">
        <f>IFERROR(__xludf.DUMMYFUNCTION("PRODUCT(
   MAP(
     K$3:ED$3,
     K$14:ED$14,
     K$13:ED$13,
     K34:ED34,
     LAMBDA(
       job,
       buff,
       target,
       check,
       IF(
         OR(AND(check=TRUE, REGEXMATCH(target, ""SELF_AFFECTED_ALL""), job=""ナイト""), AND(check=O"&amp;"ption!$E$13, REGEXMATCH(target, ""SINGLE_AFFECTED_ALL""))),
         buff,
         1
       )
     )
   )
 )"),1.0)</f>
        <v>1</v>
      </c>
      <c r="EX34" s="206">
        <f>IFERROR(__xludf.DUMMYFUNCTION("SUM(
   MAP(
     K$3:ED$3,
     K$7:ED$7,
     K$15:ED$15,
     K$16:ED$16,
     K$21:ED$21,
     K$5:ED$5,
     K$17:ED$17,
     K34:ED34,
     LAMBDA(
       job,
       abillity,
       buff,
       barrier,
       enhance,
       assign,
       preco"&amp;"ndition,
       check,
       IF(
         OR(AND(check=TRUE, REGEXMATCH(assign, ""SELF""), job=""ナイト""), AND(check=Option!$E$13, REGEXMATCH(assign, ""SINGLE_PARTY""))),
         IF(
           OR(ARRAYFORMULA((IF(precondition="""", FALSE, REGEXMATCH($K$4"&amp;":$ED$4, precondition))) * (K34:ED34=TRUE))),
           enhance,
           IF(barrier="""", buff, barrier)
         ),
         0
       ) *
       SWITCH(
         job,
         ""暗黒騎士"", EY$24,
         ""白魔道士"", EF34 * EH34 * EW34 * IF(abillity, 1, EG"&amp;"34 * EI34) * (Option!$D$22 * 0.81 / 100),
         ""占星術師"", EF34 * EJ34 * EW34 * IF(abillity, 1, EG34 * EK34) * (Option!$D$23 * 0.81 / 100),
         ""学者"", EF34 * EL34 * EW34 * IF(abillity, 1, EG34 * EM34) * (Option!$D$24 * 0.81 / 100),
         ""賢者"""&amp;", EF34 * EN34 * EW34 * IF(abillity, 1, EG34 * EO34) * (Option!$D$25 * 0.81 / 100),
         1
       )
     )
   )
 ) + EQ34"),0.0)</f>
        <v>0</v>
      </c>
      <c r="EY34" s="232">
        <f t="shared" si="7"/>
        <v>12000</v>
      </c>
      <c r="EZ34" s="205">
        <f>IFERROR(__xludf.DUMMYFUNCTION("PRODUCT(
   MAP(
     IF($F34=""Physical"", K$10:ED$10, IF($F34=""Magic"", K$11:ED$11, K$12:ED$12)),
     IF($F34=""Physical"", K$18:ED$18, IF($F34=""Magic"", K$19:ED$19, K$20:ED$20)),
     K$3:ED$3,
     K$5:ED$5,
     K$17:ED$17,
     K34:ED34,
     LAM"&amp;"BDA(
       mitigation,
       enhance,
       job,
       assign,
       precondition,
       check,
       IF(
         OR(AND(check=TRUE, REGEXMATCH(assign, ""SELF""), job=""戦士""), AND(check=Option!$F$13, REGEXMATCH(assign, ""SINGLE_PARTY""))),
       "&amp;"  IF(
           OR(ARRAYFORMULA((IF(precondition="""", FALSE, REGEXMATCH($K$4:$ED$4, precondition))) * (K34:ED34=TRUE))),
           enhance,
           mitigation
         ),
         1
       )
     )
   )
 ) * EE34"),1.0)</f>
        <v>1</v>
      </c>
      <c r="FA34" s="206">
        <f t="shared" si="8"/>
        <v>12000</v>
      </c>
      <c r="FB34" s="205">
        <f>IFERROR(__xludf.DUMMYFUNCTION("PRODUCT(
   MAP(
     K$3:ED$3,
     K$14:ED$14,
     K$13:ED$13,
     K34:ED34,
     LAMBDA(
       job,
       buff,
       target,
       check,
       IF(
         OR(AND(check=TRUE, REGEXMATCH(target, ""SELF_AFFECTED_ALL""), job=""戦士""), AND(check=Op"&amp;"tion!$F$13, REGEXMATCH(target, ""SINGLE_AFFECTED_ALL""))),
         buff,
         1
       )
     )
   )
 )"),1.0)</f>
        <v>1</v>
      </c>
      <c r="FC34" s="206">
        <f>IFERROR(__xludf.DUMMYFUNCTION("SUM(
   MAP(
     K$3:ED$3,
     K$7:ED$7,
     K$15:ED$15,
     K$16:ED$16,
     K$21:ED$21,
     K$5:ED$5,
     K$17:ED$17,
     K34:ED34,
     LAMBDA(
       job,
       abillity,
       buff,
       barrier,
       enhance,
       assign,
       preco"&amp;"ndition,
       check,
       IF(
         OR(AND(check=TRUE, REGEXMATCH(assign, ""SELF""), job=""戦士""), AND(check=Option!$F$13, REGEXMATCH(assign, ""SINGLE_PARTY""))),
         IF(
           OR(ARRAYFORMULA((IF(precondition="""", FALSE, REGEXMATCH($K$4:"&amp;"$ED$4, precondition))) * (K34:ED34=TRUE))),
           enhance,
           IF(barrier="""", buff, barrier)
         ),
         0
       ) *
       SWITCH(
         job,
         ""暗黒騎士"", FD$24,
         ""白魔道士"", EF34 * EH34 * FB34 * IF(abillity, 1, EG3"&amp;"4 * EI34) * (Option!$D$22 * 0.81 / 100),
         ""占星術師"", EF34 * EJ34 * FFB34 * IF(abillity, 1, EG34 * EK34) * (Option!$D$23 * 0.81 / 100),
         ""学者"", EF34 * EL34 * FB34 * IF(abillity, 1, EG34 * EM34) * (Option!$D$24 * 0.81 / 100),
         ""賢者"""&amp;", EF34 * EN34 * FB34 * IF(abillity, 1, EG34 * EO34) * (Option!$D$25 * 0.81 / 100),
         1
       )
     )
   )
 ) + EQ34"),0.0)</f>
        <v>0</v>
      </c>
      <c r="FD34" s="206">
        <f t="shared" si="9"/>
        <v>12000</v>
      </c>
      <c r="FE34" s="205">
        <f>IFERROR(__xludf.DUMMYFUNCTION("PRODUCT(
   MAP(
     IF($F34=""Physical"", K$10:ED$10, IF($F34=""Magic"", K$11:ED$11, K$12:ED$12)),
     IF($F34=""Physical"", K$18:ED$18, IF($F34=""Magic"", K$19:ED$19, K$20:ED$20)),
     K$3:ED$3,
     K$5:ED$5,
     K$17:ED$17,
     K34:ED34,
     LAM"&amp;"BDA(
       mitigation,
       enhance,
       job,
       assign,
       precondition,
       check,
       IF(
         OR(AND(check=TRUE, REGEXMATCH(assign, ""SELF""), job=""暗黒騎士""), AND(check=Option!$G$13, REGEXMATCH(assign, ""SINGLE_PARTY""))),
     "&amp;"    IF(
           OR(ARRAYFORMULA((IF(precondition="""", FALSE, REGEXMATCH($K$4:$ED$4, precondition))) * (K34:ED34=TRUE))),
           enhance,
           mitigation
         ),
         1
       )
     )
   )
 ) * EE34"),1.0)</f>
        <v>1</v>
      </c>
      <c r="FF34" s="206">
        <f t="shared" si="10"/>
        <v>12000</v>
      </c>
      <c r="FG34" s="205">
        <f>IFERROR(__xludf.DUMMYFUNCTION("PRODUCT(
   MAP(
     K$3:ED$3,
     K$14:ED$14,
     K$13:ED$13,
     K34:ED34,
     LAMBDA(
       job,
       buff,
       target,
       check,
       IF(
         OR(AND(check=TRUE, REGEXMATCH(target, ""SELF_AFFECTED_ALL""), job=""暗黒騎士""), AND(check="&amp;"Option!$G$13, REGEXMATCH(target, ""SINGLE_AFFECTED_ALL""))),
         buff,
         1
       )
     )
   )
 )"),1.0)</f>
        <v>1</v>
      </c>
      <c r="FH34" s="206">
        <f>IFERROR(__xludf.DUMMYFUNCTION("SUM(
   MAP(
     K$3:ED$3,
     K$7:ED$7,
     K$15:ED$15,
     K$16:ED$16,
     K$21:ED$21,
     K$5:ED$5,
     K$17:ED$17,
     K34:ED34,
     LAMBDA(
       job,
       abillity,
       buff,
       barrier,
       enhance,
       assign,
       preco"&amp;"ndition,
       check,
       IF(
         OR(AND(check=TRUE, REGEXMATCH(assign, ""SELF""), job=""暗黒騎士""), AND(check=Option!$G$13, REGEXMATCH(assign, ""SINGLE_PARTY""))),
         IF(
           OR(ARRAYFORMULA((IF(precondition="""", FALSE, REGEXMATCH($K$"&amp;"4:$ED$4, precondition))) * (K34:ED34=TRUE))),
           enhance,
           IF(barrier="""", buff, barrier)
         ),
         0
       ) *
       SWITCH(
         job,
         ""暗黒騎士"", FI$24,
         ""白魔道士"", EF34 * EH34 * FG34 * IF(abillity, 1, E"&amp;"G34 * EI34) * (Option!$D$22 * 0.81 / 100),
         ""占星術師"", EF34 * EJ34 * FG34 * IF(abillity, 1, EG34 * EK34) * (Option!$D$23 * 0.81 / 100),
         ""学者"", EF34 * EL34 * FG34 * IF(abillity, 1, EG34 * EM34) * (Option!$D$24 * 0.81 / 100),
         ""賢者"&amp;""", EF34 * EN34 * FG34 * IF(abillity, 1, EG34 * EO34) * (Option!$D$25 * 0.81 / 100),
         1
       )
     )
   )
 ) + EQ34"),0.0)</f>
        <v>0</v>
      </c>
      <c r="FI34" s="206">
        <f t="shared" si="11"/>
        <v>12000</v>
      </c>
      <c r="FJ34" s="205">
        <f>IFERROR(__xludf.DUMMYFUNCTION("PRODUCT(
   MAP(
     IF($F34=""Physical"", K$10:ED$10, IF($F34=""Magic"", K$11:ED$11, K$12:ED$12)),
     IF($F34=""Physical"", K$18:ED$18, IF($F34=""Magic"", K$19:ED$19, K$20:ED$20)),
     K$3:ED$3,
     K$5:ED$5,
     K$17:ED$17,
     K34:ED34,
     LAM"&amp;"BDA(
       mitigation,
       enhance,
       job,
       assign,
       precondition,
       check,
       IF(
         OR(AND(check=TRUE, REGEXMATCH(assign, ""SELF""), job=""ガンブレイカー""), AND(check=Option!$H$13, REGEXMATCH(assign, ""SINGLE_PARTY""))),
  "&amp;"       IF(
           OR(ARRAYFORMULA((IF(precondition="""", FALSE, REGEXMATCH($K$4:$ED$4, precondition))) * (K34:ED34=TRUE))),
           enhance,
           mitigation
         ),
         1
       )
     )
   )
 ) * EE34"),1.0)</f>
        <v>1</v>
      </c>
      <c r="FK34" s="206">
        <f t="shared" si="12"/>
        <v>12000</v>
      </c>
      <c r="FL34" s="205">
        <f>IFERROR(__xludf.DUMMYFUNCTION("PRODUCT(
   MAP(
     K$3:ED$3,
     K$14:ED$14,
     K$13:ED$13,
     K34:ED34,
     LAMBDA(
       job,
       buff,
       target,
       check,
       IF(
         OR(AND(check=TRUE, REGEXMATCH(target, ""SELF_AFFECTED_ALL""), job=""ガンブレイカー""), AND(che"&amp;"ck=Option!$H$13, REGEXMATCH(target, ""SINGLE_AFFECTED_ALL""))),
         buff,
         1
       )
     )
   )
 )"),1.0)</f>
        <v>1</v>
      </c>
      <c r="FM34" s="206">
        <f>IFERROR(__xludf.DUMMYFUNCTION("SUM(
   MAP(
     K$3:ED$3,
     K$7:ED$7,
     K$15:ED$15,
     K$16:ED$16,
     K$21:ED$21,
     K$5:ED$5,
     K$17:ED$17,
     K34:ED34,
     LAMBDA(
       job,
       abillity,
       buff,
       barrier,
       enhance,
       assign,
       preco"&amp;"ndition,
       check,
       IF(
         OR(AND(check=TRUE, REGEXMATCH(assign, ""SELF""), job=""ガンブレイカー""), AND(check=Option!$H$13, REGEXMATCH(assign, ""SINGLE_PARTY""))),
         IF(
           OR(ARRAYFORMULA((IF(precondition="""", FALSE, REGEXMATCH("&amp;"$K$4:$ED$4, precondition))) * (K34:ED34=TRUE))),
           enhance,
           IF(barrier="""", buff, barrier)
         ),
         0
       ) *
       SWITCH(
         job,
         ""暗黒騎士"", FN$24,
         ""白魔道士"", EF34 * EH34 * FL34 * IF(abillity, 1"&amp;", EG34 * EI34) * (Option!$D$22 * 0.81 / 100),
         ""占星術師"", EF34 * EJ34 * FL34 * IF(abillity, 1, EG34 * EK34) * (Option!$D$23 * 0.81 / 100),
         ""学者"", EF34 * EL34 * FL34 * IF(abillity, 1, EG34 * EM34) * (Option!$D$24 * 0.81 / 100),
         """&amp;"賢者"", EF34 * EN34 * FL34 * IF(abillity, 1, EG34 * EO34) * (Option!$D$25 * 0.81 / 100),
         1
       )
     )
   )
 ) + EQ34"),0.0)</f>
        <v>0</v>
      </c>
      <c r="FN34" s="206">
        <f t="shared" si="13"/>
        <v>12000</v>
      </c>
      <c r="FO34" s="213"/>
    </row>
    <row r="35">
      <c r="B35" s="229"/>
      <c r="C35" s="217">
        <f t="shared" si="1"/>
        <v>0.002569444444</v>
      </c>
      <c r="D35" s="233">
        <v>8.680555555555555E-4</v>
      </c>
      <c r="E35" s="219" t="s">
        <v>1089</v>
      </c>
      <c r="F35" s="167" t="s">
        <v>10</v>
      </c>
      <c r="G35" s="168" t="str">
        <f t="shared" si="2"/>
        <v/>
      </c>
      <c r="H35" s="169">
        <v>1100.0</v>
      </c>
      <c r="I35" s="169"/>
      <c r="J35" s="169"/>
      <c r="K35" s="170" t="b">
        <v>0</v>
      </c>
      <c r="L35" s="170" t="b">
        <v>0</v>
      </c>
      <c r="M35" s="170" t="b">
        <v>0</v>
      </c>
      <c r="N35" s="171" t="s">
        <v>1070</v>
      </c>
      <c r="O35" s="172" t="b">
        <v>0</v>
      </c>
      <c r="P35" s="173" t="b">
        <v>0</v>
      </c>
      <c r="Q35" s="173" t="b">
        <v>0</v>
      </c>
      <c r="R35" s="173" t="b">
        <v>0</v>
      </c>
      <c r="S35" s="174" t="b">
        <v>0</v>
      </c>
      <c r="T35" s="175" t="b">
        <v>0</v>
      </c>
      <c r="U35" s="173" t="b">
        <v>0</v>
      </c>
      <c r="V35" s="171" t="s">
        <v>1070</v>
      </c>
      <c r="W35" s="172" t="b">
        <v>0</v>
      </c>
      <c r="X35" s="173" t="b">
        <v>0</v>
      </c>
      <c r="Y35" s="173" t="b">
        <v>0</v>
      </c>
      <c r="Z35" s="173" t="b">
        <v>0</v>
      </c>
      <c r="AA35" s="174" t="b">
        <v>0</v>
      </c>
      <c r="AB35" s="174" t="b">
        <v>0</v>
      </c>
      <c r="AC35" s="175" t="b">
        <v>0</v>
      </c>
      <c r="AD35" s="173" t="b">
        <v>0</v>
      </c>
      <c r="AE35" s="176" t="s">
        <v>1070</v>
      </c>
      <c r="AF35" s="171" t="s">
        <v>1070</v>
      </c>
      <c r="AG35" s="177">
        <f>IFERROR(__xludf.DUMMYFUNCTION("IF(
  ISNUMBER(AG34),
  MIN(MAX(
    AG34
    + MAX(
      ROUNDDOWN(($D35 - MAX(IFERROR(FILTER($D$24:$D34, AG$24:AG34 &lt;&gt; AF$6, AG$23:AG33 = AF$6), 0))) * (60 * 60 * 24) / AF$9) - ROUNDDOWN(($D34 - MAX(IFERROR(FILTER($D$23:$D33, AG$23:AG33 &lt;&gt; AF$6, AG$22:"&amp;"AG32 = AF$6), 0))) * (60 * 60 * 24) / 60),
      0
    )
    - COUNTIF(AF35, ""&lt;&gt;-""),
  0), AF$6),
  AF$6 - COUNTIF(AF35, ""&lt;&gt;-"")
)"),2.0)</f>
        <v>2</v>
      </c>
      <c r="AH35" s="173" t="b">
        <v>0</v>
      </c>
      <c r="AI35" s="173" t="b">
        <v>0</v>
      </c>
      <c r="AJ35" s="173" t="b">
        <v>0</v>
      </c>
      <c r="AK35" s="174" t="b">
        <v>0</v>
      </c>
      <c r="AL35" s="175" t="b">
        <v>0</v>
      </c>
      <c r="AM35" s="173" t="b">
        <v>0</v>
      </c>
      <c r="AN35" s="171" t="s">
        <v>1070</v>
      </c>
      <c r="AO35" s="173" t="b">
        <v>0</v>
      </c>
      <c r="AP35" s="173" t="b">
        <v>0</v>
      </c>
      <c r="AQ35" s="173" t="b">
        <v>0</v>
      </c>
      <c r="AR35" s="174" t="b">
        <v>0</v>
      </c>
      <c r="AS35" s="178" t="b">
        <v>0</v>
      </c>
      <c r="AT35" s="179" t="b">
        <v>0</v>
      </c>
      <c r="AU35" s="180" t="b">
        <v>0</v>
      </c>
      <c r="AV35" s="180" t="b">
        <v>0</v>
      </c>
      <c r="AW35" s="180" t="b">
        <v>0</v>
      </c>
      <c r="AX35" s="180" t="b">
        <v>0</v>
      </c>
      <c r="AY35" s="181" t="s">
        <v>1070</v>
      </c>
      <c r="AZ35" s="181" t="s">
        <v>1070</v>
      </c>
      <c r="BA35" s="184">
        <f>IFERROR(__xludf.DUMMYFUNCTION("IF(
  ISNUMBER(BA34),
  MIN(MAX(
    BA34
    + MAX(
      ROUNDDOWN((D35 - MAX(IFERROR(FILTER(D$24:D34, BA$24:BA34 &lt;&gt; AZ$6, BA$23:BA33 = AZ$6), 0))) * (60 * 60 * 24) / AZ$9) - ROUNDDOWN((D34 - MAX(IFERROR(FILTER(D$23:D33, BA$23:BA33 &lt;&gt; AZ$6, BA$22:BA32 ="&amp;" AZ$6), 0))) * (60 * 60 * 24) / AZ$9),
      0
    )
    - COUNTIF(AZ35, ""&lt;&gt;-""),
  0), AZ$6),
  AZ$6 - COUNTIF(AZ35, ""&lt;&gt;-"")
)"),2.0)</f>
        <v>2</v>
      </c>
      <c r="BB35" s="181" t="s">
        <v>1070</v>
      </c>
      <c r="BC35" s="183">
        <f>IFERROR(__xludf.DUMMYFUNCTION("IF(
  ISNUMBER(BC34),
  MIN(MAX(
    BC34
    + MAX(
      ROUNDDOWN(($D35 - MAX(IFERROR(FILTER($D$24:$D34, BC$24:BC34 &lt;&gt; BB$6, BC$23:BC33 = BB$6), 0))) * (60 * 60 * 24) / BB$9) - ROUNDDOWN(($D34 - MAX(IFERROR(FILTER($D$23:$D33, BC$23:BC33 &lt;&gt; BB$6, BC$22:"&amp;"BC32 = BB$6), 0))) * (60 * 60 * 24) / 60),
      0
    )
    - COUNTIF(BB35, ""&lt;&gt;-""),
  0), BB$6),
  BB$6 - COUNTIF(BB35, ""&lt;&gt;-"")
)"),2.0)</f>
        <v>2</v>
      </c>
      <c r="BD35" s="181" t="s">
        <v>1070</v>
      </c>
      <c r="BE35" s="178" t="b">
        <v>0</v>
      </c>
      <c r="BF35" s="180" t="b">
        <v>0</v>
      </c>
      <c r="BG35" s="180" t="b">
        <v>0</v>
      </c>
      <c r="BH35" s="180" t="b">
        <v>0</v>
      </c>
      <c r="BI35" s="180" t="b">
        <v>0</v>
      </c>
      <c r="BJ35" s="180" t="b">
        <v>0</v>
      </c>
      <c r="BK35" s="180" t="b">
        <v>0</v>
      </c>
      <c r="BL35" s="180" t="b">
        <v>0</v>
      </c>
      <c r="BM35" s="180" t="b">
        <v>0</v>
      </c>
      <c r="BN35" s="180" t="b">
        <v>0</v>
      </c>
      <c r="BO35" s="181" t="s">
        <v>1070</v>
      </c>
      <c r="BP35" s="181" t="s">
        <v>1070</v>
      </c>
      <c r="BQ35" s="181" t="s">
        <v>1070</v>
      </c>
      <c r="BR35" s="181" t="s">
        <v>1070</v>
      </c>
      <c r="BS35" s="181" t="s">
        <v>1070</v>
      </c>
      <c r="BT35" s="184">
        <f>IFERROR(__xludf.DUMMYFUNCTION("IF(
  ISNUMBER(BT34),
  MIN(MAX(
    BT34
    + MAX(
      ROUNDDOWN((D35 - MAX(IFERROR(FILTER(D$24:D34, BT$24:BT34 &lt;&gt; BS$6, BT$23:BT33 = BS$6), 0))) * (60 * 60 * 24) / BS$9) - ROUNDDOWN((D34 - MAX(IFERROR(FILTER(D$23:D33, BT$23:BT33 &lt;&gt; BS$6, BT$22:BT32 ="&amp;" BS$6), 0))) * (60 * 60 * 24) / BS$9),
      0
    )
    - COUNTIF(BS35, ""&lt;&gt;-""),
  0), BS$6),
  BS$6 - COUNTIF(BS35, ""&lt;&gt;-"")
)"),3.0)</f>
        <v>3</v>
      </c>
      <c r="BU35" s="181" t="s">
        <v>1070</v>
      </c>
      <c r="BV35" s="181" t="s">
        <v>1070</v>
      </c>
      <c r="BW35" s="184">
        <f>IFERROR(__xludf.DUMMYFUNCTION("IF(
  ISNUMBER(BW34),
  MIN(MAX(
    BW34
    + MAX(
      ROUNDDOWN((D35 - MAX(IFERROR(FILTER(D$24:D34, BW$24:BW34 &lt;&gt; BV$6, BW$23:BW33 = BV$6), 0))) * (60 * 60 * 24) / BV$9) - ROUNDDOWN((D34 - MAX(IFERROR(FILTER(D$23:D33, BW$23:BW33 &lt;&gt; BV$6, BW$22:BW32 ="&amp;" BV$6), 0))) * (60 * 60 * 24) / BV$9),
      0
    )
    - COUNTIF(BV35, ""&lt;&gt;-""),
  0), BV$6),
  BV$6 - COUNTIF(BV35, ""&lt;&gt;-"")
)"),2.0)</f>
        <v>2</v>
      </c>
      <c r="BX35" s="185" t="s">
        <v>1070</v>
      </c>
      <c r="BY35" s="178" t="b">
        <v>0</v>
      </c>
      <c r="BZ35" s="180" t="b">
        <v>0</v>
      </c>
      <c r="CA35" s="180" t="b">
        <v>0</v>
      </c>
      <c r="CB35" s="180" t="b">
        <v>0</v>
      </c>
      <c r="CC35" s="180" t="b">
        <v>0</v>
      </c>
      <c r="CD35" s="180" t="b">
        <v>0</v>
      </c>
      <c r="CE35" s="180" t="b">
        <v>0</v>
      </c>
      <c r="CF35" s="180" t="b">
        <v>0</v>
      </c>
      <c r="CG35" s="180" t="b">
        <v>0</v>
      </c>
      <c r="CH35" s="180" t="b">
        <v>0</v>
      </c>
      <c r="CI35" s="180" t="b">
        <v>0</v>
      </c>
      <c r="CJ35" s="180" t="b">
        <v>0</v>
      </c>
      <c r="CK35" s="180" t="b">
        <v>0</v>
      </c>
      <c r="CL35" s="180" t="b">
        <v>0</v>
      </c>
      <c r="CM35" s="181" t="s">
        <v>1070</v>
      </c>
      <c r="CN35" s="181" t="s">
        <v>1070</v>
      </c>
      <c r="CO35" s="181" t="s">
        <v>1070</v>
      </c>
      <c r="CP35" s="181" t="s">
        <v>1070</v>
      </c>
      <c r="CQ35" s="185" t="s">
        <v>1070</v>
      </c>
      <c r="CR35" s="180" t="b">
        <v>0</v>
      </c>
      <c r="CS35" s="186" t="str">
        <f t="shared" si="14"/>
        <v>◇◇◇</v>
      </c>
      <c r="CT35" s="178" t="b">
        <v>0</v>
      </c>
      <c r="CU35" s="180" t="b">
        <v>0</v>
      </c>
      <c r="CV35" s="180" t="b">
        <v>0</v>
      </c>
      <c r="CW35" s="180" t="b">
        <v>0</v>
      </c>
      <c r="CX35" s="180" t="b">
        <v>0</v>
      </c>
      <c r="CY35" s="180" t="b">
        <v>0</v>
      </c>
      <c r="CZ35" s="180" t="b">
        <v>0</v>
      </c>
      <c r="DA35" s="180" t="b">
        <v>0</v>
      </c>
      <c r="DB35" s="180" t="b">
        <v>0</v>
      </c>
      <c r="DC35" s="180" t="b">
        <v>0</v>
      </c>
      <c r="DD35" s="181" t="s">
        <v>1070</v>
      </c>
      <c r="DE35" s="181" t="s">
        <v>1070</v>
      </c>
      <c r="DF35" s="181" t="s">
        <v>1070</v>
      </c>
      <c r="DG35" s="185" t="s">
        <v>1070</v>
      </c>
      <c r="DH35" s="180" t="b">
        <v>0</v>
      </c>
      <c r="DI35" s="187" t="str">
        <f>IFERROR(__xludf.DUMMYFUNCTION("SWITCH(
  IF(
    ISTEXT(DI34),
    IF (
      FIND(""○"", DI34&amp;""○"") &gt; 3,
      3,
      FIND(""○"", DI34&amp;""○"")
      + MAX(
        ROUNDDOWN(($D35 - MAX(IFERROR(FILTER(D$24:D34, DI$24:DI34 &lt;&gt; ""●●●"", DI$23:DI33 = ""●●●""), 0))) * (60 * 60 * 24) / 20"&amp;") - ROUNDDOWN(($D34 - MAX(IFERROR(FILTER(D$23:D33, DI$23:DI33 &lt;&gt; ""●●●"", DI$22:DI32 = ""●●●""), 0))) * (60 * 60 * 24) / 20),
        0
      ) - 1
    ) - COUNTIFS(CU35, ""=TRUE"", CU34, ""&lt;&gt;TRUE"") - COUNTIF(CZ35, ""=TRUE"") - COUNTIF({DD35,DE35}, ""&lt;&gt;-"&amp;""") + COUNTIF(DH35, ""=TRUE""),
    3
  ),
  0, ""○○○"", 1, ""●○○"", 2, ""●●○"", 3, ""●●●"", 4, ""●●●"", ""○○○""
)"),"●●●")</f>
        <v>●●●</v>
      </c>
      <c r="DJ35" s="188" t="b">
        <v>0</v>
      </c>
      <c r="DK35" s="189" t="b">
        <v>0</v>
      </c>
      <c r="DL35" s="190" t="b">
        <v>0</v>
      </c>
      <c r="DM35" s="190" t="b">
        <v>0</v>
      </c>
      <c r="DN35" s="190" t="b">
        <v>0</v>
      </c>
      <c r="DO35" s="190" t="b">
        <v>0</v>
      </c>
      <c r="DP35" s="190" t="b">
        <v>0</v>
      </c>
      <c r="DQ35" s="191" t="b">
        <v>0</v>
      </c>
      <c r="DR35" s="192" t="b">
        <v>0</v>
      </c>
      <c r="DS35" s="191" t="b">
        <v>0</v>
      </c>
      <c r="DT35" s="192" t="b">
        <v>0</v>
      </c>
      <c r="DU35" s="191" t="b">
        <v>0</v>
      </c>
      <c r="DV35" s="193" t="s">
        <v>1070</v>
      </c>
      <c r="DW35" s="194" t="b">
        <v>0</v>
      </c>
      <c r="DX35" s="194" t="b">
        <v>0</v>
      </c>
      <c r="DY35" s="195" t="b">
        <v>0</v>
      </c>
      <c r="DZ35" s="196" t="b">
        <v>0</v>
      </c>
      <c r="EA35" s="195" t="b">
        <v>0</v>
      </c>
      <c r="EB35" s="197" t="b">
        <v>0</v>
      </c>
      <c r="EC35" s="197" t="b">
        <v>0</v>
      </c>
      <c r="ED35" s="212" t="b">
        <v>0</v>
      </c>
      <c r="EE35" s="199">
        <f>IFERROR(__xludf.DUMMYFUNCTION("IFERROR(
   PRODUCT(
     MAP(
       INDEX(TRANSPOSE(UNIQUE(TRANSPOSE(FILTER({IF($F35=""Physical"", K$10:ED$10, IF($F35=""Magic"", K$11:ED$11, K$12:ED$12));K$4:ED$4;K35:ED35}, K35:ED35=TRUE)))), 1, 0),
       INDEX(TRANSPOSE(UNIQUE(TRANSPOSE(FILTER({IF($"&amp;"F35=""Physical"", K$18:ED$18, IF($F35=""Magic"", K$19:ED$19, K$20:ED$20));K$4:ED$4;K35:ED35}, K35:ED35=TRUE)))), 1, 0),
       INDEX(TRANSPOSE(UNIQUE(TRANSPOSE(FILTER({K$5:ED$5;K$4:ED$4;K35:ED35}, K35:ED35=TRUE)))), 1, 0),
       INDEX(TRANSPOSE(UNIQUE(TR"&amp;"ANSPOSE(FILTER({K$17:ED$17;K$4:ED$4;K35:ED35}, K35:ED35=TRUE)))), 1, 0),
       LAMBDA(
         mitigation,
         enhance,
         assign,
         precondition,
         IF(
           REGEXMATCH(assign, ""RANGE_PARTY|SINGLE_ENEMY|RANGE_ENEMY""),
  "&amp;"         IF(
             OR(ARRAYFORMULA((IF(precondition="""", FALSE, REGEXMATCH(K$4:ED$4, precondition))) * (K35:ED35=TRUE))),
             IF(ISNUMBER(enhance), enhance, 1),
             IF(ISNUMBER(mitigation), mitigation, 1)
           ),
          "&amp;" 1
         )
       )
     )
   ),
   1
 )"),1.0)</f>
        <v>1</v>
      </c>
      <c r="EF35" s="200">
        <f>IFERROR(__xludf.DUMMYFUNCTION("PRODUCT(
   MAP(
     K$14:ED$14,
     K$13:ED$13,
     K35:ED35,
     LAMBDA(
       buff,
       target,
       check,
       IF(
         AND(check=TRUE, REGEXMATCH(target, ""RANGE_AFFECTED_ALL|RANGE_EFFECTED_ALL""), ISNUMBER(buff)),
         buff,
   "&amp;"      1
       )
     )
   )
 )"),1.0)</f>
        <v>1</v>
      </c>
      <c r="EG35" s="200">
        <f>IFERROR(__xludf.DUMMYFUNCTION("PRODUCT(
   MAP(
     K$14:ED$14,
     K$13:ED$13,
     K35:ED35,
     LAMBDA(
       buff,
       target,
       check,
       IF(
         AND(check=TRUE, REGEXMATCH(target, ""RANGE_AFFECTED_GCD|RANGE_EFFECTED_GCD""), ISNUMBER(buff)),
         buff,
   "&amp;"      1
       )
     )
   )
 )"),1.0)</f>
        <v>1</v>
      </c>
      <c r="EH35" s="200">
        <f>IFERROR(__xludf.DUMMYFUNCTION("PRODUCT(
   MAP(
     K$3:ED$3,
     K$14:ED$14,
     K$13:ED$13,
     K35:ED35,
     LAMBDA(
       job,
       buff,
       target,
       check,
       IF(
         AND(check=TRUE, REGEXMATCH(target, ""SELF_EFFECTED_ALL""), ISNUMBER(buff), job=""白魔道士"""&amp;"),
         buff,
         1
       )
     )
   )
 )"),1.0)</f>
        <v>1</v>
      </c>
      <c r="EI35" s="200">
        <f>IFERROR(__xludf.DUMMYFUNCTION("PRODUCT(
   MAP(
     K$3:ED$3,
     K$14:ED$14,
     K$13:ED$13,
     K35:ED35,
     LAMBDA(
       job,
       buff,
       target,
       check,
       IF(
         AND(check=TRUE, REGEXMATCH(target, ""SELF_EFFECTED_GCD""), ISNUMBER(buff), job=""白魔道士"""&amp;"),
         buff,
         1
       )
     )
   )
 )"),1.0)</f>
        <v>1</v>
      </c>
      <c r="EJ35" s="200">
        <f>IFERROR(__xludf.DUMMYFUNCTION("PRODUCT(
   MAP(
     K$3:ED$3,
     K$14:ED$14,
     K$13:ED$13,
     K35:ED35,
     LAMBDA(
       job,
       buff,
       target,
       check,
       IF(
         AND(check=TRUE, REGEXMATCH(target, ""SELF_EFFECTED_ALL""), ISNUMBER(buff), job=""占星術師"""&amp;"),
         buff,
         1
       )
     )
   )
 )"),1.0)</f>
        <v>1</v>
      </c>
      <c r="EK35" s="200">
        <f>IFERROR(__xludf.DUMMYFUNCTION("PRODUCT(
   MAP(
     K$3:ED$3,
     K$14:ED$14,
     K$13:ED$13,
     K35:ED35,
     LAMBDA(
       job,
       buff,
       target,
       check,
       IF(
         AND(check=TRUE, REGEXMATCH(target, ""SELF_EFFECTED_GCD""), ISNUMBER(buff), job=""占星術師"""&amp;"),
         buff,
         1
       )
     )
   )
 )"),1.0)</f>
        <v>1</v>
      </c>
      <c r="EL35" s="200">
        <f>IFERROR(__xludf.DUMMYFUNCTION("PRODUCT(
   MAP(
     K$3:ED$3,
     K$14:ED$14,
     K$13:ED$13,
     K35:ED35,
     LAMBDA(
       job,
       buff,
       target,
       check,
       IF(
         AND(check=TRUE, REGEXMATCH(target, ""SELF_EFFECTED_ALL""), ISNUMBER(buff), job=""学者""),"&amp;"
         buff,
         1
       )
     )
   )
 )"),1.0)</f>
        <v>1</v>
      </c>
      <c r="EM35" s="200">
        <f>IFERROR(__xludf.DUMMYFUNCTION("PRODUCT(
   MAP(
     K$3:ED$3,
     K$14:ED$14,
     K$13:ED$13,
     K35:ED35,
     LAMBDA(
       job,
       buff,
       target,
       check,
       IF(
         AND(check=TRUE, REGEXMATCH(target, ""SELF_EFFECTED_GCD""), ISNUMBER(buff), job=""学者""),"&amp;"
         buff,
         1
       )
     )
   )
 )"),1.0)</f>
        <v>1</v>
      </c>
      <c r="EN35" s="200">
        <f>IFERROR(__xludf.DUMMYFUNCTION("PRODUCT(
   MAP(
     K$3:ED$3,
     K$14:ED$14,
     K$13:ED$13,
     K35:ED35,
     LAMBDA(
       job,
       buff,
       target,
       check,
       IF(
         AND(check=TRUE, REGEXMATCH(target, ""SELF_EFFECTED_ALL""), ISNUMBER(buff), job=""賢者""),"&amp;"
         buff,
         1
       )
     )
   )
 )"),1.0)</f>
        <v>1</v>
      </c>
      <c r="EO35" s="200">
        <f>IFERROR(__xludf.DUMMYFUNCTION("PRODUCT(
   MAP(
     K$3:ED$3,
     K$14:ED$14,
     K$13:ED$13,
     K35:ED35,
     LAMBDA(
       job,
       buff,
       target,
       check,
       IF(
         AND(check=TRUE, REGEXMATCH(target, ""SELF_EFFECTED_GCD""), ISNUMBER(buff), job=""賢者""),"&amp;"
         buff,
         1
       )
     )
   )
 )"),1.0)</f>
        <v>1</v>
      </c>
      <c r="EP35" s="201">
        <f t="shared" si="3"/>
        <v>1100</v>
      </c>
      <c r="EQ35" s="201">
        <f>IFERROR(__xludf.DUMMYFUNCTION("SUM(
   MAP(
     K$4:ED$4,
     K$3:ED$3,
     K$7:ED$7,
     K$15:ED$15,
     K$16:ED$16,
     K$21:ED$21,
     K$5:ED$5,
     K$17:ED$17,
     K35:ED35,
     LAMBDA(
       name,
       job,
       abillity,
       buff,
       barrier,
       enhance,"&amp;"
       assign,
       precondition,
       check,
       SWITCH(
         name,
         ""シェイクオフ"", IF(check=TRUE, buff + (0.02 * COUNTIF(ARRAYFORMULA((REGEXMATCH($K$4:$ED$4, ""スリル・オブ・バトル|ヴェンジェンス|原初の血気|ダムネーション"")) * (K35:ED35=TRUE)), 1)), 0),
         "&amp;"""インプロビゼーションフィニッシュ(踊りの激情0)"", IF(ISNUMBER(check), INDEX(Skill!$AJ:$AJ, MATCH(SUBSTITUTE(DV$4, 0, check), Skill!$C:$C, 0)), 0),
         IF(
           AND(check=TRUE, REGEXMATCH(assign, ""RANGE_PARTY"")),
           IF(
             OR(ARRAYFORMULA((IF(pr"&amp;"econdition="""", FALSE, REGEXMATCH($K$4:$ED$4, precondition))) * (K35:ED35=TRUE))),
             enhance,
             IF(barrier="""", buff, barrier)
           ),
           0
         )
       ) *
       SWITCH(
         job,
         ""ナイト"", EY$24,
 "&amp;"        ""戦士"", FD$24,
         ""踊り子"", ET$24,
         ""ピクトマンサー"", ET$24,
         ""白魔道士"", EF35 * EH35 * IF(abillity, 1, EG35 * EI35) * (Option!$D$22 * 0.81 / 100),
         ""占星術師"", EF35 * EJ35 * IF(abillity, 1, EG35 * EK35) * (Option!$D$23 * 0.81 "&amp;"/ 100),
         ""学者"", EF35 * EL35 * IF(abillity, 1, EG35 * EM35) * (Option!$D$24 * 0.81 / 100),
         ""賢者"", EF35 * EN35 * IF(abillity, 1, EG35 * EO35) * (Option!$D$25 * 0.81 / 100),
         1
       )
     )
   )
 )"),0.0)</f>
        <v>0</v>
      </c>
      <c r="ER35" s="202">
        <f t="shared" si="4"/>
        <v>1100</v>
      </c>
      <c r="ES35" s="203">
        <f t="shared" si="5"/>
        <v>0</v>
      </c>
      <c r="ET35" s="231" t="str">
        <f>IFERROR(__xludf.DUMMYFUNCTION("IFS(
  EP35 &gt; $ET$24 + EQ35,
  SPARKLINE({ 1, 0 }, {""charttype"",""bar"";""max"", 1;""color1"",Option!$D$30;""color2"",Option!$D$30}),
  EP35 &lt; EQ35,
  SPARKLINE({EQ35 - EP35, $ET$24 - (EQ35 - EP35)}, {""charttype"",""bar"";""max"",$ET$24;""color1"",Opti"&amp;"on!$D$28;""color2"",Option!$D$29}),
  EP35 &gt;= EQ35,
  SPARKLINE({$ET$24 + EQ35 - EP35,EP35 - EQ35}, {""charttype"",""bar"";""max"",$ET$24;""color1"",Option!$D$29;""color2"",Option!$D$30})
)"),"")</f>
        <v/>
      </c>
      <c r="EU35" s="205">
        <f>IFERROR(__xludf.DUMMYFUNCTION("PRODUCT(
   MAP(
     IF($F35=""Physical"", K$10:ED$10, IF($F35=""Magic"", K$11:ED$11, K$12:ED$12)),
     IF($F35=""Physical"", K$18:ED$18, IF($F35=""Magic"", K$19:ED$19, K$20:ED$20)),
     K$3:ED$3,
     K$5:ED$5,
     K$17:ED$17,
     K35:ED35,
     LAM"&amp;"BDA(
       mitigation,
       enhance,
       job,
       assign,
       precondition,
       check,
       IF(
         OR(AND(check=TRUE, REGEXMATCH(assign, ""SELF""), job=""ナイト""), AND(check=Option!$E$13, REGEXMATCH(assign, ""SINGLE_PARTY""))),
      "&amp;"   IF(
           OR(ARRAYFORMULA((IF(precondition="""", FALSE, REGEXMATCH($K$4:$ED$4, precondition))) * (K35:ED35=TRUE))),
           enhance,
           mitigation
         ),
         1
       )
     )
   )
 ) * EE35"),1.0)</f>
        <v>1</v>
      </c>
      <c r="EV35" s="206">
        <f t="shared" si="6"/>
        <v>880</v>
      </c>
      <c r="EW35" s="205">
        <f>IFERROR(__xludf.DUMMYFUNCTION("PRODUCT(
   MAP(
     K$3:ED$3,
     K$14:ED$14,
     K$13:ED$13,
     K35:ED35,
     LAMBDA(
       job,
       buff,
       target,
       check,
       IF(
         OR(AND(check=TRUE, REGEXMATCH(target, ""SELF_AFFECTED_ALL""), job=""ナイト""), AND(check=O"&amp;"ption!$E$13, REGEXMATCH(target, ""SINGLE_AFFECTED_ALL""))),
         buff,
         1
       )
     )
   )
 )"),1.0)</f>
        <v>1</v>
      </c>
      <c r="EX35" s="206">
        <f>IFERROR(__xludf.DUMMYFUNCTION("SUM(
   MAP(
     K$3:ED$3,
     K$7:ED$7,
     K$15:ED$15,
     K$16:ED$16,
     K$21:ED$21,
     K$5:ED$5,
     K$17:ED$17,
     K35:ED35,
     LAMBDA(
       job,
       abillity,
       buff,
       barrier,
       enhance,
       assign,
       preco"&amp;"ndition,
       check,
       IF(
         OR(AND(check=TRUE, REGEXMATCH(assign, ""SELF""), job=""ナイト""), AND(check=Option!$E$13, REGEXMATCH(assign, ""SINGLE_PARTY""))),
         IF(
           OR(ARRAYFORMULA((IF(precondition="""", FALSE, REGEXMATCH($K$4"&amp;":$ED$4, precondition))) * (K35:ED35=TRUE))),
           enhance,
           IF(barrier="""", buff, barrier)
         ),
         0
       ) *
       SWITCH(
         job,
         ""暗黒騎士"", EY$24,
         ""白魔道士"", EF35 * EH35 * EW35 * IF(abillity, 1, EG"&amp;"35 * EI35) * (Option!$D$22 * 0.81 / 100),
         ""占星術師"", EF35 * EJ35 * EW35 * IF(abillity, 1, EG35 * EK35) * (Option!$D$23 * 0.81 / 100),
         ""学者"", EF35 * EL35 * EW35 * IF(abillity, 1, EG35 * EM35) * (Option!$D$24 * 0.81 / 100),
         ""賢者"""&amp;", EF35 * EN35 * EW35 * IF(abillity, 1, EG35 * EO35) * (Option!$D$25 * 0.81 / 100),
         1
       )
     )
   )
 ) + EQ35"),0.0)</f>
        <v>0</v>
      </c>
      <c r="EY35" s="232">
        <f t="shared" si="7"/>
        <v>880</v>
      </c>
      <c r="EZ35" s="205">
        <f>IFERROR(__xludf.DUMMYFUNCTION("PRODUCT(
   MAP(
     IF($F35=""Physical"", K$10:ED$10, IF($F35=""Magic"", K$11:ED$11, K$12:ED$12)),
     IF($F35=""Physical"", K$18:ED$18, IF($F35=""Magic"", K$19:ED$19, K$20:ED$20)),
     K$3:ED$3,
     K$5:ED$5,
     K$17:ED$17,
     K35:ED35,
     LAM"&amp;"BDA(
       mitigation,
       enhance,
       job,
       assign,
       precondition,
       check,
       IF(
         OR(AND(check=TRUE, REGEXMATCH(assign, ""SELF""), job=""戦士""), AND(check=Option!$F$13, REGEXMATCH(assign, ""SINGLE_PARTY""))),
       "&amp;"  IF(
           OR(ARRAYFORMULA((IF(precondition="""", FALSE, REGEXMATCH($K$4:$ED$4, precondition))) * (K35:ED35=TRUE))),
           enhance,
           mitigation
         ),
         1
       )
     )
   )
 ) * EE35"),1.0)</f>
        <v>1</v>
      </c>
      <c r="FA35" s="206">
        <f t="shared" si="8"/>
        <v>880</v>
      </c>
      <c r="FB35" s="205">
        <f>IFERROR(__xludf.DUMMYFUNCTION("PRODUCT(
   MAP(
     K$3:ED$3,
     K$14:ED$14,
     K$13:ED$13,
     K35:ED35,
     LAMBDA(
       job,
       buff,
       target,
       check,
       IF(
         OR(AND(check=TRUE, REGEXMATCH(target, ""SELF_AFFECTED_ALL""), job=""戦士""), AND(check=Op"&amp;"tion!$F$13, REGEXMATCH(target, ""SINGLE_AFFECTED_ALL""))),
         buff,
         1
       )
     )
   )
 )"),1.0)</f>
        <v>1</v>
      </c>
      <c r="FC35" s="206">
        <f>IFERROR(__xludf.DUMMYFUNCTION("SUM(
   MAP(
     K$3:ED$3,
     K$7:ED$7,
     K$15:ED$15,
     K$16:ED$16,
     K$21:ED$21,
     K$5:ED$5,
     K$17:ED$17,
     K35:ED35,
     LAMBDA(
       job,
       abillity,
       buff,
       barrier,
       enhance,
       assign,
       preco"&amp;"ndition,
       check,
       IF(
         OR(AND(check=TRUE, REGEXMATCH(assign, ""SELF""), job=""戦士""), AND(check=Option!$F$13, REGEXMATCH(assign, ""SINGLE_PARTY""))),
         IF(
           OR(ARRAYFORMULA((IF(precondition="""", FALSE, REGEXMATCH($K$4:"&amp;"$ED$4, precondition))) * (K35:ED35=TRUE))),
           enhance,
           IF(barrier="""", buff, barrier)
         ),
         0
       ) *
       SWITCH(
         job,
         ""暗黒騎士"", FD$24,
         ""白魔道士"", EF35 * EH35 * FB35 * IF(abillity, 1, EG3"&amp;"5 * EI35) * (Option!$D$22 * 0.81 / 100),
         ""占星術師"", EF35 * EJ35 * FFB35 * IF(abillity, 1, EG35 * EK35) * (Option!$D$23 * 0.81 / 100),
         ""学者"", EF35 * EL35 * FB35 * IF(abillity, 1, EG35 * EM35) * (Option!$D$24 * 0.81 / 100),
         ""賢者"""&amp;", EF35 * EN35 * FB35 * IF(abillity, 1, EG35 * EO35) * (Option!$D$25 * 0.81 / 100),
         1
       )
     )
   )
 ) + EQ35"),0.0)</f>
        <v>0</v>
      </c>
      <c r="FD35" s="206">
        <f t="shared" si="9"/>
        <v>880</v>
      </c>
      <c r="FE35" s="205">
        <f>IFERROR(__xludf.DUMMYFUNCTION("PRODUCT(
   MAP(
     IF($F35=""Physical"", K$10:ED$10, IF($F35=""Magic"", K$11:ED$11, K$12:ED$12)),
     IF($F35=""Physical"", K$18:ED$18, IF($F35=""Magic"", K$19:ED$19, K$20:ED$20)),
     K$3:ED$3,
     K$5:ED$5,
     K$17:ED$17,
     K35:ED35,
     LAM"&amp;"BDA(
       mitigation,
       enhance,
       job,
       assign,
       precondition,
       check,
       IF(
         OR(AND(check=TRUE, REGEXMATCH(assign, ""SELF""), job=""暗黒騎士""), AND(check=Option!$G$13, REGEXMATCH(assign, ""SINGLE_PARTY""))),
     "&amp;"    IF(
           OR(ARRAYFORMULA((IF(precondition="""", FALSE, REGEXMATCH($K$4:$ED$4, precondition))) * (K35:ED35=TRUE))),
           enhance,
           mitigation
         ),
         1
       )
     )
   )
 ) * EE35"),1.0)</f>
        <v>1</v>
      </c>
      <c r="FF35" s="206">
        <f t="shared" si="10"/>
        <v>880</v>
      </c>
      <c r="FG35" s="205">
        <f>IFERROR(__xludf.DUMMYFUNCTION("PRODUCT(
   MAP(
     K$3:ED$3,
     K$14:ED$14,
     K$13:ED$13,
     K35:ED35,
     LAMBDA(
       job,
       buff,
       target,
       check,
       IF(
         OR(AND(check=TRUE, REGEXMATCH(target, ""SELF_AFFECTED_ALL""), job=""暗黒騎士""), AND(check="&amp;"Option!$G$13, REGEXMATCH(target, ""SINGLE_AFFECTED_ALL""))),
         buff,
         1
       )
     )
   )
 )"),1.0)</f>
        <v>1</v>
      </c>
      <c r="FH35" s="206">
        <f>IFERROR(__xludf.DUMMYFUNCTION("SUM(
   MAP(
     K$3:ED$3,
     K$7:ED$7,
     K$15:ED$15,
     K$16:ED$16,
     K$21:ED$21,
     K$5:ED$5,
     K$17:ED$17,
     K35:ED35,
     LAMBDA(
       job,
       abillity,
       buff,
       barrier,
       enhance,
       assign,
       preco"&amp;"ndition,
       check,
       IF(
         OR(AND(check=TRUE, REGEXMATCH(assign, ""SELF""), job=""暗黒騎士""), AND(check=Option!$G$13, REGEXMATCH(assign, ""SINGLE_PARTY""))),
         IF(
           OR(ARRAYFORMULA((IF(precondition="""", FALSE, REGEXMATCH($K$"&amp;"4:$ED$4, precondition))) * (K35:ED35=TRUE))),
           enhance,
           IF(barrier="""", buff, barrier)
         ),
         0
       ) *
       SWITCH(
         job,
         ""暗黒騎士"", FI$24,
         ""白魔道士"", EF35 * EH35 * FG35 * IF(abillity, 1, E"&amp;"G35 * EI35) * (Option!$D$22 * 0.81 / 100),
         ""占星術師"", EF35 * EJ35 * FG35 * IF(abillity, 1, EG35 * EK35) * (Option!$D$23 * 0.81 / 100),
         ""学者"", EF35 * EL35 * FG35 * IF(abillity, 1, EG35 * EM35) * (Option!$D$24 * 0.81 / 100),
         ""賢者"&amp;""", EF35 * EN35 * FG35 * IF(abillity, 1, EG35 * EO35) * (Option!$D$25 * 0.81 / 100),
         1
       )
     )
   )
 ) + EQ35"),0.0)</f>
        <v>0</v>
      </c>
      <c r="FI35" s="206">
        <f t="shared" si="11"/>
        <v>880</v>
      </c>
      <c r="FJ35" s="205">
        <f>IFERROR(__xludf.DUMMYFUNCTION("PRODUCT(
   MAP(
     IF($F35=""Physical"", K$10:ED$10, IF($F35=""Magic"", K$11:ED$11, K$12:ED$12)),
     IF($F35=""Physical"", K$18:ED$18, IF($F35=""Magic"", K$19:ED$19, K$20:ED$20)),
     K$3:ED$3,
     K$5:ED$5,
     K$17:ED$17,
     K35:ED35,
     LAM"&amp;"BDA(
       mitigation,
       enhance,
       job,
       assign,
       precondition,
       check,
       IF(
         OR(AND(check=TRUE, REGEXMATCH(assign, ""SELF""), job=""ガンブレイカー""), AND(check=Option!$H$13, REGEXMATCH(assign, ""SINGLE_PARTY""))),
  "&amp;"       IF(
           OR(ARRAYFORMULA((IF(precondition="""", FALSE, REGEXMATCH($K$4:$ED$4, precondition))) * (K35:ED35=TRUE))),
           enhance,
           mitigation
         ),
         1
       )
     )
   )
 ) * EE35"),1.0)</f>
        <v>1</v>
      </c>
      <c r="FK35" s="206">
        <f t="shared" si="12"/>
        <v>880</v>
      </c>
      <c r="FL35" s="205">
        <f>IFERROR(__xludf.DUMMYFUNCTION("PRODUCT(
   MAP(
     K$3:ED$3,
     K$14:ED$14,
     K$13:ED$13,
     K35:ED35,
     LAMBDA(
       job,
       buff,
       target,
       check,
       IF(
         OR(AND(check=TRUE, REGEXMATCH(target, ""SELF_AFFECTED_ALL""), job=""ガンブレイカー""), AND(che"&amp;"ck=Option!$H$13, REGEXMATCH(target, ""SINGLE_AFFECTED_ALL""))),
         buff,
         1
       )
     )
   )
 )"),1.0)</f>
        <v>1</v>
      </c>
      <c r="FM35" s="206">
        <f>IFERROR(__xludf.DUMMYFUNCTION("SUM(
   MAP(
     K$3:ED$3,
     K$7:ED$7,
     K$15:ED$15,
     K$16:ED$16,
     K$21:ED$21,
     K$5:ED$5,
     K$17:ED$17,
     K35:ED35,
     LAMBDA(
       job,
       abillity,
       buff,
       barrier,
       enhance,
       assign,
       preco"&amp;"ndition,
       check,
       IF(
         OR(AND(check=TRUE, REGEXMATCH(assign, ""SELF""), job=""ガンブレイカー""), AND(check=Option!$H$13, REGEXMATCH(assign, ""SINGLE_PARTY""))),
         IF(
           OR(ARRAYFORMULA((IF(precondition="""", FALSE, REGEXMATCH("&amp;"$K$4:$ED$4, precondition))) * (K35:ED35=TRUE))),
           enhance,
           IF(barrier="""", buff, barrier)
         ),
         0
       ) *
       SWITCH(
         job,
         ""暗黒騎士"", FN$24,
         ""白魔道士"", EF35 * EH35 * FL35 * IF(abillity, 1"&amp;", EG35 * EI35) * (Option!$D$22 * 0.81 / 100),
         ""占星術師"", EF35 * EJ35 * FL35 * IF(abillity, 1, EG35 * EK35) * (Option!$D$23 * 0.81 / 100),
         ""学者"", EF35 * EL35 * FL35 * IF(abillity, 1, EG35 * EM35) * (Option!$D$24 * 0.81 / 100),
         """&amp;"賢者"", EF35 * EN35 * FL35 * IF(abillity, 1, EG35 * EO35) * (Option!$D$25 * 0.81 / 100),
         1
       )
     )
   )
 ) + EQ35"),0.0)</f>
        <v>0</v>
      </c>
      <c r="FN35" s="206">
        <f t="shared" si="13"/>
        <v>880</v>
      </c>
      <c r="FO35" s="213"/>
    </row>
    <row r="36">
      <c r="B36" s="229"/>
      <c r="C36" s="217">
        <f t="shared" si="1"/>
        <v>0.002708333333</v>
      </c>
      <c r="D36" s="233">
        <v>0.0010069444444444444</v>
      </c>
      <c r="E36" s="226" t="s">
        <v>1088</v>
      </c>
      <c r="F36" s="167" t="s">
        <v>11</v>
      </c>
      <c r="G36" s="168" t="str">
        <f t="shared" si="2"/>
        <v/>
      </c>
      <c r="H36" s="169">
        <v>17500.0</v>
      </c>
      <c r="I36" s="169"/>
      <c r="J36" s="169"/>
      <c r="K36" s="170" t="b">
        <v>0</v>
      </c>
      <c r="L36" s="170" t="b">
        <v>0</v>
      </c>
      <c r="M36" s="170" t="b">
        <v>0</v>
      </c>
      <c r="N36" s="171" t="s">
        <v>1070</v>
      </c>
      <c r="O36" s="172" t="b">
        <v>0</v>
      </c>
      <c r="P36" s="173" t="b">
        <v>0</v>
      </c>
      <c r="Q36" s="173" t="b">
        <v>0</v>
      </c>
      <c r="R36" s="173" t="b">
        <v>0</v>
      </c>
      <c r="S36" s="174" t="b">
        <v>0</v>
      </c>
      <c r="T36" s="175" t="b">
        <v>0</v>
      </c>
      <c r="U36" s="173" t="b">
        <v>0</v>
      </c>
      <c r="V36" s="171" t="s">
        <v>1070</v>
      </c>
      <c r="W36" s="172" t="b">
        <v>0</v>
      </c>
      <c r="X36" s="173" t="b">
        <v>0</v>
      </c>
      <c r="Y36" s="173" t="b">
        <v>0</v>
      </c>
      <c r="Z36" s="173" t="b">
        <v>0</v>
      </c>
      <c r="AA36" s="174" t="b">
        <v>0</v>
      </c>
      <c r="AB36" s="174" t="b">
        <v>0</v>
      </c>
      <c r="AC36" s="175" t="b">
        <v>0</v>
      </c>
      <c r="AD36" s="173" t="b">
        <v>0</v>
      </c>
      <c r="AE36" s="176" t="s">
        <v>1070</v>
      </c>
      <c r="AF36" s="171" t="s">
        <v>1070</v>
      </c>
      <c r="AG36" s="177">
        <f>IFERROR(__xludf.DUMMYFUNCTION("IF(
  ISNUMBER(AG35),
  MIN(MAX(
    AG35
    + MAX(
      ROUNDDOWN(($D36 - MAX(IFERROR(FILTER($D$24:$D35, AG$24:AG35 &lt;&gt; AF$6, AG$23:AG34 = AF$6), 0))) * (60 * 60 * 24) / AF$9) - ROUNDDOWN(($D35 - MAX(IFERROR(FILTER($D$23:$D34, AG$23:AG34 &lt;&gt; AF$6, AG$22:"&amp;"AG33 = AF$6), 0))) * (60 * 60 * 24) / 60),
      0
    )
    - COUNTIF(AF36, ""&lt;&gt;-""),
  0), AF$6),
  AF$6 - COUNTIF(AF36, ""&lt;&gt;-"")
)"),2.0)</f>
        <v>2</v>
      </c>
      <c r="AH36" s="173" t="b">
        <v>0</v>
      </c>
      <c r="AI36" s="173" t="b">
        <v>0</v>
      </c>
      <c r="AJ36" s="173" t="b">
        <v>0</v>
      </c>
      <c r="AK36" s="174" t="b">
        <v>0</v>
      </c>
      <c r="AL36" s="175" t="b">
        <v>0</v>
      </c>
      <c r="AM36" s="173" t="b">
        <v>0</v>
      </c>
      <c r="AN36" s="171" t="s">
        <v>1070</v>
      </c>
      <c r="AO36" s="173" t="b">
        <v>0</v>
      </c>
      <c r="AP36" s="173" t="b">
        <v>0</v>
      </c>
      <c r="AQ36" s="173" t="b">
        <v>0</v>
      </c>
      <c r="AR36" s="174" t="b">
        <v>0</v>
      </c>
      <c r="AS36" s="178" t="b">
        <v>0</v>
      </c>
      <c r="AT36" s="179" t="b">
        <v>0</v>
      </c>
      <c r="AU36" s="180" t="b">
        <v>0</v>
      </c>
      <c r="AV36" s="180" t="b">
        <v>0</v>
      </c>
      <c r="AW36" s="180" t="b">
        <v>0</v>
      </c>
      <c r="AX36" s="180" t="b">
        <v>0</v>
      </c>
      <c r="AY36" s="181" t="s">
        <v>1070</v>
      </c>
      <c r="AZ36" s="181" t="s">
        <v>1070</v>
      </c>
      <c r="BA36" s="184">
        <f>IFERROR(__xludf.DUMMYFUNCTION("IF(
  ISNUMBER(BA35),
  MIN(MAX(
    BA35
    + MAX(
      ROUNDDOWN((D36 - MAX(IFERROR(FILTER(D$24:D35, BA$24:BA35 &lt;&gt; AZ$6, BA$23:BA34 = AZ$6), 0))) * (60 * 60 * 24) / AZ$9) - ROUNDDOWN((D35 - MAX(IFERROR(FILTER(D$23:D34, BA$23:BA34 &lt;&gt; AZ$6, BA$22:BA33 ="&amp;" AZ$6), 0))) * (60 * 60 * 24) / AZ$9),
      0
    )
    - COUNTIF(AZ36, ""&lt;&gt;-""),
  0), AZ$6),
  AZ$6 - COUNTIF(AZ36, ""&lt;&gt;-"")
)"),2.0)</f>
        <v>2</v>
      </c>
      <c r="BB36" s="181" t="s">
        <v>1070</v>
      </c>
      <c r="BC36" s="183">
        <f>IFERROR(__xludf.DUMMYFUNCTION("IF(
  ISNUMBER(BC35),
  MIN(MAX(
    BC35
    + MAX(
      ROUNDDOWN(($D36 - MAX(IFERROR(FILTER($D$24:$D35, BC$24:BC35 &lt;&gt; BB$6, BC$23:BC34 = BB$6), 0))) * (60 * 60 * 24) / BB$9) - ROUNDDOWN(($D35 - MAX(IFERROR(FILTER($D$23:$D34, BC$23:BC34 &lt;&gt; BB$6, BC$22:"&amp;"BC33 = BB$6), 0))) * (60 * 60 * 24) / 60),
      0
    )
    - COUNTIF(BB36, ""&lt;&gt;-""),
  0), BB$6),
  BB$6 - COUNTIF(BB36, ""&lt;&gt;-"")
)"),2.0)</f>
        <v>2</v>
      </c>
      <c r="BD36" s="181" t="s">
        <v>1070</v>
      </c>
      <c r="BE36" s="178" t="b">
        <v>0</v>
      </c>
      <c r="BF36" s="180" t="b">
        <v>0</v>
      </c>
      <c r="BG36" s="180" t="b">
        <v>0</v>
      </c>
      <c r="BH36" s="180" t="b">
        <v>0</v>
      </c>
      <c r="BI36" s="180" t="b">
        <v>0</v>
      </c>
      <c r="BJ36" s="180" t="b">
        <v>0</v>
      </c>
      <c r="BK36" s="180" t="b">
        <v>0</v>
      </c>
      <c r="BL36" s="180" t="b">
        <v>0</v>
      </c>
      <c r="BM36" s="180" t="b">
        <v>0</v>
      </c>
      <c r="BN36" s="180" t="b">
        <v>0</v>
      </c>
      <c r="BO36" s="181" t="s">
        <v>1070</v>
      </c>
      <c r="BP36" s="181" t="s">
        <v>1070</v>
      </c>
      <c r="BQ36" s="181" t="s">
        <v>1070</v>
      </c>
      <c r="BR36" s="181" t="s">
        <v>1070</v>
      </c>
      <c r="BS36" s="181" t="s">
        <v>1070</v>
      </c>
      <c r="BT36" s="184">
        <f>IFERROR(__xludf.DUMMYFUNCTION("IF(
  ISNUMBER(BT35),
  MIN(MAX(
    BT35
    + MAX(
      ROUNDDOWN((D36 - MAX(IFERROR(FILTER(D$24:D35, BT$24:BT35 &lt;&gt; BS$6, BT$23:BT34 = BS$6), 0))) * (60 * 60 * 24) / BS$9) - ROUNDDOWN((D35 - MAX(IFERROR(FILTER(D$23:D34, BT$23:BT34 &lt;&gt; BS$6, BT$22:BT33 ="&amp;" BS$6), 0))) * (60 * 60 * 24) / BS$9),
      0
    )
    - COUNTIF(BS36, ""&lt;&gt;-""),
  0), BS$6),
  BS$6 - COUNTIF(BS36, ""&lt;&gt;-"")
)"),3.0)</f>
        <v>3</v>
      </c>
      <c r="BU36" s="181" t="s">
        <v>1070</v>
      </c>
      <c r="BV36" s="181" t="s">
        <v>1070</v>
      </c>
      <c r="BW36" s="184">
        <f>IFERROR(__xludf.DUMMYFUNCTION("IF(
  ISNUMBER(BW35),
  MIN(MAX(
    BW35
    + MAX(
      ROUNDDOWN((D36 - MAX(IFERROR(FILTER(D$24:D35, BW$24:BW35 &lt;&gt; BV$6, BW$23:BW34 = BV$6), 0))) * (60 * 60 * 24) / BV$9) - ROUNDDOWN((D35 - MAX(IFERROR(FILTER(D$23:D34, BW$23:BW34 &lt;&gt; BV$6, BW$22:BW33 ="&amp;" BV$6), 0))) * (60 * 60 * 24) / BV$9),
      0
    )
    - COUNTIF(BV36, ""&lt;&gt;-""),
  0), BV$6),
  BV$6 - COUNTIF(BV36, ""&lt;&gt;-"")
)"),2.0)</f>
        <v>2</v>
      </c>
      <c r="BX36" s="185" t="s">
        <v>1070</v>
      </c>
      <c r="BY36" s="178" t="b">
        <v>0</v>
      </c>
      <c r="BZ36" s="180" t="b">
        <v>0</v>
      </c>
      <c r="CA36" s="180" t="b">
        <v>0</v>
      </c>
      <c r="CB36" s="180" t="b">
        <v>0</v>
      </c>
      <c r="CC36" s="180" t="b">
        <v>0</v>
      </c>
      <c r="CD36" s="180" t="b">
        <v>0</v>
      </c>
      <c r="CE36" s="180" t="b">
        <v>0</v>
      </c>
      <c r="CF36" s="180" t="b">
        <v>0</v>
      </c>
      <c r="CG36" s="180" t="b">
        <v>0</v>
      </c>
      <c r="CH36" s="180" t="b">
        <v>0</v>
      </c>
      <c r="CI36" s="180" t="b">
        <v>0</v>
      </c>
      <c r="CJ36" s="180" t="b">
        <v>0</v>
      </c>
      <c r="CK36" s="180" t="b">
        <v>0</v>
      </c>
      <c r="CL36" s="180" t="b">
        <v>0</v>
      </c>
      <c r="CM36" s="181" t="s">
        <v>1070</v>
      </c>
      <c r="CN36" s="181" t="s">
        <v>1070</v>
      </c>
      <c r="CO36" s="181" t="s">
        <v>1070</v>
      </c>
      <c r="CP36" s="181" t="s">
        <v>1070</v>
      </c>
      <c r="CQ36" s="185" t="s">
        <v>1070</v>
      </c>
      <c r="CR36" s="180" t="b">
        <v>0</v>
      </c>
      <c r="CS36" s="186" t="str">
        <f t="shared" si="14"/>
        <v>◇◇◇</v>
      </c>
      <c r="CT36" s="178" t="b">
        <v>0</v>
      </c>
      <c r="CU36" s="180" t="b">
        <v>0</v>
      </c>
      <c r="CV36" s="180" t="b">
        <v>0</v>
      </c>
      <c r="CW36" s="180" t="b">
        <v>0</v>
      </c>
      <c r="CX36" s="180" t="b">
        <v>0</v>
      </c>
      <c r="CY36" s="180" t="b">
        <v>0</v>
      </c>
      <c r="CZ36" s="180" t="b">
        <v>0</v>
      </c>
      <c r="DA36" s="180" t="b">
        <v>0</v>
      </c>
      <c r="DB36" s="180" t="b">
        <v>0</v>
      </c>
      <c r="DC36" s="180" t="b">
        <v>0</v>
      </c>
      <c r="DD36" s="181" t="s">
        <v>1070</v>
      </c>
      <c r="DE36" s="181" t="s">
        <v>1070</v>
      </c>
      <c r="DF36" s="181" t="s">
        <v>1070</v>
      </c>
      <c r="DG36" s="185" t="s">
        <v>1070</v>
      </c>
      <c r="DH36" s="180" t="b">
        <v>0</v>
      </c>
      <c r="DI36" s="187" t="str">
        <f>IFERROR(__xludf.DUMMYFUNCTION("SWITCH(
  IF(
    ISTEXT(DI35),
    IF (
      FIND(""○"", DI35&amp;""○"") &gt; 3,
      3,
      FIND(""○"", DI35&amp;""○"")
      + MAX(
        ROUNDDOWN(($D36 - MAX(IFERROR(FILTER(D$24:D35, DI$24:DI35 &lt;&gt; ""●●●"", DI$23:DI34 = ""●●●""), 0))) * (60 * 60 * 24) / 20"&amp;") - ROUNDDOWN(($D35 - MAX(IFERROR(FILTER(D$23:D34, DI$23:DI34 &lt;&gt; ""●●●"", DI$22:DI33 = ""●●●""), 0))) * (60 * 60 * 24) / 20),
        0
      ) - 1
    ) - COUNTIFS(CU36, ""=TRUE"", CU35, ""&lt;&gt;TRUE"") - COUNTIF(CZ36, ""=TRUE"") - COUNTIF({DD36,DE36}, ""&lt;&gt;-"&amp;""") + COUNTIF(DH36, ""=TRUE""),
    3
  ),
  0, ""○○○"", 1, ""●○○"", 2, ""●●○"", 3, ""●●●"", 4, ""●●●"", ""○○○""
)"),"●●●")</f>
        <v>●●●</v>
      </c>
      <c r="DJ36" s="188" t="b">
        <v>0</v>
      </c>
      <c r="DK36" s="189" t="b">
        <v>0</v>
      </c>
      <c r="DL36" s="190" t="b">
        <v>0</v>
      </c>
      <c r="DM36" s="190" t="b">
        <v>0</v>
      </c>
      <c r="DN36" s="190" t="b">
        <v>0</v>
      </c>
      <c r="DO36" s="190" t="b">
        <v>0</v>
      </c>
      <c r="DP36" s="190" t="b">
        <v>0</v>
      </c>
      <c r="DQ36" s="191" t="b">
        <v>0</v>
      </c>
      <c r="DR36" s="192" t="b">
        <v>0</v>
      </c>
      <c r="DS36" s="191" t="b">
        <v>0</v>
      </c>
      <c r="DT36" s="192" t="b">
        <v>0</v>
      </c>
      <c r="DU36" s="191" t="b">
        <v>0</v>
      </c>
      <c r="DV36" s="193" t="s">
        <v>1070</v>
      </c>
      <c r="DW36" s="194" t="b">
        <v>0</v>
      </c>
      <c r="DX36" s="194" t="b">
        <v>0</v>
      </c>
      <c r="DY36" s="195" t="b">
        <v>0</v>
      </c>
      <c r="DZ36" s="196" t="b">
        <v>0</v>
      </c>
      <c r="EA36" s="195" t="b">
        <v>0</v>
      </c>
      <c r="EB36" s="197" t="b">
        <v>0</v>
      </c>
      <c r="EC36" s="197" t="b">
        <v>0</v>
      </c>
      <c r="ED36" s="212" t="b">
        <v>0</v>
      </c>
      <c r="EE36" s="199">
        <f>IFERROR(__xludf.DUMMYFUNCTION("IFERROR(
   PRODUCT(
     MAP(
       INDEX(TRANSPOSE(UNIQUE(TRANSPOSE(FILTER({IF($F36=""Physical"", K$10:ED$10, IF($F36=""Magic"", K$11:ED$11, K$12:ED$12));K$4:ED$4;K36:ED36}, K36:ED36=TRUE)))), 1, 0),
       INDEX(TRANSPOSE(UNIQUE(TRANSPOSE(FILTER({IF($"&amp;"F36=""Physical"", K$18:ED$18, IF($F36=""Magic"", K$19:ED$19, K$20:ED$20));K$4:ED$4;K36:ED36}, K36:ED36=TRUE)))), 1, 0),
       INDEX(TRANSPOSE(UNIQUE(TRANSPOSE(FILTER({K$5:ED$5;K$4:ED$4;K36:ED36}, K36:ED36=TRUE)))), 1, 0),
       INDEX(TRANSPOSE(UNIQUE(TR"&amp;"ANSPOSE(FILTER({K$17:ED$17;K$4:ED$4;K36:ED36}, K36:ED36=TRUE)))), 1, 0),
       LAMBDA(
         mitigation,
         enhance,
         assign,
         precondition,
         IF(
           REGEXMATCH(assign, ""RANGE_PARTY|SINGLE_ENEMY|RANGE_ENEMY""),
  "&amp;"         IF(
             OR(ARRAYFORMULA((IF(precondition="""", FALSE, REGEXMATCH(K$4:ED$4, precondition))) * (K36:ED36=TRUE))),
             IF(ISNUMBER(enhance), enhance, 1),
             IF(ISNUMBER(mitigation), mitigation, 1)
           ),
          "&amp;" 1
         )
       )
     )
   ),
   1
 )"),1.0)</f>
        <v>1</v>
      </c>
      <c r="EF36" s="200">
        <f>IFERROR(__xludf.DUMMYFUNCTION("PRODUCT(
   MAP(
     K$14:ED$14,
     K$13:ED$13,
     K36:ED36,
     LAMBDA(
       buff,
       target,
       check,
       IF(
         AND(check=TRUE, REGEXMATCH(target, ""RANGE_AFFECTED_ALL|RANGE_EFFECTED_ALL""), ISNUMBER(buff)),
         buff,
   "&amp;"      1
       )
     )
   )
 )"),1.0)</f>
        <v>1</v>
      </c>
      <c r="EG36" s="200">
        <f>IFERROR(__xludf.DUMMYFUNCTION("PRODUCT(
   MAP(
     K$14:ED$14,
     K$13:ED$13,
     K36:ED36,
     LAMBDA(
       buff,
       target,
       check,
       IF(
         AND(check=TRUE, REGEXMATCH(target, ""RANGE_AFFECTED_GCD|RANGE_EFFECTED_GCD""), ISNUMBER(buff)),
         buff,
   "&amp;"      1
       )
     )
   )
 )"),1.0)</f>
        <v>1</v>
      </c>
      <c r="EH36" s="200">
        <f>IFERROR(__xludf.DUMMYFUNCTION("PRODUCT(
   MAP(
     K$3:ED$3,
     K$14:ED$14,
     K$13:ED$13,
     K36:ED36,
     LAMBDA(
       job,
       buff,
       target,
       check,
       IF(
         AND(check=TRUE, REGEXMATCH(target, ""SELF_EFFECTED_ALL""), ISNUMBER(buff), job=""白魔道士"""&amp;"),
         buff,
         1
       )
     )
   )
 )"),1.0)</f>
        <v>1</v>
      </c>
      <c r="EI36" s="200">
        <f>IFERROR(__xludf.DUMMYFUNCTION("PRODUCT(
   MAP(
     K$3:ED$3,
     K$14:ED$14,
     K$13:ED$13,
     K36:ED36,
     LAMBDA(
       job,
       buff,
       target,
       check,
       IF(
         AND(check=TRUE, REGEXMATCH(target, ""SELF_EFFECTED_GCD""), ISNUMBER(buff), job=""白魔道士"""&amp;"),
         buff,
         1
       )
     )
   )
 )"),1.0)</f>
        <v>1</v>
      </c>
      <c r="EJ36" s="200">
        <f>IFERROR(__xludf.DUMMYFUNCTION("PRODUCT(
   MAP(
     K$3:ED$3,
     K$14:ED$14,
     K$13:ED$13,
     K36:ED36,
     LAMBDA(
       job,
       buff,
       target,
       check,
       IF(
         AND(check=TRUE, REGEXMATCH(target, ""SELF_EFFECTED_ALL""), ISNUMBER(buff), job=""占星術師"""&amp;"),
         buff,
         1
       )
     )
   )
 )"),1.0)</f>
        <v>1</v>
      </c>
      <c r="EK36" s="200">
        <f>IFERROR(__xludf.DUMMYFUNCTION("PRODUCT(
   MAP(
     K$3:ED$3,
     K$14:ED$14,
     K$13:ED$13,
     K36:ED36,
     LAMBDA(
       job,
       buff,
       target,
       check,
       IF(
         AND(check=TRUE, REGEXMATCH(target, ""SELF_EFFECTED_GCD""), ISNUMBER(buff), job=""占星術師"""&amp;"),
         buff,
         1
       )
     )
   )
 )"),1.0)</f>
        <v>1</v>
      </c>
      <c r="EL36" s="200">
        <f>IFERROR(__xludf.DUMMYFUNCTION("PRODUCT(
   MAP(
     K$3:ED$3,
     K$14:ED$14,
     K$13:ED$13,
     K36:ED36,
     LAMBDA(
       job,
       buff,
       target,
       check,
       IF(
         AND(check=TRUE, REGEXMATCH(target, ""SELF_EFFECTED_ALL""), ISNUMBER(buff), job=""学者""),"&amp;"
         buff,
         1
       )
     )
   )
 )"),1.0)</f>
        <v>1</v>
      </c>
      <c r="EM36" s="200">
        <f>IFERROR(__xludf.DUMMYFUNCTION("PRODUCT(
   MAP(
     K$3:ED$3,
     K$14:ED$14,
     K$13:ED$13,
     K36:ED36,
     LAMBDA(
       job,
       buff,
       target,
       check,
       IF(
         AND(check=TRUE, REGEXMATCH(target, ""SELF_EFFECTED_GCD""), ISNUMBER(buff), job=""学者""),"&amp;"
         buff,
         1
       )
     )
   )
 )"),1.0)</f>
        <v>1</v>
      </c>
      <c r="EN36" s="200">
        <f>IFERROR(__xludf.DUMMYFUNCTION("PRODUCT(
   MAP(
     K$3:ED$3,
     K$14:ED$14,
     K$13:ED$13,
     K36:ED36,
     LAMBDA(
       job,
       buff,
       target,
       check,
       IF(
         AND(check=TRUE, REGEXMATCH(target, ""SELF_EFFECTED_ALL""), ISNUMBER(buff), job=""賢者""),"&amp;"
         buff,
         1
       )
     )
   )
 )"),1.0)</f>
        <v>1</v>
      </c>
      <c r="EO36" s="200">
        <f>IFERROR(__xludf.DUMMYFUNCTION("PRODUCT(
   MAP(
     K$3:ED$3,
     K$14:ED$14,
     K$13:ED$13,
     K36:ED36,
     LAMBDA(
       job,
       buff,
       target,
       check,
       IF(
         AND(check=TRUE, REGEXMATCH(target, ""SELF_EFFECTED_GCD""), ISNUMBER(buff), job=""賢者""),"&amp;"
         buff,
         1
       )
     )
   )
 )"),1.0)</f>
        <v>1</v>
      </c>
      <c r="EP36" s="201">
        <f t="shared" si="3"/>
        <v>17500</v>
      </c>
      <c r="EQ36" s="201">
        <f>IFERROR(__xludf.DUMMYFUNCTION("SUM(
   MAP(
     K$4:ED$4,
     K$3:ED$3,
     K$7:ED$7,
     K$15:ED$15,
     K$16:ED$16,
     K$21:ED$21,
     K$5:ED$5,
     K$17:ED$17,
     K36:ED36,
     LAMBDA(
       name,
       job,
       abillity,
       buff,
       barrier,
       enhance,"&amp;"
       assign,
       precondition,
       check,
       SWITCH(
         name,
         ""シェイクオフ"", IF(check=TRUE, buff + (0.02 * COUNTIF(ARRAYFORMULA((REGEXMATCH($K$4:$ED$4, ""スリル・オブ・バトル|ヴェンジェンス|原初の血気|ダムネーション"")) * (K36:ED36=TRUE)), 1)), 0),
         "&amp;"""インプロビゼーションフィニッシュ(踊りの激情0)"", IF(ISNUMBER(check), INDEX(Skill!$AJ:$AJ, MATCH(SUBSTITUTE(DV$4, 0, check), Skill!$C:$C, 0)), 0),
         IF(
           AND(check=TRUE, REGEXMATCH(assign, ""RANGE_PARTY"")),
           IF(
             OR(ARRAYFORMULA((IF(pr"&amp;"econdition="""", FALSE, REGEXMATCH($K$4:$ED$4, precondition))) * (K36:ED36=TRUE))),
             enhance,
             IF(barrier="""", buff, barrier)
           ),
           0
         )
       ) *
       SWITCH(
         job,
         ""ナイト"", EY$24,
 "&amp;"        ""戦士"", FD$24,
         ""踊り子"", ET$24,
         ""ピクトマンサー"", ET$24,
         ""白魔道士"", EF36 * EH36 * IF(abillity, 1, EG36 * EI36) * (Option!$D$22 * 0.81 / 100),
         ""占星術師"", EF36 * EJ36 * IF(abillity, 1, EG36 * EK36) * (Option!$D$23 * 0.81 "&amp;"/ 100),
         ""学者"", EF36 * EL36 * IF(abillity, 1, EG36 * EM36) * (Option!$D$24 * 0.81 / 100),
         ""賢者"", EF36 * EN36 * IF(abillity, 1, EG36 * EO36) * (Option!$D$25 * 0.81 / 100),
         1
       )
     )
   )
 )"),0.0)</f>
        <v>0</v>
      </c>
      <c r="ER36" s="202">
        <f t="shared" si="4"/>
        <v>17500</v>
      </c>
      <c r="ES36" s="203">
        <f t="shared" si="5"/>
        <v>0</v>
      </c>
      <c r="ET36" s="231" t="str">
        <f>IFERROR(__xludf.DUMMYFUNCTION("IFS(
  EP36 &gt; $ET$24 + EQ36,
  SPARKLINE({ 1, 0 }, {""charttype"",""bar"";""max"", 1;""color1"",Option!$D$30;""color2"",Option!$D$30}),
  EP36 &lt; EQ36,
  SPARKLINE({EQ36 - EP36, $ET$24 - (EQ36 - EP36)}, {""charttype"",""bar"";""max"",$ET$24;""color1"",Opti"&amp;"on!$D$28;""color2"",Option!$D$29}),
  EP36 &gt;= EQ36,
  SPARKLINE({$ET$24 + EQ36 - EP36,EP36 - EQ36}, {""charttype"",""bar"";""max"",$ET$24;""color1"",Option!$D$29;""color2"",Option!$D$30})
)"),"")</f>
        <v/>
      </c>
      <c r="EU36" s="205">
        <f>IFERROR(__xludf.DUMMYFUNCTION("PRODUCT(
   MAP(
     IF($F36=""Physical"", K$10:ED$10, IF($F36=""Magic"", K$11:ED$11, K$12:ED$12)),
     IF($F36=""Physical"", K$18:ED$18, IF($F36=""Magic"", K$19:ED$19, K$20:ED$20)),
     K$3:ED$3,
     K$5:ED$5,
     K$17:ED$17,
     K36:ED36,
     LAM"&amp;"BDA(
       mitigation,
       enhance,
       job,
       assign,
       precondition,
       check,
       IF(
         OR(AND(check=TRUE, REGEXMATCH(assign, ""SELF""), job=""ナイト""), AND(check=Option!$E$13, REGEXMATCH(assign, ""SINGLE_PARTY""))),
      "&amp;"   IF(
           OR(ARRAYFORMULA((IF(precondition="""", FALSE, REGEXMATCH($K$4:$ED$4, precondition))) * (K36:ED36=TRUE))),
           enhance,
           mitigation
         ),
         1
       )
     )
   )
 ) * EE36"),1.0)</f>
        <v>1</v>
      </c>
      <c r="EV36" s="206">
        <f t="shared" si="6"/>
        <v>14000</v>
      </c>
      <c r="EW36" s="205">
        <f>IFERROR(__xludf.DUMMYFUNCTION("PRODUCT(
   MAP(
     K$3:ED$3,
     K$14:ED$14,
     K$13:ED$13,
     K36:ED36,
     LAMBDA(
       job,
       buff,
       target,
       check,
       IF(
         OR(AND(check=TRUE, REGEXMATCH(target, ""SELF_AFFECTED_ALL""), job=""ナイト""), AND(check=O"&amp;"ption!$E$13, REGEXMATCH(target, ""SINGLE_AFFECTED_ALL""))),
         buff,
         1
       )
     )
   )
 )"),1.0)</f>
        <v>1</v>
      </c>
      <c r="EX36" s="206">
        <f>IFERROR(__xludf.DUMMYFUNCTION("SUM(
   MAP(
     K$3:ED$3,
     K$7:ED$7,
     K$15:ED$15,
     K$16:ED$16,
     K$21:ED$21,
     K$5:ED$5,
     K$17:ED$17,
     K36:ED36,
     LAMBDA(
       job,
       abillity,
       buff,
       barrier,
       enhance,
       assign,
       preco"&amp;"ndition,
       check,
       IF(
         OR(AND(check=TRUE, REGEXMATCH(assign, ""SELF""), job=""ナイト""), AND(check=Option!$E$13, REGEXMATCH(assign, ""SINGLE_PARTY""))),
         IF(
           OR(ARRAYFORMULA((IF(precondition="""", FALSE, REGEXMATCH($K$4"&amp;":$ED$4, precondition))) * (K36:ED36=TRUE))),
           enhance,
           IF(barrier="""", buff, barrier)
         ),
         0
       ) *
       SWITCH(
         job,
         ""暗黒騎士"", EY$24,
         ""白魔道士"", EF36 * EH36 * EW36 * IF(abillity, 1, EG"&amp;"36 * EI36) * (Option!$D$22 * 0.81 / 100),
         ""占星術師"", EF36 * EJ36 * EW36 * IF(abillity, 1, EG36 * EK36) * (Option!$D$23 * 0.81 / 100),
         ""学者"", EF36 * EL36 * EW36 * IF(abillity, 1, EG36 * EM36) * (Option!$D$24 * 0.81 / 100),
         ""賢者"""&amp;", EF36 * EN36 * EW36 * IF(abillity, 1, EG36 * EO36) * (Option!$D$25 * 0.81 / 100),
         1
       )
     )
   )
 ) + EQ36"),0.0)</f>
        <v>0</v>
      </c>
      <c r="EY36" s="232">
        <f t="shared" si="7"/>
        <v>14000</v>
      </c>
      <c r="EZ36" s="205">
        <f>IFERROR(__xludf.DUMMYFUNCTION("PRODUCT(
   MAP(
     IF($F36=""Physical"", K$10:ED$10, IF($F36=""Magic"", K$11:ED$11, K$12:ED$12)),
     IF($F36=""Physical"", K$18:ED$18, IF($F36=""Magic"", K$19:ED$19, K$20:ED$20)),
     K$3:ED$3,
     K$5:ED$5,
     K$17:ED$17,
     K36:ED36,
     LAM"&amp;"BDA(
       mitigation,
       enhance,
       job,
       assign,
       precondition,
       check,
       IF(
         OR(AND(check=TRUE, REGEXMATCH(assign, ""SELF""), job=""戦士""), AND(check=Option!$F$13, REGEXMATCH(assign, ""SINGLE_PARTY""))),
       "&amp;"  IF(
           OR(ARRAYFORMULA((IF(precondition="""", FALSE, REGEXMATCH($K$4:$ED$4, precondition))) * (K36:ED36=TRUE))),
           enhance,
           mitigation
         ),
         1
       )
     )
   )
 ) * EE36"),1.0)</f>
        <v>1</v>
      </c>
      <c r="FA36" s="206">
        <f t="shared" si="8"/>
        <v>14000</v>
      </c>
      <c r="FB36" s="205">
        <f>IFERROR(__xludf.DUMMYFUNCTION("PRODUCT(
   MAP(
     K$3:ED$3,
     K$14:ED$14,
     K$13:ED$13,
     K36:ED36,
     LAMBDA(
       job,
       buff,
       target,
       check,
       IF(
         OR(AND(check=TRUE, REGEXMATCH(target, ""SELF_AFFECTED_ALL""), job=""戦士""), AND(check=Op"&amp;"tion!$F$13, REGEXMATCH(target, ""SINGLE_AFFECTED_ALL""))),
         buff,
         1
       )
     )
   )
 )"),1.0)</f>
        <v>1</v>
      </c>
      <c r="FC36" s="206">
        <f>IFERROR(__xludf.DUMMYFUNCTION("SUM(
   MAP(
     K$3:ED$3,
     K$7:ED$7,
     K$15:ED$15,
     K$16:ED$16,
     K$21:ED$21,
     K$5:ED$5,
     K$17:ED$17,
     K36:ED36,
     LAMBDA(
       job,
       abillity,
       buff,
       barrier,
       enhance,
       assign,
       preco"&amp;"ndition,
       check,
       IF(
         OR(AND(check=TRUE, REGEXMATCH(assign, ""SELF""), job=""戦士""), AND(check=Option!$F$13, REGEXMATCH(assign, ""SINGLE_PARTY""))),
         IF(
           OR(ARRAYFORMULA((IF(precondition="""", FALSE, REGEXMATCH($K$4:"&amp;"$ED$4, precondition))) * (K36:ED36=TRUE))),
           enhance,
           IF(barrier="""", buff, barrier)
         ),
         0
       ) *
       SWITCH(
         job,
         ""暗黒騎士"", FD$24,
         ""白魔道士"", EF36 * EH36 * FB36 * IF(abillity, 1, EG3"&amp;"6 * EI36) * (Option!$D$22 * 0.81 / 100),
         ""占星術師"", EF36 * EJ36 * FFB36 * IF(abillity, 1, EG36 * EK36) * (Option!$D$23 * 0.81 / 100),
         ""学者"", EF36 * EL36 * FB36 * IF(abillity, 1, EG36 * EM36) * (Option!$D$24 * 0.81 / 100),
         ""賢者"""&amp;", EF36 * EN36 * FB36 * IF(abillity, 1, EG36 * EO36) * (Option!$D$25 * 0.81 / 100),
         1
       )
     )
   )
 ) + EQ36"),0.0)</f>
        <v>0</v>
      </c>
      <c r="FD36" s="206">
        <f t="shared" si="9"/>
        <v>14000</v>
      </c>
      <c r="FE36" s="205">
        <f>IFERROR(__xludf.DUMMYFUNCTION("PRODUCT(
   MAP(
     IF($F36=""Physical"", K$10:ED$10, IF($F36=""Magic"", K$11:ED$11, K$12:ED$12)),
     IF($F36=""Physical"", K$18:ED$18, IF($F36=""Magic"", K$19:ED$19, K$20:ED$20)),
     K$3:ED$3,
     K$5:ED$5,
     K$17:ED$17,
     K36:ED36,
     LAM"&amp;"BDA(
       mitigation,
       enhance,
       job,
       assign,
       precondition,
       check,
       IF(
         OR(AND(check=TRUE, REGEXMATCH(assign, ""SELF""), job=""暗黒騎士""), AND(check=Option!$G$13, REGEXMATCH(assign, ""SINGLE_PARTY""))),
     "&amp;"    IF(
           OR(ARRAYFORMULA((IF(precondition="""", FALSE, REGEXMATCH($K$4:$ED$4, precondition))) * (K36:ED36=TRUE))),
           enhance,
           mitigation
         ),
         1
       )
     )
   )
 ) * EE36"),1.0)</f>
        <v>1</v>
      </c>
      <c r="FF36" s="206">
        <f t="shared" si="10"/>
        <v>14000</v>
      </c>
      <c r="FG36" s="205">
        <f>IFERROR(__xludf.DUMMYFUNCTION("PRODUCT(
   MAP(
     K$3:ED$3,
     K$14:ED$14,
     K$13:ED$13,
     K36:ED36,
     LAMBDA(
       job,
       buff,
       target,
       check,
       IF(
         OR(AND(check=TRUE, REGEXMATCH(target, ""SELF_AFFECTED_ALL""), job=""暗黒騎士""), AND(check="&amp;"Option!$G$13, REGEXMATCH(target, ""SINGLE_AFFECTED_ALL""))),
         buff,
         1
       )
     )
   )
 )"),1.0)</f>
        <v>1</v>
      </c>
      <c r="FH36" s="206">
        <f>IFERROR(__xludf.DUMMYFUNCTION("SUM(
   MAP(
     K$3:ED$3,
     K$7:ED$7,
     K$15:ED$15,
     K$16:ED$16,
     K$21:ED$21,
     K$5:ED$5,
     K$17:ED$17,
     K36:ED36,
     LAMBDA(
       job,
       abillity,
       buff,
       barrier,
       enhance,
       assign,
       preco"&amp;"ndition,
       check,
       IF(
         OR(AND(check=TRUE, REGEXMATCH(assign, ""SELF""), job=""暗黒騎士""), AND(check=Option!$G$13, REGEXMATCH(assign, ""SINGLE_PARTY""))),
         IF(
           OR(ARRAYFORMULA((IF(precondition="""", FALSE, REGEXMATCH($K$"&amp;"4:$ED$4, precondition))) * (K36:ED36=TRUE))),
           enhance,
           IF(barrier="""", buff, barrier)
         ),
         0
       ) *
       SWITCH(
         job,
         ""暗黒騎士"", FI$24,
         ""白魔道士"", EF36 * EH36 * FG36 * IF(abillity, 1, E"&amp;"G36 * EI36) * (Option!$D$22 * 0.81 / 100),
         ""占星術師"", EF36 * EJ36 * FG36 * IF(abillity, 1, EG36 * EK36) * (Option!$D$23 * 0.81 / 100),
         ""学者"", EF36 * EL36 * FG36 * IF(abillity, 1, EG36 * EM36) * (Option!$D$24 * 0.81 / 100),
         ""賢者"&amp;""", EF36 * EN36 * FG36 * IF(abillity, 1, EG36 * EO36) * (Option!$D$25 * 0.81 / 100),
         1
       )
     )
   )
 ) + EQ36"),0.0)</f>
        <v>0</v>
      </c>
      <c r="FI36" s="206">
        <f t="shared" si="11"/>
        <v>14000</v>
      </c>
      <c r="FJ36" s="205">
        <f>IFERROR(__xludf.DUMMYFUNCTION("PRODUCT(
   MAP(
     IF($F36=""Physical"", K$10:ED$10, IF($F36=""Magic"", K$11:ED$11, K$12:ED$12)),
     IF($F36=""Physical"", K$18:ED$18, IF($F36=""Magic"", K$19:ED$19, K$20:ED$20)),
     K$3:ED$3,
     K$5:ED$5,
     K$17:ED$17,
     K36:ED36,
     LAM"&amp;"BDA(
       mitigation,
       enhance,
       job,
       assign,
       precondition,
       check,
       IF(
         OR(AND(check=TRUE, REGEXMATCH(assign, ""SELF""), job=""ガンブレイカー""), AND(check=Option!$H$13, REGEXMATCH(assign, ""SINGLE_PARTY""))),
  "&amp;"       IF(
           OR(ARRAYFORMULA((IF(precondition="""", FALSE, REGEXMATCH($K$4:$ED$4, precondition))) * (K36:ED36=TRUE))),
           enhance,
           mitigation
         ),
         1
       )
     )
   )
 ) * EE36"),1.0)</f>
        <v>1</v>
      </c>
      <c r="FK36" s="206">
        <f t="shared" si="12"/>
        <v>14000</v>
      </c>
      <c r="FL36" s="205">
        <f>IFERROR(__xludf.DUMMYFUNCTION("PRODUCT(
   MAP(
     K$3:ED$3,
     K$14:ED$14,
     K$13:ED$13,
     K36:ED36,
     LAMBDA(
       job,
       buff,
       target,
       check,
       IF(
         OR(AND(check=TRUE, REGEXMATCH(target, ""SELF_AFFECTED_ALL""), job=""ガンブレイカー""), AND(che"&amp;"ck=Option!$H$13, REGEXMATCH(target, ""SINGLE_AFFECTED_ALL""))),
         buff,
         1
       )
     )
   )
 )"),1.0)</f>
        <v>1</v>
      </c>
      <c r="FM36" s="206">
        <f>IFERROR(__xludf.DUMMYFUNCTION("SUM(
   MAP(
     K$3:ED$3,
     K$7:ED$7,
     K$15:ED$15,
     K$16:ED$16,
     K$21:ED$21,
     K$5:ED$5,
     K$17:ED$17,
     K36:ED36,
     LAMBDA(
       job,
       abillity,
       buff,
       barrier,
       enhance,
       assign,
       preco"&amp;"ndition,
       check,
       IF(
         OR(AND(check=TRUE, REGEXMATCH(assign, ""SELF""), job=""ガンブレイカー""), AND(check=Option!$H$13, REGEXMATCH(assign, ""SINGLE_PARTY""))),
         IF(
           OR(ARRAYFORMULA((IF(precondition="""", FALSE, REGEXMATCH("&amp;"$K$4:$ED$4, precondition))) * (K36:ED36=TRUE))),
           enhance,
           IF(barrier="""", buff, barrier)
         ),
         0
       ) *
       SWITCH(
         job,
         ""暗黒騎士"", FN$24,
         ""白魔道士"", EF36 * EH36 * FL36 * IF(abillity, 1"&amp;", EG36 * EI36) * (Option!$D$22 * 0.81 / 100),
         ""占星術師"", EF36 * EJ36 * FL36 * IF(abillity, 1, EG36 * EK36) * (Option!$D$23 * 0.81 / 100),
         ""学者"", EF36 * EL36 * FL36 * IF(abillity, 1, EG36 * EM36) * (Option!$D$24 * 0.81 / 100),
         """&amp;"賢者"", EF36 * EN36 * FL36 * IF(abillity, 1, EG36 * EO36) * (Option!$D$25 * 0.81 / 100),
         1
       )
     )
   )
 ) + EQ36"),0.0)</f>
        <v>0</v>
      </c>
      <c r="FN36" s="206">
        <f t="shared" si="13"/>
        <v>14000</v>
      </c>
      <c r="FO36" s="213"/>
    </row>
    <row r="37">
      <c r="B37" s="229"/>
      <c r="C37" s="217">
        <f t="shared" si="1"/>
        <v>0.002847222222</v>
      </c>
      <c r="D37" s="234">
        <v>0.0011458333333333333</v>
      </c>
      <c r="E37" s="235" t="s">
        <v>1091</v>
      </c>
      <c r="F37" s="167" t="s">
        <v>11</v>
      </c>
      <c r="G37" s="168" t="str">
        <f t="shared" si="2"/>
        <v/>
      </c>
      <c r="H37" s="169"/>
      <c r="I37" s="169"/>
      <c r="J37" s="169"/>
      <c r="K37" s="170" t="b">
        <v>0</v>
      </c>
      <c r="L37" s="170" t="b">
        <v>0</v>
      </c>
      <c r="M37" s="170" t="b">
        <v>0</v>
      </c>
      <c r="N37" s="171" t="s">
        <v>1070</v>
      </c>
      <c r="O37" s="172" t="b">
        <v>0</v>
      </c>
      <c r="P37" s="173" t="b">
        <v>0</v>
      </c>
      <c r="Q37" s="173" t="b">
        <v>0</v>
      </c>
      <c r="R37" s="173" t="b">
        <v>0</v>
      </c>
      <c r="S37" s="174" t="b">
        <v>0</v>
      </c>
      <c r="T37" s="175" t="b">
        <v>0</v>
      </c>
      <c r="U37" s="173" t="b">
        <v>0</v>
      </c>
      <c r="V37" s="171" t="s">
        <v>1070</v>
      </c>
      <c r="W37" s="172" t="b">
        <v>0</v>
      </c>
      <c r="X37" s="173" t="b">
        <v>0</v>
      </c>
      <c r="Y37" s="173" t="b">
        <v>0</v>
      </c>
      <c r="Z37" s="173" t="b">
        <v>0</v>
      </c>
      <c r="AA37" s="174" t="b">
        <v>0</v>
      </c>
      <c r="AB37" s="174" t="b">
        <v>0</v>
      </c>
      <c r="AC37" s="175" t="b">
        <v>0</v>
      </c>
      <c r="AD37" s="173" t="b">
        <v>0</v>
      </c>
      <c r="AE37" s="176" t="s">
        <v>1070</v>
      </c>
      <c r="AF37" s="171" t="s">
        <v>1070</v>
      </c>
      <c r="AG37" s="177">
        <f>IFERROR(__xludf.DUMMYFUNCTION("IF(
  ISNUMBER(AG36),
  MIN(MAX(
    AG36
    + MAX(
      ROUNDDOWN(($D37 - MAX(IFERROR(FILTER($D$24:$D36, AG$24:AG36 &lt;&gt; AF$6, AG$23:AG35 = AF$6), 0))) * (60 * 60 * 24) / AF$9) - ROUNDDOWN(($D36 - MAX(IFERROR(FILTER($D$23:$D35, AG$23:AG35 &lt;&gt; AF$6, AG$22:"&amp;"AG34 = AF$6), 0))) * (60 * 60 * 24) / 60),
      0
    )
    - COUNTIF(AF37, ""&lt;&gt;-""),
  0), AF$6),
  AF$6 - COUNTIF(AF37, ""&lt;&gt;-"")
)"),2.0)</f>
        <v>2</v>
      </c>
      <c r="AH37" s="173" t="b">
        <v>0</v>
      </c>
      <c r="AI37" s="173" t="b">
        <v>0</v>
      </c>
      <c r="AJ37" s="173" t="b">
        <v>0</v>
      </c>
      <c r="AK37" s="174" t="b">
        <v>0</v>
      </c>
      <c r="AL37" s="175" t="b">
        <v>0</v>
      </c>
      <c r="AM37" s="173" t="b">
        <v>0</v>
      </c>
      <c r="AN37" s="171" t="s">
        <v>1070</v>
      </c>
      <c r="AO37" s="173" t="b">
        <v>0</v>
      </c>
      <c r="AP37" s="173" t="b">
        <v>0</v>
      </c>
      <c r="AQ37" s="173" t="b">
        <v>0</v>
      </c>
      <c r="AR37" s="174" t="b">
        <v>0</v>
      </c>
      <c r="AS37" s="178" t="b">
        <v>0</v>
      </c>
      <c r="AT37" s="179" t="b">
        <v>0</v>
      </c>
      <c r="AU37" s="180" t="b">
        <v>0</v>
      </c>
      <c r="AV37" s="180" t="b">
        <v>0</v>
      </c>
      <c r="AW37" s="180" t="b">
        <v>0</v>
      </c>
      <c r="AX37" s="180" t="b">
        <v>0</v>
      </c>
      <c r="AY37" s="181" t="s">
        <v>1070</v>
      </c>
      <c r="AZ37" s="181" t="s">
        <v>1070</v>
      </c>
      <c r="BA37" s="184">
        <f>IFERROR(__xludf.DUMMYFUNCTION("IF(
  ISNUMBER(BA36),
  MIN(MAX(
    BA36
    + MAX(
      ROUNDDOWN((D37 - MAX(IFERROR(FILTER(D$24:D36, BA$24:BA36 &lt;&gt; AZ$6, BA$23:BA35 = AZ$6), 0))) * (60 * 60 * 24) / AZ$9) - ROUNDDOWN((D36 - MAX(IFERROR(FILTER(D$23:D35, BA$23:BA35 &lt;&gt; AZ$6, BA$22:BA34 ="&amp;" AZ$6), 0))) * (60 * 60 * 24) / AZ$9),
      0
    )
    - COUNTIF(AZ37, ""&lt;&gt;-""),
  0), AZ$6),
  AZ$6 - COUNTIF(AZ37, ""&lt;&gt;-"")
)"),2.0)</f>
        <v>2</v>
      </c>
      <c r="BB37" s="181" t="s">
        <v>1070</v>
      </c>
      <c r="BC37" s="183">
        <f>IFERROR(__xludf.DUMMYFUNCTION("IF(
  ISNUMBER(BC36),
  MIN(MAX(
    BC36
    + MAX(
      ROUNDDOWN(($D37 - MAX(IFERROR(FILTER($D$24:$D36, BC$24:BC36 &lt;&gt; BB$6, BC$23:BC35 = BB$6), 0))) * (60 * 60 * 24) / BB$9) - ROUNDDOWN(($D36 - MAX(IFERROR(FILTER($D$23:$D35, BC$23:BC35 &lt;&gt; BB$6, BC$22:"&amp;"BC34 = BB$6), 0))) * (60 * 60 * 24) / 60),
      0
    )
    - COUNTIF(BB37, ""&lt;&gt;-""),
  0), BB$6),
  BB$6 - COUNTIF(BB37, ""&lt;&gt;-"")
)"),2.0)</f>
        <v>2</v>
      </c>
      <c r="BD37" s="181" t="s">
        <v>1070</v>
      </c>
      <c r="BE37" s="178" t="b">
        <v>0</v>
      </c>
      <c r="BF37" s="180" t="b">
        <v>0</v>
      </c>
      <c r="BG37" s="180" t="b">
        <v>0</v>
      </c>
      <c r="BH37" s="180" t="b">
        <v>0</v>
      </c>
      <c r="BI37" s="180" t="b">
        <v>0</v>
      </c>
      <c r="BJ37" s="180" t="b">
        <v>0</v>
      </c>
      <c r="BK37" s="180" t="b">
        <v>0</v>
      </c>
      <c r="BL37" s="180" t="b">
        <v>0</v>
      </c>
      <c r="BM37" s="180" t="b">
        <v>0</v>
      </c>
      <c r="BN37" s="180" t="b">
        <v>0</v>
      </c>
      <c r="BO37" s="181" t="s">
        <v>1070</v>
      </c>
      <c r="BP37" s="181" t="s">
        <v>1070</v>
      </c>
      <c r="BQ37" s="181" t="s">
        <v>1070</v>
      </c>
      <c r="BR37" s="181" t="s">
        <v>1070</v>
      </c>
      <c r="BS37" s="181" t="s">
        <v>1070</v>
      </c>
      <c r="BT37" s="184">
        <f>IFERROR(__xludf.DUMMYFUNCTION("IF(
  ISNUMBER(BT36),
  MIN(MAX(
    BT36
    + MAX(
      ROUNDDOWN((D37 - MAX(IFERROR(FILTER(D$24:D36, BT$24:BT36 &lt;&gt; BS$6, BT$23:BT35 = BS$6), 0))) * (60 * 60 * 24) / BS$9) - ROUNDDOWN((D36 - MAX(IFERROR(FILTER(D$23:D35, BT$23:BT35 &lt;&gt; BS$6, BT$22:BT34 ="&amp;" BS$6), 0))) * (60 * 60 * 24) / BS$9),
      0
    )
    - COUNTIF(BS37, ""&lt;&gt;-""),
  0), BS$6),
  BS$6 - COUNTIF(BS37, ""&lt;&gt;-"")
)"),3.0)</f>
        <v>3</v>
      </c>
      <c r="BU37" s="181" t="s">
        <v>1070</v>
      </c>
      <c r="BV37" s="181" t="s">
        <v>1070</v>
      </c>
      <c r="BW37" s="184">
        <f>IFERROR(__xludf.DUMMYFUNCTION("IF(
  ISNUMBER(BW36),
  MIN(MAX(
    BW36
    + MAX(
      ROUNDDOWN((D37 - MAX(IFERROR(FILTER(D$24:D36, BW$24:BW36 &lt;&gt; BV$6, BW$23:BW35 = BV$6), 0))) * (60 * 60 * 24) / BV$9) - ROUNDDOWN((D36 - MAX(IFERROR(FILTER(D$23:D35, BW$23:BW35 &lt;&gt; BV$6, BW$22:BW34 ="&amp;" BV$6), 0))) * (60 * 60 * 24) / BV$9),
      0
    )
    - COUNTIF(BV37, ""&lt;&gt;-""),
  0), BV$6),
  BV$6 - COUNTIF(BV37, ""&lt;&gt;-"")
)"),2.0)</f>
        <v>2</v>
      </c>
      <c r="BX37" s="185" t="s">
        <v>1070</v>
      </c>
      <c r="BY37" s="178" t="b">
        <v>0</v>
      </c>
      <c r="BZ37" s="180" t="b">
        <v>0</v>
      </c>
      <c r="CA37" s="180" t="b">
        <v>0</v>
      </c>
      <c r="CB37" s="180" t="b">
        <v>0</v>
      </c>
      <c r="CC37" s="180" t="b">
        <v>0</v>
      </c>
      <c r="CD37" s="180" t="b">
        <v>0</v>
      </c>
      <c r="CE37" s="180" t="b">
        <v>0</v>
      </c>
      <c r="CF37" s="180" t="b">
        <v>0</v>
      </c>
      <c r="CG37" s="180" t="b">
        <v>0</v>
      </c>
      <c r="CH37" s="180" t="b">
        <v>0</v>
      </c>
      <c r="CI37" s="180" t="b">
        <v>0</v>
      </c>
      <c r="CJ37" s="180" t="b">
        <v>0</v>
      </c>
      <c r="CK37" s="180" t="b">
        <v>0</v>
      </c>
      <c r="CL37" s="180" t="b">
        <v>0</v>
      </c>
      <c r="CM37" s="181" t="s">
        <v>1070</v>
      </c>
      <c r="CN37" s="181" t="s">
        <v>1070</v>
      </c>
      <c r="CO37" s="181" t="s">
        <v>1070</v>
      </c>
      <c r="CP37" s="181" t="s">
        <v>1070</v>
      </c>
      <c r="CQ37" s="185" t="s">
        <v>1070</v>
      </c>
      <c r="CR37" s="180" t="b">
        <v>0</v>
      </c>
      <c r="CS37" s="186" t="str">
        <f t="shared" si="14"/>
        <v>◇◇◇</v>
      </c>
      <c r="CT37" s="178" t="b">
        <v>0</v>
      </c>
      <c r="CU37" s="180" t="b">
        <v>0</v>
      </c>
      <c r="CV37" s="180" t="b">
        <v>0</v>
      </c>
      <c r="CW37" s="180" t="b">
        <v>0</v>
      </c>
      <c r="CX37" s="180" t="b">
        <v>0</v>
      </c>
      <c r="CY37" s="180" t="b">
        <v>0</v>
      </c>
      <c r="CZ37" s="180" t="b">
        <v>0</v>
      </c>
      <c r="DA37" s="180" t="b">
        <v>0</v>
      </c>
      <c r="DB37" s="180" t="b">
        <v>0</v>
      </c>
      <c r="DC37" s="180" t="b">
        <v>0</v>
      </c>
      <c r="DD37" s="181" t="s">
        <v>1070</v>
      </c>
      <c r="DE37" s="181" t="s">
        <v>1070</v>
      </c>
      <c r="DF37" s="181" t="s">
        <v>1070</v>
      </c>
      <c r="DG37" s="185" t="s">
        <v>1070</v>
      </c>
      <c r="DH37" s="180" t="b">
        <v>0</v>
      </c>
      <c r="DI37" s="187" t="str">
        <f>IFERROR(__xludf.DUMMYFUNCTION("SWITCH(
  IF(
    ISTEXT(DI36),
    IF (
      FIND(""○"", DI36&amp;""○"") &gt; 3,
      3,
      FIND(""○"", DI36&amp;""○"")
      + MAX(
        ROUNDDOWN(($D37 - MAX(IFERROR(FILTER(D$24:D36, DI$24:DI36 &lt;&gt; ""●●●"", DI$23:DI35 = ""●●●""), 0))) * (60 * 60 * 24) / 20"&amp;") - ROUNDDOWN(($D36 - MAX(IFERROR(FILTER(D$23:D35, DI$23:DI35 &lt;&gt; ""●●●"", DI$22:DI34 = ""●●●""), 0))) * (60 * 60 * 24) / 20),
        0
      ) - 1
    ) - COUNTIFS(CU37, ""=TRUE"", CU36, ""&lt;&gt;TRUE"") - COUNTIF(CZ37, ""=TRUE"") - COUNTIF({DD37,DE37}, ""&lt;&gt;-"&amp;""") + COUNTIF(DH37, ""=TRUE""),
    3
  ),
  0, ""○○○"", 1, ""●○○"", 2, ""●●○"", 3, ""●●●"", 4, ""●●●"", ""○○○""
)"),"●●●")</f>
        <v>●●●</v>
      </c>
      <c r="DJ37" s="188" t="b">
        <v>0</v>
      </c>
      <c r="DK37" s="189" t="b">
        <v>0</v>
      </c>
      <c r="DL37" s="190" t="b">
        <v>0</v>
      </c>
      <c r="DM37" s="190" t="b">
        <v>0</v>
      </c>
      <c r="DN37" s="190" t="b">
        <v>0</v>
      </c>
      <c r="DO37" s="190" t="b">
        <v>0</v>
      </c>
      <c r="DP37" s="190" t="b">
        <v>0</v>
      </c>
      <c r="DQ37" s="191" t="b">
        <v>0</v>
      </c>
      <c r="DR37" s="192" t="b">
        <v>0</v>
      </c>
      <c r="DS37" s="191" t="b">
        <v>0</v>
      </c>
      <c r="DT37" s="192" t="b">
        <v>0</v>
      </c>
      <c r="DU37" s="191" t="b">
        <v>0</v>
      </c>
      <c r="DV37" s="193" t="s">
        <v>1070</v>
      </c>
      <c r="DW37" s="194" t="b">
        <v>0</v>
      </c>
      <c r="DX37" s="194" t="b">
        <v>0</v>
      </c>
      <c r="DY37" s="195" t="b">
        <v>0</v>
      </c>
      <c r="DZ37" s="196" t="b">
        <v>0</v>
      </c>
      <c r="EA37" s="195" t="b">
        <v>0</v>
      </c>
      <c r="EB37" s="197" t="b">
        <v>0</v>
      </c>
      <c r="EC37" s="197" t="b">
        <v>0</v>
      </c>
      <c r="ED37" s="212" t="b">
        <v>0</v>
      </c>
      <c r="EE37" s="199">
        <f>IFERROR(__xludf.DUMMYFUNCTION("IFERROR(
   PRODUCT(
     MAP(
       INDEX(TRANSPOSE(UNIQUE(TRANSPOSE(FILTER({IF($F37=""Physical"", K$10:ED$10, IF($F37=""Magic"", K$11:ED$11, K$12:ED$12));K$4:ED$4;K37:ED37}, K37:ED37=TRUE)))), 1, 0),
       INDEX(TRANSPOSE(UNIQUE(TRANSPOSE(FILTER({IF($"&amp;"F37=""Physical"", K$18:ED$18, IF($F37=""Magic"", K$19:ED$19, K$20:ED$20));K$4:ED$4;K37:ED37}, K37:ED37=TRUE)))), 1, 0),
       INDEX(TRANSPOSE(UNIQUE(TRANSPOSE(FILTER({K$5:ED$5;K$4:ED$4;K37:ED37}, K37:ED37=TRUE)))), 1, 0),
       INDEX(TRANSPOSE(UNIQUE(TR"&amp;"ANSPOSE(FILTER({K$17:ED$17;K$4:ED$4;K37:ED37}, K37:ED37=TRUE)))), 1, 0),
       LAMBDA(
         mitigation,
         enhance,
         assign,
         precondition,
         IF(
           REGEXMATCH(assign, ""RANGE_PARTY|SINGLE_ENEMY|RANGE_ENEMY""),
  "&amp;"         IF(
             OR(ARRAYFORMULA((IF(precondition="""", FALSE, REGEXMATCH(K$4:ED$4, precondition))) * (K37:ED37=TRUE))),
             IF(ISNUMBER(enhance), enhance, 1),
             IF(ISNUMBER(mitigation), mitigation, 1)
           ),
          "&amp;" 1
         )
       )
     )
   ),
   1
 )"),1.0)</f>
        <v>1</v>
      </c>
      <c r="EF37" s="200">
        <f>IFERROR(__xludf.DUMMYFUNCTION("PRODUCT(
   MAP(
     K$14:ED$14,
     K$13:ED$13,
     K37:ED37,
     LAMBDA(
       buff,
       target,
       check,
       IF(
         AND(check=TRUE, REGEXMATCH(target, ""RANGE_AFFECTED_ALL|RANGE_EFFECTED_ALL""), ISNUMBER(buff)),
         buff,
   "&amp;"      1
       )
     )
   )
 )"),1.0)</f>
        <v>1</v>
      </c>
      <c r="EG37" s="200">
        <f>IFERROR(__xludf.DUMMYFUNCTION("PRODUCT(
   MAP(
     K$14:ED$14,
     K$13:ED$13,
     K37:ED37,
     LAMBDA(
       buff,
       target,
       check,
       IF(
         AND(check=TRUE, REGEXMATCH(target, ""RANGE_AFFECTED_GCD|RANGE_EFFECTED_GCD""), ISNUMBER(buff)),
         buff,
   "&amp;"      1
       )
     )
   )
 )"),1.0)</f>
        <v>1</v>
      </c>
      <c r="EH37" s="200">
        <f>IFERROR(__xludf.DUMMYFUNCTION("PRODUCT(
   MAP(
     K$3:ED$3,
     K$14:ED$14,
     K$13:ED$13,
     K37:ED37,
     LAMBDA(
       job,
       buff,
       target,
       check,
       IF(
         AND(check=TRUE, REGEXMATCH(target, ""SELF_EFFECTED_ALL""), ISNUMBER(buff), job=""白魔道士"""&amp;"),
         buff,
         1
       )
     )
   )
 )"),1.0)</f>
        <v>1</v>
      </c>
      <c r="EI37" s="200">
        <f>IFERROR(__xludf.DUMMYFUNCTION("PRODUCT(
   MAP(
     K$3:ED$3,
     K$14:ED$14,
     K$13:ED$13,
     K37:ED37,
     LAMBDA(
       job,
       buff,
       target,
       check,
       IF(
         AND(check=TRUE, REGEXMATCH(target, ""SELF_EFFECTED_GCD""), ISNUMBER(buff), job=""白魔道士"""&amp;"),
         buff,
         1
       )
     )
   )
 )"),1.0)</f>
        <v>1</v>
      </c>
      <c r="EJ37" s="200">
        <f>IFERROR(__xludf.DUMMYFUNCTION("PRODUCT(
   MAP(
     K$3:ED$3,
     K$14:ED$14,
     K$13:ED$13,
     K37:ED37,
     LAMBDA(
       job,
       buff,
       target,
       check,
       IF(
         AND(check=TRUE, REGEXMATCH(target, ""SELF_EFFECTED_ALL""), ISNUMBER(buff), job=""占星術師"""&amp;"),
         buff,
         1
       )
     )
   )
 )"),1.0)</f>
        <v>1</v>
      </c>
      <c r="EK37" s="200">
        <f>IFERROR(__xludf.DUMMYFUNCTION("PRODUCT(
   MAP(
     K$3:ED$3,
     K$14:ED$14,
     K$13:ED$13,
     K37:ED37,
     LAMBDA(
       job,
       buff,
       target,
       check,
       IF(
         AND(check=TRUE, REGEXMATCH(target, ""SELF_EFFECTED_GCD""), ISNUMBER(buff), job=""占星術師"""&amp;"),
         buff,
         1
       )
     )
   )
 )"),1.0)</f>
        <v>1</v>
      </c>
      <c r="EL37" s="200">
        <f>IFERROR(__xludf.DUMMYFUNCTION("PRODUCT(
   MAP(
     K$3:ED$3,
     K$14:ED$14,
     K$13:ED$13,
     K37:ED37,
     LAMBDA(
       job,
       buff,
       target,
       check,
       IF(
         AND(check=TRUE, REGEXMATCH(target, ""SELF_EFFECTED_ALL""), ISNUMBER(buff), job=""学者""),"&amp;"
         buff,
         1
       )
     )
   )
 )"),1.0)</f>
        <v>1</v>
      </c>
      <c r="EM37" s="200">
        <f>IFERROR(__xludf.DUMMYFUNCTION("PRODUCT(
   MAP(
     K$3:ED$3,
     K$14:ED$14,
     K$13:ED$13,
     K37:ED37,
     LAMBDA(
       job,
       buff,
       target,
       check,
       IF(
         AND(check=TRUE, REGEXMATCH(target, ""SELF_EFFECTED_GCD""), ISNUMBER(buff), job=""学者""),"&amp;"
         buff,
         1
       )
     )
   )
 )"),1.0)</f>
        <v>1</v>
      </c>
      <c r="EN37" s="200">
        <f>IFERROR(__xludf.DUMMYFUNCTION("PRODUCT(
   MAP(
     K$3:ED$3,
     K$14:ED$14,
     K$13:ED$13,
     K37:ED37,
     LAMBDA(
       job,
       buff,
       target,
       check,
       IF(
         AND(check=TRUE, REGEXMATCH(target, ""SELF_EFFECTED_ALL""), ISNUMBER(buff), job=""賢者""),"&amp;"
         buff,
         1
       )
     )
   )
 )"),1.0)</f>
        <v>1</v>
      </c>
      <c r="EO37" s="200">
        <f>IFERROR(__xludf.DUMMYFUNCTION("PRODUCT(
   MAP(
     K$3:ED$3,
     K$14:ED$14,
     K$13:ED$13,
     K37:ED37,
     LAMBDA(
       job,
       buff,
       target,
       check,
       IF(
         AND(check=TRUE, REGEXMATCH(target, ""SELF_EFFECTED_GCD""), ISNUMBER(buff), job=""賢者""),"&amp;"
         buff,
         1
       )
     )
   )
 )"),1.0)</f>
        <v>1</v>
      </c>
      <c r="EP37" s="201">
        <f t="shared" si="3"/>
        <v>0</v>
      </c>
      <c r="EQ37" s="201">
        <f>IFERROR(__xludf.DUMMYFUNCTION("SUM(
   MAP(
     K$4:ED$4,
     K$3:ED$3,
     K$7:ED$7,
     K$15:ED$15,
     K$16:ED$16,
     K$21:ED$21,
     K$5:ED$5,
     K$17:ED$17,
     K37:ED37,
     LAMBDA(
       name,
       job,
       abillity,
       buff,
       barrier,
       enhance,"&amp;"
       assign,
       precondition,
       check,
       SWITCH(
         name,
         ""シェイクオフ"", IF(check=TRUE, buff + (0.02 * COUNTIF(ARRAYFORMULA((REGEXMATCH($K$4:$ED$4, ""スリル・オブ・バトル|ヴェンジェンス|原初の血気|ダムネーション"")) * (K37:ED37=TRUE)), 1)), 0),
         "&amp;"""インプロビゼーションフィニッシュ(踊りの激情0)"", IF(ISNUMBER(check), INDEX(Skill!$AJ:$AJ, MATCH(SUBSTITUTE(DV$4, 0, check), Skill!$C:$C, 0)), 0),
         IF(
           AND(check=TRUE, REGEXMATCH(assign, ""RANGE_PARTY"")),
           IF(
             OR(ARRAYFORMULA((IF(pr"&amp;"econdition="""", FALSE, REGEXMATCH($K$4:$ED$4, precondition))) * (K37:ED37=TRUE))),
             enhance,
             IF(barrier="""", buff, barrier)
           ),
           0
         )
       ) *
       SWITCH(
         job,
         ""ナイト"", EY$24,
 "&amp;"        ""戦士"", FD$24,
         ""踊り子"", ET$24,
         ""ピクトマンサー"", ET$24,
         ""白魔道士"", EF37 * EH37 * IF(abillity, 1, EG37 * EI37) * (Option!$D$22 * 0.81 / 100),
         ""占星術師"", EF37 * EJ37 * IF(abillity, 1, EG37 * EK37) * (Option!$D$23 * 0.81 "&amp;"/ 100),
         ""学者"", EF37 * EL37 * IF(abillity, 1, EG37 * EM37) * (Option!$D$24 * 0.81 / 100),
         ""賢者"", EF37 * EN37 * IF(abillity, 1, EG37 * EO37) * (Option!$D$25 * 0.81 / 100),
         1
       )
     )
   )
 )"),0.0)</f>
        <v>0</v>
      </c>
      <c r="ER37" s="202">
        <f t="shared" si="4"/>
        <v>0</v>
      </c>
      <c r="ES37" s="203">
        <f t="shared" si="5"/>
        <v>0</v>
      </c>
      <c r="ET37" s="231" t="str">
        <f>IFERROR(__xludf.DUMMYFUNCTION("IFS(
  EP37 &gt; $ET$24 + EQ37,
  SPARKLINE({ 1, 0 }, {""charttype"",""bar"";""max"", 1;""color1"",Option!$D$30;""color2"",Option!$D$30}),
  EP37 &lt; EQ37,
  SPARKLINE({EQ37 - EP37, $ET$24 - (EQ37 - EP37)}, {""charttype"",""bar"";""max"",$ET$24;""color1"",Opti"&amp;"on!$D$28;""color2"",Option!$D$29}),
  EP37 &gt;= EQ37,
  SPARKLINE({$ET$24 + EQ37 - EP37,EP37 - EQ37}, {""charttype"",""bar"";""max"",$ET$24;""color1"",Option!$D$29;""color2"",Option!$D$30})
)"),"")</f>
        <v/>
      </c>
      <c r="EU37" s="205">
        <f>IFERROR(__xludf.DUMMYFUNCTION("PRODUCT(
   MAP(
     IF($F37=""Physical"", K$10:ED$10, IF($F37=""Magic"", K$11:ED$11, K$12:ED$12)),
     IF($F37=""Physical"", K$18:ED$18, IF($F37=""Magic"", K$19:ED$19, K$20:ED$20)),
     K$3:ED$3,
     K$5:ED$5,
     K$17:ED$17,
     K37:ED37,
     LAM"&amp;"BDA(
       mitigation,
       enhance,
       job,
       assign,
       precondition,
       check,
       IF(
         OR(AND(check=TRUE, REGEXMATCH(assign, ""SELF""), job=""ナイト""), AND(check=Option!$E$13, REGEXMATCH(assign, ""SINGLE_PARTY""))),
      "&amp;"   IF(
           OR(ARRAYFORMULA((IF(precondition="""", FALSE, REGEXMATCH($K$4:$ED$4, precondition))) * (K37:ED37=TRUE))),
           enhance,
           mitigation
         ),
         1
       )
     )
   )
 ) * EE37"),1.0)</f>
        <v>1</v>
      </c>
      <c r="EV37" s="206">
        <f t="shared" si="6"/>
        <v>0</v>
      </c>
      <c r="EW37" s="205">
        <f>IFERROR(__xludf.DUMMYFUNCTION("PRODUCT(
   MAP(
     K$3:ED$3,
     K$14:ED$14,
     K$13:ED$13,
     K37:ED37,
     LAMBDA(
       job,
       buff,
       target,
       check,
       IF(
         OR(AND(check=TRUE, REGEXMATCH(target, ""SELF_AFFECTED_ALL""), job=""ナイト""), AND(check=O"&amp;"ption!$E$13, REGEXMATCH(target, ""SINGLE_AFFECTED_ALL""))),
         buff,
         1
       )
     )
   )
 )"),1.0)</f>
        <v>1</v>
      </c>
      <c r="EX37" s="206">
        <f>IFERROR(__xludf.DUMMYFUNCTION("SUM(
   MAP(
     K$3:ED$3,
     K$7:ED$7,
     K$15:ED$15,
     K$16:ED$16,
     K$21:ED$21,
     K$5:ED$5,
     K$17:ED$17,
     K37:ED37,
     LAMBDA(
       job,
       abillity,
       buff,
       barrier,
       enhance,
       assign,
       preco"&amp;"ndition,
       check,
       IF(
         OR(AND(check=TRUE, REGEXMATCH(assign, ""SELF""), job=""ナイト""), AND(check=Option!$E$13, REGEXMATCH(assign, ""SINGLE_PARTY""))),
         IF(
           OR(ARRAYFORMULA((IF(precondition="""", FALSE, REGEXMATCH($K$4"&amp;":$ED$4, precondition))) * (K37:ED37=TRUE))),
           enhance,
           IF(barrier="""", buff, barrier)
         ),
         0
       ) *
       SWITCH(
         job,
         ""暗黒騎士"", EY$24,
         ""白魔道士"", EF37 * EH37 * EW37 * IF(abillity, 1, EG"&amp;"37 * EI37) * (Option!$D$22 * 0.81 / 100),
         ""占星術師"", EF37 * EJ37 * EW37 * IF(abillity, 1, EG37 * EK37) * (Option!$D$23 * 0.81 / 100),
         ""学者"", EF37 * EL37 * EW37 * IF(abillity, 1, EG37 * EM37) * (Option!$D$24 * 0.81 / 100),
         ""賢者"""&amp;", EF37 * EN37 * EW37 * IF(abillity, 1, EG37 * EO37) * (Option!$D$25 * 0.81 / 100),
         1
       )
     )
   )
 ) + EQ37"),0.0)</f>
        <v>0</v>
      </c>
      <c r="EY37" s="232">
        <f t="shared" si="7"/>
        <v>0</v>
      </c>
      <c r="EZ37" s="205">
        <f>IFERROR(__xludf.DUMMYFUNCTION("PRODUCT(
   MAP(
     IF($F37=""Physical"", K$10:ED$10, IF($F37=""Magic"", K$11:ED$11, K$12:ED$12)),
     IF($F37=""Physical"", K$18:ED$18, IF($F37=""Magic"", K$19:ED$19, K$20:ED$20)),
     K$3:ED$3,
     K$5:ED$5,
     K$17:ED$17,
     K37:ED37,
     LAM"&amp;"BDA(
       mitigation,
       enhance,
       job,
       assign,
       precondition,
       check,
       IF(
         OR(AND(check=TRUE, REGEXMATCH(assign, ""SELF""), job=""戦士""), AND(check=Option!$F$13, REGEXMATCH(assign, ""SINGLE_PARTY""))),
       "&amp;"  IF(
           OR(ARRAYFORMULA((IF(precondition="""", FALSE, REGEXMATCH($K$4:$ED$4, precondition))) * (K37:ED37=TRUE))),
           enhance,
           mitigation
         ),
         1
       )
     )
   )
 ) * EE37"),1.0)</f>
        <v>1</v>
      </c>
      <c r="FA37" s="206">
        <f t="shared" si="8"/>
        <v>0</v>
      </c>
      <c r="FB37" s="205">
        <f>IFERROR(__xludf.DUMMYFUNCTION("PRODUCT(
   MAP(
     K$3:ED$3,
     K$14:ED$14,
     K$13:ED$13,
     K37:ED37,
     LAMBDA(
       job,
       buff,
       target,
       check,
       IF(
         OR(AND(check=TRUE, REGEXMATCH(target, ""SELF_AFFECTED_ALL""), job=""戦士""), AND(check=Op"&amp;"tion!$F$13, REGEXMATCH(target, ""SINGLE_AFFECTED_ALL""))),
         buff,
         1
       )
     )
   )
 )"),1.0)</f>
        <v>1</v>
      </c>
      <c r="FC37" s="206">
        <f>IFERROR(__xludf.DUMMYFUNCTION("SUM(
   MAP(
     K$3:ED$3,
     K$7:ED$7,
     K$15:ED$15,
     K$16:ED$16,
     K$21:ED$21,
     K$5:ED$5,
     K$17:ED$17,
     K37:ED37,
     LAMBDA(
       job,
       abillity,
       buff,
       barrier,
       enhance,
       assign,
       preco"&amp;"ndition,
       check,
       IF(
         OR(AND(check=TRUE, REGEXMATCH(assign, ""SELF""), job=""戦士""), AND(check=Option!$F$13, REGEXMATCH(assign, ""SINGLE_PARTY""))),
         IF(
           OR(ARRAYFORMULA((IF(precondition="""", FALSE, REGEXMATCH($K$4:"&amp;"$ED$4, precondition))) * (K37:ED37=TRUE))),
           enhance,
           IF(barrier="""", buff, barrier)
         ),
         0
       ) *
       SWITCH(
         job,
         ""暗黒騎士"", FD$24,
         ""白魔道士"", EF37 * EH37 * FB37 * IF(abillity, 1, EG3"&amp;"7 * EI37) * (Option!$D$22 * 0.81 / 100),
         ""占星術師"", EF37 * EJ37 * FFB37 * IF(abillity, 1, EG37 * EK37) * (Option!$D$23 * 0.81 / 100),
         ""学者"", EF37 * EL37 * FB37 * IF(abillity, 1, EG37 * EM37) * (Option!$D$24 * 0.81 / 100),
         ""賢者"""&amp;", EF37 * EN37 * FB37 * IF(abillity, 1, EG37 * EO37) * (Option!$D$25 * 0.81 / 100),
         1
       )
     )
   )
 ) + EQ37"),0.0)</f>
        <v>0</v>
      </c>
      <c r="FD37" s="206">
        <f t="shared" si="9"/>
        <v>0</v>
      </c>
      <c r="FE37" s="205">
        <f>IFERROR(__xludf.DUMMYFUNCTION("PRODUCT(
   MAP(
     IF($F37=""Physical"", K$10:ED$10, IF($F37=""Magic"", K$11:ED$11, K$12:ED$12)),
     IF($F37=""Physical"", K$18:ED$18, IF($F37=""Magic"", K$19:ED$19, K$20:ED$20)),
     K$3:ED$3,
     K$5:ED$5,
     K$17:ED$17,
     K37:ED37,
     LAM"&amp;"BDA(
       mitigation,
       enhance,
       job,
       assign,
       precondition,
       check,
       IF(
         OR(AND(check=TRUE, REGEXMATCH(assign, ""SELF""), job=""暗黒騎士""), AND(check=Option!$G$13, REGEXMATCH(assign, ""SINGLE_PARTY""))),
     "&amp;"    IF(
           OR(ARRAYFORMULA((IF(precondition="""", FALSE, REGEXMATCH($K$4:$ED$4, precondition))) * (K37:ED37=TRUE))),
           enhance,
           mitigation
         ),
         1
       )
     )
   )
 ) * EE37"),1.0)</f>
        <v>1</v>
      </c>
      <c r="FF37" s="206">
        <f t="shared" si="10"/>
        <v>0</v>
      </c>
      <c r="FG37" s="205">
        <f>IFERROR(__xludf.DUMMYFUNCTION("PRODUCT(
   MAP(
     K$3:ED$3,
     K$14:ED$14,
     K$13:ED$13,
     K37:ED37,
     LAMBDA(
       job,
       buff,
       target,
       check,
       IF(
         OR(AND(check=TRUE, REGEXMATCH(target, ""SELF_AFFECTED_ALL""), job=""暗黒騎士""), AND(check="&amp;"Option!$G$13, REGEXMATCH(target, ""SINGLE_AFFECTED_ALL""))),
         buff,
         1
       )
     )
   )
 )"),1.0)</f>
        <v>1</v>
      </c>
      <c r="FH37" s="206">
        <f>IFERROR(__xludf.DUMMYFUNCTION("SUM(
   MAP(
     K$3:ED$3,
     K$7:ED$7,
     K$15:ED$15,
     K$16:ED$16,
     K$21:ED$21,
     K$5:ED$5,
     K$17:ED$17,
     K37:ED37,
     LAMBDA(
       job,
       abillity,
       buff,
       barrier,
       enhance,
       assign,
       preco"&amp;"ndition,
       check,
       IF(
         OR(AND(check=TRUE, REGEXMATCH(assign, ""SELF""), job=""暗黒騎士""), AND(check=Option!$G$13, REGEXMATCH(assign, ""SINGLE_PARTY""))),
         IF(
           OR(ARRAYFORMULA((IF(precondition="""", FALSE, REGEXMATCH($K$"&amp;"4:$ED$4, precondition))) * (K37:ED37=TRUE))),
           enhance,
           IF(barrier="""", buff, barrier)
         ),
         0
       ) *
       SWITCH(
         job,
         ""暗黒騎士"", FI$24,
         ""白魔道士"", EF37 * EH37 * FG37 * IF(abillity, 1, E"&amp;"G37 * EI37) * (Option!$D$22 * 0.81 / 100),
         ""占星術師"", EF37 * EJ37 * FG37 * IF(abillity, 1, EG37 * EK37) * (Option!$D$23 * 0.81 / 100),
         ""学者"", EF37 * EL37 * FG37 * IF(abillity, 1, EG37 * EM37) * (Option!$D$24 * 0.81 / 100),
         ""賢者"&amp;""", EF37 * EN37 * FG37 * IF(abillity, 1, EG37 * EO37) * (Option!$D$25 * 0.81 / 100),
         1
       )
     )
   )
 ) + EQ37"),0.0)</f>
        <v>0</v>
      </c>
      <c r="FI37" s="206">
        <f t="shared" si="11"/>
        <v>0</v>
      </c>
      <c r="FJ37" s="205">
        <f>IFERROR(__xludf.DUMMYFUNCTION("PRODUCT(
   MAP(
     IF($F37=""Physical"", K$10:ED$10, IF($F37=""Magic"", K$11:ED$11, K$12:ED$12)),
     IF($F37=""Physical"", K$18:ED$18, IF($F37=""Magic"", K$19:ED$19, K$20:ED$20)),
     K$3:ED$3,
     K$5:ED$5,
     K$17:ED$17,
     K37:ED37,
     LAM"&amp;"BDA(
       mitigation,
       enhance,
       job,
       assign,
       precondition,
       check,
       IF(
         OR(AND(check=TRUE, REGEXMATCH(assign, ""SELF""), job=""ガンブレイカー""), AND(check=Option!$H$13, REGEXMATCH(assign, ""SINGLE_PARTY""))),
  "&amp;"       IF(
           OR(ARRAYFORMULA((IF(precondition="""", FALSE, REGEXMATCH($K$4:$ED$4, precondition))) * (K37:ED37=TRUE))),
           enhance,
           mitigation
         ),
         1
       )
     )
   )
 ) * EE37"),1.0)</f>
        <v>1</v>
      </c>
      <c r="FK37" s="206">
        <f t="shared" si="12"/>
        <v>0</v>
      </c>
      <c r="FL37" s="205">
        <f>IFERROR(__xludf.DUMMYFUNCTION("PRODUCT(
   MAP(
     K$3:ED$3,
     K$14:ED$14,
     K$13:ED$13,
     K37:ED37,
     LAMBDA(
       job,
       buff,
       target,
       check,
       IF(
         OR(AND(check=TRUE, REGEXMATCH(target, ""SELF_AFFECTED_ALL""), job=""ガンブレイカー""), AND(che"&amp;"ck=Option!$H$13, REGEXMATCH(target, ""SINGLE_AFFECTED_ALL""))),
         buff,
         1
       )
     )
   )
 )"),1.0)</f>
        <v>1</v>
      </c>
      <c r="FM37" s="206">
        <f>IFERROR(__xludf.DUMMYFUNCTION("SUM(
   MAP(
     K$3:ED$3,
     K$7:ED$7,
     K$15:ED$15,
     K$16:ED$16,
     K$21:ED$21,
     K$5:ED$5,
     K$17:ED$17,
     K37:ED37,
     LAMBDA(
       job,
       abillity,
       buff,
       barrier,
       enhance,
       assign,
       preco"&amp;"ndition,
       check,
       IF(
         OR(AND(check=TRUE, REGEXMATCH(assign, ""SELF""), job=""ガンブレイカー""), AND(check=Option!$H$13, REGEXMATCH(assign, ""SINGLE_PARTY""))),
         IF(
           OR(ARRAYFORMULA((IF(precondition="""", FALSE, REGEXMATCH("&amp;"$K$4:$ED$4, precondition))) * (K37:ED37=TRUE))),
           enhance,
           IF(barrier="""", buff, barrier)
         ),
         0
       ) *
       SWITCH(
         job,
         ""暗黒騎士"", FN$24,
         ""白魔道士"", EF37 * EH37 * FL37 * IF(abillity, 1"&amp;", EG37 * EI37) * (Option!$D$22 * 0.81 / 100),
         ""占星術師"", EF37 * EJ37 * FL37 * IF(abillity, 1, EG37 * EK37) * (Option!$D$23 * 0.81 / 100),
         ""学者"", EF37 * EL37 * FL37 * IF(abillity, 1, EG37 * EM37) * (Option!$D$24 * 0.81 / 100),
         """&amp;"賢者"", EF37 * EN37 * FL37 * IF(abillity, 1, EG37 * EO37) * (Option!$D$25 * 0.81 / 100),
         1
       )
     )
   )
 ) + EQ37"),0.0)</f>
        <v>0</v>
      </c>
      <c r="FN37" s="206">
        <f t="shared" si="13"/>
        <v>0</v>
      </c>
      <c r="FO37" s="213"/>
    </row>
    <row r="38">
      <c r="B38" s="229"/>
      <c r="C38" s="217">
        <f t="shared" si="1"/>
        <v>0.002881944444</v>
      </c>
      <c r="D38" s="236">
        <v>0.0011805555555555556</v>
      </c>
      <c r="E38" s="237" t="s">
        <v>1089</v>
      </c>
      <c r="F38" s="167" t="s">
        <v>10</v>
      </c>
      <c r="G38" s="168" t="str">
        <f t="shared" si="2"/>
        <v/>
      </c>
      <c r="H38" s="169">
        <v>1100.0</v>
      </c>
      <c r="I38" s="169"/>
      <c r="J38" s="169"/>
      <c r="K38" s="170" t="b">
        <v>0</v>
      </c>
      <c r="L38" s="170" t="b">
        <v>0</v>
      </c>
      <c r="M38" s="170" t="b">
        <v>0</v>
      </c>
      <c r="N38" s="171" t="s">
        <v>1070</v>
      </c>
      <c r="O38" s="172" t="b">
        <v>0</v>
      </c>
      <c r="P38" s="173" t="b">
        <v>0</v>
      </c>
      <c r="Q38" s="173" t="b">
        <v>0</v>
      </c>
      <c r="R38" s="173" t="b">
        <v>0</v>
      </c>
      <c r="S38" s="174" t="b">
        <v>0</v>
      </c>
      <c r="T38" s="175" t="b">
        <v>0</v>
      </c>
      <c r="U38" s="173" t="b">
        <v>0</v>
      </c>
      <c r="V38" s="171" t="s">
        <v>1070</v>
      </c>
      <c r="W38" s="172" t="b">
        <v>0</v>
      </c>
      <c r="X38" s="173" t="b">
        <v>0</v>
      </c>
      <c r="Y38" s="173" t="b">
        <v>0</v>
      </c>
      <c r="Z38" s="173" t="b">
        <v>0</v>
      </c>
      <c r="AA38" s="174" t="b">
        <v>0</v>
      </c>
      <c r="AB38" s="174" t="b">
        <v>0</v>
      </c>
      <c r="AC38" s="175" t="b">
        <v>0</v>
      </c>
      <c r="AD38" s="173" t="b">
        <v>0</v>
      </c>
      <c r="AE38" s="176" t="s">
        <v>1070</v>
      </c>
      <c r="AF38" s="171" t="s">
        <v>1070</v>
      </c>
      <c r="AG38" s="177">
        <f>IFERROR(__xludf.DUMMYFUNCTION("IF(
  ISNUMBER(AG37),
  MIN(MAX(
    AG37
    + MAX(
      ROUNDDOWN(($D38 - MAX(IFERROR(FILTER($D$24:$D37, AG$24:AG37 &lt;&gt; AF$6, AG$23:AG36 = AF$6), 0))) * (60 * 60 * 24) / AF$9) - ROUNDDOWN(($D37 - MAX(IFERROR(FILTER($D$23:$D36, AG$23:AG36 &lt;&gt; AF$6, AG$22:"&amp;"AG35 = AF$6), 0))) * (60 * 60 * 24) / 60),
      0
    )
    - COUNTIF(AF38, ""&lt;&gt;-""),
  0), AF$6),
  AF$6 - COUNTIF(AF38, ""&lt;&gt;-"")
)"),2.0)</f>
        <v>2</v>
      </c>
      <c r="AH38" s="173" t="b">
        <v>0</v>
      </c>
      <c r="AI38" s="173" t="b">
        <v>0</v>
      </c>
      <c r="AJ38" s="173" t="b">
        <v>0</v>
      </c>
      <c r="AK38" s="174" t="b">
        <v>0</v>
      </c>
      <c r="AL38" s="175" t="b">
        <v>0</v>
      </c>
      <c r="AM38" s="173" t="b">
        <v>0</v>
      </c>
      <c r="AN38" s="171" t="s">
        <v>1070</v>
      </c>
      <c r="AO38" s="173" t="b">
        <v>0</v>
      </c>
      <c r="AP38" s="173" t="b">
        <v>0</v>
      </c>
      <c r="AQ38" s="173" t="b">
        <v>0</v>
      </c>
      <c r="AR38" s="174" t="b">
        <v>0</v>
      </c>
      <c r="AS38" s="178" t="b">
        <v>0</v>
      </c>
      <c r="AT38" s="179" t="b">
        <v>0</v>
      </c>
      <c r="AU38" s="180" t="b">
        <v>0</v>
      </c>
      <c r="AV38" s="180" t="b">
        <v>0</v>
      </c>
      <c r="AW38" s="180" t="b">
        <v>0</v>
      </c>
      <c r="AX38" s="180" t="b">
        <v>0</v>
      </c>
      <c r="AY38" s="181" t="s">
        <v>1070</v>
      </c>
      <c r="AZ38" s="181" t="s">
        <v>1070</v>
      </c>
      <c r="BA38" s="184">
        <f>IFERROR(__xludf.DUMMYFUNCTION("IF(
  ISNUMBER(BA37),
  MIN(MAX(
    BA37
    + MAX(
      ROUNDDOWN((D38 - MAX(IFERROR(FILTER(D$24:D37, BA$24:BA37 &lt;&gt; AZ$6, BA$23:BA36 = AZ$6), 0))) * (60 * 60 * 24) / AZ$9) - ROUNDDOWN((D37 - MAX(IFERROR(FILTER(D$23:D36, BA$23:BA36 &lt;&gt; AZ$6, BA$22:BA35 ="&amp;" AZ$6), 0))) * (60 * 60 * 24) / AZ$9),
      0
    )
    - COUNTIF(AZ38, ""&lt;&gt;-""),
  0), AZ$6),
  AZ$6 - COUNTIF(AZ38, ""&lt;&gt;-"")
)"),2.0)</f>
        <v>2</v>
      </c>
      <c r="BB38" s="181" t="s">
        <v>1070</v>
      </c>
      <c r="BC38" s="183">
        <f>IFERROR(__xludf.DUMMYFUNCTION("IF(
  ISNUMBER(BC37),
  MIN(MAX(
    BC37
    + MAX(
      ROUNDDOWN(($D38 - MAX(IFERROR(FILTER($D$24:$D37, BC$24:BC37 &lt;&gt; BB$6, BC$23:BC36 = BB$6), 0))) * (60 * 60 * 24) / BB$9) - ROUNDDOWN(($D37 - MAX(IFERROR(FILTER($D$23:$D36, BC$23:BC36 &lt;&gt; BB$6, BC$22:"&amp;"BC35 = BB$6), 0))) * (60 * 60 * 24) / 60),
      0
    )
    - COUNTIF(BB38, ""&lt;&gt;-""),
  0), BB$6),
  BB$6 - COUNTIF(BB38, ""&lt;&gt;-"")
)"),2.0)</f>
        <v>2</v>
      </c>
      <c r="BD38" s="181" t="s">
        <v>1070</v>
      </c>
      <c r="BE38" s="178" t="b">
        <v>0</v>
      </c>
      <c r="BF38" s="180" t="b">
        <v>0</v>
      </c>
      <c r="BG38" s="180" t="b">
        <v>0</v>
      </c>
      <c r="BH38" s="180" t="b">
        <v>0</v>
      </c>
      <c r="BI38" s="180" t="b">
        <v>0</v>
      </c>
      <c r="BJ38" s="180" t="b">
        <v>0</v>
      </c>
      <c r="BK38" s="180" t="b">
        <v>0</v>
      </c>
      <c r="BL38" s="180" t="b">
        <v>0</v>
      </c>
      <c r="BM38" s="180" t="b">
        <v>0</v>
      </c>
      <c r="BN38" s="180" t="b">
        <v>0</v>
      </c>
      <c r="BO38" s="181" t="s">
        <v>1070</v>
      </c>
      <c r="BP38" s="181" t="s">
        <v>1070</v>
      </c>
      <c r="BQ38" s="181" t="s">
        <v>1070</v>
      </c>
      <c r="BR38" s="181" t="s">
        <v>1070</v>
      </c>
      <c r="BS38" s="181" t="s">
        <v>1070</v>
      </c>
      <c r="BT38" s="184">
        <f>IFERROR(__xludf.DUMMYFUNCTION("IF(
  ISNUMBER(BT37),
  MIN(MAX(
    BT37
    + MAX(
      ROUNDDOWN((D38 - MAX(IFERROR(FILTER(D$24:D37, BT$24:BT37 &lt;&gt; BS$6, BT$23:BT36 = BS$6), 0))) * (60 * 60 * 24) / BS$9) - ROUNDDOWN((D37 - MAX(IFERROR(FILTER(D$23:D36, BT$23:BT36 &lt;&gt; BS$6, BT$22:BT35 ="&amp;" BS$6), 0))) * (60 * 60 * 24) / BS$9),
      0
    )
    - COUNTIF(BS38, ""&lt;&gt;-""),
  0), BS$6),
  BS$6 - COUNTIF(BS38, ""&lt;&gt;-"")
)"),3.0)</f>
        <v>3</v>
      </c>
      <c r="BU38" s="181" t="s">
        <v>1070</v>
      </c>
      <c r="BV38" s="181" t="s">
        <v>1070</v>
      </c>
      <c r="BW38" s="184">
        <f>IFERROR(__xludf.DUMMYFUNCTION("IF(
  ISNUMBER(BW37),
  MIN(MAX(
    BW37
    + MAX(
      ROUNDDOWN((D38 - MAX(IFERROR(FILTER(D$24:D37, BW$24:BW37 &lt;&gt; BV$6, BW$23:BW36 = BV$6), 0))) * (60 * 60 * 24) / BV$9) - ROUNDDOWN((D37 - MAX(IFERROR(FILTER(D$23:D36, BW$23:BW36 &lt;&gt; BV$6, BW$22:BW35 ="&amp;" BV$6), 0))) * (60 * 60 * 24) / BV$9),
      0
    )
    - COUNTIF(BV38, ""&lt;&gt;-""),
  0), BV$6),
  BV$6 - COUNTIF(BV38, ""&lt;&gt;-"")
)"),2.0)</f>
        <v>2</v>
      </c>
      <c r="BX38" s="185" t="s">
        <v>1070</v>
      </c>
      <c r="BY38" s="178" t="b">
        <v>0</v>
      </c>
      <c r="BZ38" s="180" t="b">
        <v>0</v>
      </c>
      <c r="CA38" s="180" t="b">
        <v>0</v>
      </c>
      <c r="CB38" s="180" t="b">
        <v>0</v>
      </c>
      <c r="CC38" s="180" t="b">
        <v>0</v>
      </c>
      <c r="CD38" s="180" t="b">
        <v>0</v>
      </c>
      <c r="CE38" s="180" t="b">
        <v>0</v>
      </c>
      <c r="CF38" s="180" t="b">
        <v>0</v>
      </c>
      <c r="CG38" s="180" t="b">
        <v>0</v>
      </c>
      <c r="CH38" s="180" t="b">
        <v>0</v>
      </c>
      <c r="CI38" s="180" t="b">
        <v>0</v>
      </c>
      <c r="CJ38" s="180" t="b">
        <v>0</v>
      </c>
      <c r="CK38" s="180" t="b">
        <v>0</v>
      </c>
      <c r="CL38" s="180" t="b">
        <v>0</v>
      </c>
      <c r="CM38" s="181" t="s">
        <v>1070</v>
      </c>
      <c r="CN38" s="181" t="s">
        <v>1070</v>
      </c>
      <c r="CO38" s="181" t="s">
        <v>1070</v>
      </c>
      <c r="CP38" s="181" t="s">
        <v>1070</v>
      </c>
      <c r="CQ38" s="185" t="s">
        <v>1070</v>
      </c>
      <c r="CR38" s="180" t="b">
        <v>0</v>
      </c>
      <c r="CS38" s="186" t="str">
        <f t="shared" si="14"/>
        <v>◇◇◇</v>
      </c>
      <c r="CT38" s="178" t="b">
        <v>0</v>
      </c>
      <c r="CU38" s="180" t="b">
        <v>0</v>
      </c>
      <c r="CV38" s="180" t="b">
        <v>0</v>
      </c>
      <c r="CW38" s="180" t="b">
        <v>0</v>
      </c>
      <c r="CX38" s="180" t="b">
        <v>0</v>
      </c>
      <c r="CY38" s="180" t="b">
        <v>0</v>
      </c>
      <c r="CZ38" s="180" t="b">
        <v>0</v>
      </c>
      <c r="DA38" s="180" t="b">
        <v>0</v>
      </c>
      <c r="DB38" s="180" t="b">
        <v>0</v>
      </c>
      <c r="DC38" s="180" t="b">
        <v>0</v>
      </c>
      <c r="DD38" s="181" t="s">
        <v>1070</v>
      </c>
      <c r="DE38" s="181" t="s">
        <v>1070</v>
      </c>
      <c r="DF38" s="181" t="s">
        <v>1070</v>
      </c>
      <c r="DG38" s="185" t="s">
        <v>1070</v>
      </c>
      <c r="DH38" s="180" t="b">
        <v>0</v>
      </c>
      <c r="DI38" s="187" t="str">
        <f>IFERROR(__xludf.DUMMYFUNCTION("SWITCH(
  IF(
    ISTEXT(DI37),
    IF (
      FIND(""○"", DI37&amp;""○"") &gt; 3,
      3,
      FIND(""○"", DI37&amp;""○"")
      + MAX(
        ROUNDDOWN(($D38 - MAX(IFERROR(FILTER(D$24:D37, DI$24:DI37 &lt;&gt; ""●●●"", DI$23:DI36 = ""●●●""), 0))) * (60 * 60 * 24) / 20"&amp;") - ROUNDDOWN(($D37 - MAX(IFERROR(FILTER(D$23:D36, DI$23:DI36 &lt;&gt; ""●●●"", DI$22:DI35 = ""●●●""), 0))) * (60 * 60 * 24) / 20),
        0
      ) - 1
    ) - COUNTIFS(CU38, ""=TRUE"", CU37, ""&lt;&gt;TRUE"") - COUNTIF(CZ38, ""=TRUE"") - COUNTIF({DD38,DE38}, ""&lt;&gt;-"&amp;""") + COUNTIF(DH38, ""=TRUE""),
    3
  ),
  0, ""○○○"", 1, ""●○○"", 2, ""●●○"", 3, ""●●●"", 4, ""●●●"", ""○○○""
)"),"●●●")</f>
        <v>●●●</v>
      </c>
      <c r="DJ38" s="188" t="b">
        <v>0</v>
      </c>
      <c r="DK38" s="189" t="b">
        <v>0</v>
      </c>
      <c r="DL38" s="190" t="b">
        <v>0</v>
      </c>
      <c r="DM38" s="190" t="b">
        <v>0</v>
      </c>
      <c r="DN38" s="190" t="b">
        <v>0</v>
      </c>
      <c r="DO38" s="190" t="b">
        <v>0</v>
      </c>
      <c r="DP38" s="190" t="b">
        <v>0</v>
      </c>
      <c r="DQ38" s="191" t="b">
        <v>0</v>
      </c>
      <c r="DR38" s="192" t="b">
        <v>0</v>
      </c>
      <c r="DS38" s="191" t="b">
        <v>0</v>
      </c>
      <c r="DT38" s="192" t="b">
        <v>0</v>
      </c>
      <c r="DU38" s="191" t="b">
        <v>0</v>
      </c>
      <c r="DV38" s="193" t="s">
        <v>1070</v>
      </c>
      <c r="DW38" s="194" t="b">
        <v>0</v>
      </c>
      <c r="DX38" s="194" t="b">
        <v>0</v>
      </c>
      <c r="DY38" s="195" t="b">
        <v>0</v>
      </c>
      <c r="DZ38" s="196" t="b">
        <v>0</v>
      </c>
      <c r="EA38" s="195" t="b">
        <v>0</v>
      </c>
      <c r="EB38" s="197" t="b">
        <v>0</v>
      </c>
      <c r="EC38" s="197" t="b">
        <v>0</v>
      </c>
      <c r="ED38" s="212" t="b">
        <v>0</v>
      </c>
      <c r="EE38" s="199">
        <f>IFERROR(__xludf.DUMMYFUNCTION("IFERROR(
   PRODUCT(
     MAP(
       INDEX(TRANSPOSE(UNIQUE(TRANSPOSE(FILTER({IF($F38=""Physical"", K$10:ED$10, IF($F38=""Magic"", K$11:ED$11, K$12:ED$12));K$4:ED$4;K38:ED38}, K38:ED38=TRUE)))), 1, 0),
       INDEX(TRANSPOSE(UNIQUE(TRANSPOSE(FILTER({IF($"&amp;"F38=""Physical"", K$18:ED$18, IF($F38=""Magic"", K$19:ED$19, K$20:ED$20));K$4:ED$4;K38:ED38}, K38:ED38=TRUE)))), 1, 0),
       INDEX(TRANSPOSE(UNIQUE(TRANSPOSE(FILTER({K$5:ED$5;K$4:ED$4;K38:ED38}, K38:ED38=TRUE)))), 1, 0),
       INDEX(TRANSPOSE(UNIQUE(TR"&amp;"ANSPOSE(FILTER({K$17:ED$17;K$4:ED$4;K38:ED38}, K38:ED38=TRUE)))), 1, 0),
       LAMBDA(
         mitigation,
         enhance,
         assign,
         precondition,
         IF(
           REGEXMATCH(assign, ""RANGE_PARTY|SINGLE_ENEMY|RANGE_ENEMY""),
  "&amp;"         IF(
             OR(ARRAYFORMULA((IF(precondition="""", FALSE, REGEXMATCH(K$4:ED$4, precondition))) * (K38:ED38=TRUE))),
             IF(ISNUMBER(enhance), enhance, 1),
             IF(ISNUMBER(mitigation), mitigation, 1)
           ),
          "&amp;" 1
         )
       )
     )
   ),
   1
 )"),1.0)</f>
        <v>1</v>
      </c>
      <c r="EF38" s="200">
        <f>IFERROR(__xludf.DUMMYFUNCTION("PRODUCT(
   MAP(
     K$14:ED$14,
     K$13:ED$13,
     K38:ED38,
     LAMBDA(
       buff,
       target,
       check,
       IF(
         AND(check=TRUE, REGEXMATCH(target, ""RANGE_AFFECTED_ALL|RANGE_EFFECTED_ALL""), ISNUMBER(buff)),
         buff,
   "&amp;"      1
       )
     )
   )
 )"),1.0)</f>
        <v>1</v>
      </c>
      <c r="EG38" s="200">
        <f>IFERROR(__xludf.DUMMYFUNCTION("PRODUCT(
   MAP(
     K$14:ED$14,
     K$13:ED$13,
     K38:ED38,
     LAMBDA(
       buff,
       target,
       check,
       IF(
         AND(check=TRUE, REGEXMATCH(target, ""RANGE_AFFECTED_GCD|RANGE_EFFECTED_GCD""), ISNUMBER(buff)),
         buff,
   "&amp;"      1
       )
     )
   )
 )"),1.0)</f>
        <v>1</v>
      </c>
      <c r="EH38" s="200">
        <f>IFERROR(__xludf.DUMMYFUNCTION("PRODUCT(
   MAP(
     K$3:ED$3,
     K$14:ED$14,
     K$13:ED$13,
     K38:ED38,
     LAMBDA(
       job,
       buff,
       target,
       check,
       IF(
         AND(check=TRUE, REGEXMATCH(target, ""SELF_EFFECTED_ALL""), ISNUMBER(buff), job=""白魔道士"""&amp;"),
         buff,
         1
       )
     )
   )
 )"),1.0)</f>
        <v>1</v>
      </c>
      <c r="EI38" s="200">
        <f>IFERROR(__xludf.DUMMYFUNCTION("PRODUCT(
   MAP(
     K$3:ED$3,
     K$14:ED$14,
     K$13:ED$13,
     K38:ED38,
     LAMBDA(
       job,
       buff,
       target,
       check,
       IF(
         AND(check=TRUE, REGEXMATCH(target, ""SELF_EFFECTED_GCD""), ISNUMBER(buff), job=""白魔道士"""&amp;"),
         buff,
         1
       )
     )
   )
 )"),1.0)</f>
        <v>1</v>
      </c>
      <c r="EJ38" s="200">
        <f>IFERROR(__xludf.DUMMYFUNCTION("PRODUCT(
   MAP(
     K$3:ED$3,
     K$14:ED$14,
     K$13:ED$13,
     K38:ED38,
     LAMBDA(
       job,
       buff,
       target,
       check,
       IF(
         AND(check=TRUE, REGEXMATCH(target, ""SELF_EFFECTED_ALL""), ISNUMBER(buff), job=""占星術師"""&amp;"),
         buff,
         1
       )
     )
   )
 )"),1.0)</f>
        <v>1</v>
      </c>
      <c r="EK38" s="200">
        <f>IFERROR(__xludf.DUMMYFUNCTION("PRODUCT(
   MAP(
     K$3:ED$3,
     K$14:ED$14,
     K$13:ED$13,
     K38:ED38,
     LAMBDA(
       job,
       buff,
       target,
       check,
       IF(
         AND(check=TRUE, REGEXMATCH(target, ""SELF_EFFECTED_GCD""), ISNUMBER(buff), job=""占星術師"""&amp;"),
         buff,
         1
       )
     )
   )
 )"),1.0)</f>
        <v>1</v>
      </c>
      <c r="EL38" s="200">
        <f>IFERROR(__xludf.DUMMYFUNCTION("PRODUCT(
   MAP(
     K$3:ED$3,
     K$14:ED$14,
     K$13:ED$13,
     K38:ED38,
     LAMBDA(
       job,
       buff,
       target,
       check,
       IF(
         AND(check=TRUE, REGEXMATCH(target, ""SELF_EFFECTED_ALL""), ISNUMBER(buff), job=""学者""),"&amp;"
         buff,
         1
       )
     )
   )
 )"),1.0)</f>
        <v>1</v>
      </c>
      <c r="EM38" s="200">
        <f>IFERROR(__xludf.DUMMYFUNCTION("PRODUCT(
   MAP(
     K$3:ED$3,
     K$14:ED$14,
     K$13:ED$13,
     K38:ED38,
     LAMBDA(
       job,
       buff,
       target,
       check,
       IF(
         AND(check=TRUE, REGEXMATCH(target, ""SELF_EFFECTED_GCD""), ISNUMBER(buff), job=""学者""),"&amp;"
         buff,
         1
       )
     )
   )
 )"),1.0)</f>
        <v>1</v>
      </c>
      <c r="EN38" s="200">
        <f>IFERROR(__xludf.DUMMYFUNCTION("PRODUCT(
   MAP(
     K$3:ED$3,
     K$14:ED$14,
     K$13:ED$13,
     K38:ED38,
     LAMBDA(
       job,
       buff,
       target,
       check,
       IF(
         AND(check=TRUE, REGEXMATCH(target, ""SELF_EFFECTED_ALL""), ISNUMBER(buff), job=""賢者""),"&amp;"
         buff,
         1
       )
     )
   )
 )"),1.0)</f>
        <v>1</v>
      </c>
      <c r="EO38" s="200">
        <f>IFERROR(__xludf.DUMMYFUNCTION("PRODUCT(
   MAP(
     K$3:ED$3,
     K$14:ED$14,
     K$13:ED$13,
     K38:ED38,
     LAMBDA(
       job,
       buff,
       target,
       check,
       IF(
         AND(check=TRUE, REGEXMATCH(target, ""SELF_EFFECTED_GCD""), ISNUMBER(buff), job=""賢者""),"&amp;"
         buff,
         1
       )
     )
   )
 )"),1.0)</f>
        <v>1</v>
      </c>
      <c r="EP38" s="201">
        <f t="shared" si="3"/>
        <v>1100</v>
      </c>
      <c r="EQ38" s="201">
        <f>IFERROR(__xludf.DUMMYFUNCTION("SUM(
   MAP(
     K$4:ED$4,
     K$3:ED$3,
     K$7:ED$7,
     K$15:ED$15,
     K$16:ED$16,
     K$21:ED$21,
     K$5:ED$5,
     K$17:ED$17,
     K38:ED38,
     LAMBDA(
       name,
       job,
       abillity,
       buff,
       barrier,
       enhance,"&amp;"
       assign,
       precondition,
       check,
       SWITCH(
         name,
         ""シェイクオフ"", IF(check=TRUE, buff + (0.02 * COUNTIF(ARRAYFORMULA((REGEXMATCH($K$4:$ED$4, ""スリル・オブ・バトル|ヴェンジェンス|原初の血気|ダムネーション"")) * (K38:ED38=TRUE)), 1)), 0),
         "&amp;"""インプロビゼーションフィニッシュ(踊りの激情0)"", IF(ISNUMBER(check), INDEX(Skill!$AJ:$AJ, MATCH(SUBSTITUTE(DV$4, 0, check), Skill!$C:$C, 0)), 0),
         IF(
           AND(check=TRUE, REGEXMATCH(assign, ""RANGE_PARTY"")),
           IF(
             OR(ARRAYFORMULA((IF(pr"&amp;"econdition="""", FALSE, REGEXMATCH($K$4:$ED$4, precondition))) * (K38:ED38=TRUE))),
             enhance,
             IF(barrier="""", buff, barrier)
           ),
           0
         )
       ) *
       SWITCH(
         job,
         ""ナイト"", EY$24,
 "&amp;"        ""戦士"", FD$24,
         ""踊り子"", ET$24,
         ""ピクトマンサー"", ET$24,
         ""白魔道士"", EF38 * EH38 * IF(abillity, 1, EG38 * EI38) * (Option!$D$22 * 0.81 / 100),
         ""占星術師"", EF38 * EJ38 * IF(abillity, 1, EG38 * EK38) * (Option!$D$23 * 0.81 "&amp;"/ 100),
         ""学者"", EF38 * EL38 * IF(abillity, 1, EG38 * EM38) * (Option!$D$24 * 0.81 / 100),
         ""賢者"", EF38 * EN38 * IF(abillity, 1, EG38 * EO38) * (Option!$D$25 * 0.81 / 100),
         1
       )
     )
   )
 )"),0.0)</f>
        <v>0</v>
      </c>
      <c r="ER38" s="202">
        <f t="shared" si="4"/>
        <v>1100</v>
      </c>
      <c r="ES38" s="203">
        <f t="shared" si="5"/>
        <v>0</v>
      </c>
      <c r="ET38" s="231" t="str">
        <f>IFERROR(__xludf.DUMMYFUNCTION("IFS(
  EP38 &gt; $ET$24 + EQ38,
  SPARKLINE({ 1, 0 }, {""charttype"",""bar"";""max"", 1;""color1"",Option!$D$30;""color2"",Option!$D$30}),
  EP38 &lt; EQ38,
  SPARKLINE({EQ38 - EP38, $ET$24 - (EQ38 - EP38)}, {""charttype"",""bar"";""max"",$ET$24;""color1"",Opti"&amp;"on!$D$28;""color2"",Option!$D$29}),
  EP38 &gt;= EQ38,
  SPARKLINE({$ET$24 + EQ38 - EP38,EP38 - EQ38}, {""charttype"",""bar"";""max"",$ET$24;""color1"",Option!$D$29;""color2"",Option!$D$30})
)"),"")</f>
        <v/>
      </c>
      <c r="EU38" s="205">
        <f>IFERROR(__xludf.DUMMYFUNCTION("PRODUCT(
   MAP(
     IF($F38=""Physical"", K$10:ED$10, IF($F38=""Magic"", K$11:ED$11, K$12:ED$12)),
     IF($F38=""Physical"", K$18:ED$18, IF($F38=""Magic"", K$19:ED$19, K$20:ED$20)),
     K$3:ED$3,
     K$5:ED$5,
     K$17:ED$17,
     K38:ED38,
     LAM"&amp;"BDA(
       mitigation,
       enhance,
       job,
       assign,
       precondition,
       check,
       IF(
         OR(AND(check=TRUE, REGEXMATCH(assign, ""SELF""), job=""ナイト""), AND(check=Option!$E$13, REGEXMATCH(assign, ""SINGLE_PARTY""))),
      "&amp;"   IF(
           OR(ARRAYFORMULA((IF(precondition="""", FALSE, REGEXMATCH($K$4:$ED$4, precondition))) * (K38:ED38=TRUE))),
           enhance,
           mitigation
         ),
         1
       )
     )
   )
 ) * EE38"),1.0)</f>
        <v>1</v>
      </c>
      <c r="EV38" s="206">
        <f t="shared" si="6"/>
        <v>880</v>
      </c>
      <c r="EW38" s="205">
        <f>IFERROR(__xludf.DUMMYFUNCTION("PRODUCT(
   MAP(
     K$3:ED$3,
     K$14:ED$14,
     K$13:ED$13,
     K38:ED38,
     LAMBDA(
       job,
       buff,
       target,
       check,
       IF(
         OR(AND(check=TRUE, REGEXMATCH(target, ""SELF_AFFECTED_ALL""), job=""ナイト""), AND(check=O"&amp;"ption!$E$13, REGEXMATCH(target, ""SINGLE_AFFECTED_ALL""))),
         buff,
         1
       )
     )
   )
 )"),1.0)</f>
        <v>1</v>
      </c>
      <c r="EX38" s="206">
        <f>IFERROR(__xludf.DUMMYFUNCTION("SUM(
   MAP(
     K$3:ED$3,
     K$7:ED$7,
     K$15:ED$15,
     K$16:ED$16,
     K$21:ED$21,
     K$5:ED$5,
     K$17:ED$17,
     K38:ED38,
     LAMBDA(
       job,
       abillity,
       buff,
       barrier,
       enhance,
       assign,
       preco"&amp;"ndition,
       check,
       IF(
         OR(AND(check=TRUE, REGEXMATCH(assign, ""SELF""), job=""ナイト""), AND(check=Option!$E$13, REGEXMATCH(assign, ""SINGLE_PARTY""))),
         IF(
           OR(ARRAYFORMULA((IF(precondition="""", FALSE, REGEXMATCH($K$4"&amp;":$ED$4, precondition))) * (K38:ED38=TRUE))),
           enhance,
           IF(barrier="""", buff, barrier)
         ),
         0
       ) *
       SWITCH(
         job,
         ""暗黒騎士"", EY$24,
         ""白魔道士"", EF38 * EH38 * EW38 * IF(abillity, 1, EG"&amp;"38 * EI38) * (Option!$D$22 * 0.81 / 100),
         ""占星術師"", EF38 * EJ38 * EW38 * IF(abillity, 1, EG38 * EK38) * (Option!$D$23 * 0.81 / 100),
         ""学者"", EF38 * EL38 * EW38 * IF(abillity, 1, EG38 * EM38) * (Option!$D$24 * 0.81 / 100),
         ""賢者"""&amp;", EF38 * EN38 * EW38 * IF(abillity, 1, EG38 * EO38) * (Option!$D$25 * 0.81 / 100),
         1
       )
     )
   )
 ) + EQ38"),0.0)</f>
        <v>0</v>
      </c>
      <c r="EY38" s="232">
        <f t="shared" si="7"/>
        <v>880</v>
      </c>
      <c r="EZ38" s="205">
        <f>IFERROR(__xludf.DUMMYFUNCTION("PRODUCT(
   MAP(
     IF($F38=""Physical"", K$10:ED$10, IF($F38=""Magic"", K$11:ED$11, K$12:ED$12)),
     IF($F38=""Physical"", K$18:ED$18, IF($F38=""Magic"", K$19:ED$19, K$20:ED$20)),
     K$3:ED$3,
     K$5:ED$5,
     K$17:ED$17,
     K38:ED38,
     LAM"&amp;"BDA(
       mitigation,
       enhance,
       job,
       assign,
       precondition,
       check,
       IF(
         OR(AND(check=TRUE, REGEXMATCH(assign, ""SELF""), job=""戦士""), AND(check=Option!$F$13, REGEXMATCH(assign, ""SINGLE_PARTY""))),
       "&amp;"  IF(
           OR(ARRAYFORMULA((IF(precondition="""", FALSE, REGEXMATCH($K$4:$ED$4, precondition))) * (K38:ED38=TRUE))),
           enhance,
           mitigation
         ),
         1
       )
     )
   )
 ) * EE38"),1.0)</f>
        <v>1</v>
      </c>
      <c r="FA38" s="206">
        <f t="shared" si="8"/>
        <v>880</v>
      </c>
      <c r="FB38" s="205">
        <f>IFERROR(__xludf.DUMMYFUNCTION("PRODUCT(
   MAP(
     K$3:ED$3,
     K$14:ED$14,
     K$13:ED$13,
     K38:ED38,
     LAMBDA(
       job,
       buff,
       target,
       check,
       IF(
         OR(AND(check=TRUE, REGEXMATCH(target, ""SELF_AFFECTED_ALL""), job=""戦士""), AND(check=Op"&amp;"tion!$F$13, REGEXMATCH(target, ""SINGLE_AFFECTED_ALL""))),
         buff,
         1
       )
     )
   )
 )"),1.0)</f>
        <v>1</v>
      </c>
      <c r="FC38" s="206">
        <f>IFERROR(__xludf.DUMMYFUNCTION("SUM(
   MAP(
     K$3:ED$3,
     K$7:ED$7,
     K$15:ED$15,
     K$16:ED$16,
     K$21:ED$21,
     K$5:ED$5,
     K$17:ED$17,
     K38:ED38,
     LAMBDA(
       job,
       abillity,
       buff,
       barrier,
       enhance,
       assign,
       preco"&amp;"ndition,
       check,
       IF(
         OR(AND(check=TRUE, REGEXMATCH(assign, ""SELF""), job=""戦士""), AND(check=Option!$F$13, REGEXMATCH(assign, ""SINGLE_PARTY""))),
         IF(
           OR(ARRAYFORMULA((IF(precondition="""", FALSE, REGEXMATCH($K$4:"&amp;"$ED$4, precondition))) * (K38:ED38=TRUE))),
           enhance,
           IF(barrier="""", buff, barrier)
         ),
         0
       ) *
       SWITCH(
         job,
         ""暗黒騎士"", FD$24,
         ""白魔道士"", EF38 * EH38 * FB38 * IF(abillity, 1, EG3"&amp;"8 * EI38) * (Option!$D$22 * 0.81 / 100),
         ""占星術師"", EF38 * EJ38 * FFB38 * IF(abillity, 1, EG38 * EK38) * (Option!$D$23 * 0.81 / 100),
         ""学者"", EF38 * EL38 * FB38 * IF(abillity, 1, EG38 * EM38) * (Option!$D$24 * 0.81 / 100),
         ""賢者"""&amp;", EF38 * EN38 * FB38 * IF(abillity, 1, EG38 * EO38) * (Option!$D$25 * 0.81 / 100),
         1
       )
     )
   )
 ) + EQ38"),0.0)</f>
        <v>0</v>
      </c>
      <c r="FD38" s="206">
        <f t="shared" si="9"/>
        <v>880</v>
      </c>
      <c r="FE38" s="205">
        <f>IFERROR(__xludf.DUMMYFUNCTION("PRODUCT(
   MAP(
     IF($F38=""Physical"", K$10:ED$10, IF($F38=""Magic"", K$11:ED$11, K$12:ED$12)),
     IF($F38=""Physical"", K$18:ED$18, IF($F38=""Magic"", K$19:ED$19, K$20:ED$20)),
     K$3:ED$3,
     K$5:ED$5,
     K$17:ED$17,
     K38:ED38,
     LAM"&amp;"BDA(
       mitigation,
       enhance,
       job,
       assign,
       precondition,
       check,
       IF(
         OR(AND(check=TRUE, REGEXMATCH(assign, ""SELF""), job=""暗黒騎士""), AND(check=Option!$G$13, REGEXMATCH(assign, ""SINGLE_PARTY""))),
     "&amp;"    IF(
           OR(ARRAYFORMULA((IF(precondition="""", FALSE, REGEXMATCH($K$4:$ED$4, precondition))) * (K38:ED38=TRUE))),
           enhance,
           mitigation
         ),
         1
       )
     )
   )
 ) * EE38"),1.0)</f>
        <v>1</v>
      </c>
      <c r="FF38" s="206">
        <f t="shared" si="10"/>
        <v>880</v>
      </c>
      <c r="FG38" s="205">
        <f>IFERROR(__xludf.DUMMYFUNCTION("PRODUCT(
   MAP(
     K$3:ED$3,
     K$14:ED$14,
     K$13:ED$13,
     K38:ED38,
     LAMBDA(
       job,
       buff,
       target,
       check,
       IF(
         OR(AND(check=TRUE, REGEXMATCH(target, ""SELF_AFFECTED_ALL""), job=""暗黒騎士""), AND(check="&amp;"Option!$G$13, REGEXMATCH(target, ""SINGLE_AFFECTED_ALL""))),
         buff,
         1
       )
     )
   )
 )"),1.0)</f>
        <v>1</v>
      </c>
      <c r="FH38" s="206">
        <f>IFERROR(__xludf.DUMMYFUNCTION("SUM(
   MAP(
     K$3:ED$3,
     K$7:ED$7,
     K$15:ED$15,
     K$16:ED$16,
     K$21:ED$21,
     K$5:ED$5,
     K$17:ED$17,
     K38:ED38,
     LAMBDA(
       job,
       abillity,
       buff,
       barrier,
       enhance,
       assign,
       preco"&amp;"ndition,
       check,
       IF(
         OR(AND(check=TRUE, REGEXMATCH(assign, ""SELF""), job=""暗黒騎士""), AND(check=Option!$G$13, REGEXMATCH(assign, ""SINGLE_PARTY""))),
         IF(
           OR(ARRAYFORMULA((IF(precondition="""", FALSE, REGEXMATCH($K$"&amp;"4:$ED$4, precondition))) * (K38:ED38=TRUE))),
           enhance,
           IF(barrier="""", buff, barrier)
         ),
         0
       ) *
       SWITCH(
         job,
         ""暗黒騎士"", FI$24,
         ""白魔道士"", EF38 * EH38 * FG38 * IF(abillity, 1, E"&amp;"G38 * EI38) * (Option!$D$22 * 0.81 / 100),
         ""占星術師"", EF38 * EJ38 * FG38 * IF(abillity, 1, EG38 * EK38) * (Option!$D$23 * 0.81 / 100),
         ""学者"", EF38 * EL38 * FG38 * IF(abillity, 1, EG38 * EM38) * (Option!$D$24 * 0.81 / 100),
         ""賢者"&amp;""", EF38 * EN38 * FG38 * IF(abillity, 1, EG38 * EO38) * (Option!$D$25 * 0.81 / 100),
         1
       )
     )
   )
 ) + EQ38"),0.0)</f>
        <v>0</v>
      </c>
      <c r="FI38" s="206">
        <f t="shared" si="11"/>
        <v>880</v>
      </c>
      <c r="FJ38" s="205">
        <f>IFERROR(__xludf.DUMMYFUNCTION("PRODUCT(
   MAP(
     IF($F38=""Physical"", K$10:ED$10, IF($F38=""Magic"", K$11:ED$11, K$12:ED$12)),
     IF($F38=""Physical"", K$18:ED$18, IF($F38=""Magic"", K$19:ED$19, K$20:ED$20)),
     K$3:ED$3,
     K$5:ED$5,
     K$17:ED$17,
     K38:ED38,
     LAM"&amp;"BDA(
       mitigation,
       enhance,
       job,
       assign,
       precondition,
       check,
       IF(
         OR(AND(check=TRUE, REGEXMATCH(assign, ""SELF""), job=""ガンブレイカー""), AND(check=Option!$H$13, REGEXMATCH(assign, ""SINGLE_PARTY""))),
  "&amp;"       IF(
           OR(ARRAYFORMULA((IF(precondition="""", FALSE, REGEXMATCH($K$4:$ED$4, precondition))) * (K38:ED38=TRUE))),
           enhance,
           mitigation
         ),
         1
       )
     )
   )
 ) * EE38"),1.0)</f>
        <v>1</v>
      </c>
      <c r="FK38" s="206">
        <f t="shared" si="12"/>
        <v>880</v>
      </c>
      <c r="FL38" s="205">
        <f>IFERROR(__xludf.DUMMYFUNCTION("PRODUCT(
   MAP(
     K$3:ED$3,
     K$14:ED$14,
     K$13:ED$13,
     K38:ED38,
     LAMBDA(
       job,
       buff,
       target,
       check,
       IF(
         OR(AND(check=TRUE, REGEXMATCH(target, ""SELF_AFFECTED_ALL""), job=""ガンブレイカー""), AND(che"&amp;"ck=Option!$H$13, REGEXMATCH(target, ""SINGLE_AFFECTED_ALL""))),
         buff,
         1
       )
     )
   )
 )"),1.0)</f>
        <v>1</v>
      </c>
      <c r="FM38" s="206">
        <f>IFERROR(__xludf.DUMMYFUNCTION("SUM(
   MAP(
     K$3:ED$3,
     K$7:ED$7,
     K$15:ED$15,
     K$16:ED$16,
     K$21:ED$21,
     K$5:ED$5,
     K$17:ED$17,
     K38:ED38,
     LAMBDA(
       job,
       abillity,
       buff,
       barrier,
       enhance,
       assign,
       preco"&amp;"ndition,
       check,
       IF(
         OR(AND(check=TRUE, REGEXMATCH(assign, ""SELF""), job=""ガンブレイカー""), AND(check=Option!$H$13, REGEXMATCH(assign, ""SINGLE_PARTY""))),
         IF(
           OR(ARRAYFORMULA((IF(precondition="""", FALSE, REGEXMATCH("&amp;"$K$4:$ED$4, precondition))) * (K38:ED38=TRUE))),
           enhance,
           IF(barrier="""", buff, barrier)
         ),
         0
       ) *
       SWITCH(
         job,
         ""暗黒騎士"", FN$24,
         ""白魔道士"", EF38 * EH38 * FL38 * IF(abillity, 1"&amp;", EG38 * EI38) * (Option!$D$22 * 0.81 / 100),
         ""占星術師"", EF38 * EJ38 * FL38 * IF(abillity, 1, EG38 * EK38) * (Option!$D$23 * 0.81 / 100),
         ""学者"", EF38 * EL38 * FL38 * IF(abillity, 1, EG38 * EM38) * (Option!$D$24 * 0.81 / 100),
         """&amp;"賢者"", EF38 * EN38 * FL38 * IF(abillity, 1, EG38 * EO38) * (Option!$D$25 * 0.81 / 100),
         1
       )
     )
   )
 ) + EQ38"),0.0)</f>
        <v>0</v>
      </c>
      <c r="FN38" s="206">
        <f t="shared" si="13"/>
        <v>880</v>
      </c>
      <c r="FO38" s="213"/>
    </row>
    <row r="39">
      <c r="B39" s="229"/>
      <c r="C39" s="217">
        <f t="shared" si="1"/>
        <v>0.003159722222</v>
      </c>
      <c r="D39" s="236">
        <v>0.0014583333333333334</v>
      </c>
      <c r="E39" s="237" t="s">
        <v>1092</v>
      </c>
      <c r="F39" s="167" t="s">
        <v>11</v>
      </c>
      <c r="G39" s="168" t="str">
        <f t="shared" si="2"/>
        <v/>
      </c>
      <c r="H39" s="169">
        <v>24000.0</v>
      </c>
      <c r="I39" s="169"/>
      <c r="J39" s="169"/>
      <c r="K39" s="170" t="b">
        <v>0</v>
      </c>
      <c r="L39" s="170" t="b">
        <v>0</v>
      </c>
      <c r="M39" s="170" t="b">
        <v>0</v>
      </c>
      <c r="N39" s="171" t="s">
        <v>1070</v>
      </c>
      <c r="O39" s="172" t="b">
        <v>0</v>
      </c>
      <c r="P39" s="173" t="b">
        <v>0</v>
      </c>
      <c r="Q39" s="173" t="b">
        <v>0</v>
      </c>
      <c r="R39" s="173" t="b">
        <v>0</v>
      </c>
      <c r="S39" s="174" t="b">
        <v>0</v>
      </c>
      <c r="T39" s="175" t="b">
        <v>0</v>
      </c>
      <c r="U39" s="173" t="b">
        <v>0</v>
      </c>
      <c r="V39" s="171" t="s">
        <v>1070</v>
      </c>
      <c r="W39" s="172" t="b">
        <v>0</v>
      </c>
      <c r="X39" s="173" t="b">
        <v>0</v>
      </c>
      <c r="Y39" s="173" t="b">
        <v>0</v>
      </c>
      <c r="Z39" s="173" t="b">
        <v>0</v>
      </c>
      <c r="AA39" s="174" t="b">
        <v>0</v>
      </c>
      <c r="AB39" s="174" t="b">
        <v>0</v>
      </c>
      <c r="AC39" s="175" t="b">
        <v>0</v>
      </c>
      <c r="AD39" s="173" t="b">
        <v>0</v>
      </c>
      <c r="AE39" s="176" t="s">
        <v>1070</v>
      </c>
      <c r="AF39" s="171" t="s">
        <v>1070</v>
      </c>
      <c r="AG39" s="177">
        <f>IFERROR(__xludf.DUMMYFUNCTION("IF(
  ISNUMBER(AG38),
  MIN(MAX(
    AG38
    + MAX(
      ROUNDDOWN(($D39 - MAX(IFERROR(FILTER($D$24:$D38, AG$24:AG38 &lt;&gt; AF$6, AG$23:AG37 = AF$6), 0))) * (60 * 60 * 24) / AF$9) - ROUNDDOWN(($D38 - MAX(IFERROR(FILTER($D$23:$D37, AG$23:AG37 &lt;&gt; AF$6, AG$22:"&amp;"AG36 = AF$6), 0))) * (60 * 60 * 24) / 60),
      0
    )
    - COUNTIF(AF39, ""&lt;&gt;-""),
  0), AF$6),
  AF$6 - COUNTIF(AF39, ""&lt;&gt;-"")
)"),2.0)</f>
        <v>2</v>
      </c>
      <c r="AH39" s="173" t="b">
        <v>0</v>
      </c>
      <c r="AI39" s="173" t="b">
        <v>0</v>
      </c>
      <c r="AJ39" s="173" t="b">
        <v>0</v>
      </c>
      <c r="AK39" s="174" t="b">
        <v>0</v>
      </c>
      <c r="AL39" s="175" t="b">
        <v>0</v>
      </c>
      <c r="AM39" s="173" t="b">
        <v>0</v>
      </c>
      <c r="AN39" s="171" t="s">
        <v>1070</v>
      </c>
      <c r="AO39" s="173" t="b">
        <v>0</v>
      </c>
      <c r="AP39" s="173" t="b">
        <v>0</v>
      </c>
      <c r="AQ39" s="173" t="b">
        <v>0</v>
      </c>
      <c r="AR39" s="174" t="b">
        <v>0</v>
      </c>
      <c r="AS39" s="178" t="b">
        <v>0</v>
      </c>
      <c r="AT39" s="179" t="b">
        <v>0</v>
      </c>
      <c r="AU39" s="180" t="b">
        <v>0</v>
      </c>
      <c r="AV39" s="180" t="b">
        <v>0</v>
      </c>
      <c r="AW39" s="180" t="b">
        <v>0</v>
      </c>
      <c r="AX39" s="180" t="b">
        <v>0</v>
      </c>
      <c r="AY39" s="181" t="s">
        <v>1070</v>
      </c>
      <c r="AZ39" s="181" t="s">
        <v>1070</v>
      </c>
      <c r="BA39" s="184">
        <f>IFERROR(__xludf.DUMMYFUNCTION("IF(
  ISNUMBER(BA38),
  MIN(MAX(
    BA38
    + MAX(
      ROUNDDOWN((D39 - MAX(IFERROR(FILTER(D$24:D38, BA$24:BA38 &lt;&gt; AZ$6, BA$23:BA37 = AZ$6), 0))) * (60 * 60 * 24) / AZ$9) - ROUNDDOWN((D38 - MAX(IFERROR(FILTER(D$23:D37, BA$23:BA37 &lt;&gt; AZ$6, BA$22:BA36 ="&amp;" AZ$6), 0))) * (60 * 60 * 24) / AZ$9),
      0
    )
    - COUNTIF(AZ39, ""&lt;&gt;-""),
  0), AZ$6),
  AZ$6 - COUNTIF(AZ39, ""&lt;&gt;-"")
)"),2.0)</f>
        <v>2</v>
      </c>
      <c r="BB39" s="181" t="s">
        <v>1070</v>
      </c>
      <c r="BC39" s="183">
        <f>IFERROR(__xludf.DUMMYFUNCTION("IF(
  ISNUMBER(BC38),
  MIN(MAX(
    BC38
    + MAX(
      ROUNDDOWN(($D39 - MAX(IFERROR(FILTER($D$24:$D38, BC$24:BC38 &lt;&gt; BB$6, BC$23:BC37 = BB$6), 0))) * (60 * 60 * 24) / BB$9) - ROUNDDOWN(($D38 - MAX(IFERROR(FILTER($D$23:$D37, BC$23:BC37 &lt;&gt; BB$6, BC$22:"&amp;"BC36 = BB$6), 0))) * (60 * 60 * 24) / 60),
      0
    )
    - COUNTIF(BB39, ""&lt;&gt;-""),
  0), BB$6),
  BB$6 - COUNTIF(BB39, ""&lt;&gt;-"")
)"),2.0)</f>
        <v>2</v>
      </c>
      <c r="BD39" s="181" t="s">
        <v>1070</v>
      </c>
      <c r="BE39" s="178" t="b">
        <v>0</v>
      </c>
      <c r="BF39" s="180" t="b">
        <v>0</v>
      </c>
      <c r="BG39" s="180" t="b">
        <v>0</v>
      </c>
      <c r="BH39" s="180" t="b">
        <v>0</v>
      </c>
      <c r="BI39" s="180" t="b">
        <v>0</v>
      </c>
      <c r="BJ39" s="180" t="b">
        <v>0</v>
      </c>
      <c r="BK39" s="180" t="b">
        <v>0</v>
      </c>
      <c r="BL39" s="180" t="b">
        <v>0</v>
      </c>
      <c r="BM39" s="180" t="b">
        <v>0</v>
      </c>
      <c r="BN39" s="180" t="b">
        <v>0</v>
      </c>
      <c r="BO39" s="181" t="s">
        <v>1070</v>
      </c>
      <c r="BP39" s="181" t="s">
        <v>1070</v>
      </c>
      <c r="BQ39" s="181" t="s">
        <v>1070</v>
      </c>
      <c r="BR39" s="181" t="s">
        <v>1070</v>
      </c>
      <c r="BS39" s="181" t="s">
        <v>1070</v>
      </c>
      <c r="BT39" s="184">
        <f>IFERROR(__xludf.DUMMYFUNCTION("IF(
  ISNUMBER(BT38),
  MIN(MAX(
    BT38
    + MAX(
      ROUNDDOWN((D39 - MAX(IFERROR(FILTER(D$24:D38, BT$24:BT38 &lt;&gt; BS$6, BT$23:BT37 = BS$6), 0))) * (60 * 60 * 24) / BS$9) - ROUNDDOWN((D38 - MAX(IFERROR(FILTER(D$23:D37, BT$23:BT37 &lt;&gt; BS$6, BT$22:BT36 ="&amp;" BS$6), 0))) * (60 * 60 * 24) / BS$9),
      0
    )
    - COUNTIF(BS39, ""&lt;&gt;-""),
  0), BS$6),
  BS$6 - COUNTIF(BS39, ""&lt;&gt;-"")
)"),3.0)</f>
        <v>3</v>
      </c>
      <c r="BU39" s="181" t="s">
        <v>1070</v>
      </c>
      <c r="BV39" s="181" t="s">
        <v>1070</v>
      </c>
      <c r="BW39" s="184">
        <f>IFERROR(__xludf.DUMMYFUNCTION("IF(
  ISNUMBER(BW38),
  MIN(MAX(
    BW38
    + MAX(
      ROUNDDOWN((D39 - MAX(IFERROR(FILTER(D$24:D38, BW$24:BW38 &lt;&gt; BV$6, BW$23:BW37 = BV$6), 0))) * (60 * 60 * 24) / BV$9) - ROUNDDOWN((D38 - MAX(IFERROR(FILTER(D$23:D37, BW$23:BW37 &lt;&gt; BV$6, BW$22:BW36 ="&amp;" BV$6), 0))) * (60 * 60 * 24) / BV$9),
      0
    )
    - COUNTIF(BV39, ""&lt;&gt;-""),
  0), BV$6),
  BV$6 - COUNTIF(BV39, ""&lt;&gt;-"")
)"),2.0)</f>
        <v>2</v>
      </c>
      <c r="BX39" s="185" t="s">
        <v>1070</v>
      </c>
      <c r="BY39" s="178" t="b">
        <v>0</v>
      </c>
      <c r="BZ39" s="180" t="b">
        <v>0</v>
      </c>
      <c r="CA39" s="180" t="b">
        <v>0</v>
      </c>
      <c r="CB39" s="180" t="b">
        <v>0</v>
      </c>
      <c r="CC39" s="180" t="b">
        <v>0</v>
      </c>
      <c r="CD39" s="180" t="b">
        <v>0</v>
      </c>
      <c r="CE39" s="180" t="b">
        <v>0</v>
      </c>
      <c r="CF39" s="180" t="b">
        <v>0</v>
      </c>
      <c r="CG39" s="180" t="b">
        <v>0</v>
      </c>
      <c r="CH39" s="180" t="b">
        <v>0</v>
      </c>
      <c r="CI39" s="180" t="b">
        <v>0</v>
      </c>
      <c r="CJ39" s="180" t="b">
        <v>0</v>
      </c>
      <c r="CK39" s="180" t="b">
        <v>0</v>
      </c>
      <c r="CL39" s="180" t="b">
        <v>0</v>
      </c>
      <c r="CM39" s="181" t="s">
        <v>1070</v>
      </c>
      <c r="CN39" s="181" t="s">
        <v>1070</v>
      </c>
      <c r="CO39" s="181" t="s">
        <v>1070</v>
      </c>
      <c r="CP39" s="181" t="s">
        <v>1070</v>
      </c>
      <c r="CQ39" s="185" t="s">
        <v>1070</v>
      </c>
      <c r="CR39" s="180" t="b">
        <v>0</v>
      </c>
      <c r="CS39" s="186" t="str">
        <f t="shared" si="14"/>
        <v>◇◇◇</v>
      </c>
      <c r="CT39" s="178" t="b">
        <v>0</v>
      </c>
      <c r="CU39" s="180" t="b">
        <v>0</v>
      </c>
      <c r="CV39" s="180" t="b">
        <v>0</v>
      </c>
      <c r="CW39" s="180" t="b">
        <v>0</v>
      </c>
      <c r="CX39" s="180" t="b">
        <v>0</v>
      </c>
      <c r="CY39" s="180" t="b">
        <v>0</v>
      </c>
      <c r="CZ39" s="180" t="b">
        <v>0</v>
      </c>
      <c r="DA39" s="180" t="b">
        <v>0</v>
      </c>
      <c r="DB39" s="180" t="b">
        <v>0</v>
      </c>
      <c r="DC39" s="180" t="b">
        <v>0</v>
      </c>
      <c r="DD39" s="181" t="s">
        <v>1070</v>
      </c>
      <c r="DE39" s="181" t="s">
        <v>1070</v>
      </c>
      <c r="DF39" s="181" t="s">
        <v>1070</v>
      </c>
      <c r="DG39" s="185" t="s">
        <v>1070</v>
      </c>
      <c r="DH39" s="180" t="b">
        <v>0</v>
      </c>
      <c r="DI39" s="187" t="str">
        <f>IFERROR(__xludf.DUMMYFUNCTION("SWITCH(
  IF(
    ISTEXT(DI38),
    IF (
      FIND(""○"", DI38&amp;""○"") &gt; 3,
      3,
      FIND(""○"", DI38&amp;""○"")
      + MAX(
        ROUNDDOWN(($D39 - MAX(IFERROR(FILTER(D$24:D38, DI$24:DI38 &lt;&gt; ""●●●"", DI$23:DI37 = ""●●●""), 0))) * (60 * 60 * 24) / 20"&amp;") - ROUNDDOWN(($D38 - MAX(IFERROR(FILTER(D$23:D37, DI$23:DI37 &lt;&gt; ""●●●"", DI$22:DI36 = ""●●●""), 0))) * (60 * 60 * 24) / 20),
        0
      ) - 1
    ) - COUNTIFS(CU39, ""=TRUE"", CU38, ""&lt;&gt;TRUE"") - COUNTIF(CZ39, ""=TRUE"") - COUNTIF({DD39,DE39}, ""&lt;&gt;-"&amp;""") + COUNTIF(DH39, ""=TRUE""),
    3
  ),
  0, ""○○○"", 1, ""●○○"", 2, ""●●○"", 3, ""●●●"", 4, ""●●●"", ""○○○""
)"),"●●●")</f>
        <v>●●●</v>
      </c>
      <c r="DJ39" s="188" t="b">
        <v>0</v>
      </c>
      <c r="DK39" s="189" t="b">
        <v>0</v>
      </c>
      <c r="DL39" s="190" t="b">
        <v>0</v>
      </c>
      <c r="DM39" s="190" t="b">
        <v>0</v>
      </c>
      <c r="DN39" s="190" t="b">
        <v>0</v>
      </c>
      <c r="DO39" s="190" t="b">
        <v>0</v>
      </c>
      <c r="DP39" s="190" t="b">
        <v>0</v>
      </c>
      <c r="DQ39" s="191" t="b">
        <v>0</v>
      </c>
      <c r="DR39" s="192" t="b">
        <v>0</v>
      </c>
      <c r="DS39" s="191" t="b">
        <v>0</v>
      </c>
      <c r="DT39" s="192" t="b">
        <v>0</v>
      </c>
      <c r="DU39" s="191" t="b">
        <v>0</v>
      </c>
      <c r="DV39" s="193" t="s">
        <v>1070</v>
      </c>
      <c r="DW39" s="194" t="b">
        <v>0</v>
      </c>
      <c r="DX39" s="194" t="b">
        <v>0</v>
      </c>
      <c r="DY39" s="195" t="b">
        <v>0</v>
      </c>
      <c r="DZ39" s="196" t="b">
        <v>0</v>
      </c>
      <c r="EA39" s="195" t="b">
        <v>0</v>
      </c>
      <c r="EB39" s="197" t="b">
        <v>0</v>
      </c>
      <c r="EC39" s="197" t="b">
        <v>0</v>
      </c>
      <c r="ED39" s="212" t="b">
        <v>0</v>
      </c>
      <c r="EE39" s="199">
        <f>IFERROR(__xludf.DUMMYFUNCTION("IFERROR(
   PRODUCT(
     MAP(
       INDEX(TRANSPOSE(UNIQUE(TRANSPOSE(FILTER({IF($F39=""Physical"", K$10:ED$10, IF($F39=""Magic"", K$11:ED$11, K$12:ED$12));K$4:ED$4;K39:ED39}, K39:ED39=TRUE)))), 1, 0),
       INDEX(TRANSPOSE(UNIQUE(TRANSPOSE(FILTER({IF($"&amp;"F39=""Physical"", K$18:ED$18, IF($F39=""Magic"", K$19:ED$19, K$20:ED$20));K$4:ED$4;K39:ED39}, K39:ED39=TRUE)))), 1, 0),
       INDEX(TRANSPOSE(UNIQUE(TRANSPOSE(FILTER({K$5:ED$5;K$4:ED$4;K39:ED39}, K39:ED39=TRUE)))), 1, 0),
       INDEX(TRANSPOSE(UNIQUE(TR"&amp;"ANSPOSE(FILTER({K$17:ED$17;K$4:ED$4;K39:ED39}, K39:ED39=TRUE)))), 1, 0),
       LAMBDA(
         mitigation,
         enhance,
         assign,
         precondition,
         IF(
           REGEXMATCH(assign, ""RANGE_PARTY|SINGLE_ENEMY|RANGE_ENEMY""),
  "&amp;"         IF(
             OR(ARRAYFORMULA((IF(precondition="""", FALSE, REGEXMATCH(K$4:ED$4, precondition))) * (K39:ED39=TRUE))),
             IF(ISNUMBER(enhance), enhance, 1),
             IF(ISNUMBER(mitigation), mitigation, 1)
           ),
          "&amp;" 1
         )
       )
     )
   ),
   1
 )"),1.0)</f>
        <v>1</v>
      </c>
      <c r="EF39" s="200">
        <f>IFERROR(__xludf.DUMMYFUNCTION("PRODUCT(
   MAP(
     K$14:ED$14,
     K$13:ED$13,
     K39:ED39,
     LAMBDA(
       buff,
       target,
       check,
       IF(
         AND(check=TRUE, REGEXMATCH(target, ""RANGE_AFFECTED_ALL|RANGE_EFFECTED_ALL""), ISNUMBER(buff)),
         buff,
   "&amp;"      1
       )
     )
   )
 )"),1.0)</f>
        <v>1</v>
      </c>
      <c r="EG39" s="200">
        <f>IFERROR(__xludf.DUMMYFUNCTION("PRODUCT(
   MAP(
     K$14:ED$14,
     K$13:ED$13,
     K39:ED39,
     LAMBDA(
       buff,
       target,
       check,
       IF(
         AND(check=TRUE, REGEXMATCH(target, ""RANGE_AFFECTED_GCD|RANGE_EFFECTED_GCD""), ISNUMBER(buff)),
         buff,
   "&amp;"      1
       )
     )
   )
 )"),1.0)</f>
        <v>1</v>
      </c>
      <c r="EH39" s="200">
        <f>IFERROR(__xludf.DUMMYFUNCTION("PRODUCT(
   MAP(
     K$3:ED$3,
     K$14:ED$14,
     K$13:ED$13,
     K39:ED39,
     LAMBDA(
       job,
       buff,
       target,
       check,
       IF(
         AND(check=TRUE, REGEXMATCH(target, ""SELF_EFFECTED_ALL""), ISNUMBER(buff), job=""白魔道士"""&amp;"),
         buff,
         1
       )
     )
   )
 )"),1.0)</f>
        <v>1</v>
      </c>
      <c r="EI39" s="200">
        <f>IFERROR(__xludf.DUMMYFUNCTION("PRODUCT(
   MAP(
     K$3:ED$3,
     K$14:ED$14,
     K$13:ED$13,
     K39:ED39,
     LAMBDA(
       job,
       buff,
       target,
       check,
       IF(
         AND(check=TRUE, REGEXMATCH(target, ""SELF_EFFECTED_GCD""), ISNUMBER(buff), job=""白魔道士"""&amp;"),
         buff,
         1
       )
     )
   )
 )"),1.0)</f>
        <v>1</v>
      </c>
      <c r="EJ39" s="200">
        <f>IFERROR(__xludf.DUMMYFUNCTION("PRODUCT(
   MAP(
     K$3:ED$3,
     K$14:ED$14,
     K$13:ED$13,
     K39:ED39,
     LAMBDA(
       job,
       buff,
       target,
       check,
       IF(
         AND(check=TRUE, REGEXMATCH(target, ""SELF_EFFECTED_ALL""), ISNUMBER(buff), job=""占星術師"""&amp;"),
         buff,
         1
       )
     )
   )
 )"),1.0)</f>
        <v>1</v>
      </c>
      <c r="EK39" s="200">
        <f>IFERROR(__xludf.DUMMYFUNCTION("PRODUCT(
   MAP(
     K$3:ED$3,
     K$14:ED$14,
     K$13:ED$13,
     K39:ED39,
     LAMBDA(
       job,
       buff,
       target,
       check,
       IF(
         AND(check=TRUE, REGEXMATCH(target, ""SELF_EFFECTED_GCD""), ISNUMBER(buff), job=""占星術師"""&amp;"),
         buff,
         1
       )
     )
   )
 )"),1.0)</f>
        <v>1</v>
      </c>
      <c r="EL39" s="200">
        <f>IFERROR(__xludf.DUMMYFUNCTION("PRODUCT(
   MAP(
     K$3:ED$3,
     K$14:ED$14,
     K$13:ED$13,
     K39:ED39,
     LAMBDA(
       job,
       buff,
       target,
       check,
       IF(
         AND(check=TRUE, REGEXMATCH(target, ""SELF_EFFECTED_ALL""), ISNUMBER(buff), job=""学者""),"&amp;"
         buff,
         1
       )
     )
   )
 )"),1.0)</f>
        <v>1</v>
      </c>
      <c r="EM39" s="200">
        <f>IFERROR(__xludf.DUMMYFUNCTION("PRODUCT(
   MAP(
     K$3:ED$3,
     K$14:ED$14,
     K$13:ED$13,
     K39:ED39,
     LAMBDA(
       job,
       buff,
       target,
       check,
       IF(
         AND(check=TRUE, REGEXMATCH(target, ""SELF_EFFECTED_GCD""), ISNUMBER(buff), job=""学者""),"&amp;"
         buff,
         1
       )
     )
   )
 )"),1.0)</f>
        <v>1</v>
      </c>
      <c r="EN39" s="200">
        <f>IFERROR(__xludf.DUMMYFUNCTION("PRODUCT(
   MAP(
     K$3:ED$3,
     K$14:ED$14,
     K$13:ED$13,
     K39:ED39,
     LAMBDA(
       job,
       buff,
       target,
       check,
       IF(
         AND(check=TRUE, REGEXMATCH(target, ""SELF_EFFECTED_ALL""), ISNUMBER(buff), job=""賢者""),"&amp;"
         buff,
         1
       )
     )
   )
 )"),1.0)</f>
        <v>1</v>
      </c>
      <c r="EO39" s="200">
        <f>IFERROR(__xludf.DUMMYFUNCTION("PRODUCT(
   MAP(
     K$3:ED$3,
     K$14:ED$14,
     K$13:ED$13,
     K39:ED39,
     LAMBDA(
       job,
       buff,
       target,
       check,
       IF(
         AND(check=TRUE, REGEXMATCH(target, ""SELF_EFFECTED_GCD""), ISNUMBER(buff), job=""賢者""),"&amp;"
         buff,
         1
       )
     )
   )
 )"),1.0)</f>
        <v>1</v>
      </c>
      <c r="EP39" s="201">
        <f t="shared" si="3"/>
        <v>24000</v>
      </c>
      <c r="EQ39" s="201">
        <f>IFERROR(__xludf.DUMMYFUNCTION("SUM(
   MAP(
     K$4:ED$4,
     K$3:ED$3,
     K$7:ED$7,
     K$15:ED$15,
     K$16:ED$16,
     K$21:ED$21,
     K$5:ED$5,
     K$17:ED$17,
     K39:ED39,
     LAMBDA(
       name,
       job,
       abillity,
       buff,
       barrier,
       enhance,"&amp;"
       assign,
       precondition,
       check,
       SWITCH(
         name,
         ""シェイクオフ"", IF(check=TRUE, buff + (0.02 * COUNTIF(ARRAYFORMULA((REGEXMATCH($K$4:$ED$4, ""スリル・オブ・バトル|ヴェンジェンス|原初の血気|ダムネーション"")) * (K39:ED39=TRUE)), 1)), 0),
         "&amp;"""インプロビゼーションフィニッシュ(踊りの激情0)"", IF(ISNUMBER(check), INDEX(Skill!$AJ:$AJ, MATCH(SUBSTITUTE(DV$4, 0, check), Skill!$C:$C, 0)), 0),
         IF(
           AND(check=TRUE, REGEXMATCH(assign, ""RANGE_PARTY"")),
           IF(
             OR(ARRAYFORMULA((IF(pr"&amp;"econdition="""", FALSE, REGEXMATCH($K$4:$ED$4, precondition))) * (K39:ED39=TRUE))),
             enhance,
             IF(barrier="""", buff, barrier)
           ),
           0
         )
       ) *
       SWITCH(
         job,
         ""ナイト"", EY$24,
 "&amp;"        ""戦士"", FD$24,
         ""踊り子"", ET$24,
         ""ピクトマンサー"", ET$24,
         ""白魔道士"", EF39 * EH39 * IF(abillity, 1, EG39 * EI39) * (Option!$D$22 * 0.81 / 100),
         ""占星術師"", EF39 * EJ39 * IF(abillity, 1, EG39 * EK39) * (Option!$D$23 * 0.81 "&amp;"/ 100),
         ""学者"", EF39 * EL39 * IF(abillity, 1, EG39 * EM39) * (Option!$D$24 * 0.81 / 100),
         ""賢者"", EF39 * EN39 * IF(abillity, 1, EG39 * EO39) * (Option!$D$25 * 0.81 / 100),
         1
       )
     )
   )
 )"),0.0)</f>
        <v>0</v>
      </c>
      <c r="ER39" s="202">
        <f t="shared" si="4"/>
        <v>24000</v>
      </c>
      <c r="ES39" s="203">
        <f t="shared" si="5"/>
        <v>0</v>
      </c>
      <c r="ET39" s="231" t="str">
        <f>IFERROR(__xludf.DUMMYFUNCTION("IFS(
  EP39 &gt; $ET$24 + EQ39,
  SPARKLINE({ 1, 0 }, {""charttype"",""bar"";""max"", 1;""color1"",Option!$D$30;""color2"",Option!$D$30}),
  EP39 &lt; EQ39,
  SPARKLINE({EQ39 - EP39, $ET$24 - (EQ39 - EP39)}, {""charttype"",""bar"";""max"",$ET$24;""color1"",Opti"&amp;"on!$D$28;""color2"",Option!$D$29}),
  EP39 &gt;= EQ39,
  SPARKLINE({$ET$24 + EQ39 - EP39,EP39 - EQ39}, {""charttype"",""bar"";""max"",$ET$24;""color1"",Option!$D$29;""color2"",Option!$D$30})
)"),"")</f>
        <v/>
      </c>
      <c r="EU39" s="205">
        <f>IFERROR(__xludf.DUMMYFUNCTION("PRODUCT(
   MAP(
     IF($F39=""Physical"", K$10:ED$10, IF($F39=""Magic"", K$11:ED$11, K$12:ED$12)),
     IF($F39=""Physical"", K$18:ED$18, IF($F39=""Magic"", K$19:ED$19, K$20:ED$20)),
     K$3:ED$3,
     K$5:ED$5,
     K$17:ED$17,
     K39:ED39,
     LAM"&amp;"BDA(
       mitigation,
       enhance,
       job,
       assign,
       precondition,
       check,
       IF(
         OR(AND(check=TRUE, REGEXMATCH(assign, ""SELF""), job=""ナイト""), AND(check=Option!$E$13, REGEXMATCH(assign, ""SINGLE_PARTY""))),
      "&amp;"   IF(
           OR(ARRAYFORMULA((IF(precondition="""", FALSE, REGEXMATCH($K$4:$ED$4, precondition))) * (K39:ED39=TRUE))),
           enhance,
           mitigation
         ),
         1
       )
     )
   )
 ) * EE39"),1.0)</f>
        <v>1</v>
      </c>
      <c r="EV39" s="206">
        <f t="shared" si="6"/>
        <v>19200</v>
      </c>
      <c r="EW39" s="205">
        <f>IFERROR(__xludf.DUMMYFUNCTION("PRODUCT(
   MAP(
     K$3:ED$3,
     K$14:ED$14,
     K$13:ED$13,
     K39:ED39,
     LAMBDA(
       job,
       buff,
       target,
       check,
       IF(
         OR(AND(check=TRUE, REGEXMATCH(target, ""SELF_AFFECTED_ALL""), job=""ナイト""), AND(check=O"&amp;"ption!$E$13, REGEXMATCH(target, ""SINGLE_AFFECTED_ALL""))),
         buff,
         1
       )
     )
   )
 )"),1.0)</f>
        <v>1</v>
      </c>
      <c r="EX39" s="206">
        <f>IFERROR(__xludf.DUMMYFUNCTION("SUM(
   MAP(
     K$3:ED$3,
     K$7:ED$7,
     K$15:ED$15,
     K$16:ED$16,
     K$21:ED$21,
     K$5:ED$5,
     K$17:ED$17,
     K39:ED39,
     LAMBDA(
       job,
       abillity,
       buff,
       barrier,
       enhance,
       assign,
       preco"&amp;"ndition,
       check,
       IF(
         OR(AND(check=TRUE, REGEXMATCH(assign, ""SELF""), job=""ナイト""), AND(check=Option!$E$13, REGEXMATCH(assign, ""SINGLE_PARTY""))),
         IF(
           OR(ARRAYFORMULA((IF(precondition="""", FALSE, REGEXMATCH($K$4"&amp;":$ED$4, precondition))) * (K39:ED39=TRUE))),
           enhance,
           IF(barrier="""", buff, barrier)
         ),
         0
       ) *
       SWITCH(
         job,
         ""暗黒騎士"", EY$24,
         ""白魔道士"", EF39 * EH39 * EW39 * IF(abillity, 1, EG"&amp;"39 * EI39) * (Option!$D$22 * 0.81 / 100),
         ""占星術師"", EF39 * EJ39 * EW39 * IF(abillity, 1, EG39 * EK39) * (Option!$D$23 * 0.81 / 100),
         ""学者"", EF39 * EL39 * EW39 * IF(abillity, 1, EG39 * EM39) * (Option!$D$24 * 0.81 / 100),
         ""賢者"""&amp;", EF39 * EN39 * EW39 * IF(abillity, 1, EG39 * EO39) * (Option!$D$25 * 0.81 / 100),
         1
       )
     )
   )
 ) + EQ39"),0.0)</f>
        <v>0</v>
      </c>
      <c r="EY39" s="232">
        <f t="shared" si="7"/>
        <v>19200</v>
      </c>
      <c r="EZ39" s="205">
        <f>IFERROR(__xludf.DUMMYFUNCTION("PRODUCT(
   MAP(
     IF($F39=""Physical"", K$10:ED$10, IF($F39=""Magic"", K$11:ED$11, K$12:ED$12)),
     IF($F39=""Physical"", K$18:ED$18, IF($F39=""Magic"", K$19:ED$19, K$20:ED$20)),
     K$3:ED$3,
     K$5:ED$5,
     K$17:ED$17,
     K39:ED39,
     LAM"&amp;"BDA(
       mitigation,
       enhance,
       job,
       assign,
       precondition,
       check,
       IF(
         OR(AND(check=TRUE, REGEXMATCH(assign, ""SELF""), job=""戦士""), AND(check=Option!$F$13, REGEXMATCH(assign, ""SINGLE_PARTY""))),
       "&amp;"  IF(
           OR(ARRAYFORMULA((IF(precondition="""", FALSE, REGEXMATCH($K$4:$ED$4, precondition))) * (K39:ED39=TRUE))),
           enhance,
           mitigation
         ),
         1
       )
     )
   )
 ) * EE39"),1.0)</f>
        <v>1</v>
      </c>
      <c r="FA39" s="206">
        <f t="shared" si="8"/>
        <v>19200</v>
      </c>
      <c r="FB39" s="205">
        <f>IFERROR(__xludf.DUMMYFUNCTION("PRODUCT(
   MAP(
     K$3:ED$3,
     K$14:ED$14,
     K$13:ED$13,
     K39:ED39,
     LAMBDA(
       job,
       buff,
       target,
       check,
       IF(
         OR(AND(check=TRUE, REGEXMATCH(target, ""SELF_AFFECTED_ALL""), job=""戦士""), AND(check=Op"&amp;"tion!$F$13, REGEXMATCH(target, ""SINGLE_AFFECTED_ALL""))),
         buff,
         1
       )
     )
   )
 )"),1.0)</f>
        <v>1</v>
      </c>
      <c r="FC39" s="206">
        <f>IFERROR(__xludf.DUMMYFUNCTION("SUM(
   MAP(
     K$3:ED$3,
     K$7:ED$7,
     K$15:ED$15,
     K$16:ED$16,
     K$21:ED$21,
     K$5:ED$5,
     K$17:ED$17,
     K39:ED39,
     LAMBDA(
       job,
       abillity,
       buff,
       barrier,
       enhance,
       assign,
       preco"&amp;"ndition,
       check,
       IF(
         OR(AND(check=TRUE, REGEXMATCH(assign, ""SELF""), job=""戦士""), AND(check=Option!$F$13, REGEXMATCH(assign, ""SINGLE_PARTY""))),
         IF(
           OR(ARRAYFORMULA((IF(precondition="""", FALSE, REGEXMATCH($K$4:"&amp;"$ED$4, precondition))) * (K39:ED39=TRUE))),
           enhance,
           IF(barrier="""", buff, barrier)
         ),
         0
       ) *
       SWITCH(
         job,
         ""暗黒騎士"", FD$24,
         ""白魔道士"", EF39 * EH39 * FB39 * IF(abillity, 1, EG3"&amp;"9 * EI39) * (Option!$D$22 * 0.81 / 100),
         ""占星術師"", EF39 * EJ39 * FFB39 * IF(abillity, 1, EG39 * EK39) * (Option!$D$23 * 0.81 / 100),
         ""学者"", EF39 * EL39 * FB39 * IF(abillity, 1, EG39 * EM39) * (Option!$D$24 * 0.81 / 100),
         ""賢者"""&amp;", EF39 * EN39 * FB39 * IF(abillity, 1, EG39 * EO39) * (Option!$D$25 * 0.81 / 100),
         1
       )
     )
   )
 ) + EQ39"),0.0)</f>
        <v>0</v>
      </c>
      <c r="FD39" s="206">
        <f t="shared" si="9"/>
        <v>19200</v>
      </c>
      <c r="FE39" s="205">
        <f>IFERROR(__xludf.DUMMYFUNCTION("PRODUCT(
   MAP(
     IF($F39=""Physical"", K$10:ED$10, IF($F39=""Magic"", K$11:ED$11, K$12:ED$12)),
     IF($F39=""Physical"", K$18:ED$18, IF($F39=""Magic"", K$19:ED$19, K$20:ED$20)),
     K$3:ED$3,
     K$5:ED$5,
     K$17:ED$17,
     K39:ED39,
     LAM"&amp;"BDA(
       mitigation,
       enhance,
       job,
       assign,
       precondition,
       check,
       IF(
         OR(AND(check=TRUE, REGEXMATCH(assign, ""SELF""), job=""暗黒騎士""), AND(check=Option!$G$13, REGEXMATCH(assign, ""SINGLE_PARTY""))),
     "&amp;"    IF(
           OR(ARRAYFORMULA((IF(precondition="""", FALSE, REGEXMATCH($K$4:$ED$4, precondition))) * (K39:ED39=TRUE))),
           enhance,
           mitigation
         ),
         1
       )
     )
   )
 ) * EE39"),1.0)</f>
        <v>1</v>
      </c>
      <c r="FF39" s="206">
        <f t="shared" si="10"/>
        <v>19200</v>
      </c>
      <c r="FG39" s="205">
        <f>IFERROR(__xludf.DUMMYFUNCTION("PRODUCT(
   MAP(
     K$3:ED$3,
     K$14:ED$14,
     K$13:ED$13,
     K39:ED39,
     LAMBDA(
       job,
       buff,
       target,
       check,
       IF(
         OR(AND(check=TRUE, REGEXMATCH(target, ""SELF_AFFECTED_ALL""), job=""暗黒騎士""), AND(check="&amp;"Option!$G$13, REGEXMATCH(target, ""SINGLE_AFFECTED_ALL""))),
         buff,
         1
       )
     )
   )
 )"),1.0)</f>
        <v>1</v>
      </c>
      <c r="FH39" s="206">
        <f>IFERROR(__xludf.DUMMYFUNCTION("SUM(
   MAP(
     K$3:ED$3,
     K$7:ED$7,
     K$15:ED$15,
     K$16:ED$16,
     K$21:ED$21,
     K$5:ED$5,
     K$17:ED$17,
     K39:ED39,
     LAMBDA(
       job,
       abillity,
       buff,
       barrier,
       enhance,
       assign,
       preco"&amp;"ndition,
       check,
       IF(
         OR(AND(check=TRUE, REGEXMATCH(assign, ""SELF""), job=""暗黒騎士""), AND(check=Option!$G$13, REGEXMATCH(assign, ""SINGLE_PARTY""))),
         IF(
           OR(ARRAYFORMULA((IF(precondition="""", FALSE, REGEXMATCH($K$"&amp;"4:$ED$4, precondition))) * (K39:ED39=TRUE))),
           enhance,
           IF(barrier="""", buff, barrier)
         ),
         0
       ) *
       SWITCH(
         job,
         ""暗黒騎士"", FI$24,
         ""白魔道士"", EF39 * EH39 * FG39 * IF(abillity, 1, E"&amp;"G39 * EI39) * (Option!$D$22 * 0.81 / 100),
         ""占星術師"", EF39 * EJ39 * FG39 * IF(abillity, 1, EG39 * EK39) * (Option!$D$23 * 0.81 / 100),
         ""学者"", EF39 * EL39 * FG39 * IF(abillity, 1, EG39 * EM39) * (Option!$D$24 * 0.81 / 100),
         ""賢者"&amp;""", EF39 * EN39 * FG39 * IF(abillity, 1, EG39 * EO39) * (Option!$D$25 * 0.81 / 100),
         1
       )
     )
   )
 ) + EQ39"),0.0)</f>
        <v>0</v>
      </c>
      <c r="FI39" s="206">
        <f t="shared" si="11"/>
        <v>19200</v>
      </c>
      <c r="FJ39" s="205">
        <f>IFERROR(__xludf.DUMMYFUNCTION("PRODUCT(
   MAP(
     IF($F39=""Physical"", K$10:ED$10, IF($F39=""Magic"", K$11:ED$11, K$12:ED$12)),
     IF($F39=""Physical"", K$18:ED$18, IF($F39=""Magic"", K$19:ED$19, K$20:ED$20)),
     K$3:ED$3,
     K$5:ED$5,
     K$17:ED$17,
     K39:ED39,
     LAM"&amp;"BDA(
       mitigation,
       enhance,
       job,
       assign,
       precondition,
       check,
       IF(
         OR(AND(check=TRUE, REGEXMATCH(assign, ""SELF""), job=""ガンブレイカー""), AND(check=Option!$H$13, REGEXMATCH(assign, ""SINGLE_PARTY""))),
  "&amp;"       IF(
           OR(ARRAYFORMULA((IF(precondition="""", FALSE, REGEXMATCH($K$4:$ED$4, precondition))) * (K39:ED39=TRUE))),
           enhance,
           mitigation
         ),
         1
       )
     )
   )
 ) * EE39"),1.0)</f>
        <v>1</v>
      </c>
      <c r="FK39" s="206">
        <f t="shared" si="12"/>
        <v>19200</v>
      </c>
      <c r="FL39" s="205">
        <f>IFERROR(__xludf.DUMMYFUNCTION("PRODUCT(
   MAP(
     K$3:ED$3,
     K$14:ED$14,
     K$13:ED$13,
     K39:ED39,
     LAMBDA(
       job,
       buff,
       target,
       check,
       IF(
         OR(AND(check=TRUE, REGEXMATCH(target, ""SELF_AFFECTED_ALL""), job=""ガンブレイカー""), AND(che"&amp;"ck=Option!$H$13, REGEXMATCH(target, ""SINGLE_AFFECTED_ALL""))),
         buff,
         1
       )
     )
   )
 )"),1.0)</f>
        <v>1</v>
      </c>
      <c r="FM39" s="206">
        <f>IFERROR(__xludf.DUMMYFUNCTION("SUM(
   MAP(
     K$3:ED$3,
     K$7:ED$7,
     K$15:ED$15,
     K$16:ED$16,
     K$21:ED$21,
     K$5:ED$5,
     K$17:ED$17,
     K39:ED39,
     LAMBDA(
       job,
       abillity,
       buff,
       barrier,
       enhance,
       assign,
       preco"&amp;"ndition,
       check,
       IF(
         OR(AND(check=TRUE, REGEXMATCH(assign, ""SELF""), job=""ガンブレイカー""), AND(check=Option!$H$13, REGEXMATCH(assign, ""SINGLE_PARTY""))),
         IF(
           OR(ARRAYFORMULA((IF(precondition="""", FALSE, REGEXMATCH("&amp;"$K$4:$ED$4, precondition))) * (K39:ED39=TRUE))),
           enhance,
           IF(barrier="""", buff, barrier)
         ),
         0
       ) *
       SWITCH(
         job,
         ""暗黒騎士"", FN$24,
         ""白魔道士"", EF39 * EH39 * FL39 * IF(abillity, 1"&amp;", EG39 * EI39) * (Option!$D$22 * 0.81 / 100),
         ""占星術師"", EF39 * EJ39 * FL39 * IF(abillity, 1, EG39 * EK39) * (Option!$D$23 * 0.81 / 100),
         ""学者"", EF39 * EL39 * FL39 * IF(abillity, 1, EG39 * EM39) * (Option!$D$24 * 0.81 / 100),
         """&amp;"賢者"", EF39 * EN39 * FL39 * IF(abillity, 1, EG39 * EO39) * (Option!$D$25 * 0.81 / 100),
         1
       )
     )
   )
 ) + EQ39"),0.0)</f>
        <v>0</v>
      </c>
      <c r="FN39" s="206">
        <f t="shared" si="13"/>
        <v>19200</v>
      </c>
      <c r="FO39" s="213"/>
    </row>
    <row r="40">
      <c r="B40" s="229"/>
      <c r="C40" s="217">
        <f t="shared" si="1"/>
        <v>0.003287037037</v>
      </c>
      <c r="D40" s="236">
        <v>0.001585648148148148</v>
      </c>
      <c r="E40" s="237" t="s">
        <v>1093</v>
      </c>
      <c r="F40" s="167" t="s">
        <v>10</v>
      </c>
      <c r="G40" s="168" t="str">
        <f t="shared" si="2"/>
        <v/>
      </c>
      <c r="H40" s="169"/>
      <c r="I40" s="169"/>
      <c r="J40" s="169"/>
      <c r="K40" s="170" t="b">
        <v>0</v>
      </c>
      <c r="L40" s="170" t="b">
        <v>0</v>
      </c>
      <c r="M40" s="170" t="b">
        <v>0</v>
      </c>
      <c r="N40" s="171" t="s">
        <v>1070</v>
      </c>
      <c r="O40" s="172" t="b">
        <v>0</v>
      </c>
      <c r="P40" s="173" t="b">
        <v>0</v>
      </c>
      <c r="Q40" s="173" t="b">
        <v>0</v>
      </c>
      <c r="R40" s="173" t="b">
        <v>0</v>
      </c>
      <c r="S40" s="174" t="b">
        <v>0</v>
      </c>
      <c r="T40" s="175" t="b">
        <v>0</v>
      </c>
      <c r="U40" s="173" t="b">
        <v>0</v>
      </c>
      <c r="V40" s="171" t="s">
        <v>1070</v>
      </c>
      <c r="W40" s="172" t="b">
        <v>0</v>
      </c>
      <c r="X40" s="173" t="b">
        <v>0</v>
      </c>
      <c r="Y40" s="173" t="b">
        <v>0</v>
      </c>
      <c r="Z40" s="173" t="b">
        <v>0</v>
      </c>
      <c r="AA40" s="174" t="b">
        <v>0</v>
      </c>
      <c r="AB40" s="174" t="b">
        <v>0</v>
      </c>
      <c r="AC40" s="175" t="b">
        <v>0</v>
      </c>
      <c r="AD40" s="173" t="b">
        <v>0</v>
      </c>
      <c r="AE40" s="176" t="s">
        <v>1070</v>
      </c>
      <c r="AF40" s="171" t="s">
        <v>1070</v>
      </c>
      <c r="AG40" s="177">
        <f>IFERROR(__xludf.DUMMYFUNCTION("IF(
  ISNUMBER(AG39),
  MIN(MAX(
    AG39
    + MAX(
      ROUNDDOWN(($D40 - MAX(IFERROR(FILTER($D$24:$D39, AG$24:AG39 &lt;&gt; AF$6, AG$23:AG38 = AF$6), 0))) * (60 * 60 * 24) / AF$9) - ROUNDDOWN(($D39 - MAX(IFERROR(FILTER($D$23:$D38, AG$23:AG38 &lt;&gt; AF$6, AG$22:"&amp;"AG37 = AF$6), 0))) * (60 * 60 * 24) / 60),
      0
    )
    - COUNTIF(AF40, ""&lt;&gt;-""),
  0), AF$6),
  AF$6 - COUNTIF(AF40, ""&lt;&gt;-"")
)"),2.0)</f>
        <v>2</v>
      </c>
      <c r="AH40" s="173" t="b">
        <v>0</v>
      </c>
      <c r="AI40" s="173" t="b">
        <v>0</v>
      </c>
      <c r="AJ40" s="173" t="b">
        <v>0</v>
      </c>
      <c r="AK40" s="174" t="b">
        <v>0</v>
      </c>
      <c r="AL40" s="175" t="b">
        <v>0</v>
      </c>
      <c r="AM40" s="173" t="b">
        <v>0</v>
      </c>
      <c r="AN40" s="171" t="s">
        <v>1070</v>
      </c>
      <c r="AO40" s="173" t="b">
        <v>0</v>
      </c>
      <c r="AP40" s="173" t="b">
        <v>0</v>
      </c>
      <c r="AQ40" s="173" t="b">
        <v>0</v>
      </c>
      <c r="AR40" s="174" t="b">
        <v>0</v>
      </c>
      <c r="AS40" s="178" t="b">
        <v>0</v>
      </c>
      <c r="AT40" s="179" t="b">
        <v>0</v>
      </c>
      <c r="AU40" s="180" t="b">
        <v>0</v>
      </c>
      <c r="AV40" s="180" t="b">
        <v>0</v>
      </c>
      <c r="AW40" s="180" t="b">
        <v>0</v>
      </c>
      <c r="AX40" s="180" t="b">
        <v>0</v>
      </c>
      <c r="AY40" s="181" t="s">
        <v>1070</v>
      </c>
      <c r="AZ40" s="181" t="s">
        <v>1070</v>
      </c>
      <c r="BA40" s="184">
        <f>IFERROR(__xludf.DUMMYFUNCTION("IF(
  ISNUMBER(BA39),
  MIN(MAX(
    BA39
    + MAX(
      ROUNDDOWN((D40 - MAX(IFERROR(FILTER(D$24:D39, BA$24:BA39 &lt;&gt; AZ$6, BA$23:BA38 = AZ$6), 0))) * (60 * 60 * 24) / AZ$9) - ROUNDDOWN((D39 - MAX(IFERROR(FILTER(D$23:D38, BA$23:BA38 &lt;&gt; AZ$6, BA$22:BA37 ="&amp;" AZ$6), 0))) * (60 * 60 * 24) / AZ$9),
      0
    )
    - COUNTIF(AZ40, ""&lt;&gt;-""),
  0), AZ$6),
  AZ$6 - COUNTIF(AZ40, ""&lt;&gt;-"")
)"),2.0)</f>
        <v>2</v>
      </c>
      <c r="BB40" s="181" t="s">
        <v>1070</v>
      </c>
      <c r="BC40" s="183">
        <f>IFERROR(__xludf.DUMMYFUNCTION("IF(
  ISNUMBER(BC39),
  MIN(MAX(
    BC39
    + MAX(
      ROUNDDOWN(($D40 - MAX(IFERROR(FILTER($D$24:$D39, BC$24:BC39 &lt;&gt; BB$6, BC$23:BC38 = BB$6), 0))) * (60 * 60 * 24) / BB$9) - ROUNDDOWN(($D39 - MAX(IFERROR(FILTER($D$23:$D38, BC$23:BC38 &lt;&gt; BB$6, BC$22:"&amp;"BC37 = BB$6), 0))) * (60 * 60 * 24) / 60),
      0
    )
    - COUNTIF(BB40, ""&lt;&gt;-""),
  0), BB$6),
  BB$6 - COUNTIF(BB40, ""&lt;&gt;-"")
)"),2.0)</f>
        <v>2</v>
      </c>
      <c r="BD40" s="181" t="s">
        <v>1070</v>
      </c>
      <c r="BE40" s="178" t="b">
        <v>0</v>
      </c>
      <c r="BF40" s="180" t="b">
        <v>0</v>
      </c>
      <c r="BG40" s="180" t="b">
        <v>0</v>
      </c>
      <c r="BH40" s="180" t="b">
        <v>0</v>
      </c>
      <c r="BI40" s="180" t="b">
        <v>0</v>
      </c>
      <c r="BJ40" s="180" t="b">
        <v>0</v>
      </c>
      <c r="BK40" s="180" t="b">
        <v>0</v>
      </c>
      <c r="BL40" s="180" t="b">
        <v>0</v>
      </c>
      <c r="BM40" s="180" t="b">
        <v>0</v>
      </c>
      <c r="BN40" s="180" t="b">
        <v>0</v>
      </c>
      <c r="BO40" s="181" t="s">
        <v>1070</v>
      </c>
      <c r="BP40" s="181" t="s">
        <v>1070</v>
      </c>
      <c r="BQ40" s="181" t="s">
        <v>1070</v>
      </c>
      <c r="BR40" s="181" t="s">
        <v>1070</v>
      </c>
      <c r="BS40" s="181" t="s">
        <v>1070</v>
      </c>
      <c r="BT40" s="184">
        <f>IFERROR(__xludf.DUMMYFUNCTION("IF(
  ISNUMBER(BT39),
  MIN(MAX(
    BT39
    + MAX(
      ROUNDDOWN((D40 - MAX(IFERROR(FILTER(D$24:D39, BT$24:BT39 &lt;&gt; BS$6, BT$23:BT38 = BS$6), 0))) * (60 * 60 * 24) / BS$9) - ROUNDDOWN((D39 - MAX(IFERROR(FILTER(D$23:D38, BT$23:BT38 &lt;&gt; BS$6, BT$22:BT37 ="&amp;" BS$6), 0))) * (60 * 60 * 24) / BS$9),
      0
    )
    - COUNTIF(BS40, ""&lt;&gt;-""),
  0), BS$6),
  BS$6 - COUNTIF(BS40, ""&lt;&gt;-"")
)"),3.0)</f>
        <v>3</v>
      </c>
      <c r="BU40" s="181" t="s">
        <v>1070</v>
      </c>
      <c r="BV40" s="181" t="s">
        <v>1070</v>
      </c>
      <c r="BW40" s="184">
        <f>IFERROR(__xludf.DUMMYFUNCTION("IF(
  ISNUMBER(BW39),
  MIN(MAX(
    BW39
    + MAX(
      ROUNDDOWN((D40 - MAX(IFERROR(FILTER(D$24:D39, BW$24:BW39 &lt;&gt; BV$6, BW$23:BW38 = BV$6), 0))) * (60 * 60 * 24) / BV$9) - ROUNDDOWN((D39 - MAX(IFERROR(FILTER(D$23:D38, BW$23:BW38 &lt;&gt; BV$6, BW$22:BW37 ="&amp;" BV$6), 0))) * (60 * 60 * 24) / BV$9),
      0
    )
    - COUNTIF(BV40, ""&lt;&gt;-""),
  0), BV$6),
  BV$6 - COUNTIF(BV40, ""&lt;&gt;-"")
)"),2.0)</f>
        <v>2</v>
      </c>
      <c r="BX40" s="185" t="s">
        <v>1070</v>
      </c>
      <c r="BY40" s="178" t="b">
        <v>0</v>
      </c>
      <c r="BZ40" s="180" t="b">
        <v>0</v>
      </c>
      <c r="CA40" s="180" t="b">
        <v>0</v>
      </c>
      <c r="CB40" s="180" t="b">
        <v>0</v>
      </c>
      <c r="CC40" s="180" t="b">
        <v>0</v>
      </c>
      <c r="CD40" s="180" t="b">
        <v>0</v>
      </c>
      <c r="CE40" s="180" t="b">
        <v>0</v>
      </c>
      <c r="CF40" s="180" t="b">
        <v>0</v>
      </c>
      <c r="CG40" s="180" t="b">
        <v>0</v>
      </c>
      <c r="CH40" s="180" t="b">
        <v>0</v>
      </c>
      <c r="CI40" s="180" t="b">
        <v>0</v>
      </c>
      <c r="CJ40" s="180" t="b">
        <v>0</v>
      </c>
      <c r="CK40" s="180" t="b">
        <v>0</v>
      </c>
      <c r="CL40" s="180" t="b">
        <v>0</v>
      </c>
      <c r="CM40" s="181" t="s">
        <v>1070</v>
      </c>
      <c r="CN40" s="181" t="s">
        <v>1070</v>
      </c>
      <c r="CO40" s="181" t="s">
        <v>1070</v>
      </c>
      <c r="CP40" s="181" t="s">
        <v>1070</v>
      </c>
      <c r="CQ40" s="185" t="s">
        <v>1070</v>
      </c>
      <c r="CR40" s="180" t="b">
        <v>0</v>
      </c>
      <c r="CS40" s="186" t="str">
        <f t="shared" si="14"/>
        <v>◇◇◇</v>
      </c>
      <c r="CT40" s="178" t="b">
        <v>0</v>
      </c>
      <c r="CU40" s="180" t="b">
        <v>0</v>
      </c>
      <c r="CV40" s="180" t="b">
        <v>0</v>
      </c>
      <c r="CW40" s="180" t="b">
        <v>0</v>
      </c>
      <c r="CX40" s="180" t="b">
        <v>0</v>
      </c>
      <c r="CY40" s="180" t="b">
        <v>0</v>
      </c>
      <c r="CZ40" s="180" t="b">
        <v>0</v>
      </c>
      <c r="DA40" s="180" t="b">
        <v>0</v>
      </c>
      <c r="DB40" s="180" t="b">
        <v>0</v>
      </c>
      <c r="DC40" s="180" t="b">
        <v>0</v>
      </c>
      <c r="DD40" s="181" t="s">
        <v>1070</v>
      </c>
      <c r="DE40" s="181" t="s">
        <v>1070</v>
      </c>
      <c r="DF40" s="181" t="s">
        <v>1070</v>
      </c>
      <c r="DG40" s="185" t="s">
        <v>1070</v>
      </c>
      <c r="DH40" s="180" t="b">
        <v>0</v>
      </c>
      <c r="DI40" s="187" t="str">
        <f>IFERROR(__xludf.DUMMYFUNCTION("SWITCH(
  IF(
    ISTEXT(DI39),
    IF (
      FIND(""○"", DI39&amp;""○"") &gt; 3,
      3,
      FIND(""○"", DI39&amp;""○"")
      + MAX(
        ROUNDDOWN(($D40 - MAX(IFERROR(FILTER(D$24:D39, DI$24:DI39 &lt;&gt; ""●●●"", DI$23:DI38 = ""●●●""), 0))) * (60 * 60 * 24) / 20"&amp;") - ROUNDDOWN(($D39 - MAX(IFERROR(FILTER(D$23:D38, DI$23:DI38 &lt;&gt; ""●●●"", DI$22:DI37 = ""●●●""), 0))) * (60 * 60 * 24) / 20),
        0
      ) - 1
    ) - COUNTIFS(CU40, ""=TRUE"", CU39, ""&lt;&gt;TRUE"") - COUNTIF(CZ40, ""=TRUE"") - COUNTIF({DD40,DE40}, ""&lt;&gt;-"&amp;""") + COUNTIF(DH40, ""=TRUE""),
    3
  ),
  0, ""○○○"", 1, ""●○○"", 2, ""●●○"", 3, ""●●●"", 4, ""●●●"", ""○○○""
)"),"●●●")</f>
        <v>●●●</v>
      </c>
      <c r="DJ40" s="188" t="b">
        <v>0</v>
      </c>
      <c r="DK40" s="189" t="b">
        <v>0</v>
      </c>
      <c r="DL40" s="190" t="b">
        <v>0</v>
      </c>
      <c r="DM40" s="190" t="b">
        <v>0</v>
      </c>
      <c r="DN40" s="190" t="b">
        <v>0</v>
      </c>
      <c r="DO40" s="190" t="b">
        <v>0</v>
      </c>
      <c r="DP40" s="190" t="b">
        <v>0</v>
      </c>
      <c r="DQ40" s="191" t="b">
        <v>0</v>
      </c>
      <c r="DR40" s="192" t="b">
        <v>0</v>
      </c>
      <c r="DS40" s="191" t="b">
        <v>0</v>
      </c>
      <c r="DT40" s="192" t="b">
        <v>0</v>
      </c>
      <c r="DU40" s="191" t="b">
        <v>0</v>
      </c>
      <c r="DV40" s="193" t="s">
        <v>1070</v>
      </c>
      <c r="DW40" s="194" t="b">
        <v>0</v>
      </c>
      <c r="DX40" s="194" t="b">
        <v>0</v>
      </c>
      <c r="DY40" s="195" t="b">
        <v>0</v>
      </c>
      <c r="DZ40" s="196" t="b">
        <v>0</v>
      </c>
      <c r="EA40" s="195" t="b">
        <v>0</v>
      </c>
      <c r="EB40" s="197" t="b">
        <v>0</v>
      </c>
      <c r="EC40" s="197" t="b">
        <v>0</v>
      </c>
      <c r="ED40" s="212" t="b">
        <v>0</v>
      </c>
      <c r="EE40" s="199">
        <f>IFERROR(__xludf.DUMMYFUNCTION("IFERROR(
   PRODUCT(
     MAP(
       INDEX(TRANSPOSE(UNIQUE(TRANSPOSE(FILTER({IF($F40=""Physical"", K$10:ED$10, IF($F40=""Magic"", K$11:ED$11, K$12:ED$12));K$4:ED$4;K40:ED40}, K40:ED40=TRUE)))), 1, 0),
       INDEX(TRANSPOSE(UNIQUE(TRANSPOSE(FILTER({IF($"&amp;"F40=""Physical"", K$18:ED$18, IF($F40=""Magic"", K$19:ED$19, K$20:ED$20));K$4:ED$4;K40:ED40}, K40:ED40=TRUE)))), 1, 0),
       INDEX(TRANSPOSE(UNIQUE(TRANSPOSE(FILTER({K$5:ED$5;K$4:ED$4;K40:ED40}, K40:ED40=TRUE)))), 1, 0),
       INDEX(TRANSPOSE(UNIQUE(TR"&amp;"ANSPOSE(FILTER({K$17:ED$17;K$4:ED$4;K40:ED40}, K40:ED40=TRUE)))), 1, 0),
       LAMBDA(
         mitigation,
         enhance,
         assign,
         precondition,
         IF(
           REGEXMATCH(assign, ""RANGE_PARTY|SINGLE_ENEMY|RANGE_ENEMY""),
  "&amp;"         IF(
             OR(ARRAYFORMULA((IF(precondition="""", FALSE, REGEXMATCH(K$4:ED$4, precondition))) * (K40:ED40=TRUE))),
             IF(ISNUMBER(enhance), enhance, 1),
             IF(ISNUMBER(mitigation), mitigation, 1)
           ),
          "&amp;" 1
         )
       )
     )
   ),
   1
 )"),1.0)</f>
        <v>1</v>
      </c>
      <c r="EF40" s="200">
        <f>IFERROR(__xludf.DUMMYFUNCTION("PRODUCT(
   MAP(
     K$14:ED$14,
     K$13:ED$13,
     K40:ED40,
     LAMBDA(
       buff,
       target,
       check,
       IF(
         AND(check=TRUE, REGEXMATCH(target, ""RANGE_AFFECTED_ALL|RANGE_EFFECTED_ALL""), ISNUMBER(buff)),
         buff,
   "&amp;"      1
       )
     )
   )
 )"),1.0)</f>
        <v>1</v>
      </c>
      <c r="EG40" s="200">
        <f>IFERROR(__xludf.DUMMYFUNCTION("PRODUCT(
   MAP(
     K$14:ED$14,
     K$13:ED$13,
     K40:ED40,
     LAMBDA(
       buff,
       target,
       check,
       IF(
         AND(check=TRUE, REGEXMATCH(target, ""RANGE_AFFECTED_GCD|RANGE_EFFECTED_GCD""), ISNUMBER(buff)),
         buff,
   "&amp;"      1
       )
     )
   )
 )"),1.0)</f>
        <v>1</v>
      </c>
      <c r="EH40" s="200">
        <f>IFERROR(__xludf.DUMMYFUNCTION("PRODUCT(
   MAP(
     K$3:ED$3,
     K$14:ED$14,
     K$13:ED$13,
     K40:ED40,
     LAMBDA(
       job,
       buff,
       target,
       check,
       IF(
         AND(check=TRUE, REGEXMATCH(target, ""SELF_EFFECTED_ALL""), ISNUMBER(buff), job=""白魔道士"""&amp;"),
         buff,
         1
       )
     )
   )
 )"),1.0)</f>
        <v>1</v>
      </c>
      <c r="EI40" s="200">
        <f>IFERROR(__xludf.DUMMYFUNCTION("PRODUCT(
   MAP(
     K$3:ED$3,
     K$14:ED$14,
     K$13:ED$13,
     K40:ED40,
     LAMBDA(
       job,
       buff,
       target,
       check,
       IF(
         AND(check=TRUE, REGEXMATCH(target, ""SELF_EFFECTED_GCD""), ISNUMBER(buff), job=""白魔道士"""&amp;"),
         buff,
         1
       )
     )
   )
 )"),1.0)</f>
        <v>1</v>
      </c>
      <c r="EJ40" s="200">
        <f>IFERROR(__xludf.DUMMYFUNCTION("PRODUCT(
   MAP(
     K$3:ED$3,
     K$14:ED$14,
     K$13:ED$13,
     K40:ED40,
     LAMBDA(
       job,
       buff,
       target,
       check,
       IF(
         AND(check=TRUE, REGEXMATCH(target, ""SELF_EFFECTED_ALL""), ISNUMBER(buff), job=""占星術師"""&amp;"),
         buff,
         1
       )
     )
   )
 )"),1.0)</f>
        <v>1</v>
      </c>
      <c r="EK40" s="200">
        <f>IFERROR(__xludf.DUMMYFUNCTION("PRODUCT(
   MAP(
     K$3:ED$3,
     K$14:ED$14,
     K$13:ED$13,
     K40:ED40,
     LAMBDA(
       job,
       buff,
       target,
       check,
       IF(
         AND(check=TRUE, REGEXMATCH(target, ""SELF_EFFECTED_GCD""), ISNUMBER(buff), job=""占星術師"""&amp;"),
         buff,
         1
       )
     )
   )
 )"),1.0)</f>
        <v>1</v>
      </c>
      <c r="EL40" s="200">
        <f>IFERROR(__xludf.DUMMYFUNCTION("PRODUCT(
   MAP(
     K$3:ED$3,
     K$14:ED$14,
     K$13:ED$13,
     K40:ED40,
     LAMBDA(
       job,
       buff,
       target,
       check,
       IF(
         AND(check=TRUE, REGEXMATCH(target, ""SELF_EFFECTED_ALL""), ISNUMBER(buff), job=""学者""),"&amp;"
         buff,
         1
       )
     )
   )
 )"),1.0)</f>
        <v>1</v>
      </c>
      <c r="EM40" s="200">
        <f>IFERROR(__xludf.DUMMYFUNCTION("PRODUCT(
   MAP(
     K$3:ED$3,
     K$14:ED$14,
     K$13:ED$13,
     K40:ED40,
     LAMBDA(
       job,
       buff,
       target,
       check,
       IF(
         AND(check=TRUE, REGEXMATCH(target, ""SELF_EFFECTED_GCD""), ISNUMBER(buff), job=""学者""),"&amp;"
         buff,
         1
       )
     )
   )
 )"),1.0)</f>
        <v>1</v>
      </c>
      <c r="EN40" s="200">
        <f>IFERROR(__xludf.DUMMYFUNCTION("PRODUCT(
   MAP(
     K$3:ED$3,
     K$14:ED$14,
     K$13:ED$13,
     K40:ED40,
     LAMBDA(
       job,
       buff,
       target,
       check,
       IF(
         AND(check=TRUE, REGEXMATCH(target, ""SELF_EFFECTED_ALL""), ISNUMBER(buff), job=""賢者""),"&amp;"
         buff,
         1
       )
     )
   )
 )"),1.0)</f>
        <v>1</v>
      </c>
      <c r="EO40" s="200">
        <f>IFERROR(__xludf.DUMMYFUNCTION("PRODUCT(
   MAP(
     K$3:ED$3,
     K$14:ED$14,
     K$13:ED$13,
     K40:ED40,
     LAMBDA(
       job,
       buff,
       target,
       check,
       IF(
         AND(check=TRUE, REGEXMATCH(target, ""SELF_EFFECTED_GCD""), ISNUMBER(buff), job=""賢者""),"&amp;"
         buff,
         1
       )
     )
   )
 )"),1.0)</f>
        <v>1</v>
      </c>
      <c r="EP40" s="201">
        <f t="shared" si="3"/>
        <v>0</v>
      </c>
      <c r="EQ40" s="201">
        <f>IFERROR(__xludf.DUMMYFUNCTION("SUM(
   MAP(
     K$4:ED$4,
     K$3:ED$3,
     K$7:ED$7,
     K$15:ED$15,
     K$16:ED$16,
     K$21:ED$21,
     K$5:ED$5,
     K$17:ED$17,
     K40:ED40,
     LAMBDA(
       name,
       job,
       abillity,
       buff,
       barrier,
       enhance,"&amp;"
       assign,
       precondition,
       check,
       SWITCH(
         name,
         ""シェイクオフ"", IF(check=TRUE, buff + (0.02 * COUNTIF(ARRAYFORMULA((REGEXMATCH($K$4:$ED$4, ""スリル・オブ・バトル|ヴェンジェンス|原初の血気|ダムネーション"")) * (K40:ED40=TRUE)), 1)), 0),
         "&amp;"""インプロビゼーションフィニッシュ(踊りの激情0)"", IF(ISNUMBER(check), INDEX(Skill!$AJ:$AJ, MATCH(SUBSTITUTE(DV$4, 0, check), Skill!$C:$C, 0)), 0),
         IF(
           AND(check=TRUE, REGEXMATCH(assign, ""RANGE_PARTY"")),
           IF(
             OR(ARRAYFORMULA((IF(pr"&amp;"econdition="""", FALSE, REGEXMATCH($K$4:$ED$4, precondition))) * (K40:ED40=TRUE))),
             enhance,
             IF(barrier="""", buff, barrier)
           ),
           0
         )
       ) *
       SWITCH(
         job,
         ""ナイト"", EY$24,
 "&amp;"        ""戦士"", FD$24,
         ""踊り子"", ET$24,
         ""ピクトマンサー"", ET$24,
         ""白魔道士"", EF40 * EH40 * IF(abillity, 1, EG40 * EI40) * (Option!$D$22 * 0.81 / 100),
         ""占星術師"", EF40 * EJ40 * IF(abillity, 1, EG40 * EK40) * (Option!$D$23 * 0.81 "&amp;"/ 100),
         ""学者"", EF40 * EL40 * IF(abillity, 1, EG40 * EM40) * (Option!$D$24 * 0.81 / 100),
         ""賢者"", EF40 * EN40 * IF(abillity, 1, EG40 * EO40) * (Option!$D$25 * 0.81 / 100),
         1
       )
     )
   )
 )"),0.0)</f>
        <v>0</v>
      </c>
      <c r="ER40" s="202">
        <f t="shared" si="4"/>
        <v>0</v>
      </c>
      <c r="ES40" s="203">
        <f t="shared" si="5"/>
        <v>0</v>
      </c>
      <c r="ET40" s="231" t="str">
        <f>IFERROR(__xludf.DUMMYFUNCTION("IFS(
  EP40 &gt; $ET$24 + EQ40,
  SPARKLINE({ 1, 0 }, {""charttype"",""bar"";""max"", 1;""color1"",Option!$D$30;""color2"",Option!$D$30}),
  EP40 &lt; EQ40,
  SPARKLINE({EQ40 - EP40, $ET$24 - (EQ40 - EP40)}, {""charttype"",""bar"";""max"",$ET$24;""color1"",Opti"&amp;"on!$D$28;""color2"",Option!$D$29}),
  EP40 &gt;= EQ40,
  SPARKLINE({$ET$24 + EQ40 - EP40,EP40 - EQ40}, {""charttype"",""bar"";""max"",$ET$24;""color1"",Option!$D$29;""color2"",Option!$D$30})
)"),"")</f>
        <v/>
      </c>
      <c r="EU40" s="205">
        <f>IFERROR(__xludf.DUMMYFUNCTION("PRODUCT(
   MAP(
     IF($F40=""Physical"", K$10:ED$10, IF($F40=""Magic"", K$11:ED$11, K$12:ED$12)),
     IF($F40=""Physical"", K$18:ED$18, IF($F40=""Magic"", K$19:ED$19, K$20:ED$20)),
     K$3:ED$3,
     K$5:ED$5,
     K$17:ED$17,
     K40:ED40,
     LAM"&amp;"BDA(
       mitigation,
       enhance,
       job,
       assign,
       precondition,
       check,
       IF(
         OR(AND(check=TRUE, REGEXMATCH(assign, ""SELF""), job=""ナイト""), AND(check=Option!$E$13, REGEXMATCH(assign, ""SINGLE_PARTY""))),
      "&amp;"   IF(
           OR(ARRAYFORMULA((IF(precondition="""", FALSE, REGEXMATCH($K$4:$ED$4, precondition))) * (K40:ED40=TRUE))),
           enhance,
           mitigation
         ),
         1
       )
     )
   )
 ) * EE40"),1.0)</f>
        <v>1</v>
      </c>
      <c r="EV40" s="206">
        <f t="shared" si="6"/>
        <v>0</v>
      </c>
      <c r="EW40" s="205">
        <f>IFERROR(__xludf.DUMMYFUNCTION("PRODUCT(
   MAP(
     K$3:ED$3,
     K$14:ED$14,
     K$13:ED$13,
     K40:ED40,
     LAMBDA(
       job,
       buff,
       target,
       check,
       IF(
         OR(AND(check=TRUE, REGEXMATCH(target, ""SELF_AFFECTED_ALL""), job=""ナイト""), AND(check=O"&amp;"ption!$E$13, REGEXMATCH(target, ""SINGLE_AFFECTED_ALL""))),
         buff,
         1
       )
     )
   )
 )"),1.0)</f>
        <v>1</v>
      </c>
      <c r="EX40" s="206">
        <f>IFERROR(__xludf.DUMMYFUNCTION("SUM(
   MAP(
     K$3:ED$3,
     K$7:ED$7,
     K$15:ED$15,
     K$16:ED$16,
     K$21:ED$21,
     K$5:ED$5,
     K$17:ED$17,
     K40:ED40,
     LAMBDA(
       job,
       abillity,
       buff,
       barrier,
       enhance,
       assign,
       preco"&amp;"ndition,
       check,
       IF(
         OR(AND(check=TRUE, REGEXMATCH(assign, ""SELF""), job=""ナイト""), AND(check=Option!$E$13, REGEXMATCH(assign, ""SINGLE_PARTY""))),
         IF(
           OR(ARRAYFORMULA((IF(precondition="""", FALSE, REGEXMATCH($K$4"&amp;":$ED$4, precondition))) * (K40:ED40=TRUE))),
           enhance,
           IF(barrier="""", buff, barrier)
         ),
         0
       ) *
       SWITCH(
         job,
         ""暗黒騎士"", EY$24,
         ""白魔道士"", EF40 * EH40 * EW40 * IF(abillity, 1, EG"&amp;"40 * EI40) * (Option!$D$22 * 0.81 / 100),
         ""占星術師"", EF40 * EJ40 * EW40 * IF(abillity, 1, EG40 * EK40) * (Option!$D$23 * 0.81 / 100),
         ""学者"", EF40 * EL40 * EW40 * IF(abillity, 1, EG40 * EM40) * (Option!$D$24 * 0.81 / 100),
         ""賢者"""&amp;", EF40 * EN40 * EW40 * IF(abillity, 1, EG40 * EO40) * (Option!$D$25 * 0.81 / 100),
         1
       )
     )
   )
 ) + EQ40"),0.0)</f>
        <v>0</v>
      </c>
      <c r="EY40" s="232">
        <f t="shared" si="7"/>
        <v>0</v>
      </c>
      <c r="EZ40" s="205">
        <f>IFERROR(__xludf.DUMMYFUNCTION("PRODUCT(
   MAP(
     IF($F40=""Physical"", K$10:ED$10, IF($F40=""Magic"", K$11:ED$11, K$12:ED$12)),
     IF($F40=""Physical"", K$18:ED$18, IF($F40=""Magic"", K$19:ED$19, K$20:ED$20)),
     K$3:ED$3,
     K$5:ED$5,
     K$17:ED$17,
     K40:ED40,
     LAM"&amp;"BDA(
       mitigation,
       enhance,
       job,
       assign,
       precondition,
       check,
       IF(
         OR(AND(check=TRUE, REGEXMATCH(assign, ""SELF""), job=""戦士""), AND(check=Option!$F$13, REGEXMATCH(assign, ""SINGLE_PARTY""))),
       "&amp;"  IF(
           OR(ARRAYFORMULA((IF(precondition="""", FALSE, REGEXMATCH($K$4:$ED$4, precondition))) * (K40:ED40=TRUE))),
           enhance,
           mitigation
         ),
         1
       )
     )
   )
 ) * EE40"),1.0)</f>
        <v>1</v>
      </c>
      <c r="FA40" s="206">
        <f t="shared" si="8"/>
        <v>0</v>
      </c>
      <c r="FB40" s="205">
        <f>IFERROR(__xludf.DUMMYFUNCTION("PRODUCT(
   MAP(
     K$3:ED$3,
     K$14:ED$14,
     K$13:ED$13,
     K40:ED40,
     LAMBDA(
       job,
       buff,
       target,
       check,
       IF(
         OR(AND(check=TRUE, REGEXMATCH(target, ""SELF_AFFECTED_ALL""), job=""戦士""), AND(check=Op"&amp;"tion!$F$13, REGEXMATCH(target, ""SINGLE_AFFECTED_ALL""))),
         buff,
         1
       )
     )
   )
 )"),1.0)</f>
        <v>1</v>
      </c>
      <c r="FC40" s="206">
        <f>IFERROR(__xludf.DUMMYFUNCTION("SUM(
   MAP(
     K$3:ED$3,
     K$7:ED$7,
     K$15:ED$15,
     K$16:ED$16,
     K$21:ED$21,
     K$5:ED$5,
     K$17:ED$17,
     K40:ED40,
     LAMBDA(
       job,
       abillity,
       buff,
       barrier,
       enhance,
       assign,
       preco"&amp;"ndition,
       check,
       IF(
         OR(AND(check=TRUE, REGEXMATCH(assign, ""SELF""), job=""戦士""), AND(check=Option!$F$13, REGEXMATCH(assign, ""SINGLE_PARTY""))),
         IF(
           OR(ARRAYFORMULA((IF(precondition="""", FALSE, REGEXMATCH($K$4:"&amp;"$ED$4, precondition))) * (K40:ED40=TRUE))),
           enhance,
           IF(barrier="""", buff, barrier)
         ),
         0
       ) *
       SWITCH(
         job,
         ""暗黒騎士"", FD$24,
         ""白魔道士"", EF40 * EH40 * FB40 * IF(abillity, 1, EG4"&amp;"0 * EI40) * (Option!$D$22 * 0.81 / 100),
         ""占星術師"", EF40 * EJ40 * FFB40 * IF(abillity, 1, EG40 * EK40) * (Option!$D$23 * 0.81 / 100),
         ""学者"", EF40 * EL40 * FB40 * IF(abillity, 1, EG40 * EM40) * (Option!$D$24 * 0.81 / 100),
         ""賢者"""&amp;", EF40 * EN40 * FB40 * IF(abillity, 1, EG40 * EO40) * (Option!$D$25 * 0.81 / 100),
         1
       )
     )
   )
 ) + EQ40"),0.0)</f>
        <v>0</v>
      </c>
      <c r="FD40" s="206">
        <f t="shared" si="9"/>
        <v>0</v>
      </c>
      <c r="FE40" s="205">
        <f>IFERROR(__xludf.DUMMYFUNCTION("PRODUCT(
   MAP(
     IF($F40=""Physical"", K$10:ED$10, IF($F40=""Magic"", K$11:ED$11, K$12:ED$12)),
     IF($F40=""Physical"", K$18:ED$18, IF($F40=""Magic"", K$19:ED$19, K$20:ED$20)),
     K$3:ED$3,
     K$5:ED$5,
     K$17:ED$17,
     K40:ED40,
     LAM"&amp;"BDA(
       mitigation,
       enhance,
       job,
       assign,
       precondition,
       check,
       IF(
         OR(AND(check=TRUE, REGEXMATCH(assign, ""SELF""), job=""暗黒騎士""), AND(check=Option!$G$13, REGEXMATCH(assign, ""SINGLE_PARTY""))),
     "&amp;"    IF(
           OR(ARRAYFORMULA((IF(precondition="""", FALSE, REGEXMATCH($K$4:$ED$4, precondition))) * (K40:ED40=TRUE))),
           enhance,
           mitigation
         ),
         1
       )
     )
   )
 ) * EE40"),1.0)</f>
        <v>1</v>
      </c>
      <c r="FF40" s="206">
        <f t="shared" si="10"/>
        <v>0</v>
      </c>
      <c r="FG40" s="205">
        <f>IFERROR(__xludf.DUMMYFUNCTION("PRODUCT(
   MAP(
     K$3:ED$3,
     K$14:ED$14,
     K$13:ED$13,
     K40:ED40,
     LAMBDA(
       job,
       buff,
       target,
       check,
       IF(
         OR(AND(check=TRUE, REGEXMATCH(target, ""SELF_AFFECTED_ALL""), job=""暗黒騎士""), AND(check="&amp;"Option!$G$13, REGEXMATCH(target, ""SINGLE_AFFECTED_ALL""))),
         buff,
         1
       )
     )
   )
 )"),1.0)</f>
        <v>1</v>
      </c>
      <c r="FH40" s="206">
        <f>IFERROR(__xludf.DUMMYFUNCTION("SUM(
   MAP(
     K$3:ED$3,
     K$7:ED$7,
     K$15:ED$15,
     K$16:ED$16,
     K$21:ED$21,
     K$5:ED$5,
     K$17:ED$17,
     K40:ED40,
     LAMBDA(
       job,
       abillity,
       buff,
       barrier,
       enhance,
       assign,
       preco"&amp;"ndition,
       check,
       IF(
         OR(AND(check=TRUE, REGEXMATCH(assign, ""SELF""), job=""暗黒騎士""), AND(check=Option!$G$13, REGEXMATCH(assign, ""SINGLE_PARTY""))),
         IF(
           OR(ARRAYFORMULA((IF(precondition="""", FALSE, REGEXMATCH($K$"&amp;"4:$ED$4, precondition))) * (K40:ED40=TRUE))),
           enhance,
           IF(barrier="""", buff, barrier)
         ),
         0
       ) *
       SWITCH(
         job,
         ""暗黒騎士"", FI$24,
         ""白魔道士"", EF40 * EH40 * FG40 * IF(abillity, 1, E"&amp;"G40 * EI40) * (Option!$D$22 * 0.81 / 100),
         ""占星術師"", EF40 * EJ40 * FG40 * IF(abillity, 1, EG40 * EK40) * (Option!$D$23 * 0.81 / 100),
         ""学者"", EF40 * EL40 * FG40 * IF(abillity, 1, EG40 * EM40) * (Option!$D$24 * 0.81 / 100),
         ""賢者"&amp;""", EF40 * EN40 * FG40 * IF(abillity, 1, EG40 * EO40) * (Option!$D$25 * 0.81 / 100),
         1
       )
     )
   )
 ) + EQ40"),0.0)</f>
        <v>0</v>
      </c>
      <c r="FI40" s="206">
        <f t="shared" si="11"/>
        <v>0</v>
      </c>
      <c r="FJ40" s="205">
        <f>IFERROR(__xludf.DUMMYFUNCTION("PRODUCT(
   MAP(
     IF($F40=""Physical"", K$10:ED$10, IF($F40=""Magic"", K$11:ED$11, K$12:ED$12)),
     IF($F40=""Physical"", K$18:ED$18, IF($F40=""Magic"", K$19:ED$19, K$20:ED$20)),
     K$3:ED$3,
     K$5:ED$5,
     K$17:ED$17,
     K40:ED40,
     LAM"&amp;"BDA(
       mitigation,
       enhance,
       job,
       assign,
       precondition,
       check,
       IF(
         OR(AND(check=TRUE, REGEXMATCH(assign, ""SELF""), job=""ガンブレイカー""), AND(check=Option!$H$13, REGEXMATCH(assign, ""SINGLE_PARTY""))),
  "&amp;"       IF(
           OR(ARRAYFORMULA((IF(precondition="""", FALSE, REGEXMATCH($K$4:$ED$4, precondition))) * (K40:ED40=TRUE))),
           enhance,
           mitigation
         ),
         1
       )
     )
   )
 ) * EE40"),1.0)</f>
        <v>1</v>
      </c>
      <c r="FK40" s="206">
        <f t="shared" si="12"/>
        <v>0</v>
      </c>
      <c r="FL40" s="205">
        <f>IFERROR(__xludf.DUMMYFUNCTION("PRODUCT(
   MAP(
     K$3:ED$3,
     K$14:ED$14,
     K$13:ED$13,
     K40:ED40,
     LAMBDA(
       job,
       buff,
       target,
       check,
       IF(
         OR(AND(check=TRUE, REGEXMATCH(target, ""SELF_AFFECTED_ALL""), job=""ガンブレイカー""), AND(che"&amp;"ck=Option!$H$13, REGEXMATCH(target, ""SINGLE_AFFECTED_ALL""))),
         buff,
         1
       )
     )
   )
 )"),1.0)</f>
        <v>1</v>
      </c>
      <c r="FM40" s="206">
        <f>IFERROR(__xludf.DUMMYFUNCTION("SUM(
   MAP(
     K$3:ED$3,
     K$7:ED$7,
     K$15:ED$15,
     K$16:ED$16,
     K$21:ED$21,
     K$5:ED$5,
     K$17:ED$17,
     K40:ED40,
     LAMBDA(
       job,
       abillity,
       buff,
       barrier,
       enhance,
       assign,
       preco"&amp;"ndition,
       check,
       IF(
         OR(AND(check=TRUE, REGEXMATCH(assign, ""SELF""), job=""ガンブレイカー""), AND(check=Option!$H$13, REGEXMATCH(assign, ""SINGLE_PARTY""))),
         IF(
           OR(ARRAYFORMULA((IF(precondition="""", FALSE, REGEXMATCH("&amp;"$K$4:$ED$4, precondition))) * (K40:ED40=TRUE))),
           enhance,
           IF(barrier="""", buff, barrier)
         ),
         0
       ) *
       SWITCH(
         job,
         ""暗黒騎士"", FN$24,
         ""白魔道士"", EF40 * EH40 * FL40 * IF(abillity, 1"&amp;", EG40 * EI40) * (Option!$D$22 * 0.81 / 100),
         ""占星術師"", EF40 * EJ40 * FL40 * IF(abillity, 1, EG40 * EK40) * (Option!$D$23 * 0.81 / 100),
         ""学者"", EF40 * EL40 * FL40 * IF(abillity, 1, EG40 * EM40) * (Option!$D$24 * 0.81 / 100),
         """&amp;"賢者"", EF40 * EN40 * FL40 * IF(abillity, 1, EG40 * EO40) * (Option!$D$25 * 0.81 / 100),
         1
       )
     )
   )
 ) + EQ40"),0.0)</f>
        <v>0</v>
      </c>
      <c r="FN40" s="206">
        <f t="shared" si="13"/>
        <v>0</v>
      </c>
      <c r="FO40" s="213"/>
    </row>
    <row r="41">
      <c r="B41" s="229"/>
      <c r="C41" s="217">
        <f t="shared" si="1"/>
        <v>0.003391203704</v>
      </c>
      <c r="D41" s="236">
        <v>0.0016898148148148148</v>
      </c>
      <c r="E41" s="237" t="s">
        <v>1094</v>
      </c>
      <c r="F41" s="167" t="s">
        <v>10</v>
      </c>
      <c r="G41" s="168" t="str">
        <f t="shared" si="2"/>
        <v/>
      </c>
      <c r="H41" s="169"/>
      <c r="I41" s="169"/>
      <c r="J41" s="169"/>
      <c r="K41" s="170" t="b">
        <v>0</v>
      </c>
      <c r="L41" s="170" t="b">
        <v>0</v>
      </c>
      <c r="M41" s="170" t="b">
        <v>0</v>
      </c>
      <c r="N41" s="171" t="s">
        <v>1070</v>
      </c>
      <c r="O41" s="172" t="b">
        <v>0</v>
      </c>
      <c r="P41" s="173" t="b">
        <v>0</v>
      </c>
      <c r="Q41" s="173" t="b">
        <v>0</v>
      </c>
      <c r="R41" s="173" t="b">
        <v>0</v>
      </c>
      <c r="S41" s="174" t="b">
        <v>0</v>
      </c>
      <c r="T41" s="175" t="b">
        <v>0</v>
      </c>
      <c r="U41" s="173" t="b">
        <v>0</v>
      </c>
      <c r="V41" s="171" t="s">
        <v>1070</v>
      </c>
      <c r="W41" s="172" t="b">
        <v>0</v>
      </c>
      <c r="X41" s="173" t="b">
        <v>0</v>
      </c>
      <c r="Y41" s="173" t="b">
        <v>0</v>
      </c>
      <c r="Z41" s="173" t="b">
        <v>0</v>
      </c>
      <c r="AA41" s="174" t="b">
        <v>0</v>
      </c>
      <c r="AB41" s="174" t="b">
        <v>0</v>
      </c>
      <c r="AC41" s="175" t="b">
        <v>0</v>
      </c>
      <c r="AD41" s="173" t="b">
        <v>0</v>
      </c>
      <c r="AE41" s="176" t="s">
        <v>1070</v>
      </c>
      <c r="AF41" s="171" t="s">
        <v>1070</v>
      </c>
      <c r="AG41" s="177">
        <f>IFERROR(__xludf.DUMMYFUNCTION("IF(
  ISNUMBER(AG40),
  MIN(MAX(
    AG40
    + MAX(
      ROUNDDOWN(($D41 - MAX(IFERROR(FILTER($D$24:$D40, AG$24:AG40 &lt;&gt; AF$6, AG$23:AG39 = AF$6), 0))) * (60 * 60 * 24) / AF$9) - ROUNDDOWN(($D40 - MAX(IFERROR(FILTER($D$23:$D39, AG$23:AG39 &lt;&gt; AF$6, AG$22:"&amp;"AG38 = AF$6), 0))) * (60 * 60 * 24) / 60),
      0
    )
    - COUNTIF(AF41, ""&lt;&gt;-""),
  0), AF$6),
  AF$6 - COUNTIF(AF41, ""&lt;&gt;-"")
)"),2.0)</f>
        <v>2</v>
      </c>
      <c r="AH41" s="173" t="b">
        <v>0</v>
      </c>
      <c r="AI41" s="173" t="b">
        <v>0</v>
      </c>
      <c r="AJ41" s="173" t="b">
        <v>0</v>
      </c>
      <c r="AK41" s="174" t="b">
        <v>0</v>
      </c>
      <c r="AL41" s="175" t="b">
        <v>0</v>
      </c>
      <c r="AM41" s="173" t="b">
        <v>0</v>
      </c>
      <c r="AN41" s="171" t="s">
        <v>1070</v>
      </c>
      <c r="AO41" s="173" t="b">
        <v>0</v>
      </c>
      <c r="AP41" s="173" t="b">
        <v>0</v>
      </c>
      <c r="AQ41" s="173" t="b">
        <v>0</v>
      </c>
      <c r="AR41" s="174" t="b">
        <v>0</v>
      </c>
      <c r="AS41" s="178" t="b">
        <v>0</v>
      </c>
      <c r="AT41" s="179" t="b">
        <v>0</v>
      </c>
      <c r="AU41" s="180" t="b">
        <v>0</v>
      </c>
      <c r="AV41" s="180" t="b">
        <v>0</v>
      </c>
      <c r="AW41" s="180" t="b">
        <v>0</v>
      </c>
      <c r="AX41" s="180" t="b">
        <v>0</v>
      </c>
      <c r="AY41" s="181" t="s">
        <v>1070</v>
      </c>
      <c r="AZ41" s="181" t="s">
        <v>1070</v>
      </c>
      <c r="BA41" s="184">
        <f>IFERROR(__xludf.DUMMYFUNCTION("IF(
  ISNUMBER(BA40),
  MIN(MAX(
    BA40
    + MAX(
      ROUNDDOWN((D41 - MAX(IFERROR(FILTER(D$24:D40, BA$24:BA40 &lt;&gt; AZ$6, BA$23:BA39 = AZ$6), 0))) * (60 * 60 * 24) / AZ$9) - ROUNDDOWN((D40 - MAX(IFERROR(FILTER(D$23:D39, BA$23:BA39 &lt;&gt; AZ$6, BA$22:BA38 ="&amp;" AZ$6), 0))) * (60 * 60 * 24) / AZ$9),
      0
    )
    - COUNTIF(AZ41, ""&lt;&gt;-""),
  0), AZ$6),
  AZ$6 - COUNTIF(AZ41, ""&lt;&gt;-"")
)"),2.0)</f>
        <v>2</v>
      </c>
      <c r="BB41" s="181" t="s">
        <v>1070</v>
      </c>
      <c r="BC41" s="183">
        <f>IFERROR(__xludf.DUMMYFUNCTION("IF(
  ISNUMBER(BC40),
  MIN(MAX(
    BC40
    + MAX(
      ROUNDDOWN(($D41 - MAX(IFERROR(FILTER($D$24:$D40, BC$24:BC40 &lt;&gt; BB$6, BC$23:BC39 = BB$6), 0))) * (60 * 60 * 24) / BB$9) - ROUNDDOWN(($D40 - MAX(IFERROR(FILTER($D$23:$D39, BC$23:BC39 &lt;&gt; BB$6, BC$22:"&amp;"BC38 = BB$6), 0))) * (60 * 60 * 24) / 60),
      0
    )
    - COUNTIF(BB41, ""&lt;&gt;-""),
  0), BB$6),
  BB$6 - COUNTIF(BB41, ""&lt;&gt;-"")
)"),2.0)</f>
        <v>2</v>
      </c>
      <c r="BD41" s="181" t="s">
        <v>1070</v>
      </c>
      <c r="BE41" s="178" t="b">
        <v>0</v>
      </c>
      <c r="BF41" s="180" t="b">
        <v>0</v>
      </c>
      <c r="BG41" s="180" t="b">
        <v>0</v>
      </c>
      <c r="BH41" s="180" t="b">
        <v>0</v>
      </c>
      <c r="BI41" s="180" t="b">
        <v>0</v>
      </c>
      <c r="BJ41" s="180" t="b">
        <v>0</v>
      </c>
      <c r="BK41" s="180" t="b">
        <v>0</v>
      </c>
      <c r="BL41" s="180" t="b">
        <v>0</v>
      </c>
      <c r="BM41" s="180" t="b">
        <v>0</v>
      </c>
      <c r="BN41" s="180" t="b">
        <v>0</v>
      </c>
      <c r="BO41" s="181" t="s">
        <v>1070</v>
      </c>
      <c r="BP41" s="181" t="s">
        <v>1070</v>
      </c>
      <c r="BQ41" s="181" t="s">
        <v>1070</v>
      </c>
      <c r="BR41" s="181" t="s">
        <v>1070</v>
      </c>
      <c r="BS41" s="181" t="s">
        <v>1070</v>
      </c>
      <c r="BT41" s="184">
        <f>IFERROR(__xludf.DUMMYFUNCTION("IF(
  ISNUMBER(BT40),
  MIN(MAX(
    BT40
    + MAX(
      ROUNDDOWN((D41 - MAX(IFERROR(FILTER(D$24:D40, BT$24:BT40 &lt;&gt; BS$6, BT$23:BT39 = BS$6), 0))) * (60 * 60 * 24) / BS$9) - ROUNDDOWN((D40 - MAX(IFERROR(FILTER(D$23:D39, BT$23:BT39 &lt;&gt; BS$6, BT$22:BT38 ="&amp;" BS$6), 0))) * (60 * 60 * 24) / BS$9),
      0
    )
    - COUNTIF(BS41, ""&lt;&gt;-""),
  0), BS$6),
  BS$6 - COUNTIF(BS41, ""&lt;&gt;-"")
)"),3.0)</f>
        <v>3</v>
      </c>
      <c r="BU41" s="181" t="s">
        <v>1070</v>
      </c>
      <c r="BV41" s="181" t="s">
        <v>1070</v>
      </c>
      <c r="BW41" s="184">
        <f>IFERROR(__xludf.DUMMYFUNCTION("IF(
  ISNUMBER(BW40),
  MIN(MAX(
    BW40
    + MAX(
      ROUNDDOWN((D41 - MAX(IFERROR(FILTER(D$24:D40, BW$24:BW40 &lt;&gt; BV$6, BW$23:BW39 = BV$6), 0))) * (60 * 60 * 24) / BV$9) - ROUNDDOWN((D40 - MAX(IFERROR(FILTER(D$23:D39, BW$23:BW39 &lt;&gt; BV$6, BW$22:BW38 ="&amp;" BV$6), 0))) * (60 * 60 * 24) / BV$9),
      0
    )
    - COUNTIF(BV41, ""&lt;&gt;-""),
  0), BV$6),
  BV$6 - COUNTIF(BV41, ""&lt;&gt;-"")
)"),2.0)</f>
        <v>2</v>
      </c>
      <c r="BX41" s="185" t="s">
        <v>1070</v>
      </c>
      <c r="BY41" s="178" t="b">
        <v>0</v>
      </c>
      <c r="BZ41" s="180" t="b">
        <v>0</v>
      </c>
      <c r="CA41" s="180" t="b">
        <v>0</v>
      </c>
      <c r="CB41" s="180" t="b">
        <v>0</v>
      </c>
      <c r="CC41" s="180" t="b">
        <v>0</v>
      </c>
      <c r="CD41" s="180" t="b">
        <v>0</v>
      </c>
      <c r="CE41" s="180" t="b">
        <v>0</v>
      </c>
      <c r="CF41" s="180" t="b">
        <v>0</v>
      </c>
      <c r="CG41" s="180" t="b">
        <v>0</v>
      </c>
      <c r="CH41" s="180" t="b">
        <v>0</v>
      </c>
      <c r="CI41" s="180" t="b">
        <v>0</v>
      </c>
      <c r="CJ41" s="180" t="b">
        <v>0</v>
      </c>
      <c r="CK41" s="180" t="b">
        <v>0</v>
      </c>
      <c r="CL41" s="180" t="b">
        <v>0</v>
      </c>
      <c r="CM41" s="181" t="s">
        <v>1070</v>
      </c>
      <c r="CN41" s="181" t="s">
        <v>1070</v>
      </c>
      <c r="CO41" s="181" t="s">
        <v>1070</v>
      </c>
      <c r="CP41" s="181" t="s">
        <v>1070</v>
      </c>
      <c r="CQ41" s="185" t="s">
        <v>1070</v>
      </c>
      <c r="CR41" s="180" t="b">
        <v>0</v>
      </c>
      <c r="CS41" s="186" t="str">
        <f t="shared" si="14"/>
        <v>◇◇◇</v>
      </c>
      <c r="CT41" s="178" t="b">
        <v>0</v>
      </c>
      <c r="CU41" s="180" t="b">
        <v>0</v>
      </c>
      <c r="CV41" s="180" t="b">
        <v>0</v>
      </c>
      <c r="CW41" s="180" t="b">
        <v>0</v>
      </c>
      <c r="CX41" s="180" t="b">
        <v>0</v>
      </c>
      <c r="CY41" s="180" t="b">
        <v>0</v>
      </c>
      <c r="CZ41" s="180" t="b">
        <v>0</v>
      </c>
      <c r="DA41" s="180" t="b">
        <v>0</v>
      </c>
      <c r="DB41" s="180" t="b">
        <v>0</v>
      </c>
      <c r="DC41" s="180" t="b">
        <v>0</v>
      </c>
      <c r="DD41" s="181" t="s">
        <v>1070</v>
      </c>
      <c r="DE41" s="181" t="s">
        <v>1070</v>
      </c>
      <c r="DF41" s="181" t="s">
        <v>1070</v>
      </c>
      <c r="DG41" s="185" t="s">
        <v>1070</v>
      </c>
      <c r="DH41" s="180" t="b">
        <v>0</v>
      </c>
      <c r="DI41" s="187" t="str">
        <f>IFERROR(__xludf.DUMMYFUNCTION("SWITCH(
  IF(
    ISTEXT(DI40),
    IF (
      FIND(""○"", DI40&amp;""○"") &gt; 3,
      3,
      FIND(""○"", DI40&amp;""○"")
      + MAX(
        ROUNDDOWN(($D41 - MAX(IFERROR(FILTER(D$24:D40, DI$24:DI40 &lt;&gt; ""●●●"", DI$23:DI39 = ""●●●""), 0))) * (60 * 60 * 24) / 20"&amp;") - ROUNDDOWN(($D40 - MAX(IFERROR(FILTER(D$23:D39, DI$23:DI39 &lt;&gt; ""●●●"", DI$22:DI38 = ""●●●""), 0))) * (60 * 60 * 24) / 20),
        0
      ) - 1
    ) - COUNTIFS(CU41, ""=TRUE"", CU40, ""&lt;&gt;TRUE"") - COUNTIF(CZ41, ""=TRUE"") - COUNTIF({DD41,DE41}, ""&lt;&gt;-"&amp;""") + COUNTIF(DH41, ""=TRUE""),
    3
  ),
  0, ""○○○"", 1, ""●○○"", 2, ""●●○"", 3, ""●●●"", 4, ""●●●"", ""○○○""
)"),"●●●")</f>
        <v>●●●</v>
      </c>
      <c r="DJ41" s="188" t="b">
        <v>0</v>
      </c>
      <c r="DK41" s="189" t="b">
        <v>0</v>
      </c>
      <c r="DL41" s="190" t="b">
        <v>0</v>
      </c>
      <c r="DM41" s="190" t="b">
        <v>0</v>
      </c>
      <c r="DN41" s="190" t="b">
        <v>0</v>
      </c>
      <c r="DO41" s="190" t="b">
        <v>0</v>
      </c>
      <c r="DP41" s="190" t="b">
        <v>0</v>
      </c>
      <c r="DQ41" s="191" t="b">
        <v>0</v>
      </c>
      <c r="DR41" s="192" t="b">
        <v>0</v>
      </c>
      <c r="DS41" s="191" t="b">
        <v>0</v>
      </c>
      <c r="DT41" s="192" t="b">
        <v>0</v>
      </c>
      <c r="DU41" s="191" t="b">
        <v>0</v>
      </c>
      <c r="DV41" s="193" t="s">
        <v>1070</v>
      </c>
      <c r="DW41" s="194" t="b">
        <v>0</v>
      </c>
      <c r="DX41" s="194" t="b">
        <v>0</v>
      </c>
      <c r="DY41" s="195" t="b">
        <v>0</v>
      </c>
      <c r="DZ41" s="196" t="b">
        <v>0</v>
      </c>
      <c r="EA41" s="195" t="b">
        <v>0</v>
      </c>
      <c r="EB41" s="197" t="b">
        <v>0</v>
      </c>
      <c r="EC41" s="197" t="b">
        <v>0</v>
      </c>
      <c r="ED41" s="212" t="b">
        <v>0</v>
      </c>
      <c r="EE41" s="199">
        <f>IFERROR(__xludf.DUMMYFUNCTION("IFERROR(
   PRODUCT(
     MAP(
       INDEX(TRANSPOSE(UNIQUE(TRANSPOSE(FILTER({IF($F41=""Physical"", K$10:ED$10, IF($F41=""Magic"", K$11:ED$11, K$12:ED$12));K$4:ED$4;K41:ED41}, K41:ED41=TRUE)))), 1, 0),
       INDEX(TRANSPOSE(UNIQUE(TRANSPOSE(FILTER({IF($"&amp;"F41=""Physical"", K$18:ED$18, IF($F41=""Magic"", K$19:ED$19, K$20:ED$20));K$4:ED$4;K41:ED41}, K41:ED41=TRUE)))), 1, 0),
       INDEX(TRANSPOSE(UNIQUE(TRANSPOSE(FILTER({K$5:ED$5;K$4:ED$4;K41:ED41}, K41:ED41=TRUE)))), 1, 0),
       INDEX(TRANSPOSE(UNIQUE(TR"&amp;"ANSPOSE(FILTER({K$17:ED$17;K$4:ED$4;K41:ED41}, K41:ED41=TRUE)))), 1, 0),
       LAMBDA(
         mitigation,
         enhance,
         assign,
         precondition,
         IF(
           REGEXMATCH(assign, ""RANGE_PARTY|SINGLE_ENEMY|RANGE_ENEMY""),
  "&amp;"         IF(
             OR(ARRAYFORMULA((IF(precondition="""", FALSE, REGEXMATCH(K$4:ED$4, precondition))) * (K41:ED41=TRUE))),
             IF(ISNUMBER(enhance), enhance, 1),
             IF(ISNUMBER(mitigation), mitigation, 1)
           ),
          "&amp;" 1
         )
       )
     )
   ),
   1
 )"),1.0)</f>
        <v>1</v>
      </c>
      <c r="EF41" s="200">
        <f>IFERROR(__xludf.DUMMYFUNCTION("PRODUCT(
   MAP(
     K$14:ED$14,
     K$13:ED$13,
     K41:ED41,
     LAMBDA(
       buff,
       target,
       check,
       IF(
         AND(check=TRUE, REGEXMATCH(target, ""RANGE_AFFECTED_ALL|RANGE_EFFECTED_ALL""), ISNUMBER(buff)),
         buff,
   "&amp;"      1
       )
     )
   )
 )"),1.0)</f>
        <v>1</v>
      </c>
      <c r="EG41" s="200">
        <f>IFERROR(__xludf.DUMMYFUNCTION("PRODUCT(
   MAP(
     K$14:ED$14,
     K$13:ED$13,
     K41:ED41,
     LAMBDA(
       buff,
       target,
       check,
       IF(
         AND(check=TRUE, REGEXMATCH(target, ""RANGE_AFFECTED_GCD|RANGE_EFFECTED_GCD""), ISNUMBER(buff)),
         buff,
   "&amp;"      1
       )
     )
   )
 )"),1.0)</f>
        <v>1</v>
      </c>
      <c r="EH41" s="200">
        <f>IFERROR(__xludf.DUMMYFUNCTION("PRODUCT(
   MAP(
     K$3:ED$3,
     K$14:ED$14,
     K$13:ED$13,
     K41:ED41,
     LAMBDA(
       job,
       buff,
       target,
       check,
       IF(
         AND(check=TRUE, REGEXMATCH(target, ""SELF_EFFECTED_ALL""), ISNUMBER(buff), job=""白魔道士"""&amp;"),
         buff,
         1
       )
     )
   )
 )"),1.0)</f>
        <v>1</v>
      </c>
      <c r="EI41" s="200">
        <f>IFERROR(__xludf.DUMMYFUNCTION("PRODUCT(
   MAP(
     K$3:ED$3,
     K$14:ED$14,
     K$13:ED$13,
     K41:ED41,
     LAMBDA(
       job,
       buff,
       target,
       check,
       IF(
         AND(check=TRUE, REGEXMATCH(target, ""SELF_EFFECTED_GCD""), ISNUMBER(buff), job=""白魔道士"""&amp;"),
         buff,
         1
       )
     )
   )
 )"),1.0)</f>
        <v>1</v>
      </c>
      <c r="EJ41" s="200">
        <f>IFERROR(__xludf.DUMMYFUNCTION("PRODUCT(
   MAP(
     K$3:ED$3,
     K$14:ED$14,
     K$13:ED$13,
     K41:ED41,
     LAMBDA(
       job,
       buff,
       target,
       check,
       IF(
         AND(check=TRUE, REGEXMATCH(target, ""SELF_EFFECTED_ALL""), ISNUMBER(buff), job=""占星術師"""&amp;"),
         buff,
         1
       )
     )
   )
 )"),1.0)</f>
        <v>1</v>
      </c>
      <c r="EK41" s="200">
        <f>IFERROR(__xludf.DUMMYFUNCTION("PRODUCT(
   MAP(
     K$3:ED$3,
     K$14:ED$14,
     K$13:ED$13,
     K41:ED41,
     LAMBDA(
       job,
       buff,
       target,
       check,
       IF(
         AND(check=TRUE, REGEXMATCH(target, ""SELF_EFFECTED_GCD""), ISNUMBER(buff), job=""占星術師"""&amp;"),
         buff,
         1
       )
     )
   )
 )"),1.0)</f>
        <v>1</v>
      </c>
      <c r="EL41" s="200">
        <f>IFERROR(__xludf.DUMMYFUNCTION("PRODUCT(
   MAP(
     K$3:ED$3,
     K$14:ED$14,
     K$13:ED$13,
     K41:ED41,
     LAMBDA(
       job,
       buff,
       target,
       check,
       IF(
         AND(check=TRUE, REGEXMATCH(target, ""SELF_EFFECTED_ALL""), ISNUMBER(buff), job=""学者""),"&amp;"
         buff,
         1
       )
     )
   )
 )"),1.0)</f>
        <v>1</v>
      </c>
      <c r="EM41" s="200">
        <f>IFERROR(__xludf.DUMMYFUNCTION("PRODUCT(
   MAP(
     K$3:ED$3,
     K$14:ED$14,
     K$13:ED$13,
     K41:ED41,
     LAMBDA(
       job,
       buff,
       target,
       check,
       IF(
         AND(check=TRUE, REGEXMATCH(target, ""SELF_EFFECTED_GCD""), ISNUMBER(buff), job=""学者""),"&amp;"
         buff,
         1
       )
     )
   )
 )"),1.0)</f>
        <v>1</v>
      </c>
      <c r="EN41" s="200">
        <f>IFERROR(__xludf.DUMMYFUNCTION("PRODUCT(
   MAP(
     K$3:ED$3,
     K$14:ED$14,
     K$13:ED$13,
     K41:ED41,
     LAMBDA(
       job,
       buff,
       target,
       check,
       IF(
         AND(check=TRUE, REGEXMATCH(target, ""SELF_EFFECTED_ALL""), ISNUMBER(buff), job=""賢者""),"&amp;"
         buff,
         1
       )
     )
   )
 )"),1.0)</f>
        <v>1</v>
      </c>
      <c r="EO41" s="200">
        <f>IFERROR(__xludf.DUMMYFUNCTION("PRODUCT(
   MAP(
     K$3:ED$3,
     K$14:ED$14,
     K$13:ED$13,
     K41:ED41,
     LAMBDA(
       job,
       buff,
       target,
       check,
       IF(
         AND(check=TRUE, REGEXMATCH(target, ""SELF_EFFECTED_GCD""), ISNUMBER(buff), job=""賢者""),"&amp;"
         buff,
         1
       )
     )
   )
 )"),1.0)</f>
        <v>1</v>
      </c>
      <c r="EP41" s="201">
        <f t="shared" si="3"/>
        <v>0</v>
      </c>
      <c r="EQ41" s="201">
        <f>IFERROR(__xludf.DUMMYFUNCTION("SUM(
   MAP(
     K$4:ED$4,
     K$3:ED$3,
     K$7:ED$7,
     K$15:ED$15,
     K$16:ED$16,
     K$21:ED$21,
     K$5:ED$5,
     K$17:ED$17,
     K41:ED41,
     LAMBDA(
       name,
       job,
       abillity,
       buff,
       barrier,
       enhance,"&amp;"
       assign,
       precondition,
       check,
       SWITCH(
         name,
         ""シェイクオフ"", IF(check=TRUE, buff + (0.02 * COUNTIF(ARRAYFORMULA((REGEXMATCH($K$4:$ED$4, ""スリル・オブ・バトル|ヴェンジェンス|原初の血気|ダムネーション"")) * (K41:ED41=TRUE)), 1)), 0),
         "&amp;"""インプロビゼーションフィニッシュ(踊りの激情0)"", IF(ISNUMBER(check), INDEX(Skill!$AJ:$AJ, MATCH(SUBSTITUTE(DV$4, 0, check), Skill!$C:$C, 0)), 0),
         IF(
           AND(check=TRUE, REGEXMATCH(assign, ""RANGE_PARTY"")),
           IF(
             OR(ARRAYFORMULA((IF(pr"&amp;"econdition="""", FALSE, REGEXMATCH($K$4:$ED$4, precondition))) * (K41:ED41=TRUE))),
             enhance,
             IF(barrier="""", buff, barrier)
           ),
           0
         )
       ) *
       SWITCH(
         job,
         ""ナイト"", EY$24,
 "&amp;"        ""戦士"", FD$24,
         ""踊り子"", ET$24,
         ""ピクトマンサー"", ET$24,
         ""白魔道士"", EF41 * EH41 * IF(abillity, 1, EG41 * EI41) * (Option!$D$22 * 0.81 / 100),
         ""占星術師"", EF41 * EJ41 * IF(abillity, 1, EG41 * EK41) * (Option!$D$23 * 0.81 "&amp;"/ 100),
         ""学者"", EF41 * EL41 * IF(abillity, 1, EG41 * EM41) * (Option!$D$24 * 0.81 / 100),
         ""賢者"", EF41 * EN41 * IF(abillity, 1, EG41 * EO41) * (Option!$D$25 * 0.81 / 100),
         1
       )
     )
   )
 )"),0.0)</f>
        <v>0</v>
      </c>
      <c r="ER41" s="202">
        <f t="shared" si="4"/>
        <v>0</v>
      </c>
      <c r="ES41" s="203">
        <f t="shared" si="5"/>
        <v>0</v>
      </c>
      <c r="ET41" s="231" t="str">
        <f>IFERROR(__xludf.DUMMYFUNCTION("IFS(
  EP41 &gt; $ET$24 + EQ41,
  SPARKLINE({ 1, 0 }, {""charttype"",""bar"";""max"", 1;""color1"",Option!$D$30;""color2"",Option!$D$30}),
  EP41 &lt; EQ41,
  SPARKLINE({EQ41 - EP41, $ET$24 - (EQ41 - EP41)}, {""charttype"",""bar"";""max"",$ET$24;""color1"",Opti"&amp;"on!$D$28;""color2"",Option!$D$29}),
  EP41 &gt;= EQ41,
  SPARKLINE({$ET$24 + EQ41 - EP41,EP41 - EQ41}, {""charttype"",""bar"";""max"",$ET$24;""color1"",Option!$D$29;""color2"",Option!$D$30})
)"),"")</f>
        <v/>
      </c>
      <c r="EU41" s="205">
        <f>IFERROR(__xludf.DUMMYFUNCTION("PRODUCT(
   MAP(
     IF($F41=""Physical"", K$10:ED$10, IF($F41=""Magic"", K$11:ED$11, K$12:ED$12)),
     IF($F41=""Physical"", K$18:ED$18, IF($F41=""Magic"", K$19:ED$19, K$20:ED$20)),
     K$3:ED$3,
     K$5:ED$5,
     K$17:ED$17,
     K41:ED41,
     LAM"&amp;"BDA(
       mitigation,
       enhance,
       job,
       assign,
       precondition,
       check,
       IF(
         OR(AND(check=TRUE, REGEXMATCH(assign, ""SELF""), job=""ナイト""), AND(check=Option!$E$13, REGEXMATCH(assign, ""SINGLE_PARTY""))),
      "&amp;"   IF(
           OR(ARRAYFORMULA((IF(precondition="""", FALSE, REGEXMATCH($K$4:$ED$4, precondition))) * (K41:ED41=TRUE))),
           enhance,
           mitigation
         ),
         1
       )
     )
   )
 ) * EE41"),1.0)</f>
        <v>1</v>
      </c>
      <c r="EV41" s="206">
        <f t="shared" si="6"/>
        <v>0</v>
      </c>
      <c r="EW41" s="205">
        <f>IFERROR(__xludf.DUMMYFUNCTION("PRODUCT(
   MAP(
     K$3:ED$3,
     K$14:ED$14,
     K$13:ED$13,
     K41:ED41,
     LAMBDA(
       job,
       buff,
       target,
       check,
       IF(
         OR(AND(check=TRUE, REGEXMATCH(target, ""SELF_AFFECTED_ALL""), job=""ナイト""), AND(check=O"&amp;"ption!$E$13, REGEXMATCH(target, ""SINGLE_AFFECTED_ALL""))),
         buff,
         1
       )
     )
   )
 )"),1.0)</f>
        <v>1</v>
      </c>
      <c r="EX41" s="206">
        <f>IFERROR(__xludf.DUMMYFUNCTION("SUM(
   MAP(
     K$3:ED$3,
     K$7:ED$7,
     K$15:ED$15,
     K$16:ED$16,
     K$21:ED$21,
     K$5:ED$5,
     K$17:ED$17,
     K41:ED41,
     LAMBDA(
       job,
       abillity,
       buff,
       barrier,
       enhance,
       assign,
       preco"&amp;"ndition,
       check,
       IF(
         OR(AND(check=TRUE, REGEXMATCH(assign, ""SELF""), job=""ナイト""), AND(check=Option!$E$13, REGEXMATCH(assign, ""SINGLE_PARTY""))),
         IF(
           OR(ARRAYFORMULA((IF(precondition="""", FALSE, REGEXMATCH($K$4"&amp;":$ED$4, precondition))) * (K41:ED41=TRUE))),
           enhance,
           IF(barrier="""", buff, barrier)
         ),
         0
       ) *
       SWITCH(
         job,
         ""暗黒騎士"", EY$24,
         ""白魔道士"", EF41 * EH41 * EW41 * IF(abillity, 1, EG"&amp;"41 * EI41) * (Option!$D$22 * 0.81 / 100),
         ""占星術師"", EF41 * EJ41 * EW41 * IF(abillity, 1, EG41 * EK41) * (Option!$D$23 * 0.81 / 100),
         ""学者"", EF41 * EL41 * EW41 * IF(abillity, 1, EG41 * EM41) * (Option!$D$24 * 0.81 / 100),
         ""賢者"""&amp;", EF41 * EN41 * EW41 * IF(abillity, 1, EG41 * EO41) * (Option!$D$25 * 0.81 / 100),
         1
       )
     )
   )
 ) + EQ41"),0.0)</f>
        <v>0</v>
      </c>
      <c r="EY41" s="232">
        <f t="shared" si="7"/>
        <v>0</v>
      </c>
      <c r="EZ41" s="205">
        <f>IFERROR(__xludf.DUMMYFUNCTION("PRODUCT(
   MAP(
     IF($F41=""Physical"", K$10:ED$10, IF($F41=""Magic"", K$11:ED$11, K$12:ED$12)),
     IF($F41=""Physical"", K$18:ED$18, IF($F41=""Magic"", K$19:ED$19, K$20:ED$20)),
     K$3:ED$3,
     K$5:ED$5,
     K$17:ED$17,
     K41:ED41,
     LAM"&amp;"BDA(
       mitigation,
       enhance,
       job,
       assign,
       precondition,
       check,
       IF(
         OR(AND(check=TRUE, REGEXMATCH(assign, ""SELF""), job=""戦士""), AND(check=Option!$F$13, REGEXMATCH(assign, ""SINGLE_PARTY""))),
       "&amp;"  IF(
           OR(ARRAYFORMULA((IF(precondition="""", FALSE, REGEXMATCH($K$4:$ED$4, precondition))) * (K41:ED41=TRUE))),
           enhance,
           mitigation
         ),
         1
       )
     )
   )
 ) * EE41"),1.0)</f>
        <v>1</v>
      </c>
      <c r="FA41" s="206">
        <f t="shared" si="8"/>
        <v>0</v>
      </c>
      <c r="FB41" s="205">
        <f>IFERROR(__xludf.DUMMYFUNCTION("PRODUCT(
   MAP(
     K$3:ED$3,
     K$14:ED$14,
     K$13:ED$13,
     K41:ED41,
     LAMBDA(
       job,
       buff,
       target,
       check,
       IF(
         OR(AND(check=TRUE, REGEXMATCH(target, ""SELF_AFFECTED_ALL""), job=""戦士""), AND(check=Op"&amp;"tion!$F$13, REGEXMATCH(target, ""SINGLE_AFFECTED_ALL""))),
         buff,
         1
       )
     )
   )
 )"),1.0)</f>
        <v>1</v>
      </c>
      <c r="FC41" s="206">
        <f>IFERROR(__xludf.DUMMYFUNCTION("SUM(
   MAP(
     K$3:ED$3,
     K$7:ED$7,
     K$15:ED$15,
     K$16:ED$16,
     K$21:ED$21,
     K$5:ED$5,
     K$17:ED$17,
     K41:ED41,
     LAMBDA(
       job,
       abillity,
       buff,
       barrier,
       enhance,
       assign,
       preco"&amp;"ndition,
       check,
       IF(
         OR(AND(check=TRUE, REGEXMATCH(assign, ""SELF""), job=""戦士""), AND(check=Option!$F$13, REGEXMATCH(assign, ""SINGLE_PARTY""))),
         IF(
           OR(ARRAYFORMULA((IF(precondition="""", FALSE, REGEXMATCH($K$4:"&amp;"$ED$4, precondition))) * (K41:ED41=TRUE))),
           enhance,
           IF(barrier="""", buff, barrier)
         ),
         0
       ) *
       SWITCH(
         job,
         ""暗黒騎士"", FD$24,
         ""白魔道士"", EF41 * EH41 * FB41 * IF(abillity, 1, EG4"&amp;"1 * EI41) * (Option!$D$22 * 0.81 / 100),
         ""占星術師"", EF41 * EJ41 * FFB41 * IF(abillity, 1, EG41 * EK41) * (Option!$D$23 * 0.81 / 100),
         ""学者"", EF41 * EL41 * FB41 * IF(abillity, 1, EG41 * EM41) * (Option!$D$24 * 0.81 / 100),
         ""賢者"""&amp;", EF41 * EN41 * FB41 * IF(abillity, 1, EG41 * EO41) * (Option!$D$25 * 0.81 / 100),
         1
       )
     )
   )
 ) + EQ41"),0.0)</f>
        <v>0</v>
      </c>
      <c r="FD41" s="206">
        <f t="shared" si="9"/>
        <v>0</v>
      </c>
      <c r="FE41" s="205">
        <f>IFERROR(__xludf.DUMMYFUNCTION("PRODUCT(
   MAP(
     IF($F41=""Physical"", K$10:ED$10, IF($F41=""Magic"", K$11:ED$11, K$12:ED$12)),
     IF($F41=""Physical"", K$18:ED$18, IF($F41=""Magic"", K$19:ED$19, K$20:ED$20)),
     K$3:ED$3,
     K$5:ED$5,
     K$17:ED$17,
     K41:ED41,
     LAM"&amp;"BDA(
       mitigation,
       enhance,
       job,
       assign,
       precondition,
       check,
       IF(
         OR(AND(check=TRUE, REGEXMATCH(assign, ""SELF""), job=""暗黒騎士""), AND(check=Option!$G$13, REGEXMATCH(assign, ""SINGLE_PARTY""))),
     "&amp;"    IF(
           OR(ARRAYFORMULA((IF(precondition="""", FALSE, REGEXMATCH($K$4:$ED$4, precondition))) * (K41:ED41=TRUE))),
           enhance,
           mitigation
         ),
         1
       )
     )
   )
 ) * EE41"),1.0)</f>
        <v>1</v>
      </c>
      <c r="FF41" s="206">
        <f t="shared" si="10"/>
        <v>0</v>
      </c>
      <c r="FG41" s="205">
        <f>IFERROR(__xludf.DUMMYFUNCTION("PRODUCT(
   MAP(
     K$3:ED$3,
     K$14:ED$14,
     K$13:ED$13,
     K41:ED41,
     LAMBDA(
       job,
       buff,
       target,
       check,
       IF(
         OR(AND(check=TRUE, REGEXMATCH(target, ""SELF_AFFECTED_ALL""), job=""暗黒騎士""), AND(check="&amp;"Option!$G$13, REGEXMATCH(target, ""SINGLE_AFFECTED_ALL""))),
         buff,
         1
       )
     )
   )
 )"),1.0)</f>
        <v>1</v>
      </c>
      <c r="FH41" s="206">
        <f>IFERROR(__xludf.DUMMYFUNCTION("SUM(
   MAP(
     K$3:ED$3,
     K$7:ED$7,
     K$15:ED$15,
     K$16:ED$16,
     K$21:ED$21,
     K$5:ED$5,
     K$17:ED$17,
     K41:ED41,
     LAMBDA(
       job,
       abillity,
       buff,
       barrier,
       enhance,
       assign,
       preco"&amp;"ndition,
       check,
       IF(
         OR(AND(check=TRUE, REGEXMATCH(assign, ""SELF""), job=""暗黒騎士""), AND(check=Option!$G$13, REGEXMATCH(assign, ""SINGLE_PARTY""))),
         IF(
           OR(ARRAYFORMULA((IF(precondition="""", FALSE, REGEXMATCH($K$"&amp;"4:$ED$4, precondition))) * (K41:ED41=TRUE))),
           enhance,
           IF(barrier="""", buff, barrier)
         ),
         0
       ) *
       SWITCH(
         job,
         ""暗黒騎士"", FI$24,
         ""白魔道士"", EF41 * EH41 * FG41 * IF(abillity, 1, E"&amp;"G41 * EI41) * (Option!$D$22 * 0.81 / 100),
         ""占星術師"", EF41 * EJ41 * FG41 * IF(abillity, 1, EG41 * EK41) * (Option!$D$23 * 0.81 / 100),
         ""学者"", EF41 * EL41 * FG41 * IF(abillity, 1, EG41 * EM41) * (Option!$D$24 * 0.81 / 100),
         ""賢者"&amp;""", EF41 * EN41 * FG41 * IF(abillity, 1, EG41 * EO41) * (Option!$D$25 * 0.81 / 100),
         1
       )
     )
   )
 ) + EQ41"),0.0)</f>
        <v>0</v>
      </c>
      <c r="FI41" s="206">
        <f t="shared" si="11"/>
        <v>0</v>
      </c>
      <c r="FJ41" s="205">
        <f>IFERROR(__xludf.DUMMYFUNCTION("PRODUCT(
   MAP(
     IF($F41=""Physical"", K$10:ED$10, IF($F41=""Magic"", K$11:ED$11, K$12:ED$12)),
     IF($F41=""Physical"", K$18:ED$18, IF($F41=""Magic"", K$19:ED$19, K$20:ED$20)),
     K$3:ED$3,
     K$5:ED$5,
     K$17:ED$17,
     K41:ED41,
     LAM"&amp;"BDA(
       mitigation,
       enhance,
       job,
       assign,
       precondition,
       check,
       IF(
         OR(AND(check=TRUE, REGEXMATCH(assign, ""SELF""), job=""ガンブレイカー""), AND(check=Option!$H$13, REGEXMATCH(assign, ""SINGLE_PARTY""))),
  "&amp;"       IF(
           OR(ARRAYFORMULA((IF(precondition="""", FALSE, REGEXMATCH($K$4:$ED$4, precondition))) * (K41:ED41=TRUE))),
           enhance,
           mitigation
         ),
         1
       )
     )
   )
 ) * EE41"),1.0)</f>
        <v>1</v>
      </c>
      <c r="FK41" s="206">
        <f t="shared" si="12"/>
        <v>0</v>
      </c>
      <c r="FL41" s="205">
        <f>IFERROR(__xludf.DUMMYFUNCTION("PRODUCT(
   MAP(
     K$3:ED$3,
     K$14:ED$14,
     K$13:ED$13,
     K41:ED41,
     LAMBDA(
       job,
       buff,
       target,
       check,
       IF(
         OR(AND(check=TRUE, REGEXMATCH(target, ""SELF_AFFECTED_ALL""), job=""ガンブレイカー""), AND(che"&amp;"ck=Option!$H$13, REGEXMATCH(target, ""SINGLE_AFFECTED_ALL""))),
         buff,
         1
       )
     )
   )
 )"),1.0)</f>
        <v>1</v>
      </c>
      <c r="FM41" s="206">
        <f>IFERROR(__xludf.DUMMYFUNCTION("SUM(
   MAP(
     K$3:ED$3,
     K$7:ED$7,
     K$15:ED$15,
     K$16:ED$16,
     K$21:ED$21,
     K$5:ED$5,
     K$17:ED$17,
     K41:ED41,
     LAMBDA(
       job,
       abillity,
       buff,
       barrier,
       enhance,
       assign,
       preco"&amp;"ndition,
       check,
       IF(
         OR(AND(check=TRUE, REGEXMATCH(assign, ""SELF""), job=""ガンブレイカー""), AND(check=Option!$H$13, REGEXMATCH(assign, ""SINGLE_PARTY""))),
         IF(
           OR(ARRAYFORMULA((IF(precondition="""", FALSE, REGEXMATCH("&amp;"$K$4:$ED$4, precondition))) * (K41:ED41=TRUE))),
           enhance,
           IF(barrier="""", buff, barrier)
         ),
         0
       ) *
       SWITCH(
         job,
         ""暗黒騎士"", FN$24,
         ""白魔道士"", EF41 * EH41 * FL41 * IF(abillity, 1"&amp;", EG41 * EI41) * (Option!$D$22 * 0.81 / 100),
         ""占星術師"", EF41 * EJ41 * FL41 * IF(abillity, 1, EG41 * EK41) * (Option!$D$23 * 0.81 / 100),
         ""学者"", EF41 * EL41 * FL41 * IF(abillity, 1, EG41 * EM41) * (Option!$D$24 * 0.81 / 100),
         """&amp;"賢者"", EF41 * EN41 * FL41 * IF(abillity, 1, EG41 * EO41) * (Option!$D$25 * 0.81 / 100),
         1
       )
     )
   )
 ) + EQ41"),0.0)</f>
        <v>0</v>
      </c>
      <c r="FN41" s="206">
        <f t="shared" si="13"/>
        <v>0</v>
      </c>
      <c r="FO41" s="213"/>
    </row>
    <row r="42">
      <c r="B42" s="229"/>
      <c r="C42" s="217">
        <f t="shared" si="1"/>
        <v>0.003425925926</v>
      </c>
      <c r="D42" s="236">
        <v>0.001724537037037037</v>
      </c>
      <c r="E42" s="237" t="s">
        <v>1087</v>
      </c>
      <c r="F42" s="167" t="s">
        <v>11</v>
      </c>
      <c r="G42" s="168" t="str">
        <f t="shared" si="2"/>
        <v/>
      </c>
      <c r="H42" s="169">
        <v>16000.0</v>
      </c>
      <c r="I42" s="169"/>
      <c r="J42" s="169"/>
      <c r="K42" s="170" t="b">
        <v>0</v>
      </c>
      <c r="L42" s="170" t="b">
        <v>0</v>
      </c>
      <c r="M42" s="170" t="b">
        <v>0</v>
      </c>
      <c r="N42" s="171" t="s">
        <v>1070</v>
      </c>
      <c r="O42" s="172" t="b">
        <v>0</v>
      </c>
      <c r="P42" s="173" t="b">
        <v>0</v>
      </c>
      <c r="Q42" s="173" t="b">
        <v>0</v>
      </c>
      <c r="R42" s="173" t="b">
        <v>0</v>
      </c>
      <c r="S42" s="174" t="b">
        <v>0</v>
      </c>
      <c r="T42" s="175" t="b">
        <v>0</v>
      </c>
      <c r="U42" s="173" t="b">
        <v>0</v>
      </c>
      <c r="V42" s="171" t="s">
        <v>1070</v>
      </c>
      <c r="W42" s="172" t="b">
        <v>0</v>
      </c>
      <c r="X42" s="173" t="b">
        <v>0</v>
      </c>
      <c r="Y42" s="173" t="b">
        <v>0</v>
      </c>
      <c r="Z42" s="173" t="b">
        <v>0</v>
      </c>
      <c r="AA42" s="174" t="b">
        <v>0</v>
      </c>
      <c r="AB42" s="174" t="b">
        <v>0</v>
      </c>
      <c r="AC42" s="175" t="b">
        <v>0</v>
      </c>
      <c r="AD42" s="173" t="b">
        <v>0</v>
      </c>
      <c r="AE42" s="176" t="s">
        <v>1070</v>
      </c>
      <c r="AF42" s="171" t="s">
        <v>1070</v>
      </c>
      <c r="AG42" s="177">
        <f>IFERROR(__xludf.DUMMYFUNCTION("IF(
  ISNUMBER(AG41),
  MIN(MAX(
    AG41
    + MAX(
      ROUNDDOWN(($D42 - MAX(IFERROR(FILTER($D$24:$D41, AG$24:AG41 &lt;&gt; AF$6, AG$23:AG40 = AF$6), 0))) * (60 * 60 * 24) / AF$9) - ROUNDDOWN(($D41 - MAX(IFERROR(FILTER($D$23:$D40, AG$23:AG40 &lt;&gt; AF$6, AG$22:"&amp;"AG39 = AF$6), 0))) * (60 * 60 * 24) / 60),
      0
    )
    - COUNTIF(AF42, ""&lt;&gt;-""),
  0), AF$6),
  AF$6 - COUNTIF(AF42, ""&lt;&gt;-"")
)"),2.0)</f>
        <v>2</v>
      </c>
      <c r="AH42" s="173" t="b">
        <v>0</v>
      </c>
      <c r="AI42" s="173" t="b">
        <v>0</v>
      </c>
      <c r="AJ42" s="173" t="b">
        <v>0</v>
      </c>
      <c r="AK42" s="174" t="b">
        <v>0</v>
      </c>
      <c r="AL42" s="175" t="b">
        <v>0</v>
      </c>
      <c r="AM42" s="173" t="b">
        <v>0</v>
      </c>
      <c r="AN42" s="171" t="s">
        <v>1070</v>
      </c>
      <c r="AO42" s="173" t="b">
        <v>0</v>
      </c>
      <c r="AP42" s="173" t="b">
        <v>0</v>
      </c>
      <c r="AQ42" s="173" t="b">
        <v>0</v>
      </c>
      <c r="AR42" s="174" t="b">
        <v>0</v>
      </c>
      <c r="AS42" s="178" t="b">
        <v>0</v>
      </c>
      <c r="AT42" s="179" t="b">
        <v>0</v>
      </c>
      <c r="AU42" s="180" t="b">
        <v>0</v>
      </c>
      <c r="AV42" s="180" t="b">
        <v>0</v>
      </c>
      <c r="AW42" s="180" t="b">
        <v>0</v>
      </c>
      <c r="AX42" s="180" t="b">
        <v>0</v>
      </c>
      <c r="AY42" s="181" t="s">
        <v>1070</v>
      </c>
      <c r="AZ42" s="181" t="s">
        <v>1070</v>
      </c>
      <c r="BA42" s="184">
        <f>IFERROR(__xludf.DUMMYFUNCTION("IF(
  ISNUMBER(BA41),
  MIN(MAX(
    BA41
    + MAX(
      ROUNDDOWN((D42 - MAX(IFERROR(FILTER(D$24:D41, BA$24:BA41 &lt;&gt; AZ$6, BA$23:BA40 = AZ$6), 0))) * (60 * 60 * 24) / AZ$9) - ROUNDDOWN((D41 - MAX(IFERROR(FILTER(D$23:D40, BA$23:BA40 &lt;&gt; AZ$6, BA$22:BA39 ="&amp;" AZ$6), 0))) * (60 * 60 * 24) / AZ$9),
      0
    )
    - COUNTIF(AZ42, ""&lt;&gt;-""),
  0), AZ$6),
  AZ$6 - COUNTIF(AZ42, ""&lt;&gt;-"")
)"),2.0)</f>
        <v>2</v>
      </c>
      <c r="BB42" s="181" t="s">
        <v>1070</v>
      </c>
      <c r="BC42" s="183">
        <f>IFERROR(__xludf.DUMMYFUNCTION("IF(
  ISNUMBER(BC41),
  MIN(MAX(
    BC41
    + MAX(
      ROUNDDOWN(($D42 - MAX(IFERROR(FILTER($D$24:$D41, BC$24:BC41 &lt;&gt; BB$6, BC$23:BC40 = BB$6), 0))) * (60 * 60 * 24) / BB$9) - ROUNDDOWN(($D41 - MAX(IFERROR(FILTER($D$23:$D40, BC$23:BC40 &lt;&gt; BB$6, BC$22:"&amp;"BC39 = BB$6), 0))) * (60 * 60 * 24) / 60),
      0
    )
    - COUNTIF(BB42, ""&lt;&gt;-""),
  0), BB$6),
  BB$6 - COUNTIF(BB42, ""&lt;&gt;-"")
)"),2.0)</f>
        <v>2</v>
      </c>
      <c r="BD42" s="181" t="s">
        <v>1070</v>
      </c>
      <c r="BE42" s="178" t="b">
        <v>0</v>
      </c>
      <c r="BF42" s="180" t="b">
        <v>0</v>
      </c>
      <c r="BG42" s="180" t="b">
        <v>0</v>
      </c>
      <c r="BH42" s="180" t="b">
        <v>0</v>
      </c>
      <c r="BI42" s="180" t="b">
        <v>0</v>
      </c>
      <c r="BJ42" s="180" t="b">
        <v>0</v>
      </c>
      <c r="BK42" s="180" t="b">
        <v>0</v>
      </c>
      <c r="BL42" s="180" t="b">
        <v>0</v>
      </c>
      <c r="BM42" s="180" t="b">
        <v>0</v>
      </c>
      <c r="BN42" s="180" t="b">
        <v>0</v>
      </c>
      <c r="BO42" s="181" t="s">
        <v>1070</v>
      </c>
      <c r="BP42" s="181" t="s">
        <v>1070</v>
      </c>
      <c r="BQ42" s="181" t="s">
        <v>1070</v>
      </c>
      <c r="BR42" s="181" t="s">
        <v>1070</v>
      </c>
      <c r="BS42" s="181" t="s">
        <v>1070</v>
      </c>
      <c r="BT42" s="184">
        <f>IFERROR(__xludf.DUMMYFUNCTION("IF(
  ISNUMBER(BT41),
  MIN(MAX(
    BT41
    + MAX(
      ROUNDDOWN((D42 - MAX(IFERROR(FILTER(D$24:D41, BT$24:BT41 &lt;&gt; BS$6, BT$23:BT40 = BS$6), 0))) * (60 * 60 * 24) / BS$9) - ROUNDDOWN((D41 - MAX(IFERROR(FILTER(D$23:D40, BT$23:BT40 &lt;&gt; BS$6, BT$22:BT39 ="&amp;" BS$6), 0))) * (60 * 60 * 24) / BS$9),
      0
    )
    - COUNTIF(BS42, ""&lt;&gt;-""),
  0), BS$6),
  BS$6 - COUNTIF(BS42, ""&lt;&gt;-"")
)"),3.0)</f>
        <v>3</v>
      </c>
      <c r="BU42" s="181" t="s">
        <v>1070</v>
      </c>
      <c r="BV42" s="181" t="s">
        <v>1070</v>
      </c>
      <c r="BW42" s="184">
        <f>IFERROR(__xludf.DUMMYFUNCTION("IF(
  ISNUMBER(BW41),
  MIN(MAX(
    BW41
    + MAX(
      ROUNDDOWN((D42 - MAX(IFERROR(FILTER(D$24:D41, BW$24:BW41 &lt;&gt; BV$6, BW$23:BW40 = BV$6), 0))) * (60 * 60 * 24) / BV$9) - ROUNDDOWN((D41 - MAX(IFERROR(FILTER(D$23:D40, BW$23:BW40 &lt;&gt; BV$6, BW$22:BW39 ="&amp;" BV$6), 0))) * (60 * 60 * 24) / BV$9),
      0
    )
    - COUNTIF(BV42, ""&lt;&gt;-""),
  0), BV$6),
  BV$6 - COUNTIF(BV42, ""&lt;&gt;-"")
)"),2.0)</f>
        <v>2</v>
      </c>
      <c r="BX42" s="185" t="s">
        <v>1070</v>
      </c>
      <c r="BY42" s="178" t="b">
        <v>0</v>
      </c>
      <c r="BZ42" s="180" t="b">
        <v>0</v>
      </c>
      <c r="CA42" s="180" t="b">
        <v>0</v>
      </c>
      <c r="CB42" s="180" t="b">
        <v>0</v>
      </c>
      <c r="CC42" s="180" t="b">
        <v>0</v>
      </c>
      <c r="CD42" s="180" t="b">
        <v>0</v>
      </c>
      <c r="CE42" s="180" t="b">
        <v>0</v>
      </c>
      <c r="CF42" s="180" t="b">
        <v>0</v>
      </c>
      <c r="CG42" s="180" t="b">
        <v>0</v>
      </c>
      <c r="CH42" s="180" t="b">
        <v>0</v>
      </c>
      <c r="CI42" s="180" t="b">
        <v>0</v>
      </c>
      <c r="CJ42" s="180" t="b">
        <v>0</v>
      </c>
      <c r="CK42" s="180" t="b">
        <v>0</v>
      </c>
      <c r="CL42" s="180" t="b">
        <v>0</v>
      </c>
      <c r="CM42" s="181" t="s">
        <v>1070</v>
      </c>
      <c r="CN42" s="181" t="s">
        <v>1070</v>
      </c>
      <c r="CO42" s="181" t="s">
        <v>1070</v>
      </c>
      <c r="CP42" s="181" t="s">
        <v>1070</v>
      </c>
      <c r="CQ42" s="185" t="s">
        <v>1070</v>
      </c>
      <c r="CR42" s="180" t="b">
        <v>0</v>
      </c>
      <c r="CS42" s="186" t="str">
        <f t="shared" si="14"/>
        <v>◇◇◇</v>
      </c>
      <c r="CT42" s="178" t="b">
        <v>0</v>
      </c>
      <c r="CU42" s="180" t="b">
        <v>0</v>
      </c>
      <c r="CV42" s="180" t="b">
        <v>0</v>
      </c>
      <c r="CW42" s="180" t="b">
        <v>0</v>
      </c>
      <c r="CX42" s="180" t="b">
        <v>0</v>
      </c>
      <c r="CY42" s="180" t="b">
        <v>0</v>
      </c>
      <c r="CZ42" s="180" t="b">
        <v>0</v>
      </c>
      <c r="DA42" s="180" t="b">
        <v>0</v>
      </c>
      <c r="DB42" s="180" t="b">
        <v>0</v>
      </c>
      <c r="DC42" s="180" t="b">
        <v>0</v>
      </c>
      <c r="DD42" s="181" t="s">
        <v>1070</v>
      </c>
      <c r="DE42" s="181" t="s">
        <v>1070</v>
      </c>
      <c r="DF42" s="181" t="s">
        <v>1070</v>
      </c>
      <c r="DG42" s="185" t="s">
        <v>1070</v>
      </c>
      <c r="DH42" s="180" t="b">
        <v>0</v>
      </c>
      <c r="DI42" s="187" t="str">
        <f>IFERROR(__xludf.DUMMYFUNCTION("SWITCH(
  IF(
    ISTEXT(DI41),
    IF (
      FIND(""○"", DI41&amp;""○"") &gt; 3,
      3,
      FIND(""○"", DI41&amp;""○"")
      + MAX(
        ROUNDDOWN(($D42 - MAX(IFERROR(FILTER(D$24:D41, DI$24:DI41 &lt;&gt; ""●●●"", DI$23:DI40 = ""●●●""), 0))) * (60 * 60 * 24) / 20"&amp;") - ROUNDDOWN(($D41 - MAX(IFERROR(FILTER(D$23:D40, DI$23:DI40 &lt;&gt; ""●●●"", DI$22:DI39 = ""●●●""), 0))) * (60 * 60 * 24) / 20),
        0
      ) - 1
    ) - COUNTIFS(CU42, ""=TRUE"", CU41, ""&lt;&gt;TRUE"") - COUNTIF(CZ42, ""=TRUE"") - COUNTIF({DD42,DE42}, ""&lt;&gt;-"&amp;""") + COUNTIF(DH42, ""=TRUE""),
    3
  ),
  0, ""○○○"", 1, ""●○○"", 2, ""●●○"", 3, ""●●●"", 4, ""●●●"", ""○○○""
)"),"●●●")</f>
        <v>●●●</v>
      </c>
      <c r="DJ42" s="188" t="b">
        <v>0</v>
      </c>
      <c r="DK42" s="189" t="b">
        <v>0</v>
      </c>
      <c r="DL42" s="190" t="b">
        <v>0</v>
      </c>
      <c r="DM42" s="190" t="b">
        <v>0</v>
      </c>
      <c r="DN42" s="190" t="b">
        <v>0</v>
      </c>
      <c r="DO42" s="190" t="b">
        <v>0</v>
      </c>
      <c r="DP42" s="190" t="b">
        <v>0</v>
      </c>
      <c r="DQ42" s="191" t="b">
        <v>0</v>
      </c>
      <c r="DR42" s="192" t="b">
        <v>0</v>
      </c>
      <c r="DS42" s="191" t="b">
        <v>0</v>
      </c>
      <c r="DT42" s="192" t="b">
        <v>0</v>
      </c>
      <c r="DU42" s="191" t="b">
        <v>0</v>
      </c>
      <c r="DV42" s="193" t="s">
        <v>1070</v>
      </c>
      <c r="DW42" s="194" t="b">
        <v>0</v>
      </c>
      <c r="DX42" s="194" t="b">
        <v>0</v>
      </c>
      <c r="DY42" s="195" t="b">
        <v>0</v>
      </c>
      <c r="DZ42" s="196" t="b">
        <v>0</v>
      </c>
      <c r="EA42" s="195" t="b">
        <v>0</v>
      </c>
      <c r="EB42" s="197" t="b">
        <v>0</v>
      </c>
      <c r="EC42" s="197" t="b">
        <v>0</v>
      </c>
      <c r="ED42" s="212" t="b">
        <v>0</v>
      </c>
      <c r="EE42" s="199">
        <f>IFERROR(__xludf.DUMMYFUNCTION("IFERROR(
   PRODUCT(
     MAP(
       INDEX(TRANSPOSE(UNIQUE(TRANSPOSE(FILTER({IF($F42=""Physical"", K$10:ED$10, IF($F42=""Magic"", K$11:ED$11, K$12:ED$12));K$4:ED$4;K42:ED42}, K42:ED42=TRUE)))), 1, 0),
       INDEX(TRANSPOSE(UNIQUE(TRANSPOSE(FILTER({IF($"&amp;"F42=""Physical"", K$18:ED$18, IF($F42=""Magic"", K$19:ED$19, K$20:ED$20));K$4:ED$4;K42:ED42}, K42:ED42=TRUE)))), 1, 0),
       INDEX(TRANSPOSE(UNIQUE(TRANSPOSE(FILTER({K$5:ED$5;K$4:ED$4;K42:ED42}, K42:ED42=TRUE)))), 1, 0),
       INDEX(TRANSPOSE(UNIQUE(TR"&amp;"ANSPOSE(FILTER({K$17:ED$17;K$4:ED$4;K42:ED42}, K42:ED42=TRUE)))), 1, 0),
       LAMBDA(
         mitigation,
         enhance,
         assign,
         precondition,
         IF(
           REGEXMATCH(assign, ""RANGE_PARTY|SINGLE_ENEMY|RANGE_ENEMY""),
  "&amp;"         IF(
             OR(ARRAYFORMULA((IF(precondition="""", FALSE, REGEXMATCH(K$4:ED$4, precondition))) * (K42:ED42=TRUE))),
             IF(ISNUMBER(enhance), enhance, 1),
             IF(ISNUMBER(mitigation), mitigation, 1)
           ),
          "&amp;" 1
         )
       )
     )
   ),
   1
 )"),1.0)</f>
        <v>1</v>
      </c>
      <c r="EF42" s="200">
        <f>IFERROR(__xludf.DUMMYFUNCTION("PRODUCT(
   MAP(
     K$14:ED$14,
     K$13:ED$13,
     K42:ED42,
     LAMBDA(
       buff,
       target,
       check,
       IF(
         AND(check=TRUE, REGEXMATCH(target, ""RANGE_AFFECTED_ALL|RANGE_EFFECTED_ALL""), ISNUMBER(buff)),
         buff,
   "&amp;"      1
       )
     )
   )
 )"),1.0)</f>
        <v>1</v>
      </c>
      <c r="EG42" s="200">
        <f>IFERROR(__xludf.DUMMYFUNCTION("PRODUCT(
   MAP(
     K$14:ED$14,
     K$13:ED$13,
     K42:ED42,
     LAMBDA(
       buff,
       target,
       check,
       IF(
         AND(check=TRUE, REGEXMATCH(target, ""RANGE_AFFECTED_GCD|RANGE_EFFECTED_GCD""), ISNUMBER(buff)),
         buff,
   "&amp;"      1
       )
     )
   )
 )"),1.0)</f>
        <v>1</v>
      </c>
      <c r="EH42" s="200">
        <f>IFERROR(__xludf.DUMMYFUNCTION("PRODUCT(
   MAP(
     K$3:ED$3,
     K$14:ED$14,
     K$13:ED$13,
     K42:ED42,
     LAMBDA(
       job,
       buff,
       target,
       check,
       IF(
         AND(check=TRUE, REGEXMATCH(target, ""SELF_EFFECTED_ALL""), ISNUMBER(buff), job=""白魔道士"""&amp;"),
         buff,
         1
       )
     )
   )
 )"),1.0)</f>
        <v>1</v>
      </c>
      <c r="EI42" s="200">
        <f>IFERROR(__xludf.DUMMYFUNCTION("PRODUCT(
   MAP(
     K$3:ED$3,
     K$14:ED$14,
     K$13:ED$13,
     K42:ED42,
     LAMBDA(
       job,
       buff,
       target,
       check,
       IF(
         AND(check=TRUE, REGEXMATCH(target, ""SELF_EFFECTED_GCD""), ISNUMBER(buff), job=""白魔道士"""&amp;"),
         buff,
         1
       )
     )
   )
 )"),1.0)</f>
        <v>1</v>
      </c>
      <c r="EJ42" s="200">
        <f>IFERROR(__xludf.DUMMYFUNCTION("PRODUCT(
   MAP(
     K$3:ED$3,
     K$14:ED$14,
     K$13:ED$13,
     K42:ED42,
     LAMBDA(
       job,
       buff,
       target,
       check,
       IF(
         AND(check=TRUE, REGEXMATCH(target, ""SELF_EFFECTED_ALL""), ISNUMBER(buff), job=""占星術師"""&amp;"),
         buff,
         1
       )
     )
   )
 )"),1.0)</f>
        <v>1</v>
      </c>
      <c r="EK42" s="200">
        <f>IFERROR(__xludf.DUMMYFUNCTION("PRODUCT(
   MAP(
     K$3:ED$3,
     K$14:ED$14,
     K$13:ED$13,
     K42:ED42,
     LAMBDA(
       job,
       buff,
       target,
       check,
       IF(
         AND(check=TRUE, REGEXMATCH(target, ""SELF_EFFECTED_GCD""), ISNUMBER(buff), job=""占星術師"""&amp;"),
         buff,
         1
       )
     )
   )
 )"),1.0)</f>
        <v>1</v>
      </c>
      <c r="EL42" s="200">
        <f>IFERROR(__xludf.DUMMYFUNCTION("PRODUCT(
   MAP(
     K$3:ED$3,
     K$14:ED$14,
     K$13:ED$13,
     K42:ED42,
     LAMBDA(
       job,
       buff,
       target,
       check,
       IF(
         AND(check=TRUE, REGEXMATCH(target, ""SELF_EFFECTED_ALL""), ISNUMBER(buff), job=""学者""),"&amp;"
         buff,
         1
       )
     )
   )
 )"),1.0)</f>
        <v>1</v>
      </c>
      <c r="EM42" s="200">
        <f>IFERROR(__xludf.DUMMYFUNCTION("PRODUCT(
   MAP(
     K$3:ED$3,
     K$14:ED$14,
     K$13:ED$13,
     K42:ED42,
     LAMBDA(
       job,
       buff,
       target,
       check,
       IF(
         AND(check=TRUE, REGEXMATCH(target, ""SELF_EFFECTED_GCD""), ISNUMBER(buff), job=""学者""),"&amp;"
         buff,
         1
       )
     )
   )
 )"),1.0)</f>
        <v>1</v>
      </c>
      <c r="EN42" s="200">
        <f>IFERROR(__xludf.DUMMYFUNCTION("PRODUCT(
   MAP(
     K$3:ED$3,
     K$14:ED$14,
     K$13:ED$13,
     K42:ED42,
     LAMBDA(
       job,
       buff,
       target,
       check,
       IF(
         AND(check=TRUE, REGEXMATCH(target, ""SELF_EFFECTED_ALL""), ISNUMBER(buff), job=""賢者""),"&amp;"
         buff,
         1
       )
     )
   )
 )"),1.0)</f>
        <v>1</v>
      </c>
      <c r="EO42" s="200">
        <f>IFERROR(__xludf.DUMMYFUNCTION("PRODUCT(
   MAP(
     K$3:ED$3,
     K$14:ED$14,
     K$13:ED$13,
     K42:ED42,
     LAMBDA(
       job,
       buff,
       target,
       check,
       IF(
         AND(check=TRUE, REGEXMATCH(target, ""SELF_EFFECTED_GCD""), ISNUMBER(buff), job=""賢者""),"&amp;"
         buff,
         1
       )
     )
   )
 )"),1.0)</f>
        <v>1</v>
      </c>
      <c r="EP42" s="201">
        <f t="shared" si="3"/>
        <v>16000</v>
      </c>
      <c r="EQ42" s="201">
        <f>IFERROR(__xludf.DUMMYFUNCTION("SUM(
   MAP(
     K$4:ED$4,
     K$3:ED$3,
     K$7:ED$7,
     K$15:ED$15,
     K$16:ED$16,
     K$21:ED$21,
     K$5:ED$5,
     K$17:ED$17,
     K42:ED42,
     LAMBDA(
       name,
       job,
       abillity,
       buff,
       barrier,
       enhance,"&amp;"
       assign,
       precondition,
       check,
       SWITCH(
         name,
         ""シェイクオフ"", IF(check=TRUE, buff + (0.02 * COUNTIF(ARRAYFORMULA((REGEXMATCH($K$4:$ED$4, ""スリル・オブ・バトル|ヴェンジェンス|原初の血気|ダムネーション"")) * (K42:ED42=TRUE)), 1)), 0),
         "&amp;"""インプロビゼーションフィニッシュ(踊りの激情0)"", IF(ISNUMBER(check), INDEX(Skill!$AJ:$AJ, MATCH(SUBSTITUTE(DV$4, 0, check), Skill!$C:$C, 0)), 0),
         IF(
           AND(check=TRUE, REGEXMATCH(assign, ""RANGE_PARTY"")),
           IF(
             OR(ARRAYFORMULA((IF(pr"&amp;"econdition="""", FALSE, REGEXMATCH($K$4:$ED$4, precondition))) * (K42:ED42=TRUE))),
             enhance,
             IF(barrier="""", buff, barrier)
           ),
           0
         )
       ) *
       SWITCH(
         job,
         ""ナイト"", EY$24,
 "&amp;"        ""戦士"", FD$24,
         ""踊り子"", ET$24,
         ""ピクトマンサー"", ET$24,
         ""白魔道士"", EF42 * EH42 * IF(abillity, 1, EG42 * EI42) * (Option!$D$22 * 0.81 / 100),
         ""占星術師"", EF42 * EJ42 * IF(abillity, 1, EG42 * EK42) * (Option!$D$23 * 0.81 "&amp;"/ 100),
         ""学者"", EF42 * EL42 * IF(abillity, 1, EG42 * EM42) * (Option!$D$24 * 0.81 / 100),
         ""賢者"", EF42 * EN42 * IF(abillity, 1, EG42 * EO42) * (Option!$D$25 * 0.81 / 100),
         1
       )
     )
   )
 )"),0.0)</f>
        <v>0</v>
      </c>
      <c r="ER42" s="202">
        <f t="shared" si="4"/>
        <v>16000</v>
      </c>
      <c r="ES42" s="203">
        <f t="shared" si="5"/>
        <v>0</v>
      </c>
      <c r="ET42" s="231" t="str">
        <f>IFERROR(__xludf.DUMMYFUNCTION("IFS(
  EP42 &gt; $ET$24 + EQ42,
  SPARKLINE({ 1, 0 }, {""charttype"",""bar"";""max"", 1;""color1"",Option!$D$30;""color2"",Option!$D$30}),
  EP42 &lt; EQ42,
  SPARKLINE({EQ42 - EP42, $ET$24 - (EQ42 - EP42)}, {""charttype"",""bar"";""max"",$ET$24;""color1"",Opti"&amp;"on!$D$28;""color2"",Option!$D$29}),
  EP42 &gt;= EQ42,
  SPARKLINE({$ET$24 + EQ42 - EP42,EP42 - EQ42}, {""charttype"",""bar"";""max"",$ET$24;""color1"",Option!$D$29;""color2"",Option!$D$30})
)"),"")</f>
        <v/>
      </c>
      <c r="EU42" s="205">
        <f>IFERROR(__xludf.DUMMYFUNCTION("PRODUCT(
   MAP(
     IF($F42=""Physical"", K$10:ED$10, IF($F42=""Magic"", K$11:ED$11, K$12:ED$12)),
     IF($F42=""Physical"", K$18:ED$18, IF($F42=""Magic"", K$19:ED$19, K$20:ED$20)),
     K$3:ED$3,
     K$5:ED$5,
     K$17:ED$17,
     K42:ED42,
     LAM"&amp;"BDA(
       mitigation,
       enhance,
       job,
       assign,
       precondition,
       check,
       IF(
         OR(AND(check=TRUE, REGEXMATCH(assign, ""SELF""), job=""ナイト""), AND(check=Option!$E$13, REGEXMATCH(assign, ""SINGLE_PARTY""))),
      "&amp;"   IF(
           OR(ARRAYFORMULA((IF(precondition="""", FALSE, REGEXMATCH($K$4:$ED$4, precondition))) * (K42:ED42=TRUE))),
           enhance,
           mitigation
         ),
         1
       )
     )
   )
 ) * EE42"),1.0)</f>
        <v>1</v>
      </c>
      <c r="EV42" s="206">
        <f t="shared" si="6"/>
        <v>12800</v>
      </c>
      <c r="EW42" s="205">
        <f>IFERROR(__xludf.DUMMYFUNCTION("PRODUCT(
   MAP(
     K$3:ED$3,
     K$14:ED$14,
     K$13:ED$13,
     K42:ED42,
     LAMBDA(
       job,
       buff,
       target,
       check,
       IF(
         OR(AND(check=TRUE, REGEXMATCH(target, ""SELF_AFFECTED_ALL""), job=""ナイト""), AND(check=O"&amp;"ption!$E$13, REGEXMATCH(target, ""SINGLE_AFFECTED_ALL""))),
         buff,
         1
       )
     )
   )
 )"),1.0)</f>
        <v>1</v>
      </c>
      <c r="EX42" s="206">
        <f>IFERROR(__xludf.DUMMYFUNCTION("SUM(
   MAP(
     K$3:ED$3,
     K$7:ED$7,
     K$15:ED$15,
     K$16:ED$16,
     K$21:ED$21,
     K$5:ED$5,
     K$17:ED$17,
     K42:ED42,
     LAMBDA(
       job,
       abillity,
       buff,
       barrier,
       enhance,
       assign,
       preco"&amp;"ndition,
       check,
       IF(
         OR(AND(check=TRUE, REGEXMATCH(assign, ""SELF""), job=""ナイト""), AND(check=Option!$E$13, REGEXMATCH(assign, ""SINGLE_PARTY""))),
         IF(
           OR(ARRAYFORMULA((IF(precondition="""", FALSE, REGEXMATCH($K$4"&amp;":$ED$4, precondition))) * (K42:ED42=TRUE))),
           enhance,
           IF(barrier="""", buff, barrier)
         ),
         0
       ) *
       SWITCH(
         job,
         ""暗黒騎士"", EY$24,
         ""白魔道士"", EF42 * EH42 * EW42 * IF(abillity, 1, EG"&amp;"42 * EI42) * (Option!$D$22 * 0.81 / 100),
         ""占星術師"", EF42 * EJ42 * EW42 * IF(abillity, 1, EG42 * EK42) * (Option!$D$23 * 0.81 / 100),
         ""学者"", EF42 * EL42 * EW42 * IF(abillity, 1, EG42 * EM42) * (Option!$D$24 * 0.81 / 100),
         ""賢者"""&amp;", EF42 * EN42 * EW42 * IF(abillity, 1, EG42 * EO42) * (Option!$D$25 * 0.81 / 100),
         1
       )
     )
   )
 ) + EQ42"),0.0)</f>
        <v>0</v>
      </c>
      <c r="EY42" s="232">
        <f t="shared" si="7"/>
        <v>12800</v>
      </c>
      <c r="EZ42" s="205">
        <f>IFERROR(__xludf.DUMMYFUNCTION("PRODUCT(
   MAP(
     IF($F42=""Physical"", K$10:ED$10, IF($F42=""Magic"", K$11:ED$11, K$12:ED$12)),
     IF($F42=""Physical"", K$18:ED$18, IF($F42=""Magic"", K$19:ED$19, K$20:ED$20)),
     K$3:ED$3,
     K$5:ED$5,
     K$17:ED$17,
     K42:ED42,
     LAM"&amp;"BDA(
       mitigation,
       enhance,
       job,
       assign,
       precondition,
       check,
       IF(
         OR(AND(check=TRUE, REGEXMATCH(assign, ""SELF""), job=""戦士""), AND(check=Option!$F$13, REGEXMATCH(assign, ""SINGLE_PARTY""))),
       "&amp;"  IF(
           OR(ARRAYFORMULA((IF(precondition="""", FALSE, REGEXMATCH($K$4:$ED$4, precondition))) * (K42:ED42=TRUE))),
           enhance,
           mitigation
         ),
         1
       )
     )
   )
 ) * EE42"),1.0)</f>
        <v>1</v>
      </c>
      <c r="FA42" s="206">
        <f t="shared" si="8"/>
        <v>12800</v>
      </c>
      <c r="FB42" s="205">
        <f>IFERROR(__xludf.DUMMYFUNCTION("PRODUCT(
   MAP(
     K$3:ED$3,
     K$14:ED$14,
     K$13:ED$13,
     K42:ED42,
     LAMBDA(
       job,
       buff,
       target,
       check,
       IF(
         OR(AND(check=TRUE, REGEXMATCH(target, ""SELF_AFFECTED_ALL""), job=""戦士""), AND(check=Op"&amp;"tion!$F$13, REGEXMATCH(target, ""SINGLE_AFFECTED_ALL""))),
         buff,
         1
       )
     )
   )
 )"),1.0)</f>
        <v>1</v>
      </c>
      <c r="FC42" s="206">
        <f>IFERROR(__xludf.DUMMYFUNCTION("SUM(
   MAP(
     K$3:ED$3,
     K$7:ED$7,
     K$15:ED$15,
     K$16:ED$16,
     K$21:ED$21,
     K$5:ED$5,
     K$17:ED$17,
     K42:ED42,
     LAMBDA(
       job,
       abillity,
       buff,
       barrier,
       enhance,
       assign,
       preco"&amp;"ndition,
       check,
       IF(
         OR(AND(check=TRUE, REGEXMATCH(assign, ""SELF""), job=""戦士""), AND(check=Option!$F$13, REGEXMATCH(assign, ""SINGLE_PARTY""))),
         IF(
           OR(ARRAYFORMULA((IF(precondition="""", FALSE, REGEXMATCH($K$4:"&amp;"$ED$4, precondition))) * (K42:ED42=TRUE))),
           enhance,
           IF(barrier="""", buff, barrier)
         ),
         0
       ) *
       SWITCH(
         job,
         ""暗黒騎士"", FD$24,
         ""白魔道士"", EF42 * EH42 * FB42 * IF(abillity, 1, EG4"&amp;"2 * EI42) * (Option!$D$22 * 0.81 / 100),
         ""占星術師"", EF42 * EJ42 * FFB42 * IF(abillity, 1, EG42 * EK42) * (Option!$D$23 * 0.81 / 100),
         ""学者"", EF42 * EL42 * FB42 * IF(abillity, 1, EG42 * EM42) * (Option!$D$24 * 0.81 / 100),
         ""賢者"""&amp;", EF42 * EN42 * FB42 * IF(abillity, 1, EG42 * EO42) * (Option!$D$25 * 0.81 / 100),
         1
       )
     )
   )
 ) + EQ42"),0.0)</f>
        <v>0</v>
      </c>
      <c r="FD42" s="206">
        <f t="shared" si="9"/>
        <v>12800</v>
      </c>
      <c r="FE42" s="205">
        <f>IFERROR(__xludf.DUMMYFUNCTION("PRODUCT(
   MAP(
     IF($F42=""Physical"", K$10:ED$10, IF($F42=""Magic"", K$11:ED$11, K$12:ED$12)),
     IF($F42=""Physical"", K$18:ED$18, IF($F42=""Magic"", K$19:ED$19, K$20:ED$20)),
     K$3:ED$3,
     K$5:ED$5,
     K$17:ED$17,
     K42:ED42,
     LAM"&amp;"BDA(
       mitigation,
       enhance,
       job,
       assign,
       precondition,
       check,
       IF(
         OR(AND(check=TRUE, REGEXMATCH(assign, ""SELF""), job=""暗黒騎士""), AND(check=Option!$G$13, REGEXMATCH(assign, ""SINGLE_PARTY""))),
     "&amp;"    IF(
           OR(ARRAYFORMULA((IF(precondition="""", FALSE, REGEXMATCH($K$4:$ED$4, precondition))) * (K42:ED42=TRUE))),
           enhance,
           mitigation
         ),
         1
       )
     )
   )
 ) * EE42"),1.0)</f>
        <v>1</v>
      </c>
      <c r="FF42" s="206">
        <f t="shared" si="10"/>
        <v>12800</v>
      </c>
      <c r="FG42" s="205">
        <f>IFERROR(__xludf.DUMMYFUNCTION("PRODUCT(
   MAP(
     K$3:ED$3,
     K$14:ED$14,
     K$13:ED$13,
     K42:ED42,
     LAMBDA(
       job,
       buff,
       target,
       check,
       IF(
         OR(AND(check=TRUE, REGEXMATCH(target, ""SELF_AFFECTED_ALL""), job=""暗黒騎士""), AND(check="&amp;"Option!$G$13, REGEXMATCH(target, ""SINGLE_AFFECTED_ALL""))),
         buff,
         1
       )
     )
   )
 )"),1.0)</f>
        <v>1</v>
      </c>
      <c r="FH42" s="206">
        <f>IFERROR(__xludf.DUMMYFUNCTION("SUM(
   MAP(
     K$3:ED$3,
     K$7:ED$7,
     K$15:ED$15,
     K$16:ED$16,
     K$21:ED$21,
     K$5:ED$5,
     K$17:ED$17,
     K42:ED42,
     LAMBDA(
       job,
       abillity,
       buff,
       barrier,
       enhance,
       assign,
       preco"&amp;"ndition,
       check,
       IF(
         OR(AND(check=TRUE, REGEXMATCH(assign, ""SELF""), job=""暗黒騎士""), AND(check=Option!$G$13, REGEXMATCH(assign, ""SINGLE_PARTY""))),
         IF(
           OR(ARRAYFORMULA((IF(precondition="""", FALSE, REGEXMATCH($K$"&amp;"4:$ED$4, precondition))) * (K42:ED42=TRUE))),
           enhance,
           IF(barrier="""", buff, barrier)
         ),
         0
       ) *
       SWITCH(
         job,
         ""暗黒騎士"", FI$24,
         ""白魔道士"", EF42 * EH42 * FG42 * IF(abillity, 1, E"&amp;"G42 * EI42) * (Option!$D$22 * 0.81 / 100),
         ""占星術師"", EF42 * EJ42 * FG42 * IF(abillity, 1, EG42 * EK42) * (Option!$D$23 * 0.81 / 100),
         ""学者"", EF42 * EL42 * FG42 * IF(abillity, 1, EG42 * EM42) * (Option!$D$24 * 0.81 / 100),
         ""賢者"&amp;""", EF42 * EN42 * FG42 * IF(abillity, 1, EG42 * EO42) * (Option!$D$25 * 0.81 / 100),
         1
       )
     )
   )
 ) + EQ42"),0.0)</f>
        <v>0</v>
      </c>
      <c r="FI42" s="206">
        <f t="shared" si="11"/>
        <v>12800</v>
      </c>
      <c r="FJ42" s="205">
        <f>IFERROR(__xludf.DUMMYFUNCTION("PRODUCT(
   MAP(
     IF($F42=""Physical"", K$10:ED$10, IF($F42=""Magic"", K$11:ED$11, K$12:ED$12)),
     IF($F42=""Physical"", K$18:ED$18, IF($F42=""Magic"", K$19:ED$19, K$20:ED$20)),
     K$3:ED$3,
     K$5:ED$5,
     K$17:ED$17,
     K42:ED42,
     LAM"&amp;"BDA(
       mitigation,
       enhance,
       job,
       assign,
       precondition,
       check,
       IF(
         OR(AND(check=TRUE, REGEXMATCH(assign, ""SELF""), job=""ガンブレイカー""), AND(check=Option!$H$13, REGEXMATCH(assign, ""SINGLE_PARTY""))),
  "&amp;"       IF(
           OR(ARRAYFORMULA((IF(precondition="""", FALSE, REGEXMATCH($K$4:$ED$4, precondition))) * (K42:ED42=TRUE))),
           enhance,
           mitigation
         ),
         1
       )
     )
   )
 ) * EE42"),1.0)</f>
        <v>1</v>
      </c>
      <c r="FK42" s="206">
        <f t="shared" si="12"/>
        <v>12800</v>
      </c>
      <c r="FL42" s="205">
        <f>IFERROR(__xludf.DUMMYFUNCTION("PRODUCT(
   MAP(
     K$3:ED$3,
     K$14:ED$14,
     K$13:ED$13,
     K42:ED42,
     LAMBDA(
       job,
       buff,
       target,
       check,
       IF(
         OR(AND(check=TRUE, REGEXMATCH(target, ""SELF_AFFECTED_ALL""), job=""ガンブレイカー""), AND(che"&amp;"ck=Option!$H$13, REGEXMATCH(target, ""SINGLE_AFFECTED_ALL""))),
         buff,
         1
       )
     )
   )
 )"),1.0)</f>
        <v>1</v>
      </c>
      <c r="FM42" s="206">
        <f>IFERROR(__xludf.DUMMYFUNCTION("SUM(
   MAP(
     K$3:ED$3,
     K$7:ED$7,
     K$15:ED$15,
     K$16:ED$16,
     K$21:ED$21,
     K$5:ED$5,
     K$17:ED$17,
     K42:ED42,
     LAMBDA(
       job,
       abillity,
       buff,
       barrier,
       enhance,
       assign,
       preco"&amp;"ndition,
       check,
       IF(
         OR(AND(check=TRUE, REGEXMATCH(assign, ""SELF""), job=""ガンブレイカー""), AND(check=Option!$H$13, REGEXMATCH(assign, ""SINGLE_PARTY""))),
         IF(
           OR(ARRAYFORMULA((IF(precondition="""", FALSE, REGEXMATCH("&amp;"$K$4:$ED$4, precondition))) * (K42:ED42=TRUE))),
           enhance,
           IF(barrier="""", buff, barrier)
         ),
         0
       ) *
       SWITCH(
         job,
         ""暗黒騎士"", FN$24,
         ""白魔道士"", EF42 * EH42 * FL42 * IF(abillity, 1"&amp;", EG42 * EI42) * (Option!$D$22 * 0.81 / 100),
         ""占星術師"", EF42 * EJ42 * FL42 * IF(abillity, 1, EG42 * EK42) * (Option!$D$23 * 0.81 / 100),
         ""学者"", EF42 * EL42 * FL42 * IF(abillity, 1, EG42 * EM42) * (Option!$D$24 * 0.81 / 100),
         """&amp;"賢者"", EF42 * EN42 * FL42 * IF(abillity, 1, EG42 * EO42) * (Option!$D$25 * 0.81 / 100),
         1
       )
     )
   )
 ) + EQ42"),0.0)</f>
        <v>0</v>
      </c>
      <c r="FN42" s="206">
        <f t="shared" si="13"/>
        <v>12800</v>
      </c>
      <c r="FO42" s="213"/>
    </row>
    <row r="43">
      <c r="B43" s="229"/>
      <c r="C43" s="217">
        <f t="shared" si="1"/>
        <v>0.003472222222</v>
      </c>
      <c r="D43" s="236">
        <v>0.0017708333333333332</v>
      </c>
      <c r="E43" s="237" t="s">
        <v>1088</v>
      </c>
      <c r="F43" s="167" t="s">
        <v>11</v>
      </c>
      <c r="G43" s="168" t="str">
        <f t="shared" si="2"/>
        <v/>
      </c>
      <c r="H43" s="169">
        <v>17500.0</v>
      </c>
      <c r="I43" s="169"/>
      <c r="J43" s="169"/>
      <c r="K43" s="170" t="b">
        <v>0</v>
      </c>
      <c r="L43" s="170" t="b">
        <v>0</v>
      </c>
      <c r="M43" s="170" t="b">
        <v>0</v>
      </c>
      <c r="N43" s="171" t="s">
        <v>1070</v>
      </c>
      <c r="O43" s="172" t="b">
        <v>0</v>
      </c>
      <c r="P43" s="173" t="b">
        <v>0</v>
      </c>
      <c r="Q43" s="173" t="b">
        <v>0</v>
      </c>
      <c r="R43" s="173" t="b">
        <v>0</v>
      </c>
      <c r="S43" s="174" t="b">
        <v>0</v>
      </c>
      <c r="T43" s="175" t="b">
        <v>0</v>
      </c>
      <c r="U43" s="173" t="b">
        <v>0</v>
      </c>
      <c r="V43" s="171" t="s">
        <v>1070</v>
      </c>
      <c r="W43" s="172" t="b">
        <v>0</v>
      </c>
      <c r="X43" s="173" t="b">
        <v>0</v>
      </c>
      <c r="Y43" s="173" t="b">
        <v>0</v>
      </c>
      <c r="Z43" s="173" t="b">
        <v>0</v>
      </c>
      <c r="AA43" s="174" t="b">
        <v>0</v>
      </c>
      <c r="AB43" s="174" t="b">
        <v>0</v>
      </c>
      <c r="AC43" s="175" t="b">
        <v>0</v>
      </c>
      <c r="AD43" s="173" t="b">
        <v>0</v>
      </c>
      <c r="AE43" s="176" t="s">
        <v>1070</v>
      </c>
      <c r="AF43" s="171" t="s">
        <v>1070</v>
      </c>
      <c r="AG43" s="177">
        <f>IFERROR(__xludf.DUMMYFUNCTION("IF(
  ISNUMBER(AG42),
  MIN(MAX(
    AG42
    + MAX(
      ROUNDDOWN(($D43 - MAX(IFERROR(FILTER($D$24:$D42, AG$24:AG42 &lt;&gt; AF$6, AG$23:AG41 = AF$6), 0))) * (60 * 60 * 24) / AF$9) - ROUNDDOWN(($D42 - MAX(IFERROR(FILTER($D$23:$D41, AG$23:AG41 &lt;&gt; AF$6, AG$22:"&amp;"AG40 = AF$6), 0))) * (60 * 60 * 24) / 60),
      0
    )
    - COUNTIF(AF43, ""&lt;&gt;-""),
  0), AF$6),
  AF$6 - COUNTIF(AF43, ""&lt;&gt;-"")
)"),2.0)</f>
        <v>2</v>
      </c>
      <c r="AH43" s="173" t="b">
        <v>0</v>
      </c>
      <c r="AI43" s="173" t="b">
        <v>0</v>
      </c>
      <c r="AJ43" s="173" t="b">
        <v>0</v>
      </c>
      <c r="AK43" s="174" t="b">
        <v>0</v>
      </c>
      <c r="AL43" s="175" t="b">
        <v>0</v>
      </c>
      <c r="AM43" s="173" t="b">
        <v>0</v>
      </c>
      <c r="AN43" s="171" t="s">
        <v>1070</v>
      </c>
      <c r="AO43" s="173" t="b">
        <v>0</v>
      </c>
      <c r="AP43" s="173" t="b">
        <v>0</v>
      </c>
      <c r="AQ43" s="173" t="b">
        <v>0</v>
      </c>
      <c r="AR43" s="174" t="b">
        <v>0</v>
      </c>
      <c r="AS43" s="178" t="b">
        <v>0</v>
      </c>
      <c r="AT43" s="179" t="b">
        <v>0</v>
      </c>
      <c r="AU43" s="180" t="b">
        <v>0</v>
      </c>
      <c r="AV43" s="180" t="b">
        <v>0</v>
      </c>
      <c r="AW43" s="180" t="b">
        <v>0</v>
      </c>
      <c r="AX43" s="180" t="b">
        <v>0</v>
      </c>
      <c r="AY43" s="181" t="s">
        <v>1070</v>
      </c>
      <c r="AZ43" s="181" t="s">
        <v>1070</v>
      </c>
      <c r="BA43" s="184">
        <f>IFERROR(__xludf.DUMMYFUNCTION("IF(
  ISNUMBER(BA42),
  MIN(MAX(
    BA42
    + MAX(
      ROUNDDOWN((D43 - MAX(IFERROR(FILTER(D$24:D42, BA$24:BA42 &lt;&gt; AZ$6, BA$23:BA41 = AZ$6), 0))) * (60 * 60 * 24) / AZ$9) - ROUNDDOWN((D42 - MAX(IFERROR(FILTER(D$23:D41, BA$23:BA41 &lt;&gt; AZ$6, BA$22:BA40 ="&amp;" AZ$6), 0))) * (60 * 60 * 24) / AZ$9),
      0
    )
    - COUNTIF(AZ43, ""&lt;&gt;-""),
  0), AZ$6),
  AZ$6 - COUNTIF(AZ43, ""&lt;&gt;-"")
)"),2.0)</f>
        <v>2</v>
      </c>
      <c r="BB43" s="181" t="s">
        <v>1070</v>
      </c>
      <c r="BC43" s="183">
        <f>IFERROR(__xludf.DUMMYFUNCTION("IF(
  ISNUMBER(BC42),
  MIN(MAX(
    BC42
    + MAX(
      ROUNDDOWN(($D43 - MAX(IFERROR(FILTER($D$24:$D42, BC$24:BC42 &lt;&gt; BB$6, BC$23:BC41 = BB$6), 0))) * (60 * 60 * 24) / BB$9) - ROUNDDOWN(($D42 - MAX(IFERROR(FILTER($D$23:$D41, BC$23:BC41 &lt;&gt; BB$6, BC$22:"&amp;"BC40 = BB$6), 0))) * (60 * 60 * 24) / 60),
      0
    )
    - COUNTIF(BB43, ""&lt;&gt;-""),
  0), BB$6),
  BB$6 - COUNTIF(BB43, ""&lt;&gt;-"")
)"),2.0)</f>
        <v>2</v>
      </c>
      <c r="BD43" s="181" t="s">
        <v>1070</v>
      </c>
      <c r="BE43" s="178" t="b">
        <v>0</v>
      </c>
      <c r="BF43" s="180" t="b">
        <v>0</v>
      </c>
      <c r="BG43" s="180" t="b">
        <v>0</v>
      </c>
      <c r="BH43" s="180" t="b">
        <v>0</v>
      </c>
      <c r="BI43" s="180" t="b">
        <v>0</v>
      </c>
      <c r="BJ43" s="180" t="b">
        <v>0</v>
      </c>
      <c r="BK43" s="180" t="b">
        <v>0</v>
      </c>
      <c r="BL43" s="180" t="b">
        <v>0</v>
      </c>
      <c r="BM43" s="180" t="b">
        <v>0</v>
      </c>
      <c r="BN43" s="180" t="b">
        <v>0</v>
      </c>
      <c r="BO43" s="181" t="s">
        <v>1070</v>
      </c>
      <c r="BP43" s="181" t="s">
        <v>1070</v>
      </c>
      <c r="BQ43" s="181" t="s">
        <v>1070</v>
      </c>
      <c r="BR43" s="181" t="s">
        <v>1070</v>
      </c>
      <c r="BS43" s="181" t="s">
        <v>1070</v>
      </c>
      <c r="BT43" s="184">
        <f>IFERROR(__xludf.DUMMYFUNCTION("IF(
  ISNUMBER(BT42),
  MIN(MAX(
    BT42
    + MAX(
      ROUNDDOWN((D43 - MAX(IFERROR(FILTER(D$24:D42, BT$24:BT42 &lt;&gt; BS$6, BT$23:BT41 = BS$6), 0))) * (60 * 60 * 24) / BS$9) - ROUNDDOWN((D42 - MAX(IFERROR(FILTER(D$23:D41, BT$23:BT41 &lt;&gt; BS$6, BT$22:BT40 ="&amp;" BS$6), 0))) * (60 * 60 * 24) / BS$9),
      0
    )
    - COUNTIF(BS43, ""&lt;&gt;-""),
  0), BS$6),
  BS$6 - COUNTIF(BS43, ""&lt;&gt;-"")
)"),3.0)</f>
        <v>3</v>
      </c>
      <c r="BU43" s="181" t="s">
        <v>1070</v>
      </c>
      <c r="BV43" s="181" t="s">
        <v>1070</v>
      </c>
      <c r="BW43" s="184">
        <f>IFERROR(__xludf.DUMMYFUNCTION("IF(
  ISNUMBER(BW42),
  MIN(MAX(
    BW42
    + MAX(
      ROUNDDOWN((D43 - MAX(IFERROR(FILTER(D$24:D42, BW$24:BW42 &lt;&gt; BV$6, BW$23:BW41 = BV$6), 0))) * (60 * 60 * 24) / BV$9) - ROUNDDOWN((D42 - MAX(IFERROR(FILTER(D$23:D41, BW$23:BW41 &lt;&gt; BV$6, BW$22:BW40 ="&amp;" BV$6), 0))) * (60 * 60 * 24) / BV$9),
      0
    )
    - COUNTIF(BV43, ""&lt;&gt;-""),
  0), BV$6),
  BV$6 - COUNTIF(BV43, ""&lt;&gt;-"")
)"),2.0)</f>
        <v>2</v>
      </c>
      <c r="BX43" s="185" t="s">
        <v>1070</v>
      </c>
      <c r="BY43" s="178" t="b">
        <v>0</v>
      </c>
      <c r="BZ43" s="180" t="b">
        <v>0</v>
      </c>
      <c r="CA43" s="180" t="b">
        <v>0</v>
      </c>
      <c r="CB43" s="180" t="b">
        <v>0</v>
      </c>
      <c r="CC43" s="180" t="b">
        <v>0</v>
      </c>
      <c r="CD43" s="180" t="b">
        <v>0</v>
      </c>
      <c r="CE43" s="180" t="b">
        <v>0</v>
      </c>
      <c r="CF43" s="180" t="b">
        <v>0</v>
      </c>
      <c r="CG43" s="180" t="b">
        <v>0</v>
      </c>
      <c r="CH43" s="180" t="b">
        <v>0</v>
      </c>
      <c r="CI43" s="180" t="b">
        <v>0</v>
      </c>
      <c r="CJ43" s="180" t="b">
        <v>0</v>
      </c>
      <c r="CK43" s="180" t="b">
        <v>0</v>
      </c>
      <c r="CL43" s="180" t="b">
        <v>0</v>
      </c>
      <c r="CM43" s="181" t="s">
        <v>1070</v>
      </c>
      <c r="CN43" s="181" t="s">
        <v>1070</v>
      </c>
      <c r="CO43" s="181" t="s">
        <v>1070</v>
      </c>
      <c r="CP43" s="181" t="s">
        <v>1070</v>
      </c>
      <c r="CQ43" s="185" t="s">
        <v>1070</v>
      </c>
      <c r="CR43" s="180" t="b">
        <v>0</v>
      </c>
      <c r="CS43" s="186" t="str">
        <f t="shared" si="14"/>
        <v>◇◇◇</v>
      </c>
      <c r="CT43" s="178" t="b">
        <v>0</v>
      </c>
      <c r="CU43" s="180" t="b">
        <v>0</v>
      </c>
      <c r="CV43" s="180" t="b">
        <v>0</v>
      </c>
      <c r="CW43" s="180" t="b">
        <v>0</v>
      </c>
      <c r="CX43" s="180" t="b">
        <v>0</v>
      </c>
      <c r="CY43" s="180" t="b">
        <v>0</v>
      </c>
      <c r="CZ43" s="180" t="b">
        <v>0</v>
      </c>
      <c r="DA43" s="180" t="b">
        <v>0</v>
      </c>
      <c r="DB43" s="180" t="b">
        <v>0</v>
      </c>
      <c r="DC43" s="180" t="b">
        <v>0</v>
      </c>
      <c r="DD43" s="181" t="s">
        <v>1070</v>
      </c>
      <c r="DE43" s="181" t="s">
        <v>1070</v>
      </c>
      <c r="DF43" s="181" t="s">
        <v>1070</v>
      </c>
      <c r="DG43" s="185" t="s">
        <v>1070</v>
      </c>
      <c r="DH43" s="180" t="b">
        <v>0</v>
      </c>
      <c r="DI43" s="187" t="str">
        <f>IFERROR(__xludf.DUMMYFUNCTION("SWITCH(
  IF(
    ISTEXT(DI42),
    IF (
      FIND(""○"", DI42&amp;""○"") &gt; 3,
      3,
      FIND(""○"", DI42&amp;""○"")
      + MAX(
        ROUNDDOWN(($D43 - MAX(IFERROR(FILTER(D$24:D42, DI$24:DI42 &lt;&gt; ""●●●"", DI$23:DI41 = ""●●●""), 0))) * (60 * 60 * 24) / 20"&amp;") - ROUNDDOWN(($D42 - MAX(IFERROR(FILTER(D$23:D41, DI$23:DI41 &lt;&gt; ""●●●"", DI$22:DI40 = ""●●●""), 0))) * (60 * 60 * 24) / 20),
        0
      ) - 1
    ) - COUNTIFS(CU43, ""=TRUE"", CU42, ""&lt;&gt;TRUE"") - COUNTIF(CZ43, ""=TRUE"") - COUNTIF({DD43,DE43}, ""&lt;&gt;-"&amp;""") + COUNTIF(DH43, ""=TRUE""),
    3
  ),
  0, ""○○○"", 1, ""●○○"", 2, ""●●○"", 3, ""●●●"", 4, ""●●●"", ""○○○""
)"),"●●●")</f>
        <v>●●●</v>
      </c>
      <c r="DJ43" s="188" t="b">
        <v>0</v>
      </c>
      <c r="DK43" s="189" t="b">
        <v>0</v>
      </c>
      <c r="DL43" s="190" t="b">
        <v>0</v>
      </c>
      <c r="DM43" s="190" t="b">
        <v>0</v>
      </c>
      <c r="DN43" s="190" t="b">
        <v>0</v>
      </c>
      <c r="DO43" s="190" t="b">
        <v>0</v>
      </c>
      <c r="DP43" s="190" t="b">
        <v>0</v>
      </c>
      <c r="DQ43" s="191" t="b">
        <v>0</v>
      </c>
      <c r="DR43" s="192" t="b">
        <v>0</v>
      </c>
      <c r="DS43" s="191" t="b">
        <v>0</v>
      </c>
      <c r="DT43" s="192" t="b">
        <v>0</v>
      </c>
      <c r="DU43" s="191" t="b">
        <v>0</v>
      </c>
      <c r="DV43" s="193" t="s">
        <v>1070</v>
      </c>
      <c r="DW43" s="194" t="b">
        <v>0</v>
      </c>
      <c r="DX43" s="194" t="b">
        <v>0</v>
      </c>
      <c r="DY43" s="195" t="b">
        <v>0</v>
      </c>
      <c r="DZ43" s="196" t="b">
        <v>0</v>
      </c>
      <c r="EA43" s="195" t="b">
        <v>0</v>
      </c>
      <c r="EB43" s="197" t="b">
        <v>0</v>
      </c>
      <c r="EC43" s="197" t="b">
        <v>0</v>
      </c>
      <c r="ED43" s="212" t="b">
        <v>0</v>
      </c>
      <c r="EE43" s="199">
        <f>IFERROR(__xludf.DUMMYFUNCTION("IFERROR(
   PRODUCT(
     MAP(
       INDEX(TRANSPOSE(UNIQUE(TRANSPOSE(FILTER({IF($F43=""Physical"", K$10:ED$10, IF($F43=""Magic"", K$11:ED$11, K$12:ED$12));K$4:ED$4;K43:ED43}, K43:ED43=TRUE)))), 1, 0),
       INDEX(TRANSPOSE(UNIQUE(TRANSPOSE(FILTER({IF($"&amp;"F43=""Physical"", K$18:ED$18, IF($F43=""Magic"", K$19:ED$19, K$20:ED$20));K$4:ED$4;K43:ED43}, K43:ED43=TRUE)))), 1, 0),
       INDEX(TRANSPOSE(UNIQUE(TRANSPOSE(FILTER({K$5:ED$5;K$4:ED$4;K43:ED43}, K43:ED43=TRUE)))), 1, 0),
       INDEX(TRANSPOSE(UNIQUE(TR"&amp;"ANSPOSE(FILTER({K$17:ED$17;K$4:ED$4;K43:ED43}, K43:ED43=TRUE)))), 1, 0),
       LAMBDA(
         mitigation,
         enhance,
         assign,
         precondition,
         IF(
           REGEXMATCH(assign, ""RANGE_PARTY|SINGLE_ENEMY|RANGE_ENEMY""),
  "&amp;"         IF(
             OR(ARRAYFORMULA((IF(precondition="""", FALSE, REGEXMATCH(K$4:ED$4, precondition))) * (K43:ED43=TRUE))),
             IF(ISNUMBER(enhance), enhance, 1),
             IF(ISNUMBER(mitigation), mitigation, 1)
           ),
          "&amp;" 1
         )
       )
     )
   ),
   1
 )"),1.0)</f>
        <v>1</v>
      </c>
      <c r="EF43" s="200">
        <f>IFERROR(__xludf.DUMMYFUNCTION("PRODUCT(
   MAP(
     K$14:ED$14,
     K$13:ED$13,
     K43:ED43,
     LAMBDA(
       buff,
       target,
       check,
       IF(
         AND(check=TRUE, REGEXMATCH(target, ""RANGE_AFFECTED_ALL|RANGE_EFFECTED_ALL""), ISNUMBER(buff)),
         buff,
   "&amp;"      1
       )
     )
   )
 )"),1.0)</f>
        <v>1</v>
      </c>
      <c r="EG43" s="200">
        <f>IFERROR(__xludf.DUMMYFUNCTION("PRODUCT(
   MAP(
     K$14:ED$14,
     K$13:ED$13,
     K43:ED43,
     LAMBDA(
       buff,
       target,
       check,
       IF(
         AND(check=TRUE, REGEXMATCH(target, ""RANGE_AFFECTED_GCD|RANGE_EFFECTED_GCD""), ISNUMBER(buff)),
         buff,
   "&amp;"      1
       )
     )
   )
 )"),1.0)</f>
        <v>1</v>
      </c>
      <c r="EH43" s="200">
        <f>IFERROR(__xludf.DUMMYFUNCTION("PRODUCT(
   MAP(
     K$3:ED$3,
     K$14:ED$14,
     K$13:ED$13,
     K43:ED43,
     LAMBDA(
       job,
       buff,
       target,
       check,
       IF(
         AND(check=TRUE, REGEXMATCH(target, ""SELF_EFFECTED_ALL""), ISNUMBER(buff), job=""白魔道士"""&amp;"),
         buff,
         1
       )
     )
   )
 )"),1.0)</f>
        <v>1</v>
      </c>
      <c r="EI43" s="200">
        <f>IFERROR(__xludf.DUMMYFUNCTION("PRODUCT(
   MAP(
     K$3:ED$3,
     K$14:ED$14,
     K$13:ED$13,
     K43:ED43,
     LAMBDA(
       job,
       buff,
       target,
       check,
       IF(
         AND(check=TRUE, REGEXMATCH(target, ""SELF_EFFECTED_GCD""), ISNUMBER(buff), job=""白魔道士"""&amp;"),
         buff,
         1
       )
     )
   )
 )"),1.0)</f>
        <v>1</v>
      </c>
      <c r="EJ43" s="200">
        <f>IFERROR(__xludf.DUMMYFUNCTION("PRODUCT(
   MAP(
     K$3:ED$3,
     K$14:ED$14,
     K$13:ED$13,
     K43:ED43,
     LAMBDA(
       job,
       buff,
       target,
       check,
       IF(
         AND(check=TRUE, REGEXMATCH(target, ""SELF_EFFECTED_ALL""), ISNUMBER(buff), job=""占星術師"""&amp;"),
         buff,
         1
       )
     )
   )
 )"),1.0)</f>
        <v>1</v>
      </c>
      <c r="EK43" s="200">
        <f>IFERROR(__xludf.DUMMYFUNCTION("PRODUCT(
   MAP(
     K$3:ED$3,
     K$14:ED$14,
     K$13:ED$13,
     K43:ED43,
     LAMBDA(
       job,
       buff,
       target,
       check,
       IF(
         AND(check=TRUE, REGEXMATCH(target, ""SELF_EFFECTED_GCD""), ISNUMBER(buff), job=""占星術師"""&amp;"),
         buff,
         1
       )
     )
   )
 )"),1.0)</f>
        <v>1</v>
      </c>
      <c r="EL43" s="200">
        <f>IFERROR(__xludf.DUMMYFUNCTION("PRODUCT(
   MAP(
     K$3:ED$3,
     K$14:ED$14,
     K$13:ED$13,
     K43:ED43,
     LAMBDA(
       job,
       buff,
       target,
       check,
       IF(
         AND(check=TRUE, REGEXMATCH(target, ""SELF_EFFECTED_ALL""), ISNUMBER(buff), job=""学者""),"&amp;"
         buff,
         1
       )
     )
   )
 )"),1.0)</f>
        <v>1</v>
      </c>
      <c r="EM43" s="200">
        <f>IFERROR(__xludf.DUMMYFUNCTION("PRODUCT(
   MAP(
     K$3:ED$3,
     K$14:ED$14,
     K$13:ED$13,
     K43:ED43,
     LAMBDA(
       job,
       buff,
       target,
       check,
       IF(
         AND(check=TRUE, REGEXMATCH(target, ""SELF_EFFECTED_GCD""), ISNUMBER(buff), job=""学者""),"&amp;"
         buff,
         1
       )
     )
   )
 )"),1.0)</f>
        <v>1</v>
      </c>
      <c r="EN43" s="200">
        <f>IFERROR(__xludf.DUMMYFUNCTION("PRODUCT(
   MAP(
     K$3:ED$3,
     K$14:ED$14,
     K$13:ED$13,
     K43:ED43,
     LAMBDA(
       job,
       buff,
       target,
       check,
       IF(
         AND(check=TRUE, REGEXMATCH(target, ""SELF_EFFECTED_ALL""), ISNUMBER(buff), job=""賢者""),"&amp;"
         buff,
         1
       )
     )
   )
 )"),1.0)</f>
        <v>1</v>
      </c>
      <c r="EO43" s="200">
        <f>IFERROR(__xludf.DUMMYFUNCTION("PRODUCT(
   MAP(
     K$3:ED$3,
     K$14:ED$14,
     K$13:ED$13,
     K43:ED43,
     LAMBDA(
       job,
       buff,
       target,
       check,
       IF(
         AND(check=TRUE, REGEXMATCH(target, ""SELF_EFFECTED_GCD""), ISNUMBER(buff), job=""賢者""),"&amp;"
         buff,
         1
       )
     )
   )
 )"),1.0)</f>
        <v>1</v>
      </c>
      <c r="EP43" s="201">
        <f t="shared" si="3"/>
        <v>17500</v>
      </c>
      <c r="EQ43" s="201">
        <f>IFERROR(__xludf.DUMMYFUNCTION("SUM(
   MAP(
     K$4:ED$4,
     K$3:ED$3,
     K$7:ED$7,
     K$15:ED$15,
     K$16:ED$16,
     K$21:ED$21,
     K$5:ED$5,
     K$17:ED$17,
     K43:ED43,
     LAMBDA(
       name,
       job,
       abillity,
       buff,
       barrier,
       enhance,"&amp;"
       assign,
       precondition,
       check,
       SWITCH(
         name,
         ""シェイクオフ"", IF(check=TRUE, buff + (0.02 * COUNTIF(ARRAYFORMULA((REGEXMATCH($K$4:$ED$4, ""スリル・オブ・バトル|ヴェンジェンス|原初の血気|ダムネーション"")) * (K43:ED43=TRUE)), 1)), 0),
         "&amp;"""インプロビゼーションフィニッシュ(踊りの激情0)"", IF(ISNUMBER(check), INDEX(Skill!$AJ:$AJ, MATCH(SUBSTITUTE(DV$4, 0, check), Skill!$C:$C, 0)), 0),
         IF(
           AND(check=TRUE, REGEXMATCH(assign, ""RANGE_PARTY"")),
           IF(
             OR(ARRAYFORMULA((IF(pr"&amp;"econdition="""", FALSE, REGEXMATCH($K$4:$ED$4, precondition))) * (K43:ED43=TRUE))),
             enhance,
             IF(barrier="""", buff, barrier)
           ),
           0
         )
       ) *
       SWITCH(
         job,
         ""ナイト"", EY$24,
 "&amp;"        ""戦士"", FD$24,
         ""踊り子"", ET$24,
         ""ピクトマンサー"", ET$24,
         ""白魔道士"", EF43 * EH43 * IF(abillity, 1, EG43 * EI43) * (Option!$D$22 * 0.81 / 100),
         ""占星術師"", EF43 * EJ43 * IF(abillity, 1, EG43 * EK43) * (Option!$D$23 * 0.81 "&amp;"/ 100),
         ""学者"", EF43 * EL43 * IF(abillity, 1, EG43 * EM43) * (Option!$D$24 * 0.81 / 100),
         ""賢者"", EF43 * EN43 * IF(abillity, 1, EG43 * EO43) * (Option!$D$25 * 0.81 / 100),
         1
       )
     )
   )
 )"),0.0)</f>
        <v>0</v>
      </c>
      <c r="ER43" s="202">
        <f t="shared" si="4"/>
        <v>17500</v>
      </c>
      <c r="ES43" s="203">
        <f t="shared" si="5"/>
        <v>0</v>
      </c>
      <c r="ET43" s="231" t="str">
        <f>IFERROR(__xludf.DUMMYFUNCTION("IFS(
  EP43 &gt; $ET$24 + EQ43,
  SPARKLINE({ 1, 0 }, {""charttype"",""bar"";""max"", 1;""color1"",Option!$D$30;""color2"",Option!$D$30}),
  EP43 &lt; EQ43,
  SPARKLINE({EQ43 - EP43, $ET$24 - (EQ43 - EP43)}, {""charttype"",""bar"";""max"",$ET$24;""color1"",Opti"&amp;"on!$D$28;""color2"",Option!$D$29}),
  EP43 &gt;= EQ43,
  SPARKLINE({$ET$24 + EQ43 - EP43,EP43 - EQ43}, {""charttype"",""bar"";""max"",$ET$24;""color1"",Option!$D$29;""color2"",Option!$D$30})
)"),"")</f>
        <v/>
      </c>
      <c r="EU43" s="205">
        <f>IFERROR(__xludf.DUMMYFUNCTION("PRODUCT(
   MAP(
     IF($F43=""Physical"", K$10:ED$10, IF($F43=""Magic"", K$11:ED$11, K$12:ED$12)),
     IF($F43=""Physical"", K$18:ED$18, IF($F43=""Magic"", K$19:ED$19, K$20:ED$20)),
     K$3:ED$3,
     K$5:ED$5,
     K$17:ED$17,
     K43:ED43,
     LAM"&amp;"BDA(
       mitigation,
       enhance,
       job,
       assign,
       precondition,
       check,
       IF(
         OR(AND(check=TRUE, REGEXMATCH(assign, ""SELF""), job=""ナイト""), AND(check=Option!$E$13, REGEXMATCH(assign, ""SINGLE_PARTY""))),
      "&amp;"   IF(
           OR(ARRAYFORMULA((IF(precondition="""", FALSE, REGEXMATCH($K$4:$ED$4, precondition))) * (K43:ED43=TRUE))),
           enhance,
           mitigation
         ),
         1
       )
     )
   )
 ) * EE43"),1.0)</f>
        <v>1</v>
      </c>
      <c r="EV43" s="206">
        <f t="shared" si="6"/>
        <v>14000</v>
      </c>
      <c r="EW43" s="205">
        <f>IFERROR(__xludf.DUMMYFUNCTION("PRODUCT(
   MAP(
     K$3:ED$3,
     K$14:ED$14,
     K$13:ED$13,
     K43:ED43,
     LAMBDA(
       job,
       buff,
       target,
       check,
       IF(
         OR(AND(check=TRUE, REGEXMATCH(target, ""SELF_AFFECTED_ALL""), job=""ナイト""), AND(check=O"&amp;"ption!$E$13, REGEXMATCH(target, ""SINGLE_AFFECTED_ALL""))),
         buff,
         1
       )
     )
   )
 )"),1.0)</f>
        <v>1</v>
      </c>
      <c r="EX43" s="206">
        <f>IFERROR(__xludf.DUMMYFUNCTION("SUM(
   MAP(
     K$3:ED$3,
     K$7:ED$7,
     K$15:ED$15,
     K$16:ED$16,
     K$21:ED$21,
     K$5:ED$5,
     K$17:ED$17,
     K43:ED43,
     LAMBDA(
       job,
       abillity,
       buff,
       barrier,
       enhance,
       assign,
       preco"&amp;"ndition,
       check,
       IF(
         OR(AND(check=TRUE, REGEXMATCH(assign, ""SELF""), job=""ナイト""), AND(check=Option!$E$13, REGEXMATCH(assign, ""SINGLE_PARTY""))),
         IF(
           OR(ARRAYFORMULA((IF(precondition="""", FALSE, REGEXMATCH($K$4"&amp;":$ED$4, precondition))) * (K43:ED43=TRUE))),
           enhance,
           IF(barrier="""", buff, barrier)
         ),
         0
       ) *
       SWITCH(
         job,
         ""暗黒騎士"", EY$24,
         ""白魔道士"", EF43 * EH43 * EW43 * IF(abillity, 1, EG"&amp;"43 * EI43) * (Option!$D$22 * 0.81 / 100),
         ""占星術師"", EF43 * EJ43 * EW43 * IF(abillity, 1, EG43 * EK43) * (Option!$D$23 * 0.81 / 100),
         ""学者"", EF43 * EL43 * EW43 * IF(abillity, 1, EG43 * EM43) * (Option!$D$24 * 0.81 / 100),
         ""賢者"""&amp;", EF43 * EN43 * EW43 * IF(abillity, 1, EG43 * EO43) * (Option!$D$25 * 0.81 / 100),
         1
       )
     )
   )
 ) + EQ43"),0.0)</f>
        <v>0</v>
      </c>
      <c r="EY43" s="232">
        <f t="shared" si="7"/>
        <v>14000</v>
      </c>
      <c r="EZ43" s="205">
        <f>IFERROR(__xludf.DUMMYFUNCTION("PRODUCT(
   MAP(
     IF($F43=""Physical"", K$10:ED$10, IF($F43=""Magic"", K$11:ED$11, K$12:ED$12)),
     IF($F43=""Physical"", K$18:ED$18, IF($F43=""Magic"", K$19:ED$19, K$20:ED$20)),
     K$3:ED$3,
     K$5:ED$5,
     K$17:ED$17,
     K43:ED43,
     LAM"&amp;"BDA(
       mitigation,
       enhance,
       job,
       assign,
       precondition,
       check,
       IF(
         OR(AND(check=TRUE, REGEXMATCH(assign, ""SELF""), job=""戦士""), AND(check=Option!$F$13, REGEXMATCH(assign, ""SINGLE_PARTY""))),
       "&amp;"  IF(
           OR(ARRAYFORMULA((IF(precondition="""", FALSE, REGEXMATCH($K$4:$ED$4, precondition))) * (K43:ED43=TRUE))),
           enhance,
           mitigation
         ),
         1
       )
     )
   )
 ) * EE43"),1.0)</f>
        <v>1</v>
      </c>
      <c r="FA43" s="206">
        <f t="shared" si="8"/>
        <v>14000</v>
      </c>
      <c r="FB43" s="205">
        <f>IFERROR(__xludf.DUMMYFUNCTION("PRODUCT(
   MAP(
     K$3:ED$3,
     K$14:ED$14,
     K$13:ED$13,
     K43:ED43,
     LAMBDA(
       job,
       buff,
       target,
       check,
       IF(
         OR(AND(check=TRUE, REGEXMATCH(target, ""SELF_AFFECTED_ALL""), job=""戦士""), AND(check=Op"&amp;"tion!$F$13, REGEXMATCH(target, ""SINGLE_AFFECTED_ALL""))),
         buff,
         1
       )
     )
   )
 )"),1.0)</f>
        <v>1</v>
      </c>
      <c r="FC43" s="206">
        <f>IFERROR(__xludf.DUMMYFUNCTION("SUM(
   MAP(
     K$3:ED$3,
     K$7:ED$7,
     K$15:ED$15,
     K$16:ED$16,
     K$21:ED$21,
     K$5:ED$5,
     K$17:ED$17,
     K43:ED43,
     LAMBDA(
       job,
       abillity,
       buff,
       barrier,
       enhance,
       assign,
       preco"&amp;"ndition,
       check,
       IF(
         OR(AND(check=TRUE, REGEXMATCH(assign, ""SELF""), job=""戦士""), AND(check=Option!$F$13, REGEXMATCH(assign, ""SINGLE_PARTY""))),
         IF(
           OR(ARRAYFORMULA((IF(precondition="""", FALSE, REGEXMATCH($K$4:"&amp;"$ED$4, precondition))) * (K43:ED43=TRUE))),
           enhance,
           IF(barrier="""", buff, barrier)
         ),
         0
       ) *
       SWITCH(
         job,
         ""暗黒騎士"", FD$24,
         ""白魔道士"", EF43 * EH43 * FB43 * IF(abillity, 1, EG4"&amp;"3 * EI43) * (Option!$D$22 * 0.81 / 100),
         ""占星術師"", EF43 * EJ43 * FFB43 * IF(abillity, 1, EG43 * EK43) * (Option!$D$23 * 0.81 / 100),
         ""学者"", EF43 * EL43 * FB43 * IF(abillity, 1, EG43 * EM43) * (Option!$D$24 * 0.81 / 100),
         ""賢者"""&amp;", EF43 * EN43 * FB43 * IF(abillity, 1, EG43 * EO43) * (Option!$D$25 * 0.81 / 100),
         1
       )
     )
   )
 ) + EQ43"),0.0)</f>
        <v>0</v>
      </c>
      <c r="FD43" s="206">
        <f t="shared" si="9"/>
        <v>14000</v>
      </c>
      <c r="FE43" s="205">
        <f>IFERROR(__xludf.DUMMYFUNCTION("PRODUCT(
   MAP(
     IF($F43=""Physical"", K$10:ED$10, IF($F43=""Magic"", K$11:ED$11, K$12:ED$12)),
     IF($F43=""Physical"", K$18:ED$18, IF($F43=""Magic"", K$19:ED$19, K$20:ED$20)),
     K$3:ED$3,
     K$5:ED$5,
     K$17:ED$17,
     K43:ED43,
     LAM"&amp;"BDA(
       mitigation,
       enhance,
       job,
       assign,
       precondition,
       check,
       IF(
         OR(AND(check=TRUE, REGEXMATCH(assign, ""SELF""), job=""暗黒騎士""), AND(check=Option!$G$13, REGEXMATCH(assign, ""SINGLE_PARTY""))),
     "&amp;"    IF(
           OR(ARRAYFORMULA((IF(precondition="""", FALSE, REGEXMATCH($K$4:$ED$4, precondition))) * (K43:ED43=TRUE))),
           enhance,
           mitigation
         ),
         1
       )
     )
   )
 ) * EE43"),1.0)</f>
        <v>1</v>
      </c>
      <c r="FF43" s="206">
        <f t="shared" si="10"/>
        <v>14000</v>
      </c>
      <c r="FG43" s="205">
        <f>IFERROR(__xludf.DUMMYFUNCTION("PRODUCT(
   MAP(
     K$3:ED$3,
     K$14:ED$14,
     K$13:ED$13,
     K43:ED43,
     LAMBDA(
       job,
       buff,
       target,
       check,
       IF(
         OR(AND(check=TRUE, REGEXMATCH(target, ""SELF_AFFECTED_ALL""), job=""暗黒騎士""), AND(check="&amp;"Option!$G$13, REGEXMATCH(target, ""SINGLE_AFFECTED_ALL""))),
         buff,
         1
       )
     )
   )
 )"),1.0)</f>
        <v>1</v>
      </c>
      <c r="FH43" s="206">
        <f>IFERROR(__xludf.DUMMYFUNCTION("SUM(
   MAP(
     K$3:ED$3,
     K$7:ED$7,
     K$15:ED$15,
     K$16:ED$16,
     K$21:ED$21,
     K$5:ED$5,
     K$17:ED$17,
     K43:ED43,
     LAMBDA(
       job,
       abillity,
       buff,
       barrier,
       enhance,
       assign,
       preco"&amp;"ndition,
       check,
       IF(
         OR(AND(check=TRUE, REGEXMATCH(assign, ""SELF""), job=""暗黒騎士""), AND(check=Option!$G$13, REGEXMATCH(assign, ""SINGLE_PARTY""))),
         IF(
           OR(ARRAYFORMULA((IF(precondition="""", FALSE, REGEXMATCH($K$"&amp;"4:$ED$4, precondition))) * (K43:ED43=TRUE))),
           enhance,
           IF(barrier="""", buff, barrier)
         ),
         0
       ) *
       SWITCH(
         job,
         ""暗黒騎士"", FI$24,
         ""白魔道士"", EF43 * EH43 * FG43 * IF(abillity, 1, E"&amp;"G43 * EI43) * (Option!$D$22 * 0.81 / 100),
         ""占星術師"", EF43 * EJ43 * FG43 * IF(abillity, 1, EG43 * EK43) * (Option!$D$23 * 0.81 / 100),
         ""学者"", EF43 * EL43 * FG43 * IF(abillity, 1, EG43 * EM43) * (Option!$D$24 * 0.81 / 100),
         ""賢者"&amp;""", EF43 * EN43 * FG43 * IF(abillity, 1, EG43 * EO43) * (Option!$D$25 * 0.81 / 100),
         1
       )
     )
   )
 ) + EQ43"),0.0)</f>
        <v>0</v>
      </c>
      <c r="FI43" s="206">
        <f t="shared" si="11"/>
        <v>14000</v>
      </c>
      <c r="FJ43" s="205">
        <f>IFERROR(__xludf.DUMMYFUNCTION("PRODUCT(
   MAP(
     IF($F43=""Physical"", K$10:ED$10, IF($F43=""Magic"", K$11:ED$11, K$12:ED$12)),
     IF($F43=""Physical"", K$18:ED$18, IF($F43=""Magic"", K$19:ED$19, K$20:ED$20)),
     K$3:ED$3,
     K$5:ED$5,
     K$17:ED$17,
     K43:ED43,
     LAM"&amp;"BDA(
       mitigation,
       enhance,
       job,
       assign,
       precondition,
       check,
       IF(
         OR(AND(check=TRUE, REGEXMATCH(assign, ""SELF""), job=""ガンブレイカー""), AND(check=Option!$H$13, REGEXMATCH(assign, ""SINGLE_PARTY""))),
  "&amp;"       IF(
           OR(ARRAYFORMULA((IF(precondition="""", FALSE, REGEXMATCH($K$4:$ED$4, precondition))) * (K43:ED43=TRUE))),
           enhance,
           mitigation
         ),
         1
       )
     )
   )
 ) * EE43"),1.0)</f>
        <v>1</v>
      </c>
      <c r="FK43" s="206">
        <f t="shared" si="12"/>
        <v>14000</v>
      </c>
      <c r="FL43" s="205">
        <f>IFERROR(__xludf.DUMMYFUNCTION("PRODUCT(
   MAP(
     K$3:ED$3,
     K$14:ED$14,
     K$13:ED$13,
     K43:ED43,
     LAMBDA(
       job,
       buff,
       target,
       check,
       IF(
         OR(AND(check=TRUE, REGEXMATCH(target, ""SELF_AFFECTED_ALL""), job=""ガンブレイカー""), AND(che"&amp;"ck=Option!$H$13, REGEXMATCH(target, ""SINGLE_AFFECTED_ALL""))),
         buff,
         1
       )
     )
   )
 )"),1.0)</f>
        <v>1</v>
      </c>
      <c r="FM43" s="206">
        <f>IFERROR(__xludf.DUMMYFUNCTION("SUM(
   MAP(
     K$3:ED$3,
     K$7:ED$7,
     K$15:ED$15,
     K$16:ED$16,
     K$21:ED$21,
     K$5:ED$5,
     K$17:ED$17,
     K43:ED43,
     LAMBDA(
       job,
       abillity,
       buff,
       barrier,
       enhance,
       assign,
       preco"&amp;"ndition,
       check,
       IF(
         OR(AND(check=TRUE, REGEXMATCH(assign, ""SELF""), job=""ガンブレイカー""), AND(check=Option!$H$13, REGEXMATCH(assign, ""SINGLE_PARTY""))),
         IF(
           OR(ARRAYFORMULA((IF(precondition="""", FALSE, REGEXMATCH("&amp;"$K$4:$ED$4, precondition))) * (K43:ED43=TRUE))),
           enhance,
           IF(barrier="""", buff, barrier)
         ),
         0
       ) *
       SWITCH(
         job,
         ""暗黒騎士"", FN$24,
         ""白魔道士"", EF43 * EH43 * FL43 * IF(abillity, 1"&amp;", EG43 * EI43) * (Option!$D$22 * 0.81 / 100),
         ""占星術師"", EF43 * EJ43 * FL43 * IF(abillity, 1, EG43 * EK43) * (Option!$D$23 * 0.81 / 100),
         ""学者"", EF43 * EL43 * FL43 * IF(abillity, 1, EG43 * EM43) * (Option!$D$24 * 0.81 / 100),
         """&amp;"賢者"", EF43 * EN43 * FL43 * IF(abillity, 1, EG43 * EO43) * (Option!$D$25 * 0.81 / 100),
         1
       )
     )
   )
 ) + EQ43"),0.0)</f>
        <v>0</v>
      </c>
      <c r="FN43" s="206">
        <f t="shared" si="13"/>
        <v>14000</v>
      </c>
      <c r="FO43" s="213"/>
    </row>
    <row r="44">
      <c r="B44" s="229"/>
      <c r="C44" s="217">
        <f t="shared" si="1"/>
        <v>0.003680555556</v>
      </c>
      <c r="D44" s="236">
        <v>0.001979166666666667</v>
      </c>
      <c r="E44" s="237" t="s">
        <v>1090</v>
      </c>
      <c r="F44" s="167" t="s">
        <v>10</v>
      </c>
      <c r="G44" s="168" t="str">
        <f t="shared" si="2"/>
        <v/>
      </c>
      <c r="H44" s="169">
        <v>15000.0</v>
      </c>
      <c r="I44" s="169"/>
      <c r="J44" s="169"/>
      <c r="K44" s="170" t="b">
        <v>0</v>
      </c>
      <c r="L44" s="170" t="b">
        <v>0</v>
      </c>
      <c r="M44" s="170" t="b">
        <v>0</v>
      </c>
      <c r="N44" s="171" t="s">
        <v>1070</v>
      </c>
      <c r="O44" s="172" t="b">
        <v>0</v>
      </c>
      <c r="P44" s="173" t="b">
        <v>0</v>
      </c>
      <c r="Q44" s="173" t="b">
        <v>0</v>
      </c>
      <c r="R44" s="173" t="b">
        <v>0</v>
      </c>
      <c r="S44" s="174" t="b">
        <v>0</v>
      </c>
      <c r="T44" s="175" t="b">
        <v>0</v>
      </c>
      <c r="U44" s="173" t="b">
        <v>0</v>
      </c>
      <c r="V44" s="171" t="s">
        <v>1070</v>
      </c>
      <c r="W44" s="172" t="b">
        <v>0</v>
      </c>
      <c r="X44" s="173" t="b">
        <v>0</v>
      </c>
      <c r="Y44" s="173" t="b">
        <v>0</v>
      </c>
      <c r="Z44" s="173" t="b">
        <v>0</v>
      </c>
      <c r="AA44" s="174" t="b">
        <v>0</v>
      </c>
      <c r="AB44" s="174" t="b">
        <v>0</v>
      </c>
      <c r="AC44" s="175" t="b">
        <v>0</v>
      </c>
      <c r="AD44" s="173" t="b">
        <v>0</v>
      </c>
      <c r="AE44" s="176" t="s">
        <v>1070</v>
      </c>
      <c r="AF44" s="171" t="s">
        <v>1070</v>
      </c>
      <c r="AG44" s="177">
        <f>IFERROR(__xludf.DUMMYFUNCTION("IF(
  ISNUMBER(AG43),
  MIN(MAX(
    AG43
    + MAX(
      ROUNDDOWN(($D44 - MAX(IFERROR(FILTER($D$24:$D43, AG$24:AG43 &lt;&gt; AF$6, AG$23:AG42 = AF$6), 0))) * (60 * 60 * 24) / AF$9) - ROUNDDOWN(($D43 - MAX(IFERROR(FILTER($D$23:$D42, AG$23:AG42 &lt;&gt; AF$6, AG$22:"&amp;"AG41 = AF$6), 0))) * (60 * 60 * 24) / 60),
      0
    )
    - COUNTIF(AF44, ""&lt;&gt;-""),
  0), AF$6),
  AF$6 - COUNTIF(AF44, ""&lt;&gt;-"")
)"),2.0)</f>
        <v>2</v>
      </c>
      <c r="AH44" s="173" t="b">
        <v>0</v>
      </c>
      <c r="AI44" s="173" t="b">
        <v>0</v>
      </c>
      <c r="AJ44" s="173" t="b">
        <v>0</v>
      </c>
      <c r="AK44" s="174" t="b">
        <v>0</v>
      </c>
      <c r="AL44" s="175" t="b">
        <v>0</v>
      </c>
      <c r="AM44" s="173" t="b">
        <v>0</v>
      </c>
      <c r="AN44" s="171" t="s">
        <v>1070</v>
      </c>
      <c r="AO44" s="173" t="b">
        <v>0</v>
      </c>
      <c r="AP44" s="173" t="b">
        <v>0</v>
      </c>
      <c r="AQ44" s="173" t="b">
        <v>0</v>
      </c>
      <c r="AR44" s="174" t="b">
        <v>0</v>
      </c>
      <c r="AS44" s="178" t="b">
        <v>0</v>
      </c>
      <c r="AT44" s="179" t="b">
        <v>0</v>
      </c>
      <c r="AU44" s="180" t="b">
        <v>0</v>
      </c>
      <c r="AV44" s="180" t="b">
        <v>0</v>
      </c>
      <c r="AW44" s="180" t="b">
        <v>0</v>
      </c>
      <c r="AX44" s="180" t="b">
        <v>0</v>
      </c>
      <c r="AY44" s="181" t="s">
        <v>1070</v>
      </c>
      <c r="AZ44" s="181" t="s">
        <v>1070</v>
      </c>
      <c r="BA44" s="184">
        <f>IFERROR(__xludf.DUMMYFUNCTION("IF(
  ISNUMBER(BA43),
  MIN(MAX(
    BA43
    + MAX(
      ROUNDDOWN((D44 - MAX(IFERROR(FILTER(D$24:D43, BA$24:BA43 &lt;&gt; AZ$6, BA$23:BA42 = AZ$6), 0))) * (60 * 60 * 24) / AZ$9) - ROUNDDOWN((D43 - MAX(IFERROR(FILTER(D$23:D42, BA$23:BA42 &lt;&gt; AZ$6, BA$22:BA41 ="&amp;" AZ$6), 0))) * (60 * 60 * 24) / AZ$9),
      0
    )
    - COUNTIF(AZ44, ""&lt;&gt;-""),
  0), AZ$6),
  AZ$6 - COUNTIF(AZ44, ""&lt;&gt;-"")
)"),2.0)</f>
        <v>2</v>
      </c>
      <c r="BB44" s="181" t="s">
        <v>1070</v>
      </c>
      <c r="BC44" s="183">
        <f>IFERROR(__xludf.DUMMYFUNCTION("IF(
  ISNUMBER(BC43),
  MIN(MAX(
    BC43
    + MAX(
      ROUNDDOWN(($D44 - MAX(IFERROR(FILTER($D$24:$D43, BC$24:BC43 &lt;&gt; BB$6, BC$23:BC42 = BB$6), 0))) * (60 * 60 * 24) / BB$9) - ROUNDDOWN(($D43 - MAX(IFERROR(FILTER($D$23:$D42, BC$23:BC42 &lt;&gt; BB$6, BC$22:"&amp;"BC41 = BB$6), 0))) * (60 * 60 * 24) / 60),
      0
    )
    - COUNTIF(BB44, ""&lt;&gt;-""),
  0), BB$6),
  BB$6 - COUNTIF(BB44, ""&lt;&gt;-"")
)"),2.0)</f>
        <v>2</v>
      </c>
      <c r="BD44" s="181" t="s">
        <v>1070</v>
      </c>
      <c r="BE44" s="178" t="b">
        <v>0</v>
      </c>
      <c r="BF44" s="180" t="b">
        <v>0</v>
      </c>
      <c r="BG44" s="180" t="b">
        <v>0</v>
      </c>
      <c r="BH44" s="180" t="b">
        <v>0</v>
      </c>
      <c r="BI44" s="180" t="b">
        <v>0</v>
      </c>
      <c r="BJ44" s="180" t="b">
        <v>0</v>
      </c>
      <c r="BK44" s="180" t="b">
        <v>0</v>
      </c>
      <c r="BL44" s="180" t="b">
        <v>0</v>
      </c>
      <c r="BM44" s="180" t="b">
        <v>0</v>
      </c>
      <c r="BN44" s="180" t="b">
        <v>0</v>
      </c>
      <c r="BO44" s="181" t="s">
        <v>1070</v>
      </c>
      <c r="BP44" s="181" t="s">
        <v>1070</v>
      </c>
      <c r="BQ44" s="181" t="s">
        <v>1070</v>
      </c>
      <c r="BR44" s="181" t="s">
        <v>1070</v>
      </c>
      <c r="BS44" s="181" t="s">
        <v>1070</v>
      </c>
      <c r="BT44" s="184">
        <f>IFERROR(__xludf.DUMMYFUNCTION("IF(
  ISNUMBER(BT43),
  MIN(MAX(
    BT43
    + MAX(
      ROUNDDOWN((D44 - MAX(IFERROR(FILTER(D$24:D43, BT$24:BT43 &lt;&gt; BS$6, BT$23:BT42 = BS$6), 0))) * (60 * 60 * 24) / BS$9) - ROUNDDOWN((D43 - MAX(IFERROR(FILTER(D$23:D42, BT$23:BT42 &lt;&gt; BS$6, BT$22:BT41 ="&amp;" BS$6), 0))) * (60 * 60 * 24) / BS$9),
      0
    )
    - COUNTIF(BS44, ""&lt;&gt;-""),
  0), BS$6),
  BS$6 - COUNTIF(BS44, ""&lt;&gt;-"")
)"),3.0)</f>
        <v>3</v>
      </c>
      <c r="BU44" s="181" t="s">
        <v>1070</v>
      </c>
      <c r="BV44" s="181" t="s">
        <v>1070</v>
      </c>
      <c r="BW44" s="184">
        <f>IFERROR(__xludf.DUMMYFUNCTION("IF(
  ISNUMBER(BW43),
  MIN(MAX(
    BW43
    + MAX(
      ROUNDDOWN((D44 - MAX(IFERROR(FILTER(D$24:D43, BW$24:BW43 &lt;&gt; BV$6, BW$23:BW42 = BV$6), 0))) * (60 * 60 * 24) / BV$9) - ROUNDDOWN((D43 - MAX(IFERROR(FILTER(D$23:D42, BW$23:BW42 &lt;&gt; BV$6, BW$22:BW41 ="&amp;" BV$6), 0))) * (60 * 60 * 24) / BV$9),
      0
    )
    - COUNTIF(BV44, ""&lt;&gt;-""),
  0), BV$6),
  BV$6 - COUNTIF(BV44, ""&lt;&gt;-"")
)"),2.0)</f>
        <v>2</v>
      </c>
      <c r="BX44" s="185" t="s">
        <v>1070</v>
      </c>
      <c r="BY44" s="178" t="b">
        <v>0</v>
      </c>
      <c r="BZ44" s="180" t="b">
        <v>0</v>
      </c>
      <c r="CA44" s="180" t="b">
        <v>0</v>
      </c>
      <c r="CB44" s="180" t="b">
        <v>0</v>
      </c>
      <c r="CC44" s="180" t="b">
        <v>0</v>
      </c>
      <c r="CD44" s="180" t="b">
        <v>0</v>
      </c>
      <c r="CE44" s="180" t="b">
        <v>0</v>
      </c>
      <c r="CF44" s="180" t="b">
        <v>0</v>
      </c>
      <c r="CG44" s="180" t="b">
        <v>0</v>
      </c>
      <c r="CH44" s="180" t="b">
        <v>0</v>
      </c>
      <c r="CI44" s="180" t="b">
        <v>0</v>
      </c>
      <c r="CJ44" s="180" t="b">
        <v>0</v>
      </c>
      <c r="CK44" s="180" t="b">
        <v>0</v>
      </c>
      <c r="CL44" s="180" t="b">
        <v>0</v>
      </c>
      <c r="CM44" s="181" t="s">
        <v>1070</v>
      </c>
      <c r="CN44" s="181" t="s">
        <v>1070</v>
      </c>
      <c r="CO44" s="181" t="s">
        <v>1070</v>
      </c>
      <c r="CP44" s="181" t="s">
        <v>1070</v>
      </c>
      <c r="CQ44" s="185" t="s">
        <v>1070</v>
      </c>
      <c r="CR44" s="180" t="b">
        <v>0</v>
      </c>
      <c r="CS44" s="186" t="str">
        <f t="shared" si="14"/>
        <v>◇◇◇</v>
      </c>
      <c r="CT44" s="178" t="b">
        <v>0</v>
      </c>
      <c r="CU44" s="180" t="b">
        <v>0</v>
      </c>
      <c r="CV44" s="180" t="b">
        <v>0</v>
      </c>
      <c r="CW44" s="180" t="b">
        <v>0</v>
      </c>
      <c r="CX44" s="180" t="b">
        <v>0</v>
      </c>
      <c r="CY44" s="180" t="b">
        <v>0</v>
      </c>
      <c r="CZ44" s="180" t="b">
        <v>0</v>
      </c>
      <c r="DA44" s="180" t="b">
        <v>0</v>
      </c>
      <c r="DB44" s="180" t="b">
        <v>0</v>
      </c>
      <c r="DC44" s="180" t="b">
        <v>0</v>
      </c>
      <c r="DD44" s="181" t="s">
        <v>1070</v>
      </c>
      <c r="DE44" s="181" t="s">
        <v>1070</v>
      </c>
      <c r="DF44" s="181" t="s">
        <v>1070</v>
      </c>
      <c r="DG44" s="185" t="s">
        <v>1070</v>
      </c>
      <c r="DH44" s="180" t="b">
        <v>0</v>
      </c>
      <c r="DI44" s="187" t="str">
        <f>IFERROR(__xludf.DUMMYFUNCTION("SWITCH(
  IF(
    ISTEXT(DI43),
    IF (
      FIND(""○"", DI43&amp;""○"") &gt; 3,
      3,
      FIND(""○"", DI43&amp;""○"")
      + MAX(
        ROUNDDOWN(($D44 - MAX(IFERROR(FILTER(D$24:D43, DI$24:DI43 &lt;&gt; ""●●●"", DI$23:DI42 = ""●●●""), 0))) * (60 * 60 * 24) / 20"&amp;") - ROUNDDOWN(($D43 - MAX(IFERROR(FILTER(D$23:D42, DI$23:DI42 &lt;&gt; ""●●●"", DI$22:DI41 = ""●●●""), 0))) * (60 * 60 * 24) / 20),
        0
      ) - 1
    ) - COUNTIFS(CU44, ""=TRUE"", CU43, ""&lt;&gt;TRUE"") - COUNTIF(CZ44, ""=TRUE"") - COUNTIF({DD44,DE44}, ""&lt;&gt;-"&amp;""") + COUNTIF(DH44, ""=TRUE""),
    3
  ),
  0, ""○○○"", 1, ""●○○"", 2, ""●●○"", 3, ""●●●"", 4, ""●●●"", ""○○○""
)"),"●●●")</f>
        <v>●●●</v>
      </c>
      <c r="DJ44" s="188" t="b">
        <v>0</v>
      </c>
      <c r="DK44" s="189" t="b">
        <v>0</v>
      </c>
      <c r="DL44" s="190" t="b">
        <v>0</v>
      </c>
      <c r="DM44" s="190" t="b">
        <v>0</v>
      </c>
      <c r="DN44" s="190" t="b">
        <v>0</v>
      </c>
      <c r="DO44" s="190" t="b">
        <v>0</v>
      </c>
      <c r="DP44" s="190" t="b">
        <v>0</v>
      </c>
      <c r="DQ44" s="191" t="b">
        <v>0</v>
      </c>
      <c r="DR44" s="192" t="b">
        <v>0</v>
      </c>
      <c r="DS44" s="191" t="b">
        <v>0</v>
      </c>
      <c r="DT44" s="192" t="b">
        <v>0</v>
      </c>
      <c r="DU44" s="191" t="b">
        <v>0</v>
      </c>
      <c r="DV44" s="193" t="s">
        <v>1070</v>
      </c>
      <c r="DW44" s="194" t="b">
        <v>0</v>
      </c>
      <c r="DX44" s="194" t="b">
        <v>0</v>
      </c>
      <c r="DY44" s="195" t="b">
        <v>0</v>
      </c>
      <c r="DZ44" s="196" t="b">
        <v>0</v>
      </c>
      <c r="EA44" s="195" t="b">
        <v>0</v>
      </c>
      <c r="EB44" s="197" t="b">
        <v>0</v>
      </c>
      <c r="EC44" s="197" t="b">
        <v>0</v>
      </c>
      <c r="ED44" s="212" t="b">
        <v>0</v>
      </c>
      <c r="EE44" s="199">
        <f>IFERROR(__xludf.DUMMYFUNCTION("IFERROR(
   PRODUCT(
     MAP(
       INDEX(TRANSPOSE(UNIQUE(TRANSPOSE(FILTER({IF($F44=""Physical"", K$10:ED$10, IF($F44=""Magic"", K$11:ED$11, K$12:ED$12));K$4:ED$4;K44:ED44}, K44:ED44=TRUE)))), 1, 0),
       INDEX(TRANSPOSE(UNIQUE(TRANSPOSE(FILTER({IF($"&amp;"F44=""Physical"", K$18:ED$18, IF($F44=""Magic"", K$19:ED$19, K$20:ED$20));K$4:ED$4;K44:ED44}, K44:ED44=TRUE)))), 1, 0),
       INDEX(TRANSPOSE(UNIQUE(TRANSPOSE(FILTER({K$5:ED$5;K$4:ED$4;K44:ED44}, K44:ED44=TRUE)))), 1, 0),
       INDEX(TRANSPOSE(UNIQUE(TR"&amp;"ANSPOSE(FILTER({K$17:ED$17;K$4:ED$4;K44:ED44}, K44:ED44=TRUE)))), 1, 0),
       LAMBDA(
         mitigation,
         enhance,
         assign,
         precondition,
         IF(
           REGEXMATCH(assign, ""RANGE_PARTY|SINGLE_ENEMY|RANGE_ENEMY""),
  "&amp;"         IF(
             OR(ARRAYFORMULA((IF(precondition="""", FALSE, REGEXMATCH(K$4:ED$4, precondition))) * (K44:ED44=TRUE))),
             IF(ISNUMBER(enhance), enhance, 1),
             IF(ISNUMBER(mitigation), mitigation, 1)
           ),
          "&amp;" 1
         )
       )
     )
   ),
   1
 )"),1.0)</f>
        <v>1</v>
      </c>
      <c r="EF44" s="200">
        <f>IFERROR(__xludf.DUMMYFUNCTION("PRODUCT(
   MAP(
     K$14:ED$14,
     K$13:ED$13,
     K44:ED44,
     LAMBDA(
       buff,
       target,
       check,
       IF(
         AND(check=TRUE, REGEXMATCH(target, ""RANGE_AFFECTED_ALL|RANGE_EFFECTED_ALL""), ISNUMBER(buff)),
         buff,
   "&amp;"      1
       )
     )
   )
 )"),1.0)</f>
        <v>1</v>
      </c>
      <c r="EG44" s="200">
        <f>IFERROR(__xludf.DUMMYFUNCTION("PRODUCT(
   MAP(
     K$14:ED$14,
     K$13:ED$13,
     K44:ED44,
     LAMBDA(
       buff,
       target,
       check,
       IF(
         AND(check=TRUE, REGEXMATCH(target, ""RANGE_AFFECTED_GCD|RANGE_EFFECTED_GCD""), ISNUMBER(buff)),
         buff,
   "&amp;"      1
       )
     )
   )
 )"),1.0)</f>
        <v>1</v>
      </c>
      <c r="EH44" s="200">
        <f>IFERROR(__xludf.DUMMYFUNCTION("PRODUCT(
   MAP(
     K$3:ED$3,
     K$14:ED$14,
     K$13:ED$13,
     K44:ED44,
     LAMBDA(
       job,
       buff,
       target,
       check,
       IF(
         AND(check=TRUE, REGEXMATCH(target, ""SELF_EFFECTED_ALL""), ISNUMBER(buff), job=""白魔道士"""&amp;"),
         buff,
         1
       )
     )
   )
 )"),1.0)</f>
        <v>1</v>
      </c>
      <c r="EI44" s="200">
        <f>IFERROR(__xludf.DUMMYFUNCTION("PRODUCT(
   MAP(
     K$3:ED$3,
     K$14:ED$14,
     K$13:ED$13,
     K44:ED44,
     LAMBDA(
       job,
       buff,
       target,
       check,
       IF(
         AND(check=TRUE, REGEXMATCH(target, ""SELF_EFFECTED_GCD""), ISNUMBER(buff), job=""白魔道士"""&amp;"),
         buff,
         1
       )
     )
   )
 )"),1.0)</f>
        <v>1</v>
      </c>
      <c r="EJ44" s="200">
        <f>IFERROR(__xludf.DUMMYFUNCTION("PRODUCT(
   MAP(
     K$3:ED$3,
     K$14:ED$14,
     K$13:ED$13,
     K44:ED44,
     LAMBDA(
       job,
       buff,
       target,
       check,
       IF(
         AND(check=TRUE, REGEXMATCH(target, ""SELF_EFFECTED_ALL""), ISNUMBER(buff), job=""占星術師"""&amp;"),
         buff,
         1
       )
     )
   )
 )"),1.0)</f>
        <v>1</v>
      </c>
      <c r="EK44" s="200">
        <f>IFERROR(__xludf.DUMMYFUNCTION("PRODUCT(
   MAP(
     K$3:ED$3,
     K$14:ED$14,
     K$13:ED$13,
     K44:ED44,
     LAMBDA(
       job,
       buff,
       target,
       check,
       IF(
         AND(check=TRUE, REGEXMATCH(target, ""SELF_EFFECTED_GCD""), ISNUMBER(buff), job=""占星術師"""&amp;"),
         buff,
         1
       )
     )
   )
 )"),1.0)</f>
        <v>1</v>
      </c>
      <c r="EL44" s="200">
        <f>IFERROR(__xludf.DUMMYFUNCTION("PRODUCT(
   MAP(
     K$3:ED$3,
     K$14:ED$14,
     K$13:ED$13,
     K44:ED44,
     LAMBDA(
       job,
       buff,
       target,
       check,
       IF(
         AND(check=TRUE, REGEXMATCH(target, ""SELF_EFFECTED_ALL""), ISNUMBER(buff), job=""学者""),"&amp;"
         buff,
         1
       )
     )
   )
 )"),1.0)</f>
        <v>1</v>
      </c>
      <c r="EM44" s="200">
        <f>IFERROR(__xludf.DUMMYFUNCTION("PRODUCT(
   MAP(
     K$3:ED$3,
     K$14:ED$14,
     K$13:ED$13,
     K44:ED44,
     LAMBDA(
       job,
       buff,
       target,
       check,
       IF(
         AND(check=TRUE, REGEXMATCH(target, ""SELF_EFFECTED_GCD""), ISNUMBER(buff), job=""学者""),"&amp;"
         buff,
         1
       )
     )
   )
 )"),1.0)</f>
        <v>1</v>
      </c>
      <c r="EN44" s="200">
        <f>IFERROR(__xludf.DUMMYFUNCTION("PRODUCT(
   MAP(
     K$3:ED$3,
     K$14:ED$14,
     K$13:ED$13,
     K44:ED44,
     LAMBDA(
       job,
       buff,
       target,
       check,
       IF(
         AND(check=TRUE, REGEXMATCH(target, ""SELF_EFFECTED_ALL""), ISNUMBER(buff), job=""賢者""),"&amp;"
         buff,
         1
       )
     )
   )
 )"),1.0)</f>
        <v>1</v>
      </c>
      <c r="EO44" s="200">
        <f>IFERROR(__xludf.DUMMYFUNCTION("PRODUCT(
   MAP(
     K$3:ED$3,
     K$14:ED$14,
     K$13:ED$13,
     K44:ED44,
     LAMBDA(
       job,
       buff,
       target,
       check,
       IF(
         AND(check=TRUE, REGEXMATCH(target, ""SELF_EFFECTED_GCD""), ISNUMBER(buff), job=""賢者""),"&amp;"
         buff,
         1
       )
     )
   )
 )"),1.0)</f>
        <v>1</v>
      </c>
      <c r="EP44" s="201">
        <f t="shared" si="3"/>
        <v>15000</v>
      </c>
      <c r="EQ44" s="201">
        <f>IFERROR(__xludf.DUMMYFUNCTION("SUM(
   MAP(
     K$4:ED$4,
     K$3:ED$3,
     K$7:ED$7,
     K$15:ED$15,
     K$16:ED$16,
     K$21:ED$21,
     K$5:ED$5,
     K$17:ED$17,
     K44:ED44,
     LAMBDA(
       name,
       job,
       abillity,
       buff,
       barrier,
       enhance,"&amp;"
       assign,
       precondition,
       check,
       SWITCH(
         name,
         ""シェイクオフ"", IF(check=TRUE, buff + (0.02 * COUNTIF(ARRAYFORMULA((REGEXMATCH($K$4:$ED$4, ""スリル・オブ・バトル|ヴェンジェンス|原初の血気|ダムネーション"")) * (K44:ED44=TRUE)), 1)), 0),
         "&amp;"""インプロビゼーションフィニッシュ(踊りの激情0)"", IF(ISNUMBER(check), INDEX(Skill!$AJ:$AJ, MATCH(SUBSTITUTE(DV$4, 0, check), Skill!$C:$C, 0)), 0),
         IF(
           AND(check=TRUE, REGEXMATCH(assign, ""RANGE_PARTY"")),
           IF(
             OR(ARRAYFORMULA((IF(pr"&amp;"econdition="""", FALSE, REGEXMATCH($K$4:$ED$4, precondition))) * (K44:ED44=TRUE))),
             enhance,
             IF(barrier="""", buff, barrier)
           ),
           0
         )
       ) *
       SWITCH(
         job,
         ""ナイト"", EY$24,
 "&amp;"        ""戦士"", FD$24,
         ""踊り子"", ET$24,
         ""ピクトマンサー"", ET$24,
         ""白魔道士"", EF44 * EH44 * IF(abillity, 1, EG44 * EI44) * (Option!$D$22 * 0.81 / 100),
         ""占星術師"", EF44 * EJ44 * IF(abillity, 1, EG44 * EK44) * (Option!$D$23 * 0.81 "&amp;"/ 100),
         ""学者"", EF44 * EL44 * IF(abillity, 1, EG44 * EM44) * (Option!$D$24 * 0.81 / 100),
         ""賢者"", EF44 * EN44 * IF(abillity, 1, EG44 * EO44) * (Option!$D$25 * 0.81 / 100),
         1
       )
     )
   )
 )"),0.0)</f>
        <v>0</v>
      </c>
      <c r="ER44" s="202">
        <f t="shared" si="4"/>
        <v>15000</v>
      </c>
      <c r="ES44" s="203">
        <f t="shared" si="5"/>
        <v>0</v>
      </c>
      <c r="ET44" s="231" t="str">
        <f>IFERROR(__xludf.DUMMYFUNCTION("IFS(
  EP44 &gt; $ET$24 + EQ44,
  SPARKLINE({ 1, 0 }, {""charttype"",""bar"";""max"", 1;""color1"",Option!$D$30;""color2"",Option!$D$30}),
  EP44 &lt; EQ44,
  SPARKLINE({EQ44 - EP44, $ET$24 - (EQ44 - EP44)}, {""charttype"",""bar"";""max"",$ET$24;""color1"",Opti"&amp;"on!$D$28;""color2"",Option!$D$29}),
  EP44 &gt;= EQ44,
  SPARKLINE({$ET$24 + EQ44 - EP44,EP44 - EQ44}, {""charttype"",""bar"";""max"",$ET$24;""color1"",Option!$D$29;""color2"",Option!$D$30})
)"),"")</f>
        <v/>
      </c>
      <c r="EU44" s="205">
        <f>IFERROR(__xludf.DUMMYFUNCTION("PRODUCT(
   MAP(
     IF($F44=""Physical"", K$10:ED$10, IF($F44=""Magic"", K$11:ED$11, K$12:ED$12)),
     IF($F44=""Physical"", K$18:ED$18, IF($F44=""Magic"", K$19:ED$19, K$20:ED$20)),
     K$3:ED$3,
     K$5:ED$5,
     K$17:ED$17,
     K44:ED44,
     LAM"&amp;"BDA(
       mitigation,
       enhance,
       job,
       assign,
       precondition,
       check,
       IF(
         OR(AND(check=TRUE, REGEXMATCH(assign, ""SELF""), job=""ナイト""), AND(check=Option!$E$13, REGEXMATCH(assign, ""SINGLE_PARTY""))),
      "&amp;"   IF(
           OR(ARRAYFORMULA((IF(precondition="""", FALSE, REGEXMATCH($K$4:$ED$4, precondition))) * (K44:ED44=TRUE))),
           enhance,
           mitigation
         ),
         1
       )
     )
   )
 ) * EE44"),1.0)</f>
        <v>1</v>
      </c>
      <c r="EV44" s="206">
        <f t="shared" si="6"/>
        <v>12000</v>
      </c>
      <c r="EW44" s="205">
        <f>IFERROR(__xludf.DUMMYFUNCTION("PRODUCT(
   MAP(
     K$3:ED$3,
     K$14:ED$14,
     K$13:ED$13,
     K44:ED44,
     LAMBDA(
       job,
       buff,
       target,
       check,
       IF(
         OR(AND(check=TRUE, REGEXMATCH(target, ""SELF_AFFECTED_ALL""), job=""ナイト""), AND(check=O"&amp;"ption!$E$13, REGEXMATCH(target, ""SINGLE_AFFECTED_ALL""))),
         buff,
         1
       )
     )
   )
 )"),1.0)</f>
        <v>1</v>
      </c>
      <c r="EX44" s="206">
        <f>IFERROR(__xludf.DUMMYFUNCTION("SUM(
   MAP(
     K$3:ED$3,
     K$7:ED$7,
     K$15:ED$15,
     K$16:ED$16,
     K$21:ED$21,
     K$5:ED$5,
     K$17:ED$17,
     K44:ED44,
     LAMBDA(
       job,
       abillity,
       buff,
       barrier,
       enhance,
       assign,
       preco"&amp;"ndition,
       check,
       IF(
         OR(AND(check=TRUE, REGEXMATCH(assign, ""SELF""), job=""ナイト""), AND(check=Option!$E$13, REGEXMATCH(assign, ""SINGLE_PARTY""))),
         IF(
           OR(ARRAYFORMULA((IF(precondition="""", FALSE, REGEXMATCH($K$4"&amp;":$ED$4, precondition))) * (K44:ED44=TRUE))),
           enhance,
           IF(barrier="""", buff, barrier)
         ),
         0
       ) *
       SWITCH(
         job,
         ""暗黒騎士"", EY$24,
         ""白魔道士"", EF44 * EH44 * EW44 * IF(abillity, 1, EG"&amp;"44 * EI44) * (Option!$D$22 * 0.81 / 100),
         ""占星術師"", EF44 * EJ44 * EW44 * IF(abillity, 1, EG44 * EK44) * (Option!$D$23 * 0.81 / 100),
         ""学者"", EF44 * EL44 * EW44 * IF(abillity, 1, EG44 * EM44) * (Option!$D$24 * 0.81 / 100),
         ""賢者"""&amp;", EF44 * EN44 * EW44 * IF(abillity, 1, EG44 * EO44) * (Option!$D$25 * 0.81 / 100),
         1
       )
     )
   )
 ) + EQ44"),0.0)</f>
        <v>0</v>
      </c>
      <c r="EY44" s="232">
        <f t="shared" si="7"/>
        <v>12000</v>
      </c>
      <c r="EZ44" s="205">
        <f>IFERROR(__xludf.DUMMYFUNCTION("PRODUCT(
   MAP(
     IF($F44=""Physical"", K$10:ED$10, IF($F44=""Magic"", K$11:ED$11, K$12:ED$12)),
     IF($F44=""Physical"", K$18:ED$18, IF($F44=""Magic"", K$19:ED$19, K$20:ED$20)),
     K$3:ED$3,
     K$5:ED$5,
     K$17:ED$17,
     K44:ED44,
     LAM"&amp;"BDA(
       mitigation,
       enhance,
       job,
       assign,
       precondition,
       check,
       IF(
         OR(AND(check=TRUE, REGEXMATCH(assign, ""SELF""), job=""戦士""), AND(check=Option!$F$13, REGEXMATCH(assign, ""SINGLE_PARTY""))),
       "&amp;"  IF(
           OR(ARRAYFORMULA((IF(precondition="""", FALSE, REGEXMATCH($K$4:$ED$4, precondition))) * (K44:ED44=TRUE))),
           enhance,
           mitigation
         ),
         1
       )
     )
   )
 ) * EE44"),1.0)</f>
        <v>1</v>
      </c>
      <c r="FA44" s="206">
        <f t="shared" si="8"/>
        <v>12000</v>
      </c>
      <c r="FB44" s="205">
        <f>IFERROR(__xludf.DUMMYFUNCTION("PRODUCT(
   MAP(
     K$3:ED$3,
     K$14:ED$14,
     K$13:ED$13,
     K44:ED44,
     LAMBDA(
       job,
       buff,
       target,
       check,
       IF(
         OR(AND(check=TRUE, REGEXMATCH(target, ""SELF_AFFECTED_ALL""), job=""戦士""), AND(check=Op"&amp;"tion!$F$13, REGEXMATCH(target, ""SINGLE_AFFECTED_ALL""))),
         buff,
         1
       )
     )
   )
 )"),1.0)</f>
        <v>1</v>
      </c>
      <c r="FC44" s="206">
        <f>IFERROR(__xludf.DUMMYFUNCTION("SUM(
   MAP(
     K$3:ED$3,
     K$7:ED$7,
     K$15:ED$15,
     K$16:ED$16,
     K$21:ED$21,
     K$5:ED$5,
     K$17:ED$17,
     K44:ED44,
     LAMBDA(
       job,
       abillity,
       buff,
       barrier,
       enhance,
       assign,
       preco"&amp;"ndition,
       check,
       IF(
         OR(AND(check=TRUE, REGEXMATCH(assign, ""SELF""), job=""戦士""), AND(check=Option!$F$13, REGEXMATCH(assign, ""SINGLE_PARTY""))),
         IF(
           OR(ARRAYFORMULA((IF(precondition="""", FALSE, REGEXMATCH($K$4:"&amp;"$ED$4, precondition))) * (K44:ED44=TRUE))),
           enhance,
           IF(barrier="""", buff, barrier)
         ),
         0
       ) *
       SWITCH(
         job,
         ""暗黒騎士"", FD$24,
         ""白魔道士"", EF44 * EH44 * FB44 * IF(abillity, 1, EG4"&amp;"4 * EI44) * (Option!$D$22 * 0.81 / 100),
         ""占星術師"", EF44 * EJ44 * FFB44 * IF(abillity, 1, EG44 * EK44) * (Option!$D$23 * 0.81 / 100),
         ""学者"", EF44 * EL44 * FB44 * IF(abillity, 1, EG44 * EM44) * (Option!$D$24 * 0.81 / 100),
         ""賢者"""&amp;", EF44 * EN44 * FB44 * IF(abillity, 1, EG44 * EO44) * (Option!$D$25 * 0.81 / 100),
         1
       )
     )
   )
 ) + EQ44"),0.0)</f>
        <v>0</v>
      </c>
      <c r="FD44" s="206">
        <f t="shared" si="9"/>
        <v>12000</v>
      </c>
      <c r="FE44" s="205">
        <f>IFERROR(__xludf.DUMMYFUNCTION("PRODUCT(
   MAP(
     IF($F44=""Physical"", K$10:ED$10, IF($F44=""Magic"", K$11:ED$11, K$12:ED$12)),
     IF($F44=""Physical"", K$18:ED$18, IF($F44=""Magic"", K$19:ED$19, K$20:ED$20)),
     K$3:ED$3,
     K$5:ED$5,
     K$17:ED$17,
     K44:ED44,
     LAM"&amp;"BDA(
       mitigation,
       enhance,
       job,
       assign,
       precondition,
       check,
       IF(
         OR(AND(check=TRUE, REGEXMATCH(assign, ""SELF""), job=""暗黒騎士""), AND(check=Option!$G$13, REGEXMATCH(assign, ""SINGLE_PARTY""))),
     "&amp;"    IF(
           OR(ARRAYFORMULA((IF(precondition="""", FALSE, REGEXMATCH($K$4:$ED$4, precondition))) * (K44:ED44=TRUE))),
           enhance,
           mitigation
         ),
         1
       )
     )
   )
 ) * EE44"),1.0)</f>
        <v>1</v>
      </c>
      <c r="FF44" s="206">
        <f t="shared" si="10"/>
        <v>12000</v>
      </c>
      <c r="FG44" s="205">
        <f>IFERROR(__xludf.DUMMYFUNCTION("PRODUCT(
   MAP(
     K$3:ED$3,
     K$14:ED$14,
     K$13:ED$13,
     K44:ED44,
     LAMBDA(
       job,
       buff,
       target,
       check,
       IF(
         OR(AND(check=TRUE, REGEXMATCH(target, ""SELF_AFFECTED_ALL""), job=""暗黒騎士""), AND(check="&amp;"Option!$G$13, REGEXMATCH(target, ""SINGLE_AFFECTED_ALL""))),
         buff,
         1
       )
     )
   )
 )"),1.0)</f>
        <v>1</v>
      </c>
      <c r="FH44" s="206">
        <f>IFERROR(__xludf.DUMMYFUNCTION("SUM(
   MAP(
     K$3:ED$3,
     K$7:ED$7,
     K$15:ED$15,
     K$16:ED$16,
     K$21:ED$21,
     K$5:ED$5,
     K$17:ED$17,
     K44:ED44,
     LAMBDA(
       job,
       abillity,
       buff,
       barrier,
       enhance,
       assign,
       preco"&amp;"ndition,
       check,
       IF(
         OR(AND(check=TRUE, REGEXMATCH(assign, ""SELF""), job=""暗黒騎士""), AND(check=Option!$G$13, REGEXMATCH(assign, ""SINGLE_PARTY""))),
         IF(
           OR(ARRAYFORMULA((IF(precondition="""", FALSE, REGEXMATCH($K$"&amp;"4:$ED$4, precondition))) * (K44:ED44=TRUE))),
           enhance,
           IF(barrier="""", buff, barrier)
         ),
         0
       ) *
       SWITCH(
         job,
         ""暗黒騎士"", FI$24,
         ""白魔道士"", EF44 * EH44 * FG44 * IF(abillity, 1, E"&amp;"G44 * EI44) * (Option!$D$22 * 0.81 / 100),
         ""占星術師"", EF44 * EJ44 * FG44 * IF(abillity, 1, EG44 * EK44) * (Option!$D$23 * 0.81 / 100),
         ""学者"", EF44 * EL44 * FG44 * IF(abillity, 1, EG44 * EM44) * (Option!$D$24 * 0.81 / 100),
         ""賢者"&amp;""", EF44 * EN44 * FG44 * IF(abillity, 1, EG44 * EO44) * (Option!$D$25 * 0.81 / 100),
         1
       )
     )
   )
 ) + EQ44"),0.0)</f>
        <v>0</v>
      </c>
      <c r="FI44" s="206">
        <f t="shared" si="11"/>
        <v>12000</v>
      </c>
      <c r="FJ44" s="205">
        <f>IFERROR(__xludf.DUMMYFUNCTION("PRODUCT(
   MAP(
     IF($F44=""Physical"", K$10:ED$10, IF($F44=""Magic"", K$11:ED$11, K$12:ED$12)),
     IF($F44=""Physical"", K$18:ED$18, IF($F44=""Magic"", K$19:ED$19, K$20:ED$20)),
     K$3:ED$3,
     K$5:ED$5,
     K$17:ED$17,
     K44:ED44,
     LAM"&amp;"BDA(
       mitigation,
       enhance,
       job,
       assign,
       precondition,
       check,
       IF(
         OR(AND(check=TRUE, REGEXMATCH(assign, ""SELF""), job=""ガンブレイカー""), AND(check=Option!$H$13, REGEXMATCH(assign, ""SINGLE_PARTY""))),
  "&amp;"       IF(
           OR(ARRAYFORMULA((IF(precondition="""", FALSE, REGEXMATCH($K$4:$ED$4, precondition))) * (K44:ED44=TRUE))),
           enhance,
           mitigation
         ),
         1
       )
     )
   )
 ) * EE44"),1.0)</f>
        <v>1</v>
      </c>
      <c r="FK44" s="206">
        <f t="shared" si="12"/>
        <v>12000</v>
      </c>
      <c r="FL44" s="205">
        <f>IFERROR(__xludf.DUMMYFUNCTION("PRODUCT(
   MAP(
     K$3:ED$3,
     K$14:ED$14,
     K$13:ED$13,
     K44:ED44,
     LAMBDA(
       job,
       buff,
       target,
       check,
       IF(
         OR(AND(check=TRUE, REGEXMATCH(target, ""SELF_AFFECTED_ALL""), job=""ガンブレイカー""), AND(che"&amp;"ck=Option!$H$13, REGEXMATCH(target, ""SINGLE_AFFECTED_ALL""))),
         buff,
         1
       )
     )
   )
 )"),1.0)</f>
        <v>1</v>
      </c>
      <c r="FM44" s="206">
        <f>IFERROR(__xludf.DUMMYFUNCTION("SUM(
   MAP(
     K$3:ED$3,
     K$7:ED$7,
     K$15:ED$15,
     K$16:ED$16,
     K$21:ED$21,
     K$5:ED$5,
     K$17:ED$17,
     K44:ED44,
     LAMBDA(
       job,
       abillity,
       buff,
       barrier,
       enhance,
       assign,
       preco"&amp;"ndition,
       check,
       IF(
         OR(AND(check=TRUE, REGEXMATCH(assign, ""SELF""), job=""ガンブレイカー""), AND(check=Option!$H$13, REGEXMATCH(assign, ""SINGLE_PARTY""))),
         IF(
           OR(ARRAYFORMULA((IF(precondition="""", FALSE, REGEXMATCH("&amp;"$K$4:$ED$4, precondition))) * (K44:ED44=TRUE))),
           enhance,
           IF(barrier="""", buff, barrier)
         ),
         0
       ) *
       SWITCH(
         job,
         ""暗黒騎士"", FN$24,
         ""白魔道士"", EF44 * EH44 * FL44 * IF(abillity, 1"&amp;", EG44 * EI44) * (Option!$D$22 * 0.81 / 100),
         ""占星術師"", EF44 * EJ44 * FL44 * IF(abillity, 1, EG44 * EK44) * (Option!$D$23 * 0.81 / 100),
         ""学者"", EF44 * EL44 * FL44 * IF(abillity, 1, EG44 * EM44) * (Option!$D$24 * 0.81 / 100),
         """&amp;"賢者"", EF44 * EN44 * FL44 * IF(abillity, 1, EG44 * EO44) * (Option!$D$25 * 0.81 / 100),
         1
       )
     )
   )
 ) + EQ44"),0.0)</f>
        <v>0</v>
      </c>
      <c r="FN44" s="206">
        <f t="shared" si="13"/>
        <v>12000</v>
      </c>
      <c r="FO44" s="213"/>
    </row>
    <row r="45">
      <c r="B45" s="229"/>
      <c r="C45" s="217">
        <f t="shared" si="1"/>
        <v>0.00380787037</v>
      </c>
      <c r="D45" s="236">
        <v>0.0021064814814814813</v>
      </c>
      <c r="E45" s="237" t="s">
        <v>1095</v>
      </c>
      <c r="F45" s="237"/>
      <c r="G45" s="168" t="str">
        <f t="shared" si="2"/>
        <v/>
      </c>
      <c r="H45" s="169"/>
      <c r="I45" s="169"/>
      <c r="J45" s="169"/>
      <c r="K45" s="170" t="b">
        <v>0</v>
      </c>
      <c r="L45" s="170" t="b">
        <v>0</v>
      </c>
      <c r="M45" s="170" t="b">
        <v>0</v>
      </c>
      <c r="N45" s="171" t="s">
        <v>1070</v>
      </c>
      <c r="O45" s="172" t="b">
        <v>0</v>
      </c>
      <c r="P45" s="173" t="b">
        <v>0</v>
      </c>
      <c r="Q45" s="173" t="b">
        <v>0</v>
      </c>
      <c r="R45" s="173" t="b">
        <v>0</v>
      </c>
      <c r="S45" s="174" t="b">
        <v>0</v>
      </c>
      <c r="T45" s="175" t="b">
        <v>0</v>
      </c>
      <c r="U45" s="173" t="b">
        <v>0</v>
      </c>
      <c r="V45" s="171" t="s">
        <v>1070</v>
      </c>
      <c r="W45" s="172" t="b">
        <v>0</v>
      </c>
      <c r="X45" s="173" t="b">
        <v>0</v>
      </c>
      <c r="Y45" s="173" t="b">
        <v>0</v>
      </c>
      <c r="Z45" s="173" t="b">
        <v>0</v>
      </c>
      <c r="AA45" s="174" t="b">
        <v>0</v>
      </c>
      <c r="AB45" s="174" t="b">
        <v>0</v>
      </c>
      <c r="AC45" s="175" t="b">
        <v>0</v>
      </c>
      <c r="AD45" s="173" t="b">
        <v>0</v>
      </c>
      <c r="AE45" s="176" t="s">
        <v>1070</v>
      </c>
      <c r="AF45" s="171" t="s">
        <v>1070</v>
      </c>
      <c r="AG45" s="177">
        <f>IFERROR(__xludf.DUMMYFUNCTION("IF(
  ISNUMBER(AG44),
  MIN(MAX(
    AG44
    + MAX(
      ROUNDDOWN(($D45 - MAX(IFERROR(FILTER($D$24:$D44, AG$24:AG44 &lt;&gt; AF$6, AG$23:AG43 = AF$6), 0))) * (60 * 60 * 24) / AF$9) - ROUNDDOWN(($D44 - MAX(IFERROR(FILTER($D$23:$D43, AG$23:AG43 &lt;&gt; AF$6, AG$22:"&amp;"AG42 = AF$6), 0))) * (60 * 60 * 24) / 60),
      0
    )
    - COUNTIF(AF45, ""&lt;&gt;-""),
  0), AF$6),
  AF$6 - COUNTIF(AF45, ""&lt;&gt;-"")
)"),2.0)</f>
        <v>2</v>
      </c>
      <c r="AH45" s="173" t="b">
        <v>0</v>
      </c>
      <c r="AI45" s="173" t="b">
        <v>0</v>
      </c>
      <c r="AJ45" s="173" t="b">
        <v>0</v>
      </c>
      <c r="AK45" s="174" t="b">
        <v>0</v>
      </c>
      <c r="AL45" s="175" t="b">
        <v>0</v>
      </c>
      <c r="AM45" s="173" t="b">
        <v>0</v>
      </c>
      <c r="AN45" s="171" t="s">
        <v>1070</v>
      </c>
      <c r="AO45" s="173" t="b">
        <v>0</v>
      </c>
      <c r="AP45" s="173" t="b">
        <v>0</v>
      </c>
      <c r="AQ45" s="173" t="b">
        <v>0</v>
      </c>
      <c r="AR45" s="174" t="b">
        <v>0</v>
      </c>
      <c r="AS45" s="178" t="b">
        <v>0</v>
      </c>
      <c r="AT45" s="179" t="b">
        <v>0</v>
      </c>
      <c r="AU45" s="180" t="b">
        <v>0</v>
      </c>
      <c r="AV45" s="180" t="b">
        <v>0</v>
      </c>
      <c r="AW45" s="180" t="b">
        <v>0</v>
      </c>
      <c r="AX45" s="180" t="b">
        <v>0</v>
      </c>
      <c r="AY45" s="181" t="s">
        <v>1070</v>
      </c>
      <c r="AZ45" s="181" t="s">
        <v>1070</v>
      </c>
      <c r="BA45" s="184">
        <f>IFERROR(__xludf.DUMMYFUNCTION("IF(
  ISNUMBER(BA44),
  MIN(MAX(
    BA44
    + MAX(
      ROUNDDOWN((D45 - MAX(IFERROR(FILTER(D$24:D44, BA$24:BA44 &lt;&gt; AZ$6, BA$23:BA43 = AZ$6), 0))) * (60 * 60 * 24) / AZ$9) - ROUNDDOWN((D44 - MAX(IFERROR(FILTER(D$23:D43, BA$23:BA43 &lt;&gt; AZ$6, BA$22:BA42 ="&amp;" AZ$6), 0))) * (60 * 60 * 24) / AZ$9),
      0
    )
    - COUNTIF(AZ45, ""&lt;&gt;-""),
  0), AZ$6),
  AZ$6 - COUNTIF(AZ45, ""&lt;&gt;-"")
)"),2.0)</f>
        <v>2</v>
      </c>
      <c r="BB45" s="181" t="s">
        <v>1070</v>
      </c>
      <c r="BC45" s="183">
        <f>IFERROR(__xludf.DUMMYFUNCTION("IF(
  ISNUMBER(BC44),
  MIN(MAX(
    BC44
    + MAX(
      ROUNDDOWN(($D45 - MAX(IFERROR(FILTER($D$24:$D44, BC$24:BC44 &lt;&gt; BB$6, BC$23:BC43 = BB$6), 0))) * (60 * 60 * 24) / BB$9) - ROUNDDOWN(($D44 - MAX(IFERROR(FILTER($D$23:$D43, BC$23:BC43 &lt;&gt; BB$6, BC$22:"&amp;"BC42 = BB$6), 0))) * (60 * 60 * 24) / 60),
      0
    )
    - COUNTIF(BB45, ""&lt;&gt;-""),
  0), BB$6),
  BB$6 - COUNTIF(BB45, ""&lt;&gt;-"")
)"),2.0)</f>
        <v>2</v>
      </c>
      <c r="BD45" s="181" t="s">
        <v>1070</v>
      </c>
      <c r="BE45" s="178" t="b">
        <v>0</v>
      </c>
      <c r="BF45" s="180" t="b">
        <v>0</v>
      </c>
      <c r="BG45" s="180" t="b">
        <v>0</v>
      </c>
      <c r="BH45" s="180" t="b">
        <v>0</v>
      </c>
      <c r="BI45" s="180" t="b">
        <v>0</v>
      </c>
      <c r="BJ45" s="180" t="b">
        <v>0</v>
      </c>
      <c r="BK45" s="180" t="b">
        <v>0</v>
      </c>
      <c r="BL45" s="180" t="b">
        <v>0</v>
      </c>
      <c r="BM45" s="180" t="b">
        <v>0</v>
      </c>
      <c r="BN45" s="180" t="b">
        <v>0</v>
      </c>
      <c r="BO45" s="181" t="s">
        <v>1070</v>
      </c>
      <c r="BP45" s="181" t="s">
        <v>1070</v>
      </c>
      <c r="BQ45" s="181" t="s">
        <v>1070</v>
      </c>
      <c r="BR45" s="181" t="s">
        <v>1070</v>
      </c>
      <c r="BS45" s="181" t="s">
        <v>1070</v>
      </c>
      <c r="BT45" s="184">
        <f>IFERROR(__xludf.DUMMYFUNCTION("IF(
  ISNUMBER(BT44),
  MIN(MAX(
    BT44
    + MAX(
      ROUNDDOWN((D45 - MAX(IFERROR(FILTER(D$24:D44, BT$24:BT44 &lt;&gt; BS$6, BT$23:BT43 = BS$6), 0))) * (60 * 60 * 24) / BS$9) - ROUNDDOWN((D44 - MAX(IFERROR(FILTER(D$23:D43, BT$23:BT43 &lt;&gt; BS$6, BT$22:BT42 ="&amp;" BS$6), 0))) * (60 * 60 * 24) / BS$9),
      0
    )
    - COUNTIF(BS45, ""&lt;&gt;-""),
  0), BS$6),
  BS$6 - COUNTIF(BS45, ""&lt;&gt;-"")
)"),3.0)</f>
        <v>3</v>
      </c>
      <c r="BU45" s="181" t="s">
        <v>1070</v>
      </c>
      <c r="BV45" s="181" t="s">
        <v>1070</v>
      </c>
      <c r="BW45" s="184">
        <f>IFERROR(__xludf.DUMMYFUNCTION("IF(
  ISNUMBER(BW44),
  MIN(MAX(
    BW44
    + MAX(
      ROUNDDOWN((D45 - MAX(IFERROR(FILTER(D$24:D44, BW$24:BW44 &lt;&gt; BV$6, BW$23:BW43 = BV$6), 0))) * (60 * 60 * 24) / BV$9) - ROUNDDOWN((D44 - MAX(IFERROR(FILTER(D$23:D43, BW$23:BW43 &lt;&gt; BV$6, BW$22:BW42 ="&amp;" BV$6), 0))) * (60 * 60 * 24) / BV$9),
      0
    )
    - COUNTIF(BV45, ""&lt;&gt;-""),
  0), BV$6),
  BV$6 - COUNTIF(BV45, ""&lt;&gt;-"")
)"),2.0)</f>
        <v>2</v>
      </c>
      <c r="BX45" s="185" t="s">
        <v>1070</v>
      </c>
      <c r="BY45" s="178" t="b">
        <v>0</v>
      </c>
      <c r="BZ45" s="180" t="b">
        <v>0</v>
      </c>
      <c r="CA45" s="180" t="b">
        <v>0</v>
      </c>
      <c r="CB45" s="180" t="b">
        <v>0</v>
      </c>
      <c r="CC45" s="180" t="b">
        <v>0</v>
      </c>
      <c r="CD45" s="180" t="b">
        <v>0</v>
      </c>
      <c r="CE45" s="180" t="b">
        <v>0</v>
      </c>
      <c r="CF45" s="180" t="b">
        <v>0</v>
      </c>
      <c r="CG45" s="180" t="b">
        <v>0</v>
      </c>
      <c r="CH45" s="180" t="b">
        <v>0</v>
      </c>
      <c r="CI45" s="180" t="b">
        <v>0</v>
      </c>
      <c r="CJ45" s="180" t="b">
        <v>0</v>
      </c>
      <c r="CK45" s="180" t="b">
        <v>0</v>
      </c>
      <c r="CL45" s="180" t="b">
        <v>0</v>
      </c>
      <c r="CM45" s="181" t="s">
        <v>1070</v>
      </c>
      <c r="CN45" s="181" t="s">
        <v>1070</v>
      </c>
      <c r="CO45" s="181" t="s">
        <v>1070</v>
      </c>
      <c r="CP45" s="181" t="s">
        <v>1070</v>
      </c>
      <c r="CQ45" s="185" t="s">
        <v>1070</v>
      </c>
      <c r="CR45" s="180" t="b">
        <v>0</v>
      </c>
      <c r="CS45" s="186" t="str">
        <f t="shared" si="14"/>
        <v>◇◇◇</v>
      </c>
      <c r="CT45" s="178" t="b">
        <v>0</v>
      </c>
      <c r="CU45" s="180" t="b">
        <v>0</v>
      </c>
      <c r="CV45" s="180" t="b">
        <v>0</v>
      </c>
      <c r="CW45" s="180" t="b">
        <v>0</v>
      </c>
      <c r="CX45" s="180" t="b">
        <v>0</v>
      </c>
      <c r="CY45" s="180" t="b">
        <v>0</v>
      </c>
      <c r="CZ45" s="180" t="b">
        <v>0</v>
      </c>
      <c r="DA45" s="180" t="b">
        <v>0</v>
      </c>
      <c r="DB45" s="180" t="b">
        <v>0</v>
      </c>
      <c r="DC45" s="180" t="b">
        <v>0</v>
      </c>
      <c r="DD45" s="181" t="s">
        <v>1070</v>
      </c>
      <c r="DE45" s="181" t="s">
        <v>1070</v>
      </c>
      <c r="DF45" s="181" t="s">
        <v>1070</v>
      </c>
      <c r="DG45" s="185" t="s">
        <v>1070</v>
      </c>
      <c r="DH45" s="180" t="b">
        <v>0</v>
      </c>
      <c r="DI45" s="187" t="str">
        <f>IFERROR(__xludf.DUMMYFUNCTION("SWITCH(
  IF(
    ISTEXT(DI44),
    IF (
      FIND(""○"", DI44&amp;""○"") &gt; 3,
      3,
      FIND(""○"", DI44&amp;""○"")
      + MAX(
        ROUNDDOWN(($D45 - MAX(IFERROR(FILTER(D$24:D44, DI$24:DI44 &lt;&gt; ""●●●"", DI$23:DI43 = ""●●●""), 0))) * (60 * 60 * 24) / 20"&amp;") - ROUNDDOWN(($D44 - MAX(IFERROR(FILTER(D$23:D43, DI$23:DI43 &lt;&gt; ""●●●"", DI$22:DI42 = ""●●●""), 0))) * (60 * 60 * 24) / 20),
        0
      ) - 1
    ) - COUNTIFS(CU45, ""=TRUE"", CU44, ""&lt;&gt;TRUE"") - COUNTIF(CZ45, ""=TRUE"") - COUNTIF({DD45,DE45}, ""&lt;&gt;-"&amp;""") + COUNTIF(DH45, ""=TRUE""),
    3
  ),
  0, ""○○○"", 1, ""●○○"", 2, ""●●○"", 3, ""●●●"", 4, ""●●●"", ""○○○""
)"),"●●●")</f>
        <v>●●●</v>
      </c>
      <c r="DJ45" s="188" t="b">
        <v>0</v>
      </c>
      <c r="DK45" s="189" t="b">
        <v>0</v>
      </c>
      <c r="DL45" s="190" t="b">
        <v>0</v>
      </c>
      <c r="DM45" s="190" t="b">
        <v>0</v>
      </c>
      <c r="DN45" s="190" t="b">
        <v>0</v>
      </c>
      <c r="DO45" s="190" t="b">
        <v>0</v>
      </c>
      <c r="DP45" s="190" t="b">
        <v>0</v>
      </c>
      <c r="DQ45" s="191" t="b">
        <v>0</v>
      </c>
      <c r="DR45" s="192" t="b">
        <v>0</v>
      </c>
      <c r="DS45" s="191" t="b">
        <v>0</v>
      </c>
      <c r="DT45" s="192" t="b">
        <v>0</v>
      </c>
      <c r="DU45" s="191" t="b">
        <v>0</v>
      </c>
      <c r="DV45" s="193" t="s">
        <v>1070</v>
      </c>
      <c r="DW45" s="194" t="b">
        <v>0</v>
      </c>
      <c r="DX45" s="194" t="b">
        <v>0</v>
      </c>
      <c r="DY45" s="195" t="b">
        <v>0</v>
      </c>
      <c r="DZ45" s="196" t="b">
        <v>0</v>
      </c>
      <c r="EA45" s="195" t="b">
        <v>0</v>
      </c>
      <c r="EB45" s="197" t="b">
        <v>0</v>
      </c>
      <c r="EC45" s="197" t="b">
        <v>0</v>
      </c>
      <c r="ED45" s="212" t="b">
        <v>0</v>
      </c>
      <c r="EE45" s="199">
        <f>IFERROR(__xludf.DUMMYFUNCTION("IFERROR(
   PRODUCT(
     MAP(
       INDEX(TRANSPOSE(UNIQUE(TRANSPOSE(FILTER({IF($F45=""Physical"", K$10:ED$10, IF($F45=""Magic"", K$11:ED$11, K$12:ED$12));K$4:ED$4;K45:ED45}, K45:ED45=TRUE)))), 1, 0),
       INDEX(TRANSPOSE(UNIQUE(TRANSPOSE(FILTER({IF($"&amp;"F45=""Physical"", K$18:ED$18, IF($F45=""Magic"", K$19:ED$19, K$20:ED$20));K$4:ED$4;K45:ED45}, K45:ED45=TRUE)))), 1, 0),
       INDEX(TRANSPOSE(UNIQUE(TRANSPOSE(FILTER({K$5:ED$5;K$4:ED$4;K45:ED45}, K45:ED45=TRUE)))), 1, 0),
       INDEX(TRANSPOSE(UNIQUE(TR"&amp;"ANSPOSE(FILTER({K$17:ED$17;K$4:ED$4;K45:ED45}, K45:ED45=TRUE)))), 1, 0),
       LAMBDA(
         mitigation,
         enhance,
         assign,
         precondition,
         IF(
           REGEXMATCH(assign, ""RANGE_PARTY|SINGLE_ENEMY|RANGE_ENEMY""),
  "&amp;"         IF(
             OR(ARRAYFORMULA((IF(precondition="""", FALSE, REGEXMATCH(K$4:ED$4, precondition))) * (K45:ED45=TRUE))),
             IF(ISNUMBER(enhance), enhance, 1),
             IF(ISNUMBER(mitigation), mitigation, 1)
           ),
          "&amp;" 1
         )
       )
     )
   ),
   1
 )"),1.0)</f>
        <v>1</v>
      </c>
      <c r="EF45" s="200">
        <f>IFERROR(__xludf.DUMMYFUNCTION("PRODUCT(
   MAP(
     K$14:ED$14,
     K$13:ED$13,
     K45:ED45,
     LAMBDA(
       buff,
       target,
       check,
       IF(
         AND(check=TRUE, REGEXMATCH(target, ""RANGE_AFFECTED_ALL|RANGE_EFFECTED_ALL""), ISNUMBER(buff)),
         buff,
   "&amp;"      1
       )
     )
   )
 )"),1.0)</f>
        <v>1</v>
      </c>
      <c r="EG45" s="200">
        <f>IFERROR(__xludf.DUMMYFUNCTION("PRODUCT(
   MAP(
     K$14:ED$14,
     K$13:ED$13,
     K45:ED45,
     LAMBDA(
       buff,
       target,
       check,
       IF(
         AND(check=TRUE, REGEXMATCH(target, ""RANGE_AFFECTED_GCD|RANGE_EFFECTED_GCD""), ISNUMBER(buff)),
         buff,
   "&amp;"      1
       )
     )
   )
 )"),1.0)</f>
        <v>1</v>
      </c>
      <c r="EH45" s="200">
        <f>IFERROR(__xludf.DUMMYFUNCTION("PRODUCT(
   MAP(
     K$3:ED$3,
     K$14:ED$14,
     K$13:ED$13,
     K45:ED45,
     LAMBDA(
       job,
       buff,
       target,
       check,
       IF(
         AND(check=TRUE, REGEXMATCH(target, ""SELF_EFFECTED_ALL""), ISNUMBER(buff), job=""白魔道士"""&amp;"),
         buff,
         1
       )
     )
   )
 )"),1.0)</f>
        <v>1</v>
      </c>
      <c r="EI45" s="200">
        <f>IFERROR(__xludf.DUMMYFUNCTION("PRODUCT(
   MAP(
     K$3:ED$3,
     K$14:ED$14,
     K$13:ED$13,
     K45:ED45,
     LAMBDA(
       job,
       buff,
       target,
       check,
       IF(
         AND(check=TRUE, REGEXMATCH(target, ""SELF_EFFECTED_GCD""), ISNUMBER(buff), job=""白魔道士"""&amp;"),
         buff,
         1
       )
     )
   )
 )"),1.0)</f>
        <v>1</v>
      </c>
      <c r="EJ45" s="200">
        <f>IFERROR(__xludf.DUMMYFUNCTION("PRODUCT(
   MAP(
     K$3:ED$3,
     K$14:ED$14,
     K$13:ED$13,
     K45:ED45,
     LAMBDA(
       job,
       buff,
       target,
       check,
       IF(
         AND(check=TRUE, REGEXMATCH(target, ""SELF_EFFECTED_ALL""), ISNUMBER(buff), job=""占星術師"""&amp;"),
         buff,
         1
       )
     )
   )
 )"),1.0)</f>
        <v>1</v>
      </c>
      <c r="EK45" s="200">
        <f>IFERROR(__xludf.DUMMYFUNCTION("PRODUCT(
   MAP(
     K$3:ED$3,
     K$14:ED$14,
     K$13:ED$13,
     K45:ED45,
     LAMBDA(
       job,
       buff,
       target,
       check,
       IF(
         AND(check=TRUE, REGEXMATCH(target, ""SELF_EFFECTED_GCD""), ISNUMBER(buff), job=""占星術師"""&amp;"),
         buff,
         1
       )
     )
   )
 )"),1.0)</f>
        <v>1</v>
      </c>
      <c r="EL45" s="200">
        <f>IFERROR(__xludf.DUMMYFUNCTION("PRODUCT(
   MAP(
     K$3:ED$3,
     K$14:ED$14,
     K$13:ED$13,
     K45:ED45,
     LAMBDA(
       job,
       buff,
       target,
       check,
       IF(
         AND(check=TRUE, REGEXMATCH(target, ""SELF_EFFECTED_ALL""), ISNUMBER(buff), job=""学者""),"&amp;"
         buff,
         1
       )
     )
   )
 )"),1.0)</f>
        <v>1</v>
      </c>
      <c r="EM45" s="200">
        <f>IFERROR(__xludf.DUMMYFUNCTION("PRODUCT(
   MAP(
     K$3:ED$3,
     K$14:ED$14,
     K$13:ED$13,
     K45:ED45,
     LAMBDA(
       job,
       buff,
       target,
       check,
       IF(
         AND(check=TRUE, REGEXMATCH(target, ""SELF_EFFECTED_GCD""), ISNUMBER(buff), job=""学者""),"&amp;"
         buff,
         1
       )
     )
   )
 )"),1.0)</f>
        <v>1</v>
      </c>
      <c r="EN45" s="200">
        <f>IFERROR(__xludf.DUMMYFUNCTION("PRODUCT(
   MAP(
     K$3:ED$3,
     K$14:ED$14,
     K$13:ED$13,
     K45:ED45,
     LAMBDA(
       job,
       buff,
       target,
       check,
       IF(
         AND(check=TRUE, REGEXMATCH(target, ""SELF_EFFECTED_ALL""), ISNUMBER(buff), job=""賢者""),"&amp;"
         buff,
         1
       )
     )
   )
 )"),1.0)</f>
        <v>1</v>
      </c>
      <c r="EO45" s="200">
        <f>IFERROR(__xludf.DUMMYFUNCTION("PRODUCT(
   MAP(
     K$3:ED$3,
     K$14:ED$14,
     K$13:ED$13,
     K45:ED45,
     LAMBDA(
       job,
       buff,
       target,
       check,
       IF(
         AND(check=TRUE, REGEXMATCH(target, ""SELF_EFFECTED_GCD""), ISNUMBER(buff), job=""賢者""),"&amp;"
         buff,
         1
       )
     )
   )
 )"),1.0)</f>
        <v>1</v>
      </c>
      <c r="EP45" s="201">
        <f t="shared" si="3"/>
        <v>0</v>
      </c>
      <c r="EQ45" s="201">
        <f>IFERROR(__xludf.DUMMYFUNCTION("SUM(
   MAP(
     K$4:ED$4,
     K$3:ED$3,
     K$7:ED$7,
     K$15:ED$15,
     K$16:ED$16,
     K$21:ED$21,
     K$5:ED$5,
     K$17:ED$17,
     K45:ED45,
     LAMBDA(
       name,
       job,
       abillity,
       buff,
       barrier,
       enhance,"&amp;"
       assign,
       precondition,
       check,
       SWITCH(
         name,
         ""シェイクオフ"", IF(check=TRUE, buff + (0.02 * COUNTIF(ARRAYFORMULA((REGEXMATCH($K$4:$ED$4, ""スリル・オブ・バトル|ヴェンジェンス|原初の血気|ダムネーション"")) * (K45:ED45=TRUE)), 1)), 0),
         "&amp;"""インプロビゼーションフィニッシュ(踊りの激情0)"", IF(ISNUMBER(check), INDEX(Skill!$AJ:$AJ, MATCH(SUBSTITUTE(DV$4, 0, check), Skill!$C:$C, 0)), 0),
         IF(
           AND(check=TRUE, REGEXMATCH(assign, ""RANGE_PARTY"")),
           IF(
             OR(ARRAYFORMULA((IF(pr"&amp;"econdition="""", FALSE, REGEXMATCH($K$4:$ED$4, precondition))) * (K45:ED45=TRUE))),
             enhance,
             IF(barrier="""", buff, barrier)
           ),
           0
         )
       ) *
       SWITCH(
         job,
         ""ナイト"", EY$24,
 "&amp;"        ""戦士"", FD$24,
         ""踊り子"", ET$24,
         ""ピクトマンサー"", ET$24,
         ""白魔道士"", EF45 * EH45 * IF(abillity, 1, EG45 * EI45) * (Option!$D$22 * 0.81 / 100),
         ""占星術師"", EF45 * EJ45 * IF(abillity, 1, EG45 * EK45) * (Option!$D$23 * 0.81 "&amp;"/ 100),
         ""学者"", EF45 * EL45 * IF(abillity, 1, EG45 * EM45) * (Option!$D$24 * 0.81 / 100),
         ""賢者"", EF45 * EN45 * IF(abillity, 1, EG45 * EO45) * (Option!$D$25 * 0.81 / 100),
         1
       )
     )
   )
 )"),0.0)</f>
        <v>0</v>
      </c>
      <c r="ER45" s="202">
        <f t="shared" si="4"/>
        <v>0</v>
      </c>
      <c r="ES45" s="203">
        <f t="shared" si="5"/>
        <v>0</v>
      </c>
      <c r="ET45" s="231" t="str">
        <f>IFERROR(__xludf.DUMMYFUNCTION("IFS(
  EP45 &gt; $ET$24 + EQ45,
  SPARKLINE({ 1, 0 }, {""charttype"",""bar"";""max"", 1;""color1"",Option!$D$30;""color2"",Option!$D$30}),
  EP45 &lt; EQ45,
  SPARKLINE({EQ45 - EP45, $ET$24 - (EQ45 - EP45)}, {""charttype"",""bar"";""max"",$ET$24;""color1"",Opti"&amp;"on!$D$28;""color2"",Option!$D$29}),
  EP45 &gt;= EQ45,
  SPARKLINE({$ET$24 + EQ45 - EP45,EP45 - EQ45}, {""charttype"",""bar"";""max"",$ET$24;""color1"",Option!$D$29;""color2"",Option!$D$30})
)"),"")</f>
        <v/>
      </c>
      <c r="EU45" s="205">
        <f>IFERROR(__xludf.DUMMYFUNCTION("PRODUCT(
   MAP(
     IF($F45=""Physical"", K$10:ED$10, IF($F45=""Magic"", K$11:ED$11, K$12:ED$12)),
     IF($F45=""Physical"", K$18:ED$18, IF($F45=""Magic"", K$19:ED$19, K$20:ED$20)),
     K$3:ED$3,
     K$5:ED$5,
     K$17:ED$17,
     K45:ED45,
     LAM"&amp;"BDA(
       mitigation,
       enhance,
       job,
       assign,
       precondition,
       check,
       IF(
         OR(AND(check=TRUE, REGEXMATCH(assign, ""SELF""), job=""ナイト""), AND(check=Option!$E$13, REGEXMATCH(assign, ""SINGLE_PARTY""))),
      "&amp;"   IF(
           OR(ARRAYFORMULA((IF(precondition="""", FALSE, REGEXMATCH($K$4:$ED$4, precondition))) * (K45:ED45=TRUE))),
           enhance,
           mitigation
         ),
         1
       )
     )
   )
 ) * EE45"),1.0)</f>
        <v>1</v>
      </c>
      <c r="EV45" s="206">
        <f t="shared" si="6"/>
        <v>0</v>
      </c>
      <c r="EW45" s="205">
        <f>IFERROR(__xludf.DUMMYFUNCTION("PRODUCT(
   MAP(
     K$3:ED$3,
     K$14:ED$14,
     K$13:ED$13,
     K45:ED45,
     LAMBDA(
       job,
       buff,
       target,
       check,
       IF(
         OR(AND(check=TRUE, REGEXMATCH(target, ""SELF_AFFECTED_ALL""), job=""ナイト""), AND(check=O"&amp;"ption!$E$13, REGEXMATCH(target, ""SINGLE_AFFECTED_ALL""))),
         buff,
         1
       )
     )
   )
 )"),1.0)</f>
        <v>1</v>
      </c>
      <c r="EX45" s="206">
        <f>IFERROR(__xludf.DUMMYFUNCTION("SUM(
   MAP(
     K$3:ED$3,
     K$7:ED$7,
     K$15:ED$15,
     K$16:ED$16,
     K$21:ED$21,
     K$5:ED$5,
     K$17:ED$17,
     K45:ED45,
     LAMBDA(
       job,
       abillity,
       buff,
       barrier,
       enhance,
       assign,
       preco"&amp;"ndition,
       check,
       IF(
         OR(AND(check=TRUE, REGEXMATCH(assign, ""SELF""), job=""ナイト""), AND(check=Option!$E$13, REGEXMATCH(assign, ""SINGLE_PARTY""))),
         IF(
           OR(ARRAYFORMULA((IF(precondition="""", FALSE, REGEXMATCH($K$4"&amp;":$ED$4, precondition))) * (K45:ED45=TRUE))),
           enhance,
           IF(barrier="""", buff, barrier)
         ),
         0
       ) *
       SWITCH(
         job,
         ""暗黒騎士"", EY$24,
         ""白魔道士"", EF45 * EH45 * EW45 * IF(abillity, 1, EG"&amp;"45 * EI45) * (Option!$D$22 * 0.81 / 100),
         ""占星術師"", EF45 * EJ45 * EW45 * IF(abillity, 1, EG45 * EK45) * (Option!$D$23 * 0.81 / 100),
         ""学者"", EF45 * EL45 * EW45 * IF(abillity, 1, EG45 * EM45) * (Option!$D$24 * 0.81 / 100),
         ""賢者"""&amp;", EF45 * EN45 * EW45 * IF(abillity, 1, EG45 * EO45) * (Option!$D$25 * 0.81 / 100),
         1
       )
     )
   )
 ) + EQ45"),0.0)</f>
        <v>0</v>
      </c>
      <c r="EY45" s="232">
        <f t="shared" si="7"/>
        <v>0</v>
      </c>
      <c r="EZ45" s="205">
        <f>IFERROR(__xludf.DUMMYFUNCTION("PRODUCT(
   MAP(
     IF($F45=""Physical"", K$10:ED$10, IF($F45=""Magic"", K$11:ED$11, K$12:ED$12)),
     IF($F45=""Physical"", K$18:ED$18, IF($F45=""Magic"", K$19:ED$19, K$20:ED$20)),
     K$3:ED$3,
     K$5:ED$5,
     K$17:ED$17,
     K45:ED45,
     LAM"&amp;"BDA(
       mitigation,
       enhance,
       job,
       assign,
       precondition,
       check,
       IF(
         OR(AND(check=TRUE, REGEXMATCH(assign, ""SELF""), job=""戦士""), AND(check=Option!$F$13, REGEXMATCH(assign, ""SINGLE_PARTY""))),
       "&amp;"  IF(
           OR(ARRAYFORMULA((IF(precondition="""", FALSE, REGEXMATCH($K$4:$ED$4, precondition))) * (K45:ED45=TRUE))),
           enhance,
           mitigation
         ),
         1
       )
     )
   )
 ) * EE45"),1.0)</f>
        <v>1</v>
      </c>
      <c r="FA45" s="206">
        <f t="shared" si="8"/>
        <v>0</v>
      </c>
      <c r="FB45" s="205">
        <f>IFERROR(__xludf.DUMMYFUNCTION("PRODUCT(
   MAP(
     K$3:ED$3,
     K$14:ED$14,
     K$13:ED$13,
     K45:ED45,
     LAMBDA(
       job,
       buff,
       target,
       check,
       IF(
         OR(AND(check=TRUE, REGEXMATCH(target, ""SELF_AFFECTED_ALL""), job=""戦士""), AND(check=Op"&amp;"tion!$F$13, REGEXMATCH(target, ""SINGLE_AFFECTED_ALL""))),
         buff,
         1
       )
     )
   )
 )"),1.0)</f>
        <v>1</v>
      </c>
      <c r="FC45" s="206">
        <f>IFERROR(__xludf.DUMMYFUNCTION("SUM(
   MAP(
     K$3:ED$3,
     K$7:ED$7,
     K$15:ED$15,
     K$16:ED$16,
     K$21:ED$21,
     K$5:ED$5,
     K$17:ED$17,
     K45:ED45,
     LAMBDA(
       job,
       abillity,
       buff,
       barrier,
       enhance,
       assign,
       preco"&amp;"ndition,
       check,
       IF(
         OR(AND(check=TRUE, REGEXMATCH(assign, ""SELF""), job=""戦士""), AND(check=Option!$F$13, REGEXMATCH(assign, ""SINGLE_PARTY""))),
         IF(
           OR(ARRAYFORMULA((IF(precondition="""", FALSE, REGEXMATCH($K$4:"&amp;"$ED$4, precondition))) * (K45:ED45=TRUE))),
           enhance,
           IF(barrier="""", buff, barrier)
         ),
         0
       ) *
       SWITCH(
         job,
         ""暗黒騎士"", FD$24,
         ""白魔道士"", EF45 * EH45 * FB45 * IF(abillity, 1, EG4"&amp;"5 * EI45) * (Option!$D$22 * 0.81 / 100),
         ""占星術師"", EF45 * EJ45 * FFB45 * IF(abillity, 1, EG45 * EK45) * (Option!$D$23 * 0.81 / 100),
         ""学者"", EF45 * EL45 * FB45 * IF(abillity, 1, EG45 * EM45) * (Option!$D$24 * 0.81 / 100),
         ""賢者"""&amp;", EF45 * EN45 * FB45 * IF(abillity, 1, EG45 * EO45) * (Option!$D$25 * 0.81 / 100),
         1
       )
     )
   )
 ) + EQ45"),0.0)</f>
        <v>0</v>
      </c>
      <c r="FD45" s="206">
        <f t="shared" si="9"/>
        <v>0</v>
      </c>
      <c r="FE45" s="205">
        <f>IFERROR(__xludf.DUMMYFUNCTION("PRODUCT(
   MAP(
     IF($F45=""Physical"", K$10:ED$10, IF($F45=""Magic"", K$11:ED$11, K$12:ED$12)),
     IF($F45=""Physical"", K$18:ED$18, IF($F45=""Magic"", K$19:ED$19, K$20:ED$20)),
     K$3:ED$3,
     K$5:ED$5,
     K$17:ED$17,
     K45:ED45,
     LAM"&amp;"BDA(
       mitigation,
       enhance,
       job,
       assign,
       precondition,
       check,
       IF(
         OR(AND(check=TRUE, REGEXMATCH(assign, ""SELF""), job=""暗黒騎士""), AND(check=Option!$G$13, REGEXMATCH(assign, ""SINGLE_PARTY""))),
     "&amp;"    IF(
           OR(ARRAYFORMULA((IF(precondition="""", FALSE, REGEXMATCH($K$4:$ED$4, precondition))) * (K45:ED45=TRUE))),
           enhance,
           mitigation
         ),
         1
       )
     )
   )
 ) * EE45"),1.0)</f>
        <v>1</v>
      </c>
      <c r="FF45" s="206">
        <f t="shared" si="10"/>
        <v>0</v>
      </c>
      <c r="FG45" s="205">
        <f>IFERROR(__xludf.DUMMYFUNCTION("PRODUCT(
   MAP(
     K$3:ED$3,
     K$14:ED$14,
     K$13:ED$13,
     K45:ED45,
     LAMBDA(
       job,
       buff,
       target,
       check,
       IF(
         OR(AND(check=TRUE, REGEXMATCH(target, ""SELF_AFFECTED_ALL""), job=""暗黒騎士""), AND(check="&amp;"Option!$G$13, REGEXMATCH(target, ""SINGLE_AFFECTED_ALL""))),
         buff,
         1
       )
     )
   )
 )"),1.0)</f>
        <v>1</v>
      </c>
      <c r="FH45" s="206">
        <f>IFERROR(__xludf.DUMMYFUNCTION("SUM(
   MAP(
     K$3:ED$3,
     K$7:ED$7,
     K$15:ED$15,
     K$16:ED$16,
     K$21:ED$21,
     K$5:ED$5,
     K$17:ED$17,
     K45:ED45,
     LAMBDA(
       job,
       abillity,
       buff,
       barrier,
       enhance,
       assign,
       preco"&amp;"ndition,
       check,
       IF(
         OR(AND(check=TRUE, REGEXMATCH(assign, ""SELF""), job=""暗黒騎士""), AND(check=Option!$G$13, REGEXMATCH(assign, ""SINGLE_PARTY""))),
         IF(
           OR(ARRAYFORMULA((IF(precondition="""", FALSE, REGEXMATCH($K$"&amp;"4:$ED$4, precondition))) * (K45:ED45=TRUE))),
           enhance,
           IF(barrier="""", buff, barrier)
         ),
         0
       ) *
       SWITCH(
         job,
         ""暗黒騎士"", FI$24,
         ""白魔道士"", EF45 * EH45 * FG45 * IF(abillity, 1, E"&amp;"G45 * EI45) * (Option!$D$22 * 0.81 / 100),
         ""占星術師"", EF45 * EJ45 * FG45 * IF(abillity, 1, EG45 * EK45) * (Option!$D$23 * 0.81 / 100),
         ""学者"", EF45 * EL45 * FG45 * IF(abillity, 1, EG45 * EM45) * (Option!$D$24 * 0.81 / 100),
         ""賢者"&amp;""", EF45 * EN45 * FG45 * IF(abillity, 1, EG45 * EO45) * (Option!$D$25 * 0.81 / 100),
         1
       )
     )
   )
 ) + EQ45"),0.0)</f>
        <v>0</v>
      </c>
      <c r="FI45" s="206">
        <f t="shared" si="11"/>
        <v>0</v>
      </c>
      <c r="FJ45" s="205">
        <f>IFERROR(__xludf.DUMMYFUNCTION("PRODUCT(
   MAP(
     IF($F45=""Physical"", K$10:ED$10, IF($F45=""Magic"", K$11:ED$11, K$12:ED$12)),
     IF($F45=""Physical"", K$18:ED$18, IF($F45=""Magic"", K$19:ED$19, K$20:ED$20)),
     K$3:ED$3,
     K$5:ED$5,
     K$17:ED$17,
     K45:ED45,
     LAM"&amp;"BDA(
       mitigation,
       enhance,
       job,
       assign,
       precondition,
       check,
       IF(
         OR(AND(check=TRUE, REGEXMATCH(assign, ""SELF""), job=""ガンブレイカー""), AND(check=Option!$H$13, REGEXMATCH(assign, ""SINGLE_PARTY""))),
  "&amp;"       IF(
           OR(ARRAYFORMULA((IF(precondition="""", FALSE, REGEXMATCH($K$4:$ED$4, precondition))) * (K45:ED45=TRUE))),
           enhance,
           mitigation
         ),
         1
       )
     )
   )
 ) * EE45"),1.0)</f>
        <v>1</v>
      </c>
      <c r="FK45" s="206">
        <f t="shared" si="12"/>
        <v>0</v>
      </c>
      <c r="FL45" s="205">
        <f>IFERROR(__xludf.DUMMYFUNCTION("PRODUCT(
   MAP(
     K$3:ED$3,
     K$14:ED$14,
     K$13:ED$13,
     K45:ED45,
     LAMBDA(
       job,
       buff,
       target,
       check,
       IF(
         OR(AND(check=TRUE, REGEXMATCH(target, ""SELF_AFFECTED_ALL""), job=""ガンブレイカー""), AND(che"&amp;"ck=Option!$H$13, REGEXMATCH(target, ""SINGLE_AFFECTED_ALL""))),
         buff,
         1
       )
     )
   )
 )"),1.0)</f>
        <v>1</v>
      </c>
      <c r="FM45" s="206">
        <f>IFERROR(__xludf.DUMMYFUNCTION("SUM(
   MAP(
     K$3:ED$3,
     K$7:ED$7,
     K$15:ED$15,
     K$16:ED$16,
     K$21:ED$21,
     K$5:ED$5,
     K$17:ED$17,
     K45:ED45,
     LAMBDA(
       job,
       abillity,
       buff,
       barrier,
       enhance,
       assign,
       preco"&amp;"ndition,
       check,
       IF(
         OR(AND(check=TRUE, REGEXMATCH(assign, ""SELF""), job=""ガンブレイカー""), AND(check=Option!$H$13, REGEXMATCH(assign, ""SINGLE_PARTY""))),
         IF(
           OR(ARRAYFORMULA((IF(precondition="""", FALSE, REGEXMATCH("&amp;"$K$4:$ED$4, precondition))) * (K45:ED45=TRUE))),
           enhance,
           IF(barrier="""", buff, barrier)
         ),
         0
       ) *
       SWITCH(
         job,
         ""暗黒騎士"", FN$24,
         ""白魔道士"", EF45 * EH45 * FL45 * IF(abillity, 1"&amp;", EG45 * EI45) * (Option!$D$22 * 0.81 / 100),
         ""占星術師"", EF45 * EJ45 * FL45 * IF(abillity, 1, EG45 * EK45) * (Option!$D$23 * 0.81 / 100),
         ""学者"", EF45 * EL45 * FL45 * IF(abillity, 1, EG45 * EM45) * (Option!$D$24 * 0.81 / 100),
         """&amp;"賢者"", EF45 * EN45 * FL45 * IF(abillity, 1, EG45 * EO45) * (Option!$D$25 * 0.81 / 100),
         1
       )
     )
   )
 ) + EQ45"),0.0)</f>
        <v>0</v>
      </c>
      <c r="FN45" s="206">
        <f t="shared" si="13"/>
        <v>0</v>
      </c>
      <c r="FO45" s="213"/>
    </row>
    <row r="46">
      <c r="B46" s="229"/>
      <c r="C46" s="217"/>
      <c r="D46" s="236"/>
      <c r="E46" s="237"/>
      <c r="F46" s="167"/>
      <c r="G46" s="168" t="str">
        <f t="shared" si="2"/>
        <v/>
      </c>
      <c r="H46" s="169"/>
      <c r="I46" s="169"/>
      <c r="J46" s="169"/>
      <c r="K46" s="170" t="b">
        <v>0</v>
      </c>
      <c r="L46" s="170" t="b">
        <v>0</v>
      </c>
      <c r="M46" s="170" t="b">
        <v>0</v>
      </c>
      <c r="N46" s="171" t="s">
        <v>1070</v>
      </c>
      <c r="O46" s="172" t="b">
        <v>0</v>
      </c>
      <c r="P46" s="173" t="b">
        <v>0</v>
      </c>
      <c r="Q46" s="173" t="b">
        <v>0</v>
      </c>
      <c r="R46" s="173" t="b">
        <v>0</v>
      </c>
      <c r="S46" s="174" t="b">
        <v>0</v>
      </c>
      <c r="T46" s="175" t="b">
        <v>0</v>
      </c>
      <c r="U46" s="173" t="b">
        <v>0</v>
      </c>
      <c r="V46" s="171" t="s">
        <v>1070</v>
      </c>
      <c r="W46" s="172" t="b">
        <v>0</v>
      </c>
      <c r="X46" s="173" t="b">
        <v>0</v>
      </c>
      <c r="Y46" s="173" t="b">
        <v>0</v>
      </c>
      <c r="Z46" s="173" t="b">
        <v>0</v>
      </c>
      <c r="AA46" s="174" t="b">
        <v>0</v>
      </c>
      <c r="AB46" s="174" t="b">
        <v>0</v>
      </c>
      <c r="AC46" s="175" t="b">
        <v>0</v>
      </c>
      <c r="AD46" s="173" t="b">
        <v>0</v>
      </c>
      <c r="AE46" s="176" t="s">
        <v>1070</v>
      </c>
      <c r="AF46" s="171" t="s">
        <v>1070</v>
      </c>
      <c r="AG46" s="177">
        <f>IFERROR(__xludf.DUMMYFUNCTION("IF(
  ISNUMBER(AG45),
  MIN(MAX(
    AG45
    + MAX(
      ROUNDDOWN(($D46 - MAX(IFERROR(FILTER($D$24:$D45, AG$24:AG45 &lt;&gt; AF$6, AG$23:AG44 = AF$6), 0))) * (60 * 60 * 24) / AF$9) - ROUNDDOWN(($D45 - MAX(IFERROR(FILTER($D$23:$D44, AG$23:AG44 &lt;&gt; AF$6, AG$22:"&amp;"AG43 = AF$6), 0))) * (60 * 60 * 24) / 60),
      0
    )
    - COUNTIF(AF46, ""&lt;&gt;-""),
  0), AF$6),
  AF$6 - COUNTIF(AF46, ""&lt;&gt;-"")
)"),2.0)</f>
        <v>2</v>
      </c>
      <c r="AH46" s="173" t="b">
        <v>0</v>
      </c>
      <c r="AI46" s="173" t="b">
        <v>0</v>
      </c>
      <c r="AJ46" s="173" t="b">
        <v>0</v>
      </c>
      <c r="AK46" s="174" t="b">
        <v>0</v>
      </c>
      <c r="AL46" s="175" t="b">
        <v>0</v>
      </c>
      <c r="AM46" s="173" t="b">
        <v>0</v>
      </c>
      <c r="AN46" s="171" t="s">
        <v>1070</v>
      </c>
      <c r="AO46" s="173" t="b">
        <v>0</v>
      </c>
      <c r="AP46" s="173" t="b">
        <v>0</v>
      </c>
      <c r="AQ46" s="173" t="b">
        <v>0</v>
      </c>
      <c r="AR46" s="174" t="b">
        <v>0</v>
      </c>
      <c r="AS46" s="178" t="b">
        <v>0</v>
      </c>
      <c r="AT46" s="179" t="b">
        <v>0</v>
      </c>
      <c r="AU46" s="180" t="b">
        <v>0</v>
      </c>
      <c r="AV46" s="180" t="b">
        <v>0</v>
      </c>
      <c r="AW46" s="180" t="b">
        <v>0</v>
      </c>
      <c r="AX46" s="180" t="b">
        <v>0</v>
      </c>
      <c r="AY46" s="181" t="s">
        <v>1070</v>
      </c>
      <c r="AZ46" s="181" t="s">
        <v>1070</v>
      </c>
      <c r="BA46" s="184">
        <f>IFERROR(__xludf.DUMMYFUNCTION("IF(
  ISNUMBER(BA45),
  MIN(MAX(
    BA45
    + MAX(
      ROUNDDOWN((D46 - MAX(IFERROR(FILTER(D$24:D45, BA$24:BA45 &lt;&gt; AZ$6, BA$23:BA44 = AZ$6), 0))) * (60 * 60 * 24) / AZ$9) - ROUNDDOWN((D45 - MAX(IFERROR(FILTER(D$23:D44, BA$23:BA44 &lt;&gt; AZ$6, BA$22:BA43 ="&amp;" AZ$6), 0))) * (60 * 60 * 24) / AZ$9),
      0
    )
    - COUNTIF(AZ46, ""&lt;&gt;-""),
  0), AZ$6),
  AZ$6 - COUNTIF(AZ46, ""&lt;&gt;-"")
)"),2.0)</f>
        <v>2</v>
      </c>
      <c r="BB46" s="181" t="s">
        <v>1070</v>
      </c>
      <c r="BC46" s="183">
        <f>IFERROR(__xludf.DUMMYFUNCTION("IF(
  ISNUMBER(BC45),
  MIN(MAX(
    BC45
    + MAX(
      ROUNDDOWN(($D46 - MAX(IFERROR(FILTER($D$24:$D45, BC$24:BC45 &lt;&gt; BB$6, BC$23:BC44 = BB$6), 0))) * (60 * 60 * 24) / BB$9) - ROUNDDOWN(($D45 - MAX(IFERROR(FILTER($D$23:$D44, BC$23:BC44 &lt;&gt; BB$6, BC$22:"&amp;"BC43 = BB$6), 0))) * (60 * 60 * 24) / 60),
      0
    )
    - COUNTIF(BB46, ""&lt;&gt;-""),
  0), BB$6),
  BB$6 - COUNTIF(BB46, ""&lt;&gt;-"")
)"),2.0)</f>
        <v>2</v>
      </c>
      <c r="BD46" s="181" t="s">
        <v>1070</v>
      </c>
      <c r="BE46" s="178" t="b">
        <v>0</v>
      </c>
      <c r="BF46" s="180" t="b">
        <v>0</v>
      </c>
      <c r="BG46" s="180" t="b">
        <v>0</v>
      </c>
      <c r="BH46" s="180" t="b">
        <v>0</v>
      </c>
      <c r="BI46" s="180" t="b">
        <v>0</v>
      </c>
      <c r="BJ46" s="180" t="b">
        <v>0</v>
      </c>
      <c r="BK46" s="180" t="b">
        <v>0</v>
      </c>
      <c r="BL46" s="180" t="b">
        <v>0</v>
      </c>
      <c r="BM46" s="180" t="b">
        <v>0</v>
      </c>
      <c r="BN46" s="180" t="b">
        <v>0</v>
      </c>
      <c r="BO46" s="181" t="s">
        <v>1070</v>
      </c>
      <c r="BP46" s="181" t="s">
        <v>1070</v>
      </c>
      <c r="BQ46" s="181" t="s">
        <v>1070</v>
      </c>
      <c r="BR46" s="181" t="s">
        <v>1070</v>
      </c>
      <c r="BS46" s="181" t="s">
        <v>1070</v>
      </c>
      <c r="BT46" s="184">
        <f>IFERROR(__xludf.DUMMYFUNCTION("IF(
  ISNUMBER(BT45),
  MIN(MAX(
    BT45
    + MAX(
      ROUNDDOWN((D46 - MAX(IFERROR(FILTER(D$24:D45, BT$24:BT45 &lt;&gt; BS$6, BT$23:BT44 = BS$6), 0))) * (60 * 60 * 24) / BS$9) - ROUNDDOWN((D45 - MAX(IFERROR(FILTER(D$23:D44, BT$23:BT44 &lt;&gt; BS$6, BT$22:BT43 ="&amp;" BS$6), 0))) * (60 * 60 * 24) / BS$9),
      0
    )
    - COUNTIF(BS46, ""&lt;&gt;-""),
  0), BS$6),
  BS$6 - COUNTIF(BS46, ""&lt;&gt;-"")
)"),3.0)</f>
        <v>3</v>
      </c>
      <c r="BU46" s="181" t="s">
        <v>1070</v>
      </c>
      <c r="BV46" s="181" t="s">
        <v>1070</v>
      </c>
      <c r="BW46" s="184">
        <f>IFERROR(__xludf.DUMMYFUNCTION("IF(
  ISNUMBER(BW45),
  MIN(MAX(
    BW45
    + MAX(
      ROUNDDOWN((D46 - MAX(IFERROR(FILTER(D$24:D45, BW$24:BW45 &lt;&gt; BV$6, BW$23:BW44 = BV$6), 0))) * (60 * 60 * 24) / BV$9) - ROUNDDOWN((D45 - MAX(IFERROR(FILTER(D$23:D44, BW$23:BW44 &lt;&gt; BV$6, BW$22:BW43 ="&amp;" BV$6), 0))) * (60 * 60 * 24) / BV$9),
      0
    )
    - COUNTIF(BV46, ""&lt;&gt;-""),
  0), BV$6),
  BV$6 - COUNTIF(BV46, ""&lt;&gt;-"")
)"),2.0)</f>
        <v>2</v>
      </c>
      <c r="BX46" s="185" t="s">
        <v>1070</v>
      </c>
      <c r="BY46" s="178" t="b">
        <v>0</v>
      </c>
      <c r="BZ46" s="180" t="b">
        <v>0</v>
      </c>
      <c r="CA46" s="180" t="b">
        <v>0</v>
      </c>
      <c r="CB46" s="180" t="b">
        <v>0</v>
      </c>
      <c r="CC46" s="180" t="b">
        <v>0</v>
      </c>
      <c r="CD46" s="180" t="b">
        <v>0</v>
      </c>
      <c r="CE46" s="180" t="b">
        <v>0</v>
      </c>
      <c r="CF46" s="180" t="b">
        <v>0</v>
      </c>
      <c r="CG46" s="180" t="b">
        <v>0</v>
      </c>
      <c r="CH46" s="180" t="b">
        <v>0</v>
      </c>
      <c r="CI46" s="180" t="b">
        <v>0</v>
      </c>
      <c r="CJ46" s="180" t="b">
        <v>0</v>
      </c>
      <c r="CK46" s="180" t="b">
        <v>0</v>
      </c>
      <c r="CL46" s="180" t="b">
        <v>0</v>
      </c>
      <c r="CM46" s="181" t="s">
        <v>1070</v>
      </c>
      <c r="CN46" s="181" t="s">
        <v>1070</v>
      </c>
      <c r="CO46" s="181" t="s">
        <v>1070</v>
      </c>
      <c r="CP46" s="181" t="s">
        <v>1070</v>
      </c>
      <c r="CQ46" s="185" t="s">
        <v>1070</v>
      </c>
      <c r="CR46" s="180" t="b">
        <v>0</v>
      </c>
      <c r="CS46" s="186" t="str">
        <f t="shared" si="14"/>
        <v>◇◇◇</v>
      </c>
      <c r="CT46" s="178" t="b">
        <v>0</v>
      </c>
      <c r="CU46" s="180" t="b">
        <v>0</v>
      </c>
      <c r="CV46" s="180" t="b">
        <v>0</v>
      </c>
      <c r="CW46" s="180" t="b">
        <v>0</v>
      </c>
      <c r="CX46" s="180" t="b">
        <v>0</v>
      </c>
      <c r="CY46" s="180" t="b">
        <v>0</v>
      </c>
      <c r="CZ46" s="180" t="b">
        <v>0</v>
      </c>
      <c r="DA46" s="180" t="b">
        <v>0</v>
      </c>
      <c r="DB46" s="180" t="b">
        <v>0</v>
      </c>
      <c r="DC46" s="180" t="b">
        <v>0</v>
      </c>
      <c r="DD46" s="181" t="s">
        <v>1070</v>
      </c>
      <c r="DE46" s="181" t="s">
        <v>1070</v>
      </c>
      <c r="DF46" s="181" t="s">
        <v>1070</v>
      </c>
      <c r="DG46" s="185" t="s">
        <v>1070</v>
      </c>
      <c r="DH46" s="180" t="b">
        <v>0</v>
      </c>
      <c r="DI46" s="187" t="str">
        <f>IFERROR(__xludf.DUMMYFUNCTION("SWITCH(
  IF(
    ISTEXT(DI45),
    IF (
      FIND(""○"", DI45&amp;""○"") &gt; 3,
      3,
      FIND(""○"", DI45&amp;""○"")
      + MAX(
        ROUNDDOWN(($D46 - MAX(IFERROR(FILTER(D$24:D45, DI$24:DI45 &lt;&gt; ""●●●"", DI$23:DI44 = ""●●●""), 0))) * (60 * 60 * 24) / 20"&amp;") - ROUNDDOWN(($D45 - MAX(IFERROR(FILTER(D$23:D44, DI$23:DI44 &lt;&gt; ""●●●"", DI$22:DI43 = ""●●●""), 0))) * (60 * 60 * 24) / 20),
        0
      ) - 1
    ) - COUNTIFS(CU46, ""=TRUE"", CU45, ""&lt;&gt;TRUE"") - COUNTIF(CZ46, ""=TRUE"") - COUNTIF({DD46,DE46}, ""&lt;&gt;-"&amp;""") + COUNTIF(DH46, ""=TRUE""),
    3
  ),
  0, ""○○○"", 1, ""●○○"", 2, ""●●○"", 3, ""●●●"", 4, ""●●●"", ""○○○""
)"),"●●●")</f>
        <v>●●●</v>
      </c>
      <c r="DJ46" s="188" t="b">
        <v>0</v>
      </c>
      <c r="DK46" s="189" t="b">
        <v>0</v>
      </c>
      <c r="DL46" s="190" t="b">
        <v>0</v>
      </c>
      <c r="DM46" s="190" t="b">
        <v>0</v>
      </c>
      <c r="DN46" s="190" t="b">
        <v>0</v>
      </c>
      <c r="DO46" s="190" t="b">
        <v>0</v>
      </c>
      <c r="DP46" s="190" t="b">
        <v>0</v>
      </c>
      <c r="DQ46" s="191" t="b">
        <v>0</v>
      </c>
      <c r="DR46" s="192" t="b">
        <v>0</v>
      </c>
      <c r="DS46" s="191" t="b">
        <v>0</v>
      </c>
      <c r="DT46" s="192" t="b">
        <v>0</v>
      </c>
      <c r="DU46" s="191" t="b">
        <v>0</v>
      </c>
      <c r="DV46" s="193" t="s">
        <v>1070</v>
      </c>
      <c r="DW46" s="194" t="b">
        <v>0</v>
      </c>
      <c r="DX46" s="194" t="b">
        <v>0</v>
      </c>
      <c r="DY46" s="195" t="b">
        <v>0</v>
      </c>
      <c r="DZ46" s="196" t="b">
        <v>0</v>
      </c>
      <c r="EA46" s="195" t="b">
        <v>0</v>
      </c>
      <c r="EB46" s="197" t="b">
        <v>0</v>
      </c>
      <c r="EC46" s="197" t="b">
        <v>0</v>
      </c>
      <c r="ED46" s="212" t="b">
        <v>0</v>
      </c>
      <c r="EE46" s="199">
        <f>IFERROR(__xludf.DUMMYFUNCTION("IFERROR(
   PRODUCT(
     MAP(
       INDEX(TRANSPOSE(UNIQUE(TRANSPOSE(FILTER({IF($F46=""Physical"", K$10:ED$10, IF($F46=""Magic"", K$11:ED$11, K$12:ED$12));K$4:ED$4;K46:ED46}, K46:ED46=TRUE)))), 1, 0),
       INDEX(TRANSPOSE(UNIQUE(TRANSPOSE(FILTER({IF($"&amp;"F46=""Physical"", K$18:ED$18, IF($F46=""Magic"", K$19:ED$19, K$20:ED$20));K$4:ED$4;K46:ED46}, K46:ED46=TRUE)))), 1, 0),
       INDEX(TRANSPOSE(UNIQUE(TRANSPOSE(FILTER({K$5:ED$5;K$4:ED$4;K46:ED46}, K46:ED46=TRUE)))), 1, 0),
       INDEX(TRANSPOSE(UNIQUE(TR"&amp;"ANSPOSE(FILTER({K$17:ED$17;K$4:ED$4;K46:ED46}, K46:ED46=TRUE)))), 1, 0),
       LAMBDA(
         mitigation,
         enhance,
         assign,
         precondition,
         IF(
           REGEXMATCH(assign, ""RANGE_PARTY|SINGLE_ENEMY|RANGE_ENEMY""),
  "&amp;"         IF(
             OR(ARRAYFORMULA((IF(precondition="""", FALSE, REGEXMATCH(K$4:ED$4, precondition))) * (K46:ED46=TRUE))),
             IF(ISNUMBER(enhance), enhance, 1),
             IF(ISNUMBER(mitigation), mitigation, 1)
           ),
          "&amp;" 1
         )
       )
     )
   ),
   1
 )"),1.0)</f>
        <v>1</v>
      </c>
      <c r="EF46" s="200">
        <f>IFERROR(__xludf.DUMMYFUNCTION("PRODUCT(
   MAP(
     K$14:ED$14,
     K$13:ED$13,
     K46:ED46,
     LAMBDA(
       buff,
       target,
       check,
       IF(
         AND(check=TRUE, REGEXMATCH(target, ""RANGE_AFFECTED_ALL|RANGE_EFFECTED_ALL""), ISNUMBER(buff)),
         buff,
   "&amp;"      1
       )
     )
   )
 )"),1.0)</f>
        <v>1</v>
      </c>
      <c r="EG46" s="200">
        <f>IFERROR(__xludf.DUMMYFUNCTION("PRODUCT(
   MAP(
     K$14:ED$14,
     K$13:ED$13,
     K46:ED46,
     LAMBDA(
       buff,
       target,
       check,
       IF(
         AND(check=TRUE, REGEXMATCH(target, ""RANGE_AFFECTED_GCD|RANGE_EFFECTED_GCD""), ISNUMBER(buff)),
         buff,
   "&amp;"      1
       )
     )
   )
 )"),1.0)</f>
        <v>1</v>
      </c>
      <c r="EH46" s="200">
        <f>IFERROR(__xludf.DUMMYFUNCTION("PRODUCT(
   MAP(
     K$3:ED$3,
     K$14:ED$14,
     K$13:ED$13,
     K46:ED46,
     LAMBDA(
       job,
       buff,
       target,
       check,
       IF(
         AND(check=TRUE, REGEXMATCH(target, ""SELF_EFFECTED_ALL""), ISNUMBER(buff), job=""白魔道士"""&amp;"),
         buff,
         1
       )
     )
   )
 )"),1.0)</f>
        <v>1</v>
      </c>
      <c r="EI46" s="200">
        <f>IFERROR(__xludf.DUMMYFUNCTION("PRODUCT(
   MAP(
     K$3:ED$3,
     K$14:ED$14,
     K$13:ED$13,
     K46:ED46,
     LAMBDA(
       job,
       buff,
       target,
       check,
       IF(
         AND(check=TRUE, REGEXMATCH(target, ""SELF_EFFECTED_GCD""), ISNUMBER(buff), job=""白魔道士"""&amp;"),
         buff,
         1
       )
     )
   )
 )"),1.0)</f>
        <v>1</v>
      </c>
      <c r="EJ46" s="200">
        <f>IFERROR(__xludf.DUMMYFUNCTION("PRODUCT(
   MAP(
     K$3:ED$3,
     K$14:ED$14,
     K$13:ED$13,
     K46:ED46,
     LAMBDA(
       job,
       buff,
       target,
       check,
       IF(
         AND(check=TRUE, REGEXMATCH(target, ""SELF_EFFECTED_ALL""), ISNUMBER(buff), job=""占星術師"""&amp;"),
         buff,
         1
       )
     )
   )
 )"),1.0)</f>
        <v>1</v>
      </c>
      <c r="EK46" s="200">
        <f>IFERROR(__xludf.DUMMYFUNCTION("PRODUCT(
   MAP(
     K$3:ED$3,
     K$14:ED$14,
     K$13:ED$13,
     K46:ED46,
     LAMBDA(
       job,
       buff,
       target,
       check,
       IF(
         AND(check=TRUE, REGEXMATCH(target, ""SELF_EFFECTED_GCD""), ISNUMBER(buff), job=""占星術師"""&amp;"),
         buff,
         1
       )
     )
   )
 )"),1.0)</f>
        <v>1</v>
      </c>
      <c r="EL46" s="200">
        <f>IFERROR(__xludf.DUMMYFUNCTION("PRODUCT(
   MAP(
     K$3:ED$3,
     K$14:ED$14,
     K$13:ED$13,
     K46:ED46,
     LAMBDA(
       job,
       buff,
       target,
       check,
       IF(
         AND(check=TRUE, REGEXMATCH(target, ""SELF_EFFECTED_ALL""), ISNUMBER(buff), job=""学者""),"&amp;"
         buff,
         1
       )
     )
   )
 )"),1.0)</f>
        <v>1</v>
      </c>
      <c r="EM46" s="200">
        <f>IFERROR(__xludf.DUMMYFUNCTION("PRODUCT(
   MAP(
     K$3:ED$3,
     K$14:ED$14,
     K$13:ED$13,
     K46:ED46,
     LAMBDA(
       job,
       buff,
       target,
       check,
       IF(
         AND(check=TRUE, REGEXMATCH(target, ""SELF_EFFECTED_GCD""), ISNUMBER(buff), job=""学者""),"&amp;"
         buff,
         1
       )
     )
   )
 )"),1.0)</f>
        <v>1</v>
      </c>
      <c r="EN46" s="200">
        <f>IFERROR(__xludf.DUMMYFUNCTION("PRODUCT(
   MAP(
     K$3:ED$3,
     K$14:ED$14,
     K$13:ED$13,
     K46:ED46,
     LAMBDA(
       job,
       buff,
       target,
       check,
       IF(
         AND(check=TRUE, REGEXMATCH(target, ""SELF_EFFECTED_ALL""), ISNUMBER(buff), job=""賢者""),"&amp;"
         buff,
         1
       )
     )
   )
 )"),1.0)</f>
        <v>1</v>
      </c>
      <c r="EO46" s="200">
        <f>IFERROR(__xludf.DUMMYFUNCTION("PRODUCT(
   MAP(
     K$3:ED$3,
     K$14:ED$14,
     K$13:ED$13,
     K46:ED46,
     LAMBDA(
       job,
       buff,
       target,
       check,
       IF(
         AND(check=TRUE, REGEXMATCH(target, ""SELF_EFFECTED_GCD""), ISNUMBER(buff), job=""賢者""),"&amp;"
         buff,
         1
       )
     )
   )
 )"),1.0)</f>
        <v>1</v>
      </c>
      <c r="EP46" s="201">
        <f t="shared" si="3"/>
        <v>0</v>
      </c>
      <c r="EQ46" s="201">
        <f>IFERROR(__xludf.DUMMYFUNCTION("SUM(
   MAP(
     K$4:ED$4,
     K$3:ED$3,
     K$7:ED$7,
     K$15:ED$15,
     K$16:ED$16,
     K$21:ED$21,
     K$5:ED$5,
     K$17:ED$17,
     K46:ED46,
     LAMBDA(
       name,
       job,
       abillity,
       buff,
       barrier,
       enhance,"&amp;"
       assign,
       precondition,
       check,
       SWITCH(
         name,
         ""シェイクオフ"", IF(check=TRUE, buff + (0.02 * COUNTIF(ARRAYFORMULA((REGEXMATCH($K$4:$ED$4, ""スリル・オブ・バトル|ヴェンジェンス|原初の血気|ダムネーション"")) * (K46:ED46=TRUE)), 1)), 0),
         "&amp;"""インプロビゼーションフィニッシュ(踊りの激情0)"", IF(ISNUMBER(check), INDEX(Skill!$AJ:$AJ, MATCH(SUBSTITUTE(DV$4, 0, check), Skill!$C:$C, 0)), 0),
         IF(
           AND(check=TRUE, REGEXMATCH(assign, ""RANGE_PARTY"")),
           IF(
             OR(ARRAYFORMULA((IF(pr"&amp;"econdition="""", FALSE, REGEXMATCH($K$4:$ED$4, precondition))) * (K46:ED46=TRUE))),
             enhance,
             IF(barrier="""", buff, barrier)
           ),
           0
         )
       ) *
       SWITCH(
         job,
         ""ナイト"", EY$24,
 "&amp;"        ""戦士"", FD$24,
         ""踊り子"", ET$24,
         ""ピクトマンサー"", ET$24,
         ""白魔道士"", EF46 * EH46 * IF(abillity, 1, EG46 * EI46) * (Option!$D$22 * 0.81 / 100),
         ""占星術師"", EF46 * EJ46 * IF(abillity, 1, EG46 * EK46) * (Option!$D$23 * 0.81 "&amp;"/ 100),
         ""学者"", EF46 * EL46 * IF(abillity, 1, EG46 * EM46) * (Option!$D$24 * 0.81 / 100),
         ""賢者"", EF46 * EN46 * IF(abillity, 1, EG46 * EO46) * (Option!$D$25 * 0.81 / 100),
         1
       )
     )
   )
 )"),0.0)</f>
        <v>0</v>
      </c>
      <c r="ER46" s="202">
        <f t="shared" si="4"/>
        <v>0</v>
      </c>
      <c r="ES46" s="203">
        <f t="shared" si="5"/>
        <v>0</v>
      </c>
      <c r="ET46" s="231" t="str">
        <f>IFERROR(__xludf.DUMMYFUNCTION("IFS(
  EP46 &gt; $ET$24 + EQ46,
  SPARKLINE({ 1, 0 }, {""charttype"",""bar"";""max"", 1;""color1"",Option!$D$30;""color2"",Option!$D$30}),
  EP46 &lt; EQ46,
  SPARKLINE({EQ46 - EP46, $ET$24 - (EQ46 - EP46)}, {""charttype"",""bar"";""max"",$ET$24;""color1"",Opti"&amp;"on!$D$28;""color2"",Option!$D$29}),
  EP46 &gt;= EQ46,
  SPARKLINE({$ET$24 + EQ46 - EP46,EP46 - EQ46}, {""charttype"",""bar"";""max"",$ET$24;""color1"",Option!$D$29;""color2"",Option!$D$30})
)"),"")</f>
        <v/>
      </c>
      <c r="EU46" s="205">
        <f>IFERROR(__xludf.DUMMYFUNCTION("PRODUCT(
   MAP(
     IF($F46=""Physical"", K$10:ED$10, IF($F46=""Magic"", K$11:ED$11, K$12:ED$12)),
     IF($F46=""Physical"", K$18:ED$18, IF($F46=""Magic"", K$19:ED$19, K$20:ED$20)),
     K$3:ED$3,
     K$5:ED$5,
     K$17:ED$17,
     K46:ED46,
     LAM"&amp;"BDA(
       mitigation,
       enhance,
       job,
       assign,
       precondition,
       check,
       IF(
         OR(AND(check=TRUE, REGEXMATCH(assign, ""SELF""), job=""ナイト""), AND(check=Option!$E$13, REGEXMATCH(assign, ""SINGLE_PARTY""))),
      "&amp;"   IF(
           OR(ARRAYFORMULA((IF(precondition="""", FALSE, REGEXMATCH($K$4:$ED$4, precondition))) * (K46:ED46=TRUE))),
           enhance,
           mitigation
         ),
         1
       )
     )
   )
 ) * EE46"),1.0)</f>
        <v>1</v>
      </c>
      <c r="EV46" s="206">
        <f t="shared" si="6"/>
        <v>0</v>
      </c>
      <c r="EW46" s="205">
        <f>IFERROR(__xludf.DUMMYFUNCTION("PRODUCT(
   MAP(
     K$3:ED$3,
     K$14:ED$14,
     K$13:ED$13,
     K46:ED46,
     LAMBDA(
       job,
       buff,
       target,
       check,
       IF(
         OR(AND(check=TRUE, REGEXMATCH(target, ""SELF_AFFECTED_ALL""), job=""ナイト""), AND(check=O"&amp;"ption!$E$13, REGEXMATCH(target, ""SINGLE_AFFECTED_ALL""))),
         buff,
         1
       )
     )
   )
 )"),1.0)</f>
        <v>1</v>
      </c>
      <c r="EX46" s="206">
        <f>IFERROR(__xludf.DUMMYFUNCTION("SUM(
   MAP(
     K$3:ED$3,
     K$7:ED$7,
     K$15:ED$15,
     K$16:ED$16,
     K$21:ED$21,
     K$5:ED$5,
     K$17:ED$17,
     K46:ED46,
     LAMBDA(
       job,
       abillity,
       buff,
       barrier,
       enhance,
       assign,
       preco"&amp;"ndition,
       check,
       IF(
         OR(AND(check=TRUE, REGEXMATCH(assign, ""SELF""), job=""ナイト""), AND(check=Option!$E$13, REGEXMATCH(assign, ""SINGLE_PARTY""))),
         IF(
           OR(ARRAYFORMULA((IF(precondition="""", FALSE, REGEXMATCH($K$4"&amp;":$ED$4, precondition))) * (K46:ED46=TRUE))),
           enhance,
           IF(barrier="""", buff, barrier)
         ),
         0
       ) *
       SWITCH(
         job,
         ""暗黒騎士"", EY$24,
         ""白魔道士"", EF46 * EH46 * EW46 * IF(abillity, 1, EG"&amp;"46 * EI46) * (Option!$D$22 * 0.81 / 100),
         ""占星術師"", EF46 * EJ46 * EW46 * IF(abillity, 1, EG46 * EK46) * (Option!$D$23 * 0.81 / 100),
         ""学者"", EF46 * EL46 * EW46 * IF(abillity, 1, EG46 * EM46) * (Option!$D$24 * 0.81 / 100),
         ""賢者"""&amp;", EF46 * EN46 * EW46 * IF(abillity, 1, EG46 * EO46) * (Option!$D$25 * 0.81 / 100),
         1
       )
     )
   )
 ) + EQ46"),0.0)</f>
        <v>0</v>
      </c>
      <c r="EY46" s="232">
        <f t="shared" si="7"/>
        <v>0</v>
      </c>
      <c r="EZ46" s="205">
        <f>IFERROR(__xludf.DUMMYFUNCTION("PRODUCT(
   MAP(
     IF($F46=""Physical"", K$10:ED$10, IF($F46=""Magic"", K$11:ED$11, K$12:ED$12)),
     IF($F46=""Physical"", K$18:ED$18, IF($F46=""Magic"", K$19:ED$19, K$20:ED$20)),
     K$3:ED$3,
     K$5:ED$5,
     K$17:ED$17,
     K46:ED46,
     LAM"&amp;"BDA(
       mitigation,
       enhance,
       job,
       assign,
       precondition,
       check,
       IF(
         OR(AND(check=TRUE, REGEXMATCH(assign, ""SELF""), job=""戦士""), AND(check=Option!$F$13, REGEXMATCH(assign, ""SINGLE_PARTY""))),
       "&amp;"  IF(
           OR(ARRAYFORMULA((IF(precondition="""", FALSE, REGEXMATCH($K$4:$ED$4, precondition))) * (K46:ED46=TRUE))),
           enhance,
           mitigation
         ),
         1
       )
     )
   )
 ) * EE46"),1.0)</f>
        <v>1</v>
      </c>
      <c r="FA46" s="206">
        <f t="shared" si="8"/>
        <v>0</v>
      </c>
      <c r="FB46" s="205">
        <f>IFERROR(__xludf.DUMMYFUNCTION("PRODUCT(
   MAP(
     K$3:ED$3,
     K$14:ED$14,
     K$13:ED$13,
     K46:ED46,
     LAMBDA(
       job,
       buff,
       target,
       check,
       IF(
         OR(AND(check=TRUE, REGEXMATCH(target, ""SELF_AFFECTED_ALL""), job=""戦士""), AND(check=Op"&amp;"tion!$F$13, REGEXMATCH(target, ""SINGLE_AFFECTED_ALL""))),
         buff,
         1
       )
     )
   )
 )"),1.0)</f>
        <v>1</v>
      </c>
      <c r="FC46" s="206">
        <f>IFERROR(__xludf.DUMMYFUNCTION("SUM(
   MAP(
     K$3:ED$3,
     K$7:ED$7,
     K$15:ED$15,
     K$16:ED$16,
     K$21:ED$21,
     K$5:ED$5,
     K$17:ED$17,
     K46:ED46,
     LAMBDA(
       job,
       abillity,
       buff,
       barrier,
       enhance,
       assign,
       preco"&amp;"ndition,
       check,
       IF(
         OR(AND(check=TRUE, REGEXMATCH(assign, ""SELF""), job=""戦士""), AND(check=Option!$F$13, REGEXMATCH(assign, ""SINGLE_PARTY""))),
         IF(
           OR(ARRAYFORMULA((IF(precondition="""", FALSE, REGEXMATCH($K$4:"&amp;"$ED$4, precondition))) * (K46:ED46=TRUE))),
           enhance,
           IF(barrier="""", buff, barrier)
         ),
         0
       ) *
       SWITCH(
         job,
         ""暗黒騎士"", FD$24,
         ""白魔道士"", EF46 * EH46 * FB46 * IF(abillity, 1, EG4"&amp;"6 * EI46) * (Option!$D$22 * 0.81 / 100),
         ""占星術師"", EF46 * EJ46 * FFB46 * IF(abillity, 1, EG46 * EK46) * (Option!$D$23 * 0.81 / 100),
         ""学者"", EF46 * EL46 * FB46 * IF(abillity, 1, EG46 * EM46) * (Option!$D$24 * 0.81 / 100),
         ""賢者"""&amp;", EF46 * EN46 * FB46 * IF(abillity, 1, EG46 * EO46) * (Option!$D$25 * 0.81 / 100),
         1
       )
     )
   )
 ) + EQ46"),0.0)</f>
        <v>0</v>
      </c>
      <c r="FD46" s="206">
        <f t="shared" si="9"/>
        <v>0</v>
      </c>
      <c r="FE46" s="205">
        <f>IFERROR(__xludf.DUMMYFUNCTION("PRODUCT(
   MAP(
     IF($F46=""Physical"", K$10:ED$10, IF($F46=""Magic"", K$11:ED$11, K$12:ED$12)),
     IF($F46=""Physical"", K$18:ED$18, IF($F46=""Magic"", K$19:ED$19, K$20:ED$20)),
     K$3:ED$3,
     K$5:ED$5,
     K$17:ED$17,
     K46:ED46,
     LAM"&amp;"BDA(
       mitigation,
       enhance,
       job,
       assign,
       precondition,
       check,
       IF(
         OR(AND(check=TRUE, REGEXMATCH(assign, ""SELF""), job=""暗黒騎士""), AND(check=Option!$G$13, REGEXMATCH(assign, ""SINGLE_PARTY""))),
     "&amp;"    IF(
           OR(ARRAYFORMULA((IF(precondition="""", FALSE, REGEXMATCH($K$4:$ED$4, precondition))) * (K46:ED46=TRUE))),
           enhance,
           mitigation
         ),
         1
       )
     )
   )
 ) * EE46"),1.0)</f>
        <v>1</v>
      </c>
      <c r="FF46" s="206">
        <f t="shared" si="10"/>
        <v>0</v>
      </c>
      <c r="FG46" s="205">
        <f>IFERROR(__xludf.DUMMYFUNCTION("PRODUCT(
   MAP(
     K$3:ED$3,
     K$14:ED$14,
     K$13:ED$13,
     K46:ED46,
     LAMBDA(
       job,
       buff,
       target,
       check,
       IF(
         OR(AND(check=TRUE, REGEXMATCH(target, ""SELF_AFFECTED_ALL""), job=""暗黒騎士""), AND(check="&amp;"Option!$G$13, REGEXMATCH(target, ""SINGLE_AFFECTED_ALL""))),
         buff,
         1
       )
     )
   )
 )"),1.0)</f>
        <v>1</v>
      </c>
      <c r="FH46" s="206">
        <f>IFERROR(__xludf.DUMMYFUNCTION("SUM(
   MAP(
     K$3:ED$3,
     K$7:ED$7,
     K$15:ED$15,
     K$16:ED$16,
     K$21:ED$21,
     K$5:ED$5,
     K$17:ED$17,
     K46:ED46,
     LAMBDA(
       job,
       abillity,
       buff,
       barrier,
       enhance,
       assign,
       preco"&amp;"ndition,
       check,
       IF(
         OR(AND(check=TRUE, REGEXMATCH(assign, ""SELF""), job=""暗黒騎士""), AND(check=Option!$G$13, REGEXMATCH(assign, ""SINGLE_PARTY""))),
         IF(
           OR(ARRAYFORMULA((IF(precondition="""", FALSE, REGEXMATCH($K$"&amp;"4:$ED$4, precondition))) * (K46:ED46=TRUE))),
           enhance,
           IF(barrier="""", buff, barrier)
         ),
         0
       ) *
       SWITCH(
         job,
         ""暗黒騎士"", FI$24,
         ""白魔道士"", EF46 * EH46 * FG46 * IF(abillity, 1, E"&amp;"G46 * EI46) * (Option!$D$22 * 0.81 / 100),
         ""占星術師"", EF46 * EJ46 * FG46 * IF(abillity, 1, EG46 * EK46) * (Option!$D$23 * 0.81 / 100),
         ""学者"", EF46 * EL46 * FG46 * IF(abillity, 1, EG46 * EM46) * (Option!$D$24 * 0.81 / 100),
         ""賢者"&amp;""", EF46 * EN46 * FG46 * IF(abillity, 1, EG46 * EO46) * (Option!$D$25 * 0.81 / 100),
         1
       )
     )
   )
 ) + EQ46"),0.0)</f>
        <v>0</v>
      </c>
      <c r="FI46" s="206">
        <f t="shared" si="11"/>
        <v>0</v>
      </c>
      <c r="FJ46" s="205">
        <f>IFERROR(__xludf.DUMMYFUNCTION("PRODUCT(
   MAP(
     IF($F46=""Physical"", K$10:ED$10, IF($F46=""Magic"", K$11:ED$11, K$12:ED$12)),
     IF($F46=""Physical"", K$18:ED$18, IF($F46=""Magic"", K$19:ED$19, K$20:ED$20)),
     K$3:ED$3,
     K$5:ED$5,
     K$17:ED$17,
     K46:ED46,
     LAM"&amp;"BDA(
       mitigation,
       enhance,
       job,
       assign,
       precondition,
       check,
       IF(
         OR(AND(check=TRUE, REGEXMATCH(assign, ""SELF""), job=""ガンブレイカー""), AND(check=Option!$H$13, REGEXMATCH(assign, ""SINGLE_PARTY""))),
  "&amp;"       IF(
           OR(ARRAYFORMULA((IF(precondition="""", FALSE, REGEXMATCH($K$4:$ED$4, precondition))) * (K46:ED46=TRUE))),
           enhance,
           mitigation
         ),
         1
       )
     )
   )
 ) * EE46"),1.0)</f>
        <v>1</v>
      </c>
      <c r="FK46" s="206">
        <f t="shared" si="12"/>
        <v>0</v>
      </c>
      <c r="FL46" s="205">
        <f>IFERROR(__xludf.DUMMYFUNCTION("PRODUCT(
   MAP(
     K$3:ED$3,
     K$14:ED$14,
     K$13:ED$13,
     K46:ED46,
     LAMBDA(
       job,
       buff,
       target,
       check,
       IF(
         OR(AND(check=TRUE, REGEXMATCH(target, ""SELF_AFFECTED_ALL""), job=""ガンブレイカー""), AND(che"&amp;"ck=Option!$H$13, REGEXMATCH(target, ""SINGLE_AFFECTED_ALL""))),
         buff,
         1
       )
     )
   )
 )"),1.0)</f>
        <v>1</v>
      </c>
      <c r="FM46" s="206">
        <f>IFERROR(__xludf.DUMMYFUNCTION("SUM(
   MAP(
     K$3:ED$3,
     K$7:ED$7,
     K$15:ED$15,
     K$16:ED$16,
     K$21:ED$21,
     K$5:ED$5,
     K$17:ED$17,
     K46:ED46,
     LAMBDA(
       job,
       abillity,
       buff,
       barrier,
       enhance,
       assign,
       preco"&amp;"ndition,
       check,
       IF(
         OR(AND(check=TRUE, REGEXMATCH(assign, ""SELF""), job=""ガンブレイカー""), AND(check=Option!$H$13, REGEXMATCH(assign, ""SINGLE_PARTY""))),
         IF(
           OR(ARRAYFORMULA((IF(precondition="""", FALSE, REGEXMATCH("&amp;"$K$4:$ED$4, precondition))) * (K46:ED46=TRUE))),
           enhance,
           IF(barrier="""", buff, barrier)
         ),
         0
       ) *
       SWITCH(
         job,
         ""暗黒騎士"", FN$24,
         ""白魔道士"", EF46 * EH46 * FL46 * IF(abillity, 1"&amp;", EG46 * EI46) * (Option!$D$22 * 0.81 / 100),
         ""占星術師"", EF46 * EJ46 * FL46 * IF(abillity, 1, EG46 * EK46) * (Option!$D$23 * 0.81 / 100),
         ""学者"", EF46 * EL46 * FL46 * IF(abillity, 1, EG46 * EM46) * (Option!$D$24 * 0.81 / 100),
         """&amp;"賢者"", EF46 * EN46 * FL46 * IF(abillity, 1, EG46 * EO46) * (Option!$D$25 * 0.81 / 100),
         1
       )
     )
   )
 ) + EQ46"),0.0)</f>
        <v>0</v>
      </c>
      <c r="FN46" s="206">
        <f t="shared" si="13"/>
        <v>0</v>
      </c>
      <c r="FO46" s="213"/>
    </row>
    <row r="47">
      <c r="B47" s="229"/>
      <c r="C47" s="217"/>
      <c r="D47" s="236"/>
      <c r="E47" s="238"/>
      <c r="F47" s="167"/>
      <c r="G47" s="168" t="str">
        <f t="shared" si="2"/>
        <v/>
      </c>
      <c r="H47" s="169"/>
      <c r="I47" s="169"/>
      <c r="J47" s="169"/>
      <c r="K47" s="170" t="b">
        <v>0</v>
      </c>
      <c r="L47" s="170" t="b">
        <v>0</v>
      </c>
      <c r="M47" s="170" t="b">
        <v>0</v>
      </c>
      <c r="N47" s="171" t="s">
        <v>1070</v>
      </c>
      <c r="O47" s="172" t="b">
        <v>0</v>
      </c>
      <c r="P47" s="173" t="b">
        <v>0</v>
      </c>
      <c r="Q47" s="173" t="b">
        <v>0</v>
      </c>
      <c r="R47" s="173" t="b">
        <v>0</v>
      </c>
      <c r="S47" s="174" t="b">
        <v>0</v>
      </c>
      <c r="T47" s="175" t="b">
        <v>0</v>
      </c>
      <c r="U47" s="173" t="b">
        <v>0</v>
      </c>
      <c r="V47" s="171" t="s">
        <v>1070</v>
      </c>
      <c r="W47" s="172" t="b">
        <v>0</v>
      </c>
      <c r="X47" s="173" t="b">
        <v>0</v>
      </c>
      <c r="Y47" s="173" t="b">
        <v>0</v>
      </c>
      <c r="Z47" s="173" t="b">
        <v>0</v>
      </c>
      <c r="AA47" s="174" t="b">
        <v>0</v>
      </c>
      <c r="AB47" s="174" t="b">
        <v>0</v>
      </c>
      <c r="AC47" s="175" t="b">
        <v>0</v>
      </c>
      <c r="AD47" s="173" t="b">
        <v>0</v>
      </c>
      <c r="AE47" s="176" t="s">
        <v>1070</v>
      </c>
      <c r="AF47" s="171" t="s">
        <v>1070</v>
      </c>
      <c r="AG47" s="177">
        <f>IFERROR(__xludf.DUMMYFUNCTION("IF(
  ISNUMBER(AG46),
  MIN(MAX(
    AG46
    + MAX(
      ROUNDDOWN(($D47 - MAX(IFERROR(FILTER($D$24:$D46, AG$24:AG46 &lt;&gt; AF$6, AG$23:AG45 = AF$6), 0))) * (60 * 60 * 24) / AF$9) - ROUNDDOWN(($D46 - MAX(IFERROR(FILTER($D$23:$D45, AG$23:AG45 &lt;&gt; AF$6, AG$22:"&amp;"AG44 = AF$6), 0))) * (60 * 60 * 24) / 60),
      0
    )
    - COUNTIF(AF47, ""&lt;&gt;-""),
  0), AF$6),
  AF$6 - COUNTIF(AF47, ""&lt;&gt;-"")
)"),2.0)</f>
        <v>2</v>
      </c>
      <c r="AH47" s="173" t="b">
        <v>0</v>
      </c>
      <c r="AI47" s="173" t="b">
        <v>0</v>
      </c>
      <c r="AJ47" s="173" t="b">
        <v>0</v>
      </c>
      <c r="AK47" s="174" t="b">
        <v>0</v>
      </c>
      <c r="AL47" s="175" t="b">
        <v>0</v>
      </c>
      <c r="AM47" s="173" t="b">
        <v>0</v>
      </c>
      <c r="AN47" s="171" t="s">
        <v>1070</v>
      </c>
      <c r="AO47" s="173" t="b">
        <v>0</v>
      </c>
      <c r="AP47" s="173" t="b">
        <v>0</v>
      </c>
      <c r="AQ47" s="173" t="b">
        <v>0</v>
      </c>
      <c r="AR47" s="174" t="b">
        <v>0</v>
      </c>
      <c r="AS47" s="178" t="b">
        <v>0</v>
      </c>
      <c r="AT47" s="179" t="b">
        <v>0</v>
      </c>
      <c r="AU47" s="180" t="b">
        <v>0</v>
      </c>
      <c r="AV47" s="180" t="b">
        <v>0</v>
      </c>
      <c r="AW47" s="180" t="b">
        <v>0</v>
      </c>
      <c r="AX47" s="180" t="b">
        <v>0</v>
      </c>
      <c r="AY47" s="181" t="s">
        <v>1070</v>
      </c>
      <c r="AZ47" s="181" t="s">
        <v>1070</v>
      </c>
      <c r="BA47" s="184">
        <f>IFERROR(__xludf.DUMMYFUNCTION("IF(
  ISNUMBER(BA46),
  MIN(MAX(
    BA46
    + MAX(
      ROUNDDOWN((D47 - MAX(IFERROR(FILTER(D$24:D46, BA$24:BA46 &lt;&gt; AZ$6, BA$23:BA45 = AZ$6), 0))) * (60 * 60 * 24) / AZ$9) - ROUNDDOWN((D46 - MAX(IFERROR(FILTER(D$23:D45, BA$23:BA45 &lt;&gt; AZ$6, BA$22:BA44 ="&amp;" AZ$6), 0))) * (60 * 60 * 24) / AZ$9),
      0
    )
    - COUNTIF(AZ47, ""&lt;&gt;-""),
  0), AZ$6),
  AZ$6 - COUNTIF(AZ47, ""&lt;&gt;-"")
)"),2.0)</f>
        <v>2</v>
      </c>
      <c r="BB47" s="181" t="s">
        <v>1070</v>
      </c>
      <c r="BC47" s="183">
        <f>IFERROR(__xludf.DUMMYFUNCTION("IF(
  ISNUMBER(BC46),
  MIN(MAX(
    BC46
    + MAX(
      ROUNDDOWN(($D47 - MAX(IFERROR(FILTER($D$24:$D46, BC$24:BC46 &lt;&gt; BB$6, BC$23:BC45 = BB$6), 0))) * (60 * 60 * 24) / BB$9) - ROUNDDOWN(($D46 - MAX(IFERROR(FILTER($D$23:$D45, BC$23:BC45 &lt;&gt; BB$6, BC$22:"&amp;"BC44 = BB$6), 0))) * (60 * 60 * 24) / 60),
      0
    )
    - COUNTIF(BB47, ""&lt;&gt;-""),
  0), BB$6),
  BB$6 - COUNTIF(BB47, ""&lt;&gt;-"")
)"),2.0)</f>
        <v>2</v>
      </c>
      <c r="BD47" s="181" t="s">
        <v>1070</v>
      </c>
      <c r="BE47" s="178" t="b">
        <v>0</v>
      </c>
      <c r="BF47" s="180" t="b">
        <v>0</v>
      </c>
      <c r="BG47" s="180" t="b">
        <v>0</v>
      </c>
      <c r="BH47" s="180" t="b">
        <v>0</v>
      </c>
      <c r="BI47" s="180" t="b">
        <v>0</v>
      </c>
      <c r="BJ47" s="180" t="b">
        <v>0</v>
      </c>
      <c r="BK47" s="180" t="b">
        <v>0</v>
      </c>
      <c r="BL47" s="180" t="b">
        <v>0</v>
      </c>
      <c r="BM47" s="180" t="b">
        <v>0</v>
      </c>
      <c r="BN47" s="180" t="b">
        <v>0</v>
      </c>
      <c r="BO47" s="181" t="s">
        <v>1070</v>
      </c>
      <c r="BP47" s="181" t="s">
        <v>1070</v>
      </c>
      <c r="BQ47" s="181" t="s">
        <v>1070</v>
      </c>
      <c r="BR47" s="181" t="s">
        <v>1070</v>
      </c>
      <c r="BS47" s="181" t="s">
        <v>1070</v>
      </c>
      <c r="BT47" s="184">
        <f>IFERROR(__xludf.DUMMYFUNCTION("IF(
  ISNUMBER(BT46),
  MIN(MAX(
    BT46
    + MAX(
      ROUNDDOWN((D47 - MAX(IFERROR(FILTER(D$24:D46, BT$24:BT46 &lt;&gt; BS$6, BT$23:BT45 = BS$6), 0))) * (60 * 60 * 24) / BS$9) - ROUNDDOWN((D46 - MAX(IFERROR(FILTER(D$23:D45, BT$23:BT45 &lt;&gt; BS$6, BT$22:BT44 ="&amp;" BS$6), 0))) * (60 * 60 * 24) / BS$9),
      0
    )
    - COUNTIF(BS47, ""&lt;&gt;-""),
  0), BS$6),
  BS$6 - COUNTIF(BS47, ""&lt;&gt;-"")
)"),3.0)</f>
        <v>3</v>
      </c>
      <c r="BU47" s="181" t="s">
        <v>1070</v>
      </c>
      <c r="BV47" s="181" t="s">
        <v>1070</v>
      </c>
      <c r="BW47" s="184">
        <f>IFERROR(__xludf.DUMMYFUNCTION("IF(
  ISNUMBER(BW46),
  MIN(MAX(
    BW46
    + MAX(
      ROUNDDOWN((D47 - MAX(IFERROR(FILTER(D$24:D46, BW$24:BW46 &lt;&gt; BV$6, BW$23:BW45 = BV$6), 0))) * (60 * 60 * 24) / BV$9) - ROUNDDOWN((D46 - MAX(IFERROR(FILTER(D$23:D45, BW$23:BW45 &lt;&gt; BV$6, BW$22:BW44 ="&amp;" BV$6), 0))) * (60 * 60 * 24) / BV$9),
      0
    )
    - COUNTIF(BV47, ""&lt;&gt;-""),
  0), BV$6),
  BV$6 - COUNTIF(BV47, ""&lt;&gt;-"")
)"),2.0)</f>
        <v>2</v>
      </c>
      <c r="BX47" s="185" t="s">
        <v>1070</v>
      </c>
      <c r="BY47" s="178" t="b">
        <v>0</v>
      </c>
      <c r="BZ47" s="180" t="b">
        <v>0</v>
      </c>
      <c r="CA47" s="180" t="b">
        <v>0</v>
      </c>
      <c r="CB47" s="180" t="b">
        <v>0</v>
      </c>
      <c r="CC47" s="180" t="b">
        <v>0</v>
      </c>
      <c r="CD47" s="180" t="b">
        <v>0</v>
      </c>
      <c r="CE47" s="180" t="b">
        <v>0</v>
      </c>
      <c r="CF47" s="180" t="b">
        <v>0</v>
      </c>
      <c r="CG47" s="180" t="b">
        <v>0</v>
      </c>
      <c r="CH47" s="180" t="b">
        <v>0</v>
      </c>
      <c r="CI47" s="180" t="b">
        <v>0</v>
      </c>
      <c r="CJ47" s="180" t="b">
        <v>0</v>
      </c>
      <c r="CK47" s="180" t="b">
        <v>0</v>
      </c>
      <c r="CL47" s="180" t="b">
        <v>0</v>
      </c>
      <c r="CM47" s="181" t="s">
        <v>1070</v>
      </c>
      <c r="CN47" s="181" t="s">
        <v>1070</v>
      </c>
      <c r="CO47" s="181" t="s">
        <v>1070</v>
      </c>
      <c r="CP47" s="181" t="s">
        <v>1070</v>
      </c>
      <c r="CQ47" s="185" t="s">
        <v>1070</v>
      </c>
      <c r="CR47" s="180" t="b">
        <v>0</v>
      </c>
      <c r="CS47" s="186" t="str">
        <f t="shared" si="14"/>
        <v>◇◇◇</v>
      </c>
      <c r="CT47" s="178" t="b">
        <v>0</v>
      </c>
      <c r="CU47" s="180" t="b">
        <v>0</v>
      </c>
      <c r="CV47" s="180" t="b">
        <v>0</v>
      </c>
      <c r="CW47" s="180" t="b">
        <v>0</v>
      </c>
      <c r="CX47" s="180" t="b">
        <v>0</v>
      </c>
      <c r="CY47" s="180" t="b">
        <v>0</v>
      </c>
      <c r="CZ47" s="180" t="b">
        <v>0</v>
      </c>
      <c r="DA47" s="180" t="b">
        <v>0</v>
      </c>
      <c r="DB47" s="180" t="b">
        <v>0</v>
      </c>
      <c r="DC47" s="180" t="b">
        <v>0</v>
      </c>
      <c r="DD47" s="181" t="s">
        <v>1070</v>
      </c>
      <c r="DE47" s="181" t="s">
        <v>1070</v>
      </c>
      <c r="DF47" s="181" t="s">
        <v>1070</v>
      </c>
      <c r="DG47" s="185" t="s">
        <v>1070</v>
      </c>
      <c r="DH47" s="180" t="b">
        <v>0</v>
      </c>
      <c r="DI47" s="187" t="str">
        <f>IFERROR(__xludf.DUMMYFUNCTION("SWITCH(
  IF(
    ISTEXT(DI46),
    IF (
      FIND(""○"", DI46&amp;""○"") &gt; 3,
      3,
      FIND(""○"", DI46&amp;""○"")
      + MAX(
        ROUNDDOWN(($D47 - MAX(IFERROR(FILTER(D$24:D46, DI$24:DI46 &lt;&gt; ""●●●"", DI$23:DI45 = ""●●●""), 0))) * (60 * 60 * 24) / 20"&amp;") - ROUNDDOWN(($D46 - MAX(IFERROR(FILTER(D$23:D45, DI$23:DI45 &lt;&gt; ""●●●"", DI$22:DI44 = ""●●●""), 0))) * (60 * 60 * 24) / 20),
        0
      ) - 1
    ) - COUNTIFS(CU47, ""=TRUE"", CU46, ""&lt;&gt;TRUE"") - COUNTIF(CZ47, ""=TRUE"") - COUNTIF({DD47,DE47}, ""&lt;&gt;-"&amp;""") + COUNTIF(DH47, ""=TRUE""),
    3
  ),
  0, ""○○○"", 1, ""●○○"", 2, ""●●○"", 3, ""●●●"", 4, ""●●●"", ""○○○""
)"),"●●●")</f>
        <v>●●●</v>
      </c>
      <c r="DJ47" s="188" t="b">
        <v>0</v>
      </c>
      <c r="DK47" s="189" t="b">
        <v>0</v>
      </c>
      <c r="DL47" s="190" t="b">
        <v>0</v>
      </c>
      <c r="DM47" s="190" t="b">
        <v>0</v>
      </c>
      <c r="DN47" s="190" t="b">
        <v>0</v>
      </c>
      <c r="DO47" s="190" t="b">
        <v>0</v>
      </c>
      <c r="DP47" s="190" t="b">
        <v>0</v>
      </c>
      <c r="DQ47" s="191" t="b">
        <v>0</v>
      </c>
      <c r="DR47" s="192" t="b">
        <v>0</v>
      </c>
      <c r="DS47" s="191" t="b">
        <v>0</v>
      </c>
      <c r="DT47" s="192" t="b">
        <v>0</v>
      </c>
      <c r="DU47" s="191" t="b">
        <v>0</v>
      </c>
      <c r="DV47" s="193" t="s">
        <v>1070</v>
      </c>
      <c r="DW47" s="194" t="b">
        <v>0</v>
      </c>
      <c r="DX47" s="194" t="b">
        <v>0</v>
      </c>
      <c r="DY47" s="195" t="b">
        <v>0</v>
      </c>
      <c r="DZ47" s="196" t="b">
        <v>0</v>
      </c>
      <c r="EA47" s="195" t="b">
        <v>0</v>
      </c>
      <c r="EB47" s="197" t="b">
        <v>0</v>
      </c>
      <c r="EC47" s="197" t="b">
        <v>0</v>
      </c>
      <c r="ED47" s="212" t="b">
        <v>0</v>
      </c>
      <c r="EE47" s="199">
        <f>IFERROR(__xludf.DUMMYFUNCTION("IFERROR(
   PRODUCT(
     MAP(
       INDEX(TRANSPOSE(UNIQUE(TRANSPOSE(FILTER({IF($F47=""Physical"", K$10:ED$10, IF($F47=""Magic"", K$11:ED$11, K$12:ED$12));K$4:ED$4;K47:ED47}, K47:ED47=TRUE)))), 1, 0),
       INDEX(TRANSPOSE(UNIQUE(TRANSPOSE(FILTER({IF($"&amp;"F47=""Physical"", K$18:ED$18, IF($F47=""Magic"", K$19:ED$19, K$20:ED$20));K$4:ED$4;K47:ED47}, K47:ED47=TRUE)))), 1, 0),
       INDEX(TRANSPOSE(UNIQUE(TRANSPOSE(FILTER({K$5:ED$5;K$4:ED$4;K47:ED47}, K47:ED47=TRUE)))), 1, 0),
       INDEX(TRANSPOSE(UNIQUE(TR"&amp;"ANSPOSE(FILTER({K$17:ED$17;K$4:ED$4;K47:ED47}, K47:ED47=TRUE)))), 1, 0),
       LAMBDA(
         mitigation,
         enhance,
         assign,
         precondition,
         IF(
           REGEXMATCH(assign, ""RANGE_PARTY|SINGLE_ENEMY|RANGE_ENEMY""),
  "&amp;"         IF(
             OR(ARRAYFORMULA((IF(precondition="""", FALSE, REGEXMATCH(K$4:ED$4, precondition))) * (K47:ED47=TRUE))),
             IF(ISNUMBER(enhance), enhance, 1),
             IF(ISNUMBER(mitigation), mitigation, 1)
           ),
          "&amp;" 1
         )
       )
     )
   ),
   1
 )"),1.0)</f>
        <v>1</v>
      </c>
      <c r="EF47" s="200">
        <f>IFERROR(__xludf.DUMMYFUNCTION("PRODUCT(
   MAP(
     K$14:ED$14,
     K$13:ED$13,
     K47:ED47,
     LAMBDA(
       buff,
       target,
       check,
       IF(
         AND(check=TRUE, REGEXMATCH(target, ""RANGE_AFFECTED_ALL|RANGE_EFFECTED_ALL""), ISNUMBER(buff)),
         buff,
   "&amp;"      1
       )
     )
   )
 )"),1.0)</f>
        <v>1</v>
      </c>
      <c r="EG47" s="200">
        <f>IFERROR(__xludf.DUMMYFUNCTION("PRODUCT(
   MAP(
     K$14:ED$14,
     K$13:ED$13,
     K47:ED47,
     LAMBDA(
       buff,
       target,
       check,
       IF(
         AND(check=TRUE, REGEXMATCH(target, ""RANGE_AFFECTED_GCD|RANGE_EFFECTED_GCD""), ISNUMBER(buff)),
         buff,
   "&amp;"      1
       )
     )
   )
 )"),1.0)</f>
        <v>1</v>
      </c>
      <c r="EH47" s="200">
        <f>IFERROR(__xludf.DUMMYFUNCTION("PRODUCT(
   MAP(
     K$3:ED$3,
     K$14:ED$14,
     K$13:ED$13,
     K47:ED47,
     LAMBDA(
       job,
       buff,
       target,
       check,
       IF(
         AND(check=TRUE, REGEXMATCH(target, ""SELF_EFFECTED_ALL""), ISNUMBER(buff), job=""白魔道士"""&amp;"),
         buff,
         1
       )
     )
   )
 )"),1.0)</f>
        <v>1</v>
      </c>
      <c r="EI47" s="200">
        <f>IFERROR(__xludf.DUMMYFUNCTION("PRODUCT(
   MAP(
     K$3:ED$3,
     K$14:ED$14,
     K$13:ED$13,
     K47:ED47,
     LAMBDA(
       job,
       buff,
       target,
       check,
       IF(
         AND(check=TRUE, REGEXMATCH(target, ""SELF_EFFECTED_GCD""), ISNUMBER(buff), job=""白魔道士"""&amp;"),
         buff,
         1
       )
     )
   )
 )"),1.0)</f>
        <v>1</v>
      </c>
      <c r="EJ47" s="200">
        <f>IFERROR(__xludf.DUMMYFUNCTION("PRODUCT(
   MAP(
     K$3:ED$3,
     K$14:ED$14,
     K$13:ED$13,
     K47:ED47,
     LAMBDA(
       job,
       buff,
       target,
       check,
       IF(
         AND(check=TRUE, REGEXMATCH(target, ""SELF_EFFECTED_ALL""), ISNUMBER(buff), job=""占星術師"""&amp;"),
         buff,
         1
       )
     )
   )
 )"),1.0)</f>
        <v>1</v>
      </c>
      <c r="EK47" s="200">
        <f>IFERROR(__xludf.DUMMYFUNCTION("PRODUCT(
   MAP(
     K$3:ED$3,
     K$14:ED$14,
     K$13:ED$13,
     K47:ED47,
     LAMBDA(
       job,
       buff,
       target,
       check,
       IF(
         AND(check=TRUE, REGEXMATCH(target, ""SELF_EFFECTED_GCD""), ISNUMBER(buff), job=""占星術師"""&amp;"),
         buff,
         1
       )
     )
   )
 )"),1.0)</f>
        <v>1</v>
      </c>
      <c r="EL47" s="200">
        <f>IFERROR(__xludf.DUMMYFUNCTION("PRODUCT(
   MAP(
     K$3:ED$3,
     K$14:ED$14,
     K$13:ED$13,
     K47:ED47,
     LAMBDA(
       job,
       buff,
       target,
       check,
       IF(
         AND(check=TRUE, REGEXMATCH(target, ""SELF_EFFECTED_ALL""), ISNUMBER(buff), job=""学者""),"&amp;"
         buff,
         1
       )
     )
   )
 )"),1.0)</f>
        <v>1</v>
      </c>
      <c r="EM47" s="200">
        <f>IFERROR(__xludf.DUMMYFUNCTION("PRODUCT(
   MAP(
     K$3:ED$3,
     K$14:ED$14,
     K$13:ED$13,
     K47:ED47,
     LAMBDA(
       job,
       buff,
       target,
       check,
       IF(
         AND(check=TRUE, REGEXMATCH(target, ""SELF_EFFECTED_GCD""), ISNUMBER(buff), job=""学者""),"&amp;"
         buff,
         1
       )
     )
   )
 )"),1.0)</f>
        <v>1</v>
      </c>
      <c r="EN47" s="200">
        <f>IFERROR(__xludf.DUMMYFUNCTION("PRODUCT(
   MAP(
     K$3:ED$3,
     K$14:ED$14,
     K$13:ED$13,
     K47:ED47,
     LAMBDA(
       job,
       buff,
       target,
       check,
       IF(
         AND(check=TRUE, REGEXMATCH(target, ""SELF_EFFECTED_ALL""), ISNUMBER(buff), job=""賢者""),"&amp;"
         buff,
         1
       )
     )
   )
 )"),1.0)</f>
        <v>1</v>
      </c>
      <c r="EO47" s="200">
        <f>IFERROR(__xludf.DUMMYFUNCTION("PRODUCT(
   MAP(
     K$3:ED$3,
     K$14:ED$14,
     K$13:ED$13,
     K47:ED47,
     LAMBDA(
       job,
       buff,
       target,
       check,
       IF(
         AND(check=TRUE, REGEXMATCH(target, ""SELF_EFFECTED_GCD""), ISNUMBER(buff), job=""賢者""),"&amp;"
         buff,
         1
       )
     )
   )
 )"),1.0)</f>
        <v>1</v>
      </c>
      <c r="EP47" s="201">
        <f t="shared" si="3"/>
        <v>0</v>
      </c>
      <c r="EQ47" s="201">
        <f>IFERROR(__xludf.DUMMYFUNCTION("SUM(
   MAP(
     K$4:ED$4,
     K$3:ED$3,
     K$7:ED$7,
     K$15:ED$15,
     K$16:ED$16,
     K$21:ED$21,
     K$5:ED$5,
     K$17:ED$17,
     K47:ED47,
     LAMBDA(
       name,
       job,
       abillity,
       buff,
       barrier,
       enhance,"&amp;"
       assign,
       precondition,
       check,
       SWITCH(
         name,
         ""シェイクオフ"", IF(check=TRUE, buff + (0.02 * COUNTIF(ARRAYFORMULA((REGEXMATCH($K$4:$ED$4, ""スリル・オブ・バトル|ヴェンジェンス|原初の血気|ダムネーション"")) * (K47:ED47=TRUE)), 1)), 0),
         "&amp;"""インプロビゼーションフィニッシュ(踊りの激情0)"", IF(ISNUMBER(check), INDEX(Skill!$AJ:$AJ, MATCH(SUBSTITUTE(DV$4, 0, check), Skill!$C:$C, 0)), 0),
         IF(
           AND(check=TRUE, REGEXMATCH(assign, ""RANGE_PARTY"")),
           IF(
             OR(ARRAYFORMULA((IF(pr"&amp;"econdition="""", FALSE, REGEXMATCH($K$4:$ED$4, precondition))) * (K47:ED47=TRUE))),
             enhance,
             IF(barrier="""", buff, barrier)
           ),
           0
         )
       ) *
       SWITCH(
         job,
         ""ナイト"", EY$24,
 "&amp;"        ""戦士"", FD$24,
         ""踊り子"", ET$24,
         ""ピクトマンサー"", ET$24,
         ""白魔道士"", EF47 * EH47 * IF(abillity, 1, EG47 * EI47) * (Option!$D$22 * 0.81 / 100),
         ""占星術師"", EF47 * EJ47 * IF(abillity, 1, EG47 * EK47) * (Option!$D$23 * 0.81 "&amp;"/ 100),
         ""学者"", EF47 * EL47 * IF(abillity, 1, EG47 * EM47) * (Option!$D$24 * 0.81 / 100),
         ""賢者"", EF47 * EN47 * IF(abillity, 1, EG47 * EO47) * (Option!$D$25 * 0.81 / 100),
         1
       )
     )
   )
 )"),0.0)</f>
        <v>0</v>
      </c>
      <c r="ER47" s="202">
        <f t="shared" si="4"/>
        <v>0</v>
      </c>
      <c r="ES47" s="203">
        <f t="shared" si="5"/>
        <v>0</v>
      </c>
      <c r="ET47" s="231" t="str">
        <f>IFERROR(__xludf.DUMMYFUNCTION("IFS(
  EP47 &gt; $ET$24 + EQ47,
  SPARKLINE({ 1, 0 }, {""charttype"",""bar"";""max"", 1;""color1"",Option!$D$30;""color2"",Option!$D$30}),
  EP47 &lt; EQ47,
  SPARKLINE({EQ47 - EP47, $ET$24 - (EQ47 - EP47)}, {""charttype"",""bar"";""max"",$ET$24;""color1"",Opti"&amp;"on!$D$28;""color2"",Option!$D$29}),
  EP47 &gt;= EQ47,
  SPARKLINE({$ET$24 + EQ47 - EP47,EP47 - EQ47}, {""charttype"",""bar"";""max"",$ET$24;""color1"",Option!$D$29;""color2"",Option!$D$30})
)"),"")</f>
        <v/>
      </c>
      <c r="EU47" s="205">
        <f>IFERROR(__xludf.DUMMYFUNCTION("PRODUCT(
   MAP(
     IF($F47=""Physical"", K$10:ED$10, IF($F47=""Magic"", K$11:ED$11, K$12:ED$12)),
     IF($F47=""Physical"", K$18:ED$18, IF($F47=""Magic"", K$19:ED$19, K$20:ED$20)),
     K$3:ED$3,
     K$5:ED$5,
     K$17:ED$17,
     K47:ED47,
     LAM"&amp;"BDA(
       mitigation,
       enhance,
       job,
       assign,
       precondition,
       check,
       IF(
         OR(AND(check=TRUE, REGEXMATCH(assign, ""SELF""), job=""ナイト""), AND(check=Option!$E$13, REGEXMATCH(assign, ""SINGLE_PARTY""))),
      "&amp;"   IF(
           OR(ARRAYFORMULA((IF(precondition="""", FALSE, REGEXMATCH($K$4:$ED$4, precondition))) * (K47:ED47=TRUE))),
           enhance,
           mitigation
         ),
         1
       )
     )
   )
 ) * EE47"),1.0)</f>
        <v>1</v>
      </c>
      <c r="EV47" s="206">
        <f t="shared" si="6"/>
        <v>0</v>
      </c>
      <c r="EW47" s="205">
        <f>IFERROR(__xludf.DUMMYFUNCTION("PRODUCT(
   MAP(
     K$3:ED$3,
     K$14:ED$14,
     K$13:ED$13,
     K47:ED47,
     LAMBDA(
       job,
       buff,
       target,
       check,
       IF(
         OR(AND(check=TRUE, REGEXMATCH(target, ""SELF_AFFECTED_ALL""), job=""ナイト""), AND(check=O"&amp;"ption!$E$13, REGEXMATCH(target, ""SINGLE_AFFECTED_ALL""))),
         buff,
         1
       )
     )
   )
 )"),1.0)</f>
        <v>1</v>
      </c>
      <c r="EX47" s="206">
        <f>IFERROR(__xludf.DUMMYFUNCTION("SUM(
   MAP(
     K$3:ED$3,
     K$7:ED$7,
     K$15:ED$15,
     K$16:ED$16,
     K$21:ED$21,
     K$5:ED$5,
     K$17:ED$17,
     K47:ED47,
     LAMBDA(
       job,
       abillity,
       buff,
       barrier,
       enhance,
       assign,
       preco"&amp;"ndition,
       check,
       IF(
         OR(AND(check=TRUE, REGEXMATCH(assign, ""SELF""), job=""ナイト""), AND(check=Option!$E$13, REGEXMATCH(assign, ""SINGLE_PARTY""))),
         IF(
           OR(ARRAYFORMULA((IF(precondition="""", FALSE, REGEXMATCH($K$4"&amp;":$ED$4, precondition))) * (K47:ED47=TRUE))),
           enhance,
           IF(barrier="""", buff, barrier)
         ),
         0
       ) *
       SWITCH(
         job,
         ""暗黒騎士"", EY$24,
         ""白魔道士"", EF47 * EH47 * EW47 * IF(abillity, 1, EG"&amp;"47 * EI47) * (Option!$D$22 * 0.81 / 100),
         ""占星術師"", EF47 * EJ47 * EW47 * IF(abillity, 1, EG47 * EK47) * (Option!$D$23 * 0.81 / 100),
         ""学者"", EF47 * EL47 * EW47 * IF(abillity, 1, EG47 * EM47) * (Option!$D$24 * 0.81 / 100),
         ""賢者"""&amp;", EF47 * EN47 * EW47 * IF(abillity, 1, EG47 * EO47) * (Option!$D$25 * 0.81 / 100),
         1
       )
     )
   )
 ) + EQ47"),0.0)</f>
        <v>0</v>
      </c>
      <c r="EY47" s="232">
        <f t="shared" si="7"/>
        <v>0</v>
      </c>
      <c r="EZ47" s="205">
        <f>IFERROR(__xludf.DUMMYFUNCTION("PRODUCT(
   MAP(
     IF($F47=""Physical"", K$10:ED$10, IF($F47=""Magic"", K$11:ED$11, K$12:ED$12)),
     IF($F47=""Physical"", K$18:ED$18, IF($F47=""Magic"", K$19:ED$19, K$20:ED$20)),
     K$3:ED$3,
     K$5:ED$5,
     K$17:ED$17,
     K47:ED47,
     LAM"&amp;"BDA(
       mitigation,
       enhance,
       job,
       assign,
       precondition,
       check,
       IF(
         OR(AND(check=TRUE, REGEXMATCH(assign, ""SELF""), job=""戦士""), AND(check=Option!$F$13, REGEXMATCH(assign, ""SINGLE_PARTY""))),
       "&amp;"  IF(
           OR(ARRAYFORMULA((IF(precondition="""", FALSE, REGEXMATCH($K$4:$ED$4, precondition))) * (K47:ED47=TRUE))),
           enhance,
           mitigation
         ),
         1
       )
     )
   )
 ) * EE47"),1.0)</f>
        <v>1</v>
      </c>
      <c r="FA47" s="206">
        <f t="shared" si="8"/>
        <v>0</v>
      </c>
      <c r="FB47" s="205">
        <f>IFERROR(__xludf.DUMMYFUNCTION("PRODUCT(
   MAP(
     K$3:ED$3,
     K$14:ED$14,
     K$13:ED$13,
     K47:ED47,
     LAMBDA(
       job,
       buff,
       target,
       check,
       IF(
         OR(AND(check=TRUE, REGEXMATCH(target, ""SELF_AFFECTED_ALL""), job=""戦士""), AND(check=Op"&amp;"tion!$F$13, REGEXMATCH(target, ""SINGLE_AFFECTED_ALL""))),
         buff,
         1
       )
     )
   )
 )"),1.0)</f>
        <v>1</v>
      </c>
      <c r="FC47" s="206">
        <f>IFERROR(__xludf.DUMMYFUNCTION("SUM(
   MAP(
     K$3:ED$3,
     K$7:ED$7,
     K$15:ED$15,
     K$16:ED$16,
     K$21:ED$21,
     K$5:ED$5,
     K$17:ED$17,
     K47:ED47,
     LAMBDA(
       job,
       abillity,
       buff,
       barrier,
       enhance,
       assign,
       preco"&amp;"ndition,
       check,
       IF(
         OR(AND(check=TRUE, REGEXMATCH(assign, ""SELF""), job=""戦士""), AND(check=Option!$F$13, REGEXMATCH(assign, ""SINGLE_PARTY""))),
         IF(
           OR(ARRAYFORMULA((IF(precondition="""", FALSE, REGEXMATCH($K$4:"&amp;"$ED$4, precondition))) * (K47:ED47=TRUE))),
           enhance,
           IF(barrier="""", buff, barrier)
         ),
         0
       ) *
       SWITCH(
         job,
         ""暗黒騎士"", FD$24,
         ""白魔道士"", EF47 * EH47 * FB47 * IF(abillity, 1, EG4"&amp;"7 * EI47) * (Option!$D$22 * 0.81 / 100),
         ""占星術師"", EF47 * EJ47 * FFB47 * IF(abillity, 1, EG47 * EK47) * (Option!$D$23 * 0.81 / 100),
         ""学者"", EF47 * EL47 * FB47 * IF(abillity, 1, EG47 * EM47) * (Option!$D$24 * 0.81 / 100),
         ""賢者"""&amp;", EF47 * EN47 * FB47 * IF(abillity, 1, EG47 * EO47) * (Option!$D$25 * 0.81 / 100),
         1
       )
     )
   )
 ) + EQ47"),0.0)</f>
        <v>0</v>
      </c>
      <c r="FD47" s="206">
        <f t="shared" si="9"/>
        <v>0</v>
      </c>
      <c r="FE47" s="205">
        <f>IFERROR(__xludf.DUMMYFUNCTION("PRODUCT(
   MAP(
     IF($F47=""Physical"", K$10:ED$10, IF($F47=""Magic"", K$11:ED$11, K$12:ED$12)),
     IF($F47=""Physical"", K$18:ED$18, IF($F47=""Magic"", K$19:ED$19, K$20:ED$20)),
     K$3:ED$3,
     K$5:ED$5,
     K$17:ED$17,
     K47:ED47,
     LAM"&amp;"BDA(
       mitigation,
       enhance,
       job,
       assign,
       precondition,
       check,
       IF(
         OR(AND(check=TRUE, REGEXMATCH(assign, ""SELF""), job=""暗黒騎士""), AND(check=Option!$G$13, REGEXMATCH(assign, ""SINGLE_PARTY""))),
     "&amp;"    IF(
           OR(ARRAYFORMULA((IF(precondition="""", FALSE, REGEXMATCH($K$4:$ED$4, precondition))) * (K47:ED47=TRUE))),
           enhance,
           mitigation
         ),
         1
       )
     )
   )
 ) * EE47"),1.0)</f>
        <v>1</v>
      </c>
      <c r="FF47" s="206">
        <f t="shared" si="10"/>
        <v>0</v>
      </c>
      <c r="FG47" s="205">
        <f>IFERROR(__xludf.DUMMYFUNCTION("PRODUCT(
   MAP(
     K$3:ED$3,
     K$14:ED$14,
     K$13:ED$13,
     K47:ED47,
     LAMBDA(
       job,
       buff,
       target,
       check,
       IF(
         OR(AND(check=TRUE, REGEXMATCH(target, ""SELF_AFFECTED_ALL""), job=""暗黒騎士""), AND(check="&amp;"Option!$G$13, REGEXMATCH(target, ""SINGLE_AFFECTED_ALL""))),
         buff,
         1
       )
     )
   )
 )"),1.0)</f>
        <v>1</v>
      </c>
      <c r="FH47" s="206">
        <f>IFERROR(__xludf.DUMMYFUNCTION("SUM(
   MAP(
     K$3:ED$3,
     K$7:ED$7,
     K$15:ED$15,
     K$16:ED$16,
     K$21:ED$21,
     K$5:ED$5,
     K$17:ED$17,
     K47:ED47,
     LAMBDA(
       job,
       abillity,
       buff,
       barrier,
       enhance,
       assign,
       preco"&amp;"ndition,
       check,
       IF(
         OR(AND(check=TRUE, REGEXMATCH(assign, ""SELF""), job=""暗黒騎士""), AND(check=Option!$G$13, REGEXMATCH(assign, ""SINGLE_PARTY""))),
         IF(
           OR(ARRAYFORMULA((IF(precondition="""", FALSE, REGEXMATCH($K$"&amp;"4:$ED$4, precondition))) * (K47:ED47=TRUE))),
           enhance,
           IF(barrier="""", buff, barrier)
         ),
         0
       ) *
       SWITCH(
         job,
         ""暗黒騎士"", FI$24,
         ""白魔道士"", EF47 * EH47 * FG47 * IF(abillity, 1, E"&amp;"G47 * EI47) * (Option!$D$22 * 0.81 / 100),
         ""占星術師"", EF47 * EJ47 * FG47 * IF(abillity, 1, EG47 * EK47) * (Option!$D$23 * 0.81 / 100),
         ""学者"", EF47 * EL47 * FG47 * IF(abillity, 1, EG47 * EM47) * (Option!$D$24 * 0.81 / 100),
         ""賢者"&amp;""", EF47 * EN47 * FG47 * IF(abillity, 1, EG47 * EO47) * (Option!$D$25 * 0.81 / 100),
         1
       )
     )
   )
 ) + EQ47"),0.0)</f>
        <v>0</v>
      </c>
      <c r="FI47" s="206">
        <f t="shared" si="11"/>
        <v>0</v>
      </c>
      <c r="FJ47" s="205">
        <f>IFERROR(__xludf.DUMMYFUNCTION("PRODUCT(
   MAP(
     IF($F47=""Physical"", K$10:ED$10, IF($F47=""Magic"", K$11:ED$11, K$12:ED$12)),
     IF($F47=""Physical"", K$18:ED$18, IF($F47=""Magic"", K$19:ED$19, K$20:ED$20)),
     K$3:ED$3,
     K$5:ED$5,
     K$17:ED$17,
     K47:ED47,
     LAM"&amp;"BDA(
       mitigation,
       enhance,
       job,
       assign,
       precondition,
       check,
       IF(
         OR(AND(check=TRUE, REGEXMATCH(assign, ""SELF""), job=""ガンブレイカー""), AND(check=Option!$H$13, REGEXMATCH(assign, ""SINGLE_PARTY""))),
  "&amp;"       IF(
           OR(ARRAYFORMULA((IF(precondition="""", FALSE, REGEXMATCH($K$4:$ED$4, precondition))) * (K47:ED47=TRUE))),
           enhance,
           mitigation
         ),
         1
       )
     )
   )
 ) * EE47"),1.0)</f>
        <v>1</v>
      </c>
      <c r="FK47" s="206">
        <f t="shared" si="12"/>
        <v>0</v>
      </c>
      <c r="FL47" s="205">
        <f>IFERROR(__xludf.DUMMYFUNCTION("PRODUCT(
   MAP(
     K$3:ED$3,
     K$14:ED$14,
     K$13:ED$13,
     K47:ED47,
     LAMBDA(
       job,
       buff,
       target,
       check,
       IF(
         OR(AND(check=TRUE, REGEXMATCH(target, ""SELF_AFFECTED_ALL""), job=""ガンブレイカー""), AND(che"&amp;"ck=Option!$H$13, REGEXMATCH(target, ""SINGLE_AFFECTED_ALL""))),
         buff,
         1
       )
     )
   )
 )"),1.0)</f>
        <v>1</v>
      </c>
      <c r="FM47" s="206">
        <f>IFERROR(__xludf.DUMMYFUNCTION("SUM(
   MAP(
     K$3:ED$3,
     K$7:ED$7,
     K$15:ED$15,
     K$16:ED$16,
     K$21:ED$21,
     K$5:ED$5,
     K$17:ED$17,
     K47:ED47,
     LAMBDA(
       job,
       abillity,
       buff,
       barrier,
       enhance,
       assign,
       preco"&amp;"ndition,
       check,
       IF(
         OR(AND(check=TRUE, REGEXMATCH(assign, ""SELF""), job=""ガンブレイカー""), AND(check=Option!$H$13, REGEXMATCH(assign, ""SINGLE_PARTY""))),
         IF(
           OR(ARRAYFORMULA((IF(precondition="""", FALSE, REGEXMATCH("&amp;"$K$4:$ED$4, precondition))) * (K47:ED47=TRUE))),
           enhance,
           IF(barrier="""", buff, barrier)
         ),
         0
       ) *
       SWITCH(
         job,
         ""暗黒騎士"", FN$24,
         ""白魔道士"", EF47 * EH47 * FL47 * IF(abillity, 1"&amp;", EG47 * EI47) * (Option!$D$22 * 0.81 / 100),
         ""占星術師"", EF47 * EJ47 * FL47 * IF(abillity, 1, EG47 * EK47) * (Option!$D$23 * 0.81 / 100),
         ""学者"", EF47 * EL47 * FL47 * IF(abillity, 1, EG47 * EM47) * (Option!$D$24 * 0.81 / 100),
         """&amp;"賢者"", EF47 * EN47 * FL47 * IF(abillity, 1, EG47 * EO47) * (Option!$D$25 * 0.81 / 100),
         1
       )
     )
   )
 ) + EQ47"),0.0)</f>
        <v>0</v>
      </c>
      <c r="FN47" s="206">
        <f t="shared" si="13"/>
        <v>0</v>
      </c>
      <c r="FO47" s="213"/>
    </row>
    <row r="48">
      <c r="B48" s="229"/>
      <c r="C48" s="217"/>
      <c r="D48" s="236"/>
      <c r="E48" s="238"/>
      <c r="F48" s="167"/>
      <c r="G48" s="168" t="str">
        <f t="shared" si="2"/>
        <v/>
      </c>
      <c r="H48" s="169"/>
      <c r="I48" s="169"/>
      <c r="J48" s="169"/>
      <c r="K48" s="170" t="b">
        <v>0</v>
      </c>
      <c r="L48" s="170" t="b">
        <v>0</v>
      </c>
      <c r="M48" s="170" t="b">
        <v>0</v>
      </c>
      <c r="N48" s="171" t="s">
        <v>1070</v>
      </c>
      <c r="O48" s="172" t="b">
        <v>0</v>
      </c>
      <c r="P48" s="173" t="b">
        <v>0</v>
      </c>
      <c r="Q48" s="173" t="b">
        <v>0</v>
      </c>
      <c r="R48" s="173" t="b">
        <v>0</v>
      </c>
      <c r="S48" s="174" t="b">
        <v>0</v>
      </c>
      <c r="T48" s="175" t="b">
        <v>0</v>
      </c>
      <c r="U48" s="173" t="b">
        <v>0</v>
      </c>
      <c r="V48" s="171" t="s">
        <v>1070</v>
      </c>
      <c r="W48" s="172" t="b">
        <v>0</v>
      </c>
      <c r="X48" s="173" t="b">
        <v>0</v>
      </c>
      <c r="Y48" s="173" t="b">
        <v>0</v>
      </c>
      <c r="Z48" s="173" t="b">
        <v>0</v>
      </c>
      <c r="AA48" s="174" t="b">
        <v>0</v>
      </c>
      <c r="AB48" s="174" t="b">
        <v>0</v>
      </c>
      <c r="AC48" s="175" t="b">
        <v>0</v>
      </c>
      <c r="AD48" s="173" t="b">
        <v>0</v>
      </c>
      <c r="AE48" s="176" t="s">
        <v>1070</v>
      </c>
      <c r="AF48" s="171" t="s">
        <v>1070</v>
      </c>
      <c r="AG48" s="177">
        <f>IFERROR(__xludf.DUMMYFUNCTION("IF(
  ISNUMBER(AG47),
  MIN(MAX(
    AG47
    + MAX(
      ROUNDDOWN(($D48 - MAX(IFERROR(FILTER($D$24:$D47, AG$24:AG47 &lt;&gt; AF$6, AG$23:AG46 = AF$6), 0))) * (60 * 60 * 24) / AF$9) - ROUNDDOWN(($D47 - MAX(IFERROR(FILTER($D$23:$D46, AG$23:AG46 &lt;&gt; AF$6, AG$22:"&amp;"AG45 = AF$6), 0))) * (60 * 60 * 24) / 60),
      0
    )
    - COUNTIF(AF48, ""&lt;&gt;-""),
  0), AF$6),
  AF$6 - COUNTIF(AF48, ""&lt;&gt;-"")
)"),2.0)</f>
        <v>2</v>
      </c>
      <c r="AH48" s="173" t="b">
        <v>0</v>
      </c>
      <c r="AI48" s="173" t="b">
        <v>0</v>
      </c>
      <c r="AJ48" s="173" t="b">
        <v>0</v>
      </c>
      <c r="AK48" s="174" t="b">
        <v>0</v>
      </c>
      <c r="AL48" s="175" t="b">
        <v>0</v>
      </c>
      <c r="AM48" s="173" t="b">
        <v>0</v>
      </c>
      <c r="AN48" s="171" t="s">
        <v>1070</v>
      </c>
      <c r="AO48" s="173" t="b">
        <v>0</v>
      </c>
      <c r="AP48" s="173" t="b">
        <v>0</v>
      </c>
      <c r="AQ48" s="173" t="b">
        <v>0</v>
      </c>
      <c r="AR48" s="174" t="b">
        <v>0</v>
      </c>
      <c r="AS48" s="178" t="b">
        <v>0</v>
      </c>
      <c r="AT48" s="179" t="b">
        <v>0</v>
      </c>
      <c r="AU48" s="180" t="b">
        <v>0</v>
      </c>
      <c r="AV48" s="180" t="b">
        <v>0</v>
      </c>
      <c r="AW48" s="180" t="b">
        <v>0</v>
      </c>
      <c r="AX48" s="180" t="b">
        <v>0</v>
      </c>
      <c r="AY48" s="181" t="s">
        <v>1070</v>
      </c>
      <c r="AZ48" s="181" t="s">
        <v>1070</v>
      </c>
      <c r="BA48" s="184">
        <f>IFERROR(__xludf.DUMMYFUNCTION("IF(
  ISNUMBER(BA47),
  MIN(MAX(
    BA47
    + MAX(
      ROUNDDOWN((D48 - MAX(IFERROR(FILTER(D$24:D47, BA$24:BA47 &lt;&gt; AZ$6, BA$23:BA46 = AZ$6), 0))) * (60 * 60 * 24) / AZ$9) - ROUNDDOWN((D47 - MAX(IFERROR(FILTER(D$23:D46, BA$23:BA46 &lt;&gt; AZ$6, BA$22:BA45 ="&amp;" AZ$6), 0))) * (60 * 60 * 24) / AZ$9),
      0
    )
    - COUNTIF(AZ48, ""&lt;&gt;-""),
  0), AZ$6),
  AZ$6 - COUNTIF(AZ48, ""&lt;&gt;-"")
)"),2.0)</f>
        <v>2</v>
      </c>
      <c r="BB48" s="181" t="s">
        <v>1070</v>
      </c>
      <c r="BC48" s="183">
        <f>IFERROR(__xludf.DUMMYFUNCTION("IF(
  ISNUMBER(BC47),
  MIN(MAX(
    BC47
    + MAX(
      ROUNDDOWN(($D48 - MAX(IFERROR(FILTER($D$24:$D47, BC$24:BC47 &lt;&gt; BB$6, BC$23:BC46 = BB$6), 0))) * (60 * 60 * 24) / BB$9) - ROUNDDOWN(($D47 - MAX(IFERROR(FILTER($D$23:$D46, BC$23:BC46 &lt;&gt; BB$6, BC$22:"&amp;"BC45 = BB$6), 0))) * (60 * 60 * 24) / 60),
      0
    )
    - COUNTIF(BB48, ""&lt;&gt;-""),
  0), BB$6),
  BB$6 - COUNTIF(BB48, ""&lt;&gt;-"")
)"),2.0)</f>
        <v>2</v>
      </c>
      <c r="BD48" s="181" t="s">
        <v>1070</v>
      </c>
      <c r="BE48" s="178" t="b">
        <v>0</v>
      </c>
      <c r="BF48" s="180" t="b">
        <v>0</v>
      </c>
      <c r="BG48" s="180" t="b">
        <v>0</v>
      </c>
      <c r="BH48" s="180" t="b">
        <v>0</v>
      </c>
      <c r="BI48" s="180" t="b">
        <v>0</v>
      </c>
      <c r="BJ48" s="180" t="b">
        <v>0</v>
      </c>
      <c r="BK48" s="180" t="b">
        <v>0</v>
      </c>
      <c r="BL48" s="180" t="b">
        <v>0</v>
      </c>
      <c r="BM48" s="180" t="b">
        <v>0</v>
      </c>
      <c r="BN48" s="180" t="b">
        <v>0</v>
      </c>
      <c r="BO48" s="181" t="s">
        <v>1070</v>
      </c>
      <c r="BP48" s="181" t="s">
        <v>1070</v>
      </c>
      <c r="BQ48" s="181" t="s">
        <v>1070</v>
      </c>
      <c r="BR48" s="181" t="s">
        <v>1070</v>
      </c>
      <c r="BS48" s="181" t="s">
        <v>1070</v>
      </c>
      <c r="BT48" s="184">
        <f>IFERROR(__xludf.DUMMYFUNCTION("IF(
  ISNUMBER(BT47),
  MIN(MAX(
    BT47
    + MAX(
      ROUNDDOWN((D48 - MAX(IFERROR(FILTER(D$24:D47, BT$24:BT47 &lt;&gt; BS$6, BT$23:BT46 = BS$6), 0))) * (60 * 60 * 24) / BS$9) - ROUNDDOWN((D47 - MAX(IFERROR(FILTER(D$23:D46, BT$23:BT46 &lt;&gt; BS$6, BT$22:BT45 ="&amp;" BS$6), 0))) * (60 * 60 * 24) / BS$9),
      0
    )
    - COUNTIF(BS48, ""&lt;&gt;-""),
  0), BS$6),
  BS$6 - COUNTIF(BS48, ""&lt;&gt;-"")
)"),3.0)</f>
        <v>3</v>
      </c>
      <c r="BU48" s="181" t="s">
        <v>1070</v>
      </c>
      <c r="BV48" s="181" t="s">
        <v>1070</v>
      </c>
      <c r="BW48" s="184">
        <f>IFERROR(__xludf.DUMMYFUNCTION("IF(
  ISNUMBER(BW47),
  MIN(MAX(
    BW47
    + MAX(
      ROUNDDOWN((D48 - MAX(IFERROR(FILTER(D$24:D47, BW$24:BW47 &lt;&gt; BV$6, BW$23:BW46 = BV$6), 0))) * (60 * 60 * 24) / BV$9) - ROUNDDOWN((D47 - MAX(IFERROR(FILTER(D$23:D46, BW$23:BW46 &lt;&gt; BV$6, BW$22:BW45 ="&amp;" BV$6), 0))) * (60 * 60 * 24) / BV$9),
      0
    )
    - COUNTIF(BV48, ""&lt;&gt;-""),
  0), BV$6),
  BV$6 - COUNTIF(BV48, ""&lt;&gt;-"")
)"),2.0)</f>
        <v>2</v>
      </c>
      <c r="BX48" s="185" t="s">
        <v>1070</v>
      </c>
      <c r="BY48" s="178" t="b">
        <v>0</v>
      </c>
      <c r="BZ48" s="180" t="b">
        <v>0</v>
      </c>
      <c r="CA48" s="180" t="b">
        <v>0</v>
      </c>
      <c r="CB48" s="180" t="b">
        <v>0</v>
      </c>
      <c r="CC48" s="180" t="b">
        <v>0</v>
      </c>
      <c r="CD48" s="180" t="b">
        <v>0</v>
      </c>
      <c r="CE48" s="180" t="b">
        <v>0</v>
      </c>
      <c r="CF48" s="180" t="b">
        <v>0</v>
      </c>
      <c r="CG48" s="180" t="b">
        <v>0</v>
      </c>
      <c r="CH48" s="180" t="b">
        <v>0</v>
      </c>
      <c r="CI48" s="180" t="b">
        <v>0</v>
      </c>
      <c r="CJ48" s="180" t="b">
        <v>0</v>
      </c>
      <c r="CK48" s="180" t="b">
        <v>0</v>
      </c>
      <c r="CL48" s="180" t="b">
        <v>0</v>
      </c>
      <c r="CM48" s="181" t="s">
        <v>1070</v>
      </c>
      <c r="CN48" s="181" t="s">
        <v>1070</v>
      </c>
      <c r="CO48" s="181" t="s">
        <v>1070</v>
      </c>
      <c r="CP48" s="181" t="s">
        <v>1070</v>
      </c>
      <c r="CQ48" s="185" t="s">
        <v>1070</v>
      </c>
      <c r="CR48" s="180" t="b">
        <v>0</v>
      </c>
      <c r="CS48" s="186" t="str">
        <f t="shared" si="14"/>
        <v>◇◇◇</v>
      </c>
      <c r="CT48" s="178" t="b">
        <v>0</v>
      </c>
      <c r="CU48" s="180" t="b">
        <v>0</v>
      </c>
      <c r="CV48" s="180" t="b">
        <v>0</v>
      </c>
      <c r="CW48" s="180" t="b">
        <v>0</v>
      </c>
      <c r="CX48" s="180" t="b">
        <v>0</v>
      </c>
      <c r="CY48" s="180" t="b">
        <v>0</v>
      </c>
      <c r="CZ48" s="180" t="b">
        <v>0</v>
      </c>
      <c r="DA48" s="180" t="b">
        <v>0</v>
      </c>
      <c r="DB48" s="180" t="b">
        <v>0</v>
      </c>
      <c r="DC48" s="180" t="b">
        <v>0</v>
      </c>
      <c r="DD48" s="181" t="s">
        <v>1070</v>
      </c>
      <c r="DE48" s="181" t="s">
        <v>1070</v>
      </c>
      <c r="DF48" s="181" t="s">
        <v>1070</v>
      </c>
      <c r="DG48" s="185" t="s">
        <v>1070</v>
      </c>
      <c r="DH48" s="180" t="b">
        <v>0</v>
      </c>
      <c r="DI48" s="187" t="str">
        <f>IFERROR(__xludf.DUMMYFUNCTION("SWITCH(
  IF(
    ISTEXT(DI47),
    IF (
      FIND(""○"", DI47&amp;""○"") &gt; 3,
      3,
      FIND(""○"", DI47&amp;""○"")
      + MAX(
        ROUNDDOWN(($D48 - MAX(IFERROR(FILTER(D$24:D47, DI$24:DI47 &lt;&gt; ""●●●"", DI$23:DI46 = ""●●●""), 0))) * (60 * 60 * 24) / 20"&amp;") - ROUNDDOWN(($D47 - MAX(IFERROR(FILTER(D$23:D46, DI$23:DI46 &lt;&gt; ""●●●"", DI$22:DI45 = ""●●●""), 0))) * (60 * 60 * 24) / 20),
        0
      ) - 1
    ) - COUNTIFS(CU48, ""=TRUE"", CU47, ""&lt;&gt;TRUE"") - COUNTIF(CZ48, ""=TRUE"") - COUNTIF({DD48,DE48}, ""&lt;&gt;-"&amp;""") + COUNTIF(DH48, ""=TRUE""),
    3
  ),
  0, ""○○○"", 1, ""●○○"", 2, ""●●○"", 3, ""●●●"", 4, ""●●●"", ""○○○""
)"),"●●●")</f>
        <v>●●●</v>
      </c>
      <c r="DJ48" s="188" t="b">
        <v>0</v>
      </c>
      <c r="DK48" s="189" t="b">
        <v>0</v>
      </c>
      <c r="DL48" s="190" t="b">
        <v>0</v>
      </c>
      <c r="DM48" s="190" t="b">
        <v>0</v>
      </c>
      <c r="DN48" s="190" t="b">
        <v>0</v>
      </c>
      <c r="DO48" s="190" t="b">
        <v>0</v>
      </c>
      <c r="DP48" s="190" t="b">
        <v>0</v>
      </c>
      <c r="DQ48" s="191" t="b">
        <v>0</v>
      </c>
      <c r="DR48" s="192" t="b">
        <v>0</v>
      </c>
      <c r="DS48" s="191" t="b">
        <v>0</v>
      </c>
      <c r="DT48" s="192" t="b">
        <v>0</v>
      </c>
      <c r="DU48" s="191" t="b">
        <v>0</v>
      </c>
      <c r="DV48" s="193" t="s">
        <v>1070</v>
      </c>
      <c r="DW48" s="194" t="b">
        <v>0</v>
      </c>
      <c r="DX48" s="194" t="b">
        <v>0</v>
      </c>
      <c r="DY48" s="195" t="b">
        <v>0</v>
      </c>
      <c r="DZ48" s="196" t="b">
        <v>0</v>
      </c>
      <c r="EA48" s="195" t="b">
        <v>0</v>
      </c>
      <c r="EB48" s="197" t="b">
        <v>0</v>
      </c>
      <c r="EC48" s="197" t="b">
        <v>0</v>
      </c>
      <c r="ED48" s="212" t="b">
        <v>0</v>
      </c>
      <c r="EE48" s="199">
        <f>IFERROR(__xludf.DUMMYFUNCTION("IFERROR(
   PRODUCT(
     MAP(
       INDEX(TRANSPOSE(UNIQUE(TRANSPOSE(FILTER({IF($F48=""Physical"", K$10:ED$10, IF($F48=""Magic"", K$11:ED$11, K$12:ED$12));K$4:ED$4;K48:ED48}, K48:ED48=TRUE)))), 1, 0),
       INDEX(TRANSPOSE(UNIQUE(TRANSPOSE(FILTER({IF($"&amp;"F48=""Physical"", K$18:ED$18, IF($F48=""Magic"", K$19:ED$19, K$20:ED$20));K$4:ED$4;K48:ED48}, K48:ED48=TRUE)))), 1, 0),
       INDEX(TRANSPOSE(UNIQUE(TRANSPOSE(FILTER({K$5:ED$5;K$4:ED$4;K48:ED48}, K48:ED48=TRUE)))), 1, 0),
       INDEX(TRANSPOSE(UNIQUE(TR"&amp;"ANSPOSE(FILTER({K$17:ED$17;K$4:ED$4;K48:ED48}, K48:ED48=TRUE)))), 1, 0),
       LAMBDA(
         mitigation,
         enhance,
         assign,
         precondition,
         IF(
           REGEXMATCH(assign, ""RANGE_PARTY|SINGLE_ENEMY|RANGE_ENEMY""),
  "&amp;"         IF(
             OR(ARRAYFORMULA((IF(precondition="""", FALSE, REGEXMATCH(K$4:ED$4, precondition))) * (K48:ED48=TRUE))),
             IF(ISNUMBER(enhance), enhance, 1),
             IF(ISNUMBER(mitigation), mitigation, 1)
           ),
          "&amp;" 1
         )
       )
     )
   ),
   1
 )"),1.0)</f>
        <v>1</v>
      </c>
      <c r="EF48" s="200">
        <f>IFERROR(__xludf.DUMMYFUNCTION("PRODUCT(
   MAP(
     K$14:ED$14,
     K$13:ED$13,
     K48:ED48,
     LAMBDA(
       buff,
       target,
       check,
       IF(
         AND(check=TRUE, REGEXMATCH(target, ""RANGE_AFFECTED_ALL|RANGE_EFFECTED_ALL""), ISNUMBER(buff)),
         buff,
   "&amp;"      1
       )
     )
   )
 )"),1.0)</f>
        <v>1</v>
      </c>
      <c r="EG48" s="200">
        <f>IFERROR(__xludf.DUMMYFUNCTION("PRODUCT(
   MAP(
     K$14:ED$14,
     K$13:ED$13,
     K48:ED48,
     LAMBDA(
       buff,
       target,
       check,
       IF(
         AND(check=TRUE, REGEXMATCH(target, ""RANGE_AFFECTED_GCD|RANGE_EFFECTED_GCD""), ISNUMBER(buff)),
         buff,
   "&amp;"      1
       )
     )
   )
 )"),1.0)</f>
        <v>1</v>
      </c>
      <c r="EH48" s="200">
        <f>IFERROR(__xludf.DUMMYFUNCTION("PRODUCT(
   MAP(
     K$3:ED$3,
     K$14:ED$14,
     K$13:ED$13,
     K48:ED48,
     LAMBDA(
       job,
       buff,
       target,
       check,
       IF(
         AND(check=TRUE, REGEXMATCH(target, ""SELF_EFFECTED_ALL""), ISNUMBER(buff), job=""白魔道士"""&amp;"),
         buff,
         1
       )
     )
   )
 )"),1.0)</f>
        <v>1</v>
      </c>
      <c r="EI48" s="200">
        <f>IFERROR(__xludf.DUMMYFUNCTION("PRODUCT(
   MAP(
     K$3:ED$3,
     K$14:ED$14,
     K$13:ED$13,
     K48:ED48,
     LAMBDA(
       job,
       buff,
       target,
       check,
       IF(
         AND(check=TRUE, REGEXMATCH(target, ""SELF_EFFECTED_GCD""), ISNUMBER(buff), job=""白魔道士"""&amp;"),
         buff,
         1
       )
     )
   )
 )"),1.0)</f>
        <v>1</v>
      </c>
      <c r="EJ48" s="200">
        <f>IFERROR(__xludf.DUMMYFUNCTION("PRODUCT(
   MAP(
     K$3:ED$3,
     K$14:ED$14,
     K$13:ED$13,
     K48:ED48,
     LAMBDA(
       job,
       buff,
       target,
       check,
       IF(
         AND(check=TRUE, REGEXMATCH(target, ""SELF_EFFECTED_ALL""), ISNUMBER(buff), job=""占星術師"""&amp;"),
         buff,
         1
       )
     )
   )
 )"),1.0)</f>
        <v>1</v>
      </c>
      <c r="EK48" s="200">
        <f>IFERROR(__xludf.DUMMYFUNCTION("PRODUCT(
   MAP(
     K$3:ED$3,
     K$14:ED$14,
     K$13:ED$13,
     K48:ED48,
     LAMBDA(
       job,
       buff,
       target,
       check,
       IF(
         AND(check=TRUE, REGEXMATCH(target, ""SELF_EFFECTED_GCD""), ISNUMBER(buff), job=""占星術師"""&amp;"),
         buff,
         1
       )
     )
   )
 )"),1.0)</f>
        <v>1</v>
      </c>
      <c r="EL48" s="200">
        <f>IFERROR(__xludf.DUMMYFUNCTION("PRODUCT(
   MAP(
     K$3:ED$3,
     K$14:ED$14,
     K$13:ED$13,
     K48:ED48,
     LAMBDA(
       job,
       buff,
       target,
       check,
       IF(
         AND(check=TRUE, REGEXMATCH(target, ""SELF_EFFECTED_ALL""), ISNUMBER(buff), job=""学者""),"&amp;"
         buff,
         1
       )
     )
   )
 )"),1.0)</f>
        <v>1</v>
      </c>
      <c r="EM48" s="200">
        <f>IFERROR(__xludf.DUMMYFUNCTION("PRODUCT(
   MAP(
     K$3:ED$3,
     K$14:ED$14,
     K$13:ED$13,
     K48:ED48,
     LAMBDA(
       job,
       buff,
       target,
       check,
       IF(
         AND(check=TRUE, REGEXMATCH(target, ""SELF_EFFECTED_GCD""), ISNUMBER(buff), job=""学者""),"&amp;"
         buff,
         1
       )
     )
   )
 )"),1.0)</f>
        <v>1</v>
      </c>
      <c r="EN48" s="200">
        <f>IFERROR(__xludf.DUMMYFUNCTION("PRODUCT(
   MAP(
     K$3:ED$3,
     K$14:ED$14,
     K$13:ED$13,
     K48:ED48,
     LAMBDA(
       job,
       buff,
       target,
       check,
       IF(
         AND(check=TRUE, REGEXMATCH(target, ""SELF_EFFECTED_ALL""), ISNUMBER(buff), job=""賢者""),"&amp;"
         buff,
         1
       )
     )
   )
 )"),1.0)</f>
        <v>1</v>
      </c>
      <c r="EO48" s="200">
        <f>IFERROR(__xludf.DUMMYFUNCTION("PRODUCT(
   MAP(
     K$3:ED$3,
     K$14:ED$14,
     K$13:ED$13,
     K48:ED48,
     LAMBDA(
       job,
       buff,
       target,
       check,
       IF(
         AND(check=TRUE, REGEXMATCH(target, ""SELF_EFFECTED_GCD""), ISNUMBER(buff), job=""賢者""),"&amp;"
         buff,
         1
       )
     )
   )
 )"),1.0)</f>
        <v>1</v>
      </c>
      <c r="EP48" s="201">
        <f t="shared" si="3"/>
        <v>0</v>
      </c>
      <c r="EQ48" s="201">
        <f>IFERROR(__xludf.DUMMYFUNCTION("SUM(
   MAP(
     K$4:ED$4,
     K$3:ED$3,
     K$7:ED$7,
     K$15:ED$15,
     K$16:ED$16,
     K$21:ED$21,
     K$5:ED$5,
     K$17:ED$17,
     K48:ED48,
     LAMBDA(
       name,
       job,
       abillity,
       buff,
       barrier,
       enhance,"&amp;"
       assign,
       precondition,
       check,
       SWITCH(
         name,
         ""シェイクオフ"", IF(check=TRUE, buff + (0.02 * COUNTIF(ARRAYFORMULA((REGEXMATCH($K$4:$ED$4, ""スリル・オブ・バトル|ヴェンジェンス|原初の血気|ダムネーション"")) * (K48:ED48=TRUE)), 1)), 0),
         "&amp;"""インプロビゼーションフィニッシュ(踊りの激情0)"", IF(ISNUMBER(check), INDEX(Skill!$AJ:$AJ, MATCH(SUBSTITUTE(DV$4, 0, check), Skill!$C:$C, 0)), 0),
         IF(
           AND(check=TRUE, REGEXMATCH(assign, ""RANGE_PARTY"")),
           IF(
             OR(ARRAYFORMULA((IF(pr"&amp;"econdition="""", FALSE, REGEXMATCH($K$4:$ED$4, precondition))) * (K48:ED48=TRUE))),
             enhance,
             IF(barrier="""", buff, barrier)
           ),
           0
         )
       ) *
       SWITCH(
         job,
         ""ナイト"", EY$24,
 "&amp;"        ""戦士"", FD$24,
         ""踊り子"", ET$24,
         ""ピクトマンサー"", ET$24,
         ""白魔道士"", EF48 * EH48 * IF(abillity, 1, EG48 * EI48) * (Option!$D$22 * 0.81 / 100),
         ""占星術師"", EF48 * EJ48 * IF(abillity, 1, EG48 * EK48) * (Option!$D$23 * 0.81 "&amp;"/ 100),
         ""学者"", EF48 * EL48 * IF(abillity, 1, EG48 * EM48) * (Option!$D$24 * 0.81 / 100),
         ""賢者"", EF48 * EN48 * IF(abillity, 1, EG48 * EO48) * (Option!$D$25 * 0.81 / 100),
         1
       )
     )
   )
 )"),0.0)</f>
        <v>0</v>
      </c>
      <c r="ER48" s="202">
        <f t="shared" si="4"/>
        <v>0</v>
      </c>
      <c r="ES48" s="203">
        <f t="shared" si="5"/>
        <v>0</v>
      </c>
      <c r="ET48" s="231" t="str">
        <f>IFERROR(__xludf.DUMMYFUNCTION("IFS(
  EP48 &gt; $ET$24 + EQ48,
  SPARKLINE({ 1, 0 }, {""charttype"",""bar"";""max"", 1;""color1"",Option!$D$30;""color2"",Option!$D$30}),
  EP48 &lt; EQ48,
  SPARKLINE({EQ48 - EP48, $ET$24 - (EQ48 - EP48)}, {""charttype"",""bar"";""max"",$ET$24;""color1"",Opti"&amp;"on!$D$28;""color2"",Option!$D$29}),
  EP48 &gt;= EQ48,
  SPARKLINE({$ET$24 + EQ48 - EP48,EP48 - EQ48}, {""charttype"",""bar"";""max"",$ET$24;""color1"",Option!$D$29;""color2"",Option!$D$30})
)"),"")</f>
        <v/>
      </c>
      <c r="EU48" s="205">
        <f>IFERROR(__xludf.DUMMYFUNCTION("PRODUCT(
   MAP(
     IF($F48=""Physical"", K$10:ED$10, IF($F48=""Magic"", K$11:ED$11, K$12:ED$12)),
     IF($F48=""Physical"", K$18:ED$18, IF($F48=""Magic"", K$19:ED$19, K$20:ED$20)),
     K$3:ED$3,
     K$5:ED$5,
     K$17:ED$17,
     K48:ED48,
     LAM"&amp;"BDA(
       mitigation,
       enhance,
       job,
       assign,
       precondition,
       check,
       IF(
         OR(AND(check=TRUE, REGEXMATCH(assign, ""SELF""), job=""ナイト""), AND(check=Option!$E$13, REGEXMATCH(assign, ""SINGLE_PARTY""))),
      "&amp;"   IF(
           OR(ARRAYFORMULA((IF(precondition="""", FALSE, REGEXMATCH($K$4:$ED$4, precondition))) * (K48:ED48=TRUE))),
           enhance,
           mitigation
         ),
         1
       )
     )
   )
 ) * EE48"),1.0)</f>
        <v>1</v>
      </c>
      <c r="EV48" s="206">
        <f t="shared" si="6"/>
        <v>0</v>
      </c>
      <c r="EW48" s="205">
        <f>IFERROR(__xludf.DUMMYFUNCTION("PRODUCT(
   MAP(
     K$3:ED$3,
     K$14:ED$14,
     K$13:ED$13,
     K48:ED48,
     LAMBDA(
       job,
       buff,
       target,
       check,
       IF(
         OR(AND(check=TRUE, REGEXMATCH(target, ""SELF_AFFECTED_ALL""), job=""ナイト""), AND(check=O"&amp;"ption!$E$13, REGEXMATCH(target, ""SINGLE_AFFECTED_ALL""))),
         buff,
         1
       )
     )
   )
 )"),1.0)</f>
        <v>1</v>
      </c>
      <c r="EX48" s="206">
        <f>IFERROR(__xludf.DUMMYFUNCTION("SUM(
   MAP(
     K$3:ED$3,
     K$7:ED$7,
     K$15:ED$15,
     K$16:ED$16,
     K$21:ED$21,
     K$5:ED$5,
     K$17:ED$17,
     K48:ED48,
     LAMBDA(
       job,
       abillity,
       buff,
       barrier,
       enhance,
       assign,
       preco"&amp;"ndition,
       check,
       IF(
         OR(AND(check=TRUE, REGEXMATCH(assign, ""SELF""), job=""ナイト""), AND(check=Option!$E$13, REGEXMATCH(assign, ""SINGLE_PARTY""))),
         IF(
           OR(ARRAYFORMULA((IF(precondition="""", FALSE, REGEXMATCH($K$4"&amp;":$ED$4, precondition))) * (K48:ED48=TRUE))),
           enhance,
           IF(barrier="""", buff, barrier)
         ),
         0
       ) *
       SWITCH(
         job,
         ""暗黒騎士"", EY$24,
         ""白魔道士"", EF48 * EH48 * EW48 * IF(abillity, 1, EG"&amp;"48 * EI48) * (Option!$D$22 * 0.81 / 100),
         ""占星術師"", EF48 * EJ48 * EW48 * IF(abillity, 1, EG48 * EK48) * (Option!$D$23 * 0.81 / 100),
         ""学者"", EF48 * EL48 * EW48 * IF(abillity, 1, EG48 * EM48) * (Option!$D$24 * 0.81 / 100),
         ""賢者"""&amp;", EF48 * EN48 * EW48 * IF(abillity, 1, EG48 * EO48) * (Option!$D$25 * 0.81 / 100),
         1
       )
     )
   )
 ) + EQ48"),0.0)</f>
        <v>0</v>
      </c>
      <c r="EY48" s="232">
        <f t="shared" si="7"/>
        <v>0</v>
      </c>
      <c r="EZ48" s="205">
        <f>IFERROR(__xludf.DUMMYFUNCTION("PRODUCT(
   MAP(
     IF($F48=""Physical"", K$10:ED$10, IF($F48=""Magic"", K$11:ED$11, K$12:ED$12)),
     IF($F48=""Physical"", K$18:ED$18, IF($F48=""Magic"", K$19:ED$19, K$20:ED$20)),
     K$3:ED$3,
     K$5:ED$5,
     K$17:ED$17,
     K48:ED48,
     LAM"&amp;"BDA(
       mitigation,
       enhance,
       job,
       assign,
       precondition,
       check,
       IF(
         OR(AND(check=TRUE, REGEXMATCH(assign, ""SELF""), job=""戦士""), AND(check=Option!$F$13, REGEXMATCH(assign, ""SINGLE_PARTY""))),
       "&amp;"  IF(
           OR(ARRAYFORMULA((IF(precondition="""", FALSE, REGEXMATCH($K$4:$ED$4, precondition))) * (K48:ED48=TRUE))),
           enhance,
           mitigation
         ),
         1
       )
     )
   )
 ) * EE48"),1.0)</f>
        <v>1</v>
      </c>
      <c r="FA48" s="206">
        <f t="shared" si="8"/>
        <v>0</v>
      </c>
      <c r="FB48" s="205">
        <f>IFERROR(__xludf.DUMMYFUNCTION("PRODUCT(
   MAP(
     K$3:ED$3,
     K$14:ED$14,
     K$13:ED$13,
     K48:ED48,
     LAMBDA(
       job,
       buff,
       target,
       check,
       IF(
         OR(AND(check=TRUE, REGEXMATCH(target, ""SELF_AFFECTED_ALL""), job=""戦士""), AND(check=Op"&amp;"tion!$F$13, REGEXMATCH(target, ""SINGLE_AFFECTED_ALL""))),
         buff,
         1
       )
     )
   )
 )"),1.0)</f>
        <v>1</v>
      </c>
      <c r="FC48" s="206">
        <f>IFERROR(__xludf.DUMMYFUNCTION("SUM(
   MAP(
     K$3:ED$3,
     K$7:ED$7,
     K$15:ED$15,
     K$16:ED$16,
     K$21:ED$21,
     K$5:ED$5,
     K$17:ED$17,
     K48:ED48,
     LAMBDA(
       job,
       abillity,
       buff,
       barrier,
       enhance,
       assign,
       preco"&amp;"ndition,
       check,
       IF(
         OR(AND(check=TRUE, REGEXMATCH(assign, ""SELF""), job=""戦士""), AND(check=Option!$F$13, REGEXMATCH(assign, ""SINGLE_PARTY""))),
         IF(
           OR(ARRAYFORMULA((IF(precondition="""", FALSE, REGEXMATCH($K$4:"&amp;"$ED$4, precondition))) * (K48:ED48=TRUE))),
           enhance,
           IF(barrier="""", buff, barrier)
         ),
         0
       ) *
       SWITCH(
         job,
         ""暗黒騎士"", FD$24,
         ""白魔道士"", EF48 * EH48 * FB48 * IF(abillity, 1, EG4"&amp;"8 * EI48) * (Option!$D$22 * 0.81 / 100),
         ""占星術師"", EF48 * EJ48 * FFB48 * IF(abillity, 1, EG48 * EK48) * (Option!$D$23 * 0.81 / 100),
         ""学者"", EF48 * EL48 * FB48 * IF(abillity, 1, EG48 * EM48) * (Option!$D$24 * 0.81 / 100),
         ""賢者"""&amp;", EF48 * EN48 * FB48 * IF(abillity, 1, EG48 * EO48) * (Option!$D$25 * 0.81 / 100),
         1
       )
     )
   )
 ) + EQ48"),0.0)</f>
        <v>0</v>
      </c>
      <c r="FD48" s="206">
        <f t="shared" si="9"/>
        <v>0</v>
      </c>
      <c r="FE48" s="205">
        <f>IFERROR(__xludf.DUMMYFUNCTION("PRODUCT(
   MAP(
     IF($F48=""Physical"", K$10:ED$10, IF($F48=""Magic"", K$11:ED$11, K$12:ED$12)),
     IF($F48=""Physical"", K$18:ED$18, IF($F48=""Magic"", K$19:ED$19, K$20:ED$20)),
     K$3:ED$3,
     K$5:ED$5,
     K$17:ED$17,
     K48:ED48,
     LAM"&amp;"BDA(
       mitigation,
       enhance,
       job,
       assign,
       precondition,
       check,
       IF(
         OR(AND(check=TRUE, REGEXMATCH(assign, ""SELF""), job=""暗黒騎士""), AND(check=Option!$G$13, REGEXMATCH(assign, ""SINGLE_PARTY""))),
     "&amp;"    IF(
           OR(ARRAYFORMULA((IF(precondition="""", FALSE, REGEXMATCH($K$4:$ED$4, precondition))) * (K48:ED48=TRUE))),
           enhance,
           mitigation
         ),
         1
       )
     )
   )
 ) * EE48"),1.0)</f>
        <v>1</v>
      </c>
      <c r="FF48" s="206">
        <f t="shared" si="10"/>
        <v>0</v>
      </c>
      <c r="FG48" s="205">
        <f>IFERROR(__xludf.DUMMYFUNCTION("PRODUCT(
   MAP(
     K$3:ED$3,
     K$14:ED$14,
     K$13:ED$13,
     K48:ED48,
     LAMBDA(
       job,
       buff,
       target,
       check,
       IF(
         OR(AND(check=TRUE, REGEXMATCH(target, ""SELF_AFFECTED_ALL""), job=""暗黒騎士""), AND(check="&amp;"Option!$G$13, REGEXMATCH(target, ""SINGLE_AFFECTED_ALL""))),
         buff,
         1
       )
     )
   )
 )"),1.0)</f>
        <v>1</v>
      </c>
      <c r="FH48" s="206">
        <f>IFERROR(__xludf.DUMMYFUNCTION("SUM(
   MAP(
     K$3:ED$3,
     K$7:ED$7,
     K$15:ED$15,
     K$16:ED$16,
     K$21:ED$21,
     K$5:ED$5,
     K$17:ED$17,
     K48:ED48,
     LAMBDA(
       job,
       abillity,
       buff,
       barrier,
       enhance,
       assign,
       preco"&amp;"ndition,
       check,
       IF(
         OR(AND(check=TRUE, REGEXMATCH(assign, ""SELF""), job=""暗黒騎士""), AND(check=Option!$G$13, REGEXMATCH(assign, ""SINGLE_PARTY""))),
         IF(
           OR(ARRAYFORMULA((IF(precondition="""", FALSE, REGEXMATCH($K$"&amp;"4:$ED$4, precondition))) * (K48:ED48=TRUE))),
           enhance,
           IF(barrier="""", buff, barrier)
         ),
         0
       ) *
       SWITCH(
         job,
         ""暗黒騎士"", FI$24,
         ""白魔道士"", EF48 * EH48 * FG48 * IF(abillity, 1, E"&amp;"G48 * EI48) * (Option!$D$22 * 0.81 / 100),
         ""占星術師"", EF48 * EJ48 * FG48 * IF(abillity, 1, EG48 * EK48) * (Option!$D$23 * 0.81 / 100),
         ""学者"", EF48 * EL48 * FG48 * IF(abillity, 1, EG48 * EM48) * (Option!$D$24 * 0.81 / 100),
         ""賢者"&amp;""", EF48 * EN48 * FG48 * IF(abillity, 1, EG48 * EO48) * (Option!$D$25 * 0.81 / 100),
         1
       )
     )
   )
 ) + EQ48"),0.0)</f>
        <v>0</v>
      </c>
      <c r="FI48" s="206">
        <f t="shared" si="11"/>
        <v>0</v>
      </c>
      <c r="FJ48" s="205">
        <f>IFERROR(__xludf.DUMMYFUNCTION("PRODUCT(
   MAP(
     IF($F48=""Physical"", K$10:ED$10, IF($F48=""Magic"", K$11:ED$11, K$12:ED$12)),
     IF($F48=""Physical"", K$18:ED$18, IF($F48=""Magic"", K$19:ED$19, K$20:ED$20)),
     K$3:ED$3,
     K$5:ED$5,
     K$17:ED$17,
     K48:ED48,
     LAM"&amp;"BDA(
       mitigation,
       enhance,
       job,
       assign,
       precondition,
       check,
       IF(
         OR(AND(check=TRUE, REGEXMATCH(assign, ""SELF""), job=""ガンブレイカー""), AND(check=Option!$H$13, REGEXMATCH(assign, ""SINGLE_PARTY""))),
  "&amp;"       IF(
           OR(ARRAYFORMULA((IF(precondition="""", FALSE, REGEXMATCH($K$4:$ED$4, precondition))) * (K48:ED48=TRUE))),
           enhance,
           mitigation
         ),
         1
       )
     )
   )
 ) * EE48"),1.0)</f>
        <v>1</v>
      </c>
      <c r="FK48" s="206">
        <f t="shared" si="12"/>
        <v>0</v>
      </c>
      <c r="FL48" s="205">
        <f>IFERROR(__xludf.DUMMYFUNCTION("PRODUCT(
   MAP(
     K$3:ED$3,
     K$14:ED$14,
     K$13:ED$13,
     K48:ED48,
     LAMBDA(
       job,
       buff,
       target,
       check,
       IF(
         OR(AND(check=TRUE, REGEXMATCH(target, ""SELF_AFFECTED_ALL""), job=""ガンブレイカー""), AND(che"&amp;"ck=Option!$H$13, REGEXMATCH(target, ""SINGLE_AFFECTED_ALL""))),
         buff,
         1
       )
     )
   )
 )"),1.0)</f>
        <v>1</v>
      </c>
      <c r="FM48" s="206">
        <f>IFERROR(__xludf.DUMMYFUNCTION("SUM(
   MAP(
     K$3:ED$3,
     K$7:ED$7,
     K$15:ED$15,
     K$16:ED$16,
     K$21:ED$21,
     K$5:ED$5,
     K$17:ED$17,
     K48:ED48,
     LAMBDA(
       job,
       abillity,
       buff,
       barrier,
       enhance,
       assign,
       preco"&amp;"ndition,
       check,
       IF(
         OR(AND(check=TRUE, REGEXMATCH(assign, ""SELF""), job=""ガンブレイカー""), AND(check=Option!$H$13, REGEXMATCH(assign, ""SINGLE_PARTY""))),
         IF(
           OR(ARRAYFORMULA((IF(precondition="""", FALSE, REGEXMATCH("&amp;"$K$4:$ED$4, precondition))) * (K48:ED48=TRUE))),
           enhance,
           IF(barrier="""", buff, barrier)
         ),
         0
       ) *
       SWITCH(
         job,
         ""暗黒騎士"", FN$24,
         ""白魔道士"", EF48 * EH48 * FL48 * IF(abillity, 1"&amp;", EG48 * EI48) * (Option!$D$22 * 0.81 / 100),
         ""占星術師"", EF48 * EJ48 * FL48 * IF(abillity, 1, EG48 * EK48) * (Option!$D$23 * 0.81 / 100),
         ""学者"", EF48 * EL48 * FL48 * IF(abillity, 1, EG48 * EM48) * (Option!$D$24 * 0.81 / 100),
         """&amp;"賢者"", EF48 * EN48 * FL48 * IF(abillity, 1, EG48 * EO48) * (Option!$D$25 * 0.81 / 100),
         1
       )
     )
   )
 ) + EQ48"),0.0)</f>
        <v>0</v>
      </c>
      <c r="FN48" s="206">
        <f t="shared" si="13"/>
        <v>0</v>
      </c>
      <c r="FO48" s="213"/>
    </row>
    <row r="49">
      <c r="B49" s="229"/>
      <c r="C49" s="217"/>
      <c r="D49" s="236"/>
      <c r="E49" s="238"/>
      <c r="F49" s="167"/>
      <c r="G49" s="168" t="str">
        <f t="shared" si="2"/>
        <v/>
      </c>
      <c r="H49" s="169"/>
      <c r="I49" s="169"/>
      <c r="J49" s="169"/>
      <c r="K49" s="170" t="b">
        <v>0</v>
      </c>
      <c r="L49" s="170" t="b">
        <v>0</v>
      </c>
      <c r="M49" s="170" t="b">
        <v>0</v>
      </c>
      <c r="N49" s="171" t="s">
        <v>1070</v>
      </c>
      <c r="O49" s="172" t="b">
        <v>0</v>
      </c>
      <c r="P49" s="173" t="b">
        <v>0</v>
      </c>
      <c r="Q49" s="173" t="b">
        <v>0</v>
      </c>
      <c r="R49" s="173" t="b">
        <v>0</v>
      </c>
      <c r="S49" s="174" t="b">
        <v>0</v>
      </c>
      <c r="T49" s="175" t="b">
        <v>0</v>
      </c>
      <c r="U49" s="173" t="b">
        <v>0</v>
      </c>
      <c r="V49" s="171" t="s">
        <v>1070</v>
      </c>
      <c r="W49" s="172" t="b">
        <v>0</v>
      </c>
      <c r="X49" s="173" t="b">
        <v>0</v>
      </c>
      <c r="Y49" s="173" t="b">
        <v>0</v>
      </c>
      <c r="Z49" s="173" t="b">
        <v>0</v>
      </c>
      <c r="AA49" s="174" t="b">
        <v>0</v>
      </c>
      <c r="AB49" s="174" t="b">
        <v>0</v>
      </c>
      <c r="AC49" s="175" t="b">
        <v>0</v>
      </c>
      <c r="AD49" s="173" t="b">
        <v>0</v>
      </c>
      <c r="AE49" s="176" t="s">
        <v>1070</v>
      </c>
      <c r="AF49" s="171" t="s">
        <v>1070</v>
      </c>
      <c r="AG49" s="177">
        <f>IFERROR(__xludf.DUMMYFUNCTION("IF(
  ISNUMBER(AG48),
  MIN(MAX(
    AG48
    + MAX(
      ROUNDDOWN(($D49 - MAX(IFERROR(FILTER($D$24:$D48, AG$24:AG48 &lt;&gt; AF$6, AG$23:AG47 = AF$6), 0))) * (60 * 60 * 24) / AF$9) - ROUNDDOWN(($D48 - MAX(IFERROR(FILTER($D$23:$D47, AG$23:AG47 &lt;&gt; AF$6, AG$22:"&amp;"AG46 = AF$6), 0))) * (60 * 60 * 24) / 60),
      0
    )
    - COUNTIF(AF49, ""&lt;&gt;-""),
  0), AF$6),
  AF$6 - COUNTIF(AF49, ""&lt;&gt;-"")
)"),2.0)</f>
        <v>2</v>
      </c>
      <c r="AH49" s="173" t="b">
        <v>0</v>
      </c>
      <c r="AI49" s="173" t="b">
        <v>0</v>
      </c>
      <c r="AJ49" s="173" t="b">
        <v>0</v>
      </c>
      <c r="AK49" s="174" t="b">
        <v>0</v>
      </c>
      <c r="AL49" s="175" t="b">
        <v>0</v>
      </c>
      <c r="AM49" s="173" t="b">
        <v>0</v>
      </c>
      <c r="AN49" s="171" t="s">
        <v>1070</v>
      </c>
      <c r="AO49" s="173" t="b">
        <v>0</v>
      </c>
      <c r="AP49" s="173" t="b">
        <v>0</v>
      </c>
      <c r="AQ49" s="173" t="b">
        <v>0</v>
      </c>
      <c r="AR49" s="174" t="b">
        <v>0</v>
      </c>
      <c r="AS49" s="178" t="b">
        <v>0</v>
      </c>
      <c r="AT49" s="179" t="b">
        <v>0</v>
      </c>
      <c r="AU49" s="180" t="b">
        <v>0</v>
      </c>
      <c r="AV49" s="180" t="b">
        <v>0</v>
      </c>
      <c r="AW49" s="180" t="b">
        <v>0</v>
      </c>
      <c r="AX49" s="180" t="b">
        <v>0</v>
      </c>
      <c r="AY49" s="181" t="s">
        <v>1070</v>
      </c>
      <c r="AZ49" s="181" t="s">
        <v>1070</v>
      </c>
      <c r="BA49" s="184">
        <f>IFERROR(__xludf.DUMMYFUNCTION("IF(
  ISNUMBER(BA48),
  MIN(MAX(
    BA48
    + MAX(
      ROUNDDOWN((D49 - MAX(IFERROR(FILTER(D$24:D48, BA$24:BA48 &lt;&gt; AZ$6, BA$23:BA47 = AZ$6), 0))) * (60 * 60 * 24) / AZ$9) - ROUNDDOWN((D48 - MAX(IFERROR(FILTER(D$23:D47, BA$23:BA47 &lt;&gt; AZ$6, BA$22:BA46 ="&amp;" AZ$6), 0))) * (60 * 60 * 24) / AZ$9),
      0
    )
    - COUNTIF(AZ49, ""&lt;&gt;-""),
  0), AZ$6),
  AZ$6 - COUNTIF(AZ49, ""&lt;&gt;-"")
)"),2.0)</f>
        <v>2</v>
      </c>
      <c r="BB49" s="181" t="s">
        <v>1070</v>
      </c>
      <c r="BC49" s="183">
        <f>IFERROR(__xludf.DUMMYFUNCTION("IF(
  ISNUMBER(BC48),
  MIN(MAX(
    BC48
    + MAX(
      ROUNDDOWN(($D49 - MAX(IFERROR(FILTER($D$24:$D48, BC$24:BC48 &lt;&gt; BB$6, BC$23:BC47 = BB$6), 0))) * (60 * 60 * 24) / BB$9) - ROUNDDOWN(($D48 - MAX(IFERROR(FILTER($D$23:$D47, BC$23:BC47 &lt;&gt; BB$6, BC$22:"&amp;"BC46 = BB$6), 0))) * (60 * 60 * 24) / 60),
      0
    )
    - COUNTIF(BB49, ""&lt;&gt;-""),
  0), BB$6),
  BB$6 - COUNTIF(BB49, ""&lt;&gt;-"")
)"),2.0)</f>
        <v>2</v>
      </c>
      <c r="BD49" s="181" t="s">
        <v>1070</v>
      </c>
      <c r="BE49" s="178" t="b">
        <v>0</v>
      </c>
      <c r="BF49" s="180" t="b">
        <v>0</v>
      </c>
      <c r="BG49" s="180" t="b">
        <v>0</v>
      </c>
      <c r="BH49" s="180" t="b">
        <v>0</v>
      </c>
      <c r="BI49" s="180" t="b">
        <v>0</v>
      </c>
      <c r="BJ49" s="180" t="b">
        <v>0</v>
      </c>
      <c r="BK49" s="180" t="b">
        <v>0</v>
      </c>
      <c r="BL49" s="180" t="b">
        <v>0</v>
      </c>
      <c r="BM49" s="180" t="b">
        <v>0</v>
      </c>
      <c r="BN49" s="180" t="b">
        <v>0</v>
      </c>
      <c r="BO49" s="181" t="s">
        <v>1070</v>
      </c>
      <c r="BP49" s="181" t="s">
        <v>1070</v>
      </c>
      <c r="BQ49" s="181" t="s">
        <v>1070</v>
      </c>
      <c r="BR49" s="181" t="s">
        <v>1070</v>
      </c>
      <c r="BS49" s="181" t="s">
        <v>1070</v>
      </c>
      <c r="BT49" s="184">
        <f>IFERROR(__xludf.DUMMYFUNCTION("IF(
  ISNUMBER(BT48),
  MIN(MAX(
    BT48
    + MAX(
      ROUNDDOWN((D49 - MAX(IFERROR(FILTER(D$24:D48, BT$24:BT48 &lt;&gt; BS$6, BT$23:BT47 = BS$6), 0))) * (60 * 60 * 24) / BS$9) - ROUNDDOWN((D48 - MAX(IFERROR(FILTER(D$23:D47, BT$23:BT47 &lt;&gt; BS$6, BT$22:BT46 ="&amp;" BS$6), 0))) * (60 * 60 * 24) / BS$9),
      0
    )
    - COUNTIF(BS49, ""&lt;&gt;-""),
  0), BS$6),
  BS$6 - COUNTIF(BS49, ""&lt;&gt;-"")
)"),3.0)</f>
        <v>3</v>
      </c>
      <c r="BU49" s="181" t="s">
        <v>1070</v>
      </c>
      <c r="BV49" s="181" t="s">
        <v>1070</v>
      </c>
      <c r="BW49" s="184">
        <f>IFERROR(__xludf.DUMMYFUNCTION("IF(
  ISNUMBER(BW48),
  MIN(MAX(
    BW48
    + MAX(
      ROUNDDOWN((D49 - MAX(IFERROR(FILTER(D$24:D48, BW$24:BW48 &lt;&gt; BV$6, BW$23:BW47 = BV$6), 0))) * (60 * 60 * 24) / BV$9) - ROUNDDOWN((D48 - MAX(IFERROR(FILTER(D$23:D47, BW$23:BW47 &lt;&gt; BV$6, BW$22:BW46 ="&amp;" BV$6), 0))) * (60 * 60 * 24) / BV$9),
      0
    )
    - COUNTIF(BV49, ""&lt;&gt;-""),
  0), BV$6),
  BV$6 - COUNTIF(BV49, ""&lt;&gt;-"")
)"),2.0)</f>
        <v>2</v>
      </c>
      <c r="BX49" s="185" t="s">
        <v>1070</v>
      </c>
      <c r="BY49" s="178" t="b">
        <v>0</v>
      </c>
      <c r="BZ49" s="180" t="b">
        <v>0</v>
      </c>
      <c r="CA49" s="180" t="b">
        <v>0</v>
      </c>
      <c r="CB49" s="180" t="b">
        <v>0</v>
      </c>
      <c r="CC49" s="180" t="b">
        <v>0</v>
      </c>
      <c r="CD49" s="180" t="b">
        <v>0</v>
      </c>
      <c r="CE49" s="180" t="b">
        <v>0</v>
      </c>
      <c r="CF49" s="180" t="b">
        <v>0</v>
      </c>
      <c r="CG49" s="180" t="b">
        <v>0</v>
      </c>
      <c r="CH49" s="180" t="b">
        <v>0</v>
      </c>
      <c r="CI49" s="180" t="b">
        <v>0</v>
      </c>
      <c r="CJ49" s="180" t="b">
        <v>0</v>
      </c>
      <c r="CK49" s="180" t="b">
        <v>0</v>
      </c>
      <c r="CL49" s="180" t="b">
        <v>0</v>
      </c>
      <c r="CM49" s="181" t="s">
        <v>1070</v>
      </c>
      <c r="CN49" s="181" t="s">
        <v>1070</v>
      </c>
      <c r="CO49" s="181" t="s">
        <v>1070</v>
      </c>
      <c r="CP49" s="181" t="s">
        <v>1070</v>
      </c>
      <c r="CQ49" s="185" t="s">
        <v>1070</v>
      </c>
      <c r="CR49" s="180" t="b">
        <v>0</v>
      </c>
      <c r="CS49" s="186" t="str">
        <f t="shared" si="14"/>
        <v>◇◇◇</v>
      </c>
      <c r="CT49" s="178" t="b">
        <v>0</v>
      </c>
      <c r="CU49" s="180" t="b">
        <v>0</v>
      </c>
      <c r="CV49" s="180" t="b">
        <v>0</v>
      </c>
      <c r="CW49" s="180" t="b">
        <v>0</v>
      </c>
      <c r="CX49" s="180" t="b">
        <v>0</v>
      </c>
      <c r="CY49" s="180" t="b">
        <v>0</v>
      </c>
      <c r="CZ49" s="180" t="b">
        <v>0</v>
      </c>
      <c r="DA49" s="180" t="b">
        <v>0</v>
      </c>
      <c r="DB49" s="180" t="b">
        <v>0</v>
      </c>
      <c r="DC49" s="180" t="b">
        <v>0</v>
      </c>
      <c r="DD49" s="181" t="s">
        <v>1070</v>
      </c>
      <c r="DE49" s="181" t="s">
        <v>1070</v>
      </c>
      <c r="DF49" s="181" t="s">
        <v>1070</v>
      </c>
      <c r="DG49" s="185" t="s">
        <v>1070</v>
      </c>
      <c r="DH49" s="180" t="b">
        <v>0</v>
      </c>
      <c r="DI49" s="187" t="str">
        <f>IFERROR(__xludf.DUMMYFUNCTION("SWITCH(
  IF(
    ISTEXT(DI48),
    IF (
      FIND(""○"", DI48&amp;""○"") &gt; 3,
      3,
      FIND(""○"", DI48&amp;""○"")
      + MAX(
        ROUNDDOWN(($D49 - MAX(IFERROR(FILTER(D$24:D48, DI$24:DI48 &lt;&gt; ""●●●"", DI$23:DI47 = ""●●●""), 0))) * (60 * 60 * 24) / 20"&amp;") - ROUNDDOWN(($D48 - MAX(IFERROR(FILTER(D$23:D47, DI$23:DI47 &lt;&gt; ""●●●"", DI$22:DI46 = ""●●●""), 0))) * (60 * 60 * 24) / 20),
        0
      ) - 1
    ) - COUNTIFS(CU49, ""=TRUE"", CU48, ""&lt;&gt;TRUE"") - COUNTIF(CZ49, ""=TRUE"") - COUNTIF({DD49,DE49}, ""&lt;&gt;-"&amp;""") + COUNTIF(DH49, ""=TRUE""),
    3
  ),
  0, ""○○○"", 1, ""●○○"", 2, ""●●○"", 3, ""●●●"", 4, ""●●●"", ""○○○""
)"),"●●●")</f>
        <v>●●●</v>
      </c>
      <c r="DJ49" s="188" t="b">
        <v>0</v>
      </c>
      <c r="DK49" s="189" t="b">
        <v>0</v>
      </c>
      <c r="DL49" s="190" t="b">
        <v>0</v>
      </c>
      <c r="DM49" s="190" t="b">
        <v>0</v>
      </c>
      <c r="DN49" s="190" t="b">
        <v>0</v>
      </c>
      <c r="DO49" s="190" t="b">
        <v>0</v>
      </c>
      <c r="DP49" s="190" t="b">
        <v>0</v>
      </c>
      <c r="DQ49" s="191" t="b">
        <v>0</v>
      </c>
      <c r="DR49" s="192" t="b">
        <v>0</v>
      </c>
      <c r="DS49" s="191" t="b">
        <v>0</v>
      </c>
      <c r="DT49" s="192" t="b">
        <v>0</v>
      </c>
      <c r="DU49" s="191" t="b">
        <v>0</v>
      </c>
      <c r="DV49" s="193" t="s">
        <v>1070</v>
      </c>
      <c r="DW49" s="194" t="b">
        <v>0</v>
      </c>
      <c r="DX49" s="194" t="b">
        <v>0</v>
      </c>
      <c r="DY49" s="195" t="b">
        <v>0</v>
      </c>
      <c r="DZ49" s="196" t="b">
        <v>0</v>
      </c>
      <c r="EA49" s="195" t="b">
        <v>0</v>
      </c>
      <c r="EB49" s="197" t="b">
        <v>0</v>
      </c>
      <c r="EC49" s="197" t="b">
        <v>0</v>
      </c>
      <c r="ED49" s="212" t="b">
        <v>0</v>
      </c>
      <c r="EE49" s="199">
        <f>IFERROR(__xludf.DUMMYFUNCTION("IFERROR(
   PRODUCT(
     MAP(
       INDEX(TRANSPOSE(UNIQUE(TRANSPOSE(FILTER({IF($F49=""Physical"", K$10:ED$10, IF($F49=""Magic"", K$11:ED$11, K$12:ED$12));K$4:ED$4;K49:ED49}, K49:ED49=TRUE)))), 1, 0),
       INDEX(TRANSPOSE(UNIQUE(TRANSPOSE(FILTER({IF($"&amp;"F49=""Physical"", K$18:ED$18, IF($F49=""Magic"", K$19:ED$19, K$20:ED$20));K$4:ED$4;K49:ED49}, K49:ED49=TRUE)))), 1, 0),
       INDEX(TRANSPOSE(UNIQUE(TRANSPOSE(FILTER({K$5:ED$5;K$4:ED$4;K49:ED49}, K49:ED49=TRUE)))), 1, 0),
       INDEX(TRANSPOSE(UNIQUE(TR"&amp;"ANSPOSE(FILTER({K$17:ED$17;K$4:ED$4;K49:ED49}, K49:ED49=TRUE)))), 1, 0),
       LAMBDA(
         mitigation,
         enhance,
         assign,
         precondition,
         IF(
           REGEXMATCH(assign, ""RANGE_PARTY|SINGLE_ENEMY|RANGE_ENEMY""),
  "&amp;"         IF(
             OR(ARRAYFORMULA((IF(precondition="""", FALSE, REGEXMATCH(K$4:ED$4, precondition))) * (K49:ED49=TRUE))),
             IF(ISNUMBER(enhance), enhance, 1),
             IF(ISNUMBER(mitigation), mitigation, 1)
           ),
          "&amp;" 1
         )
       )
     )
   ),
   1
 )"),1.0)</f>
        <v>1</v>
      </c>
      <c r="EF49" s="200">
        <f>IFERROR(__xludf.DUMMYFUNCTION("PRODUCT(
   MAP(
     K$14:ED$14,
     K$13:ED$13,
     K49:ED49,
     LAMBDA(
       buff,
       target,
       check,
       IF(
         AND(check=TRUE, REGEXMATCH(target, ""RANGE_AFFECTED_ALL|RANGE_EFFECTED_ALL""), ISNUMBER(buff)),
         buff,
   "&amp;"      1
       )
     )
   )
 )"),1.0)</f>
        <v>1</v>
      </c>
      <c r="EG49" s="200">
        <f>IFERROR(__xludf.DUMMYFUNCTION("PRODUCT(
   MAP(
     K$14:ED$14,
     K$13:ED$13,
     K49:ED49,
     LAMBDA(
       buff,
       target,
       check,
       IF(
         AND(check=TRUE, REGEXMATCH(target, ""RANGE_AFFECTED_GCD|RANGE_EFFECTED_GCD""), ISNUMBER(buff)),
         buff,
   "&amp;"      1
       )
     )
   )
 )"),1.0)</f>
        <v>1</v>
      </c>
      <c r="EH49" s="200">
        <f>IFERROR(__xludf.DUMMYFUNCTION("PRODUCT(
   MAP(
     K$3:ED$3,
     K$14:ED$14,
     K$13:ED$13,
     K49:ED49,
     LAMBDA(
       job,
       buff,
       target,
       check,
       IF(
         AND(check=TRUE, REGEXMATCH(target, ""SELF_EFFECTED_ALL""), ISNUMBER(buff), job=""白魔道士"""&amp;"),
         buff,
         1
       )
     )
   )
 )"),1.0)</f>
        <v>1</v>
      </c>
      <c r="EI49" s="200">
        <f>IFERROR(__xludf.DUMMYFUNCTION("PRODUCT(
   MAP(
     K$3:ED$3,
     K$14:ED$14,
     K$13:ED$13,
     K49:ED49,
     LAMBDA(
       job,
       buff,
       target,
       check,
       IF(
         AND(check=TRUE, REGEXMATCH(target, ""SELF_EFFECTED_GCD""), ISNUMBER(buff), job=""白魔道士"""&amp;"),
         buff,
         1
       )
     )
   )
 )"),1.0)</f>
        <v>1</v>
      </c>
      <c r="EJ49" s="200">
        <f>IFERROR(__xludf.DUMMYFUNCTION("PRODUCT(
   MAP(
     K$3:ED$3,
     K$14:ED$14,
     K$13:ED$13,
     K49:ED49,
     LAMBDA(
       job,
       buff,
       target,
       check,
       IF(
         AND(check=TRUE, REGEXMATCH(target, ""SELF_EFFECTED_ALL""), ISNUMBER(buff), job=""占星術師"""&amp;"),
         buff,
         1
       )
     )
   )
 )"),1.0)</f>
        <v>1</v>
      </c>
      <c r="EK49" s="200">
        <f>IFERROR(__xludf.DUMMYFUNCTION("PRODUCT(
   MAP(
     K$3:ED$3,
     K$14:ED$14,
     K$13:ED$13,
     K49:ED49,
     LAMBDA(
       job,
       buff,
       target,
       check,
       IF(
         AND(check=TRUE, REGEXMATCH(target, ""SELF_EFFECTED_GCD""), ISNUMBER(buff), job=""占星術師"""&amp;"),
         buff,
         1
       )
     )
   )
 )"),1.0)</f>
        <v>1</v>
      </c>
      <c r="EL49" s="200">
        <f>IFERROR(__xludf.DUMMYFUNCTION("PRODUCT(
   MAP(
     K$3:ED$3,
     K$14:ED$14,
     K$13:ED$13,
     K49:ED49,
     LAMBDA(
       job,
       buff,
       target,
       check,
       IF(
         AND(check=TRUE, REGEXMATCH(target, ""SELF_EFFECTED_ALL""), ISNUMBER(buff), job=""学者""),"&amp;"
         buff,
         1
       )
     )
   )
 )"),1.0)</f>
        <v>1</v>
      </c>
      <c r="EM49" s="200">
        <f>IFERROR(__xludf.DUMMYFUNCTION("PRODUCT(
   MAP(
     K$3:ED$3,
     K$14:ED$14,
     K$13:ED$13,
     K49:ED49,
     LAMBDA(
       job,
       buff,
       target,
       check,
       IF(
         AND(check=TRUE, REGEXMATCH(target, ""SELF_EFFECTED_GCD""), ISNUMBER(buff), job=""学者""),"&amp;"
         buff,
         1
       )
     )
   )
 )"),1.0)</f>
        <v>1</v>
      </c>
      <c r="EN49" s="200">
        <f>IFERROR(__xludf.DUMMYFUNCTION("PRODUCT(
   MAP(
     K$3:ED$3,
     K$14:ED$14,
     K$13:ED$13,
     K49:ED49,
     LAMBDA(
       job,
       buff,
       target,
       check,
       IF(
         AND(check=TRUE, REGEXMATCH(target, ""SELF_EFFECTED_ALL""), ISNUMBER(buff), job=""賢者""),"&amp;"
         buff,
         1
       )
     )
   )
 )"),1.0)</f>
        <v>1</v>
      </c>
      <c r="EO49" s="200">
        <f>IFERROR(__xludf.DUMMYFUNCTION("PRODUCT(
   MAP(
     K$3:ED$3,
     K$14:ED$14,
     K$13:ED$13,
     K49:ED49,
     LAMBDA(
       job,
       buff,
       target,
       check,
       IF(
         AND(check=TRUE, REGEXMATCH(target, ""SELF_EFFECTED_GCD""), ISNUMBER(buff), job=""賢者""),"&amp;"
         buff,
         1
       )
     )
   )
 )"),1.0)</f>
        <v>1</v>
      </c>
      <c r="EP49" s="201">
        <f t="shared" si="3"/>
        <v>0</v>
      </c>
      <c r="EQ49" s="201">
        <f>IFERROR(__xludf.DUMMYFUNCTION("SUM(
   MAP(
     K$4:ED$4,
     K$3:ED$3,
     K$7:ED$7,
     K$15:ED$15,
     K$16:ED$16,
     K$21:ED$21,
     K$5:ED$5,
     K$17:ED$17,
     K49:ED49,
     LAMBDA(
       name,
       job,
       abillity,
       buff,
       barrier,
       enhance,"&amp;"
       assign,
       precondition,
       check,
       SWITCH(
         name,
         ""シェイクオフ"", IF(check=TRUE, buff + (0.02 * COUNTIF(ARRAYFORMULA((REGEXMATCH($K$4:$ED$4, ""スリル・オブ・バトル|ヴェンジェンス|原初の血気|ダムネーション"")) * (K49:ED49=TRUE)), 1)), 0),
         "&amp;"""インプロビゼーションフィニッシュ(踊りの激情0)"", IF(ISNUMBER(check), INDEX(Skill!$AJ:$AJ, MATCH(SUBSTITUTE(DV$4, 0, check), Skill!$C:$C, 0)), 0),
         IF(
           AND(check=TRUE, REGEXMATCH(assign, ""RANGE_PARTY"")),
           IF(
             OR(ARRAYFORMULA((IF(pr"&amp;"econdition="""", FALSE, REGEXMATCH($K$4:$ED$4, precondition))) * (K49:ED49=TRUE))),
             enhance,
             IF(barrier="""", buff, barrier)
           ),
           0
         )
       ) *
       SWITCH(
         job,
         ""ナイト"", EY$24,
 "&amp;"        ""戦士"", FD$24,
         ""踊り子"", ET$24,
         ""ピクトマンサー"", ET$24,
         ""白魔道士"", EF49 * EH49 * IF(abillity, 1, EG49 * EI49) * (Option!$D$22 * 0.81 / 100),
         ""占星術師"", EF49 * EJ49 * IF(abillity, 1, EG49 * EK49) * (Option!$D$23 * 0.81 "&amp;"/ 100),
         ""学者"", EF49 * EL49 * IF(abillity, 1, EG49 * EM49) * (Option!$D$24 * 0.81 / 100),
         ""賢者"", EF49 * EN49 * IF(abillity, 1, EG49 * EO49) * (Option!$D$25 * 0.81 / 100),
         1
       )
     )
   )
 )"),0.0)</f>
        <v>0</v>
      </c>
      <c r="ER49" s="202">
        <f t="shared" si="4"/>
        <v>0</v>
      </c>
      <c r="ES49" s="203">
        <f t="shared" si="5"/>
        <v>0</v>
      </c>
      <c r="ET49" s="231" t="str">
        <f>IFERROR(__xludf.DUMMYFUNCTION("IFS(
  EP49 &gt; $ET$24 + EQ49,
  SPARKLINE({ 1, 0 }, {""charttype"",""bar"";""max"", 1;""color1"",Option!$D$30;""color2"",Option!$D$30}),
  EP49 &lt; EQ49,
  SPARKLINE({EQ49 - EP49, $ET$24 - (EQ49 - EP49)}, {""charttype"",""bar"";""max"",$ET$24;""color1"",Opti"&amp;"on!$D$28;""color2"",Option!$D$29}),
  EP49 &gt;= EQ49,
  SPARKLINE({$ET$24 + EQ49 - EP49,EP49 - EQ49}, {""charttype"",""bar"";""max"",$ET$24;""color1"",Option!$D$29;""color2"",Option!$D$30})
)"),"")</f>
        <v/>
      </c>
      <c r="EU49" s="205">
        <f>IFERROR(__xludf.DUMMYFUNCTION("PRODUCT(
   MAP(
     IF($F49=""Physical"", K$10:ED$10, IF($F49=""Magic"", K$11:ED$11, K$12:ED$12)),
     IF($F49=""Physical"", K$18:ED$18, IF($F49=""Magic"", K$19:ED$19, K$20:ED$20)),
     K$3:ED$3,
     K$5:ED$5,
     K$17:ED$17,
     K49:ED49,
     LAM"&amp;"BDA(
       mitigation,
       enhance,
       job,
       assign,
       precondition,
       check,
       IF(
         OR(AND(check=TRUE, REGEXMATCH(assign, ""SELF""), job=""ナイト""), AND(check=Option!$E$13, REGEXMATCH(assign, ""SINGLE_PARTY""))),
      "&amp;"   IF(
           OR(ARRAYFORMULA((IF(precondition="""", FALSE, REGEXMATCH($K$4:$ED$4, precondition))) * (K49:ED49=TRUE))),
           enhance,
           mitigation
         ),
         1
       )
     )
   )
 ) * EE49"),1.0)</f>
        <v>1</v>
      </c>
      <c r="EV49" s="206">
        <f t="shared" si="6"/>
        <v>0</v>
      </c>
      <c r="EW49" s="205">
        <f>IFERROR(__xludf.DUMMYFUNCTION("PRODUCT(
   MAP(
     K$3:ED$3,
     K$14:ED$14,
     K$13:ED$13,
     K49:ED49,
     LAMBDA(
       job,
       buff,
       target,
       check,
       IF(
         OR(AND(check=TRUE, REGEXMATCH(target, ""SELF_AFFECTED_ALL""), job=""ナイト""), AND(check=O"&amp;"ption!$E$13, REGEXMATCH(target, ""SINGLE_AFFECTED_ALL""))),
         buff,
         1
       )
     )
   )
 )"),1.0)</f>
        <v>1</v>
      </c>
      <c r="EX49" s="206">
        <f>IFERROR(__xludf.DUMMYFUNCTION("SUM(
   MAP(
     K$3:ED$3,
     K$7:ED$7,
     K$15:ED$15,
     K$16:ED$16,
     K$21:ED$21,
     K$5:ED$5,
     K$17:ED$17,
     K49:ED49,
     LAMBDA(
       job,
       abillity,
       buff,
       barrier,
       enhance,
       assign,
       preco"&amp;"ndition,
       check,
       IF(
         OR(AND(check=TRUE, REGEXMATCH(assign, ""SELF""), job=""ナイト""), AND(check=Option!$E$13, REGEXMATCH(assign, ""SINGLE_PARTY""))),
         IF(
           OR(ARRAYFORMULA((IF(precondition="""", FALSE, REGEXMATCH($K$4"&amp;":$ED$4, precondition))) * (K49:ED49=TRUE))),
           enhance,
           IF(barrier="""", buff, barrier)
         ),
         0
       ) *
       SWITCH(
         job,
         ""暗黒騎士"", EY$24,
         ""白魔道士"", EF49 * EH49 * EW49 * IF(abillity, 1, EG"&amp;"49 * EI49) * (Option!$D$22 * 0.81 / 100),
         ""占星術師"", EF49 * EJ49 * EW49 * IF(abillity, 1, EG49 * EK49) * (Option!$D$23 * 0.81 / 100),
         ""学者"", EF49 * EL49 * EW49 * IF(abillity, 1, EG49 * EM49) * (Option!$D$24 * 0.81 / 100),
         ""賢者"""&amp;", EF49 * EN49 * EW49 * IF(abillity, 1, EG49 * EO49) * (Option!$D$25 * 0.81 / 100),
         1
       )
     )
   )
 ) + EQ49"),0.0)</f>
        <v>0</v>
      </c>
      <c r="EY49" s="232">
        <f t="shared" si="7"/>
        <v>0</v>
      </c>
      <c r="EZ49" s="205">
        <f>IFERROR(__xludf.DUMMYFUNCTION("PRODUCT(
   MAP(
     IF($F49=""Physical"", K$10:ED$10, IF($F49=""Magic"", K$11:ED$11, K$12:ED$12)),
     IF($F49=""Physical"", K$18:ED$18, IF($F49=""Magic"", K$19:ED$19, K$20:ED$20)),
     K$3:ED$3,
     K$5:ED$5,
     K$17:ED$17,
     K49:ED49,
     LAM"&amp;"BDA(
       mitigation,
       enhance,
       job,
       assign,
       precondition,
       check,
       IF(
         OR(AND(check=TRUE, REGEXMATCH(assign, ""SELF""), job=""戦士""), AND(check=Option!$F$13, REGEXMATCH(assign, ""SINGLE_PARTY""))),
       "&amp;"  IF(
           OR(ARRAYFORMULA((IF(precondition="""", FALSE, REGEXMATCH($K$4:$ED$4, precondition))) * (K49:ED49=TRUE))),
           enhance,
           mitigation
         ),
         1
       )
     )
   )
 ) * EE49"),1.0)</f>
        <v>1</v>
      </c>
      <c r="FA49" s="206">
        <f t="shared" si="8"/>
        <v>0</v>
      </c>
      <c r="FB49" s="205">
        <f>IFERROR(__xludf.DUMMYFUNCTION("PRODUCT(
   MAP(
     K$3:ED$3,
     K$14:ED$14,
     K$13:ED$13,
     K49:ED49,
     LAMBDA(
       job,
       buff,
       target,
       check,
       IF(
         OR(AND(check=TRUE, REGEXMATCH(target, ""SELF_AFFECTED_ALL""), job=""戦士""), AND(check=Op"&amp;"tion!$F$13, REGEXMATCH(target, ""SINGLE_AFFECTED_ALL""))),
         buff,
         1
       )
     )
   )
 )"),1.0)</f>
        <v>1</v>
      </c>
      <c r="FC49" s="206">
        <f>IFERROR(__xludf.DUMMYFUNCTION("SUM(
   MAP(
     K$3:ED$3,
     K$7:ED$7,
     K$15:ED$15,
     K$16:ED$16,
     K$21:ED$21,
     K$5:ED$5,
     K$17:ED$17,
     K49:ED49,
     LAMBDA(
       job,
       abillity,
       buff,
       barrier,
       enhance,
       assign,
       preco"&amp;"ndition,
       check,
       IF(
         OR(AND(check=TRUE, REGEXMATCH(assign, ""SELF""), job=""戦士""), AND(check=Option!$F$13, REGEXMATCH(assign, ""SINGLE_PARTY""))),
         IF(
           OR(ARRAYFORMULA((IF(precondition="""", FALSE, REGEXMATCH($K$4:"&amp;"$ED$4, precondition))) * (K49:ED49=TRUE))),
           enhance,
           IF(barrier="""", buff, barrier)
         ),
         0
       ) *
       SWITCH(
         job,
         ""暗黒騎士"", FD$24,
         ""白魔道士"", EF49 * EH49 * FB49 * IF(abillity, 1, EG4"&amp;"9 * EI49) * (Option!$D$22 * 0.81 / 100),
         ""占星術師"", EF49 * EJ49 * FFB49 * IF(abillity, 1, EG49 * EK49) * (Option!$D$23 * 0.81 / 100),
         ""学者"", EF49 * EL49 * FB49 * IF(abillity, 1, EG49 * EM49) * (Option!$D$24 * 0.81 / 100),
         ""賢者"""&amp;", EF49 * EN49 * FB49 * IF(abillity, 1, EG49 * EO49) * (Option!$D$25 * 0.81 / 100),
         1
       )
     )
   )
 ) + EQ49"),0.0)</f>
        <v>0</v>
      </c>
      <c r="FD49" s="206">
        <f t="shared" si="9"/>
        <v>0</v>
      </c>
      <c r="FE49" s="205">
        <f>IFERROR(__xludf.DUMMYFUNCTION("PRODUCT(
   MAP(
     IF($F49=""Physical"", K$10:ED$10, IF($F49=""Magic"", K$11:ED$11, K$12:ED$12)),
     IF($F49=""Physical"", K$18:ED$18, IF($F49=""Magic"", K$19:ED$19, K$20:ED$20)),
     K$3:ED$3,
     K$5:ED$5,
     K$17:ED$17,
     K49:ED49,
     LAM"&amp;"BDA(
       mitigation,
       enhance,
       job,
       assign,
       precondition,
       check,
       IF(
         OR(AND(check=TRUE, REGEXMATCH(assign, ""SELF""), job=""暗黒騎士""), AND(check=Option!$G$13, REGEXMATCH(assign, ""SINGLE_PARTY""))),
     "&amp;"    IF(
           OR(ARRAYFORMULA((IF(precondition="""", FALSE, REGEXMATCH($K$4:$ED$4, precondition))) * (K49:ED49=TRUE))),
           enhance,
           mitigation
         ),
         1
       )
     )
   )
 ) * EE49"),1.0)</f>
        <v>1</v>
      </c>
      <c r="FF49" s="206">
        <f t="shared" si="10"/>
        <v>0</v>
      </c>
      <c r="FG49" s="205">
        <f>IFERROR(__xludf.DUMMYFUNCTION("PRODUCT(
   MAP(
     K$3:ED$3,
     K$14:ED$14,
     K$13:ED$13,
     K49:ED49,
     LAMBDA(
       job,
       buff,
       target,
       check,
       IF(
         OR(AND(check=TRUE, REGEXMATCH(target, ""SELF_AFFECTED_ALL""), job=""暗黒騎士""), AND(check="&amp;"Option!$G$13, REGEXMATCH(target, ""SINGLE_AFFECTED_ALL""))),
         buff,
         1
       )
     )
   )
 )"),1.0)</f>
        <v>1</v>
      </c>
      <c r="FH49" s="206">
        <f>IFERROR(__xludf.DUMMYFUNCTION("SUM(
   MAP(
     K$3:ED$3,
     K$7:ED$7,
     K$15:ED$15,
     K$16:ED$16,
     K$21:ED$21,
     K$5:ED$5,
     K$17:ED$17,
     K49:ED49,
     LAMBDA(
       job,
       abillity,
       buff,
       barrier,
       enhance,
       assign,
       preco"&amp;"ndition,
       check,
       IF(
         OR(AND(check=TRUE, REGEXMATCH(assign, ""SELF""), job=""暗黒騎士""), AND(check=Option!$G$13, REGEXMATCH(assign, ""SINGLE_PARTY""))),
         IF(
           OR(ARRAYFORMULA((IF(precondition="""", FALSE, REGEXMATCH($K$"&amp;"4:$ED$4, precondition))) * (K49:ED49=TRUE))),
           enhance,
           IF(barrier="""", buff, barrier)
         ),
         0
       ) *
       SWITCH(
         job,
         ""暗黒騎士"", FI$24,
         ""白魔道士"", EF49 * EH49 * FG49 * IF(abillity, 1, E"&amp;"G49 * EI49) * (Option!$D$22 * 0.81 / 100),
         ""占星術師"", EF49 * EJ49 * FG49 * IF(abillity, 1, EG49 * EK49) * (Option!$D$23 * 0.81 / 100),
         ""学者"", EF49 * EL49 * FG49 * IF(abillity, 1, EG49 * EM49) * (Option!$D$24 * 0.81 / 100),
         ""賢者"&amp;""", EF49 * EN49 * FG49 * IF(abillity, 1, EG49 * EO49) * (Option!$D$25 * 0.81 / 100),
         1
       )
     )
   )
 ) + EQ49"),0.0)</f>
        <v>0</v>
      </c>
      <c r="FI49" s="206">
        <f t="shared" si="11"/>
        <v>0</v>
      </c>
      <c r="FJ49" s="205">
        <f>IFERROR(__xludf.DUMMYFUNCTION("PRODUCT(
   MAP(
     IF($F49=""Physical"", K$10:ED$10, IF($F49=""Magic"", K$11:ED$11, K$12:ED$12)),
     IF($F49=""Physical"", K$18:ED$18, IF($F49=""Magic"", K$19:ED$19, K$20:ED$20)),
     K$3:ED$3,
     K$5:ED$5,
     K$17:ED$17,
     K49:ED49,
     LAM"&amp;"BDA(
       mitigation,
       enhance,
       job,
       assign,
       precondition,
       check,
       IF(
         OR(AND(check=TRUE, REGEXMATCH(assign, ""SELF""), job=""ガンブレイカー""), AND(check=Option!$H$13, REGEXMATCH(assign, ""SINGLE_PARTY""))),
  "&amp;"       IF(
           OR(ARRAYFORMULA((IF(precondition="""", FALSE, REGEXMATCH($K$4:$ED$4, precondition))) * (K49:ED49=TRUE))),
           enhance,
           mitigation
         ),
         1
       )
     )
   )
 ) * EE49"),1.0)</f>
        <v>1</v>
      </c>
      <c r="FK49" s="206">
        <f t="shared" si="12"/>
        <v>0</v>
      </c>
      <c r="FL49" s="205">
        <f>IFERROR(__xludf.DUMMYFUNCTION("PRODUCT(
   MAP(
     K$3:ED$3,
     K$14:ED$14,
     K$13:ED$13,
     K49:ED49,
     LAMBDA(
       job,
       buff,
       target,
       check,
       IF(
         OR(AND(check=TRUE, REGEXMATCH(target, ""SELF_AFFECTED_ALL""), job=""ガンブレイカー""), AND(che"&amp;"ck=Option!$H$13, REGEXMATCH(target, ""SINGLE_AFFECTED_ALL""))),
         buff,
         1
       )
     )
   )
 )"),1.0)</f>
        <v>1</v>
      </c>
      <c r="FM49" s="206">
        <f>IFERROR(__xludf.DUMMYFUNCTION("SUM(
   MAP(
     K$3:ED$3,
     K$7:ED$7,
     K$15:ED$15,
     K$16:ED$16,
     K$21:ED$21,
     K$5:ED$5,
     K$17:ED$17,
     K49:ED49,
     LAMBDA(
       job,
       abillity,
       buff,
       barrier,
       enhance,
       assign,
       preco"&amp;"ndition,
       check,
       IF(
         OR(AND(check=TRUE, REGEXMATCH(assign, ""SELF""), job=""ガンブレイカー""), AND(check=Option!$H$13, REGEXMATCH(assign, ""SINGLE_PARTY""))),
         IF(
           OR(ARRAYFORMULA((IF(precondition="""", FALSE, REGEXMATCH("&amp;"$K$4:$ED$4, precondition))) * (K49:ED49=TRUE))),
           enhance,
           IF(barrier="""", buff, barrier)
         ),
         0
       ) *
       SWITCH(
         job,
         ""暗黒騎士"", FN$24,
         ""白魔道士"", EF49 * EH49 * FL49 * IF(abillity, 1"&amp;", EG49 * EI49) * (Option!$D$22 * 0.81 / 100),
         ""占星術師"", EF49 * EJ49 * FL49 * IF(abillity, 1, EG49 * EK49) * (Option!$D$23 * 0.81 / 100),
         ""学者"", EF49 * EL49 * FL49 * IF(abillity, 1, EG49 * EM49) * (Option!$D$24 * 0.81 / 100),
         """&amp;"賢者"", EF49 * EN49 * FL49 * IF(abillity, 1, EG49 * EO49) * (Option!$D$25 * 0.81 / 100),
         1
       )
     )
   )
 ) + EQ49"),0.0)</f>
        <v>0</v>
      </c>
      <c r="FN49" s="206">
        <f t="shared" si="13"/>
        <v>0</v>
      </c>
      <c r="FO49" s="213"/>
    </row>
    <row r="50">
      <c r="B50" s="229"/>
      <c r="C50" s="217"/>
      <c r="D50" s="236"/>
      <c r="E50" s="238"/>
      <c r="F50" s="167"/>
      <c r="G50" s="168" t="str">
        <f t="shared" si="2"/>
        <v/>
      </c>
      <c r="H50" s="169"/>
      <c r="I50" s="169"/>
      <c r="J50" s="169"/>
      <c r="K50" s="170" t="b">
        <v>0</v>
      </c>
      <c r="L50" s="170" t="b">
        <v>0</v>
      </c>
      <c r="M50" s="170" t="b">
        <v>0</v>
      </c>
      <c r="N50" s="171" t="s">
        <v>1070</v>
      </c>
      <c r="O50" s="172" t="b">
        <v>0</v>
      </c>
      <c r="P50" s="173" t="b">
        <v>0</v>
      </c>
      <c r="Q50" s="173" t="b">
        <v>0</v>
      </c>
      <c r="R50" s="173" t="b">
        <v>0</v>
      </c>
      <c r="S50" s="174" t="b">
        <v>0</v>
      </c>
      <c r="T50" s="175" t="b">
        <v>0</v>
      </c>
      <c r="U50" s="173" t="b">
        <v>0</v>
      </c>
      <c r="V50" s="171" t="s">
        <v>1070</v>
      </c>
      <c r="W50" s="172" t="b">
        <v>0</v>
      </c>
      <c r="X50" s="173" t="b">
        <v>0</v>
      </c>
      <c r="Y50" s="173" t="b">
        <v>0</v>
      </c>
      <c r="Z50" s="173" t="b">
        <v>0</v>
      </c>
      <c r="AA50" s="174" t="b">
        <v>0</v>
      </c>
      <c r="AB50" s="174" t="b">
        <v>0</v>
      </c>
      <c r="AC50" s="175" t="b">
        <v>0</v>
      </c>
      <c r="AD50" s="173" t="b">
        <v>0</v>
      </c>
      <c r="AE50" s="176" t="s">
        <v>1070</v>
      </c>
      <c r="AF50" s="171" t="s">
        <v>1070</v>
      </c>
      <c r="AG50" s="177">
        <f>IFERROR(__xludf.DUMMYFUNCTION("IF(
  ISNUMBER(AG49),
  MIN(MAX(
    AG49
    + MAX(
      ROUNDDOWN(($D50 - MAX(IFERROR(FILTER($D$24:$D49, AG$24:AG49 &lt;&gt; AF$6, AG$23:AG48 = AF$6), 0))) * (60 * 60 * 24) / AF$9) - ROUNDDOWN(($D49 - MAX(IFERROR(FILTER($D$23:$D48, AG$23:AG48 &lt;&gt; AF$6, AG$22:"&amp;"AG47 = AF$6), 0))) * (60 * 60 * 24) / 60),
      0
    )
    - COUNTIF(AF50, ""&lt;&gt;-""),
  0), AF$6),
  AF$6 - COUNTIF(AF50, ""&lt;&gt;-"")
)"),2.0)</f>
        <v>2</v>
      </c>
      <c r="AH50" s="173" t="b">
        <v>0</v>
      </c>
      <c r="AI50" s="173" t="b">
        <v>0</v>
      </c>
      <c r="AJ50" s="173" t="b">
        <v>0</v>
      </c>
      <c r="AK50" s="174" t="b">
        <v>0</v>
      </c>
      <c r="AL50" s="175" t="b">
        <v>0</v>
      </c>
      <c r="AM50" s="173" t="b">
        <v>0</v>
      </c>
      <c r="AN50" s="171" t="s">
        <v>1070</v>
      </c>
      <c r="AO50" s="173" t="b">
        <v>0</v>
      </c>
      <c r="AP50" s="173" t="b">
        <v>0</v>
      </c>
      <c r="AQ50" s="173" t="b">
        <v>0</v>
      </c>
      <c r="AR50" s="174" t="b">
        <v>0</v>
      </c>
      <c r="AS50" s="178" t="b">
        <v>0</v>
      </c>
      <c r="AT50" s="179" t="b">
        <v>0</v>
      </c>
      <c r="AU50" s="180" t="b">
        <v>0</v>
      </c>
      <c r="AV50" s="180" t="b">
        <v>0</v>
      </c>
      <c r="AW50" s="180" t="b">
        <v>0</v>
      </c>
      <c r="AX50" s="180" t="b">
        <v>0</v>
      </c>
      <c r="AY50" s="181" t="s">
        <v>1070</v>
      </c>
      <c r="AZ50" s="181" t="s">
        <v>1070</v>
      </c>
      <c r="BA50" s="184">
        <f>IFERROR(__xludf.DUMMYFUNCTION("IF(
  ISNUMBER(BA49),
  MIN(MAX(
    BA49
    + MAX(
      ROUNDDOWN((D50 - MAX(IFERROR(FILTER(D$24:D49, BA$24:BA49 &lt;&gt; AZ$6, BA$23:BA48 = AZ$6), 0))) * (60 * 60 * 24) / AZ$9) - ROUNDDOWN((D49 - MAX(IFERROR(FILTER(D$23:D48, BA$23:BA48 &lt;&gt; AZ$6, BA$22:BA47 ="&amp;" AZ$6), 0))) * (60 * 60 * 24) / AZ$9),
      0
    )
    - COUNTIF(AZ50, ""&lt;&gt;-""),
  0), AZ$6),
  AZ$6 - COUNTIF(AZ50, ""&lt;&gt;-"")
)"),2.0)</f>
        <v>2</v>
      </c>
      <c r="BB50" s="181" t="s">
        <v>1070</v>
      </c>
      <c r="BC50" s="183">
        <f>IFERROR(__xludf.DUMMYFUNCTION("IF(
  ISNUMBER(BC49),
  MIN(MAX(
    BC49
    + MAX(
      ROUNDDOWN(($D50 - MAX(IFERROR(FILTER($D$24:$D49, BC$24:BC49 &lt;&gt; BB$6, BC$23:BC48 = BB$6), 0))) * (60 * 60 * 24) / BB$9) - ROUNDDOWN(($D49 - MAX(IFERROR(FILTER($D$23:$D48, BC$23:BC48 &lt;&gt; BB$6, BC$22:"&amp;"BC47 = BB$6), 0))) * (60 * 60 * 24) / 60),
      0
    )
    - COUNTIF(BB50, ""&lt;&gt;-""),
  0), BB$6),
  BB$6 - COUNTIF(BB50, ""&lt;&gt;-"")
)"),2.0)</f>
        <v>2</v>
      </c>
      <c r="BD50" s="181" t="s">
        <v>1070</v>
      </c>
      <c r="BE50" s="178" t="b">
        <v>0</v>
      </c>
      <c r="BF50" s="180" t="b">
        <v>0</v>
      </c>
      <c r="BG50" s="180" t="b">
        <v>0</v>
      </c>
      <c r="BH50" s="180" t="b">
        <v>0</v>
      </c>
      <c r="BI50" s="180" t="b">
        <v>0</v>
      </c>
      <c r="BJ50" s="180" t="b">
        <v>0</v>
      </c>
      <c r="BK50" s="180" t="b">
        <v>0</v>
      </c>
      <c r="BL50" s="180" t="b">
        <v>0</v>
      </c>
      <c r="BM50" s="180" t="b">
        <v>0</v>
      </c>
      <c r="BN50" s="180" t="b">
        <v>0</v>
      </c>
      <c r="BO50" s="181" t="s">
        <v>1070</v>
      </c>
      <c r="BP50" s="181" t="s">
        <v>1070</v>
      </c>
      <c r="BQ50" s="181" t="s">
        <v>1070</v>
      </c>
      <c r="BR50" s="181" t="s">
        <v>1070</v>
      </c>
      <c r="BS50" s="181" t="s">
        <v>1070</v>
      </c>
      <c r="BT50" s="184">
        <f>IFERROR(__xludf.DUMMYFUNCTION("IF(
  ISNUMBER(BT49),
  MIN(MAX(
    BT49
    + MAX(
      ROUNDDOWN((D50 - MAX(IFERROR(FILTER(D$24:D49, BT$24:BT49 &lt;&gt; BS$6, BT$23:BT48 = BS$6), 0))) * (60 * 60 * 24) / BS$9) - ROUNDDOWN((D49 - MAX(IFERROR(FILTER(D$23:D48, BT$23:BT48 &lt;&gt; BS$6, BT$22:BT47 ="&amp;" BS$6), 0))) * (60 * 60 * 24) / BS$9),
      0
    )
    - COUNTIF(BS50, ""&lt;&gt;-""),
  0), BS$6),
  BS$6 - COUNTIF(BS50, ""&lt;&gt;-"")
)"),3.0)</f>
        <v>3</v>
      </c>
      <c r="BU50" s="181" t="s">
        <v>1070</v>
      </c>
      <c r="BV50" s="181" t="s">
        <v>1070</v>
      </c>
      <c r="BW50" s="184">
        <f>IFERROR(__xludf.DUMMYFUNCTION("IF(
  ISNUMBER(BW49),
  MIN(MAX(
    BW49
    + MAX(
      ROUNDDOWN((D50 - MAX(IFERROR(FILTER(D$24:D49, BW$24:BW49 &lt;&gt; BV$6, BW$23:BW48 = BV$6), 0))) * (60 * 60 * 24) / BV$9) - ROUNDDOWN((D49 - MAX(IFERROR(FILTER(D$23:D48, BW$23:BW48 &lt;&gt; BV$6, BW$22:BW47 ="&amp;" BV$6), 0))) * (60 * 60 * 24) / BV$9),
      0
    )
    - COUNTIF(BV50, ""&lt;&gt;-""),
  0), BV$6),
  BV$6 - COUNTIF(BV50, ""&lt;&gt;-"")
)"),2.0)</f>
        <v>2</v>
      </c>
      <c r="BX50" s="185" t="s">
        <v>1070</v>
      </c>
      <c r="BY50" s="178" t="b">
        <v>0</v>
      </c>
      <c r="BZ50" s="180" t="b">
        <v>0</v>
      </c>
      <c r="CA50" s="180" t="b">
        <v>0</v>
      </c>
      <c r="CB50" s="180" t="b">
        <v>0</v>
      </c>
      <c r="CC50" s="180" t="b">
        <v>0</v>
      </c>
      <c r="CD50" s="180" t="b">
        <v>0</v>
      </c>
      <c r="CE50" s="180" t="b">
        <v>0</v>
      </c>
      <c r="CF50" s="180" t="b">
        <v>0</v>
      </c>
      <c r="CG50" s="180" t="b">
        <v>0</v>
      </c>
      <c r="CH50" s="180" t="b">
        <v>0</v>
      </c>
      <c r="CI50" s="180" t="b">
        <v>0</v>
      </c>
      <c r="CJ50" s="180" t="b">
        <v>0</v>
      </c>
      <c r="CK50" s="180" t="b">
        <v>0</v>
      </c>
      <c r="CL50" s="180" t="b">
        <v>0</v>
      </c>
      <c r="CM50" s="181" t="s">
        <v>1070</v>
      </c>
      <c r="CN50" s="181" t="s">
        <v>1070</v>
      </c>
      <c r="CO50" s="181" t="s">
        <v>1070</v>
      </c>
      <c r="CP50" s="181" t="s">
        <v>1070</v>
      </c>
      <c r="CQ50" s="185" t="s">
        <v>1070</v>
      </c>
      <c r="CR50" s="180" t="b">
        <v>0</v>
      </c>
      <c r="CS50" s="186" t="str">
        <f t="shared" si="14"/>
        <v>◇◇◇</v>
      </c>
      <c r="CT50" s="178" t="b">
        <v>0</v>
      </c>
      <c r="CU50" s="180" t="b">
        <v>0</v>
      </c>
      <c r="CV50" s="180" t="b">
        <v>0</v>
      </c>
      <c r="CW50" s="180" t="b">
        <v>0</v>
      </c>
      <c r="CX50" s="180" t="b">
        <v>0</v>
      </c>
      <c r="CY50" s="180" t="b">
        <v>0</v>
      </c>
      <c r="CZ50" s="180" t="b">
        <v>0</v>
      </c>
      <c r="DA50" s="180" t="b">
        <v>0</v>
      </c>
      <c r="DB50" s="180" t="b">
        <v>0</v>
      </c>
      <c r="DC50" s="180" t="b">
        <v>0</v>
      </c>
      <c r="DD50" s="181" t="s">
        <v>1070</v>
      </c>
      <c r="DE50" s="181" t="s">
        <v>1070</v>
      </c>
      <c r="DF50" s="181" t="s">
        <v>1070</v>
      </c>
      <c r="DG50" s="185" t="s">
        <v>1070</v>
      </c>
      <c r="DH50" s="180" t="b">
        <v>0</v>
      </c>
      <c r="DI50" s="187" t="str">
        <f>IFERROR(__xludf.DUMMYFUNCTION("SWITCH(
  IF(
    ISTEXT(DI49),
    IF (
      FIND(""○"", DI49&amp;""○"") &gt; 3,
      3,
      FIND(""○"", DI49&amp;""○"")
      + MAX(
        ROUNDDOWN(($D50 - MAX(IFERROR(FILTER(D$24:D49, DI$24:DI49 &lt;&gt; ""●●●"", DI$23:DI48 = ""●●●""), 0))) * (60 * 60 * 24) / 20"&amp;") - ROUNDDOWN(($D49 - MAX(IFERROR(FILTER(D$23:D48, DI$23:DI48 &lt;&gt; ""●●●"", DI$22:DI47 = ""●●●""), 0))) * (60 * 60 * 24) / 20),
        0
      ) - 1
    ) - COUNTIFS(CU50, ""=TRUE"", CU49, ""&lt;&gt;TRUE"") - COUNTIF(CZ50, ""=TRUE"") - COUNTIF({DD50,DE50}, ""&lt;&gt;-"&amp;""") + COUNTIF(DH50, ""=TRUE""),
    3
  ),
  0, ""○○○"", 1, ""●○○"", 2, ""●●○"", 3, ""●●●"", 4, ""●●●"", ""○○○""
)"),"●●●")</f>
        <v>●●●</v>
      </c>
      <c r="DJ50" s="188" t="b">
        <v>0</v>
      </c>
      <c r="DK50" s="189" t="b">
        <v>0</v>
      </c>
      <c r="DL50" s="190" t="b">
        <v>0</v>
      </c>
      <c r="DM50" s="190" t="b">
        <v>0</v>
      </c>
      <c r="DN50" s="190" t="b">
        <v>0</v>
      </c>
      <c r="DO50" s="190" t="b">
        <v>0</v>
      </c>
      <c r="DP50" s="190" t="b">
        <v>0</v>
      </c>
      <c r="DQ50" s="191" t="b">
        <v>0</v>
      </c>
      <c r="DR50" s="192" t="b">
        <v>0</v>
      </c>
      <c r="DS50" s="191" t="b">
        <v>0</v>
      </c>
      <c r="DT50" s="192" t="b">
        <v>0</v>
      </c>
      <c r="DU50" s="191" t="b">
        <v>0</v>
      </c>
      <c r="DV50" s="193" t="s">
        <v>1070</v>
      </c>
      <c r="DW50" s="194" t="b">
        <v>0</v>
      </c>
      <c r="DX50" s="194" t="b">
        <v>0</v>
      </c>
      <c r="DY50" s="195" t="b">
        <v>0</v>
      </c>
      <c r="DZ50" s="196" t="b">
        <v>0</v>
      </c>
      <c r="EA50" s="195" t="b">
        <v>0</v>
      </c>
      <c r="EB50" s="197" t="b">
        <v>0</v>
      </c>
      <c r="EC50" s="197" t="b">
        <v>0</v>
      </c>
      <c r="ED50" s="212" t="b">
        <v>0</v>
      </c>
      <c r="EE50" s="199">
        <f>IFERROR(__xludf.DUMMYFUNCTION("IFERROR(
   PRODUCT(
     MAP(
       INDEX(TRANSPOSE(UNIQUE(TRANSPOSE(FILTER({IF($F50=""Physical"", K$10:ED$10, IF($F50=""Magic"", K$11:ED$11, K$12:ED$12));K$4:ED$4;K50:ED50}, K50:ED50=TRUE)))), 1, 0),
       INDEX(TRANSPOSE(UNIQUE(TRANSPOSE(FILTER({IF($"&amp;"F50=""Physical"", K$18:ED$18, IF($F50=""Magic"", K$19:ED$19, K$20:ED$20));K$4:ED$4;K50:ED50}, K50:ED50=TRUE)))), 1, 0),
       INDEX(TRANSPOSE(UNIQUE(TRANSPOSE(FILTER({K$5:ED$5;K$4:ED$4;K50:ED50}, K50:ED50=TRUE)))), 1, 0),
       INDEX(TRANSPOSE(UNIQUE(TR"&amp;"ANSPOSE(FILTER({K$17:ED$17;K$4:ED$4;K50:ED50}, K50:ED50=TRUE)))), 1, 0),
       LAMBDA(
         mitigation,
         enhance,
         assign,
         precondition,
         IF(
           REGEXMATCH(assign, ""RANGE_PARTY|SINGLE_ENEMY|RANGE_ENEMY""),
  "&amp;"         IF(
             OR(ARRAYFORMULA((IF(precondition="""", FALSE, REGEXMATCH(K$4:ED$4, precondition))) * (K50:ED50=TRUE))),
             IF(ISNUMBER(enhance), enhance, 1),
             IF(ISNUMBER(mitigation), mitigation, 1)
           ),
          "&amp;" 1
         )
       )
     )
   ),
   1
 )"),1.0)</f>
        <v>1</v>
      </c>
      <c r="EF50" s="200">
        <f>IFERROR(__xludf.DUMMYFUNCTION("PRODUCT(
   MAP(
     K$14:ED$14,
     K$13:ED$13,
     K50:ED50,
     LAMBDA(
       buff,
       target,
       check,
       IF(
         AND(check=TRUE, REGEXMATCH(target, ""RANGE_AFFECTED_ALL|RANGE_EFFECTED_ALL""), ISNUMBER(buff)),
         buff,
   "&amp;"      1
       )
     )
   )
 )"),1.0)</f>
        <v>1</v>
      </c>
      <c r="EG50" s="200">
        <f>IFERROR(__xludf.DUMMYFUNCTION("PRODUCT(
   MAP(
     K$14:ED$14,
     K$13:ED$13,
     K50:ED50,
     LAMBDA(
       buff,
       target,
       check,
       IF(
         AND(check=TRUE, REGEXMATCH(target, ""RANGE_AFFECTED_GCD|RANGE_EFFECTED_GCD""), ISNUMBER(buff)),
         buff,
   "&amp;"      1
       )
     )
   )
 )"),1.0)</f>
        <v>1</v>
      </c>
      <c r="EH50" s="200">
        <f>IFERROR(__xludf.DUMMYFUNCTION("PRODUCT(
   MAP(
     K$3:ED$3,
     K$14:ED$14,
     K$13:ED$13,
     K50:ED50,
     LAMBDA(
       job,
       buff,
       target,
       check,
       IF(
         AND(check=TRUE, REGEXMATCH(target, ""SELF_EFFECTED_ALL""), ISNUMBER(buff), job=""白魔道士"""&amp;"),
         buff,
         1
       )
     )
   )
 )"),1.0)</f>
        <v>1</v>
      </c>
      <c r="EI50" s="200">
        <f>IFERROR(__xludf.DUMMYFUNCTION("PRODUCT(
   MAP(
     K$3:ED$3,
     K$14:ED$14,
     K$13:ED$13,
     K50:ED50,
     LAMBDA(
       job,
       buff,
       target,
       check,
       IF(
         AND(check=TRUE, REGEXMATCH(target, ""SELF_EFFECTED_GCD""), ISNUMBER(buff), job=""白魔道士"""&amp;"),
         buff,
         1
       )
     )
   )
 )"),1.0)</f>
        <v>1</v>
      </c>
      <c r="EJ50" s="200">
        <f>IFERROR(__xludf.DUMMYFUNCTION("PRODUCT(
   MAP(
     K$3:ED$3,
     K$14:ED$14,
     K$13:ED$13,
     K50:ED50,
     LAMBDA(
       job,
       buff,
       target,
       check,
       IF(
         AND(check=TRUE, REGEXMATCH(target, ""SELF_EFFECTED_ALL""), ISNUMBER(buff), job=""占星術師"""&amp;"),
         buff,
         1
       )
     )
   )
 )"),1.0)</f>
        <v>1</v>
      </c>
      <c r="EK50" s="200">
        <f>IFERROR(__xludf.DUMMYFUNCTION("PRODUCT(
   MAP(
     K$3:ED$3,
     K$14:ED$14,
     K$13:ED$13,
     K50:ED50,
     LAMBDA(
       job,
       buff,
       target,
       check,
       IF(
         AND(check=TRUE, REGEXMATCH(target, ""SELF_EFFECTED_GCD""), ISNUMBER(buff), job=""占星術師"""&amp;"),
         buff,
         1
       )
     )
   )
 )"),1.0)</f>
        <v>1</v>
      </c>
      <c r="EL50" s="200">
        <f>IFERROR(__xludf.DUMMYFUNCTION("PRODUCT(
   MAP(
     K$3:ED$3,
     K$14:ED$14,
     K$13:ED$13,
     K50:ED50,
     LAMBDA(
       job,
       buff,
       target,
       check,
       IF(
         AND(check=TRUE, REGEXMATCH(target, ""SELF_EFFECTED_ALL""), ISNUMBER(buff), job=""学者""),"&amp;"
         buff,
         1
       )
     )
   )
 )"),1.0)</f>
        <v>1</v>
      </c>
      <c r="EM50" s="200">
        <f>IFERROR(__xludf.DUMMYFUNCTION("PRODUCT(
   MAP(
     K$3:ED$3,
     K$14:ED$14,
     K$13:ED$13,
     K50:ED50,
     LAMBDA(
       job,
       buff,
       target,
       check,
       IF(
         AND(check=TRUE, REGEXMATCH(target, ""SELF_EFFECTED_GCD""), ISNUMBER(buff), job=""学者""),"&amp;"
         buff,
         1
       )
     )
   )
 )"),1.0)</f>
        <v>1</v>
      </c>
      <c r="EN50" s="200">
        <f>IFERROR(__xludf.DUMMYFUNCTION("PRODUCT(
   MAP(
     K$3:ED$3,
     K$14:ED$14,
     K$13:ED$13,
     K50:ED50,
     LAMBDA(
       job,
       buff,
       target,
       check,
       IF(
         AND(check=TRUE, REGEXMATCH(target, ""SELF_EFFECTED_ALL""), ISNUMBER(buff), job=""賢者""),"&amp;"
         buff,
         1
       )
     )
   )
 )"),1.0)</f>
        <v>1</v>
      </c>
      <c r="EO50" s="200">
        <f>IFERROR(__xludf.DUMMYFUNCTION("PRODUCT(
   MAP(
     K$3:ED$3,
     K$14:ED$14,
     K$13:ED$13,
     K50:ED50,
     LAMBDA(
       job,
       buff,
       target,
       check,
       IF(
         AND(check=TRUE, REGEXMATCH(target, ""SELF_EFFECTED_GCD""), ISNUMBER(buff), job=""賢者""),"&amp;"
         buff,
         1
       )
     )
   )
 )"),1.0)</f>
        <v>1</v>
      </c>
      <c r="EP50" s="201">
        <f t="shared" si="3"/>
        <v>0</v>
      </c>
      <c r="EQ50" s="201">
        <f>IFERROR(__xludf.DUMMYFUNCTION("SUM(
   MAP(
     K$4:ED$4,
     K$3:ED$3,
     K$7:ED$7,
     K$15:ED$15,
     K$16:ED$16,
     K$21:ED$21,
     K$5:ED$5,
     K$17:ED$17,
     K50:ED50,
     LAMBDA(
       name,
       job,
       abillity,
       buff,
       barrier,
       enhance,"&amp;"
       assign,
       precondition,
       check,
       SWITCH(
         name,
         ""シェイクオフ"", IF(check=TRUE, buff + (0.02 * COUNTIF(ARRAYFORMULA((REGEXMATCH($K$4:$ED$4, ""スリル・オブ・バトル|ヴェンジェンス|原初の血気|ダムネーション"")) * (K50:ED50=TRUE)), 1)), 0),
         "&amp;"""インプロビゼーションフィニッシュ(踊りの激情0)"", IF(ISNUMBER(check), INDEX(Skill!$AJ:$AJ, MATCH(SUBSTITUTE(DV$4, 0, check), Skill!$C:$C, 0)), 0),
         IF(
           AND(check=TRUE, REGEXMATCH(assign, ""RANGE_PARTY"")),
           IF(
             OR(ARRAYFORMULA((IF(pr"&amp;"econdition="""", FALSE, REGEXMATCH($K$4:$ED$4, precondition))) * (K50:ED50=TRUE))),
             enhance,
             IF(barrier="""", buff, barrier)
           ),
           0
         )
       ) *
       SWITCH(
         job,
         ""ナイト"", EY$24,
 "&amp;"        ""戦士"", FD$24,
         ""踊り子"", ET$24,
         ""ピクトマンサー"", ET$24,
         ""白魔道士"", EF50 * EH50 * IF(abillity, 1, EG50 * EI50) * (Option!$D$22 * 0.81 / 100),
         ""占星術師"", EF50 * EJ50 * IF(abillity, 1, EG50 * EK50) * (Option!$D$23 * 0.81 "&amp;"/ 100),
         ""学者"", EF50 * EL50 * IF(abillity, 1, EG50 * EM50) * (Option!$D$24 * 0.81 / 100),
         ""賢者"", EF50 * EN50 * IF(abillity, 1, EG50 * EO50) * (Option!$D$25 * 0.81 / 100),
         1
       )
     )
   )
 )"),0.0)</f>
        <v>0</v>
      </c>
      <c r="ER50" s="202">
        <f t="shared" si="4"/>
        <v>0</v>
      </c>
      <c r="ES50" s="203">
        <f t="shared" si="5"/>
        <v>0</v>
      </c>
      <c r="ET50" s="231" t="str">
        <f>IFERROR(__xludf.DUMMYFUNCTION("IFS(
  EP50 &gt; $ET$24 + EQ50,
  SPARKLINE({ 1, 0 }, {""charttype"",""bar"";""max"", 1;""color1"",Option!$D$30;""color2"",Option!$D$30}),
  EP50 &lt; EQ50,
  SPARKLINE({EQ50 - EP50, $ET$24 - (EQ50 - EP50)}, {""charttype"",""bar"";""max"",$ET$24;""color1"",Opti"&amp;"on!$D$28;""color2"",Option!$D$29}),
  EP50 &gt;= EQ50,
  SPARKLINE({$ET$24 + EQ50 - EP50,EP50 - EQ50}, {""charttype"",""bar"";""max"",$ET$24;""color1"",Option!$D$29;""color2"",Option!$D$30})
)"),"")</f>
        <v/>
      </c>
      <c r="EU50" s="205">
        <f>IFERROR(__xludf.DUMMYFUNCTION("PRODUCT(
   MAP(
     IF($F50=""Physical"", K$10:ED$10, IF($F50=""Magic"", K$11:ED$11, K$12:ED$12)),
     IF($F50=""Physical"", K$18:ED$18, IF($F50=""Magic"", K$19:ED$19, K$20:ED$20)),
     K$3:ED$3,
     K$5:ED$5,
     K$17:ED$17,
     K50:ED50,
     LAM"&amp;"BDA(
       mitigation,
       enhance,
       job,
       assign,
       precondition,
       check,
       IF(
         OR(AND(check=TRUE, REGEXMATCH(assign, ""SELF""), job=""ナイト""), AND(check=Option!$E$13, REGEXMATCH(assign, ""SINGLE_PARTY""))),
      "&amp;"   IF(
           OR(ARRAYFORMULA((IF(precondition="""", FALSE, REGEXMATCH($K$4:$ED$4, precondition))) * (K50:ED50=TRUE))),
           enhance,
           mitigation
         ),
         1
       )
     )
   )
 ) * EE50"),1.0)</f>
        <v>1</v>
      </c>
      <c r="EV50" s="206">
        <f t="shared" si="6"/>
        <v>0</v>
      </c>
      <c r="EW50" s="205">
        <f>IFERROR(__xludf.DUMMYFUNCTION("PRODUCT(
   MAP(
     K$3:ED$3,
     K$14:ED$14,
     K$13:ED$13,
     K50:ED50,
     LAMBDA(
       job,
       buff,
       target,
       check,
       IF(
         OR(AND(check=TRUE, REGEXMATCH(target, ""SELF_AFFECTED_ALL""), job=""ナイト""), AND(check=O"&amp;"ption!$E$13, REGEXMATCH(target, ""SINGLE_AFFECTED_ALL""))),
         buff,
         1
       )
     )
   )
 )"),1.0)</f>
        <v>1</v>
      </c>
      <c r="EX50" s="206">
        <f>IFERROR(__xludf.DUMMYFUNCTION("SUM(
   MAP(
     K$3:ED$3,
     K$7:ED$7,
     K$15:ED$15,
     K$16:ED$16,
     K$21:ED$21,
     K$5:ED$5,
     K$17:ED$17,
     K50:ED50,
     LAMBDA(
       job,
       abillity,
       buff,
       barrier,
       enhance,
       assign,
       preco"&amp;"ndition,
       check,
       IF(
         OR(AND(check=TRUE, REGEXMATCH(assign, ""SELF""), job=""ナイト""), AND(check=Option!$E$13, REGEXMATCH(assign, ""SINGLE_PARTY""))),
         IF(
           OR(ARRAYFORMULA((IF(precondition="""", FALSE, REGEXMATCH($K$4"&amp;":$ED$4, precondition))) * (K50:ED50=TRUE))),
           enhance,
           IF(barrier="""", buff, barrier)
         ),
         0
       ) *
       SWITCH(
         job,
         ""暗黒騎士"", EY$24,
         ""白魔道士"", EF50 * EH50 * EW50 * IF(abillity, 1, EG"&amp;"50 * EI50) * (Option!$D$22 * 0.81 / 100),
         ""占星術師"", EF50 * EJ50 * EW50 * IF(abillity, 1, EG50 * EK50) * (Option!$D$23 * 0.81 / 100),
         ""学者"", EF50 * EL50 * EW50 * IF(abillity, 1, EG50 * EM50) * (Option!$D$24 * 0.81 / 100),
         ""賢者"""&amp;", EF50 * EN50 * EW50 * IF(abillity, 1, EG50 * EO50) * (Option!$D$25 * 0.81 / 100),
         1
       )
     )
   )
 ) + EQ50"),0.0)</f>
        <v>0</v>
      </c>
      <c r="EY50" s="232">
        <f t="shared" si="7"/>
        <v>0</v>
      </c>
      <c r="EZ50" s="205">
        <f>IFERROR(__xludf.DUMMYFUNCTION("PRODUCT(
   MAP(
     IF($F50=""Physical"", K$10:ED$10, IF($F50=""Magic"", K$11:ED$11, K$12:ED$12)),
     IF($F50=""Physical"", K$18:ED$18, IF($F50=""Magic"", K$19:ED$19, K$20:ED$20)),
     K$3:ED$3,
     K$5:ED$5,
     K$17:ED$17,
     K50:ED50,
     LAM"&amp;"BDA(
       mitigation,
       enhance,
       job,
       assign,
       precondition,
       check,
       IF(
         OR(AND(check=TRUE, REGEXMATCH(assign, ""SELF""), job=""戦士""), AND(check=Option!$F$13, REGEXMATCH(assign, ""SINGLE_PARTY""))),
       "&amp;"  IF(
           OR(ARRAYFORMULA((IF(precondition="""", FALSE, REGEXMATCH($K$4:$ED$4, precondition))) * (K50:ED50=TRUE))),
           enhance,
           mitigation
         ),
         1
       )
     )
   )
 ) * EE50"),1.0)</f>
        <v>1</v>
      </c>
      <c r="FA50" s="206">
        <f t="shared" si="8"/>
        <v>0</v>
      </c>
      <c r="FB50" s="205">
        <f>IFERROR(__xludf.DUMMYFUNCTION("PRODUCT(
   MAP(
     K$3:ED$3,
     K$14:ED$14,
     K$13:ED$13,
     K50:ED50,
     LAMBDA(
       job,
       buff,
       target,
       check,
       IF(
         OR(AND(check=TRUE, REGEXMATCH(target, ""SELF_AFFECTED_ALL""), job=""戦士""), AND(check=Op"&amp;"tion!$F$13, REGEXMATCH(target, ""SINGLE_AFFECTED_ALL""))),
         buff,
         1
       )
     )
   )
 )"),1.0)</f>
        <v>1</v>
      </c>
      <c r="FC50" s="206">
        <f>IFERROR(__xludf.DUMMYFUNCTION("SUM(
   MAP(
     K$3:ED$3,
     K$7:ED$7,
     K$15:ED$15,
     K$16:ED$16,
     K$21:ED$21,
     K$5:ED$5,
     K$17:ED$17,
     K50:ED50,
     LAMBDA(
       job,
       abillity,
       buff,
       barrier,
       enhance,
       assign,
       preco"&amp;"ndition,
       check,
       IF(
         OR(AND(check=TRUE, REGEXMATCH(assign, ""SELF""), job=""戦士""), AND(check=Option!$F$13, REGEXMATCH(assign, ""SINGLE_PARTY""))),
         IF(
           OR(ARRAYFORMULA((IF(precondition="""", FALSE, REGEXMATCH($K$4:"&amp;"$ED$4, precondition))) * (K50:ED50=TRUE))),
           enhance,
           IF(barrier="""", buff, barrier)
         ),
         0
       ) *
       SWITCH(
         job,
         ""暗黒騎士"", FD$24,
         ""白魔道士"", EF50 * EH50 * FB50 * IF(abillity, 1, EG5"&amp;"0 * EI50) * (Option!$D$22 * 0.81 / 100),
         ""占星術師"", EF50 * EJ50 * FFB50 * IF(abillity, 1, EG50 * EK50) * (Option!$D$23 * 0.81 / 100),
         ""学者"", EF50 * EL50 * FB50 * IF(abillity, 1, EG50 * EM50) * (Option!$D$24 * 0.81 / 100),
         ""賢者"""&amp;", EF50 * EN50 * FB50 * IF(abillity, 1, EG50 * EO50) * (Option!$D$25 * 0.81 / 100),
         1
       )
     )
   )
 ) + EQ50"),0.0)</f>
        <v>0</v>
      </c>
      <c r="FD50" s="206">
        <f t="shared" si="9"/>
        <v>0</v>
      </c>
      <c r="FE50" s="205">
        <f>IFERROR(__xludf.DUMMYFUNCTION("PRODUCT(
   MAP(
     IF($F50=""Physical"", K$10:ED$10, IF($F50=""Magic"", K$11:ED$11, K$12:ED$12)),
     IF($F50=""Physical"", K$18:ED$18, IF($F50=""Magic"", K$19:ED$19, K$20:ED$20)),
     K$3:ED$3,
     K$5:ED$5,
     K$17:ED$17,
     K50:ED50,
     LAM"&amp;"BDA(
       mitigation,
       enhance,
       job,
       assign,
       precondition,
       check,
       IF(
         OR(AND(check=TRUE, REGEXMATCH(assign, ""SELF""), job=""暗黒騎士""), AND(check=Option!$G$13, REGEXMATCH(assign, ""SINGLE_PARTY""))),
     "&amp;"    IF(
           OR(ARRAYFORMULA((IF(precondition="""", FALSE, REGEXMATCH($K$4:$ED$4, precondition))) * (K50:ED50=TRUE))),
           enhance,
           mitigation
         ),
         1
       )
     )
   )
 ) * EE50"),1.0)</f>
        <v>1</v>
      </c>
      <c r="FF50" s="206">
        <f t="shared" si="10"/>
        <v>0</v>
      </c>
      <c r="FG50" s="205">
        <f>IFERROR(__xludf.DUMMYFUNCTION("PRODUCT(
   MAP(
     K$3:ED$3,
     K$14:ED$14,
     K$13:ED$13,
     K50:ED50,
     LAMBDA(
       job,
       buff,
       target,
       check,
       IF(
         OR(AND(check=TRUE, REGEXMATCH(target, ""SELF_AFFECTED_ALL""), job=""暗黒騎士""), AND(check="&amp;"Option!$G$13, REGEXMATCH(target, ""SINGLE_AFFECTED_ALL""))),
         buff,
         1
       )
     )
   )
 )"),1.0)</f>
        <v>1</v>
      </c>
      <c r="FH50" s="206">
        <f>IFERROR(__xludf.DUMMYFUNCTION("SUM(
   MAP(
     K$3:ED$3,
     K$7:ED$7,
     K$15:ED$15,
     K$16:ED$16,
     K$21:ED$21,
     K$5:ED$5,
     K$17:ED$17,
     K50:ED50,
     LAMBDA(
       job,
       abillity,
       buff,
       barrier,
       enhance,
       assign,
       preco"&amp;"ndition,
       check,
       IF(
         OR(AND(check=TRUE, REGEXMATCH(assign, ""SELF""), job=""暗黒騎士""), AND(check=Option!$G$13, REGEXMATCH(assign, ""SINGLE_PARTY""))),
         IF(
           OR(ARRAYFORMULA((IF(precondition="""", FALSE, REGEXMATCH($K$"&amp;"4:$ED$4, precondition))) * (K50:ED50=TRUE))),
           enhance,
           IF(barrier="""", buff, barrier)
         ),
         0
       ) *
       SWITCH(
         job,
         ""暗黒騎士"", FI$24,
         ""白魔道士"", EF50 * EH50 * FG50 * IF(abillity, 1, E"&amp;"G50 * EI50) * (Option!$D$22 * 0.81 / 100),
         ""占星術師"", EF50 * EJ50 * FG50 * IF(abillity, 1, EG50 * EK50) * (Option!$D$23 * 0.81 / 100),
         ""学者"", EF50 * EL50 * FG50 * IF(abillity, 1, EG50 * EM50) * (Option!$D$24 * 0.81 / 100),
         ""賢者"&amp;""", EF50 * EN50 * FG50 * IF(abillity, 1, EG50 * EO50) * (Option!$D$25 * 0.81 / 100),
         1
       )
     )
   )
 ) + EQ50"),0.0)</f>
        <v>0</v>
      </c>
      <c r="FI50" s="206">
        <f t="shared" si="11"/>
        <v>0</v>
      </c>
      <c r="FJ50" s="205">
        <f>IFERROR(__xludf.DUMMYFUNCTION("PRODUCT(
   MAP(
     IF($F50=""Physical"", K$10:ED$10, IF($F50=""Magic"", K$11:ED$11, K$12:ED$12)),
     IF($F50=""Physical"", K$18:ED$18, IF($F50=""Magic"", K$19:ED$19, K$20:ED$20)),
     K$3:ED$3,
     K$5:ED$5,
     K$17:ED$17,
     K50:ED50,
     LAM"&amp;"BDA(
       mitigation,
       enhance,
       job,
       assign,
       precondition,
       check,
       IF(
         OR(AND(check=TRUE, REGEXMATCH(assign, ""SELF""), job=""ガンブレイカー""), AND(check=Option!$H$13, REGEXMATCH(assign, ""SINGLE_PARTY""))),
  "&amp;"       IF(
           OR(ARRAYFORMULA((IF(precondition="""", FALSE, REGEXMATCH($K$4:$ED$4, precondition))) * (K50:ED50=TRUE))),
           enhance,
           mitigation
         ),
         1
       )
     )
   )
 ) * EE50"),1.0)</f>
        <v>1</v>
      </c>
      <c r="FK50" s="206">
        <f t="shared" si="12"/>
        <v>0</v>
      </c>
      <c r="FL50" s="205">
        <f>IFERROR(__xludf.DUMMYFUNCTION("PRODUCT(
   MAP(
     K$3:ED$3,
     K$14:ED$14,
     K$13:ED$13,
     K50:ED50,
     LAMBDA(
       job,
       buff,
       target,
       check,
       IF(
         OR(AND(check=TRUE, REGEXMATCH(target, ""SELF_AFFECTED_ALL""), job=""ガンブレイカー""), AND(che"&amp;"ck=Option!$H$13, REGEXMATCH(target, ""SINGLE_AFFECTED_ALL""))),
         buff,
         1
       )
     )
   )
 )"),1.0)</f>
        <v>1</v>
      </c>
      <c r="FM50" s="206">
        <f>IFERROR(__xludf.DUMMYFUNCTION("SUM(
   MAP(
     K$3:ED$3,
     K$7:ED$7,
     K$15:ED$15,
     K$16:ED$16,
     K$21:ED$21,
     K$5:ED$5,
     K$17:ED$17,
     K50:ED50,
     LAMBDA(
       job,
       abillity,
       buff,
       barrier,
       enhance,
       assign,
       preco"&amp;"ndition,
       check,
       IF(
         OR(AND(check=TRUE, REGEXMATCH(assign, ""SELF""), job=""ガンブレイカー""), AND(check=Option!$H$13, REGEXMATCH(assign, ""SINGLE_PARTY""))),
         IF(
           OR(ARRAYFORMULA((IF(precondition="""", FALSE, REGEXMATCH("&amp;"$K$4:$ED$4, precondition))) * (K50:ED50=TRUE))),
           enhance,
           IF(barrier="""", buff, barrier)
         ),
         0
       ) *
       SWITCH(
         job,
         ""暗黒騎士"", FN$24,
         ""白魔道士"", EF50 * EH50 * FL50 * IF(abillity, 1"&amp;", EG50 * EI50) * (Option!$D$22 * 0.81 / 100),
         ""占星術師"", EF50 * EJ50 * FL50 * IF(abillity, 1, EG50 * EK50) * (Option!$D$23 * 0.81 / 100),
         ""学者"", EF50 * EL50 * FL50 * IF(abillity, 1, EG50 * EM50) * (Option!$D$24 * 0.81 / 100),
         """&amp;"賢者"", EF50 * EN50 * FL50 * IF(abillity, 1, EG50 * EO50) * (Option!$D$25 * 0.81 / 100),
         1
       )
     )
   )
 ) + EQ50"),0.0)</f>
        <v>0</v>
      </c>
      <c r="FN50" s="206">
        <f t="shared" si="13"/>
        <v>0</v>
      </c>
      <c r="FO50" s="213"/>
    </row>
    <row r="51">
      <c r="B51" s="229"/>
      <c r="C51" s="217"/>
      <c r="D51" s="236"/>
      <c r="E51" s="238"/>
      <c r="F51" s="167"/>
      <c r="G51" s="168" t="str">
        <f t="shared" si="2"/>
        <v/>
      </c>
      <c r="H51" s="169"/>
      <c r="I51" s="169"/>
      <c r="J51" s="169"/>
      <c r="K51" s="170" t="b">
        <v>0</v>
      </c>
      <c r="L51" s="170" t="b">
        <v>0</v>
      </c>
      <c r="M51" s="170" t="b">
        <v>0</v>
      </c>
      <c r="N51" s="171" t="s">
        <v>1070</v>
      </c>
      <c r="O51" s="172" t="b">
        <v>0</v>
      </c>
      <c r="P51" s="173" t="b">
        <v>0</v>
      </c>
      <c r="Q51" s="173" t="b">
        <v>0</v>
      </c>
      <c r="R51" s="173" t="b">
        <v>0</v>
      </c>
      <c r="S51" s="174" t="b">
        <v>0</v>
      </c>
      <c r="T51" s="175" t="b">
        <v>0</v>
      </c>
      <c r="U51" s="173" t="b">
        <v>0</v>
      </c>
      <c r="V51" s="171" t="s">
        <v>1070</v>
      </c>
      <c r="W51" s="172" t="b">
        <v>0</v>
      </c>
      <c r="X51" s="173" t="b">
        <v>0</v>
      </c>
      <c r="Y51" s="173" t="b">
        <v>0</v>
      </c>
      <c r="Z51" s="173" t="b">
        <v>0</v>
      </c>
      <c r="AA51" s="174" t="b">
        <v>0</v>
      </c>
      <c r="AB51" s="174" t="b">
        <v>0</v>
      </c>
      <c r="AC51" s="175" t="b">
        <v>0</v>
      </c>
      <c r="AD51" s="173" t="b">
        <v>0</v>
      </c>
      <c r="AE51" s="176" t="s">
        <v>1070</v>
      </c>
      <c r="AF51" s="171" t="s">
        <v>1070</v>
      </c>
      <c r="AG51" s="177">
        <f>IFERROR(__xludf.DUMMYFUNCTION("IF(
  ISNUMBER(AG50),
  MIN(MAX(
    AG50
    + MAX(
      ROUNDDOWN(($D51 - MAX(IFERROR(FILTER($D$24:$D50, AG$24:AG50 &lt;&gt; AF$6, AG$23:AG49 = AF$6), 0))) * (60 * 60 * 24) / AF$9) - ROUNDDOWN(($D50 - MAX(IFERROR(FILTER($D$23:$D49, AG$23:AG49 &lt;&gt; AF$6, AG$22:"&amp;"AG48 = AF$6), 0))) * (60 * 60 * 24) / 60),
      0
    )
    - COUNTIF(AF51, ""&lt;&gt;-""),
  0), AF$6),
  AF$6 - COUNTIF(AF51, ""&lt;&gt;-"")
)"),2.0)</f>
        <v>2</v>
      </c>
      <c r="AH51" s="173" t="b">
        <v>0</v>
      </c>
      <c r="AI51" s="173" t="b">
        <v>0</v>
      </c>
      <c r="AJ51" s="173" t="b">
        <v>0</v>
      </c>
      <c r="AK51" s="174" t="b">
        <v>0</v>
      </c>
      <c r="AL51" s="175" t="b">
        <v>0</v>
      </c>
      <c r="AM51" s="173" t="b">
        <v>0</v>
      </c>
      <c r="AN51" s="171" t="s">
        <v>1070</v>
      </c>
      <c r="AO51" s="173" t="b">
        <v>0</v>
      </c>
      <c r="AP51" s="173" t="b">
        <v>0</v>
      </c>
      <c r="AQ51" s="173" t="b">
        <v>0</v>
      </c>
      <c r="AR51" s="174" t="b">
        <v>0</v>
      </c>
      <c r="AS51" s="178" t="b">
        <v>0</v>
      </c>
      <c r="AT51" s="179" t="b">
        <v>0</v>
      </c>
      <c r="AU51" s="180" t="b">
        <v>0</v>
      </c>
      <c r="AV51" s="180" t="b">
        <v>0</v>
      </c>
      <c r="AW51" s="180" t="b">
        <v>0</v>
      </c>
      <c r="AX51" s="180" t="b">
        <v>0</v>
      </c>
      <c r="AY51" s="181" t="s">
        <v>1070</v>
      </c>
      <c r="AZ51" s="181" t="s">
        <v>1070</v>
      </c>
      <c r="BA51" s="184">
        <f>IFERROR(__xludf.DUMMYFUNCTION("IF(
  ISNUMBER(BA50),
  MIN(MAX(
    BA50
    + MAX(
      ROUNDDOWN((D51 - MAX(IFERROR(FILTER(D$24:D50, BA$24:BA50 &lt;&gt; AZ$6, BA$23:BA49 = AZ$6), 0))) * (60 * 60 * 24) / AZ$9) - ROUNDDOWN((D50 - MAX(IFERROR(FILTER(D$23:D49, BA$23:BA49 &lt;&gt; AZ$6, BA$22:BA48 ="&amp;" AZ$6), 0))) * (60 * 60 * 24) / AZ$9),
      0
    )
    - COUNTIF(AZ51, ""&lt;&gt;-""),
  0), AZ$6),
  AZ$6 - COUNTIF(AZ51, ""&lt;&gt;-"")
)"),2.0)</f>
        <v>2</v>
      </c>
      <c r="BB51" s="181" t="s">
        <v>1070</v>
      </c>
      <c r="BC51" s="183">
        <f>IFERROR(__xludf.DUMMYFUNCTION("IF(
  ISNUMBER(BC50),
  MIN(MAX(
    BC50
    + MAX(
      ROUNDDOWN(($D51 - MAX(IFERROR(FILTER($D$24:$D50, BC$24:BC50 &lt;&gt; BB$6, BC$23:BC49 = BB$6), 0))) * (60 * 60 * 24) / BB$9) - ROUNDDOWN(($D50 - MAX(IFERROR(FILTER($D$23:$D49, BC$23:BC49 &lt;&gt; BB$6, BC$22:"&amp;"BC48 = BB$6), 0))) * (60 * 60 * 24) / 60),
      0
    )
    - COUNTIF(BB51, ""&lt;&gt;-""),
  0), BB$6),
  BB$6 - COUNTIF(BB51, ""&lt;&gt;-"")
)"),2.0)</f>
        <v>2</v>
      </c>
      <c r="BD51" s="181" t="s">
        <v>1070</v>
      </c>
      <c r="BE51" s="178" t="b">
        <v>0</v>
      </c>
      <c r="BF51" s="180" t="b">
        <v>0</v>
      </c>
      <c r="BG51" s="180" t="b">
        <v>0</v>
      </c>
      <c r="BH51" s="180" t="b">
        <v>0</v>
      </c>
      <c r="BI51" s="180" t="b">
        <v>0</v>
      </c>
      <c r="BJ51" s="180" t="b">
        <v>0</v>
      </c>
      <c r="BK51" s="180" t="b">
        <v>0</v>
      </c>
      <c r="BL51" s="180" t="b">
        <v>0</v>
      </c>
      <c r="BM51" s="180" t="b">
        <v>0</v>
      </c>
      <c r="BN51" s="180" t="b">
        <v>0</v>
      </c>
      <c r="BO51" s="181" t="s">
        <v>1070</v>
      </c>
      <c r="BP51" s="181" t="s">
        <v>1070</v>
      </c>
      <c r="BQ51" s="181" t="s">
        <v>1070</v>
      </c>
      <c r="BR51" s="181" t="s">
        <v>1070</v>
      </c>
      <c r="BS51" s="181" t="s">
        <v>1070</v>
      </c>
      <c r="BT51" s="184">
        <f>IFERROR(__xludf.DUMMYFUNCTION("IF(
  ISNUMBER(BT50),
  MIN(MAX(
    BT50
    + MAX(
      ROUNDDOWN((D51 - MAX(IFERROR(FILTER(D$24:D50, BT$24:BT50 &lt;&gt; BS$6, BT$23:BT49 = BS$6), 0))) * (60 * 60 * 24) / BS$9) - ROUNDDOWN((D50 - MAX(IFERROR(FILTER(D$23:D49, BT$23:BT49 &lt;&gt; BS$6, BT$22:BT48 ="&amp;" BS$6), 0))) * (60 * 60 * 24) / BS$9),
      0
    )
    - COUNTIF(BS51, ""&lt;&gt;-""),
  0), BS$6),
  BS$6 - COUNTIF(BS51, ""&lt;&gt;-"")
)"),3.0)</f>
        <v>3</v>
      </c>
      <c r="BU51" s="181" t="s">
        <v>1070</v>
      </c>
      <c r="BV51" s="181" t="s">
        <v>1070</v>
      </c>
      <c r="BW51" s="184">
        <f>IFERROR(__xludf.DUMMYFUNCTION("IF(
  ISNUMBER(BW50),
  MIN(MAX(
    BW50
    + MAX(
      ROUNDDOWN((D51 - MAX(IFERROR(FILTER(D$24:D50, BW$24:BW50 &lt;&gt; BV$6, BW$23:BW49 = BV$6), 0))) * (60 * 60 * 24) / BV$9) - ROUNDDOWN((D50 - MAX(IFERROR(FILTER(D$23:D49, BW$23:BW49 &lt;&gt; BV$6, BW$22:BW48 ="&amp;" BV$6), 0))) * (60 * 60 * 24) / BV$9),
      0
    )
    - COUNTIF(BV51, ""&lt;&gt;-""),
  0), BV$6),
  BV$6 - COUNTIF(BV51, ""&lt;&gt;-"")
)"),2.0)</f>
        <v>2</v>
      </c>
      <c r="BX51" s="185" t="s">
        <v>1070</v>
      </c>
      <c r="BY51" s="178" t="b">
        <v>0</v>
      </c>
      <c r="BZ51" s="180" t="b">
        <v>0</v>
      </c>
      <c r="CA51" s="180" t="b">
        <v>0</v>
      </c>
      <c r="CB51" s="180" t="b">
        <v>0</v>
      </c>
      <c r="CC51" s="180" t="b">
        <v>0</v>
      </c>
      <c r="CD51" s="180" t="b">
        <v>0</v>
      </c>
      <c r="CE51" s="180" t="b">
        <v>0</v>
      </c>
      <c r="CF51" s="180" t="b">
        <v>0</v>
      </c>
      <c r="CG51" s="180" t="b">
        <v>0</v>
      </c>
      <c r="CH51" s="180" t="b">
        <v>0</v>
      </c>
      <c r="CI51" s="180" t="b">
        <v>0</v>
      </c>
      <c r="CJ51" s="180" t="b">
        <v>0</v>
      </c>
      <c r="CK51" s="180" t="b">
        <v>0</v>
      </c>
      <c r="CL51" s="180" t="b">
        <v>0</v>
      </c>
      <c r="CM51" s="181" t="s">
        <v>1070</v>
      </c>
      <c r="CN51" s="181" t="s">
        <v>1070</v>
      </c>
      <c r="CO51" s="181" t="s">
        <v>1070</v>
      </c>
      <c r="CP51" s="181" t="s">
        <v>1070</v>
      </c>
      <c r="CQ51" s="185" t="s">
        <v>1070</v>
      </c>
      <c r="CR51" s="180" t="b">
        <v>0</v>
      </c>
      <c r="CS51" s="186" t="str">
        <f t="shared" si="14"/>
        <v>◇◇◇</v>
      </c>
      <c r="CT51" s="178" t="b">
        <v>0</v>
      </c>
      <c r="CU51" s="180" t="b">
        <v>0</v>
      </c>
      <c r="CV51" s="180" t="b">
        <v>0</v>
      </c>
      <c r="CW51" s="180" t="b">
        <v>0</v>
      </c>
      <c r="CX51" s="180" t="b">
        <v>0</v>
      </c>
      <c r="CY51" s="180" t="b">
        <v>0</v>
      </c>
      <c r="CZ51" s="180" t="b">
        <v>0</v>
      </c>
      <c r="DA51" s="180" t="b">
        <v>0</v>
      </c>
      <c r="DB51" s="180" t="b">
        <v>0</v>
      </c>
      <c r="DC51" s="180" t="b">
        <v>0</v>
      </c>
      <c r="DD51" s="181" t="s">
        <v>1070</v>
      </c>
      <c r="DE51" s="181" t="s">
        <v>1070</v>
      </c>
      <c r="DF51" s="181" t="s">
        <v>1070</v>
      </c>
      <c r="DG51" s="185" t="s">
        <v>1070</v>
      </c>
      <c r="DH51" s="180" t="b">
        <v>0</v>
      </c>
      <c r="DI51" s="187" t="str">
        <f>IFERROR(__xludf.DUMMYFUNCTION("SWITCH(
  IF(
    ISTEXT(DI50),
    IF (
      FIND(""○"", DI50&amp;""○"") &gt; 3,
      3,
      FIND(""○"", DI50&amp;""○"")
      + MAX(
        ROUNDDOWN(($D51 - MAX(IFERROR(FILTER(D$24:D50, DI$24:DI50 &lt;&gt; ""●●●"", DI$23:DI49 = ""●●●""), 0))) * (60 * 60 * 24) / 20"&amp;") - ROUNDDOWN(($D50 - MAX(IFERROR(FILTER(D$23:D49, DI$23:DI49 &lt;&gt; ""●●●"", DI$22:DI48 = ""●●●""), 0))) * (60 * 60 * 24) / 20),
        0
      ) - 1
    ) - COUNTIFS(CU51, ""=TRUE"", CU50, ""&lt;&gt;TRUE"") - COUNTIF(CZ51, ""=TRUE"") - COUNTIF({DD51,DE51}, ""&lt;&gt;-"&amp;""") + COUNTIF(DH51, ""=TRUE""),
    3
  ),
  0, ""○○○"", 1, ""●○○"", 2, ""●●○"", 3, ""●●●"", 4, ""●●●"", ""○○○""
)"),"●●●")</f>
        <v>●●●</v>
      </c>
      <c r="DJ51" s="188" t="b">
        <v>0</v>
      </c>
      <c r="DK51" s="189" t="b">
        <v>0</v>
      </c>
      <c r="DL51" s="190" t="b">
        <v>0</v>
      </c>
      <c r="DM51" s="190" t="b">
        <v>0</v>
      </c>
      <c r="DN51" s="190" t="b">
        <v>0</v>
      </c>
      <c r="DO51" s="190" t="b">
        <v>0</v>
      </c>
      <c r="DP51" s="190" t="b">
        <v>0</v>
      </c>
      <c r="DQ51" s="191" t="b">
        <v>0</v>
      </c>
      <c r="DR51" s="192" t="b">
        <v>0</v>
      </c>
      <c r="DS51" s="191" t="b">
        <v>0</v>
      </c>
      <c r="DT51" s="192" t="b">
        <v>0</v>
      </c>
      <c r="DU51" s="191" t="b">
        <v>0</v>
      </c>
      <c r="DV51" s="193" t="s">
        <v>1070</v>
      </c>
      <c r="DW51" s="194" t="b">
        <v>0</v>
      </c>
      <c r="DX51" s="194" t="b">
        <v>0</v>
      </c>
      <c r="DY51" s="195" t="b">
        <v>0</v>
      </c>
      <c r="DZ51" s="196" t="b">
        <v>0</v>
      </c>
      <c r="EA51" s="195" t="b">
        <v>0</v>
      </c>
      <c r="EB51" s="197" t="b">
        <v>0</v>
      </c>
      <c r="EC51" s="197" t="b">
        <v>0</v>
      </c>
      <c r="ED51" s="212" t="b">
        <v>0</v>
      </c>
      <c r="EE51" s="199">
        <f>IFERROR(__xludf.DUMMYFUNCTION("IFERROR(
   PRODUCT(
     MAP(
       INDEX(TRANSPOSE(UNIQUE(TRANSPOSE(FILTER({IF($F51=""Physical"", K$10:ED$10, IF($F51=""Magic"", K$11:ED$11, K$12:ED$12));K$4:ED$4;K51:ED51}, K51:ED51=TRUE)))), 1, 0),
       INDEX(TRANSPOSE(UNIQUE(TRANSPOSE(FILTER({IF($"&amp;"F51=""Physical"", K$18:ED$18, IF($F51=""Magic"", K$19:ED$19, K$20:ED$20));K$4:ED$4;K51:ED51}, K51:ED51=TRUE)))), 1, 0),
       INDEX(TRANSPOSE(UNIQUE(TRANSPOSE(FILTER({K$5:ED$5;K$4:ED$4;K51:ED51}, K51:ED51=TRUE)))), 1, 0),
       INDEX(TRANSPOSE(UNIQUE(TR"&amp;"ANSPOSE(FILTER({K$17:ED$17;K$4:ED$4;K51:ED51}, K51:ED51=TRUE)))), 1, 0),
       LAMBDA(
         mitigation,
         enhance,
         assign,
         precondition,
         IF(
           REGEXMATCH(assign, ""RANGE_PARTY|SINGLE_ENEMY|RANGE_ENEMY""),
  "&amp;"         IF(
             OR(ARRAYFORMULA((IF(precondition="""", FALSE, REGEXMATCH(K$4:ED$4, precondition))) * (K51:ED51=TRUE))),
             IF(ISNUMBER(enhance), enhance, 1),
             IF(ISNUMBER(mitigation), mitigation, 1)
           ),
          "&amp;" 1
         )
       )
     )
   ),
   1
 )"),1.0)</f>
        <v>1</v>
      </c>
      <c r="EF51" s="200">
        <f>IFERROR(__xludf.DUMMYFUNCTION("PRODUCT(
   MAP(
     K$14:ED$14,
     K$13:ED$13,
     K51:ED51,
     LAMBDA(
       buff,
       target,
       check,
       IF(
         AND(check=TRUE, REGEXMATCH(target, ""RANGE_AFFECTED_ALL|RANGE_EFFECTED_ALL""), ISNUMBER(buff)),
         buff,
   "&amp;"      1
       )
     )
   )
 )"),1.0)</f>
        <v>1</v>
      </c>
      <c r="EG51" s="200">
        <f>IFERROR(__xludf.DUMMYFUNCTION("PRODUCT(
   MAP(
     K$14:ED$14,
     K$13:ED$13,
     K51:ED51,
     LAMBDA(
       buff,
       target,
       check,
       IF(
         AND(check=TRUE, REGEXMATCH(target, ""RANGE_AFFECTED_GCD|RANGE_EFFECTED_GCD""), ISNUMBER(buff)),
         buff,
   "&amp;"      1
       )
     )
   )
 )"),1.0)</f>
        <v>1</v>
      </c>
      <c r="EH51" s="200">
        <f>IFERROR(__xludf.DUMMYFUNCTION("PRODUCT(
   MAP(
     K$3:ED$3,
     K$14:ED$14,
     K$13:ED$13,
     K51:ED51,
     LAMBDA(
       job,
       buff,
       target,
       check,
       IF(
         AND(check=TRUE, REGEXMATCH(target, ""SELF_EFFECTED_ALL""), ISNUMBER(buff), job=""白魔道士"""&amp;"),
         buff,
         1
       )
     )
   )
 )"),1.0)</f>
        <v>1</v>
      </c>
      <c r="EI51" s="200">
        <f>IFERROR(__xludf.DUMMYFUNCTION("PRODUCT(
   MAP(
     K$3:ED$3,
     K$14:ED$14,
     K$13:ED$13,
     K51:ED51,
     LAMBDA(
       job,
       buff,
       target,
       check,
       IF(
         AND(check=TRUE, REGEXMATCH(target, ""SELF_EFFECTED_GCD""), ISNUMBER(buff), job=""白魔道士"""&amp;"),
         buff,
         1
       )
     )
   )
 )"),1.0)</f>
        <v>1</v>
      </c>
      <c r="EJ51" s="200">
        <f>IFERROR(__xludf.DUMMYFUNCTION("PRODUCT(
   MAP(
     K$3:ED$3,
     K$14:ED$14,
     K$13:ED$13,
     K51:ED51,
     LAMBDA(
       job,
       buff,
       target,
       check,
       IF(
         AND(check=TRUE, REGEXMATCH(target, ""SELF_EFFECTED_ALL""), ISNUMBER(buff), job=""占星術師"""&amp;"),
         buff,
         1
       )
     )
   )
 )"),1.0)</f>
        <v>1</v>
      </c>
      <c r="EK51" s="200">
        <f>IFERROR(__xludf.DUMMYFUNCTION("PRODUCT(
   MAP(
     K$3:ED$3,
     K$14:ED$14,
     K$13:ED$13,
     K51:ED51,
     LAMBDA(
       job,
       buff,
       target,
       check,
       IF(
         AND(check=TRUE, REGEXMATCH(target, ""SELF_EFFECTED_GCD""), ISNUMBER(buff), job=""占星術師"""&amp;"),
         buff,
         1
       )
     )
   )
 )"),1.0)</f>
        <v>1</v>
      </c>
      <c r="EL51" s="200">
        <f>IFERROR(__xludf.DUMMYFUNCTION("PRODUCT(
   MAP(
     K$3:ED$3,
     K$14:ED$14,
     K$13:ED$13,
     K51:ED51,
     LAMBDA(
       job,
       buff,
       target,
       check,
       IF(
         AND(check=TRUE, REGEXMATCH(target, ""SELF_EFFECTED_ALL""), ISNUMBER(buff), job=""学者""),"&amp;"
         buff,
         1
       )
     )
   )
 )"),1.0)</f>
        <v>1</v>
      </c>
      <c r="EM51" s="200">
        <f>IFERROR(__xludf.DUMMYFUNCTION("PRODUCT(
   MAP(
     K$3:ED$3,
     K$14:ED$14,
     K$13:ED$13,
     K51:ED51,
     LAMBDA(
       job,
       buff,
       target,
       check,
       IF(
         AND(check=TRUE, REGEXMATCH(target, ""SELF_EFFECTED_GCD""), ISNUMBER(buff), job=""学者""),"&amp;"
         buff,
         1
       )
     )
   )
 )"),1.0)</f>
        <v>1</v>
      </c>
      <c r="EN51" s="200">
        <f>IFERROR(__xludf.DUMMYFUNCTION("PRODUCT(
   MAP(
     K$3:ED$3,
     K$14:ED$14,
     K$13:ED$13,
     K51:ED51,
     LAMBDA(
       job,
       buff,
       target,
       check,
       IF(
         AND(check=TRUE, REGEXMATCH(target, ""SELF_EFFECTED_ALL""), ISNUMBER(buff), job=""賢者""),"&amp;"
         buff,
         1
       )
     )
   )
 )"),1.0)</f>
        <v>1</v>
      </c>
      <c r="EO51" s="200">
        <f>IFERROR(__xludf.DUMMYFUNCTION("PRODUCT(
   MAP(
     K$3:ED$3,
     K$14:ED$14,
     K$13:ED$13,
     K51:ED51,
     LAMBDA(
       job,
       buff,
       target,
       check,
       IF(
         AND(check=TRUE, REGEXMATCH(target, ""SELF_EFFECTED_GCD""), ISNUMBER(buff), job=""賢者""),"&amp;"
         buff,
         1
       )
     )
   )
 )"),1.0)</f>
        <v>1</v>
      </c>
      <c r="EP51" s="201">
        <f t="shared" si="3"/>
        <v>0</v>
      </c>
      <c r="EQ51" s="201">
        <f>IFERROR(__xludf.DUMMYFUNCTION("SUM(
   MAP(
     K$4:ED$4,
     K$3:ED$3,
     K$7:ED$7,
     K$15:ED$15,
     K$16:ED$16,
     K$21:ED$21,
     K$5:ED$5,
     K$17:ED$17,
     K51:ED51,
     LAMBDA(
       name,
       job,
       abillity,
       buff,
       barrier,
       enhance,"&amp;"
       assign,
       precondition,
       check,
       SWITCH(
         name,
         ""シェイクオフ"", IF(check=TRUE, buff + (0.02 * COUNTIF(ARRAYFORMULA((REGEXMATCH($K$4:$ED$4, ""スリル・オブ・バトル|ヴェンジェンス|原初の血気|ダムネーション"")) * (K51:ED51=TRUE)), 1)), 0),
         "&amp;"""インプロビゼーションフィニッシュ(踊りの激情0)"", IF(ISNUMBER(check), INDEX(Skill!$AJ:$AJ, MATCH(SUBSTITUTE(DV$4, 0, check), Skill!$C:$C, 0)), 0),
         IF(
           AND(check=TRUE, REGEXMATCH(assign, ""RANGE_PARTY"")),
           IF(
             OR(ARRAYFORMULA((IF(pr"&amp;"econdition="""", FALSE, REGEXMATCH($K$4:$ED$4, precondition))) * (K51:ED51=TRUE))),
             enhance,
             IF(barrier="""", buff, barrier)
           ),
           0
         )
       ) *
       SWITCH(
         job,
         ""ナイト"", EY$24,
 "&amp;"        ""戦士"", FD$24,
         ""踊り子"", ET$24,
         ""ピクトマンサー"", ET$24,
         ""白魔道士"", EF51 * EH51 * IF(abillity, 1, EG51 * EI51) * (Option!$D$22 * 0.81 / 100),
         ""占星術師"", EF51 * EJ51 * IF(abillity, 1, EG51 * EK51) * (Option!$D$23 * 0.81 "&amp;"/ 100),
         ""学者"", EF51 * EL51 * IF(abillity, 1, EG51 * EM51) * (Option!$D$24 * 0.81 / 100),
         ""賢者"", EF51 * EN51 * IF(abillity, 1, EG51 * EO51) * (Option!$D$25 * 0.81 / 100),
         1
       )
     )
   )
 )"),0.0)</f>
        <v>0</v>
      </c>
      <c r="ER51" s="202">
        <f t="shared" si="4"/>
        <v>0</v>
      </c>
      <c r="ES51" s="203">
        <f t="shared" si="5"/>
        <v>0</v>
      </c>
      <c r="ET51" s="231" t="str">
        <f>IFERROR(__xludf.DUMMYFUNCTION("IFS(
  EP51 &gt; $ET$24 + EQ51,
  SPARKLINE({ 1, 0 }, {""charttype"",""bar"";""max"", 1;""color1"",Option!$D$30;""color2"",Option!$D$30}),
  EP51 &lt; EQ51,
  SPARKLINE({EQ51 - EP51, $ET$24 - (EQ51 - EP51)}, {""charttype"",""bar"";""max"",$ET$24;""color1"",Opti"&amp;"on!$D$28;""color2"",Option!$D$29}),
  EP51 &gt;= EQ51,
  SPARKLINE({$ET$24 + EQ51 - EP51,EP51 - EQ51}, {""charttype"",""bar"";""max"",$ET$24;""color1"",Option!$D$29;""color2"",Option!$D$30})
)"),"")</f>
        <v/>
      </c>
      <c r="EU51" s="205">
        <f>IFERROR(__xludf.DUMMYFUNCTION("PRODUCT(
   MAP(
     IF($F51=""Physical"", K$10:ED$10, IF($F51=""Magic"", K$11:ED$11, K$12:ED$12)),
     IF($F51=""Physical"", K$18:ED$18, IF($F51=""Magic"", K$19:ED$19, K$20:ED$20)),
     K$3:ED$3,
     K$5:ED$5,
     K$17:ED$17,
     K51:ED51,
     LAM"&amp;"BDA(
       mitigation,
       enhance,
       job,
       assign,
       precondition,
       check,
       IF(
         OR(AND(check=TRUE, REGEXMATCH(assign, ""SELF""), job=""ナイト""), AND(check=Option!$E$13, REGEXMATCH(assign, ""SINGLE_PARTY""))),
      "&amp;"   IF(
           OR(ARRAYFORMULA((IF(precondition="""", FALSE, REGEXMATCH($K$4:$ED$4, precondition))) * (K51:ED51=TRUE))),
           enhance,
           mitigation
         ),
         1
       )
     )
   )
 ) * EE51"),1.0)</f>
        <v>1</v>
      </c>
      <c r="EV51" s="206">
        <f t="shared" si="6"/>
        <v>0</v>
      </c>
      <c r="EW51" s="205">
        <f>IFERROR(__xludf.DUMMYFUNCTION("PRODUCT(
   MAP(
     K$3:ED$3,
     K$14:ED$14,
     K$13:ED$13,
     K51:ED51,
     LAMBDA(
       job,
       buff,
       target,
       check,
       IF(
         OR(AND(check=TRUE, REGEXMATCH(target, ""SELF_AFFECTED_ALL""), job=""ナイト""), AND(check=O"&amp;"ption!$E$13, REGEXMATCH(target, ""SINGLE_AFFECTED_ALL""))),
         buff,
         1
       )
     )
   )
 )"),1.0)</f>
        <v>1</v>
      </c>
      <c r="EX51" s="206">
        <f>IFERROR(__xludf.DUMMYFUNCTION("SUM(
   MAP(
     K$3:ED$3,
     K$7:ED$7,
     K$15:ED$15,
     K$16:ED$16,
     K$21:ED$21,
     K$5:ED$5,
     K$17:ED$17,
     K51:ED51,
     LAMBDA(
       job,
       abillity,
       buff,
       barrier,
       enhance,
       assign,
       preco"&amp;"ndition,
       check,
       IF(
         OR(AND(check=TRUE, REGEXMATCH(assign, ""SELF""), job=""ナイト""), AND(check=Option!$E$13, REGEXMATCH(assign, ""SINGLE_PARTY""))),
         IF(
           OR(ARRAYFORMULA((IF(precondition="""", FALSE, REGEXMATCH($K$4"&amp;":$ED$4, precondition))) * (K51:ED51=TRUE))),
           enhance,
           IF(barrier="""", buff, barrier)
         ),
         0
       ) *
       SWITCH(
         job,
         ""暗黒騎士"", EY$24,
         ""白魔道士"", EF51 * EH51 * EW51 * IF(abillity, 1, EG"&amp;"51 * EI51) * (Option!$D$22 * 0.81 / 100),
         ""占星術師"", EF51 * EJ51 * EW51 * IF(abillity, 1, EG51 * EK51) * (Option!$D$23 * 0.81 / 100),
         ""学者"", EF51 * EL51 * EW51 * IF(abillity, 1, EG51 * EM51) * (Option!$D$24 * 0.81 / 100),
         ""賢者"""&amp;", EF51 * EN51 * EW51 * IF(abillity, 1, EG51 * EO51) * (Option!$D$25 * 0.81 / 100),
         1
       )
     )
   )
 ) + EQ51"),0.0)</f>
        <v>0</v>
      </c>
      <c r="EY51" s="232">
        <f t="shared" si="7"/>
        <v>0</v>
      </c>
      <c r="EZ51" s="205">
        <f>IFERROR(__xludf.DUMMYFUNCTION("PRODUCT(
   MAP(
     IF($F51=""Physical"", K$10:ED$10, IF($F51=""Magic"", K$11:ED$11, K$12:ED$12)),
     IF($F51=""Physical"", K$18:ED$18, IF($F51=""Magic"", K$19:ED$19, K$20:ED$20)),
     K$3:ED$3,
     K$5:ED$5,
     K$17:ED$17,
     K51:ED51,
     LAM"&amp;"BDA(
       mitigation,
       enhance,
       job,
       assign,
       precondition,
       check,
       IF(
         OR(AND(check=TRUE, REGEXMATCH(assign, ""SELF""), job=""戦士""), AND(check=Option!$F$13, REGEXMATCH(assign, ""SINGLE_PARTY""))),
       "&amp;"  IF(
           OR(ARRAYFORMULA((IF(precondition="""", FALSE, REGEXMATCH($K$4:$ED$4, precondition))) * (K51:ED51=TRUE))),
           enhance,
           mitigation
         ),
         1
       )
     )
   )
 ) * EE51"),1.0)</f>
        <v>1</v>
      </c>
      <c r="FA51" s="206">
        <f t="shared" si="8"/>
        <v>0</v>
      </c>
      <c r="FB51" s="205">
        <f>IFERROR(__xludf.DUMMYFUNCTION("PRODUCT(
   MAP(
     K$3:ED$3,
     K$14:ED$14,
     K$13:ED$13,
     K51:ED51,
     LAMBDA(
       job,
       buff,
       target,
       check,
       IF(
         OR(AND(check=TRUE, REGEXMATCH(target, ""SELF_AFFECTED_ALL""), job=""戦士""), AND(check=Op"&amp;"tion!$F$13, REGEXMATCH(target, ""SINGLE_AFFECTED_ALL""))),
         buff,
         1
       )
     )
   )
 )"),1.0)</f>
        <v>1</v>
      </c>
      <c r="FC51" s="206">
        <f>IFERROR(__xludf.DUMMYFUNCTION("SUM(
   MAP(
     K$3:ED$3,
     K$7:ED$7,
     K$15:ED$15,
     K$16:ED$16,
     K$21:ED$21,
     K$5:ED$5,
     K$17:ED$17,
     K51:ED51,
     LAMBDA(
       job,
       abillity,
       buff,
       barrier,
       enhance,
       assign,
       preco"&amp;"ndition,
       check,
       IF(
         OR(AND(check=TRUE, REGEXMATCH(assign, ""SELF""), job=""戦士""), AND(check=Option!$F$13, REGEXMATCH(assign, ""SINGLE_PARTY""))),
         IF(
           OR(ARRAYFORMULA((IF(precondition="""", FALSE, REGEXMATCH($K$4:"&amp;"$ED$4, precondition))) * (K51:ED51=TRUE))),
           enhance,
           IF(barrier="""", buff, barrier)
         ),
         0
       ) *
       SWITCH(
         job,
         ""暗黒騎士"", FD$24,
         ""白魔道士"", EF51 * EH51 * FB51 * IF(abillity, 1, EG5"&amp;"1 * EI51) * (Option!$D$22 * 0.81 / 100),
         ""占星術師"", EF51 * EJ51 * FFB51 * IF(abillity, 1, EG51 * EK51) * (Option!$D$23 * 0.81 / 100),
         ""学者"", EF51 * EL51 * FB51 * IF(abillity, 1, EG51 * EM51) * (Option!$D$24 * 0.81 / 100),
         ""賢者"""&amp;", EF51 * EN51 * FB51 * IF(abillity, 1, EG51 * EO51) * (Option!$D$25 * 0.81 / 100),
         1
       )
     )
   )
 ) + EQ51"),0.0)</f>
        <v>0</v>
      </c>
      <c r="FD51" s="206">
        <f t="shared" si="9"/>
        <v>0</v>
      </c>
      <c r="FE51" s="205">
        <f>IFERROR(__xludf.DUMMYFUNCTION("PRODUCT(
   MAP(
     IF($F51=""Physical"", K$10:ED$10, IF($F51=""Magic"", K$11:ED$11, K$12:ED$12)),
     IF($F51=""Physical"", K$18:ED$18, IF($F51=""Magic"", K$19:ED$19, K$20:ED$20)),
     K$3:ED$3,
     K$5:ED$5,
     K$17:ED$17,
     K51:ED51,
     LAM"&amp;"BDA(
       mitigation,
       enhance,
       job,
       assign,
       precondition,
       check,
       IF(
         OR(AND(check=TRUE, REGEXMATCH(assign, ""SELF""), job=""暗黒騎士""), AND(check=Option!$G$13, REGEXMATCH(assign, ""SINGLE_PARTY""))),
     "&amp;"    IF(
           OR(ARRAYFORMULA((IF(precondition="""", FALSE, REGEXMATCH($K$4:$ED$4, precondition))) * (K51:ED51=TRUE))),
           enhance,
           mitigation
         ),
         1
       )
     )
   )
 ) * EE51"),1.0)</f>
        <v>1</v>
      </c>
      <c r="FF51" s="206">
        <f t="shared" si="10"/>
        <v>0</v>
      </c>
      <c r="FG51" s="205">
        <f>IFERROR(__xludf.DUMMYFUNCTION("PRODUCT(
   MAP(
     K$3:ED$3,
     K$14:ED$14,
     K$13:ED$13,
     K51:ED51,
     LAMBDA(
       job,
       buff,
       target,
       check,
       IF(
         OR(AND(check=TRUE, REGEXMATCH(target, ""SELF_AFFECTED_ALL""), job=""暗黒騎士""), AND(check="&amp;"Option!$G$13, REGEXMATCH(target, ""SINGLE_AFFECTED_ALL""))),
         buff,
         1
       )
     )
   )
 )"),1.0)</f>
        <v>1</v>
      </c>
      <c r="FH51" s="206">
        <f>IFERROR(__xludf.DUMMYFUNCTION("SUM(
   MAP(
     K$3:ED$3,
     K$7:ED$7,
     K$15:ED$15,
     K$16:ED$16,
     K$21:ED$21,
     K$5:ED$5,
     K$17:ED$17,
     K51:ED51,
     LAMBDA(
       job,
       abillity,
       buff,
       barrier,
       enhance,
       assign,
       preco"&amp;"ndition,
       check,
       IF(
         OR(AND(check=TRUE, REGEXMATCH(assign, ""SELF""), job=""暗黒騎士""), AND(check=Option!$G$13, REGEXMATCH(assign, ""SINGLE_PARTY""))),
         IF(
           OR(ARRAYFORMULA((IF(precondition="""", FALSE, REGEXMATCH($K$"&amp;"4:$ED$4, precondition))) * (K51:ED51=TRUE))),
           enhance,
           IF(barrier="""", buff, barrier)
         ),
         0
       ) *
       SWITCH(
         job,
         ""暗黒騎士"", FI$24,
         ""白魔道士"", EF51 * EH51 * FG51 * IF(abillity, 1, E"&amp;"G51 * EI51) * (Option!$D$22 * 0.81 / 100),
         ""占星術師"", EF51 * EJ51 * FG51 * IF(abillity, 1, EG51 * EK51) * (Option!$D$23 * 0.81 / 100),
         ""学者"", EF51 * EL51 * FG51 * IF(abillity, 1, EG51 * EM51) * (Option!$D$24 * 0.81 / 100),
         ""賢者"&amp;""", EF51 * EN51 * FG51 * IF(abillity, 1, EG51 * EO51) * (Option!$D$25 * 0.81 / 100),
         1
       )
     )
   )
 ) + EQ51"),0.0)</f>
        <v>0</v>
      </c>
      <c r="FI51" s="206">
        <f t="shared" si="11"/>
        <v>0</v>
      </c>
      <c r="FJ51" s="205">
        <f>IFERROR(__xludf.DUMMYFUNCTION("PRODUCT(
   MAP(
     IF($F51=""Physical"", K$10:ED$10, IF($F51=""Magic"", K$11:ED$11, K$12:ED$12)),
     IF($F51=""Physical"", K$18:ED$18, IF($F51=""Magic"", K$19:ED$19, K$20:ED$20)),
     K$3:ED$3,
     K$5:ED$5,
     K$17:ED$17,
     K51:ED51,
     LAM"&amp;"BDA(
       mitigation,
       enhance,
       job,
       assign,
       precondition,
       check,
       IF(
         OR(AND(check=TRUE, REGEXMATCH(assign, ""SELF""), job=""ガンブレイカー""), AND(check=Option!$H$13, REGEXMATCH(assign, ""SINGLE_PARTY""))),
  "&amp;"       IF(
           OR(ARRAYFORMULA((IF(precondition="""", FALSE, REGEXMATCH($K$4:$ED$4, precondition))) * (K51:ED51=TRUE))),
           enhance,
           mitigation
         ),
         1
       )
     )
   )
 ) * EE51"),1.0)</f>
        <v>1</v>
      </c>
      <c r="FK51" s="206">
        <f t="shared" si="12"/>
        <v>0</v>
      </c>
      <c r="FL51" s="205">
        <f>IFERROR(__xludf.DUMMYFUNCTION("PRODUCT(
   MAP(
     K$3:ED$3,
     K$14:ED$14,
     K$13:ED$13,
     K51:ED51,
     LAMBDA(
       job,
       buff,
       target,
       check,
       IF(
         OR(AND(check=TRUE, REGEXMATCH(target, ""SELF_AFFECTED_ALL""), job=""ガンブレイカー""), AND(che"&amp;"ck=Option!$H$13, REGEXMATCH(target, ""SINGLE_AFFECTED_ALL""))),
         buff,
         1
       )
     )
   )
 )"),1.0)</f>
        <v>1</v>
      </c>
      <c r="FM51" s="206">
        <f>IFERROR(__xludf.DUMMYFUNCTION("SUM(
   MAP(
     K$3:ED$3,
     K$7:ED$7,
     K$15:ED$15,
     K$16:ED$16,
     K$21:ED$21,
     K$5:ED$5,
     K$17:ED$17,
     K51:ED51,
     LAMBDA(
       job,
       abillity,
       buff,
       barrier,
       enhance,
       assign,
       preco"&amp;"ndition,
       check,
       IF(
         OR(AND(check=TRUE, REGEXMATCH(assign, ""SELF""), job=""ガンブレイカー""), AND(check=Option!$H$13, REGEXMATCH(assign, ""SINGLE_PARTY""))),
         IF(
           OR(ARRAYFORMULA((IF(precondition="""", FALSE, REGEXMATCH("&amp;"$K$4:$ED$4, precondition))) * (K51:ED51=TRUE))),
           enhance,
           IF(barrier="""", buff, barrier)
         ),
         0
       ) *
       SWITCH(
         job,
         ""暗黒騎士"", FN$24,
         ""白魔道士"", EF51 * EH51 * FL51 * IF(abillity, 1"&amp;", EG51 * EI51) * (Option!$D$22 * 0.81 / 100),
         ""占星術師"", EF51 * EJ51 * FL51 * IF(abillity, 1, EG51 * EK51) * (Option!$D$23 * 0.81 / 100),
         ""学者"", EF51 * EL51 * FL51 * IF(abillity, 1, EG51 * EM51) * (Option!$D$24 * 0.81 / 100),
         """&amp;"賢者"", EF51 * EN51 * FL51 * IF(abillity, 1, EG51 * EO51) * (Option!$D$25 * 0.81 / 100),
         1
       )
     )
   )
 ) + EQ51"),0.0)</f>
        <v>0</v>
      </c>
      <c r="FN51" s="206">
        <f t="shared" si="13"/>
        <v>0</v>
      </c>
      <c r="FO51" s="213"/>
    </row>
    <row r="52">
      <c r="B52" s="229"/>
      <c r="C52" s="217"/>
      <c r="D52" s="236"/>
      <c r="E52" s="238"/>
      <c r="F52" s="167"/>
      <c r="G52" s="168" t="str">
        <f t="shared" si="2"/>
        <v/>
      </c>
      <c r="H52" s="169"/>
      <c r="I52" s="169"/>
      <c r="J52" s="169"/>
      <c r="K52" s="170" t="b">
        <v>0</v>
      </c>
      <c r="L52" s="170" t="b">
        <v>0</v>
      </c>
      <c r="M52" s="170" t="b">
        <v>0</v>
      </c>
      <c r="N52" s="171" t="s">
        <v>1070</v>
      </c>
      <c r="O52" s="172" t="b">
        <v>0</v>
      </c>
      <c r="P52" s="173" t="b">
        <v>0</v>
      </c>
      <c r="Q52" s="173" t="b">
        <v>0</v>
      </c>
      <c r="R52" s="173" t="b">
        <v>0</v>
      </c>
      <c r="S52" s="174" t="b">
        <v>0</v>
      </c>
      <c r="T52" s="175" t="b">
        <v>0</v>
      </c>
      <c r="U52" s="173" t="b">
        <v>0</v>
      </c>
      <c r="V52" s="171" t="s">
        <v>1070</v>
      </c>
      <c r="W52" s="172" t="b">
        <v>0</v>
      </c>
      <c r="X52" s="173" t="b">
        <v>0</v>
      </c>
      <c r="Y52" s="173" t="b">
        <v>0</v>
      </c>
      <c r="Z52" s="173" t="b">
        <v>0</v>
      </c>
      <c r="AA52" s="174" t="b">
        <v>0</v>
      </c>
      <c r="AB52" s="174" t="b">
        <v>0</v>
      </c>
      <c r="AC52" s="175" t="b">
        <v>0</v>
      </c>
      <c r="AD52" s="173" t="b">
        <v>0</v>
      </c>
      <c r="AE52" s="176" t="s">
        <v>1070</v>
      </c>
      <c r="AF52" s="171" t="s">
        <v>1070</v>
      </c>
      <c r="AG52" s="177">
        <f>IFERROR(__xludf.DUMMYFUNCTION("IF(
  ISNUMBER(AG51),
  MIN(MAX(
    AG51
    + MAX(
      ROUNDDOWN(($D52 - MAX(IFERROR(FILTER($D$24:$D51, AG$24:AG51 &lt;&gt; AF$6, AG$23:AG50 = AF$6), 0))) * (60 * 60 * 24) / AF$9) - ROUNDDOWN(($D51 - MAX(IFERROR(FILTER($D$23:$D50, AG$23:AG50 &lt;&gt; AF$6, AG$22:"&amp;"AG49 = AF$6), 0))) * (60 * 60 * 24) / 60),
      0
    )
    - COUNTIF(AF52, ""&lt;&gt;-""),
  0), AF$6),
  AF$6 - COUNTIF(AF52, ""&lt;&gt;-"")
)"),2.0)</f>
        <v>2</v>
      </c>
      <c r="AH52" s="173" t="b">
        <v>0</v>
      </c>
      <c r="AI52" s="173" t="b">
        <v>0</v>
      </c>
      <c r="AJ52" s="173" t="b">
        <v>0</v>
      </c>
      <c r="AK52" s="174" t="b">
        <v>0</v>
      </c>
      <c r="AL52" s="175" t="b">
        <v>0</v>
      </c>
      <c r="AM52" s="173" t="b">
        <v>0</v>
      </c>
      <c r="AN52" s="171" t="s">
        <v>1070</v>
      </c>
      <c r="AO52" s="173" t="b">
        <v>0</v>
      </c>
      <c r="AP52" s="173" t="b">
        <v>0</v>
      </c>
      <c r="AQ52" s="173" t="b">
        <v>0</v>
      </c>
      <c r="AR52" s="174" t="b">
        <v>0</v>
      </c>
      <c r="AS52" s="178" t="b">
        <v>0</v>
      </c>
      <c r="AT52" s="179" t="b">
        <v>0</v>
      </c>
      <c r="AU52" s="180" t="b">
        <v>0</v>
      </c>
      <c r="AV52" s="180" t="b">
        <v>0</v>
      </c>
      <c r="AW52" s="180" t="b">
        <v>0</v>
      </c>
      <c r="AX52" s="180" t="b">
        <v>0</v>
      </c>
      <c r="AY52" s="181" t="s">
        <v>1070</v>
      </c>
      <c r="AZ52" s="181" t="s">
        <v>1070</v>
      </c>
      <c r="BA52" s="184">
        <f>IFERROR(__xludf.DUMMYFUNCTION("IF(
  ISNUMBER(BA51),
  MIN(MAX(
    BA51
    + MAX(
      ROUNDDOWN((D52 - MAX(IFERROR(FILTER(D$24:D51, BA$24:BA51 &lt;&gt; AZ$6, BA$23:BA50 = AZ$6), 0))) * (60 * 60 * 24) / AZ$9) - ROUNDDOWN((D51 - MAX(IFERROR(FILTER(D$23:D50, BA$23:BA50 &lt;&gt; AZ$6, BA$22:BA49 ="&amp;" AZ$6), 0))) * (60 * 60 * 24) / AZ$9),
      0
    )
    - COUNTIF(AZ52, ""&lt;&gt;-""),
  0), AZ$6),
  AZ$6 - COUNTIF(AZ52, ""&lt;&gt;-"")
)"),2.0)</f>
        <v>2</v>
      </c>
      <c r="BB52" s="181" t="s">
        <v>1070</v>
      </c>
      <c r="BC52" s="183">
        <f>IFERROR(__xludf.DUMMYFUNCTION("IF(
  ISNUMBER(BC51),
  MIN(MAX(
    BC51
    + MAX(
      ROUNDDOWN(($D52 - MAX(IFERROR(FILTER($D$24:$D51, BC$24:BC51 &lt;&gt; BB$6, BC$23:BC50 = BB$6), 0))) * (60 * 60 * 24) / BB$9) - ROUNDDOWN(($D51 - MAX(IFERROR(FILTER($D$23:$D50, BC$23:BC50 &lt;&gt; BB$6, BC$22:"&amp;"BC49 = BB$6), 0))) * (60 * 60 * 24) / 60),
      0
    )
    - COUNTIF(BB52, ""&lt;&gt;-""),
  0), BB$6),
  BB$6 - COUNTIF(BB52, ""&lt;&gt;-"")
)"),2.0)</f>
        <v>2</v>
      </c>
      <c r="BD52" s="181" t="s">
        <v>1070</v>
      </c>
      <c r="BE52" s="178" t="b">
        <v>0</v>
      </c>
      <c r="BF52" s="180" t="b">
        <v>0</v>
      </c>
      <c r="BG52" s="180" t="b">
        <v>0</v>
      </c>
      <c r="BH52" s="180" t="b">
        <v>0</v>
      </c>
      <c r="BI52" s="180" t="b">
        <v>0</v>
      </c>
      <c r="BJ52" s="180" t="b">
        <v>0</v>
      </c>
      <c r="BK52" s="180" t="b">
        <v>0</v>
      </c>
      <c r="BL52" s="180" t="b">
        <v>0</v>
      </c>
      <c r="BM52" s="180" t="b">
        <v>0</v>
      </c>
      <c r="BN52" s="180" t="b">
        <v>0</v>
      </c>
      <c r="BO52" s="181" t="s">
        <v>1070</v>
      </c>
      <c r="BP52" s="181" t="s">
        <v>1070</v>
      </c>
      <c r="BQ52" s="181" t="s">
        <v>1070</v>
      </c>
      <c r="BR52" s="181" t="s">
        <v>1070</v>
      </c>
      <c r="BS52" s="181" t="s">
        <v>1070</v>
      </c>
      <c r="BT52" s="184">
        <f>IFERROR(__xludf.DUMMYFUNCTION("IF(
  ISNUMBER(BT51),
  MIN(MAX(
    BT51
    + MAX(
      ROUNDDOWN((D52 - MAX(IFERROR(FILTER(D$24:D51, BT$24:BT51 &lt;&gt; BS$6, BT$23:BT50 = BS$6), 0))) * (60 * 60 * 24) / BS$9) - ROUNDDOWN((D51 - MAX(IFERROR(FILTER(D$23:D50, BT$23:BT50 &lt;&gt; BS$6, BT$22:BT49 ="&amp;" BS$6), 0))) * (60 * 60 * 24) / BS$9),
      0
    )
    - COUNTIF(BS52, ""&lt;&gt;-""),
  0), BS$6),
  BS$6 - COUNTIF(BS52, ""&lt;&gt;-"")
)"),3.0)</f>
        <v>3</v>
      </c>
      <c r="BU52" s="181" t="s">
        <v>1070</v>
      </c>
      <c r="BV52" s="181" t="s">
        <v>1070</v>
      </c>
      <c r="BW52" s="184">
        <f>IFERROR(__xludf.DUMMYFUNCTION("IF(
  ISNUMBER(BW51),
  MIN(MAX(
    BW51
    + MAX(
      ROUNDDOWN((D52 - MAX(IFERROR(FILTER(D$24:D51, BW$24:BW51 &lt;&gt; BV$6, BW$23:BW50 = BV$6), 0))) * (60 * 60 * 24) / BV$9) - ROUNDDOWN((D51 - MAX(IFERROR(FILTER(D$23:D50, BW$23:BW50 &lt;&gt; BV$6, BW$22:BW49 ="&amp;" BV$6), 0))) * (60 * 60 * 24) / BV$9),
      0
    )
    - COUNTIF(BV52, ""&lt;&gt;-""),
  0), BV$6),
  BV$6 - COUNTIF(BV52, ""&lt;&gt;-"")
)"),2.0)</f>
        <v>2</v>
      </c>
      <c r="BX52" s="185" t="s">
        <v>1070</v>
      </c>
      <c r="BY52" s="178" t="b">
        <v>0</v>
      </c>
      <c r="BZ52" s="180" t="b">
        <v>0</v>
      </c>
      <c r="CA52" s="180" t="b">
        <v>0</v>
      </c>
      <c r="CB52" s="180" t="b">
        <v>0</v>
      </c>
      <c r="CC52" s="180" t="b">
        <v>0</v>
      </c>
      <c r="CD52" s="180" t="b">
        <v>0</v>
      </c>
      <c r="CE52" s="180" t="b">
        <v>0</v>
      </c>
      <c r="CF52" s="180" t="b">
        <v>0</v>
      </c>
      <c r="CG52" s="180" t="b">
        <v>0</v>
      </c>
      <c r="CH52" s="180" t="b">
        <v>0</v>
      </c>
      <c r="CI52" s="180" t="b">
        <v>0</v>
      </c>
      <c r="CJ52" s="180" t="b">
        <v>0</v>
      </c>
      <c r="CK52" s="180" t="b">
        <v>0</v>
      </c>
      <c r="CL52" s="180" t="b">
        <v>0</v>
      </c>
      <c r="CM52" s="181" t="s">
        <v>1070</v>
      </c>
      <c r="CN52" s="181" t="s">
        <v>1070</v>
      </c>
      <c r="CO52" s="181" t="s">
        <v>1070</v>
      </c>
      <c r="CP52" s="181" t="s">
        <v>1070</v>
      </c>
      <c r="CQ52" s="185" t="s">
        <v>1070</v>
      </c>
      <c r="CR52" s="180" t="b">
        <v>0</v>
      </c>
      <c r="CS52" s="186" t="str">
        <f t="shared" si="14"/>
        <v>◇◇◇</v>
      </c>
      <c r="CT52" s="178" t="b">
        <v>0</v>
      </c>
      <c r="CU52" s="180" t="b">
        <v>0</v>
      </c>
      <c r="CV52" s="180" t="b">
        <v>0</v>
      </c>
      <c r="CW52" s="180" t="b">
        <v>0</v>
      </c>
      <c r="CX52" s="180" t="b">
        <v>0</v>
      </c>
      <c r="CY52" s="180" t="b">
        <v>0</v>
      </c>
      <c r="CZ52" s="180" t="b">
        <v>0</v>
      </c>
      <c r="DA52" s="180" t="b">
        <v>0</v>
      </c>
      <c r="DB52" s="180" t="b">
        <v>0</v>
      </c>
      <c r="DC52" s="180" t="b">
        <v>0</v>
      </c>
      <c r="DD52" s="181" t="s">
        <v>1070</v>
      </c>
      <c r="DE52" s="181" t="s">
        <v>1070</v>
      </c>
      <c r="DF52" s="181" t="s">
        <v>1070</v>
      </c>
      <c r="DG52" s="185" t="s">
        <v>1070</v>
      </c>
      <c r="DH52" s="180" t="b">
        <v>0</v>
      </c>
      <c r="DI52" s="187" t="str">
        <f>IFERROR(__xludf.DUMMYFUNCTION("SWITCH(
  IF(
    ISTEXT(DI51),
    IF (
      FIND(""○"", DI51&amp;""○"") &gt; 3,
      3,
      FIND(""○"", DI51&amp;""○"")
      + MAX(
        ROUNDDOWN(($D52 - MAX(IFERROR(FILTER(D$24:D51, DI$24:DI51 &lt;&gt; ""●●●"", DI$23:DI50 = ""●●●""), 0))) * (60 * 60 * 24) / 20"&amp;") - ROUNDDOWN(($D51 - MAX(IFERROR(FILTER(D$23:D50, DI$23:DI50 &lt;&gt; ""●●●"", DI$22:DI49 = ""●●●""), 0))) * (60 * 60 * 24) / 20),
        0
      ) - 1
    ) - COUNTIFS(CU52, ""=TRUE"", CU51, ""&lt;&gt;TRUE"") - COUNTIF(CZ52, ""=TRUE"") - COUNTIF({DD52,DE52}, ""&lt;&gt;-"&amp;""") + COUNTIF(DH52, ""=TRUE""),
    3
  ),
  0, ""○○○"", 1, ""●○○"", 2, ""●●○"", 3, ""●●●"", 4, ""●●●"", ""○○○""
)"),"●●●")</f>
        <v>●●●</v>
      </c>
      <c r="DJ52" s="188" t="b">
        <v>0</v>
      </c>
      <c r="DK52" s="189" t="b">
        <v>0</v>
      </c>
      <c r="DL52" s="190" t="b">
        <v>0</v>
      </c>
      <c r="DM52" s="190" t="b">
        <v>0</v>
      </c>
      <c r="DN52" s="190" t="b">
        <v>0</v>
      </c>
      <c r="DO52" s="190" t="b">
        <v>0</v>
      </c>
      <c r="DP52" s="190" t="b">
        <v>0</v>
      </c>
      <c r="DQ52" s="191" t="b">
        <v>0</v>
      </c>
      <c r="DR52" s="192" t="b">
        <v>0</v>
      </c>
      <c r="DS52" s="191" t="b">
        <v>0</v>
      </c>
      <c r="DT52" s="192" t="b">
        <v>0</v>
      </c>
      <c r="DU52" s="191" t="b">
        <v>0</v>
      </c>
      <c r="DV52" s="193" t="s">
        <v>1070</v>
      </c>
      <c r="DW52" s="194" t="b">
        <v>0</v>
      </c>
      <c r="DX52" s="194" t="b">
        <v>0</v>
      </c>
      <c r="DY52" s="195" t="b">
        <v>0</v>
      </c>
      <c r="DZ52" s="196" t="b">
        <v>0</v>
      </c>
      <c r="EA52" s="195" t="b">
        <v>0</v>
      </c>
      <c r="EB52" s="197" t="b">
        <v>0</v>
      </c>
      <c r="EC52" s="197" t="b">
        <v>0</v>
      </c>
      <c r="ED52" s="212" t="b">
        <v>0</v>
      </c>
      <c r="EE52" s="199">
        <f>IFERROR(__xludf.DUMMYFUNCTION("IFERROR(
   PRODUCT(
     MAP(
       INDEX(TRANSPOSE(UNIQUE(TRANSPOSE(FILTER({IF($F52=""Physical"", K$10:ED$10, IF($F52=""Magic"", K$11:ED$11, K$12:ED$12));K$4:ED$4;K52:ED52}, K52:ED52=TRUE)))), 1, 0),
       INDEX(TRANSPOSE(UNIQUE(TRANSPOSE(FILTER({IF($"&amp;"F52=""Physical"", K$18:ED$18, IF($F52=""Magic"", K$19:ED$19, K$20:ED$20));K$4:ED$4;K52:ED52}, K52:ED52=TRUE)))), 1, 0),
       INDEX(TRANSPOSE(UNIQUE(TRANSPOSE(FILTER({K$5:ED$5;K$4:ED$4;K52:ED52}, K52:ED52=TRUE)))), 1, 0),
       INDEX(TRANSPOSE(UNIQUE(TR"&amp;"ANSPOSE(FILTER({K$17:ED$17;K$4:ED$4;K52:ED52}, K52:ED52=TRUE)))), 1, 0),
       LAMBDA(
         mitigation,
         enhance,
         assign,
         precondition,
         IF(
           REGEXMATCH(assign, ""RANGE_PARTY|SINGLE_ENEMY|RANGE_ENEMY""),
  "&amp;"         IF(
             OR(ARRAYFORMULA((IF(precondition="""", FALSE, REGEXMATCH(K$4:ED$4, precondition))) * (K52:ED52=TRUE))),
             IF(ISNUMBER(enhance), enhance, 1),
             IF(ISNUMBER(mitigation), mitigation, 1)
           ),
          "&amp;" 1
         )
       )
     )
   ),
   1
 )"),1.0)</f>
        <v>1</v>
      </c>
      <c r="EF52" s="200">
        <f>IFERROR(__xludf.DUMMYFUNCTION("PRODUCT(
   MAP(
     K$14:ED$14,
     K$13:ED$13,
     K52:ED52,
     LAMBDA(
       buff,
       target,
       check,
       IF(
         AND(check=TRUE, REGEXMATCH(target, ""RANGE_AFFECTED_ALL|RANGE_EFFECTED_ALL""), ISNUMBER(buff)),
         buff,
   "&amp;"      1
       )
     )
   )
 )"),1.0)</f>
        <v>1</v>
      </c>
      <c r="EG52" s="200">
        <f>IFERROR(__xludf.DUMMYFUNCTION("PRODUCT(
   MAP(
     K$14:ED$14,
     K$13:ED$13,
     K52:ED52,
     LAMBDA(
       buff,
       target,
       check,
       IF(
         AND(check=TRUE, REGEXMATCH(target, ""RANGE_AFFECTED_GCD|RANGE_EFFECTED_GCD""), ISNUMBER(buff)),
         buff,
   "&amp;"      1
       )
     )
   )
 )"),1.0)</f>
        <v>1</v>
      </c>
      <c r="EH52" s="200">
        <f>IFERROR(__xludf.DUMMYFUNCTION("PRODUCT(
   MAP(
     K$3:ED$3,
     K$14:ED$14,
     K$13:ED$13,
     K52:ED52,
     LAMBDA(
       job,
       buff,
       target,
       check,
       IF(
         AND(check=TRUE, REGEXMATCH(target, ""SELF_EFFECTED_ALL""), ISNUMBER(buff), job=""白魔道士"""&amp;"),
         buff,
         1
       )
     )
   )
 )"),1.0)</f>
        <v>1</v>
      </c>
      <c r="EI52" s="200">
        <f>IFERROR(__xludf.DUMMYFUNCTION("PRODUCT(
   MAP(
     K$3:ED$3,
     K$14:ED$14,
     K$13:ED$13,
     K52:ED52,
     LAMBDA(
       job,
       buff,
       target,
       check,
       IF(
         AND(check=TRUE, REGEXMATCH(target, ""SELF_EFFECTED_GCD""), ISNUMBER(buff), job=""白魔道士"""&amp;"),
         buff,
         1
       )
     )
   )
 )"),1.0)</f>
        <v>1</v>
      </c>
      <c r="EJ52" s="200">
        <f>IFERROR(__xludf.DUMMYFUNCTION("PRODUCT(
   MAP(
     K$3:ED$3,
     K$14:ED$14,
     K$13:ED$13,
     K52:ED52,
     LAMBDA(
       job,
       buff,
       target,
       check,
       IF(
         AND(check=TRUE, REGEXMATCH(target, ""SELF_EFFECTED_ALL""), ISNUMBER(buff), job=""占星術師"""&amp;"),
         buff,
         1
       )
     )
   )
 )"),1.0)</f>
        <v>1</v>
      </c>
      <c r="EK52" s="200">
        <f>IFERROR(__xludf.DUMMYFUNCTION("PRODUCT(
   MAP(
     K$3:ED$3,
     K$14:ED$14,
     K$13:ED$13,
     K52:ED52,
     LAMBDA(
       job,
       buff,
       target,
       check,
       IF(
         AND(check=TRUE, REGEXMATCH(target, ""SELF_EFFECTED_GCD""), ISNUMBER(buff), job=""占星術師"""&amp;"),
         buff,
         1
       )
     )
   )
 )"),1.0)</f>
        <v>1</v>
      </c>
      <c r="EL52" s="200">
        <f>IFERROR(__xludf.DUMMYFUNCTION("PRODUCT(
   MAP(
     K$3:ED$3,
     K$14:ED$14,
     K$13:ED$13,
     K52:ED52,
     LAMBDA(
       job,
       buff,
       target,
       check,
       IF(
         AND(check=TRUE, REGEXMATCH(target, ""SELF_EFFECTED_ALL""), ISNUMBER(buff), job=""学者""),"&amp;"
         buff,
         1
       )
     )
   )
 )"),1.0)</f>
        <v>1</v>
      </c>
      <c r="EM52" s="200">
        <f>IFERROR(__xludf.DUMMYFUNCTION("PRODUCT(
   MAP(
     K$3:ED$3,
     K$14:ED$14,
     K$13:ED$13,
     K52:ED52,
     LAMBDA(
       job,
       buff,
       target,
       check,
       IF(
         AND(check=TRUE, REGEXMATCH(target, ""SELF_EFFECTED_GCD""), ISNUMBER(buff), job=""学者""),"&amp;"
         buff,
         1
       )
     )
   )
 )"),1.0)</f>
        <v>1</v>
      </c>
      <c r="EN52" s="200">
        <f>IFERROR(__xludf.DUMMYFUNCTION("PRODUCT(
   MAP(
     K$3:ED$3,
     K$14:ED$14,
     K$13:ED$13,
     K52:ED52,
     LAMBDA(
       job,
       buff,
       target,
       check,
       IF(
         AND(check=TRUE, REGEXMATCH(target, ""SELF_EFFECTED_ALL""), ISNUMBER(buff), job=""賢者""),"&amp;"
         buff,
         1
       )
     )
   )
 )"),1.0)</f>
        <v>1</v>
      </c>
      <c r="EO52" s="200">
        <f>IFERROR(__xludf.DUMMYFUNCTION("PRODUCT(
   MAP(
     K$3:ED$3,
     K$14:ED$14,
     K$13:ED$13,
     K52:ED52,
     LAMBDA(
       job,
       buff,
       target,
       check,
       IF(
         AND(check=TRUE, REGEXMATCH(target, ""SELF_EFFECTED_GCD""), ISNUMBER(buff), job=""賢者""),"&amp;"
         buff,
         1
       )
     )
   )
 )"),1.0)</f>
        <v>1</v>
      </c>
      <c r="EP52" s="201">
        <f t="shared" si="3"/>
        <v>0</v>
      </c>
      <c r="EQ52" s="201">
        <f>IFERROR(__xludf.DUMMYFUNCTION("SUM(
   MAP(
     K$4:ED$4,
     K$3:ED$3,
     K$7:ED$7,
     K$15:ED$15,
     K$16:ED$16,
     K$21:ED$21,
     K$5:ED$5,
     K$17:ED$17,
     K52:ED52,
     LAMBDA(
       name,
       job,
       abillity,
       buff,
       barrier,
       enhance,"&amp;"
       assign,
       precondition,
       check,
       SWITCH(
         name,
         ""シェイクオフ"", IF(check=TRUE, buff + (0.02 * COUNTIF(ARRAYFORMULA((REGEXMATCH($K$4:$ED$4, ""スリル・オブ・バトル|ヴェンジェンス|原初の血気|ダムネーション"")) * (K52:ED52=TRUE)), 1)), 0),
         "&amp;"""インプロビゼーションフィニッシュ(踊りの激情0)"", IF(ISNUMBER(check), INDEX(Skill!$AJ:$AJ, MATCH(SUBSTITUTE(DV$4, 0, check), Skill!$C:$C, 0)), 0),
         IF(
           AND(check=TRUE, REGEXMATCH(assign, ""RANGE_PARTY"")),
           IF(
             OR(ARRAYFORMULA((IF(pr"&amp;"econdition="""", FALSE, REGEXMATCH($K$4:$ED$4, precondition))) * (K52:ED52=TRUE))),
             enhance,
             IF(barrier="""", buff, barrier)
           ),
           0
         )
       ) *
       SWITCH(
         job,
         ""ナイト"", EY$24,
 "&amp;"        ""戦士"", FD$24,
         ""踊り子"", ET$24,
         ""ピクトマンサー"", ET$24,
         ""白魔道士"", EF52 * EH52 * IF(abillity, 1, EG52 * EI52) * (Option!$D$22 * 0.81 / 100),
         ""占星術師"", EF52 * EJ52 * IF(abillity, 1, EG52 * EK52) * (Option!$D$23 * 0.81 "&amp;"/ 100),
         ""学者"", EF52 * EL52 * IF(abillity, 1, EG52 * EM52) * (Option!$D$24 * 0.81 / 100),
         ""賢者"", EF52 * EN52 * IF(abillity, 1, EG52 * EO52) * (Option!$D$25 * 0.81 / 100),
         1
       )
     )
   )
 )"),0.0)</f>
        <v>0</v>
      </c>
      <c r="ER52" s="202">
        <f t="shared" si="4"/>
        <v>0</v>
      </c>
      <c r="ES52" s="203">
        <f t="shared" si="5"/>
        <v>0</v>
      </c>
      <c r="ET52" s="231" t="str">
        <f>IFERROR(__xludf.DUMMYFUNCTION("IFS(
  EP52 &gt; $ET$24 + EQ52,
  SPARKLINE({ 1, 0 }, {""charttype"",""bar"";""max"", 1;""color1"",Option!$D$30;""color2"",Option!$D$30}),
  EP52 &lt; EQ52,
  SPARKLINE({EQ52 - EP52, $ET$24 - (EQ52 - EP52)}, {""charttype"",""bar"";""max"",$ET$24;""color1"",Opti"&amp;"on!$D$28;""color2"",Option!$D$29}),
  EP52 &gt;= EQ52,
  SPARKLINE({$ET$24 + EQ52 - EP52,EP52 - EQ52}, {""charttype"",""bar"";""max"",$ET$24;""color1"",Option!$D$29;""color2"",Option!$D$30})
)"),"")</f>
        <v/>
      </c>
      <c r="EU52" s="205">
        <f>IFERROR(__xludf.DUMMYFUNCTION("PRODUCT(
   MAP(
     IF($F52=""Physical"", K$10:ED$10, IF($F52=""Magic"", K$11:ED$11, K$12:ED$12)),
     IF($F52=""Physical"", K$18:ED$18, IF($F52=""Magic"", K$19:ED$19, K$20:ED$20)),
     K$3:ED$3,
     K$5:ED$5,
     K$17:ED$17,
     K52:ED52,
     LAM"&amp;"BDA(
       mitigation,
       enhance,
       job,
       assign,
       precondition,
       check,
       IF(
         OR(AND(check=TRUE, REGEXMATCH(assign, ""SELF""), job=""ナイト""), AND(check=Option!$E$13, REGEXMATCH(assign, ""SINGLE_PARTY""))),
      "&amp;"   IF(
           OR(ARRAYFORMULA((IF(precondition="""", FALSE, REGEXMATCH($K$4:$ED$4, precondition))) * (K52:ED52=TRUE))),
           enhance,
           mitigation
         ),
         1
       )
     )
   )
 ) * EE52"),1.0)</f>
        <v>1</v>
      </c>
      <c r="EV52" s="206">
        <f t="shared" si="6"/>
        <v>0</v>
      </c>
      <c r="EW52" s="205">
        <f>IFERROR(__xludf.DUMMYFUNCTION("PRODUCT(
   MAP(
     K$3:ED$3,
     K$14:ED$14,
     K$13:ED$13,
     K52:ED52,
     LAMBDA(
       job,
       buff,
       target,
       check,
       IF(
         OR(AND(check=TRUE, REGEXMATCH(target, ""SELF_AFFECTED_ALL""), job=""ナイト""), AND(check=O"&amp;"ption!$E$13, REGEXMATCH(target, ""SINGLE_AFFECTED_ALL""))),
         buff,
         1
       )
     )
   )
 )"),1.0)</f>
        <v>1</v>
      </c>
      <c r="EX52" s="206">
        <f>IFERROR(__xludf.DUMMYFUNCTION("SUM(
   MAP(
     K$3:ED$3,
     K$7:ED$7,
     K$15:ED$15,
     K$16:ED$16,
     K$21:ED$21,
     K$5:ED$5,
     K$17:ED$17,
     K52:ED52,
     LAMBDA(
       job,
       abillity,
       buff,
       barrier,
       enhance,
       assign,
       preco"&amp;"ndition,
       check,
       IF(
         OR(AND(check=TRUE, REGEXMATCH(assign, ""SELF""), job=""ナイト""), AND(check=Option!$E$13, REGEXMATCH(assign, ""SINGLE_PARTY""))),
         IF(
           OR(ARRAYFORMULA((IF(precondition="""", FALSE, REGEXMATCH($K$4"&amp;":$ED$4, precondition))) * (K52:ED52=TRUE))),
           enhance,
           IF(barrier="""", buff, barrier)
         ),
         0
       ) *
       SWITCH(
         job,
         ""暗黒騎士"", EY$24,
         ""白魔道士"", EF52 * EH52 * EW52 * IF(abillity, 1, EG"&amp;"52 * EI52) * (Option!$D$22 * 0.81 / 100),
         ""占星術師"", EF52 * EJ52 * EW52 * IF(abillity, 1, EG52 * EK52) * (Option!$D$23 * 0.81 / 100),
         ""学者"", EF52 * EL52 * EW52 * IF(abillity, 1, EG52 * EM52) * (Option!$D$24 * 0.81 / 100),
         ""賢者"""&amp;", EF52 * EN52 * EW52 * IF(abillity, 1, EG52 * EO52) * (Option!$D$25 * 0.81 / 100),
         1
       )
     )
   )
 ) + EQ52"),0.0)</f>
        <v>0</v>
      </c>
      <c r="EY52" s="232">
        <f t="shared" si="7"/>
        <v>0</v>
      </c>
      <c r="EZ52" s="205">
        <f>IFERROR(__xludf.DUMMYFUNCTION("PRODUCT(
   MAP(
     IF($F52=""Physical"", K$10:ED$10, IF($F52=""Magic"", K$11:ED$11, K$12:ED$12)),
     IF($F52=""Physical"", K$18:ED$18, IF($F52=""Magic"", K$19:ED$19, K$20:ED$20)),
     K$3:ED$3,
     K$5:ED$5,
     K$17:ED$17,
     K52:ED52,
     LAM"&amp;"BDA(
       mitigation,
       enhance,
       job,
       assign,
       precondition,
       check,
       IF(
         OR(AND(check=TRUE, REGEXMATCH(assign, ""SELF""), job=""戦士""), AND(check=Option!$F$13, REGEXMATCH(assign, ""SINGLE_PARTY""))),
       "&amp;"  IF(
           OR(ARRAYFORMULA((IF(precondition="""", FALSE, REGEXMATCH($K$4:$ED$4, precondition))) * (K52:ED52=TRUE))),
           enhance,
           mitigation
         ),
         1
       )
     )
   )
 ) * EE52"),1.0)</f>
        <v>1</v>
      </c>
      <c r="FA52" s="206">
        <f t="shared" si="8"/>
        <v>0</v>
      </c>
      <c r="FB52" s="205">
        <f>IFERROR(__xludf.DUMMYFUNCTION("PRODUCT(
   MAP(
     K$3:ED$3,
     K$14:ED$14,
     K$13:ED$13,
     K52:ED52,
     LAMBDA(
       job,
       buff,
       target,
       check,
       IF(
         OR(AND(check=TRUE, REGEXMATCH(target, ""SELF_AFFECTED_ALL""), job=""戦士""), AND(check=Op"&amp;"tion!$F$13, REGEXMATCH(target, ""SINGLE_AFFECTED_ALL""))),
         buff,
         1
       )
     )
   )
 )"),1.0)</f>
        <v>1</v>
      </c>
      <c r="FC52" s="206">
        <f>IFERROR(__xludf.DUMMYFUNCTION("SUM(
   MAP(
     K$3:ED$3,
     K$7:ED$7,
     K$15:ED$15,
     K$16:ED$16,
     K$21:ED$21,
     K$5:ED$5,
     K$17:ED$17,
     K52:ED52,
     LAMBDA(
       job,
       abillity,
       buff,
       barrier,
       enhance,
       assign,
       preco"&amp;"ndition,
       check,
       IF(
         OR(AND(check=TRUE, REGEXMATCH(assign, ""SELF""), job=""戦士""), AND(check=Option!$F$13, REGEXMATCH(assign, ""SINGLE_PARTY""))),
         IF(
           OR(ARRAYFORMULA((IF(precondition="""", FALSE, REGEXMATCH($K$4:"&amp;"$ED$4, precondition))) * (K52:ED52=TRUE))),
           enhance,
           IF(barrier="""", buff, barrier)
         ),
         0
       ) *
       SWITCH(
         job,
         ""暗黒騎士"", FD$24,
         ""白魔道士"", EF52 * EH52 * FB52 * IF(abillity, 1, EG5"&amp;"2 * EI52) * (Option!$D$22 * 0.81 / 100),
         ""占星術師"", EF52 * EJ52 * FFB52 * IF(abillity, 1, EG52 * EK52) * (Option!$D$23 * 0.81 / 100),
         ""学者"", EF52 * EL52 * FB52 * IF(abillity, 1, EG52 * EM52) * (Option!$D$24 * 0.81 / 100),
         ""賢者"""&amp;", EF52 * EN52 * FB52 * IF(abillity, 1, EG52 * EO52) * (Option!$D$25 * 0.81 / 100),
         1
       )
     )
   )
 ) + EQ52"),0.0)</f>
        <v>0</v>
      </c>
      <c r="FD52" s="206">
        <f t="shared" si="9"/>
        <v>0</v>
      </c>
      <c r="FE52" s="205">
        <f>IFERROR(__xludf.DUMMYFUNCTION("PRODUCT(
   MAP(
     IF($F52=""Physical"", K$10:ED$10, IF($F52=""Magic"", K$11:ED$11, K$12:ED$12)),
     IF($F52=""Physical"", K$18:ED$18, IF($F52=""Magic"", K$19:ED$19, K$20:ED$20)),
     K$3:ED$3,
     K$5:ED$5,
     K$17:ED$17,
     K52:ED52,
     LAM"&amp;"BDA(
       mitigation,
       enhance,
       job,
       assign,
       precondition,
       check,
       IF(
         OR(AND(check=TRUE, REGEXMATCH(assign, ""SELF""), job=""暗黒騎士""), AND(check=Option!$G$13, REGEXMATCH(assign, ""SINGLE_PARTY""))),
     "&amp;"    IF(
           OR(ARRAYFORMULA((IF(precondition="""", FALSE, REGEXMATCH($K$4:$ED$4, precondition))) * (K52:ED52=TRUE))),
           enhance,
           mitigation
         ),
         1
       )
     )
   )
 ) * EE52"),1.0)</f>
        <v>1</v>
      </c>
      <c r="FF52" s="206">
        <f t="shared" si="10"/>
        <v>0</v>
      </c>
      <c r="FG52" s="205">
        <f>IFERROR(__xludf.DUMMYFUNCTION("PRODUCT(
   MAP(
     K$3:ED$3,
     K$14:ED$14,
     K$13:ED$13,
     K52:ED52,
     LAMBDA(
       job,
       buff,
       target,
       check,
       IF(
         OR(AND(check=TRUE, REGEXMATCH(target, ""SELF_AFFECTED_ALL""), job=""暗黒騎士""), AND(check="&amp;"Option!$G$13, REGEXMATCH(target, ""SINGLE_AFFECTED_ALL""))),
         buff,
         1
       )
     )
   )
 )"),1.0)</f>
        <v>1</v>
      </c>
      <c r="FH52" s="206">
        <f>IFERROR(__xludf.DUMMYFUNCTION("SUM(
   MAP(
     K$3:ED$3,
     K$7:ED$7,
     K$15:ED$15,
     K$16:ED$16,
     K$21:ED$21,
     K$5:ED$5,
     K$17:ED$17,
     K52:ED52,
     LAMBDA(
       job,
       abillity,
       buff,
       barrier,
       enhance,
       assign,
       preco"&amp;"ndition,
       check,
       IF(
         OR(AND(check=TRUE, REGEXMATCH(assign, ""SELF""), job=""暗黒騎士""), AND(check=Option!$G$13, REGEXMATCH(assign, ""SINGLE_PARTY""))),
         IF(
           OR(ARRAYFORMULA((IF(precondition="""", FALSE, REGEXMATCH($K$"&amp;"4:$ED$4, precondition))) * (K52:ED52=TRUE))),
           enhance,
           IF(barrier="""", buff, barrier)
         ),
         0
       ) *
       SWITCH(
         job,
         ""暗黒騎士"", FI$24,
         ""白魔道士"", EF52 * EH52 * FG52 * IF(abillity, 1, E"&amp;"G52 * EI52) * (Option!$D$22 * 0.81 / 100),
         ""占星術師"", EF52 * EJ52 * FG52 * IF(abillity, 1, EG52 * EK52) * (Option!$D$23 * 0.81 / 100),
         ""学者"", EF52 * EL52 * FG52 * IF(abillity, 1, EG52 * EM52) * (Option!$D$24 * 0.81 / 100),
         ""賢者"&amp;""", EF52 * EN52 * FG52 * IF(abillity, 1, EG52 * EO52) * (Option!$D$25 * 0.81 / 100),
         1
       )
     )
   )
 ) + EQ52"),0.0)</f>
        <v>0</v>
      </c>
      <c r="FI52" s="206">
        <f t="shared" si="11"/>
        <v>0</v>
      </c>
      <c r="FJ52" s="205">
        <f>IFERROR(__xludf.DUMMYFUNCTION("PRODUCT(
   MAP(
     IF($F52=""Physical"", K$10:ED$10, IF($F52=""Magic"", K$11:ED$11, K$12:ED$12)),
     IF($F52=""Physical"", K$18:ED$18, IF($F52=""Magic"", K$19:ED$19, K$20:ED$20)),
     K$3:ED$3,
     K$5:ED$5,
     K$17:ED$17,
     K52:ED52,
     LAM"&amp;"BDA(
       mitigation,
       enhance,
       job,
       assign,
       precondition,
       check,
       IF(
         OR(AND(check=TRUE, REGEXMATCH(assign, ""SELF""), job=""ガンブレイカー""), AND(check=Option!$H$13, REGEXMATCH(assign, ""SINGLE_PARTY""))),
  "&amp;"       IF(
           OR(ARRAYFORMULA((IF(precondition="""", FALSE, REGEXMATCH($K$4:$ED$4, precondition))) * (K52:ED52=TRUE))),
           enhance,
           mitigation
         ),
         1
       )
     )
   )
 ) * EE52"),1.0)</f>
        <v>1</v>
      </c>
      <c r="FK52" s="206">
        <f t="shared" si="12"/>
        <v>0</v>
      </c>
      <c r="FL52" s="205">
        <f>IFERROR(__xludf.DUMMYFUNCTION("PRODUCT(
   MAP(
     K$3:ED$3,
     K$14:ED$14,
     K$13:ED$13,
     K52:ED52,
     LAMBDA(
       job,
       buff,
       target,
       check,
       IF(
         OR(AND(check=TRUE, REGEXMATCH(target, ""SELF_AFFECTED_ALL""), job=""ガンブレイカー""), AND(che"&amp;"ck=Option!$H$13, REGEXMATCH(target, ""SINGLE_AFFECTED_ALL""))),
         buff,
         1
       )
     )
   )
 )"),1.0)</f>
        <v>1</v>
      </c>
      <c r="FM52" s="206">
        <f>IFERROR(__xludf.DUMMYFUNCTION("SUM(
   MAP(
     K$3:ED$3,
     K$7:ED$7,
     K$15:ED$15,
     K$16:ED$16,
     K$21:ED$21,
     K$5:ED$5,
     K$17:ED$17,
     K52:ED52,
     LAMBDA(
       job,
       abillity,
       buff,
       barrier,
       enhance,
       assign,
       preco"&amp;"ndition,
       check,
       IF(
         OR(AND(check=TRUE, REGEXMATCH(assign, ""SELF""), job=""ガンブレイカー""), AND(check=Option!$H$13, REGEXMATCH(assign, ""SINGLE_PARTY""))),
         IF(
           OR(ARRAYFORMULA((IF(precondition="""", FALSE, REGEXMATCH("&amp;"$K$4:$ED$4, precondition))) * (K52:ED52=TRUE))),
           enhance,
           IF(barrier="""", buff, barrier)
         ),
         0
       ) *
       SWITCH(
         job,
         ""暗黒騎士"", FN$24,
         ""白魔道士"", EF52 * EH52 * FL52 * IF(abillity, 1"&amp;", EG52 * EI52) * (Option!$D$22 * 0.81 / 100),
         ""占星術師"", EF52 * EJ52 * FL52 * IF(abillity, 1, EG52 * EK52) * (Option!$D$23 * 0.81 / 100),
         ""学者"", EF52 * EL52 * FL52 * IF(abillity, 1, EG52 * EM52) * (Option!$D$24 * 0.81 / 100),
         """&amp;"賢者"", EF52 * EN52 * FL52 * IF(abillity, 1, EG52 * EO52) * (Option!$D$25 * 0.81 / 100),
         1
       )
     )
   )
 ) + EQ52"),0.0)</f>
        <v>0</v>
      </c>
      <c r="FN52" s="206">
        <f t="shared" si="13"/>
        <v>0</v>
      </c>
      <c r="FO52" s="213"/>
    </row>
    <row r="53">
      <c r="B53" s="229"/>
      <c r="C53" s="217"/>
      <c r="D53" s="236"/>
      <c r="E53" s="238"/>
      <c r="F53" s="167"/>
      <c r="G53" s="168" t="str">
        <f t="shared" si="2"/>
        <v/>
      </c>
      <c r="H53" s="169"/>
      <c r="I53" s="169"/>
      <c r="J53" s="169"/>
      <c r="K53" s="170" t="b">
        <v>0</v>
      </c>
      <c r="L53" s="170" t="b">
        <v>0</v>
      </c>
      <c r="M53" s="170" t="b">
        <v>0</v>
      </c>
      <c r="N53" s="171" t="s">
        <v>1070</v>
      </c>
      <c r="O53" s="172" t="b">
        <v>0</v>
      </c>
      <c r="P53" s="173" t="b">
        <v>0</v>
      </c>
      <c r="Q53" s="173" t="b">
        <v>0</v>
      </c>
      <c r="R53" s="173" t="b">
        <v>0</v>
      </c>
      <c r="S53" s="174" t="b">
        <v>0</v>
      </c>
      <c r="T53" s="175" t="b">
        <v>0</v>
      </c>
      <c r="U53" s="173" t="b">
        <v>0</v>
      </c>
      <c r="V53" s="171" t="s">
        <v>1070</v>
      </c>
      <c r="W53" s="172" t="b">
        <v>0</v>
      </c>
      <c r="X53" s="173" t="b">
        <v>0</v>
      </c>
      <c r="Y53" s="173" t="b">
        <v>0</v>
      </c>
      <c r="Z53" s="173" t="b">
        <v>0</v>
      </c>
      <c r="AA53" s="174" t="b">
        <v>0</v>
      </c>
      <c r="AB53" s="174" t="b">
        <v>0</v>
      </c>
      <c r="AC53" s="175" t="b">
        <v>0</v>
      </c>
      <c r="AD53" s="173" t="b">
        <v>0</v>
      </c>
      <c r="AE53" s="176" t="s">
        <v>1070</v>
      </c>
      <c r="AF53" s="171" t="s">
        <v>1070</v>
      </c>
      <c r="AG53" s="177">
        <f>IFERROR(__xludf.DUMMYFUNCTION("IF(
  ISNUMBER(AG52),
  MIN(MAX(
    AG52
    + MAX(
      ROUNDDOWN(($D53 - MAX(IFERROR(FILTER($D$24:$D52, AG$24:AG52 &lt;&gt; AF$6, AG$23:AG51 = AF$6), 0))) * (60 * 60 * 24) / AF$9) - ROUNDDOWN(($D52 - MAX(IFERROR(FILTER($D$23:$D51, AG$23:AG51 &lt;&gt; AF$6, AG$22:"&amp;"AG50 = AF$6), 0))) * (60 * 60 * 24) / 60),
      0
    )
    - COUNTIF(AF53, ""&lt;&gt;-""),
  0), AF$6),
  AF$6 - COUNTIF(AF53, ""&lt;&gt;-"")
)"),2.0)</f>
        <v>2</v>
      </c>
      <c r="AH53" s="173" t="b">
        <v>0</v>
      </c>
      <c r="AI53" s="173" t="b">
        <v>0</v>
      </c>
      <c r="AJ53" s="173" t="b">
        <v>0</v>
      </c>
      <c r="AK53" s="174" t="b">
        <v>0</v>
      </c>
      <c r="AL53" s="175" t="b">
        <v>0</v>
      </c>
      <c r="AM53" s="173" t="b">
        <v>0</v>
      </c>
      <c r="AN53" s="171" t="s">
        <v>1070</v>
      </c>
      <c r="AO53" s="173" t="b">
        <v>0</v>
      </c>
      <c r="AP53" s="173" t="b">
        <v>0</v>
      </c>
      <c r="AQ53" s="173" t="b">
        <v>0</v>
      </c>
      <c r="AR53" s="174" t="b">
        <v>0</v>
      </c>
      <c r="AS53" s="178" t="b">
        <v>0</v>
      </c>
      <c r="AT53" s="179" t="b">
        <v>0</v>
      </c>
      <c r="AU53" s="180" t="b">
        <v>0</v>
      </c>
      <c r="AV53" s="180" t="b">
        <v>0</v>
      </c>
      <c r="AW53" s="180" t="b">
        <v>0</v>
      </c>
      <c r="AX53" s="180" t="b">
        <v>0</v>
      </c>
      <c r="AY53" s="181" t="s">
        <v>1070</v>
      </c>
      <c r="AZ53" s="181" t="s">
        <v>1070</v>
      </c>
      <c r="BA53" s="184">
        <f>IFERROR(__xludf.DUMMYFUNCTION("IF(
  ISNUMBER(BA52),
  MIN(MAX(
    BA52
    + MAX(
      ROUNDDOWN((D53 - MAX(IFERROR(FILTER(D$24:D52, BA$24:BA52 &lt;&gt; AZ$6, BA$23:BA51 = AZ$6), 0))) * (60 * 60 * 24) / AZ$9) - ROUNDDOWN((D52 - MAX(IFERROR(FILTER(D$23:D51, BA$23:BA51 &lt;&gt; AZ$6, BA$22:BA50 ="&amp;" AZ$6), 0))) * (60 * 60 * 24) / AZ$9),
      0
    )
    - COUNTIF(AZ53, ""&lt;&gt;-""),
  0), AZ$6),
  AZ$6 - COUNTIF(AZ53, ""&lt;&gt;-"")
)"),2.0)</f>
        <v>2</v>
      </c>
      <c r="BB53" s="181" t="s">
        <v>1070</v>
      </c>
      <c r="BC53" s="183">
        <f>IFERROR(__xludf.DUMMYFUNCTION("IF(
  ISNUMBER(BC52),
  MIN(MAX(
    BC52
    + MAX(
      ROUNDDOWN(($D53 - MAX(IFERROR(FILTER($D$24:$D52, BC$24:BC52 &lt;&gt; BB$6, BC$23:BC51 = BB$6), 0))) * (60 * 60 * 24) / BB$9) - ROUNDDOWN(($D52 - MAX(IFERROR(FILTER($D$23:$D51, BC$23:BC51 &lt;&gt; BB$6, BC$22:"&amp;"BC50 = BB$6), 0))) * (60 * 60 * 24) / 60),
      0
    )
    - COUNTIF(BB53, ""&lt;&gt;-""),
  0), BB$6),
  BB$6 - COUNTIF(BB53, ""&lt;&gt;-"")
)"),2.0)</f>
        <v>2</v>
      </c>
      <c r="BD53" s="181" t="s">
        <v>1070</v>
      </c>
      <c r="BE53" s="178" t="b">
        <v>0</v>
      </c>
      <c r="BF53" s="180" t="b">
        <v>0</v>
      </c>
      <c r="BG53" s="180" t="b">
        <v>0</v>
      </c>
      <c r="BH53" s="180" t="b">
        <v>0</v>
      </c>
      <c r="BI53" s="180" t="b">
        <v>0</v>
      </c>
      <c r="BJ53" s="180" t="b">
        <v>0</v>
      </c>
      <c r="BK53" s="180" t="b">
        <v>0</v>
      </c>
      <c r="BL53" s="180" t="b">
        <v>0</v>
      </c>
      <c r="BM53" s="180" t="b">
        <v>0</v>
      </c>
      <c r="BN53" s="180" t="b">
        <v>0</v>
      </c>
      <c r="BO53" s="181" t="s">
        <v>1070</v>
      </c>
      <c r="BP53" s="181" t="s">
        <v>1070</v>
      </c>
      <c r="BQ53" s="181" t="s">
        <v>1070</v>
      </c>
      <c r="BR53" s="181" t="s">
        <v>1070</v>
      </c>
      <c r="BS53" s="181" t="s">
        <v>1070</v>
      </c>
      <c r="BT53" s="184">
        <f>IFERROR(__xludf.DUMMYFUNCTION("IF(
  ISNUMBER(BT52),
  MIN(MAX(
    BT52
    + MAX(
      ROUNDDOWN((D53 - MAX(IFERROR(FILTER(D$24:D52, BT$24:BT52 &lt;&gt; BS$6, BT$23:BT51 = BS$6), 0))) * (60 * 60 * 24) / BS$9) - ROUNDDOWN((D52 - MAX(IFERROR(FILTER(D$23:D51, BT$23:BT51 &lt;&gt; BS$6, BT$22:BT50 ="&amp;" BS$6), 0))) * (60 * 60 * 24) / BS$9),
      0
    )
    - COUNTIF(BS53, ""&lt;&gt;-""),
  0), BS$6),
  BS$6 - COUNTIF(BS53, ""&lt;&gt;-"")
)"),3.0)</f>
        <v>3</v>
      </c>
      <c r="BU53" s="181" t="s">
        <v>1070</v>
      </c>
      <c r="BV53" s="181" t="s">
        <v>1070</v>
      </c>
      <c r="BW53" s="184">
        <f>IFERROR(__xludf.DUMMYFUNCTION("IF(
  ISNUMBER(BW52),
  MIN(MAX(
    BW52
    + MAX(
      ROUNDDOWN((D53 - MAX(IFERROR(FILTER(D$24:D52, BW$24:BW52 &lt;&gt; BV$6, BW$23:BW51 = BV$6), 0))) * (60 * 60 * 24) / BV$9) - ROUNDDOWN((D52 - MAX(IFERROR(FILTER(D$23:D51, BW$23:BW51 &lt;&gt; BV$6, BW$22:BW50 ="&amp;" BV$6), 0))) * (60 * 60 * 24) / BV$9),
      0
    )
    - COUNTIF(BV53, ""&lt;&gt;-""),
  0), BV$6),
  BV$6 - COUNTIF(BV53, ""&lt;&gt;-"")
)"),2.0)</f>
        <v>2</v>
      </c>
      <c r="BX53" s="185" t="s">
        <v>1070</v>
      </c>
      <c r="BY53" s="178" t="b">
        <v>0</v>
      </c>
      <c r="BZ53" s="180" t="b">
        <v>0</v>
      </c>
      <c r="CA53" s="180" t="b">
        <v>0</v>
      </c>
      <c r="CB53" s="180" t="b">
        <v>0</v>
      </c>
      <c r="CC53" s="180" t="b">
        <v>0</v>
      </c>
      <c r="CD53" s="180" t="b">
        <v>0</v>
      </c>
      <c r="CE53" s="180" t="b">
        <v>0</v>
      </c>
      <c r="CF53" s="180" t="b">
        <v>0</v>
      </c>
      <c r="CG53" s="180" t="b">
        <v>0</v>
      </c>
      <c r="CH53" s="180" t="b">
        <v>0</v>
      </c>
      <c r="CI53" s="180" t="b">
        <v>0</v>
      </c>
      <c r="CJ53" s="180" t="b">
        <v>0</v>
      </c>
      <c r="CK53" s="180" t="b">
        <v>0</v>
      </c>
      <c r="CL53" s="180" t="b">
        <v>0</v>
      </c>
      <c r="CM53" s="181" t="s">
        <v>1070</v>
      </c>
      <c r="CN53" s="181" t="s">
        <v>1070</v>
      </c>
      <c r="CO53" s="181" t="s">
        <v>1070</v>
      </c>
      <c r="CP53" s="181" t="s">
        <v>1070</v>
      </c>
      <c r="CQ53" s="185" t="s">
        <v>1070</v>
      </c>
      <c r="CR53" s="180" t="b">
        <v>0</v>
      </c>
      <c r="CS53" s="186" t="str">
        <f t="shared" si="14"/>
        <v>◇◇◇</v>
      </c>
      <c r="CT53" s="178" t="b">
        <v>0</v>
      </c>
      <c r="CU53" s="180" t="b">
        <v>0</v>
      </c>
      <c r="CV53" s="180" t="b">
        <v>0</v>
      </c>
      <c r="CW53" s="180" t="b">
        <v>0</v>
      </c>
      <c r="CX53" s="180" t="b">
        <v>0</v>
      </c>
      <c r="CY53" s="180" t="b">
        <v>0</v>
      </c>
      <c r="CZ53" s="180" t="b">
        <v>0</v>
      </c>
      <c r="DA53" s="180" t="b">
        <v>0</v>
      </c>
      <c r="DB53" s="180" t="b">
        <v>0</v>
      </c>
      <c r="DC53" s="180" t="b">
        <v>0</v>
      </c>
      <c r="DD53" s="181" t="s">
        <v>1070</v>
      </c>
      <c r="DE53" s="181" t="s">
        <v>1070</v>
      </c>
      <c r="DF53" s="181" t="s">
        <v>1070</v>
      </c>
      <c r="DG53" s="185" t="s">
        <v>1070</v>
      </c>
      <c r="DH53" s="180" t="b">
        <v>0</v>
      </c>
      <c r="DI53" s="187" t="str">
        <f>IFERROR(__xludf.DUMMYFUNCTION("SWITCH(
  IF(
    ISTEXT(DI52),
    IF (
      FIND(""○"", DI52&amp;""○"") &gt; 3,
      3,
      FIND(""○"", DI52&amp;""○"")
      + MAX(
        ROUNDDOWN(($D53 - MAX(IFERROR(FILTER(D$24:D52, DI$24:DI52 &lt;&gt; ""●●●"", DI$23:DI51 = ""●●●""), 0))) * (60 * 60 * 24) / 20"&amp;") - ROUNDDOWN(($D52 - MAX(IFERROR(FILTER(D$23:D51, DI$23:DI51 &lt;&gt; ""●●●"", DI$22:DI50 = ""●●●""), 0))) * (60 * 60 * 24) / 20),
        0
      ) - 1
    ) - COUNTIFS(CU53, ""=TRUE"", CU52, ""&lt;&gt;TRUE"") - COUNTIF(CZ53, ""=TRUE"") - COUNTIF({DD53,DE53}, ""&lt;&gt;-"&amp;""") + COUNTIF(DH53, ""=TRUE""),
    3
  ),
  0, ""○○○"", 1, ""●○○"", 2, ""●●○"", 3, ""●●●"", 4, ""●●●"", ""○○○""
)"),"●●●")</f>
        <v>●●●</v>
      </c>
      <c r="DJ53" s="188" t="b">
        <v>0</v>
      </c>
      <c r="DK53" s="189" t="b">
        <v>0</v>
      </c>
      <c r="DL53" s="190" t="b">
        <v>0</v>
      </c>
      <c r="DM53" s="190" t="b">
        <v>0</v>
      </c>
      <c r="DN53" s="190" t="b">
        <v>0</v>
      </c>
      <c r="DO53" s="190" t="b">
        <v>0</v>
      </c>
      <c r="DP53" s="190" t="b">
        <v>0</v>
      </c>
      <c r="DQ53" s="191" t="b">
        <v>0</v>
      </c>
      <c r="DR53" s="192" t="b">
        <v>0</v>
      </c>
      <c r="DS53" s="191" t="b">
        <v>0</v>
      </c>
      <c r="DT53" s="192" t="b">
        <v>0</v>
      </c>
      <c r="DU53" s="191" t="b">
        <v>0</v>
      </c>
      <c r="DV53" s="193" t="s">
        <v>1070</v>
      </c>
      <c r="DW53" s="194" t="b">
        <v>0</v>
      </c>
      <c r="DX53" s="194" t="b">
        <v>0</v>
      </c>
      <c r="DY53" s="195" t="b">
        <v>0</v>
      </c>
      <c r="DZ53" s="196" t="b">
        <v>0</v>
      </c>
      <c r="EA53" s="195" t="b">
        <v>0</v>
      </c>
      <c r="EB53" s="197" t="b">
        <v>0</v>
      </c>
      <c r="EC53" s="197" t="b">
        <v>0</v>
      </c>
      <c r="ED53" s="212" t="b">
        <v>0</v>
      </c>
      <c r="EE53" s="199">
        <f>IFERROR(__xludf.DUMMYFUNCTION("IFERROR(
   PRODUCT(
     MAP(
       INDEX(TRANSPOSE(UNIQUE(TRANSPOSE(FILTER({IF($F53=""Physical"", K$10:ED$10, IF($F53=""Magic"", K$11:ED$11, K$12:ED$12));K$4:ED$4;K53:ED53}, K53:ED53=TRUE)))), 1, 0),
       INDEX(TRANSPOSE(UNIQUE(TRANSPOSE(FILTER({IF($"&amp;"F53=""Physical"", K$18:ED$18, IF($F53=""Magic"", K$19:ED$19, K$20:ED$20));K$4:ED$4;K53:ED53}, K53:ED53=TRUE)))), 1, 0),
       INDEX(TRANSPOSE(UNIQUE(TRANSPOSE(FILTER({K$5:ED$5;K$4:ED$4;K53:ED53}, K53:ED53=TRUE)))), 1, 0),
       INDEX(TRANSPOSE(UNIQUE(TR"&amp;"ANSPOSE(FILTER({K$17:ED$17;K$4:ED$4;K53:ED53}, K53:ED53=TRUE)))), 1, 0),
       LAMBDA(
         mitigation,
         enhance,
         assign,
         precondition,
         IF(
           REGEXMATCH(assign, ""RANGE_PARTY|SINGLE_ENEMY|RANGE_ENEMY""),
  "&amp;"         IF(
             OR(ARRAYFORMULA((IF(precondition="""", FALSE, REGEXMATCH(K$4:ED$4, precondition))) * (K53:ED53=TRUE))),
             IF(ISNUMBER(enhance), enhance, 1),
             IF(ISNUMBER(mitigation), mitigation, 1)
           ),
          "&amp;" 1
         )
       )
     )
   ),
   1
 )"),1.0)</f>
        <v>1</v>
      </c>
      <c r="EF53" s="200">
        <f>IFERROR(__xludf.DUMMYFUNCTION("PRODUCT(
   MAP(
     K$14:ED$14,
     K$13:ED$13,
     K53:ED53,
     LAMBDA(
       buff,
       target,
       check,
       IF(
         AND(check=TRUE, REGEXMATCH(target, ""RANGE_AFFECTED_ALL|RANGE_EFFECTED_ALL""), ISNUMBER(buff)),
         buff,
   "&amp;"      1
       )
     )
   )
 )"),1.0)</f>
        <v>1</v>
      </c>
      <c r="EG53" s="200">
        <f>IFERROR(__xludf.DUMMYFUNCTION("PRODUCT(
   MAP(
     K$14:ED$14,
     K$13:ED$13,
     K53:ED53,
     LAMBDA(
       buff,
       target,
       check,
       IF(
         AND(check=TRUE, REGEXMATCH(target, ""RANGE_AFFECTED_GCD|RANGE_EFFECTED_GCD""), ISNUMBER(buff)),
         buff,
   "&amp;"      1
       )
     )
   )
 )"),1.0)</f>
        <v>1</v>
      </c>
      <c r="EH53" s="200">
        <f>IFERROR(__xludf.DUMMYFUNCTION("PRODUCT(
   MAP(
     K$3:ED$3,
     K$14:ED$14,
     K$13:ED$13,
     K53:ED53,
     LAMBDA(
       job,
       buff,
       target,
       check,
       IF(
         AND(check=TRUE, REGEXMATCH(target, ""SELF_EFFECTED_ALL""), ISNUMBER(buff), job=""白魔道士"""&amp;"),
         buff,
         1
       )
     )
   )
 )"),1.0)</f>
        <v>1</v>
      </c>
      <c r="EI53" s="200">
        <f>IFERROR(__xludf.DUMMYFUNCTION("PRODUCT(
   MAP(
     K$3:ED$3,
     K$14:ED$14,
     K$13:ED$13,
     K53:ED53,
     LAMBDA(
       job,
       buff,
       target,
       check,
       IF(
         AND(check=TRUE, REGEXMATCH(target, ""SELF_EFFECTED_GCD""), ISNUMBER(buff), job=""白魔道士"""&amp;"),
         buff,
         1
       )
     )
   )
 )"),1.0)</f>
        <v>1</v>
      </c>
      <c r="EJ53" s="200">
        <f>IFERROR(__xludf.DUMMYFUNCTION("PRODUCT(
   MAP(
     K$3:ED$3,
     K$14:ED$14,
     K$13:ED$13,
     K53:ED53,
     LAMBDA(
       job,
       buff,
       target,
       check,
       IF(
         AND(check=TRUE, REGEXMATCH(target, ""SELF_EFFECTED_ALL""), ISNUMBER(buff), job=""占星術師"""&amp;"),
         buff,
         1
       )
     )
   )
 )"),1.0)</f>
        <v>1</v>
      </c>
      <c r="EK53" s="200">
        <f>IFERROR(__xludf.DUMMYFUNCTION("PRODUCT(
   MAP(
     K$3:ED$3,
     K$14:ED$14,
     K$13:ED$13,
     K53:ED53,
     LAMBDA(
       job,
       buff,
       target,
       check,
       IF(
         AND(check=TRUE, REGEXMATCH(target, ""SELF_EFFECTED_GCD""), ISNUMBER(buff), job=""占星術師"""&amp;"),
         buff,
         1
       )
     )
   )
 )"),1.0)</f>
        <v>1</v>
      </c>
      <c r="EL53" s="200">
        <f>IFERROR(__xludf.DUMMYFUNCTION("PRODUCT(
   MAP(
     K$3:ED$3,
     K$14:ED$14,
     K$13:ED$13,
     K53:ED53,
     LAMBDA(
       job,
       buff,
       target,
       check,
       IF(
         AND(check=TRUE, REGEXMATCH(target, ""SELF_EFFECTED_ALL""), ISNUMBER(buff), job=""学者""),"&amp;"
         buff,
         1
       )
     )
   )
 )"),1.0)</f>
        <v>1</v>
      </c>
      <c r="EM53" s="200">
        <f>IFERROR(__xludf.DUMMYFUNCTION("PRODUCT(
   MAP(
     K$3:ED$3,
     K$14:ED$14,
     K$13:ED$13,
     K53:ED53,
     LAMBDA(
       job,
       buff,
       target,
       check,
       IF(
         AND(check=TRUE, REGEXMATCH(target, ""SELF_EFFECTED_GCD""), ISNUMBER(buff), job=""学者""),"&amp;"
         buff,
         1
       )
     )
   )
 )"),1.0)</f>
        <v>1</v>
      </c>
      <c r="EN53" s="200">
        <f>IFERROR(__xludf.DUMMYFUNCTION("PRODUCT(
   MAP(
     K$3:ED$3,
     K$14:ED$14,
     K$13:ED$13,
     K53:ED53,
     LAMBDA(
       job,
       buff,
       target,
       check,
       IF(
         AND(check=TRUE, REGEXMATCH(target, ""SELF_EFFECTED_ALL""), ISNUMBER(buff), job=""賢者""),"&amp;"
         buff,
         1
       )
     )
   )
 )"),1.0)</f>
        <v>1</v>
      </c>
      <c r="EO53" s="200">
        <f>IFERROR(__xludf.DUMMYFUNCTION("PRODUCT(
   MAP(
     K$3:ED$3,
     K$14:ED$14,
     K$13:ED$13,
     K53:ED53,
     LAMBDA(
       job,
       buff,
       target,
       check,
       IF(
         AND(check=TRUE, REGEXMATCH(target, ""SELF_EFFECTED_GCD""), ISNUMBER(buff), job=""賢者""),"&amp;"
         buff,
         1
       )
     )
   )
 )"),1.0)</f>
        <v>1</v>
      </c>
      <c r="EP53" s="201">
        <f t="shared" si="3"/>
        <v>0</v>
      </c>
      <c r="EQ53" s="201">
        <f>IFERROR(__xludf.DUMMYFUNCTION("SUM(
   MAP(
     K$4:ED$4,
     K$3:ED$3,
     K$7:ED$7,
     K$15:ED$15,
     K$16:ED$16,
     K$21:ED$21,
     K$5:ED$5,
     K$17:ED$17,
     K53:ED53,
     LAMBDA(
       name,
       job,
       abillity,
       buff,
       barrier,
       enhance,"&amp;"
       assign,
       precondition,
       check,
       SWITCH(
         name,
         ""シェイクオフ"", IF(check=TRUE, buff + (0.02 * COUNTIF(ARRAYFORMULA((REGEXMATCH($K$4:$ED$4, ""スリル・オブ・バトル|ヴェンジェンス|原初の血気|ダムネーション"")) * (K53:ED53=TRUE)), 1)), 0),
         "&amp;"""インプロビゼーションフィニッシュ(踊りの激情0)"", IF(ISNUMBER(check), INDEX(Skill!$AJ:$AJ, MATCH(SUBSTITUTE(DV$4, 0, check), Skill!$C:$C, 0)), 0),
         IF(
           AND(check=TRUE, REGEXMATCH(assign, ""RANGE_PARTY"")),
           IF(
             OR(ARRAYFORMULA((IF(pr"&amp;"econdition="""", FALSE, REGEXMATCH($K$4:$ED$4, precondition))) * (K53:ED53=TRUE))),
             enhance,
             IF(barrier="""", buff, barrier)
           ),
           0
         )
       ) *
       SWITCH(
         job,
         ""ナイト"", EY$24,
 "&amp;"        ""戦士"", FD$24,
         ""踊り子"", ET$24,
         ""ピクトマンサー"", ET$24,
         ""白魔道士"", EF53 * EH53 * IF(abillity, 1, EG53 * EI53) * (Option!$D$22 * 0.81 / 100),
         ""占星術師"", EF53 * EJ53 * IF(abillity, 1, EG53 * EK53) * (Option!$D$23 * 0.81 "&amp;"/ 100),
         ""学者"", EF53 * EL53 * IF(abillity, 1, EG53 * EM53) * (Option!$D$24 * 0.81 / 100),
         ""賢者"", EF53 * EN53 * IF(abillity, 1, EG53 * EO53) * (Option!$D$25 * 0.81 / 100),
         1
       )
     )
   )
 )"),0.0)</f>
        <v>0</v>
      </c>
      <c r="ER53" s="202">
        <f t="shared" si="4"/>
        <v>0</v>
      </c>
      <c r="ES53" s="203">
        <f t="shared" si="5"/>
        <v>0</v>
      </c>
      <c r="ET53" s="231" t="str">
        <f>IFERROR(__xludf.DUMMYFUNCTION("IFS(
  EP53 &gt; $ET$24 + EQ53,
  SPARKLINE({ 1, 0 }, {""charttype"",""bar"";""max"", 1;""color1"",Option!$D$30;""color2"",Option!$D$30}),
  EP53 &lt; EQ53,
  SPARKLINE({EQ53 - EP53, $ET$24 - (EQ53 - EP53)}, {""charttype"",""bar"";""max"",$ET$24;""color1"",Opti"&amp;"on!$D$28;""color2"",Option!$D$29}),
  EP53 &gt;= EQ53,
  SPARKLINE({$ET$24 + EQ53 - EP53,EP53 - EQ53}, {""charttype"",""bar"";""max"",$ET$24;""color1"",Option!$D$29;""color2"",Option!$D$30})
)"),"")</f>
        <v/>
      </c>
      <c r="EU53" s="205">
        <f>IFERROR(__xludf.DUMMYFUNCTION("PRODUCT(
   MAP(
     IF($F53=""Physical"", K$10:ED$10, IF($F53=""Magic"", K$11:ED$11, K$12:ED$12)),
     IF($F53=""Physical"", K$18:ED$18, IF($F53=""Magic"", K$19:ED$19, K$20:ED$20)),
     K$3:ED$3,
     K$5:ED$5,
     K$17:ED$17,
     K53:ED53,
     LAM"&amp;"BDA(
       mitigation,
       enhance,
       job,
       assign,
       precondition,
       check,
       IF(
         OR(AND(check=TRUE, REGEXMATCH(assign, ""SELF""), job=""ナイト""), AND(check=Option!$E$13, REGEXMATCH(assign, ""SINGLE_PARTY""))),
      "&amp;"   IF(
           OR(ARRAYFORMULA((IF(precondition="""", FALSE, REGEXMATCH($K$4:$ED$4, precondition))) * (K53:ED53=TRUE))),
           enhance,
           mitigation
         ),
         1
       )
     )
   )
 ) * EE53"),1.0)</f>
        <v>1</v>
      </c>
      <c r="EV53" s="206">
        <f t="shared" si="6"/>
        <v>0</v>
      </c>
      <c r="EW53" s="205">
        <f>IFERROR(__xludf.DUMMYFUNCTION("PRODUCT(
   MAP(
     K$3:ED$3,
     K$14:ED$14,
     K$13:ED$13,
     K53:ED53,
     LAMBDA(
       job,
       buff,
       target,
       check,
       IF(
         OR(AND(check=TRUE, REGEXMATCH(target, ""SELF_AFFECTED_ALL""), job=""ナイト""), AND(check=O"&amp;"ption!$E$13, REGEXMATCH(target, ""SINGLE_AFFECTED_ALL""))),
         buff,
         1
       )
     )
   )
 )"),1.0)</f>
        <v>1</v>
      </c>
      <c r="EX53" s="206">
        <f>IFERROR(__xludf.DUMMYFUNCTION("SUM(
   MAP(
     K$3:ED$3,
     K$7:ED$7,
     K$15:ED$15,
     K$16:ED$16,
     K$21:ED$21,
     K$5:ED$5,
     K$17:ED$17,
     K53:ED53,
     LAMBDA(
       job,
       abillity,
       buff,
       barrier,
       enhance,
       assign,
       preco"&amp;"ndition,
       check,
       IF(
         OR(AND(check=TRUE, REGEXMATCH(assign, ""SELF""), job=""ナイト""), AND(check=Option!$E$13, REGEXMATCH(assign, ""SINGLE_PARTY""))),
         IF(
           OR(ARRAYFORMULA((IF(precondition="""", FALSE, REGEXMATCH($K$4"&amp;":$ED$4, precondition))) * (K53:ED53=TRUE))),
           enhance,
           IF(barrier="""", buff, barrier)
         ),
         0
       ) *
       SWITCH(
         job,
         ""暗黒騎士"", EY$24,
         ""白魔道士"", EF53 * EH53 * EW53 * IF(abillity, 1, EG"&amp;"53 * EI53) * (Option!$D$22 * 0.81 / 100),
         ""占星術師"", EF53 * EJ53 * EW53 * IF(abillity, 1, EG53 * EK53) * (Option!$D$23 * 0.81 / 100),
         ""学者"", EF53 * EL53 * EW53 * IF(abillity, 1, EG53 * EM53) * (Option!$D$24 * 0.81 / 100),
         ""賢者"""&amp;", EF53 * EN53 * EW53 * IF(abillity, 1, EG53 * EO53) * (Option!$D$25 * 0.81 / 100),
         1
       )
     )
   )
 ) + EQ53"),0.0)</f>
        <v>0</v>
      </c>
      <c r="EY53" s="232">
        <f t="shared" si="7"/>
        <v>0</v>
      </c>
      <c r="EZ53" s="205">
        <f>IFERROR(__xludf.DUMMYFUNCTION("PRODUCT(
   MAP(
     IF($F53=""Physical"", K$10:ED$10, IF($F53=""Magic"", K$11:ED$11, K$12:ED$12)),
     IF($F53=""Physical"", K$18:ED$18, IF($F53=""Magic"", K$19:ED$19, K$20:ED$20)),
     K$3:ED$3,
     K$5:ED$5,
     K$17:ED$17,
     K53:ED53,
     LAM"&amp;"BDA(
       mitigation,
       enhance,
       job,
       assign,
       precondition,
       check,
       IF(
         OR(AND(check=TRUE, REGEXMATCH(assign, ""SELF""), job=""戦士""), AND(check=Option!$F$13, REGEXMATCH(assign, ""SINGLE_PARTY""))),
       "&amp;"  IF(
           OR(ARRAYFORMULA((IF(precondition="""", FALSE, REGEXMATCH($K$4:$ED$4, precondition))) * (K53:ED53=TRUE))),
           enhance,
           mitigation
         ),
         1
       )
     )
   )
 ) * EE53"),1.0)</f>
        <v>1</v>
      </c>
      <c r="FA53" s="206">
        <f t="shared" si="8"/>
        <v>0</v>
      </c>
      <c r="FB53" s="205">
        <f>IFERROR(__xludf.DUMMYFUNCTION("PRODUCT(
   MAP(
     K$3:ED$3,
     K$14:ED$14,
     K$13:ED$13,
     K53:ED53,
     LAMBDA(
       job,
       buff,
       target,
       check,
       IF(
         OR(AND(check=TRUE, REGEXMATCH(target, ""SELF_AFFECTED_ALL""), job=""戦士""), AND(check=Op"&amp;"tion!$F$13, REGEXMATCH(target, ""SINGLE_AFFECTED_ALL""))),
         buff,
         1
       )
     )
   )
 )"),1.0)</f>
        <v>1</v>
      </c>
      <c r="FC53" s="206">
        <f>IFERROR(__xludf.DUMMYFUNCTION("SUM(
   MAP(
     K$3:ED$3,
     K$7:ED$7,
     K$15:ED$15,
     K$16:ED$16,
     K$21:ED$21,
     K$5:ED$5,
     K$17:ED$17,
     K53:ED53,
     LAMBDA(
       job,
       abillity,
       buff,
       barrier,
       enhance,
       assign,
       preco"&amp;"ndition,
       check,
       IF(
         OR(AND(check=TRUE, REGEXMATCH(assign, ""SELF""), job=""戦士""), AND(check=Option!$F$13, REGEXMATCH(assign, ""SINGLE_PARTY""))),
         IF(
           OR(ARRAYFORMULA((IF(precondition="""", FALSE, REGEXMATCH($K$4:"&amp;"$ED$4, precondition))) * (K53:ED53=TRUE))),
           enhance,
           IF(barrier="""", buff, barrier)
         ),
         0
       ) *
       SWITCH(
         job,
         ""暗黒騎士"", FD$24,
         ""白魔道士"", EF53 * EH53 * FB53 * IF(abillity, 1, EG5"&amp;"3 * EI53) * (Option!$D$22 * 0.81 / 100),
         ""占星術師"", EF53 * EJ53 * FFB53 * IF(abillity, 1, EG53 * EK53) * (Option!$D$23 * 0.81 / 100),
         ""学者"", EF53 * EL53 * FB53 * IF(abillity, 1, EG53 * EM53) * (Option!$D$24 * 0.81 / 100),
         ""賢者"""&amp;", EF53 * EN53 * FB53 * IF(abillity, 1, EG53 * EO53) * (Option!$D$25 * 0.81 / 100),
         1
       )
     )
   )
 ) + EQ53"),0.0)</f>
        <v>0</v>
      </c>
      <c r="FD53" s="206">
        <f t="shared" si="9"/>
        <v>0</v>
      </c>
      <c r="FE53" s="205">
        <f>IFERROR(__xludf.DUMMYFUNCTION("PRODUCT(
   MAP(
     IF($F53=""Physical"", K$10:ED$10, IF($F53=""Magic"", K$11:ED$11, K$12:ED$12)),
     IF($F53=""Physical"", K$18:ED$18, IF($F53=""Magic"", K$19:ED$19, K$20:ED$20)),
     K$3:ED$3,
     K$5:ED$5,
     K$17:ED$17,
     K53:ED53,
     LAM"&amp;"BDA(
       mitigation,
       enhance,
       job,
       assign,
       precondition,
       check,
       IF(
         OR(AND(check=TRUE, REGEXMATCH(assign, ""SELF""), job=""暗黒騎士""), AND(check=Option!$G$13, REGEXMATCH(assign, ""SINGLE_PARTY""))),
     "&amp;"    IF(
           OR(ARRAYFORMULA((IF(precondition="""", FALSE, REGEXMATCH($K$4:$ED$4, precondition))) * (K53:ED53=TRUE))),
           enhance,
           mitigation
         ),
         1
       )
     )
   )
 ) * EE53"),1.0)</f>
        <v>1</v>
      </c>
      <c r="FF53" s="206">
        <f t="shared" si="10"/>
        <v>0</v>
      </c>
      <c r="FG53" s="205">
        <f>IFERROR(__xludf.DUMMYFUNCTION("PRODUCT(
   MAP(
     K$3:ED$3,
     K$14:ED$14,
     K$13:ED$13,
     K53:ED53,
     LAMBDA(
       job,
       buff,
       target,
       check,
       IF(
         OR(AND(check=TRUE, REGEXMATCH(target, ""SELF_AFFECTED_ALL""), job=""暗黒騎士""), AND(check="&amp;"Option!$G$13, REGEXMATCH(target, ""SINGLE_AFFECTED_ALL""))),
         buff,
         1
       )
     )
   )
 )"),1.0)</f>
        <v>1</v>
      </c>
      <c r="FH53" s="206">
        <f>IFERROR(__xludf.DUMMYFUNCTION("SUM(
   MAP(
     K$3:ED$3,
     K$7:ED$7,
     K$15:ED$15,
     K$16:ED$16,
     K$21:ED$21,
     K$5:ED$5,
     K$17:ED$17,
     K53:ED53,
     LAMBDA(
       job,
       abillity,
       buff,
       barrier,
       enhance,
       assign,
       preco"&amp;"ndition,
       check,
       IF(
         OR(AND(check=TRUE, REGEXMATCH(assign, ""SELF""), job=""暗黒騎士""), AND(check=Option!$G$13, REGEXMATCH(assign, ""SINGLE_PARTY""))),
         IF(
           OR(ARRAYFORMULA((IF(precondition="""", FALSE, REGEXMATCH($K$"&amp;"4:$ED$4, precondition))) * (K53:ED53=TRUE))),
           enhance,
           IF(barrier="""", buff, barrier)
         ),
         0
       ) *
       SWITCH(
         job,
         ""暗黒騎士"", FI$24,
         ""白魔道士"", EF53 * EH53 * FG53 * IF(abillity, 1, E"&amp;"G53 * EI53) * (Option!$D$22 * 0.81 / 100),
         ""占星術師"", EF53 * EJ53 * FG53 * IF(abillity, 1, EG53 * EK53) * (Option!$D$23 * 0.81 / 100),
         ""学者"", EF53 * EL53 * FG53 * IF(abillity, 1, EG53 * EM53) * (Option!$D$24 * 0.81 / 100),
         ""賢者"&amp;""", EF53 * EN53 * FG53 * IF(abillity, 1, EG53 * EO53) * (Option!$D$25 * 0.81 / 100),
         1
       )
     )
   )
 ) + EQ53"),0.0)</f>
        <v>0</v>
      </c>
      <c r="FI53" s="206">
        <f t="shared" si="11"/>
        <v>0</v>
      </c>
      <c r="FJ53" s="205">
        <f>IFERROR(__xludf.DUMMYFUNCTION("PRODUCT(
   MAP(
     IF($F53=""Physical"", K$10:ED$10, IF($F53=""Magic"", K$11:ED$11, K$12:ED$12)),
     IF($F53=""Physical"", K$18:ED$18, IF($F53=""Magic"", K$19:ED$19, K$20:ED$20)),
     K$3:ED$3,
     K$5:ED$5,
     K$17:ED$17,
     K53:ED53,
     LAM"&amp;"BDA(
       mitigation,
       enhance,
       job,
       assign,
       precondition,
       check,
       IF(
         OR(AND(check=TRUE, REGEXMATCH(assign, ""SELF""), job=""ガンブレイカー""), AND(check=Option!$H$13, REGEXMATCH(assign, ""SINGLE_PARTY""))),
  "&amp;"       IF(
           OR(ARRAYFORMULA((IF(precondition="""", FALSE, REGEXMATCH($K$4:$ED$4, precondition))) * (K53:ED53=TRUE))),
           enhance,
           mitigation
         ),
         1
       )
     )
   )
 ) * EE53"),1.0)</f>
        <v>1</v>
      </c>
      <c r="FK53" s="206">
        <f t="shared" si="12"/>
        <v>0</v>
      </c>
      <c r="FL53" s="205">
        <f>IFERROR(__xludf.DUMMYFUNCTION("PRODUCT(
   MAP(
     K$3:ED$3,
     K$14:ED$14,
     K$13:ED$13,
     K53:ED53,
     LAMBDA(
       job,
       buff,
       target,
       check,
       IF(
         OR(AND(check=TRUE, REGEXMATCH(target, ""SELF_AFFECTED_ALL""), job=""ガンブレイカー""), AND(che"&amp;"ck=Option!$H$13, REGEXMATCH(target, ""SINGLE_AFFECTED_ALL""))),
         buff,
         1
       )
     )
   )
 )"),1.0)</f>
        <v>1</v>
      </c>
      <c r="FM53" s="206">
        <f>IFERROR(__xludf.DUMMYFUNCTION("SUM(
   MAP(
     K$3:ED$3,
     K$7:ED$7,
     K$15:ED$15,
     K$16:ED$16,
     K$21:ED$21,
     K$5:ED$5,
     K$17:ED$17,
     K53:ED53,
     LAMBDA(
       job,
       abillity,
       buff,
       barrier,
       enhance,
       assign,
       preco"&amp;"ndition,
       check,
       IF(
         OR(AND(check=TRUE, REGEXMATCH(assign, ""SELF""), job=""ガンブレイカー""), AND(check=Option!$H$13, REGEXMATCH(assign, ""SINGLE_PARTY""))),
         IF(
           OR(ARRAYFORMULA((IF(precondition="""", FALSE, REGEXMATCH("&amp;"$K$4:$ED$4, precondition))) * (K53:ED53=TRUE))),
           enhance,
           IF(barrier="""", buff, barrier)
         ),
         0
       ) *
       SWITCH(
         job,
         ""暗黒騎士"", FN$24,
         ""白魔道士"", EF53 * EH53 * FL53 * IF(abillity, 1"&amp;", EG53 * EI53) * (Option!$D$22 * 0.81 / 100),
         ""占星術師"", EF53 * EJ53 * FL53 * IF(abillity, 1, EG53 * EK53) * (Option!$D$23 * 0.81 / 100),
         ""学者"", EF53 * EL53 * FL53 * IF(abillity, 1, EG53 * EM53) * (Option!$D$24 * 0.81 / 100),
         """&amp;"賢者"", EF53 * EN53 * FL53 * IF(abillity, 1, EG53 * EO53) * (Option!$D$25 * 0.81 / 100),
         1
       )
     )
   )
 ) + EQ53"),0.0)</f>
        <v>0</v>
      </c>
      <c r="FN53" s="206">
        <f t="shared" si="13"/>
        <v>0</v>
      </c>
      <c r="FO53" s="213"/>
    </row>
    <row r="54">
      <c r="B54" s="229"/>
      <c r="C54" s="217"/>
      <c r="D54" s="236"/>
      <c r="E54" s="238"/>
      <c r="F54" s="167"/>
      <c r="G54" s="168" t="str">
        <f t="shared" si="2"/>
        <v/>
      </c>
      <c r="H54" s="169"/>
      <c r="I54" s="169"/>
      <c r="J54" s="169"/>
      <c r="K54" s="170" t="b">
        <v>0</v>
      </c>
      <c r="L54" s="170" t="b">
        <v>0</v>
      </c>
      <c r="M54" s="170" t="b">
        <v>0</v>
      </c>
      <c r="N54" s="171" t="s">
        <v>1070</v>
      </c>
      <c r="O54" s="172" t="b">
        <v>0</v>
      </c>
      <c r="P54" s="173" t="b">
        <v>0</v>
      </c>
      <c r="Q54" s="173" t="b">
        <v>0</v>
      </c>
      <c r="R54" s="173" t="b">
        <v>0</v>
      </c>
      <c r="S54" s="174" t="b">
        <v>0</v>
      </c>
      <c r="T54" s="175" t="b">
        <v>0</v>
      </c>
      <c r="U54" s="173" t="b">
        <v>0</v>
      </c>
      <c r="V54" s="171" t="s">
        <v>1070</v>
      </c>
      <c r="W54" s="172" t="b">
        <v>0</v>
      </c>
      <c r="X54" s="173" t="b">
        <v>0</v>
      </c>
      <c r="Y54" s="173" t="b">
        <v>0</v>
      </c>
      <c r="Z54" s="173" t="b">
        <v>0</v>
      </c>
      <c r="AA54" s="174" t="b">
        <v>0</v>
      </c>
      <c r="AB54" s="174" t="b">
        <v>0</v>
      </c>
      <c r="AC54" s="175" t="b">
        <v>0</v>
      </c>
      <c r="AD54" s="173" t="b">
        <v>0</v>
      </c>
      <c r="AE54" s="176" t="s">
        <v>1070</v>
      </c>
      <c r="AF54" s="171" t="s">
        <v>1070</v>
      </c>
      <c r="AG54" s="177">
        <f>IFERROR(__xludf.DUMMYFUNCTION("IF(
  ISNUMBER(AG53),
  MIN(MAX(
    AG53
    + MAX(
      ROUNDDOWN(($D54 - MAX(IFERROR(FILTER($D$24:$D53, AG$24:AG53 &lt;&gt; AF$6, AG$23:AG52 = AF$6), 0))) * (60 * 60 * 24) / AF$9) - ROUNDDOWN(($D53 - MAX(IFERROR(FILTER($D$23:$D52, AG$23:AG52 &lt;&gt; AF$6, AG$22:"&amp;"AG51 = AF$6), 0))) * (60 * 60 * 24) / 60),
      0
    )
    - COUNTIF(AF54, ""&lt;&gt;-""),
  0), AF$6),
  AF$6 - COUNTIF(AF54, ""&lt;&gt;-"")
)"),2.0)</f>
        <v>2</v>
      </c>
      <c r="AH54" s="173" t="b">
        <v>0</v>
      </c>
      <c r="AI54" s="173" t="b">
        <v>0</v>
      </c>
      <c r="AJ54" s="173" t="b">
        <v>0</v>
      </c>
      <c r="AK54" s="174" t="b">
        <v>0</v>
      </c>
      <c r="AL54" s="175" t="b">
        <v>0</v>
      </c>
      <c r="AM54" s="173" t="b">
        <v>0</v>
      </c>
      <c r="AN54" s="171" t="s">
        <v>1070</v>
      </c>
      <c r="AO54" s="173" t="b">
        <v>0</v>
      </c>
      <c r="AP54" s="173" t="b">
        <v>0</v>
      </c>
      <c r="AQ54" s="173" t="b">
        <v>0</v>
      </c>
      <c r="AR54" s="174" t="b">
        <v>0</v>
      </c>
      <c r="AS54" s="178" t="b">
        <v>0</v>
      </c>
      <c r="AT54" s="179" t="b">
        <v>0</v>
      </c>
      <c r="AU54" s="180" t="b">
        <v>0</v>
      </c>
      <c r="AV54" s="180" t="b">
        <v>0</v>
      </c>
      <c r="AW54" s="180" t="b">
        <v>0</v>
      </c>
      <c r="AX54" s="180" t="b">
        <v>0</v>
      </c>
      <c r="AY54" s="181" t="s">
        <v>1070</v>
      </c>
      <c r="AZ54" s="181" t="s">
        <v>1070</v>
      </c>
      <c r="BA54" s="184">
        <f>IFERROR(__xludf.DUMMYFUNCTION("IF(
  ISNUMBER(BA53),
  MIN(MAX(
    BA53
    + MAX(
      ROUNDDOWN((D54 - MAX(IFERROR(FILTER(D$24:D53, BA$24:BA53 &lt;&gt; AZ$6, BA$23:BA52 = AZ$6), 0))) * (60 * 60 * 24) / AZ$9) - ROUNDDOWN((D53 - MAX(IFERROR(FILTER(D$23:D52, BA$23:BA52 &lt;&gt; AZ$6, BA$22:BA51 ="&amp;" AZ$6), 0))) * (60 * 60 * 24) / AZ$9),
      0
    )
    - COUNTIF(AZ54, ""&lt;&gt;-""),
  0), AZ$6),
  AZ$6 - COUNTIF(AZ54, ""&lt;&gt;-"")
)"),2.0)</f>
        <v>2</v>
      </c>
      <c r="BB54" s="181" t="s">
        <v>1070</v>
      </c>
      <c r="BC54" s="183">
        <f>IFERROR(__xludf.DUMMYFUNCTION("IF(
  ISNUMBER(BC53),
  MIN(MAX(
    BC53
    + MAX(
      ROUNDDOWN(($D54 - MAX(IFERROR(FILTER($D$24:$D53, BC$24:BC53 &lt;&gt; BB$6, BC$23:BC52 = BB$6), 0))) * (60 * 60 * 24) / BB$9) - ROUNDDOWN(($D53 - MAX(IFERROR(FILTER($D$23:$D52, BC$23:BC52 &lt;&gt; BB$6, BC$22:"&amp;"BC51 = BB$6), 0))) * (60 * 60 * 24) / 60),
      0
    )
    - COUNTIF(BB54, ""&lt;&gt;-""),
  0), BB$6),
  BB$6 - COUNTIF(BB54, ""&lt;&gt;-"")
)"),2.0)</f>
        <v>2</v>
      </c>
      <c r="BD54" s="181" t="s">
        <v>1070</v>
      </c>
      <c r="BE54" s="178" t="b">
        <v>0</v>
      </c>
      <c r="BF54" s="180" t="b">
        <v>0</v>
      </c>
      <c r="BG54" s="180" t="b">
        <v>0</v>
      </c>
      <c r="BH54" s="180" t="b">
        <v>0</v>
      </c>
      <c r="BI54" s="180" t="b">
        <v>0</v>
      </c>
      <c r="BJ54" s="180" t="b">
        <v>0</v>
      </c>
      <c r="BK54" s="180" t="b">
        <v>0</v>
      </c>
      <c r="BL54" s="180" t="b">
        <v>0</v>
      </c>
      <c r="BM54" s="180" t="b">
        <v>0</v>
      </c>
      <c r="BN54" s="180" t="b">
        <v>0</v>
      </c>
      <c r="BO54" s="181" t="s">
        <v>1070</v>
      </c>
      <c r="BP54" s="181" t="s">
        <v>1070</v>
      </c>
      <c r="BQ54" s="181" t="s">
        <v>1070</v>
      </c>
      <c r="BR54" s="181" t="s">
        <v>1070</v>
      </c>
      <c r="BS54" s="181" t="s">
        <v>1070</v>
      </c>
      <c r="BT54" s="184">
        <f>IFERROR(__xludf.DUMMYFUNCTION("IF(
  ISNUMBER(BT53),
  MIN(MAX(
    BT53
    + MAX(
      ROUNDDOWN((D54 - MAX(IFERROR(FILTER(D$24:D53, BT$24:BT53 &lt;&gt; BS$6, BT$23:BT52 = BS$6), 0))) * (60 * 60 * 24) / BS$9) - ROUNDDOWN((D53 - MAX(IFERROR(FILTER(D$23:D52, BT$23:BT52 &lt;&gt; BS$6, BT$22:BT51 ="&amp;" BS$6), 0))) * (60 * 60 * 24) / BS$9),
      0
    )
    - COUNTIF(BS54, ""&lt;&gt;-""),
  0), BS$6),
  BS$6 - COUNTIF(BS54, ""&lt;&gt;-"")
)"),3.0)</f>
        <v>3</v>
      </c>
      <c r="BU54" s="181" t="s">
        <v>1070</v>
      </c>
      <c r="BV54" s="181" t="s">
        <v>1070</v>
      </c>
      <c r="BW54" s="184">
        <f>IFERROR(__xludf.DUMMYFUNCTION("IF(
  ISNUMBER(BW53),
  MIN(MAX(
    BW53
    + MAX(
      ROUNDDOWN((D54 - MAX(IFERROR(FILTER(D$24:D53, BW$24:BW53 &lt;&gt; BV$6, BW$23:BW52 = BV$6), 0))) * (60 * 60 * 24) / BV$9) - ROUNDDOWN((D53 - MAX(IFERROR(FILTER(D$23:D52, BW$23:BW52 &lt;&gt; BV$6, BW$22:BW51 ="&amp;" BV$6), 0))) * (60 * 60 * 24) / BV$9),
      0
    )
    - COUNTIF(BV54, ""&lt;&gt;-""),
  0), BV$6),
  BV$6 - COUNTIF(BV54, ""&lt;&gt;-"")
)"),2.0)</f>
        <v>2</v>
      </c>
      <c r="BX54" s="185" t="s">
        <v>1070</v>
      </c>
      <c r="BY54" s="178" t="b">
        <v>0</v>
      </c>
      <c r="BZ54" s="180" t="b">
        <v>0</v>
      </c>
      <c r="CA54" s="180" t="b">
        <v>0</v>
      </c>
      <c r="CB54" s="180" t="b">
        <v>0</v>
      </c>
      <c r="CC54" s="180" t="b">
        <v>0</v>
      </c>
      <c r="CD54" s="180" t="b">
        <v>0</v>
      </c>
      <c r="CE54" s="180" t="b">
        <v>0</v>
      </c>
      <c r="CF54" s="180" t="b">
        <v>0</v>
      </c>
      <c r="CG54" s="180" t="b">
        <v>0</v>
      </c>
      <c r="CH54" s="180" t="b">
        <v>0</v>
      </c>
      <c r="CI54" s="180" t="b">
        <v>0</v>
      </c>
      <c r="CJ54" s="180" t="b">
        <v>0</v>
      </c>
      <c r="CK54" s="180" t="b">
        <v>0</v>
      </c>
      <c r="CL54" s="180" t="b">
        <v>0</v>
      </c>
      <c r="CM54" s="181" t="s">
        <v>1070</v>
      </c>
      <c r="CN54" s="181" t="s">
        <v>1070</v>
      </c>
      <c r="CO54" s="181" t="s">
        <v>1070</v>
      </c>
      <c r="CP54" s="181" t="s">
        <v>1070</v>
      </c>
      <c r="CQ54" s="185" t="s">
        <v>1070</v>
      </c>
      <c r="CR54" s="180" t="b">
        <v>0</v>
      </c>
      <c r="CS54" s="186" t="str">
        <f t="shared" si="14"/>
        <v>◇◇◇</v>
      </c>
      <c r="CT54" s="178" t="b">
        <v>0</v>
      </c>
      <c r="CU54" s="180" t="b">
        <v>0</v>
      </c>
      <c r="CV54" s="180" t="b">
        <v>0</v>
      </c>
      <c r="CW54" s="180" t="b">
        <v>0</v>
      </c>
      <c r="CX54" s="180" t="b">
        <v>0</v>
      </c>
      <c r="CY54" s="180" t="b">
        <v>0</v>
      </c>
      <c r="CZ54" s="180" t="b">
        <v>0</v>
      </c>
      <c r="DA54" s="180" t="b">
        <v>0</v>
      </c>
      <c r="DB54" s="180" t="b">
        <v>0</v>
      </c>
      <c r="DC54" s="180" t="b">
        <v>0</v>
      </c>
      <c r="DD54" s="181" t="s">
        <v>1070</v>
      </c>
      <c r="DE54" s="181" t="s">
        <v>1070</v>
      </c>
      <c r="DF54" s="181" t="s">
        <v>1070</v>
      </c>
      <c r="DG54" s="185" t="s">
        <v>1070</v>
      </c>
      <c r="DH54" s="180" t="b">
        <v>0</v>
      </c>
      <c r="DI54" s="187" t="str">
        <f>IFERROR(__xludf.DUMMYFUNCTION("SWITCH(
  IF(
    ISTEXT(DI53),
    IF (
      FIND(""○"", DI53&amp;""○"") &gt; 3,
      3,
      FIND(""○"", DI53&amp;""○"")
      + MAX(
        ROUNDDOWN(($D54 - MAX(IFERROR(FILTER(D$24:D53, DI$24:DI53 &lt;&gt; ""●●●"", DI$23:DI52 = ""●●●""), 0))) * (60 * 60 * 24) / 20"&amp;") - ROUNDDOWN(($D53 - MAX(IFERROR(FILTER(D$23:D52, DI$23:DI52 &lt;&gt; ""●●●"", DI$22:DI51 = ""●●●""), 0))) * (60 * 60 * 24) / 20),
        0
      ) - 1
    ) - COUNTIFS(CU54, ""=TRUE"", CU53, ""&lt;&gt;TRUE"") - COUNTIF(CZ54, ""=TRUE"") - COUNTIF({DD54,DE54}, ""&lt;&gt;-"&amp;""") + COUNTIF(DH54, ""=TRUE""),
    3
  ),
  0, ""○○○"", 1, ""●○○"", 2, ""●●○"", 3, ""●●●"", 4, ""●●●"", ""○○○""
)"),"●●●")</f>
        <v>●●●</v>
      </c>
      <c r="DJ54" s="188" t="b">
        <v>0</v>
      </c>
      <c r="DK54" s="189" t="b">
        <v>0</v>
      </c>
      <c r="DL54" s="190" t="b">
        <v>0</v>
      </c>
      <c r="DM54" s="190" t="b">
        <v>0</v>
      </c>
      <c r="DN54" s="190" t="b">
        <v>0</v>
      </c>
      <c r="DO54" s="190" t="b">
        <v>0</v>
      </c>
      <c r="DP54" s="190" t="b">
        <v>0</v>
      </c>
      <c r="DQ54" s="191" t="b">
        <v>0</v>
      </c>
      <c r="DR54" s="192" t="b">
        <v>0</v>
      </c>
      <c r="DS54" s="191" t="b">
        <v>0</v>
      </c>
      <c r="DT54" s="192" t="b">
        <v>0</v>
      </c>
      <c r="DU54" s="191" t="b">
        <v>0</v>
      </c>
      <c r="DV54" s="193">
        <v>0.0</v>
      </c>
      <c r="DW54" s="194" t="b">
        <v>0</v>
      </c>
      <c r="DX54" s="194" t="b">
        <v>0</v>
      </c>
      <c r="DY54" s="195" t="b">
        <v>0</v>
      </c>
      <c r="DZ54" s="196" t="b">
        <v>0</v>
      </c>
      <c r="EA54" s="195" t="b">
        <v>0</v>
      </c>
      <c r="EB54" s="197" t="b">
        <v>0</v>
      </c>
      <c r="EC54" s="197" t="b">
        <v>0</v>
      </c>
      <c r="ED54" s="212" t="b">
        <v>0</v>
      </c>
      <c r="EE54" s="199">
        <f>IFERROR(__xludf.DUMMYFUNCTION("IFERROR(
   PRODUCT(
     MAP(
       INDEX(TRANSPOSE(UNIQUE(TRANSPOSE(FILTER({IF($F54=""Physical"", K$10:ED$10, IF($F54=""Magic"", K$11:ED$11, K$12:ED$12));K$4:ED$4;K54:ED54}, K54:ED54=TRUE)))), 1, 0),
       INDEX(TRANSPOSE(UNIQUE(TRANSPOSE(FILTER({IF($"&amp;"F54=""Physical"", K$18:ED$18, IF($F54=""Magic"", K$19:ED$19, K$20:ED$20));K$4:ED$4;K54:ED54}, K54:ED54=TRUE)))), 1, 0),
       INDEX(TRANSPOSE(UNIQUE(TRANSPOSE(FILTER({K$5:ED$5;K$4:ED$4;K54:ED54}, K54:ED54=TRUE)))), 1, 0),
       INDEX(TRANSPOSE(UNIQUE(TR"&amp;"ANSPOSE(FILTER({K$17:ED$17;K$4:ED$4;K54:ED54}, K54:ED54=TRUE)))), 1, 0),
       LAMBDA(
         mitigation,
         enhance,
         assign,
         precondition,
         IF(
           REGEXMATCH(assign, ""RANGE_PARTY|SINGLE_ENEMY|RANGE_ENEMY""),
  "&amp;"         IF(
             OR(ARRAYFORMULA((IF(precondition="""", FALSE, REGEXMATCH(K$4:ED$4, precondition))) * (K54:ED54=TRUE))),
             IF(ISNUMBER(enhance), enhance, 1),
             IF(ISNUMBER(mitigation), mitigation, 1)
           ),
          "&amp;" 1
         )
       )
     )
   ),
   1
 )"),1.0)</f>
        <v>1</v>
      </c>
      <c r="EF54" s="200">
        <f>IFERROR(__xludf.DUMMYFUNCTION("PRODUCT(
   MAP(
     K$14:ED$14,
     K$13:ED$13,
     K54:ED54,
     LAMBDA(
       buff,
       target,
       check,
       IF(
         AND(check=TRUE, REGEXMATCH(target, ""RANGE_AFFECTED_ALL|RANGE_EFFECTED_ALL""), ISNUMBER(buff)),
         buff,
   "&amp;"      1
       )
     )
   )
 )"),1.0)</f>
        <v>1</v>
      </c>
      <c r="EG54" s="200">
        <f>IFERROR(__xludf.DUMMYFUNCTION("PRODUCT(
   MAP(
     K$14:ED$14,
     K$13:ED$13,
     K54:ED54,
     LAMBDA(
       buff,
       target,
       check,
       IF(
         AND(check=TRUE, REGEXMATCH(target, ""RANGE_AFFECTED_GCD|RANGE_EFFECTED_GCD""), ISNUMBER(buff)),
         buff,
   "&amp;"      1
       )
     )
   )
 )"),1.0)</f>
        <v>1</v>
      </c>
      <c r="EH54" s="200">
        <f>IFERROR(__xludf.DUMMYFUNCTION("PRODUCT(
   MAP(
     K$3:ED$3,
     K$14:ED$14,
     K$13:ED$13,
     K54:ED54,
     LAMBDA(
       job,
       buff,
       target,
       check,
       IF(
         AND(check=TRUE, REGEXMATCH(target, ""SELF_EFFECTED_ALL""), ISNUMBER(buff), job=""白魔道士"""&amp;"),
         buff,
         1
       )
     )
   )
 )"),1.0)</f>
        <v>1</v>
      </c>
      <c r="EI54" s="200">
        <f>IFERROR(__xludf.DUMMYFUNCTION("PRODUCT(
   MAP(
     K$3:ED$3,
     K$14:ED$14,
     K$13:ED$13,
     K54:ED54,
     LAMBDA(
       job,
       buff,
       target,
       check,
       IF(
         AND(check=TRUE, REGEXMATCH(target, ""SELF_EFFECTED_GCD""), ISNUMBER(buff), job=""白魔道士"""&amp;"),
         buff,
         1
       )
     )
   )
 )"),1.0)</f>
        <v>1</v>
      </c>
      <c r="EJ54" s="200">
        <f>IFERROR(__xludf.DUMMYFUNCTION("PRODUCT(
   MAP(
     K$3:ED$3,
     K$14:ED$14,
     K$13:ED$13,
     K54:ED54,
     LAMBDA(
       job,
       buff,
       target,
       check,
       IF(
         AND(check=TRUE, REGEXMATCH(target, ""SELF_EFFECTED_ALL""), ISNUMBER(buff), job=""占星術師"""&amp;"),
         buff,
         1
       )
     )
   )
 )"),1.0)</f>
        <v>1</v>
      </c>
      <c r="EK54" s="200">
        <f>IFERROR(__xludf.DUMMYFUNCTION("PRODUCT(
   MAP(
     K$3:ED$3,
     K$14:ED$14,
     K$13:ED$13,
     K54:ED54,
     LAMBDA(
       job,
       buff,
       target,
       check,
       IF(
         AND(check=TRUE, REGEXMATCH(target, ""SELF_EFFECTED_GCD""), ISNUMBER(buff), job=""占星術師"""&amp;"),
         buff,
         1
       )
     )
   )
 )"),1.0)</f>
        <v>1</v>
      </c>
      <c r="EL54" s="200">
        <f>IFERROR(__xludf.DUMMYFUNCTION("PRODUCT(
   MAP(
     K$3:ED$3,
     K$14:ED$14,
     K$13:ED$13,
     K54:ED54,
     LAMBDA(
       job,
       buff,
       target,
       check,
       IF(
         AND(check=TRUE, REGEXMATCH(target, ""SELF_EFFECTED_ALL""), ISNUMBER(buff), job=""学者""),"&amp;"
         buff,
         1
       )
     )
   )
 )"),1.0)</f>
        <v>1</v>
      </c>
      <c r="EM54" s="200">
        <f>IFERROR(__xludf.DUMMYFUNCTION("PRODUCT(
   MAP(
     K$3:ED$3,
     K$14:ED$14,
     K$13:ED$13,
     K54:ED54,
     LAMBDA(
       job,
       buff,
       target,
       check,
       IF(
         AND(check=TRUE, REGEXMATCH(target, ""SELF_EFFECTED_GCD""), ISNUMBER(buff), job=""学者""),"&amp;"
         buff,
         1
       )
     )
   )
 )"),1.0)</f>
        <v>1</v>
      </c>
      <c r="EN54" s="200">
        <f>IFERROR(__xludf.DUMMYFUNCTION("PRODUCT(
   MAP(
     K$3:ED$3,
     K$14:ED$14,
     K$13:ED$13,
     K54:ED54,
     LAMBDA(
       job,
       buff,
       target,
       check,
       IF(
         AND(check=TRUE, REGEXMATCH(target, ""SELF_EFFECTED_ALL""), ISNUMBER(buff), job=""賢者""),"&amp;"
         buff,
         1
       )
     )
   )
 )"),1.0)</f>
        <v>1</v>
      </c>
      <c r="EO54" s="200">
        <f>IFERROR(__xludf.DUMMYFUNCTION("PRODUCT(
   MAP(
     K$3:ED$3,
     K$14:ED$14,
     K$13:ED$13,
     K54:ED54,
     LAMBDA(
       job,
       buff,
       target,
       check,
       IF(
         AND(check=TRUE, REGEXMATCH(target, ""SELF_EFFECTED_GCD""), ISNUMBER(buff), job=""賢者""),"&amp;"
         buff,
         1
       )
     )
   )
 )"),1.0)</f>
        <v>1</v>
      </c>
      <c r="EP54" s="201">
        <f t="shared" si="3"/>
        <v>0</v>
      </c>
      <c r="EQ54" s="201">
        <f>IFERROR(__xludf.DUMMYFUNCTION("SUM(
   MAP(
     K$4:ED$4,
     K$3:ED$3,
     K$7:ED$7,
     K$15:ED$15,
     K$16:ED$16,
     K$21:ED$21,
     K$5:ED$5,
     K$17:ED$17,
     K54:ED54,
     LAMBDA(
       name,
       job,
       abillity,
       buff,
       barrier,
       enhance,"&amp;"
       assign,
       precondition,
       check,
       SWITCH(
         name,
         ""シェイクオフ"", IF(check=TRUE, buff + (0.02 * COUNTIF(ARRAYFORMULA((REGEXMATCH($K$4:$ED$4, ""スリル・オブ・バトル|ヴェンジェンス|原初の血気|ダムネーション"")) * (K54:ED54=TRUE)), 1)), 0),
         "&amp;"""インプロビゼーションフィニッシュ(踊りの激情0)"", IF(ISNUMBER(check), INDEX(Skill!$AJ:$AJ, MATCH(SUBSTITUTE(DV$4, 0, check), Skill!$C:$C, 0)), 0),
         IF(
           AND(check=TRUE, REGEXMATCH(assign, ""RANGE_PARTY"")),
           IF(
             OR(ARRAYFORMULA((IF(pr"&amp;"econdition="""", FALSE, REGEXMATCH($K$4:$ED$4, precondition))) * (K54:ED54=TRUE))),
             enhance,
             IF(barrier="""", buff, barrier)
           ),
           0
         )
       ) *
       SWITCH(
         job,
         ""ナイト"", EY$24,
 "&amp;"        ""戦士"", FD$24,
         ""踊り子"", ET$24,
         ""ピクトマンサー"", ET$24,
         ""白魔道士"", EF54 * EH54 * IF(abillity, 1, EG54 * EI54) * (Option!$D$22 * 0.81 / 100),
         ""占星術師"", EF54 * EJ54 * IF(abillity, 1, EG54 * EK54) * (Option!$D$23 * 0.81 "&amp;"/ 100),
         ""学者"", EF54 * EL54 * IF(abillity, 1, EG54 * EM54) * (Option!$D$24 * 0.81 / 100),
         ""賢者"", EF54 * EN54 * IF(abillity, 1, EG54 * EO54) * (Option!$D$25 * 0.81 / 100),
         1
       )
     )
   )
 )"),7100.0)</f>
        <v>7100</v>
      </c>
      <c r="ER54" s="202">
        <f t="shared" si="4"/>
        <v>0</v>
      </c>
      <c r="ES54" s="203">
        <f t="shared" si="5"/>
        <v>0</v>
      </c>
      <c r="ET54" s="231" t="str">
        <f>IFERROR(__xludf.DUMMYFUNCTION("IFS(
  EP54 &gt; $ET$24 + EQ54,
  SPARKLINE({ 1, 0 }, {""charttype"",""bar"";""max"", 1;""color1"",Option!$D$30;""color2"",Option!$D$30}),
  EP54 &lt; EQ54,
  SPARKLINE({EQ54 - EP54, $ET$24 - (EQ54 - EP54)}, {""charttype"",""bar"";""max"",$ET$24;""color1"",Opti"&amp;"on!$D$28;""color2"",Option!$D$29}),
  EP54 &gt;= EQ54,
  SPARKLINE({$ET$24 + EQ54 - EP54,EP54 - EQ54}, {""charttype"",""bar"";""max"",$ET$24;""color1"",Option!$D$29;""color2"",Option!$D$30})
)"),"")</f>
        <v/>
      </c>
      <c r="EU54" s="205">
        <f>IFERROR(__xludf.DUMMYFUNCTION("PRODUCT(
   MAP(
     IF($F54=""Physical"", K$10:ED$10, IF($F54=""Magic"", K$11:ED$11, K$12:ED$12)),
     IF($F54=""Physical"", K$18:ED$18, IF($F54=""Magic"", K$19:ED$19, K$20:ED$20)),
     K$3:ED$3,
     K$5:ED$5,
     K$17:ED$17,
     K54:ED54,
     LAM"&amp;"BDA(
       mitigation,
       enhance,
       job,
       assign,
       precondition,
       check,
       IF(
         OR(AND(check=TRUE, REGEXMATCH(assign, ""SELF""), job=""ナイト""), AND(check=Option!$E$13, REGEXMATCH(assign, ""SINGLE_PARTY""))),
      "&amp;"   IF(
           OR(ARRAYFORMULA((IF(precondition="""", FALSE, REGEXMATCH($K$4:$ED$4, precondition))) * (K54:ED54=TRUE))),
           enhance,
           mitigation
         ),
         1
       )
     )
   )
 ) * EE54"),1.0)</f>
        <v>1</v>
      </c>
      <c r="EV54" s="206">
        <f t="shared" si="6"/>
        <v>0</v>
      </c>
      <c r="EW54" s="205">
        <f>IFERROR(__xludf.DUMMYFUNCTION("PRODUCT(
   MAP(
     K$3:ED$3,
     K$14:ED$14,
     K$13:ED$13,
     K54:ED54,
     LAMBDA(
       job,
       buff,
       target,
       check,
       IF(
         OR(AND(check=TRUE, REGEXMATCH(target, ""SELF_AFFECTED_ALL""), job=""ナイト""), AND(check=O"&amp;"ption!$E$13, REGEXMATCH(target, ""SINGLE_AFFECTED_ALL""))),
         buff,
         1
       )
     )
   )
 )"),1.0)</f>
        <v>1</v>
      </c>
      <c r="EX54" s="206">
        <f>IFERROR(__xludf.DUMMYFUNCTION("SUM(
   MAP(
     K$3:ED$3,
     K$7:ED$7,
     K$15:ED$15,
     K$16:ED$16,
     K$21:ED$21,
     K$5:ED$5,
     K$17:ED$17,
     K54:ED54,
     LAMBDA(
       job,
       abillity,
       buff,
       barrier,
       enhance,
       assign,
       preco"&amp;"ndition,
       check,
       IF(
         OR(AND(check=TRUE, REGEXMATCH(assign, ""SELF""), job=""ナイト""), AND(check=Option!$E$13, REGEXMATCH(assign, ""SINGLE_PARTY""))),
         IF(
           OR(ARRAYFORMULA((IF(precondition="""", FALSE, REGEXMATCH($K$4"&amp;":$ED$4, precondition))) * (K54:ED54=TRUE))),
           enhance,
           IF(barrier="""", buff, barrier)
         ),
         0
       ) *
       SWITCH(
         job,
         ""暗黒騎士"", EY$24,
         ""白魔道士"", EF54 * EH54 * EW54 * IF(abillity, 1, EG"&amp;"54 * EI54) * (Option!$D$22 * 0.81 / 100),
         ""占星術師"", EF54 * EJ54 * EW54 * IF(abillity, 1, EG54 * EK54) * (Option!$D$23 * 0.81 / 100),
         ""学者"", EF54 * EL54 * EW54 * IF(abillity, 1, EG54 * EM54) * (Option!$D$24 * 0.81 / 100),
         ""賢者"""&amp;", EF54 * EN54 * EW54 * IF(abillity, 1, EG54 * EO54) * (Option!$D$25 * 0.81 / 100),
         1
       )
     )
   )
 ) + EQ54"),7100.0)</f>
        <v>7100</v>
      </c>
      <c r="EY54" s="232">
        <f t="shared" si="7"/>
        <v>0</v>
      </c>
      <c r="EZ54" s="205">
        <f>IFERROR(__xludf.DUMMYFUNCTION("PRODUCT(
   MAP(
     IF($F54=""Physical"", K$10:ED$10, IF($F54=""Magic"", K$11:ED$11, K$12:ED$12)),
     IF($F54=""Physical"", K$18:ED$18, IF($F54=""Magic"", K$19:ED$19, K$20:ED$20)),
     K$3:ED$3,
     K$5:ED$5,
     K$17:ED$17,
     K54:ED54,
     LAM"&amp;"BDA(
       mitigation,
       enhance,
       job,
       assign,
       precondition,
       check,
       IF(
         OR(AND(check=TRUE, REGEXMATCH(assign, ""SELF""), job=""戦士""), AND(check=Option!$F$13, REGEXMATCH(assign, ""SINGLE_PARTY""))),
       "&amp;"  IF(
           OR(ARRAYFORMULA((IF(precondition="""", FALSE, REGEXMATCH($K$4:$ED$4, precondition))) * (K54:ED54=TRUE))),
           enhance,
           mitigation
         ),
         1
       )
     )
   )
 ) * EE54"),1.0)</f>
        <v>1</v>
      </c>
      <c r="FA54" s="206">
        <f t="shared" si="8"/>
        <v>0</v>
      </c>
      <c r="FB54" s="205">
        <f>IFERROR(__xludf.DUMMYFUNCTION("PRODUCT(
   MAP(
     K$3:ED$3,
     K$14:ED$14,
     K$13:ED$13,
     K54:ED54,
     LAMBDA(
       job,
       buff,
       target,
       check,
       IF(
         OR(AND(check=TRUE, REGEXMATCH(target, ""SELF_AFFECTED_ALL""), job=""戦士""), AND(check=Op"&amp;"tion!$F$13, REGEXMATCH(target, ""SINGLE_AFFECTED_ALL""))),
         buff,
         1
       )
     )
   )
 )"),1.0)</f>
        <v>1</v>
      </c>
      <c r="FC54" s="206">
        <f>IFERROR(__xludf.DUMMYFUNCTION("SUM(
   MAP(
     K$3:ED$3,
     K$7:ED$7,
     K$15:ED$15,
     K$16:ED$16,
     K$21:ED$21,
     K$5:ED$5,
     K$17:ED$17,
     K54:ED54,
     LAMBDA(
       job,
       abillity,
       buff,
       barrier,
       enhance,
       assign,
       preco"&amp;"ndition,
       check,
       IF(
         OR(AND(check=TRUE, REGEXMATCH(assign, ""SELF""), job=""戦士""), AND(check=Option!$F$13, REGEXMATCH(assign, ""SINGLE_PARTY""))),
         IF(
           OR(ARRAYFORMULA((IF(precondition="""", FALSE, REGEXMATCH($K$4:"&amp;"$ED$4, precondition))) * (K54:ED54=TRUE))),
           enhance,
           IF(barrier="""", buff, barrier)
         ),
         0
       ) *
       SWITCH(
         job,
         ""暗黒騎士"", FD$24,
         ""白魔道士"", EF54 * EH54 * FB54 * IF(abillity, 1, EG5"&amp;"4 * EI54) * (Option!$D$22 * 0.81 / 100),
         ""占星術師"", EF54 * EJ54 * FFB54 * IF(abillity, 1, EG54 * EK54) * (Option!$D$23 * 0.81 / 100),
         ""学者"", EF54 * EL54 * FB54 * IF(abillity, 1, EG54 * EM54) * (Option!$D$24 * 0.81 / 100),
         ""賢者"""&amp;", EF54 * EN54 * FB54 * IF(abillity, 1, EG54 * EO54) * (Option!$D$25 * 0.81 / 100),
         1
       )
     )
   )
 ) + EQ54"),7100.0)</f>
        <v>7100</v>
      </c>
      <c r="FD54" s="206">
        <f t="shared" si="9"/>
        <v>0</v>
      </c>
      <c r="FE54" s="205">
        <f>IFERROR(__xludf.DUMMYFUNCTION("PRODUCT(
   MAP(
     IF($F54=""Physical"", K$10:ED$10, IF($F54=""Magic"", K$11:ED$11, K$12:ED$12)),
     IF($F54=""Physical"", K$18:ED$18, IF($F54=""Magic"", K$19:ED$19, K$20:ED$20)),
     K$3:ED$3,
     K$5:ED$5,
     K$17:ED$17,
     K54:ED54,
     LAM"&amp;"BDA(
       mitigation,
       enhance,
       job,
       assign,
       precondition,
       check,
       IF(
         OR(AND(check=TRUE, REGEXMATCH(assign, ""SELF""), job=""暗黒騎士""), AND(check=Option!$G$13, REGEXMATCH(assign, ""SINGLE_PARTY""))),
     "&amp;"    IF(
           OR(ARRAYFORMULA((IF(precondition="""", FALSE, REGEXMATCH($K$4:$ED$4, precondition))) * (K54:ED54=TRUE))),
           enhance,
           mitigation
         ),
         1
       )
     )
   )
 ) * EE54"),1.0)</f>
        <v>1</v>
      </c>
      <c r="FF54" s="206">
        <f t="shared" si="10"/>
        <v>0</v>
      </c>
      <c r="FG54" s="205">
        <f>IFERROR(__xludf.DUMMYFUNCTION("PRODUCT(
   MAP(
     K$3:ED$3,
     K$14:ED$14,
     K$13:ED$13,
     K54:ED54,
     LAMBDA(
       job,
       buff,
       target,
       check,
       IF(
         OR(AND(check=TRUE, REGEXMATCH(target, ""SELF_AFFECTED_ALL""), job=""暗黒騎士""), AND(check="&amp;"Option!$G$13, REGEXMATCH(target, ""SINGLE_AFFECTED_ALL""))),
         buff,
         1
       )
     )
   )
 )"),1.0)</f>
        <v>1</v>
      </c>
      <c r="FH54" s="206">
        <f>IFERROR(__xludf.DUMMYFUNCTION("SUM(
   MAP(
     K$3:ED$3,
     K$7:ED$7,
     K$15:ED$15,
     K$16:ED$16,
     K$21:ED$21,
     K$5:ED$5,
     K$17:ED$17,
     K54:ED54,
     LAMBDA(
       job,
       abillity,
       buff,
       barrier,
       enhance,
       assign,
       preco"&amp;"ndition,
       check,
       IF(
         OR(AND(check=TRUE, REGEXMATCH(assign, ""SELF""), job=""暗黒騎士""), AND(check=Option!$G$13, REGEXMATCH(assign, ""SINGLE_PARTY""))),
         IF(
           OR(ARRAYFORMULA((IF(precondition="""", FALSE, REGEXMATCH($K$"&amp;"4:$ED$4, precondition))) * (K54:ED54=TRUE))),
           enhance,
           IF(barrier="""", buff, barrier)
         ),
         0
       ) *
       SWITCH(
         job,
         ""暗黒騎士"", FI$24,
         ""白魔道士"", EF54 * EH54 * FG54 * IF(abillity, 1, E"&amp;"G54 * EI54) * (Option!$D$22 * 0.81 / 100),
         ""占星術師"", EF54 * EJ54 * FG54 * IF(abillity, 1, EG54 * EK54) * (Option!$D$23 * 0.81 / 100),
         ""学者"", EF54 * EL54 * FG54 * IF(abillity, 1, EG54 * EM54) * (Option!$D$24 * 0.81 / 100),
         ""賢者"&amp;""", EF54 * EN54 * FG54 * IF(abillity, 1, EG54 * EO54) * (Option!$D$25 * 0.81 / 100),
         1
       )
     )
   )
 ) + EQ54"),7100.0)</f>
        <v>7100</v>
      </c>
      <c r="FI54" s="206">
        <f t="shared" si="11"/>
        <v>0</v>
      </c>
      <c r="FJ54" s="205">
        <f>IFERROR(__xludf.DUMMYFUNCTION("PRODUCT(
   MAP(
     IF($F54=""Physical"", K$10:ED$10, IF($F54=""Magic"", K$11:ED$11, K$12:ED$12)),
     IF($F54=""Physical"", K$18:ED$18, IF($F54=""Magic"", K$19:ED$19, K$20:ED$20)),
     K$3:ED$3,
     K$5:ED$5,
     K$17:ED$17,
     K54:ED54,
     LAM"&amp;"BDA(
       mitigation,
       enhance,
       job,
       assign,
       precondition,
       check,
       IF(
         OR(AND(check=TRUE, REGEXMATCH(assign, ""SELF""), job=""ガンブレイカー""), AND(check=Option!$H$13, REGEXMATCH(assign, ""SINGLE_PARTY""))),
  "&amp;"       IF(
           OR(ARRAYFORMULA((IF(precondition="""", FALSE, REGEXMATCH($K$4:$ED$4, precondition))) * (K54:ED54=TRUE))),
           enhance,
           mitigation
         ),
         1
       )
     )
   )
 ) * EE54"),1.0)</f>
        <v>1</v>
      </c>
      <c r="FK54" s="206">
        <f t="shared" si="12"/>
        <v>0</v>
      </c>
      <c r="FL54" s="205">
        <f>IFERROR(__xludf.DUMMYFUNCTION("PRODUCT(
   MAP(
     K$3:ED$3,
     K$14:ED$14,
     K$13:ED$13,
     K54:ED54,
     LAMBDA(
       job,
       buff,
       target,
       check,
       IF(
         OR(AND(check=TRUE, REGEXMATCH(target, ""SELF_AFFECTED_ALL""), job=""ガンブレイカー""), AND(che"&amp;"ck=Option!$H$13, REGEXMATCH(target, ""SINGLE_AFFECTED_ALL""))),
         buff,
         1
       )
     )
   )
 )"),1.0)</f>
        <v>1</v>
      </c>
      <c r="FM54" s="206">
        <f>IFERROR(__xludf.DUMMYFUNCTION("SUM(
   MAP(
     K$3:ED$3,
     K$7:ED$7,
     K$15:ED$15,
     K$16:ED$16,
     K$21:ED$21,
     K$5:ED$5,
     K$17:ED$17,
     K54:ED54,
     LAMBDA(
       job,
       abillity,
       buff,
       barrier,
       enhance,
       assign,
       preco"&amp;"ndition,
       check,
       IF(
         OR(AND(check=TRUE, REGEXMATCH(assign, ""SELF""), job=""ガンブレイカー""), AND(check=Option!$H$13, REGEXMATCH(assign, ""SINGLE_PARTY""))),
         IF(
           OR(ARRAYFORMULA((IF(precondition="""", FALSE, REGEXMATCH("&amp;"$K$4:$ED$4, precondition))) * (K54:ED54=TRUE))),
           enhance,
           IF(barrier="""", buff, barrier)
         ),
         0
       ) *
       SWITCH(
         job,
         ""暗黒騎士"", FN$24,
         ""白魔道士"", EF54 * EH54 * FL54 * IF(abillity, 1"&amp;", EG54 * EI54) * (Option!$D$22 * 0.81 / 100),
         ""占星術師"", EF54 * EJ54 * FL54 * IF(abillity, 1, EG54 * EK54) * (Option!$D$23 * 0.81 / 100),
         ""学者"", EF54 * EL54 * FL54 * IF(abillity, 1, EG54 * EM54) * (Option!$D$24 * 0.81 / 100),
         """&amp;"賢者"", EF54 * EN54 * FL54 * IF(abillity, 1, EG54 * EO54) * (Option!$D$25 * 0.81 / 100),
         1
       )
     )
   )
 ) + EQ54"),7100.0)</f>
        <v>7100</v>
      </c>
      <c r="FN54" s="206">
        <f t="shared" si="13"/>
        <v>0</v>
      </c>
      <c r="FO54" s="213"/>
    </row>
    <row r="55">
      <c r="B55" s="229"/>
      <c r="C55" s="217"/>
      <c r="D55" s="236"/>
      <c r="E55" s="238"/>
      <c r="F55" s="167"/>
      <c r="G55" s="168" t="str">
        <f t="shared" si="2"/>
        <v/>
      </c>
      <c r="H55" s="169"/>
      <c r="I55" s="169"/>
      <c r="J55" s="169"/>
      <c r="K55" s="170" t="b">
        <v>0</v>
      </c>
      <c r="L55" s="170" t="b">
        <v>0</v>
      </c>
      <c r="M55" s="170" t="b">
        <v>0</v>
      </c>
      <c r="N55" s="171" t="s">
        <v>1070</v>
      </c>
      <c r="O55" s="172" t="b">
        <v>0</v>
      </c>
      <c r="P55" s="173" t="b">
        <v>0</v>
      </c>
      <c r="Q55" s="173" t="b">
        <v>0</v>
      </c>
      <c r="R55" s="173" t="b">
        <v>0</v>
      </c>
      <c r="S55" s="174" t="b">
        <v>0</v>
      </c>
      <c r="T55" s="175" t="b">
        <v>0</v>
      </c>
      <c r="U55" s="173" t="b">
        <v>0</v>
      </c>
      <c r="V55" s="171" t="s">
        <v>1070</v>
      </c>
      <c r="W55" s="172" t="b">
        <v>0</v>
      </c>
      <c r="X55" s="173" t="b">
        <v>0</v>
      </c>
      <c r="Y55" s="173" t="b">
        <v>0</v>
      </c>
      <c r="Z55" s="173" t="b">
        <v>0</v>
      </c>
      <c r="AA55" s="174" t="b">
        <v>0</v>
      </c>
      <c r="AB55" s="174" t="b">
        <v>0</v>
      </c>
      <c r="AC55" s="175" t="b">
        <v>0</v>
      </c>
      <c r="AD55" s="173" t="b">
        <v>0</v>
      </c>
      <c r="AE55" s="176" t="s">
        <v>1070</v>
      </c>
      <c r="AF55" s="171" t="s">
        <v>1070</v>
      </c>
      <c r="AG55" s="177">
        <f>IFERROR(__xludf.DUMMYFUNCTION("IF(
  ISNUMBER(AG54),
  MIN(MAX(
    AG54
    + MAX(
      ROUNDDOWN(($D55 - MAX(IFERROR(FILTER($D$24:$D54, AG$24:AG54 &lt;&gt; AF$6, AG$23:AG53 = AF$6), 0))) * (60 * 60 * 24) / AF$9) - ROUNDDOWN(($D54 - MAX(IFERROR(FILTER($D$23:$D53, AG$23:AG53 &lt;&gt; AF$6, AG$22:"&amp;"AG52 = AF$6), 0))) * (60 * 60 * 24) / 60),
      0
    )
    - COUNTIF(AF55, ""&lt;&gt;-""),
  0), AF$6),
  AF$6 - COUNTIF(AF55, ""&lt;&gt;-"")
)"),2.0)</f>
        <v>2</v>
      </c>
      <c r="AH55" s="173" t="b">
        <v>0</v>
      </c>
      <c r="AI55" s="173" t="b">
        <v>0</v>
      </c>
      <c r="AJ55" s="173" t="b">
        <v>0</v>
      </c>
      <c r="AK55" s="174" t="b">
        <v>0</v>
      </c>
      <c r="AL55" s="175" t="b">
        <v>0</v>
      </c>
      <c r="AM55" s="173" t="b">
        <v>0</v>
      </c>
      <c r="AN55" s="171" t="s">
        <v>1070</v>
      </c>
      <c r="AO55" s="173" t="b">
        <v>0</v>
      </c>
      <c r="AP55" s="173" t="b">
        <v>0</v>
      </c>
      <c r="AQ55" s="173" t="b">
        <v>0</v>
      </c>
      <c r="AR55" s="174" t="b">
        <v>0</v>
      </c>
      <c r="AS55" s="178" t="b">
        <v>0</v>
      </c>
      <c r="AT55" s="179" t="b">
        <v>0</v>
      </c>
      <c r="AU55" s="180" t="b">
        <v>0</v>
      </c>
      <c r="AV55" s="180" t="b">
        <v>0</v>
      </c>
      <c r="AW55" s="180" t="b">
        <v>0</v>
      </c>
      <c r="AX55" s="180" t="b">
        <v>0</v>
      </c>
      <c r="AY55" s="181" t="s">
        <v>1070</v>
      </c>
      <c r="AZ55" s="181" t="s">
        <v>1070</v>
      </c>
      <c r="BA55" s="184">
        <f>IFERROR(__xludf.DUMMYFUNCTION("IF(
  ISNUMBER(BA54),
  MIN(MAX(
    BA54
    + MAX(
      ROUNDDOWN((D55 - MAX(IFERROR(FILTER(D$24:D54, BA$24:BA54 &lt;&gt; AZ$6, BA$23:BA53 = AZ$6), 0))) * (60 * 60 * 24) / AZ$9) - ROUNDDOWN((D54 - MAX(IFERROR(FILTER(D$23:D53, BA$23:BA53 &lt;&gt; AZ$6, BA$22:BA52 ="&amp;" AZ$6), 0))) * (60 * 60 * 24) / AZ$9),
      0
    )
    - COUNTIF(AZ55, ""&lt;&gt;-""),
  0), AZ$6),
  AZ$6 - COUNTIF(AZ55, ""&lt;&gt;-"")
)"),2.0)</f>
        <v>2</v>
      </c>
      <c r="BB55" s="181" t="s">
        <v>1070</v>
      </c>
      <c r="BC55" s="183">
        <f>IFERROR(__xludf.DUMMYFUNCTION("IF(
  ISNUMBER(BC54),
  MIN(MAX(
    BC54
    + MAX(
      ROUNDDOWN(($D55 - MAX(IFERROR(FILTER($D$24:$D54, BC$24:BC54 &lt;&gt; BB$6, BC$23:BC53 = BB$6), 0))) * (60 * 60 * 24) / BB$9) - ROUNDDOWN(($D54 - MAX(IFERROR(FILTER($D$23:$D53, BC$23:BC53 &lt;&gt; BB$6, BC$22:"&amp;"BC52 = BB$6), 0))) * (60 * 60 * 24) / 60),
      0
    )
    - COUNTIF(BB55, ""&lt;&gt;-""),
  0), BB$6),
  BB$6 - COUNTIF(BB55, ""&lt;&gt;-"")
)"),2.0)</f>
        <v>2</v>
      </c>
      <c r="BD55" s="181" t="s">
        <v>1070</v>
      </c>
      <c r="BE55" s="178" t="b">
        <v>0</v>
      </c>
      <c r="BF55" s="180" t="b">
        <v>0</v>
      </c>
      <c r="BG55" s="180" t="b">
        <v>0</v>
      </c>
      <c r="BH55" s="180" t="b">
        <v>0</v>
      </c>
      <c r="BI55" s="180" t="b">
        <v>0</v>
      </c>
      <c r="BJ55" s="180" t="b">
        <v>0</v>
      </c>
      <c r="BK55" s="180" t="b">
        <v>0</v>
      </c>
      <c r="BL55" s="180" t="b">
        <v>0</v>
      </c>
      <c r="BM55" s="180" t="b">
        <v>0</v>
      </c>
      <c r="BN55" s="180" t="b">
        <v>0</v>
      </c>
      <c r="BO55" s="181" t="s">
        <v>1070</v>
      </c>
      <c r="BP55" s="181" t="s">
        <v>1070</v>
      </c>
      <c r="BQ55" s="181" t="s">
        <v>1070</v>
      </c>
      <c r="BR55" s="181" t="s">
        <v>1070</v>
      </c>
      <c r="BS55" s="181" t="s">
        <v>1070</v>
      </c>
      <c r="BT55" s="184">
        <f>IFERROR(__xludf.DUMMYFUNCTION("IF(
  ISNUMBER(BT54),
  MIN(MAX(
    BT54
    + MAX(
      ROUNDDOWN((D55 - MAX(IFERROR(FILTER(D$24:D54, BT$24:BT54 &lt;&gt; BS$6, BT$23:BT53 = BS$6), 0))) * (60 * 60 * 24) / BS$9) - ROUNDDOWN((D54 - MAX(IFERROR(FILTER(D$23:D53, BT$23:BT53 &lt;&gt; BS$6, BT$22:BT52 ="&amp;" BS$6), 0))) * (60 * 60 * 24) / BS$9),
      0
    )
    - COUNTIF(BS55, ""&lt;&gt;-""),
  0), BS$6),
  BS$6 - COUNTIF(BS55, ""&lt;&gt;-"")
)"),3.0)</f>
        <v>3</v>
      </c>
      <c r="BU55" s="181" t="s">
        <v>1070</v>
      </c>
      <c r="BV55" s="181" t="s">
        <v>1070</v>
      </c>
      <c r="BW55" s="184">
        <f>IFERROR(__xludf.DUMMYFUNCTION("IF(
  ISNUMBER(BW54),
  MIN(MAX(
    BW54
    + MAX(
      ROUNDDOWN((D55 - MAX(IFERROR(FILTER(D$24:D54, BW$24:BW54 &lt;&gt; BV$6, BW$23:BW53 = BV$6), 0))) * (60 * 60 * 24) / BV$9) - ROUNDDOWN((D54 - MAX(IFERROR(FILTER(D$23:D53, BW$23:BW53 &lt;&gt; BV$6, BW$22:BW52 ="&amp;" BV$6), 0))) * (60 * 60 * 24) / BV$9),
      0
    )
    - COUNTIF(BV55, ""&lt;&gt;-""),
  0), BV$6),
  BV$6 - COUNTIF(BV55, ""&lt;&gt;-"")
)"),2.0)</f>
        <v>2</v>
      </c>
      <c r="BX55" s="185" t="s">
        <v>1070</v>
      </c>
      <c r="BY55" s="178" t="b">
        <v>0</v>
      </c>
      <c r="BZ55" s="180" t="b">
        <v>0</v>
      </c>
      <c r="CA55" s="180" t="b">
        <v>0</v>
      </c>
      <c r="CB55" s="180" t="b">
        <v>0</v>
      </c>
      <c r="CC55" s="180" t="b">
        <v>0</v>
      </c>
      <c r="CD55" s="180" t="b">
        <v>0</v>
      </c>
      <c r="CE55" s="180" t="b">
        <v>0</v>
      </c>
      <c r="CF55" s="180" t="b">
        <v>0</v>
      </c>
      <c r="CG55" s="180" t="b">
        <v>0</v>
      </c>
      <c r="CH55" s="180" t="b">
        <v>0</v>
      </c>
      <c r="CI55" s="180" t="b">
        <v>0</v>
      </c>
      <c r="CJ55" s="180" t="b">
        <v>0</v>
      </c>
      <c r="CK55" s="180" t="b">
        <v>0</v>
      </c>
      <c r="CL55" s="180" t="b">
        <v>0</v>
      </c>
      <c r="CM55" s="181" t="s">
        <v>1070</v>
      </c>
      <c r="CN55" s="181" t="s">
        <v>1070</v>
      </c>
      <c r="CO55" s="181" t="s">
        <v>1070</v>
      </c>
      <c r="CP55" s="181" t="s">
        <v>1070</v>
      </c>
      <c r="CQ55" s="185" t="s">
        <v>1070</v>
      </c>
      <c r="CR55" s="180" t="b">
        <v>0</v>
      </c>
      <c r="CS55" s="186" t="str">
        <f t="shared" si="14"/>
        <v>◇◇◇</v>
      </c>
      <c r="CT55" s="178" t="b">
        <v>0</v>
      </c>
      <c r="CU55" s="180" t="b">
        <v>0</v>
      </c>
      <c r="CV55" s="180" t="b">
        <v>0</v>
      </c>
      <c r="CW55" s="180" t="b">
        <v>0</v>
      </c>
      <c r="CX55" s="180" t="b">
        <v>0</v>
      </c>
      <c r="CY55" s="180" t="b">
        <v>0</v>
      </c>
      <c r="CZ55" s="180" t="b">
        <v>0</v>
      </c>
      <c r="DA55" s="180" t="b">
        <v>0</v>
      </c>
      <c r="DB55" s="180" t="b">
        <v>0</v>
      </c>
      <c r="DC55" s="180" t="b">
        <v>0</v>
      </c>
      <c r="DD55" s="181" t="s">
        <v>1070</v>
      </c>
      <c r="DE55" s="181" t="s">
        <v>1070</v>
      </c>
      <c r="DF55" s="181" t="s">
        <v>1070</v>
      </c>
      <c r="DG55" s="185" t="s">
        <v>1070</v>
      </c>
      <c r="DH55" s="180" t="b">
        <v>0</v>
      </c>
      <c r="DI55" s="187" t="str">
        <f>IFERROR(__xludf.DUMMYFUNCTION("SWITCH(
  IF(
    ISTEXT(DI54),
    IF (
      FIND(""○"", DI54&amp;""○"") &gt; 3,
      3,
      FIND(""○"", DI54&amp;""○"")
      + MAX(
        ROUNDDOWN(($D55 - MAX(IFERROR(FILTER(D$24:D54, DI$24:DI54 &lt;&gt; ""●●●"", DI$23:DI53 = ""●●●""), 0))) * (60 * 60 * 24) / 20"&amp;") - ROUNDDOWN(($D54 - MAX(IFERROR(FILTER(D$23:D53, DI$23:DI53 &lt;&gt; ""●●●"", DI$22:DI52 = ""●●●""), 0))) * (60 * 60 * 24) / 20),
        0
      ) - 1
    ) - COUNTIFS(CU55, ""=TRUE"", CU54, ""&lt;&gt;TRUE"") - COUNTIF(CZ55, ""=TRUE"") - COUNTIF({DD55,DE55}, ""&lt;&gt;-"&amp;""") + COUNTIF(DH55, ""=TRUE""),
    3
  ),
  0, ""○○○"", 1, ""●○○"", 2, ""●●○"", 3, ""●●●"", 4, ""●●●"", ""○○○""
)"),"●●●")</f>
        <v>●●●</v>
      </c>
      <c r="DJ55" s="188" t="b">
        <v>0</v>
      </c>
      <c r="DK55" s="189" t="b">
        <v>0</v>
      </c>
      <c r="DL55" s="190" t="b">
        <v>0</v>
      </c>
      <c r="DM55" s="190" t="b">
        <v>0</v>
      </c>
      <c r="DN55" s="190" t="b">
        <v>0</v>
      </c>
      <c r="DO55" s="190" t="b">
        <v>0</v>
      </c>
      <c r="DP55" s="190" t="b">
        <v>0</v>
      </c>
      <c r="DQ55" s="191" t="b">
        <v>0</v>
      </c>
      <c r="DR55" s="192" t="b">
        <v>0</v>
      </c>
      <c r="DS55" s="191" t="b">
        <v>0</v>
      </c>
      <c r="DT55" s="192" t="b">
        <v>0</v>
      </c>
      <c r="DU55" s="191" t="b">
        <v>0</v>
      </c>
      <c r="DV55" s="193" t="s">
        <v>1070</v>
      </c>
      <c r="DW55" s="194" t="b">
        <v>0</v>
      </c>
      <c r="DX55" s="194" t="b">
        <v>0</v>
      </c>
      <c r="DY55" s="195" t="b">
        <v>0</v>
      </c>
      <c r="DZ55" s="196" t="b">
        <v>0</v>
      </c>
      <c r="EA55" s="195" t="b">
        <v>0</v>
      </c>
      <c r="EB55" s="197" t="b">
        <v>0</v>
      </c>
      <c r="EC55" s="197" t="b">
        <v>0</v>
      </c>
      <c r="ED55" s="212" t="b">
        <v>0</v>
      </c>
      <c r="EE55" s="199">
        <f>IFERROR(__xludf.DUMMYFUNCTION("IFERROR(
   PRODUCT(
     MAP(
       INDEX(TRANSPOSE(UNIQUE(TRANSPOSE(FILTER({IF($F55=""Physical"", K$10:ED$10, IF($F55=""Magic"", K$11:ED$11, K$12:ED$12));K$4:ED$4;K55:ED55}, K55:ED55=TRUE)))), 1, 0),
       INDEX(TRANSPOSE(UNIQUE(TRANSPOSE(FILTER({IF($"&amp;"F55=""Physical"", K$18:ED$18, IF($F55=""Magic"", K$19:ED$19, K$20:ED$20));K$4:ED$4;K55:ED55}, K55:ED55=TRUE)))), 1, 0),
       INDEX(TRANSPOSE(UNIQUE(TRANSPOSE(FILTER({K$5:ED$5;K$4:ED$4;K55:ED55}, K55:ED55=TRUE)))), 1, 0),
       INDEX(TRANSPOSE(UNIQUE(TR"&amp;"ANSPOSE(FILTER({K$17:ED$17;K$4:ED$4;K55:ED55}, K55:ED55=TRUE)))), 1, 0),
       LAMBDA(
         mitigation,
         enhance,
         assign,
         precondition,
         IF(
           REGEXMATCH(assign, ""RANGE_PARTY|SINGLE_ENEMY|RANGE_ENEMY""),
  "&amp;"         IF(
             OR(ARRAYFORMULA((IF(precondition="""", FALSE, REGEXMATCH(K$4:ED$4, precondition))) * (K55:ED55=TRUE))),
             IF(ISNUMBER(enhance), enhance, 1),
             IF(ISNUMBER(mitigation), mitigation, 1)
           ),
          "&amp;" 1
         )
       )
     )
   ),
   1
 )"),1.0)</f>
        <v>1</v>
      </c>
      <c r="EF55" s="200">
        <f>IFERROR(__xludf.DUMMYFUNCTION("PRODUCT(
   MAP(
     K$14:ED$14,
     K$13:ED$13,
     K55:ED55,
     LAMBDA(
       buff,
       target,
       check,
       IF(
         AND(check=TRUE, REGEXMATCH(target, ""RANGE_AFFECTED_ALL|RANGE_EFFECTED_ALL""), ISNUMBER(buff)),
         buff,
   "&amp;"      1
       )
     )
   )
 )"),1.0)</f>
        <v>1</v>
      </c>
      <c r="EG55" s="200">
        <f>IFERROR(__xludf.DUMMYFUNCTION("PRODUCT(
   MAP(
     K$14:ED$14,
     K$13:ED$13,
     K55:ED55,
     LAMBDA(
       buff,
       target,
       check,
       IF(
         AND(check=TRUE, REGEXMATCH(target, ""RANGE_AFFECTED_GCD|RANGE_EFFECTED_GCD""), ISNUMBER(buff)),
         buff,
   "&amp;"      1
       )
     )
   )
 )"),1.0)</f>
        <v>1</v>
      </c>
      <c r="EH55" s="200">
        <f>IFERROR(__xludf.DUMMYFUNCTION("PRODUCT(
   MAP(
     K$3:ED$3,
     K$14:ED$14,
     K$13:ED$13,
     K55:ED55,
     LAMBDA(
       job,
       buff,
       target,
       check,
       IF(
         AND(check=TRUE, REGEXMATCH(target, ""SELF_EFFECTED_ALL""), ISNUMBER(buff), job=""白魔道士"""&amp;"),
         buff,
         1
       )
     )
   )
 )"),1.0)</f>
        <v>1</v>
      </c>
      <c r="EI55" s="200">
        <f>IFERROR(__xludf.DUMMYFUNCTION("PRODUCT(
   MAP(
     K$3:ED$3,
     K$14:ED$14,
     K$13:ED$13,
     K55:ED55,
     LAMBDA(
       job,
       buff,
       target,
       check,
       IF(
         AND(check=TRUE, REGEXMATCH(target, ""SELF_EFFECTED_GCD""), ISNUMBER(buff), job=""白魔道士"""&amp;"),
         buff,
         1
       )
     )
   )
 )"),1.0)</f>
        <v>1</v>
      </c>
      <c r="EJ55" s="200">
        <f>IFERROR(__xludf.DUMMYFUNCTION("PRODUCT(
   MAP(
     K$3:ED$3,
     K$14:ED$14,
     K$13:ED$13,
     K55:ED55,
     LAMBDA(
       job,
       buff,
       target,
       check,
       IF(
         AND(check=TRUE, REGEXMATCH(target, ""SELF_EFFECTED_ALL""), ISNUMBER(buff), job=""占星術師"""&amp;"),
         buff,
         1
       )
     )
   )
 )"),1.0)</f>
        <v>1</v>
      </c>
      <c r="EK55" s="200">
        <f>IFERROR(__xludf.DUMMYFUNCTION("PRODUCT(
   MAP(
     K$3:ED$3,
     K$14:ED$14,
     K$13:ED$13,
     K55:ED55,
     LAMBDA(
       job,
       buff,
       target,
       check,
       IF(
         AND(check=TRUE, REGEXMATCH(target, ""SELF_EFFECTED_GCD""), ISNUMBER(buff), job=""占星術師"""&amp;"),
         buff,
         1
       )
     )
   )
 )"),1.0)</f>
        <v>1</v>
      </c>
      <c r="EL55" s="200">
        <f>IFERROR(__xludf.DUMMYFUNCTION("PRODUCT(
   MAP(
     K$3:ED$3,
     K$14:ED$14,
     K$13:ED$13,
     K55:ED55,
     LAMBDA(
       job,
       buff,
       target,
       check,
       IF(
         AND(check=TRUE, REGEXMATCH(target, ""SELF_EFFECTED_ALL""), ISNUMBER(buff), job=""学者""),"&amp;"
         buff,
         1
       )
     )
   )
 )"),1.0)</f>
        <v>1</v>
      </c>
      <c r="EM55" s="200">
        <f>IFERROR(__xludf.DUMMYFUNCTION("PRODUCT(
   MAP(
     K$3:ED$3,
     K$14:ED$14,
     K$13:ED$13,
     K55:ED55,
     LAMBDA(
       job,
       buff,
       target,
       check,
       IF(
         AND(check=TRUE, REGEXMATCH(target, ""SELF_EFFECTED_GCD""), ISNUMBER(buff), job=""学者""),"&amp;"
         buff,
         1
       )
     )
   )
 )"),1.0)</f>
        <v>1</v>
      </c>
      <c r="EN55" s="200">
        <f>IFERROR(__xludf.DUMMYFUNCTION("PRODUCT(
   MAP(
     K$3:ED$3,
     K$14:ED$14,
     K$13:ED$13,
     K55:ED55,
     LAMBDA(
       job,
       buff,
       target,
       check,
       IF(
         AND(check=TRUE, REGEXMATCH(target, ""SELF_EFFECTED_ALL""), ISNUMBER(buff), job=""賢者""),"&amp;"
         buff,
         1
       )
     )
   )
 )"),1.0)</f>
        <v>1</v>
      </c>
      <c r="EO55" s="200">
        <f>IFERROR(__xludf.DUMMYFUNCTION("PRODUCT(
   MAP(
     K$3:ED$3,
     K$14:ED$14,
     K$13:ED$13,
     K55:ED55,
     LAMBDA(
       job,
       buff,
       target,
       check,
       IF(
         AND(check=TRUE, REGEXMATCH(target, ""SELF_EFFECTED_GCD""), ISNUMBER(buff), job=""賢者""),"&amp;"
         buff,
         1
       )
     )
   )
 )"),1.0)</f>
        <v>1</v>
      </c>
      <c r="EP55" s="201">
        <f t="shared" si="3"/>
        <v>0</v>
      </c>
      <c r="EQ55" s="201">
        <f>IFERROR(__xludf.DUMMYFUNCTION("SUM(
   MAP(
     K$4:ED$4,
     K$3:ED$3,
     K$7:ED$7,
     K$15:ED$15,
     K$16:ED$16,
     K$21:ED$21,
     K$5:ED$5,
     K$17:ED$17,
     K55:ED55,
     LAMBDA(
       name,
       job,
       abillity,
       buff,
       barrier,
       enhance,"&amp;"
       assign,
       precondition,
       check,
       SWITCH(
         name,
         ""シェイクオフ"", IF(check=TRUE, buff + (0.02 * COUNTIF(ARRAYFORMULA((REGEXMATCH($K$4:$ED$4, ""スリル・オブ・バトル|ヴェンジェンス|原初の血気|ダムネーション"")) * (K55:ED55=TRUE)), 1)), 0),
         "&amp;"""インプロビゼーションフィニッシュ(踊りの激情0)"", IF(ISNUMBER(check), INDEX(Skill!$AJ:$AJ, MATCH(SUBSTITUTE(DV$4, 0, check), Skill!$C:$C, 0)), 0),
         IF(
           AND(check=TRUE, REGEXMATCH(assign, ""RANGE_PARTY"")),
           IF(
             OR(ARRAYFORMULA((IF(pr"&amp;"econdition="""", FALSE, REGEXMATCH($K$4:$ED$4, precondition))) * (K55:ED55=TRUE))),
             enhance,
             IF(barrier="""", buff, barrier)
           ),
           0
         )
       ) *
       SWITCH(
         job,
         ""ナイト"", EY$24,
 "&amp;"        ""戦士"", FD$24,
         ""踊り子"", ET$24,
         ""ピクトマンサー"", ET$24,
         ""白魔道士"", EF55 * EH55 * IF(abillity, 1, EG55 * EI55) * (Option!$D$22 * 0.81 / 100),
         ""占星術師"", EF55 * EJ55 * IF(abillity, 1, EG55 * EK55) * (Option!$D$23 * 0.81 "&amp;"/ 100),
         ""学者"", EF55 * EL55 * IF(abillity, 1, EG55 * EM55) * (Option!$D$24 * 0.81 / 100),
         ""賢者"", EF55 * EN55 * IF(abillity, 1, EG55 * EO55) * (Option!$D$25 * 0.81 / 100),
         1
       )
     )
   )
 )"),0.0)</f>
        <v>0</v>
      </c>
      <c r="ER55" s="202">
        <f t="shared" si="4"/>
        <v>0</v>
      </c>
      <c r="ES55" s="203">
        <f t="shared" si="5"/>
        <v>0</v>
      </c>
      <c r="ET55" s="231" t="str">
        <f>IFERROR(__xludf.DUMMYFUNCTION("IFS(
  EP55 &gt; $ET$24 + EQ55,
  SPARKLINE({ 1, 0 }, {""charttype"",""bar"";""max"", 1;""color1"",Option!$D$30;""color2"",Option!$D$30}),
  EP55 &lt; EQ55,
  SPARKLINE({EQ55 - EP55, $ET$24 - (EQ55 - EP55)}, {""charttype"",""bar"";""max"",$ET$24;""color1"",Opti"&amp;"on!$D$28;""color2"",Option!$D$29}),
  EP55 &gt;= EQ55,
  SPARKLINE({$ET$24 + EQ55 - EP55,EP55 - EQ55}, {""charttype"",""bar"";""max"",$ET$24;""color1"",Option!$D$29;""color2"",Option!$D$30})
)"),"")</f>
        <v/>
      </c>
      <c r="EU55" s="205">
        <f>IFERROR(__xludf.DUMMYFUNCTION("PRODUCT(
   MAP(
     IF($F55=""Physical"", K$10:ED$10, IF($F55=""Magic"", K$11:ED$11, K$12:ED$12)),
     IF($F55=""Physical"", K$18:ED$18, IF($F55=""Magic"", K$19:ED$19, K$20:ED$20)),
     K$3:ED$3,
     K$5:ED$5,
     K$17:ED$17,
     K55:ED55,
     LAM"&amp;"BDA(
       mitigation,
       enhance,
       job,
       assign,
       precondition,
       check,
       IF(
         OR(AND(check=TRUE, REGEXMATCH(assign, ""SELF""), job=""ナイト""), AND(check=Option!$E$13, REGEXMATCH(assign, ""SINGLE_PARTY""))),
      "&amp;"   IF(
           OR(ARRAYFORMULA((IF(precondition="""", FALSE, REGEXMATCH($K$4:$ED$4, precondition))) * (K55:ED55=TRUE))),
           enhance,
           mitigation
         ),
         1
       )
     )
   )
 ) * EE55"),1.0)</f>
        <v>1</v>
      </c>
      <c r="EV55" s="206">
        <f t="shared" si="6"/>
        <v>0</v>
      </c>
      <c r="EW55" s="205">
        <f>IFERROR(__xludf.DUMMYFUNCTION("PRODUCT(
   MAP(
     K$3:ED$3,
     K$14:ED$14,
     K$13:ED$13,
     K55:ED55,
     LAMBDA(
       job,
       buff,
       target,
       check,
       IF(
         OR(AND(check=TRUE, REGEXMATCH(target, ""SELF_AFFECTED_ALL""), job=""ナイト""), AND(check=O"&amp;"ption!$E$13, REGEXMATCH(target, ""SINGLE_AFFECTED_ALL""))),
         buff,
         1
       )
     )
   )
 )"),1.0)</f>
        <v>1</v>
      </c>
      <c r="EX55" s="206">
        <f>IFERROR(__xludf.DUMMYFUNCTION("SUM(
   MAP(
     K$3:ED$3,
     K$7:ED$7,
     K$15:ED$15,
     K$16:ED$16,
     K$21:ED$21,
     K$5:ED$5,
     K$17:ED$17,
     K55:ED55,
     LAMBDA(
       job,
       abillity,
       buff,
       barrier,
       enhance,
       assign,
       preco"&amp;"ndition,
       check,
       IF(
         OR(AND(check=TRUE, REGEXMATCH(assign, ""SELF""), job=""ナイト""), AND(check=Option!$E$13, REGEXMATCH(assign, ""SINGLE_PARTY""))),
         IF(
           OR(ARRAYFORMULA((IF(precondition="""", FALSE, REGEXMATCH($K$4"&amp;":$ED$4, precondition))) * (K55:ED55=TRUE))),
           enhance,
           IF(barrier="""", buff, barrier)
         ),
         0
       ) *
       SWITCH(
         job,
         ""暗黒騎士"", EY$24,
         ""白魔道士"", EF55 * EH55 * EW55 * IF(abillity, 1, EG"&amp;"55 * EI55) * (Option!$D$22 * 0.81 / 100),
         ""占星術師"", EF55 * EJ55 * EW55 * IF(abillity, 1, EG55 * EK55) * (Option!$D$23 * 0.81 / 100),
         ""学者"", EF55 * EL55 * EW55 * IF(abillity, 1, EG55 * EM55) * (Option!$D$24 * 0.81 / 100),
         ""賢者"""&amp;", EF55 * EN55 * EW55 * IF(abillity, 1, EG55 * EO55) * (Option!$D$25 * 0.81 / 100),
         1
       )
     )
   )
 ) + EQ55"),0.0)</f>
        <v>0</v>
      </c>
      <c r="EY55" s="232">
        <f t="shared" si="7"/>
        <v>0</v>
      </c>
      <c r="EZ55" s="205">
        <f>IFERROR(__xludf.DUMMYFUNCTION("PRODUCT(
   MAP(
     IF($F55=""Physical"", K$10:ED$10, IF($F55=""Magic"", K$11:ED$11, K$12:ED$12)),
     IF($F55=""Physical"", K$18:ED$18, IF($F55=""Magic"", K$19:ED$19, K$20:ED$20)),
     K$3:ED$3,
     K$5:ED$5,
     K$17:ED$17,
     K55:ED55,
     LAM"&amp;"BDA(
       mitigation,
       enhance,
       job,
       assign,
       precondition,
       check,
       IF(
         OR(AND(check=TRUE, REGEXMATCH(assign, ""SELF""), job=""戦士""), AND(check=Option!$F$13, REGEXMATCH(assign, ""SINGLE_PARTY""))),
       "&amp;"  IF(
           OR(ARRAYFORMULA((IF(precondition="""", FALSE, REGEXMATCH($K$4:$ED$4, precondition))) * (K55:ED55=TRUE))),
           enhance,
           mitigation
         ),
         1
       )
     )
   )
 ) * EE55"),1.0)</f>
        <v>1</v>
      </c>
      <c r="FA55" s="206">
        <f t="shared" si="8"/>
        <v>0</v>
      </c>
      <c r="FB55" s="205">
        <f>IFERROR(__xludf.DUMMYFUNCTION("PRODUCT(
   MAP(
     K$3:ED$3,
     K$14:ED$14,
     K$13:ED$13,
     K55:ED55,
     LAMBDA(
       job,
       buff,
       target,
       check,
       IF(
         OR(AND(check=TRUE, REGEXMATCH(target, ""SELF_AFFECTED_ALL""), job=""戦士""), AND(check=Op"&amp;"tion!$F$13, REGEXMATCH(target, ""SINGLE_AFFECTED_ALL""))),
         buff,
         1
       )
     )
   )
 )"),1.0)</f>
        <v>1</v>
      </c>
      <c r="FC55" s="206">
        <f>IFERROR(__xludf.DUMMYFUNCTION("SUM(
   MAP(
     K$3:ED$3,
     K$7:ED$7,
     K$15:ED$15,
     K$16:ED$16,
     K$21:ED$21,
     K$5:ED$5,
     K$17:ED$17,
     K55:ED55,
     LAMBDA(
       job,
       abillity,
       buff,
       barrier,
       enhance,
       assign,
       preco"&amp;"ndition,
       check,
       IF(
         OR(AND(check=TRUE, REGEXMATCH(assign, ""SELF""), job=""戦士""), AND(check=Option!$F$13, REGEXMATCH(assign, ""SINGLE_PARTY""))),
         IF(
           OR(ARRAYFORMULA((IF(precondition="""", FALSE, REGEXMATCH($K$4:"&amp;"$ED$4, precondition))) * (K55:ED55=TRUE))),
           enhance,
           IF(barrier="""", buff, barrier)
         ),
         0
       ) *
       SWITCH(
         job,
         ""暗黒騎士"", FD$24,
         ""白魔道士"", EF55 * EH55 * FB55 * IF(abillity, 1, EG5"&amp;"5 * EI55) * (Option!$D$22 * 0.81 / 100),
         ""占星術師"", EF55 * EJ55 * FFB55 * IF(abillity, 1, EG55 * EK55) * (Option!$D$23 * 0.81 / 100),
         ""学者"", EF55 * EL55 * FB55 * IF(abillity, 1, EG55 * EM55) * (Option!$D$24 * 0.81 / 100),
         ""賢者"""&amp;", EF55 * EN55 * FB55 * IF(abillity, 1, EG55 * EO55) * (Option!$D$25 * 0.81 / 100),
         1
       )
     )
   )
 ) + EQ55"),0.0)</f>
        <v>0</v>
      </c>
      <c r="FD55" s="206">
        <f t="shared" si="9"/>
        <v>0</v>
      </c>
      <c r="FE55" s="205">
        <f>IFERROR(__xludf.DUMMYFUNCTION("PRODUCT(
   MAP(
     IF($F55=""Physical"", K$10:ED$10, IF($F55=""Magic"", K$11:ED$11, K$12:ED$12)),
     IF($F55=""Physical"", K$18:ED$18, IF($F55=""Magic"", K$19:ED$19, K$20:ED$20)),
     K$3:ED$3,
     K$5:ED$5,
     K$17:ED$17,
     K55:ED55,
     LAM"&amp;"BDA(
       mitigation,
       enhance,
       job,
       assign,
       precondition,
       check,
       IF(
         OR(AND(check=TRUE, REGEXMATCH(assign, ""SELF""), job=""暗黒騎士""), AND(check=Option!$G$13, REGEXMATCH(assign, ""SINGLE_PARTY""))),
     "&amp;"    IF(
           OR(ARRAYFORMULA((IF(precondition="""", FALSE, REGEXMATCH($K$4:$ED$4, precondition))) * (K55:ED55=TRUE))),
           enhance,
           mitigation
         ),
         1
       )
     )
   )
 ) * EE55"),1.0)</f>
        <v>1</v>
      </c>
      <c r="FF55" s="206">
        <f t="shared" si="10"/>
        <v>0</v>
      </c>
      <c r="FG55" s="205">
        <f>IFERROR(__xludf.DUMMYFUNCTION("PRODUCT(
   MAP(
     K$3:ED$3,
     K$14:ED$14,
     K$13:ED$13,
     K55:ED55,
     LAMBDA(
       job,
       buff,
       target,
       check,
       IF(
         OR(AND(check=TRUE, REGEXMATCH(target, ""SELF_AFFECTED_ALL""), job=""暗黒騎士""), AND(check="&amp;"Option!$G$13, REGEXMATCH(target, ""SINGLE_AFFECTED_ALL""))),
         buff,
         1
       )
     )
   )
 )"),1.0)</f>
        <v>1</v>
      </c>
      <c r="FH55" s="206">
        <f>IFERROR(__xludf.DUMMYFUNCTION("SUM(
   MAP(
     K$3:ED$3,
     K$7:ED$7,
     K$15:ED$15,
     K$16:ED$16,
     K$21:ED$21,
     K$5:ED$5,
     K$17:ED$17,
     K55:ED55,
     LAMBDA(
       job,
       abillity,
       buff,
       barrier,
       enhance,
       assign,
       preco"&amp;"ndition,
       check,
       IF(
         OR(AND(check=TRUE, REGEXMATCH(assign, ""SELF""), job=""暗黒騎士""), AND(check=Option!$G$13, REGEXMATCH(assign, ""SINGLE_PARTY""))),
         IF(
           OR(ARRAYFORMULA((IF(precondition="""", FALSE, REGEXMATCH($K$"&amp;"4:$ED$4, precondition))) * (K55:ED55=TRUE))),
           enhance,
           IF(barrier="""", buff, barrier)
         ),
         0
       ) *
       SWITCH(
         job,
         ""暗黒騎士"", FI$24,
         ""白魔道士"", EF55 * EH55 * FG55 * IF(abillity, 1, E"&amp;"G55 * EI55) * (Option!$D$22 * 0.81 / 100),
         ""占星術師"", EF55 * EJ55 * FG55 * IF(abillity, 1, EG55 * EK55) * (Option!$D$23 * 0.81 / 100),
         ""学者"", EF55 * EL55 * FG55 * IF(abillity, 1, EG55 * EM55) * (Option!$D$24 * 0.81 / 100),
         ""賢者"&amp;""", EF55 * EN55 * FG55 * IF(abillity, 1, EG55 * EO55) * (Option!$D$25 * 0.81 / 100),
         1
       )
     )
   )
 ) + EQ55"),0.0)</f>
        <v>0</v>
      </c>
      <c r="FI55" s="206">
        <f t="shared" si="11"/>
        <v>0</v>
      </c>
      <c r="FJ55" s="205">
        <f>IFERROR(__xludf.DUMMYFUNCTION("PRODUCT(
   MAP(
     IF($F55=""Physical"", K$10:ED$10, IF($F55=""Magic"", K$11:ED$11, K$12:ED$12)),
     IF($F55=""Physical"", K$18:ED$18, IF($F55=""Magic"", K$19:ED$19, K$20:ED$20)),
     K$3:ED$3,
     K$5:ED$5,
     K$17:ED$17,
     K55:ED55,
     LAM"&amp;"BDA(
       mitigation,
       enhance,
       job,
       assign,
       precondition,
       check,
       IF(
         OR(AND(check=TRUE, REGEXMATCH(assign, ""SELF""), job=""ガンブレイカー""), AND(check=Option!$H$13, REGEXMATCH(assign, ""SINGLE_PARTY""))),
  "&amp;"       IF(
           OR(ARRAYFORMULA((IF(precondition="""", FALSE, REGEXMATCH($K$4:$ED$4, precondition))) * (K55:ED55=TRUE))),
           enhance,
           mitigation
         ),
         1
       )
     )
   )
 ) * EE55"),1.0)</f>
        <v>1</v>
      </c>
      <c r="FK55" s="206">
        <f t="shared" si="12"/>
        <v>0</v>
      </c>
      <c r="FL55" s="205">
        <f>IFERROR(__xludf.DUMMYFUNCTION("PRODUCT(
   MAP(
     K$3:ED$3,
     K$14:ED$14,
     K$13:ED$13,
     K55:ED55,
     LAMBDA(
       job,
       buff,
       target,
       check,
       IF(
         OR(AND(check=TRUE, REGEXMATCH(target, ""SELF_AFFECTED_ALL""), job=""ガンブレイカー""), AND(che"&amp;"ck=Option!$H$13, REGEXMATCH(target, ""SINGLE_AFFECTED_ALL""))),
         buff,
         1
       )
     )
   )
 )"),1.0)</f>
        <v>1</v>
      </c>
      <c r="FM55" s="206">
        <f>IFERROR(__xludf.DUMMYFUNCTION("SUM(
   MAP(
     K$3:ED$3,
     K$7:ED$7,
     K$15:ED$15,
     K$16:ED$16,
     K$21:ED$21,
     K$5:ED$5,
     K$17:ED$17,
     K55:ED55,
     LAMBDA(
       job,
       abillity,
       buff,
       barrier,
       enhance,
       assign,
       preco"&amp;"ndition,
       check,
       IF(
         OR(AND(check=TRUE, REGEXMATCH(assign, ""SELF""), job=""ガンブレイカー""), AND(check=Option!$H$13, REGEXMATCH(assign, ""SINGLE_PARTY""))),
         IF(
           OR(ARRAYFORMULA((IF(precondition="""", FALSE, REGEXMATCH("&amp;"$K$4:$ED$4, precondition))) * (K55:ED55=TRUE))),
           enhance,
           IF(barrier="""", buff, barrier)
         ),
         0
       ) *
       SWITCH(
         job,
         ""暗黒騎士"", FN$24,
         ""白魔道士"", EF55 * EH55 * FL55 * IF(abillity, 1"&amp;", EG55 * EI55) * (Option!$D$22 * 0.81 / 100),
         ""占星術師"", EF55 * EJ55 * FL55 * IF(abillity, 1, EG55 * EK55) * (Option!$D$23 * 0.81 / 100),
         ""学者"", EF55 * EL55 * FL55 * IF(abillity, 1, EG55 * EM55) * (Option!$D$24 * 0.81 / 100),
         """&amp;"賢者"", EF55 * EN55 * FL55 * IF(abillity, 1, EG55 * EO55) * (Option!$D$25 * 0.81 / 100),
         1
       )
     )
   )
 ) + EQ55"),0.0)</f>
        <v>0</v>
      </c>
      <c r="FN55" s="206">
        <f t="shared" si="13"/>
        <v>0</v>
      </c>
      <c r="FO55" s="213"/>
    </row>
    <row r="56">
      <c r="B56" s="229"/>
      <c r="C56" s="217"/>
      <c r="D56" s="236"/>
      <c r="E56" s="238"/>
      <c r="F56" s="167"/>
      <c r="G56" s="168" t="str">
        <f t="shared" si="2"/>
        <v/>
      </c>
      <c r="H56" s="169"/>
      <c r="I56" s="169"/>
      <c r="J56" s="169"/>
      <c r="K56" s="170" t="b">
        <v>0</v>
      </c>
      <c r="L56" s="170" t="b">
        <v>0</v>
      </c>
      <c r="M56" s="170" t="b">
        <v>0</v>
      </c>
      <c r="N56" s="171" t="s">
        <v>1070</v>
      </c>
      <c r="O56" s="172" t="b">
        <v>0</v>
      </c>
      <c r="P56" s="173" t="b">
        <v>0</v>
      </c>
      <c r="Q56" s="173" t="b">
        <v>0</v>
      </c>
      <c r="R56" s="173" t="b">
        <v>0</v>
      </c>
      <c r="S56" s="174" t="b">
        <v>0</v>
      </c>
      <c r="T56" s="175" t="b">
        <v>0</v>
      </c>
      <c r="U56" s="173" t="b">
        <v>0</v>
      </c>
      <c r="V56" s="171" t="s">
        <v>1070</v>
      </c>
      <c r="W56" s="172" t="b">
        <v>0</v>
      </c>
      <c r="X56" s="173" t="b">
        <v>0</v>
      </c>
      <c r="Y56" s="173" t="b">
        <v>0</v>
      </c>
      <c r="Z56" s="173" t="b">
        <v>0</v>
      </c>
      <c r="AA56" s="174" t="b">
        <v>0</v>
      </c>
      <c r="AB56" s="174" t="b">
        <v>0</v>
      </c>
      <c r="AC56" s="175" t="b">
        <v>0</v>
      </c>
      <c r="AD56" s="173" t="b">
        <v>0</v>
      </c>
      <c r="AE56" s="176" t="s">
        <v>1070</v>
      </c>
      <c r="AF56" s="171" t="s">
        <v>1070</v>
      </c>
      <c r="AG56" s="177">
        <f>IFERROR(__xludf.DUMMYFUNCTION("IF(
  ISNUMBER(AG55),
  MIN(MAX(
    AG55
    + MAX(
      ROUNDDOWN(($D56 - MAX(IFERROR(FILTER($D$24:$D55, AG$24:AG55 &lt;&gt; AF$6, AG$23:AG54 = AF$6), 0))) * (60 * 60 * 24) / AF$9) - ROUNDDOWN(($D55 - MAX(IFERROR(FILTER($D$23:$D54, AG$23:AG54 &lt;&gt; AF$6, AG$22:"&amp;"AG53 = AF$6), 0))) * (60 * 60 * 24) / 60),
      0
    )
    - COUNTIF(AF56, ""&lt;&gt;-""),
  0), AF$6),
  AF$6 - COUNTIF(AF56, ""&lt;&gt;-"")
)"),2.0)</f>
        <v>2</v>
      </c>
      <c r="AH56" s="173" t="b">
        <v>0</v>
      </c>
      <c r="AI56" s="173" t="b">
        <v>0</v>
      </c>
      <c r="AJ56" s="173" t="b">
        <v>0</v>
      </c>
      <c r="AK56" s="174" t="b">
        <v>0</v>
      </c>
      <c r="AL56" s="175" t="b">
        <v>0</v>
      </c>
      <c r="AM56" s="239" t="b">
        <v>0</v>
      </c>
      <c r="AN56" s="171" t="s">
        <v>1070</v>
      </c>
      <c r="AO56" s="173" t="b">
        <v>0</v>
      </c>
      <c r="AP56" s="173" t="b">
        <v>0</v>
      </c>
      <c r="AQ56" s="173" t="b">
        <v>0</v>
      </c>
      <c r="AR56" s="174" t="b">
        <v>0</v>
      </c>
      <c r="AS56" s="178" t="b">
        <v>0</v>
      </c>
      <c r="AT56" s="179" t="b">
        <v>0</v>
      </c>
      <c r="AU56" s="180" t="b">
        <v>0</v>
      </c>
      <c r="AV56" s="180" t="b">
        <v>0</v>
      </c>
      <c r="AW56" s="180" t="b">
        <v>0</v>
      </c>
      <c r="AX56" s="180" t="b">
        <v>0</v>
      </c>
      <c r="AY56" s="181" t="s">
        <v>1070</v>
      </c>
      <c r="AZ56" s="181" t="s">
        <v>1070</v>
      </c>
      <c r="BA56" s="184">
        <f>IFERROR(__xludf.DUMMYFUNCTION("IF(
  ISNUMBER(BA55),
  MIN(MAX(
    BA55
    + MAX(
      ROUNDDOWN((D56 - MAX(IFERROR(FILTER(D$24:D55, BA$24:BA55 &lt;&gt; AZ$6, BA$23:BA54 = AZ$6), 0))) * (60 * 60 * 24) / AZ$9) - ROUNDDOWN((D55 - MAX(IFERROR(FILTER(D$23:D54, BA$23:BA54 &lt;&gt; AZ$6, BA$22:BA53 ="&amp;" AZ$6), 0))) * (60 * 60 * 24) / AZ$9),
      0
    )
    - COUNTIF(AZ56, ""&lt;&gt;-""),
  0), AZ$6),
  AZ$6 - COUNTIF(AZ56, ""&lt;&gt;-"")
)"),2.0)</f>
        <v>2</v>
      </c>
      <c r="BB56" s="181" t="s">
        <v>1070</v>
      </c>
      <c r="BC56" s="183">
        <f>IFERROR(__xludf.DUMMYFUNCTION("IF(
  ISNUMBER(BC55),
  MIN(MAX(
    BC55
    + MAX(
      ROUNDDOWN(($D56 - MAX(IFERROR(FILTER($D$24:$D55, BC$24:BC55 &lt;&gt; BB$6, BC$23:BC54 = BB$6), 0))) * (60 * 60 * 24) / BB$9) - ROUNDDOWN(($D55 - MAX(IFERROR(FILTER($D$23:$D54, BC$23:BC54 &lt;&gt; BB$6, BC$22:"&amp;"BC53 = BB$6), 0))) * (60 * 60 * 24) / 60),
      0
    )
    - COUNTIF(BB56, ""&lt;&gt;-""),
  0), BB$6),
  BB$6 - COUNTIF(BB56, ""&lt;&gt;-"")
)"),2.0)</f>
        <v>2</v>
      </c>
      <c r="BD56" s="181" t="s">
        <v>1070</v>
      </c>
      <c r="BE56" s="178" t="b">
        <v>0</v>
      </c>
      <c r="BF56" s="180" t="b">
        <v>0</v>
      </c>
      <c r="BG56" s="180" t="b">
        <v>0</v>
      </c>
      <c r="BH56" s="180" t="b">
        <v>0</v>
      </c>
      <c r="BI56" s="180" t="b">
        <v>0</v>
      </c>
      <c r="BJ56" s="180" t="b">
        <v>0</v>
      </c>
      <c r="BK56" s="180" t="b">
        <v>0</v>
      </c>
      <c r="BL56" s="180" t="b">
        <v>0</v>
      </c>
      <c r="BM56" s="180" t="b">
        <v>0</v>
      </c>
      <c r="BN56" s="180" t="b">
        <v>0</v>
      </c>
      <c r="BO56" s="181" t="s">
        <v>1070</v>
      </c>
      <c r="BP56" s="181" t="s">
        <v>1070</v>
      </c>
      <c r="BQ56" s="181" t="s">
        <v>1070</v>
      </c>
      <c r="BR56" s="181" t="s">
        <v>1070</v>
      </c>
      <c r="BS56" s="181" t="s">
        <v>1070</v>
      </c>
      <c r="BT56" s="184">
        <f>IFERROR(__xludf.DUMMYFUNCTION("IF(
  ISNUMBER(BT55),
  MIN(MAX(
    BT55
    + MAX(
      ROUNDDOWN((D56 - MAX(IFERROR(FILTER(D$24:D55, BT$24:BT55 &lt;&gt; BS$6, BT$23:BT54 = BS$6), 0))) * (60 * 60 * 24) / BS$9) - ROUNDDOWN((D55 - MAX(IFERROR(FILTER(D$23:D54, BT$23:BT54 &lt;&gt; BS$6, BT$22:BT53 ="&amp;" BS$6), 0))) * (60 * 60 * 24) / BS$9),
      0
    )
    - COUNTIF(BS56, ""&lt;&gt;-""),
  0), BS$6),
  BS$6 - COUNTIF(BS56, ""&lt;&gt;-"")
)"),3.0)</f>
        <v>3</v>
      </c>
      <c r="BU56" s="181" t="s">
        <v>1070</v>
      </c>
      <c r="BV56" s="181" t="s">
        <v>1070</v>
      </c>
      <c r="BW56" s="184">
        <f>IFERROR(__xludf.DUMMYFUNCTION("IF(
  ISNUMBER(BW55),
  MIN(MAX(
    BW55
    + MAX(
      ROUNDDOWN((D56 - MAX(IFERROR(FILTER(D$24:D55, BW$24:BW55 &lt;&gt; BV$6, BW$23:BW54 = BV$6), 0))) * (60 * 60 * 24) / BV$9) - ROUNDDOWN((D55 - MAX(IFERROR(FILTER(D$23:D54, BW$23:BW54 &lt;&gt; BV$6, BW$22:BW53 ="&amp;" BV$6), 0))) * (60 * 60 * 24) / BV$9),
      0
    )
    - COUNTIF(BV56, ""&lt;&gt;-""),
  0), BV$6),
  BV$6 - COUNTIF(BV56, ""&lt;&gt;-"")
)"),2.0)</f>
        <v>2</v>
      </c>
      <c r="BX56" s="185" t="s">
        <v>1070</v>
      </c>
      <c r="BY56" s="178" t="b">
        <v>0</v>
      </c>
      <c r="BZ56" s="180" t="b">
        <v>0</v>
      </c>
      <c r="CA56" s="180" t="b">
        <v>0</v>
      </c>
      <c r="CB56" s="180" t="b">
        <v>0</v>
      </c>
      <c r="CC56" s="180" t="b">
        <v>0</v>
      </c>
      <c r="CD56" s="180" t="b">
        <v>0</v>
      </c>
      <c r="CE56" s="180" t="b">
        <v>0</v>
      </c>
      <c r="CF56" s="180" t="b">
        <v>0</v>
      </c>
      <c r="CG56" s="180" t="b">
        <v>0</v>
      </c>
      <c r="CH56" s="180" t="b">
        <v>0</v>
      </c>
      <c r="CI56" s="180" t="b">
        <v>0</v>
      </c>
      <c r="CJ56" s="180" t="b">
        <v>0</v>
      </c>
      <c r="CK56" s="180" t="b">
        <v>0</v>
      </c>
      <c r="CL56" s="180" t="b">
        <v>0</v>
      </c>
      <c r="CM56" s="181" t="s">
        <v>1070</v>
      </c>
      <c r="CN56" s="181" t="s">
        <v>1070</v>
      </c>
      <c r="CO56" s="181" t="s">
        <v>1070</v>
      </c>
      <c r="CP56" s="181" t="s">
        <v>1070</v>
      </c>
      <c r="CQ56" s="185" t="s">
        <v>1070</v>
      </c>
      <c r="CR56" s="180" t="b">
        <v>0</v>
      </c>
      <c r="CS56" s="186" t="str">
        <f t="shared" si="14"/>
        <v>◇◇◇</v>
      </c>
      <c r="CT56" s="178" t="b">
        <v>0</v>
      </c>
      <c r="CU56" s="180" t="b">
        <v>0</v>
      </c>
      <c r="CV56" s="180" t="b">
        <v>0</v>
      </c>
      <c r="CW56" s="180" t="b">
        <v>0</v>
      </c>
      <c r="CX56" s="180" t="b">
        <v>0</v>
      </c>
      <c r="CY56" s="180" t="b">
        <v>0</v>
      </c>
      <c r="CZ56" s="180" t="b">
        <v>0</v>
      </c>
      <c r="DA56" s="180" t="b">
        <v>0</v>
      </c>
      <c r="DB56" s="180" t="b">
        <v>0</v>
      </c>
      <c r="DC56" s="180" t="b">
        <v>0</v>
      </c>
      <c r="DD56" s="181" t="s">
        <v>1070</v>
      </c>
      <c r="DE56" s="181" t="s">
        <v>1070</v>
      </c>
      <c r="DF56" s="181" t="s">
        <v>1070</v>
      </c>
      <c r="DG56" s="185" t="s">
        <v>1070</v>
      </c>
      <c r="DH56" s="180" t="b">
        <v>0</v>
      </c>
      <c r="DI56" s="187" t="str">
        <f>IFERROR(__xludf.DUMMYFUNCTION("SWITCH(
  IF(
    ISTEXT(DI55),
    IF (
      FIND(""○"", DI55&amp;""○"") &gt; 3,
      3,
      FIND(""○"", DI55&amp;""○"")
      + MAX(
        ROUNDDOWN(($D56 - MAX(IFERROR(FILTER(D$24:D55, DI$24:DI55 &lt;&gt; ""●●●"", DI$23:DI54 = ""●●●""), 0))) * (60 * 60 * 24) / 20"&amp;") - ROUNDDOWN(($D55 - MAX(IFERROR(FILTER(D$23:D54, DI$23:DI54 &lt;&gt; ""●●●"", DI$22:DI53 = ""●●●""), 0))) * (60 * 60 * 24) / 20),
        0
      ) - 1
    ) - COUNTIFS(CU56, ""=TRUE"", CU55, ""&lt;&gt;TRUE"") - COUNTIF(CZ56, ""=TRUE"") - COUNTIF({DD56,DE56}, ""&lt;&gt;-"&amp;""") + COUNTIF(DH56, ""=TRUE""),
    3
  ),
  0, ""○○○"", 1, ""●○○"", 2, ""●●○"", 3, ""●●●"", 4, ""●●●"", ""○○○""
)"),"●●●")</f>
        <v>●●●</v>
      </c>
      <c r="DJ56" s="188" t="b">
        <v>0</v>
      </c>
      <c r="DK56" s="189" t="b">
        <v>0</v>
      </c>
      <c r="DL56" s="190" t="b">
        <v>0</v>
      </c>
      <c r="DM56" s="190" t="b">
        <v>0</v>
      </c>
      <c r="DN56" s="190" t="b">
        <v>0</v>
      </c>
      <c r="DO56" s="190" t="b">
        <v>0</v>
      </c>
      <c r="DP56" s="190" t="b">
        <v>0</v>
      </c>
      <c r="DQ56" s="191" t="b">
        <v>0</v>
      </c>
      <c r="DR56" s="192" t="b">
        <v>0</v>
      </c>
      <c r="DS56" s="191" t="b">
        <v>0</v>
      </c>
      <c r="DT56" s="192" t="b">
        <v>0</v>
      </c>
      <c r="DU56" s="191" t="b">
        <v>0</v>
      </c>
      <c r="DV56" s="193" t="s">
        <v>1070</v>
      </c>
      <c r="DW56" s="194" t="b">
        <v>0</v>
      </c>
      <c r="DX56" s="194" t="b">
        <v>0</v>
      </c>
      <c r="DY56" s="195" t="b">
        <v>0</v>
      </c>
      <c r="DZ56" s="196" t="b">
        <v>0</v>
      </c>
      <c r="EA56" s="195" t="b">
        <v>0</v>
      </c>
      <c r="EB56" s="197" t="b">
        <v>0</v>
      </c>
      <c r="EC56" s="197" t="b">
        <v>0</v>
      </c>
      <c r="ED56" s="212" t="b">
        <v>0</v>
      </c>
      <c r="EE56" s="199">
        <f>IFERROR(__xludf.DUMMYFUNCTION("IFERROR(
   PRODUCT(
     MAP(
       INDEX(TRANSPOSE(UNIQUE(TRANSPOSE(FILTER({IF($F56=""Physical"", K$10:ED$10, IF($F56=""Magic"", K$11:ED$11, K$12:ED$12));K$4:ED$4;K56:ED56}, K56:ED56=TRUE)))), 1, 0),
       INDEX(TRANSPOSE(UNIQUE(TRANSPOSE(FILTER({IF($"&amp;"F56=""Physical"", K$18:ED$18, IF($F56=""Magic"", K$19:ED$19, K$20:ED$20));K$4:ED$4;K56:ED56}, K56:ED56=TRUE)))), 1, 0),
       INDEX(TRANSPOSE(UNIQUE(TRANSPOSE(FILTER({K$5:ED$5;K$4:ED$4;K56:ED56}, K56:ED56=TRUE)))), 1, 0),
       INDEX(TRANSPOSE(UNIQUE(TR"&amp;"ANSPOSE(FILTER({K$17:ED$17;K$4:ED$4;K56:ED56}, K56:ED56=TRUE)))), 1, 0),
       LAMBDA(
         mitigation,
         enhance,
         assign,
         precondition,
         IF(
           REGEXMATCH(assign, ""RANGE_PARTY|SINGLE_ENEMY|RANGE_ENEMY""),
  "&amp;"         IF(
             OR(ARRAYFORMULA((IF(precondition="""", FALSE, REGEXMATCH(K$4:ED$4, precondition))) * (K56:ED56=TRUE))),
             IF(ISNUMBER(enhance), enhance, 1),
             IF(ISNUMBER(mitigation), mitigation, 1)
           ),
          "&amp;" 1
         )
       )
     )
   ),
   1
 )"),1.0)</f>
        <v>1</v>
      </c>
      <c r="EF56" s="200">
        <f>IFERROR(__xludf.DUMMYFUNCTION("PRODUCT(
   MAP(
     K$14:ED$14,
     K$13:ED$13,
     K56:ED56,
     LAMBDA(
       buff,
       target,
       check,
       IF(
         AND(check=TRUE, REGEXMATCH(target, ""RANGE_AFFECTED_ALL|RANGE_EFFECTED_ALL""), ISNUMBER(buff)),
         buff,
   "&amp;"      1
       )
     )
   )
 )"),1.0)</f>
        <v>1</v>
      </c>
      <c r="EG56" s="200">
        <f>IFERROR(__xludf.DUMMYFUNCTION("PRODUCT(
   MAP(
     K$14:ED$14,
     K$13:ED$13,
     K56:ED56,
     LAMBDA(
       buff,
       target,
       check,
       IF(
         AND(check=TRUE, REGEXMATCH(target, ""RANGE_AFFECTED_GCD|RANGE_EFFECTED_GCD""), ISNUMBER(buff)),
         buff,
   "&amp;"      1
       )
     )
   )
 )"),1.0)</f>
        <v>1</v>
      </c>
      <c r="EH56" s="200">
        <f>IFERROR(__xludf.DUMMYFUNCTION("PRODUCT(
   MAP(
     K$3:ED$3,
     K$14:ED$14,
     K$13:ED$13,
     K56:ED56,
     LAMBDA(
       job,
       buff,
       target,
       check,
       IF(
         AND(check=TRUE, REGEXMATCH(target, ""SELF_EFFECTED_ALL""), ISNUMBER(buff), job=""白魔道士"""&amp;"),
         buff,
         1
       )
     )
   )
 )"),1.0)</f>
        <v>1</v>
      </c>
      <c r="EI56" s="200">
        <f>IFERROR(__xludf.DUMMYFUNCTION("PRODUCT(
   MAP(
     K$3:ED$3,
     K$14:ED$14,
     K$13:ED$13,
     K56:ED56,
     LAMBDA(
       job,
       buff,
       target,
       check,
       IF(
         AND(check=TRUE, REGEXMATCH(target, ""SELF_EFFECTED_GCD""), ISNUMBER(buff), job=""白魔道士"""&amp;"),
         buff,
         1
       )
     )
   )
 )"),1.0)</f>
        <v>1</v>
      </c>
      <c r="EJ56" s="200">
        <f>IFERROR(__xludf.DUMMYFUNCTION("PRODUCT(
   MAP(
     K$3:ED$3,
     K$14:ED$14,
     K$13:ED$13,
     K56:ED56,
     LAMBDA(
       job,
       buff,
       target,
       check,
       IF(
         AND(check=TRUE, REGEXMATCH(target, ""SELF_EFFECTED_ALL""), ISNUMBER(buff), job=""占星術師"""&amp;"),
         buff,
         1
       )
     )
   )
 )"),1.0)</f>
        <v>1</v>
      </c>
      <c r="EK56" s="200">
        <f>IFERROR(__xludf.DUMMYFUNCTION("PRODUCT(
   MAP(
     K$3:ED$3,
     K$14:ED$14,
     K$13:ED$13,
     K56:ED56,
     LAMBDA(
       job,
       buff,
       target,
       check,
       IF(
         AND(check=TRUE, REGEXMATCH(target, ""SELF_EFFECTED_GCD""), ISNUMBER(buff), job=""占星術師"""&amp;"),
         buff,
         1
       )
     )
   )
 )"),1.0)</f>
        <v>1</v>
      </c>
      <c r="EL56" s="200">
        <f>IFERROR(__xludf.DUMMYFUNCTION("PRODUCT(
   MAP(
     K$3:ED$3,
     K$14:ED$14,
     K$13:ED$13,
     K56:ED56,
     LAMBDA(
       job,
       buff,
       target,
       check,
       IF(
         AND(check=TRUE, REGEXMATCH(target, ""SELF_EFFECTED_ALL""), ISNUMBER(buff), job=""学者""),"&amp;"
         buff,
         1
       )
     )
   )
 )"),1.0)</f>
        <v>1</v>
      </c>
      <c r="EM56" s="200">
        <f>IFERROR(__xludf.DUMMYFUNCTION("PRODUCT(
   MAP(
     K$3:ED$3,
     K$14:ED$14,
     K$13:ED$13,
     K56:ED56,
     LAMBDA(
       job,
       buff,
       target,
       check,
       IF(
         AND(check=TRUE, REGEXMATCH(target, ""SELF_EFFECTED_GCD""), ISNUMBER(buff), job=""学者""),"&amp;"
         buff,
         1
       )
     )
   )
 )"),1.0)</f>
        <v>1</v>
      </c>
      <c r="EN56" s="200">
        <f>IFERROR(__xludf.DUMMYFUNCTION("PRODUCT(
   MAP(
     K$3:ED$3,
     K$14:ED$14,
     K$13:ED$13,
     K56:ED56,
     LAMBDA(
       job,
       buff,
       target,
       check,
       IF(
         AND(check=TRUE, REGEXMATCH(target, ""SELF_EFFECTED_ALL""), ISNUMBER(buff), job=""賢者""),"&amp;"
         buff,
         1
       )
     )
   )
 )"),1.0)</f>
        <v>1</v>
      </c>
      <c r="EO56" s="200">
        <f>IFERROR(__xludf.DUMMYFUNCTION("PRODUCT(
   MAP(
     K$3:ED$3,
     K$14:ED$14,
     K$13:ED$13,
     K56:ED56,
     LAMBDA(
       job,
       buff,
       target,
       check,
       IF(
         AND(check=TRUE, REGEXMATCH(target, ""SELF_EFFECTED_GCD""), ISNUMBER(buff), job=""賢者""),"&amp;"
         buff,
         1
       )
     )
   )
 )"),1.0)</f>
        <v>1</v>
      </c>
      <c r="EP56" s="201">
        <f t="shared" si="3"/>
        <v>0</v>
      </c>
      <c r="EQ56" s="201">
        <f>IFERROR(__xludf.DUMMYFUNCTION("SUM(
   MAP(
     K$4:ED$4,
     K$3:ED$3,
     K$7:ED$7,
     K$15:ED$15,
     K$16:ED$16,
     K$21:ED$21,
     K$5:ED$5,
     K$17:ED$17,
     K56:ED56,
     LAMBDA(
       name,
       job,
       abillity,
       buff,
       barrier,
       enhance,"&amp;"
       assign,
       precondition,
       check,
       SWITCH(
         name,
         ""シェイクオフ"", IF(check=TRUE, buff + (0.02 * COUNTIF(ARRAYFORMULA((REGEXMATCH($K$4:$ED$4, ""スリル・オブ・バトル|ヴェンジェンス|原初の血気|ダムネーション"")) * (K56:ED56=TRUE)), 1)), 0),
         "&amp;"""インプロビゼーションフィニッシュ(踊りの激情0)"", IF(ISNUMBER(check), INDEX(Skill!$AJ:$AJ, MATCH(SUBSTITUTE(DV$4, 0, check), Skill!$C:$C, 0)), 0),
         IF(
           AND(check=TRUE, REGEXMATCH(assign, ""RANGE_PARTY"")),
           IF(
             OR(ARRAYFORMULA((IF(pr"&amp;"econdition="""", FALSE, REGEXMATCH($K$4:$ED$4, precondition))) * (K56:ED56=TRUE))),
             enhance,
             IF(barrier="""", buff, barrier)
           ),
           0
         )
       ) *
       SWITCH(
         job,
         ""ナイト"", EY$24,
 "&amp;"        ""戦士"", FD$24,
         ""踊り子"", ET$24,
         ""ピクトマンサー"", ET$24,
         ""白魔道士"", EF56 * EH56 * IF(abillity, 1, EG56 * EI56) * (Option!$D$22 * 0.81 / 100),
         ""占星術師"", EF56 * EJ56 * IF(abillity, 1, EG56 * EK56) * (Option!$D$23 * 0.81 "&amp;"/ 100),
         ""学者"", EF56 * EL56 * IF(abillity, 1, EG56 * EM56) * (Option!$D$24 * 0.81 / 100),
         ""賢者"", EF56 * EN56 * IF(abillity, 1, EG56 * EO56) * (Option!$D$25 * 0.81 / 100),
         1
       )
     )
   )
 )"),0.0)</f>
        <v>0</v>
      </c>
      <c r="ER56" s="202">
        <f t="shared" si="4"/>
        <v>0</v>
      </c>
      <c r="ES56" s="203">
        <f t="shared" si="5"/>
        <v>0</v>
      </c>
      <c r="ET56" s="231" t="str">
        <f>IFERROR(__xludf.DUMMYFUNCTION("IFS(
  EP56 &gt; $ET$24 + EQ56,
  SPARKLINE({ 1, 0 }, {""charttype"",""bar"";""max"", 1;""color1"",Option!$D$30;""color2"",Option!$D$30}),
  EP56 &lt; EQ56,
  SPARKLINE({EQ56 - EP56, $ET$24 - (EQ56 - EP56)}, {""charttype"",""bar"";""max"",$ET$24;""color1"",Opti"&amp;"on!$D$28;""color2"",Option!$D$29}),
  EP56 &gt;= EQ56,
  SPARKLINE({$ET$24 + EQ56 - EP56,EP56 - EQ56}, {""charttype"",""bar"";""max"",$ET$24;""color1"",Option!$D$29;""color2"",Option!$D$30})
)"),"")</f>
        <v/>
      </c>
      <c r="EU56" s="205">
        <f>IFERROR(__xludf.DUMMYFUNCTION("PRODUCT(
   MAP(
     IF($F56=""Physical"", K$10:ED$10, IF($F56=""Magic"", K$11:ED$11, K$12:ED$12)),
     IF($F56=""Physical"", K$18:ED$18, IF($F56=""Magic"", K$19:ED$19, K$20:ED$20)),
     K$3:ED$3,
     K$5:ED$5,
     K$17:ED$17,
     K56:ED56,
     LAM"&amp;"BDA(
       mitigation,
       enhance,
       job,
       assign,
       precondition,
       check,
       IF(
         OR(AND(check=TRUE, REGEXMATCH(assign, ""SELF""), job=""ナイト""), AND(check=Option!$E$13, REGEXMATCH(assign, ""SINGLE_PARTY""))),
      "&amp;"   IF(
           OR(ARRAYFORMULA((IF(precondition="""", FALSE, REGEXMATCH($K$4:$ED$4, precondition))) * (K56:ED56=TRUE))),
           enhance,
           mitigation
         ),
         1
       )
     )
   )
 ) * EE56"),1.0)</f>
        <v>1</v>
      </c>
      <c r="EV56" s="206">
        <f t="shared" si="6"/>
        <v>0</v>
      </c>
      <c r="EW56" s="205">
        <f>IFERROR(__xludf.DUMMYFUNCTION("PRODUCT(
   MAP(
     K$3:ED$3,
     K$14:ED$14,
     K$13:ED$13,
     K56:ED56,
     LAMBDA(
       job,
       buff,
       target,
       check,
       IF(
         OR(AND(check=TRUE, REGEXMATCH(target, ""SELF_AFFECTED_ALL""), job=""ナイト""), AND(check=O"&amp;"ption!$E$13, REGEXMATCH(target, ""SINGLE_AFFECTED_ALL""))),
         buff,
         1
       )
     )
   )
 )"),1.0)</f>
        <v>1</v>
      </c>
      <c r="EX56" s="206">
        <f>IFERROR(__xludf.DUMMYFUNCTION("SUM(
   MAP(
     K$3:ED$3,
     K$7:ED$7,
     K$15:ED$15,
     K$16:ED$16,
     K$21:ED$21,
     K$5:ED$5,
     K$17:ED$17,
     K56:ED56,
     LAMBDA(
       job,
       abillity,
       buff,
       barrier,
       enhance,
       assign,
       preco"&amp;"ndition,
       check,
       IF(
         OR(AND(check=TRUE, REGEXMATCH(assign, ""SELF""), job=""ナイト""), AND(check=Option!$E$13, REGEXMATCH(assign, ""SINGLE_PARTY""))),
         IF(
           OR(ARRAYFORMULA((IF(precondition="""", FALSE, REGEXMATCH($K$4"&amp;":$ED$4, precondition))) * (K56:ED56=TRUE))),
           enhance,
           IF(barrier="""", buff, barrier)
         ),
         0
       ) *
       SWITCH(
         job,
         ""暗黒騎士"", EY$24,
         ""白魔道士"", EF56 * EH56 * EW56 * IF(abillity, 1, EG"&amp;"56 * EI56) * (Option!$D$22 * 0.81 / 100),
         ""占星術師"", EF56 * EJ56 * EW56 * IF(abillity, 1, EG56 * EK56) * (Option!$D$23 * 0.81 / 100),
         ""学者"", EF56 * EL56 * EW56 * IF(abillity, 1, EG56 * EM56) * (Option!$D$24 * 0.81 / 100),
         ""賢者"""&amp;", EF56 * EN56 * EW56 * IF(abillity, 1, EG56 * EO56) * (Option!$D$25 * 0.81 / 100),
         1
       )
     )
   )
 ) + EQ56"),0.0)</f>
        <v>0</v>
      </c>
      <c r="EY56" s="232">
        <f t="shared" si="7"/>
        <v>0</v>
      </c>
      <c r="EZ56" s="205">
        <f>IFERROR(__xludf.DUMMYFUNCTION("PRODUCT(
   MAP(
     IF($F56=""Physical"", K$10:ED$10, IF($F56=""Magic"", K$11:ED$11, K$12:ED$12)),
     IF($F56=""Physical"", K$18:ED$18, IF($F56=""Magic"", K$19:ED$19, K$20:ED$20)),
     K$3:ED$3,
     K$5:ED$5,
     K$17:ED$17,
     K56:ED56,
     LAM"&amp;"BDA(
       mitigation,
       enhance,
       job,
       assign,
       precondition,
       check,
       IF(
         OR(AND(check=TRUE, REGEXMATCH(assign, ""SELF""), job=""戦士""), AND(check=Option!$F$13, REGEXMATCH(assign, ""SINGLE_PARTY""))),
       "&amp;"  IF(
           OR(ARRAYFORMULA((IF(precondition="""", FALSE, REGEXMATCH($K$4:$ED$4, precondition))) * (K56:ED56=TRUE))),
           enhance,
           mitigation
         ),
         1
       )
     )
   )
 ) * EE56"),1.0)</f>
        <v>1</v>
      </c>
      <c r="FA56" s="206">
        <f t="shared" si="8"/>
        <v>0</v>
      </c>
      <c r="FB56" s="205">
        <f>IFERROR(__xludf.DUMMYFUNCTION("PRODUCT(
   MAP(
     K$3:ED$3,
     K$14:ED$14,
     K$13:ED$13,
     K56:ED56,
     LAMBDA(
       job,
       buff,
       target,
       check,
       IF(
         OR(AND(check=TRUE, REGEXMATCH(target, ""SELF_AFFECTED_ALL""), job=""戦士""), AND(check=Op"&amp;"tion!$F$13, REGEXMATCH(target, ""SINGLE_AFFECTED_ALL""))),
         buff,
         1
       )
     )
   )
 )"),1.0)</f>
        <v>1</v>
      </c>
      <c r="FC56" s="206">
        <f>IFERROR(__xludf.DUMMYFUNCTION("SUM(
   MAP(
     K$3:ED$3,
     K$7:ED$7,
     K$15:ED$15,
     K$16:ED$16,
     K$21:ED$21,
     K$5:ED$5,
     K$17:ED$17,
     K56:ED56,
     LAMBDA(
       job,
       abillity,
       buff,
       barrier,
       enhance,
       assign,
       preco"&amp;"ndition,
       check,
       IF(
         OR(AND(check=TRUE, REGEXMATCH(assign, ""SELF""), job=""戦士""), AND(check=Option!$F$13, REGEXMATCH(assign, ""SINGLE_PARTY""))),
         IF(
           OR(ARRAYFORMULA((IF(precondition="""", FALSE, REGEXMATCH($K$4:"&amp;"$ED$4, precondition))) * (K56:ED56=TRUE))),
           enhance,
           IF(barrier="""", buff, barrier)
         ),
         0
       ) *
       SWITCH(
         job,
         ""暗黒騎士"", FD$24,
         ""白魔道士"", EF56 * EH56 * FB56 * IF(abillity, 1, EG5"&amp;"6 * EI56) * (Option!$D$22 * 0.81 / 100),
         ""占星術師"", EF56 * EJ56 * FFB56 * IF(abillity, 1, EG56 * EK56) * (Option!$D$23 * 0.81 / 100),
         ""学者"", EF56 * EL56 * FB56 * IF(abillity, 1, EG56 * EM56) * (Option!$D$24 * 0.81 / 100),
         ""賢者"""&amp;", EF56 * EN56 * FB56 * IF(abillity, 1, EG56 * EO56) * (Option!$D$25 * 0.81 / 100),
         1
       )
     )
   )
 ) + EQ56"),0.0)</f>
        <v>0</v>
      </c>
      <c r="FD56" s="206">
        <f t="shared" si="9"/>
        <v>0</v>
      </c>
      <c r="FE56" s="205">
        <f>IFERROR(__xludf.DUMMYFUNCTION("PRODUCT(
   MAP(
     IF($F56=""Physical"", K$10:ED$10, IF($F56=""Magic"", K$11:ED$11, K$12:ED$12)),
     IF($F56=""Physical"", K$18:ED$18, IF($F56=""Magic"", K$19:ED$19, K$20:ED$20)),
     K$3:ED$3,
     K$5:ED$5,
     K$17:ED$17,
     K56:ED56,
     LAM"&amp;"BDA(
       mitigation,
       enhance,
       job,
       assign,
       precondition,
       check,
       IF(
         OR(AND(check=TRUE, REGEXMATCH(assign, ""SELF""), job=""暗黒騎士""), AND(check=Option!$G$13, REGEXMATCH(assign, ""SINGLE_PARTY""))),
     "&amp;"    IF(
           OR(ARRAYFORMULA((IF(precondition="""", FALSE, REGEXMATCH($K$4:$ED$4, precondition))) * (K56:ED56=TRUE))),
           enhance,
           mitigation
         ),
         1
       )
     )
   )
 ) * EE56"),1.0)</f>
        <v>1</v>
      </c>
      <c r="FF56" s="206">
        <f t="shared" si="10"/>
        <v>0</v>
      </c>
      <c r="FG56" s="205">
        <f>IFERROR(__xludf.DUMMYFUNCTION("PRODUCT(
   MAP(
     K$3:ED$3,
     K$14:ED$14,
     K$13:ED$13,
     K56:ED56,
     LAMBDA(
       job,
       buff,
       target,
       check,
       IF(
         OR(AND(check=TRUE, REGEXMATCH(target, ""SELF_AFFECTED_ALL""), job=""暗黒騎士""), AND(check="&amp;"Option!$G$13, REGEXMATCH(target, ""SINGLE_AFFECTED_ALL""))),
         buff,
         1
       )
     )
   )
 )"),1.0)</f>
        <v>1</v>
      </c>
      <c r="FH56" s="206">
        <f>IFERROR(__xludf.DUMMYFUNCTION("SUM(
   MAP(
     K$3:ED$3,
     K$7:ED$7,
     K$15:ED$15,
     K$16:ED$16,
     K$21:ED$21,
     K$5:ED$5,
     K$17:ED$17,
     K56:ED56,
     LAMBDA(
       job,
       abillity,
       buff,
       barrier,
       enhance,
       assign,
       preco"&amp;"ndition,
       check,
       IF(
         OR(AND(check=TRUE, REGEXMATCH(assign, ""SELF""), job=""暗黒騎士""), AND(check=Option!$G$13, REGEXMATCH(assign, ""SINGLE_PARTY""))),
         IF(
           OR(ARRAYFORMULA((IF(precondition="""", FALSE, REGEXMATCH($K$"&amp;"4:$ED$4, precondition))) * (K56:ED56=TRUE))),
           enhance,
           IF(barrier="""", buff, barrier)
         ),
         0
       ) *
       SWITCH(
         job,
         ""暗黒騎士"", FI$24,
         ""白魔道士"", EF56 * EH56 * FG56 * IF(abillity, 1, E"&amp;"G56 * EI56) * (Option!$D$22 * 0.81 / 100),
         ""占星術師"", EF56 * EJ56 * FG56 * IF(abillity, 1, EG56 * EK56) * (Option!$D$23 * 0.81 / 100),
         ""学者"", EF56 * EL56 * FG56 * IF(abillity, 1, EG56 * EM56) * (Option!$D$24 * 0.81 / 100),
         ""賢者"&amp;""", EF56 * EN56 * FG56 * IF(abillity, 1, EG56 * EO56) * (Option!$D$25 * 0.81 / 100),
         1
       )
     )
   )
 ) + EQ56"),0.0)</f>
        <v>0</v>
      </c>
      <c r="FI56" s="206">
        <f t="shared" si="11"/>
        <v>0</v>
      </c>
      <c r="FJ56" s="205">
        <f>IFERROR(__xludf.DUMMYFUNCTION("PRODUCT(
   MAP(
     IF($F56=""Physical"", K$10:ED$10, IF($F56=""Magic"", K$11:ED$11, K$12:ED$12)),
     IF($F56=""Physical"", K$18:ED$18, IF($F56=""Magic"", K$19:ED$19, K$20:ED$20)),
     K$3:ED$3,
     K$5:ED$5,
     K$17:ED$17,
     K56:ED56,
     LAM"&amp;"BDA(
       mitigation,
       enhance,
       job,
       assign,
       precondition,
       check,
       IF(
         OR(AND(check=TRUE, REGEXMATCH(assign, ""SELF""), job=""ガンブレイカー""), AND(check=Option!$H$13, REGEXMATCH(assign, ""SINGLE_PARTY""))),
  "&amp;"       IF(
           OR(ARRAYFORMULA((IF(precondition="""", FALSE, REGEXMATCH($K$4:$ED$4, precondition))) * (K56:ED56=TRUE))),
           enhance,
           mitigation
         ),
         1
       )
     )
   )
 ) * EE56"),1.0)</f>
        <v>1</v>
      </c>
      <c r="FK56" s="206">
        <f t="shared" si="12"/>
        <v>0</v>
      </c>
      <c r="FL56" s="205">
        <f>IFERROR(__xludf.DUMMYFUNCTION("PRODUCT(
   MAP(
     K$3:ED$3,
     K$14:ED$14,
     K$13:ED$13,
     K56:ED56,
     LAMBDA(
       job,
       buff,
       target,
       check,
       IF(
         OR(AND(check=TRUE, REGEXMATCH(target, ""SELF_AFFECTED_ALL""), job=""ガンブレイカー""), AND(che"&amp;"ck=Option!$H$13, REGEXMATCH(target, ""SINGLE_AFFECTED_ALL""))),
         buff,
         1
       )
     )
   )
 )"),1.0)</f>
        <v>1</v>
      </c>
      <c r="FM56" s="206">
        <f>IFERROR(__xludf.DUMMYFUNCTION("SUM(
   MAP(
     K$3:ED$3,
     K$7:ED$7,
     K$15:ED$15,
     K$16:ED$16,
     K$21:ED$21,
     K$5:ED$5,
     K$17:ED$17,
     K56:ED56,
     LAMBDA(
       job,
       abillity,
       buff,
       barrier,
       enhance,
       assign,
       preco"&amp;"ndition,
       check,
       IF(
         OR(AND(check=TRUE, REGEXMATCH(assign, ""SELF""), job=""ガンブレイカー""), AND(check=Option!$H$13, REGEXMATCH(assign, ""SINGLE_PARTY""))),
         IF(
           OR(ARRAYFORMULA((IF(precondition="""", FALSE, REGEXMATCH("&amp;"$K$4:$ED$4, precondition))) * (K56:ED56=TRUE))),
           enhance,
           IF(barrier="""", buff, barrier)
         ),
         0
       ) *
       SWITCH(
         job,
         ""暗黒騎士"", FN$24,
         ""白魔道士"", EF56 * EH56 * FL56 * IF(abillity, 1"&amp;", EG56 * EI56) * (Option!$D$22 * 0.81 / 100),
         ""占星術師"", EF56 * EJ56 * FL56 * IF(abillity, 1, EG56 * EK56) * (Option!$D$23 * 0.81 / 100),
         ""学者"", EF56 * EL56 * FL56 * IF(abillity, 1, EG56 * EM56) * (Option!$D$24 * 0.81 / 100),
         """&amp;"賢者"", EF56 * EN56 * FL56 * IF(abillity, 1, EG56 * EO56) * (Option!$D$25 * 0.81 / 100),
         1
       )
     )
   )
 ) + EQ56"),0.0)</f>
        <v>0</v>
      </c>
      <c r="FN56" s="206">
        <f t="shared" si="13"/>
        <v>0</v>
      </c>
      <c r="FO56" s="213"/>
    </row>
    <row r="57">
      <c r="B57" s="229"/>
      <c r="C57" s="217"/>
      <c r="D57" s="236"/>
      <c r="E57" s="238"/>
      <c r="F57" s="167"/>
      <c r="G57" s="168" t="str">
        <f t="shared" si="2"/>
        <v/>
      </c>
      <c r="H57" s="169"/>
      <c r="I57" s="169"/>
      <c r="J57" s="169"/>
      <c r="K57" s="170" t="b">
        <v>0</v>
      </c>
      <c r="L57" s="170" t="b">
        <v>0</v>
      </c>
      <c r="M57" s="170" t="b">
        <v>0</v>
      </c>
      <c r="N57" s="171" t="s">
        <v>1070</v>
      </c>
      <c r="O57" s="172" t="b">
        <v>0</v>
      </c>
      <c r="P57" s="173" t="b">
        <v>0</v>
      </c>
      <c r="Q57" s="173" t="b">
        <v>0</v>
      </c>
      <c r="R57" s="173" t="b">
        <v>0</v>
      </c>
      <c r="S57" s="174" t="b">
        <v>0</v>
      </c>
      <c r="T57" s="175" t="b">
        <v>0</v>
      </c>
      <c r="U57" s="173" t="b">
        <v>0</v>
      </c>
      <c r="V57" s="171" t="s">
        <v>1070</v>
      </c>
      <c r="W57" s="172" t="b">
        <v>0</v>
      </c>
      <c r="X57" s="173" t="b">
        <v>0</v>
      </c>
      <c r="Y57" s="173" t="b">
        <v>0</v>
      </c>
      <c r="Z57" s="173" t="b">
        <v>0</v>
      </c>
      <c r="AA57" s="174" t="b">
        <v>0</v>
      </c>
      <c r="AB57" s="174" t="b">
        <v>0</v>
      </c>
      <c r="AC57" s="175" t="b">
        <v>0</v>
      </c>
      <c r="AD57" s="173" t="b">
        <v>0</v>
      </c>
      <c r="AE57" s="176" t="s">
        <v>1070</v>
      </c>
      <c r="AF57" s="171" t="s">
        <v>1070</v>
      </c>
      <c r="AG57" s="177">
        <f>IFERROR(__xludf.DUMMYFUNCTION("IF(
  ISNUMBER(AG56),
  MIN(MAX(
    AG56
    + MAX(
      ROUNDDOWN(($D57 - MAX(IFERROR(FILTER($D$24:$D56, AG$24:AG56 &lt;&gt; AF$6, AG$23:AG55 = AF$6), 0))) * (60 * 60 * 24) / AF$9) - ROUNDDOWN(($D56 - MAX(IFERROR(FILTER($D$23:$D55, AG$23:AG55 &lt;&gt; AF$6, AG$22:"&amp;"AG54 = AF$6), 0))) * (60 * 60 * 24) / 60),
      0
    )
    - COUNTIF(AF57, ""&lt;&gt;-""),
  0), AF$6),
  AF$6 - COUNTIF(AF57, ""&lt;&gt;-"")
)"),2.0)</f>
        <v>2</v>
      </c>
      <c r="AH57" s="173" t="b">
        <v>0</v>
      </c>
      <c r="AI57" s="173" t="b">
        <v>0</v>
      </c>
      <c r="AJ57" s="173" t="b">
        <v>0</v>
      </c>
      <c r="AK57" s="174" t="b">
        <v>0</v>
      </c>
      <c r="AL57" s="175" t="b">
        <v>0</v>
      </c>
      <c r="AM57" s="173" t="b">
        <v>0</v>
      </c>
      <c r="AN57" s="171" t="s">
        <v>1070</v>
      </c>
      <c r="AO57" s="173" t="b">
        <v>0</v>
      </c>
      <c r="AP57" s="173" t="b">
        <v>0</v>
      </c>
      <c r="AQ57" s="173" t="b">
        <v>0</v>
      </c>
      <c r="AR57" s="174" t="b">
        <v>0</v>
      </c>
      <c r="AS57" s="178" t="b">
        <v>0</v>
      </c>
      <c r="AT57" s="179" t="b">
        <v>0</v>
      </c>
      <c r="AU57" s="180" t="b">
        <v>0</v>
      </c>
      <c r="AV57" s="180" t="b">
        <v>0</v>
      </c>
      <c r="AW57" s="180" t="b">
        <v>0</v>
      </c>
      <c r="AX57" s="180" t="b">
        <v>0</v>
      </c>
      <c r="AY57" s="181" t="s">
        <v>1070</v>
      </c>
      <c r="AZ57" s="181" t="s">
        <v>1070</v>
      </c>
      <c r="BA57" s="184">
        <f>IFERROR(__xludf.DUMMYFUNCTION("IF(
  ISNUMBER(BA56),
  MIN(MAX(
    BA56
    + MAX(
      ROUNDDOWN((D57 - MAX(IFERROR(FILTER(D$24:D56, BA$24:BA56 &lt;&gt; AZ$6, BA$23:BA55 = AZ$6), 0))) * (60 * 60 * 24) / AZ$9) - ROUNDDOWN((D56 - MAX(IFERROR(FILTER(D$23:D55, BA$23:BA55 &lt;&gt; AZ$6, BA$22:BA54 ="&amp;" AZ$6), 0))) * (60 * 60 * 24) / AZ$9),
      0
    )
    - COUNTIF(AZ57, ""&lt;&gt;-""),
  0), AZ$6),
  AZ$6 - COUNTIF(AZ57, ""&lt;&gt;-"")
)"),2.0)</f>
        <v>2</v>
      </c>
      <c r="BB57" s="181" t="s">
        <v>1070</v>
      </c>
      <c r="BC57" s="183">
        <f>IFERROR(__xludf.DUMMYFUNCTION("IF(
  ISNUMBER(BC56),
  MIN(MAX(
    BC56
    + MAX(
      ROUNDDOWN(($D57 - MAX(IFERROR(FILTER($D$24:$D56, BC$24:BC56 &lt;&gt; BB$6, BC$23:BC55 = BB$6), 0))) * (60 * 60 * 24) / BB$9) - ROUNDDOWN(($D56 - MAX(IFERROR(FILTER($D$23:$D55, BC$23:BC55 &lt;&gt; BB$6, BC$22:"&amp;"BC54 = BB$6), 0))) * (60 * 60 * 24) / 60),
      0
    )
    - COUNTIF(BB57, ""&lt;&gt;-""),
  0), BB$6),
  BB$6 - COUNTIF(BB57, ""&lt;&gt;-"")
)"),2.0)</f>
        <v>2</v>
      </c>
      <c r="BD57" s="181" t="s">
        <v>1070</v>
      </c>
      <c r="BE57" s="178" t="b">
        <v>0</v>
      </c>
      <c r="BF57" s="180" t="b">
        <v>0</v>
      </c>
      <c r="BG57" s="180" t="b">
        <v>0</v>
      </c>
      <c r="BH57" s="180" t="b">
        <v>0</v>
      </c>
      <c r="BI57" s="180" t="b">
        <v>0</v>
      </c>
      <c r="BJ57" s="180" t="b">
        <v>0</v>
      </c>
      <c r="BK57" s="180" t="b">
        <v>0</v>
      </c>
      <c r="BL57" s="180" t="b">
        <v>0</v>
      </c>
      <c r="BM57" s="180" t="b">
        <v>0</v>
      </c>
      <c r="BN57" s="180" t="b">
        <v>0</v>
      </c>
      <c r="BO57" s="181" t="s">
        <v>1070</v>
      </c>
      <c r="BP57" s="181" t="s">
        <v>1070</v>
      </c>
      <c r="BQ57" s="181" t="s">
        <v>1070</v>
      </c>
      <c r="BR57" s="181" t="s">
        <v>1070</v>
      </c>
      <c r="BS57" s="181" t="s">
        <v>1070</v>
      </c>
      <c r="BT57" s="184">
        <f>IFERROR(__xludf.DUMMYFUNCTION("IF(
  ISNUMBER(BT56),
  MIN(MAX(
    BT56
    + MAX(
      ROUNDDOWN((D57 - MAX(IFERROR(FILTER(D$24:D56, BT$24:BT56 &lt;&gt; BS$6, BT$23:BT55 = BS$6), 0))) * (60 * 60 * 24) / BS$9) - ROUNDDOWN((D56 - MAX(IFERROR(FILTER(D$23:D55, BT$23:BT55 &lt;&gt; BS$6, BT$22:BT54 ="&amp;" BS$6), 0))) * (60 * 60 * 24) / BS$9),
      0
    )
    - COUNTIF(BS57, ""&lt;&gt;-""),
  0), BS$6),
  BS$6 - COUNTIF(BS57, ""&lt;&gt;-"")
)"),3.0)</f>
        <v>3</v>
      </c>
      <c r="BU57" s="181" t="s">
        <v>1070</v>
      </c>
      <c r="BV57" s="181" t="s">
        <v>1070</v>
      </c>
      <c r="BW57" s="184">
        <f>IFERROR(__xludf.DUMMYFUNCTION("IF(
  ISNUMBER(BW56),
  MIN(MAX(
    BW56
    + MAX(
      ROUNDDOWN((D57 - MAX(IFERROR(FILTER(D$24:D56, BW$24:BW56 &lt;&gt; BV$6, BW$23:BW55 = BV$6), 0))) * (60 * 60 * 24) / BV$9) - ROUNDDOWN((D56 - MAX(IFERROR(FILTER(D$23:D55, BW$23:BW55 &lt;&gt; BV$6, BW$22:BW54 ="&amp;" BV$6), 0))) * (60 * 60 * 24) / BV$9),
      0
    )
    - COUNTIF(BV57, ""&lt;&gt;-""),
  0), BV$6),
  BV$6 - COUNTIF(BV57, ""&lt;&gt;-"")
)"),2.0)</f>
        <v>2</v>
      </c>
      <c r="BX57" s="185" t="s">
        <v>1070</v>
      </c>
      <c r="BY57" s="178" t="b">
        <v>0</v>
      </c>
      <c r="BZ57" s="180" t="b">
        <v>0</v>
      </c>
      <c r="CA57" s="180" t="b">
        <v>0</v>
      </c>
      <c r="CB57" s="180" t="b">
        <v>0</v>
      </c>
      <c r="CC57" s="180" t="b">
        <v>0</v>
      </c>
      <c r="CD57" s="180" t="b">
        <v>0</v>
      </c>
      <c r="CE57" s="180" t="b">
        <v>0</v>
      </c>
      <c r="CF57" s="180" t="b">
        <v>0</v>
      </c>
      <c r="CG57" s="180" t="b">
        <v>0</v>
      </c>
      <c r="CH57" s="180" t="b">
        <v>0</v>
      </c>
      <c r="CI57" s="180" t="b">
        <v>0</v>
      </c>
      <c r="CJ57" s="180" t="b">
        <v>0</v>
      </c>
      <c r="CK57" s="180" t="b">
        <v>0</v>
      </c>
      <c r="CL57" s="180" t="b">
        <v>0</v>
      </c>
      <c r="CM57" s="181" t="s">
        <v>1070</v>
      </c>
      <c r="CN57" s="181" t="s">
        <v>1070</v>
      </c>
      <c r="CO57" s="181" t="s">
        <v>1070</v>
      </c>
      <c r="CP57" s="181" t="s">
        <v>1070</v>
      </c>
      <c r="CQ57" s="185" t="s">
        <v>1070</v>
      </c>
      <c r="CR57" s="180" t="b">
        <v>0</v>
      </c>
      <c r="CS57" s="186" t="str">
        <f t="shared" si="14"/>
        <v>◇◇◇</v>
      </c>
      <c r="CT57" s="178" t="b">
        <v>0</v>
      </c>
      <c r="CU57" s="180" t="b">
        <v>0</v>
      </c>
      <c r="CV57" s="180" t="b">
        <v>0</v>
      </c>
      <c r="CW57" s="180" t="b">
        <v>0</v>
      </c>
      <c r="CX57" s="180" t="b">
        <v>0</v>
      </c>
      <c r="CY57" s="180" t="b">
        <v>0</v>
      </c>
      <c r="CZ57" s="180" t="b">
        <v>0</v>
      </c>
      <c r="DA57" s="180" t="b">
        <v>0</v>
      </c>
      <c r="DB57" s="180" t="b">
        <v>0</v>
      </c>
      <c r="DC57" s="180" t="b">
        <v>0</v>
      </c>
      <c r="DD57" s="181" t="s">
        <v>1070</v>
      </c>
      <c r="DE57" s="181" t="s">
        <v>1070</v>
      </c>
      <c r="DF57" s="181" t="s">
        <v>1070</v>
      </c>
      <c r="DG57" s="185" t="s">
        <v>1070</v>
      </c>
      <c r="DH57" s="180" t="b">
        <v>0</v>
      </c>
      <c r="DI57" s="187" t="str">
        <f>IFERROR(__xludf.DUMMYFUNCTION("SWITCH(
  IF(
    ISTEXT(DI56),
    IF (
      FIND(""○"", DI56&amp;""○"") &gt; 3,
      3,
      FIND(""○"", DI56&amp;""○"")
      + MAX(
        ROUNDDOWN(($D57 - MAX(IFERROR(FILTER(D$24:D56, DI$24:DI56 &lt;&gt; ""●●●"", DI$23:DI55 = ""●●●""), 0))) * (60 * 60 * 24) / 20"&amp;") - ROUNDDOWN(($D56 - MAX(IFERROR(FILTER(D$23:D55, DI$23:DI55 &lt;&gt; ""●●●"", DI$22:DI54 = ""●●●""), 0))) * (60 * 60 * 24) / 20),
        0
      ) - 1
    ) - COUNTIFS(CU57, ""=TRUE"", CU56, ""&lt;&gt;TRUE"") - COUNTIF(CZ57, ""=TRUE"") - COUNTIF({DD57,DE57}, ""&lt;&gt;-"&amp;""") + COUNTIF(DH57, ""=TRUE""),
    3
  ),
  0, ""○○○"", 1, ""●○○"", 2, ""●●○"", 3, ""●●●"", 4, ""●●●"", ""○○○""
)"),"●●●")</f>
        <v>●●●</v>
      </c>
      <c r="DJ57" s="188" t="b">
        <v>0</v>
      </c>
      <c r="DK57" s="189" t="b">
        <v>0</v>
      </c>
      <c r="DL57" s="190" t="b">
        <v>0</v>
      </c>
      <c r="DM57" s="190" t="b">
        <v>0</v>
      </c>
      <c r="DN57" s="190" t="b">
        <v>0</v>
      </c>
      <c r="DO57" s="190" t="b">
        <v>0</v>
      </c>
      <c r="DP57" s="190" t="b">
        <v>0</v>
      </c>
      <c r="DQ57" s="191" t="b">
        <v>0</v>
      </c>
      <c r="DR57" s="192" t="b">
        <v>0</v>
      </c>
      <c r="DS57" s="191" t="b">
        <v>0</v>
      </c>
      <c r="DT57" s="192" t="b">
        <v>0</v>
      </c>
      <c r="DU57" s="191" t="b">
        <v>0</v>
      </c>
      <c r="DV57" s="193" t="s">
        <v>1070</v>
      </c>
      <c r="DW57" s="194" t="b">
        <v>0</v>
      </c>
      <c r="DX57" s="194" t="b">
        <v>0</v>
      </c>
      <c r="DY57" s="195" t="b">
        <v>0</v>
      </c>
      <c r="DZ57" s="196" t="b">
        <v>0</v>
      </c>
      <c r="EA57" s="195" t="b">
        <v>0</v>
      </c>
      <c r="EB57" s="197" t="b">
        <v>0</v>
      </c>
      <c r="EC57" s="197" t="b">
        <v>0</v>
      </c>
      <c r="ED57" s="212" t="b">
        <v>0</v>
      </c>
      <c r="EE57" s="199">
        <f>IFERROR(__xludf.DUMMYFUNCTION("IFERROR(
   PRODUCT(
     MAP(
       INDEX(TRANSPOSE(UNIQUE(TRANSPOSE(FILTER({IF($F57=""Physical"", K$10:ED$10, IF($F57=""Magic"", K$11:ED$11, K$12:ED$12));K$4:ED$4;K57:ED57}, K57:ED57=TRUE)))), 1, 0),
       INDEX(TRANSPOSE(UNIQUE(TRANSPOSE(FILTER({IF($"&amp;"F57=""Physical"", K$18:ED$18, IF($F57=""Magic"", K$19:ED$19, K$20:ED$20));K$4:ED$4;K57:ED57}, K57:ED57=TRUE)))), 1, 0),
       INDEX(TRANSPOSE(UNIQUE(TRANSPOSE(FILTER({K$5:ED$5;K$4:ED$4;K57:ED57}, K57:ED57=TRUE)))), 1, 0),
       INDEX(TRANSPOSE(UNIQUE(TR"&amp;"ANSPOSE(FILTER({K$17:ED$17;K$4:ED$4;K57:ED57}, K57:ED57=TRUE)))), 1, 0),
       LAMBDA(
         mitigation,
         enhance,
         assign,
         precondition,
         IF(
           REGEXMATCH(assign, ""RANGE_PARTY|SINGLE_ENEMY|RANGE_ENEMY""),
  "&amp;"         IF(
             OR(ARRAYFORMULA((IF(precondition="""", FALSE, REGEXMATCH(K$4:ED$4, precondition))) * (K57:ED57=TRUE))),
             IF(ISNUMBER(enhance), enhance, 1),
             IF(ISNUMBER(mitigation), mitigation, 1)
           ),
          "&amp;" 1
         )
       )
     )
   ),
   1
 )"),1.0)</f>
        <v>1</v>
      </c>
      <c r="EF57" s="200">
        <f>IFERROR(__xludf.DUMMYFUNCTION("PRODUCT(
   MAP(
     K$14:ED$14,
     K$13:ED$13,
     K57:ED57,
     LAMBDA(
       buff,
       target,
       check,
       IF(
         AND(check=TRUE, REGEXMATCH(target, ""RANGE_AFFECTED_ALL|RANGE_EFFECTED_ALL""), ISNUMBER(buff)),
         buff,
   "&amp;"      1
       )
     )
   )
 )"),1.0)</f>
        <v>1</v>
      </c>
      <c r="EG57" s="200">
        <f>IFERROR(__xludf.DUMMYFUNCTION("PRODUCT(
   MAP(
     K$14:ED$14,
     K$13:ED$13,
     K57:ED57,
     LAMBDA(
       buff,
       target,
       check,
       IF(
         AND(check=TRUE, REGEXMATCH(target, ""RANGE_AFFECTED_GCD|RANGE_EFFECTED_GCD""), ISNUMBER(buff)),
         buff,
   "&amp;"      1
       )
     )
   )
 )"),1.0)</f>
        <v>1</v>
      </c>
      <c r="EH57" s="200">
        <f>IFERROR(__xludf.DUMMYFUNCTION("PRODUCT(
   MAP(
     K$3:ED$3,
     K$14:ED$14,
     K$13:ED$13,
     K57:ED57,
     LAMBDA(
       job,
       buff,
       target,
       check,
       IF(
         AND(check=TRUE, REGEXMATCH(target, ""SELF_EFFECTED_ALL""), ISNUMBER(buff), job=""白魔道士"""&amp;"),
         buff,
         1
       )
     )
   )
 )"),1.0)</f>
        <v>1</v>
      </c>
      <c r="EI57" s="200">
        <f>IFERROR(__xludf.DUMMYFUNCTION("PRODUCT(
   MAP(
     K$3:ED$3,
     K$14:ED$14,
     K$13:ED$13,
     K57:ED57,
     LAMBDA(
       job,
       buff,
       target,
       check,
       IF(
         AND(check=TRUE, REGEXMATCH(target, ""SELF_EFFECTED_GCD""), ISNUMBER(buff), job=""白魔道士"""&amp;"),
         buff,
         1
       )
     )
   )
 )"),1.0)</f>
        <v>1</v>
      </c>
      <c r="EJ57" s="200">
        <f>IFERROR(__xludf.DUMMYFUNCTION("PRODUCT(
   MAP(
     K$3:ED$3,
     K$14:ED$14,
     K$13:ED$13,
     K57:ED57,
     LAMBDA(
       job,
       buff,
       target,
       check,
       IF(
         AND(check=TRUE, REGEXMATCH(target, ""SELF_EFFECTED_ALL""), ISNUMBER(buff), job=""占星術師"""&amp;"),
         buff,
         1
       )
     )
   )
 )"),1.0)</f>
        <v>1</v>
      </c>
      <c r="EK57" s="200">
        <f>IFERROR(__xludf.DUMMYFUNCTION("PRODUCT(
   MAP(
     K$3:ED$3,
     K$14:ED$14,
     K$13:ED$13,
     K57:ED57,
     LAMBDA(
       job,
       buff,
       target,
       check,
       IF(
         AND(check=TRUE, REGEXMATCH(target, ""SELF_EFFECTED_GCD""), ISNUMBER(buff), job=""占星術師"""&amp;"),
         buff,
         1
       )
     )
   )
 )"),1.0)</f>
        <v>1</v>
      </c>
      <c r="EL57" s="200">
        <f>IFERROR(__xludf.DUMMYFUNCTION("PRODUCT(
   MAP(
     K$3:ED$3,
     K$14:ED$14,
     K$13:ED$13,
     K57:ED57,
     LAMBDA(
       job,
       buff,
       target,
       check,
       IF(
         AND(check=TRUE, REGEXMATCH(target, ""SELF_EFFECTED_ALL""), ISNUMBER(buff), job=""学者""),"&amp;"
         buff,
         1
       )
     )
   )
 )"),1.0)</f>
        <v>1</v>
      </c>
      <c r="EM57" s="200">
        <f>IFERROR(__xludf.DUMMYFUNCTION("PRODUCT(
   MAP(
     K$3:ED$3,
     K$14:ED$14,
     K$13:ED$13,
     K57:ED57,
     LAMBDA(
       job,
       buff,
       target,
       check,
       IF(
         AND(check=TRUE, REGEXMATCH(target, ""SELF_EFFECTED_GCD""), ISNUMBER(buff), job=""学者""),"&amp;"
         buff,
         1
       )
     )
   )
 )"),1.0)</f>
        <v>1</v>
      </c>
      <c r="EN57" s="200">
        <f>IFERROR(__xludf.DUMMYFUNCTION("PRODUCT(
   MAP(
     K$3:ED$3,
     K$14:ED$14,
     K$13:ED$13,
     K57:ED57,
     LAMBDA(
       job,
       buff,
       target,
       check,
       IF(
         AND(check=TRUE, REGEXMATCH(target, ""SELF_EFFECTED_ALL""), ISNUMBER(buff), job=""賢者""),"&amp;"
         buff,
         1
       )
     )
   )
 )"),1.0)</f>
        <v>1</v>
      </c>
      <c r="EO57" s="200">
        <f>IFERROR(__xludf.DUMMYFUNCTION("PRODUCT(
   MAP(
     K$3:ED$3,
     K$14:ED$14,
     K$13:ED$13,
     K57:ED57,
     LAMBDA(
       job,
       buff,
       target,
       check,
       IF(
         AND(check=TRUE, REGEXMATCH(target, ""SELF_EFFECTED_GCD""), ISNUMBER(buff), job=""賢者""),"&amp;"
         buff,
         1
       )
     )
   )
 )"),1.0)</f>
        <v>1</v>
      </c>
      <c r="EP57" s="201">
        <f t="shared" si="3"/>
        <v>0</v>
      </c>
      <c r="EQ57" s="201">
        <f>IFERROR(__xludf.DUMMYFUNCTION("SUM(
   MAP(
     K$4:ED$4,
     K$3:ED$3,
     K$7:ED$7,
     K$15:ED$15,
     K$16:ED$16,
     K$21:ED$21,
     K$5:ED$5,
     K$17:ED$17,
     K57:ED57,
     LAMBDA(
       name,
       job,
       abillity,
       buff,
       barrier,
       enhance,"&amp;"
       assign,
       precondition,
       check,
       SWITCH(
         name,
         ""シェイクオフ"", IF(check=TRUE, buff + (0.02 * COUNTIF(ARRAYFORMULA((REGEXMATCH($K$4:$ED$4, ""スリル・オブ・バトル|ヴェンジェンス|原初の血気|ダムネーション"")) * (K57:ED57=TRUE)), 1)), 0),
         "&amp;"""インプロビゼーションフィニッシュ(踊りの激情0)"", IF(ISNUMBER(check), INDEX(Skill!$AJ:$AJ, MATCH(SUBSTITUTE(DV$4, 0, check), Skill!$C:$C, 0)), 0),
         IF(
           AND(check=TRUE, REGEXMATCH(assign, ""RANGE_PARTY"")),
           IF(
             OR(ARRAYFORMULA((IF(pr"&amp;"econdition="""", FALSE, REGEXMATCH($K$4:$ED$4, precondition))) * (K57:ED57=TRUE))),
             enhance,
             IF(barrier="""", buff, barrier)
           ),
           0
         )
       ) *
       SWITCH(
         job,
         ""ナイト"", EY$24,
 "&amp;"        ""戦士"", FD$24,
         ""踊り子"", ET$24,
         ""ピクトマンサー"", ET$24,
         ""白魔道士"", EF57 * EH57 * IF(abillity, 1, EG57 * EI57) * (Option!$D$22 * 0.81 / 100),
         ""占星術師"", EF57 * EJ57 * IF(abillity, 1, EG57 * EK57) * (Option!$D$23 * 0.81 "&amp;"/ 100),
         ""学者"", EF57 * EL57 * IF(abillity, 1, EG57 * EM57) * (Option!$D$24 * 0.81 / 100),
         ""賢者"", EF57 * EN57 * IF(abillity, 1, EG57 * EO57) * (Option!$D$25 * 0.81 / 100),
         1
       )
     )
   )
 )"),0.0)</f>
        <v>0</v>
      </c>
      <c r="ER57" s="202">
        <f t="shared" si="4"/>
        <v>0</v>
      </c>
      <c r="ES57" s="203">
        <f t="shared" si="5"/>
        <v>0</v>
      </c>
      <c r="ET57" s="231" t="str">
        <f>IFERROR(__xludf.DUMMYFUNCTION("IFS(
  EP57 &gt; $ET$24 + EQ57,
  SPARKLINE({ 1, 0 }, {""charttype"",""bar"";""max"", 1;""color1"",Option!$D$30;""color2"",Option!$D$30}),
  EP57 &lt; EQ57,
  SPARKLINE({EQ57 - EP57, $ET$24 - (EQ57 - EP57)}, {""charttype"",""bar"";""max"",$ET$24;""color1"",Opti"&amp;"on!$D$28;""color2"",Option!$D$29}),
  EP57 &gt;= EQ57,
  SPARKLINE({$ET$24 + EQ57 - EP57,EP57 - EQ57}, {""charttype"",""bar"";""max"",$ET$24;""color1"",Option!$D$29;""color2"",Option!$D$30})
)"),"")</f>
        <v/>
      </c>
      <c r="EU57" s="205">
        <f>IFERROR(__xludf.DUMMYFUNCTION("PRODUCT(
   MAP(
     IF($F57=""Physical"", K$10:ED$10, IF($F57=""Magic"", K$11:ED$11, K$12:ED$12)),
     IF($F57=""Physical"", K$18:ED$18, IF($F57=""Magic"", K$19:ED$19, K$20:ED$20)),
     K$3:ED$3,
     K$5:ED$5,
     K$17:ED$17,
     K57:ED57,
     LAM"&amp;"BDA(
       mitigation,
       enhance,
       job,
       assign,
       precondition,
       check,
       IF(
         OR(AND(check=TRUE, REGEXMATCH(assign, ""SELF""), job=""ナイト""), AND(check=Option!$E$13, REGEXMATCH(assign, ""SINGLE_PARTY""))),
      "&amp;"   IF(
           OR(ARRAYFORMULA((IF(precondition="""", FALSE, REGEXMATCH($K$4:$ED$4, precondition))) * (K57:ED57=TRUE))),
           enhance,
           mitigation
         ),
         1
       )
     )
   )
 ) * EE57"),1.0)</f>
        <v>1</v>
      </c>
      <c r="EV57" s="206">
        <f t="shared" si="6"/>
        <v>0</v>
      </c>
      <c r="EW57" s="205">
        <f>IFERROR(__xludf.DUMMYFUNCTION("PRODUCT(
   MAP(
     K$3:ED$3,
     K$14:ED$14,
     K$13:ED$13,
     K57:ED57,
     LAMBDA(
       job,
       buff,
       target,
       check,
       IF(
         OR(AND(check=TRUE, REGEXMATCH(target, ""SELF_AFFECTED_ALL""), job=""ナイト""), AND(check=O"&amp;"ption!$E$13, REGEXMATCH(target, ""SINGLE_AFFECTED_ALL""))),
         buff,
         1
       )
     )
   )
 )"),1.0)</f>
        <v>1</v>
      </c>
      <c r="EX57" s="206">
        <f>IFERROR(__xludf.DUMMYFUNCTION("SUM(
   MAP(
     K$3:ED$3,
     K$7:ED$7,
     K$15:ED$15,
     K$16:ED$16,
     K$21:ED$21,
     K$5:ED$5,
     K$17:ED$17,
     K57:ED57,
     LAMBDA(
       job,
       abillity,
       buff,
       barrier,
       enhance,
       assign,
       preco"&amp;"ndition,
       check,
       IF(
         OR(AND(check=TRUE, REGEXMATCH(assign, ""SELF""), job=""ナイト""), AND(check=Option!$E$13, REGEXMATCH(assign, ""SINGLE_PARTY""))),
         IF(
           OR(ARRAYFORMULA((IF(precondition="""", FALSE, REGEXMATCH($K$4"&amp;":$ED$4, precondition))) * (K57:ED57=TRUE))),
           enhance,
           IF(barrier="""", buff, barrier)
         ),
         0
       ) *
       SWITCH(
         job,
         ""暗黒騎士"", EY$24,
         ""白魔道士"", EF57 * EH57 * EW57 * IF(abillity, 1, EG"&amp;"57 * EI57) * (Option!$D$22 * 0.81 / 100),
         ""占星術師"", EF57 * EJ57 * EW57 * IF(abillity, 1, EG57 * EK57) * (Option!$D$23 * 0.81 / 100),
         ""学者"", EF57 * EL57 * EW57 * IF(abillity, 1, EG57 * EM57) * (Option!$D$24 * 0.81 / 100),
         ""賢者"""&amp;", EF57 * EN57 * EW57 * IF(abillity, 1, EG57 * EO57) * (Option!$D$25 * 0.81 / 100),
         1
       )
     )
   )
 ) + EQ57"),0.0)</f>
        <v>0</v>
      </c>
      <c r="EY57" s="232">
        <f t="shared" si="7"/>
        <v>0</v>
      </c>
      <c r="EZ57" s="205">
        <f>IFERROR(__xludf.DUMMYFUNCTION("PRODUCT(
   MAP(
     IF($F57=""Physical"", K$10:ED$10, IF($F57=""Magic"", K$11:ED$11, K$12:ED$12)),
     IF($F57=""Physical"", K$18:ED$18, IF($F57=""Magic"", K$19:ED$19, K$20:ED$20)),
     K$3:ED$3,
     K$5:ED$5,
     K$17:ED$17,
     K57:ED57,
     LAM"&amp;"BDA(
       mitigation,
       enhance,
       job,
       assign,
       precondition,
       check,
       IF(
         OR(AND(check=TRUE, REGEXMATCH(assign, ""SELF""), job=""戦士""), AND(check=Option!$F$13, REGEXMATCH(assign, ""SINGLE_PARTY""))),
       "&amp;"  IF(
           OR(ARRAYFORMULA((IF(precondition="""", FALSE, REGEXMATCH($K$4:$ED$4, precondition))) * (K57:ED57=TRUE))),
           enhance,
           mitigation
         ),
         1
       )
     )
   )
 ) * EE57"),1.0)</f>
        <v>1</v>
      </c>
      <c r="FA57" s="206">
        <f t="shared" si="8"/>
        <v>0</v>
      </c>
      <c r="FB57" s="205">
        <f>IFERROR(__xludf.DUMMYFUNCTION("PRODUCT(
   MAP(
     K$3:ED$3,
     K$14:ED$14,
     K$13:ED$13,
     K57:ED57,
     LAMBDA(
       job,
       buff,
       target,
       check,
       IF(
         OR(AND(check=TRUE, REGEXMATCH(target, ""SELF_AFFECTED_ALL""), job=""戦士""), AND(check=Op"&amp;"tion!$F$13, REGEXMATCH(target, ""SINGLE_AFFECTED_ALL""))),
         buff,
         1
       )
     )
   )
 )"),1.0)</f>
        <v>1</v>
      </c>
      <c r="FC57" s="206">
        <f>IFERROR(__xludf.DUMMYFUNCTION("SUM(
   MAP(
     K$3:ED$3,
     K$7:ED$7,
     K$15:ED$15,
     K$16:ED$16,
     K$21:ED$21,
     K$5:ED$5,
     K$17:ED$17,
     K57:ED57,
     LAMBDA(
       job,
       abillity,
       buff,
       barrier,
       enhance,
       assign,
       preco"&amp;"ndition,
       check,
       IF(
         OR(AND(check=TRUE, REGEXMATCH(assign, ""SELF""), job=""戦士""), AND(check=Option!$F$13, REGEXMATCH(assign, ""SINGLE_PARTY""))),
         IF(
           OR(ARRAYFORMULA((IF(precondition="""", FALSE, REGEXMATCH($K$4:"&amp;"$ED$4, precondition))) * (K57:ED57=TRUE))),
           enhance,
           IF(barrier="""", buff, barrier)
         ),
         0
       ) *
       SWITCH(
         job,
         ""暗黒騎士"", FD$24,
         ""白魔道士"", EF57 * EH57 * FB57 * IF(abillity, 1, EG5"&amp;"7 * EI57) * (Option!$D$22 * 0.81 / 100),
         ""占星術師"", EF57 * EJ57 * FFB57 * IF(abillity, 1, EG57 * EK57) * (Option!$D$23 * 0.81 / 100),
         ""学者"", EF57 * EL57 * FB57 * IF(abillity, 1, EG57 * EM57) * (Option!$D$24 * 0.81 / 100),
         ""賢者"""&amp;", EF57 * EN57 * FB57 * IF(abillity, 1, EG57 * EO57) * (Option!$D$25 * 0.81 / 100),
         1
       )
     )
   )
 ) + EQ57"),0.0)</f>
        <v>0</v>
      </c>
      <c r="FD57" s="206">
        <f t="shared" si="9"/>
        <v>0</v>
      </c>
      <c r="FE57" s="205">
        <f>IFERROR(__xludf.DUMMYFUNCTION("PRODUCT(
   MAP(
     IF($F57=""Physical"", K$10:ED$10, IF($F57=""Magic"", K$11:ED$11, K$12:ED$12)),
     IF($F57=""Physical"", K$18:ED$18, IF($F57=""Magic"", K$19:ED$19, K$20:ED$20)),
     K$3:ED$3,
     K$5:ED$5,
     K$17:ED$17,
     K57:ED57,
     LAM"&amp;"BDA(
       mitigation,
       enhance,
       job,
       assign,
       precondition,
       check,
       IF(
         OR(AND(check=TRUE, REGEXMATCH(assign, ""SELF""), job=""暗黒騎士""), AND(check=Option!$G$13, REGEXMATCH(assign, ""SINGLE_PARTY""))),
     "&amp;"    IF(
           OR(ARRAYFORMULA((IF(precondition="""", FALSE, REGEXMATCH($K$4:$ED$4, precondition))) * (K57:ED57=TRUE))),
           enhance,
           mitigation
         ),
         1
       )
     )
   )
 ) * EE57"),1.0)</f>
        <v>1</v>
      </c>
      <c r="FF57" s="206">
        <f t="shared" si="10"/>
        <v>0</v>
      </c>
      <c r="FG57" s="205">
        <f>IFERROR(__xludf.DUMMYFUNCTION("PRODUCT(
   MAP(
     K$3:ED$3,
     K$14:ED$14,
     K$13:ED$13,
     K57:ED57,
     LAMBDA(
       job,
       buff,
       target,
       check,
       IF(
         OR(AND(check=TRUE, REGEXMATCH(target, ""SELF_AFFECTED_ALL""), job=""暗黒騎士""), AND(check="&amp;"Option!$G$13, REGEXMATCH(target, ""SINGLE_AFFECTED_ALL""))),
         buff,
         1
       )
     )
   )
 )"),1.0)</f>
        <v>1</v>
      </c>
      <c r="FH57" s="206">
        <f>IFERROR(__xludf.DUMMYFUNCTION("SUM(
   MAP(
     K$3:ED$3,
     K$7:ED$7,
     K$15:ED$15,
     K$16:ED$16,
     K$21:ED$21,
     K$5:ED$5,
     K$17:ED$17,
     K57:ED57,
     LAMBDA(
       job,
       abillity,
       buff,
       barrier,
       enhance,
       assign,
       preco"&amp;"ndition,
       check,
       IF(
         OR(AND(check=TRUE, REGEXMATCH(assign, ""SELF""), job=""暗黒騎士""), AND(check=Option!$G$13, REGEXMATCH(assign, ""SINGLE_PARTY""))),
         IF(
           OR(ARRAYFORMULA((IF(precondition="""", FALSE, REGEXMATCH($K$"&amp;"4:$ED$4, precondition))) * (K57:ED57=TRUE))),
           enhance,
           IF(barrier="""", buff, barrier)
         ),
         0
       ) *
       SWITCH(
         job,
         ""暗黒騎士"", FI$24,
         ""白魔道士"", EF57 * EH57 * FG57 * IF(abillity, 1, E"&amp;"G57 * EI57) * (Option!$D$22 * 0.81 / 100),
         ""占星術師"", EF57 * EJ57 * FG57 * IF(abillity, 1, EG57 * EK57) * (Option!$D$23 * 0.81 / 100),
         ""学者"", EF57 * EL57 * FG57 * IF(abillity, 1, EG57 * EM57) * (Option!$D$24 * 0.81 / 100),
         ""賢者"&amp;""", EF57 * EN57 * FG57 * IF(abillity, 1, EG57 * EO57) * (Option!$D$25 * 0.81 / 100),
         1
       )
     )
   )
 ) + EQ57"),0.0)</f>
        <v>0</v>
      </c>
      <c r="FI57" s="206">
        <f t="shared" si="11"/>
        <v>0</v>
      </c>
      <c r="FJ57" s="205">
        <f>IFERROR(__xludf.DUMMYFUNCTION("PRODUCT(
   MAP(
     IF($F57=""Physical"", K$10:ED$10, IF($F57=""Magic"", K$11:ED$11, K$12:ED$12)),
     IF($F57=""Physical"", K$18:ED$18, IF($F57=""Magic"", K$19:ED$19, K$20:ED$20)),
     K$3:ED$3,
     K$5:ED$5,
     K$17:ED$17,
     K57:ED57,
     LAM"&amp;"BDA(
       mitigation,
       enhance,
       job,
       assign,
       precondition,
       check,
       IF(
         OR(AND(check=TRUE, REGEXMATCH(assign, ""SELF""), job=""ガンブレイカー""), AND(check=Option!$H$13, REGEXMATCH(assign, ""SINGLE_PARTY""))),
  "&amp;"       IF(
           OR(ARRAYFORMULA((IF(precondition="""", FALSE, REGEXMATCH($K$4:$ED$4, precondition))) * (K57:ED57=TRUE))),
           enhance,
           mitigation
         ),
         1
       )
     )
   )
 ) * EE57"),1.0)</f>
        <v>1</v>
      </c>
      <c r="FK57" s="206">
        <f t="shared" si="12"/>
        <v>0</v>
      </c>
      <c r="FL57" s="205">
        <f>IFERROR(__xludf.DUMMYFUNCTION("PRODUCT(
   MAP(
     K$3:ED$3,
     K$14:ED$14,
     K$13:ED$13,
     K57:ED57,
     LAMBDA(
       job,
       buff,
       target,
       check,
       IF(
         OR(AND(check=TRUE, REGEXMATCH(target, ""SELF_AFFECTED_ALL""), job=""ガンブレイカー""), AND(che"&amp;"ck=Option!$H$13, REGEXMATCH(target, ""SINGLE_AFFECTED_ALL""))),
         buff,
         1
       )
     )
   )
 )"),1.0)</f>
        <v>1</v>
      </c>
      <c r="FM57" s="206">
        <f>IFERROR(__xludf.DUMMYFUNCTION("SUM(
   MAP(
     K$3:ED$3,
     K$7:ED$7,
     K$15:ED$15,
     K$16:ED$16,
     K$21:ED$21,
     K$5:ED$5,
     K$17:ED$17,
     K57:ED57,
     LAMBDA(
       job,
       abillity,
       buff,
       barrier,
       enhance,
       assign,
       preco"&amp;"ndition,
       check,
       IF(
         OR(AND(check=TRUE, REGEXMATCH(assign, ""SELF""), job=""ガンブレイカー""), AND(check=Option!$H$13, REGEXMATCH(assign, ""SINGLE_PARTY""))),
         IF(
           OR(ARRAYFORMULA((IF(precondition="""", FALSE, REGEXMATCH("&amp;"$K$4:$ED$4, precondition))) * (K57:ED57=TRUE))),
           enhance,
           IF(barrier="""", buff, barrier)
         ),
         0
       ) *
       SWITCH(
         job,
         ""暗黒騎士"", FN$24,
         ""白魔道士"", EF57 * EH57 * FL57 * IF(abillity, 1"&amp;", EG57 * EI57) * (Option!$D$22 * 0.81 / 100),
         ""占星術師"", EF57 * EJ57 * FL57 * IF(abillity, 1, EG57 * EK57) * (Option!$D$23 * 0.81 / 100),
         ""学者"", EF57 * EL57 * FL57 * IF(abillity, 1, EG57 * EM57) * (Option!$D$24 * 0.81 / 100),
         """&amp;"賢者"", EF57 * EN57 * FL57 * IF(abillity, 1, EG57 * EO57) * (Option!$D$25 * 0.81 / 100),
         1
       )
     )
   )
 ) + EQ57"),0.0)</f>
        <v>0</v>
      </c>
      <c r="FN57" s="206">
        <f t="shared" si="13"/>
        <v>0</v>
      </c>
      <c r="FO57" s="213"/>
    </row>
    <row r="58">
      <c r="B58" s="229"/>
      <c r="C58" s="217"/>
      <c r="D58" s="236"/>
      <c r="E58" s="238"/>
      <c r="F58" s="167"/>
      <c r="G58" s="168" t="str">
        <f t="shared" si="2"/>
        <v/>
      </c>
      <c r="H58" s="169"/>
      <c r="I58" s="169"/>
      <c r="J58" s="169"/>
      <c r="K58" s="170" t="b">
        <v>0</v>
      </c>
      <c r="L58" s="170" t="b">
        <v>0</v>
      </c>
      <c r="M58" s="170" t="b">
        <v>0</v>
      </c>
      <c r="N58" s="171" t="s">
        <v>1070</v>
      </c>
      <c r="O58" s="172" t="b">
        <v>0</v>
      </c>
      <c r="P58" s="173" t="b">
        <v>0</v>
      </c>
      <c r="Q58" s="173" t="b">
        <v>0</v>
      </c>
      <c r="R58" s="173" t="b">
        <v>0</v>
      </c>
      <c r="S58" s="174" t="b">
        <v>0</v>
      </c>
      <c r="T58" s="175" t="b">
        <v>0</v>
      </c>
      <c r="U58" s="173" t="b">
        <v>0</v>
      </c>
      <c r="V58" s="171" t="s">
        <v>1070</v>
      </c>
      <c r="W58" s="172" t="b">
        <v>0</v>
      </c>
      <c r="X58" s="173" t="b">
        <v>0</v>
      </c>
      <c r="Y58" s="173" t="b">
        <v>0</v>
      </c>
      <c r="Z58" s="173" t="b">
        <v>0</v>
      </c>
      <c r="AA58" s="174" t="b">
        <v>0</v>
      </c>
      <c r="AB58" s="174" t="b">
        <v>0</v>
      </c>
      <c r="AC58" s="175" t="b">
        <v>0</v>
      </c>
      <c r="AD58" s="173" t="b">
        <v>0</v>
      </c>
      <c r="AE58" s="176" t="s">
        <v>1070</v>
      </c>
      <c r="AF58" s="171" t="s">
        <v>1070</v>
      </c>
      <c r="AG58" s="177">
        <f>IFERROR(__xludf.DUMMYFUNCTION("IF(
  ISNUMBER(AG57),
  MIN(MAX(
    AG57
    + MAX(
      ROUNDDOWN(($D58 - MAX(IFERROR(FILTER($D$24:$D57, AG$24:AG57 &lt;&gt; AF$6, AG$23:AG56 = AF$6), 0))) * (60 * 60 * 24) / AF$9) - ROUNDDOWN(($D57 - MAX(IFERROR(FILTER($D$23:$D56, AG$23:AG56 &lt;&gt; AF$6, AG$22:"&amp;"AG55 = AF$6), 0))) * (60 * 60 * 24) / 60),
      0
    )
    - COUNTIF(AF58, ""&lt;&gt;-""),
  0), AF$6),
  AF$6 - COUNTIF(AF58, ""&lt;&gt;-"")
)"),2.0)</f>
        <v>2</v>
      </c>
      <c r="AH58" s="173" t="b">
        <v>0</v>
      </c>
      <c r="AI58" s="173" t="b">
        <v>0</v>
      </c>
      <c r="AJ58" s="173" t="b">
        <v>0</v>
      </c>
      <c r="AK58" s="174" t="b">
        <v>0</v>
      </c>
      <c r="AL58" s="175" t="b">
        <v>0</v>
      </c>
      <c r="AM58" s="173" t="b">
        <v>0</v>
      </c>
      <c r="AN58" s="171" t="s">
        <v>1070</v>
      </c>
      <c r="AO58" s="173" t="b">
        <v>0</v>
      </c>
      <c r="AP58" s="173" t="b">
        <v>0</v>
      </c>
      <c r="AQ58" s="173" t="b">
        <v>0</v>
      </c>
      <c r="AR58" s="174" t="b">
        <v>0</v>
      </c>
      <c r="AS58" s="178" t="b">
        <v>0</v>
      </c>
      <c r="AT58" s="179" t="b">
        <v>0</v>
      </c>
      <c r="AU58" s="180" t="b">
        <v>0</v>
      </c>
      <c r="AV58" s="180" t="b">
        <v>0</v>
      </c>
      <c r="AW58" s="180" t="b">
        <v>0</v>
      </c>
      <c r="AX58" s="180" t="b">
        <v>0</v>
      </c>
      <c r="AY58" s="181" t="s">
        <v>1070</v>
      </c>
      <c r="AZ58" s="181" t="s">
        <v>1070</v>
      </c>
      <c r="BA58" s="184">
        <f>IFERROR(__xludf.DUMMYFUNCTION("IF(
  ISNUMBER(BA57),
  MIN(MAX(
    BA57
    + MAX(
      ROUNDDOWN((D58 - MAX(IFERROR(FILTER(D$24:D57, BA$24:BA57 &lt;&gt; AZ$6, BA$23:BA56 = AZ$6), 0))) * (60 * 60 * 24) / AZ$9) - ROUNDDOWN((D57 - MAX(IFERROR(FILTER(D$23:D56, BA$23:BA56 &lt;&gt; AZ$6, BA$22:BA55 ="&amp;" AZ$6), 0))) * (60 * 60 * 24) / AZ$9),
      0
    )
    - COUNTIF(AZ58, ""&lt;&gt;-""),
  0), AZ$6),
  AZ$6 - COUNTIF(AZ58, ""&lt;&gt;-"")
)"),2.0)</f>
        <v>2</v>
      </c>
      <c r="BB58" s="181" t="s">
        <v>1070</v>
      </c>
      <c r="BC58" s="183">
        <f>IFERROR(__xludf.DUMMYFUNCTION("IF(
  ISNUMBER(BC57),
  MIN(MAX(
    BC57
    + MAX(
      ROUNDDOWN(($D58 - MAX(IFERROR(FILTER($D$24:$D57, BC$24:BC57 &lt;&gt; BB$6, BC$23:BC56 = BB$6), 0))) * (60 * 60 * 24) / BB$9) - ROUNDDOWN(($D57 - MAX(IFERROR(FILTER($D$23:$D56, BC$23:BC56 &lt;&gt; BB$6, BC$22:"&amp;"BC55 = BB$6), 0))) * (60 * 60 * 24) / 60),
      0
    )
    - COUNTIF(BB58, ""&lt;&gt;-""),
  0), BB$6),
  BB$6 - COUNTIF(BB58, ""&lt;&gt;-"")
)"),2.0)</f>
        <v>2</v>
      </c>
      <c r="BD58" s="181" t="s">
        <v>1070</v>
      </c>
      <c r="BE58" s="178" t="b">
        <v>0</v>
      </c>
      <c r="BF58" s="180" t="b">
        <v>0</v>
      </c>
      <c r="BG58" s="180" t="b">
        <v>0</v>
      </c>
      <c r="BH58" s="180" t="b">
        <v>0</v>
      </c>
      <c r="BI58" s="180" t="b">
        <v>0</v>
      </c>
      <c r="BJ58" s="180" t="b">
        <v>0</v>
      </c>
      <c r="BK58" s="180" t="b">
        <v>0</v>
      </c>
      <c r="BL58" s="180" t="b">
        <v>0</v>
      </c>
      <c r="BM58" s="180" t="b">
        <v>0</v>
      </c>
      <c r="BN58" s="180" t="b">
        <v>0</v>
      </c>
      <c r="BO58" s="181" t="s">
        <v>1070</v>
      </c>
      <c r="BP58" s="181" t="s">
        <v>1070</v>
      </c>
      <c r="BQ58" s="181" t="s">
        <v>1070</v>
      </c>
      <c r="BR58" s="181" t="s">
        <v>1070</v>
      </c>
      <c r="BS58" s="181" t="s">
        <v>1070</v>
      </c>
      <c r="BT58" s="184">
        <f>IFERROR(__xludf.DUMMYFUNCTION("IF(
  ISNUMBER(BT57),
  MIN(MAX(
    BT57
    + MAX(
      ROUNDDOWN((D58 - MAX(IFERROR(FILTER(D$24:D57, BT$24:BT57 &lt;&gt; BS$6, BT$23:BT56 = BS$6), 0))) * (60 * 60 * 24) / BS$9) - ROUNDDOWN((D57 - MAX(IFERROR(FILTER(D$23:D56, BT$23:BT56 &lt;&gt; BS$6, BT$22:BT55 ="&amp;" BS$6), 0))) * (60 * 60 * 24) / BS$9),
      0
    )
    - COUNTIF(BS58, ""&lt;&gt;-""),
  0), BS$6),
  BS$6 - COUNTIF(BS58, ""&lt;&gt;-"")
)"),3.0)</f>
        <v>3</v>
      </c>
      <c r="BU58" s="181" t="s">
        <v>1070</v>
      </c>
      <c r="BV58" s="181" t="s">
        <v>1070</v>
      </c>
      <c r="BW58" s="184">
        <f>IFERROR(__xludf.DUMMYFUNCTION("IF(
  ISNUMBER(BW57),
  MIN(MAX(
    BW57
    + MAX(
      ROUNDDOWN((D58 - MAX(IFERROR(FILTER(D$24:D57, BW$24:BW57 &lt;&gt; BV$6, BW$23:BW56 = BV$6), 0))) * (60 * 60 * 24) / BV$9) - ROUNDDOWN((D57 - MAX(IFERROR(FILTER(D$23:D56, BW$23:BW56 &lt;&gt; BV$6, BW$22:BW55 ="&amp;" BV$6), 0))) * (60 * 60 * 24) / BV$9),
      0
    )
    - COUNTIF(BV58, ""&lt;&gt;-""),
  0), BV$6),
  BV$6 - COUNTIF(BV58, ""&lt;&gt;-"")
)"),2.0)</f>
        <v>2</v>
      </c>
      <c r="BX58" s="185" t="s">
        <v>1070</v>
      </c>
      <c r="BY58" s="178" t="b">
        <v>0</v>
      </c>
      <c r="BZ58" s="180" t="b">
        <v>0</v>
      </c>
      <c r="CA58" s="180" t="b">
        <v>0</v>
      </c>
      <c r="CB58" s="180" t="b">
        <v>0</v>
      </c>
      <c r="CC58" s="180" t="b">
        <v>0</v>
      </c>
      <c r="CD58" s="180" t="b">
        <v>0</v>
      </c>
      <c r="CE58" s="180" t="b">
        <v>0</v>
      </c>
      <c r="CF58" s="180" t="b">
        <v>0</v>
      </c>
      <c r="CG58" s="180" t="b">
        <v>0</v>
      </c>
      <c r="CH58" s="180" t="b">
        <v>0</v>
      </c>
      <c r="CI58" s="180" t="b">
        <v>0</v>
      </c>
      <c r="CJ58" s="180" t="b">
        <v>0</v>
      </c>
      <c r="CK58" s="180" t="b">
        <v>0</v>
      </c>
      <c r="CL58" s="180" t="b">
        <v>0</v>
      </c>
      <c r="CM58" s="181" t="s">
        <v>1070</v>
      </c>
      <c r="CN58" s="181" t="s">
        <v>1070</v>
      </c>
      <c r="CO58" s="181" t="s">
        <v>1070</v>
      </c>
      <c r="CP58" s="181" t="s">
        <v>1070</v>
      </c>
      <c r="CQ58" s="185" t="s">
        <v>1070</v>
      </c>
      <c r="CR58" s="180" t="b">
        <v>0</v>
      </c>
      <c r="CS58" s="186" t="str">
        <f t="shared" si="14"/>
        <v>◇◇◇</v>
      </c>
      <c r="CT58" s="178" t="b">
        <v>0</v>
      </c>
      <c r="CU58" s="180" t="b">
        <v>0</v>
      </c>
      <c r="CV58" s="180" t="b">
        <v>0</v>
      </c>
      <c r="CW58" s="180" t="b">
        <v>0</v>
      </c>
      <c r="CX58" s="180" t="b">
        <v>0</v>
      </c>
      <c r="CY58" s="180" t="b">
        <v>0</v>
      </c>
      <c r="CZ58" s="180" t="b">
        <v>0</v>
      </c>
      <c r="DA58" s="180" t="b">
        <v>0</v>
      </c>
      <c r="DB58" s="180" t="b">
        <v>0</v>
      </c>
      <c r="DC58" s="180" t="b">
        <v>0</v>
      </c>
      <c r="DD58" s="181" t="s">
        <v>1070</v>
      </c>
      <c r="DE58" s="181" t="s">
        <v>1070</v>
      </c>
      <c r="DF58" s="181" t="s">
        <v>1070</v>
      </c>
      <c r="DG58" s="185" t="s">
        <v>1070</v>
      </c>
      <c r="DH58" s="180" t="b">
        <v>0</v>
      </c>
      <c r="DI58" s="187" t="str">
        <f>IFERROR(__xludf.DUMMYFUNCTION("SWITCH(
  IF(
    ISTEXT(DI57),
    IF (
      FIND(""○"", DI57&amp;""○"") &gt; 3,
      3,
      FIND(""○"", DI57&amp;""○"")
      + MAX(
        ROUNDDOWN(($D58 - MAX(IFERROR(FILTER(D$24:D57, DI$24:DI57 &lt;&gt; ""●●●"", DI$23:DI56 = ""●●●""), 0))) * (60 * 60 * 24) / 20"&amp;") - ROUNDDOWN(($D57 - MAX(IFERROR(FILTER(D$23:D56, DI$23:DI56 &lt;&gt; ""●●●"", DI$22:DI55 = ""●●●""), 0))) * (60 * 60 * 24) / 20),
        0
      ) - 1
    ) - COUNTIFS(CU58, ""=TRUE"", CU57, ""&lt;&gt;TRUE"") - COUNTIF(CZ58, ""=TRUE"") - COUNTIF({DD58,DE58}, ""&lt;&gt;-"&amp;""") + COUNTIF(DH58, ""=TRUE""),
    3
  ),
  0, ""○○○"", 1, ""●○○"", 2, ""●●○"", 3, ""●●●"", 4, ""●●●"", ""○○○""
)"),"●●●")</f>
        <v>●●●</v>
      </c>
      <c r="DJ58" s="188" t="b">
        <v>0</v>
      </c>
      <c r="DK58" s="189" t="b">
        <v>0</v>
      </c>
      <c r="DL58" s="190" t="b">
        <v>0</v>
      </c>
      <c r="DM58" s="190" t="b">
        <v>0</v>
      </c>
      <c r="DN58" s="190" t="b">
        <v>0</v>
      </c>
      <c r="DO58" s="190" t="b">
        <v>0</v>
      </c>
      <c r="DP58" s="190" t="b">
        <v>0</v>
      </c>
      <c r="DQ58" s="191" t="b">
        <v>0</v>
      </c>
      <c r="DR58" s="192" t="b">
        <v>0</v>
      </c>
      <c r="DS58" s="191" t="b">
        <v>0</v>
      </c>
      <c r="DT58" s="192" t="b">
        <v>0</v>
      </c>
      <c r="DU58" s="191" t="b">
        <v>0</v>
      </c>
      <c r="DV58" s="193" t="s">
        <v>1070</v>
      </c>
      <c r="DW58" s="194" t="b">
        <v>0</v>
      </c>
      <c r="DX58" s="194" t="b">
        <v>0</v>
      </c>
      <c r="DY58" s="195" t="b">
        <v>0</v>
      </c>
      <c r="DZ58" s="196" t="b">
        <v>0</v>
      </c>
      <c r="EA58" s="195" t="b">
        <v>0</v>
      </c>
      <c r="EB58" s="197" t="b">
        <v>0</v>
      </c>
      <c r="EC58" s="197" t="b">
        <v>0</v>
      </c>
      <c r="ED58" s="212" t="b">
        <v>0</v>
      </c>
      <c r="EE58" s="199">
        <f>IFERROR(__xludf.DUMMYFUNCTION("IFERROR(
   PRODUCT(
     MAP(
       INDEX(TRANSPOSE(UNIQUE(TRANSPOSE(FILTER({IF($F58=""Physical"", K$10:ED$10, IF($F58=""Magic"", K$11:ED$11, K$12:ED$12));K$4:ED$4;K58:ED58}, K58:ED58=TRUE)))), 1, 0),
       INDEX(TRANSPOSE(UNIQUE(TRANSPOSE(FILTER({IF($"&amp;"F58=""Physical"", K$18:ED$18, IF($F58=""Magic"", K$19:ED$19, K$20:ED$20));K$4:ED$4;K58:ED58}, K58:ED58=TRUE)))), 1, 0),
       INDEX(TRANSPOSE(UNIQUE(TRANSPOSE(FILTER({K$5:ED$5;K$4:ED$4;K58:ED58}, K58:ED58=TRUE)))), 1, 0),
       INDEX(TRANSPOSE(UNIQUE(TR"&amp;"ANSPOSE(FILTER({K$17:ED$17;K$4:ED$4;K58:ED58}, K58:ED58=TRUE)))), 1, 0),
       LAMBDA(
         mitigation,
         enhance,
         assign,
         precondition,
         IF(
           REGEXMATCH(assign, ""RANGE_PARTY|SINGLE_ENEMY|RANGE_ENEMY""),
  "&amp;"         IF(
             OR(ARRAYFORMULA((IF(precondition="""", FALSE, REGEXMATCH(K$4:ED$4, precondition))) * (K58:ED58=TRUE))),
             IF(ISNUMBER(enhance), enhance, 1),
             IF(ISNUMBER(mitigation), mitigation, 1)
           ),
          "&amp;" 1
         )
       )
     )
   ),
   1
 )"),1.0)</f>
        <v>1</v>
      </c>
      <c r="EF58" s="200">
        <f>IFERROR(__xludf.DUMMYFUNCTION("PRODUCT(
   MAP(
     K$14:ED$14,
     K$13:ED$13,
     K58:ED58,
     LAMBDA(
       buff,
       target,
       check,
       IF(
         AND(check=TRUE, REGEXMATCH(target, ""RANGE_AFFECTED_ALL|RANGE_EFFECTED_ALL""), ISNUMBER(buff)),
         buff,
   "&amp;"      1
       )
     )
   )
 )"),1.0)</f>
        <v>1</v>
      </c>
      <c r="EG58" s="200">
        <f>IFERROR(__xludf.DUMMYFUNCTION("PRODUCT(
   MAP(
     K$14:ED$14,
     K$13:ED$13,
     K58:ED58,
     LAMBDA(
       buff,
       target,
       check,
       IF(
         AND(check=TRUE, REGEXMATCH(target, ""RANGE_AFFECTED_GCD|RANGE_EFFECTED_GCD""), ISNUMBER(buff)),
         buff,
   "&amp;"      1
       )
     )
   )
 )"),1.0)</f>
        <v>1</v>
      </c>
      <c r="EH58" s="200">
        <f>IFERROR(__xludf.DUMMYFUNCTION("PRODUCT(
   MAP(
     K$3:ED$3,
     K$14:ED$14,
     K$13:ED$13,
     K58:ED58,
     LAMBDA(
       job,
       buff,
       target,
       check,
       IF(
         AND(check=TRUE, REGEXMATCH(target, ""SELF_EFFECTED_ALL""), ISNUMBER(buff), job=""白魔道士"""&amp;"),
         buff,
         1
       )
     )
   )
 )"),1.0)</f>
        <v>1</v>
      </c>
      <c r="EI58" s="200">
        <f>IFERROR(__xludf.DUMMYFUNCTION("PRODUCT(
   MAP(
     K$3:ED$3,
     K$14:ED$14,
     K$13:ED$13,
     K58:ED58,
     LAMBDA(
       job,
       buff,
       target,
       check,
       IF(
         AND(check=TRUE, REGEXMATCH(target, ""SELF_EFFECTED_GCD""), ISNUMBER(buff), job=""白魔道士"""&amp;"),
         buff,
         1
       )
     )
   )
 )"),1.0)</f>
        <v>1</v>
      </c>
      <c r="EJ58" s="200">
        <f>IFERROR(__xludf.DUMMYFUNCTION("PRODUCT(
   MAP(
     K$3:ED$3,
     K$14:ED$14,
     K$13:ED$13,
     K58:ED58,
     LAMBDA(
       job,
       buff,
       target,
       check,
       IF(
         AND(check=TRUE, REGEXMATCH(target, ""SELF_EFFECTED_ALL""), ISNUMBER(buff), job=""占星術師"""&amp;"),
         buff,
         1
       )
     )
   )
 )"),1.0)</f>
        <v>1</v>
      </c>
      <c r="EK58" s="200">
        <f>IFERROR(__xludf.DUMMYFUNCTION("PRODUCT(
   MAP(
     K$3:ED$3,
     K$14:ED$14,
     K$13:ED$13,
     K58:ED58,
     LAMBDA(
       job,
       buff,
       target,
       check,
       IF(
         AND(check=TRUE, REGEXMATCH(target, ""SELF_EFFECTED_GCD""), ISNUMBER(buff), job=""占星術師"""&amp;"),
         buff,
         1
       )
     )
   )
 )"),1.0)</f>
        <v>1</v>
      </c>
      <c r="EL58" s="200">
        <f>IFERROR(__xludf.DUMMYFUNCTION("PRODUCT(
   MAP(
     K$3:ED$3,
     K$14:ED$14,
     K$13:ED$13,
     K58:ED58,
     LAMBDA(
       job,
       buff,
       target,
       check,
       IF(
         AND(check=TRUE, REGEXMATCH(target, ""SELF_EFFECTED_ALL""), ISNUMBER(buff), job=""学者""),"&amp;"
         buff,
         1
       )
     )
   )
 )"),1.0)</f>
        <v>1</v>
      </c>
      <c r="EM58" s="200">
        <f>IFERROR(__xludf.DUMMYFUNCTION("PRODUCT(
   MAP(
     K$3:ED$3,
     K$14:ED$14,
     K$13:ED$13,
     K58:ED58,
     LAMBDA(
       job,
       buff,
       target,
       check,
       IF(
         AND(check=TRUE, REGEXMATCH(target, ""SELF_EFFECTED_GCD""), ISNUMBER(buff), job=""学者""),"&amp;"
         buff,
         1
       )
     )
   )
 )"),1.0)</f>
        <v>1</v>
      </c>
      <c r="EN58" s="200">
        <f>IFERROR(__xludf.DUMMYFUNCTION("PRODUCT(
   MAP(
     K$3:ED$3,
     K$14:ED$14,
     K$13:ED$13,
     K58:ED58,
     LAMBDA(
       job,
       buff,
       target,
       check,
       IF(
         AND(check=TRUE, REGEXMATCH(target, ""SELF_EFFECTED_ALL""), ISNUMBER(buff), job=""賢者""),"&amp;"
         buff,
         1
       )
     )
   )
 )"),1.0)</f>
        <v>1</v>
      </c>
      <c r="EO58" s="200">
        <f>IFERROR(__xludf.DUMMYFUNCTION("PRODUCT(
   MAP(
     K$3:ED$3,
     K$14:ED$14,
     K$13:ED$13,
     K58:ED58,
     LAMBDA(
       job,
       buff,
       target,
       check,
       IF(
         AND(check=TRUE, REGEXMATCH(target, ""SELF_EFFECTED_GCD""), ISNUMBER(buff), job=""賢者""),"&amp;"
         buff,
         1
       )
     )
   )
 )"),1.0)</f>
        <v>1</v>
      </c>
      <c r="EP58" s="201">
        <f t="shared" si="3"/>
        <v>0</v>
      </c>
      <c r="EQ58" s="201">
        <f>IFERROR(__xludf.DUMMYFUNCTION("SUM(
   MAP(
     K$4:ED$4,
     K$3:ED$3,
     K$7:ED$7,
     K$15:ED$15,
     K$16:ED$16,
     K$21:ED$21,
     K$5:ED$5,
     K$17:ED$17,
     K58:ED58,
     LAMBDA(
       name,
       job,
       abillity,
       buff,
       barrier,
       enhance,"&amp;"
       assign,
       precondition,
       check,
       SWITCH(
         name,
         ""シェイクオフ"", IF(check=TRUE, buff + (0.02 * COUNTIF(ARRAYFORMULA((REGEXMATCH($K$4:$ED$4, ""スリル・オブ・バトル|ヴェンジェンス|原初の血気|ダムネーション"")) * (K58:ED58=TRUE)), 1)), 0),
         "&amp;"""インプロビゼーションフィニッシュ(踊りの激情0)"", IF(ISNUMBER(check), INDEX(Skill!$AJ:$AJ, MATCH(SUBSTITUTE(DV$4, 0, check), Skill!$C:$C, 0)), 0),
         IF(
           AND(check=TRUE, REGEXMATCH(assign, ""RANGE_PARTY"")),
           IF(
             OR(ARRAYFORMULA((IF(pr"&amp;"econdition="""", FALSE, REGEXMATCH($K$4:$ED$4, precondition))) * (K58:ED58=TRUE))),
             enhance,
             IF(barrier="""", buff, barrier)
           ),
           0
         )
       ) *
       SWITCH(
         job,
         ""ナイト"", EY$24,
 "&amp;"        ""戦士"", FD$24,
         ""踊り子"", ET$24,
         ""ピクトマンサー"", ET$24,
         ""白魔道士"", EF58 * EH58 * IF(abillity, 1, EG58 * EI58) * (Option!$D$22 * 0.81 / 100),
         ""占星術師"", EF58 * EJ58 * IF(abillity, 1, EG58 * EK58) * (Option!$D$23 * 0.81 "&amp;"/ 100),
         ""学者"", EF58 * EL58 * IF(abillity, 1, EG58 * EM58) * (Option!$D$24 * 0.81 / 100),
         ""賢者"", EF58 * EN58 * IF(abillity, 1, EG58 * EO58) * (Option!$D$25 * 0.81 / 100),
         1
       )
     )
   )
 )"),0.0)</f>
        <v>0</v>
      </c>
      <c r="ER58" s="202">
        <f t="shared" si="4"/>
        <v>0</v>
      </c>
      <c r="ES58" s="203">
        <f t="shared" si="5"/>
        <v>0</v>
      </c>
      <c r="ET58" s="231" t="str">
        <f>IFERROR(__xludf.DUMMYFUNCTION("IFS(
  EP58 &gt; $ET$24 + EQ58,
  SPARKLINE({ 1, 0 }, {""charttype"",""bar"";""max"", 1;""color1"",Option!$D$30;""color2"",Option!$D$30}),
  EP58 &lt; EQ58,
  SPARKLINE({EQ58 - EP58, $ET$24 - (EQ58 - EP58)}, {""charttype"",""bar"";""max"",$ET$24;""color1"",Opti"&amp;"on!$D$28;""color2"",Option!$D$29}),
  EP58 &gt;= EQ58,
  SPARKLINE({$ET$24 + EQ58 - EP58,EP58 - EQ58}, {""charttype"",""bar"";""max"",$ET$24;""color1"",Option!$D$29;""color2"",Option!$D$30})
)"),"")</f>
        <v/>
      </c>
      <c r="EU58" s="205">
        <f>IFERROR(__xludf.DUMMYFUNCTION("PRODUCT(
   MAP(
     IF($F58=""Physical"", K$10:ED$10, IF($F58=""Magic"", K$11:ED$11, K$12:ED$12)),
     IF($F58=""Physical"", K$18:ED$18, IF($F58=""Magic"", K$19:ED$19, K$20:ED$20)),
     K$3:ED$3,
     K$5:ED$5,
     K$17:ED$17,
     K58:ED58,
     LAM"&amp;"BDA(
       mitigation,
       enhance,
       job,
       assign,
       precondition,
       check,
       IF(
         OR(AND(check=TRUE, REGEXMATCH(assign, ""SELF""), job=""ナイト""), AND(check=Option!$E$13, REGEXMATCH(assign, ""SINGLE_PARTY""))),
      "&amp;"   IF(
           OR(ARRAYFORMULA((IF(precondition="""", FALSE, REGEXMATCH($K$4:$ED$4, precondition))) * (K58:ED58=TRUE))),
           enhance,
           mitigation
         ),
         1
       )
     )
   )
 ) * EE58"),1.0)</f>
        <v>1</v>
      </c>
      <c r="EV58" s="206">
        <f t="shared" si="6"/>
        <v>0</v>
      </c>
      <c r="EW58" s="205">
        <f>IFERROR(__xludf.DUMMYFUNCTION("PRODUCT(
   MAP(
     K$3:ED$3,
     K$14:ED$14,
     K$13:ED$13,
     K58:ED58,
     LAMBDA(
       job,
       buff,
       target,
       check,
       IF(
         OR(AND(check=TRUE, REGEXMATCH(target, ""SELF_AFFECTED_ALL""), job=""ナイト""), AND(check=O"&amp;"ption!$E$13, REGEXMATCH(target, ""SINGLE_AFFECTED_ALL""))),
         buff,
         1
       )
     )
   )
 )"),1.0)</f>
        <v>1</v>
      </c>
      <c r="EX58" s="206">
        <f>IFERROR(__xludf.DUMMYFUNCTION("SUM(
   MAP(
     K$3:ED$3,
     K$7:ED$7,
     K$15:ED$15,
     K$16:ED$16,
     K$21:ED$21,
     K$5:ED$5,
     K$17:ED$17,
     K58:ED58,
     LAMBDA(
       job,
       abillity,
       buff,
       barrier,
       enhance,
       assign,
       preco"&amp;"ndition,
       check,
       IF(
         OR(AND(check=TRUE, REGEXMATCH(assign, ""SELF""), job=""ナイト""), AND(check=Option!$E$13, REGEXMATCH(assign, ""SINGLE_PARTY""))),
         IF(
           OR(ARRAYFORMULA((IF(precondition="""", FALSE, REGEXMATCH($K$4"&amp;":$ED$4, precondition))) * (K58:ED58=TRUE))),
           enhance,
           IF(barrier="""", buff, barrier)
         ),
         0
       ) *
       SWITCH(
         job,
         ""暗黒騎士"", EY$24,
         ""白魔道士"", EF58 * EH58 * EW58 * IF(abillity, 1, EG"&amp;"58 * EI58) * (Option!$D$22 * 0.81 / 100),
         ""占星術師"", EF58 * EJ58 * EW58 * IF(abillity, 1, EG58 * EK58) * (Option!$D$23 * 0.81 / 100),
         ""学者"", EF58 * EL58 * EW58 * IF(abillity, 1, EG58 * EM58) * (Option!$D$24 * 0.81 / 100),
         ""賢者"""&amp;", EF58 * EN58 * EW58 * IF(abillity, 1, EG58 * EO58) * (Option!$D$25 * 0.81 / 100),
         1
       )
     )
   )
 ) + EQ58"),0.0)</f>
        <v>0</v>
      </c>
      <c r="EY58" s="232">
        <f t="shared" si="7"/>
        <v>0</v>
      </c>
      <c r="EZ58" s="205">
        <f>IFERROR(__xludf.DUMMYFUNCTION("PRODUCT(
   MAP(
     IF($F58=""Physical"", K$10:ED$10, IF($F58=""Magic"", K$11:ED$11, K$12:ED$12)),
     IF($F58=""Physical"", K$18:ED$18, IF($F58=""Magic"", K$19:ED$19, K$20:ED$20)),
     K$3:ED$3,
     K$5:ED$5,
     K$17:ED$17,
     K58:ED58,
     LAM"&amp;"BDA(
       mitigation,
       enhance,
       job,
       assign,
       precondition,
       check,
       IF(
         OR(AND(check=TRUE, REGEXMATCH(assign, ""SELF""), job=""戦士""), AND(check=Option!$F$13, REGEXMATCH(assign, ""SINGLE_PARTY""))),
       "&amp;"  IF(
           OR(ARRAYFORMULA((IF(precondition="""", FALSE, REGEXMATCH($K$4:$ED$4, precondition))) * (K58:ED58=TRUE))),
           enhance,
           mitigation
         ),
         1
       )
     )
   )
 ) * EE58"),1.0)</f>
        <v>1</v>
      </c>
      <c r="FA58" s="206">
        <f t="shared" si="8"/>
        <v>0</v>
      </c>
      <c r="FB58" s="205">
        <f>IFERROR(__xludf.DUMMYFUNCTION("PRODUCT(
   MAP(
     K$3:ED$3,
     K$14:ED$14,
     K$13:ED$13,
     K58:ED58,
     LAMBDA(
       job,
       buff,
       target,
       check,
       IF(
         OR(AND(check=TRUE, REGEXMATCH(target, ""SELF_AFFECTED_ALL""), job=""戦士""), AND(check=Op"&amp;"tion!$F$13, REGEXMATCH(target, ""SINGLE_AFFECTED_ALL""))),
         buff,
         1
       )
     )
   )
 )"),1.0)</f>
        <v>1</v>
      </c>
      <c r="FC58" s="206">
        <f>IFERROR(__xludf.DUMMYFUNCTION("SUM(
   MAP(
     K$3:ED$3,
     K$7:ED$7,
     K$15:ED$15,
     K$16:ED$16,
     K$21:ED$21,
     K$5:ED$5,
     K$17:ED$17,
     K58:ED58,
     LAMBDA(
       job,
       abillity,
       buff,
       barrier,
       enhance,
       assign,
       preco"&amp;"ndition,
       check,
       IF(
         OR(AND(check=TRUE, REGEXMATCH(assign, ""SELF""), job=""戦士""), AND(check=Option!$F$13, REGEXMATCH(assign, ""SINGLE_PARTY""))),
         IF(
           OR(ARRAYFORMULA((IF(precondition="""", FALSE, REGEXMATCH($K$4:"&amp;"$ED$4, precondition))) * (K58:ED58=TRUE))),
           enhance,
           IF(barrier="""", buff, barrier)
         ),
         0
       ) *
       SWITCH(
         job,
         ""暗黒騎士"", FD$24,
         ""白魔道士"", EF58 * EH58 * FB58 * IF(abillity, 1, EG5"&amp;"8 * EI58) * (Option!$D$22 * 0.81 / 100),
         ""占星術師"", EF58 * EJ58 * FFB58 * IF(abillity, 1, EG58 * EK58) * (Option!$D$23 * 0.81 / 100),
         ""学者"", EF58 * EL58 * FB58 * IF(abillity, 1, EG58 * EM58) * (Option!$D$24 * 0.81 / 100),
         ""賢者"""&amp;", EF58 * EN58 * FB58 * IF(abillity, 1, EG58 * EO58) * (Option!$D$25 * 0.81 / 100),
         1
       )
     )
   )
 ) + EQ58"),0.0)</f>
        <v>0</v>
      </c>
      <c r="FD58" s="206">
        <f t="shared" si="9"/>
        <v>0</v>
      </c>
      <c r="FE58" s="205">
        <f>IFERROR(__xludf.DUMMYFUNCTION("PRODUCT(
   MAP(
     IF($F58=""Physical"", K$10:ED$10, IF($F58=""Magic"", K$11:ED$11, K$12:ED$12)),
     IF($F58=""Physical"", K$18:ED$18, IF($F58=""Magic"", K$19:ED$19, K$20:ED$20)),
     K$3:ED$3,
     K$5:ED$5,
     K$17:ED$17,
     K58:ED58,
     LAM"&amp;"BDA(
       mitigation,
       enhance,
       job,
       assign,
       precondition,
       check,
       IF(
         OR(AND(check=TRUE, REGEXMATCH(assign, ""SELF""), job=""暗黒騎士""), AND(check=Option!$G$13, REGEXMATCH(assign, ""SINGLE_PARTY""))),
     "&amp;"    IF(
           OR(ARRAYFORMULA((IF(precondition="""", FALSE, REGEXMATCH($K$4:$ED$4, precondition))) * (K58:ED58=TRUE))),
           enhance,
           mitigation
         ),
         1
       )
     )
   )
 ) * EE58"),1.0)</f>
        <v>1</v>
      </c>
      <c r="FF58" s="206">
        <f t="shared" si="10"/>
        <v>0</v>
      </c>
      <c r="FG58" s="205">
        <f>IFERROR(__xludf.DUMMYFUNCTION("PRODUCT(
   MAP(
     K$3:ED$3,
     K$14:ED$14,
     K$13:ED$13,
     K58:ED58,
     LAMBDA(
       job,
       buff,
       target,
       check,
       IF(
         OR(AND(check=TRUE, REGEXMATCH(target, ""SELF_AFFECTED_ALL""), job=""暗黒騎士""), AND(check="&amp;"Option!$G$13, REGEXMATCH(target, ""SINGLE_AFFECTED_ALL""))),
         buff,
         1
       )
     )
   )
 )"),1.0)</f>
        <v>1</v>
      </c>
      <c r="FH58" s="206">
        <f>IFERROR(__xludf.DUMMYFUNCTION("SUM(
   MAP(
     K$3:ED$3,
     K$7:ED$7,
     K$15:ED$15,
     K$16:ED$16,
     K$21:ED$21,
     K$5:ED$5,
     K$17:ED$17,
     K58:ED58,
     LAMBDA(
       job,
       abillity,
       buff,
       barrier,
       enhance,
       assign,
       preco"&amp;"ndition,
       check,
       IF(
         OR(AND(check=TRUE, REGEXMATCH(assign, ""SELF""), job=""暗黒騎士""), AND(check=Option!$G$13, REGEXMATCH(assign, ""SINGLE_PARTY""))),
         IF(
           OR(ARRAYFORMULA((IF(precondition="""", FALSE, REGEXMATCH($K$"&amp;"4:$ED$4, precondition))) * (K58:ED58=TRUE))),
           enhance,
           IF(barrier="""", buff, barrier)
         ),
         0
       ) *
       SWITCH(
         job,
         ""暗黒騎士"", FI$24,
         ""白魔道士"", EF58 * EH58 * FG58 * IF(abillity, 1, E"&amp;"G58 * EI58) * (Option!$D$22 * 0.81 / 100),
         ""占星術師"", EF58 * EJ58 * FG58 * IF(abillity, 1, EG58 * EK58) * (Option!$D$23 * 0.81 / 100),
         ""学者"", EF58 * EL58 * FG58 * IF(abillity, 1, EG58 * EM58) * (Option!$D$24 * 0.81 / 100),
         ""賢者"&amp;""", EF58 * EN58 * FG58 * IF(abillity, 1, EG58 * EO58) * (Option!$D$25 * 0.81 / 100),
         1
       )
     )
   )
 ) + EQ58"),0.0)</f>
        <v>0</v>
      </c>
      <c r="FI58" s="206">
        <f t="shared" si="11"/>
        <v>0</v>
      </c>
      <c r="FJ58" s="205">
        <f>IFERROR(__xludf.DUMMYFUNCTION("PRODUCT(
   MAP(
     IF($F58=""Physical"", K$10:ED$10, IF($F58=""Magic"", K$11:ED$11, K$12:ED$12)),
     IF($F58=""Physical"", K$18:ED$18, IF($F58=""Magic"", K$19:ED$19, K$20:ED$20)),
     K$3:ED$3,
     K$5:ED$5,
     K$17:ED$17,
     K58:ED58,
     LAM"&amp;"BDA(
       mitigation,
       enhance,
       job,
       assign,
       precondition,
       check,
       IF(
         OR(AND(check=TRUE, REGEXMATCH(assign, ""SELF""), job=""ガンブレイカー""), AND(check=Option!$H$13, REGEXMATCH(assign, ""SINGLE_PARTY""))),
  "&amp;"       IF(
           OR(ARRAYFORMULA((IF(precondition="""", FALSE, REGEXMATCH($K$4:$ED$4, precondition))) * (K58:ED58=TRUE))),
           enhance,
           mitigation
         ),
         1
       )
     )
   )
 ) * EE58"),1.0)</f>
        <v>1</v>
      </c>
      <c r="FK58" s="206">
        <f t="shared" si="12"/>
        <v>0</v>
      </c>
      <c r="FL58" s="205">
        <f>IFERROR(__xludf.DUMMYFUNCTION("PRODUCT(
   MAP(
     K$3:ED$3,
     K$14:ED$14,
     K$13:ED$13,
     K58:ED58,
     LAMBDA(
       job,
       buff,
       target,
       check,
       IF(
         OR(AND(check=TRUE, REGEXMATCH(target, ""SELF_AFFECTED_ALL""), job=""ガンブレイカー""), AND(che"&amp;"ck=Option!$H$13, REGEXMATCH(target, ""SINGLE_AFFECTED_ALL""))),
         buff,
         1
       )
     )
   )
 )"),1.0)</f>
        <v>1</v>
      </c>
      <c r="FM58" s="206">
        <f>IFERROR(__xludf.DUMMYFUNCTION("SUM(
   MAP(
     K$3:ED$3,
     K$7:ED$7,
     K$15:ED$15,
     K$16:ED$16,
     K$21:ED$21,
     K$5:ED$5,
     K$17:ED$17,
     K58:ED58,
     LAMBDA(
       job,
       abillity,
       buff,
       barrier,
       enhance,
       assign,
       preco"&amp;"ndition,
       check,
       IF(
         OR(AND(check=TRUE, REGEXMATCH(assign, ""SELF""), job=""ガンブレイカー""), AND(check=Option!$H$13, REGEXMATCH(assign, ""SINGLE_PARTY""))),
         IF(
           OR(ARRAYFORMULA((IF(precondition="""", FALSE, REGEXMATCH("&amp;"$K$4:$ED$4, precondition))) * (K58:ED58=TRUE))),
           enhance,
           IF(barrier="""", buff, barrier)
         ),
         0
       ) *
       SWITCH(
         job,
         ""暗黒騎士"", FN$24,
         ""白魔道士"", EF58 * EH58 * FL58 * IF(abillity, 1"&amp;", EG58 * EI58) * (Option!$D$22 * 0.81 / 100),
         ""占星術師"", EF58 * EJ58 * FL58 * IF(abillity, 1, EG58 * EK58) * (Option!$D$23 * 0.81 / 100),
         ""学者"", EF58 * EL58 * FL58 * IF(abillity, 1, EG58 * EM58) * (Option!$D$24 * 0.81 / 100),
         """&amp;"賢者"", EF58 * EN58 * FL58 * IF(abillity, 1, EG58 * EO58) * (Option!$D$25 * 0.81 / 100),
         1
       )
     )
   )
 ) + EQ58"),0.0)</f>
        <v>0</v>
      </c>
      <c r="FN58" s="206">
        <f t="shared" si="13"/>
        <v>0</v>
      </c>
      <c r="FO58" s="213"/>
    </row>
    <row r="59">
      <c r="B59" s="229"/>
      <c r="C59" s="217"/>
      <c r="D59" s="236"/>
      <c r="E59" s="238"/>
      <c r="F59" s="167"/>
      <c r="G59" s="168" t="str">
        <f t="shared" si="2"/>
        <v/>
      </c>
      <c r="H59" s="169"/>
      <c r="I59" s="169"/>
      <c r="J59" s="169"/>
      <c r="K59" s="170" t="b">
        <v>0</v>
      </c>
      <c r="L59" s="170" t="b">
        <v>0</v>
      </c>
      <c r="M59" s="170" t="b">
        <v>0</v>
      </c>
      <c r="N59" s="171" t="s">
        <v>1070</v>
      </c>
      <c r="O59" s="172" t="b">
        <v>0</v>
      </c>
      <c r="P59" s="173" t="b">
        <v>0</v>
      </c>
      <c r="Q59" s="173" t="b">
        <v>0</v>
      </c>
      <c r="R59" s="173" t="b">
        <v>0</v>
      </c>
      <c r="S59" s="174" t="b">
        <v>0</v>
      </c>
      <c r="T59" s="175" t="b">
        <v>0</v>
      </c>
      <c r="U59" s="173" t="b">
        <v>0</v>
      </c>
      <c r="V59" s="171" t="s">
        <v>1070</v>
      </c>
      <c r="W59" s="172" t="b">
        <v>0</v>
      </c>
      <c r="X59" s="173" t="b">
        <v>0</v>
      </c>
      <c r="Y59" s="173" t="b">
        <v>0</v>
      </c>
      <c r="Z59" s="173" t="b">
        <v>0</v>
      </c>
      <c r="AA59" s="174" t="b">
        <v>0</v>
      </c>
      <c r="AB59" s="174" t="b">
        <v>0</v>
      </c>
      <c r="AC59" s="175" t="b">
        <v>0</v>
      </c>
      <c r="AD59" s="173" t="b">
        <v>0</v>
      </c>
      <c r="AE59" s="176" t="s">
        <v>1070</v>
      </c>
      <c r="AF59" s="171" t="s">
        <v>1070</v>
      </c>
      <c r="AG59" s="177">
        <f>IFERROR(__xludf.DUMMYFUNCTION("IF(
  ISNUMBER(AG58),
  MIN(MAX(
    AG58
    + MAX(
      ROUNDDOWN(($D59 - MAX(IFERROR(FILTER($D$24:$D58, AG$24:AG58 &lt;&gt; AF$6, AG$23:AG57 = AF$6), 0))) * (60 * 60 * 24) / AF$9) - ROUNDDOWN(($D58 - MAX(IFERROR(FILTER($D$23:$D57, AG$23:AG57 &lt;&gt; AF$6, AG$22:"&amp;"AG56 = AF$6), 0))) * (60 * 60 * 24) / 60),
      0
    )
    - COUNTIF(AF59, ""&lt;&gt;-""),
  0), AF$6),
  AF$6 - COUNTIF(AF59, ""&lt;&gt;-"")
)"),2.0)</f>
        <v>2</v>
      </c>
      <c r="AH59" s="173" t="b">
        <v>0</v>
      </c>
      <c r="AI59" s="173" t="b">
        <v>0</v>
      </c>
      <c r="AJ59" s="173" t="b">
        <v>0</v>
      </c>
      <c r="AK59" s="174" t="b">
        <v>0</v>
      </c>
      <c r="AL59" s="175" t="b">
        <v>0</v>
      </c>
      <c r="AM59" s="173" t="b">
        <v>0</v>
      </c>
      <c r="AN59" s="171" t="s">
        <v>1070</v>
      </c>
      <c r="AO59" s="173" t="b">
        <v>0</v>
      </c>
      <c r="AP59" s="173" t="b">
        <v>0</v>
      </c>
      <c r="AQ59" s="173" t="b">
        <v>0</v>
      </c>
      <c r="AR59" s="174" t="b">
        <v>0</v>
      </c>
      <c r="AS59" s="178" t="b">
        <v>0</v>
      </c>
      <c r="AT59" s="179" t="b">
        <v>0</v>
      </c>
      <c r="AU59" s="180" t="b">
        <v>0</v>
      </c>
      <c r="AV59" s="180" t="b">
        <v>0</v>
      </c>
      <c r="AW59" s="180" t="b">
        <v>0</v>
      </c>
      <c r="AX59" s="180" t="b">
        <v>0</v>
      </c>
      <c r="AY59" s="181" t="s">
        <v>1070</v>
      </c>
      <c r="AZ59" s="181" t="s">
        <v>1070</v>
      </c>
      <c r="BA59" s="184">
        <f>IFERROR(__xludf.DUMMYFUNCTION("IF(
  ISNUMBER(BA58),
  MIN(MAX(
    BA58
    + MAX(
      ROUNDDOWN((D59 - MAX(IFERROR(FILTER(D$24:D58, BA$24:BA58 &lt;&gt; AZ$6, BA$23:BA57 = AZ$6), 0))) * (60 * 60 * 24) / AZ$9) - ROUNDDOWN((D58 - MAX(IFERROR(FILTER(D$23:D57, BA$23:BA57 &lt;&gt; AZ$6, BA$22:BA56 ="&amp;" AZ$6), 0))) * (60 * 60 * 24) / AZ$9),
      0
    )
    - COUNTIF(AZ59, ""&lt;&gt;-""),
  0), AZ$6),
  AZ$6 - COUNTIF(AZ59, ""&lt;&gt;-"")
)"),2.0)</f>
        <v>2</v>
      </c>
      <c r="BB59" s="181" t="s">
        <v>1070</v>
      </c>
      <c r="BC59" s="183">
        <f>IFERROR(__xludf.DUMMYFUNCTION("IF(
  ISNUMBER(BC58),
  MIN(MAX(
    BC58
    + MAX(
      ROUNDDOWN(($D59 - MAX(IFERROR(FILTER($D$24:$D58, BC$24:BC58 &lt;&gt; BB$6, BC$23:BC57 = BB$6), 0))) * (60 * 60 * 24) / BB$9) - ROUNDDOWN(($D58 - MAX(IFERROR(FILTER($D$23:$D57, BC$23:BC57 &lt;&gt; BB$6, BC$22:"&amp;"BC56 = BB$6), 0))) * (60 * 60 * 24) / 60),
      0
    )
    - COUNTIF(BB59, ""&lt;&gt;-""),
  0), BB$6),
  BB$6 - COUNTIF(BB59, ""&lt;&gt;-"")
)"),2.0)</f>
        <v>2</v>
      </c>
      <c r="BD59" s="181" t="s">
        <v>1070</v>
      </c>
      <c r="BE59" s="178" t="b">
        <v>0</v>
      </c>
      <c r="BF59" s="180" t="b">
        <v>0</v>
      </c>
      <c r="BG59" s="180" t="b">
        <v>0</v>
      </c>
      <c r="BH59" s="180" t="b">
        <v>0</v>
      </c>
      <c r="BI59" s="180" t="b">
        <v>0</v>
      </c>
      <c r="BJ59" s="180" t="b">
        <v>0</v>
      </c>
      <c r="BK59" s="180" t="b">
        <v>0</v>
      </c>
      <c r="BL59" s="180" t="b">
        <v>0</v>
      </c>
      <c r="BM59" s="180" t="b">
        <v>0</v>
      </c>
      <c r="BN59" s="180" t="b">
        <v>0</v>
      </c>
      <c r="BO59" s="181" t="s">
        <v>1070</v>
      </c>
      <c r="BP59" s="181" t="s">
        <v>1070</v>
      </c>
      <c r="BQ59" s="181" t="s">
        <v>1070</v>
      </c>
      <c r="BR59" s="181" t="s">
        <v>1070</v>
      </c>
      <c r="BS59" s="181" t="s">
        <v>1070</v>
      </c>
      <c r="BT59" s="184">
        <f>IFERROR(__xludf.DUMMYFUNCTION("IF(
  ISNUMBER(BT58),
  MIN(MAX(
    BT58
    + MAX(
      ROUNDDOWN((D59 - MAX(IFERROR(FILTER(D$24:D58, BT$24:BT58 &lt;&gt; BS$6, BT$23:BT57 = BS$6), 0))) * (60 * 60 * 24) / BS$9) - ROUNDDOWN((D58 - MAX(IFERROR(FILTER(D$23:D57, BT$23:BT57 &lt;&gt; BS$6, BT$22:BT56 ="&amp;" BS$6), 0))) * (60 * 60 * 24) / BS$9),
      0
    )
    - COUNTIF(BS59, ""&lt;&gt;-""),
  0), BS$6),
  BS$6 - COUNTIF(BS59, ""&lt;&gt;-"")
)"),3.0)</f>
        <v>3</v>
      </c>
      <c r="BU59" s="181" t="s">
        <v>1070</v>
      </c>
      <c r="BV59" s="181" t="s">
        <v>1070</v>
      </c>
      <c r="BW59" s="184">
        <f>IFERROR(__xludf.DUMMYFUNCTION("IF(
  ISNUMBER(BW58),
  MIN(MAX(
    BW58
    + MAX(
      ROUNDDOWN((D59 - MAX(IFERROR(FILTER(D$24:D58, BW$24:BW58 &lt;&gt; BV$6, BW$23:BW57 = BV$6), 0))) * (60 * 60 * 24) / BV$9) - ROUNDDOWN((D58 - MAX(IFERROR(FILTER(D$23:D57, BW$23:BW57 &lt;&gt; BV$6, BW$22:BW56 ="&amp;" BV$6), 0))) * (60 * 60 * 24) / BV$9),
      0
    )
    - COUNTIF(BV59, ""&lt;&gt;-""),
  0), BV$6),
  BV$6 - COUNTIF(BV59, ""&lt;&gt;-"")
)"),2.0)</f>
        <v>2</v>
      </c>
      <c r="BX59" s="185" t="s">
        <v>1070</v>
      </c>
      <c r="BY59" s="178" t="b">
        <v>0</v>
      </c>
      <c r="BZ59" s="180" t="b">
        <v>0</v>
      </c>
      <c r="CA59" s="180" t="b">
        <v>0</v>
      </c>
      <c r="CB59" s="180" t="b">
        <v>0</v>
      </c>
      <c r="CC59" s="180" t="b">
        <v>0</v>
      </c>
      <c r="CD59" s="180" t="b">
        <v>0</v>
      </c>
      <c r="CE59" s="180" t="b">
        <v>0</v>
      </c>
      <c r="CF59" s="180" t="b">
        <v>0</v>
      </c>
      <c r="CG59" s="180" t="b">
        <v>0</v>
      </c>
      <c r="CH59" s="180" t="b">
        <v>0</v>
      </c>
      <c r="CI59" s="180" t="b">
        <v>0</v>
      </c>
      <c r="CJ59" s="180" t="b">
        <v>0</v>
      </c>
      <c r="CK59" s="180" t="b">
        <v>0</v>
      </c>
      <c r="CL59" s="180" t="b">
        <v>0</v>
      </c>
      <c r="CM59" s="181" t="s">
        <v>1070</v>
      </c>
      <c r="CN59" s="181" t="s">
        <v>1070</v>
      </c>
      <c r="CO59" s="181" t="s">
        <v>1070</v>
      </c>
      <c r="CP59" s="181" t="s">
        <v>1070</v>
      </c>
      <c r="CQ59" s="185" t="s">
        <v>1070</v>
      </c>
      <c r="CR59" s="180" t="b">
        <v>0</v>
      </c>
      <c r="CS59" s="186" t="str">
        <f t="shared" si="14"/>
        <v>◇◇◇</v>
      </c>
      <c r="CT59" s="178" t="b">
        <v>0</v>
      </c>
      <c r="CU59" s="180" t="b">
        <v>0</v>
      </c>
      <c r="CV59" s="180" t="b">
        <v>0</v>
      </c>
      <c r="CW59" s="180" t="b">
        <v>0</v>
      </c>
      <c r="CX59" s="180" t="b">
        <v>0</v>
      </c>
      <c r="CY59" s="180" t="b">
        <v>0</v>
      </c>
      <c r="CZ59" s="180" t="b">
        <v>0</v>
      </c>
      <c r="DA59" s="180" t="b">
        <v>0</v>
      </c>
      <c r="DB59" s="180" t="b">
        <v>0</v>
      </c>
      <c r="DC59" s="180" t="b">
        <v>0</v>
      </c>
      <c r="DD59" s="181" t="s">
        <v>1070</v>
      </c>
      <c r="DE59" s="181" t="s">
        <v>1070</v>
      </c>
      <c r="DF59" s="181" t="s">
        <v>1070</v>
      </c>
      <c r="DG59" s="185" t="s">
        <v>1070</v>
      </c>
      <c r="DH59" s="180" t="b">
        <v>0</v>
      </c>
      <c r="DI59" s="187" t="str">
        <f>IFERROR(__xludf.DUMMYFUNCTION("SWITCH(
  IF(
    ISTEXT(DI58),
    IF (
      FIND(""○"", DI58&amp;""○"") &gt; 3,
      3,
      FIND(""○"", DI58&amp;""○"")
      + MAX(
        ROUNDDOWN(($D59 - MAX(IFERROR(FILTER(D$24:D58, DI$24:DI58 &lt;&gt; ""●●●"", DI$23:DI57 = ""●●●""), 0))) * (60 * 60 * 24) / 20"&amp;") - ROUNDDOWN(($D58 - MAX(IFERROR(FILTER(D$23:D57, DI$23:DI57 &lt;&gt; ""●●●"", DI$22:DI56 = ""●●●""), 0))) * (60 * 60 * 24) / 20),
        0
      ) - 1
    ) - COUNTIFS(CU59, ""=TRUE"", CU58, ""&lt;&gt;TRUE"") - COUNTIF(CZ59, ""=TRUE"") - COUNTIF({DD59,DE59}, ""&lt;&gt;-"&amp;""") + COUNTIF(DH59, ""=TRUE""),
    3
  ),
  0, ""○○○"", 1, ""●○○"", 2, ""●●○"", 3, ""●●●"", 4, ""●●●"", ""○○○""
)"),"●●●")</f>
        <v>●●●</v>
      </c>
      <c r="DJ59" s="188" t="b">
        <v>0</v>
      </c>
      <c r="DK59" s="189" t="b">
        <v>0</v>
      </c>
      <c r="DL59" s="190" t="b">
        <v>0</v>
      </c>
      <c r="DM59" s="190" t="b">
        <v>0</v>
      </c>
      <c r="DN59" s="190" t="b">
        <v>0</v>
      </c>
      <c r="DO59" s="190" t="b">
        <v>0</v>
      </c>
      <c r="DP59" s="190" t="b">
        <v>0</v>
      </c>
      <c r="DQ59" s="191" t="b">
        <v>0</v>
      </c>
      <c r="DR59" s="192" t="b">
        <v>0</v>
      </c>
      <c r="DS59" s="191" t="b">
        <v>0</v>
      </c>
      <c r="DT59" s="192" t="b">
        <v>0</v>
      </c>
      <c r="DU59" s="191" t="b">
        <v>0</v>
      </c>
      <c r="DV59" s="193" t="s">
        <v>1070</v>
      </c>
      <c r="DW59" s="194" t="b">
        <v>0</v>
      </c>
      <c r="DX59" s="194" t="b">
        <v>0</v>
      </c>
      <c r="DY59" s="195" t="b">
        <v>0</v>
      </c>
      <c r="DZ59" s="196" t="b">
        <v>0</v>
      </c>
      <c r="EA59" s="195" t="b">
        <v>0</v>
      </c>
      <c r="EB59" s="197" t="b">
        <v>0</v>
      </c>
      <c r="EC59" s="197" t="b">
        <v>0</v>
      </c>
      <c r="ED59" s="212" t="b">
        <v>0</v>
      </c>
      <c r="EE59" s="199">
        <f>IFERROR(__xludf.DUMMYFUNCTION("IFERROR(
   PRODUCT(
     MAP(
       INDEX(TRANSPOSE(UNIQUE(TRANSPOSE(FILTER({IF($F59=""Physical"", K$10:ED$10, IF($F59=""Magic"", K$11:ED$11, K$12:ED$12));K$4:ED$4;K59:ED59}, K59:ED59=TRUE)))), 1, 0),
       INDEX(TRANSPOSE(UNIQUE(TRANSPOSE(FILTER({IF($"&amp;"F59=""Physical"", K$18:ED$18, IF($F59=""Magic"", K$19:ED$19, K$20:ED$20));K$4:ED$4;K59:ED59}, K59:ED59=TRUE)))), 1, 0),
       INDEX(TRANSPOSE(UNIQUE(TRANSPOSE(FILTER({K$5:ED$5;K$4:ED$4;K59:ED59}, K59:ED59=TRUE)))), 1, 0),
       INDEX(TRANSPOSE(UNIQUE(TR"&amp;"ANSPOSE(FILTER({K$17:ED$17;K$4:ED$4;K59:ED59}, K59:ED59=TRUE)))), 1, 0),
       LAMBDA(
         mitigation,
         enhance,
         assign,
         precondition,
         IF(
           REGEXMATCH(assign, ""RANGE_PARTY|SINGLE_ENEMY|RANGE_ENEMY""),
  "&amp;"         IF(
             OR(ARRAYFORMULA((IF(precondition="""", FALSE, REGEXMATCH(K$4:ED$4, precondition))) * (K59:ED59=TRUE))),
             IF(ISNUMBER(enhance), enhance, 1),
             IF(ISNUMBER(mitigation), mitigation, 1)
           ),
          "&amp;" 1
         )
       )
     )
   ),
   1
 )"),1.0)</f>
        <v>1</v>
      </c>
      <c r="EF59" s="200">
        <f>IFERROR(__xludf.DUMMYFUNCTION("PRODUCT(
   MAP(
     K$14:ED$14,
     K$13:ED$13,
     K59:ED59,
     LAMBDA(
       buff,
       target,
       check,
       IF(
         AND(check=TRUE, REGEXMATCH(target, ""RANGE_AFFECTED_ALL|RANGE_EFFECTED_ALL""), ISNUMBER(buff)),
         buff,
   "&amp;"      1
       )
     )
   )
 )"),1.0)</f>
        <v>1</v>
      </c>
      <c r="EG59" s="200">
        <f>IFERROR(__xludf.DUMMYFUNCTION("PRODUCT(
   MAP(
     K$14:ED$14,
     K$13:ED$13,
     K59:ED59,
     LAMBDA(
       buff,
       target,
       check,
       IF(
         AND(check=TRUE, REGEXMATCH(target, ""RANGE_AFFECTED_GCD|RANGE_EFFECTED_GCD""), ISNUMBER(buff)),
         buff,
   "&amp;"      1
       )
     )
   )
 )"),1.0)</f>
        <v>1</v>
      </c>
      <c r="EH59" s="200">
        <f>IFERROR(__xludf.DUMMYFUNCTION("PRODUCT(
   MAP(
     K$3:ED$3,
     K$14:ED$14,
     K$13:ED$13,
     K59:ED59,
     LAMBDA(
       job,
       buff,
       target,
       check,
       IF(
         AND(check=TRUE, REGEXMATCH(target, ""SELF_EFFECTED_ALL""), ISNUMBER(buff), job=""白魔道士"""&amp;"),
         buff,
         1
       )
     )
   )
 )"),1.0)</f>
        <v>1</v>
      </c>
      <c r="EI59" s="200">
        <f>IFERROR(__xludf.DUMMYFUNCTION("PRODUCT(
   MAP(
     K$3:ED$3,
     K$14:ED$14,
     K$13:ED$13,
     K59:ED59,
     LAMBDA(
       job,
       buff,
       target,
       check,
       IF(
         AND(check=TRUE, REGEXMATCH(target, ""SELF_EFFECTED_GCD""), ISNUMBER(buff), job=""白魔道士"""&amp;"),
         buff,
         1
       )
     )
   )
 )"),1.0)</f>
        <v>1</v>
      </c>
      <c r="EJ59" s="200">
        <f>IFERROR(__xludf.DUMMYFUNCTION("PRODUCT(
   MAP(
     K$3:ED$3,
     K$14:ED$14,
     K$13:ED$13,
     K59:ED59,
     LAMBDA(
       job,
       buff,
       target,
       check,
       IF(
         AND(check=TRUE, REGEXMATCH(target, ""SELF_EFFECTED_ALL""), ISNUMBER(buff), job=""占星術師"""&amp;"),
         buff,
         1
       )
     )
   )
 )"),1.0)</f>
        <v>1</v>
      </c>
      <c r="EK59" s="200">
        <f>IFERROR(__xludf.DUMMYFUNCTION("PRODUCT(
   MAP(
     K$3:ED$3,
     K$14:ED$14,
     K$13:ED$13,
     K59:ED59,
     LAMBDA(
       job,
       buff,
       target,
       check,
       IF(
         AND(check=TRUE, REGEXMATCH(target, ""SELF_EFFECTED_GCD""), ISNUMBER(buff), job=""占星術師"""&amp;"),
         buff,
         1
       )
     )
   )
 )"),1.0)</f>
        <v>1</v>
      </c>
      <c r="EL59" s="200">
        <f>IFERROR(__xludf.DUMMYFUNCTION("PRODUCT(
   MAP(
     K$3:ED$3,
     K$14:ED$14,
     K$13:ED$13,
     K59:ED59,
     LAMBDA(
       job,
       buff,
       target,
       check,
       IF(
         AND(check=TRUE, REGEXMATCH(target, ""SELF_EFFECTED_ALL""), ISNUMBER(buff), job=""学者""),"&amp;"
         buff,
         1
       )
     )
   )
 )"),1.0)</f>
        <v>1</v>
      </c>
      <c r="EM59" s="200">
        <f>IFERROR(__xludf.DUMMYFUNCTION("PRODUCT(
   MAP(
     K$3:ED$3,
     K$14:ED$14,
     K$13:ED$13,
     K59:ED59,
     LAMBDA(
       job,
       buff,
       target,
       check,
       IF(
         AND(check=TRUE, REGEXMATCH(target, ""SELF_EFFECTED_GCD""), ISNUMBER(buff), job=""学者""),"&amp;"
         buff,
         1
       )
     )
   )
 )"),1.0)</f>
        <v>1</v>
      </c>
      <c r="EN59" s="200">
        <f>IFERROR(__xludf.DUMMYFUNCTION("PRODUCT(
   MAP(
     K$3:ED$3,
     K$14:ED$14,
     K$13:ED$13,
     K59:ED59,
     LAMBDA(
       job,
       buff,
       target,
       check,
       IF(
         AND(check=TRUE, REGEXMATCH(target, ""SELF_EFFECTED_ALL""), ISNUMBER(buff), job=""賢者""),"&amp;"
         buff,
         1
       )
     )
   )
 )"),1.0)</f>
        <v>1</v>
      </c>
      <c r="EO59" s="200">
        <f>IFERROR(__xludf.DUMMYFUNCTION("PRODUCT(
   MAP(
     K$3:ED$3,
     K$14:ED$14,
     K$13:ED$13,
     K59:ED59,
     LAMBDA(
       job,
       buff,
       target,
       check,
       IF(
         AND(check=TRUE, REGEXMATCH(target, ""SELF_EFFECTED_GCD""), ISNUMBER(buff), job=""賢者""),"&amp;"
         buff,
         1
       )
     )
   )
 )"),1.0)</f>
        <v>1</v>
      </c>
      <c r="EP59" s="201">
        <f t="shared" si="3"/>
        <v>0</v>
      </c>
      <c r="EQ59" s="201">
        <f>IFERROR(__xludf.DUMMYFUNCTION("SUM(
   MAP(
     K$4:ED$4,
     K$3:ED$3,
     K$7:ED$7,
     K$15:ED$15,
     K$16:ED$16,
     K$21:ED$21,
     K$5:ED$5,
     K$17:ED$17,
     K59:ED59,
     LAMBDA(
       name,
       job,
       abillity,
       buff,
       barrier,
       enhance,"&amp;"
       assign,
       precondition,
       check,
       SWITCH(
         name,
         ""シェイクオフ"", IF(check=TRUE, buff + (0.02 * COUNTIF(ARRAYFORMULA((REGEXMATCH($K$4:$ED$4, ""スリル・オブ・バトル|ヴェンジェンス|原初の血気|ダムネーション"")) * (K59:ED59=TRUE)), 1)), 0),
         "&amp;"""インプロビゼーションフィニッシュ(踊りの激情0)"", IF(ISNUMBER(check), INDEX(Skill!$AJ:$AJ, MATCH(SUBSTITUTE(DV$4, 0, check), Skill!$C:$C, 0)), 0),
         IF(
           AND(check=TRUE, REGEXMATCH(assign, ""RANGE_PARTY"")),
           IF(
             OR(ARRAYFORMULA((IF(pr"&amp;"econdition="""", FALSE, REGEXMATCH($K$4:$ED$4, precondition))) * (K59:ED59=TRUE))),
             enhance,
             IF(barrier="""", buff, barrier)
           ),
           0
         )
       ) *
       SWITCH(
         job,
         ""ナイト"", EY$24,
 "&amp;"        ""戦士"", FD$24,
         ""踊り子"", ET$24,
         ""ピクトマンサー"", ET$24,
         ""白魔道士"", EF59 * EH59 * IF(abillity, 1, EG59 * EI59) * (Option!$D$22 * 0.81 / 100),
         ""占星術師"", EF59 * EJ59 * IF(abillity, 1, EG59 * EK59) * (Option!$D$23 * 0.81 "&amp;"/ 100),
         ""学者"", EF59 * EL59 * IF(abillity, 1, EG59 * EM59) * (Option!$D$24 * 0.81 / 100),
         ""賢者"", EF59 * EN59 * IF(abillity, 1, EG59 * EO59) * (Option!$D$25 * 0.81 / 100),
         1
       )
     )
   )
 )"),0.0)</f>
        <v>0</v>
      </c>
      <c r="ER59" s="202">
        <f t="shared" si="4"/>
        <v>0</v>
      </c>
      <c r="ES59" s="203">
        <f t="shared" si="5"/>
        <v>0</v>
      </c>
      <c r="ET59" s="231" t="str">
        <f>IFERROR(__xludf.DUMMYFUNCTION("IFS(
  EP59 &gt; $ET$24 + EQ59,
  SPARKLINE({ 1, 0 }, {""charttype"",""bar"";""max"", 1;""color1"",Option!$D$30;""color2"",Option!$D$30}),
  EP59 &lt; EQ59,
  SPARKLINE({EQ59 - EP59, $ET$24 - (EQ59 - EP59)}, {""charttype"",""bar"";""max"",$ET$24;""color1"",Opti"&amp;"on!$D$28;""color2"",Option!$D$29}),
  EP59 &gt;= EQ59,
  SPARKLINE({$ET$24 + EQ59 - EP59,EP59 - EQ59}, {""charttype"",""bar"";""max"",$ET$24;""color1"",Option!$D$29;""color2"",Option!$D$30})
)"),"")</f>
        <v/>
      </c>
      <c r="EU59" s="205">
        <f>IFERROR(__xludf.DUMMYFUNCTION("PRODUCT(
   MAP(
     IF($F59=""Physical"", K$10:ED$10, IF($F59=""Magic"", K$11:ED$11, K$12:ED$12)),
     IF($F59=""Physical"", K$18:ED$18, IF($F59=""Magic"", K$19:ED$19, K$20:ED$20)),
     K$3:ED$3,
     K$5:ED$5,
     K$17:ED$17,
     K59:ED59,
     LAM"&amp;"BDA(
       mitigation,
       enhance,
       job,
       assign,
       precondition,
       check,
       IF(
         OR(AND(check=TRUE, REGEXMATCH(assign, ""SELF""), job=""ナイト""), AND(check=Option!$E$13, REGEXMATCH(assign, ""SINGLE_PARTY""))),
      "&amp;"   IF(
           OR(ARRAYFORMULA((IF(precondition="""", FALSE, REGEXMATCH($K$4:$ED$4, precondition))) * (K59:ED59=TRUE))),
           enhance,
           mitigation
         ),
         1
       )
     )
   )
 ) * EE59"),1.0)</f>
        <v>1</v>
      </c>
      <c r="EV59" s="206">
        <f t="shared" si="6"/>
        <v>0</v>
      </c>
      <c r="EW59" s="205">
        <f>IFERROR(__xludf.DUMMYFUNCTION("PRODUCT(
   MAP(
     K$3:ED$3,
     K$14:ED$14,
     K$13:ED$13,
     K59:ED59,
     LAMBDA(
       job,
       buff,
       target,
       check,
       IF(
         OR(AND(check=TRUE, REGEXMATCH(target, ""SELF_AFFECTED_ALL""), job=""ナイト""), AND(check=O"&amp;"ption!$E$13, REGEXMATCH(target, ""SINGLE_AFFECTED_ALL""))),
         buff,
         1
       )
     )
   )
 )"),1.0)</f>
        <v>1</v>
      </c>
      <c r="EX59" s="206">
        <f>IFERROR(__xludf.DUMMYFUNCTION("SUM(
   MAP(
     K$3:ED$3,
     K$7:ED$7,
     K$15:ED$15,
     K$16:ED$16,
     K$21:ED$21,
     K$5:ED$5,
     K$17:ED$17,
     K59:ED59,
     LAMBDA(
       job,
       abillity,
       buff,
       barrier,
       enhance,
       assign,
       preco"&amp;"ndition,
       check,
       IF(
         OR(AND(check=TRUE, REGEXMATCH(assign, ""SELF""), job=""ナイト""), AND(check=Option!$E$13, REGEXMATCH(assign, ""SINGLE_PARTY""))),
         IF(
           OR(ARRAYFORMULA((IF(precondition="""", FALSE, REGEXMATCH($K$4"&amp;":$ED$4, precondition))) * (K59:ED59=TRUE))),
           enhance,
           IF(barrier="""", buff, barrier)
         ),
         0
       ) *
       SWITCH(
         job,
         ""暗黒騎士"", EY$24,
         ""白魔道士"", EF59 * EH59 * EW59 * IF(abillity, 1, EG"&amp;"59 * EI59) * (Option!$D$22 * 0.81 / 100),
         ""占星術師"", EF59 * EJ59 * EW59 * IF(abillity, 1, EG59 * EK59) * (Option!$D$23 * 0.81 / 100),
         ""学者"", EF59 * EL59 * EW59 * IF(abillity, 1, EG59 * EM59) * (Option!$D$24 * 0.81 / 100),
         ""賢者"""&amp;", EF59 * EN59 * EW59 * IF(abillity, 1, EG59 * EO59) * (Option!$D$25 * 0.81 / 100),
         1
       )
     )
   )
 ) + EQ59"),0.0)</f>
        <v>0</v>
      </c>
      <c r="EY59" s="232">
        <f t="shared" si="7"/>
        <v>0</v>
      </c>
      <c r="EZ59" s="205">
        <f>IFERROR(__xludf.DUMMYFUNCTION("PRODUCT(
   MAP(
     IF($F59=""Physical"", K$10:ED$10, IF($F59=""Magic"", K$11:ED$11, K$12:ED$12)),
     IF($F59=""Physical"", K$18:ED$18, IF($F59=""Magic"", K$19:ED$19, K$20:ED$20)),
     K$3:ED$3,
     K$5:ED$5,
     K$17:ED$17,
     K59:ED59,
     LAM"&amp;"BDA(
       mitigation,
       enhance,
       job,
       assign,
       precondition,
       check,
       IF(
         OR(AND(check=TRUE, REGEXMATCH(assign, ""SELF""), job=""戦士""), AND(check=Option!$F$13, REGEXMATCH(assign, ""SINGLE_PARTY""))),
       "&amp;"  IF(
           OR(ARRAYFORMULA((IF(precondition="""", FALSE, REGEXMATCH($K$4:$ED$4, precondition))) * (K59:ED59=TRUE))),
           enhance,
           mitigation
         ),
         1
       )
     )
   )
 ) * EE59"),1.0)</f>
        <v>1</v>
      </c>
      <c r="FA59" s="206">
        <f t="shared" si="8"/>
        <v>0</v>
      </c>
      <c r="FB59" s="205">
        <f>IFERROR(__xludf.DUMMYFUNCTION("PRODUCT(
   MAP(
     K$3:ED$3,
     K$14:ED$14,
     K$13:ED$13,
     K59:ED59,
     LAMBDA(
       job,
       buff,
       target,
       check,
       IF(
         OR(AND(check=TRUE, REGEXMATCH(target, ""SELF_AFFECTED_ALL""), job=""戦士""), AND(check=Op"&amp;"tion!$F$13, REGEXMATCH(target, ""SINGLE_AFFECTED_ALL""))),
         buff,
         1
       )
     )
   )
 )"),1.0)</f>
        <v>1</v>
      </c>
      <c r="FC59" s="206">
        <f>IFERROR(__xludf.DUMMYFUNCTION("SUM(
   MAP(
     K$3:ED$3,
     K$7:ED$7,
     K$15:ED$15,
     K$16:ED$16,
     K$21:ED$21,
     K$5:ED$5,
     K$17:ED$17,
     K59:ED59,
     LAMBDA(
       job,
       abillity,
       buff,
       barrier,
       enhance,
       assign,
       preco"&amp;"ndition,
       check,
       IF(
         OR(AND(check=TRUE, REGEXMATCH(assign, ""SELF""), job=""戦士""), AND(check=Option!$F$13, REGEXMATCH(assign, ""SINGLE_PARTY""))),
         IF(
           OR(ARRAYFORMULA((IF(precondition="""", FALSE, REGEXMATCH($K$4:"&amp;"$ED$4, precondition))) * (K59:ED59=TRUE))),
           enhance,
           IF(barrier="""", buff, barrier)
         ),
         0
       ) *
       SWITCH(
         job,
         ""暗黒騎士"", FD$24,
         ""白魔道士"", EF59 * EH59 * FB59 * IF(abillity, 1, EG5"&amp;"9 * EI59) * (Option!$D$22 * 0.81 / 100),
         ""占星術師"", EF59 * EJ59 * FFB59 * IF(abillity, 1, EG59 * EK59) * (Option!$D$23 * 0.81 / 100),
         ""学者"", EF59 * EL59 * FB59 * IF(abillity, 1, EG59 * EM59) * (Option!$D$24 * 0.81 / 100),
         ""賢者"""&amp;", EF59 * EN59 * FB59 * IF(abillity, 1, EG59 * EO59) * (Option!$D$25 * 0.81 / 100),
         1
       )
     )
   )
 ) + EQ59"),0.0)</f>
        <v>0</v>
      </c>
      <c r="FD59" s="206">
        <f t="shared" si="9"/>
        <v>0</v>
      </c>
      <c r="FE59" s="205">
        <f>IFERROR(__xludf.DUMMYFUNCTION("PRODUCT(
   MAP(
     IF($F59=""Physical"", K$10:ED$10, IF($F59=""Magic"", K$11:ED$11, K$12:ED$12)),
     IF($F59=""Physical"", K$18:ED$18, IF($F59=""Magic"", K$19:ED$19, K$20:ED$20)),
     K$3:ED$3,
     K$5:ED$5,
     K$17:ED$17,
     K59:ED59,
     LAM"&amp;"BDA(
       mitigation,
       enhance,
       job,
       assign,
       precondition,
       check,
       IF(
         OR(AND(check=TRUE, REGEXMATCH(assign, ""SELF""), job=""暗黒騎士""), AND(check=Option!$G$13, REGEXMATCH(assign, ""SINGLE_PARTY""))),
     "&amp;"    IF(
           OR(ARRAYFORMULA((IF(precondition="""", FALSE, REGEXMATCH($K$4:$ED$4, precondition))) * (K59:ED59=TRUE))),
           enhance,
           mitigation
         ),
         1
       )
     )
   )
 ) * EE59"),1.0)</f>
        <v>1</v>
      </c>
      <c r="FF59" s="206">
        <f t="shared" si="10"/>
        <v>0</v>
      </c>
      <c r="FG59" s="205">
        <f>IFERROR(__xludf.DUMMYFUNCTION("PRODUCT(
   MAP(
     K$3:ED$3,
     K$14:ED$14,
     K$13:ED$13,
     K59:ED59,
     LAMBDA(
       job,
       buff,
       target,
       check,
       IF(
         OR(AND(check=TRUE, REGEXMATCH(target, ""SELF_AFFECTED_ALL""), job=""暗黒騎士""), AND(check="&amp;"Option!$G$13, REGEXMATCH(target, ""SINGLE_AFFECTED_ALL""))),
         buff,
         1
       )
     )
   )
 )"),1.0)</f>
        <v>1</v>
      </c>
      <c r="FH59" s="206">
        <f>IFERROR(__xludf.DUMMYFUNCTION("SUM(
   MAP(
     K$3:ED$3,
     K$7:ED$7,
     K$15:ED$15,
     K$16:ED$16,
     K$21:ED$21,
     K$5:ED$5,
     K$17:ED$17,
     K59:ED59,
     LAMBDA(
       job,
       abillity,
       buff,
       barrier,
       enhance,
       assign,
       preco"&amp;"ndition,
       check,
       IF(
         OR(AND(check=TRUE, REGEXMATCH(assign, ""SELF""), job=""暗黒騎士""), AND(check=Option!$G$13, REGEXMATCH(assign, ""SINGLE_PARTY""))),
         IF(
           OR(ARRAYFORMULA((IF(precondition="""", FALSE, REGEXMATCH($K$"&amp;"4:$ED$4, precondition))) * (K59:ED59=TRUE))),
           enhance,
           IF(barrier="""", buff, barrier)
         ),
         0
       ) *
       SWITCH(
         job,
         ""暗黒騎士"", FI$24,
         ""白魔道士"", EF59 * EH59 * FG59 * IF(abillity, 1, E"&amp;"G59 * EI59) * (Option!$D$22 * 0.81 / 100),
         ""占星術師"", EF59 * EJ59 * FG59 * IF(abillity, 1, EG59 * EK59) * (Option!$D$23 * 0.81 / 100),
         ""学者"", EF59 * EL59 * FG59 * IF(abillity, 1, EG59 * EM59) * (Option!$D$24 * 0.81 / 100),
         ""賢者"&amp;""", EF59 * EN59 * FG59 * IF(abillity, 1, EG59 * EO59) * (Option!$D$25 * 0.81 / 100),
         1
       )
     )
   )
 ) + EQ59"),0.0)</f>
        <v>0</v>
      </c>
      <c r="FI59" s="206">
        <f t="shared" si="11"/>
        <v>0</v>
      </c>
      <c r="FJ59" s="205">
        <f>IFERROR(__xludf.DUMMYFUNCTION("PRODUCT(
   MAP(
     IF($F59=""Physical"", K$10:ED$10, IF($F59=""Magic"", K$11:ED$11, K$12:ED$12)),
     IF($F59=""Physical"", K$18:ED$18, IF($F59=""Magic"", K$19:ED$19, K$20:ED$20)),
     K$3:ED$3,
     K$5:ED$5,
     K$17:ED$17,
     K59:ED59,
     LAM"&amp;"BDA(
       mitigation,
       enhance,
       job,
       assign,
       precondition,
       check,
       IF(
         OR(AND(check=TRUE, REGEXMATCH(assign, ""SELF""), job=""ガンブレイカー""), AND(check=Option!$H$13, REGEXMATCH(assign, ""SINGLE_PARTY""))),
  "&amp;"       IF(
           OR(ARRAYFORMULA((IF(precondition="""", FALSE, REGEXMATCH($K$4:$ED$4, precondition))) * (K59:ED59=TRUE))),
           enhance,
           mitigation
         ),
         1
       )
     )
   )
 ) * EE59"),1.0)</f>
        <v>1</v>
      </c>
      <c r="FK59" s="206">
        <f t="shared" si="12"/>
        <v>0</v>
      </c>
      <c r="FL59" s="205">
        <f>IFERROR(__xludf.DUMMYFUNCTION("PRODUCT(
   MAP(
     K$3:ED$3,
     K$14:ED$14,
     K$13:ED$13,
     K59:ED59,
     LAMBDA(
       job,
       buff,
       target,
       check,
       IF(
         OR(AND(check=TRUE, REGEXMATCH(target, ""SELF_AFFECTED_ALL""), job=""ガンブレイカー""), AND(che"&amp;"ck=Option!$H$13, REGEXMATCH(target, ""SINGLE_AFFECTED_ALL""))),
         buff,
         1
       )
     )
   )
 )"),1.0)</f>
        <v>1</v>
      </c>
      <c r="FM59" s="206">
        <f>IFERROR(__xludf.DUMMYFUNCTION("SUM(
   MAP(
     K$3:ED$3,
     K$7:ED$7,
     K$15:ED$15,
     K$16:ED$16,
     K$21:ED$21,
     K$5:ED$5,
     K$17:ED$17,
     K59:ED59,
     LAMBDA(
       job,
       abillity,
       buff,
       barrier,
       enhance,
       assign,
       preco"&amp;"ndition,
       check,
       IF(
         OR(AND(check=TRUE, REGEXMATCH(assign, ""SELF""), job=""ガンブレイカー""), AND(check=Option!$H$13, REGEXMATCH(assign, ""SINGLE_PARTY""))),
         IF(
           OR(ARRAYFORMULA((IF(precondition="""", FALSE, REGEXMATCH("&amp;"$K$4:$ED$4, precondition))) * (K59:ED59=TRUE))),
           enhance,
           IF(barrier="""", buff, barrier)
         ),
         0
       ) *
       SWITCH(
         job,
         ""暗黒騎士"", FN$24,
         ""白魔道士"", EF59 * EH59 * FL59 * IF(abillity, 1"&amp;", EG59 * EI59) * (Option!$D$22 * 0.81 / 100),
         ""占星術師"", EF59 * EJ59 * FL59 * IF(abillity, 1, EG59 * EK59) * (Option!$D$23 * 0.81 / 100),
         ""学者"", EF59 * EL59 * FL59 * IF(abillity, 1, EG59 * EM59) * (Option!$D$24 * 0.81 / 100),
         """&amp;"賢者"", EF59 * EN59 * FL59 * IF(abillity, 1, EG59 * EO59) * (Option!$D$25 * 0.81 / 100),
         1
       )
     )
   )
 ) + EQ59"),0.0)</f>
        <v>0</v>
      </c>
      <c r="FN59" s="206">
        <f t="shared" si="13"/>
        <v>0</v>
      </c>
      <c r="FO59" s="213"/>
    </row>
    <row r="60">
      <c r="B60" s="229"/>
      <c r="C60" s="217"/>
      <c r="D60" s="236"/>
      <c r="E60" s="238"/>
      <c r="F60" s="167"/>
      <c r="G60" s="168" t="str">
        <f t="shared" si="2"/>
        <v/>
      </c>
      <c r="H60" s="169"/>
      <c r="I60" s="169"/>
      <c r="J60" s="169"/>
      <c r="K60" s="170" t="b">
        <v>0</v>
      </c>
      <c r="L60" s="170" t="b">
        <v>0</v>
      </c>
      <c r="M60" s="170" t="b">
        <v>0</v>
      </c>
      <c r="N60" s="171" t="s">
        <v>1070</v>
      </c>
      <c r="O60" s="172" t="b">
        <v>0</v>
      </c>
      <c r="P60" s="173" t="b">
        <v>0</v>
      </c>
      <c r="Q60" s="173" t="b">
        <v>0</v>
      </c>
      <c r="R60" s="173" t="b">
        <v>0</v>
      </c>
      <c r="S60" s="174" t="b">
        <v>0</v>
      </c>
      <c r="T60" s="175" t="b">
        <v>0</v>
      </c>
      <c r="U60" s="173" t="b">
        <v>0</v>
      </c>
      <c r="V60" s="171" t="s">
        <v>1070</v>
      </c>
      <c r="W60" s="172" t="b">
        <v>0</v>
      </c>
      <c r="X60" s="173" t="b">
        <v>0</v>
      </c>
      <c r="Y60" s="173" t="b">
        <v>0</v>
      </c>
      <c r="Z60" s="173" t="b">
        <v>0</v>
      </c>
      <c r="AA60" s="174" t="b">
        <v>0</v>
      </c>
      <c r="AB60" s="174" t="b">
        <v>0</v>
      </c>
      <c r="AC60" s="175" t="b">
        <v>0</v>
      </c>
      <c r="AD60" s="173" t="b">
        <v>0</v>
      </c>
      <c r="AE60" s="176" t="s">
        <v>1070</v>
      </c>
      <c r="AF60" s="171" t="s">
        <v>1070</v>
      </c>
      <c r="AG60" s="177">
        <f>IFERROR(__xludf.DUMMYFUNCTION("IF(
  ISNUMBER(AG59),
  MIN(MAX(
    AG59
    + MAX(
      ROUNDDOWN(($D60 - MAX(IFERROR(FILTER($D$24:$D59, AG$24:AG59 &lt;&gt; AF$6, AG$23:AG58 = AF$6), 0))) * (60 * 60 * 24) / AF$9) - ROUNDDOWN(($D59 - MAX(IFERROR(FILTER($D$23:$D58, AG$23:AG58 &lt;&gt; AF$6, AG$22:"&amp;"AG57 = AF$6), 0))) * (60 * 60 * 24) / 60),
      0
    )
    - COUNTIF(AF60, ""&lt;&gt;-""),
  0), AF$6),
  AF$6 - COUNTIF(AF60, ""&lt;&gt;-"")
)"),2.0)</f>
        <v>2</v>
      </c>
      <c r="AH60" s="173" t="b">
        <v>0</v>
      </c>
      <c r="AI60" s="173" t="b">
        <v>0</v>
      </c>
      <c r="AJ60" s="173" t="b">
        <v>0</v>
      </c>
      <c r="AK60" s="174" t="b">
        <v>0</v>
      </c>
      <c r="AL60" s="175" t="b">
        <v>0</v>
      </c>
      <c r="AM60" s="173" t="b">
        <v>0</v>
      </c>
      <c r="AN60" s="171" t="s">
        <v>1070</v>
      </c>
      <c r="AO60" s="173" t="b">
        <v>0</v>
      </c>
      <c r="AP60" s="173" t="b">
        <v>0</v>
      </c>
      <c r="AQ60" s="173" t="b">
        <v>0</v>
      </c>
      <c r="AR60" s="174" t="b">
        <v>0</v>
      </c>
      <c r="AS60" s="178" t="b">
        <v>0</v>
      </c>
      <c r="AT60" s="179" t="b">
        <v>0</v>
      </c>
      <c r="AU60" s="180" t="b">
        <v>0</v>
      </c>
      <c r="AV60" s="180" t="b">
        <v>0</v>
      </c>
      <c r="AW60" s="180" t="b">
        <v>0</v>
      </c>
      <c r="AX60" s="180" t="b">
        <v>0</v>
      </c>
      <c r="AY60" s="181" t="s">
        <v>1070</v>
      </c>
      <c r="AZ60" s="181" t="s">
        <v>1070</v>
      </c>
      <c r="BA60" s="184">
        <f>IFERROR(__xludf.DUMMYFUNCTION("IF(
  ISNUMBER(BA59),
  MIN(MAX(
    BA59
    + MAX(
      ROUNDDOWN((D60 - MAX(IFERROR(FILTER(D$24:D59, BA$24:BA59 &lt;&gt; AZ$6, BA$23:BA58 = AZ$6), 0))) * (60 * 60 * 24) / AZ$9) - ROUNDDOWN((D59 - MAX(IFERROR(FILTER(D$23:D58, BA$23:BA58 &lt;&gt; AZ$6, BA$22:BA57 ="&amp;" AZ$6), 0))) * (60 * 60 * 24) / AZ$9),
      0
    )
    - COUNTIF(AZ60, ""&lt;&gt;-""),
  0), AZ$6),
  AZ$6 - COUNTIF(AZ60, ""&lt;&gt;-"")
)"),2.0)</f>
        <v>2</v>
      </c>
      <c r="BB60" s="181" t="s">
        <v>1070</v>
      </c>
      <c r="BC60" s="183">
        <f>IFERROR(__xludf.DUMMYFUNCTION("IF(
  ISNUMBER(BC59),
  MIN(MAX(
    BC59
    + MAX(
      ROUNDDOWN(($D60 - MAX(IFERROR(FILTER($D$24:$D59, BC$24:BC59 &lt;&gt; BB$6, BC$23:BC58 = BB$6), 0))) * (60 * 60 * 24) / BB$9) - ROUNDDOWN(($D59 - MAX(IFERROR(FILTER($D$23:$D58, BC$23:BC58 &lt;&gt; BB$6, BC$22:"&amp;"BC57 = BB$6), 0))) * (60 * 60 * 24) / 60),
      0
    )
    - COUNTIF(BB60, ""&lt;&gt;-""),
  0), BB$6),
  BB$6 - COUNTIF(BB60, ""&lt;&gt;-"")
)"),2.0)</f>
        <v>2</v>
      </c>
      <c r="BD60" s="181" t="s">
        <v>1070</v>
      </c>
      <c r="BE60" s="178" t="b">
        <v>0</v>
      </c>
      <c r="BF60" s="180" t="b">
        <v>0</v>
      </c>
      <c r="BG60" s="180" t="b">
        <v>0</v>
      </c>
      <c r="BH60" s="180" t="b">
        <v>0</v>
      </c>
      <c r="BI60" s="180" t="b">
        <v>0</v>
      </c>
      <c r="BJ60" s="180" t="b">
        <v>0</v>
      </c>
      <c r="BK60" s="180" t="b">
        <v>0</v>
      </c>
      <c r="BL60" s="180" t="b">
        <v>0</v>
      </c>
      <c r="BM60" s="180" t="b">
        <v>0</v>
      </c>
      <c r="BN60" s="180" t="b">
        <v>0</v>
      </c>
      <c r="BO60" s="181" t="s">
        <v>1070</v>
      </c>
      <c r="BP60" s="181" t="s">
        <v>1070</v>
      </c>
      <c r="BQ60" s="181" t="s">
        <v>1070</v>
      </c>
      <c r="BR60" s="181" t="s">
        <v>1070</v>
      </c>
      <c r="BS60" s="181" t="s">
        <v>1070</v>
      </c>
      <c r="BT60" s="184">
        <f>IFERROR(__xludf.DUMMYFUNCTION("IF(
  ISNUMBER(BT59),
  MIN(MAX(
    BT59
    + MAX(
      ROUNDDOWN((D60 - MAX(IFERROR(FILTER(D$24:D59, BT$24:BT59 &lt;&gt; BS$6, BT$23:BT58 = BS$6), 0))) * (60 * 60 * 24) / BS$9) - ROUNDDOWN((D59 - MAX(IFERROR(FILTER(D$23:D58, BT$23:BT58 &lt;&gt; BS$6, BT$22:BT57 ="&amp;" BS$6), 0))) * (60 * 60 * 24) / BS$9),
      0
    )
    - COUNTIF(BS60, ""&lt;&gt;-""),
  0), BS$6),
  BS$6 - COUNTIF(BS60, ""&lt;&gt;-"")
)"),3.0)</f>
        <v>3</v>
      </c>
      <c r="BU60" s="181" t="s">
        <v>1070</v>
      </c>
      <c r="BV60" s="181" t="s">
        <v>1070</v>
      </c>
      <c r="BW60" s="184">
        <f>IFERROR(__xludf.DUMMYFUNCTION("IF(
  ISNUMBER(BW59),
  MIN(MAX(
    BW59
    + MAX(
      ROUNDDOWN((D60 - MAX(IFERROR(FILTER(D$24:D59, BW$24:BW59 &lt;&gt; BV$6, BW$23:BW58 = BV$6), 0))) * (60 * 60 * 24) / BV$9) - ROUNDDOWN((D59 - MAX(IFERROR(FILTER(D$23:D58, BW$23:BW58 &lt;&gt; BV$6, BW$22:BW57 ="&amp;" BV$6), 0))) * (60 * 60 * 24) / BV$9),
      0
    )
    - COUNTIF(BV60, ""&lt;&gt;-""),
  0), BV$6),
  BV$6 - COUNTIF(BV60, ""&lt;&gt;-"")
)"),2.0)</f>
        <v>2</v>
      </c>
      <c r="BX60" s="185" t="s">
        <v>1070</v>
      </c>
      <c r="BY60" s="178" t="b">
        <v>0</v>
      </c>
      <c r="BZ60" s="180" t="b">
        <v>0</v>
      </c>
      <c r="CA60" s="180" t="b">
        <v>0</v>
      </c>
      <c r="CB60" s="180" t="b">
        <v>0</v>
      </c>
      <c r="CC60" s="180" t="b">
        <v>0</v>
      </c>
      <c r="CD60" s="180" t="b">
        <v>0</v>
      </c>
      <c r="CE60" s="180" t="b">
        <v>0</v>
      </c>
      <c r="CF60" s="180" t="b">
        <v>0</v>
      </c>
      <c r="CG60" s="180" t="b">
        <v>0</v>
      </c>
      <c r="CH60" s="180" t="b">
        <v>0</v>
      </c>
      <c r="CI60" s="180" t="b">
        <v>0</v>
      </c>
      <c r="CJ60" s="180" t="b">
        <v>0</v>
      </c>
      <c r="CK60" s="180" t="b">
        <v>0</v>
      </c>
      <c r="CL60" s="180" t="b">
        <v>0</v>
      </c>
      <c r="CM60" s="181" t="s">
        <v>1070</v>
      </c>
      <c r="CN60" s="181" t="s">
        <v>1070</v>
      </c>
      <c r="CO60" s="181" t="s">
        <v>1070</v>
      </c>
      <c r="CP60" s="181" t="s">
        <v>1070</v>
      </c>
      <c r="CQ60" s="185" t="s">
        <v>1070</v>
      </c>
      <c r="CR60" s="180" t="b">
        <v>0</v>
      </c>
      <c r="CS60" s="186" t="str">
        <f t="shared" si="14"/>
        <v>◇◇◇</v>
      </c>
      <c r="CT60" s="178" t="b">
        <v>0</v>
      </c>
      <c r="CU60" s="180" t="b">
        <v>0</v>
      </c>
      <c r="CV60" s="180" t="b">
        <v>0</v>
      </c>
      <c r="CW60" s="180" t="b">
        <v>0</v>
      </c>
      <c r="CX60" s="180" t="b">
        <v>0</v>
      </c>
      <c r="CY60" s="180" t="b">
        <v>0</v>
      </c>
      <c r="CZ60" s="180" t="b">
        <v>0</v>
      </c>
      <c r="DA60" s="180" t="b">
        <v>0</v>
      </c>
      <c r="DB60" s="180" t="b">
        <v>0</v>
      </c>
      <c r="DC60" s="180" t="b">
        <v>0</v>
      </c>
      <c r="DD60" s="181" t="s">
        <v>1070</v>
      </c>
      <c r="DE60" s="181" t="s">
        <v>1070</v>
      </c>
      <c r="DF60" s="181" t="s">
        <v>1070</v>
      </c>
      <c r="DG60" s="185" t="s">
        <v>1070</v>
      </c>
      <c r="DH60" s="180" t="b">
        <v>0</v>
      </c>
      <c r="DI60" s="187" t="str">
        <f>IFERROR(__xludf.DUMMYFUNCTION("SWITCH(
  IF(
    ISTEXT(DI59),
    IF (
      FIND(""○"", DI59&amp;""○"") &gt; 3,
      3,
      FIND(""○"", DI59&amp;""○"")
      + MAX(
        ROUNDDOWN(($D60 - MAX(IFERROR(FILTER(D$24:D59, DI$24:DI59 &lt;&gt; ""●●●"", DI$23:DI58 = ""●●●""), 0))) * (60 * 60 * 24) / 20"&amp;") - ROUNDDOWN(($D59 - MAX(IFERROR(FILTER(D$23:D58, DI$23:DI58 &lt;&gt; ""●●●"", DI$22:DI57 = ""●●●""), 0))) * (60 * 60 * 24) / 20),
        0
      ) - 1
    ) - COUNTIFS(CU60, ""=TRUE"", CU59, ""&lt;&gt;TRUE"") - COUNTIF(CZ60, ""=TRUE"") - COUNTIF({DD60,DE60}, ""&lt;&gt;-"&amp;""") + COUNTIF(DH60, ""=TRUE""),
    3
  ),
  0, ""○○○"", 1, ""●○○"", 2, ""●●○"", 3, ""●●●"", 4, ""●●●"", ""○○○""
)"),"●●●")</f>
        <v>●●●</v>
      </c>
      <c r="DJ60" s="188" t="b">
        <v>0</v>
      </c>
      <c r="DK60" s="189" t="b">
        <v>0</v>
      </c>
      <c r="DL60" s="190" t="b">
        <v>0</v>
      </c>
      <c r="DM60" s="190" t="b">
        <v>0</v>
      </c>
      <c r="DN60" s="190" t="b">
        <v>0</v>
      </c>
      <c r="DO60" s="190" t="b">
        <v>0</v>
      </c>
      <c r="DP60" s="190" t="b">
        <v>0</v>
      </c>
      <c r="DQ60" s="191" t="b">
        <v>0</v>
      </c>
      <c r="DR60" s="192" t="b">
        <v>0</v>
      </c>
      <c r="DS60" s="191" t="b">
        <v>0</v>
      </c>
      <c r="DT60" s="192" t="b">
        <v>0</v>
      </c>
      <c r="DU60" s="191" t="b">
        <v>0</v>
      </c>
      <c r="DV60" s="193" t="s">
        <v>1070</v>
      </c>
      <c r="DW60" s="194" t="b">
        <v>0</v>
      </c>
      <c r="DX60" s="194" t="b">
        <v>0</v>
      </c>
      <c r="DY60" s="195" t="b">
        <v>0</v>
      </c>
      <c r="DZ60" s="196" t="b">
        <v>0</v>
      </c>
      <c r="EA60" s="195" t="b">
        <v>0</v>
      </c>
      <c r="EB60" s="197" t="b">
        <v>0</v>
      </c>
      <c r="EC60" s="197" t="b">
        <v>0</v>
      </c>
      <c r="ED60" s="212" t="b">
        <v>0</v>
      </c>
      <c r="EE60" s="199">
        <f>IFERROR(__xludf.DUMMYFUNCTION("IFERROR(
   PRODUCT(
     MAP(
       INDEX(TRANSPOSE(UNIQUE(TRANSPOSE(FILTER({IF($F60=""Physical"", K$10:ED$10, IF($F60=""Magic"", K$11:ED$11, K$12:ED$12));K$4:ED$4;K60:ED60}, K60:ED60=TRUE)))), 1, 0),
       INDEX(TRANSPOSE(UNIQUE(TRANSPOSE(FILTER({IF($"&amp;"F60=""Physical"", K$18:ED$18, IF($F60=""Magic"", K$19:ED$19, K$20:ED$20));K$4:ED$4;K60:ED60}, K60:ED60=TRUE)))), 1, 0),
       INDEX(TRANSPOSE(UNIQUE(TRANSPOSE(FILTER({K$5:ED$5;K$4:ED$4;K60:ED60}, K60:ED60=TRUE)))), 1, 0),
       INDEX(TRANSPOSE(UNIQUE(TR"&amp;"ANSPOSE(FILTER({K$17:ED$17;K$4:ED$4;K60:ED60}, K60:ED60=TRUE)))), 1, 0),
       LAMBDA(
         mitigation,
         enhance,
         assign,
         precondition,
         IF(
           REGEXMATCH(assign, ""RANGE_PARTY|SINGLE_ENEMY|RANGE_ENEMY""),
  "&amp;"         IF(
             OR(ARRAYFORMULA((IF(precondition="""", FALSE, REGEXMATCH(K$4:ED$4, precondition))) * (K60:ED60=TRUE))),
             IF(ISNUMBER(enhance), enhance, 1),
             IF(ISNUMBER(mitigation), mitigation, 1)
           ),
          "&amp;" 1
         )
       )
     )
   ),
   1
 )"),1.0)</f>
        <v>1</v>
      </c>
      <c r="EF60" s="200">
        <f>IFERROR(__xludf.DUMMYFUNCTION("PRODUCT(
   MAP(
     K$14:ED$14,
     K$13:ED$13,
     K60:ED60,
     LAMBDA(
       buff,
       target,
       check,
       IF(
         AND(check=TRUE, REGEXMATCH(target, ""RANGE_AFFECTED_ALL|RANGE_EFFECTED_ALL""), ISNUMBER(buff)),
         buff,
   "&amp;"      1
       )
     )
   )
 )"),1.0)</f>
        <v>1</v>
      </c>
      <c r="EG60" s="200">
        <f>IFERROR(__xludf.DUMMYFUNCTION("PRODUCT(
   MAP(
     K$14:ED$14,
     K$13:ED$13,
     K60:ED60,
     LAMBDA(
       buff,
       target,
       check,
       IF(
         AND(check=TRUE, REGEXMATCH(target, ""RANGE_AFFECTED_GCD|RANGE_EFFECTED_GCD""), ISNUMBER(buff)),
         buff,
   "&amp;"      1
       )
     )
   )
 )"),1.0)</f>
        <v>1</v>
      </c>
      <c r="EH60" s="200">
        <f>IFERROR(__xludf.DUMMYFUNCTION("PRODUCT(
   MAP(
     K$3:ED$3,
     K$14:ED$14,
     K$13:ED$13,
     K60:ED60,
     LAMBDA(
       job,
       buff,
       target,
       check,
       IF(
         AND(check=TRUE, REGEXMATCH(target, ""SELF_EFFECTED_ALL""), ISNUMBER(buff), job=""白魔道士"""&amp;"),
         buff,
         1
       )
     )
   )
 )"),1.0)</f>
        <v>1</v>
      </c>
      <c r="EI60" s="200">
        <f>IFERROR(__xludf.DUMMYFUNCTION("PRODUCT(
   MAP(
     K$3:ED$3,
     K$14:ED$14,
     K$13:ED$13,
     K60:ED60,
     LAMBDA(
       job,
       buff,
       target,
       check,
       IF(
         AND(check=TRUE, REGEXMATCH(target, ""SELF_EFFECTED_GCD""), ISNUMBER(buff), job=""白魔道士"""&amp;"),
         buff,
         1
       )
     )
   )
 )"),1.0)</f>
        <v>1</v>
      </c>
      <c r="EJ60" s="200">
        <f>IFERROR(__xludf.DUMMYFUNCTION("PRODUCT(
   MAP(
     K$3:ED$3,
     K$14:ED$14,
     K$13:ED$13,
     K60:ED60,
     LAMBDA(
       job,
       buff,
       target,
       check,
       IF(
         AND(check=TRUE, REGEXMATCH(target, ""SELF_EFFECTED_ALL""), ISNUMBER(buff), job=""占星術師"""&amp;"),
         buff,
         1
       )
     )
   )
 )"),1.0)</f>
        <v>1</v>
      </c>
      <c r="EK60" s="200">
        <f>IFERROR(__xludf.DUMMYFUNCTION("PRODUCT(
   MAP(
     K$3:ED$3,
     K$14:ED$14,
     K$13:ED$13,
     K60:ED60,
     LAMBDA(
       job,
       buff,
       target,
       check,
       IF(
         AND(check=TRUE, REGEXMATCH(target, ""SELF_EFFECTED_GCD""), ISNUMBER(buff), job=""占星術師"""&amp;"),
         buff,
         1
       )
     )
   )
 )"),1.0)</f>
        <v>1</v>
      </c>
      <c r="EL60" s="200">
        <f>IFERROR(__xludf.DUMMYFUNCTION("PRODUCT(
   MAP(
     K$3:ED$3,
     K$14:ED$14,
     K$13:ED$13,
     K60:ED60,
     LAMBDA(
       job,
       buff,
       target,
       check,
       IF(
         AND(check=TRUE, REGEXMATCH(target, ""SELF_EFFECTED_ALL""), ISNUMBER(buff), job=""学者""),"&amp;"
         buff,
         1
       )
     )
   )
 )"),1.0)</f>
        <v>1</v>
      </c>
      <c r="EM60" s="200">
        <f>IFERROR(__xludf.DUMMYFUNCTION("PRODUCT(
   MAP(
     K$3:ED$3,
     K$14:ED$14,
     K$13:ED$13,
     K60:ED60,
     LAMBDA(
       job,
       buff,
       target,
       check,
       IF(
         AND(check=TRUE, REGEXMATCH(target, ""SELF_EFFECTED_GCD""), ISNUMBER(buff), job=""学者""),"&amp;"
         buff,
         1
       )
     )
   )
 )"),1.0)</f>
        <v>1</v>
      </c>
      <c r="EN60" s="200">
        <f>IFERROR(__xludf.DUMMYFUNCTION("PRODUCT(
   MAP(
     K$3:ED$3,
     K$14:ED$14,
     K$13:ED$13,
     K60:ED60,
     LAMBDA(
       job,
       buff,
       target,
       check,
       IF(
         AND(check=TRUE, REGEXMATCH(target, ""SELF_EFFECTED_ALL""), ISNUMBER(buff), job=""賢者""),"&amp;"
         buff,
         1
       )
     )
   )
 )"),1.0)</f>
        <v>1</v>
      </c>
      <c r="EO60" s="200">
        <f>IFERROR(__xludf.DUMMYFUNCTION("PRODUCT(
   MAP(
     K$3:ED$3,
     K$14:ED$14,
     K$13:ED$13,
     K60:ED60,
     LAMBDA(
       job,
       buff,
       target,
       check,
       IF(
         AND(check=TRUE, REGEXMATCH(target, ""SELF_EFFECTED_GCD""), ISNUMBER(buff), job=""賢者""),"&amp;"
         buff,
         1
       )
     )
   )
 )"),1.0)</f>
        <v>1</v>
      </c>
      <c r="EP60" s="201">
        <f t="shared" si="3"/>
        <v>0</v>
      </c>
      <c r="EQ60" s="201">
        <f>IFERROR(__xludf.DUMMYFUNCTION("SUM(
   MAP(
     K$4:ED$4,
     K$3:ED$3,
     K$7:ED$7,
     K$15:ED$15,
     K$16:ED$16,
     K$21:ED$21,
     K$5:ED$5,
     K$17:ED$17,
     K60:ED60,
     LAMBDA(
       name,
       job,
       abillity,
       buff,
       barrier,
       enhance,"&amp;"
       assign,
       precondition,
       check,
       SWITCH(
         name,
         ""シェイクオフ"", IF(check=TRUE, buff + (0.02 * COUNTIF(ARRAYFORMULA((REGEXMATCH($K$4:$ED$4, ""スリル・オブ・バトル|ヴェンジェンス|原初の血気|ダムネーション"")) * (K60:ED60=TRUE)), 1)), 0),
         "&amp;"""インプロビゼーションフィニッシュ(踊りの激情0)"", IF(ISNUMBER(check), INDEX(Skill!$AJ:$AJ, MATCH(SUBSTITUTE(DV$4, 0, check), Skill!$C:$C, 0)), 0),
         IF(
           AND(check=TRUE, REGEXMATCH(assign, ""RANGE_PARTY"")),
           IF(
             OR(ARRAYFORMULA((IF(pr"&amp;"econdition="""", FALSE, REGEXMATCH($K$4:$ED$4, precondition))) * (K60:ED60=TRUE))),
             enhance,
             IF(barrier="""", buff, barrier)
           ),
           0
         )
       ) *
       SWITCH(
         job,
         ""ナイト"", EY$24,
 "&amp;"        ""戦士"", FD$24,
         ""踊り子"", ET$24,
         ""ピクトマンサー"", ET$24,
         ""白魔道士"", EF60 * EH60 * IF(abillity, 1, EG60 * EI60) * (Option!$D$22 * 0.81 / 100),
         ""占星術師"", EF60 * EJ60 * IF(abillity, 1, EG60 * EK60) * (Option!$D$23 * 0.81 "&amp;"/ 100),
         ""学者"", EF60 * EL60 * IF(abillity, 1, EG60 * EM60) * (Option!$D$24 * 0.81 / 100),
         ""賢者"", EF60 * EN60 * IF(abillity, 1, EG60 * EO60) * (Option!$D$25 * 0.81 / 100),
         1
       )
     )
   )
 )"),0.0)</f>
        <v>0</v>
      </c>
      <c r="ER60" s="202">
        <f t="shared" si="4"/>
        <v>0</v>
      </c>
      <c r="ES60" s="203">
        <f t="shared" si="5"/>
        <v>0</v>
      </c>
      <c r="ET60" s="231" t="str">
        <f>IFERROR(__xludf.DUMMYFUNCTION("IFS(
  EP60 &gt; $ET$24 + EQ60,
  SPARKLINE({ 1, 0 }, {""charttype"",""bar"";""max"", 1;""color1"",Option!$D$30;""color2"",Option!$D$30}),
  EP60 &lt; EQ60,
  SPARKLINE({EQ60 - EP60, $ET$24 - (EQ60 - EP60)}, {""charttype"",""bar"";""max"",$ET$24;""color1"",Opti"&amp;"on!$D$28;""color2"",Option!$D$29}),
  EP60 &gt;= EQ60,
  SPARKLINE({$ET$24 + EQ60 - EP60,EP60 - EQ60}, {""charttype"",""bar"";""max"",$ET$24;""color1"",Option!$D$29;""color2"",Option!$D$30})
)"),"")</f>
        <v/>
      </c>
      <c r="EU60" s="205">
        <f>IFERROR(__xludf.DUMMYFUNCTION("PRODUCT(
   MAP(
     IF($F60=""Physical"", K$10:ED$10, IF($F60=""Magic"", K$11:ED$11, K$12:ED$12)),
     IF($F60=""Physical"", K$18:ED$18, IF($F60=""Magic"", K$19:ED$19, K$20:ED$20)),
     K$3:ED$3,
     K$5:ED$5,
     K$17:ED$17,
     K60:ED60,
     LAM"&amp;"BDA(
       mitigation,
       enhance,
       job,
       assign,
       precondition,
       check,
       IF(
         OR(AND(check=TRUE, REGEXMATCH(assign, ""SELF""), job=""ナイト""), AND(check=Option!$E$13, REGEXMATCH(assign, ""SINGLE_PARTY""))),
      "&amp;"   IF(
           OR(ARRAYFORMULA((IF(precondition="""", FALSE, REGEXMATCH($K$4:$ED$4, precondition))) * (K60:ED60=TRUE))),
           enhance,
           mitigation
         ),
         1
       )
     )
   )
 ) * EE60"),1.0)</f>
        <v>1</v>
      </c>
      <c r="EV60" s="206">
        <f t="shared" si="6"/>
        <v>0</v>
      </c>
      <c r="EW60" s="205">
        <f>IFERROR(__xludf.DUMMYFUNCTION("PRODUCT(
   MAP(
     K$3:ED$3,
     K$14:ED$14,
     K$13:ED$13,
     K60:ED60,
     LAMBDA(
       job,
       buff,
       target,
       check,
       IF(
         OR(AND(check=TRUE, REGEXMATCH(target, ""SELF_AFFECTED_ALL""), job=""ナイト""), AND(check=O"&amp;"ption!$E$13, REGEXMATCH(target, ""SINGLE_AFFECTED_ALL""))),
         buff,
         1
       )
     )
   )
 )"),1.0)</f>
        <v>1</v>
      </c>
      <c r="EX60" s="206">
        <f>IFERROR(__xludf.DUMMYFUNCTION("SUM(
   MAP(
     K$3:ED$3,
     K$7:ED$7,
     K$15:ED$15,
     K$16:ED$16,
     K$21:ED$21,
     K$5:ED$5,
     K$17:ED$17,
     K60:ED60,
     LAMBDA(
       job,
       abillity,
       buff,
       barrier,
       enhance,
       assign,
       preco"&amp;"ndition,
       check,
       IF(
         OR(AND(check=TRUE, REGEXMATCH(assign, ""SELF""), job=""ナイト""), AND(check=Option!$E$13, REGEXMATCH(assign, ""SINGLE_PARTY""))),
         IF(
           OR(ARRAYFORMULA((IF(precondition="""", FALSE, REGEXMATCH($K$4"&amp;":$ED$4, precondition))) * (K60:ED60=TRUE))),
           enhance,
           IF(barrier="""", buff, barrier)
         ),
         0
       ) *
       SWITCH(
         job,
         ""暗黒騎士"", EY$24,
         ""白魔道士"", EF60 * EH60 * EW60 * IF(abillity, 1, EG"&amp;"60 * EI60) * (Option!$D$22 * 0.81 / 100),
         ""占星術師"", EF60 * EJ60 * EW60 * IF(abillity, 1, EG60 * EK60) * (Option!$D$23 * 0.81 / 100),
         ""学者"", EF60 * EL60 * EW60 * IF(abillity, 1, EG60 * EM60) * (Option!$D$24 * 0.81 / 100),
         ""賢者"""&amp;", EF60 * EN60 * EW60 * IF(abillity, 1, EG60 * EO60) * (Option!$D$25 * 0.81 / 100),
         1
       )
     )
   )
 ) + EQ60"),0.0)</f>
        <v>0</v>
      </c>
      <c r="EY60" s="232">
        <f t="shared" si="7"/>
        <v>0</v>
      </c>
      <c r="EZ60" s="205">
        <f>IFERROR(__xludf.DUMMYFUNCTION("PRODUCT(
   MAP(
     IF($F60=""Physical"", K$10:ED$10, IF($F60=""Magic"", K$11:ED$11, K$12:ED$12)),
     IF($F60=""Physical"", K$18:ED$18, IF($F60=""Magic"", K$19:ED$19, K$20:ED$20)),
     K$3:ED$3,
     K$5:ED$5,
     K$17:ED$17,
     K60:ED60,
     LAM"&amp;"BDA(
       mitigation,
       enhance,
       job,
       assign,
       precondition,
       check,
       IF(
         OR(AND(check=TRUE, REGEXMATCH(assign, ""SELF""), job=""戦士""), AND(check=Option!$F$13, REGEXMATCH(assign, ""SINGLE_PARTY""))),
       "&amp;"  IF(
           OR(ARRAYFORMULA((IF(precondition="""", FALSE, REGEXMATCH($K$4:$ED$4, precondition))) * (K60:ED60=TRUE))),
           enhance,
           mitigation
         ),
         1
       )
     )
   )
 ) * EE60"),1.0)</f>
        <v>1</v>
      </c>
      <c r="FA60" s="206">
        <f t="shared" si="8"/>
        <v>0</v>
      </c>
      <c r="FB60" s="205">
        <f>IFERROR(__xludf.DUMMYFUNCTION("PRODUCT(
   MAP(
     K$3:ED$3,
     K$14:ED$14,
     K$13:ED$13,
     K60:ED60,
     LAMBDA(
       job,
       buff,
       target,
       check,
       IF(
         OR(AND(check=TRUE, REGEXMATCH(target, ""SELF_AFFECTED_ALL""), job=""戦士""), AND(check=Op"&amp;"tion!$F$13, REGEXMATCH(target, ""SINGLE_AFFECTED_ALL""))),
         buff,
         1
       )
     )
   )
 )"),1.0)</f>
        <v>1</v>
      </c>
      <c r="FC60" s="206">
        <f>IFERROR(__xludf.DUMMYFUNCTION("SUM(
   MAP(
     K$3:ED$3,
     K$7:ED$7,
     K$15:ED$15,
     K$16:ED$16,
     K$21:ED$21,
     K$5:ED$5,
     K$17:ED$17,
     K60:ED60,
     LAMBDA(
       job,
       abillity,
       buff,
       barrier,
       enhance,
       assign,
       preco"&amp;"ndition,
       check,
       IF(
         OR(AND(check=TRUE, REGEXMATCH(assign, ""SELF""), job=""戦士""), AND(check=Option!$F$13, REGEXMATCH(assign, ""SINGLE_PARTY""))),
         IF(
           OR(ARRAYFORMULA((IF(precondition="""", FALSE, REGEXMATCH($K$4:"&amp;"$ED$4, precondition))) * (K60:ED60=TRUE))),
           enhance,
           IF(barrier="""", buff, barrier)
         ),
         0
       ) *
       SWITCH(
         job,
         ""暗黒騎士"", FD$24,
         ""白魔道士"", EF60 * EH60 * FB60 * IF(abillity, 1, EG6"&amp;"0 * EI60) * (Option!$D$22 * 0.81 / 100),
         ""占星術師"", EF60 * EJ60 * FFB60 * IF(abillity, 1, EG60 * EK60) * (Option!$D$23 * 0.81 / 100),
         ""学者"", EF60 * EL60 * FB60 * IF(abillity, 1, EG60 * EM60) * (Option!$D$24 * 0.81 / 100),
         ""賢者"""&amp;", EF60 * EN60 * FB60 * IF(abillity, 1, EG60 * EO60) * (Option!$D$25 * 0.81 / 100),
         1
       )
     )
   )
 ) + EQ60"),0.0)</f>
        <v>0</v>
      </c>
      <c r="FD60" s="206">
        <f t="shared" si="9"/>
        <v>0</v>
      </c>
      <c r="FE60" s="205">
        <f>IFERROR(__xludf.DUMMYFUNCTION("PRODUCT(
   MAP(
     IF($F60=""Physical"", K$10:ED$10, IF($F60=""Magic"", K$11:ED$11, K$12:ED$12)),
     IF($F60=""Physical"", K$18:ED$18, IF($F60=""Magic"", K$19:ED$19, K$20:ED$20)),
     K$3:ED$3,
     K$5:ED$5,
     K$17:ED$17,
     K60:ED60,
     LAM"&amp;"BDA(
       mitigation,
       enhance,
       job,
       assign,
       precondition,
       check,
       IF(
         OR(AND(check=TRUE, REGEXMATCH(assign, ""SELF""), job=""暗黒騎士""), AND(check=Option!$G$13, REGEXMATCH(assign, ""SINGLE_PARTY""))),
     "&amp;"    IF(
           OR(ARRAYFORMULA((IF(precondition="""", FALSE, REGEXMATCH($K$4:$ED$4, precondition))) * (K60:ED60=TRUE))),
           enhance,
           mitigation
         ),
         1
       )
     )
   )
 ) * EE60"),1.0)</f>
        <v>1</v>
      </c>
      <c r="FF60" s="206">
        <f t="shared" si="10"/>
        <v>0</v>
      </c>
      <c r="FG60" s="205">
        <f>IFERROR(__xludf.DUMMYFUNCTION("PRODUCT(
   MAP(
     K$3:ED$3,
     K$14:ED$14,
     K$13:ED$13,
     K60:ED60,
     LAMBDA(
       job,
       buff,
       target,
       check,
       IF(
         OR(AND(check=TRUE, REGEXMATCH(target, ""SELF_AFFECTED_ALL""), job=""暗黒騎士""), AND(check="&amp;"Option!$G$13, REGEXMATCH(target, ""SINGLE_AFFECTED_ALL""))),
         buff,
         1
       )
     )
   )
 )"),1.0)</f>
        <v>1</v>
      </c>
      <c r="FH60" s="206">
        <f>IFERROR(__xludf.DUMMYFUNCTION("SUM(
   MAP(
     K$3:ED$3,
     K$7:ED$7,
     K$15:ED$15,
     K$16:ED$16,
     K$21:ED$21,
     K$5:ED$5,
     K$17:ED$17,
     K60:ED60,
     LAMBDA(
       job,
       abillity,
       buff,
       barrier,
       enhance,
       assign,
       preco"&amp;"ndition,
       check,
       IF(
         OR(AND(check=TRUE, REGEXMATCH(assign, ""SELF""), job=""暗黒騎士""), AND(check=Option!$G$13, REGEXMATCH(assign, ""SINGLE_PARTY""))),
         IF(
           OR(ARRAYFORMULA((IF(precondition="""", FALSE, REGEXMATCH($K$"&amp;"4:$ED$4, precondition))) * (K60:ED60=TRUE))),
           enhance,
           IF(barrier="""", buff, barrier)
         ),
         0
       ) *
       SWITCH(
         job,
         ""暗黒騎士"", FI$24,
         ""白魔道士"", EF60 * EH60 * FG60 * IF(abillity, 1, E"&amp;"G60 * EI60) * (Option!$D$22 * 0.81 / 100),
         ""占星術師"", EF60 * EJ60 * FG60 * IF(abillity, 1, EG60 * EK60) * (Option!$D$23 * 0.81 / 100),
         ""学者"", EF60 * EL60 * FG60 * IF(abillity, 1, EG60 * EM60) * (Option!$D$24 * 0.81 / 100),
         ""賢者"&amp;""", EF60 * EN60 * FG60 * IF(abillity, 1, EG60 * EO60) * (Option!$D$25 * 0.81 / 100),
         1
       )
     )
   )
 ) + EQ60"),0.0)</f>
        <v>0</v>
      </c>
      <c r="FI60" s="206">
        <f t="shared" si="11"/>
        <v>0</v>
      </c>
      <c r="FJ60" s="205">
        <f>IFERROR(__xludf.DUMMYFUNCTION("PRODUCT(
   MAP(
     IF($F60=""Physical"", K$10:ED$10, IF($F60=""Magic"", K$11:ED$11, K$12:ED$12)),
     IF($F60=""Physical"", K$18:ED$18, IF($F60=""Magic"", K$19:ED$19, K$20:ED$20)),
     K$3:ED$3,
     K$5:ED$5,
     K$17:ED$17,
     K60:ED60,
     LAM"&amp;"BDA(
       mitigation,
       enhance,
       job,
       assign,
       precondition,
       check,
       IF(
         OR(AND(check=TRUE, REGEXMATCH(assign, ""SELF""), job=""ガンブレイカー""), AND(check=Option!$H$13, REGEXMATCH(assign, ""SINGLE_PARTY""))),
  "&amp;"       IF(
           OR(ARRAYFORMULA((IF(precondition="""", FALSE, REGEXMATCH($K$4:$ED$4, precondition))) * (K60:ED60=TRUE))),
           enhance,
           mitigation
         ),
         1
       )
     )
   )
 ) * EE60"),1.0)</f>
        <v>1</v>
      </c>
      <c r="FK60" s="206">
        <f t="shared" si="12"/>
        <v>0</v>
      </c>
      <c r="FL60" s="205">
        <f>IFERROR(__xludf.DUMMYFUNCTION("PRODUCT(
   MAP(
     K$3:ED$3,
     K$14:ED$14,
     K$13:ED$13,
     K60:ED60,
     LAMBDA(
       job,
       buff,
       target,
       check,
       IF(
         OR(AND(check=TRUE, REGEXMATCH(target, ""SELF_AFFECTED_ALL""), job=""ガンブレイカー""), AND(che"&amp;"ck=Option!$H$13, REGEXMATCH(target, ""SINGLE_AFFECTED_ALL""))),
         buff,
         1
       )
     )
   )
 )"),1.0)</f>
        <v>1</v>
      </c>
      <c r="FM60" s="206">
        <f>IFERROR(__xludf.DUMMYFUNCTION("SUM(
   MAP(
     K$3:ED$3,
     K$7:ED$7,
     K$15:ED$15,
     K$16:ED$16,
     K$21:ED$21,
     K$5:ED$5,
     K$17:ED$17,
     K60:ED60,
     LAMBDA(
       job,
       abillity,
       buff,
       barrier,
       enhance,
       assign,
       preco"&amp;"ndition,
       check,
       IF(
         OR(AND(check=TRUE, REGEXMATCH(assign, ""SELF""), job=""ガンブレイカー""), AND(check=Option!$H$13, REGEXMATCH(assign, ""SINGLE_PARTY""))),
         IF(
           OR(ARRAYFORMULA((IF(precondition="""", FALSE, REGEXMATCH("&amp;"$K$4:$ED$4, precondition))) * (K60:ED60=TRUE))),
           enhance,
           IF(barrier="""", buff, barrier)
         ),
         0
       ) *
       SWITCH(
         job,
         ""暗黒騎士"", FN$24,
         ""白魔道士"", EF60 * EH60 * FL60 * IF(abillity, 1"&amp;", EG60 * EI60) * (Option!$D$22 * 0.81 / 100),
         ""占星術師"", EF60 * EJ60 * FL60 * IF(abillity, 1, EG60 * EK60) * (Option!$D$23 * 0.81 / 100),
         ""学者"", EF60 * EL60 * FL60 * IF(abillity, 1, EG60 * EM60) * (Option!$D$24 * 0.81 / 100),
         """&amp;"賢者"", EF60 * EN60 * FL60 * IF(abillity, 1, EG60 * EO60) * (Option!$D$25 * 0.81 / 100),
         1
       )
     )
   )
 ) + EQ60"),0.0)</f>
        <v>0</v>
      </c>
      <c r="FN60" s="206">
        <f t="shared" si="13"/>
        <v>0</v>
      </c>
      <c r="FO60" s="213"/>
    </row>
    <row r="61">
      <c r="B61" s="229"/>
      <c r="C61" s="217"/>
      <c r="D61" s="236"/>
      <c r="E61" s="238"/>
      <c r="F61" s="167"/>
      <c r="G61" s="168" t="str">
        <f t="shared" si="2"/>
        <v/>
      </c>
      <c r="H61" s="169"/>
      <c r="I61" s="169"/>
      <c r="J61" s="169"/>
      <c r="K61" s="170" t="b">
        <v>0</v>
      </c>
      <c r="L61" s="170" t="b">
        <v>0</v>
      </c>
      <c r="M61" s="170" t="b">
        <v>0</v>
      </c>
      <c r="N61" s="171" t="s">
        <v>1070</v>
      </c>
      <c r="O61" s="172" t="b">
        <v>0</v>
      </c>
      <c r="P61" s="173" t="b">
        <v>0</v>
      </c>
      <c r="Q61" s="173" t="b">
        <v>0</v>
      </c>
      <c r="R61" s="173" t="b">
        <v>0</v>
      </c>
      <c r="S61" s="174" t="b">
        <v>0</v>
      </c>
      <c r="T61" s="175" t="b">
        <v>0</v>
      </c>
      <c r="U61" s="173" t="b">
        <v>0</v>
      </c>
      <c r="V61" s="171" t="s">
        <v>1070</v>
      </c>
      <c r="W61" s="172" t="b">
        <v>0</v>
      </c>
      <c r="X61" s="173" t="b">
        <v>0</v>
      </c>
      <c r="Y61" s="173" t="b">
        <v>0</v>
      </c>
      <c r="Z61" s="173" t="b">
        <v>0</v>
      </c>
      <c r="AA61" s="174" t="b">
        <v>0</v>
      </c>
      <c r="AB61" s="174" t="b">
        <v>0</v>
      </c>
      <c r="AC61" s="175" t="b">
        <v>0</v>
      </c>
      <c r="AD61" s="173" t="b">
        <v>0</v>
      </c>
      <c r="AE61" s="176" t="s">
        <v>1070</v>
      </c>
      <c r="AF61" s="171" t="s">
        <v>1070</v>
      </c>
      <c r="AG61" s="177">
        <f>IFERROR(__xludf.DUMMYFUNCTION("IF(
  ISNUMBER(AG60),
  MIN(MAX(
    AG60
    + MAX(
      ROUNDDOWN(($D61 - MAX(IFERROR(FILTER($D$24:$D60, AG$24:AG60 &lt;&gt; AF$6, AG$23:AG59 = AF$6), 0))) * (60 * 60 * 24) / AF$9) - ROUNDDOWN(($D60 - MAX(IFERROR(FILTER($D$23:$D59, AG$23:AG59 &lt;&gt; AF$6, AG$22:"&amp;"AG58 = AF$6), 0))) * (60 * 60 * 24) / 60),
      0
    )
    - COUNTIF(AF61, ""&lt;&gt;-""),
  0), AF$6),
  AF$6 - COUNTIF(AF61, ""&lt;&gt;-"")
)"),2.0)</f>
        <v>2</v>
      </c>
      <c r="AH61" s="173" t="b">
        <v>0</v>
      </c>
      <c r="AI61" s="173" t="b">
        <v>0</v>
      </c>
      <c r="AJ61" s="173" t="b">
        <v>0</v>
      </c>
      <c r="AK61" s="174" t="b">
        <v>0</v>
      </c>
      <c r="AL61" s="175" t="b">
        <v>0</v>
      </c>
      <c r="AM61" s="173" t="b">
        <v>0</v>
      </c>
      <c r="AN61" s="171" t="s">
        <v>1070</v>
      </c>
      <c r="AO61" s="173" t="b">
        <v>0</v>
      </c>
      <c r="AP61" s="173" t="b">
        <v>0</v>
      </c>
      <c r="AQ61" s="173" t="b">
        <v>0</v>
      </c>
      <c r="AR61" s="174" t="b">
        <v>0</v>
      </c>
      <c r="AS61" s="178" t="b">
        <v>0</v>
      </c>
      <c r="AT61" s="179" t="b">
        <v>0</v>
      </c>
      <c r="AU61" s="180" t="b">
        <v>0</v>
      </c>
      <c r="AV61" s="180" t="b">
        <v>0</v>
      </c>
      <c r="AW61" s="180" t="b">
        <v>0</v>
      </c>
      <c r="AX61" s="180" t="b">
        <v>0</v>
      </c>
      <c r="AY61" s="181" t="s">
        <v>1070</v>
      </c>
      <c r="AZ61" s="181" t="s">
        <v>1070</v>
      </c>
      <c r="BA61" s="184">
        <f>IFERROR(__xludf.DUMMYFUNCTION("IF(
  ISNUMBER(BA60),
  MIN(MAX(
    BA60
    + MAX(
      ROUNDDOWN((D61 - MAX(IFERROR(FILTER(D$24:D60, BA$24:BA60 &lt;&gt; AZ$6, BA$23:BA59 = AZ$6), 0))) * (60 * 60 * 24) / AZ$9) - ROUNDDOWN((D60 - MAX(IFERROR(FILTER(D$23:D59, BA$23:BA59 &lt;&gt; AZ$6, BA$22:BA58 ="&amp;" AZ$6), 0))) * (60 * 60 * 24) / AZ$9),
      0
    )
    - COUNTIF(AZ61, ""&lt;&gt;-""),
  0), AZ$6),
  AZ$6 - COUNTIF(AZ61, ""&lt;&gt;-"")
)"),2.0)</f>
        <v>2</v>
      </c>
      <c r="BB61" s="181" t="s">
        <v>1070</v>
      </c>
      <c r="BC61" s="183">
        <f>IFERROR(__xludf.DUMMYFUNCTION("IF(
  ISNUMBER(BC60),
  MIN(MAX(
    BC60
    + MAX(
      ROUNDDOWN(($D61 - MAX(IFERROR(FILTER($D$24:$D60, BC$24:BC60 &lt;&gt; BB$6, BC$23:BC59 = BB$6), 0))) * (60 * 60 * 24) / BB$9) - ROUNDDOWN(($D60 - MAX(IFERROR(FILTER($D$23:$D59, BC$23:BC59 &lt;&gt; BB$6, BC$22:"&amp;"BC58 = BB$6), 0))) * (60 * 60 * 24) / 60),
      0
    )
    - COUNTIF(BB61, ""&lt;&gt;-""),
  0), BB$6),
  BB$6 - COUNTIF(BB61, ""&lt;&gt;-"")
)"),2.0)</f>
        <v>2</v>
      </c>
      <c r="BD61" s="181" t="s">
        <v>1070</v>
      </c>
      <c r="BE61" s="178" t="b">
        <v>0</v>
      </c>
      <c r="BF61" s="180" t="b">
        <v>0</v>
      </c>
      <c r="BG61" s="180" t="b">
        <v>0</v>
      </c>
      <c r="BH61" s="180" t="b">
        <v>0</v>
      </c>
      <c r="BI61" s="180" t="b">
        <v>0</v>
      </c>
      <c r="BJ61" s="180" t="b">
        <v>0</v>
      </c>
      <c r="BK61" s="180" t="b">
        <v>0</v>
      </c>
      <c r="BL61" s="180" t="b">
        <v>0</v>
      </c>
      <c r="BM61" s="180" t="b">
        <v>0</v>
      </c>
      <c r="BN61" s="180" t="b">
        <v>0</v>
      </c>
      <c r="BO61" s="181" t="s">
        <v>1070</v>
      </c>
      <c r="BP61" s="181" t="s">
        <v>1070</v>
      </c>
      <c r="BQ61" s="181" t="s">
        <v>1070</v>
      </c>
      <c r="BR61" s="181" t="s">
        <v>1070</v>
      </c>
      <c r="BS61" s="181" t="s">
        <v>1070</v>
      </c>
      <c r="BT61" s="184">
        <f>IFERROR(__xludf.DUMMYFUNCTION("IF(
  ISNUMBER(BT60),
  MIN(MAX(
    BT60
    + MAX(
      ROUNDDOWN((D61 - MAX(IFERROR(FILTER(D$24:D60, BT$24:BT60 &lt;&gt; BS$6, BT$23:BT59 = BS$6), 0))) * (60 * 60 * 24) / BS$9) - ROUNDDOWN((D60 - MAX(IFERROR(FILTER(D$23:D59, BT$23:BT59 &lt;&gt; BS$6, BT$22:BT58 ="&amp;" BS$6), 0))) * (60 * 60 * 24) / BS$9),
      0
    )
    - COUNTIF(BS61, ""&lt;&gt;-""),
  0), BS$6),
  BS$6 - COUNTIF(BS61, ""&lt;&gt;-"")
)"),3.0)</f>
        <v>3</v>
      </c>
      <c r="BU61" s="181" t="s">
        <v>1070</v>
      </c>
      <c r="BV61" s="181" t="s">
        <v>1070</v>
      </c>
      <c r="BW61" s="184">
        <f>IFERROR(__xludf.DUMMYFUNCTION("IF(
  ISNUMBER(BW60),
  MIN(MAX(
    BW60
    + MAX(
      ROUNDDOWN((D61 - MAX(IFERROR(FILTER(D$24:D60, BW$24:BW60 &lt;&gt; BV$6, BW$23:BW59 = BV$6), 0))) * (60 * 60 * 24) / BV$9) - ROUNDDOWN((D60 - MAX(IFERROR(FILTER(D$23:D59, BW$23:BW59 &lt;&gt; BV$6, BW$22:BW58 ="&amp;" BV$6), 0))) * (60 * 60 * 24) / BV$9),
      0
    )
    - COUNTIF(BV61, ""&lt;&gt;-""),
  0), BV$6),
  BV$6 - COUNTIF(BV61, ""&lt;&gt;-"")
)"),2.0)</f>
        <v>2</v>
      </c>
      <c r="BX61" s="185" t="s">
        <v>1070</v>
      </c>
      <c r="BY61" s="178" t="b">
        <v>0</v>
      </c>
      <c r="BZ61" s="180" t="b">
        <v>0</v>
      </c>
      <c r="CA61" s="180" t="b">
        <v>0</v>
      </c>
      <c r="CB61" s="180" t="b">
        <v>0</v>
      </c>
      <c r="CC61" s="180" t="b">
        <v>0</v>
      </c>
      <c r="CD61" s="180" t="b">
        <v>0</v>
      </c>
      <c r="CE61" s="180" t="b">
        <v>0</v>
      </c>
      <c r="CF61" s="180" t="b">
        <v>0</v>
      </c>
      <c r="CG61" s="180" t="b">
        <v>0</v>
      </c>
      <c r="CH61" s="180" t="b">
        <v>0</v>
      </c>
      <c r="CI61" s="180" t="b">
        <v>0</v>
      </c>
      <c r="CJ61" s="180" t="b">
        <v>0</v>
      </c>
      <c r="CK61" s="180" t="b">
        <v>0</v>
      </c>
      <c r="CL61" s="180" t="b">
        <v>0</v>
      </c>
      <c r="CM61" s="181" t="s">
        <v>1070</v>
      </c>
      <c r="CN61" s="181" t="s">
        <v>1070</v>
      </c>
      <c r="CO61" s="181" t="s">
        <v>1070</v>
      </c>
      <c r="CP61" s="181" t="s">
        <v>1070</v>
      </c>
      <c r="CQ61" s="185" t="s">
        <v>1070</v>
      </c>
      <c r="CR61" s="180" t="b">
        <v>0</v>
      </c>
      <c r="CS61" s="186" t="str">
        <f t="shared" si="14"/>
        <v>◇◇◇</v>
      </c>
      <c r="CT61" s="178" t="b">
        <v>0</v>
      </c>
      <c r="CU61" s="180" t="b">
        <v>0</v>
      </c>
      <c r="CV61" s="180" t="b">
        <v>0</v>
      </c>
      <c r="CW61" s="180" t="b">
        <v>0</v>
      </c>
      <c r="CX61" s="180" t="b">
        <v>0</v>
      </c>
      <c r="CY61" s="180" t="b">
        <v>0</v>
      </c>
      <c r="CZ61" s="180" t="b">
        <v>0</v>
      </c>
      <c r="DA61" s="180" t="b">
        <v>0</v>
      </c>
      <c r="DB61" s="180" t="b">
        <v>0</v>
      </c>
      <c r="DC61" s="180" t="b">
        <v>0</v>
      </c>
      <c r="DD61" s="181" t="s">
        <v>1070</v>
      </c>
      <c r="DE61" s="181" t="s">
        <v>1070</v>
      </c>
      <c r="DF61" s="181" t="s">
        <v>1070</v>
      </c>
      <c r="DG61" s="185" t="s">
        <v>1070</v>
      </c>
      <c r="DH61" s="180" t="b">
        <v>0</v>
      </c>
      <c r="DI61" s="187" t="str">
        <f>IFERROR(__xludf.DUMMYFUNCTION("SWITCH(
  IF(
    ISTEXT(DI60),
    IF (
      FIND(""○"", DI60&amp;""○"") &gt; 3,
      3,
      FIND(""○"", DI60&amp;""○"")
      + MAX(
        ROUNDDOWN(($D61 - MAX(IFERROR(FILTER(D$24:D60, DI$24:DI60 &lt;&gt; ""●●●"", DI$23:DI59 = ""●●●""), 0))) * (60 * 60 * 24) / 20"&amp;") - ROUNDDOWN(($D60 - MAX(IFERROR(FILTER(D$23:D59, DI$23:DI59 &lt;&gt; ""●●●"", DI$22:DI58 = ""●●●""), 0))) * (60 * 60 * 24) / 20),
        0
      ) - 1
    ) - COUNTIFS(CU61, ""=TRUE"", CU60, ""&lt;&gt;TRUE"") - COUNTIF(CZ61, ""=TRUE"") - COUNTIF({DD61,DE61}, ""&lt;&gt;-"&amp;""") + COUNTIF(DH61, ""=TRUE""),
    3
  ),
  0, ""○○○"", 1, ""●○○"", 2, ""●●○"", 3, ""●●●"", 4, ""●●●"", ""○○○""
)"),"●●●")</f>
        <v>●●●</v>
      </c>
      <c r="DJ61" s="188" t="b">
        <v>0</v>
      </c>
      <c r="DK61" s="189" t="b">
        <v>0</v>
      </c>
      <c r="DL61" s="190" t="b">
        <v>0</v>
      </c>
      <c r="DM61" s="190" t="b">
        <v>0</v>
      </c>
      <c r="DN61" s="190" t="b">
        <v>0</v>
      </c>
      <c r="DO61" s="190" t="b">
        <v>0</v>
      </c>
      <c r="DP61" s="190" t="b">
        <v>0</v>
      </c>
      <c r="DQ61" s="191" t="b">
        <v>0</v>
      </c>
      <c r="DR61" s="192" t="b">
        <v>0</v>
      </c>
      <c r="DS61" s="191" t="b">
        <v>0</v>
      </c>
      <c r="DT61" s="192" t="b">
        <v>0</v>
      </c>
      <c r="DU61" s="191" t="b">
        <v>0</v>
      </c>
      <c r="DV61" s="193" t="s">
        <v>1070</v>
      </c>
      <c r="DW61" s="194" t="b">
        <v>0</v>
      </c>
      <c r="DX61" s="194" t="b">
        <v>0</v>
      </c>
      <c r="DY61" s="195" t="b">
        <v>0</v>
      </c>
      <c r="DZ61" s="196" t="b">
        <v>0</v>
      </c>
      <c r="EA61" s="195" t="b">
        <v>0</v>
      </c>
      <c r="EB61" s="197" t="b">
        <v>0</v>
      </c>
      <c r="EC61" s="197" t="b">
        <v>0</v>
      </c>
      <c r="ED61" s="212" t="b">
        <v>0</v>
      </c>
      <c r="EE61" s="199">
        <f>IFERROR(__xludf.DUMMYFUNCTION("IFERROR(
   PRODUCT(
     MAP(
       INDEX(TRANSPOSE(UNIQUE(TRANSPOSE(FILTER({IF($F61=""Physical"", K$10:ED$10, IF($F61=""Magic"", K$11:ED$11, K$12:ED$12));K$4:ED$4;K61:ED61}, K61:ED61=TRUE)))), 1, 0),
       INDEX(TRANSPOSE(UNIQUE(TRANSPOSE(FILTER({IF($"&amp;"F61=""Physical"", K$18:ED$18, IF($F61=""Magic"", K$19:ED$19, K$20:ED$20));K$4:ED$4;K61:ED61}, K61:ED61=TRUE)))), 1, 0),
       INDEX(TRANSPOSE(UNIQUE(TRANSPOSE(FILTER({K$5:ED$5;K$4:ED$4;K61:ED61}, K61:ED61=TRUE)))), 1, 0),
       INDEX(TRANSPOSE(UNIQUE(TR"&amp;"ANSPOSE(FILTER({K$17:ED$17;K$4:ED$4;K61:ED61}, K61:ED61=TRUE)))), 1, 0),
       LAMBDA(
         mitigation,
         enhance,
         assign,
         precondition,
         IF(
           REGEXMATCH(assign, ""RANGE_PARTY|SINGLE_ENEMY|RANGE_ENEMY""),
  "&amp;"         IF(
             OR(ARRAYFORMULA((IF(precondition="""", FALSE, REGEXMATCH(K$4:ED$4, precondition))) * (K61:ED61=TRUE))),
             IF(ISNUMBER(enhance), enhance, 1),
             IF(ISNUMBER(mitigation), mitigation, 1)
           ),
          "&amp;" 1
         )
       )
     )
   ),
   1
 )"),1.0)</f>
        <v>1</v>
      </c>
      <c r="EF61" s="200">
        <f>IFERROR(__xludf.DUMMYFUNCTION("PRODUCT(
   MAP(
     K$14:ED$14,
     K$13:ED$13,
     K61:ED61,
     LAMBDA(
       buff,
       target,
       check,
       IF(
         AND(check=TRUE, REGEXMATCH(target, ""RANGE_AFFECTED_ALL|RANGE_EFFECTED_ALL""), ISNUMBER(buff)),
         buff,
   "&amp;"      1
       )
     )
   )
 )"),1.0)</f>
        <v>1</v>
      </c>
      <c r="EG61" s="200">
        <f>IFERROR(__xludf.DUMMYFUNCTION("PRODUCT(
   MAP(
     K$14:ED$14,
     K$13:ED$13,
     K61:ED61,
     LAMBDA(
       buff,
       target,
       check,
       IF(
         AND(check=TRUE, REGEXMATCH(target, ""RANGE_AFFECTED_GCD|RANGE_EFFECTED_GCD""), ISNUMBER(buff)),
         buff,
   "&amp;"      1
       )
     )
   )
 )"),1.0)</f>
        <v>1</v>
      </c>
      <c r="EH61" s="200">
        <f>IFERROR(__xludf.DUMMYFUNCTION("PRODUCT(
   MAP(
     K$3:ED$3,
     K$14:ED$14,
     K$13:ED$13,
     K61:ED61,
     LAMBDA(
       job,
       buff,
       target,
       check,
       IF(
         AND(check=TRUE, REGEXMATCH(target, ""SELF_EFFECTED_ALL""), ISNUMBER(buff), job=""白魔道士"""&amp;"),
         buff,
         1
       )
     )
   )
 )"),1.0)</f>
        <v>1</v>
      </c>
      <c r="EI61" s="200">
        <f>IFERROR(__xludf.DUMMYFUNCTION("PRODUCT(
   MAP(
     K$3:ED$3,
     K$14:ED$14,
     K$13:ED$13,
     K61:ED61,
     LAMBDA(
       job,
       buff,
       target,
       check,
       IF(
         AND(check=TRUE, REGEXMATCH(target, ""SELF_EFFECTED_GCD""), ISNUMBER(buff), job=""白魔道士"""&amp;"),
         buff,
         1
       )
     )
   )
 )"),1.0)</f>
        <v>1</v>
      </c>
      <c r="EJ61" s="200">
        <f>IFERROR(__xludf.DUMMYFUNCTION("PRODUCT(
   MAP(
     K$3:ED$3,
     K$14:ED$14,
     K$13:ED$13,
     K61:ED61,
     LAMBDA(
       job,
       buff,
       target,
       check,
       IF(
         AND(check=TRUE, REGEXMATCH(target, ""SELF_EFFECTED_ALL""), ISNUMBER(buff), job=""占星術師"""&amp;"),
         buff,
         1
       )
     )
   )
 )"),1.0)</f>
        <v>1</v>
      </c>
      <c r="EK61" s="200">
        <f>IFERROR(__xludf.DUMMYFUNCTION("PRODUCT(
   MAP(
     K$3:ED$3,
     K$14:ED$14,
     K$13:ED$13,
     K61:ED61,
     LAMBDA(
       job,
       buff,
       target,
       check,
       IF(
         AND(check=TRUE, REGEXMATCH(target, ""SELF_EFFECTED_GCD""), ISNUMBER(buff), job=""占星術師"""&amp;"),
         buff,
         1
       )
     )
   )
 )"),1.0)</f>
        <v>1</v>
      </c>
      <c r="EL61" s="200">
        <f>IFERROR(__xludf.DUMMYFUNCTION("PRODUCT(
   MAP(
     K$3:ED$3,
     K$14:ED$14,
     K$13:ED$13,
     K61:ED61,
     LAMBDA(
       job,
       buff,
       target,
       check,
       IF(
         AND(check=TRUE, REGEXMATCH(target, ""SELF_EFFECTED_ALL""), ISNUMBER(buff), job=""学者""),"&amp;"
         buff,
         1
       )
     )
   )
 )"),1.0)</f>
        <v>1</v>
      </c>
      <c r="EM61" s="200">
        <f>IFERROR(__xludf.DUMMYFUNCTION("PRODUCT(
   MAP(
     K$3:ED$3,
     K$14:ED$14,
     K$13:ED$13,
     K61:ED61,
     LAMBDA(
       job,
       buff,
       target,
       check,
       IF(
         AND(check=TRUE, REGEXMATCH(target, ""SELF_EFFECTED_GCD""), ISNUMBER(buff), job=""学者""),"&amp;"
         buff,
         1
       )
     )
   )
 )"),1.0)</f>
        <v>1</v>
      </c>
      <c r="EN61" s="200">
        <f>IFERROR(__xludf.DUMMYFUNCTION("PRODUCT(
   MAP(
     K$3:ED$3,
     K$14:ED$14,
     K$13:ED$13,
     K61:ED61,
     LAMBDA(
       job,
       buff,
       target,
       check,
       IF(
         AND(check=TRUE, REGEXMATCH(target, ""SELF_EFFECTED_ALL""), ISNUMBER(buff), job=""賢者""),"&amp;"
         buff,
         1
       )
     )
   )
 )"),1.0)</f>
        <v>1</v>
      </c>
      <c r="EO61" s="200">
        <f>IFERROR(__xludf.DUMMYFUNCTION("PRODUCT(
   MAP(
     K$3:ED$3,
     K$14:ED$14,
     K$13:ED$13,
     K61:ED61,
     LAMBDA(
       job,
       buff,
       target,
       check,
       IF(
         AND(check=TRUE, REGEXMATCH(target, ""SELF_EFFECTED_GCD""), ISNUMBER(buff), job=""賢者""),"&amp;"
         buff,
         1
       )
     )
   )
 )"),1.0)</f>
        <v>1</v>
      </c>
      <c r="EP61" s="201">
        <f t="shared" si="3"/>
        <v>0</v>
      </c>
      <c r="EQ61" s="201">
        <f>IFERROR(__xludf.DUMMYFUNCTION("SUM(
   MAP(
     K$4:ED$4,
     K$3:ED$3,
     K$7:ED$7,
     K$15:ED$15,
     K$16:ED$16,
     K$21:ED$21,
     K$5:ED$5,
     K$17:ED$17,
     K61:ED61,
     LAMBDA(
       name,
       job,
       abillity,
       buff,
       barrier,
       enhance,"&amp;"
       assign,
       precondition,
       check,
       SWITCH(
         name,
         ""シェイクオフ"", IF(check=TRUE, buff + (0.02 * COUNTIF(ARRAYFORMULA((REGEXMATCH($K$4:$ED$4, ""スリル・オブ・バトル|ヴェンジェンス|原初の血気|ダムネーション"")) * (K61:ED61=TRUE)), 1)), 0),
         "&amp;"""インプロビゼーションフィニッシュ(踊りの激情0)"", IF(ISNUMBER(check), INDEX(Skill!$AJ:$AJ, MATCH(SUBSTITUTE(DV$4, 0, check), Skill!$C:$C, 0)), 0),
         IF(
           AND(check=TRUE, REGEXMATCH(assign, ""RANGE_PARTY"")),
           IF(
             OR(ARRAYFORMULA((IF(pr"&amp;"econdition="""", FALSE, REGEXMATCH($K$4:$ED$4, precondition))) * (K61:ED61=TRUE))),
             enhance,
             IF(barrier="""", buff, barrier)
           ),
           0
         )
       ) *
       SWITCH(
         job,
         ""ナイト"", EY$24,
 "&amp;"        ""戦士"", FD$24,
         ""踊り子"", ET$24,
         ""ピクトマンサー"", ET$24,
         ""白魔道士"", EF61 * EH61 * IF(abillity, 1, EG61 * EI61) * (Option!$D$22 * 0.81 / 100),
         ""占星術師"", EF61 * EJ61 * IF(abillity, 1, EG61 * EK61) * (Option!$D$23 * 0.81 "&amp;"/ 100),
         ""学者"", EF61 * EL61 * IF(abillity, 1, EG61 * EM61) * (Option!$D$24 * 0.81 / 100),
         ""賢者"", EF61 * EN61 * IF(abillity, 1, EG61 * EO61) * (Option!$D$25 * 0.81 / 100),
         1
       )
     )
   )
 )"),0.0)</f>
        <v>0</v>
      </c>
      <c r="ER61" s="202">
        <f t="shared" si="4"/>
        <v>0</v>
      </c>
      <c r="ES61" s="203">
        <f t="shared" si="5"/>
        <v>0</v>
      </c>
      <c r="ET61" s="231" t="str">
        <f>IFERROR(__xludf.DUMMYFUNCTION("IFS(
  EP61 &gt; $ET$24 + EQ61,
  SPARKLINE({ 1, 0 }, {""charttype"",""bar"";""max"", 1;""color1"",Option!$D$30;""color2"",Option!$D$30}),
  EP61 &lt; EQ61,
  SPARKLINE({EQ61 - EP61, $ET$24 - (EQ61 - EP61)}, {""charttype"",""bar"";""max"",$ET$24;""color1"",Opti"&amp;"on!$D$28;""color2"",Option!$D$29}),
  EP61 &gt;= EQ61,
  SPARKLINE({$ET$24 + EQ61 - EP61,EP61 - EQ61}, {""charttype"",""bar"";""max"",$ET$24;""color1"",Option!$D$29;""color2"",Option!$D$30})
)"),"")</f>
        <v/>
      </c>
      <c r="EU61" s="205">
        <f>IFERROR(__xludf.DUMMYFUNCTION("PRODUCT(
   MAP(
     IF($F61=""Physical"", K$10:ED$10, IF($F61=""Magic"", K$11:ED$11, K$12:ED$12)),
     IF($F61=""Physical"", K$18:ED$18, IF($F61=""Magic"", K$19:ED$19, K$20:ED$20)),
     K$3:ED$3,
     K$5:ED$5,
     K$17:ED$17,
     K61:ED61,
     LAM"&amp;"BDA(
       mitigation,
       enhance,
       job,
       assign,
       precondition,
       check,
       IF(
         OR(AND(check=TRUE, REGEXMATCH(assign, ""SELF""), job=""ナイト""), AND(check=Option!$E$13, REGEXMATCH(assign, ""SINGLE_PARTY""))),
      "&amp;"   IF(
           OR(ARRAYFORMULA((IF(precondition="""", FALSE, REGEXMATCH($K$4:$ED$4, precondition))) * (K61:ED61=TRUE))),
           enhance,
           mitigation
         ),
         1
       )
     )
   )
 ) * EE61"),1.0)</f>
        <v>1</v>
      </c>
      <c r="EV61" s="206">
        <f t="shared" si="6"/>
        <v>0</v>
      </c>
      <c r="EW61" s="205">
        <f>IFERROR(__xludf.DUMMYFUNCTION("PRODUCT(
   MAP(
     K$3:ED$3,
     K$14:ED$14,
     K$13:ED$13,
     K61:ED61,
     LAMBDA(
       job,
       buff,
       target,
       check,
       IF(
         OR(AND(check=TRUE, REGEXMATCH(target, ""SELF_AFFECTED_ALL""), job=""ナイト""), AND(check=O"&amp;"ption!$E$13, REGEXMATCH(target, ""SINGLE_AFFECTED_ALL""))),
         buff,
         1
       )
     )
   )
 )"),1.0)</f>
        <v>1</v>
      </c>
      <c r="EX61" s="206">
        <f>IFERROR(__xludf.DUMMYFUNCTION("SUM(
   MAP(
     K$3:ED$3,
     K$7:ED$7,
     K$15:ED$15,
     K$16:ED$16,
     K$21:ED$21,
     K$5:ED$5,
     K$17:ED$17,
     K61:ED61,
     LAMBDA(
       job,
       abillity,
       buff,
       barrier,
       enhance,
       assign,
       preco"&amp;"ndition,
       check,
       IF(
         OR(AND(check=TRUE, REGEXMATCH(assign, ""SELF""), job=""ナイト""), AND(check=Option!$E$13, REGEXMATCH(assign, ""SINGLE_PARTY""))),
         IF(
           OR(ARRAYFORMULA((IF(precondition="""", FALSE, REGEXMATCH($K$4"&amp;":$ED$4, precondition))) * (K61:ED61=TRUE))),
           enhance,
           IF(barrier="""", buff, barrier)
         ),
         0
       ) *
       SWITCH(
         job,
         ""暗黒騎士"", EY$24,
         ""白魔道士"", EF61 * EH61 * EW61 * IF(abillity, 1, EG"&amp;"61 * EI61) * (Option!$D$22 * 0.81 / 100),
         ""占星術師"", EF61 * EJ61 * EW61 * IF(abillity, 1, EG61 * EK61) * (Option!$D$23 * 0.81 / 100),
         ""学者"", EF61 * EL61 * EW61 * IF(abillity, 1, EG61 * EM61) * (Option!$D$24 * 0.81 / 100),
         ""賢者"""&amp;", EF61 * EN61 * EW61 * IF(abillity, 1, EG61 * EO61) * (Option!$D$25 * 0.81 / 100),
         1
       )
     )
   )
 ) + EQ61"),0.0)</f>
        <v>0</v>
      </c>
      <c r="EY61" s="232">
        <f t="shared" si="7"/>
        <v>0</v>
      </c>
      <c r="EZ61" s="205">
        <f>IFERROR(__xludf.DUMMYFUNCTION("PRODUCT(
   MAP(
     IF($F61=""Physical"", K$10:ED$10, IF($F61=""Magic"", K$11:ED$11, K$12:ED$12)),
     IF($F61=""Physical"", K$18:ED$18, IF($F61=""Magic"", K$19:ED$19, K$20:ED$20)),
     K$3:ED$3,
     K$5:ED$5,
     K$17:ED$17,
     K61:ED61,
     LAM"&amp;"BDA(
       mitigation,
       enhance,
       job,
       assign,
       precondition,
       check,
       IF(
         OR(AND(check=TRUE, REGEXMATCH(assign, ""SELF""), job=""戦士""), AND(check=Option!$F$13, REGEXMATCH(assign, ""SINGLE_PARTY""))),
       "&amp;"  IF(
           OR(ARRAYFORMULA((IF(precondition="""", FALSE, REGEXMATCH($K$4:$ED$4, precondition))) * (K61:ED61=TRUE))),
           enhance,
           mitigation
         ),
         1
       )
     )
   )
 ) * EE61"),1.0)</f>
        <v>1</v>
      </c>
      <c r="FA61" s="206">
        <f t="shared" si="8"/>
        <v>0</v>
      </c>
      <c r="FB61" s="205">
        <f>IFERROR(__xludf.DUMMYFUNCTION("PRODUCT(
   MAP(
     K$3:ED$3,
     K$14:ED$14,
     K$13:ED$13,
     K61:ED61,
     LAMBDA(
       job,
       buff,
       target,
       check,
       IF(
         OR(AND(check=TRUE, REGEXMATCH(target, ""SELF_AFFECTED_ALL""), job=""戦士""), AND(check=Op"&amp;"tion!$F$13, REGEXMATCH(target, ""SINGLE_AFFECTED_ALL""))),
         buff,
         1
       )
     )
   )
 )"),1.0)</f>
        <v>1</v>
      </c>
      <c r="FC61" s="206">
        <f>IFERROR(__xludf.DUMMYFUNCTION("SUM(
   MAP(
     K$3:ED$3,
     K$7:ED$7,
     K$15:ED$15,
     K$16:ED$16,
     K$21:ED$21,
     K$5:ED$5,
     K$17:ED$17,
     K61:ED61,
     LAMBDA(
       job,
       abillity,
       buff,
       barrier,
       enhance,
       assign,
       preco"&amp;"ndition,
       check,
       IF(
         OR(AND(check=TRUE, REGEXMATCH(assign, ""SELF""), job=""戦士""), AND(check=Option!$F$13, REGEXMATCH(assign, ""SINGLE_PARTY""))),
         IF(
           OR(ARRAYFORMULA((IF(precondition="""", FALSE, REGEXMATCH($K$4:"&amp;"$ED$4, precondition))) * (K61:ED61=TRUE))),
           enhance,
           IF(barrier="""", buff, barrier)
         ),
         0
       ) *
       SWITCH(
         job,
         ""暗黒騎士"", FD$24,
         ""白魔道士"", EF61 * EH61 * FB61 * IF(abillity, 1, EG6"&amp;"1 * EI61) * (Option!$D$22 * 0.81 / 100),
         ""占星術師"", EF61 * EJ61 * FFB61 * IF(abillity, 1, EG61 * EK61) * (Option!$D$23 * 0.81 / 100),
         ""学者"", EF61 * EL61 * FB61 * IF(abillity, 1, EG61 * EM61) * (Option!$D$24 * 0.81 / 100),
         ""賢者"""&amp;", EF61 * EN61 * FB61 * IF(abillity, 1, EG61 * EO61) * (Option!$D$25 * 0.81 / 100),
         1
       )
     )
   )
 ) + EQ61"),0.0)</f>
        <v>0</v>
      </c>
      <c r="FD61" s="206">
        <f t="shared" si="9"/>
        <v>0</v>
      </c>
      <c r="FE61" s="205">
        <f>IFERROR(__xludf.DUMMYFUNCTION("PRODUCT(
   MAP(
     IF($F61=""Physical"", K$10:ED$10, IF($F61=""Magic"", K$11:ED$11, K$12:ED$12)),
     IF($F61=""Physical"", K$18:ED$18, IF($F61=""Magic"", K$19:ED$19, K$20:ED$20)),
     K$3:ED$3,
     K$5:ED$5,
     K$17:ED$17,
     K61:ED61,
     LAM"&amp;"BDA(
       mitigation,
       enhance,
       job,
       assign,
       precondition,
       check,
       IF(
         OR(AND(check=TRUE, REGEXMATCH(assign, ""SELF""), job=""暗黒騎士""), AND(check=Option!$G$13, REGEXMATCH(assign, ""SINGLE_PARTY""))),
     "&amp;"    IF(
           OR(ARRAYFORMULA((IF(precondition="""", FALSE, REGEXMATCH($K$4:$ED$4, precondition))) * (K61:ED61=TRUE))),
           enhance,
           mitigation
         ),
         1
       )
     )
   )
 ) * EE61"),1.0)</f>
        <v>1</v>
      </c>
      <c r="FF61" s="206">
        <f t="shared" si="10"/>
        <v>0</v>
      </c>
      <c r="FG61" s="205">
        <f>IFERROR(__xludf.DUMMYFUNCTION("PRODUCT(
   MAP(
     K$3:ED$3,
     K$14:ED$14,
     K$13:ED$13,
     K61:ED61,
     LAMBDA(
       job,
       buff,
       target,
       check,
       IF(
         OR(AND(check=TRUE, REGEXMATCH(target, ""SELF_AFFECTED_ALL""), job=""暗黒騎士""), AND(check="&amp;"Option!$G$13, REGEXMATCH(target, ""SINGLE_AFFECTED_ALL""))),
         buff,
         1
       )
     )
   )
 )"),1.0)</f>
        <v>1</v>
      </c>
      <c r="FH61" s="206">
        <f>IFERROR(__xludf.DUMMYFUNCTION("SUM(
   MAP(
     K$3:ED$3,
     K$7:ED$7,
     K$15:ED$15,
     K$16:ED$16,
     K$21:ED$21,
     K$5:ED$5,
     K$17:ED$17,
     K61:ED61,
     LAMBDA(
       job,
       abillity,
       buff,
       barrier,
       enhance,
       assign,
       preco"&amp;"ndition,
       check,
       IF(
         OR(AND(check=TRUE, REGEXMATCH(assign, ""SELF""), job=""暗黒騎士""), AND(check=Option!$G$13, REGEXMATCH(assign, ""SINGLE_PARTY""))),
         IF(
           OR(ARRAYFORMULA((IF(precondition="""", FALSE, REGEXMATCH($K$"&amp;"4:$ED$4, precondition))) * (K61:ED61=TRUE))),
           enhance,
           IF(barrier="""", buff, barrier)
         ),
         0
       ) *
       SWITCH(
         job,
         ""暗黒騎士"", FI$24,
         ""白魔道士"", EF61 * EH61 * FG61 * IF(abillity, 1, E"&amp;"G61 * EI61) * (Option!$D$22 * 0.81 / 100),
         ""占星術師"", EF61 * EJ61 * FG61 * IF(abillity, 1, EG61 * EK61) * (Option!$D$23 * 0.81 / 100),
         ""学者"", EF61 * EL61 * FG61 * IF(abillity, 1, EG61 * EM61) * (Option!$D$24 * 0.81 / 100),
         ""賢者"&amp;""", EF61 * EN61 * FG61 * IF(abillity, 1, EG61 * EO61) * (Option!$D$25 * 0.81 / 100),
         1
       )
     )
   )
 ) + EQ61"),0.0)</f>
        <v>0</v>
      </c>
      <c r="FI61" s="206">
        <f t="shared" si="11"/>
        <v>0</v>
      </c>
      <c r="FJ61" s="205">
        <f>IFERROR(__xludf.DUMMYFUNCTION("PRODUCT(
   MAP(
     IF($F61=""Physical"", K$10:ED$10, IF($F61=""Magic"", K$11:ED$11, K$12:ED$12)),
     IF($F61=""Physical"", K$18:ED$18, IF($F61=""Magic"", K$19:ED$19, K$20:ED$20)),
     K$3:ED$3,
     K$5:ED$5,
     K$17:ED$17,
     K61:ED61,
     LAM"&amp;"BDA(
       mitigation,
       enhance,
       job,
       assign,
       precondition,
       check,
       IF(
         OR(AND(check=TRUE, REGEXMATCH(assign, ""SELF""), job=""ガンブレイカー""), AND(check=Option!$H$13, REGEXMATCH(assign, ""SINGLE_PARTY""))),
  "&amp;"       IF(
           OR(ARRAYFORMULA((IF(precondition="""", FALSE, REGEXMATCH($K$4:$ED$4, precondition))) * (K61:ED61=TRUE))),
           enhance,
           mitigation
         ),
         1
       )
     )
   )
 ) * EE61"),1.0)</f>
        <v>1</v>
      </c>
      <c r="FK61" s="206">
        <f t="shared" si="12"/>
        <v>0</v>
      </c>
      <c r="FL61" s="205">
        <f>IFERROR(__xludf.DUMMYFUNCTION("PRODUCT(
   MAP(
     K$3:ED$3,
     K$14:ED$14,
     K$13:ED$13,
     K61:ED61,
     LAMBDA(
       job,
       buff,
       target,
       check,
       IF(
         OR(AND(check=TRUE, REGEXMATCH(target, ""SELF_AFFECTED_ALL""), job=""ガンブレイカー""), AND(che"&amp;"ck=Option!$H$13, REGEXMATCH(target, ""SINGLE_AFFECTED_ALL""))),
         buff,
         1
       )
     )
   )
 )"),1.0)</f>
        <v>1</v>
      </c>
      <c r="FM61" s="206">
        <f>IFERROR(__xludf.DUMMYFUNCTION("SUM(
   MAP(
     K$3:ED$3,
     K$7:ED$7,
     K$15:ED$15,
     K$16:ED$16,
     K$21:ED$21,
     K$5:ED$5,
     K$17:ED$17,
     K61:ED61,
     LAMBDA(
       job,
       abillity,
       buff,
       barrier,
       enhance,
       assign,
       preco"&amp;"ndition,
       check,
       IF(
         OR(AND(check=TRUE, REGEXMATCH(assign, ""SELF""), job=""ガンブレイカー""), AND(check=Option!$H$13, REGEXMATCH(assign, ""SINGLE_PARTY""))),
         IF(
           OR(ARRAYFORMULA((IF(precondition="""", FALSE, REGEXMATCH("&amp;"$K$4:$ED$4, precondition))) * (K61:ED61=TRUE))),
           enhance,
           IF(barrier="""", buff, barrier)
         ),
         0
       ) *
       SWITCH(
         job,
         ""暗黒騎士"", FN$24,
         ""白魔道士"", EF61 * EH61 * FL61 * IF(abillity, 1"&amp;", EG61 * EI61) * (Option!$D$22 * 0.81 / 100),
         ""占星術師"", EF61 * EJ61 * FL61 * IF(abillity, 1, EG61 * EK61) * (Option!$D$23 * 0.81 / 100),
         ""学者"", EF61 * EL61 * FL61 * IF(abillity, 1, EG61 * EM61) * (Option!$D$24 * 0.81 / 100),
         """&amp;"賢者"", EF61 * EN61 * FL61 * IF(abillity, 1, EG61 * EO61) * (Option!$D$25 * 0.81 / 100),
         1
       )
     )
   )
 ) + EQ61"),0.0)</f>
        <v>0</v>
      </c>
      <c r="FN61" s="206">
        <f t="shared" si="13"/>
        <v>0</v>
      </c>
      <c r="FO61" s="213"/>
    </row>
    <row r="62">
      <c r="B62" s="229"/>
      <c r="C62" s="217"/>
      <c r="D62" s="236"/>
      <c r="E62" s="238"/>
      <c r="F62" s="167"/>
      <c r="G62" s="168" t="str">
        <f t="shared" si="2"/>
        <v/>
      </c>
      <c r="H62" s="169"/>
      <c r="I62" s="169"/>
      <c r="J62" s="169"/>
      <c r="K62" s="170" t="b">
        <v>0</v>
      </c>
      <c r="L62" s="170" t="b">
        <v>0</v>
      </c>
      <c r="M62" s="170" t="b">
        <v>0</v>
      </c>
      <c r="N62" s="171" t="s">
        <v>1070</v>
      </c>
      <c r="O62" s="172" t="b">
        <v>0</v>
      </c>
      <c r="P62" s="173" t="b">
        <v>0</v>
      </c>
      <c r="Q62" s="173" t="b">
        <v>0</v>
      </c>
      <c r="R62" s="173" t="b">
        <v>0</v>
      </c>
      <c r="S62" s="174" t="b">
        <v>0</v>
      </c>
      <c r="T62" s="175" t="b">
        <v>0</v>
      </c>
      <c r="U62" s="173" t="b">
        <v>0</v>
      </c>
      <c r="V62" s="171" t="s">
        <v>1070</v>
      </c>
      <c r="W62" s="172" t="b">
        <v>0</v>
      </c>
      <c r="X62" s="173" t="b">
        <v>0</v>
      </c>
      <c r="Y62" s="173" t="b">
        <v>0</v>
      </c>
      <c r="Z62" s="173" t="b">
        <v>0</v>
      </c>
      <c r="AA62" s="174" t="b">
        <v>0</v>
      </c>
      <c r="AB62" s="174" t="b">
        <v>0</v>
      </c>
      <c r="AC62" s="175" t="b">
        <v>0</v>
      </c>
      <c r="AD62" s="173" t="b">
        <v>0</v>
      </c>
      <c r="AE62" s="176" t="s">
        <v>1070</v>
      </c>
      <c r="AF62" s="171" t="s">
        <v>1070</v>
      </c>
      <c r="AG62" s="177">
        <f>IFERROR(__xludf.DUMMYFUNCTION("IF(
  ISNUMBER(AG61),
  MIN(MAX(
    AG61
    + MAX(
      ROUNDDOWN(($D62 - MAX(IFERROR(FILTER($D$24:$D61, AG$24:AG61 &lt;&gt; AF$6, AG$23:AG60 = AF$6), 0))) * (60 * 60 * 24) / AF$9) - ROUNDDOWN(($D61 - MAX(IFERROR(FILTER($D$23:$D60, AG$23:AG60 &lt;&gt; AF$6, AG$22:"&amp;"AG59 = AF$6), 0))) * (60 * 60 * 24) / 60),
      0
    )
    - COUNTIF(AF62, ""&lt;&gt;-""),
  0), AF$6),
  AF$6 - COUNTIF(AF62, ""&lt;&gt;-"")
)"),2.0)</f>
        <v>2</v>
      </c>
      <c r="AH62" s="173" t="b">
        <v>0</v>
      </c>
      <c r="AI62" s="173" t="b">
        <v>0</v>
      </c>
      <c r="AJ62" s="173" t="b">
        <v>0</v>
      </c>
      <c r="AK62" s="174" t="b">
        <v>0</v>
      </c>
      <c r="AL62" s="175" t="b">
        <v>0</v>
      </c>
      <c r="AM62" s="173" t="b">
        <v>0</v>
      </c>
      <c r="AN62" s="171" t="s">
        <v>1070</v>
      </c>
      <c r="AO62" s="173" t="b">
        <v>0</v>
      </c>
      <c r="AP62" s="173" t="b">
        <v>0</v>
      </c>
      <c r="AQ62" s="173" t="b">
        <v>0</v>
      </c>
      <c r="AR62" s="174" t="b">
        <v>0</v>
      </c>
      <c r="AS62" s="178" t="b">
        <v>0</v>
      </c>
      <c r="AT62" s="179" t="b">
        <v>0</v>
      </c>
      <c r="AU62" s="180" t="b">
        <v>0</v>
      </c>
      <c r="AV62" s="180" t="b">
        <v>0</v>
      </c>
      <c r="AW62" s="180" t="b">
        <v>0</v>
      </c>
      <c r="AX62" s="180" t="b">
        <v>0</v>
      </c>
      <c r="AY62" s="181" t="s">
        <v>1070</v>
      </c>
      <c r="AZ62" s="181" t="s">
        <v>1070</v>
      </c>
      <c r="BA62" s="184">
        <f>IFERROR(__xludf.DUMMYFUNCTION("IF(
  ISNUMBER(BA61),
  MIN(MAX(
    BA61
    + MAX(
      ROUNDDOWN((D62 - MAX(IFERROR(FILTER(D$24:D61, BA$24:BA61 &lt;&gt; AZ$6, BA$23:BA60 = AZ$6), 0))) * (60 * 60 * 24) / AZ$9) - ROUNDDOWN((D61 - MAX(IFERROR(FILTER(D$23:D60, BA$23:BA60 &lt;&gt; AZ$6, BA$22:BA59 ="&amp;" AZ$6), 0))) * (60 * 60 * 24) / AZ$9),
      0
    )
    - COUNTIF(AZ62, ""&lt;&gt;-""),
  0), AZ$6),
  AZ$6 - COUNTIF(AZ62, ""&lt;&gt;-"")
)"),2.0)</f>
        <v>2</v>
      </c>
      <c r="BB62" s="181" t="s">
        <v>1070</v>
      </c>
      <c r="BC62" s="183">
        <f>IFERROR(__xludf.DUMMYFUNCTION("IF(
  ISNUMBER(BC61),
  MIN(MAX(
    BC61
    + MAX(
      ROUNDDOWN(($D62 - MAX(IFERROR(FILTER($D$24:$D61, BC$24:BC61 &lt;&gt; BB$6, BC$23:BC60 = BB$6), 0))) * (60 * 60 * 24) / BB$9) - ROUNDDOWN(($D61 - MAX(IFERROR(FILTER($D$23:$D60, BC$23:BC60 &lt;&gt; BB$6, BC$22:"&amp;"BC59 = BB$6), 0))) * (60 * 60 * 24) / 60),
      0
    )
    - COUNTIF(BB62, ""&lt;&gt;-""),
  0), BB$6),
  BB$6 - COUNTIF(BB62, ""&lt;&gt;-"")
)"),2.0)</f>
        <v>2</v>
      </c>
      <c r="BD62" s="181" t="s">
        <v>1070</v>
      </c>
      <c r="BE62" s="178" t="b">
        <v>0</v>
      </c>
      <c r="BF62" s="180" t="b">
        <v>0</v>
      </c>
      <c r="BG62" s="180" t="b">
        <v>0</v>
      </c>
      <c r="BH62" s="180" t="b">
        <v>0</v>
      </c>
      <c r="BI62" s="180" t="b">
        <v>0</v>
      </c>
      <c r="BJ62" s="180" t="b">
        <v>0</v>
      </c>
      <c r="BK62" s="180" t="b">
        <v>0</v>
      </c>
      <c r="BL62" s="180" t="b">
        <v>0</v>
      </c>
      <c r="BM62" s="180" t="b">
        <v>0</v>
      </c>
      <c r="BN62" s="180" t="b">
        <v>0</v>
      </c>
      <c r="BO62" s="181" t="s">
        <v>1070</v>
      </c>
      <c r="BP62" s="181" t="s">
        <v>1070</v>
      </c>
      <c r="BQ62" s="181" t="s">
        <v>1070</v>
      </c>
      <c r="BR62" s="181" t="s">
        <v>1070</v>
      </c>
      <c r="BS62" s="181" t="s">
        <v>1070</v>
      </c>
      <c r="BT62" s="184">
        <f>IFERROR(__xludf.DUMMYFUNCTION("IF(
  ISNUMBER(BT61),
  MIN(MAX(
    BT61
    + MAX(
      ROUNDDOWN((D62 - MAX(IFERROR(FILTER(D$24:D61, BT$24:BT61 &lt;&gt; BS$6, BT$23:BT60 = BS$6), 0))) * (60 * 60 * 24) / BS$9) - ROUNDDOWN((D61 - MAX(IFERROR(FILTER(D$23:D60, BT$23:BT60 &lt;&gt; BS$6, BT$22:BT59 ="&amp;" BS$6), 0))) * (60 * 60 * 24) / BS$9),
      0
    )
    - COUNTIF(BS62, ""&lt;&gt;-""),
  0), BS$6),
  BS$6 - COUNTIF(BS62, ""&lt;&gt;-"")
)"),3.0)</f>
        <v>3</v>
      </c>
      <c r="BU62" s="181" t="s">
        <v>1070</v>
      </c>
      <c r="BV62" s="181" t="s">
        <v>1070</v>
      </c>
      <c r="BW62" s="184">
        <f>IFERROR(__xludf.DUMMYFUNCTION("IF(
  ISNUMBER(BW61),
  MIN(MAX(
    BW61
    + MAX(
      ROUNDDOWN((D62 - MAX(IFERROR(FILTER(D$24:D61, BW$24:BW61 &lt;&gt; BV$6, BW$23:BW60 = BV$6), 0))) * (60 * 60 * 24) / BV$9) - ROUNDDOWN((D61 - MAX(IFERROR(FILTER(D$23:D60, BW$23:BW60 &lt;&gt; BV$6, BW$22:BW59 ="&amp;" BV$6), 0))) * (60 * 60 * 24) / BV$9),
      0
    )
    - COUNTIF(BV62, ""&lt;&gt;-""),
  0), BV$6),
  BV$6 - COUNTIF(BV62, ""&lt;&gt;-"")
)"),2.0)</f>
        <v>2</v>
      </c>
      <c r="BX62" s="185" t="s">
        <v>1070</v>
      </c>
      <c r="BY62" s="178" t="b">
        <v>0</v>
      </c>
      <c r="BZ62" s="180" t="b">
        <v>0</v>
      </c>
      <c r="CA62" s="180" t="b">
        <v>0</v>
      </c>
      <c r="CB62" s="180" t="b">
        <v>0</v>
      </c>
      <c r="CC62" s="180" t="b">
        <v>0</v>
      </c>
      <c r="CD62" s="180" t="b">
        <v>0</v>
      </c>
      <c r="CE62" s="180" t="b">
        <v>0</v>
      </c>
      <c r="CF62" s="180" t="b">
        <v>0</v>
      </c>
      <c r="CG62" s="180" t="b">
        <v>0</v>
      </c>
      <c r="CH62" s="180" t="b">
        <v>0</v>
      </c>
      <c r="CI62" s="180" t="b">
        <v>0</v>
      </c>
      <c r="CJ62" s="180" t="b">
        <v>0</v>
      </c>
      <c r="CK62" s="180" t="b">
        <v>0</v>
      </c>
      <c r="CL62" s="180" t="b">
        <v>0</v>
      </c>
      <c r="CM62" s="181" t="s">
        <v>1070</v>
      </c>
      <c r="CN62" s="181" t="s">
        <v>1070</v>
      </c>
      <c r="CO62" s="181" t="s">
        <v>1070</v>
      </c>
      <c r="CP62" s="181" t="s">
        <v>1070</v>
      </c>
      <c r="CQ62" s="185" t="s">
        <v>1070</v>
      </c>
      <c r="CR62" s="180" t="b">
        <v>0</v>
      </c>
      <c r="CS62" s="186" t="str">
        <f t="shared" si="14"/>
        <v>◇◇◇</v>
      </c>
      <c r="CT62" s="178" t="b">
        <v>0</v>
      </c>
      <c r="CU62" s="180" t="b">
        <v>0</v>
      </c>
      <c r="CV62" s="180" t="b">
        <v>0</v>
      </c>
      <c r="CW62" s="180" t="b">
        <v>0</v>
      </c>
      <c r="CX62" s="180" t="b">
        <v>0</v>
      </c>
      <c r="CY62" s="180" t="b">
        <v>0</v>
      </c>
      <c r="CZ62" s="180" t="b">
        <v>0</v>
      </c>
      <c r="DA62" s="180" t="b">
        <v>0</v>
      </c>
      <c r="DB62" s="180" t="b">
        <v>0</v>
      </c>
      <c r="DC62" s="180" t="b">
        <v>0</v>
      </c>
      <c r="DD62" s="181" t="s">
        <v>1070</v>
      </c>
      <c r="DE62" s="181" t="s">
        <v>1070</v>
      </c>
      <c r="DF62" s="181" t="s">
        <v>1070</v>
      </c>
      <c r="DG62" s="185" t="s">
        <v>1070</v>
      </c>
      <c r="DH62" s="180" t="b">
        <v>0</v>
      </c>
      <c r="DI62" s="187" t="str">
        <f>IFERROR(__xludf.DUMMYFUNCTION("SWITCH(
  IF(
    ISTEXT(DI61),
    IF (
      FIND(""○"", DI61&amp;""○"") &gt; 3,
      3,
      FIND(""○"", DI61&amp;""○"")
      + MAX(
        ROUNDDOWN(($D62 - MAX(IFERROR(FILTER(D$24:D61, DI$24:DI61 &lt;&gt; ""●●●"", DI$23:DI60 = ""●●●""), 0))) * (60 * 60 * 24) / 20"&amp;") - ROUNDDOWN(($D61 - MAX(IFERROR(FILTER(D$23:D60, DI$23:DI60 &lt;&gt; ""●●●"", DI$22:DI59 = ""●●●""), 0))) * (60 * 60 * 24) / 20),
        0
      ) - 1
    ) - COUNTIFS(CU62, ""=TRUE"", CU61, ""&lt;&gt;TRUE"") - COUNTIF(CZ62, ""=TRUE"") - COUNTIF({DD62,DE62}, ""&lt;&gt;-"&amp;""") + COUNTIF(DH62, ""=TRUE""),
    3
  ),
  0, ""○○○"", 1, ""●○○"", 2, ""●●○"", 3, ""●●●"", 4, ""●●●"", ""○○○""
)"),"●●●")</f>
        <v>●●●</v>
      </c>
      <c r="DJ62" s="188" t="b">
        <v>0</v>
      </c>
      <c r="DK62" s="189" t="b">
        <v>0</v>
      </c>
      <c r="DL62" s="190" t="b">
        <v>0</v>
      </c>
      <c r="DM62" s="190" t="b">
        <v>0</v>
      </c>
      <c r="DN62" s="190" t="b">
        <v>0</v>
      </c>
      <c r="DO62" s="190" t="b">
        <v>0</v>
      </c>
      <c r="DP62" s="190" t="b">
        <v>0</v>
      </c>
      <c r="DQ62" s="191" t="b">
        <v>0</v>
      </c>
      <c r="DR62" s="192" t="b">
        <v>0</v>
      </c>
      <c r="DS62" s="191" t="b">
        <v>0</v>
      </c>
      <c r="DT62" s="192" t="b">
        <v>0</v>
      </c>
      <c r="DU62" s="191" t="b">
        <v>0</v>
      </c>
      <c r="DV62" s="193" t="s">
        <v>1070</v>
      </c>
      <c r="DW62" s="194" t="b">
        <v>0</v>
      </c>
      <c r="DX62" s="194" t="b">
        <v>0</v>
      </c>
      <c r="DY62" s="195" t="b">
        <v>0</v>
      </c>
      <c r="DZ62" s="196" t="b">
        <v>0</v>
      </c>
      <c r="EA62" s="195" t="b">
        <v>0</v>
      </c>
      <c r="EB62" s="197" t="b">
        <v>0</v>
      </c>
      <c r="EC62" s="197" t="b">
        <v>0</v>
      </c>
      <c r="ED62" s="212" t="b">
        <v>0</v>
      </c>
      <c r="EE62" s="199">
        <f>IFERROR(__xludf.DUMMYFUNCTION("IFERROR(
   PRODUCT(
     MAP(
       INDEX(TRANSPOSE(UNIQUE(TRANSPOSE(FILTER({IF($F62=""Physical"", K$10:ED$10, IF($F62=""Magic"", K$11:ED$11, K$12:ED$12));K$4:ED$4;K62:ED62}, K62:ED62=TRUE)))), 1, 0),
       INDEX(TRANSPOSE(UNIQUE(TRANSPOSE(FILTER({IF($"&amp;"F62=""Physical"", K$18:ED$18, IF($F62=""Magic"", K$19:ED$19, K$20:ED$20));K$4:ED$4;K62:ED62}, K62:ED62=TRUE)))), 1, 0),
       INDEX(TRANSPOSE(UNIQUE(TRANSPOSE(FILTER({K$5:ED$5;K$4:ED$4;K62:ED62}, K62:ED62=TRUE)))), 1, 0),
       INDEX(TRANSPOSE(UNIQUE(TR"&amp;"ANSPOSE(FILTER({K$17:ED$17;K$4:ED$4;K62:ED62}, K62:ED62=TRUE)))), 1, 0),
       LAMBDA(
         mitigation,
         enhance,
         assign,
         precondition,
         IF(
           REGEXMATCH(assign, ""RANGE_PARTY|SINGLE_ENEMY|RANGE_ENEMY""),
  "&amp;"         IF(
             OR(ARRAYFORMULA((IF(precondition="""", FALSE, REGEXMATCH(K$4:ED$4, precondition))) * (K62:ED62=TRUE))),
             IF(ISNUMBER(enhance), enhance, 1),
             IF(ISNUMBER(mitigation), mitigation, 1)
           ),
          "&amp;" 1
         )
       )
     )
   ),
   1
 )"),1.0)</f>
        <v>1</v>
      </c>
      <c r="EF62" s="200">
        <f>IFERROR(__xludf.DUMMYFUNCTION("PRODUCT(
   MAP(
     K$14:ED$14,
     K$13:ED$13,
     K62:ED62,
     LAMBDA(
       buff,
       target,
       check,
       IF(
         AND(check=TRUE, REGEXMATCH(target, ""RANGE_AFFECTED_ALL|RANGE_EFFECTED_ALL""), ISNUMBER(buff)),
         buff,
   "&amp;"      1
       )
     )
   )
 )"),1.0)</f>
        <v>1</v>
      </c>
      <c r="EG62" s="200">
        <f>IFERROR(__xludf.DUMMYFUNCTION("PRODUCT(
   MAP(
     K$14:ED$14,
     K$13:ED$13,
     K62:ED62,
     LAMBDA(
       buff,
       target,
       check,
       IF(
         AND(check=TRUE, REGEXMATCH(target, ""RANGE_AFFECTED_GCD|RANGE_EFFECTED_GCD""), ISNUMBER(buff)),
         buff,
   "&amp;"      1
       )
     )
   )
 )"),1.0)</f>
        <v>1</v>
      </c>
      <c r="EH62" s="200">
        <f>IFERROR(__xludf.DUMMYFUNCTION("PRODUCT(
   MAP(
     K$3:ED$3,
     K$14:ED$14,
     K$13:ED$13,
     K62:ED62,
     LAMBDA(
       job,
       buff,
       target,
       check,
       IF(
         AND(check=TRUE, REGEXMATCH(target, ""SELF_EFFECTED_ALL""), ISNUMBER(buff), job=""白魔道士"""&amp;"),
         buff,
         1
       )
     )
   )
 )"),1.0)</f>
        <v>1</v>
      </c>
      <c r="EI62" s="200">
        <f>IFERROR(__xludf.DUMMYFUNCTION("PRODUCT(
   MAP(
     K$3:ED$3,
     K$14:ED$14,
     K$13:ED$13,
     K62:ED62,
     LAMBDA(
       job,
       buff,
       target,
       check,
       IF(
         AND(check=TRUE, REGEXMATCH(target, ""SELF_EFFECTED_GCD""), ISNUMBER(buff), job=""白魔道士"""&amp;"),
         buff,
         1
       )
     )
   )
 )"),1.0)</f>
        <v>1</v>
      </c>
      <c r="EJ62" s="200">
        <f>IFERROR(__xludf.DUMMYFUNCTION("PRODUCT(
   MAP(
     K$3:ED$3,
     K$14:ED$14,
     K$13:ED$13,
     K62:ED62,
     LAMBDA(
       job,
       buff,
       target,
       check,
       IF(
         AND(check=TRUE, REGEXMATCH(target, ""SELF_EFFECTED_ALL""), ISNUMBER(buff), job=""占星術師"""&amp;"),
         buff,
         1
       )
     )
   )
 )"),1.0)</f>
        <v>1</v>
      </c>
      <c r="EK62" s="200">
        <f>IFERROR(__xludf.DUMMYFUNCTION("PRODUCT(
   MAP(
     K$3:ED$3,
     K$14:ED$14,
     K$13:ED$13,
     K62:ED62,
     LAMBDA(
       job,
       buff,
       target,
       check,
       IF(
         AND(check=TRUE, REGEXMATCH(target, ""SELF_EFFECTED_GCD""), ISNUMBER(buff), job=""占星術師"""&amp;"),
         buff,
         1
       )
     )
   )
 )"),1.0)</f>
        <v>1</v>
      </c>
      <c r="EL62" s="200">
        <f>IFERROR(__xludf.DUMMYFUNCTION("PRODUCT(
   MAP(
     K$3:ED$3,
     K$14:ED$14,
     K$13:ED$13,
     K62:ED62,
     LAMBDA(
       job,
       buff,
       target,
       check,
       IF(
         AND(check=TRUE, REGEXMATCH(target, ""SELF_EFFECTED_ALL""), ISNUMBER(buff), job=""学者""),"&amp;"
         buff,
         1
       )
     )
   )
 )"),1.0)</f>
        <v>1</v>
      </c>
      <c r="EM62" s="200">
        <f>IFERROR(__xludf.DUMMYFUNCTION("PRODUCT(
   MAP(
     K$3:ED$3,
     K$14:ED$14,
     K$13:ED$13,
     K62:ED62,
     LAMBDA(
       job,
       buff,
       target,
       check,
       IF(
         AND(check=TRUE, REGEXMATCH(target, ""SELF_EFFECTED_GCD""), ISNUMBER(buff), job=""学者""),"&amp;"
         buff,
         1
       )
     )
   )
 )"),1.0)</f>
        <v>1</v>
      </c>
      <c r="EN62" s="200">
        <f>IFERROR(__xludf.DUMMYFUNCTION("PRODUCT(
   MAP(
     K$3:ED$3,
     K$14:ED$14,
     K$13:ED$13,
     K62:ED62,
     LAMBDA(
       job,
       buff,
       target,
       check,
       IF(
         AND(check=TRUE, REGEXMATCH(target, ""SELF_EFFECTED_ALL""), ISNUMBER(buff), job=""賢者""),"&amp;"
         buff,
         1
       )
     )
   )
 )"),1.0)</f>
        <v>1</v>
      </c>
      <c r="EO62" s="200">
        <f>IFERROR(__xludf.DUMMYFUNCTION("PRODUCT(
   MAP(
     K$3:ED$3,
     K$14:ED$14,
     K$13:ED$13,
     K62:ED62,
     LAMBDA(
       job,
       buff,
       target,
       check,
       IF(
         AND(check=TRUE, REGEXMATCH(target, ""SELF_EFFECTED_GCD""), ISNUMBER(buff), job=""賢者""),"&amp;"
         buff,
         1
       )
     )
   )
 )"),1.0)</f>
        <v>1</v>
      </c>
      <c r="EP62" s="201">
        <f t="shared" si="3"/>
        <v>0</v>
      </c>
      <c r="EQ62" s="201">
        <f>IFERROR(__xludf.DUMMYFUNCTION("SUM(
   MAP(
     K$4:ED$4,
     K$3:ED$3,
     K$7:ED$7,
     K$15:ED$15,
     K$16:ED$16,
     K$21:ED$21,
     K$5:ED$5,
     K$17:ED$17,
     K62:ED62,
     LAMBDA(
       name,
       job,
       abillity,
       buff,
       barrier,
       enhance,"&amp;"
       assign,
       precondition,
       check,
       SWITCH(
         name,
         ""シェイクオフ"", IF(check=TRUE, buff + (0.02 * COUNTIF(ARRAYFORMULA((REGEXMATCH($K$4:$ED$4, ""スリル・オブ・バトル|ヴェンジェンス|原初の血気|ダムネーション"")) * (K62:ED62=TRUE)), 1)), 0),
         "&amp;"""インプロビゼーションフィニッシュ(踊りの激情0)"", IF(ISNUMBER(check), INDEX(Skill!$AJ:$AJ, MATCH(SUBSTITUTE(DV$4, 0, check), Skill!$C:$C, 0)), 0),
         IF(
           AND(check=TRUE, REGEXMATCH(assign, ""RANGE_PARTY"")),
           IF(
             OR(ARRAYFORMULA((IF(pr"&amp;"econdition="""", FALSE, REGEXMATCH($K$4:$ED$4, precondition))) * (K62:ED62=TRUE))),
             enhance,
             IF(barrier="""", buff, barrier)
           ),
           0
         )
       ) *
       SWITCH(
         job,
         ""ナイト"", EY$24,
 "&amp;"        ""戦士"", FD$24,
         ""踊り子"", ET$24,
         ""ピクトマンサー"", ET$24,
         ""白魔道士"", EF62 * EH62 * IF(abillity, 1, EG62 * EI62) * (Option!$D$22 * 0.81 / 100),
         ""占星術師"", EF62 * EJ62 * IF(abillity, 1, EG62 * EK62) * (Option!$D$23 * 0.81 "&amp;"/ 100),
         ""学者"", EF62 * EL62 * IF(abillity, 1, EG62 * EM62) * (Option!$D$24 * 0.81 / 100),
         ""賢者"", EF62 * EN62 * IF(abillity, 1, EG62 * EO62) * (Option!$D$25 * 0.81 / 100),
         1
       )
     )
   )
 )"),0.0)</f>
        <v>0</v>
      </c>
      <c r="ER62" s="202">
        <f t="shared" si="4"/>
        <v>0</v>
      </c>
      <c r="ES62" s="203">
        <f t="shared" si="5"/>
        <v>0</v>
      </c>
      <c r="ET62" s="231" t="str">
        <f>IFERROR(__xludf.DUMMYFUNCTION("IFS(
  EP62 &gt; $ET$24 + EQ62,
  SPARKLINE({ 1, 0 }, {""charttype"",""bar"";""max"", 1;""color1"",Option!$D$30;""color2"",Option!$D$30}),
  EP62 &lt; EQ62,
  SPARKLINE({EQ62 - EP62, $ET$24 - (EQ62 - EP62)}, {""charttype"",""bar"";""max"",$ET$24;""color1"",Opti"&amp;"on!$D$28;""color2"",Option!$D$29}),
  EP62 &gt;= EQ62,
  SPARKLINE({$ET$24 + EQ62 - EP62,EP62 - EQ62}, {""charttype"",""bar"";""max"",$ET$24;""color1"",Option!$D$29;""color2"",Option!$D$30})
)"),"")</f>
        <v/>
      </c>
      <c r="EU62" s="205">
        <f>IFERROR(__xludf.DUMMYFUNCTION("PRODUCT(
   MAP(
     IF($F62=""Physical"", K$10:ED$10, IF($F62=""Magic"", K$11:ED$11, K$12:ED$12)),
     IF($F62=""Physical"", K$18:ED$18, IF($F62=""Magic"", K$19:ED$19, K$20:ED$20)),
     K$3:ED$3,
     K$5:ED$5,
     K$17:ED$17,
     K62:ED62,
     LAM"&amp;"BDA(
       mitigation,
       enhance,
       job,
       assign,
       precondition,
       check,
       IF(
         OR(AND(check=TRUE, REGEXMATCH(assign, ""SELF""), job=""ナイト""), AND(check=Option!$E$13, REGEXMATCH(assign, ""SINGLE_PARTY""))),
      "&amp;"   IF(
           OR(ARRAYFORMULA((IF(precondition="""", FALSE, REGEXMATCH($K$4:$ED$4, precondition))) * (K62:ED62=TRUE))),
           enhance,
           mitigation
         ),
         1
       )
     )
   )
 ) * EE62"),1.0)</f>
        <v>1</v>
      </c>
      <c r="EV62" s="206">
        <f t="shared" si="6"/>
        <v>0</v>
      </c>
      <c r="EW62" s="205">
        <f>IFERROR(__xludf.DUMMYFUNCTION("PRODUCT(
   MAP(
     K$3:ED$3,
     K$14:ED$14,
     K$13:ED$13,
     K62:ED62,
     LAMBDA(
       job,
       buff,
       target,
       check,
       IF(
         OR(AND(check=TRUE, REGEXMATCH(target, ""SELF_AFFECTED_ALL""), job=""ナイト""), AND(check=O"&amp;"ption!$E$13, REGEXMATCH(target, ""SINGLE_AFFECTED_ALL""))),
         buff,
         1
       )
     )
   )
 )"),1.0)</f>
        <v>1</v>
      </c>
      <c r="EX62" s="206">
        <f>IFERROR(__xludf.DUMMYFUNCTION("SUM(
   MAP(
     K$3:ED$3,
     K$7:ED$7,
     K$15:ED$15,
     K$16:ED$16,
     K$21:ED$21,
     K$5:ED$5,
     K$17:ED$17,
     K62:ED62,
     LAMBDA(
       job,
       abillity,
       buff,
       barrier,
       enhance,
       assign,
       preco"&amp;"ndition,
       check,
       IF(
         OR(AND(check=TRUE, REGEXMATCH(assign, ""SELF""), job=""ナイト""), AND(check=Option!$E$13, REGEXMATCH(assign, ""SINGLE_PARTY""))),
         IF(
           OR(ARRAYFORMULA((IF(precondition="""", FALSE, REGEXMATCH($K$4"&amp;":$ED$4, precondition))) * (K62:ED62=TRUE))),
           enhance,
           IF(barrier="""", buff, barrier)
         ),
         0
       ) *
       SWITCH(
         job,
         ""暗黒騎士"", EY$24,
         ""白魔道士"", EF62 * EH62 * EW62 * IF(abillity, 1, EG"&amp;"62 * EI62) * (Option!$D$22 * 0.81 / 100),
         ""占星術師"", EF62 * EJ62 * EW62 * IF(abillity, 1, EG62 * EK62) * (Option!$D$23 * 0.81 / 100),
         ""学者"", EF62 * EL62 * EW62 * IF(abillity, 1, EG62 * EM62) * (Option!$D$24 * 0.81 / 100),
         ""賢者"""&amp;", EF62 * EN62 * EW62 * IF(abillity, 1, EG62 * EO62) * (Option!$D$25 * 0.81 / 100),
         1
       )
     )
   )
 ) + EQ62"),0.0)</f>
        <v>0</v>
      </c>
      <c r="EY62" s="232">
        <f t="shared" si="7"/>
        <v>0</v>
      </c>
      <c r="EZ62" s="205">
        <f>IFERROR(__xludf.DUMMYFUNCTION("PRODUCT(
   MAP(
     IF($F62=""Physical"", K$10:ED$10, IF($F62=""Magic"", K$11:ED$11, K$12:ED$12)),
     IF($F62=""Physical"", K$18:ED$18, IF($F62=""Magic"", K$19:ED$19, K$20:ED$20)),
     K$3:ED$3,
     K$5:ED$5,
     K$17:ED$17,
     K62:ED62,
     LAM"&amp;"BDA(
       mitigation,
       enhance,
       job,
       assign,
       precondition,
       check,
       IF(
         OR(AND(check=TRUE, REGEXMATCH(assign, ""SELF""), job=""戦士""), AND(check=Option!$F$13, REGEXMATCH(assign, ""SINGLE_PARTY""))),
       "&amp;"  IF(
           OR(ARRAYFORMULA((IF(precondition="""", FALSE, REGEXMATCH($K$4:$ED$4, precondition))) * (K62:ED62=TRUE))),
           enhance,
           mitigation
         ),
         1
       )
     )
   )
 ) * EE62"),1.0)</f>
        <v>1</v>
      </c>
      <c r="FA62" s="206">
        <f t="shared" si="8"/>
        <v>0</v>
      </c>
      <c r="FB62" s="205">
        <f>IFERROR(__xludf.DUMMYFUNCTION("PRODUCT(
   MAP(
     K$3:ED$3,
     K$14:ED$14,
     K$13:ED$13,
     K62:ED62,
     LAMBDA(
       job,
       buff,
       target,
       check,
       IF(
         OR(AND(check=TRUE, REGEXMATCH(target, ""SELF_AFFECTED_ALL""), job=""戦士""), AND(check=Op"&amp;"tion!$F$13, REGEXMATCH(target, ""SINGLE_AFFECTED_ALL""))),
         buff,
         1
       )
     )
   )
 )"),1.0)</f>
        <v>1</v>
      </c>
      <c r="FC62" s="206">
        <f>IFERROR(__xludf.DUMMYFUNCTION("SUM(
   MAP(
     K$3:ED$3,
     K$7:ED$7,
     K$15:ED$15,
     K$16:ED$16,
     K$21:ED$21,
     K$5:ED$5,
     K$17:ED$17,
     K62:ED62,
     LAMBDA(
       job,
       abillity,
       buff,
       barrier,
       enhance,
       assign,
       preco"&amp;"ndition,
       check,
       IF(
         OR(AND(check=TRUE, REGEXMATCH(assign, ""SELF""), job=""戦士""), AND(check=Option!$F$13, REGEXMATCH(assign, ""SINGLE_PARTY""))),
         IF(
           OR(ARRAYFORMULA((IF(precondition="""", FALSE, REGEXMATCH($K$4:"&amp;"$ED$4, precondition))) * (K62:ED62=TRUE))),
           enhance,
           IF(barrier="""", buff, barrier)
         ),
         0
       ) *
       SWITCH(
         job,
         ""暗黒騎士"", FD$24,
         ""白魔道士"", EF62 * EH62 * FB62 * IF(abillity, 1, EG6"&amp;"2 * EI62) * (Option!$D$22 * 0.81 / 100),
         ""占星術師"", EF62 * EJ62 * FFB62 * IF(abillity, 1, EG62 * EK62) * (Option!$D$23 * 0.81 / 100),
         ""学者"", EF62 * EL62 * FB62 * IF(abillity, 1, EG62 * EM62) * (Option!$D$24 * 0.81 / 100),
         ""賢者"""&amp;", EF62 * EN62 * FB62 * IF(abillity, 1, EG62 * EO62) * (Option!$D$25 * 0.81 / 100),
         1
       )
     )
   )
 ) + EQ62"),0.0)</f>
        <v>0</v>
      </c>
      <c r="FD62" s="206">
        <f t="shared" si="9"/>
        <v>0</v>
      </c>
      <c r="FE62" s="205">
        <f>IFERROR(__xludf.DUMMYFUNCTION("PRODUCT(
   MAP(
     IF($F62=""Physical"", K$10:ED$10, IF($F62=""Magic"", K$11:ED$11, K$12:ED$12)),
     IF($F62=""Physical"", K$18:ED$18, IF($F62=""Magic"", K$19:ED$19, K$20:ED$20)),
     K$3:ED$3,
     K$5:ED$5,
     K$17:ED$17,
     K62:ED62,
     LAM"&amp;"BDA(
       mitigation,
       enhance,
       job,
       assign,
       precondition,
       check,
       IF(
         OR(AND(check=TRUE, REGEXMATCH(assign, ""SELF""), job=""暗黒騎士""), AND(check=Option!$G$13, REGEXMATCH(assign, ""SINGLE_PARTY""))),
     "&amp;"    IF(
           OR(ARRAYFORMULA((IF(precondition="""", FALSE, REGEXMATCH($K$4:$ED$4, precondition))) * (K62:ED62=TRUE))),
           enhance,
           mitigation
         ),
         1
       )
     )
   )
 ) * EE62"),1.0)</f>
        <v>1</v>
      </c>
      <c r="FF62" s="206">
        <f t="shared" si="10"/>
        <v>0</v>
      </c>
      <c r="FG62" s="205">
        <f>IFERROR(__xludf.DUMMYFUNCTION("PRODUCT(
   MAP(
     K$3:ED$3,
     K$14:ED$14,
     K$13:ED$13,
     K62:ED62,
     LAMBDA(
       job,
       buff,
       target,
       check,
       IF(
         OR(AND(check=TRUE, REGEXMATCH(target, ""SELF_AFFECTED_ALL""), job=""暗黒騎士""), AND(check="&amp;"Option!$G$13, REGEXMATCH(target, ""SINGLE_AFFECTED_ALL""))),
         buff,
         1
       )
     )
   )
 )"),1.0)</f>
        <v>1</v>
      </c>
      <c r="FH62" s="206">
        <f>IFERROR(__xludf.DUMMYFUNCTION("SUM(
   MAP(
     K$3:ED$3,
     K$7:ED$7,
     K$15:ED$15,
     K$16:ED$16,
     K$21:ED$21,
     K$5:ED$5,
     K$17:ED$17,
     K62:ED62,
     LAMBDA(
       job,
       abillity,
       buff,
       barrier,
       enhance,
       assign,
       preco"&amp;"ndition,
       check,
       IF(
         OR(AND(check=TRUE, REGEXMATCH(assign, ""SELF""), job=""暗黒騎士""), AND(check=Option!$G$13, REGEXMATCH(assign, ""SINGLE_PARTY""))),
         IF(
           OR(ARRAYFORMULA((IF(precondition="""", FALSE, REGEXMATCH($K$"&amp;"4:$ED$4, precondition))) * (K62:ED62=TRUE))),
           enhance,
           IF(barrier="""", buff, barrier)
         ),
         0
       ) *
       SWITCH(
         job,
         ""暗黒騎士"", FI$24,
         ""白魔道士"", EF62 * EH62 * FG62 * IF(abillity, 1, E"&amp;"G62 * EI62) * (Option!$D$22 * 0.81 / 100),
         ""占星術師"", EF62 * EJ62 * FG62 * IF(abillity, 1, EG62 * EK62) * (Option!$D$23 * 0.81 / 100),
         ""学者"", EF62 * EL62 * FG62 * IF(abillity, 1, EG62 * EM62) * (Option!$D$24 * 0.81 / 100),
         ""賢者"&amp;""", EF62 * EN62 * FG62 * IF(abillity, 1, EG62 * EO62) * (Option!$D$25 * 0.81 / 100),
         1
       )
     )
   )
 ) + EQ62"),0.0)</f>
        <v>0</v>
      </c>
      <c r="FI62" s="206">
        <f t="shared" si="11"/>
        <v>0</v>
      </c>
      <c r="FJ62" s="205">
        <f>IFERROR(__xludf.DUMMYFUNCTION("PRODUCT(
   MAP(
     IF($F62=""Physical"", K$10:ED$10, IF($F62=""Magic"", K$11:ED$11, K$12:ED$12)),
     IF($F62=""Physical"", K$18:ED$18, IF($F62=""Magic"", K$19:ED$19, K$20:ED$20)),
     K$3:ED$3,
     K$5:ED$5,
     K$17:ED$17,
     K62:ED62,
     LAM"&amp;"BDA(
       mitigation,
       enhance,
       job,
       assign,
       precondition,
       check,
       IF(
         OR(AND(check=TRUE, REGEXMATCH(assign, ""SELF""), job=""ガンブレイカー""), AND(check=Option!$H$13, REGEXMATCH(assign, ""SINGLE_PARTY""))),
  "&amp;"       IF(
           OR(ARRAYFORMULA((IF(precondition="""", FALSE, REGEXMATCH($K$4:$ED$4, precondition))) * (K62:ED62=TRUE))),
           enhance,
           mitigation
         ),
         1
       )
     )
   )
 ) * EE62"),1.0)</f>
        <v>1</v>
      </c>
      <c r="FK62" s="206">
        <f t="shared" si="12"/>
        <v>0</v>
      </c>
      <c r="FL62" s="205">
        <f>IFERROR(__xludf.DUMMYFUNCTION("PRODUCT(
   MAP(
     K$3:ED$3,
     K$14:ED$14,
     K$13:ED$13,
     K62:ED62,
     LAMBDA(
       job,
       buff,
       target,
       check,
       IF(
         OR(AND(check=TRUE, REGEXMATCH(target, ""SELF_AFFECTED_ALL""), job=""ガンブレイカー""), AND(che"&amp;"ck=Option!$H$13, REGEXMATCH(target, ""SINGLE_AFFECTED_ALL""))),
         buff,
         1
       )
     )
   )
 )"),1.0)</f>
        <v>1</v>
      </c>
      <c r="FM62" s="206">
        <f>IFERROR(__xludf.DUMMYFUNCTION("SUM(
   MAP(
     K$3:ED$3,
     K$7:ED$7,
     K$15:ED$15,
     K$16:ED$16,
     K$21:ED$21,
     K$5:ED$5,
     K$17:ED$17,
     K62:ED62,
     LAMBDA(
       job,
       abillity,
       buff,
       barrier,
       enhance,
       assign,
       preco"&amp;"ndition,
       check,
       IF(
         OR(AND(check=TRUE, REGEXMATCH(assign, ""SELF""), job=""ガンブレイカー""), AND(check=Option!$H$13, REGEXMATCH(assign, ""SINGLE_PARTY""))),
         IF(
           OR(ARRAYFORMULA((IF(precondition="""", FALSE, REGEXMATCH("&amp;"$K$4:$ED$4, precondition))) * (K62:ED62=TRUE))),
           enhance,
           IF(barrier="""", buff, barrier)
         ),
         0
       ) *
       SWITCH(
         job,
         ""暗黒騎士"", FN$24,
         ""白魔道士"", EF62 * EH62 * FL62 * IF(abillity, 1"&amp;", EG62 * EI62) * (Option!$D$22 * 0.81 / 100),
         ""占星術師"", EF62 * EJ62 * FL62 * IF(abillity, 1, EG62 * EK62) * (Option!$D$23 * 0.81 / 100),
         ""学者"", EF62 * EL62 * FL62 * IF(abillity, 1, EG62 * EM62) * (Option!$D$24 * 0.81 / 100),
         """&amp;"賢者"", EF62 * EN62 * FL62 * IF(abillity, 1, EG62 * EO62) * (Option!$D$25 * 0.81 / 100),
         1
       )
     )
   )
 ) + EQ62"),0.0)</f>
        <v>0</v>
      </c>
      <c r="FN62" s="206">
        <f t="shared" si="13"/>
        <v>0</v>
      </c>
      <c r="FO62" s="213"/>
    </row>
    <row r="63">
      <c r="B63" s="229"/>
      <c r="C63" s="217"/>
      <c r="D63" s="236"/>
      <c r="E63" s="238"/>
      <c r="F63" s="167"/>
      <c r="G63" s="168" t="str">
        <f t="shared" si="2"/>
        <v/>
      </c>
      <c r="H63" s="169"/>
      <c r="I63" s="169"/>
      <c r="J63" s="169"/>
      <c r="K63" s="170" t="b">
        <v>0</v>
      </c>
      <c r="L63" s="170" t="b">
        <v>0</v>
      </c>
      <c r="M63" s="170" t="b">
        <v>0</v>
      </c>
      <c r="N63" s="171" t="s">
        <v>1070</v>
      </c>
      <c r="O63" s="172" t="b">
        <v>0</v>
      </c>
      <c r="P63" s="173" t="b">
        <v>0</v>
      </c>
      <c r="Q63" s="173" t="b">
        <v>0</v>
      </c>
      <c r="R63" s="173" t="b">
        <v>0</v>
      </c>
      <c r="S63" s="174" t="b">
        <v>0</v>
      </c>
      <c r="T63" s="175" t="b">
        <v>0</v>
      </c>
      <c r="U63" s="173" t="b">
        <v>0</v>
      </c>
      <c r="V63" s="171" t="s">
        <v>1070</v>
      </c>
      <c r="W63" s="172" t="b">
        <v>0</v>
      </c>
      <c r="X63" s="173" t="b">
        <v>0</v>
      </c>
      <c r="Y63" s="173" t="b">
        <v>0</v>
      </c>
      <c r="Z63" s="173" t="b">
        <v>0</v>
      </c>
      <c r="AA63" s="174" t="b">
        <v>0</v>
      </c>
      <c r="AB63" s="174" t="b">
        <v>0</v>
      </c>
      <c r="AC63" s="175" t="b">
        <v>0</v>
      </c>
      <c r="AD63" s="173" t="b">
        <v>0</v>
      </c>
      <c r="AE63" s="176" t="s">
        <v>1070</v>
      </c>
      <c r="AF63" s="171" t="s">
        <v>1070</v>
      </c>
      <c r="AG63" s="177">
        <f>IFERROR(__xludf.DUMMYFUNCTION("IF(
  ISNUMBER(AG62),
  MIN(MAX(
    AG62
    + MAX(
      ROUNDDOWN(($D63 - MAX(IFERROR(FILTER($D$24:$D62, AG$24:AG62 &lt;&gt; AF$6, AG$23:AG61 = AF$6), 0))) * (60 * 60 * 24) / AF$9) - ROUNDDOWN(($D62 - MAX(IFERROR(FILTER($D$23:$D61, AG$23:AG61 &lt;&gt; AF$6, AG$22:"&amp;"AG60 = AF$6), 0))) * (60 * 60 * 24) / 60),
      0
    )
    - COUNTIF(AF63, ""&lt;&gt;-""),
  0), AF$6),
  AF$6 - COUNTIF(AF63, ""&lt;&gt;-"")
)"),2.0)</f>
        <v>2</v>
      </c>
      <c r="AH63" s="173" t="b">
        <v>0</v>
      </c>
      <c r="AI63" s="173" t="b">
        <v>0</v>
      </c>
      <c r="AJ63" s="173" t="b">
        <v>0</v>
      </c>
      <c r="AK63" s="174" t="b">
        <v>0</v>
      </c>
      <c r="AL63" s="175" t="b">
        <v>0</v>
      </c>
      <c r="AM63" s="173" t="b">
        <v>0</v>
      </c>
      <c r="AN63" s="171" t="s">
        <v>1070</v>
      </c>
      <c r="AO63" s="173" t="b">
        <v>0</v>
      </c>
      <c r="AP63" s="173" t="b">
        <v>0</v>
      </c>
      <c r="AQ63" s="173" t="b">
        <v>0</v>
      </c>
      <c r="AR63" s="174" t="b">
        <v>0</v>
      </c>
      <c r="AS63" s="178" t="b">
        <v>0</v>
      </c>
      <c r="AT63" s="179" t="b">
        <v>0</v>
      </c>
      <c r="AU63" s="180" t="b">
        <v>0</v>
      </c>
      <c r="AV63" s="180" t="b">
        <v>0</v>
      </c>
      <c r="AW63" s="180" t="b">
        <v>0</v>
      </c>
      <c r="AX63" s="180" t="b">
        <v>0</v>
      </c>
      <c r="AY63" s="181" t="s">
        <v>1070</v>
      </c>
      <c r="AZ63" s="181" t="s">
        <v>1070</v>
      </c>
      <c r="BA63" s="184">
        <f>IFERROR(__xludf.DUMMYFUNCTION("IF(
  ISNUMBER(BA62),
  MIN(MAX(
    BA62
    + MAX(
      ROUNDDOWN((D63 - MAX(IFERROR(FILTER(D$24:D62, BA$24:BA62 &lt;&gt; AZ$6, BA$23:BA61 = AZ$6), 0))) * (60 * 60 * 24) / AZ$9) - ROUNDDOWN((D62 - MAX(IFERROR(FILTER(D$23:D61, BA$23:BA61 &lt;&gt; AZ$6, BA$22:BA60 ="&amp;" AZ$6), 0))) * (60 * 60 * 24) / AZ$9),
      0
    )
    - COUNTIF(AZ63, ""&lt;&gt;-""),
  0), AZ$6),
  AZ$6 - COUNTIF(AZ63, ""&lt;&gt;-"")
)"),2.0)</f>
        <v>2</v>
      </c>
      <c r="BB63" s="181" t="s">
        <v>1070</v>
      </c>
      <c r="BC63" s="183">
        <f>IFERROR(__xludf.DUMMYFUNCTION("IF(
  ISNUMBER(BC62),
  MIN(MAX(
    BC62
    + MAX(
      ROUNDDOWN(($D63 - MAX(IFERROR(FILTER($D$24:$D62, BC$24:BC62 &lt;&gt; BB$6, BC$23:BC61 = BB$6), 0))) * (60 * 60 * 24) / BB$9) - ROUNDDOWN(($D62 - MAX(IFERROR(FILTER($D$23:$D61, BC$23:BC61 &lt;&gt; BB$6, BC$22:"&amp;"BC60 = BB$6), 0))) * (60 * 60 * 24) / 60),
      0
    )
    - COUNTIF(BB63, ""&lt;&gt;-""),
  0), BB$6),
  BB$6 - COUNTIF(BB63, ""&lt;&gt;-"")
)"),2.0)</f>
        <v>2</v>
      </c>
      <c r="BD63" s="181" t="s">
        <v>1070</v>
      </c>
      <c r="BE63" s="178" t="b">
        <v>0</v>
      </c>
      <c r="BF63" s="180" t="b">
        <v>0</v>
      </c>
      <c r="BG63" s="180" t="b">
        <v>0</v>
      </c>
      <c r="BH63" s="180" t="b">
        <v>0</v>
      </c>
      <c r="BI63" s="180" t="b">
        <v>0</v>
      </c>
      <c r="BJ63" s="180" t="b">
        <v>0</v>
      </c>
      <c r="BK63" s="180" t="b">
        <v>0</v>
      </c>
      <c r="BL63" s="180" t="b">
        <v>0</v>
      </c>
      <c r="BM63" s="180" t="b">
        <v>0</v>
      </c>
      <c r="BN63" s="180" t="b">
        <v>0</v>
      </c>
      <c r="BO63" s="181" t="s">
        <v>1070</v>
      </c>
      <c r="BP63" s="181" t="s">
        <v>1070</v>
      </c>
      <c r="BQ63" s="181" t="s">
        <v>1070</v>
      </c>
      <c r="BR63" s="181" t="s">
        <v>1070</v>
      </c>
      <c r="BS63" s="181" t="s">
        <v>1070</v>
      </c>
      <c r="BT63" s="184">
        <f>IFERROR(__xludf.DUMMYFUNCTION("IF(
  ISNUMBER(BT62),
  MIN(MAX(
    BT62
    + MAX(
      ROUNDDOWN((D63 - MAX(IFERROR(FILTER(D$24:D62, BT$24:BT62 &lt;&gt; BS$6, BT$23:BT61 = BS$6), 0))) * (60 * 60 * 24) / BS$9) - ROUNDDOWN((D62 - MAX(IFERROR(FILTER(D$23:D61, BT$23:BT61 &lt;&gt; BS$6, BT$22:BT60 ="&amp;" BS$6), 0))) * (60 * 60 * 24) / BS$9),
      0
    )
    - COUNTIF(BS63, ""&lt;&gt;-""),
  0), BS$6),
  BS$6 - COUNTIF(BS63, ""&lt;&gt;-"")
)"),3.0)</f>
        <v>3</v>
      </c>
      <c r="BU63" s="181" t="s">
        <v>1070</v>
      </c>
      <c r="BV63" s="181" t="s">
        <v>1070</v>
      </c>
      <c r="BW63" s="184">
        <f>IFERROR(__xludf.DUMMYFUNCTION("IF(
  ISNUMBER(BW62),
  MIN(MAX(
    BW62
    + MAX(
      ROUNDDOWN((D63 - MAX(IFERROR(FILTER(D$24:D62, BW$24:BW62 &lt;&gt; BV$6, BW$23:BW61 = BV$6), 0))) * (60 * 60 * 24) / BV$9) - ROUNDDOWN((D62 - MAX(IFERROR(FILTER(D$23:D61, BW$23:BW61 &lt;&gt; BV$6, BW$22:BW60 ="&amp;" BV$6), 0))) * (60 * 60 * 24) / BV$9),
      0
    )
    - COUNTIF(BV63, ""&lt;&gt;-""),
  0), BV$6),
  BV$6 - COUNTIF(BV63, ""&lt;&gt;-"")
)"),2.0)</f>
        <v>2</v>
      </c>
      <c r="BX63" s="185" t="s">
        <v>1070</v>
      </c>
      <c r="BY63" s="178" t="b">
        <v>0</v>
      </c>
      <c r="BZ63" s="180" t="b">
        <v>0</v>
      </c>
      <c r="CA63" s="180" t="b">
        <v>0</v>
      </c>
      <c r="CB63" s="180" t="b">
        <v>0</v>
      </c>
      <c r="CC63" s="180" t="b">
        <v>0</v>
      </c>
      <c r="CD63" s="180" t="b">
        <v>0</v>
      </c>
      <c r="CE63" s="180" t="b">
        <v>0</v>
      </c>
      <c r="CF63" s="180" t="b">
        <v>0</v>
      </c>
      <c r="CG63" s="180" t="b">
        <v>0</v>
      </c>
      <c r="CH63" s="180" t="b">
        <v>0</v>
      </c>
      <c r="CI63" s="180" t="b">
        <v>0</v>
      </c>
      <c r="CJ63" s="180" t="b">
        <v>0</v>
      </c>
      <c r="CK63" s="180" t="b">
        <v>0</v>
      </c>
      <c r="CL63" s="180" t="b">
        <v>0</v>
      </c>
      <c r="CM63" s="181" t="s">
        <v>1070</v>
      </c>
      <c r="CN63" s="181" t="s">
        <v>1070</v>
      </c>
      <c r="CO63" s="181" t="s">
        <v>1070</v>
      </c>
      <c r="CP63" s="181" t="s">
        <v>1070</v>
      </c>
      <c r="CQ63" s="185" t="s">
        <v>1070</v>
      </c>
      <c r="CR63" s="180" t="b">
        <v>0</v>
      </c>
      <c r="CS63" s="186" t="str">
        <f t="shared" si="14"/>
        <v>◇◇◇</v>
      </c>
      <c r="CT63" s="178" t="b">
        <v>0</v>
      </c>
      <c r="CU63" s="180" t="b">
        <v>0</v>
      </c>
      <c r="CV63" s="180" t="b">
        <v>0</v>
      </c>
      <c r="CW63" s="180" t="b">
        <v>0</v>
      </c>
      <c r="CX63" s="180" t="b">
        <v>0</v>
      </c>
      <c r="CY63" s="180" t="b">
        <v>0</v>
      </c>
      <c r="CZ63" s="180" t="b">
        <v>0</v>
      </c>
      <c r="DA63" s="180" t="b">
        <v>0</v>
      </c>
      <c r="DB63" s="180" t="b">
        <v>0</v>
      </c>
      <c r="DC63" s="180" t="b">
        <v>0</v>
      </c>
      <c r="DD63" s="181" t="s">
        <v>1070</v>
      </c>
      <c r="DE63" s="181" t="s">
        <v>1070</v>
      </c>
      <c r="DF63" s="181" t="s">
        <v>1070</v>
      </c>
      <c r="DG63" s="185" t="s">
        <v>1070</v>
      </c>
      <c r="DH63" s="180" t="b">
        <v>0</v>
      </c>
      <c r="DI63" s="187" t="str">
        <f>IFERROR(__xludf.DUMMYFUNCTION("SWITCH(
  IF(
    ISTEXT(DI62),
    IF (
      FIND(""○"", DI62&amp;""○"") &gt; 3,
      3,
      FIND(""○"", DI62&amp;""○"")
      + MAX(
        ROUNDDOWN(($D63 - MAX(IFERROR(FILTER(D$24:D62, DI$24:DI62 &lt;&gt; ""●●●"", DI$23:DI61 = ""●●●""), 0))) * (60 * 60 * 24) / 20"&amp;") - ROUNDDOWN(($D62 - MAX(IFERROR(FILTER(D$23:D61, DI$23:DI61 &lt;&gt; ""●●●"", DI$22:DI60 = ""●●●""), 0))) * (60 * 60 * 24) / 20),
        0
      ) - 1
    ) - COUNTIFS(CU63, ""=TRUE"", CU62, ""&lt;&gt;TRUE"") - COUNTIF(CZ63, ""=TRUE"") - COUNTIF({DD63,DE63}, ""&lt;&gt;-"&amp;""") + COUNTIF(DH63, ""=TRUE""),
    3
  ),
  0, ""○○○"", 1, ""●○○"", 2, ""●●○"", 3, ""●●●"", 4, ""●●●"", ""○○○""
)"),"●●●")</f>
        <v>●●●</v>
      </c>
      <c r="DJ63" s="188" t="b">
        <v>0</v>
      </c>
      <c r="DK63" s="189" t="b">
        <v>0</v>
      </c>
      <c r="DL63" s="190" t="b">
        <v>0</v>
      </c>
      <c r="DM63" s="190" t="b">
        <v>0</v>
      </c>
      <c r="DN63" s="190" t="b">
        <v>0</v>
      </c>
      <c r="DO63" s="190" t="b">
        <v>0</v>
      </c>
      <c r="DP63" s="190" t="b">
        <v>0</v>
      </c>
      <c r="DQ63" s="191" t="b">
        <v>0</v>
      </c>
      <c r="DR63" s="192" t="b">
        <v>0</v>
      </c>
      <c r="DS63" s="191" t="b">
        <v>0</v>
      </c>
      <c r="DT63" s="192" t="b">
        <v>0</v>
      </c>
      <c r="DU63" s="191" t="b">
        <v>0</v>
      </c>
      <c r="DV63" s="193" t="s">
        <v>1070</v>
      </c>
      <c r="DW63" s="194" t="b">
        <v>0</v>
      </c>
      <c r="DX63" s="194" t="b">
        <v>0</v>
      </c>
      <c r="DY63" s="195" t="b">
        <v>0</v>
      </c>
      <c r="DZ63" s="196" t="b">
        <v>0</v>
      </c>
      <c r="EA63" s="195" t="b">
        <v>0</v>
      </c>
      <c r="EB63" s="197" t="b">
        <v>0</v>
      </c>
      <c r="EC63" s="197" t="b">
        <v>0</v>
      </c>
      <c r="ED63" s="212" t="b">
        <v>0</v>
      </c>
      <c r="EE63" s="199">
        <f>IFERROR(__xludf.DUMMYFUNCTION("IFERROR(
   PRODUCT(
     MAP(
       INDEX(TRANSPOSE(UNIQUE(TRANSPOSE(FILTER({IF($F63=""Physical"", K$10:ED$10, IF($F63=""Magic"", K$11:ED$11, K$12:ED$12));K$4:ED$4;K63:ED63}, K63:ED63=TRUE)))), 1, 0),
       INDEX(TRANSPOSE(UNIQUE(TRANSPOSE(FILTER({IF($"&amp;"F63=""Physical"", K$18:ED$18, IF($F63=""Magic"", K$19:ED$19, K$20:ED$20));K$4:ED$4;K63:ED63}, K63:ED63=TRUE)))), 1, 0),
       INDEX(TRANSPOSE(UNIQUE(TRANSPOSE(FILTER({K$5:ED$5;K$4:ED$4;K63:ED63}, K63:ED63=TRUE)))), 1, 0),
       INDEX(TRANSPOSE(UNIQUE(TR"&amp;"ANSPOSE(FILTER({K$17:ED$17;K$4:ED$4;K63:ED63}, K63:ED63=TRUE)))), 1, 0),
       LAMBDA(
         mitigation,
         enhance,
         assign,
         precondition,
         IF(
           REGEXMATCH(assign, ""RANGE_PARTY|SINGLE_ENEMY|RANGE_ENEMY""),
  "&amp;"         IF(
             OR(ARRAYFORMULA((IF(precondition="""", FALSE, REGEXMATCH(K$4:ED$4, precondition))) * (K63:ED63=TRUE))),
             IF(ISNUMBER(enhance), enhance, 1),
             IF(ISNUMBER(mitigation), mitigation, 1)
           ),
          "&amp;" 1
         )
       )
     )
   ),
   1
 )"),1.0)</f>
        <v>1</v>
      </c>
      <c r="EF63" s="200">
        <f>IFERROR(__xludf.DUMMYFUNCTION("PRODUCT(
   MAP(
     K$14:ED$14,
     K$13:ED$13,
     K63:ED63,
     LAMBDA(
       buff,
       target,
       check,
       IF(
         AND(check=TRUE, REGEXMATCH(target, ""RANGE_AFFECTED_ALL|RANGE_EFFECTED_ALL""), ISNUMBER(buff)),
         buff,
   "&amp;"      1
       )
     )
   )
 )"),1.0)</f>
        <v>1</v>
      </c>
      <c r="EG63" s="200">
        <f>IFERROR(__xludf.DUMMYFUNCTION("PRODUCT(
   MAP(
     K$14:ED$14,
     K$13:ED$13,
     K63:ED63,
     LAMBDA(
       buff,
       target,
       check,
       IF(
         AND(check=TRUE, REGEXMATCH(target, ""RANGE_AFFECTED_GCD|RANGE_EFFECTED_GCD""), ISNUMBER(buff)),
         buff,
   "&amp;"      1
       )
     )
   )
 )"),1.0)</f>
        <v>1</v>
      </c>
      <c r="EH63" s="200">
        <f>IFERROR(__xludf.DUMMYFUNCTION("PRODUCT(
   MAP(
     K$3:ED$3,
     K$14:ED$14,
     K$13:ED$13,
     K63:ED63,
     LAMBDA(
       job,
       buff,
       target,
       check,
       IF(
         AND(check=TRUE, REGEXMATCH(target, ""SELF_EFFECTED_ALL""), ISNUMBER(buff), job=""白魔道士"""&amp;"),
         buff,
         1
       )
     )
   )
 )"),1.0)</f>
        <v>1</v>
      </c>
      <c r="EI63" s="200">
        <f>IFERROR(__xludf.DUMMYFUNCTION("PRODUCT(
   MAP(
     K$3:ED$3,
     K$14:ED$14,
     K$13:ED$13,
     K63:ED63,
     LAMBDA(
       job,
       buff,
       target,
       check,
       IF(
         AND(check=TRUE, REGEXMATCH(target, ""SELF_EFFECTED_GCD""), ISNUMBER(buff), job=""白魔道士"""&amp;"),
         buff,
         1
       )
     )
   )
 )"),1.0)</f>
        <v>1</v>
      </c>
      <c r="EJ63" s="200">
        <f>IFERROR(__xludf.DUMMYFUNCTION("PRODUCT(
   MAP(
     K$3:ED$3,
     K$14:ED$14,
     K$13:ED$13,
     K63:ED63,
     LAMBDA(
       job,
       buff,
       target,
       check,
       IF(
         AND(check=TRUE, REGEXMATCH(target, ""SELF_EFFECTED_ALL""), ISNUMBER(buff), job=""占星術師"""&amp;"),
         buff,
         1
       )
     )
   )
 )"),1.0)</f>
        <v>1</v>
      </c>
      <c r="EK63" s="200">
        <f>IFERROR(__xludf.DUMMYFUNCTION("PRODUCT(
   MAP(
     K$3:ED$3,
     K$14:ED$14,
     K$13:ED$13,
     K63:ED63,
     LAMBDA(
       job,
       buff,
       target,
       check,
       IF(
         AND(check=TRUE, REGEXMATCH(target, ""SELF_EFFECTED_GCD""), ISNUMBER(buff), job=""占星術師"""&amp;"),
         buff,
         1
       )
     )
   )
 )"),1.0)</f>
        <v>1</v>
      </c>
      <c r="EL63" s="200">
        <f>IFERROR(__xludf.DUMMYFUNCTION("PRODUCT(
   MAP(
     K$3:ED$3,
     K$14:ED$14,
     K$13:ED$13,
     K63:ED63,
     LAMBDA(
       job,
       buff,
       target,
       check,
       IF(
         AND(check=TRUE, REGEXMATCH(target, ""SELF_EFFECTED_ALL""), ISNUMBER(buff), job=""学者""),"&amp;"
         buff,
         1
       )
     )
   )
 )"),1.0)</f>
        <v>1</v>
      </c>
      <c r="EM63" s="200">
        <f>IFERROR(__xludf.DUMMYFUNCTION("PRODUCT(
   MAP(
     K$3:ED$3,
     K$14:ED$14,
     K$13:ED$13,
     K63:ED63,
     LAMBDA(
       job,
       buff,
       target,
       check,
       IF(
         AND(check=TRUE, REGEXMATCH(target, ""SELF_EFFECTED_GCD""), ISNUMBER(buff), job=""学者""),"&amp;"
         buff,
         1
       )
     )
   )
 )"),1.0)</f>
        <v>1</v>
      </c>
      <c r="EN63" s="200">
        <f>IFERROR(__xludf.DUMMYFUNCTION("PRODUCT(
   MAP(
     K$3:ED$3,
     K$14:ED$14,
     K$13:ED$13,
     K63:ED63,
     LAMBDA(
       job,
       buff,
       target,
       check,
       IF(
         AND(check=TRUE, REGEXMATCH(target, ""SELF_EFFECTED_ALL""), ISNUMBER(buff), job=""賢者""),"&amp;"
         buff,
         1
       )
     )
   )
 )"),1.0)</f>
        <v>1</v>
      </c>
      <c r="EO63" s="200">
        <f>IFERROR(__xludf.DUMMYFUNCTION("PRODUCT(
   MAP(
     K$3:ED$3,
     K$14:ED$14,
     K$13:ED$13,
     K63:ED63,
     LAMBDA(
       job,
       buff,
       target,
       check,
       IF(
         AND(check=TRUE, REGEXMATCH(target, ""SELF_EFFECTED_GCD""), ISNUMBER(buff), job=""賢者""),"&amp;"
         buff,
         1
       )
     )
   )
 )"),1.0)</f>
        <v>1</v>
      </c>
      <c r="EP63" s="201">
        <f t="shared" si="3"/>
        <v>0</v>
      </c>
      <c r="EQ63" s="201">
        <f>IFERROR(__xludf.DUMMYFUNCTION("SUM(
   MAP(
     K$4:ED$4,
     K$3:ED$3,
     K$7:ED$7,
     K$15:ED$15,
     K$16:ED$16,
     K$21:ED$21,
     K$5:ED$5,
     K$17:ED$17,
     K63:ED63,
     LAMBDA(
       name,
       job,
       abillity,
       buff,
       barrier,
       enhance,"&amp;"
       assign,
       precondition,
       check,
       SWITCH(
         name,
         ""シェイクオフ"", IF(check=TRUE, buff + (0.02 * COUNTIF(ARRAYFORMULA((REGEXMATCH($K$4:$ED$4, ""スリル・オブ・バトル|ヴェンジェンス|原初の血気|ダムネーション"")) * (K63:ED63=TRUE)), 1)), 0),
         "&amp;"""インプロビゼーションフィニッシュ(踊りの激情0)"", IF(ISNUMBER(check), INDEX(Skill!$AJ:$AJ, MATCH(SUBSTITUTE(DV$4, 0, check), Skill!$C:$C, 0)), 0),
         IF(
           AND(check=TRUE, REGEXMATCH(assign, ""RANGE_PARTY"")),
           IF(
             OR(ARRAYFORMULA((IF(pr"&amp;"econdition="""", FALSE, REGEXMATCH($K$4:$ED$4, precondition))) * (K63:ED63=TRUE))),
             enhance,
             IF(barrier="""", buff, barrier)
           ),
           0
         )
       ) *
       SWITCH(
         job,
         ""ナイト"", EY$24,
 "&amp;"        ""戦士"", FD$24,
         ""踊り子"", ET$24,
         ""ピクトマンサー"", ET$24,
         ""白魔道士"", EF63 * EH63 * IF(abillity, 1, EG63 * EI63) * (Option!$D$22 * 0.81 / 100),
         ""占星術師"", EF63 * EJ63 * IF(abillity, 1, EG63 * EK63) * (Option!$D$23 * 0.81 "&amp;"/ 100),
         ""学者"", EF63 * EL63 * IF(abillity, 1, EG63 * EM63) * (Option!$D$24 * 0.81 / 100),
         ""賢者"", EF63 * EN63 * IF(abillity, 1, EG63 * EO63) * (Option!$D$25 * 0.81 / 100),
         1
       )
     )
   )
 )"),0.0)</f>
        <v>0</v>
      </c>
      <c r="ER63" s="202">
        <f t="shared" si="4"/>
        <v>0</v>
      </c>
      <c r="ES63" s="203">
        <f t="shared" si="5"/>
        <v>0</v>
      </c>
      <c r="ET63" s="231" t="str">
        <f>IFERROR(__xludf.DUMMYFUNCTION("IFS(
  EP63 &gt; $ET$24 + EQ63,
  SPARKLINE({ 1, 0 }, {""charttype"",""bar"";""max"", 1;""color1"",Option!$D$30;""color2"",Option!$D$30}),
  EP63 &lt; EQ63,
  SPARKLINE({EQ63 - EP63, $ET$24 - (EQ63 - EP63)}, {""charttype"",""bar"";""max"",$ET$24;""color1"",Opti"&amp;"on!$D$28;""color2"",Option!$D$29}),
  EP63 &gt;= EQ63,
  SPARKLINE({$ET$24 + EQ63 - EP63,EP63 - EQ63}, {""charttype"",""bar"";""max"",$ET$24;""color1"",Option!$D$29;""color2"",Option!$D$30})
)"),"")</f>
        <v/>
      </c>
      <c r="EU63" s="205">
        <f>IFERROR(__xludf.DUMMYFUNCTION("PRODUCT(
   MAP(
     IF($F63=""Physical"", K$10:ED$10, IF($F63=""Magic"", K$11:ED$11, K$12:ED$12)),
     IF($F63=""Physical"", K$18:ED$18, IF($F63=""Magic"", K$19:ED$19, K$20:ED$20)),
     K$3:ED$3,
     K$5:ED$5,
     K$17:ED$17,
     K63:ED63,
     LAM"&amp;"BDA(
       mitigation,
       enhance,
       job,
       assign,
       precondition,
       check,
       IF(
         OR(AND(check=TRUE, REGEXMATCH(assign, ""SELF""), job=""ナイト""), AND(check=Option!$E$13, REGEXMATCH(assign, ""SINGLE_PARTY""))),
      "&amp;"   IF(
           OR(ARRAYFORMULA((IF(precondition="""", FALSE, REGEXMATCH($K$4:$ED$4, precondition))) * (K63:ED63=TRUE))),
           enhance,
           mitigation
         ),
         1
       )
     )
   )
 ) * EE63"),1.0)</f>
        <v>1</v>
      </c>
      <c r="EV63" s="206">
        <f t="shared" si="6"/>
        <v>0</v>
      </c>
      <c r="EW63" s="205">
        <f>IFERROR(__xludf.DUMMYFUNCTION("PRODUCT(
   MAP(
     K$3:ED$3,
     K$14:ED$14,
     K$13:ED$13,
     K63:ED63,
     LAMBDA(
       job,
       buff,
       target,
       check,
       IF(
         OR(AND(check=TRUE, REGEXMATCH(target, ""SELF_AFFECTED_ALL""), job=""ナイト""), AND(check=O"&amp;"ption!$E$13, REGEXMATCH(target, ""SINGLE_AFFECTED_ALL""))),
         buff,
         1
       )
     )
   )
 )"),1.0)</f>
        <v>1</v>
      </c>
      <c r="EX63" s="206">
        <f>IFERROR(__xludf.DUMMYFUNCTION("SUM(
   MAP(
     K$3:ED$3,
     K$7:ED$7,
     K$15:ED$15,
     K$16:ED$16,
     K$21:ED$21,
     K$5:ED$5,
     K$17:ED$17,
     K63:ED63,
     LAMBDA(
       job,
       abillity,
       buff,
       barrier,
       enhance,
       assign,
       preco"&amp;"ndition,
       check,
       IF(
         OR(AND(check=TRUE, REGEXMATCH(assign, ""SELF""), job=""ナイト""), AND(check=Option!$E$13, REGEXMATCH(assign, ""SINGLE_PARTY""))),
         IF(
           OR(ARRAYFORMULA((IF(precondition="""", FALSE, REGEXMATCH($K$4"&amp;":$ED$4, precondition))) * (K63:ED63=TRUE))),
           enhance,
           IF(barrier="""", buff, barrier)
         ),
         0
       ) *
       SWITCH(
         job,
         ""暗黒騎士"", EY$24,
         ""白魔道士"", EF63 * EH63 * EW63 * IF(abillity, 1, EG"&amp;"63 * EI63) * (Option!$D$22 * 0.81 / 100),
         ""占星術師"", EF63 * EJ63 * EW63 * IF(abillity, 1, EG63 * EK63) * (Option!$D$23 * 0.81 / 100),
         ""学者"", EF63 * EL63 * EW63 * IF(abillity, 1, EG63 * EM63) * (Option!$D$24 * 0.81 / 100),
         ""賢者"""&amp;", EF63 * EN63 * EW63 * IF(abillity, 1, EG63 * EO63) * (Option!$D$25 * 0.81 / 100),
         1
       )
     )
   )
 ) + EQ63"),0.0)</f>
        <v>0</v>
      </c>
      <c r="EY63" s="232">
        <f t="shared" si="7"/>
        <v>0</v>
      </c>
      <c r="EZ63" s="205">
        <f>IFERROR(__xludf.DUMMYFUNCTION("PRODUCT(
   MAP(
     IF($F63=""Physical"", K$10:ED$10, IF($F63=""Magic"", K$11:ED$11, K$12:ED$12)),
     IF($F63=""Physical"", K$18:ED$18, IF($F63=""Magic"", K$19:ED$19, K$20:ED$20)),
     K$3:ED$3,
     K$5:ED$5,
     K$17:ED$17,
     K63:ED63,
     LAM"&amp;"BDA(
       mitigation,
       enhance,
       job,
       assign,
       precondition,
       check,
       IF(
         OR(AND(check=TRUE, REGEXMATCH(assign, ""SELF""), job=""戦士""), AND(check=Option!$F$13, REGEXMATCH(assign, ""SINGLE_PARTY""))),
       "&amp;"  IF(
           OR(ARRAYFORMULA((IF(precondition="""", FALSE, REGEXMATCH($K$4:$ED$4, precondition))) * (K63:ED63=TRUE))),
           enhance,
           mitigation
         ),
         1
       )
     )
   )
 ) * EE63"),1.0)</f>
        <v>1</v>
      </c>
      <c r="FA63" s="206">
        <f t="shared" si="8"/>
        <v>0</v>
      </c>
      <c r="FB63" s="205">
        <f>IFERROR(__xludf.DUMMYFUNCTION("PRODUCT(
   MAP(
     K$3:ED$3,
     K$14:ED$14,
     K$13:ED$13,
     K63:ED63,
     LAMBDA(
       job,
       buff,
       target,
       check,
       IF(
         OR(AND(check=TRUE, REGEXMATCH(target, ""SELF_AFFECTED_ALL""), job=""戦士""), AND(check=Op"&amp;"tion!$F$13, REGEXMATCH(target, ""SINGLE_AFFECTED_ALL""))),
         buff,
         1
       )
     )
   )
 )"),1.0)</f>
        <v>1</v>
      </c>
      <c r="FC63" s="206">
        <f>IFERROR(__xludf.DUMMYFUNCTION("SUM(
   MAP(
     K$3:ED$3,
     K$7:ED$7,
     K$15:ED$15,
     K$16:ED$16,
     K$21:ED$21,
     K$5:ED$5,
     K$17:ED$17,
     K63:ED63,
     LAMBDA(
       job,
       abillity,
       buff,
       barrier,
       enhance,
       assign,
       preco"&amp;"ndition,
       check,
       IF(
         OR(AND(check=TRUE, REGEXMATCH(assign, ""SELF""), job=""戦士""), AND(check=Option!$F$13, REGEXMATCH(assign, ""SINGLE_PARTY""))),
         IF(
           OR(ARRAYFORMULA((IF(precondition="""", FALSE, REGEXMATCH($K$4:"&amp;"$ED$4, precondition))) * (K63:ED63=TRUE))),
           enhance,
           IF(barrier="""", buff, barrier)
         ),
         0
       ) *
       SWITCH(
         job,
         ""暗黒騎士"", FD$24,
         ""白魔道士"", EF63 * EH63 * FB63 * IF(abillity, 1, EG6"&amp;"3 * EI63) * (Option!$D$22 * 0.81 / 100),
         ""占星術師"", EF63 * EJ63 * FFB63 * IF(abillity, 1, EG63 * EK63) * (Option!$D$23 * 0.81 / 100),
         ""学者"", EF63 * EL63 * FB63 * IF(abillity, 1, EG63 * EM63) * (Option!$D$24 * 0.81 / 100),
         ""賢者"""&amp;", EF63 * EN63 * FB63 * IF(abillity, 1, EG63 * EO63) * (Option!$D$25 * 0.81 / 100),
         1
       )
     )
   )
 ) + EQ63"),0.0)</f>
        <v>0</v>
      </c>
      <c r="FD63" s="206">
        <f t="shared" si="9"/>
        <v>0</v>
      </c>
      <c r="FE63" s="205">
        <f>IFERROR(__xludf.DUMMYFUNCTION("PRODUCT(
   MAP(
     IF($F63=""Physical"", K$10:ED$10, IF($F63=""Magic"", K$11:ED$11, K$12:ED$12)),
     IF($F63=""Physical"", K$18:ED$18, IF($F63=""Magic"", K$19:ED$19, K$20:ED$20)),
     K$3:ED$3,
     K$5:ED$5,
     K$17:ED$17,
     K63:ED63,
     LAM"&amp;"BDA(
       mitigation,
       enhance,
       job,
       assign,
       precondition,
       check,
       IF(
         OR(AND(check=TRUE, REGEXMATCH(assign, ""SELF""), job=""暗黒騎士""), AND(check=Option!$G$13, REGEXMATCH(assign, ""SINGLE_PARTY""))),
     "&amp;"    IF(
           OR(ARRAYFORMULA((IF(precondition="""", FALSE, REGEXMATCH($K$4:$ED$4, precondition))) * (K63:ED63=TRUE))),
           enhance,
           mitigation
         ),
         1
       )
     )
   )
 ) * EE63"),1.0)</f>
        <v>1</v>
      </c>
      <c r="FF63" s="206">
        <f t="shared" si="10"/>
        <v>0</v>
      </c>
      <c r="FG63" s="205">
        <f>IFERROR(__xludf.DUMMYFUNCTION("PRODUCT(
   MAP(
     K$3:ED$3,
     K$14:ED$14,
     K$13:ED$13,
     K63:ED63,
     LAMBDA(
       job,
       buff,
       target,
       check,
       IF(
         OR(AND(check=TRUE, REGEXMATCH(target, ""SELF_AFFECTED_ALL""), job=""暗黒騎士""), AND(check="&amp;"Option!$G$13, REGEXMATCH(target, ""SINGLE_AFFECTED_ALL""))),
         buff,
         1
       )
     )
   )
 )"),1.0)</f>
        <v>1</v>
      </c>
      <c r="FH63" s="206">
        <f>IFERROR(__xludf.DUMMYFUNCTION("SUM(
   MAP(
     K$3:ED$3,
     K$7:ED$7,
     K$15:ED$15,
     K$16:ED$16,
     K$21:ED$21,
     K$5:ED$5,
     K$17:ED$17,
     K63:ED63,
     LAMBDA(
       job,
       abillity,
       buff,
       barrier,
       enhance,
       assign,
       preco"&amp;"ndition,
       check,
       IF(
         OR(AND(check=TRUE, REGEXMATCH(assign, ""SELF""), job=""暗黒騎士""), AND(check=Option!$G$13, REGEXMATCH(assign, ""SINGLE_PARTY""))),
         IF(
           OR(ARRAYFORMULA((IF(precondition="""", FALSE, REGEXMATCH($K$"&amp;"4:$ED$4, precondition))) * (K63:ED63=TRUE))),
           enhance,
           IF(barrier="""", buff, barrier)
         ),
         0
       ) *
       SWITCH(
         job,
         ""暗黒騎士"", FI$24,
         ""白魔道士"", EF63 * EH63 * FG63 * IF(abillity, 1, E"&amp;"G63 * EI63) * (Option!$D$22 * 0.81 / 100),
         ""占星術師"", EF63 * EJ63 * FG63 * IF(abillity, 1, EG63 * EK63) * (Option!$D$23 * 0.81 / 100),
         ""学者"", EF63 * EL63 * FG63 * IF(abillity, 1, EG63 * EM63) * (Option!$D$24 * 0.81 / 100),
         ""賢者"&amp;""", EF63 * EN63 * FG63 * IF(abillity, 1, EG63 * EO63) * (Option!$D$25 * 0.81 / 100),
         1
       )
     )
   )
 ) + EQ63"),0.0)</f>
        <v>0</v>
      </c>
      <c r="FI63" s="206">
        <f t="shared" si="11"/>
        <v>0</v>
      </c>
      <c r="FJ63" s="205">
        <f>IFERROR(__xludf.DUMMYFUNCTION("PRODUCT(
   MAP(
     IF($F63=""Physical"", K$10:ED$10, IF($F63=""Magic"", K$11:ED$11, K$12:ED$12)),
     IF($F63=""Physical"", K$18:ED$18, IF($F63=""Magic"", K$19:ED$19, K$20:ED$20)),
     K$3:ED$3,
     K$5:ED$5,
     K$17:ED$17,
     K63:ED63,
     LAM"&amp;"BDA(
       mitigation,
       enhance,
       job,
       assign,
       precondition,
       check,
       IF(
         OR(AND(check=TRUE, REGEXMATCH(assign, ""SELF""), job=""ガンブレイカー""), AND(check=Option!$H$13, REGEXMATCH(assign, ""SINGLE_PARTY""))),
  "&amp;"       IF(
           OR(ARRAYFORMULA((IF(precondition="""", FALSE, REGEXMATCH($K$4:$ED$4, precondition))) * (K63:ED63=TRUE))),
           enhance,
           mitigation
         ),
         1
       )
     )
   )
 ) * EE63"),1.0)</f>
        <v>1</v>
      </c>
      <c r="FK63" s="206">
        <f t="shared" si="12"/>
        <v>0</v>
      </c>
      <c r="FL63" s="205">
        <f>IFERROR(__xludf.DUMMYFUNCTION("PRODUCT(
   MAP(
     K$3:ED$3,
     K$14:ED$14,
     K$13:ED$13,
     K63:ED63,
     LAMBDA(
       job,
       buff,
       target,
       check,
       IF(
         OR(AND(check=TRUE, REGEXMATCH(target, ""SELF_AFFECTED_ALL""), job=""ガンブレイカー""), AND(che"&amp;"ck=Option!$H$13, REGEXMATCH(target, ""SINGLE_AFFECTED_ALL""))),
         buff,
         1
       )
     )
   )
 )"),1.0)</f>
        <v>1</v>
      </c>
      <c r="FM63" s="206">
        <f>IFERROR(__xludf.DUMMYFUNCTION("SUM(
   MAP(
     K$3:ED$3,
     K$7:ED$7,
     K$15:ED$15,
     K$16:ED$16,
     K$21:ED$21,
     K$5:ED$5,
     K$17:ED$17,
     K63:ED63,
     LAMBDA(
       job,
       abillity,
       buff,
       barrier,
       enhance,
       assign,
       preco"&amp;"ndition,
       check,
       IF(
         OR(AND(check=TRUE, REGEXMATCH(assign, ""SELF""), job=""ガンブレイカー""), AND(check=Option!$H$13, REGEXMATCH(assign, ""SINGLE_PARTY""))),
         IF(
           OR(ARRAYFORMULA((IF(precondition="""", FALSE, REGEXMATCH("&amp;"$K$4:$ED$4, precondition))) * (K63:ED63=TRUE))),
           enhance,
           IF(barrier="""", buff, barrier)
         ),
         0
       ) *
       SWITCH(
         job,
         ""暗黒騎士"", FN$24,
         ""白魔道士"", EF63 * EH63 * FL63 * IF(abillity, 1"&amp;", EG63 * EI63) * (Option!$D$22 * 0.81 / 100),
         ""占星術師"", EF63 * EJ63 * FL63 * IF(abillity, 1, EG63 * EK63) * (Option!$D$23 * 0.81 / 100),
         ""学者"", EF63 * EL63 * FL63 * IF(abillity, 1, EG63 * EM63) * (Option!$D$24 * 0.81 / 100),
         """&amp;"賢者"", EF63 * EN63 * FL63 * IF(abillity, 1, EG63 * EO63) * (Option!$D$25 * 0.81 / 100),
         1
       )
     )
   )
 ) + EQ63"),0.0)</f>
        <v>0</v>
      </c>
      <c r="FN63" s="206">
        <f t="shared" si="13"/>
        <v>0</v>
      </c>
      <c r="FO63" s="213"/>
    </row>
    <row r="64">
      <c r="B64" s="229"/>
      <c r="C64" s="217"/>
      <c r="D64" s="236"/>
      <c r="E64" s="238"/>
      <c r="F64" s="167"/>
      <c r="G64" s="168" t="str">
        <f t="shared" si="2"/>
        <v/>
      </c>
      <c r="H64" s="169"/>
      <c r="I64" s="169"/>
      <c r="J64" s="169"/>
      <c r="K64" s="170" t="b">
        <v>0</v>
      </c>
      <c r="L64" s="170" t="b">
        <v>0</v>
      </c>
      <c r="M64" s="170" t="b">
        <v>0</v>
      </c>
      <c r="N64" s="171" t="s">
        <v>1070</v>
      </c>
      <c r="O64" s="172" t="b">
        <v>0</v>
      </c>
      <c r="P64" s="173" t="b">
        <v>0</v>
      </c>
      <c r="Q64" s="173" t="b">
        <v>0</v>
      </c>
      <c r="R64" s="173" t="b">
        <v>0</v>
      </c>
      <c r="S64" s="174" t="b">
        <v>0</v>
      </c>
      <c r="T64" s="175" t="b">
        <v>0</v>
      </c>
      <c r="U64" s="173" t="b">
        <v>0</v>
      </c>
      <c r="V64" s="171" t="s">
        <v>1070</v>
      </c>
      <c r="W64" s="172" t="b">
        <v>0</v>
      </c>
      <c r="X64" s="173" t="b">
        <v>0</v>
      </c>
      <c r="Y64" s="173" t="b">
        <v>0</v>
      </c>
      <c r="Z64" s="173" t="b">
        <v>0</v>
      </c>
      <c r="AA64" s="174" t="b">
        <v>0</v>
      </c>
      <c r="AB64" s="174" t="b">
        <v>0</v>
      </c>
      <c r="AC64" s="175" t="b">
        <v>0</v>
      </c>
      <c r="AD64" s="173" t="b">
        <v>0</v>
      </c>
      <c r="AE64" s="176" t="s">
        <v>1070</v>
      </c>
      <c r="AF64" s="171" t="s">
        <v>1070</v>
      </c>
      <c r="AG64" s="177">
        <f>IFERROR(__xludf.DUMMYFUNCTION("IF(
  ISNUMBER(AG63),
  MIN(MAX(
    AG63
    + MAX(
      ROUNDDOWN(($D64 - MAX(IFERROR(FILTER($D$24:$D63, AG$24:AG63 &lt;&gt; AF$6, AG$23:AG62 = AF$6), 0))) * (60 * 60 * 24) / AF$9) - ROUNDDOWN(($D63 - MAX(IFERROR(FILTER($D$23:$D62, AG$23:AG62 &lt;&gt; AF$6, AG$22:"&amp;"AG61 = AF$6), 0))) * (60 * 60 * 24) / 60),
      0
    )
    - COUNTIF(AF64, ""&lt;&gt;-""),
  0), AF$6),
  AF$6 - COUNTIF(AF64, ""&lt;&gt;-"")
)"),2.0)</f>
        <v>2</v>
      </c>
      <c r="AH64" s="173" t="b">
        <v>0</v>
      </c>
      <c r="AI64" s="173" t="b">
        <v>0</v>
      </c>
      <c r="AJ64" s="173" t="b">
        <v>0</v>
      </c>
      <c r="AK64" s="174" t="b">
        <v>0</v>
      </c>
      <c r="AL64" s="175" t="b">
        <v>0</v>
      </c>
      <c r="AM64" s="173" t="b">
        <v>0</v>
      </c>
      <c r="AN64" s="171" t="s">
        <v>1070</v>
      </c>
      <c r="AO64" s="173" t="b">
        <v>0</v>
      </c>
      <c r="AP64" s="173" t="b">
        <v>0</v>
      </c>
      <c r="AQ64" s="173" t="b">
        <v>0</v>
      </c>
      <c r="AR64" s="174" t="b">
        <v>0</v>
      </c>
      <c r="AS64" s="178" t="b">
        <v>0</v>
      </c>
      <c r="AT64" s="179" t="b">
        <v>0</v>
      </c>
      <c r="AU64" s="180" t="b">
        <v>0</v>
      </c>
      <c r="AV64" s="180" t="b">
        <v>0</v>
      </c>
      <c r="AW64" s="180" t="b">
        <v>0</v>
      </c>
      <c r="AX64" s="180" t="b">
        <v>0</v>
      </c>
      <c r="AY64" s="181" t="s">
        <v>1070</v>
      </c>
      <c r="AZ64" s="181" t="s">
        <v>1070</v>
      </c>
      <c r="BA64" s="184">
        <f>IFERROR(__xludf.DUMMYFUNCTION("IF(
  ISNUMBER(BA63),
  MIN(MAX(
    BA63
    + MAX(
      ROUNDDOWN((D64 - MAX(IFERROR(FILTER(D$24:D63, BA$24:BA63 &lt;&gt; AZ$6, BA$23:BA62 = AZ$6), 0))) * (60 * 60 * 24) / AZ$9) - ROUNDDOWN((D63 - MAX(IFERROR(FILTER(D$23:D62, BA$23:BA62 &lt;&gt; AZ$6, BA$22:BA61 ="&amp;" AZ$6), 0))) * (60 * 60 * 24) / AZ$9),
      0
    )
    - COUNTIF(AZ64, ""&lt;&gt;-""),
  0), AZ$6),
  AZ$6 - COUNTIF(AZ64, ""&lt;&gt;-"")
)"),2.0)</f>
        <v>2</v>
      </c>
      <c r="BB64" s="181" t="s">
        <v>1070</v>
      </c>
      <c r="BC64" s="183">
        <f>IFERROR(__xludf.DUMMYFUNCTION("IF(
  ISNUMBER(BC63),
  MIN(MAX(
    BC63
    + MAX(
      ROUNDDOWN(($D64 - MAX(IFERROR(FILTER($D$24:$D63, BC$24:BC63 &lt;&gt; BB$6, BC$23:BC62 = BB$6), 0))) * (60 * 60 * 24) / BB$9) - ROUNDDOWN(($D63 - MAX(IFERROR(FILTER($D$23:$D62, BC$23:BC62 &lt;&gt; BB$6, BC$22:"&amp;"BC61 = BB$6), 0))) * (60 * 60 * 24) / 60),
      0
    )
    - COUNTIF(BB64, ""&lt;&gt;-""),
  0), BB$6),
  BB$6 - COUNTIF(BB64, ""&lt;&gt;-"")
)"),2.0)</f>
        <v>2</v>
      </c>
      <c r="BD64" s="181" t="s">
        <v>1070</v>
      </c>
      <c r="BE64" s="178" t="b">
        <v>0</v>
      </c>
      <c r="BF64" s="180" t="b">
        <v>0</v>
      </c>
      <c r="BG64" s="180" t="b">
        <v>0</v>
      </c>
      <c r="BH64" s="180" t="b">
        <v>0</v>
      </c>
      <c r="BI64" s="180" t="b">
        <v>0</v>
      </c>
      <c r="BJ64" s="180" t="b">
        <v>0</v>
      </c>
      <c r="BK64" s="180" t="b">
        <v>0</v>
      </c>
      <c r="BL64" s="180" t="b">
        <v>0</v>
      </c>
      <c r="BM64" s="180" t="b">
        <v>0</v>
      </c>
      <c r="BN64" s="180" t="b">
        <v>0</v>
      </c>
      <c r="BO64" s="181" t="s">
        <v>1070</v>
      </c>
      <c r="BP64" s="181" t="s">
        <v>1070</v>
      </c>
      <c r="BQ64" s="181" t="s">
        <v>1070</v>
      </c>
      <c r="BR64" s="181" t="s">
        <v>1070</v>
      </c>
      <c r="BS64" s="181" t="s">
        <v>1070</v>
      </c>
      <c r="BT64" s="184">
        <f>IFERROR(__xludf.DUMMYFUNCTION("IF(
  ISNUMBER(BT63),
  MIN(MAX(
    BT63
    + MAX(
      ROUNDDOWN((D64 - MAX(IFERROR(FILTER(D$24:D63, BT$24:BT63 &lt;&gt; BS$6, BT$23:BT62 = BS$6), 0))) * (60 * 60 * 24) / BS$9) - ROUNDDOWN((D63 - MAX(IFERROR(FILTER(D$23:D62, BT$23:BT62 &lt;&gt; BS$6, BT$22:BT61 ="&amp;" BS$6), 0))) * (60 * 60 * 24) / BS$9),
      0
    )
    - COUNTIF(BS64, ""&lt;&gt;-""),
  0), BS$6),
  BS$6 - COUNTIF(BS64, ""&lt;&gt;-"")
)"),3.0)</f>
        <v>3</v>
      </c>
      <c r="BU64" s="181" t="s">
        <v>1070</v>
      </c>
      <c r="BV64" s="181" t="s">
        <v>1070</v>
      </c>
      <c r="BW64" s="184">
        <f>IFERROR(__xludf.DUMMYFUNCTION("IF(
  ISNUMBER(BW63),
  MIN(MAX(
    BW63
    + MAX(
      ROUNDDOWN((D64 - MAX(IFERROR(FILTER(D$24:D63, BW$24:BW63 &lt;&gt; BV$6, BW$23:BW62 = BV$6), 0))) * (60 * 60 * 24) / BV$9) - ROUNDDOWN((D63 - MAX(IFERROR(FILTER(D$23:D62, BW$23:BW62 &lt;&gt; BV$6, BW$22:BW61 ="&amp;" BV$6), 0))) * (60 * 60 * 24) / BV$9),
      0
    )
    - COUNTIF(BV64, ""&lt;&gt;-""),
  0), BV$6),
  BV$6 - COUNTIF(BV64, ""&lt;&gt;-"")
)"),2.0)</f>
        <v>2</v>
      </c>
      <c r="BX64" s="185" t="s">
        <v>1070</v>
      </c>
      <c r="BY64" s="178" t="b">
        <v>0</v>
      </c>
      <c r="BZ64" s="180" t="b">
        <v>0</v>
      </c>
      <c r="CA64" s="180" t="b">
        <v>0</v>
      </c>
      <c r="CB64" s="180" t="b">
        <v>0</v>
      </c>
      <c r="CC64" s="180" t="b">
        <v>0</v>
      </c>
      <c r="CD64" s="180" t="b">
        <v>0</v>
      </c>
      <c r="CE64" s="180" t="b">
        <v>0</v>
      </c>
      <c r="CF64" s="180" t="b">
        <v>0</v>
      </c>
      <c r="CG64" s="180" t="b">
        <v>0</v>
      </c>
      <c r="CH64" s="180" t="b">
        <v>0</v>
      </c>
      <c r="CI64" s="180" t="b">
        <v>0</v>
      </c>
      <c r="CJ64" s="180" t="b">
        <v>0</v>
      </c>
      <c r="CK64" s="180" t="b">
        <v>0</v>
      </c>
      <c r="CL64" s="180" t="b">
        <v>0</v>
      </c>
      <c r="CM64" s="181" t="s">
        <v>1070</v>
      </c>
      <c r="CN64" s="181" t="s">
        <v>1070</v>
      </c>
      <c r="CO64" s="181" t="s">
        <v>1070</v>
      </c>
      <c r="CP64" s="181" t="s">
        <v>1070</v>
      </c>
      <c r="CQ64" s="185" t="s">
        <v>1070</v>
      </c>
      <c r="CR64" s="180" t="b">
        <v>0</v>
      </c>
      <c r="CS64" s="186" t="str">
        <f t="shared" si="14"/>
        <v>◇◇◇</v>
      </c>
      <c r="CT64" s="178" t="b">
        <v>0</v>
      </c>
      <c r="CU64" s="180" t="b">
        <v>0</v>
      </c>
      <c r="CV64" s="180" t="b">
        <v>0</v>
      </c>
      <c r="CW64" s="180" t="b">
        <v>0</v>
      </c>
      <c r="CX64" s="180" t="b">
        <v>0</v>
      </c>
      <c r="CY64" s="180" t="b">
        <v>0</v>
      </c>
      <c r="CZ64" s="180" t="b">
        <v>0</v>
      </c>
      <c r="DA64" s="180" t="b">
        <v>0</v>
      </c>
      <c r="DB64" s="180" t="b">
        <v>0</v>
      </c>
      <c r="DC64" s="180" t="b">
        <v>0</v>
      </c>
      <c r="DD64" s="181" t="s">
        <v>1070</v>
      </c>
      <c r="DE64" s="181" t="s">
        <v>1070</v>
      </c>
      <c r="DF64" s="181" t="s">
        <v>1070</v>
      </c>
      <c r="DG64" s="185" t="s">
        <v>1070</v>
      </c>
      <c r="DH64" s="180" t="b">
        <v>0</v>
      </c>
      <c r="DI64" s="187" t="str">
        <f>IFERROR(__xludf.DUMMYFUNCTION("SWITCH(
  IF(
    ISTEXT(DI63),
    IF (
      FIND(""○"", DI63&amp;""○"") &gt; 3,
      3,
      FIND(""○"", DI63&amp;""○"")
      + MAX(
        ROUNDDOWN(($D64 - MAX(IFERROR(FILTER(D$24:D63, DI$24:DI63 &lt;&gt; ""●●●"", DI$23:DI62 = ""●●●""), 0))) * (60 * 60 * 24) / 20"&amp;") - ROUNDDOWN(($D63 - MAX(IFERROR(FILTER(D$23:D62, DI$23:DI62 &lt;&gt; ""●●●"", DI$22:DI61 = ""●●●""), 0))) * (60 * 60 * 24) / 20),
        0
      ) - 1
    ) - COUNTIFS(CU64, ""=TRUE"", CU63, ""&lt;&gt;TRUE"") - COUNTIF(CZ64, ""=TRUE"") - COUNTIF({DD64,DE64}, ""&lt;&gt;-"&amp;""") + COUNTIF(DH64, ""=TRUE""),
    3
  ),
  0, ""○○○"", 1, ""●○○"", 2, ""●●○"", 3, ""●●●"", 4, ""●●●"", ""○○○""
)"),"●●●")</f>
        <v>●●●</v>
      </c>
      <c r="DJ64" s="188" t="b">
        <v>0</v>
      </c>
      <c r="DK64" s="189" t="b">
        <v>0</v>
      </c>
      <c r="DL64" s="190" t="b">
        <v>0</v>
      </c>
      <c r="DM64" s="190" t="b">
        <v>0</v>
      </c>
      <c r="DN64" s="190" t="b">
        <v>0</v>
      </c>
      <c r="DO64" s="190" t="b">
        <v>0</v>
      </c>
      <c r="DP64" s="190" t="b">
        <v>0</v>
      </c>
      <c r="DQ64" s="191" t="b">
        <v>0</v>
      </c>
      <c r="DR64" s="192" t="b">
        <v>0</v>
      </c>
      <c r="DS64" s="191" t="b">
        <v>0</v>
      </c>
      <c r="DT64" s="192" t="b">
        <v>0</v>
      </c>
      <c r="DU64" s="191" t="b">
        <v>0</v>
      </c>
      <c r="DV64" s="193" t="s">
        <v>1070</v>
      </c>
      <c r="DW64" s="194" t="b">
        <v>0</v>
      </c>
      <c r="DX64" s="194" t="b">
        <v>0</v>
      </c>
      <c r="DY64" s="195" t="b">
        <v>0</v>
      </c>
      <c r="DZ64" s="196" t="b">
        <v>0</v>
      </c>
      <c r="EA64" s="195" t="b">
        <v>0</v>
      </c>
      <c r="EB64" s="197" t="b">
        <v>0</v>
      </c>
      <c r="EC64" s="197" t="b">
        <v>0</v>
      </c>
      <c r="ED64" s="212" t="b">
        <v>0</v>
      </c>
      <c r="EE64" s="199">
        <f>IFERROR(__xludf.DUMMYFUNCTION("IFERROR(
   PRODUCT(
     MAP(
       INDEX(TRANSPOSE(UNIQUE(TRANSPOSE(FILTER({IF($F64=""Physical"", K$10:ED$10, IF($F64=""Magic"", K$11:ED$11, K$12:ED$12));K$4:ED$4;K64:ED64}, K64:ED64=TRUE)))), 1, 0),
       INDEX(TRANSPOSE(UNIQUE(TRANSPOSE(FILTER({IF($"&amp;"F64=""Physical"", K$18:ED$18, IF($F64=""Magic"", K$19:ED$19, K$20:ED$20));K$4:ED$4;K64:ED64}, K64:ED64=TRUE)))), 1, 0),
       INDEX(TRANSPOSE(UNIQUE(TRANSPOSE(FILTER({K$5:ED$5;K$4:ED$4;K64:ED64}, K64:ED64=TRUE)))), 1, 0),
       INDEX(TRANSPOSE(UNIQUE(TR"&amp;"ANSPOSE(FILTER({K$17:ED$17;K$4:ED$4;K64:ED64}, K64:ED64=TRUE)))), 1, 0),
       LAMBDA(
         mitigation,
         enhance,
         assign,
         precondition,
         IF(
           REGEXMATCH(assign, ""RANGE_PARTY|SINGLE_ENEMY|RANGE_ENEMY""),
  "&amp;"         IF(
             OR(ARRAYFORMULA((IF(precondition="""", FALSE, REGEXMATCH(K$4:ED$4, precondition))) * (K64:ED64=TRUE))),
             IF(ISNUMBER(enhance), enhance, 1),
             IF(ISNUMBER(mitigation), mitigation, 1)
           ),
          "&amp;" 1
         )
       )
     )
   ),
   1
 )"),1.0)</f>
        <v>1</v>
      </c>
      <c r="EF64" s="200">
        <f>IFERROR(__xludf.DUMMYFUNCTION("PRODUCT(
   MAP(
     K$14:ED$14,
     K$13:ED$13,
     K64:ED64,
     LAMBDA(
       buff,
       target,
       check,
       IF(
         AND(check=TRUE, REGEXMATCH(target, ""RANGE_AFFECTED_ALL|RANGE_EFFECTED_ALL""), ISNUMBER(buff)),
         buff,
   "&amp;"      1
       )
     )
   )
 )"),1.0)</f>
        <v>1</v>
      </c>
      <c r="EG64" s="200">
        <f>IFERROR(__xludf.DUMMYFUNCTION("PRODUCT(
   MAP(
     K$14:ED$14,
     K$13:ED$13,
     K64:ED64,
     LAMBDA(
       buff,
       target,
       check,
       IF(
         AND(check=TRUE, REGEXMATCH(target, ""RANGE_AFFECTED_GCD|RANGE_EFFECTED_GCD""), ISNUMBER(buff)),
         buff,
   "&amp;"      1
       )
     )
   )
 )"),1.0)</f>
        <v>1</v>
      </c>
      <c r="EH64" s="200">
        <f>IFERROR(__xludf.DUMMYFUNCTION("PRODUCT(
   MAP(
     K$3:ED$3,
     K$14:ED$14,
     K$13:ED$13,
     K64:ED64,
     LAMBDA(
       job,
       buff,
       target,
       check,
       IF(
         AND(check=TRUE, REGEXMATCH(target, ""SELF_EFFECTED_ALL""), ISNUMBER(buff), job=""白魔道士"""&amp;"),
         buff,
         1
       )
     )
   )
 )"),1.0)</f>
        <v>1</v>
      </c>
      <c r="EI64" s="200">
        <f>IFERROR(__xludf.DUMMYFUNCTION("PRODUCT(
   MAP(
     K$3:ED$3,
     K$14:ED$14,
     K$13:ED$13,
     K64:ED64,
     LAMBDA(
       job,
       buff,
       target,
       check,
       IF(
         AND(check=TRUE, REGEXMATCH(target, ""SELF_EFFECTED_GCD""), ISNUMBER(buff), job=""白魔道士"""&amp;"),
         buff,
         1
       )
     )
   )
 )"),1.0)</f>
        <v>1</v>
      </c>
      <c r="EJ64" s="200">
        <f>IFERROR(__xludf.DUMMYFUNCTION("PRODUCT(
   MAP(
     K$3:ED$3,
     K$14:ED$14,
     K$13:ED$13,
     K64:ED64,
     LAMBDA(
       job,
       buff,
       target,
       check,
       IF(
         AND(check=TRUE, REGEXMATCH(target, ""SELF_EFFECTED_ALL""), ISNUMBER(buff), job=""占星術師"""&amp;"),
         buff,
         1
       )
     )
   )
 )"),1.0)</f>
        <v>1</v>
      </c>
      <c r="EK64" s="200">
        <f>IFERROR(__xludf.DUMMYFUNCTION("PRODUCT(
   MAP(
     K$3:ED$3,
     K$14:ED$14,
     K$13:ED$13,
     K64:ED64,
     LAMBDA(
       job,
       buff,
       target,
       check,
       IF(
         AND(check=TRUE, REGEXMATCH(target, ""SELF_EFFECTED_GCD""), ISNUMBER(buff), job=""占星術師"""&amp;"),
         buff,
         1
       )
     )
   )
 )"),1.0)</f>
        <v>1</v>
      </c>
      <c r="EL64" s="200">
        <f>IFERROR(__xludf.DUMMYFUNCTION("PRODUCT(
   MAP(
     K$3:ED$3,
     K$14:ED$14,
     K$13:ED$13,
     K64:ED64,
     LAMBDA(
       job,
       buff,
       target,
       check,
       IF(
         AND(check=TRUE, REGEXMATCH(target, ""SELF_EFFECTED_ALL""), ISNUMBER(buff), job=""学者""),"&amp;"
         buff,
         1
       )
     )
   )
 )"),1.0)</f>
        <v>1</v>
      </c>
      <c r="EM64" s="200">
        <f>IFERROR(__xludf.DUMMYFUNCTION("PRODUCT(
   MAP(
     K$3:ED$3,
     K$14:ED$14,
     K$13:ED$13,
     K64:ED64,
     LAMBDA(
       job,
       buff,
       target,
       check,
       IF(
         AND(check=TRUE, REGEXMATCH(target, ""SELF_EFFECTED_GCD""), ISNUMBER(buff), job=""学者""),"&amp;"
         buff,
         1
       )
     )
   )
 )"),1.0)</f>
        <v>1</v>
      </c>
      <c r="EN64" s="200">
        <f>IFERROR(__xludf.DUMMYFUNCTION("PRODUCT(
   MAP(
     K$3:ED$3,
     K$14:ED$14,
     K$13:ED$13,
     K64:ED64,
     LAMBDA(
       job,
       buff,
       target,
       check,
       IF(
         AND(check=TRUE, REGEXMATCH(target, ""SELF_EFFECTED_ALL""), ISNUMBER(buff), job=""賢者""),"&amp;"
         buff,
         1
       )
     )
   )
 )"),1.0)</f>
        <v>1</v>
      </c>
      <c r="EO64" s="200">
        <f>IFERROR(__xludf.DUMMYFUNCTION("PRODUCT(
   MAP(
     K$3:ED$3,
     K$14:ED$14,
     K$13:ED$13,
     K64:ED64,
     LAMBDA(
       job,
       buff,
       target,
       check,
       IF(
         AND(check=TRUE, REGEXMATCH(target, ""SELF_EFFECTED_GCD""), ISNUMBER(buff), job=""賢者""),"&amp;"
         buff,
         1
       )
     )
   )
 )"),1.0)</f>
        <v>1</v>
      </c>
      <c r="EP64" s="201">
        <f t="shared" si="3"/>
        <v>0</v>
      </c>
      <c r="EQ64" s="201">
        <f>IFERROR(__xludf.DUMMYFUNCTION("SUM(
   MAP(
     K$4:ED$4,
     K$3:ED$3,
     K$7:ED$7,
     K$15:ED$15,
     K$16:ED$16,
     K$21:ED$21,
     K$5:ED$5,
     K$17:ED$17,
     K64:ED64,
     LAMBDA(
       name,
       job,
       abillity,
       buff,
       barrier,
       enhance,"&amp;"
       assign,
       precondition,
       check,
       SWITCH(
         name,
         ""シェイクオフ"", IF(check=TRUE, buff + (0.02 * COUNTIF(ARRAYFORMULA((REGEXMATCH($K$4:$ED$4, ""スリル・オブ・バトル|ヴェンジェンス|原初の血気|ダムネーション"")) * (K64:ED64=TRUE)), 1)), 0),
         "&amp;"""インプロビゼーションフィニッシュ(踊りの激情0)"", IF(ISNUMBER(check), INDEX(Skill!$AJ:$AJ, MATCH(SUBSTITUTE(DV$4, 0, check), Skill!$C:$C, 0)), 0),
         IF(
           AND(check=TRUE, REGEXMATCH(assign, ""RANGE_PARTY"")),
           IF(
             OR(ARRAYFORMULA((IF(pr"&amp;"econdition="""", FALSE, REGEXMATCH($K$4:$ED$4, precondition))) * (K64:ED64=TRUE))),
             enhance,
             IF(barrier="""", buff, barrier)
           ),
           0
         )
       ) *
       SWITCH(
         job,
         ""ナイト"", EY$24,
 "&amp;"        ""戦士"", FD$24,
         ""踊り子"", ET$24,
         ""ピクトマンサー"", ET$24,
         ""白魔道士"", EF64 * EH64 * IF(abillity, 1, EG64 * EI64) * (Option!$D$22 * 0.81 / 100),
         ""占星術師"", EF64 * EJ64 * IF(abillity, 1, EG64 * EK64) * (Option!$D$23 * 0.81 "&amp;"/ 100),
         ""学者"", EF64 * EL64 * IF(abillity, 1, EG64 * EM64) * (Option!$D$24 * 0.81 / 100),
         ""賢者"", EF64 * EN64 * IF(abillity, 1, EG64 * EO64) * (Option!$D$25 * 0.81 / 100),
         1
       )
     )
   )
 )"),0.0)</f>
        <v>0</v>
      </c>
      <c r="ER64" s="202">
        <f t="shared" si="4"/>
        <v>0</v>
      </c>
      <c r="ES64" s="203">
        <f t="shared" si="5"/>
        <v>0</v>
      </c>
      <c r="ET64" s="231" t="str">
        <f>IFERROR(__xludf.DUMMYFUNCTION("IFS(
  EP64 &gt; $ET$24 + EQ64,
  SPARKLINE({ 1, 0 }, {""charttype"",""bar"";""max"", 1;""color1"",Option!$D$30;""color2"",Option!$D$30}),
  EP64 &lt; EQ64,
  SPARKLINE({EQ64 - EP64, $ET$24 - (EQ64 - EP64)}, {""charttype"",""bar"";""max"",$ET$24;""color1"",Opti"&amp;"on!$D$28;""color2"",Option!$D$29}),
  EP64 &gt;= EQ64,
  SPARKLINE({$ET$24 + EQ64 - EP64,EP64 - EQ64}, {""charttype"",""bar"";""max"",$ET$24;""color1"",Option!$D$29;""color2"",Option!$D$30})
)"),"")</f>
        <v/>
      </c>
      <c r="EU64" s="205">
        <f>IFERROR(__xludf.DUMMYFUNCTION("PRODUCT(
   MAP(
     IF($F64=""Physical"", K$10:ED$10, IF($F64=""Magic"", K$11:ED$11, K$12:ED$12)),
     IF($F64=""Physical"", K$18:ED$18, IF($F64=""Magic"", K$19:ED$19, K$20:ED$20)),
     K$3:ED$3,
     K$5:ED$5,
     K$17:ED$17,
     K64:ED64,
     LAM"&amp;"BDA(
       mitigation,
       enhance,
       job,
       assign,
       precondition,
       check,
       IF(
         OR(AND(check=TRUE, REGEXMATCH(assign, ""SELF""), job=""ナイト""), AND(check=Option!$E$13, REGEXMATCH(assign, ""SINGLE_PARTY""))),
      "&amp;"   IF(
           OR(ARRAYFORMULA((IF(precondition="""", FALSE, REGEXMATCH($K$4:$ED$4, precondition))) * (K64:ED64=TRUE))),
           enhance,
           mitigation
         ),
         1
       )
     )
   )
 ) * EE64"),1.0)</f>
        <v>1</v>
      </c>
      <c r="EV64" s="206">
        <f t="shared" si="6"/>
        <v>0</v>
      </c>
      <c r="EW64" s="205">
        <f>IFERROR(__xludf.DUMMYFUNCTION("PRODUCT(
   MAP(
     K$3:ED$3,
     K$14:ED$14,
     K$13:ED$13,
     K64:ED64,
     LAMBDA(
       job,
       buff,
       target,
       check,
       IF(
         OR(AND(check=TRUE, REGEXMATCH(target, ""SELF_AFFECTED_ALL""), job=""ナイト""), AND(check=O"&amp;"ption!$E$13, REGEXMATCH(target, ""SINGLE_AFFECTED_ALL""))),
         buff,
         1
       )
     )
   )
 )"),1.0)</f>
        <v>1</v>
      </c>
      <c r="EX64" s="206">
        <f>IFERROR(__xludf.DUMMYFUNCTION("SUM(
   MAP(
     K$3:ED$3,
     K$7:ED$7,
     K$15:ED$15,
     K$16:ED$16,
     K$21:ED$21,
     K$5:ED$5,
     K$17:ED$17,
     K64:ED64,
     LAMBDA(
       job,
       abillity,
       buff,
       barrier,
       enhance,
       assign,
       preco"&amp;"ndition,
       check,
       IF(
         OR(AND(check=TRUE, REGEXMATCH(assign, ""SELF""), job=""ナイト""), AND(check=Option!$E$13, REGEXMATCH(assign, ""SINGLE_PARTY""))),
         IF(
           OR(ARRAYFORMULA((IF(precondition="""", FALSE, REGEXMATCH($K$4"&amp;":$ED$4, precondition))) * (K64:ED64=TRUE))),
           enhance,
           IF(barrier="""", buff, barrier)
         ),
         0
       ) *
       SWITCH(
         job,
         ""暗黒騎士"", EY$24,
         ""白魔道士"", EF64 * EH64 * EW64 * IF(abillity, 1, EG"&amp;"64 * EI64) * (Option!$D$22 * 0.81 / 100),
         ""占星術師"", EF64 * EJ64 * EW64 * IF(abillity, 1, EG64 * EK64) * (Option!$D$23 * 0.81 / 100),
         ""学者"", EF64 * EL64 * EW64 * IF(abillity, 1, EG64 * EM64) * (Option!$D$24 * 0.81 / 100),
         ""賢者"""&amp;", EF64 * EN64 * EW64 * IF(abillity, 1, EG64 * EO64) * (Option!$D$25 * 0.81 / 100),
         1
       )
     )
   )
 ) + EQ64"),0.0)</f>
        <v>0</v>
      </c>
      <c r="EY64" s="232">
        <f t="shared" si="7"/>
        <v>0</v>
      </c>
      <c r="EZ64" s="205">
        <f>IFERROR(__xludf.DUMMYFUNCTION("PRODUCT(
   MAP(
     IF($F64=""Physical"", K$10:ED$10, IF($F64=""Magic"", K$11:ED$11, K$12:ED$12)),
     IF($F64=""Physical"", K$18:ED$18, IF($F64=""Magic"", K$19:ED$19, K$20:ED$20)),
     K$3:ED$3,
     K$5:ED$5,
     K$17:ED$17,
     K64:ED64,
     LAM"&amp;"BDA(
       mitigation,
       enhance,
       job,
       assign,
       precondition,
       check,
       IF(
         OR(AND(check=TRUE, REGEXMATCH(assign, ""SELF""), job=""戦士""), AND(check=Option!$F$13, REGEXMATCH(assign, ""SINGLE_PARTY""))),
       "&amp;"  IF(
           OR(ARRAYFORMULA((IF(precondition="""", FALSE, REGEXMATCH($K$4:$ED$4, precondition))) * (K64:ED64=TRUE))),
           enhance,
           mitigation
         ),
         1
       )
     )
   )
 ) * EE64"),1.0)</f>
        <v>1</v>
      </c>
      <c r="FA64" s="206">
        <f t="shared" si="8"/>
        <v>0</v>
      </c>
      <c r="FB64" s="205">
        <f>IFERROR(__xludf.DUMMYFUNCTION("PRODUCT(
   MAP(
     K$3:ED$3,
     K$14:ED$14,
     K$13:ED$13,
     K64:ED64,
     LAMBDA(
       job,
       buff,
       target,
       check,
       IF(
         OR(AND(check=TRUE, REGEXMATCH(target, ""SELF_AFFECTED_ALL""), job=""戦士""), AND(check=Op"&amp;"tion!$F$13, REGEXMATCH(target, ""SINGLE_AFFECTED_ALL""))),
         buff,
         1
       )
     )
   )
 )"),1.0)</f>
        <v>1</v>
      </c>
      <c r="FC64" s="206">
        <f>IFERROR(__xludf.DUMMYFUNCTION("SUM(
   MAP(
     K$3:ED$3,
     K$7:ED$7,
     K$15:ED$15,
     K$16:ED$16,
     K$21:ED$21,
     K$5:ED$5,
     K$17:ED$17,
     K64:ED64,
     LAMBDA(
       job,
       abillity,
       buff,
       barrier,
       enhance,
       assign,
       preco"&amp;"ndition,
       check,
       IF(
         OR(AND(check=TRUE, REGEXMATCH(assign, ""SELF""), job=""戦士""), AND(check=Option!$F$13, REGEXMATCH(assign, ""SINGLE_PARTY""))),
         IF(
           OR(ARRAYFORMULA((IF(precondition="""", FALSE, REGEXMATCH($K$4:"&amp;"$ED$4, precondition))) * (K64:ED64=TRUE))),
           enhance,
           IF(barrier="""", buff, barrier)
         ),
         0
       ) *
       SWITCH(
         job,
         ""暗黒騎士"", FD$24,
         ""白魔道士"", EF64 * EH64 * FB64 * IF(abillity, 1, EG6"&amp;"4 * EI64) * (Option!$D$22 * 0.81 / 100),
         ""占星術師"", EF64 * EJ64 * FFB64 * IF(abillity, 1, EG64 * EK64) * (Option!$D$23 * 0.81 / 100),
         ""学者"", EF64 * EL64 * FB64 * IF(abillity, 1, EG64 * EM64) * (Option!$D$24 * 0.81 / 100),
         ""賢者"""&amp;", EF64 * EN64 * FB64 * IF(abillity, 1, EG64 * EO64) * (Option!$D$25 * 0.81 / 100),
         1
       )
     )
   )
 ) + EQ64"),0.0)</f>
        <v>0</v>
      </c>
      <c r="FD64" s="206">
        <f t="shared" si="9"/>
        <v>0</v>
      </c>
      <c r="FE64" s="205">
        <f>IFERROR(__xludf.DUMMYFUNCTION("PRODUCT(
   MAP(
     IF($F64=""Physical"", K$10:ED$10, IF($F64=""Magic"", K$11:ED$11, K$12:ED$12)),
     IF($F64=""Physical"", K$18:ED$18, IF($F64=""Magic"", K$19:ED$19, K$20:ED$20)),
     K$3:ED$3,
     K$5:ED$5,
     K$17:ED$17,
     K64:ED64,
     LAM"&amp;"BDA(
       mitigation,
       enhance,
       job,
       assign,
       precondition,
       check,
       IF(
         OR(AND(check=TRUE, REGEXMATCH(assign, ""SELF""), job=""暗黒騎士""), AND(check=Option!$G$13, REGEXMATCH(assign, ""SINGLE_PARTY""))),
     "&amp;"    IF(
           OR(ARRAYFORMULA((IF(precondition="""", FALSE, REGEXMATCH($K$4:$ED$4, precondition))) * (K64:ED64=TRUE))),
           enhance,
           mitigation
         ),
         1
       )
     )
   )
 ) * EE64"),1.0)</f>
        <v>1</v>
      </c>
      <c r="FF64" s="206">
        <f t="shared" si="10"/>
        <v>0</v>
      </c>
      <c r="FG64" s="205">
        <f>IFERROR(__xludf.DUMMYFUNCTION("PRODUCT(
   MAP(
     K$3:ED$3,
     K$14:ED$14,
     K$13:ED$13,
     K64:ED64,
     LAMBDA(
       job,
       buff,
       target,
       check,
       IF(
         OR(AND(check=TRUE, REGEXMATCH(target, ""SELF_AFFECTED_ALL""), job=""暗黒騎士""), AND(check="&amp;"Option!$G$13, REGEXMATCH(target, ""SINGLE_AFFECTED_ALL""))),
         buff,
         1
       )
     )
   )
 )"),1.0)</f>
        <v>1</v>
      </c>
      <c r="FH64" s="206">
        <f>IFERROR(__xludf.DUMMYFUNCTION("SUM(
   MAP(
     K$3:ED$3,
     K$7:ED$7,
     K$15:ED$15,
     K$16:ED$16,
     K$21:ED$21,
     K$5:ED$5,
     K$17:ED$17,
     K64:ED64,
     LAMBDA(
       job,
       abillity,
       buff,
       barrier,
       enhance,
       assign,
       preco"&amp;"ndition,
       check,
       IF(
         OR(AND(check=TRUE, REGEXMATCH(assign, ""SELF""), job=""暗黒騎士""), AND(check=Option!$G$13, REGEXMATCH(assign, ""SINGLE_PARTY""))),
         IF(
           OR(ARRAYFORMULA((IF(precondition="""", FALSE, REGEXMATCH($K$"&amp;"4:$ED$4, precondition))) * (K64:ED64=TRUE))),
           enhance,
           IF(barrier="""", buff, barrier)
         ),
         0
       ) *
       SWITCH(
         job,
         ""暗黒騎士"", FI$24,
         ""白魔道士"", EF64 * EH64 * FG64 * IF(abillity, 1, E"&amp;"G64 * EI64) * (Option!$D$22 * 0.81 / 100),
         ""占星術師"", EF64 * EJ64 * FG64 * IF(abillity, 1, EG64 * EK64) * (Option!$D$23 * 0.81 / 100),
         ""学者"", EF64 * EL64 * FG64 * IF(abillity, 1, EG64 * EM64) * (Option!$D$24 * 0.81 / 100),
         ""賢者"&amp;""", EF64 * EN64 * FG64 * IF(abillity, 1, EG64 * EO64) * (Option!$D$25 * 0.81 / 100),
         1
       )
     )
   )
 ) + EQ64"),0.0)</f>
        <v>0</v>
      </c>
      <c r="FI64" s="206">
        <f t="shared" si="11"/>
        <v>0</v>
      </c>
      <c r="FJ64" s="205">
        <f>IFERROR(__xludf.DUMMYFUNCTION("PRODUCT(
   MAP(
     IF($F64=""Physical"", K$10:ED$10, IF($F64=""Magic"", K$11:ED$11, K$12:ED$12)),
     IF($F64=""Physical"", K$18:ED$18, IF($F64=""Magic"", K$19:ED$19, K$20:ED$20)),
     K$3:ED$3,
     K$5:ED$5,
     K$17:ED$17,
     K64:ED64,
     LAM"&amp;"BDA(
       mitigation,
       enhance,
       job,
       assign,
       precondition,
       check,
       IF(
         OR(AND(check=TRUE, REGEXMATCH(assign, ""SELF""), job=""ガンブレイカー""), AND(check=Option!$H$13, REGEXMATCH(assign, ""SINGLE_PARTY""))),
  "&amp;"       IF(
           OR(ARRAYFORMULA((IF(precondition="""", FALSE, REGEXMATCH($K$4:$ED$4, precondition))) * (K64:ED64=TRUE))),
           enhance,
           mitigation
         ),
         1
       )
     )
   )
 ) * EE64"),1.0)</f>
        <v>1</v>
      </c>
      <c r="FK64" s="206">
        <f t="shared" si="12"/>
        <v>0</v>
      </c>
      <c r="FL64" s="205">
        <f>IFERROR(__xludf.DUMMYFUNCTION("PRODUCT(
   MAP(
     K$3:ED$3,
     K$14:ED$14,
     K$13:ED$13,
     K64:ED64,
     LAMBDA(
       job,
       buff,
       target,
       check,
       IF(
         OR(AND(check=TRUE, REGEXMATCH(target, ""SELF_AFFECTED_ALL""), job=""ガンブレイカー""), AND(che"&amp;"ck=Option!$H$13, REGEXMATCH(target, ""SINGLE_AFFECTED_ALL""))),
         buff,
         1
       )
     )
   )
 )"),1.0)</f>
        <v>1</v>
      </c>
      <c r="FM64" s="206">
        <f>IFERROR(__xludf.DUMMYFUNCTION("SUM(
   MAP(
     K$3:ED$3,
     K$7:ED$7,
     K$15:ED$15,
     K$16:ED$16,
     K$21:ED$21,
     K$5:ED$5,
     K$17:ED$17,
     K64:ED64,
     LAMBDA(
       job,
       abillity,
       buff,
       barrier,
       enhance,
       assign,
       preco"&amp;"ndition,
       check,
       IF(
         OR(AND(check=TRUE, REGEXMATCH(assign, ""SELF""), job=""ガンブレイカー""), AND(check=Option!$H$13, REGEXMATCH(assign, ""SINGLE_PARTY""))),
         IF(
           OR(ARRAYFORMULA((IF(precondition="""", FALSE, REGEXMATCH("&amp;"$K$4:$ED$4, precondition))) * (K64:ED64=TRUE))),
           enhance,
           IF(barrier="""", buff, barrier)
         ),
         0
       ) *
       SWITCH(
         job,
         ""暗黒騎士"", FN$24,
         ""白魔道士"", EF64 * EH64 * FL64 * IF(abillity, 1"&amp;", EG64 * EI64) * (Option!$D$22 * 0.81 / 100),
         ""占星術師"", EF64 * EJ64 * FL64 * IF(abillity, 1, EG64 * EK64) * (Option!$D$23 * 0.81 / 100),
         ""学者"", EF64 * EL64 * FL64 * IF(abillity, 1, EG64 * EM64) * (Option!$D$24 * 0.81 / 100),
         """&amp;"賢者"", EF64 * EN64 * FL64 * IF(abillity, 1, EG64 * EO64) * (Option!$D$25 * 0.81 / 100),
         1
       )
     )
   )
 ) + EQ64"),0.0)</f>
        <v>0</v>
      </c>
      <c r="FN64" s="206">
        <f t="shared" si="13"/>
        <v>0</v>
      </c>
      <c r="FO64" s="213"/>
    </row>
    <row r="65">
      <c r="B65" s="229"/>
      <c r="C65" s="217"/>
      <c r="D65" s="236"/>
      <c r="E65" s="238"/>
      <c r="F65" s="167"/>
      <c r="G65" s="168" t="str">
        <f t="shared" si="2"/>
        <v/>
      </c>
      <c r="H65" s="169"/>
      <c r="I65" s="169"/>
      <c r="J65" s="169"/>
      <c r="K65" s="170" t="b">
        <v>0</v>
      </c>
      <c r="L65" s="170" t="b">
        <v>0</v>
      </c>
      <c r="M65" s="170" t="b">
        <v>0</v>
      </c>
      <c r="N65" s="171" t="s">
        <v>1070</v>
      </c>
      <c r="O65" s="172" t="b">
        <v>0</v>
      </c>
      <c r="P65" s="173" t="b">
        <v>0</v>
      </c>
      <c r="Q65" s="173" t="b">
        <v>0</v>
      </c>
      <c r="R65" s="173" t="b">
        <v>0</v>
      </c>
      <c r="S65" s="174" t="b">
        <v>0</v>
      </c>
      <c r="T65" s="175" t="b">
        <v>0</v>
      </c>
      <c r="U65" s="173" t="b">
        <v>0</v>
      </c>
      <c r="V65" s="171" t="s">
        <v>1070</v>
      </c>
      <c r="W65" s="172" t="b">
        <v>0</v>
      </c>
      <c r="X65" s="173" t="b">
        <v>0</v>
      </c>
      <c r="Y65" s="173" t="b">
        <v>0</v>
      </c>
      <c r="Z65" s="173" t="b">
        <v>0</v>
      </c>
      <c r="AA65" s="174" t="b">
        <v>0</v>
      </c>
      <c r="AB65" s="174" t="b">
        <v>0</v>
      </c>
      <c r="AC65" s="175" t="b">
        <v>0</v>
      </c>
      <c r="AD65" s="173" t="b">
        <v>0</v>
      </c>
      <c r="AE65" s="176" t="s">
        <v>1070</v>
      </c>
      <c r="AF65" s="171" t="s">
        <v>1070</v>
      </c>
      <c r="AG65" s="177">
        <f>IFERROR(__xludf.DUMMYFUNCTION("IF(
  ISNUMBER(AG64),
  MIN(MAX(
    AG64
    + MAX(
      ROUNDDOWN(($D65 - MAX(IFERROR(FILTER($D$24:$D64, AG$24:AG64 &lt;&gt; AF$6, AG$23:AG63 = AF$6), 0))) * (60 * 60 * 24) / AF$9) - ROUNDDOWN(($D64 - MAX(IFERROR(FILTER($D$23:$D63, AG$23:AG63 &lt;&gt; AF$6, AG$22:"&amp;"AG62 = AF$6), 0))) * (60 * 60 * 24) / 60),
      0
    )
    - COUNTIF(AF65, ""&lt;&gt;-""),
  0), AF$6),
  AF$6 - COUNTIF(AF65, ""&lt;&gt;-"")
)"),2.0)</f>
        <v>2</v>
      </c>
      <c r="AH65" s="173" t="b">
        <v>0</v>
      </c>
      <c r="AI65" s="173" t="b">
        <v>0</v>
      </c>
      <c r="AJ65" s="173" t="b">
        <v>0</v>
      </c>
      <c r="AK65" s="174" t="b">
        <v>0</v>
      </c>
      <c r="AL65" s="175" t="b">
        <v>0</v>
      </c>
      <c r="AM65" s="173" t="b">
        <v>0</v>
      </c>
      <c r="AN65" s="171" t="s">
        <v>1070</v>
      </c>
      <c r="AO65" s="173" t="b">
        <v>0</v>
      </c>
      <c r="AP65" s="173" t="b">
        <v>0</v>
      </c>
      <c r="AQ65" s="173" t="b">
        <v>0</v>
      </c>
      <c r="AR65" s="174" t="b">
        <v>0</v>
      </c>
      <c r="AS65" s="178" t="b">
        <v>0</v>
      </c>
      <c r="AT65" s="179" t="b">
        <v>0</v>
      </c>
      <c r="AU65" s="180" t="b">
        <v>0</v>
      </c>
      <c r="AV65" s="180" t="b">
        <v>0</v>
      </c>
      <c r="AW65" s="180" t="b">
        <v>0</v>
      </c>
      <c r="AX65" s="180" t="b">
        <v>0</v>
      </c>
      <c r="AY65" s="181" t="s">
        <v>1070</v>
      </c>
      <c r="AZ65" s="181" t="s">
        <v>1070</v>
      </c>
      <c r="BA65" s="184">
        <f>IFERROR(__xludf.DUMMYFUNCTION("IF(
  ISNUMBER(BA64),
  MIN(MAX(
    BA64
    + MAX(
      ROUNDDOWN((D65 - MAX(IFERROR(FILTER(D$24:D64, BA$24:BA64 &lt;&gt; AZ$6, BA$23:BA63 = AZ$6), 0))) * (60 * 60 * 24) / AZ$9) - ROUNDDOWN((D64 - MAX(IFERROR(FILTER(D$23:D63, BA$23:BA63 &lt;&gt; AZ$6, BA$22:BA62 ="&amp;" AZ$6), 0))) * (60 * 60 * 24) / AZ$9),
      0
    )
    - COUNTIF(AZ65, ""&lt;&gt;-""),
  0), AZ$6),
  AZ$6 - COUNTIF(AZ65, ""&lt;&gt;-"")
)"),2.0)</f>
        <v>2</v>
      </c>
      <c r="BB65" s="181" t="s">
        <v>1070</v>
      </c>
      <c r="BC65" s="183">
        <f>IFERROR(__xludf.DUMMYFUNCTION("IF(
  ISNUMBER(BC64),
  MIN(MAX(
    BC64
    + MAX(
      ROUNDDOWN(($D65 - MAX(IFERROR(FILTER($D$24:$D64, BC$24:BC64 &lt;&gt; BB$6, BC$23:BC63 = BB$6), 0))) * (60 * 60 * 24) / BB$9) - ROUNDDOWN(($D64 - MAX(IFERROR(FILTER($D$23:$D63, BC$23:BC63 &lt;&gt; BB$6, BC$22:"&amp;"BC62 = BB$6), 0))) * (60 * 60 * 24) / 60),
      0
    )
    - COUNTIF(BB65, ""&lt;&gt;-""),
  0), BB$6),
  BB$6 - COUNTIF(BB65, ""&lt;&gt;-"")
)"),2.0)</f>
        <v>2</v>
      </c>
      <c r="BD65" s="181" t="s">
        <v>1070</v>
      </c>
      <c r="BE65" s="178" t="b">
        <v>0</v>
      </c>
      <c r="BF65" s="180" t="b">
        <v>0</v>
      </c>
      <c r="BG65" s="180" t="b">
        <v>0</v>
      </c>
      <c r="BH65" s="180" t="b">
        <v>0</v>
      </c>
      <c r="BI65" s="180" t="b">
        <v>0</v>
      </c>
      <c r="BJ65" s="180" t="b">
        <v>0</v>
      </c>
      <c r="BK65" s="180" t="b">
        <v>0</v>
      </c>
      <c r="BL65" s="180" t="b">
        <v>0</v>
      </c>
      <c r="BM65" s="180" t="b">
        <v>0</v>
      </c>
      <c r="BN65" s="180" t="b">
        <v>0</v>
      </c>
      <c r="BO65" s="181" t="s">
        <v>1070</v>
      </c>
      <c r="BP65" s="181" t="s">
        <v>1070</v>
      </c>
      <c r="BQ65" s="181" t="s">
        <v>1070</v>
      </c>
      <c r="BR65" s="181" t="s">
        <v>1070</v>
      </c>
      <c r="BS65" s="181" t="s">
        <v>1070</v>
      </c>
      <c r="BT65" s="184">
        <f>IFERROR(__xludf.DUMMYFUNCTION("IF(
  ISNUMBER(BT64),
  MIN(MAX(
    BT64
    + MAX(
      ROUNDDOWN((D65 - MAX(IFERROR(FILTER(D$24:D64, BT$24:BT64 &lt;&gt; BS$6, BT$23:BT63 = BS$6), 0))) * (60 * 60 * 24) / BS$9) - ROUNDDOWN((D64 - MAX(IFERROR(FILTER(D$23:D63, BT$23:BT63 &lt;&gt; BS$6, BT$22:BT62 ="&amp;" BS$6), 0))) * (60 * 60 * 24) / BS$9),
      0
    )
    - COUNTIF(BS65, ""&lt;&gt;-""),
  0), BS$6),
  BS$6 - COUNTIF(BS65, ""&lt;&gt;-"")
)"),3.0)</f>
        <v>3</v>
      </c>
      <c r="BU65" s="181" t="s">
        <v>1070</v>
      </c>
      <c r="BV65" s="181" t="s">
        <v>1070</v>
      </c>
      <c r="BW65" s="184">
        <f>IFERROR(__xludf.DUMMYFUNCTION("IF(
  ISNUMBER(BW64),
  MIN(MAX(
    BW64
    + MAX(
      ROUNDDOWN((D65 - MAX(IFERROR(FILTER(D$24:D64, BW$24:BW64 &lt;&gt; BV$6, BW$23:BW63 = BV$6), 0))) * (60 * 60 * 24) / BV$9) - ROUNDDOWN((D64 - MAX(IFERROR(FILTER(D$23:D63, BW$23:BW63 &lt;&gt; BV$6, BW$22:BW62 ="&amp;" BV$6), 0))) * (60 * 60 * 24) / BV$9),
      0
    )
    - COUNTIF(BV65, ""&lt;&gt;-""),
  0), BV$6),
  BV$6 - COUNTIF(BV65, ""&lt;&gt;-"")
)"),2.0)</f>
        <v>2</v>
      </c>
      <c r="BX65" s="185" t="s">
        <v>1070</v>
      </c>
      <c r="BY65" s="178" t="b">
        <v>0</v>
      </c>
      <c r="BZ65" s="180" t="b">
        <v>0</v>
      </c>
      <c r="CA65" s="180" t="b">
        <v>0</v>
      </c>
      <c r="CB65" s="180" t="b">
        <v>0</v>
      </c>
      <c r="CC65" s="180" t="b">
        <v>0</v>
      </c>
      <c r="CD65" s="180" t="b">
        <v>0</v>
      </c>
      <c r="CE65" s="180" t="b">
        <v>0</v>
      </c>
      <c r="CF65" s="180" t="b">
        <v>0</v>
      </c>
      <c r="CG65" s="180" t="b">
        <v>0</v>
      </c>
      <c r="CH65" s="180" t="b">
        <v>0</v>
      </c>
      <c r="CI65" s="180" t="b">
        <v>0</v>
      </c>
      <c r="CJ65" s="180" t="b">
        <v>0</v>
      </c>
      <c r="CK65" s="180" t="b">
        <v>0</v>
      </c>
      <c r="CL65" s="180" t="b">
        <v>0</v>
      </c>
      <c r="CM65" s="181" t="s">
        <v>1070</v>
      </c>
      <c r="CN65" s="181" t="s">
        <v>1070</v>
      </c>
      <c r="CO65" s="181" t="s">
        <v>1070</v>
      </c>
      <c r="CP65" s="181" t="s">
        <v>1070</v>
      </c>
      <c r="CQ65" s="185" t="s">
        <v>1070</v>
      </c>
      <c r="CR65" s="180" t="b">
        <v>0</v>
      </c>
      <c r="CS65" s="186" t="str">
        <f t="shared" si="14"/>
        <v>◇◇◇</v>
      </c>
      <c r="CT65" s="178" t="b">
        <v>0</v>
      </c>
      <c r="CU65" s="180" t="b">
        <v>0</v>
      </c>
      <c r="CV65" s="180" t="b">
        <v>0</v>
      </c>
      <c r="CW65" s="180" t="b">
        <v>0</v>
      </c>
      <c r="CX65" s="180" t="b">
        <v>0</v>
      </c>
      <c r="CY65" s="180" t="b">
        <v>0</v>
      </c>
      <c r="CZ65" s="180" t="b">
        <v>0</v>
      </c>
      <c r="DA65" s="180" t="b">
        <v>0</v>
      </c>
      <c r="DB65" s="180" t="b">
        <v>0</v>
      </c>
      <c r="DC65" s="180" t="b">
        <v>0</v>
      </c>
      <c r="DD65" s="181" t="s">
        <v>1070</v>
      </c>
      <c r="DE65" s="181" t="s">
        <v>1070</v>
      </c>
      <c r="DF65" s="181" t="s">
        <v>1070</v>
      </c>
      <c r="DG65" s="185" t="s">
        <v>1070</v>
      </c>
      <c r="DH65" s="180" t="b">
        <v>0</v>
      </c>
      <c r="DI65" s="187" t="str">
        <f>IFERROR(__xludf.DUMMYFUNCTION("SWITCH(
  IF(
    ISTEXT(DI64),
    IF (
      FIND(""○"", DI64&amp;""○"") &gt; 3,
      3,
      FIND(""○"", DI64&amp;""○"")
      + MAX(
        ROUNDDOWN(($D65 - MAX(IFERROR(FILTER(D$24:D64, DI$24:DI64 &lt;&gt; ""●●●"", DI$23:DI63 = ""●●●""), 0))) * (60 * 60 * 24) / 20"&amp;") - ROUNDDOWN(($D64 - MAX(IFERROR(FILTER(D$23:D63, DI$23:DI63 &lt;&gt; ""●●●"", DI$22:DI62 = ""●●●""), 0))) * (60 * 60 * 24) / 20),
        0
      ) - 1
    ) - COUNTIFS(CU65, ""=TRUE"", CU64, ""&lt;&gt;TRUE"") - COUNTIF(CZ65, ""=TRUE"") - COUNTIF({DD65,DE65}, ""&lt;&gt;-"&amp;""") + COUNTIF(DH65, ""=TRUE""),
    3
  ),
  0, ""○○○"", 1, ""●○○"", 2, ""●●○"", 3, ""●●●"", 4, ""●●●"", ""○○○""
)"),"●●●")</f>
        <v>●●●</v>
      </c>
      <c r="DJ65" s="188" t="b">
        <v>0</v>
      </c>
      <c r="DK65" s="189" t="b">
        <v>0</v>
      </c>
      <c r="DL65" s="190" t="b">
        <v>0</v>
      </c>
      <c r="DM65" s="190" t="b">
        <v>0</v>
      </c>
      <c r="DN65" s="190" t="b">
        <v>0</v>
      </c>
      <c r="DO65" s="190" t="b">
        <v>0</v>
      </c>
      <c r="DP65" s="190" t="b">
        <v>0</v>
      </c>
      <c r="DQ65" s="191" t="b">
        <v>0</v>
      </c>
      <c r="DR65" s="192" t="b">
        <v>0</v>
      </c>
      <c r="DS65" s="191" t="b">
        <v>0</v>
      </c>
      <c r="DT65" s="192" t="b">
        <v>0</v>
      </c>
      <c r="DU65" s="191" t="b">
        <v>0</v>
      </c>
      <c r="DV65" s="193" t="s">
        <v>1070</v>
      </c>
      <c r="DW65" s="194" t="b">
        <v>0</v>
      </c>
      <c r="DX65" s="194" t="b">
        <v>0</v>
      </c>
      <c r="DY65" s="195" t="b">
        <v>0</v>
      </c>
      <c r="DZ65" s="196" t="b">
        <v>0</v>
      </c>
      <c r="EA65" s="195" t="b">
        <v>0</v>
      </c>
      <c r="EB65" s="197" t="b">
        <v>0</v>
      </c>
      <c r="EC65" s="197" t="b">
        <v>0</v>
      </c>
      <c r="ED65" s="212" t="b">
        <v>0</v>
      </c>
      <c r="EE65" s="199">
        <f>IFERROR(__xludf.DUMMYFUNCTION("IFERROR(
   PRODUCT(
     MAP(
       INDEX(TRANSPOSE(UNIQUE(TRANSPOSE(FILTER({IF($F65=""Physical"", K$10:ED$10, IF($F65=""Magic"", K$11:ED$11, K$12:ED$12));K$4:ED$4;K65:ED65}, K65:ED65=TRUE)))), 1, 0),
       INDEX(TRANSPOSE(UNIQUE(TRANSPOSE(FILTER({IF($"&amp;"F65=""Physical"", K$18:ED$18, IF($F65=""Magic"", K$19:ED$19, K$20:ED$20));K$4:ED$4;K65:ED65}, K65:ED65=TRUE)))), 1, 0),
       INDEX(TRANSPOSE(UNIQUE(TRANSPOSE(FILTER({K$5:ED$5;K$4:ED$4;K65:ED65}, K65:ED65=TRUE)))), 1, 0),
       INDEX(TRANSPOSE(UNIQUE(TR"&amp;"ANSPOSE(FILTER({K$17:ED$17;K$4:ED$4;K65:ED65}, K65:ED65=TRUE)))), 1, 0),
       LAMBDA(
         mitigation,
         enhance,
         assign,
         precondition,
         IF(
           REGEXMATCH(assign, ""RANGE_PARTY|SINGLE_ENEMY|RANGE_ENEMY""),
  "&amp;"         IF(
             OR(ARRAYFORMULA((IF(precondition="""", FALSE, REGEXMATCH(K$4:ED$4, precondition))) * (K65:ED65=TRUE))),
             IF(ISNUMBER(enhance), enhance, 1),
             IF(ISNUMBER(mitigation), mitigation, 1)
           ),
          "&amp;" 1
         )
       )
     )
   ),
   1
 )"),1.0)</f>
        <v>1</v>
      </c>
      <c r="EF65" s="200">
        <f>IFERROR(__xludf.DUMMYFUNCTION("PRODUCT(
   MAP(
     K$14:ED$14,
     K$13:ED$13,
     K65:ED65,
     LAMBDA(
       buff,
       target,
       check,
       IF(
         AND(check=TRUE, REGEXMATCH(target, ""RANGE_AFFECTED_ALL|RANGE_EFFECTED_ALL""), ISNUMBER(buff)),
         buff,
   "&amp;"      1
       )
     )
   )
 )"),1.0)</f>
        <v>1</v>
      </c>
      <c r="EG65" s="200">
        <f>IFERROR(__xludf.DUMMYFUNCTION("PRODUCT(
   MAP(
     K$14:ED$14,
     K$13:ED$13,
     K65:ED65,
     LAMBDA(
       buff,
       target,
       check,
       IF(
         AND(check=TRUE, REGEXMATCH(target, ""RANGE_AFFECTED_GCD|RANGE_EFFECTED_GCD""), ISNUMBER(buff)),
         buff,
   "&amp;"      1
       )
     )
   )
 )"),1.0)</f>
        <v>1</v>
      </c>
      <c r="EH65" s="200">
        <f>IFERROR(__xludf.DUMMYFUNCTION("PRODUCT(
   MAP(
     K$3:ED$3,
     K$14:ED$14,
     K$13:ED$13,
     K65:ED65,
     LAMBDA(
       job,
       buff,
       target,
       check,
       IF(
         AND(check=TRUE, REGEXMATCH(target, ""SELF_EFFECTED_ALL""), ISNUMBER(buff), job=""白魔道士"""&amp;"),
         buff,
         1
       )
     )
   )
 )"),1.0)</f>
        <v>1</v>
      </c>
      <c r="EI65" s="200">
        <f>IFERROR(__xludf.DUMMYFUNCTION("PRODUCT(
   MAP(
     K$3:ED$3,
     K$14:ED$14,
     K$13:ED$13,
     K65:ED65,
     LAMBDA(
       job,
       buff,
       target,
       check,
       IF(
         AND(check=TRUE, REGEXMATCH(target, ""SELF_EFFECTED_GCD""), ISNUMBER(buff), job=""白魔道士"""&amp;"),
         buff,
         1
       )
     )
   )
 )"),1.0)</f>
        <v>1</v>
      </c>
      <c r="EJ65" s="200">
        <f>IFERROR(__xludf.DUMMYFUNCTION("PRODUCT(
   MAP(
     K$3:ED$3,
     K$14:ED$14,
     K$13:ED$13,
     K65:ED65,
     LAMBDA(
       job,
       buff,
       target,
       check,
       IF(
         AND(check=TRUE, REGEXMATCH(target, ""SELF_EFFECTED_ALL""), ISNUMBER(buff), job=""占星術師"""&amp;"),
         buff,
         1
       )
     )
   )
 )"),1.0)</f>
        <v>1</v>
      </c>
      <c r="EK65" s="200">
        <f>IFERROR(__xludf.DUMMYFUNCTION("PRODUCT(
   MAP(
     K$3:ED$3,
     K$14:ED$14,
     K$13:ED$13,
     K65:ED65,
     LAMBDA(
       job,
       buff,
       target,
       check,
       IF(
         AND(check=TRUE, REGEXMATCH(target, ""SELF_EFFECTED_GCD""), ISNUMBER(buff), job=""占星術師"""&amp;"),
         buff,
         1
       )
     )
   )
 )"),1.0)</f>
        <v>1</v>
      </c>
      <c r="EL65" s="200">
        <f>IFERROR(__xludf.DUMMYFUNCTION("PRODUCT(
   MAP(
     K$3:ED$3,
     K$14:ED$14,
     K$13:ED$13,
     K65:ED65,
     LAMBDA(
       job,
       buff,
       target,
       check,
       IF(
         AND(check=TRUE, REGEXMATCH(target, ""SELF_EFFECTED_ALL""), ISNUMBER(buff), job=""学者""),"&amp;"
         buff,
         1
       )
     )
   )
 )"),1.0)</f>
        <v>1</v>
      </c>
      <c r="EM65" s="200">
        <f>IFERROR(__xludf.DUMMYFUNCTION("PRODUCT(
   MAP(
     K$3:ED$3,
     K$14:ED$14,
     K$13:ED$13,
     K65:ED65,
     LAMBDA(
       job,
       buff,
       target,
       check,
       IF(
         AND(check=TRUE, REGEXMATCH(target, ""SELF_EFFECTED_GCD""), ISNUMBER(buff), job=""学者""),"&amp;"
         buff,
         1
       )
     )
   )
 )"),1.0)</f>
        <v>1</v>
      </c>
      <c r="EN65" s="200">
        <f>IFERROR(__xludf.DUMMYFUNCTION("PRODUCT(
   MAP(
     K$3:ED$3,
     K$14:ED$14,
     K$13:ED$13,
     K65:ED65,
     LAMBDA(
       job,
       buff,
       target,
       check,
       IF(
         AND(check=TRUE, REGEXMATCH(target, ""SELF_EFFECTED_ALL""), ISNUMBER(buff), job=""賢者""),"&amp;"
         buff,
         1
       )
     )
   )
 )"),1.0)</f>
        <v>1</v>
      </c>
      <c r="EO65" s="200">
        <f>IFERROR(__xludf.DUMMYFUNCTION("PRODUCT(
   MAP(
     K$3:ED$3,
     K$14:ED$14,
     K$13:ED$13,
     K65:ED65,
     LAMBDA(
       job,
       buff,
       target,
       check,
       IF(
         AND(check=TRUE, REGEXMATCH(target, ""SELF_EFFECTED_GCD""), ISNUMBER(buff), job=""賢者""),"&amp;"
         buff,
         1
       )
     )
   )
 )"),1.0)</f>
        <v>1</v>
      </c>
      <c r="EP65" s="201">
        <f t="shared" si="3"/>
        <v>0</v>
      </c>
      <c r="EQ65" s="201">
        <f>IFERROR(__xludf.DUMMYFUNCTION("SUM(
   MAP(
     K$4:ED$4,
     K$3:ED$3,
     K$7:ED$7,
     K$15:ED$15,
     K$16:ED$16,
     K$21:ED$21,
     K$5:ED$5,
     K$17:ED$17,
     K65:ED65,
     LAMBDA(
       name,
       job,
       abillity,
       buff,
       barrier,
       enhance,"&amp;"
       assign,
       precondition,
       check,
       SWITCH(
         name,
         ""シェイクオフ"", IF(check=TRUE, buff + (0.02 * COUNTIF(ARRAYFORMULA((REGEXMATCH($K$4:$ED$4, ""スリル・オブ・バトル|ヴェンジェンス|原初の血気|ダムネーション"")) * (K65:ED65=TRUE)), 1)), 0),
         "&amp;"""インプロビゼーションフィニッシュ(踊りの激情0)"", IF(ISNUMBER(check), INDEX(Skill!$AJ:$AJ, MATCH(SUBSTITUTE(DV$4, 0, check), Skill!$C:$C, 0)), 0),
         IF(
           AND(check=TRUE, REGEXMATCH(assign, ""RANGE_PARTY"")),
           IF(
             OR(ARRAYFORMULA((IF(pr"&amp;"econdition="""", FALSE, REGEXMATCH($K$4:$ED$4, precondition))) * (K65:ED65=TRUE))),
             enhance,
             IF(barrier="""", buff, barrier)
           ),
           0
         )
       ) *
       SWITCH(
         job,
         ""ナイト"", EY$24,
 "&amp;"        ""戦士"", FD$24,
         ""踊り子"", ET$24,
         ""ピクトマンサー"", ET$24,
         ""白魔道士"", EF65 * EH65 * IF(abillity, 1, EG65 * EI65) * (Option!$D$22 * 0.81 / 100),
         ""占星術師"", EF65 * EJ65 * IF(abillity, 1, EG65 * EK65) * (Option!$D$23 * 0.81 "&amp;"/ 100),
         ""学者"", EF65 * EL65 * IF(abillity, 1, EG65 * EM65) * (Option!$D$24 * 0.81 / 100),
         ""賢者"", EF65 * EN65 * IF(abillity, 1, EG65 * EO65) * (Option!$D$25 * 0.81 / 100),
         1
       )
     )
   )
 )"),0.0)</f>
        <v>0</v>
      </c>
      <c r="ER65" s="202">
        <f t="shared" si="4"/>
        <v>0</v>
      </c>
      <c r="ES65" s="203">
        <f t="shared" si="5"/>
        <v>0</v>
      </c>
      <c r="ET65" s="231" t="str">
        <f>IFERROR(__xludf.DUMMYFUNCTION("IFS(
  EP65 &gt; $ET$24 + EQ65,
  SPARKLINE({ 1, 0 }, {""charttype"",""bar"";""max"", 1;""color1"",Option!$D$30;""color2"",Option!$D$30}),
  EP65 &lt; EQ65,
  SPARKLINE({EQ65 - EP65, $ET$24 - (EQ65 - EP65)}, {""charttype"",""bar"";""max"",$ET$24;""color1"",Opti"&amp;"on!$D$28;""color2"",Option!$D$29}),
  EP65 &gt;= EQ65,
  SPARKLINE({$ET$24 + EQ65 - EP65,EP65 - EQ65}, {""charttype"",""bar"";""max"",$ET$24;""color1"",Option!$D$29;""color2"",Option!$D$30})
)"),"")</f>
        <v/>
      </c>
      <c r="EU65" s="205">
        <f>IFERROR(__xludf.DUMMYFUNCTION("PRODUCT(
   MAP(
     IF($F65=""Physical"", K$10:ED$10, IF($F65=""Magic"", K$11:ED$11, K$12:ED$12)),
     IF($F65=""Physical"", K$18:ED$18, IF($F65=""Magic"", K$19:ED$19, K$20:ED$20)),
     K$3:ED$3,
     K$5:ED$5,
     K$17:ED$17,
     K65:ED65,
     LAM"&amp;"BDA(
       mitigation,
       enhance,
       job,
       assign,
       precondition,
       check,
       IF(
         OR(AND(check=TRUE, REGEXMATCH(assign, ""SELF""), job=""ナイト""), AND(check=Option!$E$13, REGEXMATCH(assign, ""SINGLE_PARTY""))),
      "&amp;"   IF(
           OR(ARRAYFORMULA((IF(precondition="""", FALSE, REGEXMATCH($K$4:$ED$4, precondition))) * (K65:ED65=TRUE))),
           enhance,
           mitigation
         ),
         1
       )
     )
   )
 ) * EE65"),1.0)</f>
        <v>1</v>
      </c>
      <c r="EV65" s="206">
        <f t="shared" si="6"/>
        <v>0</v>
      </c>
      <c r="EW65" s="205">
        <f>IFERROR(__xludf.DUMMYFUNCTION("PRODUCT(
   MAP(
     K$3:ED$3,
     K$14:ED$14,
     K$13:ED$13,
     K65:ED65,
     LAMBDA(
       job,
       buff,
       target,
       check,
       IF(
         OR(AND(check=TRUE, REGEXMATCH(target, ""SELF_AFFECTED_ALL""), job=""ナイト""), AND(check=O"&amp;"ption!$E$13, REGEXMATCH(target, ""SINGLE_AFFECTED_ALL""))),
         buff,
         1
       )
     )
   )
 )"),1.0)</f>
        <v>1</v>
      </c>
      <c r="EX65" s="206">
        <f>IFERROR(__xludf.DUMMYFUNCTION("SUM(
   MAP(
     K$3:ED$3,
     K$7:ED$7,
     K$15:ED$15,
     K$16:ED$16,
     K$21:ED$21,
     K$5:ED$5,
     K$17:ED$17,
     K65:ED65,
     LAMBDA(
       job,
       abillity,
       buff,
       barrier,
       enhance,
       assign,
       preco"&amp;"ndition,
       check,
       IF(
         OR(AND(check=TRUE, REGEXMATCH(assign, ""SELF""), job=""ナイト""), AND(check=Option!$E$13, REGEXMATCH(assign, ""SINGLE_PARTY""))),
         IF(
           OR(ARRAYFORMULA((IF(precondition="""", FALSE, REGEXMATCH($K$4"&amp;":$ED$4, precondition))) * (K65:ED65=TRUE))),
           enhance,
           IF(barrier="""", buff, barrier)
         ),
         0
       ) *
       SWITCH(
         job,
         ""暗黒騎士"", EY$24,
         ""白魔道士"", EF65 * EH65 * EW65 * IF(abillity, 1, EG"&amp;"65 * EI65) * (Option!$D$22 * 0.81 / 100),
         ""占星術師"", EF65 * EJ65 * EW65 * IF(abillity, 1, EG65 * EK65) * (Option!$D$23 * 0.81 / 100),
         ""学者"", EF65 * EL65 * EW65 * IF(abillity, 1, EG65 * EM65) * (Option!$D$24 * 0.81 / 100),
         ""賢者"""&amp;", EF65 * EN65 * EW65 * IF(abillity, 1, EG65 * EO65) * (Option!$D$25 * 0.81 / 100),
         1
       )
     )
   )
 ) + EQ65"),0.0)</f>
        <v>0</v>
      </c>
      <c r="EY65" s="232">
        <f t="shared" si="7"/>
        <v>0</v>
      </c>
      <c r="EZ65" s="205">
        <f>IFERROR(__xludf.DUMMYFUNCTION("PRODUCT(
   MAP(
     IF($F65=""Physical"", K$10:ED$10, IF($F65=""Magic"", K$11:ED$11, K$12:ED$12)),
     IF($F65=""Physical"", K$18:ED$18, IF($F65=""Magic"", K$19:ED$19, K$20:ED$20)),
     K$3:ED$3,
     K$5:ED$5,
     K$17:ED$17,
     K65:ED65,
     LAM"&amp;"BDA(
       mitigation,
       enhance,
       job,
       assign,
       precondition,
       check,
       IF(
         OR(AND(check=TRUE, REGEXMATCH(assign, ""SELF""), job=""戦士""), AND(check=Option!$F$13, REGEXMATCH(assign, ""SINGLE_PARTY""))),
       "&amp;"  IF(
           OR(ARRAYFORMULA((IF(precondition="""", FALSE, REGEXMATCH($K$4:$ED$4, precondition))) * (K65:ED65=TRUE))),
           enhance,
           mitigation
         ),
         1
       )
     )
   )
 ) * EE65"),1.0)</f>
        <v>1</v>
      </c>
      <c r="FA65" s="206">
        <f t="shared" si="8"/>
        <v>0</v>
      </c>
      <c r="FB65" s="205">
        <f>IFERROR(__xludf.DUMMYFUNCTION("PRODUCT(
   MAP(
     K$3:ED$3,
     K$14:ED$14,
     K$13:ED$13,
     K65:ED65,
     LAMBDA(
       job,
       buff,
       target,
       check,
       IF(
         OR(AND(check=TRUE, REGEXMATCH(target, ""SELF_AFFECTED_ALL""), job=""戦士""), AND(check=Op"&amp;"tion!$F$13, REGEXMATCH(target, ""SINGLE_AFFECTED_ALL""))),
         buff,
         1
       )
     )
   )
 )"),1.0)</f>
        <v>1</v>
      </c>
      <c r="FC65" s="206">
        <f>IFERROR(__xludf.DUMMYFUNCTION("SUM(
   MAP(
     K$3:ED$3,
     K$7:ED$7,
     K$15:ED$15,
     K$16:ED$16,
     K$21:ED$21,
     K$5:ED$5,
     K$17:ED$17,
     K65:ED65,
     LAMBDA(
       job,
       abillity,
       buff,
       barrier,
       enhance,
       assign,
       preco"&amp;"ndition,
       check,
       IF(
         OR(AND(check=TRUE, REGEXMATCH(assign, ""SELF""), job=""戦士""), AND(check=Option!$F$13, REGEXMATCH(assign, ""SINGLE_PARTY""))),
         IF(
           OR(ARRAYFORMULA((IF(precondition="""", FALSE, REGEXMATCH($K$4:"&amp;"$ED$4, precondition))) * (K65:ED65=TRUE))),
           enhance,
           IF(barrier="""", buff, barrier)
         ),
         0
       ) *
       SWITCH(
         job,
         ""暗黒騎士"", FD$24,
         ""白魔道士"", EF65 * EH65 * FB65 * IF(abillity, 1, EG6"&amp;"5 * EI65) * (Option!$D$22 * 0.81 / 100),
         ""占星術師"", EF65 * EJ65 * FFB65 * IF(abillity, 1, EG65 * EK65) * (Option!$D$23 * 0.81 / 100),
         ""学者"", EF65 * EL65 * FB65 * IF(abillity, 1, EG65 * EM65) * (Option!$D$24 * 0.81 / 100),
         ""賢者"""&amp;", EF65 * EN65 * FB65 * IF(abillity, 1, EG65 * EO65) * (Option!$D$25 * 0.81 / 100),
         1
       )
     )
   )
 ) + EQ65"),0.0)</f>
        <v>0</v>
      </c>
      <c r="FD65" s="206">
        <f t="shared" si="9"/>
        <v>0</v>
      </c>
      <c r="FE65" s="205">
        <f>IFERROR(__xludf.DUMMYFUNCTION("PRODUCT(
   MAP(
     IF($F65=""Physical"", K$10:ED$10, IF($F65=""Magic"", K$11:ED$11, K$12:ED$12)),
     IF($F65=""Physical"", K$18:ED$18, IF($F65=""Magic"", K$19:ED$19, K$20:ED$20)),
     K$3:ED$3,
     K$5:ED$5,
     K$17:ED$17,
     K65:ED65,
     LAM"&amp;"BDA(
       mitigation,
       enhance,
       job,
       assign,
       precondition,
       check,
       IF(
         OR(AND(check=TRUE, REGEXMATCH(assign, ""SELF""), job=""暗黒騎士""), AND(check=Option!$G$13, REGEXMATCH(assign, ""SINGLE_PARTY""))),
     "&amp;"    IF(
           OR(ARRAYFORMULA((IF(precondition="""", FALSE, REGEXMATCH($K$4:$ED$4, precondition))) * (K65:ED65=TRUE))),
           enhance,
           mitigation
         ),
         1
       )
     )
   )
 ) * EE65"),1.0)</f>
        <v>1</v>
      </c>
      <c r="FF65" s="206">
        <f t="shared" si="10"/>
        <v>0</v>
      </c>
      <c r="FG65" s="205">
        <f>IFERROR(__xludf.DUMMYFUNCTION("PRODUCT(
   MAP(
     K$3:ED$3,
     K$14:ED$14,
     K$13:ED$13,
     K65:ED65,
     LAMBDA(
       job,
       buff,
       target,
       check,
       IF(
         OR(AND(check=TRUE, REGEXMATCH(target, ""SELF_AFFECTED_ALL""), job=""暗黒騎士""), AND(check="&amp;"Option!$G$13, REGEXMATCH(target, ""SINGLE_AFFECTED_ALL""))),
         buff,
         1
       )
     )
   )
 )"),1.0)</f>
        <v>1</v>
      </c>
      <c r="FH65" s="206">
        <f>IFERROR(__xludf.DUMMYFUNCTION("SUM(
   MAP(
     K$3:ED$3,
     K$7:ED$7,
     K$15:ED$15,
     K$16:ED$16,
     K$21:ED$21,
     K$5:ED$5,
     K$17:ED$17,
     K65:ED65,
     LAMBDA(
       job,
       abillity,
       buff,
       barrier,
       enhance,
       assign,
       preco"&amp;"ndition,
       check,
       IF(
         OR(AND(check=TRUE, REGEXMATCH(assign, ""SELF""), job=""暗黒騎士""), AND(check=Option!$G$13, REGEXMATCH(assign, ""SINGLE_PARTY""))),
         IF(
           OR(ARRAYFORMULA((IF(precondition="""", FALSE, REGEXMATCH($K$"&amp;"4:$ED$4, precondition))) * (K65:ED65=TRUE))),
           enhance,
           IF(barrier="""", buff, barrier)
         ),
         0
       ) *
       SWITCH(
         job,
         ""暗黒騎士"", FI$24,
         ""白魔道士"", EF65 * EH65 * FG65 * IF(abillity, 1, E"&amp;"G65 * EI65) * (Option!$D$22 * 0.81 / 100),
         ""占星術師"", EF65 * EJ65 * FG65 * IF(abillity, 1, EG65 * EK65) * (Option!$D$23 * 0.81 / 100),
         ""学者"", EF65 * EL65 * FG65 * IF(abillity, 1, EG65 * EM65) * (Option!$D$24 * 0.81 / 100),
         ""賢者"&amp;""", EF65 * EN65 * FG65 * IF(abillity, 1, EG65 * EO65) * (Option!$D$25 * 0.81 / 100),
         1
       )
     )
   )
 ) + EQ65"),0.0)</f>
        <v>0</v>
      </c>
      <c r="FI65" s="206">
        <f t="shared" si="11"/>
        <v>0</v>
      </c>
      <c r="FJ65" s="205">
        <f>IFERROR(__xludf.DUMMYFUNCTION("PRODUCT(
   MAP(
     IF($F65=""Physical"", K$10:ED$10, IF($F65=""Magic"", K$11:ED$11, K$12:ED$12)),
     IF($F65=""Physical"", K$18:ED$18, IF($F65=""Magic"", K$19:ED$19, K$20:ED$20)),
     K$3:ED$3,
     K$5:ED$5,
     K$17:ED$17,
     K65:ED65,
     LAM"&amp;"BDA(
       mitigation,
       enhance,
       job,
       assign,
       precondition,
       check,
       IF(
         OR(AND(check=TRUE, REGEXMATCH(assign, ""SELF""), job=""ガンブレイカー""), AND(check=Option!$H$13, REGEXMATCH(assign, ""SINGLE_PARTY""))),
  "&amp;"       IF(
           OR(ARRAYFORMULA((IF(precondition="""", FALSE, REGEXMATCH($K$4:$ED$4, precondition))) * (K65:ED65=TRUE))),
           enhance,
           mitigation
         ),
         1
       )
     )
   )
 ) * EE65"),1.0)</f>
        <v>1</v>
      </c>
      <c r="FK65" s="206">
        <f t="shared" si="12"/>
        <v>0</v>
      </c>
      <c r="FL65" s="205">
        <f>IFERROR(__xludf.DUMMYFUNCTION("PRODUCT(
   MAP(
     K$3:ED$3,
     K$14:ED$14,
     K$13:ED$13,
     K65:ED65,
     LAMBDA(
       job,
       buff,
       target,
       check,
       IF(
         OR(AND(check=TRUE, REGEXMATCH(target, ""SELF_AFFECTED_ALL""), job=""ガンブレイカー""), AND(che"&amp;"ck=Option!$H$13, REGEXMATCH(target, ""SINGLE_AFFECTED_ALL""))),
         buff,
         1
       )
     )
   )
 )"),1.0)</f>
        <v>1</v>
      </c>
      <c r="FM65" s="206">
        <f>IFERROR(__xludf.DUMMYFUNCTION("SUM(
   MAP(
     K$3:ED$3,
     K$7:ED$7,
     K$15:ED$15,
     K$16:ED$16,
     K$21:ED$21,
     K$5:ED$5,
     K$17:ED$17,
     K65:ED65,
     LAMBDA(
       job,
       abillity,
       buff,
       barrier,
       enhance,
       assign,
       preco"&amp;"ndition,
       check,
       IF(
         OR(AND(check=TRUE, REGEXMATCH(assign, ""SELF""), job=""ガンブレイカー""), AND(check=Option!$H$13, REGEXMATCH(assign, ""SINGLE_PARTY""))),
         IF(
           OR(ARRAYFORMULA((IF(precondition="""", FALSE, REGEXMATCH("&amp;"$K$4:$ED$4, precondition))) * (K65:ED65=TRUE))),
           enhance,
           IF(barrier="""", buff, barrier)
         ),
         0
       ) *
       SWITCH(
         job,
         ""暗黒騎士"", FN$24,
         ""白魔道士"", EF65 * EH65 * FL65 * IF(abillity, 1"&amp;", EG65 * EI65) * (Option!$D$22 * 0.81 / 100),
         ""占星術師"", EF65 * EJ65 * FL65 * IF(abillity, 1, EG65 * EK65) * (Option!$D$23 * 0.81 / 100),
         ""学者"", EF65 * EL65 * FL65 * IF(abillity, 1, EG65 * EM65) * (Option!$D$24 * 0.81 / 100),
         """&amp;"賢者"", EF65 * EN65 * FL65 * IF(abillity, 1, EG65 * EO65) * (Option!$D$25 * 0.81 / 100),
         1
       )
     )
   )
 ) + EQ65"),0.0)</f>
        <v>0</v>
      </c>
      <c r="FN65" s="206">
        <f t="shared" si="13"/>
        <v>0</v>
      </c>
      <c r="FO65" s="213"/>
    </row>
    <row r="66">
      <c r="B66" s="229"/>
      <c r="C66" s="217"/>
      <c r="D66" s="236"/>
      <c r="E66" s="238"/>
      <c r="F66" s="167"/>
      <c r="G66" s="168" t="str">
        <f t="shared" si="2"/>
        <v/>
      </c>
      <c r="H66" s="169"/>
      <c r="I66" s="169"/>
      <c r="J66" s="169"/>
      <c r="K66" s="170" t="b">
        <v>0</v>
      </c>
      <c r="L66" s="170" t="b">
        <v>0</v>
      </c>
      <c r="M66" s="170" t="b">
        <v>0</v>
      </c>
      <c r="N66" s="171" t="s">
        <v>1070</v>
      </c>
      <c r="O66" s="172" t="b">
        <v>0</v>
      </c>
      <c r="P66" s="173" t="b">
        <v>0</v>
      </c>
      <c r="Q66" s="173" t="b">
        <v>0</v>
      </c>
      <c r="R66" s="173" t="b">
        <v>0</v>
      </c>
      <c r="S66" s="174" t="b">
        <v>0</v>
      </c>
      <c r="T66" s="175" t="b">
        <v>0</v>
      </c>
      <c r="U66" s="173" t="b">
        <v>0</v>
      </c>
      <c r="V66" s="171" t="s">
        <v>1070</v>
      </c>
      <c r="W66" s="172" t="b">
        <v>0</v>
      </c>
      <c r="X66" s="173" t="b">
        <v>0</v>
      </c>
      <c r="Y66" s="173" t="b">
        <v>0</v>
      </c>
      <c r="Z66" s="173" t="b">
        <v>0</v>
      </c>
      <c r="AA66" s="174" t="b">
        <v>0</v>
      </c>
      <c r="AB66" s="174" t="b">
        <v>0</v>
      </c>
      <c r="AC66" s="175" t="b">
        <v>0</v>
      </c>
      <c r="AD66" s="173" t="b">
        <v>0</v>
      </c>
      <c r="AE66" s="176" t="s">
        <v>1070</v>
      </c>
      <c r="AF66" s="171" t="s">
        <v>1070</v>
      </c>
      <c r="AG66" s="177">
        <f>IFERROR(__xludf.DUMMYFUNCTION("IF(
  ISNUMBER(AG65),
  MIN(MAX(
    AG65
    + MAX(
      ROUNDDOWN(($D66 - MAX(IFERROR(FILTER($D$24:$D65, AG$24:AG65 &lt;&gt; AF$6, AG$23:AG64 = AF$6), 0))) * (60 * 60 * 24) / AF$9) - ROUNDDOWN(($D65 - MAX(IFERROR(FILTER($D$23:$D64, AG$23:AG64 &lt;&gt; AF$6, AG$22:"&amp;"AG63 = AF$6), 0))) * (60 * 60 * 24) / 60),
      0
    )
    - COUNTIF(AF66, ""&lt;&gt;-""),
  0), AF$6),
  AF$6 - COUNTIF(AF66, ""&lt;&gt;-"")
)"),2.0)</f>
        <v>2</v>
      </c>
      <c r="AH66" s="173" t="b">
        <v>0</v>
      </c>
      <c r="AI66" s="173" t="b">
        <v>0</v>
      </c>
      <c r="AJ66" s="173" t="b">
        <v>0</v>
      </c>
      <c r="AK66" s="174" t="b">
        <v>0</v>
      </c>
      <c r="AL66" s="175" t="b">
        <v>0</v>
      </c>
      <c r="AM66" s="173" t="b">
        <v>0</v>
      </c>
      <c r="AN66" s="171" t="s">
        <v>1070</v>
      </c>
      <c r="AO66" s="173" t="b">
        <v>0</v>
      </c>
      <c r="AP66" s="173" t="b">
        <v>0</v>
      </c>
      <c r="AQ66" s="173" t="b">
        <v>0</v>
      </c>
      <c r="AR66" s="174" t="b">
        <v>0</v>
      </c>
      <c r="AS66" s="178" t="b">
        <v>0</v>
      </c>
      <c r="AT66" s="179" t="b">
        <v>0</v>
      </c>
      <c r="AU66" s="180" t="b">
        <v>0</v>
      </c>
      <c r="AV66" s="180" t="b">
        <v>0</v>
      </c>
      <c r="AW66" s="180" t="b">
        <v>0</v>
      </c>
      <c r="AX66" s="180" t="b">
        <v>0</v>
      </c>
      <c r="AY66" s="181" t="s">
        <v>1070</v>
      </c>
      <c r="AZ66" s="181" t="s">
        <v>1070</v>
      </c>
      <c r="BA66" s="184">
        <f>IFERROR(__xludf.DUMMYFUNCTION("IF(
  ISNUMBER(BA65),
  MIN(MAX(
    BA65
    + MAX(
      ROUNDDOWN((D66 - MAX(IFERROR(FILTER(D$24:D65, BA$24:BA65 &lt;&gt; AZ$6, BA$23:BA64 = AZ$6), 0))) * (60 * 60 * 24) / AZ$9) - ROUNDDOWN((D65 - MAX(IFERROR(FILTER(D$23:D64, BA$23:BA64 &lt;&gt; AZ$6, BA$22:BA63 ="&amp;" AZ$6), 0))) * (60 * 60 * 24) / AZ$9),
      0
    )
    - COUNTIF(AZ66, ""&lt;&gt;-""),
  0), AZ$6),
  AZ$6 - COUNTIF(AZ66, ""&lt;&gt;-"")
)"),2.0)</f>
        <v>2</v>
      </c>
      <c r="BB66" s="181" t="s">
        <v>1070</v>
      </c>
      <c r="BC66" s="183">
        <f>IFERROR(__xludf.DUMMYFUNCTION("IF(
  ISNUMBER(BC65),
  MIN(MAX(
    BC65
    + MAX(
      ROUNDDOWN(($D66 - MAX(IFERROR(FILTER($D$24:$D65, BC$24:BC65 &lt;&gt; BB$6, BC$23:BC64 = BB$6), 0))) * (60 * 60 * 24) / BB$9) - ROUNDDOWN(($D65 - MAX(IFERROR(FILTER($D$23:$D64, BC$23:BC64 &lt;&gt; BB$6, BC$22:"&amp;"BC63 = BB$6), 0))) * (60 * 60 * 24) / 60),
      0
    )
    - COUNTIF(BB66, ""&lt;&gt;-""),
  0), BB$6),
  BB$6 - COUNTIF(BB66, ""&lt;&gt;-"")
)"),2.0)</f>
        <v>2</v>
      </c>
      <c r="BD66" s="181" t="s">
        <v>1070</v>
      </c>
      <c r="BE66" s="178" t="b">
        <v>0</v>
      </c>
      <c r="BF66" s="180" t="b">
        <v>0</v>
      </c>
      <c r="BG66" s="180" t="b">
        <v>0</v>
      </c>
      <c r="BH66" s="180" t="b">
        <v>0</v>
      </c>
      <c r="BI66" s="180" t="b">
        <v>0</v>
      </c>
      <c r="BJ66" s="180" t="b">
        <v>0</v>
      </c>
      <c r="BK66" s="180" t="b">
        <v>0</v>
      </c>
      <c r="BL66" s="180" t="b">
        <v>0</v>
      </c>
      <c r="BM66" s="180" t="b">
        <v>0</v>
      </c>
      <c r="BN66" s="180" t="b">
        <v>0</v>
      </c>
      <c r="BO66" s="181" t="s">
        <v>1070</v>
      </c>
      <c r="BP66" s="181" t="s">
        <v>1070</v>
      </c>
      <c r="BQ66" s="181" t="s">
        <v>1070</v>
      </c>
      <c r="BR66" s="181" t="s">
        <v>1070</v>
      </c>
      <c r="BS66" s="181" t="s">
        <v>1070</v>
      </c>
      <c r="BT66" s="184">
        <f>IFERROR(__xludf.DUMMYFUNCTION("IF(
  ISNUMBER(BT65),
  MIN(MAX(
    BT65
    + MAX(
      ROUNDDOWN((D66 - MAX(IFERROR(FILTER(D$24:D65, BT$24:BT65 &lt;&gt; BS$6, BT$23:BT64 = BS$6), 0))) * (60 * 60 * 24) / BS$9) - ROUNDDOWN((D65 - MAX(IFERROR(FILTER(D$23:D64, BT$23:BT64 &lt;&gt; BS$6, BT$22:BT63 ="&amp;" BS$6), 0))) * (60 * 60 * 24) / BS$9),
      0
    )
    - COUNTIF(BS66, ""&lt;&gt;-""),
  0), BS$6),
  BS$6 - COUNTIF(BS66, ""&lt;&gt;-"")
)"),3.0)</f>
        <v>3</v>
      </c>
      <c r="BU66" s="181" t="s">
        <v>1070</v>
      </c>
      <c r="BV66" s="181" t="s">
        <v>1070</v>
      </c>
      <c r="BW66" s="184">
        <f>IFERROR(__xludf.DUMMYFUNCTION("IF(
  ISNUMBER(BW65),
  MIN(MAX(
    BW65
    + MAX(
      ROUNDDOWN((D66 - MAX(IFERROR(FILTER(D$24:D65, BW$24:BW65 &lt;&gt; BV$6, BW$23:BW64 = BV$6), 0))) * (60 * 60 * 24) / BV$9) - ROUNDDOWN((D65 - MAX(IFERROR(FILTER(D$23:D64, BW$23:BW64 &lt;&gt; BV$6, BW$22:BW63 ="&amp;" BV$6), 0))) * (60 * 60 * 24) / BV$9),
      0
    )
    - COUNTIF(BV66, ""&lt;&gt;-""),
  0), BV$6),
  BV$6 - COUNTIF(BV66, ""&lt;&gt;-"")
)"),2.0)</f>
        <v>2</v>
      </c>
      <c r="BX66" s="185" t="s">
        <v>1070</v>
      </c>
      <c r="BY66" s="178" t="b">
        <v>0</v>
      </c>
      <c r="BZ66" s="180" t="b">
        <v>0</v>
      </c>
      <c r="CA66" s="180" t="b">
        <v>0</v>
      </c>
      <c r="CB66" s="180" t="b">
        <v>0</v>
      </c>
      <c r="CC66" s="180" t="b">
        <v>0</v>
      </c>
      <c r="CD66" s="180" t="b">
        <v>0</v>
      </c>
      <c r="CE66" s="180" t="b">
        <v>0</v>
      </c>
      <c r="CF66" s="180" t="b">
        <v>0</v>
      </c>
      <c r="CG66" s="180" t="b">
        <v>0</v>
      </c>
      <c r="CH66" s="180" t="b">
        <v>0</v>
      </c>
      <c r="CI66" s="180" t="b">
        <v>0</v>
      </c>
      <c r="CJ66" s="180" t="b">
        <v>0</v>
      </c>
      <c r="CK66" s="180" t="b">
        <v>0</v>
      </c>
      <c r="CL66" s="180" t="b">
        <v>0</v>
      </c>
      <c r="CM66" s="181" t="s">
        <v>1070</v>
      </c>
      <c r="CN66" s="181" t="s">
        <v>1070</v>
      </c>
      <c r="CO66" s="181" t="s">
        <v>1070</v>
      </c>
      <c r="CP66" s="181" t="s">
        <v>1070</v>
      </c>
      <c r="CQ66" s="185" t="s">
        <v>1070</v>
      </c>
      <c r="CR66" s="180" t="b">
        <v>0</v>
      </c>
      <c r="CS66" s="186" t="str">
        <f t="shared" si="14"/>
        <v>◇◇◇</v>
      </c>
      <c r="CT66" s="178" t="b">
        <v>0</v>
      </c>
      <c r="CU66" s="180" t="b">
        <v>0</v>
      </c>
      <c r="CV66" s="180" t="b">
        <v>0</v>
      </c>
      <c r="CW66" s="180" t="b">
        <v>0</v>
      </c>
      <c r="CX66" s="180" t="b">
        <v>0</v>
      </c>
      <c r="CY66" s="180" t="b">
        <v>0</v>
      </c>
      <c r="CZ66" s="180" t="b">
        <v>0</v>
      </c>
      <c r="DA66" s="180" t="b">
        <v>0</v>
      </c>
      <c r="DB66" s="180" t="b">
        <v>0</v>
      </c>
      <c r="DC66" s="180" t="b">
        <v>0</v>
      </c>
      <c r="DD66" s="181" t="s">
        <v>1070</v>
      </c>
      <c r="DE66" s="181" t="s">
        <v>1070</v>
      </c>
      <c r="DF66" s="181" t="s">
        <v>1070</v>
      </c>
      <c r="DG66" s="185" t="s">
        <v>1070</v>
      </c>
      <c r="DH66" s="180" t="b">
        <v>0</v>
      </c>
      <c r="DI66" s="187" t="str">
        <f>IFERROR(__xludf.DUMMYFUNCTION("SWITCH(
  IF(
    ISTEXT(DI65),
    IF (
      FIND(""○"", DI65&amp;""○"") &gt; 3,
      3,
      FIND(""○"", DI65&amp;""○"")
      + MAX(
        ROUNDDOWN(($D66 - MAX(IFERROR(FILTER(D$24:D65, DI$24:DI65 &lt;&gt; ""●●●"", DI$23:DI64 = ""●●●""), 0))) * (60 * 60 * 24) / 20"&amp;") - ROUNDDOWN(($D65 - MAX(IFERROR(FILTER(D$23:D64, DI$23:DI64 &lt;&gt; ""●●●"", DI$22:DI63 = ""●●●""), 0))) * (60 * 60 * 24) / 20),
        0
      ) - 1
    ) - COUNTIFS(CU66, ""=TRUE"", CU65, ""&lt;&gt;TRUE"") - COUNTIF(CZ66, ""=TRUE"") - COUNTIF({DD66,DE66}, ""&lt;&gt;-"&amp;""") + COUNTIF(DH66, ""=TRUE""),
    3
  ),
  0, ""○○○"", 1, ""●○○"", 2, ""●●○"", 3, ""●●●"", 4, ""●●●"", ""○○○""
)"),"●●●")</f>
        <v>●●●</v>
      </c>
      <c r="DJ66" s="188" t="b">
        <v>0</v>
      </c>
      <c r="DK66" s="189" t="b">
        <v>0</v>
      </c>
      <c r="DL66" s="190" t="b">
        <v>0</v>
      </c>
      <c r="DM66" s="190" t="b">
        <v>0</v>
      </c>
      <c r="DN66" s="190" t="b">
        <v>0</v>
      </c>
      <c r="DO66" s="190" t="b">
        <v>0</v>
      </c>
      <c r="DP66" s="190" t="b">
        <v>0</v>
      </c>
      <c r="DQ66" s="191" t="b">
        <v>0</v>
      </c>
      <c r="DR66" s="192" t="b">
        <v>0</v>
      </c>
      <c r="DS66" s="191" t="b">
        <v>0</v>
      </c>
      <c r="DT66" s="192" t="b">
        <v>0</v>
      </c>
      <c r="DU66" s="191" t="b">
        <v>0</v>
      </c>
      <c r="DV66" s="193" t="s">
        <v>1070</v>
      </c>
      <c r="DW66" s="194" t="b">
        <v>0</v>
      </c>
      <c r="DX66" s="194" t="b">
        <v>0</v>
      </c>
      <c r="DY66" s="195" t="b">
        <v>0</v>
      </c>
      <c r="DZ66" s="196" t="b">
        <v>0</v>
      </c>
      <c r="EA66" s="195" t="b">
        <v>0</v>
      </c>
      <c r="EB66" s="197" t="b">
        <v>0</v>
      </c>
      <c r="EC66" s="197" t="b">
        <v>0</v>
      </c>
      <c r="ED66" s="212" t="b">
        <v>0</v>
      </c>
      <c r="EE66" s="199">
        <f>IFERROR(__xludf.DUMMYFUNCTION("IFERROR(
   PRODUCT(
     MAP(
       INDEX(TRANSPOSE(UNIQUE(TRANSPOSE(FILTER({IF($F66=""Physical"", K$10:ED$10, IF($F66=""Magic"", K$11:ED$11, K$12:ED$12));K$4:ED$4;K66:ED66}, K66:ED66=TRUE)))), 1, 0),
       INDEX(TRANSPOSE(UNIQUE(TRANSPOSE(FILTER({IF($"&amp;"F66=""Physical"", K$18:ED$18, IF($F66=""Magic"", K$19:ED$19, K$20:ED$20));K$4:ED$4;K66:ED66}, K66:ED66=TRUE)))), 1, 0),
       INDEX(TRANSPOSE(UNIQUE(TRANSPOSE(FILTER({K$5:ED$5;K$4:ED$4;K66:ED66}, K66:ED66=TRUE)))), 1, 0),
       INDEX(TRANSPOSE(UNIQUE(TR"&amp;"ANSPOSE(FILTER({K$17:ED$17;K$4:ED$4;K66:ED66}, K66:ED66=TRUE)))), 1, 0),
       LAMBDA(
         mitigation,
         enhance,
         assign,
         precondition,
         IF(
           REGEXMATCH(assign, ""RANGE_PARTY|SINGLE_ENEMY|RANGE_ENEMY""),
  "&amp;"         IF(
             OR(ARRAYFORMULA((IF(precondition="""", FALSE, REGEXMATCH(K$4:ED$4, precondition))) * (K66:ED66=TRUE))),
             IF(ISNUMBER(enhance), enhance, 1),
             IF(ISNUMBER(mitigation), mitigation, 1)
           ),
          "&amp;" 1
         )
       )
     )
   ),
   1
 )"),1.0)</f>
        <v>1</v>
      </c>
      <c r="EF66" s="200">
        <f>IFERROR(__xludf.DUMMYFUNCTION("PRODUCT(
   MAP(
     K$14:ED$14,
     K$13:ED$13,
     K66:ED66,
     LAMBDA(
       buff,
       target,
       check,
       IF(
         AND(check=TRUE, REGEXMATCH(target, ""RANGE_AFFECTED_ALL|RANGE_EFFECTED_ALL""), ISNUMBER(buff)),
         buff,
   "&amp;"      1
       )
     )
   )
 )"),1.0)</f>
        <v>1</v>
      </c>
      <c r="EG66" s="200">
        <f>IFERROR(__xludf.DUMMYFUNCTION("PRODUCT(
   MAP(
     K$14:ED$14,
     K$13:ED$13,
     K66:ED66,
     LAMBDA(
       buff,
       target,
       check,
       IF(
         AND(check=TRUE, REGEXMATCH(target, ""RANGE_AFFECTED_GCD|RANGE_EFFECTED_GCD""), ISNUMBER(buff)),
         buff,
   "&amp;"      1
       )
     )
   )
 )"),1.0)</f>
        <v>1</v>
      </c>
      <c r="EH66" s="200">
        <f>IFERROR(__xludf.DUMMYFUNCTION("PRODUCT(
   MAP(
     K$3:ED$3,
     K$14:ED$14,
     K$13:ED$13,
     K66:ED66,
     LAMBDA(
       job,
       buff,
       target,
       check,
       IF(
         AND(check=TRUE, REGEXMATCH(target, ""SELF_EFFECTED_ALL""), ISNUMBER(buff), job=""白魔道士"""&amp;"),
         buff,
         1
       )
     )
   )
 )"),1.0)</f>
        <v>1</v>
      </c>
      <c r="EI66" s="200">
        <f>IFERROR(__xludf.DUMMYFUNCTION("PRODUCT(
   MAP(
     K$3:ED$3,
     K$14:ED$14,
     K$13:ED$13,
     K66:ED66,
     LAMBDA(
       job,
       buff,
       target,
       check,
       IF(
         AND(check=TRUE, REGEXMATCH(target, ""SELF_EFFECTED_GCD""), ISNUMBER(buff), job=""白魔道士"""&amp;"),
         buff,
         1
       )
     )
   )
 )"),1.0)</f>
        <v>1</v>
      </c>
      <c r="EJ66" s="200">
        <f>IFERROR(__xludf.DUMMYFUNCTION("PRODUCT(
   MAP(
     K$3:ED$3,
     K$14:ED$14,
     K$13:ED$13,
     K66:ED66,
     LAMBDA(
       job,
       buff,
       target,
       check,
       IF(
         AND(check=TRUE, REGEXMATCH(target, ""SELF_EFFECTED_ALL""), ISNUMBER(buff), job=""占星術師"""&amp;"),
         buff,
         1
       )
     )
   )
 )"),1.0)</f>
        <v>1</v>
      </c>
      <c r="EK66" s="200">
        <f>IFERROR(__xludf.DUMMYFUNCTION("PRODUCT(
   MAP(
     K$3:ED$3,
     K$14:ED$14,
     K$13:ED$13,
     K66:ED66,
     LAMBDA(
       job,
       buff,
       target,
       check,
       IF(
         AND(check=TRUE, REGEXMATCH(target, ""SELF_EFFECTED_GCD""), ISNUMBER(buff), job=""占星術師"""&amp;"),
         buff,
         1
       )
     )
   )
 )"),1.0)</f>
        <v>1</v>
      </c>
      <c r="EL66" s="200">
        <f>IFERROR(__xludf.DUMMYFUNCTION("PRODUCT(
   MAP(
     K$3:ED$3,
     K$14:ED$14,
     K$13:ED$13,
     K66:ED66,
     LAMBDA(
       job,
       buff,
       target,
       check,
       IF(
         AND(check=TRUE, REGEXMATCH(target, ""SELF_EFFECTED_ALL""), ISNUMBER(buff), job=""学者""),"&amp;"
         buff,
         1
       )
     )
   )
 )"),1.0)</f>
        <v>1</v>
      </c>
      <c r="EM66" s="200">
        <f>IFERROR(__xludf.DUMMYFUNCTION("PRODUCT(
   MAP(
     K$3:ED$3,
     K$14:ED$14,
     K$13:ED$13,
     K66:ED66,
     LAMBDA(
       job,
       buff,
       target,
       check,
       IF(
         AND(check=TRUE, REGEXMATCH(target, ""SELF_EFFECTED_GCD""), ISNUMBER(buff), job=""学者""),"&amp;"
         buff,
         1
       )
     )
   )
 )"),1.0)</f>
        <v>1</v>
      </c>
      <c r="EN66" s="200">
        <f>IFERROR(__xludf.DUMMYFUNCTION("PRODUCT(
   MAP(
     K$3:ED$3,
     K$14:ED$14,
     K$13:ED$13,
     K66:ED66,
     LAMBDA(
       job,
       buff,
       target,
       check,
       IF(
         AND(check=TRUE, REGEXMATCH(target, ""SELF_EFFECTED_ALL""), ISNUMBER(buff), job=""賢者""),"&amp;"
         buff,
         1
       )
     )
   )
 )"),1.0)</f>
        <v>1</v>
      </c>
      <c r="EO66" s="200">
        <f>IFERROR(__xludf.DUMMYFUNCTION("PRODUCT(
   MAP(
     K$3:ED$3,
     K$14:ED$14,
     K$13:ED$13,
     K66:ED66,
     LAMBDA(
       job,
       buff,
       target,
       check,
       IF(
         AND(check=TRUE, REGEXMATCH(target, ""SELF_EFFECTED_GCD""), ISNUMBER(buff), job=""賢者""),"&amp;"
         buff,
         1
       )
     )
   )
 )"),1.0)</f>
        <v>1</v>
      </c>
      <c r="EP66" s="201">
        <f t="shared" si="3"/>
        <v>0</v>
      </c>
      <c r="EQ66" s="201">
        <f>IFERROR(__xludf.DUMMYFUNCTION("SUM(
   MAP(
     K$4:ED$4,
     K$3:ED$3,
     K$7:ED$7,
     K$15:ED$15,
     K$16:ED$16,
     K$21:ED$21,
     K$5:ED$5,
     K$17:ED$17,
     K66:ED66,
     LAMBDA(
       name,
       job,
       abillity,
       buff,
       barrier,
       enhance,"&amp;"
       assign,
       precondition,
       check,
       SWITCH(
         name,
         ""シェイクオフ"", IF(check=TRUE, buff + (0.02 * COUNTIF(ARRAYFORMULA((REGEXMATCH($K$4:$ED$4, ""スリル・オブ・バトル|ヴェンジェンス|原初の血気|ダムネーション"")) * (K66:ED66=TRUE)), 1)), 0),
         "&amp;"""インプロビゼーションフィニッシュ(踊りの激情0)"", IF(ISNUMBER(check), INDEX(Skill!$AJ:$AJ, MATCH(SUBSTITUTE(DV$4, 0, check), Skill!$C:$C, 0)), 0),
         IF(
           AND(check=TRUE, REGEXMATCH(assign, ""RANGE_PARTY"")),
           IF(
             OR(ARRAYFORMULA((IF(pr"&amp;"econdition="""", FALSE, REGEXMATCH($K$4:$ED$4, precondition))) * (K66:ED66=TRUE))),
             enhance,
             IF(barrier="""", buff, barrier)
           ),
           0
         )
       ) *
       SWITCH(
         job,
         ""ナイト"", EY$24,
 "&amp;"        ""戦士"", FD$24,
         ""踊り子"", ET$24,
         ""ピクトマンサー"", ET$24,
         ""白魔道士"", EF66 * EH66 * IF(abillity, 1, EG66 * EI66) * (Option!$D$22 * 0.81 / 100),
         ""占星術師"", EF66 * EJ66 * IF(abillity, 1, EG66 * EK66) * (Option!$D$23 * 0.81 "&amp;"/ 100),
         ""学者"", EF66 * EL66 * IF(abillity, 1, EG66 * EM66) * (Option!$D$24 * 0.81 / 100),
         ""賢者"", EF66 * EN66 * IF(abillity, 1, EG66 * EO66) * (Option!$D$25 * 0.81 / 100),
         1
       )
     )
   )
 )"),0.0)</f>
        <v>0</v>
      </c>
      <c r="ER66" s="202">
        <f t="shared" si="4"/>
        <v>0</v>
      </c>
      <c r="ES66" s="203">
        <f t="shared" si="5"/>
        <v>0</v>
      </c>
      <c r="ET66" s="231" t="str">
        <f>IFERROR(__xludf.DUMMYFUNCTION("IFS(
  EP66 &gt; $ET$24 + EQ66,
  SPARKLINE({ 1, 0 }, {""charttype"",""bar"";""max"", 1;""color1"",Option!$D$30;""color2"",Option!$D$30}),
  EP66 &lt; EQ66,
  SPARKLINE({EQ66 - EP66, $ET$24 - (EQ66 - EP66)}, {""charttype"",""bar"";""max"",$ET$24;""color1"",Opti"&amp;"on!$D$28;""color2"",Option!$D$29}),
  EP66 &gt;= EQ66,
  SPARKLINE({$ET$24 + EQ66 - EP66,EP66 - EQ66}, {""charttype"",""bar"";""max"",$ET$24;""color1"",Option!$D$29;""color2"",Option!$D$30})
)"),"")</f>
        <v/>
      </c>
      <c r="EU66" s="205">
        <f>IFERROR(__xludf.DUMMYFUNCTION("PRODUCT(
   MAP(
     IF($F66=""Physical"", K$10:ED$10, IF($F66=""Magic"", K$11:ED$11, K$12:ED$12)),
     IF($F66=""Physical"", K$18:ED$18, IF($F66=""Magic"", K$19:ED$19, K$20:ED$20)),
     K$3:ED$3,
     K$5:ED$5,
     K$17:ED$17,
     K66:ED66,
     LAM"&amp;"BDA(
       mitigation,
       enhance,
       job,
       assign,
       precondition,
       check,
       IF(
         OR(AND(check=TRUE, REGEXMATCH(assign, ""SELF""), job=""ナイト""), AND(check=Option!$E$13, REGEXMATCH(assign, ""SINGLE_PARTY""))),
      "&amp;"   IF(
           OR(ARRAYFORMULA((IF(precondition="""", FALSE, REGEXMATCH($K$4:$ED$4, precondition))) * (K66:ED66=TRUE))),
           enhance,
           mitigation
         ),
         1
       )
     )
   )
 ) * EE66"),1.0)</f>
        <v>1</v>
      </c>
      <c r="EV66" s="206">
        <f t="shared" si="6"/>
        <v>0</v>
      </c>
      <c r="EW66" s="205">
        <f>IFERROR(__xludf.DUMMYFUNCTION("PRODUCT(
   MAP(
     K$3:ED$3,
     K$14:ED$14,
     K$13:ED$13,
     K66:ED66,
     LAMBDA(
       job,
       buff,
       target,
       check,
       IF(
         OR(AND(check=TRUE, REGEXMATCH(target, ""SELF_AFFECTED_ALL""), job=""ナイト""), AND(check=O"&amp;"ption!$E$13, REGEXMATCH(target, ""SINGLE_AFFECTED_ALL""))),
         buff,
         1
       )
     )
   )
 )"),1.0)</f>
        <v>1</v>
      </c>
      <c r="EX66" s="206">
        <f>IFERROR(__xludf.DUMMYFUNCTION("SUM(
   MAP(
     K$3:ED$3,
     K$7:ED$7,
     K$15:ED$15,
     K$16:ED$16,
     K$21:ED$21,
     K$5:ED$5,
     K$17:ED$17,
     K66:ED66,
     LAMBDA(
       job,
       abillity,
       buff,
       barrier,
       enhance,
       assign,
       preco"&amp;"ndition,
       check,
       IF(
         OR(AND(check=TRUE, REGEXMATCH(assign, ""SELF""), job=""ナイト""), AND(check=Option!$E$13, REGEXMATCH(assign, ""SINGLE_PARTY""))),
         IF(
           OR(ARRAYFORMULA((IF(precondition="""", FALSE, REGEXMATCH($K$4"&amp;":$ED$4, precondition))) * (K66:ED66=TRUE))),
           enhance,
           IF(barrier="""", buff, barrier)
         ),
         0
       ) *
       SWITCH(
         job,
         ""暗黒騎士"", EY$24,
         ""白魔道士"", EF66 * EH66 * EW66 * IF(abillity, 1, EG"&amp;"66 * EI66) * (Option!$D$22 * 0.81 / 100),
         ""占星術師"", EF66 * EJ66 * EW66 * IF(abillity, 1, EG66 * EK66) * (Option!$D$23 * 0.81 / 100),
         ""学者"", EF66 * EL66 * EW66 * IF(abillity, 1, EG66 * EM66) * (Option!$D$24 * 0.81 / 100),
         ""賢者"""&amp;", EF66 * EN66 * EW66 * IF(abillity, 1, EG66 * EO66) * (Option!$D$25 * 0.81 / 100),
         1
       )
     )
   )
 ) + EQ66"),0.0)</f>
        <v>0</v>
      </c>
      <c r="EY66" s="232">
        <f t="shared" si="7"/>
        <v>0</v>
      </c>
      <c r="EZ66" s="205">
        <f>IFERROR(__xludf.DUMMYFUNCTION("PRODUCT(
   MAP(
     IF($F66=""Physical"", K$10:ED$10, IF($F66=""Magic"", K$11:ED$11, K$12:ED$12)),
     IF($F66=""Physical"", K$18:ED$18, IF($F66=""Magic"", K$19:ED$19, K$20:ED$20)),
     K$3:ED$3,
     K$5:ED$5,
     K$17:ED$17,
     K66:ED66,
     LAM"&amp;"BDA(
       mitigation,
       enhance,
       job,
       assign,
       precondition,
       check,
       IF(
         OR(AND(check=TRUE, REGEXMATCH(assign, ""SELF""), job=""戦士""), AND(check=Option!$F$13, REGEXMATCH(assign, ""SINGLE_PARTY""))),
       "&amp;"  IF(
           OR(ARRAYFORMULA((IF(precondition="""", FALSE, REGEXMATCH($K$4:$ED$4, precondition))) * (K66:ED66=TRUE))),
           enhance,
           mitigation
         ),
         1
       )
     )
   )
 ) * EE66"),1.0)</f>
        <v>1</v>
      </c>
      <c r="FA66" s="206">
        <f t="shared" si="8"/>
        <v>0</v>
      </c>
      <c r="FB66" s="205">
        <f>IFERROR(__xludf.DUMMYFUNCTION("PRODUCT(
   MAP(
     K$3:ED$3,
     K$14:ED$14,
     K$13:ED$13,
     K66:ED66,
     LAMBDA(
       job,
       buff,
       target,
       check,
       IF(
         OR(AND(check=TRUE, REGEXMATCH(target, ""SELF_AFFECTED_ALL""), job=""戦士""), AND(check=Op"&amp;"tion!$F$13, REGEXMATCH(target, ""SINGLE_AFFECTED_ALL""))),
         buff,
         1
       )
     )
   )
 )"),1.0)</f>
        <v>1</v>
      </c>
      <c r="FC66" s="206">
        <f>IFERROR(__xludf.DUMMYFUNCTION("SUM(
   MAP(
     K$3:ED$3,
     K$7:ED$7,
     K$15:ED$15,
     K$16:ED$16,
     K$21:ED$21,
     K$5:ED$5,
     K$17:ED$17,
     K66:ED66,
     LAMBDA(
       job,
       abillity,
       buff,
       barrier,
       enhance,
       assign,
       preco"&amp;"ndition,
       check,
       IF(
         OR(AND(check=TRUE, REGEXMATCH(assign, ""SELF""), job=""戦士""), AND(check=Option!$F$13, REGEXMATCH(assign, ""SINGLE_PARTY""))),
         IF(
           OR(ARRAYFORMULA((IF(precondition="""", FALSE, REGEXMATCH($K$4:"&amp;"$ED$4, precondition))) * (K66:ED66=TRUE))),
           enhance,
           IF(barrier="""", buff, barrier)
         ),
         0
       ) *
       SWITCH(
         job,
         ""暗黒騎士"", FD$24,
         ""白魔道士"", EF66 * EH66 * FB66 * IF(abillity, 1, EG6"&amp;"6 * EI66) * (Option!$D$22 * 0.81 / 100),
         ""占星術師"", EF66 * EJ66 * FFB66 * IF(abillity, 1, EG66 * EK66) * (Option!$D$23 * 0.81 / 100),
         ""学者"", EF66 * EL66 * FB66 * IF(abillity, 1, EG66 * EM66) * (Option!$D$24 * 0.81 / 100),
         ""賢者"""&amp;", EF66 * EN66 * FB66 * IF(abillity, 1, EG66 * EO66) * (Option!$D$25 * 0.81 / 100),
         1
       )
     )
   )
 ) + EQ66"),0.0)</f>
        <v>0</v>
      </c>
      <c r="FD66" s="206">
        <f t="shared" si="9"/>
        <v>0</v>
      </c>
      <c r="FE66" s="205">
        <f>IFERROR(__xludf.DUMMYFUNCTION("PRODUCT(
   MAP(
     IF($F66=""Physical"", K$10:ED$10, IF($F66=""Magic"", K$11:ED$11, K$12:ED$12)),
     IF($F66=""Physical"", K$18:ED$18, IF($F66=""Magic"", K$19:ED$19, K$20:ED$20)),
     K$3:ED$3,
     K$5:ED$5,
     K$17:ED$17,
     K66:ED66,
     LAM"&amp;"BDA(
       mitigation,
       enhance,
       job,
       assign,
       precondition,
       check,
       IF(
         OR(AND(check=TRUE, REGEXMATCH(assign, ""SELF""), job=""暗黒騎士""), AND(check=Option!$G$13, REGEXMATCH(assign, ""SINGLE_PARTY""))),
     "&amp;"    IF(
           OR(ARRAYFORMULA((IF(precondition="""", FALSE, REGEXMATCH($K$4:$ED$4, precondition))) * (K66:ED66=TRUE))),
           enhance,
           mitigation
         ),
         1
       )
     )
   )
 ) * EE66"),1.0)</f>
        <v>1</v>
      </c>
      <c r="FF66" s="206">
        <f t="shared" si="10"/>
        <v>0</v>
      </c>
      <c r="FG66" s="205">
        <f>IFERROR(__xludf.DUMMYFUNCTION("PRODUCT(
   MAP(
     K$3:ED$3,
     K$14:ED$14,
     K$13:ED$13,
     K66:ED66,
     LAMBDA(
       job,
       buff,
       target,
       check,
       IF(
         OR(AND(check=TRUE, REGEXMATCH(target, ""SELF_AFFECTED_ALL""), job=""暗黒騎士""), AND(check="&amp;"Option!$G$13, REGEXMATCH(target, ""SINGLE_AFFECTED_ALL""))),
         buff,
         1
       )
     )
   )
 )"),1.0)</f>
        <v>1</v>
      </c>
      <c r="FH66" s="206">
        <f>IFERROR(__xludf.DUMMYFUNCTION("SUM(
   MAP(
     K$3:ED$3,
     K$7:ED$7,
     K$15:ED$15,
     K$16:ED$16,
     K$21:ED$21,
     K$5:ED$5,
     K$17:ED$17,
     K66:ED66,
     LAMBDA(
       job,
       abillity,
       buff,
       barrier,
       enhance,
       assign,
       preco"&amp;"ndition,
       check,
       IF(
         OR(AND(check=TRUE, REGEXMATCH(assign, ""SELF""), job=""暗黒騎士""), AND(check=Option!$G$13, REGEXMATCH(assign, ""SINGLE_PARTY""))),
         IF(
           OR(ARRAYFORMULA((IF(precondition="""", FALSE, REGEXMATCH($K$"&amp;"4:$ED$4, precondition))) * (K66:ED66=TRUE))),
           enhance,
           IF(barrier="""", buff, barrier)
         ),
         0
       ) *
       SWITCH(
         job,
         ""暗黒騎士"", FI$24,
         ""白魔道士"", EF66 * EH66 * FG66 * IF(abillity, 1, E"&amp;"G66 * EI66) * (Option!$D$22 * 0.81 / 100),
         ""占星術師"", EF66 * EJ66 * FG66 * IF(abillity, 1, EG66 * EK66) * (Option!$D$23 * 0.81 / 100),
         ""学者"", EF66 * EL66 * FG66 * IF(abillity, 1, EG66 * EM66) * (Option!$D$24 * 0.81 / 100),
         ""賢者"&amp;""", EF66 * EN66 * FG66 * IF(abillity, 1, EG66 * EO66) * (Option!$D$25 * 0.81 / 100),
         1
       )
     )
   )
 ) + EQ66"),0.0)</f>
        <v>0</v>
      </c>
      <c r="FI66" s="206">
        <f t="shared" si="11"/>
        <v>0</v>
      </c>
      <c r="FJ66" s="205">
        <f>IFERROR(__xludf.DUMMYFUNCTION("PRODUCT(
   MAP(
     IF($F66=""Physical"", K$10:ED$10, IF($F66=""Magic"", K$11:ED$11, K$12:ED$12)),
     IF($F66=""Physical"", K$18:ED$18, IF($F66=""Magic"", K$19:ED$19, K$20:ED$20)),
     K$3:ED$3,
     K$5:ED$5,
     K$17:ED$17,
     K66:ED66,
     LAM"&amp;"BDA(
       mitigation,
       enhance,
       job,
       assign,
       precondition,
       check,
       IF(
         OR(AND(check=TRUE, REGEXMATCH(assign, ""SELF""), job=""ガンブレイカー""), AND(check=Option!$H$13, REGEXMATCH(assign, ""SINGLE_PARTY""))),
  "&amp;"       IF(
           OR(ARRAYFORMULA((IF(precondition="""", FALSE, REGEXMATCH($K$4:$ED$4, precondition))) * (K66:ED66=TRUE))),
           enhance,
           mitigation
         ),
         1
       )
     )
   )
 ) * EE66"),1.0)</f>
        <v>1</v>
      </c>
      <c r="FK66" s="206">
        <f t="shared" si="12"/>
        <v>0</v>
      </c>
      <c r="FL66" s="205">
        <f>IFERROR(__xludf.DUMMYFUNCTION("PRODUCT(
   MAP(
     K$3:ED$3,
     K$14:ED$14,
     K$13:ED$13,
     K66:ED66,
     LAMBDA(
       job,
       buff,
       target,
       check,
       IF(
         OR(AND(check=TRUE, REGEXMATCH(target, ""SELF_AFFECTED_ALL""), job=""ガンブレイカー""), AND(che"&amp;"ck=Option!$H$13, REGEXMATCH(target, ""SINGLE_AFFECTED_ALL""))),
         buff,
         1
       )
     )
   )
 )"),1.0)</f>
        <v>1</v>
      </c>
      <c r="FM66" s="206">
        <f>IFERROR(__xludf.DUMMYFUNCTION("SUM(
   MAP(
     K$3:ED$3,
     K$7:ED$7,
     K$15:ED$15,
     K$16:ED$16,
     K$21:ED$21,
     K$5:ED$5,
     K$17:ED$17,
     K66:ED66,
     LAMBDA(
       job,
       abillity,
       buff,
       barrier,
       enhance,
       assign,
       preco"&amp;"ndition,
       check,
       IF(
         OR(AND(check=TRUE, REGEXMATCH(assign, ""SELF""), job=""ガンブレイカー""), AND(check=Option!$H$13, REGEXMATCH(assign, ""SINGLE_PARTY""))),
         IF(
           OR(ARRAYFORMULA((IF(precondition="""", FALSE, REGEXMATCH("&amp;"$K$4:$ED$4, precondition))) * (K66:ED66=TRUE))),
           enhance,
           IF(barrier="""", buff, barrier)
         ),
         0
       ) *
       SWITCH(
         job,
         ""暗黒騎士"", FN$24,
         ""白魔道士"", EF66 * EH66 * FL66 * IF(abillity, 1"&amp;", EG66 * EI66) * (Option!$D$22 * 0.81 / 100),
         ""占星術師"", EF66 * EJ66 * FL66 * IF(abillity, 1, EG66 * EK66) * (Option!$D$23 * 0.81 / 100),
         ""学者"", EF66 * EL66 * FL66 * IF(abillity, 1, EG66 * EM66) * (Option!$D$24 * 0.81 / 100),
         """&amp;"賢者"", EF66 * EN66 * FL66 * IF(abillity, 1, EG66 * EO66) * (Option!$D$25 * 0.81 / 100),
         1
       )
     )
   )
 ) + EQ66"),0.0)</f>
        <v>0</v>
      </c>
      <c r="FN66" s="206">
        <f t="shared" si="13"/>
        <v>0</v>
      </c>
      <c r="FO66" s="213"/>
    </row>
    <row r="67">
      <c r="B67" s="229"/>
      <c r="C67" s="217"/>
      <c r="D67" s="236"/>
      <c r="E67" s="238"/>
      <c r="F67" s="167"/>
      <c r="G67" s="168" t="str">
        <f t="shared" si="2"/>
        <v/>
      </c>
      <c r="H67" s="169"/>
      <c r="I67" s="169"/>
      <c r="J67" s="169"/>
      <c r="K67" s="170" t="b">
        <v>0</v>
      </c>
      <c r="L67" s="170" t="b">
        <v>0</v>
      </c>
      <c r="M67" s="170" t="b">
        <v>0</v>
      </c>
      <c r="N67" s="171" t="s">
        <v>1070</v>
      </c>
      <c r="O67" s="172" t="b">
        <v>0</v>
      </c>
      <c r="P67" s="173" t="b">
        <v>0</v>
      </c>
      <c r="Q67" s="173" t="b">
        <v>0</v>
      </c>
      <c r="R67" s="173" t="b">
        <v>0</v>
      </c>
      <c r="S67" s="174" t="b">
        <v>0</v>
      </c>
      <c r="T67" s="175" t="b">
        <v>0</v>
      </c>
      <c r="U67" s="173" t="b">
        <v>0</v>
      </c>
      <c r="V67" s="171" t="s">
        <v>1070</v>
      </c>
      <c r="W67" s="172" t="b">
        <v>0</v>
      </c>
      <c r="X67" s="173" t="b">
        <v>0</v>
      </c>
      <c r="Y67" s="173" t="b">
        <v>0</v>
      </c>
      <c r="Z67" s="173" t="b">
        <v>0</v>
      </c>
      <c r="AA67" s="174" t="b">
        <v>0</v>
      </c>
      <c r="AB67" s="174" t="b">
        <v>0</v>
      </c>
      <c r="AC67" s="175" t="b">
        <v>0</v>
      </c>
      <c r="AD67" s="173" t="b">
        <v>0</v>
      </c>
      <c r="AE67" s="176" t="s">
        <v>1070</v>
      </c>
      <c r="AF67" s="171" t="s">
        <v>1070</v>
      </c>
      <c r="AG67" s="177">
        <f>IFERROR(__xludf.DUMMYFUNCTION("IF(
  ISNUMBER(AG66),
  MIN(MAX(
    AG66
    + MAX(
      ROUNDDOWN(($D67 - MAX(IFERROR(FILTER($D$24:$D66, AG$24:AG66 &lt;&gt; AF$6, AG$23:AG65 = AF$6), 0))) * (60 * 60 * 24) / AF$9) - ROUNDDOWN(($D66 - MAX(IFERROR(FILTER($D$23:$D65, AG$23:AG65 &lt;&gt; AF$6, AG$22:"&amp;"AG64 = AF$6), 0))) * (60 * 60 * 24) / 60),
      0
    )
    - COUNTIF(AF67, ""&lt;&gt;-""),
  0), AF$6),
  AF$6 - COUNTIF(AF67, ""&lt;&gt;-"")
)"),2.0)</f>
        <v>2</v>
      </c>
      <c r="AH67" s="173" t="b">
        <v>0</v>
      </c>
      <c r="AI67" s="173" t="b">
        <v>0</v>
      </c>
      <c r="AJ67" s="173" t="b">
        <v>0</v>
      </c>
      <c r="AK67" s="174" t="b">
        <v>0</v>
      </c>
      <c r="AL67" s="175" t="b">
        <v>0</v>
      </c>
      <c r="AM67" s="173" t="b">
        <v>0</v>
      </c>
      <c r="AN67" s="171" t="s">
        <v>1070</v>
      </c>
      <c r="AO67" s="173" t="b">
        <v>0</v>
      </c>
      <c r="AP67" s="173" t="b">
        <v>0</v>
      </c>
      <c r="AQ67" s="173" t="b">
        <v>0</v>
      </c>
      <c r="AR67" s="174" t="b">
        <v>0</v>
      </c>
      <c r="AS67" s="178" t="b">
        <v>0</v>
      </c>
      <c r="AT67" s="179" t="b">
        <v>0</v>
      </c>
      <c r="AU67" s="180" t="b">
        <v>0</v>
      </c>
      <c r="AV67" s="180" t="b">
        <v>0</v>
      </c>
      <c r="AW67" s="180" t="b">
        <v>0</v>
      </c>
      <c r="AX67" s="180" t="b">
        <v>0</v>
      </c>
      <c r="AY67" s="181" t="s">
        <v>1070</v>
      </c>
      <c r="AZ67" s="181" t="s">
        <v>1070</v>
      </c>
      <c r="BA67" s="184">
        <f>IFERROR(__xludf.DUMMYFUNCTION("IF(
  ISNUMBER(BA66),
  MIN(MAX(
    BA66
    + MAX(
      ROUNDDOWN((D67 - MAX(IFERROR(FILTER(D$24:D66, BA$24:BA66 &lt;&gt; AZ$6, BA$23:BA65 = AZ$6), 0))) * (60 * 60 * 24) / AZ$9) - ROUNDDOWN((D66 - MAX(IFERROR(FILTER(D$23:D65, BA$23:BA65 &lt;&gt; AZ$6, BA$22:BA64 ="&amp;" AZ$6), 0))) * (60 * 60 * 24) / AZ$9),
      0
    )
    - COUNTIF(AZ67, ""&lt;&gt;-""),
  0), AZ$6),
  AZ$6 - COUNTIF(AZ67, ""&lt;&gt;-"")
)"),2.0)</f>
        <v>2</v>
      </c>
      <c r="BB67" s="181" t="s">
        <v>1070</v>
      </c>
      <c r="BC67" s="183">
        <f>IFERROR(__xludf.DUMMYFUNCTION("IF(
  ISNUMBER(BC66),
  MIN(MAX(
    BC66
    + MAX(
      ROUNDDOWN(($D67 - MAX(IFERROR(FILTER($D$24:$D66, BC$24:BC66 &lt;&gt; BB$6, BC$23:BC65 = BB$6), 0))) * (60 * 60 * 24) / BB$9) - ROUNDDOWN(($D66 - MAX(IFERROR(FILTER($D$23:$D65, BC$23:BC65 &lt;&gt; BB$6, BC$22:"&amp;"BC64 = BB$6), 0))) * (60 * 60 * 24) / 60),
      0
    )
    - COUNTIF(BB67, ""&lt;&gt;-""),
  0), BB$6),
  BB$6 - COUNTIF(BB67, ""&lt;&gt;-"")
)"),2.0)</f>
        <v>2</v>
      </c>
      <c r="BD67" s="181" t="s">
        <v>1070</v>
      </c>
      <c r="BE67" s="178" t="b">
        <v>0</v>
      </c>
      <c r="BF67" s="180" t="b">
        <v>0</v>
      </c>
      <c r="BG67" s="180" t="b">
        <v>0</v>
      </c>
      <c r="BH67" s="180" t="b">
        <v>0</v>
      </c>
      <c r="BI67" s="180" t="b">
        <v>0</v>
      </c>
      <c r="BJ67" s="180" t="b">
        <v>0</v>
      </c>
      <c r="BK67" s="180" t="b">
        <v>0</v>
      </c>
      <c r="BL67" s="180" t="b">
        <v>0</v>
      </c>
      <c r="BM67" s="180" t="b">
        <v>0</v>
      </c>
      <c r="BN67" s="180" t="b">
        <v>0</v>
      </c>
      <c r="BO67" s="181" t="s">
        <v>1070</v>
      </c>
      <c r="BP67" s="181" t="s">
        <v>1070</v>
      </c>
      <c r="BQ67" s="181" t="s">
        <v>1070</v>
      </c>
      <c r="BR67" s="181" t="s">
        <v>1070</v>
      </c>
      <c r="BS67" s="181" t="s">
        <v>1070</v>
      </c>
      <c r="BT67" s="184">
        <f>IFERROR(__xludf.DUMMYFUNCTION("IF(
  ISNUMBER(BT66),
  MIN(MAX(
    BT66
    + MAX(
      ROUNDDOWN((D67 - MAX(IFERROR(FILTER(D$24:D66, BT$24:BT66 &lt;&gt; BS$6, BT$23:BT65 = BS$6), 0))) * (60 * 60 * 24) / BS$9) - ROUNDDOWN((D66 - MAX(IFERROR(FILTER(D$23:D65, BT$23:BT65 &lt;&gt; BS$6, BT$22:BT64 ="&amp;" BS$6), 0))) * (60 * 60 * 24) / BS$9),
      0
    )
    - COUNTIF(BS67, ""&lt;&gt;-""),
  0), BS$6),
  BS$6 - COUNTIF(BS67, ""&lt;&gt;-"")
)"),3.0)</f>
        <v>3</v>
      </c>
      <c r="BU67" s="181" t="s">
        <v>1070</v>
      </c>
      <c r="BV67" s="181" t="s">
        <v>1070</v>
      </c>
      <c r="BW67" s="184">
        <f>IFERROR(__xludf.DUMMYFUNCTION("IF(
  ISNUMBER(BW66),
  MIN(MAX(
    BW66
    + MAX(
      ROUNDDOWN((D67 - MAX(IFERROR(FILTER(D$24:D66, BW$24:BW66 &lt;&gt; BV$6, BW$23:BW65 = BV$6), 0))) * (60 * 60 * 24) / BV$9) - ROUNDDOWN((D66 - MAX(IFERROR(FILTER(D$23:D65, BW$23:BW65 &lt;&gt; BV$6, BW$22:BW64 ="&amp;" BV$6), 0))) * (60 * 60 * 24) / BV$9),
      0
    )
    - COUNTIF(BV67, ""&lt;&gt;-""),
  0), BV$6),
  BV$6 - COUNTIF(BV67, ""&lt;&gt;-"")
)"),2.0)</f>
        <v>2</v>
      </c>
      <c r="BX67" s="185" t="s">
        <v>1070</v>
      </c>
      <c r="BY67" s="178" t="b">
        <v>0</v>
      </c>
      <c r="BZ67" s="180" t="b">
        <v>0</v>
      </c>
      <c r="CA67" s="180" t="b">
        <v>0</v>
      </c>
      <c r="CB67" s="180" t="b">
        <v>0</v>
      </c>
      <c r="CC67" s="180" t="b">
        <v>0</v>
      </c>
      <c r="CD67" s="180" t="b">
        <v>0</v>
      </c>
      <c r="CE67" s="180" t="b">
        <v>0</v>
      </c>
      <c r="CF67" s="180" t="b">
        <v>0</v>
      </c>
      <c r="CG67" s="180" t="b">
        <v>0</v>
      </c>
      <c r="CH67" s="180" t="b">
        <v>0</v>
      </c>
      <c r="CI67" s="180" t="b">
        <v>0</v>
      </c>
      <c r="CJ67" s="180" t="b">
        <v>0</v>
      </c>
      <c r="CK67" s="180" t="b">
        <v>0</v>
      </c>
      <c r="CL67" s="180" t="b">
        <v>0</v>
      </c>
      <c r="CM67" s="181" t="s">
        <v>1070</v>
      </c>
      <c r="CN67" s="181" t="s">
        <v>1070</v>
      </c>
      <c r="CO67" s="181" t="s">
        <v>1070</v>
      </c>
      <c r="CP67" s="181" t="s">
        <v>1070</v>
      </c>
      <c r="CQ67" s="185" t="s">
        <v>1070</v>
      </c>
      <c r="CR67" s="180" t="b">
        <v>0</v>
      </c>
      <c r="CS67" s="186" t="str">
        <f t="shared" si="14"/>
        <v>◇◇◇</v>
      </c>
      <c r="CT67" s="178" t="b">
        <v>0</v>
      </c>
      <c r="CU67" s="180" t="b">
        <v>0</v>
      </c>
      <c r="CV67" s="180" t="b">
        <v>0</v>
      </c>
      <c r="CW67" s="180" t="b">
        <v>0</v>
      </c>
      <c r="CX67" s="180" t="b">
        <v>0</v>
      </c>
      <c r="CY67" s="180" t="b">
        <v>0</v>
      </c>
      <c r="CZ67" s="180" t="b">
        <v>0</v>
      </c>
      <c r="DA67" s="180" t="b">
        <v>0</v>
      </c>
      <c r="DB67" s="180" t="b">
        <v>0</v>
      </c>
      <c r="DC67" s="180" t="b">
        <v>0</v>
      </c>
      <c r="DD67" s="181" t="s">
        <v>1070</v>
      </c>
      <c r="DE67" s="181" t="s">
        <v>1070</v>
      </c>
      <c r="DF67" s="181" t="s">
        <v>1070</v>
      </c>
      <c r="DG67" s="185" t="s">
        <v>1070</v>
      </c>
      <c r="DH67" s="180" t="b">
        <v>0</v>
      </c>
      <c r="DI67" s="187" t="str">
        <f>IFERROR(__xludf.DUMMYFUNCTION("SWITCH(
  IF(
    ISTEXT(DI66),
    IF (
      FIND(""○"", DI66&amp;""○"") &gt; 3,
      3,
      FIND(""○"", DI66&amp;""○"")
      + MAX(
        ROUNDDOWN(($D67 - MAX(IFERROR(FILTER(D$24:D66, DI$24:DI66 &lt;&gt; ""●●●"", DI$23:DI65 = ""●●●""), 0))) * (60 * 60 * 24) / 20"&amp;") - ROUNDDOWN(($D66 - MAX(IFERROR(FILTER(D$23:D65, DI$23:DI65 &lt;&gt; ""●●●"", DI$22:DI64 = ""●●●""), 0))) * (60 * 60 * 24) / 20),
        0
      ) - 1
    ) - COUNTIFS(CU67, ""=TRUE"", CU66, ""&lt;&gt;TRUE"") - COUNTIF(CZ67, ""=TRUE"") - COUNTIF({DD67,DE67}, ""&lt;&gt;-"&amp;""") + COUNTIF(DH67, ""=TRUE""),
    3
  ),
  0, ""○○○"", 1, ""●○○"", 2, ""●●○"", 3, ""●●●"", 4, ""●●●"", ""○○○""
)"),"●●●")</f>
        <v>●●●</v>
      </c>
      <c r="DJ67" s="188" t="b">
        <v>0</v>
      </c>
      <c r="DK67" s="189" t="b">
        <v>0</v>
      </c>
      <c r="DL67" s="190" t="b">
        <v>0</v>
      </c>
      <c r="DM67" s="190" t="b">
        <v>0</v>
      </c>
      <c r="DN67" s="190" t="b">
        <v>0</v>
      </c>
      <c r="DO67" s="190" t="b">
        <v>0</v>
      </c>
      <c r="DP67" s="190" t="b">
        <v>0</v>
      </c>
      <c r="DQ67" s="191" t="b">
        <v>0</v>
      </c>
      <c r="DR67" s="192" t="b">
        <v>0</v>
      </c>
      <c r="DS67" s="191" t="b">
        <v>0</v>
      </c>
      <c r="DT67" s="192" t="b">
        <v>0</v>
      </c>
      <c r="DU67" s="191" t="b">
        <v>0</v>
      </c>
      <c r="DV67" s="193" t="s">
        <v>1070</v>
      </c>
      <c r="DW67" s="194" t="b">
        <v>0</v>
      </c>
      <c r="DX67" s="194" t="b">
        <v>0</v>
      </c>
      <c r="DY67" s="195" t="b">
        <v>0</v>
      </c>
      <c r="DZ67" s="196" t="b">
        <v>0</v>
      </c>
      <c r="EA67" s="195" t="b">
        <v>0</v>
      </c>
      <c r="EB67" s="197" t="b">
        <v>0</v>
      </c>
      <c r="EC67" s="197" t="b">
        <v>0</v>
      </c>
      <c r="ED67" s="212" t="b">
        <v>0</v>
      </c>
      <c r="EE67" s="199">
        <f>IFERROR(__xludf.DUMMYFUNCTION("IFERROR(
   PRODUCT(
     MAP(
       INDEX(TRANSPOSE(UNIQUE(TRANSPOSE(FILTER({IF($F67=""Physical"", K$10:ED$10, IF($F67=""Magic"", K$11:ED$11, K$12:ED$12));K$4:ED$4;K67:ED67}, K67:ED67=TRUE)))), 1, 0),
       INDEX(TRANSPOSE(UNIQUE(TRANSPOSE(FILTER({IF($"&amp;"F67=""Physical"", K$18:ED$18, IF($F67=""Magic"", K$19:ED$19, K$20:ED$20));K$4:ED$4;K67:ED67}, K67:ED67=TRUE)))), 1, 0),
       INDEX(TRANSPOSE(UNIQUE(TRANSPOSE(FILTER({K$5:ED$5;K$4:ED$4;K67:ED67}, K67:ED67=TRUE)))), 1, 0),
       INDEX(TRANSPOSE(UNIQUE(TR"&amp;"ANSPOSE(FILTER({K$17:ED$17;K$4:ED$4;K67:ED67}, K67:ED67=TRUE)))), 1, 0),
       LAMBDA(
         mitigation,
         enhance,
         assign,
         precondition,
         IF(
           REGEXMATCH(assign, ""RANGE_PARTY|SINGLE_ENEMY|RANGE_ENEMY""),
  "&amp;"         IF(
             OR(ARRAYFORMULA((IF(precondition="""", FALSE, REGEXMATCH(K$4:ED$4, precondition))) * (K67:ED67=TRUE))),
             IF(ISNUMBER(enhance), enhance, 1),
             IF(ISNUMBER(mitigation), mitigation, 1)
           ),
          "&amp;" 1
         )
       )
     )
   ),
   1
 )"),1.0)</f>
        <v>1</v>
      </c>
      <c r="EF67" s="200">
        <f>IFERROR(__xludf.DUMMYFUNCTION("PRODUCT(
   MAP(
     K$14:ED$14,
     K$13:ED$13,
     K67:ED67,
     LAMBDA(
       buff,
       target,
       check,
       IF(
         AND(check=TRUE, REGEXMATCH(target, ""RANGE_AFFECTED_ALL|RANGE_EFFECTED_ALL""), ISNUMBER(buff)),
         buff,
   "&amp;"      1
       )
     )
   )
 )"),1.0)</f>
        <v>1</v>
      </c>
      <c r="EG67" s="200">
        <f>IFERROR(__xludf.DUMMYFUNCTION("PRODUCT(
   MAP(
     K$14:ED$14,
     K$13:ED$13,
     K67:ED67,
     LAMBDA(
       buff,
       target,
       check,
       IF(
         AND(check=TRUE, REGEXMATCH(target, ""RANGE_AFFECTED_GCD|RANGE_EFFECTED_GCD""), ISNUMBER(buff)),
         buff,
   "&amp;"      1
       )
     )
   )
 )"),1.0)</f>
        <v>1</v>
      </c>
      <c r="EH67" s="200">
        <f>IFERROR(__xludf.DUMMYFUNCTION("PRODUCT(
   MAP(
     K$3:ED$3,
     K$14:ED$14,
     K$13:ED$13,
     K67:ED67,
     LAMBDA(
       job,
       buff,
       target,
       check,
       IF(
         AND(check=TRUE, REGEXMATCH(target, ""SELF_EFFECTED_ALL""), ISNUMBER(buff), job=""白魔道士"""&amp;"),
         buff,
         1
       )
     )
   )
 )"),1.0)</f>
        <v>1</v>
      </c>
      <c r="EI67" s="200">
        <f>IFERROR(__xludf.DUMMYFUNCTION("PRODUCT(
   MAP(
     K$3:ED$3,
     K$14:ED$14,
     K$13:ED$13,
     K67:ED67,
     LAMBDA(
       job,
       buff,
       target,
       check,
       IF(
         AND(check=TRUE, REGEXMATCH(target, ""SELF_EFFECTED_GCD""), ISNUMBER(buff), job=""白魔道士"""&amp;"),
         buff,
         1
       )
     )
   )
 )"),1.0)</f>
        <v>1</v>
      </c>
      <c r="EJ67" s="200">
        <f>IFERROR(__xludf.DUMMYFUNCTION("PRODUCT(
   MAP(
     K$3:ED$3,
     K$14:ED$14,
     K$13:ED$13,
     K67:ED67,
     LAMBDA(
       job,
       buff,
       target,
       check,
       IF(
         AND(check=TRUE, REGEXMATCH(target, ""SELF_EFFECTED_ALL""), ISNUMBER(buff), job=""占星術師"""&amp;"),
         buff,
         1
       )
     )
   )
 )"),1.0)</f>
        <v>1</v>
      </c>
      <c r="EK67" s="200">
        <f>IFERROR(__xludf.DUMMYFUNCTION("PRODUCT(
   MAP(
     K$3:ED$3,
     K$14:ED$14,
     K$13:ED$13,
     K67:ED67,
     LAMBDA(
       job,
       buff,
       target,
       check,
       IF(
         AND(check=TRUE, REGEXMATCH(target, ""SELF_EFFECTED_GCD""), ISNUMBER(buff), job=""占星術師"""&amp;"),
         buff,
         1
       )
     )
   )
 )"),1.0)</f>
        <v>1</v>
      </c>
      <c r="EL67" s="200">
        <f>IFERROR(__xludf.DUMMYFUNCTION("PRODUCT(
   MAP(
     K$3:ED$3,
     K$14:ED$14,
     K$13:ED$13,
     K67:ED67,
     LAMBDA(
       job,
       buff,
       target,
       check,
       IF(
         AND(check=TRUE, REGEXMATCH(target, ""SELF_EFFECTED_ALL""), ISNUMBER(buff), job=""学者""),"&amp;"
         buff,
         1
       )
     )
   )
 )"),1.0)</f>
        <v>1</v>
      </c>
      <c r="EM67" s="200">
        <f>IFERROR(__xludf.DUMMYFUNCTION("PRODUCT(
   MAP(
     K$3:ED$3,
     K$14:ED$14,
     K$13:ED$13,
     K67:ED67,
     LAMBDA(
       job,
       buff,
       target,
       check,
       IF(
         AND(check=TRUE, REGEXMATCH(target, ""SELF_EFFECTED_GCD""), ISNUMBER(buff), job=""学者""),"&amp;"
         buff,
         1
       )
     )
   )
 )"),1.0)</f>
        <v>1</v>
      </c>
      <c r="EN67" s="200">
        <f>IFERROR(__xludf.DUMMYFUNCTION("PRODUCT(
   MAP(
     K$3:ED$3,
     K$14:ED$14,
     K$13:ED$13,
     K67:ED67,
     LAMBDA(
       job,
       buff,
       target,
       check,
       IF(
         AND(check=TRUE, REGEXMATCH(target, ""SELF_EFFECTED_ALL""), ISNUMBER(buff), job=""賢者""),"&amp;"
         buff,
         1
       )
     )
   )
 )"),1.0)</f>
        <v>1</v>
      </c>
      <c r="EO67" s="200">
        <f>IFERROR(__xludf.DUMMYFUNCTION("PRODUCT(
   MAP(
     K$3:ED$3,
     K$14:ED$14,
     K$13:ED$13,
     K67:ED67,
     LAMBDA(
       job,
       buff,
       target,
       check,
       IF(
         AND(check=TRUE, REGEXMATCH(target, ""SELF_EFFECTED_GCD""), ISNUMBER(buff), job=""賢者""),"&amp;"
         buff,
         1
       )
     )
   )
 )"),1.0)</f>
        <v>1</v>
      </c>
      <c r="EP67" s="201">
        <f t="shared" si="3"/>
        <v>0</v>
      </c>
      <c r="EQ67" s="201">
        <f>IFERROR(__xludf.DUMMYFUNCTION("SUM(
   MAP(
     K$4:ED$4,
     K$3:ED$3,
     K$7:ED$7,
     K$15:ED$15,
     K$16:ED$16,
     K$21:ED$21,
     K$5:ED$5,
     K$17:ED$17,
     K67:ED67,
     LAMBDA(
       name,
       job,
       abillity,
       buff,
       barrier,
       enhance,"&amp;"
       assign,
       precondition,
       check,
       SWITCH(
         name,
         ""シェイクオフ"", IF(check=TRUE, buff + (0.02 * COUNTIF(ARRAYFORMULA((REGEXMATCH($K$4:$ED$4, ""スリル・オブ・バトル|ヴェンジェンス|原初の血気|ダムネーション"")) * (K67:ED67=TRUE)), 1)), 0),
         "&amp;"""インプロビゼーションフィニッシュ(踊りの激情0)"", IF(ISNUMBER(check), INDEX(Skill!$AJ:$AJ, MATCH(SUBSTITUTE(DV$4, 0, check), Skill!$C:$C, 0)), 0),
         IF(
           AND(check=TRUE, REGEXMATCH(assign, ""RANGE_PARTY"")),
           IF(
             OR(ARRAYFORMULA((IF(pr"&amp;"econdition="""", FALSE, REGEXMATCH($K$4:$ED$4, precondition))) * (K67:ED67=TRUE))),
             enhance,
             IF(barrier="""", buff, barrier)
           ),
           0
         )
       ) *
       SWITCH(
         job,
         ""ナイト"", EY$24,
 "&amp;"        ""戦士"", FD$24,
         ""踊り子"", ET$24,
         ""ピクトマンサー"", ET$24,
         ""白魔道士"", EF67 * EH67 * IF(abillity, 1, EG67 * EI67) * (Option!$D$22 * 0.81 / 100),
         ""占星術師"", EF67 * EJ67 * IF(abillity, 1, EG67 * EK67) * (Option!$D$23 * 0.81 "&amp;"/ 100),
         ""学者"", EF67 * EL67 * IF(abillity, 1, EG67 * EM67) * (Option!$D$24 * 0.81 / 100),
         ""賢者"", EF67 * EN67 * IF(abillity, 1, EG67 * EO67) * (Option!$D$25 * 0.81 / 100),
         1
       )
     )
   )
 )"),0.0)</f>
        <v>0</v>
      </c>
      <c r="ER67" s="202">
        <f t="shared" si="4"/>
        <v>0</v>
      </c>
      <c r="ES67" s="203">
        <f t="shared" si="5"/>
        <v>0</v>
      </c>
      <c r="ET67" s="231" t="str">
        <f>IFERROR(__xludf.DUMMYFUNCTION("IFS(
  EP67 &gt; $ET$24 + EQ67,
  SPARKLINE({ 1, 0 }, {""charttype"",""bar"";""max"", 1;""color1"",Option!$D$30;""color2"",Option!$D$30}),
  EP67 &lt; EQ67,
  SPARKLINE({EQ67 - EP67, $ET$24 - (EQ67 - EP67)}, {""charttype"",""bar"";""max"",$ET$24;""color1"",Opti"&amp;"on!$D$28;""color2"",Option!$D$29}),
  EP67 &gt;= EQ67,
  SPARKLINE({$ET$24 + EQ67 - EP67,EP67 - EQ67}, {""charttype"",""bar"";""max"",$ET$24;""color1"",Option!$D$29;""color2"",Option!$D$30})
)"),"")</f>
        <v/>
      </c>
      <c r="EU67" s="205">
        <f>IFERROR(__xludf.DUMMYFUNCTION("PRODUCT(
   MAP(
     IF($F67=""Physical"", K$10:ED$10, IF($F67=""Magic"", K$11:ED$11, K$12:ED$12)),
     IF($F67=""Physical"", K$18:ED$18, IF($F67=""Magic"", K$19:ED$19, K$20:ED$20)),
     K$3:ED$3,
     K$5:ED$5,
     K$17:ED$17,
     K67:ED67,
     LAM"&amp;"BDA(
       mitigation,
       enhance,
       job,
       assign,
       precondition,
       check,
       IF(
         OR(AND(check=TRUE, REGEXMATCH(assign, ""SELF""), job=""ナイト""), AND(check=Option!$E$13, REGEXMATCH(assign, ""SINGLE_PARTY""))),
      "&amp;"   IF(
           OR(ARRAYFORMULA((IF(precondition="""", FALSE, REGEXMATCH($K$4:$ED$4, precondition))) * (K67:ED67=TRUE))),
           enhance,
           mitigation
         ),
         1
       )
     )
   )
 ) * EE67"),1.0)</f>
        <v>1</v>
      </c>
      <c r="EV67" s="206">
        <f t="shared" si="6"/>
        <v>0</v>
      </c>
      <c r="EW67" s="205">
        <f>IFERROR(__xludf.DUMMYFUNCTION("PRODUCT(
   MAP(
     K$3:ED$3,
     K$14:ED$14,
     K$13:ED$13,
     K67:ED67,
     LAMBDA(
       job,
       buff,
       target,
       check,
       IF(
         OR(AND(check=TRUE, REGEXMATCH(target, ""SELF_AFFECTED_ALL""), job=""ナイト""), AND(check=O"&amp;"ption!$E$13, REGEXMATCH(target, ""SINGLE_AFFECTED_ALL""))),
         buff,
         1
       )
     )
   )
 )"),1.0)</f>
        <v>1</v>
      </c>
      <c r="EX67" s="206">
        <f>IFERROR(__xludf.DUMMYFUNCTION("SUM(
   MAP(
     K$3:ED$3,
     K$7:ED$7,
     K$15:ED$15,
     K$16:ED$16,
     K$21:ED$21,
     K$5:ED$5,
     K$17:ED$17,
     K67:ED67,
     LAMBDA(
       job,
       abillity,
       buff,
       barrier,
       enhance,
       assign,
       preco"&amp;"ndition,
       check,
       IF(
         OR(AND(check=TRUE, REGEXMATCH(assign, ""SELF""), job=""ナイト""), AND(check=Option!$E$13, REGEXMATCH(assign, ""SINGLE_PARTY""))),
         IF(
           OR(ARRAYFORMULA((IF(precondition="""", FALSE, REGEXMATCH($K$4"&amp;":$ED$4, precondition))) * (K67:ED67=TRUE))),
           enhance,
           IF(barrier="""", buff, barrier)
         ),
         0
       ) *
       SWITCH(
         job,
         ""暗黒騎士"", EY$24,
         ""白魔道士"", EF67 * EH67 * EW67 * IF(abillity, 1, EG"&amp;"67 * EI67) * (Option!$D$22 * 0.81 / 100),
         ""占星術師"", EF67 * EJ67 * EW67 * IF(abillity, 1, EG67 * EK67) * (Option!$D$23 * 0.81 / 100),
         ""学者"", EF67 * EL67 * EW67 * IF(abillity, 1, EG67 * EM67) * (Option!$D$24 * 0.81 / 100),
         ""賢者"""&amp;", EF67 * EN67 * EW67 * IF(abillity, 1, EG67 * EO67) * (Option!$D$25 * 0.81 / 100),
         1
       )
     )
   )
 ) + EQ67"),0.0)</f>
        <v>0</v>
      </c>
      <c r="EY67" s="232">
        <f t="shared" si="7"/>
        <v>0</v>
      </c>
      <c r="EZ67" s="205">
        <f>IFERROR(__xludf.DUMMYFUNCTION("PRODUCT(
   MAP(
     IF($F67=""Physical"", K$10:ED$10, IF($F67=""Magic"", K$11:ED$11, K$12:ED$12)),
     IF($F67=""Physical"", K$18:ED$18, IF($F67=""Magic"", K$19:ED$19, K$20:ED$20)),
     K$3:ED$3,
     K$5:ED$5,
     K$17:ED$17,
     K67:ED67,
     LAM"&amp;"BDA(
       mitigation,
       enhance,
       job,
       assign,
       precondition,
       check,
       IF(
         OR(AND(check=TRUE, REGEXMATCH(assign, ""SELF""), job=""戦士""), AND(check=Option!$F$13, REGEXMATCH(assign, ""SINGLE_PARTY""))),
       "&amp;"  IF(
           OR(ARRAYFORMULA((IF(precondition="""", FALSE, REGEXMATCH($K$4:$ED$4, precondition))) * (K67:ED67=TRUE))),
           enhance,
           mitigation
         ),
         1
       )
     )
   )
 ) * EE67"),1.0)</f>
        <v>1</v>
      </c>
      <c r="FA67" s="206">
        <f t="shared" si="8"/>
        <v>0</v>
      </c>
      <c r="FB67" s="205">
        <f>IFERROR(__xludf.DUMMYFUNCTION("PRODUCT(
   MAP(
     K$3:ED$3,
     K$14:ED$14,
     K$13:ED$13,
     K67:ED67,
     LAMBDA(
       job,
       buff,
       target,
       check,
       IF(
         OR(AND(check=TRUE, REGEXMATCH(target, ""SELF_AFFECTED_ALL""), job=""戦士""), AND(check=Op"&amp;"tion!$F$13, REGEXMATCH(target, ""SINGLE_AFFECTED_ALL""))),
         buff,
         1
       )
     )
   )
 )"),1.0)</f>
        <v>1</v>
      </c>
      <c r="FC67" s="206">
        <f>IFERROR(__xludf.DUMMYFUNCTION("SUM(
   MAP(
     K$3:ED$3,
     K$7:ED$7,
     K$15:ED$15,
     K$16:ED$16,
     K$21:ED$21,
     K$5:ED$5,
     K$17:ED$17,
     K67:ED67,
     LAMBDA(
       job,
       abillity,
       buff,
       barrier,
       enhance,
       assign,
       preco"&amp;"ndition,
       check,
       IF(
         OR(AND(check=TRUE, REGEXMATCH(assign, ""SELF""), job=""戦士""), AND(check=Option!$F$13, REGEXMATCH(assign, ""SINGLE_PARTY""))),
         IF(
           OR(ARRAYFORMULA((IF(precondition="""", FALSE, REGEXMATCH($K$4:"&amp;"$ED$4, precondition))) * (K67:ED67=TRUE))),
           enhance,
           IF(barrier="""", buff, barrier)
         ),
         0
       ) *
       SWITCH(
         job,
         ""暗黒騎士"", FD$24,
         ""白魔道士"", EF67 * EH67 * FB67 * IF(abillity, 1, EG6"&amp;"7 * EI67) * (Option!$D$22 * 0.81 / 100),
         ""占星術師"", EF67 * EJ67 * FFB67 * IF(abillity, 1, EG67 * EK67) * (Option!$D$23 * 0.81 / 100),
         ""学者"", EF67 * EL67 * FB67 * IF(abillity, 1, EG67 * EM67) * (Option!$D$24 * 0.81 / 100),
         ""賢者"""&amp;", EF67 * EN67 * FB67 * IF(abillity, 1, EG67 * EO67) * (Option!$D$25 * 0.81 / 100),
         1
       )
     )
   )
 ) + EQ67"),0.0)</f>
        <v>0</v>
      </c>
      <c r="FD67" s="206">
        <f t="shared" si="9"/>
        <v>0</v>
      </c>
      <c r="FE67" s="205">
        <f>IFERROR(__xludf.DUMMYFUNCTION("PRODUCT(
   MAP(
     IF($F67=""Physical"", K$10:ED$10, IF($F67=""Magic"", K$11:ED$11, K$12:ED$12)),
     IF($F67=""Physical"", K$18:ED$18, IF($F67=""Magic"", K$19:ED$19, K$20:ED$20)),
     K$3:ED$3,
     K$5:ED$5,
     K$17:ED$17,
     K67:ED67,
     LAM"&amp;"BDA(
       mitigation,
       enhance,
       job,
       assign,
       precondition,
       check,
       IF(
         OR(AND(check=TRUE, REGEXMATCH(assign, ""SELF""), job=""暗黒騎士""), AND(check=Option!$G$13, REGEXMATCH(assign, ""SINGLE_PARTY""))),
     "&amp;"    IF(
           OR(ARRAYFORMULA((IF(precondition="""", FALSE, REGEXMATCH($K$4:$ED$4, precondition))) * (K67:ED67=TRUE))),
           enhance,
           mitigation
         ),
         1
       )
     )
   )
 ) * EE67"),1.0)</f>
        <v>1</v>
      </c>
      <c r="FF67" s="206">
        <f t="shared" si="10"/>
        <v>0</v>
      </c>
      <c r="FG67" s="205">
        <f>IFERROR(__xludf.DUMMYFUNCTION("PRODUCT(
   MAP(
     K$3:ED$3,
     K$14:ED$14,
     K$13:ED$13,
     K67:ED67,
     LAMBDA(
       job,
       buff,
       target,
       check,
       IF(
         OR(AND(check=TRUE, REGEXMATCH(target, ""SELF_AFFECTED_ALL""), job=""暗黒騎士""), AND(check="&amp;"Option!$G$13, REGEXMATCH(target, ""SINGLE_AFFECTED_ALL""))),
         buff,
         1
       )
     )
   )
 )"),1.0)</f>
        <v>1</v>
      </c>
      <c r="FH67" s="206">
        <f>IFERROR(__xludf.DUMMYFUNCTION("SUM(
   MAP(
     K$3:ED$3,
     K$7:ED$7,
     K$15:ED$15,
     K$16:ED$16,
     K$21:ED$21,
     K$5:ED$5,
     K$17:ED$17,
     K67:ED67,
     LAMBDA(
       job,
       abillity,
       buff,
       barrier,
       enhance,
       assign,
       preco"&amp;"ndition,
       check,
       IF(
         OR(AND(check=TRUE, REGEXMATCH(assign, ""SELF""), job=""暗黒騎士""), AND(check=Option!$G$13, REGEXMATCH(assign, ""SINGLE_PARTY""))),
         IF(
           OR(ARRAYFORMULA((IF(precondition="""", FALSE, REGEXMATCH($K$"&amp;"4:$ED$4, precondition))) * (K67:ED67=TRUE))),
           enhance,
           IF(barrier="""", buff, barrier)
         ),
         0
       ) *
       SWITCH(
         job,
         ""暗黒騎士"", FI$24,
         ""白魔道士"", EF67 * EH67 * FG67 * IF(abillity, 1, E"&amp;"G67 * EI67) * (Option!$D$22 * 0.81 / 100),
         ""占星術師"", EF67 * EJ67 * FG67 * IF(abillity, 1, EG67 * EK67) * (Option!$D$23 * 0.81 / 100),
         ""学者"", EF67 * EL67 * FG67 * IF(abillity, 1, EG67 * EM67) * (Option!$D$24 * 0.81 / 100),
         ""賢者"&amp;""", EF67 * EN67 * FG67 * IF(abillity, 1, EG67 * EO67) * (Option!$D$25 * 0.81 / 100),
         1
       )
     )
   )
 ) + EQ67"),0.0)</f>
        <v>0</v>
      </c>
      <c r="FI67" s="206">
        <f t="shared" si="11"/>
        <v>0</v>
      </c>
      <c r="FJ67" s="205">
        <f>IFERROR(__xludf.DUMMYFUNCTION("PRODUCT(
   MAP(
     IF($F67=""Physical"", K$10:ED$10, IF($F67=""Magic"", K$11:ED$11, K$12:ED$12)),
     IF($F67=""Physical"", K$18:ED$18, IF($F67=""Magic"", K$19:ED$19, K$20:ED$20)),
     K$3:ED$3,
     K$5:ED$5,
     K$17:ED$17,
     K67:ED67,
     LAM"&amp;"BDA(
       mitigation,
       enhance,
       job,
       assign,
       precondition,
       check,
       IF(
         OR(AND(check=TRUE, REGEXMATCH(assign, ""SELF""), job=""ガンブレイカー""), AND(check=Option!$H$13, REGEXMATCH(assign, ""SINGLE_PARTY""))),
  "&amp;"       IF(
           OR(ARRAYFORMULA((IF(precondition="""", FALSE, REGEXMATCH($K$4:$ED$4, precondition))) * (K67:ED67=TRUE))),
           enhance,
           mitigation
         ),
         1
       )
     )
   )
 ) * EE67"),1.0)</f>
        <v>1</v>
      </c>
      <c r="FK67" s="206">
        <f t="shared" si="12"/>
        <v>0</v>
      </c>
      <c r="FL67" s="205">
        <f>IFERROR(__xludf.DUMMYFUNCTION("PRODUCT(
   MAP(
     K$3:ED$3,
     K$14:ED$14,
     K$13:ED$13,
     K67:ED67,
     LAMBDA(
       job,
       buff,
       target,
       check,
       IF(
         OR(AND(check=TRUE, REGEXMATCH(target, ""SELF_AFFECTED_ALL""), job=""ガンブレイカー""), AND(che"&amp;"ck=Option!$H$13, REGEXMATCH(target, ""SINGLE_AFFECTED_ALL""))),
         buff,
         1
       )
     )
   )
 )"),1.0)</f>
        <v>1</v>
      </c>
      <c r="FM67" s="206">
        <f>IFERROR(__xludf.DUMMYFUNCTION("SUM(
   MAP(
     K$3:ED$3,
     K$7:ED$7,
     K$15:ED$15,
     K$16:ED$16,
     K$21:ED$21,
     K$5:ED$5,
     K$17:ED$17,
     K67:ED67,
     LAMBDA(
       job,
       abillity,
       buff,
       barrier,
       enhance,
       assign,
       preco"&amp;"ndition,
       check,
       IF(
         OR(AND(check=TRUE, REGEXMATCH(assign, ""SELF""), job=""ガンブレイカー""), AND(check=Option!$H$13, REGEXMATCH(assign, ""SINGLE_PARTY""))),
         IF(
           OR(ARRAYFORMULA((IF(precondition="""", FALSE, REGEXMATCH("&amp;"$K$4:$ED$4, precondition))) * (K67:ED67=TRUE))),
           enhance,
           IF(barrier="""", buff, barrier)
         ),
         0
       ) *
       SWITCH(
         job,
         ""暗黒騎士"", FN$24,
         ""白魔道士"", EF67 * EH67 * FL67 * IF(abillity, 1"&amp;", EG67 * EI67) * (Option!$D$22 * 0.81 / 100),
         ""占星術師"", EF67 * EJ67 * FL67 * IF(abillity, 1, EG67 * EK67) * (Option!$D$23 * 0.81 / 100),
         ""学者"", EF67 * EL67 * FL67 * IF(abillity, 1, EG67 * EM67) * (Option!$D$24 * 0.81 / 100),
         """&amp;"賢者"", EF67 * EN67 * FL67 * IF(abillity, 1, EG67 * EO67) * (Option!$D$25 * 0.81 / 100),
         1
       )
     )
   )
 ) + EQ67"),0.0)</f>
        <v>0</v>
      </c>
      <c r="FN67" s="206">
        <f t="shared" si="13"/>
        <v>0</v>
      </c>
      <c r="FO67" s="213"/>
    </row>
    <row r="68">
      <c r="B68" s="229"/>
      <c r="C68" s="217"/>
      <c r="D68" s="236"/>
      <c r="E68" s="238"/>
      <c r="F68" s="167"/>
      <c r="G68" s="168" t="str">
        <f t="shared" si="2"/>
        <v/>
      </c>
      <c r="H68" s="169"/>
      <c r="I68" s="169"/>
      <c r="J68" s="169"/>
      <c r="K68" s="170" t="b">
        <v>0</v>
      </c>
      <c r="L68" s="170" t="b">
        <v>0</v>
      </c>
      <c r="M68" s="170" t="b">
        <v>0</v>
      </c>
      <c r="N68" s="171" t="s">
        <v>1070</v>
      </c>
      <c r="O68" s="172" t="b">
        <v>0</v>
      </c>
      <c r="P68" s="173" t="b">
        <v>0</v>
      </c>
      <c r="Q68" s="173" t="b">
        <v>0</v>
      </c>
      <c r="R68" s="173" t="b">
        <v>0</v>
      </c>
      <c r="S68" s="174" t="b">
        <v>0</v>
      </c>
      <c r="T68" s="175" t="b">
        <v>0</v>
      </c>
      <c r="U68" s="173" t="b">
        <v>0</v>
      </c>
      <c r="V68" s="171" t="s">
        <v>1070</v>
      </c>
      <c r="W68" s="172" t="b">
        <v>0</v>
      </c>
      <c r="X68" s="173" t="b">
        <v>0</v>
      </c>
      <c r="Y68" s="173" t="b">
        <v>0</v>
      </c>
      <c r="Z68" s="173" t="b">
        <v>0</v>
      </c>
      <c r="AA68" s="174" t="b">
        <v>0</v>
      </c>
      <c r="AB68" s="174" t="b">
        <v>0</v>
      </c>
      <c r="AC68" s="175" t="b">
        <v>0</v>
      </c>
      <c r="AD68" s="173" t="b">
        <v>0</v>
      </c>
      <c r="AE68" s="176" t="s">
        <v>1070</v>
      </c>
      <c r="AF68" s="171" t="s">
        <v>1070</v>
      </c>
      <c r="AG68" s="177">
        <f>IFERROR(__xludf.DUMMYFUNCTION("IF(
  ISNUMBER(AG67),
  MIN(MAX(
    AG67
    + MAX(
      ROUNDDOWN(($D68 - MAX(IFERROR(FILTER($D$24:$D67, AG$24:AG67 &lt;&gt; AF$6, AG$23:AG66 = AF$6), 0))) * (60 * 60 * 24) / AF$9) - ROUNDDOWN(($D67 - MAX(IFERROR(FILTER($D$23:$D66, AG$23:AG66 &lt;&gt; AF$6, AG$22:"&amp;"AG65 = AF$6), 0))) * (60 * 60 * 24) / 60),
      0
    )
    - COUNTIF(AF68, ""&lt;&gt;-""),
  0), AF$6),
  AF$6 - COUNTIF(AF68, ""&lt;&gt;-"")
)"),2.0)</f>
        <v>2</v>
      </c>
      <c r="AH68" s="173" t="b">
        <v>0</v>
      </c>
      <c r="AI68" s="173" t="b">
        <v>0</v>
      </c>
      <c r="AJ68" s="173" t="b">
        <v>0</v>
      </c>
      <c r="AK68" s="174" t="b">
        <v>0</v>
      </c>
      <c r="AL68" s="175" t="b">
        <v>0</v>
      </c>
      <c r="AM68" s="173" t="b">
        <v>0</v>
      </c>
      <c r="AN68" s="171" t="s">
        <v>1070</v>
      </c>
      <c r="AO68" s="173" t="b">
        <v>0</v>
      </c>
      <c r="AP68" s="173" t="b">
        <v>0</v>
      </c>
      <c r="AQ68" s="173" t="b">
        <v>0</v>
      </c>
      <c r="AR68" s="174" t="b">
        <v>0</v>
      </c>
      <c r="AS68" s="178" t="b">
        <v>0</v>
      </c>
      <c r="AT68" s="179" t="b">
        <v>0</v>
      </c>
      <c r="AU68" s="180" t="b">
        <v>0</v>
      </c>
      <c r="AV68" s="180" t="b">
        <v>0</v>
      </c>
      <c r="AW68" s="180" t="b">
        <v>0</v>
      </c>
      <c r="AX68" s="180" t="b">
        <v>0</v>
      </c>
      <c r="AY68" s="181" t="s">
        <v>1070</v>
      </c>
      <c r="AZ68" s="181" t="s">
        <v>1070</v>
      </c>
      <c r="BA68" s="184">
        <f>IFERROR(__xludf.DUMMYFUNCTION("IF(
  ISNUMBER(BA67),
  MIN(MAX(
    BA67
    + MAX(
      ROUNDDOWN((D68 - MAX(IFERROR(FILTER(D$24:D67, BA$24:BA67 &lt;&gt; AZ$6, BA$23:BA66 = AZ$6), 0))) * (60 * 60 * 24) / AZ$9) - ROUNDDOWN((D67 - MAX(IFERROR(FILTER(D$23:D66, BA$23:BA66 &lt;&gt; AZ$6, BA$22:BA65 ="&amp;" AZ$6), 0))) * (60 * 60 * 24) / AZ$9),
      0
    )
    - COUNTIF(AZ68, ""&lt;&gt;-""),
  0), AZ$6),
  AZ$6 - COUNTIF(AZ68, ""&lt;&gt;-"")
)"),2.0)</f>
        <v>2</v>
      </c>
      <c r="BB68" s="181" t="s">
        <v>1070</v>
      </c>
      <c r="BC68" s="183">
        <f>IFERROR(__xludf.DUMMYFUNCTION("IF(
  ISNUMBER(BC67),
  MIN(MAX(
    BC67
    + MAX(
      ROUNDDOWN(($D68 - MAX(IFERROR(FILTER($D$24:$D67, BC$24:BC67 &lt;&gt; BB$6, BC$23:BC66 = BB$6), 0))) * (60 * 60 * 24) / BB$9) - ROUNDDOWN(($D67 - MAX(IFERROR(FILTER($D$23:$D66, BC$23:BC66 &lt;&gt; BB$6, BC$22:"&amp;"BC65 = BB$6), 0))) * (60 * 60 * 24) / 60),
      0
    )
    - COUNTIF(BB68, ""&lt;&gt;-""),
  0), BB$6),
  BB$6 - COUNTIF(BB68, ""&lt;&gt;-"")
)"),2.0)</f>
        <v>2</v>
      </c>
      <c r="BD68" s="181" t="s">
        <v>1070</v>
      </c>
      <c r="BE68" s="178" t="b">
        <v>0</v>
      </c>
      <c r="BF68" s="180" t="b">
        <v>0</v>
      </c>
      <c r="BG68" s="180" t="b">
        <v>0</v>
      </c>
      <c r="BH68" s="180" t="b">
        <v>0</v>
      </c>
      <c r="BI68" s="180" t="b">
        <v>0</v>
      </c>
      <c r="BJ68" s="180" t="b">
        <v>0</v>
      </c>
      <c r="BK68" s="180" t="b">
        <v>0</v>
      </c>
      <c r="BL68" s="180" t="b">
        <v>0</v>
      </c>
      <c r="BM68" s="180" t="b">
        <v>0</v>
      </c>
      <c r="BN68" s="180" t="b">
        <v>0</v>
      </c>
      <c r="BO68" s="181" t="s">
        <v>1070</v>
      </c>
      <c r="BP68" s="181" t="s">
        <v>1070</v>
      </c>
      <c r="BQ68" s="181" t="s">
        <v>1070</v>
      </c>
      <c r="BR68" s="181" t="s">
        <v>1070</v>
      </c>
      <c r="BS68" s="181" t="s">
        <v>1070</v>
      </c>
      <c r="BT68" s="184">
        <f>IFERROR(__xludf.DUMMYFUNCTION("IF(
  ISNUMBER(BT67),
  MIN(MAX(
    BT67
    + MAX(
      ROUNDDOWN((D68 - MAX(IFERROR(FILTER(D$24:D67, BT$24:BT67 &lt;&gt; BS$6, BT$23:BT66 = BS$6), 0))) * (60 * 60 * 24) / BS$9) - ROUNDDOWN((D67 - MAX(IFERROR(FILTER(D$23:D66, BT$23:BT66 &lt;&gt; BS$6, BT$22:BT65 ="&amp;" BS$6), 0))) * (60 * 60 * 24) / BS$9),
      0
    )
    - COUNTIF(BS68, ""&lt;&gt;-""),
  0), BS$6),
  BS$6 - COUNTIF(BS68, ""&lt;&gt;-"")
)"),3.0)</f>
        <v>3</v>
      </c>
      <c r="BU68" s="181" t="s">
        <v>1070</v>
      </c>
      <c r="BV68" s="181" t="s">
        <v>1070</v>
      </c>
      <c r="BW68" s="184">
        <f>IFERROR(__xludf.DUMMYFUNCTION("IF(
  ISNUMBER(BW67),
  MIN(MAX(
    BW67
    + MAX(
      ROUNDDOWN((D68 - MAX(IFERROR(FILTER(D$24:D67, BW$24:BW67 &lt;&gt; BV$6, BW$23:BW66 = BV$6), 0))) * (60 * 60 * 24) / BV$9) - ROUNDDOWN((D67 - MAX(IFERROR(FILTER(D$23:D66, BW$23:BW66 &lt;&gt; BV$6, BW$22:BW65 ="&amp;" BV$6), 0))) * (60 * 60 * 24) / BV$9),
      0
    )
    - COUNTIF(BV68, ""&lt;&gt;-""),
  0), BV$6),
  BV$6 - COUNTIF(BV68, ""&lt;&gt;-"")
)"),2.0)</f>
        <v>2</v>
      </c>
      <c r="BX68" s="185" t="s">
        <v>1070</v>
      </c>
      <c r="BY68" s="178" t="b">
        <v>0</v>
      </c>
      <c r="BZ68" s="180" t="b">
        <v>0</v>
      </c>
      <c r="CA68" s="180" t="b">
        <v>0</v>
      </c>
      <c r="CB68" s="180" t="b">
        <v>0</v>
      </c>
      <c r="CC68" s="180" t="b">
        <v>0</v>
      </c>
      <c r="CD68" s="180" t="b">
        <v>0</v>
      </c>
      <c r="CE68" s="180" t="b">
        <v>0</v>
      </c>
      <c r="CF68" s="180" t="b">
        <v>0</v>
      </c>
      <c r="CG68" s="180" t="b">
        <v>0</v>
      </c>
      <c r="CH68" s="180" t="b">
        <v>0</v>
      </c>
      <c r="CI68" s="180" t="b">
        <v>0</v>
      </c>
      <c r="CJ68" s="180" t="b">
        <v>0</v>
      </c>
      <c r="CK68" s="180" t="b">
        <v>0</v>
      </c>
      <c r="CL68" s="180" t="b">
        <v>0</v>
      </c>
      <c r="CM68" s="181" t="s">
        <v>1070</v>
      </c>
      <c r="CN68" s="181" t="s">
        <v>1070</v>
      </c>
      <c r="CO68" s="181" t="s">
        <v>1070</v>
      </c>
      <c r="CP68" s="181" t="s">
        <v>1070</v>
      </c>
      <c r="CQ68" s="185" t="s">
        <v>1070</v>
      </c>
      <c r="CR68" s="180" t="b">
        <v>0</v>
      </c>
      <c r="CS68" s="186" t="str">
        <f t="shared" si="14"/>
        <v>◇◇◇</v>
      </c>
      <c r="CT68" s="178" t="b">
        <v>0</v>
      </c>
      <c r="CU68" s="180" t="b">
        <v>0</v>
      </c>
      <c r="CV68" s="180" t="b">
        <v>0</v>
      </c>
      <c r="CW68" s="180" t="b">
        <v>0</v>
      </c>
      <c r="CX68" s="180" t="b">
        <v>0</v>
      </c>
      <c r="CY68" s="180" t="b">
        <v>0</v>
      </c>
      <c r="CZ68" s="180" t="b">
        <v>0</v>
      </c>
      <c r="DA68" s="180" t="b">
        <v>0</v>
      </c>
      <c r="DB68" s="180" t="b">
        <v>0</v>
      </c>
      <c r="DC68" s="180" t="b">
        <v>0</v>
      </c>
      <c r="DD68" s="181" t="s">
        <v>1070</v>
      </c>
      <c r="DE68" s="181" t="s">
        <v>1070</v>
      </c>
      <c r="DF68" s="181" t="s">
        <v>1070</v>
      </c>
      <c r="DG68" s="185" t="s">
        <v>1070</v>
      </c>
      <c r="DH68" s="180" t="b">
        <v>0</v>
      </c>
      <c r="DI68" s="187" t="str">
        <f>IFERROR(__xludf.DUMMYFUNCTION("SWITCH(
  IF(
    ISTEXT(DI67),
    IF (
      FIND(""○"", DI67&amp;""○"") &gt; 3,
      3,
      FIND(""○"", DI67&amp;""○"")
      + MAX(
        ROUNDDOWN(($D68 - MAX(IFERROR(FILTER(D$24:D67, DI$24:DI67 &lt;&gt; ""●●●"", DI$23:DI66 = ""●●●""), 0))) * (60 * 60 * 24) / 20"&amp;") - ROUNDDOWN(($D67 - MAX(IFERROR(FILTER(D$23:D66, DI$23:DI66 &lt;&gt; ""●●●"", DI$22:DI65 = ""●●●""), 0))) * (60 * 60 * 24) / 20),
        0
      ) - 1
    ) - COUNTIFS(CU68, ""=TRUE"", CU67, ""&lt;&gt;TRUE"") - COUNTIF(CZ68, ""=TRUE"") - COUNTIF({DD68,DE68}, ""&lt;&gt;-"&amp;""") + COUNTIF(DH68, ""=TRUE""),
    3
  ),
  0, ""○○○"", 1, ""●○○"", 2, ""●●○"", 3, ""●●●"", 4, ""●●●"", ""○○○""
)"),"●●●")</f>
        <v>●●●</v>
      </c>
      <c r="DJ68" s="188" t="b">
        <v>0</v>
      </c>
      <c r="DK68" s="189" t="b">
        <v>0</v>
      </c>
      <c r="DL68" s="190" t="b">
        <v>0</v>
      </c>
      <c r="DM68" s="190" t="b">
        <v>0</v>
      </c>
      <c r="DN68" s="190" t="b">
        <v>0</v>
      </c>
      <c r="DO68" s="190" t="b">
        <v>0</v>
      </c>
      <c r="DP68" s="190" t="b">
        <v>0</v>
      </c>
      <c r="DQ68" s="191" t="b">
        <v>0</v>
      </c>
      <c r="DR68" s="192" t="b">
        <v>0</v>
      </c>
      <c r="DS68" s="191" t="b">
        <v>0</v>
      </c>
      <c r="DT68" s="192" t="b">
        <v>0</v>
      </c>
      <c r="DU68" s="191" t="b">
        <v>0</v>
      </c>
      <c r="DV68" s="193" t="s">
        <v>1070</v>
      </c>
      <c r="DW68" s="194" t="b">
        <v>0</v>
      </c>
      <c r="DX68" s="194" t="b">
        <v>0</v>
      </c>
      <c r="DY68" s="195" t="b">
        <v>0</v>
      </c>
      <c r="DZ68" s="196" t="b">
        <v>0</v>
      </c>
      <c r="EA68" s="195" t="b">
        <v>0</v>
      </c>
      <c r="EB68" s="197" t="b">
        <v>0</v>
      </c>
      <c r="EC68" s="197" t="b">
        <v>0</v>
      </c>
      <c r="ED68" s="212" t="b">
        <v>0</v>
      </c>
      <c r="EE68" s="199">
        <f>IFERROR(__xludf.DUMMYFUNCTION("IFERROR(
   PRODUCT(
     MAP(
       INDEX(TRANSPOSE(UNIQUE(TRANSPOSE(FILTER({IF($F68=""Physical"", K$10:ED$10, IF($F68=""Magic"", K$11:ED$11, K$12:ED$12));K$4:ED$4;K68:ED68}, K68:ED68=TRUE)))), 1, 0),
       INDEX(TRANSPOSE(UNIQUE(TRANSPOSE(FILTER({IF($"&amp;"F68=""Physical"", K$18:ED$18, IF($F68=""Magic"", K$19:ED$19, K$20:ED$20));K$4:ED$4;K68:ED68}, K68:ED68=TRUE)))), 1, 0),
       INDEX(TRANSPOSE(UNIQUE(TRANSPOSE(FILTER({K$5:ED$5;K$4:ED$4;K68:ED68}, K68:ED68=TRUE)))), 1, 0),
       INDEX(TRANSPOSE(UNIQUE(TR"&amp;"ANSPOSE(FILTER({K$17:ED$17;K$4:ED$4;K68:ED68}, K68:ED68=TRUE)))), 1, 0),
       LAMBDA(
         mitigation,
         enhance,
         assign,
         precondition,
         IF(
           REGEXMATCH(assign, ""RANGE_PARTY|SINGLE_ENEMY|RANGE_ENEMY""),
  "&amp;"         IF(
             OR(ARRAYFORMULA((IF(precondition="""", FALSE, REGEXMATCH(K$4:ED$4, precondition))) * (K68:ED68=TRUE))),
             IF(ISNUMBER(enhance), enhance, 1),
             IF(ISNUMBER(mitigation), mitigation, 1)
           ),
          "&amp;" 1
         )
       )
     )
   ),
   1
 )"),1.0)</f>
        <v>1</v>
      </c>
      <c r="EF68" s="200">
        <f>IFERROR(__xludf.DUMMYFUNCTION("PRODUCT(
   MAP(
     K$14:ED$14,
     K$13:ED$13,
     K68:ED68,
     LAMBDA(
       buff,
       target,
       check,
       IF(
         AND(check=TRUE, REGEXMATCH(target, ""RANGE_AFFECTED_ALL|RANGE_EFFECTED_ALL""), ISNUMBER(buff)),
         buff,
   "&amp;"      1
       )
     )
   )
 )"),1.0)</f>
        <v>1</v>
      </c>
      <c r="EG68" s="200">
        <f>IFERROR(__xludf.DUMMYFUNCTION("PRODUCT(
   MAP(
     K$14:ED$14,
     K$13:ED$13,
     K68:ED68,
     LAMBDA(
       buff,
       target,
       check,
       IF(
         AND(check=TRUE, REGEXMATCH(target, ""RANGE_AFFECTED_GCD|RANGE_EFFECTED_GCD""), ISNUMBER(buff)),
         buff,
   "&amp;"      1
       )
     )
   )
 )"),1.0)</f>
        <v>1</v>
      </c>
      <c r="EH68" s="200">
        <f>IFERROR(__xludf.DUMMYFUNCTION("PRODUCT(
   MAP(
     K$3:ED$3,
     K$14:ED$14,
     K$13:ED$13,
     K68:ED68,
     LAMBDA(
       job,
       buff,
       target,
       check,
       IF(
         AND(check=TRUE, REGEXMATCH(target, ""SELF_EFFECTED_ALL""), ISNUMBER(buff), job=""白魔道士"""&amp;"),
         buff,
         1
       )
     )
   )
 )"),1.0)</f>
        <v>1</v>
      </c>
      <c r="EI68" s="200">
        <f>IFERROR(__xludf.DUMMYFUNCTION("PRODUCT(
   MAP(
     K$3:ED$3,
     K$14:ED$14,
     K$13:ED$13,
     K68:ED68,
     LAMBDA(
       job,
       buff,
       target,
       check,
       IF(
         AND(check=TRUE, REGEXMATCH(target, ""SELF_EFFECTED_GCD""), ISNUMBER(buff), job=""白魔道士"""&amp;"),
         buff,
         1
       )
     )
   )
 )"),1.0)</f>
        <v>1</v>
      </c>
      <c r="EJ68" s="200">
        <f>IFERROR(__xludf.DUMMYFUNCTION("PRODUCT(
   MAP(
     K$3:ED$3,
     K$14:ED$14,
     K$13:ED$13,
     K68:ED68,
     LAMBDA(
       job,
       buff,
       target,
       check,
       IF(
         AND(check=TRUE, REGEXMATCH(target, ""SELF_EFFECTED_ALL""), ISNUMBER(buff), job=""占星術師"""&amp;"),
         buff,
         1
       )
     )
   )
 )"),1.0)</f>
        <v>1</v>
      </c>
      <c r="EK68" s="200">
        <f>IFERROR(__xludf.DUMMYFUNCTION("PRODUCT(
   MAP(
     K$3:ED$3,
     K$14:ED$14,
     K$13:ED$13,
     K68:ED68,
     LAMBDA(
       job,
       buff,
       target,
       check,
       IF(
         AND(check=TRUE, REGEXMATCH(target, ""SELF_EFFECTED_GCD""), ISNUMBER(buff), job=""占星術師"""&amp;"),
         buff,
         1
       )
     )
   )
 )"),1.0)</f>
        <v>1</v>
      </c>
      <c r="EL68" s="200">
        <f>IFERROR(__xludf.DUMMYFUNCTION("PRODUCT(
   MAP(
     K$3:ED$3,
     K$14:ED$14,
     K$13:ED$13,
     K68:ED68,
     LAMBDA(
       job,
       buff,
       target,
       check,
       IF(
         AND(check=TRUE, REGEXMATCH(target, ""SELF_EFFECTED_ALL""), ISNUMBER(buff), job=""学者""),"&amp;"
         buff,
         1
       )
     )
   )
 )"),1.0)</f>
        <v>1</v>
      </c>
      <c r="EM68" s="200">
        <f>IFERROR(__xludf.DUMMYFUNCTION("PRODUCT(
   MAP(
     K$3:ED$3,
     K$14:ED$14,
     K$13:ED$13,
     K68:ED68,
     LAMBDA(
       job,
       buff,
       target,
       check,
       IF(
         AND(check=TRUE, REGEXMATCH(target, ""SELF_EFFECTED_GCD""), ISNUMBER(buff), job=""学者""),"&amp;"
         buff,
         1
       )
     )
   )
 )"),1.0)</f>
        <v>1</v>
      </c>
      <c r="EN68" s="200">
        <f>IFERROR(__xludf.DUMMYFUNCTION("PRODUCT(
   MAP(
     K$3:ED$3,
     K$14:ED$14,
     K$13:ED$13,
     K68:ED68,
     LAMBDA(
       job,
       buff,
       target,
       check,
       IF(
         AND(check=TRUE, REGEXMATCH(target, ""SELF_EFFECTED_ALL""), ISNUMBER(buff), job=""賢者""),"&amp;"
         buff,
         1
       )
     )
   )
 )"),1.0)</f>
        <v>1</v>
      </c>
      <c r="EO68" s="200">
        <f>IFERROR(__xludf.DUMMYFUNCTION("PRODUCT(
   MAP(
     K$3:ED$3,
     K$14:ED$14,
     K$13:ED$13,
     K68:ED68,
     LAMBDA(
       job,
       buff,
       target,
       check,
       IF(
         AND(check=TRUE, REGEXMATCH(target, ""SELF_EFFECTED_GCD""), ISNUMBER(buff), job=""賢者""),"&amp;"
         buff,
         1
       )
     )
   )
 )"),1.0)</f>
        <v>1</v>
      </c>
      <c r="EP68" s="201">
        <f t="shared" si="3"/>
        <v>0</v>
      </c>
      <c r="EQ68" s="201">
        <f>IFERROR(__xludf.DUMMYFUNCTION("SUM(
   MAP(
     K$4:ED$4,
     K$3:ED$3,
     K$7:ED$7,
     K$15:ED$15,
     K$16:ED$16,
     K$21:ED$21,
     K$5:ED$5,
     K$17:ED$17,
     K68:ED68,
     LAMBDA(
       name,
       job,
       abillity,
       buff,
       barrier,
       enhance,"&amp;"
       assign,
       precondition,
       check,
       SWITCH(
         name,
         ""シェイクオフ"", IF(check=TRUE, buff + (0.02 * COUNTIF(ARRAYFORMULA((REGEXMATCH($K$4:$ED$4, ""スリル・オブ・バトル|ヴェンジェンス|原初の血気|ダムネーション"")) * (K68:ED68=TRUE)), 1)), 0),
         "&amp;"""インプロビゼーションフィニッシュ(踊りの激情0)"", IF(ISNUMBER(check), INDEX(Skill!$AJ:$AJ, MATCH(SUBSTITUTE(DV$4, 0, check), Skill!$C:$C, 0)), 0),
         IF(
           AND(check=TRUE, REGEXMATCH(assign, ""RANGE_PARTY"")),
           IF(
             OR(ARRAYFORMULA((IF(pr"&amp;"econdition="""", FALSE, REGEXMATCH($K$4:$ED$4, precondition))) * (K68:ED68=TRUE))),
             enhance,
             IF(barrier="""", buff, barrier)
           ),
           0
         )
       ) *
       SWITCH(
         job,
         ""ナイト"", EY$24,
 "&amp;"        ""戦士"", FD$24,
         ""踊り子"", ET$24,
         ""ピクトマンサー"", ET$24,
         ""白魔道士"", EF68 * EH68 * IF(abillity, 1, EG68 * EI68) * (Option!$D$22 * 0.81 / 100),
         ""占星術師"", EF68 * EJ68 * IF(abillity, 1, EG68 * EK68) * (Option!$D$23 * 0.81 "&amp;"/ 100),
         ""学者"", EF68 * EL68 * IF(abillity, 1, EG68 * EM68) * (Option!$D$24 * 0.81 / 100),
         ""賢者"", EF68 * EN68 * IF(abillity, 1, EG68 * EO68) * (Option!$D$25 * 0.81 / 100),
         1
       )
     )
   )
 )"),0.0)</f>
        <v>0</v>
      </c>
      <c r="ER68" s="202">
        <f t="shared" si="4"/>
        <v>0</v>
      </c>
      <c r="ES68" s="203">
        <f t="shared" si="5"/>
        <v>0</v>
      </c>
      <c r="ET68" s="231" t="str">
        <f>IFERROR(__xludf.DUMMYFUNCTION("IFS(
  EP68 &gt; $ET$24 + EQ68,
  SPARKLINE({ 1, 0 }, {""charttype"",""bar"";""max"", 1;""color1"",Option!$D$30;""color2"",Option!$D$30}),
  EP68 &lt; EQ68,
  SPARKLINE({EQ68 - EP68, $ET$24 - (EQ68 - EP68)}, {""charttype"",""bar"";""max"",$ET$24;""color1"",Opti"&amp;"on!$D$28;""color2"",Option!$D$29}),
  EP68 &gt;= EQ68,
  SPARKLINE({$ET$24 + EQ68 - EP68,EP68 - EQ68}, {""charttype"",""bar"";""max"",$ET$24;""color1"",Option!$D$29;""color2"",Option!$D$30})
)"),"")</f>
        <v/>
      </c>
      <c r="EU68" s="205">
        <f>IFERROR(__xludf.DUMMYFUNCTION("PRODUCT(
   MAP(
     IF($F68=""Physical"", K$10:ED$10, IF($F68=""Magic"", K$11:ED$11, K$12:ED$12)),
     IF($F68=""Physical"", K$18:ED$18, IF($F68=""Magic"", K$19:ED$19, K$20:ED$20)),
     K$3:ED$3,
     K$5:ED$5,
     K$17:ED$17,
     K68:ED68,
     LAM"&amp;"BDA(
       mitigation,
       enhance,
       job,
       assign,
       precondition,
       check,
       IF(
         OR(AND(check=TRUE, REGEXMATCH(assign, ""SELF""), job=""ナイト""), AND(check=Option!$E$13, REGEXMATCH(assign, ""SINGLE_PARTY""))),
      "&amp;"   IF(
           OR(ARRAYFORMULA((IF(precondition="""", FALSE, REGEXMATCH($K$4:$ED$4, precondition))) * (K68:ED68=TRUE))),
           enhance,
           mitigation
         ),
         1
       )
     )
   )
 ) * EE68"),1.0)</f>
        <v>1</v>
      </c>
      <c r="EV68" s="206">
        <f t="shared" si="6"/>
        <v>0</v>
      </c>
      <c r="EW68" s="205">
        <f>IFERROR(__xludf.DUMMYFUNCTION("PRODUCT(
   MAP(
     K$3:ED$3,
     K$14:ED$14,
     K$13:ED$13,
     K68:ED68,
     LAMBDA(
       job,
       buff,
       target,
       check,
       IF(
         OR(AND(check=TRUE, REGEXMATCH(target, ""SELF_AFFECTED_ALL""), job=""ナイト""), AND(check=O"&amp;"ption!$E$13, REGEXMATCH(target, ""SINGLE_AFFECTED_ALL""))),
         buff,
         1
       )
     )
   )
 )"),1.0)</f>
        <v>1</v>
      </c>
      <c r="EX68" s="206">
        <f>IFERROR(__xludf.DUMMYFUNCTION("SUM(
   MAP(
     K$3:ED$3,
     K$7:ED$7,
     K$15:ED$15,
     K$16:ED$16,
     K$21:ED$21,
     K$5:ED$5,
     K$17:ED$17,
     K68:ED68,
     LAMBDA(
       job,
       abillity,
       buff,
       barrier,
       enhance,
       assign,
       preco"&amp;"ndition,
       check,
       IF(
         OR(AND(check=TRUE, REGEXMATCH(assign, ""SELF""), job=""ナイト""), AND(check=Option!$E$13, REGEXMATCH(assign, ""SINGLE_PARTY""))),
         IF(
           OR(ARRAYFORMULA((IF(precondition="""", FALSE, REGEXMATCH($K$4"&amp;":$ED$4, precondition))) * (K68:ED68=TRUE))),
           enhance,
           IF(barrier="""", buff, barrier)
         ),
         0
       ) *
       SWITCH(
         job,
         ""暗黒騎士"", EY$24,
         ""白魔道士"", EF68 * EH68 * EW68 * IF(abillity, 1, EG"&amp;"68 * EI68) * (Option!$D$22 * 0.81 / 100),
         ""占星術師"", EF68 * EJ68 * EW68 * IF(abillity, 1, EG68 * EK68) * (Option!$D$23 * 0.81 / 100),
         ""学者"", EF68 * EL68 * EW68 * IF(abillity, 1, EG68 * EM68) * (Option!$D$24 * 0.81 / 100),
         ""賢者"""&amp;", EF68 * EN68 * EW68 * IF(abillity, 1, EG68 * EO68) * (Option!$D$25 * 0.81 / 100),
         1
       )
     )
   )
 ) + EQ68"),0.0)</f>
        <v>0</v>
      </c>
      <c r="EY68" s="232">
        <f t="shared" si="7"/>
        <v>0</v>
      </c>
      <c r="EZ68" s="205">
        <f>IFERROR(__xludf.DUMMYFUNCTION("PRODUCT(
   MAP(
     IF($F68=""Physical"", K$10:ED$10, IF($F68=""Magic"", K$11:ED$11, K$12:ED$12)),
     IF($F68=""Physical"", K$18:ED$18, IF($F68=""Magic"", K$19:ED$19, K$20:ED$20)),
     K$3:ED$3,
     K$5:ED$5,
     K$17:ED$17,
     K68:ED68,
     LAM"&amp;"BDA(
       mitigation,
       enhance,
       job,
       assign,
       precondition,
       check,
       IF(
         OR(AND(check=TRUE, REGEXMATCH(assign, ""SELF""), job=""戦士""), AND(check=Option!$F$13, REGEXMATCH(assign, ""SINGLE_PARTY""))),
       "&amp;"  IF(
           OR(ARRAYFORMULA((IF(precondition="""", FALSE, REGEXMATCH($K$4:$ED$4, precondition))) * (K68:ED68=TRUE))),
           enhance,
           mitigation
         ),
         1
       )
     )
   )
 ) * EE68"),1.0)</f>
        <v>1</v>
      </c>
      <c r="FA68" s="206">
        <f t="shared" si="8"/>
        <v>0</v>
      </c>
      <c r="FB68" s="205">
        <f>IFERROR(__xludf.DUMMYFUNCTION("PRODUCT(
   MAP(
     K$3:ED$3,
     K$14:ED$14,
     K$13:ED$13,
     K68:ED68,
     LAMBDA(
       job,
       buff,
       target,
       check,
       IF(
         OR(AND(check=TRUE, REGEXMATCH(target, ""SELF_AFFECTED_ALL""), job=""戦士""), AND(check=Op"&amp;"tion!$F$13, REGEXMATCH(target, ""SINGLE_AFFECTED_ALL""))),
         buff,
         1
       )
     )
   )
 )"),1.0)</f>
        <v>1</v>
      </c>
      <c r="FC68" s="206">
        <f>IFERROR(__xludf.DUMMYFUNCTION("SUM(
   MAP(
     K$3:ED$3,
     K$7:ED$7,
     K$15:ED$15,
     K$16:ED$16,
     K$21:ED$21,
     K$5:ED$5,
     K$17:ED$17,
     K68:ED68,
     LAMBDA(
       job,
       abillity,
       buff,
       barrier,
       enhance,
       assign,
       preco"&amp;"ndition,
       check,
       IF(
         OR(AND(check=TRUE, REGEXMATCH(assign, ""SELF""), job=""戦士""), AND(check=Option!$F$13, REGEXMATCH(assign, ""SINGLE_PARTY""))),
         IF(
           OR(ARRAYFORMULA((IF(precondition="""", FALSE, REGEXMATCH($K$4:"&amp;"$ED$4, precondition))) * (K68:ED68=TRUE))),
           enhance,
           IF(barrier="""", buff, barrier)
         ),
         0
       ) *
       SWITCH(
         job,
         ""暗黒騎士"", FD$24,
         ""白魔道士"", EF68 * EH68 * FB68 * IF(abillity, 1, EG6"&amp;"8 * EI68) * (Option!$D$22 * 0.81 / 100),
         ""占星術師"", EF68 * EJ68 * FFB68 * IF(abillity, 1, EG68 * EK68) * (Option!$D$23 * 0.81 / 100),
         ""学者"", EF68 * EL68 * FB68 * IF(abillity, 1, EG68 * EM68) * (Option!$D$24 * 0.81 / 100),
         ""賢者"""&amp;", EF68 * EN68 * FB68 * IF(abillity, 1, EG68 * EO68) * (Option!$D$25 * 0.81 / 100),
         1
       )
     )
   )
 ) + EQ68"),0.0)</f>
        <v>0</v>
      </c>
      <c r="FD68" s="206">
        <f t="shared" si="9"/>
        <v>0</v>
      </c>
      <c r="FE68" s="205">
        <f>IFERROR(__xludf.DUMMYFUNCTION("PRODUCT(
   MAP(
     IF($F68=""Physical"", K$10:ED$10, IF($F68=""Magic"", K$11:ED$11, K$12:ED$12)),
     IF($F68=""Physical"", K$18:ED$18, IF($F68=""Magic"", K$19:ED$19, K$20:ED$20)),
     K$3:ED$3,
     K$5:ED$5,
     K$17:ED$17,
     K68:ED68,
     LAM"&amp;"BDA(
       mitigation,
       enhance,
       job,
       assign,
       precondition,
       check,
       IF(
         OR(AND(check=TRUE, REGEXMATCH(assign, ""SELF""), job=""暗黒騎士""), AND(check=Option!$G$13, REGEXMATCH(assign, ""SINGLE_PARTY""))),
     "&amp;"    IF(
           OR(ARRAYFORMULA((IF(precondition="""", FALSE, REGEXMATCH($K$4:$ED$4, precondition))) * (K68:ED68=TRUE))),
           enhance,
           mitigation
         ),
         1
       )
     )
   )
 ) * EE68"),1.0)</f>
        <v>1</v>
      </c>
      <c r="FF68" s="206">
        <f t="shared" si="10"/>
        <v>0</v>
      </c>
      <c r="FG68" s="205">
        <f>IFERROR(__xludf.DUMMYFUNCTION("PRODUCT(
   MAP(
     K$3:ED$3,
     K$14:ED$14,
     K$13:ED$13,
     K68:ED68,
     LAMBDA(
       job,
       buff,
       target,
       check,
       IF(
         OR(AND(check=TRUE, REGEXMATCH(target, ""SELF_AFFECTED_ALL""), job=""暗黒騎士""), AND(check="&amp;"Option!$G$13, REGEXMATCH(target, ""SINGLE_AFFECTED_ALL""))),
         buff,
         1
       )
     )
   )
 )"),1.0)</f>
        <v>1</v>
      </c>
      <c r="FH68" s="206">
        <f>IFERROR(__xludf.DUMMYFUNCTION("SUM(
   MAP(
     K$3:ED$3,
     K$7:ED$7,
     K$15:ED$15,
     K$16:ED$16,
     K$21:ED$21,
     K$5:ED$5,
     K$17:ED$17,
     K68:ED68,
     LAMBDA(
       job,
       abillity,
       buff,
       barrier,
       enhance,
       assign,
       preco"&amp;"ndition,
       check,
       IF(
         OR(AND(check=TRUE, REGEXMATCH(assign, ""SELF""), job=""暗黒騎士""), AND(check=Option!$G$13, REGEXMATCH(assign, ""SINGLE_PARTY""))),
         IF(
           OR(ARRAYFORMULA((IF(precondition="""", FALSE, REGEXMATCH($K$"&amp;"4:$ED$4, precondition))) * (K68:ED68=TRUE))),
           enhance,
           IF(barrier="""", buff, barrier)
         ),
         0
       ) *
       SWITCH(
         job,
         ""暗黒騎士"", FI$24,
         ""白魔道士"", EF68 * EH68 * FG68 * IF(abillity, 1, E"&amp;"G68 * EI68) * (Option!$D$22 * 0.81 / 100),
         ""占星術師"", EF68 * EJ68 * FG68 * IF(abillity, 1, EG68 * EK68) * (Option!$D$23 * 0.81 / 100),
         ""学者"", EF68 * EL68 * FG68 * IF(abillity, 1, EG68 * EM68) * (Option!$D$24 * 0.81 / 100),
         ""賢者"&amp;""", EF68 * EN68 * FG68 * IF(abillity, 1, EG68 * EO68) * (Option!$D$25 * 0.81 / 100),
         1
       )
     )
   )
 ) + EQ68"),0.0)</f>
        <v>0</v>
      </c>
      <c r="FI68" s="206">
        <f t="shared" si="11"/>
        <v>0</v>
      </c>
      <c r="FJ68" s="205">
        <f>IFERROR(__xludf.DUMMYFUNCTION("PRODUCT(
   MAP(
     IF($F68=""Physical"", K$10:ED$10, IF($F68=""Magic"", K$11:ED$11, K$12:ED$12)),
     IF($F68=""Physical"", K$18:ED$18, IF($F68=""Magic"", K$19:ED$19, K$20:ED$20)),
     K$3:ED$3,
     K$5:ED$5,
     K$17:ED$17,
     K68:ED68,
     LAM"&amp;"BDA(
       mitigation,
       enhance,
       job,
       assign,
       precondition,
       check,
       IF(
         OR(AND(check=TRUE, REGEXMATCH(assign, ""SELF""), job=""ガンブレイカー""), AND(check=Option!$H$13, REGEXMATCH(assign, ""SINGLE_PARTY""))),
  "&amp;"       IF(
           OR(ARRAYFORMULA((IF(precondition="""", FALSE, REGEXMATCH($K$4:$ED$4, precondition))) * (K68:ED68=TRUE))),
           enhance,
           mitigation
         ),
         1
       )
     )
   )
 ) * EE68"),1.0)</f>
        <v>1</v>
      </c>
      <c r="FK68" s="206">
        <f t="shared" si="12"/>
        <v>0</v>
      </c>
      <c r="FL68" s="205">
        <f>IFERROR(__xludf.DUMMYFUNCTION("PRODUCT(
   MAP(
     K$3:ED$3,
     K$14:ED$14,
     K$13:ED$13,
     K68:ED68,
     LAMBDA(
       job,
       buff,
       target,
       check,
       IF(
         OR(AND(check=TRUE, REGEXMATCH(target, ""SELF_AFFECTED_ALL""), job=""ガンブレイカー""), AND(che"&amp;"ck=Option!$H$13, REGEXMATCH(target, ""SINGLE_AFFECTED_ALL""))),
         buff,
         1
       )
     )
   )
 )"),1.0)</f>
        <v>1</v>
      </c>
      <c r="FM68" s="206">
        <f>IFERROR(__xludf.DUMMYFUNCTION("SUM(
   MAP(
     K$3:ED$3,
     K$7:ED$7,
     K$15:ED$15,
     K$16:ED$16,
     K$21:ED$21,
     K$5:ED$5,
     K$17:ED$17,
     K68:ED68,
     LAMBDA(
       job,
       abillity,
       buff,
       barrier,
       enhance,
       assign,
       preco"&amp;"ndition,
       check,
       IF(
         OR(AND(check=TRUE, REGEXMATCH(assign, ""SELF""), job=""ガンブレイカー""), AND(check=Option!$H$13, REGEXMATCH(assign, ""SINGLE_PARTY""))),
         IF(
           OR(ARRAYFORMULA((IF(precondition="""", FALSE, REGEXMATCH("&amp;"$K$4:$ED$4, precondition))) * (K68:ED68=TRUE))),
           enhance,
           IF(barrier="""", buff, barrier)
         ),
         0
       ) *
       SWITCH(
         job,
         ""暗黒騎士"", FN$24,
         ""白魔道士"", EF68 * EH68 * FL68 * IF(abillity, 1"&amp;", EG68 * EI68) * (Option!$D$22 * 0.81 / 100),
         ""占星術師"", EF68 * EJ68 * FL68 * IF(abillity, 1, EG68 * EK68) * (Option!$D$23 * 0.81 / 100),
         ""学者"", EF68 * EL68 * FL68 * IF(abillity, 1, EG68 * EM68) * (Option!$D$24 * 0.81 / 100),
         """&amp;"賢者"", EF68 * EN68 * FL68 * IF(abillity, 1, EG68 * EO68) * (Option!$D$25 * 0.81 / 100),
         1
       )
     )
   )
 ) + EQ68"),0.0)</f>
        <v>0</v>
      </c>
      <c r="FN68" s="206">
        <f t="shared" si="13"/>
        <v>0</v>
      </c>
      <c r="FO68" s="213"/>
    </row>
    <row r="69">
      <c r="B69" s="229"/>
      <c r="C69" s="217"/>
      <c r="D69" s="236"/>
      <c r="E69" s="238"/>
      <c r="F69" s="167"/>
      <c r="G69" s="168" t="str">
        <f t="shared" si="2"/>
        <v/>
      </c>
      <c r="H69" s="169"/>
      <c r="I69" s="169"/>
      <c r="J69" s="169"/>
      <c r="K69" s="170" t="b">
        <v>0</v>
      </c>
      <c r="L69" s="170" t="b">
        <v>0</v>
      </c>
      <c r="M69" s="170" t="b">
        <v>0</v>
      </c>
      <c r="N69" s="171" t="s">
        <v>1070</v>
      </c>
      <c r="O69" s="172" t="b">
        <v>0</v>
      </c>
      <c r="P69" s="173" t="b">
        <v>0</v>
      </c>
      <c r="Q69" s="173" t="b">
        <v>0</v>
      </c>
      <c r="R69" s="173" t="b">
        <v>0</v>
      </c>
      <c r="S69" s="174" t="b">
        <v>0</v>
      </c>
      <c r="T69" s="175" t="b">
        <v>0</v>
      </c>
      <c r="U69" s="173" t="b">
        <v>0</v>
      </c>
      <c r="V69" s="171" t="s">
        <v>1070</v>
      </c>
      <c r="W69" s="172" t="b">
        <v>0</v>
      </c>
      <c r="X69" s="173" t="b">
        <v>0</v>
      </c>
      <c r="Y69" s="173" t="b">
        <v>0</v>
      </c>
      <c r="Z69" s="173" t="b">
        <v>0</v>
      </c>
      <c r="AA69" s="174" t="b">
        <v>0</v>
      </c>
      <c r="AB69" s="174" t="b">
        <v>0</v>
      </c>
      <c r="AC69" s="175" t="b">
        <v>0</v>
      </c>
      <c r="AD69" s="173" t="b">
        <v>0</v>
      </c>
      <c r="AE69" s="176" t="s">
        <v>1070</v>
      </c>
      <c r="AF69" s="171" t="s">
        <v>1070</v>
      </c>
      <c r="AG69" s="177">
        <f>IFERROR(__xludf.DUMMYFUNCTION("IF(
  ISNUMBER(AG68),
  MIN(MAX(
    AG68
    + MAX(
      ROUNDDOWN(($D69 - MAX(IFERROR(FILTER($D$24:$D68, AG$24:AG68 &lt;&gt; AF$6, AG$23:AG67 = AF$6), 0))) * (60 * 60 * 24) / AF$9) - ROUNDDOWN(($D68 - MAX(IFERROR(FILTER($D$23:$D67, AG$23:AG67 &lt;&gt; AF$6, AG$22:"&amp;"AG66 = AF$6), 0))) * (60 * 60 * 24) / 60),
      0
    )
    - COUNTIF(AF69, ""&lt;&gt;-""),
  0), AF$6),
  AF$6 - COUNTIF(AF69, ""&lt;&gt;-"")
)"),2.0)</f>
        <v>2</v>
      </c>
      <c r="AH69" s="173" t="b">
        <v>0</v>
      </c>
      <c r="AI69" s="173" t="b">
        <v>0</v>
      </c>
      <c r="AJ69" s="173" t="b">
        <v>0</v>
      </c>
      <c r="AK69" s="174" t="b">
        <v>0</v>
      </c>
      <c r="AL69" s="175" t="b">
        <v>0</v>
      </c>
      <c r="AM69" s="173" t="b">
        <v>0</v>
      </c>
      <c r="AN69" s="171" t="s">
        <v>1070</v>
      </c>
      <c r="AO69" s="173" t="b">
        <v>0</v>
      </c>
      <c r="AP69" s="173" t="b">
        <v>0</v>
      </c>
      <c r="AQ69" s="173" t="b">
        <v>0</v>
      </c>
      <c r="AR69" s="174" t="b">
        <v>0</v>
      </c>
      <c r="AS69" s="178" t="b">
        <v>0</v>
      </c>
      <c r="AT69" s="179" t="b">
        <v>0</v>
      </c>
      <c r="AU69" s="180" t="b">
        <v>0</v>
      </c>
      <c r="AV69" s="180" t="b">
        <v>0</v>
      </c>
      <c r="AW69" s="180" t="b">
        <v>0</v>
      </c>
      <c r="AX69" s="180" t="b">
        <v>0</v>
      </c>
      <c r="AY69" s="181" t="s">
        <v>1070</v>
      </c>
      <c r="AZ69" s="181" t="s">
        <v>1070</v>
      </c>
      <c r="BA69" s="184">
        <f>IFERROR(__xludf.DUMMYFUNCTION("IF(
  ISNUMBER(BA68),
  MIN(MAX(
    BA68
    + MAX(
      ROUNDDOWN((D69 - MAX(IFERROR(FILTER(D$24:D68, BA$24:BA68 &lt;&gt; AZ$6, BA$23:BA67 = AZ$6), 0))) * (60 * 60 * 24) / AZ$9) - ROUNDDOWN((D68 - MAX(IFERROR(FILTER(D$23:D67, BA$23:BA67 &lt;&gt; AZ$6, BA$22:BA66 ="&amp;" AZ$6), 0))) * (60 * 60 * 24) / AZ$9),
      0
    )
    - COUNTIF(AZ69, ""&lt;&gt;-""),
  0), AZ$6),
  AZ$6 - COUNTIF(AZ69, ""&lt;&gt;-"")
)"),2.0)</f>
        <v>2</v>
      </c>
      <c r="BB69" s="181" t="s">
        <v>1070</v>
      </c>
      <c r="BC69" s="183">
        <f>IFERROR(__xludf.DUMMYFUNCTION("IF(
  ISNUMBER(BC68),
  MIN(MAX(
    BC68
    + MAX(
      ROUNDDOWN(($D69 - MAX(IFERROR(FILTER($D$24:$D68, BC$24:BC68 &lt;&gt; BB$6, BC$23:BC67 = BB$6), 0))) * (60 * 60 * 24) / BB$9) - ROUNDDOWN(($D68 - MAX(IFERROR(FILTER($D$23:$D67, BC$23:BC67 &lt;&gt; BB$6, BC$22:"&amp;"BC66 = BB$6), 0))) * (60 * 60 * 24) / 60),
      0
    )
    - COUNTIF(BB69, ""&lt;&gt;-""),
  0), BB$6),
  BB$6 - COUNTIF(BB69, ""&lt;&gt;-"")
)"),2.0)</f>
        <v>2</v>
      </c>
      <c r="BD69" s="181" t="s">
        <v>1070</v>
      </c>
      <c r="BE69" s="178" t="b">
        <v>0</v>
      </c>
      <c r="BF69" s="180" t="b">
        <v>0</v>
      </c>
      <c r="BG69" s="180" t="b">
        <v>0</v>
      </c>
      <c r="BH69" s="180" t="b">
        <v>0</v>
      </c>
      <c r="BI69" s="180" t="b">
        <v>0</v>
      </c>
      <c r="BJ69" s="180" t="b">
        <v>0</v>
      </c>
      <c r="BK69" s="180" t="b">
        <v>0</v>
      </c>
      <c r="BL69" s="180" t="b">
        <v>0</v>
      </c>
      <c r="BM69" s="180" t="b">
        <v>0</v>
      </c>
      <c r="BN69" s="180" t="b">
        <v>0</v>
      </c>
      <c r="BO69" s="181" t="s">
        <v>1070</v>
      </c>
      <c r="BP69" s="181" t="s">
        <v>1070</v>
      </c>
      <c r="BQ69" s="181" t="s">
        <v>1070</v>
      </c>
      <c r="BR69" s="181" t="s">
        <v>1070</v>
      </c>
      <c r="BS69" s="181" t="s">
        <v>1070</v>
      </c>
      <c r="BT69" s="184">
        <f>IFERROR(__xludf.DUMMYFUNCTION("IF(
  ISNUMBER(BT68),
  MIN(MAX(
    BT68
    + MAX(
      ROUNDDOWN((D69 - MAX(IFERROR(FILTER(D$24:D68, BT$24:BT68 &lt;&gt; BS$6, BT$23:BT67 = BS$6), 0))) * (60 * 60 * 24) / BS$9) - ROUNDDOWN((D68 - MAX(IFERROR(FILTER(D$23:D67, BT$23:BT67 &lt;&gt; BS$6, BT$22:BT66 ="&amp;" BS$6), 0))) * (60 * 60 * 24) / BS$9),
      0
    )
    - COUNTIF(BS69, ""&lt;&gt;-""),
  0), BS$6),
  BS$6 - COUNTIF(BS69, ""&lt;&gt;-"")
)"),3.0)</f>
        <v>3</v>
      </c>
      <c r="BU69" s="181" t="s">
        <v>1070</v>
      </c>
      <c r="BV69" s="181" t="s">
        <v>1070</v>
      </c>
      <c r="BW69" s="184">
        <f>IFERROR(__xludf.DUMMYFUNCTION("IF(
  ISNUMBER(BW68),
  MIN(MAX(
    BW68
    + MAX(
      ROUNDDOWN((D69 - MAX(IFERROR(FILTER(D$24:D68, BW$24:BW68 &lt;&gt; BV$6, BW$23:BW67 = BV$6), 0))) * (60 * 60 * 24) / BV$9) - ROUNDDOWN((D68 - MAX(IFERROR(FILTER(D$23:D67, BW$23:BW67 &lt;&gt; BV$6, BW$22:BW66 ="&amp;" BV$6), 0))) * (60 * 60 * 24) / BV$9),
      0
    )
    - COUNTIF(BV69, ""&lt;&gt;-""),
  0), BV$6),
  BV$6 - COUNTIF(BV69, ""&lt;&gt;-"")
)"),2.0)</f>
        <v>2</v>
      </c>
      <c r="BX69" s="185" t="s">
        <v>1070</v>
      </c>
      <c r="BY69" s="178" t="b">
        <v>0</v>
      </c>
      <c r="BZ69" s="180" t="b">
        <v>0</v>
      </c>
      <c r="CA69" s="180" t="b">
        <v>0</v>
      </c>
      <c r="CB69" s="180" t="b">
        <v>0</v>
      </c>
      <c r="CC69" s="180" t="b">
        <v>0</v>
      </c>
      <c r="CD69" s="180" t="b">
        <v>0</v>
      </c>
      <c r="CE69" s="180" t="b">
        <v>0</v>
      </c>
      <c r="CF69" s="180" t="b">
        <v>0</v>
      </c>
      <c r="CG69" s="180" t="b">
        <v>0</v>
      </c>
      <c r="CH69" s="180" t="b">
        <v>0</v>
      </c>
      <c r="CI69" s="180" t="b">
        <v>0</v>
      </c>
      <c r="CJ69" s="180" t="b">
        <v>0</v>
      </c>
      <c r="CK69" s="180" t="b">
        <v>0</v>
      </c>
      <c r="CL69" s="180" t="b">
        <v>0</v>
      </c>
      <c r="CM69" s="181" t="s">
        <v>1070</v>
      </c>
      <c r="CN69" s="181" t="s">
        <v>1070</v>
      </c>
      <c r="CO69" s="181" t="s">
        <v>1070</v>
      </c>
      <c r="CP69" s="181" t="s">
        <v>1070</v>
      </c>
      <c r="CQ69" s="185" t="s">
        <v>1070</v>
      </c>
      <c r="CR69" s="180" t="b">
        <v>0</v>
      </c>
      <c r="CS69" s="186" t="str">
        <f t="shared" si="14"/>
        <v>◇◇◇</v>
      </c>
      <c r="CT69" s="178" t="b">
        <v>0</v>
      </c>
      <c r="CU69" s="180" t="b">
        <v>0</v>
      </c>
      <c r="CV69" s="180" t="b">
        <v>0</v>
      </c>
      <c r="CW69" s="180" t="b">
        <v>0</v>
      </c>
      <c r="CX69" s="180" t="b">
        <v>0</v>
      </c>
      <c r="CY69" s="180" t="b">
        <v>0</v>
      </c>
      <c r="CZ69" s="180" t="b">
        <v>0</v>
      </c>
      <c r="DA69" s="180" t="b">
        <v>0</v>
      </c>
      <c r="DB69" s="180" t="b">
        <v>0</v>
      </c>
      <c r="DC69" s="180" t="b">
        <v>0</v>
      </c>
      <c r="DD69" s="181" t="s">
        <v>1070</v>
      </c>
      <c r="DE69" s="181" t="s">
        <v>1070</v>
      </c>
      <c r="DF69" s="181" t="s">
        <v>1070</v>
      </c>
      <c r="DG69" s="185" t="s">
        <v>1070</v>
      </c>
      <c r="DH69" s="180" t="b">
        <v>0</v>
      </c>
      <c r="DI69" s="187" t="str">
        <f>IFERROR(__xludf.DUMMYFUNCTION("SWITCH(
  IF(
    ISTEXT(DI68),
    IF (
      FIND(""○"", DI68&amp;""○"") &gt; 3,
      3,
      FIND(""○"", DI68&amp;""○"")
      + MAX(
        ROUNDDOWN(($D69 - MAX(IFERROR(FILTER(D$24:D68, DI$24:DI68 &lt;&gt; ""●●●"", DI$23:DI67 = ""●●●""), 0))) * (60 * 60 * 24) / 20"&amp;") - ROUNDDOWN(($D68 - MAX(IFERROR(FILTER(D$23:D67, DI$23:DI67 &lt;&gt; ""●●●"", DI$22:DI66 = ""●●●""), 0))) * (60 * 60 * 24) / 20),
        0
      ) - 1
    ) - COUNTIFS(CU69, ""=TRUE"", CU68, ""&lt;&gt;TRUE"") - COUNTIF(CZ69, ""=TRUE"") - COUNTIF({DD69,DE69}, ""&lt;&gt;-"&amp;""") + COUNTIF(DH69, ""=TRUE""),
    3
  ),
  0, ""○○○"", 1, ""●○○"", 2, ""●●○"", 3, ""●●●"", 4, ""●●●"", ""○○○""
)"),"●●●")</f>
        <v>●●●</v>
      </c>
      <c r="DJ69" s="188" t="b">
        <v>0</v>
      </c>
      <c r="DK69" s="189" t="b">
        <v>0</v>
      </c>
      <c r="DL69" s="190" t="b">
        <v>0</v>
      </c>
      <c r="DM69" s="190" t="b">
        <v>0</v>
      </c>
      <c r="DN69" s="190" t="b">
        <v>0</v>
      </c>
      <c r="DO69" s="190" t="b">
        <v>0</v>
      </c>
      <c r="DP69" s="190" t="b">
        <v>0</v>
      </c>
      <c r="DQ69" s="191" t="b">
        <v>0</v>
      </c>
      <c r="DR69" s="192" t="b">
        <v>0</v>
      </c>
      <c r="DS69" s="191" t="b">
        <v>0</v>
      </c>
      <c r="DT69" s="192" t="b">
        <v>0</v>
      </c>
      <c r="DU69" s="191" t="b">
        <v>0</v>
      </c>
      <c r="DV69" s="193" t="s">
        <v>1070</v>
      </c>
      <c r="DW69" s="194" t="b">
        <v>0</v>
      </c>
      <c r="DX69" s="194" t="b">
        <v>0</v>
      </c>
      <c r="DY69" s="195" t="b">
        <v>0</v>
      </c>
      <c r="DZ69" s="196" t="b">
        <v>0</v>
      </c>
      <c r="EA69" s="195" t="b">
        <v>0</v>
      </c>
      <c r="EB69" s="197" t="b">
        <v>0</v>
      </c>
      <c r="EC69" s="197" t="b">
        <v>0</v>
      </c>
      <c r="ED69" s="212" t="b">
        <v>0</v>
      </c>
      <c r="EE69" s="199">
        <f>IFERROR(__xludf.DUMMYFUNCTION("IFERROR(
   PRODUCT(
     MAP(
       INDEX(TRANSPOSE(UNIQUE(TRANSPOSE(FILTER({IF($F69=""Physical"", K$10:ED$10, IF($F69=""Magic"", K$11:ED$11, K$12:ED$12));K$4:ED$4;K69:ED69}, K69:ED69=TRUE)))), 1, 0),
       INDEX(TRANSPOSE(UNIQUE(TRANSPOSE(FILTER({IF($"&amp;"F69=""Physical"", K$18:ED$18, IF($F69=""Magic"", K$19:ED$19, K$20:ED$20));K$4:ED$4;K69:ED69}, K69:ED69=TRUE)))), 1, 0),
       INDEX(TRANSPOSE(UNIQUE(TRANSPOSE(FILTER({K$5:ED$5;K$4:ED$4;K69:ED69}, K69:ED69=TRUE)))), 1, 0),
       INDEX(TRANSPOSE(UNIQUE(TR"&amp;"ANSPOSE(FILTER({K$17:ED$17;K$4:ED$4;K69:ED69}, K69:ED69=TRUE)))), 1, 0),
       LAMBDA(
         mitigation,
         enhance,
         assign,
         precondition,
         IF(
           REGEXMATCH(assign, ""RANGE_PARTY|SINGLE_ENEMY|RANGE_ENEMY""),
  "&amp;"         IF(
             OR(ARRAYFORMULA((IF(precondition="""", FALSE, REGEXMATCH(K$4:ED$4, precondition))) * (K69:ED69=TRUE))),
             IF(ISNUMBER(enhance), enhance, 1),
             IF(ISNUMBER(mitigation), mitigation, 1)
           ),
          "&amp;" 1
         )
       )
     )
   ),
   1
 )"),1.0)</f>
        <v>1</v>
      </c>
      <c r="EF69" s="200">
        <f>IFERROR(__xludf.DUMMYFUNCTION("PRODUCT(
   MAP(
     K$14:ED$14,
     K$13:ED$13,
     K69:ED69,
     LAMBDA(
       buff,
       target,
       check,
       IF(
         AND(check=TRUE, REGEXMATCH(target, ""RANGE_AFFECTED_ALL|RANGE_EFFECTED_ALL""), ISNUMBER(buff)),
         buff,
   "&amp;"      1
       )
     )
   )
 )"),1.0)</f>
        <v>1</v>
      </c>
      <c r="EG69" s="200">
        <f>IFERROR(__xludf.DUMMYFUNCTION("PRODUCT(
   MAP(
     K$14:ED$14,
     K$13:ED$13,
     K69:ED69,
     LAMBDA(
       buff,
       target,
       check,
       IF(
         AND(check=TRUE, REGEXMATCH(target, ""RANGE_AFFECTED_GCD|RANGE_EFFECTED_GCD""), ISNUMBER(buff)),
         buff,
   "&amp;"      1
       )
     )
   )
 )"),1.0)</f>
        <v>1</v>
      </c>
      <c r="EH69" s="200">
        <f>IFERROR(__xludf.DUMMYFUNCTION("PRODUCT(
   MAP(
     K$3:ED$3,
     K$14:ED$14,
     K$13:ED$13,
     K69:ED69,
     LAMBDA(
       job,
       buff,
       target,
       check,
       IF(
         AND(check=TRUE, REGEXMATCH(target, ""SELF_EFFECTED_ALL""), ISNUMBER(buff), job=""白魔道士"""&amp;"),
         buff,
         1
       )
     )
   )
 )"),1.0)</f>
        <v>1</v>
      </c>
      <c r="EI69" s="200">
        <f>IFERROR(__xludf.DUMMYFUNCTION("PRODUCT(
   MAP(
     K$3:ED$3,
     K$14:ED$14,
     K$13:ED$13,
     K69:ED69,
     LAMBDA(
       job,
       buff,
       target,
       check,
       IF(
         AND(check=TRUE, REGEXMATCH(target, ""SELF_EFFECTED_GCD""), ISNUMBER(buff), job=""白魔道士"""&amp;"),
         buff,
         1
       )
     )
   )
 )"),1.0)</f>
        <v>1</v>
      </c>
      <c r="EJ69" s="200">
        <f>IFERROR(__xludf.DUMMYFUNCTION("PRODUCT(
   MAP(
     K$3:ED$3,
     K$14:ED$14,
     K$13:ED$13,
     K69:ED69,
     LAMBDA(
       job,
       buff,
       target,
       check,
       IF(
         AND(check=TRUE, REGEXMATCH(target, ""SELF_EFFECTED_ALL""), ISNUMBER(buff), job=""占星術師"""&amp;"),
         buff,
         1
       )
     )
   )
 )"),1.0)</f>
        <v>1</v>
      </c>
      <c r="EK69" s="200">
        <f>IFERROR(__xludf.DUMMYFUNCTION("PRODUCT(
   MAP(
     K$3:ED$3,
     K$14:ED$14,
     K$13:ED$13,
     K69:ED69,
     LAMBDA(
       job,
       buff,
       target,
       check,
       IF(
         AND(check=TRUE, REGEXMATCH(target, ""SELF_EFFECTED_GCD""), ISNUMBER(buff), job=""占星術師"""&amp;"),
         buff,
         1
       )
     )
   )
 )"),1.0)</f>
        <v>1</v>
      </c>
      <c r="EL69" s="200">
        <f>IFERROR(__xludf.DUMMYFUNCTION("PRODUCT(
   MAP(
     K$3:ED$3,
     K$14:ED$14,
     K$13:ED$13,
     K69:ED69,
     LAMBDA(
       job,
       buff,
       target,
       check,
       IF(
         AND(check=TRUE, REGEXMATCH(target, ""SELF_EFFECTED_ALL""), ISNUMBER(buff), job=""学者""),"&amp;"
         buff,
         1
       )
     )
   )
 )"),1.0)</f>
        <v>1</v>
      </c>
      <c r="EM69" s="200">
        <f>IFERROR(__xludf.DUMMYFUNCTION("PRODUCT(
   MAP(
     K$3:ED$3,
     K$14:ED$14,
     K$13:ED$13,
     K69:ED69,
     LAMBDA(
       job,
       buff,
       target,
       check,
       IF(
         AND(check=TRUE, REGEXMATCH(target, ""SELF_EFFECTED_GCD""), ISNUMBER(buff), job=""学者""),"&amp;"
         buff,
         1
       )
     )
   )
 )"),1.0)</f>
        <v>1</v>
      </c>
      <c r="EN69" s="200">
        <f>IFERROR(__xludf.DUMMYFUNCTION("PRODUCT(
   MAP(
     K$3:ED$3,
     K$14:ED$14,
     K$13:ED$13,
     K69:ED69,
     LAMBDA(
       job,
       buff,
       target,
       check,
       IF(
         AND(check=TRUE, REGEXMATCH(target, ""SELF_EFFECTED_ALL""), ISNUMBER(buff), job=""賢者""),"&amp;"
         buff,
         1
       )
     )
   )
 )"),1.0)</f>
        <v>1</v>
      </c>
      <c r="EO69" s="200">
        <f>IFERROR(__xludf.DUMMYFUNCTION("PRODUCT(
   MAP(
     K$3:ED$3,
     K$14:ED$14,
     K$13:ED$13,
     K69:ED69,
     LAMBDA(
       job,
       buff,
       target,
       check,
       IF(
         AND(check=TRUE, REGEXMATCH(target, ""SELF_EFFECTED_GCD""), ISNUMBER(buff), job=""賢者""),"&amp;"
         buff,
         1
       )
     )
   )
 )"),1.0)</f>
        <v>1</v>
      </c>
      <c r="EP69" s="201">
        <f t="shared" si="3"/>
        <v>0</v>
      </c>
      <c r="EQ69" s="201">
        <f>IFERROR(__xludf.DUMMYFUNCTION("SUM(
   MAP(
     K$4:ED$4,
     K$3:ED$3,
     K$7:ED$7,
     K$15:ED$15,
     K$16:ED$16,
     K$21:ED$21,
     K$5:ED$5,
     K$17:ED$17,
     K69:ED69,
     LAMBDA(
       name,
       job,
       abillity,
       buff,
       barrier,
       enhance,"&amp;"
       assign,
       precondition,
       check,
       SWITCH(
         name,
         ""シェイクオフ"", IF(check=TRUE, buff + (0.02 * COUNTIF(ARRAYFORMULA((REGEXMATCH($K$4:$ED$4, ""スリル・オブ・バトル|ヴェンジェンス|原初の血気|ダムネーション"")) * (K69:ED69=TRUE)), 1)), 0),
         "&amp;"""インプロビゼーションフィニッシュ(踊りの激情0)"", IF(ISNUMBER(check), INDEX(Skill!$AJ:$AJ, MATCH(SUBSTITUTE(DV$4, 0, check), Skill!$C:$C, 0)), 0),
         IF(
           AND(check=TRUE, REGEXMATCH(assign, ""RANGE_PARTY"")),
           IF(
             OR(ARRAYFORMULA((IF(pr"&amp;"econdition="""", FALSE, REGEXMATCH($K$4:$ED$4, precondition))) * (K69:ED69=TRUE))),
             enhance,
             IF(barrier="""", buff, barrier)
           ),
           0
         )
       ) *
       SWITCH(
         job,
         ""ナイト"", EY$24,
 "&amp;"        ""戦士"", FD$24,
         ""踊り子"", ET$24,
         ""ピクトマンサー"", ET$24,
         ""白魔道士"", EF69 * EH69 * IF(abillity, 1, EG69 * EI69) * (Option!$D$22 * 0.81 / 100),
         ""占星術師"", EF69 * EJ69 * IF(abillity, 1, EG69 * EK69) * (Option!$D$23 * 0.81 "&amp;"/ 100),
         ""学者"", EF69 * EL69 * IF(abillity, 1, EG69 * EM69) * (Option!$D$24 * 0.81 / 100),
         ""賢者"", EF69 * EN69 * IF(abillity, 1, EG69 * EO69) * (Option!$D$25 * 0.81 / 100),
         1
       )
     )
   )
 )"),0.0)</f>
        <v>0</v>
      </c>
      <c r="ER69" s="202">
        <f t="shared" si="4"/>
        <v>0</v>
      </c>
      <c r="ES69" s="203">
        <f t="shared" si="5"/>
        <v>0</v>
      </c>
      <c r="ET69" s="231" t="str">
        <f>IFERROR(__xludf.DUMMYFUNCTION("IFS(
  EP69 &gt; $ET$24 + EQ69,
  SPARKLINE({ 1, 0 }, {""charttype"",""bar"";""max"", 1;""color1"",Option!$D$30;""color2"",Option!$D$30}),
  EP69 &lt; EQ69,
  SPARKLINE({EQ69 - EP69, $ET$24 - (EQ69 - EP69)}, {""charttype"",""bar"";""max"",$ET$24;""color1"",Opti"&amp;"on!$D$28;""color2"",Option!$D$29}),
  EP69 &gt;= EQ69,
  SPARKLINE({$ET$24 + EQ69 - EP69,EP69 - EQ69}, {""charttype"",""bar"";""max"",$ET$24;""color1"",Option!$D$29;""color2"",Option!$D$30})
)"),"")</f>
        <v/>
      </c>
      <c r="EU69" s="205">
        <f>IFERROR(__xludf.DUMMYFUNCTION("PRODUCT(
   MAP(
     IF($F69=""Physical"", K$10:ED$10, IF($F69=""Magic"", K$11:ED$11, K$12:ED$12)),
     IF($F69=""Physical"", K$18:ED$18, IF($F69=""Magic"", K$19:ED$19, K$20:ED$20)),
     K$3:ED$3,
     K$5:ED$5,
     K$17:ED$17,
     K69:ED69,
     LAM"&amp;"BDA(
       mitigation,
       enhance,
       job,
       assign,
       precondition,
       check,
       IF(
         OR(AND(check=TRUE, REGEXMATCH(assign, ""SELF""), job=""ナイト""), AND(check=Option!$E$13, REGEXMATCH(assign, ""SINGLE_PARTY""))),
      "&amp;"   IF(
           OR(ARRAYFORMULA((IF(precondition="""", FALSE, REGEXMATCH($K$4:$ED$4, precondition))) * (K69:ED69=TRUE))),
           enhance,
           mitigation
         ),
         1
       )
     )
   )
 ) * EE69"),1.0)</f>
        <v>1</v>
      </c>
      <c r="EV69" s="206">
        <f t="shared" si="6"/>
        <v>0</v>
      </c>
      <c r="EW69" s="205">
        <f>IFERROR(__xludf.DUMMYFUNCTION("PRODUCT(
   MAP(
     K$3:ED$3,
     K$14:ED$14,
     K$13:ED$13,
     K69:ED69,
     LAMBDA(
       job,
       buff,
       target,
       check,
       IF(
         OR(AND(check=TRUE, REGEXMATCH(target, ""SELF_AFFECTED_ALL""), job=""ナイト""), AND(check=O"&amp;"ption!$E$13, REGEXMATCH(target, ""SINGLE_AFFECTED_ALL""))),
         buff,
         1
       )
     )
   )
 )"),1.0)</f>
        <v>1</v>
      </c>
      <c r="EX69" s="206">
        <f>IFERROR(__xludf.DUMMYFUNCTION("SUM(
   MAP(
     K$3:ED$3,
     K$7:ED$7,
     K$15:ED$15,
     K$16:ED$16,
     K$21:ED$21,
     K$5:ED$5,
     K$17:ED$17,
     K69:ED69,
     LAMBDA(
       job,
       abillity,
       buff,
       barrier,
       enhance,
       assign,
       preco"&amp;"ndition,
       check,
       IF(
         OR(AND(check=TRUE, REGEXMATCH(assign, ""SELF""), job=""ナイト""), AND(check=Option!$E$13, REGEXMATCH(assign, ""SINGLE_PARTY""))),
         IF(
           OR(ARRAYFORMULA((IF(precondition="""", FALSE, REGEXMATCH($K$4"&amp;":$ED$4, precondition))) * (K69:ED69=TRUE))),
           enhance,
           IF(barrier="""", buff, barrier)
         ),
         0
       ) *
       SWITCH(
         job,
         ""暗黒騎士"", EY$24,
         ""白魔道士"", EF69 * EH69 * EW69 * IF(abillity, 1, EG"&amp;"69 * EI69) * (Option!$D$22 * 0.81 / 100),
         ""占星術師"", EF69 * EJ69 * EW69 * IF(abillity, 1, EG69 * EK69) * (Option!$D$23 * 0.81 / 100),
         ""学者"", EF69 * EL69 * EW69 * IF(abillity, 1, EG69 * EM69) * (Option!$D$24 * 0.81 / 100),
         ""賢者"""&amp;", EF69 * EN69 * EW69 * IF(abillity, 1, EG69 * EO69) * (Option!$D$25 * 0.81 / 100),
         1
       )
     )
   )
 ) + EQ69"),0.0)</f>
        <v>0</v>
      </c>
      <c r="EY69" s="232">
        <f t="shared" si="7"/>
        <v>0</v>
      </c>
      <c r="EZ69" s="205">
        <f>IFERROR(__xludf.DUMMYFUNCTION("PRODUCT(
   MAP(
     IF($F69=""Physical"", K$10:ED$10, IF($F69=""Magic"", K$11:ED$11, K$12:ED$12)),
     IF($F69=""Physical"", K$18:ED$18, IF($F69=""Magic"", K$19:ED$19, K$20:ED$20)),
     K$3:ED$3,
     K$5:ED$5,
     K$17:ED$17,
     K69:ED69,
     LAM"&amp;"BDA(
       mitigation,
       enhance,
       job,
       assign,
       precondition,
       check,
       IF(
         OR(AND(check=TRUE, REGEXMATCH(assign, ""SELF""), job=""戦士""), AND(check=Option!$F$13, REGEXMATCH(assign, ""SINGLE_PARTY""))),
       "&amp;"  IF(
           OR(ARRAYFORMULA((IF(precondition="""", FALSE, REGEXMATCH($K$4:$ED$4, precondition))) * (K69:ED69=TRUE))),
           enhance,
           mitigation
         ),
         1
       )
     )
   )
 ) * EE69"),1.0)</f>
        <v>1</v>
      </c>
      <c r="FA69" s="206">
        <f t="shared" si="8"/>
        <v>0</v>
      </c>
      <c r="FB69" s="205">
        <f>IFERROR(__xludf.DUMMYFUNCTION("PRODUCT(
   MAP(
     K$3:ED$3,
     K$14:ED$14,
     K$13:ED$13,
     K69:ED69,
     LAMBDA(
       job,
       buff,
       target,
       check,
       IF(
         OR(AND(check=TRUE, REGEXMATCH(target, ""SELF_AFFECTED_ALL""), job=""戦士""), AND(check=Op"&amp;"tion!$F$13, REGEXMATCH(target, ""SINGLE_AFFECTED_ALL""))),
         buff,
         1
       )
     )
   )
 )"),1.0)</f>
        <v>1</v>
      </c>
      <c r="FC69" s="206">
        <f>IFERROR(__xludf.DUMMYFUNCTION("SUM(
   MAP(
     K$3:ED$3,
     K$7:ED$7,
     K$15:ED$15,
     K$16:ED$16,
     K$21:ED$21,
     K$5:ED$5,
     K$17:ED$17,
     K69:ED69,
     LAMBDA(
       job,
       abillity,
       buff,
       barrier,
       enhance,
       assign,
       preco"&amp;"ndition,
       check,
       IF(
         OR(AND(check=TRUE, REGEXMATCH(assign, ""SELF""), job=""戦士""), AND(check=Option!$F$13, REGEXMATCH(assign, ""SINGLE_PARTY""))),
         IF(
           OR(ARRAYFORMULA((IF(precondition="""", FALSE, REGEXMATCH($K$4:"&amp;"$ED$4, precondition))) * (K69:ED69=TRUE))),
           enhance,
           IF(barrier="""", buff, barrier)
         ),
         0
       ) *
       SWITCH(
         job,
         ""暗黒騎士"", FD$24,
         ""白魔道士"", EF69 * EH69 * FB69 * IF(abillity, 1, EG6"&amp;"9 * EI69) * (Option!$D$22 * 0.81 / 100),
         ""占星術師"", EF69 * EJ69 * FFB69 * IF(abillity, 1, EG69 * EK69) * (Option!$D$23 * 0.81 / 100),
         ""学者"", EF69 * EL69 * FB69 * IF(abillity, 1, EG69 * EM69) * (Option!$D$24 * 0.81 / 100),
         ""賢者"""&amp;", EF69 * EN69 * FB69 * IF(abillity, 1, EG69 * EO69) * (Option!$D$25 * 0.81 / 100),
         1
       )
     )
   )
 ) + EQ69"),0.0)</f>
        <v>0</v>
      </c>
      <c r="FD69" s="206">
        <f t="shared" si="9"/>
        <v>0</v>
      </c>
      <c r="FE69" s="205">
        <f>IFERROR(__xludf.DUMMYFUNCTION("PRODUCT(
   MAP(
     IF($F69=""Physical"", K$10:ED$10, IF($F69=""Magic"", K$11:ED$11, K$12:ED$12)),
     IF($F69=""Physical"", K$18:ED$18, IF($F69=""Magic"", K$19:ED$19, K$20:ED$20)),
     K$3:ED$3,
     K$5:ED$5,
     K$17:ED$17,
     K69:ED69,
     LAM"&amp;"BDA(
       mitigation,
       enhance,
       job,
       assign,
       precondition,
       check,
       IF(
         OR(AND(check=TRUE, REGEXMATCH(assign, ""SELF""), job=""暗黒騎士""), AND(check=Option!$G$13, REGEXMATCH(assign, ""SINGLE_PARTY""))),
     "&amp;"    IF(
           OR(ARRAYFORMULA((IF(precondition="""", FALSE, REGEXMATCH($K$4:$ED$4, precondition))) * (K69:ED69=TRUE))),
           enhance,
           mitigation
         ),
         1
       )
     )
   )
 ) * EE69"),1.0)</f>
        <v>1</v>
      </c>
      <c r="FF69" s="206">
        <f t="shared" si="10"/>
        <v>0</v>
      </c>
      <c r="FG69" s="205">
        <f>IFERROR(__xludf.DUMMYFUNCTION("PRODUCT(
   MAP(
     K$3:ED$3,
     K$14:ED$14,
     K$13:ED$13,
     K69:ED69,
     LAMBDA(
       job,
       buff,
       target,
       check,
       IF(
         OR(AND(check=TRUE, REGEXMATCH(target, ""SELF_AFFECTED_ALL""), job=""暗黒騎士""), AND(check="&amp;"Option!$G$13, REGEXMATCH(target, ""SINGLE_AFFECTED_ALL""))),
         buff,
         1
       )
     )
   )
 )"),1.0)</f>
        <v>1</v>
      </c>
      <c r="FH69" s="206">
        <f>IFERROR(__xludf.DUMMYFUNCTION("SUM(
   MAP(
     K$3:ED$3,
     K$7:ED$7,
     K$15:ED$15,
     K$16:ED$16,
     K$21:ED$21,
     K$5:ED$5,
     K$17:ED$17,
     K69:ED69,
     LAMBDA(
       job,
       abillity,
       buff,
       barrier,
       enhance,
       assign,
       preco"&amp;"ndition,
       check,
       IF(
         OR(AND(check=TRUE, REGEXMATCH(assign, ""SELF""), job=""暗黒騎士""), AND(check=Option!$G$13, REGEXMATCH(assign, ""SINGLE_PARTY""))),
         IF(
           OR(ARRAYFORMULA((IF(precondition="""", FALSE, REGEXMATCH($K$"&amp;"4:$ED$4, precondition))) * (K69:ED69=TRUE))),
           enhance,
           IF(barrier="""", buff, barrier)
         ),
         0
       ) *
       SWITCH(
         job,
         ""暗黒騎士"", FI$24,
         ""白魔道士"", EF69 * EH69 * FG69 * IF(abillity, 1, E"&amp;"G69 * EI69) * (Option!$D$22 * 0.81 / 100),
         ""占星術師"", EF69 * EJ69 * FG69 * IF(abillity, 1, EG69 * EK69) * (Option!$D$23 * 0.81 / 100),
         ""学者"", EF69 * EL69 * FG69 * IF(abillity, 1, EG69 * EM69) * (Option!$D$24 * 0.81 / 100),
         ""賢者"&amp;""", EF69 * EN69 * FG69 * IF(abillity, 1, EG69 * EO69) * (Option!$D$25 * 0.81 / 100),
         1
       )
     )
   )
 ) + EQ69"),0.0)</f>
        <v>0</v>
      </c>
      <c r="FI69" s="206">
        <f t="shared" si="11"/>
        <v>0</v>
      </c>
      <c r="FJ69" s="205">
        <f>IFERROR(__xludf.DUMMYFUNCTION("PRODUCT(
   MAP(
     IF($F69=""Physical"", K$10:ED$10, IF($F69=""Magic"", K$11:ED$11, K$12:ED$12)),
     IF($F69=""Physical"", K$18:ED$18, IF($F69=""Magic"", K$19:ED$19, K$20:ED$20)),
     K$3:ED$3,
     K$5:ED$5,
     K$17:ED$17,
     K69:ED69,
     LAM"&amp;"BDA(
       mitigation,
       enhance,
       job,
       assign,
       precondition,
       check,
       IF(
         OR(AND(check=TRUE, REGEXMATCH(assign, ""SELF""), job=""ガンブレイカー""), AND(check=Option!$H$13, REGEXMATCH(assign, ""SINGLE_PARTY""))),
  "&amp;"       IF(
           OR(ARRAYFORMULA((IF(precondition="""", FALSE, REGEXMATCH($K$4:$ED$4, precondition))) * (K69:ED69=TRUE))),
           enhance,
           mitigation
         ),
         1
       )
     )
   )
 ) * EE69"),1.0)</f>
        <v>1</v>
      </c>
      <c r="FK69" s="206">
        <f t="shared" si="12"/>
        <v>0</v>
      </c>
      <c r="FL69" s="205">
        <f>IFERROR(__xludf.DUMMYFUNCTION("PRODUCT(
   MAP(
     K$3:ED$3,
     K$14:ED$14,
     K$13:ED$13,
     K69:ED69,
     LAMBDA(
       job,
       buff,
       target,
       check,
       IF(
         OR(AND(check=TRUE, REGEXMATCH(target, ""SELF_AFFECTED_ALL""), job=""ガンブレイカー""), AND(che"&amp;"ck=Option!$H$13, REGEXMATCH(target, ""SINGLE_AFFECTED_ALL""))),
         buff,
         1
       )
     )
   )
 )"),1.0)</f>
        <v>1</v>
      </c>
      <c r="FM69" s="206">
        <f>IFERROR(__xludf.DUMMYFUNCTION("SUM(
   MAP(
     K$3:ED$3,
     K$7:ED$7,
     K$15:ED$15,
     K$16:ED$16,
     K$21:ED$21,
     K$5:ED$5,
     K$17:ED$17,
     K69:ED69,
     LAMBDA(
       job,
       abillity,
       buff,
       barrier,
       enhance,
       assign,
       preco"&amp;"ndition,
       check,
       IF(
         OR(AND(check=TRUE, REGEXMATCH(assign, ""SELF""), job=""ガンブレイカー""), AND(check=Option!$H$13, REGEXMATCH(assign, ""SINGLE_PARTY""))),
         IF(
           OR(ARRAYFORMULA((IF(precondition="""", FALSE, REGEXMATCH("&amp;"$K$4:$ED$4, precondition))) * (K69:ED69=TRUE))),
           enhance,
           IF(barrier="""", buff, barrier)
         ),
         0
       ) *
       SWITCH(
         job,
         ""暗黒騎士"", FN$24,
         ""白魔道士"", EF69 * EH69 * FL69 * IF(abillity, 1"&amp;", EG69 * EI69) * (Option!$D$22 * 0.81 / 100),
         ""占星術師"", EF69 * EJ69 * FL69 * IF(abillity, 1, EG69 * EK69) * (Option!$D$23 * 0.81 / 100),
         ""学者"", EF69 * EL69 * FL69 * IF(abillity, 1, EG69 * EM69) * (Option!$D$24 * 0.81 / 100),
         """&amp;"賢者"", EF69 * EN69 * FL69 * IF(abillity, 1, EG69 * EO69) * (Option!$D$25 * 0.81 / 100),
         1
       )
     )
   )
 ) + EQ69"),0.0)</f>
        <v>0</v>
      </c>
      <c r="FN69" s="206">
        <f t="shared" si="13"/>
        <v>0</v>
      </c>
      <c r="FO69" s="213"/>
    </row>
    <row r="70">
      <c r="B70" s="229"/>
      <c r="C70" s="217"/>
      <c r="D70" s="236"/>
      <c r="E70" s="238"/>
      <c r="F70" s="167"/>
      <c r="G70" s="168" t="str">
        <f t="shared" si="2"/>
        <v/>
      </c>
      <c r="H70" s="169"/>
      <c r="I70" s="169"/>
      <c r="J70" s="169"/>
      <c r="K70" s="170" t="b">
        <v>0</v>
      </c>
      <c r="L70" s="170" t="b">
        <v>0</v>
      </c>
      <c r="M70" s="170" t="b">
        <v>0</v>
      </c>
      <c r="N70" s="171" t="s">
        <v>1070</v>
      </c>
      <c r="O70" s="172" t="b">
        <v>0</v>
      </c>
      <c r="P70" s="173" t="b">
        <v>0</v>
      </c>
      <c r="Q70" s="173" t="b">
        <v>0</v>
      </c>
      <c r="R70" s="173" t="b">
        <v>0</v>
      </c>
      <c r="S70" s="174" t="b">
        <v>0</v>
      </c>
      <c r="T70" s="175" t="b">
        <v>0</v>
      </c>
      <c r="U70" s="173" t="b">
        <v>0</v>
      </c>
      <c r="V70" s="171" t="s">
        <v>1070</v>
      </c>
      <c r="W70" s="172" t="b">
        <v>0</v>
      </c>
      <c r="X70" s="173" t="b">
        <v>0</v>
      </c>
      <c r="Y70" s="173" t="b">
        <v>0</v>
      </c>
      <c r="Z70" s="173" t="b">
        <v>0</v>
      </c>
      <c r="AA70" s="174" t="b">
        <v>0</v>
      </c>
      <c r="AB70" s="174" t="b">
        <v>0</v>
      </c>
      <c r="AC70" s="175" t="b">
        <v>0</v>
      </c>
      <c r="AD70" s="173" t="b">
        <v>0</v>
      </c>
      <c r="AE70" s="176" t="s">
        <v>1070</v>
      </c>
      <c r="AF70" s="171" t="s">
        <v>1070</v>
      </c>
      <c r="AG70" s="177">
        <f>IFERROR(__xludf.DUMMYFUNCTION("IF(
  ISNUMBER(AG69),
  MIN(MAX(
    AG69
    + MAX(
      ROUNDDOWN(($D70 - MAX(IFERROR(FILTER($D$24:$D69, AG$24:AG69 &lt;&gt; AF$6, AG$23:AG68 = AF$6), 0))) * (60 * 60 * 24) / AF$9) - ROUNDDOWN(($D69 - MAX(IFERROR(FILTER($D$23:$D68, AG$23:AG68 &lt;&gt; AF$6, AG$22:"&amp;"AG67 = AF$6), 0))) * (60 * 60 * 24) / 60),
      0
    )
    - COUNTIF(AF70, ""&lt;&gt;-""),
  0), AF$6),
  AF$6 - COUNTIF(AF70, ""&lt;&gt;-"")
)"),2.0)</f>
        <v>2</v>
      </c>
      <c r="AH70" s="173" t="b">
        <v>0</v>
      </c>
      <c r="AI70" s="173" t="b">
        <v>0</v>
      </c>
      <c r="AJ70" s="173" t="b">
        <v>0</v>
      </c>
      <c r="AK70" s="174" t="b">
        <v>0</v>
      </c>
      <c r="AL70" s="175" t="b">
        <v>0</v>
      </c>
      <c r="AM70" s="173" t="b">
        <v>0</v>
      </c>
      <c r="AN70" s="171" t="s">
        <v>1070</v>
      </c>
      <c r="AO70" s="173" t="b">
        <v>0</v>
      </c>
      <c r="AP70" s="173" t="b">
        <v>0</v>
      </c>
      <c r="AQ70" s="173" t="b">
        <v>0</v>
      </c>
      <c r="AR70" s="174" t="b">
        <v>0</v>
      </c>
      <c r="AS70" s="178" t="b">
        <v>0</v>
      </c>
      <c r="AT70" s="179" t="b">
        <v>0</v>
      </c>
      <c r="AU70" s="180" t="b">
        <v>0</v>
      </c>
      <c r="AV70" s="180" t="b">
        <v>0</v>
      </c>
      <c r="AW70" s="180" t="b">
        <v>0</v>
      </c>
      <c r="AX70" s="180" t="b">
        <v>0</v>
      </c>
      <c r="AY70" s="181" t="s">
        <v>1070</v>
      </c>
      <c r="AZ70" s="181" t="s">
        <v>1070</v>
      </c>
      <c r="BA70" s="184">
        <f>IFERROR(__xludf.DUMMYFUNCTION("IF(
  ISNUMBER(BA69),
  MIN(MAX(
    BA69
    + MAX(
      ROUNDDOWN((D70 - MAX(IFERROR(FILTER(D$24:D69, BA$24:BA69 &lt;&gt; AZ$6, BA$23:BA68 = AZ$6), 0))) * (60 * 60 * 24) / AZ$9) - ROUNDDOWN((D69 - MAX(IFERROR(FILTER(D$23:D68, BA$23:BA68 &lt;&gt; AZ$6, BA$22:BA67 ="&amp;" AZ$6), 0))) * (60 * 60 * 24) / AZ$9),
      0
    )
    - COUNTIF(AZ70, ""&lt;&gt;-""),
  0), AZ$6),
  AZ$6 - COUNTIF(AZ70, ""&lt;&gt;-"")
)"),2.0)</f>
        <v>2</v>
      </c>
      <c r="BB70" s="181" t="s">
        <v>1070</v>
      </c>
      <c r="BC70" s="183">
        <f>IFERROR(__xludf.DUMMYFUNCTION("IF(
  ISNUMBER(BC69),
  MIN(MAX(
    BC69
    + MAX(
      ROUNDDOWN(($D70 - MAX(IFERROR(FILTER($D$24:$D69, BC$24:BC69 &lt;&gt; BB$6, BC$23:BC68 = BB$6), 0))) * (60 * 60 * 24) / BB$9) - ROUNDDOWN(($D69 - MAX(IFERROR(FILTER($D$23:$D68, BC$23:BC68 &lt;&gt; BB$6, BC$22:"&amp;"BC67 = BB$6), 0))) * (60 * 60 * 24) / 60),
      0
    )
    - COUNTIF(BB70, ""&lt;&gt;-""),
  0), BB$6),
  BB$6 - COUNTIF(BB70, ""&lt;&gt;-"")
)"),2.0)</f>
        <v>2</v>
      </c>
      <c r="BD70" s="181" t="s">
        <v>1070</v>
      </c>
      <c r="BE70" s="178" t="b">
        <v>0</v>
      </c>
      <c r="BF70" s="180" t="b">
        <v>0</v>
      </c>
      <c r="BG70" s="180" t="b">
        <v>0</v>
      </c>
      <c r="BH70" s="180" t="b">
        <v>0</v>
      </c>
      <c r="BI70" s="180" t="b">
        <v>0</v>
      </c>
      <c r="BJ70" s="180" t="b">
        <v>0</v>
      </c>
      <c r="BK70" s="180" t="b">
        <v>0</v>
      </c>
      <c r="BL70" s="180" t="b">
        <v>0</v>
      </c>
      <c r="BM70" s="180" t="b">
        <v>0</v>
      </c>
      <c r="BN70" s="180" t="b">
        <v>0</v>
      </c>
      <c r="BO70" s="181" t="s">
        <v>1070</v>
      </c>
      <c r="BP70" s="181" t="s">
        <v>1070</v>
      </c>
      <c r="BQ70" s="181" t="s">
        <v>1070</v>
      </c>
      <c r="BR70" s="181" t="s">
        <v>1070</v>
      </c>
      <c r="BS70" s="181" t="s">
        <v>1070</v>
      </c>
      <c r="BT70" s="184">
        <f>IFERROR(__xludf.DUMMYFUNCTION("IF(
  ISNUMBER(BT69),
  MIN(MAX(
    BT69
    + MAX(
      ROUNDDOWN((D70 - MAX(IFERROR(FILTER(D$24:D69, BT$24:BT69 &lt;&gt; BS$6, BT$23:BT68 = BS$6), 0))) * (60 * 60 * 24) / BS$9) - ROUNDDOWN((D69 - MAX(IFERROR(FILTER(D$23:D68, BT$23:BT68 &lt;&gt; BS$6, BT$22:BT67 ="&amp;" BS$6), 0))) * (60 * 60 * 24) / BS$9),
      0
    )
    - COUNTIF(BS70, ""&lt;&gt;-""),
  0), BS$6),
  BS$6 - COUNTIF(BS70, ""&lt;&gt;-"")
)"),3.0)</f>
        <v>3</v>
      </c>
      <c r="BU70" s="181" t="s">
        <v>1070</v>
      </c>
      <c r="BV70" s="181" t="s">
        <v>1070</v>
      </c>
      <c r="BW70" s="184">
        <f>IFERROR(__xludf.DUMMYFUNCTION("IF(
  ISNUMBER(BW69),
  MIN(MAX(
    BW69
    + MAX(
      ROUNDDOWN((D70 - MAX(IFERROR(FILTER(D$24:D69, BW$24:BW69 &lt;&gt; BV$6, BW$23:BW68 = BV$6), 0))) * (60 * 60 * 24) / BV$9) - ROUNDDOWN((D69 - MAX(IFERROR(FILTER(D$23:D68, BW$23:BW68 &lt;&gt; BV$6, BW$22:BW67 ="&amp;" BV$6), 0))) * (60 * 60 * 24) / BV$9),
      0
    )
    - COUNTIF(BV70, ""&lt;&gt;-""),
  0), BV$6),
  BV$6 - COUNTIF(BV70, ""&lt;&gt;-"")
)"),2.0)</f>
        <v>2</v>
      </c>
      <c r="BX70" s="185" t="s">
        <v>1070</v>
      </c>
      <c r="BY70" s="178" t="b">
        <v>0</v>
      </c>
      <c r="BZ70" s="180" t="b">
        <v>0</v>
      </c>
      <c r="CA70" s="180" t="b">
        <v>0</v>
      </c>
      <c r="CB70" s="180" t="b">
        <v>0</v>
      </c>
      <c r="CC70" s="180" t="b">
        <v>0</v>
      </c>
      <c r="CD70" s="180" t="b">
        <v>0</v>
      </c>
      <c r="CE70" s="180" t="b">
        <v>0</v>
      </c>
      <c r="CF70" s="180" t="b">
        <v>0</v>
      </c>
      <c r="CG70" s="180" t="b">
        <v>0</v>
      </c>
      <c r="CH70" s="180" t="b">
        <v>0</v>
      </c>
      <c r="CI70" s="180" t="b">
        <v>0</v>
      </c>
      <c r="CJ70" s="180" t="b">
        <v>0</v>
      </c>
      <c r="CK70" s="180" t="b">
        <v>0</v>
      </c>
      <c r="CL70" s="180" t="b">
        <v>0</v>
      </c>
      <c r="CM70" s="181" t="s">
        <v>1070</v>
      </c>
      <c r="CN70" s="181" t="s">
        <v>1070</v>
      </c>
      <c r="CO70" s="181" t="s">
        <v>1070</v>
      </c>
      <c r="CP70" s="181" t="s">
        <v>1070</v>
      </c>
      <c r="CQ70" s="185" t="s">
        <v>1070</v>
      </c>
      <c r="CR70" s="180" t="b">
        <v>0</v>
      </c>
      <c r="CS70" s="186" t="str">
        <f t="shared" si="14"/>
        <v>◇◇◇</v>
      </c>
      <c r="CT70" s="178" t="b">
        <v>0</v>
      </c>
      <c r="CU70" s="180" t="b">
        <v>0</v>
      </c>
      <c r="CV70" s="180" t="b">
        <v>0</v>
      </c>
      <c r="CW70" s="180" t="b">
        <v>0</v>
      </c>
      <c r="CX70" s="180" t="b">
        <v>0</v>
      </c>
      <c r="CY70" s="180" t="b">
        <v>0</v>
      </c>
      <c r="CZ70" s="180" t="b">
        <v>0</v>
      </c>
      <c r="DA70" s="180" t="b">
        <v>0</v>
      </c>
      <c r="DB70" s="180" t="b">
        <v>0</v>
      </c>
      <c r="DC70" s="180" t="b">
        <v>0</v>
      </c>
      <c r="DD70" s="181" t="s">
        <v>1070</v>
      </c>
      <c r="DE70" s="181" t="s">
        <v>1070</v>
      </c>
      <c r="DF70" s="181" t="s">
        <v>1070</v>
      </c>
      <c r="DG70" s="185" t="s">
        <v>1070</v>
      </c>
      <c r="DH70" s="180" t="b">
        <v>0</v>
      </c>
      <c r="DI70" s="187" t="str">
        <f>IFERROR(__xludf.DUMMYFUNCTION("SWITCH(
  IF(
    ISTEXT(DI69),
    IF (
      FIND(""○"", DI69&amp;""○"") &gt; 3,
      3,
      FIND(""○"", DI69&amp;""○"")
      + MAX(
        ROUNDDOWN(($D70 - MAX(IFERROR(FILTER(D$24:D69, DI$24:DI69 &lt;&gt; ""●●●"", DI$23:DI68 = ""●●●""), 0))) * (60 * 60 * 24) / 20"&amp;") - ROUNDDOWN(($D69 - MAX(IFERROR(FILTER(D$23:D68, DI$23:DI68 &lt;&gt; ""●●●"", DI$22:DI67 = ""●●●""), 0))) * (60 * 60 * 24) / 20),
        0
      ) - 1
    ) - COUNTIFS(CU70, ""=TRUE"", CU69, ""&lt;&gt;TRUE"") - COUNTIF(CZ70, ""=TRUE"") - COUNTIF({DD70,DE70}, ""&lt;&gt;-"&amp;""") + COUNTIF(DH70, ""=TRUE""),
    3
  ),
  0, ""○○○"", 1, ""●○○"", 2, ""●●○"", 3, ""●●●"", 4, ""●●●"", ""○○○""
)"),"●●●")</f>
        <v>●●●</v>
      </c>
      <c r="DJ70" s="188" t="b">
        <v>0</v>
      </c>
      <c r="DK70" s="189" t="b">
        <v>0</v>
      </c>
      <c r="DL70" s="190" t="b">
        <v>0</v>
      </c>
      <c r="DM70" s="190" t="b">
        <v>0</v>
      </c>
      <c r="DN70" s="190" t="b">
        <v>0</v>
      </c>
      <c r="DO70" s="190" t="b">
        <v>0</v>
      </c>
      <c r="DP70" s="190" t="b">
        <v>0</v>
      </c>
      <c r="DQ70" s="191" t="b">
        <v>0</v>
      </c>
      <c r="DR70" s="192" t="b">
        <v>0</v>
      </c>
      <c r="DS70" s="191" t="b">
        <v>0</v>
      </c>
      <c r="DT70" s="192" t="b">
        <v>0</v>
      </c>
      <c r="DU70" s="191" t="b">
        <v>0</v>
      </c>
      <c r="DV70" s="193" t="s">
        <v>1070</v>
      </c>
      <c r="DW70" s="194" t="b">
        <v>0</v>
      </c>
      <c r="DX70" s="194" t="b">
        <v>0</v>
      </c>
      <c r="DY70" s="195" t="b">
        <v>0</v>
      </c>
      <c r="DZ70" s="196" t="b">
        <v>0</v>
      </c>
      <c r="EA70" s="195" t="b">
        <v>0</v>
      </c>
      <c r="EB70" s="197" t="b">
        <v>0</v>
      </c>
      <c r="EC70" s="197" t="b">
        <v>0</v>
      </c>
      <c r="ED70" s="212" t="b">
        <v>0</v>
      </c>
      <c r="EE70" s="199">
        <f>IFERROR(__xludf.DUMMYFUNCTION("IFERROR(
   PRODUCT(
     MAP(
       INDEX(TRANSPOSE(UNIQUE(TRANSPOSE(FILTER({IF($F70=""Physical"", K$10:ED$10, IF($F70=""Magic"", K$11:ED$11, K$12:ED$12));K$4:ED$4;K70:ED70}, K70:ED70=TRUE)))), 1, 0),
       INDEX(TRANSPOSE(UNIQUE(TRANSPOSE(FILTER({IF($"&amp;"F70=""Physical"", K$18:ED$18, IF($F70=""Magic"", K$19:ED$19, K$20:ED$20));K$4:ED$4;K70:ED70}, K70:ED70=TRUE)))), 1, 0),
       INDEX(TRANSPOSE(UNIQUE(TRANSPOSE(FILTER({K$5:ED$5;K$4:ED$4;K70:ED70}, K70:ED70=TRUE)))), 1, 0),
       INDEX(TRANSPOSE(UNIQUE(TR"&amp;"ANSPOSE(FILTER({K$17:ED$17;K$4:ED$4;K70:ED70}, K70:ED70=TRUE)))), 1, 0),
       LAMBDA(
         mitigation,
         enhance,
         assign,
         precondition,
         IF(
           REGEXMATCH(assign, ""RANGE_PARTY|SINGLE_ENEMY|RANGE_ENEMY""),
  "&amp;"         IF(
             OR(ARRAYFORMULA((IF(precondition="""", FALSE, REGEXMATCH(K$4:ED$4, precondition))) * (K70:ED70=TRUE))),
             IF(ISNUMBER(enhance), enhance, 1),
             IF(ISNUMBER(mitigation), mitigation, 1)
           ),
          "&amp;" 1
         )
       )
     )
   ),
   1
 )"),1.0)</f>
        <v>1</v>
      </c>
      <c r="EF70" s="200">
        <f>IFERROR(__xludf.DUMMYFUNCTION("PRODUCT(
   MAP(
     K$14:ED$14,
     K$13:ED$13,
     K70:ED70,
     LAMBDA(
       buff,
       target,
       check,
       IF(
         AND(check=TRUE, REGEXMATCH(target, ""RANGE_AFFECTED_ALL|RANGE_EFFECTED_ALL""), ISNUMBER(buff)),
         buff,
   "&amp;"      1
       )
     )
   )
 )"),1.0)</f>
        <v>1</v>
      </c>
      <c r="EG70" s="200">
        <f>IFERROR(__xludf.DUMMYFUNCTION("PRODUCT(
   MAP(
     K$14:ED$14,
     K$13:ED$13,
     K70:ED70,
     LAMBDA(
       buff,
       target,
       check,
       IF(
         AND(check=TRUE, REGEXMATCH(target, ""RANGE_AFFECTED_GCD|RANGE_EFFECTED_GCD""), ISNUMBER(buff)),
         buff,
   "&amp;"      1
       )
     )
   )
 )"),1.0)</f>
        <v>1</v>
      </c>
      <c r="EH70" s="200">
        <f>IFERROR(__xludf.DUMMYFUNCTION("PRODUCT(
   MAP(
     K$3:ED$3,
     K$14:ED$14,
     K$13:ED$13,
     K70:ED70,
     LAMBDA(
       job,
       buff,
       target,
       check,
       IF(
         AND(check=TRUE, REGEXMATCH(target, ""SELF_EFFECTED_ALL""), ISNUMBER(buff), job=""白魔道士"""&amp;"),
         buff,
         1
       )
     )
   )
 )"),1.0)</f>
        <v>1</v>
      </c>
      <c r="EI70" s="200">
        <f>IFERROR(__xludf.DUMMYFUNCTION("PRODUCT(
   MAP(
     K$3:ED$3,
     K$14:ED$14,
     K$13:ED$13,
     K70:ED70,
     LAMBDA(
       job,
       buff,
       target,
       check,
       IF(
         AND(check=TRUE, REGEXMATCH(target, ""SELF_EFFECTED_GCD""), ISNUMBER(buff), job=""白魔道士"""&amp;"),
         buff,
         1
       )
     )
   )
 )"),1.0)</f>
        <v>1</v>
      </c>
      <c r="EJ70" s="200">
        <f>IFERROR(__xludf.DUMMYFUNCTION("PRODUCT(
   MAP(
     K$3:ED$3,
     K$14:ED$14,
     K$13:ED$13,
     K70:ED70,
     LAMBDA(
       job,
       buff,
       target,
       check,
       IF(
         AND(check=TRUE, REGEXMATCH(target, ""SELF_EFFECTED_ALL""), ISNUMBER(buff), job=""占星術師"""&amp;"),
         buff,
         1
       )
     )
   )
 )"),1.0)</f>
        <v>1</v>
      </c>
      <c r="EK70" s="200">
        <f>IFERROR(__xludf.DUMMYFUNCTION("PRODUCT(
   MAP(
     K$3:ED$3,
     K$14:ED$14,
     K$13:ED$13,
     K70:ED70,
     LAMBDA(
       job,
       buff,
       target,
       check,
       IF(
         AND(check=TRUE, REGEXMATCH(target, ""SELF_EFFECTED_GCD""), ISNUMBER(buff), job=""占星術師"""&amp;"),
         buff,
         1
       )
     )
   )
 )"),1.0)</f>
        <v>1</v>
      </c>
      <c r="EL70" s="200">
        <f>IFERROR(__xludf.DUMMYFUNCTION("PRODUCT(
   MAP(
     K$3:ED$3,
     K$14:ED$14,
     K$13:ED$13,
     K70:ED70,
     LAMBDA(
       job,
       buff,
       target,
       check,
       IF(
         AND(check=TRUE, REGEXMATCH(target, ""SELF_EFFECTED_ALL""), ISNUMBER(buff), job=""学者""),"&amp;"
         buff,
         1
       )
     )
   )
 )"),1.0)</f>
        <v>1</v>
      </c>
      <c r="EM70" s="200">
        <f>IFERROR(__xludf.DUMMYFUNCTION("PRODUCT(
   MAP(
     K$3:ED$3,
     K$14:ED$14,
     K$13:ED$13,
     K70:ED70,
     LAMBDA(
       job,
       buff,
       target,
       check,
       IF(
         AND(check=TRUE, REGEXMATCH(target, ""SELF_EFFECTED_GCD""), ISNUMBER(buff), job=""学者""),"&amp;"
         buff,
         1
       )
     )
   )
 )"),1.0)</f>
        <v>1</v>
      </c>
      <c r="EN70" s="200">
        <f>IFERROR(__xludf.DUMMYFUNCTION("PRODUCT(
   MAP(
     K$3:ED$3,
     K$14:ED$14,
     K$13:ED$13,
     K70:ED70,
     LAMBDA(
       job,
       buff,
       target,
       check,
       IF(
         AND(check=TRUE, REGEXMATCH(target, ""SELF_EFFECTED_ALL""), ISNUMBER(buff), job=""賢者""),"&amp;"
         buff,
         1
       )
     )
   )
 )"),1.0)</f>
        <v>1</v>
      </c>
      <c r="EO70" s="200">
        <f>IFERROR(__xludf.DUMMYFUNCTION("PRODUCT(
   MAP(
     K$3:ED$3,
     K$14:ED$14,
     K$13:ED$13,
     K70:ED70,
     LAMBDA(
       job,
       buff,
       target,
       check,
       IF(
         AND(check=TRUE, REGEXMATCH(target, ""SELF_EFFECTED_GCD""), ISNUMBER(buff), job=""賢者""),"&amp;"
         buff,
         1
       )
     )
   )
 )"),1.0)</f>
        <v>1</v>
      </c>
      <c r="EP70" s="201">
        <f t="shared" si="3"/>
        <v>0</v>
      </c>
      <c r="EQ70" s="201">
        <f>IFERROR(__xludf.DUMMYFUNCTION("SUM(
   MAP(
     K$4:ED$4,
     K$3:ED$3,
     K$7:ED$7,
     K$15:ED$15,
     K$16:ED$16,
     K$21:ED$21,
     K$5:ED$5,
     K$17:ED$17,
     K70:ED70,
     LAMBDA(
       name,
       job,
       abillity,
       buff,
       barrier,
       enhance,"&amp;"
       assign,
       precondition,
       check,
       SWITCH(
         name,
         ""シェイクオフ"", IF(check=TRUE, buff + (0.02 * COUNTIF(ARRAYFORMULA((REGEXMATCH($K$4:$ED$4, ""スリル・オブ・バトル|ヴェンジェンス|原初の血気|ダムネーション"")) * (K70:ED70=TRUE)), 1)), 0),
         "&amp;"""インプロビゼーションフィニッシュ(踊りの激情0)"", IF(ISNUMBER(check), INDEX(Skill!$AJ:$AJ, MATCH(SUBSTITUTE(DV$4, 0, check), Skill!$C:$C, 0)), 0),
         IF(
           AND(check=TRUE, REGEXMATCH(assign, ""RANGE_PARTY"")),
           IF(
             OR(ARRAYFORMULA((IF(pr"&amp;"econdition="""", FALSE, REGEXMATCH($K$4:$ED$4, precondition))) * (K70:ED70=TRUE))),
             enhance,
             IF(barrier="""", buff, barrier)
           ),
           0
         )
       ) *
       SWITCH(
         job,
         ""ナイト"", EY$24,
 "&amp;"        ""戦士"", FD$24,
         ""踊り子"", ET$24,
         ""ピクトマンサー"", ET$24,
         ""白魔道士"", EF70 * EH70 * IF(abillity, 1, EG70 * EI70) * (Option!$D$22 * 0.81 / 100),
         ""占星術師"", EF70 * EJ70 * IF(abillity, 1, EG70 * EK70) * (Option!$D$23 * 0.81 "&amp;"/ 100),
         ""学者"", EF70 * EL70 * IF(abillity, 1, EG70 * EM70) * (Option!$D$24 * 0.81 / 100),
         ""賢者"", EF70 * EN70 * IF(abillity, 1, EG70 * EO70) * (Option!$D$25 * 0.81 / 100),
         1
       )
     )
   )
 )"),0.0)</f>
        <v>0</v>
      </c>
      <c r="ER70" s="202">
        <f t="shared" si="4"/>
        <v>0</v>
      </c>
      <c r="ES70" s="203">
        <f t="shared" si="5"/>
        <v>0</v>
      </c>
      <c r="ET70" s="231" t="str">
        <f>IFERROR(__xludf.DUMMYFUNCTION("IFS(
  EP70 &gt; $ET$24 + EQ70,
  SPARKLINE({ 1, 0 }, {""charttype"",""bar"";""max"", 1;""color1"",Option!$D$30;""color2"",Option!$D$30}),
  EP70 &lt; EQ70,
  SPARKLINE({EQ70 - EP70, $ET$24 - (EQ70 - EP70)}, {""charttype"",""bar"";""max"",$ET$24;""color1"",Opti"&amp;"on!$D$28;""color2"",Option!$D$29}),
  EP70 &gt;= EQ70,
  SPARKLINE({$ET$24 + EQ70 - EP70,EP70 - EQ70}, {""charttype"",""bar"";""max"",$ET$24;""color1"",Option!$D$29;""color2"",Option!$D$30})
)"),"")</f>
        <v/>
      </c>
      <c r="EU70" s="205">
        <f>IFERROR(__xludf.DUMMYFUNCTION("PRODUCT(
   MAP(
     IF($F70=""Physical"", K$10:ED$10, IF($F70=""Magic"", K$11:ED$11, K$12:ED$12)),
     IF($F70=""Physical"", K$18:ED$18, IF($F70=""Magic"", K$19:ED$19, K$20:ED$20)),
     K$3:ED$3,
     K$5:ED$5,
     K$17:ED$17,
     K70:ED70,
     LAM"&amp;"BDA(
       mitigation,
       enhance,
       job,
       assign,
       precondition,
       check,
       IF(
         OR(AND(check=TRUE, REGEXMATCH(assign, ""SELF""), job=""ナイト""), AND(check=Option!$E$13, REGEXMATCH(assign, ""SINGLE_PARTY""))),
      "&amp;"   IF(
           OR(ARRAYFORMULA((IF(precondition="""", FALSE, REGEXMATCH($K$4:$ED$4, precondition))) * (K70:ED70=TRUE))),
           enhance,
           mitigation
         ),
         1
       )
     )
   )
 ) * EE70"),1.0)</f>
        <v>1</v>
      </c>
      <c r="EV70" s="206">
        <f t="shared" si="6"/>
        <v>0</v>
      </c>
      <c r="EW70" s="205">
        <f>IFERROR(__xludf.DUMMYFUNCTION("PRODUCT(
   MAP(
     K$3:ED$3,
     K$14:ED$14,
     K$13:ED$13,
     K70:ED70,
     LAMBDA(
       job,
       buff,
       target,
       check,
       IF(
         OR(AND(check=TRUE, REGEXMATCH(target, ""SELF_AFFECTED_ALL""), job=""ナイト""), AND(check=O"&amp;"ption!$E$13, REGEXMATCH(target, ""SINGLE_AFFECTED_ALL""))),
         buff,
         1
       )
     )
   )
 )"),1.0)</f>
        <v>1</v>
      </c>
      <c r="EX70" s="206">
        <f>IFERROR(__xludf.DUMMYFUNCTION("SUM(
   MAP(
     K$3:ED$3,
     K$7:ED$7,
     K$15:ED$15,
     K$16:ED$16,
     K$21:ED$21,
     K$5:ED$5,
     K$17:ED$17,
     K70:ED70,
     LAMBDA(
       job,
       abillity,
       buff,
       barrier,
       enhance,
       assign,
       preco"&amp;"ndition,
       check,
       IF(
         OR(AND(check=TRUE, REGEXMATCH(assign, ""SELF""), job=""ナイト""), AND(check=Option!$E$13, REGEXMATCH(assign, ""SINGLE_PARTY""))),
         IF(
           OR(ARRAYFORMULA((IF(precondition="""", FALSE, REGEXMATCH($K$4"&amp;":$ED$4, precondition))) * (K70:ED70=TRUE))),
           enhance,
           IF(barrier="""", buff, barrier)
         ),
         0
       ) *
       SWITCH(
         job,
         ""暗黒騎士"", EY$24,
         ""白魔道士"", EF70 * EH70 * EW70 * IF(abillity, 1, EG"&amp;"70 * EI70) * (Option!$D$22 * 0.81 / 100),
         ""占星術師"", EF70 * EJ70 * EW70 * IF(abillity, 1, EG70 * EK70) * (Option!$D$23 * 0.81 / 100),
         ""学者"", EF70 * EL70 * EW70 * IF(abillity, 1, EG70 * EM70) * (Option!$D$24 * 0.81 / 100),
         ""賢者"""&amp;", EF70 * EN70 * EW70 * IF(abillity, 1, EG70 * EO70) * (Option!$D$25 * 0.81 / 100),
         1
       )
     )
   )
 ) + EQ70"),0.0)</f>
        <v>0</v>
      </c>
      <c r="EY70" s="232">
        <f t="shared" si="7"/>
        <v>0</v>
      </c>
      <c r="EZ70" s="205">
        <f>IFERROR(__xludf.DUMMYFUNCTION("PRODUCT(
   MAP(
     IF($F70=""Physical"", K$10:ED$10, IF($F70=""Magic"", K$11:ED$11, K$12:ED$12)),
     IF($F70=""Physical"", K$18:ED$18, IF($F70=""Magic"", K$19:ED$19, K$20:ED$20)),
     K$3:ED$3,
     K$5:ED$5,
     K$17:ED$17,
     K70:ED70,
     LAM"&amp;"BDA(
       mitigation,
       enhance,
       job,
       assign,
       precondition,
       check,
       IF(
         OR(AND(check=TRUE, REGEXMATCH(assign, ""SELF""), job=""戦士""), AND(check=Option!$F$13, REGEXMATCH(assign, ""SINGLE_PARTY""))),
       "&amp;"  IF(
           OR(ARRAYFORMULA((IF(precondition="""", FALSE, REGEXMATCH($K$4:$ED$4, precondition))) * (K70:ED70=TRUE))),
           enhance,
           mitigation
         ),
         1
       )
     )
   )
 ) * EE70"),1.0)</f>
        <v>1</v>
      </c>
      <c r="FA70" s="206">
        <f t="shared" si="8"/>
        <v>0</v>
      </c>
      <c r="FB70" s="205">
        <f>IFERROR(__xludf.DUMMYFUNCTION("PRODUCT(
   MAP(
     K$3:ED$3,
     K$14:ED$14,
     K$13:ED$13,
     K70:ED70,
     LAMBDA(
       job,
       buff,
       target,
       check,
       IF(
         OR(AND(check=TRUE, REGEXMATCH(target, ""SELF_AFFECTED_ALL""), job=""戦士""), AND(check=Op"&amp;"tion!$F$13, REGEXMATCH(target, ""SINGLE_AFFECTED_ALL""))),
         buff,
         1
       )
     )
   )
 )"),1.0)</f>
        <v>1</v>
      </c>
      <c r="FC70" s="206">
        <f>IFERROR(__xludf.DUMMYFUNCTION("SUM(
   MAP(
     K$3:ED$3,
     K$7:ED$7,
     K$15:ED$15,
     K$16:ED$16,
     K$21:ED$21,
     K$5:ED$5,
     K$17:ED$17,
     K70:ED70,
     LAMBDA(
       job,
       abillity,
       buff,
       barrier,
       enhance,
       assign,
       preco"&amp;"ndition,
       check,
       IF(
         OR(AND(check=TRUE, REGEXMATCH(assign, ""SELF""), job=""戦士""), AND(check=Option!$F$13, REGEXMATCH(assign, ""SINGLE_PARTY""))),
         IF(
           OR(ARRAYFORMULA((IF(precondition="""", FALSE, REGEXMATCH($K$4:"&amp;"$ED$4, precondition))) * (K70:ED70=TRUE))),
           enhance,
           IF(barrier="""", buff, barrier)
         ),
         0
       ) *
       SWITCH(
         job,
         ""暗黒騎士"", FD$24,
         ""白魔道士"", EF70 * EH70 * FB70 * IF(abillity, 1, EG7"&amp;"0 * EI70) * (Option!$D$22 * 0.81 / 100),
         ""占星術師"", EF70 * EJ70 * FFB70 * IF(abillity, 1, EG70 * EK70) * (Option!$D$23 * 0.81 / 100),
         ""学者"", EF70 * EL70 * FB70 * IF(abillity, 1, EG70 * EM70) * (Option!$D$24 * 0.81 / 100),
         ""賢者"""&amp;", EF70 * EN70 * FB70 * IF(abillity, 1, EG70 * EO70) * (Option!$D$25 * 0.81 / 100),
         1
       )
     )
   )
 ) + EQ70"),0.0)</f>
        <v>0</v>
      </c>
      <c r="FD70" s="206">
        <f t="shared" si="9"/>
        <v>0</v>
      </c>
      <c r="FE70" s="205">
        <f>IFERROR(__xludf.DUMMYFUNCTION("PRODUCT(
   MAP(
     IF($F70=""Physical"", K$10:ED$10, IF($F70=""Magic"", K$11:ED$11, K$12:ED$12)),
     IF($F70=""Physical"", K$18:ED$18, IF($F70=""Magic"", K$19:ED$19, K$20:ED$20)),
     K$3:ED$3,
     K$5:ED$5,
     K$17:ED$17,
     K70:ED70,
     LAM"&amp;"BDA(
       mitigation,
       enhance,
       job,
       assign,
       precondition,
       check,
       IF(
         OR(AND(check=TRUE, REGEXMATCH(assign, ""SELF""), job=""暗黒騎士""), AND(check=Option!$G$13, REGEXMATCH(assign, ""SINGLE_PARTY""))),
     "&amp;"    IF(
           OR(ARRAYFORMULA((IF(precondition="""", FALSE, REGEXMATCH($K$4:$ED$4, precondition))) * (K70:ED70=TRUE))),
           enhance,
           mitigation
         ),
         1
       )
     )
   )
 ) * EE70"),1.0)</f>
        <v>1</v>
      </c>
      <c r="FF70" s="206">
        <f t="shared" si="10"/>
        <v>0</v>
      </c>
      <c r="FG70" s="205">
        <f>IFERROR(__xludf.DUMMYFUNCTION("PRODUCT(
   MAP(
     K$3:ED$3,
     K$14:ED$14,
     K$13:ED$13,
     K70:ED70,
     LAMBDA(
       job,
       buff,
       target,
       check,
       IF(
         OR(AND(check=TRUE, REGEXMATCH(target, ""SELF_AFFECTED_ALL""), job=""暗黒騎士""), AND(check="&amp;"Option!$G$13, REGEXMATCH(target, ""SINGLE_AFFECTED_ALL""))),
         buff,
         1
       )
     )
   )
 )"),1.0)</f>
        <v>1</v>
      </c>
      <c r="FH70" s="206">
        <f>IFERROR(__xludf.DUMMYFUNCTION("SUM(
   MAP(
     K$3:ED$3,
     K$7:ED$7,
     K$15:ED$15,
     K$16:ED$16,
     K$21:ED$21,
     K$5:ED$5,
     K$17:ED$17,
     K70:ED70,
     LAMBDA(
       job,
       abillity,
       buff,
       barrier,
       enhance,
       assign,
       preco"&amp;"ndition,
       check,
       IF(
         OR(AND(check=TRUE, REGEXMATCH(assign, ""SELF""), job=""暗黒騎士""), AND(check=Option!$G$13, REGEXMATCH(assign, ""SINGLE_PARTY""))),
         IF(
           OR(ARRAYFORMULA((IF(precondition="""", FALSE, REGEXMATCH($K$"&amp;"4:$ED$4, precondition))) * (K70:ED70=TRUE))),
           enhance,
           IF(barrier="""", buff, barrier)
         ),
         0
       ) *
       SWITCH(
         job,
         ""暗黒騎士"", FI$24,
         ""白魔道士"", EF70 * EH70 * FG70 * IF(abillity, 1, E"&amp;"G70 * EI70) * (Option!$D$22 * 0.81 / 100),
         ""占星術師"", EF70 * EJ70 * FG70 * IF(abillity, 1, EG70 * EK70) * (Option!$D$23 * 0.81 / 100),
         ""学者"", EF70 * EL70 * FG70 * IF(abillity, 1, EG70 * EM70) * (Option!$D$24 * 0.81 / 100),
         ""賢者"&amp;""", EF70 * EN70 * FG70 * IF(abillity, 1, EG70 * EO70) * (Option!$D$25 * 0.81 / 100),
         1
       )
     )
   )
 ) + EQ70"),0.0)</f>
        <v>0</v>
      </c>
      <c r="FI70" s="206">
        <f t="shared" si="11"/>
        <v>0</v>
      </c>
      <c r="FJ70" s="205">
        <f>IFERROR(__xludf.DUMMYFUNCTION("PRODUCT(
   MAP(
     IF($F70=""Physical"", K$10:ED$10, IF($F70=""Magic"", K$11:ED$11, K$12:ED$12)),
     IF($F70=""Physical"", K$18:ED$18, IF($F70=""Magic"", K$19:ED$19, K$20:ED$20)),
     K$3:ED$3,
     K$5:ED$5,
     K$17:ED$17,
     K70:ED70,
     LAM"&amp;"BDA(
       mitigation,
       enhance,
       job,
       assign,
       precondition,
       check,
       IF(
         OR(AND(check=TRUE, REGEXMATCH(assign, ""SELF""), job=""ガンブレイカー""), AND(check=Option!$H$13, REGEXMATCH(assign, ""SINGLE_PARTY""))),
  "&amp;"       IF(
           OR(ARRAYFORMULA((IF(precondition="""", FALSE, REGEXMATCH($K$4:$ED$4, precondition))) * (K70:ED70=TRUE))),
           enhance,
           mitigation
         ),
         1
       )
     )
   )
 ) * EE70"),1.0)</f>
        <v>1</v>
      </c>
      <c r="FK70" s="206">
        <f t="shared" si="12"/>
        <v>0</v>
      </c>
      <c r="FL70" s="205">
        <f>IFERROR(__xludf.DUMMYFUNCTION("PRODUCT(
   MAP(
     K$3:ED$3,
     K$14:ED$14,
     K$13:ED$13,
     K70:ED70,
     LAMBDA(
       job,
       buff,
       target,
       check,
       IF(
         OR(AND(check=TRUE, REGEXMATCH(target, ""SELF_AFFECTED_ALL""), job=""ガンブレイカー""), AND(che"&amp;"ck=Option!$H$13, REGEXMATCH(target, ""SINGLE_AFFECTED_ALL""))),
         buff,
         1
       )
     )
   )
 )"),1.0)</f>
        <v>1</v>
      </c>
      <c r="FM70" s="206">
        <f>IFERROR(__xludf.DUMMYFUNCTION("SUM(
   MAP(
     K$3:ED$3,
     K$7:ED$7,
     K$15:ED$15,
     K$16:ED$16,
     K$21:ED$21,
     K$5:ED$5,
     K$17:ED$17,
     K70:ED70,
     LAMBDA(
       job,
       abillity,
       buff,
       barrier,
       enhance,
       assign,
       preco"&amp;"ndition,
       check,
       IF(
         OR(AND(check=TRUE, REGEXMATCH(assign, ""SELF""), job=""ガンブレイカー""), AND(check=Option!$H$13, REGEXMATCH(assign, ""SINGLE_PARTY""))),
         IF(
           OR(ARRAYFORMULA((IF(precondition="""", FALSE, REGEXMATCH("&amp;"$K$4:$ED$4, precondition))) * (K70:ED70=TRUE))),
           enhance,
           IF(barrier="""", buff, barrier)
         ),
         0
       ) *
       SWITCH(
         job,
         ""暗黒騎士"", FN$24,
         ""白魔道士"", EF70 * EH70 * FL70 * IF(abillity, 1"&amp;", EG70 * EI70) * (Option!$D$22 * 0.81 / 100),
         ""占星術師"", EF70 * EJ70 * FL70 * IF(abillity, 1, EG70 * EK70) * (Option!$D$23 * 0.81 / 100),
         ""学者"", EF70 * EL70 * FL70 * IF(abillity, 1, EG70 * EM70) * (Option!$D$24 * 0.81 / 100),
         """&amp;"賢者"", EF70 * EN70 * FL70 * IF(abillity, 1, EG70 * EO70) * (Option!$D$25 * 0.81 / 100),
         1
       )
     )
   )
 ) + EQ70"),0.0)</f>
        <v>0</v>
      </c>
      <c r="FN70" s="206">
        <f t="shared" si="13"/>
        <v>0</v>
      </c>
      <c r="FO70" s="213"/>
    </row>
    <row r="71">
      <c r="B71" s="229"/>
      <c r="C71" s="217"/>
      <c r="D71" s="236"/>
      <c r="E71" s="238"/>
      <c r="F71" s="167"/>
      <c r="G71" s="168" t="str">
        <f t="shared" si="2"/>
        <v/>
      </c>
      <c r="H71" s="169"/>
      <c r="I71" s="169"/>
      <c r="J71" s="169"/>
      <c r="K71" s="170" t="b">
        <v>0</v>
      </c>
      <c r="L71" s="170" t="b">
        <v>0</v>
      </c>
      <c r="M71" s="170" t="b">
        <v>0</v>
      </c>
      <c r="N71" s="171" t="s">
        <v>1070</v>
      </c>
      <c r="O71" s="172" t="b">
        <v>0</v>
      </c>
      <c r="P71" s="173" t="b">
        <v>0</v>
      </c>
      <c r="Q71" s="173" t="b">
        <v>0</v>
      </c>
      <c r="R71" s="173" t="b">
        <v>0</v>
      </c>
      <c r="S71" s="174" t="b">
        <v>0</v>
      </c>
      <c r="T71" s="175" t="b">
        <v>0</v>
      </c>
      <c r="U71" s="173" t="b">
        <v>0</v>
      </c>
      <c r="V71" s="171" t="s">
        <v>1070</v>
      </c>
      <c r="W71" s="172" t="b">
        <v>0</v>
      </c>
      <c r="X71" s="173" t="b">
        <v>0</v>
      </c>
      <c r="Y71" s="173" t="b">
        <v>0</v>
      </c>
      <c r="Z71" s="173" t="b">
        <v>0</v>
      </c>
      <c r="AA71" s="174" t="b">
        <v>0</v>
      </c>
      <c r="AB71" s="174" t="b">
        <v>0</v>
      </c>
      <c r="AC71" s="175" t="b">
        <v>0</v>
      </c>
      <c r="AD71" s="173" t="b">
        <v>0</v>
      </c>
      <c r="AE71" s="176" t="s">
        <v>1070</v>
      </c>
      <c r="AF71" s="171" t="s">
        <v>1070</v>
      </c>
      <c r="AG71" s="177">
        <f>IFERROR(__xludf.DUMMYFUNCTION("IF(
  ISNUMBER(AG70),
  MIN(MAX(
    AG70
    + MAX(
      ROUNDDOWN(($D71 - MAX(IFERROR(FILTER($D$24:$D70, AG$24:AG70 &lt;&gt; AF$6, AG$23:AG69 = AF$6), 0))) * (60 * 60 * 24) / AF$9) - ROUNDDOWN(($D70 - MAX(IFERROR(FILTER($D$23:$D69, AG$23:AG69 &lt;&gt; AF$6, AG$22:"&amp;"AG68 = AF$6), 0))) * (60 * 60 * 24) / 60),
      0
    )
    - COUNTIF(AF71, ""&lt;&gt;-""),
  0), AF$6),
  AF$6 - COUNTIF(AF71, ""&lt;&gt;-"")
)"),2.0)</f>
        <v>2</v>
      </c>
      <c r="AH71" s="173" t="b">
        <v>0</v>
      </c>
      <c r="AI71" s="173" t="b">
        <v>0</v>
      </c>
      <c r="AJ71" s="173" t="b">
        <v>0</v>
      </c>
      <c r="AK71" s="174" t="b">
        <v>0</v>
      </c>
      <c r="AL71" s="175" t="b">
        <v>0</v>
      </c>
      <c r="AM71" s="173" t="b">
        <v>0</v>
      </c>
      <c r="AN71" s="171" t="s">
        <v>1070</v>
      </c>
      <c r="AO71" s="173" t="b">
        <v>0</v>
      </c>
      <c r="AP71" s="173" t="b">
        <v>0</v>
      </c>
      <c r="AQ71" s="173" t="b">
        <v>0</v>
      </c>
      <c r="AR71" s="174" t="b">
        <v>0</v>
      </c>
      <c r="AS71" s="178" t="b">
        <v>0</v>
      </c>
      <c r="AT71" s="179" t="b">
        <v>0</v>
      </c>
      <c r="AU71" s="180" t="b">
        <v>0</v>
      </c>
      <c r="AV71" s="180" t="b">
        <v>0</v>
      </c>
      <c r="AW71" s="180" t="b">
        <v>0</v>
      </c>
      <c r="AX71" s="180" t="b">
        <v>0</v>
      </c>
      <c r="AY71" s="181" t="s">
        <v>1070</v>
      </c>
      <c r="AZ71" s="181" t="s">
        <v>1070</v>
      </c>
      <c r="BA71" s="184">
        <f>IFERROR(__xludf.DUMMYFUNCTION("IF(
  ISNUMBER(BA70),
  MIN(MAX(
    BA70
    + MAX(
      ROUNDDOWN((D71 - MAX(IFERROR(FILTER(D$24:D70, BA$24:BA70 &lt;&gt; AZ$6, BA$23:BA69 = AZ$6), 0))) * (60 * 60 * 24) / AZ$9) - ROUNDDOWN((D70 - MAX(IFERROR(FILTER(D$23:D69, BA$23:BA69 &lt;&gt; AZ$6, BA$22:BA68 ="&amp;" AZ$6), 0))) * (60 * 60 * 24) / AZ$9),
      0
    )
    - COUNTIF(AZ71, ""&lt;&gt;-""),
  0), AZ$6),
  AZ$6 - COUNTIF(AZ71, ""&lt;&gt;-"")
)"),2.0)</f>
        <v>2</v>
      </c>
      <c r="BB71" s="181" t="s">
        <v>1070</v>
      </c>
      <c r="BC71" s="183">
        <f>IFERROR(__xludf.DUMMYFUNCTION("IF(
  ISNUMBER(BC70),
  MIN(MAX(
    BC70
    + MAX(
      ROUNDDOWN(($D71 - MAX(IFERROR(FILTER($D$24:$D70, BC$24:BC70 &lt;&gt; BB$6, BC$23:BC69 = BB$6), 0))) * (60 * 60 * 24) / BB$9) - ROUNDDOWN(($D70 - MAX(IFERROR(FILTER($D$23:$D69, BC$23:BC69 &lt;&gt; BB$6, BC$22:"&amp;"BC68 = BB$6), 0))) * (60 * 60 * 24) / 60),
      0
    )
    - COUNTIF(BB71, ""&lt;&gt;-""),
  0), BB$6),
  BB$6 - COUNTIF(BB71, ""&lt;&gt;-"")
)"),2.0)</f>
        <v>2</v>
      </c>
      <c r="BD71" s="181" t="s">
        <v>1070</v>
      </c>
      <c r="BE71" s="178" t="b">
        <v>0</v>
      </c>
      <c r="BF71" s="180" t="b">
        <v>0</v>
      </c>
      <c r="BG71" s="180" t="b">
        <v>0</v>
      </c>
      <c r="BH71" s="180" t="b">
        <v>0</v>
      </c>
      <c r="BI71" s="180" t="b">
        <v>0</v>
      </c>
      <c r="BJ71" s="180" t="b">
        <v>0</v>
      </c>
      <c r="BK71" s="180" t="b">
        <v>0</v>
      </c>
      <c r="BL71" s="180" t="b">
        <v>0</v>
      </c>
      <c r="BM71" s="180" t="b">
        <v>0</v>
      </c>
      <c r="BN71" s="180" t="b">
        <v>0</v>
      </c>
      <c r="BO71" s="181" t="s">
        <v>1070</v>
      </c>
      <c r="BP71" s="181" t="s">
        <v>1070</v>
      </c>
      <c r="BQ71" s="181" t="s">
        <v>1070</v>
      </c>
      <c r="BR71" s="181" t="s">
        <v>1070</v>
      </c>
      <c r="BS71" s="181" t="s">
        <v>1070</v>
      </c>
      <c r="BT71" s="184">
        <f>IFERROR(__xludf.DUMMYFUNCTION("IF(
  ISNUMBER(BT70),
  MIN(MAX(
    BT70
    + MAX(
      ROUNDDOWN((D71 - MAX(IFERROR(FILTER(D$24:D70, BT$24:BT70 &lt;&gt; BS$6, BT$23:BT69 = BS$6), 0))) * (60 * 60 * 24) / BS$9) - ROUNDDOWN((D70 - MAX(IFERROR(FILTER(D$23:D69, BT$23:BT69 &lt;&gt; BS$6, BT$22:BT68 ="&amp;" BS$6), 0))) * (60 * 60 * 24) / BS$9),
      0
    )
    - COUNTIF(BS71, ""&lt;&gt;-""),
  0), BS$6),
  BS$6 - COUNTIF(BS71, ""&lt;&gt;-"")
)"),3.0)</f>
        <v>3</v>
      </c>
      <c r="BU71" s="181" t="s">
        <v>1070</v>
      </c>
      <c r="BV71" s="181" t="s">
        <v>1070</v>
      </c>
      <c r="BW71" s="184">
        <f>IFERROR(__xludf.DUMMYFUNCTION("IF(
  ISNUMBER(BW70),
  MIN(MAX(
    BW70
    + MAX(
      ROUNDDOWN((D71 - MAX(IFERROR(FILTER(D$24:D70, BW$24:BW70 &lt;&gt; BV$6, BW$23:BW69 = BV$6), 0))) * (60 * 60 * 24) / BV$9) - ROUNDDOWN((D70 - MAX(IFERROR(FILTER(D$23:D69, BW$23:BW69 &lt;&gt; BV$6, BW$22:BW68 ="&amp;" BV$6), 0))) * (60 * 60 * 24) / BV$9),
      0
    )
    - COUNTIF(BV71, ""&lt;&gt;-""),
  0), BV$6),
  BV$6 - COUNTIF(BV71, ""&lt;&gt;-"")
)"),2.0)</f>
        <v>2</v>
      </c>
      <c r="BX71" s="185" t="s">
        <v>1070</v>
      </c>
      <c r="BY71" s="178" t="b">
        <v>0</v>
      </c>
      <c r="BZ71" s="180" t="b">
        <v>0</v>
      </c>
      <c r="CA71" s="180" t="b">
        <v>0</v>
      </c>
      <c r="CB71" s="180" t="b">
        <v>0</v>
      </c>
      <c r="CC71" s="180" t="b">
        <v>0</v>
      </c>
      <c r="CD71" s="180" t="b">
        <v>0</v>
      </c>
      <c r="CE71" s="180" t="b">
        <v>0</v>
      </c>
      <c r="CF71" s="180" t="b">
        <v>0</v>
      </c>
      <c r="CG71" s="180" t="b">
        <v>0</v>
      </c>
      <c r="CH71" s="180" t="b">
        <v>0</v>
      </c>
      <c r="CI71" s="180" t="b">
        <v>0</v>
      </c>
      <c r="CJ71" s="180" t="b">
        <v>0</v>
      </c>
      <c r="CK71" s="180" t="b">
        <v>0</v>
      </c>
      <c r="CL71" s="180" t="b">
        <v>0</v>
      </c>
      <c r="CM71" s="181" t="s">
        <v>1070</v>
      </c>
      <c r="CN71" s="181" t="s">
        <v>1070</v>
      </c>
      <c r="CO71" s="181" t="s">
        <v>1070</v>
      </c>
      <c r="CP71" s="181" t="s">
        <v>1070</v>
      </c>
      <c r="CQ71" s="185" t="s">
        <v>1070</v>
      </c>
      <c r="CR71" s="180" t="b">
        <v>0</v>
      </c>
      <c r="CS71" s="186" t="str">
        <f t="shared" si="14"/>
        <v>◇◇◇</v>
      </c>
      <c r="CT71" s="178" t="b">
        <v>0</v>
      </c>
      <c r="CU71" s="180" t="b">
        <v>0</v>
      </c>
      <c r="CV71" s="180" t="b">
        <v>0</v>
      </c>
      <c r="CW71" s="180" t="b">
        <v>0</v>
      </c>
      <c r="CX71" s="180" t="b">
        <v>0</v>
      </c>
      <c r="CY71" s="180" t="b">
        <v>0</v>
      </c>
      <c r="CZ71" s="180" t="b">
        <v>0</v>
      </c>
      <c r="DA71" s="180" t="b">
        <v>0</v>
      </c>
      <c r="DB71" s="180" t="b">
        <v>0</v>
      </c>
      <c r="DC71" s="180" t="b">
        <v>0</v>
      </c>
      <c r="DD71" s="181" t="s">
        <v>1070</v>
      </c>
      <c r="DE71" s="181" t="s">
        <v>1070</v>
      </c>
      <c r="DF71" s="181" t="s">
        <v>1070</v>
      </c>
      <c r="DG71" s="185" t="s">
        <v>1070</v>
      </c>
      <c r="DH71" s="180" t="b">
        <v>0</v>
      </c>
      <c r="DI71" s="187" t="str">
        <f>IFERROR(__xludf.DUMMYFUNCTION("SWITCH(
  IF(
    ISTEXT(DI70),
    IF (
      FIND(""○"", DI70&amp;""○"") &gt; 3,
      3,
      FIND(""○"", DI70&amp;""○"")
      + MAX(
        ROUNDDOWN(($D71 - MAX(IFERROR(FILTER(D$24:D70, DI$24:DI70 &lt;&gt; ""●●●"", DI$23:DI69 = ""●●●""), 0))) * (60 * 60 * 24) / 20"&amp;") - ROUNDDOWN(($D70 - MAX(IFERROR(FILTER(D$23:D69, DI$23:DI69 &lt;&gt; ""●●●"", DI$22:DI68 = ""●●●""), 0))) * (60 * 60 * 24) / 20),
        0
      ) - 1
    ) - COUNTIFS(CU71, ""=TRUE"", CU70, ""&lt;&gt;TRUE"") - COUNTIF(CZ71, ""=TRUE"") - COUNTIF({DD71,DE71}, ""&lt;&gt;-"&amp;""") + COUNTIF(DH71, ""=TRUE""),
    3
  ),
  0, ""○○○"", 1, ""●○○"", 2, ""●●○"", 3, ""●●●"", 4, ""●●●"", ""○○○""
)"),"●●●")</f>
        <v>●●●</v>
      </c>
      <c r="DJ71" s="188" t="b">
        <v>0</v>
      </c>
      <c r="DK71" s="189" t="b">
        <v>0</v>
      </c>
      <c r="DL71" s="190" t="b">
        <v>0</v>
      </c>
      <c r="DM71" s="190" t="b">
        <v>0</v>
      </c>
      <c r="DN71" s="190" t="b">
        <v>0</v>
      </c>
      <c r="DO71" s="190" t="b">
        <v>0</v>
      </c>
      <c r="DP71" s="190" t="b">
        <v>0</v>
      </c>
      <c r="DQ71" s="191" t="b">
        <v>0</v>
      </c>
      <c r="DR71" s="192" t="b">
        <v>0</v>
      </c>
      <c r="DS71" s="191" t="b">
        <v>0</v>
      </c>
      <c r="DT71" s="192" t="b">
        <v>0</v>
      </c>
      <c r="DU71" s="191" t="b">
        <v>0</v>
      </c>
      <c r="DV71" s="193" t="s">
        <v>1070</v>
      </c>
      <c r="DW71" s="194" t="b">
        <v>0</v>
      </c>
      <c r="DX71" s="194" t="b">
        <v>0</v>
      </c>
      <c r="DY71" s="195" t="b">
        <v>0</v>
      </c>
      <c r="DZ71" s="196" t="b">
        <v>0</v>
      </c>
      <c r="EA71" s="195" t="b">
        <v>0</v>
      </c>
      <c r="EB71" s="197" t="b">
        <v>0</v>
      </c>
      <c r="EC71" s="197" t="b">
        <v>0</v>
      </c>
      <c r="ED71" s="212" t="b">
        <v>0</v>
      </c>
      <c r="EE71" s="199">
        <f>IFERROR(__xludf.DUMMYFUNCTION("IFERROR(
   PRODUCT(
     MAP(
       INDEX(TRANSPOSE(UNIQUE(TRANSPOSE(FILTER({IF($F71=""Physical"", K$10:ED$10, IF($F71=""Magic"", K$11:ED$11, K$12:ED$12));K$4:ED$4;K71:ED71}, K71:ED71=TRUE)))), 1, 0),
       INDEX(TRANSPOSE(UNIQUE(TRANSPOSE(FILTER({IF($"&amp;"F71=""Physical"", K$18:ED$18, IF($F71=""Magic"", K$19:ED$19, K$20:ED$20));K$4:ED$4;K71:ED71}, K71:ED71=TRUE)))), 1, 0),
       INDEX(TRANSPOSE(UNIQUE(TRANSPOSE(FILTER({K$5:ED$5;K$4:ED$4;K71:ED71}, K71:ED71=TRUE)))), 1, 0),
       INDEX(TRANSPOSE(UNIQUE(TR"&amp;"ANSPOSE(FILTER({K$17:ED$17;K$4:ED$4;K71:ED71}, K71:ED71=TRUE)))), 1, 0),
       LAMBDA(
         mitigation,
         enhance,
         assign,
         precondition,
         IF(
           REGEXMATCH(assign, ""RANGE_PARTY|SINGLE_ENEMY|RANGE_ENEMY""),
  "&amp;"         IF(
             OR(ARRAYFORMULA((IF(precondition="""", FALSE, REGEXMATCH(K$4:ED$4, precondition))) * (K71:ED71=TRUE))),
             IF(ISNUMBER(enhance), enhance, 1),
             IF(ISNUMBER(mitigation), mitigation, 1)
           ),
          "&amp;" 1
         )
       )
     )
   ),
   1
 )"),1.0)</f>
        <v>1</v>
      </c>
      <c r="EF71" s="200">
        <f>IFERROR(__xludf.DUMMYFUNCTION("PRODUCT(
   MAP(
     K$14:ED$14,
     K$13:ED$13,
     K71:ED71,
     LAMBDA(
       buff,
       target,
       check,
       IF(
         AND(check=TRUE, REGEXMATCH(target, ""RANGE_AFFECTED_ALL|RANGE_EFFECTED_ALL""), ISNUMBER(buff)),
         buff,
   "&amp;"      1
       )
     )
   )
 )"),1.0)</f>
        <v>1</v>
      </c>
      <c r="EG71" s="200">
        <f>IFERROR(__xludf.DUMMYFUNCTION("PRODUCT(
   MAP(
     K$14:ED$14,
     K$13:ED$13,
     K71:ED71,
     LAMBDA(
       buff,
       target,
       check,
       IF(
         AND(check=TRUE, REGEXMATCH(target, ""RANGE_AFFECTED_GCD|RANGE_EFFECTED_GCD""), ISNUMBER(buff)),
         buff,
   "&amp;"      1
       )
     )
   )
 )"),1.0)</f>
        <v>1</v>
      </c>
      <c r="EH71" s="200">
        <f>IFERROR(__xludf.DUMMYFUNCTION("PRODUCT(
   MAP(
     K$3:ED$3,
     K$14:ED$14,
     K$13:ED$13,
     K71:ED71,
     LAMBDA(
       job,
       buff,
       target,
       check,
       IF(
         AND(check=TRUE, REGEXMATCH(target, ""SELF_EFFECTED_ALL""), ISNUMBER(buff), job=""白魔道士"""&amp;"),
         buff,
         1
       )
     )
   )
 )"),1.0)</f>
        <v>1</v>
      </c>
      <c r="EI71" s="200">
        <f>IFERROR(__xludf.DUMMYFUNCTION("PRODUCT(
   MAP(
     K$3:ED$3,
     K$14:ED$14,
     K$13:ED$13,
     K71:ED71,
     LAMBDA(
       job,
       buff,
       target,
       check,
       IF(
         AND(check=TRUE, REGEXMATCH(target, ""SELF_EFFECTED_GCD""), ISNUMBER(buff), job=""白魔道士"""&amp;"),
         buff,
         1
       )
     )
   )
 )"),1.0)</f>
        <v>1</v>
      </c>
      <c r="EJ71" s="200">
        <f>IFERROR(__xludf.DUMMYFUNCTION("PRODUCT(
   MAP(
     K$3:ED$3,
     K$14:ED$14,
     K$13:ED$13,
     K71:ED71,
     LAMBDA(
       job,
       buff,
       target,
       check,
       IF(
         AND(check=TRUE, REGEXMATCH(target, ""SELF_EFFECTED_ALL""), ISNUMBER(buff), job=""占星術師"""&amp;"),
         buff,
         1
       )
     )
   )
 )"),1.0)</f>
        <v>1</v>
      </c>
      <c r="EK71" s="200">
        <f>IFERROR(__xludf.DUMMYFUNCTION("PRODUCT(
   MAP(
     K$3:ED$3,
     K$14:ED$14,
     K$13:ED$13,
     K71:ED71,
     LAMBDA(
       job,
       buff,
       target,
       check,
       IF(
         AND(check=TRUE, REGEXMATCH(target, ""SELF_EFFECTED_GCD""), ISNUMBER(buff), job=""占星術師"""&amp;"),
         buff,
         1
       )
     )
   )
 )"),1.0)</f>
        <v>1</v>
      </c>
      <c r="EL71" s="200">
        <f>IFERROR(__xludf.DUMMYFUNCTION("PRODUCT(
   MAP(
     K$3:ED$3,
     K$14:ED$14,
     K$13:ED$13,
     K71:ED71,
     LAMBDA(
       job,
       buff,
       target,
       check,
       IF(
         AND(check=TRUE, REGEXMATCH(target, ""SELF_EFFECTED_ALL""), ISNUMBER(buff), job=""学者""),"&amp;"
         buff,
         1
       )
     )
   )
 )"),1.0)</f>
        <v>1</v>
      </c>
      <c r="EM71" s="200">
        <f>IFERROR(__xludf.DUMMYFUNCTION("PRODUCT(
   MAP(
     K$3:ED$3,
     K$14:ED$14,
     K$13:ED$13,
     K71:ED71,
     LAMBDA(
       job,
       buff,
       target,
       check,
       IF(
         AND(check=TRUE, REGEXMATCH(target, ""SELF_EFFECTED_GCD""), ISNUMBER(buff), job=""学者""),"&amp;"
         buff,
         1
       )
     )
   )
 )"),1.0)</f>
        <v>1</v>
      </c>
      <c r="EN71" s="200">
        <f>IFERROR(__xludf.DUMMYFUNCTION("PRODUCT(
   MAP(
     K$3:ED$3,
     K$14:ED$14,
     K$13:ED$13,
     K71:ED71,
     LAMBDA(
       job,
       buff,
       target,
       check,
       IF(
         AND(check=TRUE, REGEXMATCH(target, ""SELF_EFFECTED_ALL""), ISNUMBER(buff), job=""賢者""),"&amp;"
         buff,
         1
       )
     )
   )
 )"),1.0)</f>
        <v>1</v>
      </c>
      <c r="EO71" s="200">
        <f>IFERROR(__xludf.DUMMYFUNCTION("PRODUCT(
   MAP(
     K$3:ED$3,
     K$14:ED$14,
     K$13:ED$13,
     K71:ED71,
     LAMBDA(
       job,
       buff,
       target,
       check,
       IF(
         AND(check=TRUE, REGEXMATCH(target, ""SELF_EFFECTED_GCD""), ISNUMBER(buff), job=""賢者""),"&amp;"
         buff,
         1
       )
     )
   )
 )"),1.0)</f>
        <v>1</v>
      </c>
      <c r="EP71" s="201">
        <f t="shared" si="3"/>
        <v>0</v>
      </c>
      <c r="EQ71" s="201">
        <f>IFERROR(__xludf.DUMMYFUNCTION("SUM(
   MAP(
     K$4:ED$4,
     K$3:ED$3,
     K$7:ED$7,
     K$15:ED$15,
     K$16:ED$16,
     K$21:ED$21,
     K$5:ED$5,
     K$17:ED$17,
     K71:ED71,
     LAMBDA(
       name,
       job,
       abillity,
       buff,
       barrier,
       enhance,"&amp;"
       assign,
       precondition,
       check,
       SWITCH(
         name,
         ""シェイクオフ"", IF(check=TRUE, buff + (0.02 * COUNTIF(ARRAYFORMULA((REGEXMATCH($K$4:$ED$4, ""スリル・オブ・バトル|ヴェンジェンス|原初の血気|ダムネーション"")) * (K71:ED71=TRUE)), 1)), 0),
         "&amp;"""インプロビゼーションフィニッシュ(踊りの激情0)"", IF(ISNUMBER(check), INDEX(Skill!$AJ:$AJ, MATCH(SUBSTITUTE(DV$4, 0, check), Skill!$C:$C, 0)), 0),
         IF(
           AND(check=TRUE, REGEXMATCH(assign, ""RANGE_PARTY"")),
           IF(
             OR(ARRAYFORMULA((IF(pr"&amp;"econdition="""", FALSE, REGEXMATCH($K$4:$ED$4, precondition))) * (K71:ED71=TRUE))),
             enhance,
             IF(barrier="""", buff, barrier)
           ),
           0
         )
       ) *
       SWITCH(
         job,
         ""ナイト"", EY$24,
 "&amp;"        ""戦士"", FD$24,
         ""踊り子"", ET$24,
         ""ピクトマンサー"", ET$24,
         ""白魔道士"", EF71 * EH71 * IF(abillity, 1, EG71 * EI71) * (Option!$D$22 * 0.81 / 100),
         ""占星術師"", EF71 * EJ71 * IF(abillity, 1, EG71 * EK71) * (Option!$D$23 * 0.81 "&amp;"/ 100),
         ""学者"", EF71 * EL71 * IF(abillity, 1, EG71 * EM71) * (Option!$D$24 * 0.81 / 100),
         ""賢者"", EF71 * EN71 * IF(abillity, 1, EG71 * EO71) * (Option!$D$25 * 0.81 / 100),
         1
       )
     )
   )
 )"),0.0)</f>
        <v>0</v>
      </c>
      <c r="ER71" s="202">
        <f t="shared" si="4"/>
        <v>0</v>
      </c>
      <c r="ES71" s="203">
        <f t="shared" si="5"/>
        <v>0</v>
      </c>
      <c r="ET71" s="231" t="str">
        <f>IFERROR(__xludf.DUMMYFUNCTION("IFS(
  EP71 &gt; $ET$24 + EQ71,
  SPARKLINE({ 1, 0 }, {""charttype"",""bar"";""max"", 1;""color1"",Option!$D$30;""color2"",Option!$D$30}),
  EP71 &lt; EQ71,
  SPARKLINE({EQ71 - EP71, $ET$24 - (EQ71 - EP71)}, {""charttype"",""bar"";""max"",$ET$24;""color1"",Opti"&amp;"on!$D$28;""color2"",Option!$D$29}),
  EP71 &gt;= EQ71,
  SPARKLINE({$ET$24 + EQ71 - EP71,EP71 - EQ71}, {""charttype"",""bar"";""max"",$ET$24;""color1"",Option!$D$29;""color2"",Option!$D$30})
)"),"")</f>
        <v/>
      </c>
      <c r="EU71" s="205">
        <f>IFERROR(__xludf.DUMMYFUNCTION("PRODUCT(
   MAP(
     IF($F71=""Physical"", K$10:ED$10, IF($F71=""Magic"", K$11:ED$11, K$12:ED$12)),
     IF($F71=""Physical"", K$18:ED$18, IF($F71=""Magic"", K$19:ED$19, K$20:ED$20)),
     K$3:ED$3,
     K$5:ED$5,
     K$17:ED$17,
     K71:ED71,
     LAM"&amp;"BDA(
       mitigation,
       enhance,
       job,
       assign,
       precondition,
       check,
       IF(
         OR(AND(check=TRUE, REGEXMATCH(assign, ""SELF""), job=""ナイト""), AND(check=Option!$E$13, REGEXMATCH(assign, ""SINGLE_PARTY""))),
      "&amp;"   IF(
           OR(ARRAYFORMULA((IF(precondition="""", FALSE, REGEXMATCH($K$4:$ED$4, precondition))) * (K71:ED71=TRUE))),
           enhance,
           mitigation
         ),
         1
       )
     )
   )
 ) * EE71"),1.0)</f>
        <v>1</v>
      </c>
      <c r="EV71" s="206">
        <f t="shared" si="6"/>
        <v>0</v>
      </c>
      <c r="EW71" s="205">
        <f>IFERROR(__xludf.DUMMYFUNCTION("PRODUCT(
   MAP(
     K$3:ED$3,
     K$14:ED$14,
     K$13:ED$13,
     K71:ED71,
     LAMBDA(
       job,
       buff,
       target,
       check,
       IF(
         OR(AND(check=TRUE, REGEXMATCH(target, ""SELF_AFFECTED_ALL""), job=""ナイト""), AND(check=O"&amp;"ption!$E$13, REGEXMATCH(target, ""SINGLE_AFFECTED_ALL""))),
         buff,
         1
       )
     )
   )
 )"),1.0)</f>
        <v>1</v>
      </c>
      <c r="EX71" s="206">
        <f>IFERROR(__xludf.DUMMYFUNCTION("SUM(
   MAP(
     K$3:ED$3,
     K$7:ED$7,
     K$15:ED$15,
     K$16:ED$16,
     K$21:ED$21,
     K$5:ED$5,
     K$17:ED$17,
     K71:ED71,
     LAMBDA(
       job,
       abillity,
       buff,
       barrier,
       enhance,
       assign,
       preco"&amp;"ndition,
       check,
       IF(
         OR(AND(check=TRUE, REGEXMATCH(assign, ""SELF""), job=""ナイト""), AND(check=Option!$E$13, REGEXMATCH(assign, ""SINGLE_PARTY""))),
         IF(
           OR(ARRAYFORMULA((IF(precondition="""", FALSE, REGEXMATCH($K$4"&amp;":$ED$4, precondition))) * (K71:ED71=TRUE))),
           enhance,
           IF(barrier="""", buff, barrier)
         ),
         0
       ) *
       SWITCH(
         job,
         ""暗黒騎士"", EY$24,
         ""白魔道士"", EF71 * EH71 * EW71 * IF(abillity, 1, EG"&amp;"71 * EI71) * (Option!$D$22 * 0.81 / 100),
         ""占星術師"", EF71 * EJ71 * EW71 * IF(abillity, 1, EG71 * EK71) * (Option!$D$23 * 0.81 / 100),
         ""学者"", EF71 * EL71 * EW71 * IF(abillity, 1, EG71 * EM71) * (Option!$D$24 * 0.81 / 100),
         ""賢者"""&amp;", EF71 * EN71 * EW71 * IF(abillity, 1, EG71 * EO71) * (Option!$D$25 * 0.81 / 100),
         1
       )
     )
   )
 ) + EQ71"),0.0)</f>
        <v>0</v>
      </c>
      <c r="EY71" s="232">
        <f t="shared" si="7"/>
        <v>0</v>
      </c>
      <c r="EZ71" s="205">
        <f>IFERROR(__xludf.DUMMYFUNCTION("PRODUCT(
   MAP(
     IF($F71=""Physical"", K$10:ED$10, IF($F71=""Magic"", K$11:ED$11, K$12:ED$12)),
     IF($F71=""Physical"", K$18:ED$18, IF($F71=""Magic"", K$19:ED$19, K$20:ED$20)),
     K$3:ED$3,
     K$5:ED$5,
     K$17:ED$17,
     K71:ED71,
     LAM"&amp;"BDA(
       mitigation,
       enhance,
       job,
       assign,
       precondition,
       check,
       IF(
         OR(AND(check=TRUE, REGEXMATCH(assign, ""SELF""), job=""戦士""), AND(check=Option!$F$13, REGEXMATCH(assign, ""SINGLE_PARTY""))),
       "&amp;"  IF(
           OR(ARRAYFORMULA((IF(precondition="""", FALSE, REGEXMATCH($K$4:$ED$4, precondition))) * (K71:ED71=TRUE))),
           enhance,
           mitigation
         ),
         1
       )
     )
   )
 ) * EE71"),1.0)</f>
        <v>1</v>
      </c>
      <c r="FA71" s="206">
        <f t="shared" si="8"/>
        <v>0</v>
      </c>
      <c r="FB71" s="205">
        <f>IFERROR(__xludf.DUMMYFUNCTION("PRODUCT(
   MAP(
     K$3:ED$3,
     K$14:ED$14,
     K$13:ED$13,
     K71:ED71,
     LAMBDA(
       job,
       buff,
       target,
       check,
       IF(
         OR(AND(check=TRUE, REGEXMATCH(target, ""SELF_AFFECTED_ALL""), job=""戦士""), AND(check=Op"&amp;"tion!$F$13, REGEXMATCH(target, ""SINGLE_AFFECTED_ALL""))),
         buff,
         1
       )
     )
   )
 )"),1.0)</f>
        <v>1</v>
      </c>
      <c r="FC71" s="206">
        <f>IFERROR(__xludf.DUMMYFUNCTION("SUM(
   MAP(
     K$3:ED$3,
     K$7:ED$7,
     K$15:ED$15,
     K$16:ED$16,
     K$21:ED$21,
     K$5:ED$5,
     K$17:ED$17,
     K71:ED71,
     LAMBDA(
       job,
       abillity,
       buff,
       barrier,
       enhance,
       assign,
       preco"&amp;"ndition,
       check,
       IF(
         OR(AND(check=TRUE, REGEXMATCH(assign, ""SELF""), job=""戦士""), AND(check=Option!$F$13, REGEXMATCH(assign, ""SINGLE_PARTY""))),
         IF(
           OR(ARRAYFORMULA((IF(precondition="""", FALSE, REGEXMATCH($K$4:"&amp;"$ED$4, precondition))) * (K71:ED71=TRUE))),
           enhance,
           IF(barrier="""", buff, barrier)
         ),
         0
       ) *
       SWITCH(
         job,
         ""暗黒騎士"", FD$24,
         ""白魔道士"", EF71 * EH71 * FB71 * IF(abillity, 1, EG7"&amp;"1 * EI71) * (Option!$D$22 * 0.81 / 100),
         ""占星術師"", EF71 * EJ71 * FFB71 * IF(abillity, 1, EG71 * EK71) * (Option!$D$23 * 0.81 / 100),
         ""学者"", EF71 * EL71 * FB71 * IF(abillity, 1, EG71 * EM71) * (Option!$D$24 * 0.81 / 100),
         ""賢者"""&amp;", EF71 * EN71 * FB71 * IF(abillity, 1, EG71 * EO71) * (Option!$D$25 * 0.81 / 100),
         1
       )
     )
   )
 ) + EQ71"),0.0)</f>
        <v>0</v>
      </c>
      <c r="FD71" s="206">
        <f t="shared" si="9"/>
        <v>0</v>
      </c>
      <c r="FE71" s="205">
        <f>IFERROR(__xludf.DUMMYFUNCTION("PRODUCT(
   MAP(
     IF($F71=""Physical"", K$10:ED$10, IF($F71=""Magic"", K$11:ED$11, K$12:ED$12)),
     IF($F71=""Physical"", K$18:ED$18, IF($F71=""Magic"", K$19:ED$19, K$20:ED$20)),
     K$3:ED$3,
     K$5:ED$5,
     K$17:ED$17,
     K71:ED71,
     LAM"&amp;"BDA(
       mitigation,
       enhance,
       job,
       assign,
       precondition,
       check,
       IF(
         OR(AND(check=TRUE, REGEXMATCH(assign, ""SELF""), job=""暗黒騎士""), AND(check=Option!$G$13, REGEXMATCH(assign, ""SINGLE_PARTY""))),
     "&amp;"    IF(
           OR(ARRAYFORMULA((IF(precondition="""", FALSE, REGEXMATCH($K$4:$ED$4, precondition))) * (K71:ED71=TRUE))),
           enhance,
           mitigation
         ),
         1
       )
     )
   )
 ) * EE71"),1.0)</f>
        <v>1</v>
      </c>
      <c r="FF71" s="206">
        <f t="shared" si="10"/>
        <v>0</v>
      </c>
      <c r="FG71" s="205">
        <f>IFERROR(__xludf.DUMMYFUNCTION("PRODUCT(
   MAP(
     K$3:ED$3,
     K$14:ED$14,
     K$13:ED$13,
     K71:ED71,
     LAMBDA(
       job,
       buff,
       target,
       check,
       IF(
         OR(AND(check=TRUE, REGEXMATCH(target, ""SELF_AFFECTED_ALL""), job=""暗黒騎士""), AND(check="&amp;"Option!$G$13, REGEXMATCH(target, ""SINGLE_AFFECTED_ALL""))),
         buff,
         1
       )
     )
   )
 )"),1.0)</f>
        <v>1</v>
      </c>
      <c r="FH71" s="206">
        <f>IFERROR(__xludf.DUMMYFUNCTION("SUM(
   MAP(
     K$3:ED$3,
     K$7:ED$7,
     K$15:ED$15,
     K$16:ED$16,
     K$21:ED$21,
     K$5:ED$5,
     K$17:ED$17,
     K71:ED71,
     LAMBDA(
       job,
       abillity,
       buff,
       barrier,
       enhance,
       assign,
       preco"&amp;"ndition,
       check,
       IF(
         OR(AND(check=TRUE, REGEXMATCH(assign, ""SELF""), job=""暗黒騎士""), AND(check=Option!$G$13, REGEXMATCH(assign, ""SINGLE_PARTY""))),
         IF(
           OR(ARRAYFORMULA((IF(precondition="""", FALSE, REGEXMATCH($K$"&amp;"4:$ED$4, precondition))) * (K71:ED71=TRUE))),
           enhance,
           IF(barrier="""", buff, barrier)
         ),
         0
       ) *
       SWITCH(
         job,
         ""暗黒騎士"", FI$24,
         ""白魔道士"", EF71 * EH71 * FG71 * IF(abillity, 1, E"&amp;"G71 * EI71) * (Option!$D$22 * 0.81 / 100),
         ""占星術師"", EF71 * EJ71 * FG71 * IF(abillity, 1, EG71 * EK71) * (Option!$D$23 * 0.81 / 100),
         ""学者"", EF71 * EL71 * FG71 * IF(abillity, 1, EG71 * EM71) * (Option!$D$24 * 0.81 / 100),
         ""賢者"&amp;""", EF71 * EN71 * FG71 * IF(abillity, 1, EG71 * EO71) * (Option!$D$25 * 0.81 / 100),
         1
       )
     )
   )
 ) + EQ71"),0.0)</f>
        <v>0</v>
      </c>
      <c r="FI71" s="206">
        <f t="shared" si="11"/>
        <v>0</v>
      </c>
      <c r="FJ71" s="205">
        <f>IFERROR(__xludf.DUMMYFUNCTION("PRODUCT(
   MAP(
     IF($F71=""Physical"", K$10:ED$10, IF($F71=""Magic"", K$11:ED$11, K$12:ED$12)),
     IF($F71=""Physical"", K$18:ED$18, IF($F71=""Magic"", K$19:ED$19, K$20:ED$20)),
     K$3:ED$3,
     K$5:ED$5,
     K$17:ED$17,
     K71:ED71,
     LAM"&amp;"BDA(
       mitigation,
       enhance,
       job,
       assign,
       precondition,
       check,
       IF(
         OR(AND(check=TRUE, REGEXMATCH(assign, ""SELF""), job=""ガンブレイカー""), AND(check=Option!$H$13, REGEXMATCH(assign, ""SINGLE_PARTY""))),
  "&amp;"       IF(
           OR(ARRAYFORMULA((IF(precondition="""", FALSE, REGEXMATCH($K$4:$ED$4, precondition))) * (K71:ED71=TRUE))),
           enhance,
           mitigation
         ),
         1
       )
     )
   )
 ) * EE71"),1.0)</f>
        <v>1</v>
      </c>
      <c r="FK71" s="206">
        <f t="shared" si="12"/>
        <v>0</v>
      </c>
      <c r="FL71" s="205">
        <f>IFERROR(__xludf.DUMMYFUNCTION("PRODUCT(
   MAP(
     K$3:ED$3,
     K$14:ED$14,
     K$13:ED$13,
     K71:ED71,
     LAMBDA(
       job,
       buff,
       target,
       check,
       IF(
         OR(AND(check=TRUE, REGEXMATCH(target, ""SELF_AFFECTED_ALL""), job=""ガンブレイカー""), AND(che"&amp;"ck=Option!$H$13, REGEXMATCH(target, ""SINGLE_AFFECTED_ALL""))),
         buff,
         1
       )
     )
   )
 )"),1.0)</f>
        <v>1</v>
      </c>
      <c r="FM71" s="206">
        <f>IFERROR(__xludf.DUMMYFUNCTION("SUM(
   MAP(
     K$3:ED$3,
     K$7:ED$7,
     K$15:ED$15,
     K$16:ED$16,
     K$21:ED$21,
     K$5:ED$5,
     K$17:ED$17,
     K71:ED71,
     LAMBDA(
       job,
       abillity,
       buff,
       barrier,
       enhance,
       assign,
       preco"&amp;"ndition,
       check,
       IF(
         OR(AND(check=TRUE, REGEXMATCH(assign, ""SELF""), job=""ガンブレイカー""), AND(check=Option!$H$13, REGEXMATCH(assign, ""SINGLE_PARTY""))),
         IF(
           OR(ARRAYFORMULA((IF(precondition="""", FALSE, REGEXMATCH("&amp;"$K$4:$ED$4, precondition))) * (K71:ED71=TRUE))),
           enhance,
           IF(barrier="""", buff, barrier)
         ),
         0
       ) *
       SWITCH(
         job,
         ""暗黒騎士"", FN$24,
         ""白魔道士"", EF71 * EH71 * FL71 * IF(abillity, 1"&amp;", EG71 * EI71) * (Option!$D$22 * 0.81 / 100),
         ""占星術師"", EF71 * EJ71 * FL71 * IF(abillity, 1, EG71 * EK71) * (Option!$D$23 * 0.81 / 100),
         ""学者"", EF71 * EL71 * FL71 * IF(abillity, 1, EG71 * EM71) * (Option!$D$24 * 0.81 / 100),
         """&amp;"賢者"", EF71 * EN71 * FL71 * IF(abillity, 1, EG71 * EO71) * (Option!$D$25 * 0.81 / 100),
         1
       )
     )
   )
 ) + EQ71"),0.0)</f>
        <v>0</v>
      </c>
      <c r="FN71" s="206">
        <f t="shared" si="13"/>
        <v>0</v>
      </c>
      <c r="FO71" s="213"/>
    </row>
    <row r="72">
      <c r="B72" s="229"/>
      <c r="C72" s="217"/>
      <c r="D72" s="236"/>
      <c r="E72" s="238"/>
      <c r="F72" s="167"/>
      <c r="G72" s="168" t="str">
        <f t="shared" si="2"/>
        <v/>
      </c>
      <c r="H72" s="169"/>
      <c r="I72" s="169"/>
      <c r="J72" s="169"/>
      <c r="K72" s="170" t="b">
        <v>0</v>
      </c>
      <c r="L72" s="170" t="b">
        <v>0</v>
      </c>
      <c r="M72" s="170" t="b">
        <v>0</v>
      </c>
      <c r="N72" s="171" t="s">
        <v>1070</v>
      </c>
      <c r="O72" s="172" t="b">
        <v>0</v>
      </c>
      <c r="P72" s="173" t="b">
        <v>0</v>
      </c>
      <c r="Q72" s="173" t="b">
        <v>0</v>
      </c>
      <c r="R72" s="173" t="b">
        <v>0</v>
      </c>
      <c r="S72" s="174" t="b">
        <v>0</v>
      </c>
      <c r="T72" s="175" t="b">
        <v>0</v>
      </c>
      <c r="U72" s="173" t="b">
        <v>0</v>
      </c>
      <c r="V72" s="171" t="s">
        <v>1070</v>
      </c>
      <c r="W72" s="172" t="b">
        <v>0</v>
      </c>
      <c r="X72" s="173" t="b">
        <v>0</v>
      </c>
      <c r="Y72" s="173" t="b">
        <v>0</v>
      </c>
      <c r="Z72" s="173" t="b">
        <v>0</v>
      </c>
      <c r="AA72" s="174" t="b">
        <v>0</v>
      </c>
      <c r="AB72" s="174" t="b">
        <v>0</v>
      </c>
      <c r="AC72" s="175" t="b">
        <v>0</v>
      </c>
      <c r="AD72" s="173" t="b">
        <v>0</v>
      </c>
      <c r="AE72" s="176" t="s">
        <v>1070</v>
      </c>
      <c r="AF72" s="171" t="s">
        <v>1070</v>
      </c>
      <c r="AG72" s="177">
        <f>IFERROR(__xludf.DUMMYFUNCTION("IF(
  ISNUMBER(AG71),
  MIN(MAX(
    AG71
    + MAX(
      ROUNDDOWN(($D72 - MAX(IFERROR(FILTER($D$24:$D71, AG$24:AG71 &lt;&gt; AF$6, AG$23:AG70 = AF$6), 0))) * (60 * 60 * 24) / AF$9) - ROUNDDOWN(($D71 - MAX(IFERROR(FILTER($D$23:$D70, AG$23:AG70 &lt;&gt; AF$6, AG$22:"&amp;"AG69 = AF$6), 0))) * (60 * 60 * 24) / 60),
      0
    )
    - COUNTIF(AF72, ""&lt;&gt;-""),
  0), AF$6),
  AF$6 - COUNTIF(AF72, ""&lt;&gt;-"")
)"),2.0)</f>
        <v>2</v>
      </c>
      <c r="AH72" s="173" t="b">
        <v>0</v>
      </c>
      <c r="AI72" s="173" t="b">
        <v>0</v>
      </c>
      <c r="AJ72" s="173" t="b">
        <v>0</v>
      </c>
      <c r="AK72" s="174" t="b">
        <v>0</v>
      </c>
      <c r="AL72" s="175" t="b">
        <v>0</v>
      </c>
      <c r="AM72" s="173" t="b">
        <v>0</v>
      </c>
      <c r="AN72" s="171" t="s">
        <v>1070</v>
      </c>
      <c r="AO72" s="173" t="b">
        <v>0</v>
      </c>
      <c r="AP72" s="173" t="b">
        <v>0</v>
      </c>
      <c r="AQ72" s="173" t="b">
        <v>0</v>
      </c>
      <c r="AR72" s="174" t="b">
        <v>0</v>
      </c>
      <c r="AS72" s="178" t="b">
        <v>0</v>
      </c>
      <c r="AT72" s="179" t="b">
        <v>0</v>
      </c>
      <c r="AU72" s="180" t="b">
        <v>0</v>
      </c>
      <c r="AV72" s="180" t="b">
        <v>0</v>
      </c>
      <c r="AW72" s="180" t="b">
        <v>0</v>
      </c>
      <c r="AX72" s="180" t="b">
        <v>0</v>
      </c>
      <c r="AY72" s="181" t="s">
        <v>1070</v>
      </c>
      <c r="AZ72" s="181" t="s">
        <v>1070</v>
      </c>
      <c r="BA72" s="184">
        <f>IFERROR(__xludf.DUMMYFUNCTION("IF(
  ISNUMBER(BA71),
  MIN(MAX(
    BA71
    + MAX(
      ROUNDDOWN((D72 - MAX(IFERROR(FILTER(D$24:D71, BA$24:BA71 &lt;&gt; AZ$6, BA$23:BA70 = AZ$6), 0))) * (60 * 60 * 24) / AZ$9) - ROUNDDOWN((D71 - MAX(IFERROR(FILTER(D$23:D70, BA$23:BA70 &lt;&gt; AZ$6, BA$22:BA69 ="&amp;" AZ$6), 0))) * (60 * 60 * 24) / AZ$9),
      0
    )
    - COUNTIF(AZ72, ""&lt;&gt;-""),
  0), AZ$6),
  AZ$6 - COUNTIF(AZ72, ""&lt;&gt;-"")
)"),2.0)</f>
        <v>2</v>
      </c>
      <c r="BB72" s="181" t="s">
        <v>1070</v>
      </c>
      <c r="BC72" s="183">
        <f>IFERROR(__xludf.DUMMYFUNCTION("IF(
  ISNUMBER(BC71),
  MIN(MAX(
    BC71
    + MAX(
      ROUNDDOWN(($D72 - MAX(IFERROR(FILTER($D$24:$D71, BC$24:BC71 &lt;&gt; BB$6, BC$23:BC70 = BB$6), 0))) * (60 * 60 * 24) / BB$9) - ROUNDDOWN(($D71 - MAX(IFERROR(FILTER($D$23:$D70, BC$23:BC70 &lt;&gt; BB$6, BC$22:"&amp;"BC69 = BB$6), 0))) * (60 * 60 * 24) / 60),
      0
    )
    - COUNTIF(BB72, ""&lt;&gt;-""),
  0), BB$6),
  BB$6 - COUNTIF(BB72, ""&lt;&gt;-"")
)"),2.0)</f>
        <v>2</v>
      </c>
      <c r="BD72" s="181" t="s">
        <v>1070</v>
      </c>
      <c r="BE72" s="178" t="b">
        <v>0</v>
      </c>
      <c r="BF72" s="180" t="b">
        <v>0</v>
      </c>
      <c r="BG72" s="180" t="b">
        <v>0</v>
      </c>
      <c r="BH72" s="180" t="b">
        <v>0</v>
      </c>
      <c r="BI72" s="180" t="b">
        <v>0</v>
      </c>
      <c r="BJ72" s="180" t="b">
        <v>0</v>
      </c>
      <c r="BK72" s="180" t="b">
        <v>0</v>
      </c>
      <c r="BL72" s="180" t="b">
        <v>0</v>
      </c>
      <c r="BM72" s="180" t="b">
        <v>0</v>
      </c>
      <c r="BN72" s="180" t="b">
        <v>0</v>
      </c>
      <c r="BO72" s="181" t="s">
        <v>1070</v>
      </c>
      <c r="BP72" s="181" t="s">
        <v>1070</v>
      </c>
      <c r="BQ72" s="181" t="s">
        <v>1070</v>
      </c>
      <c r="BR72" s="181" t="s">
        <v>1070</v>
      </c>
      <c r="BS72" s="181" t="s">
        <v>1070</v>
      </c>
      <c r="BT72" s="184">
        <f>IFERROR(__xludf.DUMMYFUNCTION("IF(
  ISNUMBER(BT71),
  MIN(MAX(
    BT71
    + MAX(
      ROUNDDOWN((D72 - MAX(IFERROR(FILTER(D$24:D71, BT$24:BT71 &lt;&gt; BS$6, BT$23:BT70 = BS$6), 0))) * (60 * 60 * 24) / BS$9) - ROUNDDOWN((D71 - MAX(IFERROR(FILTER(D$23:D70, BT$23:BT70 &lt;&gt; BS$6, BT$22:BT69 ="&amp;" BS$6), 0))) * (60 * 60 * 24) / BS$9),
      0
    )
    - COUNTIF(BS72, ""&lt;&gt;-""),
  0), BS$6),
  BS$6 - COUNTIF(BS72, ""&lt;&gt;-"")
)"),3.0)</f>
        <v>3</v>
      </c>
      <c r="BU72" s="181" t="s">
        <v>1070</v>
      </c>
      <c r="BV72" s="181" t="s">
        <v>1070</v>
      </c>
      <c r="BW72" s="184">
        <f>IFERROR(__xludf.DUMMYFUNCTION("IF(
  ISNUMBER(BW71),
  MIN(MAX(
    BW71
    + MAX(
      ROUNDDOWN((D72 - MAX(IFERROR(FILTER(D$24:D71, BW$24:BW71 &lt;&gt; BV$6, BW$23:BW70 = BV$6), 0))) * (60 * 60 * 24) / BV$9) - ROUNDDOWN((D71 - MAX(IFERROR(FILTER(D$23:D70, BW$23:BW70 &lt;&gt; BV$6, BW$22:BW69 ="&amp;" BV$6), 0))) * (60 * 60 * 24) / BV$9),
      0
    )
    - COUNTIF(BV72, ""&lt;&gt;-""),
  0), BV$6),
  BV$6 - COUNTIF(BV72, ""&lt;&gt;-"")
)"),2.0)</f>
        <v>2</v>
      </c>
      <c r="BX72" s="185" t="s">
        <v>1070</v>
      </c>
      <c r="BY72" s="178" t="b">
        <v>0</v>
      </c>
      <c r="BZ72" s="180" t="b">
        <v>0</v>
      </c>
      <c r="CA72" s="180" t="b">
        <v>0</v>
      </c>
      <c r="CB72" s="180" t="b">
        <v>0</v>
      </c>
      <c r="CC72" s="180" t="b">
        <v>0</v>
      </c>
      <c r="CD72" s="180" t="b">
        <v>0</v>
      </c>
      <c r="CE72" s="180" t="b">
        <v>0</v>
      </c>
      <c r="CF72" s="180" t="b">
        <v>0</v>
      </c>
      <c r="CG72" s="180" t="b">
        <v>0</v>
      </c>
      <c r="CH72" s="180" t="b">
        <v>0</v>
      </c>
      <c r="CI72" s="180" t="b">
        <v>0</v>
      </c>
      <c r="CJ72" s="180" t="b">
        <v>0</v>
      </c>
      <c r="CK72" s="180" t="b">
        <v>0</v>
      </c>
      <c r="CL72" s="180" t="b">
        <v>0</v>
      </c>
      <c r="CM72" s="181" t="s">
        <v>1070</v>
      </c>
      <c r="CN72" s="181" t="s">
        <v>1070</v>
      </c>
      <c r="CO72" s="181" t="s">
        <v>1070</v>
      </c>
      <c r="CP72" s="181" t="s">
        <v>1070</v>
      </c>
      <c r="CQ72" s="185" t="s">
        <v>1070</v>
      </c>
      <c r="CR72" s="180" t="b">
        <v>0</v>
      </c>
      <c r="CS72" s="186" t="str">
        <f t="shared" si="14"/>
        <v>◇◇◇</v>
      </c>
      <c r="CT72" s="178" t="b">
        <v>0</v>
      </c>
      <c r="CU72" s="180" t="b">
        <v>0</v>
      </c>
      <c r="CV72" s="180" t="b">
        <v>0</v>
      </c>
      <c r="CW72" s="180" t="b">
        <v>0</v>
      </c>
      <c r="CX72" s="180" t="b">
        <v>0</v>
      </c>
      <c r="CY72" s="180" t="b">
        <v>0</v>
      </c>
      <c r="CZ72" s="180" t="b">
        <v>0</v>
      </c>
      <c r="DA72" s="180" t="b">
        <v>0</v>
      </c>
      <c r="DB72" s="180" t="b">
        <v>0</v>
      </c>
      <c r="DC72" s="180" t="b">
        <v>0</v>
      </c>
      <c r="DD72" s="181" t="s">
        <v>1070</v>
      </c>
      <c r="DE72" s="181" t="s">
        <v>1070</v>
      </c>
      <c r="DF72" s="181" t="s">
        <v>1070</v>
      </c>
      <c r="DG72" s="185" t="s">
        <v>1070</v>
      </c>
      <c r="DH72" s="180" t="b">
        <v>0</v>
      </c>
      <c r="DI72" s="187" t="str">
        <f>IFERROR(__xludf.DUMMYFUNCTION("SWITCH(
  IF(
    ISTEXT(DI71),
    IF (
      FIND(""○"", DI71&amp;""○"") &gt; 3,
      3,
      FIND(""○"", DI71&amp;""○"")
      + MAX(
        ROUNDDOWN(($D72 - MAX(IFERROR(FILTER(D$24:D71, DI$24:DI71 &lt;&gt; ""●●●"", DI$23:DI70 = ""●●●""), 0))) * (60 * 60 * 24) / 20"&amp;") - ROUNDDOWN(($D71 - MAX(IFERROR(FILTER(D$23:D70, DI$23:DI70 &lt;&gt; ""●●●"", DI$22:DI69 = ""●●●""), 0))) * (60 * 60 * 24) / 20),
        0
      ) - 1
    ) - COUNTIFS(CU72, ""=TRUE"", CU71, ""&lt;&gt;TRUE"") - COUNTIF(CZ72, ""=TRUE"") - COUNTIF({DD72,DE72}, ""&lt;&gt;-"&amp;""") + COUNTIF(DH72, ""=TRUE""),
    3
  ),
  0, ""○○○"", 1, ""●○○"", 2, ""●●○"", 3, ""●●●"", 4, ""●●●"", ""○○○""
)"),"●●●")</f>
        <v>●●●</v>
      </c>
      <c r="DJ72" s="188" t="b">
        <v>0</v>
      </c>
      <c r="DK72" s="189" t="b">
        <v>0</v>
      </c>
      <c r="DL72" s="190" t="b">
        <v>0</v>
      </c>
      <c r="DM72" s="190" t="b">
        <v>0</v>
      </c>
      <c r="DN72" s="190" t="b">
        <v>0</v>
      </c>
      <c r="DO72" s="190" t="b">
        <v>0</v>
      </c>
      <c r="DP72" s="190" t="b">
        <v>0</v>
      </c>
      <c r="DQ72" s="191" t="b">
        <v>0</v>
      </c>
      <c r="DR72" s="192" t="b">
        <v>0</v>
      </c>
      <c r="DS72" s="191" t="b">
        <v>0</v>
      </c>
      <c r="DT72" s="192" t="b">
        <v>0</v>
      </c>
      <c r="DU72" s="191" t="b">
        <v>0</v>
      </c>
      <c r="DV72" s="193" t="s">
        <v>1070</v>
      </c>
      <c r="DW72" s="194" t="b">
        <v>0</v>
      </c>
      <c r="DX72" s="194" t="b">
        <v>0</v>
      </c>
      <c r="DY72" s="195" t="b">
        <v>0</v>
      </c>
      <c r="DZ72" s="196" t="b">
        <v>0</v>
      </c>
      <c r="EA72" s="195" t="b">
        <v>0</v>
      </c>
      <c r="EB72" s="197" t="b">
        <v>0</v>
      </c>
      <c r="EC72" s="197" t="b">
        <v>0</v>
      </c>
      <c r="ED72" s="212" t="b">
        <v>0</v>
      </c>
      <c r="EE72" s="199">
        <f>IFERROR(__xludf.DUMMYFUNCTION("IFERROR(
   PRODUCT(
     MAP(
       INDEX(TRANSPOSE(UNIQUE(TRANSPOSE(FILTER({IF($F72=""Physical"", K$10:ED$10, IF($F72=""Magic"", K$11:ED$11, K$12:ED$12));K$4:ED$4;K72:ED72}, K72:ED72=TRUE)))), 1, 0),
       INDEX(TRANSPOSE(UNIQUE(TRANSPOSE(FILTER({IF($"&amp;"F72=""Physical"", K$18:ED$18, IF($F72=""Magic"", K$19:ED$19, K$20:ED$20));K$4:ED$4;K72:ED72}, K72:ED72=TRUE)))), 1, 0),
       INDEX(TRANSPOSE(UNIQUE(TRANSPOSE(FILTER({K$5:ED$5;K$4:ED$4;K72:ED72}, K72:ED72=TRUE)))), 1, 0),
       INDEX(TRANSPOSE(UNIQUE(TR"&amp;"ANSPOSE(FILTER({K$17:ED$17;K$4:ED$4;K72:ED72}, K72:ED72=TRUE)))), 1, 0),
       LAMBDA(
         mitigation,
         enhance,
         assign,
         precondition,
         IF(
           REGEXMATCH(assign, ""RANGE_PARTY|SINGLE_ENEMY|RANGE_ENEMY""),
  "&amp;"         IF(
             OR(ARRAYFORMULA((IF(precondition="""", FALSE, REGEXMATCH(K$4:ED$4, precondition))) * (K72:ED72=TRUE))),
             IF(ISNUMBER(enhance), enhance, 1),
             IF(ISNUMBER(mitigation), mitigation, 1)
           ),
          "&amp;" 1
         )
       )
     )
   ),
   1
 )"),1.0)</f>
        <v>1</v>
      </c>
      <c r="EF72" s="200">
        <f>IFERROR(__xludf.DUMMYFUNCTION("PRODUCT(
   MAP(
     K$14:ED$14,
     K$13:ED$13,
     K72:ED72,
     LAMBDA(
       buff,
       target,
       check,
       IF(
         AND(check=TRUE, REGEXMATCH(target, ""RANGE_AFFECTED_ALL|RANGE_EFFECTED_ALL""), ISNUMBER(buff)),
         buff,
   "&amp;"      1
       )
     )
   )
 )"),1.0)</f>
        <v>1</v>
      </c>
      <c r="EG72" s="200">
        <f>IFERROR(__xludf.DUMMYFUNCTION("PRODUCT(
   MAP(
     K$14:ED$14,
     K$13:ED$13,
     K72:ED72,
     LAMBDA(
       buff,
       target,
       check,
       IF(
         AND(check=TRUE, REGEXMATCH(target, ""RANGE_AFFECTED_GCD|RANGE_EFFECTED_GCD""), ISNUMBER(buff)),
         buff,
   "&amp;"      1
       )
     )
   )
 )"),1.0)</f>
        <v>1</v>
      </c>
      <c r="EH72" s="200">
        <f>IFERROR(__xludf.DUMMYFUNCTION("PRODUCT(
   MAP(
     K$3:ED$3,
     K$14:ED$14,
     K$13:ED$13,
     K72:ED72,
     LAMBDA(
       job,
       buff,
       target,
       check,
       IF(
         AND(check=TRUE, REGEXMATCH(target, ""SELF_EFFECTED_ALL""), ISNUMBER(buff), job=""白魔道士"""&amp;"),
         buff,
         1
       )
     )
   )
 )"),1.0)</f>
        <v>1</v>
      </c>
      <c r="EI72" s="200">
        <f>IFERROR(__xludf.DUMMYFUNCTION("PRODUCT(
   MAP(
     K$3:ED$3,
     K$14:ED$14,
     K$13:ED$13,
     K72:ED72,
     LAMBDA(
       job,
       buff,
       target,
       check,
       IF(
         AND(check=TRUE, REGEXMATCH(target, ""SELF_EFFECTED_GCD""), ISNUMBER(buff), job=""白魔道士"""&amp;"),
         buff,
         1
       )
     )
   )
 )"),1.0)</f>
        <v>1</v>
      </c>
      <c r="EJ72" s="200">
        <f>IFERROR(__xludf.DUMMYFUNCTION("PRODUCT(
   MAP(
     K$3:ED$3,
     K$14:ED$14,
     K$13:ED$13,
     K72:ED72,
     LAMBDA(
       job,
       buff,
       target,
       check,
       IF(
         AND(check=TRUE, REGEXMATCH(target, ""SELF_EFFECTED_ALL""), ISNUMBER(buff), job=""占星術師"""&amp;"),
         buff,
         1
       )
     )
   )
 )"),1.0)</f>
        <v>1</v>
      </c>
      <c r="EK72" s="200">
        <f>IFERROR(__xludf.DUMMYFUNCTION("PRODUCT(
   MAP(
     K$3:ED$3,
     K$14:ED$14,
     K$13:ED$13,
     K72:ED72,
     LAMBDA(
       job,
       buff,
       target,
       check,
       IF(
         AND(check=TRUE, REGEXMATCH(target, ""SELF_EFFECTED_GCD""), ISNUMBER(buff), job=""占星術師"""&amp;"),
         buff,
         1
       )
     )
   )
 )"),1.0)</f>
        <v>1</v>
      </c>
      <c r="EL72" s="200">
        <f>IFERROR(__xludf.DUMMYFUNCTION("PRODUCT(
   MAP(
     K$3:ED$3,
     K$14:ED$14,
     K$13:ED$13,
     K72:ED72,
     LAMBDA(
       job,
       buff,
       target,
       check,
       IF(
         AND(check=TRUE, REGEXMATCH(target, ""SELF_EFFECTED_ALL""), ISNUMBER(buff), job=""学者""),"&amp;"
         buff,
         1
       )
     )
   )
 )"),1.0)</f>
        <v>1</v>
      </c>
      <c r="EM72" s="200">
        <f>IFERROR(__xludf.DUMMYFUNCTION("PRODUCT(
   MAP(
     K$3:ED$3,
     K$14:ED$14,
     K$13:ED$13,
     K72:ED72,
     LAMBDA(
       job,
       buff,
       target,
       check,
       IF(
         AND(check=TRUE, REGEXMATCH(target, ""SELF_EFFECTED_GCD""), ISNUMBER(buff), job=""学者""),"&amp;"
         buff,
         1
       )
     )
   )
 )"),1.0)</f>
        <v>1</v>
      </c>
      <c r="EN72" s="200">
        <f>IFERROR(__xludf.DUMMYFUNCTION("PRODUCT(
   MAP(
     K$3:ED$3,
     K$14:ED$14,
     K$13:ED$13,
     K72:ED72,
     LAMBDA(
       job,
       buff,
       target,
       check,
       IF(
         AND(check=TRUE, REGEXMATCH(target, ""SELF_EFFECTED_ALL""), ISNUMBER(buff), job=""賢者""),"&amp;"
         buff,
         1
       )
     )
   )
 )"),1.0)</f>
        <v>1</v>
      </c>
      <c r="EO72" s="200">
        <f>IFERROR(__xludf.DUMMYFUNCTION("PRODUCT(
   MAP(
     K$3:ED$3,
     K$14:ED$14,
     K$13:ED$13,
     K72:ED72,
     LAMBDA(
       job,
       buff,
       target,
       check,
       IF(
         AND(check=TRUE, REGEXMATCH(target, ""SELF_EFFECTED_GCD""), ISNUMBER(buff), job=""賢者""),"&amp;"
         buff,
         1
       )
     )
   )
 )"),1.0)</f>
        <v>1</v>
      </c>
      <c r="EP72" s="201">
        <f t="shared" si="3"/>
        <v>0</v>
      </c>
      <c r="EQ72" s="201">
        <f>IFERROR(__xludf.DUMMYFUNCTION("SUM(
   MAP(
     K$4:ED$4,
     K$3:ED$3,
     K$7:ED$7,
     K$15:ED$15,
     K$16:ED$16,
     K$21:ED$21,
     K$5:ED$5,
     K$17:ED$17,
     K72:ED72,
     LAMBDA(
       name,
       job,
       abillity,
       buff,
       barrier,
       enhance,"&amp;"
       assign,
       precondition,
       check,
       SWITCH(
         name,
         ""シェイクオフ"", IF(check=TRUE, buff + (0.02 * COUNTIF(ARRAYFORMULA((REGEXMATCH($K$4:$ED$4, ""スリル・オブ・バトル|ヴェンジェンス|原初の血気|ダムネーション"")) * (K72:ED72=TRUE)), 1)), 0),
         "&amp;"""インプロビゼーションフィニッシュ(踊りの激情0)"", IF(ISNUMBER(check), INDEX(Skill!$AJ:$AJ, MATCH(SUBSTITUTE(DV$4, 0, check), Skill!$C:$C, 0)), 0),
         IF(
           AND(check=TRUE, REGEXMATCH(assign, ""RANGE_PARTY"")),
           IF(
             OR(ARRAYFORMULA((IF(pr"&amp;"econdition="""", FALSE, REGEXMATCH($K$4:$ED$4, precondition))) * (K72:ED72=TRUE))),
             enhance,
             IF(barrier="""", buff, barrier)
           ),
           0
         )
       ) *
       SWITCH(
         job,
         ""ナイト"", EY$24,
 "&amp;"        ""戦士"", FD$24,
         ""踊り子"", ET$24,
         ""ピクトマンサー"", ET$24,
         ""白魔道士"", EF72 * EH72 * IF(abillity, 1, EG72 * EI72) * (Option!$D$22 * 0.81 / 100),
         ""占星術師"", EF72 * EJ72 * IF(abillity, 1, EG72 * EK72) * (Option!$D$23 * 0.81 "&amp;"/ 100),
         ""学者"", EF72 * EL72 * IF(abillity, 1, EG72 * EM72) * (Option!$D$24 * 0.81 / 100),
         ""賢者"", EF72 * EN72 * IF(abillity, 1, EG72 * EO72) * (Option!$D$25 * 0.81 / 100),
         1
       )
     )
   )
 )"),0.0)</f>
        <v>0</v>
      </c>
      <c r="ER72" s="202">
        <f t="shared" si="4"/>
        <v>0</v>
      </c>
      <c r="ES72" s="203">
        <f t="shared" si="5"/>
        <v>0</v>
      </c>
      <c r="ET72" s="231" t="str">
        <f>IFERROR(__xludf.DUMMYFUNCTION("IFS(
  EP72 &gt; $ET$24 + EQ72,
  SPARKLINE({ 1, 0 }, {""charttype"",""bar"";""max"", 1;""color1"",Option!$D$30;""color2"",Option!$D$30}),
  EP72 &lt; EQ72,
  SPARKLINE({EQ72 - EP72, $ET$24 - (EQ72 - EP72)}, {""charttype"",""bar"";""max"",$ET$24;""color1"",Opti"&amp;"on!$D$28;""color2"",Option!$D$29}),
  EP72 &gt;= EQ72,
  SPARKLINE({$ET$24 + EQ72 - EP72,EP72 - EQ72}, {""charttype"",""bar"";""max"",$ET$24;""color1"",Option!$D$29;""color2"",Option!$D$30})
)"),"")</f>
        <v/>
      </c>
      <c r="EU72" s="205">
        <f>IFERROR(__xludf.DUMMYFUNCTION("PRODUCT(
   MAP(
     IF($F72=""Physical"", K$10:ED$10, IF($F72=""Magic"", K$11:ED$11, K$12:ED$12)),
     IF($F72=""Physical"", K$18:ED$18, IF($F72=""Magic"", K$19:ED$19, K$20:ED$20)),
     K$3:ED$3,
     K$5:ED$5,
     K$17:ED$17,
     K72:ED72,
     LAM"&amp;"BDA(
       mitigation,
       enhance,
       job,
       assign,
       precondition,
       check,
       IF(
         OR(AND(check=TRUE, REGEXMATCH(assign, ""SELF""), job=""ナイト""), AND(check=Option!$E$13, REGEXMATCH(assign, ""SINGLE_PARTY""))),
      "&amp;"   IF(
           OR(ARRAYFORMULA((IF(precondition="""", FALSE, REGEXMATCH($K$4:$ED$4, precondition))) * (K72:ED72=TRUE))),
           enhance,
           mitigation
         ),
         1
       )
     )
   )
 ) * EE72"),1.0)</f>
        <v>1</v>
      </c>
      <c r="EV72" s="206">
        <f t="shared" si="6"/>
        <v>0</v>
      </c>
      <c r="EW72" s="205">
        <f>IFERROR(__xludf.DUMMYFUNCTION("PRODUCT(
   MAP(
     K$3:ED$3,
     K$14:ED$14,
     K$13:ED$13,
     K72:ED72,
     LAMBDA(
       job,
       buff,
       target,
       check,
       IF(
         OR(AND(check=TRUE, REGEXMATCH(target, ""SELF_AFFECTED_ALL""), job=""ナイト""), AND(check=O"&amp;"ption!$E$13, REGEXMATCH(target, ""SINGLE_AFFECTED_ALL""))),
         buff,
         1
       )
     )
   )
 )"),1.0)</f>
        <v>1</v>
      </c>
      <c r="EX72" s="206">
        <f>IFERROR(__xludf.DUMMYFUNCTION("SUM(
   MAP(
     K$3:ED$3,
     K$7:ED$7,
     K$15:ED$15,
     K$16:ED$16,
     K$21:ED$21,
     K$5:ED$5,
     K$17:ED$17,
     K72:ED72,
     LAMBDA(
       job,
       abillity,
       buff,
       barrier,
       enhance,
       assign,
       preco"&amp;"ndition,
       check,
       IF(
         OR(AND(check=TRUE, REGEXMATCH(assign, ""SELF""), job=""ナイト""), AND(check=Option!$E$13, REGEXMATCH(assign, ""SINGLE_PARTY""))),
         IF(
           OR(ARRAYFORMULA((IF(precondition="""", FALSE, REGEXMATCH($K$4"&amp;":$ED$4, precondition))) * (K72:ED72=TRUE))),
           enhance,
           IF(barrier="""", buff, barrier)
         ),
         0
       ) *
       SWITCH(
         job,
         ""暗黒騎士"", EY$24,
         ""白魔道士"", EF72 * EH72 * EW72 * IF(abillity, 1, EG"&amp;"72 * EI72) * (Option!$D$22 * 0.81 / 100),
         ""占星術師"", EF72 * EJ72 * EW72 * IF(abillity, 1, EG72 * EK72) * (Option!$D$23 * 0.81 / 100),
         ""学者"", EF72 * EL72 * EW72 * IF(abillity, 1, EG72 * EM72) * (Option!$D$24 * 0.81 / 100),
         ""賢者"""&amp;", EF72 * EN72 * EW72 * IF(abillity, 1, EG72 * EO72) * (Option!$D$25 * 0.81 / 100),
         1
       )
     )
   )
 ) + EQ72"),0.0)</f>
        <v>0</v>
      </c>
      <c r="EY72" s="232">
        <f t="shared" si="7"/>
        <v>0</v>
      </c>
      <c r="EZ72" s="205">
        <f>IFERROR(__xludf.DUMMYFUNCTION("PRODUCT(
   MAP(
     IF($F72=""Physical"", K$10:ED$10, IF($F72=""Magic"", K$11:ED$11, K$12:ED$12)),
     IF($F72=""Physical"", K$18:ED$18, IF($F72=""Magic"", K$19:ED$19, K$20:ED$20)),
     K$3:ED$3,
     K$5:ED$5,
     K$17:ED$17,
     K72:ED72,
     LAM"&amp;"BDA(
       mitigation,
       enhance,
       job,
       assign,
       precondition,
       check,
       IF(
         OR(AND(check=TRUE, REGEXMATCH(assign, ""SELF""), job=""戦士""), AND(check=Option!$F$13, REGEXMATCH(assign, ""SINGLE_PARTY""))),
       "&amp;"  IF(
           OR(ARRAYFORMULA((IF(precondition="""", FALSE, REGEXMATCH($K$4:$ED$4, precondition))) * (K72:ED72=TRUE))),
           enhance,
           mitigation
         ),
         1
       )
     )
   )
 ) * EE72"),1.0)</f>
        <v>1</v>
      </c>
      <c r="FA72" s="206">
        <f t="shared" si="8"/>
        <v>0</v>
      </c>
      <c r="FB72" s="205">
        <f>IFERROR(__xludf.DUMMYFUNCTION("PRODUCT(
   MAP(
     K$3:ED$3,
     K$14:ED$14,
     K$13:ED$13,
     K72:ED72,
     LAMBDA(
       job,
       buff,
       target,
       check,
       IF(
         OR(AND(check=TRUE, REGEXMATCH(target, ""SELF_AFFECTED_ALL""), job=""戦士""), AND(check=Op"&amp;"tion!$F$13, REGEXMATCH(target, ""SINGLE_AFFECTED_ALL""))),
         buff,
         1
       )
     )
   )
 )"),1.0)</f>
        <v>1</v>
      </c>
      <c r="FC72" s="206">
        <f>IFERROR(__xludf.DUMMYFUNCTION("SUM(
   MAP(
     K$3:ED$3,
     K$7:ED$7,
     K$15:ED$15,
     K$16:ED$16,
     K$21:ED$21,
     K$5:ED$5,
     K$17:ED$17,
     K72:ED72,
     LAMBDA(
       job,
       abillity,
       buff,
       barrier,
       enhance,
       assign,
       preco"&amp;"ndition,
       check,
       IF(
         OR(AND(check=TRUE, REGEXMATCH(assign, ""SELF""), job=""戦士""), AND(check=Option!$F$13, REGEXMATCH(assign, ""SINGLE_PARTY""))),
         IF(
           OR(ARRAYFORMULA((IF(precondition="""", FALSE, REGEXMATCH($K$4:"&amp;"$ED$4, precondition))) * (K72:ED72=TRUE))),
           enhance,
           IF(barrier="""", buff, barrier)
         ),
         0
       ) *
       SWITCH(
         job,
         ""暗黒騎士"", FD$24,
         ""白魔道士"", EF72 * EH72 * FB72 * IF(abillity, 1, EG7"&amp;"2 * EI72) * (Option!$D$22 * 0.81 / 100),
         ""占星術師"", EF72 * EJ72 * FFB72 * IF(abillity, 1, EG72 * EK72) * (Option!$D$23 * 0.81 / 100),
         ""学者"", EF72 * EL72 * FB72 * IF(abillity, 1, EG72 * EM72) * (Option!$D$24 * 0.81 / 100),
         ""賢者"""&amp;", EF72 * EN72 * FB72 * IF(abillity, 1, EG72 * EO72) * (Option!$D$25 * 0.81 / 100),
         1
       )
     )
   )
 ) + EQ72"),0.0)</f>
        <v>0</v>
      </c>
      <c r="FD72" s="206">
        <f t="shared" si="9"/>
        <v>0</v>
      </c>
      <c r="FE72" s="205">
        <f>IFERROR(__xludf.DUMMYFUNCTION("PRODUCT(
   MAP(
     IF($F72=""Physical"", K$10:ED$10, IF($F72=""Magic"", K$11:ED$11, K$12:ED$12)),
     IF($F72=""Physical"", K$18:ED$18, IF($F72=""Magic"", K$19:ED$19, K$20:ED$20)),
     K$3:ED$3,
     K$5:ED$5,
     K$17:ED$17,
     K72:ED72,
     LAM"&amp;"BDA(
       mitigation,
       enhance,
       job,
       assign,
       precondition,
       check,
       IF(
         OR(AND(check=TRUE, REGEXMATCH(assign, ""SELF""), job=""暗黒騎士""), AND(check=Option!$G$13, REGEXMATCH(assign, ""SINGLE_PARTY""))),
     "&amp;"    IF(
           OR(ARRAYFORMULA((IF(precondition="""", FALSE, REGEXMATCH($K$4:$ED$4, precondition))) * (K72:ED72=TRUE))),
           enhance,
           mitigation
         ),
         1
       )
     )
   )
 ) * EE72"),1.0)</f>
        <v>1</v>
      </c>
      <c r="FF72" s="206">
        <f t="shared" si="10"/>
        <v>0</v>
      </c>
      <c r="FG72" s="205">
        <f>IFERROR(__xludf.DUMMYFUNCTION("PRODUCT(
   MAP(
     K$3:ED$3,
     K$14:ED$14,
     K$13:ED$13,
     K72:ED72,
     LAMBDA(
       job,
       buff,
       target,
       check,
       IF(
         OR(AND(check=TRUE, REGEXMATCH(target, ""SELF_AFFECTED_ALL""), job=""暗黒騎士""), AND(check="&amp;"Option!$G$13, REGEXMATCH(target, ""SINGLE_AFFECTED_ALL""))),
         buff,
         1
       )
     )
   )
 )"),1.0)</f>
        <v>1</v>
      </c>
      <c r="FH72" s="206">
        <f>IFERROR(__xludf.DUMMYFUNCTION("SUM(
   MAP(
     K$3:ED$3,
     K$7:ED$7,
     K$15:ED$15,
     K$16:ED$16,
     K$21:ED$21,
     K$5:ED$5,
     K$17:ED$17,
     K72:ED72,
     LAMBDA(
       job,
       abillity,
       buff,
       barrier,
       enhance,
       assign,
       preco"&amp;"ndition,
       check,
       IF(
         OR(AND(check=TRUE, REGEXMATCH(assign, ""SELF""), job=""暗黒騎士""), AND(check=Option!$G$13, REGEXMATCH(assign, ""SINGLE_PARTY""))),
         IF(
           OR(ARRAYFORMULA((IF(precondition="""", FALSE, REGEXMATCH($K$"&amp;"4:$ED$4, precondition))) * (K72:ED72=TRUE))),
           enhance,
           IF(barrier="""", buff, barrier)
         ),
         0
       ) *
       SWITCH(
         job,
         ""暗黒騎士"", FI$24,
         ""白魔道士"", EF72 * EH72 * FG72 * IF(abillity, 1, E"&amp;"G72 * EI72) * (Option!$D$22 * 0.81 / 100),
         ""占星術師"", EF72 * EJ72 * FG72 * IF(abillity, 1, EG72 * EK72) * (Option!$D$23 * 0.81 / 100),
         ""学者"", EF72 * EL72 * FG72 * IF(abillity, 1, EG72 * EM72) * (Option!$D$24 * 0.81 / 100),
         ""賢者"&amp;""", EF72 * EN72 * FG72 * IF(abillity, 1, EG72 * EO72) * (Option!$D$25 * 0.81 / 100),
         1
       )
     )
   )
 ) + EQ72"),0.0)</f>
        <v>0</v>
      </c>
      <c r="FI72" s="206">
        <f t="shared" si="11"/>
        <v>0</v>
      </c>
      <c r="FJ72" s="205">
        <f>IFERROR(__xludf.DUMMYFUNCTION("PRODUCT(
   MAP(
     IF($F72=""Physical"", K$10:ED$10, IF($F72=""Magic"", K$11:ED$11, K$12:ED$12)),
     IF($F72=""Physical"", K$18:ED$18, IF($F72=""Magic"", K$19:ED$19, K$20:ED$20)),
     K$3:ED$3,
     K$5:ED$5,
     K$17:ED$17,
     K72:ED72,
     LAM"&amp;"BDA(
       mitigation,
       enhance,
       job,
       assign,
       precondition,
       check,
       IF(
         OR(AND(check=TRUE, REGEXMATCH(assign, ""SELF""), job=""ガンブレイカー""), AND(check=Option!$H$13, REGEXMATCH(assign, ""SINGLE_PARTY""))),
  "&amp;"       IF(
           OR(ARRAYFORMULA((IF(precondition="""", FALSE, REGEXMATCH($K$4:$ED$4, precondition))) * (K72:ED72=TRUE))),
           enhance,
           mitigation
         ),
         1
       )
     )
   )
 ) * EE72"),1.0)</f>
        <v>1</v>
      </c>
      <c r="FK72" s="206">
        <f t="shared" si="12"/>
        <v>0</v>
      </c>
      <c r="FL72" s="205">
        <f>IFERROR(__xludf.DUMMYFUNCTION("PRODUCT(
   MAP(
     K$3:ED$3,
     K$14:ED$14,
     K$13:ED$13,
     K72:ED72,
     LAMBDA(
       job,
       buff,
       target,
       check,
       IF(
         OR(AND(check=TRUE, REGEXMATCH(target, ""SELF_AFFECTED_ALL""), job=""ガンブレイカー""), AND(che"&amp;"ck=Option!$H$13, REGEXMATCH(target, ""SINGLE_AFFECTED_ALL""))),
         buff,
         1
       )
     )
   )
 )"),1.0)</f>
        <v>1</v>
      </c>
      <c r="FM72" s="206">
        <f>IFERROR(__xludf.DUMMYFUNCTION("SUM(
   MAP(
     K$3:ED$3,
     K$7:ED$7,
     K$15:ED$15,
     K$16:ED$16,
     K$21:ED$21,
     K$5:ED$5,
     K$17:ED$17,
     K72:ED72,
     LAMBDA(
       job,
       abillity,
       buff,
       barrier,
       enhance,
       assign,
       preco"&amp;"ndition,
       check,
       IF(
         OR(AND(check=TRUE, REGEXMATCH(assign, ""SELF""), job=""ガンブレイカー""), AND(check=Option!$H$13, REGEXMATCH(assign, ""SINGLE_PARTY""))),
         IF(
           OR(ARRAYFORMULA((IF(precondition="""", FALSE, REGEXMATCH("&amp;"$K$4:$ED$4, precondition))) * (K72:ED72=TRUE))),
           enhance,
           IF(barrier="""", buff, barrier)
         ),
         0
       ) *
       SWITCH(
         job,
         ""暗黒騎士"", FN$24,
         ""白魔道士"", EF72 * EH72 * FL72 * IF(abillity, 1"&amp;", EG72 * EI72) * (Option!$D$22 * 0.81 / 100),
         ""占星術師"", EF72 * EJ72 * FL72 * IF(abillity, 1, EG72 * EK72) * (Option!$D$23 * 0.81 / 100),
         ""学者"", EF72 * EL72 * FL72 * IF(abillity, 1, EG72 * EM72) * (Option!$D$24 * 0.81 / 100),
         """&amp;"賢者"", EF72 * EN72 * FL72 * IF(abillity, 1, EG72 * EO72) * (Option!$D$25 * 0.81 / 100),
         1
       )
     )
   )
 ) + EQ72"),0.0)</f>
        <v>0</v>
      </c>
      <c r="FN72" s="206">
        <f t="shared" si="13"/>
        <v>0</v>
      </c>
      <c r="FO72" s="213"/>
    </row>
    <row r="73">
      <c r="B73" s="229"/>
      <c r="C73" s="217"/>
      <c r="D73" s="236"/>
      <c r="E73" s="238"/>
      <c r="F73" s="167"/>
      <c r="G73" s="168" t="str">
        <f t="shared" si="2"/>
        <v/>
      </c>
      <c r="H73" s="169"/>
      <c r="I73" s="169"/>
      <c r="J73" s="169"/>
      <c r="K73" s="170" t="b">
        <v>0</v>
      </c>
      <c r="L73" s="170" t="b">
        <v>0</v>
      </c>
      <c r="M73" s="170" t="b">
        <v>0</v>
      </c>
      <c r="N73" s="171" t="s">
        <v>1070</v>
      </c>
      <c r="O73" s="172" t="b">
        <v>0</v>
      </c>
      <c r="P73" s="173" t="b">
        <v>0</v>
      </c>
      <c r="Q73" s="173" t="b">
        <v>0</v>
      </c>
      <c r="R73" s="173" t="b">
        <v>0</v>
      </c>
      <c r="S73" s="174" t="b">
        <v>0</v>
      </c>
      <c r="T73" s="175" t="b">
        <v>0</v>
      </c>
      <c r="U73" s="173" t="b">
        <v>0</v>
      </c>
      <c r="V73" s="171" t="s">
        <v>1070</v>
      </c>
      <c r="W73" s="172" t="b">
        <v>0</v>
      </c>
      <c r="X73" s="173" t="b">
        <v>0</v>
      </c>
      <c r="Y73" s="173" t="b">
        <v>0</v>
      </c>
      <c r="Z73" s="173" t="b">
        <v>0</v>
      </c>
      <c r="AA73" s="174" t="b">
        <v>0</v>
      </c>
      <c r="AB73" s="174" t="b">
        <v>0</v>
      </c>
      <c r="AC73" s="175" t="b">
        <v>0</v>
      </c>
      <c r="AD73" s="173" t="b">
        <v>0</v>
      </c>
      <c r="AE73" s="176" t="s">
        <v>1070</v>
      </c>
      <c r="AF73" s="171" t="s">
        <v>1070</v>
      </c>
      <c r="AG73" s="177">
        <f>IFERROR(__xludf.DUMMYFUNCTION("IF(
  ISNUMBER(AG72),
  MIN(MAX(
    AG72
    + MAX(
      ROUNDDOWN(($D73 - MAX(IFERROR(FILTER($D$24:$D72, AG$24:AG72 &lt;&gt; AF$6, AG$23:AG71 = AF$6), 0))) * (60 * 60 * 24) / AF$9) - ROUNDDOWN(($D72 - MAX(IFERROR(FILTER($D$23:$D71, AG$23:AG71 &lt;&gt; AF$6, AG$22:"&amp;"AG70 = AF$6), 0))) * (60 * 60 * 24) / 60),
      0
    )
    - COUNTIF(AF73, ""&lt;&gt;-""),
  0), AF$6),
  AF$6 - COUNTIF(AF73, ""&lt;&gt;-"")
)"),2.0)</f>
        <v>2</v>
      </c>
      <c r="AH73" s="173" t="b">
        <v>0</v>
      </c>
      <c r="AI73" s="173" t="b">
        <v>0</v>
      </c>
      <c r="AJ73" s="173" t="b">
        <v>0</v>
      </c>
      <c r="AK73" s="174" t="b">
        <v>0</v>
      </c>
      <c r="AL73" s="175" t="b">
        <v>0</v>
      </c>
      <c r="AM73" s="173" t="b">
        <v>0</v>
      </c>
      <c r="AN73" s="171" t="s">
        <v>1070</v>
      </c>
      <c r="AO73" s="173" t="b">
        <v>0</v>
      </c>
      <c r="AP73" s="173" t="b">
        <v>0</v>
      </c>
      <c r="AQ73" s="173" t="b">
        <v>0</v>
      </c>
      <c r="AR73" s="174" t="b">
        <v>0</v>
      </c>
      <c r="AS73" s="178" t="b">
        <v>0</v>
      </c>
      <c r="AT73" s="179" t="b">
        <v>0</v>
      </c>
      <c r="AU73" s="180" t="b">
        <v>0</v>
      </c>
      <c r="AV73" s="180" t="b">
        <v>0</v>
      </c>
      <c r="AW73" s="180" t="b">
        <v>0</v>
      </c>
      <c r="AX73" s="180" t="b">
        <v>0</v>
      </c>
      <c r="AY73" s="181" t="s">
        <v>1070</v>
      </c>
      <c r="AZ73" s="181" t="s">
        <v>1070</v>
      </c>
      <c r="BA73" s="184">
        <f>IFERROR(__xludf.DUMMYFUNCTION("IF(
  ISNUMBER(BA72),
  MIN(MAX(
    BA72
    + MAX(
      ROUNDDOWN((D73 - MAX(IFERROR(FILTER(D$24:D72, BA$24:BA72 &lt;&gt; AZ$6, BA$23:BA71 = AZ$6), 0))) * (60 * 60 * 24) / AZ$9) - ROUNDDOWN((D72 - MAX(IFERROR(FILTER(D$23:D71, BA$23:BA71 &lt;&gt; AZ$6, BA$22:BA70 ="&amp;" AZ$6), 0))) * (60 * 60 * 24) / AZ$9),
      0
    )
    - COUNTIF(AZ73, ""&lt;&gt;-""),
  0), AZ$6),
  AZ$6 - COUNTIF(AZ73, ""&lt;&gt;-"")
)"),2.0)</f>
        <v>2</v>
      </c>
      <c r="BB73" s="181" t="s">
        <v>1070</v>
      </c>
      <c r="BC73" s="183">
        <f>IFERROR(__xludf.DUMMYFUNCTION("IF(
  ISNUMBER(BC72),
  MIN(MAX(
    BC72
    + MAX(
      ROUNDDOWN(($D73 - MAX(IFERROR(FILTER($D$24:$D72, BC$24:BC72 &lt;&gt; BB$6, BC$23:BC71 = BB$6), 0))) * (60 * 60 * 24) / BB$9) - ROUNDDOWN(($D72 - MAX(IFERROR(FILTER($D$23:$D71, BC$23:BC71 &lt;&gt; BB$6, BC$22:"&amp;"BC70 = BB$6), 0))) * (60 * 60 * 24) / 60),
      0
    )
    - COUNTIF(BB73, ""&lt;&gt;-""),
  0), BB$6),
  BB$6 - COUNTIF(BB73, ""&lt;&gt;-"")
)"),2.0)</f>
        <v>2</v>
      </c>
      <c r="BD73" s="181" t="s">
        <v>1070</v>
      </c>
      <c r="BE73" s="178" t="b">
        <v>0</v>
      </c>
      <c r="BF73" s="180" t="b">
        <v>0</v>
      </c>
      <c r="BG73" s="180" t="b">
        <v>0</v>
      </c>
      <c r="BH73" s="180" t="b">
        <v>0</v>
      </c>
      <c r="BI73" s="180" t="b">
        <v>0</v>
      </c>
      <c r="BJ73" s="180" t="b">
        <v>0</v>
      </c>
      <c r="BK73" s="180" t="b">
        <v>0</v>
      </c>
      <c r="BL73" s="180" t="b">
        <v>0</v>
      </c>
      <c r="BM73" s="180" t="b">
        <v>0</v>
      </c>
      <c r="BN73" s="180" t="b">
        <v>0</v>
      </c>
      <c r="BO73" s="181" t="s">
        <v>1070</v>
      </c>
      <c r="BP73" s="181" t="s">
        <v>1070</v>
      </c>
      <c r="BQ73" s="181" t="s">
        <v>1070</v>
      </c>
      <c r="BR73" s="181" t="s">
        <v>1070</v>
      </c>
      <c r="BS73" s="181" t="s">
        <v>1070</v>
      </c>
      <c r="BT73" s="184">
        <f>IFERROR(__xludf.DUMMYFUNCTION("IF(
  ISNUMBER(BT72),
  MIN(MAX(
    BT72
    + MAX(
      ROUNDDOWN((D73 - MAX(IFERROR(FILTER(D$24:D72, BT$24:BT72 &lt;&gt; BS$6, BT$23:BT71 = BS$6), 0))) * (60 * 60 * 24) / BS$9) - ROUNDDOWN((D72 - MAX(IFERROR(FILTER(D$23:D71, BT$23:BT71 &lt;&gt; BS$6, BT$22:BT70 ="&amp;" BS$6), 0))) * (60 * 60 * 24) / BS$9),
      0
    )
    - COUNTIF(BS73, ""&lt;&gt;-""),
  0), BS$6),
  BS$6 - COUNTIF(BS73, ""&lt;&gt;-"")
)"),3.0)</f>
        <v>3</v>
      </c>
      <c r="BU73" s="181" t="s">
        <v>1070</v>
      </c>
      <c r="BV73" s="181" t="s">
        <v>1070</v>
      </c>
      <c r="BW73" s="184">
        <f>IFERROR(__xludf.DUMMYFUNCTION("IF(
  ISNUMBER(BW72),
  MIN(MAX(
    BW72
    + MAX(
      ROUNDDOWN((D73 - MAX(IFERROR(FILTER(D$24:D72, BW$24:BW72 &lt;&gt; BV$6, BW$23:BW71 = BV$6), 0))) * (60 * 60 * 24) / BV$9) - ROUNDDOWN((D72 - MAX(IFERROR(FILTER(D$23:D71, BW$23:BW71 &lt;&gt; BV$6, BW$22:BW70 ="&amp;" BV$6), 0))) * (60 * 60 * 24) / BV$9),
      0
    )
    - COUNTIF(BV73, ""&lt;&gt;-""),
  0), BV$6),
  BV$6 - COUNTIF(BV73, ""&lt;&gt;-"")
)"),2.0)</f>
        <v>2</v>
      </c>
      <c r="BX73" s="185" t="s">
        <v>1070</v>
      </c>
      <c r="BY73" s="178" t="b">
        <v>0</v>
      </c>
      <c r="BZ73" s="180" t="b">
        <v>0</v>
      </c>
      <c r="CA73" s="180" t="b">
        <v>0</v>
      </c>
      <c r="CB73" s="180" t="b">
        <v>0</v>
      </c>
      <c r="CC73" s="180" t="b">
        <v>0</v>
      </c>
      <c r="CD73" s="180" t="b">
        <v>0</v>
      </c>
      <c r="CE73" s="180" t="b">
        <v>0</v>
      </c>
      <c r="CF73" s="180" t="b">
        <v>0</v>
      </c>
      <c r="CG73" s="180" t="b">
        <v>0</v>
      </c>
      <c r="CH73" s="180" t="b">
        <v>0</v>
      </c>
      <c r="CI73" s="180" t="b">
        <v>0</v>
      </c>
      <c r="CJ73" s="180" t="b">
        <v>0</v>
      </c>
      <c r="CK73" s="180" t="b">
        <v>0</v>
      </c>
      <c r="CL73" s="180" t="b">
        <v>0</v>
      </c>
      <c r="CM73" s="181" t="s">
        <v>1070</v>
      </c>
      <c r="CN73" s="181" t="s">
        <v>1070</v>
      </c>
      <c r="CO73" s="181" t="s">
        <v>1070</v>
      </c>
      <c r="CP73" s="181" t="s">
        <v>1070</v>
      </c>
      <c r="CQ73" s="185" t="s">
        <v>1070</v>
      </c>
      <c r="CR73" s="180" t="b">
        <v>0</v>
      </c>
      <c r="CS73" s="186" t="str">
        <f t="shared" si="14"/>
        <v>◇◇◇</v>
      </c>
      <c r="CT73" s="178" t="b">
        <v>0</v>
      </c>
      <c r="CU73" s="180" t="b">
        <v>0</v>
      </c>
      <c r="CV73" s="180" t="b">
        <v>0</v>
      </c>
      <c r="CW73" s="180" t="b">
        <v>0</v>
      </c>
      <c r="CX73" s="180" t="b">
        <v>0</v>
      </c>
      <c r="CY73" s="180" t="b">
        <v>0</v>
      </c>
      <c r="CZ73" s="180" t="b">
        <v>0</v>
      </c>
      <c r="DA73" s="180" t="b">
        <v>0</v>
      </c>
      <c r="DB73" s="180" t="b">
        <v>0</v>
      </c>
      <c r="DC73" s="180" t="b">
        <v>0</v>
      </c>
      <c r="DD73" s="181" t="s">
        <v>1070</v>
      </c>
      <c r="DE73" s="181" t="s">
        <v>1070</v>
      </c>
      <c r="DF73" s="181" t="s">
        <v>1070</v>
      </c>
      <c r="DG73" s="185" t="s">
        <v>1070</v>
      </c>
      <c r="DH73" s="180" t="b">
        <v>0</v>
      </c>
      <c r="DI73" s="187" t="str">
        <f>IFERROR(__xludf.DUMMYFUNCTION("SWITCH(
  IF(
    ISTEXT(DI72),
    IF (
      FIND(""○"", DI72&amp;""○"") &gt; 3,
      3,
      FIND(""○"", DI72&amp;""○"")
      + MAX(
        ROUNDDOWN(($D73 - MAX(IFERROR(FILTER(D$24:D72, DI$24:DI72 &lt;&gt; ""●●●"", DI$23:DI71 = ""●●●""), 0))) * (60 * 60 * 24) / 20"&amp;") - ROUNDDOWN(($D72 - MAX(IFERROR(FILTER(D$23:D71, DI$23:DI71 &lt;&gt; ""●●●"", DI$22:DI70 = ""●●●""), 0))) * (60 * 60 * 24) / 20),
        0
      ) - 1
    ) - COUNTIFS(CU73, ""=TRUE"", CU72, ""&lt;&gt;TRUE"") - COUNTIF(CZ73, ""=TRUE"") - COUNTIF({DD73,DE73}, ""&lt;&gt;-"&amp;""") + COUNTIF(DH73, ""=TRUE""),
    3
  ),
  0, ""○○○"", 1, ""●○○"", 2, ""●●○"", 3, ""●●●"", 4, ""●●●"", ""○○○""
)"),"●●●")</f>
        <v>●●●</v>
      </c>
      <c r="DJ73" s="188" t="b">
        <v>0</v>
      </c>
      <c r="DK73" s="189" t="b">
        <v>0</v>
      </c>
      <c r="DL73" s="190" t="b">
        <v>0</v>
      </c>
      <c r="DM73" s="190" t="b">
        <v>0</v>
      </c>
      <c r="DN73" s="190" t="b">
        <v>0</v>
      </c>
      <c r="DO73" s="190" t="b">
        <v>0</v>
      </c>
      <c r="DP73" s="190" t="b">
        <v>0</v>
      </c>
      <c r="DQ73" s="191" t="b">
        <v>0</v>
      </c>
      <c r="DR73" s="192" t="b">
        <v>0</v>
      </c>
      <c r="DS73" s="191" t="b">
        <v>0</v>
      </c>
      <c r="DT73" s="192" t="b">
        <v>0</v>
      </c>
      <c r="DU73" s="191" t="b">
        <v>0</v>
      </c>
      <c r="DV73" s="193" t="s">
        <v>1070</v>
      </c>
      <c r="DW73" s="194" t="b">
        <v>0</v>
      </c>
      <c r="DX73" s="194" t="b">
        <v>0</v>
      </c>
      <c r="DY73" s="195" t="b">
        <v>0</v>
      </c>
      <c r="DZ73" s="196" t="b">
        <v>0</v>
      </c>
      <c r="EA73" s="195" t="b">
        <v>0</v>
      </c>
      <c r="EB73" s="197" t="b">
        <v>0</v>
      </c>
      <c r="EC73" s="197" t="b">
        <v>0</v>
      </c>
      <c r="ED73" s="212" t="b">
        <v>0</v>
      </c>
      <c r="EE73" s="199">
        <f>IFERROR(__xludf.DUMMYFUNCTION("IFERROR(
   PRODUCT(
     MAP(
       INDEX(TRANSPOSE(UNIQUE(TRANSPOSE(FILTER({IF($F73=""Physical"", K$10:ED$10, IF($F73=""Magic"", K$11:ED$11, K$12:ED$12));K$4:ED$4;K73:ED73}, K73:ED73=TRUE)))), 1, 0),
       INDEX(TRANSPOSE(UNIQUE(TRANSPOSE(FILTER({IF($"&amp;"F73=""Physical"", K$18:ED$18, IF($F73=""Magic"", K$19:ED$19, K$20:ED$20));K$4:ED$4;K73:ED73}, K73:ED73=TRUE)))), 1, 0),
       INDEX(TRANSPOSE(UNIQUE(TRANSPOSE(FILTER({K$5:ED$5;K$4:ED$4;K73:ED73}, K73:ED73=TRUE)))), 1, 0),
       INDEX(TRANSPOSE(UNIQUE(TR"&amp;"ANSPOSE(FILTER({K$17:ED$17;K$4:ED$4;K73:ED73}, K73:ED73=TRUE)))), 1, 0),
       LAMBDA(
         mitigation,
         enhance,
         assign,
         precondition,
         IF(
           REGEXMATCH(assign, ""RANGE_PARTY|SINGLE_ENEMY|RANGE_ENEMY""),
  "&amp;"         IF(
             OR(ARRAYFORMULA((IF(precondition="""", FALSE, REGEXMATCH(K$4:ED$4, precondition))) * (K73:ED73=TRUE))),
             IF(ISNUMBER(enhance), enhance, 1),
             IF(ISNUMBER(mitigation), mitigation, 1)
           ),
          "&amp;" 1
         )
       )
     )
   ),
   1
 )"),1.0)</f>
        <v>1</v>
      </c>
      <c r="EF73" s="200">
        <f>IFERROR(__xludf.DUMMYFUNCTION("PRODUCT(
   MAP(
     K$14:ED$14,
     K$13:ED$13,
     K73:ED73,
     LAMBDA(
       buff,
       target,
       check,
       IF(
         AND(check=TRUE, REGEXMATCH(target, ""RANGE_AFFECTED_ALL|RANGE_EFFECTED_ALL""), ISNUMBER(buff)),
         buff,
   "&amp;"      1
       )
     )
   )
 )"),1.0)</f>
        <v>1</v>
      </c>
      <c r="EG73" s="200">
        <f>IFERROR(__xludf.DUMMYFUNCTION("PRODUCT(
   MAP(
     K$14:ED$14,
     K$13:ED$13,
     K73:ED73,
     LAMBDA(
       buff,
       target,
       check,
       IF(
         AND(check=TRUE, REGEXMATCH(target, ""RANGE_AFFECTED_GCD|RANGE_EFFECTED_GCD""), ISNUMBER(buff)),
         buff,
   "&amp;"      1
       )
     )
   )
 )"),1.0)</f>
        <v>1</v>
      </c>
      <c r="EH73" s="200">
        <f>IFERROR(__xludf.DUMMYFUNCTION("PRODUCT(
   MAP(
     K$3:ED$3,
     K$14:ED$14,
     K$13:ED$13,
     K73:ED73,
     LAMBDA(
       job,
       buff,
       target,
       check,
       IF(
         AND(check=TRUE, REGEXMATCH(target, ""SELF_EFFECTED_ALL""), ISNUMBER(buff), job=""白魔道士"""&amp;"),
         buff,
         1
       )
     )
   )
 )"),1.0)</f>
        <v>1</v>
      </c>
      <c r="EI73" s="200">
        <f>IFERROR(__xludf.DUMMYFUNCTION("PRODUCT(
   MAP(
     K$3:ED$3,
     K$14:ED$14,
     K$13:ED$13,
     K73:ED73,
     LAMBDA(
       job,
       buff,
       target,
       check,
       IF(
         AND(check=TRUE, REGEXMATCH(target, ""SELF_EFFECTED_GCD""), ISNUMBER(buff), job=""白魔道士"""&amp;"),
         buff,
         1
       )
     )
   )
 )"),1.0)</f>
        <v>1</v>
      </c>
      <c r="EJ73" s="200">
        <f>IFERROR(__xludf.DUMMYFUNCTION("PRODUCT(
   MAP(
     K$3:ED$3,
     K$14:ED$14,
     K$13:ED$13,
     K73:ED73,
     LAMBDA(
       job,
       buff,
       target,
       check,
       IF(
         AND(check=TRUE, REGEXMATCH(target, ""SELF_EFFECTED_ALL""), ISNUMBER(buff), job=""占星術師"""&amp;"),
         buff,
         1
       )
     )
   )
 )"),1.0)</f>
        <v>1</v>
      </c>
      <c r="EK73" s="200">
        <f>IFERROR(__xludf.DUMMYFUNCTION("PRODUCT(
   MAP(
     K$3:ED$3,
     K$14:ED$14,
     K$13:ED$13,
     K73:ED73,
     LAMBDA(
       job,
       buff,
       target,
       check,
       IF(
         AND(check=TRUE, REGEXMATCH(target, ""SELF_EFFECTED_GCD""), ISNUMBER(buff), job=""占星術師"""&amp;"),
         buff,
         1
       )
     )
   )
 )"),1.0)</f>
        <v>1</v>
      </c>
      <c r="EL73" s="200">
        <f>IFERROR(__xludf.DUMMYFUNCTION("PRODUCT(
   MAP(
     K$3:ED$3,
     K$14:ED$14,
     K$13:ED$13,
     K73:ED73,
     LAMBDA(
       job,
       buff,
       target,
       check,
       IF(
         AND(check=TRUE, REGEXMATCH(target, ""SELF_EFFECTED_ALL""), ISNUMBER(buff), job=""学者""),"&amp;"
         buff,
         1
       )
     )
   )
 )"),1.0)</f>
        <v>1</v>
      </c>
      <c r="EM73" s="200">
        <f>IFERROR(__xludf.DUMMYFUNCTION("PRODUCT(
   MAP(
     K$3:ED$3,
     K$14:ED$14,
     K$13:ED$13,
     K73:ED73,
     LAMBDA(
       job,
       buff,
       target,
       check,
       IF(
         AND(check=TRUE, REGEXMATCH(target, ""SELF_EFFECTED_GCD""), ISNUMBER(buff), job=""学者""),"&amp;"
         buff,
         1
       )
     )
   )
 )"),1.0)</f>
        <v>1</v>
      </c>
      <c r="EN73" s="200">
        <f>IFERROR(__xludf.DUMMYFUNCTION("PRODUCT(
   MAP(
     K$3:ED$3,
     K$14:ED$14,
     K$13:ED$13,
     K73:ED73,
     LAMBDA(
       job,
       buff,
       target,
       check,
       IF(
         AND(check=TRUE, REGEXMATCH(target, ""SELF_EFFECTED_ALL""), ISNUMBER(buff), job=""賢者""),"&amp;"
         buff,
         1
       )
     )
   )
 )"),1.0)</f>
        <v>1</v>
      </c>
      <c r="EO73" s="200">
        <f>IFERROR(__xludf.DUMMYFUNCTION("PRODUCT(
   MAP(
     K$3:ED$3,
     K$14:ED$14,
     K$13:ED$13,
     K73:ED73,
     LAMBDA(
       job,
       buff,
       target,
       check,
       IF(
         AND(check=TRUE, REGEXMATCH(target, ""SELF_EFFECTED_GCD""), ISNUMBER(buff), job=""賢者""),"&amp;"
         buff,
         1
       )
     )
   )
 )"),1.0)</f>
        <v>1</v>
      </c>
      <c r="EP73" s="201">
        <f t="shared" si="3"/>
        <v>0</v>
      </c>
      <c r="EQ73" s="201">
        <f>IFERROR(__xludf.DUMMYFUNCTION("SUM(
   MAP(
     K$4:ED$4,
     K$3:ED$3,
     K$7:ED$7,
     K$15:ED$15,
     K$16:ED$16,
     K$21:ED$21,
     K$5:ED$5,
     K$17:ED$17,
     K73:ED73,
     LAMBDA(
       name,
       job,
       abillity,
       buff,
       barrier,
       enhance,"&amp;"
       assign,
       precondition,
       check,
       SWITCH(
         name,
         ""シェイクオフ"", IF(check=TRUE, buff + (0.02 * COUNTIF(ARRAYFORMULA((REGEXMATCH($K$4:$ED$4, ""スリル・オブ・バトル|ヴェンジェンス|原初の血気|ダムネーション"")) * (K73:ED73=TRUE)), 1)), 0),
         "&amp;"""インプロビゼーションフィニッシュ(踊りの激情0)"", IF(ISNUMBER(check), INDEX(Skill!$AJ:$AJ, MATCH(SUBSTITUTE(DV$4, 0, check), Skill!$C:$C, 0)), 0),
         IF(
           AND(check=TRUE, REGEXMATCH(assign, ""RANGE_PARTY"")),
           IF(
             OR(ARRAYFORMULA((IF(pr"&amp;"econdition="""", FALSE, REGEXMATCH($K$4:$ED$4, precondition))) * (K73:ED73=TRUE))),
             enhance,
             IF(barrier="""", buff, barrier)
           ),
           0
         )
       ) *
       SWITCH(
         job,
         ""ナイト"", EY$24,
 "&amp;"        ""戦士"", FD$24,
         ""踊り子"", ET$24,
         ""ピクトマンサー"", ET$24,
         ""白魔道士"", EF73 * EH73 * IF(abillity, 1, EG73 * EI73) * (Option!$D$22 * 0.81 / 100),
         ""占星術師"", EF73 * EJ73 * IF(abillity, 1, EG73 * EK73) * (Option!$D$23 * 0.81 "&amp;"/ 100),
         ""学者"", EF73 * EL73 * IF(abillity, 1, EG73 * EM73) * (Option!$D$24 * 0.81 / 100),
         ""賢者"", EF73 * EN73 * IF(abillity, 1, EG73 * EO73) * (Option!$D$25 * 0.81 / 100),
         1
       )
     )
   )
 )"),0.0)</f>
        <v>0</v>
      </c>
      <c r="ER73" s="202">
        <f t="shared" si="4"/>
        <v>0</v>
      </c>
      <c r="ES73" s="203">
        <f t="shared" si="5"/>
        <v>0</v>
      </c>
      <c r="ET73" s="231" t="str">
        <f>IFERROR(__xludf.DUMMYFUNCTION("IFS(
  EP73 &gt; $ET$24 + EQ73,
  SPARKLINE({ 1, 0 }, {""charttype"",""bar"";""max"", 1;""color1"",Option!$D$30;""color2"",Option!$D$30}),
  EP73 &lt; EQ73,
  SPARKLINE({EQ73 - EP73, $ET$24 - (EQ73 - EP73)}, {""charttype"",""bar"";""max"",$ET$24;""color1"",Opti"&amp;"on!$D$28;""color2"",Option!$D$29}),
  EP73 &gt;= EQ73,
  SPARKLINE({$ET$24 + EQ73 - EP73,EP73 - EQ73}, {""charttype"",""bar"";""max"",$ET$24;""color1"",Option!$D$29;""color2"",Option!$D$30})
)"),"")</f>
        <v/>
      </c>
      <c r="EU73" s="205">
        <f>IFERROR(__xludf.DUMMYFUNCTION("PRODUCT(
   MAP(
     IF($F73=""Physical"", K$10:ED$10, IF($F73=""Magic"", K$11:ED$11, K$12:ED$12)),
     IF($F73=""Physical"", K$18:ED$18, IF($F73=""Magic"", K$19:ED$19, K$20:ED$20)),
     K$3:ED$3,
     K$5:ED$5,
     K$17:ED$17,
     K73:ED73,
     LAM"&amp;"BDA(
       mitigation,
       enhance,
       job,
       assign,
       precondition,
       check,
       IF(
         OR(AND(check=TRUE, REGEXMATCH(assign, ""SELF""), job=""ナイト""), AND(check=Option!$E$13, REGEXMATCH(assign, ""SINGLE_PARTY""))),
      "&amp;"   IF(
           OR(ARRAYFORMULA((IF(precondition="""", FALSE, REGEXMATCH($K$4:$ED$4, precondition))) * (K73:ED73=TRUE))),
           enhance,
           mitigation
         ),
         1
       )
     )
   )
 ) * EE73"),1.0)</f>
        <v>1</v>
      </c>
      <c r="EV73" s="206">
        <f t="shared" si="6"/>
        <v>0</v>
      </c>
      <c r="EW73" s="205">
        <f>IFERROR(__xludf.DUMMYFUNCTION("PRODUCT(
   MAP(
     K$3:ED$3,
     K$14:ED$14,
     K$13:ED$13,
     K73:ED73,
     LAMBDA(
       job,
       buff,
       target,
       check,
       IF(
         OR(AND(check=TRUE, REGEXMATCH(target, ""SELF_AFFECTED_ALL""), job=""ナイト""), AND(check=O"&amp;"ption!$E$13, REGEXMATCH(target, ""SINGLE_AFFECTED_ALL""))),
         buff,
         1
       )
     )
   )
 )"),1.0)</f>
        <v>1</v>
      </c>
      <c r="EX73" s="206">
        <f>IFERROR(__xludf.DUMMYFUNCTION("SUM(
   MAP(
     K$3:ED$3,
     K$7:ED$7,
     K$15:ED$15,
     K$16:ED$16,
     K$21:ED$21,
     K$5:ED$5,
     K$17:ED$17,
     K73:ED73,
     LAMBDA(
       job,
       abillity,
       buff,
       barrier,
       enhance,
       assign,
       preco"&amp;"ndition,
       check,
       IF(
         OR(AND(check=TRUE, REGEXMATCH(assign, ""SELF""), job=""ナイト""), AND(check=Option!$E$13, REGEXMATCH(assign, ""SINGLE_PARTY""))),
         IF(
           OR(ARRAYFORMULA((IF(precondition="""", FALSE, REGEXMATCH($K$4"&amp;":$ED$4, precondition))) * (K73:ED73=TRUE))),
           enhance,
           IF(barrier="""", buff, barrier)
         ),
         0
       ) *
       SWITCH(
         job,
         ""暗黒騎士"", EY$24,
         ""白魔道士"", EF73 * EH73 * EW73 * IF(abillity, 1, EG"&amp;"73 * EI73) * (Option!$D$22 * 0.81 / 100),
         ""占星術師"", EF73 * EJ73 * EW73 * IF(abillity, 1, EG73 * EK73) * (Option!$D$23 * 0.81 / 100),
         ""学者"", EF73 * EL73 * EW73 * IF(abillity, 1, EG73 * EM73) * (Option!$D$24 * 0.81 / 100),
         ""賢者"""&amp;", EF73 * EN73 * EW73 * IF(abillity, 1, EG73 * EO73) * (Option!$D$25 * 0.81 / 100),
         1
       )
     )
   )
 ) + EQ73"),0.0)</f>
        <v>0</v>
      </c>
      <c r="EY73" s="232">
        <f t="shared" si="7"/>
        <v>0</v>
      </c>
      <c r="EZ73" s="205">
        <f>IFERROR(__xludf.DUMMYFUNCTION("PRODUCT(
   MAP(
     IF($F73=""Physical"", K$10:ED$10, IF($F73=""Magic"", K$11:ED$11, K$12:ED$12)),
     IF($F73=""Physical"", K$18:ED$18, IF($F73=""Magic"", K$19:ED$19, K$20:ED$20)),
     K$3:ED$3,
     K$5:ED$5,
     K$17:ED$17,
     K73:ED73,
     LAM"&amp;"BDA(
       mitigation,
       enhance,
       job,
       assign,
       precondition,
       check,
       IF(
         OR(AND(check=TRUE, REGEXMATCH(assign, ""SELF""), job=""戦士""), AND(check=Option!$F$13, REGEXMATCH(assign, ""SINGLE_PARTY""))),
       "&amp;"  IF(
           OR(ARRAYFORMULA((IF(precondition="""", FALSE, REGEXMATCH($K$4:$ED$4, precondition))) * (K73:ED73=TRUE))),
           enhance,
           mitigation
         ),
         1
       )
     )
   )
 ) * EE73"),1.0)</f>
        <v>1</v>
      </c>
      <c r="FA73" s="206">
        <f t="shared" si="8"/>
        <v>0</v>
      </c>
      <c r="FB73" s="205">
        <f>IFERROR(__xludf.DUMMYFUNCTION("PRODUCT(
   MAP(
     K$3:ED$3,
     K$14:ED$14,
     K$13:ED$13,
     K73:ED73,
     LAMBDA(
       job,
       buff,
       target,
       check,
       IF(
         OR(AND(check=TRUE, REGEXMATCH(target, ""SELF_AFFECTED_ALL""), job=""戦士""), AND(check=Op"&amp;"tion!$F$13, REGEXMATCH(target, ""SINGLE_AFFECTED_ALL""))),
         buff,
         1
       )
     )
   )
 )"),1.0)</f>
        <v>1</v>
      </c>
      <c r="FC73" s="206">
        <f>IFERROR(__xludf.DUMMYFUNCTION("SUM(
   MAP(
     K$3:ED$3,
     K$7:ED$7,
     K$15:ED$15,
     K$16:ED$16,
     K$21:ED$21,
     K$5:ED$5,
     K$17:ED$17,
     K73:ED73,
     LAMBDA(
       job,
       abillity,
       buff,
       barrier,
       enhance,
       assign,
       preco"&amp;"ndition,
       check,
       IF(
         OR(AND(check=TRUE, REGEXMATCH(assign, ""SELF""), job=""戦士""), AND(check=Option!$F$13, REGEXMATCH(assign, ""SINGLE_PARTY""))),
         IF(
           OR(ARRAYFORMULA((IF(precondition="""", FALSE, REGEXMATCH($K$4:"&amp;"$ED$4, precondition))) * (K73:ED73=TRUE))),
           enhance,
           IF(barrier="""", buff, barrier)
         ),
         0
       ) *
       SWITCH(
         job,
         ""暗黒騎士"", FD$24,
         ""白魔道士"", EF73 * EH73 * FB73 * IF(abillity, 1, EG7"&amp;"3 * EI73) * (Option!$D$22 * 0.81 / 100),
         ""占星術師"", EF73 * EJ73 * FFB73 * IF(abillity, 1, EG73 * EK73) * (Option!$D$23 * 0.81 / 100),
         ""学者"", EF73 * EL73 * FB73 * IF(abillity, 1, EG73 * EM73) * (Option!$D$24 * 0.81 / 100),
         ""賢者"""&amp;", EF73 * EN73 * FB73 * IF(abillity, 1, EG73 * EO73) * (Option!$D$25 * 0.81 / 100),
         1
       )
     )
   )
 ) + EQ73"),0.0)</f>
        <v>0</v>
      </c>
      <c r="FD73" s="206">
        <f t="shared" si="9"/>
        <v>0</v>
      </c>
      <c r="FE73" s="205">
        <f>IFERROR(__xludf.DUMMYFUNCTION("PRODUCT(
   MAP(
     IF($F73=""Physical"", K$10:ED$10, IF($F73=""Magic"", K$11:ED$11, K$12:ED$12)),
     IF($F73=""Physical"", K$18:ED$18, IF($F73=""Magic"", K$19:ED$19, K$20:ED$20)),
     K$3:ED$3,
     K$5:ED$5,
     K$17:ED$17,
     K73:ED73,
     LAM"&amp;"BDA(
       mitigation,
       enhance,
       job,
       assign,
       precondition,
       check,
       IF(
         OR(AND(check=TRUE, REGEXMATCH(assign, ""SELF""), job=""暗黒騎士""), AND(check=Option!$G$13, REGEXMATCH(assign, ""SINGLE_PARTY""))),
     "&amp;"    IF(
           OR(ARRAYFORMULA((IF(precondition="""", FALSE, REGEXMATCH($K$4:$ED$4, precondition))) * (K73:ED73=TRUE))),
           enhance,
           mitigation
         ),
         1
       )
     )
   )
 ) * EE73"),1.0)</f>
        <v>1</v>
      </c>
      <c r="FF73" s="206">
        <f t="shared" si="10"/>
        <v>0</v>
      </c>
      <c r="FG73" s="205">
        <f>IFERROR(__xludf.DUMMYFUNCTION("PRODUCT(
   MAP(
     K$3:ED$3,
     K$14:ED$14,
     K$13:ED$13,
     K73:ED73,
     LAMBDA(
       job,
       buff,
       target,
       check,
       IF(
         OR(AND(check=TRUE, REGEXMATCH(target, ""SELF_AFFECTED_ALL""), job=""暗黒騎士""), AND(check="&amp;"Option!$G$13, REGEXMATCH(target, ""SINGLE_AFFECTED_ALL""))),
         buff,
         1
       )
     )
   )
 )"),1.0)</f>
        <v>1</v>
      </c>
      <c r="FH73" s="206">
        <f>IFERROR(__xludf.DUMMYFUNCTION("SUM(
   MAP(
     K$3:ED$3,
     K$7:ED$7,
     K$15:ED$15,
     K$16:ED$16,
     K$21:ED$21,
     K$5:ED$5,
     K$17:ED$17,
     K73:ED73,
     LAMBDA(
       job,
       abillity,
       buff,
       barrier,
       enhance,
       assign,
       preco"&amp;"ndition,
       check,
       IF(
         OR(AND(check=TRUE, REGEXMATCH(assign, ""SELF""), job=""暗黒騎士""), AND(check=Option!$G$13, REGEXMATCH(assign, ""SINGLE_PARTY""))),
         IF(
           OR(ARRAYFORMULA((IF(precondition="""", FALSE, REGEXMATCH($K$"&amp;"4:$ED$4, precondition))) * (K73:ED73=TRUE))),
           enhance,
           IF(barrier="""", buff, barrier)
         ),
         0
       ) *
       SWITCH(
         job,
         ""暗黒騎士"", FI$24,
         ""白魔道士"", EF73 * EH73 * FG73 * IF(abillity, 1, E"&amp;"G73 * EI73) * (Option!$D$22 * 0.81 / 100),
         ""占星術師"", EF73 * EJ73 * FG73 * IF(abillity, 1, EG73 * EK73) * (Option!$D$23 * 0.81 / 100),
         ""学者"", EF73 * EL73 * FG73 * IF(abillity, 1, EG73 * EM73) * (Option!$D$24 * 0.81 / 100),
         ""賢者"&amp;""", EF73 * EN73 * FG73 * IF(abillity, 1, EG73 * EO73) * (Option!$D$25 * 0.81 / 100),
         1
       )
     )
   )
 ) + EQ73"),0.0)</f>
        <v>0</v>
      </c>
      <c r="FI73" s="206">
        <f t="shared" si="11"/>
        <v>0</v>
      </c>
      <c r="FJ73" s="205">
        <f>IFERROR(__xludf.DUMMYFUNCTION("PRODUCT(
   MAP(
     IF($F73=""Physical"", K$10:ED$10, IF($F73=""Magic"", K$11:ED$11, K$12:ED$12)),
     IF($F73=""Physical"", K$18:ED$18, IF($F73=""Magic"", K$19:ED$19, K$20:ED$20)),
     K$3:ED$3,
     K$5:ED$5,
     K$17:ED$17,
     K73:ED73,
     LAM"&amp;"BDA(
       mitigation,
       enhance,
       job,
       assign,
       precondition,
       check,
       IF(
         OR(AND(check=TRUE, REGEXMATCH(assign, ""SELF""), job=""ガンブレイカー""), AND(check=Option!$H$13, REGEXMATCH(assign, ""SINGLE_PARTY""))),
  "&amp;"       IF(
           OR(ARRAYFORMULA((IF(precondition="""", FALSE, REGEXMATCH($K$4:$ED$4, precondition))) * (K73:ED73=TRUE))),
           enhance,
           mitigation
         ),
         1
       )
     )
   )
 ) * EE73"),1.0)</f>
        <v>1</v>
      </c>
      <c r="FK73" s="206">
        <f t="shared" si="12"/>
        <v>0</v>
      </c>
      <c r="FL73" s="205">
        <f>IFERROR(__xludf.DUMMYFUNCTION("PRODUCT(
   MAP(
     K$3:ED$3,
     K$14:ED$14,
     K$13:ED$13,
     K73:ED73,
     LAMBDA(
       job,
       buff,
       target,
       check,
       IF(
         OR(AND(check=TRUE, REGEXMATCH(target, ""SELF_AFFECTED_ALL""), job=""ガンブレイカー""), AND(che"&amp;"ck=Option!$H$13, REGEXMATCH(target, ""SINGLE_AFFECTED_ALL""))),
         buff,
         1
       )
     )
   )
 )"),1.0)</f>
        <v>1</v>
      </c>
      <c r="FM73" s="206">
        <f>IFERROR(__xludf.DUMMYFUNCTION("SUM(
   MAP(
     K$3:ED$3,
     K$7:ED$7,
     K$15:ED$15,
     K$16:ED$16,
     K$21:ED$21,
     K$5:ED$5,
     K$17:ED$17,
     K73:ED73,
     LAMBDA(
       job,
       abillity,
       buff,
       barrier,
       enhance,
       assign,
       preco"&amp;"ndition,
       check,
       IF(
         OR(AND(check=TRUE, REGEXMATCH(assign, ""SELF""), job=""ガンブレイカー""), AND(check=Option!$H$13, REGEXMATCH(assign, ""SINGLE_PARTY""))),
         IF(
           OR(ARRAYFORMULA((IF(precondition="""", FALSE, REGEXMATCH("&amp;"$K$4:$ED$4, precondition))) * (K73:ED73=TRUE))),
           enhance,
           IF(barrier="""", buff, barrier)
         ),
         0
       ) *
       SWITCH(
         job,
         ""暗黒騎士"", FN$24,
         ""白魔道士"", EF73 * EH73 * FL73 * IF(abillity, 1"&amp;", EG73 * EI73) * (Option!$D$22 * 0.81 / 100),
         ""占星術師"", EF73 * EJ73 * FL73 * IF(abillity, 1, EG73 * EK73) * (Option!$D$23 * 0.81 / 100),
         ""学者"", EF73 * EL73 * FL73 * IF(abillity, 1, EG73 * EM73) * (Option!$D$24 * 0.81 / 100),
         """&amp;"賢者"", EF73 * EN73 * FL73 * IF(abillity, 1, EG73 * EO73) * (Option!$D$25 * 0.81 / 100),
         1
       )
     )
   )
 ) + EQ73"),0.0)</f>
        <v>0</v>
      </c>
      <c r="FN73" s="206">
        <f t="shared" si="13"/>
        <v>0</v>
      </c>
      <c r="FO73" s="213"/>
    </row>
    <row r="74">
      <c r="B74" s="229"/>
      <c r="C74" s="217"/>
      <c r="D74" s="236"/>
      <c r="E74" s="238"/>
      <c r="F74" s="167"/>
      <c r="G74" s="168" t="str">
        <f t="shared" si="2"/>
        <v/>
      </c>
      <c r="H74" s="169"/>
      <c r="I74" s="169"/>
      <c r="J74" s="169"/>
      <c r="K74" s="170" t="b">
        <v>0</v>
      </c>
      <c r="L74" s="170" t="b">
        <v>0</v>
      </c>
      <c r="M74" s="170" t="b">
        <v>0</v>
      </c>
      <c r="N74" s="171" t="s">
        <v>1070</v>
      </c>
      <c r="O74" s="172" t="b">
        <v>0</v>
      </c>
      <c r="P74" s="173" t="b">
        <v>0</v>
      </c>
      <c r="Q74" s="173" t="b">
        <v>0</v>
      </c>
      <c r="R74" s="173" t="b">
        <v>0</v>
      </c>
      <c r="S74" s="174" t="b">
        <v>0</v>
      </c>
      <c r="T74" s="175" t="b">
        <v>0</v>
      </c>
      <c r="U74" s="173" t="b">
        <v>0</v>
      </c>
      <c r="V74" s="171" t="s">
        <v>1070</v>
      </c>
      <c r="W74" s="172" t="b">
        <v>0</v>
      </c>
      <c r="X74" s="173" t="b">
        <v>0</v>
      </c>
      <c r="Y74" s="173" t="b">
        <v>0</v>
      </c>
      <c r="Z74" s="173" t="b">
        <v>0</v>
      </c>
      <c r="AA74" s="174" t="b">
        <v>0</v>
      </c>
      <c r="AB74" s="174" t="b">
        <v>0</v>
      </c>
      <c r="AC74" s="175" t="b">
        <v>0</v>
      </c>
      <c r="AD74" s="173" t="b">
        <v>0</v>
      </c>
      <c r="AE74" s="176" t="s">
        <v>1070</v>
      </c>
      <c r="AF74" s="171" t="s">
        <v>1070</v>
      </c>
      <c r="AG74" s="177">
        <f>IFERROR(__xludf.DUMMYFUNCTION("IF(
  ISNUMBER(AG73),
  MIN(MAX(
    AG73
    + MAX(
      ROUNDDOWN(($D74 - MAX(IFERROR(FILTER($D$24:$D73, AG$24:AG73 &lt;&gt; AF$6, AG$23:AG72 = AF$6), 0))) * (60 * 60 * 24) / AF$9) - ROUNDDOWN(($D73 - MAX(IFERROR(FILTER($D$23:$D72, AG$23:AG72 &lt;&gt; AF$6, AG$22:"&amp;"AG71 = AF$6), 0))) * (60 * 60 * 24) / 60),
      0
    )
    - COUNTIF(AF74, ""&lt;&gt;-""),
  0), AF$6),
  AF$6 - COUNTIF(AF74, ""&lt;&gt;-"")
)"),2.0)</f>
        <v>2</v>
      </c>
      <c r="AH74" s="173" t="b">
        <v>0</v>
      </c>
      <c r="AI74" s="173" t="b">
        <v>0</v>
      </c>
      <c r="AJ74" s="173" t="b">
        <v>0</v>
      </c>
      <c r="AK74" s="174" t="b">
        <v>0</v>
      </c>
      <c r="AL74" s="175" t="b">
        <v>0</v>
      </c>
      <c r="AM74" s="173" t="b">
        <v>0</v>
      </c>
      <c r="AN74" s="171" t="s">
        <v>1070</v>
      </c>
      <c r="AO74" s="173" t="b">
        <v>0</v>
      </c>
      <c r="AP74" s="173" t="b">
        <v>0</v>
      </c>
      <c r="AQ74" s="173" t="b">
        <v>0</v>
      </c>
      <c r="AR74" s="174" t="b">
        <v>0</v>
      </c>
      <c r="AS74" s="178" t="b">
        <v>0</v>
      </c>
      <c r="AT74" s="179" t="b">
        <v>0</v>
      </c>
      <c r="AU74" s="180" t="b">
        <v>0</v>
      </c>
      <c r="AV74" s="180" t="b">
        <v>0</v>
      </c>
      <c r="AW74" s="180" t="b">
        <v>0</v>
      </c>
      <c r="AX74" s="180" t="b">
        <v>0</v>
      </c>
      <c r="AY74" s="181" t="s">
        <v>1070</v>
      </c>
      <c r="AZ74" s="181" t="s">
        <v>1070</v>
      </c>
      <c r="BA74" s="184">
        <f>IFERROR(__xludf.DUMMYFUNCTION("IF(
  ISNUMBER(BA73),
  MIN(MAX(
    BA73
    + MAX(
      ROUNDDOWN((D74 - MAX(IFERROR(FILTER(D$24:D73, BA$24:BA73 &lt;&gt; AZ$6, BA$23:BA72 = AZ$6), 0))) * (60 * 60 * 24) / AZ$9) - ROUNDDOWN((D73 - MAX(IFERROR(FILTER(D$23:D72, BA$23:BA72 &lt;&gt; AZ$6, BA$22:BA71 ="&amp;" AZ$6), 0))) * (60 * 60 * 24) / AZ$9),
      0
    )
    - COUNTIF(AZ74, ""&lt;&gt;-""),
  0), AZ$6),
  AZ$6 - COUNTIF(AZ74, ""&lt;&gt;-"")
)"),2.0)</f>
        <v>2</v>
      </c>
      <c r="BB74" s="181" t="s">
        <v>1070</v>
      </c>
      <c r="BC74" s="183">
        <f>IFERROR(__xludf.DUMMYFUNCTION("IF(
  ISNUMBER(BC73),
  MIN(MAX(
    BC73
    + MAX(
      ROUNDDOWN(($D74 - MAX(IFERROR(FILTER($D$24:$D73, BC$24:BC73 &lt;&gt; BB$6, BC$23:BC72 = BB$6), 0))) * (60 * 60 * 24) / BB$9) - ROUNDDOWN(($D73 - MAX(IFERROR(FILTER($D$23:$D72, BC$23:BC72 &lt;&gt; BB$6, BC$22:"&amp;"BC71 = BB$6), 0))) * (60 * 60 * 24) / 60),
      0
    )
    - COUNTIF(BB74, ""&lt;&gt;-""),
  0), BB$6),
  BB$6 - COUNTIF(BB74, ""&lt;&gt;-"")
)"),2.0)</f>
        <v>2</v>
      </c>
      <c r="BD74" s="181" t="s">
        <v>1070</v>
      </c>
      <c r="BE74" s="178" t="b">
        <v>0</v>
      </c>
      <c r="BF74" s="180" t="b">
        <v>0</v>
      </c>
      <c r="BG74" s="180" t="b">
        <v>0</v>
      </c>
      <c r="BH74" s="180" t="b">
        <v>0</v>
      </c>
      <c r="BI74" s="180" t="b">
        <v>0</v>
      </c>
      <c r="BJ74" s="180" t="b">
        <v>0</v>
      </c>
      <c r="BK74" s="180" t="b">
        <v>0</v>
      </c>
      <c r="BL74" s="180" t="b">
        <v>0</v>
      </c>
      <c r="BM74" s="180" t="b">
        <v>0</v>
      </c>
      <c r="BN74" s="180" t="b">
        <v>0</v>
      </c>
      <c r="BO74" s="181" t="s">
        <v>1070</v>
      </c>
      <c r="BP74" s="181" t="s">
        <v>1070</v>
      </c>
      <c r="BQ74" s="181" t="s">
        <v>1070</v>
      </c>
      <c r="BR74" s="181" t="s">
        <v>1070</v>
      </c>
      <c r="BS74" s="181" t="s">
        <v>1070</v>
      </c>
      <c r="BT74" s="184">
        <f>IFERROR(__xludf.DUMMYFUNCTION("IF(
  ISNUMBER(BT73),
  MIN(MAX(
    BT73
    + MAX(
      ROUNDDOWN((D74 - MAX(IFERROR(FILTER(D$24:D73, BT$24:BT73 &lt;&gt; BS$6, BT$23:BT72 = BS$6), 0))) * (60 * 60 * 24) / BS$9) - ROUNDDOWN((D73 - MAX(IFERROR(FILTER(D$23:D72, BT$23:BT72 &lt;&gt; BS$6, BT$22:BT71 ="&amp;" BS$6), 0))) * (60 * 60 * 24) / BS$9),
      0
    )
    - COUNTIF(BS74, ""&lt;&gt;-""),
  0), BS$6),
  BS$6 - COUNTIF(BS74, ""&lt;&gt;-"")
)"),3.0)</f>
        <v>3</v>
      </c>
      <c r="BU74" s="181" t="s">
        <v>1070</v>
      </c>
      <c r="BV74" s="181" t="s">
        <v>1070</v>
      </c>
      <c r="BW74" s="184">
        <f>IFERROR(__xludf.DUMMYFUNCTION("IF(
  ISNUMBER(BW73),
  MIN(MAX(
    BW73
    + MAX(
      ROUNDDOWN((D74 - MAX(IFERROR(FILTER(D$24:D73, BW$24:BW73 &lt;&gt; BV$6, BW$23:BW72 = BV$6), 0))) * (60 * 60 * 24) / BV$9) - ROUNDDOWN((D73 - MAX(IFERROR(FILTER(D$23:D72, BW$23:BW72 &lt;&gt; BV$6, BW$22:BW71 ="&amp;" BV$6), 0))) * (60 * 60 * 24) / BV$9),
      0
    )
    - COUNTIF(BV74, ""&lt;&gt;-""),
  0), BV$6),
  BV$6 - COUNTIF(BV74, ""&lt;&gt;-"")
)"),2.0)</f>
        <v>2</v>
      </c>
      <c r="BX74" s="185" t="s">
        <v>1070</v>
      </c>
      <c r="BY74" s="178" t="b">
        <v>0</v>
      </c>
      <c r="BZ74" s="180" t="b">
        <v>0</v>
      </c>
      <c r="CA74" s="180" t="b">
        <v>0</v>
      </c>
      <c r="CB74" s="180" t="b">
        <v>0</v>
      </c>
      <c r="CC74" s="180" t="b">
        <v>0</v>
      </c>
      <c r="CD74" s="180" t="b">
        <v>0</v>
      </c>
      <c r="CE74" s="180" t="b">
        <v>0</v>
      </c>
      <c r="CF74" s="180" t="b">
        <v>0</v>
      </c>
      <c r="CG74" s="180" t="b">
        <v>0</v>
      </c>
      <c r="CH74" s="180" t="b">
        <v>0</v>
      </c>
      <c r="CI74" s="180" t="b">
        <v>0</v>
      </c>
      <c r="CJ74" s="180" t="b">
        <v>0</v>
      </c>
      <c r="CK74" s="180" t="b">
        <v>0</v>
      </c>
      <c r="CL74" s="180" t="b">
        <v>0</v>
      </c>
      <c r="CM74" s="181" t="s">
        <v>1070</v>
      </c>
      <c r="CN74" s="181" t="s">
        <v>1070</v>
      </c>
      <c r="CO74" s="181" t="s">
        <v>1070</v>
      </c>
      <c r="CP74" s="181" t="s">
        <v>1070</v>
      </c>
      <c r="CQ74" s="185" t="s">
        <v>1070</v>
      </c>
      <c r="CR74" s="180" t="b">
        <v>0</v>
      </c>
      <c r="CS74" s="186" t="str">
        <f t="shared" si="14"/>
        <v>◇◇◇</v>
      </c>
      <c r="CT74" s="178" t="b">
        <v>0</v>
      </c>
      <c r="CU74" s="180" t="b">
        <v>0</v>
      </c>
      <c r="CV74" s="180" t="b">
        <v>0</v>
      </c>
      <c r="CW74" s="180" t="b">
        <v>0</v>
      </c>
      <c r="CX74" s="180" t="b">
        <v>0</v>
      </c>
      <c r="CY74" s="180" t="b">
        <v>0</v>
      </c>
      <c r="CZ74" s="180" t="b">
        <v>0</v>
      </c>
      <c r="DA74" s="180" t="b">
        <v>0</v>
      </c>
      <c r="DB74" s="180" t="b">
        <v>0</v>
      </c>
      <c r="DC74" s="180" t="b">
        <v>0</v>
      </c>
      <c r="DD74" s="181" t="s">
        <v>1070</v>
      </c>
      <c r="DE74" s="181" t="s">
        <v>1070</v>
      </c>
      <c r="DF74" s="181" t="s">
        <v>1070</v>
      </c>
      <c r="DG74" s="185" t="s">
        <v>1070</v>
      </c>
      <c r="DH74" s="180" t="b">
        <v>0</v>
      </c>
      <c r="DI74" s="187" t="str">
        <f>IFERROR(__xludf.DUMMYFUNCTION("SWITCH(
  IF(
    ISTEXT(DI73),
    IF (
      FIND(""○"", DI73&amp;""○"") &gt; 3,
      3,
      FIND(""○"", DI73&amp;""○"")
      + MAX(
        ROUNDDOWN(($D74 - MAX(IFERROR(FILTER(D$24:D73, DI$24:DI73 &lt;&gt; ""●●●"", DI$23:DI72 = ""●●●""), 0))) * (60 * 60 * 24) / 20"&amp;") - ROUNDDOWN(($D73 - MAX(IFERROR(FILTER(D$23:D72, DI$23:DI72 &lt;&gt; ""●●●"", DI$22:DI71 = ""●●●""), 0))) * (60 * 60 * 24) / 20),
        0
      ) - 1
    ) - COUNTIFS(CU74, ""=TRUE"", CU73, ""&lt;&gt;TRUE"") - COUNTIF(CZ74, ""=TRUE"") - COUNTIF({DD74,DE74}, ""&lt;&gt;-"&amp;""") + COUNTIF(DH74, ""=TRUE""),
    3
  ),
  0, ""○○○"", 1, ""●○○"", 2, ""●●○"", 3, ""●●●"", 4, ""●●●"", ""○○○""
)"),"●●●")</f>
        <v>●●●</v>
      </c>
      <c r="DJ74" s="188" t="b">
        <v>0</v>
      </c>
      <c r="DK74" s="189" t="b">
        <v>0</v>
      </c>
      <c r="DL74" s="190" t="b">
        <v>0</v>
      </c>
      <c r="DM74" s="190" t="b">
        <v>0</v>
      </c>
      <c r="DN74" s="190" t="b">
        <v>0</v>
      </c>
      <c r="DO74" s="190" t="b">
        <v>0</v>
      </c>
      <c r="DP74" s="190" t="b">
        <v>0</v>
      </c>
      <c r="DQ74" s="191" t="b">
        <v>0</v>
      </c>
      <c r="DR74" s="192" t="b">
        <v>0</v>
      </c>
      <c r="DS74" s="191" t="b">
        <v>0</v>
      </c>
      <c r="DT74" s="192" t="b">
        <v>0</v>
      </c>
      <c r="DU74" s="191" t="b">
        <v>0</v>
      </c>
      <c r="DV74" s="193" t="s">
        <v>1070</v>
      </c>
      <c r="DW74" s="194" t="b">
        <v>0</v>
      </c>
      <c r="DX74" s="194" t="b">
        <v>0</v>
      </c>
      <c r="DY74" s="195" t="b">
        <v>0</v>
      </c>
      <c r="DZ74" s="196" t="b">
        <v>0</v>
      </c>
      <c r="EA74" s="195" t="b">
        <v>0</v>
      </c>
      <c r="EB74" s="197" t="b">
        <v>0</v>
      </c>
      <c r="EC74" s="197" t="b">
        <v>0</v>
      </c>
      <c r="ED74" s="212" t="b">
        <v>0</v>
      </c>
      <c r="EE74" s="199">
        <f>IFERROR(__xludf.DUMMYFUNCTION("IFERROR(
   PRODUCT(
     MAP(
       INDEX(TRANSPOSE(UNIQUE(TRANSPOSE(FILTER({IF($F74=""Physical"", K$10:ED$10, IF($F74=""Magic"", K$11:ED$11, K$12:ED$12));K$4:ED$4;K74:ED74}, K74:ED74=TRUE)))), 1, 0),
       INDEX(TRANSPOSE(UNIQUE(TRANSPOSE(FILTER({IF($"&amp;"F74=""Physical"", K$18:ED$18, IF($F74=""Magic"", K$19:ED$19, K$20:ED$20));K$4:ED$4;K74:ED74}, K74:ED74=TRUE)))), 1, 0),
       INDEX(TRANSPOSE(UNIQUE(TRANSPOSE(FILTER({K$5:ED$5;K$4:ED$4;K74:ED74}, K74:ED74=TRUE)))), 1, 0),
       INDEX(TRANSPOSE(UNIQUE(TR"&amp;"ANSPOSE(FILTER({K$17:ED$17;K$4:ED$4;K74:ED74}, K74:ED74=TRUE)))), 1, 0),
       LAMBDA(
         mitigation,
         enhance,
         assign,
         precondition,
         IF(
           REGEXMATCH(assign, ""RANGE_PARTY|SINGLE_ENEMY|RANGE_ENEMY""),
  "&amp;"         IF(
             OR(ARRAYFORMULA((IF(precondition="""", FALSE, REGEXMATCH(K$4:ED$4, precondition))) * (K74:ED74=TRUE))),
             IF(ISNUMBER(enhance), enhance, 1),
             IF(ISNUMBER(mitigation), mitigation, 1)
           ),
          "&amp;" 1
         )
       )
     )
   ),
   1
 )"),1.0)</f>
        <v>1</v>
      </c>
      <c r="EF74" s="200">
        <f>IFERROR(__xludf.DUMMYFUNCTION("PRODUCT(
   MAP(
     K$14:ED$14,
     K$13:ED$13,
     K74:ED74,
     LAMBDA(
       buff,
       target,
       check,
       IF(
         AND(check=TRUE, REGEXMATCH(target, ""RANGE_AFFECTED_ALL|RANGE_EFFECTED_ALL""), ISNUMBER(buff)),
         buff,
   "&amp;"      1
       )
     )
   )
 )"),1.0)</f>
        <v>1</v>
      </c>
      <c r="EG74" s="200">
        <f>IFERROR(__xludf.DUMMYFUNCTION("PRODUCT(
   MAP(
     K$14:ED$14,
     K$13:ED$13,
     K74:ED74,
     LAMBDA(
       buff,
       target,
       check,
       IF(
         AND(check=TRUE, REGEXMATCH(target, ""RANGE_AFFECTED_GCD|RANGE_EFFECTED_GCD""), ISNUMBER(buff)),
         buff,
   "&amp;"      1
       )
     )
   )
 )"),1.0)</f>
        <v>1</v>
      </c>
      <c r="EH74" s="200">
        <f>IFERROR(__xludf.DUMMYFUNCTION("PRODUCT(
   MAP(
     K$3:ED$3,
     K$14:ED$14,
     K$13:ED$13,
     K74:ED74,
     LAMBDA(
       job,
       buff,
       target,
       check,
       IF(
         AND(check=TRUE, REGEXMATCH(target, ""SELF_EFFECTED_ALL""), ISNUMBER(buff), job=""白魔道士"""&amp;"),
         buff,
         1
       )
     )
   )
 )"),1.0)</f>
        <v>1</v>
      </c>
      <c r="EI74" s="200">
        <f>IFERROR(__xludf.DUMMYFUNCTION("PRODUCT(
   MAP(
     K$3:ED$3,
     K$14:ED$14,
     K$13:ED$13,
     K74:ED74,
     LAMBDA(
       job,
       buff,
       target,
       check,
       IF(
         AND(check=TRUE, REGEXMATCH(target, ""SELF_EFFECTED_GCD""), ISNUMBER(buff), job=""白魔道士"""&amp;"),
         buff,
         1
       )
     )
   )
 )"),1.0)</f>
        <v>1</v>
      </c>
      <c r="EJ74" s="200">
        <f>IFERROR(__xludf.DUMMYFUNCTION("PRODUCT(
   MAP(
     K$3:ED$3,
     K$14:ED$14,
     K$13:ED$13,
     K74:ED74,
     LAMBDA(
       job,
       buff,
       target,
       check,
       IF(
         AND(check=TRUE, REGEXMATCH(target, ""SELF_EFFECTED_ALL""), ISNUMBER(buff), job=""占星術師"""&amp;"),
         buff,
         1
       )
     )
   )
 )"),1.0)</f>
        <v>1</v>
      </c>
      <c r="EK74" s="200">
        <f>IFERROR(__xludf.DUMMYFUNCTION("PRODUCT(
   MAP(
     K$3:ED$3,
     K$14:ED$14,
     K$13:ED$13,
     K74:ED74,
     LAMBDA(
       job,
       buff,
       target,
       check,
       IF(
         AND(check=TRUE, REGEXMATCH(target, ""SELF_EFFECTED_GCD""), ISNUMBER(buff), job=""占星術師"""&amp;"),
         buff,
         1
       )
     )
   )
 )"),1.0)</f>
        <v>1</v>
      </c>
      <c r="EL74" s="200">
        <f>IFERROR(__xludf.DUMMYFUNCTION("PRODUCT(
   MAP(
     K$3:ED$3,
     K$14:ED$14,
     K$13:ED$13,
     K74:ED74,
     LAMBDA(
       job,
       buff,
       target,
       check,
       IF(
         AND(check=TRUE, REGEXMATCH(target, ""SELF_EFFECTED_ALL""), ISNUMBER(buff), job=""学者""),"&amp;"
         buff,
         1
       )
     )
   )
 )"),1.0)</f>
        <v>1</v>
      </c>
      <c r="EM74" s="200">
        <f>IFERROR(__xludf.DUMMYFUNCTION("PRODUCT(
   MAP(
     K$3:ED$3,
     K$14:ED$14,
     K$13:ED$13,
     K74:ED74,
     LAMBDA(
       job,
       buff,
       target,
       check,
       IF(
         AND(check=TRUE, REGEXMATCH(target, ""SELF_EFFECTED_GCD""), ISNUMBER(buff), job=""学者""),"&amp;"
         buff,
         1
       )
     )
   )
 )"),1.0)</f>
        <v>1</v>
      </c>
      <c r="EN74" s="200">
        <f>IFERROR(__xludf.DUMMYFUNCTION("PRODUCT(
   MAP(
     K$3:ED$3,
     K$14:ED$14,
     K$13:ED$13,
     K74:ED74,
     LAMBDA(
       job,
       buff,
       target,
       check,
       IF(
         AND(check=TRUE, REGEXMATCH(target, ""SELF_EFFECTED_ALL""), ISNUMBER(buff), job=""賢者""),"&amp;"
         buff,
         1
       )
     )
   )
 )"),1.0)</f>
        <v>1</v>
      </c>
      <c r="EO74" s="200">
        <f>IFERROR(__xludf.DUMMYFUNCTION("PRODUCT(
   MAP(
     K$3:ED$3,
     K$14:ED$14,
     K$13:ED$13,
     K74:ED74,
     LAMBDA(
       job,
       buff,
       target,
       check,
       IF(
         AND(check=TRUE, REGEXMATCH(target, ""SELF_EFFECTED_GCD""), ISNUMBER(buff), job=""賢者""),"&amp;"
         buff,
         1
       )
     )
   )
 )"),1.0)</f>
        <v>1</v>
      </c>
      <c r="EP74" s="201">
        <f t="shared" si="3"/>
        <v>0</v>
      </c>
      <c r="EQ74" s="201">
        <f>IFERROR(__xludf.DUMMYFUNCTION("SUM(
   MAP(
     K$4:ED$4,
     K$3:ED$3,
     K$7:ED$7,
     K$15:ED$15,
     K$16:ED$16,
     K$21:ED$21,
     K$5:ED$5,
     K$17:ED$17,
     K74:ED74,
     LAMBDA(
       name,
       job,
       abillity,
       buff,
       barrier,
       enhance,"&amp;"
       assign,
       precondition,
       check,
       SWITCH(
         name,
         ""シェイクオフ"", IF(check=TRUE, buff + (0.02 * COUNTIF(ARRAYFORMULA((REGEXMATCH($K$4:$ED$4, ""スリル・オブ・バトル|ヴェンジェンス|原初の血気|ダムネーション"")) * (K74:ED74=TRUE)), 1)), 0),
         "&amp;"""インプロビゼーションフィニッシュ(踊りの激情0)"", IF(ISNUMBER(check), INDEX(Skill!$AJ:$AJ, MATCH(SUBSTITUTE(DV$4, 0, check), Skill!$C:$C, 0)), 0),
         IF(
           AND(check=TRUE, REGEXMATCH(assign, ""RANGE_PARTY"")),
           IF(
             OR(ARRAYFORMULA((IF(pr"&amp;"econdition="""", FALSE, REGEXMATCH($K$4:$ED$4, precondition))) * (K74:ED74=TRUE))),
             enhance,
             IF(barrier="""", buff, barrier)
           ),
           0
         )
       ) *
       SWITCH(
         job,
         ""ナイト"", EY$24,
 "&amp;"        ""戦士"", FD$24,
         ""踊り子"", ET$24,
         ""ピクトマンサー"", ET$24,
         ""白魔道士"", EF74 * EH74 * IF(abillity, 1, EG74 * EI74) * (Option!$D$22 * 0.81 / 100),
         ""占星術師"", EF74 * EJ74 * IF(abillity, 1, EG74 * EK74) * (Option!$D$23 * 0.81 "&amp;"/ 100),
         ""学者"", EF74 * EL74 * IF(abillity, 1, EG74 * EM74) * (Option!$D$24 * 0.81 / 100),
         ""賢者"", EF74 * EN74 * IF(abillity, 1, EG74 * EO74) * (Option!$D$25 * 0.81 / 100),
         1
       )
     )
   )
 )"),0.0)</f>
        <v>0</v>
      </c>
      <c r="ER74" s="202">
        <f t="shared" si="4"/>
        <v>0</v>
      </c>
      <c r="ES74" s="203">
        <f t="shared" si="5"/>
        <v>0</v>
      </c>
      <c r="ET74" s="231" t="str">
        <f>IFERROR(__xludf.DUMMYFUNCTION("IFS(
  EP74 &gt; $ET$24 + EQ74,
  SPARKLINE({ 1, 0 }, {""charttype"",""bar"";""max"", 1;""color1"",Option!$D$30;""color2"",Option!$D$30}),
  EP74 &lt; EQ74,
  SPARKLINE({EQ74 - EP74, $ET$24 - (EQ74 - EP74)}, {""charttype"",""bar"";""max"",$ET$24;""color1"",Opti"&amp;"on!$D$28;""color2"",Option!$D$29}),
  EP74 &gt;= EQ74,
  SPARKLINE({$ET$24 + EQ74 - EP74,EP74 - EQ74}, {""charttype"",""bar"";""max"",$ET$24;""color1"",Option!$D$29;""color2"",Option!$D$30})
)"),"")</f>
        <v/>
      </c>
      <c r="EU74" s="205">
        <f>IFERROR(__xludf.DUMMYFUNCTION("PRODUCT(
   MAP(
     IF($F74=""Physical"", K$10:ED$10, IF($F74=""Magic"", K$11:ED$11, K$12:ED$12)),
     IF($F74=""Physical"", K$18:ED$18, IF($F74=""Magic"", K$19:ED$19, K$20:ED$20)),
     K$3:ED$3,
     K$5:ED$5,
     K$17:ED$17,
     K74:ED74,
     LAM"&amp;"BDA(
       mitigation,
       enhance,
       job,
       assign,
       precondition,
       check,
       IF(
         OR(AND(check=TRUE, REGEXMATCH(assign, ""SELF""), job=""ナイト""), AND(check=Option!$E$13, REGEXMATCH(assign, ""SINGLE_PARTY""))),
      "&amp;"   IF(
           OR(ARRAYFORMULA((IF(precondition="""", FALSE, REGEXMATCH($K$4:$ED$4, precondition))) * (K74:ED74=TRUE))),
           enhance,
           mitigation
         ),
         1
       )
     )
   )
 ) * EE74"),1.0)</f>
        <v>1</v>
      </c>
      <c r="EV74" s="206">
        <f t="shared" si="6"/>
        <v>0</v>
      </c>
      <c r="EW74" s="205">
        <f>IFERROR(__xludf.DUMMYFUNCTION("PRODUCT(
   MAP(
     K$3:ED$3,
     K$14:ED$14,
     K$13:ED$13,
     K74:ED74,
     LAMBDA(
       job,
       buff,
       target,
       check,
       IF(
         OR(AND(check=TRUE, REGEXMATCH(target, ""SELF_AFFECTED_ALL""), job=""ナイト""), AND(check=O"&amp;"ption!$E$13, REGEXMATCH(target, ""SINGLE_AFFECTED_ALL""))),
         buff,
         1
       )
     )
   )
 )"),1.0)</f>
        <v>1</v>
      </c>
      <c r="EX74" s="206">
        <f>IFERROR(__xludf.DUMMYFUNCTION("SUM(
   MAP(
     K$3:ED$3,
     K$7:ED$7,
     K$15:ED$15,
     K$16:ED$16,
     K$21:ED$21,
     K$5:ED$5,
     K$17:ED$17,
     K74:ED74,
     LAMBDA(
       job,
       abillity,
       buff,
       barrier,
       enhance,
       assign,
       preco"&amp;"ndition,
       check,
       IF(
         OR(AND(check=TRUE, REGEXMATCH(assign, ""SELF""), job=""ナイト""), AND(check=Option!$E$13, REGEXMATCH(assign, ""SINGLE_PARTY""))),
         IF(
           OR(ARRAYFORMULA((IF(precondition="""", FALSE, REGEXMATCH($K$4"&amp;":$ED$4, precondition))) * (K74:ED74=TRUE))),
           enhance,
           IF(barrier="""", buff, barrier)
         ),
         0
       ) *
       SWITCH(
         job,
         ""暗黒騎士"", EY$24,
         ""白魔道士"", EF74 * EH74 * EW74 * IF(abillity, 1, EG"&amp;"74 * EI74) * (Option!$D$22 * 0.81 / 100),
         ""占星術師"", EF74 * EJ74 * EW74 * IF(abillity, 1, EG74 * EK74) * (Option!$D$23 * 0.81 / 100),
         ""学者"", EF74 * EL74 * EW74 * IF(abillity, 1, EG74 * EM74) * (Option!$D$24 * 0.81 / 100),
         ""賢者"""&amp;", EF74 * EN74 * EW74 * IF(abillity, 1, EG74 * EO74) * (Option!$D$25 * 0.81 / 100),
         1
       )
     )
   )
 ) + EQ74"),0.0)</f>
        <v>0</v>
      </c>
      <c r="EY74" s="232">
        <f t="shared" si="7"/>
        <v>0</v>
      </c>
      <c r="EZ74" s="205">
        <f>IFERROR(__xludf.DUMMYFUNCTION("PRODUCT(
   MAP(
     IF($F74=""Physical"", K$10:ED$10, IF($F74=""Magic"", K$11:ED$11, K$12:ED$12)),
     IF($F74=""Physical"", K$18:ED$18, IF($F74=""Magic"", K$19:ED$19, K$20:ED$20)),
     K$3:ED$3,
     K$5:ED$5,
     K$17:ED$17,
     K74:ED74,
     LAM"&amp;"BDA(
       mitigation,
       enhance,
       job,
       assign,
       precondition,
       check,
       IF(
         OR(AND(check=TRUE, REGEXMATCH(assign, ""SELF""), job=""戦士""), AND(check=Option!$F$13, REGEXMATCH(assign, ""SINGLE_PARTY""))),
       "&amp;"  IF(
           OR(ARRAYFORMULA((IF(precondition="""", FALSE, REGEXMATCH($K$4:$ED$4, precondition))) * (K74:ED74=TRUE))),
           enhance,
           mitigation
         ),
         1
       )
     )
   )
 ) * EE74"),1.0)</f>
        <v>1</v>
      </c>
      <c r="FA74" s="206">
        <f t="shared" si="8"/>
        <v>0</v>
      </c>
      <c r="FB74" s="205">
        <f>IFERROR(__xludf.DUMMYFUNCTION("PRODUCT(
   MAP(
     K$3:ED$3,
     K$14:ED$14,
     K$13:ED$13,
     K74:ED74,
     LAMBDA(
       job,
       buff,
       target,
       check,
       IF(
         OR(AND(check=TRUE, REGEXMATCH(target, ""SELF_AFFECTED_ALL""), job=""戦士""), AND(check=Op"&amp;"tion!$F$13, REGEXMATCH(target, ""SINGLE_AFFECTED_ALL""))),
         buff,
         1
       )
     )
   )
 )"),1.0)</f>
        <v>1</v>
      </c>
      <c r="FC74" s="206">
        <f>IFERROR(__xludf.DUMMYFUNCTION("SUM(
   MAP(
     K$3:ED$3,
     K$7:ED$7,
     K$15:ED$15,
     K$16:ED$16,
     K$21:ED$21,
     K$5:ED$5,
     K$17:ED$17,
     K74:ED74,
     LAMBDA(
       job,
       abillity,
       buff,
       barrier,
       enhance,
       assign,
       preco"&amp;"ndition,
       check,
       IF(
         OR(AND(check=TRUE, REGEXMATCH(assign, ""SELF""), job=""戦士""), AND(check=Option!$F$13, REGEXMATCH(assign, ""SINGLE_PARTY""))),
         IF(
           OR(ARRAYFORMULA((IF(precondition="""", FALSE, REGEXMATCH($K$4:"&amp;"$ED$4, precondition))) * (K74:ED74=TRUE))),
           enhance,
           IF(barrier="""", buff, barrier)
         ),
         0
       ) *
       SWITCH(
         job,
         ""暗黒騎士"", FD$24,
         ""白魔道士"", EF74 * EH74 * FB74 * IF(abillity, 1, EG7"&amp;"4 * EI74) * (Option!$D$22 * 0.81 / 100),
         ""占星術師"", EF74 * EJ74 * FFB74 * IF(abillity, 1, EG74 * EK74) * (Option!$D$23 * 0.81 / 100),
         ""学者"", EF74 * EL74 * FB74 * IF(abillity, 1, EG74 * EM74) * (Option!$D$24 * 0.81 / 100),
         ""賢者"""&amp;", EF74 * EN74 * FB74 * IF(abillity, 1, EG74 * EO74) * (Option!$D$25 * 0.81 / 100),
         1
       )
     )
   )
 ) + EQ74"),0.0)</f>
        <v>0</v>
      </c>
      <c r="FD74" s="206">
        <f t="shared" si="9"/>
        <v>0</v>
      </c>
      <c r="FE74" s="205">
        <f>IFERROR(__xludf.DUMMYFUNCTION("PRODUCT(
   MAP(
     IF($F74=""Physical"", K$10:ED$10, IF($F74=""Magic"", K$11:ED$11, K$12:ED$12)),
     IF($F74=""Physical"", K$18:ED$18, IF($F74=""Magic"", K$19:ED$19, K$20:ED$20)),
     K$3:ED$3,
     K$5:ED$5,
     K$17:ED$17,
     K74:ED74,
     LAM"&amp;"BDA(
       mitigation,
       enhance,
       job,
       assign,
       precondition,
       check,
       IF(
         OR(AND(check=TRUE, REGEXMATCH(assign, ""SELF""), job=""暗黒騎士""), AND(check=Option!$G$13, REGEXMATCH(assign, ""SINGLE_PARTY""))),
     "&amp;"    IF(
           OR(ARRAYFORMULA((IF(precondition="""", FALSE, REGEXMATCH($K$4:$ED$4, precondition))) * (K74:ED74=TRUE))),
           enhance,
           mitigation
         ),
         1
       )
     )
   )
 ) * EE74"),1.0)</f>
        <v>1</v>
      </c>
      <c r="FF74" s="206">
        <f t="shared" si="10"/>
        <v>0</v>
      </c>
      <c r="FG74" s="205">
        <f>IFERROR(__xludf.DUMMYFUNCTION("PRODUCT(
   MAP(
     K$3:ED$3,
     K$14:ED$14,
     K$13:ED$13,
     K74:ED74,
     LAMBDA(
       job,
       buff,
       target,
       check,
       IF(
         OR(AND(check=TRUE, REGEXMATCH(target, ""SELF_AFFECTED_ALL""), job=""暗黒騎士""), AND(check="&amp;"Option!$G$13, REGEXMATCH(target, ""SINGLE_AFFECTED_ALL""))),
         buff,
         1
       )
     )
   )
 )"),1.0)</f>
        <v>1</v>
      </c>
      <c r="FH74" s="206">
        <f>IFERROR(__xludf.DUMMYFUNCTION("SUM(
   MAP(
     K$3:ED$3,
     K$7:ED$7,
     K$15:ED$15,
     K$16:ED$16,
     K$21:ED$21,
     K$5:ED$5,
     K$17:ED$17,
     K74:ED74,
     LAMBDA(
       job,
       abillity,
       buff,
       barrier,
       enhance,
       assign,
       preco"&amp;"ndition,
       check,
       IF(
         OR(AND(check=TRUE, REGEXMATCH(assign, ""SELF""), job=""暗黒騎士""), AND(check=Option!$G$13, REGEXMATCH(assign, ""SINGLE_PARTY""))),
         IF(
           OR(ARRAYFORMULA((IF(precondition="""", FALSE, REGEXMATCH($K$"&amp;"4:$ED$4, precondition))) * (K74:ED74=TRUE))),
           enhance,
           IF(barrier="""", buff, barrier)
         ),
         0
       ) *
       SWITCH(
         job,
         ""暗黒騎士"", FI$24,
         ""白魔道士"", EF74 * EH74 * FG74 * IF(abillity, 1, E"&amp;"G74 * EI74) * (Option!$D$22 * 0.81 / 100),
         ""占星術師"", EF74 * EJ74 * FG74 * IF(abillity, 1, EG74 * EK74) * (Option!$D$23 * 0.81 / 100),
         ""学者"", EF74 * EL74 * FG74 * IF(abillity, 1, EG74 * EM74) * (Option!$D$24 * 0.81 / 100),
         ""賢者"&amp;""", EF74 * EN74 * FG74 * IF(abillity, 1, EG74 * EO74) * (Option!$D$25 * 0.81 / 100),
         1
       )
     )
   )
 ) + EQ74"),0.0)</f>
        <v>0</v>
      </c>
      <c r="FI74" s="206">
        <f t="shared" si="11"/>
        <v>0</v>
      </c>
      <c r="FJ74" s="205">
        <f>IFERROR(__xludf.DUMMYFUNCTION("PRODUCT(
   MAP(
     IF($F74=""Physical"", K$10:ED$10, IF($F74=""Magic"", K$11:ED$11, K$12:ED$12)),
     IF($F74=""Physical"", K$18:ED$18, IF($F74=""Magic"", K$19:ED$19, K$20:ED$20)),
     K$3:ED$3,
     K$5:ED$5,
     K$17:ED$17,
     K74:ED74,
     LAM"&amp;"BDA(
       mitigation,
       enhance,
       job,
       assign,
       precondition,
       check,
       IF(
         OR(AND(check=TRUE, REGEXMATCH(assign, ""SELF""), job=""ガンブレイカー""), AND(check=Option!$H$13, REGEXMATCH(assign, ""SINGLE_PARTY""))),
  "&amp;"       IF(
           OR(ARRAYFORMULA((IF(precondition="""", FALSE, REGEXMATCH($K$4:$ED$4, precondition))) * (K74:ED74=TRUE))),
           enhance,
           mitigation
         ),
         1
       )
     )
   )
 ) * EE74"),1.0)</f>
        <v>1</v>
      </c>
      <c r="FK74" s="206">
        <f t="shared" si="12"/>
        <v>0</v>
      </c>
      <c r="FL74" s="205">
        <f>IFERROR(__xludf.DUMMYFUNCTION("PRODUCT(
   MAP(
     K$3:ED$3,
     K$14:ED$14,
     K$13:ED$13,
     K74:ED74,
     LAMBDA(
       job,
       buff,
       target,
       check,
       IF(
         OR(AND(check=TRUE, REGEXMATCH(target, ""SELF_AFFECTED_ALL""), job=""ガンブレイカー""), AND(che"&amp;"ck=Option!$H$13, REGEXMATCH(target, ""SINGLE_AFFECTED_ALL""))),
         buff,
         1
       )
     )
   )
 )"),1.0)</f>
        <v>1</v>
      </c>
      <c r="FM74" s="206">
        <f>IFERROR(__xludf.DUMMYFUNCTION("SUM(
   MAP(
     K$3:ED$3,
     K$7:ED$7,
     K$15:ED$15,
     K$16:ED$16,
     K$21:ED$21,
     K$5:ED$5,
     K$17:ED$17,
     K74:ED74,
     LAMBDA(
       job,
       abillity,
       buff,
       barrier,
       enhance,
       assign,
       preco"&amp;"ndition,
       check,
       IF(
         OR(AND(check=TRUE, REGEXMATCH(assign, ""SELF""), job=""ガンブレイカー""), AND(check=Option!$H$13, REGEXMATCH(assign, ""SINGLE_PARTY""))),
         IF(
           OR(ARRAYFORMULA((IF(precondition="""", FALSE, REGEXMATCH("&amp;"$K$4:$ED$4, precondition))) * (K74:ED74=TRUE))),
           enhance,
           IF(barrier="""", buff, barrier)
         ),
         0
       ) *
       SWITCH(
         job,
         ""暗黒騎士"", FN$24,
         ""白魔道士"", EF74 * EH74 * FL74 * IF(abillity, 1"&amp;", EG74 * EI74) * (Option!$D$22 * 0.81 / 100),
         ""占星術師"", EF74 * EJ74 * FL74 * IF(abillity, 1, EG74 * EK74) * (Option!$D$23 * 0.81 / 100),
         ""学者"", EF74 * EL74 * FL74 * IF(abillity, 1, EG74 * EM74) * (Option!$D$24 * 0.81 / 100),
         """&amp;"賢者"", EF74 * EN74 * FL74 * IF(abillity, 1, EG74 * EO74) * (Option!$D$25 * 0.81 / 100),
         1
       )
     )
   )
 ) + EQ74"),0.0)</f>
        <v>0</v>
      </c>
      <c r="FN74" s="206">
        <f t="shared" si="13"/>
        <v>0</v>
      </c>
      <c r="FO74" s="213"/>
    </row>
    <row r="75">
      <c r="B75" s="229"/>
      <c r="C75" s="217"/>
      <c r="D75" s="236"/>
      <c r="E75" s="238"/>
      <c r="F75" s="167"/>
      <c r="G75" s="168" t="str">
        <f t="shared" si="2"/>
        <v/>
      </c>
      <c r="H75" s="169"/>
      <c r="I75" s="169"/>
      <c r="J75" s="169"/>
      <c r="K75" s="170" t="b">
        <v>0</v>
      </c>
      <c r="L75" s="170" t="b">
        <v>0</v>
      </c>
      <c r="M75" s="170" t="b">
        <v>0</v>
      </c>
      <c r="N75" s="171" t="s">
        <v>1070</v>
      </c>
      <c r="O75" s="172" t="b">
        <v>0</v>
      </c>
      <c r="P75" s="173" t="b">
        <v>0</v>
      </c>
      <c r="Q75" s="173" t="b">
        <v>0</v>
      </c>
      <c r="R75" s="173" t="b">
        <v>0</v>
      </c>
      <c r="S75" s="174" t="b">
        <v>0</v>
      </c>
      <c r="T75" s="175" t="b">
        <v>0</v>
      </c>
      <c r="U75" s="173" t="b">
        <v>0</v>
      </c>
      <c r="V75" s="171" t="s">
        <v>1070</v>
      </c>
      <c r="W75" s="172" t="b">
        <v>0</v>
      </c>
      <c r="X75" s="173" t="b">
        <v>0</v>
      </c>
      <c r="Y75" s="173" t="b">
        <v>0</v>
      </c>
      <c r="Z75" s="173" t="b">
        <v>0</v>
      </c>
      <c r="AA75" s="174" t="b">
        <v>0</v>
      </c>
      <c r="AB75" s="174" t="b">
        <v>0</v>
      </c>
      <c r="AC75" s="175" t="b">
        <v>0</v>
      </c>
      <c r="AD75" s="173" t="b">
        <v>0</v>
      </c>
      <c r="AE75" s="176" t="s">
        <v>1070</v>
      </c>
      <c r="AF75" s="171" t="s">
        <v>1070</v>
      </c>
      <c r="AG75" s="177">
        <f>IFERROR(__xludf.DUMMYFUNCTION("IF(
  ISNUMBER(AG74),
  MIN(MAX(
    AG74
    + MAX(
      ROUNDDOWN(($D75 - MAX(IFERROR(FILTER($D$24:$D74, AG$24:AG74 &lt;&gt; AF$6, AG$23:AG73 = AF$6), 0))) * (60 * 60 * 24) / AF$9) - ROUNDDOWN(($D74 - MAX(IFERROR(FILTER($D$23:$D73, AG$23:AG73 &lt;&gt; AF$6, AG$22:"&amp;"AG72 = AF$6), 0))) * (60 * 60 * 24) / 60),
      0
    )
    - COUNTIF(AF75, ""&lt;&gt;-""),
  0), AF$6),
  AF$6 - COUNTIF(AF75, ""&lt;&gt;-"")
)"),2.0)</f>
        <v>2</v>
      </c>
      <c r="AH75" s="173" t="b">
        <v>0</v>
      </c>
      <c r="AI75" s="173" t="b">
        <v>0</v>
      </c>
      <c r="AJ75" s="173" t="b">
        <v>0</v>
      </c>
      <c r="AK75" s="174" t="b">
        <v>0</v>
      </c>
      <c r="AL75" s="175" t="b">
        <v>0</v>
      </c>
      <c r="AM75" s="173" t="b">
        <v>0</v>
      </c>
      <c r="AN75" s="171" t="s">
        <v>1070</v>
      </c>
      <c r="AO75" s="173" t="b">
        <v>0</v>
      </c>
      <c r="AP75" s="173" t="b">
        <v>0</v>
      </c>
      <c r="AQ75" s="173" t="b">
        <v>0</v>
      </c>
      <c r="AR75" s="174" t="b">
        <v>0</v>
      </c>
      <c r="AS75" s="178" t="b">
        <v>0</v>
      </c>
      <c r="AT75" s="179" t="b">
        <v>0</v>
      </c>
      <c r="AU75" s="180" t="b">
        <v>0</v>
      </c>
      <c r="AV75" s="180" t="b">
        <v>0</v>
      </c>
      <c r="AW75" s="180" t="b">
        <v>0</v>
      </c>
      <c r="AX75" s="180" t="b">
        <v>0</v>
      </c>
      <c r="AY75" s="181" t="s">
        <v>1070</v>
      </c>
      <c r="AZ75" s="181" t="s">
        <v>1070</v>
      </c>
      <c r="BA75" s="184">
        <f>IFERROR(__xludf.DUMMYFUNCTION("IF(
  ISNUMBER(BA74),
  MIN(MAX(
    BA74
    + MAX(
      ROUNDDOWN((D75 - MAX(IFERROR(FILTER(D$24:D74, BA$24:BA74 &lt;&gt; AZ$6, BA$23:BA73 = AZ$6), 0))) * (60 * 60 * 24) / AZ$9) - ROUNDDOWN((D74 - MAX(IFERROR(FILTER(D$23:D73, BA$23:BA73 &lt;&gt; AZ$6, BA$22:BA72 ="&amp;" AZ$6), 0))) * (60 * 60 * 24) / AZ$9),
      0
    )
    - COUNTIF(AZ75, ""&lt;&gt;-""),
  0), AZ$6),
  AZ$6 - COUNTIF(AZ75, ""&lt;&gt;-"")
)"),2.0)</f>
        <v>2</v>
      </c>
      <c r="BB75" s="181" t="s">
        <v>1070</v>
      </c>
      <c r="BC75" s="183">
        <f>IFERROR(__xludf.DUMMYFUNCTION("IF(
  ISNUMBER(BC74),
  MIN(MAX(
    BC74
    + MAX(
      ROUNDDOWN(($D75 - MAX(IFERROR(FILTER($D$24:$D74, BC$24:BC74 &lt;&gt; BB$6, BC$23:BC73 = BB$6), 0))) * (60 * 60 * 24) / BB$9) - ROUNDDOWN(($D74 - MAX(IFERROR(FILTER($D$23:$D73, BC$23:BC73 &lt;&gt; BB$6, BC$22:"&amp;"BC72 = BB$6), 0))) * (60 * 60 * 24) / 60),
      0
    )
    - COUNTIF(BB75, ""&lt;&gt;-""),
  0), BB$6),
  BB$6 - COUNTIF(BB75, ""&lt;&gt;-"")
)"),2.0)</f>
        <v>2</v>
      </c>
      <c r="BD75" s="181" t="s">
        <v>1070</v>
      </c>
      <c r="BE75" s="178" t="b">
        <v>0</v>
      </c>
      <c r="BF75" s="180" t="b">
        <v>0</v>
      </c>
      <c r="BG75" s="180" t="b">
        <v>0</v>
      </c>
      <c r="BH75" s="180" t="b">
        <v>0</v>
      </c>
      <c r="BI75" s="180" t="b">
        <v>0</v>
      </c>
      <c r="BJ75" s="180" t="b">
        <v>0</v>
      </c>
      <c r="BK75" s="180" t="b">
        <v>0</v>
      </c>
      <c r="BL75" s="180" t="b">
        <v>0</v>
      </c>
      <c r="BM75" s="180" t="b">
        <v>0</v>
      </c>
      <c r="BN75" s="180" t="b">
        <v>0</v>
      </c>
      <c r="BO75" s="181" t="s">
        <v>1070</v>
      </c>
      <c r="BP75" s="181" t="s">
        <v>1070</v>
      </c>
      <c r="BQ75" s="181" t="s">
        <v>1070</v>
      </c>
      <c r="BR75" s="181" t="s">
        <v>1070</v>
      </c>
      <c r="BS75" s="181" t="s">
        <v>1070</v>
      </c>
      <c r="BT75" s="184">
        <f>IFERROR(__xludf.DUMMYFUNCTION("IF(
  ISNUMBER(BT74),
  MIN(MAX(
    BT74
    + MAX(
      ROUNDDOWN((D75 - MAX(IFERROR(FILTER(D$24:D74, BT$24:BT74 &lt;&gt; BS$6, BT$23:BT73 = BS$6), 0))) * (60 * 60 * 24) / BS$9) - ROUNDDOWN((D74 - MAX(IFERROR(FILTER(D$23:D73, BT$23:BT73 &lt;&gt; BS$6, BT$22:BT72 ="&amp;" BS$6), 0))) * (60 * 60 * 24) / BS$9),
      0
    )
    - COUNTIF(BS75, ""&lt;&gt;-""),
  0), BS$6),
  BS$6 - COUNTIF(BS75, ""&lt;&gt;-"")
)"),3.0)</f>
        <v>3</v>
      </c>
      <c r="BU75" s="181" t="s">
        <v>1070</v>
      </c>
      <c r="BV75" s="181" t="s">
        <v>1070</v>
      </c>
      <c r="BW75" s="184">
        <f>IFERROR(__xludf.DUMMYFUNCTION("IF(
  ISNUMBER(BW74),
  MIN(MAX(
    BW74
    + MAX(
      ROUNDDOWN((D75 - MAX(IFERROR(FILTER(D$24:D74, BW$24:BW74 &lt;&gt; BV$6, BW$23:BW73 = BV$6), 0))) * (60 * 60 * 24) / BV$9) - ROUNDDOWN((D74 - MAX(IFERROR(FILTER(D$23:D73, BW$23:BW73 &lt;&gt; BV$6, BW$22:BW72 ="&amp;" BV$6), 0))) * (60 * 60 * 24) / BV$9),
      0
    )
    - COUNTIF(BV75, ""&lt;&gt;-""),
  0), BV$6),
  BV$6 - COUNTIF(BV75, ""&lt;&gt;-"")
)"),2.0)</f>
        <v>2</v>
      </c>
      <c r="BX75" s="185" t="s">
        <v>1070</v>
      </c>
      <c r="BY75" s="178" t="b">
        <v>0</v>
      </c>
      <c r="BZ75" s="180" t="b">
        <v>0</v>
      </c>
      <c r="CA75" s="180" t="b">
        <v>0</v>
      </c>
      <c r="CB75" s="180" t="b">
        <v>0</v>
      </c>
      <c r="CC75" s="180" t="b">
        <v>0</v>
      </c>
      <c r="CD75" s="180" t="b">
        <v>0</v>
      </c>
      <c r="CE75" s="180" t="b">
        <v>0</v>
      </c>
      <c r="CF75" s="180" t="b">
        <v>0</v>
      </c>
      <c r="CG75" s="180" t="b">
        <v>0</v>
      </c>
      <c r="CH75" s="180" t="b">
        <v>0</v>
      </c>
      <c r="CI75" s="180" t="b">
        <v>0</v>
      </c>
      <c r="CJ75" s="180" t="b">
        <v>0</v>
      </c>
      <c r="CK75" s="180" t="b">
        <v>0</v>
      </c>
      <c r="CL75" s="180" t="b">
        <v>0</v>
      </c>
      <c r="CM75" s="181" t="s">
        <v>1070</v>
      </c>
      <c r="CN75" s="181" t="s">
        <v>1070</v>
      </c>
      <c r="CO75" s="181" t="s">
        <v>1070</v>
      </c>
      <c r="CP75" s="181" t="s">
        <v>1070</v>
      </c>
      <c r="CQ75" s="185" t="s">
        <v>1070</v>
      </c>
      <c r="CR75" s="180" t="b">
        <v>0</v>
      </c>
      <c r="CS75" s="186" t="str">
        <f t="shared" si="14"/>
        <v>◇◇◇</v>
      </c>
      <c r="CT75" s="178" t="b">
        <v>0</v>
      </c>
      <c r="CU75" s="180" t="b">
        <v>0</v>
      </c>
      <c r="CV75" s="180" t="b">
        <v>0</v>
      </c>
      <c r="CW75" s="180" t="b">
        <v>0</v>
      </c>
      <c r="CX75" s="180" t="b">
        <v>0</v>
      </c>
      <c r="CY75" s="180" t="b">
        <v>0</v>
      </c>
      <c r="CZ75" s="180" t="b">
        <v>0</v>
      </c>
      <c r="DA75" s="180" t="b">
        <v>0</v>
      </c>
      <c r="DB75" s="180" t="b">
        <v>0</v>
      </c>
      <c r="DC75" s="180" t="b">
        <v>0</v>
      </c>
      <c r="DD75" s="181" t="s">
        <v>1070</v>
      </c>
      <c r="DE75" s="181" t="s">
        <v>1070</v>
      </c>
      <c r="DF75" s="181" t="s">
        <v>1070</v>
      </c>
      <c r="DG75" s="185" t="s">
        <v>1070</v>
      </c>
      <c r="DH75" s="180" t="b">
        <v>0</v>
      </c>
      <c r="DI75" s="187" t="str">
        <f>IFERROR(__xludf.DUMMYFUNCTION("SWITCH(
  IF(
    ISTEXT(DI74),
    IF (
      FIND(""○"", DI74&amp;""○"") &gt; 3,
      3,
      FIND(""○"", DI74&amp;""○"")
      + MAX(
        ROUNDDOWN(($D75 - MAX(IFERROR(FILTER(D$24:D74, DI$24:DI74 &lt;&gt; ""●●●"", DI$23:DI73 = ""●●●""), 0))) * (60 * 60 * 24) / 20"&amp;") - ROUNDDOWN(($D74 - MAX(IFERROR(FILTER(D$23:D73, DI$23:DI73 &lt;&gt; ""●●●"", DI$22:DI72 = ""●●●""), 0))) * (60 * 60 * 24) / 20),
        0
      ) - 1
    ) - COUNTIFS(CU75, ""=TRUE"", CU74, ""&lt;&gt;TRUE"") - COUNTIF(CZ75, ""=TRUE"") - COUNTIF({DD75,DE75}, ""&lt;&gt;-"&amp;""") + COUNTIF(DH75, ""=TRUE""),
    3
  ),
  0, ""○○○"", 1, ""●○○"", 2, ""●●○"", 3, ""●●●"", 4, ""●●●"", ""○○○""
)"),"●●●")</f>
        <v>●●●</v>
      </c>
      <c r="DJ75" s="188" t="b">
        <v>0</v>
      </c>
      <c r="DK75" s="189" t="b">
        <v>0</v>
      </c>
      <c r="DL75" s="190" t="b">
        <v>0</v>
      </c>
      <c r="DM75" s="190" t="b">
        <v>0</v>
      </c>
      <c r="DN75" s="190" t="b">
        <v>0</v>
      </c>
      <c r="DO75" s="190" t="b">
        <v>0</v>
      </c>
      <c r="DP75" s="190" t="b">
        <v>0</v>
      </c>
      <c r="DQ75" s="191" t="b">
        <v>0</v>
      </c>
      <c r="DR75" s="192" t="b">
        <v>0</v>
      </c>
      <c r="DS75" s="191" t="b">
        <v>0</v>
      </c>
      <c r="DT75" s="192" t="b">
        <v>0</v>
      </c>
      <c r="DU75" s="191" t="b">
        <v>0</v>
      </c>
      <c r="DV75" s="193" t="s">
        <v>1070</v>
      </c>
      <c r="DW75" s="194" t="b">
        <v>0</v>
      </c>
      <c r="DX75" s="194" t="b">
        <v>0</v>
      </c>
      <c r="DY75" s="195" t="b">
        <v>0</v>
      </c>
      <c r="DZ75" s="196" t="b">
        <v>0</v>
      </c>
      <c r="EA75" s="195" t="b">
        <v>0</v>
      </c>
      <c r="EB75" s="197" t="b">
        <v>0</v>
      </c>
      <c r="EC75" s="197" t="b">
        <v>0</v>
      </c>
      <c r="ED75" s="212" t="b">
        <v>0</v>
      </c>
      <c r="EE75" s="199">
        <f>IFERROR(__xludf.DUMMYFUNCTION("IFERROR(
   PRODUCT(
     MAP(
       INDEX(TRANSPOSE(UNIQUE(TRANSPOSE(FILTER({IF($F75=""Physical"", K$10:ED$10, IF($F75=""Magic"", K$11:ED$11, K$12:ED$12));K$4:ED$4;K75:ED75}, K75:ED75=TRUE)))), 1, 0),
       INDEX(TRANSPOSE(UNIQUE(TRANSPOSE(FILTER({IF($"&amp;"F75=""Physical"", K$18:ED$18, IF($F75=""Magic"", K$19:ED$19, K$20:ED$20));K$4:ED$4;K75:ED75}, K75:ED75=TRUE)))), 1, 0),
       INDEX(TRANSPOSE(UNIQUE(TRANSPOSE(FILTER({K$5:ED$5;K$4:ED$4;K75:ED75}, K75:ED75=TRUE)))), 1, 0),
       INDEX(TRANSPOSE(UNIQUE(TR"&amp;"ANSPOSE(FILTER({K$17:ED$17;K$4:ED$4;K75:ED75}, K75:ED75=TRUE)))), 1, 0),
       LAMBDA(
         mitigation,
         enhance,
         assign,
         precondition,
         IF(
           REGEXMATCH(assign, ""RANGE_PARTY|SINGLE_ENEMY|RANGE_ENEMY""),
  "&amp;"         IF(
             OR(ARRAYFORMULA((IF(precondition="""", FALSE, REGEXMATCH(K$4:ED$4, precondition))) * (K75:ED75=TRUE))),
             IF(ISNUMBER(enhance), enhance, 1),
             IF(ISNUMBER(mitigation), mitigation, 1)
           ),
          "&amp;" 1
         )
       )
     )
   ),
   1
 )"),1.0)</f>
        <v>1</v>
      </c>
      <c r="EF75" s="200">
        <f>IFERROR(__xludf.DUMMYFUNCTION("PRODUCT(
   MAP(
     K$14:ED$14,
     K$13:ED$13,
     K75:ED75,
     LAMBDA(
       buff,
       target,
       check,
       IF(
         AND(check=TRUE, REGEXMATCH(target, ""RANGE_AFFECTED_ALL|RANGE_EFFECTED_ALL""), ISNUMBER(buff)),
         buff,
   "&amp;"      1
       )
     )
   )
 )"),1.0)</f>
        <v>1</v>
      </c>
      <c r="EG75" s="200">
        <f>IFERROR(__xludf.DUMMYFUNCTION("PRODUCT(
   MAP(
     K$14:ED$14,
     K$13:ED$13,
     K75:ED75,
     LAMBDA(
       buff,
       target,
       check,
       IF(
         AND(check=TRUE, REGEXMATCH(target, ""RANGE_AFFECTED_GCD|RANGE_EFFECTED_GCD""), ISNUMBER(buff)),
         buff,
   "&amp;"      1
       )
     )
   )
 )"),1.0)</f>
        <v>1</v>
      </c>
      <c r="EH75" s="200">
        <f>IFERROR(__xludf.DUMMYFUNCTION("PRODUCT(
   MAP(
     K$3:ED$3,
     K$14:ED$14,
     K$13:ED$13,
     K75:ED75,
     LAMBDA(
       job,
       buff,
       target,
       check,
       IF(
         AND(check=TRUE, REGEXMATCH(target, ""SELF_EFFECTED_ALL""), ISNUMBER(buff), job=""白魔道士"""&amp;"),
         buff,
         1
       )
     )
   )
 )"),1.0)</f>
        <v>1</v>
      </c>
      <c r="EI75" s="200">
        <f>IFERROR(__xludf.DUMMYFUNCTION("PRODUCT(
   MAP(
     K$3:ED$3,
     K$14:ED$14,
     K$13:ED$13,
     K75:ED75,
     LAMBDA(
       job,
       buff,
       target,
       check,
       IF(
         AND(check=TRUE, REGEXMATCH(target, ""SELF_EFFECTED_GCD""), ISNUMBER(buff), job=""白魔道士"""&amp;"),
         buff,
         1
       )
     )
   )
 )"),1.0)</f>
        <v>1</v>
      </c>
      <c r="EJ75" s="200">
        <f>IFERROR(__xludf.DUMMYFUNCTION("PRODUCT(
   MAP(
     K$3:ED$3,
     K$14:ED$14,
     K$13:ED$13,
     K75:ED75,
     LAMBDA(
       job,
       buff,
       target,
       check,
       IF(
         AND(check=TRUE, REGEXMATCH(target, ""SELF_EFFECTED_ALL""), ISNUMBER(buff), job=""占星術師"""&amp;"),
         buff,
         1
       )
     )
   )
 )"),1.0)</f>
        <v>1</v>
      </c>
      <c r="EK75" s="200">
        <f>IFERROR(__xludf.DUMMYFUNCTION("PRODUCT(
   MAP(
     K$3:ED$3,
     K$14:ED$14,
     K$13:ED$13,
     K75:ED75,
     LAMBDA(
       job,
       buff,
       target,
       check,
       IF(
         AND(check=TRUE, REGEXMATCH(target, ""SELF_EFFECTED_GCD""), ISNUMBER(buff), job=""占星術師"""&amp;"),
         buff,
         1
       )
     )
   )
 )"),1.0)</f>
        <v>1</v>
      </c>
      <c r="EL75" s="200">
        <f>IFERROR(__xludf.DUMMYFUNCTION("PRODUCT(
   MAP(
     K$3:ED$3,
     K$14:ED$14,
     K$13:ED$13,
     K75:ED75,
     LAMBDA(
       job,
       buff,
       target,
       check,
       IF(
         AND(check=TRUE, REGEXMATCH(target, ""SELF_EFFECTED_ALL""), ISNUMBER(buff), job=""学者""),"&amp;"
         buff,
         1
       )
     )
   )
 )"),1.0)</f>
        <v>1</v>
      </c>
      <c r="EM75" s="200">
        <f>IFERROR(__xludf.DUMMYFUNCTION("PRODUCT(
   MAP(
     K$3:ED$3,
     K$14:ED$14,
     K$13:ED$13,
     K75:ED75,
     LAMBDA(
       job,
       buff,
       target,
       check,
       IF(
         AND(check=TRUE, REGEXMATCH(target, ""SELF_EFFECTED_GCD""), ISNUMBER(buff), job=""学者""),"&amp;"
         buff,
         1
       )
     )
   )
 )"),1.0)</f>
        <v>1</v>
      </c>
      <c r="EN75" s="200">
        <f>IFERROR(__xludf.DUMMYFUNCTION("PRODUCT(
   MAP(
     K$3:ED$3,
     K$14:ED$14,
     K$13:ED$13,
     K75:ED75,
     LAMBDA(
       job,
       buff,
       target,
       check,
       IF(
         AND(check=TRUE, REGEXMATCH(target, ""SELF_EFFECTED_ALL""), ISNUMBER(buff), job=""賢者""),"&amp;"
         buff,
         1
       )
     )
   )
 )"),1.0)</f>
        <v>1</v>
      </c>
      <c r="EO75" s="200">
        <f>IFERROR(__xludf.DUMMYFUNCTION("PRODUCT(
   MAP(
     K$3:ED$3,
     K$14:ED$14,
     K$13:ED$13,
     K75:ED75,
     LAMBDA(
       job,
       buff,
       target,
       check,
       IF(
         AND(check=TRUE, REGEXMATCH(target, ""SELF_EFFECTED_GCD""), ISNUMBER(buff), job=""賢者""),"&amp;"
         buff,
         1
       )
     )
   )
 )"),1.0)</f>
        <v>1</v>
      </c>
      <c r="EP75" s="201">
        <f t="shared" si="3"/>
        <v>0</v>
      </c>
      <c r="EQ75" s="201">
        <f>IFERROR(__xludf.DUMMYFUNCTION("SUM(
   MAP(
     K$4:ED$4,
     K$3:ED$3,
     K$7:ED$7,
     K$15:ED$15,
     K$16:ED$16,
     K$21:ED$21,
     K$5:ED$5,
     K$17:ED$17,
     K75:ED75,
     LAMBDA(
       name,
       job,
       abillity,
       buff,
       barrier,
       enhance,"&amp;"
       assign,
       precondition,
       check,
       SWITCH(
         name,
         ""シェイクオフ"", IF(check=TRUE, buff + (0.02 * COUNTIF(ARRAYFORMULA((REGEXMATCH($K$4:$ED$4, ""スリル・オブ・バトル|ヴェンジェンス|原初の血気|ダムネーション"")) * (K75:ED75=TRUE)), 1)), 0),
         "&amp;"""インプロビゼーションフィニッシュ(踊りの激情0)"", IF(ISNUMBER(check), INDEX(Skill!$AJ:$AJ, MATCH(SUBSTITUTE(DV$4, 0, check), Skill!$C:$C, 0)), 0),
         IF(
           AND(check=TRUE, REGEXMATCH(assign, ""RANGE_PARTY"")),
           IF(
             OR(ARRAYFORMULA((IF(pr"&amp;"econdition="""", FALSE, REGEXMATCH($K$4:$ED$4, precondition))) * (K75:ED75=TRUE))),
             enhance,
             IF(barrier="""", buff, barrier)
           ),
           0
         )
       ) *
       SWITCH(
         job,
         ""ナイト"", EY$24,
 "&amp;"        ""戦士"", FD$24,
         ""踊り子"", ET$24,
         ""ピクトマンサー"", ET$24,
         ""白魔道士"", EF75 * EH75 * IF(abillity, 1, EG75 * EI75) * (Option!$D$22 * 0.81 / 100),
         ""占星術師"", EF75 * EJ75 * IF(abillity, 1, EG75 * EK75) * (Option!$D$23 * 0.81 "&amp;"/ 100),
         ""学者"", EF75 * EL75 * IF(abillity, 1, EG75 * EM75) * (Option!$D$24 * 0.81 / 100),
         ""賢者"", EF75 * EN75 * IF(abillity, 1, EG75 * EO75) * (Option!$D$25 * 0.81 / 100),
         1
       )
     )
   )
 )"),0.0)</f>
        <v>0</v>
      </c>
      <c r="ER75" s="202">
        <f t="shared" si="4"/>
        <v>0</v>
      </c>
      <c r="ES75" s="203">
        <f t="shared" si="5"/>
        <v>0</v>
      </c>
      <c r="ET75" s="231" t="str">
        <f>IFERROR(__xludf.DUMMYFUNCTION("IFS(
  EP75 &gt; $ET$24 + EQ75,
  SPARKLINE({ 1, 0 }, {""charttype"",""bar"";""max"", 1;""color1"",Option!$D$30;""color2"",Option!$D$30}),
  EP75 &lt; EQ75,
  SPARKLINE({EQ75 - EP75, $ET$24 - (EQ75 - EP75)}, {""charttype"",""bar"";""max"",$ET$24;""color1"",Opti"&amp;"on!$D$28;""color2"",Option!$D$29}),
  EP75 &gt;= EQ75,
  SPARKLINE({$ET$24 + EQ75 - EP75,EP75 - EQ75}, {""charttype"",""bar"";""max"",$ET$24;""color1"",Option!$D$29;""color2"",Option!$D$30})
)"),"")</f>
        <v/>
      </c>
      <c r="EU75" s="205">
        <f>IFERROR(__xludf.DUMMYFUNCTION("PRODUCT(
   MAP(
     IF($F75=""Physical"", K$10:ED$10, IF($F75=""Magic"", K$11:ED$11, K$12:ED$12)),
     IF($F75=""Physical"", K$18:ED$18, IF($F75=""Magic"", K$19:ED$19, K$20:ED$20)),
     K$3:ED$3,
     K$5:ED$5,
     K$17:ED$17,
     K75:ED75,
     LAM"&amp;"BDA(
       mitigation,
       enhance,
       job,
       assign,
       precondition,
       check,
       IF(
         OR(AND(check=TRUE, REGEXMATCH(assign, ""SELF""), job=""ナイト""), AND(check=Option!$E$13, REGEXMATCH(assign, ""SINGLE_PARTY""))),
      "&amp;"   IF(
           OR(ARRAYFORMULA((IF(precondition="""", FALSE, REGEXMATCH($K$4:$ED$4, precondition))) * (K75:ED75=TRUE))),
           enhance,
           mitigation
         ),
         1
       )
     )
   )
 ) * EE75"),1.0)</f>
        <v>1</v>
      </c>
      <c r="EV75" s="206">
        <f t="shared" si="6"/>
        <v>0</v>
      </c>
      <c r="EW75" s="205">
        <f>IFERROR(__xludf.DUMMYFUNCTION("PRODUCT(
   MAP(
     K$3:ED$3,
     K$14:ED$14,
     K$13:ED$13,
     K75:ED75,
     LAMBDA(
       job,
       buff,
       target,
       check,
       IF(
         OR(AND(check=TRUE, REGEXMATCH(target, ""SELF_AFFECTED_ALL""), job=""ナイト""), AND(check=O"&amp;"ption!$E$13, REGEXMATCH(target, ""SINGLE_AFFECTED_ALL""))),
         buff,
         1
       )
     )
   )
 )"),1.0)</f>
        <v>1</v>
      </c>
      <c r="EX75" s="206">
        <f>IFERROR(__xludf.DUMMYFUNCTION("SUM(
   MAP(
     K$3:ED$3,
     K$7:ED$7,
     K$15:ED$15,
     K$16:ED$16,
     K$21:ED$21,
     K$5:ED$5,
     K$17:ED$17,
     K75:ED75,
     LAMBDA(
       job,
       abillity,
       buff,
       barrier,
       enhance,
       assign,
       preco"&amp;"ndition,
       check,
       IF(
         OR(AND(check=TRUE, REGEXMATCH(assign, ""SELF""), job=""ナイト""), AND(check=Option!$E$13, REGEXMATCH(assign, ""SINGLE_PARTY""))),
         IF(
           OR(ARRAYFORMULA((IF(precondition="""", FALSE, REGEXMATCH($K$4"&amp;":$ED$4, precondition))) * (K75:ED75=TRUE))),
           enhance,
           IF(barrier="""", buff, barrier)
         ),
         0
       ) *
       SWITCH(
         job,
         ""暗黒騎士"", EY$24,
         ""白魔道士"", EF75 * EH75 * EW75 * IF(abillity, 1, EG"&amp;"75 * EI75) * (Option!$D$22 * 0.81 / 100),
         ""占星術師"", EF75 * EJ75 * EW75 * IF(abillity, 1, EG75 * EK75) * (Option!$D$23 * 0.81 / 100),
         ""学者"", EF75 * EL75 * EW75 * IF(abillity, 1, EG75 * EM75) * (Option!$D$24 * 0.81 / 100),
         ""賢者"""&amp;", EF75 * EN75 * EW75 * IF(abillity, 1, EG75 * EO75) * (Option!$D$25 * 0.81 / 100),
         1
       )
     )
   )
 ) + EQ75"),0.0)</f>
        <v>0</v>
      </c>
      <c r="EY75" s="232">
        <f t="shared" si="7"/>
        <v>0</v>
      </c>
      <c r="EZ75" s="205">
        <f>IFERROR(__xludf.DUMMYFUNCTION("PRODUCT(
   MAP(
     IF($F75=""Physical"", K$10:ED$10, IF($F75=""Magic"", K$11:ED$11, K$12:ED$12)),
     IF($F75=""Physical"", K$18:ED$18, IF($F75=""Magic"", K$19:ED$19, K$20:ED$20)),
     K$3:ED$3,
     K$5:ED$5,
     K$17:ED$17,
     K75:ED75,
     LAM"&amp;"BDA(
       mitigation,
       enhance,
       job,
       assign,
       precondition,
       check,
       IF(
         OR(AND(check=TRUE, REGEXMATCH(assign, ""SELF""), job=""戦士""), AND(check=Option!$F$13, REGEXMATCH(assign, ""SINGLE_PARTY""))),
       "&amp;"  IF(
           OR(ARRAYFORMULA((IF(precondition="""", FALSE, REGEXMATCH($K$4:$ED$4, precondition))) * (K75:ED75=TRUE))),
           enhance,
           mitigation
         ),
         1
       )
     )
   )
 ) * EE75"),1.0)</f>
        <v>1</v>
      </c>
      <c r="FA75" s="206">
        <f t="shared" si="8"/>
        <v>0</v>
      </c>
      <c r="FB75" s="205">
        <f>IFERROR(__xludf.DUMMYFUNCTION("PRODUCT(
   MAP(
     K$3:ED$3,
     K$14:ED$14,
     K$13:ED$13,
     K75:ED75,
     LAMBDA(
       job,
       buff,
       target,
       check,
       IF(
         OR(AND(check=TRUE, REGEXMATCH(target, ""SELF_AFFECTED_ALL""), job=""戦士""), AND(check=Op"&amp;"tion!$F$13, REGEXMATCH(target, ""SINGLE_AFFECTED_ALL""))),
         buff,
         1
       )
     )
   )
 )"),1.0)</f>
        <v>1</v>
      </c>
      <c r="FC75" s="206">
        <f>IFERROR(__xludf.DUMMYFUNCTION("SUM(
   MAP(
     K$3:ED$3,
     K$7:ED$7,
     K$15:ED$15,
     K$16:ED$16,
     K$21:ED$21,
     K$5:ED$5,
     K$17:ED$17,
     K75:ED75,
     LAMBDA(
       job,
       abillity,
       buff,
       barrier,
       enhance,
       assign,
       preco"&amp;"ndition,
       check,
       IF(
         OR(AND(check=TRUE, REGEXMATCH(assign, ""SELF""), job=""戦士""), AND(check=Option!$F$13, REGEXMATCH(assign, ""SINGLE_PARTY""))),
         IF(
           OR(ARRAYFORMULA((IF(precondition="""", FALSE, REGEXMATCH($K$4:"&amp;"$ED$4, precondition))) * (K75:ED75=TRUE))),
           enhance,
           IF(barrier="""", buff, barrier)
         ),
         0
       ) *
       SWITCH(
         job,
         ""暗黒騎士"", FD$24,
         ""白魔道士"", EF75 * EH75 * FB75 * IF(abillity, 1, EG7"&amp;"5 * EI75) * (Option!$D$22 * 0.81 / 100),
         ""占星術師"", EF75 * EJ75 * FFB75 * IF(abillity, 1, EG75 * EK75) * (Option!$D$23 * 0.81 / 100),
         ""学者"", EF75 * EL75 * FB75 * IF(abillity, 1, EG75 * EM75) * (Option!$D$24 * 0.81 / 100),
         ""賢者"""&amp;", EF75 * EN75 * FB75 * IF(abillity, 1, EG75 * EO75) * (Option!$D$25 * 0.81 / 100),
         1
       )
     )
   )
 ) + EQ75"),0.0)</f>
        <v>0</v>
      </c>
      <c r="FD75" s="206">
        <f t="shared" si="9"/>
        <v>0</v>
      </c>
      <c r="FE75" s="205">
        <f>IFERROR(__xludf.DUMMYFUNCTION("PRODUCT(
   MAP(
     IF($F75=""Physical"", K$10:ED$10, IF($F75=""Magic"", K$11:ED$11, K$12:ED$12)),
     IF($F75=""Physical"", K$18:ED$18, IF($F75=""Magic"", K$19:ED$19, K$20:ED$20)),
     K$3:ED$3,
     K$5:ED$5,
     K$17:ED$17,
     K75:ED75,
     LAM"&amp;"BDA(
       mitigation,
       enhance,
       job,
       assign,
       precondition,
       check,
       IF(
         OR(AND(check=TRUE, REGEXMATCH(assign, ""SELF""), job=""暗黒騎士""), AND(check=Option!$G$13, REGEXMATCH(assign, ""SINGLE_PARTY""))),
     "&amp;"    IF(
           OR(ARRAYFORMULA((IF(precondition="""", FALSE, REGEXMATCH($K$4:$ED$4, precondition))) * (K75:ED75=TRUE))),
           enhance,
           mitigation
         ),
         1
       )
     )
   )
 ) * EE75"),1.0)</f>
        <v>1</v>
      </c>
      <c r="FF75" s="206">
        <f t="shared" si="10"/>
        <v>0</v>
      </c>
      <c r="FG75" s="205">
        <f>IFERROR(__xludf.DUMMYFUNCTION("PRODUCT(
   MAP(
     K$3:ED$3,
     K$14:ED$14,
     K$13:ED$13,
     K75:ED75,
     LAMBDA(
       job,
       buff,
       target,
       check,
       IF(
         OR(AND(check=TRUE, REGEXMATCH(target, ""SELF_AFFECTED_ALL""), job=""暗黒騎士""), AND(check="&amp;"Option!$G$13, REGEXMATCH(target, ""SINGLE_AFFECTED_ALL""))),
         buff,
         1
       )
     )
   )
 )"),1.0)</f>
        <v>1</v>
      </c>
      <c r="FH75" s="206">
        <f>IFERROR(__xludf.DUMMYFUNCTION("SUM(
   MAP(
     K$3:ED$3,
     K$7:ED$7,
     K$15:ED$15,
     K$16:ED$16,
     K$21:ED$21,
     K$5:ED$5,
     K$17:ED$17,
     K75:ED75,
     LAMBDA(
       job,
       abillity,
       buff,
       barrier,
       enhance,
       assign,
       preco"&amp;"ndition,
       check,
       IF(
         OR(AND(check=TRUE, REGEXMATCH(assign, ""SELF""), job=""暗黒騎士""), AND(check=Option!$G$13, REGEXMATCH(assign, ""SINGLE_PARTY""))),
         IF(
           OR(ARRAYFORMULA((IF(precondition="""", FALSE, REGEXMATCH($K$"&amp;"4:$ED$4, precondition))) * (K75:ED75=TRUE))),
           enhance,
           IF(barrier="""", buff, barrier)
         ),
         0
       ) *
       SWITCH(
         job,
         ""暗黒騎士"", FI$24,
         ""白魔道士"", EF75 * EH75 * FG75 * IF(abillity, 1, E"&amp;"G75 * EI75) * (Option!$D$22 * 0.81 / 100),
         ""占星術師"", EF75 * EJ75 * FG75 * IF(abillity, 1, EG75 * EK75) * (Option!$D$23 * 0.81 / 100),
         ""学者"", EF75 * EL75 * FG75 * IF(abillity, 1, EG75 * EM75) * (Option!$D$24 * 0.81 / 100),
         ""賢者"&amp;""", EF75 * EN75 * FG75 * IF(abillity, 1, EG75 * EO75) * (Option!$D$25 * 0.81 / 100),
         1
       )
     )
   )
 ) + EQ75"),0.0)</f>
        <v>0</v>
      </c>
      <c r="FI75" s="206">
        <f t="shared" si="11"/>
        <v>0</v>
      </c>
      <c r="FJ75" s="205">
        <f>IFERROR(__xludf.DUMMYFUNCTION("PRODUCT(
   MAP(
     IF($F75=""Physical"", K$10:ED$10, IF($F75=""Magic"", K$11:ED$11, K$12:ED$12)),
     IF($F75=""Physical"", K$18:ED$18, IF($F75=""Magic"", K$19:ED$19, K$20:ED$20)),
     K$3:ED$3,
     K$5:ED$5,
     K$17:ED$17,
     K75:ED75,
     LAM"&amp;"BDA(
       mitigation,
       enhance,
       job,
       assign,
       precondition,
       check,
       IF(
         OR(AND(check=TRUE, REGEXMATCH(assign, ""SELF""), job=""ガンブレイカー""), AND(check=Option!$H$13, REGEXMATCH(assign, ""SINGLE_PARTY""))),
  "&amp;"       IF(
           OR(ARRAYFORMULA((IF(precondition="""", FALSE, REGEXMATCH($K$4:$ED$4, precondition))) * (K75:ED75=TRUE))),
           enhance,
           mitigation
         ),
         1
       )
     )
   )
 ) * EE75"),1.0)</f>
        <v>1</v>
      </c>
      <c r="FK75" s="206">
        <f t="shared" si="12"/>
        <v>0</v>
      </c>
      <c r="FL75" s="205">
        <f>IFERROR(__xludf.DUMMYFUNCTION("PRODUCT(
   MAP(
     K$3:ED$3,
     K$14:ED$14,
     K$13:ED$13,
     K75:ED75,
     LAMBDA(
       job,
       buff,
       target,
       check,
       IF(
         OR(AND(check=TRUE, REGEXMATCH(target, ""SELF_AFFECTED_ALL""), job=""ガンブレイカー""), AND(che"&amp;"ck=Option!$H$13, REGEXMATCH(target, ""SINGLE_AFFECTED_ALL""))),
         buff,
         1
       )
     )
   )
 )"),1.0)</f>
        <v>1</v>
      </c>
      <c r="FM75" s="206">
        <f>IFERROR(__xludf.DUMMYFUNCTION("SUM(
   MAP(
     K$3:ED$3,
     K$7:ED$7,
     K$15:ED$15,
     K$16:ED$16,
     K$21:ED$21,
     K$5:ED$5,
     K$17:ED$17,
     K75:ED75,
     LAMBDA(
       job,
       abillity,
       buff,
       barrier,
       enhance,
       assign,
       preco"&amp;"ndition,
       check,
       IF(
         OR(AND(check=TRUE, REGEXMATCH(assign, ""SELF""), job=""ガンブレイカー""), AND(check=Option!$H$13, REGEXMATCH(assign, ""SINGLE_PARTY""))),
         IF(
           OR(ARRAYFORMULA((IF(precondition="""", FALSE, REGEXMATCH("&amp;"$K$4:$ED$4, precondition))) * (K75:ED75=TRUE))),
           enhance,
           IF(barrier="""", buff, barrier)
         ),
         0
       ) *
       SWITCH(
         job,
         ""暗黒騎士"", FN$24,
         ""白魔道士"", EF75 * EH75 * FL75 * IF(abillity, 1"&amp;", EG75 * EI75) * (Option!$D$22 * 0.81 / 100),
         ""占星術師"", EF75 * EJ75 * FL75 * IF(abillity, 1, EG75 * EK75) * (Option!$D$23 * 0.81 / 100),
         ""学者"", EF75 * EL75 * FL75 * IF(abillity, 1, EG75 * EM75) * (Option!$D$24 * 0.81 / 100),
         """&amp;"賢者"", EF75 * EN75 * FL75 * IF(abillity, 1, EG75 * EO75) * (Option!$D$25 * 0.81 / 100),
         1
       )
     )
   )
 ) + EQ75"),0.0)</f>
        <v>0</v>
      </c>
      <c r="FN75" s="206">
        <f t="shared" si="13"/>
        <v>0</v>
      </c>
      <c r="FO75" s="213"/>
    </row>
    <row r="76">
      <c r="B76" s="240"/>
      <c r="C76" s="217"/>
      <c r="D76" s="236"/>
      <c r="E76" s="241"/>
      <c r="F76" s="167"/>
      <c r="G76" s="168" t="str">
        <f t="shared" si="2"/>
        <v/>
      </c>
      <c r="H76" s="169"/>
      <c r="I76" s="169"/>
      <c r="J76" s="169"/>
      <c r="K76" s="170" t="b">
        <v>0</v>
      </c>
      <c r="L76" s="170" t="b">
        <v>0</v>
      </c>
      <c r="M76" s="170" t="b">
        <v>0</v>
      </c>
      <c r="N76" s="171" t="s">
        <v>1070</v>
      </c>
      <c r="O76" s="172" t="b">
        <v>0</v>
      </c>
      <c r="P76" s="173" t="b">
        <v>0</v>
      </c>
      <c r="Q76" s="173" t="b">
        <v>0</v>
      </c>
      <c r="R76" s="173" t="b">
        <v>0</v>
      </c>
      <c r="S76" s="174" t="b">
        <v>0</v>
      </c>
      <c r="T76" s="175" t="b">
        <v>0</v>
      </c>
      <c r="U76" s="173" t="b">
        <v>0</v>
      </c>
      <c r="V76" s="171" t="s">
        <v>1070</v>
      </c>
      <c r="W76" s="172" t="b">
        <v>0</v>
      </c>
      <c r="X76" s="173" t="b">
        <v>0</v>
      </c>
      <c r="Y76" s="173" t="b">
        <v>0</v>
      </c>
      <c r="Z76" s="173" t="b">
        <v>0</v>
      </c>
      <c r="AA76" s="174" t="b">
        <v>0</v>
      </c>
      <c r="AB76" s="174" t="b">
        <v>0</v>
      </c>
      <c r="AC76" s="175" t="b">
        <v>0</v>
      </c>
      <c r="AD76" s="173" t="b">
        <v>0</v>
      </c>
      <c r="AE76" s="176" t="s">
        <v>1070</v>
      </c>
      <c r="AF76" s="171" t="s">
        <v>1070</v>
      </c>
      <c r="AG76" s="177">
        <f>IFERROR(__xludf.DUMMYFUNCTION("IF(
  ISNUMBER(AG75),
  MIN(MAX(
    AG75
    + MAX(
      ROUNDDOWN(($D76 - MAX(IFERROR(FILTER($D$24:$D75, AG$24:AG75 &lt;&gt; AF$6, AG$23:AG74 = AF$6), 0))) * (60 * 60 * 24) / AF$9) - ROUNDDOWN(($D75 - MAX(IFERROR(FILTER($D$23:$D74, AG$23:AG74 &lt;&gt; AF$6, AG$22:"&amp;"AG73 = AF$6), 0))) * (60 * 60 * 24) / 60),
      0
    )
    - COUNTIF(AF76, ""&lt;&gt;-""),
  0), AF$6),
  AF$6 - COUNTIF(AF76, ""&lt;&gt;-"")
)"),2.0)</f>
        <v>2</v>
      </c>
      <c r="AH76" s="173" t="b">
        <v>0</v>
      </c>
      <c r="AI76" s="173" t="b">
        <v>0</v>
      </c>
      <c r="AJ76" s="173" t="b">
        <v>0</v>
      </c>
      <c r="AK76" s="174" t="b">
        <v>0</v>
      </c>
      <c r="AL76" s="175" t="b">
        <v>0</v>
      </c>
      <c r="AM76" s="173" t="b">
        <v>0</v>
      </c>
      <c r="AN76" s="171" t="s">
        <v>1070</v>
      </c>
      <c r="AO76" s="173" t="b">
        <v>0</v>
      </c>
      <c r="AP76" s="173" t="b">
        <v>0</v>
      </c>
      <c r="AQ76" s="173" t="b">
        <v>0</v>
      </c>
      <c r="AR76" s="174" t="b">
        <v>0</v>
      </c>
      <c r="AS76" s="178" t="b">
        <v>0</v>
      </c>
      <c r="AT76" s="179" t="b">
        <v>0</v>
      </c>
      <c r="AU76" s="180" t="b">
        <v>0</v>
      </c>
      <c r="AV76" s="180" t="b">
        <v>0</v>
      </c>
      <c r="AW76" s="180" t="b">
        <v>0</v>
      </c>
      <c r="AX76" s="180" t="b">
        <v>0</v>
      </c>
      <c r="AY76" s="181" t="s">
        <v>1070</v>
      </c>
      <c r="AZ76" s="181" t="s">
        <v>1070</v>
      </c>
      <c r="BA76" s="184">
        <f>IFERROR(__xludf.DUMMYFUNCTION("IF(
  ISNUMBER(BA75),
  MIN(MAX(
    BA75
    + MAX(
      ROUNDDOWN((D76 - MAX(IFERROR(FILTER(D$24:D75, BA$24:BA75 &lt;&gt; AZ$6, BA$23:BA74 = AZ$6), 0))) * (60 * 60 * 24) / AZ$9) - ROUNDDOWN((D75 - MAX(IFERROR(FILTER(D$23:D74, BA$23:BA74 &lt;&gt; AZ$6, BA$22:BA73 ="&amp;" AZ$6), 0))) * (60 * 60 * 24) / AZ$9),
      0
    )
    - COUNTIF(AZ76, ""&lt;&gt;-""),
  0), AZ$6),
  AZ$6 - COUNTIF(AZ76, ""&lt;&gt;-"")
)"),2.0)</f>
        <v>2</v>
      </c>
      <c r="BB76" s="181" t="s">
        <v>1070</v>
      </c>
      <c r="BC76" s="183">
        <f>IFERROR(__xludf.DUMMYFUNCTION("IF(
  ISNUMBER(BC75),
  MIN(MAX(
    BC75
    + MAX(
      ROUNDDOWN(($D76 - MAX(IFERROR(FILTER($D$24:$D75, BC$24:BC75 &lt;&gt; BB$6, BC$23:BC74 = BB$6), 0))) * (60 * 60 * 24) / BB$9) - ROUNDDOWN(($D75 - MAX(IFERROR(FILTER($D$23:$D74, BC$23:BC74 &lt;&gt; BB$6, BC$22:"&amp;"BC73 = BB$6), 0))) * (60 * 60 * 24) / 60),
      0
    )
    - COUNTIF(BB76, ""&lt;&gt;-""),
  0), BB$6),
  BB$6 - COUNTIF(BB76, ""&lt;&gt;-"")
)"),2.0)</f>
        <v>2</v>
      </c>
      <c r="BD76" s="181" t="s">
        <v>1070</v>
      </c>
      <c r="BE76" s="178" t="b">
        <v>0</v>
      </c>
      <c r="BF76" s="180" t="b">
        <v>0</v>
      </c>
      <c r="BG76" s="180" t="b">
        <v>0</v>
      </c>
      <c r="BH76" s="180" t="b">
        <v>0</v>
      </c>
      <c r="BI76" s="180" t="b">
        <v>0</v>
      </c>
      <c r="BJ76" s="180" t="b">
        <v>0</v>
      </c>
      <c r="BK76" s="180" t="b">
        <v>0</v>
      </c>
      <c r="BL76" s="180" t="b">
        <v>0</v>
      </c>
      <c r="BM76" s="180" t="b">
        <v>0</v>
      </c>
      <c r="BN76" s="180" t="b">
        <v>0</v>
      </c>
      <c r="BO76" s="181" t="s">
        <v>1070</v>
      </c>
      <c r="BP76" s="181" t="s">
        <v>1070</v>
      </c>
      <c r="BQ76" s="181" t="s">
        <v>1070</v>
      </c>
      <c r="BR76" s="181" t="s">
        <v>1070</v>
      </c>
      <c r="BS76" s="181" t="s">
        <v>1070</v>
      </c>
      <c r="BT76" s="184">
        <f>IFERROR(__xludf.DUMMYFUNCTION("IF(
  ISNUMBER(BT75),
  MIN(MAX(
    BT75
    + MAX(
      ROUNDDOWN((D76 - MAX(IFERROR(FILTER(D$24:D75, BT$24:BT75 &lt;&gt; BS$6, BT$23:BT74 = BS$6), 0))) * (60 * 60 * 24) / BS$9) - ROUNDDOWN((D75 - MAX(IFERROR(FILTER(D$23:D74, BT$23:BT74 &lt;&gt; BS$6, BT$22:BT73 ="&amp;" BS$6), 0))) * (60 * 60 * 24) / BS$9),
      0
    )
    - COUNTIF(BS76, ""&lt;&gt;-""),
  0), BS$6),
  BS$6 - COUNTIF(BS76, ""&lt;&gt;-"")
)"),3.0)</f>
        <v>3</v>
      </c>
      <c r="BU76" s="181" t="s">
        <v>1070</v>
      </c>
      <c r="BV76" s="181" t="s">
        <v>1070</v>
      </c>
      <c r="BW76" s="184">
        <f>IFERROR(__xludf.DUMMYFUNCTION("IF(
  ISNUMBER(BW75),
  MIN(MAX(
    BW75
    + MAX(
      ROUNDDOWN((D76 - MAX(IFERROR(FILTER(D$24:D75, BW$24:BW75 &lt;&gt; BV$6, BW$23:BW74 = BV$6), 0))) * (60 * 60 * 24) / BV$9) - ROUNDDOWN((D75 - MAX(IFERROR(FILTER(D$23:D74, BW$23:BW74 &lt;&gt; BV$6, BW$22:BW73 ="&amp;" BV$6), 0))) * (60 * 60 * 24) / BV$9),
      0
    )
    - COUNTIF(BV76, ""&lt;&gt;-""),
  0), BV$6),
  BV$6 - COUNTIF(BV76, ""&lt;&gt;-"")
)"),2.0)</f>
        <v>2</v>
      </c>
      <c r="BX76" s="185" t="s">
        <v>1070</v>
      </c>
      <c r="BY76" s="178" t="b">
        <v>0</v>
      </c>
      <c r="BZ76" s="180" t="b">
        <v>0</v>
      </c>
      <c r="CA76" s="180" t="b">
        <v>0</v>
      </c>
      <c r="CB76" s="180" t="b">
        <v>0</v>
      </c>
      <c r="CC76" s="180" t="b">
        <v>0</v>
      </c>
      <c r="CD76" s="180" t="b">
        <v>0</v>
      </c>
      <c r="CE76" s="180" t="b">
        <v>0</v>
      </c>
      <c r="CF76" s="180" t="b">
        <v>0</v>
      </c>
      <c r="CG76" s="180" t="b">
        <v>0</v>
      </c>
      <c r="CH76" s="180" t="b">
        <v>0</v>
      </c>
      <c r="CI76" s="180" t="b">
        <v>0</v>
      </c>
      <c r="CJ76" s="180" t="b">
        <v>0</v>
      </c>
      <c r="CK76" s="180" t="b">
        <v>0</v>
      </c>
      <c r="CL76" s="180" t="b">
        <v>0</v>
      </c>
      <c r="CM76" s="181" t="s">
        <v>1070</v>
      </c>
      <c r="CN76" s="181" t="s">
        <v>1070</v>
      </c>
      <c r="CO76" s="181" t="s">
        <v>1070</v>
      </c>
      <c r="CP76" s="181" t="s">
        <v>1070</v>
      </c>
      <c r="CQ76" s="185" t="s">
        <v>1070</v>
      </c>
      <c r="CR76" s="180" t="b">
        <v>0</v>
      </c>
      <c r="CS76" s="186" t="str">
        <f t="shared" si="14"/>
        <v>◇◇◇</v>
      </c>
      <c r="CT76" s="178" t="b">
        <v>0</v>
      </c>
      <c r="CU76" s="180" t="b">
        <v>0</v>
      </c>
      <c r="CV76" s="180" t="b">
        <v>0</v>
      </c>
      <c r="CW76" s="180" t="b">
        <v>0</v>
      </c>
      <c r="CX76" s="180" t="b">
        <v>0</v>
      </c>
      <c r="CY76" s="180" t="b">
        <v>0</v>
      </c>
      <c r="CZ76" s="180" t="b">
        <v>0</v>
      </c>
      <c r="DA76" s="180" t="b">
        <v>0</v>
      </c>
      <c r="DB76" s="180" t="b">
        <v>0</v>
      </c>
      <c r="DC76" s="180" t="b">
        <v>0</v>
      </c>
      <c r="DD76" s="181" t="s">
        <v>1070</v>
      </c>
      <c r="DE76" s="181" t="s">
        <v>1070</v>
      </c>
      <c r="DF76" s="181" t="s">
        <v>1070</v>
      </c>
      <c r="DG76" s="185" t="s">
        <v>1070</v>
      </c>
      <c r="DH76" s="180" t="b">
        <v>0</v>
      </c>
      <c r="DI76" s="187" t="str">
        <f>IFERROR(__xludf.DUMMYFUNCTION("SWITCH(
  IF(
    ISTEXT(DI75),
    IF (
      FIND(""○"", DI75&amp;""○"") &gt; 3,
      3,
      FIND(""○"", DI75&amp;""○"")
      + MAX(
        ROUNDDOWN(($D76 - MAX(IFERROR(FILTER(D$24:D75, DI$24:DI75 &lt;&gt; ""●●●"", DI$23:DI74 = ""●●●""), 0))) * (60 * 60 * 24) / 20"&amp;") - ROUNDDOWN(($D75 - MAX(IFERROR(FILTER(D$23:D74, DI$23:DI74 &lt;&gt; ""●●●"", DI$22:DI73 = ""●●●""), 0))) * (60 * 60 * 24) / 20),
        0
      ) - 1
    ) - COUNTIFS(CU76, ""=TRUE"", CU75, ""&lt;&gt;TRUE"") - COUNTIF(CZ76, ""=TRUE"") - COUNTIF({DD76,DE76}, ""&lt;&gt;-"&amp;""") + COUNTIF(DH76, ""=TRUE""),
    3
  ),
  0, ""○○○"", 1, ""●○○"", 2, ""●●○"", 3, ""●●●"", 4, ""●●●"", ""○○○""
)"),"●●●")</f>
        <v>●●●</v>
      </c>
      <c r="DJ76" s="188" t="b">
        <v>0</v>
      </c>
      <c r="DK76" s="189" t="b">
        <v>0</v>
      </c>
      <c r="DL76" s="190" t="b">
        <v>0</v>
      </c>
      <c r="DM76" s="190" t="b">
        <v>0</v>
      </c>
      <c r="DN76" s="190" t="b">
        <v>0</v>
      </c>
      <c r="DO76" s="190" t="b">
        <v>0</v>
      </c>
      <c r="DP76" s="190" t="b">
        <v>0</v>
      </c>
      <c r="DQ76" s="191" t="b">
        <v>0</v>
      </c>
      <c r="DR76" s="192" t="b">
        <v>0</v>
      </c>
      <c r="DS76" s="191" t="b">
        <v>0</v>
      </c>
      <c r="DT76" s="192" t="b">
        <v>0</v>
      </c>
      <c r="DU76" s="191" t="b">
        <v>0</v>
      </c>
      <c r="DV76" s="193" t="s">
        <v>1070</v>
      </c>
      <c r="DW76" s="194" t="b">
        <v>0</v>
      </c>
      <c r="DX76" s="194" t="b">
        <v>0</v>
      </c>
      <c r="DY76" s="195" t="b">
        <v>0</v>
      </c>
      <c r="DZ76" s="196" t="b">
        <v>0</v>
      </c>
      <c r="EA76" s="195" t="b">
        <v>0</v>
      </c>
      <c r="EB76" s="197" t="b">
        <v>0</v>
      </c>
      <c r="EC76" s="197" t="b">
        <v>0</v>
      </c>
      <c r="ED76" s="212" t="b">
        <v>0</v>
      </c>
      <c r="EE76" s="199">
        <f>IFERROR(__xludf.DUMMYFUNCTION("IFERROR(
   PRODUCT(
     MAP(
       INDEX(TRANSPOSE(UNIQUE(TRANSPOSE(FILTER({IF($F76=""Physical"", K$10:ED$10, IF($F76=""Magic"", K$11:ED$11, K$12:ED$12));K$4:ED$4;K76:ED76}, K76:ED76=TRUE)))), 1, 0),
       INDEX(TRANSPOSE(UNIQUE(TRANSPOSE(FILTER({IF($"&amp;"F76=""Physical"", K$18:ED$18, IF($F76=""Magic"", K$19:ED$19, K$20:ED$20));K$4:ED$4;K76:ED76}, K76:ED76=TRUE)))), 1, 0),
       INDEX(TRANSPOSE(UNIQUE(TRANSPOSE(FILTER({K$5:ED$5;K$4:ED$4;K76:ED76}, K76:ED76=TRUE)))), 1, 0),
       INDEX(TRANSPOSE(UNIQUE(TR"&amp;"ANSPOSE(FILTER({K$17:ED$17;K$4:ED$4;K76:ED76}, K76:ED76=TRUE)))), 1, 0),
       LAMBDA(
         mitigation,
         enhance,
         assign,
         precondition,
         IF(
           REGEXMATCH(assign, ""RANGE_PARTY|SINGLE_ENEMY|RANGE_ENEMY""),
  "&amp;"         IF(
             OR(ARRAYFORMULA((IF(precondition="""", FALSE, REGEXMATCH(K$4:ED$4, precondition))) * (K76:ED76=TRUE))),
             IF(ISNUMBER(enhance), enhance, 1),
             IF(ISNUMBER(mitigation), mitigation, 1)
           ),
          "&amp;" 1
         )
       )
     )
   ),
   1
 )"),1.0)</f>
        <v>1</v>
      </c>
      <c r="EF76" s="200">
        <f>IFERROR(__xludf.DUMMYFUNCTION("PRODUCT(
   MAP(
     K$14:ED$14,
     K$13:ED$13,
     K76:ED76,
     LAMBDA(
       buff,
       target,
       check,
       IF(
         AND(check=TRUE, REGEXMATCH(target, ""RANGE_AFFECTED_ALL|RANGE_EFFECTED_ALL""), ISNUMBER(buff)),
         buff,
   "&amp;"      1
       )
     )
   )
 )"),1.0)</f>
        <v>1</v>
      </c>
      <c r="EG76" s="200">
        <f>IFERROR(__xludf.DUMMYFUNCTION("PRODUCT(
   MAP(
     K$14:ED$14,
     K$13:ED$13,
     K76:ED76,
     LAMBDA(
       buff,
       target,
       check,
       IF(
         AND(check=TRUE, REGEXMATCH(target, ""RANGE_AFFECTED_GCD|RANGE_EFFECTED_GCD""), ISNUMBER(buff)),
         buff,
   "&amp;"      1
       )
     )
   )
 )"),1.0)</f>
        <v>1</v>
      </c>
      <c r="EH76" s="200">
        <f>IFERROR(__xludf.DUMMYFUNCTION("PRODUCT(
   MAP(
     K$3:ED$3,
     K$14:ED$14,
     K$13:ED$13,
     K76:ED76,
     LAMBDA(
       job,
       buff,
       target,
       check,
       IF(
         AND(check=TRUE, REGEXMATCH(target, ""SELF_EFFECTED_ALL""), ISNUMBER(buff), job=""白魔道士"""&amp;"),
         buff,
         1
       )
     )
   )
 )"),1.0)</f>
        <v>1</v>
      </c>
      <c r="EI76" s="200">
        <f>IFERROR(__xludf.DUMMYFUNCTION("PRODUCT(
   MAP(
     K$3:ED$3,
     K$14:ED$14,
     K$13:ED$13,
     K76:ED76,
     LAMBDA(
       job,
       buff,
       target,
       check,
       IF(
         AND(check=TRUE, REGEXMATCH(target, ""SELF_EFFECTED_GCD""), ISNUMBER(buff), job=""白魔道士"""&amp;"),
         buff,
         1
       )
     )
   )
 )"),1.0)</f>
        <v>1</v>
      </c>
      <c r="EJ76" s="200">
        <f>IFERROR(__xludf.DUMMYFUNCTION("PRODUCT(
   MAP(
     K$3:ED$3,
     K$14:ED$14,
     K$13:ED$13,
     K76:ED76,
     LAMBDA(
       job,
       buff,
       target,
       check,
       IF(
         AND(check=TRUE, REGEXMATCH(target, ""SELF_EFFECTED_ALL""), ISNUMBER(buff), job=""占星術師"""&amp;"),
         buff,
         1
       )
     )
   )
 )"),1.0)</f>
        <v>1</v>
      </c>
      <c r="EK76" s="200">
        <f>IFERROR(__xludf.DUMMYFUNCTION("PRODUCT(
   MAP(
     K$3:ED$3,
     K$14:ED$14,
     K$13:ED$13,
     K76:ED76,
     LAMBDA(
       job,
       buff,
       target,
       check,
       IF(
         AND(check=TRUE, REGEXMATCH(target, ""SELF_EFFECTED_GCD""), ISNUMBER(buff), job=""占星術師"""&amp;"),
         buff,
         1
       )
     )
   )
 )"),1.0)</f>
        <v>1</v>
      </c>
      <c r="EL76" s="200">
        <f>IFERROR(__xludf.DUMMYFUNCTION("PRODUCT(
   MAP(
     K$3:ED$3,
     K$14:ED$14,
     K$13:ED$13,
     K76:ED76,
     LAMBDA(
       job,
       buff,
       target,
       check,
       IF(
         AND(check=TRUE, REGEXMATCH(target, ""SELF_EFFECTED_ALL""), ISNUMBER(buff), job=""学者""),"&amp;"
         buff,
         1
       )
     )
   )
 )"),1.0)</f>
        <v>1</v>
      </c>
      <c r="EM76" s="200">
        <f>IFERROR(__xludf.DUMMYFUNCTION("PRODUCT(
   MAP(
     K$3:ED$3,
     K$14:ED$14,
     K$13:ED$13,
     K76:ED76,
     LAMBDA(
       job,
       buff,
       target,
       check,
       IF(
         AND(check=TRUE, REGEXMATCH(target, ""SELF_EFFECTED_GCD""), ISNUMBER(buff), job=""学者""),"&amp;"
         buff,
         1
       )
     )
   )
 )"),1.0)</f>
        <v>1</v>
      </c>
      <c r="EN76" s="200">
        <f>IFERROR(__xludf.DUMMYFUNCTION("PRODUCT(
   MAP(
     K$3:ED$3,
     K$14:ED$14,
     K$13:ED$13,
     K76:ED76,
     LAMBDA(
       job,
       buff,
       target,
       check,
       IF(
         AND(check=TRUE, REGEXMATCH(target, ""SELF_EFFECTED_ALL""), ISNUMBER(buff), job=""賢者""),"&amp;"
         buff,
         1
       )
     )
   )
 )"),1.0)</f>
        <v>1</v>
      </c>
      <c r="EO76" s="200">
        <f>IFERROR(__xludf.DUMMYFUNCTION("PRODUCT(
   MAP(
     K$3:ED$3,
     K$14:ED$14,
     K$13:ED$13,
     K76:ED76,
     LAMBDA(
       job,
       buff,
       target,
       check,
       IF(
         AND(check=TRUE, REGEXMATCH(target, ""SELF_EFFECTED_GCD""), ISNUMBER(buff), job=""賢者""),"&amp;"
         buff,
         1
       )
     )
   )
 )"),1.0)</f>
        <v>1</v>
      </c>
      <c r="EP76" s="201">
        <f t="shared" si="3"/>
        <v>0</v>
      </c>
      <c r="EQ76" s="201">
        <f>IFERROR(__xludf.DUMMYFUNCTION("SUM(
   MAP(
     K$4:ED$4,
     K$3:ED$3,
     K$7:ED$7,
     K$15:ED$15,
     K$16:ED$16,
     K$21:ED$21,
     K$5:ED$5,
     K$17:ED$17,
     K76:ED76,
     LAMBDA(
       name,
       job,
       abillity,
       buff,
       barrier,
       enhance,"&amp;"
       assign,
       precondition,
       check,
       SWITCH(
         name,
         ""シェイクオフ"", IF(check=TRUE, buff + (0.02 * COUNTIF(ARRAYFORMULA((REGEXMATCH($K$4:$ED$4, ""スリル・オブ・バトル|ヴェンジェンス|原初の血気|ダムネーション"")) * (K76:ED76=TRUE)), 1)), 0),
         "&amp;"""インプロビゼーションフィニッシュ(踊りの激情0)"", IF(ISNUMBER(check), INDEX(Skill!$AJ:$AJ, MATCH(SUBSTITUTE(DV$4, 0, check), Skill!$C:$C, 0)), 0),
         IF(
           AND(check=TRUE, REGEXMATCH(assign, ""RANGE_PARTY"")),
           IF(
             OR(ARRAYFORMULA((IF(pr"&amp;"econdition="""", FALSE, REGEXMATCH($K$4:$ED$4, precondition))) * (K76:ED76=TRUE))),
             enhance,
             IF(barrier="""", buff, barrier)
           ),
           0
         )
       ) *
       SWITCH(
         job,
         ""ナイト"", EY$24,
 "&amp;"        ""戦士"", FD$24,
         ""踊り子"", ET$24,
         ""ピクトマンサー"", ET$24,
         ""白魔道士"", EF76 * EH76 * IF(abillity, 1, EG76 * EI76) * (Option!$D$22 * 0.81 / 100),
         ""占星術師"", EF76 * EJ76 * IF(abillity, 1, EG76 * EK76) * (Option!$D$23 * 0.81 "&amp;"/ 100),
         ""学者"", EF76 * EL76 * IF(abillity, 1, EG76 * EM76) * (Option!$D$24 * 0.81 / 100),
         ""賢者"", EF76 * EN76 * IF(abillity, 1, EG76 * EO76) * (Option!$D$25 * 0.81 / 100),
         1
       )
     )
   )
 )"),0.0)</f>
        <v>0</v>
      </c>
      <c r="ER76" s="202">
        <f t="shared" si="4"/>
        <v>0</v>
      </c>
      <c r="ES76" s="203">
        <f t="shared" si="5"/>
        <v>0</v>
      </c>
      <c r="ET76" s="231" t="str">
        <f>IFERROR(__xludf.DUMMYFUNCTION("IFS(
  EP76 &gt; $ET$24 + EQ76,
  SPARKLINE({ 1, 0 }, {""charttype"",""bar"";""max"", 1;""color1"",Option!$D$30;""color2"",Option!$D$30}),
  EP76 &lt; EQ76,
  SPARKLINE({EQ76 - EP76, $ET$24 - (EQ76 - EP76)}, {""charttype"",""bar"";""max"",$ET$24;""color1"",Opti"&amp;"on!$D$28;""color2"",Option!$D$29}),
  EP76 &gt;= EQ76,
  SPARKLINE({$ET$24 + EQ76 - EP76,EP76 - EQ76}, {""charttype"",""bar"";""max"",$ET$24;""color1"",Option!$D$29;""color2"",Option!$D$30})
)"),"")</f>
        <v/>
      </c>
      <c r="EU76" s="205">
        <f>IFERROR(__xludf.DUMMYFUNCTION("PRODUCT(
   MAP(
     IF($F76=""Physical"", K$10:ED$10, IF($F76=""Magic"", K$11:ED$11, K$12:ED$12)),
     IF($F76=""Physical"", K$18:ED$18, IF($F76=""Magic"", K$19:ED$19, K$20:ED$20)),
     K$3:ED$3,
     K$5:ED$5,
     K$17:ED$17,
     K76:ED76,
     LAM"&amp;"BDA(
       mitigation,
       enhance,
       job,
       assign,
       precondition,
       check,
       IF(
         OR(AND(check=TRUE, REGEXMATCH(assign, ""SELF""), job=""ナイト""), AND(check=Option!$E$13, REGEXMATCH(assign, ""SINGLE_PARTY""))),
      "&amp;"   IF(
           OR(ARRAYFORMULA((IF(precondition="""", FALSE, REGEXMATCH($K$4:$ED$4, precondition))) * (K76:ED76=TRUE))),
           enhance,
           mitigation
         ),
         1
       )
     )
   )
 ) * EE76"),1.0)</f>
        <v>1</v>
      </c>
      <c r="EV76" s="206">
        <f t="shared" si="6"/>
        <v>0</v>
      </c>
      <c r="EW76" s="205">
        <f>IFERROR(__xludf.DUMMYFUNCTION("PRODUCT(
   MAP(
     K$3:ED$3,
     K$14:ED$14,
     K$13:ED$13,
     K76:ED76,
     LAMBDA(
       job,
       buff,
       target,
       check,
       IF(
         OR(AND(check=TRUE, REGEXMATCH(target, ""SELF_AFFECTED_ALL""), job=""ナイト""), AND(check=O"&amp;"ption!$E$13, REGEXMATCH(target, ""SINGLE_AFFECTED_ALL""))),
         buff,
         1
       )
     )
   )
 )"),1.0)</f>
        <v>1</v>
      </c>
      <c r="EX76" s="206">
        <f>IFERROR(__xludf.DUMMYFUNCTION("SUM(
   MAP(
     K$3:ED$3,
     K$7:ED$7,
     K$15:ED$15,
     K$16:ED$16,
     K$21:ED$21,
     K$5:ED$5,
     K$17:ED$17,
     K76:ED76,
     LAMBDA(
       job,
       abillity,
       buff,
       barrier,
       enhance,
       assign,
       preco"&amp;"ndition,
       check,
       IF(
         OR(AND(check=TRUE, REGEXMATCH(assign, ""SELF""), job=""ナイト""), AND(check=Option!$E$13, REGEXMATCH(assign, ""SINGLE_PARTY""))),
         IF(
           OR(ARRAYFORMULA((IF(precondition="""", FALSE, REGEXMATCH($K$4"&amp;":$ED$4, precondition))) * (K76:ED76=TRUE))),
           enhance,
           IF(barrier="""", buff, barrier)
         ),
         0
       ) *
       SWITCH(
         job,
         ""暗黒騎士"", EY$24,
         ""白魔道士"", EF76 * EH76 * EW76 * IF(abillity, 1, EG"&amp;"76 * EI76) * (Option!$D$22 * 0.81 / 100),
         ""占星術師"", EF76 * EJ76 * EW76 * IF(abillity, 1, EG76 * EK76) * (Option!$D$23 * 0.81 / 100),
         ""学者"", EF76 * EL76 * EW76 * IF(abillity, 1, EG76 * EM76) * (Option!$D$24 * 0.81 / 100),
         ""賢者"""&amp;", EF76 * EN76 * EW76 * IF(abillity, 1, EG76 * EO76) * (Option!$D$25 * 0.81 / 100),
         1
       )
     )
   )
 ) + EQ76"),0.0)</f>
        <v>0</v>
      </c>
      <c r="EY76" s="232">
        <f t="shared" si="7"/>
        <v>0</v>
      </c>
      <c r="EZ76" s="205">
        <f>IFERROR(__xludf.DUMMYFUNCTION("PRODUCT(
   MAP(
     IF($F76=""Physical"", K$10:ED$10, IF($F76=""Magic"", K$11:ED$11, K$12:ED$12)),
     IF($F76=""Physical"", K$18:ED$18, IF($F76=""Magic"", K$19:ED$19, K$20:ED$20)),
     K$3:ED$3,
     K$5:ED$5,
     K$17:ED$17,
     K76:ED76,
     LAM"&amp;"BDA(
       mitigation,
       enhance,
       job,
       assign,
       precondition,
       check,
       IF(
         OR(AND(check=TRUE, REGEXMATCH(assign, ""SELF""), job=""戦士""), AND(check=Option!$F$13, REGEXMATCH(assign, ""SINGLE_PARTY""))),
       "&amp;"  IF(
           OR(ARRAYFORMULA((IF(precondition="""", FALSE, REGEXMATCH($K$4:$ED$4, precondition))) * (K76:ED76=TRUE))),
           enhance,
           mitigation
         ),
         1
       )
     )
   )
 ) * EE76"),1.0)</f>
        <v>1</v>
      </c>
      <c r="FA76" s="206">
        <f t="shared" si="8"/>
        <v>0</v>
      </c>
      <c r="FB76" s="205">
        <f>IFERROR(__xludf.DUMMYFUNCTION("PRODUCT(
   MAP(
     K$3:ED$3,
     K$14:ED$14,
     K$13:ED$13,
     K76:ED76,
     LAMBDA(
       job,
       buff,
       target,
       check,
       IF(
         OR(AND(check=TRUE, REGEXMATCH(target, ""SELF_AFFECTED_ALL""), job=""戦士""), AND(check=Op"&amp;"tion!$F$13, REGEXMATCH(target, ""SINGLE_AFFECTED_ALL""))),
         buff,
         1
       )
     )
   )
 )"),1.0)</f>
        <v>1</v>
      </c>
      <c r="FC76" s="206">
        <f>IFERROR(__xludf.DUMMYFUNCTION("SUM(
   MAP(
     K$3:ED$3,
     K$7:ED$7,
     K$15:ED$15,
     K$16:ED$16,
     K$21:ED$21,
     K$5:ED$5,
     K$17:ED$17,
     K76:ED76,
     LAMBDA(
       job,
       abillity,
       buff,
       barrier,
       enhance,
       assign,
       preco"&amp;"ndition,
       check,
       IF(
         OR(AND(check=TRUE, REGEXMATCH(assign, ""SELF""), job=""戦士""), AND(check=Option!$F$13, REGEXMATCH(assign, ""SINGLE_PARTY""))),
         IF(
           OR(ARRAYFORMULA((IF(precondition="""", FALSE, REGEXMATCH($K$4:"&amp;"$ED$4, precondition))) * (K76:ED76=TRUE))),
           enhance,
           IF(barrier="""", buff, barrier)
         ),
         0
       ) *
       SWITCH(
         job,
         ""暗黒騎士"", FD$24,
         ""白魔道士"", EF76 * EH76 * FB76 * IF(abillity, 1, EG7"&amp;"6 * EI76) * (Option!$D$22 * 0.81 / 100),
         ""占星術師"", EF76 * EJ76 * FFB76 * IF(abillity, 1, EG76 * EK76) * (Option!$D$23 * 0.81 / 100),
         ""学者"", EF76 * EL76 * FB76 * IF(abillity, 1, EG76 * EM76) * (Option!$D$24 * 0.81 / 100),
         ""賢者"""&amp;", EF76 * EN76 * FB76 * IF(abillity, 1, EG76 * EO76) * (Option!$D$25 * 0.81 / 100),
         1
       )
     )
   )
 ) + EQ76"),0.0)</f>
        <v>0</v>
      </c>
      <c r="FD76" s="206">
        <f t="shared" si="9"/>
        <v>0</v>
      </c>
      <c r="FE76" s="205">
        <f>IFERROR(__xludf.DUMMYFUNCTION("PRODUCT(
   MAP(
     IF($F76=""Physical"", K$10:ED$10, IF($F76=""Magic"", K$11:ED$11, K$12:ED$12)),
     IF($F76=""Physical"", K$18:ED$18, IF($F76=""Magic"", K$19:ED$19, K$20:ED$20)),
     K$3:ED$3,
     K$5:ED$5,
     K$17:ED$17,
     K76:ED76,
     LAM"&amp;"BDA(
       mitigation,
       enhance,
       job,
       assign,
       precondition,
       check,
       IF(
         OR(AND(check=TRUE, REGEXMATCH(assign, ""SELF""), job=""暗黒騎士""), AND(check=Option!$G$13, REGEXMATCH(assign, ""SINGLE_PARTY""))),
     "&amp;"    IF(
           OR(ARRAYFORMULA((IF(precondition="""", FALSE, REGEXMATCH($K$4:$ED$4, precondition))) * (K76:ED76=TRUE))),
           enhance,
           mitigation
         ),
         1
       )
     )
   )
 ) * EE76"),1.0)</f>
        <v>1</v>
      </c>
      <c r="FF76" s="206">
        <f t="shared" si="10"/>
        <v>0</v>
      </c>
      <c r="FG76" s="205">
        <f>IFERROR(__xludf.DUMMYFUNCTION("PRODUCT(
   MAP(
     K$3:ED$3,
     K$14:ED$14,
     K$13:ED$13,
     K76:ED76,
     LAMBDA(
       job,
       buff,
       target,
       check,
       IF(
         OR(AND(check=TRUE, REGEXMATCH(target, ""SELF_AFFECTED_ALL""), job=""暗黒騎士""), AND(check="&amp;"Option!$G$13, REGEXMATCH(target, ""SINGLE_AFFECTED_ALL""))),
         buff,
         1
       )
     )
   )
 )"),1.0)</f>
        <v>1</v>
      </c>
      <c r="FH76" s="206">
        <f>IFERROR(__xludf.DUMMYFUNCTION("SUM(
   MAP(
     K$3:ED$3,
     K$7:ED$7,
     K$15:ED$15,
     K$16:ED$16,
     K$21:ED$21,
     K$5:ED$5,
     K$17:ED$17,
     K76:ED76,
     LAMBDA(
       job,
       abillity,
       buff,
       barrier,
       enhance,
       assign,
       preco"&amp;"ndition,
       check,
       IF(
         OR(AND(check=TRUE, REGEXMATCH(assign, ""SELF""), job=""暗黒騎士""), AND(check=Option!$G$13, REGEXMATCH(assign, ""SINGLE_PARTY""))),
         IF(
           OR(ARRAYFORMULA((IF(precondition="""", FALSE, REGEXMATCH($K$"&amp;"4:$ED$4, precondition))) * (K76:ED76=TRUE))),
           enhance,
           IF(barrier="""", buff, barrier)
         ),
         0
       ) *
       SWITCH(
         job,
         ""暗黒騎士"", FI$24,
         ""白魔道士"", EF76 * EH76 * FG76 * IF(abillity, 1, E"&amp;"G76 * EI76) * (Option!$D$22 * 0.81 / 100),
         ""占星術師"", EF76 * EJ76 * FG76 * IF(abillity, 1, EG76 * EK76) * (Option!$D$23 * 0.81 / 100),
         ""学者"", EF76 * EL76 * FG76 * IF(abillity, 1, EG76 * EM76) * (Option!$D$24 * 0.81 / 100),
         ""賢者"&amp;""", EF76 * EN76 * FG76 * IF(abillity, 1, EG76 * EO76) * (Option!$D$25 * 0.81 / 100),
         1
       )
     )
   )
 ) + EQ76"),0.0)</f>
        <v>0</v>
      </c>
      <c r="FI76" s="206">
        <f t="shared" si="11"/>
        <v>0</v>
      </c>
      <c r="FJ76" s="205">
        <f>IFERROR(__xludf.DUMMYFUNCTION("PRODUCT(
   MAP(
     IF($F76=""Physical"", K$10:ED$10, IF($F76=""Magic"", K$11:ED$11, K$12:ED$12)),
     IF($F76=""Physical"", K$18:ED$18, IF($F76=""Magic"", K$19:ED$19, K$20:ED$20)),
     K$3:ED$3,
     K$5:ED$5,
     K$17:ED$17,
     K76:ED76,
     LAM"&amp;"BDA(
       mitigation,
       enhance,
       job,
       assign,
       precondition,
       check,
       IF(
         OR(AND(check=TRUE, REGEXMATCH(assign, ""SELF""), job=""ガンブレイカー""), AND(check=Option!$H$13, REGEXMATCH(assign, ""SINGLE_PARTY""))),
  "&amp;"       IF(
           OR(ARRAYFORMULA((IF(precondition="""", FALSE, REGEXMATCH($K$4:$ED$4, precondition))) * (K76:ED76=TRUE))),
           enhance,
           mitigation
         ),
         1
       )
     )
   )
 ) * EE76"),1.0)</f>
        <v>1</v>
      </c>
      <c r="FK76" s="206">
        <f t="shared" si="12"/>
        <v>0</v>
      </c>
      <c r="FL76" s="205">
        <f>IFERROR(__xludf.DUMMYFUNCTION("PRODUCT(
   MAP(
     K$3:ED$3,
     K$14:ED$14,
     K$13:ED$13,
     K76:ED76,
     LAMBDA(
       job,
       buff,
       target,
       check,
       IF(
         OR(AND(check=TRUE, REGEXMATCH(target, ""SELF_AFFECTED_ALL""), job=""ガンブレイカー""), AND(che"&amp;"ck=Option!$H$13, REGEXMATCH(target, ""SINGLE_AFFECTED_ALL""))),
         buff,
         1
       )
     )
   )
 )"),1.0)</f>
        <v>1</v>
      </c>
      <c r="FM76" s="206">
        <f>IFERROR(__xludf.DUMMYFUNCTION("SUM(
   MAP(
     K$3:ED$3,
     K$7:ED$7,
     K$15:ED$15,
     K$16:ED$16,
     K$21:ED$21,
     K$5:ED$5,
     K$17:ED$17,
     K76:ED76,
     LAMBDA(
       job,
       abillity,
       buff,
       barrier,
       enhance,
       assign,
       preco"&amp;"ndition,
       check,
       IF(
         OR(AND(check=TRUE, REGEXMATCH(assign, ""SELF""), job=""ガンブレイカー""), AND(check=Option!$H$13, REGEXMATCH(assign, ""SINGLE_PARTY""))),
         IF(
           OR(ARRAYFORMULA((IF(precondition="""", FALSE, REGEXMATCH("&amp;"$K$4:$ED$4, precondition))) * (K76:ED76=TRUE))),
           enhance,
           IF(barrier="""", buff, barrier)
         ),
         0
       ) *
       SWITCH(
         job,
         ""暗黒騎士"", FN$24,
         ""白魔道士"", EF76 * EH76 * FL76 * IF(abillity, 1"&amp;", EG76 * EI76) * (Option!$D$22 * 0.81 / 100),
         ""占星術師"", EF76 * EJ76 * FL76 * IF(abillity, 1, EG76 * EK76) * (Option!$D$23 * 0.81 / 100),
         ""学者"", EF76 * EL76 * FL76 * IF(abillity, 1, EG76 * EM76) * (Option!$D$24 * 0.81 / 100),
         """&amp;"賢者"", EF76 * EN76 * FL76 * IF(abillity, 1, EG76 * EO76) * (Option!$D$25 * 0.81 / 100),
         1
       )
     )
   )
 ) + EQ76"),0.0)</f>
        <v>0</v>
      </c>
      <c r="FN76" s="206">
        <f t="shared" si="13"/>
        <v>0</v>
      </c>
      <c r="FO76" s="213"/>
    </row>
    <row r="77">
      <c r="C77" s="65"/>
      <c r="D77" s="65"/>
      <c r="G77" s="66"/>
      <c r="H77" s="4"/>
      <c r="I77" s="4"/>
      <c r="J77" s="4"/>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8"/>
      <c r="DJ77" s="66"/>
      <c r="DK77" s="66"/>
      <c r="DL77" s="66"/>
      <c r="DM77" s="66"/>
      <c r="DN77" s="66"/>
      <c r="DO77" s="66"/>
      <c r="DP77" s="66"/>
      <c r="DQ77" s="66"/>
      <c r="DR77" s="66"/>
      <c r="DS77" s="66"/>
      <c r="DT77" s="66"/>
      <c r="DU77" s="66"/>
      <c r="DV77" s="66"/>
      <c r="DW77" s="66"/>
      <c r="DX77" s="66"/>
      <c r="DY77" s="66"/>
      <c r="DZ77" s="66"/>
      <c r="EA77" s="69"/>
      <c r="EB77" s="66"/>
      <c r="EC77" s="66"/>
      <c r="ED77" s="66"/>
      <c r="EE77" s="3"/>
      <c r="EF77" s="4"/>
      <c r="EG77" s="4"/>
      <c r="EH77" s="4"/>
      <c r="EI77" s="4"/>
      <c r="EJ77" s="4"/>
      <c r="EK77" s="4"/>
      <c r="EL77" s="4"/>
      <c r="EM77" s="4"/>
      <c r="EN77" s="4"/>
      <c r="EO77" s="4"/>
      <c r="EP77" s="4"/>
      <c r="EQ77" s="70"/>
      <c r="ER77" s="70"/>
      <c r="ES77" s="70"/>
      <c r="ET77" s="70"/>
      <c r="EU77" s="71"/>
      <c r="EV77" s="70"/>
      <c r="EW77" s="70"/>
      <c r="EX77" s="70"/>
      <c r="EY77" s="70"/>
      <c r="EZ77" s="71"/>
      <c r="FA77" s="70"/>
      <c r="FB77" s="70"/>
      <c r="FC77" s="70"/>
      <c r="FD77" s="70"/>
      <c r="FE77" s="71"/>
      <c r="FF77" s="70"/>
      <c r="FG77" s="70"/>
      <c r="FH77" s="70"/>
      <c r="FI77" s="70"/>
      <c r="FJ77" s="71"/>
      <c r="FK77" s="70"/>
      <c r="FL77" s="70"/>
      <c r="FM77" s="70"/>
      <c r="FN77" s="70"/>
      <c r="FO77" s="70"/>
    </row>
  </sheetData>
  <mergeCells count="43">
    <mergeCell ref="BY23:CS23"/>
    <mergeCell ref="CT23:DI23"/>
    <mergeCell ref="EE23:EE24"/>
    <mergeCell ref="EF23:EG23"/>
    <mergeCell ref="EH23:EI23"/>
    <mergeCell ref="EJ23:EK23"/>
    <mergeCell ref="EL23:EM23"/>
    <mergeCell ref="EN23:EO23"/>
    <mergeCell ref="EP23:EP24"/>
    <mergeCell ref="EQ23:EQ24"/>
    <mergeCell ref="AF24:AG24"/>
    <mergeCell ref="AZ24:BA24"/>
    <mergeCell ref="BB24:BC24"/>
    <mergeCell ref="BS24:BT24"/>
    <mergeCell ref="B22:B24"/>
    <mergeCell ref="C22:D24"/>
    <mergeCell ref="E22:E24"/>
    <mergeCell ref="F22:G24"/>
    <mergeCell ref="H22:J23"/>
    <mergeCell ref="K22:ED22"/>
    <mergeCell ref="ER22:ES23"/>
    <mergeCell ref="BV24:BW24"/>
    <mergeCell ref="EE22:EQ22"/>
    <mergeCell ref="EU22:EX22"/>
    <mergeCell ref="EZ22:FC22"/>
    <mergeCell ref="FE22:FH22"/>
    <mergeCell ref="FJ22:FM22"/>
    <mergeCell ref="K23:S23"/>
    <mergeCell ref="T23:AB23"/>
    <mergeCell ref="AC23:AK23"/>
    <mergeCell ref="AL23:AR23"/>
    <mergeCell ref="AS23:BD23"/>
    <mergeCell ref="BE23:BX23"/>
    <mergeCell ref="DJ23:DK23"/>
    <mergeCell ref="DQ23:DR23"/>
    <mergeCell ref="DS23:DT23"/>
    <mergeCell ref="DU23:DV23"/>
    <mergeCell ref="DY23:DZ23"/>
    <mergeCell ref="EA23:EC23"/>
    <mergeCell ref="EU23:EY23"/>
    <mergeCell ref="EZ23:FD23"/>
    <mergeCell ref="FE23:FI23"/>
    <mergeCell ref="FJ23:FN23"/>
  </mergeCells>
  <conditionalFormatting sqref="K25:ED76">
    <cfRule type="expression" dxfId="7" priority="1">
      <formula>OR(COUNTIFS($D$25:$D25,"&gt;"&amp;$D25 - K$8/(60*60*24), K$25:K25, "=TRUE", K$24:K24, "&lt;&gt;TRUE"), COUNTIFS($D$25:$D25,"&gt;"&amp;$D25 - K$8/(60*60*24), K$25:K25, "&lt;&gt;TRUE", K$25:K25, "&lt;&gt;FALSE", K$25:K25, "&lt;&gt;-", K$24:K24, "=-"), IF(ISBLANK($K10), COUNTIFS(#REF!,"&gt;"&amp;$D25 - K$8/(60*60*24), #REF!, "&lt;&gt;TRUE", #REF!, "&lt;&gt;FALSE", #REF!, "&lt;&gt;-"), 0))</formula>
    </cfRule>
  </conditionalFormatting>
  <conditionalFormatting sqref="K25:ED76">
    <cfRule type="expression" dxfId="8" priority="2">
      <formula>IF(K$6&gt;1, 0, COUNTIFS($D$25:$D25,"&gt;"&amp;$D25 - K$9/(60*60*24), K$25:K25, "=TRUE", K$24:K24, "&lt;&gt;TRUE")+COUNTIFS($D$25:$D25,"&gt;"&amp;$D25 - K$9/(60*60*24), K$25:K25, "&lt;&gt;TRUE", K$25:K25, "&lt;&gt;FALSE", K$25:K25, "&lt;&gt;-", K$24:K24, "=-")+COUNTIFS(#REF!,"&gt;"&amp;$D25 - K$9/(60*60*24), #REF!, "&lt;&gt;TRUE", #REF!, "&lt;&gt;FALSE", #REF!, "&lt;&gt;-")) &gt;0</formula>
    </cfRule>
  </conditionalFormatting>
  <conditionalFormatting sqref="K25:ED76">
    <cfRule type="expression" dxfId="8" priority="3">
      <formula>AND(K$6 &gt; 1, L25 = 0)</formula>
    </cfRule>
  </conditionalFormatting>
  <conditionalFormatting sqref="K25:ED76">
    <cfRule type="expression" dxfId="9" priority="4">
      <formula>AND(K$6 &gt; 1, L25 &lt; K$6)</formula>
    </cfRule>
  </conditionalFormatting>
  <conditionalFormatting sqref="E25:E76 F45">
    <cfRule type="containsText" dxfId="10" priority="5" operator="containsText" text="AA">
      <formula>NOT(ISERROR(SEARCH(("AA"),(E25))))</formula>
    </cfRule>
  </conditionalFormatting>
  <dataValidations>
    <dataValidation type="list" allowBlank="1" sqref="F25:F44 F46:F76">
      <formula1>"Physical,Magic,Unique"</formula1>
    </dataValidation>
    <dataValidation type="list" allowBlank="1" showErrorMessage="1" sqref="DV25:DV76">
      <formula1>"-,0,1,2,3,4"</formula1>
    </dataValidation>
    <dataValidation type="list" allowBlank="1" sqref="N25:N76 V25:V76 AE25:AF76 AN25:AN76 AY25:AZ76 BB25:BB76 BD25:BD76 BO25:BS76 BU25:BV76 BX25:BX76 CM25:CQ76 DD25:DG76">
      <formula1>Option!$D$14:$X$14</formula1>
    </dataValidation>
  </dataValidations>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4.0" topLeftCell="F25" activePane="bottomRight" state="frozen"/>
      <selection activeCell="F1" sqref="F1" pane="topRight"/>
      <selection activeCell="A25" sqref="A25" pane="bottomLeft"/>
      <selection activeCell="F25" sqref="F25" pane="bottomRight"/>
    </sheetView>
  </sheetViews>
  <sheetFormatPr customHeight="1" defaultColWidth="12.63" defaultRowHeight="15.75"/>
  <cols>
    <col customWidth="1" min="1" max="1" width="2.63"/>
    <col customWidth="1" min="2" max="4" width="6.38"/>
    <col customWidth="1" min="5" max="5" width="41.38"/>
    <col customWidth="1" min="6" max="6" width="10.38"/>
    <col customWidth="1" min="7" max="7" width="2.88"/>
    <col customWidth="1" min="8" max="8" width="9.5"/>
    <col customWidth="1" min="9" max="9" width="8.88"/>
    <col customWidth="1" min="10" max="10" width="3.88"/>
    <col customWidth="1" min="11" max="13" width="3.25"/>
    <col customWidth="1" min="14" max="14" width="6.38"/>
    <col customWidth="1" min="15" max="19" width="3.25"/>
    <col customWidth="1" hidden="1" min="20" max="21" width="3.25"/>
    <col customWidth="1" hidden="1" min="22" max="22" width="6.38"/>
    <col customWidth="1" hidden="1" min="23" max="28" width="3.25"/>
    <col customWidth="1" min="29" max="30" width="3.25"/>
    <col customWidth="1" min="31" max="32" width="6.38"/>
    <col customWidth="1" min="33" max="37" width="3.25"/>
    <col customWidth="1" hidden="1" min="38" max="39" width="3.25"/>
    <col customWidth="1" hidden="1" min="40" max="40" width="6.38"/>
    <col customWidth="1" hidden="1" min="41" max="50" width="3.25"/>
    <col customWidth="1" hidden="1" min="51" max="52" width="6.38"/>
    <col customWidth="1" hidden="1" min="53" max="53" width="3.25"/>
    <col customWidth="1" hidden="1" min="54" max="54" width="6.38"/>
    <col customWidth="1" hidden="1" min="55" max="55" width="3.25"/>
    <col customWidth="1" hidden="1" min="56" max="56" width="6.38"/>
    <col customWidth="1" min="57" max="64" width="3.25"/>
    <col customWidth="1" hidden="1" min="65" max="66" width="3.25"/>
    <col customWidth="1" hidden="1" min="67" max="71" width="6.38"/>
    <col customWidth="1" hidden="1" min="72" max="72" width="3.25"/>
    <col customWidth="1" hidden="1" min="73" max="74" width="6.38"/>
    <col customWidth="1" hidden="1" min="75" max="75" width="3.25"/>
    <col customWidth="1" hidden="1" min="76" max="76" width="6.38"/>
    <col customWidth="1" min="77" max="80" width="3.25"/>
    <col customWidth="1" hidden="1" min="81" max="81" width="3.25"/>
    <col customWidth="1" min="82" max="89" width="3.25"/>
    <col customWidth="1" hidden="1" min="90" max="90" width="3.25"/>
    <col customWidth="1" hidden="1" min="91" max="95" width="6.38"/>
    <col customWidth="1" min="96" max="96" width="3.25"/>
    <col customWidth="1" min="97" max="97" width="5.75"/>
    <col customWidth="1" hidden="1" min="98" max="107" width="3.25"/>
    <col customWidth="1" hidden="1" min="108" max="111" width="6.38"/>
    <col customWidth="1" hidden="1" min="112" max="112" width="3.25"/>
    <col customWidth="1" hidden="1" min="113" max="113" width="5.75"/>
    <col customWidth="1" hidden="1" min="114" max="117" width="3.25"/>
    <col customWidth="1" min="118" max="118" width="3.25"/>
    <col customWidth="1" hidden="1" min="119" max="120" width="3.25"/>
    <col customWidth="1" min="121" max="122" width="3.25"/>
    <col customWidth="1" hidden="1" min="123" max="125" width="3.25"/>
    <col customWidth="1" hidden="1" min="126" max="126" width="3.88"/>
    <col customWidth="1" hidden="1" min="127" max="127" width="3.25"/>
    <col customWidth="1" min="128" max="130" width="3.25"/>
    <col customWidth="1" hidden="1" min="131" max="133" width="3.25"/>
    <col customWidth="1" min="134" max="134" width="3.25"/>
    <col customWidth="1" hidden="1" min="135" max="147" width="8.88"/>
    <col customWidth="1" min="148" max="149" width="9.5"/>
    <col customWidth="1" min="150" max="150" width="13.5"/>
    <col customWidth="1" hidden="1" min="151" max="154" width="8.88"/>
    <col customWidth="1" min="155" max="155" width="13.5"/>
    <col customWidth="1" hidden="1" min="156" max="159" width="8.88"/>
    <col customWidth="1" min="160" max="160" width="13.5"/>
    <col customWidth="1" hidden="1" min="161" max="164" width="8.88"/>
    <col customWidth="1" min="165" max="165" width="13.5"/>
    <col customWidth="1" hidden="1" min="166" max="169" width="8.88"/>
    <col customWidth="1" min="170" max="171" width="13.5"/>
  </cols>
  <sheetData>
    <row r="1" hidden="1">
      <c r="B1" s="1"/>
      <c r="C1" s="65"/>
      <c r="D1" s="65"/>
      <c r="G1" s="66"/>
      <c r="H1" s="4"/>
      <c r="I1" s="4"/>
      <c r="J1" s="4"/>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7" t="s">
        <v>1035</v>
      </c>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8"/>
      <c r="DJ1" s="66"/>
      <c r="DK1" s="66"/>
      <c r="DL1" s="66"/>
      <c r="DM1" s="66"/>
      <c r="DN1" s="66"/>
      <c r="DO1" s="66"/>
      <c r="DP1" s="66"/>
      <c r="DQ1" s="66"/>
      <c r="DR1" s="66"/>
      <c r="DS1" s="66"/>
      <c r="DT1" s="66"/>
      <c r="DU1" s="66"/>
      <c r="DV1" s="66"/>
      <c r="DW1" s="66"/>
      <c r="DX1" s="66"/>
      <c r="DY1" s="66"/>
      <c r="DZ1" s="66"/>
      <c r="EA1" s="69"/>
      <c r="EB1" s="66"/>
      <c r="EC1" s="66"/>
      <c r="ED1" s="66"/>
      <c r="EE1" s="3"/>
      <c r="EF1" s="4"/>
      <c r="EG1" s="4"/>
      <c r="EH1" s="4"/>
      <c r="EI1" s="4"/>
      <c r="EJ1" s="4"/>
      <c r="EK1" s="4"/>
      <c r="EL1" s="4"/>
      <c r="EM1" s="4"/>
      <c r="EN1" s="4"/>
      <c r="EO1" s="4"/>
      <c r="EP1" s="4"/>
      <c r="EQ1" s="70"/>
      <c r="ER1" s="70"/>
      <c r="ES1" s="70"/>
      <c r="ET1" s="70"/>
      <c r="EU1" s="71"/>
      <c r="EV1" s="70"/>
      <c r="EW1" s="70"/>
      <c r="EX1" s="70"/>
      <c r="EY1" s="70"/>
      <c r="EZ1" s="71"/>
      <c r="FA1" s="70"/>
      <c r="FB1" s="70"/>
      <c r="FC1" s="70"/>
      <c r="FD1" s="70"/>
      <c r="FE1" s="71"/>
      <c r="FF1" s="70"/>
      <c r="FG1" s="70"/>
      <c r="FH1" s="70"/>
      <c r="FI1" s="70"/>
      <c r="FJ1" s="71"/>
      <c r="FK1" s="70"/>
      <c r="FL1" s="70"/>
      <c r="FM1" s="70"/>
      <c r="FN1" s="70"/>
      <c r="FO1" s="70"/>
    </row>
    <row r="2" hidden="1">
      <c r="B2" s="72" t="s">
        <v>1036</v>
      </c>
      <c r="C2" s="73" t="s">
        <v>1037</v>
      </c>
      <c r="D2" s="74" t="s">
        <v>1038</v>
      </c>
      <c r="E2" s="73" t="s">
        <v>1039</v>
      </c>
      <c r="F2" s="73" t="s">
        <v>1040</v>
      </c>
      <c r="G2" s="73" t="s">
        <v>1040</v>
      </c>
      <c r="H2" s="75" t="s">
        <v>1041</v>
      </c>
      <c r="I2" s="75" t="s">
        <v>1041</v>
      </c>
      <c r="J2" s="75" t="s">
        <v>1041</v>
      </c>
      <c r="K2" s="76" t="s">
        <v>1042</v>
      </c>
      <c r="L2" s="76" t="s">
        <v>1042</v>
      </c>
      <c r="M2" s="76" t="s">
        <v>1043</v>
      </c>
      <c r="N2" s="76" t="s">
        <v>1042</v>
      </c>
      <c r="O2" s="76" t="s">
        <v>1042</v>
      </c>
      <c r="P2" s="76" t="s">
        <v>1042</v>
      </c>
      <c r="Q2" s="76" t="s">
        <v>1042</v>
      </c>
      <c r="R2" s="76" t="s">
        <v>1042</v>
      </c>
      <c r="S2" s="76" t="s">
        <v>1042</v>
      </c>
      <c r="T2" s="76" t="s">
        <v>1042</v>
      </c>
      <c r="U2" s="76" t="s">
        <v>1043</v>
      </c>
      <c r="V2" s="76" t="s">
        <v>1042</v>
      </c>
      <c r="W2" s="76" t="s">
        <v>1042</v>
      </c>
      <c r="X2" s="76" t="s">
        <v>1042</v>
      </c>
      <c r="Y2" s="76" t="s">
        <v>1042</v>
      </c>
      <c r="Z2" s="76" t="s">
        <v>1042</v>
      </c>
      <c r="AA2" s="76" t="s">
        <v>28</v>
      </c>
      <c r="AB2" s="76" t="s">
        <v>1042</v>
      </c>
      <c r="AC2" s="76" t="s">
        <v>1042</v>
      </c>
      <c r="AD2" s="76" t="s">
        <v>1042</v>
      </c>
      <c r="AE2" s="76" t="s">
        <v>1043</v>
      </c>
      <c r="AF2" s="76" t="s">
        <v>1042</v>
      </c>
      <c r="AG2" s="76" t="s">
        <v>1042</v>
      </c>
      <c r="AH2" s="76" t="s">
        <v>1042</v>
      </c>
      <c r="AI2" s="76" t="s">
        <v>1042</v>
      </c>
      <c r="AJ2" s="76" t="s">
        <v>1042</v>
      </c>
      <c r="AK2" s="76" t="s">
        <v>1042</v>
      </c>
      <c r="AL2" s="76" t="s">
        <v>1042</v>
      </c>
      <c r="AM2" s="76" t="s">
        <v>1042</v>
      </c>
      <c r="AN2" s="76" t="s">
        <v>1042</v>
      </c>
      <c r="AO2" s="76" t="s">
        <v>1042</v>
      </c>
      <c r="AP2" s="76" t="s">
        <v>1042</v>
      </c>
      <c r="AQ2" s="76" t="s">
        <v>1042</v>
      </c>
      <c r="AR2" s="76" t="s">
        <v>1042</v>
      </c>
      <c r="AS2" s="76" t="s">
        <v>1042</v>
      </c>
      <c r="AT2" s="76" t="s">
        <v>1043</v>
      </c>
      <c r="AU2" s="76" t="s">
        <v>28</v>
      </c>
      <c r="AV2" s="76" t="s">
        <v>28</v>
      </c>
      <c r="AW2" s="76" t="s">
        <v>28</v>
      </c>
      <c r="AX2" s="76" t="s">
        <v>28</v>
      </c>
      <c r="AY2" s="76" t="s">
        <v>1042</v>
      </c>
      <c r="AZ2" s="76" t="s">
        <v>1043</v>
      </c>
      <c r="BA2" s="76" t="s">
        <v>1043</v>
      </c>
      <c r="BB2" s="76" t="s">
        <v>28</v>
      </c>
      <c r="BC2" s="76" t="s">
        <v>28</v>
      </c>
      <c r="BD2" s="76" t="s">
        <v>28</v>
      </c>
      <c r="BE2" s="76" t="s">
        <v>1042</v>
      </c>
      <c r="BF2" s="76" t="s">
        <v>28</v>
      </c>
      <c r="BG2" s="76" t="s">
        <v>1042</v>
      </c>
      <c r="BH2" s="76" t="s">
        <v>1043</v>
      </c>
      <c r="BI2" s="76" t="s">
        <v>28</v>
      </c>
      <c r="BJ2" s="76" t="s">
        <v>28</v>
      </c>
      <c r="BK2" s="76" t="s">
        <v>28</v>
      </c>
      <c r="BL2" s="76" t="s">
        <v>28</v>
      </c>
      <c r="BM2" s="76" t="s">
        <v>1042</v>
      </c>
      <c r="BN2" s="76" t="s">
        <v>1042</v>
      </c>
      <c r="BO2" s="76" t="s">
        <v>1042</v>
      </c>
      <c r="BP2" s="76" t="s">
        <v>1042</v>
      </c>
      <c r="BQ2" s="76" t="s">
        <v>1042</v>
      </c>
      <c r="BR2" s="76" t="s">
        <v>1042</v>
      </c>
      <c r="BS2" s="76" t="s">
        <v>28</v>
      </c>
      <c r="BT2" s="76" t="s">
        <v>28</v>
      </c>
      <c r="BU2" s="76" t="s">
        <v>1042</v>
      </c>
      <c r="BV2" s="76" t="s">
        <v>1043</v>
      </c>
      <c r="BW2" s="76" t="s">
        <v>1043</v>
      </c>
      <c r="BX2" s="76" t="s">
        <v>1043</v>
      </c>
      <c r="BY2" s="76" t="s">
        <v>1042</v>
      </c>
      <c r="BZ2" s="76" t="s">
        <v>1042</v>
      </c>
      <c r="CA2" s="76" t="s">
        <v>1042</v>
      </c>
      <c r="CB2" s="76" t="s">
        <v>1043</v>
      </c>
      <c r="CC2" s="76" t="s">
        <v>1043</v>
      </c>
      <c r="CD2" s="76" t="s">
        <v>28</v>
      </c>
      <c r="CE2" s="76" t="s">
        <v>28</v>
      </c>
      <c r="CF2" s="76" t="s">
        <v>28</v>
      </c>
      <c r="CG2" s="76" t="s">
        <v>1043</v>
      </c>
      <c r="CH2" s="76" t="s">
        <v>1043</v>
      </c>
      <c r="CI2" s="76" t="s">
        <v>28</v>
      </c>
      <c r="CJ2" s="76" t="s">
        <v>28</v>
      </c>
      <c r="CK2" s="76" t="s">
        <v>1042</v>
      </c>
      <c r="CL2" s="76" t="s">
        <v>1043</v>
      </c>
      <c r="CM2" s="76" t="s">
        <v>1043</v>
      </c>
      <c r="CN2" s="76" t="s">
        <v>28</v>
      </c>
      <c r="CO2" s="76" t="s">
        <v>1042</v>
      </c>
      <c r="CP2" s="76" t="s">
        <v>1043</v>
      </c>
      <c r="CQ2" s="76" t="s">
        <v>1043</v>
      </c>
      <c r="CR2" s="76" t="s">
        <v>28</v>
      </c>
      <c r="CS2" s="76"/>
      <c r="CT2" s="76" t="s">
        <v>1042</v>
      </c>
      <c r="CU2" s="76" t="s">
        <v>1042</v>
      </c>
      <c r="CV2" s="76" t="s">
        <v>1043</v>
      </c>
      <c r="CW2" s="76" t="s">
        <v>1043</v>
      </c>
      <c r="CX2" s="76" t="s">
        <v>28</v>
      </c>
      <c r="CY2" s="76" t="s">
        <v>28</v>
      </c>
      <c r="CZ2" s="76" t="s">
        <v>28</v>
      </c>
      <c r="DA2" s="76" t="s">
        <v>28</v>
      </c>
      <c r="DB2" s="76" t="s">
        <v>28</v>
      </c>
      <c r="DC2" s="76" t="s">
        <v>28</v>
      </c>
      <c r="DD2" s="76" t="s">
        <v>28</v>
      </c>
      <c r="DE2" s="76" t="s">
        <v>1042</v>
      </c>
      <c r="DF2" s="76" t="s">
        <v>1043</v>
      </c>
      <c r="DG2" s="76" t="s">
        <v>1043</v>
      </c>
      <c r="DH2" s="76" t="s">
        <v>28</v>
      </c>
      <c r="DI2" s="77"/>
      <c r="DJ2" s="76" t="s">
        <v>1042</v>
      </c>
      <c r="DK2" s="76" t="s">
        <v>28</v>
      </c>
      <c r="DL2" s="76" t="s">
        <v>1042</v>
      </c>
      <c r="DM2" s="76" t="s">
        <v>1042</v>
      </c>
      <c r="DN2" s="76" t="s">
        <v>1042</v>
      </c>
      <c r="DO2" s="76" t="s">
        <v>1042</v>
      </c>
      <c r="DP2" s="76" t="s">
        <v>1042</v>
      </c>
      <c r="DQ2" s="76" t="s">
        <v>1042</v>
      </c>
      <c r="DR2" s="76" t="s">
        <v>28</v>
      </c>
      <c r="DS2" s="76" t="s">
        <v>1042</v>
      </c>
      <c r="DT2" s="76" t="s">
        <v>1042</v>
      </c>
      <c r="DU2" s="76" t="s">
        <v>1042</v>
      </c>
      <c r="DV2" s="76" t="s">
        <v>1043</v>
      </c>
      <c r="DW2" s="76" t="s">
        <v>1042</v>
      </c>
      <c r="DX2" s="76" t="s">
        <v>1042</v>
      </c>
      <c r="DY2" s="76" t="s">
        <v>1042</v>
      </c>
      <c r="DZ2" s="76" t="s">
        <v>1042</v>
      </c>
      <c r="EA2" s="78" t="s">
        <v>1042</v>
      </c>
      <c r="EB2" s="76" t="s">
        <v>1043</v>
      </c>
      <c r="EC2" s="76" t="s">
        <v>1043</v>
      </c>
      <c r="ED2" s="76" t="s">
        <v>1042</v>
      </c>
      <c r="EE2" s="75" t="s">
        <v>1042</v>
      </c>
      <c r="EF2" s="75" t="s">
        <v>28</v>
      </c>
      <c r="EG2" s="75" t="s">
        <v>28</v>
      </c>
      <c r="EH2" s="75" t="s">
        <v>28</v>
      </c>
      <c r="EI2" s="75" t="s">
        <v>28</v>
      </c>
      <c r="EJ2" s="75" t="s">
        <v>28</v>
      </c>
      <c r="EK2" s="75" t="s">
        <v>28</v>
      </c>
      <c r="EL2" s="75" t="s">
        <v>28</v>
      </c>
      <c r="EM2" s="75" t="s">
        <v>28</v>
      </c>
      <c r="EN2" s="75" t="s">
        <v>28</v>
      </c>
      <c r="EO2" s="75" t="s">
        <v>28</v>
      </c>
      <c r="EP2" s="75" t="s">
        <v>1042</v>
      </c>
      <c r="EQ2" s="75" t="s">
        <v>1043</v>
      </c>
      <c r="ER2" s="75" t="s">
        <v>1041</v>
      </c>
      <c r="ES2" s="75" t="s">
        <v>1041</v>
      </c>
      <c r="ET2" s="75"/>
      <c r="EU2" s="79" t="s">
        <v>1042</v>
      </c>
      <c r="EV2" s="75" t="s">
        <v>1042</v>
      </c>
      <c r="EW2" s="75" t="s">
        <v>28</v>
      </c>
      <c r="EX2" s="75" t="s">
        <v>1043</v>
      </c>
      <c r="EY2" s="75"/>
      <c r="EZ2" s="79" t="s">
        <v>1042</v>
      </c>
      <c r="FA2" s="75" t="s">
        <v>1042</v>
      </c>
      <c r="FB2" s="75" t="s">
        <v>28</v>
      </c>
      <c r="FC2" s="75" t="s">
        <v>1043</v>
      </c>
      <c r="FD2" s="75"/>
      <c r="FE2" s="79" t="s">
        <v>1042</v>
      </c>
      <c r="FF2" s="75" t="s">
        <v>1042</v>
      </c>
      <c r="FG2" s="75" t="s">
        <v>28</v>
      </c>
      <c r="FH2" s="75" t="s">
        <v>1043</v>
      </c>
      <c r="FI2" s="75"/>
      <c r="FJ2" s="79" t="s">
        <v>1042</v>
      </c>
      <c r="FK2" s="75" t="s">
        <v>1042</v>
      </c>
      <c r="FL2" s="75" t="s">
        <v>28</v>
      </c>
      <c r="FM2" s="75" t="s">
        <v>1043</v>
      </c>
      <c r="FN2" s="75"/>
      <c r="FO2" s="80"/>
    </row>
    <row r="3" hidden="1">
      <c r="B3" s="81" t="b">
        <f>Option!$C6</f>
        <v>1</v>
      </c>
      <c r="C3" s="82">
        <f t="array" ref="C3">IFERROR(INDEX('Phase Map'!$E$2:$E$12, MATCH(E3, 'Phase Map'!$C$2:$C$12, 0)), "hide")</f>
        <v>0.00380787037</v>
      </c>
      <c r="D3" s="83"/>
      <c r="E3" s="84" t="str">
        <f>GETSHEETNAME()</f>
        <v>Phase 3</v>
      </c>
      <c r="F3" s="84" t="s">
        <v>1044</v>
      </c>
      <c r="G3" s="84"/>
      <c r="H3" s="84"/>
      <c r="I3" s="84"/>
      <c r="J3" s="84"/>
      <c r="K3" s="85" t="s">
        <v>186</v>
      </c>
      <c r="L3" s="85" t="s">
        <v>186</v>
      </c>
      <c r="M3" s="85" t="s">
        <v>186</v>
      </c>
      <c r="N3" s="85" t="s">
        <v>186</v>
      </c>
      <c r="O3" s="85" t="s">
        <v>186</v>
      </c>
      <c r="P3" s="85" t="s">
        <v>186</v>
      </c>
      <c r="Q3" s="85" t="s">
        <v>186</v>
      </c>
      <c r="R3" s="85" t="s">
        <v>186</v>
      </c>
      <c r="S3" s="85" t="s">
        <v>186</v>
      </c>
      <c r="T3" s="85" t="s">
        <v>198</v>
      </c>
      <c r="U3" s="85" t="s">
        <v>198</v>
      </c>
      <c r="V3" s="85" t="s">
        <v>198</v>
      </c>
      <c r="W3" s="85" t="s">
        <v>198</v>
      </c>
      <c r="X3" s="85" t="s">
        <v>198</v>
      </c>
      <c r="Y3" s="85" t="s">
        <v>198</v>
      </c>
      <c r="Z3" s="85" t="s">
        <v>198</v>
      </c>
      <c r="AA3" s="85" t="s">
        <v>198</v>
      </c>
      <c r="AB3" s="85" t="s">
        <v>198</v>
      </c>
      <c r="AC3" s="85" t="s">
        <v>192</v>
      </c>
      <c r="AD3" s="85" t="s">
        <v>192</v>
      </c>
      <c r="AE3" s="85" t="s">
        <v>192</v>
      </c>
      <c r="AF3" s="85" t="s">
        <v>192</v>
      </c>
      <c r="AG3" s="85" t="s">
        <v>1044</v>
      </c>
      <c r="AH3" s="85" t="s">
        <v>192</v>
      </c>
      <c r="AI3" s="85" t="s">
        <v>192</v>
      </c>
      <c r="AJ3" s="85" t="s">
        <v>192</v>
      </c>
      <c r="AK3" s="85" t="s">
        <v>192</v>
      </c>
      <c r="AL3" s="85" t="s">
        <v>180</v>
      </c>
      <c r="AM3" s="85" t="s">
        <v>180</v>
      </c>
      <c r="AN3" s="85" t="s">
        <v>180</v>
      </c>
      <c r="AO3" s="85" t="s">
        <v>180</v>
      </c>
      <c r="AP3" s="85" t="s">
        <v>180</v>
      </c>
      <c r="AQ3" s="85" t="s">
        <v>180</v>
      </c>
      <c r="AR3" s="85" t="s">
        <v>180</v>
      </c>
      <c r="AS3" s="85" t="s">
        <v>72</v>
      </c>
      <c r="AT3" s="85" t="s">
        <v>72</v>
      </c>
      <c r="AU3" s="85" t="s">
        <v>72</v>
      </c>
      <c r="AV3" s="85" t="s">
        <v>72</v>
      </c>
      <c r="AW3" s="85" t="s">
        <v>72</v>
      </c>
      <c r="AX3" s="85" t="s">
        <v>72</v>
      </c>
      <c r="AY3" s="85" t="s">
        <v>72</v>
      </c>
      <c r="AZ3" s="85" t="s">
        <v>72</v>
      </c>
      <c r="BA3" s="85" t="s">
        <v>1044</v>
      </c>
      <c r="BB3" s="85" t="s">
        <v>72</v>
      </c>
      <c r="BC3" s="85" t="s">
        <v>1044</v>
      </c>
      <c r="BD3" s="85" t="s">
        <v>72</v>
      </c>
      <c r="BE3" s="85" t="s">
        <v>65</v>
      </c>
      <c r="BF3" s="85" t="s">
        <v>65</v>
      </c>
      <c r="BG3" s="85" t="s">
        <v>65</v>
      </c>
      <c r="BH3" s="85" t="s">
        <v>65</v>
      </c>
      <c r="BI3" s="85" t="s">
        <v>65</v>
      </c>
      <c r="BJ3" s="85" t="s">
        <v>65</v>
      </c>
      <c r="BK3" s="85" t="s">
        <v>65</v>
      </c>
      <c r="BL3" s="85" t="s">
        <v>65</v>
      </c>
      <c r="BM3" s="85" t="s">
        <v>65</v>
      </c>
      <c r="BN3" s="85" t="s">
        <v>65</v>
      </c>
      <c r="BO3" s="85" t="s">
        <v>65</v>
      </c>
      <c r="BP3" s="85" t="s">
        <v>65</v>
      </c>
      <c r="BQ3" s="85" t="s">
        <v>65</v>
      </c>
      <c r="BR3" s="85" t="s">
        <v>65</v>
      </c>
      <c r="BS3" s="85" t="s">
        <v>65</v>
      </c>
      <c r="BT3" s="85" t="s">
        <v>1044</v>
      </c>
      <c r="BU3" s="85" t="s">
        <v>65</v>
      </c>
      <c r="BV3" s="85" t="s">
        <v>65</v>
      </c>
      <c r="BW3" s="85" t="s">
        <v>1044</v>
      </c>
      <c r="BX3" s="85" t="s">
        <v>65</v>
      </c>
      <c r="BY3" s="85" t="s">
        <v>43</v>
      </c>
      <c r="BZ3" s="85" t="s">
        <v>43</v>
      </c>
      <c r="CA3" s="85" t="s">
        <v>43</v>
      </c>
      <c r="CB3" s="85" t="s">
        <v>43</v>
      </c>
      <c r="CC3" s="85" t="s">
        <v>43</v>
      </c>
      <c r="CD3" s="85" t="s">
        <v>43</v>
      </c>
      <c r="CE3" s="85" t="s">
        <v>43</v>
      </c>
      <c r="CF3" s="85" t="s">
        <v>43</v>
      </c>
      <c r="CG3" s="85" t="s">
        <v>43</v>
      </c>
      <c r="CH3" s="85" t="s">
        <v>43</v>
      </c>
      <c r="CI3" s="85" t="s">
        <v>43</v>
      </c>
      <c r="CJ3" s="85" t="s">
        <v>43</v>
      </c>
      <c r="CK3" s="85" t="s">
        <v>43</v>
      </c>
      <c r="CL3" s="85" t="s">
        <v>43</v>
      </c>
      <c r="CM3" s="85" t="s">
        <v>43</v>
      </c>
      <c r="CN3" s="85" t="s">
        <v>43</v>
      </c>
      <c r="CO3" s="86" t="s">
        <v>43</v>
      </c>
      <c r="CP3" s="86" t="s">
        <v>43</v>
      </c>
      <c r="CQ3" s="86" t="s">
        <v>43</v>
      </c>
      <c r="CR3" s="86" t="s">
        <v>43</v>
      </c>
      <c r="CS3" s="86" t="s">
        <v>43</v>
      </c>
      <c r="CT3" s="85" t="s">
        <v>60</v>
      </c>
      <c r="CU3" s="85" t="s">
        <v>60</v>
      </c>
      <c r="CV3" s="85" t="s">
        <v>60</v>
      </c>
      <c r="CW3" s="85" t="s">
        <v>60</v>
      </c>
      <c r="CX3" s="85" t="s">
        <v>60</v>
      </c>
      <c r="CY3" s="85" t="s">
        <v>60</v>
      </c>
      <c r="CZ3" s="85" t="s">
        <v>60</v>
      </c>
      <c r="DA3" s="85" t="s">
        <v>60</v>
      </c>
      <c r="DB3" s="85" t="s">
        <v>60</v>
      </c>
      <c r="DC3" s="85" t="s">
        <v>60</v>
      </c>
      <c r="DD3" s="85" t="s">
        <v>60</v>
      </c>
      <c r="DE3" s="86" t="s">
        <v>60</v>
      </c>
      <c r="DF3" s="86" t="s">
        <v>60</v>
      </c>
      <c r="DG3" s="86" t="s">
        <v>60</v>
      </c>
      <c r="DH3" s="86" t="s">
        <v>60</v>
      </c>
      <c r="DI3" s="87" t="s">
        <v>60</v>
      </c>
      <c r="DJ3" s="85" t="s">
        <v>767</v>
      </c>
      <c r="DK3" s="88" t="s">
        <v>767</v>
      </c>
      <c r="DL3" s="85" t="s">
        <v>1045</v>
      </c>
      <c r="DM3" s="85" t="s">
        <v>1046</v>
      </c>
      <c r="DN3" s="85" t="s">
        <v>1047</v>
      </c>
      <c r="DO3" s="85" t="s">
        <v>1048</v>
      </c>
      <c r="DP3" s="85" t="s">
        <v>1049</v>
      </c>
      <c r="DQ3" s="85" t="s">
        <v>118</v>
      </c>
      <c r="DR3" s="85" t="s">
        <v>118</v>
      </c>
      <c r="DS3" s="85" t="s">
        <v>102</v>
      </c>
      <c r="DT3" s="85" t="s">
        <v>102</v>
      </c>
      <c r="DU3" s="85" t="s">
        <v>149</v>
      </c>
      <c r="DV3" s="85" t="s">
        <v>149</v>
      </c>
      <c r="DW3" s="85" t="s">
        <v>1050</v>
      </c>
      <c r="DX3" s="85" t="s">
        <v>1051</v>
      </c>
      <c r="DY3" s="85" t="s">
        <v>316</v>
      </c>
      <c r="DZ3" s="85" t="s">
        <v>316</v>
      </c>
      <c r="EA3" s="89" t="s">
        <v>278</v>
      </c>
      <c r="EB3" s="89" t="s">
        <v>278</v>
      </c>
      <c r="EC3" s="89" t="s">
        <v>278</v>
      </c>
      <c r="ED3" s="85" t="s">
        <v>93</v>
      </c>
      <c r="EE3" s="90" t="s">
        <v>1044</v>
      </c>
      <c r="EF3" s="90" t="s">
        <v>1044</v>
      </c>
      <c r="EG3" s="90" t="s">
        <v>1044</v>
      </c>
      <c r="EH3" s="90" t="s">
        <v>1044</v>
      </c>
      <c r="EI3" s="90" t="s">
        <v>1044</v>
      </c>
      <c r="EJ3" s="90" t="s">
        <v>1044</v>
      </c>
      <c r="EK3" s="90" t="s">
        <v>1044</v>
      </c>
      <c r="EL3" s="90" t="s">
        <v>1044</v>
      </c>
      <c r="EM3" s="90" t="s">
        <v>1044</v>
      </c>
      <c r="EN3" s="90" t="s">
        <v>1044</v>
      </c>
      <c r="EO3" s="90" t="s">
        <v>1044</v>
      </c>
      <c r="EP3" s="90" t="s">
        <v>1044</v>
      </c>
      <c r="EQ3" s="90" t="s">
        <v>1044</v>
      </c>
      <c r="ER3" s="84"/>
      <c r="ES3" s="84"/>
      <c r="ET3" s="84"/>
      <c r="EU3" s="90" t="s">
        <v>1044</v>
      </c>
      <c r="EV3" s="85" t="s">
        <v>1044</v>
      </c>
      <c r="EW3" s="85" t="s">
        <v>1044</v>
      </c>
      <c r="EX3" s="85" t="s">
        <v>1044</v>
      </c>
      <c r="EY3" s="85" t="s">
        <v>186</v>
      </c>
      <c r="EZ3" s="90" t="s">
        <v>1044</v>
      </c>
      <c r="FA3" s="85" t="s">
        <v>1044</v>
      </c>
      <c r="FB3" s="85" t="s">
        <v>1044</v>
      </c>
      <c r="FC3" s="85" t="s">
        <v>1044</v>
      </c>
      <c r="FD3" s="85" t="s">
        <v>198</v>
      </c>
      <c r="FE3" s="90" t="s">
        <v>1044</v>
      </c>
      <c r="FF3" s="85" t="s">
        <v>1044</v>
      </c>
      <c r="FG3" s="85" t="s">
        <v>1044</v>
      </c>
      <c r="FH3" s="85" t="s">
        <v>1044</v>
      </c>
      <c r="FI3" s="85" t="s">
        <v>192</v>
      </c>
      <c r="FJ3" s="90" t="s">
        <v>1044</v>
      </c>
      <c r="FK3" s="85" t="s">
        <v>1044</v>
      </c>
      <c r="FL3" s="85" t="s">
        <v>1044</v>
      </c>
      <c r="FM3" s="85" t="s">
        <v>1044</v>
      </c>
      <c r="FN3" s="85" t="s">
        <v>180</v>
      </c>
      <c r="FO3" s="91"/>
    </row>
    <row r="4" hidden="1">
      <c r="B4" s="92" t="b">
        <f>Option!$C7</f>
        <v>1</v>
      </c>
      <c r="C4" s="93">
        <f t="array" ref="C4">IFERROR(INDEX('Phase Map'!$D$2:$D$12, MATCH(E3, 'Phase Map'!$C$2:$C$12, 0)), "")</f>
        <v>0.002106481481</v>
      </c>
      <c r="D4" s="83"/>
      <c r="E4" s="84" t="s">
        <v>1</v>
      </c>
      <c r="F4" s="84"/>
      <c r="G4" s="84"/>
      <c r="H4" s="84"/>
      <c r="I4" s="84"/>
      <c r="J4" s="84"/>
      <c r="K4" s="85" t="s">
        <v>94</v>
      </c>
      <c r="L4" s="85" t="s">
        <v>679</v>
      </c>
      <c r="M4" s="85" t="s">
        <v>271</v>
      </c>
      <c r="N4" s="85" t="s">
        <v>479</v>
      </c>
      <c r="O4" s="85" t="s">
        <v>172</v>
      </c>
      <c r="P4" s="85" t="s">
        <v>856</v>
      </c>
      <c r="Q4" s="85" t="s">
        <v>187</v>
      </c>
      <c r="R4" s="85" t="s">
        <v>485</v>
      </c>
      <c r="S4" s="85" t="s">
        <v>888</v>
      </c>
      <c r="T4" s="85" t="s">
        <v>94</v>
      </c>
      <c r="U4" s="84" t="s">
        <v>660</v>
      </c>
      <c r="V4" s="84" t="s">
        <v>505</v>
      </c>
      <c r="W4" s="84" t="s">
        <v>172</v>
      </c>
      <c r="X4" s="84" t="s">
        <v>622</v>
      </c>
      <c r="Y4" s="84" t="s">
        <v>199</v>
      </c>
      <c r="Z4" s="84" t="s">
        <v>498</v>
      </c>
      <c r="AA4" s="84" t="s">
        <v>465</v>
      </c>
      <c r="AB4" s="84" t="s">
        <v>939</v>
      </c>
      <c r="AC4" s="85" t="s">
        <v>94</v>
      </c>
      <c r="AD4" s="85" t="s">
        <v>629</v>
      </c>
      <c r="AE4" s="85" t="s">
        <v>686</v>
      </c>
      <c r="AF4" s="85" t="s">
        <v>492</v>
      </c>
      <c r="AG4" s="85"/>
      <c r="AH4" s="85" t="s">
        <v>172</v>
      </c>
      <c r="AI4" s="85" t="s">
        <v>909</v>
      </c>
      <c r="AJ4" s="94" t="s">
        <v>193</v>
      </c>
      <c r="AK4" s="84" t="s">
        <v>895</v>
      </c>
      <c r="AL4" s="85" t="s">
        <v>94</v>
      </c>
      <c r="AM4" s="85" t="s">
        <v>760</v>
      </c>
      <c r="AN4" s="85" t="s">
        <v>472</v>
      </c>
      <c r="AO4" s="85" t="s">
        <v>172</v>
      </c>
      <c r="AP4" s="94" t="s">
        <v>1026</v>
      </c>
      <c r="AQ4" s="85" t="s">
        <v>181</v>
      </c>
      <c r="AR4" s="84" t="s">
        <v>881</v>
      </c>
      <c r="AS4" s="85" t="s">
        <v>74</v>
      </c>
      <c r="AT4" s="85" t="s">
        <v>73</v>
      </c>
      <c r="AU4" s="85" t="s">
        <v>204</v>
      </c>
      <c r="AV4" s="95" t="s">
        <v>874</v>
      </c>
      <c r="AW4" s="95" t="s">
        <v>849</v>
      </c>
      <c r="AX4" s="95" t="s">
        <v>234</v>
      </c>
      <c r="AY4" s="85" t="s">
        <v>329</v>
      </c>
      <c r="AZ4" s="85" t="s">
        <v>303</v>
      </c>
      <c r="BA4" s="85"/>
      <c r="BB4" s="85" t="s">
        <v>143</v>
      </c>
      <c r="BC4" s="85"/>
      <c r="BD4" s="85" t="s">
        <v>902</v>
      </c>
      <c r="BE4" s="85" t="s">
        <v>835</v>
      </c>
      <c r="BF4" s="85" t="s">
        <v>67</v>
      </c>
      <c r="BG4" s="85" t="s">
        <v>66</v>
      </c>
      <c r="BH4" s="85" t="s">
        <v>167</v>
      </c>
      <c r="BI4" s="95" t="s">
        <v>815</v>
      </c>
      <c r="BJ4" s="95" t="s">
        <v>803</v>
      </c>
      <c r="BK4" s="95" t="s">
        <v>648</v>
      </c>
      <c r="BL4" s="95" t="s">
        <v>221</v>
      </c>
      <c r="BM4" s="95" t="s">
        <v>978</v>
      </c>
      <c r="BN4" s="95" t="s">
        <v>736</v>
      </c>
      <c r="BO4" s="95" t="s">
        <v>987</v>
      </c>
      <c r="BP4" s="95" t="s">
        <v>998</v>
      </c>
      <c r="BQ4" s="95" t="s">
        <v>1003</v>
      </c>
      <c r="BR4" s="95" t="s">
        <v>993</v>
      </c>
      <c r="BS4" s="95" t="s">
        <v>130</v>
      </c>
      <c r="BT4" s="95"/>
      <c r="BU4" s="95" t="s">
        <v>324</v>
      </c>
      <c r="BV4" s="85" t="s">
        <v>296</v>
      </c>
      <c r="BW4" s="85"/>
      <c r="BX4" s="95" t="s">
        <v>375</v>
      </c>
      <c r="BY4" s="85" t="s">
        <v>945</v>
      </c>
      <c r="BZ4" s="85" t="s">
        <v>610</v>
      </c>
      <c r="CA4" s="85" t="s">
        <v>209</v>
      </c>
      <c r="CB4" s="85" t="s">
        <v>284</v>
      </c>
      <c r="CC4" s="85" t="s">
        <v>157</v>
      </c>
      <c r="CD4" s="85" t="s">
        <v>1008</v>
      </c>
      <c r="CE4" s="85" t="s">
        <v>862</v>
      </c>
      <c r="CF4" s="85" t="s">
        <v>636</v>
      </c>
      <c r="CG4" s="85" t="s">
        <v>512</v>
      </c>
      <c r="CH4" s="85" t="s">
        <v>519</v>
      </c>
      <c r="CI4" s="85" t="s">
        <v>810</v>
      </c>
      <c r="CJ4" s="95" t="s">
        <v>57</v>
      </c>
      <c r="CK4" s="95" t="s">
        <v>44</v>
      </c>
      <c r="CL4" s="95" t="s">
        <v>50</v>
      </c>
      <c r="CM4" s="95" t="s">
        <v>55</v>
      </c>
      <c r="CN4" s="95" t="s">
        <v>923</v>
      </c>
      <c r="CO4" s="95" t="s">
        <v>310</v>
      </c>
      <c r="CP4" s="85" t="s">
        <v>342</v>
      </c>
      <c r="CQ4" s="95" t="s">
        <v>778</v>
      </c>
      <c r="CR4" s="95" t="s">
        <v>916</v>
      </c>
      <c r="CS4" s="95"/>
      <c r="CT4" s="85" t="s">
        <v>643</v>
      </c>
      <c r="CU4" s="85" t="s">
        <v>617</v>
      </c>
      <c r="CV4" s="85" t="s">
        <v>162</v>
      </c>
      <c r="CW4" s="85" t="s">
        <v>526</v>
      </c>
      <c r="CX4" s="85" t="s">
        <v>291</v>
      </c>
      <c r="CY4" s="95" t="s">
        <v>124</v>
      </c>
      <c r="CZ4" s="95" t="s">
        <v>869</v>
      </c>
      <c r="DA4" s="95" t="s">
        <v>822</v>
      </c>
      <c r="DB4" s="95" t="s">
        <v>216</v>
      </c>
      <c r="DC4" s="95" t="s">
        <v>61</v>
      </c>
      <c r="DD4" s="95" t="s">
        <v>929</v>
      </c>
      <c r="DE4" s="95" t="s">
        <v>791</v>
      </c>
      <c r="DF4" s="95" t="s">
        <v>355</v>
      </c>
      <c r="DG4" s="95" t="s">
        <v>700</v>
      </c>
      <c r="DH4" s="95" t="s">
        <v>673</v>
      </c>
      <c r="DI4" s="96"/>
      <c r="DJ4" s="85" t="s">
        <v>111</v>
      </c>
      <c r="DK4" s="88" t="s">
        <v>934</v>
      </c>
      <c r="DL4" s="85" t="s">
        <v>111</v>
      </c>
      <c r="DM4" s="85" t="s">
        <v>111</v>
      </c>
      <c r="DN4" s="85" t="s">
        <v>111</v>
      </c>
      <c r="DO4" s="85" t="s">
        <v>111</v>
      </c>
      <c r="DP4" s="85" t="s">
        <v>111</v>
      </c>
      <c r="DQ4" s="85" t="s">
        <v>119</v>
      </c>
      <c r="DR4" s="85" t="s">
        <v>754</v>
      </c>
      <c r="DS4" s="85" t="s">
        <v>103</v>
      </c>
      <c r="DT4" s="85" t="s">
        <v>785</v>
      </c>
      <c r="DU4" s="85" t="s">
        <v>150</v>
      </c>
      <c r="DV4" s="85" t="s">
        <v>580</v>
      </c>
      <c r="DW4" s="85" t="s">
        <v>85</v>
      </c>
      <c r="DX4" s="85" t="s">
        <v>85</v>
      </c>
      <c r="DY4" s="85" t="s">
        <v>85</v>
      </c>
      <c r="DZ4" s="85" t="s">
        <v>317</v>
      </c>
      <c r="EA4" s="89" t="s">
        <v>85</v>
      </c>
      <c r="EB4" s="84" t="s">
        <v>1015</v>
      </c>
      <c r="EC4" s="84" t="s">
        <v>279</v>
      </c>
      <c r="ED4" s="85" t="s">
        <v>1034</v>
      </c>
      <c r="EE4" s="90"/>
      <c r="EF4" s="90"/>
      <c r="EG4" s="90"/>
      <c r="EH4" s="90"/>
      <c r="EI4" s="90"/>
      <c r="EJ4" s="90"/>
      <c r="EK4" s="90"/>
      <c r="EL4" s="90"/>
      <c r="EM4" s="90"/>
      <c r="EN4" s="90"/>
      <c r="EO4" s="90"/>
      <c r="EP4" s="90"/>
      <c r="EQ4" s="90"/>
      <c r="ER4" s="95"/>
      <c r="ES4" s="95"/>
      <c r="ET4" s="95"/>
      <c r="EU4" s="90"/>
      <c r="EV4" s="90"/>
      <c r="EW4" s="90"/>
      <c r="EX4" s="90"/>
      <c r="EY4" s="76"/>
      <c r="EZ4" s="90"/>
      <c r="FA4" s="90"/>
      <c r="FB4" s="90"/>
      <c r="FC4" s="90"/>
      <c r="FD4" s="76"/>
      <c r="FE4" s="90"/>
      <c r="FF4" s="90"/>
      <c r="FG4" s="90"/>
      <c r="FH4" s="90"/>
      <c r="FI4" s="76"/>
      <c r="FJ4" s="90"/>
      <c r="FK4" s="90"/>
      <c r="FL4" s="90"/>
      <c r="FM4" s="90"/>
      <c r="FN4" s="76"/>
      <c r="FO4" s="91"/>
    </row>
    <row r="5" hidden="1">
      <c r="B5" s="92" t="b">
        <f>Option!$C8</f>
        <v>1</v>
      </c>
      <c r="C5" s="93" t="str">
        <f t="array" ref="C5">IFERROR(INDEX('Phase Map'!$C$3:$C$13, MATCH(E3, 'Phase Map'!$C$2:$C$12, 0)), "")</f>
        <v>Phase 4</v>
      </c>
      <c r="D5" s="83"/>
      <c r="E5" s="84" t="s">
        <v>7</v>
      </c>
      <c r="F5" s="84"/>
      <c r="G5" s="84"/>
      <c r="H5" s="84"/>
      <c r="I5" s="84"/>
      <c r="J5" s="84"/>
      <c r="K5" s="94" t="str">
        <f t="array" ref="K5">IFERROR(INDEX(Skill!$I:$I, MATCH(K$4, Skill!$C:$C, 0), 1), "")</f>
        <v>RANGE_ENEMY</v>
      </c>
      <c r="L5" s="94" t="str">
        <f t="array" ref="L5">IFERROR(INDEX(Skill!$I:$I, MATCH(L$4, Skill!$C:$C, 0), 1), "")</f>
        <v>RANGE_PARTY</v>
      </c>
      <c r="M5" s="94" t="str">
        <f t="array" ref="M5">IFERROR(INDEX(Skill!$I:$I, MATCH(M$4, Skill!$C:$C, 0), 1), "")</f>
        <v>RANGE_PARTY</v>
      </c>
      <c r="N5" s="94" t="str">
        <f t="array" ref="N5">IFERROR(INDEX(Skill!$I:$I, MATCH(N$4, Skill!$C:$C, 0), 1), "")</f>
        <v>SINGLE_PARTY</v>
      </c>
      <c r="O5" s="94" t="str">
        <f t="array" ref="O5">IFERROR(INDEX(Skill!$I:$I, MATCH(O$4, Skill!$C:$C, 0), 1), "")</f>
        <v>SELF</v>
      </c>
      <c r="P5" s="94" t="str">
        <f t="array" ref="P5">IFERROR(INDEX(Skill!$I:$I, MATCH(P$4, Skill!$C:$C, 0), 1), "")</f>
        <v>SELF</v>
      </c>
      <c r="Q5" s="94" t="str">
        <f t="array" ref="Q5">IFERROR(INDEX(Skill!$I:$I, MATCH(Q$4, Skill!$C:$C, 0), 1), "")</f>
        <v>SELF</v>
      </c>
      <c r="R5" s="94" t="str">
        <f t="array" ref="R5">IFERROR(INDEX(Skill!$I:$I, MATCH(R$4, Skill!$C:$C, 0), 1), "")</f>
        <v>SELF</v>
      </c>
      <c r="S5" s="94" t="str">
        <f t="array" ref="S5">IFERROR(INDEX(Skill!$I:$I, MATCH(S$4, Skill!$C:$C, 0), 1), "")</f>
        <v>SELF</v>
      </c>
      <c r="T5" s="94" t="str">
        <f t="array" ref="T5">IFERROR(INDEX(Skill!$I:$I, MATCH(T$4, Skill!$C:$C, 0), 1), "")</f>
        <v>RANGE_ENEMY</v>
      </c>
      <c r="U5" s="94" t="str">
        <f t="array" ref="U5">IFERROR(INDEX(Skill!$I:$I, MATCH(U$4, Skill!$C:$C, 0), 1), "")</f>
        <v>RANGE_PARTY</v>
      </c>
      <c r="V5" s="94" t="str">
        <f t="array" ref="V5">IFERROR(INDEX(Skill!$I:$I, MATCH(V$4, Skill!$C:$C, 0), 1), "")</f>
        <v>SINGLE_PARTY</v>
      </c>
      <c r="W5" s="94" t="str">
        <f t="array" ref="W5">IFERROR(INDEX(Skill!$I:$I, MATCH(W$4, Skill!$C:$C, 0), 1), "")</f>
        <v>SELF</v>
      </c>
      <c r="X5" s="94" t="str">
        <f t="array" ref="X5">IFERROR(INDEX(Skill!$I:$I, MATCH(X$4, Skill!$C:$C, 0), 1), "")</f>
        <v>SELF</v>
      </c>
      <c r="Y5" s="94" t="str">
        <f t="array" ref="Y5">IFERROR(INDEX(Skill!$I:$I, MATCH(Y$4, Skill!$C:$C, 0), 1), "")</f>
        <v>SELF</v>
      </c>
      <c r="Z5" s="94" t="str">
        <f t="array" ref="Z5">IFERROR(INDEX(Skill!$I:$I, MATCH(Z$4, Skill!$C:$C, 0), 1), "")</f>
        <v>SELF</v>
      </c>
      <c r="AA5" s="94" t="str">
        <f t="array" ref="AA5">IFERROR(INDEX(Skill!$I:$I, MATCH(AA$4, Skill!$C:$C, 0), 1), "")</f>
        <v>SELF</v>
      </c>
      <c r="AB5" s="94" t="str">
        <f t="array" ref="AB5">IFERROR(INDEX(Skill!$I:$I, MATCH(AB$4, Skill!$C:$C, 0), 1), "")</f>
        <v>SELF</v>
      </c>
      <c r="AC5" s="94" t="str">
        <f t="array" ref="AC5">IFERROR(INDEX(Skill!$I:$I, MATCH(AC$4, Skill!$C:$C, 0), 1), "")</f>
        <v>RANGE_ENEMY</v>
      </c>
      <c r="AD5" s="94" t="str">
        <f t="array" ref="AD5">IFERROR(INDEX(Skill!$I:$I, MATCH(AD$4, Skill!$C:$C, 0), 1), "")</f>
        <v>RANGE_PARTY</v>
      </c>
      <c r="AE5" s="94" t="str">
        <f t="array" ref="AE5">IFERROR(INDEX(Skill!$I:$I, MATCH(AE$4, Skill!$C:$C, 0), 1), "")</f>
        <v>SINGLE_PARTY</v>
      </c>
      <c r="AF5" s="94" t="str">
        <f t="array" ref="AF5">IFERROR(INDEX(Skill!$I:$I, MATCH(AF$4, Skill!$C:$C, 0), 1), "")</f>
        <v>SINGLE_PARTY</v>
      </c>
      <c r="AG5" s="94" t="str">
        <f t="array" ref="AG5">IFERROR(INDEX(Skill!$I:$I, MATCH(AG$4, Skill!$C:$C, 0), 1), "")</f>
        <v/>
      </c>
      <c r="AH5" s="94" t="str">
        <f t="array" ref="AH5">IFERROR(INDEX(Skill!$I:$I, MATCH(AH$4, Skill!$C:$C, 0), 1), "")</f>
        <v>SELF</v>
      </c>
      <c r="AI5" s="94" t="str">
        <f t="array" ref="AI5">IFERROR(INDEX(Skill!$I:$I, MATCH(AI$4, Skill!$C:$C, 0), 1), "")</f>
        <v>SELF</v>
      </c>
      <c r="AJ5" s="94" t="str">
        <f t="array" ref="AJ5">IFERROR(INDEX(Skill!$I:$I, MATCH(AJ$4, Skill!$C:$C, 0), 1), "")</f>
        <v>SELF</v>
      </c>
      <c r="AK5" s="94" t="str">
        <f t="array" ref="AK5">IFERROR(INDEX(Skill!$I:$I, MATCH(AK$4, Skill!$C:$C, 0), 1), "")</f>
        <v>SELF</v>
      </c>
      <c r="AL5" s="94" t="str">
        <f t="array" ref="AL5">IFERROR(INDEX(Skill!$I:$I, MATCH(AL$4, Skill!$C:$C, 0), 1), "")</f>
        <v>RANGE_ENEMY</v>
      </c>
      <c r="AM5" s="94" t="str">
        <f t="array" ref="AM5">IFERROR(INDEX(Skill!$I:$I, MATCH(AM$4, Skill!$C:$C, 0), 1), "")</f>
        <v>RANGE_PARTY</v>
      </c>
      <c r="AN5" s="94" t="str">
        <f t="array" ref="AN5">IFERROR(INDEX(Skill!$I:$I, MATCH(AN$4, Skill!$C:$C, 0), 1), "")</f>
        <v>SINGLE_PARTY</v>
      </c>
      <c r="AO5" s="94" t="str">
        <f t="array" ref="AO5">IFERROR(INDEX(Skill!$I:$I, MATCH(AO$4, Skill!$C:$C, 0), 1), "")</f>
        <v>SELF</v>
      </c>
      <c r="AP5" s="94" t="str">
        <f t="array" ref="AP5">IFERROR(INDEX(Skill!$I:$I, MATCH(AP$4, Skill!$C:$C, 0), 1), "")</f>
        <v>SELF</v>
      </c>
      <c r="AQ5" s="94" t="str">
        <f t="array" ref="AQ5">IFERROR(INDEX(Skill!$I:$I, MATCH(AQ$4, Skill!$C:$C, 0), 1), "")</f>
        <v>SELF</v>
      </c>
      <c r="AR5" s="94" t="str">
        <f t="array" ref="AR5">IFERROR(INDEX(Skill!$I:$I, MATCH(AR$4, Skill!$C:$C, 0), 1), "")</f>
        <v>SELF</v>
      </c>
      <c r="AS5" s="94" t="str">
        <f t="array" ref="AS5">IFERROR(INDEX(Skill!$I:$I, MATCH(AS$4, Skill!$C:$C, 0), 1), "")</f>
        <v>RANGE_PARTY</v>
      </c>
      <c r="AT5" s="94" t="str">
        <f t="array" ref="AT5">IFERROR(INDEX(Skill!$I:$I, MATCH(AT$4, Skill!$C:$C, 0), 1), "")</f>
        <v>RANGE_PARTY</v>
      </c>
      <c r="AU5" s="94" t="str">
        <f t="array" ref="AU5">IFERROR(INDEX(Skill!$I:$I, MATCH(AU$4, Skill!$C:$C, 0), 1), "")</f>
        <v>SELF</v>
      </c>
      <c r="AV5" s="94" t="str">
        <f t="array" ref="AV5">IFERROR(INDEX(Skill!$I:$I, MATCH(AV$4, Skill!$C:$C, 0), 1), "")</f>
        <v>RANGE_PARTY</v>
      </c>
      <c r="AW5" s="94" t="str">
        <f t="array" ref="AW5">IFERROR(INDEX(Skill!$I:$I, MATCH(AW$4, Skill!$C:$C, 0), 1), "")</f>
        <v>RANGE_PARTY</v>
      </c>
      <c r="AX5" s="94" t="str">
        <f t="array" ref="AX5">IFERROR(INDEX(Skill!$I:$I, MATCH(AX$4, Skill!$C:$C, 0), 1), "")</f>
        <v>RANGE_PARTY</v>
      </c>
      <c r="AY5" s="94" t="str">
        <f t="array" ref="AY5">IFERROR(INDEX(Skill!$I:$I, MATCH(AY$4, Skill!$C:$C, 0), 1), "")</f>
        <v>SINGLE_PARTY</v>
      </c>
      <c r="AZ5" s="94" t="str">
        <f t="array" ref="AZ5">IFERROR(INDEX(Skill!$I:$I, MATCH(AZ$4, Skill!$C:$C, 0), 1), "")</f>
        <v>SINGLE_PARTY</v>
      </c>
      <c r="BA5" s="94" t="str">
        <f t="array" ref="BA5">IFERROR(INDEX(Skill!$I:$I, MATCH(BA$4, Skill!$C:$C, 0), 1), "")</f>
        <v/>
      </c>
      <c r="BB5" s="94" t="str">
        <f t="array" ref="BB5">IFERROR(INDEX(Skill!$I:$I, MATCH(BB$4, Skill!$C:$C, 0), 1), "")</f>
        <v>SINGLE_PARTY</v>
      </c>
      <c r="BC5" s="94" t="str">
        <f t="array" ref="BC5">IFERROR(INDEX(Skill!$I:$I, MATCH(BC$4, Skill!$C:$C, 0), 1), "")</f>
        <v/>
      </c>
      <c r="BD5" s="94" t="str">
        <f t="array" ref="BD5">IFERROR(INDEX(Skill!$I:$I, MATCH(BD$4, Skill!$C:$C, 0), 1), "")</f>
        <v>SINGLE_PARTY</v>
      </c>
      <c r="BE5" s="94" t="str">
        <f t="array" ref="BE5">IFERROR(INDEX(Skill!$I:$I, MATCH(BE$4, Skill!$C:$C, 0), 1), "")</f>
        <v>RANGE_PARTY</v>
      </c>
      <c r="BF5" s="94" t="str">
        <f t="array" ref="BF5">IFERROR(INDEX(Skill!$I:$I, MATCH(BF$4, Skill!$C:$C, 0), 1), "")</f>
        <v>SELF</v>
      </c>
      <c r="BG5" s="94" t="str">
        <f t="array" ref="BG5">IFERROR(INDEX(Skill!$I:$I, MATCH(BG$4, Skill!$C:$C, 0), 1), "")</f>
        <v>RANGE_PARTY</v>
      </c>
      <c r="BH5" s="94" t="str">
        <f t="array" ref="BH5">IFERROR(INDEX(Skill!$I:$I, MATCH(BH$4, Skill!$C:$C, 0), 1), "")</f>
        <v>RANGE_PARTY</v>
      </c>
      <c r="BI5" s="94" t="str">
        <f t="array" ref="BI5">IFERROR(INDEX(Skill!$I:$I, MATCH(BI$4, Skill!$C:$C, 0), 1), "")</f>
        <v>RANGE_PARTY</v>
      </c>
      <c r="BJ5" s="94" t="str">
        <f t="array" ref="BJ5">IFERROR(INDEX(Skill!$I:$I, MATCH(BJ$4, Skill!$C:$C, 0), 1), "")</f>
        <v>RANGE_PARTY</v>
      </c>
      <c r="BK5" s="94" t="str">
        <f t="array" ref="BK5">IFERROR(INDEX(Skill!$I:$I, MATCH(BK$4, Skill!$C:$C, 0), 1), "")</f>
        <v>RANGE_PARTY</v>
      </c>
      <c r="BL5" s="94" t="str">
        <f t="array" ref="BL5">IFERROR(INDEX(Skill!$I:$I, MATCH(BL$4, Skill!$C:$C, 0), 1), "")</f>
        <v>RANGE_PARTY</v>
      </c>
      <c r="BM5" s="94" t="str">
        <f t="array" ref="BM5">IFERROR(INDEX(Skill!$I:$I, MATCH(BM$4, Skill!$C:$C, 0), 1), "")</f>
        <v>SELF</v>
      </c>
      <c r="BN5" s="94" t="str">
        <f t="array" ref="BN5">IFERROR(INDEX(Skill!$I:$I, MATCH(BN$4, Skill!$C:$C, 0), 1), "")</f>
        <v>SELF</v>
      </c>
      <c r="BO5" s="94" t="str">
        <f t="array" ref="BO5">IFERROR(INDEX(Skill!$I:$I, MATCH(BO$4, Skill!$C:$C, 0), 1), "")</f>
        <v>SINGLE_PARTY</v>
      </c>
      <c r="BP5" s="94" t="str">
        <f t="array" ref="BP5">IFERROR(INDEX(Skill!$I:$I, MATCH(BP$4, Skill!$C:$C, 0), 1), "")</f>
        <v>SINGLE_PARTY</v>
      </c>
      <c r="BQ5" s="94" t="str">
        <f t="array" ref="BQ5">IFERROR(INDEX(Skill!$I:$I, MATCH(BQ$4, Skill!$C:$C, 0), 1), "")</f>
        <v>SINGLE_PARTY</v>
      </c>
      <c r="BR5" s="94" t="str">
        <f t="array" ref="BR5">IFERROR(INDEX(Skill!$I:$I, MATCH(BR$4, Skill!$C:$C, 0), 1), "")</f>
        <v>SINGLE_PARTY</v>
      </c>
      <c r="BS5" s="94" t="str">
        <f t="array" ref="BS5">IFERROR(INDEX(Skill!$I:$I, MATCH(BS$4, Skill!$C:$C, 0), 1), "")</f>
        <v>SINGLE_PARTY</v>
      </c>
      <c r="BT5" s="94" t="str">
        <f t="array" ref="BT5">IFERROR(INDEX(Skill!$I:$I, MATCH(BT$4, Skill!$C:$C, 0), 1), "")</f>
        <v/>
      </c>
      <c r="BU5" s="94" t="str">
        <f t="array" ref="BU5">IFERROR(INDEX(Skill!$I:$I, MATCH(BU$4, Skill!$C:$C, 0), 1), "")</f>
        <v>SINGLE_PARTY</v>
      </c>
      <c r="BV5" s="94" t="str">
        <f t="array" ref="BV5">IFERROR(INDEX(Skill!$I:$I, MATCH(BV$4, Skill!$C:$C, 0), 1), "")</f>
        <v>SINGLE_PARTY</v>
      </c>
      <c r="BW5" s="94" t="str">
        <f t="array" ref="BW5">IFERROR(INDEX(Skill!$I:$I, MATCH(BW$4, Skill!$C:$C, 0), 1), "")</f>
        <v/>
      </c>
      <c r="BX5" s="94" t="str">
        <f t="array" ref="BX5">IFERROR(INDEX(Skill!$I:$I, MATCH(BX$4, Skill!$C:$C, 0), 1), "")</f>
        <v>SINGLE_PARTY</v>
      </c>
      <c r="BY5" s="94" t="str">
        <f t="array" ref="BY5">IFERROR(INDEX(Skill!$I:$I, MATCH(BY$4, Skill!$C:$C, 0), 1), "")</f>
        <v>RANGE_PARTY</v>
      </c>
      <c r="BZ5" s="94" t="str">
        <f t="array" ref="BZ5">IFERROR(INDEX(Skill!$I:$I, MATCH(BZ$4, Skill!$C:$C, 0), 1), "")</f>
        <v>RANGE_PARTY</v>
      </c>
      <c r="CA5" s="94" t="str">
        <f t="array" ref="CA5">IFERROR(INDEX(Skill!$I:$I, MATCH(CA$4, Skill!$C:$C, 0), 1), "")</f>
        <v>RANGE_PARTY</v>
      </c>
      <c r="CB5" s="94" t="str">
        <f t="array" ref="CB5">IFERROR(INDEX(Skill!$I:$I, MATCH(CB$4, Skill!$C:$C, 0), 1), "")</f>
        <v>RANGE_PARTY</v>
      </c>
      <c r="CC5" s="94" t="str">
        <f t="array" ref="CC5">IFERROR(INDEX(Skill!$I:$I, MATCH(CC$4, Skill!$C:$C, 0), 1), "")</f>
        <v>RANGE_PARTY</v>
      </c>
      <c r="CD5" s="94" t="str">
        <f t="array" ref="CD5">IFERROR(INDEX(Skill!$I:$I, MATCH(CD$4, Skill!$C:$C, 0), 1), "")</f>
        <v>RANGE_PARTY</v>
      </c>
      <c r="CE5" s="94" t="str">
        <f t="array" ref="CE5">IFERROR(INDEX(Skill!$I:$I, MATCH(CE$4, Skill!$C:$C, 0), 1), "")</f>
        <v>RANGE_PARTY</v>
      </c>
      <c r="CF5" s="94" t="str">
        <f t="array" ref="CF5">IFERROR(INDEX(Skill!$I:$I, MATCH(CF$4, Skill!$C:$C, 0), 1), "")</f>
        <v>RANGE_PARTY</v>
      </c>
      <c r="CG5" s="94" t="str">
        <f t="array" ref="CG5">IFERROR(INDEX(Skill!$I:$I, MATCH(CG$4, Skill!$C:$C, 0), 1), "")</f>
        <v>SELF</v>
      </c>
      <c r="CH5" s="94" t="str">
        <f t="array" ref="CH5">IFERROR(INDEX(Skill!$I:$I, MATCH(CH$4, Skill!$C:$C, 0), 1), "")</f>
        <v>RANGE_PARTY</v>
      </c>
      <c r="CI5" s="94" t="str">
        <f t="array" ref="CI5">IFERROR(INDEX(Skill!$I:$I, MATCH(CI$4, Skill!$C:$C, 0), 1), "")</f>
        <v>SELF</v>
      </c>
      <c r="CJ5" s="94" t="str">
        <f t="array" ref="CJ5">IFERROR(INDEX(Skill!$I:$I, MATCH(CJ$4, Skill!$C:$C, 0), 1), "")</f>
        <v>SINGLE_PARTY</v>
      </c>
      <c r="CK5" s="94" t="str">
        <f t="array" ref="CK5">IFERROR(INDEX(Skill!$I:$I, MATCH(CK$4, Skill!$C:$C, 0), 1), "")</f>
        <v>SELF</v>
      </c>
      <c r="CL5" s="94" t="str">
        <f t="array" ref="CL5">IFERROR(INDEX(Skill!$I:$I, MATCH(CL$4, Skill!$C:$C, 0), 1), "")</f>
        <v>RANGE_PARTY</v>
      </c>
      <c r="CM5" s="94" t="str">
        <f t="array" ref="CM5">IFERROR(INDEX(Skill!$I:$I, MATCH(CM$4, Skill!$C:$C, 0), 1), "")</f>
        <v>SINGLE_PARTY</v>
      </c>
      <c r="CN5" s="94" t="str">
        <f t="array" ref="CN5">IFERROR(INDEX(Skill!$I:$I, MATCH(CN$4, Skill!$C:$C, 0), 1), "")</f>
        <v>SINGLE_PARTY</v>
      </c>
      <c r="CO5" s="94" t="str">
        <f t="array" ref="CO5">IFERROR(INDEX(Skill!$I:$I, MATCH(CO$4, Skill!$C:$C, 0), 1), "")</f>
        <v>SINGLE_PARTY</v>
      </c>
      <c r="CP5" s="94" t="str">
        <f t="array" ref="CP5">IFERROR(INDEX(Skill!$I:$I, MATCH(CP$4, Skill!$C:$C, 0), 1), "")</f>
        <v>SINGLE_PARTY</v>
      </c>
      <c r="CQ5" s="94" t="str">
        <f t="array" ref="CQ5">IFERROR(INDEX(Skill!$I:$I, MATCH(CQ$4, Skill!$C:$C, 0), 1), "")</f>
        <v>SINGLE_PARTY</v>
      </c>
      <c r="CR5" s="94" t="str">
        <f t="array" ref="CR5">IFERROR(INDEX(Skill!$I:$I, MATCH(CR$4, Skill!$C:$C, 0), 1), "")</f>
        <v>SELF</v>
      </c>
      <c r="CS5" s="94" t="str">
        <f t="array" ref="CS5">IFERROR(INDEX(Skill!$I:$I, MATCH(CS$4, Skill!$C:$C, 0), 1), "")</f>
        <v/>
      </c>
      <c r="CT5" s="94" t="str">
        <f t="array" ref="CT5">IFERROR(INDEX(Skill!$I:$I, MATCH(CT$4, Skill!$C:$C, 0), 1), "")</f>
        <v>RANGE_PARTY</v>
      </c>
      <c r="CU5" s="94" t="str">
        <f t="array" ref="CU5">IFERROR(INDEX(Skill!$I:$I, MATCH(CU$4, Skill!$C:$C, 0), 1), "")</f>
        <v>RANGE_PARTY</v>
      </c>
      <c r="CV5" s="94" t="str">
        <f t="array" ref="CV5">IFERROR(INDEX(Skill!$I:$I, MATCH(CV$4, Skill!$C:$C, 0), 1), "")</f>
        <v>RANGE_PARTY</v>
      </c>
      <c r="CW5" s="94" t="str">
        <f t="array" ref="CW5">IFERROR(INDEX(Skill!$I:$I, MATCH(CW$4, Skill!$C:$C, 0), 1), "")</f>
        <v>RANGE_PARTY</v>
      </c>
      <c r="CX5" s="94" t="str">
        <f t="array" ref="CX5">IFERROR(INDEX(Skill!$I:$I, MATCH(CX$4, Skill!$C:$C, 0), 1), "")</f>
        <v>SELF</v>
      </c>
      <c r="CY5" s="94" t="str">
        <f t="array" ref="CY5">IFERROR(INDEX(Skill!$I:$I, MATCH(CY$4, Skill!$C:$C, 0), 1), "")</f>
        <v>RANGE_PARTY</v>
      </c>
      <c r="CZ5" s="94" t="str">
        <f t="array" ref="CZ5">IFERROR(INDEX(Skill!$I:$I, MATCH(CZ$4, Skill!$C:$C, 0), 1), "")</f>
        <v>RANGE_PARTY</v>
      </c>
      <c r="DA5" s="94" t="str">
        <f t="array" ref="DA5">IFERROR(INDEX(Skill!$I:$I, MATCH(DA$4, Skill!$C:$C, 0), 1), "")</f>
        <v>RANGE_PARTY</v>
      </c>
      <c r="DB5" s="94" t="str">
        <f t="array" ref="DB5">IFERROR(INDEX(Skill!$I:$I, MATCH(DB$4, Skill!$C:$C, 0), 1), "")</f>
        <v>RANGE_PARTY</v>
      </c>
      <c r="DC5" s="94" t="str">
        <f t="array" ref="DC5">IFERROR(INDEX(Skill!$I:$I, MATCH(DC$4, Skill!$C:$C, 0), 1), "")</f>
        <v>RANGE_PARTY</v>
      </c>
      <c r="DD5" s="94" t="str">
        <f t="array" ref="DD5">IFERROR(INDEX(Skill!$I:$I, MATCH(DD$4, Skill!$C:$C, 0), 1), "")</f>
        <v>SINGLE_PARTY</v>
      </c>
      <c r="DE5" s="94" t="str">
        <f t="array" ref="DE5">IFERROR(INDEX(Skill!$I:$I, MATCH(DE$4, Skill!$C:$C, 0), 1), "")</f>
        <v>SINGLE_PARTY</v>
      </c>
      <c r="DF5" s="94" t="str">
        <f t="array" ref="DF5">IFERROR(INDEX(Skill!$I:$I, MATCH(DF$4, Skill!$C:$C, 0), 1), "")</f>
        <v>SINGLE_PARTY</v>
      </c>
      <c r="DG5" s="94" t="str">
        <f t="array" ref="DG5">IFERROR(INDEX(Skill!$I:$I, MATCH(DG$4, Skill!$C:$C, 0), 1), "")</f>
        <v>SINGLE_PARTY</v>
      </c>
      <c r="DH5" s="94" t="str">
        <f t="array" ref="DH5">IFERROR(INDEX(Skill!$I:$I, MATCH(DH$4, Skill!$C:$C, 0), 1), "")</f>
        <v>SELF</v>
      </c>
      <c r="DI5" s="94" t="str">
        <f t="array" ref="DI5">IFERROR(INDEX(Skill!$I:$I, MATCH(DI$4, Skill!$C:$C, 0), 1), "")</f>
        <v/>
      </c>
      <c r="DJ5" s="94" t="str">
        <f t="array" ref="DJ5">IFERROR(INDEX(Skill!$I:$I, MATCH(DJ$4, Skill!$C:$C, 0), 1), "")</f>
        <v>SINGLE_ENEMY</v>
      </c>
      <c r="DK5" s="94" t="str">
        <f t="array" ref="DK5">IFERROR(INDEX(Skill!$I:$I, MATCH(DK$4, Skill!$C:$C, 0), 1), "")</f>
        <v>RANGE_PARTY</v>
      </c>
      <c r="DL5" s="94" t="str">
        <f t="array" ref="DL5">IFERROR(INDEX(Skill!$I:$I, MATCH(DL$4, Skill!$C:$C, 0), 1), "")</f>
        <v>SINGLE_ENEMY</v>
      </c>
      <c r="DM5" s="94" t="str">
        <f t="array" ref="DM5">IFERROR(INDEX(Skill!$I:$I, MATCH(DM$4, Skill!$C:$C, 0), 1), "")</f>
        <v>SINGLE_ENEMY</v>
      </c>
      <c r="DN5" s="94" t="str">
        <f t="array" ref="DN5">IFERROR(INDEX(Skill!$I:$I, MATCH(DN$4, Skill!$C:$C, 0), 1), "")</f>
        <v>SINGLE_ENEMY</v>
      </c>
      <c r="DO5" s="94" t="str">
        <f t="array" ref="DO5">IFERROR(INDEX(Skill!$I:$I, MATCH(DO$4, Skill!$C:$C, 0), 1), "")</f>
        <v>SINGLE_ENEMY</v>
      </c>
      <c r="DP5" s="94" t="str">
        <f t="array" ref="DP5">IFERROR(INDEX(Skill!$I:$I, MATCH(DP$4, Skill!$C:$C, 0), 1), "")</f>
        <v>SINGLE_ENEMY</v>
      </c>
      <c r="DQ5" s="94" t="str">
        <f t="array" ref="DQ5">IFERROR(INDEX(Skill!$I:$I, MATCH(DQ$4, Skill!$C:$C, 0), 1), "")</f>
        <v>RANGE_PARTY</v>
      </c>
      <c r="DR5" s="94" t="str">
        <f t="array" ref="DR5">IFERROR(INDEX(Skill!$I:$I, MATCH(DR$4, Skill!$C:$C, 0), 1), "")</f>
        <v>SINGLE_PARTY</v>
      </c>
      <c r="DS5" s="94" t="str">
        <f t="array" ref="DS5">IFERROR(INDEX(Skill!$I:$I, MATCH(DS$4, Skill!$C:$C, 0), 1), "")</f>
        <v>RANGE_PARTY</v>
      </c>
      <c r="DT5" s="94" t="str">
        <f t="array" ref="DT5">IFERROR(INDEX(Skill!$I:$I, MATCH(DT$4, Skill!$C:$C, 0), 1), "")</f>
        <v>SINGLE_ENEMY</v>
      </c>
      <c r="DU5" s="94" t="str">
        <f t="array" ref="DU5">IFERROR(INDEX(Skill!$I:$I, MATCH(DU$4, Skill!$C:$C, 0), 1), "")</f>
        <v>RANGE_PARTY</v>
      </c>
      <c r="DV5" s="94" t="str">
        <f t="array" ref="DV5">IFERROR(INDEX(Skill!$I:$I, MATCH(DV$4, Skill!$C:$C, 0), 1), "")</f>
        <v>RANGE_PARTY</v>
      </c>
      <c r="DW5" s="94" t="str">
        <f t="array" ref="DW5">IFERROR(INDEX(Skill!$I:$I, MATCH(DW$4, Skill!$C:$C, 0), 1), "")</f>
        <v>SINGLE_ENEMY</v>
      </c>
      <c r="DX5" s="94" t="str">
        <f t="array" ref="DX5">IFERROR(INDEX(Skill!$I:$I, MATCH(DX$4, Skill!$C:$C, 0), 1), "")</f>
        <v>SINGLE_ENEMY</v>
      </c>
      <c r="DY5" s="94" t="str">
        <f t="array" ref="DY5">IFERROR(INDEX(Skill!$I:$I, MATCH(DY$4, Skill!$C:$C, 0), 1), "")</f>
        <v>SINGLE_ENEMY</v>
      </c>
      <c r="DZ5" s="94" t="str">
        <f t="array" ref="DZ5">IFERROR(INDEX(Skill!$I:$I, MATCH(DZ$4, Skill!$C:$C, 0), 1), "")</f>
        <v>RANGE_PARTY</v>
      </c>
      <c r="EA5" s="89" t="str">
        <f t="array" ref="EA5">IFERROR(INDEX(Skill!$I:$I, MATCH(EA$4, Skill!$C:$C, 0), 1), "")</f>
        <v>SINGLE_ENEMY</v>
      </c>
      <c r="EB5" s="89" t="str">
        <f t="array" ref="EB5">IFERROR(INDEX(Skill!$I:$I, MATCH(EB$4, Skill!$C:$C, 0), 1), "")</f>
        <v>SELF</v>
      </c>
      <c r="EC5" s="89" t="str">
        <f t="array" ref="EC5">IFERROR(INDEX(Skill!$I:$I, MATCH(EC$4, Skill!$C:$C, 0), 1), "")</f>
        <v>SELF</v>
      </c>
      <c r="ED5" s="94" t="str">
        <f t="array" ref="ED5">IFERROR(INDEX(Skill!$I:$I, MATCH(ED$4, Skill!$C:$C, 0), 1), "")</f>
        <v>RANGE_PARTY</v>
      </c>
      <c r="EE5" s="97"/>
      <c r="EF5" s="97"/>
      <c r="EG5" s="97"/>
      <c r="EH5" s="97"/>
      <c r="EI5" s="97"/>
      <c r="EJ5" s="97"/>
      <c r="EK5" s="97"/>
      <c r="EL5" s="97"/>
      <c r="EM5" s="97"/>
      <c r="EN5" s="97"/>
      <c r="EO5" s="97"/>
      <c r="EP5" s="97"/>
      <c r="EQ5" s="97"/>
      <c r="ER5" s="76"/>
      <c r="ES5" s="76"/>
      <c r="ET5" s="76"/>
      <c r="EU5" s="97"/>
      <c r="EV5" s="97"/>
      <c r="EW5" s="97"/>
      <c r="EX5" s="97"/>
      <c r="EY5" s="76"/>
      <c r="EZ5" s="97"/>
      <c r="FA5" s="97"/>
      <c r="FB5" s="97"/>
      <c r="FC5" s="97"/>
      <c r="FD5" s="76"/>
      <c r="FE5" s="97"/>
      <c r="FF5" s="97"/>
      <c r="FG5" s="97"/>
      <c r="FH5" s="97"/>
      <c r="FI5" s="76"/>
      <c r="FJ5" s="97"/>
      <c r="FK5" s="97"/>
      <c r="FL5" s="97"/>
      <c r="FM5" s="97"/>
      <c r="FN5" s="76"/>
      <c r="FO5" s="91"/>
    </row>
    <row r="6" hidden="1">
      <c r="B6" s="92" t="b">
        <f>Option!$C9</f>
        <v>1</v>
      </c>
      <c r="C6" s="93"/>
      <c r="D6" s="83"/>
      <c r="E6" s="84" t="s">
        <v>8</v>
      </c>
      <c r="F6" s="84"/>
      <c r="G6" s="84"/>
      <c r="H6" s="84"/>
      <c r="I6" s="84"/>
      <c r="J6" s="84"/>
      <c r="K6" s="94">
        <f t="array" ref="K6">IFERROR(INDEX(Skill!$J:$J, MATCH(K$4, Skill!$C:$C, 0), 1), "")</f>
        <v>1</v>
      </c>
      <c r="L6" s="94">
        <f t="array" ref="L6">IFERROR(INDEX(Skill!$J:$J, MATCH(L$4, Skill!$C:$C, 0), 1), "")</f>
        <v>1</v>
      </c>
      <c r="M6" s="94">
        <f t="array" ref="M6">IFERROR(INDEX(Skill!$J:$J, MATCH(M$4, Skill!$C:$C, 0), 1), "")</f>
        <v>1</v>
      </c>
      <c r="N6" s="94">
        <f t="array" ref="N6">IFERROR(INDEX(Skill!$J:$J, MATCH(N$4, Skill!$C:$C, 0), 1), "")</f>
        <v>1</v>
      </c>
      <c r="O6" s="94">
        <f t="array" ref="O6">IFERROR(INDEX(Skill!$J:$J, MATCH(O$4, Skill!$C:$C, 0), 1), "")</f>
        <v>1</v>
      </c>
      <c r="P6" s="94">
        <f t="array" ref="P6">IFERROR(INDEX(Skill!$J:$J, MATCH(P$4, Skill!$C:$C, 0), 1), "")</f>
        <v>1</v>
      </c>
      <c r="Q6" s="94">
        <f t="array" ref="Q6">IFERROR(INDEX(Skill!$J:$J, MATCH(Q$4, Skill!$C:$C, 0), 1), "")</f>
        <v>1</v>
      </c>
      <c r="R6" s="94">
        <f t="array" ref="R6">IFERROR(INDEX(Skill!$J:$J, MATCH(R$4, Skill!$C:$C, 0), 1), "")</f>
        <v>1</v>
      </c>
      <c r="S6" s="94">
        <f t="array" ref="S6">IFERROR(INDEX(Skill!$J:$J, MATCH(S$4, Skill!$C:$C, 0), 1), "")</f>
        <v>1</v>
      </c>
      <c r="T6" s="94">
        <f t="array" ref="T6">IFERROR(INDEX(Skill!$J:$J, MATCH(T$4, Skill!$C:$C, 0), 1), "")</f>
        <v>1</v>
      </c>
      <c r="U6" s="94">
        <f t="array" ref="U6">IFERROR(INDEX(Skill!$J:$J, MATCH(U$4, Skill!$C:$C, 0), 1), "")</f>
        <v>1</v>
      </c>
      <c r="V6" s="94">
        <f t="array" ref="V6">IFERROR(INDEX(Skill!$J:$J, MATCH(V$4, Skill!$C:$C, 0), 1), "")</f>
        <v>1</v>
      </c>
      <c r="W6" s="94">
        <f t="array" ref="W6">IFERROR(INDEX(Skill!$J:$J, MATCH(W$4, Skill!$C:$C, 0), 1), "")</f>
        <v>1</v>
      </c>
      <c r="X6" s="94">
        <f t="array" ref="X6">IFERROR(INDEX(Skill!$J:$J, MATCH(X$4, Skill!$C:$C, 0), 1), "")</f>
        <v>1</v>
      </c>
      <c r="Y6" s="94">
        <f t="array" ref="Y6">IFERROR(INDEX(Skill!$J:$J, MATCH(Y$4, Skill!$C:$C, 0), 1), "")</f>
        <v>1</v>
      </c>
      <c r="Z6" s="94">
        <f t="array" ref="Z6">IFERROR(INDEX(Skill!$J:$J, MATCH(Z$4, Skill!$C:$C, 0), 1), "")</f>
        <v>1</v>
      </c>
      <c r="AA6" s="94">
        <f t="array" ref="AA6">IFERROR(INDEX(Skill!$J:$J, MATCH(AA$4, Skill!$C:$C, 0), 1), "")</f>
        <v>1</v>
      </c>
      <c r="AB6" s="94">
        <f t="array" ref="AB6">IFERROR(INDEX(Skill!$J:$J, MATCH(AB$4, Skill!$C:$C, 0), 1), "")</f>
        <v>1</v>
      </c>
      <c r="AC6" s="94">
        <f t="array" ref="AC6">IFERROR(INDEX(Skill!$J:$J, MATCH(AC$4, Skill!$C:$C, 0), 1), "")</f>
        <v>1</v>
      </c>
      <c r="AD6" s="94">
        <f t="array" ref="AD6">IFERROR(INDEX(Skill!$J:$J, MATCH(AD$4, Skill!$C:$C, 0), 1), "")</f>
        <v>1</v>
      </c>
      <c r="AE6" s="94">
        <f t="array" ref="AE6">IFERROR(INDEX(Skill!$J:$J, MATCH(AE$4, Skill!$C:$C, 0), 1), "")</f>
        <v>1</v>
      </c>
      <c r="AF6" s="94">
        <f t="array" ref="AF6">IFERROR(INDEX(Skill!$J:$J, MATCH(AF$4, Skill!$C:$C, 0), 1), "")</f>
        <v>2</v>
      </c>
      <c r="AG6" s="94" t="str">
        <f t="array" ref="AG6">IFERROR(INDEX(Skill!$J:$J, MATCH(AG$4, Skill!$C:$C, 0), 1), "")</f>
        <v/>
      </c>
      <c r="AH6" s="94">
        <f t="array" ref="AH6">IFERROR(INDEX(Skill!$J:$J, MATCH(AH$4, Skill!$C:$C, 0), 1), "")</f>
        <v>1</v>
      </c>
      <c r="AI6" s="94">
        <f t="array" ref="AI6">IFERROR(INDEX(Skill!$J:$J, MATCH(AI$4, Skill!$C:$C, 0), 1), "")</f>
        <v>1</v>
      </c>
      <c r="AJ6" s="94">
        <f t="array" ref="AJ6">IFERROR(INDEX(Skill!$J:$J, MATCH(AJ$4, Skill!$C:$C, 0), 1), "")</f>
        <v>1</v>
      </c>
      <c r="AK6" s="94">
        <f t="array" ref="AK6">IFERROR(INDEX(Skill!$J:$J, MATCH(AK$4, Skill!$C:$C, 0), 1), "")</f>
        <v>1</v>
      </c>
      <c r="AL6" s="94">
        <f t="array" ref="AL6">IFERROR(INDEX(Skill!$J:$J, MATCH(AL$4, Skill!$C:$C, 0), 1), "")</f>
        <v>1</v>
      </c>
      <c r="AM6" s="94">
        <f t="array" ref="AM6">IFERROR(INDEX(Skill!$J:$J, MATCH(AM$4, Skill!$C:$C, 0), 1), "")</f>
        <v>1</v>
      </c>
      <c r="AN6" s="94">
        <f t="array" ref="AN6">IFERROR(INDEX(Skill!$J:$J, MATCH(AN$4, Skill!$C:$C, 0), 1), "")</f>
        <v>1</v>
      </c>
      <c r="AO6" s="94">
        <f t="array" ref="AO6">IFERROR(INDEX(Skill!$J:$J, MATCH(AO$4, Skill!$C:$C, 0), 1), "")</f>
        <v>1</v>
      </c>
      <c r="AP6" s="94">
        <f t="array" ref="AP6">IFERROR(INDEX(Skill!$J:$J, MATCH(AP$4, Skill!$C:$C, 0), 1), "")</f>
        <v>1</v>
      </c>
      <c r="AQ6" s="94">
        <f t="array" ref="AQ6">IFERROR(INDEX(Skill!$J:$J, MATCH(AQ$4, Skill!$C:$C, 0), 1), "")</f>
        <v>1</v>
      </c>
      <c r="AR6" s="94">
        <f t="array" ref="AR6">IFERROR(INDEX(Skill!$J:$J, MATCH(AR$4, Skill!$C:$C, 0), 1), "")</f>
        <v>1</v>
      </c>
      <c r="AS6" s="94">
        <f t="array" ref="AS6">IFERROR(INDEX(Skill!$J:$J, MATCH(AS$4, Skill!$C:$C, 0), 1), "")</f>
        <v>1</v>
      </c>
      <c r="AT6" s="94">
        <f t="array" ref="AT6">IFERROR(INDEX(Skill!$J:$J, MATCH(AT$4, Skill!$C:$C, 0), 1), "")</f>
        <v>1</v>
      </c>
      <c r="AU6" s="94">
        <f t="array" ref="AU6">IFERROR(INDEX(Skill!$J:$J, MATCH(AU$4, Skill!$C:$C, 0), 1), "")</f>
        <v>1</v>
      </c>
      <c r="AV6" s="94">
        <f t="array" ref="AV6">IFERROR(INDEX(Skill!$J:$J, MATCH(AV$4, Skill!$C:$C, 0), 1), "")</f>
        <v>1</v>
      </c>
      <c r="AW6" s="94">
        <f t="array" ref="AW6">IFERROR(INDEX(Skill!$J:$J, MATCH(AW$4, Skill!$C:$C, 0), 1), "")</f>
        <v>1</v>
      </c>
      <c r="AX6" s="94">
        <f t="array" ref="AX6">IFERROR(INDEX(Skill!$J:$J, MATCH(AX$4, Skill!$C:$C, 0), 1), "")</f>
        <v>1</v>
      </c>
      <c r="AY6" s="94">
        <f t="array" ref="AY6">IFERROR(INDEX(Skill!$J:$J, MATCH(AY$4, Skill!$C:$C, 0), 1), "")</f>
        <v>1</v>
      </c>
      <c r="AZ6" s="94">
        <f t="array" ref="AZ6">IFERROR(INDEX(Skill!$J:$J, MATCH(AZ$4, Skill!$C:$C, 0), 1), "")</f>
        <v>2</v>
      </c>
      <c r="BA6" s="94" t="str">
        <f t="array" ref="BA6">IFERROR(INDEX(Skill!$J:$J, MATCH(BA$4, Skill!$C:$C, 0), 1), "")</f>
        <v/>
      </c>
      <c r="BB6" s="94">
        <f t="array" ref="BB6">IFERROR(INDEX(Skill!$J:$J, MATCH(BB$4, Skill!$C:$C, 0), 1), "")</f>
        <v>2</v>
      </c>
      <c r="BC6" s="94" t="str">
        <f t="array" ref="BC6">IFERROR(INDEX(Skill!$J:$J, MATCH(BC$4, Skill!$C:$C, 0), 1), "")</f>
        <v/>
      </c>
      <c r="BD6" s="94">
        <f t="array" ref="BD6">IFERROR(INDEX(Skill!$J:$J, MATCH(BD$4, Skill!$C:$C, 0), 1), "")</f>
        <v>1</v>
      </c>
      <c r="BE6" s="94">
        <f t="array" ref="BE6">IFERROR(INDEX(Skill!$J:$J, MATCH(BE$4, Skill!$C:$C, 0), 1), "")</f>
        <v>1</v>
      </c>
      <c r="BF6" s="94">
        <f t="array" ref="BF6">IFERROR(INDEX(Skill!$J:$J, MATCH(BF$4, Skill!$C:$C, 0), 1), "")</f>
        <v>1</v>
      </c>
      <c r="BG6" s="94">
        <f t="array" ref="BG6">IFERROR(INDEX(Skill!$J:$J, MATCH(BG$4, Skill!$C:$C, 0), 1), "")</f>
        <v>1</v>
      </c>
      <c r="BH6" s="94">
        <f t="array" ref="BH6">IFERROR(INDEX(Skill!$J:$J, MATCH(BH$4, Skill!$C:$C, 0), 1), "")</f>
        <v>1</v>
      </c>
      <c r="BI6" s="94">
        <f t="array" ref="BI6">IFERROR(INDEX(Skill!$J:$J, MATCH(BI$4, Skill!$C:$C, 0), 1), "")</f>
        <v>1</v>
      </c>
      <c r="BJ6" s="94">
        <f t="array" ref="BJ6">IFERROR(INDEX(Skill!$J:$J, MATCH(BJ$4, Skill!$C:$C, 0), 1), "")</f>
        <v>1</v>
      </c>
      <c r="BK6" s="94">
        <f t="array" ref="BK6">IFERROR(INDEX(Skill!$J:$J, MATCH(BK$4, Skill!$C:$C, 0), 1), "")</f>
        <v>1</v>
      </c>
      <c r="BL6" s="94">
        <f t="array" ref="BL6">IFERROR(INDEX(Skill!$J:$J, MATCH(BL$4, Skill!$C:$C, 0), 1), "")</f>
        <v>1</v>
      </c>
      <c r="BM6" s="94">
        <f t="array" ref="BM6">IFERROR(INDEX(Skill!$J:$J, MATCH(BM$4, Skill!$C:$C, 0), 1), "")</f>
        <v>1</v>
      </c>
      <c r="BN6" s="94">
        <f t="array" ref="BN6">IFERROR(INDEX(Skill!$J:$J, MATCH(BN$4, Skill!$C:$C, 0), 1), "")</f>
        <v>1</v>
      </c>
      <c r="BO6" s="94">
        <f t="array" ref="BO6">IFERROR(INDEX(Skill!$J:$J, MATCH(BO$4, Skill!$C:$C, 0), 1), "")</f>
        <v>1</v>
      </c>
      <c r="BP6" s="94">
        <f t="array" ref="BP6">IFERROR(INDEX(Skill!$J:$J, MATCH(BP$4, Skill!$C:$C, 0), 1), "")</f>
        <v>1</v>
      </c>
      <c r="BQ6" s="94">
        <f t="array" ref="BQ6">IFERROR(INDEX(Skill!$J:$J, MATCH(BQ$4, Skill!$C:$C, 0), 1), "")</f>
        <v>1</v>
      </c>
      <c r="BR6" s="94">
        <f t="array" ref="BR6">IFERROR(INDEX(Skill!$J:$J, MATCH(BR$4, Skill!$C:$C, 0), 1), "")</f>
        <v>1</v>
      </c>
      <c r="BS6" s="94">
        <f t="array" ref="BS6">IFERROR(INDEX(Skill!$J:$J, MATCH(BS$4, Skill!$C:$C, 0), 1), "")</f>
        <v>3</v>
      </c>
      <c r="BT6" s="94" t="str">
        <f t="array" ref="BT6">IFERROR(INDEX(Skill!$J:$J, MATCH(BT$4, Skill!$C:$C, 0), 1), "")</f>
        <v/>
      </c>
      <c r="BU6" s="94">
        <f t="array" ref="BU6">IFERROR(INDEX(Skill!$J:$J, MATCH(BU$4, Skill!$C:$C, 0), 1), "")</f>
        <v>1</v>
      </c>
      <c r="BV6" s="94">
        <f t="array" ref="BV6">IFERROR(INDEX(Skill!$J:$J, MATCH(BV$4, Skill!$C:$C, 0), 1), "")</f>
        <v>2</v>
      </c>
      <c r="BW6" s="94" t="str">
        <f t="array" ref="BW6">IFERROR(INDEX(Skill!$J:$J, MATCH(BW$4, Skill!$C:$C, 0), 1), "")</f>
        <v/>
      </c>
      <c r="BX6" s="94">
        <f t="array" ref="BX6">IFERROR(INDEX(Skill!$J:$J, MATCH(BX$4, Skill!$C:$C, 0), 1), "")</f>
        <v>1</v>
      </c>
      <c r="BY6" s="94">
        <f t="array" ref="BY6">IFERROR(INDEX(Skill!$J:$J, MATCH(BY$4, Skill!$C:$C, 0), 1), "")</f>
        <v>1</v>
      </c>
      <c r="BZ6" s="94">
        <f t="array" ref="BZ6">IFERROR(INDEX(Skill!$J:$J, MATCH(BZ$4, Skill!$C:$C, 0), 1), "")</f>
        <v>1</v>
      </c>
      <c r="CA6" s="94">
        <f t="array" ref="CA6">IFERROR(INDEX(Skill!$J:$J, MATCH(CA$4, Skill!$C:$C, 0), 1), "")</f>
        <v>1</v>
      </c>
      <c r="CB6" s="94">
        <f t="array" ref="CB6">IFERROR(INDEX(Skill!$J:$J, MATCH(CB$4, Skill!$C:$C, 0), 1), "")</f>
        <v>1</v>
      </c>
      <c r="CC6" s="94">
        <f t="array" ref="CC6">IFERROR(INDEX(Skill!$J:$J, MATCH(CC$4, Skill!$C:$C, 0), 1), "")</f>
        <v>1</v>
      </c>
      <c r="CD6" s="94">
        <f t="array" ref="CD6">IFERROR(INDEX(Skill!$J:$J, MATCH(CD$4, Skill!$C:$C, 0), 1), "")</f>
        <v>1</v>
      </c>
      <c r="CE6" s="94">
        <f t="array" ref="CE6">IFERROR(INDEX(Skill!$J:$J, MATCH(CE$4, Skill!$C:$C, 0), 1), "")</f>
        <v>1</v>
      </c>
      <c r="CF6" s="94">
        <f t="array" ref="CF6">IFERROR(INDEX(Skill!$J:$J, MATCH(CF$4, Skill!$C:$C, 0), 1), "")</f>
        <v>1</v>
      </c>
      <c r="CG6" s="94">
        <f t="array" ref="CG6">IFERROR(INDEX(Skill!$J:$J, MATCH(CG$4, Skill!$C:$C, 0), 1), "")</f>
        <v>1</v>
      </c>
      <c r="CH6" s="94">
        <f t="array" ref="CH6">IFERROR(INDEX(Skill!$J:$J, MATCH(CH$4, Skill!$C:$C, 0), 1), "")</f>
        <v>1</v>
      </c>
      <c r="CI6" s="94">
        <f t="array" ref="CI6">IFERROR(INDEX(Skill!$J:$J, MATCH(CI$4, Skill!$C:$C, 0), 1), "")</f>
        <v>1</v>
      </c>
      <c r="CJ6" s="94">
        <f t="array" ref="CJ6">IFERROR(INDEX(Skill!$J:$J, MATCH(CJ$4, Skill!$C:$C, 0), 1), "")</f>
        <v>1</v>
      </c>
      <c r="CK6" s="94">
        <f t="array" ref="CK6">IFERROR(INDEX(Skill!$J:$J, MATCH(CK$4, Skill!$C:$C, 0), 1), "")</f>
        <v>1</v>
      </c>
      <c r="CL6" s="94">
        <f t="array" ref="CL6">IFERROR(INDEX(Skill!$J:$J, MATCH(CL$4, Skill!$C:$C, 0), 1), "")</f>
        <v>1</v>
      </c>
      <c r="CM6" s="94">
        <f t="array" ref="CM6">IFERROR(INDEX(Skill!$J:$J, MATCH(CM$4, Skill!$C:$C, 0), 1), "")</f>
        <v>1</v>
      </c>
      <c r="CN6" s="94">
        <f t="array" ref="CN6">IFERROR(INDEX(Skill!$J:$J, MATCH(CN$4, Skill!$C:$C, 0), 1), "")</f>
        <v>1</v>
      </c>
      <c r="CO6" s="94">
        <f t="array" ref="CO6">IFERROR(INDEX(Skill!$J:$J, MATCH(CO$4, Skill!$C:$C, 0), 1), "")</f>
        <v>1</v>
      </c>
      <c r="CP6" s="94">
        <f t="array" ref="CP6">IFERROR(INDEX(Skill!$J:$J, MATCH(CP$4, Skill!$C:$C, 0), 1), "")</f>
        <v>1</v>
      </c>
      <c r="CQ6" s="94">
        <f t="array" ref="CQ6">IFERROR(INDEX(Skill!$J:$J, MATCH(CQ$4, Skill!$C:$C, 0), 1), "")</f>
        <v>1</v>
      </c>
      <c r="CR6" s="94">
        <f t="array" ref="CR6">IFERROR(INDEX(Skill!$J:$J, MATCH(CR$4, Skill!$C:$C, 0), 1), "")</f>
        <v>1</v>
      </c>
      <c r="CS6" s="94" t="str">
        <f t="array" ref="CS6">IFERROR(INDEX(Skill!$J:$J, MATCH(CS$4, Skill!$C:$C, 0), 1), "")</f>
        <v/>
      </c>
      <c r="CT6" s="94">
        <f t="array" ref="CT6">IFERROR(INDEX(Skill!$J:$J, MATCH(CT$4, Skill!$C:$C, 0), 1), "")</f>
        <v>1</v>
      </c>
      <c r="CU6" s="94">
        <f t="array" ref="CU6">IFERROR(INDEX(Skill!$J:$J, MATCH(CU$4, Skill!$C:$C, 0), 1), "")</f>
        <v>1</v>
      </c>
      <c r="CV6" s="94">
        <f t="array" ref="CV6">IFERROR(INDEX(Skill!$J:$J, MATCH(CV$4, Skill!$C:$C, 0), 1), "")</f>
        <v>1</v>
      </c>
      <c r="CW6" s="94">
        <f t="array" ref="CW6">IFERROR(INDEX(Skill!$J:$J, MATCH(CW$4, Skill!$C:$C, 0), 1), "")</f>
        <v>1</v>
      </c>
      <c r="CX6" s="94">
        <f t="array" ref="CX6">IFERROR(INDEX(Skill!$J:$J, MATCH(CX$4, Skill!$C:$C, 0), 1), "")</f>
        <v>1</v>
      </c>
      <c r="CY6" s="94">
        <f t="array" ref="CY6">IFERROR(INDEX(Skill!$J:$J, MATCH(CY$4, Skill!$C:$C, 0), 1), "")</f>
        <v>1</v>
      </c>
      <c r="CZ6" s="94">
        <f t="array" ref="CZ6">IFERROR(INDEX(Skill!$J:$J, MATCH(CZ$4, Skill!$C:$C, 0), 1), "")</f>
        <v>1</v>
      </c>
      <c r="DA6" s="94">
        <f t="array" ref="DA6">IFERROR(INDEX(Skill!$J:$J, MATCH(DA$4, Skill!$C:$C, 0), 1), "")</f>
        <v>1</v>
      </c>
      <c r="DB6" s="94">
        <f t="array" ref="DB6">IFERROR(INDEX(Skill!$J:$J, MATCH(DB$4, Skill!$C:$C, 0), 1), "")</f>
        <v>1</v>
      </c>
      <c r="DC6" s="94">
        <f t="array" ref="DC6">IFERROR(INDEX(Skill!$J:$J, MATCH(DC$4, Skill!$C:$C, 0), 1), "")</f>
        <v>1</v>
      </c>
      <c r="DD6" s="94">
        <f t="array" ref="DD6">IFERROR(INDEX(Skill!$J:$J, MATCH(DD$4, Skill!$C:$C, 0), 1), "")</f>
        <v>1</v>
      </c>
      <c r="DE6" s="94">
        <f t="array" ref="DE6">IFERROR(INDEX(Skill!$J:$J, MATCH(DE$4, Skill!$C:$C, 0), 1), "")</f>
        <v>1</v>
      </c>
      <c r="DF6" s="94">
        <f t="array" ref="DF6">IFERROR(INDEX(Skill!$J:$J, MATCH(DF$4, Skill!$C:$C, 0), 1), "")</f>
        <v>1</v>
      </c>
      <c r="DG6" s="94">
        <f t="array" ref="DG6">IFERROR(INDEX(Skill!$J:$J, MATCH(DG$4, Skill!$C:$C, 0), 1), "")</f>
        <v>1</v>
      </c>
      <c r="DH6" s="94">
        <f t="array" ref="DH6">IFERROR(INDEX(Skill!$J:$J, MATCH(DH$4, Skill!$C:$C, 0), 1), "")</f>
        <v>1</v>
      </c>
      <c r="DI6" s="94" t="str">
        <f t="array" ref="DI6">IFERROR(INDEX(Skill!$J:$J, MATCH(DI$4, Skill!$C:$C, 0), 1), "")</f>
        <v/>
      </c>
      <c r="DJ6" s="94">
        <f t="array" ref="DJ6">IFERROR(INDEX(Skill!$J:$J, MATCH(DJ$4, Skill!$C:$C, 0), 1), "")</f>
        <v>1</v>
      </c>
      <c r="DK6" s="94">
        <f t="array" ref="DK6">IFERROR(INDEX(Skill!$J:$J, MATCH(DK$4, Skill!$C:$C, 0), 1), "")</f>
        <v>1</v>
      </c>
      <c r="DL6" s="94">
        <f t="array" ref="DL6">IFERROR(INDEX(Skill!$J:$J, MATCH(DL$4, Skill!$C:$C, 0), 1), "")</f>
        <v>1</v>
      </c>
      <c r="DM6" s="94">
        <f t="array" ref="DM6">IFERROR(INDEX(Skill!$J:$J, MATCH(DM$4, Skill!$C:$C, 0), 1), "")</f>
        <v>1</v>
      </c>
      <c r="DN6" s="94">
        <f t="array" ref="DN6">IFERROR(INDEX(Skill!$J:$J, MATCH(DN$4, Skill!$C:$C, 0), 1), "")</f>
        <v>1</v>
      </c>
      <c r="DO6" s="94">
        <f t="array" ref="DO6">IFERROR(INDEX(Skill!$J:$J, MATCH(DO$4, Skill!$C:$C, 0), 1), "")</f>
        <v>1</v>
      </c>
      <c r="DP6" s="94">
        <f t="array" ref="DP6">IFERROR(INDEX(Skill!$J:$J, MATCH(DP$4, Skill!$C:$C, 0), 1), "")</f>
        <v>1</v>
      </c>
      <c r="DQ6" s="94">
        <f t="array" ref="DQ6">IFERROR(INDEX(Skill!$J:$J, MATCH(DQ$4, Skill!$C:$C, 0), 1), "")</f>
        <v>1</v>
      </c>
      <c r="DR6" s="94">
        <f t="array" ref="DR6">IFERROR(INDEX(Skill!$J:$J, MATCH(DR$4, Skill!$C:$C, 0), 1), "")</f>
        <v>1</v>
      </c>
      <c r="DS6" s="94">
        <f t="array" ref="DS6">IFERROR(INDEX(Skill!$J:$J, MATCH(DS$4, Skill!$C:$C, 0), 1), "")</f>
        <v>1</v>
      </c>
      <c r="DT6" s="94">
        <f t="array" ref="DT6">IFERROR(INDEX(Skill!$J:$J, MATCH(DT$4, Skill!$C:$C, 0), 1), "")</f>
        <v>1</v>
      </c>
      <c r="DU6" s="94">
        <f t="array" ref="DU6">IFERROR(INDEX(Skill!$J:$J, MATCH(DU$4, Skill!$C:$C, 0), 1), "")</f>
        <v>1</v>
      </c>
      <c r="DV6" s="94">
        <f t="array" ref="DV6">IFERROR(INDEX(Skill!$J:$J, MATCH(DV$4, Skill!$C:$C, 0), 1), "")</f>
        <v>1</v>
      </c>
      <c r="DW6" s="94">
        <f t="array" ref="DW6">IFERROR(INDEX(Skill!$J:$J, MATCH(DW$4, Skill!$C:$C, 0), 1), "")</f>
        <v>1</v>
      </c>
      <c r="DX6" s="94">
        <f t="array" ref="DX6">IFERROR(INDEX(Skill!$J:$J, MATCH(DX$4, Skill!$C:$C, 0), 1), "")</f>
        <v>1</v>
      </c>
      <c r="DY6" s="94">
        <f t="array" ref="DY6">IFERROR(INDEX(Skill!$J:$J, MATCH(DY$4, Skill!$C:$C, 0), 1), "")</f>
        <v>1</v>
      </c>
      <c r="DZ6" s="94">
        <f t="array" ref="DZ6">IFERROR(INDEX(Skill!$J:$J, MATCH(DZ$4, Skill!$C:$C, 0), 1), "")</f>
        <v>1</v>
      </c>
      <c r="EA6" s="89">
        <f t="array" ref="EA6">IFERROR(INDEX(Skill!$J:$J, MATCH(EA$4, Skill!$C:$C, 0), 1), "")</f>
        <v>1</v>
      </c>
      <c r="EB6" s="89">
        <f t="array" ref="EB6">IFERROR(INDEX(Skill!$J:$J, MATCH(EB$4, Skill!$C:$C, 0), 1), "")</f>
        <v>1</v>
      </c>
      <c r="EC6" s="89">
        <f t="array" ref="EC6">IFERROR(INDEX(Skill!$J:$J, MATCH(EC$4, Skill!$C:$C, 0), 1), "")</f>
        <v>1</v>
      </c>
      <c r="ED6" s="94">
        <f t="array" ref="ED6">IFERROR(INDEX(Skill!$J:$J, MATCH(ED$4, Skill!$C:$C, 0), 1), "")</f>
        <v>1</v>
      </c>
      <c r="EE6" s="94"/>
      <c r="EF6" s="94"/>
      <c r="EG6" s="94"/>
      <c r="EH6" s="94"/>
      <c r="EI6" s="94"/>
      <c r="EJ6" s="94"/>
      <c r="EK6" s="94"/>
      <c r="EL6" s="94"/>
      <c r="EM6" s="94"/>
      <c r="EN6" s="94"/>
      <c r="EO6" s="94"/>
      <c r="EP6" s="94"/>
      <c r="EQ6" s="94"/>
      <c r="ER6" s="94"/>
      <c r="ES6" s="94"/>
      <c r="ET6" s="94"/>
      <c r="EU6" s="94"/>
      <c r="EV6" s="94"/>
      <c r="EW6" s="94"/>
      <c r="EX6" s="94"/>
      <c r="EY6" s="94"/>
      <c r="EZ6" s="94"/>
      <c r="FA6" s="94"/>
      <c r="FB6" s="94"/>
      <c r="FC6" s="94"/>
      <c r="FD6" s="94"/>
      <c r="FE6" s="94"/>
      <c r="FF6" s="94"/>
      <c r="FG6" s="94"/>
      <c r="FH6" s="94"/>
      <c r="FI6" s="94"/>
      <c r="FJ6" s="94"/>
      <c r="FK6" s="94"/>
      <c r="FL6" s="94"/>
      <c r="FM6" s="94"/>
      <c r="FN6" s="94"/>
      <c r="FO6" s="91"/>
    </row>
    <row r="7" hidden="1">
      <c r="B7" s="92"/>
      <c r="C7" s="93"/>
      <c r="D7" s="83"/>
      <c r="E7" s="84" t="s">
        <v>6</v>
      </c>
      <c r="F7" s="84"/>
      <c r="G7" s="84"/>
      <c r="H7" s="84"/>
      <c r="I7" s="84"/>
      <c r="J7" s="84"/>
      <c r="K7" s="94" t="b">
        <f t="array" ref="K7">IFERROR(INDEX(Skill!$H:$H, MATCH(K$4, Skill!$C:$C, 0), 1), "")</f>
        <v>1</v>
      </c>
      <c r="L7" s="94" t="b">
        <f t="array" ref="L7">IFERROR(INDEX(Skill!$H:$H, MATCH(L$4, Skill!$C:$C, 0), 1), "")</f>
        <v>1</v>
      </c>
      <c r="M7" s="94" t="b">
        <f t="array" ref="M7">IFERROR(INDEX(Skill!$H:$H, MATCH(M$4, Skill!$C:$C, 0), 1), "")</f>
        <v>1</v>
      </c>
      <c r="N7" s="94" t="b">
        <f t="array" ref="N7">IFERROR(INDEX(Skill!$H:$H, MATCH(N$4, Skill!$C:$C, 0), 1), "")</f>
        <v>1</v>
      </c>
      <c r="O7" s="94" t="b">
        <f t="array" ref="O7">IFERROR(INDEX(Skill!$H:$H, MATCH(O$4, Skill!$C:$C, 0), 1), "")</f>
        <v>1</v>
      </c>
      <c r="P7" s="94" t="b">
        <f t="array" ref="P7">IFERROR(INDEX(Skill!$H:$H, MATCH(P$4, Skill!$C:$C, 0), 1), "")</f>
        <v>1</v>
      </c>
      <c r="Q7" s="94" t="b">
        <f t="array" ref="Q7">IFERROR(INDEX(Skill!$H:$H, MATCH(Q$4, Skill!$C:$C, 0), 1), "")</f>
        <v>1</v>
      </c>
      <c r="R7" s="94" t="b">
        <f t="array" ref="R7">IFERROR(INDEX(Skill!$H:$H, MATCH(R$4, Skill!$C:$C, 0), 1), "")</f>
        <v>1</v>
      </c>
      <c r="S7" s="94" t="b">
        <f t="array" ref="S7">IFERROR(INDEX(Skill!$H:$H, MATCH(S$4, Skill!$C:$C, 0), 1), "")</f>
        <v>1</v>
      </c>
      <c r="T7" s="94" t="b">
        <f t="array" ref="T7">IFERROR(INDEX(Skill!$H:$H, MATCH(T$4, Skill!$C:$C, 0), 1), "")</f>
        <v>1</v>
      </c>
      <c r="U7" s="94" t="b">
        <f t="array" ref="U7">IFERROR(INDEX(Skill!$H:$H, MATCH(U$4, Skill!$C:$C, 0), 1), "")</f>
        <v>1</v>
      </c>
      <c r="V7" s="94" t="b">
        <f t="array" ref="V7">IFERROR(INDEX(Skill!$H:$H, MATCH(V$4, Skill!$C:$C, 0), 1), "")</f>
        <v>1</v>
      </c>
      <c r="W7" s="94" t="b">
        <f t="array" ref="W7">IFERROR(INDEX(Skill!$H:$H, MATCH(W$4, Skill!$C:$C, 0), 1), "")</f>
        <v>1</v>
      </c>
      <c r="X7" s="94" t="b">
        <f t="array" ref="X7">IFERROR(INDEX(Skill!$H:$H, MATCH(X$4, Skill!$C:$C, 0), 1), "")</f>
        <v>1</v>
      </c>
      <c r="Y7" s="94" t="b">
        <f t="array" ref="Y7">IFERROR(INDEX(Skill!$H:$H, MATCH(Y$4, Skill!$C:$C, 0), 1), "")</f>
        <v>1</v>
      </c>
      <c r="Z7" s="94" t="b">
        <f t="array" ref="Z7">IFERROR(INDEX(Skill!$H:$H, MATCH(Z$4, Skill!$C:$C, 0), 1), "")</f>
        <v>1</v>
      </c>
      <c r="AA7" s="94" t="b">
        <f t="array" ref="AA7">IFERROR(INDEX(Skill!$H:$H, MATCH(AA$4, Skill!$C:$C, 0), 1), "")</f>
        <v>1</v>
      </c>
      <c r="AB7" s="94" t="b">
        <f t="array" ref="AB7">IFERROR(INDEX(Skill!$H:$H, MATCH(AB$4, Skill!$C:$C, 0), 1), "")</f>
        <v>1</v>
      </c>
      <c r="AC7" s="94" t="b">
        <f t="array" ref="AC7">IFERROR(INDEX(Skill!$H:$H, MATCH(AC$4, Skill!$C:$C, 0), 1), "")</f>
        <v>1</v>
      </c>
      <c r="AD7" s="94" t="b">
        <f t="array" ref="AD7">IFERROR(INDEX(Skill!$H:$H, MATCH(AD$4, Skill!$C:$C, 0), 1), "")</f>
        <v>1</v>
      </c>
      <c r="AE7" s="94" t="b">
        <f t="array" ref="AE7">IFERROR(INDEX(Skill!$H:$H, MATCH(AE$4, Skill!$C:$C, 0), 1), "")</f>
        <v>1</v>
      </c>
      <c r="AF7" s="94" t="b">
        <f t="array" ref="AF7">IFERROR(INDEX(Skill!$H:$H, MATCH(AF$4, Skill!$C:$C, 0), 1), "")</f>
        <v>1</v>
      </c>
      <c r="AG7" s="94" t="str">
        <f t="array" ref="AG7">IFERROR(INDEX(Skill!$H:$H, MATCH(AG$4, Skill!$C:$C, 0), 1), "")</f>
        <v/>
      </c>
      <c r="AH7" s="94" t="b">
        <f t="array" ref="AH7">IFERROR(INDEX(Skill!$H:$H, MATCH(AH$4, Skill!$C:$C, 0), 1), "")</f>
        <v>1</v>
      </c>
      <c r="AI7" s="94" t="b">
        <f t="array" ref="AI7">IFERROR(INDEX(Skill!$H:$H, MATCH(AI$4, Skill!$C:$C, 0), 1), "")</f>
        <v>1</v>
      </c>
      <c r="AJ7" s="94" t="b">
        <f t="array" ref="AJ7">IFERROR(INDEX(Skill!$H:$H, MATCH(AJ$4, Skill!$C:$C, 0), 1), "")</f>
        <v>1</v>
      </c>
      <c r="AK7" s="94" t="b">
        <f t="array" ref="AK7">IFERROR(INDEX(Skill!$H:$H, MATCH(AK$4, Skill!$C:$C, 0), 1), "")</f>
        <v>1</v>
      </c>
      <c r="AL7" s="94" t="b">
        <f t="array" ref="AL7">IFERROR(INDEX(Skill!$H:$H, MATCH(AL$4, Skill!$C:$C, 0), 1), "")</f>
        <v>1</v>
      </c>
      <c r="AM7" s="94" t="b">
        <f t="array" ref="AM7">IFERROR(INDEX(Skill!$H:$H, MATCH(AM$4, Skill!$C:$C, 0), 1), "")</f>
        <v>1</v>
      </c>
      <c r="AN7" s="94" t="b">
        <f t="array" ref="AN7">IFERROR(INDEX(Skill!$H:$H, MATCH(AN$4, Skill!$C:$C, 0), 1), "")</f>
        <v>1</v>
      </c>
      <c r="AO7" s="94" t="b">
        <f t="array" ref="AO7">IFERROR(INDEX(Skill!$H:$H, MATCH(AO$4, Skill!$C:$C, 0), 1), "")</f>
        <v>1</v>
      </c>
      <c r="AP7" s="94" t="b">
        <f t="array" ref="AP7">IFERROR(INDEX(Skill!$H:$H, MATCH(AP$4, Skill!$C:$C, 0), 1), "")</f>
        <v>1</v>
      </c>
      <c r="AQ7" s="94" t="b">
        <f t="array" ref="AQ7">IFERROR(INDEX(Skill!$H:$H, MATCH(AQ$4, Skill!$C:$C, 0), 1), "")</f>
        <v>1</v>
      </c>
      <c r="AR7" s="94" t="b">
        <f t="array" ref="AR7">IFERROR(INDEX(Skill!$H:$H, MATCH(AR$4, Skill!$C:$C, 0), 1), "")</f>
        <v>1</v>
      </c>
      <c r="AS7" s="94" t="b">
        <f t="array" ref="AS7">IFERROR(INDEX(Skill!$H:$H, MATCH(AS$4, Skill!$C:$C, 0), 1), "")</f>
        <v>1</v>
      </c>
      <c r="AT7" s="94" t="b">
        <f t="array" ref="AT7">IFERROR(INDEX(Skill!$H:$H, MATCH(AT$4, Skill!$C:$C, 0), 1), "")</f>
        <v>0</v>
      </c>
      <c r="AU7" s="94" t="b">
        <f t="array" ref="AU7">IFERROR(INDEX(Skill!$H:$H, MATCH(AU$4, Skill!$C:$C, 0), 1), "")</f>
        <v>1</v>
      </c>
      <c r="AV7" s="94" t="b">
        <f t="array" ref="AV7">IFERROR(INDEX(Skill!$H:$H, MATCH(AV$4, Skill!$C:$C, 0), 1), "")</f>
        <v>1</v>
      </c>
      <c r="AW7" s="94" t="b">
        <f t="array" ref="AW7">IFERROR(INDEX(Skill!$H:$H, MATCH(AW$4, Skill!$C:$C, 0), 1), "")</f>
        <v>1</v>
      </c>
      <c r="AX7" s="94" t="b">
        <f t="array" ref="AX7">IFERROR(INDEX(Skill!$H:$H, MATCH(AX$4, Skill!$C:$C, 0), 1), "")</f>
        <v>1</v>
      </c>
      <c r="AY7" s="94" t="b">
        <f t="array" ref="AY7">IFERROR(INDEX(Skill!$H:$H, MATCH(AY$4, Skill!$C:$C, 0), 1), "")</f>
        <v>1</v>
      </c>
      <c r="AZ7" s="94" t="b">
        <f t="array" ref="AZ7">IFERROR(INDEX(Skill!$H:$H, MATCH(AZ$4, Skill!$C:$C, 0), 1), "")</f>
        <v>1</v>
      </c>
      <c r="BA7" s="94" t="str">
        <f t="array" ref="BA7">IFERROR(INDEX(Skill!$H:$H, MATCH(BA$4, Skill!$C:$C, 0), 1), "")</f>
        <v/>
      </c>
      <c r="BB7" s="94" t="b">
        <f t="array" ref="BB7">IFERROR(INDEX(Skill!$H:$H, MATCH(BB$4, Skill!$C:$C, 0), 1), "")</f>
        <v>1</v>
      </c>
      <c r="BC7" s="94" t="str">
        <f t="array" ref="BC7">IFERROR(INDEX(Skill!$H:$H, MATCH(BC$4, Skill!$C:$C, 0), 1), "")</f>
        <v/>
      </c>
      <c r="BD7" s="94" t="b">
        <f t="array" ref="BD7">IFERROR(INDEX(Skill!$H:$H, MATCH(BD$4, Skill!$C:$C, 0), 1), "")</f>
        <v>1</v>
      </c>
      <c r="BE7" s="94" t="b">
        <f t="array" ref="BE7">IFERROR(INDEX(Skill!$H:$H, MATCH(BE$4, Skill!$C:$C, 0), 1), "")</f>
        <v>1</v>
      </c>
      <c r="BF7" s="94" t="b">
        <f t="array" ref="BF7">IFERROR(INDEX(Skill!$H:$H, MATCH(BF$4, Skill!$C:$C, 0), 1), "")</f>
        <v>1</v>
      </c>
      <c r="BG7" s="94" t="b">
        <f t="array" ref="BG7">IFERROR(INDEX(Skill!$H:$H, MATCH(BG$4, Skill!$C:$C, 0), 1), "")</f>
        <v>1</v>
      </c>
      <c r="BH7" s="94" t="b">
        <f t="array" ref="BH7">IFERROR(INDEX(Skill!$H:$H, MATCH(BH$4, Skill!$C:$C, 0), 1), "")</f>
        <v>0</v>
      </c>
      <c r="BI7" s="94" t="b">
        <f t="array" ref="BI7">IFERROR(INDEX(Skill!$H:$H, MATCH(BI$4, Skill!$C:$C, 0), 1), "")</f>
        <v>1</v>
      </c>
      <c r="BJ7" s="94" t="b">
        <f t="array" ref="BJ7">IFERROR(INDEX(Skill!$H:$H, MATCH(BJ$4, Skill!$C:$C, 0), 1), "")</f>
        <v>1</v>
      </c>
      <c r="BK7" s="94" t="b">
        <f t="array" ref="BK7">IFERROR(INDEX(Skill!$H:$H, MATCH(BK$4, Skill!$C:$C, 0), 1), "")</f>
        <v>1</v>
      </c>
      <c r="BL7" s="94" t="b">
        <f t="array" ref="BL7">IFERROR(INDEX(Skill!$H:$H, MATCH(BL$4, Skill!$C:$C, 0), 1), "")</f>
        <v>1</v>
      </c>
      <c r="BM7" s="94" t="b">
        <f t="array" ref="BM7">IFERROR(INDEX(Skill!$H:$H, MATCH(BM$4, Skill!$C:$C, 0), 1), "")</f>
        <v>1</v>
      </c>
      <c r="BN7" s="94" t="b">
        <f t="array" ref="BN7">IFERROR(INDEX(Skill!$H:$H, MATCH(BN$4, Skill!$C:$C, 0), 1), "")</f>
        <v>1</v>
      </c>
      <c r="BO7" s="94" t="b">
        <f t="array" ref="BO7">IFERROR(INDEX(Skill!$H:$H, MATCH(BO$4, Skill!$C:$C, 0), 1), "")</f>
        <v>1</v>
      </c>
      <c r="BP7" s="94" t="b">
        <f t="array" ref="BP7">IFERROR(INDEX(Skill!$H:$H, MATCH(BP$4, Skill!$C:$C, 0), 1), "")</f>
        <v>1</v>
      </c>
      <c r="BQ7" s="94" t="b">
        <f t="array" ref="BQ7">IFERROR(INDEX(Skill!$H:$H, MATCH(BQ$4, Skill!$C:$C, 0), 1), "")</f>
        <v>1</v>
      </c>
      <c r="BR7" s="94" t="b">
        <f t="array" ref="BR7">IFERROR(INDEX(Skill!$H:$H, MATCH(BR$4, Skill!$C:$C, 0), 1), "")</f>
        <v>1</v>
      </c>
      <c r="BS7" s="94" t="b">
        <f t="array" ref="BS7">IFERROR(INDEX(Skill!$H:$H, MATCH(BS$4, Skill!$C:$C, 0), 1), "")</f>
        <v>1</v>
      </c>
      <c r="BT7" s="94" t="str">
        <f t="array" ref="BT7">IFERROR(INDEX(Skill!$H:$H, MATCH(BT$4, Skill!$C:$C, 0), 1), "")</f>
        <v/>
      </c>
      <c r="BU7" s="94" t="b">
        <f t="array" ref="BU7">IFERROR(INDEX(Skill!$H:$H, MATCH(BU$4, Skill!$C:$C, 0), 1), "")</f>
        <v>1</v>
      </c>
      <c r="BV7" s="94" t="b">
        <f t="array" ref="BV7">IFERROR(INDEX(Skill!$H:$H, MATCH(BV$4, Skill!$C:$C, 0), 1), "")</f>
        <v>1</v>
      </c>
      <c r="BW7" s="94" t="str">
        <f t="array" ref="BW7">IFERROR(INDEX(Skill!$H:$H, MATCH(BW$4, Skill!$C:$C, 0), 1), "")</f>
        <v/>
      </c>
      <c r="BX7" s="94" t="b">
        <f t="array" ref="BX7">IFERROR(INDEX(Skill!$H:$H, MATCH(BX$4, Skill!$C:$C, 0), 1), "")</f>
        <v>0</v>
      </c>
      <c r="BY7" s="94" t="b">
        <f t="array" ref="BY7">IFERROR(INDEX(Skill!$H:$H, MATCH(BY$4, Skill!$C:$C, 0), 1), "")</f>
        <v>1</v>
      </c>
      <c r="BZ7" s="94" t="b">
        <f t="array" ref="BZ7">IFERROR(INDEX(Skill!$H:$H, MATCH(BZ$4, Skill!$C:$C, 0), 1), "")</f>
        <v>1</v>
      </c>
      <c r="CA7" s="94" t="b">
        <f t="array" ref="CA7">IFERROR(INDEX(Skill!$H:$H, MATCH(CA$4, Skill!$C:$C, 0), 1), "")</f>
        <v>1</v>
      </c>
      <c r="CB7" s="94" t="b">
        <f t="array" ref="CB7">IFERROR(INDEX(Skill!$H:$H, MATCH(CB$4, Skill!$C:$C, 0), 1), "")</f>
        <v>1</v>
      </c>
      <c r="CC7" s="94" t="b">
        <f t="array" ref="CC7">IFERROR(INDEX(Skill!$H:$H, MATCH(CC$4, Skill!$C:$C, 0), 1), "")</f>
        <v>0</v>
      </c>
      <c r="CD7" s="94" t="b">
        <f t="array" ref="CD7">IFERROR(INDEX(Skill!$H:$H, MATCH(CD$4, Skill!$C:$C, 0), 1), "")</f>
        <v>1</v>
      </c>
      <c r="CE7" s="94" t="b">
        <f t="array" ref="CE7">IFERROR(INDEX(Skill!$H:$H, MATCH(CE$4, Skill!$C:$C, 0), 1), "")</f>
        <v>1</v>
      </c>
      <c r="CF7" s="94" t="b">
        <f t="array" ref="CF7">IFERROR(INDEX(Skill!$H:$H, MATCH(CF$4, Skill!$C:$C, 0), 1), "")</f>
        <v>1</v>
      </c>
      <c r="CG7" s="94" t="b">
        <f t="array" ref="CG7">IFERROR(INDEX(Skill!$H:$H, MATCH(CG$4, Skill!$C:$C, 0), 1), "")</f>
        <v>1</v>
      </c>
      <c r="CH7" s="94" t="b">
        <f t="array" ref="CH7">IFERROR(INDEX(Skill!$H:$H, MATCH(CH$4, Skill!$C:$C, 0), 1), "")</f>
        <v>1</v>
      </c>
      <c r="CI7" s="94" t="b">
        <f t="array" ref="CI7">IFERROR(INDEX(Skill!$H:$H, MATCH(CI$4, Skill!$C:$C, 0), 1), "")</f>
        <v>1</v>
      </c>
      <c r="CJ7" s="94" t="b">
        <f t="array" ref="CJ7">IFERROR(INDEX(Skill!$H:$H, MATCH(CJ$4, Skill!$C:$C, 0), 1), "")</f>
        <v>1</v>
      </c>
      <c r="CK7" s="94" t="b">
        <f t="array" ref="CK7">IFERROR(INDEX(Skill!$H:$H, MATCH(CK$4, Skill!$C:$C, 0), 1), "")</f>
        <v>1</v>
      </c>
      <c r="CL7" s="94" t="b">
        <f t="array" ref="CL7">IFERROR(INDEX(Skill!$H:$H, MATCH(CL$4, Skill!$C:$C, 0), 1), "")</f>
        <v>0</v>
      </c>
      <c r="CM7" s="94" t="b">
        <f t="array" ref="CM7">IFERROR(INDEX(Skill!$H:$H, MATCH(CM$4, Skill!$C:$C, 0), 1), "")</f>
        <v>0</v>
      </c>
      <c r="CN7" s="94" t="b">
        <f t="array" ref="CN7">IFERROR(INDEX(Skill!$H:$H, MATCH(CN$4, Skill!$C:$C, 0), 1), "")</f>
        <v>1</v>
      </c>
      <c r="CO7" s="94" t="b">
        <f t="array" ref="CO7">IFERROR(INDEX(Skill!$H:$H, MATCH(CO$4, Skill!$C:$C, 0), 1), "")</f>
        <v>1</v>
      </c>
      <c r="CP7" s="94" t="b">
        <f t="array" ref="CP7">IFERROR(INDEX(Skill!$H:$H, MATCH(CP$4, Skill!$C:$C, 0), 1), "")</f>
        <v>0</v>
      </c>
      <c r="CQ7" s="94" t="b">
        <f t="array" ref="CQ7">IFERROR(INDEX(Skill!$H:$H, MATCH(CQ$4, Skill!$C:$C, 0), 1), "")</f>
        <v>1</v>
      </c>
      <c r="CR7" s="94" t="b">
        <f t="array" ref="CR7">IFERROR(INDEX(Skill!$H:$H, MATCH(CR$4, Skill!$C:$C, 0), 1), "")</f>
        <v>1</v>
      </c>
      <c r="CS7" s="94" t="str">
        <f t="array" ref="CS7">IFERROR(INDEX(Skill!$H:$H, MATCH(CS$4, Skill!$C:$C, 0), 1), "")</f>
        <v/>
      </c>
      <c r="CT7" s="94" t="b">
        <f t="array" ref="CT7">IFERROR(INDEX(Skill!$H:$H, MATCH(CT$4, Skill!$C:$C, 0), 1), "")</f>
        <v>1</v>
      </c>
      <c r="CU7" s="94" t="b">
        <f t="array" ref="CU7">IFERROR(INDEX(Skill!$H:$H, MATCH(CU$4, Skill!$C:$C, 0), 1), "")</f>
        <v>1</v>
      </c>
      <c r="CV7" s="94" t="b">
        <f t="array" ref="CV7">IFERROR(INDEX(Skill!$H:$H, MATCH(CV$4, Skill!$C:$C, 0), 1), "")</f>
        <v>0</v>
      </c>
      <c r="CW7" s="94" t="b">
        <f t="array" ref="CW7">IFERROR(INDEX(Skill!$H:$H, MATCH(CW$4, Skill!$C:$C, 0), 1), "")</f>
        <v>1</v>
      </c>
      <c r="CX7" s="94" t="b">
        <f t="array" ref="CX7">IFERROR(INDEX(Skill!$H:$H, MATCH(CX$4, Skill!$C:$C, 0), 1), "")</f>
        <v>1</v>
      </c>
      <c r="CY7" s="94" t="b">
        <f t="array" ref="CY7">IFERROR(INDEX(Skill!$H:$H, MATCH(CY$4, Skill!$C:$C, 0), 1), "")</f>
        <v>1</v>
      </c>
      <c r="CZ7" s="94" t="b">
        <f t="array" ref="CZ7">IFERROR(INDEX(Skill!$H:$H, MATCH(CZ$4, Skill!$C:$C, 0), 1), "")</f>
        <v>1</v>
      </c>
      <c r="DA7" s="94" t="b">
        <f t="array" ref="DA7">IFERROR(INDEX(Skill!$H:$H, MATCH(DA$4, Skill!$C:$C, 0), 1), "")</f>
        <v>1</v>
      </c>
      <c r="DB7" s="94" t="b">
        <f t="array" ref="DB7">IFERROR(INDEX(Skill!$H:$H, MATCH(DB$4, Skill!$C:$C, 0), 1), "")</f>
        <v>1</v>
      </c>
      <c r="DC7" s="94" t="b">
        <f t="array" ref="DC7">IFERROR(INDEX(Skill!$H:$H, MATCH(DC$4, Skill!$C:$C, 0), 1), "")</f>
        <v>1</v>
      </c>
      <c r="DD7" s="94" t="b">
        <f t="array" ref="DD7">IFERROR(INDEX(Skill!$H:$H, MATCH(DD$4, Skill!$C:$C, 0), 1), "")</f>
        <v>1</v>
      </c>
      <c r="DE7" s="94" t="b">
        <f t="array" ref="DE7">IFERROR(INDEX(Skill!$H:$H, MATCH(DE$4, Skill!$C:$C, 0), 1), "")</f>
        <v>1</v>
      </c>
      <c r="DF7" s="94" t="b">
        <f t="array" ref="DF7">IFERROR(INDEX(Skill!$H:$H, MATCH(DF$4, Skill!$C:$C, 0), 1), "")</f>
        <v>0</v>
      </c>
      <c r="DG7" s="94" t="b">
        <f t="array" ref="DG7">IFERROR(INDEX(Skill!$H:$H, MATCH(DG$4, Skill!$C:$C, 0), 1), "")</f>
        <v>1</v>
      </c>
      <c r="DH7" s="94" t="b">
        <f t="array" ref="DH7">IFERROR(INDEX(Skill!$H:$H, MATCH(DH$4, Skill!$C:$C, 0), 1), "")</f>
        <v>1</v>
      </c>
      <c r="DI7" s="94" t="str">
        <f t="array" ref="DI7">IFERROR(INDEX(Skill!$H:$H, MATCH(DI$4, Skill!$C:$C, 0), 1), "")</f>
        <v/>
      </c>
      <c r="DJ7" s="94" t="b">
        <f t="array" ref="DJ7">IFERROR(INDEX(Skill!$H:$H, MATCH(DJ$4, Skill!$C:$C, 0), 1), "")</f>
        <v>1</v>
      </c>
      <c r="DK7" s="94" t="b">
        <f t="array" ref="DK7">IFERROR(INDEX(Skill!$H:$H, MATCH(DK$4, Skill!$C:$C, 0), 1), "")</f>
        <v>1</v>
      </c>
      <c r="DL7" s="94" t="b">
        <f t="array" ref="DL7">IFERROR(INDEX(Skill!$H:$H, MATCH(DL$4, Skill!$C:$C, 0), 1), "")</f>
        <v>1</v>
      </c>
      <c r="DM7" s="94" t="b">
        <f t="array" ref="DM7">IFERROR(INDEX(Skill!$H:$H, MATCH(DM$4, Skill!$C:$C, 0), 1), "")</f>
        <v>1</v>
      </c>
      <c r="DN7" s="94" t="b">
        <f t="array" ref="DN7">IFERROR(INDEX(Skill!$H:$H, MATCH(DN$4, Skill!$C:$C, 0), 1), "")</f>
        <v>1</v>
      </c>
      <c r="DO7" s="94" t="b">
        <f t="array" ref="DO7">IFERROR(INDEX(Skill!$H:$H, MATCH(DO$4, Skill!$C:$C, 0), 1), "")</f>
        <v>1</v>
      </c>
      <c r="DP7" s="94" t="b">
        <f t="array" ref="DP7">IFERROR(INDEX(Skill!$H:$H, MATCH(DP$4, Skill!$C:$C, 0), 1), "")</f>
        <v>1</v>
      </c>
      <c r="DQ7" s="94" t="b">
        <f t="array" ref="DQ7">IFERROR(INDEX(Skill!$H:$H, MATCH(DQ$4, Skill!$C:$C, 0), 1), "")</f>
        <v>1</v>
      </c>
      <c r="DR7" s="94" t="b">
        <f t="array" ref="DR7">IFERROR(INDEX(Skill!$H:$H, MATCH(DR$4, Skill!$C:$C, 0), 1), "")</f>
        <v>1</v>
      </c>
      <c r="DS7" s="94" t="b">
        <f t="array" ref="DS7">IFERROR(INDEX(Skill!$H:$H, MATCH(DS$4, Skill!$C:$C, 0), 1), "")</f>
        <v>1</v>
      </c>
      <c r="DT7" s="94" t="b">
        <f t="array" ref="DT7">IFERROR(INDEX(Skill!$H:$H, MATCH(DT$4, Skill!$C:$C, 0), 1), "")</f>
        <v>1</v>
      </c>
      <c r="DU7" s="94" t="b">
        <f t="array" ref="DU7">IFERROR(INDEX(Skill!$H:$H, MATCH(DU$4, Skill!$C:$C, 0), 1), "")</f>
        <v>1</v>
      </c>
      <c r="DV7" s="94" t="b">
        <f t="array" ref="DV7">IFERROR(INDEX(Skill!$H:$H, MATCH(DV$4, Skill!$C:$C, 0), 1), "")</f>
        <v>1</v>
      </c>
      <c r="DW7" s="94" t="b">
        <f t="array" ref="DW7">IFERROR(INDEX(Skill!$H:$H, MATCH(DW$4, Skill!$C:$C, 0), 1), "")</f>
        <v>1</v>
      </c>
      <c r="DX7" s="94" t="b">
        <f t="array" ref="DX7">IFERROR(INDEX(Skill!$H:$H, MATCH(DX$4, Skill!$C:$C, 0), 1), "")</f>
        <v>1</v>
      </c>
      <c r="DY7" s="94" t="b">
        <f t="array" ref="DY7">IFERROR(INDEX(Skill!$H:$H, MATCH(DY$4, Skill!$C:$C, 0), 1), "")</f>
        <v>1</v>
      </c>
      <c r="DZ7" s="94" t="b">
        <f t="array" ref="DZ7">IFERROR(INDEX(Skill!$H:$H, MATCH(DZ$4, Skill!$C:$C, 0), 1), "")</f>
        <v>1</v>
      </c>
      <c r="EA7" s="89" t="b">
        <f t="array" ref="EA7">IFERROR(INDEX(Skill!$H:$H, MATCH(EA$4, Skill!$C:$C, 0), 1), "")</f>
        <v>1</v>
      </c>
      <c r="EB7" s="89" t="b">
        <f t="array" ref="EB7">IFERROR(INDEX(Skill!$H:$H, MATCH(EB$4, Skill!$C:$C, 0), 1), "")</f>
        <v>1</v>
      </c>
      <c r="EC7" s="89" t="b">
        <f t="array" ref="EC7">IFERROR(INDEX(Skill!$H:$H, MATCH(EC$4, Skill!$C:$C, 0), 1), "")</f>
        <v>1</v>
      </c>
      <c r="ED7" s="94" t="b">
        <f t="array" ref="ED7">IFERROR(INDEX(Skill!$H:$H, MATCH(ED$4, Skill!$C:$C, 0), 1), "")</f>
        <v>0</v>
      </c>
      <c r="EE7" s="94"/>
      <c r="EF7" s="94"/>
      <c r="EG7" s="94"/>
      <c r="EH7" s="94"/>
      <c r="EI7" s="94"/>
      <c r="EJ7" s="94"/>
      <c r="EK7" s="94"/>
      <c r="EL7" s="94"/>
      <c r="EM7" s="94"/>
      <c r="EN7" s="94"/>
      <c r="EO7" s="94"/>
      <c r="EP7" s="94"/>
      <c r="EQ7" s="94"/>
      <c r="ER7" s="94"/>
      <c r="ES7" s="94"/>
      <c r="ET7" s="94"/>
      <c r="EU7" s="94"/>
      <c r="EV7" s="94"/>
      <c r="EW7" s="94"/>
      <c r="EX7" s="94"/>
      <c r="EY7" s="94"/>
      <c r="EZ7" s="94"/>
      <c r="FA7" s="94"/>
      <c r="FB7" s="94"/>
      <c r="FC7" s="94"/>
      <c r="FD7" s="94"/>
      <c r="FE7" s="94"/>
      <c r="FF7" s="94"/>
      <c r="FG7" s="94"/>
      <c r="FH7" s="94"/>
      <c r="FI7" s="94"/>
      <c r="FJ7" s="94"/>
      <c r="FK7" s="94"/>
      <c r="FL7" s="94"/>
      <c r="FM7" s="94"/>
      <c r="FN7" s="94"/>
      <c r="FO7" s="91"/>
    </row>
    <row r="8" hidden="1">
      <c r="B8" s="92"/>
      <c r="C8" s="93"/>
      <c r="D8" s="83"/>
      <c r="E8" s="84" t="s">
        <v>1038</v>
      </c>
      <c r="F8" s="84"/>
      <c r="G8" s="84"/>
      <c r="H8" s="84"/>
      <c r="I8" s="84"/>
      <c r="J8" s="84"/>
      <c r="K8" s="94">
        <f t="array" ref="K8">IFERROR(INDEX(Skill!$F:$F, MATCH(K$4, Skill!$C:$C, 0), 1), "")</f>
        <v>15</v>
      </c>
      <c r="L8" s="94">
        <f t="array" ref="L8">IFERROR(INDEX(Skill!$F:$F, MATCH(L$4, Skill!$C:$C, 0), 1), "")</f>
        <v>18</v>
      </c>
      <c r="M8" s="94">
        <f t="array" ref="M8">IFERROR(INDEX(Skill!$F:$F, MATCH(M$4, Skill!$C:$C, 0), 1), "")</f>
        <v>30</v>
      </c>
      <c r="N8" s="94">
        <f t="array" ref="N8">IFERROR(INDEX(Skill!$F:$F, MATCH(N$4, Skill!$C:$C, 0), 1), "")</f>
        <v>8</v>
      </c>
      <c r="O8" s="94">
        <f t="array" ref="O8">IFERROR(INDEX(Skill!$F:$F, MATCH(O$4, Skill!$C:$C, 0), 1), "")</f>
        <v>20</v>
      </c>
      <c r="P8" s="94">
        <f t="array" ref="P8">IFERROR(INDEX(Skill!$F:$F, MATCH(P$4, Skill!$C:$C, 0), 1), "")</f>
        <v>10</v>
      </c>
      <c r="Q8" s="94">
        <f t="array" ref="Q8">IFERROR(INDEX(Skill!$F:$F, MATCH(Q$4, Skill!$C:$C, 0), 1), "")</f>
        <v>15</v>
      </c>
      <c r="R8" s="94">
        <f t="array" ref="R8">IFERROR(INDEX(Skill!$F:$F, MATCH(R$4, Skill!$C:$C, 0), 1), "")</f>
        <v>8</v>
      </c>
      <c r="S8" s="94">
        <f t="array" ref="S8">IFERROR(INDEX(Skill!$F:$F, MATCH(S$4, Skill!$C:$C, 0), 1), "")</f>
        <v>10</v>
      </c>
      <c r="T8" s="94">
        <f t="array" ref="T8">IFERROR(INDEX(Skill!$F:$F, MATCH(T$4, Skill!$C:$C, 0), 1), "")</f>
        <v>15</v>
      </c>
      <c r="U8" s="94">
        <f t="array" ref="U8">IFERROR(INDEX(Skill!$F:$F, MATCH(U$4, Skill!$C:$C, 0), 1), "")</f>
        <v>30</v>
      </c>
      <c r="V8" s="94">
        <f t="array" ref="V8">IFERROR(INDEX(Skill!$F:$F, MATCH(V$4, Skill!$C:$C, 0), 1), "")</f>
        <v>8</v>
      </c>
      <c r="W8" s="94">
        <f t="array" ref="W8">IFERROR(INDEX(Skill!$F:$F, MATCH(W$4, Skill!$C:$C, 0), 1), "")</f>
        <v>20</v>
      </c>
      <c r="X8" s="94">
        <f t="array" ref="X8">IFERROR(INDEX(Skill!$F:$F, MATCH(X$4, Skill!$C:$C, 0), 1), "")</f>
        <v>10</v>
      </c>
      <c r="Y8" s="94">
        <f t="array" ref="Y8">IFERROR(INDEX(Skill!$F:$F, MATCH(Y$4, Skill!$C:$C, 0), 1), "")</f>
        <v>15</v>
      </c>
      <c r="Z8" s="94">
        <f t="array" ref="Z8">IFERROR(INDEX(Skill!$F:$F, MATCH(Z$4, Skill!$C:$C, 0), 1), "")</f>
        <v>8</v>
      </c>
      <c r="AA8" s="94">
        <f t="array" ref="AA8">IFERROR(INDEX(Skill!$F:$F, MATCH(AA$4, Skill!$C:$C, 0), 1), "")</f>
        <v>0</v>
      </c>
      <c r="AB8" s="94">
        <f t="array" ref="AB8">IFERROR(INDEX(Skill!$F:$F, MATCH(AB$4, Skill!$C:$C, 0), 1), "")</f>
        <v>10</v>
      </c>
      <c r="AC8" s="94">
        <f t="array" ref="AC8">IFERROR(INDEX(Skill!$F:$F, MATCH(AC$4, Skill!$C:$C, 0), 1), "")</f>
        <v>15</v>
      </c>
      <c r="AD8" s="94">
        <f t="array" ref="AD8">IFERROR(INDEX(Skill!$F:$F, MATCH(AD$4, Skill!$C:$C, 0), 1), "")</f>
        <v>15</v>
      </c>
      <c r="AE8" s="94">
        <f t="array" ref="AE8">IFERROR(INDEX(Skill!$F:$F, MATCH(AE$4, Skill!$C:$C, 0), 1), "")</f>
        <v>7</v>
      </c>
      <c r="AF8" s="94">
        <f t="array" ref="AF8">IFERROR(INDEX(Skill!$F:$F, MATCH(AF$4, Skill!$C:$C, 0), 1), "")</f>
        <v>10</v>
      </c>
      <c r="AG8" s="94" t="str">
        <f t="array" ref="AG8">IFERROR(INDEX(Skill!$F:$F, MATCH(AG$4, Skill!$C:$C, 0), 1), "")</f>
        <v/>
      </c>
      <c r="AH8" s="94">
        <f t="array" ref="AH8">IFERROR(INDEX(Skill!$F:$F, MATCH(AH$4, Skill!$C:$C, 0), 1), "")</f>
        <v>20</v>
      </c>
      <c r="AI8" s="94">
        <f t="array" ref="AI8">IFERROR(INDEX(Skill!$F:$F, MATCH(AI$4, Skill!$C:$C, 0), 1), "")</f>
        <v>10</v>
      </c>
      <c r="AJ8" s="94">
        <f t="array" ref="AJ8">IFERROR(INDEX(Skill!$F:$F, MATCH(AJ$4, Skill!$C:$C, 0), 1), "")</f>
        <v>15</v>
      </c>
      <c r="AK8" s="94">
        <f t="array" ref="AK8">IFERROR(INDEX(Skill!$F:$F, MATCH(AK$4, Skill!$C:$C, 0), 1), "")</f>
        <v>10</v>
      </c>
      <c r="AL8" s="94">
        <f t="array" ref="AL8">IFERROR(INDEX(Skill!$F:$F, MATCH(AL$4, Skill!$C:$C, 0), 1), "")</f>
        <v>15</v>
      </c>
      <c r="AM8" s="94">
        <f t="array" ref="AM8">IFERROR(INDEX(Skill!$F:$F, MATCH(AM$4, Skill!$C:$C, 0), 1), "")</f>
        <v>15</v>
      </c>
      <c r="AN8" s="94">
        <f t="array" ref="AN8">IFERROR(INDEX(Skill!$F:$F, MATCH(AN$4, Skill!$C:$C, 0), 1), "")</f>
        <v>8</v>
      </c>
      <c r="AO8" s="94">
        <f t="array" ref="AO8">IFERROR(INDEX(Skill!$F:$F, MATCH(AO$4, Skill!$C:$C, 0), 1), "")</f>
        <v>20</v>
      </c>
      <c r="AP8" s="94">
        <f t="array" ref="AP8">IFERROR(INDEX(Skill!$F:$F, MATCH(AP$4, Skill!$C:$C, 0), 1), "")</f>
        <v>20</v>
      </c>
      <c r="AQ8" s="94">
        <f t="array" ref="AQ8">IFERROR(INDEX(Skill!$F:$F, MATCH(AQ$4, Skill!$C:$C, 0), 1), "")</f>
        <v>15</v>
      </c>
      <c r="AR8" s="94">
        <f t="array" ref="AR8">IFERROR(INDEX(Skill!$F:$F, MATCH(AR$4, Skill!$C:$C, 0), 1), "")</f>
        <v>10</v>
      </c>
      <c r="AS8" s="94">
        <f t="array" ref="AS8">IFERROR(INDEX(Skill!$F:$F, MATCH(AS$4, Skill!$C:$C, 0), 1), "")</f>
        <v>20</v>
      </c>
      <c r="AT8" s="94">
        <f t="array" ref="AT8">IFERROR(INDEX(Skill!$F:$F, MATCH(AT$4, Skill!$C:$C, 0), 1), "")</f>
        <v>10</v>
      </c>
      <c r="AU8" s="94">
        <f t="array" ref="AU8">IFERROR(INDEX(Skill!$F:$F, MATCH(AU$4, Skill!$C:$C, 0), 1), "")</f>
        <v>10</v>
      </c>
      <c r="AV8" s="94">
        <f t="array" ref="AV8">IFERROR(INDEX(Skill!$F:$F, MATCH(AV$4, Skill!$C:$C, 0), 1), "")</f>
        <v>24</v>
      </c>
      <c r="AW8" s="94">
        <f t="array" ref="AW8">IFERROR(INDEX(Skill!$F:$F, MATCH(AW$4, Skill!$C:$C, 0), 1), "")</f>
        <v>0</v>
      </c>
      <c r="AX8" s="94">
        <f t="array" ref="AX8">IFERROR(INDEX(Skill!$F:$F, MATCH(AX$4, Skill!$C:$C, 0), 1), "")</f>
        <v>0</v>
      </c>
      <c r="AY8" s="94">
        <f t="array" ref="AY8">IFERROR(INDEX(Skill!$F:$F, MATCH(AY$4, Skill!$C:$C, 0), 1), "")</f>
        <v>8</v>
      </c>
      <c r="AZ8" s="94">
        <f t="array" ref="AZ8">IFERROR(INDEX(Skill!$F:$F, MATCH(AZ$4, Skill!$C:$C, 0), 1), "")</f>
        <v>15</v>
      </c>
      <c r="BA8" s="94" t="str">
        <f t="array" ref="BA8">IFERROR(INDEX(Skill!$F:$F, MATCH(BA$4, Skill!$C:$C, 0), 1), "")</f>
        <v/>
      </c>
      <c r="BB8" s="94">
        <f t="array" ref="BB8">IFERROR(INDEX(Skill!$F:$F, MATCH(BB$4, Skill!$C:$C, 0), 1), "")</f>
        <v>0</v>
      </c>
      <c r="BC8" s="94" t="str">
        <f t="array" ref="BC8">IFERROR(INDEX(Skill!$F:$F, MATCH(BC$4, Skill!$C:$C, 0), 1), "")</f>
        <v/>
      </c>
      <c r="BD8" s="94">
        <f t="array" ref="BD8">IFERROR(INDEX(Skill!$F:$F, MATCH(BD$4, Skill!$C:$C, 0), 1), "")</f>
        <v>0</v>
      </c>
      <c r="BE8" s="94">
        <f t="array" ref="BE8">IFERROR(INDEX(Skill!$F:$F, MATCH(BE$4, Skill!$C:$C, 0), 1), "")</f>
        <v>5</v>
      </c>
      <c r="BF8" s="94">
        <f t="array" ref="BF8">IFERROR(INDEX(Skill!$F:$F, MATCH(BF$4, Skill!$C:$C, 0), 1), "")</f>
        <v>30</v>
      </c>
      <c r="BG8" s="94">
        <f t="array" ref="BG8">IFERROR(INDEX(Skill!$F:$F, MATCH(BG$4, Skill!$C:$C, 0), 1), "")</f>
        <v>15</v>
      </c>
      <c r="BH8" s="94">
        <f t="array" ref="BH8">IFERROR(INDEX(Skill!$F:$F, MATCH(BH$4, Skill!$C:$C, 0), 1), "")</f>
        <v>15</v>
      </c>
      <c r="BI8" s="94">
        <f t="array" ref="BI8">IFERROR(INDEX(Skill!$F:$F, MATCH(BI$4, Skill!$C:$C, 0), 1), "")</f>
        <v>15</v>
      </c>
      <c r="BJ8" s="94">
        <f t="array" ref="BJ8">IFERROR(INDEX(Skill!$F:$F, MATCH(BJ$4, Skill!$C:$C, 0), 1), "")</f>
        <v>0</v>
      </c>
      <c r="BK8" s="94">
        <f t="array" ref="BK8">IFERROR(INDEX(Skill!$F:$F, MATCH(BK$4, Skill!$C:$C, 0), 1), "")</f>
        <v>10</v>
      </c>
      <c r="BL8" s="94">
        <f t="array" ref="BL8">IFERROR(INDEX(Skill!$F:$F, MATCH(BL$4, Skill!$C:$C, 0), 1), "")</f>
        <v>0</v>
      </c>
      <c r="BM8" s="94">
        <f t="array" ref="BM8">IFERROR(INDEX(Skill!$F:$F, MATCH(BM$4, Skill!$C:$C, 0), 1), "")</f>
        <v>0</v>
      </c>
      <c r="BN8" s="94">
        <f t="array" ref="BN8">IFERROR(INDEX(Skill!$F:$F, MATCH(BN$4, Skill!$C:$C, 0), 1), "")</f>
        <v>0</v>
      </c>
      <c r="BO8" s="94">
        <f t="array" ref="BO8">IFERROR(INDEX(Skill!$F:$F, MATCH(BO$4, Skill!$C:$C, 0), 1), "")</f>
        <v>15</v>
      </c>
      <c r="BP8" s="94">
        <f t="array" ref="BP8">IFERROR(INDEX(Skill!$F:$F, MATCH(BP$4, Skill!$C:$C, 0), 1), "")</f>
        <v>30</v>
      </c>
      <c r="BQ8" s="94">
        <f t="array" ref="BQ8">IFERROR(INDEX(Skill!$F:$F, MATCH(BQ$4, Skill!$C:$C, 0), 1), "")</f>
        <v>15</v>
      </c>
      <c r="BR8" s="94">
        <f t="array" ref="BR8">IFERROR(INDEX(Skill!$F:$F, MATCH(BR$4, Skill!$C:$C, 0), 1), "")</f>
        <v>15</v>
      </c>
      <c r="BS8" s="94">
        <f t="array" ref="BS8">IFERROR(INDEX(Skill!$F:$F, MATCH(BS$4, Skill!$C:$C, 0), 1), "")</f>
        <v>0</v>
      </c>
      <c r="BT8" s="94" t="str">
        <f t="array" ref="BT8">IFERROR(INDEX(Skill!$F:$F, MATCH(BT$4, Skill!$C:$C, 0), 1), "")</f>
        <v/>
      </c>
      <c r="BU8" s="94">
        <f t="array" ref="BU8">IFERROR(INDEX(Skill!$F:$F, MATCH(BU$4, Skill!$C:$C, 0), 1), "")</f>
        <v>8</v>
      </c>
      <c r="BV8" s="94">
        <f t="array" ref="BV8">IFERROR(INDEX(Skill!$F:$F, MATCH(BV$4, Skill!$C:$C, 0), 1), "")</f>
        <v>30</v>
      </c>
      <c r="BW8" s="94" t="str">
        <f t="array" ref="BW8">IFERROR(INDEX(Skill!$F:$F, MATCH(BW$4, Skill!$C:$C, 0), 1), "")</f>
        <v/>
      </c>
      <c r="BX8" s="94">
        <f t="array" ref="BX8">IFERROR(INDEX(Skill!$F:$F, MATCH(BX$4, Skill!$C:$C, 0), 1), "")</f>
        <v>15</v>
      </c>
      <c r="BY8" s="94">
        <f t="array" ref="BY8">IFERROR(INDEX(Skill!$F:$F, MATCH(BY$4, Skill!$C:$C, 0), 1), "")</f>
        <v>20</v>
      </c>
      <c r="BZ8" s="94">
        <f t="array" ref="BZ8">IFERROR(INDEX(Skill!$F:$F, MATCH(BZ$4, Skill!$C:$C, 0), 1), "")</f>
        <v>15</v>
      </c>
      <c r="CA8" s="94">
        <f t="array" ref="CA8">IFERROR(INDEX(Skill!$F:$F, MATCH(CA$4, Skill!$C:$C, 0), 1), "")</f>
        <v>20</v>
      </c>
      <c r="CB8" s="94">
        <f t="array" ref="CB8">IFERROR(INDEX(Skill!$F:$F, MATCH(CB$4, Skill!$C:$C, 0), 1), "")</f>
        <v>0</v>
      </c>
      <c r="CC8" s="94">
        <f t="array" ref="CC8">IFERROR(INDEX(Skill!$F:$F, MATCH(CC$4, Skill!$C:$C, 0), 1), "")</f>
        <v>30</v>
      </c>
      <c r="CD8" s="94">
        <f t="array" ref="CD8">IFERROR(INDEX(Skill!$F:$F, MATCH(CD$4, Skill!$C:$C, 0), 1), "")</f>
        <v>21</v>
      </c>
      <c r="CE8" s="94">
        <f t="array" ref="CE8">IFERROR(INDEX(Skill!$F:$F, MATCH(CE$4, Skill!$C:$C, 0), 1), "")</f>
        <v>0</v>
      </c>
      <c r="CF8" s="94">
        <f t="array" ref="CF8">IFERROR(INDEX(Skill!$F:$F, MATCH(CF$4, Skill!$C:$C, 0), 1), "")</f>
        <v>0</v>
      </c>
      <c r="CG8" s="94">
        <f t="array" ref="CG8">IFERROR(INDEX(Skill!$F:$F, MATCH(CG$4, Skill!$C:$C, 0), 1), "")</f>
        <v>22</v>
      </c>
      <c r="CH8" s="94">
        <f t="array" ref="CH8">IFERROR(INDEX(Skill!$F:$F, MATCH(CH$4, Skill!$C:$C, 0), 1), "")</f>
        <v>0</v>
      </c>
      <c r="CI8" s="94">
        <f t="array" ref="CI8">IFERROR(INDEX(Skill!$F:$F, MATCH(CI$4, Skill!$C:$C, 0), 1), "")</f>
        <v>30</v>
      </c>
      <c r="CJ8" s="94">
        <f t="array" ref="CJ8">IFERROR(INDEX(Skill!$F:$F, MATCH(CJ$4, Skill!$C:$C, 0), 1), "")</f>
        <v>15</v>
      </c>
      <c r="CK8" s="94">
        <f t="array" ref="CK8">IFERROR(INDEX(Skill!$F:$F, MATCH(CK$4, Skill!$C:$C, 0), 1), "")</f>
        <v>20</v>
      </c>
      <c r="CL8" s="94">
        <f t="array" ref="CL8">IFERROR(INDEX(Skill!$F:$F, MATCH(CL$4, Skill!$C:$C, 0), 1), "")</f>
        <v>30</v>
      </c>
      <c r="CM8" s="94">
        <f t="array" ref="CM8">IFERROR(INDEX(Skill!$F:$F, MATCH(CM$4, Skill!$C:$C, 0), 1), "")</f>
        <v>30</v>
      </c>
      <c r="CN8" s="94">
        <f t="array" ref="CN8">IFERROR(INDEX(Skill!$F:$F, MATCH(CN$4, Skill!$C:$C, 0), 1), "")</f>
        <v>0</v>
      </c>
      <c r="CO8" s="94">
        <f t="array" ref="CO8">IFERROR(INDEX(Skill!$F:$F, MATCH(CO$4, Skill!$C:$C, 0), 1), "")</f>
        <v>10</v>
      </c>
      <c r="CP8" s="94">
        <f t="array" ref="CP8">IFERROR(INDEX(Skill!$F:$F, MATCH(CP$4, Skill!$C:$C, 0), 1), "")</f>
        <v>30</v>
      </c>
      <c r="CQ8" s="94">
        <f t="array" ref="CQ8">IFERROR(INDEX(Skill!$F:$F, MATCH(CQ$4, Skill!$C:$C, 0), 1), "")</f>
        <v>45</v>
      </c>
      <c r="CR8" s="94">
        <f t="array" ref="CR8">IFERROR(INDEX(Skill!$F:$F, MATCH(CR$4, Skill!$C:$C, 0), 1), "")</f>
        <v>0</v>
      </c>
      <c r="CS8" s="94" t="str">
        <f t="array" ref="CS8">IFERROR(INDEX(Skill!$F:$F, MATCH(CS$4, Skill!$C:$C, 0), 1), "")</f>
        <v/>
      </c>
      <c r="CT8" s="94">
        <f t="array" ref="CT8">IFERROR(INDEX(Skill!$F:$F, MATCH(CT$4, Skill!$C:$C, 0), 1), "")</f>
        <v>20</v>
      </c>
      <c r="CU8" s="94">
        <f t="array" ref="CU8">IFERROR(INDEX(Skill!$F:$F, MATCH(CU$4, Skill!$C:$C, 0), 1), "")</f>
        <v>15</v>
      </c>
      <c r="CV8" s="94">
        <f t="array" ref="CV8">IFERROR(INDEX(Skill!$F:$F, MATCH(CV$4, Skill!$C:$C, 0), 1), "")</f>
        <v>30</v>
      </c>
      <c r="CW8" s="94">
        <f t="array" ref="CW8">IFERROR(INDEX(Skill!$F:$F, MATCH(CW$4, Skill!$C:$C, 0), 1), "")</f>
        <v>15</v>
      </c>
      <c r="CX8" s="94">
        <f t="array" ref="CX8">IFERROR(INDEX(Skill!$F:$F, MATCH(CX$4, Skill!$C:$C, 0), 1), "")</f>
        <v>10</v>
      </c>
      <c r="CY8" s="94">
        <f t="array" ref="CY8">IFERROR(INDEX(Skill!$F:$F, MATCH(CY$4, Skill!$C:$C, 0), 1), "")</f>
        <v>15</v>
      </c>
      <c r="CZ8" s="94">
        <f t="array" ref="CZ8">IFERROR(INDEX(Skill!$F:$F, MATCH(CZ$4, Skill!$C:$C, 0), 1), "")</f>
        <v>0</v>
      </c>
      <c r="DA8" s="94">
        <f t="array" ref="DA8">IFERROR(INDEX(Skill!$F:$F, MATCH(DA$4, Skill!$C:$C, 0), 1), "")</f>
        <v>0</v>
      </c>
      <c r="DB8" s="94">
        <f t="array" ref="DB8">IFERROR(INDEX(Skill!$F:$F, MATCH(DB$4, Skill!$C:$C, 0), 1), "")</f>
        <v>0</v>
      </c>
      <c r="DC8" s="94">
        <f t="array" ref="DC8">IFERROR(INDEX(Skill!$F:$F, MATCH(DC$4, Skill!$C:$C, 0), 1), "")</f>
        <v>20</v>
      </c>
      <c r="DD8" s="94">
        <f t="array" ref="DD8">IFERROR(INDEX(Skill!$F:$F, MATCH(DD$4, Skill!$C:$C, 0), 1), "")</f>
        <v>0</v>
      </c>
      <c r="DE8" s="94">
        <f t="array" ref="DE8">IFERROR(INDEX(Skill!$F:$F, MATCH(DE$4, Skill!$C:$C, 0), 1), "")</f>
        <v>15</v>
      </c>
      <c r="DF8" s="94">
        <f t="array" ref="DF8">IFERROR(INDEX(Skill!$F:$F, MATCH(DF$4, Skill!$C:$C, 0), 1), "")</f>
        <v>30</v>
      </c>
      <c r="DG8" s="94">
        <f t="array" ref="DG8">IFERROR(INDEX(Skill!$F:$F, MATCH(DG$4, Skill!$C:$C, 0), 1), "")</f>
        <v>15</v>
      </c>
      <c r="DH8" s="94">
        <f t="array" ref="DH8">IFERROR(INDEX(Skill!$F:$F, MATCH(DH$4, Skill!$C:$C, 0), 1), "")</f>
        <v>0</v>
      </c>
      <c r="DI8" s="94" t="str">
        <f t="array" ref="DI8">IFERROR(INDEX(Skill!$F:$F, MATCH(DI$4, Skill!$C:$C, 0), 1), "")</f>
        <v/>
      </c>
      <c r="DJ8" s="94">
        <f t="array" ref="DJ8">IFERROR(INDEX(Skill!$F:$F, MATCH(DJ$4, Skill!$C:$C, 0), 1), "")</f>
        <v>15</v>
      </c>
      <c r="DK8" s="94">
        <f t="array" ref="DK8">IFERROR(INDEX(Skill!$F:$F, MATCH(DK$4, Skill!$C:$C, 0), 1), "")</f>
        <v>15</v>
      </c>
      <c r="DL8" s="94">
        <f t="array" ref="DL8">IFERROR(INDEX(Skill!$F:$F, MATCH(DL$4, Skill!$C:$C, 0), 1), "")</f>
        <v>15</v>
      </c>
      <c r="DM8" s="94">
        <f t="array" ref="DM8">IFERROR(INDEX(Skill!$F:$F, MATCH(DM$4, Skill!$C:$C, 0), 1), "")</f>
        <v>15</v>
      </c>
      <c r="DN8" s="94">
        <f t="array" ref="DN8">IFERROR(INDEX(Skill!$F:$F, MATCH(DN$4, Skill!$C:$C, 0), 1), "")</f>
        <v>15</v>
      </c>
      <c r="DO8" s="94">
        <f t="array" ref="DO8">IFERROR(INDEX(Skill!$F:$F, MATCH(DO$4, Skill!$C:$C, 0), 1), "")</f>
        <v>15</v>
      </c>
      <c r="DP8" s="94">
        <f t="array" ref="DP8">IFERROR(INDEX(Skill!$F:$F, MATCH(DP$4, Skill!$C:$C, 0), 1), "")</f>
        <v>15</v>
      </c>
      <c r="DQ8" s="94">
        <f t="array" ref="DQ8">IFERROR(INDEX(Skill!$F:$F, MATCH(DQ$4, Skill!$C:$C, 0), 1), "")</f>
        <v>15</v>
      </c>
      <c r="DR8" s="94">
        <f t="array" ref="DR8">IFERROR(INDEX(Skill!$F:$F, MATCH(DR$4, Skill!$C:$C, 0), 1), "")</f>
        <v>15</v>
      </c>
      <c r="DS8" s="94">
        <f t="array" ref="DS8">IFERROR(INDEX(Skill!$F:$F, MATCH(DS$4, Skill!$C:$C, 0), 1), "")</f>
        <v>15</v>
      </c>
      <c r="DT8" s="94">
        <f t="array" ref="DT8">IFERROR(INDEX(Skill!$F:$F, MATCH(DT$4, Skill!$C:$C, 0), 1), "")</f>
        <v>10</v>
      </c>
      <c r="DU8" s="94">
        <f t="array" ref="DU8">IFERROR(INDEX(Skill!$F:$F, MATCH(DU$4, Skill!$C:$C, 0), 1), "")</f>
        <v>15</v>
      </c>
      <c r="DV8" s="94">
        <f t="array" ref="DV8">IFERROR(INDEX(Skill!$F:$F, MATCH(DV$4, Skill!$C:$C, 0), 1), "")</f>
        <v>0</v>
      </c>
      <c r="DW8" s="94">
        <f t="array" ref="DW8">IFERROR(INDEX(Skill!$F:$F, MATCH(DW$4, Skill!$C:$C, 0), 1), "")</f>
        <v>15</v>
      </c>
      <c r="DX8" s="94">
        <f t="array" ref="DX8">IFERROR(INDEX(Skill!$F:$F, MATCH(DX$4, Skill!$C:$C, 0), 1), "")</f>
        <v>15</v>
      </c>
      <c r="DY8" s="94">
        <f t="array" ref="DY8">IFERROR(INDEX(Skill!$F:$F, MATCH(DY$4, Skill!$C:$C, 0), 1), "")</f>
        <v>15</v>
      </c>
      <c r="DZ8" s="94">
        <f t="array" ref="DZ8">IFERROR(INDEX(Skill!$F:$F, MATCH(DZ$4, Skill!$C:$C, 0), 1), "")</f>
        <v>10</v>
      </c>
      <c r="EA8" s="89">
        <f t="array" ref="EA8">IFERROR(INDEX(Skill!$F:$F, MATCH(EA$4, Skill!$C:$C, 0), 1), "")</f>
        <v>15</v>
      </c>
      <c r="EB8" s="89">
        <f t="array" ref="EB8">IFERROR(INDEX(Skill!$F:$F, MATCH(EB$4, Skill!$C:$C, 0), 1), "")</f>
        <v>10</v>
      </c>
      <c r="EC8" s="89">
        <f t="array" ref="EC8">IFERROR(INDEX(Skill!$F:$F, MATCH(EC$4, Skill!$C:$C, 0), 1), "")</f>
        <v>10</v>
      </c>
      <c r="ED8" s="94">
        <f t="array" ref="ED8">IFERROR(INDEX(Skill!$F:$F, MATCH(ED$4, Skill!$C:$C, 0), 1), "")</f>
        <v>8</v>
      </c>
      <c r="EE8" s="94"/>
      <c r="EF8" s="94"/>
      <c r="EG8" s="94"/>
      <c r="EH8" s="94"/>
      <c r="EI8" s="94"/>
      <c r="EJ8" s="94"/>
      <c r="EK8" s="94"/>
      <c r="EL8" s="94"/>
      <c r="EM8" s="94"/>
      <c r="EN8" s="94"/>
      <c r="EO8" s="94"/>
      <c r="EP8" s="94"/>
      <c r="EQ8" s="94"/>
      <c r="ER8" s="94"/>
      <c r="ES8" s="94"/>
      <c r="ET8" s="94"/>
      <c r="EU8" s="94"/>
      <c r="EV8" s="94"/>
      <c r="EW8" s="94"/>
      <c r="EX8" s="94"/>
      <c r="EY8" s="94"/>
      <c r="EZ8" s="94"/>
      <c r="FA8" s="94"/>
      <c r="FB8" s="94"/>
      <c r="FC8" s="94"/>
      <c r="FD8" s="94"/>
      <c r="FE8" s="94"/>
      <c r="FF8" s="94"/>
      <c r="FG8" s="94"/>
      <c r="FH8" s="94"/>
      <c r="FI8" s="94"/>
      <c r="FJ8" s="94"/>
      <c r="FK8" s="94"/>
      <c r="FL8" s="94"/>
      <c r="FM8" s="94"/>
      <c r="FN8" s="94"/>
      <c r="FO8" s="91"/>
    </row>
    <row r="9" hidden="1">
      <c r="B9" s="84"/>
      <c r="C9" s="83"/>
      <c r="D9" s="83"/>
      <c r="E9" s="84" t="s">
        <v>5</v>
      </c>
      <c r="F9" s="84"/>
      <c r="G9" s="84"/>
      <c r="H9" s="84"/>
      <c r="I9" s="84"/>
      <c r="J9" s="84"/>
      <c r="K9" s="94">
        <f t="array" ref="K9">IFERROR(INDEX(Skill!$G:$G, MATCH(K$4, Skill!$C:$C, 0), 1), "")</f>
        <v>60</v>
      </c>
      <c r="L9" s="94">
        <f t="array" ref="L9">IFERROR(INDEX(Skill!$G:$G, MATCH(L$4, Skill!$C:$C, 0), 1), "")</f>
        <v>120</v>
      </c>
      <c r="M9" s="94">
        <f t="array" ref="M9">IFERROR(INDEX(Skill!$G:$G, MATCH(M$4, Skill!$C:$C, 0), 1), "")</f>
        <v>90</v>
      </c>
      <c r="N9" s="94">
        <f t="array" ref="N9">IFERROR(INDEX(Skill!$G:$G, MATCH(N$4, Skill!$C:$C, 0), 1), "")</f>
        <v>10</v>
      </c>
      <c r="O9" s="94">
        <f t="array" ref="O9">IFERROR(INDEX(Skill!$G:$G, MATCH(O$4, Skill!$C:$C, 0), 1), "")</f>
        <v>90</v>
      </c>
      <c r="P9" s="94">
        <f t="array" ref="P9">IFERROR(INDEX(Skill!$G:$G, MATCH(P$4, Skill!$C:$C, 0), 1), "")</f>
        <v>90</v>
      </c>
      <c r="Q9" s="94">
        <f t="array" ref="Q9">IFERROR(INDEX(Skill!$G:$G, MATCH(Q$4, Skill!$C:$C, 0), 1), "")</f>
        <v>120</v>
      </c>
      <c r="R9" s="94">
        <f t="array" ref="R9">IFERROR(INDEX(Skill!$G:$G, MATCH(R$4, Skill!$C:$C, 0), 1), "")</f>
        <v>5</v>
      </c>
      <c r="S9" s="94">
        <f t="array" ref="S9">IFERROR(INDEX(Skill!$G:$G, MATCH(S$4, Skill!$C:$C, 0), 1), "")</f>
        <v>420</v>
      </c>
      <c r="T9" s="94">
        <f t="array" ref="T9">IFERROR(INDEX(Skill!$G:$G, MATCH(T$4, Skill!$C:$C, 0), 1), "")</f>
        <v>60</v>
      </c>
      <c r="U9" s="94">
        <f t="array" ref="U9">IFERROR(INDEX(Skill!$G:$G, MATCH(U$4, Skill!$C:$C, 0), 1), "")</f>
        <v>90</v>
      </c>
      <c r="V9" s="94">
        <f t="array" ref="V9">IFERROR(INDEX(Skill!$G:$G, MATCH(V$4, Skill!$C:$C, 0), 1), "")</f>
        <v>25</v>
      </c>
      <c r="W9" s="94">
        <f t="array" ref="W9">IFERROR(INDEX(Skill!$G:$G, MATCH(W$4, Skill!$C:$C, 0), 1), "")</f>
        <v>90</v>
      </c>
      <c r="X9" s="94">
        <f t="array" ref="X9">IFERROR(INDEX(Skill!$G:$G, MATCH(X$4, Skill!$C:$C, 0), 1), "")</f>
        <v>90</v>
      </c>
      <c r="Y9" s="94">
        <f t="array" ref="Y9">IFERROR(INDEX(Skill!$G:$G, MATCH(Y$4, Skill!$C:$C, 0), 1), "")</f>
        <v>120</v>
      </c>
      <c r="Z9" s="94">
        <f t="array" ref="Z9">IFERROR(INDEX(Skill!$G:$G, MATCH(Z$4, Skill!$C:$C, 0), 1), "")</f>
        <v>25</v>
      </c>
      <c r="AA9" s="94">
        <f t="array" ref="AA9">IFERROR(INDEX(Skill!$G:$G, MATCH(AA$4, Skill!$C:$C, 0), 1), "")</f>
        <v>60</v>
      </c>
      <c r="AB9" s="94">
        <f t="array" ref="AB9">IFERROR(INDEX(Skill!$G:$G, MATCH(AB$4, Skill!$C:$C, 0), 1), "")</f>
        <v>240</v>
      </c>
      <c r="AC9" s="94">
        <f t="array" ref="AC9">IFERROR(INDEX(Skill!$G:$G, MATCH(AC$4, Skill!$C:$C, 0), 1), "")</f>
        <v>60</v>
      </c>
      <c r="AD9" s="94">
        <f t="array" ref="AD9">IFERROR(INDEX(Skill!$G:$G, MATCH(AD$4, Skill!$C:$C, 0), 1), "")</f>
        <v>90</v>
      </c>
      <c r="AE9" s="94">
        <f t="array" ref="AE9">IFERROR(INDEX(Skill!$G:$G, MATCH(AE$4, Skill!$C:$C, 0), 1), "")</f>
        <v>15</v>
      </c>
      <c r="AF9" s="94">
        <f t="array" ref="AF9">IFERROR(INDEX(Skill!$G:$G, MATCH(AF$4, Skill!$C:$C, 0), 1), "")</f>
        <v>60</v>
      </c>
      <c r="AG9" s="94" t="str">
        <f t="array" ref="AG9">IFERROR(INDEX(Skill!$G:$G, MATCH(AG$4, Skill!$C:$C, 0), 1), "")</f>
        <v/>
      </c>
      <c r="AH9" s="94">
        <f t="array" ref="AH9">IFERROR(INDEX(Skill!$G:$G, MATCH(AH$4, Skill!$C:$C, 0), 1), "")</f>
        <v>90</v>
      </c>
      <c r="AI9" s="94">
        <f t="array" ref="AI9">IFERROR(INDEX(Skill!$G:$G, MATCH(AI$4, Skill!$C:$C, 0), 1), "")</f>
        <v>60</v>
      </c>
      <c r="AJ9" s="94">
        <f t="array" ref="AJ9">IFERROR(INDEX(Skill!$G:$G, MATCH(AJ$4, Skill!$C:$C, 0), 1), "")</f>
        <v>120</v>
      </c>
      <c r="AK9" s="94">
        <f t="array" ref="AK9">IFERROR(INDEX(Skill!$G:$G, MATCH(AK$4, Skill!$C:$C, 0), 1), "")</f>
        <v>300</v>
      </c>
      <c r="AL9" s="94">
        <f t="array" ref="AL9">IFERROR(INDEX(Skill!$G:$G, MATCH(AL$4, Skill!$C:$C, 0), 1), "")</f>
        <v>60</v>
      </c>
      <c r="AM9" s="94">
        <f t="array" ref="AM9">IFERROR(INDEX(Skill!$G:$G, MATCH(AM$4, Skill!$C:$C, 0), 1), "")</f>
        <v>90</v>
      </c>
      <c r="AN9" s="94">
        <f t="array" ref="AN9">IFERROR(INDEX(Skill!$G:$G, MATCH(AN$4, Skill!$C:$C, 0), 1), "")</f>
        <v>25</v>
      </c>
      <c r="AO9" s="94">
        <f t="array" ref="AO9">IFERROR(INDEX(Skill!$G:$G, MATCH(AO$4, Skill!$C:$C, 0), 1), "")</f>
        <v>90</v>
      </c>
      <c r="AP9" s="94">
        <f t="array" ref="AP9">IFERROR(INDEX(Skill!$G:$G, MATCH(AP$4, Skill!$C:$C, 0), 1), "")</f>
        <v>90</v>
      </c>
      <c r="AQ9" s="94">
        <f t="array" ref="AQ9">IFERROR(INDEX(Skill!$G:$G, MATCH(AQ$4, Skill!$C:$C, 0), 1), "")</f>
        <v>120</v>
      </c>
      <c r="AR9" s="94">
        <f t="array" ref="AR9">IFERROR(INDEX(Skill!$G:$G, MATCH(AR$4, Skill!$C:$C, 0), 1), "")</f>
        <v>360</v>
      </c>
      <c r="AS9" s="94">
        <f t="array" ref="AS9">IFERROR(INDEX(Skill!$G:$G, MATCH(AS$4, Skill!$C:$C, 0), 1), "")</f>
        <v>120</v>
      </c>
      <c r="AT9" s="94">
        <f t="array" ref="AT9">IFERROR(INDEX(Skill!$G:$G, MATCH(AT$4, Skill!$C:$C, 0), 1), "")</f>
        <v>1</v>
      </c>
      <c r="AU9" s="94">
        <f t="array" ref="AU9">IFERROR(INDEX(Skill!$G:$G, MATCH(AU$4, Skill!$C:$C, 0), 1), "")</f>
        <v>60</v>
      </c>
      <c r="AV9" s="94">
        <f t="array" ref="AV9">IFERROR(INDEX(Skill!$G:$G, MATCH(AV$4, Skill!$C:$C, 0), 1), "")</f>
        <v>90</v>
      </c>
      <c r="AW9" s="94">
        <f t="array" ref="AW9">IFERROR(INDEX(Skill!$G:$G, MATCH(AW$4, Skill!$C:$C, 0), 1), "")</f>
        <v>40</v>
      </c>
      <c r="AX9" s="94">
        <f t="array" ref="AX9">IFERROR(INDEX(Skill!$G:$G, MATCH(AX$4, Skill!$C:$C, 0), 1), "")</f>
        <v>180</v>
      </c>
      <c r="AY9" s="94">
        <f t="array" ref="AY9">IFERROR(INDEX(Skill!$G:$G, MATCH(AY$4, Skill!$C:$C, 0), 1), "")</f>
        <v>60</v>
      </c>
      <c r="AZ9" s="94">
        <f t="array" ref="AZ9">IFERROR(INDEX(Skill!$G:$G, MATCH(AZ$4, Skill!$C:$C, 0), 1), "")</f>
        <v>30</v>
      </c>
      <c r="BA9" s="94" t="str">
        <f t="array" ref="BA9">IFERROR(INDEX(Skill!$G:$G, MATCH(BA$4, Skill!$C:$C, 0), 1), "")</f>
        <v/>
      </c>
      <c r="BB9" s="94">
        <f t="array" ref="BB9">IFERROR(INDEX(Skill!$G:$G, MATCH(BB$4, Skill!$C:$C, 0), 1), "")</f>
        <v>60</v>
      </c>
      <c r="BC9" s="94" t="str">
        <f t="array" ref="BC9">IFERROR(INDEX(Skill!$G:$G, MATCH(BC$4, Skill!$C:$C, 0), 1), "")</f>
        <v/>
      </c>
      <c r="BD9" s="94">
        <f t="array" ref="BD9">IFERROR(INDEX(Skill!$G:$G, MATCH(BD$4, Skill!$C:$C, 0), 1), "")</f>
        <v>180</v>
      </c>
      <c r="BE9" s="94">
        <f t="array" ref="BE9">IFERROR(INDEX(Skill!$G:$G, MATCH(BE$4, Skill!$C:$C, 0), 1), "")</f>
        <v>60</v>
      </c>
      <c r="BF9" s="94">
        <f t="array" ref="BF9">IFERROR(INDEX(Skill!$G:$G, MATCH(BF$4, Skill!$C:$C, 0), 1), "")</f>
        <v>120</v>
      </c>
      <c r="BG9" s="94">
        <f t="array" ref="BG9">IFERROR(INDEX(Skill!$G:$G, MATCH(BG$4, Skill!$C:$C, 0), 1), "")</f>
        <v>1</v>
      </c>
      <c r="BH9" s="94">
        <f t="array" ref="BH9">IFERROR(INDEX(Skill!$G:$G, MATCH(BH$4, Skill!$C:$C, 0), 1), "")</f>
        <v>2.5</v>
      </c>
      <c r="BI9" s="94">
        <f t="array" ref="BI9">IFERROR(INDEX(Skill!$G:$G, MATCH(BI$4, Skill!$C:$C, 0), 1), "")</f>
        <v>60</v>
      </c>
      <c r="BJ9" s="94">
        <f t="array" ref="BJ9">IFERROR(INDEX(Skill!$G:$G, MATCH(BJ$4, Skill!$C:$C, 0), 1), "")</f>
        <v>60</v>
      </c>
      <c r="BK9" s="94">
        <f t="array" ref="BK9">IFERROR(INDEX(Skill!$G:$G, MATCH(BK$4, Skill!$C:$C, 0), 1), "")</f>
        <v>60</v>
      </c>
      <c r="BL9" s="94">
        <f t="array" ref="BL9">IFERROR(INDEX(Skill!$G:$G, MATCH(BL$4, Skill!$C:$C, 0), 1), "")</f>
        <v>180</v>
      </c>
      <c r="BM9" s="94">
        <f t="array" ref="BM9">IFERROR(INDEX(Skill!$G:$G, MATCH(BM$4, Skill!$C:$C, 0), 1), "")</f>
        <v>55</v>
      </c>
      <c r="BN9" s="94">
        <f t="array" ref="BN9">IFERROR(INDEX(Skill!$G:$G, MATCH(BN$4, Skill!$C:$C, 0), 1), "")</f>
        <v>55</v>
      </c>
      <c r="BO9" s="94">
        <f t="array" ref="BO9">IFERROR(INDEX(Skill!$G:$G, MATCH(BO$4, Skill!$C:$C, 0), 1), "")</f>
        <v>1</v>
      </c>
      <c r="BP9" s="94">
        <f t="array" ref="BP9">IFERROR(INDEX(Skill!$G:$G, MATCH(BP$4, Skill!$C:$C, 0), 1), "")</f>
        <v>1</v>
      </c>
      <c r="BQ9" s="94">
        <f t="array" ref="BQ9">IFERROR(INDEX(Skill!$G:$G, MATCH(BQ$4, Skill!$C:$C, 0), 1), "")</f>
        <v>1</v>
      </c>
      <c r="BR9" s="94">
        <f t="array" ref="BR9">IFERROR(INDEX(Skill!$G:$G, MATCH(BR$4, Skill!$C:$C, 0), 1), "")</f>
        <v>1</v>
      </c>
      <c r="BS9" s="94">
        <f t="array" ref="BS9">IFERROR(INDEX(Skill!$G:$G, MATCH(BS$4, Skill!$C:$C, 0), 1), "")</f>
        <v>40</v>
      </c>
      <c r="BT9" s="94" t="str">
        <f t="array" ref="BT9">IFERROR(INDEX(Skill!$G:$G, MATCH(BT$4, Skill!$C:$C, 0), 1), "")</f>
        <v/>
      </c>
      <c r="BU9" s="94">
        <f t="array" ref="BU9">IFERROR(INDEX(Skill!$G:$G, MATCH(BU$4, Skill!$C:$C, 0), 1), "")</f>
        <v>60</v>
      </c>
      <c r="BV9" s="94">
        <f t="array" ref="BV9">IFERROR(INDEX(Skill!$G:$G, MATCH(BV$4, Skill!$C:$C, 0), 1), "")</f>
        <v>30</v>
      </c>
      <c r="BW9" s="94" t="str">
        <f t="array" ref="BW9">IFERROR(INDEX(Skill!$G:$G, MATCH(BW$4, Skill!$C:$C, 0), 1), "")</f>
        <v/>
      </c>
      <c r="BX9" s="94">
        <f t="array" ref="BX9">IFERROR(INDEX(Skill!$G:$G, MATCH(BX$4, Skill!$C:$C, 0), 1), "")</f>
        <v>2.5</v>
      </c>
      <c r="BY9" s="94">
        <f t="array" ref="BY9">IFERROR(INDEX(Skill!$G:$G, MATCH(BY$4, Skill!$C:$C, 0), 1), "")</f>
        <v>120</v>
      </c>
      <c r="BZ9" s="94">
        <f t="array" ref="BZ9">IFERROR(INDEX(Skill!$G:$G, MATCH(BZ$4, Skill!$C:$C, 0), 1), "")</f>
        <v>30</v>
      </c>
      <c r="CA9" s="94">
        <f t="array" ref="CA9">IFERROR(INDEX(Skill!$G:$G, MATCH(CA$4, Skill!$C:$C, 0), 1), "")</f>
        <v>120</v>
      </c>
      <c r="CB9" s="94">
        <f t="array" ref="CB9">IFERROR(INDEX(Skill!$G:$G, MATCH(CB$4, Skill!$C:$C, 0), 1), "")</f>
        <v>90</v>
      </c>
      <c r="CC9" s="94">
        <f t="array" ref="CC9">IFERROR(INDEX(Skill!$G:$G, MATCH(CC$4, Skill!$C:$C, 0), 1), "")</f>
        <v>2.5</v>
      </c>
      <c r="CD9" s="94">
        <f t="array" ref="CD9">IFERROR(INDEX(Skill!$G:$G, MATCH(CD$4, Skill!$C:$C, 0), 1), "")</f>
        <v>60</v>
      </c>
      <c r="CE9" s="94">
        <f t="array" ref="CE9">IFERROR(INDEX(Skill!$G:$G, MATCH(CE$4, Skill!$C:$C, 0), 1), "")</f>
        <v>30</v>
      </c>
      <c r="CF9" s="94">
        <f t="array" ref="CF9">IFERROR(INDEX(Skill!$G:$G, MATCH(CF$4, Skill!$C:$C, 0), 1), "")</f>
        <v>60</v>
      </c>
      <c r="CG9" s="94">
        <f t="array" ref="CG9">IFERROR(INDEX(Skill!$G:$G, MATCH(CG$4, Skill!$C:$C, 0), 1), "")</f>
        <v>120</v>
      </c>
      <c r="CH9" s="94">
        <f t="array" ref="CH9">IFERROR(INDEX(Skill!$G:$G, MATCH(CH$4, Skill!$C:$C, 0), 1), "")</f>
        <v>30</v>
      </c>
      <c r="CI9" s="94">
        <f t="array" ref="CI9">IFERROR(INDEX(Skill!$G:$G, MATCH(CI$4, Skill!$C:$C, 0), 1), "")</f>
        <v>180</v>
      </c>
      <c r="CJ9" s="94">
        <f t="array" ref="CJ9">IFERROR(INDEX(Skill!$G:$G, MATCH(CJ$4, Skill!$C:$C, 0), 1), "")</f>
        <v>60</v>
      </c>
      <c r="CK9" s="94">
        <f t="array" ref="CK9">IFERROR(INDEX(Skill!$G:$G, MATCH(CK$4, Skill!$C:$C, 0), 1), "")</f>
        <v>180</v>
      </c>
      <c r="CL9" s="94">
        <f t="array" ref="CL9">IFERROR(INDEX(Skill!$G:$G, MATCH(CL$4, Skill!$C:$C, 0), 1), "")</f>
        <v>2.5</v>
      </c>
      <c r="CM9" s="94">
        <f t="array" ref="CM9">IFERROR(INDEX(Skill!$G:$G, MATCH(CM$4, Skill!$C:$C, 0), 1), "")</f>
        <v>2.5</v>
      </c>
      <c r="CN9" s="94">
        <f t="array" ref="CN9">IFERROR(INDEX(Skill!$G:$G, MATCH(CN$4, Skill!$C:$C, 0), 1), "")</f>
        <v>1</v>
      </c>
      <c r="CO9" s="94">
        <f t="array" ref="CO9">IFERROR(INDEX(Skill!$G:$G, MATCH(CO$4, Skill!$C:$C, 0), 1), "")</f>
        <v>60</v>
      </c>
      <c r="CP9" s="94">
        <f t="array" ref="CP9">IFERROR(INDEX(Skill!$G:$G, MATCH(CP$4, Skill!$C:$C, 0), 1), "")</f>
        <v>2.5</v>
      </c>
      <c r="CQ9" s="94">
        <f t="array" ref="CQ9">IFERROR(INDEX(Skill!$G:$G, MATCH(CQ$4, Skill!$C:$C, 0), 1), "")</f>
        <v>45</v>
      </c>
      <c r="CR9" s="94">
        <f t="array" ref="CR9">IFERROR(INDEX(Skill!$G:$G, MATCH(CR$4, Skill!$C:$C, 0), 1), "")</f>
        <v>60</v>
      </c>
      <c r="CS9" s="94" t="str">
        <f t="array" ref="CS9">IFERROR(INDEX(Skill!$G:$G, MATCH(CS$4, Skill!$C:$C, 0), 1), "")</f>
        <v/>
      </c>
      <c r="CT9" s="94">
        <f t="array" ref="CT9">IFERROR(INDEX(Skill!$G:$G, MATCH(CT$4, Skill!$C:$C, 0), 1), "")</f>
        <v>120</v>
      </c>
      <c r="CU9" s="94">
        <f t="array" ref="CU9">IFERROR(INDEX(Skill!$G:$G, MATCH(CU$4, Skill!$C:$C, 0), 1), "")</f>
        <v>30</v>
      </c>
      <c r="CV9" s="94">
        <f t="array" ref="CV9">IFERROR(INDEX(Skill!$G:$G, MATCH(CV$4, Skill!$C:$C, 0), 1), "")</f>
        <v>2.5</v>
      </c>
      <c r="CW9" s="94">
        <f t="array" ref="CW9">IFERROR(INDEX(Skill!$G:$G, MATCH(CW$4, Skill!$C:$C, 0), 1), "")</f>
        <v>120</v>
      </c>
      <c r="CX9" s="94">
        <f t="array" ref="CX9">IFERROR(INDEX(Skill!$G:$G, MATCH(CX$4, Skill!$C:$C, 0), 1), "")</f>
        <v>90</v>
      </c>
      <c r="CY9" s="94">
        <f t="array" ref="CY9">IFERROR(INDEX(Skill!$G:$G, MATCH(CY$4, Skill!$C:$C, 0), 1), "")</f>
        <v>60</v>
      </c>
      <c r="CZ9" s="94">
        <f t="array" ref="CZ9">IFERROR(INDEX(Skill!$G:$G, MATCH(CZ$4, Skill!$C:$C, 0), 1), "")</f>
        <v>30</v>
      </c>
      <c r="DA9" s="94">
        <f t="array" ref="DA9">IFERROR(INDEX(Skill!$G:$G, MATCH(DA$4, Skill!$C:$C, 0), 1), "")</f>
        <v>30</v>
      </c>
      <c r="DB9" s="94">
        <f t="array" ref="DB9">IFERROR(INDEX(Skill!$G:$G, MATCH(DB$4, Skill!$C:$C, 0), 1), "")</f>
        <v>120</v>
      </c>
      <c r="DC9" s="94">
        <f t="array" ref="DC9">IFERROR(INDEX(Skill!$G:$G, MATCH(DC$4, Skill!$C:$C, 0), 1), "")</f>
        <v>180</v>
      </c>
      <c r="DD9" s="94">
        <f t="array" ref="DD9">IFERROR(INDEX(Skill!$G:$G, MATCH(DD$4, Skill!$C:$C, 0), 1), "")</f>
        <v>1</v>
      </c>
      <c r="DE9" s="94">
        <f t="array" ref="DE9">IFERROR(INDEX(Skill!$G:$G, MATCH(DE$4, Skill!$C:$C, 0), 1), "")</f>
        <v>45</v>
      </c>
      <c r="DF9" s="94">
        <f t="array" ref="DF9">IFERROR(INDEX(Skill!$G:$G, MATCH(DF$4, Skill!$C:$C, 0), 1), "")</f>
        <v>2.5</v>
      </c>
      <c r="DG9" s="94">
        <f t="array" ref="DG9">IFERROR(INDEX(Skill!$G:$G, MATCH(DG$4, Skill!$C:$C, 0), 1), "")</f>
        <v>120</v>
      </c>
      <c r="DH9" s="94">
        <f t="array" ref="DH9">IFERROR(INDEX(Skill!$G:$G, MATCH(DH$4, Skill!$C:$C, 0), 1), "")</f>
        <v>90</v>
      </c>
      <c r="DI9" s="94" t="str">
        <f t="array" ref="DI9">IFERROR(INDEX(Skill!$G:$G, MATCH(DI$4, Skill!$C:$C, 0), 1), "")</f>
        <v/>
      </c>
      <c r="DJ9" s="94">
        <f t="array" ref="DJ9">IFERROR(INDEX(Skill!$G:$G, MATCH(DJ$4, Skill!$C:$C, 0), 1), "")</f>
        <v>90</v>
      </c>
      <c r="DK9" s="94">
        <f t="array" ref="DK9">IFERROR(INDEX(Skill!$G:$G, MATCH(DK$4, Skill!$C:$C, 0), 1), "")</f>
        <v>90</v>
      </c>
      <c r="DL9" s="94">
        <f t="array" ref="DL9">IFERROR(INDEX(Skill!$G:$G, MATCH(DL$4, Skill!$C:$C, 0), 1), "")</f>
        <v>90</v>
      </c>
      <c r="DM9" s="94">
        <f t="array" ref="DM9">IFERROR(INDEX(Skill!$G:$G, MATCH(DM$4, Skill!$C:$C, 0), 1), "")</f>
        <v>90</v>
      </c>
      <c r="DN9" s="94">
        <f t="array" ref="DN9">IFERROR(INDEX(Skill!$G:$G, MATCH(DN$4, Skill!$C:$C, 0), 1), "")</f>
        <v>90</v>
      </c>
      <c r="DO9" s="94">
        <f t="array" ref="DO9">IFERROR(INDEX(Skill!$G:$G, MATCH(DO$4, Skill!$C:$C, 0), 1), "")</f>
        <v>90</v>
      </c>
      <c r="DP9" s="94">
        <f t="array" ref="DP9">IFERROR(INDEX(Skill!$G:$G, MATCH(DP$4, Skill!$C:$C, 0), 1), "")</f>
        <v>90</v>
      </c>
      <c r="DQ9" s="94">
        <f t="array" ref="DQ9">IFERROR(INDEX(Skill!$G:$G, MATCH(DQ$4, Skill!$C:$C, 0), 1), "")</f>
        <v>90</v>
      </c>
      <c r="DR9" s="94">
        <f t="array" ref="DR9">IFERROR(INDEX(Skill!$G:$G, MATCH(DR$4, Skill!$C:$C, 0), 1), "")</f>
        <v>120</v>
      </c>
      <c r="DS9" s="94">
        <f t="array" ref="DS9">IFERROR(INDEX(Skill!$G:$G, MATCH(DS$4, Skill!$C:$C, 0), 1), "")</f>
        <v>90</v>
      </c>
      <c r="DT9" s="94">
        <f t="array" ref="DT9">IFERROR(INDEX(Skill!$G:$G, MATCH(DT$4, Skill!$C:$C, 0), 1), "")</f>
        <v>120</v>
      </c>
      <c r="DU9" s="94">
        <f t="array" ref="DU9">IFERROR(INDEX(Skill!$G:$G, MATCH(DU$4, Skill!$C:$C, 0), 1), "")</f>
        <v>90</v>
      </c>
      <c r="DV9" s="94">
        <f t="array" ref="DV9">IFERROR(INDEX(Skill!$G:$G, MATCH(DV$4, Skill!$C:$C, 0), 1), "")</f>
        <v>120</v>
      </c>
      <c r="DW9" s="94">
        <f t="array" ref="DW9">IFERROR(INDEX(Skill!$G:$G, MATCH(DW$4, Skill!$C:$C, 0), 1), "")</f>
        <v>90</v>
      </c>
      <c r="DX9" s="94">
        <f t="array" ref="DX9">IFERROR(INDEX(Skill!$G:$G, MATCH(DX$4, Skill!$C:$C, 0), 1), "")</f>
        <v>90</v>
      </c>
      <c r="DY9" s="94">
        <f t="array" ref="DY9">IFERROR(INDEX(Skill!$G:$G, MATCH(DY$4, Skill!$C:$C, 0), 1), "")</f>
        <v>90</v>
      </c>
      <c r="DZ9" s="94">
        <f t="array" ref="DZ9">IFERROR(INDEX(Skill!$G:$G, MATCH(DZ$4, Skill!$C:$C, 0), 1), "")</f>
        <v>120</v>
      </c>
      <c r="EA9" s="89">
        <f t="array" ref="EA9">IFERROR(INDEX(Skill!$G:$G, MATCH(EA$4, Skill!$C:$C, 0), 1), "")</f>
        <v>90</v>
      </c>
      <c r="EB9" s="89">
        <f t="array" ref="EB9">IFERROR(INDEX(Skill!$G:$G, MATCH(EB$4, Skill!$C:$C, 0), 1), "")</f>
        <v>120</v>
      </c>
      <c r="EC9" s="89">
        <f t="array" ref="EC9">IFERROR(INDEX(Skill!$G:$G, MATCH(EC$4, Skill!$C:$C, 0), 1), "")</f>
        <v>1</v>
      </c>
      <c r="ED9" s="94">
        <f t="array" ref="ED9">IFERROR(INDEX(Skill!$G:$G, MATCH(ED$4, Skill!$C:$C, 0), 1), "")</f>
        <v>2.5</v>
      </c>
      <c r="EE9" s="94"/>
      <c r="EF9" s="94"/>
      <c r="EG9" s="94"/>
      <c r="EH9" s="94"/>
      <c r="EI9" s="94"/>
      <c r="EJ9" s="94"/>
      <c r="EK9" s="94"/>
      <c r="EL9" s="94"/>
      <c r="EM9" s="94"/>
      <c r="EN9" s="94"/>
      <c r="EO9" s="94"/>
      <c r="EP9" s="94"/>
      <c r="EQ9" s="94"/>
      <c r="ER9" s="94"/>
      <c r="ES9" s="94"/>
      <c r="ET9" s="94"/>
      <c r="EU9" s="94"/>
      <c r="EV9" s="94"/>
      <c r="EW9" s="94"/>
      <c r="EX9" s="94"/>
      <c r="EY9" s="94"/>
      <c r="EZ9" s="94"/>
      <c r="FA9" s="94"/>
      <c r="FB9" s="94"/>
      <c r="FC9" s="94"/>
      <c r="FD9" s="94"/>
      <c r="FE9" s="94"/>
      <c r="FF9" s="94"/>
      <c r="FG9" s="94"/>
      <c r="FH9" s="94"/>
      <c r="FI9" s="94"/>
      <c r="FJ9" s="94"/>
      <c r="FK9" s="94"/>
      <c r="FL9" s="94"/>
      <c r="FM9" s="94"/>
      <c r="FN9" s="94"/>
      <c r="FO9" s="91"/>
    </row>
    <row r="10" hidden="1">
      <c r="A10" s="3"/>
      <c r="B10" s="90"/>
      <c r="C10" s="90"/>
      <c r="D10" s="90"/>
      <c r="E10" s="90" t="s">
        <v>11</v>
      </c>
      <c r="F10" s="90"/>
      <c r="G10" s="90"/>
      <c r="H10" s="90"/>
      <c r="I10" s="90"/>
      <c r="J10" s="90"/>
      <c r="K10" s="94">
        <f t="array" ref="K10">IFERROR(INDEX(Skill!$M:$M, MATCH(K$4, Skill!$C:$C, 0), 1), "")</f>
        <v>0.9</v>
      </c>
      <c r="L10" s="94">
        <f t="array" ref="L10">IFERROR(INDEX(Skill!$M:$M, MATCH(L$4, Skill!$C:$C, 0), 1), "")</f>
        <v>0.85</v>
      </c>
      <c r="M10" s="94" t="str">
        <f t="array" ref="M10">IFERROR(INDEX(Skill!$M:$M, MATCH(M$4, Skill!$C:$C, 0), 1), "")</f>
        <v/>
      </c>
      <c r="N10" s="94">
        <f t="array" ref="N10">IFERROR(INDEX(Skill!$M:$M, MATCH(N$4, Skill!$C:$C, 0), 1), "")</f>
        <v>0.9</v>
      </c>
      <c r="O10" s="94">
        <f t="array" ref="O10">IFERROR(INDEX(Skill!$M:$M, MATCH(O$4, Skill!$C:$C, 0), 1), "")</f>
        <v>0.8</v>
      </c>
      <c r="P10" s="94" t="str">
        <f t="array" ref="P10">IFERROR(INDEX(Skill!$M:$M, MATCH(P$4, Skill!$C:$C, 0), 1), "")</f>
        <v/>
      </c>
      <c r="Q10" s="94">
        <f t="array" ref="Q10">IFERROR(INDEX(Skill!$M:$M, MATCH(Q$4, Skill!$C:$C, 0), 1), "")</f>
        <v>0.6</v>
      </c>
      <c r="R10" s="94">
        <f t="array" ref="R10">IFERROR(INDEX(Skill!$M:$M, MATCH(R$4, Skill!$C:$C, 0), 1), "")</f>
        <v>0.85</v>
      </c>
      <c r="S10" s="94">
        <f t="array" ref="S10">IFERROR(INDEX(Skill!$M:$M, MATCH(S$4, Skill!$C:$C, 0), 1), "")</f>
        <v>0</v>
      </c>
      <c r="T10" s="94">
        <f t="array" ref="T10">IFERROR(INDEX(Skill!$M:$M, MATCH(T$4, Skill!$C:$C, 0), 1), "")</f>
        <v>0.9</v>
      </c>
      <c r="U10" s="94" t="str">
        <f t="array" ref="U10">IFERROR(INDEX(Skill!$M:$M, MATCH(U$4, Skill!$C:$C, 0), 1), "")</f>
        <v/>
      </c>
      <c r="V10" s="94">
        <f t="array" ref="V10">IFERROR(INDEX(Skill!$M:$M, MATCH(V$4, Skill!$C:$C, 0), 1), "")</f>
        <v>0.9</v>
      </c>
      <c r="W10" s="94">
        <f t="array" ref="W10">IFERROR(INDEX(Skill!$M:$M, MATCH(W$4, Skill!$C:$C, 0), 1), "")</f>
        <v>0.8</v>
      </c>
      <c r="X10" s="94" t="str">
        <f t="array" ref="X10">IFERROR(INDEX(Skill!$M:$M, MATCH(X$4, Skill!$C:$C, 0), 1), "")</f>
        <v/>
      </c>
      <c r="Y10" s="94">
        <f t="array" ref="Y10">IFERROR(INDEX(Skill!$M:$M, MATCH(Y$4, Skill!$C:$C, 0), 1), "")</f>
        <v>0.6</v>
      </c>
      <c r="Z10" s="94">
        <f t="array" ref="Z10">IFERROR(INDEX(Skill!$M:$M, MATCH(Z$4, Skill!$C:$C, 0), 1), "")</f>
        <v>0.9</v>
      </c>
      <c r="AA10" s="94" t="str">
        <f t="array" ref="AA10">IFERROR(INDEX(Skill!$M:$M, MATCH(AA$4, Skill!$C:$C, 0), 1), "")</f>
        <v/>
      </c>
      <c r="AB10" s="94">
        <f t="array" ref="AB10">IFERROR(INDEX(Skill!$M:$M, MATCH(AB$4, Skill!$C:$C, 0), 1), "")</f>
        <v>1</v>
      </c>
      <c r="AC10" s="94">
        <f t="array" ref="AC10">IFERROR(INDEX(Skill!$M:$M, MATCH(AC$4, Skill!$C:$C, 0), 1), "")</f>
        <v>0.9</v>
      </c>
      <c r="AD10" s="94">
        <f t="array" ref="AD10">IFERROR(INDEX(Skill!$M:$M, MATCH(AD$4, Skill!$C:$C, 0), 1), "")</f>
        <v>0.95</v>
      </c>
      <c r="AE10" s="94" t="str">
        <f t="array" ref="AE10">IFERROR(INDEX(Skill!$M:$M, MATCH(AE$4, Skill!$C:$C, 0), 1), "")</f>
        <v/>
      </c>
      <c r="AF10" s="94">
        <f t="array" ref="AF10">IFERROR(INDEX(Skill!$M:$M, MATCH(AF$4, Skill!$C:$C, 0), 1), "")</f>
        <v>0.9</v>
      </c>
      <c r="AG10" s="94" t="str">
        <f t="array" ref="AG10">IFERROR(INDEX(Skill!$M:$M, MATCH(AG$4, Skill!$C:$C, 0), 1), "")</f>
        <v/>
      </c>
      <c r="AH10" s="94">
        <f t="array" ref="AH10">IFERROR(INDEX(Skill!$M:$M, MATCH(AH$4, Skill!$C:$C, 0), 1), "")</f>
        <v>0.8</v>
      </c>
      <c r="AI10" s="94">
        <f t="array" ref="AI10">IFERROR(INDEX(Skill!$M:$M, MATCH(AI$4, Skill!$C:$C, 0), 1), "")</f>
        <v>0.9</v>
      </c>
      <c r="AJ10" s="94">
        <f t="array" ref="AJ10">IFERROR(INDEX(Skill!$M:$M, MATCH(AJ$4, Skill!$C:$C, 0), 1), "")</f>
        <v>0.6</v>
      </c>
      <c r="AK10" s="94">
        <f t="array" ref="AK10">IFERROR(INDEX(Skill!$M:$M, MATCH(AK$4, Skill!$C:$C, 0), 1), "")</f>
        <v>1</v>
      </c>
      <c r="AL10" s="94">
        <f t="array" ref="AL10">IFERROR(INDEX(Skill!$M:$M, MATCH(AL$4, Skill!$C:$C, 0), 1), "")</f>
        <v>0.9</v>
      </c>
      <c r="AM10" s="94">
        <f t="array" ref="AM10">IFERROR(INDEX(Skill!$M:$M, MATCH(AM$4, Skill!$C:$C, 0), 1), "")</f>
        <v>0.95</v>
      </c>
      <c r="AN10" s="94">
        <f t="array" ref="AN10">IFERROR(INDEX(Skill!$M:$M, MATCH(AN$4, Skill!$C:$C, 0), 1), "")</f>
        <v>0.85</v>
      </c>
      <c r="AO10" s="94">
        <f t="array" ref="AO10">IFERROR(INDEX(Skill!$M:$M, MATCH(AO$4, Skill!$C:$C, 0), 1), "")</f>
        <v>0.8</v>
      </c>
      <c r="AP10" s="94">
        <f t="array" ref="AP10">IFERROR(INDEX(Skill!$M:$M, MATCH(AP$4, Skill!$C:$C, 0), 1), "")</f>
        <v>0.9</v>
      </c>
      <c r="AQ10" s="94">
        <f t="array" ref="AQ10">IFERROR(INDEX(Skill!$M:$M, MATCH(AQ$4, Skill!$C:$C, 0), 1), "")</f>
        <v>0.6</v>
      </c>
      <c r="AR10" s="94">
        <f t="array" ref="AR10">IFERROR(INDEX(Skill!$M:$M, MATCH(AR$4, Skill!$C:$C, 0), 1), "")</f>
        <v>0</v>
      </c>
      <c r="AS10" s="94">
        <f t="array" ref="AS10">IFERROR(INDEX(Skill!$M:$M, MATCH(AS$4, Skill!$C:$C, 0), 1), "")</f>
        <v>0.9</v>
      </c>
      <c r="AT10" s="94" t="str">
        <f t="array" ref="AT10">IFERROR(INDEX(Skill!$M:$M, MATCH(AT$4, Skill!$C:$C, 0), 1), "")</f>
        <v/>
      </c>
      <c r="AU10" s="94" t="str">
        <f t="array" ref="AU10">IFERROR(INDEX(Skill!$M:$M, MATCH(AU$4, Skill!$C:$C, 0), 1), "")</f>
        <v/>
      </c>
      <c r="AV10" s="94" t="str">
        <f t="array" ref="AV10">IFERROR(INDEX(Skill!$M:$M, MATCH(AV$4, Skill!$C:$C, 0), 1), "")</f>
        <v/>
      </c>
      <c r="AW10" s="94" t="str">
        <f t="array" ref="AW10">IFERROR(INDEX(Skill!$M:$M, MATCH(AW$4, Skill!$C:$C, 0), 1), "")</f>
        <v/>
      </c>
      <c r="AX10" s="94" t="str">
        <f t="array" ref="AX10">IFERROR(INDEX(Skill!$M:$M, MATCH(AX$4, Skill!$C:$C, 0), 1), "")</f>
        <v/>
      </c>
      <c r="AY10" s="94">
        <f t="array" ref="AY10">IFERROR(INDEX(Skill!$M:$M, MATCH(AY$4, Skill!$C:$C, 0), 1), "")</f>
        <v>0.85</v>
      </c>
      <c r="AZ10" s="94" t="str">
        <f t="array" ref="AZ10">IFERROR(INDEX(Skill!$M:$M, MATCH(AZ$4, Skill!$C:$C, 0), 1), "")</f>
        <v/>
      </c>
      <c r="BA10" s="94" t="str">
        <f t="array" ref="BA10">IFERROR(INDEX(Skill!$M:$M, MATCH(BA$4, Skill!$C:$C, 0), 1), "")</f>
        <v/>
      </c>
      <c r="BB10" s="94" t="str">
        <f t="array" ref="BB10">IFERROR(INDEX(Skill!$M:$M, MATCH(BB$4, Skill!$C:$C, 0), 1), "")</f>
        <v/>
      </c>
      <c r="BC10" s="94" t="str">
        <f t="array" ref="BC10">IFERROR(INDEX(Skill!$M:$M, MATCH(BC$4, Skill!$C:$C, 0), 1), "")</f>
        <v/>
      </c>
      <c r="BD10" s="94" t="str">
        <f t="array" ref="BD10">IFERROR(INDEX(Skill!$M:$M, MATCH(BD$4, Skill!$C:$C, 0), 1), "")</f>
        <v/>
      </c>
      <c r="BE10" s="94">
        <f t="array" ref="BE10">IFERROR(INDEX(Skill!$M:$M, MATCH(BE$4, Skill!$C:$C, 0), 1), "")</f>
        <v>0.9</v>
      </c>
      <c r="BF10" s="94" t="str">
        <f t="array" ref="BF10">IFERROR(INDEX(Skill!$M:$M, MATCH(BF$4, Skill!$C:$C, 0), 1), "")</f>
        <v/>
      </c>
      <c r="BG10" s="94">
        <f t="array" ref="BG10">IFERROR(INDEX(Skill!$M:$M, MATCH(BG$4, Skill!$C:$C, 0), 1), "")</f>
        <v>0.9</v>
      </c>
      <c r="BH10" s="94" t="str">
        <f t="array" ref="BH10">IFERROR(INDEX(Skill!$M:$M, MATCH(BH$4, Skill!$C:$C, 0), 1), "")</f>
        <v/>
      </c>
      <c r="BI10" s="94" t="str">
        <f t="array" ref="BI10">IFERROR(INDEX(Skill!$M:$M, MATCH(BI$4, Skill!$C:$C, 0), 1), "")</f>
        <v/>
      </c>
      <c r="BJ10" s="94" t="str">
        <f t="array" ref="BJ10">IFERROR(INDEX(Skill!$M:$M, MATCH(BJ$4, Skill!$C:$C, 0), 1), "")</f>
        <v/>
      </c>
      <c r="BK10" s="94" t="str">
        <f t="array" ref="BK10">IFERROR(INDEX(Skill!$M:$M, MATCH(BK$4, Skill!$C:$C, 0), 1), "")</f>
        <v/>
      </c>
      <c r="BL10" s="94" t="str">
        <f t="array" ref="BL10">IFERROR(INDEX(Skill!$M:$M, MATCH(BL$4, Skill!$C:$C, 0), 1), "")</f>
        <v/>
      </c>
      <c r="BM10" s="94" t="str">
        <f t="array" ref="BM10">IFERROR(INDEX(Skill!$M:$M, MATCH(BM$4, Skill!$C:$C, 0), 1), "")</f>
        <v/>
      </c>
      <c r="BN10" s="94" t="str">
        <f t="array" ref="BN10">IFERROR(INDEX(Skill!$M:$M, MATCH(BN$4, Skill!$C:$C, 0), 1), "")</f>
        <v/>
      </c>
      <c r="BO10" s="94" t="str">
        <f t="array" ref="BO10">IFERROR(INDEX(Skill!$M:$M, MATCH(BO$4, Skill!$C:$C, 0), 1), "")</f>
        <v/>
      </c>
      <c r="BP10" s="94" t="str">
        <f t="array" ref="BP10">IFERROR(INDEX(Skill!$M:$M, MATCH(BP$4, Skill!$C:$C, 0), 1), "")</f>
        <v/>
      </c>
      <c r="BQ10" s="94">
        <f t="array" ref="BQ10">IFERROR(INDEX(Skill!$M:$M, MATCH(BQ$4, Skill!$C:$C, 0), 1), "")</f>
        <v>0.9</v>
      </c>
      <c r="BR10" s="94" t="str">
        <f t="array" ref="BR10">IFERROR(INDEX(Skill!$M:$M, MATCH(BR$4, Skill!$C:$C, 0), 1), "")</f>
        <v/>
      </c>
      <c r="BS10" s="94" t="str">
        <f t="array" ref="BS10">IFERROR(INDEX(Skill!$M:$M, MATCH(BS$4, Skill!$C:$C, 0), 1), "")</f>
        <v/>
      </c>
      <c r="BT10" s="94" t="str">
        <f t="array" ref="BT10">IFERROR(INDEX(Skill!$M:$M, MATCH(BT$4, Skill!$C:$C, 0), 1), "")</f>
        <v/>
      </c>
      <c r="BU10" s="94">
        <f t="array" ref="BU10">IFERROR(INDEX(Skill!$M:$M, MATCH(BU$4, Skill!$C:$C, 0), 1), "")</f>
        <v>0.9</v>
      </c>
      <c r="BV10" s="94" t="str">
        <f t="array" ref="BV10">IFERROR(INDEX(Skill!$M:$M, MATCH(BV$4, Skill!$C:$C, 0), 1), "")</f>
        <v/>
      </c>
      <c r="BW10" s="94" t="str">
        <f t="array" ref="BW10">IFERROR(INDEX(Skill!$M:$M, MATCH(BW$4, Skill!$C:$C, 0), 1), "")</f>
        <v/>
      </c>
      <c r="BX10" s="94" t="str">
        <f t="array" ref="BX10">IFERROR(INDEX(Skill!$M:$M, MATCH(BX$4, Skill!$C:$C, 0), 1), "")</f>
        <v/>
      </c>
      <c r="BY10" s="94">
        <f t="array" ref="BY10">IFERROR(INDEX(Skill!$M:$M, MATCH(BY$4, Skill!$C:$C, 0), 1), "")</f>
        <v>1</v>
      </c>
      <c r="BZ10" s="94">
        <f t="array" ref="BZ10">IFERROR(INDEX(Skill!$M:$M, MATCH(BZ$4, Skill!$C:$C, 0), 1), "")</f>
        <v>0.9</v>
      </c>
      <c r="CA10" s="94">
        <f t="array" ref="CA10">IFERROR(INDEX(Skill!$M:$M, MATCH(CA$4, Skill!$C:$C, 0), 1), "")</f>
        <v>0.9</v>
      </c>
      <c r="CB10" s="94" t="str">
        <f t="array" ref="CB10">IFERROR(INDEX(Skill!$M:$M, MATCH(CB$4, Skill!$C:$C, 0), 1), "")</f>
        <v/>
      </c>
      <c r="CC10" s="94" t="str">
        <f t="array" ref="CC10">IFERROR(INDEX(Skill!$M:$M, MATCH(CC$4, Skill!$C:$C, 0), 1), "")</f>
        <v/>
      </c>
      <c r="CD10" s="94" t="str">
        <f t="array" ref="CD10">IFERROR(INDEX(Skill!$M:$M, MATCH(CD$4, Skill!$C:$C, 0), 1), "")</f>
        <v/>
      </c>
      <c r="CE10" s="94" t="str">
        <f t="array" ref="CE10">IFERROR(INDEX(Skill!$M:$M, MATCH(CE$4, Skill!$C:$C, 0), 1), "")</f>
        <v/>
      </c>
      <c r="CF10" s="94" t="str">
        <f t="array" ref="CF10">IFERROR(INDEX(Skill!$M:$M, MATCH(CF$4, Skill!$C:$C, 0), 1), "")</f>
        <v/>
      </c>
      <c r="CG10" s="94" t="str">
        <f t="array" ref="CG10">IFERROR(INDEX(Skill!$M:$M, MATCH(CG$4, Skill!$C:$C, 0), 1), "")</f>
        <v/>
      </c>
      <c r="CH10" s="94" t="str">
        <f t="array" ref="CH10">IFERROR(INDEX(Skill!$M:$M, MATCH(CH$4, Skill!$C:$C, 0), 1), "")</f>
        <v/>
      </c>
      <c r="CI10" s="94" t="str">
        <f t="array" ref="CI10">IFERROR(INDEX(Skill!$M:$M, MATCH(CI$4, Skill!$C:$C, 0), 1), "")</f>
        <v/>
      </c>
      <c r="CJ10" s="94" t="str">
        <f t="array" ref="CJ10">IFERROR(INDEX(Skill!$M:$M, MATCH(CJ$4, Skill!$C:$C, 0), 1), "")</f>
        <v/>
      </c>
      <c r="CK10" s="94" t="str">
        <f t="array" ref="CK10">IFERROR(INDEX(Skill!$M:$M, MATCH(CK$4, Skill!$C:$C, 0), 1), "")</f>
        <v/>
      </c>
      <c r="CL10" s="94" t="str">
        <f t="array" ref="CL10">IFERROR(INDEX(Skill!$M:$M, MATCH(CL$4, Skill!$C:$C, 0), 1), "")</f>
        <v/>
      </c>
      <c r="CM10" s="94" t="str">
        <f t="array" ref="CM10">IFERROR(INDEX(Skill!$M:$M, MATCH(CM$4, Skill!$C:$C, 0), 1), "")</f>
        <v/>
      </c>
      <c r="CN10" s="94" t="str">
        <f t="array" ref="CN10">IFERROR(INDEX(Skill!$M:$M, MATCH(CN$4, Skill!$C:$C, 0), 1), "")</f>
        <v/>
      </c>
      <c r="CO10" s="94" t="str">
        <f t="array" ref="CO10">IFERROR(INDEX(Skill!$M:$M, MATCH(CO$4, Skill!$C:$C, 0), 1), "")</f>
        <v/>
      </c>
      <c r="CP10" s="94" t="str">
        <f t="array" ref="CP10">IFERROR(INDEX(Skill!$M:$M, MATCH(CP$4, Skill!$C:$C, 0), 1), "")</f>
        <v/>
      </c>
      <c r="CQ10" s="94" t="str">
        <f t="array" ref="CQ10">IFERROR(INDEX(Skill!$M:$M, MATCH(CQ$4, Skill!$C:$C, 0), 1), "")</f>
        <v/>
      </c>
      <c r="CR10" s="94" t="str">
        <f t="array" ref="CR10">IFERROR(INDEX(Skill!$M:$M, MATCH(CR$4, Skill!$C:$C, 0), 1), "")</f>
        <v/>
      </c>
      <c r="CS10" s="94" t="str">
        <f t="array" ref="CS10">IFERROR(INDEX(Skill!$M:$M, MATCH(CS$4, Skill!$C:$C, 0), 1), "")</f>
        <v/>
      </c>
      <c r="CT10" s="94">
        <f t="array" ref="CT10">IFERROR(INDEX(Skill!$M:$M, MATCH(CT$4, Skill!$C:$C, 0), 1), "")</f>
        <v>0.9</v>
      </c>
      <c r="CU10" s="94">
        <f t="array" ref="CU10">IFERROR(INDEX(Skill!$M:$M, MATCH(CU$4, Skill!$C:$C, 0), 1), "")</f>
        <v>0.9</v>
      </c>
      <c r="CV10" s="94" t="str">
        <f t="array" ref="CV10">IFERROR(INDEX(Skill!$M:$M, MATCH(CV$4, Skill!$C:$C, 0), 1), "")</f>
        <v/>
      </c>
      <c r="CW10" s="94" t="str">
        <f t="array" ref="CW10">IFERROR(INDEX(Skill!$M:$M, MATCH(CW$4, Skill!$C:$C, 0), 1), "")</f>
        <v/>
      </c>
      <c r="CX10" s="94" t="str">
        <f t="array" ref="CX10">IFERROR(INDEX(Skill!$M:$M, MATCH(CX$4, Skill!$C:$C, 0), 1), "")</f>
        <v/>
      </c>
      <c r="CY10" s="94" t="str">
        <f t="array" ref="CY10">IFERROR(INDEX(Skill!$M:$M, MATCH(CY$4, Skill!$C:$C, 0), 1), "")</f>
        <v/>
      </c>
      <c r="CZ10" s="94" t="str">
        <f t="array" ref="CZ10">IFERROR(INDEX(Skill!$M:$M, MATCH(CZ$4, Skill!$C:$C, 0), 1), "")</f>
        <v/>
      </c>
      <c r="DA10" s="94" t="str">
        <f t="array" ref="DA10">IFERROR(INDEX(Skill!$M:$M, MATCH(DA$4, Skill!$C:$C, 0), 1), "")</f>
        <v/>
      </c>
      <c r="DB10" s="94" t="str">
        <f t="array" ref="DB10">IFERROR(INDEX(Skill!$M:$M, MATCH(DB$4, Skill!$C:$C, 0), 1), "")</f>
        <v/>
      </c>
      <c r="DC10" s="94" t="str">
        <f t="array" ref="DC10">IFERROR(INDEX(Skill!$M:$M, MATCH(DC$4, Skill!$C:$C, 0), 1), "")</f>
        <v/>
      </c>
      <c r="DD10" s="94" t="str">
        <f t="array" ref="DD10">IFERROR(INDEX(Skill!$M:$M, MATCH(DD$4, Skill!$C:$C, 0), 1), "")</f>
        <v/>
      </c>
      <c r="DE10" s="94">
        <f t="array" ref="DE10">IFERROR(INDEX(Skill!$M:$M, MATCH(DE$4, Skill!$C:$C, 0), 1), "")</f>
        <v>0.9</v>
      </c>
      <c r="DF10" s="94" t="str">
        <f t="array" ref="DF10">IFERROR(INDEX(Skill!$M:$M, MATCH(DF$4, Skill!$C:$C, 0), 1), "")</f>
        <v/>
      </c>
      <c r="DG10" s="94" t="str">
        <f t="array" ref="DG10">IFERROR(INDEX(Skill!$M:$M, MATCH(DG$4, Skill!$C:$C, 0), 1), "")</f>
        <v/>
      </c>
      <c r="DH10" s="94" t="str">
        <f t="array" ref="DH10">IFERROR(INDEX(Skill!$M:$M, MATCH(DH$4, Skill!$C:$C, 0), 1), "")</f>
        <v/>
      </c>
      <c r="DI10" s="94" t="str">
        <f t="array" ref="DI10">IFERROR(INDEX(Skill!$M:$M, MATCH(DI$4, Skill!$C:$C, 0), 1), "")</f>
        <v/>
      </c>
      <c r="DJ10" s="94">
        <f t="array" ref="DJ10">IFERROR(INDEX(Skill!$M:$M, MATCH(DJ$4, Skill!$C:$C, 0), 1), "")</f>
        <v>0.9</v>
      </c>
      <c r="DK10" s="94" t="str">
        <f t="array" ref="DK10">IFERROR(INDEX(Skill!$M:$M, MATCH(DK$4, Skill!$C:$C, 0), 1), "")</f>
        <v/>
      </c>
      <c r="DL10" s="94">
        <f t="array" ref="DL10">IFERROR(INDEX(Skill!$M:$M, MATCH(DL$4, Skill!$C:$C, 0), 1), "")</f>
        <v>0.9</v>
      </c>
      <c r="DM10" s="94">
        <f t="array" ref="DM10">IFERROR(INDEX(Skill!$M:$M, MATCH(DM$4, Skill!$C:$C, 0), 1), "")</f>
        <v>0.9</v>
      </c>
      <c r="DN10" s="94">
        <f t="array" ref="DN10">IFERROR(INDEX(Skill!$M:$M, MATCH(DN$4, Skill!$C:$C, 0), 1), "")</f>
        <v>0.9</v>
      </c>
      <c r="DO10" s="94">
        <f t="array" ref="DO10">IFERROR(INDEX(Skill!$M:$M, MATCH(DO$4, Skill!$C:$C, 0), 1), "")</f>
        <v>0.9</v>
      </c>
      <c r="DP10" s="94">
        <f t="array" ref="DP10">IFERROR(INDEX(Skill!$M:$M, MATCH(DP$4, Skill!$C:$C, 0), 1), "")</f>
        <v>0.9</v>
      </c>
      <c r="DQ10" s="94">
        <f t="array" ref="DQ10">IFERROR(INDEX(Skill!$M:$M, MATCH(DQ$4, Skill!$C:$C, 0), 1), "")</f>
        <v>0.85</v>
      </c>
      <c r="DR10" s="94" t="str">
        <f t="array" ref="DR10">IFERROR(INDEX(Skill!$M:$M, MATCH(DR$4, Skill!$C:$C, 0), 1), "")</f>
        <v/>
      </c>
      <c r="DS10" s="94">
        <f t="array" ref="DS10">IFERROR(INDEX(Skill!$M:$M, MATCH(DS$4, Skill!$C:$C, 0), 1), "")</f>
        <v>0.85</v>
      </c>
      <c r="DT10" s="94">
        <f t="array" ref="DT10">IFERROR(INDEX(Skill!$M:$M, MATCH(DT$4, Skill!$C:$C, 0), 1), "")</f>
        <v>0.9</v>
      </c>
      <c r="DU10" s="94">
        <f t="array" ref="DU10">IFERROR(INDEX(Skill!$M:$M, MATCH(DU$4, Skill!$C:$C, 0), 1), "")</f>
        <v>0.85</v>
      </c>
      <c r="DV10" s="94" t="str">
        <f t="array" ref="DV10">IFERROR(INDEX(Skill!$M:$M, MATCH(DV$4, Skill!$C:$C, 0), 1), "")</f>
        <v/>
      </c>
      <c r="DW10" s="94">
        <f t="array" ref="DW10">IFERROR(INDEX(Skill!$M:$M, MATCH(DW$4, Skill!$C:$C, 0), 1), "")</f>
        <v>0.95</v>
      </c>
      <c r="DX10" s="94">
        <f t="array" ref="DX10">IFERROR(INDEX(Skill!$M:$M, MATCH(DX$4, Skill!$C:$C, 0), 1), "")</f>
        <v>0.95</v>
      </c>
      <c r="DY10" s="94">
        <f t="array" ref="DY10">IFERROR(INDEX(Skill!$M:$M, MATCH(DY$4, Skill!$C:$C, 0), 1), "")</f>
        <v>0.95</v>
      </c>
      <c r="DZ10" s="94">
        <f t="array" ref="DZ10">IFERROR(INDEX(Skill!$M:$M, MATCH(DZ$4, Skill!$C:$C, 0), 1), "")</f>
        <v>1</v>
      </c>
      <c r="EA10" s="89">
        <f t="array" ref="EA10">IFERROR(INDEX(Skill!$M:$M, MATCH(EA$4, Skill!$C:$C, 0), 1), "")</f>
        <v>0.95</v>
      </c>
      <c r="EB10" s="89" t="str">
        <f t="array" ref="EB10">IFERROR(INDEX(Skill!$M:$M, MATCH(EB$4, Skill!$C:$C, 0), 1), "")</f>
        <v/>
      </c>
      <c r="EC10" s="89" t="str">
        <f t="array" ref="EC10">IFERROR(INDEX(Skill!$M:$M, MATCH(EC$4, Skill!$C:$C, 0), 1), "")</f>
        <v/>
      </c>
      <c r="ED10" s="94">
        <f t="array" ref="ED10">IFERROR(INDEX(Skill!$M:$M, MATCH(ED$4, Skill!$C:$C, 0), 1), "")</f>
        <v>0.2</v>
      </c>
      <c r="EE10" s="98"/>
      <c r="EF10" s="98"/>
      <c r="EG10" s="98"/>
      <c r="EH10" s="98"/>
      <c r="EI10" s="98"/>
      <c r="EJ10" s="98"/>
      <c r="EK10" s="98"/>
      <c r="EL10" s="98"/>
      <c r="EM10" s="98"/>
      <c r="EN10" s="98"/>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8"/>
      <c r="FO10" s="99"/>
    </row>
    <row r="11" hidden="1">
      <c r="A11" s="3"/>
      <c r="B11" s="90"/>
      <c r="C11" s="90"/>
      <c r="D11" s="90"/>
      <c r="E11" s="90" t="s">
        <v>10</v>
      </c>
      <c r="F11" s="90"/>
      <c r="G11" s="90"/>
      <c r="H11" s="90"/>
      <c r="I11" s="90"/>
      <c r="J11" s="90"/>
      <c r="K11" s="94">
        <f t="array" ref="K11">IFERROR(INDEX(Skill!$L:$L, MATCH(K$4, Skill!$C:$C, 0), 1), "")</f>
        <v>0.9</v>
      </c>
      <c r="L11" s="94">
        <f t="array" ref="L11">IFERROR(INDEX(Skill!$L:$L, MATCH(L$4, Skill!$C:$C, 0), 1), "")</f>
        <v>0.85</v>
      </c>
      <c r="M11" s="94" t="str">
        <f t="array" ref="M11">IFERROR(INDEX(Skill!$L:$L, MATCH(M$4, Skill!$C:$C, 0), 1), "")</f>
        <v/>
      </c>
      <c r="N11" s="94">
        <f t="array" ref="N11">IFERROR(INDEX(Skill!$L:$L, MATCH(N$4, Skill!$C:$C, 0), 1), "")</f>
        <v>0.9</v>
      </c>
      <c r="O11" s="94">
        <f t="array" ref="O11">IFERROR(INDEX(Skill!$L:$L, MATCH(O$4, Skill!$C:$C, 0), 1), "")</f>
        <v>0.8</v>
      </c>
      <c r="P11" s="94" t="str">
        <f t="array" ref="P11">IFERROR(INDEX(Skill!$L:$L, MATCH(P$4, Skill!$C:$C, 0), 1), "")</f>
        <v/>
      </c>
      <c r="Q11" s="94">
        <f t="array" ref="Q11">IFERROR(INDEX(Skill!$L:$L, MATCH(Q$4, Skill!$C:$C, 0), 1), "")</f>
        <v>0.6</v>
      </c>
      <c r="R11" s="94">
        <f t="array" ref="R11">IFERROR(INDEX(Skill!$L:$L, MATCH(R$4, Skill!$C:$C, 0), 1), "")</f>
        <v>0.85</v>
      </c>
      <c r="S11" s="94">
        <f t="array" ref="S11">IFERROR(INDEX(Skill!$L:$L, MATCH(S$4, Skill!$C:$C, 0), 1), "")</f>
        <v>0</v>
      </c>
      <c r="T11" s="94">
        <f t="array" ref="T11">IFERROR(INDEX(Skill!$L:$L, MATCH(T$4, Skill!$C:$C, 0), 1), "")</f>
        <v>0.9</v>
      </c>
      <c r="U11" s="94" t="str">
        <f t="array" ref="U11">IFERROR(INDEX(Skill!$L:$L, MATCH(U$4, Skill!$C:$C, 0), 1), "")</f>
        <v/>
      </c>
      <c r="V11" s="94">
        <f t="array" ref="V11">IFERROR(INDEX(Skill!$L:$L, MATCH(V$4, Skill!$C:$C, 0), 1), "")</f>
        <v>0.9</v>
      </c>
      <c r="W11" s="94">
        <f t="array" ref="W11">IFERROR(INDEX(Skill!$L:$L, MATCH(W$4, Skill!$C:$C, 0), 1), "")</f>
        <v>0.8</v>
      </c>
      <c r="X11" s="94" t="str">
        <f t="array" ref="X11">IFERROR(INDEX(Skill!$L:$L, MATCH(X$4, Skill!$C:$C, 0), 1), "")</f>
        <v/>
      </c>
      <c r="Y11" s="94">
        <f t="array" ref="Y11">IFERROR(INDEX(Skill!$L:$L, MATCH(Y$4, Skill!$C:$C, 0), 1), "")</f>
        <v>0.6</v>
      </c>
      <c r="Z11" s="94">
        <f t="array" ref="Z11">IFERROR(INDEX(Skill!$L:$L, MATCH(Z$4, Skill!$C:$C, 0), 1), "")</f>
        <v>0.9</v>
      </c>
      <c r="AA11" s="94" t="str">
        <f t="array" ref="AA11">IFERROR(INDEX(Skill!$L:$L, MATCH(AA$4, Skill!$C:$C, 0), 1), "")</f>
        <v/>
      </c>
      <c r="AB11" s="94">
        <f t="array" ref="AB11">IFERROR(INDEX(Skill!$L:$L, MATCH(AB$4, Skill!$C:$C, 0), 1), "")</f>
        <v>1</v>
      </c>
      <c r="AC11" s="94">
        <f t="array" ref="AC11">IFERROR(INDEX(Skill!$L:$L, MATCH(AC$4, Skill!$C:$C, 0), 1), "")</f>
        <v>0.9</v>
      </c>
      <c r="AD11" s="94">
        <f t="array" ref="AD11">IFERROR(INDEX(Skill!$L:$L, MATCH(AD$4, Skill!$C:$C, 0), 1), "")</f>
        <v>0.9</v>
      </c>
      <c r="AE11" s="94" t="str">
        <f t="array" ref="AE11">IFERROR(INDEX(Skill!$L:$L, MATCH(AE$4, Skill!$C:$C, 0), 1), "")</f>
        <v/>
      </c>
      <c r="AF11" s="94">
        <f t="array" ref="AF11">IFERROR(INDEX(Skill!$L:$L, MATCH(AF$4, Skill!$C:$C, 0), 1), "")</f>
        <v>0.9</v>
      </c>
      <c r="AG11" s="94" t="str">
        <f t="array" ref="AG11">IFERROR(INDEX(Skill!$L:$L, MATCH(AG$4, Skill!$C:$C, 0), 1), "")</f>
        <v/>
      </c>
      <c r="AH11" s="94">
        <f t="array" ref="AH11">IFERROR(INDEX(Skill!$L:$L, MATCH(AH$4, Skill!$C:$C, 0), 1), "")</f>
        <v>0.8</v>
      </c>
      <c r="AI11" s="94">
        <f t="array" ref="AI11">IFERROR(INDEX(Skill!$L:$L, MATCH(AI$4, Skill!$C:$C, 0), 1), "")</f>
        <v>0.8</v>
      </c>
      <c r="AJ11" s="94">
        <f t="array" ref="AJ11">IFERROR(INDEX(Skill!$L:$L, MATCH(AJ$4, Skill!$C:$C, 0), 1), "")</f>
        <v>0.6</v>
      </c>
      <c r="AK11" s="94">
        <f t="array" ref="AK11">IFERROR(INDEX(Skill!$L:$L, MATCH(AK$4, Skill!$C:$C, 0), 1), "")</f>
        <v>1</v>
      </c>
      <c r="AL11" s="94">
        <f t="array" ref="AL11">IFERROR(INDEX(Skill!$L:$L, MATCH(AL$4, Skill!$C:$C, 0), 1), "")</f>
        <v>0.9</v>
      </c>
      <c r="AM11" s="94">
        <f t="array" ref="AM11">IFERROR(INDEX(Skill!$L:$L, MATCH(AM$4, Skill!$C:$C, 0), 1), "")</f>
        <v>0.9</v>
      </c>
      <c r="AN11" s="94">
        <f t="array" ref="AN11">IFERROR(INDEX(Skill!$L:$L, MATCH(AN$4, Skill!$C:$C, 0), 1), "")</f>
        <v>0.85</v>
      </c>
      <c r="AO11" s="94">
        <f t="array" ref="AO11">IFERROR(INDEX(Skill!$L:$L, MATCH(AO$4, Skill!$C:$C, 0), 1), "")</f>
        <v>0.8</v>
      </c>
      <c r="AP11" s="94">
        <f t="array" ref="AP11">IFERROR(INDEX(Skill!$L:$L, MATCH(AP$4, Skill!$C:$C, 0), 1), "")</f>
        <v>0.9</v>
      </c>
      <c r="AQ11" s="94">
        <f t="array" ref="AQ11">IFERROR(INDEX(Skill!$L:$L, MATCH(AQ$4, Skill!$C:$C, 0), 1), "")</f>
        <v>0.6</v>
      </c>
      <c r="AR11" s="94">
        <f t="array" ref="AR11">IFERROR(INDEX(Skill!$L:$L, MATCH(AR$4, Skill!$C:$C, 0), 1), "")</f>
        <v>0</v>
      </c>
      <c r="AS11" s="94">
        <f t="array" ref="AS11">IFERROR(INDEX(Skill!$L:$L, MATCH(AS$4, Skill!$C:$C, 0), 1), "")</f>
        <v>0.9</v>
      </c>
      <c r="AT11" s="94" t="str">
        <f t="array" ref="AT11">IFERROR(INDEX(Skill!$L:$L, MATCH(AT$4, Skill!$C:$C, 0), 1), "")</f>
        <v/>
      </c>
      <c r="AU11" s="94" t="str">
        <f t="array" ref="AU11">IFERROR(INDEX(Skill!$L:$L, MATCH(AU$4, Skill!$C:$C, 0), 1), "")</f>
        <v/>
      </c>
      <c r="AV11" s="94" t="str">
        <f t="array" ref="AV11">IFERROR(INDEX(Skill!$L:$L, MATCH(AV$4, Skill!$C:$C, 0), 1), "")</f>
        <v/>
      </c>
      <c r="AW11" s="94" t="str">
        <f t="array" ref="AW11">IFERROR(INDEX(Skill!$L:$L, MATCH(AW$4, Skill!$C:$C, 0), 1), "")</f>
        <v/>
      </c>
      <c r="AX11" s="94" t="str">
        <f t="array" ref="AX11">IFERROR(INDEX(Skill!$L:$L, MATCH(AX$4, Skill!$C:$C, 0), 1), "")</f>
        <v/>
      </c>
      <c r="AY11" s="94">
        <f t="array" ref="AY11">IFERROR(INDEX(Skill!$L:$L, MATCH(AY$4, Skill!$C:$C, 0), 1), "")</f>
        <v>0.85</v>
      </c>
      <c r="AZ11" s="94" t="str">
        <f t="array" ref="AZ11">IFERROR(INDEX(Skill!$L:$L, MATCH(AZ$4, Skill!$C:$C, 0), 1), "")</f>
        <v/>
      </c>
      <c r="BA11" s="94" t="str">
        <f t="array" ref="BA11">IFERROR(INDEX(Skill!$L:$L, MATCH(BA$4, Skill!$C:$C, 0), 1), "")</f>
        <v/>
      </c>
      <c r="BB11" s="94" t="str">
        <f t="array" ref="BB11">IFERROR(INDEX(Skill!$L:$L, MATCH(BB$4, Skill!$C:$C, 0), 1), "")</f>
        <v/>
      </c>
      <c r="BC11" s="94" t="str">
        <f t="array" ref="BC11">IFERROR(INDEX(Skill!$L:$L, MATCH(BC$4, Skill!$C:$C, 0), 1), "")</f>
        <v/>
      </c>
      <c r="BD11" s="94" t="str">
        <f t="array" ref="BD11">IFERROR(INDEX(Skill!$L:$L, MATCH(BD$4, Skill!$C:$C, 0), 1), "")</f>
        <v/>
      </c>
      <c r="BE11" s="94">
        <f t="array" ref="BE11">IFERROR(INDEX(Skill!$L:$L, MATCH(BE$4, Skill!$C:$C, 0), 1), "")</f>
        <v>0.9</v>
      </c>
      <c r="BF11" s="94" t="str">
        <f t="array" ref="BF11">IFERROR(INDEX(Skill!$L:$L, MATCH(BF$4, Skill!$C:$C, 0), 1), "")</f>
        <v/>
      </c>
      <c r="BG11" s="94">
        <f t="array" ref="BG11">IFERROR(INDEX(Skill!$L:$L, MATCH(BG$4, Skill!$C:$C, 0), 1), "")</f>
        <v>0.9</v>
      </c>
      <c r="BH11" s="94" t="str">
        <f t="array" ref="BH11">IFERROR(INDEX(Skill!$L:$L, MATCH(BH$4, Skill!$C:$C, 0), 1), "")</f>
        <v/>
      </c>
      <c r="BI11" s="94" t="str">
        <f t="array" ref="BI11">IFERROR(INDEX(Skill!$L:$L, MATCH(BI$4, Skill!$C:$C, 0), 1), "")</f>
        <v/>
      </c>
      <c r="BJ11" s="94" t="str">
        <f t="array" ref="BJ11">IFERROR(INDEX(Skill!$L:$L, MATCH(BJ$4, Skill!$C:$C, 0), 1), "")</f>
        <v/>
      </c>
      <c r="BK11" s="94" t="str">
        <f t="array" ref="BK11">IFERROR(INDEX(Skill!$L:$L, MATCH(BK$4, Skill!$C:$C, 0), 1), "")</f>
        <v/>
      </c>
      <c r="BL11" s="94" t="str">
        <f t="array" ref="BL11">IFERROR(INDEX(Skill!$L:$L, MATCH(BL$4, Skill!$C:$C, 0), 1), "")</f>
        <v/>
      </c>
      <c r="BM11" s="94" t="str">
        <f t="array" ref="BM11">IFERROR(INDEX(Skill!$L:$L, MATCH(BM$4, Skill!$C:$C, 0), 1), "")</f>
        <v/>
      </c>
      <c r="BN11" s="94" t="str">
        <f t="array" ref="BN11">IFERROR(INDEX(Skill!$L:$L, MATCH(BN$4, Skill!$C:$C, 0), 1), "")</f>
        <v/>
      </c>
      <c r="BO11" s="94" t="str">
        <f t="array" ref="BO11">IFERROR(INDEX(Skill!$L:$L, MATCH(BO$4, Skill!$C:$C, 0), 1), "")</f>
        <v/>
      </c>
      <c r="BP11" s="94" t="str">
        <f t="array" ref="BP11">IFERROR(INDEX(Skill!$L:$L, MATCH(BP$4, Skill!$C:$C, 0), 1), "")</f>
        <v/>
      </c>
      <c r="BQ11" s="94">
        <f t="array" ref="BQ11">IFERROR(INDEX(Skill!$L:$L, MATCH(BQ$4, Skill!$C:$C, 0), 1), "")</f>
        <v>0.9</v>
      </c>
      <c r="BR11" s="94" t="str">
        <f t="array" ref="BR11">IFERROR(INDEX(Skill!$L:$L, MATCH(BR$4, Skill!$C:$C, 0), 1), "")</f>
        <v/>
      </c>
      <c r="BS11" s="94" t="str">
        <f t="array" ref="BS11">IFERROR(INDEX(Skill!$L:$L, MATCH(BS$4, Skill!$C:$C, 0), 1), "")</f>
        <v/>
      </c>
      <c r="BT11" s="94" t="str">
        <f t="array" ref="BT11">IFERROR(INDEX(Skill!$L:$L, MATCH(BT$4, Skill!$C:$C, 0), 1), "")</f>
        <v/>
      </c>
      <c r="BU11" s="94">
        <f t="array" ref="BU11">IFERROR(INDEX(Skill!$L:$L, MATCH(BU$4, Skill!$C:$C, 0), 1), "")</f>
        <v>0.9</v>
      </c>
      <c r="BV11" s="94" t="str">
        <f t="array" ref="BV11">IFERROR(INDEX(Skill!$L:$L, MATCH(BV$4, Skill!$C:$C, 0), 1), "")</f>
        <v/>
      </c>
      <c r="BW11" s="94" t="str">
        <f t="array" ref="BW11">IFERROR(INDEX(Skill!$L:$L, MATCH(BW$4, Skill!$C:$C, 0), 1), "")</f>
        <v/>
      </c>
      <c r="BX11" s="94" t="str">
        <f t="array" ref="BX11">IFERROR(INDEX(Skill!$L:$L, MATCH(BX$4, Skill!$C:$C, 0), 1), "")</f>
        <v/>
      </c>
      <c r="BY11" s="94">
        <f t="array" ref="BY11">IFERROR(INDEX(Skill!$L:$L, MATCH(BY$4, Skill!$C:$C, 0), 1), "")</f>
        <v>0.95</v>
      </c>
      <c r="BZ11" s="94">
        <f t="array" ref="BZ11">IFERROR(INDEX(Skill!$L:$L, MATCH(BZ$4, Skill!$C:$C, 0), 1), "")</f>
        <v>0.9</v>
      </c>
      <c r="CA11" s="94">
        <f t="array" ref="CA11">IFERROR(INDEX(Skill!$L:$L, MATCH(CA$4, Skill!$C:$C, 0), 1), "")</f>
        <v>0.9</v>
      </c>
      <c r="CB11" s="94" t="str">
        <f t="array" ref="CB11">IFERROR(INDEX(Skill!$L:$L, MATCH(CB$4, Skill!$C:$C, 0), 1), "")</f>
        <v/>
      </c>
      <c r="CC11" s="94" t="str">
        <f t="array" ref="CC11">IFERROR(INDEX(Skill!$L:$L, MATCH(CC$4, Skill!$C:$C, 0), 1), "")</f>
        <v/>
      </c>
      <c r="CD11" s="94" t="str">
        <f t="array" ref="CD11">IFERROR(INDEX(Skill!$L:$L, MATCH(CD$4, Skill!$C:$C, 0), 1), "")</f>
        <v/>
      </c>
      <c r="CE11" s="94" t="str">
        <f t="array" ref="CE11">IFERROR(INDEX(Skill!$L:$L, MATCH(CE$4, Skill!$C:$C, 0), 1), "")</f>
        <v/>
      </c>
      <c r="CF11" s="94" t="str">
        <f t="array" ref="CF11">IFERROR(INDEX(Skill!$L:$L, MATCH(CF$4, Skill!$C:$C, 0), 1), "")</f>
        <v/>
      </c>
      <c r="CG11" s="94" t="str">
        <f t="array" ref="CG11">IFERROR(INDEX(Skill!$L:$L, MATCH(CG$4, Skill!$C:$C, 0), 1), "")</f>
        <v/>
      </c>
      <c r="CH11" s="94" t="str">
        <f t="array" ref="CH11">IFERROR(INDEX(Skill!$L:$L, MATCH(CH$4, Skill!$C:$C, 0), 1), "")</f>
        <v/>
      </c>
      <c r="CI11" s="94" t="str">
        <f t="array" ref="CI11">IFERROR(INDEX(Skill!$L:$L, MATCH(CI$4, Skill!$C:$C, 0), 1), "")</f>
        <v/>
      </c>
      <c r="CJ11" s="94" t="str">
        <f t="array" ref="CJ11">IFERROR(INDEX(Skill!$L:$L, MATCH(CJ$4, Skill!$C:$C, 0), 1), "")</f>
        <v/>
      </c>
      <c r="CK11" s="94" t="str">
        <f t="array" ref="CK11">IFERROR(INDEX(Skill!$L:$L, MATCH(CK$4, Skill!$C:$C, 0), 1), "")</f>
        <v/>
      </c>
      <c r="CL11" s="94" t="str">
        <f t="array" ref="CL11">IFERROR(INDEX(Skill!$L:$L, MATCH(CL$4, Skill!$C:$C, 0), 1), "")</f>
        <v/>
      </c>
      <c r="CM11" s="94" t="str">
        <f t="array" ref="CM11">IFERROR(INDEX(Skill!$L:$L, MATCH(CM$4, Skill!$C:$C, 0), 1), "")</f>
        <v/>
      </c>
      <c r="CN11" s="94" t="str">
        <f t="array" ref="CN11">IFERROR(INDEX(Skill!$L:$L, MATCH(CN$4, Skill!$C:$C, 0), 1), "")</f>
        <v/>
      </c>
      <c r="CO11" s="94" t="str">
        <f t="array" ref="CO11">IFERROR(INDEX(Skill!$L:$L, MATCH(CO$4, Skill!$C:$C, 0), 1), "")</f>
        <v/>
      </c>
      <c r="CP11" s="94" t="str">
        <f t="array" ref="CP11">IFERROR(INDEX(Skill!$L:$L, MATCH(CP$4, Skill!$C:$C, 0), 1), "")</f>
        <v/>
      </c>
      <c r="CQ11" s="94" t="str">
        <f t="array" ref="CQ11">IFERROR(INDEX(Skill!$L:$L, MATCH(CQ$4, Skill!$C:$C, 0), 1), "")</f>
        <v/>
      </c>
      <c r="CR11" s="94" t="str">
        <f t="array" ref="CR11">IFERROR(INDEX(Skill!$L:$L, MATCH(CR$4, Skill!$C:$C, 0), 1), "")</f>
        <v/>
      </c>
      <c r="CS11" s="94" t="str">
        <f t="array" ref="CS11">IFERROR(INDEX(Skill!$L:$L, MATCH(CS$4, Skill!$C:$C, 0), 1), "")</f>
        <v/>
      </c>
      <c r="CT11" s="94">
        <f t="array" ref="CT11">IFERROR(INDEX(Skill!$L:$L, MATCH(CT$4, Skill!$C:$C, 0), 1), "")</f>
        <v>0.9</v>
      </c>
      <c r="CU11" s="94">
        <f t="array" ref="CU11">IFERROR(INDEX(Skill!$L:$L, MATCH(CU$4, Skill!$C:$C, 0), 1), "")</f>
        <v>0.9</v>
      </c>
      <c r="CV11" s="94" t="str">
        <f t="array" ref="CV11">IFERROR(INDEX(Skill!$L:$L, MATCH(CV$4, Skill!$C:$C, 0), 1), "")</f>
        <v/>
      </c>
      <c r="CW11" s="94" t="str">
        <f t="array" ref="CW11">IFERROR(INDEX(Skill!$L:$L, MATCH(CW$4, Skill!$C:$C, 0), 1), "")</f>
        <v/>
      </c>
      <c r="CX11" s="94" t="str">
        <f t="array" ref="CX11">IFERROR(INDEX(Skill!$L:$L, MATCH(CX$4, Skill!$C:$C, 0), 1), "")</f>
        <v/>
      </c>
      <c r="CY11" s="94" t="str">
        <f t="array" ref="CY11">IFERROR(INDEX(Skill!$L:$L, MATCH(CY$4, Skill!$C:$C, 0), 1), "")</f>
        <v/>
      </c>
      <c r="CZ11" s="94" t="str">
        <f t="array" ref="CZ11">IFERROR(INDEX(Skill!$L:$L, MATCH(CZ$4, Skill!$C:$C, 0), 1), "")</f>
        <v/>
      </c>
      <c r="DA11" s="94" t="str">
        <f t="array" ref="DA11">IFERROR(INDEX(Skill!$L:$L, MATCH(DA$4, Skill!$C:$C, 0), 1), "")</f>
        <v/>
      </c>
      <c r="DB11" s="94" t="str">
        <f t="array" ref="DB11">IFERROR(INDEX(Skill!$L:$L, MATCH(DB$4, Skill!$C:$C, 0), 1), "")</f>
        <v/>
      </c>
      <c r="DC11" s="94" t="str">
        <f t="array" ref="DC11">IFERROR(INDEX(Skill!$L:$L, MATCH(DC$4, Skill!$C:$C, 0), 1), "")</f>
        <v/>
      </c>
      <c r="DD11" s="94" t="str">
        <f t="array" ref="DD11">IFERROR(INDEX(Skill!$L:$L, MATCH(DD$4, Skill!$C:$C, 0), 1), "")</f>
        <v/>
      </c>
      <c r="DE11" s="94">
        <f t="array" ref="DE11">IFERROR(INDEX(Skill!$L:$L, MATCH(DE$4, Skill!$C:$C, 0), 1), "")</f>
        <v>0.9</v>
      </c>
      <c r="DF11" s="94" t="str">
        <f t="array" ref="DF11">IFERROR(INDEX(Skill!$L:$L, MATCH(DF$4, Skill!$C:$C, 0), 1), "")</f>
        <v/>
      </c>
      <c r="DG11" s="94" t="str">
        <f t="array" ref="DG11">IFERROR(INDEX(Skill!$L:$L, MATCH(DG$4, Skill!$C:$C, 0), 1), "")</f>
        <v/>
      </c>
      <c r="DH11" s="94" t="str">
        <f t="array" ref="DH11">IFERROR(INDEX(Skill!$L:$L, MATCH(DH$4, Skill!$C:$C, 0), 1), "")</f>
        <v/>
      </c>
      <c r="DI11" s="94" t="str">
        <f t="array" ref="DI11">IFERROR(INDEX(Skill!$L:$L, MATCH(DI$4, Skill!$C:$C, 0), 1), "")</f>
        <v/>
      </c>
      <c r="DJ11" s="94">
        <f t="array" ref="DJ11">IFERROR(INDEX(Skill!$L:$L, MATCH(DJ$4, Skill!$C:$C, 0), 1), "")</f>
        <v>0.95</v>
      </c>
      <c r="DK11" s="94" t="str">
        <f t="array" ref="DK11">IFERROR(INDEX(Skill!$L:$L, MATCH(DK$4, Skill!$C:$C, 0), 1), "")</f>
        <v/>
      </c>
      <c r="DL11" s="94">
        <f t="array" ref="DL11">IFERROR(INDEX(Skill!$L:$L, MATCH(DL$4, Skill!$C:$C, 0), 1), "")</f>
        <v>0.95</v>
      </c>
      <c r="DM11" s="94">
        <f t="array" ref="DM11">IFERROR(INDEX(Skill!$L:$L, MATCH(DM$4, Skill!$C:$C, 0), 1), "")</f>
        <v>0.95</v>
      </c>
      <c r="DN11" s="94">
        <f t="array" ref="DN11">IFERROR(INDEX(Skill!$L:$L, MATCH(DN$4, Skill!$C:$C, 0), 1), "")</f>
        <v>0.95</v>
      </c>
      <c r="DO11" s="94">
        <f t="array" ref="DO11">IFERROR(INDEX(Skill!$L:$L, MATCH(DO$4, Skill!$C:$C, 0), 1), "")</f>
        <v>0.95</v>
      </c>
      <c r="DP11" s="94">
        <f t="array" ref="DP11">IFERROR(INDEX(Skill!$L:$L, MATCH(DP$4, Skill!$C:$C, 0), 1), "")</f>
        <v>0.95</v>
      </c>
      <c r="DQ11" s="94">
        <f t="array" ref="DQ11">IFERROR(INDEX(Skill!$L:$L, MATCH(DQ$4, Skill!$C:$C, 0), 1), "")</f>
        <v>0.85</v>
      </c>
      <c r="DR11" s="94" t="str">
        <f t="array" ref="DR11">IFERROR(INDEX(Skill!$L:$L, MATCH(DR$4, Skill!$C:$C, 0), 1), "")</f>
        <v/>
      </c>
      <c r="DS11" s="94">
        <f t="array" ref="DS11">IFERROR(INDEX(Skill!$L:$L, MATCH(DS$4, Skill!$C:$C, 0), 1), "")</f>
        <v>0.85</v>
      </c>
      <c r="DT11" s="94">
        <f t="array" ref="DT11">IFERROR(INDEX(Skill!$L:$L, MATCH(DT$4, Skill!$C:$C, 0), 1), "")</f>
        <v>0.9</v>
      </c>
      <c r="DU11" s="94">
        <f t="array" ref="DU11">IFERROR(INDEX(Skill!$L:$L, MATCH(DU$4, Skill!$C:$C, 0), 1), "")</f>
        <v>0.85</v>
      </c>
      <c r="DV11" s="94" t="str">
        <f t="array" ref="DV11">IFERROR(INDEX(Skill!$L:$L, MATCH(DV$4, Skill!$C:$C, 0), 1), "")</f>
        <v/>
      </c>
      <c r="DW11" s="94">
        <f t="array" ref="DW11">IFERROR(INDEX(Skill!$L:$L, MATCH(DW$4, Skill!$C:$C, 0), 1), "")</f>
        <v>0.9</v>
      </c>
      <c r="DX11" s="94">
        <f t="array" ref="DX11">IFERROR(INDEX(Skill!$L:$L, MATCH(DX$4, Skill!$C:$C, 0), 1), "")</f>
        <v>0.9</v>
      </c>
      <c r="DY11" s="94">
        <f t="array" ref="DY11">IFERROR(INDEX(Skill!$L:$L, MATCH(DY$4, Skill!$C:$C, 0), 1), "")</f>
        <v>0.9</v>
      </c>
      <c r="DZ11" s="94">
        <f t="array" ref="DZ11">IFERROR(INDEX(Skill!$L:$L, MATCH(DZ$4, Skill!$C:$C, 0), 1), "")</f>
        <v>0.9</v>
      </c>
      <c r="EA11" s="89">
        <f t="array" ref="EA11">IFERROR(INDEX(Skill!$L:$L, MATCH(EA$4, Skill!$C:$C, 0), 1), "")</f>
        <v>0.9</v>
      </c>
      <c r="EB11" s="89" t="str">
        <f t="array" ref="EB11">IFERROR(INDEX(Skill!$L:$L, MATCH(EB$4, Skill!$C:$C, 0), 1), "")</f>
        <v/>
      </c>
      <c r="EC11" s="89" t="str">
        <f t="array" ref="EC11">IFERROR(INDEX(Skill!$L:$L, MATCH(EC$4, Skill!$C:$C, 0), 1), "")</f>
        <v/>
      </c>
      <c r="ED11" s="94">
        <f t="array" ref="ED11">IFERROR(INDEX(Skill!$L:$L, MATCH(ED$4, Skill!$C:$C, 0), 1), "")</f>
        <v>0.2</v>
      </c>
      <c r="EE11" s="98"/>
      <c r="EF11" s="98"/>
      <c r="EG11" s="98"/>
      <c r="EH11" s="98"/>
      <c r="EI11" s="98"/>
      <c r="EJ11" s="98"/>
      <c r="EK11" s="98"/>
      <c r="EL11" s="98"/>
      <c r="EM11" s="98"/>
      <c r="EN11" s="98"/>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8"/>
      <c r="FO11" s="99"/>
    </row>
    <row r="12" hidden="1">
      <c r="A12" s="3"/>
      <c r="B12" s="90"/>
      <c r="C12" s="90"/>
      <c r="D12" s="90"/>
      <c r="E12" s="90" t="s">
        <v>12</v>
      </c>
      <c r="F12" s="90"/>
      <c r="G12" s="90"/>
      <c r="H12" s="90"/>
      <c r="I12" s="90"/>
      <c r="J12" s="90"/>
      <c r="K12" s="94">
        <f t="array" ref="K12">IFERROR(INDEX(Skill!$N:$N, MATCH(K$4, Skill!$C:$C, 0), 1), "")</f>
        <v>0.9</v>
      </c>
      <c r="L12" s="94">
        <f t="array" ref="L12">IFERROR(INDEX(Skill!$N:$N, MATCH(L$4, Skill!$C:$C, 0), 1), "")</f>
        <v>0.85</v>
      </c>
      <c r="M12" s="94" t="str">
        <f t="array" ref="M12">IFERROR(INDEX(Skill!$N:$N, MATCH(M$4, Skill!$C:$C, 0), 1), "")</f>
        <v/>
      </c>
      <c r="N12" s="94">
        <f t="array" ref="N12">IFERROR(INDEX(Skill!$N:$N, MATCH(N$4, Skill!$C:$C, 0), 1), "")</f>
        <v>0.9</v>
      </c>
      <c r="O12" s="94">
        <f t="array" ref="O12">IFERROR(INDEX(Skill!$N:$N, MATCH(O$4, Skill!$C:$C, 0), 1), "")</f>
        <v>0.8</v>
      </c>
      <c r="P12" s="94" t="str">
        <f t="array" ref="P12">IFERROR(INDEX(Skill!$N:$N, MATCH(P$4, Skill!$C:$C, 0), 1), "")</f>
        <v/>
      </c>
      <c r="Q12" s="94">
        <f t="array" ref="Q12">IFERROR(INDEX(Skill!$N:$N, MATCH(Q$4, Skill!$C:$C, 0), 1), "")</f>
        <v>0.6</v>
      </c>
      <c r="R12" s="94">
        <f t="array" ref="R12">IFERROR(INDEX(Skill!$N:$N, MATCH(R$4, Skill!$C:$C, 0), 1), "")</f>
        <v>0.85</v>
      </c>
      <c r="S12" s="94">
        <f t="array" ref="S12">IFERROR(INDEX(Skill!$N:$N, MATCH(S$4, Skill!$C:$C, 0), 1), "")</f>
        <v>0</v>
      </c>
      <c r="T12" s="94">
        <f t="array" ref="T12">IFERROR(INDEX(Skill!$N:$N, MATCH(T$4, Skill!$C:$C, 0), 1), "")</f>
        <v>0.9</v>
      </c>
      <c r="U12" s="94" t="str">
        <f t="array" ref="U12">IFERROR(INDEX(Skill!$N:$N, MATCH(U$4, Skill!$C:$C, 0), 1), "")</f>
        <v/>
      </c>
      <c r="V12" s="94">
        <f t="array" ref="V12">IFERROR(INDEX(Skill!$N:$N, MATCH(V$4, Skill!$C:$C, 0), 1), "")</f>
        <v>0.9</v>
      </c>
      <c r="W12" s="94">
        <f t="array" ref="W12">IFERROR(INDEX(Skill!$N:$N, MATCH(W$4, Skill!$C:$C, 0), 1), "")</f>
        <v>0.8</v>
      </c>
      <c r="X12" s="94" t="str">
        <f t="array" ref="X12">IFERROR(INDEX(Skill!$N:$N, MATCH(X$4, Skill!$C:$C, 0), 1), "")</f>
        <v/>
      </c>
      <c r="Y12" s="94">
        <f t="array" ref="Y12">IFERROR(INDEX(Skill!$N:$N, MATCH(Y$4, Skill!$C:$C, 0), 1), "")</f>
        <v>0.6</v>
      </c>
      <c r="Z12" s="94">
        <f t="array" ref="Z12">IFERROR(INDEX(Skill!$N:$N, MATCH(Z$4, Skill!$C:$C, 0), 1), "")</f>
        <v>0.9</v>
      </c>
      <c r="AA12" s="94" t="str">
        <f t="array" ref="AA12">IFERROR(INDEX(Skill!$N:$N, MATCH(AA$4, Skill!$C:$C, 0), 1), "")</f>
        <v/>
      </c>
      <c r="AB12" s="94">
        <f t="array" ref="AB12">IFERROR(INDEX(Skill!$N:$N, MATCH(AB$4, Skill!$C:$C, 0), 1), "")</f>
        <v>1</v>
      </c>
      <c r="AC12" s="94">
        <f t="array" ref="AC12">IFERROR(INDEX(Skill!$N:$N, MATCH(AC$4, Skill!$C:$C, 0), 1), "")</f>
        <v>0.9</v>
      </c>
      <c r="AD12" s="94">
        <f t="array" ref="AD12">IFERROR(INDEX(Skill!$N:$N, MATCH(AD$4, Skill!$C:$C, 0), 1), "")</f>
        <v>1</v>
      </c>
      <c r="AE12" s="94" t="str">
        <f t="array" ref="AE12">IFERROR(INDEX(Skill!$N:$N, MATCH(AE$4, Skill!$C:$C, 0), 1), "")</f>
        <v/>
      </c>
      <c r="AF12" s="94">
        <f t="array" ref="AF12">IFERROR(INDEX(Skill!$N:$N, MATCH(AF$4, Skill!$C:$C, 0), 1), "")</f>
        <v>0.9</v>
      </c>
      <c r="AG12" s="94" t="str">
        <f t="array" ref="AG12">IFERROR(INDEX(Skill!$N:$N, MATCH(AG$4, Skill!$C:$C, 0), 1), "")</f>
        <v/>
      </c>
      <c r="AH12" s="94">
        <f t="array" ref="AH12">IFERROR(INDEX(Skill!$N:$N, MATCH(AH$4, Skill!$C:$C, 0), 1), "")</f>
        <v>0.8</v>
      </c>
      <c r="AI12" s="94">
        <f t="array" ref="AI12">IFERROR(INDEX(Skill!$N:$N, MATCH(AI$4, Skill!$C:$C, 0), 1), "")</f>
        <v>1</v>
      </c>
      <c r="AJ12" s="94">
        <f t="array" ref="AJ12">IFERROR(INDEX(Skill!$N:$N, MATCH(AJ$4, Skill!$C:$C, 0), 1), "")</f>
        <v>0.6</v>
      </c>
      <c r="AK12" s="94">
        <f t="array" ref="AK12">IFERROR(INDEX(Skill!$N:$N, MATCH(AK$4, Skill!$C:$C, 0), 1), "")</f>
        <v>1</v>
      </c>
      <c r="AL12" s="94">
        <f t="array" ref="AL12">IFERROR(INDEX(Skill!$N:$N, MATCH(AL$4, Skill!$C:$C, 0), 1), "")</f>
        <v>0.9</v>
      </c>
      <c r="AM12" s="94">
        <f t="array" ref="AM12">IFERROR(INDEX(Skill!$N:$N, MATCH(AM$4, Skill!$C:$C, 0), 1), "")</f>
        <v>1</v>
      </c>
      <c r="AN12" s="94">
        <f t="array" ref="AN12">IFERROR(INDEX(Skill!$N:$N, MATCH(AN$4, Skill!$C:$C, 0), 1), "")</f>
        <v>0.85</v>
      </c>
      <c r="AO12" s="94">
        <f t="array" ref="AO12">IFERROR(INDEX(Skill!$N:$N, MATCH(AO$4, Skill!$C:$C, 0), 1), "")</f>
        <v>0.8</v>
      </c>
      <c r="AP12" s="94">
        <f t="array" ref="AP12">IFERROR(INDEX(Skill!$N:$N, MATCH(AP$4, Skill!$C:$C, 0), 1), "")</f>
        <v>0.9</v>
      </c>
      <c r="AQ12" s="94">
        <f t="array" ref="AQ12">IFERROR(INDEX(Skill!$N:$N, MATCH(AQ$4, Skill!$C:$C, 0), 1), "")</f>
        <v>0.6</v>
      </c>
      <c r="AR12" s="94">
        <f t="array" ref="AR12">IFERROR(INDEX(Skill!$N:$N, MATCH(AR$4, Skill!$C:$C, 0), 1), "")</f>
        <v>0</v>
      </c>
      <c r="AS12" s="94">
        <f t="array" ref="AS12">IFERROR(INDEX(Skill!$N:$N, MATCH(AS$4, Skill!$C:$C, 0), 1), "")</f>
        <v>0.9</v>
      </c>
      <c r="AT12" s="94" t="str">
        <f t="array" ref="AT12">IFERROR(INDEX(Skill!$N:$N, MATCH(AT$4, Skill!$C:$C, 0), 1), "")</f>
        <v/>
      </c>
      <c r="AU12" s="94" t="str">
        <f t="array" ref="AU12">IFERROR(INDEX(Skill!$N:$N, MATCH(AU$4, Skill!$C:$C, 0), 1), "")</f>
        <v/>
      </c>
      <c r="AV12" s="94" t="str">
        <f t="array" ref="AV12">IFERROR(INDEX(Skill!$N:$N, MATCH(AV$4, Skill!$C:$C, 0), 1), "")</f>
        <v/>
      </c>
      <c r="AW12" s="94" t="str">
        <f t="array" ref="AW12">IFERROR(INDEX(Skill!$N:$N, MATCH(AW$4, Skill!$C:$C, 0), 1), "")</f>
        <v/>
      </c>
      <c r="AX12" s="94" t="str">
        <f t="array" ref="AX12">IFERROR(INDEX(Skill!$N:$N, MATCH(AX$4, Skill!$C:$C, 0), 1), "")</f>
        <v/>
      </c>
      <c r="AY12" s="94">
        <f t="array" ref="AY12">IFERROR(INDEX(Skill!$N:$N, MATCH(AY$4, Skill!$C:$C, 0), 1), "")</f>
        <v>0.85</v>
      </c>
      <c r="AZ12" s="94" t="str">
        <f t="array" ref="AZ12">IFERROR(INDEX(Skill!$N:$N, MATCH(AZ$4, Skill!$C:$C, 0), 1), "")</f>
        <v/>
      </c>
      <c r="BA12" s="94" t="str">
        <f t="array" ref="BA12">IFERROR(INDEX(Skill!$N:$N, MATCH(BA$4, Skill!$C:$C, 0), 1), "")</f>
        <v/>
      </c>
      <c r="BB12" s="94" t="str">
        <f t="array" ref="BB12">IFERROR(INDEX(Skill!$N:$N, MATCH(BB$4, Skill!$C:$C, 0), 1), "")</f>
        <v/>
      </c>
      <c r="BC12" s="94" t="str">
        <f t="array" ref="BC12">IFERROR(INDEX(Skill!$N:$N, MATCH(BC$4, Skill!$C:$C, 0), 1), "")</f>
        <v/>
      </c>
      <c r="BD12" s="94" t="str">
        <f t="array" ref="BD12">IFERROR(INDEX(Skill!$N:$N, MATCH(BD$4, Skill!$C:$C, 0), 1), "")</f>
        <v/>
      </c>
      <c r="BE12" s="94">
        <f t="array" ref="BE12">IFERROR(INDEX(Skill!$N:$N, MATCH(BE$4, Skill!$C:$C, 0), 1), "")</f>
        <v>0.9</v>
      </c>
      <c r="BF12" s="94" t="str">
        <f t="array" ref="BF12">IFERROR(INDEX(Skill!$N:$N, MATCH(BF$4, Skill!$C:$C, 0), 1), "")</f>
        <v/>
      </c>
      <c r="BG12" s="94">
        <f t="array" ref="BG12">IFERROR(INDEX(Skill!$N:$N, MATCH(BG$4, Skill!$C:$C, 0), 1), "")</f>
        <v>0.9</v>
      </c>
      <c r="BH12" s="94" t="str">
        <f t="array" ref="BH12">IFERROR(INDEX(Skill!$N:$N, MATCH(BH$4, Skill!$C:$C, 0), 1), "")</f>
        <v/>
      </c>
      <c r="BI12" s="94" t="str">
        <f t="array" ref="BI12">IFERROR(INDEX(Skill!$N:$N, MATCH(BI$4, Skill!$C:$C, 0), 1), "")</f>
        <v/>
      </c>
      <c r="BJ12" s="94" t="str">
        <f t="array" ref="BJ12">IFERROR(INDEX(Skill!$N:$N, MATCH(BJ$4, Skill!$C:$C, 0), 1), "")</f>
        <v/>
      </c>
      <c r="BK12" s="94" t="str">
        <f t="array" ref="BK12">IFERROR(INDEX(Skill!$N:$N, MATCH(BK$4, Skill!$C:$C, 0), 1), "")</f>
        <v/>
      </c>
      <c r="BL12" s="94" t="str">
        <f t="array" ref="BL12">IFERROR(INDEX(Skill!$N:$N, MATCH(BL$4, Skill!$C:$C, 0), 1), "")</f>
        <v/>
      </c>
      <c r="BM12" s="94" t="str">
        <f t="array" ref="BM12">IFERROR(INDEX(Skill!$N:$N, MATCH(BM$4, Skill!$C:$C, 0), 1), "")</f>
        <v/>
      </c>
      <c r="BN12" s="94" t="str">
        <f t="array" ref="BN12">IFERROR(INDEX(Skill!$N:$N, MATCH(BN$4, Skill!$C:$C, 0), 1), "")</f>
        <v/>
      </c>
      <c r="BO12" s="94" t="str">
        <f t="array" ref="BO12">IFERROR(INDEX(Skill!$N:$N, MATCH(BO$4, Skill!$C:$C, 0), 1), "")</f>
        <v/>
      </c>
      <c r="BP12" s="94" t="str">
        <f t="array" ref="BP12">IFERROR(INDEX(Skill!$N:$N, MATCH(BP$4, Skill!$C:$C, 0), 1), "")</f>
        <v/>
      </c>
      <c r="BQ12" s="94">
        <f t="array" ref="BQ12">IFERROR(INDEX(Skill!$N:$N, MATCH(BQ$4, Skill!$C:$C, 0), 1), "")</f>
        <v>0.9</v>
      </c>
      <c r="BR12" s="94" t="str">
        <f t="array" ref="BR12">IFERROR(INDEX(Skill!$N:$N, MATCH(BR$4, Skill!$C:$C, 0), 1), "")</f>
        <v/>
      </c>
      <c r="BS12" s="94" t="str">
        <f t="array" ref="BS12">IFERROR(INDEX(Skill!$N:$N, MATCH(BS$4, Skill!$C:$C, 0), 1), "")</f>
        <v/>
      </c>
      <c r="BT12" s="94" t="str">
        <f t="array" ref="BT12">IFERROR(INDEX(Skill!$N:$N, MATCH(BT$4, Skill!$C:$C, 0), 1), "")</f>
        <v/>
      </c>
      <c r="BU12" s="94">
        <f t="array" ref="BU12">IFERROR(INDEX(Skill!$N:$N, MATCH(BU$4, Skill!$C:$C, 0), 1), "")</f>
        <v>0.9</v>
      </c>
      <c r="BV12" s="94" t="str">
        <f t="array" ref="BV12">IFERROR(INDEX(Skill!$N:$N, MATCH(BV$4, Skill!$C:$C, 0), 1), "")</f>
        <v/>
      </c>
      <c r="BW12" s="94" t="str">
        <f t="array" ref="BW12">IFERROR(INDEX(Skill!$N:$N, MATCH(BW$4, Skill!$C:$C, 0), 1), "")</f>
        <v/>
      </c>
      <c r="BX12" s="94" t="str">
        <f t="array" ref="BX12">IFERROR(INDEX(Skill!$N:$N, MATCH(BX$4, Skill!$C:$C, 0), 1), "")</f>
        <v/>
      </c>
      <c r="BY12" s="94">
        <f t="array" ref="BY12">IFERROR(INDEX(Skill!$N:$N, MATCH(BY$4, Skill!$C:$C, 0), 1), "")</f>
        <v>1</v>
      </c>
      <c r="BZ12" s="94">
        <f t="array" ref="BZ12">IFERROR(INDEX(Skill!$N:$N, MATCH(BZ$4, Skill!$C:$C, 0), 1), "")</f>
        <v>0.9</v>
      </c>
      <c r="CA12" s="94">
        <f t="array" ref="CA12">IFERROR(INDEX(Skill!$N:$N, MATCH(CA$4, Skill!$C:$C, 0), 1), "")</f>
        <v>0.9</v>
      </c>
      <c r="CB12" s="94" t="str">
        <f t="array" ref="CB12">IFERROR(INDEX(Skill!$N:$N, MATCH(CB$4, Skill!$C:$C, 0), 1), "")</f>
        <v/>
      </c>
      <c r="CC12" s="94" t="str">
        <f t="array" ref="CC12">IFERROR(INDEX(Skill!$N:$N, MATCH(CC$4, Skill!$C:$C, 0), 1), "")</f>
        <v/>
      </c>
      <c r="CD12" s="94" t="str">
        <f t="array" ref="CD12">IFERROR(INDEX(Skill!$N:$N, MATCH(CD$4, Skill!$C:$C, 0), 1), "")</f>
        <v/>
      </c>
      <c r="CE12" s="94" t="str">
        <f t="array" ref="CE12">IFERROR(INDEX(Skill!$N:$N, MATCH(CE$4, Skill!$C:$C, 0), 1), "")</f>
        <v/>
      </c>
      <c r="CF12" s="94" t="str">
        <f t="array" ref="CF12">IFERROR(INDEX(Skill!$N:$N, MATCH(CF$4, Skill!$C:$C, 0), 1), "")</f>
        <v/>
      </c>
      <c r="CG12" s="94" t="str">
        <f t="array" ref="CG12">IFERROR(INDEX(Skill!$N:$N, MATCH(CG$4, Skill!$C:$C, 0), 1), "")</f>
        <v/>
      </c>
      <c r="CH12" s="94" t="str">
        <f t="array" ref="CH12">IFERROR(INDEX(Skill!$N:$N, MATCH(CH$4, Skill!$C:$C, 0), 1), "")</f>
        <v/>
      </c>
      <c r="CI12" s="94" t="str">
        <f t="array" ref="CI12">IFERROR(INDEX(Skill!$N:$N, MATCH(CI$4, Skill!$C:$C, 0), 1), "")</f>
        <v/>
      </c>
      <c r="CJ12" s="94" t="str">
        <f t="array" ref="CJ12">IFERROR(INDEX(Skill!$N:$N, MATCH(CJ$4, Skill!$C:$C, 0), 1), "")</f>
        <v/>
      </c>
      <c r="CK12" s="94" t="str">
        <f t="array" ref="CK12">IFERROR(INDEX(Skill!$N:$N, MATCH(CK$4, Skill!$C:$C, 0), 1), "")</f>
        <v/>
      </c>
      <c r="CL12" s="94" t="str">
        <f t="array" ref="CL12">IFERROR(INDEX(Skill!$N:$N, MATCH(CL$4, Skill!$C:$C, 0), 1), "")</f>
        <v/>
      </c>
      <c r="CM12" s="94" t="str">
        <f t="array" ref="CM12">IFERROR(INDEX(Skill!$N:$N, MATCH(CM$4, Skill!$C:$C, 0), 1), "")</f>
        <v/>
      </c>
      <c r="CN12" s="94" t="str">
        <f t="array" ref="CN12">IFERROR(INDEX(Skill!$N:$N, MATCH(CN$4, Skill!$C:$C, 0), 1), "")</f>
        <v/>
      </c>
      <c r="CO12" s="94" t="str">
        <f t="array" ref="CO12">IFERROR(INDEX(Skill!$N:$N, MATCH(CO$4, Skill!$C:$C, 0), 1), "")</f>
        <v/>
      </c>
      <c r="CP12" s="94" t="str">
        <f t="array" ref="CP12">IFERROR(INDEX(Skill!$N:$N, MATCH(CP$4, Skill!$C:$C, 0), 1), "")</f>
        <v/>
      </c>
      <c r="CQ12" s="94" t="str">
        <f t="array" ref="CQ12">IFERROR(INDEX(Skill!$N:$N, MATCH(CQ$4, Skill!$C:$C, 0), 1), "")</f>
        <v/>
      </c>
      <c r="CR12" s="94" t="str">
        <f t="array" ref="CR12">IFERROR(INDEX(Skill!$N:$N, MATCH(CR$4, Skill!$C:$C, 0), 1), "")</f>
        <v/>
      </c>
      <c r="CS12" s="94" t="str">
        <f t="array" ref="CS12">IFERROR(INDEX(Skill!$N:$N, MATCH(CS$4, Skill!$C:$C, 0), 1), "")</f>
        <v/>
      </c>
      <c r="CT12" s="94">
        <f t="array" ref="CT12">IFERROR(INDEX(Skill!$N:$N, MATCH(CT$4, Skill!$C:$C, 0), 1), "")</f>
        <v>0.9</v>
      </c>
      <c r="CU12" s="94">
        <f t="array" ref="CU12">IFERROR(INDEX(Skill!$N:$N, MATCH(CU$4, Skill!$C:$C, 0), 1), "")</f>
        <v>0.9</v>
      </c>
      <c r="CV12" s="94" t="str">
        <f t="array" ref="CV12">IFERROR(INDEX(Skill!$N:$N, MATCH(CV$4, Skill!$C:$C, 0), 1), "")</f>
        <v/>
      </c>
      <c r="CW12" s="94" t="str">
        <f t="array" ref="CW12">IFERROR(INDEX(Skill!$N:$N, MATCH(CW$4, Skill!$C:$C, 0), 1), "")</f>
        <v/>
      </c>
      <c r="CX12" s="94" t="str">
        <f t="array" ref="CX12">IFERROR(INDEX(Skill!$N:$N, MATCH(CX$4, Skill!$C:$C, 0), 1), "")</f>
        <v/>
      </c>
      <c r="CY12" s="94" t="str">
        <f t="array" ref="CY12">IFERROR(INDEX(Skill!$N:$N, MATCH(CY$4, Skill!$C:$C, 0), 1), "")</f>
        <v/>
      </c>
      <c r="CZ12" s="94" t="str">
        <f t="array" ref="CZ12">IFERROR(INDEX(Skill!$N:$N, MATCH(CZ$4, Skill!$C:$C, 0), 1), "")</f>
        <v/>
      </c>
      <c r="DA12" s="94" t="str">
        <f t="array" ref="DA12">IFERROR(INDEX(Skill!$N:$N, MATCH(DA$4, Skill!$C:$C, 0), 1), "")</f>
        <v/>
      </c>
      <c r="DB12" s="94" t="str">
        <f t="array" ref="DB12">IFERROR(INDEX(Skill!$N:$N, MATCH(DB$4, Skill!$C:$C, 0), 1), "")</f>
        <v/>
      </c>
      <c r="DC12" s="94" t="str">
        <f t="array" ref="DC12">IFERROR(INDEX(Skill!$N:$N, MATCH(DC$4, Skill!$C:$C, 0), 1), "")</f>
        <v/>
      </c>
      <c r="DD12" s="94" t="str">
        <f t="array" ref="DD12">IFERROR(INDEX(Skill!$N:$N, MATCH(DD$4, Skill!$C:$C, 0), 1), "")</f>
        <v/>
      </c>
      <c r="DE12" s="94">
        <f t="array" ref="DE12">IFERROR(INDEX(Skill!$N:$N, MATCH(DE$4, Skill!$C:$C, 0), 1), "")</f>
        <v>0.9</v>
      </c>
      <c r="DF12" s="94" t="str">
        <f t="array" ref="DF12">IFERROR(INDEX(Skill!$N:$N, MATCH(DF$4, Skill!$C:$C, 0), 1), "")</f>
        <v/>
      </c>
      <c r="DG12" s="94" t="str">
        <f t="array" ref="DG12">IFERROR(INDEX(Skill!$N:$N, MATCH(DG$4, Skill!$C:$C, 0), 1), "")</f>
        <v/>
      </c>
      <c r="DH12" s="94" t="str">
        <f t="array" ref="DH12">IFERROR(INDEX(Skill!$N:$N, MATCH(DH$4, Skill!$C:$C, 0), 1), "")</f>
        <v/>
      </c>
      <c r="DI12" s="94" t="str">
        <f t="array" ref="DI12">IFERROR(INDEX(Skill!$N:$N, MATCH(DI$4, Skill!$C:$C, 0), 1), "")</f>
        <v/>
      </c>
      <c r="DJ12" s="94">
        <f t="array" ref="DJ12">IFERROR(INDEX(Skill!$N:$N, MATCH(DJ$4, Skill!$C:$C, 0), 1), "")</f>
        <v>1</v>
      </c>
      <c r="DK12" s="94" t="str">
        <f t="array" ref="DK12">IFERROR(INDEX(Skill!$N:$N, MATCH(DK$4, Skill!$C:$C, 0), 1), "")</f>
        <v/>
      </c>
      <c r="DL12" s="94">
        <f t="array" ref="DL12">IFERROR(INDEX(Skill!$N:$N, MATCH(DL$4, Skill!$C:$C, 0), 1), "")</f>
        <v>1</v>
      </c>
      <c r="DM12" s="94">
        <f t="array" ref="DM12">IFERROR(INDEX(Skill!$N:$N, MATCH(DM$4, Skill!$C:$C, 0), 1), "")</f>
        <v>1</v>
      </c>
      <c r="DN12" s="94">
        <f t="array" ref="DN12">IFERROR(INDEX(Skill!$N:$N, MATCH(DN$4, Skill!$C:$C, 0), 1), "")</f>
        <v>1</v>
      </c>
      <c r="DO12" s="94">
        <f t="array" ref="DO12">IFERROR(INDEX(Skill!$N:$N, MATCH(DO$4, Skill!$C:$C, 0), 1), "")</f>
        <v>1</v>
      </c>
      <c r="DP12" s="94">
        <f t="array" ref="DP12">IFERROR(INDEX(Skill!$N:$N, MATCH(DP$4, Skill!$C:$C, 0), 1), "")</f>
        <v>1</v>
      </c>
      <c r="DQ12" s="94">
        <f t="array" ref="DQ12">IFERROR(INDEX(Skill!$N:$N, MATCH(DQ$4, Skill!$C:$C, 0), 1), "")</f>
        <v>0.85</v>
      </c>
      <c r="DR12" s="94" t="str">
        <f t="array" ref="DR12">IFERROR(INDEX(Skill!$N:$N, MATCH(DR$4, Skill!$C:$C, 0), 1), "")</f>
        <v/>
      </c>
      <c r="DS12" s="94">
        <f t="array" ref="DS12">IFERROR(INDEX(Skill!$N:$N, MATCH(DS$4, Skill!$C:$C, 0), 1), "")</f>
        <v>0.85</v>
      </c>
      <c r="DT12" s="94">
        <f t="array" ref="DT12">IFERROR(INDEX(Skill!$N:$N, MATCH(DT$4, Skill!$C:$C, 0), 1), "")</f>
        <v>0.9</v>
      </c>
      <c r="DU12" s="94">
        <f t="array" ref="DU12">IFERROR(INDEX(Skill!$N:$N, MATCH(DU$4, Skill!$C:$C, 0), 1), "")</f>
        <v>0.85</v>
      </c>
      <c r="DV12" s="94" t="str">
        <f t="array" ref="DV12">IFERROR(INDEX(Skill!$N:$N, MATCH(DV$4, Skill!$C:$C, 0), 1), "")</f>
        <v/>
      </c>
      <c r="DW12" s="94">
        <f t="array" ref="DW12">IFERROR(INDEX(Skill!$N:$N, MATCH(DW$4, Skill!$C:$C, 0), 1), "")</f>
        <v>1</v>
      </c>
      <c r="DX12" s="94">
        <f t="array" ref="DX12">IFERROR(INDEX(Skill!$N:$N, MATCH(DX$4, Skill!$C:$C, 0), 1), "")</f>
        <v>1</v>
      </c>
      <c r="DY12" s="94">
        <f t="array" ref="DY12">IFERROR(INDEX(Skill!$N:$N, MATCH(DY$4, Skill!$C:$C, 0), 1), "")</f>
        <v>1</v>
      </c>
      <c r="DZ12" s="94">
        <f t="array" ref="DZ12">IFERROR(INDEX(Skill!$N:$N, MATCH(DZ$4, Skill!$C:$C, 0), 1), "")</f>
        <v>1</v>
      </c>
      <c r="EA12" s="89">
        <f t="array" ref="EA12">IFERROR(INDEX(Skill!$N:$N, MATCH(EA$4, Skill!$C:$C, 0), 1), "")</f>
        <v>1</v>
      </c>
      <c r="EB12" s="89" t="str">
        <f t="array" ref="EB12">IFERROR(INDEX(Skill!$N:$N, MATCH(EB$4, Skill!$C:$C, 0), 1), "")</f>
        <v/>
      </c>
      <c r="EC12" s="89" t="str">
        <f t="array" ref="EC12">IFERROR(INDEX(Skill!$N:$N, MATCH(EC$4, Skill!$C:$C, 0), 1), "")</f>
        <v/>
      </c>
      <c r="ED12" s="94">
        <f t="array" ref="ED12">IFERROR(INDEX(Skill!$N:$N, MATCH(ED$4, Skill!$C:$C, 0), 1), "")</f>
        <v>0.2</v>
      </c>
      <c r="EE12" s="98"/>
      <c r="EF12" s="98"/>
      <c r="EG12" s="98"/>
      <c r="EH12" s="98"/>
      <c r="EI12" s="98"/>
      <c r="EJ12" s="98"/>
      <c r="EK12" s="98"/>
      <c r="EL12" s="98"/>
      <c r="EM12" s="98"/>
      <c r="EN12" s="98"/>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8"/>
      <c r="FO12" s="99"/>
    </row>
    <row r="13" hidden="1">
      <c r="A13" s="3"/>
      <c r="B13" s="90"/>
      <c r="C13" s="90"/>
      <c r="D13" s="90"/>
      <c r="E13" s="90" t="s">
        <v>22</v>
      </c>
      <c r="F13" s="90"/>
      <c r="G13" s="90"/>
      <c r="H13" s="90"/>
      <c r="I13" s="90"/>
      <c r="J13" s="90"/>
      <c r="K13" s="94" t="str">
        <f t="array" ref="K13">IFERROR(INDEX(Skill!$AE:$AE, MATCH(K$4, Skill!$C:$C, 0), 1), "")</f>
        <v/>
      </c>
      <c r="L13" s="94" t="str">
        <f t="array" ref="L13">IFERROR(INDEX(Skill!$AE:$AE, MATCH(L$4, Skill!$C:$C, 0), 1), "")</f>
        <v/>
      </c>
      <c r="M13" s="94" t="str">
        <f t="array" ref="M13">IFERROR(INDEX(Skill!$AE:$AE, MATCH(M$4, Skill!$C:$C, 0), 1), "")</f>
        <v/>
      </c>
      <c r="N13" s="94" t="str">
        <f t="array" ref="N13">IFERROR(INDEX(Skill!$AE:$AE, MATCH(N$4, Skill!$C:$C, 0), 1), "")</f>
        <v/>
      </c>
      <c r="O13" s="94" t="str">
        <f t="array" ref="O13">IFERROR(INDEX(Skill!$AE:$AE, MATCH(O$4, Skill!$C:$C, 0), 1), "")</f>
        <v>SELF_AFFECTED_ALL</v>
      </c>
      <c r="P13" s="94" t="str">
        <f t="array" ref="P13">IFERROR(INDEX(Skill!$AE:$AE, MATCH(P$4, Skill!$C:$C, 0), 1), "")</f>
        <v/>
      </c>
      <c r="Q13" s="94" t="str">
        <f t="array" ref="Q13">IFERROR(INDEX(Skill!$AE:$AE, MATCH(Q$4, Skill!$C:$C, 0), 1), "")</f>
        <v/>
      </c>
      <c r="R13" s="94" t="str">
        <f t="array" ref="R13">IFERROR(INDEX(Skill!$AE:$AE, MATCH(R$4, Skill!$C:$C, 0), 1), "")</f>
        <v/>
      </c>
      <c r="S13" s="94" t="str">
        <f t="array" ref="S13">IFERROR(INDEX(Skill!$AE:$AE, MATCH(S$4, Skill!$C:$C, 0), 1), "")</f>
        <v/>
      </c>
      <c r="T13" s="94" t="str">
        <f t="array" ref="T13">IFERROR(INDEX(Skill!$AE:$AE, MATCH(T$4, Skill!$C:$C, 0), 1), "")</f>
        <v/>
      </c>
      <c r="U13" s="94" t="str">
        <f t="array" ref="U13">IFERROR(INDEX(Skill!$AE:$AE, MATCH(U$4, Skill!$C:$C, 0), 1), "")</f>
        <v/>
      </c>
      <c r="V13" s="94" t="str">
        <f t="array" ref="V13">IFERROR(INDEX(Skill!$AE:$AE, MATCH(V$4, Skill!$C:$C, 0), 1), "")</f>
        <v/>
      </c>
      <c r="W13" s="94" t="str">
        <f t="array" ref="W13">IFERROR(INDEX(Skill!$AE:$AE, MATCH(W$4, Skill!$C:$C, 0), 1), "")</f>
        <v>SELF_AFFECTED_ALL</v>
      </c>
      <c r="X13" s="94" t="str">
        <f t="array" ref="X13">IFERROR(INDEX(Skill!$AE:$AE, MATCH(X$4, Skill!$C:$C, 0), 1), "")</f>
        <v>SELF_AFFECTED_ALL</v>
      </c>
      <c r="Y13" s="94" t="str">
        <f t="array" ref="Y13">IFERROR(INDEX(Skill!$AE:$AE, MATCH(Y$4, Skill!$C:$C, 0), 1), "")</f>
        <v/>
      </c>
      <c r="Z13" s="94" t="str">
        <f t="array" ref="Z13">IFERROR(INDEX(Skill!$AE:$AE, MATCH(Z$4, Skill!$C:$C, 0), 1), "")</f>
        <v/>
      </c>
      <c r="AA13" s="94" t="str">
        <f t="array" ref="AA13">IFERROR(INDEX(Skill!$AE:$AE, MATCH(AA$4, Skill!$C:$C, 0), 1), "")</f>
        <v/>
      </c>
      <c r="AB13" s="94" t="str">
        <f t="array" ref="AB13">IFERROR(INDEX(Skill!$AE:$AE, MATCH(AB$4, Skill!$C:$C, 0), 1), "")</f>
        <v/>
      </c>
      <c r="AC13" s="94" t="str">
        <f t="array" ref="AC13">IFERROR(INDEX(Skill!$AE:$AE, MATCH(AC$4, Skill!$C:$C, 0), 1), "")</f>
        <v/>
      </c>
      <c r="AD13" s="94" t="str">
        <f t="array" ref="AD13">IFERROR(INDEX(Skill!$AE:$AE, MATCH(AD$4, Skill!$C:$C, 0), 1), "")</f>
        <v/>
      </c>
      <c r="AE13" s="94" t="str">
        <f t="array" ref="AE13">IFERROR(INDEX(Skill!$AE:$AE, MATCH(AE$4, Skill!$C:$C, 0), 1), "")</f>
        <v/>
      </c>
      <c r="AF13" s="94" t="str">
        <f t="array" ref="AF13">IFERROR(INDEX(Skill!$AE:$AE, MATCH(AF$4, Skill!$C:$C, 0), 1), "")</f>
        <v/>
      </c>
      <c r="AG13" s="94" t="str">
        <f t="array" ref="AG13">IFERROR(INDEX(Skill!$AE:$AE, MATCH(AG$4, Skill!$C:$C, 0), 1), "")</f>
        <v/>
      </c>
      <c r="AH13" s="94" t="str">
        <f t="array" ref="AH13">IFERROR(INDEX(Skill!$AE:$AE, MATCH(AH$4, Skill!$C:$C, 0), 1), "")</f>
        <v>SELF_AFFECTED_ALL</v>
      </c>
      <c r="AI13" s="94" t="str">
        <f t="array" ref="AI13">IFERROR(INDEX(Skill!$AE:$AE, MATCH(AI$4, Skill!$C:$C, 0), 1), "")</f>
        <v/>
      </c>
      <c r="AJ13" s="94" t="str">
        <f t="array" ref="AJ13">IFERROR(INDEX(Skill!$AE:$AE, MATCH(AJ$4, Skill!$C:$C, 0), 1), "")</f>
        <v/>
      </c>
      <c r="AK13" s="94" t="str">
        <f t="array" ref="AK13">IFERROR(INDEX(Skill!$AE:$AE, MATCH(AK$4, Skill!$C:$C, 0), 1), "")</f>
        <v/>
      </c>
      <c r="AL13" s="94" t="str">
        <f t="array" ref="AL13">IFERROR(INDEX(Skill!$AE:$AE, MATCH(AL$4, Skill!$C:$C, 0), 1), "")</f>
        <v/>
      </c>
      <c r="AM13" s="94" t="str">
        <f t="array" ref="AM13">IFERROR(INDEX(Skill!$AE:$AE, MATCH(AM$4, Skill!$C:$C, 0), 1), "")</f>
        <v/>
      </c>
      <c r="AN13" s="94" t="str">
        <f t="array" ref="AN13">IFERROR(INDEX(Skill!$AE:$AE, MATCH(AN$4, Skill!$C:$C, 0), 1), "")</f>
        <v/>
      </c>
      <c r="AO13" s="94" t="str">
        <f t="array" ref="AO13">IFERROR(INDEX(Skill!$AE:$AE, MATCH(AO$4, Skill!$C:$C, 0), 1), "")</f>
        <v>SELF_AFFECTED_ALL</v>
      </c>
      <c r="AP13" s="94" t="str">
        <f t="array" ref="AP13">IFERROR(INDEX(Skill!$AE:$AE, MATCH(AP$4, Skill!$C:$C, 0), 1), "")</f>
        <v/>
      </c>
      <c r="AQ13" s="94" t="str">
        <f t="array" ref="AQ13">IFERROR(INDEX(Skill!$AE:$AE, MATCH(AQ$4, Skill!$C:$C, 0), 1), "")</f>
        <v/>
      </c>
      <c r="AR13" s="94" t="str">
        <f t="array" ref="AR13">IFERROR(INDEX(Skill!$AE:$AE, MATCH(AR$4, Skill!$C:$C, 0), 1), "")</f>
        <v/>
      </c>
      <c r="AS13" s="94" t="str">
        <f t="array" ref="AS13">IFERROR(INDEX(Skill!$AE:$AE, MATCH(AS$4, Skill!$C:$C, 0), 1), "")</f>
        <v>SELF_EFFECTED_GCD</v>
      </c>
      <c r="AT13" s="94" t="str">
        <f t="array" ref="AT13">IFERROR(INDEX(Skill!$AE:$AE, MATCH(AT$4, Skill!$C:$C, 0), 1), "")</f>
        <v/>
      </c>
      <c r="AU13" s="94" t="str">
        <f t="array" ref="AU13">IFERROR(INDEX(Skill!$AE:$AE, MATCH(AU$4, Skill!$C:$C, 0), 1), "")</f>
        <v>RANGE_AFFECTED_GCD</v>
      </c>
      <c r="AV13" s="94" t="str">
        <f t="array" ref="AV13">IFERROR(INDEX(Skill!$AE:$AE, MATCH(AV$4, Skill!$C:$C, 0), 1), "")</f>
        <v>RANGE_AFFECTED_ALL</v>
      </c>
      <c r="AW13" s="94" t="str">
        <f t="array" ref="AW13">IFERROR(INDEX(Skill!$AE:$AE, MATCH(AW$4, Skill!$C:$C, 0), 1), "")</f>
        <v/>
      </c>
      <c r="AX13" s="94" t="str">
        <f t="array" ref="AX13">IFERROR(INDEX(Skill!$AE:$AE, MATCH(AX$4, Skill!$C:$C, 0), 1), "")</f>
        <v/>
      </c>
      <c r="AY13" s="94" t="str">
        <f t="array" ref="AY13">IFERROR(INDEX(Skill!$AE:$AE, MATCH(AY$4, Skill!$C:$C, 0), 1), "")</f>
        <v/>
      </c>
      <c r="AZ13" s="94" t="str">
        <f t="array" ref="AZ13">IFERROR(INDEX(Skill!$AE:$AE, MATCH(AZ$4, Skill!$C:$C, 0), 1), "")</f>
        <v/>
      </c>
      <c r="BA13" s="94" t="str">
        <f t="array" ref="BA13">IFERROR(INDEX(Skill!$AE:$AE, MATCH(BA$4, Skill!$C:$C, 0), 1), "")</f>
        <v/>
      </c>
      <c r="BB13" s="94" t="str">
        <f t="array" ref="BB13">IFERROR(INDEX(Skill!$AE:$AE, MATCH(BB$4, Skill!$C:$C, 0), 1), "")</f>
        <v/>
      </c>
      <c r="BC13" s="94" t="str">
        <f t="array" ref="BC13">IFERROR(INDEX(Skill!$AE:$AE, MATCH(BC$4, Skill!$C:$C, 0), 1), "")</f>
        <v/>
      </c>
      <c r="BD13" s="94" t="str">
        <f t="array" ref="BD13">IFERROR(INDEX(Skill!$AE:$AE, MATCH(BD$4, Skill!$C:$C, 0), 1), "")</f>
        <v/>
      </c>
      <c r="BE13" s="94" t="str">
        <f t="array" ref="BE13">IFERROR(INDEX(Skill!$AE:$AE, MATCH(BE$4, Skill!$C:$C, 0), 1), "")</f>
        <v/>
      </c>
      <c r="BF13" s="94" t="str">
        <f t="array" ref="BF13">IFERROR(INDEX(Skill!$AE:$AE, MATCH(BF$4, Skill!$C:$C, 0), 1), "")</f>
        <v>SELF_EFFECTED_GCD</v>
      </c>
      <c r="BG13" s="94" t="str">
        <f t="array" ref="BG13">IFERROR(INDEX(Skill!$AE:$AE, MATCH(BG$4, Skill!$C:$C, 0), 1), "")</f>
        <v/>
      </c>
      <c r="BH13" s="94" t="str">
        <f t="array" ref="BH13">IFERROR(INDEX(Skill!$AE:$AE, MATCH(BH$4, Skill!$C:$C, 0), 1), "")</f>
        <v/>
      </c>
      <c r="BI13" s="94" t="str">
        <f t="array" ref="BI13">IFERROR(INDEX(Skill!$AE:$AE, MATCH(BI$4, Skill!$C:$C, 0), 1), "")</f>
        <v/>
      </c>
      <c r="BJ13" s="94" t="str">
        <f t="array" ref="BJ13">IFERROR(INDEX(Skill!$AE:$AE, MATCH(BJ$4, Skill!$C:$C, 0), 1), "")</f>
        <v/>
      </c>
      <c r="BK13" s="94" t="str">
        <f t="array" ref="BK13">IFERROR(INDEX(Skill!$AE:$AE, MATCH(BK$4, Skill!$C:$C, 0), 1), "")</f>
        <v/>
      </c>
      <c r="BL13" s="94" t="str">
        <f t="array" ref="BL13">IFERROR(INDEX(Skill!$AE:$AE, MATCH(BL$4, Skill!$C:$C, 0), 1), "")</f>
        <v/>
      </c>
      <c r="BM13" s="94" t="str">
        <f t="array" ref="BM13">IFERROR(INDEX(Skill!$AE:$AE, MATCH(BM$4, Skill!$C:$C, 0), 1), "")</f>
        <v/>
      </c>
      <c r="BN13" s="94" t="str">
        <f t="array" ref="BN13">IFERROR(INDEX(Skill!$AE:$AE, MATCH(BN$4, Skill!$C:$C, 0), 1), "")</f>
        <v/>
      </c>
      <c r="BO13" s="94" t="str">
        <f t="array" ref="BO13">IFERROR(INDEX(Skill!$AE:$AE, MATCH(BO$4, Skill!$C:$C, 0), 1), "")</f>
        <v>SINGLE_AFFECTED_ALL</v>
      </c>
      <c r="BP13" s="94" t="str">
        <f t="array" ref="BP13">IFERROR(INDEX(Skill!$AE:$AE, MATCH(BP$4, Skill!$C:$C, 0), 1), "")</f>
        <v/>
      </c>
      <c r="BQ13" s="94" t="str">
        <f t="array" ref="BQ13">IFERROR(INDEX(Skill!$AE:$AE, MATCH(BQ$4, Skill!$C:$C, 0), 1), "")</f>
        <v/>
      </c>
      <c r="BR13" s="94" t="str">
        <f t="array" ref="BR13">IFERROR(INDEX(Skill!$AE:$AE, MATCH(BR$4, Skill!$C:$C, 0), 1), "")</f>
        <v/>
      </c>
      <c r="BS13" s="94" t="str">
        <f t="array" ref="BS13">IFERROR(INDEX(Skill!$AE:$AE, MATCH(BS$4, Skill!$C:$C, 0), 1), "")</f>
        <v/>
      </c>
      <c r="BT13" s="94" t="str">
        <f t="array" ref="BT13">IFERROR(INDEX(Skill!$AE:$AE, MATCH(BT$4, Skill!$C:$C, 0), 1), "")</f>
        <v/>
      </c>
      <c r="BU13" s="94" t="str">
        <f t="array" ref="BU13">IFERROR(INDEX(Skill!$AE:$AE, MATCH(BU$4, Skill!$C:$C, 0), 1), "")</f>
        <v/>
      </c>
      <c r="BV13" s="94" t="str">
        <f t="array" ref="BV13">IFERROR(INDEX(Skill!$AE:$AE, MATCH(BV$4, Skill!$C:$C, 0), 1), "")</f>
        <v/>
      </c>
      <c r="BW13" s="94" t="str">
        <f t="array" ref="BW13">IFERROR(INDEX(Skill!$AE:$AE, MATCH(BW$4, Skill!$C:$C, 0), 1), "")</f>
        <v/>
      </c>
      <c r="BX13" s="94" t="str">
        <f t="array" ref="BX13">IFERROR(INDEX(Skill!$AE:$AE, MATCH(BX$4, Skill!$C:$C, 0), 1), "")</f>
        <v/>
      </c>
      <c r="BY13" s="94" t="str">
        <f t="array" ref="BY13">IFERROR(INDEX(Skill!$AE:$AE, MATCH(BY$4, Skill!$C:$C, 0), 1), "")</f>
        <v>RANGE_AFFECTED_GCD</v>
      </c>
      <c r="BZ13" s="94" t="str">
        <f t="array" ref="BZ13">IFERROR(INDEX(Skill!$AE:$AE, MATCH(BZ$4, Skill!$C:$C, 0), 1), "")</f>
        <v/>
      </c>
      <c r="CA13" s="94" t="str">
        <f t="array" ref="CA13">IFERROR(INDEX(Skill!$AE:$AE, MATCH(CA$4, Skill!$C:$C, 0), 1), "")</f>
        <v/>
      </c>
      <c r="CB13" s="94" t="str">
        <f t="array" ref="CB13">IFERROR(INDEX(Skill!$AE:$AE, MATCH(CB$4, Skill!$C:$C, 0), 1), "")</f>
        <v/>
      </c>
      <c r="CC13" s="94" t="str">
        <f t="array" ref="CC13">IFERROR(INDEX(Skill!$AE:$AE, MATCH(CC$4, Skill!$C:$C, 0), 1), "")</f>
        <v/>
      </c>
      <c r="CD13" s="94" t="str">
        <f t="array" ref="CD13">IFERROR(INDEX(Skill!$AE:$AE, MATCH(CD$4, Skill!$C:$C, 0), 1), "")</f>
        <v/>
      </c>
      <c r="CE13" s="94" t="str">
        <f t="array" ref="CE13">IFERROR(INDEX(Skill!$AE:$AE, MATCH(CE$4, Skill!$C:$C, 0), 1), "")</f>
        <v/>
      </c>
      <c r="CF13" s="94" t="str">
        <f t="array" ref="CF13">IFERROR(INDEX(Skill!$AE:$AE, MATCH(CF$4, Skill!$C:$C, 0), 1), "")</f>
        <v/>
      </c>
      <c r="CG13" s="94" t="str">
        <f t="array" ref="CG13">IFERROR(INDEX(Skill!$AE:$AE, MATCH(CG$4, Skill!$C:$C, 0), 1), "")</f>
        <v/>
      </c>
      <c r="CH13" s="94" t="str">
        <f t="array" ref="CH13">IFERROR(INDEX(Skill!$AE:$AE, MATCH(CH$4, Skill!$C:$C, 0), 1), "")</f>
        <v/>
      </c>
      <c r="CI13" s="94" t="str">
        <f t="array" ref="CI13">IFERROR(INDEX(Skill!$AE:$AE, MATCH(CI$4, Skill!$C:$C, 0), 1), "")</f>
        <v>SELF_EFFECTED_GCD</v>
      </c>
      <c r="CJ13" s="94" t="str">
        <f t="array" ref="CJ13">IFERROR(INDEX(Skill!$AE:$AE, MATCH(CJ$4, Skill!$C:$C, 0), 1), "")</f>
        <v/>
      </c>
      <c r="CK13" s="94" t="str">
        <f t="array" ref="CK13">IFERROR(INDEX(Skill!$AE:$AE, MATCH(CK$4, Skill!$C:$C, 0), 1), "")</f>
        <v/>
      </c>
      <c r="CL13" s="94" t="str">
        <f t="array" ref="CL13">IFERROR(INDEX(Skill!$AE:$AE, MATCH(CL$4, Skill!$C:$C, 0), 1), "")</f>
        <v/>
      </c>
      <c r="CM13" s="94" t="str">
        <f t="array" ref="CM13">IFERROR(INDEX(Skill!$AE:$AE, MATCH(CM$4, Skill!$C:$C, 0), 1), "")</f>
        <v/>
      </c>
      <c r="CN13" s="94" t="str">
        <f t="array" ref="CN13">IFERROR(INDEX(Skill!$AE:$AE, MATCH(CN$4, Skill!$C:$C, 0), 1), "")</f>
        <v/>
      </c>
      <c r="CO13" s="94" t="str">
        <f t="array" ref="CO13">IFERROR(INDEX(Skill!$AE:$AE, MATCH(CO$4, Skill!$C:$C, 0), 1), "")</f>
        <v/>
      </c>
      <c r="CP13" s="94" t="str">
        <f t="array" ref="CP13">IFERROR(INDEX(Skill!$AE:$AE, MATCH(CP$4, Skill!$C:$C, 0), 1), "")</f>
        <v/>
      </c>
      <c r="CQ13" s="94" t="str">
        <f t="array" ref="CQ13">IFERROR(INDEX(Skill!$AE:$AE, MATCH(CQ$4, Skill!$C:$C, 0), 1), "")</f>
        <v/>
      </c>
      <c r="CR13" s="94" t="str">
        <f t="array" ref="CR13">IFERROR(INDEX(Skill!$AE:$AE, MATCH(CR$4, Skill!$C:$C, 0), 1), "")</f>
        <v/>
      </c>
      <c r="CS13" s="94" t="str">
        <f t="array" ref="CS13">IFERROR(INDEX(Skill!$AE:$AE, MATCH(CS$4, Skill!$C:$C, 0), 1), "")</f>
        <v/>
      </c>
      <c r="CT13" s="94" t="str">
        <f t="array" ref="CT13">IFERROR(INDEX(Skill!$AE:$AE, MATCH(CT$4, Skill!$C:$C, 0), 1), "")</f>
        <v/>
      </c>
      <c r="CU13" s="94" t="str">
        <f t="array" ref="CU13">IFERROR(INDEX(Skill!$AE:$AE, MATCH(CU$4, Skill!$C:$C, 0), 1), "")</f>
        <v/>
      </c>
      <c r="CV13" s="94" t="str">
        <f t="array" ref="CV13">IFERROR(INDEX(Skill!$AE:$AE, MATCH(CV$4, Skill!$C:$C, 0), 1), "")</f>
        <v/>
      </c>
      <c r="CW13" s="94" t="str">
        <f t="array" ref="CW13">IFERROR(INDEX(Skill!$AE:$AE, MATCH(CW$4, Skill!$C:$C, 0), 1), "")</f>
        <v/>
      </c>
      <c r="CX13" s="94" t="str">
        <f t="array" ref="CX13">IFERROR(INDEX(Skill!$AE:$AE, MATCH(CX$4, Skill!$C:$C, 0), 1), "")</f>
        <v>SELF_EFFECTED_GCD</v>
      </c>
      <c r="CY13" s="94" t="str">
        <f t="array" ref="CY13">IFERROR(INDEX(Skill!$AE:$AE, MATCH(CY$4, Skill!$C:$C, 0), 1), "")</f>
        <v>RANGE_AFFECTED_ALL</v>
      </c>
      <c r="CZ13" s="94" t="str">
        <f t="array" ref="CZ13">IFERROR(INDEX(Skill!$AE:$AE, MATCH(CZ$4, Skill!$C:$C, 0), 1), "")</f>
        <v/>
      </c>
      <c r="DA13" s="94" t="str">
        <f t="array" ref="DA13">IFERROR(INDEX(Skill!$AE:$AE, MATCH(DA$4, Skill!$C:$C, 0), 1), "")</f>
        <v/>
      </c>
      <c r="DB13" s="94" t="str">
        <f t="array" ref="DB13">IFERROR(INDEX(Skill!$AE:$AE, MATCH(DB$4, Skill!$C:$C, 0), 1), "")</f>
        <v/>
      </c>
      <c r="DC13" s="94" t="str">
        <f t="array" ref="DC13">IFERROR(INDEX(Skill!$AE:$AE, MATCH(DC$4, Skill!$C:$C, 0), 1), "")</f>
        <v>SELF_EFFECTED_GCD</v>
      </c>
      <c r="DD13" s="94" t="str">
        <f t="array" ref="DD13">IFERROR(INDEX(Skill!$AE:$AE, MATCH(DD$4, Skill!$C:$C, 0), 1), "")</f>
        <v/>
      </c>
      <c r="DE13" s="94" t="str">
        <f t="array" ref="DE13">IFERROR(INDEX(Skill!$AE:$AE, MATCH(DE$4, Skill!$C:$C, 0), 1), "")</f>
        <v/>
      </c>
      <c r="DF13" s="94" t="str">
        <f t="array" ref="DF13">IFERROR(INDEX(Skill!$AE:$AE, MATCH(DF$4, Skill!$C:$C, 0), 1), "")</f>
        <v/>
      </c>
      <c r="DG13" s="94" t="str">
        <f t="array" ref="DG13">IFERROR(INDEX(Skill!$AE:$AE, MATCH(DG$4, Skill!$C:$C, 0), 1), "")</f>
        <v/>
      </c>
      <c r="DH13" s="94" t="str">
        <f t="array" ref="DH13">IFERROR(INDEX(Skill!$AE:$AE, MATCH(DH$4, Skill!$C:$C, 0), 1), "")</f>
        <v/>
      </c>
      <c r="DI13" s="94" t="str">
        <f t="array" ref="DI13">IFERROR(INDEX(Skill!$AE:$AE, MATCH(DI$4, Skill!$C:$C, 0), 1), "")</f>
        <v/>
      </c>
      <c r="DJ13" s="94" t="str">
        <f t="array" ref="DJ13">IFERROR(INDEX(Skill!$AE:$AE, MATCH(DJ$4, Skill!$C:$C, 0), 1), "")</f>
        <v/>
      </c>
      <c r="DK13" s="94" t="str">
        <f t="array" ref="DK13">IFERROR(INDEX(Skill!$AE:$AE, MATCH(DK$4, Skill!$C:$C, 0), 1), "")</f>
        <v>RANGE_AFFECTED_ALL</v>
      </c>
      <c r="DL13" s="94" t="str">
        <f t="array" ref="DL13">IFERROR(INDEX(Skill!$AE:$AE, MATCH(DL$4, Skill!$C:$C, 0), 1), "")</f>
        <v/>
      </c>
      <c r="DM13" s="94" t="str">
        <f t="array" ref="DM13">IFERROR(INDEX(Skill!$AE:$AE, MATCH(DM$4, Skill!$C:$C, 0), 1), "")</f>
        <v/>
      </c>
      <c r="DN13" s="94" t="str">
        <f t="array" ref="DN13">IFERROR(INDEX(Skill!$AE:$AE, MATCH(DN$4, Skill!$C:$C, 0), 1), "")</f>
        <v/>
      </c>
      <c r="DO13" s="94" t="str">
        <f t="array" ref="DO13">IFERROR(INDEX(Skill!$AE:$AE, MATCH(DO$4, Skill!$C:$C, 0), 1), "")</f>
        <v/>
      </c>
      <c r="DP13" s="94" t="str">
        <f t="array" ref="DP13">IFERROR(INDEX(Skill!$AE:$AE, MATCH(DP$4, Skill!$C:$C, 0), 1), "")</f>
        <v/>
      </c>
      <c r="DQ13" s="94" t="str">
        <f t="array" ref="DQ13">IFERROR(INDEX(Skill!$AE:$AE, MATCH(DQ$4, Skill!$C:$C, 0), 1), "")</f>
        <v/>
      </c>
      <c r="DR13" s="94" t="str">
        <f t="array" ref="DR13">IFERROR(INDEX(Skill!$AE:$AE, MATCH(DR$4, Skill!$C:$C, 0), 1), "")</f>
        <v>RANGE_AFFECTED_ALL</v>
      </c>
      <c r="DS13" s="94" t="str">
        <f t="array" ref="DS13">IFERROR(INDEX(Skill!$AE:$AE, MATCH(DS$4, Skill!$C:$C, 0), 1), "")</f>
        <v/>
      </c>
      <c r="DT13" s="94" t="str">
        <f t="array" ref="DT13">IFERROR(INDEX(Skill!$AE:$AE, MATCH(DT$4, Skill!$C:$C, 0), 1), "")</f>
        <v/>
      </c>
      <c r="DU13" s="94" t="str">
        <f t="array" ref="DU13">IFERROR(INDEX(Skill!$AE:$AE, MATCH(DU$4, Skill!$C:$C, 0), 1), "")</f>
        <v/>
      </c>
      <c r="DV13" s="94" t="str">
        <f t="array" ref="DV13">IFERROR(INDEX(Skill!$AE:$AE, MATCH(DV$4, Skill!$C:$C, 0), 1), "")</f>
        <v/>
      </c>
      <c r="DW13" s="94" t="str">
        <f t="array" ref="DW13">IFERROR(INDEX(Skill!$AE:$AE, MATCH(DW$4, Skill!$C:$C, 0), 1), "")</f>
        <v/>
      </c>
      <c r="DX13" s="94" t="str">
        <f t="array" ref="DX13">IFERROR(INDEX(Skill!$AE:$AE, MATCH(DX$4, Skill!$C:$C, 0), 1), "")</f>
        <v/>
      </c>
      <c r="DY13" s="94" t="str">
        <f t="array" ref="DY13">IFERROR(INDEX(Skill!$AE:$AE, MATCH(DY$4, Skill!$C:$C, 0), 1), "")</f>
        <v/>
      </c>
      <c r="DZ13" s="94" t="str">
        <f t="array" ref="DZ13">IFERROR(INDEX(Skill!$AE:$AE, MATCH(DZ$4, Skill!$C:$C, 0), 1), "")</f>
        <v>RANGE_AFFECTED_ALL</v>
      </c>
      <c r="EA13" s="89" t="str">
        <f t="array" ref="EA13">IFERROR(INDEX(Skill!$AE:$AE, MATCH(EA$4, Skill!$C:$C, 0), 1), "")</f>
        <v/>
      </c>
      <c r="EB13" s="89" t="str">
        <f t="array" ref="EB13">IFERROR(INDEX(Skill!$AE:$AE, MATCH(EB$4, Skill!$C:$C, 0), 1), "")</f>
        <v/>
      </c>
      <c r="EC13" s="89" t="str">
        <f t="array" ref="EC13">IFERROR(INDEX(Skill!$AE:$AE, MATCH(EC$4, Skill!$C:$C, 0), 1), "")</f>
        <v/>
      </c>
      <c r="ED13" s="94" t="str">
        <f t="array" ref="ED13">IFERROR(INDEX(Skill!$AE:$AE, MATCH(ED$4, Skill!$C:$C, 0), 1), "")</f>
        <v/>
      </c>
      <c r="EE13" s="97"/>
      <c r="EF13" s="97"/>
      <c r="EG13" s="97"/>
      <c r="EH13" s="97"/>
      <c r="EI13" s="97"/>
      <c r="EJ13" s="97"/>
      <c r="EK13" s="97"/>
      <c r="EL13" s="97"/>
      <c r="EM13" s="97"/>
      <c r="EN13" s="97"/>
      <c r="EO13" s="97"/>
      <c r="EP13" s="97"/>
      <c r="EQ13" s="97"/>
      <c r="ER13" s="100"/>
      <c r="ES13" s="100"/>
      <c r="ET13" s="100"/>
      <c r="EU13" s="101"/>
      <c r="EV13" s="101"/>
      <c r="EW13" s="101"/>
      <c r="EX13" s="101"/>
      <c r="EY13" s="101"/>
      <c r="EZ13" s="101"/>
      <c r="FA13" s="101"/>
      <c r="FB13" s="101"/>
      <c r="FC13" s="101"/>
      <c r="FD13" s="101"/>
      <c r="FE13" s="101"/>
      <c r="FF13" s="101"/>
      <c r="FG13" s="101"/>
      <c r="FH13" s="101"/>
      <c r="FI13" s="101"/>
      <c r="FJ13" s="101"/>
      <c r="FK13" s="101"/>
      <c r="FL13" s="101"/>
      <c r="FM13" s="101"/>
      <c r="FN13" s="101"/>
      <c r="FO13" s="99"/>
    </row>
    <row r="14" hidden="1">
      <c r="A14" s="3"/>
      <c r="B14" s="90"/>
      <c r="C14" s="90"/>
      <c r="D14" s="90"/>
      <c r="E14" s="90" t="s">
        <v>1052</v>
      </c>
      <c r="F14" s="90"/>
      <c r="G14" s="90"/>
      <c r="H14" s="90"/>
      <c r="I14" s="90"/>
      <c r="J14" s="90"/>
      <c r="K14" s="94" t="str">
        <f t="array" ref="K14">IFERROR(INDEX(Skill!$AH:$AH, MATCH(K$4, Skill!$C:$C, 0), 1), "")</f>
        <v/>
      </c>
      <c r="L14" s="94" t="str">
        <f t="array" ref="L14">IFERROR(INDEX(Skill!$AH:$AH, MATCH(L$4, Skill!$C:$C, 0), 1), "")</f>
        <v/>
      </c>
      <c r="M14" s="94" t="str">
        <f t="array" ref="M14">IFERROR(INDEX(Skill!$AH:$AH, MATCH(M$4, Skill!$C:$C, 0), 1), "")</f>
        <v/>
      </c>
      <c r="N14" s="94" t="str">
        <f t="array" ref="N14">IFERROR(INDEX(Skill!$AH:$AH, MATCH(N$4, Skill!$C:$C, 0), 1), "")</f>
        <v/>
      </c>
      <c r="O14" s="94">
        <f t="array" ref="O14">IFERROR(INDEX(Skill!$AH:$AH, MATCH(O$4, Skill!$C:$C, 0), 1), "")</f>
        <v>1.15</v>
      </c>
      <c r="P14" s="94" t="str">
        <f t="array" ref="P14">IFERROR(INDEX(Skill!$AH:$AH, MATCH(P$4, Skill!$C:$C, 0), 1), "")</f>
        <v/>
      </c>
      <c r="Q14" s="94" t="str">
        <f t="array" ref="Q14">IFERROR(INDEX(Skill!$AH:$AH, MATCH(Q$4, Skill!$C:$C, 0), 1), "")</f>
        <v/>
      </c>
      <c r="R14" s="94" t="str">
        <f t="array" ref="R14">IFERROR(INDEX(Skill!$AH:$AH, MATCH(R$4, Skill!$C:$C, 0), 1), "")</f>
        <v/>
      </c>
      <c r="S14" s="94" t="str">
        <f t="array" ref="S14">IFERROR(INDEX(Skill!$AH:$AH, MATCH(S$4, Skill!$C:$C, 0), 1), "")</f>
        <v/>
      </c>
      <c r="T14" s="94" t="str">
        <f t="array" ref="T14">IFERROR(INDEX(Skill!$AH:$AH, MATCH(T$4, Skill!$C:$C, 0), 1), "")</f>
        <v/>
      </c>
      <c r="U14" s="94" t="str">
        <f t="array" ref="U14">IFERROR(INDEX(Skill!$AH:$AH, MATCH(U$4, Skill!$C:$C, 0), 1), "")</f>
        <v/>
      </c>
      <c r="V14" s="94" t="str">
        <f t="array" ref="V14">IFERROR(INDEX(Skill!$AH:$AH, MATCH(V$4, Skill!$C:$C, 0), 1), "")</f>
        <v/>
      </c>
      <c r="W14" s="94">
        <f t="array" ref="W14">IFERROR(INDEX(Skill!$AH:$AH, MATCH(W$4, Skill!$C:$C, 0), 1), "")</f>
        <v>1.15</v>
      </c>
      <c r="X14" s="94">
        <f t="array" ref="X14">IFERROR(INDEX(Skill!$AH:$AH, MATCH(X$4, Skill!$C:$C, 0), 1), "")</f>
        <v>1.2</v>
      </c>
      <c r="Y14" s="94" t="str">
        <f t="array" ref="Y14">IFERROR(INDEX(Skill!$AH:$AH, MATCH(Y$4, Skill!$C:$C, 0), 1), "")</f>
        <v/>
      </c>
      <c r="Z14" s="94" t="str">
        <f t="array" ref="Z14">IFERROR(INDEX(Skill!$AH:$AH, MATCH(Z$4, Skill!$C:$C, 0), 1), "")</f>
        <v/>
      </c>
      <c r="AA14" s="94" t="str">
        <f t="array" ref="AA14">IFERROR(INDEX(Skill!$AH:$AH, MATCH(AA$4, Skill!$C:$C, 0), 1), "")</f>
        <v/>
      </c>
      <c r="AB14" s="94" t="str">
        <f t="array" ref="AB14">IFERROR(INDEX(Skill!$AH:$AH, MATCH(AB$4, Skill!$C:$C, 0), 1), "")</f>
        <v/>
      </c>
      <c r="AC14" s="94" t="str">
        <f t="array" ref="AC14">IFERROR(INDEX(Skill!$AH:$AH, MATCH(AC$4, Skill!$C:$C, 0), 1), "")</f>
        <v/>
      </c>
      <c r="AD14" s="94" t="str">
        <f t="array" ref="AD14">IFERROR(INDEX(Skill!$AH:$AH, MATCH(AD$4, Skill!$C:$C, 0), 1), "")</f>
        <v/>
      </c>
      <c r="AE14" s="94" t="str">
        <f t="array" ref="AE14">IFERROR(INDEX(Skill!$AH:$AH, MATCH(AE$4, Skill!$C:$C, 0), 1), "")</f>
        <v/>
      </c>
      <c r="AF14" s="94" t="str">
        <f t="array" ref="AF14">IFERROR(INDEX(Skill!$AH:$AH, MATCH(AF$4, Skill!$C:$C, 0), 1), "")</f>
        <v/>
      </c>
      <c r="AG14" s="94" t="str">
        <f t="array" ref="AG14">IFERROR(INDEX(Skill!$AH:$AH, MATCH(AG$4, Skill!$C:$C, 0), 1), "")</f>
        <v/>
      </c>
      <c r="AH14" s="94">
        <f t="array" ref="AH14">IFERROR(INDEX(Skill!$AH:$AH, MATCH(AH$4, Skill!$C:$C, 0), 1), "")</f>
        <v>1.15</v>
      </c>
      <c r="AI14" s="94" t="str">
        <f t="array" ref="AI14">IFERROR(INDEX(Skill!$AH:$AH, MATCH(AI$4, Skill!$C:$C, 0), 1), "")</f>
        <v/>
      </c>
      <c r="AJ14" s="94" t="str">
        <f t="array" ref="AJ14">IFERROR(INDEX(Skill!$AH:$AH, MATCH(AJ$4, Skill!$C:$C, 0), 1), "")</f>
        <v/>
      </c>
      <c r="AK14" s="94" t="str">
        <f t="array" ref="AK14">IFERROR(INDEX(Skill!$AH:$AH, MATCH(AK$4, Skill!$C:$C, 0), 1), "")</f>
        <v/>
      </c>
      <c r="AL14" s="94" t="str">
        <f t="array" ref="AL14">IFERROR(INDEX(Skill!$AH:$AH, MATCH(AL$4, Skill!$C:$C, 0), 1), "")</f>
        <v/>
      </c>
      <c r="AM14" s="94" t="str">
        <f t="array" ref="AM14">IFERROR(INDEX(Skill!$AH:$AH, MATCH(AM$4, Skill!$C:$C, 0), 1), "")</f>
        <v/>
      </c>
      <c r="AN14" s="94" t="str">
        <f t="array" ref="AN14">IFERROR(INDEX(Skill!$AH:$AH, MATCH(AN$4, Skill!$C:$C, 0), 1), "")</f>
        <v/>
      </c>
      <c r="AO14" s="94">
        <f t="array" ref="AO14">IFERROR(INDEX(Skill!$AH:$AH, MATCH(AO$4, Skill!$C:$C, 0), 1), "")</f>
        <v>1.15</v>
      </c>
      <c r="AP14" s="94" t="str">
        <f t="array" ref="AP14">IFERROR(INDEX(Skill!$AH:$AH, MATCH(AP$4, Skill!$C:$C, 0), 1), "")</f>
        <v/>
      </c>
      <c r="AQ14" s="94" t="str">
        <f t="array" ref="AQ14">IFERROR(INDEX(Skill!$AH:$AH, MATCH(AQ$4, Skill!$C:$C, 0), 1), "")</f>
        <v/>
      </c>
      <c r="AR14" s="94" t="str">
        <f t="array" ref="AR14">IFERROR(INDEX(Skill!$AH:$AH, MATCH(AR$4, Skill!$C:$C, 0), 1), "")</f>
        <v/>
      </c>
      <c r="AS14" s="94">
        <f t="array" ref="AS14">IFERROR(INDEX(Skill!$AH:$AH, MATCH(AS$4, Skill!$C:$C, 0), 1), "")</f>
        <v>1.2</v>
      </c>
      <c r="AT14" s="94" t="str">
        <f t="array" ref="AT14">IFERROR(INDEX(Skill!$AH:$AH, MATCH(AT$4, Skill!$C:$C, 0), 1), "")</f>
        <v/>
      </c>
      <c r="AU14" s="94" t="str">
        <f t="array" ref="AU14">IFERROR(INDEX(Skill!$AH:$AH, MATCH(AU$4, Skill!$C:$C, 0), 1), "")</f>
        <v/>
      </c>
      <c r="AV14" s="94">
        <f t="array" ref="AV14">IFERROR(INDEX(Skill!$AH:$AH, MATCH(AV$4, Skill!$C:$C, 0), 1), "")</f>
        <v>1.1</v>
      </c>
      <c r="AW14" s="94" t="str">
        <f t="array" ref="AW14">IFERROR(INDEX(Skill!$AH:$AH, MATCH(AW$4, Skill!$C:$C, 0), 1), "")</f>
        <v/>
      </c>
      <c r="AX14" s="94" t="str">
        <f t="array" ref="AX14">IFERROR(INDEX(Skill!$AH:$AH, MATCH(AX$4, Skill!$C:$C, 0), 1), "")</f>
        <v/>
      </c>
      <c r="AY14" s="94" t="str">
        <f t="array" ref="AY14">IFERROR(INDEX(Skill!$AH:$AH, MATCH(AY$4, Skill!$C:$C, 0), 1), "")</f>
        <v/>
      </c>
      <c r="AZ14" s="94" t="str">
        <f t="array" ref="AZ14">IFERROR(INDEX(Skill!$AH:$AH, MATCH(AZ$4, Skill!$C:$C, 0), 1), "")</f>
        <v/>
      </c>
      <c r="BA14" s="94" t="str">
        <f t="array" ref="BA14">IFERROR(INDEX(Skill!$AH:$AH, MATCH(BA$4, Skill!$C:$C, 0), 1), "")</f>
        <v/>
      </c>
      <c r="BB14" s="94" t="str">
        <f t="array" ref="BB14">IFERROR(INDEX(Skill!$AH:$AH, MATCH(BB$4, Skill!$C:$C, 0), 1), "")</f>
        <v/>
      </c>
      <c r="BC14" s="94" t="str">
        <f t="array" ref="BC14">IFERROR(INDEX(Skill!$AH:$AH, MATCH(BC$4, Skill!$C:$C, 0), 1), "")</f>
        <v/>
      </c>
      <c r="BD14" s="94" t="str">
        <f t="array" ref="BD14">IFERROR(INDEX(Skill!$AH:$AH, MATCH(BD$4, Skill!$C:$C, 0), 1), "")</f>
        <v/>
      </c>
      <c r="BE14" s="94" t="str">
        <f t="array" ref="BE14">IFERROR(INDEX(Skill!$AH:$AH, MATCH(BE$4, Skill!$C:$C, 0), 1), "")</f>
        <v/>
      </c>
      <c r="BF14" s="94">
        <f t="array" ref="BF14">IFERROR(INDEX(Skill!$AH:$AH, MATCH(BF$4, Skill!$C:$C, 0), 1), "")</f>
        <v>1.2</v>
      </c>
      <c r="BG14" s="94" t="str">
        <f t="array" ref="BG14">IFERROR(INDEX(Skill!$AH:$AH, MATCH(BG$4, Skill!$C:$C, 0), 1), "")</f>
        <v/>
      </c>
      <c r="BH14" s="94" t="str">
        <f t="array" ref="BH14">IFERROR(INDEX(Skill!$AH:$AH, MATCH(BH$4, Skill!$C:$C, 0), 1), "")</f>
        <v/>
      </c>
      <c r="BI14" s="94" t="str">
        <f t="array" ref="BI14">IFERROR(INDEX(Skill!$AH:$AH, MATCH(BI$4, Skill!$C:$C, 0), 1), "")</f>
        <v/>
      </c>
      <c r="BJ14" s="94" t="str">
        <f t="array" ref="BJ14">IFERROR(INDEX(Skill!$AH:$AH, MATCH(BJ$4, Skill!$C:$C, 0), 1), "")</f>
        <v/>
      </c>
      <c r="BK14" s="94" t="str">
        <f t="array" ref="BK14">IFERROR(INDEX(Skill!$AH:$AH, MATCH(BK$4, Skill!$C:$C, 0), 1), "")</f>
        <v/>
      </c>
      <c r="BL14" s="94" t="str">
        <f t="array" ref="BL14">IFERROR(INDEX(Skill!$AH:$AH, MATCH(BL$4, Skill!$C:$C, 0), 1), "")</f>
        <v/>
      </c>
      <c r="BM14" s="94" t="str">
        <f t="array" ref="BM14">IFERROR(INDEX(Skill!$AH:$AH, MATCH(BM$4, Skill!$C:$C, 0), 1), "")</f>
        <v/>
      </c>
      <c r="BN14" s="94" t="str">
        <f t="array" ref="BN14">IFERROR(INDEX(Skill!$AH:$AH, MATCH(BN$4, Skill!$C:$C, 0), 1), "")</f>
        <v/>
      </c>
      <c r="BO14" s="94">
        <f t="array" ref="BO14">IFERROR(INDEX(Skill!$AH:$AH, MATCH(BO$4, Skill!$C:$C, 0), 1), "")</f>
        <v>1.1</v>
      </c>
      <c r="BP14" s="94" t="str">
        <f t="array" ref="BP14">IFERROR(INDEX(Skill!$AH:$AH, MATCH(BP$4, Skill!$C:$C, 0), 1), "")</f>
        <v/>
      </c>
      <c r="BQ14" s="94" t="str">
        <f t="array" ref="BQ14">IFERROR(INDEX(Skill!$AH:$AH, MATCH(BQ$4, Skill!$C:$C, 0), 1), "")</f>
        <v/>
      </c>
      <c r="BR14" s="94" t="str">
        <f t="array" ref="BR14">IFERROR(INDEX(Skill!$AH:$AH, MATCH(BR$4, Skill!$C:$C, 0), 1), "")</f>
        <v/>
      </c>
      <c r="BS14" s="94" t="str">
        <f t="array" ref="BS14">IFERROR(INDEX(Skill!$AH:$AH, MATCH(BS$4, Skill!$C:$C, 0), 1), "")</f>
        <v/>
      </c>
      <c r="BT14" s="94" t="str">
        <f t="array" ref="BT14">IFERROR(INDEX(Skill!$AH:$AH, MATCH(BT$4, Skill!$C:$C, 0), 1), "")</f>
        <v/>
      </c>
      <c r="BU14" s="94" t="str">
        <f t="array" ref="BU14">IFERROR(INDEX(Skill!$AH:$AH, MATCH(BU$4, Skill!$C:$C, 0), 1), "")</f>
        <v/>
      </c>
      <c r="BV14" s="94" t="str">
        <f t="array" ref="BV14">IFERROR(INDEX(Skill!$AH:$AH, MATCH(BV$4, Skill!$C:$C, 0), 1), "")</f>
        <v/>
      </c>
      <c r="BW14" s="94" t="str">
        <f t="array" ref="BW14">IFERROR(INDEX(Skill!$AH:$AH, MATCH(BW$4, Skill!$C:$C, 0), 1), "")</f>
        <v/>
      </c>
      <c r="BX14" s="94" t="str">
        <f t="array" ref="BX14">IFERROR(INDEX(Skill!$AH:$AH, MATCH(BX$4, Skill!$C:$C, 0), 1), "")</f>
        <v/>
      </c>
      <c r="BY14" s="94">
        <f t="array" ref="BY14">IFERROR(INDEX(Skill!$AH:$AH, MATCH(BY$4, Skill!$C:$C, 0), 1), "")</f>
        <v>1.1</v>
      </c>
      <c r="BZ14" s="94" t="str">
        <f t="array" ref="BZ14">IFERROR(INDEX(Skill!$AH:$AH, MATCH(BZ$4, Skill!$C:$C, 0), 1), "")</f>
        <v/>
      </c>
      <c r="CA14" s="94" t="str">
        <f t="array" ref="CA14">IFERROR(INDEX(Skill!$AH:$AH, MATCH(CA$4, Skill!$C:$C, 0), 1), "")</f>
        <v/>
      </c>
      <c r="CB14" s="94" t="str">
        <f t="array" ref="CB14">IFERROR(INDEX(Skill!$AH:$AH, MATCH(CB$4, Skill!$C:$C, 0), 1), "")</f>
        <v/>
      </c>
      <c r="CC14" s="94" t="str">
        <f t="array" ref="CC14">IFERROR(INDEX(Skill!$AH:$AH, MATCH(CC$4, Skill!$C:$C, 0), 1), "")</f>
        <v/>
      </c>
      <c r="CD14" s="94" t="str">
        <f t="array" ref="CD14">IFERROR(INDEX(Skill!$AH:$AH, MATCH(CD$4, Skill!$C:$C, 0), 1), "")</f>
        <v/>
      </c>
      <c r="CE14" s="94" t="str">
        <f t="array" ref="CE14">IFERROR(INDEX(Skill!$AH:$AH, MATCH(CE$4, Skill!$C:$C, 0), 1), "")</f>
        <v/>
      </c>
      <c r="CF14" s="94" t="str">
        <f t="array" ref="CF14">IFERROR(INDEX(Skill!$AH:$AH, MATCH(CF$4, Skill!$C:$C, 0), 1), "")</f>
        <v/>
      </c>
      <c r="CG14" s="94" t="str">
        <f t="array" ref="CG14">IFERROR(INDEX(Skill!$AH:$AH, MATCH(CG$4, Skill!$C:$C, 0), 1), "")</f>
        <v/>
      </c>
      <c r="CH14" s="94" t="str">
        <f t="array" ref="CH14">IFERROR(INDEX(Skill!$AH:$AH, MATCH(CH$4, Skill!$C:$C, 0), 1), "")</f>
        <v/>
      </c>
      <c r="CI14" s="94">
        <f t="array" ref="CI14">IFERROR(INDEX(Skill!$AH:$AH, MATCH(CI$4, Skill!$C:$C, 0), 1), "")</f>
        <v>1.2</v>
      </c>
      <c r="CJ14" s="94" t="str">
        <f t="array" ref="CJ14">IFERROR(INDEX(Skill!$AH:$AH, MATCH(CJ$4, Skill!$C:$C, 0), 1), "")</f>
        <v/>
      </c>
      <c r="CK14" s="94" t="str">
        <f t="array" ref="CK14">IFERROR(INDEX(Skill!$AH:$AH, MATCH(CK$4, Skill!$C:$C, 0), 1), "")</f>
        <v/>
      </c>
      <c r="CL14" s="94" t="str">
        <f t="array" ref="CL14">IFERROR(INDEX(Skill!$AH:$AH, MATCH(CL$4, Skill!$C:$C, 0), 1), "")</f>
        <v/>
      </c>
      <c r="CM14" s="94" t="str">
        <f t="array" ref="CM14">IFERROR(INDEX(Skill!$AH:$AH, MATCH(CM$4, Skill!$C:$C, 0), 1), "")</f>
        <v/>
      </c>
      <c r="CN14" s="94" t="str">
        <f t="array" ref="CN14">IFERROR(INDEX(Skill!$AH:$AH, MATCH(CN$4, Skill!$C:$C, 0), 1), "")</f>
        <v/>
      </c>
      <c r="CO14" s="94" t="str">
        <f t="array" ref="CO14">IFERROR(INDEX(Skill!$AH:$AH, MATCH(CO$4, Skill!$C:$C, 0), 1), "")</f>
        <v/>
      </c>
      <c r="CP14" s="94" t="str">
        <f t="array" ref="CP14">IFERROR(INDEX(Skill!$AH:$AH, MATCH(CP$4, Skill!$C:$C, 0), 1), "")</f>
        <v/>
      </c>
      <c r="CQ14" s="94" t="str">
        <f t="array" ref="CQ14">IFERROR(INDEX(Skill!$AH:$AH, MATCH(CQ$4, Skill!$C:$C, 0), 1), "")</f>
        <v/>
      </c>
      <c r="CR14" s="94" t="str">
        <f t="array" ref="CR14">IFERROR(INDEX(Skill!$AH:$AH, MATCH(CR$4, Skill!$C:$C, 0), 1), "")</f>
        <v/>
      </c>
      <c r="CS14" s="94" t="str">
        <f t="array" ref="CS14">IFERROR(INDEX(Skill!$AH:$AH, MATCH(CS$4, Skill!$C:$C, 0), 1), "")</f>
        <v/>
      </c>
      <c r="CT14" s="94" t="str">
        <f t="array" ref="CT14">IFERROR(INDEX(Skill!$AH:$AH, MATCH(CT$4, Skill!$C:$C, 0), 1), "")</f>
        <v/>
      </c>
      <c r="CU14" s="94" t="str">
        <f t="array" ref="CU14">IFERROR(INDEX(Skill!$AH:$AH, MATCH(CU$4, Skill!$C:$C, 0), 1), "")</f>
        <v/>
      </c>
      <c r="CV14" s="94" t="str">
        <f t="array" ref="CV14">IFERROR(INDEX(Skill!$AH:$AH, MATCH(CV$4, Skill!$C:$C, 0), 1), "")</f>
        <v/>
      </c>
      <c r="CW14" s="94" t="str">
        <f t="array" ref="CW14">IFERROR(INDEX(Skill!$AH:$AH, MATCH(CW$4, Skill!$C:$C, 0), 1), "")</f>
        <v/>
      </c>
      <c r="CX14" s="94">
        <f t="array" ref="CX14">IFERROR(INDEX(Skill!$AH:$AH, MATCH(CX$4, Skill!$C:$C, 0), 1), "")</f>
        <v>1.5</v>
      </c>
      <c r="CY14" s="94">
        <f t="array" ref="CY14">IFERROR(INDEX(Skill!$AH:$AH, MATCH(CY$4, Skill!$C:$C, 0), 1), "")</f>
        <v>1.1</v>
      </c>
      <c r="CZ14" s="94" t="str">
        <f t="array" ref="CZ14">IFERROR(INDEX(Skill!$AH:$AH, MATCH(CZ$4, Skill!$C:$C, 0), 1), "")</f>
        <v/>
      </c>
      <c r="DA14" s="94" t="str">
        <f t="array" ref="DA14">IFERROR(INDEX(Skill!$AH:$AH, MATCH(DA$4, Skill!$C:$C, 0), 1), "")</f>
        <v/>
      </c>
      <c r="DB14" s="94" t="str">
        <f t="array" ref="DB14">IFERROR(INDEX(Skill!$AH:$AH, MATCH(DB$4, Skill!$C:$C, 0), 1), "")</f>
        <v/>
      </c>
      <c r="DC14" s="94">
        <f t="array" ref="DC14">IFERROR(INDEX(Skill!$AH:$AH, MATCH(DC$4, Skill!$C:$C, 0), 1), "")</f>
        <v>1.2</v>
      </c>
      <c r="DD14" s="94" t="str">
        <f t="array" ref="DD14">IFERROR(INDEX(Skill!$AH:$AH, MATCH(DD$4, Skill!$C:$C, 0), 1), "")</f>
        <v/>
      </c>
      <c r="DE14" s="94" t="str">
        <f t="array" ref="DE14">IFERROR(INDEX(Skill!$AH:$AH, MATCH(DE$4, Skill!$C:$C, 0), 1), "")</f>
        <v/>
      </c>
      <c r="DF14" s="94" t="str">
        <f t="array" ref="DF14">IFERROR(INDEX(Skill!$AH:$AH, MATCH(DF$4, Skill!$C:$C, 0), 1), "")</f>
        <v/>
      </c>
      <c r="DG14" s="94" t="str">
        <f t="array" ref="DG14">IFERROR(INDEX(Skill!$AH:$AH, MATCH(DG$4, Skill!$C:$C, 0), 1), "")</f>
        <v/>
      </c>
      <c r="DH14" s="94" t="str">
        <f t="array" ref="DH14">IFERROR(INDEX(Skill!$AH:$AH, MATCH(DH$4, Skill!$C:$C, 0), 1), "")</f>
        <v/>
      </c>
      <c r="DI14" s="94" t="str">
        <f t="array" ref="DI14">IFERROR(INDEX(Skill!$AH:$AH, MATCH(DI$4, Skill!$C:$C, 0), 1), "")</f>
        <v/>
      </c>
      <c r="DJ14" s="94" t="str">
        <f t="array" ref="DJ14">IFERROR(INDEX(Skill!$AH:$AH, MATCH(DJ$4, Skill!$C:$C, 0), 1), "")</f>
        <v/>
      </c>
      <c r="DK14" s="94">
        <f t="array" ref="DK14">IFERROR(INDEX(Skill!$AH:$AH, MATCH(DK$4, Skill!$C:$C, 0), 1), "")</f>
        <v>1.1</v>
      </c>
      <c r="DL14" s="94" t="str">
        <f t="array" ref="DL14">IFERROR(INDEX(Skill!$AH:$AH, MATCH(DL$4, Skill!$C:$C, 0), 1), "")</f>
        <v/>
      </c>
      <c r="DM14" s="94" t="str">
        <f t="array" ref="DM14">IFERROR(INDEX(Skill!$AH:$AH, MATCH(DM$4, Skill!$C:$C, 0), 1), "")</f>
        <v/>
      </c>
      <c r="DN14" s="94" t="str">
        <f t="array" ref="DN14">IFERROR(INDEX(Skill!$AH:$AH, MATCH(DN$4, Skill!$C:$C, 0), 1), "")</f>
        <v/>
      </c>
      <c r="DO14" s="94" t="str">
        <f t="array" ref="DO14">IFERROR(INDEX(Skill!$AH:$AH, MATCH(DO$4, Skill!$C:$C, 0), 1), "")</f>
        <v/>
      </c>
      <c r="DP14" s="94" t="str">
        <f t="array" ref="DP14">IFERROR(INDEX(Skill!$AH:$AH, MATCH(DP$4, Skill!$C:$C, 0), 1), "")</f>
        <v/>
      </c>
      <c r="DQ14" s="94" t="str">
        <f t="array" ref="DQ14">IFERROR(INDEX(Skill!$AH:$AH, MATCH(DQ$4, Skill!$C:$C, 0), 1), "")</f>
        <v/>
      </c>
      <c r="DR14" s="94">
        <f t="array" ref="DR14">IFERROR(INDEX(Skill!$AH:$AH, MATCH(DR$4, Skill!$C:$C, 0), 1), "")</f>
        <v>1.15</v>
      </c>
      <c r="DS14" s="94" t="str">
        <f t="array" ref="DS14">IFERROR(INDEX(Skill!$AH:$AH, MATCH(DS$4, Skill!$C:$C, 0), 1), "")</f>
        <v/>
      </c>
      <c r="DT14" s="94" t="str">
        <f t="array" ref="DT14">IFERROR(INDEX(Skill!$AH:$AH, MATCH(DT$4, Skill!$C:$C, 0), 1), "")</f>
        <v/>
      </c>
      <c r="DU14" s="94" t="str">
        <f t="array" ref="DU14">IFERROR(INDEX(Skill!$AH:$AH, MATCH(DU$4, Skill!$C:$C, 0), 1), "")</f>
        <v/>
      </c>
      <c r="DV14" s="94" t="str">
        <f t="array" ref="DV14">IFERROR(INDEX(Skill!$AH:$AH, MATCH(DV$4, Skill!$C:$C, 0), 1), "")</f>
        <v/>
      </c>
      <c r="DW14" s="94" t="str">
        <f t="array" ref="DW14">IFERROR(INDEX(Skill!$AH:$AH, MATCH(DW$4, Skill!$C:$C, 0), 1), "")</f>
        <v/>
      </c>
      <c r="DX14" s="94" t="str">
        <f t="array" ref="DX14">IFERROR(INDEX(Skill!$AH:$AH, MATCH(DX$4, Skill!$C:$C, 0), 1), "")</f>
        <v/>
      </c>
      <c r="DY14" s="94" t="str">
        <f t="array" ref="DY14">IFERROR(INDEX(Skill!$AH:$AH, MATCH(DY$4, Skill!$C:$C, 0), 1), "")</f>
        <v/>
      </c>
      <c r="DZ14" s="94">
        <f t="array" ref="DZ14">IFERROR(INDEX(Skill!$AH:$AH, MATCH(DZ$4, Skill!$C:$C, 0), 1), "")</f>
        <v>1.05</v>
      </c>
      <c r="EA14" s="89" t="str">
        <f t="array" ref="EA14">IFERROR(INDEX(Skill!$AH:$AH, MATCH(EA$4, Skill!$C:$C, 0), 1), "")</f>
        <v/>
      </c>
      <c r="EB14" s="89" t="str">
        <f t="array" ref="EB14">IFERROR(INDEX(Skill!$AH:$AH, MATCH(EB$4, Skill!$C:$C, 0), 1), "")</f>
        <v/>
      </c>
      <c r="EC14" s="89" t="str">
        <f t="array" ref="EC14">IFERROR(INDEX(Skill!$AH:$AH, MATCH(EC$4, Skill!$C:$C, 0), 1), "")</f>
        <v/>
      </c>
      <c r="ED14" s="94" t="str">
        <f t="array" ref="ED14">IFERROR(INDEX(Skill!$AH:$AH, MATCH(ED$4, Skill!$C:$C, 0), 1), "")</f>
        <v/>
      </c>
      <c r="EE14" s="97"/>
      <c r="EF14" s="97"/>
      <c r="EG14" s="97"/>
      <c r="EH14" s="97"/>
      <c r="EI14" s="97"/>
      <c r="EJ14" s="97"/>
      <c r="EK14" s="97"/>
      <c r="EL14" s="97"/>
      <c r="EM14" s="97"/>
      <c r="EN14" s="97"/>
      <c r="EO14" s="97"/>
      <c r="EP14" s="97"/>
      <c r="EQ14" s="97"/>
      <c r="ER14" s="100"/>
      <c r="ES14" s="100"/>
      <c r="ET14" s="100"/>
      <c r="EU14" s="101"/>
      <c r="EV14" s="101"/>
      <c r="EW14" s="101"/>
      <c r="EX14" s="101"/>
      <c r="EY14" s="101"/>
      <c r="EZ14" s="101"/>
      <c r="FA14" s="101"/>
      <c r="FB14" s="101"/>
      <c r="FC14" s="101"/>
      <c r="FD14" s="101"/>
      <c r="FE14" s="101"/>
      <c r="FF14" s="101"/>
      <c r="FG14" s="101"/>
      <c r="FH14" s="101"/>
      <c r="FI14" s="101"/>
      <c r="FJ14" s="101"/>
      <c r="FK14" s="101"/>
      <c r="FL14" s="101"/>
      <c r="FM14" s="101"/>
      <c r="FN14" s="101"/>
      <c r="FO14" s="99"/>
    </row>
    <row r="15" hidden="1">
      <c r="A15" s="3"/>
      <c r="B15" s="90"/>
      <c r="C15" s="90"/>
      <c r="D15" s="90"/>
      <c r="E15" s="90" t="s">
        <v>1053</v>
      </c>
      <c r="F15" s="90"/>
      <c r="G15" s="90"/>
      <c r="H15" s="90"/>
      <c r="I15" s="90"/>
      <c r="J15" s="90"/>
      <c r="K15" s="94" t="str">
        <f t="array" ref="K15">IFERROR(INDEX(Skill!$AJ:$AJ, MATCH(K$4, Skill!$C:$C, 0), 1), "")</f>
        <v/>
      </c>
      <c r="L15" s="94" t="str">
        <f t="array" ref="L15">IFERROR(INDEX(Skill!$AJ:$AJ, MATCH(L$4, Skill!$C:$C, 0), 1), "")</f>
        <v/>
      </c>
      <c r="M15" s="94">
        <f t="array" ref="M15">IFERROR(INDEX(Skill!$AJ:$AJ, MATCH(M$4, Skill!$C:$C, 0), 1), "")</f>
        <v>0.1</v>
      </c>
      <c r="N15" s="94" t="str">
        <f t="array" ref="N15">IFERROR(INDEX(Skill!$AJ:$AJ, MATCH(N$4, Skill!$C:$C, 0), 1), "")</f>
        <v/>
      </c>
      <c r="O15" s="94" t="str">
        <f t="array" ref="O15">IFERROR(INDEX(Skill!$AJ:$AJ, MATCH(O$4, Skill!$C:$C, 0), 1), "")</f>
        <v/>
      </c>
      <c r="P15" s="94" t="str">
        <f t="array" ref="P15">IFERROR(INDEX(Skill!$AJ:$AJ, MATCH(P$4, Skill!$C:$C, 0), 1), "")</f>
        <v/>
      </c>
      <c r="Q15" s="94" t="str">
        <f t="array" ref="Q15">IFERROR(INDEX(Skill!$AJ:$AJ, MATCH(Q$4, Skill!$C:$C, 0), 1), "")</f>
        <v/>
      </c>
      <c r="R15" s="94" t="str">
        <f t="array" ref="R15">IFERROR(INDEX(Skill!$AJ:$AJ, MATCH(R$4, Skill!$C:$C, 0), 1), "")</f>
        <v/>
      </c>
      <c r="S15" s="94" t="str">
        <f t="array" ref="S15">IFERROR(INDEX(Skill!$AJ:$AJ, MATCH(S$4, Skill!$C:$C, 0), 1), "")</f>
        <v/>
      </c>
      <c r="T15" s="94" t="str">
        <f t="array" ref="T15">IFERROR(INDEX(Skill!$AJ:$AJ, MATCH(T$4, Skill!$C:$C, 0), 1), "")</f>
        <v/>
      </c>
      <c r="U15" s="94">
        <f t="array" ref="U15">IFERROR(INDEX(Skill!$AJ:$AJ, MATCH(U$4, Skill!$C:$C, 0), 1), "")</f>
        <v>0.15</v>
      </c>
      <c r="V15" s="94" t="str">
        <f t="array" ref="V15">IFERROR(INDEX(Skill!$AJ:$AJ, MATCH(V$4, Skill!$C:$C, 0), 1), "")</f>
        <v/>
      </c>
      <c r="W15" s="94" t="str">
        <f t="array" ref="W15">IFERROR(INDEX(Skill!$AJ:$AJ, MATCH(W$4, Skill!$C:$C, 0), 1), "")</f>
        <v/>
      </c>
      <c r="X15" s="94" t="str">
        <f t="array" ref="X15">IFERROR(INDEX(Skill!$AJ:$AJ, MATCH(X$4, Skill!$C:$C, 0), 1), "")</f>
        <v/>
      </c>
      <c r="Y15" s="94" t="str">
        <f t="array" ref="Y15">IFERROR(INDEX(Skill!$AJ:$AJ, MATCH(Y$4, Skill!$C:$C, 0), 1), "")</f>
        <v/>
      </c>
      <c r="Z15" s="94" t="str">
        <f t="array" ref="Z15">IFERROR(INDEX(Skill!$AJ:$AJ, MATCH(Z$4, Skill!$C:$C, 0), 1), "")</f>
        <v/>
      </c>
      <c r="AA15" s="94" t="str">
        <f t="array" ref="AA15">IFERROR(INDEX(Skill!$AJ:$AJ, MATCH(AA$4, Skill!$C:$C, 0), 1), "")</f>
        <v/>
      </c>
      <c r="AB15" s="94" t="str">
        <f t="array" ref="AB15">IFERROR(INDEX(Skill!$AJ:$AJ, MATCH(AB$4, Skill!$C:$C, 0), 1), "")</f>
        <v/>
      </c>
      <c r="AC15" s="94" t="str">
        <f t="array" ref="AC15">IFERROR(INDEX(Skill!$AJ:$AJ, MATCH(AC$4, Skill!$C:$C, 0), 1), "")</f>
        <v/>
      </c>
      <c r="AD15" s="94" t="str">
        <f t="array" ref="AD15">IFERROR(INDEX(Skill!$AJ:$AJ, MATCH(AD$4, Skill!$C:$C, 0), 1), "")</f>
        <v/>
      </c>
      <c r="AE15" s="94">
        <f t="array" ref="AE15">IFERROR(INDEX(Skill!$AJ:$AJ, MATCH(AE$4, Skill!$C:$C, 0), 1), "")</f>
        <v>0.25</v>
      </c>
      <c r="AF15" s="94" t="str">
        <f t="array" ref="AF15">IFERROR(INDEX(Skill!$AJ:$AJ, MATCH(AF$4, Skill!$C:$C, 0), 1), "")</f>
        <v/>
      </c>
      <c r="AG15" s="94" t="str">
        <f t="array" ref="AG15">IFERROR(INDEX(Skill!$AJ:$AJ, MATCH(AG$4, Skill!$C:$C, 0), 1), "")</f>
        <v/>
      </c>
      <c r="AH15" s="94" t="str">
        <f t="array" ref="AH15">IFERROR(INDEX(Skill!$AJ:$AJ, MATCH(AH$4, Skill!$C:$C, 0), 1), "")</f>
        <v/>
      </c>
      <c r="AI15" s="94" t="str">
        <f t="array" ref="AI15">IFERROR(INDEX(Skill!$AJ:$AJ, MATCH(AI$4, Skill!$C:$C, 0), 1), "")</f>
        <v/>
      </c>
      <c r="AJ15" s="94" t="str">
        <f t="array" ref="AJ15">IFERROR(INDEX(Skill!$AJ:$AJ, MATCH(AJ$4, Skill!$C:$C, 0), 1), "")</f>
        <v/>
      </c>
      <c r="AK15" s="94" t="str">
        <f t="array" ref="AK15">IFERROR(INDEX(Skill!$AJ:$AJ, MATCH(AK$4, Skill!$C:$C, 0), 1), "")</f>
        <v/>
      </c>
      <c r="AL15" s="94" t="str">
        <f t="array" ref="AL15">IFERROR(INDEX(Skill!$AJ:$AJ, MATCH(AL$4, Skill!$C:$C, 0), 1), "")</f>
        <v/>
      </c>
      <c r="AM15" s="94" t="str">
        <f t="array" ref="AM15">IFERROR(INDEX(Skill!$AJ:$AJ, MATCH(AM$4, Skill!$C:$C, 0), 1), "")</f>
        <v/>
      </c>
      <c r="AN15" s="94" t="str">
        <f t="array" ref="AN15">IFERROR(INDEX(Skill!$AJ:$AJ, MATCH(AN$4, Skill!$C:$C, 0), 1), "")</f>
        <v/>
      </c>
      <c r="AO15" s="94" t="str">
        <f t="array" ref="AO15">IFERROR(INDEX(Skill!$AJ:$AJ, MATCH(AO$4, Skill!$C:$C, 0), 1), "")</f>
        <v/>
      </c>
      <c r="AP15" s="94" t="str">
        <f t="array" ref="AP15">IFERROR(INDEX(Skill!$AJ:$AJ, MATCH(AP$4, Skill!$C:$C, 0), 1), "")</f>
        <v/>
      </c>
      <c r="AQ15" s="94" t="str">
        <f t="array" ref="AQ15">IFERROR(INDEX(Skill!$AJ:$AJ, MATCH(AQ$4, Skill!$C:$C, 0), 1), "")</f>
        <v/>
      </c>
      <c r="AR15" s="94" t="str">
        <f t="array" ref="AR15">IFERROR(INDEX(Skill!$AJ:$AJ, MATCH(AR$4, Skill!$C:$C, 0), 1), "")</f>
        <v/>
      </c>
      <c r="AS15" s="94" t="str">
        <f t="array" ref="AS15">IFERROR(INDEX(Skill!$AJ:$AJ, MATCH(AS$4, Skill!$C:$C, 0), 1), "")</f>
        <v/>
      </c>
      <c r="AT15" s="94" t="str">
        <f t="array" ref="AT15">IFERROR(INDEX(Skill!$AJ:$AJ, MATCH(AT$4, Skill!$C:$C, 0), 1), "")</f>
        <v/>
      </c>
      <c r="AU15" s="94" t="str">
        <f t="array" ref="AU15">IFERROR(INDEX(Skill!$AJ:$AJ, MATCH(AU$4, Skill!$C:$C, 0), 1), "")</f>
        <v/>
      </c>
      <c r="AV15" s="94" t="str">
        <f t="array" ref="AV15">IFERROR(INDEX(Skill!$AJ:$AJ, MATCH(AV$4, Skill!$C:$C, 0), 1), "")</f>
        <v/>
      </c>
      <c r="AW15" s="94" t="str">
        <f t="array" ref="AW15">IFERROR(INDEX(Skill!$AJ:$AJ, MATCH(AW$4, Skill!$C:$C, 0), 1), "")</f>
        <v/>
      </c>
      <c r="AX15" s="94" t="str">
        <f t="array" ref="AX15">IFERROR(INDEX(Skill!$AJ:$AJ, MATCH(AX$4, Skill!$C:$C, 0), 1), "")</f>
        <v/>
      </c>
      <c r="AY15" s="94" t="str">
        <f t="array" ref="AY15">IFERROR(INDEX(Skill!$AJ:$AJ, MATCH(AY$4, Skill!$C:$C, 0), 1), "")</f>
        <v/>
      </c>
      <c r="AZ15" s="94" t="str">
        <f t="array" ref="AZ15">IFERROR(INDEX(Skill!$AJ:$AJ, MATCH(AZ$4, Skill!$C:$C, 0), 1), "")</f>
        <v/>
      </c>
      <c r="BA15" s="94" t="str">
        <f t="array" ref="BA15">IFERROR(INDEX(Skill!$AJ:$AJ, MATCH(BA$4, Skill!$C:$C, 0), 1), "")</f>
        <v/>
      </c>
      <c r="BB15" s="94" t="str">
        <f t="array" ref="BB15">IFERROR(INDEX(Skill!$AJ:$AJ, MATCH(BB$4, Skill!$C:$C, 0), 1), "")</f>
        <v/>
      </c>
      <c r="BC15" s="94" t="str">
        <f t="array" ref="BC15">IFERROR(INDEX(Skill!$AJ:$AJ, MATCH(BC$4, Skill!$C:$C, 0), 1), "")</f>
        <v/>
      </c>
      <c r="BD15" s="94" t="str">
        <f t="array" ref="BD15">IFERROR(INDEX(Skill!$AJ:$AJ, MATCH(BD$4, Skill!$C:$C, 0), 1), "")</f>
        <v/>
      </c>
      <c r="BE15" s="94" t="str">
        <f t="array" ref="BE15">IFERROR(INDEX(Skill!$AJ:$AJ, MATCH(BE$4, Skill!$C:$C, 0), 1), "")</f>
        <v/>
      </c>
      <c r="BF15" s="94" t="str">
        <f t="array" ref="BF15">IFERROR(INDEX(Skill!$AJ:$AJ, MATCH(BF$4, Skill!$C:$C, 0), 1), "")</f>
        <v/>
      </c>
      <c r="BG15" s="94" t="str">
        <f t="array" ref="BG15">IFERROR(INDEX(Skill!$AJ:$AJ, MATCH(BG$4, Skill!$C:$C, 0), 1), "")</f>
        <v/>
      </c>
      <c r="BH15" s="94" t="str">
        <f t="array" ref="BH15">IFERROR(INDEX(Skill!$AJ:$AJ, MATCH(BH$4, Skill!$C:$C, 0), 1), "")</f>
        <v/>
      </c>
      <c r="BI15" s="94" t="str">
        <f t="array" ref="BI15">IFERROR(INDEX(Skill!$AJ:$AJ, MATCH(BI$4, Skill!$C:$C, 0), 1), "")</f>
        <v/>
      </c>
      <c r="BJ15" s="94" t="str">
        <f t="array" ref="BJ15">IFERROR(INDEX(Skill!$AJ:$AJ, MATCH(BJ$4, Skill!$C:$C, 0), 1), "")</f>
        <v/>
      </c>
      <c r="BK15" s="94" t="str">
        <f t="array" ref="BK15">IFERROR(INDEX(Skill!$AJ:$AJ, MATCH(BK$4, Skill!$C:$C, 0), 1), "")</f>
        <v/>
      </c>
      <c r="BL15" s="94" t="str">
        <f t="array" ref="BL15">IFERROR(INDEX(Skill!$AJ:$AJ, MATCH(BL$4, Skill!$C:$C, 0), 1), "")</f>
        <v/>
      </c>
      <c r="BM15" s="94" t="str">
        <f t="array" ref="BM15">IFERROR(INDEX(Skill!$AJ:$AJ, MATCH(BM$4, Skill!$C:$C, 0), 1), "")</f>
        <v/>
      </c>
      <c r="BN15" s="94" t="str">
        <f t="array" ref="BN15">IFERROR(INDEX(Skill!$AJ:$AJ, MATCH(BN$4, Skill!$C:$C, 0), 1), "")</f>
        <v/>
      </c>
      <c r="BO15" s="94" t="str">
        <f t="array" ref="BO15">IFERROR(INDEX(Skill!$AJ:$AJ, MATCH(BO$4, Skill!$C:$C, 0), 1), "")</f>
        <v/>
      </c>
      <c r="BP15" s="94" t="str">
        <f t="array" ref="BP15">IFERROR(INDEX(Skill!$AJ:$AJ, MATCH(BP$4, Skill!$C:$C, 0), 1), "")</f>
        <v/>
      </c>
      <c r="BQ15" s="94" t="str">
        <f t="array" ref="BQ15">IFERROR(INDEX(Skill!$AJ:$AJ, MATCH(BQ$4, Skill!$C:$C, 0), 1), "")</f>
        <v/>
      </c>
      <c r="BR15" s="94" t="str">
        <f t="array" ref="BR15">IFERROR(INDEX(Skill!$AJ:$AJ, MATCH(BR$4, Skill!$C:$C, 0), 1), "")</f>
        <v/>
      </c>
      <c r="BS15" s="94" t="str">
        <f t="array" ref="BS15">IFERROR(INDEX(Skill!$AJ:$AJ, MATCH(BS$4, Skill!$C:$C, 0), 1), "")</f>
        <v/>
      </c>
      <c r="BT15" s="94" t="str">
        <f t="array" ref="BT15">IFERROR(INDEX(Skill!$AJ:$AJ, MATCH(BT$4, Skill!$C:$C, 0), 1), "")</f>
        <v/>
      </c>
      <c r="BU15" s="94" t="str">
        <f t="array" ref="BU15">IFERROR(INDEX(Skill!$AJ:$AJ, MATCH(BU$4, Skill!$C:$C, 0), 1), "")</f>
        <v/>
      </c>
      <c r="BV15" s="94" t="str">
        <f t="array" ref="BV15">IFERROR(INDEX(Skill!$AJ:$AJ, MATCH(BV$4, Skill!$C:$C, 0), 1), "")</f>
        <v/>
      </c>
      <c r="BW15" s="94" t="str">
        <f t="array" ref="BW15">IFERROR(INDEX(Skill!$AJ:$AJ, MATCH(BW$4, Skill!$C:$C, 0), 1), "")</f>
        <v/>
      </c>
      <c r="BX15" s="94" t="str">
        <f t="array" ref="BX15">IFERROR(INDEX(Skill!$AJ:$AJ, MATCH(BX$4, Skill!$C:$C, 0), 1), "")</f>
        <v/>
      </c>
      <c r="BY15" s="94" t="str">
        <f t="array" ref="BY15">IFERROR(INDEX(Skill!$AJ:$AJ, MATCH(BY$4, Skill!$C:$C, 0), 1), "")</f>
        <v/>
      </c>
      <c r="BZ15" s="94" t="str">
        <f t="array" ref="BZ15">IFERROR(INDEX(Skill!$AJ:$AJ, MATCH(BZ$4, Skill!$C:$C, 0), 1), "")</f>
        <v/>
      </c>
      <c r="CA15" s="94" t="str">
        <f t="array" ref="CA15">IFERROR(INDEX(Skill!$AJ:$AJ, MATCH(CA$4, Skill!$C:$C, 0), 1), "")</f>
        <v/>
      </c>
      <c r="CB15" s="94" t="str">
        <f t="array" ref="CB15">IFERROR(INDEX(Skill!$AJ:$AJ, MATCH(CB$4, Skill!$C:$C, 0), 1), "")</f>
        <v/>
      </c>
      <c r="CC15" s="94" t="str">
        <f t="array" ref="CC15">IFERROR(INDEX(Skill!$AJ:$AJ, MATCH(CC$4, Skill!$C:$C, 0), 1), "")</f>
        <v/>
      </c>
      <c r="CD15" s="94" t="str">
        <f t="array" ref="CD15">IFERROR(INDEX(Skill!$AJ:$AJ, MATCH(CD$4, Skill!$C:$C, 0), 1), "")</f>
        <v/>
      </c>
      <c r="CE15" s="94" t="str">
        <f t="array" ref="CE15">IFERROR(INDEX(Skill!$AJ:$AJ, MATCH(CE$4, Skill!$C:$C, 0), 1), "")</f>
        <v/>
      </c>
      <c r="CF15" s="94" t="str">
        <f t="array" ref="CF15">IFERROR(INDEX(Skill!$AJ:$AJ, MATCH(CF$4, Skill!$C:$C, 0), 1), "")</f>
        <v/>
      </c>
      <c r="CG15" s="94" t="str">
        <f t="array" ref="CG15">IFERROR(INDEX(Skill!$AJ:$AJ, MATCH(CG$4, Skill!$C:$C, 0), 1), "")</f>
        <v/>
      </c>
      <c r="CH15" s="94" t="str">
        <f t="array" ref="CH15">IFERROR(INDEX(Skill!$AJ:$AJ, MATCH(CH$4, Skill!$C:$C, 0), 1), "")</f>
        <v/>
      </c>
      <c r="CI15" s="94" t="str">
        <f t="array" ref="CI15">IFERROR(INDEX(Skill!$AJ:$AJ, MATCH(CI$4, Skill!$C:$C, 0), 1), "")</f>
        <v/>
      </c>
      <c r="CJ15" s="94" t="str">
        <f t="array" ref="CJ15">IFERROR(INDEX(Skill!$AJ:$AJ, MATCH(CJ$4, Skill!$C:$C, 0), 1), "")</f>
        <v/>
      </c>
      <c r="CK15" s="94" t="str">
        <f t="array" ref="CK15">IFERROR(INDEX(Skill!$AJ:$AJ, MATCH(CK$4, Skill!$C:$C, 0), 1), "")</f>
        <v/>
      </c>
      <c r="CL15" s="94" t="str">
        <f t="array" ref="CL15">IFERROR(INDEX(Skill!$AJ:$AJ, MATCH(CL$4, Skill!$C:$C, 0), 1), "")</f>
        <v/>
      </c>
      <c r="CM15" s="94" t="str">
        <f t="array" ref="CM15">IFERROR(INDEX(Skill!$AJ:$AJ, MATCH(CM$4, Skill!$C:$C, 0), 1), "")</f>
        <v/>
      </c>
      <c r="CN15" s="94" t="str">
        <f t="array" ref="CN15">IFERROR(INDEX(Skill!$AJ:$AJ, MATCH(CN$4, Skill!$C:$C, 0), 1), "")</f>
        <v/>
      </c>
      <c r="CO15" s="94" t="str">
        <f t="array" ref="CO15">IFERROR(INDEX(Skill!$AJ:$AJ, MATCH(CO$4, Skill!$C:$C, 0), 1), "")</f>
        <v/>
      </c>
      <c r="CP15" s="94" t="str">
        <f t="array" ref="CP15">IFERROR(INDEX(Skill!$AJ:$AJ, MATCH(CP$4, Skill!$C:$C, 0), 1), "")</f>
        <v/>
      </c>
      <c r="CQ15" s="94" t="str">
        <f t="array" ref="CQ15">IFERROR(INDEX(Skill!$AJ:$AJ, MATCH(CQ$4, Skill!$C:$C, 0), 1), "")</f>
        <v/>
      </c>
      <c r="CR15" s="94" t="str">
        <f t="array" ref="CR15">IFERROR(INDEX(Skill!$AJ:$AJ, MATCH(CR$4, Skill!$C:$C, 0), 1), "")</f>
        <v/>
      </c>
      <c r="CS15" s="94" t="str">
        <f t="array" ref="CS15">IFERROR(INDEX(Skill!$AJ:$AJ, MATCH(CS$4, Skill!$C:$C, 0), 1), "")</f>
        <v/>
      </c>
      <c r="CT15" s="94" t="str">
        <f t="array" ref="CT15">IFERROR(INDEX(Skill!$AJ:$AJ, MATCH(CT$4, Skill!$C:$C, 0), 1), "")</f>
        <v/>
      </c>
      <c r="CU15" s="94" t="str">
        <f t="array" ref="CU15">IFERROR(INDEX(Skill!$AJ:$AJ, MATCH(CU$4, Skill!$C:$C, 0), 1), "")</f>
        <v/>
      </c>
      <c r="CV15" s="94" t="str">
        <f t="array" ref="CV15">IFERROR(INDEX(Skill!$AJ:$AJ, MATCH(CV$4, Skill!$C:$C, 0), 1), "")</f>
        <v/>
      </c>
      <c r="CW15" s="94" t="str">
        <f t="array" ref="CW15">IFERROR(INDEX(Skill!$AJ:$AJ, MATCH(CW$4, Skill!$C:$C, 0), 1), "")</f>
        <v/>
      </c>
      <c r="CX15" s="94" t="str">
        <f t="array" ref="CX15">IFERROR(INDEX(Skill!$AJ:$AJ, MATCH(CX$4, Skill!$C:$C, 0), 1), "")</f>
        <v/>
      </c>
      <c r="CY15" s="94" t="str">
        <f t="array" ref="CY15">IFERROR(INDEX(Skill!$AJ:$AJ, MATCH(CY$4, Skill!$C:$C, 0), 1), "")</f>
        <v/>
      </c>
      <c r="CZ15" s="94" t="str">
        <f t="array" ref="CZ15">IFERROR(INDEX(Skill!$AJ:$AJ, MATCH(CZ$4, Skill!$C:$C, 0), 1), "")</f>
        <v/>
      </c>
      <c r="DA15" s="94" t="str">
        <f t="array" ref="DA15">IFERROR(INDEX(Skill!$AJ:$AJ, MATCH(DA$4, Skill!$C:$C, 0), 1), "")</f>
        <v/>
      </c>
      <c r="DB15" s="94" t="str">
        <f t="array" ref="DB15">IFERROR(INDEX(Skill!$AJ:$AJ, MATCH(DB$4, Skill!$C:$C, 0), 1), "")</f>
        <v/>
      </c>
      <c r="DC15" s="94" t="str">
        <f t="array" ref="DC15">IFERROR(INDEX(Skill!$AJ:$AJ, MATCH(DC$4, Skill!$C:$C, 0), 1), "")</f>
        <v/>
      </c>
      <c r="DD15" s="94" t="str">
        <f t="array" ref="DD15">IFERROR(INDEX(Skill!$AJ:$AJ, MATCH(DD$4, Skill!$C:$C, 0), 1), "")</f>
        <v/>
      </c>
      <c r="DE15" s="94" t="str">
        <f t="array" ref="DE15">IFERROR(INDEX(Skill!$AJ:$AJ, MATCH(DE$4, Skill!$C:$C, 0), 1), "")</f>
        <v/>
      </c>
      <c r="DF15" s="94" t="str">
        <f t="array" ref="DF15">IFERROR(INDEX(Skill!$AJ:$AJ, MATCH(DF$4, Skill!$C:$C, 0), 1), "")</f>
        <v/>
      </c>
      <c r="DG15" s="94" t="str">
        <f t="array" ref="DG15">IFERROR(INDEX(Skill!$AJ:$AJ, MATCH(DG$4, Skill!$C:$C, 0), 1), "")</f>
        <v/>
      </c>
      <c r="DH15" s="94" t="str">
        <f t="array" ref="DH15">IFERROR(INDEX(Skill!$AJ:$AJ, MATCH(DH$4, Skill!$C:$C, 0), 1), "")</f>
        <v/>
      </c>
      <c r="DI15" s="94" t="str">
        <f t="array" ref="DI15">IFERROR(INDEX(Skill!$AJ:$AJ, MATCH(DI$4, Skill!$C:$C, 0), 1), "")</f>
        <v/>
      </c>
      <c r="DJ15" s="94" t="str">
        <f t="array" ref="DJ15">IFERROR(INDEX(Skill!$AJ:$AJ, MATCH(DJ$4, Skill!$C:$C, 0), 1), "")</f>
        <v/>
      </c>
      <c r="DK15" s="94" t="str">
        <f t="array" ref="DK15">IFERROR(INDEX(Skill!$AJ:$AJ, MATCH(DK$4, Skill!$C:$C, 0), 1), "")</f>
        <v/>
      </c>
      <c r="DL15" s="94" t="str">
        <f t="array" ref="DL15">IFERROR(INDEX(Skill!$AJ:$AJ, MATCH(DL$4, Skill!$C:$C, 0), 1), "")</f>
        <v/>
      </c>
      <c r="DM15" s="94" t="str">
        <f t="array" ref="DM15">IFERROR(INDEX(Skill!$AJ:$AJ, MATCH(DM$4, Skill!$C:$C, 0), 1), "")</f>
        <v/>
      </c>
      <c r="DN15" s="94" t="str">
        <f t="array" ref="DN15">IFERROR(INDEX(Skill!$AJ:$AJ, MATCH(DN$4, Skill!$C:$C, 0), 1), "")</f>
        <v/>
      </c>
      <c r="DO15" s="94" t="str">
        <f t="array" ref="DO15">IFERROR(INDEX(Skill!$AJ:$AJ, MATCH(DO$4, Skill!$C:$C, 0), 1), "")</f>
        <v/>
      </c>
      <c r="DP15" s="94" t="str">
        <f t="array" ref="DP15">IFERROR(INDEX(Skill!$AJ:$AJ, MATCH(DP$4, Skill!$C:$C, 0), 1), "")</f>
        <v/>
      </c>
      <c r="DQ15" s="94" t="str">
        <f t="array" ref="DQ15">IFERROR(INDEX(Skill!$AJ:$AJ, MATCH(DQ$4, Skill!$C:$C, 0), 1), "")</f>
        <v/>
      </c>
      <c r="DR15" s="94" t="str">
        <f t="array" ref="DR15">IFERROR(INDEX(Skill!$AJ:$AJ, MATCH(DR$4, Skill!$C:$C, 0), 1), "")</f>
        <v/>
      </c>
      <c r="DS15" s="94" t="str">
        <f t="array" ref="DS15">IFERROR(INDEX(Skill!$AJ:$AJ, MATCH(DS$4, Skill!$C:$C, 0), 1), "")</f>
        <v/>
      </c>
      <c r="DT15" s="94" t="str">
        <f t="array" ref="DT15">IFERROR(INDEX(Skill!$AJ:$AJ, MATCH(DT$4, Skill!$C:$C, 0), 1), "")</f>
        <v/>
      </c>
      <c r="DU15" s="94" t="str">
        <f t="array" ref="DU15">IFERROR(INDEX(Skill!$AJ:$AJ, MATCH(DU$4, Skill!$C:$C, 0), 1), "")</f>
        <v/>
      </c>
      <c r="DV15" s="94">
        <f t="array" ref="DV15">IFERROR(INDEX(Skill!$AJ:$AJ, MATCH(DV$4, Skill!$C:$C, 0), 1), "")</f>
        <v>0.05</v>
      </c>
      <c r="DW15" s="94" t="str">
        <f t="array" ref="DW15">IFERROR(INDEX(Skill!$AJ:$AJ, MATCH(DW$4, Skill!$C:$C, 0), 1), "")</f>
        <v/>
      </c>
      <c r="DX15" s="94" t="str">
        <f t="array" ref="DX15">IFERROR(INDEX(Skill!$AJ:$AJ, MATCH(DX$4, Skill!$C:$C, 0), 1), "")</f>
        <v/>
      </c>
      <c r="DY15" s="94" t="str">
        <f t="array" ref="DY15">IFERROR(INDEX(Skill!$AJ:$AJ, MATCH(DY$4, Skill!$C:$C, 0), 1), "")</f>
        <v/>
      </c>
      <c r="DZ15" s="94" t="str">
        <f t="array" ref="DZ15">IFERROR(INDEX(Skill!$AJ:$AJ, MATCH(DZ$4, Skill!$C:$C, 0), 1), "")</f>
        <v/>
      </c>
      <c r="EA15" s="89" t="str">
        <f t="array" ref="EA15">IFERROR(INDEX(Skill!$AJ:$AJ, MATCH(EA$4, Skill!$C:$C, 0), 1), "")</f>
        <v/>
      </c>
      <c r="EB15" s="89" t="str">
        <f t="array" ref="EB15">IFERROR(INDEX(Skill!$AJ:$AJ, MATCH(EB$4, Skill!$C:$C, 0), 1), "")</f>
        <v/>
      </c>
      <c r="EC15" s="89">
        <f t="array" ref="EC15">IFERROR(INDEX(Skill!$AJ:$AJ, MATCH(EC$4, Skill!$C:$C, 0), 1), "")</f>
        <v>0.1</v>
      </c>
      <c r="ED15" s="94" t="str">
        <f t="array" ref="ED15">IFERROR(INDEX(Skill!$AJ:$AJ, MATCH(ED$4, Skill!$C:$C, 0), 1), "")</f>
        <v/>
      </c>
      <c r="EE15" s="97"/>
      <c r="EF15" s="97"/>
      <c r="EG15" s="97"/>
      <c r="EH15" s="97"/>
      <c r="EI15" s="97"/>
      <c r="EJ15" s="97"/>
      <c r="EK15" s="97"/>
      <c r="EL15" s="97"/>
      <c r="EM15" s="97"/>
      <c r="EN15" s="97"/>
      <c r="EO15" s="97"/>
      <c r="EP15" s="97"/>
      <c r="EQ15" s="97"/>
      <c r="ER15" s="100"/>
      <c r="ES15" s="100"/>
      <c r="ET15" s="100"/>
      <c r="EU15" s="101"/>
      <c r="EV15" s="101"/>
      <c r="EW15" s="101"/>
      <c r="EX15" s="101"/>
      <c r="EY15" s="101"/>
      <c r="EZ15" s="101"/>
      <c r="FA15" s="101"/>
      <c r="FB15" s="101"/>
      <c r="FC15" s="101"/>
      <c r="FD15" s="101"/>
      <c r="FE15" s="101"/>
      <c r="FF15" s="101"/>
      <c r="FG15" s="101"/>
      <c r="FH15" s="101"/>
      <c r="FI15" s="101"/>
      <c r="FJ15" s="101"/>
      <c r="FK15" s="101"/>
      <c r="FL15" s="101"/>
      <c r="FM15" s="101"/>
      <c r="FN15" s="101"/>
      <c r="FO15" s="99"/>
    </row>
    <row r="16" hidden="1">
      <c r="B16" s="84"/>
      <c r="C16" s="83"/>
      <c r="D16" s="83"/>
      <c r="E16" s="84" t="s">
        <v>1043</v>
      </c>
      <c r="F16" s="84"/>
      <c r="G16" s="84"/>
      <c r="H16" s="84"/>
      <c r="I16" s="84"/>
      <c r="J16" s="84"/>
      <c r="K16" s="94" t="str">
        <f t="array" ref="K16">IFERROR(INDEX(Skill!$AP:$AP, MATCH(K$4, Skill!$C:$C, 0), 1), "")</f>
        <v/>
      </c>
      <c r="L16" s="94" t="str">
        <f t="array" ref="L16">IFERROR(INDEX(Skill!$AP:$AP, MATCH(L$4, Skill!$C:$C, 0), 1), "")</f>
        <v/>
      </c>
      <c r="M16" s="94" t="str">
        <f t="array" ref="M16">IFERROR(INDEX(Skill!$AP:$AP, MATCH(M$4, Skill!$C:$C, 0), 1), "")</f>
        <v/>
      </c>
      <c r="N16" s="94" t="str">
        <f t="array" ref="N16">IFERROR(INDEX(Skill!$AP:$AP, MATCH(N$4, Skill!$C:$C, 0), 1), "")</f>
        <v/>
      </c>
      <c r="O16" s="94" t="str">
        <f t="array" ref="O16">IFERROR(INDEX(Skill!$AP:$AP, MATCH(O$4, Skill!$C:$C, 0), 1), "")</f>
        <v/>
      </c>
      <c r="P16" s="94" t="str">
        <f t="array" ref="P16">IFERROR(INDEX(Skill!$AP:$AP, MATCH(P$4, Skill!$C:$C, 0), 1), "")</f>
        <v/>
      </c>
      <c r="Q16" s="94">
        <f t="array" ref="Q16">IFERROR(INDEX(Skill!$AP:$AP, MATCH(Q$4, Skill!$C:$C, 0), 1), "")</f>
        <v>1000</v>
      </c>
      <c r="R16" s="94" t="str">
        <f t="array" ref="R16">IFERROR(INDEX(Skill!$AP:$AP, MATCH(R$4, Skill!$C:$C, 0), 1), "")</f>
        <v/>
      </c>
      <c r="S16" s="94" t="str">
        <f t="array" ref="S16">IFERROR(INDEX(Skill!$AP:$AP, MATCH(S$4, Skill!$C:$C, 0), 1), "")</f>
        <v/>
      </c>
      <c r="T16" s="94" t="str">
        <f t="array" ref="T16">IFERROR(INDEX(Skill!$AP:$AP, MATCH(T$4, Skill!$C:$C, 0), 1), "")</f>
        <v/>
      </c>
      <c r="U16" s="94" t="str">
        <f t="array" ref="U16">IFERROR(INDEX(Skill!$AP:$AP, MATCH(U$4, Skill!$C:$C, 0), 1), "")</f>
        <v/>
      </c>
      <c r="V16" s="94" t="str">
        <f t="array" ref="V16">IFERROR(INDEX(Skill!$AP:$AP, MATCH(V$4, Skill!$C:$C, 0), 1), "")</f>
        <v/>
      </c>
      <c r="W16" s="94" t="str">
        <f t="array" ref="W16">IFERROR(INDEX(Skill!$AP:$AP, MATCH(W$4, Skill!$C:$C, 0), 1), "")</f>
        <v/>
      </c>
      <c r="X16" s="94" t="str">
        <f t="array" ref="X16">IFERROR(INDEX(Skill!$AP:$AP, MATCH(X$4, Skill!$C:$C, 0), 1), "")</f>
        <v/>
      </c>
      <c r="Y16" s="94" t="str">
        <f t="array" ref="Y16">IFERROR(INDEX(Skill!$AP:$AP, MATCH(Y$4, Skill!$C:$C, 0), 1), "")</f>
        <v/>
      </c>
      <c r="Z16" s="94" t="str">
        <f t="array" ref="Z16">IFERROR(INDEX(Skill!$AP:$AP, MATCH(Z$4, Skill!$C:$C, 0), 1), "")</f>
        <v/>
      </c>
      <c r="AA16" s="94" t="str">
        <f t="array" ref="AA16">IFERROR(INDEX(Skill!$AP:$AP, MATCH(AA$4, Skill!$C:$C, 0), 1), "")</f>
        <v/>
      </c>
      <c r="AB16" s="94" t="str">
        <f t="array" ref="AB16">IFERROR(INDEX(Skill!$AP:$AP, MATCH(AB$4, Skill!$C:$C, 0), 1), "")</f>
        <v/>
      </c>
      <c r="AC16" s="94" t="str">
        <f t="array" ref="AC16">IFERROR(INDEX(Skill!$AP:$AP, MATCH(AC$4, Skill!$C:$C, 0), 1), "")</f>
        <v/>
      </c>
      <c r="AD16" s="94" t="str">
        <f t="array" ref="AD16">IFERROR(INDEX(Skill!$AP:$AP, MATCH(AD$4, Skill!$C:$C, 0), 1), "")</f>
        <v/>
      </c>
      <c r="AE16" s="94" t="str">
        <f t="array" ref="AE16">IFERROR(INDEX(Skill!$AP:$AP, MATCH(AE$4, Skill!$C:$C, 0), 1), "")</f>
        <v/>
      </c>
      <c r="AF16" s="94" t="str">
        <f t="array" ref="AF16">IFERROR(INDEX(Skill!$AP:$AP, MATCH(AF$4, Skill!$C:$C, 0), 1), "")</f>
        <v/>
      </c>
      <c r="AG16" s="94" t="str">
        <f t="array" ref="AG16">IFERROR(INDEX(Skill!$AP:$AP, MATCH(AG$4, Skill!$C:$C, 0), 1), "")</f>
        <v/>
      </c>
      <c r="AH16" s="94" t="str">
        <f t="array" ref="AH16">IFERROR(INDEX(Skill!$AP:$AP, MATCH(AH$4, Skill!$C:$C, 0), 1), "")</f>
        <v/>
      </c>
      <c r="AI16" s="94" t="str">
        <f t="array" ref="AI16">IFERROR(INDEX(Skill!$AP:$AP, MATCH(AI$4, Skill!$C:$C, 0), 1), "")</f>
        <v/>
      </c>
      <c r="AJ16" s="94" t="str">
        <f t="array" ref="AJ16">IFERROR(INDEX(Skill!$AP:$AP, MATCH(AJ$4, Skill!$C:$C, 0), 1), "")</f>
        <v/>
      </c>
      <c r="AK16" s="94" t="str">
        <f t="array" ref="AK16">IFERROR(INDEX(Skill!$AP:$AP, MATCH(AK$4, Skill!$C:$C, 0), 1), "")</f>
        <v/>
      </c>
      <c r="AL16" s="94" t="str">
        <f t="array" ref="AL16">IFERROR(INDEX(Skill!$AP:$AP, MATCH(AL$4, Skill!$C:$C, 0), 1), "")</f>
        <v/>
      </c>
      <c r="AM16" s="94" t="str">
        <f t="array" ref="AM16">IFERROR(INDEX(Skill!$AP:$AP, MATCH(AM$4, Skill!$C:$C, 0), 1), "")</f>
        <v/>
      </c>
      <c r="AN16" s="94" t="str">
        <f t="array" ref="AN16">IFERROR(INDEX(Skill!$AP:$AP, MATCH(AN$4, Skill!$C:$C, 0), 1), "")</f>
        <v/>
      </c>
      <c r="AO16" s="94" t="str">
        <f t="array" ref="AO16">IFERROR(INDEX(Skill!$AP:$AP, MATCH(AO$4, Skill!$C:$C, 0), 1), "")</f>
        <v/>
      </c>
      <c r="AP16" s="94" t="str">
        <f t="array" ref="AP16">IFERROR(INDEX(Skill!$AP:$AP, MATCH(AP$4, Skill!$C:$C, 0), 1), "")</f>
        <v/>
      </c>
      <c r="AQ16" s="94" t="str">
        <f t="array" ref="AQ16">IFERROR(INDEX(Skill!$AP:$AP, MATCH(AQ$4, Skill!$C:$C, 0), 1), "")</f>
        <v/>
      </c>
      <c r="AR16" s="94" t="str">
        <f t="array" ref="AR16">IFERROR(INDEX(Skill!$AP:$AP, MATCH(AR$4, Skill!$C:$C, 0), 1), "")</f>
        <v/>
      </c>
      <c r="AS16" s="94" t="str">
        <f t="array" ref="AS16">IFERROR(INDEX(Skill!$AP:$AP, MATCH(AS$4, Skill!$C:$C, 0), 1), "")</f>
        <v/>
      </c>
      <c r="AT16" s="94">
        <f t="array" ref="AT16">IFERROR(INDEX(Skill!$AP:$AP, MATCH(AT$4, Skill!$C:$C, 0), 1), "")</f>
        <v>400</v>
      </c>
      <c r="AU16" s="94" t="str">
        <f t="array" ref="AU16">IFERROR(INDEX(Skill!$AP:$AP, MATCH(AU$4, Skill!$C:$C, 0), 1), "")</f>
        <v/>
      </c>
      <c r="AV16" s="94" t="str">
        <f t="array" ref="AV16">IFERROR(INDEX(Skill!$AP:$AP, MATCH(AV$4, Skill!$C:$C, 0), 1), "")</f>
        <v/>
      </c>
      <c r="AW16" s="94" t="str">
        <f t="array" ref="AW16">IFERROR(INDEX(Skill!$AP:$AP, MATCH(AW$4, Skill!$C:$C, 0), 1), "")</f>
        <v/>
      </c>
      <c r="AX16" s="94" t="str">
        <f t="array" ref="AX16">IFERROR(INDEX(Skill!$AP:$AP, MATCH(AX$4, Skill!$C:$C, 0), 1), "")</f>
        <v/>
      </c>
      <c r="AY16" s="94" t="str">
        <f t="array" ref="AY16">IFERROR(INDEX(Skill!$AP:$AP, MATCH(AY$4, Skill!$C:$C, 0), 1), "")</f>
        <v/>
      </c>
      <c r="AZ16" s="94">
        <f t="array" ref="AZ16">IFERROR(INDEX(Skill!$AP:$AP, MATCH(AZ$4, Skill!$C:$C, 0), 1), "")</f>
        <v>500</v>
      </c>
      <c r="BA16" s="94" t="str">
        <f t="array" ref="BA16">IFERROR(INDEX(Skill!$AP:$AP, MATCH(BA$4, Skill!$C:$C, 0), 1), "")</f>
        <v/>
      </c>
      <c r="BB16" s="94" t="str">
        <f t="array" ref="BB16">IFERROR(INDEX(Skill!$AP:$AP, MATCH(BB$4, Skill!$C:$C, 0), 1), "")</f>
        <v/>
      </c>
      <c r="BC16" s="94" t="str">
        <f t="array" ref="BC16">IFERROR(INDEX(Skill!$AP:$AP, MATCH(BC$4, Skill!$C:$C, 0), 1), "")</f>
        <v/>
      </c>
      <c r="BD16" s="94" t="str">
        <f t="array" ref="BD16">IFERROR(INDEX(Skill!$AP:$AP, MATCH(BD$4, Skill!$C:$C, 0), 1), "")</f>
        <v/>
      </c>
      <c r="BE16" s="94" t="str">
        <f t="array" ref="BE16">IFERROR(INDEX(Skill!$AP:$AP, MATCH(BE$4, Skill!$C:$C, 0), 1), "")</f>
        <v/>
      </c>
      <c r="BF16" s="94" t="str">
        <f t="array" ref="BF16">IFERROR(INDEX(Skill!$AP:$AP, MATCH(BF$4, Skill!$C:$C, 0), 1), "")</f>
        <v/>
      </c>
      <c r="BG16" s="94" t="str">
        <f t="array" ref="BG16">IFERROR(INDEX(Skill!$AP:$AP, MATCH(BG$4, Skill!$C:$C, 0), 1), "")</f>
        <v/>
      </c>
      <c r="BH16" s="94" t="str">
        <f t="array" ref="BH16">IFERROR(INDEX(Skill!$AP:$AP, MATCH(BH$4, Skill!$C:$C, 0), 1), "")</f>
        <v/>
      </c>
      <c r="BI16" s="94" t="str">
        <f t="array" ref="BI16">IFERROR(INDEX(Skill!$AP:$AP, MATCH(BI$4, Skill!$C:$C, 0), 1), "")</f>
        <v/>
      </c>
      <c r="BJ16" s="94" t="str">
        <f t="array" ref="BJ16">IFERROR(INDEX(Skill!$AP:$AP, MATCH(BJ$4, Skill!$C:$C, 0), 1), "")</f>
        <v/>
      </c>
      <c r="BK16" s="94" t="str">
        <f t="array" ref="BK16">IFERROR(INDEX(Skill!$AP:$AP, MATCH(BK$4, Skill!$C:$C, 0), 1), "")</f>
        <v/>
      </c>
      <c r="BL16" s="94" t="str">
        <f t="array" ref="BL16">IFERROR(INDEX(Skill!$AP:$AP, MATCH(BL$4, Skill!$C:$C, 0), 1), "")</f>
        <v/>
      </c>
      <c r="BM16" s="94" t="str">
        <f t="array" ref="BM16">IFERROR(INDEX(Skill!$AP:$AP, MATCH(BM$4, Skill!$C:$C, 0), 1), "")</f>
        <v/>
      </c>
      <c r="BN16" s="94" t="str">
        <f t="array" ref="BN16">IFERROR(INDEX(Skill!$AP:$AP, MATCH(BN$4, Skill!$C:$C, 0), 1), "")</f>
        <v/>
      </c>
      <c r="BO16" s="94" t="str">
        <f t="array" ref="BO16">IFERROR(INDEX(Skill!$AP:$AP, MATCH(BO$4, Skill!$C:$C, 0), 1), "")</f>
        <v/>
      </c>
      <c r="BP16" s="94">
        <f t="array" ref="BP16">IFERROR(INDEX(Skill!$AP:$AP, MATCH(BP$4, Skill!$C:$C, 0), 1), "")</f>
        <v>400</v>
      </c>
      <c r="BQ16" s="94" t="str">
        <f t="array" ref="BQ16">IFERROR(INDEX(Skill!$AP:$AP, MATCH(BQ$4, Skill!$C:$C, 0), 1), "")</f>
        <v/>
      </c>
      <c r="BR16" s="94" t="str">
        <f t="array" ref="BR16">IFERROR(INDEX(Skill!$AP:$AP, MATCH(BR$4, Skill!$C:$C, 0), 1), "")</f>
        <v/>
      </c>
      <c r="BS16" s="94" t="str">
        <f t="array" ref="BS16">IFERROR(INDEX(Skill!$AP:$AP, MATCH(BS$4, Skill!$C:$C, 0), 1), "")</f>
        <v/>
      </c>
      <c r="BT16" s="94" t="str">
        <f t="array" ref="BT16">IFERROR(INDEX(Skill!$AP:$AP, MATCH(BT$4, Skill!$C:$C, 0), 1), "")</f>
        <v/>
      </c>
      <c r="BU16" s="94" t="str">
        <f t="array" ref="BU16">IFERROR(INDEX(Skill!$AP:$AP, MATCH(BU$4, Skill!$C:$C, 0), 1), "")</f>
        <v/>
      </c>
      <c r="BV16" s="94">
        <f t="array" ref="BV16">IFERROR(INDEX(Skill!$AP:$AP, MATCH(BV$4, Skill!$C:$C, 0), 1), "")</f>
        <v>400</v>
      </c>
      <c r="BW16" s="94" t="str">
        <f t="array" ref="BW16">IFERROR(INDEX(Skill!$AP:$AP, MATCH(BW$4, Skill!$C:$C, 0), 1), "")</f>
        <v/>
      </c>
      <c r="BX16" s="94" t="str">
        <f t="array" ref="BX16">IFERROR(INDEX(Skill!$AP:$AP, MATCH(BX$4, Skill!$C:$C, 0), 1), "")</f>
        <v/>
      </c>
      <c r="BY16" s="94" t="str">
        <f t="array" ref="BY16">IFERROR(INDEX(Skill!$AP:$AP, MATCH(BY$4, Skill!$C:$C, 0), 1), "")</f>
        <v/>
      </c>
      <c r="BZ16" s="94" t="str">
        <f t="array" ref="BZ16">IFERROR(INDEX(Skill!$AP:$AP, MATCH(BZ$4, Skill!$C:$C, 0), 1), "")</f>
        <v/>
      </c>
      <c r="CA16" s="94" t="str">
        <f t="array" ref="CA16">IFERROR(INDEX(Skill!$AP:$AP, MATCH(CA$4, Skill!$C:$C, 0), 1), "")</f>
        <v/>
      </c>
      <c r="CB16" s="94" t="str">
        <f t="array" ref="CB16">IFERROR(INDEX(Skill!$AP:$AP, MATCH(CB$4, Skill!$C:$C, 0), 1), "")</f>
        <v/>
      </c>
      <c r="CC16" s="94">
        <f t="array" ref="CC16">IFERROR(INDEX(Skill!$AP:$AP, MATCH(CC$4, Skill!$C:$C, 0), 1), "")</f>
        <v>360</v>
      </c>
      <c r="CD16" s="94" t="str">
        <f t="array" ref="CD16">IFERROR(INDEX(Skill!$AP:$AP, MATCH(CD$4, Skill!$C:$C, 0), 1), "")</f>
        <v/>
      </c>
      <c r="CE16" s="94" t="str">
        <f t="array" ref="CE16">IFERROR(INDEX(Skill!$AP:$AP, MATCH(CE$4, Skill!$C:$C, 0), 1), "")</f>
        <v/>
      </c>
      <c r="CF16" s="94" t="str">
        <f t="array" ref="CF16">IFERROR(INDEX(Skill!$AP:$AP, MATCH(CF$4, Skill!$C:$C, 0), 1), "")</f>
        <v/>
      </c>
      <c r="CG16" s="94" t="str">
        <f t="array" ref="CG16">IFERROR(INDEX(Skill!$AP:$AP, MATCH(CG$4, Skill!$C:$C, 0), 1), "")</f>
        <v/>
      </c>
      <c r="CH16" s="94">
        <f t="array" ref="CH16">IFERROR(INDEX(Skill!$AP:$AP, MATCH(CH$4, Skill!$C:$C, 0), 1), "")</f>
        <v>162.5</v>
      </c>
      <c r="CI16" s="94" t="str">
        <f t="array" ref="CI16">IFERROR(INDEX(Skill!$AP:$AP, MATCH(CI$4, Skill!$C:$C, 0), 1), "")</f>
        <v/>
      </c>
      <c r="CJ16" s="94" t="str">
        <f t="array" ref="CJ16">IFERROR(INDEX(Skill!$AP:$AP, MATCH(CJ$4, Skill!$C:$C, 0), 1), "")</f>
        <v/>
      </c>
      <c r="CK16" s="94" t="str">
        <f t="array" ref="CK16">IFERROR(INDEX(Skill!$AP:$AP, MATCH(CK$4, Skill!$C:$C, 0), 1), "")</f>
        <v/>
      </c>
      <c r="CL16" s="94">
        <f t="array" ref="CL16">IFERROR(INDEX(Skill!$AP:$AP, MATCH(CL$4, Skill!$C:$C, 0), 1), "")</f>
        <v>432</v>
      </c>
      <c r="CM16" s="94">
        <f t="array" ref="CM16">IFERROR(INDEX(Skill!$AP:$AP, MATCH(CM$4, Skill!$C:$C, 0), 1), "")</f>
        <v>648</v>
      </c>
      <c r="CN16" s="94" t="str">
        <f t="array" ref="CN16">IFERROR(INDEX(Skill!$AP:$AP, MATCH(CN$4, Skill!$C:$C, 0), 1), "")</f>
        <v/>
      </c>
      <c r="CO16" s="94" t="str">
        <f t="array" ref="CO16">IFERROR(INDEX(Skill!$AP:$AP, MATCH(CO$4, Skill!$C:$C, 0), 1), "")</f>
        <v/>
      </c>
      <c r="CP16" s="94">
        <f t="array" ref="CP16">IFERROR(INDEX(Skill!$AP:$AP, MATCH(CP$4, Skill!$C:$C, 0), 1), "")</f>
        <v>540</v>
      </c>
      <c r="CQ16" s="94" t="str">
        <f t="array" ref="CQ16">IFERROR(INDEX(Skill!$AP:$AP, MATCH(CQ$4, Skill!$C:$C, 0), 1), "")</f>
        <v/>
      </c>
      <c r="CR16" s="94" t="str">
        <f t="array" ref="CR16">IFERROR(INDEX(Skill!$AP:$AP, MATCH(CR$4, Skill!$C:$C, 0), 1), "")</f>
        <v/>
      </c>
      <c r="CS16" s="94" t="str">
        <f t="array" ref="CS16">IFERROR(INDEX(Skill!$AP:$AP, MATCH(CS$4, Skill!$C:$C, 0), 1), "")</f>
        <v/>
      </c>
      <c r="CT16" s="94">
        <f t="array" ref="CT16">IFERROR(INDEX(Skill!$AP:$AP, MATCH(CT$4, Skill!$C:$C, 0), 1), "")</f>
        <v>300</v>
      </c>
      <c r="CU16" s="94" t="str">
        <f t="array" ref="CU16">IFERROR(INDEX(Skill!$AP:$AP, MATCH(CU$4, Skill!$C:$C, 0), 1), "")</f>
        <v/>
      </c>
      <c r="CV16" s="94">
        <f t="array" ref="CV16">IFERROR(INDEX(Skill!$AP:$AP, MATCH(CV$4, Skill!$C:$C, 0), 1), "")</f>
        <v>360</v>
      </c>
      <c r="CW16" s="94">
        <f t="array" ref="CW16">IFERROR(INDEX(Skill!$AP:$AP, MATCH(CW$4, Skill!$C:$C, 0), 1), "")</f>
        <v>200</v>
      </c>
      <c r="CX16" s="94" t="str">
        <f t="array" ref="CX16">IFERROR(INDEX(Skill!$AP:$AP, MATCH(CX$4, Skill!$C:$C, 0), 1), "")</f>
        <v/>
      </c>
      <c r="CY16" s="94" t="str">
        <f t="array" ref="CY16">IFERROR(INDEX(Skill!$AP:$AP, MATCH(CY$4, Skill!$C:$C, 0), 1), "")</f>
        <v/>
      </c>
      <c r="CZ16" s="94" t="str">
        <f t="array" ref="CZ16">IFERROR(INDEX(Skill!$AP:$AP, MATCH(CZ$4, Skill!$C:$C, 0), 1), "")</f>
        <v/>
      </c>
      <c r="DA16" s="94" t="str">
        <f t="array" ref="DA16">IFERROR(INDEX(Skill!$AP:$AP, MATCH(DA$4, Skill!$C:$C, 0), 1), "")</f>
        <v/>
      </c>
      <c r="DB16" s="94" t="str">
        <f t="array" ref="DB16">IFERROR(INDEX(Skill!$AP:$AP, MATCH(DB$4, Skill!$C:$C, 0), 1), "")</f>
        <v/>
      </c>
      <c r="DC16" s="94" t="str">
        <f t="array" ref="DC16">IFERROR(INDEX(Skill!$AP:$AP, MATCH(DC$4, Skill!$C:$C, 0), 1), "")</f>
        <v/>
      </c>
      <c r="DD16" s="94" t="str">
        <f t="array" ref="DD16">IFERROR(INDEX(Skill!$AP:$AP, MATCH(DD$4, Skill!$C:$C, 0), 1), "")</f>
        <v/>
      </c>
      <c r="DE16" s="94" t="str">
        <f t="array" ref="DE16">IFERROR(INDEX(Skill!$AP:$AP, MATCH(DE$4, Skill!$C:$C, 0), 1), "")</f>
        <v/>
      </c>
      <c r="DF16" s="94">
        <f t="array" ref="DF16">IFERROR(INDEX(Skill!$AP:$AP, MATCH(DF$4, Skill!$C:$C, 0), 1), "")</f>
        <v>540</v>
      </c>
      <c r="DG16" s="94">
        <f t="array" ref="DG16">IFERROR(INDEX(Skill!$AP:$AP, MATCH(DG$4, Skill!$C:$C, 0), 1), "")</f>
        <v>300</v>
      </c>
      <c r="DH16" s="94" t="str">
        <f t="array" ref="DH16">IFERROR(INDEX(Skill!$AP:$AP, MATCH(DH$4, Skill!$C:$C, 0), 1), "")</f>
        <v/>
      </c>
      <c r="DI16" s="94" t="str">
        <f t="array" ref="DI16">IFERROR(INDEX(Skill!$AP:$AP, MATCH(DI$4, Skill!$C:$C, 0), 1), "")</f>
        <v/>
      </c>
      <c r="DJ16" s="94" t="str">
        <f t="array" ref="DJ16">IFERROR(INDEX(Skill!$AP:$AP, MATCH(DJ$4, Skill!$C:$C, 0), 1), "")</f>
        <v/>
      </c>
      <c r="DK16" s="94" t="str">
        <f t="array" ref="DK16">IFERROR(INDEX(Skill!$AP:$AP, MATCH(DK$4, Skill!$C:$C, 0), 1), "")</f>
        <v/>
      </c>
      <c r="DL16" s="94" t="str">
        <f t="array" ref="DL16">IFERROR(INDEX(Skill!$AP:$AP, MATCH(DL$4, Skill!$C:$C, 0), 1), "")</f>
        <v/>
      </c>
      <c r="DM16" s="94" t="str">
        <f t="array" ref="DM16">IFERROR(INDEX(Skill!$AP:$AP, MATCH(DM$4, Skill!$C:$C, 0), 1), "")</f>
        <v/>
      </c>
      <c r="DN16" s="94" t="str">
        <f t="array" ref="DN16">IFERROR(INDEX(Skill!$AP:$AP, MATCH(DN$4, Skill!$C:$C, 0), 1), "")</f>
        <v/>
      </c>
      <c r="DO16" s="94" t="str">
        <f t="array" ref="DO16">IFERROR(INDEX(Skill!$AP:$AP, MATCH(DO$4, Skill!$C:$C, 0), 1), "")</f>
        <v/>
      </c>
      <c r="DP16" s="94" t="str">
        <f t="array" ref="DP16">IFERROR(INDEX(Skill!$AP:$AP, MATCH(DP$4, Skill!$C:$C, 0), 1), "")</f>
        <v/>
      </c>
      <c r="DQ16" s="94" t="str">
        <f t="array" ref="DQ16">IFERROR(INDEX(Skill!$AP:$AP, MATCH(DQ$4, Skill!$C:$C, 0), 1), "")</f>
        <v/>
      </c>
      <c r="DR16" s="94" t="str">
        <f t="array" ref="DR16">IFERROR(INDEX(Skill!$AP:$AP, MATCH(DR$4, Skill!$C:$C, 0), 1), "")</f>
        <v/>
      </c>
      <c r="DS16" s="94" t="str">
        <f t="array" ref="DS16">IFERROR(INDEX(Skill!$AP:$AP, MATCH(DS$4, Skill!$C:$C, 0), 1), "")</f>
        <v/>
      </c>
      <c r="DT16" s="94" t="str">
        <f t="array" ref="DT16">IFERROR(INDEX(Skill!$AP:$AP, MATCH(DT$4, Skill!$C:$C, 0), 1), "")</f>
        <v/>
      </c>
      <c r="DU16" s="94" t="str">
        <f t="array" ref="DU16">IFERROR(INDEX(Skill!$AP:$AP, MATCH(DU$4, Skill!$C:$C, 0), 1), "")</f>
        <v/>
      </c>
      <c r="DV16" s="94" t="str">
        <f t="array" ref="DV16">IFERROR(INDEX(Skill!$AP:$AP, MATCH(DV$4, Skill!$C:$C, 0), 1), "")</f>
        <v/>
      </c>
      <c r="DW16" s="94" t="str">
        <f t="array" ref="DW16">IFERROR(INDEX(Skill!$AP:$AP, MATCH(DW$4, Skill!$C:$C, 0), 1), "")</f>
        <v/>
      </c>
      <c r="DX16" s="94" t="str">
        <f t="array" ref="DX16">IFERROR(INDEX(Skill!$AP:$AP, MATCH(DX$4, Skill!$C:$C, 0), 1), "")</f>
        <v/>
      </c>
      <c r="DY16" s="94" t="str">
        <f t="array" ref="DY16">IFERROR(INDEX(Skill!$AP:$AP, MATCH(DY$4, Skill!$C:$C, 0), 1), "")</f>
        <v/>
      </c>
      <c r="DZ16" s="94" t="str">
        <f t="array" ref="DZ16">IFERROR(INDEX(Skill!$AP:$AP, MATCH(DZ$4, Skill!$C:$C, 0), 1), "")</f>
        <v/>
      </c>
      <c r="EA16" s="89" t="str">
        <f t="array" ref="EA16">IFERROR(INDEX(Skill!$AP:$AP, MATCH(EA$4, Skill!$C:$C, 0), 1), "")</f>
        <v/>
      </c>
      <c r="EB16" s="89" t="str">
        <f t="array" ref="EB16">IFERROR(INDEX(Skill!$AP:$AP, MATCH(EB$4, Skill!$C:$C, 0), 1), "")</f>
        <v/>
      </c>
      <c r="EC16" s="89" t="str">
        <f t="array" ref="EC16">IFERROR(INDEX(Skill!$AP:$AP, MATCH(EC$4, Skill!$C:$C, 0), 1), "")</f>
        <v/>
      </c>
      <c r="ED16" s="94" t="str">
        <f t="array" ref="ED16">IFERROR(INDEX(Skill!$AP:$AP, MATCH(ED$4, Skill!$C:$C, 0), 1), "")</f>
        <v/>
      </c>
      <c r="EE16" s="102"/>
      <c r="EF16" s="102"/>
      <c r="EG16" s="102"/>
      <c r="EH16" s="102"/>
      <c r="EI16" s="102"/>
      <c r="EJ16" s="102"/>
      <c r="EK16" s="102"/>
      <c r="EL16" s="102"/>
      <c r="EM16" s="102"/>
      <c r="EN16" s="102"/>
      <c r="EO16" s="102"/>
      <c r="EP16" s="102"/>
      <c r="EQ16" s="102"/>
      <c r="ER16" s="103"/>
      <c r="ES16" s="103"/>
      <c r="ET16" s="103"/>
      <c r="EU16" s="76"/>
      <c r="EV16" s="76"/>
      <c r="EW16" s="76"/>
      <c r="EX16" s="76"/>
      <c r="EY16" s="76"/>
      <c r="EZ16" s="76"/>
      <c r="FA16" s="76"/>
      <c r="FB16" s="76"/>
      <c r="FC16" s="76"/>
      <c r="FD16" s="76"/>
      <c r="FE16" s="76"/>
      <c r="FF16" s="76"/>
      <c r="FG16" s="76"/>
      <c r="FH16" s="76"/>
      <c r="FI16" s="76"/>
      <c r="FJ16" s="76"/>
      <c r="FK16" s="76"/>
      <c r="FL16" s="76"/>
      <c r="FM16" s="76"/>
      <c r="FN16" s="76"/>
      <c r="FO16" s="91"/>
    </row>
    <row r="17" hidden="1">
      <c r="B17" s="84"/>
      <c r="C17" s="83"/>
      <c r="D17" s="83"/>
      <c r="E17" s="104" t="s">
        <v>16</v>
      </c>
      <c r="F17" s="84"/>
      <c r="G17" s="84"/>
      <c r="H17" s="84"/>
      <c r="I17" s="84"/>
      <c r="J17" s="84"/>
      <c r="K17" s="94" t="str">
        <f t="array" ref="K17">IFERROR(INDEX(Skill!$U:$U, MATCH(K$4, Skill!$C:$C, 0), 1), "")</f>
        <v/>
      </c>
      <c r="L17" s="94" t="str">
        <f t="array" ref="L17">IFERROR(INDEX(Skill!$U:$U, MATCH(L$4, Skill!$C:$C, 0), 1), "")</f>
        <v/>
      </c>
      <c r="M17" s="94" t="str">
        <f t="array" ref="M17">IFERROR(INDEX(Skill!$U:$U, MATCH(M$4, Skill!$C:$C, 0), 1), "")</f>
        <v/>
      </c>
      <c r="N17" s="94" t="str">
        <f t="array" ref="N17">IFERROR(INDEX(Skill!$U:$U, MATCH(N$4, Skill!$C:$C, 0), 1), "")</f>
        <v>ランパート|センチネル|エクストリームガード</v>
      </c>
      <c r="O17" s="94" t="str">
        <f t="array" ref="O17">IFERROR(INDEX(Skill!$U:$U, MATCH(O$4, Skill!$C:$C, 0), 1), "")</f>
        <v/>
      </c>
      <c r="P17" s="94" t="str">
        <f t="array" ref="P17">IFERROR(INDEX(Skill!$U:$U, MATCH(P$4, Skill!$C:$C, 0), 1), "")</f>
        <v/>
      </c>
      <c r="Q17" s="94" t="str">
        <f t="array" ref="Q17">IFERROR(INDEX(Skill!$U:$U, MATCH(Q$4, Skill!$C:$C, 0), 1), "")</f>
        <v/>
      </c>
      <c r="R17" s="94" t="str">
        <f t="array" ref="R17">IFERROR(INDEX(Skill!$U:$U, MATCH(R$4, Skill!$C:$C, 0), 1), "")</f>
        <v/>
      </c>
      <c r="S17" s="94" t="str">
        <f t="array" ref="S17">IFERROR(INDEX(Skill!$U:$U, MATCH(S$4, Skill!$C:$C, 0), 1), "")</f>
        <v/>
      </c>
      <c r="T17" s="94" t="str">
        <f t="array" ref="T17">IFERROR(INDEX(Skill!$U:$U, MATCH(T$4, Skill!$C:$C, 0), 1), "")</f>
        <v/>
      </c>
      <c r="U17" s="94" t="str">
        <f t="array" ref="U17">IFERROR(INDEX(Skill!$U:$U, MATCH(U$4, Skill!$C:$C, 0), 1), "")</f>
        <v/>
      </c>
      <c r="V17" s="94" t="str">
        <f t="array" ref="V17">IFERROR(INDEX(Skill!$U:$U, MATCH(V$4, Skill!$C:$C, 0), 1), "")</f>
        <v/>
      </c>
      <c r="W17" s="94" t="str">
        <f t="array" ref="W17">IFERROR(INDEX(Skill!$U:$U, MATCH(W$4, Skill!$C:$C, 0), 1), "")</f>
        <v/>
      </c>
      <c r="X17" s="94" t="str">
        <f t="array" ref="X17">IFERROR(INDEX(Skill!$U:$U, MATCH(X$4, Skill!$C:$C, 0), 1), "")</f>
        <v/>
      </c>
      <c r="Y17" s="94" t="str">
        <f t="array" ref="Y17">IFERROR(INDEX(Skill!$U:$U, MATCH(Y$4, Skill!$C:$C, 0), 1), "")</f>
        <v/>
      </c>
      <c r="Z17" s="94" t="str">
        <f t="array" ref="Z17">IFERROR(INDEX(Skill!$U:$U, MATCH(Z$4, Skill!$C:$C, 0), 1), "")</f>
        <v/>
      </c>
      <c r="AA17" s="94" t="str">
        <f t="array" ref="AA17">IFERROR(INDEX(Skill!$U:$U, MATCH(AA$4, Skill!$C:$C, 0), 1), "")</f>
        <v/>
      </c>
      <c r="AB17" s="94" t="str">
        <f t="array" ref="AB17">IFERROR(INDEX(Skill!$U:$U, MATCH(AB$4, Skill!$C:$C, 0), 1), "")</f>
        <v/>
      </c>
      <c r="AC17" s="94" t="str">
        <f t="array" ref="AC17">IFERROR(INDEX(Skill!$U:$U, MATCH(AC$4, Skill!$C:$C, 0), 1), "")</f>
        <v/>
      </c>
      <c r="AD17" s="94" t="str">
        <f t="array" ref="AD17">IFERROR(INDEX(Skill!$U:$U, MATCH(AD$4, Skill!$C:$C, 0), 1), "")</f>
        <v/>
      </c>
      <c r="AE17" s="94" t="str">
        <f t="array" ref="AE17">IFERROR(INDEX(Skill!$U:$U, MATCH(AE$4, Skill!$C:$C, 0), 1), "")</f>
        <v/>
      </c>
      <c r="AF17" s="94" t="str">
        <f t="array" ref="AF17">IFERROR(INDEX(Skill!$U:$U, MATCH(AF$4, Skill!$C:$C, 0), 1), "")</f>
        <v/>
      </c>
      <c r="AG17" s="94" t="str">
        <f t="array" ref="AG17">IFERROR(INDEX(Skill!$U:$U, MATCH(AG$4, Skill!$C:$C, 0), 1), "")</f>
        <v/>
      </c>
      <c r="AH17" s="94" t="str">
        <f t="array" ref="AH17">IFERROR(INDEX(Skill!$U:$U, MATCH(AH$4, Skill!$C:$C, 0), 1), "")</f>
        <v/>
      </c>
      <c r="AI17" s="94" t="str">
        <f t="array" ref="AI17">IFERROR(INDEX(Skill!$U:$U, MATCH(AI$4, Skill!$C:$C, 0), 1), "")</f>
        <v/>
      </c>
      <c r="AJ17" s="94" t="str">
        <f t="array" ref="AJ17">IFERROR(INDEX(Skill!$U:$U, MATCH(AJ$4, Skill!$C:$C, 0), 1), "")</f>
        <v/>
      </c>
      <c r="AK17" s="94" t="str">
        <f t="array" ref="AK17">IFERROR(INDEX(Skill!$U:$U, MATCH(AK$4, Skill!$C:$C, 0), 1), "")</f>
        <v/>
      </c>
      <c r="AL17" s="94" t="str">
        <f t="array" ref="AL17">IFERROR(INDEX(Skill!$U:$U, MATCH(AL$4, Skill!$C:$C, 0), 1), "")</f>
        <v/>
      </c>
      <c r="AM17" s="94" t="str">
        <f t="array" ref="AM17">IFERROR(INDEX(Skill!$U:$U, MATCH(AM$4, Skill!$C:$C, 0), 1), "")</f>
        <v/>
      </c>
      <c r="AN17" s="94" t="str">
        <f t="array" ref="AN17">IFERROR(INDEX(Skill!$U:$U, MATCH(AN$4, Skill!$C:$C, 0), 1), "")</f>
        <v/>
      </c>
      <c r="AO17" s="94" t="str">
        <f t="array" ref="AO17">IFERROR(INDEX(Skill!$U:$U, MATCH(AO$4, Skill!$C:$C, 0), 1), "")</f>
        <v/>
      </c>
      <c r="AP17" s="94" t="str">
        <f t="array" ref="AP17">IFERROR(INDEX(Skill!$U:$U, MATCH(AP$4, Skill!$C:$C, 0), 1), "")</f>
        <v/>
      </c>
      <c r="AQ17" s="94" t="str">
        <f t="array" ref="AQ17">IFERROR(INDEX(Skill!$U:$U, MATCH(AQ$4, Skill!$C:$C, 0), 1), "")</f>
        <v/>
      </c>
      <c r="AR17" s="94" t="str">
        <f t="array" ref="AR17">IFERROR(INDEX(Skill!$U:$U, MATCH(AR$4, Skill!$C:$C, 0), 1), "")</f>
        <v/>
      </c>
      <c r="AS17" s="94" t="str">
        <f t="array" ref="AS17">IFERROR(INDEX(Skill!$U:$U, MATCH(AS$4, Skill!$C:$C, 0), 1), "")</f>
        <v/>
      </c>
      <c r="AT17" s="94" t="str">
        <f t="array" ref="AT17">IFERROR(INDEX(Skill!$U:$U, MATCH(AT$4, Skill!$C:$C, 0), 1), "")</f>
        <v/>
      </c>
      <c r="AU17" s="94" t="str">
        <f t="array" ref="AU17">IFERROR(INDEX(Skill!$U:$U, MATCH(AU$4, Skill!$C:$C, 0), 1), "")</f>
        <v/>
      </c>
      <c r="AV17" s="94" t="str">
        <f t="array" ref="AV17">IFERROR(INDEX(Skill!$U:$U, MATCH(AV$4, Skill!$C:$C, 0), 1), "")</f>
        <v/>
      </c>
      <c r="AW17" s="94" t="str">
        <f t="array" ref="AW17">IFERROR(INDEX(Skill!$U:$U, MATCH(AW$4, Skill!$C:$C, 0), 1), "")</f>
        <v/>
      </c>
      <c r="AX17" s="94" t="str">
        <f t="array" ref="AX17">IFERROR(INDEX(Skill!$U:$U, MATCH(AX$4, Skill!$C:$C, 0), 1), "")</f>
        <v/>
      </c>
      <c r="AY17" s="94" t="str">
        <f t="array" ref="AY17">IFERROR(INDEX(Skill!$U:$U, MATCH(AY$4, Skill!$C:$C, 0), 1), "")</f>
        <v/>
      </c>
      <c r="AZ17" s="94" t="str">
        <f t="array" ref="AZ17">IFERROR(INDEX(Skill!$U:$U, MATCH(AZ$4, Skill!$C:$C, 0), 1), "")</f>
        <v/>
      </c>
      <c r="BA17" s="94" t="str">
        <f t="array" ref="BA17">IFERROR(INDEX(Skill!$U:$U, MATCH(BA$4, Skill!$C:$C, 0), 1), "")</f>
        <v/>
      </c>
      <c r="BB17" s="94" t="str">
        <f t="array" ref="BB17">IFERROR(INDEX(Skill!$U:$U, MATCH(BB$4, Skill!$C:$C, 0), 1), "")</f>
        <v/>
      </c>
      <c r="BC17" s="94" t="str">
        <f t="array" ref="BC17">IFERROR(INDEX(Skill!$U:$U, MATCH(BC$4, Skill!$C:$C, 0), 1), "")</f>
        <v/>
      </c>
      <c r="BD17" s="94" t="str">
        <f t="array" ref="BD17">IFERROR(INDEX(Skill!$U:$U, MATCH(BD$4, Skill!$C:$C, 0), 1), "")</f>
        <v/>
      </c>
      <c r="BE17" s="94" t="str">
        <f t="array" ref="BE17">IFERROR(INDEX(Skill!$U:$U, MATCH(BE$4, Skill!$C:$C, 0), 1), "")</f>
        <v/>
      </c>
      <c r="BF17" s="94" t="str">
        <f t="array" ref="BF17">IFERROR(INDEX(Skill!$U:$U, MATCH(BF$4, Skill!$C:$C, 0), 1), "")</f>
        <v/>
      </c>
      <c r="BG17" s="94" t="str">
        <f t="array" ref="BG17">IFERROR(INDEX(Skill!$U:$U, MATCH(BG$4, Skill!$C:$C, 0), 1), "")</f>
        <v/>
      </c>
      <c r="BH17" s="94" t="str">
        <f t="array" ref="BH17">IFERROR(INDEX(Skill!$U:$U, MATCH(BH$4, Skill!$C:$C, 0), 1), "")</f>
        <v>ニュートラルセクト</v>
      </c>
      <c r="BI17" s="94" t="str">
        <f t="array" ref="BI17">IFERROR(INDEX(Skill!$U:$U, MATCH(BI$4, Skill!$C:$C, 0), 1), "")</f>
        <v/>
      </c>
      <c r="BJ17" s="94" t="str">
        <f t="array" ref="BJ17">IFERROR(INDEX(Skill!$U:$U, MATCH(BJ$4, Skill!$C:$C, 0), 1), "")</f>
        <v/>
      </c>
      <c r="BK17" s="94" t="str">
        <f t="array" ref="BK17">IFERROR(INDEX(Skill!$U:$U, MATCH(BK$4, Skill!$C:$C, 0), 1), "")</f>
        <v/>
      </c>
      <c r="BL17" s="94" t="str">
        <f t="array" ref="BL17">IFERROR(INDEX(Skill!$U:$U, MATCH(BL$4, Skill!$C:$C, 0), 1), "")</f>
        <v/>
      </c>
      <c r="BM17" s="94" t="str">
        <f t="array" ref="BM17">IFERROR(INDEX(Skill!$U:$U, MATCH(BM$4, Skill!$C:$C, 0), 1), "")</f>
        <v/>
      </c>
      <c r="BN17" s="94" t="str">
        <f t="array" ref="BN17">IFERROR(INDEX(Skill!$U:$U, MATCH(BN$4, Skill!$C:$C, 0), 1), "")</f>
        <v/>
      </c>
      <c r="BO17" s="94" t="str">
        <f t="array" ref="BO17">IFERROR(INDEX(Skill!$U:$U, MATCH(BO$4, Skill!$C:$C, 0), 1), "")</f>
        <v/>
      </c>
      <c r="BP17" s="94" t="str">
        <f t="array" ref="BP17">IFERROR(INDEX(Skill!$U:$U, MATCH(BP$4, Skill!$C:$C, 0), 1), "")</f>
        <v/>
      </c>
      <c r="BQ17" s="94" t="str">
        <f t="array" ref="BQ17">IFERROR(INDEX(Skill!$U:$U, MATCH(BQ$4, Skill!$C:$C, 0), 1), "")</f>
        <v/>
      </c>
      <c r="BR17" s="94" t="str">
        <f t="array" ref="BR17">IFERROR(INDEX(Skill!$U:$U, MATCH(BR$4, Skill!$C:$C, 0), 1), "")</f>
        <v/>
      </c>
      <c r="BS17" s="94" t="str">
        <f t="array" ref="BS17">IFERROR(INDEX(Skill!$U:$U, MATCH(BS$4, Skill!$C:$C, 0), 1), "")</f>
        <v/>
      </c>
      <c r="BT17" s="94" t="str">
        <f t="array" ref="BT17">IFERROR(INDEX(Skill!$U:$U, MATCH(BT$4, Skill!$C:$C, 0), 1), "")</f>
        <v/>
      </c>
      <c r="BU17" s="94" t="str">
        <f t="array" ref="BU17">IFERROR(INDEX(Skill!$U:$U, MATCH(BU$4, Skill!$C:$C, 0), 1), "")</f>
        <v/>
      </c>
      <c r="BV17" s="94" t="str">
        <f t="array" ref="BV17">IFERROR(INDEX(Skill!$U:$U, MATCH(BV$4, Skill!$C:$C, 0), 1), "")</f>
        <v/>
      </c>
      <c r="BW17" s="94" t="str">
        <f t="array" ref="BW17">IFERROR(INDEX(Skill!$U:$U, MATCH(BW$4, Skill!$C:$C, 0), 1), "")</f>
        <v/>
      </c>
      <c r="BX17" s="94" t="str">
        <f t="array" ref="BX17">IFERROR(INDEX(Skill!$U:$U, MATCH(BX$4, Skill!$C:$C, 0), 1), "")</f>
        <v>ニュートラルセクト</v>
      </c>
      <c r="BY17" s="94" t="str">
        <f t="array" ref="BY17">IFERROR(INDEX(Skill!$U:$U, MATCH(BY$4, Skill!$C:$C, 0), 1), "")</f>
        <v/>
      </c>
      <c r="BZ17" s="94" t="str">
        <f t="array" ref="BZ17">IFERROR(INDEX(Skill!$U:$U, MATCH(BZ$4, Skill!$C:$C, 0), 1), "")</f>
        <v/>
      </c>
      <c r="CA17" s="94" t="str">
        <f t="array" ref="CA17">IFERROR(INDEX(Skill!$U:$U, MATCH(CA$4, Skill!$C:$C, 0), 1), "")</f>
        <v/>
      </c>
      <c r="CB17" s="94" t="str">
        <f t="array" ref="CB17">IFERROR(INDEX(Skill!$U:$U, MATCH(CB$4, Skill!$C:$C, 0), 1), "")</f>
        <v/>
      </c>
      <c r="CC17" s="94" t="str">
        <f t="array" ref="CC17">IFERROR(INDEX(Skill!$U:$U, MATCH(CC$4, Skill!$C:$C, 0), 1), "")</f>
        <v/>
      </c>
      <c r="CD17" s="94" t="str">
        <f t="array" ref="CD17">IFERROR(INDEX(Skill!$U:$U, MATCH(CD$4, Skill!$C:$C, 0), 1), "")</f>
        <v/>
      </c>
      <c r="CE17" s="94" t="str">
        <f t="array" ref="CE17">IFERROR(INDEX(Skill!$U:$U, MATCH(CE$4, Skill!$C:$C, 0), 1), "")</f>
        <v/>
      </c>
      <c r="CF17" s="94" t="str">
        <f t="array" ref="CF17">IFERROR(INDEX(Skill!$U:$U, MATCH(CF$4, Skill!$C:$C, 0), 1), "")</f>
        <v/>
      </c>
      <c r="CG17" s="94" t="str">
        <f t="array" ref="CG17">IFERROR(INDEX(Skill!$U:$U, MATCH(CG$4, Skill!$C:$C, 0), 1), "")</f>
        <v/>
      </c>
      <c r="CH17" s="94" t="str">
        <f t="array" ref="CH17">IFERROR(INDEX(Skill!$U:$U, MATCH(CH$4, Skill!$C:$C, 0), 1), "")</f>
        <v/>
      </c>
      <c r="CI17" s="94" t="str">
        <f t="array" ref="CI17">IFERROR(INDEX(Skill!$U:$U, MATCH(CI$4, Skill!$C:$C, 0), 1), "")</f>
        <v/>
      </c>
      <c r="CJ17" s="94" t="str">
        <f t="array" ref="CJ17">IFERROR(INDEX(Skill!$U:$U, MATCH(CJ$4, Skill!$C:$C, 0), 1), "")</f>
        <v/>
      </c>
      <c r="CK17" s="94" t="str">
        <f t="array" ref="CK17">IFERROR(INDEX(Skill!$U:$U, MATCH(CK$4, Skill!$C:$C, 0), 1), "")</f>
        <v/>
      </c>
      <c r="CL17" s="94" t="str">
        <f t="array" ref="CL17">IFERROR(INDEX(Skill!$U:$U, MATCH(CL$4, Skill!$C:$C, 0), 1), "")</f>
        <v/>
      </c>
      <c r="CM17" s="94" t="str">
        <f t="array" ref="CM17">IFERROR(INDEX(Skill!$U:$U, MATCH(CM$4, Skill!$C:$C, 0), 1), "")</f>
        <v>秘策</v>
      </c>
      <c r="CN17" s="94" t="str">
        <f t="array" ref="CN17">IFERROR(INDEX(Skill!$U:$U, MATCH(CN$4, Skill!$C:$C, 0), 1), "")</f>
        <v/>
      </c>
      <c r="CO17" s="94" t="str">
        <f t="array" ref="CO17">IFERROR(INDEX(Skill!$U:$U, MATCH(CO$4, Skill!$C:$C, 0), 1), "")</f>
        <v/>
      </c>
      <c r="CP17" s="94" t="str">
        <f t="array" ref="CP17">IFERROR(INDEX(Skill!$U:$U, MATCH(CP$4, Skill!$C:$C, 0), 1), "")</f>
        <v>秘策</v>
      </c>
      <c r="CQ17" s="94" t="str">
        <f t="array" ref="CQ17">IFERROR(INDEX(Skill!$U:$U, MATCH(CQ$4, Skill!$C:$C, 0), 1), "")</f>
        <v/>
      </c>
      <c r="CR17" s="94" t="str">
        <f t="array" ref="CR17">IFERROR(INDEX(Skill!$U:$U, MATCH(CR$4, Skill!$C:$C, 0), 1), "")</f>
        <v/>
      </c>
      <c r="CS17" s="94" t="str">
        <f t="array" ref="CS17">IFERROR(INDEX(Skill!$U:$U, MATCH(CS$4, Skill!$C:$C, 0), 1), "")</f>
        <v/>
      </c>
      <c r="CT17" s="94" t="str">
        <f t="array" ref="CT17">IFERROR(INDEX(Skill!$U:$U, MATCH(CT$4, Skill!$C:$C, 0), 1), "")</f>
        <v/>
      </c>
      <c r="CU17" s="94" t="str">
        <f t="array" ref="CU17">IFERROR(INDEX(Skill!$U:$U, MATCH(CU$4, Skill!$C:$C, 0), 1), "")</f>
        <v/>
      </c>
      <c r="CV17" s="94" t="str">
        <f t="array" ref="CV17">IFERROR(INDEX(Skill!$U:$U, MATCH(CV$4, Skill!$C:$C, 0), 1), "")</f>
        <v/>
      </c>
      <c r="CW17" s="94" t="str">
        <f t="array" ref="CW17">IFERROR(INDEX(Skill!$U:$U, MATCH(CW$4, Skill!$C:$C, 0), 1), "")</f>
        <v/>
      </c>
      <c r="CX17" s="94" t="str">
        <f t="array" ref="CX17">IFERROR(INDEX(Skill!$U:$U, MATCH(CX$4, Skill!$C:$C, 0), 1), "")</f>
        <v/>
      </c>
      <c r="CY17" s="94" t="str">
        <f t="array" ref="CY17">IFERROR(INDEX(Skill!$U:$U, MATCH(CY$4, Skill!$C:$C, 0), 1), "")</f>
        <v/>
      </c>
      <c r="CZ17" s="94" t="str">
        <f t="array" ref="CZ17">IFERROR(INDEX(Skill!$U:$U, MATCH(CZ$4, Skill!$C:$C, 0), 1), "")</f>
        <v/>
      </c>
      <c r="DA17" s="94" t="str">
        <f t="array" ref="DA17">IFERROR(INDEX(Skill!$U:$U, MATCH(DA$4, Skill!$C:$C, 0), 1), "")</f>
        <v/>
      </c>
      <c r="DB17" s="94" t="str">
        <f t="array" ref="DB17">IFERROR(INDEX(Skill!$U:$U, MATCH(DB$4, Skill!$C:$C, 0), 1), "")</f>
        <v/>
      </c>
      <c r="DC17" s="94" t="str">
        <f t="array" ref="DC17">IFERROR(INDEX(Skill!$U:$U, MATCH(DC$4, Skill!$C:$C, 0), 1), "")</f>
        <v/>
      </c>
      <c r="DD17" s="94" t="str">
        <f t="array" ref="DD17">IFERROR(INDEX(Skill!$U:$U, MATCH(DD$4, Skill!$C:$C, 0), 1), "")</f>
        <v/>
      </c>
      <c r="DE17" s="94" t="str">
        <f t="array" ref="DE17">IFERROR(INDEX(Skill!$U:$U, MATCH(DE$4, Skill!$C:$C, 0), 1), "")</f>
        <v/>
      </c>
      <c r="DF17" s="94" t="str">
        <f t="array" ref="DF17">IFERROR(INDEX(Skill!$U:$U, MATCH(DF$4, Skill!$C:$C, 0), 1), "")</f>
        <v/>
      </c>
      <c r="DG17" s="94" t="str">
        <f t="array" ref="DG17">IFERROR(INDEX(Skill!$U:$U, MATCH(DG$4, Skill!$C:$C, 0), 1), "")</f>
        <v/>
      </c>
      <c r="DH17" s="94" t="str">
        <f t="array" ref="DH17">IFERROR(INDEX(Skill!$U:$U, MATCH(DH$4, Skill!$C:$C, 0), 1), "")</f>
        <v/>
      </c>
      <c r="DI17" s="94" t="str">
        <f t="array" ref="DI17">IFERROR(INDEX(Skill!$U:$U, MATCH(DI$4, Skill!$C:$C, 0), 1), "")</f>
        <v/>
      </c>
      <c r="DJ17" s="94" t="str">
        <f t="array" ref="DJ17">IFERROR(INDEX(Skill!$U:$U, MATCH(DJ$4, Skill!$C:$C, 0), 1), "")</f>
        <v/>
      </c>
      <c r="DK17" s="94" t="str">
        <f t="array" ref="DK17">IFERROR(INDEX(Skill!$U:$U, MATCH(DK$4, Skill!$C:$C, 0), 1), "")</f>
        <v/>
      </c>
      <c r="DL17" s="94" t="str">
        <f t="array" ref="DL17">IFERROR(INDEX(Skill!$U:$U, MATCH(DL$4, Skill!$C:$C, 0), 1), "")</f>
        <v/>
      </c>
      <c r="DM17" s="94" t="str">
        <f t="array" ref="DM17">IFERROR(INDEX(Skill!$U:$U, MATCH(DM$4, Skill!$C:$C, 0), 1), "")</f>
        <v/>
      </c>
      <c r="DN17" s="94" t="str">
        <f t="array" ref="DN17">IFERROR(INDEX(Skill!$U:$U, MATCH(DN$4, Skill!$C:$C, 0), 1), "")</f>
        <v/>
      </c>
      <c r="DO17" s="94" t="str">
        <f t="array" ref="DO17">IFERROR(INDEX(Skill!$U:$U, MATCH(DO$4, Skill!$C:$C, 0), 1), "")</f>
        <v/>
      </c>
      <c r="DP17" s="94" t="str">
        <f t="array" ref="DP17">IFERROR(INDEX(Skill!$U:$U, MATCH(DP$4, Skill!$C:$C, 0), 1), "")</f>
        <v/>
      </c>
      <c r="DQ17" s="94" t="str">
        <f t="array" ref="DQ17">IFERROR(INDEX(Skill!$U:$U, MATCH(DQ$4, Skill!$C:$C, 0), 1), "")</f>
        <v/>
      </c>
      <c r="DR17" s="94" t="str">
        <f t="array" ref="DR17">IFERROR(INDEX(Skill!$U:$U, MATCH(DR$4, Skill!$C:$C, 0), 1), "")</f>
        <v/>
      </c>
      <c r="DS17" s="94" t="str">
        <f t="array" ref="DS17">IFERROR(INDEX(Skill!$U:$U, MATCH(DS$4, Skill!$C:$C, 0), 1), "")</f>
        <v/>
      </c>
      <c r="DT17" s="94" t="str">
        <f t="array" ref="DT17">IFERROR(INDEX(Skill!$U:$U, MATCH(DT$4, Skill!$C:$C, 0), 1), "")</f>
        <v/>
      </c>
      <c r="DU17" s="94" t="str">
        <f t="array" ref="DU17">IFERROR(INDEX(Skill!$U:$U, MATCH(DU$4, Skill!$C:$C, 0), 1), "")</f>
        <v/>
      </c>
      <c r="DV17" s="94" t="str">
        <f t="array" ref="DV17">IFERROR(INDEX(Skill!$U:$U, MATCH(DV$4, Skill!$C:$C, 0), 1), "")</f>
        <v/>
      </c>
      <c r="DW17" s="94" t="str">
        <f t="array" ref="DW17">IFERROR(INDEX(Skill!$U:$U, MATCH(DW$4, Skill!$C:$C, 0), 1), "")</f>
        <v/>
      </c>
      <c r="DX17" s="94" t="str">
        <f t="array" ref="DX17">IFERROR(INDEX(Skill!$U:$U, MATCH(DX$4, Skill!$C:$C, 0), 1), "")</f>
        <v/>
      </c>
      <c r="DY17" s="94" t="str">
        <f t="array" ref="DY17">IFERROR(INDEX(Skill!$U:$U, MATCH(DY$4, Skill!$C:$C, 0), 1), "")</f>
        <v/>
      </c>
      <c r="DZ17" s="94" t="str">
        <f t="array" ref="DZ17">IFERROR(INDEX(Skill!$U:$U, MATCH(DZ$4, Skill!$C:$C, 0), 1), "")</f>
        <v/>
      </c>
      <c r="EA17" s="89" t="str">
        <f t="array" ref="EA17">IFERROR(INDEX(Skill!$U:$U, MATCH(EA$4, Skill!$C:$C, 0), 1), "")</f>
        <v/>
      </c>
      <c r="EB17" s="89" t="str">
        <f t="array" ref="EB17">IFERROR(INDEX(Skill!$U:$U, MATCH(EB$4, Skill!$C:$C, 0), 1), "")</f>
        <v/>
      </c>
      <c r="EC17" s="89" t="str">
        <f t="array" ref="EC17">IFERROR(INDEX(Skill!$U:$U, MATCH(EC$4, Skill!$C:$C, 0), 1), "")</f>
        <v/>
      </c>
      <c r="ED17" s="94" t="str">
        <f t="array" ref="ED17">IFERROR(INDEX(Skill!$U:$U, MATCH(ED$4, Skill!$C:$C, 0), 1), "")</f>
        <v/>
      </c>
      <c r="EE17" s="102"/>
      <c r="EF17" s="102"/>
      <c r="EG17" s="102"/>
      <c r="EH17" s="102"/>
      <c r="EI17" s="102"/>
      <c r="EJ17" s="102"/>
      <c r="EK17" s="102"/>
      <c r="EL17" s="102"/>
      <c r="EM17" s="102"/>
      <c r="EN17" s="102"/>
      <c r="EO17" s="102"/>
      <c r="EP17" s="102"/>
      <c r="EQ17" s="102"/>
      <c r="ER17" s="103"/>
      <c r="ES17" s="103"/>
      <c r="ET17" s="103"/>
      <c r="EU17" s="76"/>
      <c r="EV17" s="76"/>
      <c r="EW17" s="76"/>
      <c r="EX17" s="76"/>
      <c r="EY17" s="76"/>
      <c r="EZ17" s="76"/>
      <c r="FA17" s="76"/>
      <c r="FB17" s="76"/>
      <c r="FC17" s="76"/>
      <c r="FD17" s="76"/>
      <c r="FE17" s="76"/>
      <c r="FF17" s="76"/>
      <c r="FG17" s="76"/>
      <c r="FH17" s="76"/>
      <c r="FI17" s="76"/>
      <c r="FJ17" s="76"/>
      <c r="FK17" s="76"/>
      <c r="FL17" s="76"/>
      <c r="FM17" s="76"/>
      <c r="FN17" s="76"/>
      <c r="FO17" s="91"/>
    </row>
    <row r="18" hidden="1">
      <c r="B18" s="84"/>
      <c r="C18" s="83"/>
      <c r="D18" s="83"/>
      <c r="E18" s="105" t="s">
        <v>11</v>
      </c>
      <c r="F18" s="84"/>
      <c r="G18" s="84"/>
      <c r="H18" s="84"/>
      <c r="I18" s="84"/>
      <c r="J18" s="84"/>
      <c r="K18" s="94" t="str">
        <f t="array" ref="K18">IFERROR(INDEX(Skill!$X:$X, MATCH(K$4, Skill!$C:$C, 0), 1), "")</f>
        <v/>
      </c>
      <c r="L18" s="94" t="str">
        <f t="array" ref="L18">IFERROR(INDEX(Skill!$X:$X, MATCH(L$4, Skill!$C:$C, 0), 1), "")</f>
        <v/>
      </c>
      <c r="M18" s="94" t="str">
        <f t="array" ref="M18">IFERROR(INDEX(Skill!$X:$X, MATCH(M$4, Skill!$C:$C, 0), 1), "")</f>
        <v/>
      </c>
      <c r="N18" s="94">
        <f t="array" ref="N18">IFERROR(INDEX(Skill!$X:$X, MATCH(N$4, Skill!$C:$C, 0), 1), "")</f>
        <v>0.8</v>
      </c>
      <c r="O18" s="94" t="str">
        <f t="array" ref="O18">IFERROR(INDEX(Skill!$X:$X, MATCH(O$4, Skill!$C:$C, 0), 1), "")</f>
        <v/>
      </c>
      <c r="P18" s="94" t="str">
        <f t="array" ref="P18">IFERROR(INDEX(Skill!$X:$X, MATCH(P$4, Skill!$C:$C, 0), 1), "")</f>
        <v/>
      </c>
      <c r="Q18" s="94" t="str">
        <f t="array" ref="Q18">IFERROR(INDEX(Skill!$X:$X, MATCH(Q$4, Skill!$C:$C, 0), 1), "")</f>
        <v/>
      </c>
      <c r="R18" s="94" t="str">
        <f t="array" ref="R18">IFERROR(INDEX(Skill!$X:$X, MATCH(R$4, Skill!$C:$C, 0), 1), "")</f>
        <v/>
      </c>
      <c r="S18" s="94" t="str">
        <f t="array" ref="S18">IFERROR(INDEX(Skill!$X:$X, MATCH(S$4, Skill!$C:$C, 0), 1), "")</f>
        <v/>
      </c>
      <c r="T18" s="94" t="str">
        <f t="array" ref="T18">IFERROR(INDEX(Skill!$X:$X, MATCH(T$4, Skill!$C:$C, 0), 1), "")</f>
        <v/>
      </c>
      <c r="U18" s="94" t="str">
        <f t="array" ref="U18">IFERROR(INDEX(Skill!$X:$X, MATCH(U$4, Skill!$C:$C, 0), 1), "")</f>
        <v/>
      </c>
      <c r="V18" s="94" t="str">
        <f t="array" ref="V18">IFERROR(INDEX(Skill!$X:$X, MATCH(V$4, Skill!$C:$C, 0), 1), "")</f>
        <v/>
      </c>
      <c r="W18" s="94" t="str">
        <f t="array" ref="W18">IFERROR(INDEX(Skill!$X:$X, MATCH(W$4, Skill!$C:$C, 0), 1), "")</f>
        <v/>
      </c>
      <c r="X18" s="94" t="str">
        <f t="array" ref="X18">IFERROR(INDEX(Skill!$X:$X, MATCH(X$4, Skill!$C:$C, 0), 1), "")</f>
        <v/>
      </c>
      <c r="Y18" s="94" t="str">
        <f t="array" ref="Y18">IFERROR(INDEX(Skill!$X:$X, MATCH(Y$4, Skill!$C:$C, 0), 1), "")</f>
        <v/>
      </c>
      <c r="Z18" s="94" t="str">
        <f t="array" ref="Z18">IFERROR(INDEX(Skill!$X:$X, MATCH(Z$4, Skill!$C:$C, 0), 1), "")</f>
        <v/>
      </c>
      <c r="AA18" s="94" t="str">
        <f t="array" ref="AA18">IFERROR(INDEX(Skill!$X:$X, MATCH(AA$4, Skill!$C:$C, 0), 1), "")</f>
        <v/>
      </c>
      <c r="AB18" s="94" t="str">
        <f t="array" ref="AB18">IFERROR(INDEX(Skill!$X:$X, MATCH(AB$4, Skill!$C:$C, 0), 1), "")</f>
        <v/>
      </c>
      <c r="AC18" s="94" t="str">
        <f t="array" ref="AC18">IFERROR(INDEX(Skill!$X:$X, MATCH(AC$4, Skill!$C:$C, 0), 1), "")</f>
        <v/>
      </c>
      <c r="AD18" s="94" t="str">
        <f t="array" ref="AD18">IFERROR(INDEX(Skill!$X:$X, MATCH(AD$4, Skill!$C:$C, 0), 1), "")</f>
        <v/>
      </c>
      <c r="AE18" s="94" t="str">
        <f t="array" ref="AE18">IFERROR(INDEX(Skill!$X:$X, MATCH(AE$4, Skill!$C:$C, 0), 1), "")</f>
        <v/>
      </c>
      <c r="AF18" s="94" t="str">
        <f t="array" ref="AF18">IFERROR(INDEX(Skill!$X:$X, MATCH(AF$4, Skill!$C:$C, 0), 1), "")</f>
        <v/>
      </c>
      <c r="AG18" s="94" t="str">
        <f t="array" ref="AG18">IFERROR(INDEX(Skill!$X:$X, MATCH(AG$4, Skill!$C:$C, 0), 1), "")</f>
        <v/>
      </c>
      <c r="AH18" s="94" t="str">
        <f t="array" ref="AH18">IFERROR(INDEX(Skill!$X:$X, MATCH(AH$4, Skill!$C:$C, 0), 1), "")</f>
        <v/>
      </c>
      <c r="AI18" s="94" t="str">
        <f t="array" ref="AI18">IFERROR(INDEX(Skill!$X:$X, MATCH(AI$4, Skill!$C:$C, 0), 1), "")</f>
        <v/>
      </c>
      <c r="AJ18" s="94" t="str">
        <f t="array" ref="AJ18">IFERROR(INDEX(Skill!$X:$X, MATCH(AJ$4, Skill!$C:$C, 0), 1), "")</f>
        <v/>
      </c>
      <c r="AK18" s="94" t="str">
        <f t="array" ref="AK18">IFERROR(INDEX(Skill!$X:$X, MATCH(AK$4, Skill!$C:$C, 0), 1), "")</f>
        <v/>
      </c>
      <c r="AL18" s="94" t="str">
        <f t="array" ref="AL18">IFERROR(INDEX(Skill!$X:$X, MATCH(AL$4, Skill!$C:$C, 0), 1), "")</f>
        <v/>
      </c>
      <c r="AM18" s="94" t="str">
        <f t="array" ref="AM18">IFERROR(INDEX(Skill!$X:$X, MATCH(AM$4, Skill!$C:$C, 0), 1), "")</f>
        <v/>
      </c>
      <c r="AN18" s="94" t="str">
        <f t="array" ref="AN18">IFERROR(INDEX(Skill!$X:$X, MATCH(AN$4, Skill!$C:$C, 0), 1), "")</f>
        <v/>
      </c>
      <c r="AO18" s="94" t="str">
        <f t="array" ref="AO18">IFERROR(INDEX(Skill!$X:$X, MATCH(AO$4, Skill!$C:$C, 0), 1), "")</f>
        <v/>
      </c>
      <c r="AP18" s="94" t="str">
        <f t="array" ref="AP18">IFERROR(INDEX(Skill!$X:$X, MATCH(AP$4, Skill!$C:$C, 0), 1), "")</f>
        <v/>
      </c>
      <c r="AQ18" s="94" t="str">
        <f t="array" ref="AQ18">IFERROR(INDEX(Skill!$X:$X, MATCH(AQ$4, Skill!$C:$C, 0), 1), "")</f>
        <v/>
      </c>
      <c r="AR18" s="94" t="str">
        <f t="array" ref="AR18">IFERROR(INDEX(Skill!$X:$X, MATCH(AR$4, Skill!$C:$C, 0), 1), "")</f>
        <v/>
      </c>
      <c r="AS18" s="94" t="str">
        <f t="array" ref="AS18">IFERROR(INDEX(Skill!$X:$X, MATCH(AS$4, Skill!$C:$C, 0), 1), "")</f>
        <v/>
      </c>
      <c r="AT18" s="94" t="str">
        <f t="array" ref="AT18">IFERROR(INDEX(Skill!$X:$X, MATCH(AT$4, Skill!$C:$C, 0), 1), "")</f>
        <v/>
      </c>
      <c r="AU18" s="94" t="str">
        <f t="array" ref="AU18">IFERROR(INDEX(Skill!$X:$X, MATCH(AU$4, Skill!$C:$C, 0), 1), "")</f>
        <v/>
      </c>
      <c r="AV18" s="94" t="str">
        <f t="array" ref="AV18">IFERROR(INDEX(Skill!$X:$X, MATCH(AV$4, Skill!$C:$C, 0), 1), "")</f>
        <v/>
      </c>
      <c r="AW18" s="94" t="str">
        <f t="array" ref="AW18">IFERROR(INDEX(Skill!$X:$X, MATCH(AW$4, Skill!$C:$C, 0), 1), "")</f>
        <v/>
      </c>
      <c r="AX18" s="94" t="str">
        <f t="array" ref="AX18">IFERROR(INDEX(Skill!$X:$X, MATCH(AX$4, Skill!$C:$C, 0), 1), "")</f>
        <v/>
      </c>
      <c r="AY18" s="94" t="str">
        <f t="array" ref="AY18">IFERROR(INDEX(Skill!$X:$X, MATCH(AY$4, Skill!$C:$C, 0), 1), "")</f>
        <v/>
      </c>
      <c r="AZ18" s="94" t="str">
        <f t="array" ref="AZ18">IFERROR(INDEX(Skill!$X:$X, MATCH(AZ$4, Skill!$C:$C, 0), 1), "")</f>
        <v/>
      </c>
      <c r="BA18" s="94" t="str">
        <f t="array" ref="BA18">IFERROR(INDEX(Skill!$X:$X, MATCH(BA$4, Skill!$C:$C, 0), 1), "")</f>
        <v/>
      </c>
      <c r="BB18" s="94" t="str">
        <f t="array" ref="BB18">IFERROR(INDEX(Skill!$X:$X, MATCH(BB$4, Skill!$C:$C, 0), 1), "")</f>
        <v/>
      </c>
      <c r="BC18" s="94" t="str">
        <f t="array" ref="BC18">IFERROR(INDEX(Skill!$X:$X, MATCH(BC$4, Skill!$C:$C, 0), 1), "")</f>
        <v/>
      </c>
      <c r="BD18" s="94" t="str">
        <f t="array" ref="BD18">IFERROR(INDEX(Skill!$X:$X, MATCH(BD$4, Skill!$C:$C, 0), 1), "")</f>
        <v/>
      </c>
      <c r="BE18" s="94" t="str">
        <f t="array" ref="BE18">IFERROR(INDEX(Skill!$X:$X, MATCH(BE$4, Skill!$C:$C, 0), 1), "")</f>
        <v/>
      </c>
      <c r="BF18" s="94" t="str">
        <f t="array" ref="BF18">IFERROR(INDEX(Skill!$X:$X, MATCH(BF$4, Skill!$C:$C, 0), 1), "")</f>
        <v/>
      </c>
      <c r="BG18" s="94" t="str">
        <f t="array" ref="BG18">IFERROR(INDEX(Skill!$X:$X, MATCH(BG$4, Skill!$C:$C, 0), 1), "")</f>
        <v/>
      </c>
      <c r="BH18" s="94" t="str">
        <f t="array" ref="BH18">IFERROR(INDEX(Skill!$X:$X, MATCH(BH$4, Skill!$C:$C, 0), 1), "")</f>
        <v/>
      </c>
      <c r="BI18" s="94" t="str">
        <f t="array" ref="BI18">IFERROR(INDEX(Skill!$X:$X, MATCH(BI$4, Skill!$C:$C, 0), 1), "")</f>
        <v/>
      </c>
      <c r="BJ18" s="94" t="str">
        <f t="array" ref="BJ18">IFERROR(INDEX(Skill!$X:$X, MATCH(BJ$4, Skill!$C:$C, 0), 1), "")</f>
        <v/>
      </c>
      <c r="BK18" s="94" t="str">
        <f t="array" ref="BK18">IFERROR(INDEX(Skill!$X:$X, MATCH(BK$4, Skill!$C:$C, 0), 1), "")</f>
        <v/>
      </c>
      <c r="BL18" s="94" t="str">
        <f t="array" ref="BL18">IFERROR(INDEX(Skill!$X:$X, MATCH(BL$4, Skill!$C:$C, 0), 1), "")</f>
        <v/>
      </c>
      <c r="BM18" s="94" t="str">
        <f t="array" ref="BM18">IFERROR(INDEX(Skill!$X:$X, MATCH(BM$4, Skill!$C:$C, 0), 1), "")</f>
        <v/>
      </c>
      <c r="BN18" s="94" t="str">
        <f t="array" ref="BN18">IFERROR(INDEX(Skill!$X:$X, MATCH(BN$4, Skill!$C:$C, 0), 1), "")</f>
        <v/>
      </c>
      <c r="BO18" s="94" t="str">
        <f t="array" ref="BO18">IFERROR(INDEX(Skill!$X:$X, MATCH(BO$4, Skill!$C:$C, 0), 1), "")</f>
        <v/>
      </c>
      <c r="BP18" s="94" t="str">
        <f t="array" ref="BP18">IFERROR(INDEX(Skill!$X:$X, MATCH(BP$4, Skill!$C:$C, 0), 1), "")</f>
        <v/>
      </c>
      <c r="BQ18" s="94" t="str">
        <f t="array" ref="BQ18">IFERROR(INDEX(Skill!$X:$X, MATCH(BQ$4, Skill!$C:$C, 0), 1), "")</f>
        <v/>
      </c>
      <c r="BR18" s="94" t="str">
        <f t="array" ref="BR18">IFERROR(INDEX(Skill!$X:$X, MATCH(BR$4, Skill!$C:$C, 0), 1), "")</f>
        <v/>
      </c>
      <c r="BS18" s="94" t="str">
        <f t="array" ref="BS18">IFERROR(INDEX(Skill!$X:$X, MATCH(BS$4, Skill!$C:$C, 0), 1), "")</f>
        <v/>
      </c>
      <c r="BT18" s="94" t="str">
        <f t="array" ref="BT18">IFERROR(INDEX(Skill!$X:$X, MATCH(BT$4, Skill!$C:$C, 0), 1), "")</f>
        <v/>
      </c>
      <c r="BU18" s="94" t="str">
        <f t="array" ref="BU18">IFERROR(INDEX(Skill!$X:$X, MATCH(BU$4, Skill!$C:$C, 0), 1), "")</f>
        <v/>
      </c>
      <c r="BV18" s="94" t="str">
        <f t="array" ref="BV18">IFERROR(INDEX(Skill!$X:$X, MATCH(BV$4, Skill!$C:$C, 0), 1), "")</f>
        <v/>
      </c>
      <c r="BW18" s="94" t="str">
        <f t="array" ref="BW18">IFERROR(INDEX(Skill!$X:$X, MATCH(BW$4, Skill!$C:$C, 0), 1), "")</f>
        <v/>
      </c>
      <c r="BX18" s="94" t="str">
        <f t="array" ref="BX18">IFERROR(INDEX(Skill!$X:$X, MATCH(BX$4, Skill!$C:$C, 0), 1), "")</f>
        <v/>
      </c>
      <c r="BY18" s="94" t="str">
        <f t="array" ref="BY18">IFERROR(INDEX(Skill!$X:$X, MATCH(BY$4, Skill!$C:$C, 0), 1), "")</f>
        <v/>
      </c>
      <c r="BZ18" s="94" t="str">
        <f t="array" ref="BZ18">IFERROR(INDEX(Skill!$X:$X, MATCH(BZ$4, Skill!$C:$C, 0), 1), "")</f>
        <v/>
      </c>
      <c r="CA18" s="94" t="str">
        <f t="array" ref="CA18">IFERROR(INDEX(Skill!$X:$X, MATCH(CA$4, Skill!$C:$C, 0), 1), "")</f>
        <v/>
      </c>
      <c r="CB18" s="94" t="str">
        <f t="array" ref="CB18">IFERROR(INDEX(Skill!$X:$X, MATCH(CB$4, Skill!$C:$C, 0), 1), "")</f>
        <v/>
      </c>
      <c r="CC18" s="94" t="str">
        <f t="array" ref="CC18">IFERROR(INDEX(Skill!$X:$X, MATCH(CC$4, Skill!$C:$C, 0), 1), "")</f>
        <v/>
      </c>
      <c r="CD18" s="94" t="str">
        <f t="array" ref="CD18">IFERROR(INDEX(Skill!$X:$X, MATCH(CD$4, Skill!$C:$C, 0), 1), "")</f>
        <v/>
      </c>
      <c r="CE18" s="94" t="str">
        <f t="array" ref="CE18">IFERROR(INDEX(Skill!$X:$X, MATCH(CE$4, Skill!$C:$C, 0), 1), "")</f>
        <v/>
      </c>
      <c r="CF18" s="94" t="str">
        <f t="array" ref="CF18">IFERROR(INDEX(Skill!$X:$X, MATCH(CF$4, Skill!$C:$C, 0), 1), "")</f>
        <v/>
      </c>
      <c r="CG18" s="94" t="str">
        <f t="array" ref="CG18">IFERROR(INDEX(Skill!$X:$X, MATCH(CG$4, Skill!$C:$C, 0), 1), "")</f>
        <v/>
      </c>
      <c r="CH18" s="94" t="str">
        <f t="array" ref="CH18">IFERROR(INDEX(Skill!$X:$X, MATCH(CH$4, Skill!$C:$C, 0), 1), "")</f>
        <v/>
      </c>
      <c r="CI18" s="94" t="str">
        <f t="array" ref="CI18">IFERROR(INDEX(Skill!$X:$X, MATCH(CI$4, Skill!$C:$C, 0), 1), "")</f>
        <v/>
      </c>
      <c r="CJ18" s="94" t="str">
        <f t="array" ref="CJ18">IFERROR(INDEX(Skill!$X:$X, MATCH(CJ$4, Skill!$C:$C, 0), 1), "")</f>
        <v/>
      </c>
      <c r="CK18" s="94" t="str">
        <f t="array" ref="CK18">IFERROR(INDEX(Skill!$X:$X, MATCH(CK$4, Skill!$C:$C, 0), 1), "")</f>
        <v/>
      </c>
      <c r="CL18" s="94" t="str">
        <f t="array" ref="CL18">IFERROR(INDEX(Skill!$X:$X, MATCH(CL$4, Skill!$C:$C, 0), 1), "")</f>
        <v/>
      </c>
      <c r="CM18" s="94" t="str">
        <f t="array" ref="CM18">IFERROR(INDEX(Skill!$X:$X, MATCH(CM$4, Skill!$C:$C, 0), 1), "")</f>
        <v/>
      </c>
      <c r="CN18" s="94" t="str">
        <f t="array" ref="CN18">IFERROR(INDEX(Skill!$X:$X, MATCH(CN$4, Skill!$C:$C, 0), 1), "")</f>
        <v/>
      </c>
      <c r="CO18" s="94" t="str">
        <f t="array" ref="CO18">IFERROR(INDEX(Skill!$X:$X, MATCH(CO$4, Skill!$C:$C, 0), 1), "")</f>
        <v/>
      </c>
      <c r="CP18" s="94" t="str">
        <f t="array" ref="CP18">IFERROR(INDEX(Skill!$X:$X, MATCH(CP$4, Skill!$C:$C, 0), 1), "")</f>
        <v/>
      </c>
      <c r="CQ18" s="94" t="str">
        <f t="array" ref="CQ18">IFERROR(INDEX(Skill!$X:$X, MATCH(CQ$4, Skill!$C:$C, 0), 1), "")</f>
        <v/>
      </c>
      <c r="CR18" s="94" t="str">
        <f t="array" ref="CR18">IFERROR(INDEX(Skill!$X:$X, MATCH(CR$4, Skill!$C:$C, 0), 1), "")</f>
        <v/>
      </c>
      <c r="CS18" s="94" t="str">
        <f t="array" ref="CS18">IFERROR(INDEX(Skill!$X:$X, MATCH(CS$4, Skill!$C:$C, 0), 1), "")</f>
        <v/>
      </c>
      <c r="CT18" s="94" t="str">
        <f t="array" ref="CT18">IFERROR(INDEX(Skill!$X:$X, MATCH(CT$4, Skill!$C:$C, 0), 1), "")</f>
        <v/>
      </c>
      <c r="CU18" s="94" t="str">
        <f t="array" ref="CU18">IFERROR(INDEX(Skill!$X:$X, MATCH(CU$4, Skill!$C:$C, 0), 1), "")</f>
        <v/>
      </c>
      <c r="CV18" s="94" t="str">
        <f t="array" ref="CV18">IFERROR(INDEX(Skill!$X:$X, MATCH(CV$4, Skill!$C:$C, 0), 1), "")</f>
        <v/>
      </c>
      <c r="CW18" s="94" t="str">
        <f t="array" ref="CW18">IFERROR(INDEX(Skill!$X:$X, MATCH(CW$4, Skill!$C:$C, 0), 1), "")</f>
        <v/>
      </c>
      <c r="CX18" s="94" t="str">
        <f t="array" ref="CX18">IFERROR(INDEX(Skill!$X:$X, MATCH(CX$4, Skill!$C:$C, 0), 1), "")</f>
        <v/>
      </c>
      <c r="CY18" s="94" t="str">
        <f t="array" ref="CY18">IFERROR(INDEX(Skill!$X:$X, MATCH(CY$4, Skill!$C:$C, 0), 1), "")</f>
        <v/>
      </c>
      <c r="CZ18" s="94" t="str">
        <f t="array" ref="CZ18">IFERROR(INDEX(Skill!$X:$X, MATCH(CZ$4, Skill!$C:$C, 0), 1), "")</f>
        <v/>
      </c>
      <c r="DA18" s="94" t="str">
        <f t="array" ref="DA18">IFERROR(INDEX(Skill!$X:$X, MATCH(DA$4, Skill!$C:$C, 0), 1), "")</f>
        <v/>
      </c>
      <c r="DB18" s="94" t="str">
        <f t="array" ref="DB18">IFERROR(INDEX(Skill!$X:$X, MATCH(DB$4, Skill!$C:$C, 0), 1), "")</f>
        <v/>
      </c>
      <c r="DC18" s="94" t="str">
        <f t="array" ref="DC18">IFERROR(INDEX(Skill!$X:$X, MATCH(DC$4, Skill!$C:$C, 0), 1), "")</f>
        <v/>
      </c>
      <c r="DD18" s="94" t="str">
        <f t="array" ref="DD18">IFERROR(INDEX(Skill!$X:$X, MATCH(DD$4, Skill!$C:$C, 0), 1), "")</f>
        <v/>
      </c>
      <c r="DE18" s="94" t="str">
        <f t="array" ref="DE18">IFERROR(INDEX(Skill!$X:$X, MATCH(DE$4, Skill!$C:$C, 0), 1), "")</f>
        <v/>
      </c>
      <c r="DF18" s="94" t="str">
        <f t="array" ref="DF18">IFERROR(INDEX(Skill!$X:$X, MATCH(DF$4, Skill!$C:$C, 0), 1), "")</f>
        <v/>
      </c>
      <c r="DG18" s="94" t="str">
        <f t="array" ref="DG18">IFERROR(INDEX(Skill!$X:$X, MATCH(DG$4, Skill!$C:$C, 0), 1), "")</f>
        <v/>
      </c>
      <c r="DH18" s="94" t="str">
        <f t="array" ref="DH18">IFERROR(INDEX(Skill!$X:$X, MATCH(DH$4, Skill!$C:$C, 0), 1), "")</f>
        <v/>
      </c>
      <c r="DI18" s="94" t="str">
        <f t="array" ref="DI18">IFERROR(INDEX(Skill!$X:$X, MATCH(DI$4, Skill!$C:$C, 0), 1), "")</f>
        <v/>
      </c>
      <c r="DJ18" s="94" t="str">
        <f t="array" ref="DJ18">IFERROR(INDEX(Skill!$X:$X, MATCH(DJ$4, Skill!$C:$C, 0), 1), "")</f>
        <v/>
      </c>
      <c r="DK18" s="94" t="str">
        <f t="array" ref="DK18">IFERROR(INDEX(Skill!$X:$X, MATCH(DK$4, Skill!$C:$C, 0), 1), "")</f>
        <v/>
      </c>
      <c r="DL18" s="94" t="str">
        <f t="array" ref="DL18">IFERROR(INDEX(Skill!$X:$X, MATCH(DL$4, Skill!$C:$C, 0), 1), "")</f>
        <v/>
      </c>
      <c r="DM18" s="94" t="str">
        <f t="array" ref="DM18">IFERROR(INDEX(Skill!$X:$X, MATCH(DM$4, Skill!$C:$C, 0), 1), "")</f>
        <v/>
      </c>
      <c r="DN18" s="94" t="str">
        <f t="array" ref="DN18">IFERROR(INDEX(Skill!$X:$X, MATCH(DN$4, Skill!$C:$C, 0), 1), "")</f>
        <v/>
      </c>
      <c r="DO18" s="94" t="str">
        <f t="array" ref="DO18">IFERROR(INDEX(Skill!$X:$X, MATCH(DO$4, Skill!$C:$C, 0), 1), "")</f>
        <v/>
      </c>
      <c r="DP18" s="94" t="str">
        <f t="array" ref="DP18">IFERROR(INDEX(Skill!$X:$X, MATCH(DP$4, Skill!$C:$C, 0), 1), "")</f>
        <v/>
      </c>
      <c r="DQ18" s="94" t="str">
        <f t="array" ref="DQ18">IFERROR(INDEX(Skill!$X:$X, MATCH(DQ$4, Skill!$C:$C, 0), 1), "")</f>
        <v/>
      </c>
      <c r="DR18" s="94" t="str">
        <f t="array" ref="DR18">IFERROR(INDEX(Skill!$X:$X, MATCH(DR$4, Skill!$C:$C, 0), 1), "")</f>
        <v/>
      </c>
      <c r="DS18" s="94" t="str">
        <f t="array" ref="DS18">IFERROR(INDEX(Skill!$X:$X, MATCH(DS$4, Skill!$C:$C, 0), 1), "")</f>
        <v/>
      </c>
      <c r="DT18" s="94" t="str">
        <f t="array" ref="DT18">IFERROR(INDEX(Skill!$X:$X, MATCH(DT$4, Skill!$C:$C, 0), 1), "")</f>
        <v/>
      </c>
      <c r="DU18" s="94" t="str">
        <f t="array" ref="DU18">IFERROR(INDEX(Skill!$X:$X, MATCH(DU$4, Skill!$C:$C, 0), 1), "")</f>
        <v/>
      </c>
      <c r="DV18" s="94" t="str">
        <f t="array" ref="DV18">IFERROR(INDEX(Skill!$X:$X, MATCH(DV$4, Skill!$C:$C, 0), 1), "")</f>
        <v/>
      </c>
      <c r="DW18" s="94" t="str">
        <f t="array" ref="DW18">IFERROR(INDEX(Skill!$X:$X, MATCH(DW$4, Skill!$C:$C, 0), 1), "")</f>
        <v/>
      </c>
      <c r="DX18" s="94" t="str">
        <f t="array" ref="DX18">IFERROR(INDEX(Skill!$X:$X, MATCH(DX$4, Skill!$C:$C, 0), 1), "")</f>
        <v/>
      </c>
      <c r="DY18" s="94" t="str">
        <f t="array" ref="DY18">IFERROR(INDEX(Skill!$X:$X, MATCH(DY$4, Skill!$C:$C, 0), 1), "")</f>
        <v/>
      </c>
      <c r="DZ18" s="94" t="str">
        <f t="array" ref="DZ18">IFERROR(INDEX(Skill!$X:$X, MATCH(DZ$4, Skill!$C:$C, 0), 1), "")</f>
        <v/>
      </c>
      <c r="EA18" s="89" t="str">
        <f t="array" ref="EA18">IFERROR(INDEX(Skill!$X:$X, MATCH(EA$4, Skill!$C:$C, 0), 1), "")</f>
        <v/>
      </c>
      <c r="EB18" s="89" t="str">
        <f t="array" ref="EB18">IFERROR(INDEX(Skill!$X:$X, MATCH(EB$4, Skill!$C:$C, 0), 1), "")</f>
        <v/>
      </c>
      <c r="EC18" s="89" t="str">
        <f t="array" ref="EC18">IFERROR(INDEX(Skill!$X:$X, MATCH(EC$4, Skill!$C:$C, 0), 1), "")</f>
        <v/>
      </c>
      <c r="ED18" s="94" t="str">
        <f t="array" ref="ED18">IFERROR(INDEX(Skill!$X:$X, MATCH(ED$4, Skill!$C:$C, 0), 1), "")</f>
        <v/>
      </c>
      <c r="EE18" s="102"/>
      <c r="EF18" s="102"/>
      <c r="EG18" s="102"/>
      <c r="EH18" s="102"/>
      <c r="EI18" s="102"/>
      <c r="EJ18" s="102"/>
      <c r="EK18" s="102"/>
      <c r="EL18" s="102"/>
      <c r="EM18" s="102"/>
      <c r="EN18" s="102"/>
      <c r="EO18" s="102"/>
      <c r="EP18" s="102"/>
      <c r="EQ18" s="102"/>
      <c r="ER18" s="103"/>
      <c r="ES18" s="103"/>
      <c r="ET18" s="103"/>
      <c r="EU18" s="76"/>
      <c r="EV18" s="76"/>
      <c r="EW18" s="76"/>
      <c r="EX18" s="76"/>
      <c r="EY18" s="76"/>
      <c r="EZ18" s="76"/>
      <c r="FA18" s="76"/>
      <c r="FB18" s="76"/>
      <c r="FC18" s="76"/>
      <c r="FD18" s="76"/>
      <c r="FE18" s="76"/>
      <c r="FF18" s="76"/>
      <c r="FG18" s="76"/>
      <c r="FH18" s="76"/>
      <c r="FI18" s="76"/>
      <c r="FJ18" s="76"/>
      <c r="FK18" s="76"/>
      <c r="FL18" s="76"/>
      <c r="FM18" s="76"/>
      <c r="FN18" s="76"/>
      <c r="FO18" s="91"/>
    </row>
    <row r="19" hidden="1">
      <c r="B19" s="84"/>
      <c r="C19" s="83"/>
      <c r="D19" s="83"/>
      <c r="E19" s="105" t="s">
        <v>10</v>
      </c>
      <c r="F19" s="84"/>
      <c r="G19" s="84"/>
      <c r="H19" s="84"/>
      <c r="I19" s="84"/>
      <c r="J19" s="84"/>
      <c r="K19" s="94" t="str">
        <f t="array" ref="K19">IFERROR(INDEX(Skill!$W:$W, MATCH(K$4, Skill!$C:$C, 0), 1), "")</f>
        <v/>
      </c>
      <c r="L19" s="94" t="str">
        <f t="array" ref="L19">IFERROR(INDEX(Skill!$W:$W, MATCH(L$4, Skill!$C:$C, 0), 1), "")</f>
        <v/>
      </c>
      <c r="M19" s="94" t="str">
        <f t="array" ref="M19">IFERROR(INDEX(Skill!$W:$W, MATCH(M$4, Skill!$C:$C, 0), 1), "")</f>
        <v/>
      </c>
      <c r="N19" s="94">
        <f t="array" ref="N19">IFERROR(INDEX(Skill!$W:$W, MATCH(N$4, Skill!$C:$C, 0), 1), "")</f>
        <v>0.8</v>
      </c>
      <c r="O19" s="94" t="str">
        <f t="array" ref="O19">IFERROR(INDEX(Skill!$W:$W, MATCH(O$4, Skill!$C:$C, 0), 1), "")</f>
        <v/>
      </c>
      <c r="P19" s="94" t="str">
        <f t="array" ref="P19">IFERROR(INDEX(Skill!$W:$W, MATCH(P$4, Skill!$C:$C, 0), 1), "")</f>
        <v/>
      </c>
      <c r="Q19" s="94" t="str">
        <f t="array" ref="Q19">IFERROR(INDEX(Skill!$W:$W, MATCH(Q$4, Skill!$C:$C, 0), 1), "")</f>
        <v/>
      </c>
      <c r="R19" s="94" t="str">
        <f t="array" ref="R19">IFERROR(INDEX(Skill!$W:$W, MATCH(R$4, Skill!$C:$C, 0), 1), "")</f>
        <v/>
      </c>
      <c r="S19" s="94" t="str">
        <f t="array" ref="S19">IFERROR(INDEX(Skill!$W:$W, MATCH(S$4, Skill!$C:$C, 0), 1), "")</f>
        <v/>
      </c>
      <c r="T19" s="94" t="str">
        <f t="array" ref="T19">IFERROR(INDEX(Skill!$W:$W, MATCH(T$4, Skill!$C:$C, 0), 1), "")</f>
        <v/>
      </c>
      <c r="U19" s="94" t="str">
        <f t="array" ref="U19">IFERROR(INDEX(Skill!$W:$W, MATCH(U$4, Skill!$C:$C, 0), 1), "")</f>
        <v/>
      </c>
      <c r="V19" s="94" t="str">
        <f t="array" ref="V19">IFERROR(INDEX(Skill!$W:$W, MATCH(V$4, Skill!$C:$C, 0), 1), "")</f>
        <v/>
      </c>
      <c r="W19" s="94" t="str">
        <f t="array" ref="W19">IFERROR(INDEX(Skill!$W:$W, MATCH(W$4, Skill!$C:$C, 0), 1), "")</f>
        <v/>
      </c>
      <c r="X19" s="94" t="str">
        <f t="array" ref="X19">IFERROR(INDEX(Skill!$W:$W, MATCH(X$4, Skill!$C:$C, 0), 1), "")</f>
        <v/>
      </c>
      <c r="Y19" s="94" t="str">
        <f t="array" ref="Y19">IFERROR(INDEX(Skill!$W:$W, MATCH(Y$4, Skill!$C:$C, 0), 1), "")</f>
        <v/>
      </c>
      <c r="Z19" s="94" t="str">
        <f t="array" ref="Z19">IFERROR(INDEX(Skill!$W:$W, MATCH(Z$4, Skill!$C:$C, 0), 1), "")</f>
        <v/>
      </c>
      <c r="AA19" s="94" t="str">
        <f t="array" ref="AA19">IFERROR(INDEX(Skill!$W:$W, MATCH(AA$4, Skill!$C:$C, 0), 1), "")</f>
        <v/>
      </c>
      <c r="AB19" s="94" t="str">
        <f t="array" ref="AB19">IFERROR(INDEX(Skill!$W:$W, MATCH(AB$4, Skill!$C:$C, 0), 1), "")</f>
        <v/>
      </c>
      <c r="AC19" s="94" t="str">
        <f t="array" ref="AC19">IFERROR(INDEX(Skill!$W:$W, MATCH(AC$4, Skill!$C:$C, 0), 1), "")</f>
        <v/>
      </c>
      <c r="AD19" s="94" t="str">
        <f t="array" ref="AD19">IFERROR(INDEX(Skill!$W:$W, MATCH(AD$4, Skill!$C:$C, 0), 1), "")</f>
        <v/>
      </c>
      <c r="AE19" s="94" t="str">
        <f t="array" ref="AE19">IFERROR(INDEX(Skill!$W:$W, MATCH(AE$4, Skill!$C:$C, 0), 1), "")</f>
        <v/>
      </c>
      <c r="AF19" s="94" t="str">
        <f t="array" ref="AF19">IFERROR(INDEX(Skill!$W:$W, MATCH(AF$4, Skill!$C:$C, 0), 1), "")</f>
        <v/>
      </c>
      <c r="AG19" s="94" t="str">
        <f t="array" ref="AG19">IFERROR(INDEX(Skill!$W:$W, MATCH(AG$4, Skill!$C:$C, 0), 1), "")</f>
        <v/>
      </c>
      <c r="AH19" s="94" t="str">
        <f t="array" ref="AH19">IFERROR(INDEX(Skill!$W:$W, MATCH(AH$4, Skill!$C:$C, 0), 1), "")</f>
        <v/>
      </c>
      <c r="AI19" s="94" t="str">
        <f t="array" ref="AI19">IFERROR(INDEX(Skill!$W:$W, MATCH(AI$4, Skill!$C:$C, 0), 1), "")</f>
        <v/>
      </c>
      <c r="AJ19" s="94" t="str">
        <f t="array" ref="AJ19">IFERROR(INDEX(Skill!$W:$W, MATCH(AJ$4, Skill!$C:$C, 0), 1), "")</f>
        <v/>
      </c>
      <c r="AK19" s="94" t="str">
        <f t="array" ref="AK19">IFERROR(INDEX(Skill!$W:$W, MATCH(AK$4, Skill!$C:$C, 0), 1), "")</f>
        <v/>
      </c>
      <c r="AL19" s="94" t="str">
        <f t="array" ref="AL19">IFERROR(INDEX(Skill!$W:$W, MATCH(AL$4, Skill!$C:$C, 0), 1), "")</f>
        <v/>
      </c>
      <c r="AM19" s="94" t="str">
        <f t="array" ref="AM19">IFERROR(INDEX(Skill!$W:$W, MATCH(AM$4, Skill!$C:$C, 0), 1), "")</f>
        <v/>
      </c>
      <c r="AN19" s="94" t="str">
        <f t="array" ref="AN19">IFERROR(INDEX(Skill!$W:$W, MATCH(AN$4, Skill!$C:$C, 0), 1), "")</f>
        <v/>
      </c>
      <c r="AO19" s="94" t="str">
        <f t="array" ref="AO19">IFERROR(INDEX(Skill!$W:$W, MATCH(AO$4, Skill!$C:$C, 0), 1), "")</f>
        <v/>
      </c>
      <c r="AP19" s="94" t="str">
        <f t="array" ref="AP19">IFERROR(INDEX(Skill!$W:$W, MATCH(AP$4, Skill!$C:$C, 0), 1), "")</f>
        <v/>
      </c>
      <c r="AQ19" s="94" t="str">
        <f t="array" ref="AQ19">IFERROR(INDEX(Skill!$W:$W, MATCH(AQ$4, Skill!$C:$C, 0), 1), "")</f>
        <v/>
      </c>
      <c r="AR19" s="94" t="str">
        <f t="array" ref="AR19">IFERROR(INDEX(Skill!$W:$W, MATCH(AR$4, Skill!$C:$C, 0), 1), "")</f>
        <v/>
      </c>
      <c r="AS19" s="94" t="str">
        <f t="array" ref="AS19">IFERROR(INDEX(Skill!$W:$W, MATCH(AS$4, Skill!$C:$C, 0), 1), "")</f>
        <v/>
      </c>
      <c r="AT19" s="94" t="str">
        <f t="array" ref="AT19">IFERROR(INDEX(Skill!$W:$W, MATCH(AT$4, Skill!$C:$C, 0), 1), "")</f>
        <v/>
      </c>
      <c r="AU19" s="94" t="str">
        <f t="array" ref="AU19">IFERROR(INDEX(Skill!$W:$W, MATCH(AU$4, Skill!$C:$C, 0), 1), "")</f>
        <v/>
      </c>
      <c r="AV19" s="94" t="str">
        <f t="array" ref="AV19">IFERROR(INDEX(Skill!$W:$W, MATCH(AV$4, Skill!$C:$C, 0), 1), "")</f>
        <v/>
      </c>
      <c r="AW19" s="94" t="str">
        <f t="array" ref="AW19">IFERROR(INDEX(Skill!$W:$W, MATCH(AW$4, Skill!$C:$C, 0), 1), "")</f>
        <v/>
      </c>
      <c r="AX19" s="94" t="str">
        <f t="array" ref="AX19">IFERROR(INDEX(Skill!$W:$W, MATCH(AX$4, Skill!$C:$C, 0), 1), "")</f>
        <v/>
      </c>
      <c r="AY19" s="94" t="str">
        <f t="array" ref="AY19">IFERROR(INDEX(Skill!$W:$W, MATCH(AY$4, Skill!$C:$C, 0), 1), "")</f>
        <v/>
      </c>
      <c r="AZ19" s="94" t="str">
        <f t="array" ref="AZ19">IFERROR(INDEX(Skill!$W:$W, MATCH(AZ$4, Skill!$C:$C, 0), 1), "")</f>
        <v/>
      </c>
      <c r="BA19" s="94" t="str">
        <f t="array" ref="BA19">IFERROR(INDEX(Skill!$W:$W, MATCH(BA$4, Skill!$C:$C, 0), 1), "")</f>
        <v/>
      </c>
      <c r="BB19" s="94" t="str">
        <f t="array" ref="BB19">IFERROR(INDEX(Skill!$W:$W, MATCH(BB$4, Skill!$C:$C, 0), 1), "")</f>
        <v/>
      </c>
      <c r="BC19" s="94" t="str">
        <f t="array" ref="BC19">IFERROR(INDEX(Skill!$W:$W, MATCH(BC$4, Skill!$C:$C, 0), 1), "")</f>
        <v/>
      </c>
      <c r="BD19" s="94" t="str">
        <f t="array" ref="BD19">IFERROR(INDEX(Skill!$W:$W, MATCH(BD$4, Skill!$C:$C, 0), 1), "")</f>
        <v/>
      </c>
      <c r="BE19" s="94" t="str">
        <f t="array" ref="BE19">IFERROR(INDEX(Skill!$W:$W, MATCH(BE$4, Skill!$C:$C, 0), 1), "")</f>
        <v/>
      </c>
      <c r="BF19" s="94" t="str">
        <f t="array" ref="BF19">IFERROR(INDEX(Skill!$W:$W, MATCH(BF$4, Skill!$C:$C, 0), 1), "")</f>
        <v/>
      </c>
      <c r="BG19" s="94" t="str">
        <f t="array" ref="BG19">IFERROR(INDEX(Skill!$W:$W, MATCH(BG$4, Skill!$C:$C, 0), 1), "")</f>
        <v/>
      </c>
      <c r="BH19" s="94" t="str">
        <f t="array" ref="BH19">IFERROR(INDEX(Skill!$W:$W, MATCH(BH$4, Skill!$C:$C, 0), 1), "")</f>
        <v/>
      </c>
      <c r="BI19" s="94" t="str">
        <f t="array" ref="BI19">IFERROR(INDEX(Skill!$W:$W, MATCH(BI$4, Skill!$C:$C, 0), 1), "")</f>
        <v/>
      </c>
      <c r="BJ19" s="94" t="str">
        <f t="array" ref="BJ19">IFERROR(INDEX(Skill!$W:$W, MATCH(BJ$4, Skill!$C:$C, 0), 1), "")</f>
        <v/>
      </c>
      <c r="BK19" s="94" t="str">
        <f t="array" ref="BK19">IFERROR(INDEX(Skill!$W:$W, MATCH(BK$4, Skill!$C:$C, 0), 1), "")</f>
        <v/>
      </c>
      <c r="BL19" s="94" t="str">
        <f t="array" ref="BL19">IFERROR(INDEX(Skill!$W:$W, MATCH(BL$4, Skill!$C:$C, 0), 1), "")</f>
        <v/>
      </c>
      <c r="BM19" s="94" t="str">
        <f t="array" ref="BM19">IFERROR(INDEX(Skill!$W:$W, MATCH(BM$4, Skill!$C:$C, 0), 1), "")</f>
        <v/>
      </c>
      <c r="BN19" s="94" t="str">
        <f t="array" ref="BN19">IFERROR(INDEX(Skill!$W:$W, MATCH(BN$4, Skill!$C:$C, 0), 1), "")</f>
        <v/>
      </c>
      <c r="BO19" s="94" t="str">
        <f t="array" ref="BO19">IFERROR(INDEX(Skill!$W:$W, MATCH(BO$4, Skill!$C:$C, 0), 1), "")</f>
        <v/>
      </c>
      <c r="BP19" s="94" t="str">
        <f t="array" ref="BP19">IFERROR(INDEX(Skill!$W:$W, MATCH(BP$4, Skill!$C:$C, 0), 1), "")</f>
        <v/>
      </c>
      <c r="BQ19" s="94" t="str">
        <f t="array" ref="BQ19">IFERROR(INDEX(Skill!$W:$W, MATCH(BQ$4, Skill!$C:$C, 0), 1), "")</f>
        <v/>
      </c>
      <c r="BR19" s="94" t="str">
        <f t="array" ref="BR19">IFERROR(INDEX(Skill!$W:$W, MATCH(BR$4, Skill!$C:$C, 0), 1), "")</f>
        <v/>
      </c>
      <c r="BS19" s="94" t="str">
        <f t="array" ref="BS19">IFERROR(INDEX(Skill!$W:$W, MATCH(BS$4, Skill!$C:$C, 0), 1), "")</f>
        <v/>
      </c>
      <c r="BT19" s="94" t="str">
        <f t="array" ref="BT19">IFERROR(INDEX(Skill!$W:$W, MATCH(BT$4, Skill!$C:$C, 0), 1), "")</f>
        <v/>
      </c>
      <c r="BU19" s="94" t="str">
        <f t="array" ref="BU19">IFERROR(INDEX(Skill!$W:$W, MATCH(BU$4, Skill!$C:$C, 0), 1), "")</f>
        <v/>
      </c>
      <c r="BV19" s="94" t="str">
        <f t="array" ref="BV19">IFERROR(INDEX(Skill!$W:$W, MATCH(BV$4, Skill!$C:$C, 0), 1), "")</f>
        <v/>
      </c>
      <c r="BW19" s="94" t="str">
        <f t="array" ref="BW19">IFERROR(INDEX(Skill!$W:$W, MATCH(BW$4, Skill!$C:$C, 0), 1), "")</f>
        <v/>
      </c>
      <c r="BX19" s="94" t="str">
        <f t="array" ref="BX19">IFERROR(INDEX(Skill!$W:$W, MATCH(BX$4, Skill!$C:$C, 0), 1), "")</f>
        <v/>
      </c>
      <c r="BY19" s="94" t="str">
        <f t="array" ref="BY19">IFERROR(INDEX(Skill!$W:$W, MATCH(BY$4, Skill!$C:$C, 0), 1), "")</f>
        <v/>
      </c>
      <c r="BZ19" s="94" t="str">
        <f t="array" ref="BZ19">IFERROR(INDEX(Skill!$W:$W, MATCH(BZ$4, Skill!$C:$C, 0), 1), "")</f>
        <v/>
      </c>
      <c r="CA19" s="94" t="str">
        <f t="array" ref="CA19">IFERROR(INDEX(Skill!$W:$W, MATCH(CA$4, Skill!$C:$C, 0), 1), "")</f>
        <v/>
      </c>
      <c r="CB19" s="94" t="str">
        <f t="array" ref="CB19">IFERROR(INDEX(Skill!$W:$W, MATCH(CB$4, Skill!$C:$C, 0), 1), "")</f>
        <v/>
      </c>
      <c r="CC19" s="94" t="str">
        <f t="array" ref="CC19">IFERROR(INDEX(Skill!$W:$W, MATCH(CC$4, Skill!$C:$C, 0), 1), "")</f>
        <v/>
      </c>
      <c r="CD19" s="94" t="str">
        <f t="array" ref="CD19">IFERROR(INDEX(Skill!$W:$W, MATCH(CD$4, Skill!$C:$C, 0), 1), "")</f>
        <v/>
      </c>
      <c r="CE19" s="94" t="str">
        <f t="array" ref="CE19">IFERROR(INDEX(Skill!$W:$W, MATCH(CE$4, Skill!$C:$C, 0), 1), "")</f>
        <v/>
      </c>
      <c r="CF19" s="94" t="str">
        <f t="array" ref="CF19">IFERROR(INDEX(Skill!$W:$W, MATCH(CF$4, Skill!$C:$C, 0), 1), "")</f>
        <v/>
      </c>
      <c r="CG19" s="94" t="str">
        <f t="array" ref="CG19">IFERROR(INDEX(Skill!$W:$W, MATCH(CG$4, Skill!$C:$C, 0), 1), "")</f>
        <v/>
      </c>
      <c r="CH19" s="94" t="str">
        <f t="array" ref="CH19">IFERROR(INDEX(Skill!$W:$W, MATCH(CH$4, Skill!$C:$C, 0), 1), "")</f>
        <v/>
      </c>
      <c r="CI19" s="94" t="str">
        <f t="array" ref="CI19">IFERROR(INDEX(Skill!$W:$W, MATCH(CI$4, Skill!$C:$C, 0), 1), "")</f>
        <v/>
      </c>
      <c r="CJ19" s="94" t="str">
        <f t="array" ref="CJ19">IFERROR(INDEX(Skill!$W:$W, MATCH(CJ$4, Skill!$C:$C, 0), 1), "")</f>
        <v/>
      </c>
      <c r="CK19" s="94" t="str">
        <f t="array" ref="CK19">IFERROR(INDEX(Skill!$W:$W, MATCH(CK$4, Skill!$C:$C, 0), 1), "")</f>
        <v/>
      </c>
      <c r="CL19" s="94" t="str">
        <f t="array" ref="CL19">IFERROR(INDEX(Skill!$W:$W, MATCH(CL$4, Skill!$C:$C, 0), 1), "")</f>
        <v/>
      </c>
      <c r="CM19" s="94" t="str">
        <f t="array" ref="CM19">IFERROR(INDEX(Skill!$W:$W, MATCH(CM$4, Skill!$C:$C, 0), 1), "")</f>
        <v/>
      </c>
      <c r="CN19" s="94" t="str">
        <f t="array" ref="CN19">IFERROR(INDEX(Skill!$W:$W, MATCH(CN$4, Skill!$C:$C, 0), 1), "")</f>
        <v/>
      </c>
      <c r="CO19" s="94" t="str">
        <f t="array" ref="CO19">IFERROR(INDEX(Skill!$W:$W, MATCH(CO$4, Skill!$C:$C, 0), 1), "")</f>
        <v/>
      </c>
      <c r="CP19" s="94" t="str">
        <f t="array" ref="CP19">IFERROR(INDEX(Skill!$W:$W, MATCH(CP$4, Skill!$C:$C, 0), 1), "")</f>
        <v/>
      </c>
      <c r="CQ19" s="94" t="str">
        <f t="array" ref="CQ19">IFERROR(INDEX(Skill!$W:$W, MATCH(CQ$4, Skill!$C:$C, 0), 1), "")</f>
        <v/>
      </c>
      <c r="CR19" s="94" t="str">
        <f t="array" ref="CR19">IFERROR(INDEX(Skill!$W:$W, MATCH(CR$4, Skill!$C:$C, 0), 1), "")</f>
        <v/>
      </c>
      <c r="CS19" s="94" t="str">
        <f t="array" ref="CS19">IFERROR(INDEX(Skill!$W:$W, MATCH(CS$4, Skill!$C:$C, 0), 1), "")</f>
        <v/>
      </c>
      <c r="CT19" s="94" t="str">
        <f t="array" ref="CT19">IFERROR(INDEX(Skill!$W:$W, MATCH(CT$4, Skill!$C:$C, 0), 1), "")</f>
        <v/>
      </c>
      <c r="CU19" s="94" t="str">
        <f t="array" ref="CU19">IFERROR(INDEX(Skill!$W:$W, MATCH(CU$4, Skill!$C:$C, 0), 1), "")</f>
        <v/>
      </c>
      <c r="CV19" s="94" t="str">
        <f t="array" ref="CV19">IFERROR(INDEX(Skill!$W:$W, MATCH(CV$4, Skill!$C:$C, 0), 1), "")</f>
        <v/>
      </c>
      <c r="CW19" s="94" t="str">
        <f t="array" ref="CW19">IFERROR(INDEX(Skill!$W:$W, MATCH(CW$4, Skill!$C:$C, 0), 1), "")</f>
        <v/>
      </c>
      <c r="CX19" s="94" t="str">
        <f t="array" ref="CX19">IFERROR(INDEX(Skill!$W:$W, MATCH(CX$4, Skill!$C:$C, 0), 1), "")</f>
        <v/>
      </c>
      <c r="CY19" s="94" t="str">
        <f t="array" ref="CY19">IFERROR(INDEX(Skill!$W:$W, MATCH(CY$4, Skill!$C:$C, 0), 1), "")</f>
        <v/>
      </c>
      <c r="CZ19" s="94" t="str">
        <f t="array" ref="CZ19">IFERROR(INDEX(Skill!$W:$W, MATCH(CZ$4, Skill!$C:$C, 0), 1), "")</f>
        <v/>
      </c>
      <c r="DA19" s="94" t="str">
        <f t="array" ref="DA19">IFERROR(INDEX(Skill!$W:$W, MATCH(DA$4, Skill!$C:$C, 0), 1), "")</f>
        <v/>
      </c>
      <c r="DB19" s="94" t="str">
        <f t="array" ref="DB19">IFERROR(INDEX(Skill!$W:$W, MATCH(DB$4, Skill!$C:$C, 0), 1), "")</f>
        <v/>
      </c>
      <c r="DC19" s="94" t="str">
        <f t="array" ref="DC19">IFERROR(INDEX(Skill!$W:$W, MATCH(DC$4, Skill!$C:$C, 0), 1), "")</f>
        <v/>
      </c>
      <c r="DD19" s="94" t="str">
        <f t="array" ref="DD19">IFERROR(INDEX(Skill!$W:$W, MATCH(DD$4, Skill!$C:$C, 0), 1), "")</f>
        <v/>
      </c>
      <c r="DE19" s="94" t="str">
        <f t="array" ref="DE19">IFERROR(INDEX(Skill!$W:$W, MATCH(DE$4, Skill!$C:$C, 0), 1), "")</f>
        <v/>
      </c>
      <c r="DF19" s="94" t="str">
        <f t="array" ref="DF19">IFERROR(INDEX(Skill!$W:$W, MATCH(DF$4, Skill!$C:$C, 0), 1), "")</f>
        <v/>
      </c>
      <c r="DG19" s="94" t="str">
        <f t="array" ref="DG19">IFERROR(INDEX(Skill!$W:$W, MATCH(DG$4, Skill!$C:$C, 0), 1), "")</f>
        <v/>
      </c>
      <c r="DH19" s="94" t="str">
        <f t="array" ref="DH19">IFERROR(INDEX(Skill!$W:$W, MATCH(DH$4, Skill!$C:$C, 0), 1), "")</f>
        <v/>
      </c>
      <c r="DI19" s="94" t="str">
        <f t="array" ref="DI19">IFERROR(INDEX(Skill!$W:$W, MATCH(DI$4, Skill!$C:$C, 0), 1), "")</f>
        <v/>
      </c>
      <c r="DJ19" s="94" t="str">
        <f t="array" ref="DJ19">IFERROR(INDEX(Skill!$W:$W, MATCH(DJ$4, Skill!$C:$C, 0), 1), "")</f>
        <v/>
      </c>
      <c r="DK19" s="94" t="str">
        <f t="array" ref="DK19">IFERROR(INDEX(Skill!$W:$W, MATCH(DK$4, Skill!$C:$C, 0), 1), "")</f>
        <v/>
      </c>
      <c r="DL19" s="94" t="str">
        <f t="array" ref="DL19">IFERROR(INDEX(Skill!$W:$W, MATCH(DL$4, Skill!$C:$C, 0), 1), "")</f>
        <v/>
      </c>
      <c r="DM19" s="94" t="str">
        <f t="array" ref="DM19">IFERROR(INDEX(Skill!$W:$W, MATCH(DM$4, Skill!$C:$C, 0), 1), "")</f>
        <v/>
      </c>
      <c r="DN19" s="94" t="str">
        <f t="array" ref="DN19">IFERROR(INDEX(Skill!$W:$W, MATCH(DN$4, Skill!$C:$C, 0), 1), "")</f>
        <v/>
      </c>
      <c r="DO19" s="94" t="str">
        <f t="array" ref="DO19">IFERROR(INDEX(Skill!$W:$W, MATCH(DO$4, Skill!$C:$C, 0), 1), "")</f>
        <v/>
      </c>
      <c r="DP19" s="94" t="str">
        <f t="array" ref="DP19">IFERROR(INDEX(Skill!$W:$W, MATCH(DP$4, Skill!$C:$C, 0), 1), "")</f>
        <v/>
      </c>
      <c r="DQ19" s="94" t="str">
        <f t="array" ref="DQ19">IFERROR(INDEX(Skill!$W:$W, MATCH(DQ$4, Skill!$C:$C, 0), 1), "")</f>
        <v/>
      </c>
      <c r="DR19" s="94" t="str">
        <f t="array" ref="DR19">IFERROR(INDEX(Skill!$W:$W, MATCH(DR$4, Skill!$C:$C, 0), 1), "")</f>
        <v/>
      </c>
      <c r="DS19" s="94" t="str">
        <f t="array" ref="DS19">IFERROR(INDEX(Skill!$W:$W, MATCH(DS$4, Skill!$C:$C, 0), 1), "")</f>
        <v/>
      </c>
      <c r="DT19" s="94" t="str">
        <f t="array" ref="DT19">IFERROR(INDEX(Skill!$W:$W, MATCH(DT$4, Skill!$C:$C, 0), 1), "")</f>
        <v/>
      </c>
      <c r="DU19" s="94" t="str">
        <f t="array" ref="DU19">IFERROR(INDEX(Skill!$W:$W, MATCH(DU$4, Skill!$C:$C, 0), 1), "")</f>
        <v/>
      </c>
      <c r="DV19" s="94" t="str">
        <f t="array" ref="DV19">IFERROR(INDEX(Skill!$W:$W, MATCH(DV$4, Skill!$C:$C, 0), 1), "")</f>
        <v/>
      </c>
      <c r="DW19" s="94" t="str">
        <f t="array" ref="DW19">IFERROR(INDEX(Skill!$W:$W, MATCH(DW$4, Skill!$C:$C, 0), 1), "")</f>
        <v/>
      </c>
      <c r="DX19" s="94" t="str">
        <f t="array" ref="DX19">IFERROR(INDEX(Skill!$W:$W, MATCH(DX$4, Skill!$C:$C, 0), 1), "")</f>
        <v/>
      </c>
      <c r="DY19" s="94" t="str">
        <f t="array" ref="DY19">IFERROR(INDEX(Skill!$W:$W, MATCH(DY$4, Skill!$C:$C, 0), 1), "")</f>
        <v/>
      </c>
      <c r="DZ19" s="94" t="str">
        <f t="array" ref="DZ19">IFERROR(INDEX(Skill!$W:$W, MATCH(DZ$4, Skill!$C:$C, 0), 1), "")</f>
        <v/>
      </c>
      <c r="EA19" s="89" t="str">
        <f t="array" ref="EA19">IFERROR(INDEX(Skill!$W:$W, MATCH(EA$4, Skill!$C:$C, 0), 1), "")</f>
        <v/>
      </c>
      <c r="EB19" s="89" t="str">
        <f t="array" ref="EB19">IFERROR(INDEX(Skill!$W:$W, MATCH(EB$4, Skill!$C:$C, 0), 1), "")</f>
        <v/>
      </c>
      <c r="EC19" s="89" t="str">
        <f t="array" ref="EC19">IFERROR(INDEX(Skill!$W:$W, MATCH(EC$4, Skill!$C:$C, 0), 1), "")</f>
        <v/>
      </c>
      <c r="ED19" s="94" t="str">
        <f t="array" ref="ED19">IFERROR(INDEX(Skill!$W:$W, MATCH(ED$4, Skill!$C:$C, 0), 1), "")</f>
        <v/>
      </c>
      <c r="EE19" s="102"/>
      <c r="EF19" s="102"/>
      <c r="EG19" s="102"/>
      <c r="EH19" s="102"/>
      <c r="EI19" s="102"/>
      <c r="EJ19" s="102"/>
      <c r="EK19" s="102"/>
      <c r="EL19" s="102"/>
      <c r="EM19" s="102"/>
      <c r="EN19" s="102"/>
      <c r="EO19" s="102"/>
      <c r="EP19" s="102"/>
      <c r="EQ19" s="102"/>
      <c r="ER19" s="103"/>
      <c r="ES19" s="103"/>
      <c r="ET19" s="103"/>
      <c r="EU19" s="76"/>
      <c r="EV19" s="76"/>
      <c r="EW19" s="76"/>
      <c r="EX19" s="76"/>
      <c r="EY19" s="76"/>
      <c r="EZ19" s="76"/>
      <c r="FA19" s="76"/>
      <c r="FB19" s="76"/>
      <c r="FC19" s="76"/>
      <c r="FD19" s="76"/>
      <c r="FE19" s="76"/>
      <c r="FF19" s="76"/>
      <c r="FG19" s="76"/>
      <c r="FH19" s="76"/>
      <c r="FI19" s="76"/>
      <c r="FJ19" s="76"/>
      <c r="FK19" s="76"/>
      <c r="FL19" s="76"/>
      <c r="FM19" s="76"/>
      <c r="FN19" s="76"/>
      <c r="FO19" s="91"/>
    </row>
    <row r="20" hidden="1">
      <c r="B20" s="84"/>
      <c r="C20" s="83"/>
      <c r="D20" s="83"/>
      <c r="E20" s="105" t="s">
        <v>12</v>
      </c>
      <c r="F20" s="84"/>
      <c r="G20" s="84"/>
      <c r="H20" s="84"/>
      <c r="I20" s="84"/>
      <c r="J20" s="84"/>
      <c r="K20" s="94" t="str">
        <f t="array" ref="K20">IFERROR(INDEX(Skill!$Y:$Y, MATCH(K$4, Skill!$C:$C, 0), 1), "")</f>
        <v/>
      </c>
      <c r="L20" s="94" t="str">
        <f t="array" ref="L20">IFERROR(INDEX(Skill!$Y:$Y, MATCH(L$4, Skill!$C:$C, 0), 1), "")</f>
        <v/>
      </c>
      <c r="M20" s="94" t="str">
        <f t="array" ref="M20">IFERROR(INDEX(Skill!$Y:$Y, MATCH(M$4, Skill!$C:$C, 0), 1), "")</f>
        <v/>
      </c>
      <c r="N20" s="94">
        <f t="array" ref="N20">IFERROR(INDEX(Skill!$Y:$Y, MATCH(N$4, Skill!$C:$C, 0), 1), "")</f>
        <v>0.8</v>
      </c>
      <c r="O20" s="94" t="str">
        <f t="array" ref="O20">IFERROR(INDEX(Skill!$Y:$Y, MATCH(O$4, Skill!$C:$C, 0), 1), "")</f>
        <v/>
      </c>
      <c r="P20" s="94" t="str">
        <f t="array" ref="P20">IFERROR(INDEX(Skill!$Y:$Y, MATCH(P$4, Skill!$C:$C, 0), 1), "")</f>
        <v/>
      </c>
      <c r="Q20" s="94" t="str">
        <f t="array" ref="Q20">IFERROR(INDEX(Skill!$Y:$Y, MATCH(Q$4, Skill!$C:$C, 0), 1), "")</f>
        <v/>
      </c>
      <c r="R20" s="94" t="str">
        <f t="array" ref="R20">IFERROR(INDEX(Skill!$Y:$Y, MATCH(R$4, Skill!$C:$C, 0), 1), "")</f>
        <v/>
      </c>
      <c r="S20" s="94" t="str">
        <f t="array" ref="S20">IFERROR(INDEX(Skill!$Y:$Y, MATCH(S$4, Skill!$C:$C, 0), 1), "")</f>
        <v/>
      </c>
      <c r="T20" s="94" t="str">
        <f t="array" ref="T20">IFERROR(INDEX(Skill!$Y:$Y, MATCH(T$4, Skill!$C:$C, 0), 1), "")</f>
        <v/>
      </c>
      <c r="U20" s="94" t="str">
        <f t="array" ref="U20">IFERROR(INDEX(Skill!$Y:$Y, MATCH(U$4, Skill!$C:$C, 0), 1), "")</f>
        <v/>
      </c>
      <c r="V20" s="94" t="str">
        <f t="array" ref="V20">IFERROR(INDEX(Skill!$Y:$Y, MATCH(V$4, Skill!$C:$C, 0), 1), "")</f>
        <v/>
      </c>
      <c r="W20" s="94" t="str">
        <f t="array" ref="W20">IFERROR(INDEX(Skill!$Y:$Y, MATCH(W$4, Skill!$C:$C, 0), 1), "")</f>
        <v/>
      </c>
      <c r="X20" s="94" t="str">
        <f t="array" ref="X20">IFERROR(INDEX(Skill!$Y:$Y, MATCH(X$4, Skill!$C:$C, 0), 1), "")</f>
        <v/>
      </c>
      <c r="Y20" s="94" t="str">
        <f t="array" ref="Y20">IFERROR(INDEX(Skill!$Y:$Y, MATCH(Y$4, Skill!$C:$C, 0), 1), "")</f>
        <v/>
      </c>
      <c r="Z20" s="94" t="str">
        <f t="array" ref="Z20">IFERROR(INDEX(Skill!$Y:$Y, MATCH(Z$4, Skill!$C:$C, 0), 1), "")</f>
        <v/>
      </c>
      <c r="AA20" s="94" t="str">
        <f t="array" ref="AA20">IFERROR(INDEX(Skill!$Y:$Y, MATCH(AA$4, Skill!$C:$C, 0), 1), "")</f>
        <v/>
      </c>
      <c r="AB20" s="94" t="str">
        <f t="array" ref="AB20">IFERROR(INDEX(Skill!$Y:$Y, MATCH(AB$4, Skill!$C:$C, 0), 1), "")</f>
        <v/>
      </c>
      <c r="AC20" s="94" t="str">
        <f t="array" ref="AC20">IFERROR(INDEX(Skill!$Y:$Y, MATCH(AC$4, Skill!$C:$C, 0), 1), "")</f>
        <v/>
      </c>
      <c r="AD20" s="94" t="str">
        <f t="array" ref="AD20">IFERROR(INDEX(Skill!$Y:$Y, MATCH(AD$4, Skill!$C:$C, 0), 1), "")</f>
        <v/>
      </c>
      <c r="AE20" s="94" t="str">
        <f t="array" ref="AE20">IFERROR(INDEX(Skill!$Y:$Y, MATCH(AE$4, Skill!$C:$C, 0), 1), "")</f>
        <v/>
      </c>
      <c r="AF20" s="94" t="str">
        <f t="array" ref="AF20">IFERROR(INDEX(Skill!$Y:$Y, MATCH(AF$4, Skill!$C:$C, 0), 1), "")</f>
        <v/>
      </c>
      <c r="AG20" s="94" t="str">
        <f t="array" ref="AG20">IFERROR(INDEX(Skill!$Y:$Y, MATCH(AG$4, Skill!$C:$C, 0), 1), "")</f>
        <v/>
      </c>
      <c r="AH20" s="94" t="str">
        <f t="array" ref="AH20">IFERROR(INDEX(Skill!$Y:$Y, MATCH(AH$4, Skill!$C:$C, 0), 1), "")</f>
        <v/>
      </c>
      <c r="AI20" s="94" t="str">
        <f t="array" ref="AI20">IFERROR(INDEX(Skill!$Y:$Y, MATCH(AI$4, Skill!$C:$C, 0), 1), "")</f>
        <v/>
      </c>
      <c r="AJ20" s="94" t="str">
        <f t="array" ref="AJ20">IFERROR(INDEX(Skill!$Y:$Y, MATCH(AJ$4, Skill!$C:$C, 0), 1), "")</f>
        <v/>
      </c>
      <c r="AK20" s="94" t="str">
        <f t="array" ref="AK20">IFERROR(INDEX(Skill!$Y:$Y, MATCH(AK$4, Skill!$C:$C, 0), 1), "")</f>
        <v/>
      </c>
      <c r="AL20" s="94" t="str">
        <f t="array" ref="AL20">IFERROR(INDEX(Skill!$Y:$Y, MATCH(AL$4, Skill!$C:$C, 0), 1), "")</f>
        <v/>
      </c>
      <c r="AM20" s="94" t="str">
        <f t="array" ref="AM20">IFERROR(INDEX(Skill!$Y:$Y, MATCH(AM$4, Skill!$C:$C, 0), 1), "")</f>
        <v/>
      </c>
      <c r="AN20" s="94" t="str">
        <f t="array" ref="AN20">IFERROR(INDEX(Skill!$Y:$Y, MATCH(AN$4, Skill!$C:$C, 0), 1), "")</f>
        <v/>
      </c>
      <c r="AO20" s="94" t="str">
        <f t="array" ref="AO20">IFERROR(INDEX(Skill!$Y:$Y, MATCH(AO$4, Skill!$C:$C, 0), 1), "")</f>
        <v/>
      </c>
      <c r="AP20" s="94" t="str">
        <f t="array" ref="AP20">IFERROR(INDEX(Skill!$Y:$Y, MATCH(AP$4, Skill!$C:$C, 0), 1), "")</f>
        <v/>
      </c>
      <c r="AQ20" s="94" t="str">
        <f t="array" ref="AQ20">IFERROR(INDEX(Skill!$Y:$Y, MATCH(AQ$4, Skill!$C:$C, 0), 1), "")</f>
        <v/>
      </c>
      <c r="AR20" s="94" t="str">
        <f t="array" ref="AR20">IFERROR(INDEX(Skill!$Y:$Y, MATCH(AR$4, Skill!$C:$C, 0), 1), "")</f>
        <v/>
      </c>
      <c r="AS20" s="94" t="str">
        <f t="array" ref="AS20">IFERROR(INDEX(Skill!$Y:$Y, MATCH(AS$4, Skill!$C:$C, 0), 1), "")</f>
        <v/>
      </c>
      <c r="AT20" s="94" t="str">
        <f t="array" ref="AT20">IFERROR(INDEX(Skill!$Y:$Y, MATCH(AT$4, Skill!$C:$C, 0), 1), "")</f>
        <v/>
      </c>
      <c r="AU20" s="94" t="str">
        <f t="array" ref="AU20">IFERROR(INDEX(Skill!$Y:$Y, MATCH(AU$4, Skill!$C:$C, 0), 1), "")</f>
        <v/>
      </c>
      <c r="AV20" s="94" t="str">
        <f t="array" ref="AV20">IFERROR(INDEX(Skill!$Y:$Y, MATCH(AV$4, Skill!$C:$C, 0), 1), "")</f>
        <v/>
      </c>
      <c r="AW20" s="94" t="str">
        <f t="array" ref="AW20">IFERROR(INDEX(Skill!$Y:$Y, MATCH(AW$4, Skill!$C:$C, 0), 1), "")</f>
        <v/>
      </c>
      <c r="AX20" s="94" t="str">
        <f t="array" ref="AX20">IFERROR(INDEX(Skill!$Y:$Y, MATCH(AX$4, Skill!$C:$C, 0), 1), "")</f>
        <v/>
      </c>
      <c r="AY20" s="94" t="str">
        <f t="array" ref="AY20">IFERROR(INDEX(Skill!$Y:$Y, MATCH(AY$4, Skill!$C:$C, 0), 1), "")</f>
        <v/>
      </c>
      <c r="AZ20" s="94" t="str">
        <f t="array" ref="AZ20">IFERROR(INDEX(Skill!$Y:$Y, MATCH(AZ$4, Skill!$C:$C, 0), 1), "")</f>
        <v/>
      </c>
      <c r="BA20" s="94" t="str">
        <f t="array" ref="BA20">IFERROR(INDEX(Skill!$Y:$Y, MATCH(BA$4, Skill!$C:$C, 0), 1), "")</f>
        <v/>
      </c>
      <c r="BB20" s="94" t="str">
        <f t="array" ref="BB20">IFERROR(INDEX(Skill!$Y:$Y, MATCH(BB$4, Skill!$C:$C, 0), 1), "")</f>
        <v/>
      </c>
      <c r="BC20" s="94" t="str">
        <f t="array" ref="BC20">IFERROR(INDEX(Skill!$Y:$Y, MATCH(BC$4, Skill!$C:$C, 0), 1), "")</f>
        <v/>
      </c>
      <c r="BD20" s="94" t="str">
        <f t="array" ref="BD20">IFERROR(INDEX(Skill!$Y:$Y, MATCH(BD$4, Skill!$C:$C, 0), 1), "")</f>
        <v/>
      </c>
      <c r="BE20" s="94" t="str">
        <f t="array" ref="BE20">IFERROR(INDEX(Skill!$Y:$Y, MATCH(BE$4, Skill!$C:$C, 0), 1), "")</f>
        <v/>
      </c>
      <c r="BF20" s="94" t="str">
        <f t="array" ref="BF20">IFERROR(INDEX(Skill!$Y:$Y, MATCH(BF$4, Skill!$C:$C, 0), 1), "")</f>
        <v/>
      </c>
      <c r="BG20" s="94" t="str">
        <f t="array" ref="BG20">IFERROR(INDEX(Skill!$Y:$Y, MATCH(BG$4, Skill!$C:$C, 0), 1), "")</f>
        <v/>
      </c>
      <c r="BH20" s="94" t="str">
        <f t="array" ref="BH20">IFERROR(INDEX(Skill!$Y:$Y, MATCH(BH$4, Skill!$C:$C, 0), 1), "")</f>
        <v/>
      </c>
      <c r="BI20" s="94" t="str">
        <f t="array" ref="BI20">IFERROR(INDEX(Skill!$Y:$Y, MATCH(BI$4, Skill!$C:$C, 0), 1), "")</f>
        <v/>
      </c>
      <c r="BJ20" s="94" t="str">
        <f t="array" ref="BJ20">IFERROR(INDEX(Skill!$Y:$Y, MATCH(BJ$4, Skill!$C:$C, 0), 1), "")</f>
        <v/>
      </c>
      <c r="BK20" s="94" t="str">
        <f t="array" ref="BK20">IFERROR(INDEX(Skill!$Y:$Y, MATCH(BK$4, Skill!$C:$C, 0), 1), "")</f>
        <v/>
      </c>
      <c r="BL20" s="94" t="str">
        <f t="array" ref="BL20">IFERROR(INDEX(Skill!$Y:$Y, MATCH(BL$4, Skill!$C:$C, 0), 1), "")</f>
        <v/>
      </c>
      <c r="BM20" s="94" t="str">
        <f t="array" ref="BM20">IFERROR(INDEX(Skill!$Y:$Y, MATCH(BM$4, Skill!$C:$C, 0), 1), "")</f>
        <v/>
      </c>
      <c r="BN20" s="94" t="str">
        <f t="array" ref="BN20">IFERROR(INDEX(Skill!$Y:$Y, MATCH(BN$4, Skill!$C:$C, 0), 1), "")</f>
        <v/>
      </c>
      <c r="BO20" s="94" t="str">
        <f t="array" ref="BO20">IFERROR(INDEX(Skill!$Y:$Y, MATCH(BO$4, Skill!$C:$C, 0), 1), "")</f>
        <v/>
      </c>
      <c r="BP20" s="94" t="str">
        <f t="array" ref="BP20">IFERROR(INDEX(Skill!$Y:$Y, MATCH(BP$4, Skill!$C:$C, 0), 1), "")</f>
        <v/>
      </c>
      <c r="BQ20" s="94" t="str">
        <f t="array" ref="BQ20">IFERROR(INDEX(Skill!$Y:$Y, MATCH(BQ$4, Skill!$C:$C, 0), 1), "")</f>
        <v/>
      </c>
      <c r="BR20" s="94" t="str">
        <f t="array" ref="BR20">IFERROR(INDEX(Skill!$Y:$Y, MATCH(BR$4, Skill!$C:$C, 0), 1), "")</f>
        <v/>
      </c>
      <c r="BS20" s="94" t="str">
        <f t="array" ref="BS20">IFERROR(INDEX(Skill!$Y:$Y, MATCH(BS$4, Skill!$C:$C, 0), 1), "")</f>
        <v/>
      </c>
      <c r="BT20" s="94" t="str">
        <f t="array" ref="BT20">IFERROR(INDEX(Skill!$Y:$Y, MATCH(BT$4, Skill!$C:$C, 0), 1), "")</f>
        <v/>
      </c>
      <c r="BU20" s="94" t="str">
        <f t="array" ref="BU20">IFERROR(INDEX(Skill!$Y:$Y, MATCH(BU$4, Skill!$C:$C, 0), 1), "")</f>
        <v/>
      </c>
      <c r="BV20" s="94" t="str">
        <f t="array" ref="BV20">IFERROR(INDEX(Skill!$Y:$Y, MATCH(BV$4, Skill!$C:$C, 0), 1), "")</f>
        <v/>
      </c>
      <c r="BW20" s="94" t="str">
        <f t="array" ref="BW20">IFERROR(INDEX(Skill!$Y:$Y, MATCH(BW$4, Skill!$C:$C, 0), 1), "")</f>
        <v/>
      </c>
      <c r="BX20" s="94" t="str">
        <f t="array" ref="BX20">IFERROR(INDEX(Skill!$Y:$Y, MATCH(BX$4, Skill!$C:$C, 0), 1), "")</f>
        <v/>
      </c>
      <c r="BY20" s="94" t="str">
        <f t="array" ref="BY20">IFERROR(INDEX(Skill!$Y:$Y, MATCH(BY$4, Skill!$C:$C, 0), 1), "")</f>
        <v/>
      </c>
      <c r="BZ20" s="94" t="str">
        <f t="array" ref="BZ20">IFERROR(INDEX(Skill!$Y:$Y, MATCH(BZ$4, Skill!$C:$C, 0), 1), "")</f>
        <v/>
      </c>
      <c r="CA20" s="94" t="str">
        <f t="array" ref="CA20">IFERROR(INDEX(Skill!$Y:$Y, MATCH(CA$4, Skill!$C:$C, 0), 1), "")</f>
        <v/>
      </c>
      <c r="CB20" s="94" t="str">
        <f t="array" ref="CB20">IFERROR(INDEX(Skill!$Y:$Y, MATCH(CB$4, Skill!$C:$C, 0), 1), "")</f>
        <v/>
      </c>
      <c r="CC20" s="94" t="str">
        <f t="array" ref="CC20">IFERROR(INDEX(Skill!$Y:$Y, MATCH(CC$4, Skill!$C:$C, 0), 1), "")</f>
        <v/>
      </c>
      <c r="CD20" s="94" t="str">
        <f t="array" ref="CD20">IFERROR(INDEX(Skill!$Y:$Y, MATCH(CD$4, Skill!$C:$C, 0), 1), "")</f>
        <v/>
      </c>
      <c r="CE20" s="94" t="str">
        <f t="array" ref="CE20">IFERROR(INDEX(Skill!$Y:$Y, MATCH(CE$4, Skill!$C:$C, 0), 1), "")</f>
        <v/>
      </c>
      <c r="CF20" s="94" t="str">
        <f t="array" ref="CF20">IFERROR(INDEX(Skill!$Y:$Y, MATCH(CF$4, Skill!$C:$C, 0), 1), "")</f>
        <v/>
      </c>
      <c r="CG20" s="94" t="str">
        <f t="array" ref="CG20">IFERROR(INDEX(Skill!$Y:$Y, MATCH(CG$4, Skill!$C:$C, 0), 1), "")</f>
        <v/>
      </c>
      <c r="CH20" s="94" t="str">
        <f t="array" ref="CH20">IFERROR(INDEX(Skill!$Y:$Y, MATCH(CH$4, Skill!$C:$C, 0), 1), "")</f>
        <v/>
      </c>
      <c r="CI20" s="94" t="str">
        <f t="array" ref="CI20">IFERROR(INDEX(Skill!$Y:$Y, MATCH(CI$4, Skill!$C:$C, 0), 1), "")</f>
        <v/>
      </c>
      <c r="CJ20" s="94" t="str">
        <f t="array" ref="CJ20">IFERROR(INDEX(Skill!$Y:$Y, MATCH(CJ$4, Skill!$C:$C, 0), 1), "")</f>
        <v/>
      </c>
      <c r="CK20" s="94" t="str">
        <f t="array" ref="CK20">IFERROR(INDEX(Skill!$Y:$Y, MATCH(CK$4, Skill!$C:$C, 0), 1), "")</f>
        <v/>
      </c>
      <c r="CL20" s="94" t="str">
        <f t="array" ref="CL20">IFERROR(INDEX(Skill!$Y:$Y, MATCH(CL$4, Skill!$C:$C, 0), 1), "")</f>
        <v/>
      </c>
      <c r="CM20" s="94" t="str">
        <f t="array" ref="CM20">IFERROR(INDEX(Skill!$Y:$Y, MATCH(CM$4, Skill!$C:$C, 0), 1), "")</f>
        <v/>
      </c>
      <c r="CN20" s="94" t="str">
        <f t="array" ref="CN20">IFERROR(INDEX(Skill!$Y:$Y, MATCH(CN$4, Skill!$C:$C, 0), 1), "")</f>
        <v/>
      </c>
      <c r="CO20" s="94" t="str">
        <f t="array" ref="CO20">IFERROR(INDEX(Skill!$Y:$Y, MATCH(CO$4, Skill!$C:$C, 0), 1), "")</f>
        <v/>
      </c>
      <c r="CP20" s="94" t="str">
        <f t="array" ref="CP20">IFERROR(INDEX(Skill!$Y:$Y, MATCH(CP$4, Skill!$C:$C, 0), 1), "")</f>
        <v/>
      </c>
      <c r="CQ20" s="94" t="str">
        <f t="array" ref="CQ20">IFERROR(INDEX(Skill!$Y:$Y, MATCH(CQ$4, Skill!$C:$C, 0), 1), "")</f>
        <v/>
      </c>
      <c r="CR20" s="94" t="str">
        <f t="array" ref="CR20">IFERROR(INDEX(Skill!$Y:$Y, MATCH(CR$4, Skill!$C:$C, 0), 1), "")</f>
        <v/>
      </c>
      <c r="CS20" s="94" t="str">
        <f t="array" ref="CS20">IFERROR(INDEX(Skill!$Y:$Y, MATCH(CS$4, Skill!$C:$C, 0), 1), "")</f>
        <v/>
      </c>
      <c r="CT20" s="94" t="str">
        <f t="array" ref="CT20">IFERROR(INDEX(Skill!$Y:$Y, MATCH(CT$4, Skill!$C:$C, 0), 1), "")</f>
        <v/>
      </c>
      <c r="CU20" s="94" t="str">
        <f t="array" ref="CU20">IFERROR(INDEX(Skill!$Y:$Y, MATCH(CU$4, Skill!$C:$C, 0), 1), "")</f>
        <v/>
      </c>
      <c r="CV20" s="94" t="str">
        <f t="array" ref="CV20">IFERROR(INDEX(Skill!$Y:$Y, MATCH(CV$4, Skill!$C:$C, 0), 1), "")</f>
        <v/>
      </c>
      <c r="CW20" s="94" t="str">
        <f t="array" ref="CW20">IFERROR(INDEX(Skill!$Y:$Y, MATCH(CW$4, Skill!$C:$C, 0), 1), "")</f>
        <v/>
      </c>
      <c r="CX20" s="94" t="str">
        <f t="array" ref="CX20">IFERROR(INDEX(Skill!$Y:$Y, MATCH(CX$4, Skill!$C:$C, 0), 1), "")</f>
        <v/>
      </c>
      <c r="CY20" s="94" t="str">
        <f t="array" ref="CY20">IFERROR(INDEX(Skill!$Y:$Y, MATCH(CY$4, Skill!$C:$C, 0), 1), "")</f>
        <v/>
      </c>
      <c r="CZ20" s="94" t="str">
        <f t="array" ref="CZ20">IFERROR(INDEX(Skill!$Y:$Y, MATCH(CZ$4, Skill!$C:$C, 0), 1), "")</f>
        <v/>
      </c>
      <c r="DA20" s="94" t="str">
        <f t="array" ref="DA20">IFERROR(INDEX(Skill!$Y:$Y, MATCH(DA$4, Skill!$C:$C, 0), 1), "")</f>
        <v/>
      </c>
      <c r="DB20" s="94" t="str">
        <f t="array" ref="DB20">IFERROR(INDEX(Skill!$Y:$Y, MATCH(DB$4, Skill!$C:$C, 0), 1), "")</f>
        <v/>
      </c>
      <c r="DC20" s="94" t="str">
        <f t="array" ref="DC20">IFERROR(INDEX(Skill!$Y:$Y, MATCH(DC$4, Skill!$C:$C, 0), 1), "")</f>
        <v/>
      </c>
      <c r="DD20" s="94" t="str">
        <f t="array" ref="DD20">IFERROR(INDEX(Skill!$Y:$Y, MATCH(DD$4, Skill!$C:$C, 0), 1), "")</f>
        <v/>
      </c>
      <c r="DE20" s="94" t="str">
        <f t="array" ref="DE20">IFERROR(INDEX(Skill!$Y:$Y, MATCH(DE$4, Skill!$C:$C, 0), 1), "")</f>
        <v/>
      </c>
      <c r="DF20" s="94" t="str">
        <f t="array" ref="DF20">IFERROR(INDEX(Skill!$Y:$Y, MATCH(DF$4, Skill!$C:$C, 0), 1), "")</f>
        <v/>
      </c>
      <c r="DG20" s="94" t="str">
        <f t="array" ref="DG20">IFERROR(INDEX(Skill!$Y:$Y, MATCH(DG$4, Skill!$C:$C, 0), 1), "")</f>
        <v/>
      </c>
      <c r="DH20" s="94" t="str">
        <f t="array" ref="DH20">IFERROR(INDEX(Skill!$Y:$Y, MATCH(DH$4, Skill!$C:$C, 0), 1), "")</f>
        <v/>
      </c>
      <c r="DI20" s="94" t="str">
        <f t="array" ref="DI20">IFERROR(INDEX(Skill!$Y:$Y, MATCH(DI$4, Skill!$C:$C, 0), 1), "")</f>
        <v/>
      </c>
      <c r="DJ20" s="94" t="str">
        <f t="array" ref="DJ20">IFERROR(INDEX(Skill!$Y:$Y, MATCH(DJ$4, Skill!$C:$C, 0), 1), "")</f>
        <v/>
      </c>
      <c r="DK20" s="94" t="str">
        <f t="array" ref="DK20">IFERROR(INDEX(Skill!$Y:$Y, MATCH(DK$4, Skill!$C:$C, 0), 1), "")</f>
        <v/>
      </c>
      <c r="DL20" s="94" t="str">
        <f t="array" ref="DL20">IFERROR(INDEX(Skill!$Y:$Y, MATCH(DL$4, Skill!$C:$C, 0), 1), "")</f>
        <v/>
      </c>
      <c r="DM20" s="94" t="str">
        <f t="array" ref="DM20">IFERROR(INDEX(Skill!$Y:$Y, MATCH(DM$4, Skill!$C:$C, 0), 1), "")</f>
        <v/>
      </c>
      <c r="DN20" s="94" t="str">
        <f t="array" ref="DN20">IFERROR(INDEX(Skill!$Y:$Y, MATCH(DN$4, Skill!$C:$C, 0), 1), "")</f>
        <v/>
      </c>
      <c r="DO20" s="94" t="str">
        <f t="array" ref="DO20">IFERROR(INDEX(Skill!$Y:$Y, MATCH(DO$4, Skill!$C:$C, 0), 1), "")</f>
        <v/>
      </c>
      <c r="DP20" s="94" t="str">
        <f t="array" ref="DP20">IFERROR(INDEX(Skill!$Y:$Y, MATCH(DP$4, Skill!$C:$C, 0), 1), "")</f>
        <v/>
      </c>
      <c r="DQ20" s="94" t="str">
        <f t="array" ref="DQ20">IFERROR(INDEX(Skill!$Y:$Y, MATCH(DQ$4, Skill!$C:$C, 0), 1), "")</f>
        <v/>
      </c>
      <c r="DR20" s="94" t="str">
        <f t="array" ref="DR20">IFERROR(INDEX(Skill!$Y:$Y, MATCH(DR$4, Skill!$C:$C, 0), 1), "")</f>
        <v/>
      </c>
      <c r="DS20" s="94" t="str">
        <f t="array" ref="DS20">IFERROR(INDEX(Skill!$Y:$Y, MATCH(DS$4, Skill!$C:$C, 0), 1), "")</f>
        <v/>
      </c>
      <c r="DT20" s="94" t="str">
        <f t="array" ref="DT20">IFERROR(INDEX(Skill!$Y:$Y, MATCH(DT$4, Skill!$C:$C, 0), 1), "")</f>
        <v/>
      </c>
      <c r="DU20" s="94" t="str">
        <f t="array" ref="DU20">IFERROR(INDEX(Skill!$Y:$Y, MATCH(DU$4, Skill!$C:$C, 0), 1), "")</f>
        <v/>
      </c>
      <c r="DV20" s="94" t="str">
        <f t="array" ref="DV20">IFERROR(INDEX(Skill!$Y:$Y, MATCH(DV$4, Skill!$C:$C, 0), 1), "")</f>
        <v/>
      </c>
      <c r="DW20" s="94" t="str">
        <f t="array" ref="DW20">IFERROR(INDEX(Skill!$Y:$Y, MATCH(DW$4, Skill!$C:$C, 0), 1), "")</f>
        <v/>
      </c>
      <c r="DX20" s="94" t="str">
        <f t="array" ref="DX20">IFERROR(INDEX(Skill!$Y:$Y, MATCH(DX$4, Skill!$C:$C, 0), 1), "")</f>
        <v/>
      </c>
      <c r="DY20" s="94" t="str">
        <f t="array" ref="DY20">IFERROR(INDEX(Skill!$Y:$Y, MATCH(DY$4, Skill!$C:$C, 0), 1), "")</f>
        <v/>
      </c>
      <c r="DZ20" s="94" t="str">
        <f t="array" ref="DZ20">IFERROR(INDEX(Skill!$Y:$Y, MATCH(DZ$4, Skill!$C:$C, 0), 1), "")</f>
        <v/>
      </c>
      <c r="EA20" s="89" t="str">
        <f t="array" ref="EA20">IFERROR(INDEX(Skill!$Y:$Y, MATCH(EA$4, Skill!$C:$C, 0), 1), "")</f>
        <v/>
      </c>
      <c r="EB20" s="89" t="str">
        <f t="array" ref="EB20">IFERROR(INDEX(Skill!$Y:$Y, MATCH(EB$4, Skill!$C:$C, 0), 1), "")</f>
        <v/>
      </c>
      <c r="EC20" s="89" t="str">
        <f t="array" ref="EC20">IFERROR(INDEX(Skill!$Y:$Y, MATCH(EC$4, Skill!$C:$C, 0), 1), "")</f>
        <v/>
      </c>
      <c r="ED20" s="94" t="str">
        <f t="array" ref="ED20">IFERROR(INDEX(Skill!$Y:$Y, MATCH(ED$4, Skill!$C:$C, 0), 1), "")</f>
        <v/>
      </c>
      <c r="EE20" s="102"/>
      <c r="EF20" s="102"/>
      <c r="EG20" s="102"/>
      <c r="EH20" s="102"/>
      <c r="EI20" s="102"/>
      <c r="EJ20" s="102"/>
      <c r="EK20" s="102"/>
      <c r="EL20" s="102"/>
      <c r="EM20" s="102"/>
      <c r="EN20" s="102"/>
      <c r="EO20" s="102"/>
      <c r="EP20" s="102"/>
      <c r="EQ20" s="102"/>
      <c r="ER20" s="103"/>
      <c r="ES20" s="103"/>
      <c r="ET20" s="103"/>
      <c r="EU20" s="76"/>
      <c r="EV20" s="76"/>
      <c r="EW20" s="76"/>
      <c r="EX20" s="76"/>
      <c r="EY20" s="76"/>
      <c r="EZ20" s="76"/>
      <c r="FA20" s="76"/>
      <c r="FB20" s="76"/>
      <c r="FC20" s="76"/>
      <c r="FD20" s="76"/>
      <c r="FE20" s="76"/>
      <c r="FF20" s="76"/>
      <c r="FG20" s="76"/>
      <c r="FH20" s="76"/>
      <c r="FI20" s="76"/>
      <c r="FJ20" s="76"/>
      <c r="FK20" s="76"/>
      <c r="FL20" s="76"/>
      <c r="FM20" s="76"/>
      <c r="FN20" s="76"/>
      <c r="FO20" s="91"/>
    </row>
    <row r="21" hidden="1">
      <c r="B21" s="84"/>
      <c r="C21" s="83"/>
      <c r="D21" s="83"/>
      <c r="E21" s="84" t="s">
        <v>1043</v>
      </c>
      <c r="F21" s="84"/>
      <c r="G21" s="84"/>
      <c r="H21" s="84"/>
      <c r="I21" s="84"/>
      <c r="J21" s="84"/>
      <c r="K21" s="94" t="str">
        <f t="array" ref="K21">IFERROR(INDEX(Skill!$AB:$AB, MATCH(K$4, Skill!$C:$C, 0), 1), "")</f>
        <v/>
      </c>
      <c r="L21" s="94" t="str">
        <f t="array" ref="L21">IFERROR(INDEX(Skill!$AB:$AB, MATCH(L$4, Skill!$C:$C, 0), 1), "")</f>
        <v/>
      </c>
      <c r="M21" s="94" t="str">
        <f t="array" ref="M21">IFERROR(INDEX(Skill!$AB:$AB, MATCH(M$4, Skill!$C:$C, 0), 1), "")</f>
        <v/>
      </c>
      <c r="N21" s="94" t="str">
        <f t="array" ref="N21">IFERROR(INDEX(Skill!$AB:$AB, MATCH(N$4, Skill!$C:$C, 0), 1), "")</f>
        <v/>
      </c>
      <c r="O21" s="94" t="str">
        <f t="array" ref="O21">IFERROR(INDEX(Skill!$AB:$AB, MATCH(O$4, Skill!$C:$C, 0), 1), "")</f>
        <v/>
      </c>
      <c r="P21" s="94" t="str">
        <f t="array" ref="P21">IFERROR(INDEX(Skill!$AB:$AB, MATCH(P$4, Skill!$C:$C, 0), 1), "")</f>
        <v/>
      </c>
      <c r="Q21" s="94" t="str">
        <f t="array" ref="Q21">IFERROR(INDEX(Skill!$AB:$AB, MATCH(Q$4, Skill!$C:$C, 0), 1), "")</f>
        <v/>
      </c>
      <c r="R21" s="94" t="str">
        <f t="array" ref="R21">IFERROR(INDEX(Skill!$AB:$AB, MATCH(R$4, Skill!$C:$C, 0), 1), "")</f>
        <v/>
      </c>
      <c r="S21" s="94" t="str">
        <f t="array" ref="S21">IFERROR(INDEX(Skill!$AB:$AB, MATCH(S$4, Skill!$C:$C, 0), 1), "")</f>
        <v/>
      </c>
      <c r="T21" s="94" t="str">
        <f t="array" ref="T21">IFERROR(INDEX(Skill!$AB:$AB, MATCH(T$4, Skill!$C:$C, 0), 1), "")</f>
        <v/>
      </c>
      <c r="U21" s="94" t="str">
        <f t="array" ref="U21">IFERROR(INDEX(Skill!$AB:$AB, MATCH(U$4, Skill!$C:$C, 0), 1), "")</f>
        <v/>
      </c>
      <c r="V21" s="94" t="str">
        <f t="array" ref="V21">IFERROR(INDEX(Skill!$AB:$AB, MATCH(V$4, Skill!$C:$C, 0), 1), "")</f>
        <v/>
      </c>
      <c r="W21" s="94" t="str">
        <f t="array" ref="W21">IFERROR(INDEX(Skill!$AB:$AB, MATCH(W$4, Skill!$C:$C, 0), 1), "")</f>
        <v/>
      </c>
      <c r="X21" s="94" t="str">
        <f t="array" ref="X21">IFERROR(INDEX(Skill!$AB:$AB, MATCH(X$4, Skill!$C:$C, 0), 1), "")</f>
        <v/>
      </c>
      <c r="Y21" s="94" t="str">
        <f t="array" ref="Y21">IFERROR(INDEX(Skill!$AB:$AB, MATCH(Y$4, Skill!$C:$C, 0), 1), "")</f>
        <v/>
      </c>
      <c r="Z21" s="94" t="str">
        <f t="array" ref="Z21">IFERROR(INDEX(Skill!$AB:$AB, MATCH(Z$4, Skill!$C:$C, 0), 1), "")</f>
        <v/>
      </c>
      <c r="AA21" s="94" t="str">
        <f t="array" ref="AA21">IFERROR(INDEX(Skill!$AB:$AB, MATCH(AA$4, Skill!$C:$C, 0), 1), "")</f>
        <v/>
      </c>
      <c r="AB21" s="94" t="str">
        <f t="array" ref="AB21">IFERROR(INDEX(Skill!$AB:$AB, MATCH(AB$4, Skill!$C:$C, 0), 1), "")</f>
        <v/>
      </c>
      <c r="AC21" s="94" t="str">
        <f t="array" ref="AC21">IFERROR(INDEX(Skill!$AB:$AB, MATCH(AC$4, Skill!$C:$C, 0), 1), "")</f>
        <v/>
      </c>
      <c r="AD21" s="94" t="str">
        <f t="array" ref="AD21">IFERROR(INDEX(Skill!$AB:$AB, MATCH(AD$4, Skill!$C:$C, 0), 1), "")</f>
        <v/>
      </c>
      <c r="AE21" s="94" t="str">
        <f t="array" ref="AE21">IFERROR(INDEX(Skill!$AB:$AB, MATCH(AE$4, Skill!$C:$C, 0), 1), "")</f>
        <v/>
      </c>
      <c r="AF21" s="94" t="str">
        <f t="array" ref="AF21">IFERROR(INDEX(Skill!$AB:$AB, MATCH(AF$4, Skill!$C:$C, 0), 1), "")</f>
        <v/>
      </c>
      <c r="AG21" s="94" t="str">
        <f t="array" ref="AG21">IFERROR(INDEX(Skill!$AB:$AB, MATCH(AG$4, Skill!$C:$C, 0), 1), "")</f>
        <v/>
      </c>
      <c r="AH21" s="94" t="str">
        <f t="array" ref="AH21">IFERROR(INDEX(Skill!$AB:$AB, MATCH(AH$4, Skill!$C:$C, 0), 1), "")</f>
        <v/>
      </c>
      <c r="AI21" s="94" t="str">
        <f t="array" ref="AI21">IFERROR(INDEX(Skill!$AB:$AB, MATCH(AI$4, Skill!$C:$C, 0), 1), "")</f>
        <v/>
      </c>
      <c r="AJ21" s="94" t="str">
        <f t="array" ref="AJ21">IFERROR(INDEX(Skill!$AB:$AB, MATCH(AJ$4, Skill!$C:$C, 0), 1), "")</f>
        <v/>
      </c>
      <c r="AK21" s="94" t="str">
        <f t="array" ref="AK21">IFERROR(INDEX(Skill!$AB:$AB, MATCH(AK$4, Skill!$C:$C, 0), 1), "")</f>
        <v/>
      </c>
      <c r="AL21" s="94" t="str">
        <f t="array" ref="AL21">IFERROR(INDEX(Skill!$AB:$AB, MATCH(AL$4, Skill!$C:$C, 0), 1), "")</f>
        <v/>
      </c>
      <c r="AM21" s="94" t="str">
        <f t="array" ref="AM21">IFERROR(INDEX(Skill!$AB:$AB, MATCH(AM$4, Skill!$C:$C, 0), 1), "")</f>
        <v/>
      </c>
      <c r="AN21" s="94" t="str">
        <f t="array" ref="AN21">IFERROR(INDEX(Skill!$AB:$AB, MATCH(AN$4, Skill!$C:$C, 0), 1), "")</f>
        <v/>
      </c>
      <c r="AO21" s="94" t="str">
        <f t="array" ref="AO21">IFERROR(INDEX(Skill!$AB:$AB, MATCH(AO$4, Skill!$C:$C, 0), 1), "")</f>
        <v/>
      </c>
      <c r="AP21" s="94" t="str">
        <f t="array" ref="AP21">IFERROR(INDEX(Skill!$AB:$AB, MATCH(AP$4, Skill!$C:$C, 0), 1), "")</f>
        <v/>
      </c>
      <c r="AQ21" s="94" t="str">
        <f t="array" ref="AQ21">IFERROR(INDEX(Skill!$AB:$AB, MATCH(AQ$4, Skill!$C:$C, 0), 1), "")</f>
        <v/>
      </c>
      <c r="AR21" s="94" t="str">
        <f t="array" ref="AR21">IFERROR(INDEX(Skill!$AB:$AB, MATCH(AR$4, Skill!$C:$C, 0), 1), "")</f>
        <v/>
      </c>
      <c r="AS21" s="94" t="str">
        <f t="array" ref="AS21">IFERROR(INDEX(Skill!$AB:$AB, MATCH(AS$4, Skill!$C:$C, 0), 1), "")</f>
        <v/>
      </c>
      <c r="AT21" s="94" t="str">
        <f t="array" ref="AT21">IFERROR(INDEX(Skill!$AB:$AB, MATCH(AT$4, Skill!$C:$C, 0), 1), "")</f>
        <v/>
      </c>
      <c r="AU21" s="94" t="str">
        <f t="array" ref="AU21">IFERROR(INDEX(Skill!$AB:$AB, MATCH(AU$4, Skill!$C:$C, 0), 1), "")</f>
        <v/>
      </c>
      <c r="AV21" s="94" t="str">
        <f t="array" ref="AV21">IFERROR(INDEX(Skill!$AB:$AB, MATCH(AV$4, Skill!$C:$C, 0), 1), "")</f>
        <v/>
      </c>
      <c r="AW21" s="94" t="str">
        <f t="array" ref="AW21">IFERROR(INDEX(Skill!$AB:$AB, MATCH(AW$4, Skill!$C:$C, 0), 1), "")</f>
        <v/>
      </c>
      <c r="AX21" s="94" t="str">
        <f t="array" ref="AX21">IFERROR(INDEX(Skill!$AB:$AB, MATCH(AX$4, Skill!$C:$C, 0), 1), "")</f>
        <v/>
      </c>
      <c r="AY21" s="94" t="str">
        <f t="array" ref="AY21">IFERROR(INDEX(Skill!$AB:$AB, MATCH(AY$4, Skill!$C:$C, 0), 1), "")</f>
        <v/>
      </c>
      <c r="AZ21" s="94" t="str">
        <f t="array" ref="AZ21">IFERROR(INDEX(Skill!$AB:$AB, MATCH(AZ$4, Skill!$C:$C, 0), 1), "")</f>
        <v/>
      </c>
      <c r="BA21" s="94" t="str">
        <f t="array" ref="BA21">IFERROR(INDEX(Skill!$AB:$AB, MATCH(BA$4, Skill!$C:$C, 0), 1), "")</f>
        <v/>
      </c>
      <c r="BB21" s="94" t="str">
        <f t="array" ref="BB21">IFERROR(INDEX(Skill!$AB:$AB, MATCH(BB$4, Skill!$C:$C, 0), 1), "")</f>
        <v/>
      </c>
      <c r="BC21" s="94" t="str">
        <f t="array" ref="BC21">IFERROR(INDEX(Skill!$AB:$AB, MATCH(BC$4, Skill!$C:$C, 0), 1), "")</f>
        <v/>
      </c>
      <c r="BD21" s="94" t="str">
        <f t="array" ref="BD21">IFERROR(INDEX(Skill!$AB:$AB, MATCH(BD$4, Skill!$C:$C, 0), 1), "")</f>
        <v/>
      </c>
      <c r="BE21" s="94" t="str">
        <f t="array" ref="BE21">IFERROR(INDEX(Skill!$AB:$AB, MATCH(BE$4, Skill!$C:$C, 0), 1), "")</f>
        <v/>
      </c>
      <c r="BF21" s="94" t="str">
        <f t="array" ref="BF21">IFERROR(INDEX(Skill!$AB:$AB, MATCH(BF$4, Skill!$C:$C, 0), 1), "")</f>
        <v/>
      </c>
      <c r="BG21" s="94" t="str">
        <f t="array" ref="BG21">IFERROR(INDEX(Skill!$AB:$AB, MATCH(BG$4, Skill!$C:$C, 0), 1), "")</f>
        <v/>
      </c>
      <c r="BH21" s="94">
        <f t="array" ref="BH21">IFERROR(INDEX(Skill!$AB:$AB, MATCH(BH$4, Skill!$C:$C, 0), 1), "")</f>
        <v>312.5</v>
      </c>
      <c r="BI21" s="94" t="str">
        <f t="array" ref="BI21">IFERROR(INDEX(Skill!$AB:$AB, MATCH(BI$4, Skill!$C:$C, 0), 1), "")</f>
        <v/>
      </c>
      <c r="BJ21" s="94" t="str">
        <f t="array" ref="BJ21">IFERROR(INDEX(Skill!$AB:$AB, MATCH(BJ$4, Skill!$C:$C, 0), 1), "")</f>
        <v/>
      </c>
      <c r="BK21" s="94" t="str">
        <f t="array" ref="BK21">IFERROR(INDEX(Skill!$AB:$AB, MATCH(BK$4, Skill!$C:$C, 0), 1), "")</f>
        <v/>
      </c>
      <c r="BL21" s="94" t="str">
        <f t="array" ref="BL21">IFERROR(INDEX(Skill!$AB:$AB, MATCH(BL$4, Skill!$C:$C, 0), 1), "")</f>
        <v/>
      </c>
      <c r="BM21" s="94" t="str">
        <f t="array" ref="BM21">IFERROR(INDEX(Skill!$AB:$AB, MATCH(BM$4, Skill!$C:$C, 0), 1), "")</f>
        <v/>
      </c>
      <c r="BN21" s="94" t="str">
        <f t="array" ref="BN21">IFERROR(INDEX(Skill!$AB:$AB, MATCH(BN$4, Skill!$C:$C, 0), 1), "")</f>
        <v/>
      </c>
      <c r="BO21" s="94" t="str">
        <f t="array" ref="BO21">IFERROR(INDEX(Skill!$AB:$AB, MATCH(BO$4, Skill!$C:$C, 0), 1), "")</f>
        <v/>
      </c>
      <c r="BP21" s="94" t="str">
        <f t="array" ref="BP21">IFERROR(INDEX(Skill!$AB:$AB, MATCH(BP$4, Skill!$C:$C, 0), 1), "")</f>
        <v/>
      </c>
      <c r="BQ21" s="94" t="str">
        <f t="array" ref="BQ21">IFERROR(INDEX(Skill!$AB:$AB, MATCH(BQ$4, Skill!$C:$C, 0), 1), "")</f>
        <v/>
      </c>
      <c r="BR21" s="94" t="str">
        <f t="array" ref="BR21">IFERROR(INDEX(Skill!$AB:$AB, MATCH(BR$4, Skill!$C:$C, 0), 1), "")</f>
        <v/>
      </c>
      <c r="BS21" s="94" t="str">
        <f t="array" ref="BS21">IFERROR(INDEX(Skill!$AB:$AB, MATCH(BS$4, Skill!$C:$C, 0), 1), "")</f>
        <v/>
      </c>
      <c r="BT21" s="94" t="str">
        <f t="array" ref="BT21">IFERROR(INDEX(Skill!$AB:$AB, MATCH(BT$4, Skill!$C:$C, 0), 1), "")</f>
        <v/>
      </c>
      <c r="BU21" s="94" t="str">
        <f t="array" ref="BU21">IFERROR(INDEX(Skill!$AB:$AB, MATCH(BU$4, Skill!$C:$C, 0), 1), "")</f>
        <v/>
      </c>
      <c r="BV21" s="94" t="str">
        <f t="array" ref="BV21">IFERROR(INDEX(Skill!$AB:$AB, MATCH(BV$4, Skill!$C:$C, 0), 1), "")</f>
        <v/>
      </c>
      <c r="BW21" s="94" t="str">
        <f t="array" ref="BW21">IFERROR(INDEX(Skill!$AB:$AB, MATCH(BW$4, Skill!$C:$C, 0), 1), "")</f>
        <v/>
      </c>
      <c r="BX21" s="94">
        <f t="array" ref="BX21">IFERROR(INDEX(Skill!$AB:$AB, MATCH(BX$4, Skill!$C:$C, 0), 1), "")</f>
        <v>625</v>
      </c>
      <c r="BY21" s="94" t="str">
        <f t="array" ref="BY21">IFERROR(INDEX(Skill!$AB:$AB, MATCH(BY$4, Skill!$C:$C, 0), 1), "")</f>
        <v/>
      </c>
      <c r="BZ21" s="94" t="str">
        <f t="array" ref="BZ21">IFERROR(INDEX(Skill!$AB:$AB, MATCH(BZ$4, Skill!$C:$C, 0), 1), "")</f>
        <v/>
      </c>
      <c r="CA21" s="94" t="str">
        <f t="array" ref="CA21">IFERROR(INDEX(Skill!$AB:$AB, MATCH(CA$4, Skill!$C:$C, 0), 1), "")</f>
        <v/>
      </c>
      <c r="CB21" s="94" t="str">
        <f t="array" ref="CB21">IFERROR(INDEX(Skill!$AB:$AB, MATCH(CB$4, Skill!$C:$C, 0), 1), "")</f>
        <v/>
      </c>
      <c r="CC21" s="94" t="str">
        <f t="array" ref="CC21">IFERROR(INDEX(Skill!$AB:$AB, MATCH(CC$4, Skill!$C:$C, 0), 1), "")</f>
        <v/>
      </c>
      <c r="CD21" s="94" t="str">
        <f t="array" ref="CD21">IFERROR(INDEX(Skill!$AB:$AB, MATCH(CD$4, Skill!$C:$C, 0), 1), "")</f>
        <v/>
      </c>
      <c r="CE21" s="94" t="str">
        <f t="array" ref="CE21">IFERROR(INDEX(Skill!$AB:$AB, MATCH(CE$4, Skill!$C:$C, 0), 1), "")</f>
        <v/>
      </c>
      <c r="CF21" s="94" t="str">
        <f t="array" ref="CF21">IFERROR(INDEX(Skill!$AB:$AB, MATCH(CF$4, Skill!$C:$C, 0), 1), "")</f>
        <v/>
      </c>
      <c r="CG21" s="94" t="str">
        <f t="array" ref="CG21">IFERROR(INDEX(Skill!$AB:$AB, MATCH(CG$4, Skill!$C:$C, 0), 1), "")</f>
        <v/>
      </c>
      <c r="CH21" s="94" t="str">
        <f t="array" ref="CH21">IFERROR(INDEX(Skill!$AB:$AB, MATCH(CH$4, Skill!$C:$C, 0), 1), "")</f>
        <v/>
      </c>
      <c r="CI21" s="94" t="str">
        <f t="array" ref="CI21">IFERROR(INDEX(Skill!$AB:$AB, MATCH(CI$4, Skill!$C:$C, 0), 1), "")</f>
        <v/>
      </c>
      <c r="CJ21" s="94" t="str">
        <f t="array" ref="CJ21">IFERROR(INDEX(Skill!$AB:$AB, MATCH(CJ$4, Skill!$C:$C, 0), 1), "")</f>
        <v/>
      </c>
      <c r="CK21" s="94" t="str">
        <f t="array" ref="CK21">IFERROR(INDEX(Skill!$AB:$AB, MATCH(CK$4, Skill!$C:$C, 0), 1), "")</f>
        <v/>
      </c>
      <c r="CL21" s="94" t="str">
        <f t="array" ref="CL21">IFERROR(INDEX(Skill!$AB:$AB, MATCH(CL$4, Skill!$C:$C, 0), 1), "")</f>
        <v/>
      </c>
      <c r="CM21" s="94">
        <f t="array" ref="CM21">IFERROR(INDEX(Skill!$AB:$AB, MATCH(CM$4, Skill!$C:$C, 0), 1), "")</f>
        <v>648</v>
      </c>
      <c r="CN21" s="94" t="str">
        <f t="array" ref="CN21">IFERROR(INDEX(Skill!$AB:$AB, MATCH(CN$4, Skill!$C:$C, 0), 1), "")</f>
        <v/>
      </c>
      <c r="CO21" s="94" t="str">
        <f t="array" ref="CO21">IFERROR(INDEX(Skill!$AB:$AB, MATCH(CO$4, Skill!$C:$C, 0), 1), "")</f>
        <v/>
      </c>
      <c r="CP21" s="94">
        <f t="array" ref="CP21">IFERROR(INDEX(Skill!$AB:$AB, MATCH(CP$4, Skill!$C:$C, 0), 1), "")</f>
        <v>540</v>
      </c>
      <c r="CQ21" s="94" t="str">
        <f t="array" ref="CQ21">IFERROR(INDEX(Skill!$AB:$AB, MATCH(CQ$4, Skill!$C:$C, 0), 1), "")</f>
        <v/>
      </c>
      <c r="CR21" s="94" t="str">
        <f t="array" ref="CR21">IFERROR(INDEX(Skill!$AB:$AB, MATCH(CR$4, Skill!$C:$C, 0), 1), "")</f>
        <v/>
      </c>
      <c r="CS21" s="94" t="str">
        <f t="array" ref="CS21">IFERROR(INDEX(Skill!$AB:$AB, MATCH(CS$4, Skill!$C:$C, 0), 1), "")</f>
        <v/>
      </c>
      <c r="CT21" s="94" t="str">
        <f t="array" ref="CT21">IFERROR(INDEX(Skill!$AB:$AB, MATCH(CT$4, Skill!$C:$C, 0), 1), "")</f>
        <v/>
      </c>
      <c r="CU21" s="94" t="str">
        <f t="array" ref="CU21">IFERROR(INDEX(Skill!$AB:$AB, MATCH(CU$4, Skill!$C:$C, 0), 1), "")</f>
        <v/>
      </c>
      <c r="CV21" s="94" t="str">
        <f t="array" ref="CV21">IFERROR(INDEX(Skill!$AB:$AB, MATCH(CV$4, Skill!$C:$C, 0), 1), "")</f>
        <v/>
      </c>
      <c r="CW21" s="94" t="str">
        <f t="array" ref="CW21">IFERROR(INDEX(Skill!$AB:$AB, MATCH(CW$4, Skill!$C:$C, 0), 1), "")</f>
        <v/>
      </c>
      <c r="CX21" s="94" t="str">
        <f t="array" ref="CX21">IFERROR(INDEX(Skill!$AB:$AB, MATCH(CX$4, Skill!$C:$C, 0), 1), "")</f>
        <v/>
      </c>
      <c r="CY21" s="94" t="str">
        <f t="array" ref="CY21">IFERROR(INDEX(Skill!$AB:$AB, MATCH(CY$4, Skill!$C:$C, 0), 1), "")</f>
        <v/>
      </c>
      <c r="CZ21" s="94" t="str">
        <f t="array" ref="CZ21">IFERROR(INDEX(Skill!$AB:$AB, MATCH(CZ$4, Skill!$C:$C, 0), 1), "")</f>
        <v/>
      </c>
      <c r="DA21" s="94" t="str">
        <f t="array" ref="DA21">IFERROR(INDEX(Skill!$AB:$AB, MATCH(DA$4, Skill!$C:$C, 0), 1), "")</f>
        <v/>
      </c>
      <c r="DB21" s="94" t="str">
        <f t="array" ref="DB21">IFERROR(INDEX(Skill!$AB:$AB, MATCH(DB$4, Skill!$C:$C, 0), 1), "")</f>
        <v/>
      </c>
      <c r="DC21" s="94" t="str">
        <f t="array" ref="DC21">IFERROR(INDEX(Skill!$AB:$AB, MATCH(DC$4, Skill!$C:$C, 0), 1), "")</f>
        <v/>
      </c>
      <c r="DD21" s="94" t="str">
        <f t="array" ref="DD21">IFERROR(INDEX(Skill!$AB:$AB, MATCH(DD$4, Skill!$C:$C, 0), 1), "")</f>
        <v/>
      </c>
      <c r="DE21" s="94" t="str">
        <f t="array" ref="DE21">IFERROR(INDEX(Skill!$AB:$AB, MATCH(DE$4, Skill!$C:$C, 0), 1), "")</f>
        <v/>
      </c>
      <c r="DF21" s="94" t="str">
        <f t="array" ref="DF21">IFERROR(INDEX(Skill!$AB:$AB, MATCH(DF$4, Skill!$C:$C, 0), 1), "")</f>
        <v/>
      </c>
      <c r="DG21" s="94" t="str">
        <f t="array" ref="DG21">IFERROR(INDEX(Skill!$AB:$AB, MATCH(DG$4, Skill!$C:$C, 0), 1), "")</f>
        <v/>
      </c>
      <c r="DH21" s="94" t="str">
        <f t="array" ref="DH21">IFERROR(INDEX(Skill!$AB:$AB, MATCH(DH$4, Skill!$C:$C, 0), 1), "")</f>
        <v/>
      </c>
      <c r="DI21" s="94" t="str">
        <f t="array" ref="DI21">IFERROR(INDEX(Skill!$AB:$AB, MATCH(DI$4, Skill!$C:$C, 0), 1), "")</f>
        <v/>
      </c>
      <c r="DJ21" s="94" t="str">
        <f t="array" ref="DJ21">IFERROR(INDEX(Skill!$AB:$AB, MATCH(DJ$4, Skill!$C:$C, 0), 1), "")</f>
        <v/>
      </c>
      <c r="DK21" s="94" t="str">
        <f t="array" ref="DK21">IFERROR(INDEX(Skill!$AB:$AB, MATCH(DK$4, Skill!$C:$C, 0), 1), "")</f>
        <v/>
      </c>
      <c r="DL21" s="94" t="str">
        <f t="array" ref="DL21">IFERROR(INDEX(Skill!$AB:$AB, MATCH(DL$4, Skill!$C:$C, 0), 1), "")</f>
        <v/>
      </c>
      <c r="DM21" s="94" t="str">
        <f t="array" ref="DM21">IFERROR(INDEX(Skill!$AB:$AB, MATCH(DM$4, Skill!$C:$C, 0), 1), "")</f>
        <v/>
      </c>
      <c r="DN21" s="94" t="str">
        <f t="array" ref="DN21">IFERROR(INDEX(Skill!$AB:$AB, MATCH(DN$4, Skill!$C:$C, 0), 1), "")</f>
        <v/>
      </c>
      <c r="DO21" s="94" t="str">
        <f t="array" ref="DO21">IFERROR(INDEX(Skill!$AB:$AB, MATCH(DO$4, Skill!$C:$C, 0), 1), "")</f>
        <v/>
      </c>
      <c r="DP21" s="94" t="str">
        <f t="array" ref="DP21">IFERROR(INDEX(Skill!$AB:$AB, MATCH(DP$4, Skill!$C:$C, 0), 1), "")</f>
        <v/>
      </c>
      <c r="DQ21" s="94" t="str">
        <f t="array" ref="DQ21">IFERROR(INDEX(Skill!$AB:$AB, MATCH(DQ$4, Skill!$C:$C, 0), 1), "")</f>
        <v/>
      </c>
      <c r="DR21" s="94" t="str">
        <f t="array" ref="DR21">IFERROR(INDEX(Skill!$AB:$AB, MATCH(DR$4, Skill!$C:$C, 0), 1), "")</f>
        <v/>
      </c>
      <c r="DS21" s="94" t="str">
        <f t="array" ref="DS21">IFERROR(INDEX(Skill!$AB:$AB, MATCH(DS$4, Skill!$C:$C, 0), 1), "")</f>
        <v/>
      </c>
      <c r="DT21" s="94" t="str">
        <f t="array" ref="DT21">IFERROR(INDEX(Skill!$AB:$AB, MATCH(DT$4, Skill!$C:$C, 0), 1), "")</f>
        <v/>
      </c>
      <c r="DU21" s="94" t="str">
        <f t="array" ref="DU21">IFERROR(INDEX(Skill!$AB:$AB, MATCH(DU$4, Skill!$C:$C, 0), 1), "")</f>
        <v/>
      </c>
      <c r="DV21" s="94" t="str">
        <f t="array" ref="DV21">IFERROR(INDEX(Skill!$AB:$AB, MATCH(DV$4, Skill!$C:$C, 0), 1), "")</f>
        <v/>
      </c>
      <c r="DW21" s="94" t="str">
        <f t="array" ref="DW21">IFERROR(INDEX(Skill!$AB:$AB, MATCH(DW$4, Skill!$C:$C, 0), 1), "")</f>
        <v/>
      </c>
      <c r="DX21" s="94" t="str">
        <f t="array" ref="DX21">IFERROR(INDEX(Skill!$AB:$AB, MATCH(DX$4, Skill!$C:$C, 0), 1), "")</f>
        <v/>
      </c>
      <c r="DY21" s="94" t="str">
        <f t="array" ref="DY21">IFERROR(INDEX(Skill!$AB:$AB, MATCH(DY$4, Skill!$C:$C, 0), 1), "")</f>
        <v/>
      </c>
      <c r="DZ21" s="94" t="str">
        <f t="array" ref="DZ21">IFERROR(INDEX(Skill!$AB:$AB, MATCH(DZ$4, Skill!$C:$C, 0), 1), "")</f>
        <v/>
      </c>
      <c r="EA21" s="89" t="str">
        <f t="array" ref="EA21">IFERROR(INDEX(Skill!$AB:$AB, MATCH(EA$4, Skill!$C:$C, 0), 1), "")</f>
        <v/>
      </c>
      <c r="EB21" s="89" t="str">
        <f t="array" ref="EB21">IFERROR(INDEX(Skill!$AB:$AB, MATCH(EB$4, Skill!$C:$C, 0), 1), "")</f>
        <v/>
      </c>
      <c r="EC21" s="89" t="str">
        <f t="array" ref="EC21">IFERROR(INDEX(Skill!$AB:$AB, MATCH(EC$4, Skill!$C:$C, 0), 1), "")</f>
        <v/>
      </c>
      <c r="ED21" s="94" t="str">
        <f t="array" ref="ED21">IFERROR(INDEX(Skill!$AB:$AB, MATCH(ED$4, Skill!$C:$C, 0), 1), "")</f>
        <v/>
      </c>
      <c r="EE21" s="102"/>
      <c r="EF21" s="102"/>
      <c r="EG21" s="102"/>
      <c r="EH21" s="102"/>
      <c r="EI21" s="102"/>
      <c r="EJ21" s="102"/>
      <c r="EK21" s="102"/>
      <c r="EL21" s="102"/>
      <c r="EM21" s="102"/>
      <c r="EN21" s="102"/>
      <c r="EO21" s="102"/>
      <c r="EP21" s="102"/>
      <c r="EQ21" s="102"/>
      <c r="ER21" s="103"/>
      <c r="ES21" s="103"/>
      <c r="ET21" s="103"/>
      <c r="EU21" s="76"/>
      <c r="EV21" s="76"/>
      <c r="EW21" s="76"/>
      <c r="EX21" s="76"/>
      <c r="EY21" s="76"/>
      <c r="EZ21" s="76"/>
      <c r="FA21" s="76"/>
      <c r="FB21" s="76"/>
      <c r="FC21" s="76"/>
      <c r="FD21" s="76"/>
      <c r="FE21" s="76"/>
      <c r="FF21" s="76"/>
      <c r="FG21" s="76"/>
      <c r="FH21" s="76"/>
      <c r="FI21" s="76"/>
      <c r="FJ21" s="76"/>
      <c r="FK21" s="76"/>
      <c r="FL21" s="76"/>
      <c r="FM21" s="76"/>
      <c r="FN21" s="76"/>
      <c r="FO21" s="91"/>
    </row>
    <row r="22">
      <c r="B22" s="106" t="s">
        <v>1036</v>
      </c>
      <c r="C22" s="107" t="s">
        <v>1038</v>
      </c>
      <c r="D22" s="108"/>
      <c r="E22" s="106" t="s">
        <v>1039</v>
      </c>
      <c r="F22" s="109" t="s">
        <v>1040</v>
      </c>
      <c r="G22" s="108"/>
      <c r="H22" s="110" t="s">
        <v>1041</v>
      </c>
      <c r="I22" s="111"/>
      <c r="J22" s="108"/>
      <c r="K22" s="112" t="s">
        <v>1042</v>
      </c>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3"/>
      <c r="BP22" s="113"/>
      <c r="BQ22" s="113"/>
      <c r="BR22" s="113"/>
      <c r="BS22" s="113"/>
      <c r="BT22" s="113"/>
      <c r="BU22" s="113"/>
      <c r="BV22" s="113"/>
      <c r="BW22" s="113"/>
      <c r="BX22" s="113"/>
      <c r="BY22" s="113"/>
      <c r="BZ22" s="113"/>
      <c r="CA22" s="113"/>
      <c r="CB22" s="113"/>
      <c r="CC22" s="113"/>
      <c r="CD22" s="113"/>
      <c r="CE22" s="113"/>
      <c r="CF22" s="113"/>
      <c r="CG22" s="113"/>
      <c r="CH22" s="113"/>
      <c r="CI22" s="113"/>
      <c r="CJ22" s="113"/>
      <c r="CK22" s="113"/>
      <c r="CL22" s="113"/>
      <c r="CM22" s="113"/>
      <c r="CN22" s="113"/>
      <c r="CO22" s="113"/>
      <c r="CP22" s="113"/>
      <c r="CQ22" s="113"/>
      <c r="CR22" s="113"/>
      <c r="CS22" s="113"/>
      <c r="CT22" s="113"/>
      <c r="CU22" s="113"/>
      <c r="CV22" s="113"/>
      <c r="CW22" s="113"/>
      <c r="CX22" s="113"/>
      <c r="CY22" s="113"/>
      <c r="CZ22" s="113"/>
      <c r="DA22" s="113"/>
      <c r="DB22" s="113"/>
      <c r="DC22" s="113"/>
      <c r="DD22" s="113"/>
      <c r="DE22" s="113"/>
      <c r="DF22" s="113"/>
      <c r="DG22" s="113"/>
      <c r="DH22" s="113"/>
      <c r="DI22" s="113"/>
      <c r="DJ22" s="113"/>
      <c r="DK22" s="113"/>
      <c r="DL22" s="113"/>
      <c r="DM22" s="113"/>
      <c r="DN22" s="113"/>
      <c r="DO22" s="113"/>
      <c r="DP22" s="113"/>
      <c r="DQ22" s="113"/>
      <c r="DR22" s="113"/>
      <c r="DS22" s="113"/>
      <c r="DT22" s="113"/>
      <c r="DU22" s="113"/>
      <c r="DV22" s="113"/>
      <c r="DW22" s="113"/>
      <c r="DX22" s="113"/>
      <c r="DY22" s="113"/>
      <c r="DZ22" s="113"/>
      <c r="EA22" s="113"/>
      <c r="EB22" s="113"/>
      <c r="EC22" s="113"/>
      <c r="ED22" s="113"/>
      <c r="EE22" s="114" t="s">
        <v>1054</v>
      </c>
      <c r="EF22" s="113"/>
      <c r="EG22" s="113"/>
      <c r="EH22" s="113"/>
      <c r="EI22" s="113"/>
      <c r="EJ22" s="113"/>
      <c r="EK22" s="113"/>
      <c r="EL22" s="113"/>
      <c r="EM22" s="113"/>
      <c r="EN22" s="113"/>
      <c r="EO22" s="113"/>
      <c r="EP22" s="113"/>
      <c r="EQ22" s="115"/>
      <c r="ER22" s="110" t="s">
        <v>1055</v>
      </c>
      <c r="ES22" s="111"/>
      <c r="ET22" s="116" t="s">
        <v>1056</v>
      </c>
      <c r="EU22" s="117" t="s">
        <v>1054</v>
      </c>
      <c r="EY22" s="118" t="s">
        <v>1056</v>
      </c>
      <c r="EZ22" s="117" t="s">
        <v>1054</v>
      </c>
      <c r="FD22" s="118" t="s">
        <v>1056</v>
      </c>
      <c r="FE22" s="117" t="s">
        <v>1054</v>
      </c>
      <c r="FI22" s="118" t="s">
        <v>1056</v>
      </c>
      <c r="FJ22" s="117" t="s">
        <v>1054</v>
      </c>
      <c r="FN22" s="118" t="s">
        <v>1056</v>
      </c>
      <c r="FO22" s="91"/>
    </row>
    <row r="23">
      <c r="B23" s="119"/>
      <c r="C23" s="120"/>
      <c r="D23" s="121"/>
      <c r="E23" s="119"/>
      <c r="F23" s="120"/>
      <c r="G23" s="121"/>
      <c r="H23" s="122"/>
      <c r="I23" s="122"/>
      <c r="J23" s="123"/>
      <c r="K23" s="124" t="str">
        <f>IMAGE("https://xivapi.com/i/062000/062119.png")</f>
        <v/>
      </c>
      <c r="L23" s="113"/>
      <c r="M23" s="113"/>
      <c r="N23" s="113"/>
      <c r="O23" s="113"/>
      <c r="P23" s="113"/>
      <c r="Q23" s="113"/>
      <c r="R23" s="113"/>
      <c r="S23" s="115"/>
      <c r="T23" s="125" t="str">
        <f>IMAGE("https://xivapi.com/i/062000/062121.png")</f>
        <v/>
      </c>
      <c r="U23" s="113"/>
      <c r="V23" s="113"/>
      <c r="W23" s="113"/>
      <c r="X23" s="113"/>
      <c r="Y23" s="113"/>
      <c r="Z23" s="113"/>
      <c r="AA23" s="113"/>
      <c r="AB23" s="115"/>
      <c r="AC23" s="125" t="str">
        <f>IMAGE("https://xivapi.com/i/062000/062132.png")</f>
        <v/>
      </c>
      <c r="AD23" s="113"/>
      <c r="AE23" s="113"/>
      <c r="AF23" s="113"/>
      <c r="AG23" s="113"/>
      <c r="AH23" s="113"/>
      <c r="AI23" s="113"/>
      <c r="AJ23" s="113"/>
      <c r="AK23" s="115"/>
      <c r="AL23" s="125" t="str">
        <f>IMAGE("https://xivapi.com/i/062000/062137.png")</f>
        <v/>
      </c>
      <c r="AM23" s="113"/>
      <c r="AN23" s="113"/>
      <c r="AO23" s="113"/>
      <c r="AP23" s="113"/>
      <c r="AQ23" s="113"/>
      <c r="AR23" s="115"/>
      <c r="AS23" s="126" t="str">
        <f>IMAGE("https://xivapi.com/i/062000/062124.png")</f>
        <v/>
      </c>
      <c r="AT23" s="113"/>
      <c r="AU23" s="113"/>
      <c r="AV23" s="113"/>
      <c r="AW23" s="113"/>
      <c r="AX23" s="113"/>
      <c r="AY23" s="113"/>
      <c r="AZ23" s="113"/>
      <c r="BA23" s="113"/>
      <c r="BB23" s="113"/>
      <c r="BC23" s="113"/>
      <c r="BD23" s="115"/>
      <c r="BE23" s="126" t="str">
        <f>IMAGE("https://xivapi.com/i/062000/062133.png")</f>
        <v/>
      </c>
      <c r="BF23" s="113"/>
      <c r="BG23" s="113"/>
      <c r="BH23" s="113"/>
      <c r="BI23" s="113"/>
      <c r="BJ23" s="113"/>
      <c r="BK23" s="113"/>
      <c r="BL23" s="113"/>
      <c r="BM23" s="113"/>
      <c r="BN23" s="113"/>
      <c r="BO23" s="113"/>
      <c r="BP23" s="113"/>
      <c r="BQ23" s="113"/>
      <c r="BR23" s="113"/>
      <c r="BS23" s="113"/>
      <c r="BT23" s="113"/>
      <c r="BU23" s="113"/>
      <c r="BV23" s="113"/>
      <c r="BW23" s="113"/>
      <c r="BX23" s="115"/>
      <c r="BY23" s="126" t="str">
        <f>IMAGE("https://xivapi.com/i/062000/062128.png")</f>
        <v/>
      </c>
      <c r="BZ23" s="113"/>
      <c r="CA23" s="113"/>
      <c r="CB23" s="113"/>
      <c r="CC23" s="113"/>
      <c r="CD23" s="113"/>
      <c r="CE23" s="113"/>
      <c r="CF23" s="113"/>
      <c r="CG23" s="113"/>
      <c r="CH23" s="113"/>
      <c r="CI23" s="113"/>
      <c r="CJ23" s="113"/>
      <c r="CK23" s="113"/>
      <c r="CL23" s="113"/>
      <c r="CM23" s="113"/>
      <c r="CN23" s="113"/>
      <c r="CO23" s="113"/>
      <c r="CP23" s="113"/>
      <c r="CQ23" s="113"/>
      <c r="CR23" s="113"/>
      <c r="CS23" s="115"/>
      <c r="CT23" s="126" t="str">
        <f>IMAGE("https://xivapi.com/i/062000/062140.png")</f>
        <v/>
      </c>
      <c r="CU23" s="113"/>
      <c r="CV23" s="113"/>
      <c r="CW23" s="113"/>
      <c r="CX23" s="113"/>
      <c r="CY23" s="113"/>
      <c r="CZ23" s="113"/>
      <c r="DA23" s="113"/>
      <c r="DB23" s="113"/>
      <c r="DC23" s="113"/>
      <c r="DD23" s="113"/>
      <c r="DE23" s="113"/>
      <c r="DF23" s="113"/>
      <c r="DG23" s="113"/>
      <c r="DH23" s="113"/>
      <c r="DI23" s="115"/>
      <c r="DJ23" s="127" t="str">
        <f>IMAGE("https://xivapi.com/i/062000/062120.png")</f>
        <v/>
      </c>
      <c r="DK23" s="115"/>
      <c r="DL23" s="127" t="str">
        <f>IMAGE("https://xivapi.com/i/062000/062122.png")</f>
        <v/>
      </c>
      <c r="DM23" s="127" t="str">
        <f>IMAGE("https://xivapi.com/i/062000/062130.png")</f>
        <v/>
      </c>
      <c r="DN23" s="127" t="str">
        <f>IMAGE("https://xivapi.com/i/062000/062134.png")</f>
        <v/>
      </c>
      <c r="DO23" s="127" t="str">
        <f>IMAGE("https://xivapi.com/i/062000/062139.png")</f>
        <v/>
      </c>
      <c r="DP23" s="127" t="str">
        <f>IMAGE("https://xivapi.com/i/062000/062141.png")</f>
        <v/>
      </c>
      <c r="DQ23" s="128" t="str">
        <f>IMAGE("https://xivapi.com/i/062000/062123.png")</f>
        <v/>
      </c>
      <c r="DR23" s="115"/>
      <c r="DS23" s="128" t="str">
        <f>IMAGE("https://xivapi.com/i/062000/062131.png")</f>
        <v/>
      </c>
      <c r="DT23" s="115"/>
      <c r="DU23" s="128" t="str">
        <f>IMAGE("https://xivapi.com/i/062000/062138.png")</f>
        <v/>
      </c>
      <c r="DV23" s="115"/>
      <c r="DW23" s="129" t="str">
        <f>IMAGE("https://xivapi.com/i/062000/062125.png")</f>
        <v/>
      </c>
      <c r="DX23" s="129" t="str">
        <f>IMAGE("https://xivapi.com/i/062000/062127.png")</f>
        <v/>
      </c>
      <c r="DY23" s="129" t="str">
        <f>IMAGE("https://xivapi.com/i/062000/062135.png")</f>
        <v/>
      </c>
      <c r="DZ23" s="115"/>
      <c r="EA23" s="129" t="str">
        <f>IMAGE("https://xivapi.com/i/062000/062142.png")</f>
        <v/>
      </c>
      <c r="EB23" s="113"/>
      <c r="EC23" s="115"/>
      <c r="ED23" s="130" t="str">
        <f>IMAGE("https://xivapi.com/cj/misc/bordered_tank.png")</f>
        <v/>
      </c>
      <c r="EE23" s="131" t="s">
        <v>1042</v>
      </c>
      <c r="EF23" s="132" t="s">
        <v>1057</v>
      </c>
      <c r="EG23" s="111"/>
      <c r="EH23" s="132" t="s">
        <v>1058</v>
      </c>
      <c r="EI23" s="111"/>
      <c r="EJ23" s="132" t="s">
        <v>1059</v>
      </c>
      <c r="EK23" s="111"/>
      <c r="EL23" s="132" t="s">
        <v>1060</v>
      </c>
      <c r="EM23" s="111"/>
      <c r="EN23" s="132" t="s">
        <v>1061</v>
      </c>
      <c r="EO23" s="111"/>
      <c r="EP23" s="132" t="s">
        <v>1062</v>
      </c>
      <c r="EQ23" s="133" t="s">
        <v>1063</v>
      </c>
      <c r="ET23" s="134" t="s">
        <v>1064</v>
      </c>
      <c r="EU23" s="135" t="str">
        <f>IMAGE("https://xivapi.com/cj/companion/paladin.png")</f>
        <v/>
      </c>
      <c r="EZ23" s="135" t="str">
        <f>IMAGE("https://xivapi.com/cj/companion/warrior.png")</f>
        <v/>
      </c>
      <c r="FE23" s="135" t="str">
        <f>IMAGE("https://xivapi.com/cj/companion/darkknight.png")</f>
        <v/>
      </c>
      <c r="FJ23" s="135" t="str">
        <f>IMAGE("https://xivapi.com/cj/companion/gunbreaker.png")</f>
        <v/>
      </c>
      <c r="FO23" s="91"/>
    </row>
    <row r="24">
      <c r="B24" s="136"/>
      <c r="C24" s="137"/>
      <c r="D24" s="123"/>
      <c r="E24" s="136"/>
      <c r="F24" s="137"/>
      <c r="G24" s="123"/>
      <c r="H24" s="138" t="s">
        <v>1065</v>
      </c>
      <c r="I24" s="139" t="s">
        <v>1066</v>
      </c>
      <c r="J24" s="139" t="s">
        <v>1067</v>
      </c>
      <c r="K24" s="140" t="str">
        <f t="array" ref="K24">IFERROR(INDEX(Skill!$D:$D, MATCH(K$4, Skill!$C:$C, 0), 1), "")</f>
        <v/>
      </c>
      <c r="L24" s="140" t="str">
        <f t="array" ref="L24">IFERROR(INDEX(Skill!$D:$D, MATCH(L$4, Skill!$C:$C, 0), 1), "")</f>
        <v/>
      </c>
      <c r="M24" s="140" t="str">
        <f t="array" ref="M24">IFERROR(INDEX(Skill!$D:$D, MATCH(M$4, Skill!$C:$C, 0), 1), "")</f>
        <v/>
      </c>
      <c r="N24" s="140" t="str">
        <f t="array" ref="N24">IFERROR(INDEX(Skill!$D:$D, MATCH(N$4, Skill!$C:$C, 0), 1), "")</f>
        <v/>
      </c>
      <c r="O24" s="140" t="str">
        <f t="array" ref="O24">IFERROR(INDEX(Skill!$D:$D, MATCH(O$4, Skill!$C:$C, 0), 1), "")</f>
        <v/>
      </c>
      <c r="P24" s="140" t="str">
        <f t="array" ref="P24">IFERROR(INDEX(Skill!$D:$D, MATCH(P$4, Skill!$C:$C, 0), 1), "")</f>
        <v/>
      </c>
      <c r="Q24" s="140" t="str">
        <f t="array" ref="Q24">IFERROR(INDEX(Skill!$D:$D, MATCH(Q$4, Skill!$C:$C, 0), 1), "")</f>
        <v/>
      </c>
      <c r="R24" s="140" t="str">
        <f t="array" ref="R24">IFERROR(INDEX(Skill!$D:$D, MATCH(R$4, Skill!$C:$C, 0), 1), "")</f>
        <v/>
      </c>
      <c r="S24" s="140" t="str">
        <f t="array" ref="S24">IFERROR(INDEX(Skill!$D:$D, MATCH(S$4, Skill!$C:$C, 0), 1), "")</f>
        <v/>
      </c>
      <c r="T24" s="141" t="str">
        <f t="array" ref="T24">IFERROR(INDEX(Skill!$D:$D, MATCH(T$4, Skill!$C:$C, 0), 1), "")</f>
        <v/>
      </c>
      <c r="U24" s="124" t="str">
        <f t="array" ref="U24">IFERROR(INDEX(Skill!$D:$D, MATCH(U$4, Skill!$C:$C, 0), 1), "")</f>
        <v/>
      </c>
      <c r="V24" s="124" t="str">
        <f t="array" ref="V24">IFERROR(INDEX(Skill!$D:$D, MATCH(V$4, Skill!$C:$C, 0), 1), "")</f>
        <v/>
      </c>
      <c r="W24" s="124" t="str">
        <f t="array" ref="W24">IFERROR(INDEX(Skill!$D:$D, MATCH(W$4, Skill!$C:$C, 0), 1), "")</f>
        <v/>
      </c>
      <c r="X24" s="124" t="str">
        <f t="array" ref="X24">IFERROR(INDEX(Skill!$D:$D, MATCH(X$4, Skill!$C:$C, 0), 1), "")</f>
        <v/>
      </c>
      <c r="Y24" s="124" t="str">
        <f t="array" ref="Y24">IFERROR(INDEX(Skill!$D:$D, MATCH(Y$4, Skill!$C:$C, 0), 1), "")</f>
        <v/>
      </c>
      <c r="Z24" s="124" t="str">
        <f t="array" ref="Z24">IFERROR(INDEX(Skill!$D:$D, MATCH(Z$4, Skill!$C:$C, 0), 1), "")</f>
        <v/>
      </c>
      <c r="AA24" s="124" t="str">
        <f t="array" ref="AA24">IFERROR(INDEX(Skill!$D:$D, MATCH(AA$4, Skill!$C:$C, 0), 1), "")</f>
        <v/>
      </c>
      <c r="AB24" s="124" t="str">
        <f t="array" ref="AB24">IFERROR(INDEX(Skill!$D:$D, MATCH(AB$4, Skill!$C:$C, 0), 1), "")</f>
        <v/>
      </c>
      <c r="AC24" s="141" t="str">
        <f t="array" ref="AC24">IFERROR(INDEX(Skill!$D:$D, MATCH(AC$4, Skill!$C:$C, 0), 1), "")</f>
        <v/>
      </c>
      <c r="AD24" s="142" t="str">
        <f t="array" ref="AD24">IFERROR(INDEX(Skill!$D:$D, MATCH(AD$4, Skill!$C:$C, 0), 1), "")</f>
        <v/>
      </c>
      <c r="AE24" s="142" t="str">
        <f t="array" ref="AE24">IFERROR(INDEX(Skill!$D:$D, MATCH(AE$4, Skill!$C:$C, 0), 1), "")</f>
        <v/>
      </c>
      <c r="AF24" s="143" t="str">
        <f t="array" ref="AF24">IFERROR(INDEX(Skill!$D:$D, MATCH(AF$4, Skill!$C:$C, 0), 1), "")</f>
        <v/>
      </c>
      <c r="AG24" s="115"/>
      <c r="AH24" s="142" t="str">
        <f t="array" ref="AH24">IFERROR(INDEX(Skill!$D:$D, MATCH(AH$4, Skill!$C:$C, 0), 1), "")</f>
        <v/>
      </c>
      <c r="AI24" s="142" t="str">
        <f t="array" ref="AI24">IFERROR(INDEX(Skill!$D:$D, MATCH(AI$4, Skill!$C:$C, 0), 1), "")</f>
        <v/>
      </c>
      <c r="AJ24" s="142" t="str">
        <f t="array" ref="AJ24">IFERROR(INDEX(Skill!$D:$D, MATCH(AJ$4, Skill!$C:$C, 0), 1), "")</f>
        <v/>
      </c>
      <c r="AK24" s="142" t="str">
        <f t="array" ref="AK24">IFERROR(INDEX(Skill!$D:$D, MATCH(AK$4, Skill!$C:$C, 0), 1), "")</f>
        <v/>
      </c>
      <c r="AL24" s="141" t="str">
        <f t="array" ref="AL24">IFERROR(INDEX(Skill!$D:$D, MATCH(AL$4, Skill!$C:$C, 0), 1), "")</f>
        <v/>
      </c>
      <c r="AM24" s="140" t="str">
        <f t="array" ref="AM24">IFERROR(INDEX(Skill!$D:$D, MATCH(AM$4, Skill!$C:$C, 0), 1), "")</f>
        <v/>
      </c>
      <c r="AN24" s="140" t="str">
        <f t="array" ref="AN24">IFERROR(INDEX(Skill!$D:$D, MATCH(AN$4, Skill!$C:$C, 0), 1), "")</f>
        <v/>
      </c>
      <c r="AO24" s="140" t="str">
        <f t="array" ref="AO24">IFERROR(INDEX(Skill!$D:$D, MATCH(AO$4, Skill!$C:$C, 0), 1), "")</f>
        <v/>
      </c>
      <c r="AP24" s="140" t="str">
        <f t="array" ref="AP24">IFERROR(INDEX(Skill!$D:$D, MATCH(AP$4, Skill!$C:$C, 0), 1), "")</f>
        <v/>
      </c>
      <c r="AQ24" s="140" t="str">
        <f t="array" ref="AQ24">IFERROR(INDEX(Skill!$D:$D, MATCH(AQ$4, Skill!$C:$C, 0), 1), "")</f>
        <v/>
      </c>
      <c r="AR24" s="140" t="str">
        <f t="array" ref="AR24">IFERROR(INDEX(Skill!$D:$D, MATCH(AR$4, Skill!$C:$C, 0), 1), "")</f>
        <v/>
      </c>
      <c r="AS24" s="144" t="str">
        <f t="array" ref="AS24">IFERROR(INDEX(Skill!$D:$D, MATCH(AS$4, Skill!$C:$C, 0), 1), "")</f>
        <v/>
      </c>
      <c r="AT24" s="145" t="str">
        <f t="array" ref="AT24">IFERROR(INDEX(Skill!$D:$D, MATCH(AT$4, Skill!$C:$C, 0), 1), "")</f>
        <v/>
      </c>
      <c r="AU24" s="145" t="str">
        <f t="array" ref="AU24">IFERROR(INDEX(Skill!$D:$D, MATCH(AU$4, Skill!$C:$C, 0), 1), "")</f>
        <v/>
      </c>
      <c r="AV24" s="145" t="str">
        <f t="array" ref="AV24">IFERROR(INDEX(Skill!$D:$D, MATCH(AV$4, Skill!$C:$C, 0), 1), "")</f>
        <v/>
      </c>
      <c r="AW24" s="145" t="str">
        <f t="array" ref="AW24">IFERROR(INDEX(Skill!$D:$D, MATCH(AW$4, Skill!$C:$C, 0), 1), "")</f>
        <v/>
      </c>
      <c r="AX24" s="145" t="str">
        <f t="array" ref="AX24">IFERROR(INDEX(Skill!$D:$D, MATCH(AX$4, Skill!$C:$C, 0), 1), "")</f>
        <v/>
      </c>
      <c r="AY24" s="145" t="str">
        <f t="array" ref="AY24">IFERROR(INDEX(Skill!$D:$D, MATCH(AY$4, Skill!$C:$C, 0), 1), "")</f>
        <v/>
      </c>
      <c r="AZ24" s="146" t="str">
        <f t="array" ref="AZ24">IFERROR(INDEX(Skill!$D:$D, MATCH(AZ$4, Skill!$C:$C, 0), 1), "")</f>
        <v/>
      </c>
      <c r="BA24" s="115"/>
      <c r="BB24" s="146" t="str">
        <f t="array" ref="BB24">IFERROR(INDEX(Skill!$D:$D, MATCH(BB$4, Skill!$C:$C, 0), 1), "")</f>
        <v/>
      </c>
      <c r="BC24" s="115"/>
      <c r="BD24" s="145" t="str">
        <f t="array" ref="BD24">IFERROR(INDEX(Skill!$D:$D, MATCH(BD$4, Skill!$C:$C, 0), 1), "")</f>
        <v/>
      </c>
      <c r="BE24" s="144" t="str">
        <f t="array" ref="BE24">IFERROR(INDEX(Skill!$D:$D, MATCH(BE$4, Skill!$C:$C, 0), 1), "")</f>
        <v/>
      </c>
      <c r="BF24" s="147" t="str">
        <f t="array" ref="BF24">IFERROR(INDEX(Skill!$D:$D, MATCH(BF$4, Skill!$C:$C, 0), 1), "")</f>
        <v/>
      </c>
      <c r="BG24" s="147" t="str">
        <f t="array" ref="BG24">IFERROR(INDEX(Skill!$D:$D, MATCH(BG$4, Skill!$C:$C, 0), 1), "")</f>
        <v/>
      </c>
      <c r="BH24" s="147" t="str">
        <f t="array" ref="BH24">IFERROR(INDEX(Skill!$D:$D, MATCH(BH$4, Skill!$C:$C, 0), 1), "")</f>
        <v/>
      </c>
      <c r="BI24" s="147" t="str">
        <f t="array" ref="BI24">IFERROR(INDEX(Skill!$D:$D, MATCH(BI$4, Skill!$C:$C, 0), 1), "")</f>
        <v/>
      </c>
      <c r="BJ24" s="147" t="str">
        <f t="array" ref="BJ24">IFERROR(INDEX(Skill!$D:$D, MATCH(BJ$4, Skill!$C:$C, 0), 1), "")</f>
        <v/>
      </c>
      <c r="BK24" s="147" t="str">
        <f t="array" ref="BK24">IFERROR(INDEX(Skill!$D:$D, MATCH(BK$4, Skill!$C:$C, 0), 1), "")</f>
        <v/>
      </c>
      <c r="BL24" s="147" t="str">
        <f t="array" ref="BL24">IFERROR(INDEX(Skill!$D:$D, MATCH(BL$4, Skill!$C:$C, 0), 1), "")</f>
        <v/>
      </c>
      <c r="BM24" s="147" t="str">
        <f t="array" ref="BM24">IFERROR(INDEX(Skill!$D:$D, MATCH(BM$4, Skill!$C:$C, 0), 1), "")</f>
        <v/>
      </c>
      <c r="BN24" s="147" t="str">
        <f t="array" ref="BN24">IFERROR(INDEX(Skill!$D:$D, MATCH(BN$4, Skill!$C:$C, 0), 1), "")</f>
        <v/>
      </c>
      <c r="BO24" s="147" t="str">
        <f t="array" ref="BO24">IFERROR(INDEX(Skill!$D:$D, MATCH(BO$4, Skill!$C:$C, 0), 1), "")</f>
        <v/>
      </c>
      <c r="BP24" s="147" t="str">
        <f t="array" ref="BP24">IFERROR(INDEX(Skill!$D:$D, MATCH(BP$4, Skill!$C:$C, 0), 1), "")</f>
        <v/>
      </c>
      <c r="BQ24" s="147" t="str">
        <f t="array" ref="BQ24">IFERROR(INDEX(Skill!$D:$D, MATCH(BQ$4, Skill!$C:$C, 0), 1), "")</f>
        <v/>
      </c>
      <c r="BR24" s="147" t="str">
        <f t="array" ref="BR24">IFERROR(INDEX(Skill!$D:$D, MATCH(BR$4, Skill!$C:$C, 0), 1), "")</f>
        <v/>
      </c>
      <c r="BS24" s="148" t="str">
        <f t="array" ref="BS24">IFERROR(INDEX(Skill!$D:$D, MATCH(BS$4, Skill!$C:$C, 0), 1), "")</f>
        <v/>
      </c>
      <c r="BT24" s="115"/>
      <c r="BU24" s="147" t="str">
        <f t="array" ref="BU24">IFERROR(INDEX(Skill!$D:$D, MATCH(BU$4, Skill!$C:$C, 0), 1), "")</f>
        <v/>
      </c>
      <c r="BV24" s="148" t="str">
        <f t="array" ref="BV24">IFERROR(INDEX(Skill!$D:$D, MATCH(BV$4, Skill!$C:$C, 0), 1), "")</f>
        <v/>
      </c>
      <c r="BW24" s="115"/>
      <c r="BX24" s="147" t="str">
        <f t="array" ref="BX24">IFERROR(INDEX(Skill!$D:$D, MATCH(BX$4, Skill!$C:$C, 0), 1), "")</f>
        <v/>
      </c>
      <c r="BY24" s="144" t="str">
        <f t="array" ref="BY24">IFERROR(INDEX(Skill!$D:$D, MATCH(BY$4, Skill!$C:$C, 0), 1), "")</f>
        <v/>
      </c>
      <c r="BZ24" s="147" t="str">
        <f t="array" ref="BZ24">IFERROR(INDEX(Skill!$D:$D, MATCH(BZ$4, Skill!$C:$C, 0), 1), "")</f>
        <v/>
      </c>
      <c r="CA24" s="147" t="str">
        <f t="array" ref="CA24">IFERROR(INDEX(Skill!$D:$D, MATCH(CA$4, Skill!$C:$C, 0), 1), "")</f>
        <v/>
      </c>
      <c r="CB24" s="147" t="str">
        <f t="array" ref="CB24">IFERROR(INDEX(Skill!$D:$D, MATCH(CB$4, Skill!$C:$C, 0), 1), "")</f>
        <v/>
      </c>
      <c r="CC24" s="147" t="str">
        <f t="array" ref="CC24">IFERROR(INDEX(Skill!$D:$D, MATCH(CC$4, Skill!$C:$C, 0), 1), "")</f>
        <v/>
      </c>
      <c r="CD24" s="147" t="str">
        <f t="array" ref="CD24">IFERROR(INDEX(Skill!$D:$D, MATCH(CD$4, Skill!$C:$C, 0), 1), "")</f>
        <v/>
      </c>
      <c r="CE24" s="147" t="str">
        <f t="array" ref="CE24">IFERROR(INDEX(Skill!$D:$D, MATCH(CE$4, Skill!$C:$C, 0), 1), "")</f>
        <v/>
      </c>
      <c r="CF24" s="147" t="str">
        <f t="array" ref="CF24">IFERROR(INDEX(Skill!$D:$D, MATCH(CF$4, Skill!$C:$C, 0), 1), "")</f>
        <v/>
      </c>
      <c r="CG24" s="147" t="str">
        <f t="array" ref="CG24">IFERROR(INDEX(Skill!$D:$D, MATCH(CG$4, Skill!$C:$C, 0), 1), "")</f>
        <v/>
      </c>
      <c r="CH24" s="147" t="str">
        <f t="array" ref="CH24">IFERROR(INDEX(Skill!$D:$D, MATCH(CH$4, Skill!$C:$C, 0), 1), "")</f>
        <v/>
      </c>
      <c r="CI24" s="147" t="str">
        <f t="array" ref="CI24">IFERROR(INDEX(Skill!$D:$D, MATCH(CI$4, Skill!$C:$C, 0), 1), "")</f>
        <v/>
      </c>
      <c r="CJ24" s="147" t="str">
        <f t="array" ref="CJ24">IFERROR(INDEX(Skill!$D:$D, MATCH(CJ$4, Skill!$C:$C, 0), 1), "")</f>
        <v/>
      </c>
      <c r="CK24" s="147" t="str">
        <f t="array" ref="CK24">IFERROR(INDEX(Skill!$D:$D, MATCH(CK$4, Skill!$C:$C, 0), 1), "")</f>
        <v/>
      </c>
      <c r="CL24" s="147" t="str">
        <f t="array" ref="CL24">IFERROR(INDEX(Skill!$D:$D, MATCH(CL$4, Skill!$C:$C, 0), 1), "")</f>
        <v/>
      </c>
      <c r="CM24" s="147" t="str">
        <f t="array" ref="CM24">IFERROR(INDEX(Skill!$D:$D, MATCH(CM$4, Skill!$C:$C, 0), 1), "")</f>
        <v/>
      </c>
      <c r="CN24" s="147" t="str">
        <f t="array" ref="CN24">IFERROR(INDEX(Skill!$D:$D, MATCH(CN$4, Skill!$C:$C, 0), 1), "")</f>
        <v/>
      </c>
      <c r="CO24" s="147" t="str">
        <f t="array" ref="CO24">IFERROR(INDEX(Skill!$D:$D, MATCH(CO$4, Skill!$C:$C, 0), 1), "")</f>
        <v/>
      </c>
      <c r="CP24" s="147" t="str">
        <f t="array" ref="CP24">IFERROR(INDEX(Skill!$D:$D, MATCH(CP$4, Skill!$C:$C, 0), 1), "")</f>
        <v/>
      </c>
      <c r="CQ24" s="147" t="str">
        <f t="array" ref="CQ24">IFERROR(INDEX(Skill!$D:$D, MATCH(CQ$4, Skill!$C:$C, 0), 1), "")</f>
        <v/>
      </c>
      <c r="CR24" s="147" t="str">
        <f t="array" ref="CR24">IFERROR(INDEX(Skill!$D:$D, MATCH(CR$4, Skill!$C:$C, 0), 1), "")</f>
        <v/>
      </c>
      <c r="CS24" s="147" t="str">
        <f>IMAGE("http://drive.google.com/uc?export=view&amp;id=1AdMXq2oDpA84xtFE73ql3oAKBb8YsCwr")</f>
        <v/>
      </c>
      <c r="CT24" s="144" t="str">
        <f t="array" ref="CT24">IFERROR(INDEX(Skill!$D:$D, MATCH(CT$4, Skill!$C:$C, 0), 1), "")</f>
        <v/>
      </c>
      <c r="CU24" s="147" t="str">
        <f t="array" ref="CU24">IFERROR(INDEX(Skill!$D:$D, MATCH(CU$4, Skill!$C:$C, 0), 1), "")</f>
        <v/>
      </c>
      <c r="CV24" s="147" t="str">
        <f t="array" ref="CV24">IFERROR(INDEX(Skill!$D:$D, MATCH(CV$4, Skill!$C:$C, 0), 1), "")</f>
        <v/>
      </c>
      <c r="CW24" s="147" t="str">
        <f t="array" ref="CW24">IFERROR(INDEX(Skill!$D:$D, MATCH(CW$4, Skill!$C:$C, 0), 1), "")</f>
        <v/>
      </c>
      <c r="CX24" s="147" t="str">
        <f t="array" ref="CX24">IFERROR(INDEX(Skill!$D:$D, MATCH(CX$4, Skill!$C:$C, 0), 1), "")</f>
        <v/>
      </c>
      <c r="CY24" s="147" t="str">
        <f t="array" ref="CY24">IFERROR(INDEX(Skill!$D:$D, MATCH(CY$4, Skill!$C:$C, 0), 1), "")</f>
        <v/>
      </c>
      <c r="CZ24" s="147" t="str">
        <f t="array" ref="CZ24">IFERROR(INDEX(Skill!$D:$D, MATCH(CZ$4, Skill!$C:$C, 0), 1), "")</f>
        <v/>
      </c>
      <c r="DA24" s="147" t="str">
        <f t="array" ref="DA24">IFERROR(INDEX(Skill!$D:$D, MATCH(DA$4, Skill!$C:$C, 0), 1), "")</f>
        <v/>
      </c>
      <c r="DB24" s="147" t="str">
        <f t="array" ref="DB24">IFERROR(INDEX(Skill!$D:$D, MATCH(DB$4, Skill!$C:$C, 0), 1), "")</f>
        <v/>
      </c>
      <c r="DC24" s="147" t="str">
        <f t="array" ref="DC24">IFERROR(INDEX(Skill!$D:$D, MATCH(DC$4, Skill!$C:$C, 0), 1), "")</f>
        <v/>
      </c>
      <c r="DD24" s="147" t="str">
        <f t="array" ref="DD24">IFERROR(INDEX(Skill!$D:$D, MATCH(DD$4, Skill!$C:$C, 0), 1), "")</f>
        <v/>
      </c>
      <c r="DE24" s="147" t="str">
        <f t="array" ref="DE24">IFERROR(INDEX(Skill!$D:$D, MATCH(DE$4, Skill!$C:$C, 0), 1), "")</f>
        <v/>
      </c>
      <c r="DF24" s="147" t="str">
        <f t="array" ref="DF24">IFERROR(INDEX(Skill!$D:$D, MATCH(DF$4, Skill!$C:$C, 0), 1), "")</f>
        <v/>
      </c>
      <c r="DG24" s="147" t="str">
        <f t="array" ref="DG24">IFERROR(INDEX(Skill!$D:$D, MATCH(DG$4, Skill!$C:$C, 0), 1), "")</f>
        <v/>
      </c>
      <c r="DH24" s="147" t="str">
        <f t="array" ref="DH24">IFERROR(INDEX(Skill!$D:$D, MATCH(DH$4, Skill!$C:$C, 0), 1), "")</f>
        <v/>
      </c>
      <c r="DI24" s="149" t="str">
        <f>IMAGE("http://drive.google.com/uc?export=view&amp;id=1FcMZkz9P-d2sGOIP9AD8bApVpM0bcRKd")</f>
        <v/>
      </c>
      <c r="DJ24" s="150" t="str">
        <f t="array" ref="DJ24">IFERROR(INDEX(Skill!$D:$D, MATCH(DJ$4, Skill!$C:$C, 0), 1), "")</f>
        <v/>
      </c>
      <c r="DK24" s="151" t="str">
        <f t="array" ref="DK24">IFERROR(INDEX(Skill!$D:$D, MATCH(DK$4, Skill!$C:$C, 0), 1), "")</f>
        <v/>
      </c>
      <c r="DL24" s="127" t="str">
        <f t="array" ref="DL24">IFERROR(INDEX(Skill!$D:$D, MATCH(DL$4, Skill!$C:$C, 0), 1), "")</f>
        <v/>
      </c>
      <c r="DM24" s="127" t="str">
        <f t="array" ref="DM24">IFERROR(INDEX(Skill!$D:$D, MATCH(DM$4, Skill!$C:$C, 0), 1), "")</f>
        <v/>
      </c>
      <c r="DN24" s="127" t="str">
        <f t="array" ref="DN24">IFERROR(INDEX(Skill!$D:$D, MATCH(DN$4, Skill!$C:$C, 0), 1), "")</f>
        <v/>
      </c>
      <c r="DO24" s="127" t="str">
        <f t="array" ref="DO24">IFERROR(INDEX(Skill!$D:$D, MATCH(DO$4, Skill!$C:$C, 0), 1), "")</f>
        <v/>
      </c>
      <c r="DP24" s="127" t="str">
        <f t="array" ref="DP24">IFERROR(INDEX(Skill!$D:$D, MATCH(DP$4, Skill!$C:$C, 0), 1), "")</f>
        <v/>
      </c>
      <c r="DQ24" s="152" t="str">
        <f t="array" ref="DQ24">IFERROR(INDEX(Skill!$D:$D, MATCH(DQ$4, Skill!$C:$C, 0), 1), "")</f>
        <v/>
      </c>
      <c r="DR24" s="153" t="str">
        <f t="array" ref="DR24">IFERROR(INDEX(Skill!$D:$D, MATCH(DR$4, Skill!$C:$C, 0), 1), "")</f>
        <v/>
      </c>
      <c r="DS24" s="152" t="str">
        <f t="array" ref="DS24">IFERROR(INDEX(Skill!$D:$D, MATCH(DS$4, Skill!$C:$C, 0), 1), "")</f>
        <v/>
      </c>
      <c r="DT24" s="153" t="str">
        <f t="array" ref="DT24">IFERROR(INDEX(Skill!$D:$D, MATCH(DT$4, Skill!$C:$C, 0), 1), "")</f>
        <v/>
      </c>
      <c r="DU24" s="152" t="str">
        <f t="array" ref="DU24">IFERROR(INDEX(Skill!$D:$D, MATCH(DU$4, Skill!$C:$C, 0), 1), "")</f>
        <v/>
      </c>
      <c r="DV24" s="153" t="str">
        <f t="array" ref="DV24">IFERROR(INDEX(Skill!$D:$D, MATCH(DV$4, Skill!$C:$C, 0), 1), "")</f>
        <v/>
      </c>
      <c r="DW24" s="129" t="str">
        <f t="array" ref="DW24">IFERROR(INDEX(Skill!$D:$D, MATCH(DW$4, Skill!$C:$C, 0), 1), "")</f>
        <v/>
      </c>
      <c r="DX24" s="129" t="str">
        <f t="array" ref="DX24">IFERROR(INDEX(Skill!$D:$D, MATCH(DX$4, Skill!$C:$C, 0), 1), "")</f>
        <v/>
      </c>
      <c r="DY24" s="154" t="str">
        <f t="array" ref="DY24">IFERROR(INDEX(Skill!$D:$D, MATCH(DY$4, Skill!$C:$C, 0), 1), "")</f>
        <v/>
      </c>
      <c r="DZ24" s="155" t="str">
        <f t="array" ref="DZ24">IFERROR(INDEX(Skill!$D:$D, MATCH(DZ$4, Skill!$C:$C, 0), 1), "")</f>
        <v/>
      </c>
      <c r="EA24" s="154" t="str">
        <f t="array" ref="EA24">IFERROR(INDEX(Skill!$D:$D, MATCH(EA$4, Skill!$C:$C, 0), 1), "")</f>
        <v/>
      </c>
      <c r="EB24" s="154" t="str">
        <f t="array" ref="EB24">IFERROR(INDEX(Skill!$D:$D, MATCH(EB$4, Skill!$C:$C, 0), 1), "")</f>
        <v/>
      </c>
      <c r="EC24" s="154" t="str">
        <f t="array" ref="EC24">IFERROR(INDEX(Skill!$D:$D, MATCH(EC$4, Skill!$C:$C, 0), 1), "")</f>
        <v/>
      </c>
      <c r="ED24" s="125" t="str">
        <f t="array" ref="ED24">IFERROR(INDEX(Skill!$D:$D, MATCH(ED$4, Skill!$C:$C, 0), 1), "")</f>
        <v/>
      </c>
      <c r="EE24" s="156"/>
      <c r="EF24" s="132" t="s">
        <v>1068</v>
      </c>
      <c r="EG24" s="132" t="s">
        <v>1069</v>
      </c>
      <c r="EH24" s="132" t="s">
        <v>1068</v>
      </c>
      <c r="EI24" s="132" t="s">
        <v>1069</v>
      </c>
      <c r="EJ24" s="132" t="s">
        <v>1068</v>
      </c>
      <c r="EK24" s="132" t="s">
        <v>1069</v>
      </c>
      <c r="EL24" s="132" t="s">
        <v>1068</v>
      </c>
      <c r="EM24" s="132" t="s">
        <v>1069</v>
      </c>
      <c r="EN24" s="132" t="s">
        <v>1068</v>
      </c>
      <c r="EO24" s="132" t="s">
        <v>1069</v>
      </c>
      <c r="EP24" s="137"/>
      <c r="EQ24" s="122"/>
      <c r="ER24" s="157" t="s">
        <v>1065</v>
      </c>
      <c r="ES24" s="158" t="s">
        <v>1066</v>
      </c>
      <c r="ET24" s="159">
        <f>Option!$D$21</f>
        <v>142000</v>
      </c>
      <c r="EU24" s="160" t="s">
        <v>1042</v>
      </c>
      <c r="EV24" s="158" t="s">
        <v>1041</v>
      </c>
      <c r="EW24" s="158" t="s">
        <v>1052</v>
      </c>
      <c r="EX24" s="158" t="s">
        <v>1043</v>
      </c>
      <c r="EY24" s="161">
        <f>Option!$D$17</f>
        <v>225800</v>
      </c>
      <c r="EZ24" s="160" t="s">
        <v>1042</v>
      </c>
      <c r="FA24" s="158" t="s">
        <v>1041</v>
      </c>
      <c r="FB24" s="158" t="s">
        <v>1052</v>
      </c>
      <c r="FC24" s="158" t="s">
        <v>1043</v>
      </c>
      <c r="FD24" s="161">
        <f>Option!$D$18</f>
        <v>225800</v>
      </c>
      <c r="FE24" s="160" t="s">
        <v>1042</v>
      </c>
      <c r="FF24" s="158" t="s">
        <v>1041</v>
      </c>
      <c r="FG24" s="158" t="s">
        <v>1052</v>
      </c>
      <c r="FH24" s="158" t="s">
        <v>1043</v>
      </c>
      <c r="FI24" s="161">
        <f>Option!$D$19</f>
        <v>225800</v>
      </c>
      <c r="FJ24" s="160" t="s">
        <v>1042</v>
      </c>
      <c r="FK24" s="158" t="s">
        <v>1041</v>
      </c>
      <c r="FL24" s="158" t="s">
        <v>1052</v>
      </c>
      <c r="FM24" s="158" t="s">
        <v>1043</v>
      </c>
      <c r="FN24" s="161">
        <f>Option!$D$20</f>
        <v>225800</v>
      </c>
      <c r="FO24" s="162"/>
    </row>
    <row r="25">
      <c r="B25" s="229"/>
      <c r="C25" s="217">
        <f t="shared" ref="C25:C76" si="1">IFERROR(C$3+D25, D25)</f>
        <v>0.00380787037</v>
      </c>
      <c r="D25" s="236">
        <v>0.0</v>
      </c>
      <c r="E25" s="241" t="s">
        <v>1096</v>
      </c>
      <c r="F25" s="167" t="s">
        <v>10</v>
      </c>
      <c r="G25" s="168" t="str">
        <f t="shared" ref="G25:G76" si="2">SWITCH(F25,
"Physical", image("https://xivapi.com/i/060000/060011.png"),
"Magic", image("https://xivapi.com/i/060000/060012.png"),
"Unique", image("https://xivapi.com/i/060000/060013.png"),
"")</f>
        <v/>
      </c>
      <c r="H25" s="169">
        <v>12000.0</v>
      </c>
      <c r="I25" s="169"/>
      <c r="J25" s="169"/>
      <c r="K25" s="170" t="b">
        <v>0</v>
      </c>
      <c r="L25" s="170" t="b">
        <v>0</v>
      </c>
      <c r="M25" s="170" t="b">
        <v>0</v>
      </c>
      <c r="N25" s="171" t="s">
        <v>1097</v>
      </c>
      <c r="O25" s="172" t="b">
        <v>0</v>
      </c>
      <c r="P25" s="173" t="b">
        <v>0</v>
      </c>
      <c r="Q25" s="173" t="b">
        <v>0</v>
      </c>
      <c r="R25" s="173" t="b">
        <v>0</v>
      </c>
      <c r="S25" s="174" t="b">
        <v>0</v>
      </c>
      <c r="T25" s="175" t="b">
        <v>0</v>
      </c>
      <c r="U25" s="173" t="b">
        <v>0</v>
      </c>
      <c r="V25" s="171" t="s">
        <v>1070</v>
      </c>
      <c r="W25" s="172" t="b">
        <v>0</v>
      </c>
      <c r="X25" s="173" t="b">
        <v>0</v>
      </c>
      <c r="Y25" s="173" t="b">
        <v>0</v>
      </c>
      <c r="Z25" s="173" t="b">
        <v>0</v>
      </c>
      <c r="AA25" s="174" t="b">
        <v>0</v>
      </c>
      <c r="AB25" s="174" t="b">
        <v>0</v>
      </c>
      <c r="AC25" s="175" t="b">
        <v>0</v>
      </c>
      <c r="AD25" s="173" t="b">
        <v>1</v>
      </c>
      <c r="AE25" s="176" t="s">
        <v>1098</v>
      </c>
      <c r="AF25" s="171" t="s">
        <v>1098</v>
      </c>
      <c r="AG25" s="177">
        <f>IFERROR(__xludf.DUMMYFUNCTION("IF(
  ISNUMBER(#REF!),
  MIN(MAX(
    #REF!
    + MAX(
      ROUNDDOWN(($D25 - MAX(IFERROR(FILTER($D$24:$D24, AG$24:AG24 &lt;&gt; AF$6, AG$23:AG24 = AF$6), 0))) * (60 * 60 * 24) / AF$9) - ROUNDDOWN((#REF! - MAX(IFERROR(FILTER($D$23:$D24, AG$23:AG24 &lt;&gt; AF$6, AG$"&amp;"22:AG24 = AF$6), 0))) * (60 * 60 * 24) / 60),
      0
    )
    - COUNTIF(AF25, ""&lt;&gt;-""),
  0), AF$6),
  AF$6 - COUNTIF(AF25, ""&lt;&gt;-"")
)"),1.0)</f>
        <v>1</v>
      </c>
      <c r="AH25" s="173" t="b">
        <v>0</v>
      </c>
      <c r="AI25" s="173" t="b">
        <v>0</v>
      </c>
      <c r="AJ25" s="173" t="b">
        <v>0</v>
      </c>
      <c r="AK25" s="174" t="b">
        <v>0</v>
      </c>
      <c r="AL25" s="175" t="b">
        <v>0</v>
      </c>
      <c r="AM25" s="173" t="b">
        <v>0</v>
      </c>
      <c r="AN25" s="171" t="s">
        <v>1070</v>
      </c>
      <c r="AO25" s="173" t="b">
        <v>0</v>
      </c>
      <c r="AP25" s="173" t="b">
        <v>0</v>
      </c>
      <c r="AQ25" s="173" t="b">
        <v>0</v>
      </c>
      <c r="AR25" s="174" t="b">
        <v>0</v>
      </c>
      <c r="AS25" s="178" t="b">
        <v>0</v>
      </c>
      <c r="AT25" s="179" t="b">
        <v>0</v>
      </c>
      <c r="AU25" s="180" t="b">
        <v>0</v>
      </c>
      <c r="AV25" s="180" t="b">
        <v>0</v>
      </c>
      <c r="AW25" s="180" t="b">
        <v>0</v>
      </c>
      <c r="AX25" s="180" t="b">
        <v>0</v>
      </c>
      <c r="AY25" s="181" t="s">
        <v>1070</v>
      </c>
      <c r="AZ25" s="181" t="s">
        <v>1070</v>
      </c>
      <c r="BA25" s="184">
        <f>IFERROR(__xludf.DUMMYFUNCTION("IF(
  ISNUMBER(#REF!),
  MIN(MAX(
    #REF!
    + MAX(
      ROUNDDOWN((D25 - MAX(IFERROR(FILTER(D$24:D24, BA$24:BA24 &lt;&gt; AZ$6, BA$23:BA24 = AZ$6), 0))) * (60 * 60 * 24) / AZ$9) - ROUNDDOWN((#REF! - MAX(IFERROR(FILTER(D$23:D24, BA$23:BA24 &lt;&gt; AZ$6, BA$22:BA"&amp;"24 = AZ$6), 0))) * (60 * 60 * 24) / AZ$9),
      0
    )
    - COUNTIF(AZ25, ""&lt;&gt;-""),
  0), AZ$6),
  AZ$6 - COUNTIF(AZ25, ""&lt;&gt;-"")
)"),2.0)</f>
        <v>2</v>
      </c>
      <c r="BB25" s="181" t="s">
        <v>1070</v>
      </c>
      <c r="BC25" s="183">
        <f>IFERROR(__xludf.DUMMYFUNCTION("IF(
  ISNUMBER(#REF!),
  MIN(MAX(
    #REF!
    + MAX(
      ROUNDDOWN(($D25 - MAX(IFERROR(FILTER($D$24:$D24, BC$24:BC24 &lt;&gt; BB$6, BC$23:BC24 = BB$6), 0))) * (60 * 60 * 24) / BB$9) - ROUNDDOWN((#REF! - MAX(IFERROR(FILTER($D$23:$D24, BC$23:BC24 &lt;&gt; BB$6, BC$"&amp;"22:BC24 = BB$6), 0))) * (60 * 60 * 24) / 60),
      0
    )
    - COUNTIF(BB25, ""&lt;&gt;-""),
  0), BB$6),
  BB$6 - COUNTIF(BB25, ""&lt;&gt;-"")
)"),2.0)</f>
        <v>2</v>
      </c>
      <c r="BD25" s="181" t="s">
        <v>1070</v>
      </c>
      <c r="BE25" s="178" t="b">
        <v>0</v>
      </c>
      <c r="BF25" s="180" t="b">
        <v>0</v>
      </c>
      <c r="BG25" s="180" t="b">
        <v>0</v>
      </c>
      <c r="BH25" s="180" t="b">
        <v>0</v>
      </c>
      <c r="BI25" s="180" t="b">
        <v>0</v>
      </c>
      <c r="BJ25" s="180" t="b">
        <v>0</v>
      </c>
      <c r="BK25" s="180" t="b">
        <v>0</v>
      </c>
      <c r="BL25" s="180" t="b">
        <v>0</v>
      </c>
      <c r="BM25" s="180" t="b">
        <v>0</v>
      </c>
      <c r="BN25" s="180" t="b">
        <v>0</v>
      </c>
      <c r="BO25" s="181" t="s">
        <v>1070</v>
      </c>
      <c r="BP25" s="181" t="s">
        <v>1070</v>
      </c>
      <c r="BQ25" s="181" t="s">
        <v>1070</v>
      </c>
      <c r="BR25" s="181" t="s">
        <v>1070</v>
      </c>
      <c r="BS25" s="181" t="s">
        <v>1070</v>
      </c>
      <c r="BT25" s="184">
        <f>IFERROR(__xludf.DUMMYFUNCTION("IF(
  ISNUMBER(#REF!),
  MIN(MAX(
    #REF!
    + MAX(
      ROUNDDOWN((D25 - MAX(IFERROR(FILTER(D$24:D24, BT$24:BT24 &lt;&gt; BS$6, BT$23:BT24 = BS$6), 0))) * (60 * 60 * 24) / BS$9) - ROUNDDOWN((#REF! - MAX(IFERROR(FILTER(D$23:D24, BT$23:BT24 &lt;&gt; BS$6, BT$22:BT"&amp;"24 = BS$6), 0))) * (60 * 60 * 24) / BS$9),
      0
    )
    - COUNTIF(BS25, ""&lt;&gt;-""),
  0), BS$6),
  BS$6 - COUNTIF(BS25, ""&lt;&gt;-"")
)"),3.0)</f>
        <v>3</v>
      </c>
      <c r="BU25" s="181" t="s">
        <v>1070</v>
      </c>
      <c r="BV25" s="181" t="s">
        <v>1070</v>
      </c>
      <c r="BW25" s="184">
        <f>IFERROR(__xludf.DUMMYFUNCTION("IF(
  ISNUMBER(#REF!),
  MIN(MAX(
    #REF!
    + MAX(
      ROUNDDOWN((D25 - MAX(IFERROR(FILTER(D$24:D24, BW$24:BW24 &lt;&gt; BV$6, BW$23:BW24 = BV$6), 0))) * (60 * 60 * 24) / BV$9) - ROUNDDOWN((#REF! - MAX(IFERROR(FILTER(D$23:D24, BW$23:BW24 &lt;&gt; BV$6, BW$22:BW"&amp;"24 = BV$6), 0))) * (60 * 60 * 24) / BV$9),
      0
    )
    - COUNTIF(BV25, ""&lt;&gt;-""),
  0), BV$6),
  BV$6 - COUNTIF(BV25, ""&lt;&gt;-"")
)"),2.0)</f>
        <v>2</v>
      </c>
      <c r="BX25" s="185" t="s">
        <v>1070</v>
      </c>
      <c r="BY25" s="178" t="b">
        <v>0</v>
      </c>
      <c r="BZ25" s="180" t="b">
        <v>1</v>
      </c>
      <c r="CA25" s="180" t="b">
        <v>0</v>
      </c>
      <c r="CB25" s="180" t="b">
        <v>0</v>
      </c>
      <c r="CC25" s="180" t="b">
        <v>0</v>
      </c>
      <c r="CD25" s="180" t="b">
        <v>0</v>
      </c>
      <c r="CE25" s="180" t="b">
        <v>0</v>
      </c>
      <c r="CF25" s="180" t="b">
        <v>0</v>
      </c>
      <c r="CG25" s="180" t="b">
        <v>0</v>
      </c>
      <c r="CH25" s="180" t="b">
        <v>0</v>
      </c>
      <c r="CI25" s="180" t="b">
        <v>0</v>
      </c>
      <c r="CJ25" s="180" t="b">
        <v>0</v>
      </c>
      <c r="CK25" s="180" t="b">
        <v>0</v>
      </c>
      <c r="CL25" s="180" t="b">
        <v>0</v>
      </c>
      <c r="CM25" s="181" t="s">
        <v>1070</v>
      </c>
      <c r="CN25" s="181" t="s">
        <v>1070</v>
      </c>
      <c r="CO25" s="181" t="s">
        <v>1070</v>
      </c>
      <c r="CP25" s="181" t="s">
        <v>1070</v>
      </c>
      <c r="CQ25" s="185" t="s">
        <v>1070</v>
      </c>
      <c r="CR25" s="180" t="b">
        <v>0</v>
      </c>
      <c r="CS25" s="186" t="str">
        <f t="array" ref="CS25">SWITCH(
    IF(OR(AND(CI25, #REF!&lt;&gt;TRUE), CR25), 3, IF(ISTEXT(#REF!), FIND("◇", #REF!&amp;"◇") - 1, 0))
  - COUNTIFS({BZ25,CE25}, "=TRUE", {#REF!,#REF!}, "&lt;&gt;TRUE")
  - COUNTIF({CN25,CQ25}, "&lt;&gt;-")
  + IF(COUNTIFS({BZ25,CE25}, "=TRUE", {#REF!,#REF!}, "&lt;&gt;TRUE") + COUNTIF({CN25,CQ25}, "&lt;&gt;-"), COUNTIFS(CJ25, "=TRUE", #REF!, "&lt;&gt;TRUE"), 0),
  0, "◇◇◇", 1, "◆◇◇", 2, "◆◆◇", 3, "◆◆◆", "◇◇◇"
)</f>
        <v>#REF!</v>
      </c>
      <c r="CT25" s="178" t="b">
        <v>0</v>
      </c>
      <c r="CU25" s="180" t="b">
        <v>0</v>
      </c>
      <c r="CV25" s="180" t="b">
        <v>0</v>
      </c>
      <c r="CW25" s="180" t="b">
        <v>0</v>
      </c>
      <c r="CX25" s="180" t="b">
        <v>0</v>
      </c>
      <c r="CY25" s="180" t="b">
        <v>0</v>
      </c>
      <c r="CZ25" s="180" t="b">
        <v>0</v>
      </c>
      <c r="DA25" s="180" t="b">
        <v>0</v>
      </c>
      <c r="DB25" s="180" t="b">
        <v>0</v>
      </c>
      <c r="DC25" s="180" t="b">
        <v>0</v>
      </c>
      <c r="DD25" s="181" t="s">
        <v>1070</v>
      </c>
      <c r="DE25" s="181" t="s">
        <v>1070</v>
      </c>
      <c r="DF25" s="181" t="s">
        <v>1070</v>
      </c>
      <c r="DG25" s="185" t="s">
        <v>1070</v>
      </c>
      <c r="DH25" s="180" t="b">
        <v>0</v>
      </c>
      <c r="DI25" s="187" t="str">
        <f>IFERROR(__xludf.DUMMYFUNCTION("SWITCH(
  IF(
    ISTEXT(#REF!),
    IF (
      FIND(""○"", #REF!&amp;""○"") &gt; 3,
      3,
      FIND(""○"", #REF!&amp;""○"")
      + MAX(
        ROUNDDOWN(($D25 - MAX(IFERROR(FILTER(D$24:D24, DI$24:DI24 &lt;&gt; ""●●●"", DI$23:DI24 = ""●●●""), 0))) * (60 * 60 * 24) /"&amp;" 20) - ROUNDDOWN((#REF! - MAX(IFERROR(FILTER(D$23:D24, DI$23:DI24 &lt;&gt; ""●●●"", DI$22:DI24 = ""●●●""), 0))) * (60 * 60 * 24) / 20),
        0
      ) - 1
    ) - COUNTIFS(CU25, ""=TRUE"", #REF!, ""&lt;&gt;TRUE"") - COUNTIF(CZ25, ""=TRUE"") - COUNTIF({DD25,DE25}, "&amp;"""&lt;&gt;-"") + COUNTIF(DH25, ""=TRUE""),
    3
  ),
  0, ""○○○"", 1, ""●○○"", 2, ""●●○"", 3, ""●●●"", 4, ""●●●"", ""○○○""
)"),"●●●")</f>
        <v>●●●</v>
      </c>
      <c r="DJ25" s="188" t="b">
        <v>0</v>
      </c>
      <c r="DK25" s="189" t="b">
        <v>0</v>
      </c>
      <c r="DL25" s="190" t="b">
        <v>0</v>
      </c>
      <c r="DM25" s="190" t="b">
        <v>0</v>
      </c>
      <c r="DN25" s="190" t="b">
        <v>0</v>
      </c>
      <c r="DO25" s="190" t="b">
        <v>0</v>
      </c>
      <c r="DP25" s="190" t="b">
        <v>0</v>
      </c>
      <c r="DQ25" s="191" t="b">
        <v>1</v>
      </c>
      <c r="DR25" s="192" t="b">
        <v>0</v>
      </c>
      <c r="DS25" s="191" t="b">
        <v>0</v>
      </c>
      <c r="DT25" s="192" t="b">
        <v>0</v>
      </c>
      <c r="DU25" s="191" t="b">
        <v>0</v>
      </c>
      <c r="DV25" s="193" t="s">
        <v>1070</v>
      </c>
      <c r="DW25" s="194" t="b">
        <v>0</v>
      </c>
      <c r="DX25" s="194" t="b">
        <v>0</v>
      </c>
      <c r="DY25" s="195" t="b">
        <v>0</v>
      </c>
      <c r="DZ25" s="196" t="b">
        <v>0</v>
      </c>
      <c r="EA25" s="195" t="b">
        <v>0</v>
      </c>
      <c r="EB25" s="197" t="b">
        <v>0</v>
      </c>
      <c r="EC25" s="197" t="b">
        <v>0</v>
      </c>
      <c r="ED25" s="198" t="b">
        <v>0</v>
      </c>
      <c r="EE25" s="199">
        <f>IFERROR(__xludf.DUMMYFUNCTION("IFERROR(
   PRODUCT(
     MAP(
       INDEX(TRANSPOSE(UNIQUE(TRANSPOSE(FILTER({IF($F25=""Physical"", K$10:ED$10, IF($F25=""Magic"", K$11:ED$11, K$12:ED$12));K$4:ED$4;K25:ED25}, K25:ED25=TRUE)))), 1, 0),
       INDEX(TRANSPOSE(UNIQUE(TRANSPOSE(FILTER({IF($"&amp;"F25=""Physical"", K$18:ED$18, IF($F25=""Magic"", K$19:ED$19, K$20:ED$20));K$4:ED$4;K25:ED25}, K25:ED25=TRUE)))), 1, 0),
       INDEX(TRANSPOSE(UNIQUE(TRANSPOSE(FILTER({K$5:ED$5;K$4:ED$4;K25:ED25}, K25:ED25=TRUE)))), 1, 0),
       INDEX(TRANSPOSE(UNIQUE(TR"&amp;"ANSPOSE(FILTER({K$17:ED$17;K$4:ED$4;K25:ED25}, K25:ED25=TRUE)))), 1, 0),
       LAMBDA(
         mitigation,
         enhance,
         assign,
         precondition,
         IF(
           REGEXMATCH(assign, ""RANGE_PARTY|SINGLE_ENEMY|RANGE_ENEMY""),
  "&amp;"         IF(
             OR(ARRAYFORMULA((IF(precondition="""", FALSE, REGEXMATCH(K$4:ED$4, precondition))) * (K25:ED25=TRUE))),
             IF(ISNUMBER(enhance), enhance, 1),
             IF(ISNUMBER(mitigation), mitigation, 1)
           ),
          "&amp;" 1
         )
       )
     )
   ),
   1
 )"),1.0)</f>
        <v>1</v>
      </c>
      <c r="EF25" s="200" t="str">
        <f>IFERROR(__xludf.DUMMYFUNCTION("PRODUCT(
   MAP(
     K$14:ED$14,
     K$13:ED$13,
     K25:ED25,
     LAMBDA(
       buff,
       target,
       check,
       IF(
         AND(check=TRUE, REGEXMATCH(target, ""RANGE_AFFECTED_ALL|RANGE_EFFECTED_ALL""), ISNUMBER(buff)),
         buff,
   "&amp;"      1
       )
     )
   )
 )"),"#REF!")</f>
        <v>#REF!</v>
      </c>
      <c r="EG25" s="200" t="str">
        <f>IFERROR(__xludf.DUMMYFUNCTION("PRODUCT(
   MAP(
     K$14:ED$14,
     K$13:ED$13,
     K25:ED25,
     LAMBDA(
       buff,
       target,
       check,
       IF(
         AND(check=TRUE, REGEXMATCH(target, ""RANGE_AFFECTED_GCD|RANGE_EFFECTED_GCD""), ISNUMBER(buff)),
         buff,
   "&amp;"      1
       )
     )
   )
 )"),"#REF!")</f>
        <v>#REF!</v>
      </c>
      <c r="EH25" s="200" t="str">
        <f>IFERROR(__xludf.DUMMYFUNCTION("PRODUCT(
   MAP(
     K$3:ED$3,
     K$14:ED$14,
     K$13:ED$13,
     K25:ED25,
     LAMBDA(
       job,
       buff,
       target,
       check,
       IF(
         AND(check=TRUE, REGEXMATCH(target, ""SELF_EFFECTED_ALL""), ISNUMBER(buff), job=""白魔道士"""&amp;"),
         buff,
         1
       )
     )
   )
 )"),"#REF!")</f>
        <v>#REF!</v>
      </c>
      <c r="EI25" s="200" t="str">
        <f>IFERROR(__xludf.DUMMYFUNCTION("PRODUCT(
   MAP(
     K$3:ED$3,
     K$14:ED$14,
     K$13:ED$13,
     K25:ED25,
     LAMBDA(
       job,
       buff,
       target,
       check,
       IF(
         AND(check=TRUE, REGEXMATCH(target, ""SELF_EFFECTED_GCD""), ISNUMBER(buff), job=""白魔道士"""&amp;"),
         buff,
         1
       )
     )
   )
 )"),"#REF!")</f>
        <v>#REF!</v>
      </c>
      <c r="EJ25" s="200" t="str">
        <f>IFERROR(__xludf.DUMMYFUNCTION("PRODUCT(
   MAP(
     K$3:ED$3,
     K$14:ED$14,
     K$13:ED$13,
     K25:ED25,
     LAMBDA(
       job,
       buff,
       target,
       check,
       IF(
         AND(check=TRUE, REGEXMATCH(target, ""SELF_EFFECTED_ALL""), ISNUMBER(buff), job=""占星術師"""&amp;"),
         buff,
         1
       )
     )
   )
 )"),"#REF!")</f>
        <v>#REF!</v>
      </c>
      <c r="EK25" s="200" t="str">
        <f>IFERROR(__xludf.DUMMYFUNCTION("PRODUCT(
   MAP(
     K$3:ED$3,
     K$14:ED$14,
     K$13:ED$13,
     K25:ED25,
     LAMBDA(
       job,
       buff,
       target,
       check,
       IF(
         AND(check=TRUE, REGEXMATCH(target, ""SELF_EFFECTED_GCD""), ISNUMBER(buff), job=""占星術師"""&amp;"),
         buff,
         1
       )
     )
   )
 )"),"#REF!")</f>
        <v>#REF!</v>
      </c>
      <c r="EL25" s="200" t="str">
        <f>IFERROR(__xludf.DUMMYFUNCTION("PRODUCT(
   MAP(
     K$3:ED$3,
     K$14:ED$14,
     K$13:ED$13,
     K25:ED25,
     LAMBDA(
       job,
       buff,
       target,
       check,
       IF(
         AND(check=TRUE, REGEXMATCH(target, ""SELF_EFFECTED_ALL""), ISNUMBER(buff), job=""学者""),"&amp;"
         buff,
         1
       )
     )
   )
 )"),"#REF!")</f>
        <v>#REF!</v>
      </c>
      <c r="EM25" s="200" t="str">
        <f>IFERROR(__xludf.DUMMYFUNCTION("PRODUCT(
   MAP(
     K$3:ED$3,
     K$14:ED$14,
     K$13:ED$13,
     K25:ED25,
     LAMBDA(
       job,
       buff,
       target,
       check,
       IF(
         AND(check=TRUE, REGEXMATCH(target, ""SELF_EFFECTED_GCD""), ISNUMBER(buff), job=""学者""),"&amp;"
         buff,
         1
       )
     )
   )
 )"),"#REF!")</f>
        <v>#REF!</v>
      </c>
      <c r="EN25" s="200" t="str">
        <f>IFERROR(__xludf.DUMMYFUNCTION("PRODUCT(
   MAP(
     K$3:ED$3,
     K$14:ED$14,
     K$13:ED$13,
     K25:ED25,
     LAMBDA(
       job,
       buff,
       target,
       check,
       IF(
         AND(check=TRUE, REGEXMATCH(target, ""SELF_EFFECTED_ALL""), ISNUMBER(buff), job=""賢者""),"&amp;"
         buff,
         1
       )
     )
   )
 )"),"#REF!")</f>
        <v>#REF!</v>
      </c>
      <c r="EO25" s="200" t="str">
        <f>IFERROR(__xludf.DUMMYFUNCTION("PRODUCT(
   MAP(
     K$3:ED$3,
     K$14:ED$14,
     K$13:ED$13,
     K25:ED25,
     LAMBDA(
       job,
       buff,
       target,
       check,
       IF(
         AND(check=TRUE, REGEXMATCH(target, ""SELF_EFFECTED_GCD""), ISNUMBER(buff), job=""賢者""),"&amp;"
         buff,
         1
       )
     )
   )
 )"),"#REF!")</f>
        <v>#REF!</v>
      </c>
      <c r="EP25" s="201">
        <f t="shared" ref="EP25:EP76" si="3">H25*EE25</f>
        <v>12000</v>
      </c>
      <c r="EQ25" s="201" t="str">
        <f>IFERROR(__xludf.DUMMYFUNCTION("SUM(
   MAP(
     K$4:ED$4,
     K$3:ED$3,
     K$7:ED$7,
     K$15:ED$15,
     K$16:ED$16,
     K$21:ED$21,
     K$5:ED$5,
     K$17:ED$17,
     K25:ED25,
     LAMBDA(
       name,
       job,
       abillity,
       buff,
       barrier,
       enhance,"&amp;"
       assign,
       precondition,
       check,
       SWITCH(
         name,
         ""シェイクオフ"", IF(check=TRUE, buff + (0.02 * COUNTIF(ARRAYFORMULA((REGEXMATCH($K$4:$ED$4, ""スリル・オブ・バトル|ヴェンジェンス|原初の血気|ダムネーション"")) * (K25:ED25=TRUE)), 1)), 0),
         "&amp;"""インプロビゼーションフィニッシュ(踊りの激情0)"", IF(ISNUMBER(check), INDEX(Skill!$AJ:$AJ, MATCH(SUBSTITUTE(DV$4, 0, check), Skill!$C:$C, 0)), 0),
         IF(
           AND(check=TRUE, REGEXMATCH(assign, ""RANGE_PARTY"")),
           IF(
             OR(ARRAYFORMULA((IF(pr"&amp;"econdition="""", FALSE, REGEXMATCH($K$4:$ED$4, precondition))) * (K25:ED25=TRUE))),
             enhance,
             IF(barrier="""", buff, barrier)
           ),
           0
         )
       ) *
       SWITCH(
         job,
         ""ナイト"", EY$24,
 "&amp;"        ""戦士"", FD$24,
         ""踊り子"", ET$24,
         ""ピクトマンサー"", ET$24,
         ""白魔道士"", EF25 * EH25 * IF(abillity, 1, EG25 * EI25) * (Option!$D$22 * 0.81 / 100),
         ""占星術師"", EF25 * EJ25 * IF(abillity, 1, EG25 * EK25) * (Option!$D$23 * 0.81 "&amp;"/ 100),
         ""学者"", EF25 * EL25 * IF(abillity, 1, EG25 * EM25) * (Option!$D$24 * 0.81 / 100),
         ""賢者"", EF25 * EN25 * IF(abillity, 1, EG25 * EO25) * (Option!$D$25 * 0.81 / 100),
         1
       )
     )
   )
 )"),"#REF!")</f>
        <v>#REF!</v>
      </c>
      <c r="ER25" s="202" t="str">
        <f t="shared" ref="ER25:ER76" si="4">IF(EP25 &lt; EQ25, 0, EP25 - EQ25)</f>
        <v>#REF!</v>
      </c>
      <c r="ES25" s="203">
        <f t="shared" ref="ES25:ES76" si="5">I25*J25*EE25</f>
        <v>0</v>
      </c>
      <c r="ET25" s="231" t="str">
        <f>IFERROR(__xludf.DUMMYFUNCTION("IFS(
  EP25 &gt; $ET$24 + EQ25,
  SPARKLINE({ 1, 0 }, {""charttype"",""bar"";""max"", 1;""color1"",Option!$D$30;""color2"",Option!$D$30}),
  EP25 &lt; EQ25,
  SPARKLINE({EQ25 - EP25, $ET$24 - (EQ25 - EP25)}, {""charttype"",""bar"";""max"",$ET$24;""color1"",Opti"&amp;"on!$D$28;""color2"",Option!$D$29}),
  EP25 &gt;= EQ25,
  SPARKLINE({$ET$24 + EQ25 - EP25,EP25 - EQ25}, {""charttype"",""bar"";""max"",$ET$24;""color1"",Option!$D$29;""color2"",Option!$D$30})
)"),"#REF!")</f>
        <v>#REF!</v>
      </c>
      <c r="EU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job=""ナイト""), AND(check=Option!$E$13, REGEXMATCH(assign, ""SINGLE_PARTY""))),
      "&amp;"   IF(
           OR(ARRAYFORMULA((IF(precondition="""", FALSE, REGEXMATCH($K$4:$ED$4, precondition))) * (K25:ED25=TRUE))),
           enhance,
           mitigation
         ),
         1
       )
     )
   )
 ) * EE25"),"#REF!")</f>
        <v>#REF!</v>
      </c>
      <c r="EV25" s="206" t="str">
        <f t="shared" ref="EV25:EV76" si="6">H25 * EU25 * 0.8</f>
        <v>#REF!</v>
      </c>
      <c r="EW25" s="205" t="str">
        <f>IFERROR(__xludf.DUMMYFUNCTION("PRODUCT(
   MAP(
     K$3:ED$3,
     K$14:ED$14,
     K$13:ED$13,
     K25:ED25,
     LAMBDA(
       job,
       buff,
       target,
       check,
       IF(
         OR(AND(check=TRUE, REGEXMATCH(target, ""SELF_AFFECTED_ALL""), job=""ナイト""), AND(check=O"&amp;"ption!$E$13, REGEXMATCH(target, ""SINGLE_AFFECTED_ALL""))),
         buff,
         1
       )
     )
   )
 )"),"#REF!")</f>
        <v>#REF!</v>
      </c>
      <c r="EX25" s="206" t="str">
        <f>IFERROR(__xludf.DUMMYFUNCTION("SUM(
   MAP(
     K$3:ED$3,
     K$7:ED$7,
     K$15:ED$15,
     K$16:ED$16,
     K$21:ED$21,
     K$5:ED$5,
     K$17:ED$17,
     K25:ED25,
     LAMBDA(
       job,
       abillity,
       buff,
       barrier,
       enhance,
       assign,
       preco"&amp;"ndition,
       check,
       IF(
         OR(AND(check=TRUE, REGEXMATCH(assign, ""SELF""), job=""ナイト""), AND(check=Option!$E$13, REGEXMATCH(assign, ""SINGLE_PARTY""))),
         IF(
           OR(ARRAYFORMULA((IF(precondition="""", FALSE, REGEXMATCH($K$4"&amp;":$ED$4, precondition))) * (K25:ED25=TRUE))),
           enhance,
           IF(barrier="""", buff, barrier)
         ),
         0
       ) *
       SWITCH(
         job,
         ""暗黒騎士"", EY$24,
         ""白魔道士"", EF25 * EH25 * EW25 * IF(abillity, 1, EG"&amp;"25 * EI25) * (Option!$D$22 * 0.81 / 100),
         ""占星術師"", EF25 * EJ25 * EW25 * IF(abillity, 1, EG25 * EK25) * (Option!$D$23 * 0.81 / 100),
         ""学者"", EF25 * EL25 * EW25 * IF(abillity, 1, EG25 * EM25) * (Option!$D$24 * 0.81 / 100),
         ""賢者"""&amp;", EF25 * EN25 * EW25 * IF(abillity, 1, EG25 * EO25) * (Option!$D$25 * 0.81 / 100),
         1
       )
     )
   )
 ) + EQ25"),"#REF!")</f>
        <v>#REF!</v>
      </c>
      <c r="EY25" s="232" t="str">
        <f t="shared" ref="EY25:EY76" si="7">MAX(EV25 - EX25, 0)</f>
        <v>#REF!</v>
      </c>
      <c r="EZ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job=""戦士""), AND(check=Option!$F$13, REGEXMATCH(assign, ""SINGLE_PARTY""))),
       "&amp;"  IF(
           OR(ARRAYFORMULA((IF(precondition="""", FALSE, REGEXMATCH($K$4:$ED$4, precondition))) * (K25:ED25=TRUE))),
           enhance,
           mitigation
         ),
         1
       )
     )
   )
 ) * EE25"),"#REF!")</f>
        <v>#REF!</v>
      </c>
      <c r="FA25" s="206" t="str">
        <f t="shared" ref="FA25:FA76" si="8">H25 * EZ25 * 0.8</f>
        <v>#REF!</v>
      </c>
      <c r="FB25" s="205" t="str">
        <f>IFERROR(__xludf.DUMMYFUNCTION("PRODUCT(
   MAP(
     K$3:ED$3,
     K$14:ED$14,
     K$13:ED$13,
     K25:ED25,
     LAMBDA(
       job,
       buff,
       target,
       check,
       IF(
         OR(AND(check=TRUE, REGEXMATCH(target, ""SELF_AFFECTED_ALL""), job=""戦士""), AND(check=Op"&amp;"tion!$F$13, REGEXMATCH(target, ""SINGLE_AFFECTED_ALL""))),
         buff,
         1
       )
     )
   )
 )"),"#REF!")</f>
        <v>#REF!</v>
      </c>
      <c r="FC25" s="206" t="str">
        <f>IFERROR(__xludf.DUMMYFUNCTION("SUM(
   MAP(
     K$3:ED$3,
     K$7:ED$7,
     K$15:ED$15,
     K$16:ED$16,
     K$21:ED$21,
     K$5:ED$5,
     K$17:ED$17,
     K25:ED25,
     LAMBDA(
       job,
       abillity,
       buff,
       barrier,
       enhance,
       assign,
       preco"&amp;"ndition,
       check,
       IF(
         OR(AND(check=TRUE, REGEXMATCH(assign, ""SELF""), job=""戦士""), AND(check=Option!$F$13, REGEXMATCH(assign, ""SINGLE_PARTY""))),
         IF(
           OR(ARRAYFORMULA((IF(precondition="""", FALSE, REGEXMATCH($K$4:"&amp;"$ED$4, precondition))) * (K25:ED25=TRUE))),
           enhance,
           IF(barrier="""", buff, barrier)
         ),
         0
       ) *
       SWITCH(
         job,
         ""暗黒騎士"", FD$24,
         ""白魔道士"", EF25 * EH25 * FB25 * IF(abillity, 1, EG2"&amp;"5 * EI25) * (Option!$D$22 * 0.81 / 100),
         ""占星術師"", EF25 * EJ25 * FFB25 * IF(abillity, 1, EG25 * EK25) * (Option!$D$23 * 0.81 / 100),
         ""学者"", EF25 * EL25 * FB25 * IF(abillity, 1, EG25 * EM25) * (Option!$D$24 * 0.81 / 100),
         ""賢者"""&amp;", EF25 * EN25 * FB25 * IF(abillity, 1, EG25 * EO25) * (Option!$D$25 * 0.81 / 100),
         1
       )
     )
   )
 ) + EQ25"),"#REF!")</f>
        <v>#REF!</v>
      </c>
      <c r="FD25" s="206" t="str">
        <f t="shared" ref="FD25:FD76" si="9">MAX(FA25 - FC25, 0)</f>
        <v>#REF!</v>
      </c>
      <c r="FE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job=""暗黒騎士""), AND(check=Option!$G$13, REGEXMATCH(assign, ""SINGLE_PARTY""))),
     "&amp;"    IF(
           OR(ARRAYFORMULA((IF(precondition="""", FALSE, REGEXMATCH($K$4:$ED$4, precondition))) * (K25:ED25=TRUE))),
           enhance,
           mitigation
         ),
         1
       )
     )
   )
 ) * EE25"),"#REF!")</f>
        <v>#REF!</v>
      </c>
      <c r="FF25" s="206" t="str">
        <f t="shared" ref="FF25:FF76" si="10">H25 * FE25 * 0.8</f>
        <v>#REF!</v>
      </c>
      <c r="FG25" s="205" t="str">
        <f>IFERROR(__xludf.DUMMYFUNCTION("PRODUCT(
   MAP(
     K$3:ED$3,
     K$14:ED$14,
     K$13:ED$13,
     K25:ED25,
     LAMBDA(
       job,
       buff,
       target,
       check,
       IF(
         OR(AND(check=TRUE, REGEXMATCH(target, ""SELF_AFFECTED_ALL""), job=""暗黒騎士""), AND(check="&amp;"Option!$G$13, REGEXMATCH(target, ""SINGLE_AFFECTED_ALL""))),
         buff,
         1
       )
     )
   )
 )"),"#REF!")</f>
        <v>#REF!</v>
      </c>
      <c r="FH25" s="206" t="str">
        <f>IFERROR(__xludf.DUMMYFUNCTION("SUM(
   MAP(
     K$3:ED$3,
     K$7:ED$7,
     K$15:ED$15,
     K$16:ED$16,
     K$21:ED$21,
     K$5:ED$5,
     K$17:ED$17,
     K25:ED25,
     LAMBDA(
       job,
       abillity,
       buff,
       barrier,
       enhance,
       assign,
       preco"&amp;"ndition,
       check,
       IF(
         OR(AND(check=TRUE, REGEXMATCH(assign, ""SELF""), job=""暗黒騎士""), AND(check=Option!$G$13, REGEXMATCH(assign, ""SINGLE_PARTY""))),
         IF(
           OR(ARRAYFORMULA((IF(precondition="""", FALSE, REGEXMATCH($K$"&amp;"4:$ED$4, precondition))) * (K25:ED25=TRUE))),
           enhance,
           IF(barrier="""", buff, barrier)
         ),
         0
       ) *
       SWITCH(
         job,
         ""暗黒騎士"", FI$24,
         ""白魔道士"", EF25 * EH25 * FG25 * IF(abillity, 1, E"&amp;"G25 * EI25) * (Option!$D$22 * 0.81 / 100),
         ""占星術師"", EF25 * EJ25 * FG25 * IF(abillity, 1, EG25 * EK25) * (Option!$D$23 * 0.81 / 100),
         ""学者"", EF25 * EL25 * FG25 * IF(abillity, 1, EG25 * EM25) * (Option!$D$24 * 0.81 / 100),
         ""賢者"&amp;""", EF25 * EN25 * FG25 * IF(abillity, 1, EG25 * EO25) * (Option!$D$25 * 0.81 / 100),
         1
       )
     )
   )
 ) + EQ25"),"#REF!")</f>
        <v>#REF!</v>
      </c>
      <c r="FI25" s="206" t="str">
        <f t="shared" ref="FI25:FI76" si="11">MAX(FF25 - FH25, 0)</f>
        <v>#REF!</v>
      </c>
      <c r="FJ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job=""ガンブレイカー""), AND(check=Option!$H$13, REGEXMATCH(assign, ""SINGLE_PARTY""))),
  "&amp;"       IF(
           OR(ARRAYFORMULA((IF(precondition="""", FALSE, REGEXMATCH($K$4:$ED$4, precondition))) * (K25:ED25=TRUE))),
           enhance,
           mitigation
         ),
         1
       )
     )
   )
 ) * EE25"),"#REF!")</f>
        <v>#REF!</v>
      </c>
      <c r="FK25" s="206" t="str">
        <f t="shared" ref="FK25:FK76" si="12">H25 * FJ25 * 0.8</f>
        <v>#REF!</v>
      </c>
      <c r="FL25" s="205" t="str">
        <f>IFERROR(__xludf.DUMMYFUNCTION("PRODUCT(
   MAP(
     K$3:ED$3,
     K$14:ED$14,
     K$13:ED$13,
     K25:ED25,
     LAMBDA(
       job,
       buff,
       target,
       check,
       IF(
         OR(AND(check=TRUE, REGEXMATCH(target, ""SELF_AFFECTED_ALL""), job=""ガンブレイカー""), AND(che"&amp;"ck=Option!$H$13, REGEXMATCH(target, ""SINGLE_AFFECTED_ALL""))),
         buff,
         1
       )
     )
   )
 )"),"#REF!")</f>
        <v>#REF!</v>
      </c>
      <c r="FM25" s="206" t="str">
        <f>IFERROR(__xludf.DUMMYFUNCTION("SUM(
   MAP(
     K$3:ED$3,
     K$7:ED$7,
     K$15:ED$15,
     K$16:ED$16,
     K$21:ED$21,
     K$5:ED$5,
     K$17:ED$17,
     K25:ED25,
     LAMBDA(
       job,
       abillity,
       buff,
       barrier,
       enhance,
       assign,
       preco"&amp;"ndition,
       check,
       IF(
         OR(AND(check=TRUE, REGEXMATCH(assign, ""SELF""), job=""ガンブレイカー""), AND(check=Option!$H$13, REGEXMATCH(assign, ""SINGLE_PARTY""))),
         IF(
           OR(ARRAYFORMULA((IF(precondition="""", FALSE, REGEXMATCH("&amp;"$K$4:$ED$4, precondition))) * (K25:ED25=TRUE))),
           enhance,
           IF(barrier="""", buff, barrier)
         ),
         0
       ) *
       SWITCH(
         job,
         ""暗黒騎士"", FN$24,
         ""白魔道士"", EF25 * EH25 * FL25 * IF(abillity, 1"&amp;", EG25 * EI25) * (Option!$D$22 * 0.81 / 100),
         ""占星術師"", EF25 * EJ25 * FL25 * IF(abillity, 1, EG25 * EK25) * (Option!$D$23 * 0.81 / 100),
         ""学者"", EF25 * EL25 * FL25 * IF(abillity, 1, EG25 * EM25) * (Option!$D$24 * 0.81 / 100),
         """&amp;"賢者"", EF25 * EN25 * FL25 * IF(abillity, 1, EG25 * EO25) * (Option!$D$25 * 0.81 / 100),
         1
       )
     )
   )
 ) + EQ25"),"#REF!")</f>
        <v>#REF!</v>
      </c>
      <c r="FN25" s="206" t="str">
        <f t="shared" ref="FN25:FN76" si="13">MAX(FK25 - FM25, 0)</f>
        <v>#REF!</v>
      </c>
      <c r="FO25" s="213"/>
    </row>
    <row r="26">
      <c r="B26" s="229"/>
      <c r="C26" s="217">
        <f t="shared" si="1"/>
        <v>0.003842592593</v>
      </c>
      <c r="D26" s="236">
        <v>3.472222222222222E-5</v>
      </c>
      <c r="E26" s="237" t="s">
        <v>1099</v>
      </c>
      <c r="F26" s="167" t="s">
        <v>10</v>
      </c>
      <c r="G26" s="168" t="str">
        <f t="shared" si="2"/>
        <v/>
      </c>
      <c r="H26" s="169">
        <v>7000.0</v>
      </c>
      <c r="I26" s="169"/>
      <c r="J26" s="169"/>
      <c r="K26" s="170" t="b">
        <v>0</v>
      </c>
      <c r="L26" s="170" t="b">
        <v>1</v>
      </c>
      <c r="M26" s="170" t="b">
        <v>0</v>
      </c>
      <c r="N26" s="171" t="s">
        <v>1070</v>
      </c>
      <c r="O26" s="172" t="b">
        <v>0</v>
      </c>
      <c r="P26" s="173" t="b">
        <v>0</v>
      </c>
      <c r="Q26" s="173" t="b">
        <v>0</v>
      </c>
      <c r="R26" s="173" t="b">
        <v>0</v>
      </c>
      <c r="S26" s="174" t="b">
        <v>0</v>
      </c>
      <c r="T26" s="175" t="b">
        <v>0</v>
      </c>
      <c r="U26" s="173" t="b">
        <v>0</v>
      </c>
      <c r="V26" s="171" t="s">
        <v>1070</v>
      </c>
      <c r="W26" s="172" t="b">
        <v>0</v>
      </c>
      <c r="X26" s="173" t="b">
        <v>0</v>
      </c>
      <c r="Y26" s="173" t="b">
        <v>0</v>
      </c>
      <c r="Z26" s="173" t="b">
        <v>0</v>
      </c>
      <c r="AA26" s="174" t="b">
        <v>0</v>
      </c>
      <c r="AB26" s="174" t="b">
        <v>0</v>
      </c>
      <c r="AC26" s="175" t="b">
        <v>0</v>
      </c>
      <c r="AD26" s="173" t="b">
        <v>1</v>
      </c>
      <c r="AE26" s="176" t="s">
        <v>1070</v>
      </c>
      <c r="AF26" s="171" t="s">
        <v>1070</v>
      </c>
      <c r="AG26" s="177">
        <f>IFERROR(__xludf.DUMMYFUNCTION("IF(
  ISNUMBER(AG25),
  MIN(MAX(
    AG25
    + MAX(
      ROUNDDOWN(($D26 - MAX(IFERROR(FILTER($D$24:$D25, AG$24:AG25 &lt;&gt; AF$6, AG$23:AG24 = AF$6), 0))) * (60 * 60 * 24) / AF$9) - ROUNDDOWN(($D25 - MAX(IFERROR(FILTER($D$23:$D24, AG$23:AG24 &lt;&gt; AF$6, AG$22:"&amp;"AG24 = AF$6), 0))) * (60 * 60 * 24) / 60),
      0
    )
    - COUNTIF(AF26, ""&lt;&gt;-""),
  0), AF$6),
  AF$6 - COUNTIF(AF26, ""&lt;&gt;-"")
)"),1.0)</f>
        <v>1</v>
      </c>
      <c r="AH26" s="173" t="b">
        <v>0</v>
      </c>
      <c r="AI26" s="173" t="b">
        <v>0</v>
      </c>
      <c r="AJ26" s="173" t="b">
        <v>0</v>
      </c>
      <c r="AK26" s="174" t="b">
        <v>0</v>
      </c>
      <c r="AL26" s="175" t="b">
        <v>0</v>
      </c>
      <c r="AM26" s="173" t="b">
        <v>0</v>
      </c>
      <c r="AN26" s="171" t="s">
        <v>1070</v>
      </c>
      <c r="AO26" s="173" t="b">
        <v>0</v>
      </c>
      <c r="AP26" s="173" t="b">
        <v>0</v>
      </c>
      <c r="AQ26" s="173" t="b">
        <v>0</v>
      </c>
      <c r="AR26" s="174" t="b">
        <v>0</v>
      </c>
      <c r="AS26" s="178" t="b">
        <v>0</v>
      </c>
      <c r="AT26" s="179" t="b">
        <v>0</v>
      </c>
      <c r="AU26" s="180" t="b">
        <v>0</v>
      </c>
      <c r="AV26" s="180" t="b">
        <v>0</v>
      </c>
      <c r="AW26" s="180" t="b">
        <v>0</v>
      </c>
      <c r="AX26" s="180" t="b">
        <v>0</v>
      </c>
      <c r="AY26" s="181" t="s">
        <v>1070</v>
      </c>
      <c r="AZ26" s="181" t="s">
        <v>1070</v>
      </c>
      <c r="BA26" s="184">
        <f>IFERROR(__xludf.DUMMYFUNCTION("IF(
  ISNUMBER(BA25),
  MIN(MAX(
    BA25
    + MAX(
      ROUNDDOWN((D26 - MAX(IFERROR(FILTER(D$24:D25, BA$24:BA25 &lt;&gt; AZ$6, BA$23:BA24 = AZ$6), 0))) * (60 * 60 * 24) / AZ$9) - ROUNDDOWN((D25 - MAX(IFERROR(FILTER(D$23:D24, BA$23:BA24 &lt;&gt; AZ$6, BA$22:BA24 ="&amp;" AZ$6), 0))) * (60 * 60 * 24) / AZ$9),
      0
    )
    - COUNTIF(AZ26, ""&lt;&gt;-""),
  0), AZ$6),
  AZ$6 - COUNTIF(AZ26, ""&lt;&gt;-"")
)"),2.0)</f>
        <v>2</v>
      </c>
      <c r="BB26" s="181" t="s">
        <v>1070</v>
      </c>
      <c r="BC26" s="183">
        <f>IFERROR(__xludf.DUMMYFUNCTION("IF(
  ISNUMBER(BC25),
  MIN(MAX(
    BC25
    + MAX(
      ROUNDDOWN(($D26 - MAX(IFERROR(FILTER($D$24:$D25, BC$24:BC25 &lt;&gt; BB$6, BC$23:BC24 = BB$6), 0))) * (60 * 60 * 24) / BB$9) - ROUNDDOWN(($D25 - MAX(IFERROR(FILTER($D$23:$D24, BC$23:BC24 &lt;&gt; BB$6, BC$22:"&amp;"BC24 = BB$6), 0))) * (60 * 60 * 24) / 60),
      0
    )
    - COUNTIF(BB26, ""&lt;&gt;-""),
  0), BB$6),
  BB$6 - COUNTIF(BB26, ""&lt;&gt;-"")
)"),2.0)</f>
        <v>2</v>
      </c>
      <c r="BD26" s="181" t="s">
        <v>1070</v>
      </c>
      <c r="BE26" s="178" t="b">
        <v>0</v>
      </c>
      <c r="BF26" s="180" t="b">
        <v>0</v>
      </c>
      <c r="BG26" s="180" t="b">
        <v>0</v>
      </c>
      <c r="BH26" s="180" t="b">
        <v>0</v>
      </c>
      <c r="BI26" s="180" t="b">
        <v>0</v>
      </c>
      <c r="BJ26" s="180" t="b">
        <v>0</v>
      </c>
      <c r="BK26" s="180" t="b">
        <v>0</v>
      </c>
      <c r="BL26" s="180" t="b">
        <v>0</v>
      </c>
      <c r="BM26" s="180" t="b">
        <v>0</v>
      </c>
      <c r="BN26" s="180" t="b">
        <v>0</v>
      </c>
      <c r="BO26" s="181" t="s">
        <v>1070</v>
      </c>
      <c r="BP26" s="181" t="s">
        <v>1070</v>
      </c>
      <c r="BQ26" s="181" t="s">
        <v>1070</v>
      </c>
      <c r="BR26" s="181" t="s">
        <v>1070</v>
      </c>
      <c r="BS26" s="181" t="s">
        <v>1070</v>
      </c>
      <c r="BT26" s="184">
        <f>IFERROR(__xludf.DUMMYFUNCTION("IF(
  ISNUMBER(BT25),
  MIN(MAX(
    BT25
    + MAX(
      ROUNDDOWN((D26 - MAX(IFERROR(FILTER(D$24:D25, BT$24:BT25 &lt;&gt; BS$6, BT$23:BT24 = BS$6), 0))) * (60 * 60 * 24) / BS$9) - ROUNDDOWN((D25 - MAX(IFERROR(FILTER(D$23:D24, BT$23:BT24 &lt;&gt; BS$6, BT$22:BT24 ="&amp;" BS$6), 0))) * (60 * 60 * 24) / BS$9),
      0
    )
    - COUNTIF(BS26, ""&lt;&gt;-""),
  0), BS$6),
  BS$6 - COUNTIF(BS26, ""&lt;&gt;-"")
)"),3.0)</f>
        <v>3</v>
      </c>
      <c r="BU26" s="181" t="s">
        <v>1070</v>
      </c>
      <c r="BV26" s="181" t="s">
        <v>1070</v>
      </c>
      <c r="BW26" s="184">
        <f>IFERROR(__xludf.DUMMYFUNCTION("IF(
  ISNUMBER(BW25),
  MIN(MAX(
    BW25
    + MAX(
      ROUNDDOWN((D26 - MAX(IFERROR(FILTER(D$24:D25, BW$24:BW25 &lt;&gt; BV$6, BW$23:BW24 = BV$6), 0))) * (60 * 60 * 24) / BV$9) - ROUNDDOWN((D25 - MAX(IFERROR(FILTER(D$23:D24, BW$23:BW24 &lt;&gt; BV$6, BW$22:BW24 ="&amp;" BV$6), 0))) * (60 * 60 * 24) / BV$9),
      0
    )
    - COUNTIF(BV26, ""&lt;&gt;-""),
  0), BV$6),
  BV$6 - COUNTIF(BV26, ""&lt;&gt;-"")
)"),2.0)</f>
        <v>2</v>
      </c>
      <c r="BX26" s="185" t="s">
        <v>1070</v>
      </c>
      <c r="BY26" s="178" t="b">
        <v>0</v>
      </c>
      <c r="BZ26" s="180" t="b">
        <v>1</v>
      </c>
      <c r="CA26" s="180" t="b">
        <v>0</v>
      </c>
      <c r="CB26" s="180" t="b">
        <v>0</v>
      </c>
      <c r="CC26" s="180" t="b">
        <v>0</v>
      </c>
      <c r="CD26" s="180" t="b">
        <v>0</v>
      </c>
      <c r="CE26" s="180" t="b">
        <v>0</v>
      </c>
      <c r="CF26" s="180" t="b">
        <v>0</v>
      </c>
      <c r="CG26" s="180" t="b">
        <v>0</v>
      </c>
      <c r="CH26" s="180" t="b">
        <v>0</v>
      </c>
      <c r="CI26" s="180" t="b">
        <v>0</v>
      </c>
      <c r="CJ26" s="180" t="b">
        <v>0</v>
      </c>
      <c r="CK26" s="180" t="b">
        <v>0</v>
      </c>
      <c r="CL26" s="180" t="b">
        <v>0</v>
      </c>
      <c r="CM26" s="181" t="s">
        <v>1070</v>
      </c>
      <c r="CN26" s="181" t="s">
        <v>1070</v>
      </c>
      <c r="CO26" s="181" t="s">
        <v>1070</v>
      </c>
      <c r="CP26" s="181" t="s">
        <v>1070</v>
      </c>
      <c r="CQ26" s="185" t="s">
        <v>1070</v>
      </c>
      <c r="CR26" s="180" t="b">
        <v>0</v>
      </c>
      <c r="CS26" s="186" t="str">
        <f t="shared" ref="CS26:CS76" si="14">SWITCH(
    IF(OR(AND(CI26, CI25&lt;&gt;TRUE), CR26), 3, IF(ISTEXT(CS25), FIND("◇", CS25&amp;"◇") - 1, 0))
  - COUNTIFS({BZ26,CE26}, "=TRUE", {BZ25,CE25}, "&lt;&gt;TRUE")
  - COUNTIF({CN26,CQ26}, "&lt;&gt;-")
  + IF(COUNTIFS({BZ26,CE26}, "=TRUE", {BZ25,CE25}, "&lt;&gt;TRUE") + COUNTIF({CN26,CQ26}, "&lt;&gt;-"), COUNTIFS(CJ26, "=TRUE", CJ25, "&lt;&gt;TRUE"), 0),
  0, "◇◇◇", 1, "◆◇◇", 2, "◆◆◇", 3, "◆◆◆", "◇◇◇"
)</f>
        <v>◇◇◇</v>
      </c>
      <c r="CT26" s="178" t="b">
        <v>0</v>
      </c>
      <c r="CU26" s="180" t="b">
        <v>0</v>
      </c>
      <c r="CV26" s="180" t="b">
        <v>0</v>
      </c>
      <c r="CW26" s="180" t="b">
        <v>0</v>
      </c>
      <c r="CX26" s="180" t="b">
        <v>0</v>
      </c>
      <c r="CY26" s="180" t="b">
        <v>0</v>
      </c>
      <c r="CZ26" s="180" t="b">
        <v>0</v>
      </c>
      <c r="DA26" s="180" t="b">
        <v>0</v>
      </c>
      <c r="DB26" s="180" t="b">
        <v>0</v>
      </c>
      <c r="DC26" s="180" t="b">
        <v>0</v>
      </c>
      <c r="DD26" s="181" t="s">
        <v>1070</v>
      </c>
      <c r="DE26" s="181" t="s">
        <v>1070</v>
      </c>
      <c r="DF26" s="181" t="s">
        <v>1070</v>
      </c>
      <c r="DG26" s="185" t="s">
        <v>1070</v>
      </c>
      <c r="DH26" s="180" t="b">
        <v>0</v>
      </c>
      <c r="DI26" s="187" t="str">
        <f>IFERROR(__xludf.DUMMYFUNCTION("SWITCH(
  IF(
    ISTEXT(DI25),
    IF (
      FIND(""○"", DI25&amp;""○"") &gt; 3,
      3,
      FIND(""○"", DI25&amp;""○"")
      + MAX(
        ROUNDDOWN(($D26 - MAX(IFERROR(FILTER(D$24:D25, DI$24:DI25 &lt;&gt; ""●●●"", DI$23:DI24 = ""●●●""), 0))) * (60 * 60 * 24) / 20"&amp;") - ROUNDDOWN(($D25 - MAX(IFERROR(FILTER(D$23:D24, DI$23:DI24 &lt;&gt; ""●●●"", DI$22:DI24 = ""●●●""), 0))) * (60 * 60 * 24) / 20),
        0
      ) - 1
    ) - COUNTIFS(CU26, ""=TRUE"", CU25, ""&lt;&gt;TRUE"") - COUNTIF(CZ26, ""=TRUE"") - COUNTIF({DD26,DE26}, ""&lt;&gt;-"&amp;""") + COUNTIF(DH26, ""=TRUE""),
    3
  ),
  0, ""○○○"", 1, ""●○○"", 2, ""●●○"", 3, ""●●●"", 4, ""●●●"", ""○○○""
)"),"●●●")</f>
        <v>●●●</v>
      </c>
      <c r="DJ26" s="188" t="b">
        <v>0</v>
      </c>
      <c r="DK26" s="189" t="b">
        <v>0</v>
      </c>
      <c r="DL26" s="190" t="b">
        <v>0</v>
      </c>
      <c r="DM26" s="190" t="b">
        <v>0</v>
      </c>
      <c r="DN26" s="190" t="b">
        <v>0</v>
      </c>
      <c r="DO26" s="190" t="b">
        <v>0</v>
      </c>
      <c r="DP26" s="190" t="b">
        <v>0</v>
      </c>
      <c r="DQ26" s="191" t="b">
        <v>1</v>
      </c>
      <c r="DR26" s="192" t="b">
        <v>0</v>
      </c>
      <c r="DS26" s="191" t="b">
        <v>0</v>
      </c>
      <c r="DT26" s="192" t="b">
        <v>0</v>
      </c>
      <c r="DU26" s="191" t="b">
        <v>0</v>
      </c>
      <c r="DV26" s="193" t="s">
        <v>1070</v>
      </c>
      <c r="DW26" s="194" t="b">
        <v>0</v>
      </c>
      <c r="DX26" s="194" t="b">
        <v>0</v>
      </c>
      <c r="DY26" s="195" t="b">
        <v>0</v>
      </c>
      <c r="DZ26" s="196" t="b">
        <v>0</v>
      </c>
      <c r="EA26" s="195" t="b">
        <v>0</v>
      </c>
      <c r="EB26" s="197" t="b">
        <v>0</v>
      </c>
      <c r="EC26" s="197" t="b">
        <v>0</v>
      </c>
      <c r="ED26" s="198" t="b">
        <v>1</v>
      </c>
      <c r="EE26" s="199">
        <f>IFERROR(__xludf.DUMMYFUNCTION("IFERROR(
   PRODUCT(
     MAP(
       INDEX(TRANSPOSE(UNIQUE(TRANSPOSE(FILTER({IF($F26=""Physical"", K$10:ED$10, IF($F26=""Magic"", K$11:ED$11, K$12:ED$12));K$4:ED$4;K26:ED26}, K26:ED26=TRUE)))), 1, 0),
       INDEX(TRANSPOSE(UNIQUE(TRANSPOSE(FILTER({IF($"&amp;"F26=""Physical"", K$18:ED$18, IF($F26=""Magic"", K$19:ED$19, K$20:ED$20));K$4:ED$4;K26:ED26}, K26:ED26=TRUE)))), 1, 0),
       INDEX(TRANSPOSE(UNIQUE(TRANSPOSE(FILTER({K$5:ED$5;K$4:ED$4;K26:ED26}, K26:ED26=TRUE)))), 1, 0),
       INDEX(TRANSPOSE(UNIQUE(TR"&amp;"ANSPOSE(FILTER({K$17:ED$17;K$4:ED$4;K26:ED26}, K26:ED26=TRUE)))), 1, 0),
       LAMBDA(
         mitigation,
         enhance,
         assign,
         precondition,
         IF(
           REGEXMATCH(assign, ""RANGE_PARTY|SINGLE_ENEMY|RANGE_ENEMY""),
  "&amp;"         IF(
             OR(ARRAYFORMULA((IF(precondition="""", FALSE, REGEXMATCH(K$4:ED$4, precondition))) * (K26:ED26=TRUE))),
             IF(ISNUMBER(enhance), enhance, 1),
             IF(ISNUMBER(mitigation), mitigation, 1)
           ),
          "&amp;" 1
         )
       )
     )
   ),
   1
 )"),0.11704500000000001)</f>
        <v>0.117045</v>
      </c>
      <c r="EF26" s="200">
        <f>IFERROR(__xludf.DUMMYFUNCTION("PRODUCT(
   MAP(
     K$14:ED$14,
     K$13:ED$13,
     K26:ED26,
     LAMBDA(
       buff,
       target,
       check,
       IF(
         AND(check=TRUE, REGEXMATCH(target, ""RANGE_AFFECTED_ALL|RANGE_EFFECTED_ALL""), ISNUMBER(buff)),
         buff,
   "&amp;"      1
       )
     )
   )
 )"),1.0)</f>
        <v>1</v>
      </c>
      <c r="EG26" s="200">
        <f>IFERROR(__xludf.DUMMYFUNCTION("PRODUCT(
   MAP(
     K$14:ED$14,
     K$13:ED$13,
     K26:ED26,
     LAMBDA(
       buff,
       target,
       check,
       IF(
         AND(check=TRUE, REGEXMATCH(target, ""RANGE_AFFECTED_GCD|RANGE_EFFECTED_GCD""), ISNUMBER(buff)),
         buff,
   "&amp;"      1
       )
     )
   )
 )"),1.0)</f>
        <v>1</v>
      </c>
      <c r="EH26" s="200">
        <f>IFERROR(__xludf.DUMMYFUNCTION("PRODUCT(
   MAP(
     K$3:ED$3,
     K$14:ED$14,
     K$13:ED$13,
     K26:ED26,
     LAMBDA(
       job,
       buff,
       target,
       check,
       IF(
         AND(check=TRUE, REGEXMATCH(target, ""SELF_EFFECTED_ALL""), ISNUMBER(buff), job=""白魔道士"""&amp;"),
         buff,
         1
       )
     )
   )
 )"),1.0)</f>
        <v>1</v>
      </c>
      <c r="EI26" s="200">
        <f>IFERROR(__xludf.DUMMYFUNCTION("PRODUCT(
   MAP(
     K$3:ED$3,
     K$14:ED$14,
     K$13:ED$13,
     K26:ED26,
     LAMBDA(
       job,
       buff,
       target,
       check,
       IF(
         AND(check=TRUE, REGEXMATCH(target, ""SELF_EFFECTED_GCD""), ISNUMBER(buff), job=""白魔道士"""&amp;"),
         buff,
         1
       )
     )
   )
 )"),1.0)</f>
        <v>1</v>
      </c>
      <c r="EJ26" s="200">
        <f>IFERROR(__xludf.DUMMYFUNCTION("PRODUCT(
   MAP(
     K$3:ED$3,
     K$14:ED$14,
     K$13:ED$13,
     K26:ED26,
     LAMBDA(
       job,
       buff,
       target,
       check,
       IF(
         AND(check=TRUE, REGEXMATCH(target, ""SELF_EFFECTED_ALL""), ISNUMBER(buff), job=""占星術師"""&amp;"),
         buff,
         1
       )
     )
   )
 )"),1.0)</f>
        <v>1</v>
      </c>
      <c r="EK26" s="200">
        <f>IFERROR(__xludf.DUMMYFUNCTION("PRODUCT(
   MAP(
     K$3:ED$3,
     K$14:ED$14,
     K$13:ED$13,
     K26:ED26,
     LAMBDA(
       job,
       buff,
       target,
       check,
       IF(
         AND(check=TRUE, REGEXMATCH(target, ""SELF_EFFECTED_GCD""), ISNUMBER(buff), job=""占星術師"""&amp;"),
         buff,
         1
       )
     )
   )
 )"),1.0)</f>
        <v>1</v>
      </c>
      <c r="EL26" s="200">
        <f>IFERROR(__xludf.DUMMYFUNCTION("PRODUCT(
   MAP(
     K$3:ED$3,
     K$14:ED$14,
     K$13:ED$13,
     K26:ED26,
     LAMBDA(
       job,
       buff,
       target,
       check,
       IF(
         AND(check=TRUE, REGEXMATCH(target, ""SELF_EFFECTED_ALL""), ISNUMBER(buff), job=""学者""),"&amp;"
         buff,
         1
       )
     )
   )
 )"),1.0)</f>
        <v>1</v>
      </c>
      <c r="EM26" s="200">
        <f>IFERROR(__xludf.DUMMYFUNCTION("PRODUCT(
   MAP(
     K$3:ED$3,
     K$14:ED$14,
     K$13:ED$13,
     K26:ED26,
     LAMBDA(
       job,
       buff,
       target,
       check,
       IF(
         AND(check=TRUE, REGEXMATCH(target, ""SELF_EFFECTED_GCD""), ISNUMBER(buff), job=""学者""),"&amp;"
         buff,
         1
       )
     )
   )
 )"),1.0)</f>
        <v>1</v>
      </c>
      <c r="EN26" s="200">
        <f>IFERROR(__xludf.DUMMYFUNCTION("PRODUCT(
   MAP(
     K$3:ED$3,
     K$14:ED$14,
     K$13:ED$13,
     K26:ED26,
     LAMBDA(
       job,
       buff,
       target,
       check,
       IF(
         AND(check=TRUE, REGEXMATCH(target, ""SELF_EFFECTED_ALL""), ISNUMBER(buff), job=""賢者""),"&amp;"
         buff,
         1
       )
     )
   )
 )"),1.0)</f>
        <v>1</v>
      </c>
      <c r="EO26" s="200">
        <f>IFERROR(__xludf.DUMMYFUNCTION("PRODUCT(
   MAP(
     K$3:ED$3,
     K$14:ED$14,
     K$13:ED$13,
     K26:ED26,
     LAMBDA(
       job,
       buff,
       target,
       check,
       IF(
         AND(check=TRUE, REGEXMATCH(target, ""SELF_EFFECTED_GCD""), ISNUMBER(buff), job=""賢者""),"&amp;"
         buff,
         1
       )
     )
   )
 )"),1.0)</f>
        <v>1</v>
      </c>
      <c r="EP26" s="201">
        <f t="shared" si="3"/>
        <v>819.315</v>
      </c>
      <c r="EQ26" s="201">
        <f>IFERROR(__xludf.DUMMYFUNCTION("SUM(
   MAP(
     K$4:ED$4,
     K$3:ED$3,
     K$7:ED$7,
     K$15:ED$15,
     K$16:ED$16,
     K$21:ED$21,
     K$5:ED$5,
     K$17:ED$17,
     K26:ED26,
     LAMBDA(
       name,
       job,
       abillity,
       buff,
       barrier,
       enhance,"&amp;"
       assign,
       precondition,
       check,
       SWITCH(
         name,
         ""シェイクオフ"", IF(check=TRUE, buff + (0.02 * COUNTIF(ARRAYFORMULA((REGEXMATCH($K$4:$ED$4, ""スリル・オブ・バトル|ヴェンジェンス|原初の血気|ダムネーション"")) * (K26:ED26=TRUE)), 1)), 0),
         "&amp;"""インプロビゼーションフィニッシュ(踊りの激情0)"", IF(ISNUMBER(check), INDEX(Skill!$AJ:$AJ, MATCH(SUBSTITUTE(DV$4, 0, check), Skill!$C:$C, 0)), 0),
         IF(
           AND(check=TRUE, REGEXMATCH(assign, ""RANGE_PARTY"")),
           IF(
             OR(ARRAYFORMULA((IF(pr"&amp;"econdition="""", FALSE, REGEXMATCH($K$4:$ED$4, precondition))) * (K26:ED26=TRUE))),
             enhance,
             IF(barrier="""", buff, barrier)
           ),
           0
         )
       ) *
       SWITCH(
         job,
         ""ナイト"", EY$24,
 "&amp;"        ""戦士"", FD$24,
         ""踊り子"", ET$24,
         ""ピクトマンサー"", ET$24,
         ""白魔道士"", EF26 * EH26 * IF(abillity, 1, EG26 * EI26) * (Option!$D$22 * 0.81 / 100),
         ""占星術師"", EF26 * EJ26 * IF(abillity, 1, EG26 * EK26) * (Option!$D$23 * 0.81 "&amp;"/ 100),
         ""学者"", EF26 * EL26 * IF(abillity, 1, EG26 * EM26) * (Option!$D$24 * 0.81 / 100),
         ""賢者"", EF26 * EN26 * IF(abillity, 1, EG26 * EO26) * (Option!$D$25 * 0.81 / 100),
         1
       )
     )
   )
 )"),0.0)</f>
        <v>0</v>
      </c>
      <c r="ER26" s="202">
        <f t="shared" si="4"/>
        <v>819.315</v>
      </c>
      <c r="ES26" s="203">
        <f t="shared" si="5"/>
        <v>0</v>
      </c>
      <c r="ET26" s="231" t="str">
        <f>IFERROR(__xludf.DUMMYFUNCTION("IFS(
  EP26 &gt; $ET$24 + EQ26,
  SPARKLINE({ 1, 0 }, {""charttype"",""bar"";""max"", 1;""color1"",Option!$D$30;""color2"",Option!$D$30}),
  EP26 &lt; EQ26,
  SPARKLINE({EQ26 - EP26, $ET$24 - (EQ26 - EP26)}, {""charttype"",""bar"";""max"",$ET$24;""color1"",Opti"&amp;"on!$D$28;""color2"",Option!$D$29}),
  EP26 &gt;= EQ26,
  SPARKLINE({$ET$24 + EQ26 - EP26,EP26 - EQ26}, {""charttype"",""bar"";""max"",$ET$24;""color1"",Option!$D$29;""color2"",Option!$D$30})
)"),"")</f>
        <v/>
      </c>
      <c r="EU26" s="205">
        <f>IFERROR(__xludf.DUMMYFUNCTION("PRODUCT(
   MAP(
     IF($F26=""Physical"", K$10:ED$10, IF($F26=""Magic"", K$11:ED$11, K$12:ED$12)),
     IF($F26=""Physical"", K$18:ED$18, IF($F26=""Magic"", K$19:ED$19, K$20:ED$20)),
     K$3:ED$3,
     K$5:ED$5,
     K$17:ED$17,
     K26:ED26,
     LAM"&amp;"BDA(
       mitigation,
       enhance,
       job,
       assign,
       precondition,
       check,
       IF(
         OR(AND(check=TRUE, REGEXMATCH(assign, ""SELF""), job=""ナイト""), AND(check=Option!$E$13, REGEXMATCH(assign, ""SINGLE_PARTY""))),
      "&amp;"   IF(
           OR(ARRAYFORMULA((IF(precondition="""", FALSE, REGEXMATCH($K$4:$ED$4, precondition))) * (K26:ED26=TRUE))),
           enhance,
           mitigation
         ),
         1
       )
     )
   )
 ) * EE26"),0.11704500000000001)</f>
        <v>0.117045</v>
      </c>
      <c r="EV26" s="206">
        <f t="shared" si="6"/>
        <v>655.452</v>
      </c>
      <c r="EW26" s="205">
        <f>IFERROR(__xludf.DUMMYFUNCTION("PRODUCT(
   MAP(
     K$3:ED$3,
     K$14:ED$14,
     K$13:ED$13,
     K26:ED26,
     LAMBDA(
       job,
       buff,
       target,
       check,
       IF(
         OR(AND(check=TRUE, REGEXMATCH(target, ""SELF_AFFECTED_ALL""), job=""ナイト""), AND(check=O"&amp;"ption!$E$13, REGEXMATCH(target, ""SINGLE_AFFECTED_ALL""))),
         buff,
         1
       )
     )
   )
 )"),1.0)</f>
        <v>1</v>
      </c>
      <c r="EX26" s="206">
        <f>IFERROR(__xludf.DUMMYFUNCTION("SUM(
   MAP(
     K$3:ED$3,
     K$7:ED$7,
     K$15:ED$15,
     K$16:ED$16,
     K$21:ED$21,
     K$5:ED$5,
     K$17:ED$17,
     K26:ED26,
     LAMBDA(
       job,
       abillity,
       buff,
       barrier,
       enhance,
       assign,
       preco"&amp;"ndition,
       check,
       IF(
         OR(AND(check=TRUE, REGEXMATCH(assign, ""SELF""), job=""ナイト""), AND(check=Option!$E$13, REGEXMATCH(assign, ""SINGLE_PARTY""))),
         IF(
           OR(ARRAYFORMULA((IF(precondition="""", FALSE, REGEXMATCH($K$4"&amp;":$ED$4, precondition))) * (K26:ED26=TRUE))),
           enhance,
           IF(barrier="""", buff, barrier)
         ),
         0
       ) *
       SWITCH(
         job,
         ""暗黒騎士"", EY$24,
         ""白魔道士"", EF26 * EH26 * EW26 * IF(abillity, 1, EG"&amp;"26 * EI26) * (Option!$D$22 * 0.81 / 100),
         ""占星術師"", EF26 * EJ26 * EW26 * IF(abillity, 1, EG26 * EK26) * (Option!$D$23 * 0.81 / 100),
         ""学者"", EF26 * EL26 * EW26 * IF(abillity, 1, EG26 * EM26) * (Option!$D$24 * 0.81 / 100),
         ""賢者"""&amp;", EF26 * EN26 * EW26 * IF(abillity, 1, EG26 * EO26) * (Option!$D$25 * 0.81 / 100),
         1
       )
     )
   )
 ) + EQ26"),0.0)</f>
        <v>0</v>
      </c>
      <c r="EY26" s="232">
        <f t="shared" si="7"/>
        <v>655.452</v>
      </c>
      <c r="EZ26" s="205">
        <f>IFERROR(__xludf.DUMMYFUNCTION("PRODUCT(
   MAP(
     IF($F26=""Physical"", K$10:ED$10, IF($F26=""Magic"", K$11:ED$11, K$12:ED$12)),
     IF($F26=""Physical"", K$18:ED$18, IF($F26=""Magic"", K$19:ED$19, K$20:ED$20)),
     K$3:ED$3,
     K$5:ED$5,
     K$17:ED$17,
     K26:ED26,
     LAM"&amp;"BDA(
       mitigation,
       enhance,
       job,
       assign,
       precondition,
       check,
       IF(
         OR(AND(check=TRUE, REGEXMATCH(assign, ""SELF""), job=""戦士""), AND(check=Option!$F$13, REGEXMATCH(assign, ""SINGLE_PARTY""))),
       "&amp;"  IF(
           OR(ARRAYFORMULA((IF(precondition="""", FALSE, REGEXMATCH($K$4:$ED$4, precondition))) * (K26:ED26=TRUE))),
           enhance,
           mitigation
         ),
         1
       )
     )
   )
 ) * EE26"),0.11704500000000001)</f>
        <v>0.117045</v>
      </c>
      <c r="FA26" s="206">
        <f t="shared" si="8"/>
        <v>655.452</v>
      </c>
      <c r="FB26" s="205">
        <f>IFERROR(__xludf.DUMMYFUNCTION("PRODUCT(
   MAP(
     K$3:ED$3,
     K$14:ED$14,
     K$13:ED$13,
     K26:ED26,
     LAMBDA(
       job,
       buff,
       target,
       check,
       IF(
         OR(AND(check=TRUE, REGEXMATCH(target, ""SELF_AFFECTED_ALL""), job=""戦士""), AND(check=Op"&amp;"tion!$F$13, REGEXMATCH(target, ""SINGLE_AFFECTED_ALL""))),
         buff,
         1
       )
     )
   )
 )"),1.0)</f>
        <v>1</v>
      </c>
      <c r="FC26" s="206">
        <f>IFERROR(__xludf.DUMMYFUNCTION("SUM(
   MAP(
     K$3:ED$3,
     K$7:ED$7,
     K$15:ED$15,
     K$16:ED$16,
     K$21:ED$21,
     K$5:ED$5,
     K$17:ED$17,
     K26:ED26,
     LAMBDA(
       job,
       abillity,
       buff,
       barrier,
       enhance,
       assign,
       preco"&amp;"ndition,
       check,
       IF(
         OR(AND(check=TRUE, REGEXMATCH(assign, ""SELF""), job=""戦士""), AND(check=Option!$F$13, REGEXMATCH(assign, ""SINGLE_PARTY""))),
         IF(
           OR(ARRAYFORMULA((IF(precondition="""", FALSE, REGEXMATCH($K$4:"&amp;"$ED$4, precondition))) * (K26:ED26=TRUE))),
           enhance,
           IF(barrier="""", buff, barrier)
         ),
         0
       ) *
       SWITCH(
         job,
         ""暗黒騎士"", FD$24,
         ""白魔道士"", EF26 * EH26 * FB26 * IF(abillity, 1, EG2"&amp;"6 * EI26) * (Option!$D$22 * 0.81 / 100),
         ""占星術師"", EF26 * EJ26 * FFB26 * IF(abillity, 1, EG26 * EK26) * (Option!$D$23 * 0.81 / 100),
         ""学者"", EF26 * EL26 * FB26 * IF(abillity, 1, EG26 * EM26) * (Option!$D$24 * 0.81 / 100),
         ""賢者"""&amp;", EF26 * EN26 * FB26 * IF(abillity, 1, EG26 * EO26) * (Option!$D$25 * 0.81 / 100),
         1
       )
     )
   )
 ) + EQ26"),0.0)</f>
        <v>0</v>
      </c>
      <c r="FD26" s="206">
        <f t="shared" si="9"/>
        <v>655.452</v>
      </c>
      <c r="FE26" s="205">
        <f>IFERROR(__xludf.DUMMYFUNCTION("PRODUCT(
   MAP(
     IF($F26=""Physical"", K$10:ED$10, IF($F26=""Magic"", K$11:ED$11, K$12:ED$12)),
     IF($F26=""Physical"", K$18:ED$18, IF($F26=""Magic"", K$19:ED$19, K$20:ED$20)),
     K$3:ED$3,
     K$5:ED$5,
     K$17:ED$17,
     K26:ED26,
     LAM"&amp;"BDA(
       mitigation,
       enhance,
       job,
       assign,
       precondition,
       check,
       IF(
         OR(AND(check=TRUE, REGEXMATCH(assign, ""SELF""), job=""暗黒騎士""), AND(check=Option!$G$13, REGEXMATCH(assign, ""SINGLE_PARTY""))),
     "&amp;"    IF(
           OR(ARRAYFORMULA((IF(precondition="""", FALSE, REGEXMATCH($K$4:$ED$4, precondition))) * (K26:ED26=TRUE))),
           enhance,
           mitigation
         ),
         1
       )
     )
   )
 ) * EE26"),0.11704500000000001)</f>
        <v>0.117045</v>
      </c>
      <c r="FF26" s="206">
        <f t="shared" si="10"/>
        <v>655.452</v>
      </c>
      <c r="FG26" s="205">
        <f>IFERROR(__xludf.DUMMYFUNCTION("PRODUCT(
   MAP(
     K$3:ED$3,
     K$14:ED$14,
     K$13:ED$13,
     K26:ED26,
     LAMBDA(
       job,
       buff,
       target,
       check,
       IF(
         OR(AND(check=TRUE, REGEXMATCH(target, ""SELF_AFFECTED_ALL""), job=""暗黒騎士""), AND(check="&amp;"Option!$G$13, REGEXMATCH(target, ""SINGLE_AFFECTED_ALL""))),
         buff,
         1
       )
     )
   )
 )"),1.0)</f>
        <v>1</v>
      </c>
      <c r="FH26" s="206">
        <f>IFERROR(__xludf.DUMMYFUNCTION("SUM(
   MAP(
     K$3:ED$3,
     K$7:ED$7,
     K$15:ED$15,
     K$16:ED$16,
     K$21:ED$21,
     K$5:ED$5,
     K$17:ED$17,
     K26:ED26,
     LAMBDA(
       job,
       abillity,
       buff,
       barrier,
       enhance,
       assign,
       preco"&amp;"ndition,
       check,
       IF(
         OR(AND(check=TRUE, REGEXMATCH(assign, ""SELF""), job=""暗黒騎士""), AND(check=Option!$G$13, REGEXMATCH(assign, ""SINGLE_PARTY""))),
         IF(
           OR(ARRAYFORMULA((IF(precondition="""", FALSE, REGEXMATCH($K$"&amp;"4:$ED$4, precondition))) * (K26:ED26=TRUE))),
           enhance,
           IF(barrier="""", buff, barrier)
         ),
         0
       ) *
       SWITCH(
         job,
         ""暗黒騎士"", FI$24,
         ""白魔道士"", EF26 * EH26 * FG26 * IF(abillity, 1, E"&amp;"G26 * EI26) * (Option!$D$22 * 0.81 / 100),
         ""占星術師"", EF26 * EJ26 * FG26 * IF(abillity, 1, EG26 * EK26) * (Option!$D$23 * 0.81 / 100),
         ""学者"", EF26 * EL26 * FG26 * IF(abillity, 1, EG26 * EM26) * (Option!$D$24 * 0.81 / 100),
         ""賢者"&amp;""", EF26 * EN26 * FG26 * IF(abillity, 1, EG26 * EO26) * (Option!$D$25 * 0.81 / 100),
         1
       )
     )
   )
 ) + EQ26"),0.0)</f>
        <v>0</v>
      </c>
      <c r="FI26" s="206">
        <f t="shared" si="11"/>
        <v>655.452</v>
      </c>
      <c r="FJ26" s="205">
        <f>IFERROR(__xludf.DUMMYFUNCTION("PRODUCT(
   MAP(
     IF($F26=""Physical"", K$10:ED$10, IF($F26=""Magic"", K$11:ED$11, K$12:ED$12)),
     IF($F26=""Physical"", K$18:ED$18, IF($F26=""Magic"", K$19:ED$19, K$20:ED$20)),
     K$3:ED$3,
     K$5:ED$5,
     K$17:ED$17,
     K26:ED26,
     LAM"&amp;"BDA(
       mitigation,
       enhance,
       job,
       assign,
       precondition,
       check,
       IF(
         OR(AND(check=TRUE, REGEXMATCH(assign, ""SELF""), job=""ガンブレイカー""), AND(check=Option!$H$13, REGEXMATCH(assign, ""SINGLE_PARTY""))),
  "&amp;"       IF(
           OR(ARRAYFORMULA((IF(precondition="""", FALSE, REGEXMATCH($K$4:$ED$4, precondition))) * (K26:ED26=TRUE))),
           enhance,
           mitigation
         ),
         1
       )
     )
   )
 ) * EE26"),0.11704500000000001)</f>
        <v>0.117045</v>
      </c>
      <c r="FK26" s="206">
        <f t="shared" si="12"/>
        <v>655.452</v>
      </c>
      <c r="FL26" s="205">
        <f>IFERROR(__xludf.DUMMYFUNCTION("PRODUCT(
   MAP(
     K$3:ED$3,
     K$14:ED$14,
     K$13:ED$13,
     K26:ED26,
     LAMBDA(
       job,
       buff,
       target,
       check,
       IF(
         OR(AND(check=TRUE, REGEXMATCH(target, ""SELF_AFFECTED_ALL""), job=""ガンブレイカー""), AND(che"&amp;"ck=Option!$H$13, REGEXMATCH(target, ""SINGLE_AFFECTED_ALL""))),
         buff,
         1
       )
     )
   )
 )"),1.0)</f>
        <v>1</v>
      </c>
      <c r="FM26" s="206">
        <f>IFERROR(__xludf.DUMMYFUNCTION("SUM(
   MAP(
     K$3:ED$3,
     K$7:ED$7,
     K$15:ED$15,
     K$16:ED$16,
     K$21:ED$21,
     K$5:ED$5,
     K$17:ED$17,
     K26:ED26,
     LAMBDA(
       job,
       abillity,
       buff,
       barrier,
       enhance,
       assign,
       preco"&amp;"ndition,
       check,
       IF(
         OR(AND(check=TRUE, REGEXMATCH(assign, ""SELF""), job=""ガンブレイカー""), AND(check=Option!$H$13, REGEXMATCH(assign, ""SINGLE_PARTY""))),
         IF(
           OR(ARRAYFORMULA((IF(precondition="""", FALSE, REGEXMATCH("&amp;"$K$4:$ED$4, precondition))) * (K26:ED26=TRUE))),
           enhance,
           IF(barrier="""", buff, barrier)
         ),
         0
       ) *
       SWITCH(
         job,
         ""暗黒騎士"", FN$24,
         ""白魔道士"", EF26 * EH26 * FL26 * IF(abillity, 1"&amp;", EG26 * EI26) * (Option!$D$22 * 0.81 / 100),
         ""占星術師"", EF26 * EJ26 * FL26 * IF(abillity, 1, EG26 * EK26) * (Option!$D$23 * 0.81 / 100),
         ""学者"", EF26 * EL26 * FL26 * IF(abillity, 1, EG26 * EM26) * (Option!$D$24 * 0.81 / 100),
         """&amp;"賢者"", EF26 * EN26 * FL26 * IF(abillity, 1, EG26 * EO26) * (Option!$D$25 * 0.81 / 100),
         1
       )
     )
   )
 ) + EQ26"),0.0)</f>
        <v>0</v>
      </c>
      <c r="FN26" s="206">
        <f t="shared" si="13"/>
        <v>655.452</v>
      </c>
      <c r="FO26" s="213"/>
    </row>
    <row r="27">
      <c r="B27" s="229"/>
      <c r="C27" s="217">
        <f t="shared" si="1"/>
        <v>0.003900462963</v>
      </c>
      <c r="D27" s="236">
        <v>9.259259259259259E-5</v>
      </c>
      <c r="E27" s="237" t="s">
        <v>1100</v>
      </c>
      <c r="F27" s="167" t="s">
        <v>10</v>
      </c>
      <c r="G27" s="168" t="str">
        <f t="shared" si="2"/>
        <v/>
      </c>
      <c r="H27" s="169">
        <v>24500.0</v>
      </c>
      <c r="I27" s="169"/>
      <c r="J27" s="169"/>
      <c r="K27" s="170" t="b">
        <v>0</v>
      </c>
      <c r="L27" s="170" t="b">
        <v>1</v>
      </c>
      <c r="M27" s="170" t="b">
        <v>1</v>
      </c>
      <c r="N27" s="171" t="s">
        <v>1070</v>
      </c>
      <c r="O27" s="172" t="b">
        <v>0</v>
      </c>
      <c r="P27" s="173" t="b">
        <v>0</v>
      </c>
      <c r="Q27" s="173" t="b">
        <v>0</v>
      </c>
      <c r="R27" s="173" t="b">
        <v>0</v>
      </c>
      <c r="S27" s="174" t="b">
        <v>0</v>
      </c>
      <c r="T27" s="175" t="b">
        <v>0</v>
      </c>
      <c r="U27" s="173" t="b">
        <v>0</v>
      </c>
      <c r="V27" s="171" t="s">
        <v>1070</v>
      </c>
      <c r="W27" s="172" t="b">
        <v>0</v>
      </c>
      <c r="X27" s="173" t="b">
        <v>0</v>
      </c>
      <c r="Y27" s="173" t="b">
        <v>0</v>
      </c>
      <c r="Z27" s="173" t="b">
        <v>0</v>
      </c>
      <c r="AA27" s="174" t="b">
        <v>0</v>
      </c>
      <c r="AB27" s="174" t="b">
        <v>0</v>
      </c>
      <c r="AC27" s="175" t="b">
        <v>0</v>
      </c>
      <c r="AD27" s="173" t="b">
        <v>1</v>
      </c>
      <c r="AE27" s="176" t="s">
        <v>1070</v>
      </c>
      <c r="AF27" s="171" t="s">
        <v>1070</v>
      </c>
      <c r="AG27" s="177">
        <f>IFERROR(__xludf.DUMMYFUNCTION("IF(
  ISNUMBER(AG26),
  MIN(MAX(
    AG26
    + MAX(
      ROUNDDOWN(($D27 - MAX(IFERROR(FILTER($D$24:$D26, AG$24:AG26 &lt;&gt; AF$6, AG$23:AG25 = AF$6), 0))) * (60 * 60 * 24) / AF$9) - ROUNDDOWN(($D26 - MAX(IFERROR(FILTER($D$23:$D25, AG$23:AG25 &lt;&gt; AF$6, AG$22:"&amp;"AG24 = AF$6), 0))) * (60 * 60 * 24) / 60),
      0
    )
    - COUNTIF(AF27, ""&lt;&gt;-""),
  0), AF$6),
  AF$6 - COUNTIF(AF27, ""&lt;&gt;-"")
)"),1.0)</f>
        <v>1</v>
      </c>
      <c r="AH27" s="173" t="b">
        <v>0</v>
      </c>
      <c r="AI27" s="173" t="b">
        <v>0</v>
      </c>
      <c r="AJ27" s="173" t="b">
        <v>0</v>
      </c>
      <c r="AK27" s="174" t="b">
        <v>0</v>
      </c>
      <c r="AL27" s="175" t="b">
        <v>0</v>
      </c>
      <c r="AM27" s="173" t="b">
        <v>0</v>
      </c>
      <c r="AN27" s="171" t="s">
        <v>1070</v>
      </c>
      <c r="AO27" s="173" t="b">
        <v>0</v>
      </c>
      <c r="AP27" s="173" t="b">
        <v>0</v>
      </c>
      <c r="AQ27" s="173" t="b">
        <v>0</v>
      </c>
      <c r="AR27" s="174" t="b">
        <v>0</v>
      </c>
      <c r="AS27" s="178" t="b">
        <v>0</v>
      </c>
      <c r="AT27" s="179" t="b">
        <v>0</v>
      </c>
      <c r="AU27" s="180" t="b">
        <v>0</v>
      </c>
      <c r="AV27" s="180" t="b">
        <v>0</v>
      </c>
      <c r="AW27" s="180" t="b">
        <v>0</v>
      </c>
      <c r="AX27" s="180" t="b">
        <v>0</v>
      </c>
      <c r="AY27" s="181" t="s">
        <v>1070</v>
      </c>
      <c r="AZ27" s="181" t="s">
        <v>1070</v>
      </c>
      <c r="BA27" s="184">
        <f>IFERROR(__xludf.DUMMYFUNCTION("IF(
  ISNUMBER(BA26),
  MIN(MAX(
    BA26
    + MAX(
      ROUNDDOWN((D27 - MAX(IFERROR(FILTER(D$24:D26, BA$24:BA26 &lt;&gt; AZ$6, BA$23:BA25 = AZ$6), 0))) * (60 * 60 * 24) / AZ$9) - ROUNDDOWN((D26 - MAX(IFERROR(FILTER(D$23:D25, BA$23:BA25 &lt;&gt; AZ$6, BA$22:BA24 ="&amp;" AZ$6), 0))) * (60 * 60 * 24) / AZ$9),
      0
    )
    - COUNTIF(AZ27, ""&lt;&gt;-""),
  0), AZ$6),
  AZ$6 - COUNTIF(AZ27, ""&lt;&gt;-"")
)"),2.0)</f>
        <v>2</v>
      </c>
      <c r="BB27" s="181" t="s">
        <v>1070</v>
      </c>
      <c r="BC27" s="183">
        <f>IFERROR(__xludf.DUMMYFUNCTION("IF(
  ISNUMBER(BC26),
  MIN(MAX(
    BC26
    + MAX(
      ROUNDDOWN(($D27 - MAX(IFERROR(FILTER($D$24:$D26, BC$24:BC26 &lt;&gt; BB$6, BC$23:BC25 = BB$6), 0))) * (60 * 60 * 24) / BB$9) - ROUNDDOWN(($D26 - MAX(IFERROR(FILTER($D$23:$D25, BC$23:BC25 &lt;&gt; BB$6, BC$22:"&amp;"BC24 = BB$6), 0))) * (60 * 60 * 24) / 60),
      0
    )
    - COUNTIF(BB27, ""&lt;&gt;-""),
  0), BB$6),
  BB$6 - COUNTIF(BB27, ""&lt;&gt;-"")
)"),2.0)</f>
        <v>2</v>
      </c>
      <c r="BD27" s="181" t="s">
        <v>1070</v>
      </c>
      <c r="BE27" s="178" t="b">
        <v>0</v>
      </c>
      <c r="BF27" s="180" t="b">
        <v>0</v>
      </c>
      <c r="BG27" s="180" t="b">
        <v>0</v>
      </c>
      <c r="BH27" s="180" t="b">
        <v>0</v>
      </c>
      <c r="BI27" s="180" t="b">
        <v>0</v>
      </c>
      <c r="BJ27" s="180" t="b">
        <v>0</v>
      </c>
      <c r="BK27" s="180" t="b">
        <v>0</v>
      </c>
      <c r="BL27" s="180" t="b">
        <v>0</v>
      </c>
      <c r="BM27" s="180" t="b">
        <v>0</v>
      </c>
      <c r="BN27" s="180" t="b">
        <v>0</v>
      </c>
      <c r="BO27" s="181" t="s">
        <v>1070</v>
      </c>
      <c r="BP27" s="181" t="s">
        <v>1070</v>
      </c>
      <c r="BQ27" s="181" t="s">
        <v>1070</v>
      </c>
      <c r="BR27" s="181" t="s">
        <v>1070</v>
      </c>
      <c r="BS27" s="181" t="s">
        <v>1070</v>
      </c>
      <c r="BT27" s="184">
        <f>IFERROR(__xludf.DUMMYFUNCTION("IF(
  ISNUMBER(BT26),
  MIN(MAX(
    BT26
    + MAX(
      ROUNDDOWN((D27 - MAX(IFERROR(FILTER(D$24:D26, BT$24:BT26 &lt;&gt; BS$6, BT$23:BT25 = BS$6), 0))) * (60 * 60 * 24) / BS$9) - ROUNDDOWN((D26 - MAX(IFERROR(FILTER(D$23:D25, BT$23:BT25 &lt;&gt; BS$6, BT$22:BT24 ="&amp;" BS$6), 0))) * (60 * 60 * 24) / BS$9),
      0
    )
    - COUNTIF(BS27, ""&lt;&gt;-""),
  0), BS$6),
  BS$6 - COUNTIF(BS27, ""&lt;&gt;-"")
)"),3.0)</f>
        <v>3</v>
      </c>
      <c r="BU27" s="181" t="s">
        <v>1070</v>
      </c>
      <c r="BV27" s="181" t="s">
        <v>1070</v>
      </c>
      <c r="BW27" s="184">
        <f>IFERROR(__xludf.DUMMYFUNCTION("IF(
  ISNUMBER(BW26),
  MIN(MAX(
    BW26
    + MAX(
      ROUNDDOWN((D27 - MAX(IFERROR(FILTER(D$24:D26, BW$24:BW26 &lt;&gt; BV$6, BW$23:BW25 = BV$6), 0))) * (60 * 60 * 24) / BV$9) - ROUNDDOWN((D26 - MAX(IFERROR(FILTER(D$23:D25, BW$23:BW25 &lt;&gt; BV$6, BW$22:BW24 ="&amp;" BV$6), 0))) * (60 * 60 * 24) / BV$9),
      0
    )
    - COUNTIF(BV27, ""&lt;&gt;-""),
  0), BV$6),
  BV$6 - COUNTIF(BV27, ""&lt;&gt;-"")
)"),2.0)</f>
        <v>2</v>
      </c>
      <c r="BX27" s="185" t="s">
        <v>1070</v>
      </c>
      <c r="BY27" s="178" t="b">
        <v>0</v>
      </c>
      <c r="BZ27" s="180" t="b">
        <v>1</v>
      </c>
      <c r="CA27" s="180" t="b">
        <v>0</v>
      </c>
      <c r="CB27" s="180" t="b">
        <v>0</v>
      </c>
      <c r="CC27" s="180" t="b">
        <v>0</v>
      </c>
      <c r="CD27" s="180" t="b">
        <v>0</v>
      </c>
      <c r="CE27" s="180" t="b">
        <v>0</v>
      </c>
      <c r="CF27" s="180" t="b">
        <v>0</v>
      </c>
      <c r="CG27" s="180" t="b">
        <v>0</v>
      </c>
      <c r="CH27" s="180" t="b">
        <v>0</v>
      </c>
      <c r="CI27" s="180" t="b">
        <v>0</v>
      </c>
      <c r="CJ27" s="180" t="b">
        <v>0</v>
      </c>
      <c r="CK27" s="180" t="b">
        <v>0</v>
      </c>
      <c r="CL27" s="180" t="b">
        <v>0</v>
      </c>
      <c r="CM27" s="181" t="s">
        <v>1070</v>
      </c>
      <c r="CN27" s="181" t="s">
        <v>1070</v>
      </c>
      <c r="CO27" s="181" t="s">
        <v>1070</v>
      </c>
      <c r="CP27" s="181" t="s">
        <v>1070</v>
      </c>
      <c r="CQ27" s="185" t="s">
        <v>1070</v>
      </c>
      <c r="CR27" s="180" t="b">
        <v>0</v>
      </c>
      <c r="CS27" s="186" t="str">
        <f t="shared" si="14"/>
        <v>◇◇◇</v>
      </c>
      <c r="CT27" s="178" t="b">
        <v>0</v>
      </c>
      <c r="CU27" s="180" t="b">
        <v>0</v>
      </c>
      <c r="CV27" s="180" t="b">
        <v>0</v>
      </c>
      <c r="CW27" s="180" t="b">
        <v>0</v>
      </c>
      <c r="CX27" s="180" t="b">
        <v>0</v>
      </c>
      <c r="CY27" s="180" t="b">
        <v>0</v>
      </c>
      <c r="CZ27" s="180" t="b">
        <v>0</v>
      </c>
      <c r="DA27" s="180" t="b">
        <v>0</v>
      </c>
      <c r="DB27" s="180" t="b">
        <v>0</v>
      </c>
      <c r="DC27" s="180" t="b">
        <v>0</v>
      </c>
      <c r="DD27" s="181" t="s">
        <v>1070</v>
      </c>
      <c r="DE27" s="181" t="s">
        <v>1070</v>
      </c>
      <c r="DF27" s="181" t="s">
        <v>1070</v>
      </c>
      <c r="DG27" s="185" t="s">
        <v>1070</v>
      </c>
      <c r="DH27" s="180" t="b">
        <v>0</v>
      </c>
      <c r="DI27" s="187" t="str">
        <f>IFERROR(__xludf.DUMMYFUNCTION("SWITCH(
  IF(
    ISTEXT(DI26),
    IF (
      FIND(""○"", DI26&amp;""○"") &gt; 3,
      3,
      FIND(""○"", DI26&amp;""○"")
      + MAX(
        ROUNDDOWN(($D27 - MAX(IFERROR(FILTER(D$24:D26, DI$24:DI26 &lt;&gt; ""●●●"", DI$23:DI25 = ""●●●""), 0))) * (60 * 60 * 24) / 20"&amp;") - ROUNDDOWN(($D26 - MAX(IFERROR(FILTER(D$23:D25, DI$23:DI25 &lt;&gt; ""●●●"", DI$22:DI24 = ""●●●""), 0))) * (60 * 60 * 24) / 20),
        0
      ) - 1
    ) - COUNTIFS(CU27, ""=TRUE"", CU26, ""&lt;&gt;TRUE"") - COUNTIF(CZ27, ""=TRUE"") - COUNTIF({DD27,DE27}, ""&lt;&gt;-"&amp;""") + COUNTIF(DH27, ""=TRUE""),
    3
  ),
  0, ""○○○"", 1, ""●○○"", 2, ""●●○"", 3, ""●●●"", 4, ""●●●"", ""○○○""
)"),"●●●")</f>
        <v>●●●</v>
      </c>
      <c r="DJ27" s="188" t="b">
        <v>0</v>
      </c>
      <c r="DK27" s="189" t="b">
        <v>0</v>
      </c>
      <c r="DL27" s="190" t="b">
        <v>0</v>
      </c>
      <c r="DM27" s="190" t="b">
        <v>0</v>
      </c>
      <c r="DN27" s="190" t="b">
        <v>0</v>
      </c>
      <c r="DO27" s="190" t="b">
        <v>0</v>
      </c>
      <c r="DP27" s="190" t="b">
        <v>0</v>
      </c>
      <c r="DQ27" s="191" t="b">
        <v>1</v>
      </c>
      <c r="DR27" s="192" t="b">
        <v>0</v>
      </c>
      <c r="DS27" s="191" t="b">
        <v>0</v>
      </c>
      <c r="DT27" s="192" t="b">
        <v>0</v>
      </c>
      <c r="DU27" s="191" t="b">
        <v>0</v>
      </c>
      <c r="DV27" s="193" t="s">
        <v>1070</v>
      </c>
      <c r="DW27" s="194" t="b">
        <v>0</v>
      </c>
      <c r="DX27" s="194" t="b">
        <v>0</v>
      </c>
      <c r="DY27" s="195" t="b">
        <v>0</v>
      </c>
      <c r="DZ27" s="196" t="b">
        <v>0</v>
      </c>
      <c r="EA27" s="195" t="b">
        <v>0</v>
      </c>
      <c r="EB27" s="197" t="b">
        <v>0</v>
      </c>
      <c r="EC27" s="197" t="b">
        <v>0</v>
      </c>
      <c r="ED27" s="198" t="b">
        <v>1</v>
      </c>
      <c r="EE27" s="199">
        <f>IFERROR(__xludf.DUMMYFUNCTION("IFERROR(
   PRODUCT(
     MAP(
       INDEX(TRANSPOSE(UNIQUE(TRANSPOSE(FILTER({IF($F27=""Physical"", K$10:ED$10, IF($F27=""Magic"", K$11:ED$11, K$12:ED$12));K$4:ED$4;K27:ED27}, K27:ED27=TRUE)))), 1, 0),
       INDEX(TRANSPOSE(UNIQUE(TRANSPOSE(FILTER({IF($"&amp;"F27=""Physical"", K$18:ED$18, IF($F27=""Magic"", K$19:ED$19, K$20:ED$20));K$4:ED$4;K27:ED27}, K27:ED27=TRUE)))), 1, 0),
       INDEX(TRANSPOSE(UNIQUE(TRANSPOSE(FILTER({K$5:ED$5;K$4:ED$4;K27:ED27}, K27:ED27=TRUE)))), 1, 0),
       INDEX(TRANSPOSE(UNIQUE(TR"&amp;"ANSPOSE(FILTER({K$17:ED$17;K$4:ED$4;K27:ED27}, K27:ED27=TRUE)))), 1, 0),
       LAMBDA(
         mitigation,
         enhance,
         assign,
         precondition,
         IF(
           REGEXMATCH(assign, ""RANGE_PARTY|SINGLE_ENEMY|RANGE_ENEMY""),
  "&amp;"         IF(
             OR(ARRAYFORMULA((IF(precondition="""", FALSE, REGEXMATCH(K$4:ED$4, precondition))) * (K27:ED27=TRUE))),
             IF(ISNUMBER(enhance), enhance, 1),
             IF(ISNUMBER(mitigation), mitigation, 1)
           ),
          "&amp;" 1
         )
       )
     )
   ),
   1
 )"),0.11704500000000001)</f>
        <v>0.117045</v>
      </c>
      <c r="EF27" s="200">
        <f>IFERROR(__xludf.DUMMYFUNCTION("PRODUCT(
   MAP(
     K$14:ED$14,
     K$13:ED$13,
     K27:ED27,
     LAMBDA(
       buff,
       target,
       check,
       IF(
         AND(check=TRUE, REGEXMATCH(target, ""RANGE_AFFECTED_ALL|RANGE_EFFECTED_ALL""), ISNUMBER(buff)),
         buff,
   "&amp;"      1
       )
     )
   )
 )"),1.0)</f>
        <v>1</v>
      </c>
      <c r="EG27" s="200">
        <f>IFERROR(__xludf.DUMMYFUNCTION("PRODUCT(
   MAP(
     K$14:ED$14,
     K$13:ED$13,
     K27:ED27,
     LAMBDA(
       buff,
       target,
       check,
       IF(
         AND(check=TRUE, REGEXMATCH(target, ""RANGE_AFFECTED_GCD|RANGE_EFFECTED_GCD""), ISNUMBER(buff)),
         buff,
   "&amp;"      1
       )
     )
   )
 )"),1.0)</f>
        <v>1</v>
      </c>
      <c r="EH27" s="200">
        <f>IFERROR(__xludf.DUMMYFUNCTION("PRODUCT(
   MAP(
     K$3:ED$3,
     K$14:ED$14,
     K$13:ED$13,
     K27:ED27,
     LAMBDA(
       job,
       buff,
       target,
       check,
       IF(
         AND(check=TRUE, REGEXMATCH(target, ""SELF_EFFECTED_ALL""), ISNUMBER(buff), job=""白魔道士"""&amp;"),
         buff,
         1
       )
     )
   )
 )"),1.0)</f>
        <v>1</v>
      </c>
      <c r="EI27" s="200">
        <f>IFERROR(__xludf.DUMMYFUNCTION("PRODUCT(
   MAP(
     K$3:ED$3,
     K$14:ED$14,
     K$13:ED$13,
     K27:ED27,
     LAMBDA(
       job,
       buff,
       target,
       check,
       IF(
         AND(check=TRUE, REGEXMATCH(target, ""SELF_EFFECTED_GCD""), ISNUMBER(buff), job=""白魔道士"""&amp;"),
         buff,
         1
       )
     )
   )
 )"),1.0)</f>
        <v>1</v>
      </c>
      <c r="EJ27" s="200">
        <f>IFERROR(__xludf.DUMMYFUNCTION("PRODUCT(
   MAP(
     K$3:ED$3,
     K$14:ED$14,
     K$13:ED$13,
     K27:ED27,
     LAMBDA(
       job,
       buff,
       target,
       check,
       IF(
         AND(check=TRUE, REGEXMATCH(target, ""SELF_EFFECTED_ALL""), ISNUMBER(buff), job=""占星術師"""&amp;"),
         buff,
         1
       )
     )
   )
 )"),1.0)</f>
        <v>1</v>
      </c>
      <c r="EK27" s="200">
        <f>IFERROR(__xludf.DUMMYFUNCTION("PRODUCT(
   MAP(
     K$3:ED$3,
     K$14:ED$14,
     K$13:ED$13,
     K27:ED27,
     LAMBDA(
       job,
       buff,
       target,
       check,
       IF(
         AND(check=TRUE, REGEXMATCH(target, ""SELF_EFFECTED_GCD""), ISNUMBER(buff), job=""占星術師"""&amp;"),
         buff,
         1
       )
     )
   )
 )"),1.0)</f>
        <v>1</v>
      </c>
      <c r="EL27" s="200">
        <f>IFERROR(__xludf.DUMMYFUNCTION("PRODUCT(
   MAP(
     K$3:ED$3,
     K$14:ED$14,
     K$13:ED$13,
     K27:ED27,
     LAMBDA(
       job,
       buff,
       target,
       check,
       IF(
         AND(check=TRUE, REGEXMATCH(target, ""SELF_EFFECTED_ALL""), ISNUMBER(buff), job=""学者""),"&amp;"
         buff,
         1
       )
     )
   )
 )"),1.0)</f>
        <v>1</v>
      </c>
      <c r="EM27" s="200">
        <f>IFERROR(__xludf.DUMMYFUNCTION("PRODUCT(
   MAP(
     K$3:ED$3,
     K$14:ED$14,
     K$13:ED$13,
     K27:ED27,
     LAMBDA(
       job,
       buff,
       target,
       check,
       IF(
         AND(check=TRUE, REGEXMATCH(target, ""SELF_EFFECTED_GCD""), ISNUMBER(buff), job=""学者""),"&amp;"
         buff,
         1
       )
     )
   )
 )"),1.0)</f>
        <v>1</v>
      </c>
      <c r="EN27" s="200">
        <f>IFERROR(__xludf.DUMMYFUNCTION("PRODUCT(
   MAP(
     K$3:ED$3,
     K$14:ED$14,
     K$13:ED$13,
     K27:ED27,
     LAMBDA(
       job,
       buff,
       target,
       check,
       IF(
         AND(check=TRUE, REGEXMATCH(target, ""SELF_EFFECTED_ALL""), ISNUMBER(buff), job=""賢者""),"&amp;"
         buff,
         1
       )
     )
   )
 )"),1.0)</f>
        <v>1</v>
      </c>
      <c r="EO27" s="200">
        <f>IFERROR(__xludf.DUMMYFUNCTION("PRODUCT(
   MAP(
     K$3:ED$3,
     K$14:ED$14,
     K$13:ED$13,
     K27:ED27,
     LAMBDA(
       job,
       buff,
       target,
       check,
       IF(
         AND(check=TRUE, REGEXMATCH(target, ""SELF_EFFECTED_GCD""), ISNUMBER(buff), job=""賢者""),"&amp;"
         buff,
         1
       )
     )
   )
 )"),1.0)</f>
        <v>1</v>
      </c>
      <c r="EP27" s="201">
        <f t="shared" si="3"/>
        <v>2867.6025</v>
      </c>
      <c r="EQ27" s="201">
        <f>IFERROR(__xludf.DUMMYFUNCTION("SUM(
   MAP(
     K$4:ED$4,
     K$3:ED$3,
     K$7:ED$7,
     K$15:ED$15,
     K$16:ED$16,
     K$21:ED$21,
     K$5:ED$5,
     K$17:ED$17,
     K27:ED27,
     LAMBDA(
       name,
       job,
       abillity,
       buff,
       barrier,
       enhance,"&amp;"
       assign,
       precondition,
       check,
       SWITCH(
         name,
         ""シェイクオフ"", IF(check=TRUE, buff + (0.02 * COUNTIF(ARRAYFORMULA((REGEXMATCH($K$4:$ED$4, ""スリル・オブ・バトル|ヴェンジェンス|原初の血気|ダムネーション"")) * (K27:ED27=TRUE)), 1)), 0),
         "&amp;"""インプロビゼーションフィニッシュ(踊りの激情0)"", IF(ISNUMBER(check), INDEX(Skill!$AJ:$AJ, MATCH(SUBSTITUTE(DV$4, 0, check), Skill!$C:$C, 0)), 0),
         IF(
           AND(check=TRUE, REGEXMATCH(assign, ""RANGE_PARTY"")),
           IF(
             OR(ARRAYFORMULA((IF(pr"&amp;"econdition="""", FALSE, REGEXMATCH($K$4:$ED$4, precondition))) * (K27:ED27=TRUE))),
             enhance,
             IF(barrier="""", buff, barrier)
           ),
           0
         )
       ) *
       SWITCH(
         job,
         ""ナイト"", EY$24,
 "&amp;"        ""戦士"", FD$24,
         ""踊り子"", ET$24,
         ""ピクトマンサー"", ET$24,
         ""白魔道士"", EF27 * EH27 * IF(abillity, 1, EG27 * EI27) * (Option!$D$22 * 0.81 / 100),
         ""占星術師"", EF27 * EJ27 * IF(abillity, 1, EG27 * EK27) * (Option!$D$23 * 0.81 "&amp;"/ 100),
         ""学者"", EF27 * EL27 * IF(abillity, 1, EG27 * EM27) * (Option!$D$24 * 0.81 / 100),
         ""賢者"", EF27 * EN27 * IF(abillity, 1, EG27 * EO27) * (Option!$D$25 * 0.81 / 100),
         1
       )
     )
   )
 )"),22580.0)</f>
        <v>22580</v>
      </c>
      <c r="ER27" s="202">
        <f t="shared" si="4"/>
        <v>0</v>
      </c>
      <c r="ES27" s="203">
        <f t="shared" si="5"/>
        <v>0</v>
      </c>
      <c r="ET27" s="231" t="str">
        <f>IFERROR(__xludf.DUMMYFUNCTION("IFS(
  EP27 &gt; $ET$24 + EQ27,
  SPARKLINE({ 1, 0 }, {""charttype"",""bar"";""max"", 1;""color1"",Option!$D$30;""color2"",Option!$D$30}),
  EP27 &lt; EQ27,
  SPARKLINE({EQ27 - EP27, $ET$24 - (EQ27 - EP27)}, {""charttype"",""bar"";""max"",$ET$24;""color1"",Opti"&amp;"on!$D$28;""color2"",Option!$D$29}),
  EP27 &gt;= EQ27,
  SPARKLINE({$ET$24 + EQ27 - EP27,EP27 - EQ27}, {""charttype"",""bar"";""max"",$ET$24;""color1"",Option!$D$29;""color2"",Option!$D$30})
)"),"")</f>
        <v/>
      </c>
      <c r="EU27" s="205">
        <f>IFERROR(__xludf.DUMMYFUNCTION("PRODUCT(
   MAP(
     IF($F27=""Physical"", K$10:ED$10, IF($F27=""Magic"", K$11:ED$11, K$12:ED$12)),
     IF($F27=""Physical"", K$18:ED$18, IF($F27=""Magic"", K$19:ED$19, K$20:ED$20)),
     K$3:ED$3,
     K$5:ED$5,
     K$17:ED$17,
     K27:ED27,
     LAM"&amp;"BDA(
       mitigation,
       enhance,
       job,
       assign,
       precondition,
       check,
       IF(
         OR(AND(check=TRUE, REGEXMATCH(assign, ""SELF""), job=""ナイト""), AND(check=Option!$E$13, REGEXMATCH(assign, ""SINGLE_PARTY""))),
      "&amp;"   IF(
           OR(ARRAYFORMULA((IF(precondition="""", FALSE, REGEXMATCH($K$4:$ED$4, precondition))) * (K27:ED27=TRUE))),
           enhance,
           mitigation
         ),
         1
       )
     )
   )
 ) * EE27"),0.11704500000000001)</f>
        <v>0.117045</v>
      </c>
      <c r="EV27" s="206">
        <f t="shared" si="6"/>
        <v>2294.082</v>
      </c>
      <c r="EW27" s="205">
        <f>IFERROR(__xludf.DUMMYFUNCTION("PRODUCT(
   MAP(
     K$3:ED$3,
     K$14:ED$14,
     K$13:ED$13,
     K27:ED27,
     LAMBDA(
       job,
       buff,
       target,
       check,
       IF(
         OR(AND(check=TRUE, REGEXMATCH(target, ""SELF_AFFECTED_ALL""), job=""ナイト""), AND(check=O"&amp;"ption!$E$13, REGEXMATCH(target, ""SINGLE_AFFECTED_ALL""))),
         buff,
         1
       )
     )
   )
 )"),1.0)</f>
        <v>1</v>
      </c>
      <c r="EX27" s="206">
        <f>IFERROR(__xludf.DUMMYFUNCTION("SUM(
   MAP(
     K$3:ED$3,
     K$7:ED$7,
     K$15:ED$15,
     K$16:ED$16,
     K$21:ED$21,
     K$5:ED$5,
     K$17:ED$17,
     K27:ED27,
     LAMBDA(
       job,
       abillity,
       buff,
       barrier,
       enhance,
       assign,
       preco"&amp;"ndition,
       check,
       IF(
         OR(AND(check=TRUE, REGEXMATCH(assign, ""SELF""), job=""ナイト""), AND(check=Option!$E$13, REGEXMATCH(assign, ""SINGLE_PARTY""))),
         IF(
           OR(ARRAYFORMULA((IF(precondition="""", FALSE, REGEXMATCH($K$4"&amp;":$ED$4, precondition))) * (K27:ED27=TRUE))),
           enhance,
           IF(barrier="""", buff, barrier)
         ),
         0
       ) *
       SWITCH(
         job,
         ""暗黒騎士"", EY$24,
         ""白魔道士"", EF27 * EH27 * EW27 * IF(abillity, 1, EG"&amp;"27 * EI27) * (Option!$D$22 * 0.81 / 100),
         ""占星術師"", EF27 * EJ27 * EW27 * IF(abillity, 1, EG27 * EK27) * (Option!$D$23 * 0.81 / 100),
         ""学者"", EF27 * EL27 * EW27 * IF(abillity, 1, EG27 * EM27) * (Option!$D$24 * 0.81 / 100),
         ""賢者"""&amp;", EF27 * EN27 * EW27 * IF(abillity, 1, EG27 * EO27) * (Option!$D$25 * 0.81 / 100),
         1
       )
     )
   )
 ) + EQ27"),22580.0)</f>
        <v>22580</v>
      </c>
      <c r="EY27" s="232">
        <f t="shared" si="7"/>
        <v>0</v>
      </c>
      <c r="EZ27" s="205">
        <f>IFERROR(__xludf.DUMMYFUNCTION("PRODUCT(
   MAP(
     IF($F27=""Physical"", K$10:ED$10, IF($F27=""Magic"", K$11:ED$11, K$12:ED$12)),
     IF($F27=""Physical"", K$18:ED$18, IF($F27=""Magic"", K$19:ED$19, K$20:ED$20)),
     K$3:ED$3,
     K$5:ED$5,
     K$17:ED$17,
     K27:ED27,
     LAM"&amp;"BDA(
       mitigation,
       enhance,
       job,
       assign,
       precondition,
       check,
       IF(
         OR(AND(check=TRUE, REGEXMATCH(assign, ""SELF""), job=""戦士""), AND(check=Option!$F$13, REGEXMATCH(assign, ""SINGLE_PARTY""))),
       "&amp;"  IF(
           OR(ARRAYFORMULA((IF(precondition="""", FALSE, REGEXMATCH($K$4:$ED$4, precondition))) * (K27:ED27=TRUE))),
           enhance,
           mitigation
         ),
         1
       )
     )
   )
 ) * EE27"),0.11704500000000001)</f>
        <v>0.117045</v>
      </c>
      <c r="FA27" s="206">
        <f t="shared" si="8"/>
        <v>2294.082</v>
      </c>
      <c r="FB27" s="205">
        <f>IFERROR(__xludf.DUMMYFUNCTION("PRODUCT(
   MAP(
     K$3:ED$3,
     K$14:ED$14,
     K$13:ED$13,
     K27:ED27,
     LAMBDA(
       job,
       buff,
       target,
       check,
       IF(
         OR(AND(check=TRUE, REGEXMATCH(target, ""SELF_AFFECTED_ALL""), job=""戦士""), AND(check=Op"&amp;"tion!$F$13, REGEXMATCH(target, ""SINGLE_AFFECTED_ALL""))),
         buff,
         1
       )
     )
   )
 )"),1.0)</f>
        <v>1</v>
      </c>
      <c r="FC27" s="206">
        <f>IFERROR(__xludf.DUMMYFUNCTION("SUM(
   MAP(
     K$3:ED$3,
     K$7:ED$7,
     K$15:ED$15,
     K$16:ED$16,
     K$21:ED$21,
     K$5:ED$5,
     K$17:ED$17,
     K27:ED27,
     LAMBDA(
       job,
       abillity,
       buff,
       barrier,
       enhance,
       assign,
       preco"&amp;"ndition,
       check,
       IF(
         OR(AND(check=TRUE, REGEXMATCH(assign, ""SELF""), job=""戦士""), AND(check=Option!$F$13, REGEXMATCH(assign, ""SINGLE_PARTY""))),
         IF(
           OR(ARRAYFORMULA((IF(precondition="""", FALSE, REGEXMATCH($K$4:"&amp;"$ED$4, precondition))) * (K27:ED27=TRUE))),
           enhance,
           IF(barrier="""", buff, barrier)
         ),
         0
       ) *
       SWITCH(
         job,
         ""暗黒騎士"", FD$24,
         ""白魔道士"", EF27 * EH27 * FB27 * IF(abillity, 1, EG2"&amp;"7 * EI27) * (Option!$D$22 * 0.81 / 100),
         ""占星術師"", EF27 * EJ27 * FFB27 * IF(abillity, 1, EG27 * EK27) * (Option!$D$23 * 0.81 / 100),
         ""学者"", EF27 * EL27 * FB27 * IF(abillity, 1, EG27 * EM27) * (Option!$D$24 * 0.81 / 100),
         ""賢者"""&amp;", EF27 * EN27 * FB27 * IF(abillity, 1, EG27 * EO27) * (Option!$D$25 * 0.81 / 100),
         1
       )
     )
   )
 ) + EQ27"),22580.0)</f>
        <v>22580</v>
      </c>
      <c r="FD27" s="206">
        <f t="shared" si="9"/>
        <v>0</v>
      </c>
      <c r="FE27" s="205">
        <f>IFERROR(__xludf.DUMMYFUNCTION("PRODUCT(
   MAP(
     IF($F27=""Physical"", K$10:ED$10, IF($F27=""Magic"", K$11:ED$11, K$12:ED$12)),
     IF($F27=""Physical"", K$18:ED$18, IF($F27=""Magic"", K$19:ED$19, K$20:ED$20)),
     K$3:ED$3,
     K$5:ED$5,
     K$17:ED$17,
     K27:ED27,
     LAM"&amp;"BDA(
       mitigation,
       enhance,
       job,
       assign,
       precondition,
       check,
       IF(
         OR(AND(check=TRUE, REGEXMATCH(assign, ""SELF""), job=""暗黒騎士""), AND(check=Option!$G$13, REGEXMATCH(assign, ""SINGLE_PARTY""))),
     "&amp;"    IF(
           OR(ARRAYFORMULA((IF(precondition="""", FALSE, REGEXMATCH($K$4:$ED$4, precondition))) * (K27:ED27=TRUE))),
           enhance,
           mitigation
         ),
         1
       )
     )
   )
 ) * EE27"),0.11704500000000001)</f>
        <v>0.117045</v>
      </c>
      <c r="FF27" s="206">
        <f t="shared" si="10"/>
        <v>2294.082</v>
      </c>
      <c r="FG27" s="205">
        <f>IFERROR(__xludf.DUMMYFUNCTION("PRODUCT(
   MAP(
     K$3:ED$3,
     K$14:ED$14,
     K$13:ED$13,
     K27:ED27,
     LAMBDA(
       job,
       buff,
       target,
       check,
       IF(
         OR(AND(check=TRUE, REGEXMATCH(target, ""SELF_AFFECTED_ALL""), job=""暗黒騎士""), AND(check="&amp;"Option!$G$13, REGEXMATCH(target, ""SINGLE_AFFECTED_ALL""))),
         buff,
         1
       )
     )
   )
 )"),1.0)</f>
        <v>1</v>
      </c>
      <c r="FH27" s="206">
        <f>IFERROR(__xludf.DUMMYFUNCTION("SUM(
   MAP(
     K$3:ED$3,
     K$7:ED$7,
     K$15:ED$15,
     K$16:ED$16,
     K$21:ED$21,
     K$5:ED$5,
     K$17:ED$17,
     K27:ED27,
     LAMBDA(
       job,
       abillity,
       buff,
       barrier,
       enhance,
       assign,
       preco"&amp;"ndition,
       check,
       IF(
         OR(AND(check=TRUE, REGEXMATCH(assign, ""SELF""), job=""暗黒騎士""), AND(check=Option!$G$13, REGEXMATCH(assign, ""SINGLE_PARTY""))),
         IF(
           OR(ARRAYFORMULA((IF(precondition="""", FALSE, REGEXMATCH($K$"&amp;"4:$ED$4, precondition))) * (K27:ED27=TRUE))),
           enhance,
           IF(barrier="""", buff, barrier)
         ),
         0
       ) *
       SWITCH(
         job,
         ""暗黒騎士"", FI$24,
         ""白魔道士"", EF27 * EH27 * FG27 * IF(abillity, 1, E"&amp;"G27 * EI27) * (Option!$D$22 * 0.81 / 100),
         ""占星術師"", EF27 * EJ27 * FG27 * IF(abillity, 1, EG27 * EK27) * (Option!$D$23 * 0.81 / 100),
         ""学者"", EF27 * EL27 * FG27 * IF(abillity, 1, EG27 * EM27) * (Option!$D$24 * 0.81 / 100),
         ""賢者"&amp;""", EF27 * EN27 * FG27 * IF(abillity, 1, EG27 * EO27) * (Option!$D$25 * 0.81 / 100),
         1
       )
     )
   )
 ) + EQ27"),22580.0)</f>
        <v>22580</v>
      </c>
      <c r="FI27" s="206">
        <f t="shared" si="11"/>
        <v>0</v>
      </c>
      <c r="FJ27" s="205">
        <f>IFERROR(__xludf.DUMMYFUNCTION("PRODUCT(
   MAP(
     IF($F27=""Physical"", K$10:ED$10, IF($F27=""Magic"", K$11:ED$11, K$12:ED$12)),
     IF($F27=""Physical"", K$18:ED$18, IF($F27=""Magic"", K$19:ED$19, K$20:ED$20)),
     K$3:ED$3,
     K$5:ED$5,
     K$17:ED$17,
     K27:ED27,
     LAM"&amp;"BDA(
       mitigation,
       enhance,
       job,
       assign,
       precondition,
       check,
       IF(
         OR(AND(check=TRUE, REGEXMATCH(assign, ""SELF""), job=""ガンブレイカー""), AND(check=Option!$H$13, REGEXMATCH(assign, ""SINGLE_PARTY""))),
  "&amp;"       IF(
           OR(ARRAYFORMULA((IF(precondition="""", FALSE, REGEXMATCH($K$4:$ED$4, precondition))) * (K27:ED27=TRUE))),
           enhance,
           mitigation
         ),
         1
       )
     )
   )
 ) * EE27"),0.11704500000000001)</f>
        <v>0.117045</v>
      </c>
      <c r="FK27" s="206">
        <f t="shared" si="12"/>
        <v>2294.082</v>
      </c>
      <c r="FL27" s="205">
        <f>IFERROR(__xludf.DUMMYFUNCTION("PRODUCT(
   MAP(
     K$3:ED$3,
     K$14:ED$14,
     K$13:ED$13,
     K27:ED27,
     LAMBDA(
       job,
       buff,
       target,
       check,
       IF(
         OR(AND(check=TRUE, REGEXMATCH(target, ""SELF_AFFECTED_ALL""), job=""ガンブレイカー""), AND(che"&amp;"ck=Option!$H$13, REGEXMATCH(target, ""SINGLE_AFFECTED_ALL""))),
         buff,
         1
       )
     )
   )
 )"),1.0)</f>
        <v>1</v>
      </c>
      <c r="FM27" s="206">
        <f>IFERROR(__xludf.DUMMYFUNCTION("SUM(
   MAP(
     K$3:ED$3,
     K$7:ED$7,
     K$15:ED$15,
     K$16:ED$16,
     K$21:ED$21,
     K$5:ED$5,
     K$17:ED$17,
     K27:ED27,
     LAMBDA(
       job,
       abillity,
       buff,
       barrier,
       enhance,
       assign,
       preco"&amp;"ndition,
       check,
       IF(
         OR(AND(check=TRUE, REGEXMATCH(assign, ""SELF""), job=""ガンブレイカー""), AND(check=Option!$H$13, REGEXMATCH(assign, ""SINGLE_PARTY""))),
         IF(
           OR(ARRAYFORMULA((IF(precondition="""", FALSE, REGEXMATCH("&amp;"$K$4:$ED$4, precondition))) * (K27:ED27=TRUE))),
           enhance,
           IF(barrier="""", buff, barrier)
         ),
         0
       ) *
       SWITCH(
         job,
         ""暗黒騎士"", FN$24,
         ""白魔道士"", EF27 * EH27 * FL27 * IF(abillity, 1"&amp;", EG27 * EI27) * (Option!$D$22 * 0.81 / 100),
         ""占星術師"", EF27 * EJ27 * FL27 * IF(abillity, 1, EG27 * EK27) * (Option!$D$23 * 0.81 / 100),
         ""学者"", EF27 * EL27 * FL27 * IF(abillity, 1, EG27 * EM27) * (Option!$D$24 * 0.81 / 100),
         """&amp;"賢者"", EF27 * EN27 * FL27 * IF(abillity, 1, EG27 * EO27) * (Option!$D$25 * 0.81 / 100),
         1
       )
     )
   )
 ) + EQ27"),22580.0)</f>
        <v>22580</v>
      </c>
      <c r="FN27" s="206">
        <f t="shared" si="13"/>
        <v>0</v>
      </c>
      <c r="FO27" s="213"/>
    </row>
    <row r="28">
      <c r="B28" s="229"/>
      <c r="C28" s="217">
        <f t="shared" si="1"/>
        <v>0.00400462963</v>
      </c>
      <c r="D28" s="236">
        <v>1.9675925925925926E-4</v>
      </c>
      <c r="E28" s="237" t="s">
        <v>1101</v>
      </c>
      <c r="F28" s="167" t="s">
        <v>10</v>
      </c>
      <c r="G28" s="168" t="str">
        <f t="shared" si="2"/>
        <v/>
      </c>
      <c r="H28" s="169">
        <v>12500.0</v>
      </c>
      <c r="I28" s="169"/>
      <c r="J28" s="169"/>
      <c r="K28" s="170" t="b">
        <v>1</v>
      </c>
      <c r="L28" s="170" t="b">
        <v>1</v>
      </c>
      <c r="M28" s="170" t="b">
        <v>0</v>
      </c>
      <c r="N28" s="171" t="s">
        <v>1070</v>
      </c>
      <c r="O28" s="172" t="b">
        <v>0</v>
      </c>
      <c r="P28" s="173" t="b">
        <v>0</v>
      </c>
      <c r="Q28" s="173" t="b">
        <v>0</v>
      </c>
      <c r="R28" s="173" t="b">
        <v>0</v>
      </c>
      <c r="S28" s="174" t="b">
        <v>0</v>
      </c>
      <c r="T28" s="175" t="b">
        <v>0</v>
      </c>
      <c r="U28" s="173" t="b">
        <v>0</v>
      </c>
      <c r="V28" s="171" t="s">
        <v>1070</v>
      </c>
      <c r="W28" s="172" t="b">
        <v>0</v>
      </c>
      <c r="X28" s="173" t="b">
        <v>0</v>
      </c>
      <c r="Y28" s="173" t="b">
        <v>0</v>
      </c>
      <c r="Z28" s="173" t="b">
        <v>0</v>
      </c>
      <c r="AA28" s="174" t="b">
        <v>0</v>
      </c>
      <c r="AB28" s="174" t="b">
        <v>0</v>
      </c>
      <c r="AC28" s="175" t="b">
        <v>0</v>
      </c>
      <c r="AD28" s="173" t="b">
        <v>0</v>
      </c>
      <c r="AE28" s="176" t="s">
        <v>1070</v>
      </c>
      <c r="AF28" s="171" t="s">
        <v>1070</v>
      </c>
      <c r="AG28" s="177">
        <f>IFERROR(__xludf.DUMMYFUNCTION("IF(
  ISNUMBER(AG27),
  MIN(MAX(
    AG27
    + MAX(
      ROUNDDOWN(($D28 - MAX(IFERROR(FILTER($D$24:$D27, AG$24:AG27 &lt;&gt; AF$6, AG$23:AG26 = AF$6), 0))) * (60 * 60 * 24) / AF$9) - ROUNDDOWN(($D27 - MAX(IFERROR(FILTER($D$23:$D26, AG$23:AG26 &lt;&gt; AF$6, AG$22:"&amp;"AG25 = AF$6), 0))) * (60 * 60 * 24) / 60),
      0
    )
    - COUNTIF(AF28, ""&lt;&gt;-""),
  0), AF$6),
  AF$6 - COUNTIF(AF28, ""&lt;&gt;-"")
)"),1.0)</f>
        <v>1</v>
      </c>
      <c r="AH28" s="173" t="b">
        <v>0</v>
      </c>
      <c r="AI28" s="173" t="b">
        <v>0</v>
      </c>
      <c r="AJ28" s="173" t="b">
        <v>0</v>
      </c>
      <c r="AK28" s="174" t="b">
        <v>0</v>
      </c>
      <c r="AL28" s="175" t="b">
        <v>0</v>
      </c>
      <c r="AM28" s="173" t="b">
        <v>0</v>
      </c>
      <c r="AN28" s="171" t="s">
        <v>1070</v>
      </c>
      <c r="AO28" s="173" t="b">
        <v>0</v>
      </c>
      <c r="AP28" s="173" t="b">
        <v>0</v>
      </c>
      <c r="AQ28" s="173" t="b">
        <v>0</v>
      </c>
      <c r="AR28" s="174" t="b">
        <v>0</v>
      </c>
      <c r="AS28" s="178" t="b">
        <v>0</v>
      </c>
      <c r="AT28" s="179" t="b">
        <v>0</v>
      </c>
      <c r="AU28" s="180" t="b">
        <v>0</v>
      </c>
      <c r="AV28" s="180" t="b">
        <v>0</v>
      </c>
      <c r="AW28" s="180" t="b">
        <v>0</v>
      </c>
      <c r="AX28" s="180" t="b">
        <v>0</v>
      </c>
      <c r="AY28" s="181" t="s">
        <v>1070</v>
      </c>
      <c r="AZ28" s="181" t="s">
        <v>1070</v>
      </c>
      <c r="BA28" s="184">
        <f>IFERROR(__xludf.DUMMYFUNCTION("IF(
  ISNUMBER(BA27),
  MIN(MAX(
    BA27
    + MAX(
      ROUNDDOWN((D28 - MAX(IFERROR(FILTER(D$24:D27, BA$24:BA27 &lt;&gt; AZ$6, BA$23:BA26 = AZ$6), 0))) * (60 * 60 * 24) / AZ$9) - ROUNDDOWN((D27 - MAX(IFERROR(FILTER(D$23:D26, BA$23:BA26 &lt;&gt; AZ$6, BA$22:BA25 ="&amp;" AZ$6), 0))) * (60 * 60 * 24) / AZ$9),
      0
    )
    - COUNTIF(AZ28, ""&lt;&gt;-""),
  0), AZ$6),
  AZ$6 - COUNTIF(AZ28, ""&lt;&gt;-"")
)"),2.0)</f>
        <v>2</v>
      </c>
      <c r="BB28" s="181" t="s">
        <v>1070</v>
      </c>
      <c r="BC28" s="183">
        <f>IFERROR(__xludf.DUMMYFUNCTION("IF(
  ISNUMBER(BC27),
  MIN(MAX(
    BC27
    + MAX(
      ROUNDDOWN(($D28 - MAX(IFERROR(FILTER($D$24:$D27, BC$24:BC27 &lt;&gt; BB$6, BC$23:BC26 = BB$6), 0))) * (60 * 60 * 24) / BB$9) - ROUNDDOWN(($D27 - MAX(IFERROR(FILTER($D$23:$D26, BC$23:BC26 &lt;&gt; BB$6, BC$22:"&amp;"BC25 = BB$6), 0))) * (60 * 60 * 24) / 60),
      0
    )
    - COUNTIF(BB28, ""&lt;&gt;-""),
  0), BB$6),
  BB$6 - COUNTIF(BB28, ""&lt;&gt;-"")
)"),2.0)</f>
        <v>2</v>
      </c>
      <c r="BD28" s="181" t="s">
        <v>1070</v>
      </c>
      <c r="BE28" s="178" t="b">
        <v>0</v>
      </c>
      <c r="BF28" s="180" t="b">
        <v>0</v>
      </c>
      <c r="BG28" s="180" t="b">
        <v>0</v>
      </c>
      <c r="BH28" s="180" t="b">
        <v>0</v>
      </c>
      <c r="BI28" s="180" t="b">
        <v>0</v>
      </c>
      <c r="BJ28" s="180" t="b">
        <v>0</v>
      </c>
      <c r="BK28" s="180" t="b">
        <v>0</v>
      </c>
      <c r="BL28" s="180" t="b">
        <v>0</v>
      </c>
      <c r="BM28" s="180" t="b">
        <v>0</v>
      </c>
      <c r="BN28" s="180" t="b">
        <v>0</v>
      </c>
      <c r="BO28" s="181" t="s">
        <v>1070</v>
      </c>
      <c r="BP28" s="181" t="s">
        <v>1070</v>
      </c>
      <c r="BQ28" s="181" t="s">
        <v>1070</v>
      </c>
      <c r="BR28" s="181" t="s">
        <v>1070</v>
      </c>
      <c r="BS28" s="181" t="s">
        <v>1070</v>
      </c>
      <c r="BT28" s="184">
        <f>IFERROR(__xludf.DUMMYFUNCTION("IF(
  ISNUMBER(BT27),
  MIN(MAX(
    BT27
    + MAX(
      ROUNDDOWN((D28 - MAX(IFERROR(FILTER(D$24:D27, BT$24:BT27 &lt;&gt; BS$6, BT$23:BT26 = BS$6), 0))) * (60 * 60 * 24) / BS$9) - ROUNDDOWN((D27 - MAX(IFERROR(FILTER(D$23:D26, BT$23:BT26 &lt;&gt; BS$6, BT$22:BT25 ="&amp;" BS$6), 0))) * (60 * 60 * 24) / BS$9),
      0
    )
    - COUNTIF(BS28, ""&lt;&gt;-""),
  0), BS$6),
  BS$6 - COUNTIF(BS28, ""&lt;&gt;-"")
)"),3.0)</f>
        <v>3</v>
      </c>
      <c r="BU28" s="181" t="s">
        <v>1070</v>
      </c>
      <c r="BV28" s="181" t="s">
        <v>1070</v>
      </c>
      <c r="BW28" s="184">
        <f>IFERROR(__xludf.DUMMYFUNCTION("IF(
  ISNUMBER(BW27),
  MIN(MAX(
    BW27
    + MAX(
      ROUNDDOWN((D28 - MAX(IFERROR(FILTER(D$24:D27, BW$24:BW27 &lt;&gt; BV$6, BW$23:BW26 = BV$6), 0))) * (60 * 60 * 24) / BV$9) - ROUNDDOWN((D27 - MAX(IFERROR(FILTER(D$23:D26, BW$23:BW26 &lt;&gt; BV$6, BW$22:BW25 ="&amp;" BV$6), 0))) * (60 * 60 * 24) / BV$9),
      0
    )
    - COUNTIF(BV28, ""&lt;&gt;-""),
  0), BV$6),
  BV$6 - COUNTIF(BV28, ""&lt;&gt;-"")
)"),2.0)</f>
        <v>2</v>
      </c>
      <c r="BX28" s="185" t="s">
        <v>1070</v>
      </c>
      <c r="BY28" s="178" t="b">
        <v>0</v>
      </c>
      <c r="BZ28" s="180" t="b">
        <v>0</v>
      </c>
      <c r="CA28" s="180" t="b">
        <v>0</v>
      </c>
      <c r="CB28" s="180" t="b">
        <v>0</v>
      </c>
      <c r="CC28" s="180" t="b">
        <v>0</v>
      </c>
      <c r="CD28" s="180" t="b">
        <v>0</v>
      </c>
      <c r="CE28" s="180" t="b">
        <v>0</v>
      </c>
      <c r="CF28" s="180" t="b">
        <v>0</v>
      </c>
      <c r="CG28" s="180" t="b">
        <v>0</v>
      </c>
      <c r="CH28" s="180" t="b">
        <v>0</v>
      </c>
      <c r="CI28" s="180" t="b">
        <v>0</v>
      </c>
      <c r="CJ28" s="180" t="b">
        <v>0</v>
      </c>
      <c r="CK28" s="180" t="b">
        <v>0</v>
      </c>
      <c r="CL28" s="180" t="b">
        <v>0</v>
      </c>
      <c r="CM28" s="181" t="s">
        <v>1070</v>
      </c>
      <c r="CN28" s="181" t="s">
        <v>1070</v>
      </c>
      <c r="CO28" s="181" t="s">
        <v>1070</v>
      </c>
      <c r="CP28" s="181" t="s">
        <v>1070</v>
      </c>
      <c r="CQ28" s="185" t="s">
        <v>1070</v>
      </c>
      <c r="CR28" s="180" t="b">
        <v>0</v>
      </c>
      <c r="CS28" s="186" t="str">
        <f t="shared" si="14"/>
        <v>◇◇◇</v>
      </c>
      <c r="CT28" s="178" t="b">
        <v>0</v>
      </c>
      <c r="CU28" s="180" t="b">
        <v>0</v>
      </c>
      <c r="CV28" s="180" t="b">
        <v>0</v>
      </c>
      <c r="CW28" s="180" t="b">
        <v>0</v>
      </c>
      <c r="CX28" s="180" t="b">
        <v>0</v>
      </c>
      <c r="CY28" s="180" t="b">
        <v>0</v>
      </c>
      <c r="CZ28" s="180" t="b">
        <v>0</v>
      </c>
      <c r="DA28" s="180" t="b">
        <v>0</v>
      </c>
      <c r="DB28" s="180" t="b">
        <v>0</v>
      </c>
      <c r="DC28" s="180" t="b">
        <v>0</v>
      </c>
      <c r="DD28" s="181" t="s">
        <v>1070</v>
      </c>
      <c r="DE28" s="181" t="s">
        <v>1070</v>
      </c>
      <c r="DF28" s="181" t="s">
        <v>1070</v>
      </c>
      <c r="DG28" s="185" t="s">
        <v>1070</v>
      </c>
      <c r="DH28" s="180" t="b">
        <v>0</v>
      </c>
      <c r="DI28" s="187" t="str">
        <f>IFERROR(__xludf.DUMMYFUNCTION("SWITCH(
  IF(
    ISTEXT(DI27),
    IF (
      FIND(""○"", DI27&amp;""○"") &gt; 3,
      3,
      FIND(""○"", DI27&amp;""○"")
      + MAX(
        ROUNDDOWN(($D28 - MAX(IFERROR(FILTER(D$24:D27, DI$24:DI27 &lt;&gt; ""●●●"", DI$23:DI26 = ""●●●""), 0))) * (60 * 60 * 24) / 20"&amp;") - ROUNDDOWN(($D27 - MAX(IFERROR(FILTER(D$23:D26, DI$23:DI26 &lt;&gt; ""●●●"", DI$22:DI25 = ""●●●""), 0))) * (60 * 60 * 24) / 20),
        0
      ) - 1
    ) - COUNTIFS(CU28, ""=TRUE"", CU27, ""&lt;&gt;TRUE"") - COUNTIF(CZ28, ""=TRUE"") - COUNTIF({DD28,DE28}, ""&lt;&gt;-"&amp;""") + COUNTIF(DH28, ""=TRUE""),
    3
  ),
  0, ""○○○"", 1, ""●○○"", 2, ""●●○"", 3, ""●●●"", 4, ""●●●"", ""○○○""
)"),"●●●")</f>
        <v>●●●</v>
      </c>
      <c r="DJ28" s="188" t="b">
        <v>0</v>
      </c>
      <c r="DK28" s="189" t="b">
        <v>0</v>
      </c>
      <c r="DL28" s="190" t="b">
        <v>0</v>
      </c>
      <c r="DM28" s="190" t="b">
        <v>0</v>
      </c>
      <c r="DN28" s="190" t="b">
        <v>0</v>
      </c>
      <c r="DO28" s="190" t="b">
        <v>0</v>
      </c>
      <c r="DP28" s="190" t="b">
        <v>0</v>
      </c>
      <c r="DQ28" s="191" t="b">
        <v>0</v>
      </c>
      <c r="DR28" s="192" t="b">
        <v>0</v>
      </c>
      <c r="DS28" s="191" t="b">
        <v>0</v>
      </c>
      <c r="DT28" s="192" t="b">
        <v>0</v>
      </c>
      <c r="DU28" s="191" t="b">
        <v>0</v>
      </c>
      <c r="DV28" s="193" t="s">
        <v>1070</v>
      </c>
      <c r="DW28" s="194" t="b">
        <v>0</v>
      </c>
      <c r="DX28" s="194" t="b">
        <v>0</v>
      </c>
      <c r="DY28" s="195" t="b">
        <v>0</v>
      </c>
      <c r="DZ28" s="196" t="b">
        <v>0</v>
      </c>
      <c r="EA28" s="195" t="b">
        <v>0</v>
      </c>
      <c r="EB28" s="197" t="b">
        <v>0</v>
      </c>
      <c r="EC28" s="197" t="b">
        <v>0</v>
      </c>
      <c r="ED28" s="212" t="b">
        <v>0</v>
      </c>
      <c r="EE28" s="199">
        <f>IFERROR(__xludf.DUMMYFUNCTION("IFERROR(
   PRODUCT(
     MAP(
       INDEX(TRANSPOSE(UNIQUE(TRANSPOSE(FILTER({IF($F28=""Physical"", K$10:ED$10, IF($F28=""Magic"", K$11:ED$11, K$12:ED$12));K$4:ED$4;K28:ED28}, K28:ED28=TRUE)))), 1, 0),
       INDEX(TRANSPOSE(UNIQUE(TRANSPOSE(FILTER({IF($"&amp;"F28=""Physical"", K$18:ED$18, IF($F28=""Magic"", K$19:ED$19, K$20:ED$20));K$4:ED$4;K28:ED28}, K28:ED28=TRUE)))), 1, 0),
       INDEX(TRANSPOSE(UNIQUE(TRANSPOSE(FILTER({K$5:ED$5;K$4:ED$4;K28:ED28}, K28:ED28=TRUE)))), 1, 0),
       INDEX(TRANSPOSE(UNIQUE(TR"&amp;"ANSPOSE(FILTER({K$17:ED$17;K$4:ED$4;K28:ED28}, K28:ED28=TRUE)))), 1, 0),
       LAMBDA(
         mitigation,
         enhance,
         assign,
         precondition,
         IF(
           REGEXMATCH(assign, ""RANGE_PARTY|SINGLE_ENEMY|RANGE_ENEMY""),
  "&amp;"         IF(
             OR(ARRAYFORMULA((IF(precondition="""", FALSE, REGEXMATCH(K$4:ED$4, precondition))) * (K28:ED28=TRUE))),
             IF(ISNUMBER(enhance), enhance, 1),
             IF(ISNUMBER(mitigation), mitigation, 1)
           ),
          "&amp;" 1
         )
       )
     )
   ),
   1
 )"),0.765)</f>
        <v>0.765</v>
      </c>
      <c r="EF28" s="200">
        <f>IFERROR(__xludf.DUMMYFUNCTION("PRODUCT(
   MAP(
     K$14:ED$14,
     K$13:ED$13,
     K28:ED28,
     LAMBDA(
       buff,
       target,
       check,
       IF(
         AND(check=TRUE, REGEXMATCH(target, ""RANGE_AFFECTED_ALL|RANGE_EFFECTED_ALL""), ISNUMBER(buff)),
         buff,
   "&amp;"      1
       )
     )
   )
 )"),1.0)</f>
        <v>1</v>
      </c>
      <c r="EG28" s="200">
        <f>IFERROR(__xludf.DUMMYFUNCTION("PRODUCT(
   MAP(
     K$14:ED$14,
     K$13:ED$13,
     K28:ED28,
     LAMBDA(
       buff,
       target,
       check,
       IF(
         AND(check=TRUE, REGEXMATCH(target, ""RANGE_AFFECTED_GCD|RANGE_EFFECTED_GCD""), ISNUMBER(buff)),
         buff,
   "&amp;"      1
       )
     )
   )
 )"),1.0)</f>
        <v>1</v>
      </c>
      <c r="EH28" s="200">
        <f>IFERROR(__xludf.DUMMYFUNCTION("PRODUCT(
   MAP(
     K$3:ED$3,
     K$14:ED$14,
     K$13:ED$13,
     K28:ED28,
     LAMBDA(
       job,
       buff,
       target,
       check,
       IF(
         AND(check=TRUE, REGEXMATCH(target, ""SELF_EFFECTED_ALL""), ISNUMBER(buff), job=""白魔道士"""&amp;"),
         buff,
         1
       )
     )
   )
 )"),1.0)</f>
        <v>1</v>
      </c>
      <c r="EI28" s="200">
        <f>IFERROR(__xludf.DUMMYFUNCTION("PRODUCT(
   MAP(
     K$3:ED$3,
     K$14:ED$14,
     K$13:ED$13,
     K28:ED28,
     LAMBDA(
       job,
       buff,
       target,
       check,
       IF(
         AND(check=TRUE, REGEXMATCH(target, ""SELF_EFFECTED_GCD""), ISNUMBER(buff), job=""白魔道士"""&amp;"),
         buff,
         1
       )
     )
   )
 )"),1.0)</f>
        <v>1</v>
      </c>
      <c r="EJ28" s="200">
        <f>IFERROR(__xludf.DUMMYFUNCTION("PRODUCT(
   MAP(
     K$3:ED$3,
     K$14:ED$14,
     K$13:ED$13,
     K28:ED28,
     LAMBDA(
       job,
       buff,
       target,
       check,
       IF(
         AND(check=TRUE, REGEXMATCH(target, ""SELF_EFFECTED_ALL""), ISNUMBER(buff), job=""占星術師"""&amp;"),
         buff,
         1
       )
     )
   )
 )"),1.0)</f>
        <v>1</v>
      </c>
      <c r="EK28" s="200">
        <f>IFERROR(__xludf.DUMMYFUNCTION("PRODUCT(
   MAP(
     K$3:ED$3,
     K$14:ED$14,
     K$13:ED$13,
     K28:ED28,
     LAMBDA(
       job,
       buff,
       target,
       check,
       IF(
         AND(check=TRUE, REGEXMATCH(target, ""SELF_EFFECTED_GCD""), ISNUMBER(buff), job=""占星術師"""&amp;"),
         buff,
         1
       )
     )
   )
 )"),1.0)</f>
        <v>1</v>
      </c>
      <c r="EL28" s="200">
        <f>IFERROR(__xludf.DUMMYFUNCTION("PRODUCT(
   MAP(
     K$3:ED$3,
     K$14:ED$14,
     K$13:ED$13,
     K28:ED28,
     LAMBDA(
       job,
       buff,
       target,
       check,
       IF(
         AND(check=TRUE, REGEXMATCH(target, ""SELF_EFFECTED_ALL""), ISNUMBER(buff), job=""学者""),"&amp;"
         buff,
         1
       )
     )
   )
 )"),1.0)</f>
        <v>1</v>
      </c>
      <c r="EM28" s="200">
        <f>IFERROR(__xludf.DUMMYFUNCTION("PRODUCT(
   MAP(
     K$3:ED$3,
     K$14:ED$14,
     K$13:ED$13,
     K28:ED28,
     LAMBDA(
       job,
       buff,
       target,
       check,
       IF(
         AND(check=TRUE, REGEXMATCH(target, ""SELF_EFFECTED_GCD""), ISNUMBER(buff), job=""学者""),"&amp;"
         buff,
         1
       )
     )
   )
 )"),1.0)</f>
        <v>1</v>
      </c>
      <c r="EN28" s="200">
        <f>IFERROR(__xludf.DUMMYFUNCTION("PRODUCT(
   MAP(
     K$3:ED$3,
     K$14:ED$14,
     K$13:ED$13,
     K28:ED28,
     LAMBDA(
       job,
       buff,
       target,
       check,
       IF(
         AND(check=TRUE, REGEXMATCH(target, ""SELF_EFFECTED_ALL""), ISNUMBER(buff), job=""賢者""),"&amp;"
         buff,
         1
       )
     )
   )
 )"),1.0)</f>
        <v>1</v>
      </c>
      <c r="EO28" s="200">
        <f>IFERROR(__xludf.DUMMYFUNCTION("PRODUCT(
   MAP(
     K$3:ED$3,
     K$14:ED$14,
     K$13:ED$13,
     K28:ED28,
     LAMBDA(
       job,
       buff,
       target,
       check,
       IF(
         AND(check=TRUE, REGEXMATCH(target, ""SELF_EFFECTED_GCD""), ISNUMBER(buff), job=""賢者""),"&amp;"
         buff,
         1
       )
     )
   )
 )"),1.0)</f>
        <v>1</v>
      </c>
      <c r="EP28" s="201">
        <f t="shared" si="3"/>
        <v>9562.5</v>
      </c>
      <c r="EQ28" s="201">
        <f>IFERROR(__xludf.DUMMYFUNCTION("SUM(
   MAP(
     K$4:ED$4,
     K$3:ED$3,
     K$7:ED$7,
     K$15:ED$15,
     K$16:ED$16,
     K$21:ED$21,
     K$5:ED$5,
     K$17:ED$17,
     K28:ED28,
     LAMBDA(
       name,
       job,
       abillity,
       buff,
       barrier,
       enhance,"&amp;"
       assign,
       precondition,
       check,
       SWITCH(
         name,
         ""シェイクオフ"", IF(check=TRUE, buff + (0.02 * COUNTIF(ARRAYFORMULA((REGEXMATCH($K$4:$ED$4, ""スリル・オブ・バトル|ヴェンジェンス|原初の血気|ダムネーション"")) * (K28:ED28=TRUE)), 1)), 0),
         "&amp;"""インプロビゼーションフィニッシュ(踊りの激情0)"", IF(ISNUMBER(check), INDEX(Skill!$AJ:$AJ, MATCH(SUBSTITUTE(DV$4, 0, check), Skill!$C:$C, 0)), 0),
         IF(
           AND(check=TRUE, REGEXMATCH(assign, ""RANGE_PARTY"")),
           IF(
             OR(ARRAYFORMULA((IF(pr"&amp;"econdition="""", FALSE, REGEXMATCH($K$4:$ED$4, precondition))) * (K28:ED28=TRUE))),
             enhance,
             IF(barrier="""", buff, barrier)
           ),
           0
         )
       ) *
       SWITCH(
         job,
         ""ナイト"", EY$24,
 "&amp;"        ""戦士"", FD$24,
         ""踊り子"", ET$24,
         ""ピクトマンサー"", ET$24,
         ""白魔道士"", EF28 * EH28 * IF(abillity, 1, EG28 * EI28) * (Option!$D$22 * 0.81 / 100),
         ""占星術師"", EF28 * EJ28 * IF(abillity, 1, EG28 * EK28) * (Option!$D$23 * 0.81 "&amp;"/ 100),
         ""学者"", EF28 * EL28 * IF(abillity, 1, EG28 * EM28) * (Option!$D$24 * 0.81 / 100),
         ""賢者"", EF28 * EN28 * IF(abillity, 1, EG28 * EO28) * (Option!$D$25 * 0.81 / 100),
         1
       )
     )
   )
 )"),0.0)</f>
        <v>0</v>
      </c>
      <c r="ER28" s="202">
        <f t="shared" si="4"/>
        <v>9562.5</v>
      </c>
      <c r="ES28" s="203">
        <f t="shared" si="5"/>
        <v>0</v>
      </c>
      <c r="ET28" s="231" t="str">
        <f>IFERROR(__xludf.DUMMYFUNCTION("IFS(
  EP28 &gt; $ET$24 + EQ28,
  SPARKLINE({ 1, 0 }, {""charttype"",""bar"";""max"", 1;""color1"",Option!$D$30;""color2"",Option!$D$30}),
  EP28 &lt; EQ28,
  SPARKLINE({EQ28 - EP28, $ET$24 - (EQ28 - EP28)}, {""charttype"",""bar"";""max"",$ET$24;""color1"",Opti"&amp;"on!$D$28;""color2"",Option!$D$29}),
  EP28 &gt;= EQ28,
  SPARKLINE({$ET$24 + EQ28 - EP28,EP28 - EQ28}, {""charttype"",""bar"";""max"",$ET$24;""color1"",Option!$D$29;""color2"",Option!$D$30})
)"),"")</f>
        <v/>
      </c>
      <c r="EU28" s="205">
        <f>IFERROR(__xludf.DUMMYFUNCTION("PRODUCT(
   MAP(
     IF($F28=""Physical"", K$10:ED$10, IF($F28=""Magic"", K$11:ED$11, K$12:ED$12)),
     IF($F28=""Physical"", K$18:ED$18, IF($F28=""Magic"", K$19:ED$19, K$20:ED$20)),
     K$3:ED$3,
     K$5:ED$5,
     K$17:ED$17,
     K28:ED28,
     LAM"&amp;"BDA(
       mitigation,
       enhance,
       job,
       assign,
       precondition,
       check,
       IF(
         OR(AND(check=TRUE, REGEXMATCH(assign, ""SELF""), job=""ナイト""), AND(check=Option!$E$13, REGEXMATCH(assign, ""SINGLE_PARTY""))),
      "&amp;"   IF(
           OR(ARRAYFORMULA((IF(precondition="""", FALSE, REGEXMATCH($K$4:$ED$4, precondition))) * (K28:ED28=TRUE))),
           enhance,
           mitigation
         ),
         1
       )
     )
   )
 ) * EE28"),0.765)</f>
        <v>0.765</v>
      </c>
      <c r="EV28" s="206">
        <f t="shared" si="6"/>
        <v>7650</v>
      </c>
      <c r="EW28" s="205">
        <f>IFERROR(__xludf.DUMMYFUNCTION("PRODUCT(
   MAP(
     K$3:ED$3,
     K$14:ED$14,
     K$13:ED$13,
     K28:ED28,
     LAMBDA(
       job,
       buff,
       target,
       check,
       IF(
         OR(AND(check=TRUE, REGEXMATCH(target, ""SELF_AFFECTED_ALL""), job=""ナイト""), AND(check=O"&amp;"ption!$E$13, REGEXMATCH(target, ""SINGLE_AFFECTED_ALL""))),
         buff,
         1
       )
     )
   )
 )"),1.0)</f>
        <v>1</v>
      </c>
      <c r="EX28" s="206">
        <f>IFERROR(__xludf.DUMMYFUNCTION("SUM(
   MAP(
     K$3:ED$3,
     K$7:ED$7,
     K$15:ED$15,
     K$16:ED$16,
     K$21:ED$21,
     K$5:ED$5,
     K$17:ED$17,
     K28:ED28,
     LAMBDA(
       job,
       abillity,
       buff,
       barrier,
       enhance,
       assign,
       preco"&amp;"ndition,
       check,
       IF(
         OR(AND(check=TRUE, REGEXMATCH(assign, ""SELF""), job=""ナイト""), AND(check=Option!$E$13, REGEXMATCH(assign, ""SINGLE_PARTY""))),
         IF(
           OR(ARRAYFORMULA((IF(precondition="""", FALSE, REGEXMATCH($K$4"&amp;":$ED$4, precondition))) * (K28:ED28=TRUE))),
           enhance,
           IF(barrier="""", buff, barrier)
         ),
         0
       ) *
       SWITCH(
         job,
         ""暗黒騎士"", EY$24,
         ""白魔道士"", EF28 * EH28 * EW28 * IF(abillity, 1, EG"&amp;"28 * EI28) * (Option!$D$22 * 0.81 / 100),
         ""占星術師"", EF28 * EJ28 * EW28 * IF(abillity, 1, EG28 * EK28) * (Option!$D$23 * 0.81 / 100),
         ""学者"", EF28 * EL28 * EW28 * IF(abillity, 1, EG28 * EM28) * (Option!$D$24 * 0.81 / 100),
         ""賢者"""&amp;", EF28 * EN28 * EW28 * IF(abillity, 1, EG28 * EO28) * (Option!$D$25 * 0.81 / 100),
         1
       )
     )
   )
 ) + EQ28"),0.0)</f>
        <v>0</v>
      </c>
      <c r="EY28" s="232">
        <f t="shared" si="7"/>
        <v>7650</v>
      </c>
      <c r="EZ28" s="205">
        <f>IFERROR(__xludf.DUMMYFUNCTION("PRODUCT(
   MAP(
     IF($F28=""Physical"", K$10:ED$10, IF($F28=""Magic"", K$11:ED$11, K$12:ED$12)),
     IF($F28=""Physical"", K$18:ED$18, IF($F28=""Magic"", K$19:ED$19, K$20:ED$20)),
     K$3:ED$3,
     K$5:ED$5,
     K$17:ED$17,
     K28:ED28,
     LAM"&amp;"BDA(
       mitigation,
       enhance,
       job,
       assign,
       precondition,
       check,
       IF(
         OR(AND(check=TRUE, REGEXMATCH(assign, ""SELF""), job=""戦士""), AND(check=Option!$F$13, REGEXMATCH(assign, ""SINGLE_PARTY""))),
       "&amp;"  IF(
           OR(ARRAYFORMULA((IF(precondition="""", FALSE, REGEXMATCH($K$4:$ED$4, precondition))) * (K28:ED28=TRUE))),
           enhance,
           mitigation
         ),
         1
       )
     )
   )
 ) * EE28"),0.765)</f>
        <v>0.765</v>
      </c>
      <c r="FA28" s="206">
        <f t="shared" si="8"/>
        <v>7650</v>
      </c>
      <c r="FB28" s="205">
        <f>IFERROR(__xludf.DUMMYFUNCTION("PRODUCT(
   MAP(
     K$3:ED$3,
     K$14:ED$14,
     K$13:ED$13,
     K28:ED28,
     LAMBDA(
       job,
       buff,
       target,
       check,
       IF(
         OR(AND(check=TRUE, REGEXMATCH(target, ""SELF_AFFECTED_ALL""), job=""戦士""), AND(check=Op"&amp;"tion!$F$13, REGEXMATCH(target, ""SINGLE_AFFECTED_ALL""))),
         buff,
         1
       )
     )
   )
 )"),1.0)</f>
        <v>1</v>
      </c>
      <c r="FC28" s="206">
        <f>IFERROR(__xludf.DUMMYFUNCTION("SUM(
   MAP(
     K$3:ED$3,
     K$7:ED$7,
     K$15:ED$15,
     K$16:ED$16,
     K$21:ED$21,
     K$5:ED$5,
     K$17:ED$17,
     K28:ED28,
     LAMBDA(
       job,
       abillity,
       buff,
       barrier,
       enhance,
       assign,
       preco"&amp;"ndition,
       check,
       IF(
         OR(AND(check=TRUE, REGEXMATCH(assign, ""SELF""), job=""戦士""), AND(check=Option!$F$13, REGEXMATCH(assign, ""SINGLE_PARTY""))),
         IF(
           OR(ARRAYFORMULA((IF(precondition="""", FALSE, REGEXMATCH($K$4:"&amp;"$ED$4, precondition))) * (K28:ED28=TRUE))),
           enhance,
           IF(barrier="""", buff, barrier)
         ),
         0
       ) *
       SWITCH(
         job,
         ""暗黒騎士"", FD$24,
         ""白魔道士"", EF28 * EH28 * FB28 * IF(abillity, 1, EG2"&amp;"8 * EI28) * (Option!$D$22 * 0.81 / 100),
         ""占星術師"", EF28 * EJ28 * FFB28 * IF(abillity, 1, EG28 * EK28) * (Option!$D$23 * 0.81 / 100),
         ""学者"", EF28 * EL28 * FB28 * IF(abillity, 1, EG28 * EM28) * (Option!$D$24 * 0.81 / 100),
         ""賢者"""&amp;", EF28 * EN28 * FB28 * IF(abillity, 1, EG28 * EO28) * (Option!$D$25 * 0.81 / 100),
         1
       )
     )
   )
 ) + EQ28"),0.0)</f>
        <v>0</v>
      </c>
      <c r="FD28" s="206">
        <f t="shared" si="9"/>
        <v>7650</v>
      </c>
      <c r="FE28" s="205">
        <f>IFERROR(__xludf.DUMMYFUNCTION("PRODUCT(
   MAP(
     IF($F28=""Physical"", K$10:ED$10, IF($F28=""Magic"", K$11:ED$11, K$12:ED$12)),
     IF($F28=""Physical"", K$18:ED$18, IF($F28=""Magic"", K$19:ED$19, K$20:ED$20)),
     K$3:ED$3,
     K$5:ED$5,
     K$17:ED$17,
     K28:ED28,
     LAM"&amp;"BDA(
       mitigation,
       enhance,
       job,
       assign,
       precondition,
       check,
       IF(
         OR(AND(check=TRUE, REGEXMATCH(assign, ""SELF""), job=""暗黒騎士""), AND(check=Option!$G$13, REGEXMATCH(assign, ""SINGLE_PARTY""))),
     "&amp;"    IF(
           OR(ARRAYFORMULA((IF(precondition="""", FALSE, REGEXMATCH($K$4:$ED$4, precondition))) * (K28:ED28=TRUE))),
           enhance,
           mitigation
         ),
         1
       )
     )
   )
 ) * EE28"),0.765)</f>
        <v>0.765</v>
      </c>
      <c r="FF28" s="206">
        <f t="shared" si="10"/>
        <v>7650</v>
      </c>
      <c r="FG28" s="205">
        <f>IFERROR(__xludf.DUMMYFUNCTION("PRODUCT(
   MAP(
     K$3:ED$3,
     K$14:ED$14,
     K$13:ED$13,
     K28:ED28,
     LAMBDA(
       job,
       buff,
       target,
       check,
       IF(
         OR(AND(check=TRUE, REGEXMATCH(target, ""SELF_AFFECTED_ALL""), job=""暗黒騎士""), AND(check="&amp;"Option!$G$13, REGEXMATCH(target, ""SINGLE_AFFECTED_ALL""))),
         buff,
         1
       )
     )
   )
 )"),1.0)</f>
        <v>1</v>
      </c>
      <c r="FH28" s="206">
        <f>IFERROR(__xludf.DUMMYFUNCTION("SUM(
   MAP(
     K$3:ED$3,
     K$7:ED$7,
     K$15:ED$15,
     K$16:ED$16,
     K$21:ED$21,
     K$5:ED$5,
     K$17:ED$17,
     K28:ED28,
     LAMBDA(
       job,
       abillity,
       buff,
       barrier,
       enhance,
       assign,
       preco"&amp;"ndition,
       check,
       IF(
         OR(AND(check=TRUE, REGEXMATCH(assign, ""SELF""), job=""暗黒騎士""), AND(check=Option!$G$13, REGEXMATCH(assign, ""SINGLE_PARTY""))),
         IF(
           OR(ARRAYFORMULA((IF(precondition="""", FALSE, REGEXMATCH($K$"&amp;"4:$ED$4, precondition))) * (K28:ED28=TRUE))),
           enhance,
           IF(barrier="""", buff, barrier)
         ),
         0
       ) *
       SWITCH(
         job,
         ""暗黒騎士"", FI$24,
         ""白魔道士"", EF28 * EH28 * FG28 * IF(abillity, 1, E"&amp;"G28 * EI28) * (Option!$D$22 * 0.81 / 100),
         ""占星術師"", EF28 * EJ28 * FG28 * IF(abillity, 1, EG28 * EK28) * (Option!$D$23 * 0.81 / 100),
         ""学者"", EF28 * EL28 * FG28 * IF(abillity, 1, EG28 * EM28) * (Option!$D$24 * 0.81 / 100),
         ""賢者"&amp;""", EF28 * EN28 * FG28 * IF(abillity, 1, EG28 * EO28) * (Option!$D$25 * 0.81 / 100),
         1
       )
     )
   )
 ) + EQ28"),0.0)</f>
        <v>0</v>
      </c>
      <c r="FI28" s="206">
        <f t="shared" si="11"/>
        <v>7650</v>
      </c>
      <c r="FJ28" s="205">
        <f>IFERROR(__xludf.DUMMYFUNCTION("PRODUCT(
   MAP(
     IF($F28=""Physical"", K$10:ED$10, IF($F28=""Magic"", K$11:ED$11, K$12:ED$12)),
     IF($F28=""Physical"", K$18:ED$18, IF($F28=""Magic"", K$19:ED$19, K$20:ED$20)),
     K$3:ED$3,
     K$5:ED$5,
     K$17:ED$17,
     K28:ED28,
     LAM"&amp;"BDA(
       mitigation,
       enhance,
       job,
       assign,
       precondition,
       check,
       IF(
         OR(AND(check=TRUE, REGEXMATCH(assign, ""SELF""), job=""ガンブレイカー""), AND(check=Option!$H$13, REGEXMATCH(assign, ""SINGLE_PARTY""))),
  "&amp;"       IF(
           OR(ARRAYFORMULA((IF(precondition="""", FALSE, REGEXMATCH($K$4:$ED$4, precondition))) * (K28:ED28=TRUE))),
           enhance,
           mitigation
         ),
         1
       )
     )
   )
 ) * EE28"),0.765)</f>
        <v>0.765</v>
      </c>
      <c r="FK28" s="206">
        <f t="shared" si="12"/>
        <v>7650</v>
      </c>
      <c r="FL28" s="205">
        <f>IFERROR(__xludf.DUMMYFUNCTION("PRODUCT(
   MAP(
     K$3:ED$3,
     K$14:ED$14,
     K$13:ED$13,
     K28:ED28,
     LAMBDA(
       job,
       buff,
       target,
       check,
       IF(
         OR(AND(check=TRUE, REGEXMATCH(target, ""SELF_AFFECTED_ALL""), job=""ガンブレイカー""), AND(che"&amp;"ck=Option!$H$13, REGEXMATCH(target, ""SINGLE_AFFECTED_ALL""))),
         buff,
         1
       )
     )
   )
 )"),1.0)</f>
        <v>1</v>
      </c>
      <c r="FM28" s="206">
        <f>IFERROR(__xludf.DUMMYFUNCTION("SUM(
   MAP(
     K$3:ED$3,
     K$7:ED$7,
     K$15:ED$15,
     K$16:ED$16,
     K$21:ED$21,
     K$5:ED$5,
     K$17:ED$17,
     K28:ED28,
     LAMBDA(
       job,
       abillity,
       buff,
       barrier,
       enhance,
       assign,
       preco"&amp;"ndition,
       check,
       IF(
         OR(AND(check=TRUE, REGEXMATCH(assign, ""SELF""), job=""ガンブレイカー""), AND(check=Option!$H$13, REGEXMATCH(assign, ""SINGLE_PARTY""))),
         IF(
           OR(ARRAYFORMULA((IF(precondition="""", FALSE, REGEXMATCH("&amp;"$K$4:$ED$4, precondition))) * (K28:ED28=TRUE))),
           enhance,
           IF(barrier="""", buff, barrier)
         ),
         0
       ) *
       SWITCH(
         job,
         ""暗黒騎士"", FN$24,
         ""白魔道士"", EF28 * EH28 * FL28 * IF(abillity, 1"&amp;", EG28 * EI28) * (Option!$D$22 * 0.81 / 100),
         ""占星術師"", EF28 * EJ28 * FL28 * IF(abillity, 1, EG28 * EK28) * (Option!$D$23 * 0.81 / 100),
         ""学者"", EF28 * EL28 * FL28 * IF(abillity, 1, EG28 * EM28) * (Option!$D$24 * 0.81 / 100),
         """&amp;"賢者"", EF28 * EN28 * FL28 * IF(abillity, 1, EG28 * EO28) * (Option!$D$25 * 0.81 / 100),
         1
       )
     )
   )
 ) + EQ28"),0.0)</f>
        <v>0</v>
      </c>
      <c r="FN28" s="206">
        <f t="shared" si="13"/>
        <v>7650</v>
      </c>
      <c r="FO28" s="213"/>
    </row>
    <row r="29">
      <c r="B29" s="229"/>
      <c r="C29" s="217">
        <f t="shared" si="1"/>
        <v>0.004097222222</v>
      </c>
      <c r="D29" s="236">
        <v>2.8935185185185184E-4</v>
      </c>
      <c r="E29" s="237" t="s">
        <v>1102</v>
      </c>
      <c r="F29" s="167" t="s">
        <v>11</v>
      </c>
      <c r="G29" s="168" t="str">
        <f t="shared" si="2"/>
        <v/>
      </c>
      <c r="H29" s="169">
        <v>14000.0</v>
      </c>
      <c r="I29" s="169"/>
      <c r="J29" s="169"/>
      <c r="K29" s="170" t="b">
        <v>1</v>
      </c>
      <c r="L29" s="170" t="b">
        <v>0</v>
      </c>
      <c r="M29" s="170" t="b">
        <v>0</v>
      </c>
      <c r="N29" s="171" t="s">
        <v>1070</v>
      </c>
      <c r="O29" s="172" t="b">
        <v>0</v>
      </c>
      <c r="P29" s="173" t="b">
        <v>0</v>
      </c>
      <c r="Q29" s="173" t="b">
        <v>0</v>
      </c>
      <c r="R29" s="173" t="b">
        <v>0</v>
      </c>
      <c r="S29" s="174" t="b">
        <v>0</v>
      </c>
      <c r="T29" s="175" t="b">
        <v>0</v>
      </c>
      <c r="U29" s="173" t="b">
        <v>0</v>
      </c>
      <c r="V29" s="171" t="s">
        <v>1070</v>
      </c>
      <c r="W29" s="172" t="b">
        <v>0</v>
      </c>
      <c r="X29" s="173" t="b">
        <v>0</v>
      </c>
      <c r="Y29" s="173" t="b">
        <v>0</v>
      </c>
      <c r="Z29" s="173" t="b">
        <v>0</v>
      </c>
      <c r="AA29" s="174" t="b">
        <v>0</v>
      </c>
      <c r="AB29" s="174" t="b">
        <v>0</v>
      </c>
      <c r="AC29" s="175" t="b">
        <v>0</v>
      </c>
      <c r="AD29" s="173" t="b">
        <v>0</v>
      </c>
      <c r="AE29" s="176" t="s">
        <v>1070</v>
      </c>
      <c r="AF29" s="171" t="s">
        <v>1070</v>
      </c>
      <c r="AG29" s="177">
        <f>IFERROR(__xludf.DUMMYFUNCTION("IF(
  ISNUMBER(AG28),
  MIN(MAX(
    AG28
    + MAX(
      ROUNDDOWN(($D29 - MAX(IFERROR(FILTER($D$24:$D28, AG$24:AG28 &lt;&gt; AF$6, AG$23:AG27 = AF$6), 0))) * (60 * 60 * 24) / AF$9) - ROUNDDOWN(($D28 - MAX(IFERROR(FILTER($D$23:$D27, AG$23:AG27 &lt;&gt; AF$6, AG$22:"&amp;"AG26 = AF$6), 0))) * (60 * 60 * 24) / 60),
      0
    )
    - COUNTIF(AF29, ""&lt;&gt;-""),
  0), AF$6),
  AF$6 - COUNTIF(AF29, ""&lt;&gt;-"")
)"),1.0)</f>
        <v>1</v>
      </c>
      <c r="AH29" s="173" t="b">
        <v>0</v>
      </c>
      <c r="AI29" s="173" t="b">
        <v>0</v>
      </c>
      <c r="AJ29" s="173" t="b">
        <v>0</v>
      </c>
      <c r="AK29" s="174" t="b">
        <v>0</v>
      </c>
      <c r="AL29" s="175" t="b">
        <v>0</v>
      </c>
      <c r="AM29" s="173" t="b">
        <v>0</v>
      </c>
      <c r="AN29" s="171" t="s">
        <v>1070</v>
      </c>
      <c r="AO29" s="173" t="b">
        <v>0</v>
      </c>
      <c r="AP29" s="173" t="b">
        <v>0</v>
      </c>
      <c r="AQ29" s="173" t="b">
        <v>0</v>
      </c>
      <c r="AR29" s="174" t="b">
        <v>0</v>
      </c>
      <c r="AS29" s="178" t="b">
        <v>0</v>
      </c>
      <c r="AT29" s="179" t="b">
        <v>0</v>
      </c>
      <c r="AU29" s="180" t="b">
        <v>0</v>
      </c>
      <c r="AV29" s="180" t="b">
        <v>0</v>
      </c>
      <c r="AW29" s="180" t="b">
        <v>0</v>
      </c>
      <c r="AX29" s="180" t="b">
        <v>0</v>
      </c>
      <c r="AY29" s="181" t="s">
        <v>1070</v>
      </c>
      <c r="AZ29" s="181" t="s">
        <v>1070</v>
      </c>
      <c r="BA29" s="184">
        <f>IFERROR(__xludf.DUMMYFUNCTION("IF(
  ISNUMBER(BA28),
  MIN(MAX(
    BA28
    + MAX(
      ROUNDDOWN((D29 - MAX(IFERROR(FILTER(D$24:D28, BA$24:BA28 &lt;&gt; AZ$6, BA$23:BA27 = AZ$6), 0))) * (60 * 60 * 24) / AZ$9) - ROUNDDOWN((D28 - MAX(IFERROR(FILTER(D$23:D27, BA$23:BA27 &lt;&gt; AZ$6, BA$22:BA26 ="&amp;" AZ$6), 0))) * (60 * 60 * 24) / AZ$9),
      0
    )
    - COUNTIF(AZ29, ""&lt;&gt;-""),
  0), AZ$6),
  AZ$6 - COUNTIF(AZ29, ""&lt;&gt;-"")
)"),2.0)</f>
        <v>2</v>
      </c>
      <c r="BB29" s="181" t="s">
        <v>1070</v>
      </c>
      <c r="BC29" s="183">
        <f>IFERROR(__xludf.DUMMYFUNCTION("IF(
  ISNUMBER(BC28),
  MIN(MAX(
    BC28
    + MAX(
      ROUNDDOWN(($D29 - MAX(IFERROR(FILTER($D$24:$D28, BC$24:BC28 &lt;&gt; BB$6, BC$23:BC27 = BB$6), 0))) * (60 * 60 * 24) / BB$9) - ROUNDDOWN(($D28 - MAX(IFERROR(FILTER($D$23:$D27, BC$23:BC27 &lt;&gt; BB$6, BC$22:"&amp;"BC26 = BB$6), 0))) * (60 * 60 * 24) / 60),
      0
    )
    - COUNTIF(BB29, ""&lt;&gt;-""),
  0), BB$6),
  BB$6 - COUNTIF(BB29, ""&lt;&gt;-"")
)"),2.0)</f>
        <v>2</v>
      </c>
      <c r="BD29" s="181" t="s">
        <v>1070</v>
      </c>
      <c r="BE29" s="178" t="b">
        <v>0</v>
      </c>
      <c r="BF29" s="180" t="b">
        <v>0</v>
      </c>
      <c r="BG29" s="180" t="b">
        <v>0</v>
      </c>
      <c r="BH29" s="180" t="b">
        <v>0</v>
      </c>
      <c r="BI29" s="180" t="b">
        <v>0</v>
      </c>
      <c r="BJ29" s="180" t="b">
        <v>0</v>
      </c>
      <c r="BK29" s="180" t="b">
        <v>0</v>
      </c>
      <c r="BL29" s="180" t="b">
        <v>0</v>
      </c>
      <c r="BM29" s="180" t="b">
        <v>0</v>
      </c>
      <c r="BN29" s="180" t="b">
        <v>0</v>
      </c>
      <c r="BO29" s="181" t="s">
        <v>1070</v>
      </c>
      <c r="BP29" s="181" t="s">
        <v>1070</v>
      </c>
      <c r="BQ29" s="181" t="s">
        <v>1070</v>
      </c>
      <c r="BR29" s="181" t="s">
        <v>1070</v>
      </c>
      <c r="BS29" s="181" t="s">
        <v>1070</v>
      </c>
      <c r="BT29" s="184">
        <f>IFERROR(__xludf.DUMMYFUNCTION("IF(
  ISNUMBER(BT28),
  MIN(MAX(
    BT28
    + MAX(
      ROUNDDOWN((D29 - MAX(IFERROR(FILTER(D$24:D28, BT$24:BT28 &lt;&gt; BS$6, BT$23:BT27 = BS$6), 0))) * (60 * 60 * 24) / BS$9) - ROUNDDOWN((D28 - MAX(IFERROR(FILTER(D$23:D27, BT$23:BT27 &lt;&gt; BS$6, BT$22:BT26 ="&amp;" BS$6), 0))) * (60 * 60 * 24) / BS$9),
      0
    )
    - COUNTIF(BS29, ""&lt;&gt;-""),
  0), BS$6),
  BS$6 - COUNTIF(BS29, ""&lt;&gt;-"")
)"),3.0)</f>
        <v>3</v>
      </c>
      <c r="BU29" s="181" t="s">
        <v>1070</v>
      </c>
      <c r="BV29" s="181" t="s">
        <v>1070</v>
      </c>
      <c r="BW29" s="184">
        <f>IFERROR(__xludf.DUMMYFUNCTION("IF(
  ISNUMBER(BW28),
  MIN(MAX(
    BW28
    + MAX(
      ROUNDDOWN((D29 - MAX(IFERROR(FILTER(D$24:D28, BW$24:BW28 &lt;&gt; BV$6, BW$23:BW27 = BV$6), 0))) * (60 * 60 * 24) / BV$9) - ROUNDDOWN((D28 - MAX(IFERROR(FILTER(D$23:D27, BW$23:BW27 &lt;&gt; BV$6, BW$22:BW26 ="&amp;" BV$6), 0))) * (60 * 60 * 24) / BV$9),
      0
    )
    - COUNTIF(BV29, ""&lt;&gt;-""),
  0), BV$6),
  BV$6 - COUNTIF(BV29, ""&lt;&gt;-"")
)"),2.0)</f>
        <v>2</v>
      </c>
      <c r="BX29" s="185" t="s">
        <v>1070</v>
      </c>
      <c r="BY29" s="178" t="b">
        <v>0</v>
      </c>
      <c r="BZ29" s="180" t="b">
        <v>0</v>
      </c>
      <c r="CA29" s="180" t="b">
        <v>0</v>
      </c>
      <c r="CB29" s="180" t="b">
        <v>0</v>
      </c>
      <c r="CC29" s="180" t="b">
        <v>0</v>
      </c>
      <c r="CD29" s="180" t="b">
        <v>0</v>
      </c>
      <c r="CE29" s="180" t="b">
        <v>0</v>
      </c>
      <c r="CF29" s="180" t="b">
        <v>0</v>
      </c>
      <c r="CG29" s="180" t="b">
        <v>0</v>
      </c>
      <c r="CH29" s="180" t="b">
        <v>0</v>
      </c>
      <c r="CI29" s="180" t="b">
        <v>0</v>
      </c>
      <c r="CJ29" s="180" t="b">
        <v>0</v>
      </c>
      <c r="CK29" s="180" t="b">
        <v>0</v>
      </c>
      <c r="CL29" s="180" t="b">
        <v>0</v>
      </c>
      <c r="CM29" s="181" t="s">
        <v>1070</v>
      </c>
      <c r="CN29" s="181" t="s">
        <v>1070</v>
      </c>
      <c r="CO29" s="181" t="s">
        <v>1070</v>
      </c>
      <c r="CP29" s="181" t="s">
        <v>1070</v>
      </c>
      <c r="CQ29" s="185" t="s">
        <v>1070</v>
      </c>
      <c r="CR29" s="180" t="b">
        <v>0</v>
      </c>
      <c r="CS29" s="186" t="str">
        <f t="shared" si="14"/>
        <v>◇◇◇</v>
      </c>
      <c r="CT29" s="178" t="b">
        <v>0</v>
      </c>
      <c r="CU29" s="180" t="b">
        <v>0</v>
      </c>
      <c r="CV29" s="180" t="b">
        <v>0</v>
      </c>
      <c r="CW29" s="180" t="b">
        <v>0</v>
      </c>
      <c r="CX29" s="180" t="b">
        <v>0</v>
      </c>
      <c r="CY29" s="180" t="b">
        <v>0</v>
      </c>
      <c r="CZ29" s="180" t="b">
        <v>0</v>
      </c>
      <c r="DA29" s="180" t="b">
        <v>0</v>
      </c>
      <c r="DB29" s="180" t="b">
        <v>0</v>
      </c>
      <c r="DC29" s="180" t="b">
        <v>0</v>
      </c>
      <c r="DD29" s="181" t="s">
        <v>1070</v>
      </c>
      <c r="DE29" s="181" t="s">
        <v>1070</v>
      </c>
      <c r="DF29" s="181" t="s">
        <v>1070</v>
      </c>
      <c r="DG29" s="185" t="s">
        <v>1070</v>
      </c>
      <c r="DH29" s="180" t="b">
        <v>0</v>
      </c>
      <c r="DI29" s="187" t="str">
        <f>IFERROR(__xludf.DUMMYFUNCTION("SWITCH(
  IF(
    ISTEXT(DI28),
    IF (
      FIND(""○"", DI28&amp;""○"") &gt; 3,
      3,
      FIND(""○"", DI28&amp;""○"")
      + MAX(
        ROUNDDOWN(($D29 - MAX(IFERROR(FILTER(D$24:D28, DI$24:DI28 &lt;&gt; ""●●●"", DI$23:DI27 = ""●●●""), 0))) * (60 * 60 * 24) / 20"&amp;") - ROUNDDOWN(($D28 - MAX(IFERROR(FILTER(D$23:D27, DI$23:DI27 &lt;&gt; ""●●●"", DI$22:DI26 = ""●●●""), 0))) * (60 * 60 * 24) / 20),
        0
      ) - 1
    ) - COUNTIFS(CU29, ""=TRUE"", CU28, ""&lt;&gt;TRUE"") - COUNTIF(CZ29, ""=TRUE"") - COUNTIF({DD29,DE29}, ""&lt;&gt;-"&amp;""") + COUNTIF(DH29, ""=TRUE""),
    3
  ),
  0, ""○○○"", 1, ""●○○"", 2, ""●●○"", 3, ""●●●"", 4, ""●●●"", ""○○○""
)"),"●●●")</f>
        <v>●●●</v>
      </c>
      <c r="DJ29" s="188" t="b">
        <v>0</v>
      </c>
      <c r="DK29" s="189" t="b">
        <v>0</v>
      </c>
      <c r="DL29" s="190" t="b">
        <v>0</v>
      </c>
      <c r="DM29" s="190" t="b">
        <v>0</v>
      </c>
      <c r="DN29" s="190" t="b">
        <v>1</v>
      </c>
      <c r="DO29" s="190" t="b">
        <v>0</v>
      </c>
      <c r="DP29" s="190" t="b">
        <v>0</v>
      </c>
      <c r="DQ29" s="191" t="b">
        <v>0</v>
      </c>
      <c r="DR29" s="192" t="b">
        <v>0</v>
      </c>
      <c r="DS29" s="191" t="b">
        <v>0</v>
      </c>
      <c r="DT29" s="192" t="b">
        <v>0</v>
      </c>
      <c r="DU29" s="191" t="b">
        <v>0</v>
      </c>
      <c r="DV29" s="193" t="s">
        <v>1070</v>
      </c>
      <c r="DW29" s="194" t="b">
        <v>0</v>
      </c>
      <c r="DX29" s="194" t="b">
        <v>0</v>
      </c>
      <c r="DY29" s="195" t="b">
        <v>0</v>
      </c>
      <c r="DZ29" s="196" t="b">
        <v>0</v>
      </c>
      <c r="EA29" s="195" t="b">
        <v>0</v>
      </c>
      <c r="EB29" s="197" t="b">
        <v>0</v>
      </c>
      <c r="EC29" s="197" t="b">
        <v>0</v>
      </c>
      <c r="ED29" s="212" t="b">
        <v>0</v>
      </c>
      <c r="EE29" s="199">
        <f>IFERROR(__xludf.DUMMYFUNCTION("IFERROR(
   PRODUCT(
     MAP(
       INDEX(TRANSPOSE(UNIQUE(TRANSPOSE(FILTER({IF($F29=""Physical"", K$10:ED$10, IF($F29=""Magic"", K$11:ED$11, K$12:ED$12));K$4:ED$4;K29:ED29}, K29:ED29=TRUE)))), 1, 0),
       INDEX(TRANSPOSE(UNIQUE(TRANSPOSE(FILTER({IF($"&amp;"F29=""Physical"", K$18:ED$18, IF($F29=""Magic"", K$19:ED$19, K$20:ED$20));K$4:ED$4;K29:ED29}, K29:ED29=TRUE)))), 1, 0),
       INDEX(TRANSPOSE(UNIQUE(TRANSPOSE(FILTER({K$5:ED$5;K$4:ED$4;K29:ED29}, K29:ED29=TRUE)))), 1, 0),
       INDEX(TRANSPOSE(UNIQUE(TR"&amp;"ANSPOSE(FILTER({K$17:ED$17;K$4:ED$4;K29:ED29}, K29:ED29=TRUE)))), 1, 0),
       LAMBDA(
         mitigation,
         enhance,
         assign,
         precondition,
         IF(
           REGEXMATCH(assign, ""RANGE_PARTY|SINGLE_ENEMY|RANGE_ENEMY""),
  "&amp;"         IF(
             OR(ARRAYFORMULA((IF(precondition="""", FALSE, REGEXMATCH(K$4:ED$4, precondition))) * (K29:ED29=TRUE))),
             IF(ISNUMBER(enhance), enhance, 1),
             IF(ISNUMBER(mitigation), mitigation, 1)
           ),
          "&amp;" 1
         )
       )
     )
   ),
   1
 )"),0.81)</f>
        <v>0.81</v>
      </c>
      <c r="EF29" s="200">
        <f>IFERROR(__xludf.DUMMYFUNCTION("PRODUCT(
   MAP(
     K$14:ED$14,
     K$13:ED$13,
     K29:ED29,
     LAMBDA(
       buff,
       target,
       check,
       IF(
         AND(check=TRUE, REGEXMATCH(target, ""RANGE_AFFECTED_ALL|RANGE_EFFECTED_ALL""), ISNUMBER(buff)),
         buff,
   "&amp;"      1
       )
     )
   )
 )"),1.0)</f>
        <v>1</v>
      </c>
      <c r="EG29" s="200">
        <f>IFERROR(__xludf.DUMMYFUNCTION("PRODUCT(
   MAP(
     K$14:ED$14,
     K$13:ED$13,
     K29:ED29,
     LAMBDA(
       buff,
       target,
       check,
       IF(
         AND(check=TRUE, REGEXMATCH(target, ""RANGE_AFFECTED_GCD|RANGE_EFFECTED_GCD""), ISNUMBER(buff)),
         buff,
   "&amp;"      1
       )
     )
   )
 )"),1.0)</f>
        <v>1</v>
      </c>
      <c r="EH29" s="200">
        <f>IFERROR(__xludf.DUMMYFUNCTION("PRODUCT(
   MAP(
     K$3:ED$3,
     K$14:ED$14,
     K$13:ED$13,
     K29:ED29,
     LAMBDA(
       job,
       buff,
       target,
       check,
       IF(
         AND(check=TRUE, REGEXMATCH(target, ""SELF_EFFECTED_ALL""), ISNUMBER(buff), job=""白魔道士"""&amp;"),
         buff,
         1
       )
     )
   )
 )"),1.0)</f>
        <v>1</v>
      </c>
      <c r="EI29" s="200">
        <f>IFERROR(__xludf.DUMMYFUNCTION("PRODUCT(
   MAP(
     K$3:ED$3,
     K$14:ED$14,
     K$13:ED$13,
     K29:ED29,
     LAMBDA(
       job,
       buff,
       target,
       check,
       IF(
         AND(check=TRUE, REGEXMATCH(target, ""SELF_EFFECTED_GCD""), ISNUMBER(buff), job=""白魔道士"""&amp;"),
         buff,
         1
       )
     )
   )
 )"),1.0)</f>
        <v>1</v>
      </c>
      <c r="EJ29" s="200">
        <f>IFERROR(__xludf.DUMMYFUNCTION("PRODUCT(
   MAP(
     K$3:ED$3,
     K$14:ED$14,
     K$13:ED$13,
     K29:ED29,
     LAMBDA(
       job,
       buff,
       target,
       check,
       IF(
         AND(check=TRUE, REGEXMATCH(target, ""SELF_EFFECTED_ALL""), ISNUMBER(buff), job=""占星術師"""&amp;"),
         buff,
         1
       )
     )
   )
 )"),1.0)</f>
        <v>1</v>
      </c>
      <c r="EK29" s="200">
        <f>IFERROR(__xludf.DUMMYFUNCTION("PRODUCT(
   MAP(
     K$3:ED$3,
     K$14:ED$14,
     K$13:ED$13,
     K29:ED29,
     LAMBDA(
       job,
       buff,
       target,
       check,
       IF(
         AND(check=TRUE, REGEXMATCH(target, ""SELF_EFFECTED_GCD""), ISNUMBER(buff), job=""占星術師"""&amp;"),
         buff,
         1
       )
     )
   )
 )"),1.0)</f>
        <v>1</v>
      </c>
      <c r="EL29" s="200">
        <f>IFERROR(__xludf.DUMMYFUNCTION("PRODUCT(
   MAP(
     K$3:ED$3,
     K$14:ED$14,
     K$13:ED$13,
     K29:ED29,
     LAMBDA(
       job,
       buff,
       target,
       check,
       IF(
         AND(check=TRUE, REGEXMATCH(target, ""SELF_EFFECTED_ALL""), ISNUMBER(buff), job=""学者""),"&amp;"
         buff,
         1
       )
     )
   )
 )"),1.0)</f>
        <v>1</v>
      </c>
      <c r="EM29" s="200">
        <f>IFERROR(__xludf.DUMMYFUNCTION("PRODUCT(
   MAP(
     K$3:ED$3,
     K$14:ED$14,
     K$13:ED$13,
     K29:ED29,
     LAMBDA(
       job,
       buff,
       target,
       check,
       IF(
         AND(check=TRUE, REGEXMATCH(target, ""SELF_EFFECTED_GCD""), ISNUMBER(buff), job=""学者""),"&amp;"
         buff,
         1
       )
     )
   )
 )"),1.0)</f>
        <v>1</v>
      </c>
      <c r="EN29" s="200">
        <f>IFERROR(__xludf.DUMMYFUNCTION("PRODUCT(
   MAP(
     K$3:ED$3,
     K$14:ED$14,
     K$13:ED$13,
     K29:ED29,
     LAMBDA(
       job,
       buff,
       target,
       check,
       IF(
         AND(check=TRUE, REGEXMATCH(target, ""SELF_EFFECTED_ALL""), ISNUMBER(buff), job=""賢者""),"&amp;"
         buff,
         1
       )
     )
   )
 )"),1.0)</f>
        <v>1</v>
      </c>
      <c r="EO29" s="200">
        <f>IFERROR(__xludf.DUMMYFUNCTION("PRODUCT(
   MAP(
     K$3:ED$3,
     K$14:ED$14,
     K$13:ED$13,
     K29:ED29,
     LAMBDA(
       job,
       buff,
       target,
       check,
       IF(
         AND(check=TRUE, REGEXMATCH(target, ""SELF_EFFECTED_GCD""), ISNUMBER(buff), job=""賢者""),"&amp;"
         buff,
         1
       )
     )
   )
 )"),1.0)</f>
        <v>1</v>
      </c>
      <c r="EP29" s="201">
        <f t="shared" si="3"/>
        <v>11340</v>
      </c>
      <c r="EQ29" s="201">
        <f>IFERROR(__xludf.DUMMYFUNCTION("SUM(
   MAP(
     K$4:ED$4,
     K$3:ED$3,
     K$7:ED$7,
     K$15:ED$15,
     K$16:ED$16,
     K$21:ED$21,
     K$5:ED$5,
     K$17:ED$17,
     K29:ED29,
     LAMBDA(
       name,
       job,
       abillity,
       buff,
       barrier,
       enhance,"&amp;"
       assign,
       precondition,
       check,
       SWITCH(
         name,
         ""シェイクオフ"", IF(check=TRUE, buff + (0.02 * COUNTIF(ARRAYFORMULA((REGEXMATCH($K$4:$ED$4, ""スリル・オブ・バトル|ヴェンジェンス|原初の血気|ダムネーション"")) * (K29:ED29=TRUE)), 1)), 0),
         "&amp;"""インプロビゼーションフィニッシュ(踊りの激情0)"", IF(ISNUMBER(check), INDEX(Skill!$AJ:$AJ, MATCH(SUBSTITUTE(DV$4, 0, check), Skill!$C:$C, 0)), 0),
         IF(
           AND(check=TRUE, REGEXMATCH(assign, ""RANGE_PARTY"")),
           IF(
             OR(ARRAYFORMULA((IF(pr"&amp;"econdition="""", FALSE, REGEXMATCH($K$4:$ED$4, precondition))) * (K29:ED29=TRUE))),
             enhance,
             IF(barrier="""", buff, barrier)
           ),
           0
         )
       ) *
       SWITCH(
         job,
         ""ナイト"", EY$24,
 "&amp;"        ""戦士"", FD$24,
         ""踊り子"", ET$24,
         ""ピクトマンサー"", ET$24,
         ""白魔道士"", EF29 * EH29 * IF(abillity, 1, EG29 * EI29) * (Option!$D$22 * 0.81 / 100),
         ""占星術師"", EF29 * EJ29 * IF(abillity, 1, EG29 * EK29) * (Option!$D$23 * 0.81 "&amp;"/ 100),
         ""学者"", EF29 * EL29 * IF(abillity, 1, EG29 * EM29) * (Option!$D$24 * 0.81 / 100),
         ""賢者"", EF29 * EN29 * IF(abillity, 1, EG29 * EO29) * (Option!$D$25 * 0.81 / 100),
         1
       )
     )
   )
 )"),0.0)</f>
        <v>0</v>
      </c>
      <c r="ER29" s="202">
        <f t="shared" si="4"/>
        <v>11340</v>
      </c>
      <c r="ES29" s="203">
        <f t="shared" si="5"/>
        <v>0</v>
      </c>
      <c r="ET29" s="231" t="str">
        <f>IFERROR(__xludf.DUMMYFUNCTION("IFS(
  EP29 &gt; $ET$24 + EQ29,
  SPARKLINE({ 1, 0 }, {""charttype"",""bar"";""max"", 1;""color1"",Option!$D$30;""color2"",Option!$D$30}),
  EP29 &lt; EQ29,
  SPARKLINE({EQ29 - EP29, $ET$24 - (EQ29 - EP29)}, {""charttype"",""bar"";""max"",$ET$24;""color1"",Opti"&amp;"on!$D$28;""color2"",Option!$D$29}),
  EP29 &gt;= EQ29,
  SPARKLINE({$ET$24 + EQ29 - EP29,EP29 - EQ29}, {""charttype"",""bar"";""max"",$ET$24;""color1"",Option!$D$29;""color2"",Option!$D$30})
)"),"")</f>
        <v/>
      </c>
      <c r="EU29" s="205">
        <f>IFERROR(__xludf.DUMMYFUNCTION("PRODUCT(
   MAP(
     IF($F29=""Physical"", K$10:ED$10, IF($F29=""Magic"", K$11:ED$11, K$12:ED$12)),
     IF($F29=""Physical"", K$18:ED$18, IF($F29=""Magic"", K$19:ED$19, K$20:ED$20)),
     K$3:ED$3,
     K$5:ED$5,
     K$17:ED$17,
     K29:ED29,
     LAM"&amp;"BDA(
       mitigation,
       enhance,
       job,
       assign,
       precondition,
       check,
       IF(
         OR(AND(check=TRUE, REGEXMATCH(assign, ""SELF""), job=""ナイト""), AND(check=Option!$E$13, REGEXMATCH(assign, ""SINGLE_PARTY""))),
      "&amp;"   IF(
           OR(ARRAYFORMULA((IF(precondition="""", FALSE, REGEXMATCH($K$4:$ED$4, precondition))) * (K29:ED29=TRUE))),
           enhance,
           mitigation
         ),
         1
       )
     )
   )
 ) * EE29"),0.81)</f>
        <v>0.81</v>
      </c>
      <c r="EV29" s="206">
        <f t="shared" si="6"/>
        <v>9072</v>
      </c>
      <c r="EW29" s="205">
        <f>IFERROR(__xludf.DUMMYFUNCTION("PRODUCT(
   MAP(
     K$3:ED$3,
     K$14:ED$14,
     K$13:ED$13,
     K29:ED29,
     LAMBDA(
       job,
       buff,
       target,
       check,
       IF(
         OR(AND(check=TRUE, REGEXMATCH(target, ""SELF_AFFECTED_ALL""), job=""ナイト""), AND(check=O"&amp;"ption!$E$13, REGEXMATCH(target, ""SINGLE_AFFECTED_ALL""))),
         buff,
         1
       )
     )
   )
 )"),1.0)</f>
        <v>1</v>
      </c>
      <c r="EX29" s="206">
        <f>IFERROR(__xludf.DUMMYFUNCTION("SUM(
   MAP(
     K$3:ED$3,
     K$7:ED$7,
     K$15:ED$15,
     K$16:ED$16,
     K$21:ED$21,
     K$5:ED$5,
     K$17:ED$17,
     K29:ED29,
     LAMBDA(
       job,
       abillity,
       buff,
       barrier,
       enhance,
       assign,
       preco"&amp;"ndition,
       check,
       IF(
         OR(AND(check=TRUE, REGEXMATCH(assign, ""SELF""), job=""ナイト""), AND(check=Option!$E$13, REGEXMATCH(assign, ""SINGLE_PARTY""))),
         IF(
           OR(ARRAYFORMULA((IF(precondition="""", FALSE, REGEXMATCH($K$4"&amp;":$ED$4, precondition))) * (K29:ED29=TRUE))),
           enhance,
           IF(barrier="""", buff, barrier)
         ),
         0
       ) *
       SWITCH(
         job,
         ""暗黒騎士"", EY$24,
         ""白魔道士"", EF29 * EH29 * EW29 * IF(abillity, 1, EG"&amp;"29 * EI29) * (Option!$D$22 * 0.81 / 100),
         ""占星術師"", EF29 * EJ29 * EW29 * IF(abillity, 1, EG29 * EK29) * (Option!$D$23 * 0.81 / 100),
         ""学者"", EF29 * EL29 * EW29 * IF(abillity, 1, EG29 * EM29) * (Option!$D$24 * 0.81 / 100),
         ""賢者"""&amp;", EF29 * EN29 * EW29 * IF(abillity, 1, EG29 * EO29) * (Option!$D$25 * 0.81 / 100),
         1
       )
     )
   )
 ) + EQ29"),0.0)</f>
        <v>0</v>
      </c>
      <c r="EY29" s="232">
        <f t="shared" si="7"/>
        <v>9072</v>
      </c>
      <c r="EZ29" s="205">
        <f>IFERROR(__xludf.DUMMYFUNCTION("PRODUCT(
   MAP(
     IF($F29=""Physical"", K$10:ED$10, IF($F29=""Magic"", K$11:ED$11, K$12:ED$12)),
     IF($F29=""Physical"", K$18:ED$18, IF($F29=""Magic"", K$19:ED$19, K$20:ED$20)),
     K$3:ED$3,
     K$5:ED$5,
     K$17:ED$17,
     K29:ED29,
     LAM"&amp;"BDA(
       mitigation,
       enhance,
       job,
       assign,
       precondition,
       check,
       IF(
         OR(AND(check=TRUE, REGEXMATCH(assign, ""SELF""), job=""戦士""), AND(check=Option!$F$13, REGEXMATCH(assign, ""SINGLE_PARTY""))),
       "&amp;"  IF(
           OR(ARRAYFORMULA((IF(precondition="""", FALSE, REGEXMATCH($K$4:$ED$4, precondition))) * (K29:ED29=TRUE))),
           enhance,
           mitigation
         ),
         1
       )
     )
   )
 ) * EE29"),0.81)</f>
        <v>0.81</v>
      </c>
      <c r="FA29" s="206">
        <f t="shared" si="8"/>
        <v>9072</v>
      </c>
      <c r="FB29" s="205">
        <f>IFERROR(__xludf.DUMMYFUNCTION("PRODUCT(
   MAP(
     K$3:ED$3,
     K$14:ED$14,
     K$13:ED$13,
     K29:ED29,
     LAMBDA(
       job,
       buff,
       target,
       check,
       IF(
         OR(AND(check=TRUE, REGEXMATCH(target, ""SELF_AFFECTED_ALL""), job=""戦士""), AND(check=Op"&amp;"tion!$F$13, REGEXMATCH(target, ""SINGLE_AFFECTED_ALL""))),
         buff,
         1
       )
     )
   )
 )"),1.0)</f>
        <v>1</v>
      </c>
      <c r="FC29" s="206">
        <f>IFERROR(__xludf.DUMMYFUNCTION("SUM(
   MAP(
     K$3:ED$3,
     K$7:ED$7,
     K$15:ED$15,
     K$16:ED$16,
     K$21:ED$21,
     K$5:ED$5,
     K$17:ED$17,
     K29:ED29,
     LAMBDA(
       job,
       abillity,
       buff,
       barrier,
       enhance,
       assign,
       preco"&amp;"ndition,
       check,
       IF(
         OR(AND(check=TRUE, REGEXMATCH(assign, ""SELF""), job=""戦士""), AND(check=Option!$F$13, REGEXMATCH(assign, ""SINGLE_PARTY""))),
         IF(
           OR(ARRAYFORMULA((IF(precondition="""", FALSE, REGEXMATCH($K$4:"&amp;"$ED$4, precondition))) * (K29:ED29=TRUE))),
           enhance,
           IF(barrier="""", buff, barrier)
         ),
         0
       ) *
       SWITCH(
         job,
         ""暗黒騎士"", FD$24,
         ""白魔道士"", EF29 * EH29 * FB29 * IF(abillity, 1, EG2"&amp;"9 * EI29) * (Option!$D$22 * 0.81 / 100),
         ""占星術師"", EF29 * EJ29 * FFB29 * IF(abillity, 1, EG29 * EK29) * (Option!$D$23 * 0.81 / 100),
         ""学者"", EF29 * EL29 * FB29 * IF(abillity, 1, EG29 * EM29) * (Option!$D$24 * 0.81 / 100),
         ""賢者"""&amp;", EF29 * EN29 * FB29 * IF(abillity, 1, EG29 * EO29) * (Option!$D$25 * 0.81 / 100),
         1
       )
     )
   )
 ) + EQ29"),0.0)</f>
        <v>0</v>
      </c>
      <c r="FD29" s="206">
        <f t="shared" si="9"/>
        <v>9072</v>
      </c>
      <c r="FE29" s="205">
        <f>IFERROR(__xludf.DUMMYFUNCTION("PRODUCT(
   MAP(
     IF($F29=""Physical"", K$10:ED$10, IF($F29=""Magic"", K$11:ED$11, K$12:ED$12)),
     IF($F29=""Physical"", K$18:ED$18, IF($F29=""Magic"", K$19:ED$19, K$20:ED$20)),
     K$3:ED$3,
     K$5:ED$5,
     K$17:ED$17,
     K29:ED29,
     LAM"&amp;"BDA(
       mitigation,
       enhance,
       job,
       assign,
       precondition,
       check,
       IF(
         OR(AND(check=TRUE, REGEXMATCH(assign, ""SELF""), job=""暗黒騎士""), AND(check=Option!$G$13, REGEXMATCH(assign, ""SINGLE_PARTY""))),
     "&amp;"    IF(
           OR(ARRAYFORMULA((IF(precondition="""", FALSE, REGEXMATCH($K$4:$ED$4, precondition))) * (K29:ED29=TRUE))),
           enhance,
           mitigation
         ),
         1
       )
     )
   )
 ) * EE29"),0.81)</f>
        <v>0.81</v>
      </c>
      <c r="FF29" s="206">
        <f t="shared" si="10"/>
        <v>9072</v>
      </c>
      <c r="FG29" s="205">
        <f>IFERROR(__xludf.DUMMYFUNCTION("PRODUCT(
   MAP(
     K$3:ED$3,
     K$14:ED$14,
     K$13:ED$13,
     K29:ED29,
     LAMBDA(
       job,
       buff,
       target,
       check,
       IF(
         OR(AND(check=TRUE, REGEXMATCH(target, ""SELF_AFFECTED_ALL""), job=""暗黒騎士""), AND(check="&amp;"Option!$G$13, REGEXMATCH(target, ""SINGLE_AFFECTED_ALL""))),
         buff,
         1
       )
     )
   )
 )"),1.0)</f>
        <v>1</v>
      </c>
      <c r="FH29" s="206">
        <f>IFERROR(__xludf.DUMMYFUNCTION("SUM(
   MAP(
     K$3:ED$3,
     K$7:ED$7,
     K$15:ED$15,
     K$16:ED$16,
     K$21:ED$21,
     K$5:ED$5,
     K$17:ED$17,
     K29:ED29,
     LAMBDA(
       job,
       abillity,
       buff,
       barrier,
       enhance,
       assign,
       preco"&amp;"ndition,
       check,
       IF(
         OR(AND(check=TRUE, REGEXMATCH(assign, ""SELF""), job=""暗黒騎士""), AND(check=Option!$G$13, REGEXMATCH(assign, ""SINGLE_PARTY""))),
         IF(
           OR(ARRAYFORMULA((IF(precondition="""", FALSE, REGEXMATCH($K$"&amp;"4:$ED$4, precondition))) * (K29:ED29=TRUE))),
           enhance,
           IF(barrier="""", buff, barrier)
         ),
         0
       ) *
       SWITCH(
         job,
         ""暗黒騎士"", FI$24,
         ""白魔道士"", EF29 * EH29 * FG29 * IF(abillity, 1, E"&amp;"G29 * EI29) * (Option!$D$22 * 0.81 / 100),
         ""占星術師"", EF29 * EJ29 * FG29 * IF(abillity, 1, EG29 * EK29) * (Option!$D$23 * 0.81 / 100),
         ""学者"", EF29 * EL29 * FG29 * IF(abillity, 1, EG29 * EM29) * (Option!$D$24 * 0.81 / 100),
         ""賢者"&amp;""", EF29 * EN29 * FG29 * IF(abillity, 1, EG29 * EO29) * (Option!$D$25 * 0.81 / 100),
         1
       )
     )
   )
 ) + EQ29"),0.0)</f>
        <v>0</v>
      </c>
      <c r="FI29" s="206">
        <f t="shared" si="11"/>
        <v>9072</v>
      </c>
      <c r="FJ29" s="205">
        <f>IFERROR(__xludf.DUMMYFUNCTION("PRODUCT(
   MAP(
     IF($F29=""Physical"", K$10:ED$10, IF($F29=""Magic"", K$11:ED$11, K$12:ED$12)),
     IF($F29=""Physical"", K$18:ED$18, IF($F29=""Magic"", K$19:ED$19, K$20:ED$20)),
     K$3:ED$3,
     K$5:ED$5,
     K$17:ED$17,
     K29:ED29,
     LAM"&amp;"BDA(
       mitigation,
       enhance,
       job,
       assign,
       precondition,
       check,
       IF(
         OR(AND(check=TRUE, REGEXMATCH(assign, ""SELF""), job=""ガンブレイカー""), AND(check=Option!$H$13, REGEXMATCH(assign, ""SINGLE_PARTY""))),
  "&amp;"       IF(
           OR(ARRAYFORMULA((IF(precondition="""", FALSE, REGEXMATCH($K$4:$ED$4, precondition))) * (K29:ED29=TRUE))),
           enhance,
           mitigation
         ),
         1
       )
     )
   )
 ) * EE29"),0.81)</f>
        <v>0.81</v>
      </c>
      <c r="FK29" s="206">
        <f t="shared" si="12"/>
        <v>9072</v>
      </c>
      <c r="FL29" s="205">
        <f>IFERROR(__xludf.DUMMYFUNCTION("PRODUCT(
   MAP(
     K$3:ED$3,
     K$14:ED$14,
     K$13:ED$13,
     K29:ED29,
     LAMBDA(
       job,
       buff,
       target,
       check,
       IF(
         OR(AND(check=TRUE, REGEXMATCH(target, ""SELF_AFFECTED_ALL""), job=""ガンブレイカー""), AND(che"&amp;"ck=Option!$H$13, REGEXMATCH(target, ""SINGLE_AFFECTED_ALL""))),
         buff,
         1
       )
     )
   )
 )"),1.0)</f>
        <v>1</v>
      </c>
      <c r="FM29" s="206">
        <f>IFERROR(__xludf.DUMMYFUNCTION("SUM(
   MAP(
     K$3:ED$3,
     K$7:ED$7,
     K$15:ED$15,
     K$16:ED$16,
     K$21:ED$21,
     K$5:ED$5,
     K$17:ED$17,
     K29:ED29,
     LAMBDA(
       job,
       abillity,
       buff,
       barrier,
       enhance,
       assign,
       preco"&amp;"ndition,
       check,
       IF(
         OR(AND(check=TRUE, REGEXMATCH(assign, ""SELF""), job=""ガンブレイカー""), AND(check=Option!$H$13, REGEXMATCH(assign, ""SINGLE_PARTY""))),
         IF(
           OR(ARRAYFORMULA((IF(precondition="""", FALSE, REGEXMATCH("&amp;"$K$4:$ED$4, precondition))) * (K29:ED29=TRUE))),
           enhance,
           IF(barrier="""", buff, barrier)
         ),
         0
       ) *
       SWITCH(
         job,
         ""暗黒騎士"", FN$24,
         ""白魔道士"", EF29 * EH29 * FL29 * IF(abillity, 1"&amp;", EG29 * EI29) * (Option!$D$22 * 0.81 / 100),
         ""占星術師"", EF29 * EJ29 * FL29 * IF(abillity, 1, EG29 * EK29) * (Option!$D$23 * 0.81 / 100),
         ""学者"", EF29 * EL29 * FL29 * IF(abillity, 1, EG29 * EM29) * (Option!$D$24 * 0.81 / 100),
         """&amp;"賢者"", EF29 * EN29 * FL29 * IF(abillity, 1, EG29 * EO29) * (Option!$D$25 * 0.81 / 100),
         1
       )
     )
   )
 ) + EQ29"),0.0)</f>
        <v>0</v>
      </c>
      <c r="FN29" s="206">
        <f t="shared" si="13"/>
        <v>9072</v>
      </c>
      <c r="FO29" s="213"/>
    </row>
    <row r="30">
      <c r="B30" s="229"/>
      <c r="C30" s="217">
        <f t="shared" si="1"/>
        <v>0.00431712963</v>
      </c>
      <c r="D30" s="236">
        <v>5.092592592592592E-4</v>
      </c>
      <c r="E30" s="237" t="s">
        <v>1103</v>
      </c>
      <c r="F30" s="167" t="s">
        <v>10</v>
      </c>
      <c r="G30" s="168" t="str">
        <f t="shared" si="2"/>
        <v/>
      </c>
      <c r="H30" s="169">
        <v>15000.0</v>
      </c>
      <c r="I30" s="169"/>
      <c r="J30" s="169"/>
      <c r="K30" s="170" t="b">
        <v>0</v>
      </c>
      <c r="L30" s="170" t="b">
        <v>0</v>
      </c>
      <c r="M30" s="170" t="b">
        <v>0</v>
      </c>
      <c r="N30" s="171" t="s">
        <v>1070</v>
      </c>
      <c r="O30" s="172" t="b">
        <v>0</v>
      </c>
      <c r="P30" s="173" t="b">
        <v>0</v>
      </c>
      <c r="Q30" s="173" t="b">
        <v>0</v>
      </c>
      <c r="R30" s="173" t="b">
        <v>0</v>
      </c>
      <c r="S30" s="174" t="b">
        <v>0</v>
      </c>
      <c r="T30" s="175" t="b">
        <v>0</v>
      </c>
      <c r="U30" s="173" t="b">
        <v>0</v>
      </c>
      <c r="V30" s="171" t="s">
        <v>1070</v>
      </c>
      <c r="W30" s="172" t="b">
        <v>0</v>
      </c>
      <c r="X30" s="173" t="b">
        <v>0</v>
      </c>
      <c r="Y30" s="173" t="b">
        <v>0</v>
      </c>
      <c r="Z30" s="173" t="b">
        <v>0</v>
      </c>
      <c r="AA30" s="174" t="b">
        <v>0</v>
      </c>
      <c r="AB30" s="174" t="b">
        <v>0</v>
      </c>
      <c r="AC30" s="175" t="b">
        <v>0</v>
      </c>
      <c r="AD30" s="173" t="b">
        <v>0</v>
      </c>
      <c r="AE30" s="176" t="s">
        <v>1070</v>
      </c>
      <c r="AF30" s="171" t="s">
        <v>1070</v>
      </c>
      <c r="AG30" s="177">
        <f>IFERROR(__xludf.DUMMYFUNCTION("IF(
  ISNUMBER(AG29),
  MIN(MAX(
    AG29
    + MAX(
      ROUNDDOWN(($D30 - MAX(IFERROR(FILTER($D$24:$D29, AG$24:AG29 &lt;&gt; AF$6, AG$23:AG28 = AF$6), 0))) * (60 * 60 * 24) / AF$9) - ROUNDDOWN(($D29 - MAX(IFERROR(FILTER($D$23:$D28, AG$23:AG28 &lt;&gt; AF$6, AG$22:"&amp;"AG27 = AF$6), 0))) * (60 * 60 * 24) / 60),
      0
    )
    - COUNTIF(AF30, ""&lt;&gt;-""),
  0), AF$6),
  AF$6 - COUNTIF(AF30, ""&lt;&gt;-"")
)"),1.0)</f>
        <v>1</v>
      </c>
      <c r="AH30" s="173" t="b">
        <v>0</v>
      </c>
      <c r="AI30" s="173" t="b">
        <v>0</v>
      </c>
      <c r="AJ30" s="173" t="b">
        <v>0</v>
      </c>
      <c r="AK30" s="174" t="b">
        <v>0</v>
      </c>
      <c r="AL30" s="175" t="b">
        <v>0</v>
      </c>
      <c r="AM30" s="173" t="b">
        <v>0</v>
      </c>
      <c r="AN30" s="171" t="s">
        <v>1070</v>
      </c>
      <c r="AO30" s="173" t="b">
        <v>0</v>
      </c>
      <c r="AP30" s="173" t="b">
        <v>0</v>
      </c>
      <c r="AQ30" s="173" t="b">
        <v>0</v>
      </c>
      <c r="AR30" s="174" t="b">
        <v>0</v>
      </c>
      <c r="AS30" s="178" t="b">
        <v>0</v>
      </c>
      <c r="AT30" s="179" t="b">
        <v>0</v>
      </c>
      <c r="AU30" s="180" t="b">
        <v>0</v>
      </c>
      <c r="AV30" s="180" t="b">
        <v>0</v>
      </c>
      <c r="AW30" s="180" t="b">
        <v>0</v>
      </c>
      <c r="AX30" s="180" t="b">
        <v>0</v>
      </c>
      <c r="AY30" s="181" t="s">
        <v>1070</v>
      </c>
      <c r="AZ30" s="181" t="s">
        <v>1070</v>
      </c>
      <c r="BA30" s="184">
        <f>IFERROR(__xludf.DUMMYFUNCTION("IF(
  ISNUMBER(BA29),
  MIN(MAX(
    BA29
    + MAX(
      ROUNDDOWN((D30 - MAX(IFERROR(FILTER(D$24:D29, BA$24:BA29 &lt;&gt; AZ$6, BA$23:BA28 = AZ$6), 0))) * (60 * 60 * 24) / AZ$9) - ROUNDDOWN((D29 - MAX(IFERROR(FILTER(D$23:D28, BA$23:BA28 &lt;&gt; AZ$6, BA$22:BA27 ="&amp;" AZ$6), 0))) * (60 * 60 * 24) / AZ$9),
      0
    )
    - COUNTIF(AZ30, ""&lt;&gt;-""),
  0), AZ$6),
  AZ$6 - COUNTIF(AZ30, ""&lt;&gt;-"")
)"),2.0)</f>
        <v>2</v>
      </c>
      <c r="BB30" s="181" t="s">
        <v>1070</v>
      </c>
      <c r="BC30" s="183">
        <f>IFERROR(__xludf.DUMMYFUNCTION("IF(
  ISNUMBER(BC29),
  MIN(MAX(
    BC29
    + MAX(
      ROUNDDOWN(($D30 - MAX(IFERROR(FILTER($D$24:$D29, BC$24:BC29 &lt;&gt; BB$6, BC$23:BC28 = BB$6), 0))) * (60 * 60 * 24) / BB$9) - ROUNDDOWN(($D29 - MAX(IFERROR(FILTER($D$23:$D28, BC$23:BC28 &lt;&gt; BB$6, BC$22:"&amp;"BC27 = BB$6), 0))) * (60 * 60 * 24) / 60),
      0
    )
    - COUNTIF(BB30, ""&lt;&gt;-""),
  0), BB$6),
  BB$6 - COUNTIF(BB30, ""&lt;&gt;-"")
)"),2.0)</f>
        <v>2</v>
      </c>
      <c r="BD30" s="181" t="s">
        <v>1070</v>
      </c>
      <c r="BE30" s="178" t="b">
        <v>0</v>
      </c>
      <c r="BF30" s="180" t="b">
        <v>0</v>
      </c>
      <c r="BG30" s="180" t="b">
        <v>0</v>
      </c>
      <c r="BH30" s="180" t="b">
        <v>0</v>
      </c>
      <c r="BI30" s="180" t="b">
        <v>0</v>
      </c>
      <c r="BJ30" s="180" t="b">
        <v>0</v>
      </c>
      <c r="BK30" s="180" t="b">
        <v>0</v>
      </c>
      <c r="BL30" s="180" t="b">
        <v>0</v>
      </c>
      <c r="BM30" s="180" t="b">
        <v>0</v>
      </c>
      <c r="BN30" s="180" t="b">
        <v>0</v>
      </c>
      <c r="BO30" s="181" t="s">
        <v>1070</v>
      </c>
      <c r="BP30" s="181" t="s">
        <v>1070</v>
      </c>
      <c r="BQ30" s="181" t="s">
        <v>1070</v>
      </c>
      <c r="BR30" s="181" t="s">
        <v>1070</v>
      </c>
      <c r="BS30" s="181" t="s">
        <v>1070</v>
      </c>
      <c r="BT30" s="184">
        <f>IFERROR(__xludf.DUMMYFUNCTION("IF(
  ISNUMBER(BT29),
  MIN(MAX(
    BT29
    + MAX(
      ROUNDDOWN((D30 - MAX(IFERROR(FILTER(D$24:D29, BT$24:BT29 &lt;&gt; BS$6, BT$23:BT28 = BS$6), 0))) * (60 * 60 * 24) / BS$9) - ROUNDDOWN((D29 - MAX(IFERROR(FILTER(D$23:D28, BT$23:BT28 &lt;&gt; BS$6, BT$22:BT27 ="&amp;" BS$6), 0))) * (60 * 60 * 24) / BS$9),
      0
    )
    - COUNTIF(BS30, ""&lt;&gt;-""),
  0), BS$6),
  BS$6 - COUNTIF(BS30, ""&lt;&gt;-"")
)"),3.0)</f>
        <v>3</v>
      </c>
      <c r="BU30" s="181" t="s">
        <v>1070</v>
      </c>
      <c r="BV30" s="181" t="s">
        <v>1070</v>
      </c>
      <c r="BW30" s="184">
        <f>IFERROR(__xludf.DUMMYFUNCTION("IF(
  ISNUMBER(BW29),
  MIN(MAX(
    BW29
    + MAX(
      ROUNDDOWN((D30 - MAX(IFERROR(FILTER(D$24:D29, BW$24:BW29 &lt;&gt; BV$6, BW$23:BW28 = BV$6), 0))) * (60 * 60 * 24) / BV$9) - ROUNDDOWN((D29 - MAX(IFERROR(FILTER(D$23:D28, BW$23:BW28 &lt;&gt; BV$6, BW$22:BW27 ="&amp;" BV$6), 0))) * (60 * 60 * 24) / BV$9),
      0
    )
    - COUNTIF(BV30, ""&lt;&gt;-""),
  0), BV$6),
  BV$6 - COUNTIF(BV30, ""&lt;&gt;-"")
)"),2.0)</f>
        <v>2</v>
      </c>
      <c r="BX30" s="185" t="s">
        <v>1070</v>
      </c>
      <c r="BY30" s="178" t="b">
        <v>0</v>
      </c>
      <c r="BZ30" s="180" t="b">
        <v>0</v>
      </c>
      <c r="CA30" s="180" t="b">
        <v>0</v>
      </c>
      <c r="CB30" s="180" t="b">
        <v>0</v>
      </c>
      <c r="CC30" s="180" t="b">
        <v>0</v>
      </c>
      <c r="CD30" s="180" t="b">
        <v>0</v>
      </c>
      <c r="CE30" s="180" t="b">
        <v>0</v>
      </c>
      <c r="CF30" s="180" t="b">
        <v>0</v>
      </c>
      <c r="CG30" s="180" t="b">
        <v>0</v>
      </c>
      <c r="CH30" s="180" t="b">
        <v>0</v>
      </c>
      <c r="CI30" s="180" t="b">
        <v>0</v>
      </c>
      <c r="CJ30" s="180" t="b">
        <v>0</v>
      </c>
      <c r="CK30" s="180" t="b">
        <v>0</v>
      </c>
      <c r="CL30" s="180" t="b">
        <v>0</v>
      </c>
      <c r="CM30" s="181" t="s">
        <v>1070</v>
      </c>
      <c r="CN30" s="181" t="s">
        <v>1070</v>
      </c>
      <c r="CO30" s="181" t="s">
        <v>1070</v>
      </c>
      <c r="CP30" s="181" t="s">
        <v>1070</v>
      </c>
      <c r="CQ30" s="185" t="s">
        <v>1070</v>
      </c>
      <c r="CR30" s="180" t="b">
        <v>0</v>
      </c>
      <c r="CS30" s="186" t="str">
        <f t="shared" si="14"/>
        <v>◇◇◇</v>
      </c>
      <c r="CT30" s="178" t="b">
        <v>0</v>
      </c>
      <c r="CU30" s="180" t="b">
        <v>0</v>
      </c>
      <c r="CV30" s="180" t="b">
        <v>0</v>
      </c>
      <c r="CW30" s="180" t="b">
        <v>0</v>
      </c>
      <c r="CX30" s="180" t="b">
        <v>0</v>
      </c>
      <c r="CY30" s="180" t="b">
        <v>0</v>
      </c>
      <c r="CZ30" s="180" t="b">
        <v>0</v>
      </c>
      <c r="DA30" s="180" t="b">
        <v>0</v>
      </c>
      <c r="DB30" s="180" t="b">
        <v>0</v>
      </c>
      <c r="DC30" s="180" t="b">
        <v>0</v>
      </c>
      <c r="DD30" s="181" t="s">
        <v>1070</v>
      </c>
      <c r="DE30" s="181" t="s">
        <v>1070</v>
      </c>
      <c r="DF30" s="181" t="s">
        <v>1070</v>
      </c>
      <c r="DG30" s="185" t="s">
        <v>1070</v>
      </c>
      <c r="DH30" s="180" t="b">
        <v>0</v>
      </c>
      <c r="DI30" s="187" t="str">
        <f>IFERROR(__xludf.DUMMYFUNCTION("SWITCH(
  IF(
    ISTEXT(DI29),
    IF (
      FIND(""○"", DI29&amp;""○"") &gt; 3,
      3,
      FIND(""○"", DI29&amp;""○"")
      + MAX(
        ROUNDDOWN(($D30 - MAX(IFERROR(FILTER(D$24:D29, DI$24:DI29 &lt;&gt; ""●●●"", DI$23:DI28 = ""●●●""), 0))) * (60 * 60 * 24) / 20"&amp;") - ROUNDDOWN(($D29 - MAX(IFERROR(FILTER(D$23:D28, DI$23:DI28 &lt;&gt; ""●●●"", DI$22:DI27 = ""●●●""), 0))) * (60 * 60 * 24) / 20),
        0
      ) - 1
    ) - COUNTIFS(CU30, ""=TRUE"", CU29, ""&lt;&gt;TRUE"") - COUNTIF(CZ30, ""=TRUE"") - COUNTIF({DD30,DE30}, ""&lt;&gt;-"&amp;""") + COUNTIF(DH30, ""=TRUE""),
    3
  ),
  0, ""○○○"", 1, ""●○○"", 2, ""●●○"", 3, ""●●●"", 4, ""●●●"", ""○○○""
)"),"●●●")</f>
        <v>●●●</v>
      </c>
      <c r="DJ30" s="188" t="b">
        <v>0</v>
      </c>
      <c r="DK30" s="189" t="b">
        <v>0</v>
      </c>
      <c r="DL30" s="190" t="b">
        <v>0</v>
      </c>
      <c r="DM30" s="190" t="b">
        <v>0</v>
      </c>
      <c r="DN30" s="190" t="b">
        <v>0</v>
      </c>
      <c r="DO30" s="190" t="b">
        <v>0</v>
      </c>
      <c r="DP30" s="190" t="b">
        <v>0</v>
      </c>
      <c r="DQ30" s="191" t="b">
        <v>0</v>
      </c>
      <c r="DR30" s="192" t="b">
        <v>0</v>
      </c>
      <c r="DS30" s="191" t="b">
        <v>0</v>
      </c>
      <c r="DT30" s="192" t="b">
        <v>0</v>
      </c>
      <c r="DU30" s="191" t="b">
        <v>0</v>
      </c>
      <c r="DV30" s="193" t="s">
        <v>1070</v>
      </c>
      <c r="DW30" s="194" t="b">
        <v>0</v>
      </c>
      <c r="DX30" s="194" t="b">
        <v>0</v>
      </c>
      <c r="DY30" s="195" t="b">
        <v>0</v>
      </c>
      <c r="DZ30" s="196" t="b">
        <v>0</v>
      </c>
      <c r="EA30" s="195" t="b">
        <v>0</v>
      </c>
      <c r="EB30" s="197" t="b">
        <v>0</v>
      </c>
      <c r="EC30" s="197" t="b">
        <v>0</v>
      </c>
      <c r="ED30" s="212" t="b">
        <v>0</v>
      </c>
      <c r="EE30" s="199">
        <f>IFERROR(__xludf.DUMMYFUNCTION("IFERROR(
   PRODUCT(
     MAP(
       INDEX(TRANSPOSE(UNIQUE(TRANSPOSE(FILTER({IF($F30=""Physical"", K$10:ED$10, IF($F30=""Magic"", K$11:ED$11, K$12:ED$12));K$4:ED$4;K30:ED30}, K30:ED30=TRUE)))), 1, 0),
       INDEX(TRANSPOSE(UNIQUE(TRANSPOSE(FILTER({IF($"&amp;"F30=""Physical"", K$18:ED$18, IF($F30=""Magic"", K$19:ED$19, K$20:ED$20));K$4:ED$4;K30:ED30}, K30:ED30=TRUE)))), 1, 0),
       INDEX(TRANSPOSE(UNIQUE(TRANSPOSE(FILTER({K$5:ED$5;K$4:ED$4;K30:ED30}, K30:ED30=TRUE)))), 1, 0),
       INDEX(TRANSPOSE(UNIQUE(TR"&amp;"ANSPOSE(FILTER({K$17:ED$17;K$4:ED$4;K30:ED30}, K30:ED30=TRUE)))), 1, 0),
       LAMBDA(
         mitigation,
         enhance,
         assign,
         precondition,
         IF(
           REGEXMATCH(assign, ""RANGE_PARTY|SINGLE_ENEMY|RANGE_ENEMY""),
  "&amp;"         IF(
             OR(ARRAYFORMULA((IF(precondition="""", FALSE, REGEXMATCH(K$4:ED$4, precondition))) * (K30:ED30=TRUE))),
             IF(ISNUMBER(enhance), enhance, 1),
             IF(ISNUMBER(mitigation), mitigation, 1)
           ),
          "&amp;" 1
         )
       )
     )
   ),
   1
 )"),1.0)</f>
        <v>1</v>
      </c>
      <c r="EF30" s="200">
        <f>IFERROR(__xludf.DUMMYFUNCTION("PRODUCT(
   MAP(
     K$14:ED$14,
     K$13:ED$13,
     K30:ED30,
     LAMBDA(
       buff,
       target,
       check,
       IF(
         AND(check=TRUE, REGEXMATCH(target, ""RANGE_AFFECTED_ALL|RANGE_EFFECTED_ALL""), ISNUMBER(buff)),
         buff,
   "&amp;"      1
       )
     )
   )
 )"),1.0)</f>
        <v>1</v>
      </c>
      <c r="EG30" s="200">
        <f>IFERROR(__xludf.DUMMYFUNCTION("PRODUCT(
   MAP(
     K$14:ED$14,
     K$13:ED$13,
     K30:ED30,
     LAMBDA(
       buff,
       target,
       check,
       IF(
         AND(check=TRUE, REGEXMATCH(target, ""RANGE_AFFECTED_GCD|RANGE_EFFECTED_GCD""), ISNUMBER(buff)),
         buff,
   "&amp;"      1
       )
     )
   )
 )"),1.0)</f>
        <v>1</v>
      </c>
      <c r="EH30" s="200">
        <f>IFERROR(__xludf.DUMMYFUNCTION("PRODUCT(
   MAP(
     K$3:ED$3,
     K$14:ED$14,
     K$13:ED$13,
     K30:ED30,
     LAMBDA(
       job,
       buff,
       target,
       check,
       IF(
         AND(check=TRUE, REGEXMATCH(target, ""SELF_EFFECTED_ALL""), ISNUMBER(buff), job=""白魔道士"""&amp;"),
         buff,
         1
       )
     )
   )
 )"),1.0)</f>
        <v>1</v>
      </c>
      <c r="EI30" s="200">
        <f>IFERROR(__xludf.DUMMYFUNCTION("PRODUCT(
   MAP(
     K$3:ED$3,
     K$14:ED$14,
     K$13:ED$13,
     K30:ED30,
     LAMBDA(
       job,
       buff,
       target,
       check,
       IF(
         AND(check=TRUE, REGEXMATCH(target, ""SELF_EFFECTED_GCD""), ISNUMBER(buff), job=""白魔道士"""&amp;"),
         buff,
         1
       )
     )
   )
 )"),1.0)</f>
        <v>1</v>
      </c>
      <c r="EJ30" s="200">
        <f>IFERROR(__xludf.DUMMYFUNCTION("PRODUCT(
   MAP(
     K$3:ED$3,
     K$14:ED$14,
     K$13:ED$13,
     K30:ED30,
     LAMBDA(
       job,
       buff,
       target,
       check,
       IF(
         AND(check=TRUE, REGEXMATCH(target, ""SELF_EFFECTED_ALL""), ISNUMBER(buff), job=""占星術師"""&amp;"),
         buff,
         1
       )
     )
   )
 )"),1.0)</f>
        <v>1</v>
      </c>
      <c r="EK30" s="200">
        <f>IFERROR(__xludf.DUMMYFUNCTION("PRODUCT(
   MAP(
     K$3:ED$3,
     K$14:ED$14,
     K$13:ED$13,
     K30:ED30,
     LAMBDA(
       job,
       buff,
       target,
       check,
       IF(
         AND(check=TRUE, REGEXMATCH(target, ""SELF_EFFECTED_GCD""), ISNUMBER(buff), job=""占星術師"""&amp;"),
         buff,
         1
       )
     )
   )
 )"),1.0)</f>
        <v>1</v>
      </c>
      <c r="EL30" s="200">
        <f>IFERROR(__xludf.DUMMYFUNCTION("PRODUCT(
   MAP(
     K$3:ED$3,
     K$14:ED$14,
     K$13:ED$13,
     K30:ED30,
     LAMBDA(
       job,
       buff,
       target,
       check,
       IF(
         AND(check=TRUE, REGEXMATCH(target, ""SELF_EFFECTED_ALL""), ISNUMBER(buff), job=""学者""),"&amp;"
         buff,
         1
       )
     )
   )
 )"),1.0)</f>
        <v>1</v>
      </c>
      <c r="EM30" s="200">
        <f>IFERROR(__xludf.DUMMYFUNCTION("PRODUCT(
   MAP(
     K$3:ED$3,
     K$14:ED$14,
     K$13:ED$13,
     K30:ED30,
     LAMBDA(
       job,
       buff,
       target,
       check,
       IF(
         AND(check=TRUE, REGEXMATCH(target, ""SELF_EFFECTED_GCD""), ISNUMBER(buff), job=""学者""),"&amp;"
         buff,
         1
       )
     )
   )
 )"),1.0)</f>
        <v>1</v>
      </c>
      <c r="EN30" s="200">
        <f>IFERROR(__xludf.DUMMYFUNCTION("PRODUCT(
   MAP(
     K$3:ED$3,
     K$14:ED$14,
     K$13:ED$13,
     K30:ED30,
     LAMBDA(
       job,
       buff,
       target,
       check,
       IF(
         AND(check=TRUE, REGEXMATCH(target, ""SELF_EFFECTED_ALL""), ISNUMBER(buff), job=""賢者""),"&amp;"
         buff,
         1
       )
     )
   )
 )"),1.0)</f>
        <v>1</v>
      </c>
      <c r="EO30" s="200">
        <f>IFERROR(__xludf.DUMMYFUNCTION("PRODUCT(
   MAP(
     K$3:ED$3,
     K$14:ED$14,
     K$13:ED$13,
     K30:ED30,
     LAMBDA(
       job,
       buff,
       target,
       check,
       IF(
         AND(check=TRUE, REGEXMATCH(target, ""SELF_EFFECTED_GCD""), ISNUMBER(buff), job=""賢者""),"&amp;"
         buff,
         1
       )
     )
   )
 )"),1.0)</f>
        <v>1</v>
      </c>
      <c r="EP30" s="201">
        <f t="shared" si="3"/>
        <v>15000</v>
      </c>
      <c r="EQ30" s="201">
        <f>IFERROR(__xludf.DUMMYFUNCTION("SUM(
   MAP(
     K$4:ED$4,
     K$3:ED$3,
     K$7:ED$7,
     K$15:ED$15,
     K$16:ED$16,
     K$21:ED$21,
     K$5:ED$5,
     K$17:ED$17,
     K30:ED30,
     LAMBDA(
       name,
       job,
       abillity,
       buff,
       barrier,
       enhance,"&amp;"
       assign,
       precondition,
       check,
       SWITCH(
         name,
         ""シェイクオフ"", IF(check=TRUE, buff + (0.02 * COUNTIF(ARRAYFORMULA((REGEXMATCH($K$4:$ED$4, ""スリル・オブ・バトル|ヴェンジェンス|原初の血気|ダムネーション"")) * (K30:ED30=TRUE)), 1)), 0),
         "&amp;"""インプロビゼーションフィニッシュ(踊りの激情0)"", IF(ISNUMBER(check), INDEX(Skill!$AJ:$AJ, MATCH(SUBSTITUTE(DV$4, 0, check), Skill!$C:$C, 0)), 0),
         IF(
           AND(check=TRUE, REGEXMATCH(assign, ""RANGE_PARTY"")),
           IF(
             OR(ARRAYFORMULA((IF(pr"&amp;"econdition="""", FALSE, REGEXMATCH($K$4:$ED$4, precondition))) * (K30:ED30=TRUE))),
             enhance,
             IF(barrier="""", buff, barrier)
           ),
           0
         )
       ) *
       SWITCH(
         job,
         ""ナイト"", EY$24,
 "&amp;"        ""戦士"", FD$24,
         ""踊り子"", ET$24,
         ""ピクトマンサー"", ET$24,
         ""白魔道士"", EF30 * EH30 * IF(abillity, 1, EG30 * EI30) * (Option!$D$22 * 0.81 / 100),
         ""占星術師"", EF30 * EJ30 * IF(abillity, 1, EG30 * EK30) * (Option!$D$23 * 0.81 "&amp;"/ 100),
         ""学者"", EF30 * EL30 * IF(abillity, 1, EG30 * EM30) * (Option!$D$24 * 0.81 / 100),
         ""賢者"", EF30 * EN30 * IF(abillity, 1, EG30 * EO30) * (Option!$D$25 * 0.81 / 100),
         1
       )
     )
   )
 )"),0.0)</f>
        <v>0</v>
      </c>
      <c r="ER30" s="202">
        <f t="shared" si="4"/>
        <v>15000</v>
      </c>
      <c r="ES30" s="203">
        <f t="shared" si="5"/>
        <v>0</v>
      </c>
      <c r="ET30" s="231" t="str">
        <f>IFERROR(__xludf.DUMMYFUNCTION("IFS(
  EP30 &gt; $ET$24 + EQ30,
  SPARKLINE({ 1, 0 }, {""charttype"",""bar"";""max"", 1;""color1"",Option!$D$30;""color2"",Option!$D$30}),
  EP30 &lt; EQ30,
  SPARKLINE({EQ30 - EP30, $ET$24 - (EQ30 - EP30)}, {""charttype"",""bar"";""max"",$ET$24;""color1"",Opti"&amp;"on!$D$28;""color2"",Option!$D$29}),
  EP30 &gt;= EQ30,
  SPARKLINE({$ET$24 + EQ30 - EP30,EP30 - EQ30}, {""charttype"",""bar"";""max"",$ET$24;""color1"",Option!$D$29;""color2"",Option!$D$30})
)"),"")</f>
        <v/>
      </c>
      <c r="EU30" s="205">
        <f>IFERROR(__xludf.DUMMYFUNCTION("PRODUCT(
   MAP(
     IF($F30=""Physical"", K$10:ED$10, IF($F30=""Magic"", K$11:ED$11, K$12:ED$12)),
     IF($F30=""Physical"", K$18:ED$18, IF($F30=""Magic"", K$19:ED$19, K$20:ED$20)),
     K$3:ED$3,
     K$5:ED$5,
     K$17:ED$17,
     K30:ED30,
     LAM"&amp;"BDA(
       mitigation,
       enhance,
       job,
       assign,
       precondition,
       check,
       IF(
         OR(AND(check=TRUE, REGEXMATCH(assign, ""SELF""), job=""ナイト""), AND(check=Option!$E$13, REGEXMATCH(assign, ""SINGLE_PARTY""))),
      "&amp;"   IF(
           OR(ARRAYFORMULA((IF(precondition="""", FALSE, REGEXMATCH($K$4:$ED$4, precondition))) * (K30:ED30=TRUE))),
           enhance,
           mitigation
         ),
         1
       )
     )
   )
 ) * EE30"),1.0)</f>
        <v>1</v>
      </c>
      <c r="EV30" s="206">
        <f t="shared" si="6"/>
        <v>12000</v>
      </c>
      <c r="EW30" s="205">
        <f>IFERROR(__xludf.DUMMYFUNCTION("PRODUCT(
   MAP(
     K$3:ED$3,
     K$14:ED$14,
     K$13:ED$13,
     K30:ED30,
     LAMBDA(
       job,
       buff,
       target,
       check,
       IF(
         OR(AND(check=TRUE, REGEXMATCH(target, ""SELF_AFFECTED_ALL""), job=""ナイト""), AND(check=O"&amp;"ption!$E$13, REGEXMATCH(target, ""SINGLE_AFFECTED_ALL""))),
         buff,
         1
       )
     )
   )
 )"),1.0)</f>
        <v>1</v>
      </c>
      <c r="EX30" s="206">
        <f>IFERROR(__xludf.DUMMYFUNCTION("SUM(
   MAP(
     K$3:ED$3,
     K$7:ED$7,
     K$15:ED$15,
     K$16:ED$16,
     K$21:ED$21,
     K$5:ED$5,
     K$17:ED$17,
     K30:ED30,
     LAMBDA(
       job,
       abillity,
       buff,
       barrier,
       enhance,
       assign,
       preco"&amp;"ndition,
       check,
       IF(
         OR(AND(check=TRUE, REGEXMATCH(assign, ""SELF""), job=""ナイト""), AND(check=Option!$E$13, REGEXMATCH(assign, ""SINGLE_PARTY""))),
         IF(
           OR(ARRAYFORMULA((IF(precondition="""", FALSE, REGEXMATCH($K$4"&amp;":$ED$4, precondition))) * (K30:ED30=TRUE))),
           enhance,
           IF(barrier="""", buff, barrier)
         ),
         0
       ) *
       SWITCH(
         job,
         ""暗黒騎士"", EY$24,
         ""白魔道士"", EF30 * EH30 * EW30 * IF(abillity, 1, EG"&amp;"30 * EI30) * (Option!$D$22 * 0.81 / 100),
         ""占星術師"", EF30 * EJ30 * EW30 * IF(abillity, 1, EG30 * EK30) * (Option!$D$23 * 0.81 / 100),
         ""学者"", EF30 * EL30 * EW30 * IF(abillity, 1, EG30 * EM30) * (Option!$D$24 * 0.81 / 100),
         ""賢者"""&amp;", EF30 * EN30 * EW30 * IF(abillity, 1, EG30 * EO30) * (Option!$D$25 * 0.81 / 100),
         1
       )
     )
   )
 ) + EQ30"),0.0)</f>
        <v>0</v>
      </c>
      <c r="EY30" s="232">
        <f t="shared" si="7"/>
        <v>12000</v>
      </c>
      <c r="EZ30" s="205">
        <f>IFERROR(__xludf.DUMMYFUNCTION("PRODUCT(
   MAP(
     IF($F30=""Physical"", K$10:ED$10, IF($F30=""Magic"", K$11:ED$11, K$12:ED$12)),
     IF($F30=""Physical"", K$18:ED$18, IF($F30=""Magic"", K$19:ED$19, K$20:ED$20)),
     K$3:ED$3,
     K$5:ED$5,
     K$17:ED$17,
     K30:ED30,
     LAM"&amp;"BDA(
       mitigation,
       enhance,
       job,
       assign,
       precondition,
       check,
       IF(
         OR(AND(check=TRUE, REGEXMATCH(assign, ""SELF""), job=""戦士""), AND(check=Option!$F$13, REGEXMATCH(assign, ""SINGLE_PARTY""))),
       "&amp;"  IF(
           OR(ARRAYFORMULA((IF(precondition="""", FALSE, REGEXMATCH($K$4:$ED$4, precondition))) * (K30:ED30=TRUE))),
           enhance,
           mitigation
         ),
         1
       )
     )
   )
 ) * EE30"),1.0)</f>
        <v>1</v>
      </c>
      <c r="FA30" s="206">
        <f t="shared" si="8"/>
        <v>12000</v>
      </c>
      <c r="FB30" s="205">
        <f>IFERROR(__xludf.DUMMYFUNCTION("PRODUCT(
   MAP(
     K$3:ED$3,
     K$14:ED$14,
     K$13:ED$13,
     K30:ED30,
     LAMBDA(
       job,
       buff,
       target,
       check,
       IF(
         OR(AND(check=TRUE, REGEXMATCH(target, ""SELF_AFFECTED_ALL""), job=""戦士""), AND(check=Op"&amp;"tion!$F$13, REGEXMATCH(target, ""SINGLE_AFFECTED_ALL""))),
         buff,
         1
       )
     )
   )
 )"),1.0)</f>
        <v>1</v>
      </c>
      <c r="FC30" s="206">
        <f>IFERROR(__xludf.DUMMYFUNCTION("SUM(
   MAP(
     K$3:ED$3,
     K$7:ED$7,
     K$15:ED$15,
     K$16:ED$16,
     K$21:ED$21,
     K$5:ED$5,
     K$17:ED$17,
     K30:ED30,
     LAMBDA(
       job,
       abillity,
       buff,
       barrier,
       enhance,
       assign,
       preco"&amp;"ndition,
       check,
       IF(
         OR(AND(check=TRUE, REGEXMATCH(assign, ""SELF""), job=""戦士""), AND(check=Option!$F$13, REGEXMATCH(assign, ""SINGLE_PARTY""))),
         IF(
           OR(ARRAYFORMULA((IF(precondition="""", FALSE, REGEXMATCH($K$4:"&amp;"$ED$4, precondition))) * (K30:ED30=TRUE))),
           enhance,
           IF(barrier="""", buff, barrier)
         ),
         0
       ) *
       SWITCH(
         job,
         ""暗黒騎士"", FD$24,
         ""白魔道士"", EF30 * EH30 * FB30 * IF(abillity, 1, EG3"&amp;"0 * EI30) * (Option!$D$22 * 0.81 / 100),
         ""占星術師"", EF30 * EJ30 * FFB30 * IF(abillity, 1, EG30 * EK30) * (Option!$D$23 * 0.81 / 100),
         ""学者"", EF30 * EL30 * FB30 * IF(abillity, 1, EG30 * EM30) * (Option!$D$24 * 0.81 / 100),
         ""賢者"""&amp;", EF30 * EN30 * FB30 * IF(abillity, 1, EG30 * EO30) * (Option!$D$25 * 0.81 / 100),
         1
       )
     )
   )
 ) + EQ30"),0.0)</f>
        <v>0</v>
      </c>
      <c r="FD30" s="206">
        <f t="shared" si="9"/>
        <v>12000</v>
      </c>
      <c r="FE30" s="205">
        <f>IFERROR(__xludf.DUMMYFUNCTION("PRODUCT(
   MAP(
     IF($F30=""Physical"", K$10:ED$10, IF($F30=""Magic"", K$11:ED$11, K$12:ED$12)),
     IF($F30=""Physical"", K$18:ED$18, IF($F30=""Magic"", K$19:ED$19, K$20:ED$20)),
     K$3:ED$3,
     K$5:ED$5,
     K$17:ED$17,
     K30:ED30,
     LAM"&amp;"BDA(
       mitigation,
       enhance,
       job,
       assign,
       precondition,
       check,
       IF(
         OR(AND(check=TRUE, REGEXMATCH(assign, ""SELF""), job=""暗黒騎士""), AND(check=Option!$G$13, REGEXMATCH(assign, ""SINGLE_PARTY""))),
     "&amp;"    IF(
           OR(ARRAYFORMULA((IF(precondition="""", FALSE, REGEXMATCH($K$4:$ED$4, precondition))) * (K30:ED30=TRUE))),
           enhance,
           mitigation
         ),
         1
       )
     )
   )
 ) * EE30"),1.0)</f>
        <v>1</v>
      </c>
      <c r="FF30" s="206">
        <f t="shared" si="10"/>
        <v>12000</v>
      </c>
      <c r="FG30" s="205">
        <f>IFERROR(__xludf.DUMMYFUNCTION("PRODUCT(
   MAP(
     K$3:ED$3,
     K$14:ED$14,
     K$13:ED$13,
     K30:ED30,
     LAMBDA(
       job,
       buff,
       target,
       check,
       IF(
         OR(AND(check=TRUE, REGEXMATCH(target, ""SELF_AFFECTED_ALL""), job=""暗黒騎士""), AND(check="&amp;"Option!$G$13, REGEXMATCH(target, ""SINGLE_AFFECTED_ALL""))),
         buff,
         1
       )
     )
   )
 )"),1.0)</f>
        <v>1</v>
      </c>
      <c r="FH30" s="206">
        <f>IFERROR(__xludf.DUMMYFUNCTION("SUM(
   MAP(
     K$3:ED$3,
     K$7:ED$7,
     K$15:ED$15,
     K$16:ED$16,
     K$21:ED$21,
     K$5:ED$5,
     K$17:ED$17,
     K30:ED30,
     LAMBDA(
       job,
       abillity,
       buff,
       barrier,
       enhance,
       assign,
       preco"&amp;"ndition,
       check,
       IF(
         OR(AND(check=TRUE, REGEXMATCH(assign, ""SELF""), job=""暗黒騎士""), AND(check=Option!$G$13, REGEXMATCH(assign, ""SINGLE_PARTY""))),
         IF(
           OR(ARRAYFORMULA((IF(precondition="""", FALSE, REGEXMATCH($K$"&amp;"4:$ED$4, precondition))) * (K30:ED30=TRUE))),
           enhance,
           IF(barrier="""", buff, barrier)
         ),
         0
       ) *
       SWITCH(
         job,
         ""暗黒騎士"", FI$24,
         ""白魔道士"", EF30 * EH30 * FG30 * IF(abillity, 1, E"&amp;"G30 * EI30) * (Option!$D$22 * 0.81 / 100),
         ""占星術師"", EF30 * EJ30 * FG30 * IF(abillity, 1, EG30 * EK30) * (Option!$D$23 * 0.81 / 100),
         ""学者"", EF30 * EL30 * FG30 * IF(abillity, 1, EG30 * EM30) * (Option!$D$24 * 0.81 / 100),
         ""賢者"&amp;""", EF30 * EN30 * FG30 * IF(abillity, 1, EG30 * EO30) * (Option!$D$25 * 0.81 / 100),
         1
       )
     )
   )
 ) + EQ30"),0.0)</f>
        <v>0</v>
      </c>
      <c r="FI30" s="206">
        <f t="shared" si="11"/>
        <v>12000</v>
      </c>
      <c r="FJ30" s="205">
        <f>IFERROR(__xludf.DUMMYFUNCTION("PRODUCT(
   MAP(
     IF($F30=""Physical"", K$10:ED$10, IF($F30=""Magic"", K$11:ED$11, K$12:ED$12)),
     IF($F30=""Physical"", K$18:ED$18, IF($F30=""Magic"", K$19:ED$19, K$20:ED$20)),
     K$3:ED$3,
     K$5:ED$5,
     K$17:ED$17,
     K30:ED30,
     LAM"&amp;"BDA(
       mitigation,
       enhance,
       job,
       assign,
       precondition,
       check,
       IF(
         OR(AND(check=TRUE, REGEXMATCH(assign, ""SELF""), job=""ガンブレイカー""), AND(check=Option!$H$13, REGEXMATCH(assign, ""SINGLE_PARTY""))),
  "&amp;"       IF(
           OR(ARRAYFORMULA((IF(precondition="""", FALSE, REGEXMATCH($K$4:$ED$4, precondition))) * (K30:ED30=TRUE))),
           enhance,
           mitigation
         ),
         1
       )
     )
   )
 ) * EE30"),1.0)</f>
        <v>1</v>
      </c>
      <c r="FK30" s="206">
        <f t="shared" si="12"/>
        <v>12000</v>
      </c>
      <c r="FL30" s="205">
        <f>IFERROR(__xludf.DUMMYFUNCTION("PRODUCT(
   MAP(
     K$3:ED$3,
     K$14:ED$14,
     K$13:ED$13,
     K30:ED30,
     LAMBDA(
       job,
       buff,
       target,
       check,
       IF(
         OR(AND(check=TRUE, REGEXMATCH(target, ""SELF_AFFECTED_ALL""), job=""ガンブレイカー""), AND(che"&amp;"ck=Option!$H$13, REGEXMATCH(target, ""SINGLE_AFFECTED_ALL""))),
         buff,
         1
       )
     )
   )
 )"),1.0)</f>
        <v>1</v>
      </c>
      <c r="FM30" s="206">
        <f>IFERROR(__xludf.DUMMYFUNCTION("SUM(
   MAP(
     K$3:ED$3,
     K$7:ED$7,
     K$15:ED$15,
     K$16:ED$16,
     K$21:ED$21,
     K$5:ED$5,
     K$17:ED$17,
     K30:ED30,
     LAMBDA(
       job,
       abillity,
       buff,
       barrier,
       enhance,
       assign,
       preco"&amp;"ndition,
       check,
       IF(
         OR(AND(check=TRUE, REGEXMATCH(assign, ""SELF""), job=""ガンブレイカー""), AND(check=Option!$H$13, REGEXMATCH(assign, ""SINGLE_PARTY""))),
         IF(
           OR(ARRAYFORMULA((IF(precondition="""", FALSE, REGEXMATCH("&amp;"$K$4:$ED$4, precondition))) * (K30:ED30=TRUE))),
           enhance,
           IF(barrier="""", buff, barrier)
         ),
         0
       ) *
       SWITCH(
         job,
         ""暗黒騎士"", FN$24,
         ""白魔道士"", EF30 * EH30 * FL30 * IF(abillity, 1"&amp;", EG30 * EI30) * (Option!$D$22 * 0.81 / 100),
         ""占星術師"", EF30 * EJ30 * FL30 * IF(abillity, 1, EG30 * EK30) * (Option!$D$23 * 0.81 / 100),
         ""学者"", EF30 * EL30 * FL30 * IF(abillity, 1, EG30 * EM30) * (Option!$D$24 * 0.81 / 100),
         """&amp;"賢者"", EF30 * EN30 * FL30 * IF(abillity, 1, EG30 * EO30) * (Option!$D$25 * 0.81 / 100),
         1
       )
     )
   )
 ) + EQ30"),0.0)</f>
        <v>0</v>
      </c>
      <c r="FN30" s="206">
        <f t="shared" si="13"/>
        <v>12000</v>
      </c>
      <c r="FO30" s="213"/>
    </row>
    <row r="31">
      <c r="B31" s="229"/>
      <c r="C31" s="217">
        <f t="shared" si="1"/>
        <v>0.004409722222</v>
      </c>
      <c r="D31" s="236">
        <v>6.018518518518519E-4</v>
      </c>
      <c r="E31" s="237" t="s">
        <v>1104</v>
      </c>
      <c r="F31" s="167" t="s">
        <v>11</v>
      </c>
      <c r="G31" s="168" t="str">
        <f t="shared" si="2"/>
        <v/>
      </c>
      <c r="H31" s="169">
        <v>11000.0</v>
      </c>
      <c r="I31" s="169"/>
      <c r="J31" s="169"/>
      <c r="K31" s="170" t="b">
        <v>0</v>
      </c>
      <c r="L31" s="170" t="b">
        <v>0</v>
      </c>
      <c r="M31" s="170" t="b">
        <v>0</v>
      </c>
      <c r="N31" s="171" t="s">
        <v>1070</v>
      </c>
      <c r="O31" s="172" t="b">
        <v>0</v>
      </c>
      <c r="P31" s="173" t="b">
        <v>0</v>
      </c>
      <c r="Q31" s="173" t="b">
        <v>0</v>
      </c>
      <c r="R31" s="173" t="b">
        <v>0</v>
      </c>
      <c r="S31" s="174" t="b">
        <v>0</v>
      </c>
      <c r="T31" s="175" t="b">
        <v>0</v>
      </c>
      <c r="U31" s="173" t="b">
        <v>0</v>
      </c>
      <c r="V31" s="171" t="s">
        <v>1070</v>
      </c>
      <c r="W31" s="172" t="b">
        <v>0</v>
      </c>
      <c r="X31" s="173" t="b">
        <v>0</v>
      </c>
      <c r="Y31" s="173" t="b">
        <v>0</v>
      </c>
      <c r="Z31" s="173" t="b">
        <v>0</v>
      </c>
      <c r="AA31" s="174" t="b">
        <v>0</v>
      </c>
      <c r="AB31" s="174" t="b">
        <v>0</v>
      </c>
      <c r="AC31" s="175" t="b">
        <v>0</v>
      </c>
      <c r="AD31" s="173" t="b">
        <v>0</v>
      </c>
      <c r="AE31" s="176" t="s">
        <v>1070</v>
      </c>
      <c r="AF31" s="171" t="s">
        <v>1070</v>
      </c>
      <c r="AG31" s="177">
        <f>IFERROR(__xludf.DUMMYFUNCTION("IF(
  ISNUMBER(AG30),
  MIN(MAX(
    AG30
    + MAX(
      ROUNDDOWN(($D31 - MAX(IFERROR(FILTER($D$24:$D30, AG$24:AG30 &lt;&gt; AF$6, AG$23:AG29 = AF$6), 0))) * (60 * 60 * 24) / AF$9) - ROUNDDOWN(($D30 - MAX(IFERROR(FILTER($D$23:$D29, AG$23:AG29 &lt;&gt; AF$6, AG$22:"&amp;"AG28 = AF$6), 0))) * (60 * 60 * 24) / 60),
      0
    )
    - COUNTIF(AF31, ""&lt;&gt;-""),
  0), AF$6),
  AF$6 - COUNTIF(AF31, ""&lt;&gt;-"")
)"),1.0)</f>
        <v>1</v>
      </c>
      <c r="AH31" s="173" t="b">
        <v>0</v>
      </c>
      <c r="AI31" s="173" t="b">
        <v>0</v>
      </c>
      <c r="AJ31" s="173" t="b">
        <v>0</v>
      </c>
      <c r="AK31" s="174" t="b">
        <v>0</v>
      </c>
      <c r="AL31" s="175" t="b">
        <v>0</v>
      </c>
      <c r="AM31" s="173" t="b">
        <v>0</v>
      </c>
      <c r="AN31" s="171" t="s">
        <v>1070</v>
      </c>
      <c r="AO31" s="173" t="b">
        <v>0</v>
      </c>
      <c r="AP31" s="173" t="b">
        <v>0</v>
      </c>
      <c r="AQ31" s="173" t="b">
        <v>0</v>
      </c>
      <c r="AR31" s="174" t="b">
        <v>0</v>
      </c>
      <c r="AS31" s="178" t="b">
        <v>0</v>
      </c>
      <c r="AT31" s="179" t="b">
        <v>0</v>
      </c>
      <c r="AU31" s="180" t="b">
        <v>0</v>
      </c>
      <c r="AV31" s="180" t="b">
        <v>0</v>
      </c>
      <c r="AW31" s="180" t="b">
        <v>0</v>
      </c>
      <c r="AX31" s="180" t="b">
        <v>0</v>
      </c>
      <c r="AY31" s="181" t="s">
        <v>1070</v>
      </c>
      <c r="AZ31" s="181" t="s">
        <v>1070</v>
      </c>
      <c r="BA31" s="184">
        <f>IFERROR(__xludf.DUMMYFUNCTION("IF(
  ISNUMBER(BA30),
  MIN(MAX(
    BA30
    + MAX(
      ROUNDDOWN((D31 - MAX(IFERROR(FILTER(D$24:D30, BA$24:BA30 &lt;&gt; AZ$6, BA$23:BA29 = AZ$6), 0))) * (60 * 60 * 24) / AZ$9) - ROUNDDOWN((D30 - MAX(IFERROR(FILTER(D$23:D29, BA$23:BA29 &lt;&gt; AZ$6, BA$22:BA28 ="&amp;" AZ$6), 0))) * (60 * 60 * 24) / AZ$9),
      0
    )
    - COUNTIF(AZ31, ""&lt;&gt;-""),
  0), AZ$6),
  AZ$6 - COUNTIF(AZ31, ""&lt;&gt;-"")
)"),2.0)</f>
        <v>2</v>
      </c>
      <c r="BB31" s="181" t="s">
        <v>1070</v>
      </c>
      <c r="BC31" s="183">
        <f>IFERROR(__xludf.DUMMYFUNCTION("IF(
  ISNUMBER(BC30),
  MIN(MAX(
    BC30
    + MAX(
      ROUNDDOWN(($D31 - MAX(IFERROR(FILTER($D$24:$D30, BC$24:BC30 &lt;&gt; BB$6, BC$23:BC29 = BB$6), 0))) * (60 * 60 * 24) / BB$9) - ROUNDDOWN(($D30 - MAX(IFERROR(FILTER($D$23:$D29, BC$23:BC29 &lt;&gt; BB$6, BC$22:"&amp;"BC28 = BB$6), 0))) * (60 * 60 * 24) / 60),
      0
    )
    - COUNTIF(BB31, ""&lt;&gt;-""),
  0), BB$6),
  BB$6 - COUNTIF(BB31, ""&lt;&gt;-"")
)"),2.0)</f>
        <v>2</v>
      </c>
      <c r="BD31" s="181" t="s">
        <v>1070</v>
      </c>
      <c r="BE31" s="178" t="b">
        <v>0</v>
      </c>
      <c r="BF31" s="180" t="b">
        <v>0</v>
      </c>
      <c r="BG31" s="180" t="b">
        <v>0</v>
      </c>
      <c r="BH31" s="180" t="b">
        <v>0</v>
      </c>
      <c r="BI31" s="180" t="b">
        <v>0</v>
      </c>
      <c r="BJ31" s="180" t="b">
        <v>0</v>
      </c>
      <c r="BK31" s="180" t="b">
        <v>0</v>
      </c>
      <c r="BL31" s="180" t="b">
        <v>0</v>
      </c>
      <c r="BM31" s="180" t="b">
        <v>0</v>
      </c>
      <c r="BN31" s="180" t="b">
        <v>0</v>
      </c>
      <c r="BO31" s="181" t="s">
        <v>1070</v>
      </c>
      <c r="BP31" s="181" t="s">
        <v>1070</v>
      </c>
      <c r="BQ31" s="181" t="s">
        <v>1070</v>
      </c>
      <c r="BR31" s="181" t="s">
        <v>1070</v>
      </c>
      <c r="BS31" s="181" t="s">
        <v>1070</v>
      </c>
      <c r="BT31" s="184">
        <f>IFERROR(__xludf.DUMMYFUNCTION("IF(
  ISNUMBER(BT30),
  MIN(MAX(
    BT30
    + MAX(
      ROUNDDOWN((D31 - MAX(IFERROR(FILTER(D$24:D30, BT$24:BT30 &lt;&gt; BS$6, BT$23:BT29 = BS$6), 0))) * (60 * 60 * 24) / BS$9) - ROUNDDOWN((D30 - MAX(IFERROR(FILTER(D$23:D29, BT$23:BT29 &lt;&gt; BS$6, BT$22:BT28 ="&amp;" BS$6), 0))) * (60 * 60 * 24) / BS$9),
      0
    )
    - COUNTIF(BS31, ""&lt;&gt;-""),
  0), BS$6),
  BS$6 - COUNTIF(BS31, ""&lt;&gt;-"")
)"),3.0)</f>
        <v>3</v>
      </c>
      <c r="BU31" s="181" t="s">
        <v>1070</v>
      </c>
      <c r="BV31" s="181" t="s">
        <v>1070</v>
      </c>
      <c r="BW31" s="184">
        <f>IFERROR(__xludf.DUMMYFUNCTION("IF(
  ISNUMBER(BW30),
  MIN(MAX(
    BW30
    + MAX(
      ROUNDDOWN((D31 - MAX(IFERROR(FILTER(D$24:D30, BW$24:BW30 &lt;&gt; BV$6, BW$23:BW29 = BV$6), 0))) * (60 * 60 * 24) / BV$9) - ROUNDDOWN((D30 - MAX(IFERROR(FILTER(D$23:D29, BW$23:BW29 &lt;&gt; BV$6, BW$22:BW28 ="&amp;" BV$6), 0))) * (60 * 60 * 24) / BV$9),
      0
    )
    - COUNTIF(BV31, ""&lt;&gt;-""),
  0), BV$6),
  BV$6 - COUNTIF(BV31, ""&lt;&gt;-"")
)"),2.0)</f>
        <v>2</v>
      </c>
      <c r="BX31" s="185" t="s">
        <v>1070</v>
      </c>
      <c r="BY31" s="178" t="b">
        <v>0</v>
      </c>
      <c r="BZ31" s="180" t="b">
        <v>0</v>
      </c>
      <c r="CA31" s="180" t="b">
        <v>0</v>
      </c>
      <c r="CB31" s="180" t="b">
        <v>0</v>
      </c>
      <c r="CC31" s="180" t="b">
        <v>0</v>
      </c>
      <c r="CD31" s="180" t="b">
        <v>0</v>
      </c>
      <c r="CE31" s="180" t="b">
        <v>0</v>
      </c>
      <c r="CF31" s="180" t="b">
        <v>0</v>
      </c>
      <c r="CG31" s="180" t="b">
        <v>0</v>
      </c>
      <c r="CH31" s="180" t="b">
        <v>0</v>
      </c>
      <c r="CI31" s="180" t="b">
        <v>0</v>
      </c>
      <c r="CJ31" s="180" t="b">
        <v>0</v>
      </c>
      <c r="CK31" s="180" t="b">
        <v>0</v>
      </c>
      <c r="CL31" s="180" t="b">
        <v>0</v>
      </c>
      <c r="CM31" s="181" t="s">
        <v>1070</v>
      </c>
      <c r="CN31" s="181" t="s">
        <v>1070</v>
      </c>
      <c r="CO31" s="181" t="s">
        <v>1070</v>
      </c>
      <c r="CP31" s="181" t="s">
        <v>1070</v>
      </c>
      <c r="CQ31" s="185" t="s">
        <v>1070</v>
      </c>
      <c r="CR31" s="180" t="b">
        <v>0</v>
      </c>
      <c r="CS31" s="186" t="str">
        <f t="shared" si="14"/>
        <v>◇◇◇</v>
      </c>
      <c r="CT31" s="178" t="b">
        <v>0</v>
      </c>
      <c r="CU31" s="180" t="b">
        <v>0</v>
      </c>
      <c r="CV31" s="180" t="b">
        <v>0</v>
      </c>
      <c r="CW31" s="180" t="b">
        <v>0</v>
      </c>
      <c r="CX31" s="180" t="b">
        <v>0</v>
      </c>
      <c r="CY31" s="180" t="b">
        <v>0</v>
      </c>
      <c r="CZ31" s="180" t="b">
        <v>0</v>
      </c>
      <c r="DA31" s="180" t="b">
        <v>0</v>
      </c>
      <c r="DB31" s="180" t="b">
        <v>0</v>
      </c>
      <c r="DC31" s="180" t="b">
        <v>0</v>
      </c>
      <c r="DD31" s="181" t="s">
        <v>1070</v>
      </c>
      <c r="DE31" s="181" t="s">
        <v>1070</v>
      </c>
      <c r="DF31" s="181" t="s">
        <v>1070</v>
      </c>
      <c r="DG31" s="185" t="s">
        <v>1070</v>
      </c>
      <c r="DH31" s="180" t="b">
        <v>0</v>
      </c>
      <c r="DI31" s="187" t="str">
        <f>IFERROR(__xludf.DUMMYFUNCTION("SWITCH(
  IF(
    ISTEXT(DI30),
    IF (
      FIND(""○"", DI30&amp;""○"") &gt; 3,
      3,
      FIND(""○"", DI30&amp;""○"")
      + MAX(
        ROUNDDOWN(($D31 - MAX(IFERROR(FILTER(D$24:D30, DI$24:DI30 &lt;&gt; ""●●●"", DI$23:DI29 = ""●●●""), 0))) * (60 * 60 * 24) / 20"&amp;") - ROUNDDOWN(($D30 - MAX(IFERROR(FILTER(D$23:D29, DI$23:DI29 &lt;&gt; ""●●●"", DI$22:DI28 = ""●●●""), 0))) * (60 * 60 * 24) / 20),
        0
      ) - 1
    ) - COUNTIFS(CU31, ""=TRUE"", CU30, ""&lt;&gt;TRUE"") - COUNTIF(CZ31, ""=TRUE"") - COUNTIF({DD31,DE31}, ""&lt;&gt;-"&amp;""") + COUNTIF(DH31, ""=TRUE""),
    3
  ),
  0, ""○○○"", 1, ""●○○"", 2, ""●●○"", 3, ""●●●"", 4, ""●●●"", ""○○○""
)"),"●●●")</f>
        <v>●●●</v>
      </c>
      <c r="DJ31" s="188" t="b">
        <v>0</v>
      </c>
      <c r="DK31" s="189" t="b">
        <v>0</v>
      </c>
      <c r="DL31" s="190" t="b">
        <v>0</v>
      </c>
      <c r="DM31" s="190" t="b">
        <v>0</v>
      </c>
      <c r="DN31" s="190" t="b">
        <v>0</v>
      </c>
      <c r="DO31" s="190" t="b">
        <v>0</v>
      </c>
      <c r="DP31" s="190" t="b">
        <v>0</v>
      </c>
      <c r="DQ31" s="191" t="b">
        <v>0</v>
      </c>
      <c r="DR31" s="192" t="b">
        <v>0</v>
      </c>
      <c r="DS31" s="191" t="b">
        <v>0</v>
      </c>
      <c r="DT31" s="192" t="b">
        <v>0</v>
      </c>
      <c r="DU31" s="191" t="b">
        <v>0</v>
      </c>
      <c r="DV31" s="193" t="s">
        <v>1070</v>
      </c>
      <c r="DW31" s="194" t="b">
        <v>0</v>
      </c>
      <c r="DX31" s="194" t="b">
        <v>1</v>
      </c>
      <c r="DY31" s="195" t="b">
        <v>0</v>
      </c>
      <c r="DZ31" s="196" t="b">
        <v>0</v>
      </c>
      <c r="EA31" s="195" t="b">
        <v>0</v>
      </c>
      <c r="EB31" s="197" t="b">
        <v>0</v>
      </c>
      <c r="EC31" s="197" t="b">
        <v>0</v>
      </c>
      <c r="ED31" s="212" t="b">
        <v>0</v>
      </c>
      <c r="EE31" s="199">
        <f>IFERROR(__xludf.DUMMYFUNCTION("IFERROR(
   PRODUCT(
     MAP(
       INDEX(TRANSPOSE(UNIQUE(TRANSPOSE(FILTER({IF($F31=""Physical"", K$10:ED$10, IF($F31=""Magic"", K$11:ED$11, K$12:ED$12));K$4:ED$4;K31:ED31}, K31:ED31=TRUE)))), 1, 0),
       INDEX(TRANSPOSE(UNIQUE(TRANSPOSE(FILTER({IF($"&amp;"F31=""Physical"", K$18:ED$18, IF($F31=""Magic"", K$19:ED$19, K$20:ED$20));K$4:ED$4;K31:ED31}, K31:ED31=TRUE)))), 1, 0),
       INDEX(TRANSPOSE(UNIQUE(TRANSPOSE(FILTER({K$5:ED$5;K$4:ED$4;K31:ED31}, K31:ED31=TRUE)))), 1, 0),
       INDEX(TRANSPOSE(UNIQUE(TR"&amp;"ANSPOSE(FILTER({K$17:ED$17;K$4:ED$4;K31:ED31}, K31:ED31=TRUE)))), 1, 0),
       LAMBDA(
         mitigation,
         enhance,
         assign,
         precondition,
         IF(
           REGEXMATCH(assign, ""RANGE_PARTY|SINGLE_ENEMY|RANGE_ENEMY""),
  "&amp;"         IF(
             OR(ARRAYFORMULA((IF(precondition="""", FALSE, REGEXMATCH(K$4:ED$4, precondition))) * (K31:ED31=TRUE))),
             IF(ISNUMBER(enhance), enhance, 1),
             IF(ISNUMBER(mitigation), mitigation, 1)
           ),
          "&amp;" 1
         )
       )
     )
   ),
   1
 )"),0.95)</f>
        <v>0.95</v>
      </c>
      <c r="EF31" s="200">
        <f>IFERROR(__xludf.DUMMYFUNCTION("PRODUCT(
   MAP(
     K$14:ED$14,
     K$13:ED$13,
     K31:ED31,
     LAMBDA(
       buff,
       target,
       check,
       IF(
         AND(check=TRUE, REGEXMATCH(target, ""RANGE_AFFECTED_ALL|RANGE_EFFECTED_ALL""), ISNUMBER(buff)),
         buff,
   "&amp;"      1
       )
     )
   )
 )"),1.0)</f>
        <v>1</v>
      </c>
      <c r="EG31" s="200">
        <f>IFERROR(__xludf.DUMMYFUNCTION("PRODUCT(
   MAP(
     K$14:ED$14,
     K$13:ED$13,
     K31:ED31,
     LAMBDA(
       buff,
       target,
       check,
       IF(
         AND(check=TRUE, REGEXMATCH(target, ""RANGE_AFFECTED_GCD|RANGE_EFFECTED_GCD""), ISNUMBER(buff)),
         buff,
   "&amp;"      1
       )
     )
   )
 )"),1.0)</f>
        <v>1</v>
      </c>
      <c r="EH31" s="200">
        <f>IFERROR(__xludf.DUMMYFUNCTION("PRODUCT(
   MAP(
     K$3:ED$3,
     K$14:ED$14,
     K$13:ED$13,
     K31:ED31,
     LAMBDA(
       job,
       buff,
       target,
       check,
       IF(
         AND(check=TRUE, REGEXMATCH(target, ""SELF_EFFECTED_ALL""), ISNUMBER(buff), job=""白魔道士"""&amp;"),
         buff,
         1
       )
     )
   )
 )"),1.0)</f>
        <v>1</v>
      </c>
      <c r="EI31" s="200">
        <f>IFERROR(__xludf.DUMMYFUNCTION("PRODUCT(
   MAP(
     K$3:ED$3,
     K$14:ED$14,
     K$13:ED$13,
     K31:ED31,
     LAMBDA(
       job,
       buff,
       target,
       check,
       IF(
         AND(check=TRUE, REGEXMATCH(target, ""SELF_EFFECTED_GCD""), ISNUMBER(buff), job=""白魔道士"""&amp;"),
         buff,
         1
       )
     )
   )
 )"),1.0)</f>
        <v>1</v>
      </c>
      <c r="EJ31" s="200">
        <f>IFERROR(__xludf.DUMMYFUNCTION("PRODUCT(
   MAP(
     K$3:ED$3,
     K$14:ED$14,
     K$13:ED$13,
     K31:ED31,
     LAMBDA(
       job,
       buff,
       target,
       check,
       IF(
         AND(check=TRUE, REGEXMATCH(target, ""SELF_EFFECTED_ALL""), ISNUMBER(buff), job=""占星術師"""&amp;"),
         buff,
         1
       )
     )
   )
 )"),1.0)</f>
        <v>1</v>
      </c>
      <c r="EK31" s="200">
        <f>IFERROR(__xludf.DUMMYFUNCTION("PRODUCT(
   MAP(
     K$3:ED$3,
     K$14:ED$14,
     K$13:ED$13,
     K31:ED31,
     LAMBDA(
       job,
       buff,
       target,
       check,
       IF(
         AND(check=TRUE, REGEXMATCH(target, ""SELF_EFFECTED_GCD""), ISNUMBER(buff), job=""占星術師"""&amp;"),
         buff,
         1
       )
     )
   )
 )"),1.0)</f>
        <v>1</v>
      </c>
      <c r="EL31" s="200">
        <f>IFERROR(__xludf.DUMMYFUNCTION("PRODUCT(
   MAP(
     K$3:ED$3,
     K$14:ED$14,
     K$13:ED$13,
     K31:ED31,
     LAMBDA(
       job,
       buff,
       target,
       check,
       IF(
         AND(check=TRUE, REGEXMATCH(target, ""SELF_EFFECTED_ALL""), ISNUMBER(buff), job=""学者""),"&amp;"
         buff,
         1
       )
     )
   )
 )"),1.0)</f>
        <v>1</v>
      </c>
      <c r="EM31" s="200">
        <f>IFERROR(__xludf.DUMMYFUNCTION("PRODUCT(
   MAP(
     K$3:ED$3,
     K$14:ED$14,
     K$13:ED$13,
     K31:ED31,
     LAMBDA(
       job,
       buff,
       target,
       check,
       IF(
         AND(check=TRUE, REGEXMATCH(target, ""SELF_EFFECTED_GCD""), ISNUMBER(buff), job=""学者""),"&amp;"
         buff,
         1
       )
     )
   )
 )"),1.0)</f>
        <v>1</v>
      </c>
      <c r="EN31" s="200">
        <f>IFERROR(__xludf.DUMMYFUNCTION("PRODUCT(
   MAP(
     K$3:ED$3,
     K$14:ED$14,
     K$13:ED$13,
     K31:ED31,
     LAMBDA(
       job,
       buff,
       target,
       check,
       IF(
         AND(check=TRUE, REGEXMATCH(target, ""SELF_EFFECTED_ALL""), ISNUMBER(buff), job=""賢者""),"&amp;"
         buff,
         1
       )
     )
   )
 )"),1.0)</f>
        <v>1</v>
      </c>
      <c r="EO31" s="200">
        <f>IFERROR(__xludf.DUMMYFUNCTION("PRODUCT(
   MAP(
     K$3:ED$3,
     K$14:ED$14,
     K$13:ED$13,
     K31:ED31,
     LAMBDA(
       job,
       buff,
       target,
       check,
       IF(
         AND(check=TRUE, REGEXMATCH(target, ""SELF_EFFECTED_GCD""), ISNUMBER(buff), job=""賢者""),"&amp;"
         buff,
         1
       )
     )
   )
 )"),1.0)</f>
        <v>1</v>
      </c>
      <c r="EP31" s="201">
        <f t="shared" si="3"/>
        <v>10450</v>
      </c>
      <c r="EQ31" s="201">
        <f>IFERROR(__xludf.DUMMYFUNCTION("SUM(
   MAP(
     K$4:ED$4,
     K$3:ED$3,
     K$7:ED$7,
     K$15:ED$15,
     K$16:ED$16,
     K$21:ED$21,
     K$5:ED$5,
     K$17:ED$17,
     K31:ED31,
     LAMBDA(
       name,
       job,
       abillity,
       buff,
       barrier,
       enhance,"&amp;"
       assign,
       precondition,
       check,
       SWITCH(
         name,
         ""シェイクオフ"", IF(check=TRUE, buff + (0.02 * COUNTIF(ARRAYFORMULA((REGEXMATCH($K$4:$ED$4, ""スリル・オブ・バトル|ヴェンジェンス|原初の血気|ダムネーション"")) * (K31:ED31=TRUE)), 1)), 0),
         "&amp;"""インプロビゼーションフィニッシュ(踊りの激情0)"", IF(ISNUMBER(check), INDEX(Skill!$AJ:$AJ, MATCH(SUBSTITUTE(DV$4, 0, check), Skill!$C:$C, 0)), 0),
         IF(
           AND(check=TRUE, REGEXMATCH(assign, ""RANGE_PARTY"")),
           IF(
             OR(ARRAYFORMULA((IF(pr"&amp;"econdition="""", FALSE, REGEXMATCH($K$4:$ED$4, precondition))) * (K31:ED31=TRUE))),
             enhance,
             IF(barrier="""", buff, barrier)
           ),
           0
         )
       ) *
       SWITCH(
         job,
         ""ナイト"", EY$24,
 "&amp;"        ""戦士"", FD$24,
         ""踊り子"", ET$24,
         ""ピクトマンサー"", ET$24,
         ""白魔道士"", EF31 * EH31 * IF(abillity, 1, EG31 * EI31) * (Option!$D$22 * 0.81 / 100),
         ""占星術師"", EF31 * EJ31 * IF(abillity, 1, EG31 * EK31) * (Option!$D$23 * 0.81 "&amp;"/ 100),
         ""学者"", EF31 * EL31 * IF(abillity, 1, EG31 * EM31) * (Option!$D$24 * 0.81 / 100),
         ""賢者"", EF31 * EN31 * IF(abillity, 1, EG31 * EO31) * (Option!$D$25 * 0.81 / 100),
         1
       )
     )
   )
 )"),0.0)</f>
        <v>0</v>
      </c>
      <c r="ER31" s="202">
        <f t="shared" si="4"/>
        <v>10450</v>
      </c>
      <c r="ES31" s="203">
        <f t="shared" si="5"/>
        <v>0</v>
      </c>
      <c r="ET31" s="231" t="str">
        <f>IFERROR(__xludf.DUMMYFUNCTION("IFS(
  EP31 &gt; $ET$24 + EQ31,
  SPARKLINE({ 1, 0 }, {""charttype"",""bar"";""max"", 1;""color1"",Option!$D$30;""color2"",Option!$D$30}),
  EP31 &lt; EQ31,
  SPARKLINE({EQ31 - EP31, $ET$24 - (EQ31 - EP31)}, {""charttype"",""bar"";""max"",$ET$24;""color1"",Opti"&amp;"on!$D$28;""color2"",Option!$D$29}),
  EP31 &gt;= EQ31,
  SPARKLINE({$ET$24 + EQ31 - EP31,EP31 - EQ31}, {""charttype"",""bar"";""max"",$ET$24;""color1"",Option!$D$29;""color2"",Option!$D$30})
)"),"")</f>
        <v/>
      </c>
      <c r="EU31" s="205">
        <f>IFERROR(__xludf.DUMMYFUNCTION("PRODUCT(
   MAP(
     IF($F31=""Physical"", K$10:ED$10, IF($F31=""Magic"", K$11:ED$11, K$12:ED$12)),
     IF($F31=""Physical"", K$18:ED$18, IF($F31=""Magic"", K$19:ED$19, K$20:ED$20)),
     K$3:ED$3,
     K$5:ED$5,
     K$17:ED$17,
     K31:ED31,
     LAM"&amp;"BDA(
       mitigation,
       enhance,
       job,
       assign,
       precondition,
       check,
       IF(
         OR(AND(check=TRUE, REGEXMATCH(assign, ""SELF""), job=""ナイト""), AND(check=Option!$E$13, REGEXMATCH(assign, ""SINGLE_PARTY""))),
      "&amp;"   IF(
           OR(ARRAYFORMULA((IF(precondition="""", FALSE, REGEXMATCH($K$4:$ED$4, precondition))) * (K31:ED31=TRUE))),
           enhance,
           mitigation
         ),
         1
       )
     )
   )
 ) * EE31"),0.95)</f>
        <v>0.95</v>
      </c>
      <c r="EV31" s="206">
        <f t="shared" si="6"/>
        <v>8360</v>
      </c>
      <c r="EW31" s="205">
        <f>IFERROR(__xludf.DUMMYFUNCTION("PRODUCT(
   MAP(
     K$3:ED$3,
     K$14:ED$14,
     K$13:ED$13,
     K31:ED31,
     LAMBDA(
       job,
       buff,
       target,
       check,
       IF(
         OR(AND(check=TRUE, REGEXMATCH(target, ""SELF_AFFECTED_ALL""), job=""ナイト""), AND(check=O"&amp;"ption!$E$13, REGEXMATCH(target, ""SINGLE_AFFECTED_ALL""))),
         buff,
         1
       )
     )
   )
 )"),1.0)</f>
        <v>1</v>
      </c>
      <c r="EX31" s="206">
        <f>IFERROR(__xludf.DUMMYFUNCTION("SUM(
   MAP(
     K$3:ED$3,
     K$7:ED$7,
     K$15:ED$15,
     K$16:ED$16,
     K$21:ED$21,
     K$5:ED$5,
     K$17:ED$17,
     K31:ED31,
     LAMBDA(
       job,
       abillity,
       buff,
       barrier,
       enhance,
       assign,
       preco"&amp;"ndition,
       check,
       IF(
         OR(AND(check=TRUE, REGEXMATCH(assign, ""SELF""), job=""ナイト""), AND(check=Option!$E$13, REGEXMATCH(assign, ""SINGLE_PARTY""))),
         IF(
           OR(ARRAYFORMULA((IF(precondition="""", FALSE, REGEXMATCH($K$4"&amp;":$ED$4, precondition))) * (K31:ED31=TRUE))),
           enhance,
           IF(barrier="""", buff, barrier)
         ),
         0
       ) *
       SWITCH(
         job,
         ""暗黒騎士"", EY$24,
         ""白魔道士"", EF31 * EH31 * EW31 * IF(abillity, 1, EG"&amp;"31 * EI31) * (Option!$D$22 * 0.81 / 100),
         ""占星術師"", EF31 * EJ31 * EW31 * IF(abillity, 1, EG31 * EK31) * (Option!$D$23 * 0.81 / 100),
         ""学者"", EF31 * EL31 * EW31 * IF(abillity, 1, EG31 * EM31) * (Option!$D$24 * 0.81 / 100),
         ""賢者"""&amp;", EF31 * EN31 * EW31 * IF(abillity, 1, EG31 * EO31) * (Option!$D$25 * 0.81 / 100),
         1
       )
     )
   )
 ) + EQ31"),0.0)</f>
        <v>0</v>
      </c>
      <c r="EY31" s="232">
        <f t="shared" si="7"/>
        <v>8360</v>
      </c>
      <c r="EZ31" s="205">
        <f>IFERROR(__xludf.DUMMYFUNCTION("PRODUCT(
   MAP(
     IF($F31=""Physical"", K$10:ED$10, IF($F31=""Magic"", K$11:ED$11, K$12:ED$12)),
     IF($F31=""Physical"", K$18:ED$18, IF($F31=""Magic"", K$19:ED$19, K$20:ED$20)),
     K$3:ED$3,
     K$5:ED$5,
     K$17:ED$17,
     K31:ED31,
     LAM"&amp;"BDA(
       mitigation,
       enhance,
       job,
       assign,
       precondition,
       check,
       IF(
         OR(AND(check=TRUE, REGEXMATCH(assign, ""SELF""), job=""戦士""), AND(check=Option!$F$13, REGEXMATCH(assign, ""SINGLE_PARTY""))),
       "&amp;"  IF(
           OR(ARRAYFORMULA((IF(precondition="""", FALSE, REGEXMATCH($K$4:$ED$4, precondition))) * (K31:ED31=TRUE))),
           enhance,
           mitigation
         ),
         1
       )
     )
   )
 ) * EE31"),0.95)</f>
        <v>0.95</v>
      </c>
      <c r="FA31" s="206">
        <f t="shared" si="8"/>
        <v>8360</v>
      </c>
      <c r="FB31" s="205">
        <f>IFERROR(__xludf.DUMMYFUNCTION("PRODUCT(
   MAP(
     K$3:ED$3,
     K$14:ED$14,
     K$13:ED$13,
     K31:ED31,
     LAMBDA(
       job,
       buff,
       target,
       check,
       IF(
         OR(AND(check=TRUE, REGEXMATCH(target, ""SELF_AFFECTED_ALL""), job=""戦士""), AND(check=Op"&amp;"tion!$F$13, REGEXMATCH(target, ""SINGLE_AFFECTED_ALL""))),
         buff,
         1
       )
     )
   )
 )"),1.0)</f>
        <v>1</v>
      </c>
      <c r="FC31" s="206">
        <f>IFERROR(__xludf.DUMMYFUNCTION("SUM(
   MAP(
     K$3:ED$3,
     K$7:ED$7,
     K$15:ED$15,
     K$16:ED$16,
     K$21:ED$21,
     K$5:ED$5,
     K$17:ED$17,
     K31:ED31,
     LAMBDA(
       job,
       abillity,
       buff,
       barrier,
       enhance,
       assign,
       preco"&amp;"ndition,
       check,
       IF(
         OR(AND(check=TRUE, REGEXMATCH(assign, ""SELF""), job=""戦士""), AND(check=Option!$F$13, REGEXMATCH(assign, ""SINGLE_PARTY""))),
         IF(
           OR(ARRAYFORMULA((IF(precondition="""", FALSE, REGEXMATCH($K$4:"&amp;"$ED$4, precondition))) * (K31:ED31=TRUE))),
           enhance,
           IF(barrier="""", buff, barrier)
         ),
         0
       ) *
       SWITCH(
         job,
         ""暗黒騎士"", FD$24,
         ""白魔道士"", EF31 * EH31 * FB31 * IF(abillity, 1, EG3"&amp;"1 * EI31) * (Option!$D$22 * 0.81 / 100),
         ""占星術師"", EF31 * EJ31 * FFB31 * IF(abillity, 1, EG31 * EK31) * (Option!$D$23 * 0.81 / 100),
         ""学者"", EF31 * EL31 * FB31 * IF(abillity, 1, EG31 * EM31) * (Option!$D$24 * 0.81 / 100),
         ""賢者"""&amp;", EF31 * EN31 * FB31 * IF(abillity, 1, EG31 * EO31) * (Option!$D$25 * 0.81 / 100),
         1
       )
     )
   )
 ) + EQ31"),0.0)</f>
        <v>0</v>
      </c>
      <c r="FD31" s="206">
        <f t="shared" si="9"/>
        <v>8360</v>
      </c>
      <c r="FE31" s="205">
        <f>IFERROR(__xludf.DUMMYFUNCTION("PRODUCT(
   MAP(
     IF($F31=""Physical"", K$10:ED$10, IF($F31=""Magic"", K$11:ED$11, K$12:ED$12)),
     IF($F31=""Physical"", K$18:ED$18, IF($F31=""Magic"", K$19:ED$19, K$20:ED$20)),
     K$3:ED$3,
     K$5:ED$5,
     K$17:ED$17,
     K31:ED31,
     LAM"&amp;"BDA(
       mitigation,
       enhance,
       job,
       assign,
       precondition,
       check,
       IF(
         OR(AND(check=TRUE, REGEXMATCH(assign, ""SELF""), job=""暗黒騎士""), AND(check=Option!$G$13, REGEXMATCH(assign, ""SINGLE_PARTY""))),
     "&amp;"    IF(
           OR(ARRAYFORMULA((IF(precondition="""", FALSE, REGEXMATCH($K$4:$ED$4, precondition))) * (K31:ED31=TRUE))),
           enhance,
           mitigation
         ),
         1
       )
     )
   )
 ) * EE31"),0.95)</f>
        <v>0.95</v>
      </c>
      <c r="FF31" s="206">
        <f t="shared" si="10"/>
        <v>8360</v>
      </c>
      <c r="FG31" s="205">
        <f>IFERROR(__xludf.DUMMYFUNCTION("PRODUCT(
   MAP(
     K$3:ED$3,
     K$14:ED$14,
     K$13:ED$13,
     K31:ED31,
     LAMBDA(
       job,
       buff,
       target,
       check,
       IF(
         OR(AND(check=TRUE, REGEXMATCH(target, ""SELF_AFFECTED_ALL""), job=""暗黒騎士""), AND(check="&amp;"Option!$G$13, REGEXMATCH(target, ""SINGLE_AFFECTED_ALL""))),
         buff,
         1
       )
     )
   )
 )"),1.0)</f>
        <v>1</v>
      </c>
      <c r="FH31" s="206">
        <f>IFERROR(__xludf.DUMMYFUNCTION("SUM(
   MAP(
     K$3:ED$3,
     K$7:ED$7,
     K$15:ED$15,
     K$16:ED$16,
     K$21:ED$21,
     K$5:ED$5,
     K$17:ED$17,
     K31:ED31,
     LAMBDA(
       job,
       abillity,
       buff,
       barrier,
       enhance,
       assign,
       preco"&amp;"ndition,
       check,
       IF(
         OR(AND(check=TRUE, REGEXMATCH(assign, ""SELF""), job=""暗黒騎士""), AND(check=Option!$G$13, REGEXMATCH(assign, ""SINGLE_PARTY""))),
         IF(
           OR(ARRAYFORMULA((IF(precondition="""", FALSE, REGEXMATCH($K$"&amp;"4:$ED$4, precondition))) * (K31:ED31=TRUE))),
           enhance,
           IF(barrier="""", buff, barrier)
         ),
         0
       ) *
       SWITCH(
         job,
         ""暗黒騎士"", FI$24,
         ""白魔道士"", EF31 * EH31 * FG31 * IF(abillity, 1, E"&amp;"G31 * EI31) * (Option!$D$22 * 0.81 / 100),
         ""占星術師"", EF31 * EJ31 * FG31 * IF(abillity, 1, EG31 * EK31) * (Option!$D$23 * 0.81 / 100),
         ""学者"", EF31 * EL31 * FG31 * IF(abillity, 1, EG31 * EM31) * (Option!$D$24 * 0.81 / 100),
         ""賢者"&amp;""", EF31 * EN31 * FG31 * IF(abillity, 1, EG31 * EO31) * (Option!$D$25 * 0.81 / 100),
         1
       )
     )
   )
 ) + EQ31"),0.0)</f>
        <v>0</v>
      </c>
      <c r="FI31" s="206">
        <f t="shared" si="11"/>
        <v>8360</v>
      </c>
      <c r="FJ31" s="205">
        <f>IFERROR(__xludf.DUMMYFUNCTION("PRODUCT(
   MAP(
     IF($F31=""Physical"", K$10:ED$10, IF($F31=""Magic"", K$11:ED$11, K$12:ED$12)),
     IF($F31=""Physical"", K$18:ED$18, IF($F31=""Magic"", K$19:ED$19, K$20:ED$20)),
     K$3:ED$3,
     K$5:ED$5,
     K$17:ED$17,
     K31:ED31,
     LAM"&amp;"BDA(
       mitigation,
       enhance,
       job,
       assign,
       precondition,
       check,
       IF(
         OR(AND(check=TRUE, REGEXMATCH(assign, ""SELF""), job=""ガンブレイカー""), AND(check=Option!$H$13, REGEXMATCH(assign, ""SINGLE_PARTY""))),
  "&amp;"       IF(
           OR(ARRAYFORMULA((IF(precondition="""", FALSE, REGEXMATCH($K$4:$ED$4, precondition))) * (K31:ED31=TRUE))),
           enhance,
           mitigation
         ),
         1
       )
     )
   )
 ) * EE31"),0.95)</f>
        <v>0.95</v>
      </c>
      <c r="FK31" s="206">
        <f t="shared" si="12"/>
        <v>8360</v>
      </c>
      <c r="FL31" s="205">
        <f>IFERROR(__xludf.DUMMYFUNCTION("PRODUCT(
   MAP(
     K$3:ED$3,
     K$14:ED$14,
     K$13:ED$13,
     K31:ED31,
     LAMBDA(
       job,
       buff,
       target,
       check,
       IF(
         OR(AND(check=TRUE, REGEXMATCH(target, ""SELF_AFFECTED_ALL""), job=""ガンブレイカー""), AND(che"&amp;"ck=Option!$H$13, REGEXMATCH(target, ""SINGLE_AFFECTED_ALL""))),
         buff,
         1
       )
     )
   )
 )"),1.0)</f>
        <v>1</v>
      </c>
      <c r="FM31" s="206">
        <f>IFERROR(__xludf.DUMMYFUNCTION("SUM(
   MAP(
     K$3:ED$3,
     K$7:ED$7,
     K$15:ED$15,
     K$16:ED$16,
     K$21:ED$21,
     K$5:ED$5,
     K$17:ED$17,
     K31:ED31,
     LAMBDA(
       job,
       abillity,
       buff,
       barrier,
       enhance,
       assign,
       preco"&amp;"ndition,
       check,
       IF(
         OR(AND(check=TRUE, REGEXMATCH(assign, ""SELF""), job=""ガンブレイカー""), AND(check=Option!$H$13, REGEXMATCH(assign, ""SINGLE_PARTY""))),
         IF(
           OR(ARRAYFORMULA((IF(precondition="""", FALSE, REGEXMATCH("&amp;"$K$4:$ED$4, precondition))) * (K31:ED31=TRUE))),
           enhance,
           IF(barrier="""", buff, barrier)
         ),
         0
       ) *
       SWITCH(
         job,
         ""暗黒騎士"", FN$24,
         ""白魔道士"", EF31 * EH31 * FL31 * IF(abillity, 1"&amp;", EG31 * EI31) * (Option!$D$22 * 0.81 / 100),
         ""占星術師"", EF31 * EJ31 * FL31 * IF(abillity, 1, EG31 * EK31) * (Option!$D$23 * 0.81 / 100),
         ""学者"", EF31 * EL31 * FL31 * IF(abillity, 1, EG31 * EM31) * (Option!$D$24 * 0.81 / 100),
         """&amp;"賢者"", EF31 * EN31 * FL31 * IF(abillity, 1, EG31 * EO31) * (Option!$D$25 * 0.81 / 100),
         1
       )
     )
   )
 ) + EQ31"),0.0)</f>
        <v>0</v>
      </c>
      <c r="FN31" s="206">
        <f t="shared" si="13"/>
        <v>8360</v>
      </c>
      <c r="FO31" s="213"/>
    </row>
    <row r="32">
      <c r="B32" s="229"/>
      <c r="C32" s="217">
        <f t="shared" si="1"/>
        <v>0.004479166667</v>
      </c>
      <c r="D32" s="236">
        <v>6.712962962962962E-4</v>
      </c>
      <c r="E32" s="237" t="s">
        <v>1101</v>
      </c>
      <c r="F32" s="167" t="s">
        <v>10</v>
      </c>
      <c r="G32" s="168" t="str">
        <f t="shared" si="2"/>
        <v/>
      </c>
      <c r="H32" s="169">
        <v>12500.0</v>
      </c>
      <c r="I32" s="169"/>
      <c r="J32" s="169"/>
      <c r="K32" s="170" t="b">
        <v>0</v>
      </c>
      <c r="L32" s="170" t="b">
        <v>0</v>
      </c>
      <c r="M32" s="170" t="b">
        <v>0</v>
      </c>
      <c r="N32" s="171" t="s">
        <v>1070</v>
      </c>
      <c r="O32" s="172" t="b">
        <v>0</v>
      </c>
      <c r="P32" s="173" t="b">
        <v>0</v>
      </c>
      <c r="Q32" s="173" t="b">
        <v>0</v>
      </c>
      <c r="R32" s="173" t="b">
        <v>0</v>
      </c>
      <c r="S32" s="174" t="b">
        <v>0</v>
      </c>
      <c r="T32" s="175" t="b">
        <v>0</v>
      </c>
      <c r="U32" s="173" t="b">
        <v>0</v>
      </c>
      <c r="V32" s="171" t="s">
        <v>1070</v>
      </c>
      <c r="W32" s="172" t="b">
        <v>0</v>
      </c>
      <c r="X32" s="173" t="b">
        <v>0</v>
      </c>
      <c r="Y32" s="173" t="b">
        <v>0</v>
      </c>
      <c r="Z32" s="173" t="b">
        <v>0</v>
      </c>
      <c r="AA32" s="174" t="b">
        <v>0</v>
      </c>
      <c r="AB32" s="174" t="b">
        <v>0</v>
      </c>
      <c r="AC32" s="175" t="b">
        <v>1</v>
      </c>
      <c r="AD32" s="173" t="b">
        <v>0</v>
      </c>
      <c r="AE32" s="176" t="s">
        <v>1070</v>
      </c>
      <c r="AF32" s="171" t="s">
        <v>1070</v>
      </c>
      <c r="AG32" s="177">
        <f>IFERROR(__xludf.DUMMYFUNCTION("IF(
  ISNUMBER(AG31),
  MIN(MAX(
    AG31
    + MAX(
      ROUNDDOWN(($D32 - MAX(IFERROR(FILTER($D$24:$D31, AG$24:AG31 &lt;&gt; AF$6, AG$23:AG30 = AF$6), 0))) * (60 * 60 * 24) / AF$9) - ROUNDDOWN(($D31 - MAX(IFERROR(FILTER($D$23:$D30, AG$23:AG30 &lt;&gt; AF$6, AG$22:"&amp;"AG29 = AF$6), 0))) * (60 * 60 * 24) / 60),
      0
    )
    - COUNTIF(AF32, ""&lt;&gt;-""),
  0), AF$6),
  AF$6 - COUNTIF(AF32, ""&lt;&gt;-"")
)"),1.0)</f>
        <v>1</v>
      </c>
      <c r="AH32" s="173" t="b">
        <v>0</v>
      </c>
      <c r="AI32" s="173" t="b">
        <v>0</v>
      </c>
      <c r="AJ32" s="173" t="b">
        <v>0</v>
      </c>
      <c r="AK32" s="174" t="b">
        <v>0</v>
      </c>
      <c r="AL32" s="175" t="b">
        <v>0</v>
      </c>
      <c r="AM32" s="173" t="b">
        <v>0</v>
      </c>
      <c r="AN32" s="171" t="s">
        <v>1070</v>
      </c>
      <c r="AO32" s="173" t="b">
        <v>0</v>
      </c>
      <c r="AP32" s="173" t="b">
        <v>0</v>
      </c>
      <c r="AQ32" s="173" t="b">
        <v>0</v>
      </c>
      <c r="AR32" s="174" t="b">
        <v>0</v>
      </c>
      <c r="AS32" s="178" t="b">
        <v>0</v>
      </c>
      <c r="AT32" s="179" t="b">
        <v>0</v>
      </c>
      <c r="AU32" s="180" t="b">
        <v>0</v>
      </c>
      <c r="AV32" s="180" t="b">
        <v>0</v>
      </c>
      <c r="AW32" s="180" t="b">
        <v>0</v>
      </c>
      <c r="AX32" s="180" t="b">
        <v>0</v>
      </c>
      <c r="AY32" s="181" t="s">
        <v>1070</v>
      </c>
      <c r="AZ32" s="181" t="s">
        <v>1070</v>
      </c>
      <c r="BA32" s="184">
        <f>IFERROR(__xludf.DUMMYFUNCTION("IF(
  ISNUMBER(BA31),
  MIN(MAX(
    BA31
    + MAX(
      ROUNDDOWN((D32 - MAX(IFERROR(FILTER(D$24:D31, BA$24:BA31 &lt;&gt; AZ$6, BA$23:BA30 = AZ$6), 0))) * (60 * 60 * 24) / AZ$9) - ROUNDDOWN((D31 - MAX(IFERROR(FILTER(D$23:D30, BA$23:BA30 &lt;&gt; AZ$6, BA$22:BA29 ="&amp;" AZ$6), 0))) * (60 * 60 * 24) / AZ$9),
      0
    )
    - COUNTIF(AZ32, ""&lt;&gt;-""),
  0), AZ$6),
  AZ$6 - COUNTIF(AZ32, ""&lt;&gt;-"")
)"),2.0)</f>
        <v>2</v>
      </c>
      <c r="BB32" s="181" t="s">
        <v>1070</v>
      </c>
      <c r="BC32" s="183">
        <f>IFERROR(__xludf.DUMMYFUNCTION("IF(
  ISNUMBER(BC31),
  MIN(MAX(
    BC31
    + MAX(
      ROUNDDOWN(($D32 - MAX(IFERROR(FILTER($D$24:$D31, BC$24:BC31 &lt;&gt; BB$6, BC$23:BC30 = BB$6), 0))) * (60 * 60 * 24) / BB$9) - ROUNDDOWN(($D31 - MAX(IFERROR(FILTER($D$23:$D30, BC$23:BC30 &lt;&gt; BB$6, BC$22:"&amp;"BC29 = BB$6), 0))) * (60 * 60 * 24) / 60),
      0
    )
    - COUNTIF(BB32, ""&lt;&gt;-""),
  0), BB$6),
  BB$6 - COUNTIF(BB32, ""&lt;&gt;-"")
)"),2.0)</f>
        <v>2</v>
      </c>
      <c r="BD32" s="181" t="s">
        <v>1070</v>
      </c>
      <c r="BE32" s="178" t="b">
        <v>0</v>
      </c>
      <c r="BF32" s="180" t="b">
        <v>0</v>
      </c>
      <c r="BG32" s="180" t="b">
        <v>0</v>
      </c>
      <c r="BH32" s="180" t="b">
        <v>0</v>
      </c>
      <c r="BI32" s="180" t="b">
        <v>0</v>
      </c>
      <c r="BJ32" s="180" t="b">
        <v>0</v>
      </c>
      <c r="BK32" s="180" t="b">
        <v>0</v>
      </c>
      <c r="BL32" s="180" t="b">
        <v>0</v>
      </c>
      <c r="BM32" s="180" t="b">
        <v>0</v>
      </c>
      <c r="BN32" s="180" t="b">
        <v>0</v>
      </c>
      <c r="BO32" s="181" t="s">
        <v>1070</v>
      </c>
      <c r="BP32" s="181" t="s">
        <v>1070</v>
      </c>
      <c r="BQ32" s="181" t="s">
        <v>1070</v>
      </c>
      <c r="BR32" s="181" t="s">
        <v>1070</v>
      </c>
      <c r="BS32" s="181" t="s">
        <v>1070</v>
      </c>
      <c r="BT32" s="184">
        <f>IFERROR(__xludf.DUMMYFUNCTION("IF(
  ISNUMBER(BT31),
  MIN(MAX(
    BT31
    + MAX(
      ROUNDDOWN((D32 - MAX(IFERROR(FILTER(D$24:D31, BT$24:BT31 &lt;&gt; BS$6, BT$23:BT30 = BS$6), 0))) * (60 * 60 * 24) / BS$9) - ROUNDDOWN((D31 - MAX(IFERROR(FILTER(D$23:D30, BT$23:BT30 &lt;&gt; BS$6, BT$22:BT29 ="&amp;" BS$6), 0))) * (60 * 60 * 24) / BS$9),
      0
    )
    - COUNTIF(BS32, ""&lt;&gt;-""),
  0), BS$6),
  BS$6 - COUNTIF(BS32, ""&lt;&gt;-"")
)"),3.0)</f>
        <v>3</v>
      </c>
      <c r="BU32" s="181" t="s">
        <v>1070</v>
      </c>
      <c r="BV32" s="181" t="s">
        <v>1070</v>
      </c>
      <c r="BW32" s="184">
        <f>IFERROR(__xludf.DUMMYFUNCTION("IF(
  ISNUMBER(BW31),
  MIN(MAX(
    BW31
    + MAX(
      ROUNDDOWN((D32 - MAX(IFERROR(FILTER(D$24:D31, BW$24:BW31 &lt;&gt; BV$6, BW$23:BW30 = BV$6), 0))) * (60 * 60 * 24) / BV$9) - ROUNDDOWN((D31 - MAX(IFERROR(FILTER(D$23:D30, BW$23:BW30 &lt;&gt; BV$6, BW$22:BW29 ="&amp;" BV$6), 0))) * (60 * 60 * 24) / BV$9),
      0
    )
    - COUNTIF(BV32, ""&lt;&gt;-""),
  0), BV$6),
  BV$6 - COUNTIF(BV32, ""&lt;&gt;-"")
)"),2.0)</f>
        <v>2</v>
      </c>
      <c r="BX32" s="185" t="s">
        <v>1070</v>
      </c>
      <c r="BY32" s="178" t="b">
        <v>0</v>
      </c>
      <c r="BZ32" s="180" t="b">
        <v>0</v>
      </c>
      <c r="CA32" s="180" t="b">
        <v>0</v>
      </c>
      <c r="CB32" s="180" t="b">
        <v>0</v>
      </c>
      <c r="CC32" s="180" t="b">
        <v>0</v>
      </c>
      <c r="CD32" s="180" t="b">
        <v>0</v>
      </c>
      <c r="CE32" s="180" t="b">
        <v>0</v>
      </c>
      <c r="CF32" s="180" t="b">
        <v>0</v>
      </c>
      <c r="CG32" s="180" t="b">
        <v>0</v>
      </c>
      <c r="CH32" s="180" t="b">
        <v>0</v>
      </c>
      <c r="CI32" s="180" t="b">
        <v>0</v>
      </c>
      <c r="CJ32" s="180" t="b">
        <v>0</v>
      </c>
      <c r="CK32" s="180" t="b">
        <v>0</v>
      </c>
      <c r="CL32" s="180" t="b">
        <v>0</v>
      </c>
      <c r="CM32" s="181" t="s">
        <v>1070</v>
      </c>
      <c r="CN32" s="181" t="s">
        <v>1070</v>
      </c>
      <c r="CO32" s="181" t="s">
        <v>1070</v>
      </c>
      <c r="CP32" s="181" t="s">
        <v>1070</v>
      </c>
      <c r="CQ32" s="185" t="s">
        <v>1070</v>
      </c>
      <c r="CR32" s="180" t="b">
        <v>0</v>
      </c>
      <c r="CS32" s="186" t="str">
        <f t="shared" si="14"/>
        <v>◇◇◇</v>
      </c>
      <c r="CT32" s="178" t="b">
        <v>0</v>
      </c>
      <c r="CU32" s="180" t="b">
        <v>0</v>
      </c>
      <c r="CV32" s="180" t="b">
        <v>0</v>
      </c>
      <c r="CW32" s="180" t="b">
        <v>0</v>
      </c>
      <c r="CX32" s="180" t="b">
        <v>0</v>
      </c>
      <c r="CY32" s="180" t="b">
        <v>0</v>
      </c>
      <c r="CZ32" s="180" t="b">
        <v>0</v>
      </c>
      <c r="DA32" s="180" t="b">
        <v>0</v>
      </c>
      <c r="DB32" s="180" t="b">
        <v>0</v>
      </c>
      <c r="DC32" s="180" t="b">
        <v>0</v>
      </c>
      <c r="DD32" s="181" t="s">
        <v>1070</v>
      </c>
      <c r="DE32" s="181" t="s">
        <v>1070</v>
      </c>
      <c r="DF32" s="181" t="s">
        <v>1070</v>
      </c>
      <c r="DG32" s="185" t="s">
        <v>1070</v>
      </c>
      <c r="DH32" s="180" t="b">
        <v>0</v>
      </c>
      <c r="DI32" s="187" t="str">
        <f>IFERROR(__xludf.DUMMYFUNCTION("SWITCH(
  IF(
    ISTEXT(DI31),
    IF (
      FIND(""○"", DI31&amp;""○"") &gt; 3,
      3,
      FIND(""○"", DI31&amp;""○"")
      + MAX(
        ROUNDDOWN(($D32 - MAX(IFERROR(FILTER(D$24:D31, DI$24:DI31 &lt;&gt; ""●●●"", DI$23:DI30 = ""●●●""), 0))) * (60 * 60 * 24) / 20"&amp;") - ROUNDDOWN(($D31 - MAX(IFERROR(FILTER(D$23:D30, DI$23:DI30 &lt;&gt; ""●●●"", DI$22:DI29 = ""●●●""), 0))) * (60 * 60 * 24) / 20),
        0
      ) - 1
    ) - COUNTIFS(CU32, ""=TRUE"", CU31, ""&lt;&gt;TRUE"") - COUNTIF(CZ32, ""=TRUE"") - COUNTIF({DD32,DE32}, ""&lt;&gt;-"&amp;""") + COUNTIF(DH32, ""=TRUE""),
    3
  ),
  0, ""○○○"", 1, ""●○○"", 2, ""●●○"", 3, ""●●●"", 4, ""●●●"", ""○○○""
)"),"●●●")</f>
        <v>●●●</v>
      </c>
      <c r="DJ32" s="188" t="b">
        <v>0</v>
      </c>
      <c r="DK32" s="189" t="b">
        <v>0</v>
      </c>
      <c r="DL32" s="190" t="b">
        <v>0</v>
      </c>
      <c r="DM32" s="190" t="b">
        <v>0</v>
      </c>
      <c r="DN32" s="190" t="b">
        <v>0</v>
      </c>
      <c r="DO32" s="190" t="b">
        <v>0</v>
      </c>
      <c r="DP32" s="190" t="b">
        <v>0</v>
      </c>
      <c r="DQ32" s="191" t="b">
        <v>0</v>
      </c>
      <c r="DR32" s="192" t="b">
        <v>0</v>
      </c>
      <c r="DS32" s="191" t="b">
        <v>0</v>
      </c>
      <c r="DT32" s="192" t="b">
        <v>0</v>
      </c>
      <c r="DU32" s="191" t="b">
        <v>0</v>
      </c>
      <c r="DV32" s="193" t="s">
        <v>1070</v>
      </c>
      <c r="DW32" s="194" t="b">
        <v>0</v>
      </c>
      <c r="DX32" s="194" t="b">
        <v>1</v>
      </c>
      <c r="DY32" s="195" t="b">
        <v>0</v>
      </c>
      <c r="DZ32" s="196" t="b">
        <v>0</v>
      </c>
      <c r="EA32" s="195" t="b">
        <v>0</v>
      </c>
      <c r="EB32" s="197" t="b">
        <v>0</v>
      </c>
      <c r="EC32" s="197" t="b">
        <v>0</v>
      </c>
      <c r="ED32" s="212" t="b">
        <v>0</v>
      </c>
      <c r="EE32" s="199">
        <f>IFERROR(__xludf.DUMMYFUNCTION("IFERROR(
   PRODUCT(
     MAP(
       INDEX(TRANSPOSE(UNIQUE(TRANSPOSE(FILTER({IF($F32=""Physical"", K$10:ED$10, IF($F32=""Magic"", K$11:ED$11, K$12:ED$12));K$4:ED$4;K32:ED32}, K32:ED32=TRUE)))), 1, 0),
       INDEX(TRANSPOSE(UNIQUE(TRANSPOSE(FILTER({IF($"&amp;"F32=""Physical"", K$18:ED$18, IF($F32=""Magic"", K$19:ED$19, K$20:ED$20));K$4:ED$4;K32:ED32}, K32:ED32=TRUE)))), 1, 0),
       INDEX(TRANSPOSE(UNIQUE(TRANSPOSE(FILTER({K$5:ED$5;K$4:ED$4;K32:ED32}, K32:ED32=TRUE)))), 1, 0),
       INDEX(TRANSPOSE(UNIQUE(TR"&amp;"ANSPOSE(FILTER({K$17:ED$17;K$4:ED$4;K32:ED32}, K32:ED32=TRUE)))), 1, 0),
       LAMBDA(
         mitigation,
         enhance,
         assign,
         precondition,
         IF(
           REGEXMATCH(assign, ""RANGE_PARTY|SINGLE_ENEMY|RANGE_ENEMY""),
  "&amp;"         IF(
             OR(ARRAYFORMULA((IF(precondition="""", FALSE, REGEXMATCH(K$4:ED$4, precondition))) * (K32:ED32=TRUE))),
             IF(ISNUMBER(enhance), enhance, 1),
             IF(ISNUMBER(mitigation), mitigation, 1)
           ),
          "&amp;" 1
         )
       )
     )
   ),
   1
 )"),0.81)</f>
        <v>0.81</v>
      </c>
      <c r="EF32" s="200">
        <f>IFERROR(__xludf.DUMMYFUNCTION("PRODUCT(
   MAP(
     K$14:ED$14,
     K$13:ED$13,
     K32:ED32,
     LAMBDA(
       buff,
       target,
       check,
       IF(
         AND(check=TRUE, REGEXMATCH(target, ""RANGE_AFFECTED_ALL|RANGE_EFFECTED_ALL""), ISNUMBER(buff)),
         buff,
   "&amp;"      1
       )
     )
   )
 )"),1.0)</f>
        <v>1</v>
      </c>
      <c r="EG32" s="200">
        <f>IFERROR(__xludf.DUMMYFUNCTION("PRODUCT(
   MAP(
     K$14:ED$14,
     K$13:ED$13,
     K32:ED32,
     LAMBDA(
       buff,
       target,
       check,
       IF(
         AND(check=TRUE, REGEXMATCH(target, ""RANGE_AFFECTED_GCD|RANGE_EFFECTED_GCD""), ISNUMBER(buff)),
         buff,
   "&amp;"      1
       )
     )
   )
 )"),1.0)</f>
        <v>1</v>
      </c>
      <c r="EH32" s="200">
        <f>IFERROR(__xludf.DUMMYFUNCTION("PRODUCT(
   MAP(
     K$3:ED$3,
     K$14:ED$14,
     K$13:ED$13,
     K32:ED32,
     LAMBDA(
       job,
       buff,
       target,
       check,
       IF(
         AND(check=TRUE, REGEXMATCH(target, ""SELF_EFFECTED_ALL""), ISNUMBER(buff), job=""白魔道士"""&amp;"),
         buff,
         1
       )
     )
   )
 )"),1.0)</f>
        <v>1</v>
      </c>
      <c r="EI32" s="200">
        <f>IFERROR(__xludf.DUMMYFUNCTION("PRODUCT(
   MAP(
     K$3:ED$3,
     K$14:ED$14,
     K$13:ED$13,
     K32:ED32,
     LAMBDA(
       job,
       buff,
       target,
       check,
       IF(
         AND(check=TRUE, REGEXMATCH(target, ""SELF_EFFECTED_GCD""), ISNUMBER(buff), job=""白魔道士"""&amp;"),
         buff,
         1
       )
     )
   )
 )"),1.0)</f>
        <v>1</v>
      </c>
      <c r="EJ32" s="200">
        <f>IFERROR(__xludf.DUMMYFUNCTION("PRODUCT(
   MAP(
     K$3:ED$3,
     K$14:ED$14,
     K$13:ED$13,
     K32:ED32,
     LAMBDA(
       job,
       buff,
       target,
       check,
       IF(
         AND(check=TRUE, REGEXMATCH(target, ""SELF_EFFECTED_ALL""), ISNUMBER(buff), job=""占星術師"""&amp;"),
         buff,
         1
       )
     )
   )
 )"),1.0)</f>
        <v>1</v>
      </c>
      <c r="EK32" s="200">
        <f>IFERROR(__xludf.DUMMYFUNCTION("PRODUCT(
   MAP(
     K$3:ED$3,
     K$14:ED$14,
     K$13:ED$13,
     K32:ED32,
     LAMBDA(
       job,
       buff,
       target,
       check,
       IF(
         AND(check=TRUE, REGEXMATCH(target, ""SELF_EFFECTED_GCD""), ISNUMBER(buff), job=""占星術師"""&amp;"),
         buff,
         1
       )
     )
   )
 )"),1.0)</f>
        <v>1</v>
      </c>
      <c r="EL32" s="200">
        <f>IFERROR(__xludf.DUMMYFUNCTION("PRODUCT(
   MAP(
     K$3:ED$3,
     K$14:ED$14,
     K$13:ED$13,
     K32:ED32,
     LAMBDA(
       job,
       buff,
       target,
       check,
       IF(
         AND(check=TRUE, REGEXMATCH(target, ""SELF_EFFECTED_ALL""), ISNUMBER(buff), job=""学者""),"&amp;"
         buff,
         1
       )
     )
   )
 )"),1.0)</f>
        <v>1</v>
      </c>
      <c r="EM32" s="200">
        <f>IFERROR(__xludf.DUMMYFUNCTION("PRODUCT(
   MAP(
     K$3:ED$3,
     K$14:ED$14,
     K$13:ED$13,
     K32:ED32,
     LAMBDA(
       job,
       buff,
       target,
       check,
       IF(
         AND(check=TRUE, REGEXMATCH(target, ""SELF_EFFECTED_GCD""), ISNUMBER(buff), job=""学者""),"&amp;"
         buff,
         1
       )
     )
   )
 )"),1.0)</f>
        <v>1</v>
      </c>
      <c r="EN32" s="200">
        <f>IFERROR(__xludf.DUMMYFUNCTION("PRODUCT(
   MAP(
     K$3:ED$3,
     K$14:ED$14,
     K$13:ED$13,
     K32:ED32,
     LAMBDA(
       job,
       buff,
       target,
       check,
       IF(
         AND(check=TRUE, REGEXMATCH(target, ""SELF_EFFECTED_ALL""), ISNUMBER(buff), job=""賢者""),"&amp;"
         buff,
         1
       )
     )
   )
 )"),1.0)</f>
        <v>1</v>
      </c>
      <c r="EO32" s="200">
        <f>IFERROR(__xludf.DUMMYFUNCTION("PRODUCT(
   MAP(
     K$3:ED$3,
     K$14:ED$14,
     K$13:ED$13,
     K32:ED32,
     LAMBDA(
       job,
       buff,
       target,
       check,
       IF(
         AND(check=TRUE, REGEXMATCH(target, ""SELF_EFFECTED_GCD""), ISNUMBER(buff), job=""賢者""),"&amp;"
         buff,
         1
       )
     )
   )
 )"),1.0)</f>
        <v>1</v>
      </c>
      <c r="EP32" s="201">
        <f t="shared" si="3"/>
        <v>10125</v>
      </c>
      <c r="EQ32" s="201">
        <f>IFERROR(__xludf.DUMMYFUNCTION("SUM(
   MAP(
     K$4:ED$4,
     K$3:ED$3,
     K$7:ED$7,
     K$15:ED$15,
     K$16:ED$16,
     K$21:ED$21,
     K$5:ED$5,
     K$17:ED$17,
     K32:ED32,
     LAMBDA(
       name,
       job,
       abillity,
       buff,
       barrier,
       enhance,"&amp;"
       assign,
       precondition,
       check,
       SWITCH(
         name,
         ""シェイクオフ"", IF(check=TRUE, buff + (0.02 * COUNTIF(ARRAYFORMULA((REGEXMATCH($K$4:$ED$4, ""スリル・オブ・バトル|ヴェンジェンス|原初の血気|ダムネーション"")) * (K32:ED32=TRUE)), 1)), 0),
         "&amp;"""インプロビゼーションフィニッシュ(踊りの激情0)"", IF(ISNUMBER(check), INDEX(Skill!$AJ:$AJ, MATCH(SUBSTITUTE(DV$4, 0, check), Skill!$C:$C, 0)), 0),
         IF(
           AND(check=TRUE, REGEXMATCH(assign, ""RANGE_PARTY"")),
           IF(
             OR(ARRAYFORMULA((IF(pr"&amp;"econdition="""", FALSE, REGEXMATCH($K$4:$ED$4, precondition))) * (K32:ED32=TRUE))),
             enhance,
             IF(barrier="""", buff, barrier)
           ),
           0
         )
       ) *
       SWITCH(
         job,
         ""ナイト"", EY$24,
 "&amp;"        ""戦士"", FD$24,
         ""踊り子"", ET$24,
         ""ピクトマンサー"", ET$24,
         ""白魔道士"", EF32 * EH32 * IF(abillity, 1, EG32 * EI32) * (Option!$D$22 * 0.81 / 100),
         ""占星術師"", EF32 * EJ32 * IF(abillity, 1, EG32 * EK32) * (Option!$D$23 * 0.81 "&amp;"/ 100),
         ""学者"", EF32 * EL32 * IF(abillity, 1, EG32 * EM32) * (Option!$D$24 * 0.81 / 100),
         ""賢者"", EF32 * EN32 * IF(abillity, 1, EG32 * EO32) * (Option!$D$25 * 0.81 / 100),
         1
       )
     )
   )
 )"),0.0)</f>
        <v>0</v>
      </c>
      <c r="ER32" s="202">
        <f t="shared" si="4"/>
        <v>10125</v>
      </c>
      <c r="ES32" s="203">
        <f t="shared" si="5"/>
        <v>0</v>
      </c>
      <c r="ET32" s="231" t="str">
        <f>IFERROR(__xludf.DUMMYFUNCTION("IFS(
  EP32 &gt; $ET$24 + EQ32,
  SPARKLINE({ 1, 0 }, {""charttype"",""bar"";""max"", 1;""color1"",Option!$D$30;""color2"",Option!$D$30}),
  EP32 &lt; EQ32,
  SPARKLINE({EQ32 - EP32, $ET$24 - (EQ32 - EP32)}, {""charttype"",""bar"";""max"",$ET$24;""color1"",Opti"&amp;"on!$D$28;""color2"",Option!$D$29}),
  EP32 &gt;= EQ32,
  SPARKLINE({$ET$24 + EQ32 - EP32,EP32 - EQ32}, {""charttype"",""bar"";""max"",$ET$24;""color1"",Option!$D$29;""color2"",Option!$D$30})
)"),"")</f>
        <v/>
      </c>
      <c r="EU32" s="205">
        <f>IFERROR(__xludf.DUMMYFUNCTION("PRODUCT(
   MAP(
     IF($F32=""Physical"", K$10:ED$10, IF($F32=""Magic"", K$11:ED$11, K$12:ED$12)),
     IF($F32=""Physical"", K$18:ED$18, IF($F32=""Magic"", K$19:ED$19, K$20:ED$20)),
     K$3:ED$3,
     K$5:ED$5,
     K$17:ED$17,
     K32:ED32,
     LAM"&amp;"BDA(
       mitigation,
       enhance,
       job,
       assign,
       precondition,
       check,
       IF(
         OR(AND(check=TRUE, REGEXMATCH(assign, ""SELF""), job=""ナイト""), AND(check=Option!$E$13, REGEXMATCH(assign, ""SINGLE_PARTY""))),
      "&amp;"   IF(
           OR(ARRAYFORMULA((IF(precondition="""", FALSE, REGEXMATCH($K$4:$ED$4, precondition))) * (K32:ED32=TRUE))),
           enhance,
           mitigation
         ),
         1
       )
     )
   )
 ) * EE32"),0.81)</f>
        <v>0.81</v>
      </c>
      <c r="EV32" s="206">
        <f t="shared" si="6"/>
        <v>8100</v>
      </c>
      <c r="EW32" s="205">
        <f>IFERROR(__xludf.DUMMYFUNCTION("PRODUCT(
   MAP(
     K$3:ED$3,
     K$14:ED$14,
     K$13:ED$13,
     K32:ED32,
     LAMBDA(
       job,
       buff,
       target,
       check,
       IF(
         OR(AND(check=TRUE, REGEXMATCH(target, ""SELF_AFFECTED_ALL""), job=""ナイト""), AND(check=O"&amp;"ption!$E$13, REGEXMATCH(target, ""SINGLE_AFFECTED_ALL""))),
         buff,
         1
       )
     )
   )
 )"),1.0)</f>
        <v>1</v>
      </c>
      <c r="EX32" s="206">
        <f>IFERROR(__xludf.DUMMYFUNCTION("SUM(
   MAP(
     K$3:ED$3,
     K$7:ED$7,
     K$15:ED$15,
     K$16:ED$16,
     K$21:ED$21,
     K$5:ED$5,
     K$17:ED$17,
     K32:ED32,
     LAMBDA(
       job,
       abillity,
       buff,
       barrier,
       enhance,
       assign,
       preco"&amp;"ndition,
       check,
       IF(
         OR(AND(check=TRUE, REGEXMATCH(assign, ""SELF""), job=""ナイト""), AND(check=Option!$E$13, REGEXMATCH(assign, ""SINGLE_PARTY""))),
         IF(
           OR(ARRAYFORMULA((IF(precondition="""", FALSE, REGEXMATCH($K$4"&amp;":$ED$4, precondition))) * (K32:ED32=TRUE))),
           enhance,
           IF(barrier="""", buff, barrier)
         ),
         0
       ) *
       SWITCH(
         job,
         ""暗黒騎士"", EY$24,
         ""白魔道士"", EF32 * EH32 * EW32 * IF(abillity, 1, EG"&amp;"32 * EI32) * (Option!$D$22 * 0.81 / 100),
         ""占星術師"", EF32 * EJ32 * EW32 * IF(abillity, 1, EG32 * EK32) * (Option!$D$23 * 0.81 / 100),
         ""学者"", EF32 * EL32 * EW32 * IF(abillity, 1, EG32 * EM32) * (Option!$D$24 * 0.81 / 100),
         ""賢者"""&amp;", EF32 * EN32 * EW32 * IF(abillity, 1, EG32 * EO32) * (Option!$D$25 * 0.81 / 100),
         1
       )
     )
   )
 ) + EQ32"),0.0)</f>
        <v>0</v>
      </c>
      <c r="EY32" s="232">
        <f t="shared" si="7"/>
        <v>8100</v>
      </c>
      <c r="EZ32" s="205">
        <f>IFERROR(__xludf.DUMMYFUNCTION("PRODUCT(
   MAP(
     IF($F32=""Physical"", K$10:ED$10, IF($F32=""Magic"", K$11:ED$11, K$12:ED$12)),
     IF($F32=""Physical"", K$18:ED$18, IF($F32=""Magic"", K$19:ED$19, K$20:ED$20)),
     K$3:ED$3,
     K$5:ED$5,
     K$17:ED$17,
     K32:ED32,
     LAM"&amp;"BDA(
       mitigation,
       enhance,
       job,
       assign,
       precondition,
       check,
       IF(
         OR(AND(check=TRUE, REGEXMATCH(assign, ""SELF""), job=""戦士""), AND(check=Option!$F$13, REGEXMATCH(assign, ""SINGLE_PARTY""))),
       "&amp;"  IF(
           OR(ARRAYFORMULA((IF(precondition="""", FALSE, REGEXMATCH($K$4:$ED$4, precondition))) * (K32:ED32=TRUE))),
           enhance,
           mitigation
         ),
         1
       )
     )
   )
 ) * EE32"),0.81)</f>
        <v>0.81</v>
      </c>
      <c r="FA32" s="206">
        <f t="shared" si="8"/>
        <v>8100</v>
      </c>
      <c r="FB32" s="205">
        <f>IFERROR(__xludf.DUMMYFUNCTION("PRODUCT(
   MAP(
     K$3:ED$3,
     K$14:ED$14,
     K$13:ED$13,
     K32:ED32,
     LAMBDA(
       job,
       buff,
       target,
       check,
       IF(
         OR(AND(check=TRUE, REGEXMATCH(target, ""SELF_AFFECTED_ALL""), job=""戦士""), AND(check=Op"&amp;"tion!$F$13, REGEXMATCH(target, ""SINGLE_AFFECTED_ALL""))),
         buff,
         1
       )
     )
   )
 )"),1.0)</f>
        <v>1</v>
      </c>
      <c r="FC32" s="206">
        <f>IFERROR(__xludf.DUMMYFUNCTION("SUM(
   MAP(
     K$3:ED$3,
     K$7:ED$7,
     K$15:ED$15,
     K$16:ED$16,
     K$21:ED$21,
     K$5:ED$5,
     K$17:ED$17,
     K32:ED32,
     LAMBDA(
       job,
       abillity,
       buff,
       barrier,
       enhance,
       assign,
       preco"&amp;"ndition,
       check,
       IF(
         OR(AND(check=TRUE, REGEXMATCH(assign, ""SELF""), job=""戦士""), AND(check=Option!$F$13, REGEXMATCH(assign, ""SINGLE_PARTY""))),
         IF(
           OR(ARRAYFORMULA((IF(precondition="""", FALSE, REGEXMATCH($K$4:"&amp;"$ED$4, precondition))) * (K32:ED32=TRUE))),
           enhance,
           IF(barrier="""", buff, barrier)
         ),
         0
       ) *
       SWITCH(
         job,
         ""暗黒騎士"", FD$24,
         ""白魔道士"", EF32 * EH32 * FB32 * IF(abillity, 1, EG3"&amp;"2 * EI32) * (Option!$D$22 * 0.81 / 100),
         ""占星術師"", EF32 * EJ32 * FFB32 * IF(abillity, 1, EG32 * EK32) * (Option!$D$23 * 0.81 / 100),
         ""学者"", EF32 * EL32 * FB32 * IF(abillity, 1, EG32 * EM32) * (Option!$D$24 * 0.81 / 100),
         ""賢者"""&amp;", EF32 * EN32 * FB32 * IF(abillity, 1, EG32 * EO32) * (Option!$D$25 * 0.81 / 100),
         1
       )
     )
   )
 ) + EQ32"),0.0)</f>
        <v>0</v>
      </c>
      <c r="FD32" s="206">
        <f t="shared" si="9"/>
        <v>8100</v>
      </c>
      <c r="FE32" s="205">
        <f>IFERROR(__xludf.DUMMYFUNCTION("PRODUCT(
   MAP(
     IF($F32=""Physical"", K$10:ED$10, IF($F32=""Magic"", K$11:ED$11, K$12:ED$12)),
     IF($F32=""Physical"", K$18:ED$18, IF($F32=""Magic"", K$19:ED$19, K$20:ED$20)),
     K$3:ED$3,
     K$5:ED$5,
     K$17:ED$17,
     K32:ED32,
     LAM"&amp;"BDA(
       mitigation,
       enhance,
       job,
       assign,
       precondition,
       check,
       IF(
         OR(AND(check=TRUE, REGEXMATCH(assign, ""SELF""), job=""暗黒騎士""), AND(check=Option!$G$13, REGEXMATCH(assign, ""SINGLE_PARTY""))),
     "&amp;"    IF(
           OR(ARRAYFORMULA((IF(precondition="""", FALSE, REGEXMATCH($K$4:$ED$4, precondition))) * (K32:ED32=TRUE))),
           enhance,
           mitigation
         ),
         1
       )
     )
   )
 ) * EE32"),0.81)</f>
        <v>0.81</v>
      </c>
      <c r="FF32" s="206">
        <f t="shared" si="10"/>
        <v>8100</v>
      </c>
      <c r="FG32" s="205">
        <f>IFERROR(__xludf.DUMMYFUNCTION("PRODUCT(
   MAP(
     K$3:ED$3,
     K$14:ED$14,
     K$13:ED$13,
     K32:ED32,
     LAMBDA(
       job,
       buff,
       target,
       check,
       IF(
         OR(AND(check=TRUE, REGEXMATCH(target, ""SELF_AFFECTED_ALL""), job=""暗黒騎士""), AND(check="&amp;"Option!$G$13, REGEXMATCH(target, ""SINGLE_AFFECTED_ALL""))),
         buff,
         1
       )
     )
   )
 )"),1.0)</f>
        <v>1</v>
      </c>
      <c r="FH32" s="206">
        <f>IFERROR(__xludf.DUMMYFUNCTION("SUM(
   MAP(
     K$3:ED$3,
     K$7:ED$7,
     K$15:ED$15,
     K$16:ED$16,
     K$21:ED$21,
     K$5:ED$5,
     K$17:ED$17,
     K32:ED32,
     LAMBDA(
       job,
       abillity,
       buff,
       barrier,
       enhance,
       assign,
       preco"&amp;"ndition,
       check,
       IF(
         OR(AND(check=TRUE, REGEXMATCH(assign, ""SELF""), job=""暗黒騎士""), AND(check=Option!$G$13, REGEXMATCH(assign, ""SINGLE_PARTY""))),
         IF(
           OR(ARRAYFORMULA((IF(precondition="""", FALSE, REGEXMATCH($K$"&amp;"4:$ED$4, precondition))) * (K32:ED32=TRUE))),
           enhance,
           IF(barrier="""", buff, barrier)
         ),
         0
       ) *
       SWITCH(
         job,
         ""暗黒騎士"", FI$24,
         ""白魔道士"", EF32 * EH32 * FG32 * IF(abillity, 1, E"&amp;"G32 * EI32) * (Option!$D$22 * 0.81 / 100),
         ""占星術師"", EF32 * EJ32 * FG32 * IF(abillity, 1, EG32 * EK32) * (Option!$D$23 * 0.81 / 100),
         ""学者"", EF32 * EL32 * FG32 * IF(abillity, 1, EG32 * EM32) * (Option!$D$24 * 0.81 / 100),
         ""賢者"&amp;""", EF32 * EN32 * FG32 * IF(abillity, 1, EG32 * EO32) * (Option!$D$25 * 0.81 / 100),
         1
       )
     )
   )
 ) + EQ32"),0.0)</f>
        <v>0</v>
      </c>
      <c r="FI32" s="206">
        <f t="shared" si="11"/>
        <v>8100</v>
      </c>
      <c r="FJ32" s="205">
        <f>IFERROR(__xludf.DUMMYFUNCTION("PRODUCT(
   MAP(
     IF($F32=""Physical"", K$10:ED$10, IF($F32=""Magic"", K$11:ED$11, K$12:ED$12)),
     IF($F32=""Physical"", K$18:ED$18, IF($F32=""Magic"", K$19:ED$19, K$20:ED$20)),
     K$3:ED$3,
     K$5:ED$5,
     K$17:ED$17,
     K32:ED32,
     LAM"&amp;"BDA(
       mitigation,
       enhance,
       job,
       assign,
       precondition,
       check,
       IF(
         OR(AND(check=TRUE, REGEXMATCH(assign, ""SELF""), job=""ガンブレイカー""), AND(check=Option!$H$13, REGEXMATCH(assign, ""SINGLE_PARTY""))),
  "&amp;"       IF(
           OR(ARRAYFORMULA((IF(precondition="""", FALSE, REGEXMATCH($K$4:$ED$4, precondition))) * (K32:ED32=TRUE))),
           enhance,
           mitigation
         ),
         1
       )
     )
   )
 ) * EE32"),0.81)</f>
        <v>0.81</v>
      </c>
      <c r="FK32" s="206">
        <f t="shared" si="12"/>
        <v>8100</v>
      </c>
      <c r="FL32" s="205">
        <f>IFERROR(__xludf.DUMMYFUNCTION("PRODUCT(
   MAP(
     K$3:ED$3,
     K$14:ED$14,
     K$13:ED$13,
     K32:ED32,
     LAMBDA(
       job,
       buff,
       target,
       check,
       IF(
         OR(AND(check=TRUE, REGEXMATCH(target, ""SELF_AFFECTED_ALL""), job=""ガンブレイカー""), AND(che"&amp;"ck=Option!$H$13, REGEXMATCH(target, ""SINGLE_AFFECTED_ALL""))),
         buff,
         1
       )
     )
   )
 )"),1.0)</f>
        <v>1</v>
      </c>
      <c r="FM32" s="206">
        <f>IFERROR(__xludf.DUMMYFUNCTION("SUM(
   MAP(
     K$3:ED$3,
     K$7:ED$7,
     K$15:ED$15,
     K$16:ED$16,
     K$21:ED$21,
     K$5:ED$5,
     K$17:ED$17,
     K32:ED32,
     LAMBDA(
       job,
       abillity,
       buff,
       barrier,
       enhance,
       assign,
       preco"&amp;"ndition,
       check,
       IF(
         OR(AND(check=TRUE, REGEXMATCH(assign, ""SELF""), job=""ガンブレイカー""), AND(check=Option!$H$13, REGEXMATCH(assign, ""SINGLE_PARTY""))),
         IF(
           OR(ARRAYFORMULA((IF(precondition="""", FALSE, REGEXMATCH("&amp;"$K$4:$ED$4, precondition))) * (K32:ED32=TRUE))),
           enhance,
           IF(barrier="""", buff, barrier)
         ),
         0
       ) *
       SWITCH(
         job,
         ""暗黒騎士"", FN$24,
         ""白魔道士"", EF32 * EH32 * FL32 * IF(abillity, 1"&amp;", EG32 * EI32) * (Option!$D$22 * 0.81 / 100),
         ""占星術師"", EF32 * EJ32 * FL32 * IF(abillity, 1, EG32 * EK32) * (Option!$D$23 * 0.81 / 100),
         ""学者"", EF32 * EL32 * FL32 * IF(abillity, 1, EG32 * EM32) * (Option!$D$24 * 0.81 / 100),
         """&amp;"賢者"", EF32 * EN32 * FL32 * IF(abillity, 1, EG32 * EO32) * (Option!$D$25 * 0.81 / 100),
         1
       )
     )
   )
 ) + EQ32"),0.0)</f>
        <v>0</v>
      </c>
      <c r="FN32" s="206">
        <f t="shared" si="13"/>
        <v>8100</v>
      </c>
      <c r="FO32" s="213"/>
    </row>
    <row r="33">
      <c r="B33" s="229"/>
      <c r="C33" s="217">
        <f t="shared" si="1"/>
        <v>0.004571759259</v>
      </c>
      <c r="D33" s="236">
        <v>7.638888888888889E-4</v>
      </c>
      <c r="E33" s="237" t="s">
        <v>1102</v>
      </c>
      <c r="F33" s="167" t="s">
        <v>11</v>
      </c>
      <c r="G33" s="168" t="str">
        <f t="shared" si="2"/>
        <v/>
      </c>
      <c r="H33" s="169">
        <v>14000.0</v>
      </c>
      <c r="I33" s="169"/>
      <c r="J33" s="169"/>
      <c r="K33" s="170" t="b">
        <v>0</v>
      </c>
      <c r="L33" s="170" t="b">
        <v>0</v>
      </c>
      <c r="M33" s="170" t="b">
        <v>0</v>
      </c>
      <c r="N33" s="171" t="s">
        <v>1070</v>
      </c>
      <c r="O33" s="172" t="b">
        <v>0</v>
      </c>
      <c r="P33" s="173" t="b">
        <v>0</v>
      </c>
      <c r="Q33" s="173" t="b">
        <v>0</v>
      </c>
      <c r="R33" s="173" t="b">
        <v>0</v>
      </c>
      <c r="S33" s="174" t="b">
        <v>0</v>
      </c>
      <c r="T33" s="175" t="b">
        <v>0</v>
      </c>
      <c r="U33" s="173" t="b">
        <v>0</v>
      </c>
      <c r="V33" s="171" t="s">
        <v>1070</v>
      </c>
      <c r="W33" s="172" t="b">
        <v>0</v>
      </c>
      <c r="X33" s="173" t="b">
        <v>0</v>
      </c>
      <c r="Y33" s="173" t="b">
        <v>0</v>
      </c>
      <c r="Z33" s="173" t="b">
        <v>0</v>
      </c>
      <c r="AA33" s="174" t="b">
        <v>0</v>
      </c>
      <c r="AB33" s="174" t="b">
        <v>0</v>
      </c>
      <c r="AC33" s="175" t="b">
        <v>1</v>
      </c>
      <c r="AD33" s="173" t="b">
        <v>0</v>
      </c>
      <c r="AE33" s="176" t="s">
        <v>1070</v>
      </c>
      <c r="AF33" s="171" t="s">
        <v>1070</v>
      </c>
      <c r="AG33" s="177">
        <f>IFERROR(__xludf.DUMMYFUNCTION("IF(
  ISNUMBER(AG32),
  MIN(MAX(
    AG32
    + MAX(
      ROUNDDOWN(($D33 - MAX(IFERROR(FILTER($D$24:$D32, AG$24:AG32 &lt;&gt; AF$6, AG$23:AG31 = AF$6), 0))) * (60 * 60 * 24) / AF$9) - ROUNDDOWN(($D32 - MAX(IFERROR(FILTER($D$23:$D31, AG$23:AG31 &lt;&gt; AF$6, AG$22:"&amp;"AG30 = AF$6), 0))) * (60 * 60 * 24) / 60),
      0
    )
    - COUNTIF(AF33, ""&lt;&gt;-""),
  0), AF$6),
  AF$6 - COUNTIF(AF33, ""&lt;&gt;-"")
)"),2.0)</f>
        <v>2</v>
      </c>
      <c r="AH33" s="173" t="b">
        <v>0</v>
      </c>
      <c r="AI33" s="173" t="b">
        <v>0</v>
      </c>
      <c r="AJ33" s="173" t="b">
        <v>0</v>
      </c>
      <c r="AK33" s="174" t="b">
        <v>0</v>
      </c>
      <c r="AL33" s="175" t="b">
        <v>0</v>
      </c>
      <c r="AM33" s="173" t="b">
        <v>0</v>
      </c>
      <c r="AN33" s="171" t="s">
        <v>1070</v>
      </c>
      <c r="AO33" s="173" t="b">
        <v>0</v>
      </c>
      <c r="AP33" s="173" t="b">
        <v>0</v>
      </c>
      <c r="AQ33" s="173" t="b">
        <v>0</v>
      </c>
      <c r="AR33" s="174" t="b">
        <v>0</v>
      </c>
      <c r="AS33" s="178" t="b">
        <v>0</v>
      </c>
      <c r="AT33" s="179" t="b">
        <v>0</v>
      </c>
      <c r="AU33" s="180" t="b">
        <v>0</v>
      </c>
      <c r="AV33" s="180" t="b">
        <v>0</v>
      </c>
      <c r="AW33" s="180" t="b">
        <v>0</v>
      </c>
      <c r="AX33" s="180" t="b">
        <v>0</v>
      </c>
      <c r="AY33" s="181" t="s">
        <v>1070</v>
      </c>
      <c r="AZ33" s="181" t="s">
        <v>1070</v>
      </c>
      <c r="BA33" s="184">
        <f>IFERROR(__xludf.DUMMYFUNCTION("IF(
  ISNUMBER(BA32),
  MIN(MAX(
    BA32
    + MAX(
      ROUNDDOWN((D33 - MAX(IFERROR(FILTER(D$24:D32, BA$24:BA32 &lt;&gt; AZ$6, BA$23:BA31 = AZ$6), 0))) * (60 * 60 * 24) / AZ$9) - ROUNDDOWN((D32 - MAX(IFERROR(FILTER(D$23:D31, BA$23:BA31 &lt;&gt; AZ$6, BA$22:BA30 ="&amp;" AZ$6), 0))) * (60 * 60 * 24) / AZ$9),
      0
    )
    - COUNTIF(AZ33, ""&lt;&gt;-""),
  0), AZ$6),
  AZ$6 - COUNTIF(AZ33, ""&lt;&gt;-"")
)"),2.0)</f>
        <v>2</v>
      </c>
      <c r="BB33" s="181" t="s">
        <v>1070</v>
      </c>
      <c r="BC33" s="183">
        <f>IFERROR(__xludf.DUMMYFUNCTION("IF(
  ISNUMBER(BC32),
  MIN(MAX(
    BC32
    + MAX(
      ROUNDDOWN(($D33 - MAX(IFERROR(FILTER($D$24:$D32, BC$24:BC32 &lt;&gt; BB$6, BC$23:BC31 = BB$6), 0))) * (60 * 60 * 24) / BB$9) - ROUNDDOWN(($D32 - MAX(IFERROR(FILTER($D$23:$D31, BC$23:BC31 &lt;&gt; BB$6, BC$22:"&amp;"BC30 = BB$6), 0))) * (60 * 60 * 24) / 60),
      0
    )
    - COUNTIF(BB33, ""&lt;&gt;-""),
  0), BB$6),
  BB$6 - COUNTIF(BB33, ""&lt;&gt;-"")
)"),2.0)</f>
        <v>2</v>
      </c>
      <c r="BD33" s="181" t="s">
        <v>1070</v>
      </c>
      <c r="BE33" s="178" t="b">
        <v>0</v>
      </c>
      <c r="BF33" s="180" t="b">
        <v>0</v>
      </c>
      <c r="BG33" s="180" t="b">
        <v>0</v>
      </c>
      <c r="BH33" s="180" t="b">
        <v>0</v>
      </c>
      <c r="BI33" s="180" t="b">
        <v>0</v>
      </c>
      <c r="BJ33" s="180" t="b">
        <v>0</v>
      </c>
      <c r="BK33" s="180" t="b">
        <v>0</v>
      </c>
      <c r="BL33" s="180" t="b">
        <v>0</v>
      </c>
      <c r="BM33" s="180" t="b">
        <v>0</v>
      </c>
      <c r="BN33" s="180" t="b">
        <v>0</v>
      </c>
      <c r="BO33" s="181" t="s">
        <v>1070</v>
      </c>
      <c r="BP33" s="181" t="s">
        <v>1070</v>
      </c>
      <c r="BQ33" s="181" t="s">
        <v>1070</v>
      </c>
      <c r="BR33" s="181" t="s">
        <v>1070</v>
      </c>
      <c r="BS33" s="181" t="s">
        <v>1070</v>
      </c>
      <c r="BT33" s="184">
        <f>IFERROR(__xludf.DUMMYFUNCTION("IF(
  ISNUMBER(BT32),
  MIN(MAX(
    BT32
    + MAX(
      ROUNDDOWN((D33 - MAX(IFERROR(FILTER(D$24:D32, BT$24:BT32 &lt;&gt; BS$6, BT$23:BT31 = BS$6), 0))) * (60 * 60 * 24) / BS$9) - ROUNDDOWN((D32 - MAX(IFERROR(FILTER(D$23:D31, BT$23:BT31 &lt;&gt; BS$6, BT$22:BT30 ="&amp;" BS$6), 0))) * (60 * 60 * 24) / BS$9),
      0
    )
    - COUNTIF(BS33, ""&lt;&gt;-""),
  0), BS$6),
  BS$6 - COUNTIF(BS33, ""&lt;&gt;-"")
)"),3.0)</f>
        <v>3</v>
      </c>
      <c r="BU33" s="181" t="s">
        <v>1070</v>
      </c>
      <c r="BV33" s="181" t="s">
        <v>1070</v>
      </c>
      <c r="BW33" s="184">
        <f>IFERROR(__xludf.DUMMYFUNCTION("IF(
  ISNUMBER(BW32),
  MIN(MAX(
    BW32
    + MAX(
      ROUNDDOWN((D33 - MAX(IFERROR(FILTER(D$24:D32, BW$24:BW32 &lt;&gt; BV$6, BW$23:BW31 = BV$6), 0))) * (60 * 60 * 24) / BV$9) - ROUNDDOWN((D32 - MAX(IFERROR(FILTER(D$23:D31, BW$23:BW31 &lt;&gt; BV$6, BW$22:BW30 ="&amp;" BV$6), 0))) * (60 * 60 * 24) / BV$9),
      0
    )
    - COUNTIF(BV33, ""&lt;&gt;-""),
  0), BV$6),
  BV$6 - COUNTIF(BV33, ""&lt;&gt;-"")
)"),2.0)</f>
        <v>2</v>
      </c>
      <c r="BX33" s="185" t="s">
        <v>1070</v>
      </c>
      <c r="BY33" s="178" t="b">
        <v>0</v>
      </c>
      <c r="BZ33" s="180" t="b">
        <v>0</v>
      </c>
      <c r="CA33" s="180" t="b">
        <v>0</v>
      </c>
      <c r="CB33" s="180" t="b">
        <v>0</v>
      </c>
      <c r="CC33" s="180" t="b">
        <v>0</v>
      </c>
      <c r="CD33" s="180" t="b">
        <v>0</v>
      </c>
      <c r="CE33" s="180" t="b">
        <v>0</v>
      </c>
      <c r="CF33" s="180" t="b">
        <v>0</v>
      </c>
      <c r="CG33" s="180" t="b">
        <v>0</v>
      </c>
      <c r="CH33" s="180" t="b">
        <v>0</v>
      </c>
      <c r="CI33" s="180" t="b">
        <v>0</v>
      </c>
      <c r="CJ33" s="180" t="b">
        <v>0</v>
      </c>
      <c r="CK33" s="180" t="b">
        <v>0</v>
      </c>
      <c r="CL33" s="180" t="b">
        <v>0</v>
      </c>
      <c r="CM33" s="181" t="s">
        <v>1070</v>
      </c>
      <c r="CN33" s="181" t="s">
        <v>1070</v>
      </c>
      <c r="CO33" s="181" t="s">
        <v>1070</v>
      </c>
      <c r="CP33" s="181" t="s">
        <v>1070</v>
      </c>
      <c r="CQ33" s="185" t="s">
        <v>1070</v>
      </c>
      <c r="CR33" s="180" t="b">
        <v>0</v>
      </c>
      <c r="CS33" s="186" t="str">
        <f t="shared" si="14"/>
        <v>◇◇◇</v>
      </c>
      <c r="CT33" s="178" t="b">
        <v>0</v>
      </c>
      <c r="CU33" s="180" t="b">
        <v>0</v>
      </c>
      <c r="CV33" s="180" t="b">
        <v>0</v>
      </c>
      <c r="CW33" s="180" t="b">
        <v>0</v>
      </c>
      <c r="CX33" s="180" t="b">
        <v>0</v>
      </c>
      <c r="CY33" s="180" t="b">
        <v>0</v>
      </c>
      <c r="CZ33" s="180" t="b">
        <v>0</v>
      </c>
      <c r="DA33" s="180" t="b">
        <v>0</v>
      </c>
      <c r="DB33" s="180" t="b">
        <v>0</v>
      </c>
      <c r="DC33" s="180" t="b">
        <v>0</v>
      </c>
      <c r="DD33" s="181" t="s">
        <v>1070</v>
      </c>
      <c r="DE33" s="181" t="s">
        <v>1070</v>
      </c>
      <c r="DF33" s="181" t="s">
        <v>1070</v>
      </c>
      <c r="DG33" s="185" t="s">
        <v>1070</v>
      </c>
      <c r="DH33" s="180" t="b">
        <v>0</v>
      </c>
      <c r="DI33" s="187" t="str">
        <f>IFERROR(__xludf.DUMMYFUNCTION("SWITCH(
  IF(
    ISTEXT(DI32),
    IF (
      FIND(""○"", DI32&amp;""○"") &gt; 3,
      3,
      FIND(""○"", DI32&amp;""○"")
      + MAX(
        ROUNDDOWN(($D33 - MAX(IFERROR(FILTER(D$24:D32, DI$24:DI32 &lt;&gt; ""●●●"", DI$23:DI31 = ""●●●""), 0))) * (60 * 60 * 24) / 20"&amp;") - ROUNDDOWN(($D32 - MAX(IFERROR(FILTER(D$23:D31, DI$23:DI31 &lt;&gt; ""●●●"", DI$22:DI30 = ""●●●""), 0))) * (60 * 60 * 24) / 20),
        0
      ) - 1
    ) - COUNTIFS(CU33, ""=TRUE"", CU32, ""&lt;&gt;TRUE"") - COUNTIF(CZ33, ""=TRUE"") - COUNTIF({DD33,DE33}, ""&lt;&gt;-"&amp;""") + COUNTIF(DH33, ""=TRUE""),
    3
  ),
  0, ""○○○"", 1, ""●○○"", 2, ""●●○"", 3, ""●●●"", 4, ""●●●"", ""○○○""
)"),"●●●")</f>
        <v>●●●</v>
      </c>
      <c r="DJ33" s="188" t="b">
        <v>0</v>
      </c>
      <c r="DK33" s="189" t="b">
        <v>0</v>
      </c>
      <c r="DL33" s="190" t="b">
        <v>0</v>
      </c>
      <c r="DM33" s="190" t="b">
        <v>0</v>
      </c>
      <c r="DN33" s="190" t="b">
        <v>0</v>
      </c>
      <c r="DO33" s="190" t="b">
        <v>0</v>
      </c>
      <c r="DP33" s="190" t="b">
        <v>0</v>
      </c>
      <c r="DQ33" s="191" t="b">
        <v>0</v>
      </c>
      <c r="DR33" s="192" t="b">
        <v>0</v>
      </c>
      <c r="DS33" s="191" t="b">
        <v>0</v>
      </c>
      <c r="DT33" s="192" t="b">
        <v>0</v>
      </c>
      <c r="DU33" s="191" t="b">
        <v>0</v>
      </c>
      <c r="DV33" s="193" t="s">
        <v>1070</v>
      </c>
      <c r="DW33" s="194" t="b">
        <v>0</v>
      </c>
      <c r="DX33" s="194" t="b">
        <v>1</v>
      </c>
      <c r="DY33" s="195" t="b">
        <v>0</v>
      </c>
      <c r="DZ33" s="196" t="b">
        <v>0</v>
      </c>
      <c r="EA33" s="195" t="b">
        <v>0</v>
      </c>
      <c r="EB33" s="197" t="b">
        <v>0</v>
      </c>
      <c r="EC33" s="197" t="b">
        <v>0</v>
      </c>
      <c r="ED33" s="212" t="b">
        <v>0</v>
      </c>
      <c r="EE33" s="199">
        <f>IFERROR(__xludf.DUMMYFUNCTION("IFERROR(
   PRODUCT(
     MAP(
       INDEX(TRANSPOSE(UNIQUE(TRANSPOSE(FILTER({IF($F33=""Physical"", K$10:ED$10, IF($F33=""Magic"", K$11:ED$11, K$12:ED$12));K$4:ED$4;K33:ED33}, K33:ED33=TRUE)))), 1, 0),
       INDEX(TRANSPOSE(UNIQUE(TRANSPOSE(FILTER({IF($"&amp;"F33=""Physical"", K$18:ED$18, IF($F33=""Magic"", K$19:ED$19, K$20:ED$20));K$4:ED$4;K33:ED33}, K33:ED33=TRUE)))), 1, 0),
       INDEX(TRANSPOSE(UNIQUE(TRANSPOSE(FILTER({K$5:ED$5;K$4:ED$4;K33:ED33}, K33:ED33=TRUE)))), 1, 0),
       INDEX(TRANSPOSE(UNIQUE(TR"&amp;"ANSPOSE(FILTER({K$17:ED$17;K$4:ED$4;K33:ED33}, K33:ED33=TRUE)))), 1, 0),
       LAMBDA(
         mitigation,
         enhance,
         assign,
         precondition,
         IF(
           REGEXMATCH(assign, ""RANGE_PARTY|SINGLE_ENEMY|RANGE_ENEMY""),
  "&amp;"         IF(
             OR(ARRAYFORMULA((IF(precondition="""", FALSE, REGEXMATCH(K$4:ED$4, precondition))) * (K33:ED33=TRUE))),
             IF(ISNUMBER(enhance), enhance, 1),
             IF(ISNUMBER(mitigation), mitigation, 1)
           ),
          "&amp;" 1
         )
       )
     )
   ),
   1
 )"),0.855)</f>
        <v>0.855</v>
      </c>
      <c r="EF33" s="200">
        <f>IFERROR(__xludf.DUMMYFUNCTION("PRODUCT(
   MAP(
     K$14:ED$14,
     K$13:ED$13,
     K33:ED33,
     LAMBDA(
       buff,
       target,
       check,
       IF(
         AND(check=TRUE, REGEXMATCH(target, ""RANGE_AFFECTED_ALL|RANGE_EFFECTED_ALL""), ISNUMBER(buff)),
         buff,
   "&amp;"      1
       )
     )
   )
 )"),1.0)</f>
        <v>1</v>
      </c>
      <c r="EG33" s="200">
        <f>IFERROR(__xludf.DUMMYFUNCTION("PRODUCT(
   MAP(
     K$14:ED$14,
     K$13:ED$13,
     K33:ED33,
     LAMBDA(
       buff,
       target,
       check,
       IF(
         AND(check=TRUE, REGEXMATCH(target, ""RANGE_AFFECTED_GCD|RANGE_EFFECTED_GCD""), ISNUMBER(buff)),
         buff,
   "&amp;"      1
       )
     )
   )
 )"),1.0)</f>
        <v>1</v>
      </c>
      <c r="EH33" s="200">
        <f>IFERROR(__xludf.DUMMYFUNCTION("PRODUCT(
   MAP(
     K$3:ED$3,
     K$14:ED$14,
     K$13:ED$13,
     K33:ED33,
     LAMBDA(
       job,
       buff,
       target,
       check,
       IF(
         AND(check=TRUE, REGEXMATCH(target, ""SELF_EFFECTED_ALL""), ISNUMBER(buff), job=""白魔道士"""&amp;"),
         buff,
         1
       )
     )
   )
 )"),1.0)</f>
        <v>1</v>
      </c>
      <c r="EI33" s="200">
        <f>IFERROR(__xludf.DUMMYFUNCTION("PRODUCT(
   MAP(
     K$3:ED$3,
     K$14:ED$14,
     K$13:ED$13,
     K33:ED33,
     LAMBDA(
       job,
       buff,
       target,
       check,
       IF(
         AND(check=TRUE, REGEXMATCH(target, ""SELF_EFFECTED_GCD""), ISNUMBER(buff), job=""白魔道士"""&amp;"),
         buff,
         1
       )
     )
   )
 )"),1.0)</f>
        <v>1</v>
      </c>
      <c r="EJ33" s="200">
        <f>IFERROR(__xludf.DUMMYFUNCTION("PRODUCT(
   MAP(
     K$3:ED$3,
     K$14:ED$14,
     K$13:ED$13,
     K33:ED33,
     LAMBDA(
       job,
       buff,
       target,
       check,
       IF(
         AND(check=TRUE, REGEXMATCH(target, ""SELF_EFFECTED_ALL""), ISNUMBER(buff), job=""占星術師"""&amp;"),
         buff,
         1
       )
     )
   )
 )"),1.0)</f>
        <v>1</v>
      </c>
      <c r="EK33" s="200">
        <f>IFERROR(__xludf.DUMMYFUNCTION("PRODUCT(
   MAP(
     K$3:ED$3,
     K$14:ED$14,
     K$13:ED$13,
     K33:ED33,
     LAMBDA(
       job,
       buff,
       target,
       check,
       IF(
         AND(check=TRUE, REGEXMATCH(target, ""SELF_EFFECTED_GCD""), ISNUMBER(buff), job=""占星術師"""&amp;"),
         buff,
         1
       )
     )
   )
 )"),1.0)</f>
        <v>1</v>
      </c>
      <c r="EL33" s="200">
        <f>IFERROR(__xludf.DUMMYFUNCTION("PRODUCT(
   MAP(
     K$3:ED$3,
     K$14:ED$14,
     K$13:ED$13,
     K33:ED33,
     LAMBDA(
       job,
       buff,
       target,
       check,
       IF(
         AND(check=TRUE, REGEXMATCH(target, ""SELF_EFFECTED_ALL""), ISNUMBER(buff), job=""学者""),"&amp;"
         buff,
         1
       )
     )
   )
 )"),1.0)</f>
        <v>1</v>
      </c>
      <c r="EM33" s="200">
        <f>IFERROR(__xludf.DUMMYFUNCTION("PRODUCT(
   MAP(
     K$3:ED$3,
     K$14:ED$14,
     K$13:ED$13,
     K33:ED33,
     LAMBDA(
       job,
       buff,
       target,
       check,
       IF(
         AND(check=TRUE, REGEXMATCH(target, ""SELF_EFFECTED_GCD""), ISNUMBER(buff), job=""学者""),"&amp;"
         buff,
         1
       )
     )
   )
 )"),1.0)</f>
        <v>1</v>
      </c>
      <c r="EN33" s="200">
        <f>IFERROR(__xludf.DUMMYFUNCTION("PRODUCT(
   MAP(
     K$3:ED$3,
     K$14:ED$14,
     K$13:ED$13,
     K33:ED33,
     LAMBDA(
       job,
       buff,
       target,
       check,
       IF(
         AND(check=TRUE, REGEXMATCH(target, ""SELF_EFFECTED_ALL""), ISNUMBER(buff), job=""賢者""),"&amp;"
         buff,
         1
       )
     )
   )
 )"),1.0)</f>
        <v>1</v>
      </c>
      <c r="EO33" s="200">
        <f>IFERROR(__xludf.DUMMYFUNCTION("PRODUCT(
   MAP(
     K$3:ED$3,
     K$14:ED$14,
     K$13:ED$13,
     K33:ED33,
     LAMBDA(
       job,
       buff,
       target,
       check,
       IF(
         AND(check=TRUE, REGEXMATCH(target, ""SELF_EFFECTED_GCD""), ISNUMBER(buff), job=""賢者""),"&amp;"
         buff,
         1
       )
     )
   )
 )"),1.0)</f>
        <v>1</v>
      </c>
      <c r="EP33" s="201">
        <f t="shared" si="3"/>
        <v>11970</v>
      </c>
      <c r="EQ33" s="201">
        <f>IFERROR(__xludf.DUMMYFUNCTION("SUM(
   MAP(
     K$4:ED$4,
     K$3:ED$3,
     K$7:ED$7,
     K$15:ED$15,
     K$16:ED$16,
     K$21:ED$21,
     K$5:ED$5,
     K$17:ED$17,
     K33:ED33,
     LAMBDA(
       name,
       job,
       abillity,
       buff,
       barrier,
       enhance,"&amp;"
       assign,
       precondition,
       check,
       SWITCH(
         name,
         ""シェイクオフ"", IF(check=TRUE, buff + (0.02 * COUNTIF(ARRAYFORMULA((REGEXMATCH($K$4:$ED$4, ""スリル・オブ・バトル|ヴェンジェンス|原初の血気|ダムネーション"")) * (K33:ED33=TRUE)), 1)), 0),
         "&amp;"""インプロビゼーションフィニッシュ(踊りの激情0)"", IF(ISNUMBER(check), INDEX(Skill!$AJ:$AJ, MATCH(SUBSTITUTE(DV$4, 0, check), Skill!$C:$C, 0)), 0),
         IF(
           AND(check=TRUE, REGEXMATCH(assign, ""RANGE_PARTY"")),
           IF(
             OR(ARRAYFORMULA((IF(pr"&amp;"econdition="""", FALSE, REGEXMATCH($K$4:$ED$4, precondition))) * (K33:ED33=TRUE))),
             enhance,
             IF(barrier="""", buff, barrier)
           ),
           0
         )
       ) *
       SWITCH(
         job,
         ""ナイト"", EY$24,
 "&amp;"        ""戦士"", FD$24,
         ""踊り子"", ET$24,
         ""ピクトマンサー"", ET$24,
         ""白魔道士"", EF33 * EH33 * IF(abillity, 1, EG33 * EI33) * (Option!$D$22 * 0.81 / 100),
         ""占星術師"", EF33 * EJ33 * IF(abillity, 1, EG33 * EK33) * (Option!$D$23 * 0.81 "&amp;"/ 100),
         ""学者"", EF33 * EL33 * IF(abillity, 1, EG33 * EM33) * (Option!$D$24 * 0.81 / 100),
         ""賢者"", EF33 * EN33 * IF(abillity, 1, EG33 * EO33) * (Option!$D$25 * 0.81 / 100),
         1
       )
     )
   )
 )"),0.0)</f>
        <v>0</v>
      </c>
      <c r="ER33" s="202">
        <f t="shared" si="4"/>
        <v>11970</v>
      </c>
      <c r="ES33" s="203">
        <f t="shared" si="5"/>
        <v>0</v>
      </c>
      <c r="ET33" s="231" t="str">
        <f>IFERROR(__xludf.DUMMYFUNCTION("IFS(
  EP33 &gt; $ET$24 + EQ33,
  SPARKLINE({ 1, 0 }, {""charttype"",""bar"";""max"", 1;""color1"",Option!$D$30;""color2"",Option!$D$30}),
  EP33 &lt; EQ33,
  SPARKLINE({EQ33 - EP33, $ET$24 - (EQ33 - EP33)}, {""charttype"",""bar"";""max"",$ET$24;""color1"",Opti"&amp;"on!$D$28;""color2"",Option!$D$29}),
  EP33 &gt;= EQ33,
  SPARKLINE({$ET$24 + EQ33 - EP33,EP33 - EQ33}, {""charttype"",""bar"";""max"",$ET$24;""color1"",Option!$D$29;""color2"",Option!$D$30})
)"),"")</f>
        <v/>
      </c>
      <c r="EU33" s="205">
        <f>IFERROR(__xludf.DUMMYFUNCTION("PRODUCT(
   MAP(
     IF($F33=""Physical"", K$10:ED$10, IF($F33=""Magic"", K$11:ED$11, K$12:ED$12)),
     IF($F33=""Physical"", K$18:ED$18, IF($F33=""Magic"", K$19:ED$19, K$20:ED$20)),
     K$3:ED$3,
     K$5:ED$5,
     K$17:ED$17,
     K33:ED33,
     LAM"&amp;"BDA(
       mitigation,
       enhance,
       job,
       assign,
       precondition,
       check,
       IF(
         OR(AND(check=TRUE, REGEXMATCH(assign, ""SELF""), job=""ナイト""), AND(check=Option!$E$13, REGEXMATCH(assign, ""SINGLE_PARTY""))),
      "&amp;"   IF(
           OR(ARRAYFORMULA((IF(precondition="""", FALSE, REGEXMATCH($K$4:$ED$4, precondition))) * (K33:ED33=TRUE))),
           enhance,
           mitigation
         ),
         1
       )
     )
   )
 ) * EE33"),0.855)</f>
        <v>0.855</v>
      </c>
      <c r="EV33" s="206">
        <f t="shared" si="6"/>
        <v>9576</v>
      </c>
      <c r="EW33" s="205">
        <f>IFERROR(__xludf.DUMMYFUNCTION("PRODUCT(
   MAP(
     K$3:ED$3,
     K$14:ED$14,
     K$13:ED$13,
     K33:ED33,
     LAMBDA(
       job,
       buff,
       target,
       check,
       IF(
         OR(AND(check=TRUE, REGEXMATCH(target, ""SELF_AFFECTED_ALL""), job=""ナイト""), AND(check=O"&amp;"ption!$E$13, REGEXMATCH(target, ""SINGLE_AFFECTED_ALL""))),
         buff,
         1
       )
     )
   )
 )"),1.0)</f>
        <v>1</v>
      </c>
      <c r="EX33" s="206">
        <f>IFERROR(__xludf.DUMMYFUNCTION("SUM(
   MAP(
     K$3:ED$3,
     K$7:ED$7,
     K$15:ED$15,
     K$16:ED$16,
     K$21:ED$21,
     K$5:ED$5,
     K$17:ED$17,
     K33:ED33,
     LAMBDA(
       job,
       abillity,
       buff,
       barrier,
       enhance,
       assign,
       preco"&amp;"ndition,
       check,
       IF(
         OR(AND(check=TRUE, REGEXMATCH(assign, ""SELF""), job=""ナイト""), AND(check=Option!$E$13, REGEXMATCH(assign, ""SINGLE_PARTY""))),
         IF(
           OR(ARRAYFORMULA((IF(precondition="""", FALSE, REGEXMATCH($K$4"&amp;":$ED$4, precondition))) * (K33:ED33=TRUE))),
           enhance,
           IF(barrier="""", buff, barrier)
         ),
         0
       ) *
       SWITCH(
         job,
         ""暗黒騎士"", EY$24,
         ""白魔道士"", EF33 * EH33 * EW33 * IF(abillity, 1, EG"&amp;"33 * EI33) * (Option!$D$22 * 0.81 / 100),
         ""占星術師"", EF33 * EJ33 * EW33 * IF(abillity, 1, EG33 * EK33) * (Option!$D$23 * 0.81 / 100),
         ""学者"", EF33 * EL33 * EW33 * IF(abillity, 1, EG33 * EM33) * (Option!$D$24 * 0.81 / 100),
         ""賢者"""&amp;", EF33 * EN33 * EW33 * IF(abillity, 1, EG33 * EO33) * (Option!$D$25 * 0.81 / 100),
         1
       )
     )
   )
 ) + EQ33"),0.0)</f>
        <v>0</v>
      </c>
      <c r="EY33" s="232">
        <f t="shared" si="7"/>
        <v>9576</v>
      </c>
      <c r="EZ33" s="205">
        <f>IFERROR(__xludf.DUMMYFUNCTION("PRODUCT(
   MAP(
     IF($F33=""Physical"", K$10:ED$10, IF($F33=""Magic"", K$11:ED$11, K$12:ED$12)),
     IF($F33=""Physical"", K$18:ED$18, IF($F33=""Magic"", K$19:ED$19, K$20:ED$20)),
     K$3:ED$3,
     K$5:ED$5,
     K$17:ED$17,
     K33:ED33,
     LAM"&amp;"BDA(
       mitigation,
       enhance,
       job,
       assign,
       precondition,
       check,
       IF(
         OR(AND(check=TRUE, REGEXMATCH(assign, ""SELF""), job=""戦士""), AND(check=Option!$F$13, REGEXMATCH(assign, ""SINGLE_PARTY""))),
       "&amp;"  IF(
           OR(ARRAYFORMULA((IF(precondition="""", FALSE, REGEXMATCH($K$4:$ED$4, precondition))) * (K33:ED33=TRUE))),
           enhance,
           mitigation
         ),
         1
       )
     )
   )
 ) * EE33"),0.855)</f>
        <v>0.855</v>
      </c>
      <c r="FA33" s="206">
        <f t="shared" si="8"/>
        <v>9576</v>
      </c>
      <c r="FB33" s="205">
        <f>IFERROR(__xludf.DUMMYFUNCTION("PRODUCT(
   MAP(
     K$3:ED$3,
     K$14:ED$14,
     K$13:ED$13,
     K33:ED33,
     LAMBDA(
       job,
       buff,
       target,
       check,
       IF(
         OR(AND(check=TRUE, REGEXMATCH(target, ""SELF_AFFECTED_ALL""), job=""戦士""), AND(check=Op"&amp;"tion!$F$13, REGEXMATCH(target, ""SINGLE_AFFECTED_ALL""))),
         buff,
         1
       )
     )
   )
 )"),1.0)</f>
        <v>1</v>
      </c>
      <c r="FC33" s="206">
        <f>IFERROR(__xludf.DUMMYFUNCTION("SUM(
   MAP(
     K$3:ED$3,
     K$7:ED$7,
     K$15:ED$15,
     K$16:ED$16,
     K$21:ED$21,
     K$5:ED$5,
     K$17:ED$17,
     K33:ED33,
     LAMBDA(
       job,
       abillity,
       buff,
       barrier,
       enhance,
       assign,
       preco"&amp;"ndition,
       check,
       IF(
         OR(AND(check=TRUE, REGEXMATCH(assign, ""SELF""), job=""戦士""), AND(check=Option!$F$13, REGEXMATCH(assign, ""SINGLE_PARTY""))),
         IF(
           OR(ARRAYFORMULA((IF(precondition="""", FALSE, REGEXMATCH($K$4:"&amp;"$ED$4, precondition))) * (K33:ED33=TRUE))),
           enhance,
           IF(barrier="""", buff, barrier)
         ),
         0
       ) *
       SWITCH(
         job,
         ""暗黒騎士"", FD$24,
         ""白魔道士"", EF33 * EH33 * FB33 * IF(abillity, 1, EG3"&amp;"3 * EI33) * (Option!$D$22 * 0.81 / 100),
         ""占星術師"", EF33 * EJ33 * FFB33 * IF(abillity, 1, EG33 * EK33) * (Option!$D$23 * 0.81 / 100),
         ""学者"", EF33 * EL33 * FB33 * IF(abillity, 1, EG33 * EM33) * (Option!$D$24 * 0.81 / 100),
         ""賢者"""&amp;", EF33 * EN33 * FB33 * IF(abillity, 1, EG33 * EO33) * (Option!$D$25 * 0.81 / 100),
         1
       )
     )
   )
 ) + EQ33"),0.0)</f>
        <v>0</v>
      </c>
      <c r="FD33" s="206">
        <f t="shared" si="9"/>
        <v>9576</v>
      </c>
      <c r="FE33" s="205">
        <f>IFERROR(__xludf.DUMMYFUNCTION("PRODUCT(
   MAP(
     IF($F33=""Physical"", K$10:ED$10, IF($F33=""Magic"", K$11:ED$11, K$12:ED$12)),
     IF($F33=""Physical"", K$18:ED$18, IF($F33=""Magic"", K$19:ED$19, K$20:ED$20)),
     K$3:ED$3,
     K$5:ED$5,
     K$17:ED$17,
     K33:ED33,
     LAM"&amp;"BDA(
       mitigation,
       enhance,
       job,
       assign,
       precondition,
       check,
       IF(
         OR(AND(check=TRUE, REGEXMATCH(assign, ""SELF""), job=""暗黒騎士""), AND(check=Option!$G$13, REGEXMATCH(assign, ""SINGLE_PARTY""))),
     "&amp;"    IF(
           OR(ARRAYFORMULA((IF(precondition="""", FALSE, REGEXMATCH($K$4:$ED$4, precondition))) * (K33:ED33=TRUE))),
           enhance,
           mitigation
         ),
         1
       )
     )
   )
 ) * EE33"),0.855)</f>
        <v>0.855</v>
      </c>
      <c r="FF33" s="206">
        <f t="shared" si="10"/>
        <v>9576</v>
      </c>
      <c r="FG33" s="205">
        <f>IFERROR(__xludf.DUMMYFUNCTION("PRODUCT(
   MAP(
     K$3:ED$3,
     K$14:ED$14,
     K$13:ED$13,
     K33:ED33,
     LAMBDA(
       job,
       buff,
       target,
       check,
       IF(
         OR(AND(check=TRUE, REGEXMATCH(target, ""SELF_AFFECTED_ALL""), job=""暗黒騎士""), AND(check="&amp;"Option!$G$13, REGEXMATCH(target, ""SINGLE_AFFECTED_ALL""))),
         buff,
         1
       )
     )
   )
 )"),1.0)</f>
        <v>1</v>
      </c>
      <c r="FH33" s="206">
        <f>IFERROR(__xludf.DUMMYFUNCTION("SUM(
   MAP(
     K$3:ED$3,
     K$7:ED$7,
     K$15:ED$15,
     K$16:ED$16,
     K$21:ED$21,
     K$5:ED$5,
     K$17:ED$17,
     K33:ED33,
     LAMBDA(
       job,
       abillity,
       buff,
       barrier,
       enhance,
       assign,
       preco"&amp;"ndition,
       check,
       IF(
         OR(AND(check=TRUE, REGEXMATCH(assign, ""SELF""), job=""暗黒騎士""), AND(check=Option!$G$13, REGEXMATCH(assign, ""SINGLE_PARTY""))),
         IF(
           OR(ARRAYFORMULA((IF(precondition="""", FALSE, REGEXMATCH($K$"&amp;"4:$ED$4, precondition))) * (K33:ED33=TRUE))),
           enhance,
           IF(barrier="""", buff, barrier)
         ),
         0
       ) *
       SWITCH(
         job,
         ""暗黒騎士"", FI$24,
         ""白魔道士"", EF33 * EH33 * FG33 * IF(abillity, 1, E"&amp;"G33 * EI33) * (Option!$D$22 * 0.81 / 100),
         ""占星術師"", EF33 * EJ33 * FG33 * IF(abillity, 1, EG33 * EK33) * (Option!$D$23 * 0.81 / 100),
         ""学者"", EF33 * EL33 * FG33 * IF(abillity, 1, EG33 * EM33) * (Option!$D$24 * 0.81 / 100),
         ""賢者"&amp;""", EF33 * EN33 * FG33 * IF(abillity, 1, EG33 * EO33) * (Option!$D$25 * 0.81 / 100),
         1
       )
     )
   )
 ) + EQ33"),0.0)</f>
        <v>0</v>
      </c>
      <c r="FI33" s="206">
        <f t="shared" si="11"/>
        <v>9576</v>
      </c>
      <c r="FJ33" s="205">
        <f>IFERROR(__xludf.DUMMYFUNCTION("PRODUCT(
   MAP(
     IF($F33=""Physical"", K$10:ED$10, IF($F33=""Magic"", K$11:ED$11, K$12:ED$12)),
     IF($F33=""Physical"", K$18:ED$18, IF($F33=""Magic"", K$19:ED$19, K$20:ED$20)),
     K$3:ED$3,
     K$5:ED$5,
     K$17:ED$17,
     K33:ED33,
     LAM"&amp;"BDA(
       mitigation,
       enhance,
       job,
       assign,
       precondition,
       check,
       IF(
         OR(AND(check=TRUE, REGEXMATCH(assign, ""SELF""), job=""ガンブレイカー""), AND(check=Option!$H$13, REGEXMATCH(assign, ""SINGLE_PARTY""))),
  "&amp;"       IF(
           OR(ARRAYFORMULA((IF(precondition="""", FALSE, REGEXMATCH($K$4:$ED$4, precondition))) * (K33:ED33=TRUE))),
           enhance,
           mitigation
         ),
         1
       )
     )
   )
 ) * EE33"),0.855)</f>
        <v>0.855</v>
      </c>
      <c r="FK33" s="206">
        <f t="shared" si="12"/>
        <v>9576</v>
      </c>
      <c r="FL33" s="205">
        <f>IFERROR(__xludf.DUMMYFUNCTION("PRODUCT(
   MAP(
     K$3:ED$3,
     K$14:ED$14,
     K$13:ED$13,
     K33:ED33,
     LAMBDA(
       job,
       buff,
       target,
       check,
       IF(
         OR(AND(check=TRUE, REGEXMATCH(target, ""SELF_AFFECTED_ALL""), job=""ガンブレイカー""), AND(che"&amp;"ck=Option!$H$13, REGEXMATCH(target, ""SINGLE_AFFECTED_ALL""))),
         buff,
         1
       )
     )
   )
 )"),1.0)</f>
        <v>1</v>
      </c>
      <c r="FM33" s="206">
        <f>IFERROR(__xludf.DUMMYFUNCTION("SUM(
   MAP(
     K$3:ED$3,
     K$7:ED$7,
     K$15:ED$15,
     K$16:ED$16,
     K$21:ED$21,
     K$5:ED$5,
     K$17:ED$17,
     K33:ED33,
     LAMBDA(
       job,
       abillity,
       buff,
       barrier,
       enhance,
       assign,
       preco"&amp;"ndition,
       check,
       IF(
         OR(AND(check=TRUE, REGEXMATCH(assign, ""SELF""), job=""ガンブレイカー""), AND(check=Option!$H$13, REGEXMATCH(assign, ""SINGLE_PARTY""))),
         IF(
           OR(ARRAYFORMULA((IF(precondition="""", FALSE, REGEXMATCH("&amp;"$K$4:$ED$4, precondition))) * (K33:ED33=TRUE))),
           enhance,
           IF(barrier="""", buff, barrier)
         ),
         0
       ) *
       SWITCH(
         job,
         ""暗黒騎士"", FN$24,
         ""白魔道士"", EF33 * EH33 * FL33 * IF(abillity, 1"&amp;", EG33 * EI33) * (Option!$D$22 * 0.81 / 100),
         ""占星術師"", EF33 * EJ33 * FL33 * IF(abillity, 1, EG33 * EK33) * (Option!$D$23 * 0.81 / 100),
         ""学者"", EF33 * EL33 * FL33 * IF(abillity, 1, EG33 * EM33) * (Option!$D$24 * 0.81 / 100),
         """&amp;"賢者"", EF33 * EN33 * FL33 * IF(abillity, 1, EG33 * EO33) * (Option!$D$25 * 0.81 / 100),
         1
       )
     )
   )
 ) + EQ33"),0.0)</f>
        <v>0</v>
      </c>
      <c r="FN33" s="206">
        <f t="shared" si="13"/>
        <v>9576</v>
      </c>
      <c r="FO33" s="213"/>
    </row>
    <row r="34">
      <c r="B34" s="229"/>
      <c r="C34" s="217">
        <f t="shared" si="1"/>
        <v>0.00380787037</v>
      </c>
      <c r="D34" s="236"/>
      <c r="E34" s="238"/>
      <c r="F34" s="167"/>
      <c r="G34" s="168" t="str">
        <f t="shared" si="2"/>
        <v/>
      </c>
      <c r="H34" s="169"/>
      <c r="I34" s="169"/>
      <c r="J34" s="169"/>
      <c r="K34" s="170" t="b">
        <v>0</v>
      </c>
      <c r="L34" s="170" t="b">
        <v>0</v>
      </c>
      <c r="M34" s="170" t="b">
        <v>0</v>
      </c>
      <c r="N34" s="171" t="s">
        <v>1070</v>
      </c>
      <c r="O34" s="172" t="b">
        <v>0</v>
      </c>
      <c r="P34" s="173" t="b">
        <v>0</v>
      </c>
      <c r="Q34" s="173" t="b">
        <v>0</v>
      </c>
      <c r="R34" s="173" t="b">
        <v>0</v>
      </c>
      <c r="S34" s="174" t="b">
        <v>0</v>
      </c>
      <c r="T34" s="175" t="b">
        <v>0</v>
      </c>
      <c r="U34" s="173" t="b">
        <v>0</v>
      </c>
      <c r="V34" s="171" t="s">
        <v>1070</v>
      </c>
      <c r="W34" s="172" t="b">
        <v>0</v>
      </c>
      <c r="X34" s="173" t="b">
        <v>0</v>
      </c>
      <c r="Y34" s="173" t="b">
        <v>0</v>
      </c>
      <c r="Z34" s="173" t="b">
        <v>0</v>
      </c>
      <c r="AA34" s="174" t="b">
        <v>0</v>
      </c>
      <c r="AB34" s="174" t="b">
        <v>0</v>
      </c>
      <c r="AC34" s="175" t="b">
        <v>0</v>
      </c>
      <c r="AD34" s="173" t="b">
        <v>0</v>
      </c>
      <c r="AE34" s="176" t="s">
        <v>1070</v>
      </c>
      <c r="AF34" s="171" t="s">
        <v>1070</v>
      </c>
      <c r="AG34" s="177">
        <f>IFERROR(__xludf.DUMMYFUNCTION("IF(
  ISNUMBER(AG33),
  MIN(MAX(
    AG33
    + MAX(
      ROUNDDOWN(($D34 - MAX(IFERROR(FILTER($D$24:$D33, AG$24:AG33 &lt;&gt; AF$6, AG$23:AG32 = AF$6), 0))) * (60 * 60 * 24) / AF$9) - ROUNDDOWN(($D33 - MAX(IFERROR(FILTER($D$23:$D32, AG$23:AG32 &lt;&gt; AF$6, AG$22:"&amp;"AG31 = AF$6), 0))) * (60 * 60 * 24) / 60),
      0
    )
    - COUNTIF(AF34, ""&lt;&gt;-""),
  0), AF$6),
  AF$6 - COUNTIF(AF34, ""&lt;&gt;-"")
)"),2.0)</f>
        <v>2</v>
      </c>
      <c r="AH34" s="173" t="b">
        <v>0</v>
      </c>
      <c r="AI34" s="173" t="b">
        <v>0</v>
      </c>
      <c r="AJ34" s="173" t="b">
        <v>0</v>
      </c>
      <c r="AK34" s="174" t="b">
        <v>0</v>
      </c>
      <c r="AL34" s="175" t="b">
        <v>0</v>
      </c>
      <c r="AM34" s="173" t="b">
        <v>0</v>
      </c>
      <c r="AN34" s="171" t="s">
        <v>1070</v>
      </c>
      <c r="AO34" s="173" t="b">
        <v>0</v>
      </c>
      <c r="AP34" s="173" t="b">
        <v>0</v>
      </c>
      <c r="AQ34" s="173" t="b">
        <v>0</v>
      </c>
      <c r="AR34" s="174" t="b">
        <v>0</v>
      </c>
      <c r="AS34" s="178" t="b">
        <v>0</v>
      </c>
      <c r="AT34" s="179" t="b">
        <v>0</v>
      </c>
      <c r="AU34" s="180" t="b">
        <v>0</v>
      </c>
      <c r="AV34" s="180" t="b">
        <v>0</v>
      </c>
      <c r="AW34" s="180" t="b">
        <v>0</v>
      </c>
      <c r="AX34" s="180" t="b">
        <v>0</v>
      </c>
      <c r="AY34" s="181" t="s">
        <v>1070</v>
      </c>
      <c r="AZ34" s="181" t="s">
        <v>1070</v>
      </c>
      <c r="BA34" s="184">
        <f>IFERROR(__xludf.DUMMYFUNCTION("IF(
  ISNUMBER(BA33),
  MIN(MAX(
    BA33
    + MAX(
      ROUNDDOWN((D34 - MAX(IFERROR(FILTER(D$24:D33, BA$24:BA33 &lt;&gt; AZ$6, BA$23:BA32 = AZ$6), 0))) * (60 * 60 * 24) / AZ$9) - ROUNDDOWN((D33 - MAX(IFERROR(FILTER(D$23:D32, BA$23:BA32 &lt;&gt; AZ$6, BA$22:BA31 ="&amp;" AZ$6), 0))) * (60 * 60 * 24) / AZ$9),
      0
    )
    - COUNTIF(AZ34, ""&lt;&gt;-""),
  0), AZ$6),
  AZ$6 - COUNTIF(AZ34, ""&lt;&gt;-"")
)"),2.0)</f>
        <v>2</v>
      </c>
      <c r="BB34" s="181" t="s">
        <v>1070</v>
      </c>
      <c r="BC34" s="183">
        <f>IFERROR(__xludf.DUMMYFUNCTION("IF(
  ISNUMBER(BC33),
  MIN(MAX(
    BC33
    + MAX(
      ROUNDDOWN(($D34 - MAX(IFERROR(FILTER($D$24:$D33, BC$24:BC33 &lt;&gt; BB$6, BC$23:BC32 = BB$6), 0))) * (60 * 60 * 24) / BB$9) - ROUNDDOWN(($D33 - MAX(IFERROR(FILTER($D$23:$D32, BC$23:BC32 &lt;&gt; BB$6, BC$22:"&amp;"BC31 = BB$6), 0))) * (60 * 60 * 24) / 60),
      0
    )
    - COUNTIF(BB34, ""&lt;&gt;-""),
  0), BB$6),
  BB$6 - COUNTIF(BB34, ""&lt;&gt;-"")
)"),2.0)</f>
        <v>2</v>
      </c>
      <c r="BD34" s="181" t="s">
        <v>1070</v>
      </c>
      <c r="BE34" s="178" t="b">
        <v>0</v>
      </c>
      <c r="BF34" s="180" t="b">
        <v>0</v>
      </c>
      <c r="BG34" s="180" t="b">
        <v>0</v>
      </c>
      <c r="BH34" s="180" t="b">
        <v>0</v>
      </c>
      <c r="BI34" s="180" t="b">
        <v>0</v>
      </c>
      <c r="BJ34" s="180" t="b">
        <v>0</v>
      </c>
      <c r="BK34" s="180" t="b">
        <v>0</v>
      </c>
      <c r="BL34" s="180" t="b">
        <v>0</v>
      </c>
      <c r="BM34" s="180" t="b">
        <v>0</v>
      </c>
      <c r="BN34" s="180" t="b">
        <v>0</v>
      </c>
      <c r="BO34" s="181" t="s">
        <v>1070</v>
      </c>
      <c r="BP34" s="181" t="s">
        <v>1070</v>
      </c>
      <c r="BQ34" s="181" t="s">
        <v>1070</v>
      </c>
      <c r="BR34" s="181" t="s">
        <v>1070</v>
      </c>
      <c r="BS34" s="181" t="s">
        <v>1070</v>
      </c>
      <c r="BT34" s="184">
        <f>IFERROR(__xludf.DUMMYFUNCTION("IF(
  ISNUMBER(BT33),
  MIN(MAX(
    BT33
    + MAX(
      ROUNDDOWN((D34 - MAX(IFERROR(FILTER(D$24:D33, BT$24:BT33 &lt;&gt; BS$6, BT$23:BT32 = BS$6), 0))) * (60 * 60 * 24) / BS$9) - ROUNDDOWN((D33 - MAX(IFERROR(FILTER(D$23:D32, BT$23:BT32 &lt;&gt; BS$6, BT$22:BT31 ="&amp;" BS$6), 0))) * (60 * 60 * 24) / BS$9),
      0
    )
    - COUNTIF(BS34, ""&lt;&gt;-""),
  0), BS$6),
  BS$6 - COUNTIF(BS34, ""&lt;&gt;-"")
)"),3.0)</f>
        <v>3</v>
      </c>
      <c r="BU34" s="181" t="s">
        <v>1070</v>
      </c>
      <c r="BV34" s="181" t="s">
        <v>1070</v>
      </c>
      <c r="BW34" s="184">
        <f>IFERROR(__xludf.DUMMYFUNCTION("IF(
  ISNUMBER(BW33),
  MIN(MAX(
    BW33
    + MAX(
      ROUNDDOWN((D34 - MAX(IFERROR(FILTER(D$24:D33, BW$24:BW33 &lt;&gt; BV$6, BW$23:BW32 = BV$6), 0))) * (60 * 60 * 24) / BV$9) - ROUNDDOWN((D33 - MAX(IFERROR(FILTER(D$23:D32, BW$23:BW32 &lt;&gt; BV$6, BW$22:BW31 ="&amp;" BV$6), 0))) * (60 * 60 * 24) / BV$9),
      0
    )
    - COUNTIF(BV34, ""&lt;&gt;-""),
  0), BV$6),
  BV$6 - COUNTIF(BV34, ""&lt;&gt;-"")
)"),2.0)</f>
        <v>2</v>
      </c>
      <c r="BX34" s="185" t="s">
        <v>1070</v>
      </c>
      <c r="BY34" s="178" t="b">
        <v>0</v>
      </c>
      <c r="BZ34" s="180" t="b">
        <v>0</v>
      </c>
      <c r="CA34" s="180" t="b">
        <v>0</v>
      </c>
      <c r="CB34" s="180" t="b">
        <v>0</v>
      </c>
      <c r="CC34" s="180" t="b">
        <v>0</v>
      </c>
      <c r="CD34" s="180" t="b">
        <v>0</v>
      </c>
      <c r="CE34" s="180" t="b">
        <v>0</v>
      </c>
      <c r="CF34" s="180" t="b">
        <v>0</v>
      </c>
      <c r="CG34" s="180" t="b">
        <v>0</v>
      </c>
      <c r="CH34" s="180" t="b">
        <v>0</v>
      </c>
      <c r="CI34" s="180" t="b">
        <v>0</v>
      </c>
      <c r="CJ34" s="180" t="b">
        <v>0</v>
      </c>
      <c r="CK34" s="180" t="b">
        <v>0</v>
      </c>
      <c r="CL34" s="180" t="b">
        <v>0</v>
      </c>
      <c r="CM34" s="181" t="s">
        <v>1070</v>
      </c>
      <c r="CN34" s="181" t="s">
        <v>1070</v>
      </c>
      <c r="CO34" s="181" t="s">
        <v>1070</v>
      </c>
      <c r="CP34" s="181" t="s">
        <v>1070</v>
      </c>
      <c r="CQ34" s="185" t="s">
        <v>1070</v>
      </c>
      <c r="CR34" s="180" t="b">
        <v>0</v>
      </c>
      <c r="CS34" s="186" t="str">
        <f t="shared" si="14"/>
        <v>◇◇◇</v>
      </c>
      <c r="CT34" s="178" t="b">
        <v>0</v>
      </c>
      <c r="CU34" s="180" t="b">
        <v>0</v>
      </c>
      <c r="CV34" s="180" t="b">
        <v>0</v>
      </c>
      <c r="CW34" s="180" t="b">
        <v>0</v>
      </c>
      <c r="CX34" s="180" t="b">
        <v>0</v>
      </c>
      <c r="CY34" s="180" t="b">
        <v>0</v>
      </c>
      <c r="CZ34" s="180" t="b">
        <v>0</v>
      </c>
      <c r="DA34" s="180" t="b">
        <v>0</v>
      </c>
      <c r="DB34" s="180" t="b">
        <v>0</v>
      </c>
      <c r="DC34" s="180" t="b">
        <v>0</v>
      </c>
      <c r="DD34" s="181" t="s">
        <v>1070</v>
      </c>
      <c r="DE34" s="181" t="s">
        <v>1070</v>
      </c>
      <c r="DF34" s="181" t="s">
        <v>1070</v>
      </c>
      <c r="DG34" s="185" t="s">
        <v>1070</v>
      </c>
      <c r="DH34" s="180" t="b">
        <v>0</v>
      </c>
      <c r="DI34" s="187" t="str">
        <f>IFERROR(__xludf.DUMMYFUNCTION("SWITCH(
  IF(
    ISTEXT(DI33),
    IF (
      FIND(""○"", DI33&amp;""○"") &gt; 3,
      3,
      FIND(""○"", DI33&amp;""○"")
      + MAX(
        ROUNDDOWN(($D34 - MAX(IFERROR(FILTER(D$24:D33, DI$24:DI33 &lt;&gt; ""●●●"", DI$23:DI32 = ""●●●""), 0))) * (60 * 60 * 24) / 20"&amp;") - ROUNDDOWN(($D33 - MAX(IFERROR(FILTER(D$23:D32, DI$23:DI32 &lt;&gt; ""●●●"", DI$22:DI31 = ""●●●""), 0))) * (60 * 60 * 24) / 20),
        0
      ) - 1
    ) - COUNTIFS(CU34, ""=TRUE"", CU33, ""&lt;&gt;TRUE"") - COUNTIF(CZ34, ""=TRUE"") - COUNTIF({DD34,DE34}, ""&lt;&gt;-"&amp;""") + COUNTIF(DH34, ""=TRUE""),
    3
  ),
  0, ""○○○"", 1, ""●○○"", 2, ""●●○"", 3, ""●●●"", 4, ""●●●"", ""○○○""
)"),"●●●")</f>
        <v>●●●</v>
      </c>
      <c r="DJ34" s="188" t="b">
        <v>0</v>
      </c>
      <c r="DK34" s="189" t="b">
        <v>0</v>
      </c>
      <c r="DL34" s="190" t="b">
        <v>0</v>
      </c>
      <c r="DM34" s="190" t="b">
        <v>0</v>
      </c>
      <c r="DN34" s="190" t="b">
        <v>0</v>
      </c>
      <c r="DO34" s="190" t="b">
        <v>0</v>
      </c>
      <c r="DP34" s="190" t="b">
        <v>0</v>
      </c>
      <c r="DQ34" s="191" t="b">
        <v>0</v>
      </c>
      <c r="DR34" s="192" t="b">
        <v>0</v>
      </c>
      <c r="DS34" s="191" t="b">
        <v>0</v>
      </c>
      <c r="DT34" s="192" t="b">
        <v>0</v>
      </c>
      <c r="DU34" s="191" t="b">
        <v>0</v>
      </c>
      <c r="DV34" s="193" t="s">
        <v>1070</v>
      </c>
      <c r="DW34" s="194" t="b">
        <v>0</v>
      </c>
      <c r="DX34" s="194" t="b">
        <v>0</v>
      </c>
      <c r="DY34" s="195" t="b">
        <v>0</v>
      </c>
      <c r="DZ34" s="196" t="b">
        <v>0</v>
      </c>
      <c r="EA34" s="195" t="b">
        <v>0</v>
      </c>
      <c r="EB34" s="197" t="b">
        <v>0</v>
      </c>
      <c r="EC34" s="197" t="b">
        <v>0</v>
      </c>
      <c r="ED34" s="212" t="b">
        <v>0</v>
      </c>
      <c r="EE34" s="199">
        <f>IFERROR(__xludf.DUMMYFUNCTION("IFERROR(
   PRODUCT(
     MAP(
       INDEX(TRANSPOSE(UNIQUE(TRANSPOSE(FILTER({IF($F34=""Physical"", K$10:ED$10, IF($F34=""Magic"", K$11:ED$11, K$12:ED$12));K$4:ED$4;K34:ED34}, K34:ED34=TRUE)))), 1, 0),
       INDEX(TRANSPOSE(UNIQUE(TRANSPOSE(FILTER({IF($"&amp;"F34=""Physical"", K$18:ED$18, IF($F34=""Magic"", K$19:ED$19, K$20:ED$20));K$4:ED$4;K34:ED34}, K34:ED34=TRUE)))), 1, 0),
       INDEX(TRANSPOSE(UNIQUE(TRANSPOSE(FILTER({K$5:ED$5;K$4:ED$4;K34:ED34}, K34:ED34=TRUE)))), 1, 0),
       INDEX(TRANSPOSE(UNIQUE(TR"&amp;"ANSPOSE(FILTER({K$17:ED$17;K$4:ED$4;K34:ED34}, K34:ED34=TRUE)))), 1, 0),
       LAMBDA(
         mitigation,
         enhance,
         assign,
         precondition,
         IF(
           REGEXMATCH(assign, ""RANGE_PARTY|SINGLE_ENEMY|RANGE_ENEMY""),
  "&amp;"         IF(
             OR(ARRAYFORMULA((IF(precondition="""", FALSE, REGEXMATCH(K$4:ED$4, precondition))) * (K34:ED34=TRUE))),
             IF(ISNUMBER(enhance), enhance, 1),
             IF(ISNUMBER(mitigation), mitigation, 1)
           ),
          "&amp;" 1
         )
       )
     )
   ),
   1
 )"),1.0)</f>
        <v>1</v>
      </c>
      <c r="EF34" s="200">
        <f>IFERROR(__xludf.DUMMYFUNCTION("PRODUCT(
   MAP(
     K$14:ED$14,
     K$13:ED$13,
     K34:ED34,
     LAMBDA(
       buff,
       target,
       check,
       IF(
         AND(check=TRUE, REGEXMATCH(target, ""RANGE_AFFECTED_ALL|RANGE_EFFECTED_ALL""), ISNUMBER(buff)),
         buff,
   "&amp;"      1
       )
     )
   )
 )"),1.0)</f>
        <v>1</v>
      </c>
      <c r="EG34" s="200">
        <f>IFERROR(__xludf.DUMMYFUNCTION("PRODUCT(
   MAP(
     K$14:ED$14,
     K$13:ED$13,
     K34:ED34,
     LAMBDA(
       buff,
       target,
       check,
       IF(
         AND(check=TRUE, REGEXMATCH(target, ""RANGE_AFFECTED_GCD|RANGE_EFFECTED_GCD""), ISNUMBER(buff)),
         buff,
   "&amp;"      1
       )
     )
   )
 )"),1.0)</f>
        <v>1</v>
      </c>
      <c r="EH34" s="200">
        <f>IFERROR(__xludf.DUMMYFUNCTION("PRODUCT(
   MAP(
     K$3:ED$3,
     K$14:ED$14,
     K$13:ED$13,
     K34:ED34,
     LAMBDA(
       job,
       buff,
       target,
       check,
       IF(
         AND(check=TRUE, REGEXMATCH(target, ""SELF_EFFECTED_ALL""), ISNUMBER(buff), job=""白魔道士"""&amp;"),
         buff,
         1
       )
     )
   )
 )"),1.0)</f>
        <v>1</v>
      </c>
      <c r="EI34" s="200">
        <f>IFERROR(__xludf.DUMMYFUNCTION("PRODUCT(
   MAP(
     K$3:ED$3,
     K$14:ED$14,
     K$13:ED$13,
     K34:ED34,
     LAMBDA(
       job,
       buff,
       target,
       check,
       IF(
         AND(check=TRUE, REGEXMATCH(target, ""SELF_EFFECTED_GCD""), ISNUMBER(buff), job=""白魔道士"""&amp;"),
         buff,
         1
       )
     )
   )
 )"),1.0)</f>
        <v>1</v>
      </c>
      <c r="EJ34" s="200">
        <f>IFERROR(__xludf.DUMMYFUNCTION("PRODUCT(
   MAP(
     K$3:ED$3,
     K$14:ED$14,
     K$13:ED$13,
     K34:ED34,
     LAMBDA(
       job,
       buff,
       target,
       check,
       IF(
         AND(check=TRUE, REGEXMATCH(target, ""SELF_EFFECTED_ALL""), ISNUMBER(buff), job=""占星術師"""&amp;"),
         buff,
         1
       )
     )
   )
 )"),1.0)</f>
        <v>1</v>
      </c>
      <c r="EK34" s="200">
        <f>IFERROR(__xludf.DUMMYFUNCTION("PRODUCT(
   MAP(
     K$3:ED$3,
     K$14:ED$14,
     K$13:ED$13,
     K34:ED34,
     LAMBDA(
       job,
       buff,
       target,
       check,
       IF(
         AND(check=TRUE, REGEXMATCH(target, ""SELF_EFFECTED_GCD""), ISNUMBER(buff), job=""占星術師"""&amp;"),
         buff,
         1
       )
     )
   )
 )"),1.0)</f>
        <v>1</v>
      </c>
      <c r="EL34" s="200">
        <f>IFERROR(__xludf.DUMMYFUNCTION("PRODUCT(
   MAP(
     K$3:ED$3,
     K$14:ED$14,
     K$13:ED$13,
     K34:ED34,
     LAMBDA(
       job,
       buff,
       target,
       check,
       IF(
         AND(check=TRUE, REGEXMATCH(target, ""SELF_EFFECTED_ALL""), ISNUMBER(buff), job=""学者""),"&amp;"
         buff,
         1
       )
     )
   )
 )"),1.0)</f>
        <v>1</v>
      </c>
      <c r="EM34" s="200">
        <f>IFERROR(__xludf.DUMMYFUNCTION("PRODUCT(
   MAP(
     K$3:ED$3,
     K$14:ED$14,
     K$13:ED$13,
     K34:ED34,
     LAMBDA(
       job,
       buff,
       target,
       check,
       IF(
         AND(check=TRUE, REGEXMATCH(target, ""SELF_EFFECTED_GCD""), ISNUMBER(buff), job=""学者""),"&amp;"
         buff,
         1
       )
     )
   )
 )"),1.0)</f>
        <v>1</v>
      </c>
      <c r="EN34" s="200">
        <f>IFERROR(__xludf.DUMMYFUNCTION("PRODUCT(
   MAP(
     K$3:ED$3,
     K$14:ED$14,
     K$13:ED$13,
     K34:ED34,
     LAMBDA(
       job,
       buff,
       target,
       check,
       IF(
         AND(check=TRUE, REGEXMATCH(target, ""SELF_EFFECTED_ALL""), ISNUMBER(buff), job=""賢者""),"&amp;"
         buff,
         1
       )
     )
   )
 )"),1.0)</f>
        <v>1</v>
      </c>
      <c r="EO34" s="200">
        <f>IFERROR(__xludf.DUMMYFUNCTION("PRODUCT(
   MAP(
     K$3:ED$3,
     K$14:ED$14,
     K$13:ED$13,
     K34:ED34,
     LAMBDA(
       job,
       buff,
       target,
       check,
       IF(
         AND(check=TRUE, REGEXMATCH(target, ""SELF_EFFECTED_GCD""), ISNUMBER(buff), job=""賢者""),"&amp;"
         buff,
         1
       )
     )
   )
 )"),1.0)</f>
        <v>1</v>
      </c>
      <c r="EP34" s="201">
        <f t="shared" si="3"/>
        <v>0</v>
      </c>
      <c r="EQ34" s="201">
        <f>IFERROR(__xludf.DUMMYFUNCTION("SUM(
   MAP(
     K$4:ED$4,
     K$3:ED$3,
     K$7:ED$7,
     K$15:ED$15,
     K$16:ED$16,
     K$21:ED$21,
     K$5:ED$5,
     K$17:ED$17,
     K34:ED34,
     LAMBDA(
       name,
       job,
       abillity,
       buff,
       barrier,
       enhance,"&amp;"
       assign,
       precondition,
       check,
       SWITCH(
         name,
         ""シェイクオフ"", IF(check=TRUE, buff + (0.02 * COUNTIF(ARRAYFORMULA((REGEXMATCH($K$4:$ED$4, ""スリル・オブ・バトル|ヴェンジェンス|原初の血気|ダムネーション"")) * (K34:ED34=TRUE)), 1)), 0),
         "&amp;"""インプロビゼーションフィニッシュ(踊りの激情0)"", IF(ISNUMBER(check), INDEX(Skill!$AJ:$AJ, MATCH(SUBSTITUTE(DV$4, 0, check), Skill!$C:$C, 0)), 0),
         IF(
           AND(check=TRUE, REGEXMATCH(assign, ""RANGE_PARTY"")),
           IF(
             OR(ARRAYFORMULA((IF(pr"&amp;"econdition="""", FALSE, REGEXMATCH($K$4:$ED$4, precondition))) * (K34:ED34=TRUE))),
             enhance,
             IF(barrier="""", buff, barrier)
           ),
           0
         )
       ) *
       SWITCH(
         job,
         ""ナイト"", EY$24,
 "&amp;"        ""戦士"", FD$24,
         ""踊り子"", ET$24,
         ""ピクトマンサー"", ET$24,
         ""白魔道士"", EF34 * EH34 * IF(abillity, 1, EG34 * EI34) * (Option!$D$22 * 0.81 / 100),
         ""占星術師"", EF34 * EJ34 * IF(abillity, 1, EG34 * EK34) * (Option!$D$23 * 0.81 "&amp;"/ 100),
         ""学者"", EF34 * EL34 * IF(abillity, 1, EG34 * EM34) * (Option!$D$24 * 0.81 / 100),
         ""賢者"", EF34 * EN34 * IF(abillity, 1, EG34 * EO34) * (Option!$D$25 * 0.81 / 100),
         1
       )
     )
   )
 )"),0.0)</f>
        <v>0</v>
      </c>
      <c r="ER34" s="202">
        <f t="shared" si="4"/>
        <v>0</v>
      </c>
      <c r="ES34" s="203">
        <f t="shared" si="5"/>
        <v>0</v>
      </c>
      <c r="ET34" s="231" t="str">
        <f>IFERROR(__xludf.DUMMYFUNCTION("IFS(
  EP34 &gt; $ET$24 + EQ34,
  SPARKLINE({ 1, 0 }, {""charttype"",""bar"";""max"", 1;""color1"",Option!$D$30;""color2"",Option!$D$30}),
  EP34 &lt; EQ34,
  SPARKLINE({EQ34 - EP34, $ET$24 - (EQ34 - EP34)}, {""charttype"",""bar"";""max"",$ET$24;""color1"",Opti"&amp;"on!$D$28;""color2"",Option!$D$29}),
  EP34 &gt;= EQ34,
  SPARKLINE({$ET$24 + EQ34 - EP34,EP34 - EQ34}, {""charttype"",""bar"";""max"",$ET$24;""color1"",Option!$D$29;""color2"",Option!$D$30})
)"),"")</f>
        <v/>
      </c>
      <c r="EU34" s="205">
        <f>IFERROR(__xludf.DUMMYFUNCTION("PRODUCT(
   MAP(
     IF($F34=""Physical"", K$10:ED$10, IF($F34=""Magic"", K$11:ED$11, K$12:ED$12)),
     IF($F34=""Physical"", K$18:ED$18, IF($F34=""Magic"", K$19:ED$19, K$20:ED$20)),
     K$3:ED$3,
     K$5:ED$5,
     K$17:ED$17,
     K34:ED34,
     LAM"&amp;"BDA(
       mitigation,
       enhance,
       job,
       assign,
       precondition,
       check,
       IF(
         OR(AND(check=TRUE, REGEXMATCH(assign, ""SELF""), job=""ナイト""), AND(check=Option!$E$13, REGEXMATCH(assign, ""SINGLE_PARTY""))),
      "&amp;"   IF(
           OR(ARRAYFORMULA((IF(precondition="""", FALSE, REGEXMATCH($K$4:$ED$4, precondition))) * (K34:ED34=TRUE))),
           enhance,
           mitigation
         ),
         1
       )
     )
   )
 ) * EE34"),1.0)</f>
        <v>1</v>
      </c>
      <c r="EV34" s="206">
        <f t="shared" si="6"/>
        <v>0</v>
      </c>
      <c r="EW34" s="205">
        <f>IFERROR(__xludf.DUMMYFUNCTION("PRODUCT(
   MAP(
     K$3:ED$3,
     K$14:ED$14,
     K$13:ED$13,
     K34:ED34,
     LAMBDA(
       job,
       buff,
       target,
       check,
       IF(
         OR(AND(check=TRUE, REGEXMATCH(target, ""SELF_AFFECTED_ALL""), job=""ナイト""), AND(check=O"&amp;"ption!$E$13, REGEXMATCH(target, ""SINGLE_AFFECTED_ALL""))),
         buff,
         1
       )
     )
   )
 )"),1.0)</f>
        <v>1</v>
      </c>
      <c r="EX34" s="206">
        <f>IFERROR(__xludf.DUMMYFUNCTION("SUM(
   MAP(
     K$3:ED$3,
     K$7:ED$7,
     K$15:ED$15,
     K$16:ED$16,
     K$21:ED$21,
     K$5:ED$5,
     K$17:ED$17,
     K34:ED34,
     LAMBDA(
       job,
       abillity,
       buff,
       barrier,
       enhance,
       assign,
       preco"&amp;"ndition,
       check,
       IF(
         OR(AND(check=TRUE, REGEXMATCH(assign, ""SELF""), job=""ナイト""), AND(check=Option!$E$13, REGEXMATCH(assign, ""SINGLE_PARTY""))),
         IF(
           OR(ARRAYFORMULA((IF(precondition="""", FALSE, REGEXMATCH($K$4"&amp;":$ED$4, precondition))) * (K34:ED34=TRUE))),
           enhance,
           IF(barrier="""", buff, barrier)
         ),
         0
       ) *
       SWITCH(
         job,
         ""暗黒騎士"", EY$24,
         ""白魔道士"", EF34 * EH34 * EW34 * IF(abillity, 1, EG"&amp;"34 * EI34) * (Option!$D$22 * 0.81 / 100),
         ""占星術師"", EF34 * EJ34 * EW34 * IF(abillity, 1, EG34 * EK34) * (Option!$D$23 * 0.81 / 100),
         ""学者"", EF34 * EL34 * EW34 * IF(abillity, 1, EG34 * EM34) * (Option!$D$24 * 0.81 / 100),
         ""賢者"""&amp;", EF34 * EN34 * EW34 * IF(abillity, 1, EG34 * EO34) * (Option!$D$25 * 0.81 / 100),
         1
       )
     )
   )
 ) + EQ34"),0.0)</f>
        <v>0</v>
      </c>
      <c r="EY34" s="232">
        <f t="shared" si="7"/>
        <v>0</v>
      </c>
      <c r="EZ34" s="205">
        <f>IFERROR(__xludf.DUMMYFUNCTION("PRODUCT(
   MAP(
     IF($F34=""Physical"", K$10:ED$10, IF($F34=""Magic"", K$11:ED$11, K$12:ED$12)),
     IF($F34=""Physical"", K$18:ED$18, IF($F34=""Magic"", K$19:ED$19, K$20:ED$20)),
     K$3:ED$3,
     K$5:ED$5,
     K$17:ED$17,
     K34:ED34,
     LAM"&amp;"BDA(
       mitigation,
       enhance,
       job,
       assign,
       precondition,
       check,
       IF(
         OR(AND(check=TRUE, REGEXMATCH(assign, ""SELF""), job=""戦士""), AND(check=Option!$F$13, REGEXMATCH(assign, ""SINGLE_PARTY""))),
       "&amp;"  IF(
           OR(ARRAYFORMULA((IF(precondition="""", FALSE, REGEXMATCH($K$4:$ED$4, precondition))) * (K34:ED34=TRUE))),
           enhance,
           mitigation
         ),
         1
       )
     )
   )
 ) * EE34"),1.0)</f>
        <v>1</v>
      </c>
      <c r="FA34" s="206">
        <f t="shared" si="8"/>
        <v>0</v>
      </c>
      <c r="FB34" s="205">
        <f>IFERROR(__xludf.DUMMYFUNCTION("PRODUCT(
   MAP(
     K$3:ED$3,
     K$14:ED$14,
     K$13:ED$13,
     K34:ED34,
     LAMBDA(
       job,
       buff,
       target,
       check,
       IF(
         OR(AND(check=TRUE, REGEXMATCH(target, ""SELF_AFFECTED_ALL""), job=""戦士""), AND(check=Op"&amp;"tion!$F$13, REGEXMATCH(target, ""SINGLE_AFFECTED_ALL""))),
         buff,
         1
       )
     )
   )
 )"),1.0)</f>
        <v>1</v>
      </c>
      <c r="FC34" s="206">
        <f>IFERROR(__xludf.DUMMYFUNCTION("SUM(
   MAP(
     K$3:ED$3,
     K$7:ED$7,
     K$15:ED$15,
     K$16:ED$16,
     K$21:ED$21,
     K$5:ED$5,
     K$17:ED$17,
     K34:ED34,
     LAMBDA(
       job,
       abillity,
       buff,
       barrier,
       enhance,
       assign,
       preco"&amp;"ndition,
       check,
       IF(
         OR(AND(check=TRUE, REGEXMATCH(assign, ""SELF""), job=""戦士""), AND(check=Option!$F$13, REGEXMATCH(assign, ""SINGLE_PARTY""))),
         IF(
           OR(ARRAYFORMULA((IF(precondition="""", FALSE, REGEXMATCH($K$4:"&amp;"$ED$4, precondition))) * (K34:ED34=TRUE))),
           enhance,
           IF(barrier="""", buff, barrier)
         ),
         0
       ) *
       SWITCH(
         job,
         ""暗黒騎士"", FD$24,
         ""白魔道士"", EF34 * EH34 * FB34 * IF(abillity, 1, EG3"&amp;"4 * EI34) * (Option!$D$22 * 0.81 / 100),
         ""占星術師"", EF34 * EJ34 * FFB34 * IF(abillity, 1, EG34 * EK34) * (Option!$D$23 * 0.81 / 100),
         ""学者"", EF34 * EL34 * FB34 * IF(abillity, 1, EG34 * EM34) * (Option!$D$24 * 0.81 / 100),
         ""賢者"""&amp;", EF34 * EN34 * FB34 * IF(abillity, 1, EG34 * EO34) * (Option!$D$25 * 0.81 / 100),
         1
       )
     )
   )
 ) + EQ34"),0.0)</f>
        <v>0</v>
      </c>
      <c r="FD34" s="206">
        <f t="shared" si="9"/>
        <v>0</v>
      </c>
      <c r="FE34" s="205">
        <f>IFERROR(__xludf.DUMMYFUNCTION("PRODUCT(
   MAP(
     IF($F34=""Physical"", K$10:ED$10, IF($F34=""Magic"", K$11:ED$11, K$12:ED$12)),
     IF($F34=""Physical"", K$18:ED$18, IF($F34=""Magic"", K$19:ED$19, K$20:ED$20)),
     K$3:ED$3,
     K$5:ED$5,
     K$17:ED$17,
     K34:ED34,
     LAM"&amp;"BDA(
       mitigation,
       enhance,
       job,
       assign,
       precondition,
       check,
       IF(
         OR(AND(check=TRUE, REGEXMATCH(assign, ""SELF""), job=""暗黒騎士""), AND(check=Option!$G$13, REGEXMATCH(assign, ""SINGLE_PARTY""))),
     "&amp;"    IF(
           OR(ARRAYFORMULA((IF(precondition="""", FALSE, REGEXMATCH($K$4:$ED$4, precondition))) * (K34:ED34=TRUE))),
           enhance,
           mitigation
         ),
         1
       )
     )
   )
 ) * EE34"),1.0)</f>
        <v>1</v>
      </c>
      <c r="FF34" s="206">
        <f t="shared" si="10"/>
        <v>0</v>
      </c>
      <c r="FG34" s="205">
        <f>IFERROR(__xludf.DUMMYFUNCTION("PRODUCT(
   MAP(
     K$3:ED$3,
     K$14:ED$14,
     K$13:ED$13,
     K34:ED34,
     LAMBDA(
       job,
       buff,
       target,
       check,
       IF(
         OR(AND(check=TRUE, REGEXMATCH(target, ""SELF_AFFECTED_ALL""), job=""暗黒騎士""), AND(check="&amp;"Option!$G$13, REGEXMATCH(target, ""SINGLE_AFFECTED_ALL""))),
         buff,
         1
       )
     )
   )
 )"),1.0)</f>
        <v>1</v>
      </c>
      <c r="FH34" s="206">
        <f>IFERROR(__xludf.DUMMYFUNCTION("SUM(
   MAP(
     K$3:ED$3,
     K$7:ED$7,
     K$15:ED$15,
     K$16:ED$16,
     K$21:ED$21,
     K$5:ED$5,
     K$17:ED$17,
     K34:ED34,
     LAMBDA(
       job,
       abillity,
       buff,
       barrier,
       enhance,
       assign,
       preco"&amp;"ndition,
       check,
       IF(
         OR(AND(check=TRUE, REGEXMATCH(assign, ""SELF""), job=""暗黒騎士""), AND(check=Option!$G$13, REGEXMATCH(assign, ""SINGLE_PARTY""))),
         IF(
           OR(ARRAYFORMULA((IF(precondition="""", FALSE, REGEXMATCH($K$"&amp;"4:$ED$4, precondition))) * (K34:ED34=TRUE))),
           enhance,
           IF(barrier="""", buff, barrier)
         ),
         0
       ) *
       SWITCH(
         job,
         ""暗黒騎士"", FI$24,
         ""白魔道士"", EF34 * EH34 * FG34 * IF(abillity, 1, E"&amp;"G34 * EI34) * (Option!$D$22 * 0.81 / 100),
         ""占星術師"", EF34 * EJ34 * FG34 * IF(abillity, 1, EG34 * EK34) * (Option!$D$23 * 0.81 / 100),
         ""学者"", EF34 * EL34 * FG34 * IF(abillity, 1, EG34 * EM34) * (Option!$D$24 * 0.81 / 100),
         ""賢者"&amp;""", EF34 * EN34 * FG34 * IF(abillity, 1, EG34 * EO34) * (Option!$D$25 * 0.81 / 100),
         1
       )
     )
   )
 ) + EQ34"),0.0)</f>
        <v>0</v>
      </c>
      <c r="FI34" s="206">
        <f t="shared" si="11"/>
        <v>0</v>
      </c>
      <c r="FJ34" s="205">
        <f>IFERROR(__xludf.DUMMYFUNCTION("PRODUCT(
   MAP(
     IF($F34=""Physical"", K$10:ED$10, IF($F34=""Magic"", K$11:ED$11, K$12:ED$12)),
     IF($F34=""Physical"", K$18:ED$18, IF($F34=""Magic"", K$19:ED$19, K$20:ED$20)),
     K$3:ED$3,
     K$5:ED$5,
     K$17:ED$17,
     K34:ED34,
     LAM"&amp;"BDA(
       mitigation,
       enhance,
       job,
       assign,
       precondition,
       check,
       IF(
         OR(AND(check=TRUE, REGEXMATCH(assign, ""SELF""), job=""ガンブレイカー""), AND(check=Option!$H$13, REGEXMATCH(assign, ""SINGLE_PARTY""))),
  "&amp;"       IF(
           OR(ARRAYFORMULA((IF(precondition="""", FALSE, REGEXMATCH($K$4:$ED$4, precondition))) * (K34:ED34=TRUE))),
           enhance,
           mitigation
         ),
         1
       )
     )
   )
 ) * EE34"),1.0)</f>
        <v>1</v>
      </c>
      <c r="FK34" s="206">
        <f t="shared" si="12"/>
        <v>0</v>
      </c>
      <c r="FL34" s="205">
        <f>IFERROR(__xludf.DUMMYFUNCTION("PRODUCT(
   MAP(
     K$3:ED$3,
     K$14:ED$14,
     K$13:ED$13,
     K34:ED34,
     LAMBDA(
       job,
       buff,
       target,
       check,
       IF(
         OR(AND(check=TRUE, REGEXMATCH(target, ""SELF_AFFECTED_ALL""), job=""ガンブレイカー""), AND(che"&amp;"ck=Option!$H$13, REGEXMATCH(target, ""SINGLE_AFFECTED_ALL""))),
         buff,
         1
       )
     )
   )
 )"),1.0)</f>
        <v>1</v>
      </c>
      <c r="FM34" s="206">
        <f>IFERROR(__xludf.DUMMYFUNCTION("SUM(
   MAP(
     K$3:ED$3,
     K$7:ED$7,
     K$15:ED$15,
     K$16:ED$16,
     K$21:ED$21,
     K$5:ED$5,
     K$17:ED$17,
     K34:ED34,
     LAMBDA(
       job,
       abillity,
       buff,
       barrier,
       enhance,
       assign,
       preco"&amp;"ndition,
       check,
       IF(
         OR(AND(check=TRUE, REGEXMATCH(assign, ""SELF""), job=""ガンブレイカー""), AND(check=Option!$H$13, REGEXMATCH(assign, ""SINGLE_PARTY""))),
         IF(
           OR(ARRAYFORMULA((IF(precondition="""", FALSE, REGEXMATCH("&amp;"$K$4:$ED$4, precondition))) * (K34:ED34=TRUE))),
           enhance,
           IF(barrier="""", buff, barrier)
         ),
         0
       ) *
       SWITCH(
         job,
         ""暗黒騎士"", FN$24,
         ""白魔道士"", EF34 * EH34 * FL34 * IF(abillity, 1"&amp;", EG34 * EI34) * (Option!$D$22 * 0.81 / 100),
         ""占星術師"", EF34 * EJ34 * FL34 * IF(abillity, 1, EG34 * EK34) * (Option!$D$23 * 0.81 / 100),
         ""学者"", EF34 * EL34 * FL34 * IF(abillity, 1, EG34 * EM34) * (Option!$D$24 * 0.81 / 100),
         """&amp;"賢者"", EF34 * EN34 * FL34 * IF(abillity, 1, EG34 * EO34) * (Option!$D$25 * 0.81 / 100),
         1
       )
     )
   )
 ) + EQ34"),0.0)</f>
        <v>0</v>
      </c>
      <c r="FN34" s="206">
        <f t="shared" si="13"/>
        <v>0</v>
      </c>
      <c r="FO34" s="213"/>
    </row>
    <row r="35">
      <c r="B35" s="229"/>
      <c r="C35" s="217">
        <f t="shared" si="1"/>
        <v>0.00380787037</v>
      </c>
      <c r="D35" s="236"/>
      <c r="E35" s="238"/>
      <c r="F35" s="167"/>
      <c r="G35" s="168" t="str">
        <f t="shared" si="2"/>
        <v/>
      </c>
      <c r="H35" s="169"/>
      <c r="I35" s="169"/>
      <c r="J35" s="169"/>
      <c r="K35" s="170" t="b">
        <v>0</v>
      </c>
      <c r="L35" s="170" t="b">
        <v>0</v>
      </c>
      <c r="M35" s="170" t="b">
        <v>0</v>
      </c>
      <c r="N35" s="171" t="s">
        <v>1070</v>
      </c>
      <c r="O35" s="172" t="b">
        <v>0</v>
      </c>
      <c r="P35" s="173" t="b">
        <v>0</v>
      </c>
      <c r="Q35" s="173" t="b">
        <v>0</v>
      </c>
      <c r="R35" s="173" t="b">
        <v>0</v>
      </c>
      <c r="S35" s="174" t="b">
        <v>0</v>
      </c>
      <c r="T35" s="175" t="b">
        <v>0</v>
      </c>
      <c r="U35" s="173" t="b">
        <v>0</v>
      </c>
      <c r="V35" s="171" t="s">
        <v>1070</v>
      </c>
      <c r="W35" s="172" t="b">
        <v>0</v>
      </c>
      <c r="X35" s="173" t="b">
        <v>0</v>
      </c>
      <c r="Y35" s="173" t="b">
        <v>0</v>
      </c>
      <c r="Z35" s="173" t="b">
        <v>0</v>
      </c>
      <c r="AA35" s="174" t="b">
        <v>0</v>
      </c>
      <c r="AB35" s="174" t="b">
        <v>0</v>
      </c>
      <c r="AC35" s="175" t="b">
        <v>0</v>
      </c>
      <c r="AD35" s="173" t="b">
        <v>0</v>
      </c>
      <c r="AE35" s="176" t="s">
        <v>1070</v>
      </c>
      <c r="AF35" s="171" t="s">
        <v>1070</v>
      </c>
      <c r="AG35" s="177">
        <f>IFERROR(__xludf.DUMMYFUNCTION("IF(
  ISNUMBER(AG34),
  MIN(MAX(
    AG34
    + MAX(
      ROUNDDOWN(($D35 - MAX(IFERROR(FILTER($D$24:$D34, AG$24:AG34 &lt;&gt; AF$6, AG$23:AG33 = AF$6), 0))) * (60 * 60 * 24) / AF$9) - ROUNDDOWN(($D34 - MAX(IFERROR(FILTER($D$23:$D33, AG$23:AG33 &lt;&gt; AF$6, AG$22:"&amp;"AG32 = AF$6), 0))) * (60 * 60 * 24) / 60),
      0
    )
    - COUNTIF(AF35, ""&lt;&gt;-""),
  0), AF$6),
  AF$6 - COUNTIF(AF35, ""&lt;&gt;-"")
)"),2.0)</f>
        <v>2</v>
      </c>
      <c r="AH35" s="173" t="b">
        <v>0</v>
      </c>
      <c r="AI35" s="173" t="b">
        <v>0</v>
      </c>
      <c r="AJ35" s="173" t="b">
        <v>0</v>
      </c>
      <c r="AK35" s="174" t="b">
        <v>0</v>
      </c>
      <c r="AL35" s="175" t="b">
        <v>0</v>
      </c>
      <c r="AM35" s="173" t="b">
        <v>0</v>
      </c>
      <c r="AN35" s="171" t="s">
        <v>1070</v>
      </c>
      <c r="AO35" s="173" t="b">
        <v>0</v>
      </c>
      <c r="AP35" s="173" t="b">
        <v>0</v>
      </c>
      <c r="AQ35" s="173" t="b">
        <v>0</v>
      </c>
      <c r="AR35" s="174" t="b">
        <v>0</v>
      </c>
      <c r="AS35" s="178" t="b">
        <v>0</v>
      </c>
      <c r="AT35" s="179" t="b">
        <v>0</v>
      </c>
      <c r="AU35" s="180" t="b">
        <v>0</v>
      </c>
      <c r="AV35" s="180" t="b">
        <v>0</v>
      </c>
      <c r="AW35" s="180" t="b">
        <v>0</v>
      </c>
      <c r="AX35" s="180" t="b">
        <v>0</v>
      </c>
      <c r="AY35" s="181" t="s">
        <v>1070</v>
      </c>
      <c r="AZ35" s="181" t="s">
        <v>1070</v>
      </c>
      <c r="BA35" s="184">
        <f>IFERROR(__xludf.DUMMYFUNCTION("IF(
  ISNUMBER(BA34),
  MIN(MAX(
    BA34
    + MAX(
      ROUNDDOWN((D35 - MAX(IFERROR(FILTER(D$24:D34, BA$24:BA34 &lt;&gt; AZ$6, BA$23:BA33 = AZ$6), 0))) * (60 * 60 * 24) / AZ$9) - ROUNDDOWN((D34 - MAX(IFERROR(FILTER(D$23:D33, BA$23:BA33 &lt;&gt; AZ$6, BA$22:BA32 ="&amp;" AZ$6), 0))) * (60 * 60 * 24) / AZ$9),
      0
    )
    - COUNTIF(AZ35, ""&lt;&gt;-""),
  0), AZ$6),
  AZ$6 - COUNTIF(AZ35, ""&lt;&gt;-"")
)"),2.0)</f>
        <v>2</v>
      </c>
      <c r="BB35" s="181" t="s">
        <v>1070</v>
      </c>
      <c r="BC35" s="183">
        <f>IFERROR(__xludf.DUMMYFUNCTION("IF(
  ISNUMBER(BC34),
  MIN(MAX(
    BC34
    + MAX(
      ROUNDDOWN(($D35 - MAX(IFERROR(FILTER($D$24:$D34, BC$24:BC34 &lt;&gt; BB$6, BC$23:BC33 = BB$6), 0))) * (60 * 60 * 24) / BB$9) - ROUNDDOWN(($D34 - MAX(IFERROR(FILTER($D$23:$D33, BC$23:BC33 &lt;&gt; BB$6, BC$22:"&amp;"BC32 = BB$6), 0))) * (60 * 60 * 24) / 60),
      0
    )
    - COUNTIF(BB35, ""&lt;&gt;-""),
  0), BB$6),
  BB$6 - COUNTIF(BB35, ""&lt;&gt;-"")
)"),2.0)</f>
        <v>2</v>
      </c>
      <c r="BD35" s="181" t="s">
        <v>1070</v>
      </c>
      <c r="BE35" s="178" t="b">
        <v>0</v>
      </c>
      <c r="BF35" s="180" t="b">
        <v>0</v>
      </c>
      <c r="BG35" s="180" t="b">
        <v>0</v>
      </c>
      <c r="BH35" s="180" t="b">
        <v>0</v>
      </c>
      <c r="BI35" s="180" t="b">
        <v>0</v>
      </c>
      <c r="BJ35" s="180" t="b">
        <v>0</v>
      </c>
      <c r="BK35" s="180" t="b">
        <v>0</v>
      </c>
      <c r="BL35" s="180" t="b">
        <v>0</v>
      </c>
      <c r="BM35" s="180" t="b">
        <v>0</v>
      </c>
      <c r="BN35" s="180" t="b">
        <v>0</v>
      </c>
      <c r="BO35" s="181" t="s">
        <v>1070</v>
      </c>
      <c r="BP35" s="181" t="s">
        <v>1070</v>
      </c>
      <c r="BQ35" s="181" t="s">
        <v>1070</v>
      </c>
      <c r="BR35" s="181" t="s">
        <v>1070</v>
      </c>
      <c r="BS35" s="181" t="s">
        <v>1070</v>
      </c>
      <c r="BT35" s="184">
        <f>IFERROR(__xludf.DUMMYFUNCTION("IF(
  ISNUMBER(BT34),
  MIN(MAX(
    BT34
    + MAX(
      ROUNDDOWN((D35 - MAX(IFERROR(FILTER(D$24:D34, BT$24:BT34 &lt;&gt; BS$6, BT$23:BT33 = BS$6), 0))) * (60 * 60 * 24) / BS$9) - ROUNDDOWN((D34 - MAX(IFERROR(FILTER(D$23:D33, BT$23:BT33 &lt;&gt; BS$6, BT$22:BT32 ="&amp;" BS$6), 0))) * (60 * 60 * 24) / BS$9),
      0
    )
    - COUNTIF(BS35, ""&lt;&gt;-""),
  0), BS$6),
  BS$6 - COUNTIF(BS35, ""&lt;&gt;-"")
)"),3.0)</f>
        <v>3</v>
      </c>
      <c r="BU35" s="181" t="s">
        <v>1070</v>
      </c>
      <c r="BV35" s="181" t="s">
        <v>1070</v>
      </c>
      <c r="BW35" s="184">
        <f>IFERROR(__xludf.DUMMYFUNCTION("IF(
  ISNUMBER(BW34),
  MIN(MAX(
    BW34
    + MAX(
      ROUNDDOWN((D35 - MAX(IFERROR(FILTER(D$24:D34, BW$24:BW34 &lt;&gt; BV$6, BW$23:BW33 = BV$6), 0))) * (60 * 60 * 24) / BV$9) - ROUNDDOWN((D34 - MAX(IFERROR(FILTER(D$23:D33, BW$23:BW33 &lt;&gt; BV$6, BW$22:BW32 ="&amp;" BV$6), 0))) * (60 * 60 * 24) / BV$9),
      0
    )
    - COUNTIF(BV35, ""&lt;&gt;-""),
  0), BV$6),
  BV$6 - COUNTIF(BV35, ""&lt;&gt;-"")
)"),2.0)</f>
        <v>2</v>
      </c>
      <c r="BX35" s="185" t="s">
        <v>1070</v>
      </c>
      <c r="BY35" s="178" t="b">
        <v>0</v>
      </c>
      <c r="BZ35" s="180" t="b">
        <v>0</v>
      </c>
      <c r="CA35" s="180" t="b">
        <v>0</v>
      </c>
      <c r="CB35" s="180" t="b">
        <v>0</v>
      </c>
      <c r="CC35" s="180" t="b">
        <v>0</v>
      </c>
      <c r="CD35" s="180" t="b">
        <v>0</v>
      </c>
      <c r="CE35" s="180" t="b">
        <v>0</v>
      </c>
      <c r="CF35" s="180" t="b">
        <v>0</v>
      </c>
      <c r="CG35" s="180" t="b">
        <v>0</v>
      </c>
      <c r="CH35" s="180" t="b">
        <v>0</v>
      </c>
      <c r="CI35" s="180" t="b">
        <v>0</v>
      </c>
      <c r="CJ35" s="180" t="b">
        <v>0</v>
      </c>
      <c r="CK35" s="180" t="b">
        <v>0</v>
      </c>
      <c r="CL35" s="180" t="b">
        <v>0</v>
      </c>
      <c r="CM35" s="181" t="s">
        <v>1070</v>
      </c>
      <c r="CN35" s="181" t="s">
        <v>1070</v>
      </c>
      <c r="CO35" s="181" t="s">
        <v>1070</v>
      </c>
      <c r="CP35" s="181" t="s">
        <v>1070</v>
      </c>
      <c r="CQ35" s="185" t="s">
        <v>1070</v>
      </c>
      <c r="CR35" s="180" t="b">
        <v>0</v>
      </c>
      <c r="CS35" s="186" t="str">
        <f t="shared" si="14"/>
        <v>◇◇◇</v>
      </c>
      <c r="CT35" s="178" t="b">
        <v>0</v>
      </c>
      <c r="CU35" s="180" t="b">
        <v>0</v>
      </c>
      <c r="CV35" s="180" t="b">
        <v>0</v>
      </c>
      <c r="CW35" s="180" t="b">
        <v>0</v>
      </c>
      <c r="CX35" s="180" t="b">
        <v>0</v>
      </c>
      <c r="CY35" s="180" t="b">
        <v>0</v>
      </c>
      <c r="CZ35" s="180" t="b">
        <v>0</v>
      </c>
      <c r="DA35" s="180" t="b">
        <v>0</v>
      </c>
      <c r="DB35" s="180" t="b">
        <v>0</v>
      </c>
      <c r="DC35" s="180" t="b">
        <v>0</v>
      </c>
      <c r="DD35" s="181" t="s">
        <v>1070</v>
      </c>
      <c r="DE35" s="181" t="s">
        <v>1070</v>
      </c>
      <c r="DF35" s="181" t="s">
        <v>1070</v>
      </c>
      <c r="DG35" s="185" t="s">
        <v>1070</v>
      </c>
      <c r="DH35" s="180" t="b">
        <v>0</v>
      </c>
      <c r="DI35" s="187" t="str">
        <f>IFERROR(__xludf.DUMMYFUNCTION("SWITCH(
  IF(
    ISTEXT(DI34),
    IF (
      FIND(""○"", DI34&amp;""○"") &gt; 3,
      3,
      FIND(""○"", DI34&amp;""○"")
      + MAX(
        ROUNDDOWN(($D35 - MAX(IFERROR(FILTER(D$24:D34, DI$24:DI34 &lt;&gt; ""●●●"", DI$23:DI33 = ""●●●""), 0))) * (60 * 60 * 24) / 20"&amp;") - ROUNDDOWN(($D34 - MAX(IFERROR(FILTER(D$23:D33, DI$23:DI33 &lt;&gt; ""●●●"", DI$22:DI32 = ""●●●""), 0))) * (60 * 60 * 24) / 20),
        0
      ) - 1
    ) - COUNTIFS(CU35, ""=TRUE"", CU34, ""&lt;&gt;TRUE"") - COUNTIF(CZ35, ""=TRUE"") - COUNTIF({DD35,DE35}, ""&lt;&gt;-"&amp;""") + COUNTIF(DH35, ""=TRUE""),
    3
  ),
  0, ""○○○"", 1, ""●○○"", 2, ""●●○"", 3, ""●●●"", 4, ""●●●"", ""○○○""
)"),"●●●")</f>
        <v>●●●</v>
      </c>
      <c r="DJ35" s="188" t="b">
        <v>0</v>
      </c>
      <c r="DK35" s="189" t="b">
        <v>0</v>
      </c>
      <c r="DL35" s="190" t="b">
        <v>0</v>
      </c>
      <c r="DM35" s="190" t="b">
        <v>0</v>
      </c>
      <c r="DN35" s="190" t="b">
        <v>0</v>
      </c>
      <c r="DO35" s="190" t="b">
        <v>0</v>
      </c>
      <c r="DP35" s="190" t="b">
        <v>0</v>
      </c>
      <c r="DQ35" s="191" t="b">
        <v>0</v>
      </c>
      <c r="DR35" s="192" t="b">
        <v>0</v>
      </c>
      <c r="DS35" s="191" t="b">
        <v>0</v>
      </c>
      <c r="DT35" s="192" t="b">
        <v>0</v>
      </c>
      <c r="DU35" s="191" t="b">
        <v>0</v>
      </c>
      <c r="DV35" s="193" t="s">
        <v>1070</v>
      </c>
      <c r="DW35" s="194" t="b">
        <v>0</v>
      </c>
      <c r="DX35" s="194" t="b">
        <v>0</v>
      </c>
      <c r="DY35" s="195" t="b">
        <v>0</v>
      </c>
      <c r="DZ35" s="196" t="b">
        <v>0</v>
      </c>
      <c r="EA35" s="195" t="b">
        <v>0</v>
      </c>
      <c r="EB35" s="197" t="b">
        <v>0</v>
      </c>
      <c r="EC35" s="197" t="b">
        <v>0</v>
      </c>
      <c r="ED35" s="212" t="b">
        <v>0</v>
      </c>
      <c r="EE35" s="199">
        <f>IFERROR(__xludf.DUMMYFUNCTION("IFERROR(
   PRODUCT(
     MAP(
       INDEX(TRANSPOSE(UNIQUE(TRANSPOSE(FILTER({IF($F35=""Physical"", K$10:ED$10, IF($F35=""Magic"", K$11:ED$11, K$12:ED$12));K$4:ED$4;K35:ED35}, K35:ED35=TRUE)))), 1, 0),
       INDEX(TRANSPOSE(UNIQUE(TRANSPOSE(FILTER({IF($"&amp;"F35=""Physical"", K$18:ED$18, IF($F35=""Magic"", K$19:ED$19, K$20:ED$20));K$4:ED$4;K35:ED35}, K35:ED35=TRUE)))), 1, 0),
       INDEX(TRANSPOSE(UNIQUE(TRANSPOSE(FILTER({K$5:ED$5;K$4:ED$4;K35:ED35}, K35:ED35=TRUE)))), 1, 0),
       INDEX(TRANSPOSE(UNIQUE(TR"&amp;"ANSPOSE(FILTER({K$17:ED$17;K$4:ED$4;K35:ED35}, K35:ED35=TRUE)))), 1, 0),
       LAMBDA(
         mitigation,
         enhance,
         assign,
         precondition,
         IF(
           REGEXMATCH(assign, ""RANGE_PARTY|SINGLE_ENEMY|RANGE_ENEMY""),
  "&amp;"         IF(
             OR(ARRAYFORMULA((IF(precondition="""", FALSE, REGEXMATCH(K$4:ED$4, precondition))) * (K35:ED35=TRUE))),
             IF(ISNUMBER(enhance), enhance, 1),
             IF(ISNUMBER(mitigation), mitigation, 1)
           ),
          "&amp;" 1
         )
       )
     )
   ),
   1
 )"),1.0)</f>
        <v>1</v>
      </c>
      <c r="EF35" s="200">
        <f>IFERROR(__xludf.DUMMYFUNCTION("PRODUCT(
   MAP(
     K$14:ED$14,
     K$13:ED$13,
     K35:ED35,
     LAMBDA(
       buff,
       target,
       check,
       IF(
         AND(check=TRUE, REGEXMATCH(target, ""RANGE_AFFECTED_ALL|RANGE_EFFECTED_ALL""), ISNUMBER(buff)),
         buff,
   "&amp;"      1
       )
     )
   )
 )"),1.0)</f>
        <v>1</v>
      </c>
      <c r="EG35" s="200">
        <f>IFERROR(__xludf.DUMMYFUNCTION("PRODUCT(
   MAP(
     K$14:ED$14,
     K$13:ED$13,
     K35:ED35,
     LAMBDA(
       buff,
       target,
       check,
       IF(
         AND(check=TRUE, REGEXMATCH(target, ""RANGE_AFFECTED_GCD|RANGE_EFFECTED_GCD""), ISNUMBER(buff)),
         buff,
   "&amp;"      1
       )
     )
   )
 )"),1.0)</f>
        <v>1</v>
      </c>
      <c r="EH35" s="200">
        <f>IFERROR(__xludf.DUMMYFUNCTION("PRODUCT(
   MAP(
     K$3:ED$3,
     K$14:ED$14,
     K$13:ED$13,
     K35:ED35,
     LAMBDA(
       job,
       buff,
       target,
       check,
       IF(
         AND(check=TRUE, REGEXMATCH(target, ""SELF_EFFECTED_ALL""), ISNUMBER(buff), job=""白魔道士"""&amp;"),
         buff,
         1
       )
     )
   )
 )"),1.0)</f>
        <v>1</v>
      </c>
      <c r="EI35" s="200">
        <f>IFERROR(__xludf.DUMMYFUNCTION("PRODUCT(
   MAP(
     K$3:ED$3,
     K$14:ED$14,
     K$13:ED$13,
     K35:ED35,
     LAMBDA(
       job,
       buff,
       target,
       check,
       IF(
         AND(check=TRUE, REGEXMATCH(target, ""SELF_EFFECTED_GCD""), ISNUMBER(buff), job=""白魔道士"""&amp;"),
         buff,
         1
       )
     )
   )
 )"),1.0)</f>
        <v>1</v>
      </c>
      <c r="EJ35" s="200">
        <f>IFERROR(__xludf.DUMMYFUNCTION("PRODUCT(
   MAP(
     K$3:ED$3,
     K$14:ED$14,
     K$13:ED$13,
     K35:ED35,
     LAMBDA(
       job,
       buff,
       target,
       check,
       IF(
         AND(check=TRUE, REGEXMATCH(target, ""SELF_EFFECTED_ALL""), ISNUMBER(buff), job=""占星術師"""&amp;"),
         buff,
         1
       )
     )
   )
 )"),1.0)</f>
        <v>1</v>
      </c>
      <c r="EK35" s="200">
        <f>IFERROR(__xludf.DUMMYFUNCTION("PRODUCT(
   MAP(
     K$3:ED$3,
     K$14:ED$14,
     K$13:ED$13,
     K35:ED35,
     LAMBDA(
       job,
       buff,
       target,
       check,
       IF(
         AND(check=TRUE, REGEXMATCH(target, ""SELF_EFFECTED_GCD""), ISNUMBER(buff), job=""占星術師"""&amp;"),
         buff,
         1
       )
     )
   )
 )"),1.0)</f>
        <v>1</v>
      </c>
      <c r="EL35" s="200">
        <f>IFERROR(__xludf.DUMMYFUNCTION("PRODUCT(
   MAP(
     K$3:ED$3,
     K$14:ED$14,
     K$13:ED$13,
     K35:ED35,
     LAMBDA(
       job,
       buff,
       target,
       check,
       IF(
         AND(check=TRUE, REGEXMATCH(target, ""SELF_EFFECTED_ALL""), ISNUMBER(buff), job=""学者""),"&amp;"
         buff,
         1
       )
     )
   )
 )"),1.0)</f>
        <v>1</v>
      </c>
      <c r="EM35" s="200">
        <f>IFERROR(__xludf.DUMMYFUNCTION("PRODUCT(
   MAP(
     K$3:ED$3,
     K$14:ED$14,
     K$13:ED$13,
     K35:ED35,
     LAMBDA(
       job,
       buff,
       target,
       check,
       IF(
         AND(check=TRUE, REGEXMATCH(target, ""SELF_EFFECTED_GCD""), ISNUMBER(buff), job=""学者""),"&amp;"
         buff,
         1
       )
     )
   )
 )"),1.0)</f>
        <v>1</v>
      </c>
      <c r="EN35" s="200">
        <f>IFERROR(__xludf.DUMMYFUNCTION("PRODUCT(
   MAP(
     K$3:ED$3,
     K$14:ED$14,
     K$13:ED$13,
     K35:ED35,
     LAMBDA(
       job,
       buff,
       target,
       check,
       IF(
         AND(check=TRUE, REGEXMATCH(target, ""SELF_EFFECTED_ALL""), ISNUMBER(buff), job=""賢者""),"&amp;"
         buff,
         1
       )
     )
   )
 )"),1.0)</f>
        <v>1</v>
      </c>
      <c r="EO35" s="200">
        <f>IFERROR(__xludf.DUMMYFUNCTION("PRODUCT(
   MAP(
     K$3:ED$3,
     K$14:ED$14,
     K$13:ED$13,
     K35:ED35,
     LAMBDA(
       job,
       buff,
       target,
       check,
       IF(
         AND(check=TRUE, REGEXMATCH(target, ""SELF_EFFECTED_GCD""), ISNUMBER(buff), job=""賢者""),"&amp;"
         buff,
         1
       )
     )
   )
 )"),1.0)</f>
        <v>1</v>
      </c>
      <c r="EP35" s="201">
        <f t="shared" si="3"/>
        <v>0</v>
      </c>
      <c r="EQ35" s="201">
        <f>IFERROR(__xludf.DUMMYFUNCTION("SUM(
   MAP(
     K$4:ED$4,
     K$3:ED$3,
     K$7:ED$7,
     K$15:ED$15,
     K$16:ED$16,
     K$21:ED$21,
     K$5:ED$5,
     K$17:ED$17,
     K35:ED35,
     LAMBDA(
       name,
       job,
       abillity,
       buff,
       barrier,
       enhance,"&amp;"
       assign,
       precondition,
       check,
       SWITCH(
         name,
         ""シェイクオフ"", IF(check=TRUE, buff + (0.02 * COUNTIF(ARRAYFORMULA((REGEXMATCH($K$4:$ED$4, ""スリル・オブ・バトル|ヴェンジェンス|原初の血気|ダムネーション"")) * (K35:ED35=TRUE)), 1)), 0),
         "&amp;"""インプロビゼーションフィニッシュ(踊りの激情0)"", IF(ISNUMBER(check), INDEX(Skill!$AJ:$AJ, MATCH(SUBSTITUTE(DV$4, 0, check), Skill!$C:$C, 0)), 0),
         IF(
           AND(check=TRUE, REGEXMATCH(assign, ""RANGE_PARTY"")),
           IF(
             OR(ARRAYFORMULA((IF(pr"&amp;"econdition="""", FALSE, REGEXMATCH($K$4:$ED$4, precondition))) * (K35:ED35=TRUE))),
             enhance,
             IF(barrier="""", buff, barrier)
           ),
           0
         )
       ) *
       SWITCH(
         job,
         ""ナイト"", EY$24,
 "&amp;"        ""戦士"", FD$24,
         ""踊り子"", ET$24,
         ""ピクトマンサー"", ET$24,
         ""白魔道士"", EF35 * EH35 * IF(abillity, 1, EG35 * EI35) * (Option!$D$22 * 0.81 / 100),
         ""占星術師"", EF35 * EJ35 * IF(abillity, 1, EG35 * EK35) * (Option!$D$23 * 0.81 "&amp;"/ 100),
         ""学者"", EF35 * EL35 * IF(abillity, 1, EG35 * EM35) * (Option!$D$24 * 0.81 / 100),
         ""賢者"", EF35 * EN35 * IF(abillity, 1, EG35 * EO35) * (Option!$D$25 * 0.81 / 100),
         1
       )
     )
   )
 )"),0.0)</f>
        <v>0</v>
      </c>
      <c r="ER35" s="202">
        <f t="shared" si="4"/>
        <v>0</v>
      </c>
      <c r="ES35" s="203">
        <f t="shared" si="5"/>
        <v>0</v>
      </c>
      <c r="ET35" s="231" t="str">
        <f>IFERROR(__xludf.DUMMYFUNCTION("IFS(
  EP35 &gt; $ET$24 + EQ35,
  SPARKLINE({ 1, 0 }, {""charttype"",""bar"";""max"", 1;""color1"",Option!$D$30;""color2"",Option!$D$30}),
  EP35 &lt; EQ35,
  SPARKLINE({EQ35 - EP35, $ET$24 - (EQ35 - EP35)}, {""charttype"",""bar"";""max"",$ET$24;""color1"",Opti"&amp;"on!$D$28;""color2"",Option!$D$29}),
  EP35 &gt;= EQ35,
  SPARKLINE({$ET$24 + EQ35 - EP35,EP35 - EQ35}, {""charttype"",""bar"";""max"",$ET$24;""color1"",Option!$D$29;""color2"",Option!$D$30})
)"),"")</f>
        <v/>
      </c>
      <c r="EU35" s="205">
        <f>IFERROR(__xludf.DUMMYFUNCTION("PRODUCT(
   MAP(
     IF($F35=""Physical"", K$10:ED$10, IF($F35=""Magic"", K$11:ED$11, K$12:ED$12)),
     IF($F35=""Physical"", K$18:ED$18, IF($F35=""Magic"", K$19:ED$19, K$20:ED$20)),
     K$3:ED$3,
     K$5:ED$5,
     K$17:ED$17,
     K35:ED35,
     LAM"&amp;"BDA(
       mitigation,
       enhance,
       job,
       assign,
       precondition,
       check,
       IF(
         OR(AND(check=TRUE, REGEXMATCH(assign, ""SELF""), job=""ナイト""), AND(check=Option!$E$13, REGEXMATCH(assign, ""SINGLE_PARTY""))),
      "&amp;"   IF(
           OR(ARRAYFORMULA((IF(precondition="""", FALSE, REGEXMATCH($K$4:$ED$4, precondition))) * (K35:ED35=TRUE))),
           enhance,
           mitigation
         ),
         1
       )
     )
   )
 ) * EE35"),1.0)</f>
        <v>1</v>
      </c>
      <c r="EV35" s="206">
        <f t="shared" si="6"/>
        <v>0</v>
      </c>
      <c r="EW35" s="205">
        <f>IFERROR(__xludf.DUMMYFUNCTION("PRODUCT(
   MAP(
     K$3:ED$3,
     K$14:ED$14,
     K$13:ED$13,
     K35:ED35,
     LAMBDA(
       job,
       buff,
       target,
       check,
       IF(
         OR(AND(check=TRUE, REGEXMATCH(target, ""SELF_AFFECTED_ALL""), job=""ナイト""), AND(check=O"&amp;"ption!$E$13, REGEXMATCH(target, ""SINGLE_AFFECTED_ALL""))),
         buff,
         1
       )
     )
   )
 )"),1.0)</f>
        <v>1</v>
      </c>
      <c r="EX35" s="206">
        <f>IFERROR(__xludf.DUMMYFUNCTION("SUM(
   MAP(
     K$3:ED$3,
     K$7:ED$7,
     K$15:ED$15,
     K$16:ED$16,
     K$21:ED$21,
     K$5:ED$5,
     K$17:ED$17,
     K35:ED35,
     LAMBDA(
       job,
       abillity,
       buff,
       barrier,
       enhance,
       assign,
       preco"&amp;"ndition,
       check,
       IF(
         OR(AND(check=TRUE, REGEXMATCH(assign, ""SELF""), job=""ナイト""), AND(check=Option!$E$13, REGEXMATCH(assign, ""SINGLE_PARTY""))),
         IF(
           OR(ARRAYFORMULA((IF(precondition="""", FALSE, REGEXMATCH($K$4"&amp;":$ED$4, precondition))) * (K35:ED35=TRUE))),
           enhance,
           IF(barrier="""", buff, barrier)
         ),
         0
       ) *
       SWITCH(
         job,
         ""暗黒騎士"", EY$24,
         ""白魔道士"", EF35 * EH35 * EW35 * IF(abillity, 1, EG"&amp;"35 * EI35) * (Option!$D$22 * 0.81 / 100),
         ""占星術師"", EF35 * EJ35 * EW35 * IF(abillity, 1, EG35 * EK35) * (Option!$D$23 * 0.81 / 100),
         ""学者"", EF35 * EL35 * EW35 * IF(abillity, 1, EG35 * EM35) * (Option!$D$24 * 0.81 / 100),
         ""賢者"""&amp;", EF35 * EN35 * EW35 * IF(abillity, 1, EG35 * EO35) * (Option!$D$25 * 0.81 / 100),
         1
       )
     )
   )
 ) + EQ35"),0.0)</f>
        <v>0</v>
      </c>
      <c r="EY35" s="232">
        <f t="shared" si="7"/>
        <v>0</v>
      </c>
      <c r="EZ35" s="205">
        <f>IFERROR(__xludf.DUMMYFUNCTION("PRODUCT(
   MAP(
     IF($F35=""Physical"", K$10:ED$10, IF($F35=""Magic"", K$11:ED$11, K$12:ED$12)),
     IF($F35=""Physical"", K$18:ED$18, IF($F35=""Magic"", K$19:ED$19, K$20:ED$20)),
     K$3:ED$3,
     K$5:ED$5,
     K$17:ED$17,
     K35:ED35,
     LAM"&amp;"BDA(
       mitigation,
       enhance,
       job,
       assign,
       precondition,
       check,
       IF(
         OR(AND(check=TRUE, REGEXMATCH(assign, ""SELF""), job=""戦士""), AND(check=Option!$F$13, REGEXMATCH(assign, ""SINGLE_PARTY""))),
       "&amp;"  IF(
           OR(ARRAYFORMULA((IF(precondition="""", FALSE, REGEXMATCH($K$4:$ED$4, precondition))) * (K35:ED35=TRUE))),
           enhance,
           mitigation
         ),
         1
       )
     )
   )
 ) * EE35"),1.0)</f>
        <v>1</v>
      </c>
      <c r="FA35" s="206">
        <f t="shared" si="8"/>
        <v>0</v>
      </c>
      <c r="FB35" s="205">
        <f>IFERROR(__xludf.DUMMYFUNCTION("PRODUCT(
   MAP(
     K$3:ED$3,
     K$14:ED$14,
     K$13:ED$13,
     K35:ED35,
     LAMBDA(
       job,
       buff,
       target,
       check,
       IF(
         OR(AND(check=TRUE, REGEXMATCH(target, ""SELF_AFFECTED_ALL""), job=""戦士""), AND(check=Op"&amp;"tion!$F$13, REGEXMATCH(target, ""SINGLE_AFFECTED_ALL""))),
         buff,
         1
       )
     )
   )
 )"),1.0)</f>
        <v>1</v>
      </c>
      <c r="FC35" s="206">
        <f>IFERROR(__xludf.DUMMYFUNCTION("SUM(
   MAP(
     K$3:ED$3,
     K$7:ED$7,
     K$15:ED$15,
     K$16:ED$16,
     K$21:ED$21,
     K$5:ED$5,
     K$17:ED$17,
     K35:ED35,
     LAMBDA(
       job,
       abillity,
       buff,
       barrier,
       enhance,
       assign,
       preco"&amp;"ndition,
       check,
       IF(
         OR(AND(check=TRUE, REGEXMATCH(assign, ""SELF""), job=""戦士""), AND(check=Option!$F$13, REGEXMATCH(assign, ""SINGLE_PARTY""))),
         IF(
           OR(ARRAYFORMULA((IF(precondition="""", FALSE, REGEXMATCH($K$4:"&amp;"$ED$4, precondition))) * (K35:ED35=TRUE))),
           enhance,
           IF(barrier="""", buff, barrier)
         ),
         0
       ) *
       SWITCH(
         job,
         ""暗黒騎士"", FD$24,
         ""白魔道士"", EF35 * EH35 * FB35 * IF(abillity, 1, EG3"&amp;"5 * EI35) * (Option!$D$22 * 0.81 / 100),
         ""占星術師"", EF35 * EJ35 * FFB35 * IF(abillity, 1, EG35 * EK35) * (Option!$D$23 * 0.81 / 100),
         ""学者"", EF35 * EL35 * FB35 * IF(abillity, 1, EG35 * EM35) * (Option!$D$24 * 0.81 / 100),
         ""賢者"""&amp;", EF35 * EN35 * FB35 * IF(abillity, 1, EG35 * EO35) * (Option!$D$25 * 0.81 / 100),
         1
       )
     )
   )
 ) + EQ35"),0.0)</f>
        <v>0</v>
      </c>
      <c r="FD35" s="206">
        <f t="shared" si="9"/>
        <v>0</v>
      </c>
      <c r="FE35" s="205">
        <f>IFERROR(__xludf.DUMMYFUNCTION("PRODUCT(
   MAP(
     IF($F35=""Physical"", K$10:ED$10, IF($F35=""Magic"", K$11:ED$11, K$12:ED$12)),
     IF($F35=""Physical"", K$18:ED$18, IF($F35=""Magic"", K$19:ED$19, K$20:ED$20)),
     K$3:ED$3,
     K$5:ED$5,
     K$17:ED$17,
     K35:ED35,
     LAM"&amp;"BDA(
       mitigation,
       enhance,
       job,
       assign,
       precondition,
       check,
       IF(
         OR(AND(check=TRUE, REGEXMATCH(assign, ""SELF""), job=""暗黒騎士""), AND(check=Option!$G$13, REGEXMATCH(assign, ""SINGLE_PARTY""))),
     "&amp;"    IF(
           OR(ARRAYFORMULA((IF(precondition="""", FALSE, REGEXMATCH($K$4:$ED$4, precondition))) * (K35:ED35=TRUE))),
           enhance,
           mitigation
         ),
         1
       )
     )
   )
 ) * EE35"),1.0)</f>
        <v>1</v>
      </c>
      <c r="FF35" s="206">
        <f t="shared" si="10"/>
        <v>0</v>
      </c>
      <c r="FG35" s="205">
        <f>IFERROR(__xludf.DUMMYFUNCTION("PRODUCT(
   MAP(
     K$3:ED$3,
     K$14:ED$14,
     K$13:ED$13,
     K35:ED35,
     LAMBDA(
       job,
       buff,
       target,
       check,
       IF(
         OR(AND(check=TRUE, REGEXMATCH(target, ""SELF_AFFECTED_ALL""), job=""暗黒騎士""), AND(check="&amp;"Option!$G$13, REGEXMATCH(target, ""SINGLE_AFFECTED_ALL""))),
         buff,
         1
       )
     )
   )
 )"),1.0)</f>
        <v>1</v>
      </c>
      <c r="FH35" s="206">
        <f>IFERROR(__xludf.DUMMYFUNCTION("SUM(
   MAP(
     K$3:ED$3,
     K$7:ED$7,
     K$15:ED$15,
     K$16:ED$16,
     K$21:ED$21,
     K$5:ED$5,
     K$17:ED$17,
     K35:ED35,
     LAMBDA(
       job,
       abillity,
       buff,
       barrier,
       enhance,
       assign,
       preco"&amp;"ndition,
       check,
       IF(
         OR(AND(check=TRUE, REGEXMATCH(assign, ""SELF""), job=""暗黒騎士""), AND(check=Option!$G$13, REGEXMATCH(assign, ""SINGLE_PARTY""))),
         IF(
           OR(ARRAYFORMULA((IF(precondition="""", FALSE, REGEXMATCH($K$"&amp;"4:$ED$4, precondition))) * (K35:ED35=TRUE))),
           enhance,
           IF(barrier="""", buff, barrier)
         ),
         0
       ) *
       SWITCH(
         job,
         ""暗黒騎士"", FI$24,
         ""白魔道士"", EF35 * EH35 * FG35 * IF(abillity, 1, E"&amp;"G35 * EI35) * (Option!$D$22 * 0.81 / 100),
         ""占星術師"", EF35 * EJ35 * FG35 * IF(abillity, 1, EG35 * EK35) * (Option!$D$23 * 0.81 / 100),
         ""学者"", EF35 * EL35 * FG35 * IF(abillity, 1, EG35 * EM35) * (Option!$D$24 * 0.81 / 100),
         ""賢者"&amp;""", EF35 * EN35 * FG35 * IF(abillity, 1, EG35 * EO35) * (Option!$D$25 * 0.81 / 100),
         1
       )
     )
   )
 ) + EQ35"),0.0)</f>
        <v>0</v>
      </c>
      <c r="FI35" s="206">
        <f t="shared" si="11"/>
        <v>0</v>
      </c>
      <c r="FJ35" s="205">
        <f>IFERROR(__xludf.DUMMYFUNCTION("PRODUCT(
   MAP(
     IF($F35=""Physical"", K$10:ED$10, IF($F35=""Magic"", K$11:ED$11, K$12:ED$12)),
     IF($F35=""Physical"", K$18:ED$18, IF($F35=""Magic"", K$19:ED$19, K$20:ED$20)),
     K$3:ED$3,
     K$5:ED$5,
     K$17:ED$17,
     K35:ED35,
     LAM"&amp;"BDA(
       mitigation,
       enhance,
       job,
       assign,
       precondition,
       check,
       IF(
         OR(AND(check=TRUE, REGEXMATCH(assign, ""SELF""), job=""ガンブレイカー""), AND(check=Option!$H$13, REGEXMATCH(assign, ""SINGLE_PARTY""))),
  "&amp;"       IF(
           OR(ARRAYFORMULA((IF(precondition="""", FALSE, REGEXMATCH($K$4:$ED$4, precondition))) * (K35:ED35=TRUE))),
           enhance,
           mitigation
         ),
         1
       )
     )
   )
 ) * EE35"),1.0)</f>
        <v>1</v>
      </c>
      <c r="FK35" s="206">
        <f t="shared" si="12"/>
        <v>0</v>
      </c>
      <c r="FL35" s="205">
        <f>IFERROR(__xludf.DUMMYFUNCTION("PRODUCT(
   MAP(
     K$3:ED$3,
     K$14:ED$14,
     K$13:ED$13,
     K35:ED35,
     LAMBDA(
       job,
       buff,
       target,
       check,
       IF(
         OR(AND(check=TRUE, REGEXMATCH(target, ""SELF_AFFECTED_ALL""), job=""ガンブレイカー""), AND(che"&amp;"ck=Option!$H$13, REGEXMATCH(target, ""SINGLE_AFFECTED_ALL""))),
         buff,
         1
       )
     )
   )
 )"),1.0)</f>
        <v>1</v>
      </c>
      <c r="FM35" s="206">
        <f>IFERROR(__xludf.DUMMYFUNCTION("SUM(
   MAP(
     K$3:ED$3,
     K$7:ED$7,
     K$15:ED$15,
     K$16:ED$16,
     K$21:ED$21,
     K$5:ED$5,
     K$17:ED$17,
     K35:ED35,
     LAMBDA(
       job,
       abillity,
       buff,
       barrier,
       enhance,
       assign,
       preco"&amp;"ndition,
       check,
       IF(
         OR(AND(check=TRUE, REGEXMATCH(assign, ""SELF""), job=""ガンブレイカー""), AND(check=Option!$H$13, REGEXMATCH(assign, ""SINGLE_PARTY""))),
         IF(
           OR(ARRAYFORMULA((IF(precondition="""", FALSE, REGEXMATCH("&amp;"$K$4:$ED$4, precondition))) * (K35:ED35=TRUE))),
           enhance,
           IF(barrier="""", buff, barrier)
         ),
         0
       ) *
       SWITCH(
         job,
         ""暗黒騎士"", FN$24,
         ""白魔道士"", EF35 * EH35 * FL35 * IF(abillity, 1"&amp;", EG35 * EI35) * (Option!$D$22 * 0.81 / 100),
         ""占星術師"", EF35 * EJ35 * FL35 * IF(abillity, 1, EG35 * EK35) * (Option!$D$23 * 0.81 / 100),
         ""学者"", EF35 * EL35 * FL35 * IF(abillity, 1, EG35 * EM35) * (Option!$D$24 * 0.81 / 100),
         """&amp;"賢者"", EF35 * EN35 * FL35 * IF(abillity, 1, EG35 * EO35) * (Option!$D$25 * 0.81 / 100),
         1
       )
     )
   )
 ) + EQ35"),0.0)</f>
        <v>0</v>
      </c>
      <c r="FN35" s="206">
        <f t="shared" si="13"/>
        <v>0</v>
      </c>
      <c r="FO35" s="213"/>
    </row>
    <row r="36">
      <c r="B36" s="229"/>
      <c r="C36" s="217">
        <f t="shared" si="1"/>
        <v>0.00380787037</v>
      </c>
      <c r="D36" s="236"/>
      <c r="E36" s="238"/>
      <c r="F36" s="167"/>
      <c r="G36" s="168" t="str">
        <f t="shared" si="2"/>
        <v/>
      </c>
      <c r="H36" s="169"/>
      <c r="I36" s="169"/>
      <c r="J36" s="169"/>
      <c r="K36" s="170" t="b">
        <v>0</v>
      </c>
      <c r="L36" s="170" t="b">
        <v>0</v>
      </c>
      <c r="M36" s="170" t="b">
        <v>0</v>
      </c>
      <c r="N36" s="171" t="s">
        <v>1070</v>
      </c>
      <c r="O36" s="172" t="b">
        <v>0</v>
      </c>
      <c r="P36" s="173" t="b">
        <v>0</v>
      </c>
      <c r="Q36" s="173" t="b">
        <v>0</v>
      </c>
      <c r="R36" s="173" t="b">
        <v>0</v>
      </c>
      <c r="S36" s="174" t="b">
        <v>0</v>
      </c>
      <c r="T36" s="175" t="b">
        <v>0</v>
      </c>
      <c r="U36" s="173" t="b">
        <v>0</v>
      </c>
      <c r="V36" s="171" t="s">
        <v>1070</v>
      </c>
      <c r="W36" s="172" t="b">
        <v>0</v>
      </c>
      <c r="X36" s="173" t="b">
        <v>0</v>
      </c>
      <c r="Y36" s="173" t="b">
        <v>0</v>
      </c>
      <c r="Z36" s="173" t="b">
        <v>0</v>
      </c>
      <c r="AA36" s="174" t="b">
        <v>0</v>
      </c>
      <c r="AB36" s="174" t="b">
        <v>0</v>
      </c>
      <c r="AC36" s="175" t="b">
        <v>0</v>
      </c>
      <c r="AD36" s="173" t="b">
        <v>0</v>
      </c>
      <c r="AE36" s="176" t="s">
        <v>1070</v>
      </c>
      <c r="AF36" s="171" t="s">
        <v>1070</v>
      </c>
      <c r="AG36" s="177">
        <f>IFERROR(__xludf.DUMMYFUNCTION("IF(
  ISNUMBER(AG35),
  MIN(MAX(
    AG35
    + MAX(
      ROUNDDOWN(($D36 - MAX(IFERROR(FILTER($D$24:$D35, AG$24:AG35 &lt;&gt; AF$6, AG$23:AG34 = AF$6), 0))) * (60 * 60 * 24) / AF$9) - ROUNDDOWN(($D35 - MAX(IFERROR(FILTER($D$23:$D34, AG$23:AG34 &lt;&gt; AF$6, AG$22:"&amp;"AG33 = AF$6), 0))) * (60 * 60 * 24) / 60),
      0
    )
    - COUNTIF(AF36, ""&lt;&gt;-""),
  0), AF$6),
  AF$6 - COUNTIF(AF36, ""&lt;&gt;-"")
)"),2.0)</f>
        <v>2</v>
      </c>
      <c r="AH36" s="173" t="b">
        <v>0</v>
      </c>
      <c r="AI36" s="173" t="b">
        <v>0</v>
      </c>
      <c r="AJ36" s="173" t="b">
        <v>0</v>
      </c>
      <c r="AK36" s="174" t="b">
        <v>0</v>
      </c>
      <c r="AL36" s="175" t="b">
        <v>0</v>
      </c>
      <c r="AM36" s="173" t="b">
        <v>0</v>
      </c>
      <c r="AN36" s="171" t="s">
        <v>1070</v>
      </c>
      <c r="AO36" s="173" t="b">
        <v>0</v>
      </c>
      <c r="AP36" s="173" t="b">
        <v>0</v>
      </c>
      <c r="AQ36" s="173" t="b">
        <v>0</v>
      </c>
      <c r="AR36" s="174" t="b">
        <v>0</v>
      </c>
      <c r="AS36" s="178" t="b">
        <v>0</v>
      </c>
      <c r="AT36" s="179" t="b">
        <v>0</v>
      </c>
      <c r="AU36" s="180" t="b">
        <v>0</v>
      </c>
      <c r="AV36" s="180" t="b">
        <v>0</v>
      </c>
      <c r="AW36" s="180" t="b">
        <v>0</v>
      </c>
      <c r="AX36" s="180" t="b">
        <v>0</v>
      </c>
      <c r="AY36" s="181" t="s">
        <v>1070</v>
      </c>
      <c r="AZ36" s="181" t="s">
        <v>1070</v>
      </c>
      <c r="BA36" s="184">
        <f>IFERROR(__xludf.DUMMYFUNCTION("IF(
  ISNUMBER(BA35),
  MIN(MAX(
    BA35
    + MAX(
      ROUNDDOWN((D36 - MAX(IFERROR(FILTER(D$24:D35, BA$24:BA35 &lt;&gt; AZ$6, BA$23:BA34 = AZ$6), 0))) * (60 * 60 * 24) / AZ$9) - ROUNDDOWN((D35 - MAX(IFERROR(FILTER(D$23:D34, BA$23:BA34 &lt;&gt; AZ$6, BA$22:BA33 ="&amp;" AZ$6), 0))) * (60 * 60 * 24) / AZ$9),
      0
    )
    - COUNTIF(AZ36, ""&lt;&gt;-""),
  0), AZ$6),
  AZ$6 - COUNTIF(AZ36, ""&lt;&gt;-"")
)"),2.0)</f>
        <v>2</v>
      </c>
      <c r="BB36" s="181" t="s">
        <v>1070</v>
      </c>
      <c r="BC36" s="183">
        <f>IFERROR(__xludf.DUMMYFUNCTION("IF(
  ISNUMBER(BC35),
  MIN(MAX(
    BC35
    + MAX(
      ROUNDDOWN(($D36 - MAX(IFERROR(FILTER($D$24:$D35, BC$24:BC35 &lt;&gt; BB$6, BC$23:BC34 = BB$6), 0))) * (60 * 60 * 24) / BB$9) - ROUNDDOWN(($D35 - MAX(IFERROR(FILTER($D$23:$D34, BC$23:BC34 &lt;&gt; BB$6, BC$22:"&amp;"BC33 = BB$6), 0))) * (60 * 60 * 24) / 60),
      0
    )
    - COUNTIF(BB36, ""&lt;&gt;-""),
  0), BB$6),
  BB$6 - COUNTIF(BB36, ""&lt;&gt;-"")
)"),2.0)</f>
        <v>2</v>
      </c>
      <c r="BD36" s="181" t="s">
        <v>1070</v>
      </c>
      <c r="BE36" s="178" t="b">
        <v>0</v>
      </c>
      <c r="BF36" s="180" t="b">
        <v>0</v>
      </c>
      <c r="BG36" s="180" t="b">
        <v>0</v>
      </c>
      <c r="BH36" s="180" t="b">
        <v>0</v>
      </c>
      <c r="BI36" s="180" t="b">
        <v>0</v>
      </c>
      <c r="BJ36" s="180" t="b">
        <v>0</v>
      </c>
      <c r="BK36" s="180" t="b">
        <v>0</v>
      </c>
      <c r="BL36" s="180" t="b">
        <v>0</v>
      </c>
      <c r="BM36" s="180" t="b">
        <v>0</v>
      </c>
      <c r="BN36" s="180" t="b">
        <v>0</v>
      </c>
      <c r="BO36" s="181" t="s">
        <v>1070</v>
      </c>
      <c r="BP36" s="181" t="s">
        <v>1070</v>
      </c>
      <c r="BQ36" s="181" t="s">
        <v>1070</v>
      </c>
      <c r="BR36" s="181" t="s">
        <v>1070</v>
      </c>
      <c r="BS36" s="181" t="s">
        <v>1070</v>
      </c>
      <c r="BT36" s="184">
        <f>IFERROR(__xludf.DUMMYFUNCTION("IF(
  ISNUMBER(BT35),
  MIN(MAX(
    BT35
    + MAX(
      ROUNDDOWN((D36 - MAX(IFERROR(FILTER(D$24:D35, BT$24:BT35 &lt;&gt; BS$6, BT$23:BT34 = BS$6), 0))) * (60 * 60 * 24) / BS$9) - ROUNDDOWN((D35 - MAX(IFERROR(FILTER(D$23:D34, BT$23:BT34 &lt;&gt; BS$6, BT$22:BT33 ="&amp;" BS$6), 0))) * (60 * 60 * 24) / BS$9),
      0
    )
    - COUNTIF(BS36, ""&lt;&gt;-""),
  0), BS$6),
  BS$6 - COUNTIF(BS36, ""&lt;&gt;-"")
)"),3.0)</f>
        <v>3</v>
      </c>
      <c r="BU36" s="181" t="s">
        <v>1070</v>
      </c>
      <c r="BV36" s="181" t="s">
        <v>1070</v>
      </c>
      <c r="BW36" s="184">
        <f>IFERROR(__xludf.DUMMYFUNCTION("IF(
  ISNUMBER(BW35),
  MIN(MAX(
    BW35
    + MAX(
      ROUNDDOWN((D36 - MAX(IFERROR(FILTER(D$24:D35, BW$24:BW35 &lt;&gt; BV$6, BW$23:BW34 = BV$6), 0))) * (60 * 60 * 24) / BV$9) - ROUNDDOWN((D35 - MAX(IFERROR(FILTER(D$23:D34, BW$23:BW34 &lt;&gt; BV$6, BW$22:BW33 ="&amp;" BV$6), 0))) * (60 * 60 * 24) / BV$9),
      0
    )
    - COUNTIF(BV36, ""&lt;&gt;-""),
  0), BV$6),
  BV$6 - COUNTIF(BV36, ""&lt;&gt;-"")
)"),2.0)</f>
        <v>2</v>
      </c>
      <c r="BX36" s="185" t="s">
        <v>1070</v>
      </c>
      <c r="BY36" s="178" t="b">
        <v>0</v>
      </c>
      <c r="BZ36" s="180" t="b">
        <v>0</v>
      </c>
      <c r="CA36" s="180" t="b">
        <v>0</v>
      </c>
      <c r="CB36" s="180" t="b">
        <v>0</v>
      </c>
      <c r="CC36" s="180" t="b">
        <v>0</v>
      </c>
      <c r="CD36" s="180" t="b">
        <v>0</v>
      </c>
      <c r="CE36" s="180" t="b">
        <v>0</v>
      </c>
      <c r="CF36" s="180" t="b">
        <v>0</v>
      </c>
      <c r="CG36" s="180" t="b">
        <v>0</v>
      </c>
      <c r="CH36" s="180" t="b">
        <v>0</v>
      </c>
      <c r="CI36" s="180" t="b">
        <v>0</v>
      </c>
      <c r="CJ36" s="180" t="b">
        <v>0</v>
      </c>
      <c r="CK36" s="180" t="b">
        <v>0</v>
      </c>
      <c r="CL36" s="180" t="b">
        <v>0</v>
      </c>
      <c r="CM36" s="181" t="s">
        <v>1070</v>
      </c>
      <c r="CN36" s="181" t="s">
        <v>1070</v>
      </c>
      <c r="CO36" s="181" t="s">
        <v>1070</v>
      </c>
      <c r="CP36" s="181" t="s">
        <v>1070</v>
      </c>
      <c r="CQ36" s="185" t="s">
        <v>1070</v>
      </c>
      <c r="CR36" s="180" t="b">
        <v>0</v>
      </c>
      <c r="CS36" s="186" t="str">
        <f t="shared" si="14"/>
        <v>◇◇◇</v>
      </c>
      <c r="CT36" s="178" t="b">
        <v>0</v>
      </c>
      <c r="CU36" s="180" t="b">
        <v>0</v>
      </c>
      <c r="CV36" s="180" t="b">
        <v>0</v>
      </c>
      <c r="CW36" s="180" t="b">
        <v>0</v>
      </c>
      <c r="CX36" s="180" t="b">
        <v>0</v>
      </c>
      <c r="CY36" s="180" t="b">
        <v>0</v>
      </c>
      <c r="CZ36" s="180" t="b">
        <v>0</v>
      </c>
      <c r="DA36" s="180" t="b">
        <v>0</v>
      </c>
      <c r="DB36" s="180" t="b">
        <v>0</v>
      </c>
      <c r="DC36" s="180" t="b">
        <v>0</v>
      </c>
      <c r="DD36" s="181" t="s">
        <v>1070</v>
      </c>
      <c r="DE36" s="181" t="s">
        <v>1070</v>
      </c>
      <c r="DF36" s="181" t="s">
        <v>1070</v>
      </c>
      <c r="DG36" s="185" t="s">
        <v>1070</v>
      </c>
      <c r="DH36" s="180" t="b">
        <v>0</v>
      </c>
      <c r="DI36" s="187" t="str">
        <f>IFERROR(__xludf.DUMMYFUNCTION("SWITCH(
  IF(
    ISTEXT(DI35),
    IF (
      FIND(""○"", DI35&amp;""○"") &gt; 3,
      3,
      FIND(""○"", DI35&amp;""○"")
      + MAX(
        ROUNDDOWN(($D36 - MAX(IFERROR(FILTER(D$24:D35, DI$24:DI35 &lt;&gt; ""●●●"", DI$23:DI34 = ""●●●""), 0))) * (60 * 60 * 24) / 20"&amp;") - ROUNDDOWN(($D35 - MAX(IFERROR(FILTER(D$23:D34, DI$23:DI34 &lt;&gt; ""●●●"", DI$22:DI33 = ""●●●""), 0))) * (60 * 60 * 24) / 20),
        0
      ) - 1
    ) - COUNTIFS(CU36, ""=TRUE"", CU35, ""&lt;&gt;TRUE"") - COUNTIF(CZ36, ""=TRUE"") - COUNTIF({DD36,DE36}, ""&lt;&gt;-"&amp;""") + COUNTIF(DH36, ""=TRUE""),
    3
  ),
  0, ""○○○"", 1, ""●○○"", 2, ""●●○"", 3, ""●●●"", 4, ""●●●"", ""○○○""
)"),"●●●")</f>
        <v>●●●</v>
      </c>
      <c r="DJ36" s="188" t="b">
        <v>0</v>
      </c>
      <c r="DK36" s="189" t="b">
        <v>0</v>
      </c>
      <c r="DL36" s="190" t="b">
        <v>0</v>
      </c>
      <c r="DM36" s="190" t="b">
        <v>0</v>
      </c>
      <c r="DN36" s="190" t="b">
        <v>0</v>
      </c>
      <c r="DO36" s="190" t="b">
        <v>0</v>
      </c>
      <c r="DP36" s="190" t="b">
        <v>0</v>
      </c>
      <c r="DQ36" s="191" t="b">
        <v>0</v>
      </c>
      <c r="DR36" s="192" t="b">
        <v>0</v>
      </c>
      <c r="DS36" s="191" t="b">
        <v>0</v>
      </c>
      <c r="DT36" s="192" t="b">
        <v>0</v>
      </c>
      <c r="DU36" s="191" t="b">
        <v>0</v>
      </c>
      <c r="DV36" s="193" t="s">
        <v>1070</v>
      </c>
      <c r="DW36" s="194" t="b">
        <v>0</v>
      </c>
      <c r="DX36" s="194" t="b">
        <v>0</v>
      </c>
      <c r="DY36" s="195" t="b">
        <v>0</v>
      </c>
      <c r="DZ36" s="196" t="b">
        <v>0</v>
      </c>
      <c r="EA36" s="195" t="b">
        <v>0</v>
      </c>
      <c r="EB36" s="197" t="b">
        <v>0</v>
      </c>
      <c r="EC36" s="197" t="b">
        <v>0</v>
      </c>
      <c r="ED36" s="212" t="b">
        <v>0</v>
      </c>
      <c r="EE36" s="199">
        <f>IFERROR(__xludf.DUMMYFUNCTION("IFERROR(
   PRODUCT(
     MAP(
       INDEX(TRANSPOSE(UNIQUE(TRANSPOSE(FILTER({IF($F36=""Physical"", K$10:ED$10, IF($F36=""Magic"", K$11:ED$11, K$12:ED$12));K$4:ED$4;K36:ED36}, K36:ED36=TRUE)))), 1, 0),
       INDEX(TRANSPOSE(UNIQUE(TRANSPOSE(FILTER({IF($"&amp;"F36=""Physical"", K$18:ED$18, IF($F36=""Magic"", K$19:ED$19, K$20:ED$20));K$4:ED$4;K36:ED36}, K36:ED36=TRUE)))), 1, 0),
       INDEX(TRANSPOSE(UNIQUE(TRANSPOSE(FILTER({K$5:ED$5;K$4:ED$4;K36:ED36}, K36:ED36=TRUE)))), 1, 0),
       INDEX(TRANSPOSE(UNIQUE(TR"&amp;"ANSPOSE(FILTER({K$17:ED$17;K$4:ED$4;K36:ED36}, K36:ED36=TRUE)))), 1, 0),
       LAMBDA(
         mitigation,
         enhance,
         assign,
         precondition,
         IF(
           REGEXMATCH(assign, ""RANGE_PARTY|SINGLE_ENEMY|RANGE_ENEMY""),
  "&amp;"         IF(
             OR(ARRAYFORMULA((IF(precondition="""", FALSE, REGEXMATCH(K$4:ED$4, precondition))) * (K36:ED36=TRUE))),
             IF(ISNUMBER(enhance), enhance, 1),
             IF(ISNUMBER(mitigation), mitigation, 1)
           ),
          "&amp;" 1
         )
       )
     )
   ),
   1
 )"),1.0)</f>
        <v>1</v>
      </c>
      <c r="EF36" s="200">
        <f>IFERROR(__xludf.DUMMYFUNCTION("PRODUCT(
   MAP(
     K$14:ED$14,
     K$13:ED$13,
     K36:ED36,
     LAMBDA(
       buff,
       target,
       check,
       IF(
         AND(check=TRUE, REGEXMATCH(target, ""RANGE_AFFECTED_ALL|RANGE_EFFECTED_ALL""), ISNUMBER(buff)),
         buff,
   "&amp;"      1
       )
     )
   )
 )"),1.0)</f>
        <v>1</v>
      </c>
      <c r="EG36" s="200">
        <f>IFERROR(__xludf.DUMMYFUNCTION("PRODUCT(
   MAP(
     K$14:ED$14,
     K$13:ED$13,
     K36:ED36,
     LAMBDA(
       buff,
       target,
       check,
       IF(
         AND(check=TRUE, REGEXMATCH(target, ""RANGE_AFFECTED_GCD|RANGE_EFFECTED_GCD""), ISNUMBER(buff)),
         buff,
   "&amp;"      1
       )
     )
   )
 )"),1.0)</f>
        <v>1</v>
      </c>
      <c r="EH36" s="200">
        <f>IFERROR(__xludf.DUMMYFUNCTION("PRODUCT(
   MAP(
     K$3:ED$3,
     K$14:ED$14,
     K$13:ED$13,
     K36:ED36,
     LAMBDA(
       job,
       buff,
       target,
       check,
       IF(
         AND(check=TRUE, REGEXMATCH(target, ""SELF_EFFECTED_ALL""), ISNUMBER(buff), job=""白魔道士"""&amp;"),
         buff,
         1
       )
     )
   )
 )"),1.0)</f>
        <v>1</v>
      </c>
      <c r="EI36" s="200">
        <f>IFERROR(__xludf.DUMMYFUNCTION("PRODUCT(
   MAP(
     K$3:ED$3,
     K$14:ED$14,
     K$13:ED$13,
     K36:ED36,
     LAMBDA(
       job,
       buff,
       target,
       check,
       IF(
         AND(check=TRUE, REGEXMATCH(target, ""SELF_EFFECTED_GCD""), ISNUMBER(buff), job=""白魔道士"""&amp;"),
         buff,
         1
       )
     )
   )
 )"),1.0)</f>
        <v>1</v>
      </c>
      <c r="EJ36" s="200">
        <f>IFERROR(__xludf.DUMMYFUNCTION("PRODUCT(
   MAP(
     K$3:ED$3,
     K$14:ED$14,
     K$13:ED$13,
     K36:ED36,
     LAMBDA(
       job,
       buff,
       target,
       check,
       IF(
         AND(check=TRUE, REGEXMATCH(target, ""SELF_EFFECTED_ALL""), ISNUMBER(buff), job=""占星術師"""&amp;"),
         buff,
         1
       )
     )
   )
 )"),1.0)</f>
        <v>1</v>
      </c>
      <c r="EK36" s="200">
        <f>IFERROR(__xludf.DUMMYFUNCTION("PRODUCT(
   MAP(
     K$3:ED$3,
     K$14:ED$14,
     K$13:ED$13,
     K36:ED36,
     LAMBDA(
       job,
       buff,
       target,
       check,
       IF(
         AND(check=TRUE, REGEXMATCH(target, ""SELF_EFFECTED_GCD""), ISNUMBER(buff), job=""占星術師"""&amp;"),
         buff,
         1
       )
     )
   )
 )"),1.0)</f>
        <v>1</v>
      </c>
      <c r="EL36" s="200">
        <f>IFERROR(__xludf.DUMMYFUNCTION("PRODUCT(
   MAP(
     K$3:ED$3,
     K$14:ED$14,
     K$13:ED$13,
     K36:ED36,
     LAMBDA(
       job,
       buff,
       target,
       check,
       IF(
         AND(check=TRUE, REGEXMATCH(target, ""SELF_EFFECTED_ALL""), ISNUMBER(buff), job=""学者""),"&amp;"
         buff,
         1
       )
     )
   )
 )"),1.0)</f>
        <v>1</v>
      </c>
      <c r="EM36" s="200">
        <f>IFERROR(__xludf.DUMMYFUNCTION("PRODUCT(
   MAP(
     K$3:ED$3,
     K$14:ED$14,
     K$13:ED$13,
     K36:ED36,
     LAMBDA(
       job,
       buff,
       target,
       check,
       IF(
         AND(check=TRUE, REGEXMATCH(target, ""SELF_EFFECTED_GCD""), ISNUMBER(buff), job=""学者""),"&amp;"
         buff,
         1
       )
     )
   )
 )"),1.0)</f>
        <v>1</v>
      </c>
      <c r="EN36" s="200">
        <f>IFERROR(__xludf.DUMMYFUNCTION("PRODUCT(
   MAP(
     K$3:ED$3,
     K$14:ED$14,
     K$13:ED$13,
     K36:ED36,
     LAMBDA(
       job,
       buff,
       target,
       check,
       IF(
         AND(check=TRUE, REGEXMATCH(target, ""SELF_EFFECTED_ALL""), ISNUMBER(buff), job=""賢者""),"&amp;"
         buff,
         1
       )
     )
   )
 )"),1.0)</f>
        <v>1</v>
      </c>
      <c r="EO36" s="200">
        <f>IFERROR(__xludf.DUMMYFUNCTION("PRODUCT(
   MAP(
     K$3:ED$3,
     K$14:ED$14,
     K$13:ED$13,
     K36:ED36,
     LAMBDA(
       job,
       buff,
       target,
       check,
       IF(
         AND(check=TRUE, REGEXMATCH(target, ""SELF_EFFECTED_GCD""), ISNUMBER(buff), job=""賢者""),"&amp;"
         buff,
         1
       )
     )
   )
 )"),1.0)</f>
        <v>1</v>
      </c>
      <c r="EP36" s="201">
        <f t="shared" si="3"/>
        <v>0</v>
      </c>
      <c r="EQ36" s="201">
        <f>IFERROR(__xludf.DUMMYFUNCTION("SUM(
   MAP(
     K$4:ED$4,
     K$3:ED$3,
     K$7:ED$7,
     K$15:ED$15,
     K$16:ED$16,
     K$21:ED$21,
     K$5:ED$5,
     K$17:ED$17,
     K36:ED36,
     LAMBDA(
       name,
       job,
       abillity,
       buff,
       barrier,
       enhance,"&amp;"
       assign,
       precondition,
       check,
       SWITCH(
         name,
         ""シェイクオフ"", IF(check=TRUE, buff + (0.02 * COUNTIF(ARRAYFORMULA((REGEXMATCH($K$4:$ED$4, ""スリル・オブ・バトル|ヴェンジェンス|原初の血気|ダムネーション"")) * (K36:ED36=TRUE)), 1)), 0),
         "&amp;"""インプロビゼーションフィニッシュ(踊りの激情0)"", IF(ISNUMBER(check), INDEX(Skill!$AJ:$AJ, MATCH(SUBSTITUTE(DV$4, 0, check), Skill!$C:$C, 0)), 0),
         IF(
           AND(check=TRUE, REGEXMATCH(assign, ""RANGE_PARTY"")),
           IF(
             OR(ARRAYFORMULA((IF(pr"&amp;"econdition="""", FALSE, REGEXMATCH($K$4:$ED$4, precondition))) * (K36:ED36=TRUE))),
             enhance,
             IF(barrier="""", buff, barrier)
           ),
           0
         )
       ) *
       SWITCH(
         job,
         ""ナイト"", EY$24,
 "&amp;"        ""戦士"", FD$24,
         ""踊り子"", ET$24,
         ""ピクトマンサー"", ET$24,
         ""白魔道士"", EF36 * EH36 * IF(abillity, 1, EG36 * EI36) * (Option!$D$22 * 0.81 / 100),
         ""占星術師"", EF36 * EJ36 * IF(abillity, 1, EG36 * EK36) * (Option!$D$23 * 0.81 "&amp;"/ 100),
         ""学者"", EF36 * EL36 * IF(abillity, 1, EG36 * EM36) * (Option!$D$24 * 0.81 / 100),
         ""賢者"", EF36 * EN36 * IF(abillity, 1, EG36 * EO36) * (Option!$D$25 * 0.81 / 100),
         1
       )
     )
   )
 )"),0.0)</f>
        <v>0</v>
      </c>
      <c r="ER36" s="202">
        <f t="shared" si="4"/>
        <v>0</v>
      </c>
      <c r="ES36" s="203">
        <f t="shared" si="5"/>
        <v>0</v>
      </c>
      <c r="ET36" s="231" t="str">
        <f>IFERROR(__xludf.DUMMYFUNCTION("IFS(
  EP36 &gt; $ET$24 + EQ36,
  SPARKLINE({ 1, 0 }, {""charttype"",""bar"";""max"", 1;""color1"",Option!$D$30;""color2"",Option!$D$30}),
  EP36 &lt; EQ36,
  SPARKLINE({EQ36 - EP36, $ET$24 - (EQ36 - EP36)}, {""charttype"",""bar"";""max"",$ET$24;""color1"",Opti"&amp;"on!$D$28;""color2"",Option!$D$29}),
  EP36 &gt;= EQ36,
  SPARKLINE({$ET$24 + EQ36 - EP36,EP36 - EQ36}, {""charttype"",""bar"";""max"",$ET$24;""color1"",Option!$D$29;""color2"",Option!$D$30})
)"),"")</f>
        <v/>
      </c>
      <c r="EU36" s="205">
        <f>IFERROR(__xludf.DUMMYFUNCTION("PRODUCT(
   MAP(
     IF($F36=""Physical"", K$10:ED$10, IF($F36=""Magic"", K$11:ED$11, K$12:ED$12)),
     IF($F36=""Physical"", K$18:ED$18, IF($F36=""Magic"", K$19:ED$19, K$20:ED$20)),
     K$3:ED$3,
     K$5:ED$5,
     K$17:ED$17,
     K36:ED36,
     LAM"&amp;"BDA(
       mitigation,
       enhance,
       job,
       assign,
       precondition,
       check,
       IF(
         OR(AND(check=TRUE, REGEXMATCH(assign, ""SELF""), job=""ナイト""), AND(check=Option!$E$13, REGEXMATCH(assign, ""SINGLE_PARTY""))),
      "&amp;"   IF(
           OR(ARRAYFORMULA((IF(precondition="""", FALSE, REGEXMATCH($K$4:$ED$4, precondition))) * (K36:ED36=TRUE))),
           enhance,
           mitigation
         ),
         1
       )
     )
   )
 ) * EE36"),1.0)</f>
        <v>1</v>
      </c>
      <c r="EV36" s="206">
        <f t="shared" si="6"/>
        <v>0</v>
      </c>
      <c r="EW36" s="205">
        <f>IFERROR(__xludf.DUMMYFUNCTION("PRODUCT(
   MAP(
     K$3:ED$3,
     K$14:ED$14,
     K$13:ED$13,
     K36:ED36,
     LAMBDA(
       job,
       buff,
       target,
       check,
       IF(
         OR(AND(check=TRUE, REGEXMATCH(target, ""SELF_AFFECTED_ALL""), job=""ナイト""), AND(check=O"&amp;"ption!$E$13, REGEXMATCH(target, ""SINGLE_AFFECTED_ALL""))),
         buff,
         1
       )
     )
   )
 )"),1.0)</f>
        <v>1</v>
      </c>
      <c r="EX36" s="206">
        <f>IFERROR(__xludf.DUMMYFUNCTION("SUM(
   MAP(
     K$3:ED$3,
     K$7:ED$7,
     K$15:ED$15,
     K$16:ED$16,
     K$21:ED$21,
     K$5:ED$5,
     K$17:ED$17,
     K36:ED36,
     LAMBDA(
       job,
       abillity,
       buff,
       barrier,
       enhance,
       assign,
       preco"&amp;"ndition,
       check,
       IF(
         OR(AND(check=TRUE, REGEXMATCH(assign, ""SELF""), job=""ナイト""), AND(check=Option!$E$13, REGEXMATCH(assign, ""SINGLE_PARTY""))),
         IF(
           OR(ARRAYFORMULA((IF(precondition="""", FALSE, REGEXMATCH($K$4"&amp;":$ED$4, precondition))) * (K36:ED36=TRUE))),
           enhance,
           IF(barrier="""", buff, barrier)
         ),
         0
       ) *
       SWITCH(
         job,
         ""暗黒騎士"", EY$24,
         ""白魔道士"", EF36 * EH36 * EW36 * IF(abillity, 1, EG"&amp;"36 * EI36) * (Option!$D$22 * 0.81 / 100),
         ""占星術師"", EF36 * EJ36 * EW36 * IF(abillity, 1, EG36 * EK36) * (Option!$D$23 * 0.81 / 100),
         ""学者"", EF36 * EL36 * EW36 * IF(abillity, 1, EG36 * EM36) * (Option!$D$24 * 0.81 / 100),
         ""賢者"""&amp;", EF36 * EN36 * EW36 * IF(abillity, 1, EG36 * EO36) * (Option!$D$25 * 0.81 / 100),
         1
       )
     )
   )
 ) + EQ36"),0.0)</f>
        <v>0</v>
      </c>
      <c r="EY36" s="232">
        <f t="shared" si="7"/>
        <v>0</v>
      </c>
      <c r="EZ36" s="205">
        <f>IFERROR(__xludf.DUMMYFUNCTION("PRODUCT(
   MAP(
     IF($F36=""Physical"", K$10:ED$10, IF($F36=""Magic"", K$11:ED$11, K$12:ED$12)),
     IF($F36=""Physical"", K$18:ED$18, IF($F36=""Magic"", K$19:ED$19, K$20:ED$20)),
     K$3:ED$3,
     K$5:ED$5,
     K$17:ED$17,
     K36:ED36,
     LAM"&amp;"BDA(
       mitigation,
       enhance,
       job,
       assign,
       precondition,
       check,
       IF(
         OR(AND(check=TRUE, REGEXMATCH(assign, ""SELF""), job=""戦士""), AND(check=Option!$F$13, REGEXMATCH(assign, ""SINGLE_PARTY""))),
       "&amp;"  IF(
           OR(ARRAYFORMULA((IF(precondition="""", FALSE, REGEXMATCH($K$4:$ED$4, precondition))) * (K36:ED36=TRUE))),
           enhance,
           mitigation
         ),
         1
       )
     )
   )
 ) * EE36"),1.0)</f>
        <v>1</v>
      </c>
      <c r="FA36" s="206">
        <f t="shared" si="8"/>
        <v>0</v>
      </c>
      <c r="FB36" s="205">
        <f>IFERROR(__xludf.DUMMYFUNCTION("PRODUCT(
   MAP(
     K$3:ED$3,
     K$14:ED$14,
     K$13:ED$13,
     K36:ED36,
     LAMBDA(
       job,
       buff,
       target,
       check,
       IF(
         OR(AND(check=TRUE, REGEXMATCH(target, ""SELF_AFFECTED_ALL""), job=""戦士""), AND(check=Op"&amp;"tion!$F$13, REGEXMATCH(target, ""SINGLE_AFFECTED_ALL""))),
         buff,
         1
       )
     )
   )
 )"),1.0)</f>
        <v>1</v>
      </c>
      <c r="FC36" s="206">
        <f>IFERROR(__xludf.DUMMYFUNCTION("SUM(
   MAP(
     K$3:ED$3,
     K$7:ED$7,
     K$15:ED$15,
     K$16:ED$16,
     K$21:ED$21,
     K$5:ED$5,
     K$17:ED$17,
     K36:ED36,
     LAMBDA(
       job,
       abillity,
       buff,
       barrier,
       enhance,
       assign,
       preco"&amp;"ndition,
       check,
       IF(
         OR(AND(check=TRUE, REGEXMATCH(assign, ""SELF""), job=""戦士""), AND(check=Option!$F$13, REGEXMATCH(assign, ""SINGLE_PARTY""))),
         IF(
           OR(ARRAYFORMULA((IF(precondition="""", FALSE, REGEXMATCH($K$4:"&amp;"$ED$4, precondition))) * (K36:ED36=TRUE))),
           enhance,
           IF(barrier="""", buff, barrier)
         ),
         0
       ) *
       SWITCH(
         job,
         ""暗黒騎士"", FD$24,
         ""白魔道士"", EF36 * EH36 * FB36 * IF(abillity, 1, EG3"&amp;"6 * EI36) * (Option!$D$22 * 0.81 / 100),
         ""占星術師"", EF36 * EJ36 * FFB36 * IF(abillity, 1, EG36 * EK36) * (Option!$D$23 * 0.81 / 100),
         ""学者"", EF36 * EL36 * FB36 * IF(abillity, 1, EG36 * EM36) * (Option!$D$24 * 0.81 / 100),
         ""賢者"""&amp;", EF36 * EN36 * FB36 * IF(abillity, 1, EG36 * EO36) * (Option!$D$25 * 0.81 / 100),
         1
       )
     )
   )
 ) + EQ36"),0.0)</f>
        <v>0</v>
      </c>
      <c r="FD36" s="206">
        <f t="shared" si="9"/>
        <v>0</v>
      </c>
      <c r="FE36" s="205">
        <f>IFERROR(__xludf.DUMMYFUNCTION("PRODUCT(
   MAP(
     IF($F36=""Physical"", K$10:ED$10, IF($F36=""Magic"", K$11:ED$11, K$12:ED$12)),
     IF($F36=""Physical"", K$18:ED$18, IF($F36=""Magic"", K$19:ED$19, K$20:ED$20)),
     K$3:ED$3,
     K$5:ED$5,
     K$17:ED$17,
     K36:ED36,
     LAM"&amp;"BDA(
       mitigation,
       enhance,
       job,
       assign,
       precondition,
       check,
       IF(
         OR(AND(check=TRUE, REGEXMATCH(assign, ""SELF""), job=""暗黒騎士""), AND(check=Option!$G$13, REGEXMATCH(assign, ""SINGLE_PARTY""))),
     "&amp;"    IF(
           OR(ARRAYFORMULA((IF(precondition="""", FALSE, REGEXMATCH($K$4:$ED$4, precondition))) * (K36:ED36=TRUE))),
           enhance,
           mitigation
         ),
         1
       )
     )
   )
 ) * EE36"),1.0)</f>
        <v>1</v>
      </c>
      <c r="FF36" s="206">
        <f t="shared" si="10"/>
        <v>0</v>
      </c>
      <c r="FG36" s="205">
        <f>IFERROR(__xludf.DUMMYFUNCTION("PRODUCT(
   MAP(
     K$3:ED$3,
     K$14:ED$14,
     K$13:ED$13,
     K36:ED36,
     LAMBDA(
       job,
       buff,
       target,
       check,
       IF(
         OR(AND(check=TRUE, REGEXMATCH(target, ""SELF_AFFECTED_ALL""), job=""暗黒騎士""), AND(check="&amp;"Option!$G$13, REGEXMATCH(target, ""SINGLE_AFFECTED_ALL""))),
         buff,
         1
       )
     )
   )
 )"),1.0)</f>
        <v>1</v>
      </c>
      <c r="FH36" s="206">
        <f>IFERROR(__xludf.DUMMYFUNCTION("SUM(
   MAP(
     K$3:ED$3,
     K$7:ED$7,
     K$15:ED$15,
     K$16:ED$16,
     K$21:ED$21,
     K$5:ED$5,
     K$17:ED$17,
     K36:ED36,
     LAMBDA(
       job,
       abillity,
       buff,
       barrier,
       enhance,
       assign,
       preco"&amp;"ndition,
       check,
       IF(
         OR(AND(check=TRUE, REGEXMATCH(assign, ""SELF""), job=""暗黒騎士""), AND(check=Option!$G$13, REGEXMATCH(assign, ""SINGLE_PARTY""))),
         IF(
           OR(ARRAYFORMULA((IF(precondition="""", FALSE, REGEXMATCH($K$"&amp;"4:$ED$4, precondition))) * (K36:ED36=TRUE))),
           enhance,
           IF(barrier="""", buff, barrier)
         ),
         0
       ) *
       SWITCH(
         job,
         ""暗黒騎士"", FI$24,
         ""白魔道士"", EF36 * EH36 * FG36 * IF(abillity, 1, E"&amp;"G36 * EI36) * (Option!$D$22 * 0.81 / 100),
         ""占星術師"", EF36 * EJ36 * FG36 * IF(abillity, 1, EG36 * EK36) * (Option!$D$23 * 0.81 / 100),
         ""学者"", EF36 * EL36 * FG36 * IF(abillity, 1, EG36 * EM36) * (Option!$D$24 * 0.81 / 100),
         ""賢者"&amp;""", EF36 * EN36 * FG36 * IF(abillity, 1, EG36 * EO36) * (Option!$D$25 * 0.81 / 100),
         1
       )
     )
   )
 ) + EQ36"),0.0)</f>
        <v>0</v>
      </c>
      <c r="FI36" s="206">
        <f t="shared" si="11"/>
        <v>0</v>
      </c>
      <c r="FJ36" s="205">
        <f>IFERROR(__xludf.DUMMYFUNCTION("PRODUCT(
   MAP(
     IF($F36=""Physical"", K$10:ED$10, IF($F36=""Magic"", K$11:ED$11, K$12:ED$12)),
     IF($F36=""Physical"", K$18:ED$18, IF($F36=""Magic"", K$19:ED$19, K$20:ED$20)),
     K$3:ED$3,
     K$5:ED$5,
     K$17:ED$17,
     K36:ED36,
     LAM"&amp;"BDA(
       mitigation,
       enhance,
       job,
       assign,
       precondition,
       check,
       IF(
         OR(AND(check=TRUE, REGEXMATCH(assign, ""SELF""), job=""ガンブレイカー""), AND(check=Option!$H$13, REGEXMATCH(assign, ""SINGLE_PARTY""))),
  "&amp;"       IF(
           OR(ARRAYFORMULA((IF(precondition="""", FALSE, REGEXMATCH($K$4:$ED$4, precondition))) * (K36:ED36=TRUE))),
           enhance,
           mitigation
         ),
         1
       )
     )
   )
 ) * EE36"),1.0)</f>
        <v>1</v>
      </c>
      <c r="FK36" s="206">
        <f t="shared" si="12"/>
        <v>0</v>
      </c>
      <c r="FL36" s="205">
        <f>IFERROR(__xludf.DUMMYFUNCTION("PRODUCT(
   MAP(
     K$3:ED$3,
     K$14:ED$14,
     K$13:ED$13,
     K36:ED36,
     LAMBDA(
       job,
       buff,
       target,
       check,
       IF(
         OR(AND(check=TRUE, REGEXMATCH(target, ""SELF_AFFECTED_ALL""), job=""ガンブレイカー""), AND(che"&amp;"ck=Option!$H$13, REGEXMATCH(target, ""SINGLE_AFFECTED_ALL""))),
         buff,
         1
       )
     )
   )
 )"),1.0)</f>
        <v>1</v>
      </c>
      <c r="FM36" s="206">
        <f>IFERROR(__xludf.DUMMYFUNCTION("SUM(
   MAP(
     K$3:ED$3,
     K$7:ED$7,
     K$15:ED$15,
     K$16:ED$16,
     K$21:ED$21,
     K$5:ED$5,
     K$17:ED$17,
     K36:ED36,
     LAMBDA(
       job,
       abillity,
       buff,
       barrier,
       enhance,
       assign,
       preco"&amp;"ndition,
       check,
       IF(
         OR(AND(check=TRUE, REGEXMATCH(assign, ""SELF""), job=""ガンブレイカー""), AND(check=Option!$H$13, REGEXMATCH(assign, ""SINGLE_PARTY""))),
         IF(
           OR(ARRAYFORMULA((IF(precondition="""", FALSE, REGEXMATCH("&amp;"$K$4:$ED$4, precondition))) * (K36:ED36=TRUE))),
           enhance,
           IF(barrier="""", buff, barrier)
         ),
         0
       ) *
       SWITCH(
         job,
         ""暗黒騎士"", FN$24,
         ""白魔道士"", EF36 * EH36 * FL36 * IF(abillity, 1"&amp;", EG36 * EI36) * (Option!$D$22 * 0.81 / 100),
         ""占星術師"", EF36 * EJ36 * FL36 * IF(abillity, 1, EG36 * EK36) * (Option!$D$23 * 0.81 / 100),
         ""学者"", EF36 * EL36 * FL36 * IF(abillity, 1, EG36 * EM36) * (Option!$D$24 * 0.81 / 100),
         """&amp;"賢者"", EF36 * EN36 * FL36 * IF(abillity, 1, EG36 * EO36) * (Option!$D$25 * 0.81 / 100),
         1
       )
     )
   )
 ) + EQ36"),0.0)</f>
        <v>0</v>
      </c>
      <c r="FN36" s="206">
        <f t="shared" si="13"/>
        <v>0</v>
      </c>
      <c r="FO36" s="213"/>
    </row>
    <row r="37">
      <c r="B37" s="229"/>
      <c r="C37" s="217">
        <f t="shared" si="1"/>
        <v>0.00380787037</v>
      </c>
      <c r="D37" s="236"/>
      <c r="E37" s="238"/>
      <c r="F37" s="167"/>
      <c r="G37" s="168" t="str">
        <f t="shared" si="2"/>
        <v/>
      </c>
      <c r="H37" s="169"/>
      <c r="I37" s="169"/>
      <c r="J37" s="169"/>
      <c r="K37" s="170" t="b">
        <v>0</v>
      </c>
      <c r="L37" s="170" t="b">
        <v>0</v>
      </c>
      <c r="M37" s="170" t="b">
        <v>0</v>
      </c>
      <c r="N37" s="171" t="s">
        <v>1070</v>
      </c>
      <c r="O37" s="172" t="b">
        <v>0</v>
      </c>
      <c r="P37" s="173" t="b">
        <v>0</v>
      </c>
      <c r="Q37" s="173" t="b">
        <v>0</v>
      </c>
      <c r="R37" s="173" t="b">
        <v>0</v>
      </c>
      <c r="S37" s="174" t="b">
        <v>0</v>
      </c>
      <c r="T37" s="175" t="b">
        <v>0</v>
      </c>
      <c r="U37" s="173" t="b">
        <v>0</v>
      </c>
      <c r="V37" s="171" t="s">
        <v>1070</v>
      </c>
      <c r="W37" s="172" t="b">
        <v>0</v>
      </c>
      <c r="X37" s="173" t="b">
        <v>0</v>
      </c>
      <c r="Y37" s="173" t="b">
        <v>0</v>
      </c>
      <c r="Z37" s="173" t="b">
        <v>0</v>
      </c>
      <c r="AA37" s="174" t="b">
        <v>0</v>
      </c>
      <c r="AB37" s="174" t="b">
        <v>0</v>
      </c>
      <c r="AC37" s="175" t="b">
        <v>0</v>
      </c>
      <c r="AD37" s="173" t="b">
        <v>0</v>
      </c>
      <c r="AE37" s="176" t="s">
        <v>1070</v>
      </c>
      <c r="AF37" s="171" t="s">
        <v>1070</v>
      </c>
      <c r="AG37" s="177">
        <f>IFERROR(__xludf.DUMMYFUNCTION("IF(
  ISNUMBER(AG36),
  MIN(MAX(
    AG36
    + MAX(
      ROUNDDOWN(($D37 - MAX(IFERROR(FILTER($D$24:$D36, AG$24:AG36 &lt;&gt; AF$6, AG$23:AG35 = AF$6), 0))) * (60 * 60 * 24) / AF$9) - ROUNDDOWN(($D36 - MAX(IFERROR(FILTER($D$23:$D35, AG$23:AG35 &lt;&gt; AF$6, AG$22:"&amp;"AG34 = AF$6), 0))) * (60 * 60 * 24) / 60),
      0
    )
    - COUNTIF(AF37, ""&lt;&gt;-""),
  0), AF$6),
  AF$6 - COUNTIF(AF37, ""&lt;&gt;-"")
)"),2.0)</f>
        <v>2</v>
      </c>
      <c r="AH37" s="173" t="b">
        <v>0</v>
      </c>
      <c r="AI37" s="173" t="b">
        <v>0</v>
      </c>
      <c r="AJ37" s="173" t="b">
        <v>0</v>
      </c>
      <c r="AK37" s="174" t="b">
        <v>0</v>
      </c>
      <c r="AL37" s="175" t="b">
        <v>0</v>
      </c>
      <c r="AM37" s="173" t="b">
        <v>0</v>
      </c>
      <c r="AN37" s="171" t="s">
        <v>1070</v>
      </c>
      <c r="AO37" s="173" t="b">
        <v>0</v>
      </c>
      <c r="AP37" s="173" t="b">
        <v>0</v>
      </c>
      <c r="AQ37" s="173" t="b">
        <v>0</v>
      </c>
      <c r="AR37" s="174" t="b">
        <v>0</v>
      </c>
      <c r="AS37" s="178" t="b">
        <v>0</v>
      </c>
      <c r="AT37" s="179" t="b">
        <v>0</v>
      </c>
      <c r="AU37" s="180" t="b">
        <v>0</v>
      </c>
      <c r="AV37" s="180" t="b">
        <v>0</v>
      </c>
      <c r="AW37" s="180" t="b">
        <v>0</v>
      </c>
      <c r="AX37" s="180" t="b">
        <v>0</v>
      </c>
      <c r="AY37" s="181" t="s">
        <v>1070</v>
      </c>
      <c r="AZ37" s="181" t="s">
        <v>1070</v>
      </c>
      <c r="BA37" s="184">
        <f>IFERROR(__xludf.DUMMYFUNCTION("IF(
  ISNUMBER(BA36),
  MIN(MAX(
    BA36
    + MAX(
      ROUNDDOWN((D37 - MAX(IFERROR(FILTER(D$24:D36, BA$24:BA36 &lt;&gt; AZ$6, BA$23:BA35 = AZ$6), 0))) * (60 * 60 * 24) / AZ$9) - ROUNDDOWN((D36 - MAX(IFERROR(FILTER(D$23:D35, BA$23:BA35 &lt;&gt; AZ$6, BA$22:BA34 ="&amp;" AZ$6), 0))) * (60 * 60 * 24) / AZ$9),
      0
    )
    - COUNTIF(AZ37, ""&lt;&gt;-""),
  0), AZ$6),
  AZ$6 - COUNTIF(AZ37, ""&lt;&gt;-"")
)"),2.0)</f>
        <v>2</v>
      </c>
      <c r="BB37" s="181" t="s">
        <v>1070</v>
      </c>
      <c r="BC37" s="183">
        <f>IFERROR(__xludf.DUMMYFUNCTION("IF(
  ISNUMBER(BC36),
  MIN(MAX(
    BC36
    + MAX(
      ROUNDDOWN(($D37 - MAX(IFERROR(FILTER($D$24:$D36, BC$24:BC36 &lt;&gt; BB$6, BC$23:BC35 = BB$6), 0))) * (60 * 60 * 24) / BB$9) - ROUNDDOWN(($D36 - MAX(IFERROR(FILTER($D$23:$D35, BC$23:BC35 &lt;&gt; BB$6, BC$22:"&amp;"BC34 = BB$6), 0))) * (60 * 60 * 24) / 60),
      0
    )
    - COUNTIF(BB37, ""&lt;&gt;-""),
  0), BB$6),
  BB$6 - COUNTIF(BB37, ""&lt;&gt;-"")
)"),2.0)</f>
        <v>2</v>
      </c>
      <c r="BD37" s="181" t="s">
        <v>1070</v>
      </c>
      <c r="BE37" s="178" t="b">
        <v>0</v>
      </c>
      <c r="BF37" s="180" t="b">
        <v>0</v>
      </c>
      <c r="BG37" s="180" t="b">
        <v>0</v>
      </c>
      <c r="BH37" s="180" t="b">
        <v>0</v>
      </c>
      <c r="BI37" s="180" t="b">
        <v>0</v>
      </c>
      <c r="BJ37" s="180" t="b">
        <v>0</v>
      </c>
      <c r="BK37" s="180" t="b">
        <v>0</v>
      </c>
      <c r="BL37" s="180" t="b">
        <v>0</v>
      </c>
      <c r="BM37" s="180" t="b">
        <v>0</v>
      </c>
      <c r="BN37" s="180" t="b">
        <v>0</v>
      </c>
      <c r="BO37" s="181" t="s">
        <v>1070</v>
      </c>
      <c r="BP37" s="181" t="s">
        <v>1070</v>
      </c>
      <c r="BQ37" s="181" t="s">
        <v>1070</v>
      </c>
      <c r="BR37" s="181" t="s">
        <v>1070</v>
      </c>
      <c r="BS37" s="181" t="s">
        <v>1070</v>
      </c>
      <c r="BT37" s="184">
        <f>IFERROR(__xludf.DUMMYFUNCTION("IF(
  ISNUMBER(BT36),
  MIN(MAX(
    BT36
    + MAX(
      ROUNDDOWN((D37 - MAX(IFERROR(FILTER(D$24:D36, BT$24:BT36 &lt;&gt; BS$6, BT$23:BT35 = BS$6), 0))) * (60 * 60 * 24) / BS$9) - ROUNDDOWN((D36 - MAX(IFERROR(FILTER(D$23:D35, BT$23:BT35 &lt;&gt; BS$6, BT$22:BT34 ="&amp;" BS$6), 0))) * (60 * 60 * 24) / BS$9),
      0
    )
    - COUNTIF(BS37, ""&lt;&gt;-""),
  0), BS$6),
  BS$6 - COUNTIF(BS37, ""&lt;&gt;-"")
)"),3.0)</f>
        <v>3</v>
      </c>
      <c r="BU37" s="181" t="s">
        <v>1070</v>
      </c>
      <c r="BV37" s="181" t="s">
        <v>1070</v>
      </c>
      <c r="BW37" s="184">
        <f>IFERROR(__xludf.DUMMYFUNCTION("IF(
  ISNUMBER(BW36),
  MIN(MAX(
    BW36
    + MAX(
      ROUNDDOWN((D37 - MAX(IFERROR(FILTER(D$24:D36, BW$24:BW36 &lt;&gt; BV$6, BW$23:BW35 = BV$6), 0))) * (60 * 60 * 24) / BV$9) - ROUNDDOWN((D36 - MAX(IFERROR(FILTER(D$23:D35, BW$23:BW35 &lt;&gt; BV$6, BW$22:BW34 ="&amp;" BV$6), 0))) * (60 * 60 * 24) / BV$9),
      0
    )
    - COUNTIF(BV37, ""&lt;&gt;-""),
  0), BV$6),
  BV$6 - COUNTIF(BV37, ""&lt;&gt;-"")
)"),2.0)</f>
        <v>2</v>
      </c>
      <c r="BX37" s="185" t="s">
        <v>1070</v>
      </c>
      <c r="BY37" s="178" t="b">
        <v>0</v>
      </c>
      <c r="BZ37" s="180" t="b">
        <v>0</v>
      </c>
      <c r="CA37" s="180" t="b">
        <v>0</v>
      </c>
      <c r="CB37" s="180" t="b">
        <v>0</v>
      </c>
      <c r="CC37" s="180" t="b">
        <v>0</v>
      </c>
      <c r="CD37" s="180" t="b">
        <v>0</v>
      </c>
      <c r="CE37" s="180" t="b">
        <v>0</v>
      </c>
      <c r="CF37" s="180" t="b">
        <v>0</v>
      </c>
      <c r="CG37" s="180" t="b">
        <v>0</v>
      </c>
      <c r="CH37" s="180" t="b">
        <v>0</v>
      </c>
      <c r="CI37" s="180" t="b">
        <v>0</v>
      </c>
      <c r="CJ37" s="180" t="b">
        <v>0</v>
      </c>
      <c r="CK37" s="180" t="b">
        <v>0</v>
      </c>
      <c r="CL37" s="180" t="b">
        <v>0</v>
      </c>
      <c r="CM37" s="181" t="s">
        <v>1070</v>
      </c>
      <c r="CN37" s="181" t="s">
        <v>1070</v>
      </c>
      <c r="CO37" s="181" t="s">
        <v>1070</v>
      </c>
      <c r="CP37" s="181" t="s">
        <v>1070</v>
      </c>
      <c r="CQ37" s="185" t="s">
        <v>1070</v>
      </c>
      <c r="CR37" s="180" t="b">
        <v>0</v>
      </c>
      <c r="CS37" s="186" t="str">
        <f t="shared" si="14"/>
        <v>◇◇◇</v>
      </c>
      <c r="CT37" s="178" t="b">
        <v>0</v>
      </c>
      <c r="CU37" s="180" t="b">
        <v>0</v>
      </c>
      <c r="CV37" s="180" t="b">
        <v>0</v>
      </c>
      <c r="CW37" s="180" t="b">
        <v>0</v>
      </c>
      <c r="CX37" s="180" t="b">
        <v>0</v>
      </c>
      <c r="CY37" s="180" t="b">
        <v>0</v>
      </c>
      <c r="CZ37" s="180" t="b">
        <v>0</v>
      </c>
      <c r="DA37" s="180" t="b">
        <v>0</v>
      </c>
      <c r="DB37" s="180" t="b">
        <v>0</v>
      </c>
      <c r="DC37" s="180" t="b">
        <v>0</v>
      </c>
      <c r="DD37" s="181" t="s">
        <v>1070</v>
      </c>
      <c r="DE37" s="181" t="s">
        <v>1070</v>
      </c>
      <c r="DF37" s="181" t="s">
        <v>1070</v>
      </c>
      <c r="DG37" s="185" t="s">
        <v>1070</v>
      </c>
      <c r="DH37" s="180" t="b">
        <v>0</v>
      </c>
      <c r="DI37" s="187" t="str">
        <f>IFERROR(__xludf.DUMMYFUNCTION("SWITCH(
  IF(
    ISTEXT(DI36),
    IF (
      FIND(""○"", DI36&amp;""○"") &gt; 3,
      3,
      FIND(""○"", DI36&amp;""○"")
      + MAX(
        ROUNDDOWN(($D37 - MAX(IFERROR(FILTER(D$24:D36, DI$24:DI36 &lt;&gt; ""●●●"", DI$23:DI35 = ""●●●""), 0))) * (60 * 60 * 24) / 20"&amp;") - ROUNDDOWN(($D36 - MAX(IFERROR(FILTER(D$23:D35, DI$23:DI35 &lt;&gt; ""●●●"", DI$22:DI34 = ""●●●""), 0))) * (60 * 60 * 24) / 20),
        0
      ) - 1
    ) - COUNTIFS(CU37, ""=TRUE"", CU36, ""&lt;&gt;TRUE"") - COUNTIF(CZ37, ""=TRUE"") - COUNTIF({DD37,DE37}, ""&lt;&gt;-"&amp;""") + COUNTIF(DH37, ""=TRUE""),
    3
  ),
  0, ""○○○"", 1, ""●○○"", 2, ""●●○"", 3, ""●●●"", 4, ""●●●"", ""○○○""
)"),"●●●")</f>
        <v>●●●</v>
      </c>
      <c r="DJ37" s="188" t="b">
        <v>0</v>
      </c>
      <c r="DK37" s="189" t="b">
        <v>0</v>
      </c>
      <c r="DL37" s="190" t="b">
        <v>0</v>
      </c>
      <c r="DM37" s="190" t="b">
        <v>0</v>
      </c>
      <c r="DN37" s="190" t="b">
        <v>0</v>
      </c>
      <c r="DO37" s="190" t="b">
        <v>0</v>
      </c>
      <c r="DP37" s="190" t="b">
        <v>0</v>
      </c>
      <c r="DQ37" s="191" t="b">
        <v>0</v>
      </c>
      <c r="DR37" s="192" t="b">
        <v>0</v>
      </c>
      <c r="DS37" s="191" t="b">
        <v>0</v>
      </c>
      <c r="DT37" s="192" t="b">
        <v>0</v>
      </c>
      <c r="DU37" s="191" t="b">
        <v>0</v>
      </c>
      <c r="DV37" s="193" t="s">
        <v>1070</v>
      </c>
      <c r="DW37" s="194" t="b">
        <v>0</v>
      </c>
      <c r="DX37" s="194" t="b">
        <v>0</v>
      </c>
      <c r="DY37" s="195" t="b">
        <v>0</v>
      </c>
      <c r="DZ37" s="196" t="b">
        <v>0</v>
      </c>
      <c r="EA37" s="195" t="b">
        <v>0</v>
      </c>
      <c r="EB37" s="197" t="b">
        <v>0</v>
      </c>
      <c r="EC37" s="197" t="b">
        <v>0</v>
      </c>
      <c r="ED37" s="212" t="b">
        <v>0</v>
      </c>
      <c r="EE37" s="199">
        <f>IFERROR(__xludf.DUMMYFUNCTION("IFERROR(
   PRODUCT(
     MAP(
       INDEX(TRANSPOSE(UNIQUE(TRANSPOSE(FILTER({IF($F37=""Physical"", K$10:ED$10, IF($F37=""Magic"", K$11:ED$11, K$12:ED$12));K$4:ED$4;K37:ED37}, K37:ED37=TRUE)))), 1, 0),
       INDEX(TRANSPOSE(UNIQUE(TRANSPOSE(FILTER({IF($"&amp;"F37=""Physical"", K$18:ED$18, IF($F37=""Magic"", K$19:ED$19, K$20:ED$20));K$4:ED$4;K37:ED37}, K37:ED37=TRUE)))), 1, 0),
       INDEX(TRANSPOSE(UNIQUE(TRANSPOSE(FILTER({K$5:ED$5;K$4:ED$4;K37:ED37}, K37:ED37=TRUE)))), 1, 0),
       INDEX(TRANSPOSE(UNIQUE(TR"&amp;"ANSPOSE(FILTER({K$17:ED$17;K$4:ED$4;K37:ED37}, K37:ED37=TRUE)))), 1, 0),
       LAMBDA(
         mitigation,
         enhance,
         assign,
         precondition,
         IF(
           REGEXMATCH(assign, ""RANGE_PARTY|SINGLE_ENEMY|RANGE_ENEMY""),
  "&amp;"         IF(
             OR(ARRAYFORMULA((IF(precondition="""", FALSE, REGEXMATCH(K$4:ED$4, precondition))) * (K37:ED37=TRUE))),
             IF(ISNUMBER(enhance), enhance, 1),
             IF(ISNUMBER(mitigation), mitigation, 1)
           ),
          "&amp;" 1
         )
       )
     )
   ),
   1
 )"),1.0)</f>
        <v>1</v>
      </c>
      <c r="EF37" s="200">
        <f>IFERROR(__xludf.DUMMYFUNCTION("PRODUCT(
   MAP(
     K$14:ED$14,
     K$13:ED$13,
     K37:ED37,
     LAMBDA(
       buff,
       target,
       check,
       IF(
         AND(check=TRUE, REGEXMATCH(target, ""RANGE_AFFECTED_ALL|RANGE_EFFECTED_ALL""), ISNUMBER(buff)),
         buff,
   "&amp;"      1
       )
     )
   )
 )"),1.0)</f>
        <v>1</v>
      </c>
      <c r="EG37" s="200">
        <f>IFERROR(__xludf.DUMMYFUNCTION("PRODUCT(
   MAP(
     K$14:ED$14,
     K$13:ED$13,
     K37:ED37,
     LAMBDA(
       buff,
       target,
       check,
       IF(
         AND(check=TRUE, REGEXMATCH(target, ""RANGE_AFFECTED_GCD|RANGE_EFFECTED_GCD""), ISNUMBER(buff)),
         buff,
   "&amp;"      1
       )
     )
   )
 )"),1.0)</f>
        <v>1</v>
      </c>
      <c r="EH37" s="200">
        <f>IFERROR(__xludf.DUMMYFUNCTION("PRODUCT(
   MAP(
     K$3:ED$3,
     K$14:ED$14,
     K$13:ED$13,
     K37:ED37,
     LAMBDA(
       job,
       buff,
       target,
       check,
       IF(
         AND(check=TRUE, REGEXMATCH(target, ""SELF_EFFECTED_ALL""), ISNUMBER(buff), job=""白魔道士"""&amp;"),
         buff,
         1
       )
     )
   )
 )"),1.0)</f>
        <v>1</v>
      </c>
      <c r="EI37" s="200">
        <f>IFERROR(__xludf.DUMMYFUNCTION("PRODUCT(
   MAP(
     K$3:ED$3,
     K$14:ED$14,
     K$13:ED$13,
     K37:ED37,
     LAMBDA(
       job,
       buff,
       target,
       check,
       IF(
         AND(check=TRUE, REGEXMATCH(target, ""SELF_EFFECTED_GCD""), ISNUMBER(buff), job=""白魔道士"""&amp;"),
         buff,
         1
       )
     )
   )
 )"),1.0)</f>
        <v>1</v>
      </c>
      <c r="EJ37" s="200">
        <f>IFERROR(__xludf.DUMMYFUNCTION("PRODUCT(
   MAP(
     K$3:ED$3,
     K$14:ED$14,
     K$13:ED$13,
     K37:ED37,
     LAMBDA(
       job,
       buff,
       target,
       check,
       IF(
         AND(check=TRUE, REGEXMATCH(target, ""SELF_EFFECTED_ALL""), ISNUMBER(buff), job=""占星術師"""&amp;"),
         buff,
         1
       )
     )
   )
 )"),1.0)</f>
        <v>1</v>
      </c>
      <c r="EK37" s="200">
        <f>IFERROR(__xludf.DUMMYFUNCTION("PRODUCT(
   MAP(
     K$3:ED$3,
     K$14:ED$14,
     K$13:ED$13,
     K37:ED37,
     LAMBDA(
       job,
       buff,
       target,
       check,
       IF(
         AND(check=TRUE, REGEXMATCH(target, ""SELF_EFFECTED_GCD""), ISNUMBER(buff), job=""占星術師"""&amp;"),
         buff,
         1
       )
     )
   )
 )"),1.0)</f>
        <v>1</v>
      </c>
      <c r="EL37" s="200">
        <f>IFERROR(__xludf.DUMMYFUNCTION("PRODUCT(
   MAP(
     K$3:ED$3,
     K$14:ED$14,
     K$13:ED$13,
     K37:ED37,
     LAMBDA(
       job,
       buff,
       target,
       check,
       IF(
         AND(check=TRUE, REGEXMATCH(target, ""SELF_EFFECTED_ALL""), ISNUMBER(buff), job=""学者""),"&amp;"
         buff,
         1
       )
     )
   )
 )"),1.0)</f>
        <v>1</v>
      </c>
      <c r="EM37" s="200">
        <f>IFERROR(__xludf.DUMMYFUNCTION("PRODUCT(
   MAP(
     K$3:ED$3,
     K$14:ED$14,
     K$13:ED$13,
     K37:ED37,
     LAMBDA(
       job,
       buff,
       target,
       check,
       IF(
         AND(check=TRUE, REGEXMATCH(target, ""SELF_EFFECTED_GCD""), ISNUMBER(buff), job=""学者""),"&amp;"
         buff,
         1
       )
     )
   )
 )"),1.0)</f>
        <v>1</v>
      </c>
      <c r="EN37" s="200">
        <f>IFERROR(__xludf.DUMMYFUNCTION("PRODUCT(
   MAP(
     K$3:ED$3,
     K$14:ED$14,
     K$13:ED$13,
     K37:ED37,
     LAMBDA(
       job,
       buff,
       target,
       check,
       IF(
         AND(check=TRUE, REGEXMATCH(target, ""SELF_EFFECTED_ALL""), ISNUMBER(buff), job=""賢者""),"&amp;"
         buff,
         1
       )
     )
   )
 )"),1.0)</f>
        <v>1</v>
      </c>
      <c r="EO37" s="200">
        <f>IFERROR(__xludf.DUMMYFUNCTION("PRODUCT(
   MAP(
     K$3:ED$3,
     K$14:ED$14,
     K$13:ED$13,
     K37:ED37,
     LAMBDA(
       job,
       buff,
       target,
       check,
       IF(
         AND(check=TRUE, REGEXMATCH(target, ""SELF_EFFECTED_GCD""), ISNUMBER(buff), job=""賢者""),"&amp;"
         buff,
         1
       )
     )
   )
 )"),1.0)</f>
        <v>1</v>
      </c>
      <c r="EP37" s="201">
        <f t="shared" si="3"/>
        <v>0</v>
      </c>
      <c r="EQ37" s="201">
        <f>IFERROR(__xludf.DUMMYFUNCTION("SUM(
   MAP(
     K$4:ED$4,
     K$3:ED$3,
     K$7:ED$7,
     K$15:ED$15,
     K$16:ED$16,
     K$21:ED$21,
     K$5:ED$5,
     K$17:ED$17,
     K37:ED37,
     LAMBDA(
       name,
       job,
       abillity,
       buff,
       barrier,
       enhance,"&amp;"
       assign,
       precondition,
       check,
       SWITCH(
         name,
         ""シェイクオフ"", IF(check=TRUE, buff + (0.02 * COUNTIF(ARRAYFORMULA((REGEXMATCH($K$4:$ED$4, ""スリル・オブ・バトル|ヴェンジェンス|原初の血気|ダムネーション"")) * (K37:ED37=TRUE)), 1)), 0),
         "&amp;"""インプロビゼーションフィニッシュ(踊りの激情0)"", IF(ISNUMBER(check), INDEX(Skill!$AJ:$AJ, MATCH(SUBSTITUTE(DV$4, 0, check), Skill!$C:$C, 0)), 0),
         IF(
           AND(check=TRUE, REGEXMATCH(assign, ""RANGE_PARTY"")),
           IF(
             OR(ARRAYFORMULA((IF(pr"&amp;"econdition="""", FALSE, REGEXMATCH($K$4:$ED$4, precondition))) * (K37:ED37=TRUE))),
             enhance,
             IF(barrier="""", buff, barrier)
           ),
           0
         )
       ) *
       SWITCH(
         job,
         ""ナイト"", EY$24,
 "&amp;"        ""戦士"", FD$24,
         ""踊り子"", ET$24,
         ""ピクトマンサー"", ET$24,
         ""白魔道士"", EF37 * EH37 * IF(abillity, 1, EG37 * EI37) * (Option!$D$22 * 0.81 / 100),
         ""占星術師"", EF37 * EJ37 * IF(abillity, 1, EG37 * EK37) * (Option!$D$23 * 0.81 "&amp;"/ 100),
         ""学者"", EF37 * EL37 * IF(abillity, 1, EG37 * EM37) * (Option!$D$24 * 0.81 / 100),
         ""賢者"", EF37 * EN37 * IF(abillity, 1, EG37 * EO37) * (Option!$D$25 * 0.81 / 100),
         1
       )
     )
   )
 )"),0.0)</f>
        <v>0</v>
      </c>
      <c r="ER37" s="202">
        <f t="shared" si="4"/>
        <v>0</v>
      </c>
      <c r="ES37" s="203">
        <f t="shared" si="5"/>
        <v>0</v>
      </c>
      <c r="ET37" s="231" t="str">
        <f>IFERROR(__xludf.DUMMYFUNCTION("IFS(
  EP37 &gt; $ET$24 + EQ37,
  SPARKLINE({ 1, 0 }, {""charttype"",""bar"";""max"", 1;""color1"",Option!$D$30;""color2"",Option!$D$30}),
  EP37 &lt; EQ37,
  SPARKLINE({EQ37 - EP37, $ET$24 - (EQ37 - EP37)}, {""charttype"",""bar"";""max"",$ET$24;""color1"",Opti"&amp;"on!$D$28;""color2"",Option!$D$29}),
  EP37 &gt;= EQ37,
  SPARKLINE({$ET$24 + EQ37 - EP37,EP37 - EQ37}, {""charttype"",""bar"";""max"",$ET$24;""color1"",Option!$D$29;""color2"",Option!$D$30})
)"),"")</f>
        <v/>
      </c>
      <c r="EU37" s="205">
        <f>IFERROR(__xludf.DUMMYFUNCTION("PRODUCT(
   MAP(
     IF($F37=""Physical"", K$10:ED$10, IF($F37=""Magic"", K$11:ED$11, K$12:ED$12)),
     IF($F37=""Physical"", K$18:ED$18, IF($F37=""Magic"", K$19:ED$19, K$20:ED$20)),
     K$3:ED$3,
     K$5:ED$5,
     K$17:ED$17,
     K37:ED37,
     LAM"&amp;"BDA(
       mitigation,
       enhance,
       job,
       assign,
       precondition,
       check,
       IF(
         OR(AND(check=TRUE, REGEXMATCH(assign, ""SELF""), job=""ナイト""), AND(check=Option!$E$13, REGEXMATCH(assign, ""SINGLE_PARTY""))),
      "&amp;"   IF(
           OR(ARRAYFORMULA((IF(precondition="""", FALSE, REGEXMATCH($K$4:$ED$4, precondition))) * (K37:ED37=TRUE))),
           enhance,
           mitigation
         ),
         1
       )
     )
   )
 ) * EE37"),1.0)</f>
        <v>1</v>
      </c>
      <c r="EV37" s="206">
        <f t="shared" si="6"/>
        <v>0</v>
      </c>
      <c r="EW37" s="205">
        <f>IFERROR(__xludf.DUMMYFUNCTION("PRODUCT(
   MAP(
     K$3:ED$3,
     K$14:ED$14,
     K$13:ED$13,
     K37:ED37,
     LAMBDA(
       job,
       buff,
       target,
       check,
       IF(
         OR(AND(check=TRUE, REGEXMATCH(target, ""SELF_AFFECTED_ALL""), job=""ナイト""), AND(check=O"&amp;"ption!$E$13, REGEXMATCH(target, ""SINGLE_AFFECTED_ALL""))),
         buff,
         1
       )
     )
   )
 )"),1.0)</f>
        <v>1</v>
      </c>
      <c r="EX37" s="206">
        <f>IFERROR(__xludf.DUMMYFUNCTION("SUM(
   MAP(
     K$3:ED$3,
     K$7:ED$7,
     K$15:ED$15,
     K$16:ED$16,
     K$21:ED$21,
     K$5:ED$5,
     K$17:ED$17,
     K37:ED37,
     LAMBDA(
       job,
       abillity,
       buff,
       barrier,
       enhance,
       assign,
       preco"&amp;"ndition,
       check,
       IF(
         OR(AND(check=TRUE, REGEXMATCH(assign, ""SELF""), job=""ナイト""), AND(check=Option!$E$13, REGEXMATCH(assign, ""SINGLE_PARTY""))),
         IF(
           OR(ARRAYFORMULA((IF(precondition="""", FALSE, REGEXMATCH($K$4"&amp;":$ED$4, precondition))) * (K37:ED37=TRUE))),
           enhance,
           IF(barrier="""", buff, barrier)
         ),
         0
       ) *
       SWITCH(
         job,
         ""暗黒騎士"", EY$24,
         ""白魔道士"", EF37 * EH37 * EW37 * IF(abillity, 1, EG"&amp;"37 * EI37) * (Option!$D$22 * 0.81 / 100),
         ""占星術師"", EF37 * EJ37 * EW37 * IF(abillity, 1, EG37 * EK37) * (Option!$D$23 * 0.81 / 100),
         ""学者"", EF37 * EL37 * EW37 * IF(abillity, 1, EG37 * EM37) * (Option!$D$24 * 0.81 / 100),
         ""賢者"""&amp;", EF37 * EN37 * EW37 * IF(abillity, 1, EG37 * EO37) * (Option!$D$25 * 0.81 / 100),
         1
       )
     )
   )
 ) + EQ37"),0.0)</f>
        <v>0</v>
      </c>
      <c r="EY37" s="232">
        <f t="shared" si="7"/>
        <v>0</v>
      </c>
      <c r="EZ37" s="205">
        <f>IFERROR(__xludf.DUMMYFUNCTION("PRODUCT(
   MAP(
     IF($F37=""Physical"", K$10:ED$10, IF($F37=""Magic"", K$11:ED$11, K$12:ED$12)),
     IF($F37=""Physical"", K$18:ED$18, IF($F37=""Magic"", K$19:ED$19, K$20:ED$20)),
     K$3:ED$3,
     K$5:ED$5,
     K$17:ED$17,
     K37:ED37,
     LAM"&amp;"BDA(
       mitigation,
       enhance,
       job,
       assign,
       precondition,
       check,
       IF(
         OR(AND(check=TRUE, REGEXMATCH(assign, ""SELF""), job=""戦士""), AND(check=Option!$F$13, REGEXMATCH(assign, ""SINGLE_PARTY""))),
       "&amp;"  IF(
           OR(ARRAYFORMULA((IF(precondition="""", FALSE, REGEXMATCH($K$4:$ED$4, precondition))) * (K37:ED37=TRUE))),
           enhance,
           mitigation
         ),
         1
       )
     )
   )
 ) * EE37"),1.0)</f>
        <v>1</v>
      </c>
      <c r="FA37" s="206">
        <f t="shared" si="8"/>
        <v>0</v>
      </c>
      <c r="FB37" s="205">
        <f>IFERROR(__xludf.DUMMYFUNCTION("PRODUCT(
   MAP(
     K$3:ED$3,
     K$14:ED$14,
     K$13:ED$13,
     K37:ED37,
     LAMBDA(
       job,
       buff,
       target,
       check,
       IF(
         OR(AND(check=TRUE, REGEXMATCH(target, ""SELF_AFFECTED_ALL""), job=""戦士""), AND(check=Op"&amp;"tion!$F$13, REGEXMATCH(target, ""SINGLE_AFFECTED_ALL""))),
         buff,
         1
       )
     )
   )
 )"),1.0)</f>
        <v>1</v>
      </c>
      <c r="FC37" s="206">
        <f>IFERROR(__xludf.DUMMYFUNCTION("SUM(
   MAP(
     K$3:ED$3,
     K$7:ED$7,
     K$15:ED$15,
     K$16:ED$16,
     K$21:ED$21,
     K$5:ED$5,
     K$17:ED$17,
     K37:ED37,
     LAMBDA(
       job,
       abillity,
       buff,
       barrier,
       enhance,
       assign,
       preco"&amp;"ndition,
       check,
       IF(
         OR(AND(check=TRUE, REGEXMATCH(assign, ""SELF""), job=""戦士""), AND(check=Option!$F$13, REGEXMATCH(assign, ""SINGLE_PARTY""))),
         IF(
           OR(ARRAYFORMULA((IF(precondition="""", FALSE, REGEXMATCH($K$4:"&amp;"$ED$4, precondition))) * (K37:ED37=TRUE))),
           enhance,
           IF(barrier="""", buff, barrier)
         ),
         0
       ) *
       SWITCH(
         job,
         ""暗黒騎士"", FD$24,
         ""白魔道士"", EF37 * EH37 * FB37 * IF(abillity, 1, EG3"&amp;"7 * EI37) * (Option!$D$22 * 0.81 / 100),
         ""占星術師"", EF37 * EJ37 * FFB37 * IF(abillity, 1, EG37 * EK37) * (Option!$D$23 * 0.81 / 100),
         ""学者"", EF37 * EL37 * FB37 * IF(abillity, 1, EG37 * EM37) * (Option!$D$24 * 0.81 / 100),
         ""賢者"""&amp;", EF37 * EN37 * FB37 * IF(abillity, 1, EG37 * EO37) * (Option!$D$25 * 0.81 / 100),
         1
       )
     )
   )
 ) + EQ37"),0.0)</f>
        <v>0</v>
      </c>
      <c r="FD37" s="206">
        <f t="shared" si="9"/>
        <v>0</v>
      </c>
      <c r="FE37" s="205">
        <f>IFERROR(__xludf.DUMMYFUNCTION("PRODUCT(
   MAP(
     IF($F37=""Physical"", K$10:ED$10, IF($F37=""Magic"", K$11:ED$11, K$12:ED$12)),
     IF($F37=""Physical"", K$18:ED$18, IF($F37=""Magic"", K$19:ED$19, K$20:ED$20)),
     K$3:ED$3,
     K$5:ED$5,
     K$17:ED$17,
     K37:ED37,
     LAM"&amp;"BDA(
       mitigation,
       enhance,
       job,
       assign,
       precondition,
       check,
       IF(
         OR(AND(check=TRUE, REGEXMATCH(assign, ""SELF""), job=""暗黒騎士""), AND(check=Option!$G$13, REGEXMATCH(assign, ""SINGLE_PARTY""))),
     "&amp;"    IF(
           OR(ARRAYFORMULA((IF(precondition="""", FALSE, REGEXMATCH($K$4:$ED$4, precondition))) * (K37:ED37=TRUE))),
           enhance,
           mitigation
         ),
         1
       )
     )
   )
 ) * EE37"),1.0)</f>
        <v>1</v>
      </c>
      <c r="FF37" s="206">
        <f t="shared" si="10"/>
        <v>0</v>
      </c>
      <c r="FG37" s="205">
        <f>IFERROR(__xludf.DUMMYFUNCTION("PRODUCT(
   MAP(
     K$3:ED$3,
     K$14:ED$14,
     K$13:ED$13,
     K37:ED37,
     LAMBDA(
       job,
       buff,
       target,
       check,
       IF(
         OR(AND(check=TRUE, REGEXMATCH(target, ""SELF_AFFECTED_ALL""), job=""暗黒騎士""), AND(check="&amp;"Option!$G$13, REGEXMATCH(target, ""SINGLE_AFFECTED_ALL""))),
         buff,
         1
       )
     )
   )
 )"),1.0)</f>
        <v>1</v>
      </c>
      <c r="FH37" s="206">
        <f>IFERROR(__xludf.DUMMYFUNCTION("SUM(
   MAP(
     K$3:ED$3,
     K$7:ED$7,
     K$15:ED$15,
     K$16:ED$16,
     K$21:ED$21,
     K$5:ED$5,
     K$17:ED$17,
     K37:ED37,
     LAMBDA(
       job,
       abillity,
       buff,
       barrier,
       enhance,
       assign,
       preco"&amp;"ndition,
       check,
       IF(
         OR(AND(check=TRUE, REGEXMATCH(assign, ""SELF""), job=""暗黒騎士""), AND(check=Option!$G$13, REGEXMATCH(assign, ""SINGLE_PARTY""))),
         IF(
           OR(ARRAYFORMULA((IF(precondition="""", FALSE, REGEXMATCH($K$"&amp;"4:$ED$4, precondition))) * (K37:ED37=TRUE))),
           enhance,
           IF(barrier="""", buff, barrier)
         ),
         0
       ) *
       SWITCH(
         job,
         ""暗黒騎士"", FI$24,
         ""白魔道士"", EF37 * EH37 * FG37 * IF(abillity, 1, E"&amp;"G37 * EI37) * (Option!$D$22 * 0.81 / 100),
         ""占星術師"", EF37 * EJ37 * FG37 * IF(abillity, 1, EG37 * EK37) * (Option!$D$23 * 0.81 / 100),
         ""学者"", EF37 * EL37 * FG37 * IF(abillity, 1, EG37 * EM37) * (Option!$D$24 * 0.81 / 100),
         ""賢者"&amp;""", EF37 * EN37 * FG37 * IF(abillity, 1, EG37 * EO37) * (Option!$D$25 * 0.81 / 100),
         1
       )
     )
   )
 ) + EQ37"),0.0)</f>
        <v>0</v>
      </c>
      <c r="FI37" s="206">
        <f t="shared" si="11"/>
        <v>0</v>
      </c>
      <c r="FJ37" s="205">
        <f>IFERROR(__xludf.DUMMYFUNCTION("PRODUCT(
   MAP(
     IF($F37=""Physical"", K$10:ED$10, IF($F37=""Magic"", K$11:ED$11, K$12:ED$12)),
     IF($F37=""Physical"", K$18:ED$18, IF($F37=""Magic"", K$19:ED$19, K$20:ED$20)),
     K$3:ED$3,
     K$5:ED$5,
     K$17:ED$17,
     K37:ED37,
     LAM"&amp;"BDA(
       mitigation,
       enhance,
       job,
       assign,
       precondition,
       check,
       IF(
         OR(AND(check=TRUE, REGEXMATCH(assign, ""SELF""), job=""ガンブレイカー""), AND(check=Option!$H$13, REGEXMATCH(assign, ""SINGLE_PARTY""))),
  "&amp;"       IF(
           OR(ARRAYFORMULA((IF(precondition="""", FALSE, REGEXMATCH($K$4:$ED$4, precondition))) * (K37:ED37=TRUE))),
           enhance,
           mitigation
         ),
         1
       )
     )
   )
 ) * EE37"),1.0)</f>
        <v>1</v>
      </c>
      <c r="FK37" s="206">
        <f t="shared" si="12"/>
        <v>0</v>
      </c>
      <c r="FL37" s="205">
        <f>IFERROR(__xludf.DUMMYFUNCTION("PRODUCT(
   MAP(
     K$3:ED$3,
     K$14:ED$14,
     K$13:ED$13,
     K37:ED37,
     LAMBDA(
       job,
       buff,
       target,
       check,
       IF(
         OR(AND(check=TRUE, REGEXMATCH(target, ""SELF_AFFECTED_ALL""), job=""ガンブレイカー""), AND(che"&amp;"ck=Option!$H$13, REGEXMATCH(target, ""SINGLE_AFFECTED_ALL""))),
         buff,
         1
       )
     )
   )
 )"),1.0)</f>
        <v>1</v>
      </c>
      <c r="FM37" s="206">
        <f>IFERROR(__xludf.DUMMYFUNCTION("SUM(
   MAP(
     K$3:ED$3,
     K$7:ED$7,
     K$15:ED$15,
     K$16:ED$16,
     K$21:ED$21,
     K$5:ED$5,
     K$17:ED$17,
     K37:ED37,
     LAMBDA(
       job,
       abillity,
       buff,
       barrier,
       enhance,
       assign,
       preco"&amp;"ndition,
       check,
       IF(
         OR(AND(check=TRUE, REGEXMATCH(assign, ""SELF""), job=""ガンブレイカー""), AND(check=Option!$H$13, REGEXMATCH(assign, ""SINGLE_PARTY""))),
         IF(
           OR(ARRAYFORMULA((IF(precondition="""", FALSE, REGEXMATCH("&amp;"$K$4:$ED$4, precondition))) * (K37:ED37=TRUE))),
           enhance,
           IF(barrier="""", buff, barrier)
         ),
         0
       ) *
       SWITCH(
         job,
         ""暗黒騎士"", FN$24,
         ""白魔道士"", EF37 * EH37 * FL37 * IF(abillity, 1"&amp;", EG37 * EI37) * (Option!$D$22 * 0.81 / 100),
         ""占星術師"", EF37 * EJ37 * FL37 * IF(abillity, 1, EG37 * EK37) * (Option!$D$23 * 0.81 / 100),
         ""学者"", EF37 * EL37 * FL37 * IF(abillity, 1, EG37 * EM37) * (Option!$D$24 * 0.81 / 100),
         """&amp;"賢者"", EF37 * EN37 * FL37 * IF(abillity, 1, EG37 * EO37) * (Option!$D$25 * 0.81 / 100),
         1
       )
     )
   )
 ) + EQ37"),0.0)</f>
        <v>0</v>
      </c>
      <c r="FN37" s="206">
        <f t="shared" si="13"/>
        <v>0</v>
      </c>
      <c r="FO37" s="213"/>
    </row>
    <row r="38">
      <c r="B38" s="229"/>
      <c r="C38" s="217">
        <f t="shared" si="1"/>
        <v>0.00380787037</v>
      </c>
      <c r="D38" s="236"/>
      <c r="E38" s="238"/>
      <c r="F38" s="167"/>
      <c r="G38" s="168" t="str">
        <f t="shared" si="2"/>
        <v/>
      </c>
      <c r="H38" s="169"/>
      <c r="I38" s="169"/>
      <c r="J38" s="169"/>
      <c r="K38" s="170" t="b">
        <v>0</v>
      </c>
      <c r="L38" s="170" t="b">
        <v>0</v>
      </c>
      <c r="M38" s="170" t="b">
        <v>0</v>
      </c>
      <c r="N38" s="171" t="s">
        <v>1070</v>
      </c>
      <c r="O38" s="172" t="b">
        <v>0</v>
      </c>
      <c r="P38" s="173" t="b">
        <v>0</v>
      </c>
      <c r="Q38" s="173" t="b">
        <v>0</v>
      </c>
      <c r="R38" s="173" t="b">
        <v>0</v>
      </c>
      <c r="S38" s="174" t="b">
        <v>0</v>
      </c>
      <c r="T38" s="175" t="b">
        <v>0</v>
      </c>
      <c r="U38" s="173" t="b">
        <v>0</v>
      </c>
      <c r="V38" s="171" t="s">
        <v>1070</v>
      </c>
      <c r="W38" s="172" t="b">
        <v>0</v>
      </c>
      <c r="X38" s="173" t="b">
        <v>0</v>
      </c>
      <c r="Y38" s="173" t="b">
        <v>0</v>
      </c>
      <c r="Z38" s="173" t="b">
        <v>0</v>
      </c>
      <c r="AA38" s="174" t="b">
        <v>0</v>
      </c>
      <c r="AB38" s="174" t="b">
        <v>0</v>
      </c>
      <c r="AC38" s="175" t="b">
        <v>0</v>
      </c>
      <c r="AD38" s="173" t="b">
        <v>0</v>
      </c>
      <c r="AE38" s="176" t="s">
        <v>1070</v>
      </c>
      <c r="AF38" s="171" t="s">
        <v>1070</v>
      </c>
      <c r="AG38" s="177">
        <f>IFERROR(__xludf.DUMMYFUNCTION("IF(
  ISNUMBER(AG37),
  MIN(MAX(
    AG37
    + MAX(
      ROUNDDOWN(($D38 - MAX(IFERROR(FILTER($D$24:$D37, AG$24:AG37 &lt;&gt; AF$6, AG$23:AG36 = AF$6), 0))) * (60 * 60 * 24) / AF$9) - ROUNDDOWN(($D37 - MAX(IFERROR(FILTER($D$23:$D36, AG$23:AG36 &lt;&gt; AF$6, AG$22:"&amp;"AG35 = AF$6), 0))) * (60 * 60 * 24) / 60),
      0
    )
    - COUNTIF(AF38, ""&lt;&gt;-""),
  0), AF$6),
  AF$6 - COUNTIF(AF38, ""&lt;&gt;-"")
)"),2.0)</f>
        <v>2</v>
      </c>
      <c r="AH38" s="173" t="b">
        <v>0</v>
      </c>
      <c r="AI38" s="173" t="b">
        <v>0</v>
      </c>
      <c r="AJ38" s="173" t="b">
        <v>0</v>
      </c>
      <c r="AK38" s="174" t="b">
        <v>0</v>
      </c>
      <c r="AL38" s="175" t="b">
        <v>0</v>
      </c>
      <c r="AM38" s="173" t="b">
        <v>0</v>
      </c>
      <c r="AN38" s="171" t="s">
        <v>1070</v>
      </c>
      <c r="AO38" s="173" t="b">
        <v>0</v>
      </c>
      <c r="AP38" s="173" t="b">
        <v>0</v>
      </c>
      <c r="AQ38" s="173" t="b">
        <v>0</v>
      </c>
      <c r="AR38" s="174" t="b">
        <v>0</v>
      </c>
      <c r="AS38" s="178" t="b">
        <v>0</v>
      </c>
      <c r="AT38" s="179" t="b">
        <v>0</v>
      </c>
      <c r="AU38" s="180" t="b">
        <v>0</v>
      </c>
      <c r="AV38" s="180" t="b">
        <v>0</v>
      </c>
      <c r="AW38" s="180" t="b">
        <v>0</v>
      </c>
      <c r="AX38" s="180" t="b">
        <v>0</v>
      </c>
      <c r="AY38" s="181" t="s">
        <v>1070</v>
      </c>
      <c r="AZ38" s="181" t="s">
        <v>1070</v>
      </c>
      <c r="BA38" s="184">
        <f>IFERROR(__xludf.DUMMYFUNCTION("IF(
  ISNUMBER(BA37),
  MIN(MAX(
    BA37
    + MAX(
      ROUNDDOWN((D38 - MAX(IFERROR(FILTER(D$24:D37, BA$24:BA37 &lt;&gt; AZ$6, BA$23:BA36 = AZ$6), 0))) * (60 * 60 * 24) / AZ$9) - ROUNDDOWN((D37 - MAX(IFERROR(FILTER(D$23:D36, BA$23:BA36 &lt;&gt; AZ$6, BA$22:BA35 ="&amp;" AZ$6), 0))) * (60 * 60 * 24) / AZ$9),
      0
    )
    - COUNTIF(AZ38, ""&lt;&gt;-""),
  0), AZ$6),
  AZ$6 - COUNTIF(AZ38, ""&lt;&gt;-"")
)"),2.0)</f>
        <v>2</v>
      </c>
      <c r="BB38" s="181" t="s">
        <v>1070</v>
      </c>
      <c r="BC38" s="183">
        <f>IFERROR(__xludf.DUMMYFUNCTION("IF(
  ISNUMBER(BC37),
  MIN(MAX(
    BC37
    + MAX(
      ROUNDDOWN(($D38 - MAX(IFERROR(FILTER($D$24:$D37, BC$24:BC37 &lt;&gt; BB$6, BC$23:BC36 = BB$6), 0))) * (60 * 60 * 24) / BB$9) - ROUNDDOWN(($D37 - MAX(IFERROR(FILTER($D$23:$D36, BC$23:BC36 &lt;&gt; BB$6, BC$22:"&amp;"BC35 = BB$6), 0))) * (60 * 60 * 24) / 60),
      0
    )
    - COUNTIF(BB38, ""&lt;&gt;-""),
  0), BB$6),
  BB$6 - COUNTIF(BB38, ""&lt;&gt;-"")
)"),2.0)</f>
        <v>2</v>
      </c>
      <c r="BD38" s="181" t="s">
        <v>1070</v>
      </c>
      <c r="BE38" s="178" t="b">
        <v>0</v>
      </c>
      <c r="BF38" s="180" t="b">
        <v>0</v>
      </c>
      <c r="BG38" s="180" t="b">
        <v>0</v>
      </c>
      <c r="BH38" s="180" t="b">
        <v>0</v>
      </c>
      <c r="BI38" s="180" t="b">
        <v>0</v>
      </c>
      <c r="BJ38" s="180" t="b">
        <v>0</v>
      </c>
      <c r="BK38" s="180" t="b">
        <v>0</v>
      </c>
      <c r="BL38" s="180" t="b">
        <v>0</v>
      </c>
      <c r="BM38" s="180" t="b">
        <v>0</v>
      </c>
      <c r="BN38" s="180" t="b">
        <v>0</v>
      </c>
      <c r="BO38" s="181" t="s">
        <v>1070</v>
      </c>
      <c r="BP38" s="181" t="s">
        <v>1070</v>
      </c>
      <c r="BQ38" s="181" t="s">
        <v>1070</v>
      </c>
      <c r="BR38" s="181" t="s">
        <v>1070</v>
      </c>
      <c r="BS38" s="181" t="s">
        <v>1070</v>
      </c>
      <c r="BT38" s="184">
        <f>IFERROR(__xludf.DUMMYFUNCTION("IF(
  ISNUMBER(BT37),
  MIN(MAX(
    BT37
    + MAX(
      ROUNDDOWN((D38 - MAX(IFERROR(FILTER(D$24:D37, BT$24:BT37 &lt;&gt; BS$6, BT$23:BT36 = BS$6), 0))) * (60 * 60 * 24) / BS$9) - ROUNDDOWN((D37 - MAX(IFERROR(FILTER(D$23:D36, BT$23:BT36 &lt;&gt; BS$6, BT$22:BT35 ="&amp;" BS$6), 0))) * (60 * 60 * 24) / BS$9),
      0
    )
    - COUNTIF(BS38, ""&lt;&gt;-""),
  0), BS$6),
  BS$6 - COUNTIF(BS38, ""&lt;&gt;-"")
)"),3.0)</f>
        <v>3</v>
      </c>
      <c r="BU38" s="181" t="s">
        <v>1070</v>
      </c>
      <c r="BV38" s="181" t="s">
        <v>1070</v>
      </c>
      <c r="BW38" s="184">
        <f>IFERROR(__xludf.DUMMYFUNCTION("IF(
  ISNUMBER(BW37),
  MIN(MAX(
    BW37
    + MAX(
      ROUNDDOWN((D38 - MAX(IFERROR(FILTER(D$24:D37, BW$24:BW37 &lt;&gt; BV$6, BW$23:BW36 = BV$6), 0))) * (60 * 60 * 24) / BV$9) - ROUNDDOWN((D37 - MAX(IFERROR(FILTER(D$23:D36, BW$23:BW36 &lt;&gt; BV$6, BW$22:BW35 ="&amp;" BV$6), 0))) * (60 * 60 * 24) / BV$9),
      0
    )
    - COUNTIF(BV38, ""&lt;&gt;-""),
  0), BV$6),
  BV$6 - COUNTIF(BV38, ""&lt;&gt;-"")
)"),2.0)</f>
        <v>2</v>
      </c>
      <c r="BX38" s="185" t="s">
        <v>1070</v>
      </c>
      <c r="BY38" s="178" t="b">
        <v>0</v>
      </c>
      <c r="BZ38" s="180" t="b">
        <v>0</v>
      </c>
      <c r="CA38" s="180" t="b">
        <v>0</v>
      </c>
      <c r="CB38" s="180" t="b">
        <v>0</v>
      </c>
      <c r="CC38" s="180" t="b">
        <v>0</v>
      </c>
      <c r="CD38" s="180" t="b">
        <v>0</v>
      </c>
      <c r="CE38" s="180" t="b">
        <v>0</v>
      </c>
      <c r="CF38" s="180" t="b">
        <v>0</v>
      </c>
      <c r="CG38" s="180" t="b">
        <v>0</v>
      </c>
      <c r="CH38" s="180" t="b">
        <v>0</v>
      </c>
      <c r="CI38" s="180" t="b">
        <v>0</v>
      </c>
      <c r="CJ38" s="180" t="b">
        <v>0</v>
      </c>
      <c r="CK38" s="180" t="b">
        <v>0</v>
      </c>
      <c r="CL38" s="180" t="b">
        <v>0</v>
      </c>
      <c r="CM38" s="181" t="s">
        <v>1070</v>
      </c>
      <c r="CN38" s="181" t="s">
        <v>1070</v>
      </c>
      <c r="CO38" s="181" t="s">
        <v>1070</v>
      </c>
      <c r="CP38" s="181" t="s">
        <v>1070</v>
      </c>
      <c r="CQ38" s="185" t="s">
        <v>1070</v>
      </c>
      <c r="CR38" s="180" t="b">
        <v>0</v>
      </c>
      <c r="CS38" s="186" t="str">
        <f t="shared" si="14"/>
        <v>◇◇◇</v>
      </c>
      <c r="CT38" s="178" t="b">
        <v>0</v>
      </c>
      <c r="CU38" s="180" t="b">
        <v>0</v>
      </c>
      <c r="CV38" s="180" t="b">
        <v>0</v>
      </c>
      <c r="CW38" s="180" t="b">
        <v>0</v>
      </c>
      <c r="CX38" s="180" t="b">
        <v>0</v>
      </c>
      <c r="CY38" s="180" t="b">
        <v>0</v>
      </c>
      <c r="CZ38" s="180" t="b">
        <v>0</v>
      </c>
      <c r="DA38" s="180" t="b">
        <v>0</v>
      </c>
      <c r="DB38" s="180" t="b">
        <v>0</v>
      </c>
      <c r="DC38" s="180" t="b">
        <v>0</v>
      </c>
      <c r="DD38" s="181" t="s">
        <v>1070</v>
      </c>
      <c r="DE38" s="181" t="s">
        <v>1070</v>
      </c>
      <c r="DF38" s="181" t="s">
        <v>1070</v>
      </c>
      <c r="DG38" s="185" t="s">
        <v>1070</v>
      </c>
      <c r="DH38" s="180" t="b">
        <v>0</v>
      </c>
      <c r="DI38" s="187" t="str">
        <f>IFERROR(__xludf.DUMMYFUNCTION("SWITCH(
  IF(
    ISTEXT(DI37),
    IF (
      FIND(""○"", DI37&amp;""○"") &gt; 3,
      3,
      FIND(""○"", DI37&amp;""○"")
      + MAX(
        ROUNDDOWN(($D38 - MAX(IFERROR(FILTER(D$24:D37, DI$24:DI37 &lt;&gt; ""●●●"", DI$23:DI36 = ""●●●""), 0))) * (60 * 60 * 24) / 20"&amp;") - ROUNDDOWN(($D37 - MAX(IFERROR(FILTER(D$23:D36, DI$23:DI36 &lt;&gt; ""●●●"", DI$22:DI35 = ""●●●""), 0))) * (60 * 60 * 24) / 20),
        0
      ) - 1
    ) - COUNTIFS(CU38, ""=TRUE"", CU37, ""&lt;&gt;TRUE"") - COUNTIF(CZ38, ""=TRUE"") - COUNTIF({DD38,DE38}, ""&lt;&gt;-"&amp;""") + COUNTIF(DH38, ""=TRUE""),
    3
  ),
  0, ""○○○"", 1, ""●○○"", 2, ""●●○"", 3, ""●●●"", 4, ""●●●"", ""○○○""
)"),"●●●")</f>
        <v>●●●</v>
      </c>
      <c r="DJ38" s="188" t="b">
        <v>0</v>
      </c>
      <c r="DK38" s="189" t="b">
        <v>0</v>
      </c>
      <c r="DL38" s="190" t="b">
        <v>0</v>
      </c>
      <c r="DM38" s="190" t="b">
        <v>0</v>
      </c>
      <c r="DN38" s="190" t="b">
        <v>0</v>
      </c>
      <c r="DO38" s="190" t="b">
        <v>0</v>
      </c>
      <c r="DP38" s="190" t="b">
        <v>0</v>
      </c>
      <c r="DQ38" s="191" t="b">
        <v>0</v>
      </c>
      <c r="DR38" s="192" t="b">
        <v>0</v>
      </c>
      <c r="DS38" s="191" t="b">
        <v>0</v>
      </c>
      <c r="DT38" s="192" t="b">
        <v>0</v>
      </c>
      <c r="DU38" s="191" t="b">
        <v>0</v>
      </c>
      <c r="DV38" s="193" t="s">
        <v>1070</v>
      </c>
      <c r="DW38" s="194" t="b">
        <v>0</v>
      </c>
      <c r="DX38" s="194" t="b">
        <v>0</v>
      </c>
      <c r="DY38" s="195" t="b">
        <v>0</v>
      </c>
      <c r="DZ38" s="196" t="b">
        <v>0</v>
      </c>
      <c r="EA38" s="195" t="b">
        <v>0</v>
      </c>
      <c r="EB38" s="197" t="b">
        <v>0</v>
      </c>
      <c r="EC38" s="197" t="b">
        <v>0</v>
      </c>
      <c r="ED38" s="212" t="b">
        <v>0</v>
      </c>
      <c r="EE38" s="199">
        <f>IFERROR(__xludf.DUMMYFUNCTION("IFERROR(
   PRODUCT(
     MAP(
       INDEX(TRANSPOSE(UNIQUE(TRANSPOSE(FILTER({IF($F38=""Physical"", K$10:ED$10, IF($F38=""Magic"", K$11:ED$11, K$12:ED$12));K$4:ED$4;K38:ED38}, K38:ED38=TRUE)))), 1, 0),
       INDEX(TRANSPOSE(UNIQUE(TRANSPOSE(FILTER({IF($"&amp;"F38=""Physical"", K$18:ED$18, IF($F38=""Magic"", K$19:ED$19, K$20:ED$20));K$4:ED$4;K38:ED38}, K38:ED38=TRUE)))), 1, 0),
       INDEX(TRANSPOSE(UNIQUE(TRANSPOSE(FILTER({K$5:ED$5;K$4:ED$4;K38:ED38}, K38:ED38=TRUE)))), 1, 0),
       INDEX(TRANSPOSE(UNIQUE(TR"&amp;"ANSPOSE(FILTER({K$17:ED$17;K$4:ED$4;K38:ED38}, K38:ED38=TRUE)))), 1, 0),
       LAMBDA(
         mitigation,
         enhance,
         assign,
         precondition,
         IF(
           REGEXMATCH(assign, ""RANGE_PARTY|SINGLE_ENEMY|RANGE_ENEMY""),
  "&amp;"         IF(
             OR(ARRAYFORMULA((IF(precondition="""", FALSE, REGEXMATCH(K$4:ED$4, precondition))) * (K38:ED38=TRUE))),
             IF(ISNUMBER(enhance), enhance, 1),
             IF(ISNUMBER(mitigation), mitigation, 1)
           ),
          "&amp;" 1
         )
       )
     )
   ),
   1
 )"),1.0)</f>
        <v>1</v>
      </c>
      <c r="EF38" s="200">
        <f>IFERROR(__xludf.DUMMYFUNCTION("PRODUCT(
   MAP(
     K$14:ED$14,
     K$13:ED$13,
     K38:ED38,
     LAMBDA(
       buff,
       target,
       check,
       IF(
         AND(check=TRUE, REGEXMATCH(target, ""RANGE_AFFECTED_ALL|RANGE_EFFECTED_ALL""), ISNUMBER(buff)),
         buff,
   "&amp;"      1
       )
     )
   )
 )"),1.0)</f>
        <v>1</v>
      </c>
      <c r="EG38" s="200">
        <f>IFERROR(__xludf.DUMMYFUNCTION("PRODUCT(
   MAP(
     K$14:ED$14,
     K$13:ED$13,
     K38:ED38,
     LAMBDA(
       buff,
       target,
       check,
       IF(
         AND(check=TRUE, REGEXMATCH(target, ""RANGE_AFFECTED_GCD|RANGE_EFFECTED_GCD""), ISNUMBER(buff)),
         buff,
   "&amp;"      1
       )
     )
   )
 )"),1.0)</f>
        <v>1</v>
      </c>
      <c r="EH38" s="200">
        <f>IFERROR(__xludf.DUMMYFUNCTION("PRODUCT(
   MAP(
     K$3:ED$3,
     K$14:ED$14,
     K$13:ED$13,
     K38:ED38,
     LAMBDA(
       job,
       buff,
       target,
       check,
       IF(
         AND(check=TRUE, REGEXMATCH(target, ""SELF_EFFECTED_ALL""), ISNUMBER(buff), job=""白魔道士"""&amp;"),
         buff,
         1
       )
     )
   )
 )"),1.0)</f>
        <v>1</v>
      </c>
      <c r="EI38" s="200">
        <f>IFERROR(__xludf.DUMMYFUNCTION("PRODUCT(
   MAP(
     K$3:ED$3,
     K$14:ED$14,
     K$13:ED$13,
     K38:ED38,
     LAMBDA(
       job,
       buff,
       target,
       check,
       IF(
         AND(check=TRUE, REGEXMATCH(target, ""SELF_EFFECTED_GCD""), ISNUMBER(buff), job=""白魔道士"""&amp;"),
         buff,
         1
       )
     )
   )
 )"),1.0)</f>
        <v>1</v>
      </c>
      <c r="EJ38" s="200">
        <f>IFERROR(__xludf.DUMMYFUNCTION("PRODUCT(
   MAP(
     K$3:ED$3,
     K$14:ED$14,
     K$13:ED$13,
     K38:ED38,
     LAMBDA(
       job,
       buff,
       target,
       check,
       IF(
         AND(check=TRUE, REGEXMATCH(target, ""SELF_EFFECTED_ALL""), ISNUMBER(buff), job=""占星術師"""&amp;"),
         buff,
         1
       )
     )
   )
 )"),1.0)</f>
        <v>1</v>
      </c>
      <c r="EK38" s="200">
        <f>IFERROR(__xludf.DUMMYFUNCTION("PRODUCT(
   MAP(
     K$3:ED$3,
     K$14:ED$14,
     K$13:ED$13,
     K38:ED38,
     LAMBDA(
       job,
       buff,
       target,
       check,
       IF(
         AND(check=TRUE, REGEXMATCH(target, ""SELF_EFFECTED_GCD""), ISNUMBER(buff), job=""占星術師"""&amp;"),
         buff,
         1
       )
     )
   )
 )"),1.0)</f>
        <v>1</v>
      </c>
      <c r="EL38" s="200">
        <f>IFERROR(__xludf.DUMMYFUNCTION("PRODUCT(
   MAP(
     K$3:ED$3,
     K$14:ED$14,
     K$13:ED$13,
     K38:ED38,
     LAMBDA(
       job,
       buff,
       target,
       check,
       IF(
         AND(check=TRUE, REGEXMATCH(target, ""SELF_EFFECTED_ALL""), ISNUMBER(buff), job=""学者""),"&amp;"
         buff,
         1
       )
     )
   )
 )"),1.0)</f>
        <v>1</v>
      </c>
      <c r="EM38" s="200">
        <f>IFERROR(__xludf.DUMMYFUNCTION("PRODUCT(
   MAP(
     K$3:ED$3,
     K$14:ED$14,
     K$13:ED$13,
     K38:ED38,
     LAMBDA(
       job,
       buff,
       target,
       check,
       IF(
         AND(check=TRUE, REGEXMATCH(target, ""SELF_EFFECTED_GCD""), ISNUMBER(buff), job=""学者""),"&amp;"
         buff,
         1
       )
     )
   )
 )"),1.0)</f>
        <v>1</v>
      </c>
      <c r="EN38" s="200">
        <f>IFERROR(__xludf.DUMMYFUNCTION("PRODUCT(
   MAP(
     K$3:ED$3,
     K$14:ED$14,
     K$13:ED$13,
     K38:ED38,
     LAMBDA(
       job,
       buff,
       target,
       check,
       IF(
         AND(check=TRUE, REGEXMATCH(target, ""SELF_EFFECTED_ALL""), ISNUMBER(buff), job=""賢者""),"&amp;"
         buff,
         1
       )
     )
   )
 )"),1.0)</f>
        <v>1</v>
      </c>
      <c r="EO38" s="200">
        <f>IFERROR(__xludf.DUMMYFUNCTION("PRODUCT(
   MAP(
     K$3:ED$3,
     K$14:ED$14,
     K$13:ED$13,
     K38:ED38,
     LAMBDA(
       job,
       buff,
       target,
       check,
       IF(
         AND(check=TRUE, REGEXMATCH(target, ""SELF_EFFECTED_GCD""), ISNUMBER(buff), job=""賢者""),"&amp;"
         buff,
         1
       )
     )
   )
 )"),1.0)</f>
        <v>1</v>
      </c>
      <c r="EP38" s="201">
        <f t="shared" si="3"/>
        <v>0</v>
      </c>
      <c r="EQ38" s="201">
        <f>IFERROR(__xludf.DUMMYFUNCTION("SUM(
   MAP(
     K$4:ED$4,
     K$3:ED$3,
     K$7:ED$7,
     K$15:ED$15,
     K$16:ED$16,
     K$21:ED$21,
     K$5:ED$5,
     K$17:ED$17,
     K38:ED38,
     LAMBDA(
       name,
       job,
       abillity,
       buff,
       barrier,
       enhance,"&amp;"
       assign,
       precondition,
       check,
       SWITCH(
         name,
         ""シェイクオフ"", IF(check=TRUE, buff + (0.02 * COUNTIF(ARRAYFORMULA((REGEXMATCH($K$4:$ED$4, ""スリル・オブ・バトル|ヴェンジェンス|原初の血気|ダムネーション"")) * (K38:ED38=TRUE)), 1)), 0),
         "&amp;"""インプロビゼーションフィニッシュ(踊りの激情0)"", IF(ISNUMBER(check), INDEX(Skill!$AJ:$AJ, MATCH(SUBSTITUTE(DV$4, 0, check), Skill!$C:$C, 0)), 0),
         IF(
           AND(check=TRUE, REGEXMATCH(assign, ""RANGE_PARTY"")),
           IF(
             OR(ARRAYFORMULA((IF(pr"&amp;"econdition="""", FALSE, REGEXMATCH($K$4:$ED$4, precondition))) * (K38:ED38=TRUE))),
             enhance,
             IF(barrier="""", buff, barrier)
           ),
           0
         )
       ) *
       SWITCH(
         job,
         ""ナイト"", EY$24,
 "&amp;"        ""戦士"", FD$24,
         ""踊り子"", ET$24,
         ""ピクトマンサー"", ET$24,
         ""白魔道士"", EF38 * EH38 * IF(abillity, 1, EG38 * EI38) * (Option!$D$22 * 0.81 / 100),
         ""占星術師"", EF38 * EJ38 * IF(abillity, 1, EG38 * EK38) * (Option!$D$23 * 0.81 "&amp;"/ 100),
         ""学者"", EF38 * EL38 * IF(abillity, 1, EG38 * EM38) * (Option!$D$24 * 0.81 / 100),
         ""賢者"", EF38 * EN38 * IF(abillity, 1, EG38 * EO38) * (Option!$D$25 * 0.81 / 100),
         1
       )
     )
   )
 )"),0.0)</f>
        <v>0</v>
      </c>
      <c r="ER38" s="202">
        <f t="shared" si="4"/>
        <v>0</v>
      </c>
      <c r="ES38" s="203">
        <f t="shared" si="5"/>
        <v>0</v>
      </c>
      <c r="ET38" s="231" t="str">
        <f>IFERROR(__xludf.DUMMYFUNCTION("IFS(
  EP38 &gt; $ET$24 + EQ38,
  SPARKLINE({ 1, 0 }, {""charttype"",""bar"";""max"", 1;""color1"",Option!$D$30;""color2"",Option!$D$30}),
  EP38 &lt; EQ38,
  SPARKLINE({EQ38 - EP38, $ET$24 - (EQ38 - EP38)}, {""charttype"",""bar"";""max"",$ET$24;""color1"",Opti"&amp;"on!$D$28;""color2"",Option!$D$29}),
  EP38 &gt;= EQ38,
  SPARKLINE({$ET$24 + EQ38 - EP38,EP38 - EQ38}, {""charttype"",""bar"";""max"",$ET$24;""color1"",Option!$D$29;""color2"",Option!$D$30})
)"),"")</f>
        <v/>
      </c>
      <c r="EU38" s="205">
        <f>IFERROR(__xludf.DUMMYFUNCTION("PRODUCT(
   MAP(
     IF($F38=""Physical"", K$10:ED$10, IF($F38=""Magic"", K$11:ED$11, K$12:ED$12)),
     IF($F38=""Physical"", K$18:ED$18, IF($F38=""Magic"", K$19:ED$19, K$20:ED$20)),
     K$3:ED$3,
     K$5:ED$5,
     K$17:ED$17,
     K38:ED38,
     LAM"&amp;"BDA(
       mitigation,
       enhance,
       job,
       assign,
       precondition,
       check,
       IF(
         OR(AND(check=TRUE, REGEXMATCH(assign, ""SELF""), job=""ナイト""), AND(check=Option!$E$13, REGEXMATCH(assign, ""SINGLE_PARTY""))),
      "&amp;"   IF(
           OR(ARRAYFORMULA((IF(precondition="""", FALSE, REGEXMATCH($K$4:$ED$4, precondition))) * (K38:ED38=TRUE))),
           enhance,
           mitigation
         ),
         1
       )
     )
   )
 ) * EE38"),1.0)</f>
        <v>1</v>
      </c>
      <c r="EV38" s="206">
        <f t="shared" si="6"/>
        <v>0</v>
      </c>
      <c r="EW38" s="205">
        <f>IFERROR(__xludf.DUMMYFUNCTION("PRODUCT(
   MAP(
     K$3:ED$3,
     K$14:ED$14,
     K$13:ED$13,
     K38:ED38,
     LAMBDA(
       job,
       buff,
       target,
       check,
       IF(
         OR(AND(check=TRUE, REGEXMATCH(target, ""SELF_AFFECTED_ALL""), job=""ナイト""), AND(check=O"&amp;"ption!$E$13, REGEXMATCH(target, ""SINGLE_AFFECTED_ALL""))),
         buff,
         1
       )
     )
   )
 )"),1.0)</f>
        <v>1</v>
      </c>
      <c r="EX38" s="206">
        <f>IFERROR(__xludf.DUMMYFUNCTION("SUM(
   MAP(
     K$3:ED$3,
     K$7:ED$7,
     K$15:ED$15,
     K$16:ED$16,
     K$21:ED$21,
     K$5:ED$5,
     K$17:ED$17,
     K38:ED38,
     LAMBDA(
       job,
       abillity,
       buff,
       barrier,
       enhance,
       assign,
       preco"&amp;"ndition,
       check,
       IF(
         OR(AND(check=TRUE, REGEXMATCH(assign, ""SELF""), job=""ナイト""), AND(check=Option!$E$13, REGEXMATCH(assign, ""SINGLE_PARTY""))),
         IF(
           OR(ARRAYFORMULA((IF(precondition="""", FALSE, REGEXMATCH($K$4"&amp;":$ED$4, precondition))) * (K38:ED38=TRUE))),
           enhance,
           IF(barrier="""", buff, barrier)
         ),
         0
       ) *
       SWITCH(
         job,
         ""暗黒騎士"", EY$24,
         ""白魔道士"", EF38 * EH38 * EW38 * IF(abillity, 1, EG"&amp;"38 * EI38) * (Option!$D$22 * 0.81 / 100),
         ""占星術師"", EF38 * EJ38 * EW38 * IF(abillity, 1, EG38 * EK38) * (Option!$D$23 * 0.81 / 100),
         ""学者"", EF38 * EL38 * EW38 * IF(abillity, 1, EG38 * EM38) * (Option!$D$24 * 0.81 / 100),
         ""賢者"""&amp;", EF38 * EN38 * EW38 * IF(abillity, 1, EG38 * EO38) * (Option!$D$25 * 0.81 / 100),
         1
       )
     )
   )
 ) + EQ38"),0.0)</f>
        <v>0</v>
      </c>
      <c r="EY38" s="232">
        <f t="shared" si="7"/>
        <v>0</v>
      </c>
      <c r="EZ38" s="205">
        <f>IFERROR(__xludf.DUMMYFUNCTION("PRODUCT(
   MAP(
     IF($F38=""Physical"", K$10:ED$10, IF($F38=""Magic"", K$11:ED$11, K$12:ED$12)),
     IF($F38=""Physical"", K$18:ED$18, IF($F38=""Magic"", K$19:ED$19, K$20:ED$20)),
     K$3:ED$3,
     K$5:ED$5,
     K$17:ED$17,
     K38:ED38,
     LAM"&amp;"BDA(
       mitigation,
       enhance,
       job,
       assign,
       precondition,
       check,
       IF(
         OR(AND(check=TRUE, REGEXMATCH(assign, ""SELF""), job=""戦士""), AND(check=Option!$F$13, REGEXMATCH(assign, ""SINGLE_PARTY""))),
       "&amp;"  IF(
           OR(ARRAYFORMULA((IF(precondition="""", FALSE, REGEXMATCH($K$4:$ED$4, precondition))) * (K38:ED38=TRUE))),
           enhance,
           mitigation
         ),
         1
       )
     )
   )
 ) * EE38"),1.0)</f>
        <v>1</v>
      </c>
      <c r="FA38" s="206">
        <f t="shared" si="8"/>
        <v>0</v>
      </c>
      <c r="FB38" s="205">
        <f>IFERROR(__xludf.DUMMYFUNCTION("PRODUCT(
   MAP(
     K$3:ED$3,
     K$14:ED$14,
     K$13:ED$13,
     K38:ED38,
     LAMBDA(
       job,
       buff,
       target,
       check,
       IF(
         OR(AND(check=TRUE, REGEXMATCH(target, ""SELF_AFFECTED_ALL""), job=""戦士""), AND(check=Op"&amp;"tion!$F$13, REGEXMATCH(target, ""SINGLE_AFFECTED_ALL""))),
         buff,
         1
       )
     )
   )
 )"),1.0)</f>
        <v>1</v>
      </c>
      <c r="FC38" s="206">
        <f>IFERROR(__xludf.DUMMYFUNCTION("SUM(
   MAP(
     K$3:ED$3,
     K$7:ED$7,
     K$15:ED$15,
     K$16:ED$16,
     K$21:ED$21,
     K$5:ED$5,
     K$17:ED$17,
     K38:ED38,
     LAMBDA(
       job,
       abillity,
       buff,
       barrier,
       enhance,
       assign,
       preco"&amp;"ndition,
       check,
       IF(
         OR(AND(check=TRUE, REGEXMATCH(assign, ""SELF""), job=""戦士""), AND(check=Option!$F$13, REGEXMATCH(assign, ""SINGLE_PARTY""))),
         IF(
           OR(ARRAYFORMULA((IF(precondition="""", FALSE, REGEXMATCH($K$4:"&amp;"$ED$4, precondition))) * (K38:ED38=TRUE))),
           enhance,
           IF(barrier="""", buff, barrier)
         ),
         0
       ) *
       SWITCH(
         job,
         ""暗黒騎士"", FD$24,
         ""白魔道士"", EF38 * EH38 * FB38 * IF(abillity, 1, EG3"&amp;"8 * EI38) * (Option!$D$22 * 0.81 / 100),
         ""占星術師"", EF38 * EJ38 * FFB38 * IF(abillity, 1, EG38 * EK38) * (Option!$D$23 * 0.81 / 100),
         ""学者"", EF38 * EL38 * FB38 * IF(abillity, 1, EG38 * EM38) * (Option!$D$24 * 0.81 / 100),
         ""賢者"""&amp;", EF38 * EN38 * FB38 * IF(abillity, 1, EG38 * EO38) * (Option!$D$25 * 0.81 / 100),
         1
       )
     )
   )
 ) + EQ38"),0.0)</f>
        <v>0</v>
      </c>
      <c r="FD38" s="206">
        <f t="shared" si="9"/>
        <v>0</v>
      </c>
      <c r="FE38" s="205">
        <f>IFERROR(__xludf.DUMMYFUNCTION("PRODUCT(
   MAP(
     IF($F38=""Physical"", K$10:ED$10, IF($F38=""Magic"", K$11:ED$11, K$12:ED$12)),
     IF($F38=""Physical"", K$18:ED$18, IF($F38=""Magic"", K$19:ED$19, K$20:ED$20)),
     K$3:ED$3,
     K$5:ED$5,
     K$17:ED$17,
     K38:ED38,
     LAM"&amp;"BDA(
       mitigation,
       enhance,
       job,
       assign,
       precondition,
       check,
       IF(
         OR(AND(check=TRUE, REGEXMATCH(assign, ""SELF""), job=""暗黒騎士""), AND(check=Option!$G$13, REGEXMATCH(assign, ""SINGLE_PARTY""))),
     "&amp;"    IF(
           OR(ARRAYFORMULA((IF(precondition="""", FALSE, REGEXMATCH($K$4:$ED$4, precondition))) * (K38:ED38=TRUE))),
           enhance,
           mitigation
         ),
         1
       )
     )
   )
 ) * EE38"),1.0)</f>
        <v>1</v>
      </c>
      <c r="FF38" s="206">
        <f t="shared" si="10"/>
        <v>0</v>
      </c>
      <c r="FG38" s="205">
        <f>IFERROR(__xludf.DUMMYFUNCTION("PRODUCT(
   MAP(
     K$3:ED$3,
     K$14:ED$14,
     K$13:ED$13,
     K38:ED38,
     LAMBDA(
       job,
       buff,
       target,
       check,
       IF(
         OR(AND(check=TRUE, REGEXMATCH(target, ""SELF_AFFECTED_ALL""), job=""暗黒騎士""), AND(check="&amp;"Option!$G$13, REGEXMATCH(target, ""SINGLE_AFFECTED_ALL""))),
         buff,
         1
       )
     )
   )
 )"),1.0)</f>
        <v>1</v>
      </c>
      <c r="FH38" s="206">
        <f>IFERROR(__xludf.DUMMYFUNCTION("SUM(
   MAP(
     K$3:ED$3,
     K$7:ED$7,
     K$15:ED$15,
     K$16:ED$16,
     K$21:ED$21,
     K$5:ED$5,
     K$17:ED$17,
     K38:ED38,
     LAMBDA(
       job,
       abillity,
       buff,
       barrier,
       enhance,
       assign,
       preco"&amp;"ndition,
       check,
       IF(
         OR(AND(check=TRUE, REGEXMATCH(assign, ""SELF""), job=""暗黒騎士""), AND(check=Option!$G$13, REGEXMATCH(assign, ""SINGLE_PARTY""))),
         IF(
           OR(ARRAYFORMULA((IF(precondition="""", FALSE, REGEXMATCH($K$"&amp;"4:$ED$4, precondition))) * (K38:ED38=TRUE))),
           enhance,
           IF(barrier="""", buff, barrier)
         ),
         0
       ) *
       SWITCH(
         job,
         ""暗黒騎士"", FI$24,
         ""白魔道士"", EF38 * EH38 * FG38 * IF(abillity, 1, E"&amp;"G38 * EI38) * (Option!$D$22 * 0.81 / 100),
         ""占星術師"", EF38 * EJ38 * FG38 * IF(abillity, 1, EG38 * EK38) * (Option!$D$23 * 0.81 / 100),
         ""学者"", EF38 * EL38 * FG38 * IF(abillity, 1, EG38 * EM38) * (Option!$D$24 * 0.81 / 100),
         ""賢者"&amp;""", EF38 * EN38 * FG38 * IF(abillity, 1, EG38 * EO38) * (Option!$D$25 * 0.81 / 100),
         1
       )
     )
   )
 ) + EQ38"),0.0)</f>
        <v>0</v>
      </c>
      <c r="FI38" s="206">
        <f t="shared" si="11"/>
        <v>0</v>
      </c>
      <c r="FJ38" s="205">
        <f>IFERROR(__xludf.DUMMYFUNCTION("PRODUCT(
   MAP(
     IF($F38=""Physical"", K$10:ED$10, IF($F38=""Magic"", K$11:ED$11, K$12:ED$12)),
     IF($F38=""Physical"", K$18:ED$18, IF($F38=""Magic"", K$19:ED$19, K$20:ED$20)),
     K$3:ED$3,
     K$5:ED$5,
     K$17:ED$17,
     K38:ED38,
     LAM"&amp;"BDA(
       mitigation,
       enhance,
       job,
       assign,
       precondition,
       check,
       IF(
         OR(AND(check=TRUE, REGEXMATCH(assign, ""SELF""), job=""ガンブレイカー""), AND(check=Option!$H$13, REGEXMATCH(assign, ""SINGLE_PARTY""))),
  "&amp;"       IF(
           OR(ARRAYFORMULA((IF(precondition="""", FALSE, REGEXMATCH($K$4:$ED$4, precondition))) * (K38:ED38=TRUE))),
           enhance,
           mitigation
         ),
         1
       )
     )
   )
 ) * EE38"),1.0)</f>
        <v>1</v>
      </c>
      <c r="FK38" s="206">
        <f t="shared" si="12"/>
        <v>0</v>
      </c>
      <c r="FL38" s="205">
        <f>IFERROR(__xludf.DUMMYFUNCTION("PRODUCT(
   MAP(
     K$3:ED$3,
     K$14:ED$14,
     K$13:ED$13,
     K38:ED38,
     LAMBDA(
       job,
       buff,
       target,
       check,
       IF(
         OR(AND(check=TRUE, REGEXMATCH(target, ""SELF_AFFECTED_ALL""), job=""ガンブレイカー""), AND(che"&amp;"ck=Option!$H$13, REGEXMATCH(target, ""SINGLE_AFFECTED_ALL""))),
         buff,
         1
       )
     )
   )
 )"),1.0)</f>
        <v>1</v>
      </c>
      <c r="FM38" s="206">
        <f>IFERROR(__xludf.DUMMYFUNCTION("SUM(
   MAP(
     K$3:ED$3,
     K$7:ED$7,
     K$15:ED$15,
     K$16:ED$16,
     K$21:ED$21,
     K$5:ED$5,
     K$17:ED$17,
     K38:ED38,
     LAMBDA(
       job,
       abillity,
       buff,
       barrier,
       enhance,
       assign,
       preco"&amp;"ndition,
       check,
       IF(
         OR(AND(check=TRUE, REGEXMATCH(assign, ""SELF""), job=""ガンブレイカー""), AND(check=Option!$H$13, REGEXMATCH(assign, ""SINGLE_PARTY""))),
         IF(
           OR(ARRAYFORMULA((IF(precondition="""", FALSE, REGEXMATCH("&amp;"$K$4:$ED$4, precondition))) * (K38:ED38=TRUE))),
           enhance,
           IF(barrier="""", buff, barrier)
         ),
         0
       ) *
       SWITCH(
         job,
         ""暗黒騎士"", FN$24,
         ""白魔道士"", EF38 * EH38 * FL38 * IF(abillity, 1"&amp;", EG38 * EI38) * (Option!$D$22 * 0.81 / 100),
         ""占星術師"", EF38 * EJ38 * FL38 * IF(abillity, 1, EG38 * EK38) * (Option!$D$23 * 0.81 / 100),
         ""学者"", EF38 * EL38 * FL38 * IF(abillity, 1, EG38 * EM38) * (Option!$D$24 * 0.81 / 100),
         """&amp;"賢者"", EF38 * EN38 * FL38 * IF(abillity, 1, EG38 * EO38) * (Option!$D$25 * 0.81 / 100),
         1
       )
     )
   )
 ) + EQ38"),0.0)</f>
        <v>0</v>
      </c>
      <c r="FN38" s="206">
        <f t="shared" si="13"/>
        <v>0</v>
      </c>
      <c r="FO38" s="213"/>
    </row>
    <row r="39">
      <c r="B39" s="229"/>
      <c r="C39" s="217">
        <f t="shared" si="1"/>
        <v>0.00380787037</v>
      </c>
      <c r="D39" s="236"/>
      <c r="E39" s="238"/>
      <c r="F39" s="167"/>
      <c r="G39" s="168" t="str">
        <f t="shared" si="2"/>
        <v/>
      </c>
      <c r="H39" s="169"/>
      <c r="I39" s="169"/>
      <c r="J39" s="169"/>
      <c r="K39" s="170" t="b">
        <v>0</v>
      </c>
      <c r="L39" s="170" t="b">
        <v>0</v>
      </c>
      <c r="M39" s="170" t="b">
        <v>0</v>
      </c>
      <c r="N39" s="171" t="s">
        <v>1070</v>
      </c>
      <c r="O39" s="172" t="b">
        <v>0</v>
      </c>
      <c r="P39" s="173" t="b">
        <v>0</v>
      </c>
      <c r="Q39" s="173" t="b">
        <v>0</v>
      </c>
      <c r="R39" s="173" t="b">
        <v>0</v>
      </c>
      <c r="S39" s="174" t="b">
        <v>0</v>
      </c>
      <c r="T39" s="175" t="b">
        <v>0</v>
      </c>
      <c r="U39" s="173" t="b">
        <v>0</v>
      </c>
      <c r="V39" s="171" t="s">
        <v>1070</v>
      </c>
      <c r="W39" s="172" t="b">
        <v>0</v>
      </c>
      <c r="X39" s="173" t="b">
        <v>0</v>
      </c>
      <c r="Y39" s="173" t="b">
        <v>0</v>
      </c>
      <c r="Z39" s="173" t="b">
        <v>0</v>
      </c>
      <c r="AA39" s="174" t="b">
        <v>0</v>
      </c>
      <c r="AB39" s="174" t="b">
        <v>0</v>
      </c>
      <c r="AC39" s="175" t="b">
        <v>0</v>
      </c>
      <c r="AD39" s="173" t="b">
        <v>0</v>
      </c>
      <c r="AE39" s="176" t="s">
        <v>1070</v>
      </c>
      <c r="AF39" s="171" t="s">
        <v>1070</v>
      </c>
      <c r="AG39" s="177">
        <f>IFERROR(__xludf.DUMMYFUNCTION("IF(
  ISNUMBER(AG38),
  MIN(MAX(
    AG38
    + MAX(
      ROUNDDOWN(($D39 - MAX(IFERROR(FILTER($D$24:$D38, AG$24:AG38 &lt;&gt; AF$6, AG$23:AG37 = AF$6), 0))) * (60 * 60 * 24) / AF$9) - ROUNDDOWN(($D38 - MAX(IFERROR(FILTER($D$23:$D37, AG$23:AG37 &lt;&gt; AF$6, AG$22:"&amp;"AG36 = AF$6), 0))) * (60 * 60 * 24) / 60),
      0
    )
    - COUNTIF(AF39, ""&lt;&gt;-""),
  0), AF$6),
  AF$6 - COUNTIF(AF39, ""&lt;&gt;-"")
)"),2.0)</f>
        <v>2</v>
      </c>
      <c r="AH39" s="173" t="b">
        <v>0</v>
      </c>
      <c r="AI39" s="173" t="b">
        <v>0</v>
      </c>
      <c r="AJ39" s="173" t="b">
        <v>0</v>
      </c>
      <c r="AK39" s="174" t="b">
        <v>0</v>
      </c>
      <c r="AL39" s="175" t="b">
        <v>0</v>
      </c>
      <c r="AM39" s="173" t="b">
        <v>0</v>
      </c>
      <c r="AN39" s="171" t="s">
        <v>1070</v>
      </c>
      <c r="AO39" s="173" t="b">
        <v>0</v>
      </c>
      <c r="AP39" s="173" t="b">
        <v>0</v>
      </c>
      <c r="AQ39" s="173" t="b">
        <v>0</v>
      </c>
      <c r="AR39" s="174" t="b">
        <v>0</v>
      </c>
      <c r="AS39" s="178" t="b">
        <v>0</v>
      </c>
      <c r="AT39" s="179" t="b">
        <v>0</v>
      </c>
      <c r="AU39" s="180" t="b">
        <v>0</v>
      </c>
      <c r="AV39" s="180" t="b">
        <v>0</v>
      </c>
      <c r="AW39" s="180" t="b">
        <v>0</v>
      </c>
      <c r="AX39" s="180" t="b">
        <v>0</v>
      </c>
      <c r="AY39" s="181" t="s">
        <v>1070</v>
      </c>
      <c r="AZ39" s="181" t="s">
        <v>1070</v>
      </c>
      <c r="BA39" s="184">
        <f>IFERROR(__xludf.DUMMYFUNCTION("IF(
  ISNUMBER(BA38),
  MIN(MAX(
    BA38
    + MAX(
      ROUNDDOWN((D39 - MAX(IFERROR(FILTER(D$24:D38, BA$24:BA38 &lt;&gt; AZ$6, BA$23:BA37 = AZ$6), 0))) * (60 * 60 * 24) / AZ$9) - ROUNDDOWN((D38 - MAX(IFERROR(FILTER(D$23:D37, BA$23:BA37 &lt;&gt; AZ$6, BA$22:BA36 ="&amp;" AZ$6), 0))) * (60 * 60 * 24) / AZ$9),
      0
    )
    - COUNTIF(AZ39, ""&lt;&gt;-""),
  0), AZ$6),
  AZ$6 - COUNTIF(AZ39, ""&lt;&gt;-"")
)"),2.0)</f>
        <v>2</v>
      </c>
      <c r="BB39" s="181" t="s">
        <v>1070</v>
      </c>
      <c r="BC39" s="183">
        <f>IFERROR(__xludf.DUMMYFUNCTION("IF(
  ISNUMBER(BC38),
  MIN(MAX(
    BC38
    + MAX(
      ROUNDDOWN(($D39 - MAX(IFERROR(FILTER($D$24:$D38, BC$24:BC38 &lt;&gt; BB$6, BC$23:BC37 = BB$6), 0))) * (60 * 60 * 24) / BB$9) - ROUNDDOWN(($D38 - MAX(IFERROR(FILTER($D$23:$D37, BC$23:BC37 &lt;&gt; BB$6, BC$22:"&amp;"BC36 = BB$6), 0))) * (60 * 60 * 24) / 60),
      0
    )
    - COUNTIF(BB39, ""&lt;&gt;-""),
  0), BB$6),
  BB$6 - COUNTIF(BB39, ""&lt;&gt;-"")
)"),2.0)</f>
        <v>2</v>
      </c>
      <c r="BD39" s="181" t="s">
        <v>1070</v>
      </c>
      <c r="BE39" s="178" t="b">
        <v>0</v>
      </c>
      <c r="BF39" s="180" t="b">
        <v>0</v>
      </c>
      <c r="BG39" s="180" t="b">
        <v>0</v>
      </c>
      <c r="BH39" s="180" t="b">
        <v>0</v>
      </c>
      <c r="BI39" s="180" t="b">
        <v>0</v>
      </c>
      <c r="BJ39" s="180" t="b">
        <v>0</v>
      </c>
      <c r="BK39" s="180" t="b">
        <v>0</v>
      </c>
      <c r="BL39" s="180" t="b">
        <v>0</v>
      </c>
      <c r="BM39" s="180" t="b">
        <v>0</v>
      </c>
      <c r="BN39" s="180" t="b">
        <v>0</v>
      </c>
      <c r="BO39" s="181" t="s">
        <v>1070</v>
      </c>
      <c r="BP39" s="181" t="s">
        <v>1070</v>
      </c>
      <c r="BQ39" s="181" t="s">
        <v>1070</v>
      </c>
      <c r="BR39" s="181" t="s">
        <v>1070</v>
      </c>
      <c r="BS39" s="181" t="s">
        <v>1070</v>
      </c>
      <c r="BT39" s="184">
        <f>IFERROR(__xludf.DUMMYFUNCTION("IF(
  ISNUMBER(BT38),
  MIN(MAX(
    BT38
    + MAX(
      ROUNDDOWN((D39 - MAX(IFERROR(FILTER(D$24:D38, BT$24:BT38 &lt;&gt; BS$6, BT$23:BT37 = BS$6), 0))) * (60 * 60 * 24) / BS$9) - ROUNDDOWN((D38 - MAX(IFERROR(FILTER(D$23:D37, BT$23:BT37 &lt;&gt; BS$6, BT$22:BT36 ="&amp;" BS$6), 0))) * (60 * 60 * 24) / BS$9),
      0
    )
    - COUNTIF(BS39, ""&lt;&gt;-""),
  0), BS$6),
  BS$6 - COUNTIF(BS39, ""&lt;&gt;-"")
)"),3.0)</f>
        <v>3</v>
      </c>
      <c r="BU39" s="181" t="s">
        <v>1070</v>
      </c>
      <c r="BV39" s="181" t="s">
        <v>1070</v>
      </c>
      <c r="BW39" s="184">
        <f>IFERROR(__xludf.DUMMYFUNCTION("IF(
  ISNUMBER(BW38),
  MIN(MAX(
    BW38
    + MAX(
      ROUNDDOWN((D39 - MAX(IFERROR(FILTER(D$24:D38, BW$24:BW38 &lt;&gt; BV$6, BW$23:BW37 = BV$6), 0))) * (60 * 60 * 24) / BV$9) - ROUNDDOWN((D38 - MAX(IFERROR(FILTER(D$23:D37, BW$23:BW37 &lt;&gt; BV$6, BW$22:BW36 ="&amp;" BV$6), 0))) * (60 * 60 * 24) / BV$9),
      0
    )
    - COUNTIF(BV39, ""&lt;&gt;-""),
  0), BV$6),
  BV$6 - COUNTIF(BV39, ""&lt;&gt;-"")
)"),2.0)</f>
        <v>2</v>
      </c>
      <c r="BX39" s="185" t="s">
        <v>1070</v>
      </c>
      <c r="BY39" s="178" t="b">
        <v>0</v>
      </c>
      <c r="BZ39" s="180" t="b">
        <v>0</v>
      </c>
      <c r="CA39" s="180" t="b">
        <v>0</v>
      </c>
      <c r="CB39" s="180" t="b">
        <v>0</v>
      </c>
      <c r="CC39" s="180" t="b">
        <v>0</v>
      </c>
      <c r="CD39" s="180" t="b">
        <v>0</v>
      </c>
      <c r="CE39" s="180" t="b">
        <v>0</v>
      </c>
      <c r="CF39" s="180" t="b">
        <v>0</v>
      </c>
      <c r="CG39" s="180" t="b">
        <v>0</v>
      </c>
      <c r="CH39" s="180" t="b">
        <v>0</v>
      </c>
      <c r="CI39" s="180" t="b">
        <v>0</v>
      </c>
      <c r="CJ39" s="180" t="b">
        <v>0</v>
      </c>
      <c r="CK39" s="180" t="b">
        <v>0</v>
      </c>
      <c r="CL39" s="180" t="b">
        <v>0</v>
      </c>
      <c r="CM39" s="181" t="s">
        <v>1070</v>
      </c>
      <c r="CN39" s="181" t="s">
        <v>1070</v>
      </c>
      <c r="CO39" s="181" t="s">
        <v>1070</v>
      </c>
      <c r="CP39" s="181" t="s">
        <v>1070</v>
      </c>
      <c r="CQ39" s="185" t="s">
        <v>1070</v>
      </c>
      <c r="CR39" s="180" t="b">
        <v>0</v>
      </c>
      <c r="CS39" s="186" t="str">
        <f t="shared" si="14"/>
        <v>◇◇◇</v>
      </c>
      <c r="CT39" s="178" t="b">
        <v>0</v>
      </c>
      <c r="CU39" s="180" t="b">
        <v>0</v>
      </c>
      <c r="CV39" s="180" t="b">
        <v>0</v>
      </c>
      <c r="CW39" s="180" t="b">
        <v>0</v>
      </c>
      <c r="CX39" s="180" t="b">
        <v>0</v>
      </c>
      <c r="CY39" s="180" t="b">
        <v>0</v>
      </c>
      <c r="CZ39" s="180" t="b">
        <v>0</v>
      </c>
      <c r="DA39" s="180" t="b">
        <v>0</v>
      </c>
      <c r="DB39" s="180" t="b">
        <v>0</v>
      </c>
      <c r="DC39" s="180" t="b">
        <v>0</v>
      </c>
      <c r="DD39" s="181" t="s">
        <v>1070</v>
      </c>
      <c r="DE39" s="181" t="s">
        <v>1070</v>
      </c>
      <c r="DF39" s="181" t="s">
        <v>1070</v>
      </c>
      <c r="DG39" s="185" t="s">
        <v>1070</v>
      </c>
      <c r="DH39" s="180" t="b">
        <v>0</v>
      </c>
      <c r="DI39" s="187" t="str">
        <f>IFERROR(__xludf.DUMMYFUNCTION("SWITCH(
  IF(
    ISTEXT(DI38),
    IF (
      FIND(""○"", DI38&amp;""○"") &gt; 3,
      3,
      FIND(""○"", DI38&amp;""○"")
      + MAX(
        ROUNDDOWN(($D39 - MAX(IFERROR(FILTER(D$24:D38, DI$24:DI38 &lt;&gt; ""●●●"", DI$23:DI37 = ""●●●""), 0))) * (60 * 60 * 24) / 20"&amp;") - ROUNDDOWN(($D38 - MAX(IFERROR(FILTER(D$23:D37, DI$23:DI37 &lt;&gt; ""●●●"", DI$22:DI36 = ""●●●""), 0))) * (60 * 60 * 24) / 20),
        0
      ) - 1
    ) - COUNTIFS(CU39, ""=TRUE"", CU38, ""&lt;&gt;TRUE"") - COUNTIF(CZ39, ""=TRUE"") - COUNTIF({DD39,DE39}, ""&lt;&gt;-"&amp;""") + COUNTIF(DH39, ""=TRUE""),
    3
  ),
  0, ""○○○"", 1, ""●○○"", 2, ""●●○"", 3, ""●●●"", 4, ""●●●"", ""○○○""
)"),"●●●")</f>
        <v>●●●</v>
      </c>
      <c r="DJ39" s="188" t="b">
        <v>0</v>
      </c>
      <c r="DK39" s="189" t="b">
        <v>0</v>
      </c>
      <c r="DL39" s="190" t="b">
        <v>0</v>
      </c>
      <c r="DM39" s="190" t="b">
        <v>0</v>
      </c>
      <c r="DN39" s="190" t="b">
        <v>0</v>
      </c>
      <c r="DO39" s="190" t="b">
        <v>0</v>
      </c>
      <c r="DP39" s="190" t="b">
        <v>0</v>
      </c>
      <c r="DQ39" s="191" t="b">
        <v>0</v>
      </c>
      <c r="DR39" s="192" t="b">
        <v>0</v>
      </c>
      <c r="DS39" s="191" t="b">
        <v>0</v>
      </c>
      <c r="DT39" s="192" t="b">
        <v>0</v>
      </c>
      <c r="DU39" s="191" t="b">
        <v>0</v>
      </c>
      <c r="DV39" s="193" t="s">
        <v>1070</v>
      </c>
      <c r="DW39" s="194" t="b">
        <v>0</v>
      </c>
      <c r="DX39" s="194" t="b">
        <v>0</v>
      </c>
      <c r="DY39" s="195" t="b">
        <v>0</v>
      </c>
      <c r="DZ39" s="196" t="b">
        <v>0</v>
      </c>
      <c r="EA39" s="195" t="b">
        <v>0</v>
      </c>
      <c r="EB39" s="197" t="b">
        <v>0</v>
      </c>
      <c r="EC39" s="197" t="b">
        <v>0</v>
      </c>
      <c r="ED39" s="212" t="b">
        <v>0</v>
      </c>
      <c r="EE39" s="199">
        <f>IFERROR(__xludf.DUMMYFUNCTION("IFERROR(
   PRODUCT(
     MAP(
       INDEX(TRANSPOSE(UNIQUE(TRANSPOSE(FILTER({IF($F39=""Physical"", K$10:ED$10, IF($F39=""Magic"", K$11:ED$11, K$12:ED$12));K$4:ED$4;K39:ED39}, K39:ED39=TRUE)))), 1, 0),
       INDEX(TRANSPOSE(UNIQUE(TRANSPOSE(FILTER({IF($"&amp;"F39=""Physical"", K$18:ED$18, IF($F39=""Magic"", K$19:ED$19, K$20:ED$20));K$4:ED$4;K39:ED39}, K39:ED39=TRUE)))), 1, 0),
       INDEX(TRANSPOSE(UNIQUE(TRANSPOSE(FILTER({K$5:ED$5;K$4:ED$4;K39:ED39}, K39:ED39=TRUE)))), 1, 0),
       INDEX(TRANSPOSE(UNIQUE(TR"&amp;"ANSPOSE(FILTER({K$17:ED$17;K$4:ED$4;K39:ED39}, K39:ED39=TRUE)))), 1, 0),
       LAMBDA(
         mitigation,
         enhance,
         assign,
         precondition,
         IF(
           REGEXMATCH(assign, ""RANGE_PARTY|SINGLE_ENEMY|RANGE_ENEMY""),
  "&amp;"         IF(
             OR(ARRAYFORMULA((IF(precondition="""", FALSE, REGEXMATCH(K$4:ED$4, precondition))) * (K39:ED39=TRUE))),
             IF(ISNUMBER(enhance), enhance, 1),
             IF(ISNUMBER(mitigation), mitigation, 1)
           ),
          "&amp;" 1
         )
       )
     )
   ),
   1
 )"),1.0)</f>
        <v>1</v>
      </c>
      <c r="EF39" s="200">
        <f>IFERROR(__xludf.DUMMYFUNCTION("PRODUCT(
   MAP(
     K$14:ED$14,
     K$13:ED$13,
     K39:ED39,
     LAMBDA(
       buff,
       target,
       check,
       IF(
         AND(check=TRUE, REGEXMATCH(target, ""RANGE_AFFECTED_ALL|RANGE_EFFECTED_ALL""), ISNUMBER(buff)),
         buff,
   "&amp;"      1
       )
     )
   )
 )"),1.0)</f>
        <v>1</v>
      </c>
      <c r="EG39" s="200">
        <f>IFERROR(__xludf.DUMMYFUNCTION("PRODUCT(
   MAP(
     K$14:ED$14,
     K$13:ED$13,
     K39:ED39,
     LAMBDA(
       buff,
       target,
       check,
       IF(
         AND(check=TRUE, REGEXMATCH(target, ""RANGE_AFFECTED_GCD|RANGE_EFFECTED_GCD""), ISNUMBER(buff)),
         buff,
   "&amp;"      1
       )
     )
   )
 )"),1.0)</f>
        <v>1</v>
      </c>
      <c r="EH39" s="200">
        <f>IFERROR(__xludf.DUMMYFUNCTION("PRODUCT(
   MAP(
     K$3:ED$3,
     K$14:ED$14,
     K$13:ED$13,
     K39:ED39,
     LAMBDA(
       job,
       buff,
       target,
       check,
       IF(
         AND(check=TRUE, REGEXMATCH(target, ""SELF_EFFECTED_ALL""), ISNUMBER(buff), job=""白魔道士"""&amp;"),
         buff,
         1
       )
     )
   )
 )"),1.0)</f>
        <v>1</v>
      </c>
      <c r="EI39" s="200">
        <f>IFERROR(__xludf.DUMMYFUNCTION("PRODUCT(
   MAP(
     K$3:ED$3,
     K$14:ED$14,
     K$13:ED$13,
     K39:ED39,
     LAMBDA(
       job,
       buff,
       target,
       check,
       IF(
         AND(check=TRUE, REGEXMATCH(target, ""SELF_EFFECTED_GCD""), ISNUMBER(buff), job=""白魔道士"""&amp;"),
         buff,
         1
       )
     )
   )
 )"),1.0)</f>
        <v>1</v>
      </c>
      <c r="EJ39" s="200">
        <f>IFERROR(__xludf.DUMMYFUNCTION("PRODUCT(
   MAP(
     K$3:ED$3,
     K$14:ED$14,
     K$13:ED$13,
     K39:ED39,
     LAMBDA(
       job,
       buff,
       target,
       check,
       IF(
         AND(check=TRUE, REGEXMATCH(target, ""SELF_EFFECTED_ALL""), ISNUMBER(buff), job=""占星術師"""&amp;"),
         buff,
         1
       )
     )
   )
 )"),1.0)</f>
        <v>1</v>
      </c>
      <c r="EK39" s="200">
        <f>IFERROR(__xludf.DUMMYFUNCTION("PRODUCT(
   MAP(
     K$3:ED$3,
     K$14:ED$14,
     K$13:ED$13,
     K39:ED39,
     LAMBDA(
       job,
       buff,
       target,
       check,
       IF(
         AND(check=TRUE, REGEXMATCH(target, ""SELF_EFFECTED_GCD""), ISNUMBER(buff), job=""占星術師"""&amp;"),
         buff,
         1
       )
     )
   )
 )"),1.0)</f>
        <v>1</v>
      </c>
      <c r="EL39" s="200">
        <f>IFERROR(__xludf.DUMMYFUNCTION("PRODUCT(
   MAP(
     K$3:ED$3,
     K$14:ED$14,
     K$13:ED$13,
     K39:ED39,
     LAMBDA(
       job,
       buff,
       target,
       check,
       IF(
         AND(check=TRUE, REGEXMATCH(target, ""SELF_EFFECTED_ALL""), ISNUMBER(buff), job=""学者""),"&amp;"
         buff,
         1
       )
     )
   )
 )"),1.0)</f>
        <v>1</v>
      </c>
      <c r="EM39" s="200">
        <f>IFERROR(__xludf.DUMMYFUNCTION("PRODUCT(
   MAP(
     K$3:ED$3,
     K$14:ED$14,
     K$13:ED$13,
     K39:ED39,
     LAMBDA(
       job,
       buff,
       target,
       check,
       IF(
         AND(check=TRUE, REGEXMATCH(target, ""SELF_EFFECTED_GCD""), ISNUMBER(buff), job=""学者""),"&amp;"
         buff,
         1
       )
     )
   )
 )"),1.0)</f>
        <v>1</v>
      </c>
      <c r="EN39" s="200">
        <f>IFERROR(__xludf.DUMMYFUNCTION("PRODUCT(
   MAP(
     K$3:ED$3,
     K$14:ED$14,
     K$13:ED$13,
     K39:ED39,
     LAMBDA(
       job,
       buff,
       target,
       check,
       IF(
         AND(check=TRUE, REGEXMATCH(target, ""SELF_EFFECTED_ALL""), ISNUMBER(buff), job=""賢者""),"&amp;"
         buff,
         1
       )
     )
   )
 )"),1.0)</f>
        <v>1</v>
      </c>
      <c r="EO39" s="200">
        <f>IFERROR(__xludf.DUMMYFUNCTION("PRODUCT(
   MAP(
     K$3:ED$3,
     K$14:ED$14,
     K$13:ED$13,
     K39:ED39,
     LAMBDA(
       job,
       buff,
       target,
       check,
       IF(
         AND(check=TRUE, REGEXMATCH(target, ""SELF_EFFECTED_GCD""), ISNUMBER(buff), job=""賢者""),"&amp;"
         buff,
         1
       )
     )
   )
 )"),1.0)</f>
        <v>1</v>
      </c>
      <c r="EP39" s="201">
        <f t="shared" si="3"/>
        <v>0</v>
      </c>
      <c r="EQ39" s="201">
        <f>IFERROR(__xludf.DUMMYFUNCTION("SUM(
   MAP(
     K$4:ED$4,
     K$3:ED$3,
     K$7:ED$7,
     K$15:ED$15,
     K$16:ED$16,
     K$21:ED$21,
     K$5:ED$5,
     K$17:ED$17,
     K39:ED39,
     LAMBDA(
       name,
       job,
       abillity,
       buff,
       barrier,
       enhance,"&amp;"
       assign,
       precondition,
       check,
       SWITCH(
         name,
         ""シェイクオフ"", IF(check=TRUE, buff + (0.02 * COUNTIF(ARRAYFORMULA((REGEXMATCH($K$4:$ED$4, ""スリル・オブ・バトル|ヴェンジェンス|原初の血気|ダムネーション"")) * (K39:ED39=TRUE)), 1)), 0),
         "&amp;"""インプロビゼーションフィニッシュ(踊りの激情0)"", IF(ISNUMBER(check), INDEX(Skill!$AJ:$AJ, MATCH(SUBSTITUTE(DV$4, 0, check), Skill!$C:$C, 0)), 0),
         IF(
           AND(check=TRUE, REGEXMATCH(assign, ""RANGE_PARTY"")),
           IF(
             OR(ARRAYFORMULA((IF(pr"&amp;"econdition="""", FALSE, REGEXMATCH($K$4:$ED$4, precondition))) * (K39:ED39=TRUE))),
             enhance,
             IF(barrier="""", buff, barrier)
           ),
           0
         )
       ) *
       SWITCH(
         job,
         ""ナイト"", EY$24,
 "&amp;"        ""戦士"", FD$24,
         ""踊り子"", ET$24,
         ""ピクトマンサー"", ET$24,
         ""白魔道士"", EF39 * EH39 * IF(abillity, 1, EG39 * EI39) * (Option!$D$22 * 0.81 / 100),
         ""占星術師"", EF39 * EJ39 * IF(abillity, 1, EG39 * EK39) * (Option!$D$23 * 0.81 "&amp;"/ 100),
         ""学者"", EF39 * EL39 * IF(abillity, 1, EG39 * EM39) * (Option!$D$24 * 0.81 / 100),
         ""賢者"", EF39 * EN39 * IF(abillity, 1, EG39 * EO39) * (Option!$D$25 * 0.81 / 100),
         1
       )
     )
   )
 )"),0.0)</f>
        <v>0</v>
      </c>
      <c r="ER39" s="202">
        <f t="shared" si="4"/>
        <v>0</v>
      </c>
      <c r="ES39" s="203">
        <f t="shared" si="5"/>
        <v>0</v>
      </c>
      <c r="ET39" s="231" t="str">
        <f>IFERROR(__xludf.DUMMYFUNCTION("IFS(
  EP39 &gt; $ET$24 + EQ39,
  SPARKLINE({ 1, 0 }, {""charttype"",""bar"";""max"", 1;""color1"",Option!$D$30;""color2"",Option!$D$30}),
  EP39 &lt; EQ39,
  SPARKLINE({EQ39 - EP39, $ET$24 - (EQ39 - EP39)}, {""charttype"",""bar"";""max"",$ET$24;""color1"",Opti"&amp;"on!$D$28;""color2"",Option!$D$29}),
  EP39 &gt;= EQ39,
  SPARKLINE({$ET$24 + EQ39 - EP39,EP39 - EQ39}, {""charttype"",""bar"";""max"",$ET$24;""color1"",Option!$D$29;""color2"",Option!$D$30})
)"),"")</f>
        <v/>
      </c>
      <c r="EU39" s="205">
        <f>IFERROR(__xludf.DUMMYFUNCTION("PRODUCT(
   MAP(
     IF($F39=""Physical"", K$10:ED$10, IF($F39=""Magic"", K$11:ED$11, K$12:ED$12)),
     IF($F39=""Physical"", K$18:ED$18, IF($F39=""Magic"", K$19:ED$19, K$20:ED$20)),
     K$3:ED$3,
     K$5:ED$5,
     K$17:ED$17,
     K39:ED39,
     LAM"&amp;"BDA(
       mitigation,
       enhance,
       job,
       assign,
       precondition,
       check,
       IF(
         OR(AND(check=TRUE, REGEXMATCH(assign, ""SELF""), job=""ナイト""), AND(check=Option!$E$13, REGEXMATCH(assign, ""SINGLE_PARTY""))),
      "&amp;"   IF(
           OR(ARRAYFORMULA((IF(precondition="""", FALSE, REGEXMATCH($K$4:$ED$4, precondition))) * (K39:ED39=TRUE))),
           enhance,
           mitigation
         ),
         1
       )
     )
   )
 ) * EE39"),1.0)</f>
        <v>1</v>
      </c>
      <c r="EV39" s="206">
        <f t="shared" si="6"/>
        <v>0</v>
      </c>
      <c r="EW39" s="205">
        <f>IFERROR(__xludf.DUMMYFUNCTION("PRODUCT(
   MAP(
     K$3:ED$3,
     K$14:ED$14,
     K$13:ED$13,
     K39:ED39,
     LAMBDA(
       job,
       buff,
       target,
       check,
       IF(
         OR(AND(check=TRUE, REGEXMATCH(target, ""SELF_AFFECTED_ALL""), job=""ナイト""), AND(check=O"&amp;"ption!$E$13, REGEXMATCH(target, ""SINGLE_AFFECTED_ALL""))),
         buff,
         1
       )
     )
   )
 )"),1.0)</f>
        <v>1</v>
      </c>
      <c r="EX39" s="206">
        <f>IFERROR(__xludf.DUMMYFUNCTION("SUM(
   MAP(
     K$3:ED$3,
     K$7:ED$7,
     K$15:ED$15,
     K$16:ED$16,
     K$21:ED$21,
     K$5:ED$5,
     K$17:ED$17,
     K39:ED39,
     LAMBDA(
       job,
       abillity,
       buff,
       barrier,
       enhance,
       assign,
       preco"&amp;"ndition,
       check,
       IF(
         OR(AND(check=TRUE, REGEXMATCH(assign, ""SELF""), job=""ナイト""), AND(check=Option!$E$13, REGEXMATCH(assign, ""SINGLE_PARTY""))),
         IF(
           OR(ARRAYFORMULA((IF(precondition="""", FALSE, REGEXMATCH($K$4"&amp;":$ED$4, precondition))) * (K39:ED39=TRUE))),
           enhance,
           IF(barrier="""", buff, barrier)
         ),
         0
       ) *
       SWITCH(
         job,
         ""暗黒騎士"", EY$24,
         ""白魔道士"", EF39 * EH39 * EW39 * IF(abillity, 1, EG"&amp;"39 * EI39) * (Option!$D$22 * 0.81 / 100),
         ""占星術師"", EF39 * EJ39 * EW39 * IF(abillity, 1, EG39 * EK39) * (Option!$D$23 * 0.81 / 100),
         ""学者"", EF39 * EL39 * EW39 * IF(abillity, 1, EG39 * EM39) * (Option!$D$24 * 0.81 / 100),
         ""賢者"""&amp;", EF39 * EN39 * EW39 * IF(abillity, 1, EG39 * EO39) * (Option!$D$25 * 0.81 / 100),
         1
       )
     )
   )
 ) + EQ39"),0.0)</f>
        <v>0</v>
      </c>
      <c r="EY39" s="232">
        <f t="shared" si="7"/>
        <v>0</v>
      </c>
      <c r="EZ39" s="205">
        <f>IFERROR(__xludf.DUMMYFUNCTION("PRODUCT(
   MAP(
     IF($F39=""Physical"", K$10:ED$10, IF($F39=""Magic"", K$11:ED$11, K$12:ED$12)),
     IF($F39=""Physical"", K$18:ED$18, IF($F39=""Magic"", K$19:ED$19, K$20:ED$20)),
     K$3:ED$3,
     K$5:ED$5,
     K$17:ED$17,
     K39:ED39,
     LAM"&amp;"BDA(
       mitigation,
       enhance,
       job,
       assign,
       precondition,
       check,
       IF(
         OR(AND(check=TRUE, REGEXMATCH(assign, ""SELF""), job=""戦士""), AND(check=Option!$F$13, REGEXMATCH(assign, ""SINGLE_PARTY""))),
       "&amp;"  IF(
           OR(ARRAYFORMULA((IF(precondition="""", FALSE, REGEXMATCH($K$4:$ED$4, precondition))) * (K39:ED39=TRUE))),
           enhance,
           mitigation
         ),
         1
       )
     )
   )
 ) * EE39"),1.0)</f>
        <v>1</v>
      </c>
      <c r="FA39" s="206">
        <f t="shared" si="8"/>
        <v>0</v>
      </c>
      <c r="FB39" s="205">
        <f>IFERROR(__xludf.DUMMYFUNCTION("PRODUCT(
   MAP(
     K$3:ED$3,
     K$14:ED$14,
     K$13:ED$13,
     K39:ED39,
     LAMBDA(
       job,
       buff,
       target,
       check,
       IF(
         OR(AND(check=TRUE, REGEXMATCH(target, ""SELF_AFFECTED_ALL""), job=""戦士""), AND(check=Op"&amp;"tion!$F$13, REGEXMATCH(target, ""SINGLE_AFFECTED_ALL""))),
         buff,
         1
       )
     )
   )
 )"),1.0)</f>
        <v>1</v>
      </c>
      <c r="FC39" s="206">
        <f>IFERROR(__xludf.DUMMYFUNCTION("SUM(
   MAP(
     K$3:ED$3,
     K$7:ED$7,
     K$15:ED$15,
     K$16:ED$16,
     K$21:ED$21,
     K$5:ED$5,
     K$17:ED$17,
     K39:ED39,
     LAMBDA(
       job,
       abillity,
       buff,
       barrier,
       enhance,
       assign,
       preco"&amp;"ndition,
       check,
       IF(
         OR(AND(check=TRUE, REGEXMATCH(assign, ""SELF""), job=""戦士""), AND(check=Option!$F$13, REGEXMATCH(assign, ""SINGLE_PARTY""))),
         IF(
           OR(ARRAYFORMULA((IF(precondition="""", FALSE, REGEXMATCH($K$4:"&amp;"$ED$4, precondition))) * (K39:ED39=TRUE))),
           enhance,
           IF(barrier="""", buff, barrier)
         ),
         0
       ) *
       SWITCH(
         job,
         ""暗黒騎士"", FD$24,
         ""白魔道士"", EF39 * EH39 * FB39 * IF(abillity, 1, EG3"&amp;"9 * EI39) * (Option!$D$22 * 0.81 / 100),
         ""占星術師"", EF39 * EJ39 * FFB39 * IF(abillity, 1, EG39 * EK39) * (Option!$D$23 * 0.81 / 100),
         ""学者"", EF39 * EL39 * FB39 * IF(abillity, 1, EG39 * EM39) * (Option!$D$24 * 0.81 / 100),
         ""賢者"""&amp;", EF39 * EN39 * FB39 * IF(abillity, 1, EG39 * EO39) * (Option!$D$25 * 0.81 / 100),
         1
       )
     )
   )
 ) + EQ39"),0.0)</f>
        <v>0</v>
      </c>
      <c r="FD39" s="206">
        <f t="shared" si="9"/>
        <v>0</v>
      </c>
      <c r="FE39" s="205">
        <f>IFERROR(__xludf.DUMMYFUNCTION("PRODUCT(
   MAP(
     IF($F39=""Physical"", K$10:ED$10, IF($F39=""Magic"", K$11:ED$11, K$12:ED$12)),
     IF($F39=""Physical"", K$18:ED$18, IF($F39=""Magic"", K$19:ED$19, K$20:ED$20)),
     K$3:ED$3,
     K$5:ED$5,
     K$17:ED$17,
     K39:ED39,
     LAM"&amp;"BDA(
       mitigation,
       enhance,
       job,
       assign,
       precondition,
       check,
       IF(
         OR(AND(check=TRUE, REGEXMATCH(assign, ""SELF""), job=""暗黒騎士""), AND(check=Option!$G$13, REGEXMATCH(assign, ""SINGLE_PARTY""))),
     "&amp;"    IF(
           OR(ARRAYFORMULA((IF(precondition="""", FALSE, REGEXMATCH($K$4:$ED$4, precondition))) * (K39:ED39=TRUE))),
           enhance,
           mitigation
         ),
         1
       )
     )
   )
 ) * EE39"),1.0)</f>
        <v>1</v>
      </c>
      <c r="FF39" s="206">
        <f t="shared" si="10"/>
        <v>0</v>
      </c>
      <c r="FG39" s="205">
        <f>IFERROR(__xludf.DUMMYFUNCTION("PRODUCT(
   MAP(
     K$3:ED$3,
     K$14:ED$14,
     K$13:ED$13,
     K39:ED39,
     LAMBDA(
       job,
       buff,
       target,
       check,
       IF(
         OR(AND(check=TRUE, REGEXMATCH(target, ""SELF_AFFECTED_ALL""), job=""暗黒騎士""), AND(check="&amp;"Option!$G$13, REGEXMATCH(target, ""SINGLE_AFFECTED_ALL""))),
         buff,
         1
       )
     )
   )
 )"),1.0)</f>
        <v>1</v>
      </c>
      <c r="FH39" s="206">
        <f>IFERROR(__xludf.DUMMYFUNCTION("SUM(
   MAP(
     K$3:ED$3,
     K$7:ED$7,
     K$15:ED$15,
     K$16:ED$16,
     K$21:ED$21,
     K$5:ED$5,
     K$17:ED$17,
     K39:ED39,
     LAMBDA(
       job,
       abillity,
       buff,
       barrier,
       enhance,
       assign,
       preco"&amp;"ndition,
       check,
       IF(
         OR(AND(check=TRUE, REGEXMATCH(assign, ""SELF""), job=""暗黒騎士""), AND(check=Option!$G$13, REGEXMATCH(assign, ""SINGLE_PARTY""))),
         IF(
           OR(ARRAYFORMULA((IF(precondition="""", FALSE, REGEXMATCH($K$"&amp;"4:$ED$4, precondition))) * (K39:ED39=TRUE))),
           enhance,
           IF(barrier="""", buff, barrier)
         ),
         0
       ) *
       SWITCH(
         job,
         ""暗黒騎士"", FI$24,
         ""白魔道士"", EF39 * EH39 * FG39 * IF(abillity, 1, E"&amp;"G39 * EI39) * (Option!$D$22 * 0.81 / 100),
         ""占星術師"", EF39 * EJ39 * FG39 * IF(abillity, 1, EG39 * EK39) * (Option!$D$23 * 0.81 / 100),
         ""学者"", EF39 * EL39 * FG39 * IF(abillity, 1, EG39 * EM39) * (Option!$D$24 * 0.81 / 100),
         ""賢者"&amp;""", EF39 * EN39 * FG39 * IF(abillity, 1, EG39 * EO39) * (Option!$D$25 * 0.81 / 100),
         1
       )
     )
   )
 ) + EQ39"),0.0)</f>
        <v>0</v>
      </c>
      <c r="FI39" s="206">
        <f t="shared" si="11"/>
        <v>0</v>
      </c>
      <c r="FJ39" s="205">
        <f>IFERROR(__xludf.DUMMYFUNCTION("PRODUCT(
   MAP(
     IF($F39=""Physical"", K$10:ED$10, IF($F39=""Magic"", K$11:ED$11, K$12:ED$12)),
     IF($F39=""Physical"", K$18:ED$18, IF($F39=""Magic"", K$19:ED$19, K$20:ED$20)),
     K$3:ED$3,
     K$5:ED$5,
     K$17:ED$17,
     K39:ED39,
     LAM"&amp;"BDA(
       mitigation,
       enhance,
       job,
       assign,
       precondition,
       check,
       IF(
         OR(AND(check=TRUE, REGEXMATCH(assign, ""SELF""), job=""ガンブレイカー""), AND(check=Option!$H$13, REGEXMATCH(assign, ""SINGLE_PARTY""))),
  "&amp;"       IF(
           OR(ARRAYFORMULA((IF(precondition="""", FALSE, REGEXMATCH($K$4:$ED$4, precondition))) * (K39:ED39=TRUE))),
           enhance,
           mitigation
         ),
         1
       )
     )
   )
 ) * EE39"),1.0)</f>
        <v>1</v>
      </c>
      <c r="FK39" s="206">
        <f t="shared" si="12"/>
        <v>0</v>
      </c>
      <c r="FL39" s="205">
        <f>IFERROR(__xludf.DUMMYFUNCTION("PRODUCT(
   MAP(
     K$3:ED$3,
     K$14:ED$14,
     K$13:ED$13,
     K39:ED39,
     LAMBDA(
       job,
       buff,
       target,
       check,
       IF(
         OR(AND(check=TRUE, REGEXMATCH(target, ""SELF_AFFECTED_ALL""), job=""ガンブレイカー""), AND(che"&amp;"ck=Option!$H$13, REGEXMATCH(target, ""SINGLE_AFFECTED_ALL""))),
         buff,
         1
       )
     )
   )
 )"),1.0)</f>
        <v>1</v>
      </c>
      <c r="FM39" s="206">
        <f>IFERROR(__xludf.DUMMYFUNCTION("SUM(
   MAP(
     K$3:ED$3,
     K$7:ED$7,
     K$15:ED$15,
     K$16:ED$16,
     K$21:ED$21,
     K$5:ED$5,
     K$17:ED$17,
     K39:ED39,
     LAMBDA(
       job,
       abillity,
       buff,
       barrier,
       enhance,
       assign,
       preco"&amp;"ndition,
       check,
       IF(
         OR(AND(check=TRUE, REGEXMATCH(assign, ""SELF""), job=""ガンブレイカー""), AND(check=Option!$H$13, REGEXMATCH(assign, ""SINGLE_PARTY""))),
         IF(
           OR(ARRAYFORMULA((IF(precondition="""", FALSE, REGEXMATCH("&amp;"$K$4:$ED$4, precondition))) * (K39:ED39=TRUE))),
           enhance,
           IF(barrier="""", buff, barrier)
         ),
         0
       ) *
       SWITCH(
         job,
         ""暗黒騎士"", FN$24,
         ""白魔道士"", EF39 * EH39 * FL39 * IF(abillity, 1"&amp;", EG39 * EI39) * (Option!$D$22 * 0.81 / 100),
         ""占星術師"", EF39 * EJ39 * FL39 * IF(abillity, 1, EG39 * EK39) * (Option!$D$23 * 0.81 / 100),
         ""学者"", EF39 * EL39 * FL39 * IF(abillity, 1, EG39 * EM39) * (Option!$D$24 * 0.81 / 100),
         """&amp;"賢者"", EF39 * EN39 * FL39 * IF(abillity, 1, EG39 * EO39) * (Option!$D$25 * 0.81 / 100),
         1
       )
     )
   )
 ) + EQ39"),0.0)</f>
        <v>0</v>
      </c>
      <c r="FN39" s="206">
        <f t="shared" si="13"/>
        <v>0</v>
      </c>
      <c r="FO39" s="213"/>
    </row>
    <row r="40">
      <c r="B40" s="229"/>
      <c r="C40" s="217">
        <f t="shared" si="1"/>
        <v>0.00380787037</v>
      </c>
      <c r="D40" s="236"/>
      <c r="E40" s="238"/>
      <c r="F40" s="167"/>
      <c r="G40" s="168" t="str">
        <f t="shared" si="2"/>
        <v/>
      </c>
      <c r="H40" s="169"/>
      <c r="I40" s="169"/>
      <c r="J40" s="169"/>
      <c r="K40" s="170" t="b">
        <v>0</v>
      </c>
      <c r="L40" s="170" t="b">
        <v>0</v>
      </c>
      <c r="M40" s="170" t="b">
        <v>0</v>
      </c>
      <c r="N40" s="171" t="s">
        <v>1070</v>
      </c>
      <c r="O40" s="172" t="b">
        <v>0</v>
      </c>
      <c r="P40" s="173" t="b">
        <v>0</v>
      </c>
      <c r="Q40" s="173" t="b">
        <v>0</v>
      </c>
      <c r="R40" s="173" t="b">
        <v>0</v>
      </c>
      <c r="S40" s="174" t="b">
        <v>0</v>
      </c>
      <c r="T40" s="175" t="b">
        <v>0</v>
      </c>
      <c r="U40" s="173" t="b">
        <v>0</v>
      </c>
      <c r="V40" s="171" t="s">
        <v>1070</v>
      </c>
      <c r="W40" s="172" t="b">
        <v>0</v>
      </c>
      <c r="X40" s="173" t="b">
        <v>0</v>
      </c>
      <c r="Y40" s="173" t="b">
        <v>0</v>
      </c>
      <c r="Z40" s="173" t="b">
        <v>0</v>
      </c>
      <c r="AA40" s="174" t="b">
        <v>0</v>
      </c>
      <c r="AB40" s="174" t="b">
        <v>0</v>
      </c>
      <c r="AC40" s="175" t="b">
        <v>0</v>
      </c>
      <c r="AD40" s="173" t="b">
        <v>0</v>
      </c>
      <c r="AE40" s="176" t="s">
        <v>1070</v>
      </c>
      <c r="AF40" s="171" t="s">
        <v>1070</v>
      </c>
      <c r="AG40" s="177">
        <f>IFERROR(__xludf.DUMMYFUNCTION("IF(
  ISNUMBER(AG39),
  MIN(MAX(
    AG39
    + MAX(
      ROUNDDOWN(($D40 - MAX(IFERROR(FILTER($D$24:$D39, AG$24:AG39 &lt;&gt; AF$6, AG$23:AG38 = AF$6), 0))) * (60 * 60 * 24) / AF$9) - ROUNDDOWN(($D39 - MAX(IFERROR(FILTER($D$23:$D38, AG$23:AG38 &lt;&gt; AF$6, AG$22:"&amp;"AG37 = AF$6), 0))) * (60 * 60 * 24) / 60),
      0
    )
    - COUNTIF(AF40, ""&lt;&gt;-""),
  0), AF$6),
  AF$6 - COUNTIF(AF40, ""&lt;&gt;-"")
)"),2.0)</f>
        <v>2</v>
      </c>
      <c r="AH40" s="173" t="b">
        <v>0</v>
      </c>
      <c r="AI40" s="173" t="b">
        <v>0</v>
      </c>
      <c r="AJ40" s="173" t="b">
        <v>0</v>
      </c>
      <c r="AK40" s="174" t="b">
        <v>0</v>
      </c>
      <c r="AL40" s="175" t="b">
        <v>0</v>
      </c>
      <c r="AM40" s="173" t="b">
        <v>0</v>
      </c>
      <c r="AN40" s="171" t="s">
        <v>1070</v>
      </c>
      <c r="AO40" s="173" t="b">
        <v>0</v>
      </c>
      <c r="AP40" s="173" t="b">
        <v>0</v>
      </c>
      <c r="AQ40" s="173" t="b">
        <v>0</v>
      </c>
      <c r="AR40" s="174" t="b">
        <v>0</v>
      </c>
      <c r="AS40" s="178" t="b">
        <v>0</v>
      </c>
      <c r="AT40" s="179" t="b">
        <v>0</v>
      </c>
      <c r="AU40" s="180" t="b">
        <v>0</v>
      </c>
      <c r="AV40" s="180" t="b">
        <v>0</v>
      </c>
      <c r="AW40" s="180" t="b">
        <v>0</v>
      </c>
      <c r="AX40" s="180" t="b">
        <v>0</v>
      </c>
      <c r="AY40" s="181" t="s">
        <v>1070</v>
      </c>
      <c r="AZ40" s="181" t="s">
        <v>1070</v>
      </c>
      <c r="BA40" s="184">
        <f>IFERROR(__xludf.DUMMYFUNCTION("IF(
  ISNUMBER(BA39),
  MIN(MAX(
    BA39
    + MAX(
      ROUNDDOWN((D40 - MAX(IFERROR(FILTER(D$24:D39, BA$24:BA39 &lt;&gt; AZ$6, BA$23:BA38 = AZ$6), 0))) * (60 * 60 * 24) / AZ$9) - ROUNDDOWN((D39 - MAX(IFERROR(FILTER(D$23:D38, BA$23:BA38 &lt;&gt; AZ$6, BA$22:BA37 ="&amp;" AZ$6), 0))) * (60 * 60 * 24) / AZ$9),
      0
    )
    - COUNTIF(AZ40, ""&lt;&gt;-""),
  0), AZ$6),
  AZ$6 - COUNTIF(AZ40, ""&lt;&gt;-"")
)"),2.0)</f>
        <v>2</v>
      </c>
      <c r="BB40" s="181" t="s">
        <v>1070</v>
      </c>
      <c r="BC40" s="183">
        <f>IFERROR(__xludf.DUMMYFUNCTION("IF(
  ISNUMBER(BC39),
  MIN(MAX(
    BC39
    + MAX(
      ROUNDDOWN(($D40 - MAX(IFERROR(FILTER($D$24:$D39, BC$24:BC39 &lt;&gt; BB$6, BC$23:BC38 = BB$6), 0))) * (60 * 60 * 24) / BB$9) - ROUNDDOWN(($D39 - MAX(IFERROR(FILTER($D$23:$D38, BC$23:BC38 &lt;&gt; BB$6, BC$22:"&amp;"BC37 = BB$6), 0))) * (60 * 60 * 24) / 60),
      0
    )
    - COUNTIF(BB40, ""&lt;&gt;-""),
  0), BB$6),
  BB$6 - COUNTIF(BB40, ""&lt;&gt;-"")
)"),2.0)</f>
        <v>2</v>
      </c>
      <c r="BD40" s="181" t="s">
        <v>1070</v>
      </c>
      <c r="BE40" s="178" t="b">
        <v>0</v>
      </c>
      <c r="BF40" s="180" t="b">
        <v>0</v>
      </c>
      <c r="BG40" s="180" t="b">
        <v>0</v>
      </c>
      <c r="BH40" s="180" t="b">
        <v>0</v>
      </c>
      <c r="BI40" s="180" t="b">
        <v>0</v>
      </c>
      <c r="BJ40" s="180" t="b">
        <v>0</v>
      </c>
      <c r="BK40" s="180" t="b">
        <v>0</v>
      </c>
      <c r="BL40" s="180" t="b">
        <v>0</v>
      </c>
      <c r="BM40" s="180" t="b">
        <v>0</v>
      </c>
      <c r="BN40" s="180" t="b">
        <v>0</v>
      </c>
      <c r="BO40" s="181" t="s">
        <v>1070</v>
      </c>
      <c r="BP40" s="181" t="s">
        <v>1070</v>
      </c>
      <c r="BQ40" s="181" t="s">
        <v>1070</v>
      </c>
      <c r="BR40" s="181" t="s">
        <v>1070</v>
      </c>
      <c r="BS40" s="181" t="s">
        <v>1070</v>
      </c>
      <c r="BT40" s="184">
        <f>IFERROR(__xludf.DUMMYFUNCTION("IF(
  ISNUMBER(BT39),
  MIN(MAX(
    BT39
    + MAX(
      ROUNDDOWN((D40 - MAX(IFERROR(FILTER(D$24:D39, BT$24:BT39 &lt;&gt; BS$6, BT$23:BT38 = BS$6), 0))) * (60 * 60 * 24) / BS$9) - ROUNDDOWN((D39 - MAX(IFERROR(FILTER(D$23:D38, BT$23:BT38 &lt;&gt; BS$6, BT$22:BT37 ="&amp;" BS$6), 0))) * (60 * 60 * 24) / BS$9),
      0
    )
    - COUNTIF(BS40, ""&lt;&gt;-""),
  0), BS$6),
  BS$6 - COUNTIF(BS40, ""&lt;&gt;-"")
)"),3.0)</f>
        <v>3</v>
      </c>
      <c r="BU40" s="181" t="s">
        <v>1070</v>
      </c>
      <c r="BV40" s="181" t="s">
        <v>1070</v>
      </c>
      <c r="BW40" s="184">
        <f>IFERROR(__xludf.DUMMYFUNCTION("IF(
  ISNUMBER(BW39),
  MIN(MAX(
    BW39
    + MAX(
      ROUNDDOWN((D40 - MAX(IFERROR(FILTER(D$24:D39, BW$24:BW39 &lt;&gt; BV$6, BW$23:BW38 = BV$6), 0))) * (60 * 60 * 24) / BV$9) - ROUNDDOWN((D39 - MAX(IFERROR(FILTER(D$23:D38, BW$23:BW38 &lt;&gt; BV$6, BW$22:BW37 ="&amp;" BV$6), 0))) * (60 * 60 * 24) / BV$9),
      0
    )
    - COUNTIF(BV40, ""&lt;&gt;-""),
  0), BV$6),
  BV$6 - COUNTIF(BV40, ""&lt;&gt;-"")
)"),2.0)</f>
        <v>2</v>
      </c>
      <c r="BX40" s="185" t="s">
        <v>1070</v>
      </c>
      <c r="BY40" s="178" t="b">
        <v>0</v>
      </c>
      <c r="BZ40" s="180" t="b">
        <v>0</v>
      </c>
      <c r="CA40" s="180" t="b">
        <v>0</v>
      </c>
      <c r="CB40" s="180" t="b">
        <v>0</v>
      </c>
      <c r="CC40" s="180" t="b">
        <v>0</v>
      </c>
      <c r="CD40" s="180" t="b">
        <v>0</v>
      </c>
      <c r="CE40" s="180" t="b">
        <v>0</v>
      </c>
      <c r="CF40" s="180" t="b">
        <v>0</v>
      </c>
      <c r="CG40" s="180" t="b">
        <v>0</v>
      </c>
      <c r="CH40" s="180" t="b">
        <v>0</v>
      </c>
      <c r="CI40" s="180" t="b">
        <v>0</v>
      </c>
      <c r="CJ40" s="180" t="b">
        <v>0</v>
      </c>
      <c r="CK40" s="180" t="b">
        <v>0</v>
      </c>
      <c r="CL40" s="180" t="b">
        <v>0</v>
      </c>
      <c r="CM40" s="181" t="s">
        <v>1070</v>
      </c>
      <c r="CN40" s="181" t="s">
        <v>1070</v>
      </c>
      <c r="CO40" s="181" t="s">
        <v>1070</v>
      </c>
      <c r="CP40" s="181" t="s">
        <v>1070</v>
      </c>
      <c r="CQ40" s="185" t="s">
        <v>1070</v>
      </c>
      <c r="CR40" s="180" t="b">
        <v>0</v>
      </c>
      <c r="CS40" s="186" t="str">
        <f t="shared" si="14"/>
        <v>◇◇◇</v>
      </c>
      <c r="CT40" s="178" t="b">
        <v>0</v>
      </c>
      <c r="CU40" s="180" t="b">
        <v>0</v>
      </c>
      <c r="CV40" s="180" t="b">
        <v>0</v>
      </c>
      <c r="CW40" s="180" t="b">
        <v>0</v>
      </c>
      <c r="CX40" s="180" t="b">
        <v>0</v>
      </c>
      <c r="CY40" s="180" t="b">
        <v>0</v>
      </c>
      <c r="CZ40" s="180" t="b">
        <v>0</v>
      </c>
      <c r="DA40" s="180" t="b">
        <v>0</v>
      </c>
      <c r="DB40" s="180" t="b">
        <v>0</v>
      </c>
      <c r="DC40" s="180" t="b">
        <v>0</v>
      </c>
      <c r="DD40" s="181" t="s">
        <v>1070</v>
      </c>
      <c r="DE40" s="181" t="s">
        <v>1070</v>
      </c>
      <c r="DF40" s="181" t="s">
        <v>1070</v>
      </c>
      <c r="DG40" s="185" t="s">
        <v>1070</v>
      </c>
      <c r="DH40" s="180" t="b">
        <v>0</v>
      </c>
      <c r="DI40" s="187" t="str">
        <f>IFERROR(__xludf.DUMMYFUNCTION("SWITCH(
  IF(
    ISTEXT(DI39),
    IF (
      FIND(""○"", DI39&amp;""○"") &gt; 3,
      3,
      FIND(""○"", DI39&amp;""○"")
      + MAX(
        ROUNDDOWN(($D40 - MAX(IFERROR(FILTER(D$24:D39, DI$24:DI39 &lt;&gt; ""●●●"", DI$23:DI38 = ""●●●""), 0))) * (60 * 60 * 24) / 20"&amp;") - ROUNDDOWN(($D39 - MAX(IFERROR(FILTER(D$23:D38, DI$23:DI38 &lt;&gt; ""●●●"", DI$22:DI37 = ""●●●""), 0))) * (60 * 60 * 24) / 20),
        0
      ) - 1
    ) - COUNTIFS(CU40, ""=TRUE"", CU39, ""&lt;&gt;TRUE"") - COUNTIF(CZ40, ""=TRUE"") - COUNTIF({DD40,DE40}, ""&lt;&gt;-"&amp;""") + COUNTIF(DH40, ""=TRUE""),
    3
  ),
  0, ""○○○"", 1, ""●○○"", 2, ""●●○"", 3, ""●●●"", 4, ""●●●"", ""○○○""
)"),"●●●")</f>
        <v>●●●</v>
      </c>
      <c r="DJ40" s="188" t="b">
        <v>0</v>
      </c>
      <c r="DK40" s="189" t="b">
        <v>0</v>
      </c>
      <c r="DL40" s="190" t="b">
        <v>0</v>
      </c>
      <c r="DM40" s="190" t="b">
        <v>0</v>
      </c>
      <c r="DN40" s="190" t="b">
        <v>0</v>
      </c>
      <c r="DO40" s="190" t="b">
        <v>0</v>
      </c>
      <c r="DP40" s="190" t="b">
        <v>0</v>
      </c>
      <c r="DQ40" s="191" t="b">
        <v>0</v>
      </c>
      <c r="DR40" s="192" t="b">
        <v>0</v>
      </c>
      <c r="DS40" s="191" t="b">
        <v>0</v>
      </c>
      <c r="DT40" s="192" t="b">
        <v>0</v>
      </c>
      <c r="DU40" s="191" t="b">
        <v>0</v>
      </c>
      <c r="DV40" s="193" t="s">
        <v>1070</v>
      </c>
      <c r="DW40" s="194" t="b">
        <v>0</v>
      </c>
      <c r="DX40" s="194" t="b">
        <v>0</v>
      </c>
      <c r="DY40" s="195" t="b">
        <v>0</v>
      </c>
      <c r="DZ40" s="196" t="b">
        <v>0</v>
      </c>
      <c r="EA40" s="195" t="b">
        <v>0</v>
      </c>
      <c r="EB40" s="197" t="b">
        <v>0</v>
      </c>
      <c r="EC40" s="197" t="b">
        <v>0</v>
      </c>
      <c r="ED40" s="212" t="b">
        <v>0</v>
      </c>
      <c r="EE40" s="199">
        <f>IFERROR(__xludf.DUMMYFUNCTION("IFERROR(
   PRODUCT(
     MAP(
       INDEX(TRANSPOSE(UNIQUE(TRANSPOSE(FILTER({IF($F40=""Physical"", K$10:ED$10, IF($F40=""Magic"", K$11:ED$11, K$12:ED$12));K$4:ED$4;K40:ED40}, K40:ED40=TRUE)))), 1, 0),
       INDEX(TRANSPOSE(UNIQUE(TRANSPOSE(FILTER({IF($"&amp;"F40=""Physical"", K$18:ED$18, IF($F40=""Magic"", K$19:ED$19, K$20:ED$20));K$4:ED$4;K40:ED40}, K40:ED40=TRUE)))), 1, 0),
       INDEX(TRANSPOSE(UNIQUE(TRANSPOSE(FILTER({K$5:ED$5;K$4:ED$4;K40:ED40}, K40:ED40=TRUE)))), 1, 0),
       INDEX(TRANSPOSE(UNIQUE(TR"&amp;"ANSPOSE(FILTER({K$17:ED$17;K$4:ED$4;K40:ED40}, K40:ED40=TRUE)))), 1, 0),
       LAMBDA(
         mitigation,
         enhance,
         assign,
         precondition,
         IF(
           REGEXMATCH(assign, ""RANGE_PARTY|SINGLE_ENEMY|RANGE_ENEMY""),
  "&amp;"         IF(
             OR(ARRAYFORMULA((IF(precondition="""", FALSE, REGEXMATCH(K$4:ED$4, precondition))) * (K40:ED40=TRUE))),
             IF(ISNUMBER(enhance), enhance, 1),
             IF(ISNUMBER(mitigation), mitigation, 1)
           ),
          "&amp;" 1
         )
       )
     )
   ),
   1
 )"),1.0)</f>
        <v>1</v>
      </c>
      <c r="EF40" s="200">
        <f>IFERROR(__xludf.DUMMYFUNCTION("PRODUCT(
   MAP(
     K$14:ED$14,
     K$13:ED$13,
     K40:ED40,
     LAMBDA(
       buff,
       target,
       check,
       IF(
         AND(check=TRUE, REGEXMATCH(target, ""RANGE_AFFECTED_ALL|RANGE_EFFECTED_ALL""), ISNUMBER(buff)),
         buff,
   "&amp;"      1
       )
     )
   )
 )"),1.0)</f>
        <v>1</v>
      </c>
      <c r="EG40" s="200">
        <f>IFERROR(__xludf.DUMMYFUNCTION("PRODUCT(
   MAP(
     K$14:ED$14,
     K$13:ED$13,
     K40:ED40,
     LAMBDA(
       buff,
       target,
       check,
       IF(
         AND(check=TRUE, REGEXMATCH(target, ""RANGE_AFFECTED_GCD|RANGE_EFFECTED_GCD""), ISNUMBER(buff)),
         buff,
   "&amp;"      1
       )
     )
   )
 )"),1.0)</f>
        <v>1</v>
      </c>
      <c r="EH40" s="200">
        <f>IFERROR(__xludf.DUMMYFUNCTION("PRODUCT(
   MAP(
     K$3:ED$3,
     K$14:ED$14,
     K$13:ED$13,
     K40:ED40,
     LAMBDA(
       job,
       buff,
       target,
       check,
       IF(
         AND(check=TRUE, REGEXMATCH(target, ""SELF_EFFECTED_ALL""), ISNUMBER(buff), job=""白魔道士"""&amp;"),
         buff,
         1
       )
     )
   )
 )"),1.0)</f>
        <v>1</v>
      </c>
      <c r="EI40" s="200">
        <f>IFERROR(__xludf.DUMMYFUNCTION("PRODUCT(
   MAP(
     K$3:ED$3,
     K$14:ED$14,
     K$13:ED$13,
     K40:ED40,
     LAMBDA(
       job,
       buff,
       target,
       check,
       IF(
         AND(check=TRUE, REGEXMATCH(target, ""SELF_EFFECTED_GCD""), ISNUMBER(buff), job=""白魔道士"""&amp;"),
         buff,
         1
       )
     )
   )
 )"),1.0)</f>
        <v>1</v>
      </c>
      <c r="EJ40" s="200">
        <f>IFERROR(__xludf.DUMMYFUNCTION("PRODUCT(
   MAP(
     K$3:ED$3,
     K$14:ED$14,
     K$13:ED$13,
     K40:ED40,
     LAMBDA(
       job,
       buff,
       target,
       check,
       IF(
         AND(check=TRUE, REGEXMATCH(target, ""SELF_EFFECTED_ALL""), ISNUMBER(buff), job=""占星術師"""&amp;"),
         buff,
         1
       )
     )
   )
 )"),1.0)</f>
        <v>1</v>
      </c>
      <c r="EK40" s="200">
        <f>IFERROR(__xludf.DUMMYFUNCTION("PRODUCT(
   MAP(
     K$3:ED$3,
     K$14:ED$14,
     K$13:ED$13,
     K40:ED40,
     LAMBDA(
       job,
       buff,
       target,
       check,
       IF(
         AND(check=TRUE, REGEXMATCH(target, ""SELF_EFFECTED_GCD""), ISNUMBER(buff), job=""占星術師"""&amp;"),
         buff,
         1
       )
     )
   )
 )"),1.0)</f>
        <v>1</v>
      </c>
      <c r="EL40" s="200">
        <f>IFERROR(__xludf.DUMMYFUNCTION("PRODUCT(
   MAP(
     K$3:ED$3,
     K$14:ED$14,
     K$13:ED$13,
     K40:ED40,
     LAMBDA(
       job,
       buff,
       target,
       check,
       IF(
         AND(check=TRUE, REGEXMATCH(target, ""SELF_EFFECTED_ALL""), ISNUMBER(buff), job=""学者""),"&amp;"
         buff,
         1
       )
     )
   )
 )"),1.0)</f>
        <v>1</v>
      </c>
      <c r="EM40" s="200">
        <f>IFERROR(__xludf.DUMMYFUNCTION("PRODUCT(
   MAP(
     K$3:ED$3,
     K$14:ED$14,
     K$13:ED$13,
     K40:ED40,
     LAMBDA(
       job,
       buff,
       target,
       check,
       IF(
         AND(check=TRUE, REGEXMATCH(target, ""SELF_EFFECTED_GCD""), ISNUMBER(buff), job=""学者""),"&amp;"
         buff,
         1
       )
     )
   )
 )"),1.0)</f>
        <v>1</v>
      </c>
      <c r="EN40" s="200">
        <f>IFERROR(__xludf.DUMMYFUNCTION("PRODUCT(
   MAP(
     K$3:ED$3,
     K$14:ED$14,
     K$13:ED$13,
     K40:ED40,
     LAMBDA(
       job,
       buff,
       target,
       check,
       IF(
         AND(check=TRUE, REGEXMATCH(target, ""SELF_EFFECTED_ALL""), ISNUMBER(buff), job=""賢者""),"&amp;"
         buff,
         1
       )
     )
   )
 )"),1.0)</f>
        <v>1</v>
      </c>
      <c r="EO40" s="200">
        <f>IFERROR(__xludf.DUMMYFUNCTION("PRODUCT(
   MAP(
     K$3:ED$3,
     K$14:ED$14,
     K$13:ED$13,
     K40:ED40,
     LAMBDA(
       job,
       buff,
       target,
       check,
       IF(
         AND(check=TRUE, REGEXMATCH(target, ""SELF_EFFECTED_GCD""), ISNUMBER(buff), job=""賢者""),"&amp;"
         buff,
         1
       )
     )
   )
 )"),1.0)</f>
        <v>1</v>
      </c>
      <c r="EP40" s="201">
        <f t="shared" si="3"/>
        <v>0</v>
      </c>
      <c r="EQ40" s="201">
        <f>IFERROR(__xludf.DUMMYFUNCTION("SUM(
   MAP(
     K$4:ED$4,
     K$3:ED$3,
     K$7:ED$7,
     K$15:ED$15,
     K$16:ED$16,
     K$21:ED$21,
     K$5:ED$5,
     K$17:ED$17,
     K40:ED40,
     LAMBDA(
       name,
       job,
       abillity,
       buff,
       barrier,
       enhance,"&amp;"
       assign,
       precondition,
       check,
       SWITCH(
         name,
         ""シェイクオフ"", IF(check=TRUE, buff + (0.02 * COUNTIF(ARRAYFORMULA((REGEXMATCH($K$4:$ED$4, ""スリル・オブ・バトル|ヴェンジェンス|原初の血気|ダムネーション"")) * (K40:ED40=TRUE)), 1)), 0),
         "&amp;"""インプロビゼーションフィニッシュ(踊りの激情0)"", IF(ISNUMBER(check), INDEX(Skill!$AJ:$AJ, MATCH(SUBSTITUTE(DV$4, 0, check), Skill!$C:$C, 0)), 0),
         IF(
           AND(check=TRUE, REGEXMATCH(assign, ""RANGE_PARTY"")),
           IF(
             OR(ARRAYFORMULA((IF(pr"&amp;"econdition="""", FALSE, REGEXMATCH($K$4:$ED$4, precondition))) * (K40:ED40=TRUE))),
             enhance,
             IF(barrier="""", buff, barrier)
           ),
           0
         )
       ) *
       SWITCH(
         job,
         ""ナイト"", EY$24,
 "&amp;"        ""戦士"", FD$24,
         ""踊り子"", ET$24,
         ""ピクトマンサー"", ET$24,
         ""白魔道士"", EF40 * EH40 * IF(abillity, 1, EG40 * EI40) * (Option!$D$22 * 0.81 / 100),
         ""占星術師"", EF40 * EJ40 * IF(abillity, 1, EG40 * EK40) * (Option!$D$23 * 0.81 "&amp;"/ 100),
         ""学者"", EF40 * EL40 * IF(abillity, 1, EG40 * EM40) * (Option!$D$24 * 0.81 / 100),
         ""賢者"", EF40 * EN40 * IF(abillity, 1, EG40 * EO40) * (Option!$D$25 * 0.81 / 100),
         1
       )
     )
   )
 )"),0.0)</f>
        <v>0</v>
      </c>
      <c r="ER40" s="202">
        <f t="shared" si="4"/>
        <v>0</v>
      </c>
      <c r="ES40" s="203">
        <f t="shared" si="5"/>
        <v>0</v>
      </c>
      <c r="ET40" s="231" t="str">
        <f>IFERROR(__xludf.DUMMYFUNCTION("IFS(
  EP40 &gt; $ET$24 + EQ40,
  SPARKLINE({ 1, 0 }, {""charttype"",""bar"";""max"", 1;""color1"",Option!$D$30;""color2"",Option!$D$30}),
  EP40 &lt; EQ40,
  SPARKLINE({EQ40 - EP40, $ET$24 - (EQ40 - EP40)}, {""charttype"",""bar"";""max"",$ET$24;""color1"",Opti"&amp;"on!$D$28;""color2"",Option!$D$29}),
  EP40 &gt;= EQ40,
  SPARKLINE({$ET$24 + EQ40 - EP40,EP40 - EQ40}, {""charttype"",""bar"";""max"",$ET$24;""color1"",Option!$D$29;""color2"",Option!$D$30})
)"),"")</f>
        <v/>
      </c>
      <c r="EU40" s="205">
        <f>IFERROR(__xludf.DUMMYFUNCTION("PRODUCT(
   MAP(
     IF($F40=""Physical"", K$10:ED$10, IF($F40=""Magic"", K$11:ED$11, K$12:ED$12)),
     IF($F40=""Physical"", K$18:ED$18, IF($F40=""Magic"", K$19:ED$19, K$20:ED$20)),
     K$3:ED$3,
     K$5:ED$5,
     K$17:ED$17,
     K40:ED40,
     LAM"&amp;"BDA(
       mitigation,
       enhance,
       job,
       assign,
       precondition,
       check,
       IF(
         OR(AND(check=TRUE, REGEXMATCH(assign, ""SELF""), job=""ナイト""), AND(check=Option!$E$13, REGEXMATCH(assign, ""SINGLE_PARTY""))),
      "&amp;"   IF(
           OR(ARRAYFORMULA((IF(precondition="""", FALSE, REGEXMATCH($K$4:$ED$4, precondition))) * (K40:ED40=TRUE))),
           enhance,
           mitigation
         ),
         1
       )
     )
   )
 ) * EE40"),1.0)</f>
        <v>1</v>
      </c>
      <c r="EV40" s="206">
        <f t="shared" si="6"/>
        <v>0</v>
      </c>
      <c r="EW40" s="205">
        <f>IFERROR(__xludf.DUMMYFUNCTION("PRODUCT(
   MAP(
     K$3:ED$3,
     K$14:ED$14,
     K$13:ED$13,
     K40:ED40,
     LAMBDA(
       job,
       buff,
       target,
       check,
       IF(
         OR(AND(check=TRUE, REGEXMATCH(target, ""SELF_AFFECTED_ALL""), job=""ナイト""), AND(check=O"&amp;"ption!$E$13, REGEXMATCH(target, ""SINGLE_AFFECTED_ALL""))),
         buff,
         1
       )
     )
   )
 )"),1.0)</f>
        <v>1</v>
      </c>
      <c r="EX40" s="206">
        <f>IFERROR(__xludf.DUMMYFUNCTION("SUM(
   MAP(
     K$3:ED$3,
     K$7:ED$7,
     K$15:ED$15,
     K$16:ED$16,
     K$21:ED$21,
     K$5:ED$5,
     K$17:ED$17,
     K40:ED40,
     LAMBDA(
       job,
       abillity,
       buff,
       barrier,
       enhance,
       assign,
       preco"&amp;"ndition,
       check,
       IF(
         OR(AND(check=TRUE, REGEXMATCH(assign, ""SELF""), job=""ナイト""), AND(check=Option!$E$13, REGEXMATCH(assign, ""SINGLE_PARTY""))),
         IF(
           OR(ARRAYFORMULA((IF(precondition="""", FALSE, REGEXMATCH($K$4"&amp;":$ED$4, precondition))) * (K40:ED40=TRUE))),
           enhance,
           IF(barrier="""", buff, barrier)
         ),
         0
       ) *
       SWITCH(
         job,
         ""暗黒騎士"", EY$24,
         ""白魔道士"", EF40 * EH40 * EW40 * IF(abillity, 1, EG"&amp;"40 * EI40) * (Option!$D$22 * 0.81 / 100),
         ""占星術師"", EF40 * EJ40 * EW40 * IF(abillity, 1, EG40 * EK40) * (Option!$D$23 * 0.81 / 100),
         ""学者"", EF40 * EL40 * EW40 * IF(abillity, 1, EG40 * EM40) * (Option!$D$24 * 0.81 / 100),
         ""賢者"""&amp;", EF40 * EN40 * EW40 * IF(abillity, 1, EG40 * EO40) * (Option!$D$25 * 0.81 / 100),
         1
       )
     )
   )
 ) + EQ40"),0.0)</f>
        <v>0</v>
      </c>
      <c r="EY40" s="232">
        <f t="shared" si="7"/>
        <v>0</v>
      </c>
      <c r="EZ40" s="205">
        <f>IFERROR(__xludf.DUMMYFUNCTION("PRODUCT(
   MAP(
     IF($F40=""Physical"", K$10:ED$10, IF($F40=""Magic"", K$11:ED$11, K$12:ED$12)),
     IF($F40=""Physical"", K$18:ED$18, IF($F40=""Magic"", K$19:ED$19, K$20:ED$20)),
     K$3:ED$3,
     K$5:ED$5,
     K$17:ED$17,
     K40:ED40,
     LAM"&amp;"BDA(
       mitigation,
       enhance,
       job,
       assign,
       precondition,
       check,
       IF(
         OR(AND(check=TRUE, REGEXMATCH(assign, ""SELF""), job=""戦士""), AND(check=Option!$F$13, REGEXMATCH(assign, ""SINGLE_PARTY""))),
       "&amp;"  IF(
           OR(ARRAYFORMULA((IF(precondition="""", FALSE, REGEXMATCH($K$4:$ED$4, precondition))) * (K40:ED40=TRUE))),
           enhance,
           mitigation
         ),
         1
       )
     )
   )
 ) * EE40"),1.0)</f>
        <v>1</v>
      </c>
      <c r="FA40" s="206">
        <f t="shared" si="8"/>
        <v>0</v>
      </c>
      <c r="FB40" s="205">
        <f>IFERROR(__xludf.DUMMYFUNCTION("PRODUCT(
   MAP(
     K$3:ED$3,
     K$14:ED$14,
     K$13:ED$13,
     K40:ED40,
     LAMBDA(
       job,
       buff,
       target,
       check,
       IF(
         OR(AND(check=TRUE, REGEXMATCH(target, ""SELF_AFFECTED_ALL""), job=""戦士""), AND(check=Op"&amp;"tion!$F$13, REGEXMATCH(target, ""SINGLE_AFFECTED_ALL""))),
         buff,
         1
       )
     )
   )
 )"),1.0)</f>
        <v>1</v>
      </c>
      <c r="FC40" s="206">
        <f>IFERROR(__xludf.DUMMYFUNCTION("SUM(
   MAP(
     K$3:ED$3,
     K$7:ED$7,
     K$15:ED$15,
     K$16:ED$16,
     K$21:ED$21,
     K$5:ED$5,
     K$17:ED$17,
     K40:ED40,
     LAMBDA(
       job,
       abillity,
       buff,
       barrier,
       enhance,
       assign,
       preco"&amp;"ndition,
       check,
       IF(
         OR(AND(check=TRUE, REGEXMATCH(assign, ""SELF""), job=""戦士""), AND(check=Option!$F$13, REGEXMATCH(assign, ""SINGLE_PARTY""))),
         IF(
           OR(ARRAYFORMULA((IF(precondition="""", FALSE, REGEXMATCH($K$4:"&amp;"$ED$4, precondition))) * (K40:ED40=TRUE))),
           enhance,
           IF(barrier="""", buff, barrier)
         ),
         0
       ) *
       SWITCH(
         job,
         ""暗黒騎士"", FD$24,
         ""白魔道士"", EF40 * EH40 * FB40 * IF(abillity, 1, EG4"&amp;"0 * EI40) * (Option!$D$22 * 0.81 / 100),
         ""占星術師"", EF40 * EJ40 * FFB40 * IF(abillity, 1, EG40 * EK40) * (Option!$D$23 * 0.81 / 100),
         ""学者"", EF40 * EL40 * FB40 * IF(abillity, 1, EG40 * EM40) * (Option!$D$24 * 0.81 / 100),
         ""賢者"""&amp;", EF40 * EN40 * FB40 * IF(abillity, 1, EG40 * EO40) * (Option!$D$25 * 0.81 / 100),
         1
       )
     )
   )
 ) + EQ40"),0.0)</f>
        <v>0</v>
      </c>
      <c r="FD40" s="206">
        <f t="shared" si="9"/>
        <v>0</v>
      </c>
      <c r="FE40" s="205">
        <f>IFERROR(__xludf.DUMMYFUNCTION("PRODUCT(
   MAP(
     IF($F40=""Physical"", K$10:ED$10, IF($F40=""Magic"", K$11:ED$11, K$12:ED$12)),
     IF($F40=""Physical"", K$18:ED$18, IF($F40=""Magic"", K$19:ED$19, K$20:ED$20)),
     K$3:ED$3,
     K$5:ED$5,
     K$17:ED$17,
     K40:ED40,
     LAM"&amp;"BDA(
       mitigation,
       enhance,
       job,
       assign,
       precondition,
       check,
       IF(
         OR(AND(check=TRUE, REGEXMATCH(assign, ""SELF""), job=""暗黒騎士""), AND(check=Option!$G$13, REGEXMATCH(assign, ""SINGLE_PARTY""))),
     "&amp;"    IF(
           OR(ARRAYFORMULA((IF(precondition="""", FALSE, REGEXMATCH($K$4:$ED$4, precondition))) * (K40:ED40=TRUE))),
           enhance,
           mitigation
         ),
         1
       )
     )
   )
 ) * EE40"),1.0)</f>
        <v>1</v>
      </c>
      <c r="FF40" s="206">
        <f t="shared" si="10"/>
        <v>0</v>
      </c>
      <c r="FG40" s="205">
        <f>IFERROR(__xludf.DUMMYFUNCTION("PRODUCT(
   MAP(
     K$3:ED$3,
     K$14:ED$14,
     K$13:ED$13,
     K40:ED40,
     LAMBDA(
       job,
       buff,
       target,
       check,
       IF(
         OR(AND(check=TRUE, REGEXMATCH(target, ""SELF_AFFECTED_ALL""), job=""暗黒騎士""), AND(check="&amp;"Option!$G$13, REGEXMATCH(target, ""SINGLE_AFFECTED_ALL""))),
         buff,
         1
       )
     )
   )
 )"),1.0)</f>
        <v>1</v>
      </c>
      <c r="FH40" s="206">
        <f>IFERROR(__xludf.DUMMYFUNCTION("SUM(
   MAP(
     K$3:ED$3,
     K$7:ED$7,
     K$15:ED$15,
     K$16:ED$16,
     K$21:ED$21,
     K$5:ED$5,
     K$17:ED$17,
     K40:ED40,
     LAMBDA(
       job,
       abillity,
       buff,
       barrier,
       enhance,
       assign,
       preco"&amp;"ndition,
       check,
       IF(
         OR(AND(check=TRUE, REGEXMATCH(assign, ""SELF""), job=""暗黒騎士""), AND(check=Option!$G$13, REGEXMATCH(assign, ""SINGLE_PARTY""))),
         IF(
           OR(ARRAYFORMULA((IF(precondition="""", FALSE, REGEXMATCH($K$"&amp;"4:$ED$4, precondition))) * (K40:ED40=TRUE))),
           enhance,
           IF(barrier="""", buff, barrier)
         ),
         0
       ) *
       SWITCH(
         job,
         ""暗黒騎士"", FI$24,
         ""白魔道士"", EF40 * EH40 * FG40 * IF(abillity, 1, E"&amp;"G40 * EI40) * (Option!$D$22 * 0.81 / 100),
         ""占星術師"", EF40 * EJ40 * FG40 * IF(abillity, 1, EG40 * EK40) * (Option!$D$23 * 0.81 / 100),
         ""学者"", EF40 * EL40 * FG40 * IF(abillity, 1, EG40 * EM40) * (Option!$D$24 * 0.81 / 100),
         ""賢者"&amp;""", EF40 * EN40 * FG40 * IF(abillity, 1, EG40 * EO40) * (Option!$D$25 * 0.81 / 100),
         1
       )
     )
   )
 ) + EQ40"),0.0)</f>
        <v>0</v>
      </c>
      <c r="FI40" s="206">
        <f t="shared" si="11"/>
        <v>0</v>
      </c>
      <c r="FJ40" s="205">
        <f>IFERROR(__xludf.DUMMYFUNCTION("PRODUCT(
   MAP(
     IF($F40=""Physical"", K$10:ED$10, IF($F40=""Magic"", K$11:ED$11, K$12:ED$12)),
     IF($F40=""Physical"", K$18:ED$18, IF($F40=""Magic"", K$19:ED$19, K$20:ED$20)),
     K$3:ED$3,
     K$5:ED$5,
     K$17:ED$17,
     K40:ED40,
     LAM"&amp;"BDA(
       mitigation,
       enhance,
       job,
       assign,
       precondition,
       check,
       IF(
         OR(AND(check=TRUE, REGEXMATCH(assign, ""SELF""), job=""ガンブレイカー""), AND(check=Option!$H$13, REGEXMATCH(assign, ""SINGLE_PARTY""))),
  "&amp;"       IF(
           OR(ARRAYFORMULA((IF(precondition="""", FALSE, REGEXMATCH($K$4:$ED$4, precondition))) * (K40:ED40=TRUE))),
           enhance,
           mitigation
         ),
         1
       )
     )
   )
 ) * EE40"),1.0)</f>
        <v>1</v>
      </c>
      <c r="FK40" s="206">
        <f t="shared" si="12"/>
        <v>0</v>
      </c>
      <c r="FL40" s="205">
        <f>IFERROR(__xludf.DUMMYFUNCTION("PRODUCT(
   MAP(
     K$3:ED$3,
     K$14:ED$14,
     K$13:ED$13,
     K40:ED40,
     LAMBDA(
       job,
       buff,
       target,
       check,
       IF(
         OR(AND(check=TRUE, REGEXMATCH(target, ""SELF_AFFECTED_ALL""), job=""ガンブレイカー""), AND(che"&amp;"ck=Option!$H$13, REGEXMATCH(target, ""SINGLE_AFFECTED_ALL""))),
         buff,
         1
       )
     )
   )
 )"),1.0)</f>
        <v>1</v>
      </c>
      <c r="FM40" s="206">
        <f>IFERROR(__xludf.DUMMYFUNCTION("SUM(
   MAP(
     K$3:ED$3,
     K$7:ED$7,
     K$15:ED$15,
     K$16:ED$16,
     K$21:ED$21,
     K$5:ED$5,
     K$17:ED$17,
     K40:ED40,
     LAMBDA(
       job,
       abillity,
       buff,
       barrier,
       enhance,
       assign,
       preco"&amp;"ndition,
       check,
       IF(
         OR(AND(check=TRUE, REGEXMATCH(assign, ""SELF""), job=""ガンブレイカー""), AND(check=Option!$H$13, REGEXMATCH(assign, ""SINGLE_PARTY""))),
         IF(
           OR(ARRAYFORMULA((IF(precondition="""", FALSE, REGEXMATCH("&amp;"$K$4:$ED$4, precondition))) * (K40:ED40=TRUE))),
           enhance,
           IF(barrier="""", buff, barrier)
         ),
         0
       ) *
       SWITCH(
         job,
         ""暗黒騎士"", FN$24,
         ""白魔道士"", EF40 * EH40 * FL40 * IF(abillity, 1"&amp;", EG40 * EI40) * (Option!$D$22 * 0.81 / 100),
         ""占星術師"", EF40 * EJ40 * FL40 * IF(abillity, 1, EG40 * EK40) * (Option!$D$23 * 0.81 / 100),
         ""学者"", EF40 * EL40 * FL40 * IF(abillity, 1, EG40 * EM40) * (Option!$D$24 * 0.81 / 100),
         """&amp;"賢者"", EF40 * EN40 * FL40 * IF(abillity, 1, EG40 * EO40) * (Option!$D$25 * 0.81 / 100),
         1
       )
     )
   )
 ) + EQ40"),0.0)</f>
        <v>0</v>
      </c>
      <c r="FN40" s="206">
        <f t="shared" si="13"/>
        <v>0</v>
      </c>
      <c r="FO40" s="213"/>
    </row>
    <row r="41">
      <c r="B41" s="229"/>
      <c r="C41" s="217">
        <f t="shared" si="1"/>
        <v>0.00380787037</v>
      </c>
      <c r="D41" s="236"/>
      <c r="E41" s="238"/>
      <c r="F41" s="167"/>
      <c r="G41" s="168" t="str">
        <f t="shared" si="2"/>
        <v/>
      </c>
      <c r="H41" s="169"/>
      <c r="I41" s="169"/>
      <c r="J41" s="169"/>
      <c r="K41" s="170" t="b">
        <v>0</v>
      </c>
      <c r="L41" s="170" t="b">
        <v>0</v>
      </c>
      <c r="M41" s="170" t="b">
        <v>0</v>
      </c>
      <c r="N41" s="171" t="s">
        <v>1070</v>
      </c>
      <c r="O41" s="172" t="b">
        <v>0</v>
      </c>
      <c r="P41" s="173" t="b">
        <v>0</v>
      </c>
      <c r="Q41" s="173" t="b">
        <v>0</v>
      </c>
      <c r="R41" s="173" t="b">
        <v>0</v>
      </c>
      <c r="S41" s="174" t="b">
        <v>0</v>
      </c>
      <c r="T41" s="175" t="b">
        <v>0</v>
      </c>
      <c r="U41" s="173" t="b">
        <v>0</v>
      </c>
      <c r="V41" s="171" t="s">
        <v>1070</v>
      </c>
      <c r="W41" s="172" t="b">
        <v>0</v>
      </c>
      <c r="X41" s="173" t="b">
        <v>0</v>
      </c>
      <c r="Y41" s="173" t="b">
        <v>0</v>
      </c>
      <c r="Z41" s="173" t="b">
        <v>0</v>
      </c>
      <c r="AA41" s="174" t="b">
        <v>0</v>
      </c>
      <c r="AB41" s="174" t="b">
        <v>0</v>
      </c>
      <c r="AC41" s="175" t="b">
        <v>0</v>
      </c>
      <c r="AD41" s="173" t="b">
        <v>0</v>
      </c>
      <c r="AE41" s="176" t="s">
        <v>1070</v>
      </c>
      <c r="AF41" s="171" t="s">
        <v>1070</v>
      </c>
      <c r="AG41" s="177">
        <f>IFERROR(__xludf.DUMMYFUNCTION("IF(
  ISNUMBER(AG40),
  MIN(MAX(
    AG40
    + MAX(
      ROUNDDOWN(($D41 - MAX(IFERROR(FILTER($D$24:$D40, AG$24:AG40 &lt;&gt; AF$6, AG$23:AG39 = AF$6), 0))) * (60 * 60 * 24) / AF$9) - ROUNDDOWN(($D40 - MAX(IFERROR(FILTER($D$23:$D39, AG$23:AG39 &lt;&gt; AF$6, AG$22:"&amp;"AG38 = AF$6), 0))) * (60 * 60 * 24) / 60),
      0
    )
    - COUNTIF(AF41, ""&lt;&gt;-""),
  0), AF$6),
  AF$6 - COUNTIF(AF41, ""&lt;&gt;-"")
)"),2.0)</f>
        <v>2</v>
      </c>
      <c r="AH41" s="173" t="b">
        <v>0</v>
      </c>
      <c r="AI41" s="173" t="b">
        <v>0</v>
      </c>
      <c r="AJ41" s="173" t="b">
        <v>0</v>
      </c>
      <c r="AK41" s="174" t="b">
        <v>0</v>
      </c>
      <c r="AL41" s="175" t="b">
        <v>0</v>
      </c>
      <c r="AM41" s="173" t="b">
        <v>0</v>
      </c>
      <c r="AN41" s="171" t="s">
        <v>1070</v>
      </c>
      <c r="AO41" s="173" t="b">
        <v>0</v>
      </c>
      <c r="AP41" s="173" t="b">
        <v>0</v>
      </c>
      <c r="AQ41" s="173" t="b">
        <v>0</v>
      </c>
      <c r="AR41" s="174" t="b">
        <v>0</v>
      </c>
      <c r="AS41" s="178" t="b">
        <v>0</v>
      </c>
      <c r="AT41" s="179" t="b">
        <v>0</v>
      </c>
      <c r="AU41" s="180" t="b">
        <v>0</v>
      </c>
      <c r="AV41" s="180" t="b">
        <v>0</v>
      </c>
      <c r="AW41" s="180" t="b">
        <v>0</v>
      </c>
      <c r="AX41" s="180" t="b">
        <v>0</v>
      </c>
      <c r="AY41" s="181" t="s">
        <v>1070</v>
      </c>
      <c r="AZ41" s="181" t="s">
        <v>1070</v>
      </c>
      <c r="BA41" s="184">
        <f>IFERROR(__xludf.DUMMYFUNCTION("IF(
  ISNUMBER(BA40),
  MIN(MAX(
    BA40
    + MAX(
      ROUNDDOWN((D41 - MAX(IFERROR(FILTER(D$24:D40, BA$24:BA40 &lt;&gt; AZ$6, BA$23:BA39 = AZ$6), 0))) * (60 * 60 * 24) / AZ$9) - ROUNDDOWN((D40 - MAX(IFERROR(FILTER(D$23:D39, BA$23:BA39 &lt;&gt; AZ$6, BA$22:BA38 ="&amp;" AZ$6), 0))) * (60 * 60 * 24) / AZ$9),
      0
    )
    - COUNTIF(AZ41, ""&lt;&gt;-""),
  0), AZ$6),
  AZ$6 - COUNTIF(AZ41, ""&lt;&gt;-"")
)"),2.0)</f>
        <v>2</v>
      </c>
      <c r="BB41" s="181" t="s">
        <v>1070</v>
      </c>
      <c r="BC41" s="183">
        <f>IFERROR(__xludf.DUMMYFUNCTION("IF(
  ISNUMBER(BC40),
  MIN(MAX(
    BC40
    + MAX(
      ROUNDDOWN(($D41 - MAX(IFERROR(FILTER($D$24:$D40, BC$24:BC40 &lt;&gt; BB$6, BC$23:BC39 = BB$6), 0))) * (60 * 60 * 24) / BB$9) - ROUNDDOWN(($D40 - MAX(IFERROR(FILTER($D$23:$D39, BC$23:BC39 &lt;&gt; BB$6, BC$22:"&amp;"BC38 = BB$6), 0))) * (60 * 60 * 24) / 60),
      0
    )
    - COUNTIF(BB41, ""&lt;&gt;-""),
  0), BB$6),
  BB$6 - COUNTIF(BB41, ""&lt;&gt;-"")
)"),2.0)</f>
        <v>2</v>
      </c>
      <c r="BD41" s="181" t="s">
        <v>1070</v>
      </c>
      <c r="BE41" s="178" t="b">
        <v>0</v>
      </c>
      <c r="BF41" s="180" t="b">
        <v>0</v>
      </c>
      <c r="BG41" s="180" t="b">
        <v>0</v>
      </c>
      <c r="BH41" s="180" t="b">
        <v>0</v>
      </c>
      <c r="BI41" s="180" t="b">
        <v>0</v>
      </c>
      <c r="BJ41" s="180" t="b">
        <v>0</v>
      </c>
      <c r="BK41" s="180" t="b">
        <v>0</v>
      </c>
      <c r="BL41" s="180" t="b">
        <v>0</v>
      </c>
      <c r="BM41" s="180" t="b">
        <v>0</v>
      </c>
      <c r="BN41" s="180" t="b">
        <v>0</v>
      </c>
      <c r="BO41" s="181" t="s">
        <v>1070</v>
      </c>
      <c r="BP41" s="181" t="s">
        <v>1070</v>
      </c>
      <c r="BQ41" s="181" t="s">
        <v>1070</v>
      </c>
      <c r="BR41" s="181" t="s">
        <v>1070</v>
      </c>
      <c r="BS41" s="181" t="s">
        <v>1070</v>
      </c>
      <c r="BT41" s="184">
        <f>IFERROR(__xludf.DUMMYFUNCTION("IF(
  ISNUMBER(BT40),
  MIN(MAX(
    BT40
    + MAX(
      ROUNDDOWN((D41 - MAX(IFERROR(FILTER(D$24:D40, BT$24:BT40 &lt;&gt; BS$6, BT$23:BT39 = BS$6), 0))) * (60 * 60 * 24) / BS$9) - ROUNDDOWN((D40 - MAX(IFERROR(FILTER(D$23:D39, BT$23:BT39 &lt;&gt; BS$6, BT$22:BT38 ="&amp;" BS$6), 0))) * (60 * 60 * 24) / BS$9),
      0
    )
    - COUNTIF(BS41, ""&lt;&gt;-""),
  0), BS$6),
  BS$6 - COUNTIF(BS41, ""&lt;&gt;-"")
)"),3.0)</f>
        <v>3</v>
      </c>
      <c r="BU41" s="181" t="s">
        <v>1070</v>
      </c>
      <c r="BV41" s="181" t="s">
        <v>1070</v>
      </c>
      <c r="BW41" s="184">
        <f>IFERROR(__xludf.DUMMYFUNCTION("IF(
  ISNUMBER(BW40),
  MIN(MAX(
    BW40
    + MAX(
      ROUNDDOWN((D41 - MAX(IFERROR(FILTER(D$24:D40, BW$24:BW40 &lt;&gt; BV$6, BW$23:BW39 = BV$6), 0))) * (60 * 60 * 24) / BV$9) - ROUNDDOWN((D40 - MAX(IFERROR(FILTER(D$23:D39, BW$23:BW39 &lt;&gt; BV$6, BW$22:BW38 ="&amp;" BV$6), 0))) * (60 * 60 * 24) / BV$9),
      0
    )
    - COUNTIF(BV41, ""&lt;&gt;-""),
  0), BV$6),
  BV$6 - COUNTIF(BV41, ""&lt;&gt;-"")
)"),2.0)</f>
        <v>2</v>
      </c>
      <c r="BX41" s="185" t="s">
        <v>1070</v>
      </c>
      <c r="BY41" s="178" t="b">
        <v>0</v>
      </c>
      <c r="BZ41" s="180" t="b">
        <v>0</v>
      </c>
      <c r="CA41" s="180" t="b">
        <v>0</v>
      </c>
      <c r="CB41" s="180" t="b">
        <v>0</v>
      </c>
      <c r="CC41" s="180" t="b">
        <v>0</v>
      </c>
      <c r="CD41" s="180" t="b">
        <v>0</v>
      </c>
      <c r="CE41" s="180" t="b">
        <v>0</v>
      </c>
      <c r="CF41" s="180" t="b">
        <v>0</v>
      </c>
      <c r="CG41" s="180" t="b">
        <v>0</v>
      </c>
      <c r="CH41" s="180" t="b">
        <v>0</v>
      </c>
      <c r="CI41" s="180" t="b">
        <v>0</v>
      </c>
      <c r="CJ41" s="180" t="b">
        <v>0</v>
      </c>
      <c r="CK41" s="180" t="b">
        <v>0</v>
      </c>
      <c r="CL41" s="180" t="b">
        <v>0</v>
      </c>
      <c r="CM41" s="181" t="s">
        <v>1070</v>
      </c>
      <c r="CN41" s="181" t="s">
        <v>1070</v>
      </c>
      <c r="CO41" s="181" t="s">
        <v>1070</v>
      </c>
      <c r="CP41" s="181" t="s">
        <v>1070</v>
      </c>
      <c r="CQ41" s="185" t="s">
        <v>1070</v>
      </c>
      <c r="CR41" s="180" t="b">
        <v>0</v>
      </c>
      <c r="CS41" s="186" t="str">
        <f t="shared" si="14"/>
        <v>◇◇◇</v>
      </c>
      <c r="CT41" s="178" t="b">
        <v>0</v>
      </c>
      <c r="CU41" s="180" t="b">
        <v>0</v>
      </c>
      <c r="CV41" s="180" t="b">
        <v>0</v>
      </c>
      <c r="CW41" s="180" t="b">
        <v>0</v>
      </c>
      <c r="CX41" s="180" t="b">
        <v>0</v>
      </c>
      <c r="CY41" s="180" t="b">
        <v>0</v>
      </c>
      <c r="CZ41" s="180" t="b">
        <v>0</v>
      </c>
      <c r="DA41" s="180" t="b">
        <v>0</v>
      </c>
      <c r="DB41" s="180" t="b">
        <v>0</v>
      </c>
      <c r="DC41" s="180" t="b">
        <v>0</v>
      </c>
      <c r="DD41" s="181" t="s">
        <v>1070</v>
      </c>
      <c r="DE41" s="181" t="s">
        <v>1070</v>
      </c>
      <c r="DF41" s="181" t="s">
        <v>1070</v>
      </c>
      <c r="DG41" s="185" t="s">
        <v>1070</v>
      </c>
      <c r="DH41" s="180" t="b">
        <v>0</v>
      </c>
      <c r="DI41" s="187" t="str">
        <f>IFERROR(__xludf.DUMMYFUNCTION("SWITCH(
  IF(
    ISTEXT(DI40),
    IF (
      FIND(""○"", DI40&amp;""○"") &gt; 3,
      3,
      FIND(""○"", DI40&amp;""○"")
      + MAX(
        ROUNDDOWN(($D41 - MAX(IFERROR(FILTER(D$24:D40, DI$24:DI40 &lt;&gt; ""●●●"", DI$23:DI39 = ""●●●""), 0))) * (60 * 60 * 24) / 20"&amp;") - ROUNDDOWN(($D40 - MAX(IFERROR(FILTER(D$23:D39, DI$23:DI39 &lt;&gt; ""●●●"", DI$22:DI38 = ""●●●""), 0))) * (60 * 60 * 24) / 20),
        0
      ) - 1
    ) - COUNTIFS(CU41, ""=TRUE"", CU40, ""&lt;&gt;TRUE"") - COUNTIF(CZ41, ""=TRUE"") - COUNTIF({DD41,DE41}, ""&lt;&gt;-"&amp;""") + COUNTIF(DH41, ""=TRUE""),
    3
  ),
  0, ""○○○"", 1, ""●○○"", 2, ""●●○"", 3, ""●●●"", 4, ""●●●"", ""○○○""
)"),"●●●")</f>
        <v>●●●</v>
      </c>
      <c r="DJ41" s="188" t="b">
        <v>0</v>
      </c>
      <c r="DK41" s="189" t="b">
        <v>0</v>
      </c>
      <c r="DL41" s="190" t="b">
        <v>0</v>
      </c>
      <c r="DM41" s="190" t="b">
        <v>0</v>
      </c>
      <c r="DN41" s="190" t="b">
        <v>0</v>
      </c>
      <c r="DO41" s="190" t="b">
        <v>0</v>
      </c>
      <c r="DP41" s="190" t="b">
        <v>0</v>
      </c>
      <c r="DQ41" s="191" t="b">
        <v>0</v>
      </c>
      <c r="DR41" s="192" t="b">
        <v>0</v>
      </c>
      <c r="DS41" s="191" t="b">
        <v>0</v>
      </c>
      <c r="DT41" s="192" t="b">
        <v>0</v>
      </c>
      <c r="DU41" s="191" t="b">
        <v>0</v>
      </c>
      <c r="DV41" s="193" t="s">
        <v>1070</v>
      </c>
      <c r="DW41" s="194" t="b">
        <v>0</v>
      </c>
      <c r="DX41" s="194" t="b">
        <v>0</v>
      </c>
      <c r="DY41" s="195" t="b">
        <v>0</v>
      </c>
      <c r="DZ41" s="196" t="b">
        <v>0</v>
      </c>
      <c r="EA41" s="195" t="b">
        <v>0</v>
      </c>
      <c r="EB41" s="197" t="b">
        <v>0</v>
      </c>
      <c r="EC41" s="197" t="b">
        <v>0</v>
      </c>
      <c r="ED41" s="212" t="b">
        <v>0</v>
      </c>
      <c r="EE41" s="199">
        <f>IFERROR(__xludf.DUMMYFUNCTION("IFERROR(
   PRODUCT(
     MAP(
       INDEX(TRANSPOSE(UNIQUE(TRANSPOSE(FILTER({IF($F41=""Physical"", K$10:ED$10, IF($F41=""Magic"", K$11:ED$11, K$12:ED$12));K$4:ED$4;K41:ED41}, K41:ED41=TRUE)))), 1, 0),
       INDEX(TRANSPOSE(UNIQUE(TRANSPOSE(FILTER({IF($"&amp;"F41=""Physical"", K$18:ED$18, IF($F41=""Magic"", K$19:ED$19, K$20:ED$20));K$4:ED$4;K41:ED41}, K41:ED41=TRUE)))), 1, 0),
       INDEX(TRANSPOSE(UNIQUE(TRANSPOSE(FILTER({K$5:ED$5;K$4:ED$4;K41:ED41}, K41:ED41=TRUE)))), 1, 0),
       INDEX(TRANSPOSE(UNIQUE(TR"&amp;"ANSPOSE(FILTER({K$17:ED$17;K$4:ED$4;K41:ED41}, K41:ED41=TRUE)))), 1, 0),
       LAMBDA(
         mitigation,
         enhance,
         assign,
         precondition,
         IF(
           REGEXMATCH(assign, ""RANGE_PARTY|SINGLE_ENEMY|RANGE_ENEMY""),
  "&amp;"         IF(
             OR(ARRAYFORMULA((IF(precondition="""", FALSE, REGEXMATCH(K$4:ED$4, precondition))) * (K41:ED41=TRUE))),
             IF(ISNUMBER(enhance), enhance, 1),
             IF(ISNUMBER(mitigation), mitigation, 1)
           ),
          "&amp;" 1
         )
       )
     )
   ),
   1
 )"),1.0)</f>
        <v>1</v>
      </c>
      <c r="EF41" s="200">
        <f>IFERROR(__xludf.DUMMYFUNCTION("PRODUCT(
   MAP(
     K$14:ED$14,
     K$13:ED$13,
     K41:ED41,
     LAMBDA(
       buff,
       target,
       check,
       IF(
         AND(check=TRUE, REGEXMATCH(target, ""RANGE_AFFECTED_ALL|RANGE_EFFECTED_ALL""), ISNUMBER(buff)),
         buff,
   "&amp;"      1
       )
     )
   )
 )"),1.0)</f>
        <v>1</v>
      </c>
      <c r="EG41" s="200">
        <f>IFERROR(__xludf.DUMMYFUNCTION("PRODUCT(
   MAP(
     K$14:ED$14,
     K$13:ED$13,
     K41:ED41,
     LAMBDA(
       buff,
       target,
       check,
       IF(
         AND(check=TRUE, REGEXMATCH(target, ""RANGE_AFFECTED_GCD|RANGE_EFFECTED_GCD""), ISNUMBER(buff)),
         buff,
   "&amp;"      1
       )
     )
   )
 )"),1.0)</f>
        <v>1</v>
      </c>
      <c r="EH41" s="200">
        <f>IFERROR(__xludf.DUMMYFUNCTION("PRODUCT(
   MAP(
     K$3:ED$3,
     K$14:ED$14,
     K$13:ED$13,
     K41:ED41,
     LAMBDA(
       job,
       buff,
       target,
       check,
       IF(
         AND(check=TRUE, REGEXMATCH(target, ""SELF_EFFECTED_ALL""), ISNUMBER(buff), job=""白魔道士"""&amp;"),
         buff,
         1
       )
     )
   )
 )"),1.0)</f>
        <v>1</v>
      </c>
      <c r="EI41" s="200">
        <f>IFERROR(__xludf.DUMMYFUNCTION("PRODUCT(
   MAP(
     K$3:ED$3,
     K$14:ED$14,
     K$13:ED$13,
     K41:ED41,
     LAMBDA(
       job,
       buff,
       target,
       check,
       IF(
         AND(check=TRUE, REGEXMATCH(target, ""SELF_EFFECTED_GCD""), ISNUMBER(buff), job=""白魔道士"""&amp;"),
         buff,
         1
       )
     )
   )
 )"),1.0)</f>
        <v>1</v>
      </c>
      <c r="EJ41" s="200">
        <f>IFERROR(__xludf.DUMMYFUNCTION("PRODUCT(
   MAP(
     K$3:ED$3,
     K$14:ED$14,
     K$13:ED$13,
     K41:ED41,
     LAMBDA(
       job,
       buff,
       target,
       check,
       IF(
         AND(check=TRUE, REGEXMATCH(target, ""SELF_EFFECTED_ALL""), ISNUMBER(buff), job=""占星術師"""&amp;"),
         buff,
         1
       )
     )
   )
 )"),1.0)</f>
        <v>1</v>
      </c>
      <c r="EK41" s="200">
        <f>IFERROR(__xludf.DUMMYFUNCTION("PRODUCT(
   MAP(
     K$3:ED$3,
     K$14:ED$14,
     K$13:ED$13,
     K41:ED41,
     LAMBDA(
       job,
       buff,
       target,
       check,
       IF(
         AND(check=TRUE, REGEXMATCH(target, ""SELF_EFFECTED_GCD""), ISNUMBER(buff), job=""占星術師"""&amp;"),
         buff,
         1
       )
     )
   )
 )"),1.0)</f>
        <v>1</v>
      </c>
      <c r="EL41" s="200">
        <f>IFERROR(__xludf.DUMMYFUNCTION("PRODUCT(
   MAP(
     K$3:ED$3,
     K$14:ED$14,
     K$13:ED$13,
     K41:ED41,
     LAMBDA(
       job,
       buff,
       target,
       check,
       IF(
         AND(check=TRUE, REGEXMATCH(target, ""SELF_EFFECTED_ALL""), ISNUMBER(buff), job=""学者""),"&amp;"
         buff,
         1
       )
     )
   )
 )"),1.0)</f>
        <v>1</v>
      </c>
      <c r="EM41" s="200">
        <f>IFERROR(__xludf.DUMMYFUNCTION("PRODUCT(
   MAP(
     K$3:ED$3,
     K$14:ED$14,
     K$13:ED$13,
     K41:ED41,
     LAMBDA(
       job,
       buff,
       target,
       check,
       IF(
         AND(check=TRUE, REGEXMATCH(target, ""SELF_EFFECTED_GCD""), ISNUMBER(buff), job=""学者""),"&amp;"
         buff,
         1
       )
     )
   )
 )"),1.0)</f>
        <v>1</v>
      </c>
      <c r="EN41" s="200">
        <f>IFERROR(__xludf.DUMMYFUNCTION("PRODUCT(
   MAP(
     K$3:ED$3,
     K$14:ED$14,
     K$13:ED$13,
     K41:ED41,
     LAMBDA(
       job,
       buff,
       target,
       check,
       IF(
         AND(check=TRUE, REGEXMATCH(target, ""SELF_EFFECTED_ALL""), ISNUMBER(buff), job=""賢者""),"&amp;"
         buff,
         1
       )
     )
   )
 )"),1.0)</f>
        <v>1</v>
      </c>
      <c r="EO41" s="200">
        <f>IFERROR(__xludf.DUMMYFUNCTION("PRODUCT(
   MAP(
     K$3:ED$3,
     K$14:ED$14,
     K$13:ED$13,
     K41:ED41,
     LAMBDA(
       job,
       buff,
       target,
       check,
       IF(
         AND(check=TRUE, REGEXMATCH(target, ""SELF_EFFECTED_GCD""), ISNUMBER(buff), job=""賢者""),"&amp;"
         buff,
         1
       )
     )
   )
 )"),1.0)</f>
        <v>1</v>
      </c>
      <c r="EP41" s="201">
        <f t="shared" si="3"/>
        <v>0</v>
      </c>
      <c r="EQ41" s="201">
        <f>IFERROR(__xludf.DUMMYFUNCTION("SUM(
   MAP(
     K$4:ED$4,
     K$3:ED$3,
     K$7:ED$7,
     K$15:ED$15,
     K$16:ED$16,
     K$21:ED$21,
     K$5:ED$5,
     K$17:ED$17,
     K41:ED41,
     LAMBDA(
       name,
       job,
       abillity,
       buff,
       barrier,
       enhance,"&amp;"
       assign,
       precondition,
       check,
       SWITCH(
         name,
         ""シェイクオフ"", IF(check=TRUE, buff + (0.02 * COUNTIF(ARRAYFORMULA((REGEXMATCH($K$4:$ED$4, ""スリル・オブ・バトル|ヴェンジェンス|原初の血気|ダムネーション"")) * (K41:ED41=TRUE)), 1)), 0),
         "&amp;"""インプロビゼーションフィニッシュ(踊りの激情0)"", IF(ISNUMBER(check), INDEX(Skill!$AJ:$AJ, MATCH(SUBSTITUTE(DV$4, 0, check), Skill!$C:$C, 0)), 0),
         IF(
           AND(check=TRUE, REGEXMATCH(assign, ""RANGE_PARTY"")),
           IF(
             OR(ARRAYFORMULA((IF(pr"&amp;"econdition="""", FALSE, REGEXMATCH($K$4:$ED$4, precondition))) * (K41:ED41=TRUE))),
             enhance,
             IF(barrier="""", buff, barrier)
           ),
           0
         )
       ) *
       SWITCH(
         job,
         ""ナイト"", EY$24,
 "&amp;"        ""戦士"", FD$24,
         ""踊り子"", ET$24,
         ""ピクトマンサー"", ET$24,
         ""白魔道士"", EF41 * EH41 * IF(abillity, 1, EG41 * EI41) * (Option!$D$22 * 0.81 / 100),
         ""占星術師"", EF41 * EJ41 * IF(abillity, 1, EG41 * EK41) * (Option!$D$23 * 0.81 "&amp;"/ 100),
         ""学者"", EF41 * EL41 * IF(abillity, 1, EG41 * EM41) * (Option!$D$24 * 0.81 / 100),
         ""賢者"", EF41 * EN41 * IF(abillity, 1, EG41 * EO41) * (Option!$D$25 * 0.81 / 100),
         1
       )
     )
   )
 )"),0.0)</f>
        <v>0</v>
      </c>
      <c r="ER41" s="202">
        <f t="shared" si="4"/>
        <v>0</v>
      </c>
      <c r="ES41" s="203">
        <f t="shared" si="5"/>
        <v>0</v>
      </c>
      <c r="ET41" s="231" t="str">
        <f>IFERROR(__xludf.DUMMYFUNCTION("IFS(
  EP41 &gt; $ET$24 + EQ41,
  SPARKLINE({ 1, 0 }, {""charttype"",""bar"";""max"", 1;""color1"",Option!$D$30;""color2"",Option!$D$30}),
  EP41 &lt; EQ41,
  SPARKLINE({EQ41 - EP41, $ET$24 - (EQ41 - EP41)}, {""charttype"",""bar"";""max"",$ET$24;""color1"",Opti"&amp;"on!$D$28;""color2"",Option!$D$29}),
  EP41 &gt;= EQ41,
  SPARKLINE({$ET$24 + EQ41 - EP41,EP41 - EQ41}, {""charttype"",""bar"";""max"",$ET$24;""color1"",Option!$D$29;""color2"",Option!$D$30})
)"),"")</f>
        <v/>
      </c>
      <c r="EU41" s="205">
        <f>IFERROR(__xludf.DUMMYFUNCTION("PRODUCT(
   MAP(
     IF($F41=""Physical"", K$10:ED$10, IF($F41=""Magic"", K$11:ED$11, K$12:ED$12)),
     IF($F41=""Physical"", K$18:ED$18, IF($F41=""Magic"", K$19:ED$19, K$20:ED$20)),
     K$3:ED$3,
     K$5:ED$5,
     K$17:ED$17,
     K41:ED41,
     LAM"&amp;"BDA(
       mitigation,
       enhance,
       job,
       assign,
       precondition,
       check,
       IF(
         OR(AND(check=TRUE, REGEXMATCH(assign, ""SELF""), job=""ナイト""), AND(check=Option!$E$13, REGEXMATCH(assign, ""SINGLE_PARTY""))),
      "&amp;"   IF(
           OR(ARRAYFORMULA((IF(precondition="""", FALSE, REGEXMATCH($K$4:$ED$4, precondition))) * (K41:ED41=TRUE))),
           enhance,
           mitigation
         ),
         1
       )
     )
   )
 ) * EE41"),1.0)</f>
        <v>1</v>
      </c>
      <c r="EV41" s="206">
        <f t="shared" si="6"/>
        <v>0</v>
      </c>
      <c r="EW41" s="205">
        <f>IFERROR(__xludf.DUMMYFUNCTION("PRODUCT(
   MAP(
     K$3:ED$3,
     K$14:ED$14,
     K$13:ED$13,
     K41:ED41,
     LAMBDA(
       job,
       buff,
       target,
       check,
       IF(
         OR(AND(check=TRUE, REGEXMATCH(target, ""SELF_AFFECTED_ALL""), job=""ナイト""), AND(check=O"&amp;"ption!$E$13, REGEXMATCH(target, ""SINGLE_AFFECTED_ALL""))),
         buff,
         1
       )
     )
   )
 )"),1.0)</f>
        <v>1</v>
      </c>
      <c r="EX41" s="206">
        <f>IFERROR(__xludf.DUMMYFUNCTION("SUM(
   MAP(
     K$3:ED$3,
     K$7:ED$7,
     K$15:ED$15,
     K$16:ED$16,
     K$21:ED$21,
     K$5:ED$5,
     K$17:ED$17,
     K41:ED41,
     LAMBDA(
       job,
       abillity,
       buff,
       barrier,
       enhance,
       assign,
       preco"&amp;"ndition,
       check,
       IF(
         OR(AND(check=TRUE, REGEXMATCH(assign, ""SELF""), job=""ナイト""), AND(check=Option!$E$13, REGEXMATCH(assign, ""SINGLE_PARTY""))),
         IF(
           OR(ARRAYFORMULA((IF(precondition="""", FALSE, REGEXMATCH($K$4"&amp;":$ED$4, precondition))) * (K41:ED41=TRUE))),
           enhance,
           IF(barrier="""", buff, barrier)
         ),
         0
       ) *
       SWITCH(
         job,
         ""暗黒騎士"", EY$24,
         ""白魔道士"", EF41 * EH41 * EW41 * IF(abillity, 1, EG"&amp;"41 * EI41) * (Option!$D$22 * 0.81 / 100),
         ""占星術師"", EF41 * EJ41 * EW41 * IF(abillity, 1, EG41 * EK41) * (Option!$D$23 * 0.81 / 100),
         ""学者"", EF41 * EL41 * EW41 * IF(abillity, 1, EG41 * EM41) * (Option!$D$24 * 0.81 / 100),
         ""賢者"""&amp;", EF41 * EN41 * EW41 * IF(abillity, 1, EG41 * EO41) * (Option!$D$25 * 0.81 / 100),
         1
       )
     )
   )
 ) + EQ41"),0.0)</f>
        <v>0</v>
      </c>
      <c r="EY41" s="232">
        <f t="shared" si="7"/>
        <v>0</v>
      </c>
      <c r="EZ41" s="205">
        <f>IFERROR(__xludf.DUMMYFUNCTION("PRODUCT(
   MAP(
     IF($F41=""Physical"", K$10:ED$10, IF($F41=""Magic"", K$11:ED$11, K$12:ED$12)),
     IF($F41=""Physical"", K$18:ED$18, IF($F41=""Magic"", K$19:ED$19, K$20:ED$20)),
     K$3:ED$3,
     K$5:ED$5,
     K$17:ED$17,
     K41:ED41,
     LAM"&amp;"BDA(
       mitigation,
       enhance,
       job,
       assign,
       precondition,
       check,
       IF(
         OR(AND(check=TRUE, REGEXMATCH(assign, ""SELF""), job=""戦士""), AND(check=Option!$F$13, REGEXMATCH(assign, ""SINGLE_PARTY""))),
       "&amp;"  IF(
           OR(ARRAYFORMULA((IF(precondition="""", FALSE, REGEXMATCH($K$4:$ED$4, precondition))) * (K41:ED41=TRUE))),
           enhance,
           mitigation
         ),
         1
       )
     )
   )
 ) * EE41"),1.0)</f>
        <v>1</v>
      </c>
      <c r="FA41" s="206">
        <f t="shared" si="8"/>
        <v>0</v>
      </c>
      <c r="FB41" s="205">
        <f>IFERROR(__xludf.DUMMYFUNCTION("PRODUCT(
   MAP(
     K$3:ED$3,
     K$14:ED$14,
     K$13:ED$13,
     K41:ED41,
     LAMBDA(
       job,
       buff,
       target,
       check,
       IF(
         OR(AND(check=TRUE, REGEXMATCH(target, ""SELF_AFFECTED_ALL""), job=""戦士""), AND(check=Op"&amp;"tion!$F$13, REGEXMATCH(target, ""SINGLE_AFFECTED_ALL""))),
         buff,
         1
       )
     )
   )
 )"),1.0)</f>
        <v>1</v>
      </c>
      <c r="FC41" s="206">
        <f>IFERROR(__xludf.DUMMYFUNCTION("SUM(
   MAP(
     K$3:ED$3,
     K$7:ED$7,
     K$15:ED$15,
     K$16:ED$16,
     K$21:ED$21,
     K$5:ED$5,
     K$17:ED$17,
     K41:ED41,
     LAMBDA(
       job,
       abillity,
       buff,
       barrier,
       enhance,
       assign,
       preco"&amp;"ndition,
       check,
       IF(
         OR(AND(check=TRUE, REGEXMATCH(assign, ""SELF""), job=""戦士""), AND(check=Option!$F$13, REGEXMATCH(assign, ""SINGLE_PARTY""))),
         IF(
           OR(ARRAYFORMULA((IF(precondition="""", FALSE, REGEXMATCH($K$4:"&amp;"$ED$4, precondition))) * (K41:ED41=TRUE))),
           enhance,
           IF(barrier="""", buff, barrier)
         ),
         0
       ) *
       SWITCH(
         job,
         ""暗黒騎士"", FD$24,
         ""白魔道士"", EF41 * EH41 * FB41 * IF(abillity, 1, EG4"&amp;"1 * EI41) * (Option!$D$22 * 0.81 / 100),
         ""占星術師"", EF41 * EJ41 * FFB41 * IF(abillity, 1, EG41 * EK41) * (Option!$D$23 * 0.81 / 100),
         ""学者"", EF41 * EL41 * FB41 * IF(abillity, 1, EG41 * EM41) * (Option!$D$24 * 0.81 / 100),
         ""賢者"""&amp;", EF41 * EN41 * FB41 * IF(abillity, 1, EG41 * EO41) * (Option!$D$25 * 0.81 / 100),
         1
       )
     )
   )
 ) + EQ41"),0.0)</f>
        <v>0</v>
      </c>
      <c r="FD41" s="206">
        <f t="shared" si="9"/>
        <v>0</v>
      </c>
      <c r="FE41" s="205">
        <f>IFERROR(__xludf.DUMMYFUNCTION("PRODUCT(
   MAP(
     IF($F41=""Physical"", K$10:ED$10, IF($F41=""Magic"", K$11:ED$11, K$12:ED$12)),
     IF($F41=""Physical"", K$18:ED$18, IF($F41=""Magic"", K$19:ED$19, K$20:ED$20)),
     K$3:ED$3,
     K$5:ED$5,
     K$17:ED$17,
     K41:ED41,
     LAM"&amp;"BDA(
       mitigation,
       enhance,
       job,
       assign,
       precondition,
       check,
       IF(
         OR(AND(check=TRUE, REGEXMATCH(assign, ""SELF""), job=""暗黒騎士""), AND(check=Option!$G$13, REGEXMATCH(assign, ""SINGLE_PARTY""))),
     "&amp;"    IF(
           OR(ARRAYFORMULA((IF(precondition="""", FALSE, REGEXMATCH($K$4:$ED$4, precondition))) * (K41:ED41=TRUE))),
           enhance,
           mitigation
         ),
         1
       )
     )
   )
 ) * EE41"),1.0)</f>
        <v>1</v>
      </c>
      <c r="FF41" s="206">
        <f t="shared" si="10"/>
        <v>0</v>
      </c>
      <c r="FG41" s="205">
        <f>IFERROR(__xludf.DUMMYFUNCTION("PRODUCT(
   MAP(
     K$3:ED$3,
     K$14:ED$14,
     K$13:ED$13,
     K41:ED41,
     LAMBDA(
       job,
       buff,
       target,
       check,
       IF(
         OR(AND(check=TRUE, REGEXMATCH(target, ""SELF_AFFECTED_ALL""), job=""暗黒騎士""), AND(check="&amp;"Option!$G$13, REGEXMATCH(target, ""SINGLE_AFFECTED_ALL""))),
         buff,
         1
       )
     )
   )
 )"),1.0)</f>
        <v>1</v>
      </c>
      <c r="FH41" s="206">
        <f>IFERROR(__xludf.DUMMYFUNCTION("SUM(
   MAP(
     K$3:ED$3,
     K$7:ED$7,
     K$15:ED$15,
     K$16:ED$16,
     K$21:ED$21,
     K$5:ED$5,
     K$17:ED$17,
     K41:ED41,
     LAMBDA(
       job,
       abillity,
       buff,
       barrier,
       enhance,
       assign,
       preco"&amp;"ndition,
       check,
       IF(
         OR(AND(check=TRUE, REGEXMATCH(assign, ""SELF""), job=""暗黒騎士""), AND(check=Option!$G$13, REGEXMATCH(assign, ""SINGLE_PARTY""))),
         IF(
           OR(ARRAYFORMULA((IF(precondition="""", FALSE, REGEXMATCH($K$"&amp;"4:$ED$4, precondition))) * (K41:ED41=TRUE))),
           enhance,
           IF(barrier="""", buff, barrier)
         ),
         0
       ) *
       SWITCH(
         job,
         ""暗黒騎士"", FI$24,
         ""白魔道士"", EF41 * EH41 * FG41 * IF(abillity, 1, E"&amp;"G41 * EI41) * (Option!$D$22 * 0.81 / 100),
         ""占星術師"", EF41 * EJ41 * FG41 * IF(abillity, 1, EG41 * EK41) * (Option!$D$23 * 0.81 / 100),
         ""学者"", EF41 * EL41 * FG41 * IF(abillity, 1, EG41 * EM41) * (Option!$D$24 * 0.81 / 100),
         ""賢者"&amp;""", EF41 * EN41 * FG41 * IF(abillity, 1, EG41 * EO41) * (Option!$D$25 * 0.81 / 100),
         1
       )
     )
   )
 ) + EQ41"),0.0)</f>
        <v>0</v>
      </c>
      <c r="FI41" s="206">
        <f t="shared" si="11"/>
        <v>0</v>
      </c>
      <c r="FJ41" s="205">
        <f>IFERROR(__xludf.DUMMYFUNCTION("PRODUCT(
   MAP(
     IF($F41=""Physical"", K$10:ED$10, IF($F41=""Magic"", K$11:ED$11, K$12:ED$12)),
     IF($F41=""Physical"", K$18:ED$18, IF($F41=""Magic"", K$19:ED$19, K$20:ED$20)),
     K$3:ED$3,
     K$5:ED$5,
     K$17:ED$17,
     K41:ED41,
     LAM"&amp;"BDA(
       mitigation,
       enhance,
       job,
       assign,
       precondition,
       check,
       IF(
         OR(AND(check=TRUE, REGEXMATCH(assign, ""SELF""), job=""ガンブレイカー""), AND(check=Option!$H$13, REGEXMATCH(assign, ""SINGLE_PARTY""))),
  "&amp;"       IF(
           OR(ARRAYFORMULA((IF(precondition="""", FALSE, REGEXMATCH($K$4:$ED$4, precondition))) * (K41:ED41=TRUE))),
           enhance,
           mitigation
         ),
         1
       )
     )
   )
 ) * EE41"),1.0)</f>
        <v>1</v>
      </c>
      <c r="FK41" s="206">
        <f t="shared" si="12"/>
        <v>0</v>
      </c>
      <c r="FL41" s="205">
        <f>IFERROR(__xludf.DUMMYFUNCTION("PRODUCT(
   MAP(
     K$3:ED$3,
     K$14:ED$14,
     K$13:ED$13,
     K41:ED41,
     LAMBDA(
       job,
       buff,
       target,
       check,
       IF(
         OR(AND(check=TRUE, REGEXMATCH(target, ""SELF_AFFECTED_ALL""), job=""ガンブレイカー""), AND(che"&amp;"ck=Option!$H$13, REGEXMATCH(target, ""SINGLE_AFFECTED_ALL""))),
         buff,
         1
       )
     )
   )
 )"),1.0)</f>
        <v>1</v>
      </c>
      <c r="FM41" s="206">
        <f>IFERROR(__xludf.DUMMYFUNCTION("SUM(
   MAP(
     K$3:ED$3,
     K$7:ED$7,
     K$15:ED$15,
     K$16:ED$16,
     K$21:ED$21,
     K$5:ED$5,
     K$17:ED$17,
     K41:ED41,
     LAMBDA(
       job,
       abillity,
       buff,
       barrier,
       enhance,
       assign,
       preco"&amp;"ndition,
       check,
       IF(
         OR(AND(check=TRUE, REGEXMATCH(assign, ""SELF""), job=""ガンブレイカー""), AND(check=Option!$H$13, REGEXMATCH(assign, ""SINGLE_PARTY""))),
         IF(
           OR(ARRAYFORMULA((IF(precondition="""", FALSE, REGEXMATCH("&amp;"$K$4:$ED$4, precondition))) * (K41:ED41=TRUE))),
           enhance,
           IF(barrier="""", buff, barrier)
         ),
         0
       ) *
       SWITCH(
         job,
         ""暗黒騎士"", FN$24,
         ""白魔道士"", EF41 * EH41 * FL41 * IF(abillity, 1"&amp;", EG41 * EI41) * (Option!$D$22 * 0.81 / 100),
         ""占星術師"", EF41 * EJ41 * FL41 * IF(abillity, 1, EG41 * EK41) * (Option!$D$23 * 0.81 / 100),
         ""学者"", EF41 * EL41 * FL41 * IF(abillity, 1, EG41 * EM41) * (Option!$D$24 * 0.81 / 100),
         """&amp;"賢者"", EF41 * EN41 * FL41 * IF(abillity, 1, EG41 * EO41) * (Option!$D$25 * 0.81 / 100),
         1
       )
     )
   )
 ) + EQ41"),0.0)</f>
        <v>0</v>
      </c>
      <c r="FN41" s="206">
        <f t="shared" si="13"/>
        <v>0</v>
      </c>
      <c r="FO41" s="213"/>
    </row>
    <row r="42">
      <c r="B42" s="229"/>
      <c r="C42" s="217">
        <f t="shared" si="1"/>
        <v>0.00380787037</v>
      </c>
      <c r="D42" s="236"/>
      <c r="E42" s="238"/>
      <c r="F42" s="167"/>
      <c r="G42" s="168" t="str">
        <f t="shared" si="2"/>
        <v/>
      </c>
      <c r="H42" s="169"/>
      <c r="I42" s="169"/>
      <c r="J42" s="169"/>
      <c r="K42" s="170" t="b">
        <v>0</v>
      </c>
      <c r="L42" s="170" t="b">
        <v>0</v>
      </c>
      <c r="M42" s="170" t="b">
        <v>0</v>
      </c>
      <c r="N42" s="171" t="s">
        <v>1070</v>
      </c>
      <c r="O42" s="172" t="b">
        <v>0</v>
      </c>
      <c r="P42" s="173" t="b">
        <v>0</v>
      </c>
      <c r="Q42" s="173" t="b">
        <v>0</v>
      </c>
      <c r="R42" s="173" t="b">
        <v>0</v>
      </c>
      <c r="S42" s="174" t="b">
        <v>0</v>
      </c>
      <c r="T42" s="175" t="b">
        <v>0</v>
      </c>
      <c r="U42" s="173" t="b">
        <v>0</v>
      </c>
      <c r="V42" s="171" t="s">
        <v>1070</v>
      </c>
      <c r="W42" s="172" t="b">
        <v>0</v>
      </c>
      <c r="X42" s="173" t="b">
        <v>0</v>
      </c>
      <c r="Y42" s="173" t="b">
        <v>0</v>
      </c>
      <c r="Z42" s="173" t="b">
        <v>0</v>
      </c>
      <c r="AA42" s="174" t="b">
        <v>0</v>
      </c>
      <c r="AB42" s="174" t="b">
        <v>0</v>
      </c>
      <c r="AC42" s="175" t="b">
        <v>0</v>
      </c>
      <c r="AD42" s="173" t="b">
        <v>0</v>
      </c>
      <c r="AE42" s="176" t="s">
        <v>1070</v>
      </c>
      <c r="AF42" s="171" t="s">
        <v>1070</v>
      </c>
      <c r="AG42" s="177">
        <f>IFERROR(__xludf.DUMMYFUNCTION("IF(
  ISNUMBER(AG41),
  MIN(MAX(
    AG41
    + MAX(
      ROUNDDOWN(($D42 - MAX(IFERROR(FILTER($D$24:$D41, AG$24:AG41 &lt;&gt; AF$6, AG$23:AG40 = AF$6), 0))) * (60 * 60 * 24) / AF$9) - ROUNDDOWN(($D41 - MAX(IFERROR(FILTER($D$23:$D40, AG$23:AG40 &lt;&gt; AF$6, AG$22:"&amp;"AG39 = AF$6), 0))) * (60 * 60 * 24) / 60),
      0
    )
    - COUNTIF(AF42, ""&lt;&gt;-""),
  0), AF$6),
  AF$6 - COUNTIF(AF42, ""&lt;&gt;-"")
)"),2.0)</f>
        <v>2</v>
      </c>
      <c r="AH42" s="173" t="b">
        <v>0</v>
      </c>
      <c r="AI42" s="173" t="b">
        <v>0</v>
      </c>
      <c r="AJ42" s="173" t="b">
        <v>0</v>
      </c>
      <c r="AK42" s="174" t="b">
        <v>0</v>
      </c>
      <c r="AL42" s="175" t="b">
        <v>0</v>
      </c>
      <c r="AM42" s="173" t="b">
        <v>0</v>
      </c>
      <c r="AN42" s="171" t="s">
        <v>1070</v>
      </c>
      <c r="AO42" s="173" t="b">
        <v>0</v>
      </c>
      <c r="AP42" s="173" t="b">
        <v>0</v>
      </c>
      <c r="AQ42" s="173" t="b">
        <v>0</v>
      </c>
      <c r="AR42" s="174" t="b">
        <v>0</v>
      </c>
      <c r="AS42" s="178" t="b">
        <v>0</v>
      </c>
      <c r="AT42" s="179" t="b">
        <v>0</v>
      </c>
      <c r="AU42" s="180" t="b">
        <v>0</v>
      </c>
      <c r="AV42" s="180" t="b">
        <v>0</v>
      </c>
      <c r="AW42" s="180" t="b">
        <v>0</v>
      </c>
      <c r="AX42" s="180" t="b">
        <v>0</v>
      </c>
      <c r="AY42" s="181" t="s">
        <v>1070</v>
      </c>
      <c r="AZ42" s="181" t="s">
        <v>1070</v>
      </c>
      <c r="BA42" s="184">
        <f>IFERROR(__xludf.DUMMYFUNCTION("IF(
  ISNUMBER(BA41),
  MIN(MAX(
    BA41
    + MAX(
      ROUNDDOWN((D42 - MAX(IFERROR(FILTER(D$24:D41, BA$24:BA41 &lt;&gt; AZ$6, BA$23:BA40 = AZ$6), 0))) * (60 * 60 * 24) / AZ$9) - ROUNDDOWN((D41 - MAX(IFERROR(FILTER(D$23:D40, BA$23:BA40 &lt;&gt; AZ$6, BA$22:BA39 ="&amp;" AZ$6), 0))) * (60 * 60 * 24) / AZ$9),
      0
    )
    - COUNTIF(AZ42, ""&lt;&gt;-""),
  0), AZ$6),
  AZ$6 - COUNTIF(AZ42, ""&lt;&gt;-"")
)"),2.0)</f>
        <v>2</v>
      </c>
      <c r="BB42" s="181" t="s">
        <v>1070</v>
      </c>
      <c r="BC42" s="183">
        <f>IFERROR(__xludf.DUMMYFUNCTION("IF(
  ISNUMBER(BC41),
  MIN(MAX(
    BC41
    + MAX(
      ROUNDDOWN(($D42 - MAX(IFERROR(FILTER($D$24:$D41, BC$24:BC41 &lt;&gt; BB$6, BC$23:BC40 = BB$6), 0))) * (60 * 60 * 24) / BB$9) - ROUNDDOWN(($D41 - MAX(IFERROR(FILTER($D$23:$D40, BC$23:BC40 &lt;&gt; BB$6, BC$22:"&amp;"BC39 = BB$6), 0))) * (60 * 60 * 24) / 60),
      0
    )
    - COUNTIF(BB42, ""&lt;&gt;-""),
  0), BB$6),
  BB$6 - COUNTIF(BB42, ""&lt;&gt;-"")
)"),2.0)</f>
        <v>2</v>
      </c>
      <c r="BD42" s="181" t="s">
        <v>1070</v>
      </c>
      <c r="BE42" s="178" t="b">
        <v>0</v>
      </c>
      <c r="BF42" s="180" t="b">
        <v>0</v>
      </c>
      <c r="BG42" s="180" t="b">
        <v>0</v>
      </c>
      <c r="BH42" s="180" t="b">
        <v>0</v>
      </c>
      <c r="BI42" s="180" t="b">
        <v>0</v>
      </c>
      <c r="BJ42" s="180" t="b">
        <v>0</v>
      </c>
      <c r="BK42" s="180" t="b">
        <v>0</v>
      </c>
      <c r="BL42" s="180" t="b">
        <v>0</v>
      </c>
      <c r="BM42" s="180" t="b">
        <v>0</v>
      </c>
      <c r="BN42" s="180" t="b">
        <v>0</v>
      </c>
      <c r="BO42" s="181" t="s">
        <v>1070</v>
      </c>
      <c r="BP42" s="181" t="s">
        <v>1070</v>
      </c>
      <c r="BQ42" s="181" t="s">
        <v>1070</v>
      </c>
      <c r="BR42" s="181" t="s">
        <v>1070</v>
      </c>
      <c r="BS42" s="181" t="s">
        <v>1070</v>
      </c>
      <c r="BT42" s="184">
        <f>IFERROR(__xludf.DUMMYFUNCTION("IF(
  ISNUMBER(BT41),
  MIN(MAX(
    BT41
    + MAX(
      ROUNDDOWN((D42 - MAX(IFERROR(FILTER(D$24:D41, BT$24:BT41 &lt;&gt; BS$6, BT$23:BT40 = BS$6), 0))) * (60 * 60 * 24) / BS$9) - ROUNDDOWN((D41 - MAX(IFERROR(FILTER(D$23:D40, BT$23:BT40 &lt;&gt; BS$6, BT$22:BT39 ="&amp;" BS$6), 0))) * (60 * 60 * 24) / BS$9),
      0
    )
    - COUNTIF(BS42, ""&lt;&gt;-""),
  0), BS$6),
  BS$6 - COUNTIF(BS42, ""&lt;&gt;-"")
)"),3.0)</f>
        <v>3</v>
      </c>
      <c r="BU42" s="181" t="s">
        <v>1070</v>
      </c>
      <c r="BV42" s="181" t="s">
        <v>1070</v>
      </c>
      <c r="BW42" s="184">
        <f>IFERROR(__xludf.DUMMYFUNCTION("IF(
  ISNUMBER(BW41),
  MIN(MAX(
    BW41
    + MAX(
      ROUNDDOWN((D42 - MAX(IFERROR(FILTER(D$24:D41, BW$24:BW41 &lt;&gt; BV$6, BW$23:BW40 = BV$6), 0))) * (60 * 60 * 24) / BV$9) - ROUNDDOWN((D41 - MAX(IFERROR(FILTER(D$23:D40, BW$23:BW40 &lt;&gt; BV$6, BW$22:BW39 ="&amp;" BV$6), 0))) * (60 * 60 * 24) / BV$9),
      0
    )
    - COUNTIF(BV42, ""&lt;&gt;-""),
  0), BV$6),
  BV$6 - COUNTIF(BV42, ""&lt;&gt;-"")
)"),2.0)</f>
        <v>2</v>
      </c>
      <c r="BX42" s="185" t="s">
        <v>1070</v>
      </c>
      <c r="BY42" s="178" t="b">
        <v>0</v>
      </c>
      <c r="BZ42" s="180" t="b">
        <v>0</v>
      </c>
      <c r="CA42" s="180" t="b">
        <v>0</v>
      </c>
      <c r="CB42" s="180" t="b">
        <v>0</v>
      </c>
      <c r="CC42" s="180" t="b">
        <v>0</v>
      </c>
      <c r="CD42" s="180" t="b">
        <v>0</v>
      </c>
      <c r="CE42" s="180" t="b">
        <v>0</v>
      </c>
      <c r="CF42" s="180" t="b">
        <v>0</v>
      </c>
      <c r="CG42" s="180" t="b">
        <v>0</v>
      </c>
      <c r="CH42" s="180" t="b">
        <v>0</v>
      </c>
      <c r="CI42" s="180" t="b">
        <v>0</v>
      </c>
      <c r="CJ42" s="180" t="b">
        <v>0</v>
      </c>
      <c r="CK42" s="180" t="b">
        <v>0</v>
      </c>
      <c r="CL42" s="180" t="b">
        <v>0</v>
      </c>
      <c r="CM42" s="181" t="s">
        <v>1070</v>
      </c>
      <c r="CN42" s="181" t="s">
        <v>1070</v>
      </c>
      <c r="CO42" s="181" t="s">
        <v>1070</v>
      </c>
      <c r="CP42" s="181" t="s">
        <v>1070</v>
      </c>
      <c r="CQ42" s="185" t="s">
        <v>1070</v>
      </c>
      <c r="CR42" s="180" t="b">
        <v>0</v>
      </c>
      <c r="CS42" s="186" t="str">
        <f t="shared" si="14"/>
        <v>◇◇◇</v>
      </c>
      <c r="CT42" s="178" t="b">
        <v>0</v>
      </c>
      <c r="CU42" s="180" t="b">
        <v>0</v>
      </c>
      <c r="CV42" s="180" t="b">
        <v>0</v>
      </c>
      <c r="CW42" s="180" t="b">
        <v>0</v>
      </c>
      <c r="CX42" s="180" t="b">
        <v>0</v>
      </c>
      <c r="CY42" s="180" t="b">
        <v>0</v>
      </c>
      <c r="CZ42" s="180" t="b">
        <v>0</v>
      </c>
      <c r="DA42" s="180" t="b">
        <v>0</v>
      </c>
      <c r="DB42" s="180" t="b">
        <v>0</v>
      </c>
      <c r="DC42" s="180" t="b">
        <v>0</v>
      </c>
      <c r="DD42" s="181" t="s">
        <v>1070</v>
      </c>
      <c r="DE42" s="181" t="s">
        <v>1070</v>
      </c>
      <c r="DF42" s="181" t="s">
        <v>1070</v>
      </c>
      <c r="DG42" s="185" t="s">
        <v>1070</v>
      </c>
      <c r="DH42" s="180" t="b">
        <v>0</v>
      </c>
      <c r="DI42" s="187" t="str">
        <f>IFERROR(__xludf.DUMMYFUNCTION("SWITCH(
  IF(
    ISTEXT(DI41),
    IF (
      FIND(""○"", DI41&amp;""○"") &gt; 3,
      3,
      FIND(""○"", DI41&amp;""○"")
      + MAX(
        ROUNDDOWN(($D42 - MAX(IFERROR(FILTER(D$24:D41, DI$24:DI41 &lt;&gt; ""●●●"", DI$23:DI40 = ""●●●""), 0))) * (60 * 60 * 24) / 20"&amp;") - ROUNDDOWN(($D41 - MAX(IFERROR(FILTER(D$23:D40, DI$23:DI40 &lt;&gt; ""●●●"", DI$22:DI39 = ""●●●""), 0))) * (60 * 60 * 24) / 20),
        0
      ) - 1
    ) - COUNTIFS(CU42, ""=TRUE"", CU41, ""&lt;&gt;TRUE"") - COUNTIF(CZ42, ""=TRUE"") - COUNTIF({DD42,DE42}, ""&lt;&gt;-"&amp;""") + COUNTIF(DH42, ""=TRUE""),
    3
  ),
  0, ""○○○"", 1, ""●○○"", 2, ""●●○"", 3, ""●●●"", 4, ""●●●"", ""○○○""
)"),"●●●")</f>
        <v>●●●</v>
      </c>
      <c r="DJ42" s="188" t="b">
        <v>0</v>
      </c>
      <c r="DK42" s="189" t="b">
        <v>0</v>
      </c>
      <c r="DL42" s="190" t="b">
        <v>0</v>
      </c>
      <c r="DM42" s="190" t="b">
        <v>0</v>
      </c>
      <c r="DN42" s="190" t="b">
        <v>0</v>
      </c>
      <c r="DO42" s="190" t="b">
        <v>0</v>
      </c>
      <c r="DP42" s="190" t="b">
        <v>0</v>
      </c>
      <c r="DQ42" s="191" t="b">
        <v>0</v>
      </c>
      <c r="DR42" s="192" t="b">
        <v>0</v>
      </c>
      <c r="DS42" s="191" t="b">
        <v>0</v>
      </c>
      <c r="DT42" s="192" t="b">
        <v>0</v>
      </c>
      <c r="DU42" s="191" t="b">
        <v>0</v>
      </c>
      <c r="DV42" s="193" t="s">
        <v>1070</v>
      </c>
      <c r="DW42" s="194" t="b">
        <v>0</v>
      </c>
      <c r="DX42" s="194" t="b">
        <v>0</v>
      </c>
      <c r="DY42" s="195" t="b">
        <v>0</v>
      </c>
      <c r="DZ42" s="196" t="b">
        <v>0</v>
      </c>
      <c r="EA42" s="195" t="b">
        <v>0</v>
      </c>
      <c r="EB42" s="197" t="b">
        <v>0</v>
      </c>
      <c r="EC42" s="197" t="b">
        <v>0</v>
      </c>
      <c r="ED42" s="212" t="b">
        <v>0</v>
      </c>
      <c r="EE42" s="199">
        <f>IFERROR(__xludf.DUMMYFUNCTION("IFERROR(
   PRODUCT(
     MAP(
       INDEX(TRANSPOSE(UNIQUE(TRANSPOSE(FILTER({IF($F42=""Physical"", K$10:ED$10, IF($F42=""Magic"", K$11:ED$11, K$12:ED$12));K$4:ED$4;K42:ED42}, K42:ED42=TRUE)))), 1, 0),
       INDEX(TRANSPOSE(UNIQUE(TRANSPOSE(FILTER({IF($"&amp;"F42=""Physical"", K$18:ED$18, IF($F42=""Magic"", K$19:ED$19, K$20:ED$20));K$4:ED$4;K42:ED42}, K42:ED42=TRUE)))), 1, 0),
       INDEX(TRANSPOSE(UNIQUE(TRANSPOSE(FILTER({K$5:ED$5;K$4:ED$4;K42:ED42}, K42:ED42=TRUE)))), 1, 0),
       INDEX(TRANSPOSE(UNIQUE(TR"&amp;"ANSPOSE(FILTER({K$17:ED$17;K$4:ED$4;K42:ED42}, K42:ED42=TRUE)))), 1, 0),
       LAMBDA(
         mitigation,
         enhance,
         assign,
         precondition,
         IF(
           REGEXMATCH(assign, ""RANGE_PARTY|SINGLE_ENEMY|RANGE_ENEMY""),
  "&amp;"         IF(
             OR(ARRAYFORMULA((IF(precondition="""", FALSE, REGEXMATCH(K$4:ED$4, precondition))) * (K42:ED42=TRUE))),
             IF(ISNUMBER(enhance), enhance, 1),
             IF(ISNUMBER(mitigation), mitigation, 1)
           ),
          "&amp;" 1
         )
       )
     )
   ),
   1
 )"),1.0)</f>
        <v>1</v>
      </c>
      <c r="EF42" s="200">
        <f>IFERROR(__xludf.DUMMYFUNCTION("PRODUCT(
   MAP(
     K$14:ED$14,
     K$13:ED$13,
     K42:ED42,
     LAMBDA(
       buff,
       target,
       check,
       IF(
         AND(check=TRUE, REGEXMATCH(target, ""RANGE_AFFECTED_ALL|RANGE_EFFECTED_ALL""), ISNUMBER(buff)),
         buff,
   "&amp;"      1
       )
     )
   )
 )"),1.0)</f>
        <v>1</v>
      </c>
      <c r="EG42" s="200">
        <f>IFERROR(__xludf.DUMMYFUNCTION("PRODUCT(
   MAP(
     K$14:ED$14,
     K$13:ED$13,
     K42:ED42,
     LAMBDA(
       buff,
       target,
       check,
       IF(
         AND(check=TRUE, REGEXMATCH(target, ""RANGE_AFFECTED_GCD|RANGE_EFFECTED_GCD""), ISNUMBER(buff)),
         buff,
   "&amp;"      1
       )
     )
   )
 )"),1.0)</f>
        <v>1</v>
      </c>
      <c r="EH42" s="200">
        <f>IFERROR(__xludf.DUMMYFUNCTION("PRODUCT(
   MAP(
     K$3:ED$3,
     K$14:ED$14,
     K$13:ED$13,
     K42:ED42,
     LAMBDA(
       job,
       buff,
       target,
       check,
       IF(
         AND(check=TRUE, REGEXMATCH(target, ""SELF_EFFECTED_ALL""), ISNUMBER(buff), job=""白魔道士"""&amp;"),
         buff,
         1
       )
     )
   )
 )"),1.0)</f>
        <v>1</v>
      </c>
      <c r="EI42" s="200">
        <f>IFERROR(__xludf.DUMMYFUNCTION("PRODUCT(
   MAP(
     K$3:ED$3,
     K$14:ED$14,
     K$13:ED$13,
     K42:ED42,
     LAMBDA(
       job,
       buff,
       target,
       check,
       IF(
         AND(check=TRUE, REGEXMATCH(target, ""SELF_EFFECTED_GCD""), ISNUMBER(buff), job=""白魔道士"""&amp;"),
         buff,
         1
       )
     )
   )
 )"),1.0)</f>
        <v>1</v>
      </c>
      <c r="EJ42" s="200">
        <f>IFERROR(__xludf.DUMMYFUNCTION("PRODUCT(
   MAP(
     K$3:ED$3,
     K$14:ED$14,
     K$13:ED$13,
     K42:ED42,
     LAMBDA(
       job,
       buff,
       target,
       check,
       IF(
         AND(check=TRUE, REGEXMATCH(target, ""SELF_EFFECTED_ALL""), ISNUMBER(buff), job=""占星術師"""&amp;"),
         buff,
         1
       )
     )
   )
 )"),1.0)</f>
        <v>1</v>
      </c>
      <c r="EK42" s="200">
        <f>IFERROR(__xludf.DUMMYFUNCTION("PRODUCT(
   MAP(
     K$3:ED$3,
     K$14:ED$14,
     K$13:ED$13,
     K42:ED42,
     LAMBDA(
       job,
       buff,
       target,
       check,
       IF(
         AND(check=TRUE, REGEXMATCH(target, ""SELF_EFFECTED_GCD""), ISNUMBER(buff), job=""占星術師"""&amp;"),
         buff,
         1
       )
     )
   )
 )"),1.0)</f>
        <v>1</v>
      </c>
      <c r="EL42" s="200">
        <f>IFERROR(__xludf.DUMMYFUNCTION("PRODUCT(
   MAP(
     K$3:ED$3,
     K$14:ED$14,
     K$13:ED$13,
     K42:ED42,
     LAMBDA(
       job,
       buff,
       target,
       check,
       IF(
         AND(check=TRUE, REGEXMATCH(target, ""SELF_EFFECTED_ALL""), ISNUMBER(buff), job=""学者""),"&amp;"
         buff,
         1
       )
     )
   )
 )"),1.0)</f>
        <v>1</v>
      </c>
      <c r="EM42" s="200">
        <f>IFERROR(__xludf.DUMMYFUNCTION("PRODUCT(
   MAP(
     K$3:ED$3,
     K$14:ED$14,
     K$13:ED$13,
     K42:ED42,
     LAMBDA(
       job,
       buff,
       target,
       check,
       IF(
         AND(check=TRUE, REGEXMATCH(target, ""SELF_EFFECTED_GCD""), ISNUMBER(buff), job=""学者""),"&amp;"
         buff,
         1
       )
     )
   )
 )"),1.0)</f>
        <v>1</v>
      </c>
      <c r="EN42" s="200">
        <f>IFERROR(__xludf.DUMMYFUNCTION("PRODUCT(
   MAP(
     K$3:ED$3,
     K$14:ED$14,
     K$13:ED$13,
     K42:ED42,
     LAMBDA(
       job,
       buff,
       target,
       check,
       IF(
         AND(check=TRUE, REGEXMATCH(target, ""SELF_EFFECTED_ALL""), ISNUMBER(buff), job=""賢者""),"&amp;"
         buff,
         1
       )
     )
   )
 )"),1.0)</f>
        <v>1</v>
      </c>
      <c r="EO42" s="200">
        <f>IFERROR(__xludf.DUMMYFUNCTION("PRODUCT(
   MAP(
     K$3:ED$3,
     K$14:ED$14,
     K$13:ED$13,
     K42:ED42,
     LAMBDA(
       job,
       buff,
       target,
       check,
       IF(
         AND(check=TRUE, REGEXMATCH(target, ""SELF_EFFECTED_GCD""), ISNUMBER(buff), job=""賢者""),"&amp;"
         buff,
         1
       )
     )
   )
 )"),1.0)</f>
        <v>1</v>
      </c>
      <c r="EP42" s="201">
        <f t="shared" si="3"/>
        <v>0</v>
      </c>
      <c r="EQ42" s="201">
        <f>IFERROR(__xludf.DUMMYFUNCTION("SUM(
   MAP(
     K$4:ED$4,
     K$3:ED$3,
     K$7:ED$7,
     K$15:ED$15,
     K$16:ED$16,
     K$21:ED$21,
     K$5:ED$5,
     K$17:ED$17,
     K42:ED42,
     LAMBDA(
       name,
       job,
       abillity,
       buff,
       barrier,
       enhance,"&amp;"
       assign,
       precondition,
       check,
       SWITCH(
         name,
         ""シェイクオフ"", IF(check=TRUE, buff + (0.02 * COUNTIF(ARRAYFORMULA((REGEXMATCH($K$4:$ED$4, ""スリル・オブ・バトル|ヴェンジェンス|原初の血気|ダムネーション"")) * (K42:ED42=TRUE)), 1)), 0),
         "&amp;"""インプロビゼーションフィニッシュ(踊りの激情0)"", IF(ISNUMBER(check), INDEX(Skill!$AJ:$AJ, MATCH(SUBSTITUTE(DV$4, 0, check), Skill!$C:$C, 0)), 0),
         IF(
           AND(check=TRUE, REGEXMATCH(assign, ""RANGE_PARTY"")),
           IF(
             OR(ARRAYFORMULA((IF(pr"&amp;"econdition="""", FALSE, REGEXMATCH($K$4:$ED$4, precondition))) * (K42:ED42=TRUE))),
             enhance,
             IF(barrier="""", buff, barrier)
           ),
           0
         )
       ) *
       SWITCH(
         job,
         ""ナイト"", EY$24,
 "&amp;"        ""戦士"", FD$24,
         ""踊り子"", ET$24,
         ""ピクトマンサー"", ET$24,
         ""白魔道士"", EF42 * EH42 * IF(abillity, 1, EG42 * EI42) * (Option!$D$22 * 0.81 / 100),
         ""占星術師"", EF42 * EJ42 * IF(abillity, 1, EG42 * EK42) * (Option!$D$23 * 0.81 "&amp;"/ 100),
         ""学者"", EF42 * EL42 * IF(abillity, 1, EG42 * EM42) * (Option!$D$24 * 0.81 / 100),
         ""賢者"", EF42 * EN42 * IF(abillity, 1, EG42 * EO42) * (Option!$D$25 * 0.81 / 100),
         1
       )
     )
   )
 )"),0.0)</f>
        <v>0</v>
      </c>
      <c r="ER42" s="202">
        <f t="shared" si="4"/>
        <v>0</v>
      </c>
      <c r="ES42" s="203">
        <f t="shared" si="5"/>
        <v>0</v>
      </c>
      <c r="ET42" s="231" t="str">
        <f>IFERROR(__xludf.DUMMYFUNCTION("IFS(
  EP42 &gt; $ET$24 + EQ42,
  SPARKLINE({ 1, 0 }, {""charttype"",""bar"";""max"", 1;""color1"",Option!$D$30;""color2"",Option!$D$30}),
  EP42 &lt; EQ42,
  SPARKLINE({EQ42 - EP42, $ET$24 - (EQ42 - EP42)}, {""charttype"",""bar"";""max"",$ET$24;""color1"",Opti"&amp;"on!$D$28;""color2"",Option!$D$29}),
  EP42 &gt;= EQ42,
  SPARKLINE({$ET$24 + EQ42 - EP42,EP42 - EQ42}, {""charttype"",""bar"";""max"",$ET$24;""color1"",Option!$D$29;""color2"",Option!$D$30})
)"),"")</f>
        <v/>
      </c>
      <c r="EU42" s="205">
        <f>IFERROR(__xludf.DUMMYFUNCTION("PRODUCT(
   MAP(
     IF($F42=""Physical"", K$10:ED$10, IF($F42=""Magic"", K$11:ED$11, K$12:ED$12)),
     IF($F42=""Physical"", K$18:ED$18, IF($F42=""Magic"", K$19:ED$19, K$20:ED$20)),
     K$3:ED$3,
     K$5:ED$5,
     K$17:ED$17,
     K42:ED42,
     LAM"&amp;"BDA(
       mitigation,
       enhance,
       job,
       assign,
       precondition,
       check,
       IF(
         OR(AND(check=TRUE, REGEXMATCH(assign, ""SELF""), job=""ナイト""), AND(check=Option!$E$13, REGEXMATCH(assign, ""SINGLE_PARTY""))),
      "&amp;"   IF(
           OR(ARRAYFORMULA((IF(precondition="""", FALSE, REGEXMATCH($K$4:$ED$4, precondition))) * (K42:ED42=TRUE))),
           enhance,
           mitigation
         ),
         1
       )
     )
   )
 ) * EE42"),1.0)</f>
        <v>1</v>
      </c>
      <c r="EV42" s="206">
        <f t="shared" si="6"/>
        <v>0</v>
      </c>
      <c r="EW42" s="205">
        <f>IFERROR(__xludf.DUMMYFUNCTION("PRODUCT(
   MAP(
     K$3:ED$3,
     K$14:ED$14,
     K$13:ED$13,
     K42:ED42,
     LAMBDA(
       job,
       buff,
       target,
       check,
       IF(
         OR(AND(check=TRUE, REGEXMATCH(target, ""SELF_AFFECTED_ALL""), job=""ナイト""), AND(check=O"&amp;"ption!$E$13, REGEXMATCH(target, ""SINGLE_AFFECTED_ALL""))),
         buff,
         1
       )
     )
   )
 )"),1.0)</f>
        <v>1</v>
      </c>
      <c r="EX42" s="206">
        <f>IFERROR(__xludf.DUMMYFUNCTION("SUM(
   MAP(
     K$3:ED$3,
     K$7:ED$7,
     K$15:ED$15,
     K$16:ED$16,
     K$21:ED$21,
     K$5:ED$5,
     K$17:ED$17,
     K42:ED42,
     LAMBDA(
       job,
       abillity,
       buff,
       barrier,
       enhance,
       assign,
       preco"&amp;"ndition,
       check,
       IF(
         OR(AND(check=TRUE, REGEXMATCH(assign, ""SELF""), job=""ナイト""), AND(check=Option!$E$13, REGEXMATCH(assign, ""SINGLE_PARTY""))),
         IF(
           OR(ARRAYFORMULA((IF(precondition="""", FALSE, REGEXMATCH($K$4"&amp;":$ED$4, precondition))) * (K42:ED42=TRUE))),
           enhance,
           IF(barrier="""", buff, barrier)
         ),
         0
       ) *
       SWITCH(
         job,
         ""暗黒騎士"", EY$24,
         ""白魔道士"", EF42 * EH42 * EW42 * IF(abillity, 1, EG"&amp;"42 * EI42) * (Option!$D$22 * 0.81 / 100),
         ""占星術師"", EF42 * EJ42 * EW42 * IF(abillity, 1, EG42 * EK42) * (Option!$D$23 * 0.81 / 100),
         ""学者"", EF42 * EL42 * EW42 * IF(abillity, 1, EG42 * EM42) * (Option!$D$24 * 0.81 / 100),
         ""賢者"""&amp;", EF42 * EN42 * EW42 * IF(abillity, 1, EG42 * EO42) * (Option!$D$25 * 0.81 / 100),
         1
       )
     )
   )
 ) + EQ42"),0.0)</f>
        <v>0</v>
      </c>
      <c r="EY42" s="232">
        <f t="shared" si="7"/>
        <v>0</v>
      </c>
      <c r="EZ42" s="205">
        <f>IFERROR(__xludf.DUMMYFUNCTION("PRODUCT(
   MAP(
     IF($F42=""Physical"", K$10:ED$10, IF($F42=""Magic"", K$11:ED$11, K$12:ED$12)),
     IF($F42=""Physical"", K$18:ED$18, IF($F42=""Magic"", K$19:ED$19, K$20:ED$20)),
     K$3:ED$3,
     K$5:ED$5,
     K$17:ED$17,
     K42:ED42,
     LAM"&amp;"BDA(
       mitigation,
       enhance,
       job,
       assign,
       precondition,
       check,
       IF(
         OR(AND(check=TRUE, REGEXMATCH(assign, ""SELF""), job=""戦士""), AND(check=Option!$F$13, REGEXMATCH(assign, ""SINGLE_PARTY""))),
       "&amp;"  IF(
           OR(ARRAYFORMULA((IF(precondition="""", FALSE, REGEXMATCH($K$4:$ED$4, precondition))) * (K42:ED42=TRUE))),
           enhance,
           mitigation
         ),
         1
       )
     )
   )
 ) * EE42"),1.0)</f>
        <v>1</v>
      </c>
      <c r="FA42" s="206">
        <f t="shared" si="8"/>
        <v>0</v>
      </c>
      <c r="FB42" s="205">
        <f>IFERROR(__xludf.DUMMYFUNCTION("PRODUCT(
   MAP(
     K$3:ED$3,
     K$14:ED$14,
     K$13:ED$13,
     K42:ED42,
     LAMBDA(
       job,
       buff,
       target,
       check,
       IF(
         OR(AND(check=TRUE, REGEXMATCH(target, ""SELF_AFFECTED_ALL""), job=""戦士""), AND(check=Op"&amp;"tion!$F$13, REGEXMATCH(target, ""SINGLE_AFFECTED_ALL""))),
         buff,
         1
       )
     )
   )
 )"),1.0)</f>
        <v>1</v>
      </c>
      <c r="FC42" s="206">
        <f>IFERROR(__xludf.DUMMYFUNCTION("SUM(
   MAP(
     K$3:ED$3,
     K$7:ED$7,
     K$15:ED$15,
     K$16:ED$16,
     K$21:ED$21,
     K$5:ED$5,
     K$17:ED$17,
     K42:ED42,
     LAMBDA(
       job,
       abillity,
       buff,
       barrier,
       enhance,
       assign,
       preco"&amp;"ndition,
       check,
       IF(
         OR(AND(check=TRUE, REGEXMATCH(assign, ""SELF""), job=""戦士""), AND(check=Option!$F$13, REGEXMATCH(assign, ""SINGLE_PARTY""))),
         IF(
           OR(ARRAYFORMULA((IF(precondition="""", FALSE, REGEXMATCH($K$4:"&amp;"$ED$4, precondition))) * (K42:ED42=TRUE))),
           enhance,
           IF(barrier="""", buff, barrier)
         ),
         0
       ) *
       SWITCH(
         job,
         ""暗黒騎士"", FD$24,
         ""白魔道士"", EF42 * EH42 * FB42 * IF(abillity, 1, EG4"&amp;"2 * EI42) * (Option!$D$22 * 0.81 / 100),
         ""占星術師"", EF42 * EJ42 * FFB42 * IF(abillity, 1, EG42 * EK42) * (Option!$D$23 * 0.81 / 100),
         ""学者"", EF42 * EL42 * FB42 * IF(abillity, 1, EG42 * EM42) * (Option!$D$24 * 0.81 / 100),
         ""賢者"""&amp;", EF42 * EN42 * FB42 * IF(abillity, 1, EG42 * EO42) * (Option!$D$25 * 0.81 / 100),
         1
       )
     )
   )
 ) + EQ42"),0.0)</f>
        <v>0</v>
      </c>
      <c r="FD42" s="206">
        <f t="shared" si="9"/>
        <v>0</v>
      </c>
      <c r="FE42" s="205">
        <f>IFERROR(__xludf.DUMMYFUNCTION("PRODUCT(
   MAP(
     IF($F42=""Physical"", K$10:ED$10, IF($F42=""Magic"", K$11:ED$11, K$12:ED$12)),
     IF($F42=""Physical"", K$18:ED$18, IF($F42=""Magic"", K$19:ED$19, K$20:ED$20)),
     K$3:ED$3,
     K$5:ED$5,
     K$17:ED$17,
     K42:ED42,
     LAM"&amp;"BDA(
       mitigation,
       enhance,
       job,
       assign,
       precondition,
       check,
       IF(
         OR(AND(check=TRUE, REGEXMATCH(assign, ""SELF""), job=""暗黒騎士""), AND(check=Option!$G$13, REGEXMATCH(assign, ""SINGLE_PARTY""))),
     "&amp;"    IF(
           OR(ARRAYFORMULA((IF(precondition="""", FALSE, REGEXMATCH($K$4:$ED$4, precondition))) * (K42:ED42=TRUE))),
           enhance,
           mitigation
         ),
         1
       )
     )
   )
 ) * EE42"),1.0)</f>
        <v>1</v>
      </c>
      <c r="FF42" s="206">
        <f t="shared" si="10"/>
        <v>0</v>
      </c>
      <c r="FG42" s="205">
        <f>IFERROR(__xludf.DUMMYFUNCTION("PRODUCT(
   MAP(
     K$3:ED$3,
     K$14:ED$14,
     K$13:ED$13,
     K42:ED42,
     LAMBDA(
       job,
       buff,
       target,
       check,
       IF(
         OR(AND(check=TRUE, REGEXMATCH(target, ""SELF_AFFECTED_ALL""), job=""暗黒騎士""), AND(check="&amp;"Option!$G$13, REGEXMATCH(target, ""SINGLE_AFFECTED_ALL""))),
         buff,
         1
       )
     )
   )
 )"),1.0)</f>
        <v>1</v>
      </c>
      <c r="FH42" s="206">
        <f>IFERROR(__xludf.DUMMYFUNCTION("SUM(
   MAP(
     K$3:ED$3,
     K$7:ED$7,
     K$15:ED$15,
     K$16:ED$16,
     K$21:ED$21,
     K$5:ED$5,
     K$17:ED$17,
     K42:ED42,
     LAMBDA(
       job,
       abillity,
       buff,
       barrier,
       enhance,
       assign,
       preco"&amp;"ndition,
       check,
       IF(
         OR(AND(check=TRUE, REGEXMATCH(assign, ""SELF""), job=""暗黒騎士""), AND(check=Option!$G$13, REGEXMATCH(assign, ""SINGLE_PARTY""))),
         IF(
           OR(ARRAYFORMULA((IF(precondition="""", FALSE, REGEXMATCH($K$"&amp;"4:$ED$4, precondition))) * (K42:ED42=TRUE))),
           enhance,
           IF(barrier="""", buff, barrier)
         ),
         0
       ) *
       SWITCH(
         job,
         ""暗黒騎士"", FI$24,
         ""白魔道士"", EF42 * EH42 * FG42 * IF(abillity, 1, E"&amp;"G42 * EI42) * (Option!$D$22 * 0.81 / 100),
         ""占星術師"", EF42 * EJ42 * FG42 * IF(abillity, 1, EG42 * EK42) * (Option!$D$23 * 0.81 / 100),
         ""学者"", EF42 * EL42 * FG42 * IF(abillity, 1, EG42 * EM42) * (Option!$D$24 * 0.81 / 100),
         ""賢者"&amp;""", EF42 * EN42 * FG42 * IF(abillity, 1, EG42 * EO42) * (Option!$D$25 * 0.81 / 100),
         1
       )
     )
   )
 ) + EQ42"),0.0)</f>
        <v>0</v>
      </c>
      <c r="FI42" s="206">
        <f t="shared" si="11"/>
        <v>0</v>
      </c>
      <c r="FJ42" s="205">
        <f>IFERROR(__xludf.DUMMYFUNCTION("PRODUCT(
   MAP(
     IF($F42=""Physical"", K$10:ED$10, IF($F42=""Magic"", K$11:ED$11, K$12:ED$12)),
     IF($F42=""Physical"", K$18:ED$18, IF($F42=""Magic"", K$19:ED$19, K$20:ED$20)),
     K$3:ED$3,
     K$5:ED$5,
     K$17:ED$17,
     K42:ED42,
     LAM"&amp;"BDA(
       mitigation,
       enhance,
       job,
       assign,
       precondition,
       check,
       IF(
         OR(AND(check=TRUE, REGEXMATCH(assign, ""SELF""), job=""ガンブレイカー""), AND(check=Option!$H$13, REGEXMATCH(assign, ""SINGLE_PARTY""))),
  "&amp;"       IF(
           OR(ARRAYFORMULA((IF(precondition="""", FALSE, REGEXMATCH($K$4:$ED$4, precondition))) * (K42:ED42=TRUE))),
           enhance,
           mitigation
         ),
         1
       )
     )
   )
 ) * EE42"),1.0)</f>
        <v>1</v>
      </c>
      <c r="FK42" s="206">
        <f t="shared" si="12"/>
        <v>0</v>
      </c>
      <c r="FL42" s="205">
        <f>IFERROR(__xludf.DUMMYFUNCTION("PRODUCT(
   MAP(
     K$3:ED$3,
     K$14:ED$14,
     K$13:ED$13,
     K42:ED42,
     LAMBDA(
       job,
       buff,
       target,
       check,
       IF(
         OR(AND(check=TRUE, REGEXMATCH(target, ""SELF_AFFECTED_ALL""), job=""ガンブレイカー""), AND(che"&amp;"ck=Option!$H$13, REGEXMATCH(target, ""SINGLE_AFFECTED_ALL""))),
         buff,
         1
       )
     )
   )
 )"),1.0)</f>
        <v>1</v>
      </c>
      <c r="FM42" s="206">
        <f>IFERROR(__xludf.DUMMYFUNCTION("SUM(
   MAP(
     K$3:ED$3,
     K$7:ED$7,
     K$15:ED$15,
     K$16:ED$16,
     K$21:ED$21,
     K$5:ED$5,
     K$17:ED$17,
     K42:ED42,
     LAMBDA(
       job,
       abillity,
       buff,
       barrier,
       enhance,
       assign,
       preco"&amp;"ndition,
       check,
       IF(
         OR(AND(check=TRUE, REGEXMATCH(assign, ""SELF""), job=""ガンブレイカー""), AND(check=Option!$H$13, REGEXMATCH(assign, ""SINGLE_PARTY""))),
         IF(
           OR(ARRAYFORMULA((IF(precondition="""", FALSE, REGEXMATCH("&amp;"$K$4:$ED$4, precondition))) * (K42:ED42=TRUE))),
           enhance,
           IF(barrier="""", buff, barrier)
         ),
         0
       ) *
       SWITCH(
         job,
         ""暗黒騎士"", FN$24,
         ""白魔道士"", EF42 * EH42 * FL42 * IF(abillity, 1"&amp;", EG42 * EI42) * (Option!$D$22 * 0.81 / 100),
         ""占星術師"", EF42 * EJ42 * FL42 * IF(abillity, 1, EG42 * EK42) * (Option!$D$23 * 0.81 / 100),
         ""学者"", EF42 * EL42 * FL42 * IF(abillity, 1, EG42 * EM42) * (Option!$D$24 * 0.81 / 100),
         """&amp;"賢者"", EF42 * EN42 * FL42 * IF(abillity, 1, EG42 * EO42) * (Option!$D$25 * 0.81 / 100),
         1
       )
     )
   )
 ) + EQ42"),0.0)</f>
        <v>0</v>
      </c>
      <c r="FN42" s="206">
        <f t="shared" si="13"/>
        <v>0</v>
      </c>
      <c r="FO42" s="213"/>
    </row>
    <row r="43">
      <c r="B43" s="229"/>
      <c r="C43" s="217">
        <f t="shared" si="1"/>
        <v>0.00380787037</v>
      </c>
      <c r="D43" s="236"/>
      <c r="E43" s="238"/>
      <c r="F43" s="167"/>
      <c r="G43" s="168" t="str">
        <f t="shared" si="2"/>
        <v/>
      </c>
      <c r="H43" s="169"/>
      <c r="I43" s="169"/>
      <c r="J43" s="169"/>
      <c r="K43" s="170" t="b">
        <v>0</v>
      </c>
      <c r="L43" s="170" t="b">
        <v>0</v>
      </c>
      <c r="M43" s="170" t="b">
        <v>0</v>
      </c>
      <c r="N43" s="171" t="s">
        <v>1070</v>
      </c>
      <c r="O43" s="172" t="b">
        <v>0</v>
      </c>
      <c r="P43" s="173" t="b">
        <v>0</v>
      </c>
      <c r="Q43" s="173" t="b">
        <v>0</v>
      </c>
      <c r="R43" s="173" t="b">
        <v>0</v>
      </c>
      <c r="S43" s="174" t="b">
        <v>0</v>
      </c>
      <c r="T43" s="175" t="b">
        <v>0</v>
      </c>
      <c r="U43" s="173" t="b">
        <v>0</v>
      </c>
      <c r="V43" s="171" t="s">
        <v>1070</v>
      </c>
      <c r="W43" s="172" t="b">
        <v>0</v>
      </c>
      <c r="X43" s="173" t="b">
        <v>0</v>
      </c>
      <c r="Y43" s="173" t="b">
        <v>0</v>
      </c>
      <c r="Z43" s="173" t="b">
        <v>0</v>
      </c>
      <c r="AA43" s="174" t="b">
        <v>0</v>
      </c>
      <c r="AB43" s="174" t="b">
        <v>0</v>
      </c>
      <c r="AC43" s="175" t="b">
        <v>0</v>
      </c>
      <c r="AD43" s="173" t="b">
        <v>0</v>
      </c>
      <c r="AE43" s="176" t="s">
        <v>1070</v>
      </c>
      <c r="AF43" s="171" t="s">
        <v>1070</v>
      </c>
      <c r="AG43" s="177">
        <f>IFERROR(__xludf.DUMMYFUNCTION("IF(
  ISNUMBER(AG42),
  MIN(MAX(
    AG42
    + MAX(
      ROUNDDOWN(($D43 - MAX(IFERROR(FILTER($D$24:$D42, AG$24:AG42 &lt;&gt; AF$6, AG$23:AG41 = AF$6), 0))) * (60 * 60 * 24) / AF$9) - ROUNDDOWN(($D42 - MAX(IFERROR(FILTER($D$23:$D41, AG$23:AG41 &lt;&gt; AF$6, AG$22:"&amp;"AG40 = AF$6), 0))) * (60 * 60 * 24) / 60),
      0
    )
    - COUNTIF(AF43, ""&lt;&gt;-""),
  0), AF$6),
  AF$6 - COUNTIF(AF43, ""&lt;&gt;-"")
)"),2.0)</f>
        <v>2</v>
      </c>
      <c r="AH43" s="173" t="b">
        <v>0</v>
      </c>
      <c r="AI43" s="173" t="b">
        <v>0</v>
      </c>
      <c r="AJ43" s="173" t="b">
        <v>0</v>
      </c>
      <c r="AK43" s="174" t="b">
        <v>0</v>
      </c>
      <c r="AL43" s="175" t="b">
        <v>0</v>
      </c>
      <c r="AM43" s="173" t="b">
        <v>0</v>
      </c>
      <c r="AN43" s="171" t="s">
        <v>1070</v>
      </c>
      <c r="AO43" s="173" t="b">
        <v>0</v>
      </c>
      <c r="AP43" s="173" t="b">
        <v>0</v>
      </c>
      <c r="AQ43" s="173" t="b">
        <v>0</v>
      </c>
      <c r="AR43" s="174" t="b">
        <v>0</v>
      </c>
      <c r="AS43" s="178" t="b">
        <v>0</v>
      </c>
      <c r="AT43" s="179" t="b">
        <v>0</v>
      </c>
      <c r="AU43" s="180" t="b">
        <v>0</v>
      </c>
      <c r="AV43" s="180" t="b">
        <v>0</v>
      </c>
      <c r="AW43" s="180" t="b">
        <v>0</v>
      </c>
      <c r="AX43" s="180" t="b">
        <v>0</v>
      </c>
      <c r="AY43" s="181" t="s">
        <v>1070</v>
      </c>
      <c r="AZ43" s="181" t="s">
        <v>1070</v>
      </c>
      <c r="BA43" s="184">
        <f>IFERROR(__xludf.DUMMYFUNCTION("IF(
  ISNUMBER(BA42),
  MIN(MAX(
    BA42
    + MAX(
      ROUNDDOWN((D43 - MAX(IFERROR(FILTER(D$24:D42, BA$24:BA42 &lt;&gt; AZ$6, BA$23:BA41 = AZ$6), 0))) * (60 * 60 * 24) / AZ$9) - ROUNDDOWN((D42 - MAX(IFERROR(FILTER(D$23:D41, BA$23:BA41 &lt;&gt; AZ$6, BA$22:BA40 ="&amp;" AZ$6), 0))) * (60 * 60 * 24) / AZ$9),
      0
    )
    - COUNTIF(AZ43, ""&lt;&gt;-""),
  0), AZ$6),
  AZ$6 - COUNTIF(AZ43, ""&lt;&gt;-"")
)"),2.0)</f>
        <v>2</v>
      </c>
      <c r="BB43" s="181" t="s">
        <v>1070</v>
      </c>
      <c r="BC43" s="183">
        <f>IFERROR(__xludf.DUMMYFUNCTION("IF(
  ISNUMBER(BC42),
  MIN(MAX(
    BC42
    + MAX(
      ROUNDDOWN(($D43 - MAX(IFERROR(FILTER($D$24:$D42, BC$24:BC42 &lt;&gt; BB$6, BC$23:BC41 = BB$6), 0))) * (60 * 60 * 24) / BB$9) - ROUNDDOWN(($D42 - MAX(IFERROR(FILTER($D$23:$D41, BC$23:BC41 &lt;&gt; BB$6, BC$22:"&amp;"BC40 = BB$6), 0))) * (60 * 60 * 24) / 60),
      0
    )
    - COUNTIF(BB43, ""&lt;&gt;-""),
  0), BB$6),
  BB$6 - COUNTIF(BB43, ""&lt;&gt;-"")
)"),2.0)</f>
        <v>2</v>
      </c>
      <c r="BD43" s="181" t="s">
        <v>1070</v>
      </c>
      <c r="BE43" s="178" t="b">
        <v>0</v>
      </c>
      <c r="BF43" s="180" t="b">
        <v>0</v>
      </c>
      <c r="BG43" s="180" t="b">
        <v>0</v>
      </c>
      <c r="BH43" s="180" t="b">
        <v>0</v>
      </c>
      <c r="BI43" s="180" t="b">
        <v>0</v>
      </c>
      <c r="BJ43" s="180" t="b">
        <v>0</v>
      </c>
      <c r="BK43" s="180" t="b">
        <v>0</v>
      </c>
      <c r="BL43" s="180" t="b">
        <v>0</v>
      </c>
      <c r="BM43" s="180" t="b">
        <v>0</v>
      </c>
      <c r="BN43" s="180" t="b">
        <v>0</v>
      </c>
      <c r="BO43" s="181" t="s">
        <v>1070</v>
      </c>
      <c r="BP43" s="181" t="s">
        <v>1070</v>
      </c>
      <c r="BQ43" s="181" t="s">
        <v>1070</v>
      </c>
      <c r="BR43" s="181" t="s">
        <v>1070</v>
      </c>
      <c r="BS43" s="181" t="s">
        <v>1070</v>
      </c>
      <c r="BT43" s="184">
        <f>IFERROR(__xludf.DUMMYFUNCTION("IF(
  ISNUMBER(BT42),
  MIN(MAX(
    BT42
    + MAX(
      ROUNDDOWN((D43 - MAX(IFERROR(FILTER(D$24:D42, BT$24:BT42 &lt;&gt; BS$6, BT$23:BT41 = BS$6), 0))) * (60 * 60 * 24) / BS$9) - ROUNDDOWN((D42 - MAX(IFERROR(FILTER(D$23:D41, BT$23:BT41 &lt;&gt; BS$6, BT$22:BT40 ="&amp;" BS$6), 0))) * (60 * 60 * 24) / BS$9),
      0
    )
    - COUNTIF(BS43, ""&lt;&gt;-""),
  0), BS$6),
  BS$6 - COUNTIF(BS43, ""&lt;&gt;-"")
)"),3.0)</f>
        <v>3</v>
      </c>
      <c r="BU43" s="181" t="s">
        <v>1070</v>
      </c>
      <c r="BV43" s="181" t="s">
        <v>1070</v>
      </c>
      <c r="BW43" s="184">
        <f>IFERROR(__xludf.DUMMYFUNCTION("IF(
  ISNUMBER(BW42),
  MIN(MAX(
    BW42
    + MAX(
      ROUNDDOWN((D43 - MAX(IFERROR(FILTER(D$24:D42, BW$24:BW42 &lt;&gt; BV$6, BW$23:BW41 = BV$6), 0))) * (60 * 60 * 24) / BV$9) - ROUNDDOWN((D42 - MAX(IFERROR(FILTER(D$23:D41, BW$23:BW41 &lt;&gt; BV$6, BW$22:BW40 ="&amp;" BV$6), 0))) * (60 * 60 * 24) / BV$9),
      0
    )
    - COUNTIF(BV43, ""&lt;&gt;-""),
  0), BV$6),
  BV$6 - COUNTIF(BV43, ""&lt;&gt;-"")
)"),2.0)</f>
        <v>2</v>
      </c>
      <c r="BX43" s="185" t="s">
        <v>1070</v>
      </c>
      <c r="BY43" s="178" t="b">
        <v>0</v>
      </c>
      <c r="BZ43" s="180" t="b">
        <v>0</v>
      </c>
      <c r="CA43" s="180" t="b">
        <v>0</v>
      </c>
      <c r="CB43" s="180" t="b">
        <v>0</v>
      </c>
      <c r="CC43" s="180" t="b">
        <v>0</v>
      </c>
      <c r="CD43" s="180" t="b">
        <v>0</v>
      </c>
      <c r="CE43" s="180" t="b">
        <v>0</v>
      </c>
      <c r="CF43" s="180" t="b">
        <v>0</v>
      </c>
      <c r="CG43" s="180" t="b">
        <v>0</v>
      </c>
      <c r="CH43" s="180" t="b">
        <v>0</v>
      </c>
      <c r="CI43" s="180" t="b">
        <v>0</v>
      </c>
      <c r="CJ43" s="180" t="b">
        <v>0</v>
      </c>
      <c r="CK43" s="180" t="b">
        <v>0</v>
      </c>
      <c r="CL43" s="180" t="b">
        <v>0</v>
      </c>
      <c r="CM43" s="181" t="s">
        <v>1070</v>
      </c>
      <c r="CN43" s="181" t="s">
        <v>1070</v>
      </c>
      <c r="CO43" s="181" t="s">
        <v>1070</v>
      </c>
      <c r="CP43" s="181" t="s">
        <v>1070</v>
      </c>
      <c r="CQ43" s="185" t="s">
        <v>1070</v>
      </c>
      <c r="CR43" s="180" t="b">
        <v>0</v>
      </c>
      <c r="CS43" s="186" t="str">
        <f t="shared" si="14"/>
        <v>◇◇◇</v>
      </c>
      <c r="CT43" s="178" t="b">
        <v>0</v>
      </c>
      <c r="CU43" s="180" t="b">
        <v>0</v>
      </c>
      <c r="CV43" s="180" t="b">
        <v>0</v>
      </c>
      <c r="CW43" s="180" t="b">
        <v>0</v>
      </c>
      <c r="CX43" s="180" t="b">
        <v>0</v>
      </c>
      <c r="CY43" s="180" t="b">
        <v>0</v>
      </c>
      <c r="CZ43" s="180" t="b">
        <v>0</v>
      </c>
      <c r="DA43" s="180" t="b">
        <v>0</v>
      </c>
      <c r="DB43" s="180" t="b">
        <v>0</v>
      </c>
      <c r="DC43" s="180" t="b">
        <v>0</v>
      </c>
      <c r="DD43" s="181" t="s">
        <v>1070</v>
      </c>
      <c r="DE43" s="181" t="s">
        <v>1070</v>
      </c>
      <c r="DF43" s="181" t="s">
        <v>1070</v>
      </c>
      <c r="DG43" s="185" t="s">
        <v>1070</v>
      </c>
      <c r="DH43" s="180" t="b">
        <v>0</v>
      </c>
      <c r="DI43" s="187" t="str">
        <f>IFERROR(__xludf.DUMMYFUNCTION("SWITCH(
  IF(
    ISTEXT(DI42),
    IF (
      FIND(""○"", DI42&amp;""○"") &gt; 3,
      3,
      FIND(""○"", DI42&amp;""○"")
      + MAX(
        ROUNDDOWN(($D43 - MAX(IFERROR(FILTER(D$24:D42, DI$24:DI42 &lt;&gt; ""●●●"", DI$23:DI41 = ""●●●""), 0))) * (60 * 60 * 24) / 20"&amp;") - ROUNDDOWN(($D42 - MAX(IFERROR(FILTER(D$23:D41, DI$23:DI41 &lt;&gt; ""●●●"", DI$22:DI40 = ""●●●""), 0))) * (60 * 60 * 24) / 20),
        0
      ) - 1
    ) - COUNTIFS(CU43, ""=TRUE"", CU42, ""&lt;&gt;TRUE"") - COUNTIF(CZ43, ""=TRUE"") - COUNTIF({DD43,DE43}, ""&lt;&gt;-"&amp;""") + COUNTIF(DH43, ""=TRUE""),
    3
  ),
  0, ""○○○"", 1, ""●○○"", 2, ""●●○"", 3, ""●●●"", 4, ""●●●"", ""○○○""
)"),"●●●")</f>
        <v>●●●</v>
      </c>
      <c r="DJ43" s="188" t="b">
        <v>0</v>
      </c>
      <c r="DK43" s="189" t="b">
        <v>0</v>
      </c>
      <c r="DL43" s="190" t="b">
        <v>0</v>
      </c>
      <c r="DM43" s="190" t="b">
        <v>0</v>
      </c>
      <c r="DN43" s="190" t="b">
        <v>0</v>
      </c>
      <c r="DO43" s="190" t="b">
        <v>0</v>
      </c>
      <c r="DP43" s="190" t="b">
        <v>0</v>
      </c>
      <c r="DQ43" s="191" t="b">
        <v>0</v>
      </c>
      <c r="DR43" s="192" t="b">
        <v>0</v>
      </c>
      <c r="DS43" s="191" t="b">
        <v>0</v>
      </c>
      <c r="DT43" s="192" t="b">
        <v>0</v>
      </c>
      <c r="DU43" s="191" t="b">
        <v>0</v>
      </c>
      <c r="DV43" s="193" t="s">
        <v>1070</v>
      </c>
      <c r="DW43" s="194" t="b">
        <v>0</v>
      </c>
      <c r="DX43" s="194" t="b">
        <v>0</v>
      </c>
      <c r="DY43" s="195" t="b">
        <v>0</v>
      </c>
      <c r="DZ43" s="196" t="b">
        <v>0</v>
      </c>
      <c r="EA43" s="195" t="b">
        <v>0</v>
      </c>
      <c r="EB43" s="197" t="b">
        <v>0</v>
      </c>
      <c r="EC43" s="197" t="b">
        <v>0</v>
      </c>
      <c r="ED43" s="212" t="b">
        <v>0</v>
      </c>
      <c r="EE43" s="199">
        <f>IFERROR(__xludf.DUMMYFUNCTION("IFERROR(
   PRODUCT(
     MAP(
       INDEX(TRANSPOSE(UNIQUE(TRANSPOSE(FILTER({IF($F43=""Physical"", K$10:ED$10, IF($F43=""Magic"", K$11:ED$11, K$12:ED$12));K$4:ED$4;K43:ED43}, K43:ED43=TRUE)))), 1, 0),
       INDEX(TRANSPOSE(UNIQUE(TRANSPOSE(FILTER({IF($"&amp;"F43=""Physical"", K$18:ED$18, IF($F43=""Magic"", K$19:ED$19, K$20:ED$20));K$4:ED$4;K43:ED43}, K43:ED43=TRUE)))), 1, 0),
       INDEX(TRANSPOSE(UNIQUE(TRANSPOSE(FILTER({K$5:ED$5;K$4:ED$4;K43:ED43}, K43:ED43=TRUE)))), 1, 0),
       INDEX(TRANSPOSE(UNIQUE(TR"&amp;"ANSPOSE(FILTER({K$17:ED$17;K$4:ED$4;K43:ED43}, K43:ED43=TRUE)))), 1, 0),
       LAMBDA(
         mitigation,
         enhance,
         assign,
         precondition,
         IF(
           REGEXMATCH(assign, ""RANGE_PARTY|SINGLE_ENEMY|RANGE_ENEMY""),
  "&amp;"         IF(
             OR(ARRAYFORMULA((IF(precondition="""", FALSE, REGEXMATCH(K$4:ED$4, precondition))) * (K43:ED43=TRUE))),
             IF(ISNUMBER(enhance), enhance, 1),
             IF(ISNUMBER(mitigation), mitigation, 1)
           ),
          "&amp;" 1
         )
       )
     )
   ),
   1
 )"),1.0)</f>
        <v>1</v>
      </c>
      <c r="EF43" s="200">
        <f>IFERROR(__xludf.DUMMYFUNCTION("PRODUCT(
   MAP(
     K$14:ED$14,
     K$13:ED$13,
     K43:ED43,
     LAMBDA(
       buff,
       target,
       check,
       IF(
         AND(check=TRUE, REGEXMATCH(target, ""RANGE_AFFECTED_ALL|RANGE_EFFECTED_ALL""), ISNUMBER(buff)),
         buff,
   "&amp;"      1
       )
     )
   )
 )"),1.0)</f>
        <v>1</v>
      </c>
      <c r="EG43" s="200">
        <f>IFERROR(__xludf.DUMMYFUNCTION("PRODUCT(
   MAP(
     K$14:ED$14,
     K$13:ED$13,
     K43:ED43,
     LAMBDA(
       buff,
       target,
       check,
       IF(
         AND(check=TRUE, REGEXMATCH(target, ""RANGE_AFFECTED_GCD|RANGE_EFFECTED_GCD""), ISNUMBER(buff)),
         buff,
   "&amp;"      1
       )
     )
   )
 )"),1.0)</f>
        <v>1</v>
      </c>
      <c r="EH43" s="200">
        <f>IFERROR(__xludf.DUMMYFUNCTION("PRODUCT(
   MAP(
     K$3:ED$3,
     K$14:ED$14,
     K$13:ED$13,
     K43:ED43,
     LAMBDA(
       job,
       buff,
       target,
       check,
       IF(
         AND(check=TRUE, REGEXMATCH(target, ""SELF_EFFECTED_ALL""), ISNUMBER(buff), job=""白魔道士"""&amp;"),
         buff,
         1
       )
     )
   )
 )"),1.0)</f>
        <v>1</v>
      </c>
      <c r="EI43" s="200">
        <f>IFERROR(__xludf.DUMMYFUNCTION("PRODUCT(
   MAP(
     K$3:ED$3,
     K$14:ED$14,
     K$13:ED$13,
     K43:ED43,
     LAMBDA(
       job,
       buff,
       target,
       check,
       IF(
         AND(check=TRUE, REGEXMATCH(target, ""SELF_EFFECTED_GCD""), ISNUMBER(buff), job=""白魔道士"""&amp;"),
         buff,
         1
       )
     )
   )
 )"),1.0)</f>
        <v>1</v>
      </c>
      <c r="EJ43" s="200">
        <f>IFERROR(__xludf.DUMMYFUNCTION("PRODUCT(
   MAP(
     K$3:ED$3,
     K$14:ED$14,
     K$13:ED$13,
     K43:ED43,
     LAMBDA(
       job,
       buff,
       target,
       check,
       IF(
         AND(check=TRUE, REGEXMATCH(target, ""SELF_EFFECTED_ALL""), ISNUMBER(buff), job=""占星術師"""&amp;"),
         buff,
         1
       )
     )
   )
 )"),1.0)</f>
        <v>1</v>
      </c>
      <c r="EK43" s="200">
        <f>IFERROR(__xludf.DUMMYFUNCTION("PRODUCT(
   MAP(
     K$3:ED$3,
     K$14:ED$14,
     K$13:ED$13,
     K43:ED43,
     LAMBDA(
       job,
       buff,
       target,
       check,
       IF(
         AND(check=TRUE, REGEXMATCH(target, ""SELF_EFFECTED_GCD""), ISNUMBER(buff), job=""占星術師"""&amp;"),
         buff,
         1
       )
     )
   )
 )"),1.0)</f>
        <v>1</v>
      </c>
      <c r="EL43" s="200">
        <f>IFERROR(__xludf.DUMMYFUNCTION("PRODUCT(
   MAP(
     K$3:ED$3,
     K$14:ED$14,
     K$13:ED$13,
     K43:ED43,
     LAMBDA(
       job,
       buff,
       target,
       check,
       IF(
         AND(check=TRUE, REGEXMATCH(target, ""SELF_EFFECTED_ALL""), ISNUMBER(buff), job=""学者""),"&amp;"
         buff,
         1
       )
     )
   )
 )"),1.0)</f>
        <v>1</v>
      </c>
      <c r="EM43" s="200">
        <f>IFERROR(__xludf.DUMMYFUNCTION("PRODUCT(
   MAP(
     K$3:ED$3,
     K$14:ED$14,
     K$13:ED$13,
     K43:ED43,
     LAMBDA(
       job,
       buff,
       target,
       check,
       IF(
         AND(check=TRUE, REGEXMATCH(target, ""SELF_EFFECTED_GCD""), ISNUMBER(buff), job=""学者""),"&amp;"
         buff,
         1
       )
     )
   )
 )"),1.0)</f>
        <v>1</v>
      </c>
      <c r="EN43" s="200">
        <f>IFERROR(__xludf.DUMMYFUNCTION("PRODUCT(
   MAP(
     K$3:ED$3,
     K$14:ED$14,
     K$13:ED$13,
     K43:ED43,
     LAMBDA(
       job,
       buff,
       target,
       check,
       IF(
         AND(check=TRUE, REGEXMATCH(target, ""SELF_EFFECTED_ALL""), ISNUMBER(buff), job=""賢者""),"&amp;"
         buff,
         1
       )
     )
   )
 )"),1.0)</f>
        <v>1</v>
      </c>
      <c r="EO43" s="200">
        <f>IFERROR(__xludf.DUMMYFUNCTION("PRODUCT(
   MAP(
     K$3:ED$3,
     K$14:ED$14,
     K$13:ED$13,
     K43:ED43,
     LAMBDA(
       job,
       buff,
       target,
       check,
       IF(
         AND(check=TRUE, REGEXMATCH(target, ""SELF_EFFECTED_GCD""), ISNUMBER(buff), job=""賢者""),"&amp;"
         buff,
         1
       )
     )
   )
 )"),1.0)</f>
        <v>1</v>
      </c>
      <c r="EP43" s="201">
        <f t="shared" si="3"/>
        <v>0</v>
      </c>
      <c r="EQ43" s="201">
        <f>IFERROR(__xludf.DUMMYFUNCTION("SUM(
   MAP(
     K$4:ED$4,
     K$3:ED$3,
     K$7:ED$7,
     K$15:ED$15,
     K$16:ED$16,
     K$21:ED$21,
     K$5:ED$5,
     K$17:ED$17,
     K43:ED43,
     LAMBDA(
       name,
       job,
       abillity,
       buff,
       barrier,
       enhance,"&amp;"
       assign,
       precondition,
       check,
       SWITCH(
         name,
         ""シェイクオフ"", IF(check=TRUE, buff + (0.02 * COUNTIF(ARRAYFORMULA((REGEXMATCH($K$4:$ED$4, ""スリル・オブ・バトル|ヴェンジェンス|原初の血気|ダムネーション"")) * (K43:ED43=TRUE)), 1)), 0),
         "&amp;"""インプロビゼーションフィニッシュ(踊りの激情0)"", IF(ISNUMBER(check), INDEX(Skill!$AJ:$AJ, MATCH(SUBSTITUTE(DV$4, 0, check), Skill!$C:$C, 0)), 0),
         IF(
           AND(check=TRUE, REGEXMATCH(assign, ""RANGE_PARTY"")),
           IF(
             OR(ARRAYFORMULA((IF(pr"&amp;"econdition="""", FALSE, REGEXMATCH($K$4:$ED$4, precondition))) * (K43:ED43=TRUE))),
             enhance,
             IF(barrier="""", buff, barrier)
           ),
           0
         )
       ) *
       SWITCH(
         job,
         ""ナイト"", EY$24,
 "&amp;"        ""戦士"", FD$24,
         ""踊り子"", ET$24,
         ""ピクトマンサー"", ET$24,
         ""白魔道士"", EF43 * EH43 * IF(abillity, 1, EG43 * EI43) * (Option!$D$22 * 0.81 / 100),
         ""占星術師"", EF43 * EJ43 * IF(abillity, 1, EG43 * EK43) * (Option!$D$23 * 0.81 "&amp;"/ 100),
         ""学者"", EF43 * EL43 * IF(abillity, 1, EG43 * EM43) * (Option!$D$24 * 0.81 / 100),
         ""賢者"", EF43 * EN43 * IF(abillity, 1, EG43 * EO43) * (Option!$D$25 * 0.81 / 100),
         1
       )
     )
   )
 )"),0.0)</f>
        <v>0</v>
      </c>
      <c r="ER43" s="202">
        <f t="shared" si="4"/>
        <v>0</v>
      </c>
      <c r="ES43" s="203">
        <f t="shared" si="5"/>
        <v>0</v>
      </c>
      <c r="ET43" s="231" t="str">
        <f>IFERROR(__xludf.DUMMYFUNCTION("IFS(
  EP43 &gt; $ET$24 + EQ43,
  SPARKLINE({ 1, 0 }, {""charttype"",""bar"";""max"", 1;""color1"",Option!$D$30;""color2"",Option!$D$30}),
  EP43 &lt; EQ43,
  SPARKLINE({EQ43 - EP43, $ET$24 - (EQ43 - EP43)}, {""charttype"",""bar"";""max"",$ET$24;""color1"",Opti"&amp;"on!$D$28;""color2"",Option!$D$29}),
  EP43 &gt;= EQ43,
  SPARKLINE({$ET$24 + EQ43 - EP43,EP43 - EQ43}, {""charttype"",""bar"";""max"",$ET$24;""color1"",Option!$D$29;""color2"",Option!$D$30})
)"),"")</f>
        <v/>
      </c>
      <c r="EU43" s="205">
        <f>IFERROR(__xludf.DUMMYFUNCTION("PRODUCT(
   MAP(
     IF($F43=""Physical"", K$10:ED$10, IF($F43=""Magic"", K$11:ED$11, K$12:ED$12)),
     IF($F43=""Physical"", K$18:ED$18, IF($F43=""Magic"", K$19:ED$19, K$20:ED$20)),
     K$3:ED$3,
     K$5:ED$5,
     K$17:ED$17,
     K43:ED43,
     LAM"&amp;"BDA(
       mitigation,
       enhance,
       job,
       assign,
       precondition,
       check,
       IF(
         OR(AND(check=TRUE, REGEXMATCH(assign, ""SELF""), job=""ナイト""), AND(check=Option!$E$13, REGEXMATCH(assign, ""SINGLE_PARTY""))),
      "&amp;"   IF(
           OR(ARRAYFORMULA((IF(precondition="""", FALSE, REGEXMATCH($K$4:$ED$4, precondition))) * (K43:ED43=TRUE))),
           enhance,
           mitigation
         ),
         1
       )
     )
   )
 ) * EE43"),1.0)</f>
        <v>1</v>
      </c>
      <c r="EV43" s="206">
        <f t="shared" si="6"/>
        <v>0</v>
      </c>
      <c r="EW43" s="205">
        <f>IFERROR(__xludf.DUMMYFUNCTION("PRODUCT(
   MAP(
     K$3:ED$3,
     K$14:ED$14,
     K$13:ED$13,
     K43:ED43,
     LAMBDA(
       job,
       buff,
       target,
       check,
       IF(
         OR(AND(check=TRUE, REGEXMATCH(target, ""SELF_AFFECTED_ALL""), job=""ナイト""), AND(check=O"&amp;"ption!$E$13, REGEXMATCH(target, ""SINGLE_AFFECTED_ALL""))),
         buff,
         1
       )
     )
   )
 )"),1.0)</f>
        <v>1</v>
      </c>
      <c r="EX43" s="206">
        <f>IFERROR(__xludf.DUMMYFUNCTION("SUM(
   MAP(
     K$3:ED$3,
     K$7:ED$7,
     K$15:ED$15,
     K$16:ED$16,
     K$21:ED$21,
     K$5:ED$5,
     K$17:ED$17,
     K43:ED43,
     LAMBDA(
       job,
       abillity,
       buff,
       barrier,
       enhance,
       assign,
       preco"&amp;"ndition,
       check,
       IF(
         OR(AND(check=TRUE, REGEXMATCH(assign, ""SELF""), job=""ナイト""), AND(check=Option!$E$13, REGEXMATCH(assign, ""SINGLE_PARTY""))),
         IF(
           OR(ARRAYFORMULA((IF(precondition="""", FALSE, REGEXMATCH($K$4"&amp;":$ED$4, precondition))) * (K43:ED43=TRUE))),
           enhance,
           IF(barrier="""", buff, barrier)
         ),
         0
       ) *
       SWITCH(
         job,
         ""暗黒騎士"", EY$24,
         ""白魔道士"", EF43 * EH43 * EW43 * IF(abillity, 1, EG"&amp;"43 * EI43) * (Option!$D$22 * 0.81 / 100),
         ""占星術師"", EF43 * EJ43 * EW43 * IF(abillity, 1, EG43 * EK43) * (Option!$D$23 * 0.81 / 100),
         ""学者"", EF43 * EL43 * EW43 * IF(abillity, 1, EG43 * EM43) * (Option!$D$24 * 0.81 / 100),
         ""賢者"""&amp;", EF43 * EN43 * EW43 * IF(abillity, 1, EG43 * EO43) * (Option!$D$25 * 0.81 / 100),
         1
       )
     )
   )
 ) + EQ43"),0.0)</f>
        <v>0</v>
      </c>
      <c r="EY43" s="232">
        <f t="shared" si="7"/>
        <v>0</v>
      </c>
      <c r="EZ43" s="205">
        <f>IFERROR(__xludf.DUMMYFUNCTION("PRODUCT(
   MAP(
     IF($F43=""Physical"", K$10:ED$10, IF($F43=""Magic"", K$11:ED$11, K$12:ED$12)),
     IF($F43=""Physical"", K$18:ED$18, IF($F43=""Magic"", K$19:ED$19, K$20:ED$20)),
     K$3:ED$3,
     K$5:ED$5,
     K$17:ED$17,
     K43:ED43,
     LAM"&amp;"BDA(
       mitigation,
       enhance,
       job,
       assign,
       precondition,
       check,
       IF(
         OR(AND(check=TRUE, REGEXMATCH(assign, ""SELF""), job=""戦士""), AND(check=Option!$F$13, REGEXMATCH(assign, ""SINGLE_PARTY""))),
       "&amp;"  IF(
           OR(ARRAYFORMULA((IF(precondition="""", FALSE, REGEXMATCH($K$4:$ED$4, precondition))) * (K43:ED43=TRUE))),
           enhance,
           mitigation
         ),
         1
       )
     )
   )
 ) * EE43"),1.0)</f>
        <v>1</v>
      </c>
      <c r="FA43" s="206">
        <f t="shared" si="8"/>
        <v>0</v>
      </c>
      <c r="FB43" s="205">
        <f>IFERROR(__xludf.DUMMYFUNCTION("PRODUCT(
   MAP(
     K$3:ED$3,
     K$14:ED$14,
     K$13:ED$13,
     K43:ED43,
     LAMBDA(
       job,
       buff,
       target,
       check,
       IF(
         OR(AND(check=TRUE, REGEXMATCH(target, ""SELF_AFFECTED_ALL""), job=""戦士""), AND(check=Op"&amp;"tion!$F$13, REGEXMATCH(target, ""SINGLE_AFFECTED_ALL""))),
         buff,
         1
       )
     )
   )
 )"),1.0)</f>
        <v>1</v>
      </c>
      <c r="FC43" s="206">
        <f>IFERROR(__xludf.DUMMYFUNCTION("SUM(
   MAP(
     K$3:ED$3,
     K$7:ED$7,
     K$15:ED$15,
     K$16:ED$16,
     K$21:ED$21,
     K$5:ED$5,
     K$17:ED$17,
     K43:ED43,
     LAMBDA(
       job,
       abillity,
       buff,
       barrier,
       enhance,
       assign,
       preco"&amp;"ndition,
       check,
       IF(
         OR(AND(check=TRUE, REGEXMATCH(assign, ""SELF""), job=""戦士""), AND(check=Option!$F$13, REGEXMATCH(assign, ""SINGLE_PARTY""))),
         IF(
           OR(ARRAYFORMULA((IF(precondition="""", FALSE, REGEXMATCH($K$4:"&amp;"$ED$4, precondition))) * (K43:ED43=TRUE))),
           enhance,
           IF(barrier="""", buff, barrier)
         ),
         0
       ) *
       SWITCH(
         job,
         ""暗黒騎士"", FD$24,
         ""白魔道士"", EF43 * EH43 * FB43 * IF(abillity, 1, EG4"&amp;"3 * EI43) * (Option!$D$22 * 0.81 / 100),
         ""占星術師"", EF43 * EJ43 * FFB43 * IF(abillity, 1, EG43 * EK43) * (Option!$D$23 * 0.81 / 100),
         ""学者"", EF43 * EL43 * FB43 * IF(abillity, 1, EG43 * EM43) * (Option!$D$24 * 0.81 / 100),
         ""賢者"""&amp;", EF43 * EN43 * FB43 * IF(abillity, 1, EG43 * EO43) * (Option!$D$25 * 0.81 / 100),
         1
       )
     )
   )
 ) + EQ43"),0.0)</f>
        <v>0</v>
      </c>
      <c r="FD43" s="206">
        <f t="shared" si="9"/>
        <v>0</v>
      </c>
      <c r="FE43" s="205">
        <f>IFERROR(__xludf.DUMMYFUNCTION("PRODUCT(
   MAP(
     IF($F43=""Physical"", K$10:ED$10, IF($F43=""Magic"", K$11:ED$11, K$12:ED$12)),
     IF($F43=""Physical"", K$18:ED$18, IF($F43=""Magic"", K$19:ED$19, K$20:ED$20)),
     K$3:ED$3,
     K$5:ED$5,
     K$17:ED$17,
     K43:ED43,
     LAM"&amp;"BDA(
       mitigation,
       enhance,
       job,
       assign,
       precondition,
       check,
       IF(
         OR(AND(check=TRUE, REGEXMATCH(assign, ""SELF""), job=""暗黒騎士""), AND(check=Option!$G$13, REGEXMATCH(assign, ""SINGLE_PARTY""))),
     "&amp;"    IF(
           OR(ARRAYFORMULA((IF(precondition="""", FALSE, REGEXMATCH($K$4:$ED$4, precondition))) * (K43:ED43=TRUE))),
           enhance,
           mitigation
         ),
         1
       )
     )
   )
 ) * EE43"),1.0)</f>
        <v>1</v>
      </c>
      <c r="FF43" s="206">
        <f t="shared" si="10"/>
        <v>0</v>
      </c>
      <c r="FG43" s="205">
        <f>IFERROR(__xludf.DUMMYFUNCTION("PRODUCT(
   MAP(
     K$3:ED$3,
     K$14:ED$14,
     K$13:ED$13,
     K43:ED43,
     LAMBDA(
       job,
       buff,
       target,
       check,
       IF(
         OR(AND(check=TRUE, REGEXMATCH(target, ""SELF_AFFECTED_ALL""), job=""暗黒騎士""), AND(check="&amp;"Option!$G$13, REGEXMATCH(target, ""SINGLE_AFFECTED_ALL""))),
         buff,
         1
       )
     )
   )
 )"),1.0)</f>
        <v>1</v>
      </c>
      <c r="FH43" s="206">
        <f>IFERROR(__xludf.DUMMYFUNCTION("SUM(
   MAP(
     K$3:ED$3,
     K$7:ED$7,
     K$15:ED$15,
     K$16:ED$16,
     K$21:ED$21,
     K$5:ED$5,
     K$17:ED$17,
     K43:ED43,
     LAMBDA(
       job,
       abillity,
       buff,
       barrier,
       enhance,
       assign,
       preco"&amp;"ndition,
       check,
       IF(
         OR(AND(check=TRUE, REGEXMATCH(assign, ""SELF""), job=""暗黒騎士""), AND(check=Option!$G$13, REGEXMATCH(assign, ""SINGLE_PARTY""))),
         IF(
           OR(ARRAYFORMULA((IF(precondition="""", FALSE, REGEXMATCH($K$"&amp;"4:$ED$4, precondition))) * (K43:ED43=TRUE))),
           enhance,
           IF(barrier="""", buff, barrier)
         ),
         0
       ) *
       SWITCH(
         job,
         ""暗黒騎士"", FI$24,
         ""白魔道士"", EF43 * EH43 * FG43 * IF(abillity, 1, E"&amp;"G43 * EI43) * (Option!$D$22 * 0.81 / 100),
         ""占星術師"", EF43 * EJ43 * FG43 * IF(abillity, 1, EG43 * EK43) * (Option!$D$23 * 0.81 / 100),
         ""学者"", EF43 * EL43 * FG43 * IF(abillity, 1, EG43 * EM43) * (Option!$D$24 * 0.81 / 100),
         ""賢者"&amp;""", EF43 * EN43 * FG43 * IF(abillity, 1, EG43 * EO43) * (Option!$D$25 * 0.81 / 100),
         1
       )
     )
   )
 ) + EQ43"),0.0)</f>
        <v>0</v>
      </c>
      <c r="FI43" s="206">
        <f t="shared" si="11"/>
        <v>0</v>
      </c>
      <c r="FJ43" s="205">
        <f>IFERROR(__xludf.DUMMYFUNCTION("PRODUCT(
   MAP(
     IF($F43=""Physical"", K$10:ED$10, IF($F43=""Magic"", K$11:ED$11, K$12:ED$12)),
     IF($F43=""Physical"", K$18:ED$18, IF($F43=""Magic"", K$19:ED$19, K$20:ED$20)),
     K$3:ED$3,
     K$5:ED$5,
     K$17:ED$17,
     K43:ED43,
     LAM"&amp;"BDA(
       mitigation,
       enhance,
       job,
       assign,
       precondition,
       check,
       IF(
         OR(AND(check=TRUE, REGEXMATCH(assign, ""SELF""), job=""ガンブレイカー""), AND(check=Option!$H$13, REGEXMATCH(assign, ""SINGLE_PARTY""))),
  "&amp;"       IF(
           OR(ARRAYFORMULA((IF(precondition="""", FALSE, REGEXMATCH($K$4:$ED$4, precondition))) * (K43:ED43=TRUE))),
           enhance,
           mitigation
         ),
         1
       )
     )
   )
 ) * EE43"),1.0)</f>
        <v>1</v>
      </c>
      <c r="FK43" s="206">
        <f t="shared" si="12"/>
        <v>0</v>
      </c>
      <c r="FL43" s="205">
        <f>IFERROR(__xludf.DUMMYFUNCTION("PRODUCT(
   MAP(
     K$3:ED$3,
     K$14:ED$14,
     K$13:ED$13,
     K43:ED43,
     LAMBDA(
       job,
       buff,
       target,
       check,
       IF(
         OR(AND(check=TRUE, REGEXMATCH(target, ""SELF_AFFECTED_ALL""), job=""ガンブレイカー""), AND(che"&amp;"ck=Option!$H$13, REGEXMATCH(target, ""SINGLE_AFFECTED_ALL""))),
         buff,
         1
       )
     )
   )
 )"),1.0)</f>
        <v>1</v>
      </c>
      <c r="FM43" s="206">
        <f>IFERROR(__xludf.DUMMYFUNCTION("SUM(
   MAP(
     K$3:ED$3,
     K$7:ED$7,
     K$15:ED$15,
     K$16:ED$16,
     K$21:ED$21,
     K$5:ED$5,
     K$17:ED$17,
     K43:ED43,
     LAMBDA(
       job,
       abillity,
       buff,
       barrier,
       enhance,
       assign,
       preco"&amp;"ndition,
       check,
       IF(
         OR(AND(check=TRUE, REGEXMATCH(assign, ""SELF""), job=""ガンブレイカー""), AND(check=Option!$H$13, REGEXMATCH(assign, ""SINGLE_PARTY""))),
         IF(
           OR(ARRAYFORMULA((IF(precondition="""", FALSE, REGEXMATCH("&amp;"$K$4:$ED$4, precondition))) * (K43:ED43=TRUE))),
           enhance,
           IF(barrier="""", buff, barrier)
         ),
         0
       ) *
       SWITCH(
         job,
         ""暗黒騎士"", FN$24,
         ""白魔道士"", EF43 * EH43 * FL43 * IF(abillity, 1"&amp;", EG43 * EI43) * (Option!$D$22 * 0.81 / 100),
         ""占星術師"", EF43 * EJ43 * FL43 * IF(abillity, 1, EG43 * EK43) * (Option!$D$23 * 0.81 / 100),
         ""学者"", EF43 * EL43 * FL43 * IF(abillity, 1, EG43 * EM43) * (Option!$D$24 * 0.81 / 100),
         """&amp;"賢者"", EF43 * EN43 * FL43 * IF(abillity, 1, EG43 * EO43) * (Option!$D$25 * 0.81 / 100),
         1
       )
     )
   )
 ) + EQ43"),0.0)</f>
        <v>0</v>
      </c>
      <c r="FN43" s="206">
        <f t="shared" si="13"/>
        <v>0</v>
      </c>
      <c r="FO43" s="213"/>
    </row>
    <row r="44">
      <c r="B44" s="229"/>
      <c r="C44" s="217">
        <f t="shared" si="1"/>
        <v>0.00380787037</v>
      </c>
      <c r="D44" s="236"/>
      <c r="E44" s="238"/>
      <c r="F44" s="167"/>
      <c r="G44" s="168" t="str">
        <f t="shared" si="2"/>
        <v/>
      </c>
      <c r="H44" s="169"/>
      <c r="I44" s="169"/>
      <c r="J44" s="169"/>
      <c r="K44" s="170" t="b">
        <v>0</v>
      </c>
      <c r="L44" s="170" t="b">
        <v>0</v>
      </c>
      <c r="M44" s="170" t="b">
        <v>0</v>
      </c>
      <c r="N44" s="171" t="s">
        <v>1070</v>
      </c>
      <c r="O44" s="172" t="b">
        <v>0</v>
      </c>
      <c r="P44" s="173" t="b">
        <v>0</v>
      </c>
      <c r="Q44" s="173" t="b">
        <v>0</v>
      </c>
      <c r="R44" s="173" t="b">
        <v>0</v>
      </c>
      <c r="S44" s="174" t="b">
        <v>0</v>
      </c>
      <c r="T44" s="175" t="b">
        <v>0</v>
      </c>
      <c r="U44" s="173" t="b">
        <v>0</v>
      </c>
      <c r="V44" s="171" t="s">
        <v>1070</v>
      </c>
      <c r="W44" s="172" t="b">
        <v>0</v>
      </c>
      <c r="X44" s="173" t="b">
        <v>0</v>
      </c>
      <c r="Y44" s="173" t="b">
        <v>0</v>
      </c>
      <c r="Z44" s="173" t="b">
        <v>0</v>
      </c>
      <c r="AA44" s="174" t="b">
        <v>0</v>
      </c>
      <c r="AB44" s="174" t="b">
        <v>0</v>
      </c>
      <c r="AC44" s="175" t="b">
        <v>0</v>
      </c>
      <c r="AD44" s="173" t="b">
        <v>0</v>
      </c>
      <c r="AE44" s="176" t="s">
        <v>1070</v>
      </c>
      <c r="AF44" s="171" t="s">
        <v>1070</v>
      </c>
      <c r="AG44" s="177">
        <f>IFERROR(__xludf.DUMMYFUNCTION("IF(
  ISNUMBER(AG43),
  MIN(MAX(
    AG43
    + MAX(
      ROUNDDOWN(($D44 - MAX(IFERROR(FILTER($D$24:$D43, AG$24:AG43 &lt;&gt; AF$6, AG$23:AG42 = AF$6), 0))) * (60 * 60 * 24) / AF$9) - ROUNDDOWN(($D43 - MAX(IFERROR(FILTER($D$23:$D42, AG$23:AG42 &lt;&gt; AF$6, AG$22:"&amp;"AG41 = AF$6), 0))) * (60 * 60 * 24) / 60),
      0
    )
    - COUNTIF(AF44, ""&lt;&gt;-""),
  0), AF$6),
  AF$6 - COUNTIF(AF44, ""&lt;&gt;-"")
)"),2.0)</f>
        <v>2</v>
      </c>
      <c r="AH44" s="173" t="b">
        <v>0</v>
      </c>
      <c r="AI44" s="173" t="b">
        <v>0</v>
      </c>
      <c r="AJ44" s="173" t="b">
        <v>0</v>
      </c>
      <c r="AK44" s="174" t="b">
        <v>0</v>
      </c>
      <c r="AL44" s="175" t="b">
        <v>0</v>
      </c>
      <c r="AM44" s="173" t="b">
        <v>0</v>
      </c>
      <c r="AN44" s="171" t="s">
        <v>1070</v>
      </c>
      <c r="AO44" s="173" t="b">
        <v>0</v>
      </c>
      <c r="AP44" s="173" t="b">
        <v>0</v>
      </c>
      <c r="AQ44" s="173" t="b">
        <v>0</v>
      </c>
      <c r="AR44" s="174" t="b">
        <v>0</v>
      </c>
      <c r="AS44" s="178" t="b">
        <v>0</v>
      </c>
      <c r="AT44" s="179" t="b">
        <v>0</v>
      </c>
      <c r="AU44" s="180" t="b">
        <v>0</v>
      </c>
      <c r="AV44" s="180" t="b">
        <v>0</v>
      </c>
      <c r="AW44" s="180" t="b">
        <v>0</v>
      </c>
      <c r="AX44" s="180" t="b">
        <v>0</v>
      </c>
      <c r="AY44" s="181" t="s">
        <v>1070</v>
      </c>
      <c r="AZ44" s="181" t="s">
        <v>1070</v>
      </c>
      <c r="BA44" s="184">
        <f>IFERROR(__xludf.DUMMYFUNCTION("IF(
  ISNUMBER(BA43),
  MIN(MAX(
    BA43
    + MAX(
      ROUNDDOWN((D44 - MAX(IFERROR(FILTER(D$24:D43, BA$24:BA43 &lt;&gt; AZ$6, BA$23:BA42 = AZ$6), 0))) * (60 * 60 * 24) / AZ$9) - ROUNDDOWN((D43 - MAX(IFERROR(FILTER(D$23:D42, BA$23:BA42 &lt;&gt; AZ$6, BA$22:BA41 ="&amp;" AZ$6), 0))) * (60 * 60 * 24) / AZ$9),
      0
    )
    - COUNTIF(AZ44, ""&lt;&gt;-""),
  0), AZ$6),
  AZ$6 - COUNTIF(AZ44, ""&lt;&gt;-"")
)"),2.0)</f>
        <v>2</v>
      </c>
      <c r="BB44" s="181" t="s">
        <v>1070</v>
      </c>
      <c r="BC44" s="183">
        <f>IFERROR(__xludf.DUMMYFUNCTION("IF(
  ISNUMBER(BC43),
  MIN(MAX(
    BC43
    + MAX(
      ROUNDDOWN(($D44 - MAX(IFERROR(FILTER($D$24:$D43, BC$24:BC43 &lt;&gt; BB$6, BC$23:BC42 = BB$6), 0))) * (60 * 60 * 24) / BB$9) - ROUNDDOWN(($D43 - MAX(IFERROR(FILTER($D$23:$D42, BC$23:BC42 &lt;&gt; BB$6, BC$22:"&amp;"BC41 = BB$6), 0))) * (60 * 60 * 24) / 60),
      0
    )
    - COUNTIF(BB44, ""&lt;&gt;-""),
  0), BB$6),
  BB$6 - COUNTIF(BB44, ""&lt;&gt;-"")
)"),2.0)</f>
        <v>2</v>
      </c>
      <c r="BD44" s="181" t="s">
        <v>1070</v>
      </c>
      <c r="BE44" s="178" t="b">
        <v>0</v>
      </c>
      <c r="BF44" s="180" t="b">
        <v>0</v>
      </c>
      <c r="BG44" s="180" t="b">
        <v>0</v>
      </c>
      <c r="BH44" s="180" t="b">
        <v>0</v>
      </c>
      <c r="BI44" s="180" t="b">
        <v>0</v>
      </c>
      <c r="BJ44" s="180" t="b">
        <v>0</v>
      </c>
      <c r="BK44" s="180" t="b">
        <v>0</v>
      </c>
      <c r="BL44" s="180" t="b">
        <v>0</v>
      </c>
      <c r="BM44" s="180" t="b">
        <v>0</v>
      </c>
      <c r="BN44" s="180" t="b">
        <v>0</v>
      </c>
      <c r="BO44" s="181" t="s">
        <v>1070</v>
      </c>
      <c r="BP44" s="181" t="s">
        <v>1070</v>
      </c>
      <c r="BQ44" s="181" t="s">
        <v>1070</v>
      </c>
      <c r="BR44" s="181" t="s">
        <v>1070</v>
      </c>
      <c r="BS44" s="181" t="s">
        <v>1070</v>
      </c>
      <c r="BT44" s="184">
        <f>IFERROR(__xludf.DUMMYFUNCTION("IF(
  ISNUMBER(BT43),
  MIN(MAX(
    BT43
    + MAX(
      ROUNDDOWN((D44 - MAX(IFERROR(FILTER(D$24:D43, BT$24:BT43 &lt;&gt; BS$6, BT$23:BT42 = BS$6), 0))) * (60 * 60 * 24) / BS$9) - ROUNDDOWN((D43 - MAX(IFERROR(FILTER(D$23:D42, BT$23:BT42 &lt;&gt; BS$6, BT$22:BT41 ="&amp;" BS$6), 0))) * (60 * 60 * 24) / BS$9),
      0
    )
    - COUNTIF(BS44, ""&lt;&gt;-""),
  0), BS$6),
  BS$6 - COUNTIF(BS44, ""&lt;&gt;-"")
)"),3.0)</f>
        <v>3</v>
      </c>
      <c r="BU44" s="181" t="s">
        <v>1070</v>
      </c>
      <c r="BV44" s="181" t="s">
        <v>1070</v>
      </c>
      <c r="BW44" s="184">
        <f>IFERROR(__xludf.DUMMYFUNCTION("IF(
  ISNUMBER(BW43),
  MIN(MAX(
    BW43
    + MAX(
      ROUNDDOWN((D44 - MAX(IFERROR(FILTER(D$24:D43, BW$24:BW43 &lt;&gt; BV$6, BW$23:BW42 = BV$6), 0))) * (60 * 60 * 24) / BV$9) - ROUNDDOWN((D43 - MAX(IFERROR(FILTER(D$23:D42, BW$23:BW42 &lt;&gt; BV$6, BW$22:BW41 ="&amp;" BV$6), 0))) * (60 * 60 * 24) / BV$9),
      0
    )
    - COUNTIF(BV44, ""&lt;&gt;-""),
  0), BV$6),
  BV$6 - COUNTIF(BV44, ""&lt;&gt;-"")
)"),2.0)</f>
        <v>2</v>
      </c>
      <c r="BX44" s="185" t="s">
        <v>1070</v>
      </c>
      <c r="BY44" s="178" t="b">
        <v>0</v>
      </c>
      <c r="BZ44" s="180" t="b">
        <v>0</v>
      </c>
      <c r="CA44" s="180" t="b">
        <v>0</v>
      </c>
      <c r="CB44" s="180" t="b">
        <v>0</v>
      </c>
      <c r="CC44" s="180" t="b">
        <v>0</v>
      </c>
      <c r="CD44" s="180" t="b">
        <v>0</v>
      </c>
      <c r="CE44" s="180" t="b">
        <v>0</v>
      </c>
      <c r="CF44" s="180" t="b">
        <v>0</v>
      </c>
      <c r="CG44" s="180" t="b">
        <v>0</v>
      </c>
      <c r="CH44" s="180" t="b">
        <v>0</v>
      </c>
      <c r="CI44" s="180" t="b">
        <v>0</v>
      </c>
      <c r="CJ44" s="180" t="b">
        <v>0</v>
      </c>
      <c r="CK44" s="180" t="b">
        <v>0</v>
      </c>
      <c r="CL44" s="180" t="b">
        <v>0</v>
      </c>
      <c r="CM44" s="181" t="s">
        <v>1070</v>
      </c>
      <c r="CN44" s="181" t="s">
        <v>1070</v>
      </c>
      <c r="CO44" s="181" t="s">
        <v>1070</v>
      </c>
      <c r="CP44" s="181" t="s">
        <v>1070</v>
      </c>
      <c r="CQ44" s="185" t="s">
        <v>1070</v>
      </c>
      <c r="CR44" s="180" t="b">
        <v>0</v>
      </c>
      <c r="CS44" s="186" t="str">
        <f t="shared" si="14"/>
        <v>◇◇◇</v>
      </c>
      <c r="CT44" s="178" t="b">
        <v>0</v>
      </c>
      <c r="CU44" s="180" t="b">
        <v>0</v>
      </c>
      <c r="CV44" s="180" t="b">
        <v>0</v>
      </c>
      <c r="CW44" s="180" t="b">
        <v>0</v>
      </c>
      <c r="CX44" s="180" t="b">
        <v>0</v>
      </c>
      <c r="CY44" s="180" t="b">
        <v>0</v>
      </c>
      <c r="CZ44" s="180" t="b">
        <v>0</v>
      </c>
      <c r="DA44" s="180" t="b">
        <v>0</v>
      </c>
      <c r="DB44" s="180" t="b">
        <v>0</v>
      </c>
      <c r="DC44" s="180" t="b">
        <v>0</v>
      </c>
      <c r="DD44" s="181" t="s">
        <v>1070</v>
      </c>
      <c r="DE44" s="181" t="s">
        <v>1070</v>
      </c>
      <c r="DF44" s="181" t="s">
        <v>1070</v>
      </c>
      <c r="DG44" s="185" t="s">
        <v>1070</v>
      </c>
      <c r="DH44" s="180" t="b">
        <v>0</v>
      </c>
      <c r="DI44" s="187" t="str">
        <f>IFERROR(__xludf.DUMMYFUNCTION("SWITCH(
  IF(
    ISTEXT(DI43),
    IF (
      FIND(""○"", DI43&amp;""○"") &gt; 3,
      3,
      FIND(""○"", DI43&amp;""○"")
      + MAX(
        ROUNDDOWN(($D44 - MAX(IFERROR(FILTER(D$24:D43, DI$24:DI43 &lt;&gt; ""●●●"", DI$23:DI42 = ""●●●""), 0))) * (60 * 60 * 24) / 20"&amp;") - ROUNDDOWN(($D43 - MAX(IFERROR(FILTER(D$23:D42, DI$23:DI42 &lt;&gt; ""●●●"", DI$22:DI41 = ""●●●""), 0))) * (60 * 60 * 24) / 20),
        0
      ) - 1
    ) - COUNTIFS(CU44, ""=TRUE"", CU43, ""&lt;&gt;TRUE"") - COUNTIF(CZ44, ""=TRUE"") - COUNTIF({DD44,DE44}, ""&lt;&gt;-"&amp;""") + COUNTIF(DH44, ""=TRUE""),
    3
  ),
  0, ""○○○"", 1, ""●○○"", 2, ""●●○"", 3, ""●●●"", 4, ""●●●"", ""○○○""
)"),"●●●")</f>
        <v>●●●</v>
      </c>
      <c r="DJ44" s="188" t="b">
        <v>0</v>
      </c>
      <c r="DK44" s="189" t="b">
        <v>0</v>
      </c>
      <c r="DL44" s="190" t="b">
        <v>0</v>
      </c>
      <c r="DM44" s="190" t="b">
        <v>0</v>
      </c>
      <c r="DN44" s="190" t="b">
        <v>0</v>
      </c>
      <c r="DO44" s="190" t="b">
        <v>0</v>
      </c>
      <c r="DP44" s="190" t="b">
        <v>0</v>
      </c>
      <c r="DQ44" s="191" t="b">
        <v>0</v>
      </c>
      <c r="DR44" s="192" t="b">
        <v>0</v>
      </c>
      <c r="DS44" s="191" t="b">
        <v>0</v>
      </c>
      <c r="DT44" s="192" t="b">
        <v>0</v>
      </c>
      <c r="DU44" s="191" t="b">
        <v>0</v>
      </c>
      <c r="DV44" s="193" t="s">
        <v>1070</v>
      </c>
      <c r="DW44" s="194" t="b">
        <v>0</v>
      </c>
      <c r="DX44" s="194" t="b">
        <v>0</v>
      </c>
      <c r="DY44" s="195" t="b">
        <v>0</v>
      </c>
      <c r="DZ44" s="196" t="b">
        <v>0</v>
      </c>
      <c r="EA44" s="195" t="b">
        <v>0</v>
      </c>
      <c r="EB44" s="197" t="b">
        <v>0</v>
      </c>
      <c r="EC44" s="197" t="b">
        <v>0</v>
      </c>
      <c r="ED44" s="212" t="b">
        <v>0</v>
      </c>
      <c r="EE44" s="199">
        <f>IFERROR(__xludf.DUMMYFUNCTION("IFERROR(
   PRODUCT(
     MAP(
       INDEX(TRANSPOSE(UNIQUE(TRANSPOSE(FILTER({IF($F44=""Physical"", K$10:ED$10, IF($F44=""Magic"", K$11:ED$11, K$12:ED$12));K$4:ED$4;K44:ED44}, K44:ED44=TRUE)))), 1, 0),
       INDEX(TRANSPOSE(UNIQUE(TRANSPOSE(FILTER({IF($"&amp;"F44=""Physical"", K$18:ED$18, IF($F44=""Magic"", K$19:ED$19, K$20:ED$20));K$4:ED$4;K44:ED44}, K44:ED44=TRUE)))), 1, 0),
       INDEX(TRANSPOSE(UNIQUE(TRANSPOSE(FILTER({K$5:ED$5;K$4:ED$4;K44:ED44}, K44:ED44=TRUE)))), 1, 0),
       INDEX(TRANSPOSE(UNIQUE(TR"&amp;"ANSPOSE(FILTER({K$17:ED$17;K$4:ED$4;K44:ED44}, K44:ED44=TRUE)))), 1, 0),
       LAMBDA(
         mitigation,
         enhance,
         assign,
         precondition,
         IF(
           REGEXMATCH(assign, ""RANGE_PARTY|SINGLE_ENEMY|RANGE_ENEMY""),
  "&amp;"         IF(
             OR(ARRAYFORMULA((IF(precondition="""", FALSE, REGEXMATCH(K$4:ED$4, precondition))) * (K44:ED44=TRUE))),
             IF(ISNUMBER(enhance), enhance, 1),
             IF(ISNUMBER(mitigation), mitigation, 1)
           ),
          "&amp;" 1
         )
       )
     )
   ),
   1
 )"),1.0)</f>
        <v>1</v>
      </c>
      <c r="EF44" s="200">
        <f>IFERROR(__xludf.DUMMYFUNCTION("PRODUCT(
   MAP(
     K$14:ED$14,
     K$13:ED$13,
     K44:ED44,
     LAMBDA(
       buff,
       target,
       check,
       IF(
         AND(check=TRUE, REGEXMATCH(target, ""RANGE_AFFECTED_ALL|RANGE_EFFECTED_ALL""), ISNUMBER(buff)),
         buff,
   "&amp;"      1
       )
     )
   )
 )"),1.0)</f>
        <v>1</v>
      </c>
      <c r="EG44" s="200">
        <f>IFERROR(__xludf.DUMMYFUNCTION("PRODUCT(
   MAP(
     K$14:ED$14,
     K$13:ED$13,
     K44:ED44,
     LAMBDA(
       buff,
       target,
       check,
       IF(
         AND(check=TRUE, REGEXMATCH(target, ""RANGE_AFFECTED_GCD|RANGE_EFFECTED_GCD""), ISNUMBER(buff)),
         buff,
   "&amp;"      1
       )
     )
   )
 )"),1.0)</f>
        <v>1</v>
      </c>
      <c r="EH44" s="200">
        <f>IFERROR(__xludf.DUMMYFUNCTION("PRODUCT(
   MAP(
     K$3:ED$3,
     K$14:ED$14,
     K$13:ED$13,
     K44:ED44,
     LAMBDA(
       job,
       buff,
       target,
       check,
       IF(
         AND(check=TRUE, REGEXMATCH(target, ""SELF_EFFECTED_ALL""), ISNUMBER(buff), job=""白魔道士"""&amp;"),
         buff,
         1
       )
     )
   )
 )"),1.0)</f>
        <v>1</v>
      </c>
      <c r="EI44" s="200">
        <f>IFERROR(__xludf.DUMMYFUNCTION("PRODUCT(
   MAP(
     K$3:ED$3,
     K$14:ED$14,
     K$13:ED$13,
     K44:ED44,
     LAMBDA(
       job,
       buff,
       target,
       check,
       IF(
         AND(check=TRUE, REGEXMATCH(target, ""SELF_EFFECTED_GCD""), ISNUMBER(buff), job=""白魔道士"""&amp;"),
         buff,
         1
       )
     )
   )
 )"),1.0)</f>
        <v>1</v>
      </c>
      <c r="EJ44" s="200">
        <f>IFERROR(__xludf.DUMMYFUNCTION("PRODUCT(
   MAP(
     K$3:ED$3,
     K$14:ED$14,
     K$13:ED$13,
     K44:ED44,
     LAMBDA(
       job,
       buff,
       target,
       check,
       IF(
         AND(check=TRUE, REGEXMATCH(target, ""SELF_EFFECTED_ALL""), ISNUMBER(buff), job=""占星術師"""&amp;"),
         buff,
         1
       )
     )
   )
 )"),1.0)</f>
        <v>1</v>
      </c>
      <c r="EK44" s="200">
        <f>IFERROR(__xludf.DUMMYFUNCTION("PRODUCT(
   MAP(
     K$3:ED$3,
     K$14:ED$14,
     K$13:ED$13,
     K44:ED44,
     LAMBDA(
       job,
       buff,
       target,
       check,
       IF(
         AND(check=TRUE, REGEXMATCH(target, ""SELF_EFFECTED_GCD""), ISNUMBER(buff), job=""占星術師"""&amp;"),
         buff,
         1
       )
     )
   )
 )"),1.0)</f>
        <v>1</v>
      </c>
      <c r="EL44" s="200">
        <f>IFERROR(__xludf.DUMMYFUNCTION("PRODUCT(
   MAP(
     K$3:ED$3,
     K$14:ED$14,
     K$13:ED$13,
     K44:ED44,
     LAMBDA(
       job,
       buff,
       target,
       check,
       IF(
         AND(check=TRUE, REGEXMATCH(target, ""SELF_EFFECTED_ALL""), ISNUMBER(buff), job=""学者""),"&amp;"
         buff,
         1
       )
     )
   )
 )"),1.0)</f>
        <v>1</v>
      </c>
      <c r="EM44" s="200">
        <f>IFERROR(__xludf.DUMMYFUNCTION("PRODUCT(
   MAP(
     K$3:ED$3,
     K$14:ED$14,
     K$13:ED$13,
     K44:ED44,
     LAMBDA(
       job,
       buff,
       target,
       check,
       IF(
         AND(check=TRUE, REGEXMATCH(target, ""SELF_EFFECTED_GCD""), ISNUMBER(buff), job=""学者""),"&amp;"
         buff,
         1
       )
     )
   )
 )"),1.0)</f>
        <v>1</v>
      </c>
      <c r="EN44" s="200">
        <f>IFERROR(__xludf.DUMMYFUNCTION("PRODUCT(
   MAP(
     K$3:ED$3,
     K$14:ED$14,
     K$13:ED$13,
     K44:ED44,
     LAMBDA(
       job,
       buff,
       target,
       check,
       IF(
         AND(check=TRUE, REGEXMATCH(target, ""SELF_EFFECTED_ALL""), ISNUMBER(buff), job=""賢者""),"&amp;"
         buff,
         1
       )
     )
   )
 )"),1.0)</f>
        <v>1</v>
      </c>
      <c r="EO44" s="200">
        <f>IFERROR(__xludf.DUMMYFUNCTION("PRODUCT(
   MAP(
     K$3:ED$3,
     K$14:ED$14,
     K$13:ED$13,
     K44:ED44,
     LAMBDA(
       job,
       buff,
       target,
       check,
       IF(
         AND(check=TRUE, REGEXMATCH(target, ""SELF_EFFECTED_GCD""), ISNUMBER(buff), job=""賢者""),"&amp;"
         buff,
         1
       )
     )
   )
 )"),1.0)</f>
        <v>1</v>
      </c>
      <c r="EP44" s="201">
        <f t="shared" si="3"/>
        <v>0</v>
      </c>
      <c r="EQ44" s="201">
        <f>IFERROR(__xludf.DUMMYFUNCTION("SUM(
   MAP(
     K$4:ED$4,
     K$3:ED$3,
     K$7:ED$7,
     K$15:ED$15,
     K$16:ED$16,
     K$21:ED$21,
     K$5:ED$5,
     K$17:ED$17,
     K44:ED44,
     LAMBDA(
       name,
       job,
       abillity,
       buff,
       barrier,
       enhance,"&amp;"
       assign,
       precondition,
       check,
       SWITCH(
         name,
         ""シェイクオフ"", IF(check=TRUE, buff + (0.02 * COUNTIF(ARRAYFORMULA((REGEXMATCH($K$4:$ED$4, ""スリル・オブ・バトル|ヴェンジェンス|原初の血気|ダムネーション"")) * (K44:ED44=TRUE)), 1)), 0),
         "&amp;"""インプロビゼーションフィニッシュ(踊りの激情0)"", IF(ISNUMBER(check), INDEX(Skill!$AJ:$AJ, MATCH(SUBSTITUTE(DV$4, 0, check), Skill!$C:$C, 0)), 0),
         IF(
           AND(check=TRUE, REGEXMATCH(assign, ""RANGE_PARTY"")),
           IF(
             OR(ARRAYFORMULA((IF(pr"&amp;"econdition="""", FALSE, REGEXMATCH($K$4:$ED$4, precondition))) * (K44:ED44=TRUE))),
             enhance,
             IF(barrier="""", buff, barrier)
           ),
           0
         )
       ) *
       SWITCH(
         job,
         ""ナイト"", EY$24,
 "&amp;"        ""戦士"", FD$24,
         ""踊り子"", ET$24,
         ""ピクトマンサー"", ET$24,
         ""白魔道士"", EF44 * EH44 * IF(abillity, 1, EG44 * EI44) * (Option!$D$22 * 0.81 / 100),
         ""占星術師"", EF44 * EJ44 * IF(abillity, 1, EG44 * EK44) * (Option!$D$23 * 0.81 "&amp;"/ 100),
         ""学者"", EF44 * EL44 * IF(abillity, 1, EG44 * EM44) * (Option!$D$24 * 0.81 / 100),
         ""賢者"", EF44 * EN44 * IF(abillity, 1, EG44 * EO44) * (Option!$D$25 * 0.81 / 100),
         1
       )
     )
   )
 )"),0.0)</f>
        <v>0</v>
      </c>
      <c r="ER44" s="202">
        <f t="shared" si="4"/>
        <v>0</v>
      </c>
      <c r="ES44" s="203">
        <f t="shared" si="5"/>
        <v>0</v>
      </c>
      <c r="ET44" s="231" t="str">
        <f>IFERROR(__xludf.DUMMYFUNCTION("IFS(
  EP44 &gt; $ET$24 + EQ44,
  SPARKLINE({ 1, 0 }, {""charttype"",""bar"";""max"", 1;""color1"",Option!$D$30;""color2"",Option!$D$30}),
  EP44 &lt; EQ44,
  SPARKLINE({EQ44 - EP44, $ET$24 - (EQ44 - EP44)}, {""charttype"",""bar"";""max"",$ET$24;""color1"",Opti"&amp;"on!$D$28;""color2"",Option!$D$29}),
  EP44 &gt;= EQ44,
  SPARKLINE({$ET$24 + EQ44 - EP44,EP44 - EQ44}, {""charttype"",""bar"";""max"",$ET$24;""color1"",Option!$D$29;""color2"",Option!$D$30})
)"),"")</f>
        <v/>
      </c>
      <c r="EU44" s="205">
        <f>IFERROR(__xludf.DUMMYFUNCTION("PRODUCT(
   MAP(
     IF($F44=""Physical"", K$10:ED$10, IF($F44=""Magic"", K$11:ED$11, K$12:ED$12)),
     IF($F44=""Physical"", K$18:ED$18, IF($F44=""Magic"", K$19:ED$19, K$20:ED$20)),
     K$3:ED$3,
     K$5:ED$5,
     K$17:ED$17,
     K44:ED44,
     LAM"&amp;"BDA(
       mitigation,
       enhance,
       job,
       assign,
       precondition,
       check,
       IF(
         OR(AND(check=TRUE, REGEXMATCH(assign, ""SELF""), job=""ナイト""), AND(check=Option!$E$13, REGEXMATCH(assign, ""SINGLE_PARTY""))),
      "&amp;"   IF(
           OR(ARRAYFORMULA((IF(precondition="""", FALSE, REGEXMATCH($K$4:$ED$4, precondition))) * (K44:ED44=TRUE))),
           enhance,
           mitigation
         ),
         1
       )
     )
   )
 ) * EE44"),1.0)</f>
        <v>1</v>
      </c>
      <c r="EV44" s="206">
        <f t="shared" si="6"/>
        <v>0</v>
      </c>
      <c r="EW44" s="205">
        <f>IFERROR(__xludf.DUMMYFUNCTION("PRODUCT(
   MAP(
     K$3:ED$3,
     K$14:ED$14,
     K$13:ED$13,
     K44:ED44,
     LAMBDA(
       job,
       buff,
       target,
       check,
       IF(
         OR(AND(check=TRUE, REGEXMATCH(target, ""SELF_AFFECTED_ALL""), job=""ナイト""), AND(check=O"&amp;"ption!$E$13, REGEXMATCH(target, ""SINGLE_AFFECTED_ALL""))),
         buff,
         1
       )
     )
   )
 )"),1.0)</f>
        <v>1</v>
      </c>
      <c r="EX44" s="206">
        <f>IFERROR(__xludf.DUMMYFUNCTION("SUM(
   MAP(
     K$3:ED$3,
     K$7:ED$7,
     K$15:ED$15,
     K$16:ED$16,
     K$21:ED$21,
     K$5:ED$5,
     K$17:ED$17,
     K44:ED44,
     LAMBDA(
       job,
       abillity,
       buff,
       barrier,
       enhance,
       assign,
       preco"&amp;"ndition,
       check,
       IF(
         OR(AND(check=TRUE, REGEXMATCH(assign, ""SELF""), job=""ナイト""), AND(check=Option!$E$13, REGEXMATCH(assign, ""SINGLE_PARTY""))),
         IF(
           OR(ARRAYFORMULA((IF(precondition="""", FALSE, REGEXMATCH($K$4"&amp;":$ED$4, precondition))) * (K44:ED44=TRUE))),
           enhance,
           IF(barrier="""", buff, barrier)
         ),
         0
       ) *
       SWITCH(
         job,
         ""暗黒騎士"", EY$24,
         ""白魔道士"", EF44 * EH44 * EW44 * IF(abillity, 1, EG"&amp;"44 * EI44) * (Option!$D$22 * 0.81 / 100),
         ""占星術師"", EF44 * EJ44 * EW44 * IF(abillity, 1, EG44 * EK44) * (Option!$D$23 * 0.81 / 100),
         ""学者"", EF44 * EL44 * EW44 * IF(abillity, 1, EG44 * EM44) * (Option!$D$24 * 0.81 / 100),
         ""賢者"""&amp;", EF44 * EN44 * EW44 * IF(abillity, 1, EG44 * EO44) * (Option!$D$25 * 0.81 / 100),
         1
       )
     )
   )
 ) + EQ44"),0.0)</f>
        <v>0</v>
      </c>
      <c r="EY44" s="232">
        <f t="shared" si="7"/>
        <v>0</v>
      </c>
      <c r="EZ44" s="205">
        <f>IFERROR(__xludf.DUMMYFUNCTION("PRODUCT(
   MAP(
     IF($F44=""Physical"", K$10:ED$10, IF($F44=""Magic"", K$11:ED$11, K$12:ED$12)),
     IF($F44=""Physical"", K$18:ED$18, IF($F44=""Magic"", K$19:ED$19, K$20:ED$20)),
     K$3:ED$3,
     K$5:ED$5,
     K$17:ED$17,
     K44:ED44,
     LAM"&amp;"BDA(
       mitigation,
       enhance,
       job,
       assign,
       precondition,
       check,
       IF(
         OR(AND(check=TRUE, REGEXMATCH(assign, ""SELF""), job=""戦士""), AND(check=Option!$F$13, REGEXMATCH(assign, ""SINGLE_PARTY""))),
       "&amp;"  IF(
           OR(ARRAYFORMULA((IF(precondition="""", FALSE, REGEXMATCH($K$4:$ED$4, precondition))) * (K44:ED44=TRUE))),
           enhance,
           mitigation
         ),
         1
       )
     )
   )
 ) * EE44"),1.0)</f>
        <v>1</v>
      </c>
      <c r="FA44" s="206">
        <f t="shared" si="8"/>
        <v>0</v>
      </c>
      <c r="FB44" s="205">
        <f>IFERROR(__xludf.DUMMYFUNCTION("PRODUCT(
   MAP(
     K$3:ED$3,
     K$14:ED$14,
     K$13:ED$13,
     K44:ED44,
     LAMBDA(
       job,
       buff,
       target,
       check,
       IF(
         OR(AND(check=TRUE, REGEXMATCH(target, ""SELF_AFFECTED_ALL""), job=""戦士""), AND(check=Op"&amp;"tion!$F$13, REGEXMATCH(target, ""SINGLE_AFFECTED_ALL""))),
         buff,
         1
       )
     )
   )
 )"),1.0)</f>
        <v>1</v>
      </c>
      <c r="FC44" s="206">
        <f>IFERROR(__xludf.DUMMYFUNCTION("SUM(
   MAP(
     K$3:ED$3,
     K$7:ED$7,
     K$15:ED$15,
     K$16:ED$16,
     K$21:ED$21,
     K$5:ED$5,
     K$17:ED$17,
     K44:ED44,
     LAMBDA(
       job,
       abillity,
       buff,
       barrier,
       enhance,
       assign,
       preco"&amp;"ndition,
       check,
       IF(
         OR(AND(check=TRUE, REGEXMATCH(assign, ""SELF""), job=""戦士""), AND(check=Option!$F$13, REGEXMATCH(assign, ""SINGLE_PARTY""))),
         IF(
           OR(ARRAYFORMULA((IF(precondition="""", FALSE, REGEXMATCH($K$4:"&amp;"$ED$4, precondition))) * (K44:ED44=TRUE))),
           enhance,
           IF(barrier="""", buff, barrier)
         ),
         0
       ) *
       SWITCH(
         job,
         ""暗黒騎士"", FD$24,
         ""白魔道士"", EF44 * EH44 * FB44 * IF(abillity, 1, EG4"&amp;"4 * EI44) * (Option!$D$22 * 0.81 / 100),
         ""占星術師"", EF44 * EJ44 * FFB44 * IF(abillity, 1, EG44 * EK44) * (Option!$D$23 * 0.81 / 100),
         ""学者"", EF44 * EL44 * FB44 * IF(abillity, 1, EG44 * EM44) * (Option!$D$24 * 0.81 / 100),
         ""賢者"""&amp;", EF44 * EN44 * FB44 * IF(abillity, 1, EG44 * EO44) * (Option!$D$25 * 0.81 / 100),
         1
       )
     )
   )
 ) + EQ44"),0.0)</f>
        <v>0</v>
      </c>
      <c r="FD44" s="206">
        <f t="shared" si="9"/>
        <v>0</v>
      </c>
      <c r="FE44" s="205">
        <f>IFERROR(__xludf.DUMMYFUNCTION("PRODUCT(
   MAP(
     IF($F44=""Physical"", K$10:ED$10, IF($F44=""Magic"", K$11:ED$11, K$12:ED$12)),
     IF($F44=""Physical"", K$18:ED$18, IF($F44=""Magic"", K$19:ED$19, K$20:ED$20)),
     K$3:ED$3,
     K$5:ED$5,
     K$17:ED$17,
     K44:ED44,
     LAM"&amp;"BDA(
       mitigation,
       enhance,
       job,
       assign,
       precondition,
       check,
       IF(
         OR(AND(check=TRUE, REGEXMATCH(assign, ""SELF""), job=""暗黒騎士""), AND(check=Option!$G$13, REGEXMATCH(assign, ""SINGLE_PARTY""))),
     "&amp;"    IF(
           OR(ARRAYFORMULA((IF(precondition="""", FALSE, REGEXMATCH($K$4:$ED$4, precondition))) * (K44:ED44=TRUE))),
           enhance,
           mitigation
         ),
         1
       )
     )
   )
 ) * EE44"),1.0)</f>
        <v>1</v>
      </c>
      <c r="FF44" s="206">
        <f t="shared" si="10"/>
        <v>0</v>
      </c>
      <c r="FG44" s="205">
        <f>IFERROR(__xludf.DUMMYFUNCTION("PRODUCT(
   MAP(
     K$3:ED$3,
     K$14:ED$14,
     K$13:ED$13,
     K44:ED44,
     LAMBDA(
       job,
       buff,
       target,
       check,
       IF(
         OR(AND(check=TRUE, REGEXMATCH(target, ""SELF_AFFECTED_ALL""), job=""暗黒騎士""), AND(check="&amp;"Option!$G$13, REGEXMATCH(target, ""SINGLE_AFFECTED_ALL""))),
         buff,
         1
       )
     )
   )
 )"),1.0)</f>
        <v>1</v>
      </c>
      <c r="FH44" s="206">
        <f>IFERROR(__xludf.DUMMYFUNCTION("SUM(
   MAP(
     K$3:ED$3,
     K$7:ED$7,
     K$15:ED$15,
     K$16:ED$16,
     K$21:ED$21,
     K$5:ED$5,
     K$17:ED$17,
     K44:ED44,
     LAMBDA(
       job,
       abillity,
       buff,
       barrier,
       enhance,
       assign,
       preco"&amp;"ndition,
       check,
       IF(
         OR(AND(check=TRUE, REGEXMATCH(assign, ""SELF""), job=""暗黒騎士""), AND(check=Option!$G$13, REGEXMATCH(assign, ""SINGLE_PARTY""))),
         IF(
           OR(ARRAYFORMULA((IF(precondition="""", FALSE, REGEXMATCH($K$"&amp;"4:$ED$4, precondition))) * (K44:ED44=TRUE))),
           enhance,
           IF(barrier="""", buff, barrier)
         ),
         0
       ) *
       SWITCH(
         job,
         ""暗黒騎士"", FI$24,
         ""白魔道士"", EF44 * EH44 * FG44 * IF(abillity, 1, E"&amp;"G44 * EI44) * (Option!$D$22 * 0.81 / 100),
         ""占星術師"", EF44 * EJ44 * FG44 * IF(abillity, 1, EG44 * EK44) * (Option!$D$23 * 0.81 / 100),
         ""学者"", EF44 * EL44 * FG44 * IF(abillity, 1, EG44 * EM44) * (Option!$D$24 * 0.81 / 100),
         ""賢者"&amp;""", EF44 * EN44 * FG44 * IF(abillity, 1, EG44 * EO44) * (Option!$D$25 * 0.81 / 100),
         1
       )
     )
   )
 ) + EQ44"),0.0)</f>
        <v>0</v>
      </c>
      <c r="FI44" s="206">
        <f t="shared" si="11"/>
        <v>0</v>
      </c>
      <c r="FJ44" s="205">
        <f>IFERROR(__xludf.DUMMYFUNCTION("PRODUCT(
   MAP(
     IF($F44=""Physical"", K$10:ED$10, IF($F44=""Magic"", K$11:ED$11, K$12:ED$12)),
     IF($F44=""Physical"", K$18:ED$18, IF($F44=""Magic"", K$19:ED$19, K$20:ED$20)),
     K$3:ED$3,
     K$5:ED$5,
     K$17:ED$17,
     K44:ED44,
     LAM"&amp;"BDA(
       mitigation,
       enhance,
       job,
       assign,
       precondition,
       check,
       IF(
         OR(AND(check=TRUE, REGEXMATCH(assign, ""SELF""), job=""ガンブレイカー""), AND(check=Option!$H$13, REGEXMATCH(assign, ""SINGLE_PARTY""))),
  "&amp;"       IF(
           OR(ARRAYFORMULA((IF(precondition="""", FALSE, REGEXMATCH($K$4:$ED$4, precondition))) * (K44:ED44=TRUE))),
           enhance,
           mitigation
         ),
         1
       )
     )
   )
 ) * EE44"),1.0)</f>
        <v>1</v>
      </c>
      <c r="FK44" s="206">
        <f t="shared" si="12"/>
        <v>0</v>
      </c>
      <c r="FL44" s="205">
        <f>IFERROR(__xludf.DUMMYFUNCTION("PRODUCT(
   MAP(
     K$3:ED$3,
     K$14:ED$14,
     K$13:ED$13,
     K44:ED44,
     LAMBDA(
       job,
       buff,
       target,
       check,
       IF(
         OR(AND(check=TRUE, REGEXMATCH(target, ""SELF_AFFECTED_ALL""), job=""ガンブレイカー""), AND(che"&amp;"ck=Option!$H$13, REGEXMATCH(target, ""SINGLE_AFFECTED_ALL""))),
         buff,
         1
       )
     )
   )
 )"),1.0)</f>
        <v>1</v>
      </c>
      <c r="FM44" s="206">
        <f>IFERROR(__xludf.DUMMYFUNCTION("SUM(
   MAP(
     K$3:ED$3,
     K$7:ED$7,
     K$15:ED$15,
     K$16:ED$16,
     K$21:ED$21,
     K$5:ED$5,
     K$17:ED$17,
     K44:ED44,
     LAMBDA(
       job,
       abillity,
       buff,
       barrier,
       enhance,
       assign,
       preco"&amp;"ndition,
       check,
       IF(
         OR(AND(check=TRUE, REGEXMATCH(assign, ""SELF""), job=""ガンブレイカー""), AND(check=Option!$H$13, REGEXMATCH(assign, ""SINGLE_PARTY""))),
         IF(
           OR(ARRAYFORMULA((IF(precondition="""", FALSE, REGEXMATCH("&amp;"$K$4:$ED$4, precondition))) * (K44:ED44=TRUE))),
           enhance,
           IF(barrier="""", buff, barrier)
         ),
         0
       ) *
       SWITCH(
         job,
         ""暗黒騎士"", FN$24,
         ""白魔道士"", EF44 * EH44 * FL44 * IF(abillity, 1"&amp;", EG44 * EI44) * (Option!$D$22 * 0.81 / 100),
         ""占星術師"", EF44 * EJ44 * FL44 * IF(abillity, 1, EG44 * EK44) * (Option!$D$23 * 0.81 / 100),
         ""学者"", EF44 * EL44 * FL44 * IF(abillity, 1, EG44 * EM44) * (Option!$D$24 * 0.81 / 100),
         """&amp;"賢者"", EF44 * EN44 * FL44 * IF(abillity, 1, EG44 * EO44) * (Option!$D$25 * 0.81 / 100),
         1
       )
     )
   )
 ) + EQ44"),0.0)</f>
        <v>0</v>
      </c>
      <c r="FN44" s="206">
        <f t="shared" si="13"/>
        <v>0</v>
      </c>
      <c r="FO44" s="213"/>
    </row>
    <row r="45">
      <c r="B45" s="229"/>
      <c r="C45" s="217">
        <f t="shared" si="1"/>
        <v>0.00380787037</v>
      </c>
      <c r="D45" s="236"/>
      <c r="E45" s="238"/>
      <c r="F45" s="167"/>
      <c r="G45" s="168" t="str">
        <f t="shared" si="2"/>
        <v/>
      </c>
      <c r="H45" s="169"/>
      <c r="I45" s="169"/>
      <c r="J45" s="169"/>
      <c r="K45" s="170" t="b">
        <v>0</v>
      </c>
      <c r="L45" s="170" t="b">
        <v>0</v>
      </c>
      <c r="M45" s="170" t="b">
        <v>0</v>
      </c>
      <c r="N45" s="171" t="s">
        <v>1070</v>
      </c>
      <c r="O45" s="172" t="b">
        <v>0</v>
      </c>
      <c r="P45" s="173" t="b">
        <v>0</v>
      </c>
      <c r="Q45" s="173" t="b">
        <v>0</v>
      </c>
      <c r="R45" s="173" t="b">
        <v>0</v>
      </c>
      <c r="S45" s="174" t="b">
        <v>0</v>
      </c>
      <c r="T45" s="175" t="b">
        <v>0</v>
      </c>
      <c r="U45" s="173" t="b">
        <v>0</v>
      </c>
      <c r="V45" s="171" t="s">
        <v>1070</v>
      </c>
      <c r="W45" s="172" t="b">
        <v>0</v>
      </c>
      <c r="X45" s="173" t="b">
        <v>0</v>
      </c>
      <c r="Y45" s="173" t="b">
        <v>0</v>
      </c>
      <c r="Z45" s="173" t="b">
        <v>0</v>
      </c>
      <c r="AA45" s="174" t="b">
        <v>0</v>
      </c>
      <c r="AB45" s="174" t="b">
        <v>0</v>
      </c>
      <c r="AC45" s="175" t="b">
        <v>0</v>
      </c>
      <c r="AD45" s="173" t="b">
        <v>0</v>
      </c>
      <c r="AE45" s="176" t="s">
        <v>1070</v>
      </c>
      <c r="AF45" s="171" t="s">
        <v>1070</v>
      </c>
      <c r="AG45" s="177">
        <f>IFERROR(__xludf.DUMMYFUNCTION("IF(
  ISNUMBER(AG44),
  MIN(MAX(
    AG44
    + MAX(
      ROUNDDOWN(($D45 - MAX(IFERROR(FILTER($D$24:$D44, AG$24:AG44 &lt;&gt; AF$6, AG$23:AG43 = AF$6), 0))) * (60 * 60 * 24) / AF$9) - ROUNDDOWN(($D44 - MAX(IFERROR(FILTER($D$23:$D43, AG$23:AG43 &lt;&gt; AF$6, AG$22:"&amp;"AG42 = AF$6), 0))) * (60 * 60 * 24) / 60),
      0
    )
    - COUNTIF(AF45, ""&lt;&gt;-""),
  0), AF$6),
  AF$6 - COUNTIF(AF45, ""&lt;&gt;-"")
)"),2.0)</f>
        <v>2</v>
      </c>
      <c r="AH45" s="173" t="b">
        <v>0</v>
      </c>
      <c r="AI45" s="173" t="b">
        <v>0</v>
      </c>
      <c r="AJ45" s="173" t="b">
        <v>0</v>
      </c>
      <c r="AK45" s="174" t="b">
        <v>0</v>
      </c>
      <c r="AL45" s="175" t="b">
        <v>0</v>
      </c>
      <c r="AM45" s="173" t="b">
        <v>0</v>
      </c>
      <c r="AN45" s="171" t="s">
        <v>1070</v>
      </c>
      <c r="AO45" s="173" t="b">
        <v>0</v>
      </c>
      <c r="AP45" s="173" t="b">
        <v>0</v>
      </c>
      <c r="AQ45" s="173" t="b">
        <v>0</v>
      </c>
      <c r="AR45" s="174" t="b">
        <v>0</v>
      </c>
      <c r="AS45" s="178" t="b">
        <v>0</v>
      </c>
      <c r="AT45" s="179" t="b">
        <v>0</v>
      </c>
      <c r="AU45" s="180" t="b">
        <v>0</v>
      </c>
      <c r="AV45" s="180" t="b">
        <v>0</v>
      </c>
      <c r="AW45" s="180" t="b">
        <v>0</v>
      </c>
      <c r="AX45" s="180" t="b">
        <v>0</v>
      </c>
      <c r="AY45" s="181" t="s">
        <v>1070</v>
      </c>
      <c r="AZ45" s="181" t="s">
        <v>1070</v>
      </c>
      <c r="BA45" s="184">
        <f>IFERROR(__xludf.DUMMYFUNCTION("IF(
  ISNUMBER(BA44),
  MIN(MAX(
    BA44
    + MAX(
      ROUNDDOWN((D45 - MAX(IFERROR(FILTER(D$24:D44, BA$24:BA44 &lt;&gt; AZ$6, BA$23:BA43 = AZ$6), 0))) * (60 * 60 * 24) / AZ$9) - ROUNDDOWN((D44 - MAX(IFERROR(FILTER(D$23:D43, BA$23:BA43 &lt;&gt; AZ$6, BA$22:BA42 ="&amp;" AZ$6), 0))) * (60 * 60 * 24) / AZ$9),
      0
    )
    - COUNTIF(AZ45, ""&lt;&gt;-""),
  0), AZ$6),
  AZ$6 - COUNTIF(AZ45, ""&lt;&gt;-"")
)"),2.0)</f>
        <v>2</v>
      </c>
      <c r="BB45" s="181" t="s">
        <v>1070</v>
      </c>
      <c r="BC45" s="183">
        <f>IFERROR(__xludf.DUMMYFUNCTION("IF(
  ISNUMBER(BC44),
  MIN(MAX(
    BC44
    + MAX(
      ROUNDDOWN(($D45 - MAX(IFERROR(FILTER($D$24:$D44, BC$24:BC44 &lt;&gt; BB$6, BC$23:BC43 = BB$6), 0))) * (60 * 60 * 24) / BB$9) - ROUNDDOWN(($D44 - MAX(IFERROR(FILTER($D$23:$D43, BC$23:BC43 &lt;&gt; BB$6, BC$22:"&amp;"BC42 = BB$6), 0))) * (60 * 60 * 24) / 60),
      0
    )
    - COUNTIF(BB45, ""&lt;&gt;-""),
  0), BB$6),
  BB$6 - COUNTIF(BB45, ""&lt;&gt;-"")
)"),2.0)</f>
        <v>2</v>
      </c>
      <c r="BD45" s="181" t="s">
        <v>1070</v>
      </c>
      <c r="BE45" s="178" t="b">
        <v>0</v>
      </c>
      <c r="BF45" s="180" t="b">
        <v>0</v>
      </c>
      <c r="BG45" s="180" t="b">
        <v>0</v>
      </c>
      <c r="BH45" s="180" t="b">
        <v>0</v>
      </c>
      <c r="BI45" s="180" t="b">
        <v>0</v>
      </c>
      <c r="BJ45" s="180" t="b">
        <v>0</v>
      </c>
      <c r="BK45" s="180" t="b">
        <v>0</v>
      </c>
      <c r="BL45" s="180" t="b">
        <v>0</v>
      </c>
      <c r="BM45" s="180" t="b">
        <v>0</v>
      </c>
      <c r="BN45" s="180" t="b">
        <v>0</v>
      </c>
      <c r="BO45" s="181" t="s">
        <v>1070</v>
      </c>
      <c r="BP45" s="181" t="s">
        <v>1070</v>
      </c>
      <c r="BQ45" s="181" t="s">
        <v>1070</v>
      </c>
      <c r="BR45" s="181" t="s">
        <v>1070</v>
      </c>
      <c r="BS45" s="181" t="s">
        <v>1070</v>
      </c>
      <c r="BT45" s="184">
        <f>IFERROR(__xludf.DUMMYFUNCTION("IF(
  ISNUMBER(BT44),
  MIN(MAX(
    BT44
    + MAX(
      ROUNDDOWN((D45 - MAX(IFERROR(FILTER(D$24:D44, BT$24:BT44 &lt;&gt; BS$6, BT$23:BT43 = BS$6), 0))) * (60 * 60 * 24) / BS$9) - ROUNDDOWN((D44 - MAX(IFERROR(FILTER(D$23:D43, BT$23:BT43 &lt;&gt; BS$6, BT$22:BT42 ="&amp;" BS$6), 0))) * (60 * 60 * 24) / BS$9),
      0
    )
    - COUNTIF(BS45, ""&lt;&gt;-""),
  0), BS$6),
  BS$6 - COUNTIF(BS45, ""&lt;&gt;-"")
)"),3.0)</f>
        <v>3</v>
      </c>
      <c r="BU45" s="181" t="s">
        <v>1070</v>
      </c>
      <c r="BV45" s="181" t="s">
        <v>1070</v>
      </c>
      <c r="BW45" s="184">
        <f>IFERROR(__xludf.DUMMYFUNCTION("IF(
  ISNUMBER(BW44),
  MIN(MAX(
    BW44
    + MAX(
      ROUNDDOWN((D45 - MAX(IFERROR(FILTER(D$24:D44, BW$24:BW44 &lt;&gt; BV$6, BW$23:BW43 = BV$6), 0))) * (60 * 60 * 24) / BV$9) - ROUNDDOWN((D44 - MAX(IFERROR(FILTER(D$23:D43, BW$23:BW43 &lt;&gt; BV$6, BW$22:BW42 ="&amp;" BV$6), 0))) * (60 * 60 * 24) / BV$9),
      0
    )
    - COUNTIF(BV45, ""&lt;&gt;-""),
  0), BV$6),
  BV$6 - COUNTIF(BV45, ""&lt;&gt;-"")
)"),2.0)</f>
        <v>2</v>
      </c>
      <c r="BX45" s="185" t="s">
        <v>1070</v>
      </c>
      <c r="BY45" s="178" t="b">
        <v>0</v>
      </c>
      <c r="BZ45" s="180" t="b">
        <v>0</v>
      </c>
      <c r="CA45" s="180" t="b">
        <v>0</v>
      </c>
      <c r="CB45" s="180" t="b">
        <v>0</v>
      </c>
      <c r="CC45" s="180" t="b">
        <v>0</v>
      </c>
      <c r="CD45" s="180" t="b">
        <v>0</v>
      </c>
      <c r="CE45" s="180" t="b">
        <v>0</v>
      </c>
      <c r="CF45" s="180" t="b">
        <v>0</v>
      </c>
      <c r="CG45" s="180" t="b">
        <v>0</v>
      </c>
      <c r="CH45" s="180" t="b">
        <v>0</v>
      </c>
      <c r="CI45" s="180" t="b">
        <v>0</v>
      </c>
      <c r="CJ45" s="180" t="b">
        <v>0</v>
      </c>
      <c r="CK45" s="180" t="b">
        <v>0</v>
      </c>
      <c r="CL45" s="180" t="b">
        <v>0</v>
      </c>
      <c r="CM45" s="181" t="s">
        <v>1070</v>
      </c>
      <c r="CN45" s="181" t="s">
        <v>1070</v>
      </c>
      <c r="CO45" s="181" t="s">
        <v>1070</v>
      </c>
      <c r="CP45" s="181" t="s">
        <v>1070</v>
      </c>
      <c r="CQ45" s="185" t="s">
        <v>1070</v>
      </c>
      <c r="CR45" s="180" t="b">
        <v>0</v>
      </c>
      <c r="CS45" s="186" t="str">
        <f t="shared" si="14"/>
        <v>◇◇◇</v>
      </c>
      <c r="CT45" s="178" t="b">
        <v>0</v>
      </c>
      <c r="CU45" s="180" t="b">
        <v>0</v>
      </c>
      <c r="CV45" s="180" t="b">
        <v>0</v>
      </c>
      <c r="CW45" s="180" t="b">
        <v>0</v>
      </c>
      <c r="CX45" s="180" t="b">
        <v>0</v>
      </c>
      <c r="CY45" s="180" t="b">
        <v>0</v>
      </c>
      <c r="CZ45" s="180" t="b">
        <v>0</v>
      </c>
      <c r="DA45" s="180" t="b">
        <v>0</v>
      </c>
      <c r="DB45" s="180" t="b">
        <v>0</v>
      </c>
      <c r="DC45" s="180" t="b">
        <v>0</v>
      </c>
      <c r="DD45" s="181" t="s">
        <v>1070</v>
      </c>
      <c r="DE45" s="181" t="s">
        <v>1070</v>
      </c>
      <c r="DF45" s="181" t="s">
        <v>1070</v>
      </c>
      <c r="DG45" s="185" t="s">
        <v>1070</v>
      </c>
      <c r="DH45" s="180" t="b">
        <v>0</v>
      </c>
      <c r="DI45" s="187" t="str">
        <f>IFERROR(__xludf.DUMMYFUNCTION("SWITCH(
  IF(
    ISTEXT(DI44),
    IF (
      FIND(""○"", DI44&amp;""○"") &gt; 3,
      3,
      FIND(""○"", DI44&amp;""○"")
      + MAX(
        ROUNDDOWN(($D45 - MAX(IFERROR(FILTER(D$24:D44, DI$24:DI44 &lt;&gt; ""●●●"", DI$23:DI43 = ""●●●""), 0))) * (60 * 60 * 24) / 20"&amp;") - ROUNDDOWN(($D44 - MAX(IFERROR(FILTER(D$23:D43, DI$23:DI43 &lt;&gt; ""●●●"", DI$22:DI42 = ""●●●""), 0))) * (60 * 60 * 24) / 20),
        0
      ) - 1
    ) - COUNTIFS(CU45, ""=TRUE"", CU44, ""&lt;&gt;TRUE"") - COUNTIF(CZ45, ""=TRUE"") - COUNTIF({DD45,DE45}, ""&lt;&gt;-"&amp;""") + COUNTIF(DH45, ""=TRUE""),
    3
  ),
  0, ""○○○"", 1, ""●○○"", 2, ""●●○"", 3, ""●●●"", 4, ""●●●"", ""○○○""
)"),"●●●")</f>
        <v>●●●</v>
      </c>
      <c r="DJ45" s="188" t="b">
        <v>0</v>
      </c>
      <c r="DK45" s="189" t="b">
        <v>0</v>
      </c>
      <c r="DL45" s="190" t="b">
        <v>0</v>
      </c>
      <c r="DM45" s="190" t="b">
        <v>0</v>
      </c>
      <c r="DN45" s="190" t="b">
        <v>0</v>
      </c>
      <c r="DO45" s="190" t="b">
        <v>0</v>
      </c>
      <c r="DP45" s="190" t="b">
        <v>0</v>
      </c>
      <c r="DQ45" s="191" t="b">
        <v>0</v>
      </c>
      <c r="DR45" s="192" t="b">
        <v>0</v>
      </c>
      <c r="DS45" s="191" t="b">
        <v>0</v>
      </c>
      <c r="DT45" s="192" t="b">
        <v>0</v>
      </c>
      <c r="DU45" s="191" t="b">
        <v>0</v>
      </c>
      <c r="DV45" s="193" t="s">
        <v>1070</v>
      </c>
      <c r="DW45" s="194" t="b">
        <v>0</v>
      </c>
      <c r="DX45" s="194" t="b">
        <v>0</v>
      </c>
      <c r="DY45" s="195" t="b">
        <v>0</v>
      </c>
      <c r="DZ45" s="196" t="b">
        <v>0</v>
      </c>
      <c r="EA45" s="195" t="b">
        <v>0</v>
      </c>
      <c r="EB45" s="197" t="b">
        <v>0</v>
      </c>
      <c r="EC45" s="197" t="b">
        <v>0</v>
      </c>
      <c r="ED45" s="212" t="b">
        <v>0</v>
      </c>
      <c r="EE45" s="199">
        <f>IFERROR(__xludf.DUMMYFUNCTION("IFERROR(
   PRODUCT(
     MAP(
       INDEX(TRANSPOSE(UNIQUE(TRANSPOSE(FILTER({IF($F45=""Physical"", K$10:ED$10, IF($F45=""Magic"", K$11:ED$11, K$12:ED$12));K$4:ED$4;K45:ED45}, K45:ED45=TRUE)))), 1, 0),
       INDEX(TRANSPOSE(UNIQUE(TRANSPOSE(FILTER({IF($"&amp;"F45=""Physical"", K$18:ED$18, IF($F45=""Magic"", K$19:ED$19, K$20:ED$20));K$4:ED$4;K45:ED45}, K45:ED45=TRUE)))), 1, 0),
       INDEX(TRANSPOSE(UNIQUE(TRANSPOSE(FILTER({K$5:ED$5;K$4:ED$4;K45:ED45}, K45:ED45=TRUE)))), 1, 0),
       INDEX(TRANSPOSE(UNIQUE(TR"&amp;"ANSPOSE(FILTER({K$17:ED$17;K$4:ED$4;K45:ED45}, K45:ED45=TRUE)))), 1, 0),
       LAMBDA(
         mitigation,
         enhance,
         assign,
         precondition,
         IF(
           REGEXMATCH(assign, ""RANGE_PARTY|SINGLE_ENEMY|RANGE_ENEMY""),
  "&amp;"         IF(
             OR(ARRAYFORMULA((IF(precondition="""", FALSE, REGEXMATCH(K$4:ED$4, precondition))) * (K45:ED45=TRUE))),
             IF(ISNUMBER(enhance), enhance, 1),
             IF(ISNUMBER(mitigation), mitigation, 1)
           ),
          "&amp;" 1
         )
       )
     )
   ),
   1
 )"),1.0)</f>
        <v>1</v>
      </c>
      <c r="EF45" s="200">
        <f>IFERROR(__xludf.DUMMYFUNCTION("PRODUCT(
   MAP(
     K$14:ED$14,
     K$13:ED$13,
     K45:ED45,
     LAMBDA(
       buff,
       target,
       check,
       IF(
         AND(check=TRUE, REGEXMATCH(target, ""RANGE_AFFECTED_ALL|RANGE_EFFECTED_ALL""), ISNUMBER(buff)),
         buff,
   "&amp;"      1
       )
     )
   )
 )"),1.0)</f>
        <v>1</v>
      </c>
      <c r="EG45" s="200">
        <f>IFERROR(__xludf.DUMMYFUNCTION("PRODUCT(
   MAP(
     K$14:ED$14,
     K$13:ED$13,
     K45:ED45,
     LAMBDA(
       buff,
       target,
       check,
       IF(
         AND(check=TRUE, REGEXMATCH(target, ""RANGE_AFFECTED_GCD|RANGE_EFFECTED_GCD""), ISNUMBER(buff)),
         buff,
   "&amp;"      1
       )
     )
   )
 )"),1.0)</f>
        <v>1</v>
      </c>
      <c r="EH45" s="200">
        <f>IFERROR(__xludf.DUMMYFUNCTION("PRODUCT(
   MAP(
     K$3:ED$3,
     K$14:ED$14,
     K$13:ED$13,
     K45:ED45,
     LAMBDA(
       job,
       buff,
       target,
       check,
       IF(
         AND(check=TRUE, REGEXMATCH(target, ""SELF_EFFECTED_ALL""), ISNUMBER(buff), job=""白魔道士"""&amp;"),
         buff,
         1
       )
     )
   )
 )"),1.0)</f>
        <v>1</v>
      </c>
      <c r="EI45" s="200">
        <f>IFERROR(__xludf.DUMMYFUNCTION("PRODUCT(
   MAP(
     K$3:ED$3,
     K$14:ED$14,
     K$13:ED$13,
     K45:ED45,
     LAMBDA(
       job,
       buff,
       target,
       check,
       IF(
         AND(check=TRUE, REGEXMATCH(target, ""SELF_EFFECTED_GCD""), ISNUMBER(buff), job=""白魔道士"""&amp;"),
         buff,
         1
       )
     )
   )
 )"),1.0)</f>
        <v>1</v>
      </c>
      <c r="EJ45" s="200">
        <f>IFERROR(__xludf.DUMMYFUNCTION("PRODUCT(
   MAP(
     K$3:ED$3,
     K$14:ED$14,
     K$13:ED$13,
     K45:ED45,
     LAMBDA(
       job,
       buff,
       target,
       check,
       IF(
         AND(check=TRUE, REGEXMATCH(target, ""SELF_EFFECTED_ALL""), ISNUMBER(buff), job=""占星術師"""&amp;"),
         buff,
         1
       )
     )
   )
 )"),1.0)</f>
        <v>1</v>
      </c>
      <c r="EK45" s="200">
        <f>IFERROR(__xludf.DUMMYFUNCTION("PRODUCT(
   MAP(
     K$3:ED$3,
     K$14:ED$14,
     K$13:ED$13,
     K45:ED45,
     LAMBDA(
       job,
       buff,
       target,
       check,
       IF(
         AND(check=TRUE, REGEXMATCH(target, ""SELF_EFFECTED_GCD""), ISNUMBER(buff), job=""占星術師"""&amp;"),
         buff,
         1
       )
     )
   )
 )"),1.0)</f>
        <v>1</v>
      </c>
      <c r="EL45" s="200">
        <f>IFERROR(__xludf.DUMMYFUNCTION("PRODUCT(
   MAP(
     K$3:ED$3,
     K$14:ED$14,
     K$13:ED$13,
     K45:ED45,
     LAMBDA(
       job,
       buff,
       target,
       check,
       IF(
         AND(check=TRUE, REGEXMATCH(target, ""SELF_EFFECTED_ALL""), ISNUMBER(buff), job=""学者""),"&amp;"
         buff,
         1
       )
     )
   )
 )"),1.0)</f>
        <v>1</v>
      </c>
      <c r="EM45" s="200">
        <f>IFERROR(__xludf.DUMMYFUNCTION("PRODUCT(
   MAP(
     K$3:ED$3,
     K$14:ED$14,
     K$13:ED$13,
     K45:ED45,
     LAMBDA(
       job,
       buff,
       target,
       check,
       IF(
         AND(check=TRUE, REGEXMATCH(target, ""SELF_EFFECTED_GCD""), ISNUMBER(buff), job=""学者""),"&amp;"
         buff,
         1
       )
     )
   )
 )"),1.0)</f>
        <v>1</v>
      </c>
      <c r="EN45" s="200">
        <f>IFERROR(__xludf.DUMMYFUNCTION("PRODUCT(
   MAP(
     K$3:ED$3,
     K$14:ED$14,
     K$13:ED$13,
     K45:ED45,
     LAMBDA(
       job,
       buff,
       target,
       check,
       IF(
         AND(check=TRUE, REGEXMATCH(target, ""SELF_EFFECTED_ALL""), ISNUMBER(buff), job=""賢者""),"&amp;"
         buff,
         1
       )
     )
   )
 )"),1.0)</f>
        <v>1</v>
      </c>
      <c r="EO45" s="200">
        <f>IFERROR(__xludf.DUMMYFUNCTION("PRODUCT(
   MAP(
     K$3:ED$3,
     K$14:ED$14,
     K$13:ED$13,
     K45:ED45,
     LAMBDA(
       job,
       buff,
       target,
       check,
       IF(
         AND(check=TRUE, REGEXMATCH(target, ""SELF_EFFECTED_GCD""), ISNUMBER(buff), job=""賢者""),"&amp;"
         buff,
         1
       )
     )
   )
 )"),1.0)</f>
        <v>1</v>
      </c>
      <c r="EP45" s="201">
        <f t="shared" si="3"/>
        <v>0</v>
      </c>
      <c r="EQ45" s="201">
        <f>IFERROR(__xludf.DUMMYFUNCTION("SUM(
   MAP(
     K$4:ED$4,
     K$3:ED$3,
     K$7:ED$7,
     K$15:ED$15,
     K$16:ED$16,
     K$21:ED$21,
     K$5:ED$5,
     K$17:ED$17,
     K45:ED45,
     LAMBDA(
       name,
       job,
       abillity,
       buff,
       barrier,
       enhance,"&amp;"
       assign,
       precondition,
       check,
       SWITCH(
         name,
         ""シェイクオフ"", IF(check=TRUE, buff + (0.02 * COUNTIF(ARRAYFORMULA((REGEXMATCH($K$4:$ED$4, ""スリル・オブ・バトル|ヴェンジェンス|原初の血気|ダムネーション"")) * (K45:ED45=TRUE)), 1)), 0),
         "&amp;"""インプロビゼーションフィニッシュ(踊りの激情0)"", IF(ISNUMBER(check), INDEX(Skill!$AJ:$AJ, MATCH(SUBSTITUTE(DV$4, 0, check), Skill!$C:$C, 0)), 0),
         IF(
           AND(check=TRUE, REGEXMATCH(assign, ""RANGE_PARTY"")),
           IF(
             OR(ARRAYFORMULA((IF(pr"&amp;"econdition="""", FALSE, REGEXMATCH($K$4:$ED$4, precondition))) * (K45:ED45=TRUE))),
             enhance,
             IF(barrier="""", buff, barrier)
           ),
           0
         )
       ) *
       SWITCH(
         job,
         ""ナイト"", EY$24,
 "&amp;"        ""戦士"", FD$24,
         ""踊り子"", ET$24,
         ""ピクトマンサー"", ET$24,
         ""白魔道士"", EF45 * EH45 * IF(abillity, 1, EG45 * EI45) * (Option!$D$22 * 0.81 / 100),
         ""占星術師"", EF45 * EJ45 * IF(abillity, 1, EG45 * EK45) * (Option!$D$23 * 0.81 "&amp;"/ 100),
         ""学者"", EF45 * EL45 * IF(abillity, 1, EG45 * EM45) * (Option!$D$24 * 0.81 / 100),
         ""賢者"", EF45 * EN45 * IF(abillity, 1, EG45 * EO45) * (Option!$D$25 * 0.81 / 100),
         1
       )
     )
   )
 )"),0.0)</f>
        <v>0</v>
      </c>
      <c r="ER45" s="202">
        <f t="shared" si="4"/>
        <v>0</v>
      </c>
      <c r="ES45" s="203">
        <f t="shared" si="5"/>
        <v>0</v>
      </c>
      <c r="ET45" s="231" t="str">
        <f>IFERROR(__xludf.DUMMYFUNCTION("IFS(
  EP45 &gt; $ET$24 + EQ45,
  SPARKLINE({ 1, 0 }, {""charttype"",""bar"";""max"", 1;""color1"",Option!$D$30;""color2"",Option!$D$30}),
  EP45 &lt; EQ45,
  SPARKLINE({EQ45 - EP45, $ET$24 - (EQ45 - EP45)}, {""charttype"",""bar"";""max"",$ET$24;""color1"",Opti"&amp;"on!$D$28;""color2"",Option!$D$29}),
  EP45 &gt;= EQ45,
  SPARKLINE({$ET$24 + EQ45 - EP45,EP45 - EQ45}, {""charttype"",""bar"";""max"",$ET$24;""color1"",Option!$D$29;""color2"",Option!$D$30})
)"),"")</f>
        <v/>
      </c>
      <c r="EU45" s="205">
        <f>IFERROR(__xludf.DUMMYFUNCTION("PRODUCT(
   MAP(
     IF($F45=""Physical"", K$10:ED$10, IF($F45=""Magic"", K$11:ED$11, K$12:ED$12)),
     IF($F45=""Physical"", K$18:ED$18, IF($F45=""Magic"", K$19:ED$19, K$20:ED$20)),
     K$3:ED$3,
     K$5:ED$5,
     K$17:ED$17,
     K45:ED45,
     LAM"&amp;"BDA(
       mitigation,
       enhance,
       job,
       assign,
       precondition,
       check,
       IF(
         OR(AND(check=TRUE, REGEXMATCH(assign, ""SELF""), job=""ナイト""), AND(check=Option!$E$13, REGEXMATCH(assign, ""SINGLE_PARTY""))),
      "&amp;"   IF(
           OR(ARRAYFORMULA((IF(precondition="""", FALSE, REGEXMATCH($K$4:$ED$4, precondition))) * (K45:ED45=TRUE))),
           enhance,
           mitigation
         ),
         1
       )
     )
   )
 ) * EE45"),1.0)</f>
        <v>1</v>
      </c>
      <c r="EV45" s="206">
        <f t="shared" si="6"/>
        <v>0</v>
      </c>
      <c r="EW45" s="205">
        <f>IFERROR(__xludf.DUMMYFUNCTION("PRODUCT(
   MAP(
     K$3:ED$3,
     K$14:ED$14,
     K$13:ED$13,
     K45:ED45,
     LAMBDA(
       job,
       buff,
       target,
       check,
       IF(
         OR(AND(check=TRUE, REGEXMATCH(target, ""SELF_AFFECTED_ALL""), job=""ナイト""), AND(check=O"&amp;"ption!$E$13, REGEXMATCH(target, ""SINGLE_AFFECTED_ALL""))),
         buff,
         1
       )
     )
   )
 )"),1.0)</f>
        <v>1</v>
      </c>
      <c r="EX45" s="206">
        <f>IFERROR(__xludf.DUMMYFUNCTION("SUM(
   MAP(
     K$3:ED$3,
     K$7:ED$7,
     K$15:ED$15,
     K$16:ED$16,
     K$21:ED$21,
     K$5:ED$5,
     K$17:ED$17,
     K45:ED45,
     LAMBDA(
       job,
       abillity,
       buff,
       barrier,
       enhance,
       assign,
       preco"&amp;"ndition,
       check,
       IF(
         OR(AND(check=TRUE, REGEXMATCH(assign, ""SELF""), job=""ナイト""), AND(check=Option!$E$13, REGEXMATCH(assign, ""SINGLE_PARTY""))),
         IF(
           OR(ARRAYFORMULA((IF(precondition="""", FALSE, REGEXMATCH($K$4"&amp;":$ED$4, precondition))) * (K45:ED45=TRUE))),
           enhance,
           IF(barrier="""", buff, barrier)
         ),
         0
       ) *
       SWITCH(
         job,
         ""暗黒騎士"", EY$24,
         ""白魔道士"", EF45 * EH45 * EW45 * IF(abillity, 1, EG"&amp;"45 * EI45) * (Option!$D$22 * 0.81 / 100),
         ""占星術師"", EF45 * EJ45 * EW45 * IF(abillity, 1, EG45 * EK45) * (Option!$D$23 * 0.81 / 100),
         ""学者"", EF45 * EL45 * EW45 * IF(abillity, 1, EG45 * EM45) * (Option!$D$24 * 0.81 / 100),
         ""賢者"""&amp;", EF45 * EN45 * EW45 * IF(abillity, 1, EG45 * EO45) * (Option!$D$25 * 0.81 / 100),
         1
       )
     )
   )
 ) + EQ45"),0.0)</f>
        <v>0</v>
      </c>
      <c r="EY45" s="232">
        <f t="shared" si="7"/>
        <v>0</v>
      </c>
      <c r="EZ45" s="205">
        <f>IFERROR(__xludf.DUMMYFUNCTION("PRODUCT(
   MAP(
     IF($F45=""Physical"", K$10:ED$10, IF($F45=""Magic"", K$11:ED$11, K$12:ED$12)),
     IF($F45=""Physical"", K$18:ED$18, IF($F45=""Magic"", K$19:ED$19, K$20:ED$20)),
     K$3:ED$3,
     K$5:ED$5,
     K$17:ED$17,
     K45:ED45,
     LAM"&amp;"BDA(
       mitigation,
       enhance,
       job,
       assign,
       precondition,
       check,
       IF(
         OR(AND(check=TRUE, REGEXMATCH(assign, ""SELF""), job=""戦士""), AND(check=Option!$F$13, REGEXMATCH(assign, ""SINGLE_PARTY""))),
       "&amp;"  IF(
           OR(ARRAYFORMULA((IF(precondition="""", FALSE, REGEXMATCH($K$4:$ED$4, precondition))) * (K45:ED45=TRUE))),
           enhance,
           mitigation
         ),
         1
       )
     )
   )
 ) * EE45"),1.0)</f>
        <v>1</v>
      </c>
      <c r="FA45" s="206">
        <f t="shared" si="8"/>
        <v>0</v>
      </c>
      <c r="FB45" s="205">
        <f>IFERROR(__xludf.DUMMYFUNCTION("PRODUCT(
   MAP(
     K$3:ED$3,
     K$14:ED$14,
     K$13:ED$13,
     K45:ED45,
     LAMBDA(
       job,
       buff,
       target,
       check,
       IF(
         OR(AND(check=TRUE, REGEXMATCH(target, ""SELF_AFFECTED_ALL""), job=""戦士""), AND(check=Op"&amp;"tion!$F$13, REGEXMATCH(target, ""SINGLE_AFFECTED_ALL""))),
         buff,
         1
       )
     )
   )
 )"),1.0)</f>
        <v>1</v>
      </c>
      <c r="FC45" s="206">
        <f>IFERROR(__xludf.DUMMYFUNCTION("SUM(
   MAP(
     K$3:ED$3,
     K$7:ED$7,
     K$15:ED$15,
     K$16:ED$16,
     K$21:ED$21,
     K$5:ED$5,
     K$17:ED$17,
     K45:ED45,
     LAMBDA(
       job,
       abillity,
       buff,
       barrier,
       enhance,
       assign,
       preco"&amp;"ndition,
       check,
       IF(
         OR(AND(check=TRUE, REGEXMATCH(assign, ""SELF""), job=""戦士""), AND(check=Option!$F$13, REGEXMATCH(assign, ""SINGLE_PARTY""))),
         IF(
           OR(ARRAYFORMULA((IF(precondition="""", FALSE, REGEXMATCH($K$4:"&amp;"$ED$4, precondition))) * (K45:ED45=TRUE))),
           enhance,
           IF(barrier="""", buff, barrier)
         ),
         0
       ) *
       SWITCH(
         job,
         ""暗黒騎士"", FD$24,
         ""白魔道士"", EF45 * EH45 * FB45 * IF(abillity, 1, EG4"&amp;"5 * EI45) * (Option!$D$22 * 0.81 / 100),
         ""占星術師"", EF45 * EJ45 * FFB45 * IF(abillity, 1, EG45 * EK45) * (Option!$D$23 * 0.81 / 100),
         ""学者"", EF45 * EL45 * FB45 * IF(abillity, 1, EG45 * EM45) * (Option!$D$24 * 0.81 / 100),
         ""賢者"""&amp;", EF45 * EN45 * FB45 * IF(abillity, 1, EG45 * EO45) * (Option!$D$25 * 0.81 / 100),
         1
       )
     )
   )
 ) + EQ45"),0.0)</f>
        <v>0</v>
      </c>
      <c r="FD45" s="206">
        <f t="shared" si="9"/>
        <v>0</v>
      </c>
      <c r="FE45" s="205">
        <f>IFERROR(__xludf.DUMMYFUNCTION("PRODUCT(
   MAP(
     IF($F45=""Physical"", K$10:ED$10, IF($F45=""Magic"", K$11:ED$11, K$12:ED$12)),
     IF($F45=""Physical"", K$18:ED$18, IF($F45=""Magic"", K$19:ED$19, K$20:ED$20)),
     K$3:ED$3,
     K$5:ED$5,
     K$17:ED$17,
     K45:ED45,
     LAM"&amp;"BDA(
       mitigation,
       enhance,
       job,
       assign,
       precondition,
       check,
       IF(
         OR(AND(check=TRUE, REGEXMATCH(assign, ""SELF""), job=""暗黒騎士""), AND(check=Option!$G$13, REGEXMATCH(assign, ""SINGLE_PARTY""))),
     "&amp;"    IF(
           OR(ARRAYFORMULA((IF(precondition="""", FALSE, REGEXMATCH($K$4:$ED$4, precondition))) * (K45:ED45=TRUE))),
           enhance,
           mitigation
         ),
         1
       )
     )
   )
 ) * EE45"),1.0)</f>
        <v>1</v>
      </c>
      <c r="FF45" s="206">
        <f t="shared" si="10"/>
        <v>0</v>
      </c>
      <c r="FG45" s="205">
        <f>IFERROR(__xludf.DUMMYFUNCTION("PRODUCT(
   MAP(
     K$3:ED$3,
     K$14:ED$14,
     K$13:ED$13,
     K45:ED45,
     LAMBDA(
       job,
       buff,
       target,
       check,
       IF(
         OR(AND(check=TRUE, REGEXMATCH(target, ""SELF_AFFECTED_ALL""), job=""暗黒騎士""), AND(check="&amp;"Option!$G$13, REGEXMATCH(target, ""SINGLE_AFFECTED_ALL""))),
         buff,
         1
       )
     )
   )
 )"),1.0)</f>
        <v>1</v>
      </c>
      <c r="FH45" s="206">
        <f>IFERROR(__xludf.DUMMYFUNCTION("SUM(
   MAP(
     K$3:ED$3,
     K$7:ED$7,
     K$15:ED$15,
     K$16:ED$16,
     K$21:ED$21,
     K$5:ED$5,
     K$17:ED$17,
     K45:ED45,
     LAMBDA(
       job,
       abillity,
       buff,
       barrier,
       enhance,
       assign,
       preco"&amp;"ndition,
       check,
       IF(
         OR(AND(check=TRUE, REGEXMATCH(assign, ""SELF""), job=""暗黒騎士""), AND(check=Option!$G$13, REGEXMATCH(assign, ""SINGLE_PARTY""))),
         IF(
           OR(ARRAYFORMULA((IF(precondition="""", FALSE, REGEXMATCH($K$"&amp;"4:$ED$4, precondition))) * (K45:ED45=TRUE))),
           enhance,
           IF(barrier="""", buff, barrier)
         ),
         0
       ) *
       SWITCH(
         job,
         ""暗黒騎士"", FI$24,
         ""白魔道士"", EF45 * EH45 * FG45 * IF(abillity, 1, E"&amp;"G45 * EI45) * (Option!$D$22 * 0.81 / 100),
         ""占星術師"", EF45 * EJ45 * FG45 * IF(abillity, 1, EG45 * EK45) * (Option!$D$23 * 0.81 / 100),
         ""学者"", EF45 * EL45 * FG45 * IF(abillity, 1, EG45 * EM45) * (Option!$D$24 * 0.81 / 100),
         ""賢者"&amp;""", EF45 * EN45 * FG45 * IF(abillity, 1, EG45 * EO45) * (Option!$D$25 * 0.81 / 100),
         1
       )
     )
   )
 ) + EQ45"),0.0)</f>
        <v>0</v>
      </c>
      <c r="FI45" s="206">
        <f t="shared" si="11"/>
        <v>0</v>
      </c>
      <c r="FJ45" s="205">
        <f>IFERROR(__xludf.DUMMYFUNCTION("PRODUCT(
   MAP(
     IF($F45=""Physical"", K$10:ED$10, IF($F45=""Magic"", K$11:ED$11, K$12:ED$12)),
     IF($F45=""Physical"", K$18:ED$18, IF($F45=""Magic"", K$19:ED$19, K$20:ED$20)),
     K$3:ED$3,
     K$5:ED$5,
     K$17:ED$17,
     K45:ED45,
     LAM"&amp;"BDA(
       mitigation,
       enhance,
       job,
       assign,
       precondition,
       check,
       IF(
         OR(AND(check=TRUE, REGEXMATCH(assign, ""SELF""), job=""ガンブレイカー""), AND(check=Option!$H$13, REGEXMATCH(assign, ""SINGLE_PARTY""))),
  "&amp;"       IF(
           OR(ARRAYFORMULA((IF(precondition="""", FALSE, REGEXMATCH($K$4:$ED$4, precondition))) * (K45:ED45=TRUE))),
           enhance,
           mitigation
         ),
         1
       )
     )
   )
 ) * EE45"),1.0)</f>
        <v>1</v>
      </c>
      <c r="FK45" s="206">
        <f t="shared" si="12"/>
        <v>0</v>
      </c>
      <c r="FL45" s="205">
        <f>IFERROR(__xludf.DUMMYFUNCTION("PRODUCT(
   MAP(
     K$3:ED$3,
     K$14:ED$14,
     K$13:ED$13,
     K45:ED45,
     LAMBDA(
       job,
       buff,
       target,
       check,
       IF(
         OR(AND(check=TRUE, REGEXMATCH(target, ""SELF_AFFECTED_ALL""), job=""ガンブレイカー""), AND(che"&amp;"ck=Option!$H$13, REGEXMATCH(target, ""SINGLE_AFFECTED_ALL""))),
         buff,
         1
       )
     )
   )
 )"),1.0)</f>
        <v>1</v>
      </c>
      <c r="FM45" s="206">
        <f>IFERROR(__xludf.DUMMYFUNCTION("SUM(
   MAP(
     K$3:ED$3,
     K$7:ED$7,
     K$15:ED$15,
     K$16:ED$16,
     K$21:ED$21,
     K$5:ED$5,
     K$17:ED$17,
     K45:ED45,
     LAMBDA(
       job,
       abillity,
       buff,
       barrier,
       enhance,
       assign,
       preco"&amp;"ndition,
       check,
       IF(
         OR(AND(check=TRUE, REGEXMATCH(assign, ""SELF""), job=""ガンブレイカー""), AND(check=Option!$H$13, REGEXMATCH(assign, ""SINGLE_PARTY""))),
         IF(
           OR(ARRAYFORMULA((IF(precondition="""", FALSE, REGEXMATCH("&amp;"$K$4:$ED$4, precondition))) * (K45:ED45=TRUE))),
           enhance,
           IF(barrier="""", buff, barrier)
         ),
         0
       ) *
       SWITCH(
         job,
         ""暗黒騎士"", FN$24,
         ""白魔道士"", EF45 * EH45 * FL45 * IF(abillity, 1"&amp;", EG45 * EI45) * (Option!$D$22 * 0.81 / 100),
         ""占星術師"", EF45 * EJ45 * FL45 * IF(abillity, 1, EG45 * EK45) * (Option!$D$23 * 0.81 / 100),
         ""学者"", EF45 * EL45 * FL45 * IF(abillity, 1, EG45 * EM45) * (Option!$D$24 * 0.81 / 100),
         """&amp;"賢者"", EF45 * EN45 * FL45 * IF(abillity, 1, EG45 * EO45) * (Option!$D$25 * 0.81 / 100),
         1
       )
     )
   )
 ) + EQ45"),0.0)</f>
        <v>0</v>
      </c>
      <c r="FN45" s="206">
        <f t="shared" si="13"/>
        <v>0</v>
      </c>
      <c r="FO45" s="213"/>
    </row>
    <row r="46">
      <c r="B46" s="229"/>
      <c r="C46" s="217">
        <f t="shared" si="1"/>
        <v>0.00380787037</v>
      </c>
      <c r="D46" s="236"/>
      <c r="E46" s="238"/>
      <c r="F46" s="167"/>
      <c r="G46" s="168" t="str">
        <f t="shared" si="2"/>
        <v/>
      </c>
      <c r="H46" s="169"/>
      <c r="I46" s="169"/>
      <c r="J46" s="169"/>
      <c r="K46" s="170" t="b">
        <v>0</v>
      </c>
      <c r="L46" s="170" t="b">
        <v>0</v>
      </c>
      <c r="M46" s="170" t="b">
        <v>0</v>
      </c>
      <c r="N46" s="171" t="s">
        <v>1070</v>
      </c>
      <c r="O46" s="172" t="b">
        <v>0</v>
      </c>
      <c r="P46" s="173" t="b">
        <v>0</v>
      </c>
      <c r="Q46" s="173" t="b">
        <v>0</v>
      </c>
      <c r="R46" s="173" t="b">
        <v>0</v>
      </c>
      <c r="S46" s="174" t="b">
        <v>0</v>
      </c>
      <c r="T46" s="175" t="b">
        <v>0</v>
      </c>
      <c r="U46" s="173" t="b">
        <v>0</v>
      </c>
      <c r="V46" s="171" t="s">
        <v>1070</v>
      </c>
      <c r="W46" s="172" t="b">
        <v>0</v>
      </c>
      <c r="X46" s="173" t="b">
        <v>0</v>
      </c>
      <c r="Y46" s="173" t="b">
        <v>0</v>
      </c>
      <c r="Z46" s="173" t="b">
        <v>0</v>
      </c>
      <c r="AA46" s="174" t="b">
        <v>0</v>
      </c>
      <c r="AB46" s="174" t="b">
        <v>0</v>
      </c>
      <c r="AC46" s="175" t="b">
        <v>0</v>
      </c>
      <c r="AD46" s="173" t="b">
        <v>0</v>
      </c>
      <c r="AE46" s="176" t="s">
        <v>1070</v>
      </c>
      <c r="AF46" s="171" t="s">
        <v>1070</v>
      </c>
      <c r="AG46" s="177">
        <f>IFERROR(__xludf.DUMMYFUNCTION("IF(
  ISNUMBER(AG45),
  MIN(MAX(
    AG45
    + MAX(
      ROUNDDOWN(($D46 - MAX(IFERROR(FILTER($D$24:$D45, AG$24:AG45 &lt;&gt; AF$6, AG$23:AG44 = AF$6), 0))) * (60 * 60 * 24) / AF$9) - ROUNDDOWN(($D45 - MAX(IFERROR(FILTER($D$23:$D44, AG$23:AG44 &lt;&gt; AF$6, AG$22:"&amp;"AG43 = AF$6), 0))) * (60 * 60 * 24) / 60),
      0
    )
    - COUNTIF(AF46, ""&lt;&gt;-""),
  0), AF$6),
  AF$6 - COUNTIF(AF46, ""&lt;&gt;-"")
)"),2.0)</f>
        <v>2</v>
      </c>
      <c r="AH46" s="173" t="b">
        <v>0</v>
      </c>
      <c r="AI46" s="173" t="b">
        <v>0</v>
      </c>
      <c r="AJ46" s="173" t="b">
        <v>0</v>
      </c>
      <c r="AK46" s="174" t="b">
        <v>0</v>
      </c>
      <c r="AL46" s="175" t="b">
        <v>0</v>
      </c>
      <c r="AM46" s="173" t="b">
        <v>0</v>
      </c>
      <c r="AN46" s="171" t="s">
        <v>1070</v>
      </c>
      <c r="AO46" s="173" t="b">
        <v>0</v>
      </c>
      <c r="AP46" s="173" t="b">
        <v>0</v>
      </c>
      <c r="AQ46" s="173" t="b">
        <v>0</v>
      </c>
      <c r="AR46" s="174" t="b">
        <v>0</v>
      </c>
      <c r="AS46" s="178" t="b">
        <v>0</v>
      </c>
      <c r="AT46" s="179" t="b">
        <v>0</v>
      </c>
      <c r="AU46" s="180" t="b">
        <v>0</v>
      </c>
      <c r="AV46" s="180" t="b">
        <v>0</v>
      </c>
      <c r="AW46" s="180" t="b">
        <v>0</v>
      </c>
      <c r="AX46" s="180" t="b">
        <v>0</v>
      </c>
      <c r="AY46" s="181" t="s">
        <v>1070</v>
      </c>
      <c r="AZ46" s="181" t="s">
        <v>1070</v>
      </c>
      <c r="BA46" s="184">
        <f>IFERROR(__xludf.DUMMYFUNCTION("IF(
  ISNUMBER(BA45),
  MIN(MAX(
    BA45
    + MAX(
      ROUNDDOWN((D46 - MAX(IFERROR(FILTER(D$24:D45, BA$24:BA45 &lt;&gt; AZ$6, BA$23:BA44 = AZ$6), 0))) * (60 * 60 * 24) / AZ$9) - ROUNDDOWN((D45 - MAX(IFERROR(FILTER(D$23:D44, BA$23:BA44 &lt;&gt; AZ$6, BA$22:BA43 ="&amp;" AZ$6), 0))) * (60 * 60 * 24) / AZ$9),
      0
    )
    - COUNTIF(AZ46, ""&lt;&gt;-""),
  0), AZ$6),
  AZ$6 - COUNTIF(AZ46, ""&lt;&gt;-"")
)"),2.0)</f>
        <v>2</v>
      </c>
      <c r="BB46" s="181" t="s">
        <v>1070</v>
      </c>
      <c r="BC46" s="183">
        <f>IFERROR(__xludf.DUMMYFUNCTION("IF(
  ISNUMBER(BC45),
  MIN(MAX(
    BC45
    + MAX(
      ROUNDDOWN(($D46 - MAX(IFERROR(FILTER($D$24:$D45, BC$24:BC45 &lt;&gt; BB$6, BC$23:BC44 = BB$6), 0))) * (60 * 60 * 24) / BB$9) - ROUNDDOWN(($D45 - MAX(IFERROR(FILTER($D$23:$D44, BC$23:BC44 &lt;&gt; BB$6, BC$22:"&amp;"BC43 = BB$6), 0))) * (60 * 60 * 24) / 60),
      0
    )
    - COUNTIF(BB46, ""&lt;&gt;-""),
  0), BB$6),
  BB$6 - COUNTIF(BB46, ""&lt;&gt;-"")
)"),2.0)</f>
        <v>2</v>
      </c>
      <c r="BD46" s="181" t="s">
        <v>1070</v>
      </c>
      <c r="BE46" s="178" t="b">
        <v>0</v>
      </c>
      <c r="BF46" s="180" t="b">
        <v>0</v>
      </c>
      <c r="BG46" s="180" t="b">
        <v>0</v>
      </c>
      <c r="BH46" s="180" t="b">
        <v>0</v>
      </c>
      <c r="BI46" s="180" t="b">
        <v>0</v>
      </c>
      <c r="BJ46" s="180" t="b">
        <v>0</v>
      </c>
      <c r="BK46" s="180" t="b">
        <v>0</v>
      </c>
      <c r="BL46" s="180" t="b">
        <v>0</v>
      </c>
      <c r="BM46" s="180" t="b">
        <v>0</v>
      </c>
      <c r="BN46" s="180" t="b">
        <v>0</v>
      </c>
      <c r="BO46" s="181" t="s">
        <v>1070</v>
      </c>
      <c r="BP46" s="181" t="s">
        <v>1070</v>
      </c>
      <c r="BQ46" s="181" t="s">
        <v>1070</v>
      </c>
      <c r="BR46" s="181" t="s">
        <v>1070</v>
      </c>
      <c r="BS46" s="181" t="s">
        <v>1070</v>
      </c>
      <c r="BT46" s="184">
        <f>IFERROR(__xludf.DUMMYFUNCTION("IF(
  ISNUMBER(BT45),
  MIN(MAX(
    BT45
    + MAX(
      ROUNDDOWN((D46 - MAX(IFERROR(FILTER(D$24:D45, BT$24:BT45 &lt;&gt; BS$6, BT$23:BT44 = BS$6), 0))) * (60 * 60 * 24) / BS$9) - ROUNDDOWN((D45 - MAX(IFERROR(FILTER(D$23:D44, BT$23:BT44 &lt;&gt; BS$6, BT$22:BT43 ="&amp;" BS$6), 0))) * (60 * 60 * 24) / BS$9),
      0
    )
    - COUNTIF(BS46, ""&lt;&gt;-""),
  0), BS$6),
  BS$6 - COUNTIF(BS46, ""&lt;&gt;-"")
)"),3.0)</f>
        <v>3</v>
      </c>
      <c r="BU46" s="181" t="s">
        <v>1070</v>
      </c>
      <c r="BV46" s="181" t="s">
        <v>1070</v>
      </c>
      <c r="BW46" s="184">
        <f>IFERROR(__xludf.DUMMYFUNCTION("IF(
  ISNUMBER(BW45),
  MIN(MAX(
    BW45
    + MAX(
      ROUNDDOWN((D46 - MAX(IFERROR(FILTER(D$24:D45, BW$24:BW45 &lt;&gt; BV$6, BW$23:BW44 = BV$6), 0))) * (60 * 60 * 24) / BV$9) - ROUNDDOWN((D45 - MAX(IFERROR(FILTER(D$23:D44, BW$23:BW44 &lt;&gt; BV$6, BW$22:BW43 ="&amp;" BV$6), 0))) * (60 * 60 * 24) / BV$9),
      0
    )
    - COUNTIF(BV46, ""&lt;&gt;-""),
  0), BV$6),
  BV$6 - COUNTIF(BV46, ""&lt;&gt;-"")
)"),2.0)</f>
        <v>2</v>
      </c>
      <c r="BX46" s="185" t="s">
        <v>1070</v>
      </c>
      <c r="BY46" s="178" t="b">
        <v>0</v>
      </c>
      <c r="BZ46" s="180" t="b">
        <v>0</v>
      </c>
      <c r="CA46" s="180" t="b">
        <v>0</v>
      </c>
      <c r="CB46" s="180" t="b">
        <v>0</v>
      </c>
      <c r="CC46" s="180" t="b">
        <v>0</v>
      </c>
      <c r="CD46" s="180" t="b">
        <v>0</v>
      </c>
      <c r="CE46" s="180" t="b">
        <v>0</v>
      </c>
      <c r="CF46" s="180" t="b">
        <v>0</v>
      </c>
      <c r="CG46" s="180" t="b">
        <v>0</v>
      </c>
      <c r="CH46" s="180" t="b">
        <v>0</v>
      </c>
      <c r="CI46" s="180" t="b">
        <v>0</v>
      </c>
      <c r="CJ46" s="180" t="b">
        <v>0</v>
      </c>
      <c r="CK46" s="180" t="b">
        <v>0</v>
      </c>
      <c r="CL46" s="180" t="b">
        <v>0</v>
      </c>
      <c r="CM46" s="181" t="s">
        <v>1070</v>
      </c>
      <c r="CN46" s="181" t="s">
        <v>1070</v>
      </c>
      <c r="CO46" s="181" t="s">
        <v>1070</v>
      </c>
      <c r="CP46" s="181" t="s">
        <v>1070</v>
      </c>
      <c r="CQ46" s="185" t="s">
        <v>1070</v>
      </c>
      <c r="CR46" s="180" t="b">
        <v>0</v>
      </c>
      <c r="CS46" s="186" t="str">
        <f t="shared" si="14"/>
        <v>◇◇◇</v>
      </c>
      <c r="CT46" s="178" t="b">
        <v>0</v>
      </c>
      <c r="CU46" s="180" t="b">
        <v>0</v>
      </c>
      <c r="CV46" s="180" t="b">
        <v>0</v>
      </c>
      <c r="CW46" s="180" t="b">
        <v>0</v>
      </c>
      <c r="CX46" s="180" t="b">
        <v>0</v>
      </c>
      <c r="CY46" s="180" t="b">
        <v>0</v>
      </c>
      <c r="CZ46" s="180" t="b">
        <v>0</v>
      </c>
      <c r="DA46" s="180" t="b">
        <v>0</v>
      </c>
      <c r="DB46" s="180" t="b">
        <v>0</v>
      </c>
      <c r="DC46" s="180" t="b">
        <v>0</v>
      </c>
      <c r="DD46" s="181" t="s">
        <v>1070</v>
      </c>
      <c r="DE46" s="181" t="s">
        <v>1070</v>
      </c>
      <c r="DF46" s="181" t="s">
        <v>1070</v>
      </c>
      <c r="DG46" s="185" t="s">
        <v>1070</v>
      </c>
      <c r="DH46" s="180" t="b">
        <v>0</v>
      </c>
      <c r="DI46" s="187" t="str">
        <f>IFERROR(__xludf.DUMMYFUNCTION("SWITCH(
  IF(
    ISTEXT(DI45),
    IF (
      FIND(""○"", DI45&amp;""○"") &gt; 3,
      3,
      FIND(""○"", DI45&amp;""○"")
      + MAX(
        ROUNDDOWN(($D46 - MAX(IFERROR(FILTER(D$24:D45, DI$24:DI45 &lt;&gt; ""●●●"", DI$23:DI44 = ""●●●""), 0))) * (60 * 60 * 24) / 20"&amp;") - ROUNDDOWN(($D45 - MAX(IFERROR(FILTER(D$23:D44, DI$23:DI44 &lt;&gt; ""●●●"", DI$22:DI43 = ""●●●""), 0))) * (60 * 60 * 24) / 20),
        0
      ) - 1
    ) - COUNTIFS(CU46, ""=TRUE"", CU45, ""&lt;&gt;TRUE"") - COUNTIF(CZ46, ""=TRUE"") - COUNTIF({DD46,DE46}, ""&lt;&gt;-"&amp;""") + COUNTIF(DH46, ""=TRUE""),
    3
  ),
  0, ""○○○"", 1, ""●○○"", 2, ""●●○"", 3, ""●●●"", 4, ""●●●"", ""○○○""
)"),"●●●")</f>
        <v>●●●</v>
      </c>
      <c r="DJ46" s="188" t="b">
        <v>0</v>
      </c>
      <c r="DK46" s="189" t="b">
        <v>0</v>
      </c>
      <c r="DL46" s="190" t="b">
        <v>0</v>
      </c>
      <c r="DM46" s="190" t="b">
        <v>0</v>
      </c>
      <c r="DN46" s="190" t="b">
        <v>0</v>
      </c>
      <c r="DO46" s="190" t="b">
        <v>0</v>
      </c>
      <c r="DP46" s="190" t="b">
        <v>0</v>
      </c>
      <c r="DQ46" s="191" t="b">
        <v>0</v>
      </c>
      <c r="DR46" s="192" t="b">
        <v>0</v>
      </c>
      <c r="DS46" s="191" t="b">
        <v>0</v>
      </c>
      <c r="DT46" s="192" t="b">
        <v>0</v>
      </c>
      <c r="DU46" s="191" t="b">
        <v>0</v>
      </c>
      <c r="DV46" s="193" t="s">
        <v>1070</v>
      </c>
      <c r="DW46" s="194" t="b">
        <v>0</v>
      </c>
      <c r="DX46" s="194" t="b">
        <v>0</v>
      </c>
      <c r="DY46" s="195" t="b">
        <v>0</v>
      </c>
      <c r="DZ46" s="196" t="b">
        <v>0</v>
      </c>
      <c r="EA46" s="195" t="b">
        <v>0</v>
      </c>
      <c r="EB46" s="197" t="b">
        <v>0</v>
      </c>
      <c r="EC46" s="197" t="b">
        <v>0</v>
      </c>
      <c r="ED46" s="212" t="b">
        <v>0</v>
      </c>
      <c r="EE46" s="199">
        <f>IFERROR(__xludf.DUMMYFUNCTION("IFERROR(
   PRODUCT(
     MAP(
       INDEX(TRANSPOSE(UNIQUE(TRANSPOSE(FILTER({IF($F46=""Physical"", K$10:ED$10, IF($F46=""Magic"", K$11:ED$11, K$12:ED$12));K$4:ED$4;K46:ED46}, K46:ED46=TRUE)))), 1, 0),
       INDEX(TRANSPOSE(UNIQUE(TRANSPOSE(FILTER({IF($"&amp;"F46=""Physical"", K$18:ED$18, IF($F46=""Magic"", K$19:ED$19, K$20:ED$20));K$4:ED$4;K46:ED46}, K46:ED46=TRUE)))), 1, 0),
       INDEX(TRANSPOSE(UNIQUE(TRANSPOSE(FILTER({K$5:ED$5;K$4:ED$4;K46:ED46}, K46:ED46=TRUE)))), 1, 0),
       INDEX(TRANSPOSE(UNIQUE(TR"&amp;"ANSPOSE(FILTER({K$17:ED$17;K$4:ED$4;K46:ED46}, K46:ED46=TRUE)))), 1, 0),
       LAMBDA(
         mitigation,
         enhance,
         assign,
         precondition,
         IF(
           REGEXMATCH(assign, ""RANGE_PARTY|SINGLE_ENEMY|RANGE_ENEMY""),
  "&amp;"         IF(
             OR(ARRAYFORMULA((IF(precondition="""", FALSE, REGEXMATCH(K$4:ED$4, precondition))) * (K46:ED46=TRUE))),
             IF(ISNUMBER(enhance), enhance, 1),
             IF(ISNUMBER(mitigation), mitigation, 1)
           ),
          "&amp;" 1
         )
       )
     )
   ),
   1
 )"),1.0)</f>
        <v>1</v>
      </c>
      <c r="EF46" s="200">
        <f>IFERROR(__xludf.DUMMYFUNCTION("PRODUCT(
   MAP(
     K$14:ED$14,
     K$13:ED$13,
     K46:ED46,
     LAMBDA(
       buff,
       target,
       check,
       IF(
         AND(check=TRUE, REGEXMATCH(target, ""RANGE_AFFECTED_ALL|RANGE_EFFECTED_ALL""), ISNUMBER(buff)),
         buff,
   "&amp;"      1
       )
     )
   )
 )"),1.0)</f>
        <v>1</v>
      </c>
      <c r="EG46" s="200">
        <f>IFERROR(__xludf.DUMMYFUNCTION("PRODUCT(
   MAP(
     K$14:ED$14,
     K$13:ED$13,
     K46:ED46,
     LAMBDA(
       buff,
       target,
       check,
       IF(
         AND(check=TRUE, REGEXMATCH(target, ""RANGE_AFFECTED_GCD|RANGE_EFFECTED_GCD""), ISNUMBER(buff)),
         buff,
   "&amp;"      1
       )
     )
   )
 )"),1.0)</f>
        <v>1</v>
      </c>
      <c r="EH46" s="200">
        <f>IFERROR(__xludf.DUMMYFUNCTION("PRODUCT(
   MAP(
     K$3:ED$3,
     K$14:ED$14,
     K$13:ED$13,
     K46:ED46,
     LAMBDA(
       job,
       buff,
       target,
       check,
       IF(
         AND(check=TRUE, REGEXMATCH(target, ""SELF_EFFECTED_ALL""), ISNUMBER(buff), job=""白魔道士"""&amp;"),
         buff,
         1
       )
     )
   )
 )"),1.0)</f>
        <v>1</v>
      </c>
      <c r="EI46" s="200">
        <f>IFERROR(__xludf.DUMMYFUNCTION("PRODUCT(
   MAP(
     K$3:ED$3,
     K$14:ED$14,
     K$13:ED$13,
     K46:ED46,
     LAMBDA(
       job,
       buff,
       target,
       check,
       IF(
         AND(check=TRUE, REGEXMATCH(target, ""SELF_EFFECTED_GCD""), ISNUMBER(buff), job=""白魔道士"""&amp;"),
         buff,
         1
       )
     )
   )
 )"),1.0)</f>
        <v>1</v>
      </c>
      <c r="EJ46" s="200">
        <f>IFERROR(__xludf.DUMMYFUNCTION("PRODUCT(
   MAP(
     K$3:ED$3,
     K$14:ED$14,
     K$13:ED$13,
     K46:ED46,
     LAMBDA(
       job,
       buff,
       target,
       check,
       IF(
         AND(check=TRUE, REGEXMATCH(target, ""SELF_EFFECTED_ALL""), ISNUMBER(buff), job=""占星術師"""&amp;"),
         buff,
         1
       )
     )
   )
 )"),1.0)</f>
        <v>1</v>
      </c>
      <c r="EK46" s="200">
        <f>IFERROR(__xludf.DUMMYFUNCTION("PRODUCT(
   MAP(
     K$3:ED$3,
     K$14:ED$14,
     K$13:ED$13,
     K46:ED46,
     LAMBDA(
       job,
       buff,
       target,
       check,
       IF(
         AND(check=TRUE, REGEXMATCH(target, ""SELF_EFFECTED_GCD""), ISNUMBER(buff), job=""占星術師"""&amp;"),
         buff,
         1
       )
     )
   )
 )"),1.0)</f>
        <v>1</v>
      </c>
      <c r="EL46" s="200">
        <f>IFERROR(__xludf.DUMMYFUNCTION("PRODUCT(
   MAP(
     K$3:ED$3,
     K$14:ED$14,
     K$13:ED$13,
     K46:ED46,
     LAMBDA(
       job,
       buff,
       target,
       check,
       IF(
         AND(check=TRUE, REGEXMATCH(target, ""SELF_EFFECTED_ALL""), ISNUMBER(buff), job=""学者""),"&amp;"
         buff,
         1
       )
     )
   )
 )"),1.0)</f>
        <v>1</v>
      </c>
      <c r="EM46" s="200">
        <f>IFERROR(__xludf.DUMMYFUNCTION("PRODUCT(
   MAP(
     K$3:ED$3,
     K$14:ED$14,
     K$13:ED$13,
     K46:ED46,
     LAMBDA(
       job,
       buff,
       target,
       check,
       IF(
         AND(check=TRUE, REGEXMATCH(target, ""SELF_EFFECTED_GCD""), ISNUMBER(buff), job=""学者""),"&amp;"
         buff,
         1
       )
     )
   )
 )"),1.0)</f>
        <v>1</v>
      </c>
      <c r="EN46" s="200">
        <f>IFERROR(__xludf.DUMMYFUNCTION("PRODUCT(
   MAP(
     K$3:ED$3,
     K$14:ED$14,
     K$13:ED$13,
     K46:ED46,
     LAMBDA(
       job,
       buff,
       target,
       check,
       IF(
         AND(check=TRUE, REGEXMATCH(target, ""SELF_EFFECTED_ALL""), ISNUMBER(buff), job=""賢者""),"&amp;"
         buff,
         1
       )
     )
   )
 )"),1.0)</f>
        <v>1</v>
      </c>
      <c r="EO46" s="200">
        <f>IFERROR(__xludf.DUMMYFUNCTION("PRODUCT(
   MAP(
     K$3:ED$3,
     K$14:ED$14,
     K$13:ED$13,
     K46:ED46,
     LAMBDA(
       job,
       buff,
       target,
       check,
       IF(
         AND(check=TRUE, REGEXMATCH(target, ""SELF_EFFECTED_GCD""), ISNUMBER(buff), job=""賢者""),"&amp;"
         buff,
         1
       )
     )
   )
 )"),1.0)</f>
        <v>1</v>
      </c>
      <c r="EP46" s="201">
        <f t="shared" si="3"/>
        <v>0</v>
      </c>
      <c r="EQ46" s="201">
        <f>IFERROR(__xludf.DUMMYFUNCTION("SUM(
   MAP(
     K$4:ED$4,
     K$3:ED$3,
     K$7:ED$7,
     K$15:ED$15,
     K$16:ED$16,
     K$21:ED$21,
     K$5:ED$5,
     K$17:ED$17,
     K46:ED46,
     LAMBDA(
       name,
       job,
       abillity,
       buff,
       barrier,
       enhance,"&amp;"
       assign,
       precondition,
       check,
       SWITCH(
         name,
         ""シェイクオフ"", IF(check=TRUE, buff + (0.02 * COUNTIF(ARRAYFORMULA((REGEXMATCH($K$4:$ED$4, ""スリル・オブ・バトル|ヴェンジェンス|原初の血気|ダムネーション"")) * (K46:ED46=TRUE)), 1)), 0),
         "&amp;"""インプロビゼーションフィニッシュ(踊りの激情0)"", IF(ISNUMBER(check), INDEX(Skill!$AJ:$AJ, MATCH(SUBSTITUTE(DV$4, 0, check), Skill!$C:$C, 0)), 0),
         IF(
           AND(check=TRUE, REGEXMATCH(assign, ""RANGE_PARTY"")),
           IF(
             OR(ARRAYFORMULA((IF(pr"&amp;"econdition="""", FALSE, REGEXMATCH($K$4:$ED$4, precondition))) * (K46:ED46=TRUE))),
             enhance,
             IF(barrier="""", buff, barrier)
           ),
           0
         )
       ) *
       SWITCH(
         job,
         ""ナイト"", EY$24,
 "&amp;"        ""戦士"", FD$24,
         ""踊り子"", ET$24,
         ""ピクトマンサー"", ET$24,
         ""白魔道士"", EF46 * EH46 * IF(abillity, 1, EG46 * EI46) * (Option!$D$22 * 0.81 / 100),
         ""占星術師"", EF46 * EJ46 * IF(abillity, 1, EG46 * EK46) * (Option!$D$23 * 0.81 "&amp;"/ 100),
         ""学者"", EF46 * EL46 * IF(abillity, 1, EG46 * EM46) * (Option!$D$24 * 0.81 / 100),
         ""賢者"", EF46 * EN46 * IF(abillity, 1, EG46 * EO46) * (Option!$D$25 * 0.81 / 100),
         1
       )
     )
   )
 )"),0.0)</f>
        <v>0</v>
      </c>
      <c r="ER46" s="202">
        <f t="shared" si="4"/>
        <v>0</v>
      </c>
      <c r="ES46" s="203">
        <f t="shared" si="5"/>
        <v>0</v>
      </c>
      <c r="ET46" s="231" t="str">
        <f>IFERROR(__xludf.DUMMYFUNCTION("IFS(
  EP46 &gt; $ET$24 + EQ46,
  SPARKLINE({ 1, 0 }, {""charttype"",""bar"";""max"", 1;""color1"",Option!$D$30;""color2"",Option!$D$30}),
  EP46 &lt; EQ46,
  SPARKLINE({EQ46 - EP46, $ET$24 - (EQ46 - EP46)}, {""charttype"",""bar"";""max"",$ET$24;""color1"",Opti"&amp;"on!$D$28;""color2"",Option!$D$29}),
  EP46 &gt;= EQ46,
  SPARKLINE({$ET$24 + EQ46 - EP46,EP46 - EQ46}, {""charttype"",""bar"";""max"",$ET$24;""color1"",Option!$D$29;""color2"",Option!$D$30})
)"),"")</f>
        <v/>
      </c>
      <c r="EU46" s="205">
        <f>IFERROR(__xludf.DUMMYFUNCTION("PRODUCT(
   MAP(
     IF($F46=""Physical"", K$10:ED$10, IF($F46=""Magic"", K$11:ED$11, K$12:ED$12)),
     IF($F46=""Physical"", K$18:ED$18, IF($F46=""Magic"", K$19:ED$19, K$20:ED$20)),
     K$3:ED$3,
     K$5:ED$5,
     K$17:ED$17,
     K46:ED46,
     LAM"&amp;"BDA(
       mitigation,
       enhance,
       job,
       assign,
       precondition,
       check,
       IF(
         OR(AND(check=TRUE, REGEXMATCH(assign, ""SELF""), job=""ナイト""), AND(check=Option!$E$13, REGEXMATCH(assign, ""SINGLE_PARTY""))),
      "&amp;"   IF(
           OR(ARRAYFORMULA((IF(precondition="""", FALSE, REGEXMATCH($K$4:$ED$4, precondition))) * (K46:ED46=TRUE))),
           enhance,
           mitigation
         ),
         1
       )
     )
   )
 ) * EE46"),1.0)</f>
        <v>1</v>
      </c>
      <c r="EV46" s="206">
        <f t="shared" si="6"/>
        <v>0</v>
      </c>
      <c r="EW46" s="205">
        <f>IFERROR(__xludf.DUMMYFUNCTION("PRODUCT(
   MAP(
     K$3:ED$3,
     K$14:ED$14,
     K$13:ED$13,
     K46:ED46,
     LAMBDA(
       job,
       buff,
       target,
       check,
       IF(
         OR(AND(check=TRUE, REGEXMATCH(target, ""SELF_AFFECTED_ALL""), job=""ナイト""), AND(check=O"&amp;"ption!$E$13, REGEXMATCH(target, ""SINGLE_AFFECTED_ALL""))),
         buff,
         1
       )
     )
   )
 )"),1.0)</f>
        <v>1</v>
      </c>
      <c r="EX46" s="206">
        <f>IFERROR(__xludf.DUMMYFUNCTION("SUM(
   MAP(
     K$3:ED$3,
     K$7:ED$7,
     K$15:ED$15,
     K$16:ED$16,
     K$21:ED$21,
     K$5:ED$5,
     K$17:ED$17,
     K46:ED46,
     LAMBDA(
       job,
       abillity,
       buff,
       barrier,
       enhance,
       assign,
       preco"&amp;"ndition,
       check,
       IF(
         OR(AND(check=TRUE, REGEXMATCH(assign, ""SELF""), job=""ナイト""), AND(check=Option!$E$13, REGEXMATCH(assign, ""SINGLE_PARTY""))),
         IF(
           OR(ARRAYFORMULA((IF(precondition="""", FALSE, REGEXMATCH($K$4"&amp;":$ED$4, precondition))) * (K46:ED46=TRUE))),
           enhance,
           IF(barrier="""", buff, barrier)
         ),
         0
       ) *
       SWITCH(
         job,
         ""暗黒騎士"", EY$24,
         ""白魔道士"", EF46 * EH46 * EW46 * IF(abillity, 1, EG"&amp;"46 * EI46) * (Option!$D$22 * 0.81 / 100),
         ""占星術師"", EF46 * EJ46 * EW46 * IF(abillity, 1, EG46 * EK46) * (Option!$D$23 * 0.81 / 100),
         ""学者"", EF46 * EL46 * EW46 * IF(abillity, 1, EG46 * EM46) * (Option!$D$24 * 0.81 / 100),
         ""賢者"""&amp;", EF46 * EN46 * EW46 * IF(abillity, 1, EG46 * EO46) * (Option!$D$25 * 0.81 / 100),
         1
       )
     )
   )
 ) + EQ46"),0.0)</f>
        <v>0</v>
      </c>
      <c r="EY46" s="232">
        <f t="shared" si="7"/>
        <v>0</v>
      </c>
      <c r="EZ46" s="205">
        <f>IFERROR(__xludf.DUMMYFUNCTION("PRODUCT(
   MAP(
     IF($F46=""Physical"", K$10:ED$10, IF($F46=""Magic"", K$11:ED$11, K$12:ED$12)),
     IF($F46=""Physical"", K$18:ED$18, IF($F46=""Magic"", K$19:ED$19, K$20:ED$20)),
     K$3:ED$3,
     K$5:ED$5,
     K$17:ED$17,
     K46:ED46,
     LAM"&amp;"BDA(
       mitigation,
       enhance,
       job,
       assign,
       precondition,
       check,
       IF(
         OR(AND(check=TRUE, REGEXMATCH(assign, ""SELF""), job=""戦士""), AND(check=Option!$F$13, REGEXMATCH(assign, ""SINGLE_PARTY""))),
       "&amp;"  IF(
           OR(ARRAYFORMULA((IF(precondition="""", FALSE, REGEXMATCH($K$4:$ED$4, precondition))) * (K46:ED46=TRUE))),
           enhance,
           mitigation
         ),
         1
       )
     )
   )
 ) * EE46"),1.0)</f>
        <v>1</v>
      </c>
      <c r="FA46" s="206">
        <f t="shared" si="8"/>
        <v>0</v>
      </c>
      <c r="FB46" s="205">
        <f>IFERROR(__xludf.DUMMYFUNCTION("PRODUCT(
   MAP(
     K$3:ED$3,
     K$14:ED$14,
     K$13:ED$13,
     K46:ED46,
     LAMBDA(
       job,
       buff,
       target,
       check,
       IF(
         OR(AND(check=TRUE, REGEXMATCH(target, ""SELF_AFFECTED_ALL""), job=""戦士""), AND(check=Op"&amp;"tion!$F$13, REGEXMATCH(target, ""SINGLE_AFFECTED_ALL""))),
         buff,
         1
       )
     )
   )
 )"),1.0)</f>
        <v>1</v>
      </c>
      <c r="FC46" s="206">
        <f>IFERROR(__xludf.DUMMYFUNCTION("SUM(
   MAP(
     K$3:ED$3,
     K$7:ED$7,
     K$15:ED$15,
     K$16:ED$16,
     K$21:ED$21,
     K$5:ED$5,
     K$17:ED$17,
     K46:ED46,
     LAMBDA(
       job,
       abillity,
       buff,
       barrier,
       enhance,
       assign,
       preco"&amp;"ndition,
       check,
       IF(
         OR(AND(check=TRUE, REGEXMATCH(assign, ""SELF""), job=""戦士""), AND(check=Option!$F$13, REGEXMATCH(assign, ""SINGLE_PARTY""))),
         IF(
           OR(ARRAYFORMULA((IF(precondition="""", FALSE, REGEXMATCH($K$4:"&amp;"$ED$4, precondition))) * (K46:ED46=TRUE))),
           enhance,
           IF(barrier="""", buff, barrier)
         ),
         0
       ) *
       SWITCH(
         job,
         ""暗黒騎士"", FD$24,
         ""白魔道士"", EF46 * EH46 * FB46 * IF(abillity, 1, EG4"&amp;"6 * EI46) * (Option!$D$22 * 0.81 / 100),
         ""占星術師"", EF46 * EJ46 * FFB46 * IF(abillity, 1, EG46 * EK46) * (Option!$D$23 * 0.81 / 100),
         ""学者"", EF46 * EL46 * FB46 * IF(abillity, 1, EG46 * EM46) * (Option!$D$24 * 0.81 / 100),
         ""賢者"""&amp;", EF46 * EN46 * FB46 * IF(abillity, 1, EG46 * EO46) * (Option!$D$25 * 0.81 / 100),
         1
       )
     )
   )
 ) + EQ46"),0.0)</f>
        <v>0</v>
      </c>
      <c r="FD46" s="206">
        <f t="shared" si="9"/>
        <v>0</v>
      </c>
      <c r="FE46" s="205">
        <f>IFERROR(__xludf.DUMMYFUNCTION("PRODUCT(
   MAP(
     IF($F46=""Physical"", K$10:ED$10, IF($F46=""Magic"", K$11:ED$11, K$12:ED$12)),
     IF($F46=""Physical"", K$18:ED$18, IF($F46=""Magic"", K$19:ED$19, K$20:ED$20)),
     K$3:ED$3,
     K$5:ED$5,
     K$17:ED$17,
     K46:ED46,
     LAM"&amp;"BDA(
       mitigation,
       enhance,
       job,
       assign,
       precondition,
       check,
       IF(
         OR(AND(check=TRUE, REGEXMATCH(assign, ""SELF""), job=""暗黒騎士""), AND(check=Option!$G$13, REGEXMATCH(assign, ""SINGLE_PARTY""))),
     "&amp;"    IF(
           OR(ARRAYFORMULA((IF(precondition="""", FALSE, REGEXMATCH($K$4:$ED$4, precondition))) * (K46:ED46=TRUE))),
           enhance,
           mitigation
         ),
         1
       )
     )
   )
 ) * EE46"),1.0)</f>
        <v>1</v>
      </c>
      <c r="FF46" s="206">
        <f t="shared" si="10"/>
        <v>0</v>
      </c>
      <c r="FG46" s="205">
        <f>IFERROR(__xludf.DUMMYFUNCTION("PRODUCT(
   MAP(
     K$3:ED$3,
     K$14:ED$14,
     K$13:ED$13,
     K46:ED46,
     LAMBDA(
       job,
       buff,
       target,
       check,
       IF(
         OR(AND(check=TRUE, REGEXMATCH(target, ""SELF_AFFECTED_ALL""), job=""暗黒騎士""), AND(check="&amp;"Option!$G$13, REGEXMATCH(target, ""SINGLE_AFFECTED_ALL""))),
         buff,
         1
       )
     )
   )
 )"),1.0)</f>
        <v>1</v>
      </c>
      <c r="FH46" s="206">
        <f>IFERROR(__xludf.DUMMYFUNCTION("SUM(
   MAP(
     K$3:ED$3,
     K$7:ED$7,
     K$15:ED$15,
     K$16:ED$16,
     K$21:ED$21,
     K$5:ED$5,
     K$17:ED$17,
     K46:ED46,
     LAMBDA(
       job,
       abillity,
       buff,
       barrier,
       enhance,
       assign,
       preco"&amp;"ndition,
       check,
       IF(
         OR(AND(check=TRUE, REGEXMATCH(assign, ""SELF""), job=""暗黒騎士""), AND(check=Option!$G$13, REGEXMATCH(assign, ""SINGLE_PARTY""))),
         IF(
           OR(ARRAYFORMULA((IF(precondition="""", FALSE, REGEXMATCH($K$"&amp;"4:$ED$4, precondition))) * (K46:ED46=TRUE))),
           enhance,
           IF(barrier="""", buff, barrier)
         ),
         0
       ) *
       SWITCH(
         job,
         ""暗黒騎士"", FI$24,
         ""白魔道士"", EF46 * EH46 * FG46 * IF(abillity, 1, E"&amp;"G46 * EI46) * (Option!$D$22 * 0.81 / 100),
         ""占星術師"", EF46 * EJ46 * FG46 * IF(abillity, 1, EG46 * EK46) * (Option!$D$23 * 0.81 / 100),
         ""学者"", EF46 * EL46 * FG46 * IF(abillity, 1, EG46 * EM46) * (Option!$D$24 * 0.81 / 100),
         ""賢者"&amp;""", EF46 * EN46 * FG46 * IF(abillity, 1, EG46 * EO46) * (Option!$D$25 * 0.81 / 100),
         1
       )
     )
   )
 ) + EQ46"),0.0)</f>
        <v>0</v>
      </c>
      <c r="FI46" s="206">
        <f t="shared" si="11"/>
        <v>0</v>
      </c>
      <c r="FJ46" s="205">
        <f>IFERROR(__xludf.DUMMYFUNCTION("PRODUCT(
   MAP(
     IF($F46=""Physical"", K$10:ED$10, IF($F46=""Magic"", K$11:ED$11, K$12:ED$12)),
     IF($F46=""Physical"", K$18:ED$18, IF($F46=""Magic"", K$19:ED$19, K$20:ED$20)),
     K$3:ED$3,
     K$5:ED$5,
     K$17:ED$17,
     K46:ED46,
     LAM"&amp;"BDA(
       mitigation,
       enhance,
       job,
       assign,
       precondition,
       check,
       IF(
         OR(AND(check=TRUE, REGEXMATCH(assign, ""SELF""), job=""ガンブレイカー""), AND(check=Option!$H$13, REGEXMATCH(assign, ""SINGLE_PARTY""))),
  "&amp;"       IF(
           OR(ARRAYFORMULA((IF(precondition="""", FALSE, REGEXMATCH($K$4:$ED$4, precondition))) * (K46:ED46=TRUE))),
           enhance,
           mitigation
         ),
         1
       )
     )
   )
 ) * EE46"),1.0)</f>
        <v>1</v>
      </c>
      <c r="FK46" s="206">
        <f t="shared" si="12"/>
        <v>0</v>
      </c>
      <c r="FL46" s="205">
        <f>IFERROR(__xludf.DUMMYFUNCTION("PRODUCT(
   MAP(
     K$3:ED$3,
     K$14:ED$14,
     K$13:ED$13,
     K46:ED46,
     LAMBDA(
       job,
       buff,
       target,
       check,
       IF(
         OR(AND(check=TRUE, REGEXMATCH(target, ""SELF_AFFECTED_ALL""), job=""ガンブレイカー""), AND(che"&amp;"ck=Option!$H$13, REGEXMATCH(target, ""SINGLE_AFFECTED_ALL""))),
         buff,
         1
       )
     )
   )
 )"),1.0)</f>
        <v>1</v>
      </c>
      <c r="FM46" s="206">
        <f>IFERROR(__xludf.DUMMYFUNCTION("SUM(
   MAP(
     K$3:ED$3,
     K$7:ED$7,
     K$15:ED$15,
     K$16:ED$16,
     K$21:ED$21,
     K$5:ED$5,
     K$17:ED$17,
     K46:ED46,
     LAMBDA(
       job,
       abillity,
       buff,
       barrier,
       enhance,
       assign,
       preco"&amp;"ndition,
       check,
       IF(
         OR(AND(check=TRUE, REGEXMATCH(assign, ""SELF""), job=""ガンブレイカー""), AND(check=Option!$H$13, REGEXMATCH(assign, ""SINGLE_PARTY""))),
         IF(
           OR(ARRAYFORMULA((IF(precondition="""", FALSE, REGEXMATCH("&amp;"$K$4:$ED$4, precondition))) * (K46:ED46=TRUE))),
           enhance,
           IF(barrier="""", buff, barrier)
         ),
         0
       ) *
       SWITCH(
         job,
         ""暗黒騎士"", FN$24,
         ""白魔道士"", EF46 * EH46 * FL46 * IF(abillity, 1"&amp;", EG46 * EI46) * (Option!$D$22 * 0.81 / 100),
         ""占星術師"", EF46 * EJ46 * FL46 * IF(abillity, 1, EG46 * EK46) * (Option!$D$23 * 0.81 / 100),
         ""学者"", EF46 * EL46 * FL46 * IF(abillity, 1, EG46 * EM46) * (Option!$D$24 * 0.81 / 100),
         """&amp;"賢者"", EF46 * EN46 * FL46 * IF(abillity, 1, EG46 * EO46) * (Option!$D$25 * 0.81 / 100),
         1
       )
     )
   )
 ) + EQ46"),0.0)</f>
        <v>0</v>
      </c>
      <c r="FN46" s="206">
        <f t="shared" si="13"/>
        <v>0</v>
      </c>
      <c r="FO46" s="213"/>
    </row>
    <row r="47">
      <c r="B47" s="229"/>
      <c r="C47" s="217">
        <f t="shared" si="1"/>
        <v>0.00380787037</v>
      </c>
      <c r="D47" s="236"/>
      <c r="E47" s="238"/>
      <c r="F47" s="167"/>
      <c r="G47" s="168" t="str">
        <f t="shared" si="2"/>
        <v/>
      </c>
      <c r="H47" s="169"/>
      <c r="I47" s="169"/>
      <c r="J47" s="169"/>
      <c r="K47" s="170" t="b">
        <v>0</v>
      </c>
      <c r="L47" s="170" t="b">
        <v>0</v>
      </c>
      <c r="M47" s="170" t="b">
        <v>0</v>
      </c>
      <c r="N47" s="171" t="s">
        <v>1070</v>
      </c>
      <c r="O47" s="172" t="b">
        <v>0</v>
      </c>
      <c r="P47" s="173" t="b">
        <v>0</v>
      </c>
      <c r="Q47" s="173" t="b">
        <v>0</v>
      </c>
      <c r="R47" s="173" t="b">
        <v>0</v>
      </c>
      <c r="S47" s="174" t="b">
        <v>0</v>
      </c>
      <c r="T47" s="175" t="b">
        <v>0</v>
      </c>
      <c r="U47" s="173" t="b">
        <v>0</v>
      </c>
      <c r="V47" s="171" t="s">
        <v>1070</v>
      </c>
      <c r="W47" s="172" t="b">
        <v>0</v>
      </c>
      <c r="X47" s="173" t="b">
        <v>0</v>
      </c>
      <c r="Y47" s="173" t="b">
        <v>0</v>
      </c>
      <c r="Z47" s="173" t="b">
        <v>0</v>
      </c>
      <c r="AA47" s="174" t="b">
        <v>0</v>
      </c>
      <c r="AB47" s="174" t="b">
        <v>0</v>
      </c>
      <c r="AC47" s="175" t="b">
        <v>0</v>
      </c>
      <c r="AD47" s="173" t="b">
        <v>0</v>
      </c>
      <c r="AE47" s="176" t="s">
        <v>1070</v>
      </c>
      <c r="AF47" s="171" t="s">
        <v>1070</v>
      </c>
      <c r="AG47" s="177">
        <f>IFERROR(__xludf.DUMMYFUNCTION("IF(
  ISNUMBER(AG46),
  MIN(MAX(
    AG46
    + MAX(
      ROUNDDOWN(($D47 - MAX(IFERROR(FILTER($D$24:$D46, AG$24:AG46 &lt;&gt; AF$6, AG$23:AG45 = AF$6), 0))) * (60 * 60 * 24) / AF$9) - ROUNDDOWN(($D46 - MAX(IFERROR(FILTER($D$23:$D45, AG$23:AG45 &lt;&gt; AF$6, AG$22:"&amp;"AG44 = AF$6), 0))) * (60 * 60 * 24) / 60),
      0
    )
    - COUNTIF(AF47, ""&lt;&gt;-""),
  0), AF$6),
  AF$6 - COUNTIF(AF47, ""&lt;&gt;-"")
)"),2.0)</f>
        <v>2</v>
      </c>
      <c r="AH47" s="173" t="b">
        <v>0</v>
      </c>
      <c r="AI47" s="173" t="b">
        <v>0</v>
      </c>
      <c r="AJ47" s="173" t="b">
        <v>0</v>
      </c>
      <c r="AK47" s="174" t="b">
        <v>0</v>
      </c>
      <c r="AL47" s="175" t="b">
        <v>0</v>
      </c>
      <c r="AM47" s="173" t="b">
        <v>0</v>
      </c>
      <c r="AN47" s="171" t="s">
        <v>1070</v>
      </c>
      <c r="AO47" s="173" t="b">
        <v>0</v>
      </c>
      <c r="AP47" s="173" t="b">
        <v>0</v>
      </c>
      <c r="AQ47" s="173" t="b">
        <v>0</v>
      </c>
      <c r="AR47" s="174" t="b">
        <v>0</v>
      </c>
      <c r="AS47" s="178" t="b">
        <v>0</v>
      </c>
      <c r="AT47" s="179" t="b">
        <v>0</v>
      </c>
      <c r="AU47" s="180" t="b">
        <v>0</v>
      </c>
      <c r="AV47" s="180" t="b">
        <v>0</v>
      </c>
      <c r="AW47" s="180" t="b">
        <v>0</v>
      </c>
      <c r="AX47" s="180" t="b">
        <v>0</v>
      </c>
      <c r="AY47" s="181" t="s">
        <v>1070</v>
      </c>
      <c r="AZ47" s="181" t="s">
        <v>1070</v>
      </c>
      <c r="BA47" s="184">
        <f>IFERROR(__xludf.DUMMYFUNCTION("IF(
  ISNUMBER(BA46),
  MIN(MAX(
    BA46
    + MAX(
      ROUNDDOWN((D47 - MAX(IFERROR(FILTER(D$24:D46, BA$24:BA46 &lt;&gt; AZ$6, BA$23:BA45 = AZ$6), 0))) * (60 * 60 * 24) / AZ$9) - ROUNDDOWN((D46 - MAX(IFERROR(FILTER(D$23:D45, BA$23:BA45 &lt;&gt; AZ$6, BA$22:BA44 ="&amp;" AZ$6), 0))) * (60 * 60 * 24) / AZ$9),
      0
    )
    - COUNTIF(AZ47, ""&lt;&gt;-""),
  0), AZ$6),
  AZ$6 - COUNTIF(AZ47, ""&lt;&gt;-"")
)"),2.0)</f>
        <v>2</v>
      </c>
      <c r="BB47" s="181" t="s">
        <v>1070</v>
      </c>
      <c r="BC47" s="183">
        <f>IFERROR(__xludf.DUMMYFUNCTION("IF(
  ISNUMBER(BC46),
  MIN(MAX(
    BC46
    + MAX(
      ROUNDDOWN(($D47 - MAX(IFERROR(FILTER($D$24:$D46, BC$24:BC46 &lt;&gt; BB$6, BC$23:BC45 = BB$6), 0))) * (60 * 60 * 24) / BB$9) - ROUNDDOWN(($D46 - MAX(IFERROR(FILTER($D$23:$D45, BC$23:BC45 &lt;&gt; BB$6, BC$22:"&amp;"BC44 = BB$6), 0))) * (60 * 60 * 24) / 60),
      0
    )
    - COUNTIF(BB47, ""&lt;&gt;-""),
  0), BB$6),
  BB$6 - COUNTIF(BB47, ""&lt;&gt;-"")
)"),2.0)</f>
        <v>2</v>
      </c>
      <c r="BD47" s="181" t="s">
        <v>1070</v>
      </c>
      <c r="BE47" s="178" t="b">
        <v>0</v>
      </c>
      <c r="BF47" s="180" t="b">
        <v>0</v>
      </c>
      <c r="BG47" s="180" t="b">
        <v>0</v>
      </c>
      <c r="BH47" s="180" t="b">
        <v>0</v>
      </c>
      <c r="BI47" s="180" t="b">
        <v>0</v>
      </c>
      <c r="BJ47" s="180" t="b">
        <v>0</v>
      </c>
      <c r="BK47" s="180" t="b">
        <v>0</v>
      </c>
      <c r="BL47" s="180" t="b">
        <v>0</v>
      </c>
      <c r="BM47" s="180" t="b">
        <v>0</v>
      </c>
      <c r="BN47" s="180" t="b">
        <v>0</v>
      </c>
      <c r="BO47" s="181" t="s">
        <v>1070</v>
      </c>
      <c r="BP47" s="181" t="s">
        <v>1070</v>
      </c>
      <c r="BQ47" s="181" t="s">
        <v>1070</v>
      </c>
      <c r="BR47" s="181" t="s">
        <v>1070</v>
      </c>
      <c r="BS47" s="181" t="s">
        <v>1070</v>
      </c>
      <c r="BT47" s="184">
        <f>IFERROR(__xludf.DUMMYFUNCTION("IF(
  ISNUMBER(BT46),
  MIN(MAX(
    BT46
    + MAX(
      ROUNDDOWN((D47 - MAX(IFERROR(FILTER(D$24:D46, BT$24:BT46 &lt;&gt; BS$6, BT$23:BT45 = BS$6), 0))) * (60 * 60 * 24) / BS$9) - ROUNDDOWN((D46 - MAX(IFERROR(FILTER(D$23:D45, BT$23:BT45 &lt;&gt; BS$6, BT$22:BT44 ="&amp;" BS$6), 0))) * (60 * 60 * 24) / BS$9),
      0
    )
    - COUNTIF(BS47, ""&lt;&gt;-""),
  0), BS$6),
  BS$6 - COUNTIF(BS47, ""&lt;&gt;-"")
)"),3.0)</f>
        <v>3</v>
      </c>
      <c r="BU47" s="181" t="s">
        <v>1070</v>
      </c>
      <c r="BV47" s="181" t="s">
        <v>1070</v>
      </c>
      <c r="BW47" s="184">
        <f>IFERROR(__xludf.DUMMYFUNCTION("IF(
  ISNUMBER(BW46),
  MIN(MAX(
    BW46
    + MAX(
      ROUNDDOWN((D47 - MAX(IFERROR(FILTER(D$24:D46, BW$24:BW46 &lt;&gt; BV$6, BW$23:BW45 = BV$6), 0))) * (60 * 60 * 24) / BV$9) - ROUNDDOWN((D46 - MAX(IFERROR(FILTER(D$23:D45, BW$23:BW45 &lt;&gt; BV$6, BW$22:BW44 ="&amp;" BV$6), 0))) * (60 * 60 * 24) / BV$9),
      0
    )
    - COUNTIF(BV47, ""&lt;&gt;-""),
  0), BV$6),
  BV$6 - COUNTIF(BV47, ""&lt;&gt;-"")
)"),2.0)</f>
        <v>2</v>
      </c>
      <c r="BX47" s="185" t="s">
        <v>1070</v>
      </c>
      <c r="BY47" s="178" t="b">
        <v>0</v>
      </c>
      <c r="BZ47" s="180" t="b">
        <v>0</v>
      </c>
      <c r="CA47" s="180" t="b">
        <v>0</v>
      </c>
      <c r="CB47" s="180" t="b">
        <v>0</v>
      </c>
      <c r="CC47" s="180" t="b">
        <v>0</v>
      </c>
      <c r="CD47" s="180" t="b">
        <v>0</v>
      </c>
      <c r="CE47" s="180" t="b">
        <v>0</v>
      </c>
      <c r="CF47" s="180" t="b">
        <v>0</v>
      </c>
      <c r="CG47" s="180" t="b">
        <v>0</v>
      </c>
      <c r="CH47" s="180" t="b">
        <v>0</v>
      </c>
      <c r="CI47" s="180" t="b">
        <v>0</v>
      </c>
      <c r="CJ47" s="180" t="b">
        <v>0</v>
      </c>
      <c r="CK47" s="180" t="b">
        <v>0</v>
      </c>
      <c r="CL47" s="180" t="b">
        <v>0</v>
      </c>
      <c r="CM47" s="181" t="s">
        <v>1070</v>
      </c>
      <c r="CN47" s="181" t="s">
        <v>1070</v>
      </c>
      <c r="CO47" s="181" t="s">
        <v>1070</v>
      </c>
      <c r="CP47" s="181" t="s">
        <v>1070</v>
      </c>
      <c r="CQ47" s="185" t="s">
        <v>1070</v>
      </c>
      <c r="CR47" s="180" t="b">
        <v>0</v>
      </c>
      <c r="CS47" s="186" t="str">
        <f t="shared" si="14"/>
        <v>◇◇◇</v>
      </c>
      <c r="CT47" s="178" t="b">
        <v>0</v>
      </c>
      <c r="CU47" s="180" t="b">
        <v>0</v>
      </c>
      <c r="CV47" s="180" t="b">
        <v>0</v>
      </c>
      <c r="CW47" s="180" t="b">
        <v>0</v>
      </c>
      <c r="CX47" s="180" t="b">
        <v>0</v>
      </c>
      <c r="CY47" s="180" t="b">
        <v>0</v>
      </c>
      <c r="CZ47" s="180" t="b">
        <v>0</v>
      </c>
      <c r="DA47" s="180" t="b">
        <v>0</v>
      </c>
      <c r="DB47" s="180" t="b">
        <v>0</v>
      </c>
      <c r="DC47" s="180" t="b">
        <v>0</v>
      </c>
      <c r="DD47" s="181" t="s">
        <v>1070</v>
      </c>
      <c r="DE47" s="181" t="s">
        <v>1070</v>
      </c>
      <c r="DF47" s="181" t="s">
        <v>1070</v>
      </c>
      <c r="DG47" s="185" t="s">
        <v>1070</v>
      </c>
      <c r="DH47" s="180" t="b">
        <v>0</v>
      </c>
      <c r="DI47" s="187" t="str">
        <f>IFERROR(__xludf.DUMMYFUNCTION("SWITCH(
  IF(
    ISTEXT(DI46),
    IF (
      FIND(""○"", DI46&amp;""○"") &gt; 3,
      3,
      FIND(""○"", DI46&amp;""○"")
      + MAX(
        ROUNDDOWN(($D47 - MAX(IFERROR(FILTER(D$24:D46, DI$24:DI46 &lt;&gt; ""●●●"", DI$23:DI45 = ""●●●""), 0))) * (60 * 60 * 24) / 20"&amp;") - ROUNDDOWN(($D46 - MAX(IFERROR(FILTER(D$23:D45, DI$23:DI45 &lt;&gt; ""●●●"", DI$22:DI44 = ""●●●""), 0))) * (60 * 60 * 24) / 20),
        0
      ) - 1
    ) - COUNTIFS(CU47, ""=TRUE"", CU46, ""&lt;&gt;TRUE"") - COUNTIF(CZ47, ""=TRUE"") - COUNTIF({DD47,DE47}, ""&lt;&gt;-"&amp;""") + COUNTIF(DH47, ""=TRUE""),
    3
  ),
  0, ""○○○"", 1, ""●○○"", 2, ""●●○"", 3, ""●●●"", 4, ""●●●"", ""○○○""
)"),"●●●")</f>
        <v>●●●</v>
      </c>
      <c r="DJ47" s="188" t="b">
        <v>0</v>
      </c>
      <c r="DK47" s="189" t="b">
        <v>0</v>
      </c>
      <c r="DL47" s="190" t="b">
        <v>0</v>
      </c>
      <c r="DM47" s="190" t="b">
        <v>0</v>
      </c>
      <c r="DN47" s="190" t="b">
        <v>0</v>
      </c>
      <c r="DO47" s="190" t="b">
        <v>0</v>
      </c>
      <c r="DP47" s="190" t="b">
        <v>0</v>
      </c>
      <c r="DQ47" s="191" t="b">
        <v>0</v>
      </c>
      <c r="DR47" s="192" t="b">
        <v>0</v>
      </c>
      <c r="DS47" s="191" t="b">
        <v>0</v>
      </c>
      <c r="DT47" s="192" t="b">
        <v>0</v>
      </c>
      <c r="DU47" s="191" t="b">
        <v>0</v>
      </c>
      <c r="DV47" s="193" t="s">
        <v>1070</v>
      </c>
      <c r="DW47" s="194" t="b">
        <v>0</v>
      </c>
      <c r="DX47" s="194" t="b">
        <v>0</v>
      </c>
      <c r="DY47" s="195" t="b">
        <v>0</v>
      </c>
      <c r="DZ47" s="196" t="b">
        <v>0</v>
      </c>
      <c r="EA47" s="195" t="b">
        <v>0</v>
      </c>
      <c r="EB47" s="197" t="b">
        <v>0</v>
      </c>
      <c r="EC47" s="197" t="b">
        <v>0</v>
      </c>
      <c r="ED47" s="212" t="b">
        <v>0</v>
      </c>
      <c r="EE47" s="199">
        <f>IFERROR(__xludf.DUMMYFUNCTION("IFERROR(
   PRODUCT(
     MAP(
       INDEX(TRANSPOSE(UNIQUE(TRANSPOSE(FILTER({IF($F47=""Physical"", K$10:ED$10, IF($F47=""Magic"", K$11:ED$11, K$12:ED$12));K$4:ED$4;K47:ED47}, K47:ED47=TRUE)))), 1, 0),
       INDEX(TRANSPOSE(UNIQUE(TRANSPOSE(FILTER({IF($"&amp;"F47=""Physical"", K$18:ED$18, IF($F47=""Magic"", K$19:ED$19, K$20:ED$20));K$4:ED$4;K47:ED47}, K47:ED47=TRUE)))), 1, 0),
       INDEX(TRANSPOSE(UNIQUE(TRANSPOSE(FILTER({K$5:ED$5;K$4:ED$4;K47:ED47}, K47:ED47=TRUE)))), 1, 0),
       INDEX(TRANSPOSE(UNIQUE(TR"&amp;"ANSPOSE(FILTER({K$17:ED$17;K$4:ED$4;K47:ED47}, K47:ED47=TRUE)))), 1, 0),
       LAMBDA(
         mitigation,
         enhance,
         assign,
         precondition,
         IF(
           REGEXMATCH(assign, ""RANGE_PARTY|SINGLE_ENEMY|RANGE_ENEMY""),
  "&amp;"         IF(
             OR(ARRAYFORMULA((IF(precondition="""", FALSE, REGEXMATCH(K$4:ED$4, precondition))) * (K47:ED47=TRUE))),
             IF(ISNUMBER(enhance), enhance, 1),
             IF(ISNUMBER(mitigation), mitigation, 1)
           ),
          "&amp;" 1
         )
       )
     )
   ),
   1
 )"),1.0)</f>
        <v>1</v>
      </c>
      <c r="EF47" s="200">
        <f>IFERROR(__xludf.DUMMYFUNCTION("PRODUCT(
   MAP(
     K$14:ED$14,
     K$13:ED$13,
     K47:ED47,
     LAMBDA(
       buff,
       target,
       check,
       IF(
         AND(check=TRUE, REGEXMATCH(target, ""RANGE_AFFECTED_ALL|RANGE_EFFECTED_ALL""), ISNUMBER(buff)),
         buff,
   "&amp;"      1
       )
     )
   )
 )"),1.0)</f>
        <v>1</v>
      </c>
      <c r="EG47" s="200">
        <f>IFERROR(__xludf.DUMMYFUNCTION("PRODUCT(
   MAP(
     K$14:ED$14,
     K$13:ED$13,
     K47:ED47,
     LAMBDA(
       buff,
       target,
       check,
       IF(
         AND(check=TRUE, REGEXMATCH(target, ""RANGE_AFFECTED_GCD|RANGE_EFFECTED_GCD""), ISNUMBER(buff)),
         buff,
   "&amp;"      1
       )
     )
   )
 )"),1.0)</f>
        <v>1</v>
      </c>
      <c r="EH47" s="200">
        <f>IFERROR(__xludf.DUMMYFUNCTION("PRODUCT(
   MAP(
     K$3:ED$3,
     K$14:ED$14,
     K$13:ED$13,
     K47:ED47,
     LAMBDA(
       job,
       buff,
       target,
       check,
       IF(
         AND(check=TRUE, REGEXMATCH(target, ""SELF_EFFECTED_ALL""), ISNUMBER(buff), job=""白魔道士"""&amp;"),
         buff,
         1
       )
     )
   )
 )"),1.0)</f>
        <v>1</v>
      </c>
      <c r="EI47" s="200">
        <f>IFERROR(__xludf.DUMMYFUNCTION("PRODUCT(
   MAP(
     K$3:ED$3,
     K$14:ED$14,
     K$13:ED$13,
     K47:ED47,
     LAMBDA(
       job,
       buff,
       target,
       check,
       IF(
         AND(check=TRUE, REGEXMATCH(target, ""SELF_EFFECTED_GCD""), ISNUMBER(buff), job=""白魔道士"""&amp;"),
         buff,
         1
       )
     )
   )
 )"),1.0)</f>
        <v>1</v>
      </c>
      <c r="EJ47" s="200">
        <f>IFERROR(__xludf.DUMMYFUNCTION("PRODUCT(
   MAP(
     K$3:ED$3,
     K$14:ED$14,
     K$13:ED$13,
     K47:ED47,
     LAMBDA(
       job,
       buff,
       target,
       check,
       IF(
         AND(check=TRUE, REGEXMATCH(target, ""SELF_EFFECTED_ALL""), ISNUMBER(buff), job=""占星術師"""&amp;"),
         buff,
         1
       )
     )
   )
 )"),1.0)</f>
        <v>1</v>
      </c>
      <c r="EK47" s="200">
        <f>IFERROR(__xludf.DUMMYFUNCTION("PRODUCT(
   MAP(
     K$3:ED$3,
     K$14:ED$14,
     K$13:ED$13,
     K47:ED47,
     LAMBDA(
       job,
       buff,
       target,
       check,
       IF(
         AND(check=TRUE, REGEXMATCH(target, ""SELF_EFFECTED_GCD""), ISNUMBER(buff), job=""占星術師"""&amp;"),
         buff,
         1
       )
     )
   )
 )"),1.0)</f>
        <v>1</v>
      </c>
      <c r="EL47" s="200">
        <f>IFERROR(__xludf.DUMMYFUNCTION("PRODUCT(
   MAP(
     K$3:ED$3,
     K$14:ED$14,
     K$13:ED$13,
     K47:ED47,
     LAMBDA(
       job,
       buff,
       target,
       check,
       IF(
         AND(check=TRUE, REGEXMATCH(target, ""SELF_EFFECTED_ALL""), ISNUMBER(buff), job=""学者""),"&amp;"
         buff,
         1
       )
     )
   )
 )"),1.0)</f>
        <v>1</v>
      </c>
      <c r="EM47" s="200">
        <f>IFERROR(__xludf.DUMMYFUNCTION("PRODUCT(
   MAP(
     K$3:ED$3,
     K$14:ED$14,
     K$13:ED$13,
     K47:ED47,
     LAMBDA(
       job,
       buff,
       target,
       check,
       IF(
         AND(check=TRUE, REGEXMATCH(target, ""SELF_EFFECTED_GCD""), ISNUMBER(buff), job=""学者""),"&amp;"
         buff,
         1
       )
     )
   )
 )"),1.0)</f>
        <v>1</v>
      </c>
      <c r="EN47" s="200">
        <f>IFERROR(__xludf.DUMMYFUNCTION("PRODUCT(
   MAP(
     K$3:ED$3,
     K$14:ED$14,
     K$13:ED$13,
     K47:ED47,
     LAMBDA(
       job,
       buff,
       target,
       check,
       IF(
         AND(check=TRUE, REGEXMATCH(target, ""SELF_EFFECTED_ALL""), ISNUMBER(buff), job=""賢者""),"&amp;"
         buff,
         1
       )
     )
   )
 )"),1.0)</f>
        <v>1</v>
      </c>
      <c r="EO47" s="200">
        <f>IFERROR(__xludf.DUMMYFUNCTION("PRODUCT(
   MAP(
     K$3:ED$3,
     K$14:ED$14,
     K$13:ED$13,
     K47:ED47,
     LAMBDA(
       job,
       buff,
       target,
       check,
       IF(
         AND(check=TRUE, REGEXMATCH(target, ""SELF_EFFECTED_GCD""), ISNUMBER(buff), job=""賢者""),"&amp;"
         buff,
         1
       )
     )
   )
 )"),1.0)</f>
        <v>1</v>
      </c>
      <c r="EP47" s="201">
        <f t="shared" si="3"/>
        <v>0</v>
      </c>
      <c r="EQ47" s="201">
        <f>IFERROR(__xludf.DUMMYFUNCTION("SUM(
   MAP(
     K$4:ED$4,
     K$3:ED$3,
     K$7:ED$7,
     K$15:ED$15,
     K$16:ED$16,
     K$21:ED$21,
     K$5:ED$5,
     K$17:ED$17,
     K47:ED47,
     LAMBDA(
       name,
       job,
       abillity,
       buff,
       barrier,
       enhance,"&amp;"
       assign,
       precondition,
       check,
       SWITCH(
         name,
         ""シェイクオフ"", IF(check=TRUE, buff + (0.02 * COUNTIF(ARRAYFORMULA((REGEXMATCH($K$4:$ED$4, ""スリル・オブ・バトル|ヴェンジェンス|原初の血気|ダムネーション"")) * (K47:ED47=TRUE)), 1)), 0),
         "&amp;"""インプロビゼーションフィニッシュ(踊りの激情0)"", IF(ISNUMBER(check), INDEX(Skill!$AJ:$AJ, MATCH(SUBSTITUTE(DV$4, 0, check), Skill!$C:$C, 0)), 0),
         IF(
           AND(check=TRUE, REGEXMATCH(assign, ""RANGE_PARTY"")),
           IF(
             OR(ARRAYFORMULA((IF(pr"&amp;"econdition="""", FALSE, REGEXMATCH($K$4:$ED$4, precondition))) * (K47:ED47=TRUE))),
             enhance,
             IF(barrier="""", buff, barrier)
           ),
           0
         )
       ) *
       SWITCH(
         job,
         ""ナイト"", EY$24,
 "&amp;"        ""戦士"", FD$24,
         ""踊り子"", ET$24,
         ""ピクトマンサー"", ET$24,
         ""白魔道士"", EF47 * EH47 * IF(abillity, 1, EG47 * EI47) * (Option!$D$22 * 0.81 / 100),
         ""占星術師"", EF47 * EJ47 * IF(abillity, 1, EG47 * EK47) * (Option!$D$23 * 0.81 "&amp;"/ 100),
         ""学者"", EF47 * EL47 * IF(abillity, 1, EG47 * EM47) * (Option!$D$24 * 0.81 / 100),
         ""賢者"", EF47 * EN47 * IF(abillity, 1, EG47 * EO47) * (Option!$D$25 * 0.81 / 100),
         1
       )
     )
   )
 )"),0.0)</f>
        <v>0</v>
      </c>
      <c r="ER47" s="202">
        <f t="shared" si="4"/>
        <v>0</v>
      </c>
      <c r="ES47" s="203">
        <f t="shared" si="5"/>
        <v>0</v>
      </c>
      <c r="ET47" s="231" t="str">
        <f>IFERROR(__xludf.DUMMYFUNCTION("IFS(
  EP47 &gt; $ET$24 + EQ47,
  SPARKLINE({ 1, 0 }, {""charttype"",""bar"";""max"", 1;""color1"",Option!$D$30;""color2"",Option!$D$30}),
  EP47 &lt; EQ47,
  SPARKLINE({EQ47 - EP47, $ET$24 - (EQ47 - EP47)}, {""charttype"",""bar"";""max"",$ET$24;""color1"",Opti"&amp;"on!$D$28;""color2"",Option!$D$29}),
  EP47 &gt;= EQ47,
  SPARKLINE({$ET$24 + EQ47 - EP47,EP47 - EQ47}, {""charttype"",""bar"";""max"",$ET$24;""color1"",Option!$D$29;""color2"",Option!$D$30})
)"),"")</f>
        <v/>
      </c>
      <c r="EU47" s="205">
        <f>IFERROR(__xludf.DUMMYFUNCTION("PRODUCT(
   MAP(
     IF($F47=""Physical"", K$10:ED$10, IF($F47=""Magic"", K$11:ED$11, K$12:ED$12)),
     IF($F47=""Physical"", K$18:ED$18, IF($F47=""Magic"", K$19:ED$19, K$20:ED$20)),
     K$3:ED$3,
     K$5:ED$5,
     K$17:ED$17,
     K47:ED47,
     LAM"&amp;"BDA(
       mitigation,
       enhance,
       job,
       assign,
       precondition,
       check,
       IF(
         OR(AND(check=TRUE, REGEXMATCH(assign, ""SELF""), job=""ナイト""), AND(check=Option!$E$13, REGEXMATCH(assign, ""SINGLE_PARTY""))),
      "&amp;"   IF(
           OR(ARRAYFORMULA((IF(precondition="""", FALSE, REGEXMATCH($K$4:$ED$4, precondition))) * (K47:ED47=TRUE))),
           enhance,
           mitigation
         ),
         1
       )
     )
   )
 ) * EE47"),1.0)</f>
        <v>1</v>
      </c>
      <c r="EV47" s="206">
        <f t="shared" si="6"/>
        <v>0</v>
      </c>
      <c r="EW47" s="205">
        <f>IFERROR(__xludf.DUMMYFUNCTION("PRODUCT(
   MAP(
     K$3:ED$3,
     K$14:ED$14,
     K$13:ED$13,
     K47:ED47,
     LAMBDA(
       job,
       buff,
       target,
       check,
       IF(
         OR(AND(check=TRUE, REGEXMATCH(target, ""SELF_AFFECTED_ALL""), job=""ナイト""), AND(check=O"&amp;"ption!$E$13, REGEXMATCH(target, ""SINGLE_AFFECTED_ALL""))),
         buff,
         1
       )
     )
   )
 )"),1.0)</f>
        <v>1</v>
      </c>
      <c r="EX47" s="206">
        <f>IFERROR(__xludf.DUMMYFUNCTION("SUM(
   MAP(
     K$3:ED$3,
     K$7:ED$7,
     K$15:ED$15,
     K$16:ED$16,
     K$21:ED$21,
     K$5:ED$5,
     K$17:ED$17,
     K47:ED47,
     LAMBDA(
       job,
       abillity,
       buff,
       barrier,
       enhance,
       assign,
       preco"&amp;"ndition,
       check,
       IF(
         OR(AND(check=TRUE, REGEXMATCH(assign, ""SELF""), job=""ナイト""), AND(check=Option!$E$13, REGEXMATCH(assign, ""SINGLE_PARTY""))),
         IF(
           OR(ARRAYFORMULA((IF(precondition="""", FALSE, REGEXMATCH($K$4"&amp;":$ED$4, precondition))) * (K47:ED47=TRUE))),
           enhance,
           IF(barrier="""", buff, barrier)
         ),
         0
       ) *
       SWITCH(
         job,
         ""暗黒騎士"", EY$24,
         ""白魔道士"", EF47 * EH47 * EW47 * IF(abillity, 1, EG"&amp;"47 * EI47) * (Option!$D$22 * 0.81 / 100),
         ""占星術師"", EF47 * EJ47 * EW47 * IF(abillity, 1, EG47 * EK47) * (Option!$D$23 * 0.81 / 100),
         ""学者"", EF47 * EL47 * EW47 * IF(abillity, 1, EG47 * EM47) * (Option!$D$24 * 0.81 / 100),
         ""賢者"""&amp;", EF47 * EN47 * EW47 * IF(abillity, 1, EG47 * EO47) * (Option!$D$25 * 0.81 / 100),
         1
       )
     )
   )
 ) + EQ47"),0.0)</f>
        <v>0</v>
      </c>
      <c r="EY47" s="232">
        <f t="shared" si="7"/>
        <v>0</v>
      </c>
      <c r="EZ47" s="205">
        <f>IFERROR(__xludf.DUMMYFUNCTION("PRODUCT(
   MAP(
     IF($F47=""Physical"", K$10:ED$10, IF($F47=""Magic"", K$11:ED$11, K$12:ED$12)),
     IF($F47=""Physical"", K$18:ED$18, IF($F47=""Magic"", K$19:ED$19, K$20:ED$20)),
     K$3:ED$3,
     K$5:ED$5,
     K$17:ED$17,
     K47:ED47,
     LAM"&amp;"BDA(
       mitigation,
       enhance,
       job,
       assign,
       precondition,
       check,
       IF(
         OR(AND(check=TRUE, REGEXMATCH(assign, ""SELF""), job=""戦士""), AND(check=Option!$F$13, REGEXMATCH(assign, ""SINGLE_PARTY""))),
       "&amp;"  IF(
           OR(ARRAYFORMULA((IF(precondition="""", FALSE, REGEXMATCH($K$4:$ED$4, precondition))) * (K47:ED47=TRUE))),
           enhance,
           mitigation
         ),
         1
       )
     )
   )
 ) * EE47"),1.0)</f>
        <v>1</v>
      </c>
      <c r="FA47" s="206">
        <f t="shared" si="8"/>
        <v>0</v>
      </c>
      <c r="FB47" s="205">
        <f>IFERROR(__xludf.DUMMYFUNCTION("PRODUCT(
   MAP(
     K$3:ED$3,
     K$14:ED$14,
     K$13:ED$13,
     K47:ED47,
     LAMBDA(
       job,
       buff,
       target,
       check,
       IF(
         OR(AND(check=TRUE, REGEXMATCH(target, ""SELF_AFFECTED_ALL""), job=""戦士""), AND(check=Op"&amp;"tion!$F$13, REGEXMATCH(target, ""SINGLE_AFFECTED_ALL""))),
         buff,
         1
       )
     )
   )
 )"),1.0)</f>
        <v>1</v>
      </c>
      <c r="FC47" s="206">
        <f>IFERROR(__xludf.DUMMYFUNCTION("SUM(
   MAP(
     K$3:ED$3,
     K$7:ED$7,
     K$15:ED$15,
     K$16:ED$16,
     K$21:ED$21,
     K$5:ED$5,
     K$17:ED$17,
     K47:ED47,
     LAMBDA(
       job,
       abillity,
       buff,
       barrier,
       enhance,
       assign,
       preco"&amp;"ndition,
       check,
       IF(
         OR(AND(check=TRUE, REGEXMATCH(assign, ""SELF""), job=""戦士""), AND(check=Option!$F$13, REGEXMATCH(assign, ""SINGLE_PARTY""))),
         IF(
           OR(ARRAYFORMULA((IF(precondition="""", FALSE, REGEXMATCH($K$4:"&amp;"$ED$4, precondition))) * (K47:ED47=TRUE))),
           enhance,
           IF(barrier="""", buff, barrier)
         ),
         0
       ) *
       SWITCH(
         job,
         ""暗黒騎士"", FD$24,
         ""白魔道士"", EF47 * EH47 * FB47 * IF(abillity, 1, EG4"&amp;"7 * EI47) * (Option!$D$22 * 0.81 / 100),
         ""占星術師"", EF47 * EJ47 * FFB47 * IF(abillity, 1, EG47 * EK47) * (Option!$D$23 * 0.81 / 100),
         ""学者"", EF47 * EL47 * FB47 * IF(abillity, 1, EG47 * EM47) * (Option!$D$24 * 0.81 / 100),
         ""賢者"""&amp;", EF47 * EN47 * FB47 * IF(abillity, 1, EG47 * EO47) * (Option!$D$25 * 0.81 / 100),
         1
       )
     )
   )
 ) + EQ47"),0.0)</f>
        <v>0</v>
      </c>
      <c r="FD47" s="206">
        <f t="shared" si="9"/>
        <v>0</v>
      </c>
      <c r="FE47" s="205">
        <f>IFERROR(__xludf.DUMMYFUNCTION("PRODUCT(
   MAP(
     IF($F47=""Physical"", K$10:ED$10, IF($F47=""Magic"", K$11:ED$11, K$12:ED$12)),
     IF($F47=""Physical"", K$18:ED$18, IF($F47=""Magic"", K$19:ED$19, K$20:ED$20)),
     K$3:ED$3,
     K$5:ED$5,
     K$17:ED$17,
     K47:ED47,
     LAM"&amp;"BDA(
       mitigation,
       enhance,
       job,
       assign,
       precondition,
       check,
       IF(
         OR(AND(check=TRUE, REGEXMATCH(assign, ""SELF""), job=""暗黒騎士""), AND(check=Option!$G$13, REGEXMATCH(assign, ""SINGLE_PARTY""))),
     "&amp;"    IF(
           OR(ARRAYFORMULA((IF(precondition="""", FALSE, REGEXMATCH($K$4:$ED$4, precondition))) * (K47:ED47=TRUE))),
           enhance,
           mitigation
         ),
         1
       )
     )
   )
 ) * EE47"),1.0)</f>
        <v>1</v>
      </c>
      <c r="FF47" s="206">
        <f t="shared" si="10"/>
        <v>0</v>
      </c>
      <c r="FG47" s="205">
        <f>IFERROR(__xludf.DUMMYFUNCTION("PRODUCT(
   MAP(
     K$3:ED$3,
     K$14:ED$14,
     K$13:ED$13,
     K47:ED47,
     LAMBDA(
       job,
       buff,
       target,
       check,
       IF(
         OR(AND(check=TRUE, REGEXMATCH(target, ""SELF_AFFECTED_ALL""), job=""暗黒騎士""), AND(check="&amp;"Option!$G$13, REGEXMATCH(target, ""SINGLE_AFFECTED_ALL""))),
         buff,
         1
       )
     )
   )
 )"),1.0)</f>
        <v>1</v>
      </c>
      <c r="FH47" s="206">
        <f>IFERROR(__xludf.DUMMYFUNCTION("SUM(
   MAP(
     K$3:ED$3,
     K$7:ED$7,
     K$15:ED$15,
     K$16:ED$16,
     K$21:ED$21,
     K$5:ED$5,
     K$17:ED$17,
     K47:ED47,
     LAMBDA(
       job,
       abillity,
       buff,
       barrier,
       enhance,
       assign,
       preco"&amp;"ndition,
       check,
       IF(
         OR(AND(check=TRUE, REGEXMATCH(assign, ""SELF""), job=""暗黒騎士""), AND(check=Option!$G$13, REGEXMATCH(assign, ""SINGLE_PARTY""))),
         IF(
           OR(ARRAYFORMULA((IF(precondition="""", FALSE, REGEXMATCH($K$"&amp;"4:$ED$4, precondition))) * (K47:ED47=TRUE))),
           enhance,
           IF(barrier="""", buff, barrier)
         ),
         0
       ) *
       SWITCH(
         job,
         ""暗黒騎士"", FI$24,
         ""白魔道士"", EF47 * EH47 * FG47 * IF(abillity, 1, E"&amp;"G47 * EI47) * (Option!$D$22 * 0.81 / 100),
         ""占星術師"", EF47 * EJ47 * FG47 * IF(abillity, 1, EG47 * EK47) * (Option!$D$23 * 0.81 / 100),
         ""学者"", EF47 * EL47 * FG47 * IF(abillity, 1, EG47 * EM47) * (Option!$D$24 * 0.81 / 100),
         ""賢者"&amp;""", EF47 * EN47 * FG47 * IF(abillity, 1, EG47 * EO47) * (Option!$D$25 * 0.81 / 100),
         1
       )
     )
   )
 ) + EQ47"),0.0)</f>
        <v>0</v>
      </c>
      <c r="FI47" s="206">
        <f t="shared" si="11"/>
        <v>0</v>
      </c>
      <c r="FJ47" s="205">
        <f>IFERROR(__xludf.DUMMYFUNCTION("PRODUCT(
   MAP(
     IF($F47=""Physical"", K$10:ED$10, IF($F47=""Magic"", K$11:ED$11, K$12:ED$12)),
     IF($F47=""Physical"", K$18:ED$18, IF($F47=""Magic"", K$19:ED$19, K$20:ED$20)),
     K$3:ED$3,
     K$5:ED$5,
     K$17:ED$17,
     K47:ED47,
     LAM"&amp;"BDA(
       mitigation,
       enhance,
       job,
       assign,
       precondition,
       check,
       IF(
         OR(AND(check=TRUE, REGEXMATCH(assign, ""SELF""), job=""ガンブレイカー""), AND(check=Option!$H$13, REGEXMATCH(assign, ""SINGLE_PARTY""))),
  "&amp;"       IF(
           OR(ARRAYFORMULA((IF(precondition="""", FALSE, REGEXMATCH($K$4:$ED$4, precondition))) * (K47:ED47=TRUE))),
           enhance,
           mitigation
         ),
         1
       )
     )
   )
 ) * EE47"),1.0)</f>
        <v>1</v>
      </c>
      <c r="FK47" s="206">
        <f t="shared" si="12"/>
        <v>0</v>
      </c>
      <c r="FL47" s="205">
        <f>IFERROR(__xludf.DUMMYFUNCTION("PRODUCT(
   MAP(
     K$3:ED$3,
     K$14:ED$14,
     K$13:ED$13,
     K47:ED47,
     LAMBDA(
       job,
       buff,
       target,
       check,
       IF(
         OR(AND(check=TRUE, REGEXMATCH(target, ""SELF_AFFECTED_ALL""), job=""ガンブレイカー""), AND(che"&amp;"ck=Option!$H$13, REGEXMATCH(target, ""SINGLE_AFFECTED_ALL""))),
         buff,
         1
       )
     )
   )
 )"),1.0)</f>
        <v>1</v>
      </c>
      <c r="FM47" s="206">
        <f>IFERROR(__xludf.DUMMYFUNCTION("SUM(
   MAP(
     K$3:ED$3,
     K$7:ED$7,
     K$15:ED$15,
     K$16:ED$16,
     K$21:ED$21,
     K$5:ED$5,
     K$17:ED$17,
     K47:ED47,
     LAMBDA(
       job,
       abillity,
       buff,
       barrier,
       enhance,
       assign,
       preco"&amp;"ndition,
       check,
       IF(
         OR(AND(check=TRUE, REGEXMATCH(assign, ""SELF""), job=""ガンブレイカー""), AND(check=Option!$H$13, REGEXMATCH(assign, ""SINGLE_PARTY""))),
         IF(
           OR(ARRAYFORMULA((IF(precondition="""", FALSE, REGEXMATCH("&amp;"$K$4:$ED$4, precondition))) * (K47:ED47=TRUE))),
           enhance,
           IF(barrier="""", buff, barrier)
         ),
         0
       ) *
       SWITCH(
         job,
         ""暗黒騎士"", FN$24,
         ""白魔道士"", EF47 * EH47 * FL47 * IF(abillity, 1"&amp;", EG47 * EI47) * (Option!$D$22 * 0.81 / 100),
         ""占星術師"", EF47 * EJ47 * FL47 * IF(abillity, 1, EG47 * EK47) * (Option!$D$23 * 0.81 / 100),
         ""学者"", EF47 * EL47 * FL47 * IF(abillity, 1, EG47 * EM47) * (Option!$D$24 * 0.81 / 100),
         """&amp;"賢者"", EF47 * EN47 * FL47 * IF(abillity, 1, EG47 * EO47) * (Option!$D$25 * 0.81 / 100),
         1
       )
     )
   )
 ) + EQ47"),0.0)</f>
        <v>0</v>
      </c>
      <c r="FN47" s="206">
        <f t="shared" si="13"/>
        <v>0</v>
      </c>
      <c r="FO47" s="213"/>
    </row>
    <row r="48">
      <c r="B48" s="229"/>
      <c r="C48" s="217">
        <f t="shared" si="1"/>
        <v>0.00380787037</v>
      </c>
      <c r="D48" s="236"/>
      <c r="E48" s="238"/>
      <c r="F48" s="167"/>
      <c r="G48" s="168" t="str">
        <f t="shared" si="2"/>
        <v/>
      </c>
      <c r="H48" s="169"/>
      <c r="I48" s="169"/>
      <c r="J48" s="169"/>
      <c r="K48" s="170" t="b">
        <v>0</v>
      </c>
      <c r="L48" s="170" t="b">
        <v>0</v>
      </c>
      <c r="M48" s="170" t="b">
        <v>0</v>
      </c>
      <c r="N48" s="171" t="s">
        <v>1070</v>
      </c>
      <c r="O48" s="172" t="b">
        <v>0</v>
      </c>
      <c r="P48" s="173" t="b">
        <v>0</v>
      </c>
      <c r="Q48" s="173" t="b">
        <v>0</v>
      </c>
      <c r="R48" s="173" t="b">
        <v>0</v>
      </c>
      <c r="S48" s="174" t="b">
        <v>0</v>
      </c>
      <c r="T48" s="175" t="b">
        <v>0</v>
      </c>
      <c r="U48" s="173" t="b">
        <v>0</v>
      </c>
      <c r="V48" s="171" t="s">
        <v>1070</v>
      </c>
      <c r="W48" s="172" t="b">
        <v>0</v>
      </c>
      <c r="X48" s="173" t="b">
        <v>0</v>
      </c>
      <c r="Y48" s="173" t="b">
        <v>0</v>
      </c>
      <c r="Z48" s="173" t="b">
        <v>0</v>
      </c>
      <c r="AA48" s="174" t="b">
        <v>0</v>
      </c>
      <c r="AB48" s="174" t="b">
        <v>0</v>
      </c>
      <c r="AC48" s="175" t="b">
        <v>0</v>
      </c>
      <c r="AD48" s="173" t="b">
        <v>0</v>
      </c>
      <c r="AE48" s="176" t="s">
        <v>1070</v>
      </c>
      <c r="AF48" s="171" t="s">
        <v>1070</v>
      </c>
      <c r="AG48" s="177">
        <f>IFERROR(__xludf.DUMMYFUNCTION("IF(
  ISNUMBER(AG47),
  MIN(MAX(
    AG47
    + MAX(
      ROUNDDOWN(($D48 - MAX(IFERROR(FILTER($D$24:$D47, AG$24:AG47 &lt;&gt; AF$6, AG$23:AG46 = AF$6), 0))) * (60 * 60 * 24) / AF$9) - ROUNDDOWN(($D47 - MAX(IFERROR(FILTER($D$23:$D46, AG$23:AG46 &lt;&gt; AF$6, AG$22:"&amp;"AG45 = AF$6), 0))) * (60 * 60 * 24) / 60),
      0
    )
    - COUNTIF(AF48, ""&lt;&gt;-""),
  0), AF$6),
  AF$6 - COUNTIF(AF48, ""&lt;&gt;-"")
)"),2.0)</f>
        <v>2</v>
      </c>
      <c r="AH48" s="173" t="b">
        <v>0</v>
      </c>
      <c r="AI48" s="173" t="b">
        <v>0</v>
      </c>
      <c r="AJ48" s="173" t="b">
        <v>0</v>
      </c>
      <c r="AK48" s="174" t="b">
        <v>0</v>
      </c>
      <c r="AL48" s="175" t="b">
        <v>0</v>
      </c>
      <c r="AM48" s="173" t="b">
        <v>0</v>
      </c>
      <c r="AN48" s="171" t="s">
        <v>1070</v>
      </c>
      <c r="AO48" s="173" t="b">
        <v>0</v>
      </c>
      <c r="AP48" s="173" t="b">
        <v>0</v>
      </c>
      <c r="AQ48" s="173" t="b">
        <v>0</v>
      </c>
      <c r="AR48" s="174" t="b">
        <v>0</v>
      </c>
      <c r="AS48" s="178" t="b">
        <v>0</v>
      </c>
      <c r="AT48" s="179" t="b">
        <v>0</v>
      </c>
      <c r="AU48" s="180" t="b">
        <v>0</v>
      </c>
      <c r="AV48" s="180" t="b">
        <v>0</v>
      </c>
      <c r="AW48" s="180" t="b">
        <v>0</v>
      </c>
      <c r="AX48" s="180" t="b">
        <v>0</v>
      </c>
      <c r="AY48" s="181" t="s">
        <v>1070</v>
      </c>
      <c r="AZ48" s="181" t="s">
        <v>1070</v>
      </c>
      <c r="BA48" s="184">
        <f>IFERROR(__xludf.DUMMYFUNCTION("IF(
  ISNUMBER(BA47),
  MIN(MAX(
    BA47
    + MAX(
      ROUNDDOWN((D48 - MAX(IFERROR(FILTER(D$24:D47, BA$24:BA47 &lt;&gt; AZ$6, BA$23:BA46 = AZ$6), 0))) * (60 * 60 * 24) / AZ$9) - ROUNDDOWN((D47 - MAX(IFERROR(FILTER(D$23:D46, BA$23:BA46 &lt;&gt; AZ$6, BA$22:BA45 ="&amp;" AZ$6), 0))) * (60 * 60 * 24) / AZ$9),
      0
    )
    - COUNTIF(AZ48, ""&lt;&gt;-""),
  0), AZ$6),
  AZ$6 - COUNTIF(AZ48, ""&lt;&gt;-"")
)"),2.0)</f>
        <v>2</v>
      </c>
      <c r="BB48" s="181" t="s">
        <v>1070</v>
      </c>
      <c r="BC48" s="183">
        <f>IFERROR(__xludf.DUMMYFUNCTION("IF(
  ISNUMBER(BC47),
  MIN(MAX(
    BC47
    + MAX(
      ROUNDDOWN(($D48 - MAX(IFERROR(FILTER($D$24:$D47, BC$24:BC47 &lt;&gt; BB$6, BC$23:BC46 = BB$6), 0))) * (60 * 60 * 24) / BB$9) - ROUNDDOWN(($D47 - MAX(IFERROR(FILTER($D$23:$D46, BC$23:BC46 &lt;&gt; BB$6, BC$22:"&amp;"BC45 = BB$6), 0))) * (60 * 60 * 24) / 60),
      0
    )
    - COUNTIF(BB48, ""&lt;&gt;-""),
  0), BB$6),
  BB$6 - COUNTIF(BB48, ""&lt;&gt;-"")
)"),2.0)</f>
        <v>2</v>
      </c>
      <c r="BD48" s="181" t="s">
        <v>1070</v>
      </c>
      <c r="BE48" s="178" t="b">
        <v>0</v>
      </c>
      <c r="BF48" s="180" t="b">
        <v>0</v>
      </c>
      <c r="BG48" s="180" t="b">
        <v>0</v>
      </c>
      <c r="BH48" s="180" t="b">
        <v>0</v>
      </c>
      <c r="BI48" s="180" t="b">
        <v>0</v>
      </c>
      <c r="BJ48" s="180" t="b">
        <v>0</v>
      </c>
      <c r="BK48" s="180" t="b">
        <v>0</v>
      </c>
      <c r="BL48" s="180" t="b">
        <v>0</v>
      </c>
      <c r="BM48" s="180" t="b">
        <v>0</v>
      </c>
      <c r="BN48" s="180" t="b">
        <v>0</v>
      </c>
      <c r="BO48" s="181" t="s">
        <v>1070</v>
      </c>
      <c r="BP48" s="181" t="s">
        <v>1070</v>
      </c>
      <c r="BQ48" s="181" t="s">
        <v>1070</v>
      </c>
      <c r="BR48" s="181" t="s">
        <v>1070</v>
      </c>
      <c r="BS48" s="181" t="s">
        <v>1070</v>
      </c>
      <c r="BT48" s="184">
        <f>IFERROR(__xludf.DUMMYFUNCTION("IF(
  ISNUMBER(BT47),
  MIN(MAX(
    BT47
    + MAX(
      ROUNDDOWN((D48 - MAX(IFERROR(FILTER(D$24:D47, BT$24:BT47 &lt;&gt; BS$6, BT$23:BT46 = BS$6), 0))) * (60 * 60 * 24) / BS$9) - ROUNDDOWN((D47 - MAX(IFERROR(FILTER(D$23:D46, BT$23:BT46 &lt;&gt; BS$6, BT$22:BT45 ="&amp;" BS$6), 0))) * (60 * 60 * 24) / BS$9),
      0
    )
    - COUNTIF(BS48, ""&lt;&gt;-""),
  0), BS$6),
  BS$6 - COUNTIF(BS48, ""&lt;&gt;-"")
)"),3.0)</f>
        <v>3</v>
      </c>
      <c r="BU48" s="181" t="s">
        <v>1070</v>
      </c>
      <c r="BV48" s="181" t="s">
        <v>1070</v>
      </c>
      <c r="BW48" s="184">
        <f>IFERROR(__xludf.DUMMYFUNCTION("IF(
  ISNUMBER(BW47),
  MIN(MAX(
    BW47
    + MAX(
      ROUNDDOWN((D48 - MAX(IFERROR(FILTER(D$24:D47, BW$24:BW47 &lt;&gt; BV$6, BW$23:BW46 = BV$6), 0))) * (60 * 60 * 24) / BV$9) - ROUNDDOWN((D47 - MAX(IFERROR(FILTER(D$23:D46, BW$23:BW46 &lt;&gt; BV$6, BW$22:BW45 ="&amp;" BV$6), 0))) * (60 * 60 * 24) / BV$9),
      0
    )
    - COUNTIF(BV48, ""&lt;&gt;-""),
  0), BV$6),
  BV$6 - COUNTIF(BV48, ""&lt;&gt;-"")
)"),2.0)</f>
        <v>2</v>
      </c>
      <c r="BX48" s="185" t="s">
        <v>1070</v>
      </c>
      <c r="BY48" s="178" t="b">
        <v>0</v>
      </c>
      <c r="BZ48" s="180" t="b">
        <v>0</v>
      </c>
      <c r="CA48" s="180" t="b">
        <v>0</v>
      </c>
      <c r="CB48" s="180" t="b">
        <v>0</v>
      </c>
      <c r="CC48" s="180" t="b">
        <v>0</v>
      </c>
      <c r="CD48" s="180" t="b">
        <v>0</v>
      </c>
      <c r="CE48" s="180" t="b">
        <v>0</v>
      </c>
      <c r="CF48" s="180" t="b">
        <v>0</v>
      </c>
      <c r="CG48" s="180" t="b">
        <v>0</v>
      </c>
      <c r="CH48" s="180" t="b">
        <v>0</v>
      </c>
      <c r="CI48" s="180" t="b">
        <v>0</v>
      </c>
      <c r="CJ48" s="180" t="b">
        <v>0</v>
      </c>
      <c r="CK48" s="180" t="b">
        <v>0</v>
      </c>
      <c r="CL48" s="180" t="b">
        <v>0</v>
      </c>
      <c r="CM48" s="181" t="s">
        <v>1070</v>
      </c>
      <c r="CN48" s="181" t="s">
        <v>1070</v>
      </c>
      <c r="CO48" s="181" t="s">
        <v>1070</v>
      </c>
      <c r="CP48" s="181" t="s">
        <v>1070</v>
      </c>
      <c r="CQ48" s="185" t="s">
        <v>1070</v>
      </c>
      <c r="CR48" s="180" t="b">
        <v>0</v>
      </c>
      <c r="CS48" s="186" t="str">
        <f t="shared" si="14"/>
        <v>◇◇◇</v>
      </c>
      <c r="CT48" s="178" t="b">
        <v>0</v>
      </c>
      <c r="CU48" s="180" t="b">
        <v>0</v>
      </c>
      <c r="CV48" s="180" t="b">
        <v>0</v>
      </c>
      <c r="CW48" s="180" t="b">
        <v>0</v>
      </c>
      <c r="CX48" s="180" t="b">
        <v>0</v>
      </c>
      <c r="CY48" s="180" t="b">
        <v>0</v>
      </c>
      <c r="CZ48" s="180" t="b">
        <v>0</v>
      </c>
      <c r="DA48" s="180" t="b">
        <v>0</v>
      </c>
      <c r="DB48" s="180" t="b">
        <v>0</v>
      </c>
      <c r="DC48" s="180" t="b">
        <v>0</v>
      </c>
      <c r="DD48" s="181" t="s">
        <v>1070</v>
      </c>
      <c r="DE48" s="181" t="s">
        <v>1070</v>
      </c>
      <c r="DF48" s="181" t="s">
        <v>1070</v>
      </c>
      <c r="DG48" s="185" t="s">
        <v>1070</v>
      </c>
      <c r="DH48" s="180" t="b">
        <v>0</v>
      </c>
      <c r="DI48" s="187" t="str">
        <f>IFERROR(__xludf.DUMMYFUNCTION("SWITCH(
  IF(
    ISTEXT(DI47),
    IF (
      FIND(""○"", DI47&amp;""○"") &gt; 3,
      3,
      FIND(""○"", DI47&amp;""○"")
      + MAX(
        ROUNDDOWN(($D48 - MAX(IFERROR(FILTER(D$24:D47, DI$24:DI47 &lt;&gt; ""●●●"", DI$23:DI46 = ""●●●""), 0))) * (60 * 60 * 24) / 20"&amp;") - ROUNDDOWN(($D47 - MAX(IFERROR(FILTER(D$23:D46, DI$23:DI46 &lt;&gt; ""●●●"", DI$22:DI45 = ""●●●""), 0))) * (60 * 60 * 24) / 20),
        0
      ) - 1
    ) - COUNTIFS(CU48, ""=TRUE"", CU47, ""&lt;&gt;TRUE"") - COUNTIF(CZ48, ""=TRUE"") - COUNTIF({DD48,DE48}, ""&lt;&gt;-"&amp;""") + COUNTIF(DH48, ""=TRUE""),
    3
  ),
  0, ""○○○"", 1, ""●○○"", 2, ""●●○"", 3, ""●●●"", 4, ""●●●"", ""○○○""
)"),"●●●")</f>
        <v>●●●</v>
      </c>
      <c r="DJ48" s="188" t="b">
        <v>0</v>
      </c>
      <c r="DK48" s="189" t="b">
        <v>0</v>
      </c>
      <c r="DL48" s="190" t="b">
        <v>0</v>
      </c>
      <c r="DM48" s="190" t="b">
        <v>0</v>
      </c>
      <c r="DN48" s="190" t="b">
        <v>0</v>
      </c>
      <c r="DO48" s="190" t="b">
        <v>0</v>
      </c>
      <c r="DP48" s="190" t="b">
        <v>0</v>
      </c>
      <c r="DQ48" s="191" t="b">
        <v>0</v>
      </c>
      <c r="DR48" s="192" t="b">
        <v>0</v>
      </c>
      <c r="DS48" s="191" t="b">
        <v>0</v>
      </c>
      <c r="DT48" s="192" t="b">
        <v>0</v>
      </c>
      <c r="DU48" s="191" t="b">
        <v>0</v>
      </c>
      <c r="DV48" s="193" t="s">
        <v>1070</v>
      </c>
      <c r="DW48" s="194" t="b">
        <v>0</v>
      </c>
      <c r="DX48" s="194" t="b">
        <v>0</v>
      </c>
      <c r="DY48" s="195" t="b">
        <v>0</v>
      </c>
      <c r="DZ48" s="196" t="b">
        <v>0</v>
      </c>
      <c r="EA48" s="195" t="b">
        <v>0</v>
      </c>
      <c r="EB48" s="197" t="b">
        <v>0</v>
      </c>
      <c r="EC48" s="197" t="b">
        <v>0</v>
      </c>
      <c r="ED48" s="212" t="b">
        <v>0</v>
      </c>
      <c r="EE48" s="199">
        <f>IFERROR(__xludf.DUMMYFUNCTION("IFERROR(
   PRODUCT(
     MAP(
       INDEX(TRANSPOSE(UNIQUE(TRANSPOSE(FILTER({IF($F48=""Physical"", K$10:ED$10, IF($F48=""Magic"", K$11:ED$11, K$12:ED$12));K$4:ED$4;K48:ED48}, K48:ED48=TRUE)))), 1, 0),
       INDEX(TRANSPOSE(UNIQUE(TRANSPOSE(FILTER({IF($"&amp;"F48=""Physical"", K$18:ED$18, IF($F48=""Magic"", K$19:ED$19, K$20:ED$20));K$4:ED$4;K48:ED48}, K48:ED48=TRUE)))), 1, 0),
       INDEX(TRANSPOSE(UNIQUE(TRANSPOSE(FILTER({K$5:ED$5;K$4:ED$4;K48:ED48}, K48:ED48=TRUE)))), 1, 0),
       INDEX(TRANSPOSE(UNIQUE(TR"&amp;"ANSPOSE(FILTER({K$17:ED$17;K$4:ED$4;K48:ED48}, K48:ED48=TRUE)))), 1, 0),
       LAMBDA(
         mitigation,
         enhance,
         assign,
         precondition,
         IF(
           REGEXMATCH(assign, ""RANGE_PARTY|SINGLE_ENEMY|RANGE_ENEMY""),
  "&amp;"         IF(
             OR(ARRAYFORMULA((IF(precondition="""", FALSE, REGEXMATCH(K$4:ED$4, precondition))) * (K48:ED48=TRUE))),
             IF(ISNUMBER(enhance), enhance, 1),
             IF(ISNUMBER(mitigation), mitigation, 1)
           ),
          "&amp;" 1
         )
       )
     )
   ),
   1
 )"),1.0)</f>
        <v>1</v>
      </c>
      <c r="EF48" s="200">
        <f>IFERROR(__xludf.DUMMYFUNCTION("PRODUCT(
   MAP(
     K$14:ED$14,
     K$13:ED$13,
     K48:ED48,
     LAMBDA(
       buff,
       target,
       check,
       IF(
         AND(check=TRUE, REGEXMATCH(target, ""RANGE_AFFECTED_ALL|RANGE_EFFECTED_ALL""), ISNUMBER(buff)),
         buff,
   "&amp;"      1
       )
     )
   )
 )"),1.0)</f>
        <v>1</v>
      </c>
      <c r="EG48" s="200">
        <f>IFERROR(__xludf.DUMMYFUNCTION("PRODUCT(
   MAP(
     K$14:ED$14,
     K$13:ED$13,
     K48:ED48,
     LAMBDA(
       buff,
       target,
       check,
       IF(
         AND(check=TRUE, REGEXMATCH(target, ""RANGE_AFFECTED_GCD|RANGE_EFFECTED_GCD""), ISNUMBER(buff)),
         buff,
   "&amp;"      1
       )
     )
   )
 )"),1.0)</f>
        <v>1</v>
      </c>
      <c r="EH48" s="200">
        <f>IFERROR(__xludf.DUMMYFUNCTION("PRODUCT(
   MAP(
     K$3:ED$3,
     K$14:ED$14,
     K$13:ED$13,
     K48:ED48,
     LAMBDA(
       job,
       buff,
       target,
       check,
       IF(
         AND(check=TRUE, REGEXMATCH(target, ""SELF_EFFECTED_ALL""), ISNUMBER(buff), job=""白魔道士"""&amp;"),
         buff,
         1
       )
     )
   )
 )"),1.0)</f>
        <v>1</v>
      </c>
      <c r="EI48" s="200">
        <f>IFERROR(__xludf.DUMMYFUNCTION("PRODUCT(
   MAP(
     K$3:ED$3,
     K$14:ED$14,
     K$13:ED$13,
     K48:ED48,
     LAMBDA(
       job,
       buff,
       target,
       check,
       IF(
         AND(check=TRUE, REGEXMATCH(target, ""SELF_EFFECTED_GCD""), ISNUMBER(buff), job=""白魔道士"""&amp;"),
         buff,
         1
       )
     )
   )
 )"),1.0)</f>
        <v>1</v>
      </c>
      <c r="EJ48" s="200">
        <f>IFERROR(__xludf.DUMMYFUNCTION("PRODUCT(
   MAP(
     K$3:ED$3,
     K$14:ED$14,
     K$13:ED$13,
     K48:ED48,
     LAMBDA(
       job,
       buff,
       target,
       check,
       IF(
         AND(check=TRUE, REGEXMATCH(target, ""SELF_EFFECTED_ALL""), ISNUMBER(buff), job=""占星術師"""&amp;"),
         buff,
         1
       )
     )
   )
 )"),1.0)</f>
        <v>1</v>
      </c>
      <c r="EK48" s="200">
        <f>IFERROR(__xludf.DUMMYFUNCTION("PRODUCT(
   MAP(
     K$3:ED$3,
     K$14:ED$14,
     K$13:ED$13,
     K48:ED48,
     LAMBDA(
       job,
       buff,
       target,
       check,
       IF(
         AND(check=TRUE, REGEXMATCH(target, ""SELF_EFFECTED_GCD""), ISNUMBER(buff), job=""占星術師"""&amp;"),
         buff,
         1
       )
     )
   )
 )"),1.0)</f>
        <v>1</v>
      </c>
      <c r="EL48" s="200">
        <f>IFERROR(__xludf.DUMMYFUNCTION("PRODUCT(
   MAP(
     K$3:ED$3,
     K$14:ED$14,
     K$13:ED$13,
     K48:ED48,
     LAMBDA(
       job,
       buff,
       target,
       check,
       IF(
         AND(check=TRUE, REGEXMATCH(target, ""SELF_EFFECTED_ALL""), ISNUMBER(buff), job=""学者""),"&amp;"
         buff,
         1
       )
     )
   )
 )"),1.0)</f>
        <v>1</v>
      </c>
      <c r="EM48" s="200">
        <f>IFERROR(__xludf.DUMMYFUNCTION("PRODUCT(
   MAP(
     K$3:ED$3,
     K$14:ED$14,
     K$13:ED$13,
     K48:ED48,
     LAMBDA(
       job,
       buff,
       target,
       check,
       IF(
         AND(check=TRUE, REGEXMATCH(target, ""SELF_EFFECTED_GCD""), ISNUMBER(buff), job=""学者""),"&amp;"
         buff,
         1
       )
     )
   )
 )"),1.0)</f>
        <v>1</v>
      </c>
      <c r="EN48" s="200">
        <f>IFERROR(__xludf.DUMMYFUNCTION("PRODUCT(
   MAP(
     K$3:ED$3,
     K$14:ED$14,
     K$13:ED$13,
     K48:ED48,
     LAMBDA(
       job,
       buff,
       target,
       check,
       IF(
         AND(check=TRUE, REGEXMATCH(target, ""SELF_EFFECTED_ALL""), ISNUMBER(buff), job=""賢者""),"&amp;"
         buff,
         1
       )
     )
   )
 )"),1.0)</f>
        <v>1</v>
      </c>
      <c r="EO48" s="200">
        <f>IFERROR(__xludf.DUMMYFUNCTION("PRODUCT(
   MAP(
     K$3:ED$3,
     K$14:ED$14,
     K$13:ED$13,
     K48:ED48,
     LAMBDA(
       job,
       buff,
       target,
       check,
       IF(
         AND(check=TRUE, REGEXMATCH(target, ""SELF_EFFECTED_GCD""), ISNUMBER(buff), job=""賢者""),"&amp;"
         buff,
         1
       )
     )
   )
 )"),1.0)</f>
        <v>1</v>
      </c>
      <c r="EP48" s="201">
        <f t="shared" si="3"/>
        <v>0</v>
      </c>
      <c r="EQ48" s="201">
        <f>IFERROR(__xludf.DUMMYFUNCTION("SUM(
   MAP(
     K$4:ED$4,
     K$3:ED$3,
     K$7:ED$7,
     K$15:ED$15,
     K$16:ED$16,
     K$21:ED$21,
     K$5:ED$5,
     K$17:ED$17,
     K48:ED48,
     LAMBDA(
       name,
       job,
       abillity,
       buff,
       barrier,
       enhance,"&amp;"
       assign,
       precondition,
       check,
       SWITCH(
         name,
         ""シェイクオフ"", IF(check=TRUE, buff + (0.02 * COUNTIF(ARRAYFORMULA((REGEXMATCH($K$4:$ED$4, ""スリル・オブ・バトル|ヴェンジェンス|原初の血気|ダムネーション"")) * (K48:ED48=TRUE)), 1)), 0),
         "&amp;"""インプロビゼーションフィニッシュ(踊りの激情0)"", IF(ISNUMBER(check), INDEX(Skill!$AJ:$AJ, MATCH(SUBSTITUTE(DV$4, 0, check), Skill!$C:$C, 0)), 0),
         IF(
           AND(check=TRUE, REGEXMATCH(assign, ""RANGE_PARTY"")),
           IF(
             OR(ARRAYFORMULA((IF(pr"&amp;"econdition="""", FALSE, REGEXMATCH($K$4:$ED$4, precondition))) * (K48:ED48=TRUE))),
             enhance,
             IF(barrier="""", buff, barrier)
           ),
           0
         )
       ) *
       SWITCH(
         job,
         ""ナイト"", EY$24,
 "&amp;"        ""戦士"", FD$24,
         ""踊り子"", ET$24,
         ""ピクトマンサー"", ET$24,
         ""白魔道士"", EF48 * EH48 * IF(abillity, 1, EG48 * EI48) * (Option!$D$22 * 0.81 / 100),
         ""占星術師"", EF48 * EJ48 * IF(abillity, 1, EG48 * EK48) * (Option!$D$23 * 0.81 "&amp;"/ 100),
         ""学者"", EF48 * EL48 * IF(abillity, 1, EG48 * EM48) * (Option!$D$24 * 0.81 / 100),
         ""賢者"", EF48 * EN48 * IF(abillity, 1, EG48 * EO48) * (Option!$D$25 * 0.81 / 100),
         1
       )
     )
   )
 )"),0.0)</f>
        <v>0</v>
      </c>
      <c r="ER48" s="202">
        <f t="shared" si="4"/>
        <v>0</v>
      </c>
      <c r="ES48" s="203">
        <f t="shared" si="5"/>
        <v>0</v>
      </c>
      <c r="ET48" s="231" t="str">
        <f>IFERROR(__xludf.DUMMYFUNCTION("IFS(
  EP48 &gt; $ET$24 + EQ48,
  SPARKLINE({ 1, 0 }, {""charttype"",""bar"";""max"", 1;""color1"",Option!$D$30;""color2"",Option!$D$30}),
  EP48 &lt; EQ48,
  SPARKLINE({EQ48 - EP48, $ET$24 - (EQ48 - EP48)}, {""charttype"",""bar"";""max"",$ET$24;""color1"",Opti"&amp;"on!$D$28;""color2"",Option!$D$29}),
  EP48 &gt;= EQ48,
  SPARKLINE({$ET$24 + EQ48 - EP48,EP48 - EQ48}, {""charttype"",""bar"";""max"",$ET$24;""color1"",Option!$D$29;""color2"",Option!$D$30})
)"),"")</f>
        <v/>
      </c>
      <c r="EU48" s="205">
        <f>IFERROR(__xludf.DUMMYFUNCTION("PRODUCT(
   MAP(
     IF($F48=""Physical"", K$10:ED$10, IF($F48=""Magic"", K$11:ED$11, K$12:ED$12)),
     IF($F48=""Physical"", K$18:ED$18, IF($F48=""Magic"", K$19:ED$19, K$20:ED$20)),
     K$3:ED$3,
     K$5:ED$5,
     K$17:ED$17,
     K48:ED48,
     LAM"&amp;"BDA(
       mitigation,
       enhance,
       job,
       assign,
       precondition,
       check,
       IF(
         OR(AND(check=TRUE, REGEXMATCH(assign, ""SELF""), job=""ナイト""), AND(check=Option!$E$13, REGEXMATCH(assign, ""SINGLE_PARTY""))),
      "&amp;"   IF(
           OR(ARRAYFORMULA((IF(precondition="""", FALSE, REGEXMATCH($K$4:$ED$4, precondition))) * (K48:ED48=TRUE))),
           enhance,
           mitigation
         ),
         1
       )
     )
   )
 ) * EE48"),1.0)</f>
        <v>1</v>
      </c>
      <c r="EV48" s="206">
        <f t="shared" si="6"/>
        <v>0</v>
      </c>
      <c r="EW48" s="205">
        <f>IFERROR(__xludf.DUMMYFUNCTION("PRODUCT(
   MAP(
     K$3:ED$3,
     K$14:ED$14,
     K$13:ED$13,
     K48:ED48,
     LAMBDA(
       job,
       buff,
       target,
       check,
       IF(
         OR(AND(check=TRUE, REGEXMATCH(target, ""SELF_AFFECTED_ALL""), job=""ナイト""), AND(check=O"&amp;"ption!$E$13, REGEXMATCH(target, ""SINGLE_AFFECTED_ALL""))),
         buff,
         1
       )
     )
   )
 )"),1.0)</f>
        <v>1</v>
      </c>
      <c r="EX48" s="206">
        <f>IFERROR(__xludf.DUMMYFUNCTION("SUM(
   MAP(
     K$3:ED$3,
     K$7:ED$7,
     K$15:ED$15,
     K$16:ED$16,
     K$21:ED$21,
     K$5:ED$5,
     K$17:ED$17,
     K48:ED48,
     LAMBDA(
       job,
       abillity,
       buff,
       barrier,
       enhance,
       assign,
       preco"&amp;"ndition,
       check,
       IF(
         OR(AND(check=TRUE, REGEXMATCH(assign, ""SELF""), job=""ナイト""), AND(check=Option!$E$13, REGEXMATCH(assign, ""SINGLE_PARTY""))),
         IF(
           OR(ARRAYFORMULA((IF(precondition="""", FALSE, REGEXMATCH($K$4"&amp;":$ED$4, precondition))) * (K48:ED48=TRUE))),
           enhance,
           IF(barrier="""", buff, barrier)
         ),
         0
       ) *
       SWITCH(
         job,
         ""暗黒騎士"", EY$24,
         ""白魔道士"", EF48 * EH48 * EW48 * IF(abillity, 1, EG"&amp;"48 * EI48) * (Option!$D$22 * 0.81 / 100),
         ""占星術師"", EF48 * EJ48 * EW48 * IF(abillity, 1, EG48 * EK48) * (Option!$D$23 * 0.81 / 100),
         ""学者"", EF48 * EL48 * EW48 * IF(abillity, 1, EG48 * EM48) * (Option!$D$24 * 0.81 / 100),
         ""賢者"""&amp;", EF48 * EN48 * EW48 * IF(abillity, 1, EG48 * EO48) * (Option!$D$25 * 0.81 / 100),
         1
       )
     )
   )
 ) + EQ48"),0.0)</f>
        <v>0</v>
      </c>
      <c r="EY48" s="232">
        <f t="shared" si="7"/>
        <v>0</v>
      </c>
      <c r="EZ48" s="205">
        <f>IFERROR(__xludf.DUMMYFUNCTION("PRODUCT(
   MAP(
     IF($F48=""Physical"", K$10:ED$10, IF($F48=""Magic"", K$11:ED$11, K$12:ED$12)),
     IF($F48=""Physical"", K$18:ED$18, IF($F48=""Magic"", K$19:ED$19, K$20:ED$20)),
     K$3:ED$3,
     K$5:ED$5,
     K$17:ED$17,
     K48:ED48,
     LAM"&amp;"BDA(
       mitigation,
       enhance,
       job,
       assign,
       precondition,
       check,
       IF(
         OR(AND(check=TRUE, REGEXMATCH(assign, ""SELF""), job=""戦士""), AND(check=Option!$F$13, REGEXMATCH(assign, ""SINGLE_PARTY""))),
       "&amp;"  IF(
           OR(ARRAYFORMULA((IF(precondition="""", FALSE, REGEXMATCH($K$4:$ED$4, precondition))) * (K48:ED48=TRUE))),
           enhance,
           mitigation
         ),
         1
       )
     )
   )
 ) * EE48"),1.0)</f>
        <v>1</v>
      </c>
      <c r="FA48" s="206">
        <f t="shared" si="8"/>
        <v>0</v>
      </c>
      <c r="FB48" s="205">
        <f>IFERROR(__xludf.DUMMYFUNCTION("PRODUCT(
   MAP(
     K$3:ED$3,
     K$14:ED$14,
     K$13:ED$13,
     K48:ED48,
     LAMBDA(
       job,
       buff,
       target,
       check,
       IF(
         OR(AND(check=TRUE, REGEXMATCH(target, ""SELF_AFFECTED_ALL""), job=""戦士""), AND(check=Op"&amp;"tion!$F$13, REGEXMATCH(target, ""SINGLE_AFFECTED_ALL""))),
         buff,
         1
       )
     )
   )
 )"),1.0)</f>
        <v>1</v>
      </c>
      <c r="FC48" s="206">
        <f>IFERROR(__xludf.DUMMYFUNCTION("SUM(
   MAP(
     K$3:ED$3,
     K$7:ED$7,
     K$15:ED$15,
     K$16:ED$16,
     K$21:ED$21,
     K$5:ED$5,
     K$17:ED$17,
     K48:ED48,
     LAMBDA(
       job,
       abillity,
       buff,
       barrier,
       enhance,
       assign,
       preco"&amp;"ndition,
       check,
       IF(
         OR(AND(check=TRUE, REGEXMATCH(assign, ""SELF""), job=""戦士""), AND(check=Option!$F$13, REGEXMATCH(assign, ""SINGLE_PARTY""))),
         IF(
           OR(ARRAYFORMULA((IF(precondition="""", FALSE, REGEXMATCH($K$4:"&amp;"$ED$4, precondition))) * (K48:ED48=TRUE))),
           enhance,
           IF(barrier="""", buff, barrier)
         ),
         0
       ) *
       SWITCH(
         job,
         ""暗黒騎士"", FD$24,
         ""白魔道士"", EF48 * EH48 * FB48 * IF(abillity, 1, EG4"&amp;"8 * EI48) * (Option!$D$22 * 0.81 / 100),
         ""占星術師"", EF48 * EJ48 * FFB48 * IF(abillity, 1, EG48 * EK48) * (Option!$D$23 * 0.81 / 100),
         ""学者"", EF48 * EL48 * FB48 * IF(abillity, 1, EG48 * EM48) * (Option!$D$24 * 0.81 / 100),
         ""賢者"""&amp;", EF48 * EN48 * FB48 * IF(abillity, 1, EG48 * EO48) * (Option!$D$25 * 0.81 / 100),
         1
       )
     )
   )
 ) + EQ48"),0.0)</f>
        <v>0</v>
      </c>
      <c r="FD48" s="206">
        <f t="shared" si="9"/>
        <v>0</v>
      </c>
      <c r="FE48" s="205">
        <f>IFERROR(__xludf.DUMMYFUNCTION("PRODUCT(
   MAP(
     IF($F48=""Physical"", K$10:ED$10, IF($F48=""Magic"", K$11:ED$11, K$12:ED$12)),
     IF($F48=""Physical"", K$18:ED$18, IF($F48=""Magic"", K$19:ED$19, K$20:ED$20)),
     K$3:ED$3,
     K$5:ED$5,
     K$17:ED$17,
     K48:ED48,
     LAM"&amp;"BDA(
       mitigation,
       enhance,
       job,
       assign,
       precondition,
       check,
       IF(
         OR(AND(check=TRUE, REGEXMATCH(assign, ""SELF""), job=""暗黒騎士""), AND(check=Option!$G$13, REGEXMATCH(assign, ""SINGLE_PARTY""))),
     "&amp;"    IF(
           OR(ARRAYFORMULA((IF(precondition="""", FALSE, REGEXMATCH($K$4:$ED$4, precondition))) * (K48:ED48=TRUE))),
           enhance,
           mitigation
         ),
         1
       )
     )
   )
 ) * EE48"),1.0)</f>
        <v>1</v>
      </c>
      <c r="FF48" s="206">
        <f t="shared" si="10"/>
        <v>0</v>
      </c>
      <c r="FG48" s="205">
        <f>IFERROR(__xludf.DUMMYFUNCTION("PRODUCT(
   MAP(
     K$3:ED$3,
     K$14:ED$14,
     K$13:ED$13,
     K48:ED48,
     LAMBDA(
       job,
       buff,
       target,
       check,
       IF(
         OR(AND(check=TRUE, REGEXMATCH(target, ""SELF_AFFECTED_ALL""), job=""暗黒騎士""), AND(check="&amp;"Option!$G$13, REGEXMATCH(target, ""SINGLE_AFFECTED_ALL""))),
         buff,
         1
       )
     )
   )
 )"),1.0)</f>
        <v>1</v>
      </c>
      <c r="FH48" s="206">
        <f>IFERROR(__xludf.DUMMYFUNCTION("SUM(
   MAP(
     K$3:ED$3,
     K$7:ED$7,
     K$15:ED$15,
     K$16:ED$16,
     K$21:ED$21,
     K$5:ED$5,
     K$17:ED$17,
     K48:ED48,
     LAMBDA(
       job,
       abillity,
       buff,
       barrier,
       enhance,
       assign,
       preco"&amp;"ndition,
       check,
       IF(
         OR(AND(check=TRUE, REGEXMATCH(assign, ""SELF""), job=""暗黒騎士""), AND(check=Option!$G$13, REGEXMATCH(assign, ""SINGLE_PARTY""))),
         IF(
           OR(ARRAYFORMULA((IF(precondition="""", FALSE, REGEXMATCH($K$"&amp;"4:$ED$4, precondition))) * (K48:ED48=TRUE))),
           enhance,
           IF(barrier="""", buff, barrier)
         ),
         0
       ) *
       SWITCH(
         job,
         ""暗黒騎士"", FI$24,
         ""白魔道士"", EF48 * EH48 * FG48 * IF(abillity, 1, E"&amp;"G48 * EI48) * (Option!$D$22 * 0.81 / 100),
         ""占星術師"", EF48 * EJ48 * FG48 * IF(abillity, 1, EG48 * EK48) * (Option!$D$23 * 0.81 / 100),
         ""学者"", EF48 * EL48 * FG48 * IF(abillity, 1, EG48 * EM48) * (Option!$D$24 * 0.81 / 100),
         ""賢者"&amp;""", EF48 * EN48 * FG48 * IF(abillity, 1, EG48 * EO48) * (Option!$D$25 * 0.81 / 100),
         1
       )
     )
   )
 ) + EQ48"),0.0)</f>
        <v>0</v>
      </c>
      <c r="FI48" s="206">
        <f t="shared" si="11"/>
        <v>0</v>
      </c>
      <c r="FJ48" s="205">
        <f>IFERROR(__xludf.DUMMYFUNCTION("PRODUCT(
   MAP(
     IF($F48=""Physical"", K$10:ED$10, IF($F48=""Magic"", K$11:ED$11, K$12:ED$12)),
     IF($F48=""Physical"", K$18:ED$18, IF($F48=""Magic"", K$19:ED$19, K$20:ED$20)),
     K$3:ED$3,
     K$5:ED$5,
     K$17:ED$17,
     K48:ED48,
     LAM"&amp;"BDA(
       mitigation,
       enhance,
       job,
       assign,
       precondition,
       check,
       IF(
         OR(AND(check=TRUE, REGEXMATCH(assign, ""SELF""), job=""ガンブレイカー""), AND(check=Option!$H$13, REGEXMATCH(assign, ""SINGLE_PARTY""))),
  "&amp;"       IF(
           OR(ARRAYFORMULA((IF(precondition="""", FALSE, REGEXMATCH($K$4:$ED$4, precondition))) * (K48:ED48=TRUE))),
           enhance,
           mitigation
         ),
         1
       )
     )
   )
 ) * EE48"),1.0)</f>
        <v>1</v>
      </c>
      <c r="FK48" s="206">
        <f t="shared" si="12"/>
        <v>0</v>
      </c>
      <c r="FL48" s="205">
        <f>IFERROR(__xludf.DUMMYFUNCTION("PRODUCT(
   MAP(
     K$3:ED$3,
     K$14:ED$14,
     K$13:ED$13,
     K48:ED48,
     LAMBDA(
       job,
       buff,
       target,
       check,
       IF(
         OR(AND(check=TRUE, REGEXMATCH(target, ""SELF_AFFECTED_ALL""), job=""ガンブレイカー""), AND(che"&amp;"ck=Option!$H$13, REGEXMATCH(target, ""SINGLE_AFFECTED_ALL""))),
         buff,
         1
       )
     )
   )
 )"),1.0)</f>
        <v>1</v>
      </c>
      <c r="FM48" s="206">
        <f>IFERROR(__xludf.DUMMYFUNCTION("SUM(
   MAP(
     K$3:ED$3,
     K$7:ED$7,
     K$15:ED$15,
     K$16:ED$16,
     K$21:ED$21,
     K$5:ED$5,
     K$17:ED$17,
     K48:ED48,
     LAMBDA(
       job,
       abillity,
       buff,
       barrier,
       enhance,
       assign,
       preco"&amp;"ndition,
       check,
       IF(
         OR(AND(check=TRUE, REGEXMATCH(assign, ""SELF""), job=""ガンブレイカー""), AND(check=Option!$H$13, REGEXMATCH(assign, ""SINGLE_PARTY""))),
         IF(
           OR(ARRAYFORMULA((IF(precondition="""", FALSE, REGEXMATCH("&amp;"$K$4:$ED$4, precondition))) * (K48:ED48=TRUE))),
           enhance,
           IF(barrier="""", buff, barrier)
         ),
         0
       ) *
       SWITCH(
         job,
         ""暗黒騎士"", FN$24,
         ""白魔道士"", EF48 * EH48 * FL48 * IF(abillity, 1"&amp;", EG48 * EI48) * (Option!$D$22 * 0.81 / 100),
         ""占星術師"", EF48 * EJ48 * FL48 * IF(abillity, 1, EG48 * EK48) * (Option!$D$23 * 0.81 / 100),
         ""学者"", EF48 * EL48 * FL48 * IF(abillity, 1, EG48 * EM48) * (Option!$D$24 * 0.81 / 100),
         """&amp;"賢者"", EF48 * EN48 * FL48 * IF(abillity, 1, EG48 * EO48) * (Option!$D$25 * 0.81 / 100),
         1
       )
     )
   )
 ) + EQ48"),0.0)</f>
        <v>0</v>
      </c>
      <c r="FN48" s="206">
        <f t="shared" si="13"/>
        <v>0</v>
      </c>
      <c r="FO48" s="213"/>
    </row>
    <row r="49">
      <c r="B49" s="229"/>
      <c r="C49" s="217">
        <f t="shared" si="1"/>
        <v>0.00380787037</v>
      </c>
      <c r="D49" s="236"/>
      <c r="E49" s="238"/>
      <c r="F49" s="167"/>
      <c r="G49" s="168" t="str">
        <f t="shared" si="2"/>
        <v/>
      </c>
      <c r="H49" s="169"/>
      <c r="I49" s="169"/>
      <c r="J49" s="169"/>
      <c r="K49" s="170" t="b">
        <v>0</v>
      </c>
      <c r="L49" s="170" t="b">
        <v>0</v>
      </c>
      <c r="M49" s="170" t="b">
        <v>0</v>
      </c>
      <c r="N49" s="171" t="s">
        <v>1070</v>
      </c>
      <c r="O49" s="172" t="b">
        <v>0</v>
      </c>
      <c r="P49" s="173" t="b">
        <v>0</v>
      </c>
      <c r="Q49" s="173" t="b">
        <v>0</v>
      </c>
      <c r="R49" s="173" t="b">
        <v>0</v>
      </c>
      <c r="S49" s="174" t="b">
        <v>0</v>
      </c>
      <c r="T49" s="175" t="b">
        <v>0</v>
      </c>
      <c r="U49" s="173" t="b">
        <v>0</v>
      </c>
      <c r="V49" s="171" t="s">
        <v>1070</v>
      </c>
      <c r="W49" s="172" t="b">
        <v>0</v>
      </c>
      <c r="X49" s="173" t="b">
        <v>0</v>
      </c>
      <c r="Y49" s="173" t="b">
        <v>0</v>
      </c>
      <c r="Z49" s="173" t="b">
        <v>0</v>
      </c>
      <c r="AA49" s="174" t="b">
        <v>0</v>
      </c>
      <c r="AB49" s="174" t="b">
        <v>0</v>
      </c>
      <c r="AC49" s="175" t="b">
        <v>0</v>
      </c>
      <c r="AD49" s="173" t="b">
        <v>0</v>
      </c>
      <c r="AE49" s="176" t="s">
        <v>1070</v>
      </c>
      <c r="AF49" s="171" t="s">
        <v>1070</v>
      </c>
      <c r="AG49" s="177">
        <f>IFERROR(__xludf.DUMMYFUNCTION("IF(
  ISNUMBER(AG48),
  MIN(MAX(
    AG48
    + MAX(
      ROUNDDOWN(($D49 - MAX(IFERROR(FILTER($D$24:$D48, AG$24:AG48 &lt;&gt; AF$6, AG$23:AG47 = AF$6), 0))) * (60 * 60 * 24) / AF$9) - ROUNDDOWN(($D48 - MAX(IFERROR(FILTER($D$23:$D47, AG$23:AG47 &lt;&gt; AF$6, AG$22:"&amp;"AG46 = AF$6), 0))) * (60 * 60 * 24) / 60),
      0
    )
    - COUNTIF(AF49, ""&lt;&gt;-""),
  0), AF$6),
  AF$6 - COUNTIF(AF49, ""&lt;&gt;-"")
)"),2.0)</f>
        <v>2</v>
      </c>
      <c r="AH49" s="173" t="b">
        <v>0</v>
      </c>
      <c r="AI49" s="173" t="b">
        <v>0</v>
      </c>
      <c r="AJ49" s="173" t="b">
        <v>0</v>
      </c>
      <c r="AK49" s="174" t="b">
        <v>0</v>
      </c>
      <c r="AL49" s="175" t="b">
        <v>0</v>
      </c>
      <c r="AM49" s="173" t="b">
        <v>0</v>
      </c>
      <c r="AN49" s="171" t="s">
        <v>1070</v>
      </c>
      <c r="AO49" s="173" t="b">
        <v>0</v>
      </c>
      <c r="AP49" s="173" t="b">
        <v>0</v>
      </c>
      <c r="AQ49" s="173" t="b">
        <v>0</v>
      </c>
      <c r="AR49" s="174" t="b">
        <v>0</v>
      </c>
      <c r="AS49" s="178" t="b">
        <v>0</v>
      </c>
      <c r="AT49" s="179" t="b">
        <v>0</v>
      </c>
      <c r="AU49" s="180" t="b">
        <v>0</v>
      </c>
      <c r="AV49" s="180" t="b">
        <v>0</v>
      </c>
      <c r="AW49" s="180" t="b">
        <v>0</v>
      </c>
      <c r="AX49" s="180" t="b">
        <v>0</v>
      </c>
      <c r="AY49" s="181" t="s">
        <v>1070</v>
      </c>
      <c r="AZ49" s="181" t="s">
        <v>1070</v>
      </c>
      <c r="BA49" s="184">
        <f>IFERROR(__xludf.DUMMYFUNCTION("IF(
  ISNUMBER(BA48),
  MIN(MAX(
    BA48
    + MAX(
      ROUNDDOWN((D49 - MAX(IFERROR(FILTER(D$24:D48, BA$24:BA48 &lt;&gt; AZ$6, BA$23:BA47 = AZ$6), 0))) * (60 * 60 * 24) / AZ$9) - ROUNDDOWN((D48 - MAX(IFERROR(FILTER(D$23:D47, BA$23:BA47 &lt;&gt; AZ$6, BA$22:BA46 ="&amp;" AZ$6), 0))) * (60 * 60 * 24) / AZ$9),
      0
    )
    - COUNTIF(AZ49, ""&lt;&gt;-""),
  0), AZ$6),
  AZ$6 - COUNTIF(AZ49, ""&lt;&gt;-"")
)"),2.0)</f>
        <v>2</v>
      </c>
      <c r="BB49" s="181" t="s">
        <v>1070</v>
      </c>
      <c r="BC49" s="183">
        <f>IFERROR(__xludf.DUMMYFUNCTION("IF(
  ISNUMBER(BC48),
  MIN(MAX(
    BC48
    + MAX(
      ROUNDDOWN(($D49 - MAX(IFERROR(FILTER($D$24:$D48, BC$24:BC48 &lt;&gt; BB$6, BC$23:BC47 = BB$6), 0))) * (60 * 60 * 24) / BB$9) - ROUNDDOWN(($D48 - MAX(IFERROR(FILTER($D$23:$D47, BC$23:BC47 &lt;&gt; BB$6, BC$22:"&amp;"BC46 = BB$6), 0))) * (60 * 60 * 24) / 60),
      0
    )
    - COUNTIF(BB49, ""&lt;&gt;-""),
  0), BB$6),
  BB$6 - COUNTIF(BB49, ""&lt;&gt;-"")
)"),2.0)</f>
        <v>2</v>
      </c>
      <c r="BD49" s="181" t="s">
        <v>1070</v>
      </c>
      <c r="BE49" s="178" t="b">
        <v>0</v>
      </c>
      <c r="BF49" s="180" t="b">
        <v>0</v>
      </c>
      <c r="BG49" s="180" t="b">
        <v>0</v>
      </c>
      <c r="BH49" s="180" t="b">
        <v>0</v>
      </c>
      <c r="BI49" s="180" t="b">
        <v>0</v>
      </c>
      <c r="BJ49" s="180" t="b">
        <v>0</v>
      </c>
      <c r="BK49" s="180" t="b">
        <v>0</v>
      </c>
      <c r="BL49" s="180" t="b">
        <v>0</v>
      </c>
      <c r="BM49" s="180" t="b">
        <v>0</v>
      </c>
      <c r="BN49" s="180" t="b">
        <v>0</v>
      </c>
      <c r="BO49" s="181" t="s">
        <v>1070</v>
      </c>
      <c r="BP49" s="181" t="s">
        <v>1070</v>
      </c>
      <c r="BQ49" s="181" t="s">
        <v>1070</v>
      </c>
      <c r="BR49" s="181" t="s">
        <v>1070</v>
      </c>
      <c r="BS49" s="181" t="s">
        <v>1070</v>
      </c>
      <c r="BT49" s="184">
        <f>IFERROR(__xludf.DUMMYFUNCTION("IF(
  ISNUMBER(BT48),
  MIN(MAX(
    BT48
    + MAX(
      ROUNDDOWN((D49 - MAX(IFERROR(FILTER(D$24:D48, BT$24:BT48 &lt;&gt; BS$6, BT$23:BT47 = BS$6), 0))) * (60 * 60 * 24) / BS$9) - ROUNDDOWN((D48 - MAX(IFERROR(FILTER(D$23:D47, BT$23:BT47 &lt;&gt; BS$6, BT$22:BT46 ="&amp;" BS$6), 0))) * (60 * 60 * 24) / BS$9),
      0
    )
    - COUNTIF(BS49, ""&lt;&gt;-""),
  0), BS$6),
  BS$6 - COUNTIF(BS49, ""&lt;&gt;-"")
)"),3.0)</f>
        <v>3</v>
      </c>
      <c r="BU49" s="181" t="s">
        <v>1070</v>
      </c>
      <c r="BV49" s="181" t="s">
        <v>1070</v>
      </c>
      <c r="BW49" s="184">
        <f>IFERROR(__xludf.DUMMYFUNCTION("IF(
  ISNUMBER(BW48),
  MIN(MAX(
    BW48
    + MAX(
      ROUNDDOWN((D49 - MAX(IFERROR(FILTER(D$24:D48, BW$24:BW48 &lt;&gt; BV$6, BW$23:BW47 = BV$6), 0))) * (60 * 60 * 24) / BV$9) - ROUNDDOWN((D48 - MAX(IFERROR(FILTER(D$23:D47, BW$23:BW47 &lt;&gt; BV$6, BW$22:BW46 ="&amp;" BV$6), 0))) * (60 * 60 * 24) / BV$9),
      0
    )
    - COUNTIF(BV49, ""&lt;&gt;-""),
  0), BV$6),
  BV$6 - COUNTIF(BV49, ""&lt;&gt;-"")
)"),2.0)</f>
        <v>2</v>
      </c>
      <c r="BX49" s="185" t="s">
        <v>1070</v>
      </c>
      <c r="BY49" s="178" t="b">
        <v>0</v>
      </c>
      <c r="BZ49" s="180" t="b">
        <v>0</v>
      </c>
      <c r="CA49" s="180" t="b">
        <v>0</v>
      </c>
      <c r="CB49" s="180" t="b">
        <v>0</v>
      </c>
      <c r="CC49" s="180" t="b">
        <v>0</v>
      </c>
      <c r="CD49" s="180" t="b">
        <v>0</v>
      </c>
      <c r="CE49" s="180" t="b">
        <v>0</v>
      </c>
      <c r="CF49" s="180" t="b">
        <v>0</v>
      </c>
      <c r="CG49" s="180" t="b">
        <v>0</v>
      </c>
      <c r="CH49" s="180" t="b">
        <v>0</v>
      </c>
      <c r="CI49" s="180" t="b">
        <v>0</v>
      </c>
      <c r="CJ49" s="180" t="b">
        <v>0</v>
      </c>
      <c r="CK49" s="180" t="b">
        <v>0</v>
      </c>
      <c r="CL49" s="180" t="b">
        <v>0</v>
      </c>
      <c r="CM49" s="181" t="s">
        <v>1070</v>
      </c>
      <c r="CN49" s="181" t="s">
        <v>1070</v>
      </c>
      <c r="CO49" s="181" t="s">
        <v>1070</v>
      </c>
      <c r="CP49" s="181" t="s">
        <v>1070</v>
      </c>
      <c r="CQ49" s="185" t="s">
        <v>1070</v>
      </c>
      <c r="CR49" s="180" t="b">
        <v>0</v>
      </c>
      <c r="CS49" s="186" t="str">
        <f t="shared" si="14"/>
        <v>◇◇◇</v>
      </c>
      <c r="CT49" s="178" t="b">
        <v>0</v>
      </c>
      <c r="CU49" s="180" t="b">
        <v>0</v>
      </c>
      <c r="CV49" s="180" t="b">
        <v>0</v>
      </c>
      <c r="CW49" s="180" t="b">
        <v>0</v>
      </c>
      <c r="CX49" s="180" t="b">
        <v>0</v>
      </c>
      <c r="CY49" s="180" t="b">
        <v>0</v>
      </c>
      <c r="CZ49" s="180" t="b">
        <v>0</v>
      </c>
      <c r="DA49" s="180" t="b">
        <v>0</v>
      </c>
      <c r="DB49" s="180" t="b">
        <v>0</v>
      </c>
      <c r="DC49" s="180" t="b">
        <v>0</v>
      </c>
      <c r="DD49" s="181" t="s">
        <v>1070</v>
      </c>
      <c r="DE49" s="181" t="s">
        <v>1070</v>
      </c>
      <c r="DF49" s="181" t="s">
        <v>1070</v>
      </c>
      <c r="DG49" s="185" t="s">
        <v>1070</v>
      </c>
      <c r="DH49" s="180" t="b">
        <v>0</v>
      </c>
      <c r="DI49" s="187" t="str">
        <f>IFERROR(__xludf.DUMMYFUNCTION("SWITCH(
  IF(
    ISTEXT(DI48),
    IF (
      FIND(""○"", DI48&amp;""○"") &gt; 3,
      3,
      FIND(""○"", DI48&amp;""○"")
      + MAX(
        ROUNDDOWN(($D49 - MAX(IFERROR(FILTER(D$24:D48, DI$24:DI48 &lt;&gt; ""●●●"", DI$23:DI47 = ""●●●""), 0))) * (60 * 60 * 24) / 20"&amp;") - ROUNDDOWN(($D48 - MAX(IFERROR(FILTER(D$23:D47, DI$23:DI47 &lt;&gt; ""●●●"", DI$22:DI46 = ""●●●""), 0))) * (60 * 60 * 24) / 20),
        0
      ) - 1
    ) - COUNTIFS(CU49, ""=TRUE"", CU48, ""&lt;&gt;TRUE"") - COUNTIF(CZ49, ""=TRUE"") - COUNTIF({DD49,DE49}, ""&lt;&gt;-"&amp;""") + COUNTIF(DH49, ""=TRUE""),
    3
  ),
  0, ""○○○"", 1, ""●○○"", 2, ""●●○"", 3, ""●●●"", 4, ""●●●"", ""○○○""
)"),"●●●")</f>
        <v>●●●</v>
      </c>
      <c r="DJ49" s="188" t="b">
        <v>0</v>
      </c>
      <c r="DK49" s="189" t="b">
        <v>0</v>
      </c>
      <c r="DL49" s="190" t="b">
        <v>0</v>
      </c>
      <c r="DM49" s="190" t="b">
        <v>0</v>
      </c>
      <c r="DN49" s="190" t="b">
        <v>0</v>
      </c>
      <c r="DO49" s="190" t="b">
        <v>0</v>
      </c>
      <c r="DP49" s="190" t="b">
        <v>0</v>
      </c>
      <c r="DQ49" s="191" t="b">
        <v>0</v>
      </c>
      <c r="DR49" s="192" t="b">
        <v>0</v>
      </c>
      <c r="DS49" s="191" t="b">
        <v>0</v>
      </c>
      <c r="DT49" s="192" t="b">
        <v>0</v>
      </c>
      <c r="DU49" s="191" t="b">
        <v>0</v>
      </c>
      <c r="DV49" s="193" t="s">
        <v>1070</v>
      </c>
      <c r="DW49" s="194" t="b">
        <v>0</v>
      </c>
      <c r="DX49" s="194" t="b">
        <v>0</v>
      </c>
      <c r="DY49" s="195" t="b">
        <v>0</v>
      </c>
      <c r="DZ49" s="196" t="b">
        <v>0</v>
      </c>
      <c r="EA49" s="195" t="b">
        <v>0</v>
      </c>
      <c r="EB49" s="197" t="b">
        <v>0</v>
      </c>
      <c r="EC49" s="197" t="b">
        <v>0</v>
      </c>
      <c r="ED49" s="212" t="b">
        <v>0</v>
      </c>
      <c r="EE49" s="199">
        <f>IFERROR(__xludf.DUMMYFUNCTION("IFERROR(
   PRODUCT(
     MAP(
       INDEX(TRANSPOSE(UNIQUE(TRANSPOSE(FILTER({IF($F49=""Physical"", K$10:ED$10, IF($F49=""Magic"", K$11:ED$11, K$12:ED$12));K$4:ED$4;K49:ED49}, K49:ED49=TRUE)))), 1, 0),
       INDEX(TRANSPOSE(UNIQUE(TRANSPOSE(FILTER({IF($"&amp;"F49=""Physical"", K$18:ED$18, IF($F49=""Magic"", K$19:ED$19, K$20:ED$20));K$4:ED$4;K49:ED49}, K49:ED49=TRUE)))), 1, 0),
       INDEX(TRANSPOSE(UNIQUE(TRANSPOSE(FILTER({K$5:ED$5;K$4:ED$4;K49:ED49}, K49:ED49=TRUE)))), 1, 0),
       INDEX(TRANSPOSE(UNIQUE(TR"&amp;"ANSPOSE(FILTER({K$17:ED$17;K$4:ED$4;K49:ED49}, K49:ED49=TRUE)))), 1, 0),
       LAMBDA(
         mitigation,
         enhance,
         assign,
         precondition,
         IF(
           REGEXMATCH(assign, ""RANGE_PARTY|SINGLE_ENEMY|RANGE_ENEMY""),
  "&amp;"         IF(
             OR(ARRAYFORMULA((IF(precondition="""", FALSE, REGEXMATCH(K$4:ED$4, precondition))) * (K49:ED49=TRUE))),
             IF(ISNUMBER(enhance), enhance, 1),
             IF(ISNUMBER(mitigation), mitigation, 1)
           ),
          "&amp;" 1
         )
       )
     )
   ),
   1
 )"),1.0)</f>
        <v>1</v>
      </c>
      <c r="EF49" s="200">
        <f>IFERROR(__xludf.DUMMYFUNCTION("PRODUCT(
   MAP(
     K$14:ED$14,
     K$13:ED$13,
     K49:ED49,
     LAMBDA(
       buff,
       target,
       check,
       IF(
         AND(check=TRUE, REGEXMATCH(target, ""RANGE_AFFECTED_ALL|RANGE_EFFECTED_ALL""), ISNUMBER(buff)),
         buff,
   "&amp;"      1
       )
     )
   )
 )"),1.0)</f>
        <v>1</v>
      </c>
      <c r="EG49" s="200">
        <f>IFERROR(__xludf.DUMMYFUNCTION("PRODUCT(
   MAP(
     K$14:ED$14,
     K$13:ED$13,
     K49:ED49,
     LAMBDA(
       buff,
       target,
       check,
       IF(
         AND(check=TRUE, REGEXMATCH(target, ""RANGE_AFFECTED_GCD|RANGE_EFFECTED_GCD""), ISNUMBER(buff)),
         buff,
   "&amp;"      1
       )
     )
   )
 )"),1.0)</f>
        <v>1</v>
      </c>
      <c r="EH49" s="200">
        <f>IFERROR(__xludf.DUMMYFUNCTION("PRODUCT(
   MAP(
     K$3:ED$3,
     K$14:ED$14,
     K$13:ED$13,
     K49:ED49,
     LAMBDA(
       job,
       buff,
       target,
       check,
       IF(
         AND(check=TRUE, REGEXMATCH(target, ""SELF_EFFECTED_ALL""), ISNUMBER(buff), job=""白魔道士"""&amp;"),
         buff,
         1
       )
     )
   )
 )"),1.0)</f>
        <v>1</v>
      </c>
      <c r="EI49" s="200">
        <f>IFERROR(__xludf.DUMMYFUNCTION("PRODUCT(
   MAP(
     K$3:ED$3,
     K$14:ED$14,
     K$13:ED$13,
     K49:ED49,
     LAMBDA(
       job,
       buff,
       target,
       check,
       IF(
         AND(check=TRUE, REGEXMATCH(target, ""SELF_EFFECTED_GCD""), ISNUMBER(buff), job=""白魔道士"""&amp;"),
         buff,
         1
       )
     )
   )
 )"),1.0)</f>
        <v>1</v>
      </c>
      <c r="EJ49" s="200">
        <f>IFERROR(__xludf.DUMMYFUNCTION("PRODUCT(
   MAP(
     K$3:ED$3,
     K$14:ED$14,
     K$13:ED$13,
     K49:ED49,
     LAMBDA(
       job,
       buff,
       target,
       check,
       IF(
         AND(check=TRUE, REGEXMATCH(target, ""SELF_EFFECTED_ALL""), ISNUMBER(buff), job=""占星術師"""&amp;"),
         buff,
         1
       )
     )
   )
 )"),1.0)</f>
        <v>1</v>
      </c>
      <c r="EK49" s="200">
        <f>IFERROR(__xludf.DUMMYFUNCTION("PRODUCT(
   MAP(
     K$3:ED$3,
     K$14:ED$14,
     K$13:ED$13,
     K49:ED49,
     LAMBDA(
       job,
       buff,
       target,
       check,
       IF(
         AND(check=TRUE, REGEXMATCH(target, ""SELF_EFFECTED_GCD""), ISNUMBER(buff), job=""占星術師"""&amp;"),
         buff,
         1
       )
     )
   )
 )"),1.0)</f>
        <v>1</v>
      </c>
      <c r="EL49" s="200">
        <f>IFERROR(__xludf.DUMMYFUNCTION("PRODUCT(
   MAP(
     K$3:ED$3,
     K$14:ED$14,
     K$13:ED$13,
     K49:ED49,
     LAMBDA(
       job,
       buff,
       target,
       check,
       IF(
         AND(check=TRUE, REGEXMATCH(target, ""SELF_EFFECTED_ALL""), ISNUMBER(buff), job=""学者""),"&amp;"
         buff,
         1
       )
     )
   )
 )"),1.0)</f>
        <v>1</v>
      </c>
      <c r="EM49" s="200">
        <f>IFERROR(__xludf.DUMMYFUNCTION("PRODUCT(
   MAP(
     K$3:ED$3,
     K$14:ED$14,
     K$13:ED$13,
     K49:ED49,
     LAMBDA(
       job,
       buff,
       target,
       check,
       IF(
         AND(check=TRUE, REGEXMATCH(target, ""SELF_EFFECTED_GCD""), ISNUMBER(buff), job=""学者""),"&amp;"
         buff,
         1
       )
     )
   )
 )"),1.0)</f>
        <v>1</v>
      </c>
      <c r="EN49" s="200">
        <f>IFERROR(__xludf.DUMMYFUNCTION("PRODUCT(
   MAP(
     K$3:ED$3,
     K$14:ED$14,
     K$13:ED$13,
     K49:ED49,
     LAMBDA(
       job,
       buff,
       target,
       check,
       IF(
         AND(check=TRUE, REGEXMATCH(target, ""SELF_EFFECTED_ALL""), ISNUMBER(buff), job=""賢者""),"&amp;"
         buff,
         1
       )
     )
   )
 )"),1.0)</f>
        <v>1</v>
      </c>
      <c r="EO49" s="200">
        <f>IFERROR(__xludf.DUMMYFUNCTION("PRODUCT(
   MAP(
     K$3:ED$3,
     K$14:ED$14,
     K$13:ED$13,
     K49:ED49,
     LAMBDA(
       job,
       buff,
       target,
       check,
       IF(
         AND(check=TRUE, REGEXMATCH(target, ""SELF_EFFECTED_GCD""), ISNUMBER(buff), job=""賢者""),"&amp;"
         buff,
         1
       )
     )
   )
 )"),1.0)</f>
        <v>1</v>
      </c>
      <c r="EP49" s="201">
        <f t="shared" si="3"/>
        <v>0</v>
      </c>
      <c r="EQ49" s="201">
        <f>IFERROR(__xludf.DUMMYFUNCTION("SUM(
   MAP(
     K$4:ED$4,
     K$3:ED$3,
     K$7:ED$7,
     K$15:ED$15,
     K$16:ED$16,
     K$21:ED$21,
     K$5:ED$5,
     K$17:ED$17,
     K49:ED49,
     LAMBDA(
       name,
       job,
       abillity,
       buff,
       barrier,
       enhance,"&amp;"
       assign,
       precondition,
       check,
       SWITCH(
         name,
         ""シェイクオフ"", IF(check=TRUE, buff + (0.02 * COUNTIF(ARRAYFORMULA((REGEXMATCH($K$4:$ED$4, ""スリル・オブ・バトル|ヴェンジェンス|原初の血気|ダムネーション"")) * (K49:ED49=TRUE)), 1)), 0),
         "&amp;"""インプロビゼーションフィニッシュ(踊りの激情0)"", IF(ISNUMBER(check), INDEX(Skill!$AJ:$AJ, MATCH(SUBSTITUTE(DV$4, 0, check), Skill!$C:$C, 0)), 0),
         IF(
           AND(check=TRUE, REGEXMATCH(assign, ""RANGE_PARTY"")),
           IF(
             OR(ARRAYFORMULA((IF(pr"&amp;"econdition="""", FALSE, REGEXMATCH($K$4:$ED$4, precondition))) * (K49:ED49=TRUE))),
             enhance,
             IF(barrier="""", buff, barrier)
           ),
           0
         )
       ) *
       SWITCH(
         job,
         ""ナイト"", EY$24,
 "&amp;"        ""戦士"", FD$24,
         ""踊り子"", ET$24,
         ""ピクトマンサー"", ET$24,
         ""白魔道士"", EF49 * EH49 * IF(abillity, 1, EG49 * EI49) * (Option!$D$22 * 0.81 / 100),
         ""占星術師"", EF49 * EJ49 * IF(abillity, 1, EG49 * EK49) * (Option!$D$23 * 0.81 "&amp;"/ 100),
         ""学者"", EF49 * EL49 * IF(abillity, 1, EG49 * EM49) * (Option!$D$24 * 0.81 / 100),
         ""賢者"", EF49 * EN49 * IF(abillity, 1, EG49 * EO49) * (Option!$D$25 * 0.81 / 100),
         1
       )
     )
   )
 )"),0.0)</f>
        <v>0</v>
      </c>
      <c r="ER49" s="202">
        <f t="shared" si="4"/>
        <v>0</v>
      </c>
      <c r="ES49" s="203">
        <f t="shared" si="5"/>
        <v>0</v>
      </c>
      <c r="ET49" s="231" t="str">
        <f>IFERROR(__xludf.DUMMYFUNCTION("IFS(
  EP49 &gt; $ET$24 + EQ49,
  SPARKLINE({ 1, 0 }, {""charttype"",""bar"";""max"", 1;""color1"",Option!$D$30;""color2"",Option!$D$30}),
  EP49 &lt; EQ49,
  SPARKLINE({EQ49 - EP49, $ET$24 - (EQ49 - EP49)}, {""charttype"",""bar"";""max"",$ET$24;""color1"",Opti"&amp;"on!$D$28;""color2"",Option!$D$29}),
  EP49 &gt;= EQ49,
  SPARKLINE({$ET$24 + EQ49 - EP49,EP49 - EQ49}, {""charttype"",""bar"";""max"",$ET$24;""color1"",Option!$D$29;""color2"",Option!$D$30})
)"),"")</f>
        <v/>
      </c>
      <c r="EU49" s="205">
        <f>IFERROR(__xludf.DUMMYFUNCTION("PRODUCT(
   MAP(
     IF($F49=""Physical"", K$10:ED$10, IF($F49=""Magic"", K$11:ED$11, K$12:ED$12)),
     IF($F49=""Physical"", K$18:ED$18, IF($F49=""Magic"", K$19:ED$19, K$20:ED$20)),
     K$3:ED$3,
     K$5:ED$5,
     K$17:ED$17,
     K49:ED49,
     LAM"&amp;"BDA(
       mitigation,
       enhance,
       job,
       assign,
       precondition,
       check,
       IF(
         OR(AND(check=TRUE, REGEXMATCH(assign, ""SELF""), job=""ナイト""), AND(check=Option!$E$13, REGEXMATCH(assign, ""SINGLE_PARTY""))),
      "&amp;"   IF(
           OR(ARRAYFORMULA((IF(precondition="""", FALSE, REGEXMATCH($K$4:$ED$4, precondition))) * (K49:ED49=TRUE))),
           enhance,
           mitigation
         ),
         1
       )
     )
   )
 ) * EE49"),1.0)</f>
        <v>1</v>
      </c>
      <c r="EV49" s="206">
        <f t="shared" si="6"/>
        <v>0</v>
      </c>
      <c r="EW49" s="205">
        <f>IFERROR(__xludf.DUMMYFUNCTION("PRODUCT(
   MAP(
     K$3:ED$3,
     K$14:ED$14,
     K$13:ED$13,
     K49:ED49,
     LAMBDA(
       job,
       buff,
       target,
       check,
       IF(
         OR(AND(check=TRUE, REGEXMATCH(target, ""SELF_AFFECTED_ALL""), job=""ナイト""), AND(check=O"&amp;"ption!$E$13, REGEXMATCH(target, ""SINGLE_AFFECTED_ALL""))),
         buff,
         1
       )
     )
   )
 )"),1.0)</f>
        <v>1</v>
      </c>
      <c r="EX49" s="206">
        <f>IFERROR(__xludf.DUMMYFUNCTION("SUM(
   MAP(
     K$3:ED$3,
     K$7:ED$7,
     K$15:ED$15,
     K$16:ED$16,
     K$21:ED$21,
     K$5:ED$5,
     K$17:ED$17,
     K49:ED49,
     LAMBDA(
       job,
       abillity,
       buff,
       barrier,
       enhance,
       assign,
       preco"&amp;"ndition,
       check,
       IF(
         OR(AND(check=TRUE, REGEXMATCH(assign, ""SELF""), job=""ナイト""), AND(check=Option!$E$13, REGEXMATCH(assign, ""SINGLE_PARTY""))),
         IF(
           OR(ARRAYFORMULA((IF(precondition="""", FALSE, REGEXMATCH($K$4"&amp;":$ED$4, precondition))) * (K49:ED49=TRUE))),
           enhance,
           IF(barrier="""", buff, barrier)
         ),
         0
       ) *
       SWITCH(
         job,
         ""暗黒騎士"", EY$24,
         ""白魔道士"", EF49 * EH49 * EW49 * IF(abillity, 1, EG"&amp;"49 * EI49) * (Option!$D$22 * 0.81 / 100),
         ""占星術師"", EF49 * EJ49 * EW49 * IF(abillity, 1, EG49 * EK49) * (Option!$D$23 * 0.81 / 100),
         ""学者"", EF49 * EL49 * EW49 * IF(abillity, 1, EG49 * EM49) * (Option!$D$24 * 0.81 / 100),
         ""賢者"""&amp;", EF49 * EN49 * EW49 * IF(abillity, 1, EG49 * EO49) * (Option!$D$25 * 0.81 / 100),
         1
       )
     )
   )
 ) + EQ49"),0.0)</f>
        <v>0</v>
      </c>
      <c r="EY49" s="232">
        <f t="shared" si="7"/>
        <v>0</v>
      </c>
      <c r="EZ49" s="205">
        <f>IFERROR(__xludf.DUMMYFUNCTION("PRODUCT(
   MAP(
     IF($F49=""Physical"", K$10:ED$10, IF($F49=""Magic"", K$11:ED$11, K$12:ED$12)),
     IF($F49=""Physical"", K$18:ED$18, IF($F49=""Magic"", K$19:ED$19, K$20:ED$20)),
     K$3:ED$3,
     K$5:ED$5,
     K$17:ED$17,
     K49:ED49,
     LAM"&amp;"BDA(
       mitigation,
       enhance,
       job,
       assign,
       precondition,
       check,
       IF(
         OR(AND(check=TRUE, REGEXMATCH(assign, ""SELF""), job=""戦士""), AND(check=Option!$F$13, REGEXMATCH(assign, ""SINGLE_PARTY""))),
       "&amp;"  IF(
           OR(ARRAYFORMULA((IF(precondition="""", FALSE, REGEXMATCH($K$4:$ED$4, precondition))) * (K49:ED49=TRUE))),
           enhance,
           mitigation
         ),
         1
       )
     )
   )
 ) * EE49"),1.0)</f>
        <v>1</v>
      </c>
      <c r="FA49" s="206">
        <f t="shared" si="8"/>
        <v>0</v>
      </c>
      <c r="FB49" s="205">
        <f>IFERROR(__xludf.DUMMYFUNCTION("PRODUCT(
   MAP(
     K$3:ED$3,
     K$14:ED$14,
     K$13:ED$13,
     K49:ED49,
     LAMBDA(
       job,
       buff,
       target,
       check,
       IF(
         OR(AND(check=TRUE, REGEXMATCH(target, ""SELF_AFFECTED_ALL""), job=""戦士""), AND(check=Op"&amp;"tion!$F$13, REGEXMATCH(target, ""SINGLE_AFFECTED_ALL""))),
         buff,
         1
       )
     )
   )
 )"),1.0)</f>
        <v>1</v>
      </c>
      <c r="FC49" s="206">
        <f>IFERROR(__xludf.DUMMYFUNCTION("SUM(
   MAP(
     K$3:ED$3,
     K$7:ED$7,
     K$15:ED$15,
     K$16:ED$16,
     K$21:ED$21,
     K$5:ED$5,
     K$17:ED$17,
     K49:ED49,
     LAMBDA(
       job,
       abillity,
       buff,
       barrier,
       enhance,
       assign,
       preco"&amp;"ndition,
       check,
       IF(
         OR(AND(check=TRUE, REGEXMATCH(assign, ""SELF""), job=""戦士""), AND(check=Option!$F$13, REGEXMATCH(assign, ""SINGLE_PARTY""))),
         IF(
           OR(ARRAYFORMULA((IF(precondition="""", FALSE, REGEXMATCH($K$4:"&amp;"$ED$4, precondition))) * (K49:ED49=TRUE))),
           enhance,
           IF(barrier="""", buff, barrier)
         ),
         0
       ) *
       SWITCH(
         job,
         ""暗黒騎士"", FD$24,
         ""白魔道士"", EF49 * EH49 * FB49 * IF(abillity, 1, EG4"&amp;"9 * EI49) * (Option!$D$22 * 0.81 / 100),
         ""占星術師"", EF49 * EJ49 * FFB49 * IF(abillity, 1, EG49 * EK49) * (Option!$D$23 * 0.81 / 100),
         ""学者"", EF49 * EL49 * FB49 * IF(abillity, 1, EG49 * EM49) * (Option!$D$24 * 0.81 / 100),
         ""賢者"""&amp;", EF49 * EN49 * FB49 * IF(abillity, 1, EG49 * EO49) * (Option!$D$25 * 0.81 / 100),
         1
       )
     )
   )
 ) + EQ49"),0.0)</f>
        <v>0</v>
      </c>
      <c r="FD49" s="206">
        <f t="shared" si="9"/>
        <v>0</v>
      </c>
      <c r="FE49" s="205">
        <f>IFERROR(__xludf.DUMMYFUNCTION("PRODUCT(
   MAP(
     IF($F49=""Physical"", K$10:ED$10, IF($F49=""Magic"", K$11:ED$11, K$12:ED$12)),
     IF($F49=""Physical"", K$18:ED$18, IF($F49=""Magic"", K$19:ED$19, K$20:ED$20)),
     K$3:ED$3,
     K$5:ED$5,
     K$17:ED$17,
     K49:ED49,
     LAM"&amp;"BDA(
       mitigation,
       enhance,
       job,
       assign,
       precondition,
       check,
       IF(
         OR(AND(check=TRUE, REGEXMATCH(assign, ""SELF""), job=""暗黒騎士""), AND(check=Option!$G$13, REGEXMATCH(assign, ""SINGLE_PARTY""))),
     "&amp;"    IF(
           OR(ARRAYFORMULA((IF(precondition="""", FALSE, REGEXMATCH($K$4:$ED$4, precondition))) * (K49:ED49=TRUE))),
           enhance,
           mitigation
         ),
         1
       )
     )
   )
 ) * EE49"),1.0)</f>
        <v>1</v>
      </c>
      <c r="FF49" s="206">
        <f t="shared" si="10"/>
        <v>0</v>
      </c>
      <c r="FG49" s="205">
        <f>IFERROR(__xludf.DUMMYFUNCTION("PRODUCT(
   MAP(
     K$3:ED$3,
     K$14:ED$14,
     K$13:ED$13,
     K49:ED49,
     LAMBDA(
       job,
       buff,
       target,
       check,
       IF(
         OR(AND(check=TRUE, REGEXMATCH(target, ""SELF_AFFECTED_ALL""), job=""暗黒騎士""), AND(check="&amp;"Option!$G$13, REGEXMATCH(target, ""SINGLE_AFFECTED_ALL""))),
         buff,
         1
       )
     )
   )
 )"),1.0)</f>
        <v>1</v>
      </c>
      <c r="FH49" s="206">
        <f>IFERROR(__xludf.DUMMYFUNCTION("SUM(
   MAP(
     K$3:ED$3,
     K$7:ED$7,
     K$15:ED$15,
     K$16:ED$16,
     K$21:ED$21,
     K$5:ED$5,
     K$17:ED$17,
     K49:ED49,
     LAMBDA(
       job,
       abillity,
       buff,
       barrier,
       enhance,
       assign,
       preco"&amp;"ndition,
       check,
       IF(
         OR(AND(check=TRUE, REGEXMATCH(assign, ""SELF""), job=""暗黒騎士""), AND(check=Option!$G$13, REGEXMATCH(assign, ""SINGLE_PARTY""))),
         IF(
           OR(ARRAYFORMULA((IF(precondition="""", FALSE, REGEXMATCH($K$"&amp;"4:$ED$4, precondition))) * (K49:ED49=TRUE))),
           enhance,
           IF(barrier="""", buff, barrier)
         ),
         0
       ) *
       SWITCH(
         job,
         ""暗黒騎士"", FI$24,
         ""白魔道士"", EF49 * EH49 * FG49 * IF(abillity, 1, E"&amp;"G49 * EI49) * (Option!$D$22 * 0.81 / 100),
         ""占星術師"", EF49 * EJ49 * FG49 * IF(abillity, 1, EG49 * EK49) * (Option!$D$23 * 0.81 / 100),
         ""学者"", EF49 * EL49 * FG49 * IF(abillity, 1, EG49 * EM49) * (Option!$D$24 * 0.81 / 100),
         ""賢者"&amp;""", EF49 * EN49 * FG49 * IF(abillity, 1, EG49 * EO49) * (Option!$D$25 * 0.81 / 100),
         1
       )
     )
   )
 ) + EQ49"),0.0)</f>
        <v>0</v>
      </c>
      <c r="FI49" s="206">
        <f t="shared" si="11"/>
        <v>0</v>
      </c>
      <c r="FJ49" s="205">
        <f>IFERROR(__xludf.DUMMYFUNCTION("PRODUCT(
   MAP(
     IF($F49=""Physical"", K$10:ED$10, IF($F49=""Magic"", K$11:ED$11, K$12:ED$12)),
     IF($F49=""Physical"", K$18:ED$18, IF($F49=""Magic"", K$19:ED$19, K$20:ED$20)),
     K$3:ED$3,
     K$5:ED$5,
     K$17:ED$17,
     K49:ED49,
     LAM"&amp;"BDA(
       mitigation,
       enhance,
       job,
       assign,
       precondition,
       check,
       IF(
         OR(AND(check=TRUE, REGEXMATCH(assign, ""SELF""), job=""ガンブレイカー""), AND(check=Option!$H$13, REGEXMATCH(assign, ""SINGLE_PARTY""))),
  "&amp;"       IF(
           OR(ARRAYFORMULA((IF(precondition="""", FALSE, REGEXMATCH($K$4:$ED$4, precondition))) * (K49:ED49=TRUE))),
           enhance,
           mitigation
         ),
         1
       )
     )
   )
 ) * EE49"),1.0)</f>
        <v>1</v>
      </c>
      <c r="FK49" s="206">
        <f t="shared" si="12"/>
        <v>0</v>
      </c>
      <c r="FL49" s="205">
        <f>IFERROR(__xludf.DUMMYFUNCTION("PRODUCT(
   MAP(
     K$3:ED$3,
     K$14:ED$14,
     K$13:ED$13,
     K49:ED49,
     LAMBDA(
       job,
       buff,
       target,
       check,
       IF(
         OR(AND(check=TRUE, REGEXMATCH(target, ""SELF_AFFECTED_ALL""), job=""ガンブレイカー""), AND(che"&amp;"ck=Option!$H$13, REGEXMATCH(target, ""SINGLE_AFFECTED_ALL""))),
         buff,
         1
       )
     )
   )
 )"),1.0)</f>
        <v>1</v>
      </c>
      <c r="FM49" s="206">
        <f>IFERROR(__xludf.DUMMYFUNCTION("SUM(
   MAP(
     K$3:ED$3,
     K$7:ED$7,
     K$15:ED$15,
     K$16:ED$16,
     K$21:ED$21,
     K$5:ED$5,
     K$17:ED$17,
     K49:ED49,
     LAMBDA(
       job,
       abillity,
       buff,
       barrier,
       enhance,
       assign,
       preco"&amp;"ndition,
       check,
       IF(
         OR(AND(check=TRUE, REGEXMATCH(assign, ""SELF""), job=""ガンブレイカー""), AND(check=Option!$H$13, REGEXMATCH(assign, ""SINGLE_PARTY""))),
         IF(
           OR(ARRAYFORMULA((IF(precondition="""", FALSE, REGEXMATCH("&amp;"$K$4:$ED$4, precondition))) * (K49:ED49=TRUE))),
           enhance,
           IF(barrier="""", buff, barrier)
         ),
         0
       ) *
       SWITCH(
         job,
         ""暗黒騎士"", FN$24,
         ""白魔道士"", EF49 * EH49 * FL49 * IF(abillity, 1"&amp;", EG49 * EI49) * (Option!$D$22 * 0.81 / 100),
         ""占星術師"", EF49 * EJ49 * FL49 * IF(abillity, 1, EG49 * EK49) * (Option!$D$23 * 0.81 / 100),
         ""学者"", EF49 * EL49 * FL49 * IF(abillity, 1, EG49 * EM49) * (Option!$D$24 * 0.81 / 100),
         """&amp;"賢者"", EF49 * EN49 * FL49 * IF(abillity, 1, EG49 * EO49) * (Option!$D$25 * 0.81 / 100),
         1
       )
     )
   )
 ) + EQ49"),0.0)</f>
        <v>0</v>
      </c>
      <c r="FN49" s="206">
        <f t="shared" si="13"/>
        <v>0</v>
      </c>
      <c r="FO49" s="213"/>
    </row>
    <row r="50">
      <c r="B50" s="229"/>
      <c r="C50" s="217">
        <f t="shared" si="1"/>
        <v>0.00380787037</v>
      </c>
      <c r="D50" s="236"/>
      <c r="E50" s="238"/>
      <c r="F50" s="167"/>
      <c r="G50" s="168" t="str">
        <f t="shared" si="2"/>
        <v/>
      </c>
      <c r="H50" s="169"/>
      <c r="I50" s="169"/>
      <c r="J50" s="169"/>
      <c r="K50" s="170" t="b">
        <v>0</v>
      </c>
      <c r="L50" s="170" t="b">
        <v>0</v>
      </c>
      <c r="M50" s="170" t="b">
        <v>0</v>
      </c>
      <c r="N50" s="171" t="s">
        <v>1070</v>
      </c>
      <c r="O50" s="172" t="b">
        <v>0</v>
      </c>
      <c r="P50" s="173" t="b">
        <v>0</v>
      </c>
      <c r="Q50" s="173" t="b">
        <v>0</v>
      </c>
      <c r="R50" s="173" t="b">
        <v>0</v>
      </c>
      <c r="S50" s="174" t="b">
        <v>0</v>
      </c>
      <c r="T50" s="175" t="b">
        <v>0</v>
      </c>
      <c r="U50" s="173" t="b">
        <v>0</v>
      </c>
      <c r="V50" s="171" t="s">
        <v>1070</v>
      </c>
      <c r="W50" s="172" t="b">
        <v>0</v>
      </c>
      <c r="X50" s="173" t="b">
        <v>0</v>
      </c>
      <c r="Y50" s="173" t="b">
        <v>0</v>
      </c>
      <c r="Z50" s="173" t="b">
        <v>0</v>
      </c>
      <c r="AA50" s="174" t="b">
        <v>0</v>
      </c>
      <c r="AB50" s="174" t="b">
        <v>0</v>
      </c>
      <c r="AC50" s="175" t="b">
        <v>0</v>
      </c>
      <c r="AD50" s="173" t="b">
        <v>0</v>
      </c>
      <c r="AE50" s="176" t="s">
        <v>1070</v>
      </c>
      <c r="AF50" s="171" t="s">
        <v>1070</v>
      </c>
      <c r="AG50" s="177">
        <f>IFERROR(__xludf.DUMMYFUNCTION("IF(
  ISNUMBER(AG49),
  MIN(MAX(
    AG49
    + MAX(
      ROUNDDOWN(($D50 - MAX(IFERROR(FILTER($D$24:$D49, AG$24:AG49 &lt;&gt; AF$6, AG$23:AG48 = AF$6), 0))) * (60 * 60 * 24) / AF$9) - ROUNDDOWN(($D49 - MAX(IFERROR(FILTER($D$23:$D48, AG$23:AG48 &lt;&gt; AF$6, AG$22:"&amp;"AG47 = AF$6), 0))) * (60 * 60 * 24) / 60),
      0
    )
    - COUNTIF(AF50, ""&lt;&gt;-""),
  0), AF$6),
  AF$6 - COUNTIF(AF50, ""&lt;&gt;-"")
)"),2.0)</f>
        <v>2</v>
      </c>
      <c r="AH50" s="173" t="b">
        <v>0</v>
      </c>
      <c r="AI50" s="173" t="b">
        <v>0</v>
      </c>
      <c r="AJ50" s="173" t="b">
        <v>0</v>
      </c>
      <c r="AK50" s="174" t="b">
        <v>0</v>
      </c>
      <c r="AL50" s="175" t="b">
        <v>0</v>
      </c>
      <c r="AM50" s="173" t="b">
        <v>0</v>
      </c>
      <c r="AN50" s="171" t="s">
        <v>1070</v>
      </c>
      <c r="AO50" s="173" t="b">
        <v>0</v>
      </c>
      <c r="AP50" s="173" t="b">
        <v>0</v>
      </c>
      <c r="AQ50" s="173" t="b">
        <v>0</v>
      </c>
      <c r="AR50" s="174" t="b">
        <v>0</v>
      </c>
      <c r="AS50" s="178" t="b">
        <v>0</v>
      </c>
      <c r="AT50" s="179" t="b">
        <v>0</v>
      </c>
      <c r="AU50" s="180" t="b">
        <v>0</v>
      </c>
      <c r="AV50" s="180" t="b">
        <v>0</v>
      </c>
      <c r="AW50" s="180" t="b">
        <v>0</v>
      </c>
      <c r="AX50" s="180" t="b">
        <v>0</v>
      </c>
      <c r="AY50" s="181" t="s">
        <v>1070</v>
      </c>
      <c r="AZ50" s="181" t="s">
        <v>1070</v>
      </c>
      <c r="BA50" s="184">
        <f>IFERROR(__xludf.DUMMYFUNCTION("IF(
  ISNUMBER(BA49),
  MIN(MAX(
    BA49
    + MAX(
      ROUNDDOWN((D50 - MAX(IFERROR(FILTER(D$24:D49, BA$24:BA49 &lt;&gt; AZ$6, BA$23:BA48 = AZ$6), 0))) * (60 * 60 * 24) / AZ$9) - ROUNDDOWN((D49 - MAX(IFERROR(FILTER(D$23:D48, BA$23:BA48 &lt;&gt; AZ$6, BA$22:BA47 ="&amp;" AZ$6), 0))) * (60 * 60 * 24) / AZ$9),
      0
    )
    - COUNTIF(AZ50, ""&lt;&gt;-""),
  0), AZ$6),
  AZ$6 - COUNTIF(AZ50, ""&lt;&gt;-"")
)"),2.0)</f>
        <v>2</v>
      </c>
      <c r="BB50" s="181" t="s">
        <v>1070</v>
      </c>
      <c r="BC50" s="183">
        <f>IFERROR(__xludf.DUMMYFUNCTION("IF(
  ISNUMBER(BC49),
  MIN(MAX(
    BC49
    + MAX(
      ROUNDDOWN(($D50 - MAX(IFERROR(FILTER($D$24:$D49, BC$24:BC49 &lt;&gt; BB$6, BC$23:BC48 = BB$6), 0))) * (60 * 60 * 24) / BB$9) - ROUNDDOWN(($D49 - MAX(IFERROR(FILTER($D$23:$D48, BC$23:BC48 &lt;&gt; BB$6, BC$22:"&amp;"BC47 = BB$6), 0))) * (60 * 60 * 24) / 60),
      0
    )
    - COUNTIF(BB50, ""&lt;&gt;-""),
  0), BB$6),
  BB$6 - COUNTIF(BB50, ""&lt;&gt;-"")
)"),2.0)</f>
        <v>2</v>
      </c>
      <c r="BD50" s="181" t="s">
        <v>1070</v>
      </c>
      <c r="BE50" s="178" t="b">
        <v>0</v>
      </c>
      <c r="BF50" s="180" t="b">
        <v>0</v>
      </c>
      <c r="BG50" s="180" t="b">
        <v>0</v>
      </c>
      <c r="BH50" s="180" t="b">
        <v>0</v>
      </c>
      <c r="BI50" s="180" t="b">
        <v>0</v>
      </c>
      <c r="BJ50" s="180" t="b">
        <v>0</v>
      </c>
      <c r="BK50" s="180" t="b">
        <v>0</v>
      </c>
      <c r="BL50" s="180" t="b">
        <v>0</v>
      </c>
      <c r="BM50" s="180" t="b">
        <v>0</v>
      </c>
      <c r="BN50" s="180" t="b">
        <v>0</v>
      </c>
      <c r="BO50" s="181" t="s">
        <v>1070</v>
      </c>
      <c r="BP50" s="181" t="s">
        <v>1070</v>
      </c>
      <c r="BQ50" s="181" t="s">
        <v>1070</v>
      </c>
      <c r="BR50" s="181" t="s">
        <v>1070</v>
      </c>
      <c r="BS50" s="181" t="s">
        <v>1070</v>
      </c>
      <c r="BT50" s="184">
        <f>IFERROR(__xludf.DUMMYFUNCTION("IF(
  ISNUMBER(BT49),
  MIN(MAX(
    BT49
    + MAX(
      ROUNDDOWN((D50 - MAX(IFERROR(FILTER(D$24:D49, BT$24:BT49 &lt;&gt; BS$6, BT$23:BT48 = BS$6), 0))) * (60 * 60 * 24) / BS$9) - ROUNDDOWN((D49 - MAX(IFERROR(FILTER(D$23:D48, BT$23:BT48 &lt;&gt; BS$6, BT$22:BT47 ="&amp;" BS$6), 0))) * (60 * 60 * 24) / BS$9),
      0
    )
    - COUNTIF(BS50, ""&lt;&gt;-""),
  0), BS$6),
  BS$6 - COUNTIF(BS50, ""&lt;&gt;-"")
)"),3.0)</f>
        <v>3</v>
      </c>
      <c r="BU50" s="181" t="s">
        <v>1070</v>
      </c>
      <c r="BV50" s="181" t="s">
        <v>1070</v>
      </c>
      <c r="BW50" s="184">
        <f>IFERROR(__xludf.DUMMYFUNCTION("IF(
  ISNUMBER(BW49),
  MIN(MAX(
    BW49
    + MAX(
      ROUNDDOWN((D50 - MAX(IFERROR(FILTER(D$24:D49, BW$24:BW49 &lt;&gt; BV$6, BW$23:BW48 = BV$6), 0))) * (60 * 60 * 24) / BV$9) - ROUNDDOWN((D49 - MAX(IFERROR(FILTER(D$23:D48, BW$23:BW48 &lt;&gt; BV$6, BW$22:BW47 ="&amp;" BV$6), 0))) * (60 * 60 * 24) / BV$9),
      0
    )
    - COUNTIF(BV50, ""&lt;&gt;-""),
  0), BV$6),
  BV$6 - COUNTIF(BV50, ""&lt;&gt;-"")
)"),2.0)</f>
        <v>2</v>
      </c>
      <c r="BX50" s="185" t="s">
        <v>1070</v>
      </c>
      <c r="BY50" s="178" t="b">
        <v>0</v>
      </c>
      <c r="BZ50" s="180" t="b">
        <v>0</v>
      </c>
      <c r="CA50" s="180" t="b">
        <v>0</v>
      </c>
      <c r="CB50" s="180" t="b">
        <v>0</v>
      </c>
      <c r="CC50" s="180" t="b">
        <v>0</v>
      </c>
      <c r="CD50" s="180" t="b">
        <v>0</v>
      </c>
      <c r="CE50" s="180" t="b">
        <v>0</v>
      </c>
      <c r="CF50" s="180" t="b">
        <v>0</v>
      </c>
      <c r="CG50" s="180" t="b">
        <v>0</v>
      </c>
      <c r="CH50" s="180" t="b">
        <v>0</v>
      </c>
      <c r="CI50" s="180" t="b">
        <v>0</v>
      </c>
      <c r="CJ50" s="180" t="b">
        <v>0</v>
      </c>
      <c r="CK50" s="180" t="b">
        <v>0</v>
      </c>
      <c r="CL50" s="180" t="b">
        <v>0</v>
      </c>
      <c r="CM50" s="181" t="s">
        <v>1070</v>
      </c>
      <c r="CN50" s="181" t="s">
        <v>1070</v>
      </c>
      <c r="CO50" s="181" t="s">
        <v>1070</v>
      </c>
      <c r="CP50" s="181" t="s">
        <v>1070</v>
      </c>
      <c r="CQ50" s="185" t="s">
        <v>1070</v>
      </c>
      <c r="CR50" s="180" t="b">
        <v>0</v>
      </c>
      <c r="CS50" s="186" t="str">
        <f t="shared" si="14"/>
        <v>◇◇◇</v>
      </c>
      <c r="CT50" s="178" t="b">
        <v>0</v>
      </c>
      <c r="CU50" s="180" t="b">
        <v>0</v>
      </c>
      <c r="CV50" s="180" t="b">
        <v>0</v>
      </c>
      <c r="CW50" s="180" t="b">
        <v>0</v>
      </c>
      <c r="CX50" s="180" t="b">
        <v>0</v>
      </c>
      <c r="CY50" s="180" t="b">
        <v>0</v>
      </c>
      <c r="CZ50" s="180" t="b">
        <v>0</v>
      </c>
      <c r="DA50" s="180" t="b">
        <v>0</v>
      </c>
      <c r="DB50" s="180" t="b">
        <v>0</v>
      </c>
      <c r="DC50" s="180" t="b">
        <v>0</v>
      </c>
      <c r="DD50" s="181" t="s">
        <v>1070</v>
      </c>
      <c r="DE50" s="181" t="s">
        <v>1070</v>
      </c>
      <c r="DF50" s="181" t="s">
        <v>1070</v>
      </c>
      <c r="DG50" s="185" t="s">
        <v>1070</v>
      </c>
      <c r="DH50" s="180" t="b">
        <v>0</v>
      </c>
      <c r="DI50" s="187" t="str">
        <f>IFERROR(__xludf.DUMMYFUNCTION("SWITCH(
  IF(
    ISTEXT(DI49),
    IF (
      FIND(""○"", DI49&amp;""○"") &gt; 3,
      3,
      FIND(""○"", DI49&amp;""○"")
      + MAX(
        ROUNDDOWN(($D50 - MAX(IFERROR(FILTER(D$24:D49, DI$24:DI49 &lt;&gt; ""●●●"", DI$23:DI48 = ""●●●""), 0))) * (60 * 60 * 24) / 20"&amp;") - ROUNDDOWN(($D49 - MAX(IFERROR(FILTER(D$23:D48, DI$23:DI48 &lt;&gt; ""●●●"", DI$22:DI47 = ""●●●""), 0))) * (60 * 60 * 24) / 20),
        0
      ) - 1
    ) - COUNTIFS(CU50, ""=TRUE"", CU49, ""&lt;&gt;TRUE"") - COUNTIF(CZ50, ""=TRUE"") - COUNTIF({DD50,DE50}, ""&lt;&gt;-"&amp;""") + COUNTIF(DH50, ""=TRUE""),
    3
  ),
  0, ""○○○"", 1, ""●○○"", 2, ""●●○"", 3, ""●●●"", 4, ""●●●"", ""○○○""
)"),"●●●")</f>
        <v>●●●</v>
      </c>
      <c r="DJ50" s="188" t="b">
        <v>0</v>
      </c>
      <c r="DK50" s="189" t="b">
        <v>0</v>
      </c>
      <c r="DL50" s="190" t="b">
        <v>0</v>
      </c>
      <c r="DM50" s="190" t="b">
        <v>0</v>
      </c>
      <c r="DN50" s="190" t="b">
        <v>0</v>
      </c>
      <c r="DO50" s="190" t="b">
        <v>0</v>
      </c>
      <c r="DP50" s="190" t="b">
        <v>0</v>
      </c>
      <c r="DQ50" s="191" t="b">
        <v>0</v>
      </c>
      <c r="DR50" s="192" t="b">
        <v>0</v>
      </c>
      <c r="DS50" s="191" t="b">
        <v>0</v>
      </c>
      <c r="DT50" s="192" t="b">
        <v>0</v>
      </c>
      <c r="DU50" s="191" t="b">
        <v>0</v>
      </c>
      <c r="DV50" s="193" t="s">
        <v>1070</v>
      </c>
      <c r="DW50" s="194" t="b">
        <v>0</v>
      </c>
      <c r="DX50" s="194" t="b">
        <v>0</v>
      </c>
      <c r="DY50" s="195" t="b">
        <v>0</v>
      </c>
      <c r="DZ50" s="196" t="b">
        <v>0</v>
      </c>
      <c r="EA50" s="195" t="b">
        <v>0</v>
      </c>
      <c r="EB50" s="197" t="b">
        <v>0</v>
      </c>
      <c r="EC50" s="197" t="b">
        <v>0</v>
      </c>
      <c r="ED50" s="212" t="b">
        <v>0</v>
      </c>
      <c r="EE50" s="199">
        <f>IFERROR(__xludf.DUMMYFUNCTION("IFERROR(
   PRODUCT(
     MAP(
       INDEX(TRANSPOSE(UNIQUE(TRANSPOSE(FILTER({IF($F50=""Physical"", K$10:ED$10, IF($F50=""Magic"", K$11:ED$11, K$12:ED$12));K$4:ED$4;K50:ED50}, K50:ED50=TRUE)))), 1, 0),
       INDEX(TRANSPOSE(UNIQUE(TRANSPOSE(FILTER({IF($"&amp;"F50=""Physical"", K$18:ED$18, IF($F50=""Magic"", K$19:ED$19, K$20:ED$20));K$4:ED$4;K50:ED50}, K50:ED50=TRUE)))), 1, 0),
       INDEX(TRANSPOSE(UNIQUE(TRANSPOSE(FILTER({K$5:ED$5;K$4:ED$4;K50:ED50}, K50:ED50=TRUE)))), 1, 0),
       INDEX(TRANSPOSE(UNIQUE(TR"&amp;"ANSPOSE(FILTER({K$17:ED$17;K$4:ED$4;K50:ED50}, K50:ED50=TRUE)))), 1, 0),
       LAMBDA(
         mitigation,
         enhance,
         assign,
         precondition,
         IF(
           REGEXMATCH(assign, ""RANGE_PARTY|SINGLE_ENEMY|RANGE_ENEMY""),
  "&amp;"         IF(
             OR(ARRAYFORMULA((IF(precondition="""", FALSE, REGEXMATCH(K$4:ED$4, precondition))) * (K50:ED50=TRUE))),
             IF(ISNUMBER(enhance), enhance, 1),
             IF(ISNUMBER(mitigation), mitigation, 1)
           ),
          "&amp;" 1
         )
       )
     )
   ),
   1
 )"),1.0)</f>
        <v>1</v>
      </c>
      <c r="EF50" s="200">
        <f>IFERROR(__xludf.DUMMYFUNCTION("PRODUCT(
   MAP(
     K$14:ED$14,
     K$13:ED$13,
     K50:ED50,
     LAMBDA(
       buff,
       target,
       check,
       IF(
         AND(check=TRUE, REGEXMATCH(target, ""RANGE_AFFECTED_ALL|RANGE_EFFECTED_ALL""), ISNUMBER(buff)),
         buff,
   "&amp;"      1
       )
     )
   )
 )"),1.0)</f>
        <v>1</v>
      </c>
      <c r="EG50" s="200">
        <f>IFERROR(__xludf.DUMMYFUNCTION("PRODUCT(
   MAP(
     K$14:ED$14,
     K$13:ED$13,
     K50:ED50,
     LAMBDA(
       buff,
       target,
       check,
       IF(
         AND(check=TRUE, REGEXMATCH(target, ""RANGE_AFFECTED_GCD|RANGE_EFFECTED_GCD""), ISNUMBER(buff)),
         buff,
   "&amp;"      1
       )
     )
   )
 )"),1.0)</f>
        <v>1</v>
      </c>
      <c r="EH50" s="200">
        <f>IFERROR(__xludf.DUMMYFUNCTION("PRODUCT(
   MAP(
     K$3:ED$3,
     K$14:ED$14,
     K$13:ED$13,
     K50:ED50,
     LAMBDA(
       job,
       buff,
       target,
       check,
       IF(
         AND(check=TRUE, REGEXMATCH(target, ""SELF_EFFECTED_ALL""), ISNUMBER(buff), job=""白魔道士"""&amp;"),
         buff,
         1
       )
     )
   )
 )"),1.0)</f>
        <v>1</v>
      </c>
      <c r="EI50" s="200">
        <f>IFERROR(__xludf.DUMMYFUNCTION("PRODUCT(
   MAP(
     K$3:ED$3,
     K$14:ED$14,
     K$13:ED$13,
     K50:ED50,
     LAMBDA(
       job,
       buff,
       target,
       check,
       IF(
         AND(check=TRUE, REGEXMATCH(target, ""SELF_EFFECTED_GCD""), ISNUMBER(buff), job=""白魔道士"""&amp;"),
         buff,
         1
       )
     )
   )
 )"),1.0)</f>
        <v>1</v>
      </c>
      <c r="EJ50" s="200">
        <f>IFERROR(__xludf.DUMMYFUNCTION("PRODUCT(
   MAP(
     K$3:ED$3,
     K$14:ED$14,
     K$13:ED$13,
     K50:ED50,
     LAMBDA(
       job,
       buff,
       target,
       check,
       IF(
         AND(check=TRUE, REGEXMATCH(target, ""SELF_EFFECTED_ALL""), ISNUMBER(buff), job=""占星術師"""&amp;"),
         buff,
         1
       )
     )
   )
 )"),1.0)</f>
        <v>1</v>
      </c>
      <c r="EK50" s="200">
        <f>IFERROR(__xludf.DUMMYFUNCTION("PRODUCT(
   MAP(
     K$3:ED$3,
     K$14:ED$14,
     K$13:ED$13,
     K50:ED50,
     LAMBDA(
       job,
       buff,
       target,
       check,
       IF(
         AND(check=TRUE, REGEXMATCH(target, ""SELF_EFFECTED_GCD""), ISNUMBER(buff), job=""占星術師"""&amp;"),
         buff,
         1
       )
     )
   )
 )"),1.0)</f>
        <v>1</v>
      </c>
      <c r="EL50" s="200">
        <f>IFERROR(__xludf.DUMMYFUNCTION("PRODUCT(
   MAP(
     K$3:ED$3,
     K$14:ED$14,
     K$13:ED$13,
     K50:ED50,
     LAMBDA(
       job,
       buff,
       target,
       check,
       IF(
         AND(check=TRUE, REGEXMATCH(target, ""SELF_EFFECTED_ALL""), ISNUMBER(buff), job=""学者""),"&amp;"
         buff,
         1
       )
     )
   )
 )"),1.0)</f>
        <v>1</v>
      </c>
      <c r="EM50" s="200">
        <f>IFERROR(__xludf.DUMMYFUNCTION("PRODUCT(
   MAP(
     K$3:ED$3,
     K$14:ED$14,
     K$13:ED$13,
     K50:ED50,
     LAMBDA(
       job,
       buff,
       target,
       check,
       IF(
         AND(check=TRUE, REGEXMATCH(target, ""SELF_EFFECTED_GCD""), ISNUMBER(buff), job=""学者""),"&amp;"
         buff,
         1
       )
     )
   )
 )"),1.0)</f>
        <v>1</v>
      </c>
      <c r="EN50" s="200">
        <f>IFERROR(__xludf.DUMMYFUNCTION("PRODUCT(
   MAP(
     K$3:ED$3,
     K$14:ED$14,
     K$13:ED$13,
     K50:ED50,
     LAMBDA(
       job,
       buff,
       target,
       check,
       IF(
         AND(check=TRUE, REGEXMATCH(target, ""SELF_EFFECTED_ALL""), ISNUMBER(buff), job=""賢者""),"&amp;"
         buff,
         1
       )
     )
   )
 )"),1.0)</f>
        <v>1</v>
      </c>
      <c r="EO50" s="200">
        <f>IFERROR(__xludf.DUMMYFUNCTION("PRODUCT(
   MAP(
     K$3:ED$3,
     K$14:ED$14,
     K$13:ED$13,
     K50:ED50,
     LAMBDA(
       job,
       buff,
       target,
       check,
       IF(
         AND(check=TRUE, REGEXMATCH(target, ""SELF_EFFECTED_GCD""), ISNUMBER(buff), job=""賢者""),"&amp;"
         buff,
         1
       )
     )
   )
 )"),1.0)</f>
        <v>1</v>
      </c>
      <c r="EP50" s="201">
        <f t="shared" si="3"/>
        <v>0</v>
      </c>
      <c r="EQ50" s="201">
        <f>IFERROR(__xludf.DUMMYFUNCTION("SUM(
   MAP(
     K$4:ED$4,
     K$3:ED$3,
     K$7:ED$7,
     K$15:ED$15,
     K$16:ED$16,
     K$21:ED$21,
     K$5:ED$5,
     K$17:ED$17,
     K50:ED50,
     LAMBDA(
       name,
       job,
       abillity,
       buff,
       barrier,
       enhance,"&amp;"
       assign,
       precondition,
       check,
       SWITCH(
         name,
         ""シェイクオフ"", IF(check=TRUE, buff + (0.02 * COUNTIF(ARRAYFORMULA((REGEXMATCH($K$4:$ED$4, ""スリル・オブ・バトル|ヴェンジェンス|原初の血気|ダムネーション"")) * (K50:ED50=TRUE)), 1)), 0),
         "&amp;"""インプロビゼーションフィニッシュ(踊りの激情0)"", IF(ISNUMBER(check), INDEX(Skill!$AJ:$AJ, MATCH(SUBSTITUTE(DV$4, 0, check), Skill!$C:$C, 0)), 0),
         IF(
           AND(check=TRUE, REGEXMATCH(assign, ""RANGE_PARTY"")),
           IF(
             OR(ARRAYFORMULA((IF(pr"&amp;"econdition="""", FALSE, REGEXMATCH($K$4:$ED$4, precondition))) * (K50:ED50=TRUE))),
             enhance,
             IF(barrier="""", buff, barrier)
           ),
           0
         )
       ) *
       SWITCH(
         job,
         ""ナイト"", EY$24,
 "&amp;"        ""戦士"", FD$24,
         ""踊り子"", ET$24,
         ""ピクトマンサー"", ET$24,
         ""白魔道士"", EF50 * EH50 * IF(abillity, 1, EG50 * EI50) * (Option!$D$22 * 0.81 / 100),
         ""占星術師"", EF50 * EJ50 * IF(abillity, 1, EG50 * EK50) * (Option!$D$23 * 0.81 "&amp;"/ 100),
         ""学者"", EF50 * EL50 * IF(abillity, 1, EG50 * EM50) * (Option!$D$24 * 0.81 / 100),
         ""賢者"", EF50 * EN50 * IF(abillity, 1, EG50 * EO50) * (Option!$D$25 * 0.81 / 100),
         1
       )
     )
   )
 )"),0.0)</f>
        <v>0</v>
      </c>
      <c r="ER50" s="202">
        <f t="shared" si="4"/>
        <v>0</v>
      </c>
      <c r="ES50" s="203">
        <f t="shared" si="5"/>
        <v>0</v>
      </c>
      <c r="ET50" s="231" t="str">
        <f>IFERROR(__xludf.DUMMYFUNCTION("IFS(
  EP50 &gt; $ET$24 + EQ50,
  SPARKLINE({ 1, 0 }, {""charttype"",""bar"";""max"", 1;""color1"",Option!$D$30;""color2"",Option!$D$30}),
  EP50 &lt; EQ50,
  SPARKLINE({EQ50 - EP50, $ET$24 - (EQ50 - EP50)}, {""charttype"",""bar"";""max"",$ET$24;""color1"",Opti"&amp;"on!$D$28;""color2"",Option!$D$29}),
  EP50 &gt;= EQ50,
  SPARKLINE({$ET$24 + EQ50 - EP50,EP50 - EQ50}, {""charttype"",""bar"";""max"",$ET$24;""color1"",Option!$D$29;""color2"",Option!$D$30})
)"),"")</f>
        <v/>
      </c>
      <c r="EU50" s="205">
        <f>IFERROR(__xludf.DUMMYFUNCTION("PRODUCT(
   MAP(
     IF($F50=""Physical"", K$10:ED$10, IF($F50=""Magic"", K$11:ED$11, K$12:ED$12)),
     IF($F50=""Physical"", K$18:ED$18, IF($F50=""Magic"", K$19:ED$19, K$20:ED$20)),
     K$3:ED$3,
     K$5:ED$5,
     K$17:ED$17,
     K50:ED50,
     LAM"&amp;"BDA(
       mitigation,
       enhance,
       job,
       assign,
       precondition,
       check,
       IF(
         OR(AND(check=TRUE, REGEXMATCH(assign, ""SELF""), job=""ナイト""), AND(check=Option!$E$13, REGEXMATCH(assign, ""SINGLE_PARTY""))),
      "&amp;"   IF(
           OR(ARRAYFORMULA((IF(precondition="""", FALSE, REGEXMATCH($K$4:$ED$4, precondition))) * (K50:ED50=TRUE))),
           enhance,
           mitigation
         ),
         1
       )
     )
   )
 ) * EE50"),1.0)</f>
        <v>1</v>
      </c>
      <c r="EV50" s="206">
        <f t="shared" si="6"/>
        <v>0</v>
      </c>
      <c r="EW50" s="205">
        <f>IFERROR(__xludf.DUMMYFUNCTION("PRODUCT(
   MAP(
     K$3:ED$3,
     K$14:ED$14,
     K$13:ED$13,
     K50:ED50,
     LAMBDA(
       job,
       buff,
       target,
       check,
       IF(
         OR(AND(check=TRUE, REGEXMATCH(target, ""SELF_AFFECTED_ALL""), job=""ナイト""), AND(check=O"&amp;"ption!$E$13, REGEXMATCH(target, ""SINGLE_AFFECTED_ALL""))),
         buff,
         1
       )
     )
   )
 )"),1.0)</f>
        <v>1</v>
      </c>
      <c r="EX50" s="206">
        <f>IFERROR(__xludf.DUMMYFUNCTION("SUM(
   MAP(
     K$3:ED$3,
     K$7:ED$7,
     K$15:ED$15,
     K$16:ED$16,
     K$21:ED$21,
     K$5:ED$5,
     K$17:ED$17,
     K50:ED50,
     LAMBDA(
       job,
       abillity,
       buff,
       barrier,
       enhance,
       assign,
       preco"&amp;"ndition,
       check,
       IF(
         OR(AND(check=TRUE, REGEXMATCH(assign, ""SELF""), job=""ナイト""), AND(check=Option!$E$13, REGEXMATCH(assign, ""SINGLE_PARTY""))),
         IF(
           OR(ARRAYFORMULA((IF(precondition="""", FALSE, REGEXMATCH($K$4"&amp;":$ED$4, precondition))) * (K50:ED50=TRUE))),
           enhance,
           IF(barrier="""", buff, barrier)
         ),
         0
       ) *
       SWITCH(
         job,
         ""暗黒騎士"", EY$24,
         ""白魔道士"", EF50 * EH50 * EW50 * IF(abillity, 1, EG"&amp;"50 * EI50) * (Option!$D$22 * 0.81 / 100),
         ""占星術師"", EF50 * EJ50 * EW50 * IF(abillity, 1, EG50 * EK50) * (Option!$D$23 * 0.81 / 100),
         ""学者"", EF50 * EL50 * EW50 * IF(abillity, 1, EG50 * EM50) * (Option!$D$24 * 0.81 / 100),
         ""賢者"""&amp;", EF50 * EN50 * EW50 * IF(abillity, 1, EG50 * EO50) * (Option!$D$25 * 0.81 / 100),
         1
       )
     )
   )
 ) + EQ50"),0.0)</f>
        <v>0</v>
      </c>
      <c r="EY50" s="232">
        <f t="shared" si="7"/>
        <v>0</v>
      </c>
      <c r="EZ50" s="205">
        <f>IFERROR(__xludf.DUMMYFUNCTION("PRODUCT(
   MAP(
     IF($F50=""Physical"", K$10:ED$10, IF($F50=""Magic"", K$11:ED$11, K$12:ED$12)),
     IF($F50=""Physical"", K$18:ED$18, IF($F50=""Magic"", K$19:ED$19, K$20:ED$20)),
     K$3:ED$3,
     K$5:ED$5,
     K$17:ED$17,
     K50:ED50,
     LAM"&amp;"BDA(
       mitigation,
       enhance,
       job,
       assign,
       precondition,
       check,
       IF(
         OR(AND(check=TRUE, REGEXMATCH(assign, ""SELF""), job=""戦士""), AND(check=Option!$F$13, REGEXMATCH(assign, ""SINGLE_PARTY""))),
       "&amp;"  IF(
           OR(ARRAYFORMULA((IF(precondition="""", FALSE, REGEXMATCH($K$4:$ED$4, precondition))) * (K50:ED50=TRUE))),
           enhance,
           mitigation
         ),
         1
       )
     )
   )
 ) * EE50"),1.0)</f>
        <v>1</v>
      </c>
      <c r="FA50" s="206">
        <f t="shared" si="8"/>
        <v>0</v>
      </c>
      <c r="FB50" s="205">
        <f>IFERROR(__xludf.DUMMYFUNCTION("PRODUCT(
   MAP(
     K$3:ED$3,
     K$14:ED$14,
     K$13:ED$13,
     K50:ED50,
     LAMBDA(
       job,
       buff,
       target,
       check,
       IF(
         OR(AND(check=TRUE, REGEXMATCH(target, ""SELF_AFFECTED_ALL""), job=""戦士""), AND(check=Op"&amp;"tion!$F$13, REGEXMATCH(target, ""SINGLE_AFFECTED_ALL""))),
         buff,
         1
       )
     )
   )
 )"),1.0)</f>
        <v>1</v>
      </c>
      <c r="FC50" s="206">
        <f>IFERROR(__xludf.DUMMYFUNCTION("SUM(
   MAP(
     K$3:ED$3,
     K$7:ED$7,
     K$15:ED$15,
     K$16:ED$16,
     K$21:ED$21,
     K$5:ED$5,
     K$17:ED$17,
     K50:ED50,
     LAMBDA(
       job,
       abillity,
       buff,
       barrier,
       enhance,
       assign,
       preco"&amp;"ndition,
       check,
       IF(
         OR(AND(check=TRUE, REGEXMATCH(assign, ""SELF""), job=""戦士""), AND(check=Option!$F$13, REGEXMATCH(assign, ""SINGLE_PARTY""))),
         IF(
           OR(ARRAYFORMULA((IF(precondition="""", FALSE, REGEXMATCH($K$4:"&amp;"$ED$4, precondition))) * (K50:ED50=TRUE))),
           enhance,
           IF(barrier="""", buff, barrier)
         ),
         0
       ) *
       SWITCH(
         job,
         ""暗黒騎士"", FD$24,
         ""白魔道士"", EF50 * EH50 * FB50 * IF(abillity, 1, EG5"&amp;"0 * EI50) * (Option!$D$22 * 0.81 / 100),
         ""占星術師"", EF50 * EJ50 * FFB50 * IF(abillity, 1, EG50 * EK50) * (Option!$D$23 * 0.81 / 100),
         ""学者"", EF50 * EL50 * FB50 * IF(abillity, 1, EG50 * EM50) * (Option!$D$24 * 0.81 / 100),
         ""賢者"""&amp;", EF50 * EN50 * FB50 * IF(abillity, 1, EG50 * EO50) * (Option!$D$25 * 0.81 / 100),
         1
       )
     )
   )
 ) + EQ50"),0.0)</f>
        <v>0</v>
      </c>
      <c r="FD50" s="206">
        <f t="shared" si="9"/>
        <v>0</v>
      </c>
      <c r="FE50" s="205">
        <f>IFERROR(__xludf.DUMMYFUNCTION("PRODUCT(
   MAP(
     IF($F50=""Physical"", K$10:ED$10, IF($F50=""Magic"", K$11:ED$11, K$12:ED$12)),
     IF($F50=""Physical"", K$18:ED$18, IF($F50=""Magic"", K$19:ED$19, K$20:ED$20)),
     K$3:ED$3,
     K$5:ED$5,
     K$17:ED$17,
     K50:ED50,
     LAM"&amp;"BDA(
       mitigation,
       enhance,
       job,
       assign,
       precondition,
       check,
       IF(
         OR(AND(check=TRUE, REGEXMATCH(assign, ""SELF""), job=""暗黒騎士""), AND(check=Option!$G$13, REGEXMATCH(assign, ""SINGLE_PARTY""))),
     "&amp;"    IF(
           OR(ARRAYFORMULA((IF(precondition="""", FALSE, REGEXMATCH($K$4:$ED$4, precondition))) * (K50:ED50=TRUE))),
           enhance,
           mitigation
         ),
         1
       )
     )
   )
 ) * EE50"),1.0)</f>
        <v>1</v>
      </c>
      <c r="FF50" s="206">
        <f t="shared" si="10"/>
        <v>0</v>
      </c>
      <c r="FG50" s="205">
        <f>IFERROR(__xludf.DUMMYFUNCTION("PRODUCT(
   MAP(
     K$3:ED$3,
     K$14:ED$14,
     K$13:ED$13,
     K50:ED50,
     LAMBDA(
       job,
       buff,
       target,
       check,
       IF(
         OR(AND(check=TRUE, REGEXMATCH(target, ""SELF_AFFECTED_ALL""), job=""暗黒騎士""), AND(check="&amp;"Option!$G$13, REGEXMATCH(target, ""SINGLE_AFFECTED_ALL""))),
         buff,
         1
       )
     )
   )
 )"),1.0)</f>
        <v>1</v>
      </c>
      <c r="FH50" s="206">
        <f>IFERROR(__xludf.DUMMYFUNCTION("SUM(
   MAP(
     K$3:ED$3,
     K$7:ED$7,
     K$15:ED$15,
     K$16:ED$16,
     K$21:ED$21,
     K$5:ED$5,
     K$17:ED$17,
     K50:ED50,
     LAMBDA(
       job,
       abillity,
       buff,
       barrier,
       enhance,
       assign,
       preco"&amp;"ndition,
       check,
       IF(
         OR(AND(check=TRUE, REGEXMATCH(assign, ""SELF""), job=""暗黒騎士""), AND(check=Option!$G$13, REGEXMATCH(assign, ""SINGLE_PARTY""))),
         IF(
           OR(ARRAYFORMULA((IF(precondition="""", FALSE, REGEXMATCH($K$"&amp;"4:$ED$4, precondition))) * (K50:ED50=TRUE))),
           enhance,
           IF(barrier="""", buff, barrier)
         ),
         0
       ) *
       SWITCH(
         job,
         ""暗黒騎士"", FI$24,
         ""白魔道士"", EF50 * EH50 * FG50 * IF(abillity, 1, E"&amp;"G50 * EI50) * (Option!$D$22 * 0.81 / 100),
         ""占星術師"", EF50 * EJ50 * FG50 * IF(abillity, 1, EG50 * EK50) * (Option!$D$23 * 0.81 / 100),
         ""学者"", EF50 * EL50 * FG50 * IF(abillity, 1, EG50 * EM50) * (Option!$D$24 * 0.81 / 100),
         ""賢者"&amp;""", EF50 * EN50 * FG50 * IF(abillity, 1, EG50 * EO50) * (Option!$D$25 * 0.81 / 100),
         1
       )
     )
   )
 ) + EQ50"),0.0)</f>
        <v>0</v>
      </c>
      <c r="FI50" s="206">
        <f t="shared" si="11"/>
        <v>0</v>
      </c>
      <c r="FJ50" s="205">
        <f>IFERROR(__xludf.DUMMYFUNCTION("PRODUCT(
   MAP(
     IF($F50=""Physical"", K$10:ED$10, IF($F50=""Magic"", K$11:ED$11, K$12:ED$12)),
     IF($F50=""Physical"", K$18:ED$18, IF($F50=""Magic"", K$19:ED$19, K$20:ED$20)),
     K$3:ED$3,
     K$5:ED$5,
     K$17:ED$17,
     K50:ED50,
     LAM"&amp;"BDA(
       mitigation,
       enhance,
       job,
       assign,
       precondition,
       check,
       IF(
         OR(AND(check=TRUE, REGEXMATCH(assign, ""SELF""), job=""ガンブレイカー""), AND(check=Option!$H$13, REGEXMATCH(assign, ""SINGLE_PARTY""))),
  "&amp;"       IF(
           OR(ARRAYFORMULA((IF(precondition="""", FALSE, REGEXMATCH($K$4:$ED$4, precondition))) * (K50:ED50=TRUE))),
           enhance,
           mitigation
         ),
         1
       )
     )
   )
 ) * EE50"),1.0)</f>
        <v>1</v>
      </c>
      <c r="FK50" s="206">
        <f t="shared" si="12"/>
        <v>0</v>
      </c>
      <c r="FL50" s="205">
        <f>IFERROR(__xludf.DUMMYFUNCTION("PRODUCT(
   MAP(
     K$3:ED$3,
     K$14:ED$14,
     K$13:ED$13,
     K50:ED50,
     LAMBDA(
       job,
       buff,
       target,
       check,
       IF(
         OR(AND(check=TRUE, REGEXMATCH(target, ""SELF_AFFECTED_ALL""), job=""ガンブレイカー""), AND(che"&amp;"ck=Option!$H$13, REGEXMATCH(target, ""SINGLE_AFFECTED_ALL""))),
         buff,
         1
       )
     )
   )
 )"),1.0)</f>
        <v>1</v>
      </c>
      <c r="FM50" s="206">
        <f>IFERROR(__xludf.DUMMYFUNCTION("SUM(
   MAP(
     K$3:ED$3,
     K$7:ED$7,
     K$15:ED$15,
     K$16:ED$16,
     K$21:ED$21,
     K$5:ED$5,
     K$17:ED$17,
     K50:ED50,
     LAMBDA(
       job,
       abillity,
       buff,
       barrier,
       enhance,
       assign,
       preco"&amp;"ndition,
       check,
       IF(
         OR(AND(check=TRUE, REGEXMATCH(assign, ""SELF""), job=""ガンブレイカー""), AND(check=Option!$H$13, REGEXMATCH(assign, ""SINGLE_PARTY""))),
         IF(
           OR(ARRAYFORMULA((IF(precondition="""", FALSE, REGEXMATCH("&amp;"$K$4:$ED$4, precondition))) * (K50:ED50=TRUE))),
           enhance,
           IF(barrier="""", buff, barrier)
         ),
         0
       ) *
       SWITCH(
         job,
         ""暗黒騎士"", FN$24,
         ""白魔道士"", EF50 * EH50 * FL50 * IF(abillity, 1"&amp;", EG50 * EI50) * (Option!$D$22 * 0.81 / 100),
         ""占星術師"", EF50 * EJ50 * FL50 * IF(abillity, 1, EG50 * EK50) * (Option!$D$23 * 0.81 / 100),
         ""学者"", EF50 * EL50 * FL50 * IF(abillity, 1, EG50 * EM50) * (Option!$D$24 * 0.81 / 100),
         """&amp;"賢者"", EF50 * EN50 * FL50 * IF(abillity, 1, EG50 * EO50) * (Option!$D$25 * 0.81 / 100),
         1
       )
     )
   )
 ) + EQ50"),0.0)</f>
        <v>0</v>
      </c>
      <c r="FN50" s="206">
        <f t="shared" si="13"/>
        <v>0</v>
      </c>
      <c r="FO50" s="213"/>
    </row>
    <row r="51">
      <c r="B51" s="229"/>
      <c r="C51" s="217">
        <f t="shared" si="1"/>
        <v>0.00380787037</v>
      </c>
      <c r="D51" s="236"/>
      <c r="E51" s="238"/>
      <c r="F51" s="167"/>
      <c r="G51" s="168" t="str">
        <f t="shared" si="2"/>
        <v/>
      </c>
      <c r="H51" s="169"/>
      <c r="I51" s="169"/>
      <c r="J51" s="169"/>
      <c r="K51" s="170" t="b">
        <v>0</v>
      </c>
      <c r="L51" s="170" t="b">
        <v>0</v>
      </c>
      <c r="M51" s="170" t="b">
        <v>0</v>
      </c>
      <c r="N51" s="171" t="s">
        <v>1070</v>
      </c>
      <c r="O51" s="172" t="b">
        <v>0</v>
      </c>
      <c r="P51" s="173" t="b">
        <v>0</v>
      </c>
      <c r="Q51" s="173" t="b">
        <v>0</v>
      </c>
      <c r="R51" s="173" t="b">
        <v>0</v>
      </c>
      <c r="S51" s="174" t="b">
        <v>0</v>
      </c>
      <c r="T51" s="175" t="b">
        <v>0</v>
      </c>
      <c r="U51" s="173" t="b">
        <v>0</v>
      </c>
      <c r="V51" s="171" t="s">
        <v>1070</v>
      </c>
      <c r="W51" s="172" t="b">
        <v>0</v>
      </c>
      <c r="X51" s="173" t="b">
        <v>0</v>
      </c>
      <c r="Y51" s="173" t="b">
        <v>0</v>
      </c>
      <c r="Z51" s="173" t="b">
        <v>0</v>
      </c>
      <c r="AA51" s="174" t="b">
        <v>0</v>
      </c>
      <c r="AB51" s="174" t="b">
        <v>0</v>
      </c>
      <c r="AC51" s="175" t="b">
        <v>0</v>
      </c>
      <c r="AD51" s="173" t="b">
        <v>0</v>
      </c>
      <c r="AE51" s="176" t="s">
        <v>1070</v>
      </c>
      <c r="AF51" s="171" t="s">
        <v>1070</v>
      </c>
      <c r="AG51" s="177">
        <f>IFERROR(__xludf.DUMMYFUNCTION("IF(
  ISNUMBER(AG50),
  MIN(MAX(
    AG50
    + MAX(
      ROUNDDOWN(($D51 - MAX(IFERROR(FILTER($D$24:$D50, AG$24:AG50 &lt;&gt; AF$6, AG$23:AG49 = AF$6), 0))) * (60 * 60 * 24) / AF$9) - ROUNDDOWN(($D50 - MAX(IFERROR(FILTER($D$23:$D49, AG$23:AG49 &lt;&gt; AF$6, AG$22:"&amp;"AG48 = AF$6), 0))) * (60 * 60 * 24) / 60),
      0
    )
    - COUNTIF(AF51, ""&lt;&gt;-""),
  0), AF$6),
  AF$6 - COUNTIF(AF51, ""&lt;&gt;-"")
)"),2.0)</f>
        <v>2</v>
      </c>
      <c r="AH51" s="173" t="b">
        <v>0</v>
      </c>
      <c r="AI51" s="173" t="b">
        <v>0</v>
      </c>
      <c r="AJ51" s="173" t="b">
        <v>0</v>
      </c>
      <c r="AK51" s="174" t="b">
        <v>0</v>
      </c>
      <c r="AL51" s="175" t="b">
        <v>0</v>
      </c>
      <c r="AM51" s="173" t="b">
        <v>0</v>
      </c>
      <c r="AN51" s="171" t="s">
        <v>1070</v>
      </c>
      <c r="AO51" s="173" t="b">
        <v>0</v>
      </c>
      <c r="AP51" s="173" t="b">
        <v>0</v>
      </c>
      <c r="AQ51" s="173" t="b">
        <v>0</v>
      </c>
      <c r="AR51" s="174" t="b">
        <v>0</v>
      </c>
      <c r="AS51" s="178" t="b">
        <v>0</v>
      </c>
      <c r="AT51" s="179" t="b">
        <v>0</v>
      </c>
      <c r="AU51" s="180" t="b">
        <v>0</v>
      </c>
      <c r="AV51" s="180" t="b">
        <v>0</v>
      </c>
      <c r="AW51" s="180" t="b">
        <v>0</v>
      </c>
      <c r="AX51" s="180" t="b">
        <v>0</v>
      </c>
      <c r="AY51" s="181" t="s">
        <v>1070</v>
      </c>
      <c r="AZ51" s="181" t="s">
        <v>1070</v>
      </c>
      <c r="BA51" s="184">
        <f>IFERROR(__xludf.DUMMYFUNCTION("IF(
  ISNUMBER(BA50),
  MIN(MAX(
    BA50
    + MAX(
      ROUNDDOWN((D51 - MAX(IFERROR(FILTER(D$24:D50, BA$24:BA50 &lt;&gt; AZ$6, BA$23:BA49 = AZ$6), 0))) * (60 * 60 * 24) / AZ$9) - ROUNDDOWN((D50 - MAX(IFERROR(FILTER(D$23:D49, BA$23:BA49 &lt;&gt; AZ$6, BA$22:BA48 ="&amp;" AZ$6), 0))) * (60 * 60 * 24) / AZ$9),
      0
    )
    - COUNTIF(AZ51, ""&lt;&gt;-""),
  0), AZ$6),
  AZ$6 - COUNTIF(AZ51, ""&lt;&gt;-"")
)"),2.0)</f>
        <v>2</v>
      </c>
      <c r="BB51" s="181" t="s">
        <v>1070</v>
      </c>
      <c r="BC51" s="183">
        <f>IFERROR(__xludf.DUMMYFUNCTION("IF(
  ISNUMBER(BC50),
  MIN(MAX(
    BC50
    + MAX(
      ROUNDDOWN(($D51 - MAX(IFERROR(FILTER($D$24:$D50, BC$24:BC50 &lt;&gt; BB$6, BC$23:BC49 = BB$6), 0))) * (60 * 60 * 24) / BB$9) - ROUNDDOWN(($D50 - MAX(IFERROR(FILTER($D$23:$D49, BC$23:BC49 &lt;&gt; BB$6, BC$22:"&amp;"BC48 = BB$6), 0))) * (60 * 60 * 24) / 60),
      0
    )
    - COUNTIF(BB51, ""&lt;&gt;-""),
  0), BB$6),
  BB$6 - COUNTIF(BB51, ""&lt;&gt;-"")
)"),2.0)</f>
        <v>2</v>
      </c>
      <c r="BD51" s="181" t="s">
        <v>1070</v>
      </c>
      <c r="BE51" s="178" t="b">
        <v>0</v>
      </c>
      <c r="BF51" s="180" t="b">
        <v>0</v>
      </c>
      <c r="BG51" s="180" t="b">
        <v>0</v>
      </c>
      <c r="BH51" s="180" t="b">
        <v>0</v>
      </c>
      <c r="BI51" s="180" t="b">
        <v>0</v>
      </c>
      <c r="BJ51" s="180" t="b">
        <v>0</v>
      </c>
      <c r="BK51" s="180" t="b">
        <v>0</v>
      </c>
      <c r="BL51" s="180" t="b">
        <v>0</v>
      </c>
      <c r="BM51" s="180" t="b">
        <v>0</v>
      </c>
      <c r="BN51" s="180" t="b">
        <v>0</v>
      </c>
      <c r="BO51" s="181" t="s">
        <v>1070</v>
      </c>
      <c r="BP51" s="181" t="s">
        <v>1070</v>
      </c>
      <c r="BQ51" s="181" t="s">
        <v>1070</v>
      </c>
      <c r="BR51" s="181" t="s">
        <v>1070</v>
      </c>
      <c r="BS51" s="181" t="s">
        <v>1070</v>
      </c>
      <c r="BT51" s="184">
        <f>IFERROR(__xludf.DUMMYFUNCTION("IF(
  ISNUMBER(BT50),
  MIN(MAX(
    BT50
    + MAX(
      ROUNDDOWN((D51 - MAX(IFERROR(FILTER(D$24:D50, BT$24:BT50 &lt;&gt; BS$6, BT$23:BT49 = BS$6), 0))) * (60 * 60 * 24) / BS$9) - ROUNDDOWN((D50 - MAX(IFERROR(FILTER(D$23:D49, BT$23:BT49 &lt;&gt; BS$6, BT$22:BT48 ="&amp;" BS$6), 0))) * (60 * 60 * 24) / BS$9),
      0
    )
    - COUNTIF(BS51, ""&lt;&gt;-""),
  0), BS$6),
  BS$6 - COUNTIF(BS51, ""&lt;&gt;-"")
)"),3.0)</f>
        <v>3</v>
      </c>
      <c r="BU51" s="181" t="s">
        <v>1070</v>
      </c>
      <c r="BV51" s="181" t="s">
        <v>1070</v>
      </c>
      <c r="BW51" s="184">
        <f>IFERROR(__xludf.DUMMYFUNCTION("IF(
  ISNUMBER(BW50),
  MIN(MAX(
    BW50
    + MAX(
      ROUNDDOWN((D51 - MAX(IFERROR(FILTER(D$24:D50, BW$24:BW50 &lt;&gt; BV$6, BW$23:BW49 = BV$6), 0))) * (60 * 60 * 24) / BV$9) - ROUNDDOWN((D50 - MAX(IFERROR(FILTER(D$23:D49, BW$23:BW49 &lt;&gt; BV$6, BW$22:BW48 ="&amp;" BV$6), 0))) * (60 * 60 * 24) / BV$9),
      0
    )
    - COUNTIF(BV51, ""&lt;&gt;-""),
  0), BV$6),
  BV$6 - COUNTIF(BV51, ""&lt;&gt;-"")
)"),2.0)</f>
        <v>2</v>
      </c>
      <c r="BX51" s="185" t="s">
        <v>1070</v>
      </c>
      <c r="BY51" s="178" t="b">
        <v>0</v>
      </c>
      <c r="BZ51" s="180" t="b">
        <v>0</v>
      </c>
      <c r="CA51" s="180" t="b">
        <v>0</v>
      </c>
      <c r="CB51" s="180" t="b">
        <v>0</v>
      </c>
      <c r="CC51" s="180" t="b">
        <v>0</v>
      </c>
      <c r="CD51" s="180" t="b">
        <v>0</v>
      </c>
      <c r="CE51" s="180" t="b">
        <v>0</v>
      </c>
      <c r="CF51" s="180" t="b">
        <v>0</v>
      </c>
      <c r="CG51" s="180" t="b">
        <v>0</v>
      </c>
      <c r="CH51" s="180" t="b">
        <v>0</v>
      </c>
      <c r="CI51" s="180" t="b">
        <v>0</v>
      </c>
      <c r="CJ51" s="180" t="b">
        <v>0</v>
      </c>
      <c r="CK51" s="180" t="b">
        <v>0</v>
      </c>
      <c r="CL51" s="180" t="b">
        <v>0</v>
      </c>
      <c r="CM51" s="181" t="s">
        <v>1070</v>
      </c>
      <c r="CN51" s="181" t="s">
        <v>1070</v>
      </c>
      <c r="CO51" s="181" t="s">
        <v>1070</v>
      </c>
      <c r="CP51" s="181" t="s">
        <v>1070</v>
      </c>
      <c r="CQ51" s="185" t="s">
        <v>1070</v>
      </c>
      <c r="CR51" s="180" t="b">
        <v>0</v>
      </c>
      <c r="CS51" s="186" t="str">
        <f t="shared" si="14"/>
        <v>◇◇◇</v>
      </c>
      <c r="CT51" s="178" t="b">
        <v>0</v>
      </c>
      <c r="CU51" s="180" t="b">
        <v>0</v>
      </c>
      <c r="CV51" s="180" t="b">
        <v>0</v>
      </c>
      <c r="CW51" s="180" t="b">
        <v>0</v>
      </c>
      <c r="CX51" s="180" t="b">
        <v>0</v>
      </c>
      <c r="CY51" s="180" t="b">
        <v>0</v>
      </c>
      <c r="CZ51" s="180" t="b">
        <v>0</v>
      </c>
      <c r="DA51" s="180" t="b">
        <v>0</v>
      </c>
      <c r="DB51" s="180" t="b">
        <v>0</v>
      </c>
      <c r="DC51" s="180" t="b">
        <v>0</v>
      </c>
      <c r="DD51" s="181" t="s">
        <v>1070</v>
      </c>
      <c r="DE51" s="181" t="s">
        <v>1070</v>
      </c>
      <c r="DF51" s="181" t="s">
        <v>1070</v>
      </c>
      <c r="DG51" s="185" t="s">
        <v>1070</v>
      </c>
      <c r="DH51" s="180" t="b">
        <v>0</v>
      </c>
      <c r="DI51" s="187" t="str">
        <f>IFERROR(__xludf.DUMMYFUNCTION("SWITCH(
  IF(
    ISTEXT(DI50),
    IF (
      FIND(""○"", DI50&amp;""○"") &gt; 3,
      3,
      FIND(""○"", DI50&amp;""○"")
      + MAX(
        ROUNDDOWN(($D51 - MAX(IFERROR(FILTER(D$24:D50, DI$24:DI50 &lt;&gt; ""●●●"", DI$23:DI49 = ""●●●""), 0))) * (60 * 60 * 24) / 20"&amp;") - ROUNDDOWN(($D50 - MAX(IFERROR(FILTER(D$23:D49, DI$23:DI49 &lt;&gt; ""●●●"", DI$22:DI48 = ""●●●""), 0))) * (60 * 60 * 24) / 20),
        0
      ) - 1
    ) - COUNTIFS(CU51, ""=TRUE"", CU50, ""&lt;&gt;TRUE"") - COUNTIF(CZ51, ""=TRUE"") - COUNTIF({DD51,DE51}, ""&lt;&gt;-"&amp;""") + COUNTIF(DH51, ""=TRUE""),
    3
  ),
  0, ""○○○"", 1, ""●○○"", 2, ""●●○"", 3, ""●●●"", 4, ""●●●"", ""○○○""
)"),"●●●")</f>
        <v>●●●</v>
      </c>
      <c r="DJ51" s="188" t="b">
        <v>0</v>
      </c>
      <c r="DK51" s="189" t="b">
        <v>0</v>
      </c>
      <c r="DL51" s="190" t="b">
        <v>0</v>
      </c>
      <c r="DM51" s="190" t="b">
        <v>0</v>
      </c>
      <c r="DN51" s="190" t="b">
        <v>0</v>
      </c>
      <c r="DO51" s="190" t="b">
        <v>0</v>
      </c>
      <c r="DP51" s="190" t="b">
        <v>0</v>
      </c>
      <c r="DQ51" s="191" t="b">
        <v>0</v>
      </c>
      <c r="DR51" s="192" t="b">
        <v>0</v>
      </c>
      <c r="DS51" s="191" t="b">
        <v>0</v>
      </c>
      <c r="DT51" s="192" t="b">
        <v>0</v>
      </c>
      <c r="DU51" s="191" t="b">
        <v>0</v>
      </c>
      <c r="DV51" s="193" t="s">
        <v>1070</v>
      </c>
      <c r="DW51" s="194" t="b">
        <v>0</v>
      </c>
      <c r="DX51" s="194" t="b">
        <v>0</v>
      </c>
      <c r="DY51" s="195" t="b">
        <v>0</v>
      </c>
      <c r="DZ51" s="196" t="b">
        <v>0</v>
      </c>
      <c r="EA51" s="195" t="b">
        <v>0</v>
      </c>
      <c r="EB51" s="197" t="b">
        <v>0</v>
      </c>
      <c r="EC51" s="197" t="b">
        <v>0</v>
      </c>
      <c r="ED51" s="212" t="b">
        <v>0</v>
      </c>
      <c r="EE51" s="199">
        <f>IFERROR(__xludf.DUMMYFUNCTION("IFERROR(
   PRODUCT(
     MAP(
       INDEX(TRANSPOSE(UNIQUE(TRANSPOSE(FILTER({IF($F51=""Physical"", K$10:ED$10, IF($F51=""Magic"", K$11:ED$11, K$12:ED$12));K$4:ED$4;K51:ED51}, K51:ED51=TRUE)))), 1, 0),
       INDEX(TRANSPOSE(UNIQUE(TRANSPOSE(FILTER({IF($"&amp;"F51=""Physical"", K$18:ED$18, IF($F51=""Magic"", K$19:ED$19, K$20:ED$20));K$4:ED$4;K51:ED51}, K51:ED51=TRUE)))), 1, 0),
       INDEX(TRANSPOSE(UNIQUE(TRANSPOSE(FILTER({K$5:ED$5;K$4:ED$4;K51:ED51}, K51:ED51=TRUE)))), 1, 0),
       INDEX(TRANSPOSE(UNIQUE(TR"&amp;"ANSPOSE(FILTER({K$17:ED$17;K$4:ED$4;K51:ED51}, K51:ED51=TRUE)))), 1, 0),
       LAMBDA(
         mitigation,
         enhance,
         assign,
         precondition,
         IF(
           REGEXMATCH(assign, ""RANGE_PARTY|SINGLE_ENEMY|RANGE_ENEMY""),
  "&amp;"         IF(
             OR(ARRAYFORMULA((IF(precondition="""", FALSE, REGEXMATCH(K$4:ED$4, precondition))) * (K51:ED51=TRUE))),
             IF(ISNUMBER(enhance), enhance, 1),
             IF(ISNUMBER(mitigation), mitigation, 1)
           ),
          "&amp;" 1
         )
       )
     )
   ),
   1
 )"),1.0)</f>
        <v>1</v>
      </c>
      <c r="EF51" s="200">
        <f>IFERROR(__xludf.DUMMYFUNCTION("PRODUCT(
   MAP(
     K$14:ED$14,
     K$13:ED$13,
     K51:ED51,
     LAMBDA(
       buff,
       target,
       check,
       IF(
         AND(check=TRUE, REGEXMATCH(target, ""RANGE_AFFECTED_ALL|RANGE_EFFECTED_ALL""), ISNUMBER(buff)),
         buff,
   "&amp;"      1
       )
     )
   )
 )"),1.0)</f>
        <v>1</v>
      </c>
      <c r="EG51" s="200">
        <f>IFERROR(__xludf.DUMMYFUNCTION("PRODUCT(
   MAP(
     K$14:ED$14,
     K$13:ED$13,
     K51:ED51,
     LAMBDA(
       buff,
       target,
       check,
       IF(
         AND(check=TRUE, REGEXMATCH(target, ""RANGE_AFFECTED_GCD|RANGE_EFFECTED_GCD""), ISNUMBER(buff)),
         buff,
   "&amp;"      1
       )
     )
   )
 )"),1.0)</f>
        <v>1</v>
      </c>
      <c r="EH51" s="200">
        <f>IFERROR(__xludf.DUMMYFUNCTION("PRODUCT(
   MAP(
     K$3:ED$3,
     K$14:ED$14,
     K$13:ED$13,
     K51:ED51,
     LAMBDA(
       job,
       buff,
       target,
       check,
       IF(
         AND(check=TRUE, REGEXMATCH(target, ""SELF_EFFECTED_ALL""), ISNUMBER(buff), job=""白魔道士"""&amp;"),
         buff,
         1
       )
     )
   )
 )"),1.0)</f>
        <v>1</v>
      </c>
      <c r="EI51" s="200">
        <f>IFERROR(__xludf.DUMMYFUNCTION("PRODUCT(
   MAP(
     K$3:ED$3,
     K$14:ED$14,
     K$13:ED$13,
     K51:ED51,
     LAMBDA(
       job,
       buff,
       target,
       check,
       IF(
         AND(check=TRUE, REGEXMATCH(target, ""SELF_EFFECTED_GCD""), ISNUMBER(buff), job=""白魔道士"""&amp;"),
         buff,
         1
       )
     )
   )
 )"),1.0)</f>
        <v>1</v>
      </c>
      <c r="EJ51" s="200">
        <f>IFERROR(__xludf.DUMMYFUNCTION("PRODUCT(
   MAP(
     K$3:ED$3,
     K$14:ED$14,
     K$13:ED$13,
     K51:ED51,
     LAMBDA(
       job,
       buff,
       target,
       check,
       IF(
         AND(check=TRUE, REGEXMATCH(target, ""SELF_EFFECTED_ALL""), ISNUMBER(buff), job=""占星術師"""&amp;"),
         buff,
         1
       )
     )
   )
 )"),1.0)</f>
        <v>1</v>
      </c>
      <c r="EK51" s="200">
        <f>IFERROR(__xludf.DUMMYFUNCTION("PRODUCT(
   MAP(
     K$3:ED$3,
     K$14:ED$14,
     K$13:ED$13,
     K51:ED51,
     LAMBDA(
       job,
       buff,
       target,
       check,
       IF(
         AND(check=TRUE, REGEXMATCH(target, ""SELF_EFFECTED_GCD""), ISNUMBER(buff), job=""占星術師"""&amp;"),
         buff,
         1
       )
     )
   )
 )"),1.0)</f>
        <v>1</v>
      </c>
      <c r="EL51" s="200">
        <f>IFERROR(__xludf.DUMMYFUNCTION("PRODUCT(
   MAP(
     K$3:ED$3,
     K$14:ED$14,
     K$13:ED$13,
     K51:ED51,
     LAMBDA(
       job,
       buff,
       target,
       check,
       IF(
         AND(check=TRUE, REGEXMATCH(target, ""SELF_EFFECTED_ALL""), ISNUMBER(buff), job=""学者""),"&amp;"
         buff,
         1
       )
     )
   )
 )"),1.0)</f>
        <v>1</v>
      </c>
      <c r="EM51" s="200">
        <f>IFERROR(__xludf.DUMMYFUNCTION("PRODUCT(
   MAP(
     K$3:ED$3,
     K$14:ED$14,
     K$13:ED$13,
     K51:ED51,
     LAMBDA(
       job,
       buff,
       target,
       check,
       IF(
         AND(check=TRUE, REGEXMATCH(target, ""SELF_EFFECTED_GCD""), ISNUMBER(buff), job=""学者""),"&amp;"
         buff,
         1
       )
     )
   )
 )"),1.0)</f>
        <v>1</v>
      </c>
      <c r="EN51" s="200">
        <f>IFERROR(__xludf.DUMMYFUNCTION("PRODUCT(
   MAP(
     K$3:ED$3,
     K$14:ED$14,
     K$13:ED$13,
     K51:ED51,
     LAMBDA(
       job,
       buff,
       target,
       check,
       IF(
         AND(check=TRUE, REGEXMATCH(target, ""SELF_EFFECTED_ALL""), ISNUMBER(buff), job=""賢者""),"&amp;"
         buff,
         1
       )
     )
   )
 )"),1.0)</f>
        <v>1</v>
      </c>
      <c r="EO51" s="200">
        <f>IFERROR(__xludf.DUMMYFUNCTION("PRODUCT(
   MAP(
     K$3:ED$3,
     K$14:ED$14,
     K$13:ED$13,
     K51:ED51,
     LAMBDA(
       job,
       buff,
       target,
       check,
       IF(
         AND(check=TRUE, REGEXMATCH(target, ""SELF_EFFECTED_GCD""), ISNUMBER(buff), job=""賢者""),"&amp;"
         buff,
         1
       )
     )
   )
 )"),1.0)</f>
        <v>1</v>
      </c>
      <c r="EP51" s="201">
        <f t="shared" si="3"/>
        <v>0</v>
      </c>
      <c r="EQ51" s="201">
        <f>IFERROR(__xludf.DUMMYFUNCTION("SUM(
   MAP(
     K$4:ED$4,
     K$3:ED$3,
     K$7:ED$7,
     K$15:ED$15,
     K$16:ED$16,
     K$21:ED$21,
     K$5:ED$5,
     K$17:ED$17,
     K51:ED51,
     LAMBDA(
       name,
       job,
       abillity,
       buff,
       barrier,
       enhance,"&amp;"
       assign,
       precondition,
       check,
       SWITCH(
         name,
         ""シェイクオフ"", IF(check=TRUE, buff + (0.02 * COUNTIF(ARRAYFORMULA((REGEXMATCH($K$4:$ED$4, ""スリル・オブ・バトル|ヴェンジェンス|原初の血気|ダムネーション"")) * (K51:ED51=TRUE)), 1)), 0),
         "&amp;"""インプロビゼーションフィニッシュ(踊りの激情0)"", IF(ISNUMBER(check), INDEX(Skill!$AJ:$AJ, MATCH(SUBSTITUTE(DV$4, 0, check), Skill!$C:$C, 0)), 0),
         IF(
           AND(check=TRUE, REGEXMATCH(assign, ""RANGE_PARTY"")),
           IF(
             OR(ARRAYFORMULA((IF(pr"&amp;"econdition="""", FALSE, REGEXMATCH($K$4:$ED$4, precondition))) * (K51:ED51=TRUE))),
             enhance,
             IF(barrier="""", buff, barrier)
           ),
           0
         )
       ) *
       SWITCH(
         job,
         ""ナイト"", EY$24,
 "&amp;"        ""戦士"", FD$24,
         ""踊り子"", ET$24,
         ""ピクトマンサー"", ET$24,
         ""白魔道士"", EF51 * EH51 * IF(abillity, 1, EG51 * EI51) * (Option!$D$22 * 0.81 / 100),
         ""占星術師"", EF51 * EJ51 * IF(abillity, 1, EG51 * EK51) * (Option!$D$23 * 0.81 "&amp;"/ 100),
         ""学者"", EF51 * EL51 * IF(abillity, 1, EG51 * EM51) * (Option!$D$24 * 0.81 / 100),
         ""賢者"", EF51 * EN51 * IF(abillity, 1, EG51 * EO51) * (Option!$D$25 * 0.81 / 100),
         1
       )
     )
   )
 )"),0.0)</f>
        <v>0</v>
      </c>
      <c r="ER51" s="202">
        <f t="shared" si="4"/>
        <v>0</v>
      </c>
      <c r="ES51" s="203">
        <f t="shared" si="5"/>
        <v>0</v>
      </c>
      <c r="ET51" s="231" t="str">
        <f>IFERROR(__xludf.DUMMYFUNCTION("IFS(
  EP51 &gt; $ET$24 + EQ51,
  SPARKLINE({ 1, 0 }, {""charttype"",""bar"";""max"", 1;""color1"",Option!$D$30;""color2"",Option!$D$30}),
  EP51 &lt; EQ51,
  SPARKLINE({EQ51 - EP51, $ET$24 - (EQ51 - EP51)}, {""charttype"",""bar"";""max"",$ET$24;""color1"",Opti"&amp;"on!$D$28;""color2"",Option!$D$29}),
  EP51 &gt;= EQ51,
  SPARKLINE({$ET$24 + EQ51 - EP51,EP51 - EQ51}, {""charttype"",""bar"";""max"",$ET$24;""color1"",Option!$D$29;""color2"",Option!$D$30})
)"),"")</f>
        <v/>
      </c>
      <c r="EU51" s="205">
        <f>IFERROR(__xludf.DUMMYFUNCTION("PRODUCT(
   MAP(
     IF($F51=""Physical"", K$10:ED$10, IF($F51=""Magic"", K$11:ED$11, K$12:ED$12)),
     IF($F51=""Physical"", K$18:ED$18, IF($F51=""Magic"", K$19:ED$19, K$20:ED$20)),
     K$3:ED$3,
     K$5:ED$5,
     K$17:ED$17,
     K51:ED51,
     LAM"&amp;"BDA(
       mitigation,
       enhance,
       job,
       assign,
       precondition,
       check,
       IF(
         OR(AND(check=TRUE, REGEXMATCH(assign, ""SELF""), job=""ナイト""), AND(check=Option!$E$13, REGEXMATCH(assign, ""SINGLE_PARTY""))),
      "&amp;"   IF(
           OR(ARRAYFORMULA((IF(precondition="""", FALSE, REGEXMATCH($K$4:$ED$4, precondition))) * (K51:ED51=TRUE))),
           enhance,
           mitigation
         ),
         1
       )
     )
   )
 ) * EE51"),1.0)</f>
        <v>1</v>
      </c>
      <c r="EV51" s="206">
        <f t="shared" si="6"/>
        <v>0</v>
      </c>
      <c r="EW51" s="205">
        <f>IFERROR(__xludf.DUMMYFUNCTION("PRODUCT(
   MAP(
     K$3:ED$3,
     K$14:ED$14,
     K$13:ED$13,
     K51:ED51,
     LAMBDA(
       job,
       buff,
       target,
       check,
       IF(
         OR(AND(check=TRUE, REGEXMATCH(target, ""SELF_AFFECTED_ALL""), job=""ナイト""), AND(check=O"&amp;"ption!$E$13, REGEXMATCH(target, ""SINGLE_AFFECTED_ALL""))),
         buff,
         1
       )
     )
   )
 )"),1.0)</f>
        <v>1</v>
      </c>
      <c r="EX51" s="206">
        <f>IFERROR(__xludf.DUMMYFUNCTION("SUM(
   MAP(
     K$3:ED$3,
     K$7:ED$7,
     K$15:ED$15,
     K$16:ED$16,
     K$21:ED$21,
     K$5:ED$5,
     K$17:ED$17,
     K51:ED51,
     LAMBDA(
       job,
       abillity,
       buff,
       barrier,
       enhance,
       assign,
       preco"&amp;"ndition,
       check,
       IF(
         OR(AND(check=TRUE, REGEXMATCH(assign, ""SELF""), job=""ナイト""), AND(check=Option!$E$13, REGEXMATCH(assign, ""SINGLE_PARTY""))),
         IF(
           OR(ARRAYFORMULA((IF(precondition="""", FALSE, REGEXMATCH($K$4"&amp;":$ED$4, precondition))) * (K51:ED51=TRUE))),
           enhance,
           IF(barrier="""", buff, barrier)
         ),
         0
       ) *
       SWITCH(
         job,
         ""暗黒騎士"", EY$24,
         ""白魔道士"", EF51 * EH51 * EW51 * IF(abillity, 1, EG"&amp;"51 * EI51) * (Option!$D$22 * 0.81 / 100),
         ""占星術師"", EF51 * EJ51 * EW51 * IF(abillity, 1, EG51 * EK51) * (Option!$D$23 * 0.81 / 100),
         ""学者"", EF51 * EL51 * EW51 * IF(abillity, 1, EG51 * EM51) * (Option!$D$24 * 0.81 / 100),
         ""賢者"""&amp;", EF51 * EN51 * EW51 * IF(abillity, 1, EG51 * EO51) * (Option!$D$25 * 0.81 / 100),
         1
       )
     )
   )
 ) + EQ51"),0.0)</f>
        <v>0</v>
      </c>
      <c r="EY51" s="232">
        <f t="shared" si="7"/>
        <v>0</v>
      </c>
      <c r="EZ51" s="205">
        <f>IFERROR(__xludf.DUMMYFUNCTION("PRODUCT(
   MAP(
     IF($F51=""Physical"", K$10:ED$10, IF($F51=""Magic"", K$11:ED$11, K$12:ED$12)),
     IF($F51=""Physical"", K$18:ED$18, IF($F51=""Magic"", K$19:ED$19, K$20:ED$20)),
     K$3:ED$3,
     K$5:ED$5,
     K$17:ED$17,
     K51:ED51,
     LAM"&amp;"BDA(
       mitigation,
       enhance,
       job,
       assign,
       precondition,
       check,
       IF(
         OR(AND(check=TRUE, REGEXMATCH(assign, ""SELF""), job=""戦士""), AND(check=Option!$F$13, REGEXMATCH(assign, ""SINGLE_PARTY""))),
       "&amp;"  IF(
           OR(ARRAYFORMULA((IF(precondition="""", FALSE, REGEXMATCH($K$4:$ED$4, precondition))) * (K51:ED51=TRUE))),
           enhance,
           mitigation
         ),
         1
       )
     )
   )
 ) * EE51"),1.0)</f>
        <v>1</v>
      </c>
      <c r="FA51" s="206">
        <f t="shared" si="8"/>
        <v>0</v>
      </c>
      <c r="FB51" s="205">
        <f>IFERROR(__xludf.DUMMYFUNCTION("PRODUCT(
   MAP(
     K$3:ED$3,
     K$14:ED$14,
     K$13:ED$13,
     K51:ED51,
     LAMBDA(
       job,
       buff,
       target,
       check,
       IF(
         OR(AND(check=TRUE, REGEXMATCH(target, ""SELF_AFFECTED_ALL""), job=""戦士""), AND(check=Op"&amp;"tion!$F$13, REGEXMATCH(target, ""SINGLE_AFFECTED_ALL""))),
         buff,
         1
       )
     )
   )
 )"),1.0)</f>
        <v>1</v>
      </c>
      <c r="FC51" s="206">
        <f>IFERROR(__xludf.DUMMYFUNCTION("SUM(
   MAP(
     K$3:ED$3,
     K$7:ED$7,
     K$15:ED$15,
     K$16:ED$16,
     K$21:ED$21,
     K$5:ED$5,
     K$17:ED$17,
     K51:ED51,
     LAMBDA(
       job,
       abillity,
       buff,
       barrier,
       enhance,
       assign,
       preco"&amp;"ndition,
       check,
       IF(
         OR(AND(check=TRUE, REGEXMATCH(assign, ""SELF""), job=""戦士""), AND(check=Option!$F$13, REGEXMATCH(assign, ""SINGLE_PARTY""))),
         IF(
           OR(ARRAYFORMULA((IF(precondition="""", FALSE, REGEXMATCH($K$4:"&amp;"$ED$4, precondition))) * (K51:ED51=TRUE))),
           enhance,
           IF(barrier="""", buff, barrier)
         ),
         0
       ) *
       SWITCH(
         job,
         ""暗黒騎士"", FD$24,
         ""白魔道士"", EF51 * EH51 * FB51 * IF(abillity, 1, EG5"&amp;"1 * EI51) * (Option!$D$22 * 0.81 / 100),
         ""占星術師"", EF51 * EJ51 * FFB51 * IF(abillity, 1, EG51 * EK51) * (Option!$D$23 * 0.81 / 100),
         ""学者"", EF51 * EL51 * FB51 * IF(abillity, 1, EG51 * EM51) * (Option!$D$24 * 0.81 / 100),
         ""賢者"""&amp;", EF51 * EN51 * FB51 * IF(abillity, 1, EG51 * EO51) * (Option!$D$25 * 0.81 / 100),
         1
       )
     )
   )
 ) + EQ51"),0.0)</f>
        <v>0</v>
      </c>
      <c r="FD51" s="206">
        <f t="shared" si="9"/>
        <v>0</v>
      </c>
      <c r="FE51" s="205">
        <f>IFERROR(__xludf.DUMMYFUNCTION("PRODUCT(
   MAP(
     IF($F51=""Physical"", K$10:ED$10, IF($F51=""Magic"", K$11:ED$11, K$12:ED$12)),
     IF($F51=""Physical"", K$18:ED$18, IF($F51=""Magic"", K$19:ED$19, K$20:ED$20)),
     K$3:ED$3,
     K$5:ED$5,
     K$17:ED$17,
     K51:ED51,
     LAM"&amp;"BDA(
       mitigation,
       enhance,
       job,
       assign,
       precondition,
       check,
       IF(
         OR(AND(check=TRUE, REGEXMATCH(assign, ""SELF""), job=""暗黒騎士""), AND(check=Option!$G$13, REGEXMATCH(assign, ""SINGLE_PARTY""))),
     "&amp;"    IF(
           OR(ARRAYFORMULA((IF(precondition="""", FALSE, REGEXMATCH($K$4:$ED$4, precondition))) * (K51:ED51=TRUE))),
           enhance,
           mitigation
         ),
         1
       )
     )
   )
 ) * EE51"),1.0)</f>
        <v>1</v>
      </c>
      <c r="FF51" s="206">
        <f t="shared" si="10"/>
        <v>0</v>
      </c>
      <c r="FG51" s="205">
        <f>IFERROR(__xludf.DUMMYFUNCTION("PRODUCT(
   MAP(
     K$3:ED$3,
     K$14:ED$14,
     K$13:ED$13,
     K51:ED51,
     LAMBDA(
       job,
       buff,
       target,
       check,
       IF(
         OR(AND(check=TRUE, REGEXMATCH(target, ""SELF_AFFECTED_ALL""), job=""暗黒騎士""), AND(check="&amp;"Option!$G$13, REGEXMATCH(target, ""SINGLE_AFFECTED_ALL""))),
         buff,
         1
       )
     )
   )
 )"),1.0)</f>
        <v>1</v>
      </c>
      <c r="FH51" s="206">
        <f>IFERROR(__xludf.DUMMYFUNCTION("SUM(
   MAP(
     K$3:ED$3,
     K$7:ED$7,
     K$15:ED$15,
     K$16:ED$16,
     K$21:ED$21,
     K$5:ED$5,
     K$17:ED$17,
     K51:ED51,
     LAMBDA(
       job,
       abillity,
       buff,
       barrier,
       enhance,
       assign,
       preco"&amp;"ndition,
       check,
       IF(
         OR(AND(check=TRUE, REGEXMATCH(assign, ""SELF""), job=""暗黒騎士""), AND(check=Option!$G$13, REGEXMATCH(assign, ""SINGLE_PARTY""))),
         IF(
           OR(ARRAYFORMULA((IF(precondition="""", FALSE, REGEXMATCH($K$"&amp;"4:$ED$4, precondition))) * (K51:ED51=TRUE))),
           enhance,
           IF(barrier="""", buff, barrier)
         ),
         0
       ) *
       SWITCH(
         job,
         ""暗黒騎士"", FI$24,
         ""白魔道士"", EF51 * EH51 * FG51 * IF(abillity, 1, E"&amp;"G51 * EI51) * (Option!$D$22 * 0.81 / 100),
         ""占星術師"", EF51 * EJ51 * FG51 * IF(abillity, 1, EG51 * EK51) * (Option!$D$23 * 0.81 / 100),
         ""学者"", EF51 * EL51 * FG51 * IF(abillity, 1, EG51 * EM51) * (Option!$D$24 * 0.81 / 100),
         ""賢者"&amp;""", EF51 * EN51 * FG51 * IF(abillity, 1, EG51 * EO51) * (Option!$D$25 * 0.81 / 100),
         1
       )
     )
   )
 ) + EQ51"),0.0)</f>
        <v>0</v>
      </c>
      <c r="FI51" s="206">
        <f t="shared" si="11"/>
        <v>0</v>
      </c>
      <c r="FJ51" s="205">
        <f>IFERROR(__xludf.DUMMYFUNCTION("PRODUCT(
   MAP(
     IF($F51=""Physical"", K$10:ED$10, IF($F51=""Magic"", K$11:ED$11, K$12:ED$12)),
     IF($F51=""Physical"", K$18:ED$18, IF($F51=""Magic"", K$19:ED$19, K$20:ED$20)),
     K$3:ED$3,
     K$5:ED$5,
     K$17:ED$17,
     K51:ED51,
     LAM"&amp;"BDA(
       mitigation,
       enhance,
       job,
       assign,
       precondition,
       check,
       IF(
         OR(AND(check=TRUE, REGEXMATCH(assign, ""SELF""), job=""ガンブレイカー""), AND(check=Option!$H$13, REGEXMATCH(assign, ""SINGLE_PARTY""))),
  "&amp;"       IF(
           OR(ARRAYFORMULA((IF(precondition="""", FALSE, REGEXMATCH($K$4:$ED$4, precondition))) * (K51:ED51=TRUE))),
           enhance,
           mitigation
         ),
         1
       )
     )
   )
 ) * EE51"),1.0)</f>
        <v>1</v>
      </c>
      <c r="FK51" s="206">
        <f t="shared" si="12"/>
        <v>0</v>
      </c>
      <c r="FL51" s="205">
        <f>IFERROR(__xludf.DUMMYFUNCTION("PRODUCT(
   MAP(
     K$3:ED$3,
     K$14:ED$14,
     K$13:ED$13,
     K51:ED51,
     LAMBDA(
       job,
       buff,
       target,
       check,
       IF(
         OR(AND(check=TRUE, REGEXMATCH(target, ""SELF_AFFECTED_ALL""), job=""ガンブレイカー""), AND(che"&amp;"ck=Option!$H$13, REGEXMATCH(target, ""SINGLE_AFFECTED_ALL""))),
         buff,
         1
       )
     )
   )
 )"),1.0)</f>
        <v>1</v>
      </c>
      <c r="FM51" s="206">
        <f>IFERROR(__xludf.DUMMYFUNCTION("SUM(
   MAP(
     K$3:ED$3,
     K$7:ED$7,
     K$15:ED$15,
     K$16:ED$16,
     K$21:ED$21,
     K$5:ED$5,
     K$17:ED$17,
     K51:ED51,
     LAMBDA(
       job,
       abillity,
       buff,
       barrier,
       enhance,
       assign,
       preco"&amp;"ndition,
       check,
       IF(
         OR(AND(check=TRUE, REGEXMATCH(assign, ""SELF""), job=""ガンブレイカー""), AND(check=Option!$H$13, REGEXMATCH(assign, ""SINGLE_PARTY""))),
         IF(
           OR(ARRAYFORMULA((IF(precondition="""", FALSE, REGEXMATCH("&amp;"$K$4:$ED$4, precondition))) * (K51:ED51=TRUE))),
           enhance,
           IF(barrier="""", buff, barrier)
         ),
         0
       ) *
       SWITCH(
         job,
         ""暗黒騎士"", FN$24,
         ""白魔道士"", EF51 * EH51 * FL51 * IF(abillity, 1"&amp;", EG51 * EI51) * (Option!$D$22 * 0.81 / 100),
         ""占星術師"", EF51 * EJ51 * FL51 * IF(abillity, 1, EG51 * EK51) * (Option!$D$23 * 0.81 / 100),
         ""学者"", EF51 * EL51 * FL51 * IF(abillity, 1, EG51 * EM51) * (Option!$D$24 * 0.81 / 100),
         """&amp;"賢者"", EF51 * EN51 * FL51 * IF(abillity, 1, EG51 * EO51) * (Option!$D$25 * 0.81 / 100),
         1
       )
     )
   )
 ) + EQ51"),0.0)</f>
        <v>0</v>
      </c>
      <c r="FN51" s="206">
        <f t="shared" si="13"/>
        <v>0</v>
      </c>
      <c r="FO51" s="213"/>
    </row>
    <row r="52">
      <c r="B52" s="229"/>
      <c r="C52" s="217">
        <f t="shared" si="1"/>
        <v>0.00380787037</v>
      </c>
      <c r="D52" s="236"/>
      <c r="E52" s="238"/>
      <c r="F52" s="167"/>
      <c r="G52" s="168" t="str">
        <f t="shared" si="2"/>
        <v/>
      </c>
      <c r="H52" s="169"/>
      <c r="I52" s="169"/>
      <c r="J52" s="169"/>
      <c r="K52" s="170" t="b">
        <v>0</v>
      </c>
      <c r="L52" s="170" t="b">
        <v>0</v>
      </c>
      <c r="M52" s="170" t="b">
        <v>0</v>
      </c>
      <c r="N52" s="171" t="s">
        <v>1070</v>
      </c>
      <c r="O52" s="172" t="b">
        <v>0</v>
      </c>
      <c r="P52" s="173" t="b">
        <v>0</v>
      </c>
      <c r="Q52" s="173" t="b">
        <v>0</v>
      </c>
      <c r="R52" s="173" t="b">
        <v>0</v>
      </c>
      <c r="S52" s="174" t="b">
        <v>0</v>
      </c>
      <c r="T52" s="175" t="b">
        <v>0</v>
      </c>
      <c r="U52" s="173" t="b">
        <v>0</v>
      </c>
      <c r="V52" s="171" t="s">
        <v>1070</v>
      </c>
      <c r="W52" s="172" t="b">
        <v>0</v>
      </c>
      <c r="X52" s="173" t="b">
        <v>0</v>
      </c>
      <c r="Y52" s="173" t="b">
        <v>0</v>
      </c>
      <c r="Z52" s="173" t="b">
        <v>0</v>
      </c>
      <c r="AA52" s="174" t="b">
        <v>0</v>
      </c>
      <c r="AB52" s="174" t="b">
        <v>0</v>
      </c>
      <c r="AC52" s="175" t="b">
        <v>0</v>
      </c>
      <c r="AD52" s="173" t="b">
        <v>0</v>
      </c>
      <c r="AE52" s="176" t="s">
        <v>1070</v>
      </c>
      <c r="AF52" s="171" t="s">
        <v>1070</v>
      </c>
      <c r="AG52" s="177">
        <f>IFERROR(__xludf.DUMMYFUNCTION("IF(
  ISNUMBER(AG51),
  MIN(MAX(
    AG51
    + MAX(
      ROUNDDOWN(($D52 - MAX(IFERROR(FILTER($D$24:$D51, AG$24:AG51 &lt;&gt; AF$6, AG$23:AG50 = AF$6), 0))) * (60 * 60 * 24) / AF$9) - ROUNDDOWN(($D51 - MAX(IFERROR(FILTER($D$23:$D50, AG$23:AG50 &lt;&gt; AF$6, AG$22:"&amp;"AG49 = AF$6), 0))) * (60 * 60 * 24) / 60),
      0
    )
    - COUNTIF(AF52, ""&lt;&gt;-""),
  0), AF$6),
  AF$6 - COUNTIF(AF52, ""&lt;&gt;-"")
)"),2.0)</f>
        <v>2</v>
      </c>
      <c r="AH52" s="173" t="b">
        <v>0</v>
      </c>
      <c r="AI52" s="173" t="b">
        <v>0</v>
      </c>
      <c r="AJ52" s="173" t="b">
        <v>0</v>
      </c>
      <c r="AK52" s="174" t="b">
        <v>0</v>
      </c>
      <c r="AL52" s="175" t="b">
        <v>0</v>
      </c>
      <c r="AM52" s="173" t="b">
        <v>0</v>
      </c>
      <c r="AN52" s="171" t="s">
        <v>1070</v>
      </c>
      <c r="AO52" s="173" t="b">
        <v>0</v>
      </c>
      <c r="AP52" s="173" t="b">
        <v>0</v>
      </c>
      <c r="AQ52" s="173" t="b">
        <v>0</v>
      </c>
      <c r="AR52" s="174" t="b">
        <v>0</v>
      </c>
      <c r="AS52" s="178" t="b">
        <v>0</v>
      </c>
      <c r="AT52" s="179" t="b">
        <v>0</v>
      </c>
      <c r="AU52" s="180" t="b">
        <v>0</v>
      </c>
      <c r="AV52" s="180" t="b">
        <v>0</v>
      </c>
      <c r="AW52" s="180" t="b">
        <v>0</v>
      </c>
      <c r="AX52" s="180" t="b">
        <v>0</v>
      </c>
      <c r="AY52" s="181" t="s">
        <v>1070</v>
      </c>
      <c r="AZ52" s="181" t="s">
        <v>1070</v>
      </c>
      <c r="BA52" s="184">
        <f>IFERROR(__xludf.DUMMYFUNCTION("IF(
  ISNUMBER(BA51),
  MIN(MAX(
    BA51
    + MAX(
      ROUNDDOWN((D52 - MAX(IFERROR(FILTER(D$24:D51, BA$24:BA51 &lt;&gt; AZ$6, BA$23:BA50 = AZ$6), 0))) * (60 * 60 * 24) / AZ$9) - ROUNDDOWN((D51 - MAX(IFERROR(FILTER(D$23:D50, BA$23:BA50 &lt;&gt; AZ$6, BA$22:BA49 ="&amp;" AZ$6), 0))) * (60 * 60 * 24) / AZ$9),
      0
    )
    - COUNTIF(AZ52, ""&lt;&gt;-""),
  0), AZ$6),
  AZ$6 - COUNTIF(AZ52, ""&lt;&gt;-"")
)"),2.0)</f>
        <v>2</v>
      </c>
      <c r="BB52" s="181" t="s">
        <v>1070</v>
      </c>
      <c r="BC52" s="183">
        <f>IFERROR(__xludf.DUMMYFUNCTION("IF(
  ISNUMBER(BC51),
  MIN(MAX(
    BC51
    + MAX(
      ROUNDDOWN(($D52 - MAX(IFERROR(FILTER($D$24:$D51, BC$24:BC51 &lt;&gt; BB$6, BC$23:BC50 = BB$6), 0))) * (60 * 60 * 24) / BB$9) - ROUNDDOWN(($D51 - MAX(IFERROR(FILTER($D$23:$D50, BC$23:BC50 &lt;&gt; BB$6, BC$22:"&amp;"BC49 = BB$6), 0))) * (60 * 60 * 24) / 60),
      0
    )
    - COUNTIF(BB52, ""&lt;&gt;-""),
  0), BB$6),
  BB$6 - COUNTIF(BB52, ""&lt;&gt;-"")
)"),2.0)</f>
        <v>2</v>
      </c>
      <c r="BD52" s="181" t="s">
        <v>1070</v>
      </c>
      <c r="BE52" s="178" t="b">
        <v>0</v>
      </c>
      <c r="BF52" s="180" t="b">
        <v>0</v>
      </c>
      <c r="BG52" s="180" t="b">
        <v>0</v>
      </c>
      <c r="BH52" s="180" t="b">
        <v>0</v>
      </c>
      <c r="BI52" s="180" t="b">
        <v>0</v>
      </c>
      <c r="BJ52" s="180" t="b">
        <v>0</v>
      </c>
      <c r="BK52" s="180" t="b">
        <v>0</v>
      </c>
      <c r="BL52" s="180" t="b">
        <v>0</v>
      </c>
      <c r="BM52" s="180" t="b">
        <v>0</v>
      </c>
      <c r="BN52" s="180" t="b">
        <v>0</v>
      </c>
      <c r="BO52" s="181" t="s">
        <v>1070</v>
      </c>
      <c r="BP52" s="181" t="s">
        <v>1070</v>
      </c>
      <c r="BQ52" s="181" t="s">
        <v>1070</v>
      </c>
      <c r="BR52" s="181" t="s">
        <v>1070</v>
      </c>
      <c r="BS52" s="181" t="s">
        <v>1070</v>
      </c>
      <c r="BT52" s="184">
        <f>IFERROR(__xludf.DUMMYFUNCTION("IF(
  ISNUMBER(BT51),
  MIN(MAX(
    BT51
    + MAX(
      ROUNDDOWN((D52 - MAX(IFERROR(FILTER(D$24:D51, BT$24:BT51 &lt;&gt; BS$6, BT$23:BT50 = BS$6), 0))) * (60 * 60 * 24) / BS$9) - ROUNDDOWN((D51 - MAX(IFERROR(FILTER(D$23:D50, BT$23:BT50 &lt;&gt; BS$6, BT$22:BT49 ="&amp;" BS$6), 0))) * (60 * 60 * 24) / BS$9),
      0
    )
    - COUNTIF(BS52, ""&lt;&gt;-""),
  0), BS$6),
  BS$6 - COUNTIF(BS52, ""&lt;&gt;-"")
)"),3.0)</f>
        <v>3</v>
      </c>
      <c r="BU52" s="181" t="s">
        <v>1070</v>
      </c>
      <c r="BV52" s="181" t="s">
        <v>1070</v>
      </c>
      <c r="BW52" s="184">
        <f>IFERROR(__xludf.DUMMYFUNCTION("IF(
  ISNUMBER(BW51),
  MIN(MAX(
    BW51
    + MAX(
      ROUNDDOWN((D52 - MAX(IFERROR(FILTER(D$24:D51, BW$24:BW51 &lt;&gt; BV$6, BW$23:BW50 = BV$6), 0))) * (60 * 60 * 24) / BV$9) - ROUNDDOWN((D51 - MAX(IFERROR(FILTER(D$23:D50, BW$23:BW50 &lt;&gt; BV$6, BW$22:BW49 ="&amp;" BV$6), 0))) * (60 * 60 * 24) / BV$9),
      0
    )
    - COUNTIF(BV52, ""&lt;&gt;-""),
  0), BV$6),
  BV$6 - COUNTIF(BV52, ""&lt;&gt;-"")
)"),2.0)</f>
        <v>2</v>
      </c>
      <c r="BX52" s="185" t="s">
        <v>1070</v>
      </c>
      <c r="BY52" s="178" t="b">
        <v>0</v>
      </c>
      <c r="BZ52" s="180" t="b">
        <v>0</v>
      </c>
      <c r="CA52" s="180" t="b">
        <v>0</v>
      </c>
      <c r="CB52" s="180" t="b">
        <v>0</v>
      </c>
      <c r="CC52" s="180" t="b">
        <v>0</v>
      </c>
      <c r="CD52" s="180" t="b">
        <v>0</v>
      </c>
      <c r="CE52" s="180" t="b">
        <v>0</v>
      </c>
      <c r="CF52" s="180" t="b">
        <v>0</v>
      </c>
      <c r="CG52" s="180" t="b">
        <v>0</v>
      </c>
      <c r="CH52" s="180" t="b">
        <v>0</v>
      </c>
      <c r="CI52" s="180" t="b">
        <v>0</v>
      </c>
      <c r="CJ52" s="180" t="b">
        <v>0</v>
      </c>
      <c r="CK52" s="180" t="b">
        <v>0</v>
      </c>
      <c r="CL52" s="180" t="b">
        <v>0</v>
      </c>
      <c r="CM52" s="181" t="s">
        <v>1070</v>
      </c>
      <c r="CN52" s="181" t="s">
        <v>1070</v>
      </c>
      <c r="CO52" s="181" t="s">
        <v>1070</v>
      </c>
      <c r="CP52" s="181" t="s">
        <v>1070</v>
      </c>
      <c r="CQ52" s="185" t="s">
        <v>1070</v>
      </c>
      <c r="CR52" s="180" t="b">
        <v>0</v>
      </c>
      <c r="CS52" s="186" t="str">
        <f t="shared" si="14"/>
        <v>◇◇◇</v>
      </c>
      <c r="CT52" s="178" t="b">
        <v>0</v>
      </c>
      <c r="CU52" s="180" t="b">
        <v>0</v>
      </c>
      <c r="CV52" s="180" t="b">
        <v>0</v>
      </c>
      <c r="CW52" s="180" t="b">
        <v>0</v>
      </c>
      <c r="CX52" s="180" t="b">
        <v>0</v>
      </c>
      <c r="CY52" s="180" t="b">
        <v>0</v>
      </c>
      <c r="CZ52" s="180" t="b">
        <v>0</v>
      </c>
      <c r="DA52" s="180" t="b">
        <v>0</v>
      </c>
      <c r="DB52" s="180" t="b">
        <v>0</v>
      </c>
      <c r="DC52" s="180" t="b">
        <v>0</v>
      </c>
      <c r="DD52" s="181" t="s">
        <v>1070</v>
      </c>
      <c r="DE52" s="181" t="s">
        <v>1070</v>
      </c>
      <c r="DF52" s="181" t="s">
        <v>1070</v>
      </c>
      <c r="DG52" s="185" t="s">
        <v>1070</v>
      </c>
      <c r="DH52" s="180" t="b">
        <v>0</v>
      </c>
      <c r="DI52" s="187" t="str">
        <f>IFERROR(__xludf.DUMMYFUNCTION("SWITCH(
  IF(
    ISTEXT(DI51),
    IF (
      FIND(""○"", DI51&amp;""○"") &gt; 3,
      3,
      FIND(""○"", DI51&amp;""○"")
      + MAX(
        ROUNDDOWN(($D52 - MAX(IFERROR(FILTER(D$24:D51, DI$24:DI51 &lt;&gt; ""●●●"", DI$23:DI50 = ""●●●""), 0))) * (60 * 60 * 24) / 20"&amp;") - ROUNDDOWN(($D51 - MAX(IFERROR(FILTER(D$23:D50, DI$23:DI50 &lt;&gt; ""●●●"", DI$22:DI49 = ""●●●""), 0))) * (60 * 60 * 24) / 20),
        0
      ) - 1
    ) - COUNTIFS(CU52, ""=TRUE"", CU51, ""&lt;&gt;TRUE"") - COUNTIF(CZ52, ""=TRUE"") - COUNTIF({DD52,DE52}, ""&lt;&gt;-"&amp;""") + COUNTIF(DH52, ""=TRUE""),
    3
  ),
  0, ""○○○"", 1, ""●○○"", 2, ""●●○"", 3, ""●●●"", 4, ""●●●"", ""○○○""
)"),"●●●")</f>
        <v>●●●</v>
      </c>
      <c r="DJ52" s="188" t="b">
        <v>0</v>
      </c>
      <c r="DK52" s="189" t="b">
        <v>0</v>
      </c>
      <c r="DL52" s="190" t="b">
        <v>0</v>
      </c>
      <c r="DM52" s="190" t="b">
        <v>0</v>
      </c>
      <c r="DN52" s="190" t="b">
        <v>0</v>
      </c>
      <c r="DO52" s="190" t="b">
        <v>0</v>
      </c>
      <c r="DP52" s="190" t="b">
        <v>0</v>
      </c>
      <c r="DQ52" s="191" t="b">
        <v>0</v>
      </c>
      <c r="DR52" s="192" t="b">
        <v>0</v>
      </c>
      <c r="DS52" s="191" t="b">
        <v>0</v>
      </c>
      <c r="DT52" s="192" t="b">
        <v>0</v>
      </c>
      <c r="DU52" s="191" t="b">
        <v>0</v>
      </c>
      <c r="DV52" s="193" t="s">
        <v>1070</v>
      </c>
      <c r="DW52" s="194" t="b">
        <v>0</v>
      </c>
      <c r="DX52" s="194" t="b">
        <v>0</v>
      </c>
      <c r="DY52" s="195" t="b">
        <v>0</v>
      </c>
      <c r="DZ52" s="196" t="b">
        <v>0</v>
      </c>
      <c r="EA52" s="195" t="b">
        <v>0</v>
      </c>
      <c r="EB52" s="197" t="b">
        <v>0</v>
      </c>
      <c r="EC52" s="197" t="b">
        <v>0</v>
      </c>
      <c r="ED52" s="212" t="b">
        <v>0</v>
      </c>
      <c r="EE52" s="199">
        <f>IFERROR(__xludf.DUMMYFUNCTION("IFERROR(
   PRODUCT(
     MAP(
       INDEX(TRANSPOSE(UNIQUE(TRANSPOSE(FILTER({IF($F52=""Physical"", K$10:ED$10, IF($F52=""Magic"", K$11:ED$11, K$12:ED$12));K$4:ED$4;K52:ED52}, K52:ED52=TRUE)))), 1, 0),
       INDEX(TRANSPOSE(UNIQUE(TRANSPOSE(FILTER({IF($"&amp;"F52=""Physical"", K$18:ED$18, IF($F52=""Magic"", K$19:ED$19, K$20:ED$20));K$4:ED$4;K52:ED52}, K52:ED52=TRUE)))), 1, 0),
       INDEX(TRANSPOSE(UNIQUE(TRANSPOSE(FILTER({K$5:ED$5;K$4:ED$4;K52:ED52}, K52:ED52=TRUE)))), 1, 0),
       INDEX(TRANSPOSE(UNIQUE(TR"&amp;"ANSPOSE(FILTER({K$17:ED$17;K$4:ED$4;K52:ED52}, K52:ED52=TRUE)))), 1, 0),
       LAMBDA(
         mitigation,
         enhance,
         assign,
         precondition,
         IF(
           REGEXMATCH(assign, ""RANGE_PARTY|SINGLE_ENEMY|RANGE_ENEMY""),
  "&amp;"         IF(
             OR(ARRAYFORMULA((IF(precondition="""", FALSE, REGEXMATCH(K$4:ED$4, precondition))) * (K52:ED52=TRUE))),
             IF(ISNUMBER(enhance), enhance, 1),
             IF(ISNUMBER(mitigation), mitigation, 1)
           ),
          "&amp;" 1
         )
       )
     )
   ),
   1
 )"),1.0)</f>
        <v>1</v>
      </c>
      <c r="EF52" s="200">
        <f>IFERROR(__xludf.DUMMYFUNCTION("PRODUCT(
   MAP(
     K$14:ED$14,
     K$13:ED$13,
     K52:ED52,
     LAMBDA(
       buff,
       target,
       check,
       IF(
         AND(check=TRUE, REGEXMATCH(target, ""RANGE_AFFECTED_ALL|RANGE_EFFECTED_ALL""), ISNUMBER(buff)),
         buff,
   "&amp;"      1
       )
     )
   )
 )"),1.0)</f>
        <v>1</v>
      </c>
      <c r="EG52" s="200">
        <f>IFERROR(__xludf.DUMMYFUNCTION("PRODUCT(
   MAP(
     K$14:ED$14,
     K$13:ED$13,
     K52:ED52,
     LAMBDA(
       buff,
       target,
       check,
       IF(
         AND(check=TRUE, REGEXMATCH(target, ""RANGE_AFFECTED_GCD|RANGE_EFFECTED_GCD""), ISNUMBER(buff)),
         buff,
   "&amp;"      1
       )
     )
   )
 )"),1.0)</f>
        <v>1</v>
      </c>
      <c r="EH52" s="200">
        <f>IFERROR(__xludf.DUMMYFUNCTION("PRODUCT(
   MAP(
     K$3:ED$3,
     K$14:ED$14,
     K$13:ED$13,
     K52:ED52,
     LAMBDA(
       job,
       buff,
       target,
       check,
       IF(
         AND(check=TRUE, REGEXMATCH(target, ""SELF_EFFECTED_ALL""), ISNUMBER(buff), job=""白魔道士"""&amp;"),
         buff,
         1
       )
     )
   )
 )"),1.0)</f>
        <v>1</v>
      </c>
      <c r="EI52" s="200">
        <f>IFERROR(__xludf.DUMMYFUNCTION("PRODUCT(
   MAP(
     K$3:ED$3,
     K$14:ED$14,
     K$13:ED$13,
     K52:ED52,
     LAMBDA(
       job,
       buff,
       target,
       check,
       IF(
         AND(check=TRUE, REGEXMATCH(target, ""SELF_EFFECTED_GCD""), ISNUMBER(buff), job=""白魔道士"""&amp;"),
         buff,
         1
       )
     )
   )
 )"),1.0)</f>
        <v>1</v>
      </c>
      <c r="EJ52" s="200">
        <f>IFERROR(__xludf.DUMMYFUNCTION("PRODUCT(
   MAP(
     K$3:ED$3,
     K$14:ED$14,
     K$13:ED$13,
     K52:ED52,
     LAMBDA(
       job,
       buff,
       target,
       check,
       IF(
         AND(check=TRUE, REGEXMATCH(target, ""SELF_EFFECTED_ALL""), ISNUMBER(buff), job=""占星術師"""&amp;"),
         buff,
         1
       )
     )
   )
 )"),1.0)</f>
        <v>1</v>
      </c>
      <c r="EK52" s="200">
        <f>IFERROR(__xludf.DUMMYFUNCTION("PRODUCT(
   MAP(
     K$3:ED$3,
     K$14:ED$14,
     K$13:ED$13,
     K52:ED52,
     LAMBDA(
       job,
       buff,
       target,
       check,
       IF(
         AND(check=TRUE, REGEXMATCH(target, ""SELF_EFFECTED_GCD""), ISNUMBER(buff), job=""占星術師"""&amp;"),
         buff,
         1
       )
     )
   )
 )"),1.0)</f>
        <v>1</v>
      </c>
      <c r="EL52" s="200">
        <f>IFERROR(__xludf.DUMMYFUNCTION("PRODUCT(
   MAP(
     K$3:ED$3,
     K$14:ED$14,
     K$13:ED$13,
     K52:ED52,
     LAMBDA(
       job,
       buff,
       target,
       check,
       IF(
         AND(check=TRUE, REGEXMATCH(target, ""SELF_EFFECTED_ALL""), ISNUMBER(buff), job=""学者""),"&amp;"
         buff,
         1
       )
     )
   )
 )"),1.0)</f>
        <v>1</v>
      </c>
      <c r="EM52" s="200">
        <f>IFERROR(__xludf.DUMMYFUNCTION("PRODUCT(
   MAP(
     K$3:ED$3,
     K$14:ED$14,
     K$13:ED$13,
     K52:ED52,
     LAMBDA(
       job,
       buff,
       target,
       check,
       IF(
         AND(check=TRUE, REGEXMATCH(target, ""SELF_EFFECTED_GCD""), ISNUMBER(buff), job=""学者""),"&amp;"
         buff,
         1
       )
     )
   )
 )"),1.0)</f>
        <v>1</v>
      </c>
      <c r="EN52" s="200">
        <f>IFERROR(__xludf.DUMMYFUNCTION("PRODUCT(
   MAP(
     K$3:ED$3,
     K$14:ED$14,
     K$13:ED$13,
     K52:ED52,
     LAMBDA(
       job,
       buff,
       target,
       check,
       IF(
         AND(check=TRUE, REGEXMATCH(target, ""SELF_EFFECTED_ALL""), ISNUMBER(buff), job=""賢者""),"&amp;"
         buff,
         1
       )
     )
   )
 )"),1.0)</f>
        <v>1</v>
      </c>
      <c r="EO52" s="200">
        <f>IFERROR(__xludf.DUMMYFUNCTION("PRODUCT(
   MAP(
     K$3:ED$3,
     K$14:ED$14,
     K$13:ED$13,
     K52:ED52,
     LAMBDA(
       job,
       buff,
       target,
       check,
       IF(
         AND(check=TRUE, REGEXMATCH(target, ""SELF_EFFECTED_GCD""), ISNUMBER(buff), job=""賢者""),"&amp;"
         buff,
         1
       )
     )
   )
 )"),1.0)</f>
        <v>1</v>
      </c>
      <c r="EP52" s="201">
        <f t="shared" si="3"/>
        <v>0</v>
      </c>
      <c r="EQ52" s="201">
        <f>IFERROR(__xludf.DUMMYFUNCTION("SUM(
   MAP(
     K$4:ED$4,
     K$3:ED$3,
     K$7:ED$7,
     K$15:ED$15,
     K$16:ED$16,
     K$21:ED$21,
     K$5:ED$5,
     K$17:ED$17,
     K52:ED52,
     LAMBDA(
       name,
       job,
       abillity,
       buff,
       barrier,
       enhance,"&amp;"
       assign,
       precondition,
       check,
       SWITCH(
         name,
         ""シェイクオフ"", IF(check=TRUE, buff + (0.02 * COUNTIF(ARRAYFORMULA((REGEXMATCH($K$4:$ED$4, ""スリル・オブ・バトル|ヴェンジェンス|原初の血気|ダムネーション"")) * (K52:ED52=TRUE)), 1)), 0),
         "&amp;"""インプロビゼーションフィニッシュ(踊りの激情0)"", IF(ISNUMBER(check), INDEX(Skill!$AJ:$AJ, MATCH(SUBSTITUTE(DV$4, 0, check), Skill!$C:$C, 0)), 0),
         IF(
           AND(check=TRUE, REGEXMATCH(assign, ""RANGE_PARTY"")),
           IF(
             OR(ARRAYFORMULA((IF(pr"&amp;"econdition="""", FALSE, REGEXMATCH($K$4:$ED$4, precondition))) * (K52:ED52=TRUE))),
             enhance,
             IF(barrier="""", buff, barrier)
           ),
           0
         )
       ) *
       SWITCH(
         job,
         ""ナイト"", EY$24,
 "&amp;"        ""戦士"", FD$24,
         ""踊り子"", ET$24,
         ""ピクトマンサー"", ET$24,
         ""白魔道士"", EF52 * EH52 * IF(abillity, 1, EG52 * EI52) * (Option!$D$22 * 0.81 / 100),
         ""占星術師"", EF52 * EJ52 * IF(abillity, 1, EG52 * EK52) * (Option!$D$23 * 0.81 "&amp;"/ 100),
         ""学者"", EF52 * EL52 * IF(abillity, 1, EG52 * EM52) * (Option!$D$24 * 0.81 / 100),
         ""賢者"", EF52 * EN52 * IF(abillity, 1, EG52 * EO52) * (Option!$D$25 * 0.81 / 100),
         1
       )
     )
   )
 )"),0.0)</f>
        <v>0</v>
      </c>
      <c r="ER52" s="202">
        <f t="shared" si="4"/>
        <v>0</v>
      </c>
      <c r="ES52" s="203">
        <f t="shared" si="5"/>
        <v>0</v>
      </c>
      <c r="ET52" s="231" t="str">
        <f>IFERROR(__xludf.DUMMYFUNCTION("IFS(
  EP52 &gt; $ET$24 + EQ52,
  SPARKLINE({ 1, 0 }, {""charttype"",""bar"";""max"", 1;""color1"",Option!$D$30;""color2"",Option!$D$30}),
  EP52 &lt; EQ52,
  SPARKLINE({EQ52 - EP52, $ET$24 - (EQ52 - EP52)}, {""charttype"",""bar"";""max"",$ET$24;""color1"",Opti"&amp;"on!$D$28;""color2"",Option!$D$29}),
  EP52 &gt;= EQ52,
  SPARKLINE({$ET$24 + EQ52 - EP52,EP52 - EQ52}, {""charttype"",""bar"";""max"",$ET$24;""color1"",Option!$D$29;""color2"",Option!$D$30})
)"),"")</f>
        <v/>
      </c>
      <c r="EU52" s="205">
        <f>IFERROR(__xludf.DUMMYFUNCTION("PRODUCT(
   MAP(
     IF($F52=""Physical"", K$10:ED$10, IF($F52=""Magic"", K$11:ED$11, K$12:ED$12)),
     IF($F52=""Physical"", K$18:ED$18, IF($F52=""Magic"", K$19:ED$19, K$20:ED$20)),
     K$3:ED$3,
     K$5:ED$5,
     K$17:ED$17,
     K52:ED52,
     LAM"&amp;"BDA(
       mitigation,
       enhance,
       job,
       assign,
       precondition,
       check,
       IF(
         OR(AND(check=TRUE, REGEXMATCH(assign, ""SELF""), job=""ナイト""), AND(check=Option!$E$13, REGEXMATCH(assign, ""SINGLE_PARTY""))),
      "&amp;"   IF(
           OR(ARRAYFORMULA((IF(precondition="""", FALSE, REGEXMATCH($K$4:$ED$4, precondition))) * (K52:ED52=TRUE))),
           enhance,
           mitigation
         ),
         1
       )
     )
   )
 ) * EE52"),1.0)</f>
        <v>1</v>
      </c>
      <c r="EV52" s="206">
        <f t="shared" si="6"/>
        <v>0</v>
      </c>
      <c r="EW52" s="205">
        <f>IFERROR(__xludf.DUMMYFUNCTION("PRODUCT(
   MAP(
     K$3:ED$3,
     K$14:ED$14,
     K$13:ED$13,
     K52:ED52,
     LAMBDA(
       job,
       buff,
       target,
       check,
       IF(
         OR(AND(check=TRUE, REGEXMATCH(target, ""SELF_AFFECTED_ALL""), job=""ナイト""), AND(check=O"&amp;"ption!$E$13, REGEXMATCH(target, ""SINGLE_AFFECTED_ALL""))),
         buff,
         1
       )
     )
   )
 )"),1.0)</f>
        <v>1</v>
      </c>
      <c r="EX52" s="206">
        <f>IFERROR(__xludf.DUMMYFUNCTION("SUM(
   MAP(
     K$3:ED$3,
     K$7:ED$7,
     K$15:ED$15,
     K$16:ED$16,
     K$21:ED$21,
     K$5:ED$5,
     K$17:ED$17,
     K52:ED52,
     LAMBDA(
       job,
       abillity,
       buff,
       barrier,
       enhance,
       assign,
       preco"&amp;"ndition,
       check,
       IF(
         OR(AND(check=TRUE, REGEXMATCH(assign, ""SELF""), job=""ナイト""), AND(check=Option!$E$13, REGEXMATCH(assign, ""SINGLE_PARTY""))),
         IF(
           OR(ARRAYFORMULA((IF(precondition="""", FALSE, REGEXMATCH($K$4"&amp;":$ED$4, precondition))) * (K52:ED52=TRUE))),
           enhance,
           IF(barrier="""", buff, barrier)
         ),
         0
       ) *
       SWITCH(
         job,
         ""暗黒騎士"", EY$24,
         ""白魔道士"", EF52 * EH52 * EW52 * IF(abillity, 1, EG"&amp;"52 * EI52) * (Option!$D$22 * 0.81 / 100),
         ""占星術師"", EF52 * EJ52 * EW52 * IF(abillity, 1, EG52 * EK52) * (Option!$D$23 * 0.81 / 100),
         ""学者"", EF52 * EL52 * EW52 * IF(abillity, 1, EG52 * EM52) * (Option!$D$24 * 0.81 / 100),
         ""賢者"""&amp;", EF52 * EN52 * EW52 * IF(abillity, 1, EG52 * EO52) * (Option!$D$25 * 0.81 / 100),
         1
       )
     )
   )
 ) + EQ52"),0.0)</f>
        <v>0</v>
      </c>
      <c r="EY52" s="232">
        <f t="shared" si="7"/>
        <v>0</v>
      </c>
      <c r="EZ52" s="205">
        <f>IFERROR(__xludf.DUMMYFUNCTION("PRODUCT(
   MAP(
     IF($F52=""Physical"", K$10:ED$10, IF($F52=""Magic"", K$11:ED$11, K$12:ED$12)),
     IF($F52=""Physical"", K$18:ED$18, IF($F52=""Magic"", K$19:ED$19, K$20:ED$20)),
     K$3:ED$3,
     K$5:ED$5,
     K$17:ED$17,
     K52:ED52,
     LAM"&amp;"BDA(
       mitigation,
       enhance,
       job,
       assign,
       precondition,
       check,
       IF(
         OR(AND(check=TRUE, REGEXMATCH(assign, ""SELF""), job=""戦士""), AND(check=Option!$F$13, REGEXMATCH(assign, ""SINGLE_PARTY""))),
       "&amp;"  IF(
           OR(ARRAYFORMULA((IF(precondition="""", FALSE, REGEXMATCH($K$4:$ED$4, precondition))) * (K52:ED52=TRUE))),
           enhance,
           mitigation
         ),
         1
       )
     )
   )
 ) * EE52"),1.0)</f>
        <v>1</v>
      </c>
      <c r="FA52" s="206">
        <f t="shared" si="8"/>
        <v>0</v>
      </c>
      <c r="FB52" s="205">
        <f>IFERROR(__xludf.DUMMYFUNCTION("PRODUCT(
   MAP(
     K$3:ED$3,
     K$14:ED$14,
     K$13:ED$13,
     K52:ED52,
     LAMBDA(
       job,
       buff,
       target,
       check,
       IF(
         OR(AND(check=TRUE, REGEXMATCH(target, ""SELF_AFFECTED_ALL""), job=""戦士""), AND(check=Op"&amp;"tion!$F$13, REGEXMATCH(target, ""SINGLE_AFFECTED_ALL""))),
         buff,
         1
       )
     )
   )
 )"),1.0)</f>
        <v>1</v>
      </c>
      <c r="FC52" s="206">
        <f>IFERROR(__xludf.DUMMYFUNCTION("SUM(
   MAP(
     K$3:ED$3,
     K$7:ED$7,
     K$15:ED$15,
     K$16:ED$16,
     K$21:ED$21,
     K$5:ED$5,
     K$17:ED$17,
     K52:ED52,
     LAMBDA(
       job,
       abillity,
       buff,
       barrier,
       enhance,
       assign,
       preco"&amp;"ndition,
       check,
       IF(
         OR(AND(check=TRUE, REGEXMATCH(assign, ""SELF""), job=""戦士""), AND(check=Option!$F$13, REGEXMATCH(assign, ""SINGLE_PARTY""))),
         IF(
           OR(ARRAYFORMULA((IF(precondition="""", FALSE, REGEXMATCH($K$4:"&amp;"$ED$4, precondition))) * (K52:ED52=TRUE))),
           enhance,
           IF(barrier="""", buff, barrier)
         ),
         0
       ) *
       SWITCH(
         job,
         ""暗黒騎士"", FD$24,
         ""白魔道士"", EF52 * EH52 * FB52 * IF(abillity, 1, EG5"&amp;"2 * EI52) * (Option!$D$22 * 0.81 / 100),
         ""占星術師"", EF52 * EJ52 * FFB52 * IF(abillity, 1, EG52 * EK52) * (Option!$D$23 * 0.81 / 100),
         ""学者"", EF52 * EL52 * FB52 * IF(abillity, 1, EG52 * EM52) * (Option!$D$24 * 0.81 / 100),
         ""賢者"""&amp;", EF52 * EN52 * FB52 * IF(abillity, 1, EG52 * EO52) * (Option!$D$25 * 0.81 / 100),
         1
       )
     )
   )
 ) + EQ52"),0.0)</f>
        <v>0</v>
      </c>
      <c r="FD52" s="206">
        <f t="shared" si="9"/>
        <v>0</v>
      </c>
      <c r="FE52" s="205">
        <f>IFERROR(__xludf.DUMMYFUNCTION("PRODUCT(
   MAP(
     IF($F52=""Physical"", K$10:ED$10, IF($F52=""Magic"", K$11:ED$11, K$12:ED$12)),
     IF($F52=""Physical"", K$18:ED$18, IF($F52=""Magic"", K$19:ED$19, K$20:ED$20)),
     K$3:ED$3,
     K$5:ED$5,
     K$17:ED$17,
     K52:ED52,
     LAM"&amp;"BDA(
       mitigation,
       enhance,
       job,
       assign,
       precondition,
       check,
       IF(
         OR(AND(check=TRUE, REGEXMATCH(assign, ""SELF""), job=""暗黒騎士""), AND(check=Option!$G$13, REGEXMATCH(assign, ""SINGLE_PARTY""))),
     "&amp;"    IF(
           OR(ARRAYFORMULA((IF(precondition="""", FALSE, REGEXMATCH($K$4:$ED$4, precondition))) * (K52:ED52=TRUE))),
           enhance,
           mitigation
         ),
         1
       )
     )
   )
 ) * EE52"),1.0)</f>
        <v>1</v>
      </c>
      <c r="FF52" s="206">
        <f t="shared" si="10"/>
        <v>0</v>
      </c>
      <c r="FG52" s="205">
        <f>IFERROR(__xludf.DUMMYFUNCTION("PRODUCT(
   MAP(
     K$3:ED$3,
     K$14:ED$14,
     K$13:ED$13,
     K52:ED52,
     LAMBDA(
       job,
       buff,
       target,
       check,
       IF(
         OR(AND(check=TRUE, REGEXMATCH(target, ""SELF_AFFECTED_ALL""), job=""暗黒騎士""), AND(check="&amp;"Option!$G$13, REGEXMATCH(target, ""SINGLE_AFFECTED_ALL""))),
         buff,
         1
       )
     )
   )
 )"),1.0)</f>
        <v>1</v>
      </c>
      <c r="FH52" s="206">
        <f>IFERROR(__xludf.DUMMYFUNCTION("SUM(
   MAP(
     K$3:ED$3,
     K$7:ED$7,
     K$15:ED$15,
     K$16:ED$16,
     K$21:ED$21,
     K$5:ED$5,
     K$17:ED$17,
     K52:ED52,
     LAMBDA(
       job,
       abillity,
       buff,
       barrier,
       enhance,
       assign,
       preco"&amp;"ndition,
       check,
       IF(
         OR(AND(check=TRUE, REGEXMATCH(assign, ""SELF""), job=""暗黒騎士""), AND(check=Option!$G$13, REGEXMATCH(assign, ""SINGLE_PARTY""))),
         IF(
           OR(ARRAYFORMULA((IF(precondition="""", FALSE, REGEXMATCH($K$"&amp;"4:$ED$4, precondition))) * (K52:ED52=TRUE))),
           enhance,
           IF(barrier="""", buff, barrier)
         ),
         0
       ) *
       SWITCH(
         job,
         ""暗黒騎士"", FI$24,
         ""白魔道士"", EF52 * EH52 * FG52 * IF(abillity, 1, E"&amp;"G52 * EI52) * (Option!$D$22 * 0.81 / 100),
         ""占星術師"", EF52 * EJ52 * FG52 * IF(abillity, 1, EG52 * EK52) * (Option!$D$23 * 0.81 / 100),
         ""学者"", EF52 * EL52 * FG52 * IF(abillity, 1, EG52 * EM52) * (Option!$D$24 * 0.81 / 100),
         ""賢者"&amp;""", EF52 * EN52 * FG52 * IF(abillity, 1, EG52 * EO52) * (Option!$D$25 * 0.81 / 100),
         1
       )
     )
   )
 ) + EQ52"),0.0)</f>
        <v>0</v>
      </c>
      <c r="FI52" s="206">
        <f t="shared" si="11"/>
        <v>0</v>
      </c>
      <c r="FJ52" s="205">
        <f>IFERROR(__xludf.DUMMYFUNCTION("PRODUCT(
   MAP(
     IF($F52=""Physical"", K$10:ED$10, IF($F52=""Magic"", K$11:ED$11, K$12:ED$12)),
     IF($F52=""Physical"", K$18:ED$18, IF($F52=""Magic"", K$19:ED$19, K$20:ED$20)),
     K$3:ED$3,
     K$5:ED$5,
     K$17:ED$17,
     K52:ED52,
     LAM"&amp;"BDA(
       mitigation,
       enhance,
       job,
       assign,
       precondition,
       check,
       IF(
         OR(AND(check=TRUE, REGEXMATCH(assign, ""SELF""), job=""ガンブレイカー""), AND(check=Option!$H$13, REGEXMATCH(assign, ""SINGLE_PARTY""))),
  "&amp;"       IF(
           OR(ARRAYFORMULA((IF(precondition="""", FALSE, REGEXMATCH($K$4:$ED$4, precondition))) * (K52:ED52=TRUE))),
           enhance,
           mitigation
         ),
         1
       )
     )
   )
 ) * EE52"),1.0)</f>
        <v>1</v>
      </c>
      <c r="FK52" s="206">
        <f t="shared" si="12"/>
        <v>0</v>
      </c>
      <c r="FL52" s="205">
        <f>IFERROR(__xludf.DUMMYFUNCTION("PRODUCT(
   MAP(
     K$3:ED$3,
     K$14:ED$14,
     K$13:ED$13,
     K52:ED52,
     LAMBDA(
       job,
       buff,
       target,
       check,
       IF(
         OR(AND(check=TRUE, REGEXMATCH(target, ""SELF_AFFECTED_ALL""), job=""ガンブレイカー""), AND(che"&amp;"ck=Option!$H$13, REGEXMATCH(target, ""SINGLE_AFFECTED_ALL""))),
         buff,
         1
       )
     )
   )
 )"),1.0)</f>
        <v>1</v>
      </c>
      <c r="FM52" s="206">
        <f>IFERROR(__xludf.DUMMYFUNCTION("SUM(
   MAP(
     K$3:ED$3,
     K$7:ED$7,
     K$15:ED$15,
     K$16:ED$16,
     K$21:ED$21,
     K$5:ED$5,
     K$17:ED$17,
     K52:ED52,
     LAMBDA(
       job,
       abillity,
       buff,
       barrier,
       enhance,
       assign,
       preco"&amp;"ndition,
       check,
       IF(
         OR(AND(check=TRUE, REGEXMATCH(assign, ""SELF""), job=""ガンブレイカー""), AND(check=Option!$H$13, REGEXMATCH(assign, ""SINGLE_PARTY""))),
         IF(
           OR(ARRAYFORMULA((IF(precondition="""", FALSE, REGEXMATCH("&amp;"$K$4:$ED$4, precondition))) * (K52:ED52=TRUE))),
           enhance,
           IF(barrier="""", buff, barrier)
         ),
         0
       ) *
       SWITCH(
         job,
         ""暗黒騎士"", FN$24,
         ""白魔道士"", EF52 * EH52 * FL52 * IF(abillity, 1"&amp;", EG52 * EI52) * (Option!$D$22 * 0.81 / 100),
         ""占星術師"", EF52 * EJ52 * FL52 * IF(abillity, 1, EG52 * EK52) * (Option!$D$23 * 0.81 / 100),
         ""学者"", EF52 * EL52 * FL52 * IF(abillity, 1, EG52 * EM52) * (Option!$D$24 * 0.81 / 100),
         """&amp;"賢者"", EF52 * EN52 * FL52 * IF(abillity, 1, EG52 * EO52) * (Option!$D$25 * 0.81 / 100),
         1
       )
     )
   )
 ) + EQ52"),0.0)</f>
        <v>0</v>
      </c>
      <c r="FN52" s="206">
        <f t="shared" si="13"/>
        <v>0</v>
      </c>
      <c r="FO52" s="213"/>
    </row>
    <row r="53">
      <c r="B53" s="229"/>
      <c r="C53" s="217">
        <f t="shared" si="1"/>
        <v>0.00380787037</v>
      </c>
      <c r="D53" s="236"/>
      <c r="E53" s="238"/>
      <c r="F53" s="167"/>
      <c r="G53" s="168" t="str">
        <f t="shared" si="2"/>
        <v/>
      </c>
      <c r="H53" s="169"/>
      <c r="I53" s="169"/>
      <c r="J53" s="169"/>
      <c r="K53" s="170" t="b">
        <v>0</v>
      </c>
      <c r="L53" s="170" t="b">
        <v>0</v>
      </c>
      <c r="M53" s="170" t="b">
        <v>0</v>
      </c>
      <c r="N53" s="171" t="s">
        <v>1070</v>
      </c>
      <c r="O53" s="172" t="b">
        <v>0</v>
      </c>
      <c r="P53" s="173" t="b">
        <v>0</v>
      </c>
      <c r="Q53" s="173" t="b">
        <v>0</v>
      </c>
      <c r="R53" s="173" t="b">
        <v>0</v>
      </c>
      <c r="S53" s="174" t="b">
        <v>0</v>
      </c>
      <c r="T53" s="175" t="b">
        <v>0</v>
      </c>
      <c r="U53" s="173" t="b">
        <v>0</v>
      </c>
      <c r="V53" s="171" t="s">
        <v>1070</v>
      </c>
      <c r="W53" s="172" t="b">
        <v>0</v>
      </c>
      <c r="X53" s="173" t="b">
        <v>0</v>
      </c>
      <c r="Y53" s="173" t="b">
        <v>0</v>
      </c>
      <c r="Z53" s="173" t="b">
        <v>0</v>
      </c>
      <c r="AA53" s="174" t="b">
        <v>0</v>
      </c>
      <c r="AB53" s="174" t="b">
        <v>0</v>
      </c>
      <c r="AC53" s="175" t="b">
        <v>0</v>
      </c>
      <c r="AD53" s="173" t="b">
        <v>0</v>
      </c>
      <c r="AE53" s="176" t="s">
        <v>1070</v>
      </c>
      <c r="AF53" s="171" t="s">
        <v>1070</v>
      </c>
      <c r="AG53" s="177">
        <f>IFERROR(__xludf.DUMMYFUNCTION("IF(
  ISNUMBER(AG52),
  MIN(MAX(
    AG52
    + MAX(
      ROUNDDOWN(($D53 - MAX(IFERROR(FILTER($D$24:$D52, AG$24:AG52 &lt;&gt; AF$6, AG$23:AG51 = AF$6), 0))) * (60 * 60 * 24) / AF$9) - ROUNDDOWN(($D52 - MAX(IFERROR(FILTER($D$23:$D51, AG$23:AG51 &lt;&gt; AF$6, AG$22:"&amp;"AG50 = AF$6), 0))) * (60 * 60 * 24) / 60),
      0
    )
    - COUNTIF(AF53, ""&lt;&gt;-""),
  0), AF$6),
  AF$6 - COUNTIF(AF53, ""&lt;&gt;-"")
)"),2.0)</f>
        <v>2</v>
      </c>
      <c r="AH53" s="173" t="b">
        <v>0</v>
      </c>
      <c r="AI53" s="173" t="b">
        <v>0</v>
      </c>
      <c r="AJ53" s="173" t="b">
        <v>0</v>
      </c>
      <c r="AK53" s="174" t="b">
        <v>0</v>
      </c>
      <c r="AL53" s="175" t="b">
        <v>0</v>
      </c>
      <c r="AM53" s="173" t="b">
        <v>0</v>
      </c>
      <c r="AN53" s="171" t="s">
        <v>1070</v>
      </c>
      <c r="AO53" s="173" t="b">
        <v>0</v>
      </c>
      <c r="AP53" s="173" t="b">
        <v>0</v>
      </c>
      <c r="AQ53" s="173" t="b">
        <v>0</v>
      </c>
      <c r="AR53" s="174" t="b">
        <v>0</v>
      </c>
      <c r="AS53" s="178" t="b">
        <v>0</v>
      </c>
      <c r="AT53" s="179" t="b">
        <v>0</v>
      </c>
      <c r="AU53" s="180" t="b">
        <v>0</v>
      </c>
      <c r="AV53" s="180" t="b">
        <v>0</v>
      </c>
      <c r="AW53" s="180" t="b">
        <v>0</v>
      </c>
      <c r="AX53" s="180" t="b">
        <v>0</v>
      </c>
      <c r="AY53" s="181" t="s">
        <v>1070</v>
      </c>
      <c r="AZ53" s="181" t="s">
        <v>1070</v>
      </c>
      <c r="BA53" s="184">
        <f>IFERROR(__xludf.DUMMYFUNCTION("IF(
  ISNUMBER(BA52),
  MIN(MAX(
    BA52
    + MAX(
      ROUNDDOWN((D53 - MAX(IFERROR(FILTER(D$24:D52, BA$24:BA52 &lt;&gt; AZ$6, BA$23:BA51 = AZ$6), 0))) * (60 * 60 * 24) / AZ$9) - ROUNDDOWN((D52 - MAX(IFERROR(FILTER(D$23:D51, BA$23:BA51 &lt;&gt; AZ$6, BA$22:BA50 ="&amp;" AZ$6), 0))) * (60 * 60 * 24) / AZ$9),
      0
    )
    - COUNTIF(AZ53, ""&lt;&gt;-""),
  0), AZ$6),
  AZ$6 - COUNTIF(AZ53, ""&lt;&gt;-"")
)"),2.0)</f>
        <v>2</v>
      </c>
      <c r="BB53" s="181" t="s">
        <v>1070</v>
      </c>
      <c r="BC53" s="183">
        <f>IFERROR(__xludf.DUMMYFUNCTION("IF(
  ISNUMBER(BC52),
  MIN(MAX(
    BC52
    + MAX(
      ROUNDDOWN(($D53 - MAX(IFERROR(FILTER($D$24:$D52, BC$24:BC52 &lt;&gt; BB$6, BC$23:BC51 = BB$6), 0))) * (60 * 60 * 24) / BB$9) - ROUNDDOWN(($D52 - MAX(IFERROR(FILTER($D$23:$D51, BC$23:BC51 &lt;&gt; BB$6, BC$22:"&amp;"BC50 = BB$6), 0))) * (60 * 60 * 24) / 60),
      0
    )
    - COUNTIF(BB53, ""&lt;&gt;-""),
  0), BB$6),
  BB$6 - COUNTIF(BB53, ""&lt;&gt;-"")
)"),2.0)</f>
        <v>2</v>
      </c>
      <c r="BD53" s="181" t="s">
        <v>1070</v>
      </c>
      <c r="BE53" s="178" t="b">
        <v>0</v>
      </c>
      <c r="BF53" s="180" t="b">
        <v>0</v>
      </c>
      <c r="BG53" s="180" t="b">
        <v>0</v>
      </c>
      <c r="BH53" s="180" t="b">
        <v>0</v>
      </c>
      <c r="BI53" s="180" t="b">
        <v>0</v>
      </c>
      <c r="BJ53" s="180" t="b">
        <v>0</v>
      </c>
      <c r="BK53" s="180" t="b">
        <v>0</v>
      </c>
      <c r="BL53" s="180" t="b">
        <v>0</v>
      </c>
      <c r="BM53" s="180" t="b">
        <v>0</v>
      </c>
      <c r="BN53" s="180" t="b">
        <v>0</v>
      </c>
      <c r="BO53" s="181" t="s">
        <v>1070</v>
      </c>
      <c r="BP53" s="181" t="s">
        <v>1070</v>
      </c>
      <c r="BQ53" s="181" t="s">
        <v>1070</v>
      </c>
      <c r="BR53" s="181" t="s">
        <v>1070</v>
      </c>
      <c r="BS53" s="181" t="s">
        <v>1070</v>
      </c>
      <c r="BT53" s="184">
        <f>IFERROR(__xludf.DUMMYFUNCTION("IF(
  ISNUMBER(BT52),
  MIN(MAX(
    BT52
    + MAX(
      ROUNDDOWN((D53 - MAX(IFERROR(FILTER(D$24:D52, BT$24:BT52 &lt;&gt; BS$6, BT$23:BT51 = BS$6), 0))) * (60 * 60 * 24) / BS$9) - ROUNDDOWN((D52 - MAX(IFERROR(FILTER(D$23:D51, BT$23:BT51 &lt;&gt; BS$6, BT$22:BT50 ="&amp;" BS$6), 0))) * (60 * 60 * 24) / BS$9),
      0
    )
    - COUNTIF(BS53, ""&lt;&gt;-""),
  0), BS$6),
  BS$6 - COUNTIF(BS53, ""&lt;&gt;-"")
)"),3.0)</f>
        <v>3</v>
      </c>
      <c r="BU53" s="181" t="s">
        <v>1070</v>
      </c>
      <c r="BV53" s="181" t="s">
        <v>1070</v>
      </c>
      <c r="BW53" s="184">
        <f>IFERROR(__xludf.DUMMYFUNCTION("IF(
  ISNUMBER(BW52),
  MIN(MAX(
    BW52
    + MAX(
      ROUNDDOWN((D53 - MAX(IFERROR(FILTER(D$24:D52, BW$24:BW52 &lt;&gt; BV$6, BW$23:BW51 = BV$6), 0))) * (60 * 60 * 24) / BV$9) - ROUNDDOWN((D52 - MAX(IFERROR(FILTER(D$23:D51, BW$23:BW51 &lt;&gt; BV$6, BW$22:BW50 ="&amp;" BV$6), 0))) * (60 * 60 * 24) / BV$9),
      0
    )
    - COUNTIF(BV53, ""&lt;&gt;-""),
  0), BV$6),
  BV$6 - COUNTIF(BV53, ""&lt;&gt;-"")
)"),2.0)</f>
        <v>2</v>
      </c>
      <c r="BX53" s="185" t="s">
        <v>1070</v>
      </c>
      <c r="BY53" s="178" t="b">
        <v>0</v>
      </c>
      <c r="BZ53" s="180" t="b">
        <v>0</v>
      </c>
      <c r="CA53" s="180" t="b">
        <v>0</v>
      </c>
      <c r="CB53" s="180" t="b">
        <v>0</v>
      </c>
      <c r="CC53" s="180" t="b">
        <v>0</v>
      </c>
      <c r="CD53" s="180" t="b">
        <v>0</v>
      </c>
      <c r="CE53" s="180" t="b">
        <v>0</v>
      </c>
      <c r="CF53" s="180" t="b">
        <v>0</v>
      </c>
      <c r="CG53" s="180" t="b">
        <v>0</v>
      </c>
      <c r="CH53" s="180" t="b">
        <v>0</v>
      </c>
      <c r="CI53" s="180" t="b">
        <v>0</v>
      </c>
      <c r="CJ53" s="180" t="b">
        <v>0</v>
      </c>
      <c r="CK53" s="180" t="b">
        <v>0</v>
      </c>
      <c r="CL53" s="180" t="b">
        <v>0</v>
      </c>
      <c r="CM53" s="181" t="s">
        <v>1070</v>
      </c>
      <c r="CN53" s="181" t="s">
        <v>1070</v>
      </c>
      <c r="CO53" s="181" t="s">
        <v>1070</v>
      </c>
      <c r="CP53" s="181" t="s">
        <v>1070</v>
      </c>
      <c r="CQ53" s="185" t="s">
        <v>1070</v>
      </c>
      <c r="CR53" s="180" t="b">
        <v>0</v>
      </c>
      <c r="CS53" s="186" t="str">
        <f t="shared" si="14"/>
        <v>◇◇◇</v>
      </c>
      <c r="CT53" s="178" t="b">
        <v>0</v>
      </c>
      <c r="CU53" s="180" t="b">
        <v>0</v>
      </c>
      <c r="CV53" s="180" t="b">
        <v>0</v>
      </c>
      <c r="CW53" s="180" t="b">
        <v>0</v>
      </c>
      <c r="CX53" s="180" t="b">
        <v>0</v>
      </c>
      <c r="CY53" s="180" t="b">
        <v>0</v>
      </c>
      <c r="CZ53" s="180" t="b">
        <v>0</v>
      </c>
      <c r="DA53" s="180" t="b">
        <v>0</v>
      </c>
      <c r="DB53" s="180" t="b">
        <v>0</v>
      </c>
      <c r="DC53" s="180" t="b">
        <v>0</v>
      </c>
      <c r="DD53" s="181" t="s">
        <v>1070</v>
      </c>
      <c r="DE53" s="181" t="s">
        <v>1070</v>
      </c>
      <c r="DF53" s="181" t="s">
        <v>1070</v>
      </c>
      <c r="DG53" s="185" t="s">
        <v>1070</v>
      </c>
      <c r="DH53" s="180" t="b">
        <v>0</v>
      </c>
      <c r="DI53" s="187" t="str">
        <f>IFERROR(__xludf.DUMMYFUNCTION("SWITCH(
  IF(
    ISTEXT(DI52),
    IF (
      FIND(""○"", DI52&amp;""○"") &gt; 3,
      3,
      FIND(""○"", DI52&amp;""○"")
      + MAX(
        ROUNDDOWN(($D53 - MAX(IFERROR(FILTER(D$24:D52, DI$24:DI52 &lt;&gt; ""●●●"", DI$23:DI51 = ""●●●""), 0))) * (60 * 60 * 24) / 20"&amp;") - ROUNDDOWN(($D52 - MAX(IFERROR(FILTER(D$23:D51, DI$23:DI51 &lt;&gt; ""●●●"", DI$22:DI50 = ""●●●""), 0))) * (60 * 60 * 24) / 20),
        0
      ) - 1
    ) - COUNTIFS(CU53, ""=TRUE"", CU52, ""&lt;&gt;TRUE"") - COUNTIF(CZ53, ""=TRUE"") - COUNTIF({DD53,DE53}, ""&lt;&gt;-"&amp;""") + COUNTIF(DH53, ""=TRUE""),
    3
  ),
  0, ""○○○"", 1, ""●○○"", 2, ""●●○"", 3, ""●●●"", 4, ""●●●"", ""○○○""
)"),"●●●")</f>
        <v>●●●</v>
      </c>
      <c r="DJ53" s="188" t="b">
        <v>0</v>
      </c>
      <c r="DK53" s="189" t="b">
        <v>0</v>
      </c>
      <c r="DL53" s="190" t="b">
        <v>0</v>
      </c>
      <c r="DM53" s="190" t="b">
        <v>0</v>
      </c>
      <c r="DN53" s="190" t="b">
        <v>0</v>
      </c>
      <c r="DO53" s="190" t="b">
        <v>0</v>
      </c>
      <c r="DP53" s="190" t="b">
        <v>0</v>
      </c>
      <c r="DQ53" s="191" t="b">
        <v>0</v>
      </c>
      <c r="DR53" s="192" t="b">
        <v>0</v>
      </c>
      <c r="DS53" s="191" t="b">
        <v>0</v>
      </c>
      <c r="DT53" s="192" t="b">
        <v>0</v>
      </c>
      <c r="DU53" s="191" t="b">
        <v>0</v>
      </c>
      <c r="DV53" s="193" t="s">
        <v>1070</v>
      </c>
      <c r="DW53" s="194" t="b">
        <v>0</v>
      </c>
      <c r="DX53" s="194" t="b">
        <v>0</v>
      </c>
      <c r="DY53" s="195" t="b">
        <v>0</v>
      </c>
      <c r="DZ53" s="196" t="b">
        <v>0</v>
      </c>
      <c r="EA53" s="195" t="b">
        <v>0</v>
      </c>
      <c r="EB53" s="197" t="b">
        <v>0</v>
      </c>
      <c r="EC53" s="197" t="b">
        <v>0</v>
      </c>
      <c r="ED53" s="212" t="b">
        <v>0</v>
      </c>
      <c r="EE53" s="199">
        <f>IFERROR(__xludf.DUMMYFUNCTION("IFERROR(
   PRODUCT(
     MAP(
       INDEX(TRANSPOSE(UNIQUE(TRANSPOSE(FILTER({IF($F53=""Physical"", K$10:ED$10, IF($F53=""Magic"", K$11:ED$11, K$12:ED$12));K$4:ED$4;K53:ED53}, K53:ED53=TRUE)))), 1, 0),
       INDEX(TRANSPOSE(UNIQUE(TRANSPOSE(FILTER({IF($"&amp;"F53=""Physical"", K$18:ED$18, IF($F53=""Magic"", K$19:ED$19, K$20:ED$20));K$4:ED$4;K53:ED53}, K53:ED53=TRUE)))), 1, 0),
       INDEX(TRANSPOSE(UNIQUE(TRANSPOSE(FILTER({K$5:ED$5;K$4:ED$4;K53:ED53}, K53:ED53=TRUE)))), 1, 0),
       INDEX(TRANSPOSE(UNIQUE(TR"&amp;"ANSPOSE(FILTER({K$17:ED$17;K$4:ED$4;K53:ED53}, K53:ED53=TRUE)))), 1, 0),
       LAMBDA(
         mitigation,
         enhance,
         assign,
         precondition,
         IF(
           REGEXMATCH(assign, ""RANGE_PARTY|SINGLE_ENEMY|RANGE_ENEMY""),
  "&amp;"         IF(
             OR(ARRAYFORMULA((IF(precondition="""", FALSE, REGEXMATCH(K$4:ED$4, precondition))) * (K53:ED53=TRUE))),
             IF(ISNUMBER(enhance), enhance, 1),
             IF(ISNUMBER(mitigation), mitigation, 1)
           ),
          "&amp;" 1
         )
       )
     )
   ),
   1
 )"),1.0)</f>
        <v>1</v>
      </c>
      <c r="EF53" s="200">
        <f>IFERROR(__xludf.DUMMYFUNCTION("PRODUCT(
   MAP(
     K$14:ED$14,
     K$13:ED$13,
     K53:ED53,
     LAMBDA(
       buff,
       target,
       check,
       IF(
         AND(check=TRUE, REGEXMATCH(target, ""RANGE_AFFECTED_ALL|RANGE_EFFECTED_ALL""), ISNUMBER(buff)),
         buff,
   "&amp;"      1
       )
     )
   )
 )"),1.0)</f>
        <v>1</v>
      </c>
      <c r="EG53" s="200">
        <f>IFERROR(__xludf.DUMMYFUNCTION("PRODUCT(
   MAP(
     K$14:ED$14,
     K$13:ED$13,
     K53:ED53,
     LAMBDA(
       buff,
       target,
       check,
       IF(
         AND(check=TRUE, REGEXMATCH(target, ""RANGE_AFFECTED_GCD|RANGE_EFFECTED_GCD""), ISNUMBER(buff)),
         buff,
   "&amp;"      1
       )
     )
   )
 )"),1.0)</f>
        <v>1</v>
      </c>
      <c r="EH53" s="200">
        <f>IFERROR(__xludf.DUMMYFUNCTION("PRODUCT(
   MAP(
     K$3:ED$3,
     K$14:ED$14,
     K$13:ED$13,
     K53:ED53,
     LAMBDA(
       job,
       buff,
       target,
       check,
       IF(
         AND(check=TRUE, REGEXMATCH(target, ""SELF_EFFECTED_ALL""), ISNUMBER(buff), job=""白魔道士"""&amp;"),
         buff,
         1
       )
     )
   )
 )"),1.0)</f>
        <v>1</v>
      </c>
      <c r="EI53" s="200">
        <f>IFERROR(__xludf.DUMMYFUNCTION("PRODUCT(
   MAP(
     K$3:ED$3,
     K$14:ED$14,
     K$13:ED$13,
     K53:ED53,
     LAMBDA(
       job,
       buff,
       target,
       check,
       IF(
         AND(check=TRUE, REGEXMATCH(target, ""SELF_EFFECTED_GCD""), ISNUMBER(buff), job=""白魔道士"""&amp;"),
         buff,
         1
       )
     )
   )
 )"),1.0)</f>
        <v>1</v>
      </c>
      <c r="EJ53" s="200">
        <f>IFERROR(__xludf.DUMMYFUNCTION("PRODUCT(
   MAP(
     K$3:ED$3,
     K$14:ED$14,
     K$13:ED$13,
     K53:ED53,
     LAMBDA(
       job,
       buff,
       target,
       check,
       IF(
         AND(check=TRUE, REGEXMATCH(target, ""SELF_EFFECTED_ALL""), ISNUMBER(buff), job=""占星術師"""&amp;"),
         buff,
         1
       )
     )
   )
 )"),1.0)</f>
        <v>1</v>
      </c>
      <c r="EK53" s="200">
        <f>IFERROR(__xludf.DUMMYFUNCTION("PRODUCT(
   MAP(
     K$3:ED$3,
     K$14:ED$14,
     K$13:ED$13,
     K53:ED53,
     LAMBDA(
       job,
       buff,
       target,
       check,
       IF(
         AND(check=TRUE, REGEXMATCH(target, ""SELF_EFFECTED_GCD""), ISNUMBER(buff), job=""占星術師"""&amp;"),
         buff,
         1
       )
     )
   )
 )"),1.0)</f>
        <v>1</v>
      </c>
      <c r="EL53" s="200">
        <f>IFERROR(__xludf.DUMMYFUNCTION("PRODUCT(
   MAP(
     K$3:ED$3,
     K$14:ED$14,
     K$13:ED$13,
     K53:ED53,
     LAMBDA(
       job,
       buff,
       target,
       check,
       IF(
         AND(check=TRUE, REGEXMATCH(target, ""SELF_EFFECTED_ALL""), ISNUMBER(buff), job=""学者""),"&amp;"
         buff,
         1
       )
     )
   )
 )"),1.0)</f>
        <v>1</v>
      </c>
      <c r="EM53" s="200">
        <f>IFERROR(__xludf.DUMMYFUNCTION("PRODUCT(
   MAP(
     K$3:ED$3,
     K$14:ED$14,
     K$13:ED$13,
     K53:ED53,
     LAMBDA(
       job,
       buff,
       target,
       check,
       IF(
         AND(check=TRUE, REGEXMATCH(target, ""SELF_EFFECTED_GCD""), ISNUMBER(buff), job=""学者""),"&amp;"
         buff,
         1
       )
     )
   )
 )"),1.0)</f>
        <v>1</v>
      </c>
      <c r="EN53" s="200">
        <f>IFERROR(__xludf.DUMMYFUNCTION("PRODUCT(
   MAP(
     K$3:ED$3,
     K$14:ED$14,
     K$13:ED$13,
     K53:ED53,
     LAMBDA(
       job,
       buff,
       target,
       check,
       IF(
         AND(check=TRUE, REGEXMATCH(target, ""SELF_EFFECTED_ALL""), ISNUMBER(buff), job=""賢者""),"&amp;"
         buff,
         1
       )
     )
   )
 )"),1.0)</f>
        <v>1</v>
      </c>
      <c r="EO53" s="200">
        <f>IFERROR(__xludf.DUMMYFUNCTION("PRODUCT(
   MAP(
     K$3:ED$3,
     K$14:ED$14,
     K$13:ED$13,
     K53:ED53,
     LAMBDA(
       job,
       buff,
       target,
       check,
       IF(
         AND(check=TRUE, REGEXMATCH(target, ""SELF_EFFECTED_GCD""), ISNUMBER(buff), job=""賢者""),"&amp;"
         buff,
         1
       )
     )
   )
 )"),1.0)</f>
        <v>1</v>
      </c>
      <c r="EP53" s="201">
        <f t="shared" si="3"/>
        <v>0</v>
      </c>
      <c r="EQ53" s="201">
        <f>IFERROR(__xludf.DUMMYFUNCTION("SUM(
   MAP(
     K$4:ED$4,
     K$3:ED$3,
     K$7:ED$7,
     K$15:ED$15,
     K$16:ED$16,
     K$21:ED$21,
     K$5:ED$5,
     K$17:ED$17,
     K53:ED53,
     LAMBDA(
       name,
       job,
       abillity,
       buff,
       barrier,
       enhance,"&amp;"
       assign,
       precondition,
       check,
       SWITCH(
         name,
         ""シェイクオフ"", IF(check=TRUE, buff + (0.02 * COUNTIF(ARRAYFORMULA((REGEXMATCH($K$4:$ED$4, ""スリル・オブ・バトル|ヴェンジェンス|原初の血気|ダムネーション"")) * (K53:ED53=TRUE)), 1)), 0),
         "&amp;"""インプロビゼーションフィニッシュ(踊りの激情0)"", IF(ISNUMBER(check), INDEX(Skill!$AJ:$AJ, MATCH(SUBSTITUTE(DV$4, 0, check), Skill!$C:$C, 0)), 0),
         IF(
           AND(check=TRUE, REGEXMATCH(assign, ""RANGE_PARTY"")),
           IF(
             OR(ARRAYFORMULA((IF(pr"&amp;"econdition="""", FALSE, REGEXMATCH($K$4:$ED$4, precondition))) * (K53:ED53=TRUE))),
             enhance,
             IF(barrier="""", buff, barrier)
           ),
           0
         )
       ) *
       SWITCH(
         job,
         ""ナイト"", EY$24,
 "&amp;"        ""戦士"", FD$24,
         ""踊り子"", ET$24,
         ""ピクトマンサー"", ET$24,
         ""白魔道士"", EF53 * EH53 * IF(abillity, 1, EG53 * EI53) * (Option!$D$22 * 0.81 / 100),
         ""占星術師"", EF53 * EJ53 * IF(abillity, 1, EG53 * EK53) * (Option!$D$23 * 0.81 "&amp;"/ 100),
         ""学者"", EF53 * EL53 * IF(abillity, 1, EG53 * EM53) * (Option!$D$24 * 0.81 / 100),
         ""賢者"", EF53 * EN53 * IF(abillity, 1, EG53 * EO53) * (Option!$D$25 * 0.81 / 100),
         1
       )
     )
   )
 )"),0.0)</f>
        <v>0</v>
      </c>
      <c r="ER53" s="202">
        <f t="shared" si="4"/>
        <v>0</v>
      </c>
      <c r="ES53" s="203">
        <f t="shared" si="5"/>
        <v>0</v>
      </c>
      <c r="ET53" s="231" t="str">
        <f>IFERROR(__xludf.DUMMYFUNCTION("IFS(
  EP53 &gt; $ET$24 + EQ53,
  SPARKLINE({ 1, 0 }, {""charttype"",""bar"";""max"", 1;""color1"",Option!$D$30;""color2"",Option!$D$30}),
  EP53 &lt; EQ53,
  SPARKLINE({EQ53 - EP53, $ET$24 - (EQ53 - EP53)}, {""charttype"",""bar"";""max"",$ET$24;""color1"",Opti"&amp;"on!$D$28;""color2"",Option!$D$29}),
  EP53 &gt;= EQ53,
  SPARKLINE({$ET$24 + EQ53 - EP53,EP53 - EQ53}, {""charttype"",""bar"";""max"",$ET$24;""color1"",Option!$D$29;""color2"",Option!$D$30})
)"),"")</f>
        <v/>
      </c>
      <c r="EU53" s="205">
        <f>IFERROR(__xludf.DUMMYFUNCTION("PRODUCT(
   MAP(
     IF($F53=""Physical"", K$10:ED$10, IF($F53=""Magic"", K$11:ED$11, K$12:ED$12)),
     IF($F53=""Physical"", K$18:ED$18, IF($F53=""Magic"", K$19:ED$19, K$20:ED$20)),
     K$3:ED$3,
     K$5:ED$5,
     K$17:ED$17,
     K53:ED53,
     LAM"&amp;"BDA(
       mitigation,
       enhance,
       job,
       assign,
       precondition,
       check,
       IF(
         OR(AND(check=TRUE, REGEXMATCH(assign, ""SELF""), job=""ナイト""), AND(check=Option!$E$13, REGEXMATCH(assign, ""SINGLE_PARTY""))),
      "&amp;"   IF(
           OR(ARRAYFORMULA((IF(precondition="""", FALSE, REGEXMATCH($K$4:$ED$4, precondition))) * (K53:ED53=TRUE))),
           enhance,
           mitigation
         ),
         1
       )
     )
   )
 ) * EE53"),1.0)</f>
        <v>1</v>
      </c>
      <c r="EV53" s="206">
        <f t="shared" si="6"/>
        <v>0</v>
      </c>
      <c r="EW53" s="205">
        <f>IFERROR(__xludf.DUMMYFUNCTION("PRODUCT(
   MAP(
     K$3:ED$3,
     K$14:ED$14,
     K$13:ED$13,
     K53:ED53,
     LAMBDA(
       job,
       buff,
       target,
       check,
       IF(
         OR(AND(check=TRUE, REGEXMATCH(target, ""SELF_AFFECTED_ALL""), job=""ナイト""), AND(check=O"&amp;"ption!$E$13, REGEXMATCH(target, ""SINGLE_AFFECTED_ALL""))),
         buff,
         1
       )
     )
   )
 )"),1.0)</f>
        <v>1</v>
      </c>
      <c r="EX53" s="206">
        <f>IFERROR(__xludf.DUMMYFUNCTION("SUM(
   MAP(
     K$3:ED$3,
     K$7:ED$7,
     K$15:ED$15,
     K$16:ED$16,
     K$21:ED$21,
     K$5:ED$5,
     K$17:ED$17,
     K53:ED53,
     LAMBDA(
       job,
       abillity,
       buff,
       barrier,
       enhance,
       assign,
       preco"&amp;"ndition,
       check,
       IF(
         OR(AND(check=TRUE, REGEXMATCH(assign, ""SELF""), job=""ナイト""), AND(check=Option!$E$13, REGEXMATCH(assign, ""SINGLE_PARTY""))),
         IF(
           OR(ARRAYFORMULA((IF(precondition="""", FALSE, REGEXMATCH($K$4"&amp;":$ED$4, precondition))) * (K53:ED53=TRUE))),
           enhance,
           IF(barrier="""", buff, barrier)
         ),
         0
       ) *
       SWITCH(
         job,
         ""暗黒騎士"", EY$24,
         ""白魔道士"", EF53 * EH53 * EW53 * IF(abillity, 1, EG"&amp;"53 * EI53) * (Option!$D$22 * 0.81 / 100),
         ""占星術師"", EF53 * EJ53 * EW53 * IF(abillity, 1, EG53 * EK53) * (Option!$D$23 * 0.81 / 100),
         ""学者"", EF53 * EL53 * EW53 * IF(abillity, 1, EG53 * EM53) * (Option!$D$24 * 0.81 / 100),
         ""賢者"""&amp;", EF53 * EN53 * EW53 * IF(abillity, 1, EG53 * EO53) * (Option!$D$25 * 0.81 / 100),
         1
       )
     )
   )
 ) + EQ53"),0.0)</f>
        <v>0</v>
      </c>
      <c r="EY53" s="232">
        <f t="shared" si="7"/>
        <v>0</v>
      </c>
      <c r="EZ53" s="205">
        <f>IFERROR(__xludf.DUMMYFUNCTION("PRODUCT(
   MAP(
     IF($F53=""Physical"", K$10:ED$10, IF($F53=""Magic"", K$11:ED$11, K$12:ED$12)),
     IF($F53=""Physical"", K$18:ED$18, IF($F53=""Magic"", K$19:ED$19, K$20:ED$20)),
     K$3:ED$3,
     K$5:ED$5,
     K$17:ED$17,
     K53:ED53,
     LAM"&amp;"BDA(
       mitigation,
       enhance,
       job,
       assign,
       precondition,
       check,
       IF(
         OR(AND(check=TRUE, REGEXMATCH(assign, ""SELF""), job=""戦士""), AND(check=Option!$F$13, REGEXMATCH(assign, ""SINGLE_PARTY""))),
       "&amp;"  IF(
           OR(ARRAYFORMULA((IF(precondition="""", FALSE, REGEXMATCH($K$4:$ED$4, precondition))) * (K53:ED53=TRUE))),
           enhance,
           mitigation
         ),
         1
       )
     )
   )
 ) * EE53"),1.0)</f>
        <v>1</v>
      </c>
      <c r="FA53" s="206">
        <f t="shared" si="8"/>
        <v>0</v>
      </c>
      <c r="FB53" s="205">
        <f>IFERROR(__xludf.DUMMYFUNCTION("PRODUCT(
   MAP(
     K$3:ED$3,
     K$14:ED$14,
     K$13:ED$13,
     K53:ED53,
     LAMBDA(
       job,
       buff,
       target,
       check,
       IF(
         OR(AND(check=TRUE, REGEXMATCH(target, ""SELF_AFFECTED_ALL""), job=""戦士""), AND(check=Op"&amp;"tion!$F$13, REGEXMATCH(target, ""SINGLE_AFFECTED_ALL""))),
         buff,
         1
       )
     )
   )
 )"),1.0)</f>
        <v>1</v>
      </c>
      <c r="FC53" s="206">
        <f>IFERROR(__xludf.DUMMYFUNCTION("SUM(
   MAP(
     K$3:ED$3,
     K$7:ED$7,
     K$15:ED$15,
     K$16:ED$16,
     K$21:ED$21,
     K$5:ED$5,
     K$17:ED$17,
     K53:ED53,
     LAMBDA(
       job,
       abillity,
       buff,
       barrier,
       enhance,
       assign,
       preco"&amp;"ndition,
       check,
       IF(
         OR(AND(check=TRUE, REGEXMATCH(assign, ""SELF""), job=""戦士""), AND(check=Option!$F$13, REGEXMATCH(assign, ""SINGLE_PARTY""))),
         IF(
           OR(ARRAYFORMULA((IF(precondition="""", FALSE, REGEXMATCH($K$4:"&amp;"$ED$4, precondition))) * (K53:ED53=TRUE))),
           enhance,
           IF(barrier="""", buff, barrier)
         ),
         0
       ) *
       SWITCH(
         job,
         ""暗黒騎士"", FD$24,
         ""白魔道士"", EF53 * EH53 * FB53 * IF(abillity, 1, EG5"&amp;"3 * EI53) * (Option!$D$22 * 0.81 / 100),
         ""占星術師"", EF53 * EJ53 * FFB53 * IF(abillity, 1, EG53 * EK53) * (Option!$D$23 * 0.81 / 100),
         ""学者"", EF53 * EL53 * FB53 * IF(abillity, 1, EG53 * EM53) * (Option!$D$24 * 0.81 / 100),
         ""賢者"""&amp;", EF53 * EN53 * FB53 * IF(abillity, 1, EG53 * EO53) * (Option!$D$25 * 0.81 / 100),
         1
       )
     )
   )
 ) + EQ53"),0.0)</f>
        <v>0</v>
      </c>
      <c r="FD53" s="206">
        <f t="shared" si="9"/>
        <v>0</v>
      </c>
      <c r="FE53" s="205">
        <f>IFERROR(__xludf.DUMMYFUNCTION("PRODUCT(
   MAP(
     IF($F53=""Physical"", K$10:ED$10, IF($F53=""Magic"", K$11:ED$11, K$12:ED$12)),
     IF($F53=""Physical"", K$18:ED$18, IF($F53=""Magic"", K$19:ED$19, K$20:ED$20)),
     K$3:ED$3,
     K$5:ED$5,
     K$17:ED$17,
     K53:ED53,
     LAM"&amp;"BDA(
       mitigation,
       enhance,
       job,
       assign,
       precondition,
       check,
       IF(
         OR(AND(check=TRUE, REGEXMATCH(assign, ""SELF""), job=""暗黒騎士""), AND(check=Option!$G$13, REGEXMATCH(assign, ""SINGLE_PARTY""))),
     "&amp;"    IF(
           OR(ARRAYFORMULA((IF(precondition="""", FALSE, REGEXMATCH($K$4:$ED$4, precondition))) * (K53:ED53=TRUE))),
           enhance,
           mitigation
         ),
         1
       )
     )
   )
 ) * EE53"),1.0)</f>
        <v>1</v>
      </c>
      <c r="FF53" s="206">
        <f t="shared" si="10"/>
        <v>0</v>
      </c>
      <c r="FG53" s="205">
        <f>IFERROR(__xludf.DUMMYFUNCTION("PRODUCT(
   MAP(
     K$3:ED$3,
     K$14:ED$14,
     K$13:ED$13,
     K53:ED53,
     LAMBDA(
       job,
       buff,
       target,
       check,
       IF(
         OR(AND(check=TRUE, REGEXMATCH(target, ""SELF_AFFECTED_ALL""), job=""暗黒騎士""), AND(check="&amp;"Option!$G$13, REGEXMATCH(target, ""SINGLE_AFFECTED_ALL""))),
         buff,
         1
       )
     )
   )
 )"),1.0)</f>
        <v>1</v>
      </c>
      <c r="FH53" s="206">
        <f>IFERROR(__xludf.DUMMYFUNCTION("SUM(
   MAP(
     K$3:ED$3,
     K$7:ED$7,
     K$15:ED$15,
     K$16:ED$16,
     K$21:ED$21,
     K$5:ED$5,
     K$17:ED$17,
     K53:ED53,
     LAMBDA(
       job,
       abillity,
       buff,
       barrier,
       enhance,
       assign,
       preco"&amp;"ndition,
       check,
       IF(
         OR(AND(check=TRUE, REGEXMATCH(assign, ""SELF""), job=""暗黒騎士""), AND(check=Option!$G$13, REGEXMATCH(assign, ""SINGLE_PARTY""))),
         IF(
           OR(ARRAYFORMULA((IF(precondition="""", FALSE, REGEXMATCH($K$"&amp;"4:$ED$4, precondition))) * (K53:ED53=TRUE))),
           enhance,
           IF(barrier="""", buff, barrier)
         ),
         0
       ) *
       SWITCH(
         job,
         ""暗黒騎士"", FI$24,
         ""白魔道士"", EF53 * EH53 * FG53 * IF(abillity, 1, E"&amp;"G53 * EI53) * (Option!$D$22 * 0.81 / 100),
         ""占星術師"", EF53 * EJ53 * FG53 * IF(abillity, 1, EG53 * EK53) * (Option!$D$23 * 0.81 / 100),
         ""学者"", EF53 * EL53 * FG53 * IF(abillity, 1, EG53 * EM53) * (Option!$D$24 * 0.81 / 100),
         ""賢者"&amp;""", EF53 * EN53 * FG53 * IF(abillity, 1, EG53 * EO53) * (Option!$D$25 * 0.81 / 100),
         1
       )
     )
   )
 ) + EQ53"),0.0)</f>
        <v>0</v>
      </c>
      <c r="FI53" s="206">
        <f t="shared" si="11"/>
        <v>0</v>
      </c>
      <c r="FJ53" s="205">
        <f>IFERROR(__xludf.DUMMYFUNCTION("PRODUCT(
   MAP(
     IF($F53=""Physical"", K$10:ED$10, IF($F53=""Magic"", K$11:ED$11, K$12:ED$12)),
     IF($F53=""Physical"", K$18:ED$18, IF($F53=""Magic"", K$19:ED$19, K$20:ED$20)),
     K$3:ED$3,
     K$5:ED$5,
     K$17:ED$17,
     K53:ED53,
     LAM"&amp;"BDA(
       mitigation,
       enhance,
       job,
       assign,
       precondition,
       check,
       IF(
         OR(AND(check=TRUE, REGEXMATCH(assign, ""SELF""), job=""ガンブレイカー""), AND(check=Option!$H$13, REGEXMATCH(assign, ""SINGLE_PARTY""))),
  "&amp;"       IF(
           OR(ARRAYFORMULA((IF(precondition="""", FALSE, REGEXMATCH($K$4:$ED$4, precondition))) * (K53:ED53=TRUE))),
           enhance,
           mitigation
         ),
         1
       )
     )
   )
 ) * EE53"),1.0)</f>
        <v>1</v>
      </c>
      <c r="FK53" s="206">
        <f t="shared" si="12"/>
        <v>0</v>
      </c>
      <c r="FL53" s="205">
        <f>IFERROR(__xludf.DUMMYFUNCTION("PRODUCT(
   MAP(
     K$3:ED$3,
     K$14:ED$14,
     K$13:ED$13,
     K53:ED53,
     LAMBDA(
       job,
       buff,
       target,
       check,
       IF(
         OR(AND(check=TRUE, REGEXMATCH(target, ""SELF_AFFECTED_ALL""), job=""ガンブレイカー""), AND(che"&amp;"ck=Option!$H$13, REGEXMATCH(target, ""SINGLE_AFFECTED_ALL""))),
         buff,
         1
       )
     )
   )
 )"),1.0)</f>
        <v>1</v>
      </c>
      <c r="FM53" s="206">
        <f>IFERROR(__xludf.DUMMYFUNCTION("SUM(
   MAP(
     K$3:ED$3,
     K$7:ED$7,
     K$15:ED$15,
     K$16:ED$16,
     K$21:ED$21,
     K$5:ED$5,
     K$17:ED$17,
     K53:ED53,
     LAMBDA(
       job,
       abillity,
       buff,
       barrier,
       enhance,
       assign,
       preco"&amp;"ndition,
       check,
       IF(
         OR(AND(check=TRUE, REGEXMATCH(assign, ""SELF""), job=""ガンブレイカー""), AND(check=Option!$H$13, REGEXMATCH(assign, ""SINGLE_PARTY""))),
         IF(
           OR(ARRAYFORMULA((IF(precondition="""", FALSE, REGEXMATCH("&amp;"$K$4:$ED$4, precondition))) * (K53:ED53=TRUE))),
           enhance,
           IF(barrier="""", buff, barrier)
         ),
         0
       ) *
       SWITCH(
         job,
         ""暗黒騎士"", FN$24,
         ""白魔道士"", EF53 * EH53 * FL53 * IF(abillity, 1"&amp;", EG53 * EI53) * (Option!$D$22 * 0.81 / 100),
         ""占星術師"", EF53 * EJ53 * FL53 * IF(abillity, 1, EG53 * EK53) * (Option!$D$23 * 0.81 / 100),
         ""学者"", EF53 * EL53 * FL53 * IF(abillity, 1, EG53 * EM53) * (Option!$D$24 * 0.81 / 100),
         """&amp;"賢者"", EF53 * EN53 * FL53 * IF(abillity, 1, EG53 * EO53) * (Option!$D$25 * 0.81 / 100),
         1
       )
     )
   )
 ) + EQ53"),0.0)</f>
        <v>0</v>
      </c>
      <c r="FN53" s="206">
        <f t="shared" si="13"/>
        <v>0</v>
      </c>
      <c r="FO53" s="213"/>
    </row>
    <row r="54">
      <c r="B54" s="229"/>
      <c r="C54" s="217">
        <f t="shared" si="1"/>
        <v>0.00380787037</v>
      </c>
      <c r="D54" s="236"/>
      <c r="E54" s="238"/>
      <c r="F54" s="167"/>
      <c r="G54" s="168" t="str">
        <f t="shared" si="2"/>
        <v/>
      </c>
      <c r="H54" s="169"/>
      <c r="I54" s="169"/>
      <c r="J54" s="169"/>
      <c r="K54" s="170" t="b">
        <v>0</v>
      </c>
      <c r="L54" s="170" t="b">
        <v>0</v>
      </c>
      <c r="M54" s="170" t="b">
        <v>0</v>
      </c>
      <c r="N54" s="171" t="s">
        <v>1070</v>
      </c>
      <c r="O54" s="172" t="b">
        <v>0</v>
      </c>
      <c r="P54" s="173" t="b">
        <v>0</v>
      </c>
      <c r="Q54" s="173" t="b">
        <v>0</v>
      </c>
      <c r="R54" s="173" t="b">
        <v>0</v>
      </c>
      <c r="S54" s="174" t="b">
        <v>0</v>
      </c>
      <c r="T54" s="175" t="b">
        <v>0</v>
      </c>
      <c r="U54" s="173" t="b">
        <v>0</v>
      </c>
      <c r="V54" s="171" t="s">
        <v>1070</v>
      </c>
      <c r="W54" s="172" t="b">
        <v>0</v>
      </c>
      <c r="X54" s="173" t="b">
        <v>0</v>
      </c>
      <c r="Y54" s="173" t="b">
        <v>0</v>
      </c>
      <c r="Z54" s="173" t="b">
        <v>0</v>
      </c>
      <c r="AA54" s="174" t="b">
        <v>0</v>
      </c>
      <c r="AB54" s="174" t="b">
        <v>0</v>
      </c>
      <c r="AC54" s="175" t="b">
        <v>0</v>
      </c>
      <c r="AD54" s="173" t="b">
        <v>0</v>
      </c>
      <c r="AE54" s="176" t="s">
        <v>1070</v>
      </c>
      <c r="AF54" s="171" t="s">
        <v>1070</v>
      </c>
      <c r="AG54" s="177">
        <f>IFERROR(__xludf.DUMMYFUNCTION("IF(
  ISNUMBER(AG53),
  MIN(MAX(
    AG53
    + MAX(
      ROUNDDOWN(($D54 - MAX(IFERROR(FILTER($D$24:$D53, AG$24:AG53 &lt;&gt; AF$6, AG$23:AG52 = AF$6), 0))) * (60 * 60 * 24) / AF$9) - ROUNDDOWN(($D53 - MAX(IFERROR(FILTER($D$23:$D52, AG$23:AG52 &lt;&gt; AF$6, AG$22:"&amp;"AG51 = AF$6), 0))) * (60 * 60 * 24) / 60),
      0
    )
    - COUNTIF(AF54, ""&lt;&gt;-""),
  0), AF$6),
  AF$6 - COUNTIF(AF54, ""&lt;&gt;-"")
)"),2.0)</f>
        <v>2</v>
      </c>
      <c r="AH54" s="173" t="b">
        <v>0</v>
      </c>
      <c r="AI54" s="173" t="b">
        <v>0</v>
      </c>
      <c r="AJ54" s="173" t="b">
        <v>0</v>
      </c>
      <c r="AK54" s="174" t="b">
        <v>0</v>
      </c>
      <c r="AL54" s="175" t="b">
        <v>0</v>
      </c>
      <c r="AM54" s="173" t="b">
        <v>0</v>
      </c>
      <c r="AN54" s="171" t="s">
        <v>1070</v>
      </c>
      <c r="AO54" s="173" t="b">
        <v>0</v>
      </c>
      <c r="AP54" s="173" t="b">
        <v>0</v>
      </c>
      <c r="AQ54" s="173" t="b">
        <v>0</v>
      </c>
      <c r="AR54" s="174" t="b">
        <v>0</v>
      </c>
      <c r="AS54" s="178" t="b">
        <v>0</v>
      </c>
      <c r="AT54" s="179" t="b">
        <v>0</v>
      </c>
      <c r="AU54" s="180" t="b">
        <v>0</v>
      </c>
      <c r="AV54" s="180" t="b">
        <v>0</v>
      </c>
      <c r="AW54" s="180" t="b">
        <v>0</v>
      </c>
      <c r="AX54" s="180" t="b">
        <v>0</v>
      </c>
      <c r="AY54" s="181" t="s">
        <v>1070</v>
      </c>
      <c r="AZ54" s="181" t="s">
        <v>1070</v>
      </c>
      <c r="BA54" s="184">
        <f>IFERROR(__xludf.DUMMYFUNCTION("IF(
  ISNUMBER(BA53),
  MIN(MAX(
    BA53
    + MAX(
      ROUNDDOWN((D54 - MAX(IFERROR(FILTER(D$24:D53, BA$24:BA53 &lt;&gt; AZ$6, BA$23:BA52 = AZ$6), 0))) * (60 * 60 * 24) / AZ$9) - ROUNDDOWN((D53 - MAX(IFERROR(FILTER(D$23:D52, BA$23:BA52 &lt;&gt; AZ$6, BA$22:BA51 ="&amp;" AZ$6), 0))) * (60 * 60 * 24) / AZ$9),
      0
    )
    - COUNTIF(AZ54, ""&lt;&gt;-""),
  0), AZ$6),
  AZ$6 - COUNTIF(AZ54, ""&lt;&gt;-"")
)"),2.0)</f>
        <v>2</v>
      </c>
      <c r="BB54" s="181" t="s">
        <v>1070</v>
      </c>
      <c r="BC54" s="183">
        <f>IFERROR(__xludf.DUMMYFUNCTION("IF(
  ISNUMBER(BC53),
  MIN(MAX(
    BC53
    + MAX(
      ROUNDDOWN(($D54 - MAX(IFERROR(FILTER($D$24:$D53, BC$24:BC53 &lt;&gt; BB$6, BC$23:BC52 = BB$6), 0))) * (60 * 60 * 24) / BB$9) - ROUNDDOWN(($D53 - MAX(IFERROR(FILTER($D$23:$D52, BC$23:BC52 &lt;&gt; BB$6, BC$22:"&amp;"BC51 = BB$6), 0))) * (60 * 60 * 24) / 60),
      0
    )
    - COUNTIF(BB54, ""&lt;&gt;-""),
  0), BB$6),
  BB$6 - COUNTIF(BB54, ""&lt;&gt;-"")
)"),2.0)</f>
        <v>2</v>
      </c>
      <c r="BD54" s="181" t="s">
        <v>1070</v>
      </c>
      <c r="BE54" s="178" t="b">
        <v>0</v>
      </c>
      <c r="BF54" s="180" t="b">
        <v>0</v>
      </c>
      <c r="BG54" s="180" t="b">
        <v>0</v>
      </c>
      <c r="BH54" s="180" t="b">
        <v>0</v>
      </c>
      <c r="BI54" s="180" t="b">
        <v>0</v>
      </c>
      <c r="BJ54" s="180" t="b">
        <v>0</v>
      </c>
      <c r="BK54" s="180" t="b">
        <v>0</v>
      </c>
      <c r="BL54" s="180" t="b">
        <v>0</v>
      </c>
      <c r="BM54" s="180" t="b">
        <v>0</v>
      </c>
      <c r="BN54" s="180" t="b">
        <v>0</v>
      </c>
      <c r="BO54" s="181" t="s">
        <v>1070</v>
      </c>
      <c r="BP54" s="181" t="s">
        <v>1070</v>
      </c>
      <c r="BQ54" s="181" t="s">
        <v>1070</v>
      </c>
      <c r="BR54" s="181" t="s">
        <v>1070</v>
      </c>
      <c r="BS54" s="181" t="s">
        <v>1070</v>
      </c>
      <c r="BT54" s="184">
        <f>IFERROR(__xludf.DUMMYFUNCTION("IF(
  ISNUMBER(BT53),
  MIN(MAX(
    BT53
    + MAX(
      ROUNDDOWN((D54 - MAX(IFERROR(FILTER(D$24:D53, BT$24:BT53 &lt;&gt; BS$6, BT$23:BT52 = BS$6), 0))) * (60 * 60 * 24) / BS$9) - ROUNDDOWN((D53 - MAX(IFERROR(FILTER(D$23:D52, BT$23:BT52 &lt;&gt; BS$6, BT$22:BT51 ="&amp;" BS$6), 0))) * (60 * 60 * 24) / BS$9),
      0
    )
    - COUNTIF(BS54, ""&lt;&gt;-""),
  0), BS$6),
  BS$6 - COUNTIF(BS54, ""&lt;&gt;-"")
)"),3.0)</f>
        <v>3</v>
      </c>
      <c r="BU54" s="181" t="s">
        <v>1070</v>
      </c>
      <c r="BV54" s="181" t="s">
        <v>1070</v>
      </c>
      <c r="BW54" s="184">
        <f>IFERROR(__xludf.DUMMYFUNCTION("IF(
  ISNUMBER(BW53),
  MIN(MAX(
    BW53
    + MAX(
      ROUNDDOWN((D54 - MAX(IFERROR(FILTER(D$24:D53, BW$24:BW53 &lt;&gt; BV$6, BW$23:BW52 = BV$6), 0))) * (60 * 60 * 24) / BV$9) - ROUNDDOWN((D53 - MAX(IFERROR(FILTER(D$23:D52, BW$23:BW52 &lt;&gt; BV$6, BW$22:BW51 ="&amp;" BV$6), 0))) * (60 * 60 * 24) / BV$9),
      0
    )
    - COUNTIF(BV54, ""&lt;&gt;-""),
  0), BV$6),
  BV$6 - COUNTIF(BV54, ""&lt;&gt;-"")
)"),2.0)</f>
        <v>2</v>
      </c>
      <c r="BX54" s="185" t="s">
        <v>1070</v>
      </c>
      <c r="BY54" s="178" t="b">
        <v>0</v>
      </c>
      <c r="BZ54" s="180" t="b">
        <v>0</v>
      </c>
      <c r="CA54" s="180" t="b">
        <v>0</v>
      </c>
      <c r="CB54" s="180" t="b">
        <v>0</v>
      </c>
      <c r="CC54" s="180" t="b">
        <v>0</v>
      </c>
      <c r="CD54" s="180" t="b">
        <v>0</v>
      </c>
      <c r="CE54" s="180" t="b">
        <v>0</v>
      </c>
      <c r="CF54" s="180" t="b">
        <v>0</v>
      </c>
      <c r="CG54" s="180" t="b">
        <v>0</v>
      </c>
      <c r="CH54" s="180" t="b">
        <v>0</v>
      </c>
      <c r="CI54" s="180" t="b">
        <v>0</v>
      </c>
      <c r="CJ54" s="180" t="b">
        <v>0</v>
      </c>
      <c r="CK54" s="180" t="b">
        <v>0</v>
      </c>
      <c r="CL54" s="180" t="b">
        <v>0</v>
      </c>
      <c r="CM54" s="181" t="s">
        <v>1070</v>
      </c>
      <c r="CN54" s="181" t="s">
        <v>1070</v>
      </c>
      <c r="CO54" s="181" t="s">
        <v>1070</v>
      </c>
      <c r="CP54" s="181" t="s">
        <v>1070</v>
      </c>
      <c r="CQ54" s="185" t="s">
        <v>1070</v>
      </c>
      <c r="CR54" s="180" t="b">
        <v>0</v>
      </c>
      <c r="CS54" s="186" t="str">
        <f t="shared" si="14"/>
        <v>◇◇◇</v>
      </c>
      <c r="CT54" s="178" t="b">
        <v>0</v>
      </c>
      <c r="CU54" s="180" t="b">
        <v>0</v>
      </c>
      <c r="CV54" s="180" t="b">
        <v>0</v>
      </c>
      <c r="CW54" s="180" t="b">
        <v>0</v>
      </c>
      <c r="CX54" s="180" t="b">
        <v>0</v>
      </c>
      <c r="CY54" s="180" t="b">
        <v>0</v>
      </c>
      <c r="CZ54" s="180" t="b">
        <v>0</v>
      </c>
      <c r="DA54" s="180" t="b">
        <v>0</v>
      </c>
      <c r="DB54" s="180" t="b">
        <v>0</v>
      </c>
      <c r="DC54" s="180" t="b">
        <v>0</v>
      </c>
      <c r="DD54" s="181" t="s">
        <v>1070</v>
      </c>
      <c r="DE54" s="181" t="s">
        <v>1070</v>
      </c>
      <c r="DF54" s="181" t="s">
        <v>1070</v>
      </c>
      <c r="DG54" s="185" t="s">
        <v>1070</v>
      </c>
      <c r="DH54" s="180" t="b">
        <v>0</v>
      </c>
      <c r="DI54" s="187" t="str">
        <f>IFERROR(__xludf.DUMMYFUNCTION("SWITCH(
  IF(
    ISTEXT(DI53),
    IF (
      FIND(""○"", DI53&amp;""○"") &gt; 3,
      3,
      FIND(""○"", DI53&amp;""○"")
      + MAX(
        ROUNDDOWN(($D54 - MAX(IFERROR(FILTER(D$24:D53, DI$24:DI53 &lt;&gt; ""●●●"", DI$23:DI52 = ""●●●""), 0))) * (60 * 60 * 24) / 20"&amp;") - ROUNDDOWN(($D53 - MAX(IFERROR(FILTER(D$23:D52, DI$23:DI52 &lt;&gt; ""●●●"", DI$22:DI51 = ""●●●""), 0))) * (60 * 60 * 24) / 20),
        0
      ) - 1
    ) - COUNTIFS(CU54, ""=TRUE"", CU53, ""&lt;&gt;TRUE"") - COUNTIF(CZ54, ""=TRUE"") - COUNTIF({DD54,DE54}, ""&lt;&gt;-"&amp;""") + COUNTIF(DH54, ""=TRUE""),
    3
  ),
  0, ""○○○"", 1, ""●○○"", 2, ""●●○"", 3, ""●●●"", 4, ""●●●"", ""○○○""
)"),"●●●")</f>
        <v>●●●</v>
      </c>
      <c r="DJ54" s="188" t="b">
        <v>0</v>
      </c>
      <c r="DK54" s="189" t="b">
        <v>0</v>
      </c>
      <c r="DL54" s="190" t="b">
        <v>0</v>
      </c>
      <c r="DM54" s="190" t="b">
        <v>0</v>
      </c>
      <c r="DN54" s="190" t="b">
        <v>0</v>
      </c>
      <c r="DO54" s="190" t="b">
        <v>0</v>
      </c>
      <c r="DP54" s="190" t="b">
        <v>0</v>
      </c>
      <c r="DQ54" s="191" t="b">
        <v>0</v>
      </c>
      <c r="DR54" s="192" t="b">
        <v>0</v>
      </c>
      <c r="DS54" s="191" t="b">
        <v>0</v>
      </c>
      <c r="DT54" s="192" t="b">
        <v>0</v>
      </c>
      <c r="DU54" s="191" t="b">
        <v>0</v>
      </c>
      <c r="DV54" s="193">
        <v>0.0</v>
      </c>
      <c r="DW54" s="194" t="b">
        <v>0</v>
      </c>
      <c r="DX54" s="194" t="b">
        <v>0</v>
      </c>
      <c r="DY54" s="195" t="b">
        <v>0</v>
      </c>
      <c r="DZ54" s="196" t="b">
        <v>0</v>
      </c>
      <c r="EA54" s="195" t="b">
        <v>0</v>
      </c>
      <c r="EB54" s="197" t="b">
        <v>0</v>
      </c>
      <c r="EC54" s="197" t="b">
        <v>0</v>
      </c>
      <c r="ED54" s="212" t="b">
        <v>0</v>
      </c>
      <c r="EE54" s="199">
        <f>IFERROR(__xludf.DUMMYFUNCTION("IFERROR(
   PRODUCT(
     MAP(
       INDEX(TRANSPOSE(UNIQUE(TRANSPOSE(FILTER({IF($F54=""Physical"", K$10:ED$10, IF($F54=""Magic"", K$11:ED$11, K$12:ED$12));K$4:ED$4;K54:ED54}, K54:ED54=TRUE)))), 1, 0),
       INDEX(TRANSPOSE(UNIQUE(TRANSPOSE(FILTER({IF($"&amp;"F54=""Physical"", K$18:ED$18, IF($F54=""Magic"", K$19:ED$19, K$20:ED$20));K$4:ED$4;K54:ED54}, K54:ED54=TRUE)))), 1, 0),
       INDEX(TRANSPOSE(UNIQUE(TRANSPOSE(FILTER({K$5:ED$5;K$4:ED$4;K54:ED54}, K54:ED54=TRUE)))), 1, 0),
       INDEX(TRANSPOSE(UNIQUE(TR"&amp;"ANSPOSE(FILTER({K$17:ED$17;K$4:ED$4;K54:ED54}, K54:ED54=TRUE)))), 1, 0),
       LAMBDA(
         mitigation,
         enhance,
         assign,
         precondition,
         IF(
           REGEXMATCH(assign, ""RANGE_PARTY|SINGLE_ENEMY|RANGE_ENEMY""),
  "&amp;"         IF(
             OR(ARRAYFORMULA((IF(precondition="""", FALSE, REGEXMATCH(K$4:ED$4, precondition))) * (K54:ED54=TRUE))),
             IF(ISNUMBER(enhance), enhance, 1),
             IF(ISNUMBER(mitigation), mitigation, 1)
           ),
          "&amp;" 1
         )
       )
     )
   ),
   1
 )"),1.0)</f>
        <v>1</v>
      </c>
      <c r="EF54" s="200">
        <f>IFERROR(__xludf.DUMMYFUNCTION("PRODUCT(
   MAP(
     K$14:ED$14,
     K$13:ED$13,
     K54:ED54,
     LAMBDA(
       buff,
       target,
       check,
       IF(
         AND(check=TRUE, REGEXMATCH(target, ""RANGE_AFFECTED_ALL|RANGE_EFFECTED_ALL""), ISNUMBER(buff)),
         buff,
   "&amp;"      1
       )
     )
   )
 )"),1.0)</f>
        <v>1</v>
      </c>
      <c r="EG54" s="200">
        <f>IFERROR(__xludf.DUMMYFUNCTION("PRODUCT(
   MAP(
     K$14:ED$14,
     K$13:ED$13,
     K54:ED54,
     LAMBDA(
       buff,
       target,
       check,
       IF(
         AND(check=TRUE, REGEXMATCH(target, ""RANGE_AFFECTED_GCD|RANGE_EFFECTED_GCD""), ISNUMBER(buff)),
         buff,
   "&amp;"      1
       )
     )
   )
 )"),1.0)</f>
        <v>1</v>
      </c>
      <c r="EH54" s="200">
        <f>IFERROR(__xludf.DUMMYFUNCTION("PRODUCT(
   MAP(
     K$3:ED$3,
     K$14:ED$14,
     K$13:ED$13,
     K54:ED54,
     LAMBDA(
       job,
       buff,
       target,
       check,
       IF(
         AND(check=TRUE, REGEXMATCH(target, ""SELF_EFFECTED_ALL""), ISNUMBER(buff), job=""白魔道士"""&amp;"),
         buff,
         1
       )
     )
   )
 )"),1.0)</f>
        <v>1</v>
      </c>
      <c r="EI54" s="200">
        <f>IFERROR(__xludf.DUMMYFUNCTION("PRODUCT(
   MAP(
     K$3:ED$3,
     K$14:ED$14,
     K$13:ED$13,
     K54:ED54,
     LAMBDA(
       job,
       buff,
       target,
       check,
       IF(
         AND(check=TRUE, REGEXMATCH(target, ""SELF_EFFECTED_GCD""), ISNUMBER(buff), job=""白魔道士"""&amp;"),
         buff,
         1
       )
     )
   )
 )"),1.0)</f>
        <v>1</v>
      </c>
      <c r="EJ54" s="200">
        <f>IFERROR(__xludf.DUMMYFUNCTION("PRODUCT(
   MAP(
     K$3:ED$3,
     K$14:ED$14,
     K$13:ED$13,
     K54:ED54,
     LAMBDA(
       job,
       buff,
       target,
       check,
       IF(
         AND(check=TRUE, REGEXMATCH(target, ""SELF_EFFECTED_ALL""), ISNUMBER(buff), job=""占星術師"""&amp;"),
         buff,
         1
       )
     )
   )
 )"),1.0)</f>
        <v>1</v>
      </c>
      <c r="EK54" s="200">
        <f>IFERROR(__xludf.DUMMYFUNCTION("PRODUCT(
   MAP(
     K$3:ED$3,
     K$14:ED$14,
     K$13:ED$13,
     K54:ED54,
     LAMBDA(
       job,
       buff,
       target,
       check,
       IF(
         AND(check=TRUE, REGEXMATCH(target, ""SELF_EFFECTED_GCD""), ISNUMBER(buff), job=""占星術師"""&amp;"),
         buff,
         1
       )
     )
   )
 )"),1.0)</f>
        <v>1</v>
      </c>
      <c r="EL54" s="200">
        <f>IFERROR(__xludf.DUMMYFUNCTION("PRODUCT(
   MAP(
     K$3:ED$3,
     K$14:ED$14,
     K$13:ED$13,
     K54:ED54,
     LAMBDA(
       job,
       buff,
       target,
       check,
       IF(
         AND(check=TRUE, REGEXMATCH(target, ""SELF_EFFECTED_ALL""), ISNUMBER(buff), job=""学者""),"&amp;"
         buff,
         1
       )
     )
   )
 )"),1.0)</f>
        <v>1</v>
      </c>
      <c r="EM54" s="200">
        <f>IFERROR(__xludf.DUMMYFUNCTION("PRODUCT(
   MAP(
     K$3:ED$3,
     K$14:ED$14,
     K$13:ED$13,
     K54:ED54,
     LAMBDA(
       job,
       buff,
       target,
       check,
       IF(
         AND(check=TRUE, REGEXMATCH(target, ""SELF_EFFECTED_GCD""), ISNUMBER(buff), job=""学者""),"&amp;"
         buff,
         1
       )
     )
   )
 )"),1.0)</f>
        <v>1</v>
      </c>
      <c r="EN54" s="200">
        <f>IFERROR(__xludf.DUMMYFUNCTION("PRODUCT(
   MAP(
     K$3:ED$3,
     K$14:ED$14,
     K$13:ED$13,
     K54:ED54,
     LAMBDA(
       job,
       buff,
       target,
       check,
       IF(
         AND(check=TRUE, REGEXMATCH(target, ""SELF_EFFECTED_ALL""), ISNUMBER(buff), job=""賢者""),"&amp;"
         buff,
         1
       )
     )
   )
 )"),1.0)</f>
        <v>1</v>
      </c>
      <c r="EO54" s="200">
        <f>IFERROR(__xludf.DUMMYFUNCTION("PRODUCT(
   MAP(
     K$3:ED$3,
     K$14:ED$14,
     K$13:ED$13,
     K54:ED54,
     LAMBDA(
       job,
       buff,
       target,
       check,
       IF(
         AND(check=TRUE, REGEXMATCH(target, ""SELF_EFFECTED_GCD""), ISNUMBER(buff), job=""賢者""),"&amp;"
         buff,
         1
       )
     )
   )
 )"),1.0)</f>
        <v>1</v>
      </c>
      <c r="EP54" s="201">
        <f t="shared" si="3"/>
        <v>0</v>
      </c>
      <c r="EQ54" s="201">
        <f>IFERROR(__xludf.DUMMYFUNCTION("SUM(
   MAP(
     K$4:ED$4,
     K$3:ED$3,
     K$7:ED$7,
     K$15:ED$15,
     K$16:ED$16,
     K$21:ED$21,
     K$5:ED$5,
     K$17:ED$17,
     K54:ED54,
     LAMBDA(
       name,
       job,
       abillity,
       buff,
       barrier,
       enhance,"&amp;"
       assign,
       precondition,
       check,
       SWITCH(
         name,
         ""シェイクオフ"", IF(check=TRUE, buff + (0.02 * COUNTIF(ARRAYFORMULA((REGEXMATCH($K$4:$ED$4, ""スリル・オブ・バトル|ヴェンジェンス|原初の血気|ダムネーション"")) * (K54:ED54=TRUE)), 1)), 0),
         "&amp;"""インプロビゼーションフィニッシュ(踊りの激情0)"", IF(ISNUMBER(check), INDEX(Skill!$AJ:$AJ, MATCH(SUBSTITUTE(DV$4, 0, check), Skill!$C:$C, 0)), 0),
         IF(
           AND(check=TRUE, REGEXMATCH(assign, ""RANGE_PARTY"")),
           IF(
             OR(ARRAYFORMULA((IF(pr"&amp;"econdition="""", FALSE, REGEXMATCH($K$4:$ED$4, precondition))) * (K54:ED54=TRUE))),
             enhance,
             IF(barrier="""", buff, barrier)
           ),
           0
         )
       ) *
       SWITCH(
         job,
         ""ナイト"", EY$24,
 "&amp;"        ""戦士"", FD$24,
         ""踊り子"", ET$24,
         ""ピクトマンサー"", ET$24,
         ""白魔道士"", EF54 * EH54 * IF(abillity, 1, EG54 * EI54) * (Option!$D$22 * 0.81 / 100),
         ""占星術師"", EF54 * EJ54 * IF(abillity, 1, EG54 * EK54) * (Option!$D$23 * 0.81 "&amp;"/ 100),
         ""学者"", EF54 * EL54 * IF(abillity, 1, EG54 * EM54) * (Option!$D$24 * 0.81 / 100),
         ""賢者"", EF54 * EN54 * IF(abillity, 1, EG54 * EO54) * (Option!$D$25 * 0.81 / 100),
         1
       )
     )
   )
 )"),7100.0)</f>
        <v>7100</v>
      </c>
      <c r="ER54" s="202">
        <f t="shared" si="4"/>
        <v>0</v>
      </c>
      <c r="ES54" s="203">
        <f t="shared" si="5"/>
        <v>0</v>
      </c>
      <c r="ET54" s="231" t="str">
        <f>IFERROR(__xludf.DUMMYFUNCTION("IFS(
  EP54 &gt; $ET$24 + EQ54,
  SPARKLINE({ 1, 0 }, {""charttype"",""bar"";""max"", 1;""color1"",Option!$D$30;""color2"",Option!$D$30}),
  EP54 &lt; EQ54,
  SPARKLINE({EQ54 - EP54, $ET$24 - (EQ54 - EP54)}, {""charttype"",""bar"";""max"",$ET$24;""color1"",Opti"&amp;"on!$D$28;""color2"",Option!$D$29}),
  EP54 &gt;= EQ54,
  SPARKLINE({$ET$24 + EQ54 - EP54,EP54 - EQ54}, {""charttype"",""bar"";""max"",$ET$24;""color1"",Option!$D$29;""color2"",Option!$D$30})
)"),"")</f>
        <v/>
      </c>
      <c r="EU54" s="205">
        <f>IFERROR(__xludf.DUMMYFUNCTION("PRODUCT(
   MAP(
     IF($F54=""Physical"", K$10:ED$10, IF($F54=""Magic"", K$11:ED$11, K$12:ED$12)),
     IF($F54=""Physical"", K$18:ED$18, IF($F54=""Magic"", K$19:ED$19, K$20:ED$20)),
     K$3:ED$3,
     K$5:ED$5,
     K$17:ED$17,
     K54:ED54,
     LAM"&amp;"BDA(
       mitigation,
       enhance,
       job,
       assign,
       precondition,
       check,
       IF(
         OR(AND(check=TRUE, REGEXMATCH(assign, ""SELF""), job=""ナイト""), AND(check=Option!$E$13, REGEXMATCH(assign, ""SINGLE_PARTY""))),
      "&amp;"   IF(
           OR(ARRAYFORMULA((IF(precondition="""", FALSE, REGEXMATCH($K$4:$ED$4, precondition))) * (K54:ED54=TRUE))),
           enhance,
           mitigation
         ),
         1
       )
     )
   )
 ) * EE54"),1.0)</f>
        <v>1</v>
      </c>
      <c r="EV54" s="206">
        <f t="shared" si="6"/>
        <v>0</v>
      </c>
      <c r="EW54" s="205">
        <f>IFERROR(__xludf.DUMMYFUNCTION("PRODUCT(
   MAP(
     K$3:ED$3,
     K$14:ED$14,
     K$13:ED$13,
     K54:ED54,
     LAMBDA(
       job,
       buff,
       target,
       check,
       IF(
         OR(AND(check=TRUE, REGEXMATCH(target, ""SELF_AFFECTED_ALL""), job=""ナイト""), AND(check=O"&amp;"ption!$E$13, REGEXMATCH(target, ""SINGLE_AFFECTED_ALL""))),
         buff,
         1
       )
     )
   )
 )"),1.0)</f>
        <v>1</v>
      </c>
      <c r="EX54" s="206">
        <f>IFERROR(__xludf.DUMMYFUNCTION("SUM(
   MAP(
     K$3:ED$3,
     K$7:ED$7,
     K$15:ED$15,
     K$16:ED$16,
     K$21:ED$21,
     K$5:ED$5,
     K$17:ED$17,
     K54:ED54,
     LAMBDA(
       job,
       abillity,
       buff,
       barrier,
       enhance,
       assign,
       preco"&amp;"ndition,
       check,
       IF(
         OR(AND(check=TRUE, REGEXMATCH(assign, ""SELF""), job=""ナイト""), AND(check=Option!$E$13, REGEXMATCH(assign, ""SINGLE_PARTY""))),
         IF(
           OR(ARRAYFORMULA((IF(precondition="""", FALSE, REGEXMATCH($K$4"&amp;":$ED$4, precondition))) * (K54:ED54=TRUE))),
           enhance,
           IF(barrier="""", buff, barrier)
         ),
         0
       ) *
       SWITCH(
         job,
         ""暗黒騎士"", EY$24,
         ""白魔道士"", EF54 * EH54 * EW54 * IF(abillity, 1, EG"&amp;"54 * EI54) * (Option!$D$22 * 0.81 / 100),
         ""占星術師"", EF54 * EJ54 * EW54 * IF(abillity, 1, EG54 * EK54) * (Option!$D$23 * 0.81 / 100),
         ""学者"", EF54 * EL54 * EW54 * IF(abillity, 1, EG54 * EM54) * (Option!$D$24 * 0.81 / 100),
         ""賢者"""&amp;", EF54 * EN54 * EW54 * IF(abillity, 1, EG54 * EO54) * (Option!$D$25 * 0.81 / 100),
         1
       )
     )
   )
 ) + EQ54"),7100.0)</f>
        <v>7100</v>
      </c>
      <c r="EY54" s="232">
        <f t="shared" si="7"/>
        <v>0</v>
      </c>
      <c r="EZ54" s="205">
        <f>IFERROR(__xludf.DUMMYFUNCTION("PRODUCT(
   MAP(
     IF($F54=""Physical"", K$10:ED$10, IF($F54=""Magic"", K$11:ED$11, K$12:ED$12)),
     IF($F54=""Physical"", K$18:ED$18, IF($F54=""Magic"", K$19:ED$19, K$20:ED$20)),
     K$3:ED$3,
     K$5:ED$5,
     K$17:ED$17,
     K54:ED54,
     LAM"&amp;"BDA(
       mitigation,
       enhance,
       job,
       assign,
       precondition,
       check,
       IF(
         OR(AND(check=TRUE, REGEXMATCH(assign, ""SELF""), job=""戦士""), AND(check=Option!$F$13, REGEXMATCH(assign, ""SINGLE_PARTY""))),
       "&amp;"  IF(
           OR(ARRAYFORMULA((IF(precondition="""", FALSE, REGEXMATCH($K$4:$ED$4, precondition))) * (K54:ED54=TRUE))),
           enhance,
           mitigation
         ),
         1
       )
     )
   )
 ) * EE54"),1.0)</f>
        <v>1</v>
      </c>
      <c r="FA54" s="206">
        <f t="shared" si="8"/>
        <v>0</v>
      </c>
      <c r="FB54" s="205">
        <f>IFERROR(__xludf.DUMMYFUNCTION("PRODUCT(
   MAP(
     K$3:ED$3,
     K$14:ED$14,
     K$13:ED$13,
     K54:ED54,
     LAMBDA(
       job,
       buff,
       target,
       check,
       IF(
         OR(AND(check=TRUE, REGEXMATCH(target, ""SELF_AFFECTED_ALL""), job=""戦士""), AND(check=Op"&amp;"tion!$F$13, REGEXMATCH(target, ""SINGLE_AFFECTED_ALL""))),
         buff,
         1
       )
     )
   )
 )"),1.0)</f>
        <v>1</v>
      </c>
      <c r="FC54" s="206">
        <f>IFERROR(__xludf.DUMMYFUNCTION("SUM(
   MAP(
     K$3:ED$3,
     K$7:ED$7,
     K$15:ED$15,
     K$16:ED$16,
     K$21:ED$21,
     K$5:ED$5,
     K$17:ED$17,
     K54:ED54,
     LAMBDA(
       job,
       abillity,
       buff,
       barrier,
       enhance,
       assign,
       preco"&amp;"ndition,
       check,
       IF(
         OR(AND(check=TRUE, REGEXMATCH(assign, ""SELF""), job=""戦士""), AND(check=Option!$F$13, REGEXMATCH(assign, ""SINGLE_PARTY""))),
         IF(
           OR(ARRAYFORMULA((IF(precondition="""", FALSE, REGEXMATCH($K$4:"&amp;"$ED$4, precondition))) * (K54:ED54=TRUE))),
           enhance,
           IF(barrier="""", buff, barrier)
         ),
         0
       ) *
       SWITCH(
         job,
         ""暗黒騎士"", FD$24,
         ""白魔道士"", EF54 * EH54 * FB54 * IF(abillity, 1, EG5"&amp;"4 * EI54) * (Option!$D$22 * 0.81 / 100),
         ""占星術師"", EF54 * EJ54 * FFB54 * IF(abillity, 1, EG54 * EK54) * (Option!$D$23 * 0.81 / 100),
         ""学者"", EF54 * EL54 * FB54 * IF(abillity, 1, EG54 * EM54) * (Option!$D$24 * 0.81 / 100),
         ""賢者"""&amp;", EF54 * EN54 * FB54 * IF(abillity, 1, EG54 * EO54) * (Option!$D$25 * 0.81 / 100),
         1
       )
     )
   )
 ) + EQ54"),7100.0)</f>
        <v>7100</v>
      </c>
      <c r="FD54" s="206">
        <f t="shared" si="9"/>
        <v>0</v>
      </c>
      <c r="FE54" s="205">
        <f>IFERROR(__xludf.DUMMYFUNCTION("PRODUCT(
   MAP(
     IF($F54=""Physical"", K$10:ED$10, IF($F54=""Magic"", K$11:ED$11, K$12:ED$12)),
     IF($F54=""Physical"", K$18:ED$18, IF($F54=""Magic"", K$19:ED$19, K$20:ED$20)),
     K$3:ED$3,
     K$5:ED$5,
     K$17:ED$17,
     K54:ED54,
     LAM"&amp;"BDA(
       mitigation,
       enhance,
       job,
       assign,
       precondition,
       check,
       IF(
         OR(AND(check=TRUE, REGEXMATCH(assign, ""SELF""), job=""暗黒騎士""), AND(check=Option!$G$13, REGEXMATCH(assign, ""SINGLE_PARTY""))),
     "&amp;"    IF(
           OR(ARRAYFORMULA((IF(precondition="""", FALSE, REGEXMATCH($K$4:$ED$4, precondition))) * (K54:ED54=TRUE))),
           enhance,
           mitigation
         ),
         1
       )
     )
   )
 ) * EE54"),1.0)</f>
        <v>1</v>
      </c>
      <c r="FF54" s="206">
        <f t="shared" si="10"/>
        <v>0</v>
      </c>
      <c r="FG54" s="205">
        <f>IFERROR(__xludf.DUMMYFUNCTION("PRODUCT(
   MAP(
     K$3:ED$3,
     K$14:ED$14,
     K$13:ED$13,
     K54:ED54,
     LAMBDA(
       job,
       buff,
       target,
       check,
       IF(
         OR(AND(check=TRUE, REGEXMATCH(target, ""SELF_AFFECTED_ALL""), job=""暗黒騎士""), AND(check="&amp;"Option!$G$13, REGEXMATCH(target, ""SINGLE_AFFECTED_ALL""))),
         buff,
         1
       )
     )
   )
 )"),1.0)</f>
        <v>1</v>
      </c>
      <c r="FH54" s="206">
        <f>IFERROR(__xludf.DUMMYFUNCTION("SUM(
   MAP(
     K$3:ED$3,
     K$7:ED$7,
     K$15:ED$15,
     K$16:ED$16,
     K$21:ED$21,
     K$5:ED$5,
     K$17:ED$17,
     K54:ED54,
     LAMBDA(
       job,
       abillity,
       buff,
       barrier,
       enhance,
       assign,
       preco"&amp;"ndition,
       check,
       IF(
         OR(AND(check=TRUE, REGEXMATCH(assign, ""SELF""), job=""暗黒騎士""), AND(check=Option!$G$13, REGEXMATCH(assign, ""SINGLE_PARTY""))),
         IF(
           OR(ARRAYFORMULA((IF(precondition="""", FALSE, REGEXMATCH($K$"&amp;"4:$ED$4, precondition))) * (K54:ED54=TRUE))),
           enhance,
           IF(barrier="""", buff, barrier)
         ),
         0
       ) *
       SWITCH(
         job,
         ""暗黒騎士"", FI$24,
         ""白魔道士"", EF54 * EH54 * FG54 * IF(abillity, 1, E"&amp;"G54 * EI54) * (Option!$D$22 * 0.81 / 100),
         ""占星術師"", EF54 * EJ54 * FG54 * IF(abillity, 1, EG54 * EK54) * (Option!$D$23 * 0.81 / 100),
         ""学者"", EF54 * EL54 * FG54 * IF(abillity, 1, EG54 * EM54) * (Option!$D$24 * 0.81 / 100),
         ""賢者"&amp;""", EF54 * EN54 * FG54 * IF(abillity, 1, EG54 * EO54) * (Option!$D$25 * 0.81 / 100),
         1
       )
     )
   )
 ) + EQ54"),7100.0)</f>
        <v>7100</v>
      </c>
      <c r="FI54" s="206">
        <f t="shared" si="11"/>
        <v>0</v>
      </c>
      <c r="FJ54" s="205">
        <f>IFERROR(__xludf.DUMMYFUNCTION("PRODUCT(
   MAP(
     IF($F54=""Physical"", K$10:ED$10, IF($F54=""Magic"", K$11:ED$11, K$12:ED$12)),
     IF($F54=""Physical"", K$18:ED$18, IF($F54=""Magic"", K$19:ED$19, K$20:ED$20)),
     K$3:ED$3,
     K$5:ED$5,
     K$17:ED$17,
     K54:ED54,
     LAM"&amp;"BDA(
       mitigation,
       enhance,
       job,
       assign,
       precondition,
       check,
       IF(
         OR(AND(check=TRUE, REGEXMATCH(assign, ""SELF""), job=""ガンブレイカー""), AND(check=Option!$H$13, REGEXMATCH(assign, ""SINGLE_PARTY""))),
  "&amp;"       IF(
           OR(ARRAYFORMULA((IF(precondition="""", FALSE, REGEXMATCH($K$4:$ED$4, precondition))) * (K54:ED54=TRUE))),
           enhance,
           mitigation
         ),
         1
       )
     )
   )
 ) * EE54"),1.0)</f>
        <v>1</v>
      </c>
      <c r="FK54" s="206">
        <f t="shared" si="12"/>
        <v>0</v>
      </c>
      <c r="FL54" s="205">
        <f>IFERROR(__xludf.DUMMYFUNCTION("PRODUCT(
   MAP(
     K$3:ED$3,
     K$14:ED$14,
     K$13:ED$13,
     K54:ED54,
     LAMBDA(
       job,
       buff,
       target,
       check,
       IF(
         OR(AND(check=TRUE, REGEXMATCH(target, ""SELF_AFFECTED_ALL""), job=""ガンブレイカー""), AND(che"&amp;"ck=Option!$H$13, REGEXMATCH(target, ""SINGLE_AFFECTED_ALL""))),
         buff,
         1
       )
     )
   )
 )"),1.0)</f>
        <v>1</v>
      </c>
      <c r="FM54" s="206">
        <f>IFERROR(__xludf.DUMMYFUNCTION("SUM(
   MAP(
     K$3:ED$3,
     K$7:ED$7,
     K$15:ED$15,
     K$16:ED$16,
     K$21:ED$21,
     K$5:ED$5,
     K$17:ED$17,
     K54:ED54,
     LAMBDA(
       job,
       abillity,
       buff,
       barrier,
       enhance,
       assign,
       preco"&amp;"ndition,
       check,
       IF(
         OR(AND(check=TRUE, REGEXMATCH(assign, ""SELF""), job=""ガンブレイカー""), AND(check=Option!$H$13, REGEXMATCH(assign, ""SINGLE_PARTY""))),
         IF(
           OR(ARRAYFORMULA((IF(precondition="""", FALSE, REGEXMATCH("&amp;"$K$4:$ED$4, precondition))) * (K54:ED54=TRUE))),
           enhance,
           IF(barrier="""", buff, barrier)
         ),
         0
       ) *
       SWITCH(
         job,
         ""暗黒騎士"", FN$24,
         ""白魔道士"", EF54 * EH54 * FL54 * IF(abillity, 1"&amp;", EG54 * EI54) * (Option!$D$22 * 0.81 / 100),
         ""占星術師"", EF54 * EJ54 * FL54 * IF(abillity, 1, EG54 * EK54) * (Option!$D$23 * 0.81 / 100),
         ""学者"", EF54 * EL54 * FL54 * IF(abillity, 1, EG54 * EM54) * (Option!$D$24 * 0.81 / 100),
         """&amp;"賢者"", EF54 * EN54 * FL54 * IF(abillity, 1, EG54 * EO54) * (Option!$D$25 * 0.81 / 100),
         1
       )
     )
   )
 ) + EQ54"),7100.0)</f>
        <v>7100</v>
      </c>
      <c r="FN54" s="206">
        <f t="shared" si="13"/>
        <v>0</v>
      </c>
      <c r="FO54" s="213"/>
    </row>
    <row r="55">
      <c r="B55" s="229"/>
      <c r="C55" s="217">
        <f t="shared" si="1"/>
        <v>0.00380787037</v>
      </c>
      <c r="D55" s="236"/>
      <c r="E55" s="238"/>
      <c r="F55" s="167"/>
      <c r="G55" s="168" t="str">
        <f t="shared" si="2"/>
        <v/>
      </c>
      <c r="H55" s="169"/>
      <c r="I55" s="169"/>
      <c r="J55" s="169"/>
      <c r="K55" s="170" t="b">
        <v>0</v>
      </c>
      <c r="L55" s="170" t="b">
        <v>0</v>
      </c>
      <c r="M55" s="170" t="b">
        <v>0</v>
      </c>
      <c r="N55" s="171" t="s">
        <v>1070</v>
      </c>
      <c r="O55" s="172" t="b">
        <v>0</v>
      </c>
      <c r="P55" s="173" t="b">
        <v>0</v>
      </c>
      <c r="Q55" s="173" t="b">
        <v>0</v>
      </c>
      <c r="R55" s="173" t="b">
        <v>0</v>
      </c>
      <c r="S55" s="174" t="b">
        <v>0</v>
      </c>
      <c r="T55" s="175" t="b">
        <v>0</v>
      </c>
      <c r="U55" s="173" t="b">
        <v>0</v>
      </c>
      <c r="V55" s="171" t="s">
        <v>1070</v>
      </c>
      <c r="W55" s="172" t="b">
        <v>0</v>
      </c>
      <c r="X55" s="173" t="b">
        <v>0</v>
      </c>
      <c r="Y55" s="173" t="b">
        <v>0</v>
      </c>
      <c r="Z55" s="173" t="b">
        <v>0</v>
      </c>
      <c r="AA55" s="174" t="b">
        <v>0</v>
      </c>
      <c r="AB55" s="174" t="b">
        <v>0</v>
      </c>
      <c r="AC55" s="175" t="b">
        <v>0</v>
      </c>
      <c r="AD55" s="173" t="b">
        <v>0</v>
      </c>
      <c r="AE55" s="176" t="s">
        <v>1070</v>
      </c>
      <c r="AF55" s="171" t="s">
        <v>1070</v>
      </c>
      <c r="AG55" s="177">
        <f>IFERROR(__xludf.DUMMYFUNCTION("IF(
  ISNUMBER(AG54),
  MIN(MAX(
    AG54
    + MAX(
      ROUNDDOWN(($D55 - MAX(IFERROR(FILTER($D$24:$D54, AG$24:AG54 &lt;&gt; AF$6, AG$23:AG53 = AF$6), 0))) * (60 * 60 * 24) / AF$9) - ROUNDDOWN(($D54 - MAX(IFERROR(FILTER($D$23:$D53, AG$23:AG53 &lt;&gt; AF$6, AG$22:"&amp;"AG52 = AF$6), 0))) * (60 * 60 * 24) / 60),
      0
    )
    - COUNTIF(AF55, ""&lt;&gt;-""),
  0), AF$6),
  AF$6 - COUNTIF(AF55, ""&lt;&gt;-"")
)"),2.0)</f>
        <v>2</v>
      </c>
      <c r="AH55" s="173" t="b">
        <v>0</v>
      </c>
      <c r="AI55" s="173" t="b">
        <v>0</v>
      </c>
      <c r="AJ55" s="173" t="b">
        <v>0</v>
      </c>
      <c r="AK55" s="174" t="b">
        <v>0</v>
      </c>
      <c r="AL55" s="175" t="b">
        <v>0</v>
      </c>
      <c r="AM55" s="173" t="b">
        <v>0</v>
      </c>
      <c r="AN55" s="171" t="s">
        <v>1070</v>
      </c>
      <c r="AO55" s="173" t="b">
        <v>0</v>
      </c>
      <c r="AP55" s="173" t="b">
        <v>0</v>
      </c>
      <c r="AQ55" s="173" t="b">
        <v>0</v>
      </c>
      <c r="AR55" s="174" t="b">
        <v>0</v>
      </c>
      <c r="AS55" s="178" t="b">
        <v>0</v>
      </c>
      <c r="AT55" s="179" t="b">
        <v>0</v>
      </c>
      <c r="AU55" s="180" t="b">
        <v>0</v>
      </c>
      <c r="AV55" s="180" t="b">
        <v>0</v>
      </c>
      <c r="AW55" s="180" t="b">
        <v>0</v>
      </c>
      <c r="AX55" s="180" t="b">
        <v>0</v>
      </c>
      <c r="AY55" s="181" t="s">
        <v>1070</v>
      </c>
      <c r="AZ55" s="181" t="s">
        <v>1070</v>
      </c>
      <c r="BA55" s="184">
        <f>IFERROR(__xludf.DUMMYFUNCTION("IF(
  ISNUMBER(BA54),
  MIN(MAX(
    BA54
    + MAX(
      ROUNDDOWN((D55 - MAX(IFERROR(FILTER(D$24:D54, BA$24:BA54 &lt;&gt; AZ$6, BA$23:BA53 = AZ$6), 0))) * (60 * 60 * 24) / AZ$9) - ROUNDDOWN((D54 - MAX(IFERROR(FILTER(D$23:D53, BA$23:BA53 &lt;&gt; AZ$6, BA$22:BA52 ="&amp;" AZ$6), 0))) * (60 * 60 * 24) / AZ$9),
      0
    )
    - COUNTIF(AZ55, ""&lt;&gt;-""),
  0), AZ$6),
  AZ$6 - COUNTIF(AZ55, ""&lt;&gt;-"")
)"),2.0)</f>
        <v>2</v>
      </c>
      <c r="BB55" s="181" t="s">
        <v>1070</v>
      </c>
      <c r="BC55" s="183">
        <f>IFERROR(__xludf.DUMMYFUNCTION("IF(
  ISNUMBER(BC54),
  MIN(MAX(
    BC54
    + MAX(
      ROUNDDOWN(($D55 - MAX(IFERROR(FILTER($D$24:$D54, BC$24:BC54 &lt;&gt; BB$6, BC$23:BC53 = BB$6), 0))) * (60 * 60 * 24) / BB$9) - ROUNDDOWN(($D54 - MAX(IFERROR(FILTER($D$23:$D53, BC$23:BC53 &lt;&gt; BB$6, BC$22:"&amp;"BC52 = BB$6), 0))) * (60 * 60 * 24) / 60),
      0
    )
    - COUNTIF(BB55, ""&lt;&gt;-""),
  0), BB$6),
  BB$6 - COUNTIF(BB55, ""&lt;&gt;-"")
)"),2.0)</f>
        <v>2</v>
      </c>
      <c r="BD55" s="181" t="s">
        <v>1070</v>
      </c>
      <c r="BE55" s="178" t="b">
        <v>0</v>
      </c>
      <c r="BF55" s="180" t="b">
        <v>0</v>
      </c>
      <c r="BG55" s="180" t="b">
        <v>0</v>
      </c>
      <c r="BH55" s="180" t="b">
        <v>0</v>
      </c>
      <c r="BI55" s="180" t="b">
        <v>0</v>
      </c>
      <c r="BJ55" s="180" t="b">
        <v>0</v>
      </c>
      <c r="BK55" s="180" t="b">
        <v>0</v>
      </c>
      <c r="BL55" s="180" t="b">
        <v>0</v>
      </c>
      <c r="BM55" s="180" t="b">
        <v>0</v>
      </c>
      <c r="BN55" s="180" t="b">
        <v>0</v>
      </c>
      <c r="BO55" s="181" t="s">
        <v>1070</v>
      </c>
      <c r="BP55" s="181" t="s">
        <v>1070</v>
      </c>
      <c r="BQ55" s="181" t="s">
        <v>1070</v>
      </c>
      <c r="BR55" s="181" t="s">
        <v>1070</v>
      </c>
      <c r="BS55" s="181" t="s">
        <v>1070</v>
      </c>
      <c r="BT55" s="184">
        <f>IFERROR(__xludf.DUMMYFUNCTION("IF(
  ISNUMBER(BT54),
  MIN(MAX(
    BT54
    + MAX(
      ROUNDDOWN((D55 - MAX(IFERROR(FILTER(D$24:D54, BT$24:BT54 &lt;&gt; BS$6, BT$23:BT53 = BS$6), 0))) * (60 * 60 * 24) / BS$9) - ROUNDDOWN((D54 - MAX(IFERROR(FILTER(D$23:D53, BT$23:BT53 &lt;&gt; BS$6, BT$22:BT52 ="&amp;" BS$6), 0))) * (60 * 60 * 24) / BS$9),
      0
    )
    - COUNTIF(BS55, ""&lt;&gt;-""),
  0), BS$6),
  BS$6 - COUNTIF(BS55, ""&lt;&gt;-"")
)"),3.0)</f>
        <v>3</v>
      </c>
      <c r="BU55" s="181" t="s">
        <v>1070</v>
      </c>
      <c r="BV55" s="181" t="s">
        <v>1070</v>
      </c>
      <c r="BW55" s="184">
        <f>IFERROR(__xludf.DUMMYFUNCTION("IF(
  ISNUMBER(BW54),
  MIN(MAX(
    BW54
    + MAX(
      ROUNDDOWN((D55 - MAX(IFERROR(FILTER(D$24:D54, BW$24:BW54 &lt;&gt; BV$6, BW$23:BW53 = BV$6), 0))) * (60 * 60 * 24) / BV$9) - ROUNDDOWN((D54 - MAX(IFERROR(FILTER(D$23:D53, BW$23:BW53 &lt;&gt; BV$6, BW$22:BW52 ="&amp;" BV$6), 0))) * (60 * 60 * 24) / BV$9),
      0
    )
    - COUNTIF(BV55, ""&lt;&gt;-""),
  0), BV$6),
  BV$6 - COUNTIF(BV55, ""&lt;&gt;-"")
)"),2.0)</f>
        <v>2</v>
      </c>
      <c r="BX55" s="185" t="s">
        <v>1070</v>
      </c>
      <c r="BY55" s="178" t="b">
        <v>0</v>
      </c>
      <c r="BZ55" s="180" t="b">
        <v>0</v>
      </c>
      <c r="CA55" s="180" t="b">
        <v>0</v>
      </c>
      <c r="CB55" s="180" t="b">
        <v>0</v>
      </c>
      <c r="CC55" s="180" t="b">
        <v>0</v>
      </c>
      <c r="CD55" s="180" t="b">
        <v>0</v>
      </c>
      <c r="CE55" s="180" t="b">
        <v>0</v>
      </c>
      <c r="CF55" s="180" t="b">
        <v>0</v>
      </c>
      <c r="CG55" s="180" t="b">
        <v>0</v>
      </c>
      <c r="CH55" s="180" t="b">
        <v>0</v>
      </c>
      <c r="CI55" s="180" t="b">
        <v>0</v>
      </c>
      <c r="CJ55" s="180" t="b">
        <v>0</v>
      </c>
      <c r="CK55" s="180" t="b">
        <v>0</v>
      </c>
      <c r="CL55" s="180" t="b">
        <v>0</v>
      </c>
      <c r="CM55" s="181" t="s">
        <v>1070</v>
      </c>
      <c r="CN55" s="181" t="s">
        <v>1070</v>
      </c>
      <c r="CO55" s="181" t="s">
        <v>1070</v>
      </c>
      <c r="CP55" s="181" t="s">
        <v>1070</v>
      </c>
      <c r="CQ55" s="185" t="s">
        <v>1070</v>
      </c>
      <c r="CR55" s="180" t="b">
        <v>0</v>
      </c>
      <c r="CS55" s="186" t="str">
        <f t="shared" si="14"/>
        <v>◇◇◇</v>
      </c>
      <c r="CT55" s="178" t="b">
        <v>0</v>
      </c>
      <c r="CU55" s="180" t="b">
        <v>0</v>
      </c>
      <c r="CV55" s="180" t="b">
        <v>0</v>
      </c>
      <c r="CW55" s="180" t="b">
        <v>0</v>
      </c>
      <c r="CX55" s="180" t="b">
        <v>0</v>
      </c>
      <c r="CY55" s="180" t="b">
        <v>0</v>
      </c>
      <c r="CZ55" s="180" t="b">
        <v>0</v>
      </c>
      <c r="DA55" s="180" t="b">
        <v>0</v>
      </c>
      <c r="DB55" s="180" t="b">
        <v>0</v>
      </c>
      <c r="DC55" s="180" t="b">
        <v>0</v>
      </c>
      <c r="DD55" s="181" t="s">
        <v>1070</v>
      </c>
      <c r="DE55" s="181" t="s">
        <v>1070</v>
      </c>
      <c r="DF55" s="181" t="s">
        <v>1070</v>
      </c>
      <c r="DG55" s="185" t="s">
        <v>1070</v>
      </c>
      <c r="DH55" s="180" t="b">
        <v>0</v>
      </c>
      <c r="DI55" s="187" t="str">
        <f>IFERROR(__xludf.DUMMYFUNCTION("SWITCH(
  IF(
    ISTEXT(DI54),
    IF (
      FIND(""○"", DI54&amp;""○"") &gt; 3,
      3,
      FIND(""○"", DI54&amp;""○"")
      + MAX(
        ROUNDDOWN(($D55 - MAX(IFERROR(FILTER(D$24:D54, DI$24:DI54 &lt;&gt; ""●●●"", DI$23:DI53 = ""●●●""), 0))) * (60 * 60 * 24) / 20"&amp;") - ROUNDDOWN(($D54 - MAX(IFERROR(FILTER(D$23:D53, DI$23:DI53 &lt;&gt; ""●●●"", DI$22:DI52 = ""●●●""), 0))) * (60 * 60 * 24) / 20),
        0
      ) - 1
    ) - COUNTIFS(CU55, ""=TRUE"", CU54, ""&lt;&gt;TRUE"") - COUNTIF(CZ55, ""=TRUE"") - COUNTIF({DD55,DE55}, ""&lt;&gt;-"&amp;""") + COUNTIF(DH55, ""=TRUE""),
    3
  ),
  0, ""○○○"", 1, ""●○○"", 2, ""●●○"", 3, ""●●●"", 4, ""●●●"", ""○○○""
)"),"●●●")</f>
        <v>●●●</v>
      </c>
      <c r="DJ55" s="188" t="b">
        <v>0</v>
      </c>
      <c r="DK55" s="189" t="b">
        <v>0</v>
      </c>
      <c r="DL55" s="190" t="b">
        <v>0</v>
      </c>
      <c r="DM55" s="190" t="b">
        <v>0</v>
      </c>
      <c r="DN55" s="190" t="b">
        <v>0</v>
      </c>
      <c r="DO55" s="190" t="b">
        <v>0</v>
      </c>
      <c r="DP55" s="190" t="b">
        <v>0</v>
      </c>
      <c r="DQ55" s="191" t="b">
        <v>0</v>
      </c>
      <c r="DR55" s="192" t="b">
        <v>0</v>
      </c>
      <c r="DS55" s="191" t="b">
        <v>0</v>
      </c>
      <c r="DT55" s="192" t="b">
        <v>0</v>
      </c>
      <c r="DU55" s="191" t="b">
        <v>0</v>
      </c>
      <c r="DV55" s="193" t="s">
        <v>1070</v>
      </c>
      <c r="DW55" s="194" t="b">
        <v>0</v>
      </c>
      <c r="DX55" s="194" t="b">
        <v>0</v>
      </c>
      <c r="DY55" s="195" t="b">
        <v>0</v>
      </c>
      <c r="DZ55" s="196" t="b">
        <v>0</v>
      </c>
      <c r="EA55" s="195" t="b">
        <v>0</v>
      </c>
      <c r="EB55" s="197" t="b">
        <v>0</v>
      </c>
      <c r="EC55" s="197" t="b">
        <v>0</v>
      </c>
      <c r="ED55" s="212" t="b">
        <v>0</v>
      </c>
      <c r="EE55" s="199">
        <f>IFERROR(__xludf.DUMMYFUNCTION("IFERROR(
   PRODUCT(
     MAP(
       INDEX(TRANSPOSE(UNIQUE(TRANSPOSE(FILTER({IF($F55=""Physical"", K$10:ED$10, IF($F55=""Magic"", K$11:ED$11, K$12:ED$12));K$4:ED$4;K55:ED55}, K55:ED55=TRUE)))), 1, 0),
       INDEX(TRANSPOSE(UNIQUE(TRANSPOSE(FILTER({IF($"&amp;"F55=""Physical"", K$18:ED$18, IF($F55=""Magic"", K$19:ED$19, K$20:ED$20));K$4:ED$4;K55:ED55}, K55:ED55=TRUE)))), 1, 0),
       INDEX(TRANSPOSE(UNIQUE(TRANSPOSE(FILTER({K$5:ED$5;K$4:ED$4;K55:ED55}, K55:ED55=TRUE)))), 1, 0),
       INDEX(TRANSPOSE(UNIQUE(TR"&amp;"ANSPOSE(FILTER({K$17:ED$17;K$4:ED$4;K55:ED55}, K55:ED55=TRUE)))), 1, 0),
       LAMBDA(
         mitigation,
         enhance,
         assign,
         precondition,
         IF(
           REGEXMATCH(assign, ""RANGE_PARTY|SINGLE_ENEMY|RANGE_ENEMY""),
  "&amp;"         IF(
             OR(ARRAYFORMULA((IF(precondition="""", FALSE, REGEXMATCH(K$4:ED$4, precondition))) * (K55:ED55=TRUE))),
             IF(ISNUMBER(enhance), enhance, 1),
             IF(ISNUMBER(mitigation), mitigation, 1)
           ),
          "&amp;" 1
         )
       )
     )
   ),
   1
 )"),1.0)</f>
        <v>1</v>
      </c>
      <c r="EF55" s="200">
        <f>IFERROR(__xludf.DUMMYFUNCTION("PRODUCT(
   MAP(
     K$14:ED$14,
     K$13:ED$13,
     K55:ED55,
     LAMBDA(
       buff,
       target,
       check,
       IF(
         AND(check=TRUE, REGEXMATCH(target, ""RANGE_AFFECTED_ALL|RANGE_EFFECTED_ALL""), ISNUMBER(buff)),
         buff,
   "&amp;"      1
       )
     )
   )
 )"),1.0)</f>
        <v>1</v>
      </c>
      <c r="EG55" s="200">
        <f>IFERROR(__xludf.DUMMYFUNCTION("PRODUCT(
   MAP(
     K$14:ED$14,
     K$13:ED$13,
     K55:ED55,
     LAMBDA(
       buff,
       target,
       check,
       IF(
         AND(check=TRUE, REGEXMATCH(target, ""RANGE_AFFECTED_GCD|RANGE_EFFECTED_GCD""), ISNUMBER(buff)),
         buff,
   "&amp;"      1
       )
     )
   )
 )"),1.0)</f>
        <v>1</v>
      </c>
      <c r="EH55" s="200">
        <f>IFERROR(__xludf.DUMMYFUNCTION("PRODUCT(
   MAP(
     K$3:ED$3,
     K$14:ED$14,
     K$13:ED$13,
     K55:ED55,
     LAMBDA(
       job,
       buff,
       target,
       check,
       IF(
         AND(check=TRUE, REGEXMATCH(target, ""SELF_EFFECTED_ALL""), ISNUMBER(buff), job=""白魔道士"""&amp;"),
         buff,
         1
       )
     )
   )
 )"),1.0)</f>
        <v>1</v>
      </c>
      <c r="EI55" s="200">
        <f>IFERROR(__xludf.DUMMYFUNCTION("PRODUCT(
   MAP(
     K$3:ED$3,
     K$14:ED$14,
     K$13:ED$13,
     K55:ED55,
     LAMBDA(
       job,
       buff,
       target,
       check,
       IF(
         AND(check=TRUE, REGEXMATCH(target, ""SELF_EFFECTED_GCD""), ISNUMBER(buff), job=""白魔道士"""&amp;"),
         buff,
         1
       )
     )
   )
 )"),1.0)</f>
        <v>1</v>
      </c>
      <c r="EJ55" s="200">
        <f>IFERROR(__xludf.DUMMYFUNCTION("PRODUCT(
   MAP(
     K$3:ED$3,
     K$14:ED$14,
     K$13:ED$13,
     K55:ED55,
     LAMBDA(
       job,
       buff,
       target,
       check,
       IF(
         AND(check=TRUE, REGEXMATCH(target, ""SELF_EFFECTED_ALL""), ISNUMBER(buff), job=""占星術師"""&amp;"),
         buff,
         1
       )
     )
   )
 )"),1.0)</f>
        <v>1</v>
      </c>
      <c r="EK55" s="200">
        <f>IFERROR(__xludf.DUMMYFUNCTION("PRODUCT(
   MAP(
     K$3:ED$3,
     K$14:ED$14,
     K$13:ED$13,
     K55:ED55,
     LAMBDA(
       job,
       buff,
       target,
       check,
       IF(
         AND(check=TRUE, REGEXMATCH(target, ""SELF_EFFECTED_GCD""), ISNUMBER(buff), job=""占星術師"""&amp;"),
         buff,
         1
       )
     )
   )
 )"),1.0)</f>
        <v>1</v>
      </c>
      <c r="EL55" s="200">
        <f>IFERROR(__xludf.DUMMYFUNCTION("PRODUCT(
   MAP(
     K$3:ED$3,
     K$14:ED$14,
     K$13:ED$13,
     K55:ED55,
     LAMBDA(
       job,
       buff,
       target,
       check,
       IF(
         AND(check=TRUE, REGEXMATCH(target, ""SELF_EFFECTED_ALL""), ISNUMBER(buff), job=""学者""),"&amp;"
         buff,
         1
       )
     )
   )
 )"),1.0)</f>
        <v>1</v>
      </c>
      <c r="EM55" s="200">
        <f>IFERROR(__xludf.DUMMYFUNCTION("PRODUCT(
   MAP(
     K$3:ED$3,
     K$14:ED$14,
     K$13:ED$13,
     K55:ED55,
     LAMBDA(
       job,
       buff,
       target,
       check,
       IF(
         AND(check=TRUE, REGEXMATCH(target, ""SELF_EFFECTED_GCD""), ISNUMBER(buff), job=""学者""),"&amp;"
         buff,
         1
       )
     )
   )
 )"),1.0)</f>
        <v>1</v>
      </c>
      <c r="EN55" s="200">
        <f>IFERROR(__xludf.DUMMYFUNCTION("PRODUCT(
   MAP(
     K$3:ED$3,
     K$14:ED$14,
     K$13:ED$13,
     K55:ED55,
     LAMBDA(
       job,
       buff,
       target,
       check,
       IF(
         AND(check=TRUE, REGEXMATCH(target, ""SELF_EFFECTED_ALL""), ISNUMBER(buff), job=""賢者""),"&amp;"
         buff,
         1
       )
     )
   )
 )"),1.0)</f>
        <v>1</v>
      </c>
      <c r="EO55" s="200">
        <f>IFERROR(__xludf.DUMMYFUNCTION("PRODUCT(
   MAP(
     K$3:ED$3,
     K$14:ED$14,
     K$13:ED$13,
     K55:ED55,
     LAMBDA(
       job,
       buff,
       target,
       check,
       IF(
         AND(check=TRUE, REGEXMATCH(target, ""SELF_EFFECTED_GCD""), ISNUMBER(buff), job=""賢者""),"&amp;"
         buff,
         1
       )
     )
   )
 )"),1.0)</f>
        <v>1</v>
      </c>
      <c r="EP55" s="201">
        <f t="shared" si="3"/>
        <v>0</v>
      </c>
      <c r="EQ55" s="201">
        <f>IFERROR(__xludf.DUMMYFUNCTION("SUM(
   MAP(
     K$4:ED$4,
     K$3:ED$3,
     K$7:ED$7,
     K$15:ED$15,
     K$16:ED$16,
     K$21:ED$21,
     K$5:ED$5,
     K$17:ED$17,
     K55:ED55,
     LAMBDA(
       name,
       job,
       abillity,
       buff,
       barrier,
       enhance,"&amp;"
       assign,
       precondition,
       check,
       SWITCH(
         name,
         ""シェイクオフ"", IF(check=TRUE, buff + (0.02 * COUNTIF(ARRAYFORMULA((REGEXMATCH($K$4:$ED$4, ""スリル・オブ・バトル|ヴェンジェンス|原初の血気|ダムネーション"")) * (K55:ED55=TRUE)), 1)), 0),
         "&amp;"""インプロビゼーションフィニッシュ(踊りの激情0)"", IF(ISNUMBER(check), INDEX(Skill!$AJ:$AJ, MATCH(SUBSTITUTE(DV$4, 0, check), Skill!$C:$C, 0)), 0),
         IF(
           AND(check=TRUE, REGEXMATCH(assign, ""RANGE_PARTY"")),
           IF(
             OR(ARRAYFORMULA((IF(pr"&amp;"econdition="""", FALSE, REGEXMATCH($K$4:$ED$4, precondition))) * (K55:ED55=TRUE))),
             enhance,
             IF(barrier="""", buff, barrier)
           ),
           0
         )
       ) *
       SWITCH(
         job,
         ""ナイト"", EY$24,
 "&amp;"        ""戦士"", FD$24,
         ""踊り子"", ET$24,
         ""ピクトマンサー"", ET$24,
         ""白魔道士"", EF55 * EH55 * IF(abillity, 1, EG55 * EI55) * (Option!$D$22 * 0.81 / 100),
         ""占星術師"", EF55 * EJ55 * IF(abillity, 1, EG55 * EK55) * (Option!$D$23 * 0.81 "&amp;"/ 100),
         ""学者"", EF55 * EL55 * IF(abillity, 1, EG55 * EM55) * (Option!$D$24 * 0.81 / 100),
         ""賢者"", EF55 * EN55 * IF(abillity, 1, EG55 * EO55) * (Option!$D$25 * 0.81 / 100),
         1
       )
     )
   )
 )"),0.0)</f>
        <v>0</v>
      </c>
      <c r="ER55" s="202">
        <f t="shared" si="4"/>
        <v>0</v>
      </c>
      <c r="ES55" s="203">
        <f t="shared" si="5"/>
        <v>0</v>
      </c>
      <c r="ET55" s="231" t="str">
        <f>IFERROR(__xludf.DUMMYFUNCTION("IFS(
  EP55 &gt; $ET$24 + EQ55,
  SPARKLINE({ 1, 0 }, {""charttype"",""bar"";""max"", 1;""color1"",Option!$D$30;""color2"",Option!$D$30}),
  EP55 &lt; EQ55,
  SPARKLINE({EQ55 - EP55, $ET$24 - (EQ55 - EP55)}, {""charttype"",""bar"";""max"",$ET$24;""color1"",Opti"&amp;"on!$D$28;""color2"",Option!$D$29}),
  EP55 &gt;= EQ55,
  SPARKLINE({$ET$24 + EQ55 - EP55,EP55 - EQ55}, {""charttype"",""bar"";""max"",$ET$24;""color1"",Option!$D$29;""color2"",Option!$D$30})
)"),"")</f>
        <v/>
      </c>
      <c r="EU55" s="205">
        <f>IFERROR(__xludf.DUMMYFUNCTION("PRODUCT(
   MAP(
     IF($F55=""Physical"", K$10:ED$10, IF($F55=""Magic"", K$11:ED$11, K$12:ED$12)),
     IF($F55=""Physical"", K$18:ED$18, IF($F55=""Magic"", K$19:ED$19, K$20:ED$20)),
     K$3:ED$3,
     K$5:ED$5,
     K$17:ED$17,
     K55:ED55,
     LAM"&amp;"BDA(
       mitigation,
       enhance,
       job,
       assign,
       precondition,
       check,
       IF(
         OR(AND(check=TRUE, REGEXMATCH(assign, ""SELF""), job=""ナイト""), AND(check=Option!$E$13, REGEXMATCH(assign, ""SINGLE_PARTY""))),
      "&amp;"   IF(
           OR(ARRAYFORMULA((IF(precondition="""", FALSE, REGEXMATCH($K$4:$ED$4, precondition))) * (K55:ED55=TRUE))),
           enhance,
           mitigation
         ),
         1
       )
     )
   )
 ) * EE55"),1.0)</f>
        <v>1</v>
      </c>
      <c r="EV55" s="206">
        <f t="shared" si="6"/>
        <v>0</v>
      </c>
      <c r="EW55" s="205">
        <f>IFERROR(__xludf.DUMMYFUNCTION("PRODUCT(
   MAP(
     K$3:ED$3,
     K$14:ED$14,
     K$13:ED$13,
     K55:ED55,
     LAMBDA(
       job,
       buff,
       target,
       check,
       IF(
         OR(AND(check=TRUE, REGEXMATCH(target, ""SELF_AFFECTED_ALL""), job=""ナイト""), AND(check=O"&amp;"ption!$E$13, REGEXMATCH(target, ""SINGLE_AFFECTED_ALL""))),
         buff,
         1
       )
     )
   )
 )"),1.0)</f>
        <v>1</v>
      </c>
      <c r="EX55" s="206">
        <f>IFERROR(__xludf.DUMMYFUNCTION("SUM(
   MAP(
     K$3:ED$3,
     K$7:ED$7,
     K$15:ED$15,
     K$16:ED$16,
     K$21:ED$21,
     K$5:ED$5,
     K$17:ED$17,
     K55:ED55,
     LAMBDA(
       job,
       abillity,
       buff,
       barrier,
       enhance,
       assign,
       preco"&amp;"ndition,
       check,
       IF(
         OR(AND(check=TRUE, REGEXMATCH(assign, ""SELF""), job=""ナイト""), AND(check=Option!$E$13, REGEXMATCH(assign, ""SINGLE_PARTY""))),
         IF(
           OR(ARRAYFORMULA((IF(precondition="""", FALSE, REGEXMATCH($K$4"&amp;":$ED$4, precondition))) * (K55:ED55=TRUE))),
           enhance,
           IF(barrier="""", buff, barrier)
         ),
         0
       ) *
       SWITCH(
         job,
         ""暗黒騎士"", EY$24,
         ""白魔道士"", EF55 * EH55 * EW55 * IF(abillity, 1, EG"&amp;"55 * EI55) * (Option!$D$22 * 0.81 / 100),
         ""占星術師"", EF55 * EJ55 * EW55 * IF(abillity, 1, EG55 * EK55) * (Option!$D$23 * 0.81 / 100),
         ""学者"", EF55 * EL55 * EW55 * IF(abillity, 1, EG55 * EM55) * (Option!$D$24 * 0.81 / 100),
         ""賢者"""&amp;", EF55 * EN55 * EW55 * IF(abillity, 1, EG55 * EO55) * (Option!$D$25 * 0.81 / 100),
         1
       )
     )
   )
 ) + EQ55"),0.0)</f>
        <v>0</v>
      </c>
      <c r="EY55" s="232">
        <f t="shared" si="7"/>
        <v>0</v>
      </c>
      <c r="EZ55" s="205">
        <f>IFERROR(__xludf.DUMMYFUNCTION("PRODUCT(
   MAP(
     IF($F55=""Physical"", K$10:ED$10, IF($F55=""Magic"", K$11:ED$11, K$12:ED$12)),
     IF($F55=""Physical"", K$18:ED$18, IF($F55=""Magic"", K$19:ED$19, K$20:ED$20)),
     K$3:ED$3,
     K$5:ED$5,
     K$17:ED$17,
     K55:ED55,
     LAM"&amp;"BDA(
       mitigation,
       enhance,
       job,
       assign,
       precondition,
       check,
       IF(
         OR(AND(check=TRUE, REGEXMATCH(assign, ""SELF""), job=""戦士""), AND(check=Option!$F$13, REGEXMATCH(assign, ""SINGLE_PARTY""))),
       "&amp;"  IF(
           OR(ARRAYFORMULA((IF(precondition="""", FALSE, REGEXMATCH($K$4:$ED$4, precondition))) * (K55:ED55=TRUE))),
           enhance,
           mitigation
         ),
         1
       )
     )
   )
 ) * EE55"),1.0)</f>
        <v>1</v>
      </c>
      <c r="FA55" s="206">
        <f t="shared" si="8"/>
        <v>0</v>
      </c>
      <c r="FB55" s="205">
        <f>IFERROR(__xludf.DUMMYFUNCTION("PRODUCT(
   MAP(
     K$3:ED$3,
     K$14:ED$14,
     K$13:ED$13,
     K55:ED55,
     LAMBDA(
       job,
       buff,
       target,
       check,
       IF(
         OR(AND(check=TRUE, REGEXMATCH(target, ""SELF_AFFECTED_ALL""), job=""戦士""), AND(check=Op"&amp;"tion!$F$13, REGEXMATCH(target, ""SINGLE_AFFECTED_ALL""))),
         buff,
         1
       )
     )
   )
 )"),1.0)</f>
        <v>1</v>
      </c>
      <c r="FC55" s="206">
        <f>IFERROR(__xludf.DUMMYFUNCTION("SUM(
   MAP(
     K$3:ED$3,
     K$7:ED$7,
     K$15:ED$15,
     K$16:ED$16,
     K$21:ED$21,
     K$5:ED$5,
     K$17:ED$17,
     K55:ED55,
     LAMBDA(
       job,
       abillity,
       buff,
       barrier,
       enhance,
       assign,
       preco"&amp;"ndition,
       check,
       IF(
         OR(AND(check=TRUE, REGEXMATCH(assign, ""SELF""), job=""戦士""), AND(check=Option!$F$13, REGEXMATCH(assign, ""SINGLE_PARTY""))),
         IF(
           OR(ARRAYFORMULA((IF(precondition="""", FALSE, REGEXMATCH($K$4:"&amp;"$ED$4, precondition))) * (K55:ED55=TRUE))),
           enhance,
           IF(barrier="""", buff, barrier)
         ),
         0
       ) *
       SWITCH(
         job,
         ""暗黒騎士"", FD$24,
         ""白魔道士"", EF55 * EH55 * FB55 * IF(abillity, 1, EG5"&amp;"5 * EI55) * (Option!$D$22 * 0.81 / 100),
         ""占星術師"", EF55 * EJ55 * FFB55 * IF(abillity, 1, EG55 * EK55) * (Option!$D$23 * 0.81 / 100),
         ""学者"", EF55 * EL55 * FB55 * IF(abillity, 1, EG55 * EM55) * (Option!$D$24 * 0.81 / 100),
         ""賢者"""&amp;", EF55 * EN55 * FB55 * IF(abillity, 1, EG55 * EO55) * (Option!$D$25 * 0.81 / 100),
         1
       )
     )
   )
 ) + EQ55"),0.0)</f>
        <v>0</v>
      </c>
      <c r="FD55" s="206">
        <f t="shared" si="9"/>
        <v>0</v>
      </c>
      <c r="FE55" s="205">
        <f>IFERROR(__xludf.DUMMYFUNCTION("PRODUCT(
   MAP(
     IF($F55=""Physical"", K$10:ED$10, IF($F55=""Magic"", K$11:ED$11, K$12:ED$12)),
     IF($F55=""Physical"", K$18:ED$18, IF($F55=""Magic"", K$19:ED$19, K$20:ED$20)),
     K$3:ED$3,
     K$5:ED$5,
     K$17:ED$17,
     K55:ED55,
     LAM"&amp;"BDA(
       mitigation,
       enhance,
       job,
       assign,
       precondition,
       check,
       IF(
         OR(AND(check=TRUE, REGEXMATCH(assign, ""SELF""), job=""暗黒騎士""), AND(check=Option!$G$13, REGEXMATCH(assign, ""SINGLE_PARTY""))),
     "&amp;"    IF(
           OR(ARRAYFORMULA((IF(precondition="""", FALSE, REGEXMATCH($K$4:$ED$4, precondition))) * (K55:ED55=TRUE))),
           enhance,
           mitigation
         ),
         1
       )
     )
   )
 ) * EE55"),1.0)</f>
        <v>1</v>
      </c>
      <c r="FF55" s="206">
        <f t="shared" si="10"/>
        <v>0</v>
      </c>
      <c r="FG55" s="205">
        <f>IFERROR(__xludf.DUMMYFUNCTION("PRODUCT(
   MAP(
     K$3:ED$3,
     K$14:ED$14,
     K$13:ED$13,
     K55:ED55,
     LAMBDA(
       job,
       buff,
       target,
       check,
       IF(
         OR(AND(check=TRUE, REGEXMATCH(target, ""SELF_AFFECTED_ALL""), job=""暗黒騎士""), AND(check="&amp;"Option!$G$13, REGEXMATCH(target, ""SINGLE_AFFECTED_ALL""))),
         buff,
         1
       )
     )
   )
 )"),1.0)</f>
        <v>1</v>
      </c>
      <c r="FH55" s="206">
        <f>IFERROR(__xludf.DUMMYFUNCTION("SUM(
   MAP(
     K$3:ED$3,
     K$7:ED$7,
     K$15:ED$15,
     K$16:ED$16,
     K$21:ED$21,
     K$5:ED$5,
     K$17:ED$17,
     K55:ED55,
     LAMBDA(
       job,
       abillity,
       buff,
       barrier,
       enhance,
       assign,
       preco"&amp;"ndition,
       check,
       IF(
         OR(AND(check=TRUE, REGEXMATCH(assign, ""SELF""), job=""暗黒騎士""), AND(check=Option!$G$13, REGEXMATCH(assign, ""SINGLE_PARTY""))),
         IF(
           OR(ARRAYFORMULA((IF(precondition="""", FALSE, REGEXMATCH($K$"&amp;"4:$ED$4, precondition))) * (K55:ED55=TRUE))),
           enhance,
           IF(barrier="""", buff, barrier)
         ),
         0
       ) *
       SWITCH(
         job,
         ""暗黒騎士"", FI$24,
         ""白魔道士"", EF55 * EH55 * FG55 * IF(abillity, 1, E"&amp;"G55 * EI55) * (Option!$D$22 * 0.81 / 100),
         ""占星術師"", EF55 * EJ55 * FG55 * IF(abillity, 1, EG55 * EK55) * (Option!$D$23 * 0.81 / 100),
         ""学者"", EF55 * EL55 * FG55 * IF(abillity, 1, EG55 * EM55) * (Option!$D$24 * 0.81 / 100),
         ""賢者"&amp;""", EF55 * EN55 * FG55 * IF(abillity, 1, EG55 * EO55) * (Option!$D$25 * 0.81 / 100),
         1
       )
     )
   )
 ) + EQ55"),0.0)</f>
        <v>0</v>
      </c>
      <c r="FI55" s="206">
        <f t="shared" si="11"/>
        <v>0</v>
      </c>
      <c r="FJ55" s="205">
        <f>IFERROR(__xludf.DUMMYFUNCTION("PRODUCT(
   MAP(
     IF($F55=""Physical"", K$10:ED$10, IF($F55=""Magic"", K$11:ED$11, K$12:ED$12)),
     IF($F55=""Physical"", K$18:ED$18, IF($F55=""Magic"", K$19:ED$19, K$20:ED$20)),
     K$3:ED$3,
     K$5:ED$5,
     K$17:ED$17,
     K55:ED55,
     LAM"&amp;"BDA(
       mitigation,
       enhance,
       job,
       assign,
       precondition,
       check,
       IF(
         OR(AND(check=TRUE, REGEXMATCH(assign, ""SELF""), job=""ガンブレイカー""), AND(check=Option!$H$13, REGEXMATCH(assign, ""SINGLE_PARTY""))),
  "&amp;"       IF(
           OR(ARRAYFORMULA((IF(precondition="""", FALSE, REGEXMATCH($K$4:$ED$4, precondition))) * (K55:ED55=TRUE))),
           enhance,
           mitigation
         ),
         1
       )
     )
   )
 ) * EE55"),1.0)</f>
        <v>1</v>
      </c>
      <c r="FK55" s="206">
        <f t="shared" si="12"/>
        <v>0</v>
      </c>
      <c r="FL55" s="205">
        <f>IFERROR(__xludf.DUMMYFUNCTION("PRODUCT(
   MAP(
     K$3:ED$3,
     K$14:ED$14,
     K$13:ED$13,
     K55:ED55,
     LAMBDA(
       job,
       buff,
       target,
       check,
       IF(
         OR(AND(check=TRUE, REGEXMATCH(target, ""SELF_AFFECTED_ALL""), job=""ガンブレイカー""), AND(che"&amp;"ck=Option!$H$13, REGEXMATCH(target, ""SINGLE_AFFECTED_ALL""))),
         buff,
         1
       )
     )
   )
 )"),1.0)</f>
        <v>1</v>
      </c>
      <c r="FM55" s="206">
        <f>IFERROR(__xludf.DUMMYFUNCTION("SUM(
   MAP(
     K$3:ED$3,
     K$7:ED$7,
     K$15:ED$15,
     K$16:ED$16,
     K$21:ED$21,
     K$5:ED$5,
     K$17:ED$17,
     K55:ED55,
     LAMBDA(
       job,
       abillity,
       buff,
       barrier,
       enhance,
       assign,
       preco"&amp;"ndition,
       check,
       IF(
         OR(AND(check=TRUE, REGEXMATCH(assign, ""SELF""), job=""ガンブレイカー""), AND(check=Option!$H$13, REGEXMATCH(assign, ""SINGLE_PARTY""))),
         IF(
           OR(ARRAYFORMULA((IF(precondition="""", FALSE, REGEXMATCH("&amp;"$K$4:$ED$4, precondition))) * (K55:ED55=TRUE))),
           enhance,
           IF(barrier="""", buff, barrier)
         ),
         0
       ) *
       SWITCH(
         job,
         ""暗黒騎士"", FN$24,
         ""白魔道士"", EF55 * EH55 * FL55 * IF(abillity, 1"&amp;", EG55 * EI55) * (Option!$D$22 * 0.81 / 100),
         ""占星術師"", EF55 * EJ55 * FL55 * IF(abillity, 1, EG55 * EK55) * (Option!$D$23 * 0.81 / 100),
         ""学者"", EF55 * EL55 * FL55 * IF(abillity, 1, EG55 * EM55) * (Option!$D$24 * 0.81 / 100),
         """&amp;"賢者"", EF55 * EN55 * FL55 * IF(abillity, 1, EG55 * EO55) * (Option!$D$25 * 0.81 / 100),
         1
       )
     )
   )
 ) + EQ55"),0.0)</f>
        <v>0</v>
      </c>
      <c r="FN55" s="206">
        <f t="shared" si="13"/>
        <v>0</v>
      </c>
      <c r="FO55" s="213"/>
    </row>
    <row r="56">
      <c r="B56" s="229"/>
      <c r="C56" s="217">
        <f t="shared" si="1"/>
        <v>0.00380787037</v>
      </c>
      <c r="D56" s="236"/>
      <c r="E56" s="238"/>
      <c r="F56" s="167"/>
      <c r="G56" s="168" t="str">
        <f t="shared" si="2"/>
        <v/>
      </c>
      <c r="H56" s="169"/>
      <c r="I56" s="169"/>
      <c r="J56" s="169"/>
      <c r="K56" s="170" t="b">
        <v>0</v>
      </c>
      <c r="L56" s="170" t="b">
        <v>0</v>
      </c>
      <c r="M56" s="170" t="b">
        <v>0</v>
      </c>
      <c r="N56" s="171" t="s">
        <v>1070</v>
      </c>
      <c r="O56" s="172" t="b">
        <v>0</v>
      </c>
      <c r="P56" s="173" t="b">
        <v>0</v>
      </c>
      <c r="Q56" s="173" t="b">
        <v>0</v>
      </c>
      <c r="R56" s="173" t="b">
        <v>0</v>
      </c>
      <c r="S56" s="174" t="b">
        <v>0</v>
      </c>
      <c r="T56" s="175" t="b">
        <v>0</v>
      </c>
      <c r="U56" s="173" t="b">
        <v>0</v>
      </c>
      <c r="V56" s="171" t="s">
        <v>1070</v>
      </c>
      <c r="W56" s="172" t="b">
        <v>0</v>
      </c>
      <c r="X56" s="173" t="b">
        <v>0</v>
      </c>
      <c r="Y56" s="173" t="b">
        <v>0</v>
      </c>
      <c r="Z56" s="173" t="b">
        <v>0</v>
      </c>
      <c r="AA56" s="174" t="b">
        <v>0</v>
      </c>
      <c r="AB56" s="174" t="b">
        <v>0</v>
      </c>
      <c r="AC56" s="175" t="b">
        <v>0</v>
      </c>
      <c r="AD56" s="173" t="b">
        <v>0</v>
      </c>
      <c r="AE56" s="176" t="s">
        <v>1070</v>
      </c>
      <c r="AF56" s="171" t="s">
        <v>1070</v>
      </c>
      <c r="AG56" s="177">
        <f>IFERROR(__xludf.DUMMYFUNCTION("IF(
  ISNUMBER(AG55),
  MIN(MAX(
    AG55
    + MAX(
      ROUNDDOWN(($D56 - MAX(IFERROR(FILTER($D$24:$D55, AG$24:AG55 &lt;&gt; AF$6, AG$23:AG54 = AF$6), 0))) * (60 * 60 * 24) / AF$9) - ROUNDDOWN(($D55 - MAX(IFERROR(FILTER($D$23:$D54, AG$23:AG54 &lt;&gt; AF$6, AG$22:"&amp;"AG53 = AF$6), 0))) * (60 * 60 * 24) / 60),
      0
    )
    - COUNTIF(AF56, ""&lt;&gt;-""),
  0), AF$6),
  AF$6 - COUNTIF(AF56, ""&lt;&gt;-"")
)"),2.0)</f>
        <v>2</v>
      </c>
      <c r="AH56" s="173" t="b">
        <v>0</v>
      </c>
      <c r="AI56" s="173" t="b">
        <v>0</v>
      </c>
      <c r="AJ56" s="173" t="b">
        <v>0</v>
      </c>
      <c r="AK56" s="174" t="b">
        <v>0</v>
      </c>
      <c r="AL56" s="175" t="b">
        <v>0</v>
      </c>
      <c r="AM56" s="239" t="b">
        <v>0</v>
      </c>
      <c r="AN56" s="171" t="s">
        <v>1070</v>
      </c>
      <c r="AO56" s="173" t="b">
        <v>0</v>
      </c>
      <c r="AP56" s="173" t="b">
        <v>0</v>
      </c>
      <c r="AQ56" s="173" t="b">
        <v>0</v>
      </c>
      <c r="AR56" s="174" t="b">
        <v>0</v>
      </c>
      <c r="AS56" s="178" t="b">
        <v>0</v>
      </c>
      <c r="AT56" s="179" t="b">
        <v>0</v>
      </c>
      <c r="AU56" s="180" t="b">
        <v>0</v>
      </c>
      <c r="AV56" s="180" t="b">
        <v>0</v>
      </c>
      <c r="AW56" s="180" t="b">
        <v>0</v>
      </c>
      <c r="AX56" s="180" t="b">
        <v>0</v>
      </c>
      <c r="AY56" s="181" t="s">
        <v>1070</v>
      </c>
      <c r="AZ56" s="181" t="s">
        <v>1070</v>
      </c>
      <c r="BA56" s="184">
        <f>IFERROR(__xludf.DUMMYFUNCTION("IF(
  ISNUMBER(BA55),
  MIN(MAX(
    BA55
    + MAX(
      ROUNDDOWN((D56 - MAX(IFERROR(FILTER(D$24:D55, BA$24:BA55 &lt;&gt; AZ$6, BA$23:BA54 = AZ$6), 0))) * (60 * 60 * 24) / AZ$9) - ROUNDDOWN((D55 - MAX(IFERROR(FILTER(D$23:D54, BA$23:BA54 &lt;&gt; AZ$6, BA$22:BA53 ="&amp;" AZ$6), 0))) * (60 * 60 * 24) / AZ$9),
      0
    )
    - COUNTIF(AZ56, ""&lt;&gt;-""),
  0), AZ$6),
  AZ$6 - COUNTIF(AZ56, ""&lt;&gt;-"")
)"),2.0)</f>
        <v>2</v>
      </c>
      <c r="BB56" s="181" t="s">
        <v>1070</v>
      </c>
      <c r="BC56" s="183">
        <f>IFERROR(__xludf.DUMMYFUNCTION("IF(
  ISNUMBER(BC55),
  MIN(MAX(
    BC55
    + MAX(
      ROUNDDOWN(($D56 - MAX(IFERROR(FILTER($D$24:$D55, BC$24:BC55 &lt;&gt; BB$6, BC$23:BC54 = BB$6), 0))) * (60 * 60 * 24) / BB$9) - ROUNDDOWN(($D55 - MAX(IFERROR(FILTER($D$23:$D54, BC$23:BC54 &lt;&gt; BB$6, BC$22:"&amp;"BC53 = BB$6), 0))) * (60 * 60 * 24) / 60),
      0
    )
    - COUNTIF(BB56, ""&lt;&gt;-""),
  0), BB$6),
  BB$6 - COUNTIF(BB56, ""&lt;&gt;-"")
)"),2.0)</f>
        <v>2</v>
      </c>
      <c r="BD56" s="181" t="s">
        <v>1070</v>
      </c>
      <c r="BE56" s="178" t="b">
        <v>0</v>
      </c>
      <c r="BF56" s="180" t="b">
        <v>0</v>
      </c>
      <c r="BG56" s="180" t="b">
        <v>0</v>
      </c>
      <c r="BH56" s="180" t="b">
        <v>0</v>
      </c>
      <c r="BI56" s="180" t="b">
        <v>0</v>
      </c>
      <c r="BJ56" s="180" t="b">
        <v>0</v>
      </c>
      <c r="BK56" s="180" t="b">
        <v>0</v>
      </c>
      <c r="BL56" s="180" t="b">
        <v>0</v>
      </c>
      <c r="BM56" s="180" t="b">
        <v>0</v>
      </c>
      <c r="BN56" s="180" t="b">
        <v>0</v>
      </c>
      <c r="BO56" s="181" t="s">
        <v>1070</v>
      </c>
      <c r="BP56" s="181" t="s">
        <v>1070</v>
      </c>
      <c r="BQ56" s="181" t="s">
        <v>1070</v>
      </c>
      <c r="BR56" s="181" t="s">
        <v>1070</v>
      </c>
      <c r="BS56" s="181" t="s">
        <v>1070</v>
      </c>
      <c r="BT56" s="184">
        <f>IFERROR(__xludf.DUMMYFUNCTION("IF(
  ISNUMBER(BT55),
  MIN(MAX(
    BT55
    + MAX(
      ROUNDDOWN((D56 - MAX(IFERROR(FILTER(D$24:D55, BT$24:BT55 &lt;&gt; BS$6, BT$23:BT54 = BS$6), 0))) * (60 * 60 * 24) / BS$9) - ROUNDDOWN((D55 - MAX(IFERROR(FILTER(D$23:D54, BT$23:BT54 &lt;&gt; BS$6, BT$22:BT53 ="&amp;" BS$6), 0))) * (60 * 60 * 24) / BS$9),
      0
    )
    - COUNTIF(BS56, ""&lt;&gt;-""),
  0), BS$6),
  BS$6 - COUNTIF(BS56, ""&lt;&gt;-"")
)"),3.0)</f>
        <v>3</v>
      </c>
      <c r="BU56" s="181" t="s">
        <v>1070</v>
      </c>
      <c r="BV56" s="181" t="s">
        <v>1070</v>
      </c>
      <c r="BW56" s="184">
        <f>IFERROR(__xludf.DUMMYFUNCTION("IF(
  ISNUMBER(BW55),
  MIN(MAX(
    BW55
    + MAX(
      ROUNDDOWN((D56 - MAX(IFERROR(FILTER(D$24:D55, BW$24:BW55 &lt;&gt; BV$6, BW$23:BW54 = BV$6), 0))) * (60 * 60 * 24) / BV$9) - ROUNDDOWN((D55 - MAX(IFERROR(FILTER(D$23:D54, BW$23:BW54 &lt;&gt; BV$6, BW$22:BW53 ="&amp;" BV$6), 0))) * (60 * 60 * 24) / BV$9),
      0
    )
    - COUNTIF(BV56, ""&lt;&gt;-""),
  0), BV$6),
  BV$6 - COUNTIF(BV56, ""&lt;&gt;-"")
)"),2.0)</f>
        <v>2</v>
      </c>
      <c r="BX56" s="185" t="s">
        <v>1070</v>
      </c>
      <c r="BY56" s="178" t="b">
        <v>0</v>
      </c>
      <c r="BZ56" s="180" t="b">
        <v>0</v>
      </c>
      <c r="CA56" s="180" t="b">
        <v>0</v>
      </c>
      <c r="CB56" s="180" t="b">
        <v>0</v>
      </c>
      <c r="CC56" s="180" t="b">
        <v>0</v>
      </c>
      <c r="CD56" s="180" t="b">
        <v>0</v>
      </c>
      <c r="CE56" s="180" t="b">
        <v>0</v>
      </c>
      <c r="CF56" s="180" t="b">
        <v>0</v>
      </c>
      <c r="CG56" s="180" t="b">
        <v>0</v>
      </c>
      <c r="CH56" s="180" t="b">
        <v>0</v>
      </c>
      <c r="CI56" s="180" t="b">
        <v>0</v>
      </c>
      <c r="CJ56" s="180" t="b">
        <v>0</v>
      </c>
      <c r="CK56" s="180" t="b">
        <v>0</v>
      </c>
      <c r="CL56" s="180" t="b">
        <v>0</v>
      </c>
      <c r="CM56" s="181" t="s">
        <v>1070</v>
      </c>
      <c r="CN56" s="181" t="s">
        <v>1070</v>
      </c>
      <c r="CO56" s="181" t="s">
        <v>1070</v>
      </c>
      <c r="CP56" s="181" t="s">
        <v>1070</v>
      </c>
      <c r="CQ56" s="185" t="s">
        <v>1070</v>
      </c>
      <c r="CR56" s="180" t="b">
        <v>0</v>
      </c>
      <c r="CS56" s="186" t="str">
        <f t="shared" si="14"/>
        <v>◇◇◇</v>
      </c>
      <c r="CT56" s="178" t="b">
        <v>0</v>
      </c>
      <c r="CU56" s="180" t="b">
        <v>0</v>
      </c>
      <c r="CV56" s="180" t="b">
        <v>0</v>
      </c>
      <c r="CW56" s="180" t="b">
        <v>0</v>
      </c>
      <c r="CX56" s="180" t="b">
        <v>0</v>
      </c>
      <c r="CY56" s="180" t="b">
        <v>0</v>
      </c>
      <c r="CZ56" s="180" t="b">
        <v>0</v>
      </c>
      <c r="DA56" s="180" t="b">
        <v>0</v>
      </c>
      <c r="DB56" s="180" t="b">
        <v>0</v>
      </c>
      <c r="DC56" s="180" t="b">
        <v>0</v>
      </c>
      <c r="DD56" s="181" t="s">
        <v>1070</v>
      </c>
      <c r="DE56" s="181" t="s">
        <v>1070</v>
      </c>
      <c r="DF56" s="181" t="s">
        <v>1070</v>
      </c>
      <c r="DG56" s="185" t="s">
        <v>1070</v>
      </c>
      <c r="DH56" s="180" t="b">
        <v>0</v>
      </c>
      <c r="DI56" s="187" t="str">
        <f>IFERROR(__xludf.DUMMYFUNCTION("SWITCH(
  IF(
    ISTEXT(DI55),
    IF (
      FIND(""○"", DI55&amp;""○"") &gt; 3,
      3,
      FIND(""○"", DI55&amp;""○"")
      + MAX(
        ROUNDDOWN(($D56 - MAX(IFERROR(FILTER(D$24:D55, DI$24:DI55 &lt;&gt; ""●●●"", DI$23:DI54 = ""●●●""), 0))) * (60 * 60 * 24) / 20"&amp;") - ROUNDDOWN(($D55 - MAX(IFERROR(FILTER(D$23:D54, DI$23:DI54 &lt;&gt; ""●●●"", DI$22:DI53 = ""●●●""), 0))) * (60 * 60 * 24) / 20),
        0
      ) - 1
    ) - COUNTIFS(CU56, ""=TRUE"", CU55, ""&lt;&gt;TRUE"") - COUNTIF(CZ56, ""=TRUE"") - COUNTIF({DD56,DE56}, ""&lt;&gt;-"&amp;""") + COUNTIF(DH56, ""=TRUE""),
    3
  ),
  0, ""○○○"", 1, ""●○○"", 2, ""●●○"", 3, ""●●●"", 4, ""●●●"", ""○○○""
)"),"●●●")</f>
        <v>●●●</v>
      </c>
      <c r="DJ56" s="188" t="b">
        <v>0</v>
      </c>
      <c r="DK56" s="189" t="b">
        <v>0</v>
      </c>
      <c r="DL56" s="190" t="b">
        <v>0</v>
      </c>
      <c r="DM56" s="190" t="b">
        <v>0</v>
      </c>
      <c r="DN56" s="190" t="b">
        <v>0</v>
      </c>
      <c r="DO56" s="190" t="b">
        <v>0</v>
      </c>
      <c r="DP56" s="190" t="b">
        <v>0</v>
      </c>
      <c r="DQ56" s="191" t="b">
        <v>0</v>
      </c>
      <c r="DR56" s="192" t="b">
        <v>0</v>
      </c>
      <c r="DS56" s="191" t="b">
        <v>0</v>
      </c>
      <c r="DT56" s="192" t="b">
        <v>0</v>
      </c>
      <c r="DU56" s="191" t="b">
        <v>0</v>
      </c>
      <c r="DV56" s="193" t="s">
        <v>1070</v>
      </c>
      <c r="DW56" s="194" t="b">
        <v>0</v>
      </c>
      <c r="DX56" s="194" t="b">
        <v>0</v>
      </c>
      <c r="DY56" s="195" t="b">
        <v>0</v>
      </c>
      <c r="DZ56" s="196" t="b">
        <v>0</v>
      </c>
      <c r="EA56" s="195" t="b">
        <v>0</v>
      </c>
      <c r="EB56" s="197" t="b">
        <v>0</v>
      </c>
      <c r="EC56" s="197" t="b">
        <v>0</v>
      </c>
      <c r="ED56" s="212" t="b">
        <v>0</v>
      </c>
      <c r="EE56" s="199">
        <f>IFERROR(__xludf.DUMMYFUNCTION("IFERROR(
   PRODUCT(
     MAP(
       INDEX(TRANSPOSE(UNIQUE(TRANSPOSE(FILTER({IF($F56=""Physical"", K$10:ED$10, IF($F56=""Magic"", K$11:ED$11, K$12:ED$12));K$4:ED$4;K56:ED56}, K56:ED56=TRUE)))), 1, 0),
       INDEX(TRANSPOSE(UNIQUE(TRANSPOSE(FILTER({IF($"&amp;"F56=""Physical"", K$18:ED$18, IF($F56=""Magic"", K$19:ED$19, K$20:ED$20));K$4:ED$4;K56:ED56}, K56:ED56=TRUE)))), 1, 0),
       INDEX(TRANSPOSE(UNIQUE(TRANSPOSE(FILTER({K$5:ED$5;K$4:ED$4;K56:ED56}, K56:ED56=TRUE)))), 1, 0),
       INDEX(TRANSPOSE(UNIQUE(TR"&amp;"ANSPOSE(FILTER({K$17:ED$17;K$4:ED$4;K56:ED56}, K56:ED56=TRUE)))), 1, 0),
       LAMBDA(
         mitigation,
         enhance,
         assign,
         precondition,
         IF(
           REGEXMATCH(assign, ""RANGE_PARTY|SINGLE_ENEMY|RANGE_ENEMY""),
  "&amp;"         IF(
             OR(ARRAYFORMULA((IF(precondition="""", FALSE, REGEXMATCH(K$4:ED$4, precondition))) * (K56:ED56=TRUE))),
             IF(ISNUMBER(enhance), enhance, 1),
             IF(ISNUMBER(mitigation), mitigation, 1)
           ),
          "&amp;" 1
         )
       )
     )
   ),
   1
 )"),1.0)</f>
        <v>1</v>
      </c>
      <c r="EF56" s="200">
        <f>IFERROR(__xludf.DUMMYFUNCTION("PRODUCT(
   MAP(
     K$14:ED$14,
     K$13:ED$13,
     K56:ED56,
     LAMBDA(
       buff,
       target,
       check,
       IF(
         AND(check=TRUE, REGEXMATCH(target, ""RANGE_AFFECTED_ALL|RANGE_EFFECTED_ALL""), ISNUMBER(buff)),
         buff,
   "&amp;"      1
       )
     )
   )
 )"),1.0)</f>
        <v>1</v>
      </c>
      <c r="EG56" s="200">
        <f>IFERROR(__xludf.DUMMYFUNCTION("PRODUCT(
   MAP(
     K$14:ED$14,
     K$13:ED$13,
     K56:ED56,
     LAMBDA(
       buff,
       target,
       check,
       IF(
         AND(check=TRUE, REGEXMATCH(target, ""RANGE_AFFECTED_GCD|RANGE_EFFECTED_GCD""), ISNUMBER(buff)),
         buff,
   "&amp;"      1
       )
     )
   )
 )"),1.0)</f>
        <v>1</v>
      </c>
      <c r="EH56" s="200">
        <f>IFERROR(__xludf.DUMMYFUNCTION("PRODUCT(
   MAP(
     K$3:ED$3,
     K$14:ED$14,
     K$13:ED$13,
     K56:ED56,
     LAMBDA(
       job,
       buff,
       target,
       check,
       IF(
         AND(check=TRUE, REGEXMATCH(target, ""SELF_EFFECTED_ALL""), ISNUMBER(buff), job=""白魔道士"""&amp;"),
         buff,
         1
       )
     )
   )
 )"),1.0)</f>
        <v>1</v>
      </c>
      <c r="EI56" s="200">
        <f>IFERROR(__xludf.DUMMYFUNCTION("PRODUCT(
   MAP(
     K$3:ED$3,
     K$14:ED$14,
     K$13:ED$13,
     K56:ED56,
     LAMBDA(
       job,
       buff,
       target,
       check,
       IF(
         AND(check=TRUE, REGEXMATCH(target, ""SELF_EFFECTED_GCD""), ISNUMBER(buff), job=""白魔道士"""&amp;"),
         buff,
         1
       )
     )
   )
 )"),1.0)</f>
        <v>1</v>
      </c>
      <c r="EJ56" s="200">
        <f>IFERROR(__xludf.DUMMYFUNCTION("PRODUCT(
   MAP(
     K$3:ED$3,
     K$14:ED$14,
     K$13:ED$13,
     K56:ED56,
     LAMBDA(
       job,
       buff,
       target,
       check,
       IF(
         AND(check=TRUE, REGEXMATCH(target, ""SELF_EFFECTED_ALL""), ISNUMBER(buff), job=""占星術師"""&amp;"),
         buff,
         1
       )
     )
   )
 )"),1.0)</f>
        <v>1</v>
      </c>
      <c r="EK56" s="200">
        <f>IFERROR(__xludf.DUMMYFUNCTION("PRODUCT(
   MAP(
     K$3:ED$3,
     K$14:ED$14,
     K$13:ED$13,
     K56:ED56,
     LAMBDA(
       job,
       buff,
       target,
       check,
       IF(
         AND(check=TRUE, REGEXMATCH(target, ""SELF_EFFECTED_GCD""), ISNUMBER(buff), job=""占星術師"""&amp;"),
         buff,
         1
       )
     )
   )
 )"),1.0)</f>
        <v>1</v>
      </c>
      <c r="EL56" s="200">
        <f>IFERROR(__xludf.DUMMYFUNCTION("PRODUCT(
   MAP(
     K$3:ED$3,
     K$14:ED$14,
     K$13:ED$13,
     K56:ED56,
     LAMBDA(
       job,
       buff,
       target,
       check,
       IF(
         AND(check=TRUE, REGEXMATCH(target, ""SELF_EFFECTED_ALL""), ISNUMBER(buff), job=""学者""),"&amp;"
         buff,
         1
       )
     )
   )
 )"),1.0)</f>
        <v>1</v>
      </c>
      <c r="EM56" s="200">
        <f>IFERROR(__xludf.DUMMYFUNCTION("PRODUCT(
   MAP(
     K$3:ED$3,
     K$14:ED$14,
     K$13:ED$13,
     K56:ED56,
     LAMBDA(
       job,
       buff,
       target,
       check,
       IF(
         AND(check=TRUE, REGEXMATCH(target, ""SELF_EFFECTED_GCD""), ISNUMBER(buff), job=""学者""),"&amp;"
         buff,
         1
       )
     )
   )
 )"),1.0)</f>
        <v>1</v>
      </c>
      <c r="EN56" s="200">
        <f>IFERROR(__xludf.DUMMYFUNCTION("PRODUCT(
   MAP(
     K$3:ED$3,
     K$14:ED$14,
     K$13:ED$13,
     K56:ED56,
     LAMBDA(
       job,
       buff,
       target,
       check,
       IF(
         AND(check=TRUE, REGEXMATCH(target, ""SELF_EFFECTED_ALL""), ISNUMBER(buff), job=""賢者""),"&amp;"
         buff,
         1
       )
     )
   )
 )"),1.0)</f>
        <v>1</v>
      </c>
      <c r="EO56" s="200">
        <f>IFERROR(__xludf.DUMMYFUNCTION("PRODUCT(
   MAP(
     K$3:ED$3,
     K$14:ED$14,
     K$13:ED$13,
     K56:ED56,
     LAMBDA(
       job,
       buff,
       target,
       check,
       IF(
         AND(check=TRUE, REGEXMATCH(target, ""SELF_EFFECTED_GCD""), ISNUMBER(buff), job=""賢者""),"&amp;"
         buff,
         1
       )
     )
   )
 )"),1.0)</f>
        <v>1</v>
      </c>
      <c r="EP56" s="201">
        <f t="shared" si="3"/>
        <v>0</v>
      </c>
      <c r="EQ56" s="201">
        <f>IFERROR(__xludf.DUMMYFUNCTION("SUM(
   MAP(
     K$4:ED$4,
     K$3:ED$3,
     K$7:ED$7,
     K$15:ED$15,
     K$16:ED$16,
     K$21:ED$21,
     K$5:ED$5,
     K$17:ED$17,
     K56:ED56,
     LAMBDA(
       name,
       job,
       abillity,
       buff,
       barrier,
       enhance,"&amp;"
       assign,
       precondition,
       check,
       SWITCH(
         name,
         ""シェイクオフ"", IF(check=TRUE, buff + (0.02 * COUNTIF(ARRAYFORMULA((REGEXMATCH($K$4:$ED$4, ""スリル・オブ・バトル|ヴェンジェンス|原初の血気|ダムネーション"")) * (K56:ED56=TRUE)), 1)), 0),
         "&amp;"""インプロビゼーションフィニッシュ(踊りの激情0)"", IF(ISNUMBER(check), INDEX(Skill!$AJ:$AJ, MATCH(SUBSTITUTE(DV$4, 0, check), Skill!$C:$C, 0)), 0),
         IF(
           AND(check=TRUE, REGEXMATCH(assign, ""RANGE_PARTY"")),
           IF(
             OR(ARRAYFORMULA((IF(pr"&amp;"econdition="""", FALSE, REGEXMATCH($K$4:$ED$4, precondition))) * (K56:ED56=TRUE))),
             enhance,
             IF(barrier="""", buff, barrier)
           ),
           0
         )
       ) *
       SWITCH(
         job,
         ""ナイト"", EY$24,
 "&amp;"        ""戦士"", FD$24,
         ""踊り子"", ET$24,
         ""ピクトマンサー"", ET$24,
         ""白魔道士"", EF56 * EH56 * IF(abillity, 1, EG56 * EI56) * (Option!$D$22 * 0.81 / 100),
         ""占星術師"", EF56 * EJ56 * IF(abillity, 1, EG56 * EK56) * (Option!$D$23 * 0.81 "&amp;"/ 100),
         ""学者"", EF56 * EL56 * IF(abillity, 1, EG56 * EM56) * (Option!$D$24 * 0.81 / 100),
         ""賢者"", EF56 * EN56 * IF(abillity, 1, EG56 * EO56) * (Option!$D$25 * 0.81 / 100),
         1
       )
     )
   )
 )"),0.0)</f>
        <v>0</v>
      </c>
      <c r="ER56" s="202">
        <f t="shared" si="4"/>
        <v>0</v>
      </c>
      <c r="ES56" s="203">
        <f t="shared" si="5"/>
        <v>0</v>
      </c>
      <c r="ET56" s="231" t="str">
        <f>IFERROR(__xludf.DUMMYFUNCTION("IFS(
  EP56 &gt; $ET$24 + EQ56,
  SPARKLINE({ 1, 0 }, {""charttype"",""bar"";""max"", 1;""color1"",Option!$D$30;""color2"",Option!$D$30}),
  EP56 &lt; EQ56,
  SPARKLINE({EQ56 - EP56, $ET$24 - (EQ56 - EP56)}, {""charttype"",""bar"";""max"",$ET$24;""color1"",Opti"&amp;"on!$D$28;""color2"",Option!$D$29}),
  EP56 &gt;= EQ56,
  SPARKLINE({$ET$24 + EQ56 - EP56,EP56 - EQ56}, {""charttype"",""bar"";""max"",$ET$24;""color1"",Option!$D$29;""color2"",Option!$D$30})
)"),"")</f>
        <v/>
      </c>
      <c r="EU56" s="205">
        <f>IFERROR(__xludf.DUMMYFUNCTION("PRODUCT(
   MAP(
     IF($F56=""Physical"", K$10:ED$10, IF($F56=""Magic"", K$11:ED$11, K$12:ED$12)),
     IF($F56=""Physical"", K$18:ED$18, IF($F56=""Magic"", K$19:ED$19, K$20:ED$20)),
     K$3:ED$3,
     K$5:ED$5,
     K$17:ED$17,
     K56:ED56,
     LAM"&amp;"BDA(
       mitigation,
       enhance,
       job,
       assign,
       precondition,
       check,
       IF(
         OR(AND(check=TRUE, REGEXMATCH(assign, ""SELF""), job=""ナイト""), AND(check=Option!$E$13, REGEXMATCH(assign, ""SINGLE_PARTY""))),
      "&amp;"   IF(
           OR(ARRAYFORMULA((IF(precondition="""", FALSE, REGEXMATCH($K$4:$ED$4, precondition))) * (K56:ED56=TRUE))),
           enhance,
           mitigation
         ),
         1
       )
     )
   )
 ) * EE56"),1.0)</f>
        <v>1</v>
      </c>
      <c r="EV56" s="206">
        <f t="shared" si="6"/>
        <v>0</v>
      </c>
      <c r="EW56" s="205">
        <f>IFERROR(__xludf.DUMMYFUNCTION("PRODUCT(
   MAP(
     K$3:ED$3,
     K$14:ED$14,
     K$13:ED$13,
     K56:ED56,
     LAMBDA(
       job,
       buff,
       target,
       check,
       IF(
         OR(AND(check=TRUE, REGEXMATCH(target, ""SELF_AFFECTED_ALL""), job=""ナイト""), AND(check=O"&amp;"ption!$E$13, REGEXMATCH(target, ""SINGLE_AFFECTED_ALL""))),
         buff,
         1
       )
     )
   )
 )"),1.0)</f>
        <v>1</v>
      </c>
      <c r="EX56" s="206">
        <f>IFERROR(__xludf.DUMMYFUNCTION("SUM(
   MAP(
     K$3:ED$3,
     K$7:ED$7,
     K$15:ED$15,
     K$16:ED$16,
     K$21:ED$21,
     K$5:ED$5,
     K$17:ED$17,
     K56:ED56,
     LAMBDA(
       job,
       abillity,
       buff,
       barrier,
       enhance,
       assign,
       preco"&amp;"ndition,
       check,
       IF(
         OR(AND(check=TRUE, REGEXMATCH(assign, ""SELF""), job=""ナイト""), AND(check=Option!$E$13, REGEXMATCH(assign, ""SINGLE_PARTY""))),
         IF(
           OR(ARRAYFORMULA((IF(precondition="""", FALSE, REGEXMATCH($K$4"&amp;":$ED$4, precondition))) * (K56:ED56=TRUE))),
           enhance,
           IF(barrier="""", buff, barrier)
         ),
         0
       ) *
       SWITCH(
         job,
         ""暗黒騎士"", EY$24,
         ""白魔道士"", EF56 * EH56 * EW56 * IF(abillity, 1, EG"&amp;"56 * EI56) * (Option!$D$22 * 0.81 / 100),
         ""占星術師"", EF56 * EJ56 * EW56 * IF(abillity, 1, EG56 * EK56) * (Option!$D$23 * 0.81 / 100),
         ""学者"", EF56 * EL56 * EW56 * IF(abillity, 1, EG56 * EM56) * (Option!$D$24 * 0.81 / 100),
         ""賢者"""&amp;", EF56 * EN56 * EW56 * IF(abillity, 1, EG56 * EO56) * (Option!$D$25 * 0.81 / 100),
         1
       )
     )
   )
 ) + EQ56"),0.0)</f>
        <v>0</v>
      </c>
      <c r="EY56" s="232">
        <f t="shared" si="7"/>
        <v>0</v>
      </c>
      <c r="EZ56" s="205">
        <f>IFERROR(__xludf.DUMMYFUNCTION("PRODUCT(
   MAP(
     IF($F56=""Physical"", K$10:ED$10, IF($F56=""Magic"", K$11:ED$11, K$12:ED$12)),
     IF($F56=""Physical"", K$18:ED$18, IF($F56=""Magic"", K$19:ED$19, K$20:ED$20)),
     K$3:ED$3,
     K$5:ED$5,
     K$17:ED$17,
     K56:ED56,
     LAM"&amp;"BDA(
       mitigation,
       enhance,
       job,
       assign,
       precondition,
       check,
       IF(
         OR(AND(check=TRUE, REGEXMATCH(assign, ""SELF""), job=""戦士""), AND(check=Option!$F$13, REGEXMATCH(assign, ""SINGLE_PARTY""))),
       "&amp;"  IF(
           OR(ARRAYFORMULA((IF(precondition="""", FALSE, REGEXMATCH($K$4:$ED$4, precondition))) * (K56:ED56=TRUE))),
           enhance,
           mitigation
         ),
         1
       )
     )
   )
 ) * EE56"),1.0)</f>
        <v>1</v>
      </c>
      <c r="FA56" s="206">
        <f t="shared" si="8"/>
        <v>0</v>
      </c>
      <c r="FB56" s="205">
        <f>IFERROR(__xludf.DUMMYFUNCTION("PRODUCT(
   MAP(
     K$3:ED$3,
     K$14:ED$14,
     K$13:ED$13,
     K56:ED56,
     LAMBDA(
       job,
       buff,
       target,
       check,
       IF(
         OR(AND(check=TRUE, REGEXMATCH(target, ""SELF_AFFECTED_ALL""), job=""戦士""), AND(check=Op"&amp;"tion!$F$13, REGEXMATCH(target, ""SINGLE_AFFECTED_ALL""))),
         buff,
         1
       )
     )
   )
 )"),1.0)</f>
        <v>1</v>
      </c>
      <c r="FC56" s="206">
        <f>IFERROR(__xludf.DUMMYFUNCTION("SUM(
   MAP(
     K$3:ED$3,
     K$7:ED$7,
     K$15:ED$15,
     K$16:ED$16,
     K$21:ED$21,
     K$5:ED$5,
     K$17:ED$17,
     K56:ED56,
     LAMBDA(
       job,
       abillity,
       buff,
       barrier,
       enhance,
       assign,
       preco"&amp;"ndition,
       check,
       IF(
         OR(AND(check=TRUE, REGEXMATCH(assign, ""SELF""), job=""戦士""), AND(check=Option!$F$13, REGEXMATCH(assign, ""SINGLE_PARTY""))),
         IF(
           OR(ARRAYFORMULA((IF(precondition="""", FALSE, REGEXMATCH($K$4:"&amp;"$ED$4, precondition))) * (K56:ED56=TRUE))),
           enhance,
           IF(barrier="""", buff, barrier)
         ),
         0
       ) *
       SWITCH(
         job,
         ""暗黒騎士"", FD$24,
         ""白魔道士"", EF56 * EH56 * FB56 * IF(abillity, 1, EG5"&amp;"6 * EI56) * (Option!$D$22 * 0.81 / 100),
         ""占星術師"", EF56 * EJ56 * FFB56 * IF(abillity, 1, EG56 * EK56) * (Option!$D$23 * 0.81 / 100),
         ""学者"", EF56 * EL56 * FB56 * IF(abillity, 1, EG56 * EM56) * (Option!$D$24 * 0.81 / 100),
         ""賢者"""&amp;", EF56 * EN56 * FB56 * IF(abillity, 1, EG56 * EO56) * (Option!$D$25 * 0.81 / 100),
         1
       )
     )
   )
 ) + EQ56"),0.0)</f>
        <v>0</v>
      </c>
      <c r="FD56" s="206">
        <f t="shared" si="9"/>
        <v>0</v>
      </c>
      <c r="FE56" s="205">
        <f>IFERROR(__xludf.DUMMYFUNCTION("PRODUCT(
   MAP(
     IF($F56=""Physical"", K$10:ED$10, IF($F56=""Magic"", K$11:ED$11, K$12:ED$12)),
     IF($F56=""Physical"", K$18:ED$18, IF($F56=""Magic"", K$19:ED$19, K$20:ED$20)),
     K$3:ED$3,
     K$5:ED$5,
     K$17:ED$17,
     K56:ED56,
     LAM"&amp;"BDA(
       mitigation,
       enhance,
       job,
       assign,
       precondition,
       check,
       IF(
         OR(AND(check=TRUE, REGEXMATCH(assign, ""SELF""), job=""暗黒騎士""), AND(check=Option!$G$13, REGEXMATCH(assign, ""SINGLE_PARTY""))),
     "&amp;"    IF(
           OR(ARRAYFORMULA((IF(precondition="""", FALSE, REGEXMATCH($K$4:$ED$4, precondition))) * (K56:ED56=TRUE))),
           enhance,
           mitigation
         ),
         1
       )
     )
   )
 ) * EE56"),1.0)</f>
        <v>1</v>
      </c>
      <c r="FF56" s="206">
        <f t="shared" si="10"/>
        <v>0</v>
      </c>
      <c r="FG56" s="205">
        <f>IFERROR(__xludf.DUMMYFUNCTION("PRODUCT(
   MAP(
     K$3:ED$3,
     K$14:ED$14,
     K$13:ED$13,
     K56:ED56,
     LAMBDA(
       job,
       buff,
       target,
       check,
       IF(
         OR(AND(check=TRUE, REGEXMATCH(target, ""SELF_AFFECTED_ALL""), job=""暗黒騎士""), AND(check="&amp;"Option!$G$13, REGEXMATCH(target, ""SINGLE_AFFECTED_ALL""))),
         buff,
         1
       )
     )
   )
 )"),1.0)</f>
        <v>1</v>
      </c>
      <c r="FH56" s="206">
        <f>IFERROR(__xludf.DUMMYFUNCTION("SUM(
   MAP(
     K$3:ED$3,
     K$7:ED$7,
     K$15:ED$15,
     K$16:ED$16,
     K$21:ED$21,
     K$5:ED$5,
     K$17:ED$17,
     K56:ED56,
     LAMBDA(
       job,
       abillity,
       buff,
       barrier,
       enhance,
       assign,
       preco"&amp;"ndition,
       check,
       IF(
         OR(AND(check=TRUE, REGEXMATCH(assign, ""SELF""), job=""暗黒騎士""), AND(check=Option!$G$13, REGEXMATCH(assign, ""SINGLE_PARTY""))),
         IF(
           OR(ARRAYFORMULA((IF(precondition="""", FALSE, REGEXMATCH($K$"&amp;"4:$ED$4, precondition))) * (K56:ED56=TRUE))),
           enhance,
           IF(barrier="""", buff, barrier)
         ),
         0
       ) *
       SWITCH(
         job,
         ""暗黒騎士"", FI$24,
         ""白魔道士"", EF56 * EH56 * FG56 * IF(abillity, 1, E"&amp;"G56 * EI56) * (Option!$D$22 * 0.81 / 100),
         ""占星術師"", EF56 * EJ56 * FG56 * IF(abillity, 1, EG56 * EK56) * (Option!$D$23 * 0.81 / 100),
         ""学者"", EF56 * EL56 * FG56 * IF(abillity, 1, EG56 * EM56) * (Option!$D$24 * 0.81 / 100),
         ""賢者"&amp;""", EF56 * EN56 * FG56 * IF(abillity, 1, EG56 * EO56) * (Option!$D$25 * 0.81 / 100),
         1
       )
     )
   )
 ) + EQ56"),0.0)</f>
        <v>0</v>
      </c>
      <c r="FI56" s="206">
        <f t="shared" si="11"/>
        <v>0</v>
      </c>
      <c r="FJ56" s="205">
        <f>IFERROR(__xludf.DUMMYFUNCTION("PRODUCT(
   MAP(
     IF($F56=""Physical"", K$10:ED$10, IF($F56=""Magic"", K$11:ED$11, K$12:ED$12)),
     IF($F56=""Physical"", K$18:ED$18, IF($F56=""Magic"", K$19:ED$19, K$20:ED$20)),
     K$3:ED$3,
     K$5:ED$5,
     K$17:ED$17,
     K56:ED56,
     LAM"&amp;"BDA(
       mitigation,
       enhance,
       job,
       assign,
       precondition,
       check,
       IF(
         OR(AND(check=TRUE, REGEXMATCH(assign, ""SELF""), job=""ガンブレイカー""), AND(check=Option!$H$13, REGEXMATCH(assign, ""SINGLE_PARTY""))),
  "&amp;"       IF(
           OR(ARRAYFORMULA((IF(precondition="""", FALSE, REGEXMATCH($K$4:$ED$4, precondition))) * (K56:ED56=TRUE))),
           enhance,
           mitigation
         ),
         1
       )
     )
   )
 ) * EE56"),1.0)</f>
        <v>1</v>
      </c>
      <c r="FK56" s="206">
        <f t="shared" si="12"/>
        <v>0</v>
      </c>
      <c r="FL56" s="205">
        <f>IFERROR(__xludf.DUMMYFUNCTION("PRODUCT(
   MAP(
     K$3:ED$3,
     K$14:ED$14,
     K$13:ED$13,
     K56:ED56,
     LAMBDA(
       job,
       buff,
       target,
       check,
       IF(
         OR(AND(check=TRUE, REGEXMATCH(target, ""SELF_AFFECTED_ALL""), job=""ガンブレイカー""), AND(che"&amp;"ck=Option!$H$13, REGEXMATCH(target, ""SINGLE_AFFECTED_ALL""))),
         buff,
         1
       )
     )
   )
 )"),1.0)</f>
        <v>1</v>
      </c>
      <c r="FM56" s="206">
        <f>IFERROR(__xludf.DUMMYFUNCTION("SUM(
   MAP(
     K$3:ED$3,
     K$7:ED$7,
     K$15:ED$15,
     K$16:ED$16,
     K$21:ED$21,
     K$5:ED$5,
     K$17:ED$17,
     K56:ED56,
     LAMBDA(
       job,
       abillity,
       buff,
       barrier,
       enhance,
       assign,
       preco"&amp;"ndition,
       check,
       IF(
         OR(AND(check=TRUE, REGEXMATCH(assign, ""SELF""), job=""ガンブレイカー""), AND(check=Option!$H$13, REGEXMATCH(assign, ""SINGLE_PARTY""))),
         IF(
           OR(ARRAYFORMULA((IF(precondition="""", FALSE, REGEXMATCH("&amp;"$K$4:$ED$4, precondition))) * (K56:ED56=TRUE))),
           enhance,
           IF(barrier="""", buff, barrier)
         ),
         0
       ) *
       SWITCH(
         job,
         ""暗黒騎士"", FN$24,
         ""白魔道士"", EF56 * EH56 * FL56 * IF(abillity, 1"&amp;", EG56 * EI56) * (Option!$D$22 * 0.81 / 100),
         ""占星術師"", EF56 * EJ56 * FL56 * IF(abillity, 1, EG56 * EK56) * (Option!$D$23 * 0.81 / 100),
         ""学者"", EF56 * EL56 * FL56 * IF(abillity, 1, EG56 * EM56) * (Option!$D$24 * 0.81 / 100),
         """&amp;"賢者"", EF56 * EN56 * FL56 * IF(abillity, 1, EG56 * EO56) * (Option!$D$25 * 0.81 / 100),
         1
       )
     )
   )
 ) + EQ56"),0.0)</f>
        <v>0</v>
      </c>
      <c r="FN56" s="206">
        <f t="shared" si="13"/>
        <v>0</v>
      </c>
      <c r="FO56" s="213"/>
    </row>
    <row r="57">
      <c r="B57" s="229"/>
      <c r="C57" s="217">
        <f t="shared" si="1"/>
        <v>0.00380787037</v>
      </c>
      <c r="D57" s="236"/>
      <c r="E57" s="238"/>
      <c r="F57" s="167"/>
      <c r="G57" s="168" t="str">
        <f t="shared" si="2"/>
        <v/>
      </c>
      <c r="H57" s="169"/>
      <c r="I57" s="169"/>
      <c r="J57" s="169"/>
      <c r="K57" s="170" t="b">
        <v>0</v>
      </c>
      <c r="L57" s="170" t="b">
        <v>0</v>
      </c>
      <c r="M57" s="170" t="b">
        <v>0</v>
      </c>
      <c r="N57" s="171" t="s">
        <v>1070</v>
      </c>
      <c r="O57" s="172" t="b">
        <v>0</v>
      </c>
      <c r="P57" s="173" t="b">
        <v>0</v>
      </c>
      <c r="Q57" s="173" t="b">
        <v>0</v>
      </c>
      <c r="R57" s="173" t="b">
        <v>0</v>
      </c>
      <c r="S57" s="174" t="b">
        <v>0</v>
      </c>
      <c r="T57" s="175" t="b">
        <v>0</v>
      </c>
      <c r="U57" s="173" t="b">
        <v>0</v>
      </c>
      <c r="V57" s="171" t="s">
        <v>1070</v>
      </c>
      <c r="W57" s="172" t="b">
        <v>0</v>
      </c>
      <c r="X57" s="173" t="b">
        <v>0</v>
      </c>
      <c r="Y57" s="173" t="b">
        <v>0</v>
      </c>
      <c r="Z57" s="173" t="b">
        <v>0</v>
      </c>
      <c r="AA57" s="174" t="b">
        <v>0</v>
      </c>
      <c r="AB57" s="174" t="b">
        <v>0</v>
      </c>
      <c r="AC57" s="175" t="b">
        <v>0</v>
      </c>
      <c r="AD57" s="173" t="b">
        <v>0</v>
      </c>
      <c r="AE57" s="176" t="s">
        <v>1070</v>
      </c>
      <c r="AF57" s="171" t="s">
        <v>1070</v>
      </c>
      <c r="AG57" s="177">
        <f>IFERROR(__xludf.DUMMYFUNCTION("IF(
  ISNUMBER(AG56),
  MIN(MAX(
    AG56
    + MAX(
      ROUNDDOWN(($D57 - MAX(IFERROR(FILTER($D$24:$D56, AG$24:AG56 &lt;&gt; AF$6, AG$23:AG55 = AF$6), 0))) * (60 * 60 * 24) / AF$9) - ROUNDDOWN(($D56 - MAX(IFERROR(FILTER($D$23:$D55, AG$23:AG55 &lt;&gt; AF$6, AG$22:"&amp;"AG54 = AF$6), 0))) * (60 * 60 * 24) / 60),
      0
    )
    - COUNTIF(AF57, ""&lt;&gt;-""),
  0), AF$6),
  AF$6 - COUNTIF(AF57, ""&lt;&gt;-"")
)"),2.0)</f>
        <v>2</v>
      </c>
      <c r="AH57" s="173" t="b">
        <v>0</v>
      </c>
      <c r="AI57" s="173" t="b">
        <v>0</v>
      </c>
      <c r="AJ57" s="173" t="b">
        <v>0</v>
      </c>
      <c r="AK57" s="174" t="b">
        <v>0</v>
      </c>
      <c r="AL57" s="175" t="b">
        <v>0</v>
      </c>
      <c r="AM57" s="173" t="b">
        <v>0</v>
      </c>
      <c r="AN57" s="171" t="s">
        <v>1070</v>
      </c>
      <c r="AO57" s="173" t="b">
        <v>0</v>
      </c>
      <c r="AP57" s="173" t="b">
        <v>0</v>
      </c>
      <c r="AQ57" s="173" t="b">
        <v>0</v>
      </c>
      <c r="AR57" s="174" t="b">
        <v>0</v>
      </c>
      <c r="AS57" s="178" t="b">
        <v>0</v>
      </c>
      <c r="AT57" s="179" t="b">
        <v>0</v>
      </c>
      <c r="AU57" s="180" t="b">
        <v>0</v>
      </c>
      <c r="AV57" s="180" t="b">
        <v>0</v>
      </c>
      <c r="AW57" s="180" t="b">
        <v>0</v>
      </c>
      <c r="AX57" s="180" t="b">
        <v>0</v>
      </c>
      <c r="AY57" s="181" t="s">
        <v>1070</v>
      </c>
      <c r="AZ57" s="181" t="s">
        <v>1070</v>
      </c>
      <c r="BA57" s="184">
        <f>IFERROR(__xludf.DUMMYFUNCTION("IF(
  ISNUMBER(BA56),
  MIN(MAX(
    BA56
    + MAX(
      ROUNDDOWN((D57 - MAX(IFERROR(FILTER(D$24:D56, BA$24:BA56 &lt;&gt; AZ$6, BA$23:BA55 = AZ$6), 0))) * (60 * 60 * 24) / AZ$9) - ROUNDDOWN((D56 - MAX(IFERROR(FILTER(D$23:D55, BA$23:BA55 &lt;&gt; AZ$6, BA$22:BA54 ="&amp;" AZ$6), 0))) * (60 * 60 * 24) / AZ$9),
      0
    )
    - COUNTIF(AZ57, ""&lt;&gt;-""),
  0), AZ$6),
  AZ$6 - COUNTIF(AZ57, ""&lt;&gt;-"")
)"),2.0)</f>
        <v>2</v>
      </c>
      <c r="BB57" s="181" t="s">
        <v>1070</v>
      </c>
      <c r="BC57" s="183">
        <f>IFERROR(__xludf.DUMMYFUNCTION("IF(
  ISNUMBER(BC56),
  MIN(MAX(
    BC56
    + MAX(
      ROUNDDOWN(($D57 - MAX(IFERROR(FILTER($D$24:$D56, BC$24:BC56 &lt;&gt; BB$6, BC$23:BC55 = BB$6), 0))) * (60 * 60 * 24) / BB$9) - ROUNDDOWN(($D56 - MAX(IFERROR(FILTER($D$23:$D55, BC$23:BC55 &lt;&gt; BB$6, BC$22:"&amp;"BC54 = BB$6), 0))) * (60 * 60 * 24) / 60),
      0
    )
    - COUNTIF(BB57, ""&lt;&gt;-""),
  0), BB$6),
  BB$6 - COUNTIF(BB57, ""&lt;&gt;-"")
)"),2.0)</f>
        <v>2</v>
      </c>
      <c r="BD57" s="181" t="s">
        <v>1070</v>
      </c>
      <c r="BE57" s="178" t="b">
        <v>0</v>
      </c>
      <c r="BF57" s="180" t="b">
        <v>0</v>
      </c>
      <c r="BG57" s="180" t="b">
        <v>0</v>
      </c>
      <c r="BH57" s="180" t="b">
        <v>0</v>
      </c>
      <c r="BI57" s="180" t="b">
        <v>0</v>
      </c>
      <c r="BJ57" s="180" t="b">
        <v>0</v>
      </c>
      <c r="BK57" s="180" t="b">
        <v>0</v>
      </c>
      <c r="BL57" s="180" t="b">
        <v>0</v>
      </c>
      <c r="BM57" s="180" t="b">
        <v>0</v>
      </c>
      <c r="BN57" s="180" t="b">
        <v>0</v>
      </c>
      <c r="BO57" s="181" t="s">
        <v>1070</v>
      </c>
      <c r="BP57" s="181" t="s">
        <v>1070</v>
      </c>
      <c r="BQ57" s="181" t="s">
        <v>1070</v>
      </c>
      <c r="BR57" s="181" t="s">
        <v>1070</v>
      </c>
      <c r="BS57" s="181" t="s">
        <v>1070</v>
      </c>
      <c r="BT57" s="184">
        <f>IFERROR(__xludf.DUMMYFUNCTION("IF(
  ISNUMBER(BT56),
  MIN(MAX(
    BT56
    + MAX(
      ROUNDDOWN((D57 - MAX(IFERROR(FILTER(D$24:D56, BT$24:BT56 &lt;&gt; BS$6, BT$23:BT55 = BS$6), 0))) * (60 * 60 * 24) / BS$9) - ROUNDDOWN((D56 - MAX(IFERROR(FILTER(D$23:D55, BT$23:BT55 &lt;&gt; BS$6, BT$22:BT54 ="&amp;" BS$6), 0))) * (60 * 60 * 24) / BS$9),
      0
    )
    - COUNTIF(BS57, ""&lt;&gt;-""),
  0), BS$6),
  BS$6 - COUNTIF(BS57, ""&lt;&gt;-"")
)"),3.0)</f>
        <v>3</v>
      </c>
      <c r="BU57" s="181" t="s">
        <v>1070</v>
      </c>
      <c r="BV57" s="181" t="s">
        <v>1070</v>
      </c>
      <c r="BW57" s="184">
        <f>IFERROR(__xludf.DUMMYFUNCTION("IF(
  ISNUMBER(BW56),
  MIN(MAX(
    BW56
    + MAX(
      ROUNDDOWN((D57 - MAX(IFERROR(FILTER(D$24:D56, BW$24:BW56 &lt;&gt; BV$6, BW$23:BW55 = BV$6), 0))) * (60 * 60 * 24) / BV$9) - ROUNDDOWN((D56 - MAX(IFERROR(FILTER(D$23:D55, BW$23:BW55 &lt;&gt; BV$6, BW$22:BW54 ="&amp;" BV$6), 0))) * (60 * 60 * 24) / BV$9),
      0
    )
    - COUNTIF(BV57, ""&lt;&gt;-""),
  0), BV$6),
  BV$6 - COUNTIF(BV57, ""&lt;&gt;-"")
)"),2.0)</f>
        <v>2</v>
      </c>
      <c r="BX57" s="185" t="s">
        <v>1070</v>
      </c>
      <c r="BY57" s="178" t="b">
        <v>0</v>
      </c>
      <c r="BZ57" s="180" t="b">
        <v>0</v>
      </c>
      <c r="CA57" s="180" t="b">
        <v>0</v>
      </c>
      <c r="CB57" s="180" t="b">
        <v>0</v>
      </c>
      <c r="CC57" s="180" t="b">
        <v>0</v>
      </c>
      <c r="CD57" s="180" t="b">
        <v>0</v>
      </c>
      <c r="CE57" s="180" t="b">
        <v>0</v>
      </c>
      <c r="CF57" s="180" t="b">
        <v>0</v>
      </c>
      <c r="CG57" s="180" t="b">
        <v>0</v>
      </c>
      <c r="CH57" s="180" t="b">
        <v>0</v>
      </c>
      <c r="CI57" s="180" t="b">
        <v>0</v>
      </c>
      <c r="CJ57" s="180" t="b">
        <v>0</v>
      </c>
      <c r="CK57" s="180" t="b">
        <v>0</v>
      </c>
      <c r="CL57" s="180" t="b">
        <v>0</v>
      </c>
      <c r="CM57" s="181" t="s">
        <v>1070</v>
      </c>
      <c r="CN57" s="181" t="s">
        <v>1070</v>
      </c>
      <c r="CO57" s="181" t="s">
        <v>1070</v>
      </c>
      <c r="CP57" s="181" t="s">
        <v>1070</v>
      </c>
      <c r="CQ57" s="185" t="s">
        <v>1070</v>
      </c>
      <c r="CR57" s="180" t="b">
        <v>0</v>
      </c>
      <c r="CS57" s="186" t="str">
        <f t="shared" si="14"/>
        <v>◇◇◇</v>
      </c>
      <c r="CT57" s="178" t="b">
        <v>0</v>
      </c>
      <c r="CU57" s="180" t="b">
        <v>0</v>
      </c>
      <c r="CV57" s="180" t="b">
        <v>0</v>
      </c>
      <c r="CW57" s="180" t="b">
        <v>0</v>
      </c>
      <c r="CX57" s="180" t="b">
        <v>0</v>
      </c>
      <c r="CY57" s="180" t="b">
        <v>0</v>
      </c>
      <c r="CZ57" s="180" t="b">
        <v>0</v>
      </c>
      <c r="DA57" s="180" t="b">
        <v>0</v>
      </c>
      <c r="DB57" s="180" t="b">
        <v>0</v>
      </c>
      <c r="DC57" s="180" t="b">
        <v>0</v>
      </c>
      <c r="DD57" s="181" t="s">
        <v>1070</v>
      </c>
      <c r="DE57" s="181" t="s">
        <v>1070</v>
      </c>
      <c r="DF57" s="181" t="s">
        <v>1070</v>
      </c>
      <c r="DG57" s="185" t="s">
        <v>1070</v>
      </c>
      <c r="DH57" s="180" t="b">
        <v>0</v>
      </c>
      <c r="DI57" s="187" t="str">
        <f>IFERROR(__xludf.DUMMYFUNCTION("SWITCH(
  IF(
    ISTEXT(DI56),
    IF (
      FIND(""○"", DI56&amp;""○"") &gt; 3,
      3,
      FIND(""○"", DI56&amp;""○"")
      + MAX(
        ROUNDDOWN(($D57 - MAX(IFERROR(FILTER(D$24:D56, DI$24:DI56 &lt;&gt; ""●●●"", DI$23:DI55 = ""●●●""), 0))) * (60 * 60 * 24) / 20"&amp;") - ROUNDDOWN(($D56 - MAX(IFERROR(FILTER(D$23:D55, DI$23:DI55 &lt;&gt; ""●●●"", DI$22:DI54 = ""●●●""), 0))) * (60 * 60 * 24) / 20),
        0
      ) - 1
    ) - COUNTIFS(CU57, ""=TRUE"", CU56, ""&lt;&gt;TRUE"") - COUNTIF(CZ57, ""=TRUE"") - COUNTIF({DD57,DE57}, ""&lt;&gt;-"&amp;""") + COUNTIF(DH57, ""=TRUE""),
    3
  ),
  0, ""○○○"", 1, ""●○○"", 2, ""●●○"", 3, ""●●●"", 4, ""●●●"", ""○○○""
)"),"●●●")</f>
        <v>●●●</v>
      </c>
      <c r="DJ57" s="188" t="b">
        <v>0</v>
      </c>
      <c r="DK57" s="189" t="b">
        <v>0</v>
      </c>
      <c r="DL57" s="190" t="b">
        <v>0</v>
      </c>
      <c r="DM57" s="190" t="b">
        <v>0</v>
      </c>
      <c r="DN57" s="190" t="b">
        <v>0</v>
      </c>
      <c r="DO57" s="190" t="b">
        <v>0</v>
      </c>
      <c r="DP57" s="190" t="b">
        <v>0</v>
      </c>
      <c r="DQ57" s="191" t="b">
        <v>0</v>
      </c>
      <c r="DR57" s="192" t="b">
        <v>0</v>
      </c>
      <c r="DS57" s="191" t="b">
        <v>0</v>
      </c>
      <c r="DT57" s="192" t="b">
        <v>0</v>
      </c>
      <c r="DU57" s="191" t="b">
        <v>0</v>
      </c>
      <c r="DV57" s="193" t="s">
        <v>1070</v>
      </c>
      <c r="DW57" s="194" t="b">
        <v>0</v>
      </c>
      <c r="DX57" s="194" t="b">
        <v>0</v>
      </c>
      <c r="DY57" s="195" t="b">
        <v>0</v>
      </c>
      <c r="DZ57" s="196" t="b">
        <v>0</v>
      </c>
      <c r="EA57" s="195" t="b">
        <v>0</v>
      </c>
      <c r="EB57" s="197" t="b">
        <v>0</v>
      </c>
      <c r="EC57" s="197" t="b">
        <v>0</v>
      </c>
      <c r="ED57" s="212" t="b">
        <v>0</v>
      </c>
      <c r="EE57" s="199">
        <f>IFERROR(__xludf.DUMMYFUNCTION("IFERROR(
   PRODUCT(
     MAP(
       INDEX(TRANSPOSE(UNIQUE(TRANSPOSE(FILTER({IF($F57=""Physical"", K$10:ED$10, IF($F57=""Magic"", K$11:ED$11, K$12:ED$12));K$4:ED$4;K57:ED57}, K57:ED57=TRUE)))), 1, 0),
       INDEX(TRANSPOSE(UNIQUE(TRANSPOSE(FILTER({IF($"&amp;"F57=""Physical"", K$18:ED$18, IF($F57=""Magic"", K$19:ED$19, K$20:ED$20));K$4:ED$4;K57:ED57}, K57:ED57=TRUE)))), 1, 0),
       INDEX(TRANSPOSE(UNIQUE(TRANSPOSE(FILTER({K$5:ED$5;K$4:ED$4;K57:ED57}, K57:ED57=TRUE)))), 1, 0),
       INDEX(TRANSPOSE(UNIQUE(TR"&amp;"ANSPOSE(FILTER({K$17:ED$17;K$4:ED$4;K57:ED57}, K57:ED57=TRUE)))), 1, 0),
       LAMBDA(
         mitigation,
         enhance,
         assign,
         precondition,
         IF(
           REGEXMATCH(assign, ""RANGE_PARTY|SINGLE_ENEMY|RANGE_ENEMY""),
  "&amp;"         IF(
             OR(ARRAYFORMULA((IF(precondition="""", FALSE, REGEXMATCH(K$4:ED$4, precondition))) * (K57:ED57=TRUE))),
             IF(ISNUMBER(enhance), enhance, 1),
             IF(ISNUMBER(mitigation), mitigation, 1)
           ),
          "&amp;" 1
         )
       )
     )
   ),
   1
 )"),1.0)</f>
        <v>1</v>
      </c>
      <c r="EF57" s="200">
        <f>IFERROR(__xludf.DUMMYFUNCTION("PRODUCT(
   MAP(
     K$14:ED$14,
     K$13:ED$13,
     K57:ED57,
     LAMBDA(
       buff,
       target,
       check,
       IF(
         AND(check=TRUE, REGEXMATCH(target, ""RANGE_AFFECTED_ALL|RANGE_EFFECTED_ALL""), ISNUMBER(buff)),
         buff,
   "&amp;"      1
       )
     )
   )
 )"),1.0)</f>
        <v>1</v>
      </c>
      <c r="EG57" s="200">
        <f>IFERROR(__xludf.DUMMYFUNCTION("PRODUCT(
   MAP(
     K$14:ED$14,
     K$13:ED$13,
     K57:ED57,
     LAMBDA(
       buff,
       target,
       check,
       IF(
         AND(check=TRUE, REGEXMATCH(target, ""RANGE_AFFECTED_GCD|RANGE_EFFECTED_GCD""), ISNUMBER(buff)),
         buff,
   "&amp;"      1
       )
     )
   )
 )"),1.0)</f>
        <v>1</v>
      </c>
      <c r="EH57" s="200">
        <f>IFERROR(__xludf.DUMMYFUNCTION("PRODUCT(
   MAP(
     K$3:ED$3,
     K$14:ED$14,
     K$13:ED$13,
     K57:ED57,
     LAMBDA(
       job,
       buff,
       target,
       check,
       IF(
         AND(check=TRUE, REGEXMATCH(target, ""SELF_EFFECTED_ALL""), ISNUMBER(buff), job=""白魔道士"""&amp;"),
         buff,
         1
       )
     )
   )
 )"),1.0)</f>
        <v>1</v>
      </c>
      <c r="EI57" s="200">
        <f>IFERROR(__xludf.DUMMYFUNCTION("PRODUCT(
   MAP(
     K$3:ED$3,
     K$14:ED$14,
     K$13:ED$13,
     K57:ED57,
     LAMBDA(
       job,
       buff,
       target,
       check,
       IF(
         AND(check=TRUE, REGEXMATCH(target, ""SELF_EFFECTED_GCD""), ISNUMBER(buff), job=""白魔道士"""&amp;"),
         buff,
         1
       )
     )
   )
 )"),1.0)</f>
        <v>1</v>
      </c>
      <c r="EJ57" s="200">
        <f>IFERROR(__xludf.DUMMYFUNCTION("PRODUCT(
   MAP(
     K$3:ED$3,
     K$14:ED$14,
     K$13:ED$13,
     K57:ED57,
     LAMBDA(
       job,
       buff,
       target,
       check,
       IF(
         AND(check=TRUE, REGEXMATCH(target, ""SELF_EFFECTED_ALL""), ISNUMBER(buff), job=""占星術師"""&amp;"),
         buff,
         1
       )
     )
   )
 )"),1.0)</f>
        <v>1</v>
      </c>
      <c r="EK57" s="200">
        <f>IFERROR(__xludf.DUMMYFUNCTION("PRODUCT(
   MAP(
     K$3:ED$3,
     K$14:ED$14,
     K$13:ED$13,
     K57:ED57,
     LAMBDA(
       job,
       buff,
       target,
       check,
       IF(
         AND(check=TRUE, REGEXMATCH(target, ""SELF_EFFECTED_GCD""), ISNUMBER(buff), job=""占星術師"""&amp;"),
         buff,
         1
       )
     )
   )
 )"),1.0)</f>
        <v>1</v>
      </c>
      <c r="EL57" s="200">
        <f>IFERROR(__xludf.DUMMYFUNCTION("PRODUCT(
   MAP(
     K$3:ED$3,
     K$14:ED$14,
     K$13:ED$13,
     K57:ED57,
     LAMBDA(
       job,
       buff,
       target,
       check,
       IF(
         AND(check=TRUE, REGEXMATCH(target, ""SELF_EFFECTED_ALL""), ISNUMBER(buff), job=""学者""),"&amp;"
         buff,
         1
       )
     )
   )
 )"),1.0)</f>
        <v>1</v>
      </c>
      <c r="EM57" s="200">
        <f>IFERROR(__xludf.DUMMYFUNCTION("PRODUCT(
   MAP(
     K$3:ED$3,
     K$14:ED$14,
     K$13:ED$13,
     K57:ED57,
     LAMBDA(
       job,
       buff,
       target,
       check,
       IF(
         AND(check=TRUE, REGEXMATCH(target, ""SELF_EFFECTED_GCD""), ISNUMBER(buff), job=""学者""),"&amp;"
         buff,
         1
       )
     )
   )
 )"),1.0)</f>
        <v>1</v>
      </c>
      <c r="EN57" s="200">
        <f>IFERROR(__xludf.DUMMYFUNCTION("PRODUCT(
   MAP(
     K$3:ED$3,
     K$14:ED$14,
     K$13:ED$13,
     K57:ED57,
     LAMBDA(
       job,
       buff,
       target,
       check,
       IF(
         AND(check=TRUE, REGEXMATCH(target, ""SELF_EFFECTED_ALL""), ISNUMBER(buff), job=""賢者""),"&amp;"
         buff,
         1
       )
     )
   )
 )"),1.0)</f>
        <v>1</v>
      </c>
      <c r="EO57" s="200">
        <f>IFERROR(__xludf.DUMMYFUNCTION("PRODUCT(
   MAP(
     K$3:ED$3,
     K$14:ED$14,
     K$13:ED$13,
     K57:ED57,
     LAMBDA(
       job,
       buff,
       target,
       check,
       IF(
         AND(check=TRUE, REGEXMATCH(target, ""SELF_EFFECTED_GCD""), ISNUMBER(buff), job=""賢者""),"&amp;"
         buff,
         1
       )
     )
   )
 )"),1.0)</f>
        <v>1</v>
      </c>
      <c r="EP57" s="201">
        <f t="shared" si="3"/>
        <v>0</v>
      </c>
      <c r="EQ57" s="201">
        <f>IFERROR(__xludf.DUMMYFUNCTION("SUM(
   MAP(
     K$4:ED$4,
     K$3:ED$3,
     K$7:ED$7,
     K$15:ED$15,
     K$16:ED$16,
     K$21:ED$21,
     K$5:ED$5,
     K$17:ED$17,
     K57:ED57,
     LAMBDA(
       name,
       job,
       abillity,
       buff,
       barrier,
       enhance,"&amp;"
       assign,
       precondition,
       check,
       SWITCH(
         name,
         ""シェイクオフ"", IF(check=TRUE, buff + (0.02 * COUNTIF(ARRAYFORMULA((REGEXMATCH($K$4:$ED$4, ""スリル・オブ・バトル|ヴェンジェンス|原初の血気|ダムネーション"")) * (K57:ED57=TRUE)), 1)), 0),
         "&amp;"""インプロビゼーションフィニッシュ(踊りの激情0)"", IF(ISNUMBER(check), INDEX(Skill!$AJ:$AJ, MATCH(SUBSTITUTE(DV$4, 0, check), Skill!$C:$C, 0)), 0),
         IF(
           AND(check=TRUE, REGEXMATCH(assign, ""RANGE_PARTY"")),
           IF(
             OR(ARRAYFORMULA((IF(pr"&amp;"econdition="""", FALSE, REGEXMATCH($K$4:$ED$4, precondition))) * (K57:ED57=TRUE))),
             enhance,
             IF(barrier="""", buff, barrier)
           ),
           0
         )
       ) *
       SWITCH(
         job,
         ""ナイト"", EY$24,
 "&amp;"        ""戦士"", FD$24,
         ""踊り子"", ET$24,
         ""ピクトマンサー"", ET$24,
         ""白魔道士"", EF57 * EH57 * IF(abillity, 1, EG57 * EI57) * (Option!$D$22 * 0.81 / 100),
         ""占星術師"", EF57 * EJ57 * IF(abillity, 1, EG57 * EK57) * (Option!$D$23 * 0.81 "&amp;"/ 100),
         ""学者"", EF57 * EL57 * IF(abillity, 1, EG57 * EM57) * (Option!$D$24 * 0.81 / 100),
         ""賢者"", EF57 * EN57 * IF(abillity, 1, EG57 * EO57) * (Option!$D$25 * 0.81 / 100),
         1
       )
     )
   )
 )"),0.0)</f>
        <v>0</v>
      </c>
      <c r="ER57" s="202">
        <f t="shared" si="4"/>
        <v>0</v>
      </c>
      <c r="ES57" s="203">
        <f t="shared" si="5"/>
        <v>0</v>
      </c>
      <c r="ET57" s="231" t="str">
        <f>IFERROR(__xludf.DUMMYFUNCTION("IFS(
  EP57 &gt; $ET$24 + EQ57,
  SPARKLINE({ 1, 0 }, {""charttype"",""bar"";""max"", 1;""color1"",Option!$D$30;""color2"",Option!$D$30}),
  EP57 &lt; EQ57,
  SPARKLINE({EQ57 - EP57, $ET$24 - (EQ57 - EP57)}, {""charttype"",""bar"";""max"",$ET$24;""color1"",Opti"&amp;"on!$D$28;""color2"",Option!$D$29}),
  EP57 &gt;= EQ57,
  SPARKLINE({$ET$24 + EQ57 - EP57,EP57 - EQ57}, {""charttype"",""bar"";""max"",$ET$24;""color1"",Option!$D$29;""color2"",Option!$D$30})
)"),"")</f>
        <v/>
      </c>
      <c r="EU57" s="205">
        <f>IFERROR(__xludf.DUMMYFUNCTION("PRODUCT(
   MAP(
     IF($F57=""Physical"", K$10:ED$10, IF($F57=""Magic"", K$11:ED$11, K$12:ED$12)),
     IF($F57=""Physical"", K$18:ED$18, IF($F57=""Magic"", K$19:ED$19, K$20:ED$20)),
     K$3:ED$3,
     K$5:ED$5,
     K$17:ED$17,
     K57:ED57,
     LAM"&amp;"BDA(
       mitigation,
       enhance,
       job,
       assign,
       precondition,
       check,
       IF(
         OR(AND(check=TRUE, REGEXMATCH(assign, ""SELF""), job=""ナイト""), AND(check=Option!$E$13, REGEXMATCH(assign, ""SINGLE_PARTY""))),
      "&amp;"   IF(
           OR(ARRAYFORMULA((IF(precondition="""", FALSE, REGEXMATCH($K$4:$ED$4, precondition))) * (K57:ED57=TRUE))),
           enhance,
           mitigation
         ),
         1
       )
     )
   )
 ) * EE57"),1.0)</f>
        <v>1</v>
      </c>
      <c r="EV57" s="206">
        <f t="shared" si="6"/>
        <v>0</v>
      </c>
      <c r="EW57" s="205">
        <f>IFERROR(__xludf.DUMMYFUNCTION("PRODUCT(
   MAP(
     K$3:ED$3,
     K$14:ED$14,
     K$13:ED$13,
     K57:ED57,
     LAMBDA(
       job,
       buff,
       target,
       check,
       IF(
         OR(AND(check=TRUE, REGEXMATCH(target, ""SELF_AFFECTED_ALL""), job=""ナイト""), AND(check=O"&amp;"ption!$E$13, REGEXMATCH(target, ""SINGLE_AFFECTED_ALL""))),
         buff,
         1
       )
     )
   )
 )"),1.0)</f>
        <v>1</v>
      </c>
      <c r="EX57" s="206">
        <f>IFERROR(__xludf.DUMMYFUNCTION("SUM(
   MAP(
     K$3:ED$3,
     K$7:ED$7,
     K$15:ED$15,
     K$16:ED$16,
     K$21:ED$21,
     K$5:ED$5,
     K$17:ED$17,
     K57:ED57,
     LAMBDA(
       job,
       abillity,
       buff,
       barrier,
       enhance,
       assign,
       preco"&amp;"ndition,
       check,
       IF(
         OR(AND(check=TRUE, REGEXMATCH(assign, ""SELF""), job=""ナイト""), AND(check=Option!$E$13, REGEXMATCH(assign, ""SINGLE_PARTY""))),
         IF(
           OR(ARRAYFORMULA((IF(precondition="""", FALSE, REGEXMATCH($K$4"&amp;":$ED$4, precondition))) * (K57:ED57=TRUE))),
           enhance,
           IF(barrier="""", buff, barrier)
         ),
         0
       ) *
       SWITCH(
         job,
         ""暗黒騎士"", EY$24,
         ""白魔道士"", EF57 * EH57 * EW57 * IF(abillity, 1, EG"&amp;"57 * EI57) * (Option!$D$22 * 0.81 / 100),
         ""占星術師"", EF57 * EJ57 * EW57 * IF(abillity, 1, EG57 * EK57) * (Option!$D$23 * 0.81 / 100),
         ""学者"", EF57 * EL57 * EW57 * IF(abillity, 1, EG57 * EM57) * (Option!$D$24 * 0.81 / 100),
         ""賢者"""&amp;", EF57 * EN57 * EW57 * IF(abillity, 1, EG57 * EO57) * (Option!$D$25 * 0.81 / 100),
         1
       )
     )
   )
 ) + EQ57"),0.0)</f>
        <v>0</v>
      </c>
      <c r="EY57" s="232">
        <f t="shared" si="7"/>
        <v>0</v>
      </c>
      <c r="EZ57" s="205">
        <f>IFERROR(__xludf.DUMMYFUNCTION("PRODUCT(
   MAP(
     IF($F57=""Physical"", K$10:ED$10, IF($F57=""Magic"", K$11:ED$11, K$12:ED$12)),
     IF($F57=""Physical"", K$18:ED$18, IF($F57=""Magic"", K$19:ED$19, K$20:ED$20)),
     K$3:ED$3,
     K$5:ED$5,
     K$17:ED$17,
     K57:ED57,
     LAM"&amp;"BDA(
       mitigation,
       enhance,
       job,
       assign,
       precondition,
       check,
       IF(
         OR(AND(check=TRUE, REGEXMATCH(assign, ""SELF""), job=""戦士""), AND(check=Option!$F$13, REGEXMATCH(assign, ""SINGLE_PARTY""))),
       "&amp;"  IF(
           OR(ARRAYFORMULA((IF(precondition="""", FALSE, REGEXMATCH($K$4:$ED$4, precondition))) * (K57:ED57=TRUE))),
           enhance,
           mitigation
         ),
         1
       )
     )
   )
 ) * EE57"),1.0)</f>
        <v>1</v>
      </c>
      <c r="FA57" s="206">
        <f t="shared" si="8"/>
        <v>0</v>
      </c>
      <c r="FB57" s="205">
        <f>IFERROR(__xludf.DUMMYFUNCTION("PRODUCT(
   MAP(
     K$3:ED$3,
     K$14:ED$14,
     K$13:ED$13,
     K57:ED57,
     LAMBDA(
       job,
       buff,
       target,
       check,
       IF(
         OR(AND(check=TRUE, REGEXMATCH(target, ""SELF_AFFECTED_ALL""), job=""戦士""), AND(check=Op"&amp;"tion!$F$13, REGEXMATCH(target, ""SINGLE_AFFECTED_ALL""))),
         buff,
         1
       )
     )
   )
 )"),1.0)</f>
        <v>1</v>
      </c>
      <c r="FC57" s="206">
        <f>IFERROR(__xludf.DUMMYFUNCTION("SUM(
   MAP(
     K$3:ED$3,
     K$7:ED$7,
     K$15:ED$15,
     K$16:ED$16,
     K$21:ED$21,
     K$5:ED$5,
     K$17:ED$17,
     K57:ED57,
     LAMBDA(
       job,
       abillity,
       buff,
       barrier,
       enhance,
       assign,
       preco"&amp;"ndition,
       check,
       IF(
         OR(AND(check=TRUE, REGEXMATCH(assign, ""SELF""), job=""戦士""), AND(check=Option!$F$13, REGEXMATCH(assign, ""SINGLE_PARTY""))),
         IF(
           OR(ARRAYFORMULA((IF(precondition="""", FALSE, REGEXMATCH($K$4:"&amp;"$ED$4, precondition))) * (K57:ED57=TRUE))),
           enhance,
           IF(barrier="""", buff, barrier)
         ),
         0
       ) *
       SWITCH(
         job,
         ""暗黒騎士"", FD$24,
         ""白魔道士"", EF57 * EH57 * FB57 * IF(abillity, 1, EG5"&amp;"7 * EI57) * (Option!$D$22 * 0.81 / 100),
         ""占星術師"", EF57 * EJ57 * FFB57 * IF(abillity, 1, EG57 * EK57) * (Option!$D$23 * 0.81 / 100),
         ""学者"", EF57 * EL57 * FB57 * IF(abillity, 1, EG57 * EM57) * (Option!$D$24 * 0.81 / 100),
         ""賢者"""&amp;", EF57 * EN57 * FB57 * IF(abillity, 1, EG57 * EO57) * (Option!$D$25 * 0.81 / 100),
         1
       )
     )
   )
 ) + EQ57"),0.0)</f>
        <v>0</v>
      </c>
      <c r="FD57" s="206">
        <f t="shared" si="9"/>
        <v>0</v>
      </c>
      <c r="FE57" s="205">
        <f>IFERROR(__xludf.DUMMYFUNCTION("PRODUCT(
   MAP(
     IF($F57=""Physical"", K$10:ED$10, IF($F57=""Magic"", K$11:ED$11, K$12:ED$12)),
     IF($F57=""Physical"", K$18:ED$18, IF($F57=""Magic"", K$19:ED$19, K$20:ED$20)),
     K$3:ED$3,
     K$5:ED$5,
     K$17:ED$17,
     K57:ED57,
     LAM"&amp;"BDA(
       mitigation,
       enhance,
       job,
       assign,
       precondition,
       check,
       IF(
         OR(AND(check=TRUE, REGEXMATCH(assign, ""SELF""), job=""暗黒騎士""), AND(check=Option!$G$13, REGEXMATCH(assign, ""SINGLE_PARTY""))),
     "&amp;"    IF(
           OR(ARRAYFORMULA((IF(precondition="""", FALSE, REGEXMATCH($K$4:$ED$4, precondition))) * (K57:ED57=TRUE))),
           enhance,
           mitigation
         ),
         1
       )
     )
   )
 ) * EE57"),1.0)</f>
        <v>1</v>
      </c>
      <c r="FF57" s="206">
        <f t="shared" si="10"/>
        <v>0</v>
      </c>
      <c r="FG57" s="205">
        <f>IFERROR(__xludf.DUMMYFUNCTION("PRODUCT(
   MAP(
     K$3:ED$3,
     K$14:ED$14,
     K$13:ED$13,
     K57:ED57,
     LAMBDA(
       job,
       buff,
       target,
       check,
       IF(
         OR(AND(check=TRUE, REGEXMATCH(target, ""SELF_AFFECTED_ALL""), job=""暗黒騎士""), AND(check="&amp;"Option!$G$13, REGEXMATCH(target, ""SINGLE_AFFECTED_ALL""))),
         buff,
         1
       )
     )
   )
 )"),1.0)</f>
        <v>1</v>
      </c>
      <c r="FH57" s="206">
        <f>IFERROR(__xludf.DUMMYFUNCTION("SUM(
   MAP(
     K$3:ED$3,
     K$7:ED$7,
     K$15:ED$15,
     K$16:ED$16,
     K$21:ED$21,
     K$5:ED$5,
     K$17:ED$17,
     K57:ED57,
     LAMBDA(
       job,
       abillity,
       buff,
       barrier,
       enhance,
       assign,
       preco"&amp;"ndition,
       check,
       IF(
         OR(AND(check=TRUE, REGEXMATCH(assign, ""SELF""), job=""暗黒騎士""), AND(check=Option!$G$13, REGEXMATCH(assign, ""SINGLE_PARTY""))),
         IF(
           OR(ARRAYFORMULA((IF(precondition="""", FALSE, REGEXMATCH($K$"&amp;"4:$ED$4, precondition))) * (K57:ED57=TRUE))),
           enhance,
           IF(barrier="""", buff, barrier)
         ),
         0
       ) *
       SWITCH(
         job,
         ""暗黒騎士"", FI$24,
         ""白魔道士"", EF57 * EH57 * FG57 * IF(abillity, 1, E"&amp;"G57 * EI57) * (Option!$D$22 * 0.81 / 100),
         ""占星術師"", EF57 * EJ57 * FG57 * IF(abillity, 1, EG57 * EK57) * (Option!$D$23 * 0.81 / 100),
         ""学者"", EF57 * EL57 * FG57 * IF(abillity, 1, EG57 * EM57) * (Option!$D$24 * 0.81 / 100),
         ""賢者"&amp;""", EF57 * EN57 * FG57 * IF(abillity, 1, EG57 * EO57) * (Option!$D$25 * 0.81 / 100),
         1
       )
     )
   )
 ) + EQ57"),0.0)</f>
        <v>0</v>
      </c>
      <c r="FI57" s="206">
        <f t="shared" si="11"/>
        <v>0</v>
      </c>
      <c r="FJ57" s="205">
        <f>IFERROR(__xludf.DUMMYFUNCTION("PRODUCT(
   MAP(
     IF($F57=""Physical"", K$10:ED$10, IF($F57=""Magic"", K$11:ED$11, K$12:ED$12)),
     IF($F57=""Physical"", K$18:ED$18, IF($F57=""Magic"", K$19:ED$19, K$20:ED$20)),
     K$3:ED$3,
     K$5:ED$5,
     K$17:ED$17,
     K57:ED57,
     LAM"&amp;"BDA(
       mitigation,
       enhance,
       job,
       assign,
       precondition,
       check,
       IF(
         OR(AND(check=TRUE, REGEXMATCH(assign, ""SELF""), job=""ガンブレイカー""), AND(check=Option!$H$13, REGEXMATCH(assign, ""SINGLE_PARTY""))),
  "&amp;"       IF(
           OR(ARRAYFORMULA((IF(precondition="""", FALSE, REGEXMATCH($K$4:$ED$4, precondition))) * (K57:ED57=TRUE))),
           enhance,
           mitigation
         ),
         1
       )
     )
   )
 ) * EE57"),1.0)</f>
        <v>1</v>
      </c>
      <c r="FK57" s="206">
        <f t="shared" si="12"/>
        <v>0</v>
      </c>
      <c r="FL57" s="205">
        <f>IFERROR(__xludf.DUMMYFUNCTION("PRODUCT(
   MAP(
     K$3:ED$3,
     K$14:ED$14,
     K$13:ED$13,
     K57:ED57,
     LAMBDA(
       job,
       buff,
       target,
       check,
       IF(
         OR(AND(check=TRUE, REGEXMATCH(target, ""SELF_AFFECTED_ALL""), job=""ガンブレイカー""), AND(che"&amp;"ck=Option!$H$13, REGEXMATCH(target, ""SINGLE_AFFECTED_ALL""))),
         buff,
         1
       )
     )
   )
 )"),1.0)</f>
        <v>1</v>
      </c>
      <c r="FM57" s="206">
        <f>IFERROR(__xludf.DUMMYFUNCTION("SUM(
   MAP(
     K$3:ED$3,
     K$7:ED$7,
     K$15:ED$15,
     K$16:ED$16,
     K$21:ED$21,
     K$5:ED$5,
     K$17:ED$17,
     K57:ED57,
     LAMBDA(
       job,
       abillity,
       buff,
       barrier,
       enhance,
       assign,
       preco"&amp;"ndition,
       check,
       IF(
         OR(AND(check=TRUE, REGEXMATCH(assign, ""SELF""), job=""ガンブレイカー""), AND(check=Option!$H$13, REGEXMATCH(assign, ""SINGLE_PARTY""))),
         IF(
           OR(ARRAYFORMULA((IF(precondition="""", FALSE, REGEXMATCH("&amp;"$K$4:$ED$4, precondition))) * (K57:ED57=TRUE))),
           enhance,
           IF(barrier="""", buff, barrier)
         ),
         0
       ) *
       SWITCH(
         job,
         ""暗黒騎士"", FN$24,
         ""白魔道士"", EF57 * EH57 * FL57 * IF(abillity, 1"&amp;", EG57 * EI57) * (Option!$D$22 * 0.81 / 100),
         ""占星術師"", EF57 * EJ57 * FL57 * IF(abillity, 1, EG57 * EK57) * (Option!$D$23 * 0.81 / 100),
         ""学者"", EF57 * EL57 * FL57 * IF(abillity, 1, EG57 * EM57) * (Option!$D$24 * 0.81 / 100),
         """&amp;"賢者"", EF57 * EN57 * FL57 * IF(abillity, 1, EG57 * EO57) * (Option!$D$25 * 0.81 / 100),
         1
       )
     )
   )
 ) + EQ57"),0.0)</f>
        <v>0</v>
      </c>
      <c r="FN57" s="206">
        <f t="shared" si="13"/>
        <v>0</v>
      </c>
      <c r="FO57" s="213"/>
    </row>
    <row r="58">
      <c r="B58" s="229"/>
      <c r="C58" s="217">
        <f t="shared" si="1"/>
        <v>0.00380787037</v>
      </c>
      <c r="D58" s="236"/>
      <c r="E58" s="238"/>
      <c r="F58" s="167"/>
      <c r="G58" s="168" t="str">
        <f t="shared" si="2"/>
        <v/>
      </c>
      <c r="H58" s="169"/>
      <c r="I58" s="169"/>
      <c r="J58" s="169"/>
      <c r="K58" s="170" t="b">
        <v>0</v>
      </c>
      <c r="L58" s="170" t="b">
        <v>0</v>
      </c>
      <c r="M58" s="170" t="b">
        <v>0</v>
      </c>
      <c r="N58" s="171" t="s">
        <v>1070</v>
      </c>
      <c r="O58" s="172" t="b">
        <v>0</v>
      </c>
      <c r="P58" s="173" t="b">
        <v>0</v>
      </c>
      <c r="Q58" s="173" t="b">
        <v>0</v>
      </c>
      <c r="R58" s="173" t="b">
        <v>0</v>
      </c>
      <c r="S58" s="174" t="b">
        <v>0</v>
      </c>
      <c r="T58" s="175" t="b">
        <v>0</v>
      </c>
      <c r="U58" s="173" t="b">
        <v>0</v>
      </c>
      <c r="V58" s="171" t="s">
        <v>1070</v>
      </c>
      <c r="W58" s="172" t="b">
        <v>0</v>
      </c>
      <c r="X58" s="173" t="b">
        <v>0</v>
      </c>
      <c r="Y58" s="173" t="b">
        <v>0</v>
      </c>
      <c r="Z58" s="173" t="b">
        <v>0</v>
      </c>
      <c r="AA58" s="174" t="b">
        <v>0</v>
      </c>
      <c r="AB58" s="174" t="b">
        <v>0</v>
      </c>
      <c r="AC58" s="175" t="b">
        <v>0</v>
      </c>
      <c r="AD58" s="173" t="b">
        <v>0</v>
      </c>
      <c r="AE58" s="176" t="s">
        <v>1070</v>
      </c>
      <c r="AF58" s="171" t="s">
        <v>1070</v>
      </c>
      <c r="AG58" s="177">
        <f>IFERROR(__xludf.DUMMYFUNCTION("IF(
  ISNUMBER(AG57),
  MIN(MAX(
    AG57
    + MAX(
      ROUNDDOWN(($D58 - MAX(IFERROR(FILTER($D$24:$D57, AG$24:AG57 &lt;&gt; AF$6, AG$23:AG56 = AF$6), 0))) * (60 * 60 * 24) / AF$9) - ROUNDDOWN(($D57 - MAX(IFERROR(FILTER($D$23:$D56, AG$23:AG56 &lt;&gt; AF$6, AG$22:"&amp;"AG55 = AF$6), 0))) * (60 * 60 * 24) / 60),
      0
    )
    - COUNTIF(AF58, ""&lt;&gt;-""),
  0), AF$6),
  AF$6 - COUNTIF(AF58, ""&lt;&gt;-"")
)"),2.0)</f>
        <v>2</v>
      </c>
      <c r="AH58" s="173" t="b">
        <v>0</v>
      </c>
      <c r="AI58" s="173" t="b">
        <v>0</v>
      </c>
      <c r="AJ58" s="173" t="b">
        <v>0</v>
      </c>
      <c r="AK58" s="174" t="b">
        <v>0</v>
      </c>
      <c r="AL58" s="175" t="b">
        <v>0</v>
      </c>
      <c r="AM58" s="173" t="b">
        <v>0</v>
      </c>
      <c r="AN58" s="171" t="s">
        <v>1070</v>
      </c>
      <c r="AO58" s="173" t="b">
        <v>0</v>
      </c>
      <c r="AP58" s="173" t="b">
        <v>0</v>
      </c>
      <c r="AQ58" s="173" t="b">
        <v>0</v>
      </c>
      <c r="AR58" s="174" t="b">
        <v>0</v>
      </c>
      <c r="AS58" s="178" t="b">
        <v>0</v>
      </c>
      <c r="AT58" s="179" t="b">
        <v>0</v>
      </c>
      <c r="AU58" s="180" t="b">
        <v>0</v>
      </c>
      <c r="AV58" s="180" t="b">
        <v>0</v>
      </c>
      <c r="AW58" s="180" t="b">
        <v>0</v>
      </c>
      <c r="AX58" s="180" t="b">
        <v>0</v>
      </c>
      <c r="AY58" s="181" t="s">
        <v>1070</v>
      </c>
      <c r="AZ58" s="181" t="s">
        <v>1070</v>
      </c>
      <c r="BA58" s="184">
        <f>IFERROR(__xludf.DUMMYFUNCTION("IF(
  ISNUMBER(BA57),
  MIN(MAX(
    BA57
    + MAX(
      ROUNDDOWN((D58 - MAX(IFERROR(FILTER(D$24:D57, BA$24:BA57 &lt;&gt; AZ$6, BA$23:BA56 = AZ$6), 0))) * (60 * 60 * 24) / AZ$9) - ROUNDDOWN((D57 - MAX(IFERROR(FILTER(D$23:D56, BA$23:BA56 &lt;&gt; AZ$6, BA$22:BA55 ="&amp;" AZ$6), 0))) * (60 * 60 * 24) / AZ$9),
      0
    )
    - COUNTIF(AZ58, ""&lt;&gt;-""),
  0), AZ$6),
  AZ$6 - COUNTIF(AZ58, ""&lt;&gt;-"")
)"),2.0)</f>
        <v>2</v>
      </c>
      <c r="BB58" s="181" t="s">
        <v>1070</v>
      </c>
      <c r="BC58" s="183">
        <f>IFERROR(__xludf.DUMMYFUNCTION("IF(
  ISNUMBER(BC57),
  MIN(MAX(
    BC57
    + MAX(
      ROUNDDOWN(($D58 - MAX(IFERROR(FILTER($D$24:$D57, BC$24:BC57 &lt;&gt; BB$6, BC$23:BC56 = BB$6), 0))) * (60 * 60 * 24) / BB$9) - ROUNDDOWN(($D57 - MAX(IFERROR(FILTER($D$23:$D56, BC$23:BC56 &lt;&gt; BB$6, BC$22:"&amp;"BC55 = BB$6), 0))) * (60 * 60 * 24) / 60),
      0
    )
    - COUNTIF(BB58, ""&lt;&gt;-""),
  0), BB$6),
  BB$6 - COUNTIF(BB58, ""&lt;&gt;-"")
)"),2.0)</f>
        <v>2</v>
      </c>
      <c r="BD58" s="181" t="s">
        <v>1070</v>
      </c>
      <c r="BE58" s="178" t="b">
        <v>0</v>
      </c>
      <c r="BF58" s="180" t="b">
        <v>0</v>
      </c>
      <c r="BG58" s="180" t="b">
        <v>0</v>
      </c>
      <c r="BH58" s="180" t="b">
        <v>0</v>
      </c>
      <c r="BI58" s="180" t="b">
        <v>0</v>
      </c>
      <c r="BJ58" s="180" t="b">
        <v>0</v>
      </c>
      <c r="BK58" s="180" t="b">
        <v>0</v>
      </c>
      <c r="BL58" s="180" t="b">
        <v>0</v>
      </c>
      <c r="BM58" s="180" t="b">
        <v>0</v>
      </c>
      <c r="BN58" s="180" t="b">
        <v>0</v>
      </c>
      <c r="BO58" s="181" t="s">
        <v>1070</v>
      </c>
      <c r="BP58" s="181" t="s">
        <v>1070</v>
      </c>
      <c r="BQ58" s="181" t="s">
        <v>1070</v>
      </c>
      <c r="BR58" s="181" t="s">
        <v>1070</v>
      </c>
      <c r="BS58" s="181" t="s">
        <v>1070</v>
      </c>
      <c r="BT58" s="184">
        <f>IFERROR(__xludf.DUMMYFUNCTION("IF(
  ISNUMBER(BT57),
  MIN(MAX(
    BT57
    + MAX(
      ROUNDDOWN((D58 - MAX(IFERROR(FILTER(D$24:D57, BT$24:BT57 &lt;&gt; BS$6, BT$23:BT56 = BS$6), 0))) * (60 * 60 * 24) / BS$9) - ROUNDDOWN((D57 - MAX(IFERROR(FILTER(D$23:D56, BT$23:BT56 &lt;&gt; BS$6, BT$22:BT55 ="&amp;" BS$6), 0))) * (60 * 60 * 24) / BS$9),
      0
    )
    - COUNTIF(BS58, ""&lt;&gt;-""),
  0), BS$6),
  BS$6 - COUNTIF(BS58, ""&lt;&gt;-"")
)"),3.0)</f>
        <v>3</v>
      </c>
      <c r="BU58" s="181" t="s">
        <v>1070</v>
      </c>
      <c r="BV58" s="181" t="s">
        <v>1070</v>
      </c>
      <c r="BW58" s="184">
        <f>IFERROR(__xludf.DUMMYFUNCTION("IF(
  ISNUMBER(BW57),
  MIN(MAX(
    BW57
    + MAX(
      ROUNDDOWN((D58 - MAX(IFERROR(FILTER(D$24:D57, BW$24:BW57 &lt;&gt; BV$6, BW$23:BW56 = BV$6), 0))) * (60 * 60 * 24) / BV$9) - ROUNDDOWN((D57 - MAX(IFERROR(FILTER(D$23:D56, BW$23:BW56 &lt;&gt; BV$6, BW$22:BW55 ="&amp;" BV$6), 0))) * (60 * 60 * 24) / BV$9),
      0
    )
    - COUNTIF(BV58, ""&lt;&gt;-""),
  0), BV$6),
  BV$6 - COUNTIF(BV58, ""&lt;&gt;-"")
)"),2.0)</f>
        <v>2</v>
      </c>
      <c r="BX58" s="185" t="s">
        <v>1070</v>
      </c>
      <c r="BY58" s="178" t="b">
        <v>0</v>
      </c>
      <c r="BZ58" s="180" t="b">
        <v>0</v>
      </c>
      <c r="CA58" s="180" t="b">
        <v>0</v>
      </c>
      <c r="CB58" s="180" t="b">
        <v>0</v>
      </c>
      <c r="CC58" s="180" t="b">
        <v>0</v>
      </c>
      <c r="CD58" s="180" t="b">
        <v>0</v>
      </c>
      <c r="CE58" s="180" t="b">
        <v>0</v>
      </c>
      <c r="CF58" s="180" t="b">
        <v>0</v>
      </c>
      <c r="CG58" s="180" t="b">
        <v>0</v>
      </c>
      <c r="CH58" s="180" t="b">
        <v>0</v>
      </c>
      <c r="CI58" s="180" t="b">
        <v>0</v>
      </c>
      <c r="CJ58" s="180" t="b">
        <v>0</v>
      </c>
      <c r="CK58" s="180" t="b">
        <v>0</v>
      </c>
      <c r="CL58" s="180" t="b">
        <v>0</v>
      </c>
      <c r="CM58" s="181" t="s">
        <v>1070</v>
      </c>
      <c r="CN58" s="181" t="s">
        <v>1070</v>
      </c>
      <c r="CO58" s="181" t="s">
        <v>1070</v>
      </c>
      <c r="CP58" s="181" t="s">
        <v>1070</v>
      </c>
      <c r="CQ58" s="185" t="s">
        <v>1070</v>
      </c>
      <c r="CR58" s="180" t="b">
        <v>0</v>
      </c>
      <c r="CS58" s="186" t="str">
        <f t="shared" si="14"/>
        <v>◇◇◇</v>
      </c>
      <c r="CT58" s="178" t="b">
        <v>0</v>
      </c>
      <c r="CU58" s="180" t="b">
        <v>0</v>
      </c>
      <c r="CV58" s="180" t="b">
        <v>0</v>
      </c>
      <c r="CW58" s="180" t="b">
        <v>0</v>
      </c>
      <c r="CX58" s="180" t="b">
        <v>0</v>
      </c>
      <c r="CY58" s="180" t="b">
        <v>0</v>
      </c>
      <c r="CZ58" s="180" t="b">
        <v>0</v>
      </c>
      <c r="DA58" s="180" t="b">
        <v>0</v>
      </c>
      <c r="DB58" s="180" t="b">
        <v>0</v>
      </c>
      <c r="DC58" s="180" t="b">
        <v>0</v>
      </c>
      <c r="DD58" s="181" t="s">
        <v>1070</v>
      </c>
      <c r="DE58" s="181" t="s">
        <v>1070</v>
      </c>
      <c r="DF58" s="181" t="s">
        <v>1070</v>
      </c>
      <c r="DG58" s="185" t="s">
        <v>1070</v>
      </c>
      <c r="DH58" s="180" t="b">
        <v>0</v>
      </c>
      <c r="DI58" s="187" t="str">
        <f>IFERROR(__xludf.DUMMYFUNCTION("SWITCH(
  IF(
    ISTEXT(DI57),
    IF (
      FIND(""○"", DI57&amp;""○"") &gt; 3,
      3,
      FIND(""○"", DI57&amp;""○"")
      + MAX(
        ROUNDDOWN(($D58 - MAX(IFERROR(FILTER(D$24:D57, DI$24:DI57 &lt;&gt; ""●●●"", DI$23:DI56 = ""●●●""), 0))) * (60 * 60 * 24) / 20"&amp;") - ROUNDDOWN(($D57 - MAX(IFERROR(FILTER(D$23:D56, DI$23:DI56 &lt;&gt; ""●●●"", DI$22:DI55 = ""●●●""), 0))) * (60 * 60 * 24) / 20),
        0
      ) - 1
    ) - COUNTIFS(CU58, ""=TRUE"", CU57, ""&lt;&gt;TRUE"") - COUNTIF(CZ58, ""=TRUE"") - COUNTIF({DD58,DE58}, ""&lt;&gt;-"&amp;""") + COUNTIF(DH58, ""=TRUE""),
    3
  ),
  0, ""○○○"", 1, ""●○○"", 2, ""●●○"", 3, ""●●●"", 4, ""●●●"", ""○○○""
)"),"●●●")</f>
        <v>●●●</v>
      </c>
      <c r="DJ58" s="188" t="b">
        <v>0</v>
      </c>
      <c r="DK58" s="189" t="b">
        <v>0</v>
      </c>
      <c r="DL58" s="190" t="b">
        <v>0</v>
      </c>
      <c r="DM58" s="190" t="b">
        <v>0</v>
      </c>
      <c r="DN58" s="190" t="b">
        <v>0</v>
      </c>
      <c r="DO58" s="190" t="b">
        <v>0</v>
      </c>
      <c r="DP58" s="190" t="b">
        <v>0</v>
      </c>
      <c r="DQ58" s="191" t="b">
        <v>0</v>
      </c>
      <c r="DR58" s="192" t="b">
        <v>0</v>
      </c>
      <c r="DS58" s="191" t="b">
        <v>0</v>
      </c>
      <c r="DT58" s="192" t="b">
        <v>0</v>
      </c>
      <c r="DU58" s="191" t="b">
        <v>0</v>
      </c>
      <c r="DV58" s="193" t="s">
        <v>1070</v>
      </c>
      <c r="DW58" s="194" t="b">
        <v>0</v>
      </c>
      <c r="DX58" s="194" t="b">
        <v>0</v>
      </c>
      <c r="DY58" s="195" t="b">
        <v>0</v>
      </c>
      <c r="DZ58" s="196" t="b">
        <v>0</v>
      </c>
      <c r="EA58" s="195" t="b">
        <v>0</v>
      </c>
      <c r="EB58" s="197" t="b">
        <v>0</v>
      </c>
      <c r="EC58" s="197" t="b">
        <v>0</v>
      </c>
      <c r="ED58" s="212" t="b">
        <v>0</v>
      </c>
      <c r="EE58" s="199">
        <f>IFERROR(__xludf.DUMMYFUNCTION("IFERROR(
   PRODUCT(
     MAP(
       INDEX(TRANSPOSE(UNIQUE(TRANSPOSE(FILTER({IF($F58=""Physical"", K$10:ED$10, IF($F58=""Magic"", K$11:ED$11, K$12:ED$12));K$4:ED$4;K58:ED58}, K58:ED58=TRUE)))), 1, 0),
       INDEX(TRANSPOSE(UNIQUE(TRANSPOSE(FILTER({IF($"&amp;"F58=""Physical"", K$18:ED$18, IF($F58=""Magic"", K$19:ED$19, K$20:ED$20));K$4:ED$4;K58:ED58}, K58:ED58=TRUE)))), 1, 0),
       INDEX(TRANSPOSE(UNIQUE(TRANSPOSE(FILTER({K$5:ED$5;K$4:ED$4;K58:ED58}, K58:ED58=TRUE)))), 1, 0),
       INDEX(TRANSPOSE(UNIQUE(TR"&amp;"ANSPOSE(FILTER({K$17:ED$17;K$4:ED$4;K58:ED58}, K58:ED58=TRUE)))), 1, 0),
       LAMBDA(
         mitigation,
         enhance,
         assign,
         precondition,
         IF(
           REGEXMATCH(assign, ""RANGE_PARTY|SINGLE_ENEMY|RANGE_ENEMY""),
  "&amp;"         IF(
             OR(ARRAYFORMULA((IF(precondition="""", FALSE, REGEXMATCH(K$4:ED$4, precondition))) * (K58:ED58=TRUE))),
             IF(ISNUMBER(enhance), enhance, 1),
             IF(ISNUMBER(mitigation), mitigation, 1)
           ),
          "&amp;" 1
         )
       )
     )
   ),
   1
 )"),1.0)</f>
        <v>1</v>
      </c>
      <c r="EF58" s="200">
        <f>IFERROR(__xludf.DUMMYFUNCTION("PRODUCT(
   MAP(
     K$14:ED$14,
     K$13:ED$13,
     K58:ED58,
     LAMBDA(
       buff,
       target,
       check,
       IF(
         AND(check=TRUE, REGEXMATCH(target, ""RANGE_AFFECTED_ALL|RANGE_EFFECTED_ALL""), ISNUMBER(buff)),
         buff,
   "&amp;"      1
       )
     )
   )
 )"),1.0)</f>
        <v>1</v>
      </c>
      <c r="EG58" s="200">
        <f>IFERROR(__xludf.DUMMYFUNCTION("PRODUCT(
   MAP(
     K$14:ED$14,
     K$13:ED$13,
     K58:ED58,
     LAMBDA(
       buff,
       target,
       check,
       IF(
         AND(check=TRUE, REGEXMATCH(target, ""RANGE_AFFECTED_GCD|RANGE_EFFECTED_GCD""), ISNUMBER(buff)),
         buff,
   "&amp;"      1
       )
     )
   )
 )"),1.0)</f>
        <v>1</v>
      </c>
      <c r="EH58" s="200">
        <f>IFERROR(__xludf.DUMMYFUNCTION("PRODUCT(
   MAP(
     K$3:ED$3,
     K$14:ED$14,
     K$13:ED$13,
     K58:ED58,
     LAMBDA(
       job,
       buff,
       target,
       check,
       IF(
         AND(check=TRUE, REGEXMATCH(target, ""SELF_EFFECTED_ALL""), ISNUMBER(buff), job=""白魔道士"""&amp;"),
         buff,
         1
       )
     )
   )
 )"),1.0)</f>
        <v>1</v>
      </c>
      <c r="EI58" s="200">
        <f>IFERROR(__xludf.DUMMYFUNCTION("PRODUCT(
   MAP(
     K$3:ED$3,
     K$14:ED$14,
     K$13:ED$13,
     K58:ED58,
     LAMBDA(
       job,
       buff,
       target,
       check,
       IF(
         AND(check=TRUE, REGEXMATCH(target, ""SELF_EFFECTED_GCD""), ISNUMBER(buff), job=""白魔道士"""&amp;"),
         buff,
         1
       )
     )
   )
 )"),1.0)</f>
        <v>1</v>
      </c>
      <c r="EJ58" s="200">
        <f>IFERROR(__xludf.DUMMYFUNCTION("PRODUCT(
   MAP(
     K$3:ED$3,
     K$14:ED$14,
     K$13:ED$13,
     K58:ED58,
     LAMBDA(
       job,
       buff,
       target,
       check,
       IF(
         AND(check=TRUE, REGEXMATCH(target, ""SELF_EFFECTED_ALL""), ISNUMBER(buff), job=""占星術師"""&amp;"),
         buff,
         1
       )
     )
   )
 )"),1.0)</f>
        <v>1</v>
      </c>
      <c r="EK58" s="200">
        <f>IFERROR(__xludf.DUMMYFUNCTION("PRODUCT(
   MAP(
     K$3:ED$3,
     K$14:ED$14,
     K$13:ED$13,
     K58:ED58,
     LAMBDA(
       job,
       buff,
       target,
       check,
       IF(
         AND(check=TRUE, REGEXMATCH(target, ""SELF_EFFECTED_GCD""), ISNUMBER(buff), job=""占星術師"""&amp;"),
         buff,
         1
       )
     )
   )
 )"),1.0)</f>
        <v>1</v>
      </c>
      <c r="EL58" s="200">
        <f>IFERROR(__xludf.DUMMYFUNCTION("PRODUCT(
   MAP(
     K$3:ED$3,
     K$14:ED$14,
     K$13:ED$13,
     K58:ED58,
     LAMBDA(
       job,
       buff,
       target,
       check,
       IF(
         AND(check=TRUE, REGEXMATCH(target, ""SELF_EFFECTED_ALL""), ISNUMBER(buff), job=""学者""),"&amp;"
         buff,
         1
       )
     )
   )
 )"),1.0)</f>
        <v>1</v>
      </c>
      <c r="EM58" s="200">
        <f>IFERROR(__xludf.DUMMYFUNCTION("PRODUCT(
   MAP(
     K$3:ED$3,
     K$14:ED$14,
     K$13:ED$13,
     K58:ED58,
     LAMBDA(
       job,
       buff,
       target,
       check,
       IF(
         AND(check=TRUE, REGEXMATCH(target, ""SELF_EFFECTED_GCD""), ISNUMBER(buff), job=""学者""),"&amp;"
         buff,
         1
       )
     )
   )
 )"),1.0)</f>
        <v>1</v>
      </c>
      <c r="EN58" s="200">
        <f>IFERROR(__xludf.DUMMYFUNCTION("PRODUCT(
   MAP(
     K$3:ED$3,
     K$14:ED$14,
     K$13:ED$13,
     K58:ED58,
     LAMBDA(
       job,
       buff,
       target,
       check,
       IF(
         AND(check=TRUE, REGEXMATCH(target, ""SELF_EFFECTED_ALL""), ISNUMBER(buff), job=""賢者""),"&amp;"
         buff,
         1
       )
     )
   )
 )"),1.0)</f>
        <v>1</v>
      </c>
      <c r="EO58" s="200">
        <f>IFERROR(__xludf.DUMMYFUNCTION("PRODUCT(
   MAP(
     K$3:ED$3,
     K$14:ED$14,
     K$13:ED$13,
     K58:ED58,
     LAMBDA(
       job,
       buff,
       target,
       check,
       IF(
         AND(check=TRUE, REGEXMATCH(target, ""SELF_EFFECTED_GCD""), ISNUMBER(buff), job=""賢者""),"&amp;"
         buff,
         1
       )
     )
   )
 )"),1.0)</f>
        <v>1</v>
      </c>
      <c r="EP58" s="201">
        <f t="shared" si="3"/>
        <v>0</v>
      </c>
      <c r="EQ58" s="201">
        <f>IFERROR(__xludf.DUMMYFUNCTION("SUM(
   MAP(
     K$4:ED$4,
     K$3:ED$3,
     K$7:ED$7,
     K$15:ED$15,
     K$16:ED$16,
     K$21:ED$21,
     K$5:ED$5,
     K$17:ED$17,
     K58:ED58,
     LAMBDA(
       name,
       job,
       abillity,
       buff,
       barrier,
       enhance,"&amp;"
       assign,
       precondition,
       check,
       SWITCH(
         name,
         ""シェイクオフ"", IF(check=TRUE, buff + (0.02 * COUNTIF(ARRAYFORMULA((REGEXMATCH($K$4:$ED$4, ""スリル・オブ・バトル|ヴェンジェンス|原初の血気|ダムネーション"")) * (K58:ED58=TRUE)), 1)), 0),
         "&amp;"""インプロビゼーションフィニッシュ(踊りの激情0)"", IF(ISNUMBER(check), INDEX(Skill!$AJ:$AJ, MATCH(SUBSTITUTE(DV$4, 0, check), Skill!$C:$C, 0)), 0),
         IF(
           AND(check=TRUE, REGEXMATCH(assign, ""RANGE_PARTY"")),
           IF(
             OR(ARRAYFORMULA((IF(pr"&amp;"econdition="""", FALSE, REGEXMATCH($K$4:$ED$4, precondition))) * (K58:ED58=TRUE))),
             enhance,
             IF(barrier="""", buff, barrier)
           ),
           0
         )
       ) *
       SWITCH(
         job,
         ""ナイト"", EY$24,
 "&amp;"        ""戦士"", FD$24,
         ""踊り子"", ET$24,
         ""ピクトマンサー"", ET$24,
         ""白魔道士"", EF58 * EH58 * IF(abillity, 1, EG58 * EI58) * (Option!$D$22 * 0.81 / 100),
         ""占星術師"", EF58 * EJ58 * IF(abillity, 1, EG58 * EK58) * (Option!$D$23 * 0.81 "&amp;"/ 100),
         ""学者"", EF58 * EL58 * IF(abillity, 1, EG58 * EM58) * (Option!$D$24 * 0.81 / 100),
         ""賢者"", EF58 * EN58 * IF(abillity, 1, EG58 * EO58) * (Option!$D$25 * 0.81 / 100),
         1
       )
     )
   )
 )"),0.0)</f>
        <v>0</v>
      </c>
      <c r="ER58" s="202">
        <f t="shared" si="4"/>
        <v>0</v>
      </c>
      <c r="ES58" s="203">
        <f t="shared" si="5"/>
        <v>0</v>
      </c>
      <c r="ET58" s="231" t="str">
        <f>IFERROR(__xludf.DUMMYFUNCTION("IFS(
  EP58 &gt; $ET$24 + EQ58,
  SPARKLINE({ 1, 0 }, {""charttype"",""bar"";""max"", 1;""color1"",Option!$D$30;""color2"",Option!$D$30}),
  EP58 &lt; EQ58,
  SPARKLINE({EQ58 - EP58, $ET$24 - (EQ58 - EP58)}, {""charttype"",""bar"";""max"",$ET$24;""color1"",Opti"&amp;"on!$D$28;""color2"",Option!$D$29}),
  EP58 &gt;= EQ58,
  SPARKLINE({$ET$24 + EQ58 - EP58,EP58 - EQ58}, {""charttype"",""bar"";""max"",$ET$24;""color1"",Option!$D$29;""color2"",Option!$D$30})
)"),"")</f>
        <v/>
      </c>
      <c r="EU58" s="205">
        <f>IFERROR(__xludf.DUMMYFUNCTION("PRODUCT(
   MAP(
     IF($F58=""Physical"", K$10:ED$10, IF($F58=""Magic"", K$11:ED$11, K$12:ED$12)),
     IF($F58=""Physical"", K$18:ED$18, IF($F58=""Magic"", K$19:ED$19, K$20:ED$20)),
     K$3:ED$3,
     K$5:ED$5,
     K$17:ED$17,
     K58:ED58,
     LAM"&amp;"BDA(
       mitigation,
       enhance,
       job,
       assign,
       precondition,
       check,
       IF(
         OR(AND(check=TRUE, REGEXMATCH(assign, ""SELF""), job=""ナイト""), AND(check=Option!$E$13, REGEXMATCH(assign, ""SINGLE_PARTY""))),
      "&amp;"   IF(
           OR(ARRAYFORMULA((IF(precondition="""", FALSE, REGEXMATCH($K$4:$ED$4, precondition))) * (K58:ED58=TRUE))),
           enhance,
           mitigation
         ),
         1
       )
     )
   )
 ) * EE58"),1.0)</f>
        <v>1</v>
      </c>
      <c r="EV58" s="206">
        <f t="shared" si="6"/>
        <v>0</v>
      </c>
      <c r="EW58" s="205">
        <f>IFERROR(__xludf.DUMMYFUNCTION("PRODUCT(
   MAP(
     K$3:ED$3,
     K$14:ED$14,
     K$13:ED$13,
     K58:ED58,
     LAMBDA(
       job,
       buff,
       target,
       check,
       IF(
         OR(AND(check=TRUE, REGEXMATCH(target, ""SELF_AFFECTED_ALL""), job=""ナイト""), AND(check=O"&amp;"ption!$E$13, REGEXMATCH(target, ""SINGLE_AFFECTED_ALL""))),
         buff,
         1
       )
     )
   )
 )"),1.0)</f>
        <v>1</v>
      </c>
      <c r="EX58" s="206">
        <f>IFERROR(__xludf.DUMMYFUNCTION("SUM(
   MAP(
     K$3:ED$3,
     K$7:ED$7,
     K$15:ED$15,
     K$16:ED$16,
     K$21:ED$21,
     K$5:ED$5,
     K$17:ED$17,
     K58:ED58,
     LAMBDA(
       job,
       abillity,
       buff,
       barrier,
       enhance,
       assign,
       preco"&amp;"ndition,
       check,
       IF(
         OR(AND(check=TRUE, REGEXMATCH(assign, ""SELF""), job=""ナイト""), AND(check=Option!$E$13, REGEXMATCH(assign, ""SINGLE_PARTY""))),
         IF(
           OR(ARRAYFORMULA((IF(precondition="""", FALSE, REGEXMATCH($K$4"&amp;":$ED$4, precondition))) * (K58:ED58=TRUE))),
           enhance,
           IF(barrier="""", buff, barrier)
         ),
         0
       ) *
       SWITCH(
         job,
         ""暗黒騎士"", EY$24,
         ""白魔道士"", EF58 * EH58 * EW58 * IF(abillity, 1, EG"&amp;"58 * EI58) * (Option!$D$22 * 0.81 / 100),
         ""占星術師"", EF58 * EJ58 * EW58 * IF(abillity, 1, EG58 * EK58) * (Option!$D$23 * 0.81 / 100),
         ""学者"", EF58 * EL58 * EW58 * IF(abillity, 1, EG58 * EM58) * (Option!$D$24 * 0.81 / 100),
         ""賢者"""&amp;", EF58 * EN58 * EW58 * IF(abillity, 1, EG58 * EO58) * (Option!$D$25 * 0.81 / 100),
         1
       )
     )
   )
 ) + EQ58"),0.0)</f>
        <v>0</v>
      </c>
      <c r="EY58" s="232">
        <f t="shared" si="7"/>
        <v>0</v>
      </c>
      <c r="EZ58" s="205">
        <f>IFERROR(__xludf.DUMMYFUNCTION("PRODUCT(
   MAP(
     IF($F58=""Physical"", K$10:ED$10, IF($F58=""Magic"", K$11:ED$11, K$12:ED$12)),
     IF($F58=""Physical"", K$18:ED$18, IF($F58=""Magic"", K$19:ED$19, K$20:ED$20)),
     K$3:ED$3,
     K$5:ED$5,
     K$17:ED$17,
     K58:ED58,
     LAM"&amp;"BDA(
       mitigation,
       enhance,
       job,
       assign,
       precondition,
       check,
       IF(
         OR(AND(check=TRUE, REGEXMATCH(assign, ""SELF""), job=""戦士""), AND(check=Option!$F$13, REGEXMATCH(assign, ""SINGLE_PARTY""))),
       "&amp;"  IF(
           OR(ARRAYFORMULA((IF(precondition="""", FALSE, REGEXMATCH($K$4:$ED$4, precondition))) * (K58:ED58=TRUE))),
           enhance,
           mitigation
         ),
         1
       )
     )
   )
 ) * EE58"),1.0)</f>
        <v>1</v>
      </c>
      <c r="FA58" s="206">
        <f t="shared" si="8"/>
        <v>0</v>
      </c>
      <c r="FB58" s="205">
        <f>IFERROR(__xludf.DUMMYFUNCTION("PRODUCT(
   MAP(
     K$3:ED$3,
     K$14:ED$14,
     K$13:ED$13,
     K58:ED58,
     LAMBDA(
       job,
       buff,
       target,
       check,
       IF(
         OR(AND(check=TRUE, REGEXMATCH(target, ""SELF_AFFECTED_ALL""), job=""戦士""), AND(check=Op"&amp;"tion!$F$13, REGEXMATCH(target, ""SINGLE_AFFECTED_ALL""))),
         buff,
         1
       )
     )
   )
 )"),1.0)</f>
        <v>1</v>
      </c>
      <c r="FC58" s="206">
        <f>IFERROR(__xludf.DUMMYFUNCTION("SUM(
   MAP(
     K$3:ED$3,
     K$7:ED$7,
     K$15:ED$15,
     K$16:ED$16,
     K$21:ED$21,
     K$5:ED$5,
     K$17:ED$17,
     K58:ED58,
     LAMBDA(
       job,
       abillity,
       buff,
       barrier,
       enhance,
       assign,
       preco"&amp;"ndition,
       check,
       IF(
         OR(AND(check=TRUE, REGEXMATCH(assign, ""SELF""), job=""戦士""), AND(check=Option!$F$13, REGEXMATCH(assign, ""SINGLE_PARTY""))),
         IF(
           OR(ARRAYFORMULA((IF(precondition="""", FALSE, REGEXMATCH($K$4:"&amp;"$ED$4, precondition))) * (K58:ED58=TRUE))),
           enhance,
           IF(barrier="""", buff, barrier)
         ),
         0
       ) *
       SWITCH(
         job,
         ""暗黒騎士"", FD$24,
         ""白魔道士"", EF58 * EH58 * FB58 * IF(abillity, 1, EG5"&amp;"8 * EI58) * (Option!$D$22 * 0.81 / 100),
         ""占星術師"", EF58 * EJ58 * FFB58 * IF(abillity, 1, EG58 * EK58) * (Option!$D$23 * 0.81 / 100),
         ""学者"", EF58 * EL58 * FB58 * IF(abillity, 1, EG58 * EM58) * (Option!$D$24 * 0.81 / 100),
         ""賢者"""&amp;", EF58 * EN58 * FB58 * IF(abillity, 1, EG58 * EO58) * (Option!$D$25 * 0.81 / 100),
         1
       )
     )
   )
 ) + EQ58"),0.0)</f>
        <v>0</v>
      </c>
      <c r="FD58" s="206">
        <f t="shared" si="9"/>
        <v>0</v>
      </c>
      <c r="FE58" s="205">
        <f>IFERROR(__xludf.DUMMYFUNCTION("PRODUCT(
   MAP(
     IF($F58=""Physical"", K$10:ED$10, IF($F58=""Magic"", K$11:ED$11, K$12:ED$12)),
     IF($F58=""Physical"", K$18:ED$18, IF($F58=""Magic"", K$19:ED$19, K$20:ED$20)),
     K$3:ED$3,
     K$5:ED$5,
     K$17:ED$17,
     K58:ED58,
     LAM"&amp;"BDA(
       mitigation,
       enhance,
       job,
       assign,
       precondition,
       check,
       IF(
         OR(AND(check=TRUE, REGEXMATCH(assign, ""SELF""), job=""暗黒騎士""), AND(check=Option!$G$13, REGEXMATCH(assign, ""SINGLE_PARTY""))),
     "&amp;"    IF(
           OR(ARRAYFORMULA((IF(precondition="""", FALSE, REGEXMATCH($K$4:$ED$4, precondition))) * (K58:ED58=TRUE))),
           enhance,
           mitigation
         ),
         1
       )
     )
   )
 ) * EE58"),1.0)</f>
        <v>1</v>
      </c>
      <c r="FF58" s="206">
        <f t="shared" si="10"/>
        <v>0</v>
      </c>
      <c r="FG58" s="205">
        <f>IFERROR(__xludf.DUMMYFUNCTION("PRODUCT(
   MAP(
     K$3:ED$3,
     K$14:ED$14,
     K$13:ED$13,
     K58:ED58,
     LAMBDA(
       job,
       buff,
       target,
       check,
       IF(
         OR(AND(check=TRUE, REGEXMATCH(target, ""SELF_AFFECTED_ALL""), job=""暗黒騎士""), AND(check="&amp;"Option!$G$13, REGEXMATCH(target, ""SINGLE_AFFECTED_ALL""))),
         buff,
         1
       )
     )
   )
 )"),1.0)</f>
        <v>1</v>
      </c>
      <c r="FH58" s="206">
        <f>IFERROR(__xludf.DUMMYFUNCTION("SUM(
   MAP(
     K$3:ED$3,
     K$7:ED$7,
     K$15:ED$15,
     K$16:ED$16,
     K$21:ED$21,
     K$5:ED$5,
     K$17:ED$17,
     K58:ED58,
     LAMBDA(
       job,
       abillity,
       buff,
       barrier,
       enhance,
       assign,
       preco"&amp;"ndition,
       check,
       IF(
         OR(AND(check=TRUE, REGEXMATCH(assign, ""SELF""), job=""暗黒騎士""), AND(check=Option!$G$13, REGEXMATCH(assign, ""SINGLE_PARTY""))),
         IF(
           OR(ARRAYFORMULA((IF(precondition="""", FALSE, REGEXMATCH($K$"&amp;"4:$ED$4, precondition))) * (K58:ED58=TRUE))),
           enhance,
           IF(barrier="""", buff, barrier)
         ),
         0
       ) *
       SWITCH(
         job,
         ""暗黒騎士"", FI$24,
         ""白魔道士"", EF58 * EH58 * FG58 * IF(abillity, 1, E"&amp;"G58 * EI58) * (Option!$D$22 * 0.81 / 100),
         ""占星術師"", EF58 * EJ58 * FG58 * IF(abillity, 1, EG58 * EK58) * (Option!$D$23 * 0.81 / 100),
         ""学者"", EF58 * EL58 * FG58 * IF(abillity, 1, EG58 * EM58) * (Option!$D$24 * 0.81 / 100),
         ""賢者"&amp;""", EF58 * EN58 * FG58 * IF(abillity, 1, EG58 * EO58) * (Option!$D$25 * 0.81 / 100),
         1
       )
     )
   )
 ) + EQ58"),0.0)</f>
        <v>0</v>
      </c>
      <c r="FI58" s="206">
        <f t="shared" si="11"/>
        <v>0</v>
      </c>
      <c r="FJ58" s="205">
        <f>IFERROR(__xludf.DUMMYFUNCTION("PRODUCT(
   MAP(
     IF($F58=""Physical"", K$10:ED$10, IF($F58=""Magic"", K$11:ED$11, K$12:ED$12)),
     IF($F58=""Physical"", K$18:ED$18, IF($F58=""Magic"", K$19:ED$19, K$20:ED$20)),
     K$3:ED$3,
     K$5:ED$5,
     K$17:ED$17,
     K58:ED58,
     LAM"&amp;"BDA(
       mitigation,
       enhance,
       job,
       assign,
       precondition,
       check,
       IF(
         OR(AND(check=TRUE, REGEXMATCH(assign, ""SELF""), job=""ガンブレイカー""), AND(check=Option!$H$13, REGEXMATCH(assign, ""SINGLE_PARTY""))),
  "&amp;"       IF(
           OR(ARRAYFORMULA((IF(precondition="""", FALSE, REGEXMATCH($K$4:$ED$4, precondition))) * (K58:ED58=TRUE))),
           enhance,
           mitigation
         ),
         1
       )
     )
   )
 ) * EE58"),1.0)</f>
        <v>1</v>
      </c>
      <c r="FK58" s="206">
        <f t="shared" si="12"/>
        <v>0</v>
      </c>
      <c r="FL58" s="205">
        <f>IFERROR(__xludf.DUMMYFUNCTION("PRODUCT(
   MAP(
     K$3:ED$3,
     K$14:ED$14,
     K$13:ED$13,
     K58:ED58,
     LAMBDA(
       job,
       buff,
       target,
       check,
       IF(
         OR(AND(check=TRUE, REGEXMATCH(target, ""SELF_AFFECTED_ALL""), job=""ガンブレイカー""), AND(che"&amp;"ck=Option!$H$13, REGEXMATCH(target, ""SINGLE_AFFECTED_ALL""))),
         buff,
         1
       )
     )
   )
 )"),1.0)</f>
        <v>1</v>
      </c>
      <c r="FM58" s="206">
        <f>IFERROR(__xludf.DUMMYFUNCTION("SUM(
   MAP(
     K$3:ED$3,
     K$7:ED$7,
     K$15:ED$15,
     K$16:ED$16,
     K$21:ED$21,
     K$5:ED$5,
     K$17:ED$17,
     K58:ED58,
     LAMBDA(
       job,
       abillity,
       buff,
       barrier,
       enhance,
       assign,
       preco"&amp;"ndition,
       check,
       IF(
         OR(AND(check=TRUE, REGEXMATCH(assign, ""SELF""), job=""ガンブレイカー""), AND(check=Option!$H$13, REGEXMATCH(assign, ""SINGLE_PARTY""))),
         IF(
           OR(ARRAYFORMULA((IF(precondition="""", FALSE, REGEXMATCH("&amp;"$K$4:$ED$4, precondition))) * (K58:ED58=TRUE))),
           enhance,
           IF(barrier="""", buff, barrier)
         ),
         0
       ) *
       SWITCH(
         job,
         ""暗黒騎士"", FN$24,
         ""白魔道士"", EF58 * EH58 * FL58 * IF(abillity, 1"&amp;", EG58 * EI58) * (Option!$D$22 * 0.81 / 100),
         ""占星術師"", EF58 * EJ58 * FL58 * IF(abillity, 1, EG58 * EK58) * (Option!$D$23 * 0.81 / 100),
         ""学者"", EF58 * EL58 * FL58 * IF(abillity, 1, EG58 * EM58) * (Option!$D$24 * 0.81 / 100),
         """&amp;"賢者"", EF58 * EN58 * FL58 * IF(abillity, 1, EG58 * EO58) * (Option!$D$25 * 0.81 / 100),
         1
       )
     )
   )
 ) + EQ58"),0.0)</f>
        <v>0</v>
      </c>
      <c r="FN58" s="206">
        <f t="shared" si="13"/>
        <v>0</v>
      </c>
      <c r="FO58" s="213"/>
    </row>
    <row r="59">
      <c r="B59" s="229"/>
      <c r="C59" s="217">
        <f t="shared" si="1"/>
        <v>0.00380787037</v>
      </c>
      <c r="D59" s="236"/>
      <c r="E59" s="238"/>
      <c r="F59" s="167"/>
      <c r="G59" s="168" t="str">
        <f t="shared" si="2"/>
        <v/>
      </c>
      <c r="H59" s="169"/>
      <c r="I59" s="169"/>
      <c r="J59" s="169"/>
      <c r="K59" s="170" t="b">
        <v>0</v>
      </c>
      <c r="L59" s="170" t="b">
        <v>0</v>
      </c>
      <c r="M59" s="170" t="b">
        <v>0</v>
      </c>
      <c r="N59" s="171" t="s">
        <v>1070</v>
      </c>
      <c r="O59" s="172" t="b">
        <v>0</v>
      </c>
      <c r="P59" s="173" t="b">
        <v>0</v>
      </c>
      <c r="Q59" s="173" t="b">
        <v>0</v>
      </c>
      <c r="R59" s="173" t="b">
        <v>0</v>
      </c>
      <c r="S59" s="174" t="b">
        <v>0</v>
      </c>
      <c r="T59" s="175" t="b">
        <v>0</v>
      </c>
      <c r="U59" s="173" t="b">
        <v>0</v>
      </c>
      <c r="V59" s="171" t="s">
        <v>1070</v>
      </c>
      <c r="W59" s="172" t="b">
        <v>0</v>
      </c>
      <c r="X59" s="173" t="b">
        <v>0</v>
      </c>
      <c r="Y59" s="173" t="b">
        <v>0</v>
      </c>
      <c r="Z59" s="173" t="b">
        <v>0</v>
      </c>
      <c r="AA59" s="174" t="b">
        <v>0</v>
      </c>
      <c r="AB59" s="174" t="b">
        <v>0</v>
      </c>
      <c r="AC59" s="175" t="b">
        <v>0</v>
      </c>
      <c r="AD59" s="173" t="b">
        <v>0</v>
      </c>
      <c r="AE59" s="176" t="s">
        <v>1070</v>
      </c>
      <c r="AF59" s="171" t="s">
        <v>1070</v>
      </c>
      <c r="AG59" s="177">
        <f>IFERROR(__xludf.DUMMYFUNCTION("IF(
  ISNUMBER(AG58),
  MIN(MAX(
    AG58
    + MAX(
      ROUNDDOWN(($D59 - MAX(IFERROR(FILTER($D$24:$D58, AG$24:AG58 &lt;&gt; AF$6, AG$23:AG57 = AF$6), 0))) * (60 * 60 * 24) / AF$9) - ROUNDDOWN(($D58 - MAX(IFERROR(FILTER($D$23:$D57, AG$23:AG57 &lt;&gt; AF$6, AG$22:"&amp;"AG56 = AF$6), 0))) * (60 * 60 * 24) / 60),
      0
    )
    - COUNTIF(AF59, ""&lt;&gt;-""),
  0), AF$6),
  AF$6 - COUNTIF(AF59, ""&lt;&gt;-"")
)"),2.0)</f>
        <v>2</v>
      </c>
      <c r="AH59" s="173" t="b">
        <v>0</v>
      </c>
      <c r="AI59" s="173" t="b">
        <v>0</v>
      </c>
      <c r="AJ59" s="173" t="b">
        <v>0</v>
      </c>
      <c r="AK59" s="174" t="b">
        <v>0</v>
      </c>
      <c r="AL59" s="175" t="b">
        <v>0</v>
      </c>
      <c r="AM59" s="173" t="b">
        <v>0</v>
      </c>
      <c r="AN59" s="171" t="s">
        <v>1070</v>
      </c>
      <c r="AO59" s="173" t="b">
        <v>0</v>
      </c>
      <c r="AP59" s="173" t="b">
        <v>0</v>
      </c>
      <c r="AQ59" s="173" t="b">
        <v>0</v>
      </c>
      <c r="AR59" s="174" t="b">
        <v>0</v>
      </c>
      <c r="AS59" s="178" t="b">
        <v>0</v>
      </c>
      <c r="AT59" s="179" t="b">
        <v>0</v>
      </c>
      <c r="AU59" s="180" t="b">
        <v>0</v>
      </c>
      <c r="AV59" s="180" t="b">
        <v>0</v>
      </c>
      <c r="AW59" s="180" t="b">
        <v>0</v>
      </c>
      <c r="AX59" s="180" t="b">
        <v>0</v>
      </c>
      <c r="AY59" s="181" t="s">
        <v>1070</v>
      </c>
      <c r="AZ59" s="181" t="s">
        <v>1070</v>
      </c>
      <c r="BA59" s="184">
        <f>IFERROR(__xludf.DUMMYFUNCTION("IF(
  ISNUMBER(BA58),
  MIN(MAX(
    BA58
    + MAX(
      ROUNDDOWN((D59 - MAX(IFERROR(FILTER(D$24:D58, BA$24:BA58 &lt;&gt; AZ$6, BA$23:BA57 = AZ$6), 0))) * (60 * 60 * 24) / AZ$9) - ROUNDDOWN((D58 - MAX(IFERROR(FILTER(D$23:D57, BA$23:BA57 &lt;&gt; AZ$6, BA$22:BA56 ="&amp;" AZ$6), 0))) * (60 * 60 * 24) / AZ$9),
      0
    )
    - COUNTIF(AZ59, ""&lt;&gt;-""),
  0), AZ$6),
  AZ$6 - COUNTIF(AZ59, ""&lt;&gt;-"")
)"),2.0)</f>
        <v>2</v>
      </c>
      <c r="BB59" s="181" t="s">
        <v>1070</v>
      </c>
      <c r="BC59" s="183">
        <f>IFERROR(__xludf.DUMMYFUNCTION("IF(
  ISNUMBER(BC58),
  MIN(MAX(
    BC58
    + MAX(
      ROUNDDOWN(($D59 - MAX(IFERROR(FILTER($D$24:$D58, BC$24:BC58 &lt;&gt; BB$6, BC$23:BC57 = BB$6), 0))) * (60 * 60 * 24) / BB$9) - ROUNDDOWN(($D58 - MAX(IFERROR(FILTER($D$23:$D57, BC$23:BC57 &lt;&gt; BB$6, BC$22:"&amp;"BC56 = BB$6), 0))) * (60 * 60 * 24) / 60),
      0
    )
    - COUNTIF(BB59, ""&lt;&gt;-""),
  0), BB$6),
  BB$6 - COUNTIF(BB59, ""&lt;&gt;-"")
)"),2.0)</f>
        <v>2</v>
      </c>
      <c r="BD59" s="181" t="s">
        <v>1070</v>
      </c>
      <c r="BE59" s="178" t="b">
        <v>0</v>
      </c>
      <c r="BF59" s="180" t="b">
        <v>0</v>
      </c>
      <c r="BG59" s="180" t="b">
        <v>0</v>
      </c>
      <c r="BH59" s="180" t="b">
        <v>0</v>
      </c>
      <c r="BI59" s="180" t="b">
        <v>0</v>
      </c>
      <c r="BJ59" s="180" t="b">
        <v>0</v>
      </c>
      <c r="BK59" s="180" t="b">
        <v>0</v>
      </c>
      <c r="BL59" s="180" t="b">
        <v>0</v>
      </c>
      <c r="BM59" s="180" t="b">
        <v>0</v>
      </c>
      <c r="BN59" s="180" t="b">
        <v>0</v>
      </c>
      <c r="BO59" s="181" t="s">
        <v>1070</v>
      </c>
      <c r="BP59" s="181" t="s">
        <v>1070</v>
      </c>
      <c r="BQ59" s="181" t="s">
        <v>1070</v>
      </c>
      <c r="BR59" s="181" t="s">
        <v>1070</v>
      </c>
      <c r="BS59" s="181" t="s">
        <v>1070</v>
      </c>
      <c r="BT59" s="184">
        <f>IFERROR(__xludf.DUMMYFUNCTION("IF(
  ISNUMBER(BT58),
  MIN(MAX(
    BT58
    + MAX(
      ROUNDDOWN((D59 - MAX(IFERROR(FILTER(D$24:D58, BT$24:BT58 &lt;&gt; BS$6, BT$23:BT57 = BS$6), 0))) * (60 * 60 * 24) / BS$9) - ROUNDDOWN((D58 - MAX(IFERROR(FILTER(D$23:D57, BT$23:BT57 &lt;&gt; BS$6, BT$22:BT56 ="&amp;" BS$6), 0))) * (60 * 60 * 24) / BS$9),
      0
    )
    - COUNTIF(BS59, ""&lt;&gt;-""),
  0), BS$6),
  BS$6 - COUNTIF(BS59, ""&lt;&gt;-"")
)"),3.0)</f>
        <v>3</v>
      </c>
      <c r="BU59" s="181" t="s">
        <v>1070</v>
      </c>
      <c r="BV59" s="181" t="s">
        <v>1070</v>
      </c>
      <c r="BW59" s="184">
        <f>IFERROR(__xludf.DUMMYFUNCTION("IF(
  ISNUMBER(BW58),
  MIN(MAX(
    BW58
    + MAX(
      ROUNDDOWN((D59 - MAX(IFERROR(FILTER(D$24:D58, BW$24:BW58 &lt;&gt; BV$6, BW$23:BW57 = BV$6), 0))) * (60 * 60 * 24) / BV$9) - ROUNDDOWN((D58 - MAX(IFERROR(FILTER(D$23:D57, BW$23:BW57 &lt;&gt; BV$6, BW$22:BW56 ="&amp;" BV$6), 0))) * (60 * 60 * 24) / BV$9),
      0
    )
    - COUNTIF(BV59, ""&lt;&gt;-""),
  0), BV$6),
  BV$6 - COUNTIF(BV59, ""&lt;&gt;-"")
)"),2.0)</f>
        <v>2</v>
      </c>
      <c r="BX59" s="185" t="s">
        <v>1070</v>
      </c>
      <c r="BY59" s="178" t="b">
        <v>0</v>
      </c>
      <c r="BZ59" s="180" t="b">
        <v>0</v>
      </c>
      <c r="CA59" s="180" t="b">
        <v>0</v>
      </c>
      <c r="CB59" s="180" t="b">
        <v>0</v>
      </c>
      <c r="CC59" s="180" t="b">
        <v>0</v>
      </c>
      <c r="CD59" s="180" t="b">
        <v>0</v>
      </c>
      <c r="CE59" s="180" t="b">
        <v>0</v>
      </c>
      <c r="CF59" s="180" t="b">
        <v>0</v>
      </c>
      <c r="CG59" s="180" t="b">
        <v>0</v>
      </c>
      <c r="CH59" s="180" t="b">
        <v>0</v>
      </c>
      <c r="CI59" s="180" t="b">
        <v>0</v>
      </c>
      <c r="CJ59" s="180" t="b">
        <v>0</v>
      </c>
      <c r="CK59" s="180" t="b">
        <v>0</v>
      </c>
      <c r="CL59" s="180" t="b">
        <v>0</v>
      </c>
      <c r="CM59" s="181" t="s">
        <v>1070</v>
      </c>
      <c r="CN59" s="181" t="s">
        <v>1070</v>
      </c>
      <c r="CO59" s="181" t="s">
        <v>1070</v>
      </c>
      <c r="CP59" s="181" t="s">
        <v>1070</v>
      </c>
      <c r="CQ59" s="185" t="s">
        <v>1070</v>
      </c>
      <c r="CR59" s="180" t="b">
        <v>0</v>
      </c>
      <c r="CS59" s="186" t="str">
        <f t="shared" si="14"/>
        <v>◇◇◇</v>
      </c>
      <c r="CT59" s="178" t="b">
        <v>0</v>
      </c>
      <c r="CU59" s="180" t="b">
        <v>0</v>
      </c>
      <c r="CV59" s="180" t="b">
        <v>0</v>
      </c>
      <c r="CW59" s="180" t="b">
        <v>0</v>
      </c>
      <c r="CX59" s="180" t="b">
        <v>0</v>
      </c>
      <c r="CY59" s="180" t="b">
        <v>0</v>
      </c>
      <c r="CZ59" s="180" t="b">
        <v>0</v>
      </c>
      <c r="DA59" s="180" t="b">
        <v>0</v>
      </c>
      <c r="DB59" s="180" t="b">
        <v>0</v>
      </c>
      <c r="DC59" s="180" t="b">
        <v>0</v>
      </c>
      <c r="DD59" s="181" t="s">
        <v>1070</v>
      </c>
      <c r="DE59" s="181" t="s">
        <v>1070</v>
      </c>
      <c r="DF59" s="181" t="s">
        <v>1070</v>
      </c>
      <c r="DG59" s="185" t="s">
        <v>1070</v>
      </c>
      <c r="DH59" s="180" t="b">
        <v>0</v>
      </c>
      <c r="DI59" s="187" t="str">
        <f>IFERROR(__xludf.DUMMYFUNCTION("SWITCH(
  IF(
    ISTEXT(DI58),
    IF (
      FIND(""○"", DI58&amp;""○"") &gt; 3,
      3,
      FIND(""○"", DI58&amp;""○"")
      + MAX(
        ROUNDDOWN(($D59 - MAX(IFERROR(FILTER(D$24:D58, DI$24:DI58 &lt;&gt; ""●●●"", DI$23:DI57 = ""●●●""), 0))) * (60 * 60 * 24) / 20"&amp;") - ROUNDDOWN(($D58 - MAX(IFERROR(FILTER(D$23:D57, DI$23:DI57 &lt;&gt; ""●●●"", DI$22:DI56 = ""●●●""), 0))) * (60 * 60 * 24) / 20),
        0
      ) - 1
    ) - COUNTIFS(CU59, ""=TRUE"", CU58, ""&lt;&gt;TRUE"") - COUNTIF(CZ59, ""=TRUE"") - COUNTIF({DD59,DE59}, ""&lt;&gt;-"&amp;""") + COUNTIF(DH59, ""=TRUE""),
    3
  ),
  0, ""○○○"", 1, ""●○○"", 2, ""●●○"", 3, ""●●●"", 4, ""●●●"", ""○○○""
)"),"●●●")</f>
        <v>●●●</v>
      </c>
      <c r="DJ59" s="188" t="b">
        <v>0</v>
      </c>
      <c r="DK59" s="189" t="b">
        <v>0</v>
      </c>
      <c r="DL59" s="190" t="b">
        <v>0</v>
      </c>
      <c r="DM59" s="190" t="b">
        <v>0</v>
      </c>
      <c r="DN59" s="190" t="b">
        <v>0</v>
      </c>
      <c r="DO59" s="190" t="b">
        <v>0</v>
      </c>
      <c r="DP59" s="190" t="b">
        <v>0</v>
      </c>
      <c r="DQ59" s="191" t="b">
        <v>0</v>
      </c>
      <c r="DR59" s="192" t="b">
        <v>0</v>
      </c>
      <c r="DS59" s="191" t="b">
        <v>0</v>
      </c>
      <c r="DT59" s="192" t="b">
        <v>0</v>
      </c>
      <c r="DU59" s="191" t="b">
        <v>0</v>
      </c>
      <c r="DV59" s="193" t="s">
        <v>1070</v>
      </c>
      <c r="DW59" s="194" t="b">
        <v>0</v>
      </c>
      <c r="DX59" s="194" t="b">
        <v>0</v>
      </c>
      <c r="DY59" s="195" t="b">
        <v>0</v>
      </c>
      <c r="DZ59" s="196" t="b">
        <v>0</v>
      </c>
      <c r="EA59" s="195" t="b">
        <v>0</v>
      </c>
      <c r="EB59" s="197" t="b">
        <v>0</v>
      </c>
      <c r="EC59" s="197" t="b">
        <v>0</v>
      </c>
      <c r="ED59" s="212" t="b">
        <v>0</v>
      </c>
      <c r="EE59" s="199">
        <f>IFERROR(__xludf.DUMMYFUNCTION("IFERROR(
   PRODUCT(
     MAP(
       INDEX(TRANSPOSE(UNIQUE(TRANSPOSE(FILTER({IF($F59=""Physical"", K$10:ED$10, IF($F59=""Magic"", K$11:ED$11, K$12:ED$12));K$4:ED$4;K59:ED59}, K59:ED59=TRUE)))), 1, 0),
       INDEX(TRANSPOSE(UNIQUE(TRANSPOSE(FILTER({IF($"&amp;"F59=""Physical"", K$18:ED$18, IF($F59=""Magic"", K$19:ED$19, K$20:ED$20));K$4:ED$4;K59:ED59}, K59:ED59=TRUE)))), 1, 0),
       INDEX(TRANSPOSE(UNIQUE(TRANSPOSE(FILTER({K$5:ED$5;K$4:ED$4;K59:ED59}, K59:ED59=TRUE)))), 1, 0),
       INDEX(TRANSPOSE(UNIQUE(TR"&amp;"ANSPOSE(FILTER({K$17:ED$17;K$4:ED$4;K59:ED59}, K59:ED59=TRUE)))), 1, 0),
       LAMBDA(
         mitigation,
         enhance,
         assign,
         precondition,
         IF(
           REGEXMATCH(assign, ""RANGE_PARTY|SINGLE_ENEMY|RANGE_ENEMY""),
  "&amp;"         IF(
             OR(ARRAYFORMULA((IF(precondition="""", FALSE, REGEXMATCH(K$4:ED$4, precondition))) * (K59:ED59=TRUE))),
             IF(ISNUMBER(enhance), enhance, 1),
             IF(ISNUMBER(mitigation), mitigation, 1)
           ),
          "&amp;" 1
         )
       )
     )
   ),
   1
 )"),1.0)</f>
        <v>1</v>
      </c>
      <c r="EF59" s="200">
        <f>IFERROR(__xludf.DUMMYFUNCTION("PRODUCT(
   MAP(
     K$14:ED$14,
     K$13:ED$13,
     K59:ED59,
     LAMBDA(
       buff,
       target,
       check,
       IF(
         AND(check=TRUE, REGEXMATCH(target, ""RANGE_AFFECTED_ALL|RANGE_EFFECTED_ALL""), ISNUMBER(buff)),
         buff,
   "&amp;"      1
       )
     )
   )
 )"),1.0)</f>
        <v>1</v>
      </c>
      <c r="EG59" s="200">
        <f>IFERROR(__xludf.DUMMYFUNCTION("PRODUCT(
   MAP(
     K$14:ED$14,
     K$13:ED$13,
     K59:ED59,
     LAMBDA(
       buff,
       target,
       check,
       IF(
         AND(check=TRUE, REGEXMATCH(target, ""RANGE_AFFECTED_GCD|RANGE_EFFECTED_GCD""), ISNUMBER(buff)),
         buff,
   "&amp;"      1
       )
     )
   )
 )"),1.0)</f>
        <v>1</v>
      </c>
      <c r="EH59" s="200">
        <f>IFERROR(__xludf.DUMMYFUNCTION("PRODUCT(
   MAP(
     K$3:ED$3,
     K$14:ED$14,
     K$13:ED$13,
     K59:ED59,
     LAMBDA(
       job,
       buff,
       target,
       check,
       IF(
         AND(check=TRUE, REGEXMATCH(target, ""SELF_EFFECTED_ALL""), ISNUMBER(buff), job=""白魔道士"""&amp;"),
         buff,
         1
       )
     )
   )
 )"),1.0)</f>
        <v>1</v>
      </c>
      <c r="EI59" s="200">
        <f>IFERROR(__xludf.DUMMYFUNCTION("PRODUCT(
   MAP(
     K$3:ED$3,
     K$14:ED$14,
     K$13:ED$13,
     K59:ED59,
     LAMBDA(
       job,
       buff,
       target,
       check,
       IF(
         AND(check=TRUE, REGEXMATCH(target, ""SELF_EFFECTED_GCD""), ISNUMBER(buff), job=""白魔道士"""&amp;"),
         buff,
         1
       )
     )
   )
 )"),1.0)</f>
        <v>1</v>
      </c>
      <c r="EJ59" s="200">
        <f>IFERROR(__xludf.DUMMYFUNCTION("PRODUCT(
   MAP(
     K$3:ED$3,
     K$14:ED$14,
     K$13:ED$13,
     K59:ED59,
     LAMBDA(
       job,
       buff,
       target,
       check,
       IF(
         AND(check=TRUE, REGEXMATCH(target, ""SELF_EFFECTED_ALL""), ISNUMBER(buff), job=""占星術師"""&amp;"),
         buff,
         1
       )
     )
   )
 )"),1.0)</f>
        <v>1</v>
      </c>
      <c r="EK59" s="200">
        <f>IFERROR(__xludf.DUMMYFUNCTION("PRODUCT(
   MAP(
     K$3:ED$3,
     K$14:ED$14,
     K$13:ED$13,
     K59:ED59,
     LAMBDA(
       job,
       buff,
       target,
       check,
       IF(
         AND(check=TRUE, REGEXMATCH(target, ""SELF_EFFECTED_GCD""), ISNUMBER(buff), job=""占星術師"""&amp;"),
         buff,
         1
       )
     )
   )
 )"),1.0)</f>
        <v>1</v>
      </c>
      <c r="EL59" s="200">
        <f>IFERROR(__xludf.DUMMYFUNCTION("PRODUCT(
   MAP(
     K$3:ED$3,
     K$14:ED$14,
     K$13:ED$13,
     K59:ED59,
     LAMBDA(
       job,
       buff,
       target,
       check,
       IF(
         AND(check=TRUE, REGEXMATCH(target, ""SELF_EFFECTED_ALL""), ISNUMBER(buff), job=""学者""),"&amp;"
         buff,
         1
       )
     )
   )
 )"),1.0)</f>
        <v>1</v>
      </c>
      <c r="EM59" s="200">
        <f>IFERROR(__xludf.DUMMYFUNCTION("PRODUCT(
   MAP(
     K$3:ED$3,
     K$14:ED$14,
     K$13:ED$13,
     K59:ED59,
     LAMBDA(
       job,
       buff,
       target,
       check,
       IF(
         AND(check=TRUE, REGEXMATCH(target, ""SELF_EFFECTED_GCD""), ISNUMBER(buff), job=""学者""),"&amp;"
         buff,
         1
       )
     )
   )
 )"),1.0)</f>
        <v>1</v>
      </c>
      <c r="EN59" s="200">
        <f>IFERROR(__xludf.DUMMYFUNCTION("PRODUCT(
   MAP(
     K$3:ED$3,
     K$14:ED$14,
     K$13:ED$13,
     K59:ED59,
     LAMBDA(
       job,
       buff,
       target,
       check,
       IF(
         AND(check=TRUE, REGEXMATCH(target, ""SELF_EFFECTED_ALL""), ISNUMBER(buff), job=""賢者""),"&amp;"
         buff,
         1
       )
     )
   )
 )"),1.0)</f>
        <v>1</v>
      </c>
      <c r="EO59" s="200">
        <f>IFERROR(__xludf.DUMMYFUNCTION("PRODUCT(
   MAP(
     K$3:ED$3,
     K$14:ED$14,
     K$13:ED$13,
     K59:ED59,
     LAMBDA(
       job,
       buff,
       target,
       check,
       IF(
         AND(check=TRUE, REGEXMATCH(target, ""SELF_EFFECTED_GCD""), ISNUMBER(buff), job=""賢者""),"&amp;"
         buff,
         1
       )
     )
   )
 )"),1.0)</f>
        <v>1</v>
      </c>
      <c r="EP59" s="201">
        <f t="shared" si="3"/>
        <v>0</v>
      </c>
      <c r="EQ59" s="201">
        <f>IFERROR(__xludf.DUMMYFUNCTION("SUM(
   MAP(
     K$4:ED$4,
     K$3:ED$3,
     K$7:ED$7,
     K$15:ED$15,
     K$16:ED$16,
     K$21:ED$21,
     K$5:ED$5,
     K$17:ED$17,
     K59:ED59,
     LAMBDA(
       name,
       job,
       abillity,
       buff,
       barrier,
       enhance,"&amp;"
       assign,
       precondition,
       check,
       SWITCH(
         name,
         ""シェイクオフ"", IF(check=TRUE, buff + (0.02 * COUNTIF(ARRAYFORMULA((REGEXMATCH($K$4:$ED$4, ""スリル・オブ・バトル|ヴェンジェンス|原初の血気|ダムネーション"")) * (K59:ED59=TRUE)), 1)), 0),
         "&amp;"""インプロビゼーションフィニッシュ(踊りの激情0)"", IF(ISNUMBER(check), INDEX(Skill!$AJ:$AJ, MATCH(SUBSTITUTE(DV$4, 0, check), Skill!$C:$C, 0)), 0),
         IF(
           AND(check=TRUE, REGEXMATCH(assign, ""RANGE_PARTY"")),
           IF(
             OR(ARRAYFORMULA((IF(pr"&amp;"econdition="""", FALSE, REGEXMATCH($K$4:$ED$4, precondition))) * (K59:ED59=TRUE))),
             enhance,
             IF(barrier="""", buff, barrier)
           ),
           0
         )
       ) *
       SWITCH(
         job,
         ""ナイト"", EY$24,
 "&amp;"        ""戦士"", FD$24,
         ""踊り子"", ET$24,
         ""ピクトマンサー"", ET$24,
         ""白魔道士"", EF59 * EH59 * IF(abillity, 1, EG59 * EI59) * (Option!$D$22 * 0.81 / 100),
         ""占星術師"", EF59 * EJ59 * IF(abillity, 1, EG59 * EK59) * (Option!$D$23 * 0.81 "&amp;"/ 100),
         ""学者"", EF59 * EL59 * IF(abillity, 1, EG59 * EM59) * (Option!$D$24 * 0.81 / 100),
         ""賢者"", EF59 * EN59 * IF(abillity, 1, EG59 * EO59) * (Option!$D$25 * 0.81 / 100),
         1
       )
     )
   )
 )"),0.0)</f>
        <v>0</v>
      </c>
      <c r="ER59" s="202">
        <f t="shared" si="4"/>
        <v>0</v>
      </c>
      <c r="ES59" s="203">
        <f t="shared" si="5"/>
        <v>0</v>
      </c>
      <c r="ET59" s="231" t="str">
        <f>IFERROR(__xludf.DUMMYFUNCTION("IFS(
  EP59 &gt; $ET$24 + EQ59,
  SPARKLINE({ 1, 0 }, {""charttype"",""bar"";""max"", 1;""color1"",Option!$D$30;""color2"",Option!$D$30}),
  EP59 &lt; EQ59,
  SPARKLINE({EQ59 - EP59, $ET$24 - (EQ59 - EP59)}, {""charttype"",""bar"";""max"",$ET$24;""color1"",Opti"&amp;"on!$D$28;""color2"",Option!$D$29}),
  EP59 &gt;= EQ59,
  SPARKLINE({$ET$24 + EQ59 - EP59,EP59 - EQ59}, {""charttype"",""bar"";""max"",$ET$24;""color1"",Option!$D$29;""color2"",Option!$D$30})
)"),"")</f>
        <v/>
      </c>
      <c r="EU59" s="205">
        <f>IFERROR(__xludf.DUMMYFUNCTION("PRODUCT(
   MAP(
     IF($F59=""Physical"", K$10:ED$10, IF($F59=""Magic"", K$11:ED$11, K$12:ED$12)),
     IF($F59=""Physical"", K$18:ED$18, IF($F59=""Magic"", K$19:ED$19, K$20:ED$20)),
     K$3:ED$3,
     K$5:ED$5,
     K$17:ED$17,
     K59:ED59,
     LAM"&amp;"BDA(
       mitigation,
       enhance,
       job,
       assign,
       precondition,
       check,
       IF(
         OR(AND(check=TRUE, REGEXMATCH(assign, ""SELF""), job=""ナイト""), AND(check=Option!$E$13, REGEXMATCH(assign, ""SINGLE_PARTY""))),
      "&amp;"   IF(
           OR(ARRAYFORMULA((IF(precondition="""", FALSE, REGEXMATCH($K$4:$ED$4, precondition))) * (K59:ED59=TRUE))),
           enhance,
           mitigation
         ),
         1
       )
     )
   )
 ) * EE59"),1.0)</f>
        <v>1</v>
      </c>
      <c r="EV59" s="206">
        <f t="shared" si="6"/>
        <v>0</v>
      </c>
      <c r="EW59" s="205">
        <f>IFERROR(__xludf.DUMMYFUNCTION("PRODUCT(
   MAP(
     K$3:ED$3,
     K$14:ED$14,
     K$13:ED$13,
     K59:ED59,
     LAMBDA(
       job,
       buff,
       target,
       check,
       IF(
         OR(AND(check=TRUE, REGEXMATCH(target, ""SELF_AFFECTED_ALL""), job=""ナイト""), AND(check=O"&amp;"ption!$E$13, REGEXMATCH(target, ""SINGLE_AFFECTED_ALL""))),
         buff,
         1
       )
     )
   )
 )"),1.0)</f>
        <v>1</v>
      </c>
      <c r="EX59" s="206">
        <f>IFERROR(__xludf.DUMMYFUNCTION("SUM(
   MAP(
     K$3:ED$3,
     K$7:ED$7,
     K$15:ED$15,
     K$16:ED$16,
     K$21:ED$21,
     K$5:ED$5,
     K$17:ED$17,
     K59:ED59,
     LAMBDA(
       job,
       abillity,
       buff,
       barrier,
       enhance,
       assign,
       preco"&amp;"ndition,
       check,
       IF(
         OR(AND(check=TRUE, REGEXMATCH(assign, ""SELF""), job=""ナイト""), AND(check=Option!$E$13, REGEXMATCH(assign, ""SINGLE_PARTY""))),
         IF(
           OR(ARRAYFORMULA((IF(precondition="""", FALSE, REGEXMATCH($K$4"&amp;":$ED$4, precondition))) * (K59:ED59=TRUE))),
           enhance,
           IF(barrier="""", buff, barrier)
         ),
         0
       ) *
       SWITCH(
         job,
         ""暗黒騎士"", EY$24,
         ""白魔道士"", EF59 * EH59 * EW59 * IF(abillity, 1, EG"&amp;"59 * EI59) * (Option!$D$22 * 0.81 / 100),
         ""占星術師"", EF59 * EJ59 * EW59 * IF(abillity, 1, EG59 * EK59) * (Option!$D$23 * 0.81 / 100),
         ""学者"", EF59 * EL59 * EW59 * IF(abillity, 1, EG59 * EM59) * (Option!$D$24 * 0.81 / 100),
         ""賢者"""&amp;", EF59 * EN59 * EW59 * IF(abillity, 1, EG59 * EO59) * (Option!$D$25 * 0.81 / 100),
         1
       )
     )
   )
 ) + EQ59"),0.0)</f>
        <v>0</v>
      </c>
      <c r="EY59" s="232">
        <f t="shared" si="7"/>
        <v>0</v>
      </c>
      <c r="EZ59" s="205">
        <f>IFERROR(__xludf.DUMMYFUNCTION("PRODUCT(
   MAP(
     IF($F59=""Physical"", K$10:ED$10, IF($F59=""Magic"", K$11:ED$11, K$12:ED$12)),
     IF($F59=""Physical"", K$18:ED$18, IF($F59=""Magic"", K$19:ED$19, K$20:ED$20)),
     K$3:ED$3,
     K$5:ED$5,
     K$17:ED$17,
     K59:ED59,
     LAM"&amp;"BDA(
       mitigation,
       enhance,
       job,
       assign,
       precondition,
       check,
       IF(
         OR(AND(check=TRUE, REGEXMATCH(assign, ""SELF""), job=""戦士""), AND(check=Option!$F$13, REGEXMATCH(assign, ""SINGLE_PARTY""))),
       "&amp;"  IF(
           OR(ARRAYFORMULA((IF(precondition="""", FALSE, REGEXMATCH($K$4:$ED$4, precondition))) * (K59:ED59=TRUE))),
           enhance,
           mitigation
         ),
         1
       )
     )
   )
 ) * EE59"),1.0)</f>
        <v>1</v>
      </c>
      <c r="FA59" s="206">
        <f t="shared" si="8"/>
        <v>0</v>
      </c>
      <c r="FB59" s="205">
        <f>IFERROR(__xludf.DUMMYFUNCTION("PRODUCT(
   MAP(
     K$3:ED$3,
     K$14:ED$14,
     K$13:ED$13,
     K59:ED59,
     LAMBDA(
       job,
       buff,
       target,
       check,
       IF(
         OR(AND(check=TRUE, REGEXMATCH(target, ""SELF_AFFECTED_ALL""), job=""戦士""), AND(check=Op"&amp;"tion!$F$13, REGEXMATCH(target, ""SINGLE_AFFECTED_ALL""))),
         buff,
         1
       )
     )
   )
 )"),1.0)</f>
        <v>1</v>
      </c>
      <c r="FC59" s="206">
        <f>IFERROR(__xludf.DUMMYFUNCTION("SUM(
   MAP(
     K$3:ED$3,
     K$7:ED$7,
     K$15:ED$15,
     K$16:ED$16,
     K$21:ED$21,
     K$5:ED$5,
     K$17:ED$17,
     K59:ED59,
     LAMBDA(
       job,
       abillity,
       buff,
       barrier,
       enhance,
       assign,
       preco"&amp;"ndition,
       check,
       IF(
         OR(AND(check=TRUE, REGEXMATCH(assign, ""SELF""), job=""戦士""), AND(check=Option!$F$13, REGEXMATCH(assign, ""SINGLE_PARTY""))),
         IF(
           OR(ARRAYFORMULA((IF(precondition="""", FALSE, REGEXMATCH($K$4:"&amp;"$ED$4, precondition))) * (K59:ED59=TRUE))),
           enhance,
           IF(barrier="""", buff, barrier)
         ),
         0
       ) *
       SWITCH(
         job,
         ""暗黒騎士"", FD$24,
         ""白魔道士"", EF59 * EH59 * FB59 * IF(abillity, 1, EG5"&amp;"9 * EI59) * (Option!$D$22 * 0.81 / 100),
         ""占星術師"", EF59 * EJ59 * FFB59 * IF(abillity, 1, EG59 * EK59) * (Option!$D$23 * 0.81 / 100),
         ""学者"", EF59 * EL59 * FB59 * IF(abillity, 1, EG59 * EM59) * (Option!$D$24 * 0.81 / 100),
         ""賢者"""&amp;", EF59 * EN59 * FB59 * IF(abillity, 1, EG59 * EO59) * (Option!$D$25 * 0.81 / 100),
         1
       )
     )
   )
 ) + EQ59"),0.0)</f>
        <v>0</v>
      </c>
      <c r="FD59" s="206">
        <f t="shared" si="9"/>
        <v>0</v>
      </c>
      <c r="FE59" s="205">
        <f>IFERROR(__xludf.DUMMYFUNCTION("PRODUCT(
   MAP(
     IF($F59=""Physical"", K$10:ED$10, IF($F59=""Magic"", K$11:ED$11, K$12:ED$12)),
     IF($F59=""Physical"", K$18:ED$18, IF($F59=""Magic"", K$19:ED$19, K$20:ED$20)),
     K$3:ED$3,
     K$5:ED$5,
     K$17:ED$17,
     K59:ED59,
     LAM"&amp;"BDA(
       mitigation,
       enhance,
       job,
       assign,
       precondition,
       check,
       IF(
         OR(AND(check=TRUE, REGEXMATCH(assign, ""SELF""), job=""暗黒騎士""), AND(check=Option!$G$13, REGEXMATCH(assign, ""SINGLE_PARTY""))),
     "&amp;"    IF(
           OR(ARRAYFORMULA((IF(precondition="""", FALSE, REGEXMATCH($K$4:$ED$4, precondition))) * (K59:ED59=TRUE))),
           enhance,
           mitigation
         ),
         1
       )
     )
   )
 ) * EE59"),1.0)</f>
        <v>1</v>
      </c>
      <c r="FF59" s="206">
        <f t="shared" si="10"/>
        <v>0</v>
      </c>
      <c r="FG59" s="205">
        <f>IFERROR(__xludf.DUMMYFUNCTION("PRODUCT(
   MAP(
     K$3:ED$3,
     K$14:ED$14,
     K$13:ED$13,
     K59:ED59,
     LAMBDA(
       job,
       buff,
       target,
       check,
       IF(
         OR(AND(check=TRUE, REGEXMATCH(target, ""SELF_AFFECTED_ALL""), job=""暗黒騎士""), AND(check="&amp;"Option!$G$13, REGEXMATCH(target, ""SINGLE_AFFECTED_ALL""))),
         buff,
         1
       )
     )
   )
 )"),1.0)</f>
        <v>1</v>
      </c>
      <c r="FH59" s="206">
        <f>IFERROR(__xludf.DUMMYFUNCTION("SUM(
   MAP(
     K$3:ED$3,
     K$7:ED$7,
     K$15:ED$15,
     K$16:ED$16,
     K$21:ED$21,
     K$5:ED$5,
     K$17:ED$17,
     K59:ED59,
     LAMBDA(
       job,
       abillity,
       buff,
       barrier,
       enhance,
       assign,
       preco"&amp;"ndition,
       check,
       IF(
         OR(AND(check=TRUE, REGEXMATCH(assign, ""SELF""), job=""暗黒騎士""), AND(check=Option!$G$13, REGEXMATCH(assign, ""SINGLE_PARTY""))),
         IF(
           OR(ARRAYFORMULA((IF(precondition="""", FALSE, REGEXMATCH($K$"&amp;"4:$ED$4, precondition))) * (K59:ED59=TRUE))),
           enhance,
           IF(barrier="""", buff, barrier)
         ),
         0
       ) *
       SWITCH(
         job,
         ""暗黒騎士"", FI$24,
         ""白魔道士"", EF59 * EH59 * FG59 * IF(abillity, 1, E"&amp;"G59 * EI59) * (Option!$D$22 * 0.81 / 100),
         ""占星術師"", EF59 * EJ59 * FG59 * IF(abillity, 1, EG59 * EK59) * (Option!$D$23 * 0.81 / 100),
         ""学者"", EF59 * EL59 * FG59 * IF(abillity, 1, EG59 * EM59) * (Option!$D$24 * 0.81 / 100),
         ""賢者"&amp;""", EF59 * EN59 * FG59 * IF(abillity, 1, EG59 * EO59) * (Option!$D$25 * 0.81 / 100),
         1
       )
     )
   )
 ) + EQ59"),0.0)</f>
        <v>0</v>
      </c>
      <c r="FI59" s="206">
        <f t="shared" si="11"/>
        <v>0</v>
      </c>
      <c r="FJ59" s="205">
        <f>IFERROR(__xludf.DUMMYFUNCTION("PRODUCT(
   MAP(
     IF($F59=""Physical"", K$10:ED$10, IF($F59=""Magic"", K$11:ED$11, K$12:ED$12)),
     IF($F59=""Physical"", K$18:ED$18, IF($F59=""Magic"", K$19:ED$19, K$20:ED$20)),
     K$3:ED$3,
     K$5:ED$5,
     K$17:ED$17,
     K59:ED59,
     LAM"&amp;"BDA(
       mitigation,
       enhance,
       job,
       assign,
       precondition,
       check,
       IF(
         OR(AND(check=TRUE, REGEXMATCH(assign, ""SELF""), job=""ガンブレイカー""), AND(check=Option!$H$13, REGEXMATCH(assign, ""SINGLE_PARTY""))),
  "&amp;"       IF(
           OR(ARRAYFORMULA((IF(precondition="""", FALSE, REGEXMATCH($K$4:$ED$4, precondition))) * (K59:ED59=TRUE))),
           enhance,
           mitigation
         ),
         1
       )
     )
   )
 ) * EE59"),1.0)</f>
        <v>1</v>
      </c>
      <c r="FK59" s="206">
        <f t="shared" si="12"/>
        <v>0</v>
      </c>
      <c r="FL59" s="205">
        <f>IFERROR(__xludf.DUMMYFUNCTION("PRODUCT(
   MAP(
     K$3:ED$3,
     K$14:ED$14,
     K$13:ED$13,
     K59:ED59,
     LAMBDA(
       job,
       buff,
       target,
       check,
       IF(
         OR(AND(check=TRUE, REGEXMATCH(target, ""SELF_AFFECTED_ALL""), job=""ガンブレイカー""), AND(che"&amp;"ck=Option!$H$13, REGEXMATCH(target, ""SINGLE_AFFECTED_ALL""))),
         buff,
         1
       )
     )
   )
 )"),1.0)</f>
        <v>1</v>
      </c>
      <c r="FM59" s="206">
        <f>IFERROR(__xludf.DUMMYFUNCTION("SUM(
   MAP(
     K$3:ED$3,
     K$7:ED$7,
     K$15:ED$15,
     K$16:ED$16,
     K$21:ED$21,
     K$5:ED$5,
     K$17:ED$17,
     K59:ED59,
     LAMBDA(
       job,
       abillity,
       buff,
       barrier,
       enhance,
       assign,
       preco"&amp;"ndition,
       check,
       IF(
         OR(AND(check=TRUE, REGEXMATCH(assign, ""SELF""), job=""ガンブレイカー""), AND(check=Option!$H$13, REGEXMATCH(assign, ""SINGLE_PARTY""))),
         IF(
           OR(ARRAYFORMULA((IF(precondition="""", FALSE, REGEXMATCH("&amp;"$K$4:$ED$4, precondition))) * (K59:ED59=TRUE))),
           enhance,
           IF(barrier="""", buff, barrier)
         ),
         0
       ) *
       SWITCH(
         job,
         ""暗黒騎士"", FN$24,
         ""白魔道士"", EF59 * EH59 * FL59 * IF(abillity, 1"&amp;", EG59 * EI59) * (Option!$D$22 * 0.81 / 100),
         ""占星術師"", EF59 * EJ59 * FL59 * IF(abillity, 1, EG59 * EK59) * (Option!$D$23 * 0.81 / 100),
         ""学者"", EF59 * EL59 * FL59 * IF(abillity, 1, EG59 * EM59) * (Option!$D$24 * 0.81 / 100),
         """&amp;"賢者"", EF59 * EN59 * FL59 * IF(abillity, 1, EG59 * EO59) * (Option!$D$25 * 0.81 / 100),
         1
       )
     )
   )
 ) + EQ59"),0.0)</f>
        <v>0</v>
      </c>
      <c r="FN59" s="206">
        <f t="shared" si="13"/>
        <v>0</v>
      </c>
      <c r="FO59" s="213"/>
    </row>
    <row r="60">
      <c r="B60" s="229"/>
      <c r="C60" s="217">
        <f t="shared" si="1"/>
        <v>0.00380787037</v>
      </c>
      <c r="D60" s="236"/>
      <c r="E60" s="238"/>
      <c r="F60" s="167"/>
      <c r="G60" s="168" t="str">
        <f t="shared" si="2"/>
        <v/>
      </c>
      <c r="H60" s="169"/>
      <c r="I60" s="169"/>
      <c r="J60" s="169"/>
      <c r="K60" s="170" t="b">
        <v>0</v>
      </c>
      <c r="L60" s="170" t="b">
        <v>0</v>
      </c>
      <c r="M60" s="170" t="b">
        <v>0</v>
      </c>
      <c r="N60" s="171" t="s">
        <v>1070</v>
      </c>
      <c r="O60" s="172" t="b">
        <v>0</v>
      </c>
      <c r="P60" s="173" t="b">
        <v>0</v>
      </c>
      <c r="Q60" s="173" t="b">
        <v>0</v>
      </c>
      <c r="R60" s="173" t="b">
        <v>0</v>
      </c>
      <c r="S60" s="174" t="b">
        <v>0</v>
      </c>
      <c r="T60" s="175" t="b">
        <v>0</v>
      </c>
      <c r="U60" s="173" t="b">
        <v>0</v>
      </c>
      <c r="V60" s="171" t="s">
        <v>1070</v>
      </c>
      <c r="W60" s="172" t="b">
        <v>0</v>
      </c>
      <c r="X60" s="173" t="b">
        <v>0</v>
      </c>
      <c r="Y60" s="173" t="b">
        <v>0</v>
      </c>
      <c r="Z60" s="173" t="b">
        <v>0</v>
      </c>
      <c r="AA60" s="174" t="b">
        <v>0</v>
      </c>
      <c r="AB60" s="174" t="b">
        <v>0</v>
      </c>
      <c r="AC60" s="175" t="b">
        <v>0</v>
      </c>
      <c r="AD60" s="173" t="b">
        <v>0</v>
      </c>
      <c r="AE60" s="176" t="s">
        <v>1070</v>
      </c>
      <c r="AF60" s="171" t="s">
        <v>1070</v>
      </c>
      <c r="AG60" s="177">
        <f>IFERROR(__xludf.DUMMYFUNCTION("IF(
  ISNUMBER(AG59),
  MIN(MAX(
    AG59
    + MAX(
      ROUNDDOWN(($D60 - MAX(IFERROR(FILTER($D$24:$D59, AG$24:AG59 &lt;&gt; AF$6, AG$23:AG58 = AF$6), 0))) * (60 * 60 * 24) / AF$9) - ROUNDDOWN(($D59 - MAX(IFERROR(FILTER($D$23:$D58, AG$23:AG58 &lt;&gt; AF$6, AG$22:"&amp;"AG57 = AF$6), 0))) * (60 * 60 * 24) / 60),
      0
    )
    - COUNTIF(AF60, ""&lt;&gt;-""),
  0), AF$6),
  AF$6 - COUNTIF(AF60, ""&lt;&gt;-"")
)"),2.0)</f>
        <v>2</v>
      </c>
      <c r="AH60" s="173" t="b">
        <v>0</v>
      </c>
      <c r="AI60" s="173" t="b">
        <v>0</v>
      </c>
      <c r="AJ60" s="173" t="b">
        <v>0</v>
      </c>
      <c r="AK60" s="174" t="b">
        <v>0</v>
      </c>
      <c r="AL60" s="175" t="b">
        <v>0</v>
      </c>
      <c r="AM60" s="173" t="b">
        <v>0</v>
      </c>
      <c r="AN60" s="171" t="s">
        <v>1070</v>
      </c>
      <c r="AO60" s="173" t="b">
        <v>0</v>
      </c>
      <c r="AP60" s="173" t="b">
        <v>0</v>
      </c>
      <c r="AQ60" s="173" t="b">
        <v>0</v>
      </c>
      <c r="AR60" s="174" t="b">
        <v>0</v>
      </c>
      <c r="AS60" s="178" t="b">
        <v>0</v>
      </c>
      <c r="AT60" s="179" t="b">
        <v>0</v>
      </c>
      <c r="AU60" s="180" t="b">
        <v>0</v>
      </c>
      <c r="AV60" s="180" t="b">
        <v>0</v>
      </c>
      <c r="AW60" s="180" t="b">
        <v>0</v>
      </c>
      <c r="AX60" s="180" t="b">
        <v>0</v>
      </c>
      <c r="AY60" s="181" t="s">
        <v>1070</v>
      </c>
      <c r="AZ60" s="181" t="s">
        <v>1070</v>
      </c>
      <c r="BA60" s="184">
        <f>IFERROR(__xludf.DUMMYFUNCTION("IF(
  ISNUMBER(BA59),
  MIN(MAX(
    BA59
    + MAX(
      ROUNDDOWN((D60 - MAX(IFERROR(FILTER(D$24:D59, BA$24:BA59 &lt;&gt; AZ$6, BA$23:BA58 = AZ$6), 0))) * (60 * 60 * 24) / AZ$9) - ROUNDDOWN((D59 - MAX(IFERROR(FILTER(D$23:D58, BA$23:BA58 &lt;&gt; AZ$6, BA$22:BA57 ="&amp;" AZ$6), 0))) * (60 * 60 * 24) / AZ$9),
      0
    )
    - COUNTIF(AZ60, ""&lt;&gt;-""),
  0), AZ$6),
  AZ$6 - COUNTIF(AZ60, ""&lt;&gt;-"")
)"),2.0)</f>
        <v>2</v>
      </c>
      <c r="BB60" s="181" t="s">
        <v>1070</v>
      </c>
      <c r="BC60" s="183">
        <f>IFERROR(__xludf.DUMMYFUNCTION("IF(
  ISNUMBER(BC59),
  MIN(MAX(
    BC59
    + MAX(
      ROUNDDOWN(($D60 - MAX(IFERROR(FILTER($D$24:$D59, BC$24:BC59 &lt;&gt; BB$6, BC$23:BC58 = BB$6), 0))) * (60 * 60 * 24) / BB$9) - ROUNDDOWN(($D59 - MAX(IFERROR(FILTER($D$23:$D58, BC$23:BC58 &lt;&gt; BB$6, BC$22:"&amp;"BC57 = BB$6), 0))) * (60 * 60 * 24) / 60),
      0
    )
    - COUNTIF(BB60, ""&lt;&gt;-""),
  0), BB$6),
  BB$6 - COUNTIF(BB60, ""&lt;&gt;-"")
)"),2.0)</f>
        <v>2</v>
      </c>
      <c r="BD60" s="181" t="s">
        <v>1070</v>
      </c>
      <c r="BE60" s="178" t="b">
        <v>0</v>
      </c>
      <c r="BF60" s="180" t="b">
        <v>0</v>
      </c>
      <c r="BG60" s="180" t="b">
        <v>0</v>
      </c>
      <c r="BH60" s="180" t="b">
        <v>0</v>
      </c>
      <c r="BI60" s="180" t="b">
        <v>0</v>
      </c>
      <c r="BJ60" s="180" t="b">
        <v>0</v>
      </c>
      <c r="BK60" s="180" t="b">
        <v>0</v>
      </c>
      <c r="BL60" s="180" t="b">
        <v>0</v>
      </c>
      <c r="BM60" s="180" t="b">
        <v>0</v>
      </c>
      <c r="BN60" s="180" t="b">
        <v>0</v>
      </c>
      <c r="BO60" s="181" t="s">
        <v>1070</v>
      </c>
      <c r="BP60" s="181" t="s">
        <v>1070</v>
      </c>
      <c r="BQ60" s="181" t="s">
        <v>1070</v>
      </c>
      <c r="BR60" s="181" t="s">
        <v>1070</v>
      </c>
      <c r="BS60" s="181" t="s">
        <v>1070</v>
      </c>
      <c r="BT60" s="184">
        <f>IFERROR(__xludf.DUMMYFUNCTION("IF(
  ISNUMBER(BT59),
  MIN(MAX(
    BT59
    + MAX(
      ROUNDDOWN((D60 - MAX(IFERROR(FILTER(D$24:D59, BT$24:BT59 &lt;&gt; BS$6, BT$23:BT58 = BS$6), 0))) * (60 * 60 * 24) / BS$9) - ROUNDDOWN((D59 - MAX(IFERROR(FILTER(D$23:D58, BT$23:BT58 &lt;&gt; BS$6, BT$22:BT57 ="&amp;" BS$6), 0))) * (60 * 60 * 24) / BS$9),
      0
    )
    - COUNTIF(BS60, ""&lt;&gt;-""),
  0), BS$6),
  BS$6 - COUNTIF(BS60, ""&lt;&gt;-"")
)"),3.0)</f>
        <v>3</v>
      </c>
      <c r="BU60" s="181" t="s">
        <v>1070</v>
      </c>
      <c r="BV60" s="181" t="s">
        <v>1070</v>
      </c>
      <c r="BW60" s="184">
        <f>IFERROR(__xludf.DUMMYFUNCTION("IF(
  ISNUMBER(BW59),
  MIN(MAX(
    BW59
    + MAX(
      ROUNDDOWN((D60 - MAX(IFERROR(FILTER(D$24:D59, BW$24:BW59 &lt;&gt; BV$6, BW$23:BW58 = BV$6), 0))) * (60 * 60 * 24) / BV$9) - ROUNDDOWN((D59 - MAX(IFERROR(FILTER(D$23:D58, BW$23:BW58 &lt;&gt; BV$6, BW$22:BW57 ="&amp;" BV$6), 0))) * (60 * 60 * 24) / BV$9),
      0
    )
    - COUNTIF(BV60, ""&lt;&gt;-""),
  0), BV$6),
  BV$6 - COUNTIF(BV60, ""&lt;&gt;-"")
)"),2.0)</f>
        <v>2</v>
      </c>
      <c r="BX60" s="185" t="s">
        <v>1070</v>
      </c>
      <c r="BY60" s="178" t="b">
        <v>0</v>
      </c>
      <c r="BZ60" s="180" t="b">
        <v>0</v>
      </c>
      <c r="CA60" s="180" t="b">
        <v>0</v>
      </c>
      <c r="CB60" s="180" t="b">
        <v>0</v>
      </c>
      <c r="CC60" s="180" t="b">
        <v>0</v>
      </c>
      <c r="CD60" s="180" t="b">
        <v>0</v>
      </c>
      <c r="CE60" s="180" t="b">
        <v>0</v>
      </c>
      <c r="CF60" s="180" t="b">
        <v>0</v>
      </c>
      <c r="CG60" s="180" t="b">
        <v>0</v>
      </c>
      <c r="CH60" s="180" t="b">
        <v>0</v>
      </c>
      <c r="CI60" s="180" t="b">
        <v>0</v>
      </c>
      <c r="CJ60" s="180" t="b">
        <v>0</v>
      </c>
      <c r="CK60" s="180" t="b">
        <v>0</v>
      </c>
      <c r="CL60" s="180" t="b">
        <v>0</v>
      </c>
      <c r="CM60" s="181" t="s">
        <v>1070</v>
      </c>
      <c r="CN60" s="181" t="s">
        <v>1070</v>
      </c>
      <c r="CO60" s="181" t="s">
        <v>1070</v>
      </c>
      <c r="CP60" s="181" t="s">
        <v>1070</v>
      </c>
      <c r="CQ60" s="185" t="s">
        <v>1070</v>
      </c>
      <c r="CR60" s="180" t="b">
        <v>0</v>
      </c>
      <c r="CS60" s="186" t="str">
        <f t="shared" si="14"/>
        <v>◇◇◇</v>
      </c>
      <c r="CT60" s="178" t="b">
        <v>0</v>
      </c>
      <c r="CU60" s="180" t="b">
        <v>0</v>
      </c>
      <c r="CV60" s="180" t="b">
        <v>0</v>
      </c>
      <c r="CW60" s="180" t="b">
        <v>0</v>
      </c>
      <c r="CX60" s="180" t="b">
        <v>0</v>
      </c>
      <c r="CY60" s="180" t="b">
        <v>0</v>
      </c>
      <c r="CZ60" s="180" t="b">
        <v>0</v>
      </c>
      <c r="DA60" s="180" t="b">
        <v>0</v>
      </c>
      <c r="DB60" s="180" t="b">
        <v>0</v>
      </c>
      <c r="DC60" s="180" t="b">
        <v>0</v>
      </c>
      <c r="DD60" s="181" t="s">
        <v>1070</v>
      </c>
      <c r="DE60" s="181" t="s">
        <v>1070</v>
      </c>
      <c r="DF60" s="181" t="s">
        <v>1070</v>
      </c>
      <c r="DG60" s="185" t="s">
        <v>1070</v>
      </c>
      <c r="DH60" s="180" t="b">
        <v>0</v>
      </c>
      <c r="DI60" s="187" t="str">
        <f>IFERROR(__xludf.DUMMYFUNCTION("SWITCH(
  IF(
    ISTEXT(DI59),
    IF (
      FIND(""○"", DI59&amp;""○"") &gt; 3,
      3,
      FIND(""○"", DI59&amp;""○"")
      + MAX(
        ROUNDDOWN(($D60 - MAX(IFERROR(FILTER(D$24:D59, DI$24:DI59 &lt;&gt; ""●●●"", DI$23:DI58 = ""●●●""), 0))) * (60 * 60 * 24) / 20"&amp;") - ROUNDDOWN(($D59 - MAX(IFERROR(FILTER(D$23:D58, DI$23:DI58 &lt;&gt; ""●●●"", DI$22:DI57 = ""●●●""), 0))) * (60 * 60 * 24) / 20),
        0
      ) - 1
    ) - COUNTIFS(CU60, ""=TRUE"", CU59, ""&lt;&gt;TRUE"") - COUNTIF(CZ60, ""=TRUE"") - COUNTIF({DD60,DE60}, ""&lt;&gt;-"&amp;""") + COUNTIF(DH60, ""=TRUE""),
    3
  ),
  0, ""○○○"", 1, ""●○○"", 2, ""●●○"", 3, ""●●●"", 4, ""●●●"", ""○○○""
)"),"●●●")</f>
        <v>●●●</v>
      </c>
      <c r="DJ60" s="188" t="b">
        <v>0</v>
      </c>
      <c r="DK60" s="189" t="b">
        <v>0</v>
      </c>
      <c r="DL60" s="190" t="b">
        <v>0</v>
      </c>
      <c r="DM60" s="190" t="b">
        <v>0</v>
      </c>
      <c r="DN60" s="190" t="b">
        <v>0</v>
      </c>
      <c r="DO60" s="190" t="b">
        <v>0</v>
      </c>
      <c r="DP60" s="190" t="b">
        <v>0</v>
      </c>
      <c r="DQ60" s="191" t="b">
        <v>0</v>
      </c>
      <c r="DR60" s="192" t="b">
        <v>0</v>
      </c>
      <c r="DS60" s="191" t="b">
        <v>0</v>
      </c>
      <c r="DT60" s="192" t="b">
        <v>0</v>
      </c>
      <c r="DU60" s="191" t="b">
        <v>0</v>
      </c>
      <c r="DV60" s="193" t="s">
        <v>1070</v>
      </c>
      <c r="DW60" s="194" t="b">
        <v>0</v>
      </c>
      <c r="DX60" s="194" t="b">
        <v>0</v>
      </c>
      <c r="DY60" s="195" t="b">
        <v>0</v>
      </c>
      <c r="DZ60" s="196" t="b">
        <v>0</v>
      </c>
      <c r="EA60" s="195" t="b">
        <v>0</v>
      </c>
      <c r="EB60" s="197" t="b">
        <v>0</v>
      </c>
      <c r="EC60" s="197" t="b">
        <v>0</v>
      </c>
      <c r="ED60" s="212" t="b">
        <v>0</v>
      </c>
      <c r="EE60" s="199">
        <f>IFERROR(__xludf.DUMMYFUNCTION("IFERROR(
   PRODUCT(
     MAP(
       INDEX(TRANSPOSE(UNIQUE(TRANSPOSE(FILTER({IF($F60=""Physical"", K$10:ED$10, IF($F60=""Magic"", K$11:ED$11, K$12:ED$12));K$4:ED$4;K60:ED60}, K60:ED60=TRUE)))), 1, 0),
       INDEX(TRANSPOSE(UNIQUE(TRANSPOSE(FILTER({IF($"&amp;"F60=""Physical"", K$18:ED$18, IF($F60=""Magic"", K$19:ED$19, K$20:ED$20));K$4:ED$4;K60:ED60}, K60:ED60=TRUE)))), 1, 0),
       INDEX(TRANSPOSE(UNIQUE(TRANSPOSE(FILTER({K$5:ED$5;K$4:ED$4;K60:ED60}, K60:ED60=TRUE)))), 1, 0),
       INDEX(TRANSPOSE(UNIQUE(TR"&amp;"ANSPOSE(FILTER({K$17:ED$17;K$4:ED$4;K60:ED60}, K60:ED60=TRUE)))), 1, 0),
       LAMBDA(
         mitigation,
         enhance,
         assign,
         precondition,
         IF(
           REGEXMATCH(assign, ""RANGE_PARTY|SINGLE_ENEMY|RANGE_ENEMY""),
  "&amp;"         IF(
             OR(ARRAYFORMULA((IF(precondition="""", FALSE, REGEXMATCH(K$4:ED$4, precondition))) * (K60:ED60=TRUE))),
             IF(ISNUMBER(enhance), enhance, 1),
             IF(ISNUMBER(mitigation), mitigation, 1)
           ),
          "&amp;" 1
         )
       )
     )
   ),
   1
 )"),1.0)</f>
        <v>1</v>
      </c>
      <c r="EF60" s="200">
        <f>IFERROR(__xludf.DUMMYFUNCTION("PRODUCT(
   MAP(
     K$14:ED$14,
     K$13:ED$13,
     K60:ED60,
     LAMBDA(
       buff,
       target,
       check,
       IF(
         AND(check=TRUE, REGEXMATCH(target, ""RANGE_AFFECTED_ALL|RANGE_EFFECTED_ALL""), ISNUMBER(buff)),
         buff,
   "&amp;"      1
       )
     )
   )
 )"),1.0)</f>
        <v>1</v>
      </c>
      <c r="EG60" s="200">
        <f>IFERROR(__xludf.DUMMYFUNCTION("PRODUCT(
   MAP(
     K$14:ED$14,
     K$13:ED$13,
     K60:ED60,
     LAMBDA(
       buff,
       target,
       check,
       IF(
         AND(check=TRUE, REGEXMATCH(target, ""RANGE_AFFECTED_GCD|RANGE_EFFECTED_GCD""), ISNUMBER(buff)),
         buff,
   "&amp;"      1
       )
     )
   )
 )"),1.0)</f>
        <v>1</v>
      </c>
      <c r="EH60" s="200">
        <f>IFERROR(__xludf.DUMMYFUNCTION("PRODUCT(
   MAP(
     K$3:ED$3,
     K$14:ED$14,
     K$13:ED$13,
     K60:ED60,
     LAMBDA(
       job,
       buff,
       target,
       check,
       IF(
         AND(check=TRUE, REGEXMATCH(target, ""SELF_EFFECTED_ALL""), ISNUMBER(buff), job=""白魔道士"""&amp;"),
         buff,
         1
       )
     )
   )
 )"),1.0)</f>
        <v>1</v>
      </c>
      <c r="EI60" s="200">
        <f>IFERROR(__xludf.DUMMYFUNCTION("PRODUCT(
   MAP(
     K$3:ED$3,
     K$14:ED$14,
     K$13:ED$13,
     K60:ED60,
     LAMBDA(
       job,
       buff,
       target,
       check,
       IF(
         AND(check=TRUE, REGEXMATCH(target, ""SELF_EFFECTED_GCD""), ISNUMBER(buff), job=""白魔道士"""&amp;"),
         buff,
         1
       )
     )
   )
 )"),1.0)</f>
        <v>1</v>
      </c>
      <c r="EJ60" s="200">
        <f>IFERROR(__xludf.DUMMYFUNCTION("PRODUCT(
   MAP(
     K$3:ED$3,
     K$14:ED$14,
     K$13:ED$13,
     K60:ED60,
     LAMBDA(
       job,
       buff,
       target,
       check,
       IF(
         AND(check=TRUE, REGEXMATCH(target, ""SELF_EFFECTED_ALL""), ISNUMBER(buff), job=""占星術師"""&amp;"),
         buff,
         1
       )
     )
   )
 )"),1.0)</f>
        <v>1</v>
      </c>
      <c r="EK60" s="200">
        <f>IFERROR(__xludf.DUMMYFUNCTION("PRODUCT(
   MAP(
     K$3:ED$3,
     K$14:ED$14,
     K$13:ED$13,
     K60:ED60,
     LAMBDA(
       job,
       buff,
       target,
       check,
       IF(
         AND(check=TRUE, REGEXMATCH(target, ""SELF_EFFECTED_GCD""), ISNUMBER(buff), job=""占星術師"""&amp;"),
         buff,
         1
       )
     )
   )
 )"),1.0)</f>
        <v>1</v>
      </c>
      <c r="EL60" s="200">
        <f>IFERROR(__xludf.DUMMYFUNCTION("PRODUCT(
   MAP(
     K$3:ED$3,
     K$14:ED$14,
     K$13:ED$13,
     K60:ED60,
     LAMBDA(
       job,
       buff,
       target,
       check,
       IF(
         AND(check=TRUE, REGEXMATCH(target, ""SELF_EFFECTED_ALL""), ISNUMBER(buff), job=""学者""),"&amp;"
         buff,
         1
       )
     )
   )
 )"),1.0)</f>
        <v>1</v>
      </c>
      <c r="EM60" s="200">
        <f>IFERROR(__xludf.DUMMYFUNCTION("PRODUCT(
   MAP(
     K$3:ED$3,
     K$14:ED$14,
     K$13:ED$13,
     K60:ED60,
     LAMBDA(
       job,
       buff,
       target,
       check,
       IF(
         AND(check=TRUE, REGEXMATCH(target, ""SELF_EFFECTED_GCD""), ISNUMBER(buff), job=""学者""),"&amp;"
         buff,
         1
       )
     )
   )
 )"),1.0)</f>
        <v>1</v>
      </c>
      <c r="EN60" s="200">
        <f>IFERROR(__xludf.DUMMYFUNCTION("PRODUCT(
   MAP(
     K$3:ED$3,
     K$14:ED$14,
     K$13:ED$13,
     K60:ED60,
     LAMBDA(
       job,
       buff,
       target,
       check,
       IF(
         AND(check=TRUE, REGEXMATCH(target, ""SELF_EFFECTED_ALL""), ISNUMBER(buff), job=""賢者""),"&amp;"
         buff,
         1
       )
     )
   )
 )"),1.0)</f>
        <v>1</v>
      </c>
      <c r="EO60" s="200">
        <f>IFERROR(__xludf.DUMMYFUNCTION("PRODUCT(
   MAP(
     K$3:ED$3,
     K$14:ED$14,
     K$13:ED$13,
     K60:ED60,
     LAMBDA(
       job,
       buff,
       target,
       check,
       IF(
         AND(check=TRUE, REGEXMATCH(target, ""SELF_EFFECTED_GCD""), ISNUMBER(buff), job=""賢者""),"&amp;"
         buff,
         1
       )
     )
   )
 )"),1.0)</f>
        <v>1</v>
      </c>
      <c r="EP60" s="201">
        <f t="shared" si="3"/>
        <v>0</v>
      </c>
      <c r="EQ60" s="201">
        <f>IFERROR(__xludf.DUMMYFUNCTION("SUM(
   MAP(
     K$4:ED$4,
     K$3:ED$3,
     K$7:ED$7,
     K$15:ED$15,
     K$16:ED$16,
     K$21:ED$21,
     K$5:ED$5,
     K$17:ED$17,
     K60:ED60,
     LAMBDA(
       name,
       job,
       abillity,
       buff,
       barrier,
       enhance,"&amp;"
       assign,
       precondition,
       check,
       SWITCH(
         name,
         ""シェイクオフ"", IF(check=TRUE, buff + (0.02 * COUNTIF(ARRAYFORMULA((REGEXMATCH($K$4:$ED$4, ""スリル・オブ・バトル|ヴェンジェンス|原初の血気|ダムネーション"")) * (K60:ED60=TRUE)), 1)), 0),
         "&amp;"""インプロビゼーションフィニッシュ(踊りの激情0)"", IF(ISNUMBER(check), INDEX(Skill!$AJ:$AJ, MATCH(SUBSTITUTE(DV$4, 0, check), Skill!$C:$C, 0)), 0),
         IF(
           AND(check=TRUE, REGEXMATCH(assign, ""RANGE_PARTY"")),
           IF(
             OR(ARRAYFORMULA((IF(pr"&amp;"econdition="""", FALSE, REGEXMATCH($K$4:$ED$4, precondition))) * (K60:ED60=TRUE))),
             enhance,
             IF(barrier="""", buff, barrier)
           ),
           0
         )
       ) *
       SWITCH(
         job,
         ""ナイト"", EY$24,
 "&amp;"        ""戦士"", FD$24,
         ""踊り子"", ET$24,
         ""ピクトマンサー"", ET$24,
         ""白魔道士"", EF60 * EH60 * IF(abillity, 1, EG60 * EI60) * (Option!$D$22 * 0.81 / 100),
         ""占星術師"", EF60 * EJ60 * IF(abillity, 1, EG60 * EK60) * (Option!$D$23 * 0.81 "&amp;"/ 100),
         ""学者"", EF60 * EL60 * IF(abillity, 1, EG60 * EM60) * (Option!$D$24 * 0.81 / 100),
         ""賢者"", EF60 * EN60 * IF(abillity, 1, EG60 * EO60) * (Option!$D$25 * 0.81 / 100),
         1
       )
     )
   )
 )"),0.0)</f>
        <v>0</v>
      </c>
      <c r="ER60" s="202">
        <f t="shared" si="4"/>
        <v>0</v>
      </c>
      <c r="ES60" s="203">
        <f t="shared" si="5"/>
        <v>0</v>
      </c>
      <c r="ET60" s="231" t="str">
        <f>IFERROR(__xludf.DUMMYFUNCTION("IFS(
  EP60 &gt; $ET$24 + EQ60,
  SPARKLINE({ 1, 0 }, {""charttype"",""bar"";""max"", 1;""color1"",Option!$D$30;""color2"",Option!$D$30}),
  EP60 &lt; EQ60,
  SPARKLINE({EQ60 - EP60, $ET$24 - (EQ60 - EP60)}, {""charttype"",""bar"";""max"",$ET$24;""color1"",Opti"&amp;"on!$D$28;""color2"",Option!$D$29}),
  EP60 &gt;= EQ60,
  SPARKLINE({$ET$24 + EQ60 - EP60,EP60 - EQ60}, {""charttype"",""bar"";""max"",$ET$24;""color1"",Option!$D$29;""color2"",Option!$D$30})
)"),"")</f>
        <v/>
      </c>
      <c r="EU60" s="205">
        <f>IFERROR(__xludf.DUMMYFUNCTION("PRODUCT(
   MAP(
     IF($F60=""Physical"", K$10:ED$10, IF($F60=""Magic"", K$11:ED$11, K$12:ED$12)),
     IF($F60=""Physical"", K$18:ED$18, IF($F60=""Magic"", K$19:ED$19, K$20:ED$20)),
     K$3:ED$3,
     K$5:ED$5,
     K$17:ED$17,
     K60:ED60,
     LAM"&amp;"BDA(
       mitigation,
       enhance,
       job,
       assign,
       precondition,
       check,
       IF(
         OR(AND(check=TRUE, REGEXMATCH(assign, ""SELF""), job=""ナイト""), AND(check=Option!$E$13, REGEXMATCH(assign, ""SINGLE_PARTY""))),
      "&amp;"   IF(
           OR(ARRAYFORMULA((IF(precondition="""", FALSE, REGEXMATCH($K$4:$ED$4, precondition))) * (K60:ED60=TRUE))),
           enhance,
           mitigation
         ),
         1
       )
     )
   )
 ) * EE60"),1.0)</f>
        <v>1</v>
      </c>
      <c r="EV60" s="206">
        <f t="shared" si="6"/>
        <v>0</v>
      </c>
      <c r="EW60" s="205">
        <f>IFERROR(__xludf.DUMMYFUNCTION("PRODUCT(
   MAP(
     K$3:ED$3,
     K$14:ED$14,
     K$13:ED$13,
     K60:ED60,
     LAMBDA(
       job,
       buff,
       target,
       check,
       IF(
         OR(AND(check=TRUE, REGEXMATCH(target, ""SELF_AFFECTED_ALL""), job=""ナイト""), AND(check=O"&amp;"ption!$E$13, REGEXMATCH(target, ""SINGLE_AFFECTED_ALL""))),
         buff,
         1
       )
     )
   )
 )"),1.0)</f>
        <v>1</v>
      </c>
      <c r="EX60" s="206">
        <f>IFERROR(__xludf.DUMMYFUNCTION("SUM(
   MAP(
     K$3:ED$3,
     K$7:ED$7,
     K$15:ED$15,
     K$16:ED$16,
     K$21:ED$21,
     K$5:ED$5,
     K$17:ED$17,
     K60:ED60,
     LAMBDA(
       job,
       abillity,
       buff,
       barrier,
       enhance,
       assign,
       preco"&amp;"ndition,
       check,
       IF(
         OR(AND(check=TRUE, REGEXMATCH(assign, ""SELF""), job=""ナイト""), AND(check=Option!$E$13, REGEXMATCH(assign, ""SINGLE_PARTY""))),
         IF(
           OR(ARRAYFORMULA((IF(precondition="""", FALSE, REGEXMATCH($K$4"&amp;":$ED$4, precondition))) * (K60:ED60=TRUE))),
           enhance,
           IF(barrier="""", buff, barrier)
         ),
         0
       ) *
       SWITCH(
         job,
         ""暗黒騎士"", EY$24,
         ""白魔道士"", EF60 * EH60 * EW60 * IF(abillity, 1, EG"&amp;"60 * EI60) * (Option!$D$22 * 0.81 / 100),
         ""占星術師"", EF60 * EJ60 * EW60 * IF(abillity, 1, EG60 * EK60) * (Option!$D$23 * 0.81 / 100),
         ""学者"", EF60 * EL60 * EW60 * IF(abillity, 1, EG60 * EM60) * (Option!$D$24 * 0.81 / 100),
         ""賢者"""&amp;", EF60 * EN60 * EW60 * IF(abillity, 1, EG60 * EO60) * (Option!$D$25 * 0.81 / 100),
         1
       )
     )
   )
 ) + EQ60"),0.0)</f>
        <v>0</v>
      </c>
      <c r="EY60" s="232">
        <f t="shared" si="7"/>
        <v>0</v>
      </c>
      <c r="EZ60" s="205">
        <f>IFERROR(__xludf.DUMMYFUNCTION("PRODUCT(
   MAP(
     IF($F60=""Physical"", K$10:ED$10, IF($F60=""Magic"", K$11:ED$11, K$12:ED$12)),
     IF($F60=""Physical"", K$18:ED$18, IF($F60=""Magic"", K$19:ED$19, K$20:ED$20)),
     K$3:ED$3,
     K$5:ED$5,
     K$17:ED$17,
     K60:ED60,
     LAM"&amp;"BDA(
       mitigation,
       enhance,
       job,
       assign,
       precondition,
       check,
       IF(
         OR(AND(check=TRUE, REGEXMATCH(assign, ""SELF""), job=""戦士""), AND(check=Option!$F$13, REGEXMATCH(assign, ""SINGLE_PARTY""))),
       "&amp;"  IF(
           OR(ARRAYFORMULA((IF(precondition="""", FALSE, REGEXMATCH($K$4:$ED$4, precondition))) * (K60:ED60=TRUE))),
           enhance,
           mitigation
         ),
         1
       )
     )
   )
 ) * EE60"),1.0)</f>
        <v>1</v>
      </c>
      <c r="FA60" s="206">
        <f t="shared" si="8"/>
        <v>0</v>
      </c>
      <c r="FB60" s="205">
        <f>IFERROR(__xludf.DUMMYFUNCTION("PRODUCT(
   MAP(
     K$3:ED$3,
     K$14:ED$14,
     K$13:ED$13,
     K60:ED60,
     LAMBDA(
       job,
       buff,
       target,
       check,
       IF(
         OR(AND(check=TRUE, REGEXMATCH(target, ""SELF_AFFECTED_ALL""), job=""戦士""), AND(check=Op"&amp;"tion!$F$13, REGEXMATCH(target, ""SINGLE_AFFECTED_ALL""))),
         buff,
         1
       )
     )
   )
 )"),1.0)</f>
        <v>1</v>
      </c>
      <c r="FC60" s="206">
        <f>IFERROR(__xludf.DUMMYFUNCTION("SUM(
   MAP(
     K$3:ED$3,
     K$7:ED$7,
     K$15:ED$15,
     K$16:ED$16,
     K$21:ED$21,
     K$5:ED$5,
     K$17:ED$17,
     K60:ED60,
     LAMBDA(
       job,
       abillity,
       buff,
       barrier,
       enhance,
       assign,
       preco"&amp;"ndition,
       check,
       IF(
         OR(AND(check=TRUE, REGEXMATCH(assign, ""SELF""), job=""戦士""), AND(check=Option!$F$13, REGEXMATCH(assign, ""SINGLE_PARTY""))),
         IF(
           OR(ARRAYFORMULA((IF(precondition="""", FALSE, REGEXMATCH($K$4:"&amp;"$ED$4, precondition))) * (K60:ED60=TRUE))),
           enhance,
           IF(barrier="""", buff, barrier)
         ),
         0
       ) *
       SWITCH(
         job,
         ""暗黒騎士"", FD$24,
         ""白魔道士"", EF60 * EH60 * FB60 * IF(abillity, 1, EG6"&amp;"0 * EI60) * (Option!$D$22 * 0.81 / 100),
         ""占星術師"", EF60 * EJ60 * FFB60 * IF(abillity, 1, EG60 * EK60) * (Option!$D$23 * 0.81 / 100),
         ""学者"", EF60 * EL60 * FB60 * IF(abillity, 1, EG60 * EM60) * (Option!$D$24 * 0.81 / 100),
         ""賢者"""&amp;", EF60 * EN60 * FB60 * IF(abillity, 1, EG60 * EO60) * (Option!$D$25 * 0.81 / 100),
         1
       )
     )
   )
 ) + EQ60"),0.0)</f>
        <v>0</v>
      </c>
      <c r="FD60" s="206">
        <f t="shared" si="9"/>
        <v>0</v>
      </c>
      <c r="FE60" s="205">
        <f>IFERROR(__xludf.DUMMYFUNCTION("PRODUCT(
   MAP(
     IF($F60=""Physical"", K$10:ED$10, IF($F60=""Magic"", K$11:ED$11, K$12:ED$12)),
     IF($F60=""Physical"", K$18:ED$18, IF($F60=""Magic"", K$19:ED$19, K$20:ED$20)),
     K$3:ED$3,
     K$5:ED$5,
     K$17:ED$17,
     K60:ED60,
     LAM"&amp;"BDA(
       mitigation,
       enhance,
       job,
       assign,
       precondition,
       check,
       IF(
         OR(AND(check=TRUE, REGEXMATCH(assign, ""SELF""), job=""暗黒騎士""), AND(check=Option!$G$13, REGEXMATCH(assign, ""SINGLE_PARTY""))),
     "&amp;"    IF(
           OR(ARRAYFORMULA((IF(precondition="""", FALSE, REGEXMATCH($K$4:$ED$4, precondition))) * (K60:ED60=TRUE))),
           enhance,
           mitigation
         ),
         1
       )
     )
   )
 ) * EE60"),1.0)</f>
        <v>1</v>
      </c>
      <c r="FF60" s="206">
        <f t="shared" si="10"/>
        <v>0</v>
      </c>
      <c r="FG60" s="205">
        <f>IFERROR(__xludf.DUMMYFUNCTION("PRODUCT(
   MAP(
     K$3:ED$3,
     K$14:ED$14,
     K$13:ED$13,
     K60:ED60,
     LAMBDA(
       job,
       buff,
       target,
       check,
       IF(
         OR(AND(check=TRUE, REGEXMATCH(target, ""SELF_AFFECTED_ALL""), job=""暗黒騎士""), AND(check="&amp;"Option!$G$13, REGEXMATCH(target, ""SINGLE_AFFECTED_ALL""))),
         buff,
         1
       )
     )
   )
 )"),1.0)</f>
        <v>1</v>
      </c>
      <c r="FH60" s="206">
        <f>IFERROR(__xludf.DUMMYFUNCTION("SUM(
   MAP(
     K$3:ED$3,
     K$7:ED$7,
     K$15:ED$15,
     K$16:ED$16,
     K$21:ED$21,
     K$5:ED$5,
     K$17:ED$17,
     K60:ED60,
     LAMBDA(
       job,
       abillity,
       buff,
       barrier,
       enhance,
       assign,
       preco"&amp;"ndition,
       check,
       IF(
         OR(AND(check=TRUE, REGEXMATCH(assign, ""SELF""), job=""暗黒騎士""), AND(check=Option!$G$13, REGEXMATCH(assign, ""SINGLE_PARTY""))),
         IF(
           OR(ARRAYFORMULA((IF(precondition="""", FALSE, REGEXMATCH($K$"&amp;"4:$ED$4, precondition))) * (K60:ED60=TRUE))),
           enhance,
           IF(barrier="""", buff, barrier)
         ),
         0
       ) *
       SWITCH(
         job,
         ""暗黒騎士"", FI$24,
         ""白魔道士"", EF60 * EH60 * FG60 * IF(abillity, 1, E"&amp;"G60 * EI60) * (Option!$D$22 * 0.81 / 100),
         ""占星術師"", EF60 * EJ60 * FG60 * IF(abillity, 1, EG60 * EK60) * (Option!$D$23 * 0.81 / 100),
         ""学者"", EF60 * EL60 * FG60 * IF(abillity, 1, EG60 * EM60) * (Option!$D$24 * 0.81 / 100),
         ""賢者"&amp;""", EF60 * EN60 * FG60 * IF(abillity, 1, EG60 * EO60) * (Option!$D$25 * 0.81 / 100),
         1
       )
     )
   )
 ) + EQ60"),0.0)</f>
        <v>0</v>
      </c>
      <c r="FI60" s="206">
        <f t="shared" si="11"/>
        <v>0</v>
      </c>
      <c r="FJ60" s="205">
        <f>IFERROR(__xludf.DUMMYFUNCTION("PRODUCT(
   MAP(
     IF($F60=""Physical"", K$10:ED$10, IF($F60=""Magic"", K$11:ED$11, K$12:ED$12)),
     IF($F60=""Physical"", K$18:ED$18, IF($F60=""Magic"", K$19:ED$19, K$20:ED$20)),
     K$3:ED$3,
     K$5:ED$5,
     K$17:ED$17,
     K60:ED60,
     LAM"&amp;"BDA(
       mitigation,
       enhance,
       job,
       assign,
       precondition,
       check,
       IF(
         OR(AND(check=TRUE, REGEXMATCH(assign, ""SELF""), job=""ガンブレイカー""), AND(check=Option!$H$13, REGEXMATCH(assign, ""SINGLE_PARTY""))),
  "&amp;"       IF(
           OR(ARRAYFORMULA((IF(precondition="""", FALSE, REGEXMATCH($K$4:$ED$4, precondition))) * (K60:ED60=TRUE))),
           enhance,
           mitigation
         ),
         1
       )
     )
   )
 ) * EE60"),1.0)</f>
        <v>1</v>
      </c>
      <c r="FK60" s="206">
        <f t="shared" si="12"/>
        <v>0</v>
      </c>
      <c r="FL60" s="205">
        <f>IFERROR(__xludf.DUMMYFUNCTION("PRODUCT(
   MAP(
     K$3:ED$3,
     K$14:ED$14,
     K$13:ED$13,
     K60:ED60,
     LAMBDA(
       job,
       buff,
       target,
       check,
       IF(
         OR(AND(check=TRUE, REGEXMATCH(target, ""SELF_AFFECTED_ALL""), job=""ガンブレイカー""), AND(che"&amp;"ck=Option!$H$13, REGEXMATCH(target, ""SINGLE_AFFECTED_ALL""))),
         buff,
         1
       )
     )
   )
 )"),1.0)</f>
        <v>1</v>
      </c>
      <c r="FM60" s="206">
        <f>IFERROR(__xludf.DUMMYFUNCTION("SUM(
   MAP(
     K$3:ED$3,
     K$7:ED$7,
     K$15:ED$15,
     K$16:ED$16,
     K$21:ED$21,
     K$5:ED$5,
     K$17:ED$17,
     K60:ED60,
     LAMBDA(
       job,
       abillity,
       buff,
       barrier,
       enhance,
       assign,
       preco"&amp;"ndition,
       check,
       IF(
         OR(AND(check=TRUE, REGEXMATCH(assign, ""SELF""), job=""ガンブレイカー""), AND(check=Option!$H$13, REGEXMATCH(assign, ""SINGLE_PARTY""))),
         IF(
           OR(ARRAYFORMULA((IF(precondition="""", FALSE, REGEXMATCH("&amp;"$K$4:$ED$4, precondition))) * (K60:ED60=TRUE))),
           enhance,
           IF(barrier="""", buff, barrier)
         ),
         0
       ) *
       SWITCH(
         job,
         ""暗黒騎士"", FN$24,
         ""白魔道士"", EF60 * EH60 * FL60 * IF(abillity, 1"&amp;", EG60 * EI60) * (Option!$D$22 * 0.81 / 100),
         ""占星術師"", EF60 * EJ60 * FL60 * IF(abillity, 1, EG60 * EK60) * (Option!$D$23 * 0.81 / 100),
         ""学者"", EF60 * EL60 * FL60 * IF(abillity, 1, EG60 * EM60) * (Option!$D$24 * 0.81 / 100),
         """&amp;"賢者"", EF60 * EN60 * FL60 * IF(abillity, 1, EG60 * EO60) * (Option!$D$25 * 0.81 / 100),
         1
       )
     )
   )
 ) + EQ60"),0.0)</f>
        <v>0</v>
      </c>
      <c r="FN60" s="206">
        <f t="shared" si="13"/>
        <v>0</v>
      </c>
      <c r="FO60" s="213"/>
    </row>
    <row r="61">
      <c r="B61" s="229"/>
      <c r="C61" s="217">
        <f t="shared" si="1"/>
        <v>0.00380787037</v>
      </c>
      <c r="D61" s="236"/>
      <c r="E61" s="238"/>
      <c r="F61" s="167"/>
      <c r="G61" s="168" t="str">
        <f t="shared" si="2"/>
        <v/>
      </c>
      <c r="H61" s="169"/>
      <c r="I61" s="169"/>
      <c r="J61" s="169"/>
      <c r="K61" s="170" t="b">
        <v>0</v>
      </c>
      <c r="L61" s="170" t="b">
        <v>0</v>
      </c>
      <c r="M61" s="170" t="b">
        <v>0</v>
      </c>
      <c r="N61" s="171" t="s">
        <v>1070</v>
      </c>
      <c r="O61" s="172" t="b">
        <v>0</v>
      </c>
      <c r="P61" s="173" t="b">
        <v>0</v>
      </c>
      <c r="Q61" s="173" t="b">
        <v>0</v>
      </c>
      <c r="R61" s="173" t="b">
        <v>0</v>
      </c>
      <c r="S61" s="174" t="b">
        <v>0</v>
      </c>
      <c r="T61" s="175" t="b">
        <v>0</v>
      </c>
      <c r="U61" s="173" t="b">
        <v>0</v>
      </c>
      <c r="V61" s="171" t="s">
        <v>1070</v>
      </c>
      <c r="W61" s="172" t="b">
        <v>0</v>
      </c>
      <c r="X61" s="173" t="b">
        <v>0</v>
      </c>
      <c r="Y61" s="173" t="b">
        <v>0</v>
      </c>
      <c r="Z61" s="173" t="b">
        <v>0</v>
      </c>
      <c r="AA61" s="174" t="b">
        <v>0</v>
      </c>
      <c r="AB61" s="174" t="b">
        <v>0</v>
      </c>
      <c r="AC61" s="175" t="b">
        <v>0</v>
      </c>
      <c r="AD61" s="173" t="b">
        <v>0</v>
      </c>
      <c r="AE61" s="176" t="s">
        <v>1070</v>
      </c>
      <c r="AF61" s="171" t="s">
        <v>1070</v>
      </c>
      <c r="AG61" s="177">
        <f>IFERROR(__xludf.DUMMYFUNCTION("IF(
  ISNUMBER(AG60),
  MIN(MAX(
    AG60
    + MAX(
      ROUNDDOWN(($D61 - MAX(IFERROR(FILTER($D$24:$D60, AG$24:AG60 &lt;&gt; AF$6, AG$23:AG59 = AF$6), 0))) * (60 * 60 * 24) / AF$9) - ROUNDDOWN(($D60 - MAX(IFERROR(FILTER($D$23:$D59, AG$23:AG59 &lt;&gt; AF$6, AG$22:"&amp;"AG58 = AF$6), 0))) * (60 * 60 * 24) / 60),
      0
    )
    - COUNTIF(AF61, ""&lt;&gt;-""),
  0), AF$6),
  AF$6 - COUNTIF(AF61, ""&lt;&gt;-"")
)"),2.0)</f>
        <v>2</v>
      </c>
      <c r="AH61" s="173" t="b">
        <v>0</v>
      </c>
      <c r="AI61" s="173" t="b">
        <v>0</v>
      </c>
      <c r="AJ61" s="173" t="b">
        <v>0</v>
      </c>
      <c r="AK61" s="174" t="b">
        <v>0</v>
      </c>
      <c r="AL61" s="175" t="b">
        <v>0</v>
      </c>
      <c r="AM61" s="173" t="b">
        <v>0</v>
      </c>
      <c r="AN61" s="171" t="s">
        <v>1070</v>
      </c>
      <c r="AO61" s="173" t="b">
        <v>0</v>
      </c>
      <c r="AP61" s="173" t="b">
        <v>0</v>
      </c>
      <c r="AQ61" s="173" t="b">
        <v>0</v>
      </c>
      <c r="AR61" s="174" t="b">
        <v>0</v>
      </c>
      <c r="AS61" s="178" t="b">
        <v>0</v>
      </c>
      <c r="AT61" s="179" t="b">
        <v>0</v>
      </c>
      <c r="AU61" s="180" t="b">
        <v>0</v>
      </c>
      <c r="AV61" s="180" t="b">
        <v>0</v>
      </c>
      <c r="AW61" s="180" t="b">
        <v>0</v>
      </c>
      <c r="AX61" s="180" t="b">
        <v>0</v>
      </c>
      <c r="AY61" s="181" t="s">
        <v>1070</v>
      </c>
      <c r="AZ61" s="181" t="s">
        <v>1070</v>
      </c>
      <c r="BA61" s="184">
        <f>IFERROR(__xludf.DUMMYFUNCTION("IF(
  ISNUMBER(BA60),
  MIN(MAX(
    BA60
    + MAX(
      ROUNDDOWN((D61 - MAX(IFERROR(FILTER(D$24:D60, BA$24:BA60 &lt;&gt; AZ$6, BA$23:BA59 = AZ$6), 0))) * (60 * 60 * 24) / AZ$9) - ROUNDDOWN((D60 - MAX(IFERROR(FILTER(D$23:D59, BA$23:BA59 &lt;&gt; AZ$6, BA$22:BA58 ="&amp;" AZ$6), 0))) * (60 * 60 * 24) / AZ$9),
      0
    )
    - COUNTIF(AZ61, ""&lt;&gt;-""),
  0), AZ$6),
  AZ$6 - COUNTIF(AZ61, ""&lt;&gt;-"")
)"),2.0)</f>
        <v>2</v>
      </c>
      <c r="BB61" s="181" t="s">
        <v>1070</v>
      </c>
      <c r="BC61" s="183">
        <f>IFERROR(__xludf.DUMMYFUNCTION("IF(
  ISNUMBER(BC60),
  MIN(MAX(
    BC60
    + MAX(
      ROUNDDOWN(($D61 - MAX(IFERROR(FILTER($D$24:$D60, BC$24:BC60 &lt;&gt; BB$6, BC$23:BC59 = BB$6), 0))) * (60 * 60 * 24) / BB$9) - ROUNDDOWN(($D60 - MAX(IFERROR(FILTER($D$23:$D59, BC$23:BC59 &lt;&gt; BB$6, BC$22:"&amp;"BC58 = BB$6), 0))) * (60 * 60 * 24) / 60),
      0
    )
    - COUNTIF(BB61, ""&lt;&gt;-""),
  0), BB$6),
  BB$6 - COUNTIF(BB61, ""&lt;&gt;-"")
)"),2.0)</f>
        <v>2</v>
      </c>
      <c r="BD61" s="181" t="s">
        <v>1070</v>
      </c>
      <c r="BE61" s="178" t="b">
        <v>0</v>
      </c>
      <c r="BF61" s="180" t="b">
        <v>0</v>
      </c>
      <c r="BG61" s="180" t="b">
        <v>0</v>
      </c>
      <c r="BH61" s="180" t="b">
        <v>0</v>
      </c>
      <c r="BI61" s="180" t="b">
        <v>0</v>
      </c>
      <c r="BJ61" s="180" t="b">
        <v>0</v>
      </c>
      <c r="BK61" s="180" t="b">
        <v>0</v>
      </c>
      <c r="BL61" s="180" t="b">
        <v>0</v>
      </c>
      <c r="BM61" s="180" t="b">
        <v>0</v>
      </c>
      <c r="BN61" s="180" t="b">
        <v>0</v>
      </c>
      <c r="BO61" s="181" t="s">
        <v>1070</v>
      </c>
      <c r="BP61" s="181" t="s">
        <v>1070</v>
      </c>
      <c r="BQ61" s="181" t="s">
        <v>1070</v>
      </c>
      <c r="BR61" s="181" t="s">
        <v>1070</v>
      </c>
      <c r="BS61" s="181" t="s">
        <v>1070</v>
      </c>
      <c r="BT61" s="184">
        <f>IFERROR(__xludf.DUMMYFUNCTION("IF(
  ISNUMBER(BT60),
  MIN(MAX(
    BT60
    + MAX(
      ROUNDDOWN((D61 - MAX(IFERROR(FILTER(D$24:D60, BT$24:BT60 &lt;&gt; BS$6, BT$23:BT59 = BS$6), 0))) * (60 * 60 * 24) / BS$9) - ROUNDDOWN((D60 - MAX(IFERROR(FILTER(D$23:D59, BT$23:BT59 &lt;&gt; BS$6, BT$22:BT58 ="&amp;" BS$6), 0))) * (60 * 60 * 24) / BS$9),
      0
    )
    - COUNTIF(BS61, ""&lt;&gt;-""),
  0), BS$6),
  BS$6 - COUNTIF(BS61, ""&lt;&gt;-"")
)"),3.0)</f>
        <v>3</v>
      </c>
      <c r="BU61" s="181" t="s">
        <v>1070</v>
      </c>
      <c r="BV61" s="181" t="s">
        <v>1070</v>
      </c>
      <c r="BW61" s="184">
        <f>IFERROR(__xludf.DUMMYFUNCTION("IF(
  ISNUMBER(BW60),
  MIN(MAX(
    BW60
    + MAX(
      ROUNDDOWN((D61 - MAX(IFERROR(FILTER(D$24:D60, BW$24:BW60 &lt;&gt; BV$6, BW$23:BW59 = BV$6), 0))) * (60 * 60 * 24) / BV$9) - ROUNDDOWN((D60 - MAX(IFERROR(FILTER(D$23:D59, BW$23:BW59 &lt;&gt; BV$6, BW$22:BW58 ="&amp;" BV$6), 0))) * (60 * 60 * 24) / BV$9),
      0
    )
    - COUNTIF(BV61, ""&lt;&gt;-""),
  0), BV$6),
  BV$6 - COUNTIF(BV61, ""&lt;&gt;-"")
)"),2.0)</f>
        <v>2</v>
      </c>
      <c r="BX61" s="185" t="s">
        <v>1070</v>
      </c>
      <c r="BY61" s="178" t="b">
        <v>0</v>
      </c>
      <c r="BZ61" s="180" t="b">
        <v>0</v>
      </c>
      <c r="CA61" s="180" t="b">
        <v>0</v>
      </c>
      <c r="CB61" s="180" t="b">
        <v>0</v>
      </c>
      <c r="CC61" s="180" t="b">
        <v>0</v>
      </c>
      <c r="CD61" s="180" t="b">
        <v>0</v>
      </c>
      <c r="CE61" s="180" t="b">
        <v>0</v>
      </c>
      <c r="CF61" s="180" t="b">
        <v>0</v>
      </c>
      <c r="CG61" s="180" t="b">
        <v>0</v>
      </c>
      <c r="CH61" s="180" t="b">
        <v>0</v>
      </c>
      <c r="CI61" s="180" t="b">
        <v>0</v>
      </c>
      <c r="CJ61" s="180" t="b">
        <v>0</v>
      </c>
      <c r="CK61" s="180" t="b">
        <v>0</v>
      </c>
      <c r="CL61" s="180" t="b">
        <v>0</v>
      </c>
      <c r="CM61" s="181" t="s">
        <v>1070</v>
      </c>
      <c r="CN61" s="181" t="s">
        <v>1070</v>
      </c>
      <c r="CO61" s="181" t="s">
        <v>1070</v>
      </c>
      <c r="CP61" s="181" t="s">
        <v>1070</v>
      </c>
      <c r="CQ61" s="185" t="s">
        <v>1070</v>
      </c>
      <c r="CR61" s="180" t="b">
        <v>0</v>
      </c>
      <c r="CS61" s="186" t="str">
        <f t="shared" si="14"/>
        <v>◇◇◇</v>
      </c>
      <c r="CT61" s="178" t="b">
        <v>0</v>
      </c>
      <c r="CU61" s="180" t="b">
        <v>0</v>
      </c>
      <c r="CV61" s="180" t="b">
        <v>0</v>
      </c>
      <c r="CW61" s="180" t="b">
        <v>0</v>
      </c>
      <c r="CX61" s="180" t="b">
        <v>0</v>
      </c>
      <c r="CY61" s="180" t="b">
        <v>0</v>
      </c>
      <c r="CZ61" s="180" t="b">
        <v>0</v>
      </c>
      <c r="DA61" s="180" t="b">
        <v>0</v>
      </c>
      <c r="DB61" s="180" t="b">
        <v>0</v>
      </c>
      <c r="DC61" s="180" t="b">
        <v>0</v>
      </c>
      <c r="DD61" s="181" t="s">
        <v>1070</v>
      </c>
      <c r="DE61" s="181" t="s">
        <v>1070</v>
      </c>
      <c r="DF61" s="181" t="s">
        <v>1070</v>
      </c>
      <c r="DG61" s="185" t="s">
        <v>1070</v>
      </c>
      <c r="DH61" s="180" t="b">
        <v>0</v>
      </c>
      <c r="DI61" s="187" t="str">
        <f>IFERROR(__xludf.DUMMYFUNCTION("SWITCH(
  IF(
    ISTEXT(DI60),
    IF (
      FIND(""○"", DI60&amp;""○"") &gt; 3,
      3,
      FIND(""○"", DI60&amp;""○"")
      + MAX(
        ROUNDDOWN(($D61 - MAX(IFERROR(FILTER(D$24:D60, DI$24:DI60 &lt;&gt; ""●●●"", DI$23:DI59 = ""●●●""), 0))) * (60 * 60 * 24) / 20"&amp;") - ROUNDDOWN(($D60 - MAX(IFERROR(FILTER(D$23:D59, DI$23:DI59 &lt;&gt; ""●●●"", DI$22:DI58 = ""●●●""), 0))) * (60 * 60 * 24) / 20),
        0
      ) - 1
    ) - COUNTIFS(CU61, ""=TRUE"", CU60, ""&lt;&gt;TRUE"") - COUNTIF(CZ61, ""=TRUE"") - COUNTIF({DD61,DE61}, ""&lt;&gt;-"&amp;""") + COUNTIF(DH61, ""=TRUE""),
    3
  ),
  0, ""○○○"", 1, ""●○○"", 2, ""●●○"", 3, ""●●●"", 4, ""●●●"", ""○○○""
)"),"●●●")</f>
        <v>●●●</v>
      </c>
      <c r="DJ61" s="188" t="b">
        <v>0</v>
      </c>
      <c r="DK61" s="189" t="b">
        <v>0</v>
      </c>
      <c r="DL61" s="190" t="b">
        <v>0</v>
      </c>
      <c r="DM61" s="190" t="b">
        <v>0</v>
      </c>
      <c r="DN61" s="190" t="b">
        <v>0</v>
      </c>
      <c r="DO61" s="190" t="b">
        <v>0</v>
      </c>
      <c r="DP61" s="190" t="b">
        <v>0</v>
      </c>
      <c r="DQ61" s="191" t="b">
        <v>0</v>
      </c>
      <c r="DR61" s="192" t="b">
        <v>0</v>
      </c>
      <c r="DS61" s="191" t="b">
        <v>0</v>
      </c>
      <c r="DT61" s="192" t="b">
        <v>0</v>
      </c>
      <c r="DU61" s="191" t="b">
        <v>0</v>
      </c>
      <c r="DV61" s="193" t="s">
        <v>1070</v>
      </c>
      <c r="DW61" s="194" t="b">
        <v>0</v>
      </c>
      <c r="DX61" s="194" t="b">
        <v>0</v>
      </c>
      <c r="DY61" s="195" t="b">
        <v>0</v>
      </c>
      <c r="DZ61" s="196" t="b">
        <v>0</v>
      </c>
      <c r="EA61" s="195" t="b">
        <v>0</v>
      </c>
      <c r="EB61" s="197" t="b">
        <v>0</v>
      </c>
      <c r="EC61" s="197" t="b">
        <v>0</v>
      </c>
      <c r="ED61" s="212" t="b">
        <v>0</v>
      </c>
      <c r="EE61" s="199">
        <f>IFERROR(__xludf.DUMMYFUNCTION("IFERROR(
   PRODUCT(
     MAP(
       INDEX(TRANSPOSE(UNIQUE(TRANSPOSE(FILTER({IF($F61=""Physical"", K$10:ED$10, IF($F61=""Magic"", K$11:ED$11, K$12:ED$12));K$4:ED$4;K61:ED61}, K61:ED61=TRUE)))), 1, 0),
       INDEX(TRANSPOSE(UNIQUE(TRANSPOSE(FILTER({IF($"&amp;"F61=""Physical"", K$18:ED$18, IF($F61=""Magic"", K$19:ED$19, K$20:ED$20));K$4:ED$4;K61:ED61}, K61:ED61=TRUE)))), 1, 0),
       INDEX(TRANSPOSE(UNIQUE(TRANSPOSE(FILTER({K$5:ED$5;K$4:ED$4;K61:ED61}, K61:ED61=TRUE)))), 1, 0),
       INDEX(TRANSPOSE(UNIQUE(TR"&amp;"ANSPOSE(FILTER({K$17:ED$17;K$4:ED$4;K61:ED61}, K61:ED61=TRUE)))), 1, 0),
       LAMBDA(
         mitigation,
         enhance,
         assign,
         precondition,
         IF(
           REGEXMATCH(assign, ""RANGE_PARTY|SINGLE_ENEMY|RANGE_ENEMY""),
  "&amp;"         IF(
             OR(ARRAYFORMULA((IF(precondition="""", FALSE, REGEXMATCH(K$4:ED$4, precondition))) * (K61:ED61=TRUE))),
             IF(ISNUMBER(enhance), enhance, 1),
             IF(ISNUMBER(mitigation), mitigation, 1)
           ),
          "&amp;" 1
         )
       )
     )
   ),
   1
 )"),1.0)</f>
        <v>1</v>
      </c>
      <c r="EF61" s="200">
        <f>IFERROR(__xludf.DUMMYFUNCTION("PRODUCT(
   MAP(
     K$14:ED$14,
     K$13:ED$13,
     K61:ED61,
     LAMBDA(
       buff,
       target,
       check,
       IF(
         AND(check=TRUE, REGEXMATCH(target, ""RANGE_AFFECTED_ALL|RANGE_EFFECTED_ALL""), ISNUMBER(buff)),
         buff,
   "&amp;"      1
       )
     )
   )
 )"),1.0)</f>
        <v>1</v>
      </c>
      <c r="EG61" s="200">
        <f>IFERROR(__xludf.DUMMYFUNCTION("PRODUCT(
   MAP(
     K$14:ED$14,
     K$13:ED$13,
     K61:ED61,
     LAMBDA(
       buff,
       target,
       check,
       IF(
         AND(check=TRUE, REGEXMATCH(target, ""RANGE_AFFECTED_GCD|RANGE_EFFECTED_GCD""), ISNUMBER(buff)),
         buff,
   "&amp;"      1
       )
     )
   )
 )"),1.0)</f>
        <v>1</v>
      </c>
      <c r="EH61" s="200">
        <f>IFERROR(__xludf.DUMMYFUNCTION("PRODUCT(
   MAP(
     K$3:ED$3,
     K$14:ED$14,
     K$13:ED$13,
     K61:ED61,
     LAMBDA(
       job,
       buff,
       target,
       check,
       IF(
         AND(check=TRUE, REGEXMATCH(target, ""SELF_EFFECTED_ALL""), ISNUMBER(buff), job=""白魔道士"""&amp;"),
         buff,
         1
       )
     )
   )
 )"),1.0)</f>
        <v>1</v>
      </c>
      <c r="EI61" s="200">
        <f>IFERROR(__xludf.DUMMYFUNCTION("PRODUCT(
   MAP(
     K$3:ED$3,
     K$14:ED$14,
     K$13:ED$13,
     K61:ED61,
     LAMBDA(
       job,
       buff,
       target,
       check,
       IF(
         AND(check=TRUE, REGEXMATCH(target, ""SELF_EFFECTED_GCD""), ISNUMBER(buff), job=""白魔道士"""&amp;"),
         buff,
         1
       )
     )
   )
 )"),1.0)</f>
        <v>1</v>
      </c>
      <c r="EJ61" s="200">
        <f>IFERROR(__xludf.DUMMYFUNCTION("PRODUCT(
   MAP(
     K$3:ED$3,
     K$14:ED$14,
     K$13:ED$13,
     K61:ED61,
     LAMBDA(
       job,
       buff,
       target,
       check,
       IF(
         AND(check=TRUE, REGEXMATCH(target, ""SELF_EFFECTED_ALL""), ISNUMBER(buff), job=""占星術師"""&amp;"),
         buff,
         1
       )
     )
   )
 )"),1.0)</f>
        <v>1</v>
      </c>
      <c r="EK61" s="200">
        <f>IFERROR(__xludf.DUMMYFUNCTION("PRODUCT(
   MAP(
     K$3:ED$3,
     K$14:ED$14,
     K$13:ED$13,
     K61:ED61,
     LAMBDA(
       job,
       buff,
       target,
       check,
       IF(
         AND(check=TRUE, REGEXMATCH(target, ""SELF_EFFECTED_GCD""), ISNUMBER(buff), job=""占星術師"""&amp;"),
         buff,
         1
       )
     )
   )
 )"),1.0)</f>
        <v>1</v>
      </c>
      <c r="EL61" s="200">
        <f>IFERROR(__xludf.DUMMYFUNCTION("PRODUCT(
   MAP(
     K$3:ED$3,
     K$14:ED$14,
     K$13:ED$13,
     K61:ED61,
     LAMBDA(
       job,
       buff,
       target,
       check,
       IF(
         AND(check=TRUE, REGEXMATCH(target, ""SELF_EFFECTED_ALL""), ISNUMBER(buff), job=""学者""),"&amp;"
         buff,
         1
       )
     )
   )
 )"),1.0)</f>
        <v>1</v>
      </c>
      <c r="EM61" s="200">
        <f>IFERROR(__xludf.DUMMYFUNCTION("PRODUCT(
   MAP(
     K$3:ED$3,
     K$14:ED$14,
     K$13:ED$13,
     K61:ED61,
     LAMBDA(
       job,
       buff,
       target,
       check,
       IF(
         AND(check=TRUE, REGEXMATCH(target, ""SELF_EFFECTED_GCD""), ISNUMBER(buff), job=""学者""),"&amp;"
         buff,
         1
       )
     )
   )
 )"),1.0)</f>
        <v>1</v>
      </c>
      <c r="EN61" s="200">
        <f>IFERROR(__xludf.DUMMYFUNCTION("PRODUCT(
   MAP(
     K$3:ED$3,
     K$14:ED$14,
     K$13:ED$13,
     K61:ED61,
     LAMBDA(
       job,
       buff,
       target,
       check,
       IF(
         AND(check=TRUE, REGEXMATCH(target, ""SELF_EFFECTED_ALL""), ISNUMBER(buff), job=""賢者""),"&amp;"
         buff,
         1
       )
     )
   )
 )"),1.0)</f>
        <v>1</v>
      </c>
      <c r="EO61" s="200">
        <f>IFERROR(__xludf.DUMMYFUNCTION("PRODUCT(
   MAP(
     K$3:ED$3,
     K$14:ED$14,
     K$13:ED$13,
     K61:ED61,
     LAMBDA(
       job,
       buff,
       target,
       check,
       IF(
         AND(check=TRUE, REGEXMATCH(target, ""SELF_EFFECTED_GCD""), ISNUMBER(buff), job=""賢者""),"&amp;"
         buff,
         1
       )
     )
   )
 )"),1.0)</f>
        <v>1</v>
      </c>
      <c r="EP61" s="201">
        <f t="shared" si="3"/>
        <v>0</v>
      </c>
      <c r="EQ61" s="201">
        <f>IFERROR(__xludf.DUMMYFUNCTION("SUM(
   MAP(
     K$4:ED$4,
     K$3:ED$3,
     K$7:ED$7,
     K$15:ED$15,
     K$16:ED$16,
     K$21:ED$21,
     K$5:ED$5,
     K$17:ED$17,
     K61:ED61,
     LAMBDA(
       name,
       job,
       abillity,
       buff,
       barrier,
       enhance,"&amp;"
       assign,
       precondition,
       check,
       SWITCH(
         name,
         ""シェイクオフ"", IF(check=TRUE, buff + (0.02 * COUNTIF(ARRAYFORMULA((REGEXMATCH($K$4:$ED$4, ""スリル・オブ・バトル|ヴェンジェンス|原初の血気|ダムネーション"")) * (K61:ED61=TRUE)), 1)), 0),
         "&amp;"""インプロビゼーションフィニッシュ(踊りの激情0)"", IF(ISNUMBER(check), INDEX(Skill!$AJ:$AJ, MATCH(SUBSTITUTE(DV$4, 0, check), Skill!$C:$C, 0)), 0),
         IF(
           AND(check=TRUE, REGEXMATCH(assign, ""RANGE_PARTY"")),
           IF(
             OR(ARRAYFORMULA((IF(pr"&amp;"econdition="""", FALSE, REGEXMATCH($K$4:$ED$4, precondition))) * (K61:ED61=TRUE))),
             enhance,
             IF(barrier="""", buff, barrier)
           ),
           0
         )
       ) *
       SWITCH(
         job,
         ""ナイト"", EY$24,
 "&amp;"        ""戦士"", FD$24,
         ""踊り子"", ET$24,
         ""ピクトマンサー"", ET$24,
         ""白魔道士"", EF61 * EH61 * IF(abillity, 1, EG61 * EI61) * (Option!$D$22 * 0.81 / 100),
         ""占星術師"", EF61 * EJ61 * IF(abillity, 1, EG61 * EK61) * (Option!$D$23 * 0.81 "&amp;"/ 100),
         ""学者"", EF61 * EL61 * IF(abillity, 1, EG61 * EM61) * (Option!$D$24 * 0.81 / 100),
         ""賢者"", EF61 * EN61 * IF(abillity, 1, EG61 * EO61) * (Option!$D$25 * 0.81 / 100),
         1
       )
     )
   )
 )"),0.0)</f>
        <v>0</v>
      </c>
      <c r="ER61" s="202">
        <f t="shared" si="4"/>
        <v>0</v>
      </c>
      <c r="ES61" s="203">
        <f t="shared" si="5"/>
        <v>0</v>
      </c>
      <c r="ET61" s="231" t="str">
        <f>IFERROR(__xludf.DUMMYFUNCTION("IFS(
  EP61 &gt; $ET$24 + EQ61,
  SPARKLINE({ 1, 0 }, {""charttype"",""bar"";""max"", 1;""color1"",Option!$D$30;""color2"",Option!$D$30}),
  EP61 &lt; EQ61,
  SPARKLINE({EQ61 - EP61, $ET$24 - (EQ61 - EP61)}, {""charttype"",""bar"";""max"",$ET$24;""color1"",Opti"&amp;"on!$D$28;""color2"",Option!$D$29}),
  EP61 &gt;= EQ61,
  SPARKLINE({$ET$24 + EQ61 - EP61,EP61 - EQ61}, {""charttype"",""bar"";""max"",$ET$24;""color1"",Option!$D$29;""color2"",Option!$D$30})
)"),"")</f>
        <v/>
      </c>
      <c r="EU61" s="205">
        <f>IFERROR(__xludf.DUMMYFUNCTION("PRODUCT(
   MAP(
     IF($F61=""Physical"", K$10:ED$10, IF($F61=""Magic"", K$11:ED$11, K$12:ED$12)),
     IF($F61=""Physical"", K$18:ED$18, IF($F61=""Magic"", K$19:ED$19, K$20:ED$20)),
     K$3:ED$3,
     K$5:ED$5,
     K$17:ED$17,
     K61:ED61,
     LAM"&amp;"BDA(
       mitigation,
       enhance,
       job,
       assign,
       precondition,
       check,
       IF(
         OR(AND(check=TRUE, REGEXMATCH(assign, ""SELF""), job=""ナイト""), AND(check=Option!$E$13, REGEXMATCH(assign, ""SINGLE_PARTY""))),
      "&amp;"   IF(
           OR(ARRAYFORMULA((IF(precondition="""", FALSE, REGEXMATCH($K$4:$ED$4, precondition))) * (K61:ED61=TRUE))),
           enhance,
           mitigation
         ),
         1
       )
     )
   )
 ) * EE61"),1.0)</f>
        <v>1</v>
      </c>
      <c r="EV61" s="206">
        <f t="shared" si="6"/>
        <v>0</v>
      </c>
      <c r="EW61" s="205">
        <f>IFERROR(__xludf.DUMMYFUNCTION("PRODUCT(
   MAP(
     K$3:ED$3,
     K$14:ED$14,
     K$13:ED$13,
     K61:ED61,
     LAMBDA(
       job,
       buff,
       target,
       check,
       IF(
         OR(AND(check=TRUE, REGEXMATCH(target, ""SELF_AFFECTED_ALL""), job=""ナイト""), AND(check=O"&amp;"ption!$E$13, REGEXMATCH(target, ""SINGLE_AFFECTED_ALL""))),
         buff,
         1
       )
     )
   )
 )"),1.0)</f>
        <v>1</v>
      </c>
      <c r="EX61" s="206">
        <f>IFERROR(__xludf.DUMMYFUNCTION("SUM(
   MAP(
     K$3:ED$3,
     K$7:ED$7,
     K$15:ED$15,
     K$16:ED$16,
     K$21:ED$21,
     K$5:ED$5,
     K$17:ED$17,
     K61:ED61,
     LAMBDA(
       job,
       abillity,
       buff,
       barrier,
       enhance,
       assign,
       preco"&amp;"ndition,
       check,
       IF(
         OR(AND(check=TRUE, REGEXMATCH(assign, ""SELF""), job=""ナイト""), AND(check=Option!$E$13, REGEXMATCH(assign, ""SINGLE_PARTY""))),
         IF(
           OR(ARRAYFORMULA((IF(precondition="""", FALSE, REGEXMATCH($K$4"&amp;":$ED$4, precondition))) * (K61:ED61=TRUE))),
           enhance,
           IF(barrier="""", buff, barrier)
         ),
         0
       ) *
       SWITCH(
         job,
         ""暗黒騎士"", EY$24,
         ""白魔道士"", EF61 * EH61 * EW61 * IF(abillity, 1, EG"&amp;"61 * EI61) * (Option!$D$22 * 0.81 / 100),
         ""占星術師"", EF61 * EJ61 * EW61 * IF(abillity, 1, EG61 * EK61) * (Option!$D$23 * 0.81 / 100),
         ""学者"", EF61 * EL61 * EW61 * IF(abillity, 1, EG61 * EM61) * (Option!$D$24 * 0.81 / 100),
         ""賢者"""&amp;", EF61 * EN61 * EW61 * IF(abillity, 1, EG61 * EO61) * (Option!$D$25 * 0.81 / 100),
         1
       )
     )
   )
 ) + EQ61"),0.0)</f>
        <v>0</v>
      </c>
      <c r="EY61" s="232">
        <f t="shared" si="7"/>
        <v>0</v>
      </c>
      <c r="EZ61" s="205">
        <f>IFERROR(__xludf.DUMMYFUNCTION("PRODUCT(
   MAP(
     IF($F61=""Physical"", K$10:ED$10, IF($F61=""Magic"", K$11:ED$11, K$12:ED$12)),
     IF($F61=""Physical"", K$18:ED$18, IF($F61=""Magic"", K$19:ED$19, K$20:ED$20)),
     K$3:ED$3,
     K$5:ED$5,
     K$17:ED$17,
     K61:ED61,
     LAM"&amp;"BDA(
       mitigation,
       enhance,
       job,
       assign,
       precondition,
       check,
       IF(
         OR(AND(check=TRUE, REGEXMATCH(assign, ""SELF""), job=""戦士""), AND(check=Option!$F$13, REGEXMATCH(assign, ""SINGLE_PARTY""))),
       "&amp;"  IF(
           OR(ARRAYFORMULA((IF(precondition="""", FALSE, REGEXMATCH($K$4:$ED$4, precondition))) * (K61:ED61=TRUE))),
           enhance,
           mitigation
         ),
         1
       )
     )
   )
 ) * EE61"),1.0)</f>
        <v>1</v>
      </c>
      <c r="FA61" s="206">
        <f t="shared" si="8"/>
        <v>0</v>
      </c>
      <c r="FB61" s="205">
        <f>IFERROR(__xludf.DUMMYFUNCTION("PRODUCT(
   MAP(
     K$3:ED$3,
     K$14:ED$14,
     K$13:ED$13,
     K61:ED61,
     LAMBDA(
       job,
       buff,
       target,
       check,
       IF(
         OR(AND(check=TRUE, REGEXMATCH(target, ""SELF_AFFECTED_ALL""), job=""戦士""), AND(check=Op"&amp;"tion!$F$13, REGEXMATCH(target, ""SINGLE_AFFECTED_ALL""))),
         buff,
         1
       )
     )
   )
 )"),1.0)</f>
        <v>1</v>
      </c>
      <c r="FC61" s="206">
        <f>IFERROR(__xludf.DUMMYFUNCTION("SUM(
   MAP(
     K$3:ED$3,
     K$7:ED$7,
     K$15:ED$15,
     K$16:ED$16,
     K$21:ED$21,
     K$5:ED$5,
     K$17:ED$17,
     K61:ED61,
     LAMBDA(
       job,
       abillity,
       buff,
       barrier,
       enhance,
       assign,
       preco"&amp;"ndition,
       check,
       IF(
         OR(AND(check=TRUE, REGEXMATCH(assign, ""SELF""), job=""戦士""), AND(check=Option!$F$13, REGEXMATCH(assign, ""SINGLE_PARTY""))),
         IF(
           OR(ARRAYFORMULA((IF(precondition="""", FALSE, REGEXMATCH($K$4:"&amp;"$ED$4, precondition))) * (K61:ED61=TRUE))),
           enhance,
           IF(barrier="""", buff, barrier)
         ),
         0
       ) *
       SWITCH(
         job,
         ""暗黒騎士"", FD$24,
         ""白魔道士"", EF61 * EH61 * FB61 * IF(abillity, 1, EG6"&amp;"1 * EI61) * (Option!$D$22 * 0.81 / 100),
         ""占星術師"", EF61 * EJ61 * FFB61 * IF(abillity, 1, EG61 * EK61) * (Option!$D$23 * 0.81 / 100),
         ""学者"", EF61 * EL61 * FB61 * IF(abillity, 1, EG61 * EM61) * (Option!$D$24 * 0.81 / 100),
         ""賢者"""&amp;", EF61 * EN61 * FB61 * IF(abillity, 1, EG61 * EO61) * (Option!$D$25 * 0.81 / 100),
         1
       )
     )
   )
 ) + EQ61"),0.0)</f>
        <v>0</v>
      </c>
      <c r="FD61" s="206">
        <f t="shared" si="9"/>
        <v>0</v>
      </c>
      <c r="FE61" s="205">
        <f>IFERROR(__xludf.DUMMYFUNCTION("PRODUCT(
   MAP(
     IF($F61=""Physical"", K$10:ED$10, IF($F61=""Magic"", K$11:ED$11, K$12:ED$12)),
     IF($F61=""Physical"", K$18:ED$18, IF($F61=""Magic"", K$19:ED$19, K$20:ED$20)),
     K$3:ED$3,
     K$5:ED$5,
     K$17:ED$17,
     K61:ED61,
     LAM"&amp;"BDA(
       mitigation,
       enhance,
       job,
       assign,
       precondition,
       check,
       IF(
         OR(AND(check=TRUE, REGEXMATCH(assign, ""SELF""), job=""暗黒騎士""), AND(check=Option!$G$13, REGEXMATCH(assign, ""SINGLE_PARTY""))),
     "&amp;"    IF(
           OR(ARRAYFORMULA((IF(precondition="""", FALSE, REGEXMATCH($K$4:$ED$4, precondition))) * (K61:ED61=TRUE))),
           enhance,
           mitigation
         ),
         1
       )
     )
   )
 ) * EE61"),1.0)</f>
        <v>1</v>
      </c>
      <c r="FF61" s="206">
        <f t="shared" si="10"/>
        <v>0</v>
      </c>
      <c r="FG61" s="205">
        <f>IFERROR(__xludf.DUMMYFUNCTION("PRODUCT(
   MAP(
     K$3:ED$3,
     K$14:ED$14,
     K$13:ED$13,
     K61:ED61,
     LAMBDA(
       job,
       buff,
       target,
       check,
       IF(
         OR(AND(check=TRUE, REGEXMATCH(target, ""SELF_AFFECTED_ALL""), job=""暗黒騎士""), AND(check="&amp;"Option!$G$13, REGEXMATCH(target, ""SINGLE_AFFECTED_ALL""))),
         buff,
         1
       )
     )
   )
 )"),1.0)</f>
        <v>1</v>
      </c>
      <c r="FH61" s="206">
        <f>IFERROR(__xludf.DUMMYFUNCTION("SUM(
   MAP(
     K$3:ED$3,
     K$7:ED$7,
     K$15:ED$15,
     K$16:ED$16,
     K$21:ED$21,
     K$5:ED$5,
     K$17:ED$17,
     K61:ED61,
     LAMBDA(
       job,
       abillity,
       buff,
       barrier,
       enhance,
       assign,
       preco"&amp;"ndition,
       check,
       IF(
         OR(AND(check=TRUE, REGEXMATCH(assign, ""SELF""), job=""暗黒騎士""), AND(check=Option!$G$13, REGEXMATCH(assign, ""SINGLE_PARTY""))),
         IF(
           OR(ARRAYFORMULA((IF(precondition="""", FALSE, REGEXMATCH($K$"&amp;"4:$ED$4, precondition))) * (K61:ED61=TRUE))),
           enhance,
           IF(barrier="""", buff, barrier)
         ),
         0
       ) *
       SWITCH(
         job,
         ""暗黒騎士"", FI$24,
         ""白魔道士"", EF61 * EH61 * FG61 * IF(abillity, 1, E"&amp;"G61 * EI61) * (Option!$D$22 * 0.81 / 100),
         ""占星術師"", EF61 * EJ61 * FG61 * IF(abillity, 1, EG61 * EK61) * (Option!$D$23 * 0.81 / 100),
         ""学者"", EF61 * EL61 * FG61 * IF(abillity, 1, EG61 * EM61) * (Option!$D$24 * 0.81 / 100),
         ""賢者"&amp;""", EF61 * EN61 * FG61 * IF(abillity, 1, EG61 * EO61) * (Option!$D$25 * 0.81 / 100),
         1
       )
     )
   )
 ) + EQ61"),0.0)</f>
        <v>0</v>
      </c>
      <c r="FI61" s="206">
        <f t="shared" si="11"/>
        <v>0</v>
      </c>
      <c r="FJ61" s="205">
        <f>IFERROR(__xludf.DUMMYFUNCTION("PRODUCT(
   MAP(
     IF($F61=""Physical"", K$10:ED$10, IF($F61=""Magic"", K$11:ED$11, K$12:ED$12)),
     IF($F61=""Physical"", K$18:ED$18, IF($F61=""Magic"", K$19:ED$19, K$20:ED$20)),
     K$3:ED$3,
     K$5:ED$5,
     K$17:ED$17,
     K61:ED61,
     LAM"&amp;"BDA(
       mitigation,
       enhance,
       job,
       assign,
       precondition,
       check,
       IF(
         OR(AND(check=TRUE, REGEXMATCH(assign, ""SELF""), job=""ガンブレイカー""), AND(check=Option!$H$13, REGEXMATCH(assign, ""SINGLE_PARTY""))),
  "&amp;"       IF(
           OR(ARRAYFORMULA((IF(precondition="""", FALSE, REGEXMATCH($K$4:$ED$4, precondition))) * (K61:ED61=TRUE))),
           enhance,
           mitigation
         ),
         1
       )
     )
   )
 ) * EE61"),1.0)</f>
        <v>1</v>
      </c>
      <c r="FK61" s="206">
        <f t="shared" si="12"/>
        <v>0</v>
      </c>
      <c r="FL61" s="205">
        <f>IFERROR(__xludf.DUMMYFUNCTION("PRODUCT(
   MAP(
     K$3:ED$3,
     K$14:ED$14,
     K$13:ED$13,
     K61:ED61,
     LAMBDA(
       job,
       buff,
       target,
       check,
       IF(
         OR(AND(check=TRUE, REGEXMATCH(target, ""SELF_AFFECTED_ALL""), job=""ガンブレイカー""), AND(che"&amp;"ck=Option!$H$13, REGEXMATCH(target, ""SINGLE_AFFECTED_ALL""))),
         buff,
         1
       )
     )
   )
 )"),1.0)</f>
        <v>1</v>
      </c>
      <c r="FM61" s="206">
        <f>IFERROR(__xludf.DUMMYFUNCTION("SUM(
   MAP(
     K$3:ED$3,
     K$7:ED$7,
     K$15:ED$15,
     K$16:ED$16,
     K$21:ED$21,
     K$5:ED$5,
     K$17:ED$17,
     K61:ED61,
     LAMBDA(
       job,
       abillity,
       buff,
       barrier,
       enhance,
       assign,
       preco"&amp;"ndition,
       check,
       IF(
         OR(AND(check=TRUE, REGEXMATCH(assign, ""SELF""), job=""ガンブレイカー""), AND(check=Option!$H$13, REGEXMATCH(assign, ""SINGLE_PARTY""))),
         IF(
           OR(ARRAYFORMULA((IF(precondition="""", FALSE, REGEXMATCH("&amp;"$K$4:$ED$4, precondition))) * (K61:ED61=TRUE))),
           enhance,
           IF(barrier="""", buff, barrier)
         ),
         0
       ) *
       SWITCH(
         job,
         ""暗黒騎士"", FN$24,
         ""白魔道士"", EF61 * EH61 * FL61 * IF(abillity, 1"&amp;", EG61 * EI61) * (Option!$D$22 * 0.81 / 100),
         ""占星術師"", EF61 * EJ61 * FL61 * IF(abillity, 1, EG61 * EK61) * (Option!$D$23 * 0.81 / 100),
         ""学者"", EF61 * EL61 * FL61 * IF(abillity, 1, EG61 * EM61) * (Option!$D$24 * 0.81 / 100),
         """&amp;"賢者"", EF61 * EN61 * FL61 * IF(abillity, 1, EG61 * EO61) * (Option!$D$25 * 0.81 / 100),
         1
       )
     )
   )
 ) + EQ61"),0.0)</f>
        <v>0</v>
      </c>
      <c r="FN61" s="206">
        <f t="shared" si="13"/>
        <v>0</v>
      </c>
      <c r="FO61" s="213"/>
    </row>
    <row r="62">
      <c r="B62" s="229"/>
      <c r="C62" s="217">
        <f t="shared" si="1"/>
        <v>0.00380787037</v>
      </c>
      <c r="D62" s="236"/>
      <c r="E62" s="238"/>
      <c r="F62" s="167"/>
      <c r="G62" s="168" t="str">
        <f t="shared" si="2"/>
        <v/>
      </c>
      <c r="H62" s="169"/>
      <c r="I62" s="169"/>
      <c r="J62" s="169"/>
      <c r="K62" s="170" t="b">
        <v>0</v>
      </c>
      <c r="L62" s="170" t="b">
        <v>0</v>
      </c>
      <c r="M62" s="170" t="b">
        <v>0</v>
      </c>
      <c r="N62" s="171" t="s">
        <v>1070</v>
      </c>
      <c r="O62" s="172" t="b">
        <v>0</v>
      </c>
      <c r="P62" s="173" t="b">
        <v>0</v>
      </c>
      <c r="Q62" s="173" t="b">
        <v>0</v>
      </c>
      <c r="R62" s="173" t="b">
        <v>0</v>
      </c>
      <c r="S62" s="174" t="b">
        <v>0</v>
      </c>
      <c r="T62" s="175" t="b">
        <v>0</v>
      </c>
      <c r="U62" s="173" t="b">
        <v>0</v>
      </c>
      <c r="V62" s="171" t="s">
        <v>1070</v>
      </c>
      <c r="W62" s="172" t="b">
        <v>0</v>
      </c>
      <c r="X62" s="173" t="b">
        <v>0</v>
      </c>
      <c r="Y62" s="173" t="b">
        <v>0</v>
      </c>
      <c r="Z62" s="173" t="b">
        <v>0</v>
      </c>
      <c r="AA62" s="174" t="b">
        <v>0</v>
      </c>
      <c r="AB62" s="174" t="b">
        <v>0</v>
      </c>
      <c r="AC62" s="175" t="b">
        <v>0</v>
      </c>
      <c r="AD62" s="173" t="b">
        <v>0</v>
      </c>
      <c r="AE62" s="176" t="s">
        <v>1070</v>
      </c>
      <c r="AF62" s="171" t="s">
        <v>1070</v>
      </c>
      <c r="AG62" s="177">
        <f>IFERROR(__xludf.DUMMYFUNCTION("IF(
  ISNUMBER(AG61),
  MIN(MAX(
    AG61
    + MAX(
      ROUNDDOWN(($D62 - MAX(IFERROR(FILTER($D$24:$D61, AG$24:AG61 &lt;&gt; AF$6, AG$23:AG60 = AF$6), 0))) * (60 * 60 * 24) / AF$9) - ROUNDDOWN(($D61 - MAX(IFERROR(FILTER($D$23:$D60, AG$23:AG60 &lt;&gt; AF$6, AG$22:"&amp;"AG59 = AF$6), 0))) * (60 * 60 * 24) / 60),
      0
    )
    - COUNTIF(AF62, ""&lt;&gt;-""),
  0), AF$6),
  AF$6 - COUNTIF(AF62, ""&lt;&gt;-"")
)"),2.0)</f>
        <v>2</v>
      </c>
      <c r="AH62" s="173" t="b">
        <v>0</v>
      </c>
      <c r="AI62" s="173" t="b">
        <v>0</v>
      </c>
      <c r="AJ62" s="173" t="b">
        <v>0</v>
      </c>
      <c r="AK62" s="174" t="b">
        <v>0</v>
      </c>
      <c r="AL62" s="175" t="b">
        <v>0</v>
      </c>
      <c r="AM62" s="173" t="b">
        <v>0</v>
      </c>
      <c r="AN62" s="171" t="s">
        <v>1070</v>
      </c>
      <c r="AO62" s="173" t="b">
        <v>0</v>
      </c>
      <c r="AP62" s="173" t="b">
        <v>0</v>
      </c>
      <c r="AQ62" s="173" t="b">
        <v>0</v>
      </c>
      <c r="AR62" s="174" t="b">
        <v>0</v>
      </c>
      <c r="AS62" s="178" t="b">
        <v>0</v>
      </c>
      <c r="AT62" s="179" t="b">
        <v>0</v>
      </c>
      <c r="AU62" s="180" t="b">
        <v>0</v>
      </c>
      <c r="AV62" s="180" t="b">
        <v>0</v>
      </c>
      <c r="AW62" s="180" t="b">
        <v>0</v>
      </c>
      <c r="AX62" s="180" t="b">
        <v>0</v>
      </c>
      <c r="AY62" s="181" t="s">
        <v>1070</v>
      </c>
      <c r="AZ62" s="181" t="s">
        <v>1070</v>
      </c>
      <c r="BA62" s="184">
        <f>IFERROR(__xludf.DUMMYFUNCTION("IF(
  ISNUMBER(BA61),
  MIN(MAX(
    BA61
    + MAX(
      ROUNDDOWN((D62 - MAX(IFERROR(FILTER(D$24:D61, BA$24:BA61 &lt;&gt; AZ$6, BA$23:BA60 = AZ$6), 0))) * (60 * 60 * 24) / AZ$9) - ROUNDDOWN((D61 - MAX(IFERROR(FILTER(D$23:D60, BA$23:BA60 &lt;&gt; AZ$6, BA$22:BA59 ="&amp;" AZ$6), 0))) * (60 * 60 * 24) / AZ$9),
      0
    )
    - COUNTIF(AZ62, ""&lt;&gt;-""),
  0), AZ$6),
  AZ$6 - COUNTIF(AZ62, ""&lt;&gt;-"")
)"),2.0)</f>
        <v>2</v>
      </c>
      <c r="BB62" s="181" t="s">
        <v>1070</v>
      </c>
      <c r="BC62" s="183">
        <f>IFERROR(__xludf.DUMMYFUNCTION("IF(
  ISNUMBER(BC61),
  MIN(MAX(
    BC61
    + MAX(
      ROUNDDOWN(($D62 - MAX(IFERROR(FILTER($D$24:$D61, BC$24:BC61 &lt;&gt; BB$6, BC$23:BC60 = BB$6), 0))) * (60 * 60 * 24) / BB$9) - ROUNDDOWN(($D61 - MAX(IFERROR(FILTER($D$23:$D60, BC$23:BC60 &lt;&gt; BB$6, BC$22:"&amp;"BC59 = BB$6), 0))) * (60 * 60 * 24) / 60),
      0
    )
    - COUNTIF(BB62, ""&lt;&gt;-""),
  0), BB$6),
  BB$6 - COUNTIF(BB62, ""&lt;&gt;-"")
)"),2.0)</f>
        <v>2</v>
      </c>
      <c r="BD62" s="181" t="s">
        <v>1070</v>
      </c>
      <c r="BE62" s="178" t="b">
        <v>0</v>
      </c>
      <c r="BF62" s="180" t="b">
        <v>0</v>
      </c>
      <c r="BG62" s="180" t="b">
        <v>0</v>
      </c>
      <c r="BH62" s="180" t="b">
        <v>0</v>
      </c>
      <c r="BI62" s="180" t="b">
        <v>0</v>
      </c>
      <c r="BJ62" s="180" t="b">
        <v>0</v>
      </c>
      <c r="BK62" s="180" t="b">
        <v>0</v>
      </c>
      <c r="BL62" s="180" t="b">
        <v>0</v>
      </c>
      <c r="BM62" s="180" t="b">
        <v>0</v>
      </c>
      <c r="BN62" s="180" t="b">
        <v>0</v>
      </c>
      <c r="BO62" s="181" t="s">
        <v>1070</v>
      </c>
      <c r="BP62" s="181" t="s">
        <v>1070</v>
      </c>
      <c r="BQ62" s="181" t="s">
        <v>1070</v>
      </c>
      <c r="BR62" s="181" t="s">
        <v>1070</v>
      </c>
      <c r="BS62" s="181" t="s">
        <v>1070</v>
      </c>
      <c r="BT62" s="184">
        <f>IFERROR(__xludf.DUMMYFUNCTION("IF(
  ISNUMBER(BT61),
  MIN(MAX(
    BT61
    + MAX(
      ROUNDDOWN((D62 - MAX(IFERROR(FILTER(D$24:D61, BT$24:BT61 &lt;&gt; BS$6, BT$23:BT60 = BS$6), 0))) * (60 * 60 * 24) / BS$9) - ROUNDDOWN((D61 - MAX(IFERROR(FILTER(D$23:D60, BT$23:BT60 &lt;&gt; BS$6, BT$22:BT59 ="&amp;" BS$6), 0))) * (60 * 60 * 24) / BS$9),
      0
    )
    - COUNTIF(BS62, ""&lt;&gt;-""),
  0), BS$6),
  BS$6 - COUNTIF(BS62, ""&lt;&gt;-"")
)"),3.0)</f>
        <v>3</v>
      </c>
      <c r="BU62" s="181" t="s">
        <v>1070</v>
      </c>
      <c r="BV62" s="181" t="s">
        <v>1070</v>
      </c>
      <c r="BW62" s="184">
        <f>IFERROR(__xludf.DUMMYFUNCTION("IF(
  ISNUMBER(BW61),
  MIN(MAX(
    BW61
    + MAX(
      ROUNDDOWN((D62 - MAX(IFERROR(FILTER(D$24:D61, BW$24:BW61 &lt;&gt; BV$6, BW$23:BW60 = BV$6), 0))) * (60 * 60 * 24) / BV$9) - ROUNDDOWN((D61 - MAX(IFERROR(FILTER(D$23:D60, BW$23:BW60 &lt;&gt; BV$6, BW$22:BW59 ="&amp;" BV$6), 0))) * (60 * 60 * 24) / BV$9),
      0
    )
    - COUNTIF(BV62, ""&lt;&gt;-""),
  0), BV$6),
  BV$6 - COUNTIF(BV62, ""&lt;&gt;-"")
)"),2.0)</f>
        <v>2</v>
      </c>
      <c r="BX62" s="185" t="s">
        <v>1070</v>
      </c>
      <c r="BY62" s="178" t="b">
        <v>0</v>
      </c>
      <c r="BZ62" s="180" t="b">
        <v>0</v>
      </c>
      <c r="CA62" s="180" t="b">
        <v>0</v>
      </c>
      <c r="CB62" s="180" t="b">
        <v>0</v>
      </c>
      <c r="CC62" s="180" t="b">
        <v>0</v>
      </c>
      <c r="CD62" s="180" t="b">
        <v>0</v>
      </c>
      <c r="CE62" s="180" t="b">
        <v>0</v>
      </c>
      <c r="CF62" s="180" t="b">
        <v>0</v>
      </c>
      <c r="CG62" s="180" t="b">
        <v>0</v>
      </c>
      <c r="CH62" s="180" t="b">
        <v>0</v>
      </c>
      <c r="CI62" s="180" t="b">
        <v>0</v>
      </c>
      <c r="CJ62" s="180" t="b">
        <v>0</v>
      </c>
      <c r="CK62" s="180" t="b">
        <v>0</v>
      </c>
      <c r="CL62" s="180" t="b">
        <v>0</v>
      </c>
      <c r="CM62" s="181" t="s">
        <v>1070</v>
      </c>
      <c r="CN62" s="181" t="s">
        <v>1070</v>
      </c>
      <c r="CO62" s="181" t="s">
        <v>1070</v>
      </c>
      <c r="CP62" s="181" t="s">
        <v>1070</v>
      </c>
      <c r="CQ62" s="185" t="s">
        <v>1070</v>
      </c>
      <c r="CR62" s="180" t="b">
        <v>0</v>
      </c>
      <c r="CS62" s="186" t="str">
        <f t="shared" si="14"/>
        <v>◇◇◇</v>
      </c>
      <c r="CT62" s="178" t="b">
        <v>0</v>
      </c>
      <c r="CU62" s="180" t="b">
        <v>0</v>
      </c>
      <c r="CV62" s="180" t="b">
        <v>0</v>
      </c>
      <c r="CW62" s="180" t="b">
        <v>0</v>
      </c>
      <c r="CX62" s="180" t="b">
        <v>0</v>
      </c>
      <c r="CY62" s="180" t="b">
        <v>0</v>
      </c>
      <c r="CZ62" s="180" t="b">
        <v>0</v>
      </c>
      <c r="DA62" s="180" t="b">
        <v>0</v>
      </c>
      <c r="DB62" s="180" t="b">
        <v>0</v>
      </c>
      <c r="DC62" s="180" t="b">
        <v>0</v>
      </c>
      <c r="DD62" s="181" t="s">
        <v>1070</v>
      </c>
      <c r="DE62" s="181" t="s">
        <v>1070</v>
      </c>
      <c r="DF62" s="181" t="s">
        <v>1070</v>
      </c>
      <c r="DG62" s="185" t="s">
        <v>1070</v>
      </c>
      <c r="DH62" s="180" t="b">
        <v>0</v>
      </c>
      <c r="DI62" s="187" t="str">
        <f>IFERROR(__xludf.DUMMYFUNCTION("SWITCH(
  IF(
    ISTEXT(DI61),
    IF (
      FIND(""○"", DI61&amp;""○"") &gt; 3,
      3,
      FIND(""○"", DI61&amp;""○"")
      + MAX(
        ROUNDDOWN(($D62 - MAX(IFERROR(FILTER(D$24:D61, DI$24:DI61 &lt;&gt; ""●●●"", DI$23:DI60 = ""●●●""), 0))) * (60 * 60 * 24) / 20"&amp;") - ROUNDDOWN(($D61 - MAX(IFERROR(FILTER(D$23:D60, DI$23:DI60 &lt;&gt; ""●●●"", DI$22:DI59 = ""●●●""), 0))) * (60 * 60 * 24) / 20),
        0
      ) - 1
    ) - COUNTIFS(CU62, ""=TRUE"", CU61, ""&lt;&gt;TRUE"") - COUNTIF(CZ62, ""=TRUE"") - COUNTIF({DD62,DE62}, ""&lt;&gt;-"&amp;""") + COUNTIF(DH62, ""=TRUE""),
    3
  ),
  0, ""○○○"", 1, ""●○○"", 2, ""●●○"", 3, ""●●●"", 4, ""●●●"", ""○○○""
)"),"●●●")</f>
        <v>●●●</v>
      </c>
      <c r="DJ62" s="188" t="b">
        <v>0</v>
      </c>
      <c r="DK62" s="189" t="b">
        <v>0</v>
      </c>
      <c r="DL62" s="190" t="b">
        <v>0</v>
      </c>
      <c r="DM62" s="190" t="b">
        <v>0</v>
      </c>
      <c r="DN62" s="190" t="b">
        <v>0</v>
      </c>
      <c r="DO62" s="190" t="b">
        <v>0</v>
      </c>
      <c r="DP62" s="190" t="b">
        <v>0</v>
      </c>
      <c r="DQ62" s="191" t="b">
        <v>0</v>
      </c>
      <c r="DR62" s="192" t="b">
        <v>0</v>
      </c>
      <c r="DS62" s="191" t="b">
        <v>0</v>
      </c>
      <c r="DT62" s="192" t="b">
        <v>0</v>
      </c>
      <c r="DU62" s="191" t="b">
        <v>0</v>
      </c>
      <c r="DV62" s="193" t="s">
        <v>1070</v>
      </c>
      <c r="DW62" s="194" t="b">
        <v>0</v>
      </c>
      <c r="DX62" s="194" t="b">
        <v>0</v>
      </c>
      <c r="DY62" s="195" t="b">
        <v>0</v>
      </c>
      <c r="DZ62" s="196" t="b">
        <v>0</v>
      </c>
      <c r="EA62" s="195" t="b">
        <v>0</v>
      </c>
      <c r="EB62" s="197" t="b">
        <v>0</v>
      </c>
      <c r="EC62" s="197" t="b">
        <v>0</v>
      </c>
      <c r="ED62" s="212" t="b">
        <v>0</v>
      </c>
      <c r="EE62" s="199">
        <f>IFERROR(__xludf.DUMMYFUNCTION("IFERROR(
   PRODUCT(
     MAP(
       INDEX(TRANSPOSE(UNIQUE(TRANSPOSE(FILTER({IF($F62=""Physical"", K$10:ED$10, IF($F62=""Magic"", K$11:ED$11, K$12:ED$12));K$4:ED$4;K62:ED62}, K62:ED62=TRUE)))), 1, 0),
       INDEX(TRANSPOSE(UNIQUE(TRANSPOSE(FILTER({IF($"&amp;"F62=""Physical"", K$18:ED$18, IF($F62=""Magic"", K$19:ED$19, K$20:ED$20));K$4:ED$4;K62:ED62}, K62:ED62=TRUE)))), 1, 0),
       INDEX(TRANSPOSE(UNIQUE(TRANSPOSE(FILTER({K$5:ED$5;K$4:ED$4;K62:ED62}, K62:ED62=TRUE)))), 1, 0),
       INDEX(TRANSPOSE(UNIQUE(TR"&amp;"ANSPOSE(FILTER({K$17:ED$17;K$4:ED$4;K62:ED62}, K62:ED62=TRUE)))), 1, 0),
       LAMBDA(
         mitigation,
         enhance,
         assign,
         precondition,
         IF(
           REGEXMATCH(assign, ""RANGE_PARTY|SINGLE_ENEMY|RANGE_ENEMY""),
  "&amp;"         IF(
             OR(ARRAYFORMULA((IF(precondition="""", FALSE, REGEXMATCH(K$4:ED$4, precondition))) * (K62:ED62=TRUE))),
             IF(ISNUMBER(enhance), enhance, 1),
             IF(ISNUMBER(mitigation), mitigation, 1)
           ),
          "&amp;" 1
         )
       )
     )
   ),
   1
 )"),1.0)</f>
        <v>1</v>
      </c>
      <c r="EF62" s="200">
        <f>IFERROR(__xludf.DUMMYFUNCTION("PRODUCT(
   MAP(
     K$14:ED$14,
     K$13:ED$13,
     K62:ED62,
     LAMBDA(
       buff,
       target,
       check,
       IF(
         AND(check=TRUE, REGEXMATCH(target, ""RANGE_AFFECTED_ALL|RANGE_EFFECTED_ALL""), ISNUMBER(buff)),
         buff,
   "&amp;"      1
       )
     )
   )
 )"),1.0)</f>
        <v>1</v>
      </c>
      <c r="EG62" s="200">
        <f>IFERROR(__xludf.DUMMYFUNCTION("PRODUCT(
   MAP(
     K$14:ED$14,
     K$13:ED$13,
     K62:ED62,
     LAMBDA(
       buff,
       target,
       check,
       IF(
         AND(check=TRUE, REGEXMATCH(target, ""RANGE_AFFECTED_GCD|RANGE_EFFECTED_GCD""), ISNUMBER(buff)),
         buff,
   "&amp;"      1
       )
     )
   )
 )"),1.0)</f>
        <v>1</v>
      </c>
      <c r="EH62" s="200">
        <f>IFERROR(__xludf.DUMMYFUNCTION("PRODUCT(
   MAP(
     K$3:ED$3,
     K$14:ED$14,
     K$13:ED$13,
     K62:ED62,
     LAMBDA(
       job,
       buff,
       target,
       check,
       IF(
         AND(check=TRUE, REGEXMATCH(target, ""SELF_EFFECTED_ALL""), ISNUMBER(buff), job=""白魔道士"""&amp;"),
         buff,
         1
       )
     )
   )
 )"),1.0)</f>
        <v>1</v>
      </c>
      <c r="EI62" s="200">
        <f>IFERROR(__xludf.DUMMYFUNCTION("PRODUCT(
   MAP(
     K$3:ED$3,
     K$14:ED$14,
     K$13:ED$13,
     K62:ED62,
     LAMBDA(
       job,
       buff,
       target,
       check,
       IF(
         AND(check=TRUE, REGEXMATCH(target, ""SELF_EFFECTED_GCD""), ISNUMBER(buff), job=""白魔道士"""&amp;"),
         buff,
         1
       )
     )
   )
 )"),1.0)</f>
        <v>1</v>
      </c>
      <c r="EJ62" s="200">
        <f>IFERROR(__xludf.DUMMYFUNCTION("PRODUCT(
   MAP(
     K$3:ED$3,
     K$14:ED$14,
     K$13:ED$13,
     K62:ED62,
     LAMBDA(
       job,
       buff,
       target,
       check,
       IF(
         AND(check=TRUE, REGEXMATCH(target, ""SELF_EFFECTED_ALL""), ISNUMBER(buff), job=""占星術師"""&amp;"),
         buff,
         1
       )
     )
   )
 )"),1.0)</f>
        <v>1</v>
      </c>
      <c r="EK62" s="200">
        <f>IFERROR(__xludf.DUMMYFUNCTION("PRODUCT(
   MAP(
     K$3:ED$3,
     K$14:ED$14,
     K$13:ED$13,
     K62:ED62,
     LAMBDA(
       job,
       buff,
       target,
       check,
       IF(
         AND(check=TRUE, REGEXMATCH(target, ""SELF_EFFECTED_GCD""), ISNUMBER(buff), job=""占星術師"""&amp;"),
         buff,
         1
       )
     )
   )
 )"),1.0)</f>
        <v>1</v>
      </c>
      <c r="EL62" s="200">
        <f>IFERROR(__xludf.DUMMYFUNCTION("PRODUCT(
   MAP(
     K$3:ED$3,
     K$14:ED$14,
     K$13:ED$13,
     K62:ED62,
     LAMBDA(
       job,
       buff,
       target,
       check,
       IF(
         AND(check=TRUE, REGEXMATCH(target, ""SELF_EFFECTED_ALL""), ISNUMBER(buff), job=""学者""),"&amp;"
         buff,
         1
       )
     )
   )
 )"),1.0)</f>
        <v>1</v>
      </c>
      <c r="EM62" s="200">
        <f>IFERROR(__xludf.DUMMYFUNCTION("PRODUCT(
   MAP(
     K$3:ED$3,
     K$14:ED$14,
     K$13:ED$13,
     K62:ED62,
     LAMBDA(
       job,
       buff,
       target,
       check,
       IF(
         AND(check=TRUE, REGEXMATCH(target, ""SELF_EFFECTED_GCD""), ISNUMBER(buff), job=""学者""),"&amp;"
         buff,
         1
       )
     )
   )
 )"),1.0)</f>
        <v>1</v>
      </c>
      <c r="EN62" s="200">
        <f>IFERROR(__xludf.DUMMYFUNCTION("PRODUCT(
   MAP(
     K$3:ED$3,
     K$14:ED$14,
     K$13:ED$13,
     K62:ED62,
     LAMBDA(
       job,
       buff,
       target,
       check,
       IF(
         AND(check=TRUE, REGEXMATCH(target, ""SELF_EFFECTED_ALL""), ISNUMBER(buff), job=""賢者""),"&amp;"
         buff,
         1
       )
     )
   )
 )"),1.0)</f>
        <v>1</v>
      </c>
      <c r="EO62" s="200">
        <f>IFERROR(__xludf.DUMMYFUNCTION("PRODUCT(
   MAP(
     K$3:ED$3,
     K$14:ED$14,
     K$13:ED$13,
     K62:ED62,
     LAMBDA(
       job,
       buff,
       target,
       check,
       IF(
         AND(check=TRUE, REGEXMATCH(target, ""SELF_EFFECTED_GCD""), ISNUMBER(buff), job=""賢者""),"&amp;"
         buff,
         1
       )
     )
   )
 )"),1.0)</f>
        <v>1</v>
      </c>
      <c r="EP62" s="201">
        <f t="shared" si="3"/>
        <v>0</v>
      </c>
      <c r="EQ62" s="201">
        <f>IFERROR(__xludf.DUMMYFUNCTION("SUM(
   MAP(
     K$4:ED$4,
     K$3:ED$3,
     K$7:ED$7,
     K$15:ED$15,
     K$16:ED$16,
     K$21:ED$21,
     K$5:ED$5,
     K$17:ED$17,
     K62:ED62,
     LAMBDA(
       name,
       job,
       abillity,
       buff,
       barrier,
       enhance,"&amp;"
       assign,
       precondition,
       check,
       SWITCH(
         name,
         ""シェイクオフ"", IF(check=TRUE, buff + (0.02 * COUNTIF(ARRAYFORMULA((REGEXMATCH($K$4:$ED$4, ""スリル・オブ・バトル|ヴェンジェンス|原初の血気|ダムネーション"")) * (K62:ED62=TRUE)), 1)), 0),
         "&amp;"""インプロビゼーションフィニッシュ(踊りの激情0)"", IF(ISNUMBER(check), INDEX(Skill!$AJ:$AJ, MATCH(SUBSTITUTE(DV$4, 0, check), Skill!$C:$C, 0)), 0),
         IF(
           AND(check=TRUE, REGEXMATCH(assign, ""RANGE_PARTY"")),
           IF(
             OR(ARRAYFORMULA((IF(pr"&amp;"econdition="""", FALSE, REGEXMATCH($K$4:$ED$4, precondition))) * (K62:ED62=TRUE))),
             enhance,
             IF(barrier="""", buff, barrier)
           ),
           0
         )
       ) *
       SWITCH(
         job,
         ""ナイト"", EY$24,
 "&amp;"        ""戦士"", FD$24,
         ""踊り子"", ET$24,
         ""ピクトマンサー"", ET$24,
         ""白魔道士"", EF62 * EH62 * IF(abillity, 1, EG62 * EI62) * (Option!$D$22 * 0.81 / 100),
         ""占星術師"", EF62 * EJ62 * IF(abillity, 1, EG62 * EK62) * (Option!$D$23 * 0.81 "&amp;"/ 100),
         ""学者"", EF62 * EL62 * IF(abillity, 1, EG62 * EM62) * (Option!$D$24 * 0.81 / 100),
         ""賢者"", EF62 * EN62 * IF(abillity, 1, EG62 * EO62) * (Option!$D$25 * 0.81 / 100),
         1
       )
     )
   )
 )"),0.0)</f>
        <v>0</v>
      </c>
      <c r="ER62" s="202">
        <f t="shared" si="4"/>
        <v>0</v>
      </c>
      <c r="ES62" s="203">
        <f t="shared" si="5"/>
        <v>0</v>
      </c>
      <c r="ET62" s="231" t="str">
        <f>IFERROR(__xludf.DUMMYFUNCTION("IFS(
  EP62 &gt; $ET$24 + EQ62,
  SPARKLINE({ 1, 0 }, {""charttype"",""bar"";""max"", 1;""color1"",Option!$D$30;""color2"",Option!$D$30}),
  EP62 &lt; EQ62,
  SPARKLINE({EQ62 - EP62, $ET$24 - (EQ62 - EP62)}, {""charttype"",""bar"";""max"",$ET$24;""color1"",Opti"&amp;"on!$D$28;""color2"",Option!$D$29}),
  EP62 &gt;= EQ62,
  SPARKLINE({$ET$24 + EQ62 - EP62,EP62 - EQ62}, {""charttype"",""bar"";""max"",$ET$24;""color1"",Option!$D$29;""color2"",Option!$D$30})
)"),"")</f>
        <v/>
      </c>
      <c r="EU62" s="205">
        <f>IFERROR(__xludf.DUMMYFUNCTION("PRODUCT(
   MAP(
     IF($F62=""Physical"", K$10:ED$10, IF($F62=""Magic"", K$11:ED$11, K$12:ED$12)),
     IF($F62=""Physical"", K$18:ED$18, IF($F62=""Magic"", K$19:ED$19, K$20:ED$20)),
     K$3:ED$3,
     K$5:ED$5,
     K$17:ED$17,
     K62:ED62,
     LAM"&amp;"BDA(
       mitigation,
       enhance,
       job,
       assign,
       precondition,
       check,
       IF(
         OR(AND(check=TRUE, REGEXMATCH(assign, ""SELF""), job=""ナイト""), AND(check=Option!$E$13, REGEXMATCH(assign, ""SINGLE_PARTY""))),
      "&amp;"   IF(
           OR(ARRAYFORMULA((IF(precondition="""", FALSE, REGEXMATCH($K$4:$ED$4, precondition))) * (K62:ED62=TRUE))),
           enhance,
           mitigation
         ),
         1
       )
     )
   )
 ) * EE62"),1.0)</f>
        <v>1</v>
      </c>
      <c r="EV62" s="206">
        <f t="shared" si="6"/>
        <v>0</v>
      </c>
      <c r="EW62" s="205">
        <f>IFERROR(__xludf.DUMMYFUNCTION("PRODUCT(
   MAP(
     K$3:ED$3,
     K$14:ED$14,
     K$13:ED$13,
     K62:ED62,
     LAMBDA(
       job,
       buff,
       target,
       check,
       IF(
         OR(AND(check=TRUE, REGEXMATCH(target, ""SELF_AFFECTED_ALL""), job=""ナイト""), AND(check=O"&amp;"ption!$E$13, REGEXMATCH(target, ""SINGLE_AFFECTED_ALL""))),
         buff,
         1
       )
     )
   )
 )"),1.0)</f>
        <v>1</v>
      </c>
      <c r="EX62" s="206">
        <f>IFERROR(__xludf.DUMMYFUNCTION("SUM(
   MAP(
     K$3:ED$3,
     K$7:ED$7,
     K$15:ED$15,
     K$16:ED$16,
     K$21:ED$21,
     K$5:ED$5,
     K$17:ED$17,
     K62:ED62,
     LAMBDA(
       job,
       abillity,
       buff,
       barrier,
       enhance,
       assign,
       preco"&amp;"ndition,
       check,
       IF(
         OR(AND(check=TRUE, REGEXMATCH(assign, ""SELF""), job=""ナイト""), AND(check=Option!$E$13, REGEXMATCH(assign, ""SINGLE_PARTY""))),
         IF(
           OR(ARRAYFORMULA((IF(precondition="""", FALSE, REGEXMATCH($K$4"&amp;":$ED$4, precondition))) * (K62:ED62=TRUE))),
           enhance,
           IF(barrier="""", buff, barrier)
         ),
         0
       ) *
       SWITCH(
         job,
         ""暗黒騎士"", EY$24,
         ""白魔道士"", EF62 * EH62 * EW62 * IF(abillity, 1, EG"&amp;"62 * EI62) * (Option!$D$22 * 0.81 / 100),
         ""占星術師"", EF62 * EJ62 * EW62 * IF(abillity, 1, EG62 * EK62) * (Option!$D$23 * 0.81 / 100),
         ""学者"", EF62 * EL62 * EW62 * IF(abillity, 1, EG62 * EM62) * (Option!$D$24 * 0.81 / 100),
         ""賢者"""&amp;", EF62 * EN62 * EW62 * IF(abillity, 1, EG62 * EO62) * (Option!$D$25 * 0.81 / 100),
         1
       )
     )
   )
 ) + EQ62"),0.0)</f>
        <v>0</v>
      </c>
      <c r="EY62" s="232">
        <f t="shared" si="7"/>
        <v>0</v>
      </c>
      <c r="EZ62" s="205">
        <f>IFERROR(__xludf.DUMMYFUNCTION("PRODUCT(
   MAP(
     IF($F62=""Physical"", K$10:ED$10, IF($F62=""Magic"", K$11:ED$11, K$12:ED$12)),
     IF($F62=""Physical"", K$18:ED$18, IF($F62=""Magic"", K$19:ED$19, K$20:ED$20)),
     K$3:ED$3,
     K$5:ED$5,
     K$17:ED$17,
     K62:ED62,
     LAM"&amp;"BDA(
       mitigation,
       enhance,
       job,
       assign,
       precondition,
       check,
       IF(
         OR(AND(check=TRUE, REGEXMATCH(assign, ""SELF""), job=""戦士""), AND(check=Option!$F$13, REGEXMATCH(assign, ""SINGLE_PARTY""))),
       "&amp;"  IF(
           OR(ARRAYFORMULA((IF(precondition="""", FALSE, REGEXMATCH($K$4:$ED$4, precondition))) * (K62:ED62=TRUE))),
           enhance,
           mitigation
         ),
         1
       )
     )
   )
 ) * EE62"),1.0)</f>
        <v>1</v>
      </c>
      <c r="FA62" s="206">
        <f t="shared" si="8"/>
        <v>0</v>
      </c>
      <c r="FB62" s="205">
        <f>IFERROR(__xludf.DUMMYFUNCTION("PRODUCT(
   MAP(
     K$3:ED$3,
     K$14:ED$14,
     K$13:ED$13,
     K62:ED62,
     LAMBDA(
       job,
       buff,
       target,
       check,
       IF(
         OR(AND(check=TRUE, REGEXMATCH(target, ""SELF_AFFECTED_ALL""), job=""戦士""), AND(check=Op"&amp;"tion!$F$13, REGEXMATCH(target, ""SINGLE_AFFECTED_ALL""))),
         buff,
         1
       )
     )
   )
 )"),1.0)</f>
        <v>1</v>
      </c>
      <c r="FC62" s="206">
        <f>IFERROR(__xludf.DUMMYFUNCTION("SUM(
   MAP(
     K$3:ED$3,
     K$7:ED$7,
     K$15:ED$15,
     K$16:ED$16,
     K$21:ED$21,
     K$5:ED$5,
     K$17:ED$17,
     K62:ED62,
     LAMBDA(
       job,
       abillity,
       buff,
       barrier,
       enhance,
       assign,
       preco"&amp;"ndition,
       check,
       IF(
         OR(AND(check=TRUE, REGEXMATCH(assign, ""SELF""), job=""戦士""), AND(check=Option!$F$13, REGEXMATCH(assign, ""SINGLE_PARTY""))),
         IF(
           OR(ARRAYFORMULA((IF(precondition="""", FALSE, REGEXMATCH($K$4:"&amp;"$ED$4, precondition))) * (K62:ED62=TRUE))),
           enhance,
           IF(barrier="""", buff, barrier)
         ),
         0
       ) *
       SWITCH(
         job,
         ""暗黒騎士"", FD$24,
         ""白魔道士"", EF62 * EH62 * FB62 * IF(abillity, 1, EG6"&amp;"2 * EI62) * (Option!$D$22 * 0.81 / 100),
         ""占星術師"", EF62 * EJ62 * FFB62 * IF(abillity, 1, EG62 * EK62) * (Option!$D$23 * 0.81 / 100),
         ""学者"", EF62 * EL62 * FB62 * IF(abillity, 1, EG62 * EM62) * (Option!$D$24 * 0.81 / 100),
         ""賢者"""&amp;", EF62 * EN62 * FB62 * IF(abillity, 1, EG62 * EO62) * (Option!$D$25 * 0.81 / 100),
         1
       )
     )
   )
 ) + EQ62"),0.0)</f>
        <v>0</v>
      </c>
      <c r="FD62" s="206">
        <f t="shared" si="9"/>
        <v>0</v>
      </c>
      <c r="FE62" s="205">
        <f>IFERROR(__xludf.DUMMYFUNCTION("PRODUCT(
   MAP(
     IF($F62=""Physical"", K$10:ED$10, IF($F62=""Magic"", K$11:ED$11, K$12:ED$12)),
     IF($F62=""Physical"", K$18:ED$18, IF($F62=""Magic"", K$19:ED$19, K$20:ED$20)),
     K$3:ED$3,
     K$5:ED$5,
     K$17:ED$17,
     K62:ED62,
     LAM"&amp;"BDA(
       mitigation,
       enhance,
       job,
       assign,
       precondition,
       check,
       IF(
         OR(AND(check=TRUE, REGEXMATCH(assign, ""SELF""), job=""暗黒騎士""), AND(check=Option!$G$13, REGEXMATCH(assign, ""SINGLE_PARTY""))),
     "&amp;"    IF(
           OR(ARRAYFORMULA((IF(precondition="""", FALSE, REGEXMATCH($K$4:$ED$4, precondition))) * (K62:ED62=TRUE))),
           enhance,
           mitigation
         ),
         1
       )
     )
   )
 ) * EE62"),1.0)</f>
        <v>1</v>
      </c>
      <c r="FF62" s="206">
        <f t="shared" si="10"/>
        <v>0</v>
      </c>
      <c r="FG62" s="205">
        <f>IFERROR(__xludf.DUMMYFUNCTION("PRODUCT(
   MAP(
     K$3:ED$3,
     K$14:ED$14,
     K$13:ED$13,
     K62:ED62,
     LAMBDA(
       job,
       buff,
       target,
       check,
       IF(
         OR(AND(check=TRUE, REGEXMATCH(target, ""SELF_AFFECTED_ALL""), job=""暗黒騎士""), AND(check="&amp;"Option!$G$13, REGEXMATCH(target, ""SINGLE_AFFECTED_ALL""))),
         buff,
         1
       )
     )
   )
 )"),1.0)</f>
        <v>1</v>
      </c>
      <c r="FH62" s="206">
        <f>IFERROR(__xludf.DUMMYFUNCTION("SUM(
   MAP(
     K$3:ED$3,
     K$7:ED$7,
     K$15:ED$15,
     K$16:ED$16,
     K$21:ED$21,
     K$5:ED$5,
     K$17:ED$17,
     K62:ED62,
     LAMBDA(
       job,
       abillity,
       buff,
       barrier,
       enhance,
       assign,
       preco"&amp;"ndition,
       check,
       IF(
         OR(AND(check=TRUE, REGEXMATCH(assign, ""SELF""), job=""暗黒騎士""), AND(check=Option!$G$13, REGEXMATCH(assign, ""SINGLE_PARTY""))),
         IF(
           OR(ARRAYFORMULA((IF(precondition="""", FALSE, REGEXMATCH($K$"&amp;"4:$ED$4, precondition))) * (K62:ED62=TRUE))),
           enhance,
           IF(barrier="""", buff, barrier)
         ),
         0
       ) *
       SWITCH(
         job,
         ""暗黒騎士"", FI$24,
         ""白魔道士"", EF62 * EH62 * FG62 * IF(abillity, 1, E"&amp;"G62 * EI62) * (Option!$D$22 * 0.81 / 100),
         ""占星術師"", EF62 * EJ62 * FG62 * IF(abillity, 1, EG62 * EK62) * (Option!$D$23 * 0.81 / 100),
         ""学者"", EF62 * EL62 * FG62 * IF(abillity, 1, EG62 * EM62) * (Option!$D$24 * 0.81 / 100),
         ""賢者"&amp;""", EF62 * EN62 * FG62 * IF(abillity, 1, EG62 * EO62) * (Option!$D$25 * 0.81 / 100),
         1
       )
     )
   )
 ) + EQ62"),0.0)</f>
        <v>0</v>
      </c>
      <c r="FI62" s="206">
        <f t="shared" si="11"/>
        <v>0</v>
      </c>
      <c r="FJ62" s="205">
        <f>IFERROR(__xludf.DUMMYFUNCTION("PRODUCT(
   MAP(
     IF($F62=""Physical"", K$10:ED$10, IF($F62=""Magic"", K$11:ED$11, K$12:ED$12)),
     IF($F62=""Physical"", K$18:ED$18, IF($F62=""Magic"", K$19:ED$19, K$20:ED$20)),
     K$3:ED$3,
     K$5:ED$5,
     K$17:ED$17,
     K62:ED62,
     LAM"&amp;"BDA(
       mitigation,
       enhance,
       job,
       assign,
       precondition,
       check,
       IF(
         OR(AND(check=TRUE, REGEXMATCH(assign, ""SELF""), job=""ガンブレイカー""), AND(check=Option!$H$13, REGEXMATCH(assign, ""SINGLE_PARTY""))),
  "&amp;"       IF(
           OR(ARRAYFORMULA((IF(precondition="""", FALSE, REGEXMATCH($K$4:$ED$4, precondition))) * (K62:ED62=TRUE))),
           enhance,
           mitigation
         ),
         1
       )
     )
   )
 ) * EE62"),1.0)</f>
        <v>1</v>
      </c>
      <c r="FK62" s="206">
        <f t="shared" si="12"/>
        <v>0</v>
      </c>
      <c r="FL62" s="205">
        <f>IFERROR(__xludf.DUMMYFUNCTION("PRODUCT(
   MAP(
     K$3:ED$3,
     K$14:ED$14,
     K$13:ED$13,
     K62:ED62,
     LAMBDA(
       job,
       buff,
       target,
       check,
       IF(
         OR(AND(check=TRUE, REGEXMATCH(target, ""SELF_AFFECTED_ALL""), job=""ガンブレイカー""), AND(che"&amp;"ck=Option!$H$13, REGEXMATCH(target, ""SINGLE_AFFECTED_ALL""))),
         buff,
         1
       )
     )
   )
 )"),1.0)</f>
        <v>1</v>
      </c>
      <c r="FM62" s="206">
        <f>IFERROR(__xludf.DUMMYFUNCTION("SUM(
   MAP(
     K$3:ED$3,
     K$7:ED$7,
     K$15:ED$15,
     K$16:ED$16,
     K$21:ED$21,
     K$5:ED$5,
     K$17:ED$17,
     K62:ED62,
     LAMBDA(
       job,
       abillity,
       buff,
       barrier,
       enhance,
       assign,
       preco"&amp;"ndition,
       check,
       IF(
         OR(AND(check=TRUE, REGEXMATCH(assign, ""SELF""), job=""ガンブレイカー""), AND(check=Option!$H$13, REGEXMATCH(assign, ""SINGLE_PARTY""))),
         IF(
           OR(ARRAYFORMULA((IF(precondition="""", FALSE, REGEXMATCH("&amp;"$K$4:$ED$4, precondition))) * (K62:ED62=TRUE))),
           enhance,
           IF(barrier="""", buff, barrier)
         ),
         0
       ) *
       SWITCH(
         job,
         ""暗黒騎士"", FN$24,
         ""白魔道士"", EF62 * EH62 * FL62 * IF(abillity, 1"&amp;", EG62 * EI62) * (Option!$D$22 * 0.81 / 100),
         ""占星術師"", EF62 * EJ62 * FL62 * IF(abillity, 1, EG62 * EK62) * (Option!$D$23 * 0.81 / 100),
         ""学者"", EF62 * EL62 * FL62 * IF(abillity, 1, EG62 * EM62) * (Option!$D$24 * 0.81 / 100),
         """&amp;"賢者"", EF62 * EN62 * FL62 * IF(abillity, 1, EG62 * EO62) * (Option!$D$25 * 0.81 / 100),
         1
       )
     )
   )
 ) + EQ62"),0.0)</f>
        <v>0</v>
      </c>
      <c r="FN62" s="206">
        <f t="shared" si="13"/>
        <v>0</v>
      </c>
      <c r="FO62" s="213"/>
    </row>
    <row r="63">
      <c r="B63" s="229"/>
      <c r="C63" s="217">
        <f t="shared" si="1"/>
        <v>0.00380787037</v>
      </c>
      <c r="D63" s="236"/>
      <c r="E63" s="238"/>
      <c r="F63" s="167"/>
      <c r="G63" s="168" t="str">
        <f t="shared" si="2"/>
        <v/>
      </c>
      <c r="H63" s="169"/>
      <c r="I63" s="169"/>
      <c r="J63" s="169"/>
      <c r="K63" s="170" t="b">
        <v>0</v>
      </c>
      <c r="L63" s="170" t="b">
        <v>0</v>
      </c>
      <c r="M63" s="170" t="b">
        <v>0</v>
      </c>
      <c r="N63" s="171" t="s">
        <v>1070</v>
      </c>
      <c r="O63" s="172" t="b">
        <v>0</v>
      </c>
      <c r="P63" s="173" t="b">
        <v>0</v>
      </c>
      <c r="Q63" s="173" t="b">
        <v>0</v>
      </c>
      <c r="R63" s="173" t="b">
        <v>0</v>
      </c>
      <c r="S63" s="174" t="b">
        <v>0</v>
      </c>
      <c r="T63" s="175" t="b">
        <v>0</v>
      </c>
      <c r="U63" s="173" t="b">
        <v>0</v>
      </c>
      <c r="V63" s="171" t="s">
        <v>1070</v>
      </c>
      <c r="W63" s="172" t="b">
        <v>0</v>
      </c>
      <c r="X63" s="173" t="b">
        <v>0</v>
      </c>
      <c r="Y63" s="173" t="b">
        <v>0</v>
      </c>
      <c r="Z63" s="173" t="b">
        <v>0</v>
      </c>
      <c r="AA63" s="174" t="b">
        <v>0</v>
      </c>
      <c r="AB63" s="174" t="b">
        <v>0</v>
      </c>
      <c r="AC63" s="175" t="b">
        <v>0</v>
      </c>
      <c r="AD63" s="173" t="b">
        <v>0</v>
      </c>
      <c r="AE63" s="176" t="s">
        <v>1070</v>
      </c>
      <c r="AF63" s="171" t="s">
        <v>1070</v>
      </c>
      <c r="AG63" s="177">
        <f>IFERROR(__xludf.DUMMYFUNCTION("IF(
  ISNUMBER(AG62),
  MIN(MAX(
    AG62
    + MAX(
      ROUNDDOWN(($D63 - MAX(IFERROR(FILTER($D$24:$D62, AG$24:AG62 &lt;&gt; AF$6, AG$23:AG61 = AF$6), 0))) * (60 * 60 * 24) / AF$9) - ROUNDDOWN(($D62 - MAX(IFERROR(FILTER($D$23:$D61, AG$23:AG61 &lt;&gt; AF$6, AG$22:"&amp;"AG60 = AF$6), 0))) * (60 * 60 * 24) / 60),
      0
    )
    - COUNTIF(AF63, ""&lt;&gt;-""),
  0), AF$6),
  AF$6 - COUNTIF(AF63, ""&lt;&gt;-"")
)"),2.0)</f>
        <v>2</v>
      </c>
      <c r="AH63" s="173" t="b">
        <v>0</v>
      </c>
      <c r="AI63" s="173" t="b">
        <v>0</v>
      </c>
      <c r="AJ63" s="173" t="b">
        <v>0</v>
      </c>
      <c r="AK63" s="174" t="b">
        <v>0</v>
      </c>
      <c r="AL63" s="175" t="b">
        <v>0</v>
      </c>
      <c r="AM63" s="173" t="b">
        <v>0</v>
      </c>
      <c r="AN63" s="171" t="s">
        <v>1070</v>
      </c>
      <c r="AO63" s="173" t="b">
        <v>0</v>
      </c>
      <c r="AP63" s="173" t="b">
        <v>0</v>
      </c>
      <c r="AQ63" s="173" t="b">
        <v>0</v>
      </c>
      <c r="AR63" s="174" t="b">
        <v>0</v>
      </c>
      <c r="AS63" s="178" t="b">
        <v>0</v>
      </c>
      <c r="AT63" s="179" t="b">
        <v>0</v>
      </c>
      <c r="AU63" s="180" t="b">
        <v>0</v>
      </c>
      <c r="AV63" s="180" t="b">
        <v>0</v>
      </c>
      <c r="AW63" s="180" t="b">
        <v>0</v>
      </c>
      <c r="AX63" s="180" t="b">
        <v>0</v>
      </c>
      <c r="AY63" s="181" t="s">
        <v>1070</v>
      </c>
      <c r="AZ63" s="181" t="s">
        <v>1070</v>
      </c>
      <c r="BA63" s="184">
        <f>IFERROR(__xludf.DUMMYFUNCTION("IF(
  ISNUMBER(BA62),
  MIN(MAX(
    BA62
    + MAX(
      ROUNDDOWN((D63 - MAX(IFERROR(FILTER(D$24:D62, BA$24:BA62 &lt;&gt; AZ$6, BA$23:BA61 = AZ$6), 0))) * (60 * 60 * 24) / AZ$9) - ROUNDDOWN((D62 - MAX(IFERROR(FILTER(D$23:D61, BA$23:BA61 &lt;&gt; AZ$6, BA$22:BA60 ="&amp;" AZ$6), 0))) * (60 * 60 * 24) / AZ$9),
      0
    )
    - COUNTIF(AZ63, ""&lt;&gt;-""),
  0), AZ$6),
  AZ$6 - COUNTIF(AZ63, ""&lt;&gt;-"")
)"),2.0)</f>
        <v>2</v>
      </c>
      <c r="BB63" s="181" t="s">
        <v>1070</v>
      </c>
      <c r="BC63" s="183">
        <f>IFERROR(__xludf.DUMMYFUNCTION("IF(
  ISNUMBER(BC62),
  MIN(MAX(
    BC62
    + MAX(
      ROUNDDOWN(($D63 - MAX(IFERROR(FILTER($D$24:$D62, BC$24:BC62 &lt;&gt; BB$6, BC$23:BC61 = BB$6), 0))) * (60 * 60 * 24) / BB$9) - ROUNDDOWN(($D62 - MAX(IFERROR(FILTER($D$23:$D61, BC$23:BC61 &lt;&gt; BB$6, BC$22:"&amp;"BC60 = BB$6), 0))) * (60 * 60 * 24) / 60),
      0
    )
    - COUNTIF(BB63, ""&lt;&gt;-""),
  0), BB$6),
  BB$6 - COUNTIF(BB63, ""&lt;&gt;-"")
)"),2.0)</f>
        <v>2</v>
      </c>
      <c r="BD63" s="181" t="s">
        <v>1070</v>
      </c>
      <c r="BE63" s="178" t="b">
        <v>0</v>
      </c>
      <c r="BF63" s="180" t="b">
        <v>0</v>
      </c>
      <c r="BG63" s="180" t="b">
        <v>0</v>
      </c>
      <c r="BH63" s="180" t="b">
        <v>0</v>
      </c>
      <c r="BI63" s="180" t="b">
        <v>0</v>
      </c>
      <c r="BJ63" s="180" t="b">
        <v>0</v>
      </c>
      <c r="BK63" s="180" t="b">
        <v>0</v>
      </c>
      <c r="BL63" s="180" t="b">
        <v>0</v>
      </c>
      <c r="BM63" s="180" t="b">
        <v>0</v>
      </c>
      <c r="BN63" s="180" t="b">
        <v>0</v>
      </c>
      <c r="BO63" s="181" t="s">
        <v>1070</v>
      </c>
      <c r="BP63" s="181" t="s">
        <v>1070</v>
      </c>
      <c r="BQ63" s="181" t="s">
        <v>1070</v>
      </c>
      <c r="BR63" s="181" t="s">
        <v>1070</v>
      </c>
      <c r="BS63" s="181" t="s">
        <v>1070</v>
      </c>
      <c r="BT63" s="184">
        <f>IFERROR(__xludf.DUMMYFUNCTION("IF(
  ISNUMBER(BT62),
  MIN(MAX(
    BT62
    + MAX(
      ROUNDDOWN((D63 - MAX(IFERROR(FILTER(D$24:D62, BT$24:BT62 &lt;&gt; BS$6, BT$23:BT61 = BS$6), 0))) * (60 * 60 * 24) / BS$9) - ROUNDDOWN((D62 - MAX(IFERROR(FILTER(D$23:D61, BT$23:BT61 &lt;&gt; BS$6, BT$22:BT60 ="&amp;" BS$6), 0))) * (60 * 60 * 24) / BS$9),
      0
    )
    - COUNTIF(BS63, ""&lt;&gt;-""),
  0), BS$6),
  BS$6 - COUNTIF(BS63, ""&lt;&gt;-"")
)"),3.0)</f>
        <v>3</v>
      </c>
      <c r="BU63" s="181" t="s">
        <v>1070</v>
      </c>
      <c r="BV63" s="181" t="s">
        <v>1070</v>
      </c>
      <c r="BW63" s="184">
        <f>IFERROR(__xludf.DUMMYFUNCTION("IF(
  ISNUMBER(BW62),
  MIN(MAX(
    BW62
    + MAX(
      ROUNDDOWN((D63 - MAX(IFERROR(FILTER(D$24:D62, BW$24:BW62 &lt;&gt; BV$6, BW$23:BW61 = BV$6), 0))) * (60 * 60 * 24) / BV$9) - ROUNDDOWN((D62 - MAX(IFERROR(FILTER(D$23:D61, BW$23:BW61 &lt;&gt; BV$6, BW$22:BW60 ="&amp;" BV$6), 0))) * (60 * 60 * 24) / BV$9),
      0
    )
    - COUNTIF(BV63, ""&lt;&gt;-""),
  0), BV$6),
  BV$6 - COUNTIF(BV63, ""&lt;&gt;-"")
)"),2.0)</f>
        <v>2</v>
      </c>
      <c r="BX63" s="185" t="s">
        <v>1070</v>
      </c>
      <c r="BY63" s="178" t="b">
        <v>0</v>
      </c>
      <c r="BZ63" s="180" t="b">
        <v>0</v>
      </c>
      <c r="CA63" s="180" t="b">
        <v>0</v>
      </c>
      <c r="CB63" s="180" t="b">
        <v>0</v>
      </c>
      <c r="CC63" s="180" t="b">
        <v>0</v>
      </c>
      <c r="CD63" s="180" t="b">
        <v>0</v>
      </c>
      <c r="CE63" s="180" t="b">
        <v>0</v>
      </c>
      <c r="CF63" s="180" t="b">
        <v>0</v>
      </c>
      <c r="CG63" s="180" t="b">
        <v>0</v>
      </c>
      <c r="CH63" s="180" t="b">
        <v>0</v>
      </c>
      <c r="CI63" s="180" t="b">
        <v>0</v>
      </c>
      <c r="CJ63" s="180" t="b">
        <v>0</v>
      </c>
      <c r="CK63" s="180" t="b">
        <v>0</v>
      </c>
      <c r="CL63" s="180" t="b">
        <v>0</v>
      </c>
      <c r="CM63" s="181" t="s">
        <v>1070</v>
      </c>
      <c r="CN63" s="181" t="s">
        <v>1070</v>
      </c>
      <c r="CO63" s="181" t="s">
        <v>1070</v>
      </c>
      <c r="CP63" s="181" t="s">
        <v>1070</v>
      </c>
      <c r="CQ63" s="185" t="s">
        <v>1070</v>
      </c>
      <c r="CR63" s="180" t="b">
        <v>0</v>
      </c>
      <c r="CS63" s="186" t="str">
        <f t="shared" si="14"/>
        <v>◇◇◇</v>
      </c>
      <c r="CT63" s="178" t="b">
        <v>0</v>
      </c>
      <c r="CU63" s="180" t="b">
        <v>0</v>
      </c>
      <c r="CV63" s="180" t="b">
        <v>0</v>
      </c>
      <c r="CW63" s="180" t="b">
        <v>0</v>
      </c>
      <c r="CX63" s="180" t="b">
        <v>0</v>
      </c>
      <c r="CY63" s="180" t="b">
        <v>0</v>
      </c>
      <c r="CZ63" s="180" t="b">
        <v>0</v>
      </c>
      <c r="DA63" s="180" t="b">
        <v>0</v>
      </c>
      <c r="DB63" s="180" t="b">
        <v>0</v>
      </c>
      <c r="DC63" s="180" t="b">
        <v>0</v>
      </c>
      <c r="DD63" s="181" t="s">
        <v>1070</v>
      </c>
      <c r="DE63" s="181" t="s">
        <v>1070</v>
      </c>
      <c r="DF63" s="181" t="s">
        <v>1070</v>
      </c>
      <c r="DG63" s="185" t="s">
        <v>1070</v>
      </c>
      <c r="DH63" s="180" t="b">
        <v>0</v>
      </c>
      <c r="DI63" s="187" t="str">
        <f>IFERROR(__xludf.DUMMYFUNCTION("SWITCH(
  IF(
    ISTEXT(DI62),
    IF (
      FIND(""○"", DI62&amp;""○"") &gt; 3,
      3,
      FIND(""○"", DI62&amp;""○"")
      + MAX(
        ROUNDDOWN(($D63 - MAX(IFERROR(FILTER(D$24:D62, DI$24:DI62 &lt;&gt; ""●●●"", DI$23:DI61 = ""●●●""), 0))) * (60 * 60 * 24) / 20"&amp;") - ROUNDDOWN(($D62 - MAX(IFERROR(FILTER(D$23:D61, DI$23:DI61 &lt;&gt; ""●●●"", DI$22:DI60 = ""●●●""), 0))) * (60 * 60 * 24) / 20),
        0
      ) - 1
    ) - COUNTIFS(CU63, ""=TRUE"", CU62, ""&lt;&gt;TRUE"") - COUNTIF(CZ63, ""=TRUE"") - COUNTIF({DD63,DE63}, ""&lt;&gt;-"&amp;""") + COUNTIF(DH63, ""=TRUE""),
    3
  ),
  0, ""○○○"", 1, ""●○○"", 2, ""●●○"", 3, ""●●●"", 4, ""●●●"", ""○○○""
)"),"●●●")</f>
        <v>●●●</v>
      </c>
      <c r="DJ63" s="188" t="b">
        <v>0</v>
      </c>
      <c r="DK63" s="189" t="b">
        <v>0</v>
      </c>
      <c r="DL63" s="190" t="b">
        <v>0</v>
      </c>
      <c r="DM63" s="190" t="b">
        <v>0</v>
      </c>
      <c r="DN63" s="190" t="b">
        <v>0</v>
      </c>
      <c r="DO63" s="190" t="b">
        <v>0</v>
      </c>
      <c r="DP63" s="190" t="b">
        <v>0</v>
      </c>
      <c r="DQ63" s="191" t="b">
        <v>0</v>
      </c>
      <c r="DR63" s="192" t="b">
        <v>0</v>
      </c>
      <c r="DS63" s="191" t="b">
        <v>0</v>
      </c>
      <c r="DT63" s="192" t="b">
        <v>0</v>
      </c>
      <c r="DU63" s="191" t="b">
        <v>0</v>
      </c>
      <c r="DV63" s="193" t="s">
        <v>1070</v>
      </c>
      <c r="DW63" s="194" t="b">
        <v>0</v>
      </c>
      <c r="DX63" s="194" t="b">
        <v>0</v>
      </c>
      <c r="DY63" s="195" t="b">
        <v>0</v>
      </c>
      <c r="DZ63" s="196" t="b">
        <v>0</v>
      </c>
      <c r="EA63" s="195" t="b">
        <v>0</v>
      </c>
      <c r="EB63" s="197" t="b">
        <v>0</v>
      </c>
      <c r="EC63" s="197" t="b">
        <v>0</v>
      </c>
      <c r="ED63" s="212" t="b">
        <v>0</v>
      </c>
      <c r="EE63" s="199">
        <f>IFERROR(__xludf.DUMMYFUNCTION("IFERROR(
   PRODUCT(
     MAP(
       INDEX(TRANSPOSE(UNIQUE(TRANSPOSE(FILTER({IF($F63=""Physical"", K$10:ED$10, IF($F63=""Magic"", K$11:ED$11, K$12:ED$12));K$4:ED$4;K63:ED63}, K63:ED63=TRUE)))), 1, 0),
       INDEX(TRANSPOSE(UNIQUE(TRANSPOSE(FILTER({IF($"&amp;"F63=""Physical"", K$18:ED$18, IF($F63=""Magic"", K$19:ED$19, K$20:ED$20));K$4:ED$4;K63:ED63}, K63:ED63=TRUE)))), 1, 0),
       INDEX(TRANSPOSE(UNIQUE(TRANSPOSE(FILTER({K$5:ED$5;K$4:ED$4;K63:ED63}, K63:ED63=TRUE)))), 1, 0),
       INDEX(TRANSPOSE(UNIQUE(TR"&amp;"ANSPOSE(FILTER({K$17:ED$17;K$4:ED$4;K63:ED63}, K63:ED63=TRUE)))), 1, 0),
       LAMBDA(
         mitigation,
         enhance,
         assign,
         precondition,
         IF(
           REGEXMATCH(assign, ""RANGE_PARTY|SINGLE_ENEMY|RANGE_ENEMY""),
  "&amp;"         IF(
             OR(ARRAYFORMULA((IF(precondition="""", FALSE, REGEXMATCH(K$4:ED$4, precondition))) * (K63:ED63=TRUE))),
             IF(ISNUMBER(enhance), enhance, 1),
             IF(ISNUMBER(mitigation), mitigation, 1)
           ),
          "&amp;" 1
         )
       )
     )
   ),
   1
 )"),1.0)</f>
        <v>1</v>
      </c>
      <c r="EF63" s="200">
        <f>IFERROR(__xludf.DUMMYFUNCTION("PRODUCT(
   MAP(
     K$14:ED$14,
     K$13:ED$13,
     K63:ED63,
     LAMBDA(
       buff,
       target,
       check,
       IF(
         AND(check=TRUE, REGEXMATCH(target, ""RANGE_AFFECTED_ALL|RANGE_EFFECTED_ALL""), ISNUMBER(buff)),
         buff,
   "&amp;"      1
       )
     )
   )
 )"),1.0)</f>
        <v>1</v>
      </c>
      <c r="EG63" s="200">
        <f>IFERROR(__xludf.DUMMYFUNCTION("PRODUCT(
   MAP(
     K$14:ED$14,
     K$13:ED$13,
     K63:ED63,
     LAMBDA(
       buff,
       target,
       check,
       IF(
         AND(check=TRUE, REGEXMATCH(target, ""RANGE_AFFECTED_GCD|RANGE_EFFECTED_GCD""), ISNUMBER(buff)),
         buff,
   "&amp;"      1
       )
     )
   )
 )"),1.0)</f>
        <v>1</v>
      </c>
      <c r="EH63" s="200">
        <f>IFERROR(__xludf.DUMMYFUNCTION("PRODUCT(
   MAP(
     K$3:ED$3,
     K$14:ED$14,
     K$13:ED$13,
     K63:ED63,
     LAMBDA(
       job,
       buff,
       target,
       check,
       IF(
         AND(check=TRUE, REGEXMATCH(target, ""SELF_EFFECTED_ALL""), ISNUMBER(buff), job=""白魔道士"""&amp;"),
         buff,
         1
       )
     )
   )
 )"),1.0)</f>
        <v>1</v>
      </c>
      <c r="EI63" s="200">
        <f>IFERROR(__xludf.DUMMYFUNCTION("PRODUCT(
   MAP(
     K$3:ED$3,
     K$14:ED$14,
     K$13:ED$13,
     K63:ED63,
     LAMBDA(
       job,
       buff,
       target,
       check,
       IF(
         AND(check=TRUE, REGEXMATCH(target, ""SELF_EFFECTED_GCD""), ISNUMBER(buff), job=""白魔道士"""&amp;"),
         buff,
         1
       )
     )
   )
 )"),1.0)</f>
        <v>1</v>
      </c>
      <c r="EJ63" s="200">
        <f>IFERROR(__xludf.DUMMYFUNCTION("PRODUCT(
   MAP(
     K$3:ED$3,
     K$14:ED$14,
     K$13:ED$13,
     K63:ED63,
     LAMBDA(
       job,
       buff,
       target,
       check,
       IF(
         AND(check=TRUE, REGEXMATCH(target, ""SELF_EFFECTED_ALL""), ISNUMBER(buff), job=""占星術師"""&amp;"),
         buff,
         1
       )
     )
   )
 )"),1.0)</f>
        <v>1</v>
      </c>
      <c r="EK63" s="200">
        <f>IFERROR(__xludf.DUMMYFUNCTION("PRODUCT(
   MAP(
     K$3:ED$3,
     K$14:ED$14,
     K$13:ED$13,
     K63:ED63,
     LAMBDA(
       job,
       buff,
       target,
       check,
       IF(
         AND(check=TRUE, REGEXMATCH(target, ""SELF_EFFECTED_GCD""), ISNUMBER(buff), job=""占星術師"""&amp;"),
         buff,
         1
       )
     )
   )
 )"),1.0)</f>
        <v>1</v>
      </c>
      <c r="EL63" s="200">
        <f>IFERROR(__xludf.DUMMYFUNCTION("PRODUCT(
   MAP(
     K$3:ED$3,
     K$14:ED$14,
     K$13:ED$13,
     K63:ED63,
     LAMBDA(
       job,
       buff,
       target,
       check,
       IF(
         AND(check=TRUE, REGEXMATCH(target, ""SELF_EFFECTED_ALL""), ISNUMBER(buff), job=""学者""),"&amp;"
         buff,
         1
       )
     )
   )
 )"),1.0)</f>
        <v>1</v>
      </c>
      <c r="EM63" s="200">
        <f>IFERROR(__xludf.DUMMYFUNCTION("PRODUCT(
   MAP(
     K$3:ED$3,
     K$14:ED$14,
     K$13:ED$13,
     K63:ED63,
     LAMBDA(
       job,
       buff,
       target,
       check,
       IF(
         AND(check=TRUE, REGEXMATCH(target, ""SELF_EFFECTED_GCD""), ISNUMBER(buff), job=""学者""),"&amp;"
         buff,
         1
       )
     )
   )
 )"),1.0)</f>
        <v>1</v>
      </c>
      <c r="EN63" s="200">
        <f>IFERROR(__xludf.DUMMYFUNCTION("PRODUCT(
   MAP(
     K$3:ED$3,
     K$14:ED$14,
     K$13:ED$13,
     K63:ED63,
     LAMBDA(
       job,
       buff,
       target,
       check,
       IF(
         AND(check=TRUE, REGEXMATCH(target, ""SELF_EFFECTED_ALL""), ISNUMBER(buff), job=""賢者""),"&amp;"
         buff,
         1
       )
     )
   )
 )"),1.0)</f>
        <v>1</v>
      </c>
      <c r="EO63" s="200">
        <f>IFERROR(__xludf.DUMMYFUNCTION("PRODUCT(
   MAP(
     K$3:ED$3,
     K$14:ED$14,
     K$13:ED$13,
     K63:ED63,
     LAMBDA(
       job,
       buff,
       target,
       check,
       IF(
         AND(check=TRUE, REGEXMATCH(target, ""SELF_EFFECTED_GCD""), ISNUMBER(buff), job=""賢者""),"&amp;"
         buff,
         1
       )
     )
   )
 )"),1.0)</f>
        <v>1</v>
      </c>
      <c r="EP63" s="201">
        <f t="shared" si="3"/>
        <v>0</v>
      </c>
      <c r="EQ63" s="201">
        <f>IFERROR(__xludf.DUMMYFUNCTION("SUM(
   MAP(
     K$4:ED$4,
     K$3:ED$3,
     K$7:ED$7,
     K$15:ED$15,
     K$16:ED$16,
     K$21:ED$21,
     K$5:ED$5,
     K$17:ED$17,
     K63:ED63,
     LAMBDA(
       name,
       job,
       abillity,
       buff,
       barrier,
       enhance,"&amp;"
       assign,
       precondition,
       check,
       SWITCH(
         name,
         ""シェイクオフ"", IF(check=TRUE, buff + (0.02 * COUNTIF(ARRAYFORMULA((REGEXMATCH($K$4:$ED$4, ""スリル・オブ・バトル|ヴェンジェンス|原初の血気|ダムネーション"")) * (K63:ED63=TRUE)), 1)), 0),
         "&amp;"""インプロビゼーションフィニッシュ(踊りの激情0)"", IF(ISNUMBER(check), INDEX(Skill!$AJ:$AJ, MATCH(SUBSTITUTE(DV$4, 0, check), Skill!$C:$C, 0)), 0),
         IF(
           AND(check=TRUE, REGEXMATCH(assign, ""RANGE_PARTY"")),
           IF(
             OR(ARRAYFORMULA((IF(pr"&amp;"econdition="""", FALSE, REGEXMATCH($K$4:$ED$4, precondition))) * (K63:ED63=TRUE))),
             enhance,
             IF(barrier="""", buff, barrier)
           ),
           0
         )
       ) *
       SWITCH(
         job,
         ""ナイト"", EY$24,
 "&amp;"        ""戦士"", FD$24,
         ""踊り子"", ET$24,
         ""ピクトマンサー"", ET$24,
         ""白魔道士"", EF63 * EH63 * IF(abillity, 1, EG63 * EI63) * (Option!$D$22 * 0.81 / 100),
         ""占星術師"", EF63 * EJ63 * IF(abillity, 1, EG63 * EK63) * (Option!$D$23 * 0.81 "&amp;"/ 100),
         ""学者"", EF63 * EL63 * IF(abillity, 1, EG63 * EM63) * (Option!$D$24 * 0.81 / 100),
         ""賢者"", EF63 * EN63 * IF(abillity, 1, EG63 * EO63) * (Option!$D$25 * 0.81 / 100),
         1
       )
     )
   )
 )"),0.0)</f>
        <v>0</v>
      </c>
      <c r="ER63" s="202">
        <f t="shared" si="4"/>
        <v>0</v>
      </c>
      <c r="ES63" s="203">
        <f t="shared" si="5"/>
        <v>0</v>
      </c>
      <c r="ET63" s="231" t="str">
        <f>IFERROR(__xludf.DUMMYFUNCTION("IFS(
  EP63 &gt; $ET$24 + EQ63,
  SPARKLINE({ 1, 0 }, {""charttype"",""bar"";""max"", 1;""color1"",Option!$D$30;""color2"",Option!$D$30}),
  EP63 &lt; EQ63,
  SPARKLINE({EQ63 - EP63, $ET$24 - (EQ63 - EP63)}, {""charttype"",""bar"";""max"",$ET$24;""color1"",Opti"&amp;"on!$D$28;""color2"",Option!$D$29}),
  EP63 &gt;= EQ63,
  SPARKLINE({$ET$24 + EQ63 - EP63,EP63 - EQ63}, {""charttype"",""bar"";""max"",$ET$24;""color1"",Option!$D$29;""color2"",Option!$D$30})
)"),"")</f>
        <v/>
      </c>
      <c r="EU63" s="205">
        <f>IFERROR(__xludf.DUMMYFUNCTION("PRODUCT(
   MAP(
     IF($F63=""Physical"", K$10:ED$10, IF($F63=""Magic"", K$11:ED$11, K$12:ED$12)),
     IF($F63=""Physical"", K$18:ED$18, IF($F63=""Magic"", K$19:ED$19, K$20:ED$20)),
     K$3:ED$3,
     K$5:ED$5,
     K$17:ED$17,
     K63:ED63,
     LAM"&amp;"BDA(
       mitigation,
       enhance,
       job,
       assign,
       precondition,
       check,
       IF(
         OR(AND(check=TRUE, REGEXMATCH(assign, ""SELF""), job=""ナイト""), AND(check=Option!$E$13, REGEXMATCH(assign, ""SINGLE_PARTY""))),
      "&amp;"   IF(
           OR(ARRAYFORMULA((IF(precondition="""", FALSE, REGEXMATCH($K$4:$ED$4, precondition))) * (K63:ED63=TRUE))),
           enhance,
           mitigation
         ),
         1
       )
     )
   )
 ) * EE63"),1.0)</f>
        <v>1</v>
      </c>
      <c r="EV63" s="206">
        <f t="shared" si="6"/>
        <v>0</v>
      </c>
      <c r="EW63" s="205">
        <f>IFERROR(__xludf.DUMMYFUNCTION("PRODUCT(
   MAP(
     K$3:ED$3,
     K$14:ED$14,
     K$13:ED$13,
     K63:ED63,
     LAMBDA(
       job,
       buff,
       target,
       check,
       IF(
         OR(AND(check=TRUE, REGEXMATCH(target, ""SELF_AFFECTED_ALL""), job=""ナイト""), AND(check=O"&amp;"ption!$E$13, REGEXMATCH(target, ""SINGLE_AFFECTED_ALL""))),
         buff,
         1
       )
     )
   )
 )"),1.0)</f>
        <v>1</v>
      </c>
      <c r="EX63" s="206">
        <f>IFERROR(__xludf.DUMMYFUNCTION("SUM(
   MAP(
     K$3:ED$3,
     K$7:ED$7,
     K$15:ED$15,
     K$16:ED$16,
     K$21:ED$21,
     K$5:ED$5,
     K$17:ED$17,
     K63:ED63,
     LAMBDA(
       job,
       abillity,
       buff,
       barrier,
       enhance,
       assign,
       preco"&amp;"ndition,
       check,
       IF(
         OR(AND(check=TRUE, REGEXMATCH(assign, ""SELF""), job=""ナイト""), AND(check=Option!$E$13, REGEXMATCH(assign, ""SINGLE_PARTY""))),
         IF(
           OR(ARRAYFORMULA((IF(precondition="""", FALSE, REGEXMATCH($K$4"&amp;":$ED$4, precondition))) * (K63:ED63=TRUE))),
           enhance,
           IF(barrier="""", buff, barrier)
         ),
         0
       ) *
       SWITCH(
         job,
         ""暗黒騎士"", EY$24,
         ""白魔道士"", EF63 * EH63 * EW63 * IF(abillity, 1, EG"&amp;"63 * EI63) * (Option!$D$22 * 0.81 / 100),
         ""占星術師"", EF63 * EJ63 * EW63 * IF(abillity, 1, EG63 * EK63) * (Option!$D$23 * 0.81 / 100),
         ""学者"", EF63 * EL63 * EW63 * IF(abillity, 1, EG63 * EM63) * (Option!$D$24 * 0.81 / 100),
         ""賢者"""&amp;", EF63 * EN63 * EW63 * IF(abillity, 1, EG63 * EO63) * (Option!$D$25 * 0.81 / 100),
         1
       )
     )
   )
 ) + EQ63"),0.0)</f>
        <v>0</v>
      </c>
      <c r="EY63" s="232">
        <f t="shared" si="7"/>
        <v>0</v>
      </c>
      <c r="EZ63" s="205">
        <f>IFERROR(__xludf.DUMMYFUNCTION("PRODUCT(
   MAP(
     IF($F63=""Physical"", K$10:ED$10, IF($F63=""Magic"", K$11:ED$11, K$12:ED$12)),
     IF($F63=""Physical"", K$18:ED$18, IF($F63=""Magic"", K$19:ED$19, K$20:ED$20)),
     K$3:ED$3,
     K$5:ED$5,
     K$17:ED$17,
     K63:ED63,
     LAM"&amp;"BDA(
       mitigation,
       enhance,
       job,
       assign,
       precondition,
       check,
       IF(
         OR(AND(check=TRUE, REGEXMATCH(assign, ""SELF""), job=""戦士""), AND(check=Option!$F$13, REGEXMATCH(assign, ""SINGLE_PARTY""))),
       "&amp;"  IF(
           OR(ARRAYFORMULA((IF(precondition="""", FALSE, REGEXMATCH($K$4:$ED$4, precondition))) * (K63:ED63=TRUE))),
           enhance,
           mitigation
         ),
         1
       )
     )
   )
 ) * EE63"),1.0)</f>
        <v>1</v>
      </c>
      <c r="FA63" s="206">
        <f t="shared" si="8"/>
        <v>0</v>
      </c>
      <c r="FB63" s="205">
        <f>IFERROR(__xludf.DUMMYFUNCTION("PRODUCT(
   MAP(
     K$3:ED$3,
     K$14:ED$14,
     K$13:ED$13,
     K63:ED63,
     LAMBDA(
       job,
       buff,
       target,
       check,
       IF(
         OR(AND(check=TRUE, REGEXMATCH(target, ""SELF_AFFECTED_ALL""), job=""戦士""), AND(check=Op"&amp;"tion!$F$13, REGEXMATCH(target, ""SINGLE_AFFECTED_ALL""))),
         buff,
         1
       )
     )
   )
 )"),1.0)</f>
        <v>1</v>
      </c>
      <c r="FC63" s="206">
        <f>IFERROR(__xludf.DUMMYFUNCTION("SUM(
   MAP(
     K$3:ED$3,
     K$7:ED$7,
     K$15:ED$15,
     K$16:ED$16,
     K$21:ED$21,
     K$5:ED$5,
     K$17:ED$17,
     K63:ED63,
     LAMBDA(
       job,
       abillity,
       buff,
       barrier,
       enhance,
       assign,
       preco"&amp;"ndition,
       check,
       IF(
         OR(AND(check=TRUE, REGEXMATCH(assign, ""SELF""), job=""戦士""), AND(check=Option!$F$13, REGEXMATCH(assign, ""SINGLE_PARTY""))),
         IF(
           OR(ARRAYFORMULA((IF(precondition="""", FALSE, REGEXMATCH($K$4:"&amp;"$ED$4, precondition))) * (K63:ED63=TRUE))),
           enhance,
           IF(barrier="""", buff, barrier)
         ),
         0
       ) *
       SWITCH(
         job,
         ""暗黒騎士"", FD$24,
         ""白魔道士"", EF63 * EH63 * FB63 * IF(abillity, 1, EG6"&amp;"3 * EI63) * (Option!$D$22 * 0.81 / 100),
         ""占星術師"", EF63 * EJ63 * FFB63 * IF(abillity, 1, EG63 * EK63) * (Option!$D$23 * 0.81 / 100),
         ""学者"", EF63 * EL63 * FB63 * IF(abillity, 1, EG63 * EM63) * (Option!$D$24 * 0.81 / 100),
         ""賢者"""&amp;", EF63 * EN63 * FB63 * IF(abillity, 1, EG63 * EO63) * (Option!$D$25 * 0.81 / 100),
         1
       )
     )
   )
 ) + EQ63"),0.0)</f>
        <v>0</v>
      </c>
      <c r="FD63" s="206">
        <f t="shared" si="9"/>
        <v>0</v>
      </c>
      <c r="FE63" s="205">
        <f>IFERROR(__xludf.DUMMYFUNCTION("PRODUCT(
   MAP(
     IF($F63=""Physical"", K$10:ED$10, IF($F63=""Magic"", K$11:ED$11, K$12:ED$12)),
     IF($F63=""Physical"", K$18:ED$18, IF($F63=""Magic"", K$19:ED$19, K$20:ED$20)),
     K$3:ED$3,
     K$5:ED$5,
     K$17:ED$17,
     K63:ED63,
     LAM"&amp;"BDA(
       mitigation,
       enhance,
       job,
       assign,
       precondition,
       check,
       IF(
         OR(AND(check=TRUE, REGEXMATCH(assign, ""SELF""), job=""暗黒騎士""), AND(check=Option!$G$13, REGEXMATCH(assign, ""SINGLE_PARTY""))),
     "&amp;"    IF(
           OR(ARRAYFORMULA((IF(precondition="""", FALSE, REGEXMATCH($K$4:$ED$4, precondition))) * (K63:ED63=TRUE))),
           enhance,
           mitigation
         ),
         1
       )
     )
   )
 ) * EE63"),1.0)</f>
        <v>1</v>
      </c>
      <c r="FF63" s="206">
        <f t="shared" si="10"/>
        <v>0</v>
      </c>
      <c r="FG63" s="205">
        <f>IFERROR(__xludf.DUMMYFUNCTION("PRODUCT(
   MAP(
     K$3:ED$3,
     K$14:ED$14,
     K$13:ED$13,
     K63:ED63,
     LAMBDA(
       job,
       buff,
       target,
       check,
       IF(
         OR(AND(check=TRUE, REGEXMATCH(target, ""SELF_AFFECTED_ALL""), job=""暗黒騎士""), AND(check="&amp;"Option!$G$13, REGEXMATCH(target, ""SINGLE_AFFECTED_ALL""))),
         buff,
         1
       )
     )
   )
 )"),1.0)</f>
        <v>1</v>
      </c>
      <c r="FH63" s="206">
        <f>IFERROR(__xludf.DUMMYFUNCTION("SUM(
   MAP(
     K$3:ED$3,
     K$7:ED$7,
     K$15:ED$15,
     K$16:ED$16,
     K$21:ED$21,
     K$5:ED$5,
     K$17:ED$17,
     K63:ED63,
     LAMBDA(
       job,
       abillity,
       buff,
       barrier,
       enhance,
       assign,
       preco"&amp;"ndition,
       check,
       IF(
         OR(AND(check=TRUE, REGEXMATCH(assign, ""SELF""), job=""暗黒騎士""), AND(check=Option!$G$13, REGEXMATCH(assign, ""SINGLE_PARTY""))),
         IF(
           OR(ARRAYFORMULA((IF(precondition="""", FALSE, REGEXMATCH($K$"&amp;"4:$ED$4, precondition))) * (K63:ED63=TRUE))),
           enhance,
           IF(barrier="""", buff, barrier)
         ),
         0
       ) *
       SWITCH(
         job,
         ""暗黒騎士"", FI$24,
         ""白魔道士"", EF63 * EH63 * FG63 * IF(abillity, 1, E"&amp;"G63 * EI63) * (Option!$D$22 * 0.81 / 100),
         ""占星術師"", EF63 * EJ63 * FG63 * IF(abillity, 1, EG63 * EK63) * (Option!$D$23 * 0.81 / 100),
         ""学者"", EF63 * EL63 * FG63 * IF(abillity, 1, EG63 * EM63) * (Option!$D$24 * 0.81 / 100),
         ""賢者"&amp;""", EF63 * EN63 * FG63 * IF(abillity, 1, EG63 * EO63) * (Option!$D$25 * 0.81 / 100),
         1
       )
     )
   )
 ) + EQ63"),0.0)</f>
        <v>0</v>
      </c>
      <c r="FI63" s="206">
        <f t="shared" si="11"/>
        <v>0</v>
      </c>
      <c r="FJ63" s="205">
        <f>IFERROR(__xludf.DUMMYFUNCTION("PRODUCT(
   MAP(
     IF($F63=""Physical"", K$10:ED$10, IF($F63=""Magic"", K$11:ED$11, K$12:ED$12)),
     IF($F63=""Physical"", K$18:ED$18, IF($F63=""Magic"", K$19:ED$19, K$20:ED$20)),
     K$3:ED$3,
     K$5:ED$5,
     K$17:ED$17,
     K63:ED63,
     LAM"&amp;"BDA(
       mitigation,
       enhance,
       job,
       assign,
       precondition,
       check,
       IF(
         OR(AND(check=TRUE, REGEXMATCH(assign, ""SELF""), job=""ガンブレイカー""), AND(check=Option!$H$13, REGEXMATCH(assign, ""SINGLE_PARTY""))),
  "&amp;"       IF(
           OR(ARRAYFORMULA((IF(precondition="""", FALSE, REGEXMATCH($K$4:$ED$4, precondition))) * (K63:ED63=TRUE))),
           enhance,
           mitigation
         ),
         1
       )
     )
   )
 ) * EE63"),1.0)</f>
        <v>1</v>
      </c>
      <c r="FK63" s="206">
        <f t="shared" si="12"/>
        <v>0</v>
      </c>
      <c r="FL63" s="205">
        <f>IFERROR(__xludf.DUMMYFUNCTION("PRODUCT(
   MAP(
     K$3:ED$3,
     K$14:ED$14,
     K$13:ED$13,
     K63:ED63,
     LAMBDA(
       job,
       buff,
       target,
       check,
       IF(
         OR(AND(check=TRUE, REGEXMATCH(target, ""SELF_AFFECTED_ALL""), job=""ガンブレイカー""), AND(che"&amp;"ck=Option!$H$13, REGEXMATCH(target, ""SINGLE_AFFECTED_ALL""))),
         buff,
         1
       )
     )
   )
 )"),1.0)</f>
        <v>1</v>
      </c>
      <c r="FM63" s="206">
        <f>IFERROR(__xludf.DUMMYFUNCTION("SUM(
   MAP(
     K$3:ED$3,
     K$7:ED$7,
     K$15:ED$15,
     K$16:ED$16,
     K$21:ED$21,
     K$5:ED$5,
     K$17:ED$17,
     K63:ED63,
     LAMBDA(
       job,
       abillity,
       buff,
       barrier,
       enhance,
       assign,
       preco"&amp;"ndition,
       check,
       IF(
         OR(AND(check=TRUE, REGEXMATCH(assign, ""SELF""), job=""ガンブレイカー""), AND(check=Option!$H$13, REGEXMATCH(assign, ""SINGLE_PARTY""))),
         IF(
           OR(ARRAYFORMULA((IF(precondition="""", FALSE, REGEXMATCH("&amp;"$K$4:$ED$4, precondition))) * (K63:ED63=TRUE))),
           enhance,
           IF(barrier="""", buff, barrier)
         ),
         0
       ) *
       SWITCH(
         job,
         ""暗黒騎士"", FN$24,
         ""白魔道士"", EF63 * EH63 * FL63 * IF(abillity, 1"&amp;", EG63 * EI63) * (Option!$D$22 * 0.81 / 100),
         ""占星術師"", EF63 * EJ63 * FL63 * IF(abillity, 1, EG63 * EK63) * (Option!$D$23 * 0.81 / 100),
         ""学者"", EF63 * EL63 * FL63 * IF(abillity, 1, EG63 * EM63) * (Option!$D$24 * 0.81 / 100),
         """&amp;"賢者"", EF63 * EN63 * FL63 * IF(abillity, 1, EG63 * EO63) * (Option!$D$25 * 0.81 / 100),
         1
       )
     )
   )
 ) + EQ63"),0.0)</f>
        <v>0</v>
      </c>
      <c r="FN63" s="206">
        <f t="shared" si="13"/>
        <v>0</v>
      </c>
      <c r="FO63" s="213"/>
    </row>
    <row r="64">
      <c r="B64" s="229"/>
      <c r="C64" s="217">
        <f t="shared" si="1"/>
        <v>0.00380787037</v>
      </c>
      <c r="D64" s="236"/>
      <c r="E64" s="238"/>
      <c r="F64" s="167"/>
      <c r="G64" s="168" t="str">
        <f t="shared" si="2"/>
        <v/>
      </c>
      <c r="H64" s="169"/>
      <c r="I64" s="169"/>
      <c r="J64" s="169"/>
      <c r="K64" s="170" t="b">
        <v>0</v>
      </c>
      <c r="L64" s="170" t="b">
        <v>0</v>
      </c>
      <c r="M64" s="170" t="b">
        <v>0</v>
      </c>
      <c r="N64" s="171" t="s">
        <v>1070</v>
      </c>
      <c r="O64" s="172" t="b">
        <v>0</v>
      </c>
      <c r="P64" s="173" t="b">
        <v>0</v>
      </c>
      <c r="Q64" s="173" t="b">
        <v>0</v>
      </c>
      <c r="R64" s="173" t="b">
        <v>0</v>
      </c>
      <c r="S64" s="174" t="b">
        <v>0</v>
      </c>
      <c r="T64" s="175" t="b">
        <v>0</v>
      </c>
      <c r="U64" s="173" t="b">
        <v>0</v>
      </c>
      <c r="V64" s="171" t="s">
        <v>1070</v>
      </c>
      <c r="W64" s="172" t="b">
        <v>0</v>
      </c>
      <c r="X64" s="173" t="b">
        <v>0</v>
      </c>
      <c r="Y64" s="173" t="b">
        <v>0</v>
      </c>
      <c r="Z64" s="173" t="b">
        <v>0</v>
      </c>
      <c r="AA64" s="174" t="b">
        <v>0</v>
      </c>
      <c r="AB64" s="174" t="b">
        <v>0</v>
      </c>
      <c r="AC64" s="175" t="b">
        <v>0</v>
      </c>
      <c r="AD64" s="173" t="b">
        <v>0</v>
      </c>
      <c r="AE64" s="176" t="s">
        <v>1070</v>
      </c>
      <c r="AF64" s="171" t="s">
        <v>1070</v>
      </c>
      <c r="AG64" s="177">
        <f>IFERROR(__xludf.DUMMYFUNCTION("IF(
  ISNUMBER(AG63),
  MIN(MAX(
    AG63
    + MAX(
      ROUNDDOWN(($D64 - MAX(IFERROR(FILTER($D$24:$D63, AG$24:AG63 &lt;&gt; AF$6, AG$23:AG62 = AF$6), 0))) * (60 * 60 * 24) / AF$9) - ROUNDDOWN(($D63 - MAX(IFERROR(FILTER($D$23:$D62, AG$23:AG62 &lt;&gt; AF$6, AG$22:"&amp;"AG61 = AF$6), 0))) * (60 * 60 * 24) / 60),
      0
    )
    - COUNTIF(AF64, ""&lt;&gt;-""),
  0), AF$6),
  AF$6 - COUNTIF(AF64, ""&lt;&gt;-"")
)"),2.0)</f>
        <v>2</v>
      </c>
      <c r="AH64" s="173" t="b">
        <v>0</v>
      </c>
      <c r="AI64" s="173" t="b">
        <v>0</v>
      </c>
      <c r="AJ64" s="173" t="b">
        <v>0</v>
      </c>
      <c r="AK64" s="174" t="b">
        <v>0</v>
      </c>
      <c r="AL64" s="175" t="b">
        <v>0</v>
      </c>
      <c r="AM64" s="173" t="b">
        <v>0</v>
      </c>
      <c r="AN64" s="171" t="s">
        <v>1070</v>
      </c>
      <c r="AO64" s="173" t="b">
        <v>0</v>
      </c>
      <c r="AP64" s="173" t="b">
        <v>0</v>
      </c>
      <c r="AQ64" s="173" t="b">
        <v>0</v>
      </c>
      <c r="AR64" s="174" t="b">
        <v>0</v>
      </c>
      <c r="AS64" s="178" t="b">
        <v>0</v>
      </c>
      <c r="AT64" s="179" t="b">
        <v>0</v>
      </c>
      <c r="AU64" s="180" t="b">
        <v>0</v>
      </c>
      <c r="AV64" s="180" t="b">
        <v>0</v>
      </c>
      <c r="AW64" s="180" t="b">
        <v>0</v>
      </c>
      <c r="AX64" s="180" t="b">
        <v>0</v>
      </c>
      <c r="AY64" s="181" t="s">
        <v>1070</v>
      </c>
      <c r="AZ64" s="181" t="s">
        <v>1070</v>
      </c>
      <c r="BA64" s="184">
        <f>IFERROR(__xludf.DUMMYFUNCTION("IF(
  ISNUMBER(BA63),
  MIN(MAX(
    BA63
    + MAX(
      ROUNDDOWN((D64 - MAX(IFERROR(FILTER(D$24:D63, BA$24:BA63 &lt;&gt; AZ$6, BA$23:BA62 = AZ$6), 0))) * (60 * 60 * 24) / AZ$9) - ROUNDDOWN((D63 - MAX(IFERROR(FILTER(D$23:D62, BA$23:BA62 &lt;&gt; AZ$6, BA$22:BA61 ="&amp;" AZ$6), 0))) * (60 * 60 * 24) / AZ$9),
      0
    )
    - COUNTIF(AZ64, ""&lt;&gt;-""),
  0), AZ$6),
  AZ$6 - COUNTIF(AZ64, ""&lt;&gt;-"")
)"),2.0)</f>
        <v>2</v>
      </c>
      <c r="BB64" s="181" t="s">
        <v>1070</v>
      </c>
      <c r="BC64" s="183">
        <f>IFERROR(__xludf.DUMMYFUNCTION("IF(
  ISNUMBER(BC63),
  MIN(MAX(
    BC63
    + MAX(
      ROUNDDOWN(($D64 - MAX(IFERROR(FILTER($D$24:$D63, BC$24:BC63 &lt;&gt; BB$6, BC$23:BC62 = BB$6), 0))) * (60 * 60 * 24) / BB$9) - ROUNDDOWN(($D63 - MAX(IFERROR(FILTER($D$23:$D62, BC$23:BC62 &lt;&gt; BB$6, BC$22:"&amp;"BC61 = BB$6), 0))) * (60 * 60 * 24) / 60),
      0
    )
    - COUNTIF(BB64, ""&lt;&gt;-""),
  0), BB$6),
  BB$6 - COUNTIF(BB64, ""&lt;&gt;-"")
)"),2.0)</f>
        <v>2</v>
      </c>
      <c r="BD64" s="181" t="s">
        <v>1070</v>
      </c>
      <c r="BE64" s="178" t="b">
        <v>0</v>
      </c>
      <c r="BF64" s="180" t="b">
        <v>0</v>
      </c>
      <c r="BG64" s="180" t="b">
        <v>0</v>
      </c>
      <c r="BH64" s="180" t="b">
        <v>0</v>
      </c>
      <c r="BI64" s="180" t="b">
        <v>0</v>
      </c>
      <c r="BJ64" s="180" t="b">
        <v>0</v>
      </c>
      <c r="BK64" s="180" t="b">
        <v>0</v>
      </c>
      <c r="BL64" s="180" t="b">
        <v>0</v>
      </c>
      <c r="BM64" s="180" t="b">
        <v>0</v>
      </c>
      <c r="BN64" s="180" t="b">
        <v>0</v>
      </c>
      <c r="BO64" s="181" t="s">
        <v>1070</v>
      </c>
      <c r="BP64" s="181" t="s">
        <v>1070</v>
      </c>
      <c r="BQ64" s="181" t="s">
        <v>1070</v>
      </c>
      <c r="BR64" s="181" t="s">
        <v>1070</v>
      </c>
      <c r="BS64" s="181" t="s">
        <v>1070</v>
      </c>
      <c r="BT64" s="184">
        <f>IFERROR(__xludf.DUMMYFUNCTION("IF(
  ISNUMBER(BT63),
  MIN(MAX(
    BT63
    + MAX(
      ROUNDDOWN((D64 - MAX(IFERROR(FILTER(D$24:D63, BT$24:BT63 &lt;&gt; BS$6, BT$23:BT62 = BS$6), 0))) * (60 * 60 * 24) / BS$9) - ROUNDDOWN((D63 - MAX(IFERROR(FILTER(D$23:D62, BT$23:BT62 &lt;&gt; BS$6, BT$22:BT61 ="&amp;" BS$6), 0))) * (60 * 60 * 24) / BS$9),
      0
    )
    - COUNTIF(BS64, ""&lt;&gt;-""),
  0), BS$6),
  BS$6 - COUNTIF(BS64, ""&lt;&gt;-"")
)"),3.0)</f>
        <v>3</v>
      </c>
      <c r="BU64" s="181" t="s">
        <v>1070</v>
      </c>
      <c r="BV64" s="181" t="s">
        <v>1070</v>
      </c>
      <c r="BW64" s="184">
        <f>IFERROR(__xludf.DUMMYFUNCTION("IF(
  ISNUMBER(BW63),
  MIN(MAX(
    BW63
    + MAX(
      ROUNDDOWN((D64 - MAX(IFERROR(FILTER(D$24:D63, BW$24:BW63 &lt;&gt; BV$6, BW$23:BW62 = BV$6), 0))) * (60 * 60 * 24) / BV$9) - ROUNDDOWN((D63 - MAX(IFERROR(FILTER(D$23:D62, BW$23:BW62 &lt;&gt; BV$6, BW$22:BW61 ="&amp;" BV$6), 0))) * (60 * 60 * 24) / BV$9),
      0
    )
    - COUNTIF(BV64, ""&lt;&gt;-""),
  0), BV$6),
  BV$6 - COUNTIF(BV64, ""&lt;&gt;-"")
)"),2.0)</f>
        <v>2</v>
      </c>
      <c r="BX64" s="185" t="s">
        <v>1070</v>
      </c>
      <c r="BY64" s="178" t="b">
        <v>0</v>
      </c>
      <c r="BZ64" s="180" t="b">
        <v>0</v>
      </c>
      <c r="CA64" s="180" t="b">
        <v>0</v>
      </c>
      <c r="CB64" s="180" t="b">
        <v>0</v>
      </c>
      <c r="CC64" s="180" t="b">
        <v>0</v>
      </c>
      <c r="CD64" s="180" t="b">
        <v>0</v>
      </c>
      <c r="CE64" s="180" t="b">
        <v>0</v>
      </c>
      <c r="CF64" s="180" t="b">
        <v>0</v>
      </c>
      <c r="CG64" s="180" t="b">
        <v>0</v>
      </c>
      <c r="CH64" s="180" t="b">
        <v>0</v>
      </c>
      <c r="CI64" s="180" t="b">
        <v>0</v>
      </c>
      <c r="CJ64" s="180" t="b">
        <v>0</v>
      </c>
      <c r="CK64" s="180" t="b">
        <v>0</v>
      </c>
      <c r="CL64" s="180" t="b">
        <v>0</v>
      </c>
      <c r="CM64" s="181" t="s">
        <v>1070</v>
      </c>
      <c r="CN64" s="181" t="s">
        <v>1070</v>
      </c>
      <c r="CO64" s="181" t="s">
        <v>1070</v>
      </c>
      <c r="CP64" s="181" t="s">
        <v>1070</v>
      </c>
      <c r="CQ64" s="185" t="s">
        <v>1070</v>
      </c>
      <c r="CR64" s="180" t="b">
        <v>0</v>
      </c>
      <c r="CS64" s="186" t="str">
        <f t="shared" si="14"/>
        <v>◇◇◇</v>
      </c>
      <c r="CT64" s="178" t="b">
        <v>0</v>
      </c>
      <c r="CU64" s="180" t="b">
        <v>0</v>
      </c>
      <c r="CV64" s="180" t="b">
        <v>0</v>
      </c>
      <c r="CW64" s="180" t="b">
        <v>0</v>
      </c>
      <c r="CX64" s="180" t="b">
        <v>0</v>
      </c>
      <c r="CY64" s="180" t="b">
        <v>0</v>
      </c>
      <c r="CZ64" s="180" t="b">
        <v>0</v>
      </c>
      <c r="DA64" s="180" t="b">
        <v>0</v>
      </c>
      <c r="DB64" s="180" t="b">
        <v>0</v>
      </c>
      <c r="DC64" s="180" t="b">
        <v>0</v>
      </c>
      <c r="DD64" s="181" t="s">
        <v>1070</v>
      </c>
      <c r="DE64" s="181" t="s">
        <v>1070</v>
      </c>
      <c r="DF64" s="181" t="s">
        <v>1070</v>
      </c>
      <c r="DG64" s="185" t="s">
        <v>1070</v>
      </c>
      <c r="DH64" s="180" t="b">
        <v>0</v>
      </c>
      <c r="DI64" s="187" t="str">
        <f>IFERROR(__xludf.DUMMYFUNCTION("SWITCH(
  IF(
    ISTEXT(DI63),
    IF (
      FIND(""○"", DI63&amp;""○"") &gt; 3,
      3,
      FIND(""○"", DI63&amp;""○"")
      + MAX(
        ROUNDDOWN(($D64 - MAX(IFERROR(FILTER(D$24:D63, DI$24:DI63 &lt;&gt; ""●●●"", DI$23:DI62 = ""●●●""), 0))) * (60 * 60 * 24) / 20"&amp;") - ROUNDDOWN(($D63 - MAX(IFERROR(FILTER(D$23:D62, DI$23:DI62 &lt;&gt; ""●●●"", DI$22:DI61 = ""●●●""), 0))) * (60 * 60 * 24) / 20),
        0
      ) - 1
    ) - COUNTIFS(CU64, ""=TRUE"", CU63, ""&lt;&gt;TRUE"") - COUNTIF(CZ64, ""=TRUE"") - COUNTIF({DD64,DE64}, ""&lt;&gt;-"&amp;""") + COUNTIF(DH64, ""=TRUE""),
    3
  ),
  0, ""○○○"", 1, ""●○○"", 2, ""●●○"", 3, ""●●●"", 4, ""●●●"", ""○○○""
)"),"●●●")</f>
        <v>●●●</v>
      </c>
      <c r="DJ64" s="188" t="b">
        <v>0</v>
      </c>
      <c r="DK64" s="189" t="b">
        <v>0</v>
      </c>
      <c r="DL64" s="190" t="b">
        <v>0</v>
      </c>
      <c r="DM64" s="190" t="b">
        <v>0</v>
      </c>
      <c r="DN64" s="190" t="b">
        <v>0</v>
      </c>
      <c r="DO64" s="190" t="b">
        <v>0</v>
      </c>
      <c r="DP64" s="190" t="b">
        <v>0</v>
      </c>
      <c r="DQ64" s="191" t="b">
        <v>0</v>
      </c>
      <c r="DR64" s="192" t="b">
        <v>0</v>
      </c>
      <c r="DS64" s="191" t="b">
        <v>0</v>
      </c>
      <c r="DT64" s="192" t="b">
        <v>0</v>
      </c>
      <c r="DU64" s="191" t="b">
        <v>0</v>
      </c>
      <c r="DV64" s="193" t="s">
        <v>1070</v>
      </c>
      <c r="DW64" s="194" t="b">
        <v>0</v>
      </c>
      <c r="DX64" s="194" t="b">
        <v>0</v>
      </c>
      <c r="DY64" s="195" t="b">
        <v>0</v>
      </c>
      <c r="DZ64" s="196" t="b">
        <v>0</v>
      </c>
      <c r="EA64" s="195" t="b">
        <v>0</v>
      </c>
      <c r="EB64" s="197" t="b">
        <v>0</v>
      </c>
      <c r="EC64" s="197" t="b">
        <v>0</v>
      </c>
      <c r="ED64" s="212" t="b">
        <v>0</v>
      </c>
      <c r="EE64" s="199">
        <f>IFERROR(__xludf.DUMMYFUNCTION("IFERROR(
   PRODUCT(
     MAP(
       INDEX(TRANSPOSE(UNIQUE(TRANSPOSE(FILTER({IF($F64=""Physical"", K$10:ED$10, IF($F64=""Magic"", K$11:ED$11, K$12:ED$12));K$4:ED$4;K64:ED64}, K64:ED64=TRUE)))), 1, 0),
       INDEX(TRANSPOSE(UNIQUE(TRANSPOSE(FILTER({IF($"&amp;"F64=""Physical"", K$18:ED$18, IF($F64=""Magic"", K$19:ED$19, K$20:ED$20));K$4:ED$4;K64:ED64}, K64:ED64=TRUE)))), 1, 0),
       INDEX(TRANSPOSE(UNIQUE(TRANSPOSE(FILTER({K$5:ED$5;K$4:ED$4;K64:ED64}, K64:ED64=TRUE)))), 1, 0),
       INDEX(TRANSPOSE(UNIQUE(TR"&amp;"ANSPOSE(FILTER({K$17:ED$17;K$4:ED$4;K64:ED64}, K64:ED64=TRUE)))), 1, 0),
       LAMBDA(
         mitigation,
         enhance,
         assign,
         precondition,
         IF(
           REGEXMATCH(assign, ""RANGE_PARTY|SINGLE_ENEMY|RANGE_ENEMY""),
  "&amp;"         IF(
             OR(ARRAYFORMULA((IF(precondition="""", FALSE, REGEXMATCH(K$4:ED$4, precondition))) * (K64:ED64=TRUE))),
             IF(ISNUMBER(enhance), enhance, 1),
             IF(ISNUMBER(mitigation), mitigation, 1)
           ),
          "&amp;" 1
         )
       )
     )
   ),
   1
 )"),1.0)</f>
        <v>1</v>
      </c>
      <c r="EF64" s="200">
        <f>IFERROR(__xludf.DUMMYFUNCTION("PRODUCT(
   MAP(
     K$14:ED$14,
     K$13:ED$13,
     K64:ED64,
     LAMBDA(
       buff,
       target,
       check,
       IF(
         AND(check=TRUE, REGEXMATCH(target, ""RANGE_AFFECTED_ALL|RANGE_EFFECTED_ALL""), ISNUMBER(buff)),
         buff,
   "&amp;"      1
       )
     )
   )
 )"),1.0)</f>
        <v>1</v>
      </c>
      <c r="EG64" s="200">
        <f>IFERROR(__xludf.DUMMYFUNCTION("PRODUCT(
   MAP(
     K$14:ED$14,
     K$13:ED$13,
     K64:ED64,
     LAMBDA(
       buff,
       target,
       check,
       IF(
         AND(check=TRUE, REGEXMATCH(target, ""RANGE_AFFECTED_GCD|RANGE_EFFECTED_GCD""), ISNUMBER(buff)),
         buff,
   "&amp;"      1
       )
     )
   )
 )"),1.0)</f>
        <v>1</v>
      </c>
      <c r="EH64" s="200">
        <f>IFERROR(__xludf.DUMMYFUNCTION("PRODUCT(
   MAP(
     K$3:ED$3,
     K$14:ED$14,
     K$13:ED$13,
     K64:ED64,
     LAMBDA(
       job,
       buff,
       target,
       check,
       IF(
         AND(check=TRUE, REGEXMATCH(target, ""SELF_EFFECTED_ALL""), ISNUMBER(buff), job=""白魔道士"""&amp;"),
         buff,
         1
       )
     )
   )
 )"),1.0)</f>
        <v>1</v>
      </c>
      <c r="EI64" s="200">
        <f>IFERROR(__xludf.DUMMYFUNCTION("PRODUCT(
   MAP(
     K$3:ED$3,
     K$14:ED$14,
     K$13:ED$13,
     K64:ED64,
     LAMBDA(
       job,
       buff,
       target,
       check,
       IF(
         AND(check=TRUE, REGEXMATCH(target, ""SELF_EFFECTED_GCD""), ISNUMBER(buff), job=""白魔道士"""&amp;"),
         buff,
         1
       )
     )
   )
 )"),1.0)</f>
        <v>1</v>
      </c>
      <c r="EJ64" s="200">
        <f>IFERROR(__xludf.DUMMYFUNCTION("PRODUCT(
   MAP(
     K$3:ED$3,
     K$14:ED$14,
     K$13:ED$13,
     K64:ED64,
     LAMBDA(
       job,
       buff,
       target,
       check,
       IF(
         AND(check=TRUE, REGEXMATCH(target, ""SELF_EFFECTED_ALL""), ISNUMBER(buff), job=""占星術師"""&amp;"),
         buff,
         1
       )
     )
   )
 )"),1.0)</f>
        <v>1</v>
      </c>
      <c r="EK64" s="200">
        <f>IFERROR(__xludf.DUMMYFUNCTION("PRODUCT(
   MAP(
     K$3:ED$3,
     K$14:ED$14,
     K$13:ED$13,
     K64:ED64,
     LAMBDA(
       job,
       buff,
       target,
       check,
       IF(
         AND(check=TRUE, REGEXMATCH(target, ""SELF_EFFECTED_GCD""), ISNUMBER(buff), job=""占星術師"""&amp;"),
         buff,
         1
       )
     )
   )
 )"),1.0)</f>
        <v>1</v>
      </c>
      <c r="EL64" s="200">
        <f>IFERROR(__xludf.DUMMYFUNCTION("PRODUCT(
   MAP(
     K$3:ED$3,
     K$14:ED$14,
     K$13:ED$13,
     K64:ED64,
     LAMBDA(
       job,
       buff,
       target,
       check,
       IF(
         AND(check=TRUE, REGEXMATCH(target, ""SELF_EFFECTED_ALL""), ISNUMBER(buff), job=""学者""),"&amp;"
         buff,
         1
       )
     )
   )
 )"),1.0)</f>
        <v>1</v>
      </c>
      <c r="EM64" s="200">
        <f>IFERROR(__xludf.DUMMYFUNCTION("PRODUCT(
   MAP(
     K$3:ED$3,
     K$14:ED$14,
     K$13:ED$13,
     K64:ED64,
     LAMBDA(
       job,
       buff,
       target,
       check,
       IF(
         AND(check=TRUE, REGEXMATCH(target, ""SELF_EFFECTED_GCD""), ISNUMBER(buff), job=""学者""),"&amp;"
         buff,
         1
       )
     )
   )
 )"),1.0)</f>
        <v>1</v>
      </c>
      <c r="EN64" s="200">
        <f>IFERROR(__xludf.DUMMYFUNCTION("PRODUCT(
   MAP(
     K$3:ED$3,
     K$14:ED$14,
     K$13:ED$13,
     K64:ED64,
     LAMBDA(
       job,
       buff,
       target,
       check,
       IF(
         AND(check=TRUE, REGEXMATCH(target, ""SELF_EFFECTED_ALL""), ISNUMBER(buff), job=""賢者""),"&amp;"
         buff,
         1
       )
     )
   )
 )"),1.0)</f>
        <v>1</v>
      </c>
      <c r="EO64" s="200">
        <f>IFERROR(__xludf.DUMMYFUNCTION("PRODUCT(
   MAP(
     K$3:ED$3,
     K$14:ED$14,
     K$13:ED$13,
     K64:ED64,
     LAMBDA(
       job,
       buff,
       target,
       check,
       IF(
         AND(check=TRUE, REGEXMATCH(target, ""SELF_EFFECTED_GCD""), ISNUMBER(buff), job=""賢者""),"&amp;"
         buff,
         1
       )
     )
   )
 )"),1.0)</f>
        <v>1</v>
      </c>
      <c r="EP64" s="201">
        <f t="shared" si="3"/>
        <v>0</v>
      </c>
      <c r="EQ64" s="201">
        <f>IFERROR(__xludf.DUMMYFUNCTION("SUM(
   MAP(
     K$4:ED$4,
     K$3:ED$3,
     K$7:ED$7,
     K$15:ED$15,
     K$16:ED$16,
     K$21:ED$21,
     K$5:ED$5,
     K$17:ED$17,
     K64:ED64,
     LAMBDA(
       name,
       job,
       abillity,
       buff,
       barrier,
       enhance,"&amp;"
       assign,
       precondition,
       check,
       SWITCH(
         name,
         ""シェイクオフ"", IF(check=TRUE, buff + (0.02 * COUNTIF(ARRAYFORMULA((REGEXMATCH($K$4:$ED$4, ""スリル・オブ・バトル|ヴェンジェンス|原初の血気|ダムネーション"")) * (K64:ED64=TRUE)), 1)), 0),
         "&amp;"""インプロビゼーションフィニッシュ(踊りの激情0)"", IF(ISNUMBER(check), INDEX(Skill!$AJ:$AJ, MATCH(SUBSTITUTE(DV$4, 0, check), Skill!$C:$C, 0)), 0),
         IF(
           AND(check=TRUE, REGEXMATCH(assign, ""RANGE_PARTY"")),
           IF(
             OR(ARRAYFORMULA((IF(pr"&amp;"econdition="""", FALSE, REGEXMATCH($K$4:$ED$4, precondition))) * (K64:ED64=TRUE))),
             enhance,
             IF(barrier="""", buff, barrier)
           ),
           0
         )
       ) *
       SWITCH(
         job,
         ""ナイト"", EY$24,
 "&amp;"        ""戦士"", FD$24,
         ""踊り子"", ET$24,
         ""ピクトマンサー"", ET$24,
         ""白魔道士"", EF64 * EH64 * IF(abillity, 1, EG64 * EI64) * (Option!$D$22 * 0.81 / 100),
         ""占星術師"", EF64 * EJ64 * IF(abillity, 1, EG64 * EK64) * (Option!$D$23 * 0.81 "&amp;"/ 100),
         ""学者"", EF64 * EL64 * IF(abillity, 1, EG64 * EM64) * (Option!$D$24 * 0.81 / 100),
         ""賢者"", EF64 * EN64 * IF(abillity, 1, EG64 * EO64) * (Option!$D$25 * 0.81 / 100),
         1
       )
     )
   )
 )"),0.0)</f>
        <v>0</v>
      </c>
      <c r="ER64" s="202">
        <f t="shared" si="4"/>
        <v>0</v>
      </c>
      <c r="ES64" s="203">
        <f t="shared" si="5"/>
        <v>0</v>
      </c>
      <c r="ET64" s="231" t="str">
        <f>IFERROR(__xludf.DUMMYFUNCTION("IFS(
  EP64 &gt; $ET$24 + EQ64,
  SPARKLINE({ 1, 0 }, {""charttype"",""bar"";""max"", 1;""color1"",Option!$D$30;""color2"",Option!$D$30}),
  EP64 &lt; EQ64,
  SPARKLINE({EQ64 - EP64, $ET$24 - (EQ64 - EP64)}, {""charttype"",""bar"";""max"",$ET$24;""color1"",Opti"&amp;"on!$D$28;""color2"",Option!$D$29}),
  EP64 &gt;= EQ64,
  SPARKLINE({$ET$24 + EQ64 - EP64,EP64 - EQ64}, {""charttype"",""bar"";""max"",$ET$24;""color1"",Option!$D$29;""color2"",Option!$D$30})
)"),"")</f>
        <v/>
      </c>
      <c r="EU64" s="205">
        <f>IFERROR(__xludf.DUMMYFUNCTION("PRODUCT(
   MAP(
     IF($F64=""Physical"", K$10:ED$10, IF($F64=""Magic"", K$11:ED$11, K$12:ED$12)),
     IF($F64=""Physical"", K$18:ED$18, IF($F64=""Magic"", K$19:ED$19, K$20:ED$20)),
     K$3:ED$3,
     K$5:ED$5,
     K$17:ED$17,
     K64:ED64,
     LAM"&amp;"BDA(
       mitigation,
       enhance,
       job,
       assign,
       precondition,
       check,
       IF(
         OR(AND(check=TRUE, REGEXMATCH(assign, ""SELF""), job=""ナイト""), AND(check=Option!$E$13, REGEXMATCH(assign, ""SINGLE_PARTY""))),
      "&amp;"   IF(
           OR(ARRAYFORMULA((IF(precondition="""", FALSE, REGEXMATCH($K$4:$ED$4, precondition))) * (K64:ED64=TRUE))),
           enhance,
           mitigation
         ),
         1
       )
     )
   )
 ) * EE64"),1.0)</f>
        <v>1</v>
      </c>
      <c r="EV64" s="206">
        <f t="shared" si="6"/>
        <v>0</v>
      </c>
      <c r="EW64" s="205">
        <f>IFERROR(__xludf.DUMMYFUNCTION("PRODUCT(
   MAP(
     K$3:ED$3,
     K$14:ED$14,
     K$13:ED$13,
     K64:ED64,
     LAMBDA(
       job,
       buff,
       target,
       check,
       IF(
         OR(AND(check=TRUE, REGEXMATCH(target, ""SELF_AFFECTED_ALL""), job=""ナイト""), AND(check=O"&amp;"ption!$E$13, REGEXMATCH(target, ""SINGLE_AFFECTED_ALL""))),
         buff,
         1
       )
     )
   )
 )"),1.0)</f>
        <v>1</v>
      </c>
      <c r="EX64" s="206">
        <f>IFERROR(__xludf.DUMMYFUNCTION("SUM(
   MAP(
     K$3:ED$3,
     K$7:ED$7,
     K$15:ED$15,
     K$16:ED$16,
     K$21:ED$21,
     K$5:ED$5,
     K$17:ED$17,
     K64:ED64,
     LAMBDA(
       job,
       abillity,
       buff,
       barrier,
       enhance,
       assign,
       preco"&amp;"ndition,
       check,
       IF(
         OR(AND(check=TRUE, REGEXMATCH(assign, ""SELF""), job=""ナイト""), AND(check=Option!$E$13, REGEXMATCH(assign, ""SINGLE_PARTY""))),
         IF(
           OR(ARRAYFORMULA((IF(precondition="""", FALSE, REGEXMATCH($K$4"&amp;":$ED$4, precondition))) * (K64:ED64=TRUE))),
           enhance,
           IF(barrier="""", buff, barrier)
         ),
         0
       ) *
       SWITCH(
         job,
         ""暗黒騎士"", EY$24,
         ""白魔道士"", EF64 * EH64 * EW64 * IF(abillity, 1, EG"&amp;"64 * EI64) * (Option!$D$22 * 0.81 / 100),
         ""占星術師"", EF64 * EJ64 * EW64 * IF(abillity, 1, EG64 * EK64) * (Option!$D$23 * 0.81 / 100),
         ""学者"", EF64 * EL64 * EW64 * IF(abillity, 1, EG64 * EM64) * (Option!$D$24 * 0.81 / 100),
         ""賢者"""&amp;", EF64 * EN64 * EW64 * IF(abillity, 1, EG64 * EO64) * (Option!$D$25 * 0.81 / 100),
         1
       )
     )
   )
 ) + EQ64"),0.0)</f>
        <v>0</v>
      </c>
      <c r="EY64" s="232">
        <f t="shared" si="7"/>
        <v>0</v>
      </c>
      <c r="EZ64" s="205">
        <f>IFERROR(__xludf.DUMMYFUNCTION("PRODUCT(
   MAP(
     IF($F64=""Physical"", K$10:ED$10, IF($F64=""Magic"", K$11:ED$11, K$12:ED$12)),
     IF($F64=""Physical"", K$18:ED$18, IF($F64=""Magic"", K$19:ED$19, K$20:ED$20)),
     K$3:ED$3,
     K$5:ED$5,
     K$17:ED$17,
     K64:ED64,
     LAM"&amp;"BDA(
       mitigation,
       enhance,
       job,
       assign,
       precondition,
       check,
       IF(
         OR(AND(check=TRUE, REGEXMATCH(assign, ""SELF""), job=""戦士""), AND(check=Option!$F$13, REGEXMATCH(assign, ""SINGLE_PARTY""))),
       "&amp;"  IF(
           OR(ARRAYFORMULA((IF(precondition="""", FALSE, REGEXMATCH($K$4:$ED$4, precondition))) * (K64:ED64=TRUE))),
           enhance,
           mitigation
         ),
         1
       )
     )
   )
 ) * EE64"),1.0)</f>
        <v>1</v>
      </c>
      <c r="FA64" s="206">
        <f t="shared" si="8"/>
        <v>0</v>
      </c>
      <c r="FB64" s="205">
        <f>IFERROR(__xludf.DUMMYFUNCTION("PRODUCT(
   MAP(
     K$3:ED$3,
     K$14:ED$14,
     K$13:ED$13,
     K64:ED64,
     LAMBDA(
       job,
       buff,
       target,
       check,
       IF(
         OR(AND(check=TRUE, REGEXMATCH(target, ""SELF_AFFECTED_ALL""), job=""戦士""), AND(check=Op"&amp;"tion!$F$13, REGEXMATCH(target, ""SINGLE_AFFECTED_ALL""))),
         buff,
         1
       )
     )
   )
 )"),1.0)</f>
        <v>1</v>
      </c>
      <c r="FC64" s="206">
        <f>IFERROR(__xludf.DUMMYFUNCTION("SUM(
   MAP(
     K$3:ED$3,
     K$7:ED$7,
     K$15:ED$15,
     K$16:ED$16,
     K$21:ED$21,
     K$5:ED$5,
     K$17:ED$17,
     K64:ED64,
     LAMBDA(
       job,
       abillity,
       buff,
       barrier,
       enhance,
       assign,
       preco"&amp;"ndition,
       check,
       IF(
         OR(AND(check=TRUE, REGEXMATCH(assign, ""SELF""), job=""戦士""), AND(check=Option!$F$13, REGEXMATCH(assign, ""SINGLE_PARTY""))),
         IF(
           OR(ARRAYFORMULA((IF(precondition="""", FALSE, REGEXMATCH($K$4:"&amp;"$ED$4, precondition))) * (K64:ED64=TRUE))),
           enhance,
           IF(barrier="""", buff, barrier)
         ),
         0
       ) *
       SWITCH(
         job,
         ""暗黒騎士"", FD$24,
         ""白魔道士"", EF64 * EH64 * FB64 * IF(abillity, 1, EG6"&amp;"4 * EI64) * (Option!$D$22 * 0.81 / 100),
         ""占星術師"", EF64 * EJ64 * FFB64 * IF(abillity, 1, EG64 * EK64) * (Option!$D$23 * 0.81 / 100),
         ""学者"", EF64 * EL64 * FB64 * IF(abillity, 1, EG64 * EM64) * (Option!$D$24 * 0.81 / 100),
         ""賢者"""&amp;", EF64 * EN64 * FB64 * IF(abillity, 1, EG64 * EO64) * (Option!$D$25 * 0.81 / 100),
         1
       )
     )
   )
 ) + EQ64"),0.0)</f>
        <v>0</v>
      </c>
      <c r="FD64" s="206">
        <f t="shared" si="9"/>
        <v>0</v>
      </c>
      <c r="FE64" s="205">
        <f>IFERROR(__xludf.DUMMYFUNCTION("PRODUCT(
   MAP(
     IF($F64=""Physical"", K$10:ED$10, IF($F64=""Magic"", K$11:ED$11, K$12:ED$12)),
     IF($F64=""Physical"", K$18:ED$18, IF($F64=""Magic"", K$19:ED$19, K$20:ED$20)),
     K$3:ED$3,
     K$5:ED$5,
     K$17:ED$17,
     K64:ED64,
     LAM"&amp;"BDA(
       mitigation,
       enhance,
       job,
       assign,
       precondition,
       check,
       IF(
         OR(AND(check=TRUE, REGEXMATCH(assign, ""SELF""), job=""暗黒騎士""), AND(check=Option!$G$13, REGEXMATCH(assign, ""SINGLE_PARTY""))),
     "&amp;"    IF(
           OR(ARRAYFORMULA((IF(precondition="""", FALSE, REGEXMATCH($K$4:$ED$4, precondition))) * (K64:ED64=TRUE))),
           enhance,
           mitigation
         ),
         1
       )
     )
   )
 ) * EE64"),1.0)</f>
        <v>1</v>
      </c>
      <c r="FF64" s="206">
        <f t="shared" si="10"/>
        <v>0</v>
      </c>
      <c r="FG64" s="205">
        <f>IFERROR(__xludf.DUMMYFUNCTION("PRODUCT(
   MAP(
     K$3:ED$3,
     K$14:ED$14,
     K$13:ED$13,
     K64:ED64,
     LAMBDA(
       job,
       buff,
       target,
       check,
       IF(
         OR(AND(check=TRUE, REGEXMATCH(target, ""SELF_AFFECTED_ALL""), job=""暗黒騎士""), AND(check="&amp;"Option!$G$13, REGEXMATCH(target, ""SINGLE_AFFECTED_ALL""))),
         buff,
         1
       )
     )
   )
 )"),1.0)</f>
        <v>1</v>
      </c>
      <c r="FH64" s="206">
        <f>IFERROR(__xludf.DUMMYFUNCTION("SUM(
   MAP(
     K$3:ED$3,
     K$7:ED$7,
     K$15:ED$15,
     K$16:ED$16,
     K$21:ED$21,
     K$5:ED$5,
     K$17:ED$17,
     K64:ED64,
     LAMBDA(
       job,
       abillity,
       buff,
       barrier,
       enhance,
       assign,
       preco"&amp;"ndition,
       check,
       IF(
         OR(AND(check=TRUE, REGEXMATCH(assign, ""SELF""), job=""暗黒騎士""), AND(check=Option!$G$13, REGEXMATCH(assign, ""SINGLE_PARTY""))),
         IF(
           OR(ARRAYFORMULA((IF(precondition="""", FALSE, REGEXMATCH($K$"&amp;"4:$ED$4, precondition))) * (K64:ED64=TRUE))),
           enhance,
           IF(barrier="""", buff, barrier)
         ),
         0
       ) *
       SWITCH(
         job,
         ""暗黒騎士"", FI$24,
         ""白魔道士"", EF64 * EH64 * FG64 * IF(abillity, 1, E"&amp;"G64 * EI64) * (Option!$D$22 * 0.81 / 100),
         ""占星術師"", EF64 * EJ64 * FG64 * IF(abillity, 1, EG64 * EK64) * (Option!$D$23 * 0.81 / 100),
         ""学者"", EF64 * EL64 * FG64 * IF(abillity, 1, EG64 * EM64) * (Option!$D$24 * 0.81 / 100),
         ""賢者"&amp;""", EF64 * EN64 * FG64 * IF(abillity, 1, EG64 * EO64) * (Option!$D$25 * 0.81 / 100),
         1
       )
     )
   )
 ) + EQ64"),0.0)</f>
        <v>0</v>
      </c>
      <c r="FI64" s="206">
        <f t="shared" si="11"/>
        <v>0</v>
      </c>
      <c r="FJ64" s="205">
        <f>IFERROR(__xludf.DUMMYFUNCTION("PRODUCT(
   MAP(
     IF($F64=""Physical"", K$10:ED$10, IF($F64=""Magic"", K$11:ED$11, K$12:ED$12)),
     IF($F64=""Physical"", K$18:ED$18, IF($F64=""Magic"", K$19:ED$19, K$20:ED$20)),
     K$3:ED$3,
     K$5:ED$5,
     K$17:ED$17,
     K64:ED64,
     LAM"&amp;"BDA(
       mitigation,
       enhance,
       job,
       assign,
       precondition,
       check,
       IF(
         OR(AND(check=TRUE, REGEXMATCH(assign, ""SELF""), job=""ガンブレイカー""), AND(check=Option!$H$13, REGEXMATCH(assign, ""SINGLE_PARTY""))),
  "&amp;"       IF(
           OR(ARRAYFORMULA((IF(precondition="""", FALSE, REGEXMATCH($K$4:$ED$4, precondition))) * (K64:ED64=TRUE))),
           enhance,
           mitigation
         ),
         1
       )
     )
   )
 ) * EE64"),1.0)</f>
        <v>1</v>
      </c>
      <c r="FK64" s="206">
        <f t="shared" si="12"/>
        <v>0</v>
      </c>
      <c r="FL64" s="205">
        <f>IFERROR(__xludf.DUMMYFUNCTION("PRODUCT(
   MAP(
     K$3:ED$3,
     K$14:ED$14,
     K$13:ED$13,
     K64:ED64,
     LAMBDA(
       job,
       buff,
       target,
       check,
       IF(
         OR(AND(check=TRUE, REGEXMATCH(target, ""SELF_AFFECTED_ALL""), job=""ガンブレイカー""), AND(che"&amp;"ck=Option!$H$13, REGEXMATCH(target, ""SINGLE_AFFECTED_ALL""))),
         buff,
         1
       )
     )
   )
 )"),1.0)</f>
        <v>1</v>
      </c>
      <c r="FM64" s="206">
        <f>IFERROR(__xludf.DUMMYFUNCTION("SUM(
   MAP(
     K$3:ED$3,
     K$7:ED$7,
     K$15:ED$15,
     K$16:ED$16,
     K$21:ED$21,
     K$5:ED$5,
     K$17:ED$17,
     K64:ED64,
     LAMBDA(
       job,
       abillity,
       buff,
       barrier,
       enhance,
       assign,
       preco"&amp;"ndition,
       check,
       IF(
         OR(AND(check=TRUE, REGEXMATCH(assign, ""SELF""), job=""ガンブレイカー""), AND(check=Option!$H$13, REGEXMATCH(assign, ""SINGLE_PARTY""))),
         IF(
           OR(ARRAYFORMULA((IF(precondition="""", FALSE, REGEXMATCH("&amp;"$K$4:$ED$4, precondition))) * (K64:ED64=TRUE))),
           enhance,
           IF(barrier="""", buff, barrier)
         ),
         0
       ) *
       SWITCH(
         job,
         ""暗黒騎士"", FN$24,
         ""白魔道士"", EF64 * EH64 * FL64 * IF(abillity, 1"&amp;", EG64 * EI64) * (Option!$D$22 * 0.81 / 100),
         ""占星術師"", EF64 * EJ64 * FL64 * IF(abillity, 1, EG64 * EK64) * (Option!$D$23 * 0.81 / 100),
         ""学者"", EF64 * EL64 * FL64 * IF(abillity, 1, EG64 * EM64) * (Option!$D$24 * 0.81 / 100),
         """&amp;"賢者"", EF64 * EN64 * FL64 * IF(abillity, 1, EG64 * EO64) * (Option!$D$25 * 0.81 / 100),
         1
       )
     )
   )
 ) + EQ64"),0.0)</f>
        <v>0</v>
      </c>
      <c r="FN64" s="206">
        <f t="shared" si="13"/>
        <v>0</v>
      </c>
      <c r="FO64" s="213"/>
    </row>
    <row r="65">
      <c r="B65" s="229"/>
      <c r="C65" s="217">
        <f t="shared" si="1"/>
        <v>0.00380787037</v>
      </c>
      <c r="D65" s="236"/>
      <c r="E65" s="238"/>
      <c r="F65" s="167"/>
      <c r="G65" s="168" t="str">
        <f t="shared" si="2"/>
        <v/>
      </c>
      <c r="H65" s="169"/>
      <c r="I65" s="169"/>
      <c r="J65" s="169"/>
      <c r="K65" s="170" t="b">
        <v>0</v>
      </c>
      <c r="L65" s="170" t="b">
        <v>0</v>
      </c>
      <c r="M65" s="170" t="b">
        <v>0</v>
      </c>
      <c r="N65" s="171" t="s">
        <v>1070</v>
      </c>
      <c r="O65" s="172" t="b">
        <v>0</v>
      </c>
      <c r="P65" s="173" t="b">
        <v>0</v>
      </c>
      <c r="Q65" s="173" t="b">
        <v>0</v>
      </c>
      <c r="R65" s="173" t="b">
        <v>0</v>
      </c>
      <c r="S65" s="174" t="b">
        <v>0</v>
      </c>
      <c r="T65" s="175" t="b">
        <v>0</v>
      </c>
      <c r="U65" s="173" t="b">
        <v>0</v>
      </c>
      <c r="V65" s="171" t="s">
        <v>1070</v>
      </c>
      <c r="W65" s="172" t="b">
        <v>0</v>
      </c>
      <c r="X65" s="173" t="b">
        <v>0</v>
      </c>
      <c r="Y65" s="173" t="b">
        <v>0</v>
      </c>
      <c r="Z65" s="173" t="b">
        <v>0</v>
      </c>
      <c r="AA65" s="174" t="b">
        <v>0</v>
      </c>
      <c r="AB65" s="174" t="b">
        <v>0</v>
      </c>
      <c r="AC65" s="175" t="b">
        <v>0</v>
      </c>
      <c r="AD65" s="173" t="b">
        <v>0</v>
      </c>
      <c r="AE65" s="176" t="s">
        <v>1070</v>
      </c>
      <c r="AF65" s="171" t="s">
        <v>1070</v>
      </c>
      <c r="AG65" s="177">
        <f>IFERROR(__xludf.DUMMYFUNCTION("IF(
  ISNUMBER(AG64),
  MIN(MAX(
    AG64
    + MAX(
      ROUNDDOWN(($D65 - MAX(IFERROR(FILTER($D$24:$D64, AG$24:AG64 &lt;&gt; AF$6, AG$23:AG63 = AF$6), 0))) * (60 * 60 * 24) / AF$9) - ROUNDDOWN(($D64 - MAX(IFERROR(FILTER($D$23:$D63, AG$23:AG63 &lt;&gt; AF$6, AG$22:"&amp;"AG62 = AF$6), 0))) * (60 * 60 * 24) / 60),
      0
    )
    - COUNTIF(AF65, ""&lt;&gt;-""),
  0), AF$6),
  AF$6 - COUNTIF(AF65, ""&lt;&gt;-"")
)"),2.0)</f>
        <v>2</v>
      </c>
      <c r="AH65" s="173" t="b">
        <v>0</v>
      </c>
      <c r="AI65" s="173" t="b">
        <v>0</v>
      </c>
      <c r="AJ65" s="173" t="b">
        <v>0</v>
      </c>
      <c r="AK65" s="174" t="b">
        <v>0</v>
      </c>
      <c r="AL65" s="175" t="b">
        <v>0</v>
      </c>
      <c r="AM65" s="173" t="b">
        <v>0</v>
      </c>
      <c r="AN65" s="171" t="s">
        <v>1070</v>
      </c>
      <c r="AO65" s="173" t="b">
        <v>0</v>
      </c>
      <c r="AP65" s="173" t="b">
        <v>0</v>
      </c>
      <c r="AQ65" s="173" t="b">
        <v>0</v>
      </c>
      <c r="AR65" s="174" t="b">
        <v>0</v>
      </c>
      <c r="AS65" s="178" t="b">
        <v>0</v>
      </c>
      <c r="AT65" s="179" t="b">
        <v>0</v>
      </c>
      <c r="AU65" s="180" t="b">
        <v>0</v>
      </c>
      <c r="AV65" s="180" t="b">
        <v>0</v>
      </c>
      <c r="AW65" s="180" t="b">
        <v>0</v>
      </c>
      <c r="AX65" s="180" t="b">
        <v>0</v>
      </c>
      <c r="AY65" s="181" t="s">
        <v>1070</v>
      </c>
      <c r="AZ65" s="181" t="s">
        <v>1070</v>
      </c>
      <c r="BA65" s="184">
        <f>IFERROR(__xludf.DUMMYFUNCTION("IF(
  ISNUMBER(BA64),
  MIN(MAX(
    BA64
    + MAX(
      ROUNDDOWN((D65 - MAX(IFERROR(FILTER(D$24:D64, BA$24:BA64 &lt;&gt; AZ$6, BA$23:BA63 = AZ$6), 0))) * (60 * 60 * 24) / AZ$9) - ROUNDDOWN((D64 - MAX(IFERROR(FILTER(D$23:D63, BA$23:BA63 &lt;&gt; AZ$6, BA$22:BA62 ="&amp;" AZ$6), 0))) * (60 * 60 * 24) / AZ$9),
      0
    )
    - COUNTIF(AZ65, ""&lt;&gt;-""),
  0), AZ$6),
  AZ$6 - COUNTIF(AZ65, ""&lt;&gt;-"")
)"),2.0)</f>
        <v>2</v>
      </c>
      <c r="BB65" s="181" t="s">
        <v>1070</v>
      </c>
      <c r="BC65" s="183">
        <f>IFERROR(__xludf.DUMMYFUNCTION("IF(
  ISNUMBER(BC64),
  MIN(MAX(
    BC64
    + MAX(
      ROUNDDOWN(($D65 - MAX(IFERROR(FILTER($D$24:$D64, BC$24:BC64 &lt;&gt; BB$6, BC$23:BC63 = BB$6), 0))) * (60 * 60 * 24) / BB$9) - ROUNDDOWN(($D64 - MAX(IFERROR(FILTER($D$23:$D63, BC$23:BC63 &lt;&gt; BB$6, BC$22:"&amp;"BC62 = BB$6), 0))) * (60 * 60 * 24) / 60),
      0
    )
    - COUNTIF(BB65, ""&lt;&gt;-""),
  0), BB$6),
  BB$6 - COUNTIF(BB65, ""&lt;&gt;-"")
)"),2.0)</f>
        <v>2</v>
      </c>
      <c r="BD65" s="181" t="s">
        <v>1070</v>
      </c>
      <c r="BE65" s="178" t="b">
        <v>0</v>
      </c>
      <c r="BF65" s="180" t="b">
        <v>0</v>
      </c>
      <c r="BG65" s="180" t="b">
        <v>0</v>
      </c>
      <c r="BH65" s="180" t="b">
        <v>0</v>
      </c>
      <c r="BI65" s="180" t="b">
        <v>0</v>
      </c>
      <c r="BJ65" s="180" t="b">
        <v>0</v>
      </c>
      <c r="BK65" s="180" t="b">
        <v>0</v>
      </c>
      <c r="BL65" s="180" t="b">
        <v>0</v>
      </c>
      <c r="BM65" s="180" t="b">
        <v>0</v>
      </c>
      <c r="BN65" s="180" t="b">
        <v>0</v>
      </c>
      <c r="BO65" s="181" t="s">
        <v>1070</v>
      </c>
      <c r="BP65" s="181" t="s">
        <v>1070</v>
      </c>
      <c r="BQ65" s="181" t="s">
        <v>1070</v>
      </c>
      <c r="BR65" s="181" t="s">
        <v>1070</v>
      </c>
      <c r="BS65" s="181" t="s">
        <v>1070</v>
      </c>
      <c r="BT65" s="184">
        <f>IFERROR(__xludf.DUMMYFUNCTION("IF(
  ISNUMBER(BT64),
  MIN(MAX(
    BT64
    + MAX(
      ROUNDDOWN((D65 - MAX(IFERROR(FILTER(D$24:D64, BT$24:BT64 &lt;&gt; BS$6, BT$23:BT63 = BS$6), 0))) * (60 * 60 * 24) / BS$9) - ROUNDDOWN((D64 - MAX(IFERROR(FILTER(D$23:D63, BT$23:BT63 &lt;&gt; BS$6, BT$22:BT62 ="&amp;" BS$6), 0))) * (60 * 60 * 24) / BS$9),
      0
    )
    - COUNTIF(BS65, ""&lt;&gt;-""),
  0), BS$6),
  BS$6 - COUNTIF(BS65, ""&lt;&gt;-"")
)"),3.0)</f>
        <v>3</v>
      </c>
      <c r="BU65" s="181" t="s">
        <v>1070</v>
      </c>
      <c r="BV65" s="181" t="s">
        <v>1070</v>
      </c>
      <c r="BW65" s="184">
        <f>IFERROR(__xludf.DUMMYFUNCTION("IF(
  ISNUMBER(BW64),
  MIN(MAX(
    BW64
    + MAX(
      ROUNDDOWN((D65 - MAX(IFERROR(FILTER(D$24:D64, BW$24:BW64 &lt;&gt; BV$6, BW$23:BW63 = BV$6), 0))) * (60 * 60 * 24) / BV$9) - ROUNDDOWN((D64 - MAX(IFERROR(FILTER(D$23:D63, BW$23:BW63 &lt;&gt; BV$6, BW$22:BW62 ="&amp;" BV$6), 0))) * (60 * 60 * 24) / BV$9),
      0
    )
    - COUNTIF(BV65, ""&lt;&gt;-""),
  0), BV$6),
  BV$6 - COUNTIF(BV65, ""&lt;&gt;-"")
)"),2.0)</f>
        <v>2</v>
      </c>
      <c r="BX65" s="185" t="s">
        <v>1070</v>
      </c>
      <c r="BY65" s="178" t="b">
        <v>0</v>
      </c>
      <c r="BZ65" s="180" t="b">
        <v>0</v>
      </c>
      <c r="CA65" s="180" t="b">
        <v>0</v>
      </c>
      <c r="CB65" s="180" t="b">
        <v>0</v>
      </c>
      <c r="CC65" s="180" t="b">
        <v>0</v>
      </c>
      <c r="CD65" s="180" t="b">
        <v>0</v>
      </c>
      <c r="CE65" s="180" t="b">
        <v>0</v>
      </c>
      <c r="CF65" s="180" t="b">
        <v>0</v>
      </c>
      <c r="CG65" s="180" t="b">
        <v>0</v>
      </c>
      <c r="CH65" s="180" t="b">
        <v>0</v>
      </c>
      <c r="CI65" s="180" t="b">
        <v>0</v>
      </c>
      <c r="CJ65" s="180" t="b">
        <v>0</v>
      </c>
      <c r="CK65" s="180" t="b">
        <v>0</v>
      </c>
      <c r="CL65" s="180" t="b">
        <v>0</v>
      </c>
      <c r="CM65" s="181" t="s">
        <v>1070</v>
      </c>
      <c r="CN65" s="181" t="s">
        <v>1070</v>
      </c>
      <c r="CO65" s="181" t="s">
        <v>1070</v>
      </c>
      <c r="CP65" s="181" t="s">
        <v>1070</v>
      </c>
      <c r="CQ65" s="185" t="s">
        <v>1070</v>
      </c>
      <c r="CR65" s="180" t="b">
        <v>0</v>
      </c>
      <c r="CS65" s="186" t="str">
        <f t="shared" si="14"/>
        <v>◇◇◇</v>
      </c>
      <c r="CT65" s="178" t="b">
        <v>0</v>
      </c>
      <c r="CU65" s="180" t="b">
        <v>0</v>
      </c>
      <c r="CV65" s="180" t="b">
        <v>0</v>
      </c>
      <c r="CW65" s="180" t="b">
        <v>0</v>
      </c>
      <c r="CX65" s="180" t="b">
        <v>0</v>
      </c>
      <c r="CY65" s="180" t="b">
        <v>0</v>
      </c>
      <c r="CZ65" s="180" t="b">
        <v>0</v>
      </c>
      <c r="DA65" s="180" t="b">
        <v>0</v>
      </c>
      <c r="DB65" s="180" t="b">
        <v>0</v>
      </c>
      <c r="DC65" s="180" t="b">
        <v>0</v>
      </c>
      <c r="DD65" s="181" t="s">
        <v>1070</v>
      </c>
      <c r="DE65" s="181" t="s">
        <v>1070</v>
      </c>
      <c r="DF65" s="181" t="s">
        <v>1070</v>
      </c>
      <c r="DG65" s="185" t="s">
        <v>1070</v>
      </c>
      <c r="DH65" s="180" t="b">
        <v>0</v>
      </c>
      <c r="DI65" s="187" t="str">
        <f>IFERROR(__xludf.DUMMYFUNCTION("SWITCH(
  IF(
    ISTEXT(DI64),
    IF (
      FIND(""○"", DI64&amp;""○"") &gt; 3,
      3,
      FIND(""○"", DI64&amp;""○"")
      + MAX(
        ROUNDDOWN(($D65 - MAX(IFERROR(FILTER(D$24:D64, DI$24:DI64 &lt;&gt; ""●●●"", DI$23:DI63 = ""●●●""), 0))) * (60 * 60 * 24) / 20"&amp;") - ROUNDDOWN(($D64 - MAX(IFERROR(FILTER(D$23:D63, DI$23:DI63 &lt;&gt; ""●●●"", DI$22:DI62 = ""●●●""), 0))) * (60 * 60 * 24) / 20),
        0
      ) - 1
    ) - COUNTIFS(CU65, ""=TRUE"", CU64, ""&lt;&gt;TRUE"") - COUNTIF(CZ65, ""=TRUE"") - COUNTIF({DD65,DE65}, ""&lt;&gt;-"&amp;""") + COUNTIF(DH65, ""=TRUE""),
    3
  ),
  0, ""○○○"", 1, ""●○○"", 2, ""●●○"", 3, ""●●●"", 4, ""●●●"", ""○○○""
)"),"●●●")</f>
        <v>●●●</v>
      </c>
      <c r="DJ65" s="188" t="b">
        <v>0</v>
      </c>
      <c r="DK65" s="189" t="b">
        <v>0</v>
      </c>
      <c r="DL65" s="190" t="b">
        <v>0</v>
      </c>
      <c r="DM65" s="190" t="b">
        <v>0</v>
      </c>
      <c r="DN65" s="190" t="b">
        <v>0</v>
      </c>
      <c r="DO65" s="190" t="b">
        <v>0</v>
      </c>
      <c r="DP65" s="190" t="b">
        <v>0</v>
      </c>
      <c r="DQ65" s="191" t="b">
        <v>0</v>
      </c>
      <c r="DR65" s="192" t="b">
        <v>0</v>
      </c>
      <c r="DS65" s="191" t="b">
        <v>0</v>
      </c>
      <c r="DT65" s="192" t="b">
        <v>0</v>
      </c>
      <c r="DU65" s="191" t="b">
        <v>0</v>
      </c>
      <c r="DV65" s="193" t="s">
        <v>1070</v>
      </c>
      <c r="DW65" s="194" t="b">
        <v>0</v>
      </c>
      <c r="DX65" s="194" t="b">
        <v>0</v>
      </c>
      <c r="DY65" s="195" t="b">
        <v>0</v>
      </c>
      <c r="DZ65" s="196" t="b">
        <v>0</v>
      </c>
      <c r="EA65" s="195" t="b">
        <v>0</v>
      </c>
      <c r="EB65" s="197" t="b">
        <v>0</v>
      </c>
      <c r="EC65" s="197" t="b">
        <v>0</v>
      </c>
      <c r="ED65" s="212" t="b">
        <v>0</v>
      </c>
      <c r="EE65" s="199">
        <f>IFERROR(__xludf.DUMMYFUNCTION("IFERROR(
   PRODUCT(
     MAP(
       INDEX(TRANSPOSE(UNIQUE(TRANSPOSE(FILTER({IF($F65=""Physical"", K$10:ED$10, IF($F65=""Magic"", K$11:ED$11, K$12:ED$12));K$4:ED$4;K65:ED65}, K65:ED65=TRUE)))), 1, 0),
       INDEX(TRANSPOSE(UNIQUE(TRANSPOSE(FILTER({IF($"&amp;"F65=""Physical"", K$18:ED$18, IF($F65=""Magic"", K$19:ED$19, K$20:ED$20));K$4:ED$4;K65:ED65}, K65:ED65=TRUE)))), 1, 0),
       INDEX(TRANSPOSE(UNIQUE(TRANSPOSE(FILTER({K$5:ED$5;K$4:ED$4;K65:ED65}, K65:ED65=TRUE)))), 1, 0),
       INDEX(TRANSPOSE(UNIQUE(TR"&amp;"ANSPOSE(FILTER({K$17:ED$17;K$4:ED$4;K65:ED65}, K65:ED65=TRUE)))), 1, 0),
       LAMBDA(
         mitigation,
         enhance,
         assign,
         precondition,
         IF(
           REGEXMATCH(assign, ""RANGE_PARTY|SINGLE_ENEMY|RANGE_ENEMY""),
  "&amp;"         IF(
             OR(ARRAYFORMULA((IF(precondition="""", FALSE, REGEXMATCH(K$4:ED$4, precondition))) * (K65:ED65=TRUE))),
             IF(ISNUMBER(enhance), enhance, 1),
             IF(ISNUMBER(mitigation), mitigation, 1)
           ),
          "&amp;" 1
         )
       )
     )
   ),
   1
 )"),1.0)</f>
        <v>1</v>
      </c>
      <c r="EF65" s="200">
        <f>IFERROR(__xludf.DUMMYFUNCTION("PRODUCT(
   MAP(
     K$14:ED$14,
     K$13:ED$13,
     K65:ED65,
     LAMBDA(
       buff,
       target,
       check,
       IF(
         AND(check=TRUE, REGEXMATCH(target, ""RANGE_AFFECTED_ALL|RANGE_EFFECTED_ALL""), ISNUMBER(buff)),
         buff,
   "&amp;"      1
       )
     )
   )
 )"),1.0)</f>
        <v>1</v>
      </c>
      <c r="EG65" s="200">
        <f>IFERROR(__xludf.DUMMYFUNCTION("PRODUCT(
   MAP(
     K$14:ED$14,
     K$13:ED$13,
     K65:ED65,
     LAMBDA(
       buff,
       target,
       check,
       IF(
         AND(check=TRUE, REGEXMATCH(target, ""RANGE_AFFECTED_GCD|RANGE_EFFECTED_GCD""), ISNUMBER(buff)),
         buff,
   "&amp;"      1
       )
     )
   )
 )"),1.0)</f>
        <v>1</v>
      </c>
      <c r="EH65" s="200">
        <f>IFERROR(__xludf.DUMMYFUNCTION("PRODUCT(
   MAP(
     K$3:ED$3,
     K$14:ED$14,
     K$13:ED$13,
     K65:ED65,
     LAMBDA(
       job,
       buff,
       target,
       check,
       IF(
         AND(check=TRUE, REGEXMATCH(target, ""SELF_EFFECTED_ALL""), ISNUMBER(buff), job=""白魔道士"""&amp;"),
         buff,
         1
       )
     )
   )
 )"),1.0)</f>
        <v>1</v>
      </c>
      <c r="EI65" s="200">
        <f>IFERROR(__xludf.DUMMYFUNCTION("PRODUCT(
   MAP(
     K$3:ED$3,
     K$14:ED$14,
     K$13:ED$13,
     K65:ED65,
     LAMBDA(
       job,
       buff,
       target,
       check,
       IF(
         AND(check=TRUE, REGEXMATCH(target, ""SELF_EFFECTED_GCD""), ISNUMBER(buff), job=""白魔道士"""&amp;"),
         buff,
         1
       )
     )
   )
 )"),1.0)</f>
        <v>1</v>
      </c>
      <c r="EJ65" s="200">
        <f>IFERROR(__xludf.DUMMYFUNCTION("PRODUCT(
   MAP(
     K$3:ED$3,
     K$14:ED$14,
     K$13:ED$13,
     K65:ED65,
     LAMBDA(
       job,
       buff,
       target,
       check,
       IF(
         AND(check=TRUE, REGEXMATCH(target, ""SELF_EFFECTED_ALL""), ISNUMBER(buff), job=""占星術師"""&amp;"),
         buff,
         1
       )
     )
   )
 )"),1.0)</f>
        <v>1</v>
      </c>
      <c r="EK65" s="200">
        <f>IFERROR(__xludf.DUMMYFUNCTION("PRODUCT(
   MAP(
     K$3:ED$3,
     K$14:ED$14,
     K$13:ED$13,
     K65:ED65,
     LAMBDA(
       job,
       buff,
       target,
       check,
       IF(
         AND(check=TRUE, REGEXMATCH(target, ""SELF_EFFECTED_GCD""), ISNUMBER(buff), job=""占星術師"""&amp;"),
         buff,
         1
       )
     )
   )
 )"),1.0)</f>
        <v>1</v>
      </c>
      <c r="EL65" s="200">
        <f>IFERROR(__xludf.DUMMYFUNCTION("PRODUCT(
   MAP(
     K$3:ED$3,
     K$14:ED$14,
     K$13:ED$13,
     K65:ED65,
     LAMBDA(
       job,
       buff,
       target,
       check,
       IF(
         AND(check=TRUE, REGEXMATCH(target, ""SELF_EFFECTED_ALL""), ISNUMBER(buff), job=""学者""),"&amp;"
         buff,
         1
       )
     )
   )
 )"),1.0)</f>
        <v>1</v>
      </c>
      <c r="EM65" s="200">
        <f>IFERROR(__xludf.DUMMYFUNCTION("PRODUCT(
   MAP(
     K$3:ED$3,
     K$14:ED$14,
     K$13:ED$13,
     K65:ED65,
     LAMBDA(
       job,
       buff,
       target,
       check,
       IF(
         AND(check=TRUE, REGEXMATCH(target, ""SELF_EFFECTED_GCD""), ISNUMBER(buff), job=""学者""),"&amp;"
         buff,
         1
       )
     )
   )
 )"),1.0)</f>
        <v>1</v>
      </c>
      <c r="EN65" s="200">
        <f>IFERROR(__xludf.DUMMYFUNCTION("PRODUCT(
   MAP(
     K$3:ED$3,
     K$14:ED$14,
     K$13:ED$13,
     K65:ED65,
     LAMBDA(
       job,
       buff,
       target,
       check,
       IF(
         AND(check=TRUE, REGEXMATCH(target, ""SELF_EFFECTED_ALL""), ISNUMBER(buff), job=""賢者""),"&amp;"
         buff,
         1
       )
     )
   )
 )"),1.0)</f>
        <v>1</v>
      </c>
      <c r="EO65" s="200">
        <f>IFERROR(__xludf.DUMMYFUNCTION("PRODUCT(
   MAP(
     K$3:ED$3,
     K$14:ED$14,
     K$13:ED$13,
     K65:ED65,
     LAMBDA(
       job,
       buff,
       target,
       check,
       IF(
         AND(check=TRUE, REGEXMATCH(target, ""SELF_EFFECTED_GCD""), ISNUMBER(buff), job=""賢者""),"&amp;"
         buff,
         1
       )
     )
   )
 )"),1.0)</f>
        <v>1</v>
      </c>
      <c r="EP65" s="201">
        <f t="shared" si="3"/>
        <v>0</v>
      </c>
      <c r="EQ65" s="201">
        <f>IFERROR(__xludf.DUMMYFUNCTION("SUM(
   MAP(
     K$4:ED$4,
     K$3:ED$3,
     K$7:ED$7,
     K$15:ED$15,
     K$16:ED$16,
     K$21:ED$21,
     K$5:ED$5,
     K$17:ED$17,
     K65:ED65,
     LAMBDA(
       name,
       job,
       abillity,
       buff,
       barrier,
       enhance,"&amp;"
       assign,
       precondition,
       check,
       SWITCH(
         name,
         ""シェイクオフ"", IF(check=TRUE, buff + (0.02 * COUNTIF(ARRAYFORMULA((REGEXMATCH($K$4:$ED$4, ""スリル・オブ・バトル|ヴェンジェンス|原初の血気|ダムネーション"")) * (K65:ED65=TRUE)), 1)), 0),
         "&amp;"""インプロビゼーションフィニッシュ(踊りの激情0)"", IF(ISNUMBER(check), INDEX(Skill!$AJ:$AJ, MATCH(SUBSTITUTE(DV$4, 0, check), Skill!$C:$C, 0)), 0),
         IF(
           AND(check=TRUE, REGEXMATCH(assign, ""RANGE_PARTY"")),
           IF(
             OR(ARRAYFORMULA((IF(pr"&amp;"econdition="""", FALSE, REGEXMATCH($K$4:$ED$4, precondition))) * (K65:ED65=TRUE))),
             enhance,
             IF(barrier="""", buff, barrier)
           ),
           0
         )
       ) *
       SWITCH(
         job,
         ""ナイト"", EY$24,
 "&amp;"        ""戦士"", FD$24,
         ""踊り子"", ET$24,
         ""ピクトマンサー"", ET$24,
         ""白魔道士"", EF65 * EH65 * IF(abillity, 1, EG65 * EI65) * (Option!$D$22 * 0.81 / 100),
         ""占星術師"", EF65 * EJ65 * IF(abillity, 1, EG65 * EK65) * (Option!$D$23 * 0.81 "&amp;"/ 100),
         ""学者"", EF65 * EL65 * IF(abillity, 1, EG65 * EM65) * (Option!$D$24 * 0.81 / 100),
         ""賢者"", EF65 * EN65 * IF(abillity, 1, EG65 * EO65) * (Option!$D$25 * 0.81 / 100),
         1
       )
     )
   )
 )"),0.0)</f>
        <v>0</v>
      </c>
      <c r="ER65" s="202">
        <f t="shared" si="4"/>
        <v>0</v>
      </c>
      <c r="ES65" s="203">
        <f t="shared" si="5"/>
        <v>0</v>
      </c>
      <c r="ET65" s="231" t="str">
        <f>IFERROR(__xludf.DUMMYFUNCTION("IFS(
  EP65 &gt; $ET$24 + EQ65,
  SPARKLINE({ 1, 0 }, {""charttype"",""bar"";""max"", 1;""color1"",Option!$D$30;""color2"",Option!$D$30}),
  EP65 &lt; EQ65,
  SPARKLINE({EQ65 - EP65, $ET$24 - (EQ65 - EP65)}, {""charttype"",""bar"";""max"",$ET$24;""color1"",Opti"&amp;"on!$D$28;""color2"",Option!$D$29}),
  EP65 &gt;= EQ65,
  SPARKLINE({$ET$24 + EQ65 - EP65,EP65 - EQ65}, {""charttype"",""bar"";""max"",$ET$24;""color1"",Option!$D$29;""color2"",Option!$D$30})
)"),"")</f>
        <v/>
      </c>
      <c r="EU65" s="205">
        <f>IFERROR(__xludf.DUMMYFUNCTION("PRODUCT(
   MAP(
     IF($F65=""Physical"", K$10:ED$10, IF($F65=""Magic"", K$11:ED$11, K$12:ED$12)),
     IF($F65=""Physical"", K$18:ED$18, IF($F65=""Magic"", K$19:ED$19, K$20:ED$20)),
     K$3:ED$3,
     K$5:ED$5,
     K$17:ED$17,
     K65:ED65,
     LAM"&amp;"BDA(
       mitigation,
       enhance,
       job,
       assign,
       precondition,
       check,
       IF(
         OR(AND(check=TRUE, REGEXMATCH(assign, ""SELF""), job=""ナイト""), AND(check=Option!$E$13, REGEXMATCH(assign, ""SINGLE_PARTY""))),
      "&amp;"   IF(
           OR(ARRAYFORMULA((IF(precondition="""", FALSE, REGEXMATCH($K$4:$ED$4, precondition))) * (K65:ED65=TRUE))),
           enhance,
           mitigation
         ),
         1
       )
     )
   )
 ) * EE65"),1.0)</f>
        <v>1</v>
      </c>
      <c r="EV65" s="206">
        <f t="shared" si="6"/>
        <v>0</v>
      </c>
      <c r="EW65" s="205">
        <f>IFERROR(__xludf.DUMMYFUNCTION("PRODUCT(
   MAP(
     K$3:ED$3,
     K$14:ED$14,
     K$13:ED$13,
     K65:ED65,
     LAMBDA(
       job,
       buff,
       target,
       check,
       IF(
         OR(AND(check=TRUE, REGEXMATCH(target, ""SELF_AFFECTED_ALL""), job=""ナイト""), AND(check=O"&amp;"ption!$E$13, REGEXMATCH(target, ""SINGLE_AFFECTED_ALL""))),
         buff,
         1
       )
     )
   )
 )"),1.0)</f>
        <v>1</v>
      </c>
      <c r="EX65" s="206">
        <f>IFERROR(__xludf.DUMMYFUNCTION("SUM(
   MAP(
     K$3:ED$3,
     K$7:ED$7,
     K$15:ED$15,
     K$16:ED$16,
     K$21:ED$21,
     K$5:ED$5,
     K$17:ED$17,
     K65:ED65,
     LAMBDA(
       job,
       abillity,
       buff,
       barrier,
       enhance,
       assign,
       preco"&amp;"ndition,
       check,
       IF(
         OR(AND(check=TRUE, REGEXMATCH(assign, ""SELF""), job=""ナイト""), AND(check=Option!$E$13, REGEXMATCH(assign, ""SINGLE_PARTY""))),
         IF(
           OR(ARRAYFORMULA((IF(precondition="""", FALSE, REGEXMATCH($K$4"&amp;":$ED$4, precondition))) * (K65:ED65=TRUE))),
           enhance,
           IF(barrier="""", buff, barrier)
         ),
         0
       ) *
       SWITCH(
         job,
         ""暗黒騎士"", EY$24,
         ""白魔道士"", EF65 * EH65 * EW65 * IF(abillity, 1, EG"&amp;"65 * EI65) * (Option!$D$22 * 0.81 / 100),
         ""占星術師"", EF65 * EJ65 * EW65 * IF(abillity, 1, EG65 * EK65) * (Option!$D$23 * 0.81 / 100),
         ""学者"", EF65 * EL65 * EW65 * IF(abillity, 1, EG65 * EM65) * (Option!$D$24 * 0.81 / 100),
         ""賢者"""&amp;", EF65 * EN65 * EW65 * IF(abillity, 1, EG65 * EO65) * (Option!$D$25 * 0.81 / 100),
         1
       )
     )
   )
 ) + EQ65"),0.0)</f>
        <v>0</v>
      </c>
      <c r="EY65" s="232">
        <f t="shared" si="7"/>
        <v>0</v>
      </c>
      <c r="EZ65" s="205">
        <f>IFERROR(__xludf.DUMMYFUNCTION("PRODUCT(
   MAP(
     IF($F65=""Physical"", K$10:ED$10, IF($F65=""Magic"", K$11:ED$11, K$12:ED$12)),
     IF($F65=""Physical"", K$18:ED$18, IF($F65=""Magic"", K$19:ED$19, K$20:ED$20)),
     K$3:ED$3,
     K$5:ED$5,
     K$17:ED$17,
     K65:ED65,
     LAM"&amp;"BDA(
       mitigation,
       enhance,
       job,
       assign,
       precondition,
       check,
       IF(
         OR(AND(check=TRUE, REGEXMATCH(assign, ""SELF""), job=""戦士""), AND(check=Option!$F$13, REGEXMATCH(assign, ""SINGLE_PARTY""))),
       "&amp;"  IF(
           OR(ARRAYFORMULA((IF(precondition="""", FALSE, REGEXMATCH($K$4:$ED$4, precondition))) * (K65:ED65=TRUE))),
           enhance,
           mitigation
         ),
         1
       )
     )
   )
 ) * EE65"),1.0)</f>
        <v>1</v>
      </c>
      <c r="FA65" s="206">
        <f t="shared" si="8"/>
        <v>0</v>
      </c>
      <c r="FB65" s="205">
        <f>IFERROR(__xludf.DUMMYFUNCTION("PRODUCT(
   MAP(
     K$3:ED$3,
     K$14:ED$14,
     K$13:ED$13,
     K65:ED65,
     LAMBDA(
       job,
       buff,
       target,
       check,
       IF(
         OR(AND(check=TRUE, REGEXMATCH(target, ""SELF_AFFECTED_ALL""), job=""戦士""), AND(check=Op"&amp;"tion!$F$13, REGEXMATCH(target, ""SINGLE_AFFECTED_ALL""))),
         buff,
         1
       )
     )
   )
 )"),1.0)</f>
        <v>1</v>
      </c>
      <c r="FC65" s="206">
        <f>IFERROR(__xludf.DUMMYFUNCTION("SUM(
   MAP(
     K$3:ED$3,
     K$7:ED$7,
     K$15:ED$15,
     K$16:ED$16,
     K$21:ED$21,
     K$5:ED$5,
     K$17:ED$17,
     K65:ED65,
     LAMBDA(
       job,
       abillity,
       buff,
       barrier,
       enhance,
       assign,
       preco"&amp;"ndition,
       check,
       IF(
         OR(AND(check=TRUE, REGEXMATCH(assign, ""SELF""), job=""戦士""), AND(check=Option!$F$13, REGEXMATCH(assign, ""SINGLE_PARTY""))),
         IF(
           OR(ARRAYFORMULA((IF(precondition="""", FALSE, REGEXMATCH($K$4:"&amp;"$ED$4, precondition))) * (K65:ED65=TRUE))),
           enhance,
           IF(barrier="""", buff, barrier)
         ),
         0
       ) *
       SWITCH(
         job,
         ""暗黒騎士"", FD$24,
         ""白魔道士"", EF65 * EH65 * FB65 * IF(abillity, 1, EG6"&amp;"5 * EI65) * (Option!$D$22 * 0.81 / 100),
         ""占星術師"", EF65 * EJ65 * FFB65 * IF(abillity, 1, EG65 * EK65) * (Option!$D$23 * 0.81 / 100),
         ""学者"", EF65 * EL65 * FB65 * IF(abillity, 1, EG65 * EM65) * (Option!$D$24 * 0.81 / 100),
         ""賢者"""&amp;", EF65 * EN65 * FB65 * IF(abillity, 1, EG65 * EO65) * (Option!$D$25 * 0.81 / 100),
         1
       )
     )
   )
 ) + EQ65"),0.0)</f>
        <v>0</v>
      </c>
      <c r="FD65" s="206">
        <f t="shared" si="9"/>
        <v>0</v>
      </c>
      <c r="FE65" s="205">
        <f>IFERROR(__xludf.DUMMYFUNCTION("PRODUCT(
   MAP(
     IF($F65=""Physical"", K$10:ED$10, IF($F65=""Magic"", K$11:ED$11, K$12:ED$12)),
     IF($F65=""Physical"", K$18:ED$18, IF($F65=""Magic"", K$19:ED$19, K$20:ED$20)),
     K$3:ED$3,
     K$5:ED$5,
     K$17:ED$17,
     K65:ED65,
     LAM"&amp;"BDA(
       mitigation,
       enhance,
       job,
       assign,
       precondition,
       check,
       IF(
         OR(AND(check=TRUE, REGEXMATCH(assign, ""SELF""), job=""暗黒騎士""), AND(check=Option!$G$13, REGEXMATCH(assign, ""SINGLE_PARTY""))),
     "&amp;"    IF(
           OR(ARRAYFORMULA((IF(precondition="""", FALSE, REGEXMATCH($K$4:$ED$4, precondition))) * (K65:ED65=TRUE))),
           enhance,
           mitigation
         ),
         1
       )
     )
   )
 ) * EE65"),1.0)</f>
        <v>1</v>
      </c>
      <c r="FF65" s="206">
        <f t="shared" si="10"/>
        <v>0</v>
      </c>
      <c r="FG65" s="205">
        <f>IFERROR(__xludf.DUMMYFUNCTION("PRODUCT(
   MAP(
     K$3:ED$3,
     K$14:ED$14,
     K$13:ED$13,
     K65:ED65,
     LAMBDA(
       job,
       buff,
       target,
       check,
       IF(
         OR(AND(check=TRUE, REGEXMATCH(target, ""SELF_AFFECTED_ALL""), job=""暗黒騎士""), AND(check="&amp;"Option!$G$13, REGEXMATCH(target, ""SINGLE_AFFECTED_ALL""))),
         buff,
         1
       )
     )
   )
 )"),1.0)</f>
        <v>1</v>
      </c>
      <c r="FH65" s="206">
        <f>IFERROR(__xludf.DUMMYFUNCTION("SUM(
   MAP(
     K$3:ED$3,
     K$7:ED$7,
     K$15:ED$15,
     K$16:ED$16,
     K$21:ED$21,
     K$5:ED$5,
     K$17:ED$17,
     K65:ED65,
     LAMBDA(
       job,
       abillity,
       buff,
       barrier,
       enhance,
       assign,
       preco"&amp;"ndition,
       check,
       IF(
         OR(AND(check=TRUE, REGEXMATCH(assign, ""SELF""), job=""暗黒騎士""), AND(check=Option!$G$13, REGEXMATCH(assign, ""SINGLE_PARTY""))),
         IF(
           OR(ARRAYFORMULA((IF(precondition="""", FALSE, REGEXMATCH($K$"&amp;"4:$ED$4, precondition))) * (K65:ED65=TRUE))),
           enhance,
           IF(barrier="""", buff, barrier)
         ),
         0
       ) *
       SWITCH(
         job,
         ""暗黒騎士"", FI$24,
         ""白魔道士"", EF65 * EH65 * FG65 * IF(abillity, 1, E"&amp;"G65 * EI65) * (Option!$D$22 * 0.81 / 100),
         ""占星術師"", EF65 * EJ65 * FG65 * IF(abillity, 1, EG65 * EK65) * (Option!$D$23 * 0.81 / 100),
         ""学者"", EF65 * EL65 * FG65 * IF(abillity, 1, EG65 * EM65) * (Option!$D$24 * 0.81 / 100),
         ""賢者"&amp;""", EF65 * EN65 * FG65 * IF(abillity, 1, EG65 * EO65) * (Option!$D$25 * 0.81 / 100),
         1
       )
     )
   )
 ) + EQ65"),0.0)</f>
        <v>0</v>
      </c>
      <c r="FI65" s="206">
        <f t="shared" si="11"/>
        <v>0</v>
      </c>
      <c r="FJ65" s="205">
        <f>IFERROR(__xludf.DUMMYFUNCTION("PRODUCT(
   MAP(
     IF($F65=""Physical"", K$10:ED$10, IF($F65=""Magic"", K$11:ED$11, K$12:ED$12)),
     IF($F65=""Physical"", K$18:ED$18, IF($F65=""Magic"", K$19:ED$19, K$20:ED$20)),
     K$3:ED$3,
     K$5:ED$5,
     K$17:ED$17,
     K65:ED65,
     LAM"&amp;"BDA(
       mitigation,
       enhance,
       job,
       assign,
       precondition,
       check,
       IF(
         OR(AND(check=TRUE, REGEXMATCH(assign, ""SELF""), job=""ガンブレイカー""), AND(check=Option!$H$13, REGEXMATCH(assign, ""SINGLE_PARTY""))),
  "&amp;"       IF(
           OR(ARRAYFORMULA((IF(precondition="""", FALSE, REGEXMATCH($K$4:$ED$4, precondition))) * (K65:ED65=TRUE))),
           enhance,
           mitigation
         ),
         1
       )
     )
   )
 ) * EE65"),1.0)</f>
        <v>1</v>
      </c>
      <c r="FK65" s="206">
        <f t="shared" si="12"/>
        <v>0</v>
      </c>
      <c r="FL65" s="205">
        <f>IFERROR(__xludf.DUMMYFUNCTION("PRODUCT(
   MAP(
     K$3:ED$3,
     K$14:ED$14,
     K$13:ED$13,
     K65:ED65,
     LAMBDA(
       job,
       buff,
       target,
       check,
       IF(
         OR(AND(check=TRUE, REGEXMATCH(target, ""SELF_AFFECTED_ALL""), job=""ガンブレイカー""), AND(che"&amp;"ck=Option!$H$13, REGEXMATCH(target, ""SINGLE_AFFECTED_ALL""))),
         buff,
         1
       )
     )
   )
 )"),1.0)</f>
        <v>1</v>
      </c>
      <c r="FM65" s="206">
        <f>IFERROR(__xludf.DUMMYFUNCTION("SUM(
   MAP(
     K$3:ED$3,
     K$7:ED$7,
     K$15:ED$15,
     K$16:ED$16,
     K$21:ED$21,
     K$5:ED$5,
     K$17:ED$17,
     K65:ED65,
     LAMBDA(
       job,
       abillity,
       buff,
       barrier,
       enhance,
       assign,
       preco"&amp;"ndition,
       check,
       IF(
         OR(AND(check=TRUE, REGEXMATCH(assign, ""SELF""), job=""ガンブレイカー""), AND(check=Option!$H$13, REGEXMATCH(assign, ""SINGLE_PARTY""))),
         IF(
           OR(ARRAYFORMULA((IF(precondition="""", FALSE, REGEXMATCH("&amp;"$K$4:$ED$4, precondition))) * (K65:ED65=TRUE))),
           enhance,
           IF(barrier="""", buff, barrier)
         ),
         0
       ) *
       SWITCH(
         job,
         ""暗黒騎士"", FN$24,
         ""白魔道士"", EF65 * EH65 * FL65 * IF(abillity, 1"&amp;", EG65 * EI65) * (Option!$D$22 * 0.81 / 100),
         ""占星術師"", EF65 * EJ65 * FL65 * IF(abillity, 1, EG65 * EK65) * (Option!$D$23 * 0.81 / 100),
         ""学者"", EF65 * EL65 * FL65 * IF(abillity, 1, EG65 * EM65) * (Option!$D$24 * 0.81 / 100),
         """&amp;"賢者"", EF65 * EN65 * FL65 * IF(abillity, 1, EG65 * EO65) * (Option!$D$25 * 0.81 / 100),
         1
       )
     )
   )
 ) + EQ65"),0.0)</f>
        <v>0</v>
      </c>
      <c r="FN65" s="206">
        <f t="shared" si="13"/>
        <v>0</v>
      </c>
      <c r="FO65" s="213"/>
    </row>
    <row r="66">
      <c r="B66" s="229"/>
      <c r="C66" s="217">
        <f t="shared" si="1"/>
        <v>0.00380787037</v>
      </c>
      <c r="D66" s="236"/>
      <c r="E66" s="238"/>
      <c r="F66" s="167"/>
      <c r="G66" s="168" t="str">
        <f t="shared" si="2"/>
        <v/>
      </c>
      <c r="H66" s="169"/>
      <c r="I66" s="169"/>
      <c r="J66" s="169"/>
      <c r="K66" s="170" t="b">
        <v>0</v>
      </c>
      <c r="L66" s="170" t="b">
        <v>0</v>
      </c>
      <c r="M66" s="170" t="b">
        <v>0</v>
      </c>
      <c r="N66" s="171" t="s">
        <v>1070</v>
      </c>
      <c r="O66" s="172" t="b">
        <v>0</v>
      </c>
      <c r="P66" s="173" t="b">
        <v>0</v>
      </c>
      <c r="Q66" s="173" t="b">
        <v>0</v>
      </c>
      <c r="R66" s="173" t="b">
        <v>0</v>
      </c>
      <c r="S66" s="174" t="b">
        <v>0</v>
      </c>
      <c r="T66" s="175" t="b">
        <v>0</v>
      </c>
      <c r="U66" s="173" t="b">
        <v>0</v>
      </c>
      <c r="V66" s="171" t="s">
        <v>1070</v>
      </c>
      <c r="W66" s="172" t="b">
        <v>0</v>
      </c>
      <c r="X66" s="173" t="b">
        <v>0</v>
      </c>
      <c r="Y66" s="173" t="b">
        <v>0</v>
      </c>
      <c r="Z66" s="173" t="b">
        <v>0</v>
      </c>
      <c r="AA66" s="174" t="b">
        <v>0</v>
      </c>
      <c r="AB66" s="174" t="b">
        <v>0</v>
      </c>
      <c r="AC66" s="175" t="b">
        <v>0</v>
      </c>
      <c r="AD66" s="173" t="b">
        <v>0</v>
      </c>
      <c r="AE66" s="176" t="s">
        <v>1070</v>
      </c>
      <c r="AF66" s="171" t="s">
        <v>1070</v>
      </c>
      <c r="AG66" s="177">
        <f>IFERROR(__xludf.DUMMYFUNCTION("IF(
  ISNUMBER(AG65),
  MIN(MAX(
    AG65
    + MAX(
      ROUNDDOWN(($D66 - MAX(IFERROR(FILTER($D$24:$D65, AG$24:AG65 &lt;&gt; AF$6, AG$23:AG64 = AF$6), 0))) * (60 * 60 * 24) / AF$9) - ROUNDDOWN(($D65 - MAX(IFERROR(FILTER($D$23:$D64, AG$23:AG64 &lt;&gt; AF$6, AG$22:"&amp;"AG63 = AF$6), 0))) * (60 * 60 * 24) / 60),
      0
    )
    - COUNTIF(AF66, ""&lt;&gt;-""),
  0), AF$6),
  AF$6 - COUNTIF(AF66, ""&lt;&gt;-"")
)"),2.0)</f>
        <v>2</v>
      </c>
      <c r="AH66" s="173" t="b">
        <v>0</v>
      </c>
      <c r="AI66" s="173" t="b">
        <v>0</v>
      </c>
      <c r="AJ66" s="173" t="b">
        <v>0</v>
      </c>
      <c r="AK66" s="174" t="b">
        <v>0</v>
      </c>
      <c r="AL66" s="175" t="b">
        <v>0</v>
      </c>
      <c r="AM66" s="173" t="b">
        <v>0</v>
      </c>
      <c r="AN66" s="171" t="s">
        <v>1070</v>
      </c>
      <c r="AO66" s="173" t="b">
        <v>0</v>
      </c>
      <c r="AP66" s="173" t="b">
        <v>0</v>
      </c>
      <c r="AQ66" s="173" t="b">
        <v>0</v>
      </c>
      <c r="AR66" s="174" t="b">
        <v>0</v>
      </c>
      <c r="AS66" s="178" t="b">
        <v>0</v>
      </c>
      <c r="AT66" s="179" t="b">
        <v>0</v>
      </c>
      <c r="AU66" s="180" t="b">
        <v>0</v>
      </c>
      <c r="AV66" s="180" t="b">
        <v>0</v>
      </c>
      <c r="AW66" s="180" t="b">
        <v>0</v>
      </c>
      <c r="AX66" s="180" t="b">
        <v>0</v>
      </c>
      <c r="AY66" s="181" t="s">
        <v>1070</v>
      </c>
      <c r="AZ66" s="181" t="s">
        <v>1070</v>
      </c>
      <c r="BA66" s="184">
        <f>IFERROR(__xludf.DUMMYFUNCTION("IF(
  ISNUMBER(BA65),
  MIN(MAX(
    BA65
    + MAX(
      ROUNDDOWN((D66 - MAX(IFERROR(FILTER(D$24:D65, BA$24:BA65 &lt;&gt; AZ$6, BA$23:BA64 = AZ$6), 0))) * (60 * 60 * 24) / AZ$9) - ROUNDDOWN((D65 - MAX(IFERROR(FILTER(D$23:D64, BA$23:BA64 &lt;&gt; AZ$6, BA$22:BA63 ="&amp;" AZ$6), 0))) * (60 * 60 * 24) / AZ$9),
      0
    )
    - COUNTIF(AZ66, ""&lt;&gt;-""),
  0), AZ$6),
  AZ$6 - COUNTIF(AZ66, ""&lt;&gt;-"")
)"),2.0)</f>
        <v>2</v>
      </c>
      <c r="BB66" s="181" t="s">
        <v>1070</v>
      </c>
      <c r="BC66" s="183">
        <f>IFERROR(__xludf.DUMMYFUNCTION("IF(
  ISNUMBER(BC65),
  MIN(MAX(
    BC65
    + MAX(
      ROUNDDOWN(($D66 - MAX(IFERROR(FILTER($D$24:$D65, BC$24:BC65 &lt;&gt; BB$6, BC$23:BC64 = BB$6), 0))) * (60 * 60 * 24) / BB$9) - ROUNDDOWN(($D65 - MAX(IFERROR(FILTER($D$23:$D64, BC$23:BC64 &lt;&gt; BB$6, BC$22:"&amp;"BC63 = BB$6), 0))) * (60 * 60 * 24) / 60),
      0
    )
    - COUNTIF(BB66, ""&lt;&gt;-""),
  0), BB$6),
  BB$6 - COUNTIF(BB66, ""&lt;&gt;-"")
)"),2.0)</f>
        <v>2</v>
      </c>
      <c r="BD66" s="181" t="s">
        <v>1070</v>
      </c>
      <c r="BE66" s="178" t="b">
        <v>0</v>
      </c>
      <c r="BF66" s="180" t="b">
        <v>0</v>
      </c>
      <c r="BG66" s="180" t="b">
        <v>0</v>
      </c>
      <c r="BH66" s="180" t="b">
        <v>0</v>
      </c>
      <c r="BI66" s="180" t="b">
        <v>0</v>
      </c>
      <c r="BJ66" s="180" t="b">
        <v>0</v>
      </c>
      <c r="BK66" s="180" t="b">
        <v>0</v>
      </c>
      <c r="BL66" s="180" t="b">
        <v>0</v>
      </c>
      <c r="BM66" s="180" t="b">
        <v>0</v>
      </c>
      <c r="BN66" s="180" t="b">
        <v>0</v>
      </c>
      <c r="BO66" s="181" t="s">
        <v>1070</v>
      </c>
      <c r="BP66" s="181" t="s">
        <v>1070</v>
      </c>
      <c r="BQ66" s="181" t="s">
        <v>1070</v>
      </c>
      <c r="BR66" s="181" t="s">
        <v>1070</v>
      </c>
      <c r="BS66" s="181" t="s">
        <v>1070</v>
      </c>
      <c r="BT66" s="184">
        <f>IFERROR(__xludf.DUMMYFUNCTION("IF(
  ISNUMBER(BT65),
  MIN(MAX(
    BT65
    + MAX(
      ROUNDDOWN((D66 - MAX(IFERROR(FILTER(D$24:D65, BT$24:BT65 &lt;&gt; BS$6, BT$23:BT64 = BS$6), 0))) * (60 * 60 * 24) / BS$9) - ROUNDDOWN((D65 - MAX(IFERROR(FILTER(D$23:D64, BT$23:BT64 &lt;&gt; BS$6, BT$22:BT63 ="&amp;" BS$6), 0))) * (60 * 60 * 24) / BS$9),
      0
    )
    - COUNTIF(BS66, ""&lt;&gt;-""),
  0), BS$6),
  BS$6 - COUNTIF(BS66, ""&lt;&gt;-"")
)"),3.0)</f>
        <v>3</v>
      </c>
      <c r="BU66" s="181" t="s">
        <v>1070</v>
      </c>
      <c r="BV66" s="181" t="s">
        <v>1070</v>
      </c>
      <c r="BW66" s="184">
        <f>IFERROR(__xludf.DUMMYFUNCTION("IF(
  ISNUMBER(BW65),
  MIN(MAX(
    BW65
    + MAX(
      ROUNDDOWN((D66 - MAX(IFERROR(FILTER(D$24:D65, BW$24:BW65 &lt;&gt; BV$6, BW$23:BW64 = BV$6), 0))) * (60 * 60 * 24) / BV$9) - ROUNDDOWN((D65 - MAX(IFERROR(FILTER(D$23:D64, BW$23:BW64 &lt;&gt; BV$6, BW$22:BW63 ="&amp;" BV$6), 0))) * (60 * 60 * 24) / BV$9),
      0
    )
    - COUNTIF(BV66, ""&lt;&gt;-""),
  0), BV$6),
  BV$6 - COUNTIF(BV66, ""&lt;&gt;-"")
)"),2.0)</f>
        <v>2</v>
      </c>
      <c r="BX66" s="185" t="s">
        <v>1070</v>
      </c>
      <c r="BY66" s="178" t="b">
        <v>0</v>
      </c>
      <c r="BZ66" s="180" t="b">
        <v>0</v>
      </c>
      <c r="CA66" s="180" t="b">
        <v>0</v>
      </c>
      <c r="CB66" s="180" t="b">
        <v>0</v>
      </c>
      <c r="CC66" s="180" t="b">
        <v>0</v>
      </c>
      <c r="CD66" s="180" t="b">
        <v>0</v>
      </c>
      <c r="CE66" s="180" t="b">
        <v>0</v>
      </c>
      <c r="CF66" s="180" t="b">
        <v>0</v>
      </c>
      <c r="CG66" s="180" t="b">
        <v>0</v>
      </c>
      <c r="CH66" s="180" t="b">
        <v>0</v>
      </c>
      <c r="CI66" s="180" t="b">
        <v>0</v>
      </c>
      <c r="CJ66" s="180" t="b">
        <v>0</v>
      </c>
      <c r="CK66" s="180" t="b">
        <v>0</v>
      </c>
      <c r="CL66" s="180" t="b">
        <v>0</v>
      </c>
      <c r="CM66" s="181" t="s">
        <v>1070</v>
      </c>
      <c r="CN66" s="181" t="s">
        <v>1070</v>
      </c>
      <c r="CO66" s="181" t="s">
        <v>1070</v>
      </c>
      <c r="CP66" s="181" t="s">
        <v>1070</v>
      </c>
      <c r="CQ66" s="185" t="s">
        <v>1070</v>
      </c>
      <c r="CR66" s="180" t="b">
        <v>0</v>
      </c>
      <c r="CS66" s="186" t="str">
        <f t="shared" si="14"/>
        <v>◇◇◇</v>
      </c>
      <c r="CT66" s="178" t="b">
        <v>0</v>
      </c>
      <c r="CU66" s="180" t="b">
        <v>0</v>
      </c>
      <c r="CV66" s="180" t="b">
        <v>0</v>
      </c>
      <c r="CW66" s="180" t="b">
        <v>0</v>
      </c>
      <c r="CX66" s="180" t="b">
        <v>0</v>
      </c>
      <c r="CY66" s="180" t="b">
        <v>0</v>
      </c>
      <c r="CZ66" s="180" t="b">
        <v>0</v>
      </c>
      <c r="DA66" s="180" t="b">
        <v>0</v>
      </c>
      <c r="DB66" s="180" t="b">
        <v>0</v>
      </c>
      <c r="DC66" s="180" t="b">
        <v>0</v>
      </c>
      <c r="DD66" s="181" t="s">
        <v>1070</v>
      </c>
      <c r="DE66" s="181" t="s">
        <v>1070</v>
      </c>
      <c r="DF66" s="181" t="s">
        <v>1070</v>
      </c>
      <c r="DG66" s="185" t="s">
        <v>1070</v>
      </c>
      <c r="DH66" s="180" t="b">
        <v>0</v>
      </c>
      <c r="DI66" s="187" t="str">
        <f>IFERROR(__xludf.DUMMYFUNCTION("SWITCH(
  IF(
    ISTEXT(DI65),
    IF (
      FIND(""○"", DI65&amp;""○"") &gt; 3,
      3,
      FIND(""○"", DI65&amp;""○"")
      + MAX(
        ROUNDDOWN(($D66 - MAX(IFERROR(FILTER(D$24:D65, DI$24:DI65 &lt;&gt; ""●●●"", DI$23:DI64 = ""●●●""), 0))) * (60 * 60 * 24) / 20"&amp;") - ROUNDDOWN(($D65 - MAX(IFERROR(FILTER(D$23:D64, DI$23:DI64 &lt;&gt; ""●●●"", DI$22:DI63 = ""●●●""), 0))) * (60 * 60 * 24) / 20),
        0
      ) - 1
    ) - COUNTIFS(CU66, ""=TRUE"", CU65, ""&lt;&gt;TRUE"") - COUNTIF(CZ66, ""=TRUE"") - COUNTIF({DD66,DE66}, ""&lt;&gt;-"&amp;""") + COUNTIF(DH66, ""=TRUE""),
    3
  ),
  0, ""○○○"", 1, ""●○○"", 2, ""●●○"", 3, ""●●●"", 4, ""●●●"", ""○○○""
)"),"●●●")</f>
        <v>●●●</v>
      </c>
      <c r="DJ66" s="188" t="b">
        <v>0</v>
      </c>
      <c r="DK66" s="189" t="b">
        <v>0</v>
      </c>
      <c r="DL66" s="190" t="b">
        <v>0</v>
      </c>
      <c r="DM66" s="190" t="b">
        <v>0</v>
      </c>
      <c r="DN66" s="190" t="b">
        <v>0</v>
      </c>
      <c r="DO66" s="190" t="b">
        <v>0</v>
      </c>
      <c r="DP66" s="190" t="b">
        <v>0</v>
      </c>
      <c r="DQ66" s="191" t="b">
        <v>0</v>
      </c>
      <c r="DR66" s="192" t="b">
        <v>0</v>
      </c>
      <c r="DS66" s="191" t="b">
        <v>0</v>
      </c>
      <c r="DT66" s="192" t="b">
        <v>0</v>
      </c>
      <c r="DU66" s="191" t="b">
        <v>0</v>
      </c>
      <c r="DV66" s="193" t="s">
        <v>1070</v>
      </c>
      <c r="DW66" s="194" t="b">
        <v>0</v>
      </c>
      <c r="DX66" s="194" t="b">
        <v>0</v>
      </c>
      <c r="DY66" s="195" t="b">
        <v>0</v>
      </c>
      <c r="DZ66" s="196" t="b">
        <v>0</v>
      </c>
      <c r="EA66" s="195" t="b">
        <v>0</v>
      </c>
      <c r="EB66" s="197" t="b">
        <v>0</v>
      </c>
      <c r="EC66" s="197" t="b">
        <v>0</v>
      </c>
      <c r="ED66" s="212" t="b">
        <v>0</v>
      </c>
      <c r="EE66" s="199">
        <f>IFERROR(__xludf.DUMMYFUNCTION("IFERROR(
   PRODUCT(
     MAP(
       INDEX(TRANSPOSE(UNIQUE(TRANSPOSE(FILTER({IF($F66=""Physical"", K$10:ED$10, IF($F66=""Magic"", K$11:ED$11, K$12:ED$12));K$4:ED$4;K66:ED66}, K66:ED66=TRUE)))), 1, 0),
       INDEX(TRANSPOSE(UNIQUE(TRANSPOSE(FILTER({IF($"&amp;"F66=""Physical"", K$18:ED$18, IF($F66=""Magic"", K$19:ED$19, K$20:ED$20));K$4:ED$4;K66:ED66}, K66:ED66=TRUE)))), 1, 0),
       INDEX(TRANSPOSE(UNIQUE(TRANSPOSE(FILTER({K$5:ED$5;K$4:ED$4;K66:ED66}, K66:ED66=TRUE)))), 1, 0),
       INDEX(TRANSPOSE(UNIQUE(TR"&amp;"ANSPOSE(FILTER({K$17:ED$17;K$4:ED$4;K66:ED66}, K66:ED66=TRUE)))), 1, 0),
       LAMBDA(
         mitigation,
         enhance,
         assign,
         precondition,
         IF(
           REGEXMATCH(assign, ""RANGE_PARTY|SINGLE_ENEMY|RANGE_ENEMY""),
  "&amp;"         IF(
             OR(ARRAYFORMULA((IF(precondition="""", FALSE, REGEXMATCH(K$4:ED$4, precondition))) * (K66:ED66=TRUE))),
             IF(ISNUMBER(enhance), enhance, 1),
             IF(ISNUMBER(mitigation), mitigation, 1)
           ),
          "&amp;" 1
         )
       )
     )
   ),
   1
 )"),1.0)</f>
        <v>1</v>
      </c>
      <c r="EF66" s="200">
        <f>IFERROR(__xludf.DUMMYFUNCTION("PRODUCT(
   MAP(
     K$14:ED$14,
     K$13:ED$13,
     K66:ED66,
     LAMBDA(
       buff,
       target,
       check,
       IF(
         AND(check=TRUE, REGEXMATCH(target, ""RANGE_AFFECTED_ALL|RANGE_EFFECTED_ALL""), ISNUMBER(buff)),
         buff,
   "&amp;"      1
       )
     )
   )
 )"),1.0)</f>
        <v>1</v>
      </c>
      <c r="EG66" s="200">
        <f>IFERROR(__xludf.DUMMYFUNCTION("PRODUCT(
   MAP(
     K$14:ED$14,
     K$13:ED$13,
     K66:ED66,
     LAMBDA(
       buff,
       target,
       check,
       IF(
         AND(check=TRUE, REGEXMATCH(target, ""RANGE_AFFECTED_GCD|RANGE_EFFECTED_GCD""), ISNUMBER(buff)),
         buff,
   "&amp;"      1
       )
     )
   )
 )"),1.0)</f>
        <v>1</v>
      </c>
      <c r="EH66" s="200">
        <f>IFERROR(__xludf.DUMMYFUNCTION("PRODUCT(
   MAP(
     K$3:ED$3,
     K$14:ED$14,
     K$13:ED$13,
     K66:ED66,
     LAMBDA(
       job,
       buff,
       target,
       check,
       IF(
         AND(check=TRUE, REGEXMATCH(target, ""SELF_EFFECTED_ALL""), ISNUMBER(buff), job=""白魔道士"""&amp;"),
         buff,
         1
       )
     )
   )
 )"),1.0)</f>
        <v>1</v>
      </c>
      <c r="EI66" s="200">
        <f>IFERROR(__xludf.DUMMYFUNCTION("PRODUCT(
   MAP(
     K$3:ED$3,
     K$14:ED$14,
     K$13:ED$13,
     K66:ED66,
     LAMBDA(
       job,
       buff,
       target,
       check,
       IF(
         AND(check=TRUE, REGEXMATCH(target, ""SELF_EFFECTED_GCD""), ISNUMBER(buff), job=""白魔道士"""&amp;"),
         buff,
         1
       )
     )
   )
 )"),1.0)</f>
        <v>1</v>
      </c>
      <c r="EJ66" s="200">
        <f>IFERROR(__xludf.DUMMYFUNCTION("PRODUCT(
   MAP(
     K$3:ED$3,
     K$14:ED$14,
     K$13:ED$13,
     K66:ED66,
     LAMBDA(
       job,
       buff,
       target,
       check,
       IF(
         AND(check=TRUE, REGEXMATCH(target, ""SELF_EFFECTED_ALL""), ISNUMBER(buff), job=""占星術師"""&amp;"),
         buff,
         1
       )
     )
   )
 )"),1.0)</f>
        <v>1</v>
      </c>
      <c r="EK66" s="200">
        <f>IFERROR(__xludf.DUMMYFUNCTION("PRODUCT(
   MAP(
     K$3:ED$3,
     K$14:ED$14,
     K$13:ED$13,
     K66:ED66,
     LAMBDA(
       job,
       buff,
       target,
       check,
       IF(
         AND(check=TRUE, REGEXMATCH(target, ""SELF_EFFECTED_GCD""), ISNUMBER(buff), job=""占星術師"""&amp;"),
         buff,
         1
       )
     )
   )
 )"),1.0)</f>
        <v>1</v>
      </c>
      <c r="EL66" s="200">
        <f>IFERROR(__xludf.DUMMYFUNCTION("PRODUCT(
   MAP(
     K$3:ED$3,
     K$14:ED$14,
     K$13:ED$13,
     K66:ED66,
     LAMBDA(
       job,
       buff,
       target,
       check,
       IF(
         AND(check=TRUE, REGEXMATCH(target, ""SELF_EFFECTED_ALL""), ISNUMBER(buff), job=""学者""),"&amp;"
         buff,
         1
       )
     )
   )
 )"),1.0)</f>
        <v>1</v>
      </c>
      <c r="EM66" s="200">
        <f>IFERROR(__xludf.DUMMYFUNCTION("PRODUCT(
   MAP(
     K$3:ED$3,
     K$14:ED$14,
     K$13:ED$13,
     K66:ED66,
     LAMBDA(
       job,
       buff,
       target,
       check,
       IF(
         AND(check=TRUE, REGEXMATCH(target, ""SELF_EFFECTED_GCD""), ISNUMBER(buff), job=""学者""),"&amp;"
         buff,
         1
       )
     )
   )
 )"),1.0)</f>
        <v>1</v>
      </c>
      <c r="EN66" s="200">
        <f>IFERROR(__xludf.DUMMYFUNCTION("PRODUCT(
   MAP(
     K$3:ED$3,
     K$14:ED$14,
     K$13:ED$13,
     K66:ED66,
     LAMBDA(
       job,
       buff,
       target,
       check,
       IF(
         AND(check=TRUE, REGEXMATCH(target, ""SELF_EFFECTED_ALL""), ISNUMBER(buff), job=""賢者""),"&amp;"
         buff,
         1
       )
     )
   )
 )"),1.0)</f>
        <v>1</v>
      </c>
      <c r="EO66" s="200">
        <f>IFERROR(__xludf.DUMMYFUNCTION("PRODUCT(
   MAP(
     K$3:ED$3,
     K$14:ED$14,
     K$13:ED$13,
     K66:ED66,
     LAMBDA(
       job,
       buff,
       target,
       check,
       IF(
         AND(check=TRUE, REGEXMATCH(target, ""SELF_EFFECTED_GCD""), ISNUMBER(buff), job=""賢者""),"&amp;"
         buff,
         1
       )
     )
   )
 )"),1.0)</f>
        <v>1</v>
      </c>
      <c r="EP66" s="201">
        <f t="shared" si="3"/>
        <v>0</v>
      </c>
      <c r="EQ66" s="201">
        <f>IFERROR(__xludf.DUMMYFUNCTION("SUM(
   MAP(
     K$4:ED$4,
     K$3:ED$3,
     K$7:ED$7,
     K$15:ED$15,
     K$16:ED$16,
     K$21:ED$21,
     K$5:ED$5,
     K$17:ED$17,
     K66:ED66,
     LAMBDA(
       name,
       job,
       abillity,
       buff,
       barrier,
       enhance,"&amp;"
       assign,
       precondition,
       check,
       SWITCH(
         name,
         ""シェイクオフ"", IF(check=TRUE, buff + (0.02 * COUNTIF(ARRAYFORMULA((REGEXMATCH($K$4:$ED$4, ""スリル・オブ・バトル|ヴェンジェンス|原初の血気|ダムネーション"")) * (K66:ED66=TRUE)), 1)), 0),
         "&amp;"""インプロビゼーションフィニッシュ(踊りの激情0)"", IF(ISNUMBER(check), INDEX(Skill!$AJ:$AJ, MATCH(SUBSTITUTE(DV$4, 0, check), Skill!$C:$C, 0)), 0),
         IF(
           AND(check=TRUE, REGEXMATCH(assign, ""RANGE_PARTY"")),
           IF(
             OR(ARRAYFORMULA((IF(pr"&amp;"econdition="""", FALSE, REGEXMATCH($K$4:$ED$4, precondition))) * (K66:ED66=TRUE))),
             enhance,
             IF(barrier="""", buff, barrier)
           ),
           0
         )
       ) *
       SWITCH(
         job,
         ""ナイト"", EY$24,
 "&amp;"        ""戦士"", FD$24,
         ""踊り子"", ET$24,
         ""ピクトマンサー"", ET$24,
         ""白魔道士"", EF66 * EH66 * IF(abillity, 1, EG66 * EI66) * (Option!$D$22 * 0.81 / 100),
         ""占星術師"", EF66 * EJ66 * IF(abillity, 1, EG66 * EK66) * (Option!$D$23 * 0.81 "&amp;"/ 100),
         ""学者"", EF66 * EL66 * IF(abillity, 1, EG66 * EM66) * (Option!$D$24 * 0.81 / 100),
         ""賢者"", EF66 * EN66 * IF(abillity, 1, EG66 * EO66) * (Option!$D$25 * 0.81 / 100),
         1
       )
     )
   )
 )"),0.0)</f>
        <v>0</v>
      </c>
      <c r="ER66" s="202">
        <f t="shared" si="4"/>
        <v>0</v>
      </c>
      <c r="ES66" s="203">
        <f t="shared" si="5"/>
        <v>0</v>
      </c>
      <c r="ET66" s="231" t="str">
        <f>IFERROR(__xludf.DUMMYFUNCTION("IFS(
  EP66 &gt; $ET$24 + EQ66,
  SPARKLINE({ 1, 0 }, {""charttype"",""bar"";""max"", 1;""color1"",Option!$D$30;""color2"",Option!$D$30}),
  EP66 &lt; EQ66,
  SPARKLINE({EQ66 - EP66, $ET$24 - (EQ66 - EP66)}, {""charttype"",""bar"";""max"",$ET$24;""color1"",Opti"&amp;"on!$D$28;""color2"",Option!$D$29}),
  EP66 &gt;= EQ66,
  SPARKLINE({$ET$24 + EQ66 - EP66,EP66 - EQ66}, {""charttype"",""bar"";""max"",$ET$24;""color1"",Option!$D$29;""color2"",Option!$D$30})
)"),"")</f>
        <v/>
      </c>
      <c r="EU66" s="205">
        <f>IFERROR(__xludf.DUMMYFUNCTION("PRODUCT(
   MAP(
     IF($F66=""Physical"", K$10:ED$10, IF($F66=""Magic"", K$11:ED$11, K$12:ED$12)),
     IF($F66=""Physical"", K$18:ED$18, IF($F66=""Magic"", K$19:ED$19, K$20:ED$20)),
     K$3:ED$3,
     K$5:ED$5,
     K$17:ED$17,
     K66:ED66,
     LAM"&amp;"BDA(
       mitigation,
       enhance,
       job,
       assign,
       precondition,
       check,
       IF(
         OR(AND(check=TRUE, REGEXMATCH(assign, ""SELF""), job=""ナイト""), AND(check=Option!$E$13, REGEXMATCH(assign, ""SINGLE_PARTY""))),
      "&amp;"   IF(
           OR(ARRAYFORMULA((IF(precondition="""", FALSE, REGEXMATCH($K$4:$ED$4, precondition))) * (K66:ED66=TRUE))),
           enhance,
           mitigation
         ),
         1
       )
     )
   )
 ) * EE66"),1.0)</f>
        <v>1</v>
      </c>
      <c r="EV66" s="206">
        <f t="shared" si="6"/>
        <v>0</v>
      </c>
      <c r="EW66" s="205">
        <f>IFERROR(__xludf.DUMMYFUNCTION("PRODUCT(
   MAP(
     K$3:ED$3,
     K$14:ED$14,
     K$13:ED$13,
     K66:ED66,
     LAMBDA(
       job,
       buff,
       target,
       check,
       IF(
         OR(AND(check=TRUE, REGEXMATCH(target, ""SELF_AFFECTED_ALL""), job=""ナイト""), AND(check=O"&amp;"ption!$E$13, REGEXMATCH(target, ""SINGLE_AFFECTED_ALL""))),
         buff,
         1
       )
     )
   )
 )"),1.0)</f>
        <v>1</v>
      </c>
      <c r="EX66" s="206">
        <f>IFERROR(__xludf.DUMMYFUNCTION("SUM(
   MAP(
     K$3:ED$3,
     K$7:ED$7,
     K$15:ED$15,
     K$16:ED$16,
     K$21:ED$21,
     K$5:ED$5,
     K$17:ED$17,
     K66:ED66,
     LAMBDA(
       job,
       abillity,
       buff,
       barrier,
       enhance,
       assign,
       preco"&amp;"ndition,
       check,
       IF(
         OR(AND(check=TRUE, REGEXMATCH(assign, ""SELF""), job=""ナイト""), AND(check=Option!$E$13, REGEXMATCH(assign, ""SINGLE_PARTY""))),
         IF(
           OR(ARRAYFORMULA((IF(precondition="""", FALSE, REGEXMATCH($K$4"&amp;":$ED$4, precondition))) * (K66:ED66=TRUE))),
           enhance,
           IF(barrier="""", buff, barrier)
         ),
         0
       ) *
       SWITCH(
         job,
         ""暗黒騎士"", EY$24,
         ""白魔道士"", EF66 * EH66 * EW66 * IF(abillity, 1, EG"&amp;"66 * EI66) * (Option!$D$22 * 0.81 / 100),
         ""占星術師"", EF66 * EJ66 * EW66 * IF(abillity, 1, EG66 * EK66) * (Option!$D$23 * 0.81 / 100),
         ""学者"", EF66 * EL66 * EW66 * IF(abillity, 1, EG66 * EM66) * (Option!$D$24 * 0.81 / 100),
         ""賢者"""&amp;", EF66 * EN66 * EW66 * IF(abillity, 1, EG66 * EO66) * (Option!$D$25 * 0.81 / 100),
         1
       )
     )
   )
 ) + EQ66"),0.0)</f>
        <v>0</v>
      </c>
      <c r="EY66" s="232">
        <f t="shared" si="7"/>
        <v>0</v>
      </c>
      <c r="EZ66" s="205">
        <f>IFERROR(__xludf.DUMMYFUNCTION("PRODUCT(
   MAP(
     IF($F66=""Physical"", K$10:ED$10, IF($F66=""Magic"", K$11:ED$11, K$12:ED$12)),
     IF($F66=""Physical"", K$18:ED$18, IF($F66=""Magic"", K$19:ED$19, K$20:ED$20)),
     K$3:ED$3,
     K$5:ED$5,
     K$17:ED$17,
     K66:ED66,
     LAM"&amp;"BDA(
       mitigation,
       enhance,
       job,
       assign,
       precondition,
       check,
       IF(
         OR(AND(check=TRUE, REGEXMATCH(assign, ""SELF""), job=""戦士""), AND(check=Option!$F$13, REGEXMATCH(assign, ""SINGLE_PARTY""))),
       "&amp;"  IF(
           OR(ARRAYFORMULA((IF(precondition="""", FALSE, REGEXMATCH($K$4:$ED$4, precondition))) * (K66:ED66=TRUE))),
           enhance,
           mitigation
         ),
         1
       )
     )
   )
 ) * EE66"),1.0)</f>
        <v>1</v>
      </c>
      <c r="FA66" s="206">
        <f t="shared" si="8"/>
        <v>0</v>
      </c>
      <c r="FB66" s="205">
        <f>IFERROR(__xludf.DUMMYFUNCTION("PRODUCT(
   MAP(
     K$3:ED$3,
     K$14:ED$14,
     K$13:ED$13,
     K66:ED66,
     LAMBDA(
       job,
       buff,
       target,
       check,
       IF(
         OR(AND(check=TRUE, REGEXMATCH(target, ""SELF_AFFECTED_ALL""), job=""戦士""), AND(check=Op"&amp;"tion!$F$13, REGEXMATCH(target, ""SINGLE_AFFECTED_ALL""))),
         buff,
         1
       )
     )
   )
 )"),1.0)</f>
        <v>1</v>
      </c>
      <c r="FC66" s="206">
        <f>IFERROR(__xludf.DUMMYFUNCTION("SUM(
   MAP(
     K$3:ED$3,
     K$7:ED$7,
     K$15:ED$15,
     K$16:ED$16,
     K$21:ED$21,
     K$5:ED$5,
     K$17:ED$17,
     K66:ED66,
     LAMBDA(
       job,
       abillity,
       buff,
       barrier,
       enhance,
       assign,
       preco"&amp;"ndition,
       check,
       IF(
         OR(AND(check=TRUE, REGEXMATCH(assign, ""SELF""), job=""戦士""), AND(check=Option!$F$13, REGEXMATCH(assign, ""SINGLE_PARTY""))),
         IF(
           OR(ARRAYFORMULA((IF(precondition="""", FALSE, REGEXMATCH($K$4:"&amp;"$ED$4, precondition))) * (K66:ED66=TRUE))),
           enhance,
           IF(barrier="""", buff, barrier)
         ),
         0
       ) *
       SWITCH(
         job,
         ""暗黒騎士"", FD$24,
         ""白魔道士"", EF66 * EH66 * FB66 * IF(abillity, 1, EG6"&amp;"6 * EI66) * (Option!$D$22 * 0.81 / 100),
         ""占星術師"", EF66 * EJ66 * FFB66 * IF(abillity, 1, EG66 * EK66) * (Option!$D$23 * 0.81 / 100),
         ""学者"", EF66 * EL66 * FB66 * IF(abillity, 1, EG66 * EM66) * (Option!$D$24 * 0.81 / 100),
         ""賢者"""&amp;", EF66 * EN66 * FB66 * IF(abillity, 1, EG66 * EO66) * (Option!$D$25 * 0.81 / 100),
         1
       )
     )
   )
 ) + EQ66"),0.0)</f>
        <v>0</v>
      </c>
      <c r="FD66" s="206">
        <f t="shared" si="9"/>
        <v>0</v>
      </c>
      <c r="FE66" s="205">
        <f>IFERROR(__xludf.DUMMYFUNCTION("PRODUCT(
   MAP(
     IF($F66=""Physical"", K$10:ED$10, IF($F66=""Magic"", K$11:ED$11, K$12:ED$12)),
     IF($F66=""Physical"", K$18:ED$18, IF($F66=""Magic"", K$19:ED$19, K$20:ED$20)),
     K$3:ED$3,
     K$5:ED$5,
     K$17:ED$17,
     K66:ED66,
     LAM"&amp;"BDA(
       mitigation,
       enhance,
       job,
       assign,
       precondition,
       check,
       IF(
         OR(AND(check=TRUE, REGEXMATCH(assign, ""SELF""), job=""暗黒騎士""), AND(check=Option!$G$13, REGEXMATCH(assign, ""SINGLE_PARTY""))),
     "&amp;"    IF(
           OR(ARRAYFORMULA((IF(precondition="""", FALSE, REGEXMATCH($K$4:$ED$4, precondition))) * (K66:ED66=TRUE))),
           enhance,
           mitigation
         ),
         1
       )
     )
   )
 ) * EE66"),1.0)</f>
        <v>1</v>
      </c>
      <c r="FF66" s="206">
        <f t="shared" si="10"/>
        <v>0</v>
      </c>
      <c r="FG66" s="205">
        <f>IFERROR(__xludf.DUMMYFUNCTION("PRODUCT(
   MAP(
     K$3:ED$3,
     K$14:ED$14,
     K$13:ED$13,
     K66:ED66,
     LAMBDA(
       job,
       buff,
       target,
       check,
       IF(
         OR(AND(check=TRUE, REGEXMATCH(target, ""SELF_AFFECTED_ALL""), job=""暗黒騎士""), AND(check="&amp;"Option!$G$13, REGEXMATCH(target, ""SINGLE_AFFECTED_ALL""))),
         buff,
         1
       )
     )
   )
 )"),1.0)</f>
        <v>1</v>
      </c>
      <c r="FH66" s="206">
        <f>IFERROR(__xludf.DUMMYFUNCTION("SUM(
   MAP(
     K$3:ED$3,
     K$7:ED$7,
     K$15:ED$15,
     K$16:ED$16,
     K$21:ED$21,
     K$5:ED$5,
     K$17:ED$17,
     K66:ED66,
     LAMBDA(
       job,
       abillity,
       buff,
       barrier,
       enhance,
       assign,
       preco"&amp;"ndition,
       check,
       IF(
         OR(AND(check=TRUE, REGEXMATCH(assign, ""SELF""), job=""暗黒騎士""), AND(check=Option!$G$13, REGEXMATCH(assign, ""SINGLE_PARTY""))),
         IF(
           OR(ARRAYFORMULA((IF(precondition="""", FALSE, REGEXMATCH($K$"&amp;"4:$ED$4, precondition))) * (K66:ED66=TRUE))),
           enhance,
           IF(barrier="""", buff, barrier)
         ),
         0
       ) *
       SWITCH(
         job,
         ""暗黒騎士"", FI$24,
         ""白魔道士"", EF66 * EH66 * FG66 * IF(abillity, 1, E"&amp;"G66 * EI66) * (Option!$D$22 * 0.81 / 100),
         ""占星術師"", EF66 * EJ66 * FG66 * IF(abillity, 1, EG66 * EK66) * (Option!$D$23 * 0.81 / 100),
         ""学者"", EF66 * EL66 * FG66 * IF(abillity, 1, EG66 * EM66) * (Option!$D$24 * 0.81 / 100),
         ""賢者"&amp;""", EF66 * EN66 * FG66 * IF(abillity, 1, EG66 * EO66) * (Option!$D$25 * 0.81 / 100),
         1
       )
     )
   )
 ) + EQ66"),0.0)</f>
        <v>0</v>
      </c>
      <c r="FI66" s="206">
        <f t="shared" si="11"/>
        <v>0</v>
      </c>
      <c r="FJ66" s="205">
        <f>IFERROR(__xludf.DUMMYFUNCTION("PRODUCT(
   MAP(
     IF($F66=""Physical"", K$10:ED$10, IF($F66=""Magic"", K$11:ED$11, K$12:ED$12)),
     IF($F66=""Physical"", K$18:ED$18, IF($F66=""Magic"", K$19:ED$19, K$20:ED$20)),
     K$3:ED$3,
     K$5:ED$5,
     K$17:ED$17,
     K66:ED66,
     LAM"&amp;"BDA(
       mitigation,
       enhance,
       job,
       assign,
       precondition,
       check,
       IF(
         OR(AND(check=TRUE, REGEXMATCH(assign, ""SELF""), job=""ガンブレイカー""), AND(check=Option!$H$13, REGEXMATCH(assign, ""SINGLE_PARTY""))),
  "&amp;"       IF(
           OR(ARRAYFORMULA((IF(precondition="""", FALSE, REGEXMATCH($K$4:$ED$4, precondition))) * (K66:ED66=TRUE))),
           enhance,
           mitigation
         ),
         1
       )
     )
   )
 ) * EE66"),1.0)</f>
        <v>1</v>
      </c>
      <c r="FK66" s="206">
        <f t="shared" si="12"/>
        <v>0</v>
      </c>
      <c r="FL66" s="205">
        <f>IFERROR(__xludf.DUMMYFUNCTION("PRODUCT(
   MAP(
     K$3:ED$3,
     K$14:ED$14,
     K$13:ED$13,
     K66:ED66,
     LAMBDA(
       job,
       buff,
       target,
       check,
       IF(
         OR(AND(check=TRUE, REGEXMATCH(target, ""SELF_AFFECTED_ALL""), job=""ガンブレイカー""), AND(che"&amp;"ck=Option!$H$13, REGEXMATCH(target, ""SINGLE_AFFECTED_ALL""))),
         buff,
         1
       )
     )
   )
 )"),1.0)</f>
        <v>1</v>
      </c>
      <c r="FM66" s="206">
        <f>IFERROR(__xludf.DUMMYFUNCTION("SUM(
   MAP(
     K$3:ED$3,
     K$7:ED$7,
     K$15:ED$15,
     K$16:ED$16,
     K$21:ED$21,
     K$5:ED$5,
     K$17:ED$17,
     K66:ED66,
     LAMBDA(
       job,
       abillity,
       buff,
       barrier,
       enhance,
       assign,
       preco"&amp;"ndition,
       check,
       IF(
         OR(AND(check=TRUE, REGEXMATCH(assign, ""SELF""), job=""ガンブレイカー""), AND(check=Option!$H$13, REGEXMATCH(assign, ""SINGLE_PARTY""))),
         IF(
           OR(ARRAYFORMULA((IF(precondition="""", FALSE, REGEXMATCH("&amp;"$K$4:$ED$4, precondition))) * (K66:ED66=TRUE))),
           enhance,
           IF(barrier="""", buff, barrier)
         ),
         0
       ) *
       SWITCH(
         job,
         ""暗黒騎士"", FN$24,
         ""白魔道士"", EF66 * EH66 * FL66 * IF(abillity, 1"&amp;", EG66 * EI66) * (Option!$D$22 * 0.81 / 100),
         ""占星術師"", EF66 * EJ66 * FL66 * IF(abillity, 1, EG66 * EK66) * (Option!$D$23 * 0.81 / 100),
         ""学者"", EF66 * EL66 * FL66 * IF(abillity, 1, EG66 * EM66) * (Option!$D$24 * 0.81 / 100),
         """&amp;"賢者"", EF66 * EN66 * FL66 * IF(abillity, 1, EG66 * EO66) * (Option!$D$25 * 0.81 / 100),
         1
       )
     )
   )
 ) + EQ66"),0.0)</f>
        <v>0</v>
      </c>
      <c r="FN66" s="206">
        <f t="shared" si="13"/>
        <v>0</v>
      </c>
      <c r="FO66" s="213"/>
    </row>
    <row r="67">
      <c r="B67" s="229"/>
      <c r="C67" s="217">
        <f t="shared" si="1"/>
        <v>0.00380787037</v>
      </c>
      <c r="D67" s="236"/>
      <c r="E67" s="238"/>
      <c r="F67" s="167"/>
      <c r="G67" s="168" t="str">
        <f t="shared" si="2"/>
        <v/>
      </c>
      <c r="H67" s="169"/>
      <c r="I67" s="169"/>
      <c r="J67" s="169"/>
      <c r="K67" s="170" t="b">
        <v>0</v>
      </c>
      <c r="L67" s="170" t="b">
        <v>0</v>
      </c>
      <c r="M67" s="170" t="b">
        <v>0</v>
      </c>
      <c r="N67" s="171" t="s">
        <v>1070</v>
      </c>
      <c r="O67" s="172" t="b">
        <v>0</v>
      </c>
      <c r="P67" s="173" t="b">
        <v>0</v>
      </c>
      <c r="Q67" s="173" t="b">
        <v>0</v>
      </c>
      <c r="R67" s="173" t="b">
        <v>0</v>
      </c>
      <c r="S67" s="174" t="b">
        <v>0</v>
      </c>
      <c r="T67" s="175" t="b">
        <v>0</v>
      </c>
      <c r="U67" s="173" t="b">
        <v>0</v>
      </c>
      <c r="V67" s="171" t="s">
        <v>1070</v>
      </c>
      <c r="W67" s="172" t="b">
        <v>0</v>
      </c>
      <c r="X67" s="173" t="b">
        <v>0</v>
      </c>
      <c r="Y67" s="173" t="b">
        <v>0</v>
      </c>
      <c r="Z67" s="173" t="b">
        <v>0</v>
      </c>
      <c r="AA67" s="174" t="b">
        <v>0</v>
      </c>
      <c r="AB67" s="174" t="b">
        <v>0</v>
      </c>
      <c r="AC67" s="175" t="b">
        <v>0</v>
      </c>
      <c r="AD67" s="173" t="b">
        <v>0</v>
      </c>
      <c r="AE67" s="176" t="s">
        <v>1070</v>
      </c>
      <c r="AF67" s="171" t="s">
        <v>1070</v>
      </c>
      <c r="AG67" s="177">
        <f>IFERROR(__xludf.DUMMYFUNCTION("IF(
  ISNUMBER(AG66),
  MIN(MAX(
    AG66
    + MAX(
      ROUNDDOWN(($D67 - MAX(IFERROR(FILTER($D$24:$D66, AG$24:AG66 &lt;&gt; AF$6, AG$23:AG65 = AF$6), 0))) * (60 * 60 * 24) / AF$9) - ROUNDDOWN(($D66 - MAX(IFERROR(FILTER($D$23:$D65, AG$23:AG65 &lt;&gt; AF$6, AG$22:"&amp;"AG64 = AF$6), 0))) * (60 * 60 * 24) / 60),
      0
    )
    - COUNTIF(AF67, ""&lt;&gt;-""),
  0), AF$6),
  AF$6 - COUNTIF(AF67, ""&lt;&gt;-"")
)"),2.0)</f>
        <v>2</v>
      </c>
      <c r="AH67" s="173" t="b">
        <v>0</v>
      </c>
      <c r="AI67" s="173" t="b">
        <v>0</v>
      </c>
      <c r="AJ67" s="173" t="b">
        <v>0</v>
      </c>
      <c r="AK67" s="174" t="b">
        <v>0</v>
      </c>
      <c r="AL67" s="175" t="b">
        <v>0</v>
      </c>
      <c r="AM67" s="173" t="b">
        <v>0</v>
      </c>
      <c r="AN67" s="171" t="s">
        <v>1070</v>
      </c>
      <c r="AO67" s="173" t="b">
        <v>0</v>
      </c>
      <c r="AP67" s="173" t="b">
        <v>0</v>
      </c>
      <c r="AQ67" s="173" t="b">
        <v>0</v>
      </c>
      <c r="AR67" s="174" t="b">
        <v>0</v>
      </c>
      <c r="AS67" s="178" t="b">
        <v>0</v>
      </c>
      <c r="AT67" s="179" t="b">
        <v>0</v>
      </c>
      <c r="AU67" s="180" t="b">
        <v>0</v>
      </c>
      <c r="AV67" s="180" t="b">
        <v>0</v>
      </c>
      <c r="AW67" s="180" t="b">
        <v>0</v>
      </c>
      <c r="AX67" s="180" t="b">
        <v>0</v>
      </c>
      <c r="AY67" s="181" t="s">
        <v>1070</v>
      </c>
      <c r="AZ67" s="181" t="s">
        <v>1070</v>
      </c>
      <c r="BA67" s="184">
        <f>IFERROR(__xludf.DUMMYFUNCTION("IF(
  ISNUMBER(BA66),
  MIN(MAX(
    BA66
    + MAX(
      ROUNDDOWN((D67 - MAX(IFERROR(FILTER(D$24:D66, BA$24:BA66 &lt;&gt; AZ$6, BA$23:BA65 = AZ$6), 0))) * (60 * 60 * 24) / AZ$9) - ROUNDDOWN((D66 - MAX(IFERROR(FILTER(D$23:D65, BA$23:BA65 &lt;&gt; AZ$6, BA$22:BA64 ="&amp;" AZ$6), 0))) * (60 * 60 * 24) / AZ$9),
      0
    )
    - COUNTIF(AZ67, ""&lt;&gt;-""),
  0), AZ$6),
  AZ$6 - COUNTIF(AZ67, ""&lt;&gt;-"")
)"),2.0)</f>
        <v>2</v>
      </c>
      <c r="BB67" s="181" t="s">
        <v>1070</v>
      </c>
      <c r="BC67" s="183">
        <f>IFERROR(__xludf.DUMMYFUNCTION("IF(
  ISNUMBER(BC66),
  MIN(MAX(
    BC66
    + MAX(
      ROUNDDOWN(($D67 - MAX(IFERROR(FILTER($D$24:$D66, BC$24:BC66 &lt;&gt; BB$6, BC$23:BC65 = BB$6), 0))) * (60 * 60 * 24) / BB$9) - ROUNDDOWN(($D66 - MAX(IFERROR(FILTER($D$23:$D65, BC$23:BC65 &lt;&gt; BB$6, BC$22:"&amp;"BC64 = BB$6), 0))) * (60 * 60 * 24) / 60),
      0
    )
    - COUNTIF(BB67, ""&lt;&gt;-""),
  0), BB$6),
  BB$6 - COUNTIF(BB67, ""&lt;&gt;-"")
)"),2.0)</f>
        <v>2</v>
      </c>
      <c r="BD67" s="181" t="s">
        <v>1070</v>
      </c>
      <c r="BE67" s="178" t="b">
        <v>0</v>
      </c>
      <c r="BF67" s="180" t="b">
        <v>0</v>
      </c>
      <c r="BG67" s="180" t="b">
        <v>0</v>
      </c>
      <c r="BH67" s="180" t="b">
        <v>0</v>
      </c>
      <c r="BI67" s="180" t="b">
        <v>0</v>
      </c>
      <c r="BJ67" s="180" t="b">
        <v>0</v>
      </c>
      <c r="BK67" s="180" t="b">
        <v>0</v>
      </c>
      <c r="BL67" s="180" t="b">
        <v>0</v>
      </c>
      <c r="BM67" s="180" t="b">
        <v>0</v>
      </c>
      <c r="BN67" s="180" t="b">
        <v>0</v>
      </c>
      <c r="BO67" s="181" t="s">
        <v>1070</v>
      </c>
      <c r="BP67" s="181" t="s">
        <v>1070</v>
      </c>
      <c r="BQ67" s="181" t="s">
        <v>1070</v>
      </c>
      <c r="BR67" s="181" t="s">
        <v>1070</v>
      </c>
      <c r="BS67" s="181" t="s">
        <v>1070</v>
      </c>
      <c r="BT67" s="184">
        <f>IFERROR(__xludf.DUMMYFUNCTION("IF(
  ISNUMBER(BT66),
  MIN(MAX(
    BT66
    + MAX(
      ROUNDDOWN((D67 - MAX(IFERROR(FILTER(D$24:D66, BT$24:BT66 &lt;&gt; BS$6, BT$23:BT65 = BS$6), 0))) * (60 * 60 * 24) / BS$9) - ROUNDDOWN((D66 - MAX(IFERROR(FILTER(D$23:D65, BT$23:BT65 &lt;&gt; BS$6, BT$22:BT64 ="&amp;" BS$6), 0))) * (60 * 60 * 24) / BS$9),
      0
    )
    - COUNTIF(BS67, ""&lt;&gt;-""),
  0), BS$6),
  BS$6 - COUNTIF(BS67, ""&lt;&gt;-"")
)"),3.0)</f>
        <v>3</v>
      </c>
      <c r="BU67" s="181" t="s">
        <v>1070</v>
      </c>
      <c r="BV67" s="181" t="s">
        <v>1070</v>
      </c>
      <c r="BW67" s="184">
        <f>IFERROR(__xludf.DUMMYFUNCTION("IF(
  ISNUMBER(BW66),
  MIN(MAX(
    BW66
    + MAX(
      ROUNDDOWN((D67 - MAX(IFERROR(FILTER(D$24:D66, BW$24:BW66 &lt;&gt; BV$6, BW$23:BW65 = BV$6), 0))) * (60 * 60 * 24) / BV$9) - ROUNDDOWN((D66 - MAX(IFERROR(FILTER(D$23:D65, BW$23:BW65 &lt;&gt; BV$6, BW$22:BW64 ="&amp;" BV$6), 0))) * (60 * 60 * 24) / BV$9),
      0
    )
    - COUNTIF(BV67, ""&lt;&gt;-""),
  0), BV$6),
  BV$6 - COUNTIF(BV67, ""&lt;&gt;-"")
)"),2.0)</f>
        <v>2</v>
      </c>
      <c r="BX67" s="185" t="s">
        <v>1070</v>
      </c>
      <c r="BY67" s="178" t="b">
        <v>0</v>
      </c>
      <c r="BZ67" s="180" t="b">
        <v>0</v>
      </c>
      <c r="CA67" s="180" t="b">
        <v>0</v>
      </c>
      <c r="CB67" s="180" t="b">
        <v>0</v>
      </c>
      <c r="CC67" s="180" t="b">
        <v>0</v>
      </c>
      <c r="CD67" s="180" t="b">
        <v>0</v>
      </c>
      <c r="CE67" s="180" t="b">
        <v>0</v>
      </c>
      <c r="CF67" s="180" t="b">
        <v>0</v>
      </c>
      <c r="CG67" s="180" t="b">
        <v>0</v>
      </c>
      <c r="CH67" s="180" t="b">
        <v>0</v>
      </c>
      <c r="CI67" s="180" t="b">
        <v>0</v>
      </c>
      <c r="CJ67" s="180" t="b">
        <v>0</v>
      </c>
      <c r="CK67" s="180" t="b">
        <v>0</v>
      </c>
      <c r="CL67" s="180" t="b">
        <v>0</v>
      </c>
      <c r="CM67" s="181" t="s">
        <v>1070</v>
      </c>
      <c r="CN67" s="181" t="s">
        <v>1070</v>
      </c>
      <c r="CO67" s="181" t="s">
        <v>1070</v>
      </c>
      <c r="CP67" s="181" t="s">
        <v>1070</v>
      </c>
      <c r="CQ67" s="185" t="s">
        <v>1070</v>
      </c>
      <c r="CR67" s="180" t="b">
        <v>0</v>
      </c>
      <c r="CS67" s="186" t="str">
        <f t="shared" si="14"/>
        <v>◇◇◇</v>
      </c>
      <c r="CT67" s="178" t="b">
        <v>0</v>
      </c>
      <c r="CU67" s="180" t="b">
        <v>0</v>
      </c>
      <c r="CV67" s="180" t="b">
        <v>0</v>
      </c>
      <c r="CW67" s="180" t="b">
        <v>0</v>
      </c>
      <c r="CX67" s="180" t="b">
        <v>0</v>
      </c>
      <c r="CY67" s="180" t="b">
        <v>0</v>
      </c>
      <c r="CZ67" s="180" t="b">
        <v>0</v>
      </c>
      <c r="DA67" s="180" t="b">
        <v>0</v>
      </c>
      <c r="DB67" s="180" t="b">
        <v>0</v>
      </c>
      <c r="DC67" s="180" t="b">
        <v>0</v>
      </c>
      <c r="DD67" s="181" t="s">
        <v>1070</v>
      </c>
      <c r="DE67" s="181" t="s">
        <v>1070</v>
      </c>
      <c r="DF67" s="181" t="s">
        <v>1070</v>
      </c>
      <c r="DG67" s="185" t="s">
        <v>1070</v>
      </c>
      <c r="DH67" s="180" t="b">
        <v>0</v>
      </c>
      <c r="DI67" s="187" t="str">
        <f>IFERROR(__xludf.DUMMYFUNCTION("SWITCH(
  IF(
    ISTEXT(DI66),
    IF (
      FIND(""○"", DI66&amp;""○"") &gt; 3,
      3,
      FIND(""○"", DI66&amp;""○"")
      + MAX(
        ROUNDDOWN(($D67 - MAX(IFERROR(FILTER(D$24:D66, DI$24:DI66 &lt;&gt; ""●●●"", DI$23:DI65 = ""●●●""), 0))) * (60 * 60 * 24) / 20"&amp;") - ROUNDDOWN(($D66 - MAX(IFERROR(FILTER(D$23:D65, DI$23:DI65 &lt;&gt; ""●●●"", DI$22:DI64 = ""●●●""), 0))) * (60 * 60 * 24) / 20),
        0
      ) - 1
    ) - COUNTIFS(CU67, ""=TRUE"", CU66, ""&lt;&gt;TRUE"") - COUNTIF(CZ67, ""=TRUE"") - COUNTIF({DD67,DE67}, ""&lt;&gt;-"&amp;""") + COUNTIF(DH67, ""=TRUE""),
    3
  ),
  0, ""○○○"", 1, ""●○○"", 2, ""●●○"", 3, ""●●●"", 4, ""●●●"", ""○○○""
)"),"●●●")</f>
        <v>●●●</v>
      </c>
      <c r="DJ67" s="188" t="b">
        <v>0</v>
      </c>
      <c r="DK67" s="189" t="b">
        <v>0</v>
      </c>
      <c r="DL67" s="190" t="b">
        <v>0</v>
      </c>
      <c r="DM67" s="190" t="b">
        <v>0</v>
      </c>
      <c r="DN67" s="190" t="b">
        <v>0</v>
      </c>
      <c r="DO67" s="190" t="b">
        <v>0</v>
      </c>
      <c r="DP67" s="190" t="b">
        <v>0</v>
      </c>
      <c r="DQ67" s="191" t="b">
        <v>0</v>
      </c>
      <c r="DR67" s="192" t="b">
        <v>0</v>
      </c>
      <c r="DS67" s="191" t="b">
        <v>0</v>
      </c>
      <c r="DT67" s="192" t="b">
        <v>0</v>
      </c>
      <c r="DU67" s="191" t="b">
        <v>0</v>
      </c>
      <c r="DV67" s="193" t="s">
        <v>1070</v>
      </c>
      <c r="DW67" s="194" t="b">
        <v>0</v>
      </c>
      <c r="DX67" s="194" t="b">
        <v>0</v>
      </c>
      <c r="DY67" s="195" t="b">
        <v>0</v>
      </c>
      <c r="DZ67" s="196" t="b">
        <v>0</v>
      </c>
      <c r="EA67" s="195" t="b">
        <v>0</v>
      </c>
      <c r="EB67" s="197" t="b">
        <v>0</v>
      </c>
      <c r="EC67" s="197" t="b">
        <v>0</v>
      </c>
      <c r="ED67" s="212" t="b">
        <v>0</v>
      </c>
      <c r="EE67" s="199">
        <f>IFERROR(__xludf.DUMMYFUNCTION("IFERROR(
   PRODUCT(
     MAP(
       INDEX(TRANSPOSE(UNIQUE(TRANSPOSE(FILTER({IF($F67=""Physical"", K$10:ED$10, IF($F67=""Magic"", K$11:ED$11, K$12:ED$12));K$4:ED$4;K67:ED67}, K67:ED67=TRUE)))), 1, 0),
       INDEX(TRANSPOSE(UNIQUE(TRANSPOSE(FILTER({IF($"&amp;"F67=""Physical"", K$18:ED$18, IF($F67=""Magic"", K$19:ED$19, K$20:ED$20));K$4:ED$4;K67:ED67}, K67:ED67=TRUE)))), 1, 0),
       INDEX(TRANSPOSE(UNIQUE(TRANSPOSE(FILTER({K$5:ED$5;K$4:ED$4;K67:ED67}, K67:ED67=TRUE)))), 1, 0),
       INDEX(TRANSPOSE(UNIQUE(TR"&amp;"ANSPOSE(FILTER({K$17:ED$17;K$4:ED$4;K67:ED67}, K67:ED67=TRUE)))), 1, 0),
       LAMBDA(
         mitigation,
         enhance,
         assign,
         precondition,
         IF(
           REGEXMATCH(assign, ""RANGE_PARTY|SINGLE_ENEMY|RANGE_ENEMY""),
  "&amp;"         IF(
             OR(ARRAYFORMULA((IF(precondition="""", FALSE, REGEXMATCH(K$4:ED$4, precondition))) * (K67:ED67=TRUE))),
             IF(ISNUMBER(enhance), enhance, 1),
             IF(ISNUMBER(mitigation), mitigation, 1)
           ),
          "&amp;" 1
         )
       )
     )
   ),
   1
 )"),1.0)</f>
        <v>1</v>
      </c>
      <c r="EF67" s="200">
        <f>IFERROR(__xludf.DUMMYFUNCTION("PRODUCT(
   MAP(
     K$14:ED$14,
     K$13:ED$13,
     K67:ED67,
     LAMBDA(
       buff,
       target,
       check,
       IF(
         AND(check=TRUE, REGEXMATCH(target, ""RANGE_AFFECTED_ALL|RANGE_EFFECTED_ALL""), ISNUMBER(buff)),
         buff,
   "&amp;"      1
       )
     )
   )
 )"),1.0)</f>
        <v>1</v>
      </c>
      <c r="EG67" s="200">
        <f>IFERROR(__xludf.DUMMYFUNCTION("PRODUCT(
   MAP(
     K$14:ED$14,
     K$13:ED$13,
     K67:ED67,
     LAMBDA(
       buff,
       target,
       check,
       IF(
         AND(check=TRUE, REGEXMATCH(target, ""RANGE_AFFECTED_GCD|RANGE_EFFECTED_GCD""), ISNUMBER(buff)),
         buff,
   "&amp;"      1
       )
     )
   )
 )"),1.0)</f>
        <v>1</v>
      </c>
      <c r="EH67" s="200">
        <f>IFERROR(__xludf.DUMMYFUNCTION("PRODUCT(
   MAP(
     K$3:ED$3,
     K$14:ED$14,
     K$13:ED$13,
     K67:ED67,
     LAMBDA(
       job,
       buff,
       target,
       check,
       IF(
         AND(check=TRUE, REGEXMATCH(target, ""SELF_EFFECTED_ALL""), ISNUMBER(buff), job=""白魔道士"""&amp;"),
         buff,
         1
       )
     )
   )
 )"),1.0)</f>
        <v>1</v>
      </c>
      <c r="EI67" s="200">
        <f>IFERROR(__xludf.DUMMYFUNCTION("PRODUCT(
   MAP(
     K$3:ED$3,
     K$14:ED$14,
     K$13:ED$13,
     K67:ED67,
     LAMBDA(
       job,
       buff,
       target,
       check,
       IF(
         AND(check=TRUE, REGEXMATCH(target, ""SELF_EFFECTED_GCD""), ISNUMBER(buff), job=""白魔道士"""&amp;"),
         buff,
         1
       )
     )
   )
 )"),1.0)</f>
        <v>1</v>
      </c>
      <c r="EJ67" s="200">
        <f>IFERROR(__xludf.DUMMYFUNCTION("PRODUCT(
   MAP(
     K$3:ED$3,
     K$14:ED$14,
     K$13:ED$13,
     K67:ED67,
     LAMBDA(
       job,
       buff,
       target,
       check,
       IF(
         AND(check=TRUE, REGEXMATCH(target, ""SELF_EFFECTED_ALL""), ISNUMBER(buff), job=""占星術師"""&amp;"),
         buff,
         1
       )
     )
   )
 )"),1.0)</f>
        <v>1</v>
      </c>
      <c r="EK67" s="200">
        <f>IFERROR(__xludf.DUMMYFUNCTION("PRODUCT(
   MAP(
     K$3:ED$3,
     K$14:ED$14,
     K$13:ED$13,
     K67:ED67,
     LAMBDA(
       job,
       buff,
       target,
       check,
       IF(
         AND(check=TRUE, REGEXMATCH(target, ""SELF_EFFECTED_GCD""), ISNUMBER(buff), job=""占星術師"""&amp;"),
         buff,
         1
       )
     )
   )
 )"),1.0)</f>
        <v>1</v>
      </c>
      <c r="EL67" s="200">
        <f>IFERROR(__xludf.DUMMYFUNCTION("PRODUCT(
   MAP(
     K$3:ED$3,
     K$14:ED$14,
     K$13:ED$13,
     K67:ED67,
     LAMBDA(
       job,
       buff,
       target,
       check,
       IF(
         AND(check=TRUE, REGEXMATCH(target, ""SELF_EFFECTED_ALL""), ISNUMBER(buff), job=""学者""),"&amp;"
         buff,
         1
       )
     )
   )
 )"),1.0)</f>
        <v>1</v>
      </c>
      <c r="EM67" s="200">
        <f>IFERROR(__xludf.DUMMYFUNCTION("PRODUCT(
   MAP(
     K$3:ED$3,
     K$14:ED$14,
     K$13:ED$13,
     K67:ED67,
     LAMBDA(
       job,
       buff,
       target,
       check,
       IF(
         AND(check=TRUE, REGEXMATCH(target, ""SELF_EFFECTED_GCD""), ISNUMBER(buff), job=""学者""),"&amp;"
         buff,
         1
       )
     )
   )
 )"),1.0)</f>
        <v>1</v>
      </c>
      <c r="EN67" s="200">
        <f>IFERROR(__xludf.DUMMYFUNCTION("PRODUCT(
   MAP(
     K$3:ED$3,
     K$14:ED$14,
     K$13:ED$13,
     K67:ED67,
     LAMBDA(
       job,
       buff,
       target,
       check,
       IF(
         AND(check=TRUE, REGEXMATCH(target, ""SELF_EFFECTED_ALL""), ISNUMBER(buff), job=""賢者""),"&amp;"
         buff,
         1
       )
     )
   )
 )"),1.0)</f>
        <v>1</v>
      </c>
      <c r="EO67" s="200">
        <f>IFERROR(__xludf.DUMMYFUNCTION("PRODUCT(
   MAP(
     K$3:ED$3,
     K$14:ED$14,
     K$13:ED$13,
     K67:ED67,
     LAMBDA(
       job,
       buff,
       target,
       check,
       IF(
         AND(check=TRUE, REGEXMATCH(target, ""SELF_EFFECTED_GCD""), ISNUMBER(buff), job=""賢者""),"&amp;"
         buff,
         1
       )
     )
   )
 )"),1.0)</f>
        <v>1</v>
      </c>
      <c r="EP67" s="201">
        <f t="shared" si="3"/>
        <v>0</v>
      </c>
      <c r="EQ67" s="201">
        <f>IFERROR(__xludf.DUMMYFUNCTION("SUM(
   MAP(
     K$4:ED$4,
     K$3:ED$3,
     K$7:ED$7,
     K$15:ED$15,
     K$16:ED$16,
     K$21:ED$21,
     K$5:ED$5,
     K$17:ED$17,
     K67:ED67,
     LAMBDA(
       name,
       job,
       abillity,
       buff,
       barrier,
       enhance,"&amp;"
       assign,
       precondition,
       check,
       SWITCH(
         name,
         ""シェイクオフ"", IF(check=TRUE, buff + (0.02 * COUNTIF(ARRAYFORMULA((REGEXMATCH($K$4:$ED$4, ""スリル・オブ・バトル|ヴェンジェンス|原初の血気|ダムネーション"")) * (K67:ED67=TRUE)), 1)), 0),
         "&amp;"""インプロビゼーションフィニッシュ(踊りの激情0)"", IF(ISNUMBER(check), INDEX(Skill!$AJ:$AJ, MATCH(SUBSTITUTE(DV$4, 0, check), Skill!$C:$C, 0)), 0),
         IF(
           AND(check=TRUE, REGEXMATCH(assign, ""RANGE_PARTY"")),
           IF(
             OR(ARRAYFORMULA((IF(pr"&amp;"econdition="""", FALSE, REGEXMATCH($K$4:$ED$4, precondition))) * (K67:ED67=TRUE))),
             enhance,
             IF(barrier="""", buff, barrier)
           ),
           0
         )
       ) *
       SWITCH(
         job,
         ""ナイト"", EY$24,
 "&amp;"        ""戦士"", FD$24,
         ""踊り子"", ET$24,
         ""ピクトマンサー"", ET$24,
         ""白魔道士"", EF67 * EH67 * IF(abillity, 1, EG67 * EI67) * (Option!$D$22 * 0.81 / 100),
         ""占星術師"", EF67 * EJ67 * IF(abillity, 1, EG67 * EK67) * (Option!$D$23 * 0.81 "&amp;"/ 100),
         ""学者"", EF67 * EL67 * IF(abillity, 1, EG67 * EM67) * (Option!$D$24 * 0.81 / 100),
         ""賢者"", EF67 * EN67 * IF(abillity, 1, EG67 * EO67) * (Option!$D$25 * 0.81 / 100),
         1
       )
     )
   )
 )"),0.0)</f>
        <v>0</v>
      </c>
      <c r="ER67" s="202">
        <f t="shared" si="4"/>
        <v>0</v>
      </c>
      <c r="ES67" s="203">
        <f t="shared" si="5"/>
        <v>0</v>
      </c>
      <c r="ET67" s="231" t="str">
        <f>IFERROR(__xludf.DUMMYFUNCTION("IFS(
  EP67 &gt; $ET$24 + EQ67,
  SPARKLINE({ 1, 0 }, {""charttype"",""bar"";""max"", 1;""color1"",Option!$D$30;""color2"",Option!$D$30}),
  EP67 &lt; EQ67,
  SPARKLINE({EQ67 - EP67, $ET$24 - (EQ67 - EP67)}, {""charttype"",""bar"";""max"",$ET$24;""color1"",Opti"&amp;"on!$D$28;""color2"",Option!$D$29}),
  EP67 &gt;= EQ67,
  SPARKLINE({$ET$24 + EQ67 - EP67,EP67 - EQ67}, {""charttype"",""bar"";""max"",$ET$24;""color1"",Option!$D$29;""color2"",Option!$D$30})
)"),"")</f>
        <v/>
      </c>
      <c r="EU67" s="205">
        <f>IFERROR(__xludf.DUMMYFUNCTION("PRODUCT(
   MAP(
     IF($F67=""Physical"", K$10:ED$10, IF($F67=""Magic"", K$11:ED$11, K$12:ED$12)),
     IF($F67=""Physical"", K$18:ED$18, IF($F67=""Magic"", K$19:ED$19, K$20:ED$20)),
     K$3:ED$3,
     K$5:ED$5,
     K$17:ED$17,
     K67:ED67,
     LAM"&amp;"BDA(
       mitigation,
       enhance,
       job,
       assign,
       precondition,
       check,
       IF(
         OR(AND(check=TRUE, REGEXMATCH(assign, ""SELF""), job=""ナイト""), AND(check=Option!$E$13, REGEXMATCH(assign, ""SINGLE_PARTY""))),
      "&amp;"   IF(
           OR(ARRAYFORMULA((IF(precondition="""", FALSE, REGEXMATCH($K$4:$ED$4, precondition))) * (K67:ED67=TRUE))),
           enhance,
           mitigation
         ),
         1
       )
     )
   )
 ) * EE67"),1.0)</f>
        <v>1</v>
      </c>
      <c r="EV67" s="206">
        <f t="shared" si="6"/>
        <v>0</v>
      </c>
      <c r="EW67" s="205">
        <f>IFERROR(__xludf.DUMMYFUNCTION("PRODUCT(
   MAP(
     K$3:ED$3,
     K$14:ED$14,
     K$13:ED$13,
     K67:ED67,
     LAMBDA(
       job,
       buff,
       target,
       check,
       IF(
         OR(AND(check=TRUE, REGEXMATCH(target, ""SELF_AFFECTED_ALL""), job=""ナイト""), AND(check=O"&amp;"ption!$E$13, REGEXMATCH(target, ""SINGLE_AFFECTED_ALL""))),
         buff,
         1
       )
     )
   )
 )"),1.0)</f>
        <v>1</v>
      </c>
      <c r="EX67" s="206">
        <f>IFERROR(__xludf.DUMMYFUNCTION("SUM(
   MAP(
     K$3:ED$3,
     K$7:ED$7,
     K$15:ED$15,
     K$16:ED$16,
     K$21:ED$21,
     K$5:ED$5,
     K$17:ED$17,
     K67:ED67,
     LAMBDA(
       job,
       abillity,
       buff,
       barrier,
       enhance,
       assign,
       preco"&amp;"ndition,
       check,
       IF(
         OR(AND(check=TRUE, REGEXMATCH(assign, ""SELF""), job=""ナイト""), AND(check=Option!$E$13, REGEXMATCH(assign, ""SINGLE_PARTY""))),
         IF(
           OR(ARRAYFORMULA((IF(precondition="""", FALSE, REGEXMATCH($K$4"&amp;":$ED$4, precondition))) * (K67:ED67=TRUE))),
           enhance,
           IF(barrier="""", buff, barrier)
         ),
         0
       ) *
       SWITCH(
         job,
         ""暗黒騎士"", EY$24,
         ""白魔道士"", EF67 * EH67 * EW67 * IF(abillity, 1, EG"&amp;"67 * EI67) * (Option!$D$22 * 0.81 / 100),
         ""占星術師"", EF67 * EJ67 * EW67 * IF(abillity, 1, EG67 * EK67) * (Option!$D$23 * 0.81 / 100),
         ""学者"", EF67 * EL67 * EW67 * IF(abillity, 1, EG67 * EM67) * (Option!$D$24 * 0.81 / 100),
         ""賢者"""&amp;", EF67 * EN67 * EW67 * IF(abillity, 1, EG67 * EO67) * (Option!$D$25 * 0.81 / 100),
         1
       )
     )
   )
 ) + EQ67"),0.0)</f>
        <v>0</v>
      </c>
      <c r="EY67" s="232">
        <f t="shared" si="7"/>
        <v>0</v>
      </c>
      <c r="EZ67" s="205">
        <f>IFERROR(__xludf.DUMMYFUNCTION("PRODUCT(
   MAP(
     IF($F67=""Physical"", K$10:ED$10, IF($F67=""Magic"", K$11:ED$11, K$12:ED$12)),
     IF($F67=""Physical"", K$18:ED$18, IF($F67=""Magic"", K$19:ED$19, K$20:ED$20)),
     K$3:ED$3,
     K$5:ED$5,
     K$17:ED$17,
     K67:ED67,
     LAM"&amp;"BDA(
       mitigation,
       enhance,
       job,
       assign,
       precondition,
       check,
       IF(
         OR(AND(check=TRUE, REGEXMATCH(assign, ""SELF""), job=""戦士""), AND(check=Option!$F$13, REGEXMATCH(assign, ""SINGLE_PARTY""))),
       "&amp;"  IF(
           OR(ARRAYFORMULA((IF(precondition="""", FALSE, REGEXMATCH($K$4:$ED$4, precondition))) * (K67:ED67=TRUE))),
           enhance,
           mitigation
         ),
         1
       )
     )
   )
 ) * EE67"),1.0)</f>
        <v>1</v>
      </c>
      <c r="FA67" s="206">
        <f t="shared" si="8"/>
        <v>0</v>
      </c>
      <c r="FB67" s="205">
        <f>IFERROR(__xludf.DUMMYFUNCTION("PRODUCT(
   MAP(
     K$3:ED$3,
     K$14:ED$14,
     K$13:ED$13,
     K67:ED67,
     LAMBDA(
       job,
       buff,
       target,
       check,
       IF(
         OR(AND(check=TRUE, REGEXMATCH(target, ""SELF_AFFECTED_ALL""), job=""戦士""), AND(check=Op"&amp;"tion!$F$13, REGEXMATCH(target, ""SINGLE_AFFECTED_ALL""))),
         buff,
         1
       )
     )
   )
 )"),1.0)</f>
        <v>1</v>
      </c>
      <c r="FC67" s="206">
        <f>IFERROR(__xludf.DUMMYFUNCTION("SUM(
   MAP(
     K$3:ED$3,
     K$7:ED$7,
     K$15:ED$15,
     K$16:ED$16,
     K$21:ED$21,
     K$5:ED$5,
     K$17:ED$17,
     K67:ED67,
     LAMBDA(
       job,
       abillity,
       buff,
       barrier,
       enhance,
       assign,
       preco"&amp;"ndition,
       check,
       IF(
         OR(AND(check=TRUE, REGEXMATCH(assign, ""SELF""), job=""戦士""), AND(check=Option!$F$13, REGEXMATCH(assign, ""SINGLE_PARTY""))),
         IF(
           OR(ARRAYFORMULA((IF(precondition="""", FALSE, REGEXMATCH($K$4:"&amp;"$ED$4, precondition))) * (K67:ED67=TRUE))),
           enhance,
           IF(barrier="""", buff, barrier)
         ),
         0
       ) *
       SWITCH(
         job,
         ""暗黒騎士"", FD$24,
         ""白魔道士"", EF67 * EH67 * FB67 * IF(abillity, 1, EG6"&amp;"7 * EI67) * (Option!$D$22 * 0.81 / 100),
         ""占星術師"", EF67 * EJ67 * FFB67 * IF(abillity, 1, EG67 * EK67) * (Option!$D$23 * 0.81 / 100),
         ""学者"", EF67 * EL67 * FB67 * IF(abillity, 1, EG67 * EM67) * (Option!$D$24 * 0.81 / 100),
         ""賢者"""&amp;", EF67 * EN67 * FB67 * IF(abillity, 1, EG67 * EO67) * (Option!$D$25 * 0.81 / 100),
         1
       )
     )
   )
 ) + EQ67"),0.0)</f>
        <v>0</v>
      </c>
      <c r="FD67" s="206">
        <f t="shared" si="9"/>
        <v>0</v>
      </c>
      <c r="FE67" s="205">
        <f>IFERROR(__xludf.DUMMYFUNCTION("PRODUCT(
   MAP(
     IF($F67=""Physical"", K$10:ED$10, IF($F67=""Magic"", K$11:ED$11, K$12:ED$12)),
     IF($F67=""Physical"", K$18:ED$18, IF($F67=""Magic"", K$19:ED$19, K$20:ED$20)),
     K$3:ED$3,
     K$5:ED$5,
     K$17:ED$17,
     K67:ED67,
     LAM"&amp;"BDA(
       mitigation,
       enhance,
       job,
       assign,
       precondition,
       check,
       IF(
         OR(AND(check=TRUE, REGEXMATCH(assign, ""SELF""), job=""暗黒騎士""), AND(check=Option!$G$13, REGEXMATCH(assign, ""SINGLE_PARTY""))),
     "&amp;"    IF(
           OR(ARRAYFORMULA((IF(precondition="""", FALSE, REGEXMATCH($K$4:$ED$4, precondition))) * (K67:ED67=TRUE))),
           enhance,
           mitigation
         ),
         1
       )
     )
   )
 ) * EE67"),1.0)</f>
        <v>1</v>
      </c>
      <c r="FF67" s="206">
        <f t="shared" si="10"/>
        <v>0</v>
      </c>
      <c r="FG67" s="205">
        <f>IFERROR(__xludf.DUMMYFUNCTION("PRODUCT(
   MAP(
     K$3:ED$3,
     K$14:ED$14,
     K$13:ED$13,
     K67:ED67,
     LAMBDA(
       job,
       buff,
       target,
       check,
       IF(
         OR(AND(check=TRUE, REGEXMATCH(target, ""SELF_AFFECTED_ALL""), job=""暗黒騎士""), AND(check="&amp;"Option!$G$13, REGEXMATCH(target, ""SINGLE_AFFECTED_ALL""))),
         buff,
         1
       )
     )
   )
 )"),1.0)</f>
        <v>1</v>
      </c>
      <c r="FH67" s="206">
        <f>IFERROR(__xludf.DUMMYFUNCTION("SUM(
   MAP(
     K$3:ED$3,
     K$7:ED$7,
     K$15:ED$15,
     K$16:ED$16,
     K$21:ED$21,
     K$5:ED$5,
     K$17:ED$17,
     K67:ED67,
     LAMBDA(
       job,
       abillity,
       buff,
       barrier,
       enhance,
       assign,
       preco"&amp;"ndition,
       check,
       IF(
         OR(AND(check=TRUE, REGEXMATCH(assign, ""SELF""), job=""暗黒騎士""), AND(check=Option!$G$13, REGEXMATCH(assign, ""SINGLE_PARTY""))),
         IF(
           OR(ARRAYFORMULA((IF(precondition="""", FALSE, REGEXMATCH($K$"&amp;"4:$ED$4, precondition))) * (K67:ED67=TRUE))),
           enhance,
           IF(barrier="""", buff, barrier)
         ),
         0
       ) *
       SWITCH(
         job,
         ""暗黒騎士"", FI$24,
         ""白魔道士"", EF67 * EH67 * FG67 * IF(abillity, 1, E"&amp;"G67 * EI67) * (Option!$D$22 * 0.81 / 100),
         ""占星術師"", EF67 * EJ67 * FG67 * IF(abillity, 1, EG67 * EK67) * (Option!$D$23 * 0.81 / 100),
         ""学者"", EF67 * EL67 * FG67 * IF(abillity, 1, EG67 * EM67) * (Option!$D$24 * 0.81 / 100),
         ""賢者"&amp;""", EF67 * EN67 * FG67 * IF(abillity, 1, EG67 * EO67) * (Option!$D$25 * 0.81 / 100),
         1
       )
     )
   )
 ) + EQ67"),0.0)</f>
        <v>0</v>
      </c>
      <c r="FI67" s="206">
        <f t="shared" si="11"/>
        <v>0</v>
      </c>
      <c r="FJ67" s="205">
        <f>IFERROR(__xludf.DUMMYFUNCTION("PRODUCT(
   MAP(
     IF($F67=""Physical"", K$10:ED$10, IF($F67=""Magic"", K$11:ED$11, K$12:ED$12)),
     IF($F67=""Physical"", K$18:ED$18, IF($F67=""Magic"", K$19:ED$19, K$20:ED$20)),
     K$3:ED$3,
     K$5:ED$5,
     K$17:ED$17,
     K67:ED67,
     LAM"&amp;"BDA(
       mitigation,
       enhance,
       job,
       assign,
       precondition,
       check,
       IF(
         OR(AND(check=TRUE, REGEXMATCH(assign, ""SELF""), job=""ガンブレイカー""), AND(check=Option!$H$13, REGEXMATCH(assign, ""SINGLE_PARTY""))),
  "&amp;"       IF(
           OR(ARRAYFORMULA((IF(precondition="""", FALSE, REGEXMATCH($K$4:$ED$4, precondition))) * (K67:ED67=TRUE))),
           enhance,
           mitigation
         ),
         1
       )
     )
   )
 ) * EE67"),1.0)</f>
        <v>1</v>
      </c>
      <c r="FK67" s="206">
        <f t="shared" si="12"/>
        <v>0</v>
      </c>
      <c r="FL67" s="205">
        <f>IFERROR(__xludf.DUMMYFUNCTION("PRODUCT(
   MAP(
     K$3:ED$3,
     K$14:ED$14,
     K$13:ED$13,
     K67:ED67,
     LAMBDA(
       job,
       buff,
       target,
       check,
       IF(
         OR(AND(check=TRUE, REGEXMATCH(target, ""SELF_AFFECTED_ALL""), job=""ガンブレイカー""), AND(che"&amp;"ck=Option!$H$13, REGEXMATCH(target, ""SINGLE_AFFECTED_ALL""))),
         buff,
         1
       )
     )
   )
 )"),1.0)</f>
        <v>1</v>
      </c>
      <c r="FM67" s="206">
        <f>IFERROR(__xludf.DUMMYFUNCTION("SUM(
   MAP(
     K$3:ED$3,
     K$7:ED$7,
     K$15:ED$15,
     K$16:ED$16,
     K$21:ED$21,
     K$5:ED$5,
     K$17:ED$17,
     K67:ED67,
     LAMBDA(
       job,
       abillity,
       buff,
       barrier,
       enhance,
       assign,
       preco"&amp;"ndition,
       check,
       IF(
         OR(AND(check=TRUE, REGEXMATCH(assign, ""SELF""), job=""ガンブレイカー""), AND(check=Option!$H$13, REGEXMATCH(assign, ""SINGLE_PARTY""))),
         IF(
           OR(ARRAYFORMULA((IF(precondition="""", FALSE, REGEXMATCH("&amp;"$K$4:$ED$4, precondition))) * (K67:ED67=TRUE))),
           enhance,
           IF(barrier="""", buff, barrier)
         ),
         0
       ) *
       SWITCH(
         job,
         ""暗黒騎士"", FN$24,
         ""白魔道士"", EF67 * EH67 * FL67 * IF(abillity, 1"&amp;", EG67 * EI67) * (Option!$D$22 * 0.81 / 100),
         ""占星術師"", EF67 * EJ67 * FL67 * IF(abillity, 1, EG67 * EK67) * (Option!$D$23 * 0.81 / 100),
         ""学者"", EF67 * EL67 * FL67 * IF(abillity, 1, EG67 * EM67) * (Option!$D$24 * 0.81 / 100),
         """&amp;"賢者"", EF67 * EN67 * FL67 * IF(abillity, 1, EG67 * EO67) * (Option!$D$25 * 0.81 / 100),
         1
       )
     )
   )
 ) + EQ67"),0.0)</f>
        <v>0</v>
      </c>
      <c r="FN67" s="206">
        <f t="shared" si="13"/>
        <v>0</v>
      </c>
      <c r="FO67" s="213"/>
    </row>
    <row r="68">
      <c r="B68" s="229"/>
      <c r="C68" s="217">
        <f t="shared" si="1"/>
        <v>0.00380787037</v>
      </c>
      <c r="D68" s="236"/>
      <c r="E68" s="238"/>
      <c r="F68" s="167"/>
      <c r="G68" s="168" t="str">
        <f t="shared" si="2"/>
        <v/>
      </c>
      <c r="H68" s="169"/>
      <c r="I68" s="169"/>
      <c r="J68" s="169"/>
      <c r="K68" s="170" t="b">
        <v>0</v>
      </c>
      <c r="L68" s="170" t="b">
        <v>0</v>
      </c>
      <c r="M68" s="170" t="b">
        <v>0</v>
      </c>
      <c r="N68" s="171" t="s">
        <v>1070</v>
      </c>
      <c r="O68" s="172" t="b">
        <v>0</v>
      </c>
      <c r="P68" s="173" t="b">
        <v>0</v>
      </c>
      <c r="Q68" s="173" t="b">
        <v>0</v>
      </c>
      <c r="R68" s="173" t="b">
        <v>0</v>
      </c>
      <c r="S68" s="174" t="b">
        <v>0</v>
      </c>
      <c r="T68" s="175" t="b">
        <v>0</v>
      </c>
      <c r="U68" s="173" t="b">
        <v>0</v>
      </c>
      <c r="V68" s="171" t="s">
        <v>1070</v>
      </c>
      <c r="W68" s="172" t="b">
        <v>0</v>
      </c>
      <c r="X68" s="173" t="b">
        <v>0</v>
      </c>
      <c r="Y68" s="173" t="b">
        <v>0</v>
      </c>
      <c r="Z68" s="173" t="b">
        <v>0</v>
      </c>
      <c r="AA68" s="174" t="b">
        <v>0</v>
      </c>
      <c r="AB68" s="174" t="b">
        <v>0</v>
      </c>
      <c r="AC68" s="175" t="b">
        <v>0</v>
      </c>
      <c r="AD68" s="173" t="b">
        <v>0</v>
      </c>
      <c r="AE68" s="176" t="s">
        <v>1070</v>
      </c>
      <c r="AF68" s="171" t="s">
        <v>1070</v>
      </c>
      <c r="AG68" s="177">
        <f>IFERROR(__xludf.DUMMYFUNCTION("IF(
  ISNUMBER(AG67),
  MIN(MAX(
    AG67
    + MAX(
      ROUNDDOWN(($D68 - MAX(IFERROR(FILTER($D$24:$D67, AG$24:AG67 &lt;&gt; AF$6, AG$23:AG66 = AF$6), 0))) * (60 * 60 * 24) / AF$9) - ROUNDDOWN(($D67 - MAX(IFERROR(FILTER($D$23:$D66, AG$23:AG66 &lt;&gt; AF$6, AG$22:"&amp;"AG65 = AF$6), 0))) * (60 * 60 * 24) / 60),
      0
    )
    - COUNTIF(AF68, ""&lt;&gt;-""),
  0), AF$6),
  AF$6 - COUNTIF(AF68, ""&lt;&gt;-"")
)"),2.0)</f>
        <v>2</v>
      </c>
      <c r="AH68" s="173" t="b">
        <v>0</v>
      </c>
      <c r="AI68" s="173" t="b">
        <v>0</v>
      </c>
      <c r="AJ68" s="173" t="b">
        <v>0</v>
      </c>
      <c r="AK68" s="174" t="b">
        <v>0</v>
      </c>
      <c r="AL68" s="175" t="b">
        <v>0</v>
      </c>
      <c r="AM68" s="173" t="b">
        <v>0</v>
      </c>
      <c r="AN68" s="171" t="s">
        <v>1070</v>
      </c>
      <c r="AO68" s="173" t="b">
        <v>0</v>
      </c>
      <c r="AP68" s="173" t="b">
        <v>0</v>
      </c>
      <c r="AQ68" s="173" t="b">
        <v>0</v>
      </c>
      <c r="AR68" s="174" t="b">
        <v>0</v>
      </c>
      <c r="AS68" s="178" t="b">
        <v>0</v>
      </c>
      <c r="AT68" s="179" t="b">
        <v>0</v>
      </c>
      <c r="AU68" s="180" t="b">
        <v>0</v>
      </c>
      <c r="AV68" s="180" t="b">
        <v>0</v>
      </c>
      <c r="AW68" s="180" t="b">
        <v>0</v>
      </c>
      <c r="AX68" s="180" t="b">
        <v>0</v>
      </c>
      <c r="AY68" s="181" t="s">
        <v>1070</v>
      </c>
      <c r="AZ68" s="181" t="s">
        <v>1070</v>
      </c>
      <c r="BA68" s="184">
        <f>IFERROR(__xludf.DUMMYFUNCTION("IF(
  ISNUMBER(BA67),
  MIN(MAX(
    BA67
    + MAX(
      ROUNDDOWN((D68 - MAX(IFERROR(FILTER(D$24:D67, BA$24:BA67 &lt;&gt; AZ$6, BA$23:BA66 = AZ$6), 0))) * (60 * 60 * 24) / AZ$9) - ROUNDDOWN((D67 - MAX(IFERROR(FILTER(D$23:D66, BA$23:BA66 &lt;&gt; AZ$6, BA$22:BA65 ="&amp;" AZ$6), 0))) * (60 * 60 * 24) / AZ$9),
      0
    )
    - COUNTIF(AZ68, ""&lt;&gt;-""),
  0), AZ$6),
  AZ$6 - COUNTIF(AZ68, ""&lt;&gt;-"")
)"),2.0)</f>
        <v>2</v>
      </c>
      <c r="BB68" s="181" t="s">
        <v>1070</v>
      </c>
      <c r="BC68" s="183">
        <f>IFERROR(__xludf.DUMMYFUNCTION("IF(
  ISNUMBER(BC67),
  MIN(MAX(
    BC67
    + MAX(
      ROUNDDOWN(($D68 - MAX(IFERROR(FILTER($D$24:$D67, BC$24:BC67 &lt;&gt; BB$6, BC$23:BC66 = BB$6), 0))) * (60 * 60 * 24) / BB$9) - ROUNDDOWN(($D67 - MAX(IFERROR(FILTER($D$23:$D66, BC$23:BC66 &lt;&gt; BB$6, BC$22:"&amp;"BC65 = BB$6), 0))) * (60 * 60 * 24) / 60),
      0
    )
    - COUNTIF(BB68, ""&lt;&gt;-""),
  0), BB$6),
  BB$6 - COUNTIF(BB68, ""&lt;&gt;-"")
)"),2.0)</f>
        <v>2</v>
      </c>
      <c r="BD68" s="181" t="s">
        <v>1070</v>
      </c>
      <c r="BE68" s="178" t="b">
        <v>0</v>
      </c>
      <c r="BF68" s="180" t="b">
        <v>0</v>
      </c>
      <c r="BG68" s="180" t="b">
        <v>0</v>
      </c>
      <c r="BH68" s="180" t="b">
        <v>0</v>
      </c>
      <c r="BI68" s="180" t="b">
        <v>0</v>
      </c>
      <c r="BJ68" s="180" t="b">
        <v>0</v>
      </c>
      <c r="BK68" s="180" t="b">
        <v>0</v>
      </c>
      <c r="BL68" s="180" t="b">
        <v>0</v>
      </c>
      <c r="BM68" s="180" t="b">
        <v>0</v>
      </c>
      <c r="BN68" s="180" t="b">
        <v>0</v>
      </c>
      <c r="BO68" s="181" t="s">
        <v>1070</v>
      </c>
      <c r="BP68" s="181" t="s">
        <v>1070</v>
      </c>
      <c r="BQ68" s="181" t="s">
        <v>1070</v>
      </c>
      <c r="BR68" s="181" t="s">
        <v>1070</v>
      </c>
      <c r="BS68" s="181" t="s">
        <v>1070</v>
      </c>
      <c r="BT68" s="184">
        <f>IFERROR(__xludf.DUMMYFUNCTION("IF(
  ISNUMBER(BT67),
  MIN(MAX(
    BT67
    + MAX(
      ROUNDDOWN((D68 - MAX(IFERROR(FILTER(D$24:D67, BT$24:BT67 &lt;&gt; BS$6, BT$23:BT66 = BS$6), 0))) * (60 * 60 * 24) / BS$9) - ROUNDDOWN((D67 - MAX(IFERROR(FILTER(D$23:D66, BT$23:BT66 &lt;&gt; BS$6, BT$22:BT65 ="&amp;" BS$6), 0))) * (60 * 60 * 24) / BS$9),
      0
    )
    - COUNTIF(BS68, ""&lt;&gt;-""),
  0), BS$6),
  BS$6 - COUNTIF(BS68, ""&lt;&gt;-"")
)"),3.0)</f>
        <v>3</v>
      </c>
      <c r="BU68" s="181" t="s">
        <v>1070</v>
      </c>
      <c r="BV68" s="181" t="s">
        <v>1070</v>
      </c>
      <c r="BW68" s="184">
        <f>IFERROR(__xludf.DUMMYFUNCTION("IF(
  ISNUMBER(BW67),
  MIN(MAX(
    BW67
    + MAX(
      ROUNDDOWN((D68 - MAX(IFERROR(FILTER(D$24:D67, BW$24:BW67 &lt;&gt; BV$6, BW$23:BW66 = BV$6), 0))) * (60 * 60 * 24) / BV$9) - ROUNDDOWN((D67 - MAX(IFERROR(FILTER(D$23:D66, BW$23:BW66 &lt;&gt; BV$6, BW$22:BW65 ="&amp;" BV$6), 0))) * (60 * 60 * 24) / BV$9),
      0
    )
    - COUNTIF(BV68, ""&lt;&gt;-""),
  0), BV$6),
  BV$6 - COUNTIF(BV68, ""&lt;&gt;-"")
)"),2.0)</f>
        <v>2</v>
      </c>
      <c r="BX68" s="185" t="s">
        <v>1070</v>
      </c>
      <c r="BY68" s="178" t="b">
        <v>0</v>
      </c>
      <c r="BZ68" s="180" t="b">
        <v>0</v>
      </c>
      <c r="CA68" s="180" t="b">
        <v>0</v>
      </c>
      <c r="CB68" s="180" t="b">
        <v>0</v>
      </c>
      <c r="CC68" s="180" t="b">
        <v>0</v>
      </c>
      <c r="CD68" s="180" t="b">
        <v>0</v>
      </c>
      <c r="CE68" s="180" t="b">
        <v>0</v>
      </c>
      <c r="CF68" s="180" t="b">
        <v>0</v>
      </c>
      <c r="CG68" s="180" t="b">
        <v>0</v>
      </c>
      <c r="CH68" s="180" t="b">
        <v>0</v>
      </c>
      <c r="CI68" s="180" t="b">
        <v>0</v>
      </c>
      <c r="CJ68" s="180" t="b">
        <v>0</v>
      </c>
      <c r="CK68" s="180" t="b">
        <v>0</v>
      </c>
      <c r="CL68" s="180" t="b">
        <v>0</v>
      </c>
      <c r="CM68" s="181" t="s">
        <v>1070</v>
      </c>
      <c r="CN68" s="181" t="s">
        <v>1070</v>
      </c>
      <c r="CO68" s="181" t="s">
        <v>1070</v>
      </c>
      <c r="CP68" s="181" t="s">
        <v>1070</v>
      </c>
      <c r="CQ68" s="185" t="s">
        <v>1070</v>
      </c>
      <c r="CR68" s="180" t="b">
        <v>0</v>
      </c>
      <c r="CS68" s="186" t="str">
        <f t="shared" si="14"/>
        <v>◇◇◇</v>
      </c>
      <c r="CT68" s="178" t="b">
        <v>0</v>
      </c>
      <c r="CU68" s="180" t="b">
        <v>0</v>
      </c>
      <c r="CV68" s="180" t="b">
        <v>0</v>
      </c>
      <c r="CW68" s="180" t="b">
        <v>0</v>
      </c>
      <c r="CX68" s="180" t="b">
        <v>0</v>
      </c>
      <c r="CY68" s="180" t="b">
        <v>0</v>
      </c>
      <c r="CZ68" s="180" t="b">
        <v>0</v>
      </c>
      <c r="DA68" s="180" t="b">
        <v>0</v>
      </c>
      <c r="DB68" s="180" t="b">
        <v>0</v>
      </c>
      <c r="DC68" s="180" t="b">
        <v>0</v>
      </c>
      <c r="DD68" s="181" t="s">
        <v>1070</v>
      </c>
      <c r="DE68" s="181" t="s">
        <v>1070</v>
      </c>
      <c r="DF68" s="181" t="s">
        <v>1070</v>
      </c>
      <c r="DG68" s="185" t="s">
        <v>1070</v>
      </c>
      <c r="DH68" s="180" t="b">
        <v>0</v>
      </c>
      <c r="DI68" s="187" t="str">
        <f>IFERROR(__xludf.DUMMYFUNCTION("SWITCH(
  IF(
    ISTEXT(DI67),
    IF (
      FIND(""○"", DI67&amp;""○"") &gt; 3,
      3,
      FIND(""○"", DI67&amp;""○"")
      + MAX(
        ROUNDDOWN(($D68 - MAX(IFERROR(FILTER(D$24:D67, DI$24:DI67 &lt;&gt; ""●●●"", DI$23:DI66 = ""●●●""), 0))) * (60 * 60 * 24) / 20"&amp;") - ROUNDDOWN(($D67 - MAX(IFERROR(FILTER(D$23:D66, DI$23:DI66 &lt;&gt; ""●●●"", DI$22:DI65 = ""●●●""), 0))) * (60 * 60 * 24) / 20),
        0
      ) - 1
    ) - COUNTIFS(CU68, ""=TRUE"", CU67, ""&lt;&gt;TRUE"") - COUNTIF(CZ68, ""=TRUE"") - COUNTIF({DD68,DE68}, ""&lt;&gt;-"&amp;""") + COUNTIF(DH68, ""=TRUE""),
    3
  ),
  0, ""○○○"", 1, ""●○○"", 2, ""●●○"", 3, ""●●●"", 4, ""●●●"", ""○○○""
)"),"●●●")</f>
        <v>●●●</v>
      </c>
      <c r="DJ68" s="188" t="b">
        <v>0</v>
      </c>
      <c r="DK68" s="189" t="b">
        <v>0</v>
      </c>
      <c r="DL68" s="190" t="b">
        <v>0</v>
      </c>
      <c r="DM68" s="190" t="b">
        <v>0</v>
      </c>
      <c r="DN68" s="190" t="b">
        <v>0</v>
      </c>
      <c r="DO68" s="190" t="b">
        <v>0</v>
      </c>
      <c r="DP68" s="190" t="b">
        <v>0</v>
      </c>
      <c r="DQ68" s="191" t="b">
        <v>0</v>
      </c>
      <c r="DR68" s="192" t="b">
        <v>0</v>
      </c>
      <c r="DS68" s="191" t="b">
        <v>0</v>
      </c>
      <c r="DT68" s="192" t="b">
        <v>0</v>
      </c>
      <c r="DU68" s="191" t="b">
        <v>0</v>
      </c>
      <c r="DV68" s="193" t="s">
        <v>1070</v>
      </c>
      <c r="DW68" s="194" t="b">
        <v>0</v>
      </c>
      <c r="DX68" s="194" t="b">
        <v>0</v>
      </c>
      <c r="DY68" s="195" t="b">
        <v>0</v>
      </c>
      <c r="DZ68" s="196" t="b">
        <v>0</v>
      </c>
      <c r="EA68" s="195" t="b">
        <v>0</v>
      </c>
      <c r="EB68" s="197" t="b">
        <v>0</v>
      </c>
      <c r="EC68" s="197" t="b">
        <v>0</v>
      </c>
      <c r="ED68" s="212" t="b">
        <v>0</v>
      </c>
      <c r="EE68" s="199">
        <f>IFERROR(__xludf.DUMMYFUNCTION("IFERROR(
   PRODUCT(
     MAP(
       INDEX(TRANSPOSE(UNIQUE(TRANSPOSE(FILTER({IF($F68=""Physical"", K$10:ED$10, IF($F68=""Magic"", K$11:ED$11, K$12:ED$12));K$4:ED$4;K68:ED68}, K68:ED68=TRUE)))), 1, 0),
       INDEX(TRANSPOSE(UNIQUE(TRANSPOSE(FILTER({IF($"&amp;"F68=""Physical"", K$18:ED$18, IF($F68=""Magic"", K$19:ED$19, K$20:ED$20));K$4:ED$4;K68:ED68}, K68:ED68=TRUE)))), 1, 0),
       INDEX(TRANSPOSE(UNIQUE(TRANSPOSE(FILTER({K$5:ED$5;K$4:ED$4;K68:ED68}, K68:ED68=TRUE)))), 1, 0),
       INDEX(TRANSPOSE(UNIQUE(TR"&amp;"ANSPOSE(FILTER({K$17:ED$17;K$4:ED$4;K68:ED68}, K68:ED68=TRUE)))), 1, 0),
       LAMBDA(
         mitigation,
         enhance,
         assign,
         precondition,
         IF(
           REGEXMATCH(assign, ""RANGE_PARTY|SINGLE_ENEMY|RANGE_ENEMY""),
  "&amp;"         IF(
             OR(ARRAYFORMULA((IF(precondition="""", FALSE, REGEXMATCH(K$4:ED$4, precondition))) * (K68:ED68=TRUE))),
             IF(ISNUMBER(enhance), enhance, 1),
             IF(ISNUMBER(mitigation), mitigation, 1)
           ),
          "&amp;" 1
         )
       )
     )
   ),
   1
 )"),1.0)</f>
        <v>1</v>
      </c>
      <c r="EF68" s="200">
        <f>IFERROR(__xludf.DUMMYFUNCTION("PRODUCT(
   MAP(
     K$14:ED$14,
     K$13:ED$13,
     K68:ED68,
     LAMBDA(
       buff,
       target,
       check,
       IF(
         AND(check=TRUE, REGEXMATCH(target, ""RANGE_AFFECTED_ALL|RANGE_EFFECTED_ALL""), ISNUMBER(buff)),
         buff,
   "&amp;"      1
       )
     )
   )
 )"),1.0)</f>
        <v>1</v>
      </c>
      <c r="EG68" s="200">
        <f>IFERROR(__xludf.DUMMYFUNCTION("PRODUCT(
   MAP(
     K$14:ED$14,
     K$13:ED$13,
     K68:ED68,
     LAMBDA(
       buff,
       target,
       check,
       IF(
         AND(check=TRUE, REGEXMATCH(target, ""RANGE_AFFECTED_GCD|RANGE_EFFECTED_GCD""), ISNUMBER(buff)),
         buff,
   "&amp;"      1
       )
     )
   )
 )"),1.0)</f>
        <v>1</v>
      </c>
      <c r="EH68" s="200">
        <f>IFERROR(__xludf.DUMMYFUNCTION("PRODUCT(
   MAP(
     K$3:ED$3,
     K$14:ED$14,
     K$13:ED$13,
     K68:ED68,
     LAMBDA(
       job,
       buff,
       target,
       check,
       IF(
         AND(check=TRUE, REGEXMATCH(target, ""SELF_EFFECTED_ALL""), ISNUMBER(buff), job=""白魔道士"""&amp;"),
         buff,
         1
       )
     )
   )
 )"),1.0)</f>
        <v>1</v>
      </c>
      <c r="EI68" s="200">
        <f>IFERROR(__xludf.DUMMYFUNCTION("PRODUCT(
   MAP(
     K$3:ED$3,
     K$14:ED$14,
     K$13:ED$13,
     K68:ED68,
     LAMBDA(
       job,
       buff,
       target,
       check,
       IF(
         AND(check=TRUE, REGEXMATCH(target, ""SELF_EFFECTED_GCD""), ISNUMBER(buff), job=""白魔道士"""&amp;"),
         buff,
         1
       )
     )
   )
 )"),1.0)</f>
        <v>1</v>
      </c>
      <c r="EJ68" s="200">
        <f>IFERROR(__xludf.DUMMYFUNCTION("PRODUCT(
   MAP(
     K$3:ED$3,
     K$14:ED$14,
     K$13:ED$13,
     K68:ED68,
     LAMBDA(
       job,
       buff,
       target,
       check,
       IF(
         AND(check=TRUE, REGEXMATCH(target, ""SELF_EFFECTED_ALL""), ISNUMBER(buff), job=""占星術師"""&amp;"),
         buff,
         1
       )
     )
   )
 )"),1.0)</f>
        <v>1</v>
      </c>
      <c r="EK68" s="200">
        <f>IFERROR(__xludf.DUMMYFUNCTION("PRODUCT(
   MAP(
     K$3:ED$3,
     K$14:ED$14,
     K$13:ED$13,
     K68:ED68,
     LAMBDA(
       job,
       buff,
       target,
       check,
       IF(
         AND(check=TRUE, REGEXMATCH(target, ""SELF_EFFECTED_GCD""), ISNUMBER(buff), job=""占星術師"""&amp;"),
         buff,
         1
       )
     )
   )
 )"),1.0)</f>
        <v>1</v>
      </c>
      <c r="EL68" s="200">
        <f>IFERROR(__xludf.DUMMYFUNCTION("PRODUCT(
   MAP(
     K$3:ED$3,
     K$14:ED$14,
     K$13:ED$13,
     K68:ED68,
     LAMBDA(
       job,
       buff,
       target,
       check,
       IF(
         AND(check=TRUE, REGEXMATCH(target, ""SELF_EFFECTED_ALL""), ISNUMBER(buff), job=""学者""),"&amp;"
         buff,
         1
       )
     )
   )
 )"),1.0)</f>
        <v>1</v>
      </c>
      <c r="EM68" s="200">
        <f>IFERROR(__xludf.DUMMYFUNCTION("PRODUCT(
   MAP(
     K$3:ED$3,
     K$14:ED$14,
     K$13:ED$13,
     K68:ED68,
     LAMBDA(
       job,
       buff,
       target,
       check,
       IF(
         AND(check=TRUE, REGEXMATCH(target, ""SELF_EFFECTED_GCD""), ISNUMBER(buff), job=""学者""),"&amp;"
         buff,
         1
       )
     )
   )
 )"),1.0)</f>
        <v>1</v>
      </c>
      <c r="EN68" s="200">
        <f>IFERROR(__xludf.DUMMYFUNCTION("PRODUCT(
   MAP(
     K$3:ED$3,
     K$14:ED$14,
     K$13:ED$13,
     K68:ED68,
     LAMBDA(
       job,
       buff,
       target,
       check,
       IF(
         AND(check=TRUE, REGEXMATCH(target, ""SELF_EFFECTED_ALL""), ISNUMBER(buff), job=""賢者""),"&amp;"
         buff,
         1
       )
     )
   )
 )"),1.0)</f>
        <v>1</v>
      </c>
      <c r="EO68" s="200">
        <f>IFERROR(__xludf.DUMMYFUNCTION("PRODUCT(
   MAP(
     K$3:ED$3,
     K$14:ED$14,
     K$13:ED$13,
     K68:ED68,
     LAMBDA(
       job,
       buff,
       target,
       check,
       IF(
         AND(check=TRUE, REGEXMATCH(target, ""SELF_EFFECTED_GCD""), ISNUMBER(buff), job=""賢者""),"&amp;"
         buff,
         1
       )
     )
   )
 )"),1.0)</f>
        <v>1</v>
      </c>
      <c r="EP68" s="201">
        <f t="shared" si="3"/>
        <v>0</v>
      </c>
      <c r="EQ68" s="201">
        <f>IFERROR(__xludf.DUMMYFUNCTION("SUM(
   MAP(
     K$4:ED$4,
     K$3:ED$3,
     K$7:ED$7,
     K$15:ED$15,
     K$16:ED$16,
     K$21:ED$21,
     K$5:ED$5,
     K$17:ED$17,
     K68:ED68,
     LAMBDA(
       name,
       job,
       abillity,
       buff,
       barrier,
       enhance,"&amp;"
       assign,
       precondition,
       check,
       SWITCH(
         name,
         ""シェイクオフ"", IF(check=TRUE, buff + (0.02 * COUNTIF(ARRAYFORMULA((REGEXMATCH($K$4:$ED$4, ""スリル・オブ・バトル|ヴェンジェンス|原初の血気|ダムネーション"")) * (K68:ED68=TRUE)), 1)), 0),
         "&amp;"""インプロビゼーションフィニッシュ(踊りの激情0)"", IF(ISNUMBER(check), INDEX(Skill!$AJ:$AJ, MATCH(SUBSTITUTE(DV$4, 0, check), Skill!$C:$C, 0)), 0),
         IF(
           AND(check=TRUE, REGEXMATCH(assign, ""RANGE_PARTY"")),
           IF(
             OR(ARRAYFORMULA((IF(pr"&amp;"econdition="""", FALSE, REGEXMATCH($K$4:$ED$4, precondition))) * (K68:ED68=TRUE))),
             enhance,
             IF(barrier="""", buff, barrier)
           ),
           0
         )
       ) *
       SWITCH(
         job,
         ""ナイト"", EY$24,
 "&amp;"        ""戦士"", FD$24,
         ""踊り子"", ET$24,
         ""ピクトマンサー"", ET$24,
         ""白魔道士"", EF68 * EH68 * IF(abillity, 1, EG68 * EI68) * (Option!$D$22 * 0.81 / 100),
         ""占星術師"", EF68 * EJ68 * IF(abillity, 1, EG68 * EK68) * (Option!$D$23 * 0.81 "&amp;"/ 100),
         ""学者"", EF68 * EL68 * IF(abillity, 1, EG68 * EM68) * (Option!$D$24 * 0.81 / 100),
         ""賢者"", EF68 * EN68 * IF(abillity, 1, EG68 * EO68) * (Option!$D$25 * 0.81 / 100),
         1
       )
     )
   )
 )"),0.0)</f>
        <v>0</v>
      </c>
      <c r="ER68" s="202">
        <f t="shared" si="4"/>
        <v>0</v>
      </c>
      <c r="ES68" s="203">
        <f t="shared" si="5"/>
        <v>0</v>
      </c>
      <c r="ET68" s="231" t="str">
        <f>IFERROR(__xludf.DUMMYFUNCTION("IFS(
  EP68 &gt; $ET$24 + EQ68,
  SPARKLINE({ 1, 0 }, {""charttype"",""bar"";""max"", 1;""color1"",Option!$D$30;""color2"",Option!$D$30}),
  EP68 &lt; EQ68,
  SPARKLINE({EQ68 - EP68, $ET$24 - (EQ68 - EP68)}, {""charttype"",""bar"";""max"",$ET$24;""color1"",Opti"&amp;"on!$D$28;""color2"",Option!$D$29}),
  EP68 &gt;= EQ68,
  SPARKLINE({$ET$24 + EQ68 - EP68,EP68 - EQ68}, {""charttype"",""bar"";""max"",$ET$24;""color1"",Option!$D$29;""color2"",Option!$D$30})
)"),"")</f>
        <v/>
      </c>
      <c r="EU68" s="205">
        <f>IFERROR(__xludf.DUMMYFUNCTION("PRODUCT(
   MAP(
     IF($F68=""Physical"", K$10:ED$10, IF($F68=""Magic"", K$11:ED$11, K$12:ED$12)),
     IF($F68=""Physical"", K$18:ED$18, IF($F68=""Magic"", K$19:ED$19, K$20:ED$20)),
     K$3:ED$3,
     K$5:ED$5,
     K$17:ED$17,
     K68:ED68,
     LAM"&amp;"BDA(
       mitigation,
       enhance,
       job,
       assign,
       precondition,
       check,
       IF(
         OR(AND(check=TRUE, REGEXMATCH(assign, ""SELF""), job=""ナイト""), AND(check=Option!$E$13, REGEXMATCH(assign, ""SINGLE_PARTY""))),
      "&amp;"   IF(
           OR(ARRAYFORMULA((IF(precondition="""", FALSE, REGEXMATCH($K$4:$ED$4, precondition))) * (K68:ED68=TRUE))),
           enhance,
           mitigation
         ),
         1
       )
     )
   )
 ) * EE68"),1.0)</f>
        <v>1</v>
      </c>
      <c r="EV68" s="206">
        <f t="shared" si="6"/>
        <v>0</v>
      </c>
      <c r="EW68" s="205">
        <f>IFERROR(__xludf.DUMMYFUNCTION("PRODUCT(
   MAP(
     K$3:ED$3,
     K$14:ED$14,
     K$13:ED$13,
     K68:ED68,
     LAMBDA(
       job,
       buff,
       target,
       check,
       IF(
         OR(AND(check=TRUE, REGEXMATCH(target, ""SELF_AFFECTED_ALL""), job=""ナイト""), AND(check=O"&amp;"ption!$E$13, REGEXMATCH(target, ""SINGLE_AFFECTED_ALL""))),
         buff,
         1
       )
     )
   )
 )"),1.0)</f>
        <v>1</v>
      </c>
      <c r="EX68" s="206">
        <f>IFERROR(__xludf.DUMMYFUNCTION("SUM(
   MAP(
     K$3:ED$3,
     K$7:ED$7,
     K$15:ED$15,
     K$16:ED$16,
     K$21:ED$21,
     K$5:ED$5,
     K$17:ED$17,
     K68:ED68,
     LAMBDA(
       job,
       abillity,
       buff,
       barrier,
       enhance,
       assign,
       preco"&amp;"ndition,
       check,
       IF(
         OR(AND(check=TRUE, REGEXMATCH(assign, ""SELF""), job=""ナイト""), AND(check=Option!$E$13, REGEXMATCH(assign, ""SINGLE_PARTY""))),
         IF(
           OR(ARRAYFORMULA((IF(precondition="""", FALSE, REGEXMATCH($K$4"&amp;":$ED$4, precondition))) * (K68:ED68=TRUE))),
           enhance,
           IF(barrier="""", buff, barrier)
         ),
         0
       ) *
       SWITCH(
         job,
         ""暗黒騎士"", EY$24,
         ""白魔道士"", EF68 * EH68 * EW68 * IF(abillity, 1, EG"&amp;"68 * EI68) * (Option!$D$22 * 0.81 / 100),
         ""占星術師"", EF68 * EJ68 * EW68 * IF(abillity, 1, EG68 * EK68) * (Option!$D$23 * 0.81 / 100),
         ""学者"", EF68 * EL68 * EW68 * IF(abillity, 1, EG68 * EM68) * (Option!$D$24 * 0.81 / 100),
         ""賢者"""&amp;", EF68 * EN68 * EW68 * IF(abillity, 1, EG68 * EO68) * (Option!$D$25 * 0.81 / 100),
         1
       )
     )
   )
 ) + EQ68"),0.0)</f>
        <v>0</v>
      </c>
      <c r="EY68" s="232">
        <f t="shared" si="7"/>
        <v>0</v>
      </c>
      <c r="EZ68" s="205">
        <f>IFERROR(__xludf.DUMMYFUNCTION("PRODUCT(
   MAP(
     IF($F68=""Physical"", K$10:ED$10, IF($F68=""Magic"", K$11:ED$11, K$12:ED$12)),
     IF($F68=""Physical"", K$18:ED$18, IF($F68=""Magic"", K$19:ED$19, K$20:ED$20)),
     K$3:ED$3,
     K$5:ED$5,
     K$17:ED$17,
     K68:ED68,
     LAM"&amp;"BDA(
       mitigation,
       enhance,
       job,
       assign,
       precondition,
       check,
       IF(
         OR(AND(check=TRUE, REGEXMATCH(assign, ""SELF""), job=""戦士""), AND(check=Option!$F$13, REGEXMATCH(assign, ""SINGLE_PARTY""))),
       "&amp;"  IF(
           OR(ARRAYFORMULA((IF(precondition="""", FALSE, REGEXMATCH($K$4:$ED$4, precondition))) * (K68:ED68=TRUE))),
           enhance,
           mitigation
         ),
         1
       )
     )
   )
 ) * EE68"),1.0)</f>
        <v>1</v>
      </c>
      <c r="FA68" s="206">
        <f t="shared" si="8"/>
        <v>0</v>
      </c>
      <c r="FB68" s="205">
        <f>IFERROR(__xludf.DUMMYFUNCTION("PRODUCT(
   MAP(
     K$3:ED$3,
     K$14:ED$14,
     K$13:ED$13,
     K68:ED68,
     LAMBDA(
       job,
       buff,
       target,
       check,
       IF(
         OR(AND(check=TRUE, REGEXMATCH(target, ""SELF_AFFECTED_ALL""), job=""戦士""), AND(check=Op"&amp;"tion!$F$13, REGEXMATCH(target, ""SINGLE_AFFECTED_ALL""))),
         buff,
         1
       )
     )
   )
 )"),1.0)</f>
        <v>1</v>
      </c>
      <c r="FC68" s="206">
        <f>IFERROR(__xludf.DUMMYFUNCTION("SUM(
   MAP(
     K$3:ED$3,
     K$7:ED$7,
     K$15:ED$15,
     K$16:ED$16,
     K$21:ED$21,
     K$5:ED$5,
     K$17:ED$17,
     K68:ED68,
     LAMBDA(
       job,
       abillity,
       buff,
       barrier,
       enhance,
       assign,
       preco"&amp;"ndition,
       check,
       IF(
         OR(AND(check=TRUE, REGEXMATCH(assign, ""SELF""), job=""戦士""), AND(check=Option!$F$13, REGEXMATCH(assign, ""SINGLE_PARTY""))),
         IF(
           OR(ARRAYFORMULA((IF(precondition="""", FALSE, REGEXMATCH($K$4:"&amp;"$ED$4, precondition))) * (K68:ED68=TRUE))),
           enhance,
           IF(barrier="""", buff, barrier)
         ),
         0
       ) *
       SWITCH(
         job,
         ""暗黒騎士"", FD$24,
         ""白魔道士"", EF68 * EH68 * FB68 * IF(abillity, 1, EG6"&amp;"8 * EI68) * (Option!$D$22 * 0.81 / 100),
         ""占星術師"", EF68 * EJ68 * FFB68 * IF(abillity, 1, EG68 * EK68) * (Option!$D$23 * 0.81 / 100),
         ""学者"", EF68 * EL68 * FB68 * IF(abillity, 1, EG68 * EM68) * (Option!$D$24 * 0.81 / 100),
         ""賢者"""&amp;", EF68 * EN68 * FB68 * IF(abillity, 1, EG68 * EO68) * (Option!$D$25 * 0.81 / 100),
         1
       )
     )
   )
 ) + EQ68"),0.0)</f>
        <v>0</v>
      </c>
      <c r="FD68" s="206">
        <f t="shared" si="9"/>
        <v>0</v>
      </c>
      <c r="FE68" s="205">
        <f>IFERROR(__xludf.DUMMYFUNCTION("PRODUCT(
   MAP(
     IF($F68=""Physical"", K$10:ED$10, IF($F68=""Magic"", K$11:ED$11, K$12:ED$12)),
     IF($F68=""Physical"", K$18:ED$18, IF($F68=""Magic"", K$19:ED$19, K$20:ED$20)),
     K$3:ED$3,
     K$5:ED$5,
     K$17:ED$17,
     K68:ED68,
     LAM"&amp;"BDA(
       mitigation,
       enhance,
       job,
       assign,
       precondition,
       check,
       IF(
         OR(AND(check=TRUE, REGEXMATCH(assign, ""SELF""), job=""暗黒騎士""), AND(check=Option!$G$13, REGEXMATCH(assign, ""SINGLE_PARTY""))),
     "&amp;"    IF(
           OR(ARRAYFORMULA((IF(precondition="""", FALSE, REGEXMATCH($K$4:$ED$4, precondition))) * (K68:ED68=TRUE))),
           enhance,
           mitigation
         ),
         1
       )
     )
   )
 ) * EE68"),1.0)</f>
        <v>1</v>
      </c>
      <c r="FF68" s="206">
        <f t="shared" si="10"/>
        <v>0</v>
      </c>
      <c r="FG68" s="205">
        <f>IFERROR(__xludf.DUMMYFUNCTION("PRODUCT(
   MAP(
     K$3:ED$3,
     K$14:ED$14,
     K$13:ED$13,
     K68:ED68,
     LAMBDA(
       job,
       buff,
       target,
       check,
       IF(
         OR(AND(check=TRUE, REGEXMATCH(target, ""SELF_AFFECTED_ALL""), job=""暗黒騎士""), AND(check="&amp;"Option!$G$13, REGEXMATCH(target, ""SINGLE_AFFECTED_ALL""))),
         buff,
         1
       )
     )
   )
 )"),1.0)</f>
        <v>1</v>
      </c>
      <c r="FH68" s="206">
        <f>IFERROR(__xludf.DUMMYFUNCTION("SUM(
   MAP(
     K$3:ED$3,
     K$7:ED$7,
     K$15:ED$15,
     K$16:ED$16,
     K$21:ED$21,
     K$5:ED$5,
     K$17:ED$17,
     K68:ED68,
     LAMBDA(
       job,
       abillity,
       buff,
       barrier,
       enhance,
       assign,
       preco"&amp;"ndition,
       check,
       IF(
         OR(AND(check=TRUE, REGEXMATCH(assign, ""SELF""), job=""暗黒騎士""), AND(check=Option!$G$13, REGEXMATCH(assign, ""SINGLE_PARTY""))),
         IF(
           OR(ARRAYFORMULA((IF(precondition="""", FALSE, REGEXMATCH($K$"&amp;"4:$ED$4, precondition))) * (K68:ED68=TRUE))),
           enhance,
           IF(barrier="""", buff, barrier)
         ),
         0
       ) *
       SWITCH(
         job,
         ""暗黒騎士"", FI$24,
         ""白魔道士"", EF68 * EH68 * FG68 * IF(abillity, 1, E"&amp;"G68 * EI68) * (Option!$D$22 * 0.81 / 100),
         ""占星術師"", EF68 * EJ68 * FG68 * IF(abillity, 1, EG68 * EK68) * (Option!$D$23 * 0.81 / 100),
         ""学者"", EF68 * EL68 * FG68 * IF(abillity, 1, EG68 * EM68) * (Option!$D$24 * 0.81 / 100),
         ""賢者"&amp;""", EF68 * EN68 * FG68 * IF(abillity, 1, EG68 * EO68) * (Option!$D$25 * 0.81 / 100),
         1
       )
     )
   )
 ) + EQ68"),0.0)</f>
        <v>0</v>
      </c>
      <c r="FI68" s="206">
        <f t="shared" si="11"/>
        <v>0</v>
      </c>
      <c r="FJ68" s="205">
        <f>IFERROR(__xludf.DUMMYFUNCTION("PRODUCT(
   MAP(
     IF($F68=""Physical"", K$10:ED$10, IF($F68=""Magic"", K$11:ED$11, K$12:ED$12)),
     IF($F68=""Physical"", K$18:ED$18, IF($F68=""Magic"", K$19:ED$19, K$20:ED$20)),
     K$3:ED$3,
     K$5:ED$5,
     K$17:ED$17,
     K68:ED68,
     LAM"&amp;"BDA(
       mitigation,
       enhance,
       job,
       assign,
       precondition,
       check,
       IF(
         OR(AND(check=TRUE, REGEXMATCH(assign, ""SELF""), job=""ガンブレイカー""), AND(check=Option!$H$13, REGEXMATCH(assign, ""SINGLE_PARTY""))),
  "&amp;"       IF(
           OR(ARRAYFORMULA((IF(precondition="""", FALSE, REGEXMATCH($K$4:$ED$4, precondition))) * (K68:ED68=TRUE))),
           enhance,
           mitigation
         ),
         1
       )
     )
   )
 ) * EE68"),1.0)</f>
        <v>1</v>
      </c>
      <c r="FK68" s="206">
        <f t="shared" si="12"/>
        <v>0</v>
      </c>
      <c r="FL68" s="205">
        <f>IFERROR(__xludf.DUMMYFUNCTION("PRODUCT(
   MAP(
     K$3:ED$3,
     K$14:ED$14,
     K$13:ED$13,
     K68:ED68,
     LAMBDA(
       job,
       buff,
       target,
       check,
       IF(
         OR(AND(check=TRUE, REGEXMATCH(target, ""SELF_AFFECTED_ALL""), job=""ガンブレイカー""), AND(che"&amp;"ck=Option!$H$13, REGEXMATCH(target, ""SINGLE_AFFECTED_ALL""))),
         buff,
         1
       )
     )
   )
 )"),1.0)</f>
        <v>1</v>
      </c>
      <c r="FM68" s="206">
        <f>IFERROR(__xludf.DUMMYFUNCTION("SUM(
   MAP(
     K$3:ED$3,
     K$7:ED$7,
     K$15:ED$15,
     K$16:ED$16,
     K$21:ED$21,
     K$5:ED$5,
     K$17:ED$17,
     K68:ED68,
     LAMBDA(
       job,
       abillity,
       buff,
       barrier,
       enhance,
       assign,
       preco"&amp;"ndition,
       check,
       IF(
         OR(AND(check=TRUE, REGEXMATCH(assign, ""SELF""), job=""ガンブレイカー""), AND(check=Option!$H$13, REGEXMATCH(assign, ""SINGLE_PARTY""))),
         IF(
           OR(ARRAYFORMULA((IF(precondition="""", FALSE, REGEXMATCH("&amp;"$K$4:$ED$4, precondition))) * (K68:ED68=TRUE))),
           enhance,
           IF(barrier="""", buff, barrier)
         ),
         0
       ) *
       SWITCH(
         job,
         ""暗黒騎士"", FN$24,
         ""白魔道士"", EF68 * EH68 * FL68 * IF(abillity, 1"&amp;", EG68 * EI68) * (Option!$D$22 * 0.81 / 100),
         ""占星術師"", EF68 * EJ68 * FL68 * IF(abillity, 1, EG68 * EK68) * (Option!$D$23 * 0.81 / 100),
         ""学者"", EF68 * EL68 * FL68 * IF(abillity, 1, EG68 * EM68) * (Option!$D$24 * 0.81 / 100),
         """&amp;"賢者"", EF68 * EN68 * FL68 * IF(abillity, 1, EG68 * EO68) * (Option!$D$25 * 0.81 / 100),
         1
       )
     )
   )
 ) + EQ68"),0.0)</f>
        <v>0</v>
      </c>
      <c r="FN68" s="206">
        <f t="shared" si="13"/>
        <v>0</v>
      </c>
      <c r="FO68" s="213"/>
    </row>
    <row r="69">
      <c r="B69" s="229"/>
      <c r="C69" s="217">
        <f t="shared" si="1"/>
        <v>0.00380787037</v>
      </c>
      <c r="D69" s="236"/>
      <c r="E69" s="238"/>
      <c r="F69" s="167"/>
      <c r="G69" s="168" t="str">
        <f t="shared" si="2"/>
        <v/>
      </c>
      <c r="H69" s="169"/>
      <c r="I69" s="169"/>
      <c r="J69" s="169"/>
      <c r="K69" s="170" t="b">
        <v>0</v>
      </c>
      <c r="L69" s="170" t="b">
        <v>0</v>
      </c>
      <c r="M69" s="170" t="b">
        <v>0</v>
      </c>
      <c r="N69" s="171" t="s">
        <v>1070</v>
      </c>
      <c r="O69" s="172" t="b">
        <v>0</v>
      </c>
      <c r="P69" s="173" t="b">
        <v>0</v>
      </c>
      <c r="Q69" s="173" t="b">
        <v>0</v>
      </c>
      <c r="R69" s="173" t="b">
        <v>0</v>
      </c>
      <c r="S69" s="174" t="b">
        <v>0</v>
      </c>
      <c r="T69" s="175" t="b">
        <v>0</v>
      </c>
      <c r="U69" s="173" t="b">
        <v>0</v>
      </c>
      <c r="V69" s="171" t="s">
        <v>1070</v>
      </c>
      <c r="W69" s="172" t="b">
        <v>0</v>
      </c>
      <c r="X69" s="173" t="b">
        <v>0</v>
      </c>
      <c r="Y69" s="173" t="b">
        <v>0</v>
      </c>
      <c r="Z69" s="173" t="b">
        <v>0</v>
      </c>
      <c r="AA69" s="174" t="b">
        <v>0</v>
      </c>
      <c r="AB69" s="174" t="b">
        <v>0</v>
      </c>
      <c r="AC69" s="175" t="b">
        <v>0</v>
      </c>
      <c r="AD69" s="173" t="b">
        <v>0</v>
      </c>
      <c r="AE69" s="176" t="s">
        <v>1070</v>
      </c>
      <c r="AF69" s="171" t="s">
        <v>1070</v>
      </c>
      <c r="AG69" s="177">
        <f>IFERROR(__xludf.DUMMYFUNCTION("IF(
  ISNUMBER(AG68),
  MIN(MAX(
    AG68
    + MAX(
      ROUNDDOWN(($D69 - MAX(IFERROR(FILTER($D$24:$D68, AG$24:AG68 &lt;&gt; AF$6, AG$23:AG67 = AF$6), 0))) * (60 * 60 * 24) / AF$9) - ROUNDDOWN(($D68 - MAX(IFERROR(FILTER($D$23:$D67, AG$23:AG67 &lt;&gt; AF$6, AG$22:"&amp;"AG66 = AF$6), 0))) * (60 * 60 * 24) / 60),
      0
    )
    - COUNTIF(AF69, ""&lt;&gt;-""),
  0), AF$6),
  AF$6 - COUNTIF(AF69, ""&lt;&gt;-"")
)"),2.0)</f>
        <v>2</v>
      </c>
      <c r="AH69" s="173" t="b">
        <v>0</v>
      </c>
      <c r="AI69" s="173" t="b">
        <v>0</v>
      </c>
      <c r="AJ69" s="173" t="b">
        <v>0</v>
      </c>
      <c r="AK69" s="174" t="b">
        <v>0</v>
      </c>
      <c r="AL69" s="175" t="b">
        <v>0</v>
      </c>
      <c r="AM69" s="173" t="b">
        <v>0</v>
      </c>
      <c r="AN69" s="171" t="s">
        <v>1070</v>
      </c>
      <c r="AO69" s="173" t="b">
        <v>0</v>
      </c>
      <c r="AP69" s="173" t="b">
        <v>0</v>
      </c>
      <c r="AQ69" s="173" t="b">
        <v>0</v>
      </c>
      <c r="AR69" s="174" t="b">
        <v>0</v>
      </c>
      <c r="AS69" s="178" t="b">
        <v>0</v>
      </c>
      <c r="AT69" s="179" t="b">
        <v>0</v>
      </c>
      <c r="AU69" s="180" t="b">
        <v>0</v>
      </c>
      <c r="AV69" s="180" t="b">
        <v>0</v>
      </c>
      <c r="AW69" s="180" t="b">
        <v>0</v>
      </c>
      <c r="AX69" s="180" t="b">
        <v>0</v>
      </c>
      <c r="AY69" s="181" t="s">
        <v>1070</v>
      </c>
      <c r="AZ69" s="181" t="s">
        <v>1070</v>
      </c>
      <c r="BA69" s="184">
        <f>IFERROR(__xludf.DUMMYFUNCTION("IF(
  ISNUMBER(BA68),
  MIN(MAX(
    BA68
    + MAX(
      ROUNDDOWN((D69 - MAX(IFERROR(FILTER(D$24:D68, BA$24:BA68 &lt;&gt; AZ$6, BA$23:BA67 = AZ$6), 0))) * (60 * 60 * 24) / AZ$9) - ROUNDDOWN((D68 - MAX(IFERROR(FILTER(D$23:D67, BA$23:BA67 &lt;&gt; AZ$6, BA$22:BA66 ="&amp;" AZ$6), 0))) * (60 * 60 * 24) / AZ$9),
      0
    )
    - COUNTIF(AZ69, ""&lt;&gt;-""),
  0), AZ$6),
  AZ$6 - COUNTIF(AZ69, ""&lt;&gt;-"")
)"),2.0)</f>
        <v>2</v>
      </c>
      <c r="BB69" s="181" t="s">
        <v>1070</v>
      </c>
      <c r="BC69" s="183">
        <f>IFERROR(__xludf.DUMMYFUNCTION("IF(
  ISNUMBER(BC68),
  MIN(MAX(
    BC68
    + MAX(
      ROUNDDOWN(($D69 - MAX(IFERROR(FILTER($D$24:$D68, BC$24:BC68 &lt;&gt; BB$6, BC$23:BC67 = BB$6), 0))) * (60 * 60 * 24) / BB$9) - ROUNDDOWN(($D68 - MAX(IFERROR(FILTER($D$23:$D67, BC$23:BC67 &lt;&gt; BB$6, BC$22:"&amp;"BC66 = BB$6), 0))) * (60 * 60 * 24) / 60),
      0
    )
    - COUNTIF(BB69, ""&lt;&gt;-""),
  0), BB$6),
  BB$6 - COUNTIF(BB69, ""&lt;&gt;-"")
)"),2.0)</f>
        <v>2</v>
      </c>
      <c r="BD69" s="181" t="s">
        <v>1070</v>
      </c>
      <c r="BE69" s="178" t="b">
        <v>0</v>
      </c>
      <c r="BF69" s="180" t="b">
        <v>0</v>
      </c>
      <c r="BG69" s="180" t="b">
        <v>0</v>
      </c>
      <c r="BH69" s="180" t="b">
        <v>0</v>
      </c>
      <c r="BI69" s="180" t="b">
        <v>0</v>
      </c>
      <c r="BJ69" s="180" t="b">
        <v>0</v>
      </c>
      <c r="BK69" s="180" t="b">
        <v>0</v>
      </c>
      <c r="BL69" s="180" t="b">
        <v>0</v>
      </c>
      <c r="BM69" s="180" t="b">
        <v>0</v>
      </c>
      <c r="BN69" s="180" t="b">
        <v>0</v>
      </c>
      <c r="BO69" s="181" t="s">
        <v>1070</v>
      </c>
      <c r="BP69" s="181" t="s">
        <v>1070</v>
      </c>
      <c r="BQ69" s="181" t="s">
        <v>1070</v>
      </c>
      <c r="BR69" s="181" t="s">
        <v>1070</v>
      </c>
      <c r="BS69" s="181" t="s">
        <v>1070</v>
      </c>
      <c r="BT69" s="184">
        <f>IFERROR(__xludf.DUMMYFUNCTION("IF(
  ISNUMBER(BT68),
  MIN(MAX(
    BT68
    + MAX(
      ROUNDDOWN((D69 - MAX(IFERROR(FILTER(D$24:D68, BT$24:BT68 &lt;&gt; BS$6, BT$23:BT67 = BS$6), 0))) * (60 * 60 * 24) / BS$9) - ROUNDDOWN((D68 - MAX(IFERROR(FILTER(D$23:D67, BT$23:BT67 &lt;&gt; BS$6, BT$22:BT66 ="&amp;" BS$6), 0))) * (60 * 60 * 24) / BS$9),
      0
    )
    - COUNTIF(BS69, ""&lt;&gt;-""),
  0), BS$6),
  BS$6 - COUNTIF(BS69, ""&lt;&gt;-"")
)"),3.0)</f>
        <v>3</v>
      </c>
      <c r="BU69" s="181" t="s">
        <v>1070</v>
      </c>
      <c r="BV69" s="181" t="s">
        <v>1070</v>
      </c>
      <c r="BW69" s="184">
        <f>IFERROR(__xludf.DUMMYFUNCTION("IF(
  ISNUMBER(BW68),
  MIN(MAX(
    BW68
    + MAX(
      ROUNDDOWN((D69 - MAX(IFERROR(FILTER(D$24:D68, BW$24:BW68 &lt;&gt; BV$6, BW$23:BW67 = BV$6), 0))) * (60 * 60 * 24) / BV$9) - ROUNDDOWN((D68 - MAX(IFERROR(FILTER(D$23:D67, BW$23:BW67 &lt;&gt; BV$6, BW$22:BW66 ="&amp;" BV$6), 0))) * (60 * 60 * 24) / BV$9),
      0
    )
    - COUNTIF(BV69, ""&lt;&gt;-""),
  0), BV$6),
  BV$6 - COUNTIF(BV69, ""&lt;&gt;-"")
)"),2.0)</f>
        <v>2</v>
      </c>
      <c r="BX69" s="185" t="s">
        <v>1070</v>
      </c>
      <c r="BY69" s="178" t="b">
        <v>0</v>
      </c>
      <c r="BZ69" s="180" t="b">
        <v>0</v>
      </c>
      <c r="CA69" s="180" t="b">
        <v>0</v>
      </c>
      <c r="CB69" s="180" t="b">
        <v>0</v>
      </c>
      <c r="CC69" s="180" t="b">
        <v>0</v>
      </c>
      <c r="CD69" s="180" t="b">
        <v>0</v>
      </c>
      <c r="CE69" s="180" t="b">
        <v>0</v>
      </c>
      <c r="CF69" s="180" t="b">
        <v>0</v>
      </c>
      <c r="CG69" s="180" t="b">
        <v>0</v>
      </c>
      <c r="CH69" s="180" t="b">
        <v>0</v>
      </c>
      <c r="CI69" s="180" t="b">
        <v>0</v>
      </c>
      <c r="CJ69" s="180" t="b">
        <v>0</v>
      </c>
      <c r="CK69" s="180" t="b">
        <v>0</v>
      </c>
      <c r="CL69" s="180" t="b">
        <v>0</v>
      </c>
      <c r="CM69" s="181" t="s">
        <v>1070</v>
      </c>
      <c r="CN69" s="181" t="s">
        <v>1070</v>
      </c>
      <c r="CO69" s="181" t="s">
        <v>1070</v>
      </c>
      <c r="CP69" s="181" t="s">
        <v>1070</v>
      </c>
      <c r="CQ69" s="185" t="s">
        <v>1070</v>
      </c>
      <c r="CR69" s="180" t="b">
        <v>0</v>
      </c>
      <c r="CS69" s="186" t="str">
        <f t="shared" si="14"/>
        <v>◇◇◇</v>
      </c>
      <c r="CT69" s="178" t="b">
        <v>0</v>
      </c>
      <c r="CU69" s="180" t="b">
        <v>0</v>
      </c>
      <c r="CV69" s="180" t="b">
        <v>0</v>
      </c>
      <c r="CW69" s="180" t="b">
        <v>0</v>
      </c>
      <c r="CX69" s="180" t="b">
        <v>0</v>
      </c>
      <c r="CY69" s="180" t="b">
        <v>0</v>
      </c>
      <c r="CZ69" s="180" t="b">
        <v>0</v>
      </c>
      <c r="DA69" s="180" t="b">
        <v>0</v>
      </c>
      <c r="DB69" s="180" t="b">
        <v>0</v>
      </c>
      <c r="DC69" s="180" t="b">
        <v>0</v>
      </c>
      <c r="DD69" s="181" t="s">
        <v>1070</v>
      </c>
      <c r="DE69" s="181" t="s">
        <v>1070</v>
      </c>
      <c r="DF69" s="181" t="s">
        <v>1070</v>
      </c>
      <c r="DG69" s="185" t="s">
        <v>1070</v>
      </c>
      <c r="DH69" s="180" t="b">
        <v>0</v>
      </c>
      <c r="DI69" s="187" t="str">
        <f>IFERROR(__xludf.DUMMYFUNCTION("SWITCH(
  IF(
    ISTEXT(DI68),
    IF (
      FIND(""○"", DI68&amp;""○"") &gt; 3,
      3,
      FIND(""○"", DI68&amp;""○"")
      + MAX(
        ROUNDDOWN(($D69 - MAX(IFERROR(FILTER(D$24:D68, DI$24:DI68 &lt;&gt; ""●●●"", DI$23:DI67 = ""●●●""), 0))) * (60 * 60 * 24) / 20"&amp;") - ROUNDDOWN(($D68 - MAX(IFERROR(FILTER(D$23:D67, DI$23:DI67 &lt;&gt; ""●●●"", DI$22:DI66 = ""●●●""), 0))) * (60 * 60 * 24) / 20),
        0
      ) - 1
    ) - COUNTIFS(CU69, ""=TRUE"", CU68, ""&lt;&gt;TRUE"") - COUNTIF(CZ69, ""=TRUE"") - COUNTIF({DD69,DE69}, ""&lt;&gt;-"&amp;""") + COUNTIF(DH69, ""=TRUE""),
    3
  ),
  0, ""○○○"", 1, ""●○○"", 2, ""●●○"", 3, ""●●●"", 4, ""●●●"", ""○○○""
)"),"●●●")</f>
        <v>●●●</v>
      </c>
      <c r="DJ69" s="188" t="b">
        <v>0</v>
      </c>
      <c r="DK69" s="189" t="b">
        <v>0</v>
      </c>
      <c r="DL69" s="190" t="b">
        <v>0</v>
      </c>
      <c r="DM69" s="190" t="b">
        <v>0</v>
      </c>
      <c r="DN69" s="190" t="b">
        <v>0</v>
      </c>
      <c r="DO69" s="190" t="b">
        <v>0</v>
      </c>
      <c r="DP69" s="190" t="b">
        <v>0</v>
      </c>
      <c r="DQ69" s="191" t="b">
        <v>0</v>
      </c>
      <c r="DR69" s="192" t="b">
        <v>0</v>
      </c>
      <c r="DS69" s="191" t="b">
        <v>0</v>
      </c>
      <c r="DT69" s="192" t="b">
        <v>0</v>
      </c>
      <c r="DU69" s="191" t="b">
        <v>0</v>
      </c>
      <c r="DV69" s="193" t="s">
        <v>1070</v>
      </c>
      <c r="DW69" s="194" t="b">
        <v>0</v>
      </c>
      <c r="DX69" s="194" t="b">
        <v>0</v>
      </c>
      <c r="DY69" s="195" t="b">
        <v>0</v>
      </c>
      <c r="DZ69" s="196" t="b">
        <v>0</v>
      </c>
      <c r="EA69" s="195" t="b">
        <v>0</v>
      </c>
      <c r="EB69" s="197" t="b">
        <v>0</v>
      </c>
      <c r="EC69" s="197" t="b">
        <v>0</v>
      </c>
      <c r="ED69" s="212" t="b">
        <v>0</v>
      </c>
      <c r="EE69" s="199">
        <f>IFERROR(__xludf.DUMMYFUNCTION("IFERROR(
   PRODUCT(
     MAP(
       INDEX(TRANSPOSE(UNIQUE(TRANSPOSE(FILTER({IF($F69=""Physical"", K$10:ED$10, IF($F69=""Magic"", K$11:ED$11, K$12:ED$12));K$4:ED$4;K69:ED69}, K69:ED69=TRUE)))), 1, 0),
       INDEX(TRANSPOSE(UNIQUE(TRANSPOSE(FILTER({IF($"&amp;"F69=""Physical"", K$18:ED$18, IF($F69=""Magic"", K$19:ED$19, K$20:ED$20));K$4:ED$4;K69:ED69}, K69:ED69=TRUE)))), 1, 0),
       INDEX(TRANSPOSE(UNIQUE(TRANSPOSE(FILTER({K$5:ED$5;K$4:ED$4;K69:ED69}, K69:ED69=TRUE)))), 1, 0),
       INDEX(TRANSPOSE(UNIQUE(TR"&amp;"ANSPOSE(FILTER({K$17:ED$17;K$4:ED$4;K69:ED69}, K69:ED69=TRUE)))), 1, 0),
       LAMBDA(
         mitigation,
         enhance,
         assign,
         precondition,
         IF(
           REGEXMATCH(assign, ""RANGE_PARTY|SINGLE_ENEMY|RANGE_ENEMY""),
  "&amp;"         IF(
             OR(ARRAYFORMULA((IF(precondition="""", FALSE, REGEXMATCH(K$4:ED$4, precondition))) * (K69:ED69=TRUE))),
             IF(ISNUMBER(enhance), enhance, 1),
             IF(ISNUMBER(mitigation), mitigation, 1)
           ),
          "&amp;" 1
         )
       )
     )
   ),
   1
 )"),1.0)</f>
        <v>1</v>
      </c>
      <c r="EF69" s="200">
        <f>IFERROR(__xludf.DUMMYFUNCTION("PRODUCT(
   MAP(
     K$14:ED$14,
     K$13:ED$13,
     K69:ED69,
     LAMBDA(
       buff,
       target,
       check,
       IF(
         AND(check=TRUE, REGEXMATCH(target, ""RANGE_AFFECTED_ALL|RANGE_EFFECTED_ALL""), ISNUMBER(buff)),
         buff,
   "&amp;"      1
       )
     )
   )
 )"),1.0)</f>
        <v>1</v>
      </c>
      <c r="EG69" s="200">
        <f>IFERROR(__xludf.DUMMYFUNCTION("PRODUCT(
   MAP(
     K$14:ED$14,
     K$13:ED$13,
     K69:ED69,
     LAMBDA(
       buff,
       target,
       check,
       IF(
         AND(check=TRUE, REGEXMATCH(target, ""RANGE_AFFECTED_GCD|RANGE_EFFECTED_GCD""), ISNUMBER(buff)),
         buff,
   "&amp;"      1
       )
     )
   )
 )"),1.0)</f>
        <v>1</v>
      </c>
      <c r="EH69" s="200">
        <f>IFERROR(__xludf.DUMMYFUNCTION("PRODUCT(
   MAP(
     K$3:ED$3,
     K$14:ED$14,
     K$13:ED$13,
     K69:ED69,
     LAMBDA(
       job,
       buff,
       target,
       check,
       IF(
         AND(check=TRUE, REGEXMATCH(target, ""SELF_EFFECTED_ALL""), ISNUMBER(buff), job=""白魔道士"""&amp;"),
         buff,
         1
       )
     )
   )
 )"),1.0)</f>
        <v>1</v>
      </c>
      <c r="EI69" s="200">
        <f>IFERROR(__xludf.DUMMYFUNCTION("PRODUCT(
   MAP(
     K$3:ED$3,
     K$14:ED$14,
     K$13:ED$13,
     K69:ED69,
     LAMBDA(
       job,
       buff,
       target,
       check,
       IF(
         AND(check=TRUE, REGEXMATCH(target, ""SELF_EFFECTED_GCD""), ISNUMBER(buff), job=""白魔道士"""&amp;"),
         buff,
         1
       )
     )
   )
 )"),1.0)</f>
        <v>1</v>
      </c>
      <c r="EJ69" s="200">
        <f>IFERROR(__xludf.DUMMYFUNCTION("PRODUCT(
   MAP(
     K$3:ED$3,
     K$14:ED$14,
     K$13:ED$13,
     K69:ED69,
     LAMBDA(
       job,
       buff,
       target,
       check,
       IF(
         AND(check=TRUE, REGEXMATCH(target, ""SELF_EFFECTED_ALL""), ISNUMBER(buff), job=""占星術師"""&amp;"),
         buff,
         1
       )
     )
   )
 )"),1.0)</f>
        <v>1</v>
      </c>
      <c r="EK69" s="200">
        <f>IFERROR(__xludf.DUMMYFUNCTION("PRODUCT(
   MAP(
     K$3:ED$3,
     K$14:ED$14,
     K$13:ED$13,
     K69:ED69,
     LAMBDA(
       job,
       buff,
       target,
       check,
       IF(
         AND(check=TRUE, REGEXMATCH(target, ""SELF_EFFECTED_GCD""), ISNUMBER(buff), job=""占星術師"""&amp;"),
         buff,
         1
       )
     )
   )
 )"),1.0)</f>
        <v>1</v>
      </c>
      <c r="EL69" s="200">
        <f>IFERROR(__xludf.DUMMYFUNCTION("PRODUCT(
   MAP(
     K$3:ED$3,
     K$14:ED$14,
     K$13:ED$13,
     K69:ED69,
     LAMBDA(
       job,
       buff,
       target,
       check,
       IF(
         AND(check=TRUE, REGEXMATCH(target, ""SELF_EFFECTED_ALL""), ISNUMBER(buff), job=""学者""),"&amp;"
         buff,
         1
       )
     )
   )
 )"),1.0)</f>
        <v>1</v>
      </c>
      <c r="EM69" s="200">
        <f>IFERROR(__xludf.DUMMYFUNCTION("PRODUCT(
   MAP(
     K$3:ED$3,
     K$14:ED$14,
     K$13:ED$13,
     K69:ED69,
     LAMBDA(
       job,
       buff,
       target,
       check,
       IF(
         AND(check=TRUE, REGEXMATCH(target, ""SELF_EFFECTED_GCD""), ISNUMBER(buff), job=""学者""),"&amp;"
         buff,
         1
       )
     )
   )
 )"),1.0)</f>
        <v>1</v>
      </c>
      <c r="EN69" s="200">
        <f>IFERROR(__xludf.DUMMYFUNCTION("PRODUCT(
   MAP(
     K$3:ED$3,
     K$14:ED$14,
     K$13:ED$13,
     K69:ED69,
     LAMBDA(
       job,
       buff,
       target,
       check,
       IF(
         AND(check=TRUE, REGEXMATCH(target, ""SELF_EFFECTED_ALL""), ISNUMBER(buff), job=""賢者""),"&amp;"
         buff,
         1
       )
     )
   )
 )"),1.0)</f>
        <v>1</v>
      </c>
      <c r="EO69" s="200">
        <f>IFERROR(__xludf.DUMMYFUNCTION("PRODUCT(
   MAP(
     K$3:ED$3,
     K$14:ED$14,
     K$13:ED$13,
     K69:ED69,
     LAMBDA(
       job,
       buff,
       target,
       check,
       IF(
         AND(check=TRUE, REGEXMATCH(target, ""SELF_EFFECTED_GCD""), ISNUMBER(buff), job=""賢者""),"&amp;"
         buff,
         1
       )
     )
   )
 )"),1.0)</f>
        <v>1</v>
      </c>
      <c r="EP69" s="201">
        <f t="shared" si="3"/>
        <v>0</v>
      </c>
      <c r="EQ69" s="201">
        <f>IFERROR(__xludf.DUMMYFUNCTION("SUM(
   MAP(
     K$4:ED$4,
     K$3:ED$3,
     K$7:ED$7,
     K$15:ED$15,
     K$16:ED$16,
     K$21:ED$21,
     K$5:ED$5,
     K$17:ED$17,
     K69:ED69,
     LAMBDA(
       name,
       job,
       abillity,
       buff,
       barrier,
       enhance,"&amp;"
       assign,
       precondition,
       check,
       SWITCH(
         name,
         ""シェイクオフ"", IF(check=TRUE, buff + (0.02 * COUNTIF(ARRAYFORMULA((REGEXMATCH($K$4:$ED$4, ""スリル・オブ・バトル|ヴェンジェンス|原初の血気|ダムネーション"")) * (K69:ED69=TRUE)), 1)), 0),
         "&amp;"""インプロビゼーションフィニッシュ(踊りの激情0)"", IF(ISNUMBER(check), INDEX(Skill!$AJ:$AJ, MATCH(SUBSTITUTE(DV$4, 0, check), Skill!$C:$C, 0)), 0),
         IF(
           AND(check=TRUE, REGEXMATCH(assign, ""RANGE_PARTY"")),
           IF(
             OR(ARRAYFORMULA((IF(pr"&amp;"econdition="""", FALSE, REGEXMATCH($K$4:$ED$4, precondition))) * (K69:ED69=TRUE))),
             enhance,
             IF(barrier="""", buff, barrier)
           ),
           0
         )
       ) *
       SWITCH(
         job,
         ""ナイト"", EY$24,
 "&amp;"        ""戦士"", FD$24,
         ""踊り子"", ET$24,
         ""ピクトマンサー"", ET$24,
         ""白魔道士"", EF69 * EH69 * IF(abillity, 1, EG69 * EI69) * (Option!$D$22 * 0.81 / 100),
         ""占星術師"", EF69 * EJ69 * IF(abillity, 1, EG69 * EK69) * (Option!$D$23 * 0.81 "&amp;"/ 100),
         ""学者"", EF69 * EL69 * IF(abillity, 1, EG69 * EM69) * (Option!$D$24 * 0.81 / 100),
         ""賢者"", EF69 * EN69 * IF(abillity, 1, EG69 * EO69) * (Option!$D$25 * 0.81 / 100),
         1
       )
     )
   )
 )"),0.0)</f>
        <v>0</v>
      </c>
      <c r="ER69" s="202">
        <f t="shared" si="4"/>
        <v>0</v>
      </c>
      <c r="ES69" s="203">
        <f t="shared" si="5"/>
        <v>0</v>
      </c>
      <c r="ET69" s="231" t="str">
        <f>IFERROR(__xludf.DUMMYFUNCTION("IFS(
  EP69 &gt; $ET$24 + EQ69,
  SPARKLINE({ 1, 0 }, {""charttype"",""bar"";""max"", 1;""color1"",Option!$D$30;""color2"",Option!$D$30}),
  EP69 &lt; EQ69,
  SPARKLINE({EQ69 - EP69, $ET$24 - (EQ69 - EP69)}, {""charttype"",""bar"";""max"",$ET$24;""color1"",Opti"&amp;"on!$D$28;""color2"",Option!$D$29}),
  EP69 &gt;= EQ69,
  SPARKLINE({$ET$24 + EQ69 - EP69,EP69 - EQ69}, {""charttype"",""bar"";""max"",$ET$24;""color1"",Option!$D$29;""color2"",Option!$D$30})
)"),"")</f>
        <v/>
      </c>
      <c r="EU69" s="205">
        <f>IFERROR(__xludf.DUMMYFUNCTION("PRODUCT(
   MAP(
     IF($F69=""Physical"", K$10:ED$10, IF($F69=""Magic"", K$11:ED$11, K$12:ED$12)),
     IF($F69=""Physical"", K$18:ED$18, IF($F69=""Magic"", K$19:ED$19, K$20:ED$20)),
     K$3:ED$3,
     K$5:ED$5,
     K$17:ED$17,
     K69:ED69,
     LAM"&amp;"BDA(
       mitigation,
       enhance,
       job,
       assign,
       precondition,
       check,
       IF(
         OR(AND(check=TRUE, REGEXMATCH(assign, ""SELF""), job=""ナイト""), AND(check=Option!$E$13, REGEXMATCH(assign, ""SINGLE_PARTY""))),
      "&amp;"   IF(
           OR(ARRAYFORMULA((IF(precondition="""", FALSE, REGEXMATCH($K$4:$ED$4, precondition))) * (K69:ED69=TRUE))),
           enhance,
           mitigation
         ),
         1
       )
     )
   )
 ) * EE69"),1.0)</f>
        <v>1</v>
      </c>
      <c r="EV69" s="206">
        <f t="shared" si="6"/>
        <v>0</v>
      </c>
      <c r="EW69" s="205">
        <f>IFERROR(__xludf.DUMMYFUNCTION("PRODUCT(
   MAP(
     K$3:ED$3,
     K$14:ED$14,
     K$13:ED$13,
     K69:ED69,
     LAMBDA(
       job,
       buff,
       target,
       check,
       IF(
         OR(AND(check=TRUE, REGEXMATCH(target, ""SELF_AFFECTED_ALL""), job=""ナイト""), AND(check=O"&amp;"ption!$E$13, REGEXMATCH(target, ""SINGLE_AFFECTED_ALL""))),
         buff,
         1
       )
     )
   )
 )"),1.0)</f>
        <v>1</v>
      </c>
      <c r="EX69" s="206">
        <f>IFERROR(__xludf.DUMMYFUNCTION("SUM(
   MAP(
     K$3:ED$3,
     K$7:ED$7,
     K$15:ED$15,
     K$16:ED$16,
     K$21:ED$21,
     K$5:ED$5,
     K$17:ED$17,
     K69:ED69,
     LAMBDA(
       job,
       abillity,
       buff,
       barrier,
       enhance,
       assign,
       preco"&amp;"ndition,
       check,
       IF(
         OR(AND(check=TRUE, REGEXMATCH(assign, ""SELF""), job=""ナイト""), AND(check=Option!$E$13, REGEXMATCH(assign, ""SINGLE_PARTY""))),
         IF(
           OR(ARRAYFORMULA((IF(precondition="""", FALSE, REGEXMATCH($K$4"&amp;":$ED$4, precondition))) * (K69:ED69=TRUE))),
           enhance,
           IF(barrier="""", buff, barrier)
         ),
         0
       ) *
       SWITCH(
         job,
         ""暗黒騎士"", EY$24,
         ""白魔道士"", EF69 * EH69 * EW69 * IF(abillity, 1, EG"&amp;"69 * EI69) * (Option!$D$22 * 0.81 / 100),
         ""占星術師"", EF69 * EJ69 * EW69 * IF(abillity, 1, EG69 * EK69) * (Option!$D$23 * 0.81 / 100),
         ""学者"", EF69 * EL69 * EW69 * IF(abillity, 1, EG69 * EM69) * (Option!$D$24 * 0.81 / 100),
         ""賢者"""&amp;", EF69 * EN69 * EW69 * IF(abillity, 1, EG69 * EO69) * (Option!$D$25 * 0.81 / 100),
         1
       )
     )
   )
 ) + EQ69"),0.0)</f>
        <v>0</v>
      </c>
      <c r="EY69" s="232">
        <f t="shared" si="7"/>
        <v>0</v>
      </c>
      <c r="EZ69" s="205">
        <f>IFERROR(__xludf.DUMMYFUNCTION("PRODUCT(
   MAP(
     IF($F69=""Physical"", K$10:ED$10, IF($F69=""Magic"", K$11:ED$11, K$12:ED$12)),
     IF($F69=""Physical"", K$18:ED$18, IF($F69=""Magic"", K$19:ED$19, K$20:ED$20)),
     K$3:ED$3,
     K$5:ED$5,
     K$17:ED$17,
     K69:ED69,
     LAM"&amp;"BDA(
       mitigation,
       enhance,
       job,
       assign,
       precondition,
       check,
       IF(
         OR(AND(check=TRUE, REGEXMATCH(assign, ""SELF""), job=""戦士""), AND(check=Option!$F$13, REGEXMATCH(assign, ""SINGLE_PARTY""))),
       "&amp;"  IF(
           OR(ARRAYFORMULA((IF(precondition="""", FALSE, REGEXMATCH($K$4:$ED$4, precondition))) * (K69:ED69=TRUE))),
           enhance,
           mitigation
         ),
         1
       )
     )
   )
 ) * EE69"),1.0)</f>
        <v>1</v>
      </c>
      <c r="FA69" s="206">
        <f t="shared" si="8"/>
        <v>0</v>
      </c>
      <c r="FB69" s="205">
        <f>IFERROR(__xludf.DUMMYFUNCTION("PRODUCT(
   MAP(
     K$3:ED$3,
     K$14:ED$14,
     K$13:ED$13,
     K69:ED69,
     LAMBDA(
       job,
       buff,
       target,
       check,
       IF(
         OR(AND(check=TRUE, REGEXMATCH(target, ""SELF_AFFECTED_ALL""), job=""戦士""), AND(check=Op"&amp;"tion!$F$13, REGEXMATCH(target, ""SINGLE_AFFECTED_ALL""))),
         buff,
         1
       )
     )
   )
 )"),1.0)</f>
        <v>1</v>
      </c>
      <c r="FC69" s="206">
        <f>IFERROR(__xludf.DUMMYFUNCTION("SUM(
   MAP(
     K$3:ED$3,
     K$7:ED$7,
     K$15:ED$15,
     K$16:ED$16,
     K$21:ED$21,
     K$5:ED$5,
     K$17:ED$17,
     K69:ED69,
     LAMBDA(
       job,
       abillity,
       buff,
       barrier,
       enhance,
       assign,
       preco"&amp;"ndition,
       check,
       IF(
         OR(AND(check=TRUE, REGEXMATCH(assign, ""SELF""), job=""戦士""), AND(check=Option!$F$13, REGEXMATCH(assign, ""SINGLE_PARTY""))),
         IF(
           OR(ARRAYFORMULA((IF(precondition="""", FALSE, REGEXMATCH($K$4:"&amp;"$ED$4, precondition))) * (K69:ED69=TRUE))),
           enhance,
           IF(barrier="""", buff, barrier)
         ),
         0
       ) *
       SWITCH(
         job,
         ""暗黒騎士"", FD$24,
         ""白魔道士"", EF69 * EH69 * FB69 * IF(abillity, 1, EG6"&amp;"9 * EI69) * (Option!$D$22 * 0.81 / 100),
         ""占星術師"", EF69 * EJ69 * FFB69 * IF(abillity, 1, EG69 * EK69) * (Option!$D$23 * 0.81 / 100),
         ""学者"", EF69 * EL69 * FB69 * IF(abillity, 1, EG69 * EM69) * (Option!$D$24 * 0.81 / 100),
         ""賢者"""&amp;", EF69 * EN69 * FB69 * IF(abillity, 1, EG69 * EO69) * (Option!$D$25 * 0.81 / 100),
         1
       )
     )
   )
 ) + EQ69"),0.0)</f>
        <v>0</v>
      </c>
      <c r="FD69" s="206">
        <f t="shared" si="9"/>
        <v>0</v>
      </c>
      <c r="FE69" s="205">
        <f>IFERROR(__xludf.DUMMYFUNCTION("PRODUCT(
   MAP(
     IF($F69=""Physical"", K$10:ED$10, IF($F69=""Magic"", K$11:ED$11, K$12:ED$12)),
     IF($F69=""Physical"", K$18:ED$18, IF($F69=""Magic"", K$19:ED$19, K$20:ED$20)),
     K$3:ED$3,
     K$5:ED$5,
     K$17:ED$17,
     K69:ED69,
     LAM"&amp;"BDA(
       mitigation,
       enhance,
       job,
       assign,
       precondition,
       check,
       IF(
         OR(AND(check=TRUE, REGEXMATCH(assign, ""SELF""), job=""暗黒騎士""), AND(check=Option!$G$13, REGEXMATCH(assign, ""SINGLE_PARTY""))),
     "&amp;"    IF(
           OR(ARRAYFORMULA((IF(precondition="""", FALSE, REGEXMATCH($K$4:$ED$4, precondition))) * (K69:ED69=TRUE))),
           enhance,
           mitigation
         ),
         1
       )
     )
   )
 ) * EE69"),1.0)</f>
        <v>1</v>
      </c>
      <c r="FF69" s="206">
        <f t="shared" si="10"/>
        <v>0</v>
      </c>
      <c r="FG69" s="205">
        <f>IFERROR(__xludf.DUMMYFUNCTION("PRODUCT(
   MAP(
     K$3:ED$3,
     K$14:ED$14,
     K$13:ED$13,
     K69:ED69,
     LAMBDA(
       job,
       buff,
       target,
       check,
       IF(
         OR(AND(check=TRUE, REGEXMATCH(target, ""SELF_AFFECTED_ALL""), job=""暗黒騎士""), AND(check="&amp;"Option!$G$13, REGEXMATCH(target, ""SINGLE_AFFECTED_ALL""))),
         buff,
         1
       )
     )
   )
 )"),1.0)</f>
        <v>1</v>
      </c>
      <c r="FH69" s="206">
        <f>IFERROR(__xludf.DUMMYFUNCTION("SUM(
   MAP(
     K$3:ED$3,
     K$7:ED$7,
     K$15:ED$15,
     K$16:ED$16,
     K$21:ED$21,
     K$5:ED$5,
     K$17:ED$17,
     K69:ED69,
     LAMBDA(
       job,
       abillity,
       buff,
       barrier,
       enhance,
       assign,
       preco"&amp;"ndition,
       check,
       IF(
         OR(AND(check=TRUE, REGEXMATCH(assign, ""SELF""), job=""暗黒騎士""), AND(check=Option!$G$13, REGEXMATCH(assign, ""SINGLE_PARTY""))),
         IF(
           OR(ARRAYFORMULA((IF(precondition="""", FALSE, REGEXMATCH($K$"&amp;"4:$ED$4, precondition))) * (K69:ED69=TRUE))),
           enhance,
           IF(barrier="""", buff, barrier)
         ),
         0
       ) *
       SWITCH(
         job,
         ""暗黒騎士"", FI$24,
         ""白魔道士"", EF69 * EH69 * FG69 * IF(abillity, 1, E"&amp;"G69 * EI69) * (Option!$D$22 * 0.81 / 100),
         ""占星術師"", EF69 * EJ69 * FG69 * IF(abillity, 1, EG69 * EK69) * (Option!$D$23 * 0.81 / 100),
         ""学者"", EF69 * EL69 * FG69 * IF(abillity, 1, EG69 * EM69) * (Option!$D$24 * 0.81 / 100),
         ""賢者"&amp;""", EF69 * EN69 * FG69 * IF(abillity, 1, EG69 * EO69) * (Option!$D$25 * 0.81 / 100),
         1
       )
     )
   )
 ) + EQ69"),0.0)</f>
        <v>0</v>
      </c>
      <c r="FI69" s="206">
        <f t="shared" si="11"/>
        <v>0</v>
      </c>
      <c r="FJ69" s="205">
        <f>IFERROR(__xludf.DUMMYFUNCTION("PRODUCT(
   MAP(
     IF($F69=""Physical"", K$10:ED$10, IF($F69=""Magic"", K$11:ED$11, K$12:ED$12)),
     IF($F69=""Physical"", K$18:ED$18, IF($F69=""Magic"", K$19:ED$19, K$20:ED$20)),
     K$3:ED$3,
     K$5:ED$5,
     K$17:ED$17,
     K69:ED69,
     LAM"&amp;"BDA(
       mitigation,
       enhance,
       job,
       assign,
       precondition,
       check,
       IF(
         OR(AND(check=TRUE, REGEXMATCH(assign, ""SELF""), job=""ガンブレイカー""), AND(check=Option!$H$13, REGEXMATCH(assign, ""SINGLE_PARTY""))),
  "&amp;"       IF(
           OR(ARRAYFORMULA((IF(precondition="""", FALSE, REGEXMATCH($K$4:$ED$4, precondition))) * (K69:ED69=TRUE))),
           enhance,
           mitigation
         ),
         1
       )
     )
   )
 ) * EE69"),1.0)</f>
        <v>1</v>
      </c>
      <c r="FK69" s="206">
        <f t="shared" si="12"/>
        <v>0</v>
      </c>
      <c r="FL69" s="205">
        <f>IFERROR(__xludf.DUMMYFUNCTION("PRODUCT(
   MAP(
     K$3:ED$3,
     K$14:ED$14,
     K$13:ED$13,
     K69:ED69,
     LAMBDA(
       job,
       buff,
       target,
       check,
       IF(
         OR(AND(check=TRUE, REGEXMATCH(target, ""SELF_AFFECTED_ALL""), job=""ガンブレイカー""), AND(che"&amp;"ck=Option!$H$13, REGEXMATCH(target, ""SINGLE_AFFECTED_ALL""))),
         buff,
         1
       )
     )
   )
 )"),1.0)</f>
        <v>1</v>
      </c>
      <c r="FM69" s="206">
        <f>IFERROR(__xludf.DUMMYFUNCTION("SUM(
   MAP(
     K$3:ED$3,
     K$7:ED$7,
     K$15:ED$15,
     K$16:ED$16,
     K$21:ED$21,
     K$5:ED$5,
     K$17:ED$17,
     K69:ED69,
     LAMBDA(
       job,
       abillity,
       buff,
       barrier,
       enhance,
       assign,
       preco"&amp;"ndition,
       check,
       IF(
         OR(AND(check=TRUE, REGEXMATCH(assign, ""SELF""), job=""ガンブレイカー""), AND(check=Option!$H$13, REGEXMATCH(assign, ""SINGLE_PARTY""))),
         IF(
           OR(ARRAYFORMULA((IF(precondition="""", FALSE, REGEXMATCH("&amp;"$K$4:$ED$4, precondition))) * (K69:ED69=TRUE))),
           enhance,
           IF(barrier="""", buff, barrier)
         ),
         0
       ) *
       SWITCH(
         job,
         ""暗黒騎士"", FN$24,
         ""白魔道士"", EF69 * EH69 * FL69 * IF(abillity, 1"&amp;", EG69 * EI69) * (Option!$D$22 * 0.81 / 100),
         ""占星術師"", EF69 * EJ69 * FL69 * IF(abillity, 1, EG69 * EK69) * (Option!$D$23 * 0.81 / 100),
         ""学者"", EF69 * EL69 * FL69 * IF(abillity, 1, EG69 * EM69) * (Option!$D$24 * 0.81 / 100),
         """&amp;"賢者"", EF69 * EN69 * FL69 * IF(abillity, 1, EG69 * EO69) * (Option!$D$25 * 0.81 / 100),
         1
       )
     )
   )
 ) + EQ69"),0.0)</f>
        <v>0</v>
      </c>
      <c r="FN69" s="206">
        <f t="shared" si="13"/>
        <v>0</v>
      </c>
      <c r="FO69" s="213"/>
    </row>
    <row r="70">
      <c r="B70" s="229"/>
      <c r="C70" s="217">
        <f t="shared" si="1"/>
        <v>0.00380787037</v>
      </c>
      <c r="D70" s="236"/>
      <c r="E70" s="238"/>
      <c r="F70" s="167"/>
      <c r="G70" s="168" t="str">
        <f t="shared" si="2"/>
        <v/>
      </c>
      <c r="H70" s="169"/>
      <c r="I70" s="169"/>
      <c r="J70" s="169"/>
      <c r="K70" s="170" t="b">
        <v>0</v>
      </c>
      <c r="L70" s="170" t="b">
        <v>0</v>
      </c>
      <c r="M70" s="170" t="b">
        <v>0</v>
      </c>
      <c r="N70" s="171" t="s">
        <v>1070</v>
      </c>
      <c r="O70" s="172" t="b">
        <v>0</v>
      </c>
      <c r="P70" s="173" t="b">
        <v>0</v>
      </c>
      <c r="Q70" s="173" t="b">
        <v>0</v>
      </c>
      <c r="R70" s="173" t="b">
        <v>0</v>
      </c>
      <c r="S70" s="174" t="b">
        <v>0</v>
      </c>
      <c r="T70" s="175" t="b">
        <v>0</v>
      </c>
      <c r="U70" s="173" t="b">
        <v>0</v>
      </c>
      <c r="V70" s="171" t="s">
        <v>1070</v>
      </c>
      <c r="W70" s="172" t="b">
        <v>0</v>
      </c>
      <c r="X70" s="173" t="b">
        <v>0</v>
      </c>
      <c r="Y70" s="173" t="b">
        <v>0</v>
      </c>
      <c r="Z70" s="173" t="b">
        <v>0</v>
      </c>
      <c r="AA70" s="174" t="b">
        <v>0</v>
      </c>
      <c r="AB70" s="174" t="b">
        <v>0</v>
      </c>
      <c r="AC70" s="175" t="b">
        <v>0</v>
      </c>
      <c r="AD70" s="173" t="b">
        <v>0</v>
      </c>
      <c r="AE70" s="176" t="s">
        <v>1070</v>
      </c>
      <c r="AF70" s="171" t="s">
        <v>1070</v>
      </c>
      <c r="AG70" s="177">
        <f>IFERROR(__xludf.DUMMYFUNCTION("IF(
  ISNUMBER(AG69),
  MIN(MAX(
    AG69
    + MAX(
      ROUNDDOWN(($D70 - MAX(IFERROR(FILTER($D$24:$D69, AG$24:AG69 &lt;&gt; AF$6, AG$23:AG68 = AF$6), 0))) * (60 * 60 * 24) / AF$9) - ROUNDDOWN(($D69 - MAX(IFERROR(FILTER($D$23:$D68, AG$23:AG68 &lt;&gt; AF$6, AG$22:"&amp;"AG67 = AF$6), 0))) * (60 * 60 * 24) / 60),
      0
    )
    - COUNTIF(AF70, ""&lt;&gt;-""),
  0), AF$6),
  AF$6 - COUNTIF(AF70, ""&lt;&gt;-"")
)"),2.0)</f>
        <v>2</v>
      </c>
      <c r="AH70" s="173" t="b">
        <v>0</v>
      </c>
      <c r="AI70" s="173" t="b">
        <v>0</v>
      </c>
      <c r="AJ70" s="173" t="b">
        <v>0</v>
      </c>
      <c r="AK70" s="174" t="b">
        <v>0</v>
      </c>
      <c r="AL70" s="175" t="b">
        <v>0</v>
      </c>
      <c r="AM70" s="173" t="b">
        <v>0</v>
      </c>
      <c r="AN70" s="171" t="s">
        <v>1070</v>
      </c>
      <c r="AO70" s="173" t="b">
        <v>0</v>
      </c>
      <c r="AP70" s="173" t="b">
        <v>0</v>
      </c>
      <c r="AQ70" s="173" t="b">
        <v>0</v>
      </c>
      <c r="AR70" s="174" t="b">
        <v>0</v>
      </c>
      <c r="AS70" s="178" t="b">
        <v>0</v>
      </c>
      <c r="AT70" s="179" t="b">
        <v>0</v>
      </c>
      <c r="AU70" s="180" t="b">
        <v>0</v>
      </c>
      <c r="AV70" s="180" t="b">
        <v>0</v>
      </c>
      <c r="AW70" s="180" t="b">
        <v>0</v>
      </c>
      <c r="AX70" s="180" t="b">
        <v>0</v>
      </c>
      <c r="AY70" s="181" t="s">
        <v>1070</v>
      </c>
      <c r="AZ70" s="181" t="s">
        <v>1070</v>
      </c>
      <c r="BA70" s="184">
        <f>IFERROR(__xludf.DUMMYFUNCTION("IF(
  ISNUMBER(BA69),
  MIN(MAX(
    BA69
    + MAX(
      ROUNDDOWN((D70 - MAX(IFERROR(FILTER(D$24:D69, BA$24:BA69 &lt;&gt; AZ$6, BA$23:BA68 = AZ$6), 0))) * (60 * 60 * 24) / AZ$9) - ROUNDDOWN((D69 - MAX(IFERROR(FILTER(D$23:D68, BA$23:BA68 &lt;&gt; AZ$6, BA$22:BA67 ="&amp;" AZ$6), 0))) * (60 * 60 * 24) / AZ$9),
      0
    )
    - COUNTIF(AZ70, ""&lt;&gt;-""),
  0), AZ$6),
  AZ$6 - COUNTIF(AZ70, ""&lt;&gt;-"")
)"),2.0)</f>
        <v>2</v>
      </c>
      <c r="BB70" s="181" t="s">
        <v>1070</v>
      </c>
      <c r="BC70" s="183">
        <f>IFERROR(__xludf.DUMMYFUNCTION("IF(
  ISNUMBER(BC69),
  MIN(MAX(
    BC69
    + MAX(
      ROUNDDOWN(($D70 - MAX(IFERROR(FILTER($D$24:$D69, BC$24:BC69 &lt;&gt; BB$6, BC$23:BC68 = BB$6), 0))) * (60 * 60 * 24) / BB$9) - ROUNDDOWN(($D69 - MAX(IFERROR(FILTER($D$23:$D68, BC$23:BC68 &lt;&gt; BB$6, BC$22:"&amp;"BC67 = BB$6), 0))) * (60 * 60 * 24) / 60),
      0
    )
    - COUNTIF(BB70, ""&lt;&gt;-""),
  0), BB$6),
  BB$6 - COUNTIF(BB70, ""&lt;&gt;-"")
)"),2.0)</f>
        <v>2</v>
      </c>
      <c r="BD70" s="181" t="s">
        <v>1070</v>
      </c>
      <c r="BE70" s="178" t="b">
        <v>0</v>
      </c>
      <c r="BF70" s="180" t="b">
        <v>0</v>
      </c>
      <c r="BG70" s="180" t="b">
        <v>0</v>
      </c>
      <c r="BH70" s="180" t="b">
        <v>0</v>
      </c>
      <c r="BI70" s="180" t="b">
        <v>0</v>
      </c>
      <c r="BJ70" s="180" t="b">
        <v>0</v>
      </c>
      <c r="BK70" s="180" t="b">
        <v>0</v>
      </c>
      <c r="BL70" s="180" t="b">
        <v>0</v>
      </c>
      <c r="BM70" s="180" t="b">
        <v>0</v>
      </c>
      <c r="BN70" s="180" t="b">
        <v>0</v>
      </c>
      <c r="BO70" s="181" t="s">
        <v>1070</v>
      </c>
      <c r="BP70" s="181" t="s">
        <v>1070</v>
      </c>
      <c r="BQ70" s="181" t="s">
        <v>1070</v>
      </c>
      <c r="BR70" s="181" t="s">
        <v>1070</v>
      </c>
      <c r="BS70" s="181" t="s">
        <v>1070</v>
      </c>
      <c r="BT70" s="184">
        <f>IFERROR(__xludf.DUMMYFUNCTION("IF(
  ISNUMBER(BT69),
  MIN(MAX(
    BT69
    + MAX(
      ROUNDDOWN((D70 - MAX(IFERROR(FILTER(D$24:D69, BT$24:BT69 &lt;&gt; BS$6, BT$23:BT68 = BS$6), 0))) * (60 * 60 * 24) / BS$9) - ROUNDDOWN((D69 - MAX(IFERROR(FILTER(D$23:D68, BT$23:BT68 &lt;&gt; BS$6, BT$22:BT67 ="&amp;" BS$6), 0))) * (60 * 60 * 24) / BS$9),
      0
    )
    - COUNTIF(BS70, ""&lt;&gt;-""),
  0), BS$6),
  BS$6 - COUNTIF(BS70, ""&lt;&gt;-"")
)"),3.0)</f>
        <v>3</v>
      </c>
      <c r="BU70" s="181" t="s">
        <v>1070</v>
      </c>
      <c r="BV70" s="181" t="s">
        <v>1070</v>
      </c>
      <c r="BW70" s="184">
        <f>IFERROR(__xludf.DUMMYFUNCTION("IF(
  ISNUMBER(BW69),
  MIN(MAX(
    BW69
    + MAX(
      ROUNDDOWN((D70 - MAX(IFERROR(FILTER(D$24:D69, BW$24:BW69 &lt;&gt; BV$6, BW$23:BW68 = BV$6), 0))) * (60 * 60 * 24) / BV$9) - ROUNDDOWN((D69 - MAX(IFERROR(FILTER(D$23:D68, BW$23:BW68 &lt;&gt; BV$6, BW$22:BW67 ="&amp;" BV$6), 0))) * (60 * 60 * 24) / BV$9),
      0
    )
    - COUNTIF(BV70, ""&lt;&gt;-""),
  0), BV$6),
  BV$6 - COUNTIF(BV70, ""&lt;&gt;-"")
)"),2.0)</f>
        <v>2</v>
      </c>
      <c r="BX70" s="185" t="s">
        <v>1070</v>
      </c>
      <c r="BY70" s="178" t="b">
        <v>0</v>
      </c>
      <c r="BZ70" s="180" t="b">
        <v>0</v>
      </c>
      <c r="CA70" s="180" t="b">
        <v>0</v>
      </c>
      <c r="CB70" s="180" t="b">
        <v>0</v>
      </c>
      <c r="CC70" s="180" t="b">
        <v>0</v>
      </c>
      <c r="CD70" s="180" t="b">
        <v>0</v>
      </c>
      <c r="CE70" s="180" t="b">
        <v>0</v>
      </c>
      <c r="CF70" s="180" t="b">
        <v>0</v>
      </c>
      <c r="CG70" s="180" t="b">
        <v>0</v>
      </c>
      <c r="CH70" s="180" t="b">
        <v>0</v>
      </c>
      <c r="CI70" s="180" t="b">
        <v>0</v>
      </c>
      <c r="CJ70" s="180" t="b">
        <v>0</v>
      </c>
      <c r="CK70" s="180" t="b">
        <v>0</v>
      </c>
      <c r="CL70" s="180" t="b">
        <v>0</v>
      </c>
      <c r="CM70" s="181" t="s">
        <v>1070</v>
      </c>
      <c r="CN70" s="181" t="s">
        <v>1070</v>
      </c>
      <c r="CO70" s="181" t="s">
        <v>1070</v>
      </c>
      <c r="CP70" s="181" t="s">
        <v>1070</v>
      </c>
      <c r="CQ70" s="185" t="s">
        <v>1070</v>
      </c>
      <c r="CR70" s="180" t="b">
        <v>0</v>
      </c>
      <c r="CS70" s="186" t="str">
        <f t="shared" si="14"/>
        <v>◇◇◇</v>
      </c>
      <c r="CT70" s="178" t="b">
        <v>0</v>
      </c>
      <c r="CU70" s="180" t="b">
        <v>0</v>
      </c>
      <c r="CV70" s="180" t="b">
        <v>0</v>
      </c>
      <c r="CW70" s="180" t="b">
        <v>0</v>
      </c>
      <c r="CX70" s="180" t="b">
        <v>0</v>
      </c>
      <c r="CY70" s="180" t="b">
        <v>0</v>
      </c>
      <c r="CZ70" s="180" t="b">
        <v>0</v>
      </c>
      <c r="DA70" s="180" t="b">
        <v>0</v>
      </c>
      <c r="DB70" s="180" t="b">
        <v>0</v>
      </c>
      <c r="DC70" s="180" t="b">
        <v>0</v>
      </c>
      <c r="DD70" s="181" t="s">
        <v>1070</v>
      </c>
      <c r="DE70" s="181" t="s">
        <v>1070</v>
      </c>
      <c r="DF70" s="181" t="s">
        <v>1070</v>
      </c>
      <c r="DG70" s="185" t="s">
        <v>1070</v>
      </c>
      <c r="DH70" s="180" t="b">
        <v>0</v>
      </c>
      <c r="DI70" s="187" t="str">
        <f>IFERROR(__xludf.DUMMYFUNCTION("SWITCH(
  IF(
    ISTEXT(DI69),
    IF (
      FIND(""○"", DI69&amp;""○"") &gt; 3,
      3,
      FIND(""○"", DI69&amp;""○"")
      + MAX(
        ROUNDDOWN(($D70 - MAX(IFERROR(FILTER(D$24:D69, DI$24:DI69 &lt;&gt; ""●●●"", DI$23:DI68 = ""●●●""), 0))) * (60 * 60 * 24) / 20"&amp;") - ROUNDDOWN(($D69 - MAX(IFERROR(FILTER(D$23:D68, DI$23:DI68 &lt;&gt; ""●●●"", DI$22:DI67 = ""●●●""), 0))) * (60 * 60 * 24) / 20),
        0
      ) - 1
    ) - COUNTIFS(CU70, ""=TRUE"", CU69, ""&lt;&gt;TRUE"") - COUNTIF(CZ70, ""=TRUE"") - COUNTIF({DD70,DE70}, ""&lt;&gt;-"&amp;""") + COUNTIF(DH70, ""=TRUE""),
    3
  ),
  0, ""○○○"", 1, ""●○○"", 2, ""●●○"", 3, ""●●●"", 4, ""●●●"", ""○○○""
)"),"●●●")</f>
        <v>●●●</v>
      </c>
      <c r="DJ70" s="188" t="b">
        <v>0</v>
      </c>
      <c r="DK70" s="189" t="b">
        <v>0</v>
      </c>
      <c r="DL70" s="190" t="b">
        <v>0</v>
      </c>
      <c r="DM70" s="190" t="b">
        <v>0</v>
      </c>
      <c r="DN70" s="190" t="b">
        <v>0</v>
      </c>
      <c r="DO70" s="190" t="b">
        <v>0</v>
      </c>
      <c r="DP70" s="190" t="b">
        <v>0</v>
      </c>
      <c r="DQ70" s="191" t="b">
        <v>0</v>
      </c>
      <c r="DR70" s="192" t="b">
        <v>0</v>
      </c>
      <c r="DS70" s="191" t="b">
        <v>0</v>
      </c>
      <c r="DT70" s="192" t="b">
        <v>0</v>
      </c>
      <c r="DU70" s="191" t="b">
        <v>0</v>
      </c>
      <c r="DV70" s="193" t="s">
        <v>1070</v>
      </c>
      <c r="DW70" s="194" t="b">
        <v>0</v>
      </c>
      <c r="DX70" s="194" t="b">
        <v>0</v>
      </c>
      <c r="DY70" s="195" t="b">
        <v>0</v>
      </c>
      <c r="DZ70" s="196" t="b">
        <v>0</v>
      </c>
      <c r="EA70" s="195" t="b">
        <v>0</v>
      </c>
      <c r="EB70" s="197" t="b">
        <v>0</v>
      </c>
      <c r="EC70" s="197" t="b">
        <v>0</v>
      </c>
      <c r="ED70" s="212" t="b">
        <v>0</v>
      </c>
      <c r="EE70" s="199">
        <f>IFERROR(__xludf.DUMMYFUNCTION("IFERROR(
   PRODUCT(
     MAP(
       INDEX(TRANSPOSE(UNIQUE(TRANSPOSE(FILTER({IF($F70=""Physical"", K$10:ED$10, IF($F70=""Magic"", K$11:ED$11, K$12:ED$12));K$4:ED$4;K70:ED70}, K70:ED70=TRUE)))), 1, 0),
       INDEX(TRANSPOSE(UNIQUE(TRANSPOSE(FILTER({IF($"&amp;"F70=""Physical"", K$18:ED$18, IF($F70=""Magic"", K$19:ED$19, K$20:ED$20));K$4:ED$4;K70:ED70}, K70:ED70=TRUE)))), 1, 0),
       INDEX(TRANSPOSE(UNIQUE(TRANSPOSE(FILTER({K$5:ED$5;K$4:ED$4;K70:ED70}, K70:ED70=TRUE)))), 1, 0),
       INDEX(TRANSPOSE(UNIQUE(TR"&amp;"ANSPOSE(FILTER({K$17:ED$17;K$4:ED$4;K70:ED70}, K70:ED70=TRUE)))), 1, 0),
       LAMBDA(
         mitigation,
         enhance,
         assign,
         precondition,
         IF(
           REGEXMATCH(assign, ""RANGE_PARTY|SINGLE_ENEMY|RANGE_ENEMY""),
  "&amp;"         IF(
             OR(ARRAYFORMULA((IF(precondition="""", FALSE, REGEXMATCH(K$4:ED$4, precondition))) * (K70:ED70=TRUE))),
             IF(ISNUMBER(enhance), enhance, 1),
             IF(ISNUMBER(mitigation), mitigation, 1)
           ),
          "&amp;" 1
         )
       )
     )
   ),
   1
 )"),1.0)</f>
        <v>1</v>
      </c>
      <c r="EF70" s="200">
        <f>IFERROR(__xludf.DUMMYFUNCTION("PRODUCT(
   MAP(
     K$14:ED$14,
     K$13:ED$13,
     K70:ED70,
     LAMBDA(
       buff,
       target,
       check,
       IF(
         AND(check=TRUE, REGEXMATCH(target, ""RANGE_AFFECTED_ALL|RANGE_EFFECTED_ALL""), ISNUMBER(buff)),
         buff,
   "&amp;"      1
       )
     )
   )
 )"),1.0)</f>
        <v>1</v>
      </c>
      <c r="EG70" s="200">
        <f>IFERROR(__xludf.DUMMYFUNCTION("PRODUCT(
   MAP(
     K$14:ED$14,
     K$13:ED$13,
     K70:ED70,
     LAMBDA(
       buff,
       target,
       check,
       IF(
         AND(check=TRUE, REGEXMATCH(target, ""RANGE_AFFECTED_GCD|RANGE_EFFECTED_GCD""), ISNUMBER(buff)),
         buff,
   "&amp;"      1
       )
     )
   )
 )"),1.0)</f>
        <v>1</v>
      </c>
      <c r="EH70" s="200">
        <f>IFERROR(__xludf.DUMMYFUNCTION("PRODUCT(
   MAP(
     K$3:ED$3,
     K$14:ED$14,
     K$13:ED$13,
     K70:ED70,
     LAMBDA(
       job,
       buff,
       target,
       check,
       IF(
         AND(check=TRUE, REGEXMATCH(target, ""SELF_EFFECTED_ALL""), ISNUMBER(buff), job=""白魔道士"""&amp;"),
         buff,
         1
       )
     )
   )
 )"),1.0)</f>
        <v>1</v>
      </c>
      <c r="EI70" s="200">
        <f>IFERROR(__xludf.DUMMYFUNCTION("PRODUCT(
   MAP(
     K$3:ED$3,
     K$14:ED$14,
     K$13:ED$13,
     K70:ED70,
     LAMBDA(
       job,
       buff,
       target,
       check,
       IF(
         AND(check=TRUE, REGEXMATCH(target, ""SELF_EFFECTED_GCD""), ISNUMBER(buff), job=""白魔道士"""&amp;"),
         buff,
         1
       )
     )
   )
 )"),1.0)</f>
        <v>1</v>
      </c>
      <c r="EJ70" s="200">
        <f>IFERROR(__xludf.DUMMYFUNCTION("PRODUCT(
   MAP(
     K$3:ED$3,
     K$14:ED$14,
     K$13:ED$13,
     K70:ED70,
     LAMBDA(
       job,
       buff,
       target,
       check,
       IF(
         AND(check=TRUE, REGEXMATCH(target, ""SELF_EFFECTED_ALL""), ISNUMBER(buff), job=""占星術師"""&amp;"),
         buff,
         1
       )
     )
   )
 )"),1.0)</f>
        <v>1</v>
      </c>
      <c r="EK70" s="200">
        <f>IFERROR(__xludf.DUMMYFUNCTION("PRODUCT(
   MAP(
     K$3:ED$3,
     K$14:ED$14,
     K$13:ED$13,
     K70:ED70,
     LAMBDA(
       job,
       buff,
       target,
       check,
       IF(
         AND(check=TRUE, REGEXMATCH(target, ""SELF_EFFECTED_GCD""), ISNUMBER(buff), job=""占星術師"""&amp;"),
         buff,
         1
       )
     )
   )
 )"),1.0)</f>
        <v>1</v>
      </c>
      <c r="EL70" s="200">
        <f>IFERROR(__xludf.DUMMYFUNCTION("PRODUCT(
   MAP(
     K$3:ED$3,
     K$14:ED$14,
     K$13:ED$13,
     K70:ED70,
     LAMBDA(
       job,
       buff,
       target,
       check,
       IF(
         AND(check=TRUE, REGEXMATCH(target, ""SELF_EFFECTED_ALL""), ISNUMBER(buff), job=""学者""),"&amp;"
         buff,
         1
       )
     )
   )
 )"),1.0)</f>
        <v>1</v>
      </c>
      <c r="EM70" s="200">
        <f>IFERROR(__xludf.DUMMYFUNCTION("PRODUCT(
   MAP(
     K$3:ED$3,
     K$14:ED$14,
     K$13:ED$13,
     K70:ED70,
     LAMBDA(
       job,
       buff,
       target,
       check,
       IF(
         AND(check=TRUE, REGEXMATCH(target, ""SELF_EFFECTED_GCD""), ISNUMBER(buff), job=""学者""),"&amp;"
         buff,
         1
       )
     )
   )
 )"),1.0)</f>
        <v>1</v>
      </c>
      <c r="EN70" s="200">
        <f>IFERROR(__xludf.DUMMYFUNCTION("PRODUCT(
   MAP(
     K$3:ED$3,
     K$14:ED$14,
     K$13:ED$13,
     K70:ED70,
     LAMBDA(
       job,
       buff,
       target,
       check,
       IF(
         AND(check=TRUE, REGEXMATCH(target, ""SELF_EFFECTED_ALL""), ISNUMBER(buff), job=""賢者""),"&amp;"
         buff,
         1
       )
     )
   )
 )"),1.0)</f>
        <v>1</v>
      </c>
      <c r="EO70" s="200">
        <f>IFERROR(__xludf.DUMMYFUNCTION("PRODUCT(
   MAP(
     K$3:ED$3,
     K$14:ED$14,
     K$13:ED$13,
     K70:ED70,
     LAMBDA(
       job,
       buff,
       target,
       check,
       IF(
         AND(check=TRUE, REGEXMATCH(target, ""SELF_EFFECTED_GCD""), ISNUMBER(buff), job=""賢者""),"&amp;"
         buff,
         1
       )
     )
   )
 )"),1.0)</f>
        <v>1</v>
      </c>
      <c r="EP70" s="201">
        <f t="shared" si="3"/>
        <v>0</v>
      </c>
      <c r="EQ70" s="201">
        <f>IFERROR(__xludf.DUMMYFUNCTION("SUM(
   MAP(
     K$4:ED$4,
     K$3:ED$3,
     K$7:ED$7,
     K$15:ED$15,
     K$16:ED$16,
     K$21:ED$21,
     K$5:ED$5,
     K$17:ED$17,
     K70:ED70,
     LAMBDA(
       name,
       job,
       abillity,
       buff,
       barrier,
       enhance,"&amp;"
       assign,
       precondition,
       check,
       SWITCH(
         name,
         ""シェイクオフ"", IF(check=TRUE, buff + (0.02 * COUNTIF(ARRAYFORMULA((REGEXMATCH($K$4:$ED$4, ""スリル・オブ・バトル|ヴェンジェンス|原初の血気|ダムネーション"")) * (K70:ED70=TRUE)), 1)), 0),
         "&amp;"""インプロビゼーションフィニッシュ(踊りの激情0)"", IF(ISNUMBER(check), INDEX(Skill!$AJ:$AJ, MATCH(SUBSTITUTE(DV$4, 0, check), Skill!$C:$C, 0)), 0),
         IF(
           AND(check=TRUE, REGEXMATCH(assign, ""RANGE_PARTY"")),
           IF(
             OR(ARRAYFORMULA((IF(pr"&amp;"econdition="""", FALSE, REGEXMATCH($K$4:$ED$4, precondition))) * (K70:ED70=TRUE))),
             enhance,
             IF(barrier="""", buff, barrier)
           ),
           0
         )
       ) *
       SWITCH(
         job,
         ""ナイト"", EY$24,
 "&amp;"        ""戦士"", FD$24,
         ""踊り子"", ET$24,
         ""ピクトマンサー"", ET$24,
         ""白魔道士"", EF70 * EH70 * IF(abillity, 1, EG70 * EI70) * (Option!$D$22 * 0.81 / 100),
         ""占星術師"", EF70 * EJ70 * IF(abillity, 1, EG70 * EK70) * (Option!$D$23 * 0.81 "&amp;"/ 100),
         ""学者"", EF70 * EL70 * IF(abillity, 1, EG70 * EM70) * (Option!$D$24 * 0.81 / 100),
         ""賢者"", EF70 * EN70 * IF(abillity, 1, EG70 * EO70) * (Option!$D$25 * 0.81 / 100),
         1
       )
     )
   )
 )"),0.0)</f>
        <v>0</v>
      </c>
      <c r="ER70" s="202">
        <f t="shared" si="4"/>
        <v>0</v>
      </c>
      <c r="ES70" s="203">
        <f t="shared" si="5"/>
        <v>0</v>
      </c>
      <c r="ET70" s="231" t="str">
        <f>IFERROR(__xludf.DUMMYFUNCTION("IFS(
  EP70 &gt; $ET$24 + EQ70,
  SPARKLINE({ 1, 0 }, {""charttype"",""bar"";""max"", 1;""color1"",Option!$D$30;""color2"",Option!$D$30}),
  EP70 &lt; EQ70,
  SPARKLINE({EQ70 - EP70, $ET$24 - (EQ70 - EP70)}, {""charttype"",""bar"";""max"",$ET$24;""color1"",Opti"&amp;"on!$D$28;""color2"",Option!$D$29}),
  EP70 &gt;= EQ70,
  SPARKLINE({$ET$24 + EQ70 - EP70,EP70 - EQ70}, {""charttype"",""bar"";""max"",$ET$24;""color1"",Option!$D$29;""color2"",Option!$D$30})
)"),"")</f>
        <v/>
      </c>
      <c r="EU70" s="205">
        <f>IFERROR(__xludf.DUMMYFUNCTION("PRODUCT(
   MAP(
     IF($F70=""Physical"", K$10:ED$10, IF($F70=""Magic"", K$11:ED$11, K$12:ED$12)),
     IF($F70=""Physical"", K$18:ED$18, IF($F70=""Magic"", K$19:ED$19, K$20:ED$20)),
     K$3:ED$3,
     K$5:ED$5,
     K$17:ED$17,
     K70:ED70,
     LAM"&amp;"BDA(
       mitigation,
       enhance,
       job,
       assign,
       precondition,
       check,
       IF(
         OR(AND(check=TRUE, REGEXMATCH(assign, ""SELF""), job=""ナイト""), AND(check=Option!$E$13, REGEXMATCH(assign, ""SINGLE_PARTY""))),
      "&amp;"   IF(
           OR(ARRAYFORMULA((IF(precondition="""", FALSE, REGEXMATCH($K$4:$ED$4, precondition))) * (K70:ED70=TRUE))),
           enhance,
           mitigation
         ),
         1
       )
     )
   )
 ) * EE70"),1.0)</f>
        <v>1</v>
      </c>
      <c r="EV70" s="206">
        <f t="shared" si="6"/>
        <v>0</v>
      </c>
      <c r="EW70" s="205">
        <f>IFERROR(__xludf.DUMMYFUNCTION("PRODUCT(
   MAP(
     K$3:ED$3,
     K$14:ED$14,
     K$13:ED$13,
     K70:ED70,
     LAMBDA(
       job,
       buff,
       target,
       check,
       IF(
         OR(AND(check=TRUE, REGEXMATCH(target, ""SELF_AFFECTED_ALL""), job=""ナイト""), AND(check=O"&amp;"ption!$E$13, REGEXMATCH(target, ""SINGLE_AFFECTED_ALL""))),
         buff,
         1
       )
     )
   )
 )"),1.0)</f>
        <v>1</v>
      </c>
      <c r="EX70" s="206">
        <f>IFERROR(__xludf.DUMMYFUNCTION("SUM(
   MAP(
     K$3:ED$3,
     K$7:ED$7,
     K$15:ED$15,
     K$16:ED$16,
     K$21:ED$21,
     K$5:ED$5,
     K$17:ED$17,
     K70:ED70,
     LAMBDA(
       job,
       abillity,
       buff,
       barrier,
       enhance,
       assign,
       preco"&amp;"ndition,
       check,
       IF(
         OR(AND(check=TRUE, REGEXMATCH(assign, ""SELF""), job=""ナイト""), AND(check=Option!$E$13, REGEXMATCH(assign, ""SINGLE_PARTY""))),
         IF(
           OR(ARRAYFORMULA((IF(precondition="""", FALSE, REGEXMATCH($K$4"&amp;":$ED$4, precondition))) * (K70:ED70=TRUE))),
           enhance,
           IF(barrier="""", buff, barrier)
         ),
         0
       ) *
       SWITCH(
         job,
         ""暗黒騎士"", EY$24,
         ""白魔道士"", EF70 * EH70 * EW70 * IF(abillity, 1, EG"&amp;"70 * EI70) * (Option!$D$22 * 0.81 / 100),
         ""占星術師"", EF70 * EJ70 * EW70 * IF(abillity, 1, EG70 * EK70) * (Option!$D$23 * 0.81 / 100),
         ""学者"", EF70 * EL70 * EW70 * IF(abillity, 1, EG70 * EM70) * (Option!$D$24 * 0.81 / 100),
         ""賢者"""&amp;", EF70 * EN70 * EW70 * IF(abillity, 1, EG70 * EO70) * (Option!$D$25 * 0.81 / 100),
         1
       )
     )
   )
 ) + EQ70"),0.0)</f>
        <v>0</v>
      </c>
      <c r="EY70" s="232">
        <f t="shared" si="7"/>
        <v>0</v>
      </c>
      <c r="EZ70" s="205">
        <f>IFERROR(__xludf.DUMMYFUNCTION("PRODUCT(
   MAP(
     IF($F70=""Physical"", K$10:ED$10, IF($F70=""Magic"", K$11:ED$11, K$12:ED$12)),
     IF($F70=""Physical"", K$18:ED$18, IF($F70=""Magic"", K$19:ED$19, K$20:ED$20)),
     K$3:ED$3,
     K$5:ED$5,
     K$17:ED$17,
     K70:ED70,
     LAM"&amp;"BDA(
       mitigation,
       enhance,
       job,
       assign,
       precondition,
       check,
       IF(
         OR(AND(check=TRUE, REGEXMATCH(assign, ""SELF""), job=""戦士""), AND(check=Option!$F$13, REGEXMATCH(assign, ""SINGLE_PARTY""))),
       "&amp;"  IF(
           OR(ARRAYFORMULA((IF(precondition="""", FALSE, REGEXMATCH($K$4:$ED$4, precondition))) * (K70:ED70=TRUE))),
           enhance,
           mitigation
         ),
         1
       )
     )
   )
 ) * EE70"),1.0)</f>
        <v>1</v>
      </c>
      <c r="FA70" s="206">
        <f t="shared" si="8"/>
        <v>0</v>
      </c>
      <c r="FB70" s="205">
        <f>IFERROR(__xludf.DUMMYFUNCTION("PRODUCT(
   MAP(
     K$3:ED$3,
     K$14:ED$14,
     K$13:ED$13,
     K70:ED70,
     LAMBDA(
       job,
       buff,
       target,
       check,
       IF(
         OR(AND(check=TRUE, REGEXMATCH(target, ""SELF_AFFECTED_ALL""), job=""戦士""), AND(check=Op"&amp;"tion!$F$13, REGEXMATCH(target, ""SINGLE_AFFECTED_ALL""))),
         buff,
         1
       )
     )
   )
 )"),1.0)</f>
        <v>1</v>
      </c>
      <c r="FC70" s="206">
        <f>IFERROR(__xludf.DUMMYFUNCTION("SUM(
   MAP(
     K$3:ED$3,
     K$7:ED$7,
     K$15:ED$15,
     K$16:ED$16,
     K$21:ED$21,
     K$5:ED$5,
     K$17:ED$17,
     K70:ED70,
     LAMBDA(
       job,
       abillity,
       buff,
       barrier,
       enhance,
       assign,
       preco"&amp;"ndition,
       check,
       IF(
         OR(AND(check=TRUE, REGEXMATCH(assign, ""SELF""), job=""戦士""), AND(check=Option!$F$13, REGEXMATCH(assign, ""SINGLE_PARTY""))),
         IF(
           OR(ARRAYFORMULA((IF(precondition="""", FALSE, REGEXMATCH($K$4:"&amp;"$ED$4, precondition))) * (K70:ED70=TRUE))),
           enhance,
           IF(barrier="""", buff, barrier)
         ),
         0
       ) *
       SWITCH(
         job,
         ""暗黒騎士"", FD$24,
         ""白魔道士"", EF70 * EH70 * FB70 * IF(abillity, 1, EG7"&amp;"0 * EI70) * (Option!$D$22 * 0.81 / 100),
         ""占星術師"", EF70 * EJ70 * FFB70 * IF(abillity, 1, EG70 * EK70) * (Option!$D$23 * 0.81 / 100),
         ""学者"", EF70 * EL70 * FB70 * IF(abillity, 1, EG70 * EM70) * (Option!$D$24 * 0.81 / 100),
         ""賢者"""&amp;", EF70 * EN70 * FB70 * IF(abillity, 1, EG70 * EO70) * (Option!$D$25 * 0.81 / 100),
         1
       )
     )
   )
 ) + EQ70"),0.0)</f>
        <v>0</v>
      </c>
      <c r="FD70" s="206">
        <f t="shared" si="9"/>
        <v>0</v>
      </c>
      <c r="FE70" s="205">
        <f>IFERROR(__xludf.DUMMYFUNCTION("PRODUCT(
   MAP(
     IF($F70=""Physical"", K$10:ED$10, IF($F70=""Magic"", K$11:ED$11, K$12:ED$12)),
     IF($F70=""Physical"", K$18:ED$18, IF($F70=""Magic"", K$19:ED$19, K$20:ED$20)),
     K$3:ED$3,
     K$5:ED$5,
     K$17:ED$17,
     K70:ED70,
     LAM"&amp;"BDA(
       mitigation,
       enhance,
       job,
       assign,
       precondition,
       check,
       IF(
         OR(AND(check=TRUE, REGEXMATCH(assign, ""SELF""), job=""暗黒騎士""), AND(check=Option!$G$13, REGEXMATCH(assign, ""SINGLE_PARTY""))),
     "&amp;"    IF(
           OR(ARRAYFORMULA((IF(precondition="""", FALSE, REGEXMATCH($K$4:$ED$4, precondition))) * (K70:ED70=TRUE))),
           enhance,
           mitigation
         ),
         1
       )
     )
   )
 ) * EE70"),1.0)</f>
        <v>1</v>
      </c>
      <c r="FF70" s="206">
        <f t="shared" si="10"/>
        <v>0</v>
      </c>
      <c r="FG70" s="205">
        <f>IFERROR(__xludf.DUMMYFUNCTION("PRODUCT(
   MAP(
     K$3:ED$3,
     K$14:ED$14,
     K$13:ED$13,
     K70:ED70,
     LAMBDA(
       job,
       buff,
       target,
       check,
       IF(
         OR(AND(check=TRUE, REGEXMATCH(target, ""SELF_AFFECTED_ALL""), job=""暗黒騎士""), AND(check="&amp;"Option!$G$13, REGEXMATCH(target, ""SINGLE_AFFECTED_ALL""))),
         buff,
         1
       )
     )
   )
 )"),1.0)</f>
        <v>1</v>
      </c>
      <c r="FH70" s="206">
        <f>IFERROR(__xludf.DUMMYFUNCTION("SUM(
   MAP(
     K$3:ED$3,
     K$7:ED$7,
     K$15:ED$15,
     K$16:ED$16,
     K$21:ED$21,
     K$5:ED$5,
     K$17:ED$17,
     K70:ED70,
     LAMBDA(
       job,
       abillity,
       buff,
       barrier,
       enhance,
       assign,
       preco"&amp;"ndition,
       check,
       IF(
         OR(AND(check=TRUE, REGEXMATCH(assign, ""SELF""), job=""暗黒騎士""), AND(check=Option!$G$13, REGEXMATCH(assign, ""SINGLE_PARTY""))),
         IF(
           OR(ARRAYFORMULA((IF(precondition="""", FALSE, REGEXMATCH($K$"&amp;"4:$ED$4, precondition))) * (K70:ED70=TRUE))),
           enhance,
           IF(barrier="""", buff, barrier)
         ),
         0
       ) *
       SWITCH(
         job,
         ""暗黒騎士"", FI$24,
         ""白魔道士"", EF70 * EH70 * FG70 * IF(abillity, 1, E"&amp;"G70 * EI70) * (Option!$D$22 * 0.81 / 100),
         ""占星術師"", EF70 * EJ70 * FG70 * IF(abillity, 1, EG70 * EK70) * (Option!$D$23 * 0.81 / 100),
         ""学者"", EF70 * EL70 * FG70 * IF(abillity, 1, EG70 * EM70) * (Option!$D$24 * 0.81 / 100),
         ""賢者"&amp;""", EF70 * EN70 * FG70 * IF(abillity, 1, EG70 * EO70) * (Option!$D$25 * 0.81 / 100),
         1
       )
     )
   )
 ) + EQ70"),0.0)</f>
        <v>0</v>
      </c>
      <c r="FI70" s="206">
        <f t="shared" si="11"/>
        <v>0</v>
      </c>
      <c r="FJ70" s="205">
        <f>IFERROR(__xludf.DUMMYFUNCTION("PRODUCT(
   MAP(
     IF($F70=""Physical"", K$10:ED$10, IF($F70=""Magic"", K$11:ED$11, K$12:ED$12)),
     IF($F70=""Physical"", K$18:ED$18, IF($F70=""Magic"", K$19:ED$19, K$20:ED$20)),
     K$3:ED$3,
     K$5:ED$5,
     K$17:ED$17,
     K70:ED70,
     LAM"&amp;"BDA(
       mitigation,
       enhance,
       job,
       assign,
       precondition,
       check,
       IF(
         OR(AND(check=TRUE, REGEXMATCH(assign, ""SELF""), job=""ガンブレイカー""), AND(check=Option!$H$13, REGEXMATCH(assign, ""SINGLE_PARTY""))),
  "&amp;"       IF(
           OR(ARRAYFORMULA((IF(precondition="""", FALSE, REGEXMATCH($K$4:$ED$4, precondition))) * (K70:ED70=TRUE))),
           enhance,
           mitigation
         ),
         1
       )
     )
   )
 ) * EE70"),1.0)</f>
        <v>1</v>
      </c>
      <c r="FK70" s="206">
        <f t="shared" si="12"/>
        <v>0</v>
      </c>
      <c r="FL70" s="205">
        <f>IFERROR(__xludf.DUMMYFUNCTION("PRODUCT(
   MAP(
     K$3:ED$3,
     K$14:ED$14,
     K$13:ED$13,
     K70:ED70,
     LAMBDA(
       job,
       buff,
       target,
       check,
       IF(
         OR(AND(check=TRUE, REGEXMATCH(target, ""SELF_AFFECTED_ALL""), job=""ガンブレイカー""), AND(che"&amp;"ck=Option!$H$13, REGEXMATCH(target, ""SINGLE_AFFECTED_ALL""))),
         buff,
         1
       )
     )
   )
 )"),1.0)</f>
        <v>1</v>
      </c>
      <c r="FM70" s="206">
        <f>IFERROR(__xludf.DUMMYFUNCTION("SUM(
   MAP(
     K$3:ED$3,
     K$7:ED$7,
     K$15:ED$15,
     K$16:ED$16,
     K$21:ED$21,
     K$5:ED$5,
     K$17:ED$17,
     K70:ED70,
     LAMBDA(
       job,
       abillity,
       buff,
       barrier,
       enhance,
       assign,
       preco"&amp;"ndition,
       check,
       IF(
         OR(AND(check=TRUE, REGEXMATCH(assign, ""SELF""), job=""ガンブレイカー""), AND(check=Option!$H$13, REGEXMATCH(assign, ""SINGLE_PARTY""))),
         IF(
           OR(ARRAYFORMULA((IF(precondition="""", FALSE, REGEXMATCH("&amp;"$K$4:$ED$4, precondition))) * (K70:ED70=TRUE))),
           enhance,
           IF(barrier="""", buff, barrier)
         ),
         0
       ) *
       SWITCH(
         job,
         ""暗黒騎士"", FN$24,
         ""白魔道士"", EF70 * EH70 * FL70 * IF(abillity, 1"&amp;", EG70 * EI70) * (Option!$D$22 * 0.81 / 100),
         ""占星術師"", EF70 * EJ70 * FL70 * IF(abillity, 1, EG70 * EK70) * (Option!$D$23 * 0.81 / 100),
         ""学者"", EF70 * EL70 * FL70 * IF(abillity, 1, EG70 * EM70) * (Option!$D$24 * 0.81 / 100),
         """&amp;"賢者"", EF70 * EN70 * FL70 * IF(abillity, 1, EG70 * EO70) * (Option!$D$25 * 0.81 / 100),
         1
       )
     )
   )
 ) + EQ70"),0.0)</f>
        <v>0</v>
      </c>
      <c r="FN70" s="206">
        <f t="shared" si="13"/>
        <v>0</v>
      </c>
      <c r="FO70" s="213"/>
    </row>
    <row r="71">
      <c r="B71" s="229"/>
      <c r="C71" s="217">
        <f t="shared" si="1"/>
        <v>0.00380787037</v>
      </c>
      <c r="D71" s="236"/>
      <c r="E71" s="238"/>
      <c r="F71" s="167"/>
      <c r="G71" s="168" t="str">
        <f t="shared" si="2"/>
        <v/>
      </c>
      <c r="H71" s="169"/>
      <c r="I71" s="169"/>
      <c r="J71" s="169"/>
      <c r="K71" s="170" t="b">
        <v>0</v>
      </c>
      <c r="L71" s="170" t="b">
        <v>0</v>
      </c>
      <c r="M71" s="170" t="b">
        <v>0</v>
      </c>
      <c r="N71" s="171" t="s">
        <v>1070</v>
      </c>
      <c r="O71" s="172" t="b">
        <v>0</v>
      </c>
      <c r="P71" s="173" t="b">
        <v>0</v>
      </c>
      <c r="Q71" s="173" t="b">
        <v>0</v>
      </c>
      <c r="R71" s="173" t="b">
        <v>0</v>
      </c>
      <c r="S71" s="174" t="b">
        <v>0</v>
      </c>
      <c r="T71" s="175" t="b">
        <v>0</v>
      </c>
      <c r="U71" s="173" t="b">
        <v>0</v>
      </c>
      <c r="V71" s="171" t="s">
        <v>1070</v>
      </c>
      <c r="W71" s="172" t="b">
        <v>0</v>
      </c>
      <c r="X71" s="173" t="b">
        <v>0</v>
      </c>
      <c r="Y71" s="173" t="b">
        <v>0</v>
      </c>
      <c r="Z71" s="173" t="b">
        <v>0</v>
      </c>
      <c r="AA71" s="174" t="b">
        <v>0</v>
      </c>
      <c r="AB71" s="174" t="b">
        <v>0</v>
      </c>
      <c r="AC71" s="175" t="b">
        <v>0</v>
      </c>
      <c r="AD71" s="173" t="b">
        <v>0</v>
      </c>
      <c r="AE71" s="176" t="s">
        <v>1070</v>
      </c>
      <c r="AF71" s="171" t="s">
        <v>1070</v>
      </c>
      <c r="AG71" s="177">
        <f>IFERROR(__xludf.DUMMYFUNCTION("IF(
  ISNUMBER(AG70),
  MIN(MAX(
    AG70
    + MAX(
      ROUNDDOWN(($D71 - MAX(IFERROR(FILTER($D$24:$D70, AG$24:AG70 &lt;&gt; AF$6, AG$23:AG69 = AF$6), 0))) * (60 * 60 * 24) / AF$9) - ROUNDDOWN(($D70 - MAX(IFERROR(FILTER($D$23:$D69, AG$23:AG69 &lt;&gt; AF$6, AG$22:"&amp;"AG68 = AF$6), 0))) * (60 * 60 * 24) / 60),
      0
    )
    - COUNTIF(AF71, ""&lt;&gt;-""),
  0), AF$6),
  AF$6 - COUNTIF(AF71, ""&lt;&gt;-"")
)"),2.0)</f>
        <v>2</v>
      </c>
      <c r="AH71" s="173" t="b">
        <v>0</v>
      </c>
      <c r="AI71" s="173" t="b">
        <v>0</v>
      </c>
      <c r="AJ71" s="173" t="b">
        <v>0</v>
      </c>
      <c r="AK71" s="174" t="b">
        <v>0</v>
      </c>
      <c r="AL71" s="175" t="b">
        <v>0</v>
      </c>
      <c r="AM71" s="173" t="b">
        <v>0</v>
      </c>
      <c r="AN71" s="171" t="s">
        <v>1070</v>
      </c>
      <c r="AO71" s="173" t="b">
        <v>0</v>
      </c>
      <c r="AP71" s="173" t="b">
        <v>0</v>
      </c>
      <c r="AQ71" s="173" t="b">
        <v>0</v>
      </c>
      <c r="AR71" s="174" t="b">
        <v>0</v>
      </c>
      <c r="AS71" s="178" t="b">
        <v>0</v>
      </c>
      <c r="AT71" s="179" t="b">
        <v>0</v>
      </c>
      <c r="AU71" s="180" t="b">
        <v>0</v>
      </c>
      <c r="AV71" s="180" t="b">
        <v>0</v>
      </c>
      <c r="AW71" s="180" t="b">
        <v>0</v>
      </c>
      <c r="AX71" s="180" t="b">
        <v>0</v>
      </c>
      <c r="AY71" s="181" t="s">
        <v>1070</v>
      </c>
      <c r="AZ71" s="181" t="s">
        <v>1070</v>
      </c>
      <c r="BA71" s="184">
        <f>IFERROR(__xludf.DUMMYFUNCTION("IF(
  ISNUMBER(BA70),
  MIN(MAX(
    BA70
    + MAX(
      ROUNDDOWN((D71 - MAX(IFERROR(FILTER(D$24:D70, BA$24:BA70 &lt;&gt; AZ$6, BA$23:BA69 = AZ$6), 0))) * (60 * 60 * 24) / AZ$9) - ROUNDDOWN((D70 - MAX(IFERROR(FILTER(D$23:D69, BA$23:BA69 &lt;&gt; AZ$6, BA$22:BA68 ="&amp;" AZ$6), 0))) * (60 * 60 * 24) / AZ$9),
      0
    )
    - COUNTIF(AZ71, ""&lt;&gt;-""),
  0), AZ$6),
  AZ$6 - COUNTIF(AZ71, ""&lt;&gt;-"")
)"),2.0)</f>
        <v>2</v>
      </c>
      <c r="BB71" s="181" t="s">
        <v>1070</v>
      </c>
      <c r="BC71" s="183">
        <f>IFERROR(__xludf.DUMMYFUNCTION("IF(
  ISNUMBER(BC70),
  MIN(MAX(
    BC70
    + MAX(
      ROUNDDOWN(($D71 - MAX(IFERROR(FILTER($D$24:$D70, BC$24:BC70 &lt;&gt; BB$6, BC$23:BC69 = BB$6), 0))) * (60 * 60 * 24) / BB$9) - ROUNDDOWN(($D70 - MAX(IFERROR(FILTER($D$23:$D69, BC$23:BC69 &lt;&gt; BB$6, BC$22:"&amp;"BC68 = BB$6), 0))) * (60 * 60 * 24) / 60),
      0
    )
    - COUNTIF(BB71, ""&lt;&gt;-""),
  0), BB$6),
  BB$6 - COUNTIF(BB71, ""&lt;&gt;-"")
)"),2.0)</f>
        <v>2</v>
      </c>
      <c r="BD71" s="181" t="s">
        <v>1070</v>
      </c>
      <c r="BE71" s="178" t="b">
        <v>0</v>
      </c>
      <c r="BF71" s="180" t="b">
        <v>0</v>
      </c>
      <c r="BG71" s="180" t="b">
        <v>0</v>
      </c>
      <c r="BH71" s="180" t="b">
        <v>0</v>
      </c>
      <c r="BI71" s="180" t="b">
        <v>0</v>
      </c>
      <c r="BJ71" s="180" t="b">
        <v>0</v>
      </c>
      <c r="BK71" s="180" t="b">
        <v>0</v>
      </c>
      <c r="BL71" s="180" t="b">
        <v>0</v>
      </c>
      <c r="BM71" s="180" t="b">
        <v>0</v>
      </c>
      <c r="BN71" s="180" t="b">
        <v>0</v>
      </c>
      <c r="BO71" s="181" t="s">
        <v>1070</v>
      </c>
      <c r="BP71" s="181" t="s">
        <v>1070</v>
      </c>
      <c r="BQ71" s="181" t="s">
        <v>1070</v>
      </c>
      <c r="BR71" s="181" t="s">
        <v>1070</v>
      </c>
      <c r="BS71" s="181" t="s">
        <v>1070</v>
      </c>
      <c r="BT71" s="184">
        <f>IFERROR(__xludf.DUMMYFUNCTION("IF(
  ISNUMBER(BT70),
  MIN(MAX(
    BT70
    + MAX(
      ROUNDDOWN((D71 - MAX(IFERROR(FILTER(D$24:D70, BT$24:BT70 &lt;&gt; BS$6, BT$23:BT69 = BS$6), 0))) * (60 * 60 * 24) / BS$9) - ROUNDDOWN((D70 - MAX(IFERROR(FILTER(D$23:D69, BT$23:BT69 &lt;&gt; BS$6, BT$22:BT68 ="&amp;" BS$6), 0))) * (60 * 60 * 24) / BS$9),
      0
    )
    - COUNTIF(BS71, ""&lt;&gt;-""),
  0), BS$6),
  BS$6 - COUNTIF(BS71, ""&lt;&gt;-"")
)"),3.0)</f>
        <v>3</v>
      </c>
      <c r="BU71" s="181" t="s">
        <v>1070</v>
      </c>
      <c r="BV71" s="181" t="s">
        <v>1070</v>
      </c>
      <c r="BW71" s="184">
        <f>IFERROR(__xludf.DUMMYFUNCTION("IF(
  ISNUMBER(BW70),
  MIN(MAX(
    BW70
    + MAX(
      ROUNDDOWN((D71 - MAX(IFERROR(FILTER(D$24:D70, BW$24:BW70 &lt;&gt; BV$6, BW$23:BW69 = BV$6), 0))) * (60 * 60 * 24) / BV$9) - ROUNDDOWN((D70 - MAX(IFERROR(FILTER(D$23:D69, BW$23:BW69 &lt;&gt; BV$6, BW$22:BW68 ="&amp;" BV$6), 0))) * (60 * 60 * 24) / BV$9),
      0
    )
    - COUNTIF(BV71, ""&lt;&gt;-""),
  0), BV$6),
  BV$6 - COUNTIF(BV71, ""&lt;&gt;-"")
)"),2.0)</f>
        <v>2</v>
      </c>
      <c r="BX71" s="185" t="s">
        <v>1070</v>
      </c>
      <c r="BY71" s="178" t="b">
        <v>0</v>
      </c>
      <c r="BZ71" s="180" t="b">
        <v>0</v>
      </c>
      <c r="CA71" s="180" t="b">
        <v>0</v>
      </c>
      <c r="CB71" s="180" t="b">
        <v>0</v>
      </c>
      <c r="CC71" s="180" t="b">
        <v>0</v>
      </c>
      <c r="CD71" s="180" t="b">
        <v>0</v>
      </c>
      <c r="CE71" s="180" t="b">
        <v>0</v>
      </c>
      <c r="CF71" s="180" t="b">
        <v>0</v>
      </c>
      <c r="CG71" s="180" t="b">
        <v>0</v>
      </c>
      <c r="CH71" s="180" t="b">
        <v>0</v>
      </c>
      <c r="CI71" s="180" t="b">
        <v>0</v>
      </c>
      <c r="CJ71" s="180" t="b">
        <v>0</v>
      </c>
      <c r="CK71" s="180" t="b">
        <v>0</v>
      </c>
      <c r="CL71" s="180" t="b">
        <v>0</v>
      </c>
      <c r="CM71" s="181" t="s">
        <v>1070</v>
      </c>
      <c r="CN71" s="181" t="s">
        <v>1070</v>
      </c>
      <c r="CO71" s="181" t="s">
        <v>1070</v>
      </c>
      <c r="CP71" s="181" t="s">
        <v>1070</v>
      </c>
      <c r="CQ71" s="185" t="s">
        <v>1070</v>
      </c>
      <c r="CR71" s="180" t="b">
        <v>0</v>
      </c>
      <c r="CS71" s="186" t="str">
        <f t="shared" si="14"/>
        <v>◇◇◇</v>
      </c>
      <c r="CT71" s="178" t="b">
        <v>0</v>
      </c>
      <c r="CU71" s="180" t="b">
        <v>0</v>
      </c>
      <c r="CV71" s="180" t="b">
        <v>0</v>
      </c>
      <c r="CW71" s="180" t="b">
        <v>0</v>
      </c>
      <c r="CX71" s="180" t="b">
        <v>0</v>
      </c>
      <c r="CY71" s="180" t="b">
        <v>0</v>
      </c>
      <c r="CZ71" s="180" t="b">
        <v>0</v>
      </c>
      <c r="DA71" s="180" t="b">
        <v>0</v>
      </c>
      <c r="DB71" s="180" t="b">
        <v>0</v>
      </c>
      <c r="DC71" s="180" t="b">
        <v>0</v>
      </c>
      <c r="DD71" s="181" t="s">
        <v>1070</v>
      </c>
      <c r="DE71" s="181" t="s">
        <v>1070</v>
      </c>
      <c r="DF71" s="181" t="s">
        <v>1070</v>
      </c>
      <c r="DG71" s="185" t="s">
        <v>1070</v>
      </c>
      <c r="DH71" s="180" t="b">
        <v>0</v>
      </c>
      <c r="DI71" s="187" t="str">
        <f>IFERROR(__xludf.DUMMYFUNCTION("SWITCH(
  IF(
    ISTEXT(DI70),
    IF (
      FIND(""○"", DI70&amp;""○"") &gt; 3,
      3,
      FIND(""○"", DI70&amp;""○"")
      + MAX(
        ROUNDDOWN(($D71 - MAX(IFERROR(FILTER(D$24:D70, DI$24:DI70 &lt;&gt; ""●●●"", DI$23:DI69 = ""●●●""), 0))) * (60 * 60 * 24) / 20"&amp;") - ROUNDDOWN(($D70 - MAX(IFERROR(FILTER(D$23:D69, DI$23:DI69 &lt;&gt; ""●●●"", DI$22:DI68 = ""●●●""), 0))) * (60 * 60 * 24) / 20),
        0
      ) - 1
    ) - COUNTIFS(CU71, ""=TRUE"", CU70, ""&lt;&gt;TRUE"") - COUNTIF(CZ71, ""=TRUE"") - COUNTIF({DD71,DE71}, ""&lt;&gt;-"&amp;""") + COUNTIF(DH71, ""=TRUE""),
    3
  ),
  0, ""○○○"", 1, ""●○○"", 2, ""●●○"", 3, ""●●●"", 4, ""●●●"", ""○○○""
)"),"●●●")</f>
        <v>●●●</v>
      </c>
      <c r="DJ71" s="188" t="b">
        <v>0</v>
      </c>
      <c r="DK71" s="189" t="b">
        <v>0</v>
      </c>
      <c r="DL71" s="190" t="b">
        <v>0</v>
      </c>
      <c r="DM71" s="190" t="b">
        <v>0</v>
      </c>
      <c r="DN71" s="190" t="b">
        <v>0</v>
      </c>
      <c r="DO71" s="190" t="b">
        <v>0</v>
      </c>
      <c r="DP71" s="190" t="b">
        <v>0</v>
      </c>
      <c r="DQ71" s="191" t="b">
        <v>0</v>
      </c>
      <c r="DR71" s="192" t="b">
        <v>0</v>
      </c>
      <c r="DS71" s="191" t="b">
        <v>0</v>
      </c>
      <c r="DT71" s="192" t="b">
        <v>0</v>
      </c>
      <c r="DU71" s="191" t="b">
        <v>0</v>
      </c>
      <c r="DV71" s="193" t="s">
        <v>1070</v>
      </c>
      <c r="DW71" s="194" t="b">
        <v>0</v>
      </c>
      <c r="DX71" s="194" t="b">
        <v>0</v>
      </c>
      <c r="DY71" s="195" t="b">
        <v>0</v>
      </c>
      <c r="DZ71" s="196" t="b">
        <v>0</v>
      </c>
      <c r="EA71" s="195" t="b">
        <v>0</v>
      </c>
      <c r="EB71" s="197" t="b">
        <v>0</v>
      </c>
      <c r="EC71" s="197" t="b">
        <v>0</v>
      </c>
      <c r="ED71" s="212" t="b">
        <v>0</v>
      </c>
      <c r="EE71" s="199">
        <f>IFERROR(__xludf.DUMMYFUNCTION("IFERROR(
   PRODUCT(
     MAP(
       INDEX(TRANSPOSE(UNIQUE(TRANSPOSE(FILTER({IF($F71=""Physical"", K$10:ED$10, IF($F71=""Magic"", K$11:ED$11, K$12:ED$12));K$4:ED$4;K71:ED71}, K71:ED71=TRUE)))), 1, 0),
       INDEX(TRANSPOSE(UNIQUE(TRANSPOSE(FILTER({IF($"&amp;"F71=""Physical"", K$18:ED$18, IF($F71=""Magic"", K$19:ED$19, K$20:ED$20));K$4:ED$4;K71:ED71}, K71:ED71=TRUE)))), 1, 0),
       INDEX(TRANSPOSE(UNIQUE(TRANSPOSE(FILTER({K$5:ED$5;K$4:ED$4;K71:ED71}, K71:ED71=TRUE)))), 1, 0),
       INDEX(TRANSPOSE(UNIQUE(TR"&amp;"ANSPOSE(FILTER({K$17:ED$17;K$4:ED$4;K71:ED71}, K71:ED71=TRUE)))), 1, 0),
       LAMBDA(
         mitigation,
         enhance,
         assign,
         precondition,
         IF(
           REGEXMATCH(assign, ""RANGE_PARTY|SINGLE_ENEMY|RANGE_ENEMY""),
  "&amp;"         IF(
             OR(ARRAYFORMULA((IF(precondition="""", FALSE, REGEXMATCH(K$4:ED$4, precondition))) * (K71:ED71=TRUE))),
             IF(ISNUMBER(enhance), enhance, 1),
             IF(ISNUMBER(mitigation), mitigation, 1)
           ),
          "&amp;" 1
         )
       )
     )
   ),
   1
 )"),1.0)</f>
        <v>1</v>
      </c>
      <c r="EF71" s="200">
        <f>IFERROR(__xludf.DUMMYFUNCTION("PRODUCT(
   MAP(
     K$14:ED$14,
     K$13:ED$13,
     K71:ED71,
     LAMBDA(
       buff,
       target,
       check,
       IF(
         AND(check=TRUE, REGEXMATCH(target, ""RANGE_AFFECTED_ALL|RANGE_EFFECTED_ALL""), ISNUMBER(buff)),
         buff,
   "&amp;"      1
       )
     )
   )
 )"),1.0)</f>
        <v>1</v>
      </c>
      <c r="EG71" s="200">
        <f>IFERROR(__xludf.DUMMYFUNCTION("PRODUCT(
   MAP(
     K$14:ED$14,
     K$13:ED$13,
     K71:ED71,
     LAMBDA(
       buff,
       target,
       check,
       IF(
         AND(check=TRUE, REGEXMATCH(target, ""RANGE_AFFECTED_GCD|RANGE_EFFECTED_GCD""), ISNUMBER(buff)),
         buff,
   "&amp;"      1
       )
     )
   )
 )"),1.0)</f>
        <v>1</v>
      </c>
      <c r="EH71" s="200">
        <f>IFERROR(__xludf.DUMMYFUNCTION("PRODUCT(
   MAP(
     K$3:ED$3,
     K$14:ED$14,
     K$13:ED$13,
     K71:ED71,
     LAMBDA(
       job,
       buff,
       target,
       check,
       IF(
         AND(check=TRUE, REGEXMATCH(target, ""SELF_EFFECTED_ALL""), ISNUMBER(buff), job=""白魔道士"""&amp;"),
         buff,
         1
       )
     )
   )
 )"),1.0)</f>
        <v>1</v>
      </c>
      <c r="EI71" s="200">
        <f>IFERROR(__xludf.DUMMYFUNCTION("PRODUCT(
   MAP(
     K$3:ED$3,
     K$14:ED$14,
     K$13:ED$13,
     K71:ED71,
     LAMBDA(
       job,
       buff,
       target,
       check,
       IF(
         AND(check=TRUE, REGEXMATCH(target, ""SELF_EFFECTED_GCD""), ISNUMBER(buff), job=""白魔道士"""&amp;"),
         buff,
         1
       )
     )
   )
 )"),1.0)</f>
        <v>1</v>
      </c>
      <c r="EJ71" s="200">
        <f>IFERROR(__xludf.DUMMYFUNCTION("PRODUCT(
   MAP(
     K$3:ED$3,
     K$14:ED$14,
     K$13:ED$13,
     K71:ED71,
     LAMBDA(
       job,
       buff,
       target,
       check,
       IF(
         AND(check=TRUE, REGEXMATCH(target, ""SELF_EFFECTED_ALL""), ISNUMBER(buff), job=""占星術師"""&amp;"),
         buff,
         1
       )
     )
   )
 )"),1.0)</f>
        <v>1</v>
      </c>
      <c r="EK71" s="200">
        <f>IFERROR(__xludf.DUMMYFUNCTION("PRODUCT(
   MAP(
     K$3:ED$3,
     K$14:ED$14,
     K$13:ED$13,
     K71:ED71,
     LAMBDA(
       job,
       buff,
       target,
       check,
       IF(
         AND(check=TRUE, REGEXMATCH(target, ""SELF_EFFECTED_GCD""), ISNUMBER(buff), job=""占星術師"""&amp;"),
         buff,
         1
       )
     )
   )
 )"),1.0)</f>
        <v>1</v>
      </c>
      <c r="EL71" s="200">
        <f>IFERROR(__xludf.DUMMYFUNCTION("PRODUCT(
   MAP(
     K$3:ED$3,
     K$14:ED$14,
     K$13:ED$13,
     K71:ED71,
     LAMBDA(
       job,
       buff,
       target,
       check,
       IF(
         AND(check=TRUE, REGEXMATCH(target, ""SELF_EFFECTED_ALL""), ISNUMBER(buff), job=""学者""),"&amp;"
         buff,
         1
       )
     )
   )
 )"),1.0)</f>
        <v>1</v>
      </c>
      <c r="EM71" s="200">
        <f>IFERROR(__xludf.DUMMYFUNCTION("PRODUCT(
   MAP(
     K$3:ED$3,
     K$14:ED$14,
     K$13:ED$13,
     K71:ED71,
     LAMBDA(
       job,
       buff,
       target,
       check,
       IF(
         AND(check=TRUE, REGEXMATCH(target, ""SELF_EFFECTED_GCD""), ISNUMBER(buff), job=""学者""),"&amp;"
         buff,
         1
       )
     )
   )
 )"),1.0)</f>
        <v>1</v>
      </c>
      <c r="EN71" s="200">
        <f>IFERROR(__xludf.DUMMYFUNCTION("PRODUCT(
   MAP(
     K$3:ED$3,
     K$14:ED$14,
     K$13:ED$13,
     K71:ED71,
     LAMBDA(
       job,
       buff,
       target,
       check,
       IF(
         AND(check=TRUE, REGEXMATCH(target, ""SELF_EFFECTED_ALL""), ISNUMBER(buff), job=""賢者""),"&amp;"
         buff,
         1
       )
     )
   )
 )"),1.0)</f>
        <v>1</v>
      </c>
      <c r="EO71" s="200">
        <f>IFERROR(__xludf.DUMMYFUNCTION("PRODUCT(
   MAP(
     K$3:ED$3,
     K$14:ED$14,
     K$13:ED$13,
     K71:ED71,
     LAMBDA(
       job,
       buff,
       target,
       check,
       IF(
         AND(check=TRUE, REGEXMATCH(target, ""SELF_EFFECTED_GCD""), ISNUMBER(buff), job=""賢者""),"&amp;"
         buff,
         1
       )
     )
   )
 )"),1.0)</f>
        <v>1</v>
      </c>
      <c r="EP71" s="201">
        <f t="shared" si="3"/>
        <v>0</v>
      </c>
      <c r="EQ71" s="201">
        <f>IFERROR(__xludf.DUMMYFUNCTION("SUM(
   MAP(
     K$4:ED$4,
     K$3:ED$3,
     K$7:ED$7,
     K$15:ED$15,
     K$16:ED$16,
     K$21:ED$21,
     K$5:ED$5,
     K$17:ED$17,
     K71:ED71,
     LAMBDA(
       name,
       job,
       abillity,
       buff,
       barrier,
       enhance,"&amp;"
       assign,
       precondition,
       check,
       SWITCH(
         name,
         ""シェイクオフ"", IF(check=TRUE, buff + (0.02 * COUNTIF(ARRAYFORMULA((REGEXMATCH($K$4:$ED$4, ""スリル・オブ・バトル|ヴェンジェンス|原初の血気|ダムネーション"")) * (K71:ED71=TRUE)), 1)), 0),
         "&amp;"""インプロビゼーションフィニッシュ(踊りの激情0)"", IF(ISNUMBER(check), INDEX(Skill!$AJ:$AJ, MATCH(SUBSTITUTE(DV$4, 0, check), Skill!$C:$C, 0)), 0),
         IF(
           AND(check=TRUE, REGEXMATCH(assign, ""RANGE_PARTY"")),
           IF(
             OR(ARRAYFORMULA((IF(pr"&amp;"econdition="""", FALSE, REGEXMATCH($K$4:$ED$4, precondition))) * (K71:ED71=TRUE))),
             enhance,
             IF(barrier="""", buff, barrier)
           ),
           0
         )
       ) *
       SWITCH(
         job,
         ""ナイト"", EY$24,
 "&amp;"        ""戦士"", FD$24,
         ""踊り子"", ET$24,
         ""ピクトマンサー"", ET$24,
         ""白魔道士"", EF71 * EH71 * IF(abillity, 1, EG71 * EI71) * (Option!$D$22 * 0.81 / 100),
         ""占星術師"", EF71 * EJ71 * IF(abillity, 1, EG71 * EK71) * (Option!$D$23 * 0.81 "&amp;"/ 100),
         ""学者"", EF71 * EL71 * IF(abillity, 1, EG71 * EM71) * (Option!$D$24 * 0.81 / 100),
         ""賢者"", EF71 * EN71 * IF(abillity, 1, EG71 * EO71) * (Option!$D$25 * 0.81 / 100),
         1
       )
     )
   )
 )"),0.0)</f>
        <v>0</v>
      </c>
      <c r="ER71" s="202">
        <f t="shared" si="4"/>
        <v>0</v>
      </c>
      <c r="ES71" s="203">
        <f t="shared" si="5"/>
        <v>0</v>
      </c>
      <c r="ET71" s="231" t="str">
        <f>IFERROR(__xludf.DUMMYFUNCTION("IFS(
  EP71 &gt; $ET$24 + EQ71,
  SPARKLINE({ 1, 0 }, {""charttype"",""bar"";""max"", 1;""color1"",Option!$D$30;""color2"",Option!$D$30}),
  EP71 &lt; EQ71,
  SPARKLINE({EQ71 - EP71, $ET$24 - (EQ71 - EP71)}, {""charttype"",""bar"";""max"",$ET$24;""color1"",Opti"&amp;"on!$D$28;""color2"",Option!$D$29}),
  EP71 &gt;= EQ71,
  SPARKLINE({$ET$24 + EQ71 - EP71,EP71 - EQ71}, {""charttype"",""bar"";""max"",$ET$24;""color1"",Option!$D$29;""color2"",Option!$D$30})
)"),"")</f>
        <v/>
      </c>
      <c r="EU71" s="205">
        <f>IFERROR(__xludf.DUMMYFUNCTION("PRODUCT(
   MAP(
     IF($F71=""Physical"", K$10:ED$10, IF($F71=""Magic"", K$11:ED$11, K$12:ED$12)),
     IF($F71=""Physical"", K$18:ED$18, IF($F71=""Magic"", K$19:ED$19, K$20:ED$20)),
     K$3:ED$3,
     K$5:ED$5,
     K$17:ED$17,
     K71:ED71,
     LAM"&amp;"BDA(
       mitigation,
       enhance,
       job,
       assign,
       precondition,
       check,
       IF(
         OR(AND(check=TRUE, REGEXMATCH(assign, ""SELF""), job=""ナイト""), AND(check=Option!$E$13, REGEXMATCH(assign, ""SINGLE_PARTY""))),
      "&amp;"   IF(
           OR(ARRAYFORMULA((IF(precondition="""", FALSE, REGEXMATCH($K$4:$ED$4, precondition))) * (K71:ED71=TRUE))),
           enhance,
           mitigation
         ),
         1
       )
     )
   )
 ) * EE71"),1.0)</f>
        <v>1</v>
      </c>
      <c r="EV71" s="206">
        <f t="shared" si="6"/>
        <v>0</v>
      </c>
      <c r="EW71" s="205">
        <f>IFERROR(__xludf.DUMMYFUNCTION("PRODUCT(
   MAP(
     K$3:ED$3,
     K$14:ED$14,
     K$13:ED$13,
     K71:ED71,
     LAMBDA(
       job,
       buff,
       target,
       check,
       IF(
         OR(AND(check=TRUE, REGEXMATCH(target, ""SELF_AFFECTED_ALL""), job=""ナイト""), AND(check=O"&amp;"ption!$E$13, REGEXMATCH(target, ""SINGLE_AFFECTED_ALL""))),
         buff,
         1
       )
     )
   )
 )"),1.0)</f>
        <v>1</v>
      </c>
      <c r="EX71" s="206">
        <f>IFERROR(__xludf.DUMMYFUNCTION("SUM(
   MAP(
     K$3:ED$3,
     K$7:ED$7,
     K$15:ED$15,
     K$16:ED$16,
     K$21:ED$21,
     K$5:ED$5,
     K$17:ED$17,
     K71:ED71,
     LAMBDA(
       job,
       abillity,
       buff,
       barrier,
       enhance,
       assign,
       preco"&amp;"ndition,
       check,
       IF(
         OR(AND(check=TRUE, REGEXMATCH(assign, ""SELF""), job=""ナイト""), AND(check=Option!$E$13, REGEXMATCH(assign, ""SINGLE_PARTY""))),
         IF(
           OR(ARRAYFORMULA((IF(precondition="""", FALSE, REGEXMATCH($K$4"&amp;":$ED$4, precondition))) * (K71:ED71=TRUE))),
           enhance,
           IF(barrier="""", buff, barrier)
         ),
         0
       ) *
       SWITCH(
         job,
         ""暗黒騎士"", EY$24,
         ""白魔道士"", EF71 * EH71 * EW71 * IF(abillity, 1, EG"&amp;"71 * EI71) * (Option!$D$22 * 0.81 / 100),
         ""占星術師"", EF71 * EJ71 * EW71 * IF(abillity, 1, EG71 * EK71) * (Option!$D$23 * 0.81 / 100),
         ""学者"", EF71 * EL71 * EW71 * IF(abillity, 1, EG71 * EM71) * (Option!$D$24 * 0.81 / 100),
         ""賢者"""&amp;", EF71 * EN71 * EW71 * IF(abillity, 1, EG71 * EO71) * (Option!$D$25 * 0.81 / 100),
         1
       )
     )
   )
 ) + EQ71"),0.0)</f>
        <v>0</v>
      </c>
      <c r="EY71" s="232">
        <f t="shared" si="7"/>
        <v>0</v>
      </c>
      <c r="EZ71" s="205">
        <f>IFERROR(__xludf.DUMMYFUNCTION("PRODUCT(
   MAP(
     IF($F71=""Physical"", K$10:ED$10, IF($F71=""Magic"", K$11:ED$11, K$12:ED$12)),
     IF($F71=""Physical"", K$18:ED$18, IF($F71=""Magic"", K$19:ED$19, K$20:ED$20)),
     K$3:ED$3,
     K$5:ED$5,
     K$17:ED$17,
     K71:ED71,
     LAM"&amp;"BDA(
       mitigation,
       enhance,
       job,
       assign,
       precondition,
       check,
       IF(
         OR(AND(check=TRUE, REGEXMATCH(assign, ""SELF""), job=""戦士""), AND(check=Option!$F$13, REGEXMATCH(assign, ""SINGLE_PARTY""))),
       "&amp;"  IF(
           OR(ARRAYFORMULA((IF(precondition="""", FALSE, REGEXMATCH($K$4:$ED$4, precondition))) * (K71:ED71=TRUE))),
           enhance,
           mitigation
         ),
         1
       )
     )
   )
 ) * EE71"),1.0)</f>
        <v>1</v>
      </c>
      <c r="FA71" s="206">
        <f t="shared" si="8"/>
        <v>0</v>
      </c>
      <c r="FB71" s="205">
        <f>IFERROR(__xludf.DUMMYFUNCTION("PRODUCT(
   MAP(
     K$3:ED$3,
     K$14:ED$14,
     K$13:ED$13,
     K71:ED71,
     LAMBDA(
       job,
       buff,
       target,
       check,
       IF(
         OR(AND(check=TRUE, REGEXMATCH(target, ""SELF_AFFECTED_ALL""), job=""戦士""), AND(check=Op"&amp;"tion!$F$13, REGEXMATCH(target, ""SINGLE_AFFECTED_ALL""))),
         buff,
         1
       )
     )
   )
 )"),1.0)</f>
        <v>1</v>
      </c>
      <c r="FC71" s="206">
        <f>IFERROR(__xludf.DUMMYFUNCTION("SUM(
   MAP(
     K$3:ED$3,
     K$7:ED$7,
     K$15:ED$15,
     K$16:ED$16,
     K$21:ED$21,
     K$5:ED$5,
     K$17:ED$17,
     K71:ED71,
     LAMBDA(
       job,
       abillity,
       buff,
       barrier,
       enhance,
       assign,
       preco"&amp;"ndition,
       check,
       IF(
         OR(AND(check=TRUE, REGEXMATCH(assign, ""SELF""), job=""戦士""), AND(check=Option!$F$13, REGEXMATCH(assign, ""SINGLE_PARTY""))),
         IF(
           OR(ARRAYFORMULA((IF(precondition="""", FALSE, REGEXMATCH($K$4:"&amp;"$ED$4, precondition))) * (K71:ED71=TRUE))),
           enhance,
           IF(barrier="""", buff, barrier)
         ),
         0
       ) *
       SWITCH(
         job,
         ""暗黒騎士"", FD$24,
         ""白魔道士"", EF71 * EH71 * FB71 * IF(abillity, 1, EG7"&amp;"1 * EI71) * (Option!$D$22 * 0.81 / 100),
         ""占星術師"", EF71 * EJ71 * FFB71 * IF(abillity, 1, EG71 * EK71) * (Option!$D$23 * 0.81 / 100),
         ""学者"", EF71 * EL71 * FB71 * IF(abillity, 1, EG71 * EM71) * (Option!$D$24 * 0.81 / 100),
         ""賢者"""&amp;", EF71 * EN71 * FB71 * IF(abillity, 1, EG71 * EO71) * (Option!$D$25 * 0.81 / 100),
         1
       )
     )
   )
 ) + EQ71"),0.0)</f>
        <v>0</v>
      </c>
      <c r="FD71" s="206">
        <f t="shared" si="9"/>
        <v>0</v>
      </c>
      <c r="FE71" s="205">
        <f>IFERROR(__xludf.DUMMYFUNCTION("PRODUCT(
   MAP(
     IF($F71=""Physical"", K$10:ED$10, IF($F71=""Magic"", K$11:ED$11, K$12:ED$12)),
     IF($F71=""Physical"", K$18:ED$18, IF($F71=""Magic"", K$19:ED$19, K$20:ED$20)),
     K$3:ED$3,
     K$5:ED$5,
     K$17:ED$17,
     K71:ED71,
     LAM"&amp;"BDA(
       mitigation,
       enhance,
       job,
       assign,
       precondition,
       check,
       IF(
         OR(AND(check=TRUE, REGEXMATCH(assign, ""SELF""), job=""暗黒騎士""), AND(check=Option!$G$13, REGEXMATCH(assign, ""SINGLE_PARTY""))),
     "&amp;"    IF(
           OR(ARRAYFORMULA((IF(precondition="""", FALSE, REGEXMATCH($K$4:$ED$4, precondition))) * (K71:ED71=TRUE))),
           enhance,
           mitigation
         ),
         1
       )
     )
   )
 ) * EE71"),1.0)</f>
        <v>1</v>
      </c>
      <c r="FF71" s="206">
        <f t="shared" si="10"/>
        <v>0</v>
      </c>
      <c r="FG71" s="205">
        <f>IFERROR(__xludf.DUMMYFUNCTION("PRODUCT(
   MAP(
     K$3:ED$3,
     K$14:ED$14,
     K$13:ED$13,
     K71:ED71,
     LAMBDA(
       job,
       buff,
       target,
       check,
       IF(
         OR(AND(check=TRUE, REGEXMATCH(target, ""SELF_AFFECTED_ALL""), job=""暗黒騎士""), AND(check="&amp;"Option!$G$13, REGEXMATCH(target, ""SINGLE_AFFECTED_ALL""))),
         buff,
         1
       )
     )
   )
 )"),1.0)</f>
        <v>1</v>
      </c>
      <c r="FH71" s="206">
        <f>IFERROR(__xludf.DUMMYFUNCTION("SUM(
   MAP(
     K$3:ED$3,
     K$7:ED$7,
     K$15:ED$15,
     K$16:ED$16,
     K$21:ED$21,
     K$5:ED$5,
     K$17:ED$17,
     K71:ED71,
     LAMBDA(
       job,
       abillity,
       buff,
       barrier,
       enhance,
       assign,
       preco"&amp;"ndition,
       check,
       IF(
         OR(AND(check=TRUE, REGEXMATCH(assign, ""SELF""), job=""暗黒騎士""), AND(check=Option!$G$13, REGEXMATCH(assign, ""SINGLE_PARTY""))),
         IF(
           OR(ARRAYFORMULA((IF(precondition="""", FALSE, REGEXMATCH($K$"&amp;"4:$ED$4, precondition))) * (K71:ED71=TRUE))),
           enhance,
           IF(barrier="""", buff, barrier)
         ),
         0
       ) *
       SWITCH(
         job,
         ""暗黒騎士"", FI$24,
         ""白魔道士"", EF71 * EH71 * FG71 * IF(abillity, 1, E"&amp;"G71 * EI71) * (Option!$D$22 * 0.81 / 100),
         ""占星術師"", EF71 * EJ71 * FG71 * IF(abillity, 1, EG71 * EK71) * (Option!$D$23 * 0.81 / 100),
         ""学者"", EF71 * EL71 * FG71 * IF(abillity, 1, EG71 * EM71) * (Option!$D$24 * 0.81 / 100),
         ""賢者"&amp;""", EF71 * EN71 * FG71 * IF(abillity, 1, EG71 * EO71) * (Option!$D$25 * 0.81 / 100),
         1
       )
     )
   )
 ) + EQ71"),0.0)</f>
        <v>0</v>
      </c>
      <c r="FI71" s="206">
        <f t="shared" si="11"/>
        <v>0</v>
      </c>
      <c r="FJ71" s="205">
        <f>IFERROR(__xludf.DUMMYFUNCTION("PRODUCT(
   MAP(
     IF($F71=""Physical"", K$10:ED$10, IF($F71=""Magic"", K$11:ED$11, K$12:ED$12)),
     IF($F71=""Physical"", K$18:ED$18, IF($F71=""Magic"", K$19:ED$19, K$20:ED$20)),
     K$3:ED$3,
     K$5:ED$5,
     K$17:ED$17,
     K71:ED71,
     LAM"&amp;"BDA(
       mitigation,
       enhance,
       job,
       assign,
       precondition,
       check,
       IF(
         OR(AND(check=TRUE, REGEXMATCH(assign, ""SELF""), job=""ガンブレイカー""), AND(check=Option!$H$13, REGEXMATCH(assign, ""SINGLE_PARTY""))),
  "&amp;"       IF(
           OR(ARRAYFORMULA((IF(precondition="""", FALSE, REGEXMATCH($K$4:$ED$4, precondition))) * (K71:ED71=TRUE))),
           enhance,
           mitigation
         ),
         1
       )
     )
   )
 ) * EE71"),1.0)</f>
        <v>1</v>
      </c>
      <c r="FK71" s="206">
        <f t="shared" si="12"/>
        <v>0</v>
      </c>
      <c r="FL71" s="205">
        <f>IFERROR(__xludf.DUMMYFUNCTION("PRODUCT(
   MAP(
     K$3:ED$3,
     K$14:ED$14,
     K$13:ED$13,
     K71:ED71,
     LAMBDA(
       job,
       buff,
       target,
       check,
       IF(
         OR(AND(check=TRUE, REGEXMATCH(target, ""SELF_AFFECTED_ALL""), job=""ガンブレイカー""), AND(che"&amp;"ck=Option!$H$13, REGEXMATCH(target, ""SINGLE_AFFECTED_ALL""))),
         buff,
         1
       )
     )
   )
 )"),1.0)</f>
        <v>1</v>
      </c>
      <c r="FM71" s="206">
        <f>IFERROR(__xludf.DUMMYFUNCTION("SUM(
   MAP(
     K$3:ED$3,
     K$7:ED$7,
     K$15:ED$15,
     K$16:ED$16,
     K$21:ED$21,
     K$5:ED$5,
     K$17:ED$17,
     K71:ED71,
     LAMBDA(
       job,
       abillity,
       buff,
       barrier,
       enhance,
       assign,
       preco"&amp;"ndition,
       check,
       IF(
         OR(AND(check=TRUE, REGEXMATCH(assign, ""SELF""), job=""ガンブレイカー""), AND(check=Option!$H$13, REGEXMATCH(assign, ""SINGLE_PARTY""))),
         IF(
           OR(ARRAYFORMULA((IF(precondition="""", FALSE, REGEXMATCH("&amp;"$K$4:$ED$4, precondition))) * (K71:ED71=TRUE))),
           enhance,
           IF(barrier="""", buff, barrier)
         ),
         0
       ) *
       SWITCH(
         job,
         ""暗黒騎士"", FN$24,
         ""白魔道士"", EF71 * EH71 * FL71 * IF(abillity, 1"&amp;", EG71 * EI71) * (Option!$D$22 * 0.81 / 100),
         ""占星術師"", EF71 * EJ71 * FL71 * IF(abillity, 1, EG71 * EK71) * (Option!$D$23 * 0.81 / 100),
         ""学者"", EF71 * EL71 * FL71 * IF(abillity, 1, EG71 * EM71) * (Option!$D$24 * 0.81 / 100),
         """&amp;"賢者"", EF71 * EN71 * FL71 * IF(abillity, 1, EG71 * EO71) * (Option!$D$25 * 0.81 / 100),
         1
       )
     )
   )
 ) + EQ71"),0.0)</f>
        <v>0</v>
      </c>
      <c r="FN71" s="206">
        <f t="shared" si="13"/>
        <v>0</v>
      </c>
      <c r="FO71" s="213"/>
    </row>
    <row r="72">
      <c r="B72" s="229"/>
      <c r="C72" s="217">
        <f t="shared" si="1"/>
        <v>0.00380787037</v>
      </c>
      <c r="D72" s="236"/>
      <c r="E72" s="238"/>
      <c r="F72" s="167"/>
      <c r="G72" s="168" t="str">
        <f t="shared" si="2"/>
        <v/>
      </c>
      <c r="H72" s="169"/>
      <c r="I72" s="169"/>
      <c r="J72" s="169"/>
      <c r="K72" s="170" t="b">
        <v>0</v>
      </c>
      <c r="L72" s="170" t="b">
        <v>0</v>
      </c>
      <c r="M72" s="170" t="b">
        <v>0</v>
      </c>
      <c r="N72" s="171" t="s">
        <v>1070</v>
      </c>
      <c r="O72" s="172" t="b">
        <v>0</v>
      </c>
      <c r="P72" s="173" t="b">
        <v>0</v>
      </c>
      <c r="Q72" s="173" t="b">
        <v>0</v>
      </c>
      <c r="R72" s="173" t="b">
        <v>0</v>
      </c>
      <c r="S72" s="174" t="b">
        <v>0</v>
      </c>
      <c r="T72" s="175" t="b">
        <v>0</v>
      </c>
      <c r="U72" s="173" t="b">
        <v>0</v>
      </c>
      <c r="V72" s="171" t="s">
        <v>1070</v>
      </c>
      <c r="W72" s="172" t="b">
        <v>0</v>
      </c>
      <c r="X72" s="173" t="b">
        <v>0</v>
      </c>
      <c r="Y72" s="173" t="b">
        <v>0</v>
      </c>
      <c r="Z72" s="173" t="b">
        <v>0</v>
      </c>
      <c r="AA72" s="174" t="b">
        <v>0</v>
      </c>
      <c r="AB72" s="174" t="b">
        <v>0</v>
      </c>
      <c r="AC72" s="175" t="b">
        <v>0</v>
      </c>
      <c r="AD72" s="173" t="b">
        <v>0</v>
      </c>
      <c r="AE72" s="176" t="s">
        <v>1070</v>
      </c>
      <c r="AF72" s="171" t="s">
        <v>1070</v>
      </c>
      <c r="AG72" s="177">
        <f>IFERROR(__xludf.DUMMYFUNCTION("IF(
  ISNUMBER(AG71),
  MIN(MAX(
    AG71
    + MAX(
      ROUNDDOWN(($D72 - MAX(IFERROR(FILTER($D$24:$D71, AG$24:AG71 &lt;&gt; AF$6, AG$23:AG70 = AF$6), 0))) * (60 * 60 * 24) / AF$9) - ROUNDDOWN(($D71 - MAX(IFERROR(FILTER($D$23:$D70, AG$23:AG70 &lt;&gt; AF$6, AG$22:"&amp;"AG69 = AF$6), 0))) * (60 * 60 * 24) / 60),
      0
    )
    - COUNTIF(AF72, ""&lt;&gt;-""),
  0), AF$6),
  AF$6 - COUNTIF(AF72, ""&lt;&gt;-"")
)"),2.0)</f>
        <v>2</v>
      </c>
      <c r="AH72" s="173" t="b">
        <v>0</v>
      </c>
      <c r="AI72" s="173" t="b">
        <v>0</v>
      </c>
      <c r="AJ72" s="173" t="b">
        <v>0</v>
      </c>
      <c r="AK72" s="174" t="b">
        <v>0</v>
      </c>
      <c r="AL72" s="175" t="b">
        <v>0</v>
      </c>
      <c r="AM72" s="173" t="b">
        <v>0</v>
      </c>
      <c r="AN72" s="171" t="s">
        <v>1070</v>
      </c>
      <c r="AO72" s="173" t="b">
        <v>0</v>
      </c>
      <c r="AP72" s="173" t="b">
        <v>0</v>
      </c>
      <c r="AQ72" s="173" t="b">
        <v>0</v>
      </c>
      <c r="AR72" s="174" t="b">
        <v>0</v>
      </c>
      <c r="AS72" s="178" t="b">
        <v>0</v>
      </c>
      <c r="AT72" s="179" t="b">
        <v>0</v>
      </c>
      <c r="AU72" s="180" t="b">
        <v>0</v>
      </c>
      <c r="AV72" s="180" t="b">
        <v>0</v>
      </c>
      <c r="AW72" s="180" t="b">
        <v>0</v>
      </c>
      <c r="AX72" s="180" t="b">
        <v>0</v>
      </c>
      <c r="AY72" s="181" t="s">
        <v>1070</v>
      </c>
      <c r="AZ72" s="181" t="s">
        <v>1070</v>
      </c>
      <c r="BA72" s="184">
        <f>IFERROR(__xludf.DUMMYFUNCTION("IF(
  ISNUMBER(BA71),
  MIN(MAX(
    BA71
    + MAX(
      ROUNDDOWN((D72 - MAX(IFERROR(FILTER(D$24:D71, BA$24:BA71 &lt;&gt; AZ$6, BA$23:BA70 = AZ$6), 0))) * (60 * 60 * 24) / AZ$9) - ROUNDDOWN((D71 - MAX(IFERROR(FILTER(D$23:D70, BA$23:BA70 &lt;&gt; AZ$6, BA$22:BA69 ="&amp;" AZ$6), 0))) * (60 * 60 * 24) / AZ$9),
      0
    )
    - COUNTIF(AZ72, ""&lt;&gt;-""),
  0), AZ$6),
  AZ$6 - COUNTIF(AZ72, ""&lt;&gt;-"")
)"),2.0)</f>
        <v>2</v>
      </c>
      <c r="BB72" s="181" t="s">
        <v>1070</v>
      </c>
      <c r="BC72" s="183">
        <f>IFERROR(__xludf.DUMMYFUNCTION("IF(
  ISNUMBER(BC71),
  MIN(MAX(
    BC71
    + MAX(
      ROUNDDOWN(($D72 - MAX(IFERROR(FILTER($D$24:$D71, BC$24:BC71 &lt;&gt; BB$6, BC$23:BC70 = BB$6), 0))) * (60 * 60 * 24) / BB$9) - ROUNDDOWN(($D71 - MAX(IFERROR(FILTER($D$23:$D70, BC$23:BC70 &lt;&gt; BB$6, BC$22:"&amp;"BC69 = BB$6), 0))) * (60 * 60 * 24) / 60),
      0
    )
    - COUNTIF(BB72, ""&lt;&gt;-""),
  0), BB$6),
  BB$6 - COUNTIF(BB72, ""&lt;&gt;-"")
)"),2.0)</f>
        <v>2</v>
      </c>
      <c r="BD72" s="181" t="s">
        <v>1070</v>
      </c>
      <c r="BE72" s="178" t="b">
        <v>0</v>
      </c>
      <c r="BF72" s="180" t="b">
        <v>0</v>
      </c>
      <c r="BG72" s="180" t="b">
        <v>0</v>
      </c>
      <c r="BH72" s="180" t="b">
        <v>0</v>
      </c>
      <c r="BI72" s="180" t="b">
        <v>0</v>
      </c>
      <c r="BJ72" s="180" t="b">
        <v>0</v>
      </c>
      <c r="BK72" s="180" t="b">
        <v>0</v>
      </c>
      <c r="BL72" s="180" t="b">
        <v>0</v>
      </c>
      <c r="BM72" s="180" t="b">
        <v>0</v>
      </c>
      <c r="BN72" s="180" t="b">
        <v>0</v>
      </c>
      <c r="BO72" s="181" t="s">
        <v>1070</v>
      </c>
      <c r="BP72" s="181" t="s">
        <v>1070</v>
      </c>
      <c r="BQ72" s="181" t="s">
        <v>1070</v>
      </c>
      <c r="BR72" s="181" t="s">
        <v>1070</v>
      </c>
      <c r="BS72" s="181" t="s">
        <v>1070</v>
      </c>
      <c r="BT72" s="184">
        <f>IFERROR(__xludf.DUMMYFUNCTION("IF(
  ISNUMBER(BT71),
  MIN(MAX(
    BT71
    + MAX(
      ROUNDDOWN((D72 - MAX(IFERROR(FILTER(D$24:D71, BT$24:BT71 &lt;&gt; BS$6, BT$23:BT70 = BS$6), 0))) * (60 * 60 * 24) / BS$9) - ROUNDDOWN((D71 - MAX(IFERROR(FILTER(D$23:D70, BT$23:BT70 &lt;&gt; BS$6, BT$22:BT69 ="&amp;" BS$6), 0))) * (60 * 60 * 24) / BS$9),
      0
    )
    - COUNTIF(BS72, ""&lt;&gt;-""),
  0), BS$6),
  BS$6 - COUNTIF(BS72, ""&lt;&gt;-"")
)"),3.0)</f>
        <v>3</v>
      </c>
      <c r="BU72" s="181" t="s">
        <v>1070</v>
      </c>
      <c r="BV72" s="181" t="s">
        <v>1070</v>
      </c>
      <c r="BW72" s="184">
        <f>IFERROR(__xludf.DUMMYFUNCTION("IF(
  ISNUMBER(BW71),
  MIN(MAX(
    BW71
    + MAX(
      ROUNDDOWN((D72 - MAX(IFERROR(FILTER(D$24:D71, BW$24:BW71 &lt;&gt; BV$6, BW$23:BW70 = BV$6), 0))) * (60 * 60 * 24) / BV$9) - ROUNDDOWN((D71 - MAX(IFERROR(FILTER(D$23:D70, BW$23:BW70 &lt;&gt; BV$6, BW$22:BW69 ="&amp;" BV$6), 0))) * (60 * 60 * 24) / BV$9),
      0
    )
    - COUNTIF(BV72, ""&lt;&gt;-""),
  0), BV$6),
  BV$6 - COUNTIF(BV72, ""&lt;&gt;-"")
)"),2.0)</f>
        <v>2</v>
      </c>
      <c r="BX72" s="185" t="s">
        <v>1070</v>
      </c>
      <c r="BY72" s="178" t="b">
        <v>0</v>
      </c>
      <c r="BZ72" s="180" t="b">
        <v>0</v>
      </c>
      <c r="CA72" s="180" t="b">
        <v>0</v>
      </c>
      <c r="CB72" s="180" t="b">
        <v>0</v>
      </c>
      <c r="CC72" s="180" t="b">
        <v>0</v>
      </c>
      <c r="CD72" s="180" t="b">
        <v>0</v>
      </c>
      <c r="CE72" s="180" t="b">
        <v>0</v>
      </c>
      <c r="CF72" s="180" t="b">
        <v>0</v>
      </c>
      <c r="CG72" s="180" t="b">
        <v>0</v>
      </c>
      <c r="CH72" s="180" t="b">
        <v>0</v>
      </c>
      <c r="CI72" s="180" t="b">
        <v>0</v>
      </c>
      <c r="CJ72" s="180" t="b">
        <v>0</v>
      </c>
      <c r="CK72" s="180" t="b">
        <v>0</v>
      </c>
      <c r="CL72" s="180" t="b">
        <v>0</v>
      </c>
      <c r="CM72" s="181" t="s">
        <v>1070</v>
      </c>
      <c r="CN72" s="181" t="s">
        <v>1070</v>
      </c>
      <c r="CO72" s="181" t="s">
        <v>1070</v>
      </c>
      <c r="CP72" s="181" t="s">
        <v>1070</v>
      </c>
      <c r="CQ72" s="185" t="s">
        <v>1070</v>
      </c>
      <c r="CR72" s="180" t="b">
        <v>0</v>
      </c>
      <c r="CS72" s="186" t="str">
        <f t="shared" si="14"/>
        <v>◇◇◇</v>
      </c>
      <c r="CT72" s="178" t="b">
        <v>0</v>
      </c>
      <c r="CU72" s="180" t="b">
        <v>0</v>
      </c>
      <c r="CV72" s="180" t="b">
        <v>0</v>
      </c>
      <c r="CW72" s="180" t="b">
        <v>0</v>
      </c>
      <c r="CX72" s="180" t="b">
        <v>0</v>
      </c>
      <c r="CY72" s="180" t="b">
        <v>0</v>
      </c>
      <c r="CZ72" s="180" t="b">
        <v>0</v>
      </c>
      <c r="DA72" s="180" t="b">
        <v>0</v>
      </c>
      <c r="DB72" s="180" t="b">
        <v>0</v>
      </c>
      <c r="DC72" s="180" t="b">
        <v>0</v>
      </c>
      <c r="DD72" s="181" t="s">
        <v>1070</v>
      </c>
      <c r="DE72" s="181" t="s">
        <v>1070</v>
      </c>
      <c r="DF72" s="181" t="s">
        <v>1070</v>
      </c>
      <c r="DG72" s="185" t="s">
        <v>1070</v>
      </c>
      <c r="DH72" s="180" t="b">
        <v>0</v>
      </c>
      <c r="DI72" s="187" t="str">
        <f>IFERROR(__xludf.DUMMYFUNCTION("SWITCH(
  IF(
    ISTEXT(DI71),
    IF (
      FIND(""○"", DI71&amp;""○"") &gt; 3,
      3,
      FIND(""○"", DI71&amp;""○"")
      + MAX(
        ROUNDDOWN(($D72 - MAX(IFERROR(FILTER(D$24:D71, DI$24:DI71 &lt;&gt; ""●●●"", DI$23:DI70 = ""●●●""), 0))) * (60 * 60 * 24) / 20"&amp;") - ROUNDDOWN(($D71 - MAX(IFERROR(FILTER(D$23:D70, DI$23:DI70 &lt;&gt; ""●●●"", DI$22:DI69 = ""●●●""), 0))) * (60 * 60 * 24) / 20),
        0
      ) - 1
    ) - COUNTIFS(CU72, ""=TRUE"", CU71, ""&lt;&gt;TRUE"") - COUNTIF(CZ72, ""=TRUE"") - COUNTIF({DD72,DE72}, ""&lt;&gt;-"&amp;""") + COUNTIF(DH72, ""=TRUE""),
    3
  ),
  0, ""○○○"", 1, ""●○○"", 2, ""●●○"", 3, ""●●●"", 4, ""●●●"", ""○○○""
)"),"●●●")</f>
        <v>●●●</v>
      </c>
      <c r="DJ72" s="188" t="b">
        <v>0</v>
      </c>
      <c r="DK72" s="189" t="b">
        <v>0</v>
      </c>
      <c r="DL72" s="190" t="b">
        <v>0</v>
      </c>
      <c r="DM72" s="190" t="b">
        <v>0</v>
      </c>
      <c r="DN72" s="190" t="b">
        <v>0</v>
      </c>
      <c r="DO72" s="190" t="b">
        <v>0</v>
      </c>
      <c r="DP72" s="190" t="b">
        <v>0</v>
      </c>
      <c r="DQ72" s="191" t="b">
        <v>0</v>
      </c>
      <c r="DR72" s="192" t="b">
        <v>0</v>
      </c>
      <c r="DS72" s="191" t="b">
        <v>0</v>
      </c>
      <c r="DT72" s="192" t="b">
        <v>0</v>
      </c>
      <c r="DU72" s="191" t="b">
        <v>0</v>
      </c>
      <c r="DV72" s="193" t="s">
        <v>1070</v>
      </c>
      <c r="DW72" s="194" t="b">
        <v>0</v>
      </c>
      <c r="DX72" s="194" t="b">
        <v>0</v>
      </c>
      <c r="DY72" s="195" t="b">
        <v>0</v>
      </c>
      <c r="DZ72" s="196" t="b">
        <v>0</v>
      </c>
      <c r="EA72" s="195" t="b">
        <v>0</v>
      </c>
      <c r="EB72" s="197" t="b">
        <v>0</v>
      </c>
      <c r="EC72" s="197" t="b">
        <v>0</v>
      </c>
      <c r="ED72" s="212" t="b">
        <v>0</v>
      </c>
      <c r="EE72" s="199">
        <f>IFERROR(__xludf.DUMMYFUNCTION("IFERROR(
   PRODUCT(
     MAP(
       INDEX(TRANSPOSE(UNIQUE(TRANSPOSE(FILTER({IF($F72=""Physical"", K$10:ED$10, IF($F72=""Magic"", K$11:ED$11, K$12:ED$12));K$4:ED$4;K72:ED72}, K72:ED72=TRUE)))), 1, 0),
       INDEX(TRANSPOSE(UNIQUE(TRANSPOSE(FILTER({IF($"&amp;"F72=""Physical"", K$18:ED$18, IF($F72=""Magic"", K$19:ED$19, K$20:ED$20));K$4:ED$4;K72:ED72}, K72:ED72=TRUE)))), 1, 0),
       INDEX(TRANSPOSE(UNIQUE(TRANSPOSE(FILTER({K$5:ED$5;K$4:ED$4;K72:ED72}, K72:ED72=TRUE)))), 1, 0),
       INDEX(TRANSPOSE(UNIQUE(TR"&amp;"ANSPOSE(FILTER({K$17:ED$17;K$4:ED$4;K72:ED72}, K72:ED72=TRUE)))), 1, 0),
       LAMBDA(
         mitigation,
         enhance,
         assign,
         precondition,
         IF(
           REGEXMATCH(assign, ""RANGE_PARTY|SINGLE_ENEMY|RANGE_ENEMY""),
  "&amp;"         IF(
             OR(ARRAYFORMULA((IF(precondition="""", FALSE, REGEXMATCH(K$4:ED$4, precondition))) * (K72:ED72=TRUE))),
             IF(ISNUMBER(enhance), enhance, 1),
             IF(ISNUMBER(mitigation), mitigation, 1)
           ),
          "&amp;" 1
         )
       )
     )
   ),
   1
 )"),1.0)</f>
        <v>1</v>
      </c>
      <c r="EF72" s="200">
        <f>IFERROR(__xludf.DUMMYFUNCTION("PRODUCT(
   MAP(
     K$14:ED$14,
     K$13:ED$13,
     K72:ED72,
     LAMBDA(
       buff,
       target,
       check,
       IF(
         AND(check=TRUE, REGEXMATCH(target, ""RANGE_AFFECTED_ALL|RANGE_EFFECTED_ALL""), ISNUMBER(buff)),
         buff,
   "&amp;"      1
       )
     )
   )
 )"),1.0)</f>
        <v>1</v>
      </c>
      <c r="EG72" s="200">
        <f>IFERROR(__xludf.DUMMYFUNCTION("PRODUCT(
   MAP(
     K$14:ED$14,
     K$13:ED$13,
     K72:ED72,
     LAMBDA(
       buff,
       target,
       check,
       IF(
         AND(check=TRUE, REGEXMATCH(target, ""RANGE_AFFECTED_GCD|RANGE_EFFECTED_GCD""), ISNUMBER(buff)),
         buff,
   "&amp;"      1
       )
     )
   )
 )"),1.0)</f>
        <v>1</v>
      </c>
      <c r="EH72" s="200">
        <f>IFERROR(__xludf.DUMMYFUNCTION("PRODUCT(
   MAP(
     K$3:ED$3,
     K$14:ED$14,
     K$13:ED$13,
     K72:ED72,
     LAMBDA(
       job,
       buff,
       target,
       check,
       IF(
         AND(check=TRUE, REGEXMATCH(target, ""SELF_EFFECTED_ALL""), ISNUMBER(buff), job=""白魔道士"""&amp;"),
         buff,
         1
       )
     )
   )
 )"),1.0)</f>
        <v>1</v>
      </c>
      <c r="EI72" s="200">
        <f>IFERROR(__xludf.DUMMYFUNCTION("PRODUCT(
   MAP(
     K$3:ED$3,
     K$14:ED$14,
     K$13:ED$13,
     K72:ED72,
     LAMBDA(
       job,
       buff,
       target,
       check,
       IF(
         AND(check=TRUE, REGEXMATCH(target, ""SELF_EFFECTED_GCD""), ISNUMBER(buff), job=""白魔道士"""&amp;"),
         buff,
         1
       )
     )
   )
 )"),1.0)</f>
        <v>1</v>
      </c>
      <c r="EJ72" s="200">
        <f>IFERROR(__xludf.DUMMYFUNCTION("PRODUCT(
   MAP(
     K$3:ED$3,
     K$14:ED$14,
     K$13:ED$13,
     K72:ED72,
     LAMBDA(
       job,
       buff,
       target,
       check,
       IF(
         AND(check=TRUE, REGEXMATCH(target, ""SELF_EFFECTED_ALL""), ISNUMBER(buff), job=""占星術師"""&amp;"),
         buff,
         1
       )
     )
   )
 )"),1.0)</f>
        <v>1</v>
      </c>
      <c r="EK72" s="200">
        <f>IFERROR(__xludf.DUMMYFUNCTION("PRODUCT(
   MAP(
     K$3:ED$3,
     K$14:ED$14,
     K$13:ED$13,
     K72:ED72,
     LAMBDA(
       job,
       buff,
       target,
       check,
       IF(
         AND(check=TRUE, REGEXMATCH(target, ""SELF_EFFECTED_GCD""), ISNUMBER(buff), job=""占星術師"""&amp;"),
         buff,
         1
       )
     )
   )
 )"),1.0)</f>
        <v>1</v>
      </c>
      <c r="EL72" s="200">
        <f>IFERROR(__xludf.DUMMYFUNCTION("PRODUCT(
   MAP(
     K$3:ED$3,
     K$14:ED$14,
     K$13:ED$13,
     K72:ED72,
     LAMBDA(
       job,
       buff,
       target,
       check,
       IF(
         AND(check=TRUE, REGEXMATCH(target, ""SELF_EFFECTED_ALL""), ISNUMBER(buff), job=""学者""),"&amp;"
         buff,
         1
       )
     )
   )
 )"),1.0)</f>
        <v>1</v>
      </c>
      <c r="EM72" s="200">
        <f>IFERROR(__xludf.DUMMYFUNCTION("PRODUCT(
   MAP(
     K$3:ED$3,
     K$14:ED$14,
     K$13:ED$13,
     K72:ED72,
     LAMBDA(
       job,
       buff,
       target,
       check,
       IF(
         AND(check=TRUE, REGEXMATCH(target, ""SELF_EFFECTED_GCD""), ISNUMBER(buff), job=""学者""),"&amp;"
         buff,
         1
       )
     )
   )
 )"),1.0)</f>
        <v>1</v>
      </c>
      <c r="EN72" s="200">
        <f>IFERROR(__xludf.DUMMYFUNCTION("PRODUCT(
   MAP(
     K$3:ED$3,
     K$14:ED$14,
     K$13:ED$13,
     K72:ED72,
     LAMBDA(
       job,
       buff,
       target,
       check,
       IF(
         AND(check=TRUE, REGEXMATCH(target, ""SELF_EFFECTED_ALL""), ISNUMBER(buff), job=""賢者""),"&amp;"
         buff,
         1
       )
     )
   )
 )"),1.0)</f>
        <v>1</v>
      </c>
      <c r="EO72" s="200">
        <f>IFERROR(__xludf.DUMMYFUNCTION("PRODUCT(
   MAP(
     K$3:ED$3,
     K$14:ED$14,
     K$13:ED$13,
     K72:ED72,
     LAMBDA(
       job,
       buff,
       target,
       check,
       IF(
         AND(check=TRUE, REGEXMATCH(target, ""SELF_EFFECTED_GCD""), ISNUMBER(buff), job=""賢者""),"&amp;"
         buff,
         1
       )
     )
   )
 )"),1.0)</f>
        <v>1</v>
      </c>
      <c r="EP72" s="201">
        <f t="shared" si="3"/>
        <v>0</v>
      </c>
      <c r="EQ72" s="201">
        <f>IFERROR(__xludf.DUMMYFUNCTION("SUM(
   MAP(
     K$4:ED$4,
     K$3:ED$3,
     K$7:ED$7,
     K$15:ED$15,
     K$16:ED$16,
     K$21:ED$21,
     K$5:ED$5,
     K$17:ED$17,
     K72:ED72,
     LAMBDA(
       name,
       job,
       abillity,
       buff,
       barrier,
       enhance,"&amp;"
       assign,
       precondition,
       check,
       SWITCH(
         name,
         ""シェイクオフ"", IF(check=TRUE, buff + (0.02 * COUNTIF(ARRAYFORMULA((REGEXMATCH($K$4:$ED$4, ""スリル・オブ・バトル|ヴェンジェンス|原初の血気|ダムネーション"")) * (K72:ED72=TRUE)), 1)), 0),
         "&amp;"""インプロビゼーションフィニッシュ(踊りの激情0)"", IF(ISNUMBER(check), INDEX(Skill!$AJ:$AJ, MATCH(SUBSTITUTE(DV$4, 0, check), Skill!$C:$C, 0)), 0),
         IF(
           AND(check=TRUE, REGEXMATCH(assign, ""RANGE_PARTY"")),
           IF(
             OR(ARRAYFORMULA((IF(pr"&amp;"econdition="""", FALSE, REGEXMATCH($K$4:$ED$4, precondition))) * (K72:ED72=TRUE))),
             enhance,
             IF(barrier="""", buff, barrier)
           ),
           0
         )
       ) *
       SWITCH(
         job,
         ""ナイト"", EY$24,
 "&amp;"        ""戦士"", FD$24,
         ""踊り子"", ET$24,
         ""ピクトマンサー"", ET$24,
         ""白魔道士"", EF72 * EH72 * IF(abillity, 1, EG72 * EI72) * (Option!$D$22 * 0.81 / 100),
         ""占星術師"", EF72 * EJ72 * IF(abillity, 1, EG72 * EK72) * (Option!$D$23 * 0.81 "&amp;"/ 100),
         ""学者"", EF72 * EL72 * IF(abillity, 1, EG72 * EM72) * (Option!$D$24 * 0.81 / 100),
         ""賢者"", EF72 * EN72 * IF(abillity, 1, EG72 * EO72) * (Option!$D$25 * 0.81 / 100),
         1
       )
     )
   )
 )"),0.0)</f>
        <v>0</v>
      </c>
      <c r="ER72" s="202">
        <f t="shared" si="4"/>
        <v>0</v>
      </c>
      <c r="ES72" s="203">
        <f t="shared" si="5"/>
        <v>0</v>
      </c>
      <c r="ET72" s="231" t="str">
        <f>IFERROR(__xludf.DUMMYFUNCTION("IFS(
  EP72 &gt; $ET$24 + EQ72,
  SPARKLINE({ 1, 0 }, {""charttype"",""bar"";""max"", 1;""color1"",Option!$D$30;""color2"",Option!$D$30}),
  EP72 &lt; EQ72,
  SPARKLINE({EQ72 - EP72, $ET$24 - (EQ72 - EP72)}, {""charttype"",""bar"";""max"",$ET$24;""color1"",Opti"&amp;"on!$D$28;""color2"",Option!$D$29}),
  EP72 &gt;= EQ72,
  SPARKLINE({$ET$24 + EQ72 - EP72,EP72 - EQ72}, {""charttype"",""bar"";""max"",$ET$24;""color1"",Option!$D$29;""color2"",Option!$D$30})
)"),"")</f>
        <v/>
      </c>
      <c r="EU72" s="205">
        <f>IFERROR(__xludf.DUMMYFUNCTION("PRODUCT(
   MAP(
     IF($F72=""Physical"", K$10:ED$10, IF($F72=""Magic"", K$11:ED$11, K$12:ED$12)),
     IF($F72=""Physical"", K$18:ED$18, IF($F72=""Magic"", K$19:ED$19, K$20:ED$20)),
     K$3:ED$3,
     K$5:ED$5,
     K$17:ED$17,
     K72:ED72,
     LAM"&amp;"BDA(
       mitigation,
       enhance,
       job,
       assign,
       precondition,
       check,
       IF(
         OR(AND(check=TRUE, REGEXMATCH(assign, ""SELF""), job=""ナイト""), AND(check=Option!$E$13, REGEXMATCH(assign, ""SINGLE_PARTY""))),
      "&amp;"   IF(
           OR(ARRAYFORMULA((IF(precondition="""", FALSE, REGEXMATCH($K$4:$ED$4, precondition))) * (K72:ED72=TRUE))),
           enhance,
           mitigation
         ),
         1
       )
     )
   )
 ) * EE72"),1.0)</f>
        <v>1</v>
      </c>
      <c r="EV72" s="206">
        <f t="shared" si="6"/>
        <v>0</v>
      </c>
      <c r="EW72" s="205">
        <f>IFERROR(__xludf.DUMMYFUNCTION("PRODUCT(
   MAP(
     K$3:ED$3,
     K$14:ED$14,
     K$13:ED$13,
     K72:ED72,
     LAMBDA(
       job,
       buff,
       target,
       check,
       IF(
         OR(AND(check=TRUE, REGEXMATCH(target, ""SELF_AFFECTED_ALL""), job=""ナイト""), AND(check=O"&amp;"ption!$E$13, REGEXMATCH(target, ""SINGLE_AFFECTED_ALL""))),
         buff,
         1
       )
     )
   )
 )"),1.0)</f>
        <v>1</v>
      </c>
      <c r="EX72" s="206">
        <f>IFERROR(__xludf.DUMMYFUNCTION("SUM(
   MAP(
     K$3:ED$3,
     K$7:ED$7,
     K$15:ED$15,
     K$16:ED$16,
     K$21:ED$21,
     K$5:ED$5,
     K$17:ED$17,
     K72:ED72,
     LAMBDA(
       job,
       abillity,
       buff,
       barrier,
       enhance,
       assign,
       preco"&amp;"ndition,
       check,
       IF(
         OR(AND(check=TRUE, REGEXMATCH(assign, ""SELF""), job=""ナイト""), AND(check=Option!$E$13, REGEXMATCH(assign, ""SINGLE_PARTY""))),
         IF(
           OR(ARRAYFORMULA((IF(precondition="""", FALSE, REGEXMATCH($K$4"&amp;":$ED$4, precondition))) * (K72:ED72=TRUE))),
           enhance,
           IF(barrier="""", buff, barrier)
         ),
         0
       ) *
       SWITCH(
         job,
         ""暗黒騎士"", EY$24,
         ""白魔道士"", EF72 * EH72 * EW72 * IF(abillity, 1, EG"&amp;"72 * EI72) * (Option!$D$22 * 0.81 / 100),
         ""占星術師"", EF72 * EJ72 * EW72 * IF(abillity, 1, EG72 * EK72) * (Option!$D$23 * 0.81 / 100),
         ""学者"", EF72 * EL72 * EW72 * IF(abillity, 1, EG72 * EM72) * (Option!$D$24 * 0.81 / 100),
         ""賢者"""&amp;", EF72 * EN72 * EW72 * IF(abillity, 1, EG72 * EO72) * (Option!$D$25 * 0.81 / 100),
         1
       )
     )
   )
 ) + EQ72"),0.0)</f>
        <v>0</v>
      </c>
      <c r="EY72" s="232">
        <f t="shared" si="7"/>
        <v>0</v>
      </c>
      <c r="EZ72" s="205">
        <f>IFERROR(__xludf.DUMMYFUNCTION("PRODUCT(
   MAP(
     IF($F72=""Physical"", K$10:ED$10, IF($F72=""Magic"", K$11:ED$11, K$12:ED$12)),
     IF($F72=""Physical"", K$18:ED$18, IF($F72=""Magic"", K$19:ED$19, K$20:ED$20)),
     K$3:ED$3,
     K$5:ED$5,
     K$17:ED$17,
     K72:ED72,
     LAM"&amp;"BDA(
       mitigation,
       enhance,
       job,
       assign,
       precondition,
       check,
       IF(
         OR(AND(check=TRUE, REGEXMATCH(assign, ""SELF""), job=""戦士""), AND(check=Option!$F$13, REGEXMATCH(assign, ""SINGLE_PARTY""))),
       "&amp;"  IF(
           OR(ARRAYFORMULA((IF(precondition="""", FALSE, REGEXMATCH($K$4:$ED$4, precondition))) * (K72:ED72=TRUE))),
           enhance,
           mitigation
         ),
         1
       )
     )
   )
 ) * EE72"),1.0)</f>
        <v>1</v>
      </c>
      <c r="FA72" s="206">
        <f t="shared" si="8"/>
        <v>0</v>
      </c>
      <c r="FB72" s="205">
        <f>IFERROR(__xludf.DUMMYFUNCTION("PRODUCT(
   MAP(
     K$3:ED$3,
     K$14:ED$14,
     K$13:ED$13,
     K72:ED72,
     LAMBDA(
       job,
       buff,
       target,
       check,
       IF(
         OR(AND(check=TRUE, REGEXMATCH(target, ""SELF_AFFECTED_ALL""), job=""戦士""), AND(check=Op"&amp;"tion!$F$13, REGEXMATCH(target, ""SINGLE_AFFECTED_ALL""))),
         buff,
         1
       )
     )
   )
 )"),1.0)</f>
        <v>1</v>
      </c>
      <c r="FC72" s="206">
        <f>IFERROR(__xludf.DUMMYFUNCTION("SUM(
   MAP(
     K$3:ED$3,
     K$7:ED$7,
     K$15:ED$15,
     K$16:ED$16,
     K$21:ED$21,
     K$5:ED$5,
     K$17:ED$17,
     K72:ED72,
     LAMBDA(
       job,
       abillity,
       buff,
       barrier,
       enhance,
       assign,
       preco"&amp;"ndition,
       check,
       IF(
         OR(AND(check=TRUE, REGEXMATCH(assign, ""SELF""), job=""戦士""), AND(check=Option!$F$13, REGEXMATCH(assign, ""SINGLE_PARTY""))),
         IF(
           OR(ARRAYFORMULA((IF(precondition="""", FALSE, REGEXMATCH($K$4:"&amp;"$ED$4, precondition))) * (K72:ED72=TRUE))),
           enhance,
           IF(barrier="""", buff, barrier)
         ),
         0
       ) *
       SWITCH(
         job,
         ""暗黒騎士"", FD$24,
         ""白魔道士"", EF72 * EH72 * FB72 * IF(abillity, 1, EG7"&amp;"2 * EI72) * (Option!$D$22 * 0.81 / 100),
         ""占星術師"", EF72 * EJ72 * FFB72 * IF(abillity, 1, EG72 * EK72) * (Option!$D$23 * 0.81 / 100),
         ""学者"", EF72 * EL72 * FB72 * IF(abillity, 1, EG72 * EM72) * (Option!$D$24 * 0.81 / 100),
         ""賢者"""&amp;", EF72 * EN72 * FB72 * IF(abillity, 1, EG72 * EO72) * (Option!$D$25 * 0.81 / 100),
         1
       )
     )
   )
 ) + EQ72"),0.0)</f>
        <v>0</v>
      </c>
      <c r="FD72" s="206">
        <f t="shared" si="9"/>
        <v>0</v>
      </c>
      <c r="FE72" s="205">
        <f>IFERROR(__xludf.DUMMYFUNCTION("PRODUCT(
   MAP(
     IF($F72=""Physical"", K$10:ED$10, IF($F72=""Magic"", K$11:ED$11, K$12:ED$12)),
     IF($F72=""Physical"", K$18:ED$18, IF($F72=""Magic"", K$19:ED$19, K$20:ED$20)),
     K$3:ED$3,
     K$5:ED$5,
     K$17:ED$17,
     K72:ED72,
     LAM"&amp;"BDA(
       mitigation,
       enhance,
       job,
       assign,
       precondition,
       check,
       IF(
         OR(AND(check=TRUE, REGEXMATCH(assign, ""SELF""), job=""暗黒騎士""), AND(check=Option!$G$13, REGEXMATCH(assign, ""SINGLE_PARTY""))),
     "&amp;"    IF(
           OR(ARRAYFORMULA((IF(precondition="""", FALSE, REGEXMATCH($K$4:$ED$4, precondition))) * (K72:ED72=TRUE))),
           enhance,
           mitigation
         ),
         1
       )
     )
   )
 ) * EE72"),1.0)</f>
        <v>1</v>
      </c>
      <c r="FF72" s="206">
        <f t="shared" si="10"/>
        <v>0</v>
      </c>
      <c r="FG72" s="205">
        <f>IFERROR(__xludf.DUMMYFUNCTION("PRODUCT(
   MAP(
     K$3:ED$3,
     K$14:ED$14,
     K$13:ED$13,
     K72:ED72,
     LAMBDA(
       job,
       buff,
       target,
       check,
       IF(
         OR(AND(check=TRUE, REGEXMATCH(target, ""SELF_AFFECTED_ALL""), job=""暗黒騎士""), AND(check="&amp;"Option!$G$13, REGEXMATCH(target, ""SINGLE_AFFECTED_ALL""))),
         buff,
         1
       )
     )
   )
 )"),1.0)</f>
        <v>1</v>
      </c>
      <c r="FH72" s="206">
        <f>IFERROR(__xludf.DUMMYFUNCTION("SUM(
   MAP(
     K$3:ED$3,
     K$7:ED$7,
     K$15:ED$15,
     K$16:ED$16,
     K$21:ED$21,
     K$5:ED$5,
     K$17:ED$17,
     K72:ED72,
     LAMBDA(
       job,
       abillity,
       buff,
       barrier,
       enhance,
       assign,
       preco"&amp;"ndition,
       check,
       IF(
         OR(AND(check=TRUE, REGEXMATCH(assign, ""SELF""), job=""暗黒騎士""), AND(check=Option!$G$13, REGEXMATCH(assign, ""SINGLE_PARTY""))),
         IF(
           OR(ARRAYFORMULA((IF(precondition="""", FALSE, REGEXMATCH($K$"&amp;"4:$ED$4, precondition))) * (K72:ED72=TRUE))),
           enhance,
           IF(barrier="""", buff, barrier)
         ),
         0
       ) *
       SWITCH(
         job,
         ""暗黒騎士"", FI$24,
         ""白魔道士"", EF72 * EH72 * FG72 * IF(abillity, 1, E"&amp;"G72 * EI72) * (Option!$D$22 * 0.81 / 100),
         ""占星術師"", EF72 * EJ72 * FG72 * IF(abillity, 1, EG72 * EK72) * (Option!$D$23 * 0.81 / 100),
         ""学者"", EF72 * EL72 * FG72 * IF(abillity, 1, EG72 * EM72) * (Option!$D$24 * 0.81 / 100),
         ""賢者"&amp;""", EF72 * EN72 * FG72 * IF(abillity, 1, EG72 * EO72) * (Option!$D$25 * 0.81 / 100),
         1
       )
     )
   )
 ) + EQ72"),0.0)</f>
        <v>0</v>
      </c>
      <c r="FI72" s="206">
        <f t="shared" si="11"/>
        <v>0</v>
      </c>
      <c r="FJ72" s="205">
        <f>IFERROR(__xludf.DUMMYFUNCTION("PRODUCT(
   MAP(
     IF($F72=""Physical"", K$10:ED$10, IF($F72=""Magic"", K$11:ED$11, K$12:ED$12)),
     IF($F72=""Physical"", K$18:ED$18, IF($F72=""Magic"", K$19:ED$19, K$20:ED$20)),
     K$3:ED$3,
     K$5:ED$5,
     K$17:ED$17,
     K72:ED72,
     LAM"&amp;"BDA(
       mitigation,
       enhance,
       job,
       assign,
       precondition,
       check,
       IF(
         OR(AND(check=TRUE, REGEXMATCH(assign, ""SELF""), job=""ガンブレイカー""), AND(check=Option!$H$13, REGEXMATCH(assign, ""SINGLE_PARTY""))),
  "&amp;"       IF(
           OR(ARRAYFORMULA((IF(precondition="""", FALSE, REGEXMATCH($K$4:$ED$4, precondition))) * (K72:ED72=TRUE))),
           enhance,
           mitigation
         ),
         1
       )
     )
   )
 ) * EE72"),1.0)</f>
        <v>1</v>
      </c>
      <c r="FK72" s="206">
        <f t="shared" si="12"/>
        <v>0</v>
      </c>
      <c r="FL72" s="205">
        <f>IFERROR(__xludf.DUMMYFUNCTION("PRODUCT(
   MAP(
     K$3:ED$3,
     K$14:ED$14,
     K$13:ED$13,
     K72:ED72,
     LAMBDA(
       job,
       buff,
       target,
       check,
       IF(
         OR(AND(check=TRUE, REGEXMATCH(target, ""SELF_AFFECTED_ALL""), job=""ガンブレイカー""), AND(che"&amp;"ck=Option!$H$13, REGEXMATCH(target, ""SINGLE_AFFECTED_ALL""))),
         buff,
         1
       )
     )
   )
 )"),1.0)</f>
        <v>1</v>
      </c>
      <c r="FM72" s="206">
        <f>IFERROR(__xludf.DUMMYFUNCTION("SUM(
   MAP(
     K$3:ED$3,
     K$7:ED$7,
     K$15:ED$15,
     K$16:ED$16,
     K$21:ED$21,
     K$5:ED$5,
     K$17:ED$17,
     K72:ED72,
     LAMBDA(
       job,
       abillity,
       buff,
       barrier,
       enhance,
       assign,
       preco"&amp;"ndition,
       check,
       IF(
         OR(AND(check=TRUE, REGEXMATCH(assign, ""SELF""), job=""ガンブレイカー""), AND(check=Option!$H$13, REGEXMATCH(assign, ""SINGLE_PARTY""))),
         IF(
           OR(ARRAYFORMULA((IF(precondition="""", FALSE, REGEXMATCH("&amp;"$K$4:$ED$4, precondition))) * (K72:ED72=TRUE))),
           enhance,
           IF(barrier="""", buff, barrier)
         ),
         0
       ) *
       SWITCH(
         job,
         ""暗黒騎士"", FN$24,
         ""白魔道士"", EF72 * EH72 * FL72 * IF(abillity, 1"&amp;", EG72 * EI72) * (Option!$D$22 * 0.81 / 100),
         ""占星術師"", EF72 * EJ72 * FL72 * IF(abillity, 1, EG72 * EK72) * (Option!$D$23 * 0.81 / 100),
         ""学者"", EF72 * EL72 * FL72 * IF(abillity, 1, EG72 * EM72) * (Option!$D$24 * 0.81 / 100),
         """&amp;"賢者"", EF72 * EN72 * FL72 * IF(abillity, 1, EG72 * EO72) * (Option!$D$25 * 0.81 / 100),
         1
       )
     )
   )
 ) + EQ72"),0.0)</f>
        <v>0</v>
      </c>
      <c r="FN72" s="206">
        <f t="shared" si="13"/>
        <v>0</v>
      </c>
      <c r="FO72" s="213"/>
    </row>
    <row r="73">
      <c r="B73" s="229"/>
      <c r="C73" s="217">
        <f t="shared" si="1"/>
        <v>0.00380787037</v>
      </c>
      <c r="D73" s="236"/>
      <c r="E73" s="238"/>
      <c r="F73" s="167"/>
      <c r="G73" s="168" t="str">
        <f t="shared" si="2"/>
        <v/>
      </c>
      <c r="H73" s="169"/>
      <c r="I73" s="169"/>
      <c r="J73" s="169"/>
      <c r="K73" s="170" t="b">
        <v>0</v>
      </c>
      <c r="L73" s="170" t="b">
        <v>0</v>
      </c>
      <c r="M73" s="170" t="b">
        <v>0</v>
      </c>
      <c r="N73" s="171" t="s">
        <v>1070</v>
      </c>
      <c r="O73" s="172" t="b">
        <v>0</v>
      </c>
      <c r="P73" s="173" t="b">
        <v>0</v>
      </c>
      <c r="Q73" s="173" t="b">
        <v>0</v>
      </c>
      <c r="R73" s="173" t="b">
        <v>0</v>
      </c>
      <c r="S73" s="174" t="b">
        <v>0</v>
      </c>
      <c r="T73" s="175" t="b">
        <v>0</v>
      </c>
      <c r="U73" s="173" t="b">
        <v>0</v>
      </c>
      <c r="V73" s="171" t="s">
        <v>1070</v>
      </c>
      <c r="W73" s="172" t="b">
        <v>0</v>
      </c>
      <c r="X73" s="173" t="b">
        <v>0</v>
      </c>
      <c r="Y73" s="173" t="b">
        <v>0</v>
      </c>
      <c r="Z73" s="173" t="b">
        <v>0</v>
      </c>
      <c r="AA73" s="174" t="b">
        <v>0</v>
      </c>
      <c r="AB73" s="174" t="b">
        <v>0</v>
      </c>
      <c r="AC73" s="175" t="b">
        <v>0</v>
      </c>
      <c r="AD73" s="173" t="b">
        <v>0</v>
      </c>
      <c r="AE73" s="176" t="s">
        <v>1070</v>
      </c>
      <c r="AF73" s="171" t="s">
        <v>1070</v>
      </c>
      <c r="AG73" s="177">
        <f>IFERROR(__xludf.DUMMYFUNCTION("IF(
  ISNUMBER(AG72),
  MIN(MAX(
    AG72
    + MAX(
      ROUNDDOWN(($D73 - MAX(IFERROR(FILTER($D$24:$D72, AG$24:AG72 &lt;&gt; AF$6, AG$23:AG71 = AF$6), 0))) * (60 * 60 * 24) / AF$9) - ROUNDDOWN(($D72 - MAX(IFERROR(FILTER($D$23:$D71, AG$23:AG71 &lt;&gt; AF$6, AG$22:"&amp;"AG70 = AF$6), 0))) * (60 * 60 * 24) / 60),
      0
    )
    - COUNTIF(AF73, ""&lt;&gt;-""),
  0), AF$6),
  AF$6 - COUNTIF(AF73, ""&lt;&gt;-"")
)"),2.0)</f>
        <v>2</v>
      </c>
      <c r="AH73" s="173" t="b">
        <v>0</v>
      </c>
      <c r="AI73" s="173" t="b">
        <v>0</v>
      </c>
      <c r="AJ73" s="173" t="b">
        <v>0</v>
      </c>
      <c r="AK73" s="174" t="b">
        <v>0</v>
      </c>
      <c r="AL73" s="175" t="b">
        <v>0</v>
      </c>
      <c r="AM73" s="173" t="b">
        <v>0</v>
      </c>
      <c r="AN73" s="171" t="s">
        <v>1070</v>
      </c>
      <c r="AO73" s="173" t="b">
        <v>0</v>
      </c>
      <c r="AP73" s="173" t="b">
        <v>0</v>
      </c>
      <c r="AQ73" s="173" t="b">
        <v>0</v>
      </c>
      <c r="AR73" s="174" t="b">
        <v>0</v>
      </c>
      <c r="AS73" s="178" t="b">
        <v>0</v>
      </c>
      <c r="AT73" s="179" t="b">
        <v>0</v>
      </c>
      <c r="AU73" s="180" t="b">
        <v>0</v>
      </c>
      <c r="AV73" s="180" t="b">
        <v>0</v>
      </c>
      <c r="AW73" s="180" t="b">
        <v>0</v>
      </c>
      <c r="AX73" s="180" t="b">
        <v>0</v>
      </c>
      <c r="AY73" s="181" t="s">
        <v>1070</v>
      </c>
      <c r="AZ73" s="181" t="s">
        <v>1070</v>
      </c>
      <c r="BA73" s="184">
        <f>IFERROR(__xludf.DUMMYFUNCTION("IF(
  ISNUMBER(BA72),
  MIN(MAX(
    BA72
    + MAX(
      ROUNDDOWN((D73 - MAX(IFERROR(FILTER(D$24:D72, BA$24:BA72 &lt;&gt; AZ$6, BA$23:BA71 = AZ$6), 0))) * (60 * 60 * 24) / AZ$9) - ROUNDDOWN((D72 - MAX(IFERROR(FILTER(D$23:D71, BA$23:BA71 &lt;&gt; AZ$6, BA$22:BA70 ="&amp;" AZ$6), 0))) * (60 * 60 * 24) / AZ$9),
      0
    )
    - COUNTIF(AZ73, ""&lt;&gt;-""),
  0), AZ$6),
  AZ$6 - COUNTIF(AZ73, ""&lt;&gt;-"")
)"),2.0)</f>
        <v>2</v>
      </c>
      <c r="BB73" s="181" t="s">
        <v>1070</v>
      </c>
      <c r="BC73" s="183">
        <f>IFERROR(__xludf.DUMMYFUNCTION("IF(
  ISNUMBER(BC72),
  MIN(MAX(
    BC72
    + MAX(
      ROUNDDOWN(($D73 - MAX(IFERROR(FILTER($D$24:$D72, BC$24:BC72 &lt;&gt; BB$6, BC$23:BC71 = BB$6), 0))) * (60 * 60 * 24) / BB$9) - ROUNDDOWN(($D72 - MAX(IFERROR(FILTER($D$23:$D71, BC$23:BC71 &lt;&gt; BB$6, BC$22:"&amp;"BC70 = BB$6), 0))) * (60 * 60 * 24) / 60),
      0
    )
    - COUNTIF(BB73, ""&lt;&gt;-""),
  0), BB$6),
  BB$6 - COUNTIF(BB73, ""&lt;&gt;-"")
)"),2.0)</f>
        <v>2</v>
      </c>
      <c r="BD73" s="181" t="s">
        <v>1070</v>
      </c>
      <c r="BE73" s="178" t="b">
        <v>0</v>
      </c>
      <c r="BF73" s="180" t="b">
        <v>0</v>
      </c>
      <c r="BG73" s="180" t="b">
        <v>0</v>
      </c>
      <c r="BH73" s="180" t="b">
        <v>0</v>
      </c>
      <c r="BI73" s="180" t="b">
        <v>0</v>
      </c>
      <c r="BJ73" s="180" t="b">
        <v>0</v>
      </c>
      <c r="BK73" s="180" t="b">
        <v>0</v>
      </c>
      <c r="BL73" s="180" t="b">
        <v>0</v>
      </c>
      <c r="BM73" s="180" t="b">
        <v>0</v>
      </c>
      <c r="BN73" s="180" t="b">
        <v>0</v>
      </c>
      <c r="BO73" s="181" t="s">
        <v>1070</v>
      </c>
      <c r="BP73" s="181" t="s">
        <v>1070</v>
      </c>
      <c r="BQ73" s="181" t="s">
        <v>1070</v>
      </c>
      <c r="BR73" s="181" t="s">
        <v>1070</v>
      </c>
      <c r="BS73" s="181" t="s">
        <v>1070</v>
      </c>
      <c r="BT73" s="184">
        <f>IFERROR(__xludf.DUMMYFUNCTION("IF(
  ISNUMBER(BT72),
  MIN(MAX(
    BT72
    + MAX(
      ROUNDDOWN((D73 - MAX(IFERROR(FILTER(D$24:D72, BT$24:BT72 &lt;&gt; BS$6, BT$23:BT71 = BS$6), 0))) * (60 * 60 * 24) / BS$9) - ROUNDDOWN((D72 - MAX(IFERROR(FILTER(D$23:D71, BT$23:BT71 &lt;&gt; BS$6, BT$22:BT70 ="&amp;" BS$6), 0))) * (60 * 60 * 24) / BS$9),
      0
    )
    - COUNTIF(BS73, ""&lt;&gt;-""),
  0), BS$6),
  BS$6 - COUNTIF(BS73, ""&lt;&gt;-"")
)"),3.0)</f>
        <v>3</v>
      </c>
      <c r="BU73" s="181" t="s">
        <v>1070</v>
      </c>
      <c r="BV73" s="181" t="s">
        <v>1070</v>
      </c>
      <c r="BW73" s="184">
        <f>IFERROR(__xludf.DUMMYFUNCTION("IF(
  ISNUMBER(BW72),
  MIN(MAX(
    BW72
    + MAX(
      ROUNDDOWN((D73 - MAX(IFERROR(FILTER(D$24:D72, BW$24:BW72 &lt;&gt; BV$6, BW$23:BW71 = BV$6), 0))) * (60 * 60 * 24) / BV$9) - ROUNDDOWN((D72 - MAX(IFERROR(FILTER(D$23:D71, BW$23:BW71 &lt;&gt; BV$6, BW$22:BW70 ="&amp;" BV$6), 0))) * (60 * 60 * 24) / BV$9),
      0
    )
    - COUNTIF(BV73, ""&lt;&gt;-""),
  0), BV$6),
  BV$6 - COUNTIF(BV73, ""&lt;&gt;-"")
)"),2.0)</f>
        <v>2</v>
      </c>
      <c r="BX73" s="185" t="s">
        <v>1070</v>
      </c>
      <c r="BY73" s="178" t="b">
        <v>0</v>
      </c>
      <c r="BZ73" s="180" t="b">
        <v>0</v>
      </c>
      <c r="CA73" s="180" t="b">
        <v>0</v>
      </c>
      <c r="CB73" s="180" t="b">
        <v>0</v>
      </c>
      <c r="CC73" s="180" t="b">
        <v>0</v>
      </c>
      <c r="CD73" s="180" t="b">
        <v>0</v>
      </c>
      <c r="CE73" s="180" t="b">
        <v>0</v>
      </c>
      <c r="CF73" s="180" t="b">
        <v>0</v>
      </c>
      <c r="CG73" s="180" t="b">
        <v>0</v>
      </c>
      <c r="CH73" s="180" t="b">
        <v>0</v>
      </c>
      <c r="CI73" s="180" t="b">
        <v>0</v>
      </c>
      <c r="CJ73" s="180" t="b">
        <v>0</v>
      </c>
      <c r="CK73" s="180" t="b">
        <v>0</v>
      </c>
      <c r="CL73" s="180" t="b">
        <v>0</v>
      </c>
      <c r="CM73" s="181" t="s">
        <v>1070</v>
      </c>
      <c r="CN73" s="181" t="s">
        <v>1070</v>
      </c>
      <c r="CO73" s="181" t="s">
        <v>1070</v>
      </c>
      <c r="CP73" s="181" t="s">
        <v>1070</v>
      </c>
      <c r="CQ73" s="185" t="s">
        <v>1070</v>
      </c>
      <c r="CR73" s="180" t="b">
        <v>0</v>
      </c>
      <c r="CS73" s="186" t="str">
        <f t="shared" si="14"/>
        <v>◇◇◇</v>
      </c>
      <c r="CT73" s="178" t="b">
        <v>0</v>
      </c>
      <c r="CU73" s="180" t="b">
        <v>0</v>
      </c>
      <c r="CV73" s="180" t="b">
        <v>0</v>
      </c>
      <c r="CW73" s="180" t="b">
        <v>0</v>
      </c>
      <c r="CX73" s="180" t="b">
        <v>0</v>
      </c>
      <c r="CY73" s="180" t="b">
        <v>0</v>
      </c>
      <c r="CZ73" s="180" t="b">
        <v>0</v>
      </c>
      <c r="DA73" s="180" t="b">
        <v>0</v>
      </c>
      <c r="DB73" s="180" t="b">
        <v>0</v>
      </c>
      <c r="DC73" s="180" t="b">
        <v>0</v>
      </c>
      <c r="DD73" s="181" t="s">
        <v>1070</v>
      </c>
      <c r="DE73" s="181" t="s">
        <v>1070</v>
      </c>
      <c r="DF73" s="181" t="s">
        <v>1070</v>
      </c>
      <c r="DG73" s="185" t="s">
        <v>1070</v>
      </c>
      <c r="DH73" s="180" t="b">
        <v>0</v>
      </c>
      <c r="DI73" s="187" t="str">
        <f>IFERROR(__xludf.DUMMYFUNCTION("SWITCH(
  IF(
    ISTEXT(DI72),
    IF (
      FIND(""○"", DI72&amp;""○"") &gt; 3,
      3,
      FIND(""○"", DI72&amp;""○"")
      + MAX(
        ROUNDDOWN(($D73 - MAX(IFERROR(FILTER(D$24:D72, DI$24:DI72 &lt;&gt; ""●●●"", DI$23:DI71 = ""●●●""), 0))) * (60 * 60 * 24) / 20"&amp;") - ROUNDDOWN(($D72 - MAX(IFERROR(FILTER(D$23:D71, DI$23:DI71 &lt;&gt; ""●●●"", DI$22:DI70 = ""●●●""), 0))) * (60 * 60 * 24) / 20),
        0
      ) - 1
    ) - COUNTIFS(CU73, ""=TRUE"", CU72, ""&lt;&gt;TRUE"") - COUNTIF(CZ73, ""=TRUE"") - COUNTIF({DD73,DE73}, ""&lt;&gt;-"&amp;""") + COUNTIF(DH73, ""=TRUE""),
    3
  ),
  0, ""○○○"", 1, ""●○○"", 2, ""●●○"", 3, ""●●●"", 4, ""●●●"", ""○○○""
)"),"●●●")</f>
        <v>●●●</v>
      </c>
      <c r="DJ73" s="188" t="b">
        <v>0</v>
      </c>
      <c r="DK73" s="189" t="b">
        <v>0</v>
      </c>
      <c r="DL73" s="190" t="b">
        <v>0</v>
      </c>
      <c r="DM73" s="190" t="b">
        <v>0</v>
      </c>
      <c r="DN73" s="190" t="b">
        <v>0</v>
      </c>
      <c r="DO73" s="190" t="b">
        <v>0</v>
      </c>
      <c r="DP73" s="190" t="b">
        <v>0</v>
      </c>
      <c r="DQ73" s="191" t="b">
        <v>0</v>
      </c>
      <c r="DR73" s="192" t="b">
        <v>0</v>
      </c>
      <c r="DS73" s="191" t="b">
        <v>0</v>
      </c>
      <c r="DT73" s="192" t="b">
        <v>0</v>
      </c>
      <c r="DU73" s="191" t="b">
        <v>0</v>
      </c>
      <c r="DV73" s="193" t="s">
        <v>1070</v>
      </c>
      <c r="DW73" s="194" t="b">
        <v>0</v>
      </c>
      <c r="DX73" s="194" t="b">
        <v>0</v>
      </c>
      <c r="DY73" s="195" t="b">
        <v>0</v>
      </c>
      <c r="DZ73" s="196" t="b">
        <v>0</v>
      </c>
      <c r="EA73" s="195" t="b">
        <v>0</v>
      </c>
      <c r="EB73" s="197" t="b">
        <v>0</v>
      </c>
      <c r="EC73" s="197" t="b">
        <v>0</v>
      </c>
      <c r="ED73" s="212" t="b">
        <v>0</v>
      </c>
      <c r="EE73" s="199">
        <f>IFERROR(__xludf.DUMMYFUNCTION("IFERROR(
   PRODUCT(
     MAP(
       INDEX(TRANSPOSE(UNIQUE(TRANSPOSE(FILTER({IF($F73=""Physical"", K$10:ED$10, IF($F73=""Magic"", K$11:ED$11, K$12:ED$12));K$4:ED$4;K73:ED73}, K73:ED73=TRUE)))), 1, 0),
       INDEX(TRANSPOSE(UNIQUE(TRANSPOSE(FILTER({IF($"&amp;"F73=""Physical"", K$18:ED$18, IF($F73=""Magic"", K$19:ED$19, K$20:ED$20));K$4:ED$4;K73:ED73}, K73:ED73=TRUE)))), 1, 0),
       INDEX(TRANSPOSE(UNIQUE(TRANSPOSE(FILTER({K$5:ED$5;K$4:ED$4;K73:ED73}, K73:ED73=TRUE)))), 1, 0),
       INDEX(TRANSPOSE(UNIQUE(TR"&amp;"ANSPOSE(FILTER({K$17:ED$17;K$4:ED$4;K73:ED73}, K73:ED73=TRUE)))), 1, 0),
       LAMBDA(
         mitigation,
         enhance,
         assign,
         precondition,
         IF(
           REGEXMATCH(assign, ""RANGE_PARTY|SINGLE_ENEMY|RANGE_ENEMY""),
  "&amp;"         IF(
             OR(ARRAYFORMULA((IF(precondition="""", FALSE, REGEXMATCH(K$4:ED$4, precondition))) * (K73:ED73=TRUE))),
             IF(ISNUMBER(enhance), enhance, 1),
             IF(ISNUMBER(mitigation), mitigation, 1)
           ),
          "&amp;" 1
         )
       )
     )
   ),
   1
 )"),1.0)</f>
        <v>1</v>
      </c>
      <c r="EF73" s="200">
        <f>IFERROR(__xludf.DUMMYFUNCTION("PRODUCT(
   MAP(
     K$14:ED$14,
     K$13:ED$13,
     K73:ED73,
     LAMBDA(
       buff,
       target,
       check,
       IF(
         AND(check=TRUE, REGEXMATCH(target, ""RANGE_AFFECTED_ALL|RANGE_EFFECTED_ALL""), ISNUMBER(buff)),
         buff,
   "&amp;"      1
       )
     )
   )
 )"),1.0)</f>
        <v>1</v>
      </c>
      <c r="EG73" s="200">
        <f>IFERROR(__xludf.DUMMYFUNCTION("PRODUCT(
   MAP(
     K$14:ED$14,
     K$13:ED$13,
     K73:ED73,
     LAMBDA(
       buff,
       target,
       check,
       IF(
         AND(check=TRUE, REGEXMATCH(target, ""RANGE_AFFECTED_GCD|RANGE_EFFECTED_GCD""), ISNUMBER(buff)),
         buff,
   "&amp;"      1
       )
     )
   )
 )"),1.0)</f>
        <v>1</v>
      </c>
      <c r="EH73" s="200">
        <f>IFERROR(__xludf.DUMMYFUNCTION("PRODUCT(
   MAP(
     K$3:ED$3,
     K$14:ED$14,
     K$13:ED$13,
     K73:ED73,
     LAMBDA(
       job,
       buff,
       target,
       check,
       IF(
         AND(check=TRUE, REGEXMATCH(target, ""SELF_EFFECTED_ALL""), ISNUMBER(buff), job=""白魔道士"""&amp;"),
         buff,
         1
       )
     )
   )
 )"),1.0)</f>
        <v>1</v>
      </c>
      <c r="EI73" s="200">
        <f>IFERROR(__xludf.DUMMYFUNCTION("PRODUCT(
   MAP(
     K$3:ED$3,
     K$14:ED$14,
     K$13:ED$13,
     K73:ED73,
     LAMBDA(
       job,
       buff,
       target,
       check,
       IF(
         AND(check=TRUE, REGEXMATCH(target, ""SELF_EFFECTED_GCD""), ISNUMBER(buff), job=""白魔道士"""&amp;"),
         buff,
         1
       )
     )
   )
 )"),1.0)</f>
        <v>1</v>
      </c>
      <c r="EJ73" s="200">
        <f>IFERROR(__xludf.DUMMYFUNCTION("PRODUCT(
   MAP(
     K$3:ED$3,
     K$14:ED$14,
     K$13:ED$13,
     K73:ED73,
     LAMBDA(
       job,
       buff,
       target,
       check,
       IF(
         AND(check=TRUE, REGEXMATCH(target, ""SELF_EFFECTED_ALL""), ISNUMBER(buff), job=""占星術師"""&amp;"),
         buff,
         1
       )
     )
   )
 )"),1.0)</f>
        <v>1</v>
      </c>
      <c r="EK73" s="200">
        <f>IFERROR(__xludf.DUMMYFUNCTION("PRODUCT(
   MAP(
     K$3:ED$3,
     K$14:ED$14,
     K$13:ED$13,
     K73:ED73,
     LAMBDA(
       job,
       buff,
       target,
       check,
       IF(
         AND(check=TRUE, REGEXMATCH(target, ""SELF_EFFECTED_GCD""), ISNUMBER(buff), job=""占星術師"""&amp;"),
         buff,
         1
       )
     )
   )
 )"),1.0)</f>
        <v>1</v>
      </c>
      <c r="EL73" s="200">
        <f>IFERROR(__xludf.DUMMYFUNCTION("PRODUCT(
   MAP(
     K$3:ED$3,
     K$14:ED$14,
     K$13:ED$13,
     K73:ED73,
     LAMBDA(
       job,
       buff,
       target,
       check,
       IF(
         AND(check=TRUE, REGEXMATCH(target, ""SELF_EFFECTED_ALL""), ISNUMBER(buff), job=""学者""),"&amp;"
         buff,
         1
       )
     )
   )
 )"),1.0)</f>
        <v>1</v>
      </c>
      <c r="EM73" s="200">
        <f>IFERROR(__xludf.DUMMYFUNCTION("PRODUCT(
   MAP(
     K$3:ED$3,
     K$14:ED$14,
     K$13:ED$13,
     K73:ED73,
     LAMBDA(
       job,
       buff,
       target,
       check,
       IF(
         AND(check=TRUE, REGEXMATCH(target, ""SELF_EFFECTED_GCD""), ISNUMBER(buff), job=""学者""),"&amp;"
         buff,
         1
       )
     )
   )
 )"),1.0)</f>
        <v>1</v>
      </c>
      <c r="EN73" s="200">
        <f>IFERROR(__xludf.DUMMYFUNCTION("PRODUCT(
   MAP(
     K$3:ED$3,
     K$14:ED$14,
     K$13:ED$13,
     K73:ED73,
     LAMBDA(
       job,
       buff,
       target,
       check,
       IF(
         AND(check=TRUE, REGEXMATCH(target, ""SELF_EFFECTED_ALL""), ISNUMBER(buff), job=""賢者""),"&amp;"
         buff,
         1
       )
     )
   )
 )"),1.0)</f>
        <v>1</v>
      </c>
      <c r="EO73" s="200">
        <f>IFERROR(__xludf.DUMMYFUNCTION("PRODUCT(
   MAP(
     K$3:ED$3,
     K$14:ED$14,
     K$13:ED$13,
     K73:ED73,
     LAMBDA(
       job,
       buff,
       target,
       check,
       IF(
         AND(check=TRUE, REGEXMATCH(target, ""SELF_EFFECTED_GCD""), ISNUMBER(buff), job=""賢者""),"&amp;"
         buff,
         1
       )
     )
   )
 )"),1.0)</f>
        <v>1</v>
      </c>
      <c r="EP73" s="201">
        <f t="shared" si="3"/>
        <v>0</v>
      </c>
      <c r="EQ73" s="201">
        <f>IFERROR(__xludf.DUMMYFUNCTION("SUM(
   MAP(
     K$4:ED$4,
     K$3:ED$3,
     K$7:ED$7,
     K$15:ED$15,
     K$16:ED$16,
     K$21:ED$21,
     K$5:ED$5,
     K$17:ED$17,
     K73:ED73,
     LAMBDA(
       name,
       job,
       abillity,
       buff,
       barrier,
       enhance,"&amp;"
       assign,
       precondition,
       check,
       SWITCH(
         name,
         ""シェイクオフ"", IF(check=TRUE, buff + (0.02 * COUNTIF(ARRAYFORMULA((REGEXMATCH($K$4:$ED$4, ""スリル・オブ・バトル|ヴェンジェンス|原初の血気|ダムネーション"")) * (K73:ED73=TRUE)), 1)), 0),
         "&amp;"""インプロビゼーションフィニッシュ(踊りの激情0)"", IF(ISNUMBER(check), INDEX(Skill!$AJ:$AJ, MATCH(SUBSTITUTE(DV$4, 0, check), Skill!$C:$C, 0)), 0),
         IF(
           AND(check=TRUE, REGEXMATCH(assign, ""RANGE_PARTY"")),
           IF(
             OR(ARRAYFORMULA((IF(pr"&amp;"econdition="""", FALSE, REGEXMATCH($K$4:$ED$4, precondition))) * (K73:ED73=TRUE))),
             enhance,
             IF(barrier="""", buff, barrier)
           ),
           0
         )
       ) *
       SWITCH(
         job,
         ""ナイト"", EY$24,
 "&amp;"        ""戦士"", FD$24,
         ""踊り子"", ET$24,
         ""ピクトマンサー"", ET$24,
         ""白魔道士"", EF73 * EH73 * IF(abillity, 1, EG73 * EI73) * (Option!$D$22 * 0.81 / 100),
         ""占星術師"", EF73 * EJ73 * IF(abillity, 1, EG73 * EK73) * (Option!$D$23 * 0.81 "&amp;"/ 100),
         ""学者"", EF73 * EL73 * IF(abillity, 1, EG73 * EM73) * (Option!$D$24 * 0.81 / 100),
         ""賢者"", EF73 * EN73 * IF(abillity, 1, EG73 * EO73) * (Option!$D$25 * 0.81 / 100),
         1
       )
     )
   )
 )"),0.0)</f>
        <v>0</v>
      </c>
      <c r="ER73" s="202">
        <f t="shared" si="4"/>
        <v>0</v>
      </c>
      <c r="ES73" s="203">
        <f t="shared" si="5"/>
        <v>0</v>
      </c>
      <c r="ET73" s="231" t="str">
        <f>IFERROR(__xludf.DUMMYFUNCTION("IFS(
  EP73 &gt; $ET$24 + EQ73,
  SPARKLINE({ 1, 0 }, {""charttype"",""bar"";""max"", 1;""color1"",Option!$D$30;""color2"",Option!$D$30}),
  EP73 &lt; EQ73,
  SPARKLINE({EQ73 - EP73, $ET$24 - (EQ73 - EP73)}, {""charttype"",""bar"";""max"",$ET$24;""color1"",Opti"&amp;"on!$D$28;""color2"",Option!$D$29}),
  EP73 &gt;= EQ73,
  SPARKLINE({$ET$24 + EQ73 - EP73,EP73 - EQ73}, {""charttype"",""bar"";""max"",$ET$24;""color1"",Option!$D$29;""color2"",Option!$D$30})
)"),"")</f>
        <v/>
      </c>
      <c r="EU73" s="205">
        <f>IFERROR(__xludf.DUMMYFUNCTION("PRODUCT(
   MAP(
     IF($F73=""Physical"", K$10:ED$10, IF($F73=""Magic"", K$11:ED$11, K$12:ED$12)),
     IF($F73=""Physical"", K$18:ED$18, IF($F73=""Magic"", K$19:ED$19, K$20:ED$20)),
     K$3:ED$3,
     K$5:ED$5,
     K$17:ED$17,
     K73:ED73,
     LAM"&amp;"BDA(
       mitigation,
       enhance,
       job,
       assign,
       precondition,
       check,
       IF(
         OR(AND(check=TRUE, REGEXMATCH(assign, ""SELF""), job=""ナイト""), AND(check=Option!$E$13, REGEXMATCH(assign, ""SINGLE_PARTY""))),
      "&amp;"   IF(
           OR(ARRAYFORMULA((IF(precondition="""", FALSE, REGEXMATCH($K$4:$ED$4, precondition))) * (K73:ED73=TRUE))),
           enhance,
           mitigation
         ),
         1
       )
     )
   )
 ) * EE73"),1.0)</f>
        <v>1</v>
      </c>
      <c r="EV73" s="206">
        <f t="shared" si="6"/>
        <v>0</v>
      </c>
      <c r="EW73" s="205">
        <f>IFERROR(__xludf.DUMMYFUNCTION("PRODUCT(
   MAP(
     K$3:ED$3,
     K$14:ED$14,
     K$13:ED$13,
     K73:ED73,
     LAMBDA(
       job,
       buff,
       target,
       check,
       IF(
         OR(AND(check=TRUE, REGEXMATCH(target, ""SELF_AFFECTED_ALL""), job=""ナイト""), AND(check=O"&amp;"ption!$E$13, REGEXMATCH(target, ""SINGLE_AFFECTED_ALL""))),
         buff,
         1
       )
     )
   )
 )"),1.0)</f>
        <v>1</v>
      </c>
      <c r="EX73" s="206">
        <f>IFERROR(__xludf.DUMMYFUNCTION("SUM(
   MAP(
     K$3:ED$3,
     K$7:ED$7,
     K$15:ED$15,
     K$16:ED$16,
     K$21:ED$21,
     K$5:ED$5,
     K$17:ED$17,
     K73:ED73,
     LAMBDA(
       job,
       abillity,
       buff,
       barrier,
       enhance,
       assign,
       preco"&amp;"ndition,
       check,
       IF(
         OR(AND(check=TRUE, REGEXMATCH(assign, ""SELF""), job=""ナイト""), AND(check=Option!$E$13, REGEXMATCH(assign, ""SINGLE_PARTY""))),
         IF(
           OR(ARRAYFORMULA((IF(precondition="""", FALSE, REGEXMATCH($K$4"&amp;":$ED$4, precondition))) * (K73:ED73=TRUE))),
           enhance,
           IF(barrier="""", buff, barrier)
         ),
         0
       ) *
       SWITCH(
         job,
         ""暗黒騎士"", EY$24,
         ""白魔道士"", EF73 * EH73 * EW73 * IF(abillity, 1, EG"&amp;"73 * EI73) * (Option!$D$22 * 0.81 / 100),
         ""占星術師"", EF73 * EJ73 * EW73 * IF(abillity, 1, EG73 * EK73) * (Option!$D$23 * 0.81 / 100),
         ""学者"", EF73 * EL73 * EW73 * IF(abillity, 1, EG73 * EM73) * (Option!$D$24 * 0.81 / 100),
         ""賢者"""&amp;", EF73 * EN73 * EW73 * IF(abillity, 1, EG73 * EO73) * (Option!$D$25 * 0.81 / 100),
         1
       )
     )
   )
 ) + EQ73"),0.0)</f>
        <v>0</v>
      </c>
      <c r="EY73" s="232">
        <f t="shared" si="7"/>
        <v>0</v>
      </c>
      <c r="EZ73" s="205">
        <f>IFERROR(__xludf.DUMMYFUNCTION("PRODUCT(
   MAP(
     IF($F73=""Physical"", K$10:ED$10, IF($F73=""Magic"", K$11:ED$11, K$12:ED$12)),
     IF($F73=""Physical"", K$18:ED$18, IF($F73=""Magic"", K$19:ED$19, K$20:ED$20)),
     K$3:ED$3,
     K$5:ED$5,
     K$17:ED$17,
     K73:ED73,
     LAM"&amp;"BDA(
       mitigation,
       enhance,
       job,
       assign,
       precondition,
       check,
       IF(
         OR(AND(check=TRUE, REGEXMATCH(assign, ""SELF""), job=""戦士""), AND(check=Option!$F$13, REGEXMATCH(assign, ""SINGLE_PARTY""))),
       "&amp;"  IF(
           OR(ARRAYFORMULA((IF(precondition="""", FALSE, REGEXMATCH($K$4:$ED$4, precondition))) * (K73:ED73=TRUE))),
           enhance,
           mitigation
         ),
         1
       )
     )
   )
 ) * EE73"),1.0)</f>
        <v>1</v>
      </c>
      <c r="FA73" s="206">
        <f t="shared" si="8"/>
        <v>0</v>
      </c>
      <c r="FB73" s="205">
        <f>IFERROR(__xludf.DUMMYFUNCTION("PRODUCT(
   MAP(
     K$3:ED$3,
     K$14:ED$14,
     K$13:ED$13,
     K73:ED73,
     LAMBDA(
       job,
       buff,
       target,
       check,
       IF(
         OR(AND(check=TRUE, REGEXMATCH(target, ""SELF_AFFECTED_ALL""), job=""戦士""), AND(check=Op"&amp;"tion!$F$13, REGEXMATCH(target, ""SINGLE_AFFECTED_ALL""))),
         buff,
         1
       )
     )
   )
 )"),1.0)</f>
        <v>1</v>
      </c>
      <c r="FC73" s="206">
        <f>IFERROR(__xludf.DUMMYFUNCTION("SUM(
   MAP(
     K$3:ED$3,
     K$7:ED$7,
     K$15:ED$15,
     K$16:ED$16,
     K$21:ED$21,
     K$5:ED$5,
     K$17:ED$17,
     K73:ED73,
     LAMBDA(
       job,
       abillity,
       buff,
       barrier,
       enhance,
       assign,
       preco"&amp;"ndition,
       check,
       IF(
         OR(AND(check=TRUE, REGEXMATCH(assign, ""SELF""), job=""戦士""), AND(check=Option!$F$13, REGEXMATCH(assign, ""SINGLE_PARTY""))),
         IF(
           OR(ARRAYFORMULA((IF(precondition="""", FALSE, REGEXMATCH($K$4:"&amp;"$ED$4, precondition))) * (K73:ED73=TRUE))),
           enhance,
           IF(barrier="""", buff, barrier)
         ),
         0
       ) *
       SWITCH(
         job,
         ""暗黒騎士"", FD$24,
         ""白魔道士"", EF73 * EH73 * FB73 * IF(abillity, 1, EG7"&amp;"3 * EI73) * (Option!$D$22 * 0.81 / 100),
         ""占星術師"", EF73 * EJ73 * FFB73 * IF(abillity, 1, EG73 * EK73) * (Option!$D$23 * 0.81 / 100),
         ""学者"", EF73 * EL73 * FB73 * IF(abillity, 1, EG73 * EM73) * (Option!$D$24 * 0.81 / 100),
         ""賢者"""&amp;", EF73 * EN73 * FB73 * IF(abillity, 1, EG73 * EO73) * (Option!$D$25 * 0.81 / 100),
         1
       )
     )
   )
 ) + EQ73"),0.0)</f>
        <v>0</v>
      </c>
      <c r="FD73" s="206">
        <f t="shared" si="9"/>
        <v>0</v>
      </c>
      <c r="FE73" s="205">
        <f>IFERROR(__xludf.DUMMYFUNCTION("PRODUCT(
   MAP(
     IF($F73=""Physical"", K$10:ED$10, IF($F73=""Magic"", K$11:ED$11, K$12:ED$12)),
     IF($F73=""Physical"", K$18:ED$18, IF($F73=""Magic"", K$19:ED$19, K$20:ED$20)),
     K$3:ED$3,
     K$5:ED$5,
     K$17:ED$17,
     K73:ED73,
     LAM"&amp;"BDA(
       mitigation,
       enhance,
       job,
       assign,
       precondition,
       check,
       IF(
         OR(AND(check=TRUE, REGEXMATCH(assign, ""SELF""), job=""暗黒騎士""), AND(check=Option!$G$13, REGEXMATCH(assign, ""SINGLE_PARTY""))),
     "&amp;"    IF(
           OR(ARRAYFORMULA((IF(precondition="""", FALSE, REGEXMATCH($K$4:$ED$4, precondition))) * (K73:ED73=TRUE))),
           enhance,
           mitigation
         ),
         1
       )
     )
   )
 ) * EE73"),1.0)</f>
        <v>1</v>
      </c>
      <c r="FF73" s="206">
        <f t="shared" si="10"/>
        <v>0</v>
      </c>
      <c r="FG73" s="205">
        <f>IFERROR(__xludf.DUMMYFUNCTION("PRODUCT(
   MAP(
     K$3:ED$3,
     K$14:ED$14,
     K$13:ED$13,
     K73:ED73,
     LAMBDA(
       job,
       buff,
       target,
       check,
       IF(
         OR(AND(check=TRUE, REGEXMATCH(target, ""SELF_AFFECTED_ALL""), job=""暗黒騎士""), AND(check="&amp;"Option!$G$13, REGEXMATCH(target, ""SINGLE_AFFECTED_ALL""))),
         buff,
         1
       )
     )
   )
 )"),1.0)</f>
        <v>1</v>
      </c>
      <c r="FH73" s="206">
        <f>IFERROR(__xludf.DUMMYFUNCTION("SUM(
   MAP(
     K$3:ED$3,
     K$7:ED$7,
     K$15:ED$15,
     K$16:ED$16,
     K$21:ED$21,
     K$5:ED$5,
     K$17:ED$17,
     K73:ED73,
     LAMBDA(
       job,
       abillity,
       buff,
       barrier,
       enhance,
       assign,
       preco"&amp;"ndition,
       check,
       IF(
         OR(AND(check=TRUE, REGEXMATCH(assign, ""SELF""), job=""暗黒騎士""), AND(check=Option!$G$13, REGEXMATCH(assign, ""SINGLE_PARTY""))),
         IF(
           OR(ARRAYFORMULA((IF(precondition="""", FALSE, REGEXMATCH($K$"&amp;"4:$ED$4, precondition))) * (K73:ED73=TRUE))),
           enhance,
           IF(barrier="""", buff, barrier)
         ),
         0
       ) *
       SWITCH(
         job,
         ""暗黒騎士"", FI$24,
         ""白魔道士"", EF73 * EH73 * FG73 * IF(abillity, 1, E"&amp;"G73 * EI73) * (Option!$D$22 * 0.81 / 100),
         ""占星術師"", EF73 * EJ73 * FG73 * IF(abillity, 1, EG73 * EK73) * (Option!$D$23 * 0.81 / 100),
         ""学者"", EF73 * EL73 * FG73 * IF(abillity, 1, EG73 * EM73) * (Option!$D$24 * 0.81 / 100),
         ""賢者"&amp;""", EF73 * EN73 * FG73 * IF(abillity, 1, EG73 * EO73) * (Option!$D$25 * 0.81 / 100),
         1
       )
     )
   )
 ) + EQ73"),0.0)</f>
        <v>0</v>
      </c>
      <c r="FI73" s="206">
        <f t="shared" si="11"/>
        <v>0</v>
      </c>
      <c r="FJ73" s="205">
        <f>IFERROR(__xludf.DUMMYFUNCTION("PRODUCT(
   MAP(
     IF($F73=""Physical"", K$10:ED$10, IF($F73=""Magic"", K$11:ED$11, K$12:ED$12)),
     IF($F73=""Physical"", K$18:ED$18, IF($F73=""Magic"", K$19:ED$19, K$20:ED$20)),
     K$3:ED$3,
     K$5:ED$5,
     K$17:ED$17,
     K73:ED73,
     LAM"&amp;"BDA(
       mitigation,
       enhance,
       job,
       assign,
       precondition,
       check,
       IF(
         OR(AND(check=TRUE, REGEXMATCH(assign, ""SELF""), job=""ガンブレイカー""), AND(check=Option!$H$13, REGEXMATCH(assign, ""SINGLE_PARTY""))),
  "&amp;"       IF(
           OR(ARRAYFORMULA((IF(precondition="""", FALSE, REGEXMATCH($K$4:$ED$4, precondition))) * (K73:ED73=TRUE))),
           enhance,
           mitigation
         ),
         1
       )
     )
   )
 ) * EE73"),1.0)</f>
        <v>1</v>
      </c>
      <c r="FK73" s="206">
        <f t="shared" si="12"/>
        <v>0</v>
      </c>
      <c r="FL73" s="205">
        <f>IFERROR(__xludf.DUMMYFUNCTION("PRODUCT(
   MAP(
     K$3:ED$3,
     K$14:ED$14,
     K$13:ED$13,
     K73:ED73,
     LAMBDA(
       job,
       buff,
       target,
       check,
       IF(
         OR(AND(check=TRUE, REGEXMATCH(target, ""SELF_AFFECTED_ALL""), job=""ガンブレイカー""), AND(che"&amp;"ck=Option!$H$13, REGEXMATCH(target, ""SINGLE_AFFECTED_ALL""))),
         buff,
         1
       )
     )
   )
 )"),1.0)</f>
        <v>1</v>
      </c>
      <c r="FM73" s="206">
        <f>IFERROR(__xludf.DUMMYFUNCTION("SUM(
   MAP(
     K$3:ED$3,
     K$7:ED$7,
     K$15:ED$15,
     K$16:ED$16,
     K$21:ED$21,
     K$5:ED$5,
     K$17:ED$17,
     K73:ED73,
     LAMBDA(
       job,
       abillity,
       buff,
       barrier,
       enhance,
       assign,
       preco"&amp;"ndition,
       check,
       IF(
         OR(AND(check=TRUE, REGEXMATCH(assign, ""SELF""), job=""ガンブレイカー""), AND(check=Option!$H$13, REGEXMATCH(assign, ""SINGLE_PARTY""))),
         IF(
           OR(ARRAYFORMULA((IF(precondition="""", FALSE, REGEXMATCH("&amp;"$K$4:$ED$4, precondition))) * (K73:ED73=TRUE))),
           enhance,
           IF(barrier="""", buff, barrier)
         ),
         0
       ) *
       SWITCH(
         job,
         ""暗黒騎士"", FN$24,
         ""白魔道士"", EF73 * EH73 * FL73 * IF(abillity, 1"&amp;", EG73 * EI73) * (Option!$D$22 * 0.81 / 100),
         ""占星術師"", EF73 * EJ73 * FL73 * IF(abillity, 1, EG73 * EK73) * (Option!$D$23 * 0.81 / 100),
         ""学者"", EF73 * EL73 * FL73 * IF(abillity, 1, EG73 * EM73) * (Option!$D$24 * 0.81 / 100),
         """&amp;"賢者"", EF73 * EN73 * FL73 * IF(abillity, 1, EG73 * EO73) * (Option!$D$25 * 0.81 / 100),
         1
       )
     )
   )
 ) + EQ73"),0.0)</f>
        <v>0</v>
      </c>
      <c r="FN73" s="206">
        <f t="shared" si="13"/>
        <v>0</v>
      </c>
      <c r="FO73" s="213"/>
    </row>
    <row r="74">
      <c r="B74" s="229"/>
      <c r="C74" s="217">
        <f t="shared" si="1"/>
        <v>0.00380787037</v>
      </c>
      <c r="D74" s="236"/>
      <c r="E74" s="238"/>
      <c r="F74" s="167"/>
      <c r="G74" s="168" t="str">
        <f t="shared" si="2"/>
        <v/>
      </c>
      <c r="H74" s="169"/>
      <c r="I74" s="169"/>
      <c r="J74" s="169"/>
      <c r="K74" s="170" t="b">
        <v>0</v>
      </c>
      <c r="L74" s="170" t="b">
        <v>0</v>
      </c>
      <c r="M74" s="170" t="b">
        <v>0</v>
      </c>
      <c r="N74" s="171" t="s">
        <v>1070</v>
      </c>
      <c r="O74" s="172" t="b">
        <v>0</v>
      </c>
      <c r="P74" s="173" t="b">
        <v>0</v>
      </c>
      <c r="Q74" s="173" t="b">
        <v>0</v>
      </c>
      <c r="R74" s="173" t="b">
        <v>0</v>
      </c>
      <c r="S74" s="174" t="b">
        <v>0</v>
      </c>
      <c r="T74" s="175" t="b">
        <v>0</v>
      </c>
      <c r="U74" s="173" t="b">
        <v>0</v>
      </c>
      <c r="V74" s="171" t="s">
        <v>1070</v>
      </c>
      <c r="W74" s="172" t="b">
        <v>0</v>
      </c>
      <c r="X74" s="173" t="b">
        <v>0</v>
      </c>
      <c r="Y74" s="173" t="b">
        <v>0</v>
      </c>
      <c r="Z74" s="173" t="b">
        <v>0</v>
      </c>
      <c r="AA74" s="174" t="b">
        <v>0</v>
      </c>
      <c r="AB74" s="174" t="b">
        <v>0</v>
      </c>
      <c r="AC74" s="175" t="b">
        <v>0</v>
      </c>
      <c r="AD74" s="173" t="b">
        <v>0</v>
      </c>
      <c r="AE74" s="176" t="s">
        <v>1070</v>
      </c>
      <c r="AF74" s="171" t="s">
        <v>1070</v>
      </c>
      <c r="AG74" s="177">
        <f>IFERROR(__xludf.DUMMYFUNCTION("IF(
  ISNUMBER(AG73),
  MIN(MAX(
    AG73
    + MAX(
      ROUNDDOWN(($D74 - MAX(IFERROR(FILTER($D$24:$D73, AG$24:AG73 &lt;&gt; AF$6, AG$23:AG72 = AF$6), 0))) * (60 * 60 * 24) / AF$9) - ROUNDDOWN(($D73 - MAX(IFERROR(FILTER($D$23:$D72, AG$23:AG72 &lt;&gt; AF$6, AG$22:"&amp;"AG71 = AF$6), 0))) * (60 * 60 * 24) / 60),
      0
    )
    - COUNTIF(AF74, ""&lt;&gt;-""),
  0), AF$6),
  AF$6 - COUNTIF(AF74, ""&lt;&gt;-"")
)"),2.0)</f>
        <v>2</v>
      </c>
      <c r="AH74" s="173" t="b">
        <v>0</v>
      </c>
      <c r="AI74" s="173" t="b">
        <v>0</v>
      </c>
      <c r="AJ74" s="173" t="b">
        <v>0</v>
      </c>
      <c r="AK74" s="174" t="b">
        <v>0</v>
      </c>
      <c r="AL74" s="175" t="b">
        <v>0</v>
      </c>
      <c r="AM74" s="173" t="b">
        <v>0</v>
      </c>
      <c r="AN74" s="171" t="s">
        <v>1070</v>
      </c>
      <c r="AO74" s="173" t="b">
        <v>0</v>
      </c>
      <c r="AP74" s="173" t="b">
        <v>0</v>
      </c>
      <c r="AQ74" s="173" t="b">
        <v>0</v>
      </c>
      <c r="AR74" s="174" t="b">
        <v>0</v>
      </c>
      <c r="AS74" s="178" t="b">
        <v>0</v>
      </c>
      <c r="AT74" s="179" t="b">
        <v>0</v>
      </c>
      <c r="AU74" s="180" t="b">
        <v>0</v>
      </c>
      <c r="AV74" s="180" t="b">
        <v>0</v>
      </c>
      <c r="AW74" s="180" t="b">
        <v>0</v>
      </c>
      <c r="AX74" s="180" t="b">
        <v>0</v>
      </c>
      <c r="AY74" s="181" t="s">
        <v>1070</v>
      </c>
      <c r="AZ74" s="181" t="s">
        <v>1070</v>
      </c>
      <c r="BA74" s="184">
        <f>IFERROR(__xludf.DUMMYFUNCTION("IF(
  ISNUMBER(BA73),
  MIN(MAX(
    BA73
    + MAX(
      ROUNDDOWN((D74 - MAX(IFERROR(FILTER(D$24:D73, BA$24:BA73 &lt;&gt; AZ$6, BA$23:BA72 = AZ$6), 0))) * (60 * 60 * 24) / AZ$9) - ROUNDDOWN((D73 - MAX(IFERROR(FILTER(D$23:D72, BA$23:BA72 &lt;&gt; AZ$6, BA$22:BA71 ="&amp;" AZ$6), 0))) * (60 * 60 * 24) / AZ$9),
      0
    )
    - COUNTIF(AZ74, ""&lt;&gt;-""),
  0), AZ$6),
  AZ$6 - COUNTIF(AZ74, ""&lt;&gt;-"")
)"),2.0)</f>
        <v>2</v>
      </c>
      <c r="BB74" s="181" t="s">
        <v>1070</v>
      </c>
      <c r="BC74" s="183">
        <f>IFERROR(__xludf.DUMMYFUNCTION("IF(
  ISNUMBER(BC73),
  MIN(MAX(
    BC73
    + MAX(
      ROUNDDOWN(($D74 - MAX(IFERROR(FILTER($D$24:$D73, BC$24:BC73 &lt;&gt; BB$6, BC$23:BC72 = BB$6), 0))) * (60 * 60 * 24) / BB$9) - ROUNDDOWN(($D73 - MAX(IFERROR(FILTER($D$23:$D72, BC$23:BC72 &lt;&gt; BB$6, BC$22:"&amp;"BC71 = BB$6), 0))) * (60 * 60 * 24) / 60),
      0
    )
    - COUNTIF(BB74, ""&lt;&gt;-""),
  0), BB$6),
  BB$6 - COUNTIF(BB74, ""&lt;&gt;-"")
)"),2.0)</f>
        <v>2</v>
      </c>
      <c r="BD74" s="181" t="s">
        <v>1070</v>
      </c>
      <c r="BE74" s="178" t="b">
        <v>0</v>
      </c>
      <c r="BF74" s="180" t="b">
        <v>0</v>
      </c>
      <c r="BG74" s="180" t="b">
        <v>0</v>
      </c>
      <c r="BH74" s="180" t="b">
        <v>0</v>
      </c>
      <c r="BI74" s="180" t="b">
        <v>0</v>
      </c>
      <c r="BJ74" s="180" t="b">
        <v>0</v>
      </c>
      <c r="BK74" s="180" t="b">
        <v>0</v>
      </c>
      <c r="BL74" s="180" t="b">
        <v>0</v>
      </c>
      <c r="BM74" s="180" t="b">
        <v>0</v>
      </c>
      <c r="BN74" s="180" t="b">
        <v>0</v>
      </c>
      <c r="BO74" s="181" t="s">
        <v>1070</v>
      </c>
      <c r="BP74" s="181" t="s">
        <v>1070</v>
      </c>
      <c r="BQ74" s="181" t="s">
        <v>1070</v>
      </c>
      <c r="BR74" s="181" t="s">
        <v>1070</v>
      </c>
      <c r="BS74" s="181" t="s">
        <v>1070</v>
      </c>
      <c r="BT74" s="184">
        <f>IFERROR(__xludf.DUMMYFUNCTION("IF(
  ISNUMBER(BT73),
  MIN(MAX(
    BT73
    + MAX(
      ROUNDDOWN((D74 - MAX(IFERROR(FILTER(D$24:D73, BT$24:BT73 &lt;&gt; BS$6, BT$23:BT72 = BS$6), 0))) * (60 * 60 * 24) / BS$9) - ROUNDDOWN((D73 - MAX(IFERROR(FILTER(D$23:D72, BT$23:BT72 &lt;&gt; BS$6, BT$22:BT71 ="&amp;" BS$6), 0))) * (60 * 60 * 24) / BS$9),
      0
    )
    - COUNTIF(BS74, ""&lt;&gt;-""),
  0), BS$6),
  BS$6 - COUNTIF(BS74, ""&lt;&gt;-"")
)"),3.0)</f>
        <v>3</v>
      </c>
      <c r="BU74" s="181" t="s">
        <v>1070</v>
      </c>
      <c r="BV74" s="181" t="s">
        <v>1070</v>
      </c>
      <c r="BW74" s="184">
        <f>IFERROR(__xludf.DUMMYFUNCTION("IF(
  ISNUMBER(BW73),
  MIN(MAX(
    BW73
    + MAX(
      ROUNDDOWN((D74 - MAX(IFERROR(FILTER(D$24:D73, BW$24:BW73 &lt;&gt; BV$6, BW$23:BW72 = BV$6), 0))) * (60 * 60 * 24) / BV$9) - ROUNDDOWN((D73 - MAX(IFERROR(FILTER(D$23:D72, BW$23:BW72 &lt;&gt; BV$6, BW$22:BW71 ="&amp;" BV$6), 0))) * (60 * 60 * 24) / BV$9),
      0
    )
    - COUNTIF(BV74, ""&lt;&gt;-""),
  0), BV$6),
  BV$6 - COUNTIF(BV74, ""&lt;&gt;-"")
)"),2.0)</f>
        <v>2</v>
      </c>
      <c r="BX74" s="185" t="s">
        <v>1070</v>
      </c>
      <c r="BY74" s="178" t="b">
        <v>0</v>
      </c>
      <c r="BZ74" s="180" t="b">
        <v>0</v>
      </c>
      <c r="CA74" s="180" t="b">
        <v>0</v>
      </c>
      <c r="CB74" s="180" t="b">
        <v>0</v>
      </c>
      <c r="CC74" s="180" t="b">
        <v>0</v>
      </c>
      <c r="CD74" s="180" t="b">
        <v>0</v>
      </c>
      <c r="CE74" s="180" t="b">
        <v>0</v>
      </c>
      <c r="CF74" s="180" t="b">
        <v>0</v>
      </c>
      <c r="CG74" s="180" t="b">
        <v>0</v>
      </c>
      <c r="CH74" s="180" t="b">
        <v>0</v>
      </c>
      <c r="CI74" s="180" t="b">
        <v>0</v>
      </c>
      <c r="CJ74" s="180" t="b">
        <v>0</v>
      </c>
      <c r="CK74" s="180" t="b">
        <v>0</v>
      </c>
      <c r="CL74" s="180" t="b">
        <v>0</v>
      </c>
      <c r="CM74" s="181" t="s">
        <v>1070</v>
      </c>
      <c r="CN74" s="181" t="s">
        <v>1070</v>
      </c>
      <c r="CO74" s="181" t="s">
        <v>1070</v>
      </c>
      <c r="CP74" s="181" t="s">
        <v>1070</v>
      </c>
      <c r="CQ74" s="185" t="s">
        <v>1070</v>
      </c>
      <c r="CR74" s="180" t="b">
        <v>0</v>
      </c>
      <c r="CS74" s="186" t="str">
        <f t="shared" si="14"/>
        <v>◇◇◇</v>
      </c>
      <c r="CT74" s="178" t="b">
        <v>0</v>
      </c>
      <c r="CU74" s="180" t="b">
        <v>0</v>
      </c>
      <c r="CV74" s="180" t="b">
        <v>0</v>
      </c>
      <c r="CW74" s="180" t="b">
        <v>0</v>
      </c>
      <c r="CX74" s="180" t="b">
        <v>0</v>
      </c>
      <c r="CY74" s="180" t="b">
        <v>0</v>
      </c>
      <c r="CZ74" s="180" t="b">
        <v>0</v>
      </c>
      <c r="DA74" s="180" t="b">
        <v>0</v>
      </c>
      <c r="DB74" s="180" t="b">
        <v>0</v>
      </c>
      <c r="DC74" s="180" t="b">
        <v>0</v>
      </c>
      <c r="DD74" s="181" t="s">
        <v>1070</v>
      </c>
      <c r="DE74" s="181" t="s">
        <v>1070</v>
      </c>
      <c r="DF74" s="181" t="s">
        <v>1070</v>
      </c>
      <c r="DG74" s="185" t="s">
        <v>1070</v>
      </c>
      <c r="DH74" s="180" t="b">
        <v>0</v>
      </c>
      <c r="DI74" s="187" t="str">
        <f>IFERROR(__xludf.DUMMYFUNCTION("SWITCH(
  IF(
    ISTEXT(DI73),
    IF (
      FIND(""○"", DI73&amp;""○"") &gt; 3,
      3,
      FIND(""○"", DI73&amp;""○"")
      + MAX(
        ROUNDDOWN(($D74 - MAX(IFERROR(FILTER(D$24:D73, DI$24:DI73 &lt;&gt; ""●●●"", DI$23:DI72 = ""●●●""), 0))) * (60 * 60 * 24) / 20"&amp;") - ROUNDDOWN(($D73 - MAX(IFERROR(FILTER(D$23:D72, DI$23:DI72 &lt;&gt; ""●●●"", DI$22:DI71 = ""●●●""), 0))) * (60 * 60 * 24) / 20),
        0
      ) - 1
    ) - COUNTIFS(CU74, ""=TRUE"", CU73, ""&lt;&gt;TRUE"") - COUNTIF(CZ74, ""=TRUE"") - COUNTIF({DD74,DE74}, ""&lt;&gt;-"&amp;""") + COUNTIF(DH74, ""=TRUE""),
    3
  ),
  0, ""○○○"", 1, ""●○○"", 2, ""●●○"", 3, ""●●●"", 4, ""●●●"", ""○○○""
)"),"●●●")</f>
        <v>●●●</v>
      </c>
      <c r="DJ74" s="188" t="b">
        <v>0</v>
      </c>
      <c r="DK74" s="189" t="b">
        <v>0</v>
      </c>
      <c r="DL74" s="190" t="b">
        <v>0</v>
      </c>
      <c r="DM74" s="190" t="b">
        <v>0</v>
      </c>
      <c r="DN74" s="190" t="b">
        <v>0</v>
      </c>
      <c r="DO74" s="190" t="b">
        <v>0</v>
      </c>
      <c r="DP74" s="190" t="b">
        <v>0</v>
      </c>
      <c r="DQ74" s="191" t="b">
        <v>0</v>
      </c>
      <c r="DR74" s="192" t="b">
        <v>0</v>
      </c>
      <c r="DS74" s="191" t="b">
        <v>0</v>
      </c>
      <c r="DT74" s="192" t="b">
        <v>0</v>
      </c>
      <c r="DU74" s="191" t="b">
        <v>0</v>
      </c>
      <c r="DV74" s="193" t="s">
        <v>1070</v>
      </c>
      <c r="DW74" s="194" t="b">
        <v>0</v>
      </c>
      <c r="DX74" s="194" t="b">
        <v>0</v>
      </c>
      <c r="DY74" s="195" t="b">
        <v>0</v>
      </c>
      <c r="DZ74" s="196" t="b">
        <v>0</v>
      </c>
      <c r="EA74" s="195" t="b">
        <v>0</v>
      </c>
      <c r="EB74" s="197" t="b">
        <v>0</v>
      </c>
      <c r="EC74" s="197" t="b">
        <v>0</v>
      </c>
      <c r="ED74" s="212" t="b">
        <v>0</v>
      </c>
      <c r="EE74" s="199">
        <f>IFERROR(__xludf.DUMMYFUNCTION("IFERROR(
   PRODUCT(
     MAP(
       INDEX(TRANSPOSE(UNIQUE(TRANSPOSE(FILTER({IF($F74=""Physical"", K$10:ED$10, IF($F74=""Magic"", K$11:ED$11, K$12:ED$12));K$4:ED$4;K74:ED74}, K74:ED74=TRUE)))), 1, 0),
       INDEX(TRANSPOSE(UNIQUE(TRANSPOSE(FILTER({IF($"&amp;"F74=""Physical"", K$18:ED$18, IF($F74=""Magic"", K$19:ED$19, K$20:ED$20));K$4:ED$4;K74:ED74}, K74:ED74=TRUE)))), 1, 0),
       INDEX(TRANSPOSE(UNIQUE(TRANSPOSE(FILTER({K$5:ED$5;K$4:ED$4;K74:ED74}, K74:ED74=TRUE)))), 1, 0),
       INDEX(TRANSPOSE(UNIQUE(TR"&amp;"ANSPOSE(FILTER({K$17:ED$17;K$4:ED$4;K74:ED74}, K74:ED74=TRUE)))), 1, 0),
       LAMBDA(
         mitigation,
         enhance,
         assign,
         precondition,
         IF(
           REGEXMATCH(assign, ""RANGE_PARTY|SINGLE_ENEMY|RANGE_ENEMY""),
  "&amp;"         IF(
             OR(ARRAYFORMULA((IF(precondition="""", FALSE, REGEXMATCH(K$4:ED$4, precondition))) * (K74:ED74=TRUE))),
             IF(ISNUMBER(enhance), enhance, 1),
             IF(ISNUMBER(mitigation), mitigation, 1)
           ),
          "&amp;" 1
         )
       )
     )
   ),
   1
 )"),1.0)</f>
        <v>1</v>
      </c>
      <c r="EF74" s="200">
        <f>IFERROR(__xludf.DUMMYFUNCTION("PRODUCT(
   MAP(
     K$14:ED$14,
     K$13:ED$13,
     K74:ED74,
     LAMBDA(
       buff,
       target,
       check,
       IF(
         AND(check=TRUE, REGEXMATCH(target, ""RANGE_AFFECTED_ALL|RANGE_EFFECTED_ALL""), ISNUMBER(buff)),
         buff,
   "&amp;"      1
       )
     )
   )
 )"),1.0)</f>
        <v>1</v>
      </c>
      <c r="EG74" s="200">
        <f>IFERROR(__xludf.DUMMYFUNCTION("PRODUCT(
   MAP(
     K$14:ED$14,
     K$13:ED$13,
     K74:ED74,
     LAMBDA(
       buff,
       target,
       check,
       IF(
         AND(check=TRUE, REGEXMATCH(target, ""RANGE_AFFECTED_GCD|RANGE_EFFECTED_GCD""), ISNUMBER(buff)),
         buff,
   "&amp;"      1
       )
     )
   )
 )"),1.0)</f>
        <v>1</v>
      </c>
      <c r="EH74" s="200">
        <f>IFERROR(__xludf.DUMMYFUNCTION("PRODUCT(
   MAP(
     K$3:ED$3,
     K$14:ED$14,
     K$13:ED$13,
     K74:ED74,
     LAMBDA(
       job,
       buff,
       target,
       check,
       IF(
         AND(check=TRUE, REGEXMATCH(target, ""SELF_EFFECTED_ALL""), ISNUMBER(buff), job=""白魔道士"""&amp;"),
         buff,
         1
       )
     )
   )
 )"),1.0)</f>
        <v>1</v>
      </c>
      <c r="EI74" s="200">
        <f>IFERROR(__xludf.DUMMYFUNCTION("PRODUCT(
   MAP(
     K$3:ED$3,
     K$14:ED$14,
     K$13:ED$13,
     K74:ED74,
     LAMBDA(
       job,
       buff,
       target,
       check,
       IF(
         AND(check=TRUE, REGEXMATCH(target, ""SELF_EFFECTED_GCD""), ISNUMBER(buff), job=""白魔道士"""&amp;"),
         buff,
         1
       )
     )
   )
 )"),1.0)</f>
        <v>1</v>
      </c>
      <c r="EJ74" s="200">
        <f>IFERROR(__xludf.DUMMYFUNCTION("PRODUCT(
   MAP(
     K$3:ED$3,
     K$14:ED$14,
     K$13:ED$13,
     K74:ED74,
     LAMBDA(
       job,
       buff,
       target,
       check,
       IF(
         AND(check=TRUE, REGEXMATCH(target, ""SELF_EFFECTED_ALL""), ISNUMBER(buff), job=""占星術師"""&amp;"),
         buff,
         1
       )
     )
   )
 )"),1.0)</f>
        <v>1</v>
      </c>
      <c r="EK74" s="200">
        <f>IFERROR(__xludf.DUMMYFUNCTION("PRODUCT(
   MAP(
     K$3:ED$3,
     K$14:ED$14,
     K$13:ED$13,
     K74:ED74,
     LAMBDA(
       job,
       buff,
       target,
       check,
       IF(
         AND(check=TRUE, REGEXMATCH(target, ""SELF_EFFECTED_GCD""), ISNUMBER(buff), job=""占星術師"""&amp;"),
         buff,
         1
       )
     )
   )
 )"),1.0)</f>
        <v>1</v>
      </c>
      <c r="EL74" s="200">
        <f>IFERROR(__xludf.DUMMYFUNCTION("PRODUCT(
   MAP(
     K$3:ED$3,
     K$14:ED$14,
     K$13:ED$13,
     K74:ED74,
     LAMBDA(
       job,
       buff,
       target,
       check,
       IF(
         AND(check=TRUE, REGEXMATCH(target, ""SELF_EFFECTED_ALL""), ISNUMBER(buff), job=""学者""),"&amp;"
         buff,
         1
       )
     )
   )
 )"),1.0)</f>
        <v>1</v>
      </c>
      <c r="EM74" s="200">
        <f>IFERROR(__xludf.DUMMYFUNCTION("PRODUCT(
   MAP(
     K$3:ED$3,
     K$14:ED$14,
     K$13:ED$13,
     K74:ED74,
     LAMBDA(
       job,
       buff,
       target,
       check,
       IF(
         AND(check=TRUE, REGEXMATCH(target, ""SELF_EFFECTED_GCD""), ISNUMBER(buff), job=""学者""),"&amp;"
         buff,
         1
       )
     )
   )
 )"),1.0)</f>
        <v>1</v>
      </c>
      <c r="EN74" s="200">
        <f>IFERROR(__xludf.DUMMYFUNCTION("PRODUCT(
   MAP(
     K$3:ED$3,
     K$14:ED$14,
     K$13:ED$13,
     K74:ED74,
     LAMBDA(
       job,
       buff,
       target,
       check,
       IF(
         AND(check=TRUE, REGEXMATCH(target, ""SELF_EFFECTED_ALL""), ISNUMBER(buff), job=""賢者""),"&amp;"
         buff,
         1
       )
     )
   )
 )"),1.0)</f>
        <v>1</v>
      </c>
      <c r="EO74" s="200">
        <f>IFERROR(__xludf.DUMMYFUNCTION("PRODUCT(
   MAP(
     K$3:ED$3,
     K$14:ED$14,
     K$13:ED$13,
     K74:ED74,
     LAMBDA(
       job,
       buff,
       target,
       check,
       IF(
         AND(check=TRUE, REGEXMATCH(target, ""SELF_EFFECTED_GCD""), ISNUMBER(buff), job=""賢者""),"&amp;"
         buff,
         1
       )
     )
   )
 )"),1.0)</f>
        <v>1</v>
      </c>
      <c r="EP74" s="201">
        <f t="shared" si="3"/>
        <v>0</v>
      </c>
      <c r="EQ74" s="201">
        <f>IFERROR(__xludf.DUMMYFUNCTION("SUM(
   MAP(
     K$4:ED$4,
     K$3:ED$3,
     K$7:ED$7,
     K$15:ED$15,
     K$16:ED$16,
     K$21:ED$21,
     K$5:ED$5,
     K$17:ED$17,
     K74:ED74,
     LAMBDA(
       name,
       job,
       abillity,
       buff,
       barrier,
       enhance,"&amp;"
       assign,
       precondition,
       check,
       SWITCH(
         name,
         ""シェイクオフ"", IF(check=TRUE, buff + (0.02 * COUNTIF(ARRAYFORMULA((REGEXMATCH($K$4:$ED$4, ""スリル・オブ・バトル|ヴェンジェンス|原初の血気|ダムネーション"")) * (K74:ED74=TRUE)), 1)), 0),
         "&amp;"""インプロビゼーションフィニッシュ(踊りの激情0)"", IF(ISNUMBER(check), INDEX(Skill!$AJ:$AJ, MATCH(SUBSTITUTE(DV$4, 0, check), Skill!$C:$C, 0)), 0),
         IF(
           AND(check=TRUE, REGEXMATCH(assign, ""RANGE_PARTY"")),
           IF(
             OR(ARRAYFORMULA((IF(pr"&amp;"econdition="""", FALSE, REGEXMATCH($K$4:$ED$4, precondition))) * (K74:ED74=TRUE))),
             enhance,
             IF(barrier="""", buff, barrier)
           ),
           0
         )
       ) *
       SWITCH(
         job,
         ""ナイト"", EY$24,
 "&amp;"        ""戦士"", FD$24,
         ""踊り子"", ET$24,
         ""ピクトマンサー"", ET$24,
         ""白魔道士"", EF74 * EH74 * IF(abillity, 1, EG74 * EI74) * (Option!$D$22 * 0.81 / 100),
         ""占星術師"", EF74 * EJ74 * IF(abillity, 1, EG74 * EK74) * (Option!$D$23 * 0.81 "&amp;"/ 100),
         ""学者"", EF74 * EL74 * IF(abillity, 1, EG74 * EM74) * (Option!$D$24 * 0.81 / 100),
         ""賢者"", EF74 * EN74 * IF(abillity, 1, EG74 * EO74) * (Option!$D$25 * 0.81 / 100),
         1
       )
     )
   )
 )"),0.0)</f>
        <v>0</v>
      </c>
      <c r="ER74" s="202">
        <f t="shared" si="4"/>
        <v>0</v>
      </c>
      <c r="ES74" s="203">
        <f t="shared" si="5"/>
        <v>0</v>
      </c>
      <c r="ET74" s="231" t="str">
        <f>IFERROR(__xludf.DUMMYFUNCTION("IFS(
  EP74 &gt; $ET$24 + EQ74,
  SPARKLINE({ 1, 0 }, {""charttype"",""bar"";""max"", 1;""color1"",Option!$D$30;""color2"",Option!$D$30}),
  EP74 &lt; EQ74,
  SPARKLINE({EQ74 - EP74, $ET$24 - (EQ74 - EP74)}, {""charttype"",""bar"";""max"",$ET$24;""color1"",Opti"&amp;"on!$D$28;""color2"",Option!$D$29}),
  EP74 &gt;= EQ74,
  SPARKLINE({$ET$24 + EQ74 - EP74,EP74 - EQ74}, {""charttype"",""bar"";""max"",$ET$24;""color1"",Option!$D$29;""color2"",Option!$D$30})
)"),"")</f>
        <v/>
      </c>
      <c r="EU74" s="205">
        <f>IFERROR(__xludf.DUMMYFUNCTION("PRODUCT(
   MAP(
     IF($F74=""Physical"", K$10:ED$10, IF($F74=""Magic"", K$11:ED$11, K$12:ED$12)),
     IF($F74=""Physical"", K$18:ED$18, IF($F74=""Magic"", K$19:ED$19, K$20:ED$20)),
     K$3:ED$3,
     K$5:ED$5,
     K$17:ED$17,
     K74:ED74,
     LAM"&amp;"BDA(
       mitigation,
       enhance,
       job,
       assign,
       precondition,
       check,
       IF(
         OR(AND(check=TRUE, REGEXMATCH(assign, ""SELF""), job=""ナイト""), AND(check=Option!$E$13, REGEXMATCH(assign, ""SINGLE_PARTY""))),
      "&amp;"   IF(
           OR(ARRAYFORMULA((IF(precondition="""", FALSE, REGEXMATCH($K$4:$ED$4, precondition))) * (K74:ED74=TRUE))),
           enhance,
           mitigation
         ),
         1
       )
     )
   )
 ) * EE74"),1.0)</f>
        <v>1</v>
      </c>
      <c r="EV74" s="206">
        <f t="shared" si="6"/>
        <v>0</v>
      </c>
      <c r="EW74" s="205">
        <f>IFERROR(__xludf.DUMMYFUNCTION("PRODUCT(
   MAP(
     K$3:ED$3,
     K$14:ED$14,
     K$13:ED$13,
     K74:ED74,
     LAMBDA(
       job,
       buff,
       target,
       check,
       IF(
         OR(AND(check=TRUE, REGEXMATCH(target, ""SELF_AFFECTED_ALL""), job=""ナイト""), AND(check=O"&amp;"ption!$E$13, REGEXMATCH(target, ""SINGLE_AFFECTED_ALL""))),
         buff,
         1
       )
     )
   )
 )"),1.0)</f>
        <v>1</v>
      </c>
      <c r="EX74" s="206">
        <f>IFERROR(__xludf.DUMMYFUNCTION("SUM(
   MAP(
     K$3:ED$3,
     K$7:ED$7,
     K$15:ED$15,
     K$16:ED$16,
     K$21:ED$21,
     K$5:ED$5,
     K$17:ED$17,
     K74:ED74,
     LAMBDA(
       job,
       abillity,
       buff,
       barrier,
       enhance,
       assign,
       preco"&amp;"ndition,
       check,
       IF(
         OR(AND(check=TRUE, REGEXMATCH(assign, ""SELF""), job=""ナイト""), AND(check=Option!$E$13, REGEXMATCH(assign, ""SINGLE_PARTY""))),
         IF(
           OR(ARRAYFORMULA((IF(precondition="""", FALSE, REGEXMATCH($K$4"&amp;":$ED$4, precondition))) * (K74:ED74=TRUE))),
           enhance,
           IF(barrier="""", buff, barrier)
         ),
         0
       ) *
       SWITCH(
         job,
         ""暗黒騎士"", EY$24,
         ""白魔道士"", EF74 * EH74 * EW74 * IF(abillity, 1, EG"&amp;"74 * EI74) * (Option!$D$22 * 0.81 / 100),
         ""占星術師"", EF74 * EJ74 * EW74 * IF(abillity, 1, EG74 * EK74) * (Option!$D$23 * 0.81 / 100),
         ""学者"", EF74 * EL74 * EW74 * IF(abillity, 1, EG74 * EM74) * (Option!$D$24 * 0.81 / 100),
         ""賢者"""&amp;", EF74 * EN74 * EW74 * IF(abillity, 1, EG74 * EO74) * (Option!$D$25 * 0.81 / 100),
         1
       )
     )
   )
 ) + EQ74"),0.0)</f>
        <v>0</v>
      </c>
      <c r="EY74" s="232">
        <f t="shared" si="7"/>
        <v>0</v>
      </c>
      <c r="EZ74" s="205">
        <f>IFERROR(__xludf.DUMMYFUNCTION("PRODUCT(
   MAP(
     IF($F74=""Physical"", K$10:ED$10, IF($F74=""Magic"", K$11:ED$11, K$12:ED$12)),
     IF($F74=""Physical"", K$18:ED$18, IF($F74=""Magic"", K$19:ED$19, K$20:ED$20)),
     K$3:ED$3,
     K$5:ED$5,
     K$17:ED$17,
     K74:ED74,
     LAM"&amp;"BDA(
       mitigation,
       enhance,
       job,
       assign,
       precondition,
       check,
       IF(
         OR(AND(check=TRUE, REGEXMATCH(assign, ""SELF""), job=""戦士""), AND(check=Option!$F$13, REGEXMATCH(assign, ""SINGLE_PARTY""))),
       "&amp;"  IF(
           OR(ARRAYFORMULA((IF(precondition="""", FALSE, REGEXMATCH($K$4:$ED$4, precondition))) * (K74:ED74=TRUE))),
           enhance,
           mitigation
         ),
         1
       )
     )
   )
 ) * EE74"),1.0)</f>
        <v>1</v>
      </c>
      <c r="FA74" s="206">
        <f t="shared" si="8"/>
        <v>0</v>
      </c>
      <c r="FB74" s="205">
        <f>IFERROR(__xludf.DUMMYFUNCTION("PRODUCT(
   MAP(
     K$3:ED$3,
     K$14:ED$14,
     K$13:ED$13,
     K74:ED74,
     LAMBDA(
       job,
       buff,
       target,
       check,
       IF(
         OR(AND(check=TRUE, REGEXMATCH(target, ""SELF_AFFECTED_ALL""), job=""戦士""), AND(check=Op"&amp;"tion!$F$13, REGEXMATCH(target, ""SINGLE_AFFECTED_ALL""))),
         buff,
         1
       )
     )
   )
 )"),1.0)</f>
        <v>1</v>
      </c>
      <c r="FC74" s="206">
        <f>IFERROR(__xludf.DUMMYFUNCTION("SUM(
   MAP(
     K$3:ED$3,
     K$7:ED$7,
     K$15:ED$15,
     K$16:ED$16,
     K$21:ED$21,
     K$5:ED$5,
     K$17:ED$17,
     K74:ED74,
     LAMBDA(
       job,
       abillity,
       buff,
       barrier,
       enhance,
       assign,
       preco"&amp;"ndition,
       check,
       IF(
         OR(AND(check=TRUE, REGEXMATCH(assign, ""SELF""), job=""戦士""), AND(check=Option!$F$13, REGEXMATCH(assign, ""SINGLE_PARTY""))),
         IF(
           OR(ARRAYFORMULA((IF(precondition="""", FALSE, REGEXMATCH($K$4:"&amp;"$ED$4, precondition))) * (K74:ED74=TRUE))),
           enhance,
           IF(barrier="""", buff, barrier)
         ),
         0
       ) *
       SWITCH(
         job,
         ""暗黒騎士"", FD$24,
         ""白魔道士"", EF74 * EH74 * FB74 * IF(abillity, 1, EG7"&amp;"4 * EI74) * (Option!$D$22 * 0.81 / 100),
         ""占星術師"", EF74 * EJ74 * FFB74 * IF(abillity, 1, EG74 * EK74) * (Option!$D$23 * 0.81 / 100),
         ""学者"", EF74 * EL74 * FB74 * IF(abillity, 1, EG74 * EM74) * (Option!$D$24 * 0.81 / 100),
         ""賢者"""&amp;", EF74 * EN74 * FB74 * IF(abillity, 1, EG74 * EO74) * (Option!$D$25 * 0.81 / 100),
         1
       )
     )
   )
 ) + EQ74"),0.0)</f>
        <v>0</v>
      </c>
      <c r="FD74" s="206">
        <f t="shared" si="9"/>
        <v>0</v>
      </c>
      <c r="FE74" s="205">
        <f>IFERROR(__xludf.DUMMYFUNCTION("PRODUCT(
   MAP(
     IF($F74=""Physical"", K$10:ED$10, IF($F74=""Magic"", K$11:ED$11, K$12:ED$12)),
     IF($F74=""Physical"", K$18:ED$18, IF($F74=""Magic"", K$19:ED$19, K$20:ED$20)),
     K$3:ED$3,
     K$5:ED$5,
     K$17:ED$17,
     K74:ED74,
     LAM"&amp;"BDA(
       mitigation,
       enhance,
       job,
       assign,
       precondition,
       check,
       IF(
         OR(AND(check=TRUE, REGEXMATCH(assign, ""SELF""), job=""暗黒騎士""), AND(check=Option!$G$13, REGEXMATCH(assign, ""SINGLE_PARTY""))),
     "&amp;"    IF(
           OR(ARRAYFORMULA((IF(precondition="""", FALSE, REGEXMATCH($K$4:$ED$4, precondition))) * (K74:ED74=TRUE))),
           enhance,
           mitigation
         ),
         1
       )
     )
   )
 ) * EE74"),1.0)</f>
        <v>1</v>
      </c>
      <c r="FF74" s="206">
        <f t="shared" si="10"/>
        <v>0</v>
      </c>
      <c r="FG74" s="205">
        <f>IFERROR(__xludf.DUMMYFUNCTION("PRODUCT(
   MAP(
     K$3:ED$3,
     K$14:ED$14,
     K$13:ED$13,
     K74:ED74,
     LAMBDA(
       job,
       buff,
       target,
       check,
       IF(
         OR(AND(check=TRUE, REGEXMATCH(target, ""SELF_AFFECTED_ALL""), job=""暗黒騎士""), AND(check="&amp;"Option!$G$13, REGEXMATCH(target, ""SINGLE_AFFECTED_ALL""))),
         buff,
         1
       )
     )
   )
 )"),1.0)</f>
        <v>1</v>
      </c>
      <c r="FH74" s="206">
        <f>IFERROR(__xludf.DUMMYFUNCTION("SUM(
   MAP(
     K$3:ED$3,
     K$7:ED$7,
     K$15:ED$15,
     K$16:ED$16,
     K$21:ED$21,
     K$5:ED$5,
     K$17:ED$17,
     K74:ED74,
     LAMBDA(
       job,
       abillity,
       buff,
       barrier,
       enhance,
       assign,
       preco"&amp;"ndition,
       check,
       IF(
         OR(AND(check=TRUE, REGEXMATCH(assign, ""SELF""), job=""暗黒騎士""), AND(check=Option!$G$13, REGEXMATCH(assign, ""SINGLE_PARTY""))),
         IF(
           OR(ARRAYFORMULA((IF(precondition="""", FALSE, REGEXMATCH($K$"&amp;"4:$ED$4, precondition))) * (K74:ED74=TRUE))),
           enhance,
           IF(barrier="""", buff, barrier)
         ),
         0
       ) *
       SWITCH(
         job,
         ""暗黒騎士"", FI$24,
         ""白魔道士"", EF74 * EH74 * FG74 * IF(abillity, 1, E"&amp;"G74 * EI74) * (Option!$D$22 * 0.81 / 100),
         ""占星術師"", EF74 * EJ74 * FG74 * IF(abillity, 1, EG74 * EK74) * (Option!$D$23 * 0.81 / 100),
         ""学者"", EF74 * EL74 * FG74 * IF(abillity, 1, EG74 * EM74) * (Option!$D$24 * 0.81 / 100),
         ""賢者"&amp;""", EF74 * EN74 * FG74 * IF(abillity, 1, EG74 * EO74) * (Option!$D$25 * 0.81 / 100),
         1
       )
     )
   )
 ) + EQ74"),0.0)</f>
        <v>0</v>
      </c>
      <c r="FI74" s="206">
        <f t="shared" si="11"/>
        <v>0</v>
      </c>
      <c r="FJ74" s="205">
        <f>IFERROR(__xludf.DUMMYFUNCTION("PRODUCT(
   MAP(
     IF($F74=""Physical"", K$10:ED$10, IF($F74=""Magic"", K$11:ED$11, K$12:ED$12)),
     IF($F74=""Physical"", K$18:ED$18, IF($F74=""Magic"", K$19:ED$19, K$20:ED$20)),
     K$3:ED$3,
     K$5:ED$5,
     K$17:ED$17,
     K74:ED74,
     LAM"&amp;"BDA(
       mitigation,
       enhance,
       job,
       assign,
       precondition,
       check,
       IF(
         OR(AND(check=TRUE, REGEXMATCH(assign, ""SELF""), job=""ガンブレイカー""), AND(check=Option!$H$13, REGEXMATCH(assign, ""SINGLE_PARTY""))),
  "&amp;"       IF(
           OR(ARRAYFORMULA((IF(precondition="""", FALSE, REGEXMATCH($K$4:$ED$4, precondition))) * (K74:ED74=TRUE))),
           enhance,
           mitigation
         ),
         1
       )
     )
   )
 ) * EE74"),1.0)</f>
        <v>1</v>
      </c>
      <c r="FK74" s="206">
        <f t="shared" si="12"/>
        <v>0</v>
      </c>
      <c r="FL74" s="205">
        <f>IFERROR(__xludf.DUMMYFUNCTION("PRODUCT(
   MAP(
     K$3:ED$3,
     K$14:ED$14,
     K$13:ED$13,
     K74:ED74,
     LAMBDA(
       job,
       buff,
       target,
       check,
       IF(
         OR(AND(check=TRUE, REGEXMATCH(target, ""SELF_AFFECTED_ALL""), job=""ガンブレイカー""), AND(che"&amp;"ck=Option!$H$13, REGEXMATCH(target, ""SINGLE_AFFECTED_ALL""))),
         buff,
         1
       )
     )
   )
 )"),1.0)</f>
        <v>1</v>
      </c>
      <c r="FM74" s="206">
        <f>IFERROR(__xludf.DUMMYFUNCTION("SUM(
   MAP(
     K$3:ED$3,
     K$7:ED$7,
     K$15:ED$15,
     K$16:ED$16,
     K$21:ED$21,
     K$5:ED$5,
     K$17:ED$17,
     K74:ED74,
     LAMBDA(
       job,
       abillity,
       buff,
       barrier,
       enhance,
       assign,
       preco"&amp;"ndition,
       check,
       IF(
         OR(AND(check=TRUE, REGEXMATCH(assign, ""SELF""), job=""ガンブレイカー""), AND(check=Option!$H$13, REGEXMATCH(assign, ""SINGLE_PARTY""))),
         IF(
           OR(ARRAYFORMULA((IF(precondition="""", FALSE, REGEXMATCH("&amp;"$K$4:$ED$4, precondition))) * (K74:ED74=TRUE))),
           enhance,
           IF(barrier="""", buff, barrier)
         ),
         0
       ) *
       SWITCH(
         job,
         ""暗黒騎士"", FN$24,
         ""白魔道士"", EF74 * EH74 * FL74 * IF(abillity, 1"&amp;", EG74 * EI74) * (Option!$D$22 * 0.81 / 100),
         ""占星術師"", EF74 * EJ74 * FL74 * IF(abillity, 1, EG74 * EK74) * (Option!$D$23 * 0.81 / 100),
         ""学者"", EF74 * EL74 * FL74 * IF(abillity, 1, EG74 * EM74) * (Option!$D$24 * 0.81 / 100),
         """&amp;"賢者"", EF74 * EN74 * FL74 * IF(abillity, 1, EG74 * EO74) * (Option!$D$25 * 0.81 / 100),
         1
       )
     )
   )
 ) + EQ74"),0.0)</f>
        <v>0</v>
      </c>
      <c r="FN74" s="206">
        <f t="shared" si="13"/>
        <v>0</v>
      </c>
      <c r="FO74" s="213"/>
    </row>
    <row r="75">
      <c r="B75" s="229"/>
      <c r="C75" s="217">
        <f t="shared" si="1"/>
        <v>0.00380787037</v>
      </c>
      <c r="D75" s="236"/>
      <c r="E75" s="238"/>
      <c r="F75" s="167"/>
      <c r="G75" s="168" t="str">
        <f t="shared" si="2"/>
        <v/>
      </c>
      <c r="H75" s="169"/>
      <c r="I75" s="169"/>
      <c r="J75" s="169"/>
      <c r="K75" s="170" t="b">
        <v>0</v>
      </c>
      <c r="L75" s="170" t="b">
        <v>0</v>
      </c>
      <c r="M75" s="170" t="b">
        <v>0</v>
      </c>
      <c r="N75" s="171" t="s">
        <v>1070</v>
      </c>
      <c r="O75" s="172" t="b">
        <v>0</v>
      </c>
      <c r="P75" s="173" t="b">
        <v>0</v>
      </c>
      <c r="Q75" s="173" t="b">
        <v>0</v>
      </c>
      <c r="R75" s="173" t="b">
        <v>0</v>
      </c>
      <c r="S75" s="174" t="b">
        <v>0</v>
      </c>
      <c r="T75" s="175" t="b">
        <v>0</v>
      </c>
      <c r="U75" s="173" t="b">
        <v>0</v>
      </c>
      <c r="V75" s="171" t="s">
        <v>1070</v>
      </c>
      <c r="W75" s="172" t="b">
        <v>0</v>
      </c>
      <c r="X75" s="173" t="b">
        <v>0</v>
      </c>
      <c r="Y75" s="173" t="b">
        <v>0</v>
      </c>
      <c r="Z75" s="173" t="b">
        <v>0</v>
      </c>
      <c r="AA75" s="174" t="b">
        <v>0</v>
      </c>
      <c r="AB75" s="174" t="b">
        <v>0</v>
      </c>
      <c r="AC75" s="175" t="b">
        <v>0</v>
      </c>
      <c r="AD75" s="173" t="b">
        <v>0</v>
      </c>
      <c r="AE75" s="176" t="s">
        <v>1070</v>
      </c>
      <c r="AF75" s="171" t="s">
        <v>1070</v>
      </c>
      <c r="AG75" s="177">
        <f>IFERROR(__xludf.DUMMYFUNCTION("IF(
  ISNUMBER(AG74),
  MIN(MAX(
    AG74
    + MAX(
      ROUNDDOWN(($D75 - MAX(IFERROR(FILTER($D$24:$D74, AG$24:AG74 &lt;&gt; AF$6, AG$23:AG73 = AF$6), 0))) * (60 * 60 * 24) / AF$9) - ROUNDDOWN(($D74 - MAX(IFERROR(FILTER($D$23:$D73, AG$23:AG73 &lt;&gt; AF$6, AG$22:"&amp;"AG72 = AF$6), 0))) * (60 * 60 * 24) / 60),
      0
    )
    - COUNTIF(AF75, ""&lt;&gt;-""),
  0), AF$6),
  AF$6 - COUNTIF(AF75, ""&lt;&gt;-"")
)"),2.0)</f>
        <v>2</v>
      </c>
      <c r="AH75" s="173" t="b">
        <v>0</v>
      </c>
      <c r="AI75" s="173" t="b">
        <v>0</v>
      </c>
      <c r="AJ75" s="173" t="b">
        <v>0</v>
      </c>
      <c r="AK75" s="174" t="b">
        <v>0</v>
      </c>
      <c r="AL75" s="175" t="b">
        <v>0</v>
      </c>
      <c r="AM75" s="173" t="b">
        <v>0</v>
      </c>
      <c r="AN75" s="171" t="s">
        <v>1070</v>
      </c>
      <c r="AO75" s="173" t="b">
        <v>0</v>
      </c>
      <c r="AP75" s="173" t="b">
        <v>0</v>
      </c>
      <c r="AQ75" s="173" t="b">
        <v>0</v>
      </c>
      <c r="AR75" s="174" t="b">
        <v>0</v>
      </c>
      <c r="AS75" s="178" t="b">
        <v>0</v>
      </c>
      <c r="AT75" s="179" t="b">
        <v>0</v>
      </c>
      <c r="AU75" s="180" t="b">
        <v>0</v>
      </c>
      <c r="AV75" s="180" t="b">
        <v>0</v>
      </c>
      <c r="AW75" s="180" t="b">
        <v>0</v>
      </c>
      <c r="AX75" s="180" t="b">
        <v>0</v>
      </c>
      <c r="AY75" s="181" t="s">
        <v>1070</v>
      </c>
      <c r="AZ75" s="181" t="s">
        <v>1070</v>
      </c>
      <c r="BA75" s="184">
        <f>IFERROR(__xludf.DUMMYFUNCTION("IF(
  ISNUMBER(BA74),
  MIN(MAX(
    BA74
    + MAX(
      ROUNDDOWN((D75 - MAX(IFERROR(FILTER(D$24:D74, BA$24:BA74 &lt;&gt; AZ$6, BA$23:BA73 = AZ$6), 0))) * (60 * 60 * 24) / AZ$9) - ROUNDDOWN((D74 - MAX(IFERROR(FILTER(D$23:D73, BA$23:BA73 &lt;&gt; AZ$6, BA$22:BA72 ="&amp;" AZ$6), 0))) * (60 * 60 * 24) / AZ$9),
      0
    )
    - COUNTIF(AZ75, ""&lt;&gt;-""),
  0), AZ$6),
  AZ$6 - COUNTIF(AZ75, ""&lt;&gt;-"")
)"),2.0)</f>
        <v>2</v>
      </c>
      <c r="BB75" s="181" t="s">
        <v>1070</v>
      </c>
      <c r="BC75" s="183">
        <f>IFERROR(__xludf.DUMMYFUNCTION("IF(
  ISNUMBER(BC74),
  MIN(MAX(
    BC74
    + MAX(
      ROUNDDOWN(($D75 - MAX(IFERROR(FILTER($D$24:$D74, BC$24:BC74 &lt;&gt; BB$6, BC$23:BC73 = BB$6), 0))) * (60 * 60 * 24) / BB$9) - ROUNDDOWN(($D74 - MAX(IFERROR(FILTER($D$23:$D73, BC$23:BC73 &lt;&gt; BB$6, BC$22:"&amp;"BC72 = BB$6), 0))) * (60 * 60 * 24) / 60),
      0
    )
    - COUNTIF(BB75, ""&lt;&gt;-""),
  0), BB$6),
  BB$6 - COUNTIF(BB75, ""&lt;&gt;-"")
)"),2.0)</f>
        <v>2</v>
      </c>
      <c r="BD75" s="181" t="s">
        <v>1070</v>
      </c>
      <c r="BE75" s="178" t="b">
        <v>0</v>
      </c>
      <c r="BF75" s="180" t="b">
        <v>0</v>
      </c>
      <c r="BG75" s="180" t="b">
        <v>0</v>
      </c>
      <c r="BH75" s="180" t="b">
        <v>0</v>
      </c>
      <c r="BI75" s="180" t="b">
        <v>0</v>
      </c>
      <c r="BJ75" s="180" t="b">
        <v>0</v>
      </c>
      <c r="BK75" s="180" t="b">
        <v>0</v>
      </c>
      <c r="BL75" s="180" t="b">
        <v>0</v>
      </c>
      <c r="BM75" s="180" t="b">
        <v>0</v>
      </c>
      <c r="BN75" s="180" t="b">
        <v>0</v>
      </c>
      <c r="BO75" s="181" t="s">
        <v>1070</v>
      </c>
      <c r="BP75" s="181" t="s">
        <v>1070</v>
      </c>
      <c r="BQ75" s="181" t="s">
        <v>1070</v>
      </c>
      <c r="BR75" s="181" t="s">
        <v>1070</v>
      </c>
      <c r="BS75" s="181" t="s">
        <v>1070</v>
      </c>
      <c r="BT75" s="184">
        <f>IFERROR(__xludf.DUMMYFUNCTION("IF(
  ISNUMBER(BT74),
  MIN(MAX(
    BT74
    + MAX(
      ROUNDDOWN((D75 - MAX(IFERROR(FILTER(D$24:D74, BT$24:BT74 &lt;&gt; BS$6, BT$23:BT73 = BS$6), 0))) * (60 * 60 * 24) / BS$9) - ROUNDDOWN((D74 - MAX(IFERROR(FILTER(D$23:D73, BT$23:BT73 &lt;&gt; BS$6, BT$22:BT72 ="&amp;" BS$6), 0))) * (60 * 60 * 24) / BS$9),
      0
    )
    - COUNTIF(BS75, ""&lt;&gt;-""),
  0), BS$6),
  BS$6 - COUNTIF(BS75, ""&lt;&gt;-"")
)"),3.0)</f>
        <v>3</v>
      </c>
      <c r="BU75" s="181" t="s">
        <v>1070</v>
      </c>
      <c r="BV75" s="181" t="s">
        <v>1070</v>
      </c>
      <c r="BW75" s="184">
        <f>IFERROR(__xludf.DUMMYFUNCTION("IF(
  ISNUMBER(BW74),
  MIN(MAX(
    BW74
    + MAX(
      ROUNDDOWN((D75 - MAX(IFERROR(FILTER(D$24:D74, BW$24:BW74 &lt;&gt; BV$6, BW$23:BW73 = BV$6), 0))) * (60 * 60 * 24) / BV$9) - ROUNDDOWN((D74 - MAX(IFERROR(FILTER(D$23:D73, BW$23:BW73 &lt;&gt; BV$6, BW$22:BW72 ="&amp;" BV$6), 0))) * (60 * 60 * 24) / BV$9),
      0
    )
    - COUNTIF(BV75, ""&lt;&gt;-""),
  0), BV$6),
  BV$6 - COUNTIF(BV75, ""&lt;&gt;-"")
)"),2.0)</f>
        <v>2</v>
      </c>
      <c r="BX75" s="185" t="s">
        <v>1070</v>
      </c>
      <c r="BY75" s="178" t="b">
        <v>0</v>
      </c>
      <c r="BZ75" s="180" t="b">
        <v>0</v>
      </c>
      <c r="CA75" s="180" t="b">
        <v>0</v>
      </c>
      <c r="CB75" s="180" t="b">
        <v>0</v>
      </c>
      <c r="CC75" s="180" t="b">
        <v>0</v>
      </c>
      <c r="CD75" s="180" t="b">
        <v>0</v>
      </c>
      <c r="CE75" s="180" t="b">
        <v>0</v>
      </c>
      <c r="CF75" s="180" t="b">
        <v>0</v>
      </c>
      <c r="CG75" s="180" t="b">
        <v>0</v>
      </c>
      <c r="CH75" s="180" t="b">
        <v>0</v>
      </c>
      <c r="CI75" s="180" t="b">
        <v>0</v>
      </c>
      <c r="CJ75" s="180" t="b">
        <v>0</v>
      </c>
      <c r="CK75" s="180" t="b">
        <v>0</v>
      </c>
      <c r="CL75" s="180" t="b">
        <v>0</v>
      </c>
      <c r="CM75" s="181" t="s">
        <v>1070</v>
      </c>
      <c r="CN75" s="181" t="s">
        <v>1070</v>
      </c>
      <c r="CO75" s="181" t="s">
        <v>1070</v>
      </c>
      <c r="CP75" s="181" t="s">
        <v>1070</v>
      </c>
      <c r="CQ75" s="185" t="s">
        <v>1070</v>
      </c>
      <c r="CR75" s="180" t="b">
        <v>0</v>
      </c>
      <c r="CS75" s="186" t="str">
        <f t="shared" si="14"/>
        <v>◇◇◇</v>
      </c>
      <c r="CT75" s="178" t="b">
        <v>0</v>
      </c>
      <c r="CU75" s="180" t="b">
        <v>0</v>
      </c>
      <c r="CV75" s="180" t="b">
        <v>0</v>
      </c>
      <c r="CW75" s="180" t="b">
        <v>0</v>
      </c>
      <c r="CX75" s="180" t="b">
        <v>0</v>
      </c>
      <c r="CY75" s="180" t="b">
        <v>0</v>
      </c>
      <c r="CZ75" s="180" t="b">
        <v>0</v>
      </c>
      <c r="DA75" s="180" t="b">
        <v>0</v>
      </c>
      <c r="DB75" s="180" t="b">
        <v>0</v>
      </c>
      <c r="DC75" s="180" t="b">
        <v>0</v>
      </c>
      <c r="DD75" s="181" t="s">
        <v>1070</v>
      </c>
      <c r="DE75" s="181" t="s">
        <v>1070</v>
      </c>
      <c r="DF75" s="181" t="s">
        <v>1070</v>
      </c>
      <c r="DG75" s="185" t="s">
        <v>1070</v>
      </c>
      <c r="DH75" s="180" t="b">
        <v>0</v>
      </c>
      <c r="DI75" s="187" t="str">
        <f>IFERROR(__xludf.DUMMYFUNCTION("SWITCH(
  IF(
    ISTEXT(DI74),
    IF (
      FIND(""○"", DI74&amp;""○"") &gt; 3,
      3,
      FIND(""○"", DI74&amp;""○"")
      + MAX(
        ROUNDDOWN(($D75 - MAX(IFERROR(FILTER(D$24:D74, DI$24:DI74 &lt;&gt; ""●●●"", DI$23:DI73 = ""●●●""), 0))) * (60 * 60 * 24) / 20"&amp;") - ROUNDDOWN(($D74 - MAX(IFERROR(FILTER(D$23:D73, DI$23:DI73 &lt;&gt; ""●●●"", DI$22:DI72 = ""●●●""), 0))) * (60 * 60 * 24) / 20),
        0
      ) - 1
    ) - COUNTIFS(CU75, ""=TRUE"", CU74, ""&lt;&gt;TRUE"") - COUNTIF(CZ75, ""=TRUE"") - COUNTIF({DD75,DE75}, ""&lt;&gt;-"&amp;""") + COUNTIF(DH75, ""=TRUE""),
    3
  ),
  0, ""○○○"", 1, ""●○○"", 2, ""●●○"", 3, ""●●●"", 4, ""●●●"", ""○○○""
)"),"●●●")</f>
        <v>●●●</v>
      </c>
      <c r="DJ75" s="188" t="b">
        <v>0</v>
      </c>
      <c r="DK75" s="189" t="b">
        <v>0</v>
      </c>
      <c r="DL75" s="190" t="b">
        <v>0</v>
      </c>
      <c r="DM75" s="190" t="b">
        <v>0</v>
      </c>
      <c r="DN75" s="190" t="b">
        <v>0</v>
      </c>
      <c r="DO75" s="190" t="b">
        <v>0</v>
      </c>
      <c r="DP75" s="190" t="b">
        <v>0</v>
      </c>
      <c r="DQ75" s="191" t="b">
        <v>0</v>
      </c>
      <c r="DR75" s="192" t="b">
        <v>0</v>
      </c>
      <c r="DS75" s="191" t="b">
        <v>0</v>
      </c>
      <c r="DT75" s="192" t="b">
        <v>0</v>
      </c>
      <c r="DU75" s="191" t="b">
        <v>0</v>
      </c>
      <c r="DV75" s="193" t="s">
        <v>1070</v>
      </c>
      <c r="DW75" s="194" t="b">
        <v>0</v>
      </c>
      <c r="DX75" s="194" t="b">
        <v>0</v>
      </c>
      <c r="DY75" s="195" t="b">
        <v>0</v>
      </c>
      <c r="DZ75" s="196" t="b">
        <v>0</v>
      </c>
      <c r="EA75" s="195" t="b">
        <v>0</v>
      </c>
      <c r="EB75" s="197" t="b">
        <v>0</v>
      </c>
      <c r="EC75" s="197" t="b">
        <v>0</v>
      </c>
      <c r="ED75" s="212" t="b">
        <v>0</v>
      </c>
      <c r="EE75" s="199">
        <f>IFERROR(__xludf.DUMMYFUNCTION("IFERROR(
   PRODUCT(
     MAP(
       INDEX(TRANSPOSE(UNIQUE(TRANSPOSE(FILTER({IF($F75=""Physical"", K$10:ED$10, IF($F75=""Magic"", K$11:ED$11, K$12:ED$12));K$4:ED$4;K75:ED75}, K75:ED75=TRUE)))), 1, 0),
       INDEX(TRANSPOSE(UNIQUE(TRANSPOSE(FILTER({IF($"&amp;"F75=""Physical"", K$18:ED$18, IF($F75=""Magic"", K$19:ED$19, K$20:ED$20));K$4:ED$4;K75:ED75}, K75:ED75=TRUE)))), 1, 0),
       INDEX(TRANSPOSE(UNIQUE(TRANSPOSE(FILTER({K$5:ED$5;K$4:ED$4;K75:ED75}, K75:ED75=TRUE)))), 1, 0),
       INDEX(TRANSPOSE(UNIQUE(TR"&amp;"ANSPOSE(FILTER({K$17:ED$17;K$4:ED$4;K75:ED75}, K75:ED75=TRUE)))), 1, 0),
       LAMBDA(
         mitigation,
         enhance,
         assign,
         precondition,
         IF(
           REGEXMATCH(assign, ""RANGE_PARTY|SINGLE_ENEMY|RANGE_ENEMY""),
  "&amp;"         IF(
             OR(ARRAYFORMULA((IF(precondition="""", FALSE, REGEXMATCH(K$4:ED$4, precondition))) * (K75:ED75=TRUE))),
             IF(ISNUMBER(enhance), enhance, 1),
             IF(ISNUMBER(mitigation), mitigation, 1)
           ),
          "&amp;" 1
         )
       )
     )
   ),
   1
 )"),1.0)</f>
        <v>1</v>
      </c>
      <c r="EF75" s="200">
        <f>IFERROR(__xludf.DUMMYFUNCTION("PRODUCT(
   MAP(
     K$14:ED$14,
     K$13:ED$13,
     K75:ED75,
     LAMBDA(
       buff,
       target,
       check,
       IF(
         AND(check=TRUE, REGEXMATCH(target, ""RANGE_AFFECTED_ALL|RANGE_EFFECTED_ALL""), ISNUMBER(buff)),
         buff,
   "&amp;"      1
       )
     )
   )
 )"),1.0)</f>
        <v>1</v>
      </c>
      <c r="EG75" s="200">
        <f>IFERROR(__xludf.DUMMYFUNCTION("PRODUCT(
   MAP(
     K$14:ED$14,
     K$13:ED$13,
     K75:ED75,
     LAMBDA(
       buff,
       target,
       check,
       IF(
         AND(check=TRUE, REGEXMATCH(target, ""RANGE_AFFECTED_GCD|RANGE_EFFECTED_GCD""), ISNUMBER(buff)),
         buff,
   "&amp;"      1
       )
     )
   )
 )"),1.0)</f>
        <v>1</v>
      </c>
      <c r="EH75" s="200">
        <f>IFERROR(__xludf.DUMMYFUNCTION("PRODUCT(
   MAP(
     K$3:ED$3,
     K$14:ED$14,
     K$13:ED$13,
     K75:ED75,
     LAMBDA(
       job,
       buff,
       target,
       check,
       IF(
         AND(check=TRUE, REGEXMATCH(target, ""SELF_EFFECTED_ALL""), ISNUMBER(buff), job=""白魔道士"""&amp;"),
         buff,
         1
       )
     )
   )
 )"),1.0)</f>
        <v>1</v>
      </c>
      <c r="EI75" s="200">
        <f>IFERROR(__xludf.DUMMYFUNCTION("PRODUCT(
   MAP(
     K$3:ED$3,
     K$14:ED$14,
     K$13:ED$13,
     K75:ED75,
     LAMBDA(
       job,
       buff,
       target,
       check,
       IF(
         AND(check=TRUE, REGEXMATCH(target, ""SELF_EFFECTED_GCD""), ISNUMBER(buff), job=""白魔道士"""&amp;"),
         buff,
         1
       )
     )
   )
 )"),1.0)</f>
        <v>1</v>
      </c>
      <c r="EJ75" s="200">
        <f>IFERROR(__xludf.DUMMYFUNCTION("PRODUCT(
   MAP(
     K$3:ED$3,
     K$14:ED$14,
     K$13:ED$13,
     K75:ED75,
     LAMBDA(
       job,
       buff,
       target,
       check,
       IF(
         AND(check=TRUE, REGEXMATCH(target, ""SELF_EFFECTED_ALL""), ISNUMBER(buff), job=""占星術師"""&amp;"),
         buff,
         1
       )
     )
   )
 )"),1.0)</f>
        <v>1</v>
      </c>
      <c r="EK75" s="200">
        <f>IFERROR(__xludf.DUMMYFUNCTION("PRODUCT(
   MAP(
     K$3:ED$3,
     K$14:ED$14,
     K$13:ED$13,
     K75:ED75,
     LAMBDA(
       job,
       buff,
       target,
       check,
       IF(
         AND(check=TRUE, REGEXMATCH(target, ""SELF_EFFECTED_GCD""), ISNUMBER(buff), job=""占星術師"""&amp;"),
         buff,
         1
       )
     )
   )
 )"),1.0)</f>
        <v>1</v>
      </c>
      <c r="EL75" s="200">
        <f>IFERROR(__xludf.DUMMYFUNCTION("PRODUCT(
   MAP(
     K$3:ED$3,
     K$14:ED$14,
     K$13:ED$13,
     K75:ED75,
     LAMBDA(
       job,
       buff,
       target,
       check,
       IF(
         AND(check=TRUE, REGEXMATCH(target, ""SELF_EFFECTED_ALL""), ISNUMBER(buff), job=""学者""),"&amp;"
         buff,
         1
       )
     )
   )
 )"),1.0)</f>
        <v>1</v>
      </c>
      <c r="EM75" s="200">
        <f>IFERROR(__xludf.DUMMYFUNCTION("PRODUCT(
   MAP(
     K$3:ED$3,
     K$14:ED$14,
     K$13:ED$13,
     K75:ED75,
     LAMBDA(
       job,
       buff,
       target,
       check,
       IF(
         AND(check=TRUE, REGEXMATCH(target, ""SELF_EFFECTED_GCD""), ISNUMBER(buff), job=""学者""),"&amp;"
         buff,
         1
       )
     )
   )
 )"),1.0)</f>
        <v>1</v>
      </c>
      <c r="EN75" s="200">
        <f>IFERROR(__xludf.DUMMYFUNCTION("PRODUCT(
   MAP(
     K$3:ED$3,
     K$14:ED$14,
     K$13:ED$13,
     K75:ED75,
     LAMBDA(
       job,
       buff,
       target,
       check,
       IF(
         AND(check=TRUE, REGEXMATCH(target, ""SELF_EFFECTED_ALL""), ISNUMBER(buff), job=""賢者""),"&amp;"
         buff,
         1
       )
     )
   )
 )"),1.0)</f>
        <v>1</v>
      </c>
      <c r="EO75" s="200">
        <f>IFERROR(__xludf.DUMMYFUNCTION("PRODUCT(
   MAP(
     K$3:ED$3,
     K$14:ED$14,
     K$13:ED$13,
     K75:ED75,
     LAMBDA(
       job,
       buff,
       target,
       check,
       IF(
         AND(check=TRUE, REGEXMATCH(target, ""SELF_EFFECTED_GCD""), ISNUMBER(buff), job=""賢者""),"&amp;"
         buff,
         1
       )
     )
   )
 )"),1.0)</f>
        <v>1</v>
      </c>
      <c r="EP75" s="201">
        <f t="shared" si="3"/>
        <v>0</v>
      </c>
      <c r="EQ75" s="201">
        <f>IFERROR(__xludf.DUMMYFUNCTION("SUM(
   MAP(
     K$4:ED$4,
     K$3:ED$3,
     K$7:ED$7,
     K$15:ED$15,
     K$16:ED$16,
     K$21:ED$21,
     K$5:ED$5,
     K$17:ED$17,
     K75:ED75,
     LAMBDA(
       name,
       job,
       abillity,
       buff,
       barrier,
       enhance,"&amp;"
       assign,
       precondition,
       check,
       SWITCH(
         name,
         ""シェイクオフ"", IF(check=TRUE, buff + (0.02 * COUNTIF(ARRAYFORMULA((REGEXMATCH($K$4:$ED$4, ""スリル・オブ・バトル|ヴェンジェンス|原初の血気|ダムネーション"")) * (K75:ED75=TRUE)), 1)), 0),
         "&amp;"""インプロビゼーションフィニッシュ(踊りの激情0)"", IF(ISNUMBER(check), INDEX(Skill!$AJ:$AJ, MATCH(SUBSTITUTE(DV$4, 0, check), Skill!$C:$C, 0)), 0),
         IF(
           AND(check=TRUE, REGEXMATCH(assign, ""RANGE_PARTY"")),
           IF(
             OR(ARRAYFORMULA((IF(pr"&amp;"econdition="""", FALSE, REGEXMATCH($K$4:$ED$4, precondition))) * (K75:ED75=TRUE))),
             enhance,
             IF(barrier="""", buff, barrier)
           ),
           0
         )
       ) *
       SWITCH(
         job,
         ""ナイト"", EY$24,
 "&amp;"        ""戦士"", FD$24,
         ""踊り子"", ET$24,
         ""ピクトマンサー"", ET$24,
         ""白魔道士"", EF75 * EH75 * IF(abillity, 1, EG75 * EI75) * (Option!$D$22 * 0.81 / 100),
         ""占星術師"", EF75 * EJ75 * IF(abillity, 1, EG75 * EK75) * (Option!$D$23 * 0.81 "&amp;"/ 100),
         ""学者"", EF75 * EL75 * IF(abillity, 1, EG75 * EM75) * (Option!$D$24 * 0.81 / 100),
         ""賢者"", EF75 * EN75 * IF(abillity, 1, EG75 * EO75) * (Option!$D$25 * 0.81 / 100),
         1
       )
     )
   )
 )"),0.0)</f>
        <v>0</v>
      </c>
      <c r="ER75" s="202">
        <f t="shared" si="4"/>
        <v>0</v>
      </c>
      <c r="ES75" s="203">
        <f t="shared" si="5"/>
        <v>0</v>
      </c>
      <c r="ET75" s="231" t="str">
        <f>IFERROR(__xludf.DUMMYFUNCTION("IFS(
  EP75 &gt; $ET$24 + EQ75,
  SPARKLINE({ 1, 0 }, {""charttype"",""bar"";""max"", 1;""color1"",Option!$D$30;""color2"",Option!$D$30}),
  EP75 &lt; EQ75,
  SPARKLINE({EQ75 - EP75, $ET$24 - (EQ75 - EP75)}, {""charttype"",""bar"";""max"",$ET$24;""color1"",Opti"&amp;"on!$D$28;""color2"",Option!$D$29}),
  EP75 &gt;= EQ75,
  SPARKLINE({$ET$24 + EQ75 - EP75,EP75 - EQ75}, {""charttype"",""bar"";""max"",$ET$24;""color1"",Option!$D$29;""color2"",Option!$D$30})
)"),"")</f>
        <v/>
      </c>
      <c r="EU75" s="205">
        <f>IFERROR(__xludf.DUMMYFUNCTION("PRODUCT(
   MAP(
     IF($F75=""Physical"", K$10:ED$10, IF($F75=""Magic"", K$11:ED$11, K$12:ED$12)),
     IF($F75=""Physical"", K$18:ED$18, IF($F75=""Magic"", K$19:ED$19, K$20:ED$20)),
     K$3:ED$3,
     K$5:ED$5,
     K$17:ED$17,
     K75:ED75,
     LAM"&amp;"BDA(
       mitigation,
       enhance,
       job,
       assign,
       precondition,
       check,
       IF(
         OR(AND(check=TRUE, REGEXMATCH(assign, ""SELF""), job=""ナイト""), AND(check=Option!$E$13, REGEXMATCH(assign, ""SINGLE_PARTY""))),
      "&amp;"   IF(
           OR(ARRAYFORMULA((IF(precondition="""", FALSE, REGEXMATCH($K$4:$ED$4, precondition))) * (K75:ED75=TRUE))),
           enhance,
           mitigation
         ),
         1
       )
     )
   )
 ) * EE75"),1.0)</f>
        <v>1</v>
      </c>
      <c r="EV75" s="206">
        <f t="shared" si="6"/>
        <v>0</v>
      </c>
      <c r="EW75" s="205">
        <f>IFERROR(__xludf.DUMMYFUNCTION("PRODUCT(
   MAP(
     K$3:ED$3,
     K$14:ED$14,
     K$13:ED$13,
     K75:ED75,
     LAMBDA(
       job,
       buff,
       target,
       check,
       IF(
         OR(AND(check=TRUE, REGEXMATCH(target, ""SELF_AFFECTED_ALL""), job=""ナイト""), AND(check=O"&amp;"ption!$E$13, REGEXMATCH(target, ""SINGLE_AFFECTED_ALL""))),
         buff,
         1
       )
     )
   )
 )"),1.0)</f>
        <v>1</v>
      </c>
      <c r="EX75" s="206">
        <f>IFERROR(__xludf.DUMMYFUNCTION("SUM(
   MAP(
     K$3:ED$3,
     K$7:ED$7,
     K$15:ED$15,
     K$16:ED$16,
     K$21:ED$21,
     K$5:ED$5,
     K$17:ED$17,
     K75:ED75,
     LAMBDA(
       job,
       abillity,
       buff,
       barrier,
       enhance,
       assign,
       preco"&amp;"ndition,
       check,
       IF(
         OR(AND(check=TRUE, REGEXMATCH(assign, ""SELF""), job=""ナイト""), AND(check=Option!$E$13, REGEXMATCH(assign, ""SINGLE_PARTY""))),
         IF(
           OR(ARRAYFORMULA((IF(precondition="""", FALSE, REGEXMATCH($K$4"&amp;":$ED$4, precondition))) * (K75:ED75=TRUE))),
           enhance,
           IF(barrier="""", buff, barrier)
         ),
         0
       ) *
       SWITCH(
         job,
         ""暗黒騎士"", EY$24,
         ""白魔道士"", EF75 * EH75 * EW75 * IF(abillity, 1, EG"&amp;"75 * EI75) * (Option!$D$22 * 0.81 / 100),
         ""占星術師"", EF75 * EJ75 * EW75 * IF(abillity, 1, EG75 * EK75) * (Option!$D$23 * 0.81 / 100),
         ""学者"", EF75 * EL75 * EW75 * IF(abillity, 1, EG75 * EM75) * (Option!$D$24 * 0.81 / 100),
         ""賢者"""&amp;", EF75 * EN75 * EW75 * IF(abillity, 1, EG75 * EO75) * (Option!$D$25 * 0.81 / 100),
         1
       )
     )
   )
 ) + EQ75"),0.0)</f>
        <v>0</v>
      </c>
      <c r="EY75" s="232">
        <f t="shared" si="7"/>
        <v>0</v>
      </c>
      <c r="EZ75" s="205">
        <f>IFERROR(__xludf.DUMMYFUNCTION("PRODUCT(
   MAP(
     IF($F75=""Physical"", K$10:ED$10, IF($F75=""Magic"", K$11:ED$11, K$12:ED$12)),
     IF($F75=""Physical"", K$18:ED$18, IF($F75=""Magic"", K$19:ED$19, K$20:ED$20)),
     K$3:ED$3,
     K$5:ED$5,
     K$17:ED$17,
     K75:ED75,
     LAM"&amp;"BDA(
       mitigation,
       enhance,
       job,
       assign,
       precondition,
       check,
       IF(
         OR(AND(check=TRUE, REGEXMATCH(assign, ""SELF""), job=""戦士""), AND(check=Option!$F$13, REGEXMATCH(assign, ""SINGLE_PARTY""))),
       "&amp;"  IF(
           OR(ARRAYFORMULA((IF(precondition="""", FALSE, REGEXMATCH($K$4:$ED$4, precondition))) * (K75:ED75=TRUE))),
           enhance,
           mitigation
         ),
         1
       )
     )
   )
 ) * EE75"),1.0)</f>
        <v>1</v>
      </c>
      <c r="FA75" s="206">
        <f t="shared" si="8"/>
        <v>0</v>
      </c>
      <c r="FB75" s="205">
        <f>IFERROR(__xludf.DUMMYFUNCTION("PRODUCT(
   MAP(
     K$3:ED$3,
     K$14:ED$14,
     K$13:ED$13,
     K75:ED75,
     LAMBDA(
       job,
       buff,
       target,
       check,
       IF(
         OR(AND(check=TRUE, REGEXMATCH(target, ""SELF_AFFECTED_ALL""), job=""戦士""), AND(check=Op"&amp;"tion!$F$13, REGEXMATCH(target, ""SINGLE_AFFECTED_ALL""))),
         buff,
         1
       )
     )
   )
 )"),1.0)</f>
        <v>1</v>
      </c>
      <c r="FC75" s="206">
        <f>IFERROR(__xludf.DUMMYFUNCTION("SUM(
   MAP(
     K$3:ED$3,
     K$7:ED$7,
     K$15:ED$15,
     K$16:ED$16,
     K$21:ED$21,
     K$5:ED$5,
     K$17:ED$17,
     K75:ED75,
     LAMBDA(
       job,
       abillity,
       buff,
       barrier,
       enhance,
       assign,
       preco"&amp;"ndition,
       check,
       IF(
         OR(AND(check=TRUE, REGEXMATCH(assign, ""SELF""), job=""戦士""), AND(check=Option!$F$13, REGEXMATCH(assign, ""SINGLE_PARTY""))),
         IF(
           OR(ARRAYFORMULA((IF(precondition="""", FALSE, REGEXMATCH($K$4:"&amp;"$ED$4, precondition))) * (K75:ED75=TRUE))),
           enhance,
           IF(barrier="""", buff, barrier)
         ),
         0
       ) *
       SWITCH(
         job,
         ""暗黒騎士"", FD$24,
         ""白魔道士"", EF75 * EH75 * FB75 * IF(abillity, 1, EG7"&amp;"5 * EI75) * (Option!$D$22 * 0.81 / 100),
         ""占星術師"", EF75 * EJ75 * FFB75 * IF(abillity, 1, EG75 * EK75) * (Option!$D$23 * 0.81 / 100),
         ""学者"", EF75 * EL75 * FB75 * IF(abillity, 1, EG75 * EM75) * (Option!$D$24 * 0.81 / 100),
         ""賢者"""&amp;", EF75 * EN75 * FB75 * IF(abillity, 1, EG75 * EO75) * (Option!$D$25 * 0.81 / 100),
         1
       )
     )
   )
 ) + EQ75"),0.0)</f>
        <v>0</v>
      </c>
      <c r="FD75" s="206">
        <f t="shared" si="9"/>
        <v>0</v>
      </c>
      <c r="FE75" s="205">
        <f>IFERROR(__xludf.DUMMYFUNCTION("PRODUCT(
   MAP(
     IF($F75=""Physical"", K$10:ED$10, IF($F75=""Magic"", K$11:ED$11, K$12:ED$12)),
     IF($F75=""Physical"", K$18:ED$18, IF($F75=""Magic"", K$19:ED$19, K$20:ED$20)),
     K$3:ED$3,
     K$5:ED$5,
     K$17:ED$17,
     K75:ED75,
     LAM"&amp;"BDA(
       mitigation,
       enhance,
       job,
       assign,
       precondition,
       check,
       IF(
         OR(AND(check=TRUE, REGEXMATCH(assign, ""SELF""), job=""暗黒騎士""), AND(check=Option!$G$13, REGEXMATCH(assign, ""SINGLE_PARTY""))),
     "&amp;"    IF(
           OR(ARRAYFORMULA((IF(precondition="""", FALSE, REGEXMATCH($K$4:$ED$4, precondition))) * (K75:ED75=TRUE))),
           enhance,
           mitigation
         ),
         1
       )
     )
   )
 ) * EE75"),1.0)</f>
        <v>1</v>
      </c>
      <c r="FF75" s="206">
        <f t="shared" si="10"/>
        <v>0</v>
      </c>
      <c r="FG75" s="205">
        <f>IFERROR(__xludf.DUMMYFUNCTION("PRODUCT(
   MAP(
     K$3:ED$3,
     K$14:ED$14,
     K$13:ED$13,
     K75:ED75,
     LAMBDA(
       job,
       buff,
       target,
       check,
       IF(
         OR(AND(check=TRUE, REGEXMATCH(target, ""SELF_AFFECTED_ALL""), job=""暗黒騎士""), AND(check="&amp;"Option!$G$13, REGEXMATCH(target, ""SINGLE_AFFECTED_ALL""))),
         buff,
         1
       )
     )
   )
 )"),1.0)</f>
        <v>1</v>
      </c>
      <c r="FH75" s="206">
        <f>IFERROR(__xludf.DUMMYFUNCTION("SUM(
   MAP(
     K$3:ED$3,
     K$7:ED$7,
     K$15:ED$15,
     K$16:ED$16,
     K$21:ED$21,
     K$5:ED$5,
     K$17:ED$17,
     K75:ED75,
     LAMBDA(
       job,
       abillity,
       buff,
       barrier,
       enhance,
       assign,
       preco"&amp;"ndition,
       check,
       IF(
         OR(AND(check=TRUE, REGEXMATCH(assign, ""SELF""), job=""暗黒騎士""), AND(check=Option!$G$13, REGEXMATCH(assign, ""SINGLE_PARTY""))),
         IF(
           OR(ARRAYFORMULA((IF(precondition="""", FALSE, REGEXMATCH($K$"&amp;"4:$ED$4, precondition))) * (K75:ED75=TRUE))),
           enhance,
           IF(barrier="""", buff, barrier)
         ),
         0
       ) *
       SWITCH(
         job,
         ""暗黒騎士"", FI$24,
         ""白魔道士"", EF75 * EH75 * FG75 * IF(abillity, 1, E"&amp;"G75 * EI75) * (Option!$D$22 * 0.81 / 100),
         ""占星術師"", EF75 * EJ75 * FG75 * IF(abillity, 1, EG75 * EK75) * (Option!$D$23 * 0.81 / 100),
         ""学者"", EF75 * EL75 * FG75 * IF(abillity, 1, EG75 * EM75) * (Option!$D$24 * 0.81 / 100),
         ""賢者"&amp;""", EF75 * EN75 * FG75 * IF(abillity, 1, EG75 * EO75) * (Option!$D$25 * 0.81 / 100),
         1
       )
     )
   )
 ) + EQ75"),0.0)</f>
        <v>0</v>
      </c>
      <c r="FI75" s="206">
        <f t="shared" si="11"/>
        <v>0</v>
      </c>
      <c r="FJ75" s="205">
        <f>IFERROR(__xludf.DUMMYFUNCTION("PRODUCT(
   MAP(
     IF($F75=""Physical"", K$10:ED$10, IF($F75=""Magic"", K$11:ED$11, K$12:ED$12)),
     IF($F75=""Physical"", K$18:ED$18, IF($F75=""Magic"", K$19:ED$19, K$20:ED$20)),
     K$3:ED$3,
     K$5:ED$5,
     K$17:ED$17,
     K75:ED75,
     LAM"&amp;"BDA(
       mitigation,
       enhance,
       job,
       assign,
       precondition,
       check,
       IF(
         OR(AND(check=TRUE, REGEXMATCH(assign, ""SELF""), job=""ガンブレイカー""), AND(check=Option!$H$13, REGEXMATCH(assign, ""SINGLE_PARTY""))),
  "&amp;"       IF(
           OR(ARRAYFORMULA((IF(precondition="""", FALSE, REGEXMATCH($K$4:$ED$4, precondition))) * (K75:ED75=TRUE))),
           enhance,
           mitigation
         ),
         1
       )
     )
   )
 ) * EE75"),1.0)</f>
        <v>1</v>
      </c>
      <c r="FK75" s="206">
        <f t="shared" si="12"/>
        <v>0</v>
      </c>
      <c r="FL75" s="205">
        <f>IFERROR(__xludf.DUMMYFUNCTION("PRODUCT(
   MAP(
     K$3:ED$3,
     K$14:ED$14,
     K$13:ED$13,
     K75:ED75,
     LAMBDA(
       job,
       buff,
       target,
       check,
       IF(
         OR(AND(check=TRUE, REGEXMATCH(target, ""SELF_AFFECTED_ALL""), job=""ガンブレイカー""), AND(che"&amp;"ck=Option!$H$13, REGEXMATCH(target, ""SINGLE_AFFECTED_ALL""))),
         buff,
         1
       )
     )
   )
 )"),1.0)</f>
        <v>1</v>
      </c>
      <c r="FM75" s="206">
        <f>IFERROR(__xludf.DUMMYFUNCTION("SUM(
   MAP(
     K$3:ED$3,
     K$7:ED$7,
     K$15:ED$15,
     K$16:ED$16,
     K$21:ED$21,
     K$5:ED$5,
     K$17:ED$17,
     K75:ED75,
     LAMBDA(
       job,
       abillity,
       buff,
       barrier,
       enhance,
       assign,
       preco"&amp;"ndition,
       check,
       IF(
         OR(AND(check=TRUE, REGEXMATCH(assign, ""SELF""), job=""ガンブレイカー""), AND(check=Option!$H$13, REGEXMATCH(assign, ""SINGLE_PARTY""))),
         IF(
           OR(ARRAYFORMULA((IF(precondition="""", FALSE, REGEXMATCH("&amp;"$K$4:$ED$4, precondition))) * (K75:ED75=TRUE))),
           enhance,
           IF(barrier="""", buff, barrier)
         ),
         0
       ) *
       SWITCH(
         job,
         ""暗黒騎士"", FN$24,
         ""白魔道士"", EF75 * EH75 * FL75 * IF(abillity, 1"&amp;", EG75 * EI75) * (Option!$D$22 * 0.81 / 100),
         ""占星術師"", EF75 * EJ75 * FL75 * IF(abillity, 1, EG75 * EK75) * (Option!$D$23 * 0.81 / 100),
         ""学者"", EF75 * EL75 * FL75 * IF(abillity, 1, EG75 * EM75) * (Option!$D$24 * 0.81 / 100),
         """&amp;"賢者"", EF75 * EN75 * FL75 * IF(abillity, 1, EG75 * EO75) * (Option!$D$25 * 0.81 / 100),
         1
       )
     )
   )
 ) + EQ75"),0.0)</f>
        <v>0</v>
      </c>
      <c r="FN75" s="206">
        <f t="shared" si="13"/>
        <v>0</v>
      </c>
      <c r="FO75" s="213"/>
    </row>
    <row r="76">
      <c r="B76" s="240"/>
      <c r="C76" s="217">
        <f t="shared" si="1"/>
        <v>0.00380787037</v>
      </c>
      <c r="D76" s="236"/>
      <c r="E76" s="241"/>
      <c r="F76" s="167"/>
      <c r="G76" s="168" t="str">
        <f t="shared" si="2"/>
        <v/>
      </c>
      <c r="H76" s="169"/>
      <c r="I76" s="169"/>
      <c r="J76" s="169"/>
      <c r="K76" s="170" t="b">
        <v>0</v>
      </c>
      <c r="L76" s="170" t="b">
        <v>0</v>
      </c>
      <c r="M76" s="170" t="b">
        <v>0</v>
      </c>
      <c r="N76" s="171" t="s">
        <v>1070</v>
      </c>
      <c r="O76" s="172" t="b">
        <v>0</v>
      </c>
      <c r="P76" s="173" t="b">
        <v>0</v>
      </c>
      <c r="Q76" s="173" t="b">
        <v>0</v>
      </c>
      <c r="R76" s="173" t="b">
        <v>0</v>
      </c>
      <c r="S76" s="174" t="b">
        <v>0</v>
      </c>
      <c r="T76" s="175" t="b">
        <v>0</v>
      </c>
      <c r="U76" s="173" t="b">
        <v>0</v>
      </c>
      <c r="V76" s="171" t="s">
        <v>1070</v>
      </c>
      <c r="W76" s="172" t="b">
        <v>0</v>
      </c>
      <c r="X76" s="173" t="b">
        <v>0</v>
      </c>
      <c r="Y76" s="173" t="b">
        <v>0</v>
      </c>
      <c r="Z76" s="173" t="b">
        <v>0</v>
      </c>
      <c r="AA76" s="174" t="b">
        <v>0</v>
      </c>
      <c r="AB76" s="174" t="b">
        <v>0</v>
      </c>
      <c r="AC76" s="175" t="b">
        <v>0</v>
      </c>
      <c r="AD76" s="173" t="b">
        <v>0</v>
      </c>
      <c r="AE76" s="176" t="s">
        <v>1070</v>
      </c>
      <c r="AF76" s="171" t="s">
        <v>1070</v>
      </c>
      <c r="AG76" s="177">
        <f>IFERROR(__xludf.DUMMYFUNCTION("IF(
  ISNUMBER(AG75),
  MIN(MAX(
    AG75
    + MAX(
      ROUNDDOWN(($D76 - MAX(IFERROR(FILTER($D$24:$D75, AG$24:AG75 &lt;&gt; AF$6, AG$23:AG74 = AF$6), 0))) * (60 * 60 * 24) / AF$9) - ROUNDDOWN(($D75 - MAX(IFERROR(FILTER($D$23:$D74, AG$23:AG74 &lt;&gt; AF$6, AG$22:"&amp;"AG73 = AF$6), 0))) * (60 * 60 * 24) / 60),
      0
    )
    - COUNTIF(AF76, ""&lt;&gt;-""),
  0), AF$6),
  AF$6 - COUNTIF(AF76, ""&lt;&gt;-"")
)"),2.0)</f>
        <v>2</v>
      </c>
      <c r="AH76" s="173" t="b">
        <v>0</v>
      </c>
      <c r="AI76" s="173" t="b">
        <v>0</v>
      </c>
      <c r="AJ76" s="173" t="b">
        <v>0</v>
      </c>
      <c r="AK76" s="174" t="b">
        <v>0</v>
      </c>
      <c r="AL76" s="175" t="b">
        <v>0</v>
      </c>
      <c r="AM76" s="173" t="b">
        <v>0</v>
      </c>
      <c r="AN76" s="171" t="s">
        <v>1070</v>
      </c>
      <c r="AO76" s="173" t="b">
        <v>0</v>
      </c>
      <c r="AP76" s="173" t="b">
        <v>0</v>
      </c>
      <c r="AQ76" s="173" t="b">
        <v>0</v>
      </c>
      <c r="AR76" s="174" t="b">
        <v>0</v>
      </c>
      <c r="AS76" s="178" t="b">
        <v>0</v>
      </c>
      <c r="AT76" s="179" t="b">
        <v>0</v>
      </c>
      <c r="AU76" s="180" t="b">
        <v>0</v>
      </c>
      <c r="AV76" s="180" t="b">
        <v>0</v>
      </c>
      <c r="AW76" s="180" t="b">
        <v>0</v>
      </c>
      <c r="AX76" s="180" t="b">
        <v>0</v>
      </c>
      <c r="AY76" s="181" t="s">
        <v>1070</v>
      </c>
      <c r="AZ76" s="181" t="s">
        <v>1070</v>
      </c>
      <c r="BA76" s="184">
        <f>IFERROR(__xludf.DUMMYFUNCTION("IF(
  ISNUMBER(BA75),
  MIN(MAX(
    BA75
    + MAX(
      ROUNDDOWN((D76 - MAX(IFERROR(FILTER(D$24:D75, BA$24:BA75 &lt;&gt; AZ$6, BA$23:BA74 = AZ$6), 0))) * (60 * 60 * 24) / AZ$9) - ROUNDDOWN((D75 - MAX(IFERROR(FILTER(D$23:D74, BA$23:BA74 &lt;&gt; AZ$6, BA$22:BA73 ="&amp;" AZ$6), 0))) * (60 * 60 * 24) / AZ$9),
      0
    )
    - COUNTIF(AZ76, ""&lt;&gt;-""),
  0), AZ$6),
  AZ$6 - COUNTIF(AZ76, ""&lt;&gt;-"")
)"),2.0)</f>
        <v>2</v>
      </c>
      <c r="BB76" s="181" t="s">
        <v>1070</v>
      </c>
      <c r="BC76" s="183">
        <f>IFERROR(__xludf.DUMMYFUNCTION("IF(
  ISNUMBER(BC75),
  MIN(MAX(
    BC75
    + MAX(
      ROUNDDOWN(($D76 - MAX(IFERROR(FILTER($D$24:$D75, BC$24:BC75 &lt;&gt; BB$6, BC$23:BC74 = BB$6), 0))) * (60 * 60 * 24) / BB$9) - ROUNDDOWN(($D75 - MAX(IFERROR(FILTER($D$23:$D74, BC$23:BC74 &lt;&gt; BB$6, BC$22:"&amp;"BC73 = BB$6), 0))) * (60 * 60 * 24) / 60),
      0
    )
    - COUNTIF(BB76, ""&lt;&gt;-""),
  0), BB$6),
  BB$6 - COUNTIF(BB76, ""&lt;&gt;-"")
)"),2.0)</f>
        <v>2</v>
      </c>
      <c r="BD76" s="181" t="s">
        <v>1070</v>
      </c>
      <c r="BE76" s="178" t="b">
        <v>0</v>
      </c>
      <c r="BF76" s="180" t="b">
        <v>0</v>
      </c>
      <c r="BG76" s="180" t="b">
        <v>0</v>
      </c>
      <c r="BH76" s="180" t="b">
        <v>0</v>
      </c>
      <c r="BI76" s="180" t="b">
        <v>0</v>
      </c>
      <c r="BJ76" s="180" t="b">
        <v>0</v>
      </c>
      <c r="BK76" s="180" t="b">
        <v>0</v>
      </c>
      <c r="BL76" s="180" t="b">
        <v>0</v>
      </c>
      <c r="BM76" s="180" t="b">
        <v>0</v>
      </c>
      <c r="BN76" s="180" t="b">
        <v>0</v>
      </c>
      <c r="BO76" s="181" t="s">
        <v>1070</v>
      </c>
      <c r="BP76" s="181" t="s">
        <v>1070</v>
      </c>
      <c r="BQ76" s="181" t="s">
        <v>1070</v>
      </c>
      <c r="BR76" s="181" t="s">
        <v>1070</v>
      </c>
      <c r="BS76" s="181" t="s">
        <v>1070</v>
      </c>
      <c r="BT76" s="184">
        <f>IFERROR(__xludf.DUMMYFUNCTION("IF(
  ISNUMBER(BT75),
  MIN(MAX(
    BT75
    + MAX(
      ROUNDDOWN((D76 - MAX(IFERROR(FILTER(D$24:D75, BT$24:BT75 &lt;&gt; BS$6, BT$23:BT74 = BS$6), 0))) * (60 * 60 * 24) / BS$9) - ROUNDDOWN((D75 - MAX(IFERROR(FILTER(D$23:D74, BT$23:BT74 &lt;&gt; BS$6, BT$22:BT73 ="&amp;" BS$6), 0))) * (60 * 60 * 24) / BS$9),
      0
    )
    - COUNTIF(BS76, ""&lt;&gt;-""),
  0), BS$6),
  BS$6 - COUNTIF(BS76, ""&lt;&gt;-"")
)"),3.0)</f>
        <v>3</v>
      </c>
      <c r="BU76" s="181" t="s">
        <v>1070</v>
      </c>
      <c r="BV76" s="181" t="s">
        <v>1070</v>
      </c>
      <c r="BW76" s="184">
        <f>IFERROR(__xludf.DUMMYFUNCTION("IF(
  ISNUMBER(BW75),
  MIN(MAX(
    BW75
    + MAX(
      ROUNDDOWN((D76 - MAX(IFERROR(FILTER(D$24:D75, BW$24:BW75 &lt;&gt; BV$6, BW$23:BW74 = BV$6), 0))) * (60 * 60 * 24) / BV$9) - ROUNDDOWN((D75 - MAX(IFERROR(FILTER(D$23:D74, BW$23:BW74 &lt;&gt; BV$6, BW$22:BW73 ="&amp;" BV$6), 0))) * (60 * 60 * 24) / BV$9),
      0
    )
    - COUNTIF(BV76, ""&lt;&gt;-""),
  0), BV$6),
  BV$6 - COUNTIF(BV76, ""&lt;&gt;-"")
)"),2.0)</f>
        <v>2</v>
      </c>
      <c r="BX76" s="185" t="s">
        <v>1070</v>
      </c>
      <c r="BY76" s="178" t="b">
        <v>0</v>
      </c>
      <c r="BZ76" s="180" t="b">
        <v>0</v>
      </c>
      <c r="CA76" s="180" t="b">
        <v>0</v>
      </c>
      <c r="CB76" s="180" t="b">
        <v>0</v>
      </c>
      <c r="CC76" s="180" t="b">
        <v>0</v>
      </c>
      <c r="CD76" s="180" t="b">
        <v>0</v>
      </c>
      <c r="CE76" s="180" t="b">
        <v>0</v>
      </c>
      <c r="CF76" s="180" t="b">
        <v>0</v>
      </c>
      <c r="CG76" s="180" t="b">
        <v>0</v>
      </c>
      <c r="CH76" s="180" t="b">
        <v>0</v>
      </c>
      <c r="CI76" s="180" t="b">
        <v>0</v>
      </c>
      <c r="CJ76" s="180" t="b">
        <v>0</v>
      </c>
      <c r="CK76" s="180" t="b">
        <v>0</v>
      </c>
      <c r="CL76" s="180" t="b">
        <v>0</v>
      </c>
      <c r="CM76" s="181" t="s">
        <v>1070</v>
      </c>
      <c r="CN76" s="181" t="s">
        <v>1070</v>
      </c>
      <c r="CO76" s="181" t="s">
        <v>1070</v>
      </c>
      <c r="CP76" s="181" t="s">
        <v>1070</v>
      </c>
      <c r="CQ76" s="185" t="s">
        <v>1070</v>
      </c>
      <c r="CR76" s="180" t="b">
        <v>0</v>
      </c>
      <c r="CS76" s="186" t="str">
        <f t="shared" si="14"/>
        <v>◇◇◇</v>
      </c>
      <c r="CT76" s="178" t="b">
        <v>0</v>
      </c>
      <c r="CU76" s="180" t="b">
        <v>0</v>
      </c>
      <c r="CV76" s="180" t="b">
        <v>0</v>
      </c>
      <c r="CW76" s="180" t="b">
        <v>0</v>
      </c>
      <c r="CX76" s="180" t="b">
        <v>0</v>
      </c>
      <c r="CY76" s="180" t="b">
        <v>0</v>
      </c>
      <c r="CZ76" s="180" t="b">
        <v>0</v>
      </c>
      <c r="DA76" s="180" t="b">
        <v>0</v>
      </c>
      <c r="DB76" s="180" t="b">
        <v>0</v>
      </c>
      <c r="DC76" s="180" t="b">
        <v>0</v>
      </c>
      <c r="DD76" s="181" t="s">
        <v>1070</v>
      </c>
      <c r="DE76" s="181" t="s">
        <v>1070</v>
      </c>
      <c r="DF76" s="181" t="s">
        <v>1070</v>
      </c>
      <c r="DG76" s="185" t="s">
        <v>1070</v>
      </c>
      <c r="DH76" s="180" t="b">
        <v>0</v>
      </c>
      <c r="DI76" s="187" t="str">
        <f>IFERROR(__xludf.DUMMYFUNCTION("SWITCH(
  IF(
    ISTEXT(DI75),
    IF (
      FIND(""○"", DI75&amp;""○"") &gt; 3,
      3,
      FIND(""○"", DI75&amp;""○"")
      + MAX(
        ROUNDDOWN(($D76 - MAX(IFERROR(FILTER(D$24:D75, DI$24:DI75 &lt;&gt; ""●●●"", DI$23:DI74 = ""●●●""), 0))) * (60 * 60 * 24) / 20"&amp;") - ROUNDDOWN(($D75 - MAX(IFERROR(FILTER(D$23:D74, DI$23:DI74 &lt;&gt; ""●●●"", DI$22:DI73 = ""●●●""), 0))) * (60 * 60 * 24) / 20),
        0
      ) - 1
    ) - COUNTIFS(CU76, ""=TRUE"", CU75, ""&lt;&gt;TRUE"") - COUNTIF(CZ76, ""=TRUE"") - COUNTIF({DD76,DE76}, ""&lt;&gt;-"&amp;""") + COUNTIF(DH76, ""=TRUE""),
    3
  ),
  0, ""○○○"", 1, ""●○○"", 2, ""●●○"", 3, ""●●●"", 4, ""●●●"", ""○○○""
)"),"●●●")</f>
        <v>●●●</v>
      </c>
      <c r="DJ76" s="188" t="b">
        <v>0</v>
      </c>
      <c r="DK76" s="189" t="b">
        <v>0</v>
      </c>
      <c r="DL76" s="190" t="b">
        <v>0</v>
      </c>
      <c r="DM76" s="190" t="b">
        <v>0</v>
      </c>
      <c r="DN76" s="190" t="b">
        <v>0</v>
      </c>
      <c r="DO76" s="190" t="b">
        <v>0</v>
      </c>
      <c r="DP76" s="190" t="b">
        <v>0</v>
      </c>
      <c r="DQ76" s="191" t="b">
        <v>0</v>
      </c>
      <c r="DR76" s="192" t="b">
        <v>0</v>
      </c>
      <c r="DS76" s="191" t="b">
        <v>0</v>
      </c>
      <c r="DT76" s="192" t="b">
        <v>0</v>
      </c>
      <c r="DU76" s="191" t="b">
        <v>0</v>
      </c>
      <c r="DV76" s="193" t="s">
        <v>1070</v>
      </c>
      <c r="DW76" s="194" t="b">
        <v>0</v>
      </c>
      <c r="DX76" s="194" t="b">
        <v>0</v>
      </c>
      <c r="DY76" s="195" t="b">
        <v>0</v>
      </c>
      <c r="DZ76" s="196" t="b">
        <v>0</v>
      </c>
      <c r="EA76" s="195" t="b">
        <v>0</v>
      </c>
      <c r="EB76" s="197" t="b">
        <v>0</v>
      </c>
      <c r="EC76" s="197" t="b">
        <v>0</v>
      </c>
      <c r="ED76" s="212" t="b">
        <v>0</v>
      </c>
      <c r="EE76" s="199">
        <f>IFERROR(__xludf.DUMMYFUNCTION("IFERROR(
   PRODUCT(
     MAP(
       INDEX(TRANSPOSE(UNIQUE(TRANSPOSE(FILTER({IF($F76=""Physical"", K$10:ED$10, IF($F76=""Magic"", K$11:ED$11, K$12:ED$12));K$4:ED$4;K76:ED76}, K76:ED76=TRUE)))), 1, 0),
       INDEX(TRANSPOSE(UNIQUE(TRANSPOSE(FILTER({IF($"&amp;"F76=""Physical"", K$18:ED$18, IF($F76=""Magic"", K$19:ED$19, K$20:ED$20));K$4:ED$4;K76:ED76}, K76:ED76=TRUE)))), 1, 0),
       INDEX(TRANSPOSE(UNIQUE(TRANSPOSE(FILTER({K$5:ED$5;K$4:ED$4;K76:ED76}, K76:ED76=TRUE)))), 1, 0),
       INDEX(TRANSPOSE(UNIQUE(TR"&amp;"ANSPOSE(FILTER({K$17:ED$17;K$4:ED$4;K76:ED76}, K76:ED76=TRUE)))), 1, 0),
       LAMBDA(
         mitigation,
         enhance,
         assign,
         precondition,
         IF(
           REGEXMATCH(assign, ""RANGE_PARTY|SINGLE_ENEMY|RANGE_ENEMY""),
  "&amp;"         IF(
             OR(ARRAYFORMULA((IF(precondition="""", FALSE, REGEXMATCH(K$4:ED$4, precondition))) * (K76:ED76=TRUE))),
             IF(ISNUMBER(enhance), enhance, 1),
             IF(ISNUMBER(mitigation), mitigation, 1)
           ),
          "&amp;" 1
         )
       )
     )
   ),
   1
 )"),1.0)</f>
        <v>1</v>
      </c>
      <c r="EF76" s="200">
        <f>IFERROR(__xludf.DUMMYFUNCTION("PRODUCT(
   MAP(
     K$14:ED$14,
     K$13:ED$13,
     K76:ED76,
     LAMBDA(
       buff,
       target,
       check,
       IF(
         AND(check=TRUE, REGEXMATCH(target, ""RANGE_AFFECTED_ALL|RANGE_EFFECTED_ALL""), ISNUMBER(buff)),
         buff,
   "&amp;"      1
       )
     )
   )
 )"),1.0)</f>
        <v>1</v>
      </c>
      <c r="EG76" s="200">
        <f>IFERROR(__xludf.DUMMYFUNCTION("PRODUCT(
   MAP(
     K$14:ED$14,
     K$13:ED$13,
     K76:ED76,
     LAMBDA(
       buff,
       target,
       check,
       IF(
         AND(check=TRUE, REGEXMATCH(target, ""RANGE_AFFECTED_GCD|RANGE_EFFECTED_GCD""), ISNUMBER(buff)),
         buff,
   "&amp;"      1
       )
     )
   )
 )"),1.0)</f>
        <v>1</v>
      </c>
      <c r="EH76" s="200">
        <f>IFERROR(__xludf.DUMMYFUNCTION("PRODUCT(
   MAP(
     K$3:ED$3,
     K$14:ED$14,
     K$13:ED$13,
     K76:ED76,
     LAMBDA(
       job,
       buff,
       target,
       check,
       IF(
         AND(check=TRUE, REGEXMATCH(target, ""SELF_EFFECTED_ALL""), ISNUMBER(buff), job=""白魔道士"""&amp;"),
         buff,
         1
       )
     )
   )
 )"),1.0)</f>
        <v>1</v>
      </c>
      <c r="EI76" s="200">
        <f>IFERROR(__xludf.DUMMYFUNCTION("PRODUCT(
   MAP(
     K$3:ED$3,
     K$14:ED$14,
     K$13:ED$13,
     K76:ED76,
     LAMBDA(
       job,
       buff,
       target,
       check,
       IF(
         AND(check=TRUE, REGEXMATCH(target, ""SELF_EFFECTED_GCD""), ISNUMBER(buff), job=""白魔道士"""&amp;"),
         buff,
         1
       )
     )
   )
 )"),1.0)</f>
        <v>1</v>
      </c>
      <c r="EJ76" s="200">
        <f>IFERROR(__xludf.DUMMYFUNCTION("PRODUCT(
   MAP(
     K$3:ED$3,
     K$14:ED$14,
     K$13:ED$13,
     K76:ED76,
     LAMBDA(
       job,
       buff,
       target,
       check,
       IF(
         AND(check=TRUE, REGEXMATCH(target, ""SELF_EFFECTED_ALL""), ISNUMBER(buff), job=""占星術師"""&amp;"),
         buff,
         1
       )
     )
   )
 )"),1.0)</f>
        <v>1</v>
      </c>
      <c r="EK76" s="200">
        <f>IFERROR(__xludf.DUMMYFUNCTION("PRODUCT(
   MAP(
     K$3:ED$3,
     K$14:ED$14,
     K$13:ED$13,
     K76:ED76,
     LAMBDA(
       job,
       buff,
       target,
       check,
       IF(
         AND(check=TRUE, REGEXMATCH(target, ""SELF_EFFECTED_GCD""), ISNUMBER(buff), job=""占星術師"""&amp;"),
         buff,
         1
       )
     )
   )
 )"),1.0)</f>
        <v>1</v>
      </c>
      <c r="EL76" s="200">
        <f>IFERROR(__xludf.DUMMYFUNCTION("PRODUCT(
   MAP(
     K$3:ED$3,
     K$14:ED$14,
     K$13:ED$13,
     K76:ED76,
     LAMBDA(
       job,
       buff,
       target,
       check,
       IF(
         AND(check=TRUE, REGEXMATCH(target, ""SELF_EFFECTED_ALL""), ISNUMBER(buff), job=""学者""),"&amp;"
         buff,
         1
       )
     )
   )
 )"),1.0)</f>
        <v>1</v>
      </c>
      <c r="EM76" s="200">
        <f>IFERROR(__xludf.DUMMYFUNCTION("PRODUCT(
   MAP(
     K$3:ED$3,
     K$14:ED$14,
     K$13:ED$13,
     K76:ED76,
     LAMBDA(
       job,
       buff,
       target,
       check,
       IF(
         AND(check=TRUE, REGEXMATCH(target, ""SELF_EFFECTED_GCD""), ISNUMBER(buff), job=""学者""),"&amp;"
         buff,
         1
       )
     )
   )
 )"),1.0)</f>
        <v>1</v>
      </c>
      <c r="EN76" s="200">
        <f>IFERROR(__xludf.DUMMYFUNCTION("PRODUCT(
   MAP(
     K$3:ED$3,
     K$14:ED$14,
     K$13:ED$13,
     K76:ED76,
     LAMBDA(
       job,
       buff,
       target,
       check,
       IF(
         AND(check=TRUE, REGEXMATCH(target, ""SELF_EFFECTED_ALL""), ISNUMBER(buff), job=""賢者""),"&amp;"
         buff,
         1
       )
     )
   )
 )"),1.0)</f>
        <v>1</v>
      </c>
      <c r="EO76" s="200">
        <f>IFERROR(__xludf.DUMMYFUNCTION("PRODUCT(
   MAP(
     K$3:ED$3,
     K$14:ED$14,
     K$13:ED$13,
     K76:ED76,
     LAMBDA(
       job,
       buff,
       target,
       check,
       IF(
         AND(check=TRUE, REGEXMATCH(target, ""SELF_EFFECTED_GCD""), ISNUMBER(buff), job=""賢者""),"&amp;"
         buff,
         1
       )
     )
   )
 )"),1.0)</f>
        <v>1</v>
      </c>
      <c r="EP76" s="201">
        <f t="shared" si="3"/>
        <v>0</v>
      </c>
      <c r="EQ76" s="201">
        <f>IFERROR(__xludf.DUMMYFUNCTION("SUM(
   MAP(
     K$4:ED$4,
     K$3:ED$3,
     K$7:ED$7,
     K$15:ED$15,
     K$16:ED$16,
     K$21:ED$21,
     K$5:ED$5,
     K$17:ED$17,
     K76:ED76,
     LAMBDA(
       name,
       job,
       abillity,
       buff,
       barrier,
       enhance,"&amp;"
       assign,
       precondition,
       check,
       SWITCH(
         name,
         ""シェイクオフ"", IF(check=TRUE, buff + (0.02 * COUNTIF(ARRAYFORMULA((REGEXMATCH($K$4:$ED$4, ""スリル・オブ・バトル|ヴェンジェンス|原初の血気|ダムネーション"")) * (K76:ED76=TRUE)), 1)), 0),
         "&amp;"""インプロビゼーションフィニッシュ(踊りの激情0)"", IF(ISNUMBER(check), INDEX(Skill!$AJ:$AJ, MATCH(SUBSTITUTE(DV$4, 0, check), Skill!$C:$C, 0)), 0),
         IF(
           AND(check=TRUE, REGEXMATCH(assign, ""RANGE_PARTY"")),
           IF(
             OR(ARRAYFORMULA((IF(pr"&amp;"econdition="""", FALSE, REGEXMATCH($K$4:$ED$4, precondition))) * (K76:ED76=TRUE))),
             enhance,
             IF(barrier="""", buff, barrier)
           ),
           0
         )
       ) *
       SWITCH(
         job,
         ""ナイト"", EY$24,
 "&amp;"        ""戦士"", FD$24,
         ""踊り子"", ET$24,
         ""ピクトマンサー"", ET$24,
         ""白魔道士"", EF76 * EH76 * IF(abillity, 1, EG76 * EI76) * (Option!$D$22 * 0.81 / 100),
         ""占星術師"", EF76 * EJ76 * IF(abillity, 1, EG76 * EK76) * (Option!$D$23 * 0.81 "&amp;"/ 100),
         ""学者"", EF76 * EL76 * IF(abillity, 1, EG76 * EM76) * (Option!$D$24 * 0.81 / 100),
         ""賢者"", EF76 * EN76 * IF(abillity, 1, EG76 * EO76) * (Option!$D$25 * 0.81 / 100),
         1
       )
     )
   )
 )"),0.0)</f>
        <v>0</v>
      </c>
      <c r="ER76" s="202">
        <f t="shared" si="4"/>
        <v>0</v>
      </c>
      <c r="ES76" s="203">
        <f t="shared" si="5"/>
        <v>0</v>
      </c>
      <c r="ET76" s="231" t="str">
        <f>IFERROR(__xludf.DUMMYFUNCTION("IFS(
  EP76 &gt; $ET$24 + EQ76,
  SPARKLINE({ 1, 0 }, {""charttype"",""bar"";""max"", 1;""color1"",Option!$D$30;""color2"",Option!$D$30}),
  EP76 &lt; EQ76,
  SPARKLINE({EQ76 - EP76, $ET$24 - (EQ76 - EP76)}, {""charttype"",""bar"";""max"",$ET$24;""color1"",Opti"&amp;"on!$D$28;""color2"",Option!$D$29}),
  EP76 &gt;= EQ76,
  SPARKLINE({$ET$24 + EQ76 - EP76,EP76 - EQ76}, {""charttype"",""bar"";""max"",$ET$24;""color1"",Option!$D$29;""color2"",Option!$D$30})
)"),"")</f>
        <v/>
      </c>
      <c r="EU76" s="205">
        <f>IFERROR(__xludf.DUMMYFUNCTION("PRODUCT(
   MAP(
     IF($F76=""Physical"", K$10:ED$10, IF($F76=""Magic"", K$11:ED$11, K$12:ED$12)),
     IF($F76=""Physical"", K$18:ED$18, IF($F76=""Magic"", K$19:ED$19, K$20:ED$20)),
     K$3:ED$3,
     K$5:ED$5,
     K$17:ED$17,
     K76:ED76,
     LAM"&amp;"BDA(
       mitigation,
       enhance,
       job,
       assign,
       precondition,
       check,
       IF(
         OR(AND(check=TRUE, REGEXMATCH(assign, ""SELF""), job=""ナイト""), AND(check=Option!$E$13, REGEXMATCH(assign, ""SINGLE_PARTY""))),
      "&amp;"   IF(
           OR(ARRAYFORMULA((IF(precondition="""", FALSE, REGEXMATCH($K$4:$ED$4, precondition))) * (K76:ED76=TRUE))),
           enhance,
           mitigation
         ),
         1
       )
     )
   )
 ) * EE76"),1.0)</f>
        <v>1</v>
      </c>
      <c r="EV76" s="206">
        <f t="shared" si="6"/>
        <v>0</v>
      </c>
      <c r="EW76" s="205">
        <f>IFERROR(__xludf.DUMMYFUNCTION("PRODUCT(
   MAP(
     K$3:ED$3,
     K$14:ED$14,
     K$13:ED$13,
     K76:ED76,
     LAMBDA(
       job,
       buff,
       target,
       check,
       IF(
         OR(AND(check=TRUE, REGEXMATCH(target, ""SELF_AFFECTED_ALL""), job=""ナイト""), AND(check=O"&amp;"ption!$E$13, REGEXMATCH(target, ""SINGLE_AFFECTED_ALL""))),
         buff,
         1
       )
     )
   )
 )"),1.0)</f>
        <v>1</v>
      </c>
      <c r="EX76" s="206">
        <f>IFERROR(__xludf.DUMMYFUNCTION("SUM(
   MAP(
     K$3:ED$3,
     K$7:ED$7,
     K$15:ED$15,
     K$16:ED$16,
     K$21:ED$21,
     K$5:ED$5,
     K$17:ED$17,
     K76:ED76,
     LAMBDA(
       job,
       abillity,
       buff,
       barrier,
       enhance,
       assign,
       preco"&amp;"ndition,
       check,
       IF(
         OR(AND(check=TRUE, REGEXMATCH(assign, ""SELF""), job=""ナイト""), AND(check=Option!$E$13, REGEXMATCH(assign, ""SINGLE_PARTY""))),
         IF(
           OR(ARRAYFORMULA((IF(precondition="""", FALSE, REGEXMATCH($K$4"&amp;":$ED$4, precondition))) * (K76:ED76=TRUE))),
           enhance,
           IF(barrier="""", buff, barrier)
         ),
         0
       ) *
       SWITCH(
         job,
         ""暗黒騎士"", EY$24,
         ""白魔道士"", EF76 * EH76 * EW76 * IF(abillity, 1, EG"&amp;"76 * EI76) * (Option!$D$22 * 0.81 / 100),
         ""占星術師"", EF76 * EJ76 * EW76 * IF(abillity, 1, EG76 * EK76) * (Option!$D$23 * 0.81 / 100),
         ""学者"", EF76 * EL76 * EW76 * IF(abillity, 1, EG76 * EM76) * (Option!$D$24 * 0.81 / 100),
         ""賢者"""&amp;", EF76 * EN76 * EW76 * IF(abillity, 1, EG76 * EO76) * (Option!$D$25 * 0.81 / 100),
         1
       )
     )
   )
 ) + EQ76"),0.0)</f>
        <v>0</v>
      </c>
      <c r="EY76" s="232">
        <f t="shared" si="7"/>
        <v>0</v>
      </c>
      <c r="EZ76" s="205">
        <f>IFERROR(__xludf.DUMMYFUNCTION("PRODUCT(
   MAP(
     IF($F76=""Physical"", K$10:ED$10, IF($F76=""Magic"", K$11:ED$11, K$12:ED$12)),
     IF($F76=""Physical"", K$18:ED$18, IF($F76=""Magic"", K$19:ED$19, K$20:ED$20)),
     K$3:ED$3,
     K$5:ED$5,
     K$17:ED$17,
     K76:ED76,
     LAM"&amp;"BDA(
       mitigation,
       enhance,
       job,
       assign,
       precondition,
       check,
       IF(
         OR(AND(check=TRUE, REGEXMATCH(assign, ""SELF""), job=""戦士""), AND(check=Option!$F$13, REGEXMATCH(assign, ""SINGLE_PARTY""))),
       "&amp;"  IF(
           OR(ARRAYFORMULA((IF(precondition="""", FALSE, REGEXMATCH($K$4:$ED$4, precondition))) * (K76:ED76=TRUE))),
           enhance,
           mitigation
         ),
         1
       )
     )
   )
 ) * EE76"),1.0)</f>
        <v>1</v>
      </c>
      <c r="FA76" s="206">
        <f t="shared" si="8"/>
        <v>0</v>
      </c>
      <c r="FB76" s="205">
        <f>IFERROR(__xludf.DUMMYFUNCTION("PRODUCT(
   MAP(
     K$3:ED$3,
     K$14:ED$14,
     K$13:ED$13,
     K76:ED76,
     LAMBDA(
       job,
       buff,
       target,
       check,
       IF(
         OR(AND(check=TRUE, REGEXMATCH(target, ""SELF_AFFECTED_ALL""), job=""戦士""), AND(check=Op"&amp;"tion!$F$13, REGEXMATCH(target, ""SINGLE_AFFECTED_ALL""))),
         buff,
         1
       )
     )
   )
 )"),1.0)</f>
        <v>1</v>
      </c>
      <c r="FC76" s="206">
        <f>IFERROR(__xludf.DUMMYFUNCTION("SUM(
   MAP(
     K$3:ED$3,
     K$7:ED$7,
     K$15:ED$15,
     K$16:ED$16,
     K$21:ED$21,
     K$5:ED$5,
     K$17:ED$17,
     K76:ED76,
     LAMBDA(
       job,
       abillity,
       buff,
       barrier,
       enhance,
       assign,
       preco"&amp;"ndition,
       check,
       IF(
         OR(AND(check=TRUE, REGEXMATCH(assign, ""SELF""), job=""戦士""), AND(check=Option!$F$13, REGEXMATCH(assign, ""SINGLE_PARTY""))),
         IF(
           OR(ARRAYFORMULA((IF(precondition="""", FALSE, REGEXMATCH($K$4:"&amp;"$ED$4, precondition))) * (K76:ED76=TRUE))),
           enhance,
           IF(barrier="""", buff, barrier)
         ),
         0
       ) *
       SWITCH(
         job,
         ""暗黒騎士"", FD$24,
         ""白魔道士"", EF76 * EH76 * FB76 * IF(abillity, 1, EG7"&amp;"6 * EI76) * (Option!$D$22 * 0.81 / 100),
         ""占星術師"", EF76 * EJ76 * FFB76 * IF(abillity, 1, EG76 * EK76) * (Option!$D$23 * 0.81 / 100),
         ""学者"", EF76 * EL76 * FB76 * IF(abillity, 1, EG76 * EM76) * (Option!$D$24 * 0.81 / 100),
         ""賢者"""&amp;", EF76 * EN76 * FB76 * IF(abillity, 1, EG76 * EO76) * (Option!$D$25 * 0.81 / 100),
         1
       )
     )
   )
 ) + EQ76"),0.0)</f>
        <v>0</v>
      </c>
      <c r="FD76" s="206">
        <f t="shared" si="9"/>
        <v>0</v>
      </c>
      <c r="FE76" s="205">
        <f>IFERROR(__xludf.DUMMYFUNCTION("PRODUCT(
   MAP(
     IF($F76=""Physical"", K$10:ED$10, IF($F76=""Magic"", K$11:ED$11, K$12:ED$12)),
     IF($F76=""Physical"", K$18:ED$18, IF($F76=""Magic"", K$19:ED$19, K$20:ED$20)),
     K$3:ED$3,
     K$5:ED$5,
     K$17:ED$17,
     K76:ED76,
     LAM"&amp;"BDA(
       mitigation,
       enhance,
       job,
       assign,
       precondition,
       check,
       IF(
         OR(AND(check=TRUE, REGEXMATCH(assign, ""SELF""), job=""暗黒騎士""), AND(check=Option!$G$13, REGEXMATCH(assign, ""SINGLE_PARTY""))),
     "&amp;"    IF(
           OR(ARRAYFORMULA((IF(precondition="""", FALSE, REGEXMATCH($K$4:$ED$4, precondition))) * (K76:ED76=TRUE))),
           enhance,
           mitigation
         ),
         1
       )
     )
   )
 ) * EE76"),1.0)</f>
        <v>1</v>
      </c>
      <c r="FF76" s="206">
        <f t="shared" si="10"/>
        <v>0</v>
      </c>
      <c r="FG76" s="205">
        <f>IFERROR(__xludf.DUMMYFUNCTION("PRODUCT(
   MAP(
     K$3:ED$3,
     K$14:ED$14,
     K$13:ED$13,
     K76:ED76,
     LAMBDA(
       job,
       buff,
       target,
       check,
       IF(
         OR(AND(check=TRUE, REGEXMATCH(target, ""SELF_AFFECTED_ALL""), job=""暗黒騎士""), AND(check="&amp;"Option!$G$13, REGEXMATCH(target, ""SINGLE_AFFECTED_ALL""))),
         buff,
         1
       )
     )
   )
 )"),1.0)</f>
        <v>1</v>
      </c>
      <c r="FH76" s="206">
        <f>IFERROR(__xludf.DUMMYFUNCTION("SUM(
   MAP(
     K$3:ED$3,
     K$7:ED$7,
     K$15:ED$15,
     K$16:ED$16,
     K$21:ED$21,
     K$5:ED$5,
     K$17:ED$17,
     K76:ED76,
     LAMBDA(
       job,
       abillity,
       buff,
       barrier,
       enhance,
       assign,
       preco"&amp;"ndition,
       check,
       IF(
         OR(AND(check=TRUE, REGEXMATCH(assign, ""SELF""), job=""暗黒騎士""), AND(check=Option!$G$13, REGEXMATCH(assign, ""SINGLE_PARTY""))),
         IF(
           OR(ARRAYFORMULA((IF(precondition="""", FALSE, REGEXMATCH($K$"&amp;"4:$ED$4, precondition))) * (K76:ED76=TRUE))),
           enhance,
           IF(barrier="""", buff, barrier)
         ),
         0
       ) *
       SWITCH(
         job,
         ""暗黒騎士"", FI$24,
         ""白魔道士"", EF76 * EH76 * FG76 * IF(abillity, 1, E"&amp;"G76 * EI76) * (Option!$D$22 * 0.81 / 100),
         ""占星術師"", EF76 * EJ76 * FG76 * IF(abillity, 1, EG76 * EK76) * (Option!$D$23 * 0.81 / 100),
         ""学者"", EF76 * EL76 * FG76 * IF(abillity, 1, EG76 * EM76) * (Option!$D$24 * 0.81 / 100),
         ""賢者"&amp;""", EF76 * EN76 * FG76 * IF(abillity, 1, EG76 * EO76) * (Option!$D$25 * 0.81 / 100),
         1
       )
     )
   )
 ) + EQ76"),0.0)</f>
        <v>0</v>
      </c>
      <c r="FI76" s="206">
        <f t="shared" si="11"/>
        <v>0</v>
      </c>
      <c r="FJ76" s="205">
        <f>IFERROR(__xludf.DUMMYFUNCTION("PRODUCT(
   MAP(
     IF($F76=""Physical"", K$10:ED$10, IF($F76=""Magic"", K$11:ED$11, K$12:ED$12)),
     IF($F76=""Physical"", K$18:ED$18, IF($F76=""Magic"", K$19:ED$19, K$20:ED$20)),
     K$3:ED$3,
     K$5:ED$5,
     K$17:ED$17,
     K76:ED76,
     LAM"&amp;"BDA(
       mitigation,
       enhance,
       job,
       assign,
       precondition,
       check,
       IF(
         OR(AND(check=TRUE, REGEXMATCH(assign, ""SELF""), job=""ガンブレイカー""), AND(check=Option!$H$13, REGEXMATCH(assign, ""SINGLE_PARTY""))),
  "&amp;"       IF(
           OR(ARRAYFORMULA((IF(precondition="""", FALSE, REGEXMATCH($K$4:$ED$4, precondition))) * (K76:ED76=TRUE))),
           enhance,
           mitigation
         ),
         1
       )
     )
   )
 ) * EE76"),1.0)</f>
        <v>1</v>
      </c>
      <c r="FK76" s="206">
        <f t="shared" si="12"/>
        <v>0</v>
      </c>
      <c r="FL76" s="205">
        <f>IFERROR(__xludf.DUMMYFUNCTION("PRODUCT(
   MAP(
     K$3:ED$3,
     K$14:ED$14,
     K$13:ED$13,
     K76:ED76,
     LAMBDA(
       job,
       buff,
       target,
       check,
       IF(
         OR(AND(check=TRUE, REGEXMATCH(target, ""SELF_AFFECTED_ALL""), job=""ガンブレイカー""), AND(che"&amp;"ck=Option!$H$13, REGEXMATCH(target, ""SINGLE_AFFECTED_ALL""))),
         buff,
         1
       )
     )
   )
 )"),1.0)</f>
        <v>1</v>
      </c>
      <c r="FM76" s="206">
        <f>IFERROR(__xludf.DUMMYFUNCTION("SUM(
   MAP(
     K$3:ED$3,
     K$7:ED$7,
     K$15:ED$15,
     K$16:ED$16,
     K$21:ED$21,
     K$5:ED$5,
     K$17:ED$17,
     K76:ED76,
     LAMBDA(
       job,
       abillity,
       buff,
       barrier,
       enhance,
       assign,
       preco"&amp;"ndition,
       check,
       IF(
         OR(AND(check=TRUE, REGEXMATCH(assign, ""SELF""), job=""ガンブレイカー""), AND(check=Option!$H$13, REGEXMATCH(assign, ""SINGLE_PARTY""))),
         IF(
           OR(ARRAYFORMULA((IF(precondition="""", FALSE, REGEXMATCH("&amp;"$K$4:$ED$4, precondition))) * (K76:ED76=TRUE))),
           enhance,
           IF(barrier="""", buff, barrier)
         ),
         0
       ) *
       SWITCH(
         job,
         ""暗黒騎士"", FN$24,
         ""白魔道士"", EF76 * EH76 * FL76 * IF(abillity, 1"&amp;", EG76 * EI76) * (Option!$D$22 * 0.81 / 100),
         ""占星術師"", EF76 * EJ76 * FL76 * IF(abillity, 1, EG76 * EK76) * (Option!$D$23 * 0.81 / 100),
         ""学者"", EF76 * EL76 * FL76 * IF(abillity, 1, EG76 * EM76) * (Option!$D$24 * 0.81 / 100),
         """&amp;"賢者"", EF76 * EN76 * FL76 * IF(abillity, 1, EG76 * EO76) * (Option!$D$25 * 0.81 / 100),
         1
       )
     )
   )
 ) + EQ76"),0.0)</f>
        <v>0</v>
      </c>
      <c r="FN76" s="206">
        <f t="shared" si="13"/>
        <v>0</v>
      </c>
      <c r="FO76" s="213"/>
    </row>
    <row r="77">
      <c r="C77" s="65"/>
      <c r="D77" s="65"/>
      <c r="G77" s="66"/>
      <c r="H77" s="4"/>
      <c r="I77" s="4"/>
      <c r="J77" s="4"/>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8"/>
      <c r="DJ77" s="66"/>
      <c r="DK77" s="66"/>
      <c r="DL77" s="66"/>
      <c r="DM77" s="66"/>
      <c r="DN77" s="66"/>
      <c r="DO77" s="66"/>
      <c r="DP77" s="66"/>
      <c r="DQ77" s="66"/>
      <c r="DR77" s="66"/>
      <c r="DS77" s="66"/>
      <c r="DT77" s="66"/>
      <c r="DU77" s="66"/>
      <c r="DV77" s="66"/>
      <c r="DW77" s="66"/>
      <c r="DX77" s="66"/>
      <c r="DY77" s="66"/>
      <c r="DZ77" s="66"/>
      <c r="EA77" s="69"/>
      <c r="EB77" s="66"/>
      <c r="EC77" s="66"/>
      <c r="ED77" s="66"/>
      <c r="EE77" s="3"/>
      <c r="EF77" s="4"/>
      <c r="EG77" s="4"/>
      <c r="EH77" s="4"/>
      <c r="EI77" s="4"/>
      <c r="EJ77" s="4"/>
      <c r="EK77" s="4"/>
      <c r="EL77" s="4"/>
      <c r="EM77" s="4"/>
      <c r="EN77" s="4"/>
      <c r="EO77" s="4"/>
      <c r="EP77" s="4"/>
      <c r="EQ77" s="70"/>
      <c r="ER77" s="70"/>
      <c r="ES77" s="70"/>
      <c r="ET77" s="70"/>
      <c r="EU77" s="71"/>
      <c r="EV77" s="70"/>
      <c r="EW77" s="70"/>
      <c r="EX77" s="70"/>
      <c r="EY77" s="70"/>
      <c r="EZ77" s="71"/>
      <c r="FA77" s="70"/>
      <c r="FB77" s="70"/>
      <c r="FC77" s="70"/>
      <c r="FD77" s="70"/>
      <c r="FE77" s="71"/>
      <c r="FF77" s="70"/>
      <c r="FG77" s="70"/>
      <c r="FH77" s="70"/>
      <c r="FI77" s="70"/>
      <c r="FJ77" s="71"/>
      <c r="FK77" s="70"/>
      <c r="FL77" s="70"/>
      <c r="FM77" s="70"/>
      <c r="FN77" s="70"/>
      <c r="FO77" s="70"/>
    </row>
  </sheetData>
  <mergeCells count="43">
    <mergeCell ref="BY23:CS23"/>
    <mergeCell ref="CT23:DI23"/>
    <mergeCell ref="EE23:EE24"/>
    <mergeCell ref="EF23:EG23"/>
    <mergeCell ref="EH23:EI23"/>
    <mergeCell ref="EJ23:EK23"/>
    <mergeCell ref="EL23:EM23"/>
    <mergeCell ref="EN23:EO23"/>
    <mergeCell ref="EP23:EP24"/>
    <mergeCell ref="EQ23:EQ24"/>
    <mergeCell ref="AF24:AG24"/>
    <mergeCell ref="AZ24:BA24"/>
    <mergeCell ref="BB24:BC24"/>
    <mergeCell ref="BS24:BT24"/>
    <mergeCell ref="B22:B24"/>
    <mergeCell ref="C22:D24"/>
    <mergeCell ref="E22:E24"/>
    <mergeCell ref="F22:G24"/>
    <mergeCell ref="H22:J23"/>
    <mergeCell ref="K22:ED22"/>
    <mergeCell ref="ER22:ES23"/>
    <mergeCell ref="BV24:BW24"/>
    <mergeCell ref="EE22:EQ22"/>
    <mergeCell ref="EU22:EX22"/>
    <mergeCell ref="EZ22:FC22"/>
    <mergeCell ref="FE22:FH22"/>
    <mergeCell ref="FJ22:FM22"/>
    <mergeCell ref="K23:S23"/>
    <mergeCell ref="T23:AB23"/>
    <mergeCell ref="AC23:AK23"/>
    <mergeCell ref="AL23:AR23"/>
    <mergeCell ref="AS23:BD23"/>
    <mergeCell ref="BE23:BX23"/>
    <mergeCell ref="DJ23:DK23"/>
    <mergeCell ref="DQ23:DR23"/>
    <mergeCell ref="DS23:DT23"/>
    <mergeCell ref="DU23:DV23"/>
    <mergeCell ref="DY23:DZ23"/>
    <mergeCell ref="EA23:EC23"/>
    <mergeCell ref="EU23:EY23"/>
    <mergeCell ref="EZ23:FD23"/>
    <mergeCell ref="FE23:FI23"/>
    <mergeCell ref="FJ23:FN23"/>
  </mergeCells>
  <conditionalFormatting sqref="K25:ED76">
    <cfRule type="expression" dxfId="7" priority="1">
      <formula>OR(COUNTIFS($D$25:$D25,"&gt;"&amp;$D25 - K$8/(60*60*24), K$25:K25, "=TRUE", K$24:K24, "&lt;&gt;TRUE"), COUNTIFS($D$25:$D25,"&gt;"&amp;$D25 - K$8/(60*60*24), K$25:K25, "&lt;&gt;TRUE", K$25:K25, "&lt;&gt;FALSE", K$25:K25, "&lt;&gt;-", K$24:K24, "=-"), IF(ISBLANK($K10), COUNTIFS(#REF!,"&gt;"&amp;$D25 - K$8/(60*60*24), #REF!, "&lt;&gt;TRUE", #REF!, "&lt;&gt;FALSE", #REF!, "&lt;&gt;-"), 0))</formula>
    </cfRule>
  </conditionalFormatting>
  <conditionalFormatting sqref="K25:ED76">
    <cfRule type="expression" dxfId="8" priority="2">
      <formula>IF(K$6&gt;1, 0, COUNTIFS($D$25:$D25,"&gt;"&amp;$D25 - K$9/(60*60*24), K$25:K25, "=TRUE", K$24:K24, "&lt;&gt;TRUE")+COUNTIFS($D$25:$D25,"&gt;"&amp;$D25 - K$9/(60*60*24), K$25:K25, "&lt;&gt;TRUE", K$25:K25, "&lt;&gt;FALSE", K$25:K25, "&lt;&gt;-", K$24:K24, "=-")+COUNTIFS(#REF!,"&gt;"&amp;$D25 - K$9/(60*60*24), #REF!, "&lt;&gt;TRUE", #REF!, "&lt;&gt;FALSE", #REF!, "&lt;&gt;-")) &gt;0</formula>
    </cfRule>
  </conditionalFormatting>
  <conditionalFormatting sqref="K25:ED76">
    <cfRule type="expression" dxfId="8" priority="3">
      <formula>AND(K$6 &gt; 1, L25 = 0)</formula>
    </cfRule>
  </conditionalFormatting>
  <conditionalFormatting sqref="K25:ED76">
    <cfRule type="expression" dxfId="9" priority="4">
      <formula>AND(K$6 &gt; 1, L25 &lt; K$6)</formula>
    </cfRule>
  </conditionalFormatting>
  <conditionalFormatting sqref="E25:E76">
    <cfRule type="containsText" dxfId="10" priority="5" operator="containsText" text="AA">
      <formula>NOT(ISERROR(SEARCH(("AA"),(E25))))</formula>
    </cfRule>
  </conditionalFormatting>
  <dataValidations>
    <dataValidation type="list" allowBlank="1" sqref="F25:F76">
      <formula1>"Physical,Magic,Unique"</formula1>
    </dataValidation>
    <dataValidation type="list" allowBlank="1" showErrorMessage="1" sqref="DV25:DV76">
      <formula1>"-,0,1,2,3,4"</formula1>
    </dataValidation>
    <dataValidation type="list" allowBlank="1" sqref="N25:N76 V25:V76 AE25:AF76 AN25:AN76 AY25:AZ76 BB25:BB76 BD25:BD76 BO25:BS76 BU25:BV76 BX25:BX76 CM25:CQ76 DD25:DG76">
      <formula1>Option!$D$14:$X$14</formula1>
    </dataValidation>
  </dataValidations>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4.0" topLeftCell="F25" activePane="bottomRight" state="frozen"/>
      <selection activeCell="F1" sqref="F1" pane="topRight"/>
      <selection activeCell="A25" sqref="A25" pane="bottomLeft"/>
      <selection activeCell="F25" sqref="F25" pane="bottomRight"/>
    </sheetView>
  </sheetViews>
  <sheetFormatPr customHeight="1" defaultColWidth="12.63" defaultRowHeight="15.75"/>
  <cols>
    <col customWidth="1" min="1" max="1" width="2.63"/>
    <col customWidth="1" min="2" max="4" width="6.38"/>
    <col customWidth="1" min="5" max="5" width="41.38"/>
    <col customWidth="1" min="6" max="6" width="10.38"/>
    <col customWidth="1" min="7" max="7" width="2.88"/>
    <col customWidth="1" min="8" max="8" width="9.5"/>
    <col customWidth="1" min="9" max="9" width="8.88"/>
    <col customWidth="1" min="10" max="10" width="3.88"/>
    <col customWidth="1" min="11" max="13" width="3.25"/>
    <col customWidth="1" min="14" max="14" width="6.38"/>
    <col customWidth="1" min="15" max="19" width="3.25"/>
    <col customWidth="1" hidden="1" min="20" max="21" width="3.25"/>
    <col customWidth="1" hidden="1" min="22" max="22" width="6.38"/>
    <col customWidth="1" hidden="1" min="23" max="28" width="3.25"/>
    <col customWidth="1" min="29" max="30" width="3.25"/>
    <col customWidth="1" min="31" max="32" width="6.38"/>
    <col customWidth="1" min="33" max="37" width="3.25"/>
    <col customWidth="1" hidden="1" min="38" max="39" width="3.25"/>
    <col customWidth="1" hidden="1" min="40" max="40" width="6.38"/>
    <col customWidth="1" hidden="1" min="41" max="50" width="3.25"/>
    <col customWidth="1" hidden="1" min="51" max="52" width="6.38"/>
    <col customWidth="1" hidden="1" min="53" max="53" width="3.25"/>
    <col customWidth="1" hidden="1" min="54" max="54" width="6.38"/>
    <col customWidth="1" hidden="1" min="55" max="55" width="3.25"/>
    <col customWidth="1" hidden="1" min="56" max="56" width="6.38"/>
    <col customWidth="1" min="57" max="64" width="3.25"/>
    <col customWidth="1" hidden="1" min="65" max="66" width="3.25"/>
    <col customWidth="1" hidden="1" min="67" max="71" width="6.38"/>
    <col customWidth="1" hidden="1" min="72" max="72" width="3.25"/>
    <col customWidth="1" hidden="1" min="73" max="74" width="6.38"/>
    <col customWidth="1" hidden="1" min="75" max="75" width="3.25"/>
    <col customWidth="1" hidden="1" min="76" max="76" width="6.38"/>
    <col customWidth="1" min="77" max="80" width="3.25"/>
    <col customWidth="1" hidden="1" min="81" max="81" width="3.25"/>
    <col customWidth="1" min="82" max="89" width="3.25"/>
    <col customWidth="1" hidden="1" min="90" max="90" width="3.25"/>
    <col customWidth="1" hidden="1" min="91" max="95" width="6.38"/>
    <col customWidth="1" min="96" max="96" width="3.25"/>
    <col customWidth="1" min="97" max="97" width="5.75"/>
    <col customWidth="1" hidden="1" min="98" max="107" width="3.25"/>
    <col customWidth="1" hidden="1" min="108" max="111" width="6.38"/>
    <col customWidth="1" hidden="1" min="112" max="112" width="3.25"/>
    <col customWidth="1" hidden="1" min="113" max="113" width="5.75"/>
    <col customWidth="1" hidden="1" min="114" max="117" width="3.25"/>
    <col customWidth="1" min="118" max="118" width="3.25"/>
    <col customWidth="1" hidden="1" min="119" max="120" width="3.25"/>
    <col customWidth="1" min="121" max="122" width="3.25"/>
    <col customWidth="1" hidden="1" min="123" max="125" width="3.25"/>
    <col customWidth="1" hidden="1" min="126" max="126" width="3.88"/>
    <col customWidth="1" hidden="1" min="127" max="127" width="3.25"/>
    <col customWidth="1" min="128" max="130" width="3.25"/>
    <col customWidth="1" hidden="1" min="131" max="133" width="3.25"/>
    <col customWidth="1" min="134" max="134" width="3.25"/>
    <col customWidth="1" hidden="1" min="135" max="147" width="8.88"/>
    <col customWidth="1" min="148" max="149" width="9.5"/>
    <col customWidth="1" min="150" max="150" width="13.5"/>
    <col customWidth="1" hidden="1" min="151" max="154" width="8.88"/>
    <col customWidth="1" min="155" max="155" width="13.5"/>
    <col customWidth="1" hidden="1" min="156" max="159" width="8.88"/>
    <col customWidth="1" min="160" max="160" width="13.5"/>
    <col customWidth="1" hidden="1" min="161" max="164" width="8.88"/>
    <col customWidth="1" min="165" max="165" width="13.5"/>
    <col customWidth="1" hidden="1" min="166" max="169" width="8.88"/>
    <col customWidth="1" min="170" max="171" width="13.5"/>
  </cols>
  <sheetData>
    <row r="1" hidden="1">
      <c r="B1" s="1"/>
      <c r="C1" s="65"/>
      <c r="D1" s="65"/>
      <c r="G1" s="66"/>
      <c r="H1" s="4"/>
      <c r="I1" s="4"/>
      <c r="J1" s="4"/>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7" t="s">
        <v>1035</v>
      </c>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8"/>
      <c r="DJ1" s="66"/>
      <c r="DK1" s="66"/>
      <c r="DL1" s="66"/>
      <c r="DM1" s="66"/>
      <c r="DN1" s="66"/>
      <c r="DO1" s="66"/>
      <c r="DP1" s="66"/>
      <c r="DQ1" s="66"/>
      <c r="DR1" s="66"/>
      <c r="DS1" s="66"/>
      <c r="DT1" s="66"/>
      <c r="DU1" s="66"/>
      <c r="DV1" s="66"/>
      <c r="DW1" s="66"/>
      <c r="DX1" s="66"/>
      <c r="DY1" s="66"/>
      <c r="DZ1" s="66"/>
      <c r="EA1" s="69"/>
      <c r="EB1" s="66"/>
      <c r="EC1" s="66"/>
      <c r="ED1" s="66"/>
      <c r="EE1" s="3"/>
      <c r="EF1" s="4"/>
      <c r="EG1" s="4"/>
      <c r="EH1" s="4"/>
      <c r="EI1" s="4"/>
      <c r="EJ1" s="4"/>
      <c r="EK1" s="4"/>
      <c r="EL1" s="4"/>
      <c r="EM1" s="4"/>
      <c r="EN1" s="4"/>
      <c r="EO1" s="4"/>
      <c r="EP1" s="4"/>
      <c r="EQ1" s="70"/>
      <c r="ER1" s="70"/>
      <c r="ES1" s="70"/>
      <c r="ET1" s="70"/>
      <c r="EU1" s="71"/>
      <c r="EV1" s="70"/>
      <c r="EW1" s="70"/>
      <c r="EX1" s="70"/>
      <c r="EY1" s="70"/>
      <c r="EZ1" s="71"/>
      <c r="FA1" s="70"/>
      <c r="FB1" s="70"/>
      <c r="FC1" s="70"/>
      <c r="FD1" s="70"/>
      <c r="FE1" s="71"/>
      <c r="FF1" s="70"/>
      <c r="FG1" s="70"/>
      <c r="FH1" s="70"/>
      <c r="FI1" s="70"/>
      <c r="FJ1" s="71"/>
      <c r="FK1" s="70"/>
      <c r="FL1" s="70"/>
      <c r="FM1" s="70"/>
      <c r="FN1" s="70"/>
      <c r="FO1" s="70"/>
    </row>
    <row r="2" hidden="1">
      <c r="B2" s="72" t="s">
        <v>1036</v>
      </c>
      <c r="C2" s="73" t="s">
        <v>1037</v>
      </c>
      <c r="D2" s="74" t="s">
        <v>1038</v>
      </c>
      <c r="E2" s="73" t="s">
        <v>1039</v>
      </c>
      <c r="F2" s="73" t="s">
        <v>1040</v>
      </c>
      <c r="G2" s="73" t="s">
        <v>1040</v>
      </c>
      <c r="H2" s="75" t="s">
        <v>1041</v>
      </c>
      <c r="I2" s="75" t="s">
        <v>1041</v>
      </c>
      <c r="J2" s="75" t="s">
        <v>1041</v>
      </c>
      <c r="K2" s="76" t="s">
        <v>1042</v>
      </c>
      <c r="L2" s="76" t="s">
        <v>1042</v>
      </c>
      <c r="M2" s="76" t="s">
        <v>1043</v>
      </c>
      <c r="N2" s="76" t="s">
        <v>1042</v>
      </c>
      <c r="O2" s="76" t="s">
        <v>1042</v>
      </c>
      <c r="P2" s="76" t="s">
        <v>1042</v>
      </c>
      <c r="Q2" s="76" t="s">
        <v>1042</v>
      </c>
      <c r="R2" s="76" t="s">
        <v>1042</v>
      </c>
      <c r="S2" s="76" t="s">
        <v>1042</v>
      </c>
      <c r="T2" s="76" t="s">
        <v>1042</v>
      </c>
      <c r="U2" s="76" t="s">
        <v>1043</v>
      </c>
      <c r="V2" s="76" t="s">
        <v>1042</v>
      </c>
      <c r="W2" s="76" t="s">
        <v>1042</v>
      </c>
      <c r="X2" s="76" t="s">
        <v>1042</v>
      </c>
      <c r="Y2" s="76" t="s">
        <v>1042</v>
      </c>
      <c r="Z2" s="76" t="s">
        <v>1042</v>
      </c>
      <c r="AA2" s="76" t="s">
        <v>28</v>
      </c>
      <c r="AB2" s="76" t="s">
        <v>1042</v>
      </c>
      <c r="AC2" s="76" t="s">
        <v>1042</v>
      </c>
      <c r="AD2" s="76" t="s">
        <v>1042</v>
      </c>
      <c r="AE2" s="76" t="s">
        <v>1043</v>
      </c>
      <c r="AF2" s="76" t="s">
        <v>1042</v>
      </c>
      <c r="AG2" s="76" t="s">
        <v>1042</v>
      </c>
      <c r="AH2" s="76" t="s">
        <v>1042</v>
      </c>
      <c r="AI2" s="76" t="s">
        <v>1042</v>
      </c>
      <c r="AJ2" s="76" t="s">
        <v>1042</v>
      </c>
      <c r="AK2" s="76" t="s">
        <v>1042</v>
      </c>
      <c r="AL2" s="76" t="s">
        <v>1042</v>
      </c>
      <c r="AM2" s="76" t="s">
        <v>1042</v>
      </c>
      <c r="AN2" s="76" t="s">
        <v>1042</v>
      </c>
      <c r="AO2" s="76" t="s">
        <v>1042</v>
      </c>
      <c r="AP2" s="76" t="s">
        <v>1042</v>
      </c>
      <c r="AQ2" s="76" t="s">
        <v>1042</v>
      </c>
      <c r="AR2" s="76" t="s">
        <v>1042</v>
      </c>
      <c r="AS2" s="76" t="s">
        <v>1042</v>
      </c>
      <c r="AT2" s="76" t="s">
        <v>1043</v>
      </c>
      <c r="AU2" s="76" t="s">
        <v>28</v>
      </c>
      <c r="AV2" s="76" t="s">
        <v>28</v>
      </c>
      <c r="AW2" s="76" t="s">
        <v>28</v>
      </c>
      <c r="AX2" s="76" t="s">
        <v>28</v>
      </c>
      <c r="AY2" s="76" t="s">
        <v>1042</v>
      </c>
      <c r="AZ2" s="76" t="s">
        <v>1043</v>
      </c>
      <c r="BA2" s="76" t="s">
        <v>1043</v>
      </c>
      <c r="BB2" s="76" t="s">
        <v>28</v>
      </c>
      <c r="BC2" s="76" t="s">
        <v>28</v>
      </c>
      <c r="BD2" s="76" t="s">
        <v>28</v>
      </c>
      <c r="BE2" s="76" t="s">
        <v>1042</v>
      </c>
      <c r="BF2" s="76" t="s">
        <v>28</v>
      </c>
      <c r="BG2" s="76" t="s">
        <v>1042</v>
      </c>
      <c r="BH2" s="76" t="s">
        <v>1043</v>
      </c>
      <c r="BI2" s="76" t="s">
        <v>28</v>
      </c>
      <c r="BJ2" s="76" t="s">
        <v>28</v>
      </c>
      <c r="BK2" s="76" t="s">
        <v>28</v>
      </c>
      <c r="BL2" s="76" t="s">
        <v>28</v>
      </c>
      <c r="BM2" s="76" t="s">
        <v>1042</v>
      </c>
      <c r="BN2" s="76" t="s">
        <v>1042</v>
      </c>
      <c r="BO2" s="76" t="s">
        <v>1042</v>
      </c>
      <c r="BP2" s="76" t="s">
        <v>1042</v>
      </c>
      <c r="BQ2" s="76" t="s">
        <v>1042</v>
      </c>
      <c r="BR2" s="76" t="s">
        <v>1042</v>
      </c>
      <c r="BS2" s="76" t="s">
        <v>28</v>
      </c>
      <c r="BT2" s="76" t="s">
        <v>28</v>
      </c>
      <c r="BU2" s="76" t="s">
        <v>1042</v>
      </c>
      <c r="BV2" s="76" t="s">
        <v>1043</v>
      </c>
      <c r="BW2" s="76" t="s">
        <v>1043</v>
      </c>
      <c r="BX2" s="76" t="s">
        <v>1043</v>
      </c>
      <c r="BY2" s="76" t="s">
        <v>1042</v>
      </c>
      <c r="BZ2" s="76" t="s">
        <v>1042</v>
      </c>
      <c r="CA2" s="76" t="s">
        <v>1042</v>
      </c>
      <c r="CB2" s="76" t="s">
        <v>1043</v>
      </c>
      <c r="CC2" s="76" t="s">
        <v>1043</v>
      </c>
      <c r="CD2" s="76" t="s">
        <v>28</v>
      </c>
      <c r="CE2" s="76" t="s">
        <v>28</v>
      </c>
      <c r="CF2" s="76" t="s">
        <v>28</v>
      </c>
      <c r="CG2" s="76" t="s">
        <v>1043</v>
      </c>
      <c r="CH2" s="76" t="s">
        <v>1043</v>
      </c>
      <c r="CI2" s="76" t="s">
        <v>28</v>
      </c>
      <c r="CJ2" s="76" t="s">
        <v>28</v>
      </c>
      <c r="CK2" s="76" t="s">
        <v>1042</v>
      </c>
      <c r="CL2" s="76" t="s">
        <v>1043</v>
      </c>
      <c r="CM2" s="76" t="s">
        <v>1043</v>
      </c>
      <c r="CN2" s="76" t="s">
        <v>28</v>
      </c>
      <c r="CO2" s="76" t="s">
        <v>1042</v>
      </c>
      <c r="CP2" s="76" t="s">
        <v>1043</v>
      </c>
      <c r="CQ2" s="76" t="s">
        <v>1043</v>
      </c>
      <c r="CR2" s="76" t="s">
        <v>28</v>
      </c>
      <c r="CS2" s="76"/>
      <c r="CT2" s="76" t="s">
        <v>1042</v>
      </c>
      <c r="CU2" s="76" t="s">
        <v>1042</v>
      </c>
      <c r="CV2" s="76" t="s">
        <v>1043</v>
      </c>
      <c r="CW2" s="76" t="s">
        <v>1043</v>
      </c>
      <c r="CX2" s="76" t="s">
        <v>28</v>
      </c>
      <c r="CY2" s="76" t="s">
        <v>28</v>
      </c>
      <c r="CZ2" s="76" t="s">
        <v>28</v>
      </c>
      <c r="DA2" s="76" t="s">
        <v>28</v>
      </c>
      <c r="DB2" s="76" t="s">
        <v>28</v>
      </c>
      <c r="DC2" s="76" t="s">
        <v>28</v>
      </c>
      <c r="DD2" s="76" t="s">
        <v>28</v>
      </c>
      <c r="DE2" s="76" t="s">
        <v>1042</v>
      </c>
      <c r="DF2" s="76" t="s">
        <v>1043</v>
      </c>
      <c r="DG2" s="76" t="s">
        <v>1043</v>
      </c>
      <c r="DH2" s="76" t="s">
        <v>28</v>
      </c>
      <c r="DI2" s="77"/>
      <c r="DJ2" s="76" t="s">
        <v>1042</v>
      </c>
      <c r="DK2" s="76" t="s">
        <v>28</v>
      </c>
      <c r="DL2" s="76" t="s">
        <v>1042</v>
      </c>
      <c r="DM2" s="76" t="s">
        <v>1042</v>
      </c>
      <c r="DN2" s="76" t="s">
        <v>1042</v>
      </c>
      <c r="DO2" s="76" t="s">
        <v>1042</v>
      </c>
      <c r="DP2" s="76" t="s">
        <v>1042</v>
      </c>
      <c r="DQ2" s="76" t="s">
        <v>1042</v>
      </c>
      <c r="DR2" s="76" t="s">
        <v>28</v>
      </c>
      <c r="DS2" s="76" t="s">
        <v>1042</v>
      </c>
      <c r="DT2" s="76" t="s">
        <v>1042</v>
      </c>
      <c r="DU2" s="76" t="s">
        <v>1042</v>
      </c>
      <c r="DV2" s="76" t="s">
        <v>1043</v>
      </c>
      <c r="DW2" s="76" t="s">
        <v>1042</v>
      </c>
      <c r="DX2" s="76" t="s">
        <v>1042</v>
      </c>
      <c r="DY2" s="76" t="s">
        <v>1042</v>
      </c>
      <c r="DZ2" s="76" t="s">
        <v>1042</v>
      </c>
      <c r="EA2" s="78" t="s">
        <v>1042</v>
      </c>
      <c r="EB2" s="76" t="s">
        <v>1043</v>
      </c>
      <c r="EC2" s="76" t="s">
        <v>1043</v>
      </c>
      <c r="ED2" s="76" t="s">
        <v>1042</v>
      </c>
      <c r="EE2" s="75" t="s">
        <v>1042</v>
      </c>
      <c r="EF2" s="75" t="s">
        <v>28</v>
      </c>
      <c r="EG2" s="75" t="s">
        <v>28</v>
      </c>
      <c r="EH2" s="75" t="s">
        <v>28</v>
      </c>
      <c r="EI2" s="75" t="s">
        <v>28</v>
      </c>
      <c r="EJ2" s="75" t="s">
        <v>28</v>
      </c>
      <c r="EK2" s="75" t="s">
        <v>28</v>
      </c>
      <c r="EL2" s="75" t="s">
        <v>28</v>
      </c>
      <c r="EM2" s="75" t="s">
        <v>28</v>
      </c>
      <c r="EN2" s="75" t="s">
        <v>28</v>
      </c>
      <c r="EO2" s="75" t="s">
        <v>28</v>
      </c>
      <c r="EP2" s="75" t="s">
        <v>1042</v>
      </c>
      <c r="EQ2" s="75" t="s">
        <v>1043</v>
      </c>
      <c r="ER2" s="75" t="s">
        <v>1041</v>
      </c>
      <c r="ES2" s="75" t="s">
        <v>1041</v>
      </c>
      <c r="ET2" s="75"/>
      <c r="EU2" s="79" t="s">
        <v>1042</v>
      </c>
      <c r="EV2" s="75" t="s">
        <v>1042</v>
      </c>
      <c r="EW2" s="75" t="s">
        <v>28</v>
      </c>
      <c r="EX2" s="75" t="s">
        <v>1043</v>
      </c>
      <c r="EY2" s="75"/>
      <c r="EZ2" s="79" t="s">
        <v>1042</v>
      </c>
      <c r="FA2" s="75" t="s">
        <v>1042</v>
      </c>
      <c r="FB2" s="75" t="s">
        <v>28</v>
      </c>
      <c r="FC2" s="75" t="s">
        <v>1043</v>
      </c>
      <c r="FD2" s="75"/>
      <c r="FE2" s="79" t="s">
        <v>1042</v>
      </c>
      <c r="FF2" s="75" t="s">
        <v>1042</v>
      </c>
      <c r="FG2" s="75" t="s">
        <v>28</v>
      </c>
      <c r="FH2" s="75" t="s">
        <v>1043</v>
      </c>
      <c r="FI2" s="75"/>
      <c r="FJ2" s="79" t="s">
        <v>1042</v>
      </c>
      <c r="FK2" s="75" t="s">
        <v>1042</v>
      </c>
      <c r="FL2" s="75" t="s">
        <v>28</v>
      </c>
      <c r="FM2" s="75" t="s">
        <v>1043</v>
      </c>
      <c r="FN2" s="75"/>
      <c r="FO2" s="80"/>
    </row>
    <row r="3" hidden="1">
      <c r="B3" s="81" t="b">
        <f>Option!$C6</f>
        <v>1</v>
      </c>
      <c r="C3" s="82" t="str">
        <f t="array" ref="C3">IFERROR(INDEX('Phase Map'!$E$2:$E$12, MATCH(E3, 'Phase Map'!$C$2:$C$12, 0)), "hide")</f>
        <v/>
      </c>
      <c r="D3" s="83"/>
      <c r="E3" s="84" t="str">
        <f>GETSHEETNAME()</f>
        <v>Phase 4</v>
      </c>
      <c r="F3" s="84" t="s">
        <v>1044</v>
      </c>
      <c r="G3" s="84"/>
      <c r="H3" s="84"/>
      <c r="I3" s="84"/>
      <c r="J3" s="84"/>
      <c r="K3" s="85" t="s">
        <v>186</v>
      </c>
      <c r="L3" s="85" t="s">
        <v>186</v>
      </c>
      <c r="M3" s="85" t="s">
        <v>186</v>
      </c>
      <c r="N3" s="85" t="s">
        <v>186</v>
      </c>
      <c r="O3" s="85" t="s">
        <v>186</v>
      </c>
      <c r="P3" s="85" t="s">
        <v>186</v>
      </c>
      <c r="Q3" s="85" t="s">
        <v>186</v>
      </c>
      <c r="R3" s="85" t="s">
        <v>186</v>
      </c>
      <c r="S3" s="85" t="s">
        <v>186</v>
      </c>
      <c r="T3" s="85" t="s">
        <v>198</v>
      </c>
      <c r="U3" s="85" t="s">
        <v>198</v>
      </c>
      <c r="V3" s="85" t="s">
        <v>198</v>
      </c>
      <c r="W3" s="85" t="s">
        <v>198</v>
      </c>
      <c r="X3" s="85" t="s">
        <v>198</v>
      </c>
      <c r="Y3" s="85" t="s">
        <v>198</v>
      </c>
      <c r="Z3" s="85" t="s">
        <v>198</v>
      </c>
      <c r="AA3" s="85" t="s">
        <v>198</v>
      </c>
      <c r="AB3" s="85" t="s">
        <v>198</v>
      </c>
      <c r="AC3" s="85" t="s">
        <v>192</v>
      </c>
      <c r="AD3" s="85" t="s">
        <v>192</v>
      </c>
      <c r="AE3" s="85" t="s">
        <v>192</v>
      </c>
      <c r="AF3" s="85" t="s">
        <v>192</v>
      </c>
      <c r="AG3" s="85" t="s">
        <v>1044</v>
      </c>
      <c r="AH3" s="85" t="s">
        <v>192</v>
      </c>
      <c r="AI3" s="85" t="s">
        <v>192</v>
      </c>
      <c r="AJ3" s="85" t="s">
        <v>192</v>
      </c>
      <c r="AK3" s="85" t="s">
        <v>192</v>
      </c>
      <c r="AL3" s="85" t="s">
        <v>180</v>
      </c>
      <c r="AM3" s="85" t="s">
        <v>180</v>
      </c>
      <c r="AN3" s="85" t="s">
        <v>180</v>
      </c>
      <c r="AO3" s="85" t="s">
        <v>180</v>
      </c>
      <c r="AP3" s="85" t="s">
        <v>180</v>
      </c>
      <c r="AQ3" s="85" t="s">
        <v>180</v>
      </c>
      <c r="AR3" s="85" t="s">
        <v>180</v>
      </c>
      <c r="AS3" s="85" t="s">
        <v>72</v>
      </c>
      <c r="AT3" s="85" t="s">
        <v>72</v>
      </c>
      <c r="AU3" s="85" t="s">
        <v>72</v>
      </c>
      <c r="AV3" s="85" t="s">
        <v>72</v>
      </c>
      <c r="AW3" s="85" t="s">
        <v>72</v>
      </c>
      <c r="AX3" s="85" t="s">
        <v>72</v>
      </c>
      <c r="AY3" s="85" t="s">
        <v>72</v>
      </c>
      <c r="AZ3" s="85" t="s">
        <v>72</v>
      </c>
      <c r="BA3" s="85" t="s">
        <v>1044</v>
      </c>
      <c r="BB3" s="85" t="s">
        <v>72</v>
      </c>
      <c r="BC3" s="85" t="s">
        <v>1044</v>
      </c>
      <c r="BD3" s="85" t="s">
        <v>72</v>
      </c>
      <c r="BE3" s="85" t="s">
        <v>65</v>
      </c>
      <c r="BF3" s="85" t="s">
        <v>65</v>
      </c>
      <c r="BG3" s="85" t="s">
        <v>65</v>
      </c>
      <c r="BH3" s="85" t="s">
        <v>65</v>
      </c>
      <c r="BI3" s="85" t="s">
        <v>65</v>
      </c>
      <c r="BJ3" s="85" t="s">
        <v>65</v>
      </c>
      <c r="BK3" s="85" t="s">
        <v>65</v>
      </c>
      <c r="BL3" s="85" t="s">
        <v>65</v>
      </c>
      <c r="BM3" s="85" t="s">
        <v>65</v>
      </c>
      <c r="BN3" s="85" t="s">
        <v>65</v>
      </c>
      <c r="BO3" s="85" t="s">
        <v>65</v>
      </c>
      <c r="BP3" s="85" t="s">
        <v>65</v>
      </c>
      <c r="BQ3" s="85" t="s">
        <v>65</v>
      </c>
      <c r="BR3" s="85" t="s">
        <v>65</v>
      </c>
      <c r="BS3" s="85" t="s">
        <v>65</v>
      </c>
      <c r="BT3" s="85" t="s">
        <v>1044</v>
      </c>
      <c r="BU3" s="85" t="s">
        <v>65</v>
      </c>
      <c r="BV3" s="85" t="s">
        <v>65</v>
      </c>
      <c r="BW3" s="85" t="s">
        <v>1044</v>
      </c>
      <c r="BX3" s="85" t="s">
        <v>65</v>
      </c>
      <c r="BY3" s="85" t="s">
        <v>43</v>
      </c>
      <c r="BZ3" s="85" t="s">
        <v>43</v>
      </c>
      <c r="CA3" s="85" t="s">
        <v>43</v>
      </c>
      <c r="CB3" s="85" t="s">
        <v>43</v>
      </c>
      <c r="CC3" s="85" t="s">
        <v>43</v>
      </c>
      <c r="CD3" s="85" t="s">
        <v>43</v>
      </c>
      <c r="CE3" s="85" t="s">
        <v>43</v>
      </c>
      <c r="CF3" s="85" t="s">
        <v>43</v>
      </c>
      <c r="CG3" s="85" t="s">
        <v>43</v>
      </c>
      <c r="CH3" s="85" t="s">
        <v>43</v>
      </c>
      <c r="CI3" s="85" t="s">
        <v>43</v>
      </c>
      <c r="CJ3" s="85" t="s">
        <v>43</v>
      </c>
      <c r="CK3" s="85" t="s">
        <v>43</v>
      </c>
      <c r="CL3" s="85" t="s">
        <v>43</v>
      </c>
      <c r="CM3" s="85" t="s">
        <v>43</v>
      </c>
      <c r="CN3" s="85" t="s">
        <v>43</v>
      </c>
      <c r="CO3" s="86" t="s">
        <v>43</v>
      </c>
      <c r="CP3" s="86" t="s">
        <v>43</v>
      </c>
      <c r="CQ3" s="86" t="s">
        <v>43</v>
      </c>
      <c r="CR3" s="86" t="s">
        <v>43</v>
      </c>
      <c r="CS3" s="86" t="s">
        <v>43</v>
      </c>
      <c r="CT3" s="85" t="s">
        <v>60</v>
      </c>
      <c r="CU3" s="85" t="s">
        <v>60</v>
      </c>
      <c r="CV3" s="85" t="s">
        <v>60</v>
      </c>
      <c r="CW3" s="85" t="s">
        <v>60</v>
      </c>
      <c r="CX3" s="85" t="s">
        <v>60</v>
      </c>
      <c r="CY3" s="85" t="s">
        <v>60</v>
      </c>
      <c r="CZ3" s="85" t="s">
        <v>60</v>
      </c>
      <c r="DA3" s="85" t="s">
        <v>60</v>
      </c>
      <c r="DB3" s="85" t="s">
        <v>60</v>
      </c>
      <c r="DC3" s="85" t="s">
        <v>60</v>
      </c>
      <c r="DD3" s="85" t="s">
        <v>60</v>
      </c>
      <c r="DE3" s="86" t="s">
        <v>60</v>
      </c>
      <c r="DF3" s="86" t="s">
        <v>60</v>
      </c>
      <c r="DG3" s="86" t="s">
        <v>60</v>
      </c>
      <c r="DH3" s="86" t="s">
        <v>60</v>
      </c>
      <c r="DI3" s="87" t="s">
        <v>60</v>
      </c>
      <c r="DJ3" s="85" t="s">
        <v>767</v>
      </c>
      <c r="DK3" s="88" t="s">
        <v>767</v>
      </c>
      <c r="DL3" s="85" t="s">
        <v>1045</v>
      </c>
      <c r="DM3" s="85" t="s">
        <v>1046</v>
      </c>
      <c r="DN3" s="85" t="s">
        <v>1047</v>
      </c>
      <c r="DO3" s="85" t="s">
        <v>1048</v>
      </c>
      <c r="DP3" s="85" t="s">
        <v>1049</v>
      </c>
      <c r="DQ3" s="85" t="s">
        <v>118</v>
      </c>
      <c r="DR3" s="85" t="s">
        <v>118</v>
      </c>
      <c r="DS3" s="85" t="s">
        <v>102</v>
      </c>
      <c r="DT3" s="85" t="s">
        <v>102</v>
      </c>
      <c r="DU3" s="85" t="s">
        <v>149</v>
      </c>
      <c r="DV3" s="85" t="s">
        <v>149</v>
      </c>
      <c r="DW3" s="85" t="s">
        <v>1050</v>
      </c>
      <c r="DX3" s="85" t="s">
        <v>1051</v>
      </c>
      <c r="DY3" s="85" t="s">
        <v>316</v>
      </c>
      <c r="DZ3" s="85" t="s">
        <v>316</v>
      </c>
      <c r="EA3" s="89" t="s">
        <v>278</v>
      </c>
      <c r="EB3" s="89" t="s">
        <v>278</v>
      </c>
      <c r="EC3" s="89" t="s">
        <v>278</v>
      </c>
      <c r="ED3" s="85" t="s">
        <v>93</v>
      </c>
      <c r="EE3" s="90" t="s">
        <v>1044</v>
      </c>
      <c r="EF3" s="90" t="s">
        <v>1044</v>
      </c>
      <c r="EG3" s="90" t="s">
        <v>1044</v>
      </c>
      <c r="EH3" s="90" t="s">
        <v>1044</v>
      </c>
      <c r="EI3" s="90" t="s">
        <v>1044</v>
      </c>
      <c r="EJ3" s="90" t="s">
        <v>1044</v>
      </c>
      <c r="EK3" s="90" t="s">
        <v>1044</v>
      </c>
      <c r="EL3" s="90" t="s">
        <v>1044</v>
      </c>
      <c r="EM3" s="90" t="s">
        <v>1044</v>
      </c>
      <c r="EN3" s="90" t="s">
        <v>1044</v>
      </c>
      <c r="EO3" s="90" t="s">
        <v>1044</v>
      </c>
      <c r="EP3" s="90" t="s">
        <v>1044</v>
      </c>
      <c r="EQ3" s="90" t="s">
        <v>1044</v>
      </c>
      <c r="ER3" s="84"/>
      <c r="ES3" s="84"/>
      <c r="ET3" s="84"/>
      <c r="EU3" s="90" t="s">
        <v>1044</v>
      </c>
      <c r="EV3" s="85" t="s">
        <v>1044</v>
      </c>
      <c r="EW3" s="85" t="s">
        <v>1044</v>
      </c>
      <c r="EX3" s="85" t="s">
        <v>1044</v>
      </c>
      <c r="EY3" s="85" t="s">
        <v>186</v>
      </c>
      <c r="EZ3" s="90" t="s">
        <v>1044</v>
      </c>
      <c r="FA3" s="85" t="s">
        <v>1044</v>
      </c>
      <c r="FB3" s="85" t="s">
        <v>1044</v>
      </c>
      <c r="FC3" s="85" t="s">
        <v>1044</v>
      </c>
      <c r="FD3" s="85" t="s">
        <v>198</v>
      </c>
      <c r="FE3" s="90" t="s">
        <v>1044</v>
      </c>
      <c r="FF3" s="85" t="s">
        <v>1044</v>
      </c>
      <c r="FG3" s="85" t="s">
        <v>1044</v>
      </c>
      <c r="FH3" s="85" t="s">
        <v>1044</v>
      </c>
      <c r="FI3" s="85" t="s">
        <v>192</v>
      </c>
      <c r="FJ3" s="90" t="s">
        <v>1044</v>
      </c>
      <c r="FK3" s="85" t="s">
        <v>1044</v>
      </c>
      <c r="FL3" s="85" t="s">
        <v>1044</v>
      </c>
      <c r="FM3" s="85" t="s">
        <v>1044</v>
      </c>
      <c r="FN3" s="85" t="s">
        <v>180</v>
      </c>
      <c r="FO3" s="91"/>
    </row>
    <row r="4" hidden="1">
      <c r="B4" s="92" t="b">
        <f>Option!$C7</f>
        <v>1</v>
      </c>
      <c r="C4" s="93" t="str">
        <f t="array" ref="C4">IFERROR(INDEX('Phase Map'!$D$2:$D$12, MATCH(E3, 'Phase Map'!$C$2:$C$12, 0)), "")</f>
        <v/>
      </c>
      <c r="D4" s="83"/>
      <c r="E4" s="84" t="s">
        <v>1</v>
      </c>
      <c r="F4" s="84"/>
      <c r="G4" s="84"/>
      <c r="H4" s="84"/>
      <c r="I4" s="84"/>
      <c r="J4" s="84"/>
      <c r="K4" s="85" t="s">
        <v>94</v>
      </c>
      <c r="L4" s="85" t="s">
        <v>679</v>
      </c>
      <c r="M4" s="85" t="s">
        <v>271</v>
      </c>
      <c r="N4" s="85" t="s">
        <v>479</v>
      </c>
      <c r="O4" s="85" t="s">
        <v>172</v>
      </c>
      <c r="P4" s="85" t="s">
        <v>856</v>
      </c>
      <c r="Q4" s="85" t="s">
        <v>187</v>
      </c>
      <c r="R4" s="85" t="s">
        <v>485</v>
      </c>
      <c r="S4" s="85" t="s">
        <v>888</v>
      </c>
      <c r="T4" s="85" t="s">
        <v>94</v>
      </c>
      <c r="U4" s="84" t="s">
        <v>660</v>
      </c>
      <c r="V4" s="84" t="s">
        <v>505</v>
      </c>
      <c r="W4" s="84" t="s">
        <v>172</v>
      </c>
      <c r="X4" s="84" t="s">
        <v>622</v>
      </c>
      <c r="Y4" s="84" t="s">
        <v>199</v>
      </c>
      <c r="Z4" s="84" t="s">
        <v>498</v>
      </c>
      <c r="AA4" s="84" t="s">
        <v>465</v>
      </c>
      <c r="AB4" s="84" t="s">
        <v>939</v>
      </c>
      <c r="AC4" s="85" t="s">
        <v>94</v>
      </c>
      <c r="AD4" s="85" t="s">
        <v>629</v>
      </c>
      <c r="AE4" s="85" t="s">
        <v>686</v>
      </c>
      <c r="AF4" s="85" t="s">
        <v>492</v>
      </c>
      <c r="AG4" s="85"/>
      <c r="AH4" s="85" t="s">
        <v>172</v>
      </c>
      <c r="AI4" s="85" t="s">
        <v>909</v>
      </c>
      <c r="AJ4" s="94" t="s">
        <v>193</v>
      </c>
      <c r="AK4" s="84" t="s">
        <v>895</v>
      </c>
      <c r="AL4" s="85" t="s">
        <v>94</v>
      </c>
      <c r="AM4" s="85" t="s">
        <v>760</v>
      </c>
      <c r="AN4" s="85" t="s">
        <v>472</v>
      </c>
      <c r="AO4" s="85" t="s">
        <v>172</v>
      </c>
      <c r="AP4" s="94" t="s">
        <v>1026</v>
      </c>
      <c r="AQ4" s="85" t="s">
        <v>181</v>
      </c>
      <c r="AR4" s="84" t="s">
        <v>881</v>
      </c>
      <c r="AS4" s="85" t="s">
        <v>74</v>
      </c>
      <c r="AT4" s="85" t="s">
        <v>73</v>
      </c>
      <c r="AU4" s="85" t="s">
        <v>204</v>
      </c>
      <c r="AV4" s="95" t="s">
        <v>874</v>
      </c>
      <c r="AW4" s="95" t="s">
        <v>849</v>
      </c>
      <c r="AX4" s="95" t="s">
        <v>234</v>
      </c>
      <c r="AY4" s="85" t="s">
        <v>329</v>
      </c>
      <c r="AZ4" s="85" t="s">
        <v>303</v>
      </c>
      <c r="BA4" s="85"/>
      <c r="BB4" s="85" t="s">
        <v>143</v>
      </c>
      <c r="BC4" s="85"/>
      <c r="BD4" s="85" t="s">
        <v>902</v>
      </c>
      <c r="BE4" s="85" t="s">
        <v>835</v>
      </c>
      <c r="BF4" s="85" t="s">
        <v>67</v>
      </c>
      <c r="BG4" s="85" t="s">
        <v>66</v>
      </c>
      <c r="BH4" s="85" t="s">
        <v>167</v>
      </c>
      <c r="BI4" s="95" t="s">
        <v>815</v>
      </c>
      <c r="BJ4" s="95" t="s">
        <v>803</v>
      </c>
      <c r="BK4" s="95" t="s">
        <v>648</v>
      </c>
      <c r="BL4" s="95" t="s">
        <v>221</v>
      </c>
      <c r="BM4" s="95" t="s">
        <v>978</v>
      </c>
      <c r="BN4" s="95" t="s">
        <v>736</v>
      </c>
      <c r="BO4" s="95" t="s">
        <v>987</v>
      </c>
      <c r="BP4" s="95" t="s">
        <v>998</v>
      </c>
      <c r="BQ4" s="95" t="s">
        <v>1003</v>
      </c>
      <c r="BR4" s="95" t="s">
        <v>993</v>
      </c>
      <c r="BS4" s="95" t="s">
        <v>130</v>
      </c>
      <c r="BT4" s="95"/>
      <c r="BU4" s="95" t="s">
        <v>324</v>
      </c>
      <c r="BV4" s="85" t="s">
        <v>296</v>
      </c>
      <c r="BW4" s="85"/>
      <c r="BX4" s="95" t="s">
        <v>375</v>
      </c>
      <c r="BY4" s="85" t="s">
        <v>945</v>
      </c>
      <c r="BZ4" s="85" t="s">
        <v>610</v>
      </c>
      <c r="CA4" s="85" t="s">
        <v>209</v>
      </c>
      <c r="CB4" s="85" t="s">
        <v>284</v>
      </c>
      <c r="CC4" s="85" t="s">
        <v>157</v>
      </c>
      <c r="CD4" s="85" t="s">
        <v>1008</v>
      </c>
      <c r="CE4" s="85" t="s">
        <v>862</v>
      </c>
      <c r="CF4" s="85" t="s">
        <v>636</v>
      </c>
      <c r="CG4" s="85" t="s">
        <v>512</v>
      </c>
      <c r="CH4" s="85" t="s">
        <v>519</v>
      </c>
      <c r="CI4" s="85" t="s">
        <v>810</v>
      </c>
      <c r="CJ4" s="95" t="s">
        <v>57</v>
      </c>
      <c r="CK4" s="95" t="s">
        <v>44</v>
      </c>
      <c r="CL4" s="95" t="s">
        <v>50</v>
      </c>
      <c r="CM4" s="95" t="s">
        <v>55</v>
      </c>
      <c r="CN4" s="95" t="s">
        <v>923</v>
      </c>
      <c r="CO4" s="95" t="s">
        <v>310</v>
      </c>
      <c r="CP4" s="85" t="s">
        <v>342</v>
      </c>
      <c r="CQ4" s="95" t="s">
        <v>778</v>
      </c>
      <c r="CR4" s="95" t="s">
        <v>916</v>
      </c>
      <c r="CS4" s="95"/>
      <c r="CT4" s="85" t="s">
        <v>643</v>
      </c>
      <c r="CU4" s="85" t="s">
        <v>617</v>
      </c>
      <c r="CV4" s="85" t="s">
        <v>162</v>
      </c>
      <c r="CW4" s="85" t="s">
        <v>526</v>
      </c>
      <c r="CX4" s="85" t="s">
        <v>291</v>
      </c>
      <c r="CY4" s="95" t="s">
        <v>124</v>
      </c>
      <c r="CZ4" s="95" t="s">
        <v>869</v>
      </c>
      <c r="DA4" s="95" t="s">
        <v>822</v>
      </c>
      <c r="DB4" s="95" t="s">
        <v>216</v>
      </c>
      <c r="DC4" s="95" t="s">
        <v>61</v>
      </c>
      <c r="DD4" s="95" t="s">
        <v>929</v>
      </c>
      <c r="DE4" s="95" t="s">
        <v>791</v>
      </c>
      <c r="DF4" s="95" t="s">
        <v>355</v>
      </c>
      <c r="DG4" s="95" t="s">
        <v>700</v>
      </c>
      <c r="DH4" s="95" t="s">
        <v>673</v>
      </c>
      <c r="DI4" s="96"/>
      <c r="DJ4" s="85" t="s">
        <v>111</v>
      </c>
      <c r="DK4" s="88" t="s">
        <v>934</v>
      </c>
      <c r="DL4" s="85" t="s">
        <v>111</v>
      </c>
      <c r="DM4" s="85" t="s">
        <v>111</v>
      </c>
      <c r="DN4" s="85" t="s">
        <v>111</v>
      </c>
      <c r="DO4" s="85" t="s">
        <v>111</v>
      </c>
      <c r="DP4" s="85" t="s">
        <v>111</v>
      </c>
      <c r="DQ4" s="85" t="s">
        <v>119</v>
      </c>
      <c r="DR4" s="85" t="s">
        <v>754</v>
      </c>
      <c r="DS4" s="85" t="s">
        <v>103</v>
      </c>
      <c r="DT4" s="85" t="s">
        <v>785</v>
      </c>
      <c r="DU4" s="85" t="s">
        <v>150</v>
      </c>
      <c r="DV4" s="85" t="s">
        <v>580</v>
      </c>
      <c r="DW4" s="85" t="s">
        <v>85</v>
      </c>
      <c r="DX4" s="85" t="s">
        <v>85</v>
      </c>
      <c r="DY4" s="85" t="s">
        <v>85</v>
      </c>
      <c r="DZ4" s="85" t="s">
        <v>317</v>
      </c>
      <c r="EA4" s="89" t="s">
        <v>85</v>
      </c>
      <c r="EB4" s="84" t="s">
        <v>1015</v>
      </c>
      <c r="EC4" s="84" t="s">
        <v>279</v>
      </c>
      <c r="ED4" s="85" t="s">
        <v>1034</v>
      </c>
      <c r="EE4" s="90"/>
      <c r="EF4" s="90"/>
      <c r="EG4" s="90"/>
      <c r="EH4" s="90"/>
      <c r="EI4" s="90"/>
      <c r="EJ4" s="90"/>
      <c r="EK4" s="90"/>
      <c r="EL4" s="90"/>
      <c r="EM4" s="90"/>
      <c r="EN4" s="90"/>
      <c r="EO4" s="90"/>
      <c r="EP4" s="90"/>
      <c r="EQ4" s="90"/>
      <c r="ER4" s="95"/>
      <c r="ES4" s="95"/>
      <c r="ET4" s="95"/>
      <c r="EU4" s="90"/>
      <c r="EV4" s="90"/>
      <c r="EW4" s="90"/>
      <c r="EX4" s="90"/>
      <c r="EY4" s="76"/>
      <c r="EZ4" s="90"/>
      <c r="FA4" s="90"/>
      <c r="FB4" s="90"/>
      <c r="FC4" s="90"/>
      <c r="FD4" s="76"/>
      <c r="FE4" s="90"/>
      <c r="FF4" s="90"/>
      <c r="FG4" s="90"/>
      <c r="FH4" s="90"/>
      <c r="FI4" s="76"/>
      <c r="FJ4" s="90"/>
      <c r="FK4" s="90"/>
      <c r="FL4" s="90"/>
      <c r="FM4" s="90"/>
      <c r="FN4" s="76"/>
      <c r="FO4" s="91"/>
    </row>
    <row r="5" hidden="1">
      <c r="B5" s="92" t="b">
        <f>Option!$C8</f>
        <v>1</v>
      </c>
      <c r="C5" s="93" t="str">
        <f t="array" ref="C5">IFERROR(INDEX('Phase Map'!$C$3:$C$13, MATCH(E3, 'Phase Map'!$C$2:$C$12, 0)), "")</f>
        <v>Phase 5</v>
      </c>
      <c r="D5" s="83"/>
      <c r="E5" s="84" t="s">
        <v>7</v>
      </c>
      <c r="F5" s="84"/>
      <c r="G5" s="84"/>
      <c r="H5" s="84"/>
      <c r="I5" s="84"/>
      <c r="J5" s="84"/>
      <c r="K5" s="94" t="str">
        <f t="array" ref="K5">IFERROR(INDEX(Skill!$I:$I, MATCH(K$4, Skill!$C:$C, 0), 1), "")</f>
        <v>RANGE_ENEMY</v>
      </c>
      <c r="L5" s="94" t="str">
        <f t="array" ref="L5">IFERROR(INDEX(Skill!$I:$I, MATCH(L$4, Skill!$C:$C, 0), 1), "")</f>
        <v>RANGE_PARTY</v>
      </c>
      <c r="M5" s="94" t="str">
        <f t="array" ref="M5">IFERROR(INDEX(Skill!$I:$I, MATCH(M$4, Skill!$C:$C, 0), 1), "")</f>
        <v>RANGE_PARTY</v>
      </c>
      <c r="N5" s="94" t="str">
        <f t="array" ref="N5">IFERROR(INDEX(Skill!$I:$I, MATCH(N$4, Skill!$C:$C, 0), 1), "")</f>
        <v>SINGLE_PARTY</v>
      </c>
      <c r="O5" s="94" t="str">
        <f t="array" ref="O5">IFERROR(INDEX(Skill!$I:$I, MATCH(O$4, Skill!$C:$C, 0), 1), "")</f>
        <v>SELF</v>
      </c>
      <c r="P5" s="94" t="str">
        <f t="array" ref="P5">IFERROR(INDEX(Skill!$I:$I, MATCH(P$4, Skill!$C:$C, 0), 1), "")</f>
        <v>SELF</v>
      </c>
      <c r="Q5" s="94" t="str">
        <f t="array" ref="Q5">IFERROR(INDEX(Skill!$I:$I, MATCH(Q$4, Skill!$C:$C, 0), 1), "")</f>
        <v>SELF</v>
      </c>
      <c r="R5" s="94" t="str">
        <f t="array" ref="R5">IFERROR(INDEX(Skill!$I:$I, MATCH(R$4, Skill!$C:$C, 0), 1), "")</f>
        <v>SELF</v>
      </c>
      <c r="S5" s="94" t="str">
        <f t="array" ref="S5">IFERROR(INDEX(Skill!$I:$I, MATCH(S$4, Skill!$C:$C, 0), 1), "")</f>
        <v>SELF</v>
      </c>
      <c r="T5" s="94" t="str">
        <f t="array" ref="T5">IFERROR(INDEX(Skill!$I:$I, MATCH(T$4, Skill!$C:$C, 0), 1), "")</f>
        <v>RANGE_ENEMY</v>
      </c>
      <c r="U5" s="94" t="str">
        <f t="array" ref="U5">IFERROR(INDEX(Skill!$I:$I, MATCH(U$4, Skill!$C:$C, 0), 1), "")</f>
        <v>RANGE_PARTY</v>
      </c>
      <c r="V5" s="94" t="str">
        <f t="array" ref="V5">IFERROR(INDEX(Skill!$I:$I, MATCH(V$4, Skill!$C:$C, 0), 1), "")</f>
        <v>SINGLE_PARTY</v>
      </c>
      <c r="W5" s="94" t="str">
        <f t="array" ref="W5">IFERROR(INDEX(Skill!$I:$I, MATCH(W$4, Skill!$C:$C, 0), 1), "")</f>
        <v>SELF</v>
      </c>
      <c r="X5" s="94" t="str">
        <f t="array" ref="X5">IFERROR(INDEX(Skill!$I:$I, MATCH(X$4, Skill!$C:$C, 0), 1), "")</f>
        <v>SELF</v>
      </c>
      <c r="Y5" s="94" t="str">
        <f t="array" ref="Y5">IFERROR(INDEX(Skill!$I:$I, MATCH(Y$4, Skill!$C:$C, 0), 1), "")</f>
        <v>SELF</v>
      </c>
      <c r="Z5" s="94" t="str">
        <f t="array" ref="Z5">IFERROR(INDEX(Skill!$I:$I, MATCH(Z$4, Skill!$C:$C, 0), 1), "")</f>
        <v>SELF</v>
      </c>
      <c r="AA5" s="94" t="str">
        <f t="array" ref="AA5">IFERROR(INDEX(Skill!$I:$I, MATCH(AA$4, Skill!$C:$C, 0), 1), "")</f>
        <v>SELF</v>
      </c>
      <c r="AB5" s="94" t="str">
        <f t="array" ref="AB5">IFERROR(INDEX(Skill!$I:$I, MATCH(AB$4, Skill!$C:$C, 0), 1), "")</f>
        <v>SELF</v>
      </c>
      <c r="AC5" s="94" t="str">
        <f t="array" ref="AC5">IFERROR(INDEX(Skill!$I:$I, MATCH(AC$4, Skill!$C:$C, 0), 1), "")</f>
        <v>RANGE_ENEMY</v>
      </c>
      <c r="AD5" s="94" t="str">
        <f t="array" ref="AD5">IFERROR(INDEX(Skill!$I:$I, MATCH(AD$4, Skill!$C:$C, 0), 1), "")</f>
        <v>RANGE_PARTY</v>
      </c>
      <c r="AE5" s="94" t="str">
        <f t="array" ref="AE5">IFERROR(INDEX(Skill!$I:$I, MATCH(AE$4, Skill!$C:$C, 0), 1), "")</f>
        <v>SINGLE_PARTY</v>
      </c>
      <c r="AF5" s="94" t="str">
        <f t="array" ref="AF5">IFERROR(INDEX(Skill!$I:$I, MATCH(AF$4, Skill!$C:$C, 0), 1), "")</f>
        <v>SINGLE_PARTY</v>
      </c>
      <c r="AG5" s="94" t="str">
        <f t="array" ref="AG5">IFERROR(INDEX(Skill!$I:$I, MATCH(AG$4, Skill!$C:$C, 0), 1), "")</f>
        <v/>
      </c>
      <c r="AH5" s="94" t="str">
        <f t="array" ref="AH5">IFERROR(INDEX(Skill!$I:$I, MATCH(AH$4, Skill!$C:$C, 0), 1), "")</f>
        <v>SELF</v>
      </c>
      <c r="AI5" s="94" t="str">
        <f t="array" ref="AI5">IFERROR(INDEX(Skill!$I:$I, MATCH(AI$4, Skill!$C:$C, 0), 1), "")</f>
        <v>SELF</v>
      </c>
      <c r="AJ5" s="94" t="str">
        <f t="array" ref="AJ5">IFERROR(INDEX(Skill!$I:$I, MATCH(AJ$4, Skill!$C:$C, 0), 1), "")</f>
        <v>SELF</v>
      </c>
      <c r="AK5" s="94" t="str">
        <f t="array" ref="AK5">IFERROR(INDEX(Skill!$I:$I, MATCH(AK$4, Skill!$C:$C, 0), 1), "")</f>
        <v>SELF</v>
      </c>
      <c r="AL5" s="94" t="str">
        <f t="array" ref="AL5">IFERROR(INDEX(Skill!$I:$I, MATCH(AL$4, Skill!$C:$C, 0), 1), "")</f>
        <v>RANGE_ENEMY</v>
      </c>
      <c r="AM5" s="94" t="str">
        <f t="array" ref="AM5">IFERROR(INDEX(Skill!$I:$I, MATCH(AM$4, Skill!$C:$C, 0), 1), "")</f>
        <v>RANGE_PARTY</v>
      </c>
      <c r="AN5" s="94" t="str">
        <f t="array" ref="AN5">IFERROR(INDEX(Skill!$I:$I, MATCH(AN$4, Skill!$C:$C, 0), 1), "")</f>
        <v>SINGLE_PARTY</v>
      </c>
      <c r="AO5" s="94" t="str">
        <f t="array" ref="AO5">IFERROR(INDEX(Skill!$I:$I, MATCH(AO$4, Skill!$C:$C, 0), 1), "")</f>
        <v>SELF</v>
      </c>
      <c r="AP5" s="94" t="str">
        <f t="array" ref="AP5">IFERROR(INDEX(Skill!$I:$I, MATCH(AP$4, Skill!$C:$C, 0), 1), "")</f>
        <v>SELF</v>
      </c>
      <c r="AQ5" s="94" t="str">
        <f t="array" ref="AQ5">IFERROR(INDEX(Skill!$I:$I, MATCH(AQ$4, Skill!$C:$C, 0), 1), "")</f>
        <v>SELF</v>
      </c>
      <c r="AR5" s="94" t="str">
        <f t="array" ref="AR5">IFERROR(INDEX(Skill!$I:$I, MATCH(AR$4, Skill!$C:$C, 0), 1), "")</f>
        <v>SELF</v>
      </c>
      <c r="AS5" s="94" t="str">
        <f t="array" ref="AS5">IFERROR(INDEX(Skill!$I:$I, MATCH(AS$4, Skill!$C:$C, 0), 1), "")</f>
        <v>RANGE_PARTY</v>
      </c>
      <c r="AT5" s="94" t="str">
        <f t="array" ref="AT5">IFERROR(INDEX(Skill!$I:$I, MATCH(AT$4, Skill!$C:$C, 0), 1), "")</f>
        <v>RANGE_PARTY</v>
      </c>
      <c r="AU5" s="94" t="str">
        <f t="array" ref="AU5">IFERROR(INDEX(Skill!$I:$I, MATCH(AU$4, Skill!$C:$C, 0), 1), "")</f>
        <v>SELF</v>
      </c>
      <c r="AV5" s="94" t="str">
        <f t="array" ref="AV5">IFERROR(INDEX(Skill!$I:$I, MATCH(AV$4, Skill!$C:$C, 0), 1), "")</f>
        <v>RANGE_PARTY</v>
      </c>
      <c r="AW5" s="94" t="str">
        <f t="array" ref="AW5">IFERROR(INDEX(Skill!$I:$I, MATCH(AW$4, Skill!$C:$C, 0), 1), "")</f>
        <v>RANGE_PARTY</v>
      </c>
      <c r="AX5" s="94" t="str">
        <f t="array" ref="AX5">IFERROR(INDEX(Skill!$I:$I, MATCH(AX$4, Skill!$C:$C, 0), 1), "")</f>
        <v>RANGE_PARTY</v>
      </c>
      <c r="AY5" s="94" t="str">
        <f t="array" ref="AY5">IFERROR(INDEX(Skill!$I:$I, MATCH(AY$4, Skill!$C:$C, 0), 1), "")</f>
        <v>SINGLE_PARTY</v>
      </c>
      <c r="AZ5" s="94" t="str">
        <f t="array" ref="AZ5">IFERROR(INDEX(Skill!$I:$I, MATCH(AZ$4, Skill!$C:$C, 0), 1), "")</f>
        <v>SINGLE_PARTY</v>
      </c>
      <c r="BA5" s="94" t="str">
        <f t="array" ref="BA5">IFERROR(INDEX(Skill!$I:$I, MATCH(BA$4, Skill!$C:$C, 0), 1), "")</f>
        <v/>
      </c>
      <c r="BB5" s="94" t="str">
        <f t="array" ref="BB5">IFERROR(INDEX(Skill!$I:$I, MATCH(BB$4, Skill!$C:$C, 0), 1), "")</f>
        <v>SINGLE_PARTY</v>
      </c>
      <c r="BC5" s="94" t="str">
        <f t="array" ref="BC5">IFERROR(INDEX(Skill!$I:$I, MATCH(BC$4, Skill!$C:$C, 0), 1), "")</f>
        <v/>
      </c>
      <c r="BD5" s="94" t="str">
        <f t="array" ref="BD5">IFERROR(INDEX(Skill!$I:$I, MATCH(BD$4, Skill!$C:$C, 0), 1), "")</f>
        <v>SINGLE_PARTY</v>
      </c>
      <c r="BE5" s="94" t="str">
        <f t="array" ref="BE5">IFERROR(INDEX(Skill!$I:$I, MATCH(BE$4, Skill!$C:$C, 0), 1), "")</f>
        <v>RANGE_PARTY</v>
      </c>
      <c r="BF5" s="94" t="str">
        <f t="array" ref="BF5">IFERROR(INDEX(Skill!$I:$I, MATCH(BF$4, Skill!$C:$C, 0), 1), "")</f>
        <v>SELF</v>
      </c>
      <c r="BG5" s="94" t="str">
        <f t="array" ref="BG5">IFERROR(INDEX(Skill!$I:$I, MATCH(BG$4, Skill!$C:$C, 0), 1), "")</f>
        <v>RANGE_PARTY</v>
      </c>
      <c r="BH5" s="94" t="str">
        <f t="array" ref="BH5">IFERROR(INDEX(Skill!$I:$I, MATCH(BH$4, Skill!$C:$C, 0), 1), "")</f>
        <v>RANGE_PARTY</v>
      </c>
      <c r="BI5" s="94" t="str">
        <f t="array" ref="BI5">IFERROR(INDEX(Skill!$I:$I, MATCH(BI$4, Skill!$C:$C, 0), 1), "")</f>
        <v>RANGE_PARTY</v>
      </c>
      <c r="BJ5" s="94" t="str">
        <f t="array" ref="BJ5">IFERROR(INDEX(Skill!$I:$I, MATCH(BJ$4, Skill!$C:$C, 0), 1), "")</f>
        <v>RANGE_PARTY</v>
      </c>
      <c r="BK5" s="94" t="str">
        <f t="array" ref="BK5">IFERROR(INDEX(Skill!$I:$I, MATCH(BK$4, Skill!$C:$C, 0), 1), "")</f>
        <v>RANGE_PARTY</v>
      </c>
      <c r="BL5" s="94" t="str">
        <f t="array" ref="BL5">IFERROR(INDEX(Skill!$I:$I, MATCH(BL$4, Skill!$C:$C, 0), 1), "")</f>
        <v>RANGE_PARTY</v>
      </c>
      <c r="BM5" s="94" t="str">
        <f t="array" ref="BM5">IFERROR(INDEX(Skill!$I:$I, MATCH(BM$4, Skill!$C:$C, 0), 1), "")</f>
        <v>SELF</v>
      </c>
      <c r="BN5" s="94" t="str">
        <f t="array" ref="BN5">IFERROR(INDEX(Skill!$I:$I, MATCH(BN$4, Skill!$C:$C, 0), 1), "")</f>
        <v>SELF</v>
      </c>
      <c r="BO5" s="94" t="str">
        <f t="array" ref="BO5">IFERROR(INDEX(Skill!$I:$I, MATCH(BO$4, Skill!$C:$C, 0), 1), "")</f>
        <v>SINGLE_PARTY</v>
      </c>
      <c r="BP5" s="94" t="str">
        <f t="array" ref="BP5">IFERROR(INDEX(Skill!$I:$I, MATCH(BP$4, Skill!$C:$C, 0), 1), "")</f>
        <v>SINGLE_PARTY</v>
      </c>
      <c r="BQ5" s="94" t="str">
        <f t="array" ref="BQ5">IFERROR(INDEX(Skill!$I:$I, MATCH(BQ$4, Skill!$C:$C, 0), 1), "")</f>
        <v>SINGLE_PARTY</v>
      </c>
      <c r="BR5" s="94" t="str">
        <f t="array" ref="BR5">IFERROR(INDEX(Skill!$I:$I, MATCH(BR$4, Skill!$C:$C, 0), 1), "")</f>
        <v>SINGLE_PARTY</v>
      </c>
      <c r="BS5" s="94" t="str">
        <f t="array" ref="BS5">IFERROR(INDEX(Skill!$I:$I, MATCH(BS$4, Skill!$C:$C, 0), 1), "")</f>
        <v>SINGLE_PARTY</v>
      </c>
      <c r="BT5" s="94" t="str">
        <f t="array" ref="BT5">IFERROR(INDEX(Skill!$I:$I, MATCH(BT$4, Skill!$C:$C, 0), 1), "")</f>
        <v/>
      </c>
      <c r="BU5" s="94" t="str">
        <f t="array" ref="BU5">IFERROR(INDEX(Skill!$I:$I, MATCH(BU$4, Skill!$C:$C, 0), 1), "")</f>
        <v>SINGLE_PARTY</v>
      </c>
      <c r="BV5" s="94" t="str">
        <f t="array" ref="BV5">IFERROR(INDEX(Skill!$I:$I, MATCH(BV$4, Skill!$C:$C, 0), 1), "")</f>
        <v>SINGLE_PARTY</v>
      </c>
      <c r="BW5" s="94" t="str">
        <f t="array" ref="BW5">IFERROR(INDEX(Skill!$I:$I, MATCH(BW$4, Skill!$C:$C, 0), 1), "")</f>
        <v/>
      </c>
      <c r="BX5" s="94" t="str">
        <f t="array" ref="BX5">IFERROR(INDEX(Skill!$I:$I, MATCH(BX$4, Skill!$C:$C, 0), 1), "")</f>
        <v>SINGLE_PARTY</v>
      </c>
      <c r="BY5" s="94" t="str">
        <f t="array" ref="BY5">IFERROR(INDEX(Skill!$I:$I, MATCH(BY$4, Skill!$C:$C, 0), 1), "")</f>
        <v>RANGE_PARTY</v>
      </c>
      <c r="BZ5" s="94" t="str">
        <f t="array" ref="BZ5">IFERROR(INDEX(Skill!$I:$I, MATCH(BZ$4, Skill!$C:$C, 0), 1), "")</f>
        <v>RANGE_PARTY</v>
      </c>
      <c r="CA5" s="94" t="str">
        <f t="array" ref="CA5">IFERROR(INDEX(Skill!$I:$I, MATCH(CA$4, Skill!$C:$C, 0), 1), "")</f>
        <v>RANGE_PARTY</v>
      </c>
      <c r="CB5" s="94" t="str">
        <f t="array" ref="CB5">IFERROR(INDEX(Skill!$I:$I, MATCH(CB$4, Skill!$C:$C, 0), 1), "")</f>
        <v>RANGE_PARTY</v>
      </c>
      <c r="CC5" s="94" t="str">
        <f t="array" ref="CC5">IFERROR(INDEX(Skill!$I:$I, MATCH(CC$4, Skill!$C:$C, 0), 1), "")</f>
        <v>RANGE_PARTY</v>
      </c>
      <c r="CD5" s="94" t="str">
        <f t="array" ref="CD5">IFERROR(INDEX(Skill!$I:$I, MATCH(CD$4, Skill!$C:$C, 0), 1), "")</f>
        <v>RANGE_PARTY</v>
      </c>
      <c r="CE5" s="94" t="str">
        <f t="array" ref="CE5">IFERROR(INDEX(Skill!$I:$I, MATCH(CE$4, Skill!$C:$C, 0), 1), "")</f>
        <v>RANGE_PARTY</v>
      </c>
      <c r="CF5" s="94" t="str">
        <f t="array" ref="CF5">IFERROR(INDEX(Skill!$I:$I, MATCH(CF$4, Skill!$C:$C, 0), 1), "")</f>
        <v>RANGE_PARTY</v>
      </c>
      <c r="CG5" s="94" t="str">
        <f t="array" ref="CG5">IFERROR(INDEX(Skill!$I:$I, MATCH(CG$4, Skill!$C:$C, 0), 1), "")</f>
        <v>SELF</v>
      </c>
      <c r="CH5" s="94" t="str">
        <f t="array" ref="CH5">IFERROR(INDEX(Skill!$I:$I, MATCH(CH$4, Skill!$C:$C, 0), 1), "")</f>
        <v>RANGE_PARTY</v>
      </c>
      <c r="CI5" s="94" t="str">
        <f t="array" ref="CI5">IFERROR(INDEX(Skill!$I:$I, MATCH(CI$4, Skill!$C:$C, 0), 1), "")</f>
        <v>SELF</v>
      </c>
      <c r="CJ5" s="94" t="str">
        <f t="array" ref="CJ5">IFERROR(INDEX(Skill!$I:$I, MATCH(CJ$4, Skill!$C:$C, 0), 1), "")</f>
        <v>SINGLE_PARTY</v>
      </c>
      <c r="CK5" s="94" t="str">
        <f t="array" ref="CK5">IFERROR(INDEX(Skill!$I:$I, MATCH(CK$4, Skill!$C:$C, 0), 1), "")</f>
        <v>SELF</v>
      </c>
      <c r="CL5" s="94" t="str">
        <f t="array" ref="CL5">IFERROR(INDEX(Skill!$I:$I, MATCH(CL$4, Skill!$C:$C, 0), 1), "")</f>
        <v>RANGE_PARTY</v>
      </c>
      <c r="CM5" s="94" t="str">
        <f t="array" ref="CM5">IFERROR(INDEX(Skill!$I:$I, MATCH(CM$4, Skill!$C:$C, 0), 1), "")</f>
        <v>SINGLE_PARTY</v>
      </c>
      <c r="CN5" s="94" t="str">
        <f t="array" ref="CN5">IFERROR(INDEX(Skill!$I:$I, MATCH(CN$4, Skill!$C:$C, 0), 1), "")</f>
        <v>SINGLE_PARTY</v>
      </c>
      <c r="CO5" s="94" t="str">
        <f t="array" ref="CO5">IFERROR(INDEX(Skill!$I:$I, MATCH(CO$4, Skill!$C:$C, 0), 1), "")</f>
        <v>SINGLE_PARTY</v>
      </c>
      <c r="CP5" s="94" t="str">
        <f t="array" ref="CP5">IFERROR(INDEX(Skill!$I:$I, MATCH(CP$4, Skill!$C:$C, 0), 1), "")</f>
        <v>SINGLE_PARTY</v>
      </c>
      <c r="CQ5" s="94" t="str">
        <f t="array" ref="CQ5">IFERROR(INDEX(Skill!$I:$I, MATCH(CQ$4, Skill!$C:$C, 0), 1), "")</f>
        <v>SINGLE_PARTY</v>
      </c>
      <c r="CR5" s="94" t="str">
        <f t="array" ref="CR5">IFERROR(INDEX(Skill!$I:$I, MATCH(CR$4, Skill!$C:$C, 0), 1), "")</f>
        <v>SELF</v>
      </c>
      <c r="CS5" s="94" t="str">
        <f t="array" ref="CS5">IFERROR(INDEX(Skill!$I:$I, MATCH(CS$4, Skill!$C:$C, 0), 1), "")</f>
        <v/>
      </c>
      <c r="CT5" s="94" t="str">
        <f t="array" ref="CT5">IFERROR(INDEX(Skill!$I:$I, MATCH(CT$4, Skill!$C:$C, 0), 1), "")</f>
        <v>RANGE_PARTY</v>
      </c>
      <c r="CU5" s="94" t="str">
        <f t="array" ref="CU5">IFERROR(INDEX(Skill!$I:$I, MATCH(CU$4, Skill!$C:$C, 0), 1), "")</f>
        <v>RANGE_PARTY</v>
      </c>
      <c r="CV5" s="94" t="str">
        <f t="array" ref="CV5">IFERROR(INDEX(Skill!$I:$I, MATCH(CV$4, Skill!$C:$C, 0), 1), "")</f>
        <v>RANGE_PARTY</v>
      </c>
      <c r="CW5" s="94" t="str">
        <f t="array" ref="CW5">IFERROR(INDEX(Skill!$I:$I, MATCH(CW$4, Skill!$C:$C, 0), 1), "")</f>
        <v>RANGE_PARTY</v>
      </c>
      <c r="CX5" s="94" t="str">
        <f t="array" ref="CX5">IFERROR(INDEX(Skill!$I:$I, MATCH(CX$4, Skill!$C:$C, 0), 1), "")</f>
        <v>SELF</v>
      </c>
      <c r="CY5" s="94" t="str">
        <f t="array" ref="CY5">IFERROR(INDEX(Skill!$I:$I, MATCH(CY$4, Skill!$C:$C, 0), 1), "")</f>
        <v>RANGE_PARTY</v>
      </c>
      <c r="CZ5" s="94" t="str">
        <f t="array" ref="CZ5">IFERROR(INDEX(Skill!$I:$I, MATCH(CZ$4, Skill!$C:$C, 0), 1), "")</f>
        <v>RANGE_PARTY</v>
      </c>
      <c r="DA5" s="94" t="str">
        <f t="array" ref="DA5">IFERROR(INDEX(Skill!$I:$I, MATCH(DA$4, Skill!$C:$C, 0), 1), "")</f>
        <v>RANGE_PARTY</v>
      </c>
      <c r="DB5" s="94" t="str">
        <f t="array" ref="DB5">IFERROR(INDEX(Skill!$I:$I, MATCH(DB$4, Skill!$C:$C, 0), 1), "")</f>
        <v>RANGE_PARTY</v>
      </c>
      <c r="DC5" s="94" t="str">
        <f t="array" ref="DC5">IFERROR(INDEX(Skill!$I:$I, MATCH(DC$4, Skill!$C:$C, 0), 1), "")</f>
        <v>RANGE_PARTY</v>
      </c>
      <c r="DD5" s="94" t="str">
        <f t="array" ref="DD5">IFERROR(INDEX(Skill!$I:$I, MATCH(DD$4, Skill!$C:$C, 0), 1), "")</f>
        <v>SINGLE_PARTY</v>
      </c>
      <c r="DE5" s="94" t="str">
        <f t="array" ref="DE5">IFERROR(INDEX(Skill!$I:$I, MATCH(DE$4, Skill!$C:$C, 0), 1), "")</f>
        <v>SINGLE_PARTY</v>
      </c>
      <c r="DF5" s="94" t="str">
        <f t="array" ref="DF5">IFERROR(INDEX(Skill!$I:$I, MATCH(DF$4, Skill!$C:$C, 0), 1), "")</f>
        <v>SINGLE_PARTY</v>
      </c>
      <c r="DG5" s="94" t="str">
        <f t="array" ref="DG5">IFERROR(INDEX(Skill!$I:$I, MATCH(DG$4, Skill!$C:$C, 0), 1), "")</f>
        <v>SINGLE_PARTY</v>
      </c>
      <c r="DH5" s="94" t="str">
        <f t="array" ref="DH5">IFERROR(INDEX(Skill!$I:$I, MATCH(DH$4, Skill!$C:$C, 0), 1), "")</f>
        <v>SELF</v>
      </c>
      <c r="DI5" s="94" t="str">
        <f t="array" ref="DI5">IFERROR(INDEX(Skill!$I:$I, MATCH(DI$4, Skill!$C:$C, 0), 1), "")</f>
        <v/>
      </c>
      <c r="DJ5" s="94" t="str">
        <f t="array" ref="DJ5">IFERROR(INDEX(Skill!$I:$I, MATCH(DJ$4, Skill!$C:$C, 0), 1), "")</f>
        <v>SINGLE_ENEMY</v>
      </c>
      <c r="DK5" s="94" t="str">
        <f t="array" ref="DK5">IFERROR(INDEX(Skill!$I:$I, MATCH(DK$4, Skill!$C:$C, 0), 1), "")</f>
        <v>RANGE_PARTY</v>
      </c>
      <c r="DL5" s="94" t="str">
        <f t="array" ref="DL5">IFERROR(INDEX(Skill!$I:$I, MATCH(DL$4, Skill!$C:$C, 0), 1), "")</f>
        <v>SINGLE_ENEMY</v>
      </c>
      <c r="DM5" s="94" t="str">
        <f t="array" ref="DM5">IFERROR(INDEX(Skill!$I:$I, MATCH(DM$4, Skill!$C:$C, 0), 1), "")</f>
        <v>SINGLE_ENEMY</v>
      </c>
      <c r="DN5" s="94" t="str">
        <f t="array" ref="DN5">IFERROR(INDEX(Skill!$I:$I, MATCH(DN$4, Skill!$C:$C, 0), 1), "")</f>
        <v>SINGLE_ENEMY</v>
      </c>
      <c r="DO5" s="94" t="str">
        <f t="array" ref="DO5">IFERROR(INDEX(Skill!$I:$I, MATCH(DO$4, Skill!$C:$C, 0), 1), "")</f>
        <v>SINGLE_ENEMY</v>
      </c>
      <c r="DP5" s="94" t="str">
        <f t="array" ref="DP5">IFERROR(INDEX(Skill!$I:$I, MATCH(DP$4, Skill!$C:$C, 0), 1), "")</f>
        <v>SINGLE_ENEMY</v>
      </c>
      <c r="DQ5" s="94" t="str">
        <f t="array" ref="DQ5">IFERROR(INDEX(Skill!$I:$I, MATCH(DQ$4, Skill!$C:$C, 0), 1), "")</f>
        <v>RANGE_PARTY</v>
      </c>
      <c r="DR5" s="94" t="str">
        <f t="array" ref="DR5">IFERROR(INDEX(Skill!$I:$I, MATCH(DR$4, Skill!$C:$C, 0), 1), "")</f>
        <v>SINGLE_PARTY</v>
      </c>
      <c r="DS5" s="94" t="str">
        <f t="array" ref="DS5">IFERROR(INDEX(Skill!$I:$I, MATCH(DS$4, Skill!$C:$C, 0), 1), "")</f>
        <v>RANGE_PARTY</v>
      </c>
      <c r="DT5" s="94" t="str">
        <f t="array" ref="DT5">IFERROR(INDEX(Skill!$I:$I, MATCH(DT$4, Skill!$C:$C, 0), 1), "")</f>
        <v>SINGLE_ENEMY</v>
      </c>
      <c r="DU5" s="94" t="str">
        <f t="array" ref="DU5">IFERROR(INDEX(Skill!$I:$I, MATCH(DU$4, Skill!$C:$C, 0), 1), "")</f>
        <v>RANGE_PARTY</v>
      </c>
      <c r="DV5" s="94" t="str">
        <f t="array" ref="DV5">IFERROR(INDEX(Skill!$I:$I, MATCH(DV$4, Skill!$C:$C, 0), 1), "")</f>
        <v>RANGE_PARTY</v>
      </c>
      <c r="DW5" s="94" t="str">
        <f t="array" ref="DW5">IFERROR(INDEX(Skill!$I:$I, MATCH(DW$4, Skill!$C:$C, 0), 1), "")</f>
        <v>SINGLE_ENEMY</v>
      </c>
      <c r="DX5" s="94" t="str">
        <f t="array" ref="DX5">IFERROR(INDEX(Skill!$I:$I, MATCH(DX$4, Skill!$C:$C, 0), 1), "")</f>
        <v>SINGLE_ENEMY</v>
      </c>
      <c r="DY5" s="94" t="str">
        <f t="array" ref="DY5">IFERROR(INDEX(Skill!$I:$I, MATCH(DY$4, Skill!$C:$C, 0), 1), "")</f>
        <v>SINGLE_ENEMY</v>
      </c>
      <c r="DZ5" s="94" t="str">
        <f t="array" ref="DZ5">IFERROR(INDEX(Skill!$I:$I, MATCH(DZ$4, Skill!$C:$C, 0), 1), "")</f>
        <v>RANGE_PARTY</v>
      </c>
      <c r="EA5" s="89" t="str">
        <f t="array" ref="EA5">IFERROR(INDEX(Skill!$I:$I, MATCH(EA$4, Skill!$C:$C, 0), 1), "")</f>
        <v>SINGLE_ENEMY</v>
      </c>
      <c r="EB5" s="89" t="str">
        <f t="array" ref="EB5">IFERROR(INDEX(Skill!$I:$I, MATCH(EB$4, Skill!$C:$C, 0), 1), "")</f>
        <v>SELF</v>
      </c>
      <c r="EC5" s="89" t="str">
        <f t="array" ref="EC5">IFERROR(INDEX(Skill!$I:$I, MATCH(EC$4, Skill!$C:$C, 0), 1), "")</f>
        <v>SELF</v>
      </c>
      <c r="ED5" s="94" t="str">
        <f t="array" ref="ED5">IFERROR(INDEX(Skill!$I:$I, MATCH(ED$4, Skill!$C:$C, 0), 1), "")</f>
        <v>RANGE_PARTY</v>
      </c>
      <c r="EE5" s="97"/>
      <c r="EF5" s="97"/>
      <c r="EG5" s="97"/>
      <c r="EH5" s="97"/>
      <c r="EI5" s="97"/>
      <c r="EJ5" s="97"/>
      <c r="EK5" s="97"/>
      <c r="EL5" s="97"/>
      <c r="EM5" s="97"/>
      <c r="EN5" s="97"/>
      <c r="EO5" s="97"/>
      <c r="EP5" s="97"/>
      <c r="EQ5" s="97"/>
      <c r="ER5" s="76"/>
      <c r="ES5" s="76"/>
      <c r="ET5" s="76"/>
      <c r="EU5" s="97"/>
      <c r="EV5" s="97"/>
      <c r="EW5" s="97"/>
      <c r="EX5" s="97"/>
      <c r="EY5" s="76"/>
      <c r="EZ5" s="97"/>
      <c r="FA5" s="97"/>
      <c r="FB5" s="97"/>
      <c r="FC5" s="97"/>
      <c r="FD5" s="76"/>
      <c r="FE5" s="97"/>
      <c r="FF5" s="97"/>
      <c r="FG5" s="97"/>
      <c r="FH5" s="97"/>
      <c r="FI5" s="76"/>
      <c r="FJ5" s="97"/>
      <c r="FK5" s="97"/>
      <c r="FL5" s="97"/>
      <c r="FM5" s="97"/>
      <c r="FN5" s="76"/>
      <c r="FO5" s="91"/>
    </row>
    <row r="6" hidden="1">
      <c r="B6" s="92" t="b">
        <f>Option!$C9</f>
        <v>1</v>
      </c>
      <c r="C6" s="93"/>
      <c r="D6" s="83"/>
      <c r="E6" s="84" t="s">
        <v>8</v>
      </c>
      <c r="F6" s="84"/>
      <c r="G6" s="84"/>
      <c r="H6" s="84"/>
      <c r="I6" s="84"/>
      <c r="J6" s="84"/>
      <c r="K6" s="94">
        <f t="array" ref="K6">IFERROR(INDEX(Skill!$J:$J, MATCH(K$4, Skill!$C:$C, 0), 1), "")</f>
        <v>1</v>
      </c>
      <c r="L6" s="94">
        <f t="array" ref="L6">IFERROR(INDEX(Skill!$J:$J, MATCH(L$4, Skill!$C:$C, 0), 1), "")</f>
        <v>1</v>
      </c>
      <c r="M6" s="94">
        <f t="array" ref="M6">IFERROR(INDEX(Skill!$J:$J, MATCH(M$4, Skill!$C:$C, 0), 1), "")</f>
        <v>1</v>
      </c>
      <c r="N6" s="94">
        <f t="array" ref="N6">IFERROR(INDEX(Skill!$J:$J, MATCH(N$4, Skill!$C:$C, 0), 1), "")</f>
        <v>1</v>
      </c>
      <c r="O6" s="94">
        <f t="array" ref="O6">IFERROR(INDEX(Skill!$J:$J, MATCH(O$4, Skill!$C:$C, 0), 1), "")</f>
        <v>1</v>
      </c>
      <c r="P6" s="94">
        <f t="array" ref="P6">IFERROR(INDEX(Skill!$J:$J, MATCH(P$4, Skill!$C:$C, 0), 1), "")</f>
        <v>1</v>
      </c>
      <c r="Q6" s="94">
        <f t="array" ref="Q6">IFERROR(INDEX(Skill!$J:$J, MATCH(Q$4, Skill!$C:$C, 0), 1), "")</f>
        <v>1</v>
      </c>
      <c r="R6" s="94">
        <f t="array" ref="R6">IFERROR(INDEX(Skill!$J:$J, MATCH(R$4, Skill!$C:$C, 0), 1), "")</f>
        <v>1</v>
      </c>
      <c r="S6" s="94">
        <f t="array" ref="S6">IFERROR(INDEX(Skill!$J:$J, MATCH(S$4, Skill!$C:$C, 0), 1), "")</f>
        <v>1</v>
      </c>
      <c r="T6" s="94">
        <f t="array" ref="T6">IFERROR(INDEX(Skill!$J:$J, MATCH(T$4, Skill!$C:$C, 0), 1), "")</f>
        <v>1</v>
      </c>
      <c r="U6" s="94">
        <f t="array" ref="U6">IFERROR(INDEX(Skill!$J:$J, MATCH(U$4, Skill!$C:$C, 0), 1), "")</f>
        <v>1</v>
      </c>
      <c r="V6" s="94">
        <f t="array" ref="V6">IFERROR(INDEX(Skill!$J:$J, MATCH(V$4, Skill!$C:$C, 0), 1), "")</f>
        <v>1</v>
      </c>
      <c r="W6" s="94">
        <f t="array" ref="W6">IFERROR(INDEX(Skill!$J:$J, MATCH(W$4, Skill!$C:$C, 0), 1), "")</f>
        <v>1</v>
      </c>
      <c r="X6" s="94">
        <f t="array" ref="X6">IFERROR(INDEX(Skill!$J:$J, MATCH(X$4, Skill!$C:$C, 0), 1), "")</f>
        <v>1</v>
      </c>
      <c r="Y6" s="94">
        <f t="array" ref="Y6">IFERROR(INDEX(Skill!$J:$J, MATCH(Y$4, Skill!$C:$C, 0), 1), "")</f>
        <v>1</v>
      </c>
      <c r="Z6" s="94">
        <f t="array" ref="Z6">IFERROR(INDEX(Skill!$J:$J, MATCH(Z$4, Skill!$C:$C, 0), 1), "")</f>
        <v>1</v>
      </c>
      <c r="AA6" s="94">
        <f t="array" ref="AA6">IFERROR(INDEX(Skill!$J:$J, MATCH(AA$4, Skill!$C:$C, 0), 1), "")</f>
        <v>1</v>
      </c>
      <c r="AB6" s="94">
        <f t="array" ref="AB6">IFERROR(INDEX(Skill!$J:$J, MATCH(AB$4, Skill!$C:$C, 0), 1), "")</f>
        <v>1</v>
      </c>
      <c r="AC6" s="94">
        <f t="array" ref="AC6">IFERROR(INDEX(Skill!$J:$J, MATCH(AC$4, Skill!$C:$C, 0), 1), "")</f>
        <v>1</v>
      </c>
      <c r="AD6" s="94">
        <f t="array" ref="AD6">IFERROR(INDEX(Skill!$J:$J, MATCH(AD$4, Skill!$C:$C, 0), 1), "")</f>
        <v>1</v>
      </c>
      <c r="AE6" s="94">
        <f t="array" ref="AE6">IFERROR(INDEX(Skill!$J:$J, MATCH(AE$4, Skill!$C:$C, 0), 1), "")</f>
        <v>1</v>
      </c>
      <c r="AF6" s="94">
        <f t="array" ref="AF6">IFERROR(INDEX(Skill!$J:$J, MATCH(AF$4, Skill!$C:$C, 0), 1), "")</f>
        <v>2</v>
      </c>
      <c r="AG6" s="94" t="str">
        <f t="array" ref="AG6">IFERROR(INDEX(Skill!$J:$J, MATCH(AG$4, Skill!$C:$C, 0), 1), "")</f>
        <v/>
      </c>
      <c r="AH6" s="94">
        <f t="array" ref="AH6">IFERROR(INDEX(Skill!$J:$J, MATCH(AH$4, Skill!$C:$C, 0), 1), "")</f>
        <v>1</v>
      </c>
      <c r="AI6" s="94">
        <f t="array" ref="AI6">IFERROR(INDEX(Skill!$J:$J, MATCH(AI$4, Skill!$C:$C, 0), 1), "")</f>
        <v>1</v>
      </c>
      <c r="AJ6" s="94">
        <f t="array" ref="AJ6">IFERROR(INDEX(Skill!$J:$J, MATCH(AJ$4, Skill!$C:$C, 0), 1), "")</f>
        <v>1</v>
      </c>
      <c r="AK6" s="94">
        <f t="array" ref="AK6">IFERROR(INDEX(Skill!$J:$J, MATCH(AK$4, Skill!$C:$C, 0), 1), "")</f>
        <v>1</v>
      </c>
      <c r="AL6" s="94">
        <f t="array" ref="AL6">IFERROR(INDEX(Skill!$J:$J, MATCH(AL$4, Skill!$C:$C, 0), 1), "")</f>
        <v>1</v>
      </c>
      <c r="AM6" s="94">
        <f t="array" ref="AM6">IFERROR(INDEX(Skill!$J:$J, MATCH(AM$4, Skill!$C:$C, 0), 1), "")</f>
        <v>1</v>
      </c>
      <c r="AN6" s="94">
        <f t="array" ref="AN6">IFERROR(INDEX(Skill!$J:$J, MATCH(AN$4, Skill!$C:$C, 0), 1), "")</f>
        <v>1</v>
      </c>
      <c r="AO6" s="94">
        <f t="array" ref="AO6">IFERROR(INDEX(Skill!$J:$J, MATCH(AO$4, Skill!$C:$C, 0), 1), "")</f>
        <v>1</v>
      </c>
      <c r="AP6" s="94">
        <f t="array" ref="AP6">IFERROR(INDEX(Skill!$J:$J, MATCH(AP$4, Skill!$C:$C, 0), 1), "")</f>
        <v>1</v>
      </c>
      <c r="AQ6" s="94">
        <f t="array" ref="AQ6">IFERROR(INDEX(Skill!$J:$J, MATCH(AQ$4, Skill!$C:$C, 0), 1), "")</f>
        <v>1</v>
      </c>
      <c r="AR6" s="94">
        <f t="array" ref="AR6">IFERROR(INDEX(Skill!$J:$J, MATCH(AR$4, Skill!$C:$C, 0), 1), "")</f>
        <v>1</v>
      </c>
      <c r="AS6" s="94">
        <f t="array" ref="AS6">IFERROR(INDEX(Skill!$J:$J, MATCH(AS$4, Skill!$C:$C, 0), 1), "")</f>
        <v>1</v>
      </c>
      <c r="AT6" s="94">
        <f t="array" ref="AT6">IFERROR(INDEX(Skill!$J:$J, MATCH(AT$4, Skill!$C:$C, 0), 1), "")</f>
        <v>1</v>
      </c>
      <c r="AU6" s="94">
        <f t="array" ref="AU6">IFERROR(INDEX(Skill!$J:$J, MATCH(AU$4, Skill!$C:$C, 0), 1), "")</f>
        <v>1</v>
      </c>
      <c r="AV6" s="94">
        <f t="array" ref="AV6">IFERROR(INDEX(Skill!$J:$J, MATCH(AV$4, Skill!$C:$C, 0), 1), "")</f>
        <v>1</v>
      </c>
      <c r="AW6" s="94">
        <f t="array" ref="AW6">IFERROR(INDEX(Skill!$J:$J, MATCH(AW$4, Skill!$C:$C, 0), 1), "")</f>
        <v>1</v>
      </c>
      <c r="AX6" s="94">
        <f t="array" ref="AX6">IFERROR(INDEX(Skill!$J:$J, MATCH(AX$4, Skill!$C:$C, 0), 1), "")</f>
        <v>1</v>
      </c>
      <c r="AY6" s="94">
        <f t="array" ref="AY6">IFERROR(INDEX(Skill!$J:$J, MATCH(AY$4, Skill!$C:$C, 0), 1), "")</f>
        <v>1</v>
      </c>
      <c r="AZ6" s="94">
        <f t="array" ref="AZ6">IFERROR(INDEX(Skill!$J:$J, MATCH(AZ$4, Skill!$C:$C, 0), 1), "")</f>
        <v>2</v>
      </c>
      <c r="BA6" s="94" t="str">
        <f t="array" ref="BA6">IFERROR(INDEX(Skill!$J:$J, MATCH(BA$4, Skill!$C:$C, 0), 1), "")</f>
        <v/>
      </c>
      <c r="BB6" s="94">
        <f t="array" ref="BB6">IFERROR(INDEX(Skill!$J:$J, MATCH(BB$4, Skill!$C:$C, 0), 1), "")</f>
        <v>2</v>
      </c>
      <c r="BC6" s="94" t="str">
        <f t="array" ref="BC6">IFERROR(INDEX(Skill!$J:$J, MATCH(BC$4, Skill!$C:$C, 0), 1), "")</f>
        <v/>
      </c>
      <c r="BD6" s="94">
        <f t="array" ref="BD6">IFERROR(INDEX(Skill!$J:$J, MATCH(BD$4, Skill!$C:$C, 0), 1), "")</f>
        <v>1</v>
      </c>
      <c r="BE6" s="94">
        <f t="array" ref="BE6">IFERROR(INDEX(Skill!$J:$J, MATCH(BE$4, Skill!$C:$C, 0), 1), "")</f>
        <v>1</v>
      </c>
      <c r="BF6" s="94">
        <f t="array" ref="BF6">IFERROR(INDEX(Skill!$J:$J, MATCH(BF$4, Skill!$C:$C, 0), 1), "")</f>
        <v>1</v>
      </c>
      <c r="BG6" s="94">
        <f t="array" ref="BG6">IFERROR(INDEX(Skill!$J:$J, MATCH(BG$4, Skill!$C:$C, 0), 1), "")</f>
        <v>1</v>
      </c>
      <c r="BH6" s="94">
        <f t="array" ref="BH6">IFERROR(INDEX(Skill!$J:$J, MATCH(BH$4, Skill!$C:$C, 0), 1), "")</f>
        <v>1</v>
      </c>
      <c r="BI6" s="94">
        <f t="array" ref="BI6">IFERROR(INDEX(Skill!$J:$J, MATCH(BI$4, Skill!$C:$C, 0), 1), "")</f>
        <v>1</v>
      </c>
      <c r="BJ6" s="94">
        <f t="array" ref="BJ6">IFERROR(INDEX(Skill!$J:$J, MATCH(BJ$4, Skill!$C:$C, 0), 1), "")</f>
        <v>1</v>
      </c>
      <c r="BK6" s="94">
        <f t="array" ref="BK6">IFERROR(INDEX(Skill!$J:$J, MATCH(BK$4, Skill!$C:$C, 0), 1), "")</f>
        <v>1</v>
      </c>
      <c r="BL6" s="94">
        <f t="array" ref="BL6">IFERROR(INDEX(Skill!$J:$J, MATCH(BL$4, Skill!$C:$C, 0), 1), "")</f>
        <v>1</v>
      </c>
      <c r="BM6" s="94">
        <f t="array" ref="BM6">IFERROR(INDEX(Skill!$J:$J, MATCH(BM$4, Skill!$C:$C, 0), 1), "")</f>
        <v>1</v>
      </c>
      <c r="BN6" s="94">
        <f t="array" ref="BN6">IFERROR(INDEX(Skill!$J:$J, MATCH(BN$4, Skill!$C:$C, 0), 1), "")</f>
        <v>1</v>
      </c>
      <c r="BO6" s="94">
        <f t="array" ref="BO6">IFERROR(INDEX(Skill!$J:$J, MATCH(BO$4, Skill!$C:$C, 0), 1), "")</f>
        <v>1</v>
      </c>
      <c r="BP6" s="94">
        <f t="array" ref="BP6">IFERROR(INDEX(Skill!$J:$J, MATCH(BP$4, Skill!$C:$C, 0), 1), "")</f>
        <v>1</v>
      </c>
      <c r="BQ6" s="94">
        <f t="array" ref="BQ6">IFERROR(INDEX(Skill!$J:$J, MATCH(BQ$4, Skill!$C:$C, 0), 1), "")</f>
        <v>1</v>
      </c>
      <c r="BR6" s="94">
        <f t="array" ref="BR6">IFERROR(INDEX(Skill!$J:$J, MATCH(BR$4, Skill!$C:$C, 0), 1), "")</f>
        <v>1</v>
      </c>
      <c r="BS6" s="94">
        <f t="array" ref="BS6">IFERROR(INDEX(Skill!$J:$J, MATCH(BS$4, Skill!$C:$C, 0), 1), "")</f>
        <v>3</v>
      </c>
      <c r="BT6" s="94" t="str">
        <f t="array" ref="BT6">IFERROR(INDEX(Skill!$J:$J, MATCH(BT$4, Skill!$C:$C, 0), 1), "")</f>
        <v/>
      </c>
      <c r="BU6" s="94">
        <f t="array" ref="BU6">IFERROR(INDEX(Skill!$J:$J, MATCH(BU$4, Skill!$C:$C, 0), 1), "")</f>
        <v>1</v>
      </c>
      <c r="BV6" s="94">
        <f t="array" ref="BV6">IFERROR(INDEX(Skill!$J:$J, MATCH(BV$4, Skill!$C:$C, 0), 1), "")</f>
        <v>2</v>
      </c>
      <c r="BW6" s="94" t="str">
        <f t="array" ref="BW6">IFERROR(INDEX(Skill!$J:$J, MATCH(BW$4, Skill!$C:$C, 0), 1), "")</f>
        <v/>
      </c>
      <c r="BX6" s="94">
        <f t="array" ref="BX6">IFERROR(INDEX(Skill!$J:$J, MATCH(BX$4, Skill!$C:$C, 0), 1), "")</f>
        <v>1</v>
      </c>
      <c r="BY6" s="94">
        <f t="array" ref="BY6">IFERROR(INDEX(Skill!$J:$J, MATCH(BY$4, Skill!$C:$C, 0), 1), "")</f>
        <v>1</v>
      </c>
      <c r="BZ6" s="94">
        <f t="array" ref="BZ6">IFERROR(INDEX(Skill!$J:$J, MATCH(BZ$4, Skill!$C:$C, 0), 1), "")</f>
        <v>1</v>
      </c>
      <c r="CA6" s="94">
        <f t="array" ref="CA6">IFERROR(INDEX(Skill!$J:$J, MATCH(CA$4, Skill!$C:$C, 0), 1), "")</f>
        <v>1</v>
      </c>
      <c r="CB6" s="94">
        <f t="array" ref="CB6">IFERROR(INDEX(Skill!$J:$J, MATCH(CB$4, Skill!$C:$C, 0), 1), "")</f>
        <v>1</v>
      </c>
      <c r="CC6" s="94">
        <f t="array" ref="CC6">IFERROR(INDEX(Skill!$J:$J, MATCH(CC$4, Skill!$C:$C, 0), 1), "")</f>
        <v>1</v>
      </c>
      <c r="CD6" s="94">
        <f t="array" ref="CD6">IFERROR(INDEX(Skill!$J:$J, MATCH(CD$4, Skill!$C:$C, 0), 1), "")</f>
        <v>1</v>
      </c>
      <c r="CE6" s="94">
        <f t="array" ref="CE6">IFERROR(INDEX(Skill!$J:$J, MATCH(CE$4, Skill!$C:$C, 0), 1), "")</f>
        <v>1</v>
      </c>
      <c r="CF6" s="94">
        <f t="array" ref="CF6">IFERROR(INDEX(Skill!$J:$J, MATCH(CF$4, Skill!$C:$C, 0), 1), "")</f>
        <v>1</v>
      </c>
      <c r="CG6" s="94">
        <f t="array" ref="CG6">IFERROR(INDEX(Skill!$J:$J, MATCH(CG$4, Skill!$C:$C, 0), 1), "")</f>
        <v>1</v>
      </c>
      <c r="CH6" s="94">
        <f t="array" ref="CH6">IFERROR(INDEX(Skill!$J:$J, MATCH(CH$4, Skill!$C:$C, 0), 1), "")</f>
        <v>1</v>
      </c>
      <c r="CI6" s="94">
        <f t="array" ref="CI6">IFERROR(INDEX(Skill!$J:$J, MATCH(CI$4, Skill!$C:$C, 0), 1), "")</f>
        <v>1</v>
      </c>
      <c r="CJ6" s="94">
        <f t="array" ref="CJ6">IFERROR(INDEX(Skill!$J:$J, MATCH(CJ$4, Skill!$C:$C, 0), 1), "")</f>
        <v>1</v>
      </c>
      <c r="CK6" s="94">
        <f t="array" ref="CK6">IFERROR(INDEX(Skill!$J:$J, MATCH(CK$4, Skill!$C:$C, 0), 1), "")</f>
        <v>1</v>
      </c>
      <c r="CL6" s="94">
        <f t="array" ref="CL6">IFERROR(INDEX(Skill!$J:$J, MATCH(CL$4, Skill!$C:$C, 0), 1), "")</f>
        <v>1</v>
      </c>
      <c r="CM6" s="94">
        <f t="array" ref="CM6">IFERROR(INDEX(Skill!$J:$J, MATCH(CM$4, Skill!$C:$C, 0), 1), "")</f>
        <v>1</v>
      </c>
      <c r="CN6" s="94">
        <f t="array" ref="CN6">IFERROR(INDEX(Skill!$J:$J, MATCH(CN$4, Skill!$C:$C, 0), 1), "")</f>
        <v>1</v>
      </c>
      <c r="CO6" s="94">
        <f t="array" ref="CO6">IFERROR(INDEX(Skill!$J:$J, MATCH(CO$4, Skill!$C:$C, 0), 1), "")</f>
        <v>1</v>
      </c>
      <c r="CP6" s="94">
        <f t="array" ref="CP6">IFERROR(INDEX(Skill!$J:$J, MATCH(CP$4, Skill!$C:$C, 0), 1), "")</f>
        <v>1</v>
      </c>
      <c r="CQ6" s="94">
        <f t="array" ref="CQ6">IFERROR(INDEX(Skill!$J:$J, MATCH(CQ$4, Skill!$C:$C, 0), 1), "")</f>
        <v>1</v>
      </c>
      <c r="CR6" s="94">
        <f t="array" ref="CR6">IFERROR(INDEX(Skill!$J:$J, MATCH(CR$4, Skill!$C:$C, 0), 1), "")</f>
        <v>1</v>
      </c>
      <c r="CS6" s="94" t="str">
        <f t="array" ref="CS6">IFERROR(INDEX(Skill!$J:$J, MATCH(CS$4, Skill!$C:$C, 0), 1), "")</f>
        <v/>
      </c>
      <c r="CT6" s="94">
        <f t="array" ref="CT6">IFERROR(INDEX(Skill!$J:$J, MATCH(CT$4, Skill!$C:$C, 0), 1), "")</f>
        <v>1</v>
      </c>
      <c r="CU6" s="94">
        <f t="array" ref="CU6">IFERROR(INDEX(Skill!$J:$J, MATCH(CU$4, Skill!$C:$C, 0), 1), "")</f>
        <v>1</v>
      </c>
      <c r="CV6" s="94">
        <f t="array" ref="CV6">IFERROR(INDEX(Skill!$J:$J, MATCH(CV$4, Skill!$C:$C, 0), 1), "")</f>
        <v>1</v>
      </c>
      <c r="CW6" s="94">
        <f t="array" ref="CW6">IFERROR(INDEX(Skill!$J:$J, MATCH(CW$4, Skill!$C:$C, 0), 1), "")</f>
        <v>1</v>
      </c>
      <c r="CX6" s="94">
        <f t="array" ref="CX6">IFERROR(INDEX(Skill!$J:$J, MATCH(CX$4, Skill!$C:$C, 0), 1), "")</f>
        <v>1</v>
      </c>
      <c r="CY6" s="94">
        <f t="array" ref="CY6">IFERROR(INDEX(Skill!$J:$J, MATCH(CY$4, Skill!$C:$C, 0), 1), "")</f>
        <v>1</v>
      </c>
      <c r="CZ6" s="94">
        <f t="array" ref="CZ6">IFERROR(INDEX(Skill!$J:$J, MATCH(CZ$4, Skill!$C:$C, 0), 1), "")</f>
        <v>1</v>
      </c>
      <c r="DA6" s="94">
        <f t="array" ref="DA6">IFERROR(INDEX(Skill!$J:$J, MATCH(DA$4, Skill!$C:$C, 0), 1), "")</f>
        <v>1</v>
      </c>
      <c r="DB6" s="94">
        <f t="array" ref="DB6">IFERROR(INDEX(Skill!$J:$J, MATCH(DB$4, Skill!$C:$C, 0), 1), "")</f>
        <v>1</v>
      </c>
      <c r="DC6" s="94">
        <f t="array" ref="DC6">IFERROR(INDEX(Skill!$J:$J, MATCH(DC$4, Skill!$C:$C, 0), 1), "")</f>
        <v>1</v>
      </c>
      <c r="DD6" s="94">
        <f t="array" ref="DD6">IFERROR(INDEX(Skill!$J:$J, MATCH(DD$4, Skill!$C:$C, 0), 1), "")</f>
        <v>1</v>
      </c>
      <c r="DE6" s="94">
        <f t="array" ref="DE6">IFERROR(INDEX(Skill!$J:$J, MATCH(DE$4, Skill!$C:$C, 0), 1), "")</f>
        <v>1</v>
      </c>
      <c r="DF6" s="94">
        <f t="array" ref="DF6">IFERROR(INDEX(Skill!$J:$J, MATCH(DF$4, Skill!$C:$C, 0), 1), "")</f>
        <v>1</v>
      </c>
      <c r="DG6" s="94">
        <f t="array" ref="DG6">IFERROR(INDEX(Skill!$J:$J, MATCH(DG$4, Skill!$C:$C, 0), 1), "")</f>
        <v>1</v>
      </c>
      <c r="DH6" s="94">
        <f t="array" ref="DH6">IFERROR(INDEX(Skill!$J:$J, MATCH(DH$4, Skill!$C:$C, 0), 1), "")</f>
        <v>1</v>
      </c>
      <c r="DI6" s="94" t="str">
        <f t="array" ref="DI6">IFERROR(INDEX(Skill!$J:$J, MATCH(DI$4, Skill!$C:$C, 0), 1), "")</f>
        <v/>
      </c>
      <c r="DJ6" s="94">
        <f t="array" ref="DJ6">IFERROR(INDEX(Skill!$J:$J, MATCH(DJ$4, Skill!$C:$C, 0), 1), "")</f>
        <v>1</v>
      </c>
      <c r="DK6" s="94">
        <f t="array" ref="DK6">IFERROR(INDEX(Skill!$J:$J, MATCH(DK$4, Skill!$C:$C, 0), 1), "")</f>
        <v>1</v>
      </c>
      <c r="DL6" s="94">
        <f t="array" ref="DL6">IFERROR(INDEX(Skill!$J:$J, MATCH(DL$4, Skill!$C:$C, 0), 1), "")</f>
        <v>1</v>
      </c>
      <c r="DM6" s="94">
        <f t="array" ref="DM6">IFERROR(INDEX(Skill!$J:$J, MATCH(DM$4, Skill!$C:$C, 0), 1), "")</f>
        <v>1</v>
      </c>
      <c r="DN6" s="94">
        <f t="array" ref="DN6">IFERROR(INDEX(Skill!$J:$J, MATCH(DN$4, Skill!$C:$C, 0), 1), "")</f>
        <v>1</v>
      </c>
      <c r="DO6" s="94">
        <f t="array" ref="DO6">IFERROR(INDEX(Skill!$J:$J, MATCH(DO$4, Skill!$C:$C, 0), 1), "")</f>
        <v>1</v>
      </c>
      <c r="DP6" s="94">
        <f t="array" ref="DP6">IFERROR(INDEX(Skill!$J:$J, MATCH(DP$4, Skill!$C:$C, 0), 1), "")</f>
        <v>1</v>
      </c>
      <c r="DQ6" s="94">
        <f t="array" ref="DQ6">IFERROR(INDEX(Skill!$J:$J, MATCH(DQ$4, Skill!$C:$C, 0), 1), "")</f>
        <v>1</v>
      </c>
      <c r="DR6" s="94">
        <f t="array" ref="DR6">IFERROR(INDEX(Skill!$J:$J, MATCH(DR$4, Skill!$C:$C, 0), 1), "")</f>
        <v>1</v>
      </c>
      <c r="DS6" s="94">
        <f t="array" ref="DS6">IFERROR(INDEX(Skill!$J:$J, MATCH(DS$4, Skill!$C:$C, 0), 1), "")</f>
        <v>1</v>
      </c>
      <c r="DT6" s="94">
        <f t="array" ref="DT6">IFERROR(INDEX(Skill!$J:$J, MATCH(DT$4, Skill!$C:$C, 0), 1), "")</f>
        <v>1</v>
      </c>
      <c r="DU6" s="94">
        <f t="array" ref="DU6">IFERROR(INDEX(Skill!$J:$J, MATCH(DU$4, Skill!$C:$C, 0), 1), "")</f>
        <v>1</v>
      </c>
      <c r="DV6" s="94">
        <f t="array" ref="DV6">IFERROR(INDEX(Skill!$J:$J, MATCH(DV$4, Skill!$C:$C, 0), 1), "")</f>
        <v>1</v>
      </c>
      <c r="DW6" s="94">
        <f t="array" ref="DW6">IFERROR(INDEX(Skill!$J:$J, MATCH(DW$4, Skill!$C:$C, 0), 1), "")</f>
        <v>1</v>
      </c>
      <c r="DX6" s="94">
        <f t="array" ref="DX6">IFERROR(INDEX(Skill!$J:$J, MATCH(DX$4, Skill!$C:$C, 0), 1), "")</f>
        <v>1</v>
      </c>
      <c r="DY6" s="94">
        <f t="array" ref="DY6">IFERROR(INDEX(Skill!$J:$J, MATCH(DY$4, Skill!$C:$C, 0), 1), "")</f>
        <v>1</v>
      </c>
      <c r="DZ6" s="94">
        <f t="array" ref="DZ6">IFERROR(INDEX(Skill!$J:$J, MATCH(DZ$4, Skill!$C:$C, 0), 1), "")</f>
        <v>1</v>
      </c>
      <c r="EA6" s="89">
        <f t="array" ref="EA6">IFERROR(INDEX(Skill!$J:$J, MATCH(EA$4, Skill!$C:$C, 0), 1), "")</f>
        <v>1</v>
      </c>
      <c r="EB6" s="89">
        <f t="array" ref="EB6">IFERROR(INDEX(Skill!$J:$J, MATCH(EB$4, Skill!$C:$C, 0), 1), "")</f>
        <v>1</v>
      </c>
      <c r="EC6" s="89">
        <f t="array" ref="EC6">IFERROR(INDEX(Skill!$J:$J, MATCH(EC$4, Skill!$C:$C, 0), 1), "")</f>
        <v>1</v>
      </c>
      <c r="ED6" s="94">
        <f t="array" ref="ED6">IFERROR(INDEX(Skill!$J:$J, MATCH(ED$4, Skill!$C:$C, 0), 1), "")</f>
        <v>1</v>
      </c>
      <c r="EE6" s="94"/>
      <c r="EF6" s="94"/>
      <c r="EG6" s="94"/>
      <c r="EH6" s="94"/>
      <c r="EI6" s="94"/>
      <c r="EJ6" s="94"/>
      <c r="EK6" s="94"/>
      <c r="EL6" s="94"/>
      <c r="EM6" s="94"/>
      <c r="EN6" s="94"/>
      <c r="EO6" s="94"/>
      <c r="EP6" s="94"/>
      <c r="EQ6" s="94"/>
      <c r="ER6" s="94"/>
      <c r="ES6" s="94"/>
      <c r="ET6" s="94"/>
      <c r="EU6" s="94"/>
      <c r="EV6" s="94"/>
      <c r="EW6" s="94"/>
      <c r="EX6" s="94"/>
      <c r="EY6" s="94"/>
      <c r="EZ6" s="94"/>
      <c r="FA6" s="94"/>
      <c r="FB6" s="94"/>
      <c r="FC6" s="94"/>
      <c r="FD6" s="94"/>
      <c r="FE6" s="94"/>
      <c r="FF6" s="94"/>
      <c r="FG6" s="94"/>
      <c r="FH6" s="94"/>
      <c r="FI6" s="94"/>
      <c r="FJ6" s="94"/>
      <c r="FK6" s="94"/>
      <c r="FL6" s="94"/>
      <c r="FM6" s="94"/>
      <c r="FN6" s="94"/>
      <c r="FO6" s="91"/>
    </row>
    <row r="7" hidden="1">
      <c r="B7" s="92"/>
      <c r="C7" s="93"/>
      <c r="D7" s="83"/>
      <c r="E7" s="84" t="s">
        <v>6</v>
      </c>
      <c r="F7" s="84"/>
      <c r="G7" s="84"/>
      <c r="H7" s="84"/>
      <c r="I7" s="84"/>
      <c r="J7" s="84"/>
      <c r="K7" s="94" t="b">
        <f t="array" ref="K7">IFERROR(INDEX(Skill!$H:$H, MATCH(K$4, Skill!$C:$C, 0), 1), "")</f>
        <v>1</v>
      </c>
      <c r="L7" s="94" t="b">
        <f t="array" ref="L7">IFERROR(INDEX(Skill!$H:$H, MATCH(L$4, Skill!$C:$C, 0), 1), "")</f>
        <v>1</v>
      </c>
      <c r="M7" s="94" t="b">
        <f t="array" ref="M7">IFERROR(INDEX(Skill!$H:$H, MATCH(M$4, Skill!$C:$C, 0), 1), "")</f>
        <v>1</v>
      </c>
      <c r="N7" s="94" t="b">
        <f t="array" ref="N7">IFERROR(INDEX(Skill!$H:$H, MATCH(N$4, Skill!$C:$C, 0), 1), "")</f>
        <v>1</v>
      </c>
      <c r="O7" s="94" t="b">
        <f t="array" ref="O7">IFERROR(INDEX(Skill!$H:$H, MATCH(O$4, Skill!$C:$C, 0), 1), "")</f>
        <v>1</v>
      </c>
      <c r="P7" s="94" t="b">
        <f t="array" ref="P7">IFERROR(INDEX(Skill!$H:$H, MATCH(P$4, Skill!$C:$C, 0), 1), "")</f>
        <v>1</v>
      </c>
      <c r="Q7" s="94" t="b">
        <f t="array" ref="Q7">IFERROR(INDEX(Skill!$H:$H, MATCH(Q$4, Skill!$C:$C, 0), 1), "")</f>
        <v>1</v>
      </c>
      <c r="R7" s="94" t="b">
        <f t="array" ref="R7">IFERROR(INDEX(Skill!$H:$H, MATCH(R$4, Skill!$C:$C, 0), 1), "")</f>
        <v>1</v>
      </c>
      <c r="S7" s="94" t="b">
        <f t="array" ref="S7">IFERROR(INDEX(Skill!$H:$H, MATCH(S$4, Skill!$C:$C, 0), 1), "")</f>
        <v>1</v>
      </c>
      <c r="T7" s="94" t="b">
        <f t="array" ref="T7">IFERROR(INDEX(Skill!$H:$H, MATCH(T$4, Skill!$C:$C, 0), 1), "")</f>
        <v>1</v>
      </c>
      <c r="U7" s="94" t="b">
        <f t="array" ref="U7">IFERROR(INDEX(Skill!$H:$H, MATCH(U$4, Skill!$C:$C, 0), 1), "")</f>
        <v>1</v>
      </c>
      <c r="V7" s="94" t="b">
        <f t="array" ref="V7">IFERROR(INDEX(Skill!$H:$H, MATCH(V$4, Skill!$C:$C, 0), 1), "")</f>
        <v>1</v>
      </c>
      <c r="W7" s="94" t="b">
        <f t="array" ref="W7">IFERROR(INDEX(Skill!$H:$H, MATCH(W$4, Skill!$C:$C, 0), 1), "")</f>
        <v>1</v>
      </c>
      <c r="X7" s="94" t="b">
        <f t="array" ref="X7">IFERROR(INDEX(Skill!$H:$H, MATCH(X$4, Skill!$C:$C, 0), 1), "")</f>
        <v>1</v>
      </c>
      <c r="Y7" s="94" t="b">
        <f t="array" ref="Y7">IFERROR(INDEX(Skill!$H:$H, MATCH(Y$4, Skill!$C:$C, 0), 1), "")</f>
        <v>1</v>
      </c>
      <c r="Z7" s="94" t="b">
        <f t="array" ref="Z7">IFERROR(INDEX(Skill!$H:$H, MATCH(Z$4, Skill!$C:$C, 0), 1), "")</f>
        <v>1</v>
      </c>
      <c r="AA7" s="94" t="b">
        <f t="array" ref="AA7">IFERROR(INDEX(Skill!$H:$H, MATCH(AA$4, Skill!$C:$C, 0), 1), "")</f>
        <v>1</v>
      </c>
      <c r="AB7" s="94" t="b">
        <f t="array" ref="AB7">IFERROR(INDEX(Skill!$H:$H, MATCH(AB$4, Skill!$C:$C, 0), 1), "")</f>
        <v>1</v>
      </c>
      <c r="AC7" s="94" t="b">
        <f t="array" ref="AC7">IFERROR(INDEX(Skill!$H:$H, MATCH(AC$4, Skill!$C:$C, 0), 1), "")</f>
        <v>1</v>
      </c>
      <c r="AD7" s="94" t="b">
        <f t="array" ref="AD7">IFERROR(INDEX(Skill!$H:$H, MATCH(AD$4, Skill!$C:$C, 0), 1), "")</f>
        <v>1</v>
      </c>
      <c r="AE7" s="94" t="b">
        <f t="array" ref="AE7">IFERROR(INDEX(Skill!$H:$H, MATCH(AE$4, Skill!$C:$C, 0), 1), "")</f>
        <v>1</v>
      </c>
      <c r="AF7" s="94" t="b">
        <f t="array" ref="AF7">IFERROR(INDEX(Skill!$H:$H, MATCH(AF$4, Skill!$C:$C, 0), 1), "")</f>
        <v>1</v>
      </c>
      <c r="AG7" s="94" t="str">
        <f t="array" ref="AG7">IFERROR(INDEX(Skill!$H:$H, MATCH(AG$4, Skill!$C:$C, 0), 1), "")</f>
        <v/>
      </c>
      <c r="AH7" s="94" t="b">
        <f t="array" ref="AH7">IFERROR(INDEX(Skill!$H:$H, MATCH(AH$4, Skill!$C:$C, 0), 1), "")</f>
        <v>1</v>
      </c>
      <c r="AI7" s="94" t="b">
        <f t="array" ref="AI7">IFERROR(INDEX(Skill!$H:$H, MATCH(AI$4, Skill!$C:$C, 0), 1), "")</f>
        <v>1</v>
      </c>
      <c r="AJ7" s="94" t="b">
        <f t="array" ref="AJ7">IFERROR(INDEX(Skill!$H:$H, MATCH(AJ$4, Skill!$C:$C, 0), 1), "")</f>
        <v>1</v>
      </c>
      <c r="AK7" s="94" t="b">
        <f t="array" ref="AK7">IFERROR(INDEX(Skill!$H:$H, MATCH(AK$4, Skill!$C:$C, 0), 1), "")</f>
        <v>1</v>
      </c>
      <c r="AL7" s="94" t="b">
        <f t="array" ref="AL7">IFERROR(INDEX(Skill!$H:$H, MATCH(AL$4, Skill!$C:$C, 0), 1), "")</f>
        <v>1</v>
      </c>
      <c r="AM7" s="94" t="b">
        <f t="array" ref="AM7">IFERROR(INDEX(Skill!$H:$H, MATCH(AM$4, Skill!$C:$C, 0), 1), "")</f>
        <v>1</v>
      </c>
      <c r="AN7" s="94" t="b">
        <f t="array" ref="AN7">IFERROR(INDEX(Skill!$H:$H, MATCH(AN$4, Skill!$C:$C, 0), 1), "")</f>
        <v>1</v>
      </c>
      <c r="AO7" s="94" t="b">
        <f t="array" ref="AO7">IFERROR(INDEX(Skill!$H:$H, MATCH(AO$4, Skill!$C:$C, 0), 1), "")</f>
        <v>1</v>
      </c>
      <c r="AP7" s="94" t="b">
        <f t="array" ref="AP7">IFERROR(INDEX(Skill!$H:$H, MATCH(AP$4, Skill!$C:$C, 0), 1), "")</f>
        <v>1</v>
      </c>
      <c r="AQ7" s="94" t="b">
        <f t="array" ref="AQ7">IFERROR(INDEX(Skill!$H:$H, MATCH(AQ$4, Skill!$C:$C, 0), 1), "")</f>
        <v>1</v>
      </c>
      <c r="AR7" s="94" t="b">
        <f t="array" ref="AR7">IFERROR(INDEX(Skill!$H:$H, MATCH(AR$4, Skill!$C:$C, 0), 1), "")</f>
        <v>1</v>
      </c>
      <c r="AS7" s="94" t="b">
        <f t="array" ref="AS7">IFERROR(INDEX(Skill!$H:$H, MATCH(AS$4, Skill!$C:$C, 0), 1), "")</f>
        <v>1</v>
      </c>
      <c r="AT7" s="94" t="b">
        <f t="array" ref="AT7">IFERROR(INDEX(Skill!$H:$H, MATCH(AT$4, Skill!$C:$C, 0), 1), "")</f>
        <v>0</v>
      </c>
      <c r="AU7" s="94" t="b">
        <f t="array" ref="AU7">IFERROR(INDEX(Skill!$H:$H, MATCH(AU$4, Skill!$C:$C, 0), 1), "")</f>
        <v>1</v>
      </c>
      <c r="AV7" s="94" t="b">
        <f t="array" ref="AV7">IFERROR(INDEX(Skill!$H:$H, MATCH(AV$4, Skill!$C:$C, 0), 1), "")</f>
        <v>1</v>
      </c>
      <c r="AW7" s="94" t="b">
        <f t="array" ref="AW7">IFERROR(INDEX(Skill!$H:$H, MATCH(AW$4, Skill!$C:$C, 0), 1), "")</f>
        <v>1</v>
      </c>
      <c r="AX7" s="94" t="b">
        <f t="array" ref="AX7">IFERROR(INDEX(Skill!$H:$H, MATCH(AX$4, Skill!$C:$C, 0), 1), "")</f>
        <v>1</v>
      </c>
      <c r="AY7" s="94" t="b">
        <f t="array" ref="AY7">IFERROR(INDEX(Skill!$H:$H, MATCH(AY$4, Skill!$C:$C, 0), 1), "")</f>
        <v>1</v>
      </c>
      <c r="AZ7" s="94" t="b">
        <f t="array" ref="AZ7">IFERROR(INDEX(Skill!$H:$H, MATCH(AZ$4, Skill!$C:$C, 0), 1), "")</f>
        <v>1</v>
      </c>
      <c r="BA7" s="94" t="str">
        <f t="array" ref="BA7">IFERROR(INDEX(Skill!$H:$H, MATCH(BA$4, Skill!$C:$C, 0), 1), "")</f>
        <v/>
      </c>
      <c r="BB7" s="94" t="b">
        <f t="array" ref="BB7">IFERROR(INDEX(Skill!$H:$H, MATCH(BB$4, Skill!$C:$C, 0), 1), "")</f>
        <v>1</v>
      </c>
      <c r="BC7" s="94" t="str">
        <f t="array" ref="BC7">IFERROR(INDEX(Skill!$H:$H, MATCH(BC$4, Skill!$C:$C, 0), 1), "")</f>
        <v/>
      </c>
      <c r="BD7" s="94" t="b">
        <f t="array" ref="BD7">IFERROR(INDEX(Skill!$H:$H, MATCH(BD$4, Skill!$C:$C, 0), 1), "")</f>
        <v>1</v>
      </c>
      <c r="BE7" s="94" t="b">
        <f t="array" ref="BE7">IFERROR(INDEX(Skill!$H:$H, MATCH(BE$4, Skill!$C:$C, 0), 1), "")</f>
        <v>1</v>
      </c>
      <c r="BF7" s="94" t="b">
        <f t="array" ref="BF7">IFERROR(INDEX(Skill!$H:$H, MATCH(BF$4, Skill!$C:$C, 0), 1), "")</f>
        <v>1</v>
      </c>
      <c r="BG7" s="94" t="b">
        <f t="array" ref="BG7">IFERROR(INDEX(Skill!$H:$H, MATCH(BG$4, Skill!$C:$C, 0), 1), "")</f>
        <v>1</v>
      </c>
      <c r="BH7" s="94" t="b">
        <f t="array" ref="BH7">IFERROR(INDEX(Skill!$H:$H, MATCH(BH$4, Skill!$C:$C, 0), 1), "")</f>
        <v>0</v>
      </c>
      <c r="BI7" s="94" t="b">
        <f t="array" ref="BI7">IFERROR(INDEX(Skill!$H:$H, MATCH(BI$4, Skill!$C:$C, 0), 1), "")</f>
        <v>1</v>
      </c>
      <c r="BJ7" s="94" t="b">
        <f t="array" ref="BJ7">IFERROR(INDEX(Skill!$H:$H, MATCH(BJ$4, Skill!$C:$C, 0), 1), "")</f>
        <v>1</v>
      </c>
      <c r="BK7" s="94" t="b">
        <f t="array" ref="BK7">IFERROR(INDEX(Skill!$H:$H, MATCH(BK$4, Skill!$C:$C, 0), 1), "")</f>
        <v>1</v>
      </c>
      <c r="BL7" s="94" t="b">
        <f t="array" ref="BL7">IFERROR(INDEX(Skill!$H:$H, MATCH(BL$4, Skill!$C:$C, 0), 1), "")</f>
        <v>1</v>
      </c>
      <c r="BM7" s="94" t="b">
        <f t="array" ref="BM7">IFERROR(INDEX(Skill!$H:$H, MATCH(BM$4, Skill!$C:$C, 0), 1), "")</f>
        <v>1</v>
      </c>
      <c r="BN7" s="94" t="b">
        <f t="array" ref="BN7">IFERROR(INDEX(Skill!$H:$H, MATCH(BN$4, Skill!$C:$C, 0), 1), "")</f>
        <v>1</v>
      </c>
      <c r="BO7" s="94" t="b">
        <f t="array" ref="BO7">IFERROR(INDEX(Skill!$H:$H, MATCH(BO$4, Skill!$C:$C, 0), 1), "")</f>
        <v>1</v>
      </c>
      <c r="BP7" s="94" t="b">
        <f t="array" ref="BP7">IFERROR(INDEX(Skill!$H:$H, MATCH(BP$4, Skill!$C:$C, 0), 1), "")</f>
        <v>1</v>
      </c>
      <c r="BQ7" s="94" t="b">
        <f t="array" ref="BQ7">IFERROR(INDEX(Skill!$H:$H, MATCH(BQ$4, Skill!$C:$C, 0), 1), "")</f>
        <v>1</v>
      </c>
      <c r="BR7" s="94" t="b">
        <f t="array" ref="BR7">IFERROR(INDEX(Skill!$H:$H, MATCH(BR$4, Skill!$C:$C, 0), 1), "")</f>
        <v>1</v>
      </c>
      <c r="BS7" s="94" t="b">
        <f t="array" ref="BS7">IFERROR(INDEX(Skill!$H:$H, MATCH(BS$4, Skill!$C:$C, 0), 1), "")</f>
        <v>1</v>
      </c>
      <c r="BT7" s="94" t="str">
        <f t="array" ref="BT7">IFERROR(INDEX(Skill!$H:$H, MATCH(BT$4, Skill!$C:$C, 0), 1), "")</f>
        <v/>
      </c>
      <c r="BU7" s="94" t="b">
        <f t="array" ref="BU7">IFERROR(INDEX(Skill!$H:$H, MATCH(BU$4, Skill!$C:$C, 0), 1), "")</f>
        <v>1</v>
      </c>
      <c r="BV7" s="94" t="b">
        <f t="array" ref="BV7">IFERROR(INDEX(Skill!$H:$H, MATCH(BV$4, Skill!$C:$C, 0), 1), "")</f>
        <v>1</v>
      </c>
      <c r="BW7" s="94" t="str">
        <f t="array" ref="BW7">IFERROR(INDEX(Skill!$H:$H, MATCH(BW$4, Skill!$C:$C, 0), 1), "")</f>
        <v/>
      </c>
      <c r="BX7" s="94" t="b">
        <f t="array" ref="BX7">IFERROR(INDEX(Skill!$H:$H, MATCH(BX$4, Skill!$C:$C, 0), 1), "")</f>
        <v>0</v>
      </c>
      <c r="BY7" s="94" t="b">
        <f t="array" ref="BY7">IFERROR(INDEX(Skill!$H:$H, MATCH(BY$4, Skill!$C:$C, 0), 1), "")</f>
        <v>1</v>
      </c>
      <c r="BZ7" s="94" t="b">
        <f t="array" ref="BZ7">IFERROR(INDEX(Skill!$H:$H, MATCH(BZ$4, Skill!$C:$C, 0), 1), "")</f>
        <v>1</v>
      </c>
      <c r="CA7" s="94" t="b">
        <f t="array" ref="CA7">IFERROR(INDEX(Skill!$H:$H, MATCH(CA$4, Skill!$C:$C, 0), 1), "")</f>
        <v>1</v>
      </c>
      <c r="CB7" s="94" t="b">
        <f t="array" ref="CB7">IFERROR(INDEX(Skill!$H:$H, MATCH(CB$4, Skill!$C:$C, 0), 1), "")</f>
        <v>1</v>
      </c>
      <c r="CC7" s="94" t="b">
        <f t="array" ref="CC7">IFERROR(INDEX(Skill!$H:$H, MATCH(CC$4, Skill!$C:$C, 0), 1), "")</f>
        <v>0</v>
      </c>
      <c r="CD7" s="94" t="b">
        <f t="array" ref="CD7">IFERROR(INDEX(Skill!$H:$H, MATCH(CD$4, Skill!$C:$C, 0), 1), "")</f>
        <v>1</v>
      </c>
      <c r="CE7" s="94" t="b">
        <f t="array" ref="CE7">IFERROR(INDEX(Skill!$H:$H, MATCH(CE$4, Skill!$C:$C, 0), 1), "")</f>
        <v>1</v>
      </c>
      <c r="CF7" s="94" t="b">
        <f t="array" ref="CF7">IFERROR(INDEX(Skill!$H:$H, MATCH(CF$4, Skill!$C:$C, 0), 1), "")</f>
        <v>1</v>
      </c>
      <c r="CG7" s="94" t="b">
        <f t="array" ref="CG7">IFERROR(INDEX(Skill!$H:$H, MATCH(CG$4, Skill!$C:$C, 0), 1), "")</f>
        <v>1</v>
      </c>
      <c r="CH7" s="94" t="b">
        <f t="array" ref="CH7">IFERROR(INDEX(Skill!$H:$H, MATCH(CH$4, Skill!$C:$C, 0), 1), "")</f>
        <v>1</v>
      </c>
      <c r="CI7" s="94" t="b">
        <f t="array" ref="CI7">IFERROR(INDEX(Skill!$H:$H, MATCH(CI$4, Skill!$C:$C, 0), 1), "")</f>
        <v>1</v>
      </c>
      <c r="CJ7" s="94" t="b">
        <f t="array" ref="CJ7">IFERROR(INDEX(Skill!$H:$H, MATCH(CJ$4, Skill!$C:$C, 0), 1), "")</f>
        <v>1</v>
      </c>
      <c r="CK7" s="94" t="b">
        <f t="array" ref="CK7">IFERROR(INDEX(Skill!$H:$H, MATCH(CK$4, Skill!$C:$C, 0), 1), "")</f>
        <v>1</v>
      </c>
      <c r="CL7" s="94" t="b">
        <f t="array" ref="CL7">IFERROR(INDEX(Skill!$H:$H, MATCH(CL$4, Skill!$C:$C, 0), 1), "")</f>
        <v>0</v>
      </c>
      <c r="CM7" s="94" t="b">
        <f t="array" ref="CM7">IFERROR(INDEX(Skill!$H:$H, MATCH(CM$4, Skill!$C:$C, 0), 1), "")</f>
        <v>0</v>
      </c>
      <c r="CN7" s="94" t="b">
        <f t="array" ref="CN7">IFERROR(INDEX(Skill!$H:$H, MATCH(CN$4, Skill!$C:$C, 0), 1), "")</f>
        <v>1</v>
      </c>
      <c r="CO7" s="94" t="b">
        <f t="array" ref="CO7">IFERROR(INDEX(Skill!$H:$H, MATCH(CO$4, Skill!$C:$C, 0), 1), "")</f>
        <v>1</v>
      </c>
      <c r="CP7" s="94" t="b">
        <f t="array" ref="CP7">IFERROR(INDEX(Skill!$H:$H, MATCH(CP$4, Skill!$C:$C, 0), 1), "")</f>
        <v>0</v>
      </c>
      <c r="CQ7" s="94" t="b">
        <f t="array" ref="CQ7">IFERROR(INDEX(Skill!$H:$H, MATCH(CQ$4, Skill!$C:$C, 0), 1), "")</f>
        <v>1</v>
      </c>
      <c r="CR7" s="94" t="b">
        <f t="array" ref="CR7">IFERROR(INDEX(Skill!$H:$H, MATCH(CR$4, Skill!$C:$C, 0), 1), "")</f>
        <v>1</v>
      </c>
      <c r="CS7" s="94" t="str">
        <f t="array" ref="CS7">IFERROR(INDEX(Skill!$H:$H, MATCH(CS$4, Skill!$C:$C, 0), 1), "")</f>
        <v/>
      </c>
      <c r="CT7" s="94" t="b">
        <f t="array" ref="CT7">IFERROR(INDEX(Skill!$H:$H, MATCH(CT$4, Skill!$C:$C, 0), 1), "")</f>
        <v>1</v>
      </c>
      <c r="CU7" s="94" t="b">
        <f t="array" ref="CU7">IFERROR(INDEX(Skill!$H:$H, MATCH(CU$4, Skill!$C:$C, 0), 1), "")</f>
        <v>1</v>
      </c>
      <c r="CV7" s="94" t="b">
        <f t="array" ref="CV7">IFERROR(INDEX(Skill!$H:$H, MATCH(CV$4, Skill!$C:$C, 0), 1), "")</f>
        <v>0</v>
      </c>
      <c r="CW7" s="94" t="b">
        <f t="array" ref="CW7">IFERROR(INDEX(Skill!$H:$H, MATCH(CW$4, Skill!$C:$C, 0), 1), "")</f>
        <v>1</v>
      </c>
      <c r="CX7" s="94" t="b">
        <f t="array" ref="CX7">IFERROR(INDEX(Skill!$H:$H, MATCH(CX$4, Skill!$C:$C, 0), 1), "")</f>
        <v>1</v>
      </c>
      <c r="CY7" s="94" t="b">
        <f t="array" ref="CY7">IFERROR(INDEX(Skill!$H:$H, MATCH(CY$4, Skill!$C:$C, 0), 1), "")</f>
        <v>1</v>
      </c>
      <c r="CZ7" s="94" t="b">
        <f t="array" ref="CZ7">IFERROR(INDEX(Skill!$H:$H, MATCH(CZ$4, Skill!$C:$C, 0), 1), "")</f>
        <v>1</v>
      </c>
      <c r="DA7" s="94" t="b">
        <f t="array" ref="DA7">IFERROR(INDEX(Skill!$H:$H, MATCH(DA$4, Skill!$C:$C, 0), 1), "")</f>
        <v>1</v>
      </c>
      <c r="DB7" s="94" t="b">
        <f t="array" ref="DB7">IFERROR(INDEX(Skill!$H:$H, MATCH(DB$4, Skill!$C:$C, 0), 1), "")</f>
        <v>1</v>
      </c>
      <c r="DC7" s="94" t="b">
        <f t="array" ref="DC7">IFERROR(INDEX(Skill!$H:$H, MATCH(DC$4, Skill!$C:$C, 0), 1), "")</f>
        <v>1</v>
      </c>
      <c r="DD7" s="94" t="b">
        <f t="array" ref="DD7">IFERROR(INDEX(Skill!$H:$H, MATCH(DD$4, Skill!$C:$C, 0), 1), "")</f>
        <v>1</v>
      </c>
      <c r="DE7" s="94" t="b">
        <f t="array" ref="DE7">IFERROR(INDEX(Skill!$H:$H, MATCH(DE$4, Skill!$C:$C, 0), 1), "")</f>
        <v>1</v>
      </c>
      <c r="DF7" s="94" t="b">
        <f t="array" ref="DF7">IFERROR(INDEX(Skill!$H:$H, MATCH(DF$4, Skill!$C:$C, 0), 1), "")</f>
        <v>0</v>
      </c>
      <c r="DG7" s="94" t="b">
        <f t="array" ref="DG7">IFERROR(INDEX(Skill!$H:$H, MATCH(DG$4, Skill!$C:$C, 0), 1), "")</f>
        <v>1</v>
      </c>
      <c r="DH7" s="94" t="b">
        <f t="array" ref="DH7">IFERROR(INDEX(Skill!$H:$H, MATCH(DH$4, Skill!$C:$C, 0), 1), "")</f>
        <v>1</v>
      </c>
      <c r="DI7" s="94" t="str">
        <f t="array" ref="DI7">IFERROR(INDEX(Skill!$H:$H, MATCH(DI$4, Skill!$C:$C, 0), 1), "")</f>
        <v/>
      </c>
      <c r="DJ7" s="94" t="b">
        <f t="array" ref="DJ7">IFERROR(INDEX(Skill!$H:$H, MATCH(DJ$4, Skill!$C:$C, 0), 1), "")</f>
        <v>1</v>
      </c>
      <c r="DK7" s="94" t="b">
        <f t="array" ref="DK7">IFERROR(INDEX(Skill!$H:$H, MATCH(DK$4, Skill!$C:$C, 0), 1), "")</f>
        <v>1</v>
      </c>
      <c r="DL7" s="94" t="b">
        <f t="array" ref="DL7">IFERROR(INDEX(Skill!$H:$H, MATCH(DL$4, Skill!$C:$C, 0), 1), "")</f>
        <v>1</v>
      </c>
      <c r="DM7" s="94" t="b">
        <f t="array" ref="DM7">IFERROR(INDEX(Skill!$H:$H, MATCH(DM$4, Skill!$C:$C, 0), 1), "")</f>
        <v>1</v>
      </c>
      <c r="DN7" s="94" t="b">
        <f t="array" ref="DN7">IFERROR(INDEX(Skill!$H:$H, MATCH(DN$4, Skill!$C:$C, 0), 1), "")</f>
        <v>1</v>
      </c>
      <c r="DO7" s="94" t="b">
        <f t="array" ref="DO7">IFERROR(INDEX(Skill!$H:$H, MATCH(DO$4, Skill!$C:$C, 0), 1), "")</f>
        <v>1</v>
      </c>
      <c r="DP7" s="94" t="b">
        <f t="array" ref="DP7">IFERROR(INDEX(Skill!$H:$H, MATCH(DP$4, Skill!$C:$C, 0), 1), "")</f>
        <v>1</v>
      </c>
      <c r="DQ7" s="94" t="b">
        <f t="array" ref="DQ7">IFERROR(INDEX(Skill!$H:$H, MATCH(DQ$4, Skill!$C:$C, 0), 1), "")</f>
        <v>1</v>
      </c>
      <c r="DR7" s="94" t="b">
        <f t="array" ref="DR7">IFERROR(INDEX(Skill!$H:$H, MATCH(DR$4, Skill!$C:$C, 0), 1), "")</f>
        <v>1</v>
      </c>
      <c r="DS7" s="94" t="b">
        <f t="array" ref="DS7">IFERROR(INDEX(Skill!$H:$H, MATCH(DS$4, Skill!$C:$C, 0), 1), "")</f>
        <v>1</v>
      </c>
      <c r="DT7" s="94" t="b">
        <f t="array" ref="DT7">IFERROR(INDEX(Skill!$H:$H, MATCH(DT$4, Skill!$C:$C, 0), 1), "")</f>
        <v>1</v>
      </c>
      <c r="DU7" s="94" t="b">
        <f t="array" ref="DU7">IFERROR(INDEX(Skill!$H:$H, MATCH(DU$4, Skill!$C:$C, 0), 1), "")</f>
        <v>1</v>
      </c>
      <c r="DV7" s="94" t="b">
        <f t="array" ref="DV7">IFERROR(INDEX(Skill!$H:$H, MATCH(DV$4, Skill!$C:$C, 0), 1), "")</f>
        <v>1</v>
      </c>
      <c r="DW7" s="94" t="b">
        <f t="array" ref="DW7">IFERROR(INDEX(Skill!$H:$H, MATCH(DW$4, Skill!$C:$C, 0), 1), "")</f>
        <v>1</v>
      </c>
      <c r="DX7" s="94" t="b">
        <f t="array" ref="DX7">IFERROR(INDEX(Skill!$H:$H, MATCH(DX$4, Skill!$C:$C, 0), 1), "")</f>
        <v>1</v>
      </c>
      <c r="DY7" s="94" t="b">
        <f t="array" ref="DY7">IFERROR(INDEX(Skill!$H:$H, MATCH(DY$4, Skill!$C:$C, 0), 1), "")</f>
        <v>1</v>
      </c>
      <c r="DZ7" s="94" t="b">
        <f t="array" ref="DZ7">IFERROR(INDEX(Skill!$H:$H, MATCH(DZ$4, Skill!$C:$C, 0), 1), "")</f>
        <v>1</v>
      </c>
      <c r="EA7" s="89" t="b">
        <f t="array" ref="EA7">IFERROR(INDEX(Skill!$H:$H, MATCH(EA$4, Skill!$C:$C, 0), 1), "")</f>
        <v>1</v>
      </c>
      <c r="EB7" s="89" t="b">
        <f t="array" ref="EB7">IFERROR(INDEX(Skill!$H:$H, MATCH(EB$4, Skill!$C:$C, 0), 1), "")</f>
        <v>1</v>
      </c>
      <c r="EC7" s="89" t="b">
        <f t="array" ref="EC7">IFERROR(INDEX(Skill!$H:$H, MATCH(EC$4, Skill!$C:$C, 0), 1), "")</f>
        <v>1</v>
      </c>
      <c r="ED7" s="94" t="b">
        <f t="array" ref="ED7">IFERROR(INDEX(Skill!$H:$H, MATCH(ED$4, Skill!$C:$C, 0), 1), "")</f>
        <v>0</v>
      </c>
      <c r="EE7" s="94"/>
      <c r="EF7" s="94"/>
      <c r="EG7" s="94"/>
      <c r="EH7" s="94"/>
      <c r="EI7" s="94"/>
      <c r="EJ7" s="94"/>
      <c r="EK7" s="94"/>
      <c r="EL7" s="94"/>
      <c r="EM7" s="94"/>
      <c r="EN7" s="94"/>
      <c r="EO7" s="94"/>
      <c r="EP7" s="94"/>
      <c r="EQ7" s="94"/>
      <c r="ER7" s="94"/>
      <c r="ES7" s="94"/>
      <c r="ET7" s="94"/>
      <c r="EU7" s="94"/>
      <c r="EV7" s="94"/>
      <c r="EW7" s="94"/>
      <c r="EX7" s="94"/>
      <c r="EY7" s="94"/>
      <c r="EZ7" s="94"/>
      <c r="FA7" s="94"/>
      <c r="FB7" s="94"/>
      <c r="FC7" s="94"/>
      <c r="FD7" s="94"/>
      <c r="FE7" s="94"/>
      <c r="FF7" s="94"/>
      <c r="FG7" s="94"/>
      <c r="FH7" s="94"/>
      <c r="FI7" s="94"/>
      <c r="FJ7" s="94"/>
      <c r="FK7" s="94"/>
      <c r="FL7" s="94"/>
      <c r="FM7" s="94"/>
      <c r="FN7" s="94"/>
      <c r="FO7" s="91"/>
    </row>
    <row r="8" hidden="1">
      <c r="B8" s="92"/>
      <c r="C8" s="93"/>
      <c r="D8" s="83"/>
      <c r="E8" s="84" t="s">
        <v>1038</v>
      </c>
      <c r="F8" s="84"/>
      <c r="G8" s="84"/>
      <c r="H8" s="84"/>
      <c r="I8" s="84"/>
      <c r="J8" s="84"/>
      <c r="K8" s="94">
        <f t="array" ref="K8">IFERROR(INDEX(Skill!$F:$F, MATCH(K$4, Skill!$C:$C, 0), 1), "")</f>
        <v>15</v>
      </c>
      <c r="L8" s="94">
        <f t="array" ref="L8">IFERROR(INDEX(Skill!$F:$F, MATCH(L$4, Skill!$C:$C, 0), 1), "")</f>
        <v>18</v>
      </c>
      <c r="M8" s="94">
        <f t="array" ref="M8">IFERROR(INDEX(Skill!$F:$F, MATCH(M$4, Skill!$C:$C, 0), 1), "")</f>
        <v>30</v>
      </c>
      <c r="N8" s="94">
        <f t="array" ref="N8">IFERROR(INDEX(Skill!$F:$F, MATCH(N$4, Skill!$C:$C, 0), 1), "")</f>
        <v>8</v>
      </c>
      <c r="O8" s="94">
        <f t="array" ref="O8">IFERROR(INDEX(Skill!$F:$F, MATCH(O$4, Skill!$C:$C, 0), 1), "")</f>
        <v>20</v>
      </c>
      <c r="P8" s="94">
        <f t="array" ref="P8">IFERROR(INDEX(Skill!$F:$F, MATCH(P$4, Skill!$C:$C, 0), 1), "")</f>
        <v>10</v>
      </c>
      <c r="Q8" s="94">
        <f t="array" ref="Q8">IFERROR(INDEX(Skill!$F:$F, MATCH(Q$4, Skill!$C:$C, 0), 1), "")</f>
        <v>15</v>
      </c>
      <c r="R8" s="94">
        <f t="array" ref="R8">IFERROR(INDEX(Skill!$F:$F, MATCH(R$4, Skill!$C:$C, 0), 1), "")</f>
        <v>8</v>
      </c>
      <c r="S8" s="94">
        <f t="array" ref="S8">IFERROR(INDEX(Skill!$F:$F, MATCH(S$4, Skill!$C:$C, 0), 1), "")</f>
        <v>10</v>
      </c>
      <c r="T8" s="94">
        <f t="array" ref="T8">IFERROR(INDEX(Skill!$F:$F, MATCH(T$4, Skill!$C:$C, 0), 1), "")</f>
        <v>15</v>
      </c>
      <c r="U8" s="94">
        <f t="array" ref="U8">IFERROR(INDEX(Skill!$F:$F, MATCH(U$4, Skill!$C:$C, 0), 1), "")</f>
        <v>30</v>
      </c>
      <c r="V8" s="94">
        <f t="array" ref="V8">IFERROR(INDEX(Skill!$F:$F, MATCH(V$4, Skill!$C:$C, 0), 1), "")</f>
        <v>8</v>
      </c>
      <c r="W8" s="94">
        <f t="array" ref="W8">IFERROR(INDEX(Skill!$F:$F, MATCH(W$4, Skill!$C:$C, 0), 1), "")</f>
        <v>20</v>
      </c>
      <c r="X8" s="94">
        <f t="array" ref="X8">IFERROR(INDEX(Skill!$F:$F, MATCH(X$4, Skill!$C:$C, 0), 1), "")</f>
        <v>10</v>
      </c>
      <c r="Y8" s="94">
        <f t="array" ref="Y8">IFERROR(INDEX(Skill!$F:$F, MATCH(Y$4, Skill!$C:$C, 0), 1), "")</f>
        <v>15</v>
      </c>
      <c r="Z8" s="94">
        <f t="array" ref="Z8">IFERROR(INDEX(Skill!$F:$F, MATCH(Z$4, Skill!$C:$C, 0), 1), "")</f>
        <v>8</v>
      </c>
      <c r="AA8" s="94">
        <f t="array" ref="AA8">IFERROR(INDEX(Skill!$F:$F, MATCH(AA$4, Skill!$C:$C, 0), 1), "")</f>
        <v>0</v>
      </c>
      <c r="AB8" s="94">
        <f t="array" ref="AB8">IFERROR(INDEX(Skill!$F:$F, MATCH(AB$4, Skill!$C:$C, 0), 1), "")</f>
        <v>10</v>
      </c>
      <c r="AC8" s="94">
        <f t="array" ref="AC8">IFERROR(INDEX(Skill!$F:$F, MATCH(AC$4, Skill!$C:$C, 0), 1), "")</f>
        <v>15</v>
      </c>
      <c r="AD8" s="94">
        <f t="array" ref="AD8">IFERROR(INDEX(Skill!$F:$F, MATCH(AD$4, Skill!$C:$C, 0), 1), "")</f>
        <v>15</v>
      </c>
      <c r="AE8" s="94">
        <f t="array" ref="AE8">IFERROR(INDEX(Skill!$F:$F, MATCH(AE$4, Skill!$C:$C, 0), 1), "")</f>
        <v>7</v>
      </c>
      <c r="AF8" s="94">
        <f t="array" ref="AF8">IFERROR(INDEX(Skill!$F:$F, MATCH(AF$4, Skill!$C:$C, 0), 1), "")</f>
        <v>10</v>
      </c>
      <c r="AG8" s="94" t="str">
        <f t="array" ref="AG8">IFERROR(INDEX(Skill!$F:$F, MATCH(AG$4, Skill!$C:$C, 0), 1), "")</f>
        <v/>
      </c>
      <c r="AH8" s="94">
        <f t="array" ref="AH8">IFERROR(INDEX(Skill!$F:$F, MATCH(AH$4, Skill!$C:$C, 0), 1), "")</f>
        <v>20</v>
      </c>
      <c r="AI8" s="94">
        <f t="array" ref="AI8">IFERROR(INDEX(Skill!$F:$F, MATCH(AI$4, Skill!$C:$C, 0), 1), "")</f>
        <v>10</v>
      </c>
      <c r="AJ8" s="94">
        <f t="array" ref="AJ8">IFERROR(INDEX(Skill!$F:$F, MATCH(AJ$4, Skill!$C:$C, 0), 1), "")</f>
        <v>15</v>
      </c>
      <c r="AK8" s="94">
        <f t="array" ref="AK8">IFERROR(INDEX(Skill!$F:$F, MATCH(AK$4, Skill!$C:$C, 0), 1), "")</f>
        <v>10</v>
      </c>
      <c r="AL8" s="94">
        <f t="array" ref="AL8">IFERROR(INDEX(Skill!$F:$F, MATCH(AL$4, Skill!$C:$C, 0), 1), "")</f>
        <v>15</v>
      </c>
      <c r="AM8" s="94">
        <f t="array" ref="AM8">IFERROR(INDEX(Skill!$F:$F, MATCH(AM$4, Skill!$C:$C, 0), 1), "")</f>
        <v>15</v>
      </c>
      <c r="AN8" s="94">
        <f t="array" ref="AN8">IFERROR(INDEX(Skill!$F:$F, MATCH(AN$4, Skill!$C:$C, 0), 1), "")</f>
        <v>8</v>
      </c>
      <c r="AO8" s="94">
        <f t="array" ref="AO8">IFERROR(INDEX(Skill!$F:$F, MATCH(AO$4, Skill!$C:$C, 0), 1), "")</f>
        <v>20</v>
      </c>
      <c r="AP8" s="94">
        <f t="array" ref="AP8">IFERROR(INDEX(Skill!$F:$F, MATCH(AP$4, Skill!$C:$C, 0), 1), "")</f>
        <v>20</v>
      </c>
      <c r="AQ8" s="94">
        <f t="array" ref="AQ8">IFERROR(INDEX(Skill!$F:$F, MATCH(AQ$4, Skill!$C:$C, 0), 1), "")</f>
        <v>15</v>
      </c>
      <c r="AR8" s="94">
        <f t="array" ref="AR8">IFERROR(INDEX(Skill!$F:$F, MATCH(AR$4, Skill!$C:$C, 0), 1), "")</f>
        <v>10</v>
      </c>
      <c r="AS8" s="94">
        <f t="array" ref="AS8">IFERROR(INDEX(Skill!$F:$F, MATCH(AS$4, Skill!$C:$C, 0), 1), "")</f>
        <v>20</v>
      </c>
      <c r="AT8" s="94">
        <f t="array" ref="AT8">IFERROR(INDEX(Skill!$F:$F, MATCH(AT$4, Skill!$C:$C, 0), 1), "")</f>
        <v>10</v>
      </c>
      <c r="AU8" s="94">
        <f t="array" ref="AU8">IFERROR(INDEX(Skill!$F:$F, MATCH(AU$4, Skill!$C:$C, 0), 1), "")</f>
        <v>10</v>
      </c>
      <c r="AV8" s="94">
        <f t="array" ref="AV8">IFERROR(INDEX(Skill!$F:$F, MATCH(AV$4, Skill!$C:$C, 0), 1), "")</f>
        <v>24</v>
      </c>
      <c r="AW8" s="94">
        <f t="array" ref="AW8">IFERROR(INDEX(Skill!$F:$F, MATCH(AW$4, Skill!$C:$C, 0), 1), "")</f>
        <v>0</v>
      </c>
      <c r="AX8" s="94">
        <f t="array" ref="AX8">IFERROR(INDEX(Skill!$F:$F, MATCH(AX$4, Skill!$C:$C, 0), 1), "")</f>
        <v>0</v>
      </c>
      <c r="AY8" s="94">
        <f t="array" ref="AY8">IFERROR(INDEX(Skill!$F:$F, MATCH(AY$4, Skill!$C:$C, 0), 1), "")</f>
        <v>8</v>
      </c>
      <c r="AZ8" s="94">
        <f t="array" ref="AZ8">IFERROR(INDEX(Skill!$F:$F, MATCH(AZ$4, Skill!$C:$C, 0), 1), "")</f>
        <v>15</v>
      </c>
      <c r="BA8" s="94" t="str">
        <f t="array" ref="BA8">IFERROR(INDEX(Skill!$F:$F, MATCH(BA$4, Skill!$C:$C, 0), 1), "")</f>
        <v/>
      </c>
      <c r="BB8" s="94">
        <f t="array" ref="BB8">IFERROR(INDEX(Skill!$F:$F, MATCH(BB$4, Skill!$C:$C, 0), 1), "")</f>
        <v>0</v>
      </c>
      <c r="BC8" s="94" t="str">
        <f t="array" ref="BC8">IFERROR(INDEX(Skill!$F:$F, MATCH(BC$4, Skill!$C:$C, 0), 1), "")</f>
        <v/>
      </c>
      <c r="BD8" s="94">
        <f t="array" ref="BD8">IFERROR(INDEX(Skill!$F:$F, MATCH(BD$4, Skill!$C:$C, 0), 1), "")</f>
        <v>0</v>
      </c>
      <c r="BE8" s="94">
        <f t="array" ref="BE8">IFERROR(INDEX(Skill!$F:$F, MATCH(BE$4, Skill!$C:$C, 0), 1), "")</f>
        <v>5</v>
      </c>
      <c r="BF8" s="94">
        <f t="array" ref="BF8">IFERROR(INDEX(Skill!$F:$F, MATCH(BF$4, Skill!$C:$C, 0), 1), "")</f>
        <v>30</v>
      </c>
      <c r="BG8" s="94">
        <f t="array" ref="BG8">IFERROR(INDEX(Skill!$F:$F, MATCH(BG$4, Skill!$C:$C, 0), 1), "")</f>
        <v>15</v>
      </c>
      <c r="BH8" s="94">
        <f t="array" ref="BH8">IFERROR(INDEX(Skill!$F:$F, MATCH(BH$4, Skill!$C:$C, 0), 1), "")</f>
        <v>15</v>
      </c>
      <c r="BI8" s="94">
        <f t="array" ref="BI8">IFERROR(INDEX(Skill!$F:$F, MATCH(BI$4, Skill!$C:$C, 0), 1), "")</f>
        <v>15</v>
      </c>
      <c r="BJ8" s="94">
        <f t="array" ref="BJ8">IFERROR(INDEX(Skill!$F:$F, MATCH(BJ$4, Skill!$C:$C, 0), 1), "")</f>
        <v>0</v>
      </c>
      <c r="BK8" s="94">
        <f t="array" ref="BK8">IFERROR(INDEX(Skill!$F:$F, MATCH(BK$4, Skill!$C:$C, 0), 1), "")</f>
        <v>10</v>
      </c>
      <c r="BL8" s="94">
        <f t="array" ref="BL8">IFERROR(INDEX(Skill!$F:$F, MATCH(BL$4, Skill!$C:$C, 0), 1), "")</f>
        <v>0</v>
      </c>
      <c r="BM8" s="94">
        <f t="array" ref="BM8">IFERROR(INDEX(Skill!$F:$F, MATCH(BM$4, Skill!$C:$C, 0), 1), "")</f>
        <v>0</v>
      </c>
      <c r="BN8" s="94">
        <f t="array" ref="BN8">IFERROR(INDEX(Skill!$F:$F, MATCH(BN$4, Skill!$C:$C, 0), 1), "")</f>
        <v>0</v>
      </c>
      <c r="BO8" s="94">
        <f t="array" ref="BO8">IFERROR(INDEX(Skill!$F:$F, MATCH(BO$4, Skill!$C:$C, 0), 1), "")</f>
        <v>15</v>
      </c>
      <c r="BP8" s="94">
        <f t="array" ref="BP8">IFERROR(INDEX(Skill!$F:$F, MATCH(BP$4, Skill!$C:$C, 0), 1), "")</f>
        <v>30</v>
      </c>
      <c r="BQ8" s="94">
        <f t="array" ref="BQ8">IFERROR(INDEX(Skill!$F:$F, MATCH(BQ$4, Skill!$C:$C, 0), 1), "")</f>
        <v>15</v>
      </c>
      <c r="BR8" s="94">
        <f t="array" ref="BR8">IFERROR(INDEX(Skill!$F:$F, MATCH(BR$4, Skill!$C:$C, 0), 1), "")</f>
        <v>15</v>
      </c>
      <c r="BS8" s="94">
        <f t="array" ref="BS8">IFERROR(INDEX(Skill!$F:$F, MATCH(BS$4, Skill!$C:$C, 0), 1), "")</f>
        <v>0</v>
      </c>
      <c r="BT8" s="94" t="str">
        <f t="array" ref="BT8">IFERROR(INDEX(Skill!$F:$F, MATCH(BT$4, Skill!$C:$C, 0), 1), "")</f>
        <v/>
      </c>
      <c r="BU8" s="94">
        <f t="array" ref="BU8">IFERROR(INDEX(Skill!$F:$F, MATCH(BU$4, Skill!$C:$C, 0), 1), "")</f>
        <v>8</v>
      </c>
      <c r="BV8" s="94">
        <f t="array" ref="BV8">IFERROR(INDEX(Skill!$F:$F, MATCH(BV$4, Skill!$C:$C, 0), 1), "")</f>
        <v>30</v>
      </c>
      <c r="BW8" s="94" t="str">
        <f t="array" ref="BW8">IFERROR(INDEX(Skill!$F:$F, MATCH(BW$4, Skill!$C:$C, 0), 1), "")</f>
        <v/>
      </c>
      <c r="BX8" s="94">
        <f t="array" ref="BX8">IFERROR(INDEX(Skill!$F:$F, MATCH(BX$4, Skill!$C:$C, 0), 1), "")</f>
        <v>15</v>
      </c>
      <c r="BY8" s="94">
        <f t="array" ref="BY8">IFERROR(INDEX(Skill!$F:$F, MATCH(BY$4, Skill!$C:$C, 0), 1), "")</f>
        <v>20</v>
      </c>
      <c r="BZ8" s="94">
        <f t="array" ref="BZ8">IFERROR(INDEX(Skill!$F:$F, MATCH(BZ$4, Skill!$C:$C, 0), 1), "")</f>
        <v>15</v>
      </c>
      <c r="CA8" s="94">
        <f t="array" ref="CA8">IFERROR(INDEX(Skill!$F:$F, MATCH(CA$4, Skill!$C:$C, 0), 1), "")</f>
        <v>20</v>
      </c>
      <c r="CB8" s="94">
        <f t="array" ref="CB8">IFERROR(INDEX(Skill!$F:$F, MATCH(CB$4, Skill!$C:$C, 0), 1), "")</f>
        <v>0</v>
      </c>
      <c r="CC8" s="94">
        <f t="array" ref="CC8">IFERROR(INDEX(Skill!$F:$F, MATCH(CC$4, Skill!$C:$C, 0), 1), "")</f>
        <v>30</v>
      </c>
      <c r="CD8" s="94">
        <f t="array" ref="CD8">IFERROR(INDEX(Skill!$F:$F, MATCH(CD$4, Skill!$C:$C, 0), 1), "")</f>
        <v>21</v>
      </c>
      <c r="CE8" s="94">
        <f t="array" ref="CE8">IFERROR(INDEX(Skill!$F:$F, MATCH(CE$4, Skill!$C:$C, 0), 1), "")</f>
        <v>0</v>
      </c>
      <c r="CF8" s="94">
        <f t="array" ref="CF8">IFERROR(INDEX(Skill!$F:$F, MATCH(CF$4, Skill!$C:$C, 0), 1), "")</f>
        <v>0</v>
      </c>
      <c r="CG8" s="94">
        <f t="array" ref="CG8">IFERROR(INDEX(Skill!$F:$F, MATCH(CG$4, Skill!$C:$C, 0), 1), "")</f>
        <v>22</v>
      </c>
      <c r="CH8" s="94">
        <f t="array" ref="CH8">IFERROR(INDEX(Skill!$F:$F, MATCH(CH$4, Skill!$C:$C, 0), 1), "")</f>
        <v>0</v>
      </c>
      <c r="CI8" s="94">
        <f t="array" ref="CI8">IFERROR(INDEX(Skill!$F:$F, MATCH(CI$4, Skill!$C:$C, 0), 1), "")</f>
        <v>30</v>
      </c>
      <c r="CJ8" s="94">
        <f t="array" ref="CJ8">IFERROR(INDEX(Skill!$F:$F, MATCH(CJ$4, Skill!$C:$C, 0), 1), "")</f>
        <v>15</v>
      </c>
      <c r="CK8" s="94">
        <f t="array" ref="CK8">IFERROR(INDEX(Skill!$F:$F, MATCH(CK$4, Skill!$C:$C, 0), 1), "")</f>
        <v>20</v>
      </c>
      <c r="CL8" s="94">
        <f t="array" ref="CL8">IFERROR(INDEX(Skill!$F:$F, MATCH(CL$4, Skill!$C:$C, 0), 1), "")</f>
        <v>30</v>
      </c>
      <c r="CM8" s="94">
        <f t="array" ref="CM8">IFERROR(INDEX(Skill!$F:$F, MATCH(CM$4, Skill!$C:$C, 0), 1), "")</f>
        <v>30</v>
      </c>
      <c r="CN8" s="94">
        <f t="array" ref="CN8">IFERROR(INDEX(Skill!$F:$F, MATCH(CN$4, Skill!$C:$C, 0), 1), "")</f>
        <v>0</v>
      </c>
      <c r="CO8" s="94">
        <f t="array" ref="CO8">IFERROR(INDEX(Skill!$F:$F, MATCH(CO$4, Skill!$C:$C, 0), 1), "")</f>
        <v>10</v>
      </c>
      <c r="CP8" s="94">
        <f t="array" ref="CP8">IFERROR(INDEX(Skill!$F:$F, MATCH(CP$4, Skill!$C:$C, 0), 1), "")</f>
        <v>30</v>
      </c>
      <c r="CQ8" s="94">
        <f t="array" ref="CQ8">IFERROR(INDEX(Skill!$F:$F, MATCH(CQ$4, Skill!$C:$C, 0), 1), "")</f>
        <v>45</v>
      </c>
      <c r="CR8" s="94">
        <f t="array" ref="CR8">IFERROR(INDEX(Skill!$F:$F, MATCH(CR$4, Skill!$C:$C, 0), 1), "")</f>
        <v>0</v>
      </c>
      <c r="CS8" s="94" t="str">
        <f t="array" ref="CS8">IFERROR(INDEX(Skill!$F:$F, MATCH(CS$4, Skill!$C:$C, 0), 1), "")</f>
        <v/>
      </c>
      <c r="CT8" s="94">
        <f t="array" ref="CT8">IFERROR(INDEX(Skill!$F:$F, MATCH(CT$4, Skill!$C:$C, 0), 1), "")</f>
        <v>20</v>
      </c>
      <c r="CU8" s="94">
        <f t="array" ref="CU8">IFERROR(INDEX(Skill!$F:$F, MATCH(CU$4, Skill!$C:$C, 0), 1), "")</f>
        <v>15</v>
      </c>
      <c r="CV8" s="94">
        <f t="array" ref="CV8">IFERROR(INDEX(Skill!$F:$F, MATCH(CV$4, Skill!$C:$C, 0), 1), "")</f>
        <v>30</v>
      </c>
      <c r="CW8" s="94">
        <f t="array" ref="CW8">IFERROR(INDEX(Skill!$F:$F, MATCH(CW$4, Skill!$C:$C, 0), 1), "")</f>
        <v>15</v>
      </c>
      <c r="CX8" s="94">
        <f t="array" ref="CX8">IFERROR(INDEX(Skill!$F:$F, MATCH(CX$4, Skill!$C:$C, 0), 1), "")</f>
        <v>10</v>
      </c>
      <c r="CY8" s="94">
        <f t="array" ref="CY8">IFERROR(INDEX(Skill!$F:$F, MATCH(CY$4, Skill!$C:$C, 0), 1), "")</f>
        <v>15</v>
      </c>
      <c r="CZ8" s="94">
        <f t="array" ref="CZ8">IFERROR(INDEX(Skill!$F:$F, MATCH(CZ$4, Skill!$C:$C, 0), 1), "")</f>
        <v>0</v>
      </c>
      <c r="DA8" s="94">
        <f t="array" ref="DA8">IFERROR(INDEX(Skill!$F:$F, MATCH(DA$4, Skill!$C:$C, 0), 1), "")</f>
        <v>0</v>
      </c>
      <c r="DB8" s="94">
        <f t="array" ref="DB8">IFERROR(INDEX(Skill!$F:$F, MATCH(DB$4, Skill!$C:$C, 0), 1), "")</f>
        <v>0</v>
      </c>
      <c r="DC8" s="94">
        <f t="array" ref="DC8">IFERROR(INDEX(Skill!$F:$F, MATCH(DC$4, Skill!$C:$C, 0), 1), "")</f>
        <v>20</v>
      </c>
      <c r="DD8" s="94">
        <f t="array" ref="DD8">IFERROR(INDEX(Skill!$F:$F, MATCH(DD$4, Skill!$C:$C, 0), 1), "")</f>
        <v>0</v>
      </c>
      <c r="DE8" s="94">
        <f t="array" ref="DE8">IFERROR(INDEX(Skill!$F:$F, MATCH(DE$4, Skill!$C:$C, 0), 1), "")</f>
        <v>15</v>
      </c>
      <c r="DF8" s="94">
        <f t="array" ref="DF8">IFERROR(INDEX(Skill!$F:$F, MATCH(DF$4, Skill!$C:$C, 0), 1), "")</f>
        <v>30</v>
      </c>
      <c r="DG8" s="94">
        <f t="array" ref="DG8">IFERROR(INDEX(Skill!$F:$F, MATCH(DG$4, Skill!$C:$C, 0), 1), "")</f>
        <v>15</v>
      </c>
      <c r="DH8" s="94">
        <f t="array" ref="DH8">IFERROR(INDEX(Skill!$F:$F, MATCH(DH$4, Skill!$C:$C, 0), 1), "")</f>
        <v>0</v>
      </c>
      <c r="DI8" s="94" t="str">
        <f t="array" ref="DI8">IFERROR(INDEX(Skill!$F:$F, MATCH(DI$4, Skill!$C:$C, 0), 1), "")</f>
        <v/>
      </c>
      <c r="DJ8" s="94">
        <f t="array" ref="DJ8">IFERROR(INDEX(Skill!$F:$F, MATCH(DJ$4, Skill!$C:$C, 0), 1), "")</f>
        <v>15</v>
      </c>
      <c r="DK8" s="94">
        <f t="array" ref="DK8">IFERROR(INDEX(Skill!$F:$F, MATCH(DK$4, Skill!$C:$C, 0), 1), "")</f>
        <v>15</v>
      </c>
      <c r="DL8" s="94">
        <f t="array" ref="DL8">IFERROR(INDEX(Skill!$F:$F, MATCH(DL$4, Skill!$C:$C, 0), 1), "")</f>
        <v>15</v>
      </c>
      <c r="DM8" s="94">
        <f t="array" ref="DM8">IFERROR(INDEX(Skill!$F:$F, MATCH(DM$4, Skill!$C:$C, 0), 1), "")</f>
        <v>15</v>
      </c>
      <c r="DN8" s="94">
        <f t="array" ref="DN8">IFERROR(INDEX(Skill!$F:$F, MATCH(DN$4, Skill!$C:$C, 0), 1), "")</f>
        <v>15</v>
      </c>
      <c r="DO8" s="94">
        <f t="array" ref="DO8">IFERROR(INDEX(Skill!$F:$F, MATCH(DO$4, Skill!$C:$C, 0), 1), "")</f>
        <v>15</v>
      </c>
      <c r="DP8" s="94">
        <f t="array" ref="DP8">IFERROR(INDEX(Skill!$F:$F, MATCH(DP$4, Skill!$C:$C, 0), 1), "")</f>
        <v>15</v>
      </c>
      <c r="DQ8" s="94">
        <f t="array" ref="DQ8">IFERROR(INDEX(Skill!$F:$F, MATCH(DQ$4, Skill!$C:$C, 0), 1), "")</f>
        <v>15</v>
      </c>
      <c r="DR8" s="94">
        <f t="array" ref="DR8">IFERROR(INDEX(Skill!$F:$F, MATCH(DR$4, Skill!$C:$C, 0), 1), "")</f>
        <v>15</v>
      </c>
      <c r="DS8" s="94">
        <f t="array" ref="DS8">IFERROR(INDEX(Skill!$F:$F, MATCH(DS$4, Skill!$C:$C, 0), 1), "")</f>
        <v>15</v>
      </c>
      <c r="DT8" s="94">
        <f t="array" ref="DT8">IFERROR(INDEX(Skill!$F:$F, MATCH(DT$4, Skill!$C:$C, 0), 1), "")</f>
        <v>10</v>
      </c>
      <c r="DU8" s="94">
        <f t="array" ref="DU8">IFERROR(INDEX(Skill!$F:$F, MATCH(DU$4, Skill!$C:$C, 0), 1), "")</f>
        <v>15</v>
      </c>
      <c r="DV8" s="94">
        <f t="array" ref="DV8">IFERROR(INDEX(Skill!$F:$F, MATCH(DV$4, Skill!$C:$C, 0), 1), "")</f>
        <v>0</v>
      </c>
      <c r="DW8" s="94">
        <f t="array" ref="DW8">IFERROR(INDEX(Skill!$F:$F, MATCH(DW$4, Skill!$C:$C, 0), 1), "")</f>
        <v>15</v>
      </c>
      <c r="DX8" s="94">
        <f t="array" ref="DX8">IFERROR(INDEX(Skill!$F:$F, MATCH(DX$4, Skill!$C:$C, 0), 1), "")</f>
        <v>15</v>
      </c>
      <c r="DY8" s="94">
        <f t="array" ref="DY8">IFERROR(INDEX(Skill!$F:$F, MATCH(DY$4, Skill!$C:$C, 0), 1), "")</f>
        <v>15</v>
      </c>
      <c r="DZ8" s="94">
        <f t="array" ref="DZ8">IFERROR(INDEX(Skill!$F:$F, MATCH(DZ$4, Skill!$C:$C, 0), 1), "")</f>
        <v>10</v>
      </c>
      <c r="EA8" s="89">
        <f t="array" ref="EA8">IFERROR(INDEX(Skill!$F:$F, MATCH(EA$4, Skill!$C:$C, 0), 1), "")</f>
        <v>15</v>
      </c>
      <c r="EB8" s="89">
        <f t="array" ref="EB8">IFERROR(INDEX(Skill!$F:$F, MATCH(EB$4, Skill!$C:$C, 0), 1), "")</f>
        <v>10</v>
      </c>
      <c r="EC8" s="89">
        <f t="array" ref="EC8">IFERROR(INDEX(Skill!$F:$F, MATCH(EC$4, Skill!$C:$C, 0), 1), "")</f>
        <v>10</v>
      </c>
      <c r="ED8" s="94">
        <f t="array" ref="ED8">IFERROR(INDEX(Skill!$F:$F, MATCH(ED$4, Skill!$C:$C, 0), 1), "")</f>
        <v>8</v>
      </c>
      <c r="EE8" s="94"/>
      <c r="EF8" s="94"/>
      <c r="EG8" s="94"/>
      <c r="EH8" s="94"/>
      <c r="EI8" s="94"/>
      <c r="EJ8" s="94"/>
      <c r="EK8" s="94"/>
      <c r="EL8" s="94"/>
      <c r="EM8" s="94"/>
      <c r="EN8" s="94"/>
      <c r="EO8" s="94"/>
      <c r="EP8" s="94"/>
      <c r="EQ8" s="94"/>
      <c r="ER8" s="94"/>
      <c r="ES8" s="94"/>
      <c r="ET8" s="94"/>
      <c r="EU8" s="94"/>
      <c r="EV8" s="94"/>
      <c r="EW8" s="94"/>
      <c r="EX8" s="94"/>
      <c r="EY8" s="94"/>
      <c r="EZ8" s="94"/>
      <c r="FA8" s="94"/>
      <c r="FB8" s="94"/>
      <c r="FC8" s="94"/>
      <c r="FD8" s="94"/>
      <c r="FE8" s="94"/>
      <c r="FF8" s="94"/>
      <c r="FG8" s="94"/>
      <c r="FH8" s="94"/>
      <c r="FI8" s="94"/>
      <c r="FJ8" s="94"/>
      <c r="FK8" s="94"/>
      <c r="FL8" s="94"/>
      <c r="FM8" s="94"/>
      <c r="FN8" s="94"/>
      <c r="FO8" s="91"/>
    </row>
    <row r="9" hidden="1">
      <c r="B9" s="84"/>
      <c r="C9" s="83"/>
      <c r="D9" s="83"/>
      <c r="E9" s="84" t="s">
        <v>5</v>
      </c>
      <c r="F9" s="84"/>
      <c r="G9" s="84"/>
      <c r="H9" s="84"/>
      <c r="I9" s="84"/>
      <c r="J9" s="84"/>
      <c r="K9" s="94">
        <f t="array" ref="K9">IFERROR(INDEX(Skill!$G:$G, MATCH(K$4, Skill!$C:$C, 0), 1), "")</f>
        <v>60</v>
      </c>
      <c r="L9" s="94">
        <f t="array" ref="L9">IFERROR(INDEX(Skill!$G:$G, MATCH(L$4, Skill!$C:$C, 0), 1), "")</f>
        <v>120</v>
      </c>
      <c r="M9" s="94">
        <f t="array" ref="M9">IFERROR(INDEX(Skill!$G:$G, MATCH(M$4, Skill!$C:$C, 0), 1), "")</f>
        <v>90</v>
      </c>
      <c r="N9" s="94">
        <f t="array" ref="N9">IFERROR(INDEX(Skill!$G:$G, MATCH(N$4, Skill!$C:$C, 0), 1), "")</f>
        <v>10</v>
      </c>
      <c r="O9" s="94">
        <f t="array" ref="O9">IFERROR(INDEX(Skill!$G:$G, MATCH(O$4, Skill!$C:$C, 0), 1), "")</f>
        <v>90</v>
      </c>
      <c r="P9" s="94">
        <f t="array" ref="P9">IFERROR(INDEX(Skill!$G:$G, MATCH(P$4, Skill!$C:$C, 0), 1), "")</f>
        <v>90</v>
      </c>
      <c r="Q9" s="94">
        <f t="array" ref="Q9">IFERROR(INDEX(Skill!$G:$G, MATCH(Q$4, Skill!$C:$C, 0), 1), "")</f>
        <v>120</v>
      </c>
      <c r="R9" s="94">
        <f t="array" ref="R9">IFERROR(INDEX(Skill!$G:$G, MATCH(R$4, Skill!$C:$C, 0), 1), "")</f>
        <v>5</v>
      </c>
      <c r="S9" s="94">
        <f t="array" ref="S9">IFERROR(INDEX(Skill!$G:$G, MATCH(S$4, Skill!$C:$C, 0), 1), "")</f>
        <v>420</v>
      </c>
      <c r="T9" s="94">
        <f t="array" ref="T9">IFERROR(INDEX(Skill!$G:$G, MATCH(T$4, Skill!$C:$C, 0), 1), "")</f>
        <v>60</v>
      </c>
      <c r="U9" s="94">
        <f t="array" ref="U9">IFERROR(INDEX(Skill!$G:$G, MATCH(U$4, Skill!$C:$C, 0), 1), "")</f>
        <v>90</v>
      </c>
      <c r="V9" s="94">
        <f t="array" ref="V9">IFERROR(INDEX(Skill!$G:$G, MATCH(V$4, Skill!$C:$C, 0), 1), "")</f>
        <v>25</v>
      </c>
      <c r="W9" s="94">
        <f t="array" ref="W9">IFERROR(INDEX(Skill!$G:$G, MATCH(W$4, Skill!$C:$C, 0), 1), "")</f>
        <v>90</v>
      </c>
      <c r="X9" s="94">
        <f t="array" ref="X9">IFERROR(INDEX(Skill!$G:$G, MATCH(X$4, Skill!$C:$C, 0), 1), "")</f>
        <v>90</v>
      </c>
      <c r="Y9" s="94">
        <f t="array" ref="Y9">IFERROR(INDEX(Skill!$G:$G, MATCH(Y$4, Skill!$C:$C, 0), 1), "")</f>
        <v>120</v>
      </c>
      <c r="Z9" s="94">
        <f t="array" ref="Z9">IFERROR(INDEX(Skill!$G:$G, MATCH(Z$4, Skill!$C:$C, 0), 1), "")</f>
        <v>25</v>
      </c>
      <c r="AA9" s="94">
        <f t="array" ref="AA9">IFERROR(INDEX(Skill!$G:$G, MATCH(AA$4, Skill!$C:$C, 0), 1), "")</f>
        <v>60</v>
      </c>
      <c r="AB9" s="94">
        <f t="array" ref="AB9">IFERROR(INDEX(Skill!$G:$G, MATCH(AB$4, Skill!$C:$C, 0), 1), "")</f>
        <v>240</v>
      </c>
      <c r="AC9" s="94">
        <f t="array" ref="AC9">IFERROR(INDEX(Skill!$G:$G, MATCH(AC$4, Skill!$C:$C, 0), 1), "")</f>
        <v>60</v>
      </c>
      <c r="AD9" s="94">
        <f t="array" ref="AD9">IFERROR(INDEX(Skill!$G:$G, MATCH(AD$4, Skill!$C:$C, 0), 1), "")</f>
        <v>90</v>
      </c>
      <c r="AE9" s="94">
        <f t="array" ref="AE9">IFERROR(INDEX(Skill!$G:$G, MATCH(AE$4, Skill!$C:$C, 0), 1), "")</f>
        <v>15</v>
      </c>
      <c r="AF9" s="94">
        <f t="array" ref="AF9">IFERROR(INDEX(Skill!$G:$G, MATCH(AF$4, Skill!$C:$C, 0), 1), "")</f>
        <v>60</v>
      </c>
      <c r="AG9" s="94" t="str">
        <f t="array" ref="AG9">IFERROR(INDEX(Skill!$G:$G, MATCH(AG$4, Skill!$C:$C, 0), 1), "")</f>
        <v/>
      </c>
      <c r="AH9" s="94">
        <f t="array" ref="AH9">IFERROR(INDEX(Skill!$G:$G, MATCH(AH$4, Skill!$C:$C, 0), 1), "")</f>
        <v>90</v>
      </c>
      <c r="AI9" s="94">
        <f t="array" ref="AI9">IFERROR(INDEX(Skill!$G:$G, MATCH(AI$4, Skill!$C:$C, 0), 1), "")</f>
        <v>60</v>
      </c>
      <c r="AJ9" s="94">
        <f t="array" ref="AJ9">IFERROR(INDEX(Skill!$G:$G, MATCH(AJ$4, Skill!$C:$C, 0), 1), "")</f>
        <v>120</v>
      </c>
      <c r="AK9" s="94">
        <f t="array" ref="AK9">IFERROR(INDEX(Skill!$G:$G, MATCH(AK$4, Skill!$C:$C, 0), 1), "")</f>
        <v>300</v>
      </c>
      <c r="AL9" s="94">
        <f t="array" ref="AL9">IFERROR(INDEX(Skill!$G:$G, MATCH(AL$4, Skill!$C:$C, 0), 1), "")</f>
        <v>60</v>
      </c>
      <c r="AM9" s="94">
        <f t="array" ref="AM9">IFERROR(INDEX(Skill!$G:$G, MATCH(AM$4, Skill!$C:$C, 0), 1), "")</f>
        <v>90</v>
      </c>
      <c r="AN9" s="94">
        <f t="array" ref="AN9">IFERROR(INDEX(Skill!$G:$G, MATCH(AN$4, Skill!$C:$C, 0), 1), "")</f>
        <v>25</v>
      </c>
      <c r="AO9" s="94">
        <f t="array" ref="AO9">IFERROR(INDEX(Skill!$G:$G, MATCH(AO$4, Skill!$C:$C, 0), 1), "")</f>
        <v>90</v>
      </c>
      <c r="AP9" s="94">
        <f t="array" ref="AP9">IFERROR(INDEX(Skill!$G:$G, MATCH(AP$4, Skill!$C:$C, 0), 1), "")</f>
        <v>90</v>
      </c>
      <c r="AQ9" s="94">
        <f t="array" ref="AQ9">IFERROR(INDEX(Skill!$G:$G, MATCH(AQ$4, Skill!$C:$C, 0), 1), "")</f>
        <v>120</v>
      </c>
      <c r="AR9" s="94">
        <f t="array" ref="AR9">IFERROR(INDEX(Skill!$G:$G, MATCH(AR$4, Skill!$C:$C, 0), 1), "")</f>
        <v>360</v>
      </c>
      <c r="AS9" s="94">
        <f t="array" ref="AS9">IFERROR(INDEX(Skill!$G:$G, MATCH(AS$4, Skill!$C:$C, 0), 1), "")</f>
        <v>120</v>
      </c>
      <c r="AT9" s="94">
        <f t="array" ref="AT9">IFERROR(INDEX(Skill!$G:$G, MATCH(AT$4, Skill!$C:$C, 0), 1), "")</f>
        <v>1</v>
      </c>
      <c r="AU9" s="94">
        <f t="array" ref="AU9">IFERROR(INDEX(Skill!$G:$G, MATCH(AU$4, Skill!$C:$C, 0), 1), "")</f>
        <v>60</v>
      </c>
      <c r="AV9" s="94">
        <f t="array" ref="AV9">IFERROR(INDEX(Skill!$G:$G, MATCH(AV$4, Skill!$C:$C, 0), 1), "")</f>
        <v>90</v>
      </c>
      <c r="AW9" s="94">
        <f t="array" ref="AW9">IFERROR(INDEX(Skill!$G:$G, MATCH(AW$4, Skill!$C:$C, 0), 1), "")</f>
        <v>40</v>
      </c>
      <c r="AX9" s="94">
        <f t="array" ref="AX9">IFERROR(INDEX(Skill!$G:$G, MATCH(AX$4, Skill!$C:$C, 0), 1), "")</f>
        <v>180</v>
      </c>
      <c r="AY9" s="94">
        <f t="array" ref="AY9">IFERROR(INDEX(Skill!$G:$G, MATCH(AY$4, Skill!$C:$C, 0), 1), "")</f>
        <v>60</v>
      </c>
      <c r="AZ9" s="94">
        <f t="array" ref="AZ9">IFERROR(INDEX(Skill!$G:$G, MATCH(AZ$4, Skill!$C:$C, 0), 1), "")</f>
        <v>30</v>
      </c>
      <c r="BA9" s="94" t="str">
        <f t="array" ref="BA9">IFERROR(INDEX(Skill!$G:$G, MATCH(BA$4, Skill!$C:$C, 0), 1), "")</f>
        <v/>
      </c>
      <c r="BB9" s="94">
        <f t="array" ref="BB9">IFERROR(INDEX(Skill!$G:$G, MATCH(BB$4, Skill!$C:$C, 0), 1), "")</f>
        <v>60</v>
      </c>
      <c r="BC9" s="94" t="str">
        <f t="array" ref="BC9">IFERROR(INDEX(Skill!$G:$G, MATCH(BC$4, Skill!$C:$C, 0), 1), "")</f>
        <v/>
      </c>
      <c r="BD9" s="94">
        <f t="array" ref="BD9">IFERROR(INDEX(Skill!$G:$G, MATCH(BD$4, Skill!$C:$C, 0), 1), "")</f>
        <v>180</v>
      </c>
      <c r="BE9" s="94">
        <f t="array" ref="BE9">IFERROR(INDEX(Skill!$G:$G, MATCH(BE$4, Skill!$C:$C, 0), 1), "")</f>
        <v>60</v>
      </c>
      <c r="BF9" s="94">
        <f t="array" ref="BF9">IFERROR(INDEX(Skill!$G:$G, MATCH(BF$4, Skill!$C:$C, 0), 1), "")</f>
        <v>120</v>
      </c>
      <c r="BG9" s="94">
        <f t="array" ref="BG9">IFERROR(INDEX(Skill!$G:$G, MATCH(BG$4, Skill!$C:$C, 0), 1), "")</f>
        <v>1</v>
      </c>
      <c r="BH9" s="94">
        <f t="array" ref="BH9">IFERROR(INDEX(Skill!$G:$G, MATCH(BH$4, Skill!$C:$C, 0), 1), "")</f>
        <v>2.5</v>
      </c>
      <c r="BI9" s="94">
        <f t="array" ref="BI9">IFERROR(INDEX(Skill!$G:$G, MATCH(BI$4, Skill!$C:$C, 0), 1), "")</f>
        <v>60</v>
      </c>
      <c r="BJ9" s="94">
        <f t="array" ref="BJ9">IFERROR(INDEX(Skill!$G:$G, MATCH(BJ$4, Skill!$C:$C, 0), 1), "")</f>
        <v>60</v>
      </c>
      <c r="BK9" s="94">
        <f t="array" ref="BK9">IFERROR(INDEX(Skill!$G:$G, MATCH(BK$4, Skill!$C:$C, 0), 1), "")</f>
        <v>60</v>
      </c>
      <c r="BL9" s="94">
        <f t="array" ref="BL9">IFERROR(INDEX(Skill!$G:$G, MATCH(BL$4, Skill!$C:$C, 0), 1), "")</f>
        <v>180</v>
      </c>
      <c r="BM9" s="94">
        <f t="array" ref="BM9">IFERROR(INDEX(Skill!$G:$G, MATCH(BM$4, Skill!$C:$C, 0), 1), "")</f>
        <v>55</v>
      </c>
      <c r="BN9" s="94">
        <f t="array" ref="BN9">IFERROR(INDEX(Skill!$G:$G, MATCH(BN$4, Skill!$C:$C, 0), 1), "")</f>
        <v>55</v>
      </c>
      <c r="BO9" s="94">
        <f t="array" ref="BO9">IFERROR(INDEX(Skill!$G:$G, MATCH(BO$4, Skill!$C:$C, 0), 1), "")</f>
        <v>1</v>
      </c>
      <c r="BP9" s="94">
        <f t="array" ref="BP9">IFERROR(INDEX(Skill!$G:$G, MATCH(BP$4, Skill!$C:$C, 0), 1), "")</f>
        <v>1</v>
      </c>
      <c r="BQ9" s="94">
        <f t="array" ref="BQ9">IFERROR(INDEX(Skill!$G:$G, MATCH(BQ$4, Skill!$C:$C, 0), 1), "")</f>
        <v>1</v>
      </c>
      <c r="BR9" s="94">
        <f t="array" ref="BR9">IFERROR(INDEX(Skill!$G:$G, MATCH(BR$4, Skill!$C:$C, 0), 1), "")</f>
        <v>1</v>
      </c>
      <c r="BS9" s="94">
        <f t="array" ref="BS9">IFERROR(INDEX(Skill!$G:$G, MATCH(BS$4, Skill!$C:$C, 0), 1), "")</f>
        <v>40</v>
      </c>
      <c r="BT9" s="94" t="str">
        <f t="array" ref="BT9">IFERROR(INDEX(Skill!$G:$G, MATCH(BT$4, Skill!$C:$C, 0), 1), "")</f>
        <v/>
      </c>
      <c r="BU9" s="94">
        <f t="array" ref="BU9">IFERROR(INDEX(Skill!$G:$G, MATCH(BU$4, Skill!$C:$C, 0), 1), "")</f>
        <v>60</v>
      </c>
      <c r="BV9" s="94">
        <f t="array" ref="BV9">IFERROR(INDEX(Skill!$G:$G, MATCH(BV$4, Skill!$C:$C, 0), 1), "")</f>
        <v>30</v>
      </c>
      <c r="BW9" s="94" t="str">
        <f t="array" ref="BW9">IFERROR(INDEX(Skill!$G:$G, MATCH(BW$4, Skill!$C:$C, 0), 1), "")</f>
        <v/>
      </c>
      <c r="BX9" s="94">
        <f t="array" ref="BX9">IFERROR(INDEX(Skill!$G:$G, MATCH(BX$4, Skill!$C:$C, 0), 1), "")</f>
        <v>2.5</v>
      </c>
      <c r="BY9" s="94">
        <f t="array" ref="BY9">IFERROR(INDEX(Skill!$G:$G, MATCH(BY$4, Skill!$C:$C, 0), 1), "")</f>
        <v>120</v>
      </c>
      <c r="BZ9" s="94">
        <f t="array" ref="BZ9">IFERROR(INDEX(Skill!$G:$G, MATCH(BZ$4, Skill!$C:$C, 0), 1), "")</f>
        <v>30</v>
      </c>
      <c r="CA9" s="94">
        <f t="array" ref="CA9">IFERROR(INDEX(Skill!$G:$G, MATCH(CA$4, Skill!$C:$C, 0), 1), "")</f>
        <v>120</v>
      </c>
      <c r="CB9" s="94">
        <f t="array" ref="CB9">IFERROR(INDEX(Skill!$G:$G, MATCH(CB$4, Skill!$C:$C, 0), 1), "")</f>
        <v>90</v>
      </c>
      <c r="CC9" s="94">
        <f t="array" ref="CC9">IFERROR(INDEX(Skill!$G:$G, MATCH(CC$4, Skill!$C:$C, 0), 1), "")</f>
        <v>2.5</v>
      </c>
      <c r="CD9" s="94">
        <f t="array" ref="CD9">IFERROR(INDEX(Skill!$G:$G, MATCH(CD$4, Skill!$C:$C, 0), 1), "")</f>
        <v>60</v>
      </c>
      <c r="CE9" s="94">
        <f t="array" ref="CE9">IFERROR(INDEX(Skill!$G:$G, MATCH(CE$4, Skill!$C:$C, 0), 1), "")</f>
        <v>30</v>
      </c>
      <c r="CF9" s="94">
        <f t="array" ref="CF9">IFERROR(INDEX(Skill!$G:$G, MATCH(CF$4, Skill!$C:$C, 0), 1), "")</f>
        <v>60</v>
      </c>
      <c r="CG9" s="94">
        <f t="array" ref="CG9">IFERROR(INDEX(Skill!$G:$G, MATCH(CG$4, Skill!$C:$C, 0), 1), "")</f>
        <v>120</v>
      </c>
      <c r="CH9" s="94">
        <f t="array" ref="CH9">IFERROR(INDEX(Skill!$G:$G, MATCH(CH$4, Skill!$C:$C, 0), 1), "")</f>
        <v>30</v>
      </c>
      <c r="CI9" s="94">
        <f t="array" ref="CI9">IFERROR(INDEX(Skill!$G:$G, MATCH(CI$4, Skill!$C:$C, 0), 1), "")</f>
        <v>180</v>
      </c>
      <c r="CJ9" s="94">
        <f t="array" ref="CJ9">IFERROR(INDEX(Skill!$G:$G, MATCH(CJ$4, Skill!$C:$C, 0), 1), "")</f>
        <v>60</v>
      </c>
      <c r="CK9" s="94">
        <f t="array" ref="CK9">IFERROR(INDEX(Skill!$G:$G, MATCH(CK$4, Skill!$C:$C, 0), 1), "")</f>
        <v>180</v>
      </c>
      <c r="CL9" s="94">
        <f t="array" ref="CL9">IFERROR(INDEX(Skill!$G:$G, MATCH(CL$4, Skill!$C:$C, 0), 1), "")</f>
        <v>2.5</v>
      </c>
      <c r="CM9" s="94">
        <f t="array" ref="CM9">IFERROR(INDEX(Skill!$G:$G, MATCH(CM$4, Skill!$C:$C, 0), 1), "")</f>
        <v>2.5</v>
      </c>
      <c r="CN9" s="94">
        <f t="array" ref="CN9">IFERROR(INDEX(Skill!$G:$G, MATCH(CN$4, Skill!$C:$C, 0), 1), "")</f>
        <v>1</v>
      </c>
      <c r="CO9" s="94">
        <f t="array" ref="CO9">IFERROR(INDEX(Skill!$G:$G, MATCH(CO$4, Skill!$C:$C, 0), 1), "")</f>
        <v>60</v>
      </c>
      <c r="CP9" s="94">
        <f t="array" ref="CP9">IFERROR(INDEX(Skill!$G:$G, MATCH(CP$4, Skill!$C:$C, 0), 1), "")</f>
        <v>2.5</v>
      </c>
      <c r="CQ9" s="94">
        <f t="array" ref="CQ9">IFERROR(INDEX(Skill!$G:$G, MATCH(CQ$4, Skill!$C:$C, 0), 1), "")</f>
        <v>45</v>
      </c>
      <c r="CR9" s="94">
        <f t="array" ref="CR9">IFERROR(INDEX(Skill!$G:$G, MATCH(CR$4, Skill!$C:$C, 0), 1), "")</f>
        <v>60</v>
      </c>
      <c r="CS9" s="94" t="str">
        <f t="array" ref="CS9">IFERROR(INDEX(Skill!$G:$G, MATCH(CS$4, Skill!$C:$C, 0), 1), "")</f>
        <v/>
      </c>
      <c r="CT9" s="94">
        <f t="array" ref="CT9">IFERROR(INDEX(Skill!$G:$G, MATCH(CT$4, Skill!$C:$C, 0), 1), "")</f>
        <v>120</v>
      </c>
      <c r="CU9" s="94">
        <f t="array" ref="CU9">IFERROR(INDEX(Skill!$G:$G, MATCH(CU$4, Skill!$C:$C, 0), 1), "")</f>
        <v>30</v>
      </c>
      <c r="CV9" s="94">
        <f t="array" ref="CV9">IFERROR(INDEX(Skill!$G:$G, MATCH(CV$4, Skill!$C:$C, 0), 1), "")</f>
        <v>2.5</v>
      </c>
      <c r="CW9" s="94">
        <f t="array" ref="CW9">IFERROR(INDEX(Skill!$G:$G, MATCH(CW$4, Skill!$C:$C, 0), 1), "")</f>
        <v>120</v>
      </c>
      <c r="CX9" s="94">
        <f t="array" ref="CX9">IFERROR(INDEX(Skill!$G:$G, MATCH(CX$4, Skill!$C:$C, 0), 1), "")</f>
        <v>90</v>
      </c>
      <c r="CY9" s="94">
        <f t="array" ref="CY9">IFERROR(INDEX(Skill!$G:$G, MATCH(CY$4, Skill!$C:$C, 0), 1), "")</f>
        <v>60</v>
      </c>
      <c r="CZ9" s="94">
        <f t="array" ref="CZ9">IFERROR(INDEX(Skill!$G:$G, MATCH(CZ$4, Skill!$C:$C, 0), 1), "")</f>
        <v>30</v>
      </c>
      <c r="DA9" s="94">
        <f t="array" ref="DA9">IFERROR(INDEX(Skill!$G:$G, MATCH(DA$4, Skill!$C:$C, 0), 1), "")</f>
        <v>30</v>
      </c>
      <c r="DB9" s="94">
        <f t="array" ref="DB9">IFERROR(INDEX(Skill!$G:$G, MATCH(DB$4, Skill!$C:$C, 0), 1), "")</f>
        <v>120</v>
      </c>
      <c r="DC9" s="94">
        <f t="array" ref="DC9">IFERROR(INDEX(Skill!$G:$G, MATCH(DC$4, Skill!$C:$C, 0), 1), "")</f>
        <v>180</v>
      </c>
      <c r="DD9" s="94">
        <f t="array" ref="DD9">IFERROR(INDEX(Skill!$G:$G, MATCH(DD$4, Skill!$C:$C, 0), 1), "")</f>
        <v>1</v>
      </c>
      <c r="DE9" s="94">
        <f t="array" ref="DE9">IFERROR(INDEX(Skill!$G:$G, MATCH(DE$4, Skill!$C:$C, 0), 1), "")</f>
        <v>45</v>
      </c>
      <c r="DF9" s="94">
        <f t="array" ref="DF9">IFERROR(INDEX(Skill!$G:$G, MATCH(DF$4, Skill!$C:$C, 0), 1), "")</f>
        <v>2.5</v>
      </c>
      <c r="DG9" s="94">
        <f t="array" ref="DG9">IFERROR(INDEX(Skill!$G:$G, MATCH(DG$4, Skill!$C:$C, 0), 1), "")</f>
        <v>120</v>
      </c>
      <c r="DH9" s="94">
        <f t="array" ref="DH9">IFERROR(INDEX(Skill!$G:$G, MATCH(DH$4, Skill!$C:$C, 0), 1), "")</f>
        <v>90</v>
      </c>
      <c r="DI9" s="94" t="str">
        <f t="array" ref="DI9">IFERROR(INDEX(Skill!$G:$G, MATCH(DI$4, Skill!$C:$C, 0), 1), "")</f>
        <v/>
      </c>
      <c r="DJ9" s="94">
        <f t="array" ref="DJ9">IFERROR(INDEX(Skill!$G:$G, MATCH(DJ$4, Skill!$C:$C, 0), 1), "")</f>
        <v>90</v>
      </c>
      <c r="DK9" s="94">
        <f t="array" ref="DK9">IFERROR(INDEX(Skill!$G:$G, MATCH(DK$4, Skill!$C:$C, 0), 1), "")</f>
        <v>90</v>
      </c>
      <c r="DL9" s="94">
        <f t="array" ref="DL9">IFERROR(INDEX(Skill!$G:$G, MATCH(DL$4, Skill!$C:$C, 0), 1), "")</f>
        <v>90</v>
      </c>
      <c r="DM9" s="94">
        <f t="array" ref="DM9">IFERROR(INDEX(Skill!$G:$G, MATCH(DM$4, Skill!$C:$C, 0), 1), "")</f>
        <v>90</v>
      </c>
      <c r="DN9" s="94">
        <f t="array" ref="DN9">IFERROR(INDEX(Skill!$G:$G, MATCH(DN$4, Skill!$C:$C, 0), 1), "")</f>
        <v>90</v>
      </c>
      <c r="DO9" s="94">
        <f t="array" ref="DO9">IFERROR(INDEX(Skill!$G:$G, MATCH(DO$4, Skill!$C:$C, 0), 1), "")</f>
        <v>90</v>
      </c>
      <c r="DP9" s="94">
        <f t="array" ref="DP9">IFERROR(INDEX(Skill!$G:$G, MATCH(DP$4, Skill!$C:$C, 0), 1), "")</f>
        <v>90</v>
      </c>
      <c r="DQ9" s="94">
        <f t="array" ref="DQ9">IFERROR(INDEX(Skill!$G:$G, MATCH(DQ$4, Skill!$C:$C, 0), 1), "")</f>
        <v>90</v>
      </c>
      <c r="DR9" s="94">
        <f t="array" ref="DR9">IFERROR(INDEX(Skill!$G:$G, MATCH(DR$4, Skill!$C:$C, 0), 1), "")</f>
        <v>120</v>
      </c>
      <c r="DS9" s="94">
        <f t="array" ref="DS9">IFERROR(INDEX(Skill!$G:$G, MATCH(DS$4, Skill!$C:$C, 0), 1), "")</f>
        <v>90</v>
      </c>
      <c r="DT9" s="94">
        <f t="array" ref="DT9">IFERROR(INDEX(Skill!$G:$G, MATCH(DT$4, Skill!$C:$C, 0), 1), "")</f>
        <v>120</v>
      </c>
      <c r="DU9" s="94">
        <f t="array" ref="DU9">IFERROR(INDEX(Skill!$G:$G, MATCH(DU$4, Skill!$C:$C, 0), 1), "")</f>
        <v>90</v>
      </c>
      <c r="DV9" s="94">
        <f t="array" ref="DV9">IFERROR(INDEX(Skill!$G:$G, MATCH(DV$4, Skill!$C:$C, 0), 1), "")</f>
        <v>120</v>
      </c>
      <c r="DW9" s="94">
        <f t="array" ref="DW9">IFERROR(INDEX(Skill!$G:$G, MATCH(DW$4, Skill!$C:$C, 0), 1), "")</f>
        <v>90</v>
      </c>
      <c r="DX9" s="94">
        <f t="array" ref="DX9">IFERROR(INDEX(Skill!$G:$G, MATCH(DX$4, Skill!$C:$C, 0), 1), "")</f>
        <v>90</v>
      </c>
      <c r="DY9" s="94">
        <f t="array" ref="DY9">IFERROR(INDEX(Skill!$G:$G, MATCH(DY$4, Skill!$C:$C, 0), 1), "")</f>
        <v>90</v>
      </c>
      <c r="DZ9" s="94">
        <f t="array" ref="DZ9">IFERROR(INDEX(Skill!$G:$G, MATCH(DZ$4, Skill!$C:$C, 0), 1), "")</f>
        <v>120</v>
      </c>
      <c r="EA9" s="89">
        <f t="array" ref="EA9">IFERROR(INDEX(Skill!$G:$G, MATCH(EA$4, Skill!$C:$C, 0), 1), "")</f>
        <v>90</v>
      </c>
      <c r="EB9" s="89">
        <f t="array" ref="EB9">IFERROR(INDEX(Skill!$G:$G, MATCH(EB$4, Skill!$C:$C, 0), 1), "")</f>
        <v>120</v>
      </c>
      <c r="EC9" s="89">
        <f t="array" ref="EC9">IFERROR(INDEX(Skill!$G:$G, MATCH(EC$4, Skill!$C:$C, 0), 1), "")</f>
        <v>1</v>
      </c>
      <c r="ED9" s="94">
        <f t="array" ref="ED9">IFERROR(INDEX(Skill!$G:$G, MATCH(ED$4, Skill!$C:$C, 0), 1), "")</f>
        <v>2.5</v>
      </c>
      <c r="EE9" s="94"/>
      <c r="EF9" s="94"/>
      <c r="EG9" s="94"/>
      <c r="EH9" s="94"/>
      <c r="EI9" s="94"/>
      <c r="EJ9" s="94"/>
      <c r="EK9" s="94"/>
      <c r="EL9" s="94"/>
      <c r="EM9" s="94"/>
      <c r="EN9" s="94"/>
      <c r="EO9" s="94"/>
      <c r="EP9" s="94"/>
      <c r="EQ9" s="94"/>
      <c r="ER9" s="94"/>
      <c r="ES9" s="94"/>
      <c r="ET9" s="94"/>
      <c r="EU9" s="94"/>
      <c r="EV9" s="94"/>
      <c r="EW9" s="94"/>
      <c r="EX9" s="94"/>
      <c r="EY9" s="94"/>
      <c r="EZ9" s="94"/>
      <c r="FA9" s="94"/>
      <c r="FB9" s="94"/>
      <c r="FC9" s="94"/>
      <c r="FD9" s="94"/>
      <c r="FE9" s="94"/>
      <c r="FF9" s="94"/>
      <c r="FG9" s="94"/>
      <c r="FH9" s="94"/>
      <c r="FI9" s="94"/>
      <c r="FJ9" s="94"/>
      <c r="FK9" s="94"/>
      <c r="FL9" s="94"/>
      <c r="FM9" s="94"/>
      <c r="FN9" s="94"/>
      <c r="FO9" s="91"/>
    </row>
    <row r="10" hidden="1">
      <c r="A10" s="3"/>
      <c r="B10" s="90"/>
      <c r="C10" s="90"/>
      <c r="D10" s="90"/>
      <c r="E10" s="90" t="s">
        <v>11</v>
      </c>
      <c r="F10" s="90"/>
      <c r="G10" s="90"/>
      <c r="H10" s="90"/>
      <c r="I10" s="90"/>
      <c r="J10" s="90"/>
      <c r="K10" s="94">
        <f t="array" ref="K10">IFERROR(INDEX(Skill!$M:$M, MATCH(K$4, Skill!$C:$C, 0), 1), "")</f>
        <v>0.9</v>
      </c>
      <c r="L10" s="94">
        <f t="array" ref="L10">IFERROR(INDEX(Skill!$M:$M, MATCH(L$4, Skill!$C:$C, 0), 1), "")</f>
        <v>0.85</v>
      </c>
      <c r="M10" s="94" t="str">
        <f t="array" ref="M10">IFERROR(INDEX(Skill!$M:$M, MATCH(M$4, Skill!$C:$C, 0), 1), "")</f>
        <v/>
      </c>
      <c r="N10" s="94">
        <f t="array" ref="N10">IFERROR(INDEX(Skill!$M:$M, MATCH(N$4, Skill!$C:$C, 0), 1), "")</f>
        <v>0.9</v>
      </c>
      <c r="O10" s="94">
        <f t="array" ref="O10">IFERROR(INDEX(Skill!$M:$M, MATCH(O$4, Skill!$C:$C, 0), 1), "")</f>
        <v>0.8</v>
      </c>
      <c r="P10" s="94" t="str">
        <f t="array" ref="P10">IFERROR(INDEX(Skill!$M:$M, MATCH(P$4, Skill!$C:$C, 0), 1), "")</f>
        <v/>
      </c>
      <c r="Q10" s="94">
        <f t="array" ref="Q10">IFERROR(INDEX(Skill!$M:$M, MATCH(Q$4, Skill!$C:$C, 0), 1), "")</f>
        <v>0.6</v>
      </c>
      <c r="R10" s="94">
        <f t="array" ref="R10">IFERROR(INDEX(Skill!$M:$M, MATCH(R$4, Skill!$C:$C, 0), 1), "")</f>
        <v>0.85</v>
      </c>
      <c r="S10" s="94">
        <f t="array" ref="S10">IFERROR(INDEX(Skill!$M:$M, MATCH(S$4, Skill!$C:$C, 0), 1), "")</f>
        <v>0</v>
      </c>
      <c r="T10" s="94">
        <f t="array" ref="T10">IFERROR(INDEX(Skill!$M:$M, MATCH(T$4, Skill!$C:$C, 0), 1), "")</f>
        <v>0.9</v>
      </c>
      <c r="U10" s="94" t="str">
        <f t="array" ref="U10">IFERROR(INDEX(Skill!$M:$M, MATCH(U$4, Skill!$C:$C, 0), 1), "")</f>
        <v/>
      </c>
      <c r="V10" s="94">
        <f t="array" ref="V10">IFERROR(INDEX(Skill!$M:$M, MATCH(V$4, Skill!$C:$C, 0), 1), "")</f>
        <v>0.9</v>
      </c>
      <c r="W10" s="94">
        <f t="array" ref="W10">IFERROR(INDEX(Skill!$M:$M, MATCH(W$4, Skill!$C:$C, 0), 1), "")</f>
        <v>0.8</v>
      </c>
      <c r="X10" s="94" t="str">
        <f t="array" ref="X10">IFERROR(INDEX(Skill!$M:$M, MATCH(X$4, Skill!$C:$C, 0), 1), "")</f>
        <v/>
      </c>
      <c r="Y10" s="94">
        <f t="array" ref="Y10">IFERROR(INDEX(Skill!$M:$M, MATCH(Y$4, Skill!$C:$C, 0), 1), "")</f>
        <v>0.6</v>
      </c>
      <c r="Z10" s="94">
        <f t="array" ref="Z10">IFERROR(INDEX(Skill!$M:$M, MATCH(Z$4, Skill!$C:$C, 0), 1), "")</f>
        <v>0.9</v>
      </c>
      <c r="AA10" s="94" t="str">
        <f t="array" ref="AA10">IFERROR(INDEX(Skill!$M:$M, MATCH(AA$4, Skill!$C:$C, 0), 1), "")</f>
        <v/>
      </c>
      <c r="AB10" s="94">
        <f t="array" ref="AB10">IFERROR(INDEX(Skill!$M:$M, MATCH(AB$4, Skill!$C:$C, 0), 1), "")</f>
        <v>1</v>
      </c>
      <c r="AC10" s="94">
        <f t="array" ref="AC10">IFERROR(INDEX(Skill!$M:$M, MATCH(AC$4, Skill!$C:$C, 0), 1), "")</f>
        <v>0.9</v>
      </c>
      <c r="AD10" s="94">
        <f t="array" ref="AD10">IFERROR(INDEX(Skill!$M:$M, MATCH(AD$4, Skill!$C:$C, 0), 1), "")</f>
        <v>0.95</v>
      </c>
      <c r="AE10" s="94" t="str">
        <f t="array" ref="AE10">IFERROR(INDEX(Skill!$M:$M, MATCH(AE$4, Skill!$C:$C, 0), 1), "")</f>
        <v/>
      </c>
      <c r="AF10" s="94">
        <f t="array" ref="AF10">IFERROR(INDEX(Skill!$M:$M, MATCH(AF$4, Skill!$C:$C, 0), 1), "")</f>
        <v>0.9</v>
      </c>
      <c r="AG10" s="94" t="str">
        <f t="array" ref="AG10">IFERROR(INDEX(Skill!$M:$M, MATCH(AG$4, Skill!$C:$C, 0), 1), "")</f>
        <v/>
      </c>
      <c r="AH10" s="94">
        <f t="array" ref="AH10">IFERROR(INDEX(Skill!$M:$M, MATCH(AH$4, Skill!$C:$C, 0), 1), "")</f>
        <v>0.8</v>
      </c>
      <c r="AI10" s="94">
        <f t="array" ref="AI10">IFERROR(INDEX(Skill!$M:$M, MATCH(AI$4, Skill!$C:$C, 0), 1), "")</f>
        <v>0.9</v>
      </c>
      <c r="AJ10" s="94">
        <f t="array" ref="AJ10">IFERROR(INDEX(Skill!$M:$M, MATCH(AJ$4, Skill!$C:$C, 0), 1), "")</f>
        <v>0.6</v>
      </c>
      <c r="AK10" s="94">
        <f t="array" ref="AK10">IFERROR(INDEX(Skill!$M:$M, MATCH(AK$4, Skill!$C:$C, 0), 1), "")</f>
        <v>1</v>
      </c>
      <c r="AL10" s="94">
        <f t="array" ref="AL10">IFERROR(INDEX(Skill!$M:$M, MATCH(AL$4, Skill!$C:$C, 0), 1), "")</f>
        <v>0.9</v>
      </c>
      <c r="AM10" s="94">
        <f t="array" ref="AM10">IFERROR(INDEX(Skill!$M:$M, MATCH(AM$4, Skill!$C:$C, 0), 1), "")</f>
        <v>0.95</v>
      </c>
      <c r="AN10" s="94">
        <f t="array" ref="AN10">IFERROR(INDEX(Skill!$M:$M, MATCH(AN$4, Skill!$C:$C, 0), 1), "")</f>
        <v>0.85</v>
      </c>
      <c r="AO10" s="94">
        <f t="array" ref="AO10">IFERROR(INDEX(Skill!$M:$M, MATCH(AO$4, Skill!$C:$C, 0), 1), "")</f>
        <v>0.8</v>
      </c>
      <c r="AP10" s="94">
        <f t="array" ref="AP10">IFERROR(INDEX(Skill!$M:$M, MATCH(AP$4, Skill!$C:$C, 0), 1), "")</f>
        <v>0.9</v>
      </c>
      <c r="AQ10" s="94">
        <f t="array" ref="AQ10">IFERROR(INDEX(Skill!$M:$M, MATCH(AQ$4, Skill!$C:$C, 0), 1), "")</f>
        <v>0.6</v>
      </c>
      <c r="AR10" s="94">
        <f t="array" ref="AR10">IFERROR(INDEX(Skill!$M:$M, MATCH(AR$4, Skill!$C:$C, 0), 1), "")</f>
        <v>0</v>
      </c>
      <c r="AS10" s="94">
        <f t="array" ref="AS10">IFERROR(INDEX(Skill!$M:$M, MATCH(AS$4, Skill!$C:$C, 0), 1), "")</f>
        <v>0.9</v>
      </c>
      <c r="AT10" s="94" t="str">
        <f t="array" ref="AT10">IFERROR(INDEX(Skill!$M:$M, MATCH(AT$4, Skill!$C:$C, 0), 1), "")</f>
        <v/>
      </c>
      <c r="AU10" s="94" t="str">
        <f t="array" ref="AU10">IFERROR(INDEX(Skill!$M:$M, MATCH(AU$4, Skill!$C:$C, 0), 1), "")</f>
        <v/>
      </c>
      <c r="AV10" s="94" t="str">
        <f t="array" ref="AV10">IFERROR(INDEX(Skill!$M:$M, MATCH(AV$4, Skill!$C:$C, 0), 1), "")</f>
        <v/>
      </c>
      <c r="AW10" s="94" t="str">
        <f t="array" ref="AW10">IFERROR(INDEX(Skill!$M:$M, MATCH(AW$4, Skill!$C:$C, 0), 1), "")</f>
        <v/>
      </c>
      <c r="AX10" s="94" t="str">
        <f t="array" ref="AX10">IFERROR(INDEX(Skill!$M:$M, MATCH(AX$4, Skill!$C:$C, 0), 1), "")</f>
        <v/>
      </c>
      <c r="AY10" s="94">
        <f t="array" ref="AY10">IFERROR(INDEX(Skill!$M:$M, MATCH(AY$4, Skill!$C:$C, 0), 1), "")</f>
        <v>0.85</v>
      </c>
      <c r="AZ10" s="94" t="str">
        <f t="array" ref="AZ10">IFERROR(INDEX(Skill!$M:$M, MATCH(AZ$4, Skill!$C:$C, 0), 1), "")</f>
        <v/>
      </c>
      <c r="BA10" s="94" t="str">
        <f t="array" ref="BA10">IFERROR(INDEX(Skill!$M:$M, MATCH(BA$4, Skill!$C:$C, 0), 1), "")</f>
        <v/>
      </c>
      <c r="BB10" s="94" t="str">
        <f t="array" ref="BB10">IFERROR(INDEX(Skill!$M:$M, MATCH(BB$4, Skill!$C:$C, 0), 1), "")</f>
        <v/>
      </c>
      <c r="BC10" s="94" t="str">
        <f t="array" ref="BC10">IFERROR(INDEX(Skill!$M:$M, MATCH(BC$4, Skill!$C:$C, 0), 1), "")</f>
        <v/>
      </c>
      <c r="BD10" s="94" t="str">
        <f t="array" ref="BD10">IFERROR(INDEX(Skill!$M:$M, MATCH(BD$4, Skill!$C:$C, 0), 1), "")</f>
        <v/>
      </c>
      <c r="BE10" s="94">
        <f t="array" ref="BE10">IFERROR(INDEX(Skill!$M:$M, MATCH(BE$4, Skill!$C:$C, 0), 1), "")</f>
        <v>0.9</v>
      </c>
      <c r="BF10" s="94" t="str">
        <f t="array" ref="BF10">IFERROR(INDEX(Skill!$M:$M, MATCH(BF$4, Skill!$C:$C, 0), 1), "")</f>
        <v/>
      </c>
      <c r="BG10" s="94">
        <f t="array" ref="BG10">IFERROR(INDEX(Skill!$M:$M, MATCH(BG$4, Skill!$C:$C, 0), 1), "")</f>
        <v>0.9</v>
      </c>
      <c r="BH10" s="94" t="str">
        <f t="array" ref="BH10">IFERROR(INDEX(Skill!$M:$M, MATCH(BH$4, Skill!$C:$C, 0), 1), "")</f>
        <v/>
      </c>
      <c r="BI10" s="94" t="str">
        <f t="array" ref="BI10">IFERROR(INDEX(Skill!$M:$M, MATCH(BI$4, Skill!$C:$C, 0), 1), "")</f>
        <v/>
      </c>
      <c r="BJ10" s="94" t="str">
        <f t="array" ref="BJ10">IFERROR(INDEX(Skill!$M:$M, MATCH(BJ$4, Skill!$C:$C, 0), 1), "")</f>
        <v/>
      </c>
      <c r="BK10" s="94" t="str">
        <f t="array" ref="BK10">IFERROR(INDEX(Skill!$M:$M, MATCH(BK$4, Skill!$C:$C, 0), 1), "")</f>
        <v/>
      </c>
      <c r="BL10" s="94" t="str">
        <f t="array" ref="BL10">IFERROR(INDEX(Skill!$M:$M, MATCH(BL$4, Skill!$C:$C, 0), 1), "")</f>
        <v/>
      </c>
      <c r="BM10" s="94" t="str">
        <f t="array" ref="BM10">IFERROR(INDEX(Skill!$M:$M, MATCH(BM$4, Skill!$C:$C, 0), 1), "")</f>
        <v/>
      </c>
      <c r="BN10" s="94" t="str">
        <f t="array" ref="BN10">IFERROR(INDEX(Skill!$M:$M, MATCH(BN$4, Skill!$C:$C, 0), 1), "")</f>
        <v/>
      </c>
      <c r="BO10" s="94" t="str">
        <f t="array" ref="BO10">IFERROR(INDEX(Skill!$M:$M, MATCH(BO$4, Skill!$C:$C, 0), 1), "")</f>
        <v/>
      </c>
      <c r="BP10" s="94" t="str">
        <f t="array" ref="BP10">IFERROR(INDEX(Skill!$M:$M, MATCH(BP$4, Skill!$C:$C, 0), 1), "")</f>
        <v/>
      </c>
      <c r="BQ10" s="94">
        <f t="array" ref="BQ10">IFERROR(INDEX(Skill!$M:$M, MATCH(BQ$4, Skill!$C:$C, 0), 1), "")</f>
        <v>0.9</v>
      </c>
      <c r="BR10" s="94" t="str">
        <f t="array" ref="BR10">IFERROR(INDEX(Skill!$M:$M, MATCH(BR$4, Skill!$C:$C, 0), 1), "")</f>
        <v/>
      </c>
      <c r="BS10" s="94" t="str">
        <f t="array" ref="BS10">IFERROR(INDEX(Skill!$M:$M, MATCH(BS$4, Skill!$C:$C, 0), 1), "")</f>
        <v/>
      </c>
      <c r="BT10" s="94" t="str">
        <f t="array" ref="BT10">IFERROR(INDEX(Skill!$M:$M, MATCH(BT$4, Skill!$C:$C, 0), 1), "")</f>
        <v/>
      </c>
      <c r="BU10" s="94">
        <f t="array" ref="BU10">IFERROR(INDEX(Skill!$M:$M, MATCH(BU$4, Skill!$C:$C, 0), 1), "")</f>
        <v>0.9</v>
      </c>
      <c r="BV10" s="94" t="str">
        <f t="array" ref="BV10">IFERROR(INDEX(Skill!$M:$M, MATCH(BV$4, Skill!$C:$C, 0), 1), "")</f>
        <v/>
      </c>
      <c r="BW10" s="94" t="str">
        <f t="array" ref="BW10">IFERROR(INDEX(Skill!$M:$M, MATCH(BW$4, Skill!$C:$C, 0), 1), "")</f>
        <v/>
      </c>
      <c r="BX10" s="94" t="str">
        <f t="array" ref="BX10">IFERROR(INDEX(Skill!$M:$M, MATCH(BX$4, Skill!$C:$C, 0), 1), "")</f>
        <v/>
      </c>
      <c r="BY10" s="94">
        <f t="array" ref="BY10">IFERROR(INDEX(Skill!$M:$M, MATCH(BY$4, Skill!$C:$C, 0), 1), "")</f>
        <v>1</v>
      </c>
      <c r="BZ10" s="94">
        <f t="array" ref="BZ10">IFERROR(INDEX(Skill!$M:$M, MATCH(BZ$4, Skill!$C:$C, 0), 1), "")</f>
        <v>0.9</v>
      </c>
      <c r="CA10" s="94">
        <f t="array" ref="CA10">IFERROR(INDEX(Skill!$M:$M, MATCH(CA$4, Skill!$C:$C, 0), 1), "")</f>
        <v>0.9</v>
      </c>
      <c r="CB10" s="94" t="str">
        <f t="array" ref="CB10">IFERROR(INDEX(Skill!$M:$M, MATCH(CB$4, Skill!$C:$C, 0), 1), "")</f>
        <v/>
      </c>
      <c r="CC10" s="94" t="str">
        <f t="array" ref="CC10">IFERROR(INDEX(Skill!$M:$M, MATCH(CC$4, Skill!$C:$C, 0), 1), "")</f>
        <v/>
      </c>
      <c r="CD10" s="94" t="str">
        <f t="array" ref="CD10">IFERROR(INDEX(Skill!$M:$M, MATCH(CD$4, Skill!$C:$C, 0), 1), "")</f>
        <v/>
      </c>
      <c r="CE10" s="94" t="str">
        <f t="array" ref="CE10">IFERROR(INDEX(Skill!$M:$M, MATCH(CE$4, Skill!$C:$C, 0), 1), "")</f>
        <v/>
      </c>
      <c r="CF10" s="94" t="str">
        <f t="array" ref="CF10">IFERROR(INDEX(Skill!$M:$M, MATCH(CF$4, Skill!$C:$C, 0), 1), "")</f>
        <v/>
      </c>
      <c r="CG10" s="94" t="str">
        <f t="array" ref="CG10">IFERROR(INDEX(Skill!$M:$M, MATCH(CG$4, Skill!$C:$C, 0), 1), "")</f>
        <v/>
      </c>
      <c r="CH10" s="94" t="str">
        <f t="array" ref="CH10">IFERROR(INDEX(Skill!$M:$M, MATCH(CH$4, Skill!$C:$C, 0), 1), "")</f>
        <v/>
      </c>
      <c r="CI10" s="94" t="str">
        <f t="array" ref="CI10">IFERROR(INDEX(Skill!$M:$M, MATCH(CI$4, Skill!$C:$C, 0), 1), "")</f>
        <v/>
      </c>
      <c r="CJ10" s="94" t="str">
        <f t="array" ref="CJ10">IFERROR(INDEX(Skill!$M:$M, MATCH(CJ$4, Skill!$C:$C, 0), 1), "")</f>
        <v/>
      </c>
      <c r="CK10" s="94" t="str">
        <f t="array" ref="CK10">IFERROR(INDEX(Skill!$M:$M, MATCH(CK$4, Skill!$C:$C, 0), 1), "")</f>
        <v/>
      </c>
      <c r="CL10" s="94" t="str">
        <f t="array" ref="CL10">IFERROR(INDEX(Skill!$M:$M, MATCH(CL$4, Skill!$C:$C, 0), 1), "")</f>
        <v/>
      </c>
      <c r="CM10" s="94" t="str">
        <f t="array" ref="CM10">IFERROR(INDEX(Skill!$M:$M, MATCH(CM$4, Skill!$C:$C, 0), 1), "")</f>
        <v/>
      </c>
      <c r="CN10" s="94" t="str">
        <f t="array" ref="CN10">IFERROR(INDEX(Skill!$M:$M, MATCH(CN$4, Skill!$C:$C, 0), 1), "")</f>
        <v/>
      </c>
      <c r="CO10" s="94" t="str">
        <f t="array" ref="CO10">IFERROR(INDEX(Skill!$M:$M, MATCH(CO$4, Skill!$C:$C, 0), 1), "")</f>
        <v/>
      </c>
      <c r="CP10" s="94" t="str">
        <f t="array" ref="CP10">IFERROR(INDEX(Skill!$M:$M, MATCH(CP$4, Skill!$C:$C, 0), 1), "")</f>
        <v/>
      </c>
      <c r="CQ10" s="94" t="str">
        <f t="array" ref="CQ10">IFERROR(INDEX(Skill!$M:$M, MATCH(CQ$4, Skill!$C:$C, 0), 1), "")</f>
        <v/>
      </c>
      <c r="CR10" s="94" t="str">
        <f t="array" ref="CR10">IFERROR(INDEX(Skill!$M:$M, MATCH(CR$4, Skill!$C:$C, 0), 1), "")</f>
        <v/>
      </c>
      <c r="CS10" s="94" t="str">
        <f t="array" ref="CS10">IFERROR(INDEX(Skill!$M:$M, MATCH(CS$4, Skill!$C:$C, 0), 1), "")</f>
        <v/>
      </c>
      <c r="CT10" s="94">
        <f t="array" ref="CT10">IFERROR(INDEX(Skill!$M:$M, MATCH(CT$4, Skill!$C:$C, 0), 1), "")</f>
        <v>0.9</v>
      </c>
      <c r="CU10" s="94">
        <f t="array" ref="CU10">IFERROR(INDEX(Skill!$M:$M, MATCH(CU$4, Skill!$C:$C, 0), 1), "")</f>
        <v>0.9</v>
      </c>
      <c r="CV10" s="94" t="str">
        <f t="array" ref="CV10">IFERROR(INDEX(Skill!$M:$M, MATCH(CV$4, Skill!$C:$C, 0), 1), "")</f>
        <v/>
      </c>
      <c r="CW10" s="94" t="str">
        <f t="array" ref="CW10">IFERROR(INDEX(Skill!$M:$M, MATCH(CW$4, Skill!$C:$C, 0), 1), "")</f>
        <v/>
      </c>
      <c r="CX10" s="94" t="str">
        <f t="array" ref="CX10">IFERROR(INDEX(Skill!$M:$M, MATCH(CX$4, Skill!$C:$C, 0), 1), "")</f>
        <v/>
      </c>
      <c r="CY10" s="94" t="str">
        <f t="array" ref="CY10">IFERROR(INDEX(Skill!$M:$M, MATCH(CY$4, Skill!$C:$C, 0), 1), "")</f>
        <v/>
      </c>
      <c r="CZ10" s="94" t="str">
        <f t="array" ref="CZ10">IFERROR(INDEX(Skill!$M:$M, MATCH(CZ$4, Skill!$C:$C, 0), 1), "")</f>
        <v/>
      </c>
      <c r="DA10" s="94" t="str">
        <f t="array" ref="DA10">IFERROR(INDEX(Skill!$M:$M, MATCH(DA$4, Skill!$C:$C, 0), 1), "")</f>
        <v/>
      </c>
      <c r="DB10" s="94" t="str">
        <f t="array" ref="DB10">IFERROR(INDEX(Skill!$M:$M, MATCH(DB$4, Skill!$C:$C, 0), 1), "")</f>
        <v/>
      </c>
      <c r="DC10" s="94" t="str">
        <f t="array" ref="DC10">IFERROR(INDEX(Skill!$M:$M, MATCH(DC$4, Skill!$C:$C, 0), 1), "")</f>
        <v/>
      </c>
      <c r="DD10" s="94" t="str">
        <f t="array" ref="DD10">IFERROR(INDEX(Skill!$M:$M, MATCH(DD$4, Skill!$C:$C, 0), 1), "")</f>
        <v/>
      </c>
      <c r="DE10" s="94">
        <f t="array" ref="DE10">IFERROR(INDEX(Skill!$M:$M, MATCH(DE$4, Skill!$C:$C, 0), 1), "")</f>
        <v>0.9</v>
      </c>
      <c r="DF10" s="94" t="str">
        <f t="array" ref="DF10">IFERROR(INDEX(Skill!$M:$M, MATCH(DF$4, Skill!$C:$C, 0), 1), "")</f>
        <v/>
      </c>
      <c r="DG10" s="94" t="str">
        <f t="array" ref="DG10">IFERROR(INDEX(Skill!$M:$M, MATCH(DG$4, Skill!$C:$C, 0), 1), "")</f>
        <v/>
      </c>
      <c r="DH10" s="94" t="str">
        <f t="array" ref="DH10">IFERROR(INDEX(Skill!$M:$M, MATCH(DH$4, Skill!$C:$C, 0), 1), "")</f>
        <v/>
      </c>
      <c r="DI10" s="94" t="str">
        <f t="array" ref="DI10">IFERROR(INDEX(Skill!$M:$M, MATCH(DI$4, Skill!$C:$C, 0), 1), "")</f>
        <v/>
      </c>
      <c r="DJ10" s="94">
        <f t="array" ref="DJ10">IFERROR(INDEX(Skill!$M:$M, MATCH(DJ$4, Skill!$C:$C, 0), 1), "")</f>
        <v>0.9</v>
      </c>
      <c r="DK10" s="94" t="str">
        <f t="array" ref="DK10">IFERROR(INDEX(Skill!$M:$M, MATCH(DK$4, Skill!$C:$C, 0), 1), "")</f>
        <v/>
      </c>
      <c r="DL10" s="94">
        <f t="array" ref="DL10">IFERROR(INDEX(Skill!$M:$M, MATCH(DL$4, Skill!$C:$C, 0), 1), "")</f>
        <v>0.9</v>
      </c>
      <c r="DM10" s="94">
        <f t="array" ref="DM10">IFERROR(INDEX(Skill!$M:$M, MATCH(DM$4, Skill!$C:$C, 0), 1), "")</f>
        <v>0.9</v>
      </c>
      <c r="DN10" s="94">
        <f t="array" ref="DN10">IFERROR(INDEX(Skill!$M:$M, MATCH(DN$4, Skill!$C:$C, 0), 1), "")</f>
        <v>0.9</v>
      </c>
      <c r="DO10" s="94">
        <f t="array" ref="DO10">IFERROR(INDEX(Skill!$M:$M, MATCH(DO$4, Skill!$C:$C, 0), 1), "")</f>
        <v>0.9</v>
      </c>
      <c r="DP10" s="94">
        <f t="array" ref="DP10">IFERROR(INDEX(Skill!$M:$M, MATCH(DP$4, Skill!$C:$C, 0), 1), "")</f>
        <v>0.9</v>
      </c>
      <c r="DQ10" s="94">
        <f t="array" ref="DQ10">IFERROR(INDEX(Skill!$M:$M, MATCH(DQ$4, Skill!$C:$C, 0), 1), "")</f>
        <v>0.85</v>
      </c>
      <c r="DR10" s="94" t="str">
        <f t="array" ref="DR10">IFERROR(INDEX(Skill!$M:$M, MATCH(DR$4, Skill!$C:$C, 0), 1), "")</f>
        <v/>
      </c>
      <c r="DS10" s="94">
        <f t="array" ref="DS10">IFERROR(INDEX(Skill!$M:$M, MATCH(DS$4, Skill!$C:$C, 0), 1), "")</f>
        <v>0.85</v>
      </c>
      <c r="DT10" s="94">
        <f t="array" ref="DT10">IFERROR(INDEX(Skill!$M:$M, MATCH(DT$4, Skill!$C:$C, 0), 1), "")</f>
        <v>0.9</v>
      </c>
      <c r="DU10" s="94">
        <f t="array" ref="DU10">IFERROR(INDEX(Skill!$M:$M, MATCH(DU$4, Skill!$C:$C, 0), 1), "")</f>
        <v>0.85</v>
      </c>
      <c r="DV10" s="94" t="str">
        <f t="array" ref="DV10">IFERROR(INDEX(Skill!$M:$M, MATCH(DV$4, Skill!$C:$C, 0), 1), "")</f>
        <v/>
      </c>
      <c r="DW10" s="94">
        <f t="array" ref="DW10">IFERROR(INDEX(Skill!$M:$M, MATCH(DW$4, Skill!$C:$C, 0), 1), "")</f>
        <v>0.95</v>
      </c>
      <c r="DX10" s="94">
        <f t="array" ref="DX10">IFERROR(INDEX(Skill!$M:$M, MATCH(DX$4, Skill!$C:$C, 0), 1), "")</f>
        <v>0.95</v>
      </c>
      <c r="DY10" s="94">
        <f t="array" ref="DY10">IFERROR(INDEX(Skill!$M:$M, MATCH(DY$4, Skill!$C:$C, 0), 1), "")</f>
        <v>0.95</v>
      </c>
      <c r="DZ10" s="94">
        <f t="array" ref="DZ10">IFERROR(INDEX(Skill!$M:$M, MATCH(DZ$4, Skill!$C:$C, 0), 1), "")</f>
        <v>1</v>
      </c>
      <c r="EA10" s="89">
        <f t="array" ref="EA10">IFERROR(INDEX(Skill!$M:$M, MATCH(EA$4, Skill!$C:$C, 0), 1), "")</f>
        <v>0.95</v>
      </c>
      <c r="EB10" s="89" t="str">
        <f t="array" ref="EB10">IFERROR(INDEX(Skill!$M:$M, MATCH(EB$4, Skill!$C:$C, 0), 1), "")</f>
        <v/>
      </c>
      <c r="EC10" s="89" t="str">
        <f t="array" ref="EC10">IFERROR(INDEX(Skill!$M:$M, MATCH(EC$4, Skill!$C:$C, 0), 1), "")</f>
        <v/>
      </c>
      <c r="ED10" s="94">
        <f t="array" ref="ED10">IFERROR(INDEX(Skill!$M:$M, MATCH(ED$4, Skill!$C:$C, 0), 1), "")</f>
        <v>0.2</v>
      </c>
      <c r="EE10" s="98"/>
      <c r="EF10" s="98"/>
      <c r="EG10" s="98"/>
      <c r="EH10" s="98"/>
      <c r="EI10" s="98"/>
      <c r="EJ10" s="98"/>
      <c r="EK10" s="98"/>
      <c r="EL10" s="98"/>
      <c r="EM10" s="98"/>
      <c r="EN10" s="98"/>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8"/>
      <c r="FO10" s="99"/>
    </row>
    <row r="11" hidden="1">
      <c r="A11" s="3"/>
      <c r="B11" s="90"/>
      <c r="C11" s="90"/>
      <c r="D11" s="90"/>
      <c r="E11" s="90" t="s">
        <v>10</v>
      </c>
      <c r="F11" s="90"/>
      <c r="G11" s="90"/>
      <c r="H11" s="90"/>
      <c r="I11" s="90"/>
      <c r="J11" s="90"/>
      <c r="K11" s="94">
        <f t="array" ref="K11">IFERROR(INDEX(Skill!$L:$L, MATCH(K$4, Skill!$C:$C, 0), 1), "")</f>
        <v>0.9</v>
      </c>
      <c r="L11" s="94">
        <f t="array" ref="L11">IFERROR(INDEX(Skill!$L:$L, MATCH(L$4, Skill!$C:$C, 0), 1), "")</f>
        <v>0.85</v>
      </c>
      <c r="M11" s="94" t="str">
        <f t="array" ref="M11">IFERROR(INDEX(Skill!$L:$L, MATCH(M$4, Skill!$C:$C, 0), 1), "")</f>
        <v/>
      </c>
      <c r="N11" s="94">
        <f t="array" ref="N11">IFERROR(INDEX(Skill!$L:$L, MATCH(N$4, Skill!$C:$C, 0), 1), "")</f>
        <v>0.9</v>
      </c>
      <c r="O11" s="94">
        <f t="array" ref="O11">IFERROR(INDEX(Skill!$L:$L, MATCH(O$4, Skill!$C:$C, 0), 1), "")</f>
        <v>0.8</v>
      </c>
      <c r="P11" s="94" t="str">
        <f t="array" ref="P11">IFERROR(INDEX(Skill!$L:$L, MATCH(P$4, Skill!$C:$C, 0), 1), "")</f>
        <v/>
      </c>
      <c r="Q11" s="94">
        <f t="array" ref="Q11">IFERROR(INDEX(Skill!$L:$L, MATCH(Q$4, Skill!$C:$C, 0), 1), "")</f>
        <v>0.6</v>
      </c>
      <c r="R11" s="94">
        <f t="array" ref="R11">IFERROR(INDEX(Skill!$L:$L, MATCH(R$4, Skill!$C:$C, 0), 1), "")</f>
        <v>0.85</v>
      </c>
      <c r="S11" s="94">
        <f t="array" ref="S11">IFERROR(INDEX(Skill!$L:$L, MATCH(S$4, Skill!$C:$C, 0), 1), "")</f>
        <v>0</v>
      </c>
      <c r="T11" s="94">
        <f t="array" ref="T11">IFERROR(INDEX(Skill!$L:$L, MATCH(T$4, Skill!$C:$C, 0), 1), "")</f>
        <v>0.9</v>
      </c>
      <c r="U11" s="94" t="str">
        <f t="array" ref="U11">IFERROR(INDEX(Skill!$L:$L, MATCH(U$4, Skill!$C:$C, 0), 1), "")</f>
        <v/>
      </c>
      <c r="V11" s="94">
        <f t="array" ref="V11">IFERROR(INDEX(Skill!$L:$L, MATCH(V$4, Skill!$C:$C, 0), 1), "")</f>
        <v>0.9</v>
      </c>
      <c r="W11" s="94">
        <f t="array" ref="W11">IFERROR(INDEX(Skill!$L:$L, MATCH(W$4, Skill!$C:$C, 0), 1), "")</f>
        <v>0.8</v>
      </c>
      <c r="X11" s="94" t="str">
        <f t="array" ref="X11">IFERROR(INDEX(Skill!$L:$L, MATCH(X$4, Skill!$C:$C, 0), 1), "")</f>
        <v/>
      </c>
      <c r="Y11" s="94">
        <f t="array" ref="Y11">IFERROR(INDEX(Skill!$L:$L, MATCH(Y$4, Skill!$C:$C, 0), 1), "")</f>
        <v>0.6</v>
      </c>
      <c r="Z11" s="94">
        <f t="array" ref="Z11">IFERROR(INDEX(Skill!$L:$L, MATCH(Z$4, Skill!$C:$C, 0), 1), "")</f>
        <v>0.9</v>
      </c>
      <c r="AA11" s="94" t="str">
        <f t="array" ref="AA11">IFERROR(INDEX(Skill!$L:$L, MATCH(AA$4, Skill!$C:$C, 0), 1), "")</f>
        <v/>
      </c>
      <c r="AB11" s="94">
        <f t="array" ref="AB11">IFERROR(INDEX(Skill!$L:$L, MATCH(AB$4, Skill!$C:$C, 0), 1), "")</f>
        <v>1</v>
      </c>
      <c r="AC11" s="94">
        <f t="array" ref="AC11">IFERROR(INDEX(Skill!$L:$L, MATCH(AC$4, Skill!$C:$C, 0), 1), "")</f>
        <v>0.9</v>
      </c>
      <c r="AD11" s="94">
        <f t="array" ref="AD11">IFERROR(INDEX(Skill!$L:$L, MATCH(AD$4, Skill!$C:$C, 0), 1), "")</f>
        <v>0.9</v>
      </c>
      <c r="AE11" s="94" t="str">
        <f t="array" ref="AE11">IFERROR(INDEX(Skill!$L:$L, MATCH(AE$4, Skill!$C:$C, 0), 1), "")</f>
        <v/>
      </c>
      <c r="AF11" s="94">
        <f t="array" ref="AF11">IFERROR(INDEX(Skill!$L:$L, MATCH(AF$4, Skill!$C:$C, 0), 1), "")</f>
        <v>0.9</v>
      </c>
      <c r="AG11" s="94" t="str">
        <f t="array" ref="AG11">IFERROR(INDEX(Skill!$L:$L, MATCH(AG$4, Skill!$C:$C, 0), 1), "")</f>
        <v/>
      </c>
      <c r="AH11" s="94">
        <f t="array" ref="AH11">IFERROR(INDEX(Skill!$L:$L, MATCH(AH$4, Skill!$C:$C, 0), 1), "")</f>
        <v>0.8</v>
      </c>
      <c r="AI11" s="94">
        <f t="array" ref="AI11">IFERROR(INDEX(Skill!$L:$L, MATCH(AI$4, Skill!$C:$C, 0), 1), "")</f>
        <v>0.8</v>
      </c>
      <c r="AJ11" s="94">
        <f t="array" ref="AJ11">IFERROR(INDEX(Skill!$L:$L, MATCH(AJ$4, Skill!$C:$C, 0), 1), "")</f>
        <v>0.6</v>
      </c>
      <c r="AK11" s="94">
        <f t="array" ref="AK11">IFERROR(INDEX(Skill!$L:$L, MATCH(AK$4, Skill!$C:$C, 0), 1), "")</f>
        <v>1</v>
      </c>
      <c r="AL11" s="94">
        <f t="array" ref="AL11">IFERROR(INDEX(Skill!$L:$L, MATCH(AL$4, Skill!$C:$C, 0), 1), "")</f>
        <v>0.9</v>
      </c>
      <c r="AM11" s="94">
        <f t="array" ref="AM11">IFERROR(INDEX(Skill!$L:$L, MATCH(AM$4, Skill!$C:$C, 0), 1), "")</f>
        <v>0.9</v>
      </c>
      <c r="AN11" s="94">
        <f t="array" ref="AN11">IFERROR(INDEX(Skill!$L:$L, MATCH(AN$4, Skill!$C:$C, 0), 1), "")</f>
        <v>0.85</v>
      </c>
      <c r="AO11" s="94">
        <f t="array" ref="AO11">IFERROR(INDEX(Skill!$L:$L, MATCH(AO$4, Skill!$C:$C, 0), 1), "")</f>
        <v>0.8</v>
      </c>
      <c r="AP11" s="94">
        <f t="array" ref="AP11">IFERROR(INDEX(Skill!$L:$L, MATCH(AP$4, Skill!$C:$C, 0), 1), "")</f>
        <v>0.9</v>
      </c>
      <c r="AQ11" s="94">
        <f t="array" ref="AQ11">IFERROR(INDEX(Skill!$L:$L, MATCH(AQ$4, Skill!$C:$C, 0), 1), "")</f>
        <v>0.6</v>
      </c>
      <c r="AR11" s="94">
        <f t="array" ref="AR11">IFERROR(INDEX(Skill!$L:$L, MATCH(AR$4, Skill!$C:$C, 0), 1), "")</f>
        <v>0</v>
      </c>
      <c r="AS11" s="94">
        <f t="array" ref="AS11">IFERROR(INDEX(Skill!$L:$L, MATCH(AS$4, Skill!$C:$C, 0), 1), "")</f>
        <v>0.9</v>
      </c>
      <c r="AT11" s="94" t="str">
        <f t="array" ref="AT11">IFERROR(INDEX(Skill!$L:$L, MATCH(AT$4, Skill!$C:$C, 0), 1), "")</f>
        <v/>
      </c>
      <c r="AU11" s="94" t="str">
        <f t="array" ref="AU11">IFERROR(INDEX(Skill!$L:$L, MATCH(AU$4, Skill!$C:$C, 0), 1), "")</f>
        <v/>
      </c>
      <c r="AV11" s="94" t="str">
        <f t="array" ref="AV11">IFERROR(INDEX(Skill!$L:$L, MATCH(AV$4, Skill!$C:$C, 0), 1), "")</f>
        <v/>
      </c>
      <c r="AW11" s="94" t="str">
        <f t="array" ref="AW11">IFERROR(INDEX(Skill!$L:$L, MATCH(AW$4, Skill!$C:$C, 0), 1), "")</f>
        <v/>
      </c>
      <c r="AX11" s="94" t="str">
        <f t="array" ref="AX11">IFERROR(INDEX(Skill!$L:$L, MATCH(AX$4, Skill!$C:$C, 0), 1), "")</f>
        <v/>
      </c>
      <c r="AY11" s="94">
        <f t="array" ref="AY11">IFERROR(INDEX(Skill!$L:$L, MATCH(AY$4, Skill!$C:$C, 0), 1), "")</f>
        <v>0.85</v>
      </c>
      <c r="AZ11" s="94" t="str">
        <f t="array" ref="AZ11">IFERROR(INDEX(Skill!$L:$L, MATCH(AZ$4, Skill!$C:$C, 0), 1), "")</f>
        <v/>
      </c>
      <c r="BA11" s="94" t="str">
        <f t="array" ref="BA11">IFERROR(INDEX(Skill!$L:$L, MATCH(BA$4, Skill!$C:$C, 0), 1), "")</f>
        <v/>
      </c>
      <c r="BB11" s="94" t="str">
        <f t="array" ref="BB11">IFERROR(INDEX(Skill!$L:$L, MATCH(BB$4, Skill!$C:$C, 0), 1), "")</f>
        <v/>
      </c>
      <c r="BC11" s="94" t="str">
        <f t="array" ref="BC11">IFERROR(INDEX(Skill!$L:$L, MATCH(BC$4, Skill!$C:$C, 0), 1), "")</f>
        <v/>
      </c>
      <c r="BD11" s="94" t="str">
        <f t="array" ref="BD11">IFERROR(INDEX(Skill!$L:$L, MATCH(BD$4, Skill!$C:$C, 0), 1), "")</f>
        <v/>
      </c>
      <c r="BE11" s="94">
        <f t="array" ref="BE11">IFERROR(INDEX(Skill!$L:$L, MATCH(BE$4, Skill!$C:$C, 0), 1), "")</f>
        <v>0.9</v>
      </c>
      <c r="BF11" s="94" t="str">
        <f t="array" ref="BF11">IFERROR(INDEX(Skill!$L:$L, MATCH(BF$4, Skill!$C:$C, 0), 1), "")</f>
        <v/>
      </c>
      <c r="BG11" s="94">
        <f t="array" ref="BG11">IFERROR(INDEX(Skill!$L:$L, MATCH(BG$4, Skill!$C:$C, 0), 1), "")</f>
        <v>0.9</v>
      </c>
      <c r="BH11" s="94" t="str">
        <f t="array" ref="BH11">IFERROR(INDEX(Skill!$L:$L, MATCH(BH$4, Skill!$C:$C, 0), 1), "")</f>
        <v/>
      </c>
      <c r="BI11" s="94" t="str">
        <f t="array" ref="BI11">IFERROR(INDEX(Skill!$L:$L, MATCH(BI$4, Skill!$C:$C, 0), 1), "")</f>
        <v/>
      </c>
      <c r="BJ11" s="94" t="str">
        <f t="array" ref="BJ11">IFERROR(INDEX(Skill!$L:$L, MATCH(BJ$4, Skill!$C:$C, 0), 1), "")</f>
        <v/>
      </c>
      <c r="BK11" s="94" t="str">
        <f t="array" ref="BK11">IFERROR(INDEX(Skill!$L:$L, MATCH(BK$4, Skill!$C:$C, 0), 1), "")</f>
        <v/>
      </c>
      <c r="BL11" s="94" t="str">
        <f t="array" ref="BL11">IFERROR(INDEX(Skill!$L:$L, MATCH(BL$4, Skill!$C:$C, 0), 1), "")</f>
        <v/>
      </c>
      <c r="BM11" s="94" t="str">
        <f t="array" ref="BM11">IFERROR(INDEX(Skill!$L:$L, MATCH(BM$4, Skill!$C:$C, 0), 1), "")</f>
        <v/>
      </c>
      <c r="BN11" s="94" t="str">
        <f t="array" ref="BN11">IFERROR(INDEX(Skill!$L:$L, MATCH(BN$4, Skill!$C:$C, 0), 1), "")</f>
        <v/>
      </c>
      <c r="BO11" s="94" t="str">
        <f t="array" ref="BO11">IFERROR(INDEX(Skill!$L:$L, MATCH(BO$4, Skill!$C:$C, 0), 1), "")</f>
        <v/>
      </c>
      <c r="BP11" s="94" t="str">
        <f t="array" ref="BP11">IFERROR(INDEX(Skill!$L:$L, MATCH(BP$4, Skill!$C:$C, 0), 1), "")</f>
        <v/>
      </c>
      <c r="BQ11" s="94">
        <f t="array" ref="BQ11">IFERROR(INDEX(Skill!$L:$L, MATCH(BQ$4, Skill!$C:$C, 0), 1), "")</f>
        <v>0.9</v>
      </c>
      <c r="BR11" s="94" t="str">
        <f t="array" ref="BR11">IFERROR(INDEX(Skill!$L:$L, MATCH(BR$4, Skill!$C:$C, 0), 1), "")</f>
        <v/>
      </c>
      <c r="BS11" s="94" t="str">
        <f t="array" ref="BS11">IFERROR(INDEX(Skill!$L:$L, MATCH(BS$4, Skill!$C:$C, 0), 1), "")</f>
        <v/>
      </c>
      <c r="BT11" s="94" t="str">
        <f t="array" ref="BT11">IFERROR(INDEX(Skill!$L:$L, MATCH(BT$4, Skill!$C:$C, 0), 1), "")</f>
        <v/>
      </c>
      <c r="BU11" s="94">
        <f t="array" ref="BU11">IFERROR(INDEX(Skill!$L:$L, MATCH(BU$4, Skill!$C:$C, 0), 1), "")</f>
        <v>0.9</v>
      </c>
      <c r="BV11" s="94" t="str">
        <f t="array" ref="BV11">IFERROR(INDEX(Skill!$L:$L, MATCH(BV$4, Skill!$C:$C, 0), 1), "")</f>
        <v/>
      </c>
      <c r="BW11" s="94" t="str">
        <f t="array" ref="BW11">IFERROR(INDEX(Skill!$L:$L, MATCH(BW$4, Skill!$C:$C, 0), 1), "")</f>
        <v/>
      </c>
      <c r="BX11" s="94" t="str">
        <f t="array" ref="BX11">IFERROR(INDEX(Skill!$L:$L, MATCH(BX$4, Skill!$C:$C, 0), 1), "")</f>
        <v/>
      </c>
      <c r="BY11" s="94">
        <f t="array" ref="BY11">IFERROR(INDEX(Skill!$L:$L, MATCH(BY$4, Skill!$C:$C, 0), 1), "")</f>
        <v>0.95</v>
      </c>
      <c r="BZ11" s="94">
        <f t="array" ref="BZ11">IFERROR(INDEX(Skill!$L:$L, MATCH(BZ$4, Skill!$C:$C, 0), 1), "")</f>
        <v>0.9</v>
      </c>
      <c r="CA11" s="94">
        <f t="array" ref="CA11">IFERROR(INDEX(Skill!$L:$L, MATCH(CA$4, Skill!$C:$C, 0), 1), "")</f>
        <v>0.9</v>
      </c>
      <c r="CB11" s="94" t="str">
        <f t="array" ref="CB11">IFERROR(INDEX(Skill!$L:$L, MATCH(CB$4, Skill!$C:$C, 0), 1), "")</f>
        <v/>
      </c>
      <c r="CC11" s="94" t="str">
        <f t="array" ref="CC11">IFERROR(INDEX(Skill!$L:$L, MATCH(CC$4, Skill!$C:$C, 0), 1), "")</f>
        <v/>
      </c>
      <c r="CD11" s="94" t="str">
        <f t="array" ref="CD11">IFERROR(INDEX(Skill!$L:$L, MATCH(CD$4, Skill!$C:$C, 0), 1), "")</f>
        <v/>
      </c>
      <c r="CE11" s="94" t="str">
        <f t="array" ref="CE11">IFERROR(INDEX(Skill!$L:$L, MATCH(CE$4, Skill!$C:$C, 0), 1), "")</f>
        <v/>
      </c>
      <c r="CF11" s="94" t="str">
        <f t="array" ref="CF11">IFERROR(INDEX(Skill!$L:$L, MATCH(CF$4, Skill!$C:$C, 0), 1), "")</f>
        <v/>
      </c>
      <c r="CG11" s="94" t="str">
        <f t="array" ref="CG11">IFERROR(INDEX(Skill!$L:$L, MATCH(CG$4, Skill!$C:$C, 0), 1), "")</f>
        <v/>
      </c>
      <c r="CH11" s="94" t="str">
        <f t="array" ref="CH11">IFERROR(INDEX(Skill!$L:$L, MATCH(CH$4, Skill!$C:$C, 0), 1), "")</f>
        <v/>
      </c>
      <c r="CI11" s="94" t="str">
        <f t="array" ref="CI11">IFERROR(INDEX(Skill!$L:$L, MATCH(CI$4, Skill!$C:$C, 0), 1), "")</f>
        <v/>
      </c>
      <c r="CJ11" s="94" t="str">
        <f t="array" ref="CJ11">IFERROR(INDEX(Skill!$L:$L, MATCH(CJ$4, Skill!$C:$C, 0), 1), "")</f>
        <v/>
      </c>
      <c r="CK11" s="94" t="str">
        <f t="array" ref="CK11">IFERROR(INDEX(Skill!$L:$L, MATCH(CK$4, Skill!$C:$C, 0), 1), "")</f>
        <v/>
      </c>
      <c r="CL11" s="94" t="str">
        <f t="array" ref="CL11">IFERROR(INDEX(Skill!$L:$L, MATCH(CL$4, Skill!$C:$C, 0), 1), "")</f>
        <v/>
      </c>
      <c r="CM11" s="94" t="str">
        <f t="array" ref="CM11">IFERROR(INDEX(Skill!$L:$L, MATCH(CM$4, Skill!$C:$C, 0), 1), "")</f>
        <v/>
      </c>
      <c r="CN11" s="94" t="str">
        <f t="array" ref="CN11">IFERROR(INDEX(Skill!$L:$L, MATCH(CN$4, Skill!$C:$C, 0), 1), "")</f>
        <v/>
      </c>
      <c r="CO11" s="94" t="str">
        <f t="array" ref="CO11">IFERROR(INDEX(Skill!$L:$L, MATCH(CO$4, Skill!$C:$C, 0), 1), "")</f>
        <v/>
      </c>
      <c r="CP11" s="94" t="str">
        <f t="array" ref="CP11">IFERROR(INDEX(Skill!$L:$L, MATCH(CP$4, Skill!$C:$C, 0), 1), "")</f>
        <v/>
      </c>
      <c r="CQ11" s="94" t="str">
        <f t="array" ref="CQ11">IFERROR(INDEX(Skill!$L:$L, MATCH(CQ$4, Skill!$C:$C, 0), 1), "")</f>
        <v/>
      </c>
      <c r="CR11" s="94" t="str">
        <f t="array" ref="CR11">IFERROR(INDEX(Skill!$L:$L, MATCH(CR$4, Skill!$C:$C, 0), 1), "")</f>
        <v/>
      </c>
      <c r="CS11" s="94" t="str">
        <f t="array" ref="CS11">IFERROR(INDEX(Skill!$L:$L, MATCH(CS$4, Skill!$C:$C, 0), 1), "")</f>
        <v/>
      </c>
      <c r="CT11" s="94">
        <f t="array" ref="CT11">IFERROR(INDEX(Skill!$L:$L, MATCH(CT$4, Skill!$C:$C, 0), 1), "")</f>
        <v>0.9</v>
      </c>
      <c r="CU11" s="94">
        <f t="array" ref="CU11">IFERROR(INDEX(Skill!$L:$L, MATCH(CU$4, Skill!$C:$C, 0), 1), "")</f>
        <v>0.9</v>
      </c>
      <c r="CV11" s="94" t="str">
        <f t="array" ref="CV11">IFERROR(INDEX(Skill!$L:$L, MATCH(CV$4, Skill!$C:$C, 0), 1), "")</f>
        <v/>
      </c>
      <c r="CW11" s="94" t="str">
        <f t="array" ref="CW11">IFERROR(INDEX(Skill!$L:$L, MATCH(CW$4, Skill!$C:$C, 0), 1), "")</f>
        <v/>
      </c>
      <c r="CX11" s="94" t="str">
        <f t="array" ref="CX11">IFERROR(INDEX(Skill!$L:$L, MATCH(CX$4, Skill!$C:$C, 0), 1), "")</f>
        <v/>
      </c>
      <c r="CY11" s="94" t="str">
        <f t="array" ref="CY11">IFERROR(INDEX(Skill!$L:$L, MATCH(CY$4, Skill!$C:$C, 0), 1), "")</f>
        <v/>
      </c>
      <c r="CZ11" s="94" t="str">
        <f t="array" ref="CZ11">IFERROR(INDEX(Skill!$L:$L, MATCH(CZ$4, Skill!$C:$C, 0), 1), "")</f>
        <v/>
      </c>
      <c r="DA11" s="94" t="str">
        <f t="array" ref="DA11">IFERROR(INDEX(Skill!$L:$L, MATCH(DA$4, Skill!$C:$C, 0), 1), "")</f>
        <v/>
      </c>
      <c r="DB11" s="94" t="str">
        <f t="array" ref="DB11">IFERROR(INDEX(Skill!$L:$L, MATCH(DB$4, Skill!$C:$C, 0), 1), "")</f>
        <v/>
      </c>
      <c r="DC11" s="94" t="str">
        <f t="array" ref="DC11">IFERROR(INDEX(Skill!$L:$L, MATCH(DC$4, Skill!$C:$C, 0), 1), "")</f>
        <v/>
      </c>
      <c r="DD11" s="94" t="str">
        <f t="array" ref="DD11">IFERROR(INDEX(Skill!$L:$L, MATCH(DD$4, Skill!$C:$C, 0), 1), "")</f>
        <v/>
      </c>
      <c r="DE11" s="94">
        <f t="array" ref="DE11">IFERROR(INDEX(Skill!$L:$L, MATCH(DE$4, Skill!$C:$C, 0), 1), "")</f>
        <v>0.9</v>
      </c>
      <c r="DF11" s="94" t="str">
        <f t="array" ref="DF11">IFERROR(INDEX(Skill!$L:$L, MATCH(DF$4, Skill!$C:$C, 0), 1), "")</f>
        <v/>
      </c>
      <c r="DG11" s="94" t="str">
        <f t="array" ref="DG11">IFERROR(INDEX(Skill!$L:$L, MATCH(DG$4, Skill!$C:$C, 0), 1), "")</f>
        <v/>
      </c>
      <c r="DH11" s="94" t="str">
        <f t="array" ref="DH11">IFERROR(INDEX(Skill!$L:$L, MATCH(DH$4, Skill!$C:$C, 0), 1), "")</f>
        <v/>
      </c>
      <c r="DI11" s="94" t="str">
        <f t="array" ref="DI11">IFERROR(INDEX(Skill!$L:$L, MATCH(DI$4, Skill!$C:$C, 0), 1), "")</f>
        <v/>
      </c>
      <c r="DJ11" s="94">
        <f t="array" ref="DJ11">IFERROR(INDEX(Skill!$L:$L, MATCH(DJ$4, Skill!$C:$C, 0), 1), "")</f>
        <v>0.95</v>
      </c>
      <c r="DK11" s="94" t="str">
        <f t="array" ref="DK11">IFERROR(INDEX(Skill!$L:$L, MATCH(DK$4, Skill!$C:$C, 0), 1), "")</f>
        <v/>
      </c>
      <c r="DL11" s="94">
        <f t="array" ref="DL11">IFERROR(INDEX(Skill!$L:$L, MATCH(DL$4, Skill!$C:$C, 0), 1), "")</f>
        <v>0.95</v>
      </c>
      <c r="DM11" s="94">
        <f t="array" ref="DM11">IFERROR(INDEX(Skill!$L:$L, MATCH(DM$4, Skill!$C:$C, 0), 1), "")</f>
        <v>0.95</v>
      </c>
      <c r="DN11" s="94">
        <f t="array" ref="DN11">IFERROR(INDEX(Skill!$L:$L, MATCH(DN$4, Skill!$C:$C, 0), 1), "")</f>
        <v>0.95</v>
      </c>
      <c r="DO11" s="94">
        <f t="array" ref="DO11">IFERROR(INDEX(Skill!$L:$L, MATCH(DO$4, Skill!$C:$C, 0), 1), "")</f>
        <v>0.95</v>
      </c>
      <c r="DP11" s="94">
        <f t="array" ref="DP11">IFERROR(INDEX(Skill!$L:$L, MATCH(DP$4, Skill!$C:$C, 0), 1), "")</f>
        <v>0.95</v>
      </c>
      <c r="DQ11" s="94">
        <f t="array" ref="DQ11">IFERROR(INDEX(Skill!$L:$L, MATCH(DQ$4, Skill!$C:$C, 0), 1), "")</f>
        <v>0.85</v>
      </c>
      <c r="DR11" s="94" t="str">
        <f t="array" ref="DR11">IFERROR(INDEX(Skill!$L:$L, MATCH(DR$4, Skill!$C:$C, 0), 1), "")</f>
        <v/>
      </c>
      <c r="DS11" s="94">
        <f t="array" ref="DS11">IFERROR(INDEX(Skill!$L:$L, MATCH(DS$4, Skill!$C:$C, 0), 1), "")</f>
        <v>0.85</v>
      </c>
      <c r="DT11" s="94">
        <f t="array" ref="DT11">IFERROR(INDEX(Skill!$L:$L, MATCH(DT$4, Skill!$C:$C, 0), 1), "")</f>
        <v>0.9</v>
      </c>
      <c r="DU11" s="94">
        <f t="array" ref="DU11">IFERROR(INDEX(Skill!$L:$L, MATCH(DU$4, Skill!$C:$C, 0), 1), "")</f>
        <v>0.85</v>
      </c>
      <c r="DV11" s="94" t="str">
        <f t="array" ref="DV11">IFERROR(INDEX(Skill!$L:$L, MATCH(DV$4, Skill!$C:$C, 0), 1), "")</f>
        <v/>
      </c>
      <c r="DW11" s="94">
        <f t="array" ref="DW11">IFERROR(INDEX(Skill!$L:$L, MATCH(DW$4, Skill!$C:$C, 0), 1), "")</f>
        <v>0.9</v>
      </c>
      <c r="DX11" s="94">
        <f t="array" ref="DX11">IFERROR(INDEX(Skill!$L:$L, MATCH(DX$4, Skill!$C:$C, 0), 1), "")</f>
        <v>0.9</v>
      </c>
      <c r="DY11" s="94">
        <f t="array" ref="DY11">IFERROR(INDEX(Skill!$L:$L, MATCH(DY$4, Skill!$C:$C, 0), 1), "")</f>
        <v>0.9</v>
      </c>
      <c r="DZ11" s="94">
        <f t="array" ref="DZ11">IFERROR(INDEX(Skill!$L:$L, MATCH(DZ$4, Skill!$C:$C, 0), 1), "")</f>
        <v>0.9</v>
      </c>
      <c r="EA11" s="89">
        <f t="array" ref="EA11">IFERROR(INDEX(Skill!$L:$L, MATCH(EA$4, Skill!$C:$C, 0), 1), "")</f>
        <v>0.9</v>
      </c>
      <c r="EB11" s="89" t="str">
        <f t="array" ref="EB11">IFERROR(INDEX(Skill!$L:$L, MATCH(EB$4, Skill!$C:$C, 0), 1), "")</f>
        <v/>
      </c>
      <c r="EC11" s="89" t="str">
        <f t="array" ref="EC11">IFERROR(INDEX(Skill!$L:$L, MATCH(EC$4, Skill!$C:$C, 0), 1), "")</f>
        <v/>
      </c>
      <c r="ED11" s="94">
        <f t="array" ref="ED11">IFERROR(INDEX(Skill!$L:$L, MATCH(ED$4, Skill!$C:$C, 0), 1), "")</f>
        <v>0.2</v>
      </c>
      <c r="EE11" s="98"/>
      <c r="EF11" s="98"/>
      <c r="EG11" s="98"/>
      <c r="EH11" s="98"/>
      <c r="EI11" s="98"/>
      <c r="EJ11" s="98"/>
      <c r="EK11" s="98"/>
      <c r="EL11" s="98"/>
      <c r="EM11" s="98"/>
      <c r="EN11" s="98"/>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8"/>
      <c r="FO11" s="99"/>
    </row>
    <row r="12" hidden="1">
      <c r="A12" s="3"/>
      <c r="B12" s="90"/>
      <c r="C12" s="90"/>
      <c r="D12" s="90"/>
      <c r="E12" s="90" t="s">
        <v>12</v>
      </c>
      <c r="F12" s="90"/>
      <c r="G12" s="90"/>
      <c r="H12" s="90"/>
      <c r="I12" s="90"/>
      <c r="J12" s="90"/>
      <c r="K12" s="94">
        <f t="array" ref="K12">IFERROR(INDEX(Skill!$N:$N, MATCH(K$4, Skill!$C:$C, 0), 1), "")</f>
        <v>0.9</v>
      </c>
      <c r="L12" s="94">
        <f t="array" ref="L12">IFERROR(INDEX(Skill!$N:$N, MATCH(L$4, Skill!$C:$C, 0), 1), "")</f>
        <v>0.85</v>
      </c>
      <c r="M12" s="94" t="str">
        <f t="array" ref="M12">IFERROR(INDEX(Skill!$N:$N, MATCH(M$4, Skill!$C:$C, 0), 1), "")</f>
        <v/>
      </c>
      <c r="N12" s="94">
        <f t="array" ref="N12">IFERROR(INDEX(Skill!$N:$N, MATCH(N$4, Skill!$C:$C, 0), 1), "")</f>
        <v>0.9</v>
      </c>
      <c r="O12" s="94">
        <f t="array" ref="O12">IFERROR(INDEX(Skill!$N:$N, MATCH(O$4, Skill!$C:$C, 0), 1), "")</f>
        <v>0.8</v>
      </c>
      <c r="P12" s="94" t="str">
        <f t="array" ref="P12">IFERROR(INDEX(Skill!$N:$N, MATCH(P$4, Skill!$C:$C, 0), 1), "")</f>
        <v/>
      </c>
      <c r="Q12" s="94">
        <f t="array" ref="Q12">IFERROR(INDEX(Skill!$N:$N, MATCH(Q$4, Skill!$C:$C, 0), 1), "")</f>
        <v>0.6</v>
      </c>
      <c r="R12" s="94">
        <f t="array" ref="R12">IFERROR(INDEX(Skill!$N:$N, MATCH(R$4, Skill!$C:$C, 0), 1), "")</f>
        <v>0.85</v>
      </c>
      <c r="S12" s="94">
        <f t="array" ref="S12">IFERROR(INDEX(Skill!$N:$N, MATCH(S$4, Skill!$C:$C, 0), 1), "")</f>
        <v>0</v>
      </c>
      <c r="T12" s="94">
        <f t="array" ref="T12">IFERROR(INDEX(Skill!$N:$N, MATCH(T$4, Skill!$C:$C, 0), 1), "")</f>
        <v>0.9</v>
      </c>
      <c r="U12" s="94" t="str">
        <f t="array" ref="U12">IFERROR(INDEX(Skill!$N:$N, MATCH(U$4, Skill!$C:$C, 0), 1), "")</f>
        <v/>
      </c>
      <c r="V12" s="94">
        <f t="array" ref="V12">IFERROR(INDEX(Skill!$N:$N, MATCH(V$4, Skill!$C:$C, 0), 1), "")</f>
        <v>0.9</v>
      </c>
      <c r="W12" s="94">
        <f t="array" ref="W12">IFERROR(INDEX(Skill!$N:$N, MATCH(W$4, Skill!$C:$C, 0), 1), "")</f>
        <v>0.8</v>
      </c>
      <c r="X12" s="94" t="str">
        <f t="array" ref="X12">IFERROR(INDEX(Skill!$N:$N, MATCH(X$4, Skill!$C:$C, 0), 1), "")</f>
        <v/>
      </c>
      <c r="Y12" s="94">
        <f t="array" ref="Y12">IFERROR(INDEX(Skill!$N:$N, MATCH(Y$4, Skill!$C:$C, 0), 1), "")</f>
        <v>0.6</v>
      </c>
      <c r="Z12" s="94">
        <f t="array" ref="Z12">IFERROR(INDEX(Skill!$N:$N, MATCH(Z$4, Skill!$C:$C, 0), 1), "")</f>
        <v>0.9</v>
      </c>
      <c r="AA12" s="94" t="str">
        <f t="array" ref="AA12">IFERROR(INDEX(Skill!$N:$N, MATCH(AA$4, Skill!$C:$C, 0), 1), "")</f>
        <v/>
      </c>
      <c r="AB12" s="94">
        <f t="array" ref="AB12">IFERROR(INDEX(Skill!$N:$N, MATCH(AB$4, Skill!$C:$C, 0), 1), "")</f>
        <v>1</v>
      </c>
      <c r="AC12" s="94">
        <f t="array" ref="AC12">IFERROR(INDEX(Skill!$N:$N, MATCH(AC$4, Skill!$C:$C, 0), 1), "")</f>
        <v>0.9</v>
      </c>
      <c r="AD12" s="94">
        <f t="array" ref="AD12">IFERROR(INDEX(Skill!$N:$N, MATCH(AD$4, Skill!$C:$C, 0), 1), "")</f>
        <v>1</v>
      </c>
      <c r="AE12" s="94" t="str">
        <f t="array" ref="AE12">IFERROR(INDEX(Skill!$N:$N, MATCH(AE$4, Skill!$C:$C, 0), 1), "")</f>
        <v/>
      </c>
      <c r="AF12" s="94">
        <f t="array" ref="AF12">IFERROR(INDEX(Skill!$N:$N, MATCH(AF$4, Skill!$C:$C, 0), 1), "")</f>
        <v>0.9</v>
      </c>
      <c r="AG12" s="94" t="str">
        <f t="array" ref="AG12">IFERROR(INDEX(Skill!$N:$N, MATCH(AG$4, Skill!$C:$C, 0), 1), "")</f>
        <v/>
      </c>
      <c r="AH12" s="94">
        <f t="array" ref="AH12">IFERROR(INDEX(Skill!$N:$N, MATCH(AH$4, Skill!$C:$C, 0), 1), "")</f>
        <v>0.8</v>
      </c>
      <c r="AI12" s="94">
        <f t="array" ref="AI12">IFERROR(INDEX(Skill!$N:$N, MATCH(AI$4, Skill!$C:$C, 0), 1), "")</f>
        <v>1</v>
      </c>
      <c r="AJ12" s="94">
        <f t="array" ref="AJ12">IFERROR(INDEX(Skill!$N:$N, MATCH(AJ$4, Skill!$C:$C, 0), 1), "")</f>
        <v>0.6</v>
      </c>
      <c r="AK12" s="94">
        <f t="array" ref="AK12">IFERROR(INDEX(Skill!$N:$N, MATCH(AK$4, Skill!$C:$C, 0), 1), "")</f>
        <v>1</v>
      </c>
      <c r="AL12" s="94">
        <f t="array" ref="AL12">IFERROR(INDEX(Skill!$N:$N, MATCH(AL$4, Skill!$C:$C, 0), 1), "")</f>
        <v>0.9</v>
      </c>
      <c r="AM12" s="94">
        <f t="array" ref="AM12">IFERROR(INDEX(Skill!$N:$N, MATCH(AM$4, Skill!$C:$C, 0), 1), "")</f>
        <v>1</v>
      </c>
      <c r="AN12" s="94">
        <f t="array" ref="AN12">IFERROR(INDEX(Skill!$N:$N, MATCH(AN$4, Skill!$C:$C, 0), 1), "")</f>
        <v>0.85</v>
      </c>
      <c r="AO12" s="94">
        <f t="array" ref="AO12">IFERROR(INDEX(Skill!$N:$N, MATCH(AO$4, Skill!$C:$C, 0), 1), "")</f>
        <v>0.8</v>
      </c>
      <c r="AP12" s="94">
        <f t="array" ref="AP12">IFERROR(INDEX(Skill!$N:$N, MATCH(AP$4, Skill!$C:$C, 0), 1), "")</f>
        <v>0.9</v>
      </c>
      <c r="AQ12" s="94">
        <f t="array" ref="AQ12">IFERROR(INDEX(Skill!$N:$N, MATCH(AQ$4, Skill!$C:$C, 0), 1), "")</f>
        <v>0.6</v>
      </c>
      <c r="AR12" s="94">
        <f t="array" ref="AR12">IFERROR(INDEX(Skill!$N:$N, MATCH(AR$4, Skill!$C:$C, 0), 1), "")</f>
        <v>0</v>
      </c>
      <c r="AS12" s="94">
        <f t="array" ref="AS12">IFERROR(INDEX(Skill!$N:$N, MATCH(AS$4, Skill!$C:$C, 0), 1), "")</f>
        <v>0.9</v>
      </c>
      <c r="AT12" s="94" t="str">
        <f t="array" ref="AT12">IFERROR(INDEX(Skill!$N:$N, MATCH(AT$4, Skill!$C:$C, 0), 1), "")</f>
        <v/>
      </c>
      <c r="AU12" s="94" t="str">
        <f t="array" ref="AU12">IFERROR(INDEX(Skill!$N:$N, MATCH(AU$4, Skill!$C:$C, 0), 1), "")</f>
        <v/>
      </c>
      <c r="AV12" s="94" t="str">
        <f t="array" ref="AV12">IFERROR(INDEX(Skill!$N:$N, MATCH(AV$4, Skill!$C:$C, 0), 1), "")</f>
        <v/>
      </c>
      <c r="AW12" s="94" t="str">
        <f t="array" ref="AW12">IFERROR(INDEX(Skill!$N:$N, MATCH(AW$4, Skill!$C:$C, 0), 1), "")</f>
        <v/>
      </c>
      <c r="AX12" s="94" t="str">
        <f t="array" ref="AX12">IFERROR(INDEX(Skill!$N:$N, MATCH(AX$4, Skill!$C:$C, 0), 1), "")</f>
        <v/>
      </c>
      <c r="AY12" s="94">
        <f t="array" ref="AY12">IFERROR(INDEX(Skill!$N:$N, MATCH(AY$4, Skill!$C:$C, 0), 1), "")</f>
        <v>0.85</v>
      </c>
      <c r="AZ12" s="94" t="str">
        <f t="array" ref="AZ12">IFERROR(INDEX(Skill!$N:$N, MATCH(AZ$4, Skill!$C:$C, 0), 1), "")</f>
        <v/>
      </c>
      <c r="BA12" s="94" t="str">
        <f t="array" ref="BA12">IFERROR(INDEX(Skill!$N:$N, MATCH(BA$4, Skill!$C:$C, 0), 1), "")</f>
        <v/>
      </c>
      <c r="BB12" s="94" t="str">
        <f t="array" ref="BB12">IFERROR(INDEX(Skill!$N:$N, MATCH(BB$4, Skill!$C:$C, 0), 1), "")</f>
        <v/>
      </c>
      <c r="BC12" s="94" t="str">
        <f t="array" ref="BC12">IFERROR(INDEX(Skill!$N:$N, MATCH(BC$4, Skill!$C:$C, 0), 1), "")</f>
        <v/>
      </c>
      <c r="BD12" s="94" t="str">
        <f t="array" ref="BD12">IFERROR(INDEX(Skill!$N:$N, MATCH(BD$4, Skill!$C:$C, 0), 1), "")</f>
        <v/>
      </c>
      <c r="BE12" s="94">
        <f t="array" ref="BE12">IFERROR(INDEX(Skill!$N:$N, MATCH(BE$4, Skill!$C:$C, 0), 1), "")</f>
        <v>0.9</v>
      </c>
      <c r="BF12" s="94" t="str">
        <f t="array" ref="BF12">IFERROR(INDEX(Skill!$N:$N, MATCH(BF$4, Skill!$C:$C, 0), 1), "")</f>
        <v/>
      </c>
      <c r="BG12" s="94">
        <f t="array" ref="BG12">IFERROR(INDEX(Skill!$N:$N, MATCH(BG$4, Skill!$C:$C, 0), 1), "")</f>
        <v>0.9</v>
      </c>
      <c r="BH12" s="94" t="str">
        <f t="array" ref="BH12">IFERROR(INDEX(Skill!$N:$N, MATCH(BH$4, Skill!$C:$C, 0), 1), "")</f>
        <v/>
      </c>
      <c r="BI12" s="94" t="str">
        <f t="array" ref="BI12">IFERROR(INDEX(Skill!$N:$N, MATCH(BI$4, Skill!$C:$C, 0), 1), "")</f>
        <v/>
      </c>
      <c r="BJ12" s="94" t="str">
        <f t="array" ref="BJ12">IFERROR(INDEX(Skill!$N:$N, MATCH(BJ$4, Skill!$C:$C, 0), 1), "")</f>
        <v/>
      </c>
      <c r="BK12" s="94" t="str">
        <f t="array" ref="BK12">IFERROR(INDEX(Skill!$N:$N, MATCH(BK$4, Skill!$C:$C, 0), 1), "")</f>
        <v/>
      </c>
      <c r="BL12" s="94" t="str">
        <f t="array" ref="BL12">IFERROR(INDEX(Skill!$N:$N, MATCH(BL$4, Skill!$C:$C, 0), 1), "")</f>
        <v/>
      </c>
      <c r="BM12" s="94" t="str">
        <f t="array" ref="BM12">IFERROR(INDEX(Skill!$N:$N, MATCH(BM$4, Skill!$C:$C, 0), 1), "")</f>
        <v/>
      </c>
      <c r="BN12" s="94" t="str">
        <f t="array" ref="BN12">IFERROR(INDEX(Skill!$N:$N, MATCH(BN$4, Skill!$C:$C, 0), 1), "")</f>
        <v/>
      </c>
      <c r="BO12" s="94" t="str">
        <f t="array" ref="BO12">IFERROR(INDEX(Skill!$N:$N, MATCH(BO$4, Skill!$C:$C, 0), 1), "")</f>
        <v/>
      </c>
      <c r="BP12" s="94" t="str">
        <f t="array" ref="BP12">IFERROR(INDEX(Skill!$N:$N, MATCH(BP$4, Skill!$C:$C, 0), 1), "")</f>
        <v/>
      </c>
      <c r="BQ12" s="94">
        <f t="array" ref="BQ12">IFERROR(INDEX(Skill!$N:$N, MATCH(BQ$4, Skill!$C:$C, 0), 1), "")</f>
        <v>0.9</v>
      </c>
      <c r="BR12" s="94" t="str">
        <f t="array" ref="BR12">IFERROR(INDEX(Skill!$N:$N, MATCH(BR$4, Skill!$C:$C, 0), 1), "")</f>
        <v/>
      </c>
      <c r="BS12" s="94" t="str">
        <f t="array" ref="BS12">IFERROR(INDEX(Skill!$N:$N, MATCH(BS$4, Skill!$C:$C, 0), 1), "")</f>
        <v/>
      </c>
      <c r="BT12" s="94" t="str">
        <f t="array" ref="BT12">IFERROR(INDEX(Skill!$N:$N, MATCH(BT$4, Skill!$C:$C, 0), 1), "")</f>
        <v/>
      </c>
      <c r="BU12" s="94">
        <f t="array" ref="BU12">IFERROR(INDEX(Skill!$N:$N, MATCH(BU$4, Skill!$C:$C, 0), 1), "")</f>
        <v>0.9</v>
      </c>
      <c r="BV12" s="94" t="str">
        <f t="array" ref="BV12">IFERROR(INDEX(Skill!$N:$N, MATCH(BV$4, Skill!$C:$C, 0), 1), "")</f>
        <v/>
      </c>
      <c r="BW12" s="94" t="str">
        <f t="array" ref="BW12">IFERROR(INDEX(Skill!$N:$N, MATCH(BW$4, Skill!$C:$C, 0), 1), "")</f>
        <v/>
      </c>
      <c r="BX12" s="94" t="str">
        <f t="array" ref="BX12">IFERROR(INDEX(Skill!$N:$N, MATCH(BX$4, Skill!$C:$C, 0), 1), "")</f>
        <v/>
      </c>
      <c r="BY12" s="94">
        <f t="array" ref="BY12">IFERROR(INDEX(Skill!$N:$N, MATCH(BY$4, Skill!$C:$C, 0), 1), "")</f>
        <v>1</v>
      </c>
      <c r="BZ12" s="94">
        <f t="array" ref="BZ12">IFERROR(INDEX(Skill!$N:$N, MATCH(BZ$4, Skill!$C:$C, 0), 1), "")</f>
        <v>0.9</v>
      </c>
      <c r="CA12" s="94">
        <f t="array" ref="CA12">IFERROR(INDEX(Skill!$N:$N, MATCH(CA$4, Skill!$C:$C, 0), 1), "")</f>
        <v>0.9</v>
      </c>
      <c r="CB12" s="94" t="str">
        <f t="array" ref="CB12">IFERROR(INDEX(Skill!$N:$N, MATCH(CB$4, Skill!$C:$C, 0), 1), "")</f>
        <v/>
      </c>
      <c r="CC12" s="94" t="str">
        <f t="array" ref="CC12">IFERROR(INDEX(Skill!$N:$N, MATCH(CC$4, Skill!$C:$C, 0), 1), "")</f>
        <v/>
      </c>
      <c r="CD12" s="94" t="str">
        <f t="array" ref="CD12">IFERROR(INDEX(Skill!$N:$N, MATCH(CD$4, Skill!$C:$C, 0), 1), "")</f>
        <v/>
      </c>
      <c r="CE12" s="94" t="str">
        <f t="array" ref="CE12">IFERROR(INDEX(Skill!$N:$N, MATCH(CE$4, Skill!$C:$C, 0), 1), "")</f>
        <v/>
      </c>
      <c r="CF12" s="94" t="str">
        <f t="array" ref="CF12">IFERROR(INDEX(Skill!$N:$N, MATCH(CF$4, Skill!$C:$C, 0), 1), "")</f>
        <v/>
      </c>
      <c r="CG12" s="94" t="str">
        <f t="array" ref="CG12">IFERROR(INDEX(Skill!$N:$N, MATCH(CG$4, Skill!$C:$C, 0), 1), "")</f>
        <v/>
      </c>
      <c r="CH12" s="94" t="str">
        <f t="array" ref="CH12">IFERROR(INDEX(Skill!$N:$N, MATCH(CH$4, Skill!$C:$C, 0), 1), "")</f>
        <v/>
      </c>
      <c r="CI12" s="94" t="str">
        <f t="array" ref="CI12">IFERROR(INDEX(Skill!$N:$N, MATCH(CI$4, Skill!$C:$C, 0), 1), "")</f>
        <v/>
      </c>
      <c r="CJ12" s="94" t="str">
        <f t="array" ref="CJ12">IFERROR(INDEX(Skill!$N:$N, MATCH(CJ$4, Skill!$C:$C, 0), 1), "")</f>
        <v/>
      </c>
      <c r="CK12" s="94" t="str">
        <f t="array" ref="CK12">IFERROR(INDEX(Skill!$N:$N, MATCH(CK$4, Skill!$C:$C, 0), 1), "")</f>
        <v/>
      </c>
      <c r="CL12" s="94" t="str">
        <f t="array" ref="CL12">IFERROR(INDEX(Skill!$N:$N, MATCH(CL$4, Skill!$C:$C, 0), 1), "")</f>
        <v/>
      </c>
      <c r="CM12" s="94" t="str">
        <f t="array" ref="CM12">IFERROR(INDEX(Skill!$N:$N, MATCH(CM$4, Skill!$C:$C, 0), 1), "")</f>
        <v/>
      </c>
      <c r="CN12" s="94" t="str">
        <f t="array" ref="CN12">IFERROR(INDEX(Skill!$N:$N, MATCH(CN$4, Skill!$C:$C, 0), 1), "")</f>
        <v/>
      </c>
      <c r="CO12" s="94" t="str">
        <f t="array" ref="CO12">IFERROR(INDEX(Skill!$N:$N, MATCH(CO$4, Skill!$C:$C, 0), 1), "")</f>
        <v/>
      </c>
      <c r="CP12" s="94" t="str">
        <f t="array" ref="CP12">IFERROR(INDEX(Skill!$N:$N, MATCH(CP$4, Skill!$C:$C, 0), 1), "")</f>
        <v/>
      </c>
      <c r="CQ12" s="94" t="str">
        <f t="array" ref="CQ12">IFERROR(INDEX(Skill!$N:$N, MATCH(CQ$4, Skill!$C:$C, 0), 1), "")</f>
        <v/>
      </c>
      <c r="CR12" s="94" t="str">
        <f t="array" ref="CR12">IFERROR(INDEX(Skill!$N:$N, MATCH(CR$4, Skill!$C:$C, 0), 1), "")</f>
        <v/>
      </c>
      <c r="CS12" s="94" t="str">
        <f t="array" ref="CS12">IFERROR(INDEX(Skill!$N:$N, MATCH(CS$4, Skill!$C:$C, 0), 1), "")</f>
        <v/>
      </c>
      <c r="CT12" s="94">
        <f t="array" ref="CT12">IFERROR(INDEX(Skill!$N:$N, MATCH(CT$4, Skill!$C:$C, 0), 1), "")</f>
        <v>0.9</v>
      </c>
      <c r="CU12" s="94">
        <f t="array" ref="CU12">IFERROR(INDEX(Skill!$N:$N, MATCH(CU$4, Skill!$C:$C, 0), 1), "")</f>
        <v>0.9</v>
      </c>
      <c r="CV12" s="94" t="str">
        <f t="array" ref="CV12">IFERROR(INDEX(Skill!$N:$N, MATCH(CV$4, Skill!$C:$C, 0), 1), "")</f>
        <v/>
      </c>
      <c r="CW12" s="94" t="str">
        <f t="array" ref="CW12">IFERROR(INDEX(Skill!$N:$N, MATCH(CW$4, Skill!$C:$C, 0), 1), "")</f>
        <v/>
      </c>
      <c r="CX12" s="94" t="str">
        <f t="array" ref="CX12">IFERROR(INDEX(Skill!$N:$N, MATCH(CX$4, Skill!$C:$C, 0), 1), "")</f>
        <v/>
      </c>
      <c r="CY12" s="94" t="str">
        <f t="array" ref="CY12">IFERROR(INDEX(Skill!$N:$N, MATCH(CY$4, Skill!$C:$C, 0), 1), "")</f>
        <v/>
      </c>
      <c r="CZ12" s="94" t="str">
        <f t="array" ref="CZ12">IFERROR(INDEX(Skill!$N:$N, MATCH(CZ$4, Skill!$C:$C, 0), 1), "")</f>
        <v/>
      </c>
      <c r="DA12" s="94" t="str">
        <f t="array" ref="DA12">IFERROR(INDEX(Skill!$N:$N, MATCH(DA$4, Skill!$C:$C, 0), 1), "")</f>
        <v/>
      </c>
      <c r="DB12" s="94" t="str">
        <f t="array" ref="DB12">IFERROR(INDEX(Skill!$N:$N, MATCH(DB$4, Skill!$C:$C, 0), 1), "")</f>
        <v/>
      </c>
      <c r="DC12" s="94" t="str">
        <f t="array" ref="DC12">IFERROR(INDEX(Skill!$N:$N, MATCH(DC$4, Skill!$C:$C, 0), 1), "")</f>
        <v/>
      </c>
      <c r="DD12" s="94" t="str">
        <f t="array" ref="DD12">IFERROR(INDEX(Skill!$N:$N, MATCH(DD$4, Skill!$C:$C, 0), 1), "")</f>
        <v/>
      </c>
      <c r="DE12" s="94">
        <f t="array" ref="DE12">IFERROR(INDEX(Skill!$N:$N, MATCH(DE$4, Skill!$C:$C, 0), 1), "")</f>
        <v>0.9</v>
      </c>
      <c r="DF12" s="94" t="str">
        <f t="array" ref="DF12">IFERROR(INDEX(Skill!$N:$N, MATCH(DF$4, Skill!$C:$C, 0), 1), "")</f>
        <v/>
      </c>
      <c r="DG12" s="94" t="str">
        <f t="array" ref="DG12">IFERROR(INDEX(Skill!$N:$N, MATCH(DG$4, Skill!$C:$C, 0), 1), "")</f>
        <v/>
      </c>
      <c r="DH12" s="94" t="str">
        <f t="array" ref="DH12">IFERROR(INDEX(Skill!$N:$N, MATCH(DH$4, Skill!$C:$C, 0), 1), "")</f>
        <v/>
      </c>
      <c r="DI12" s="94" t="str">
        <f t="array" ref="DI12">IFERROR(INDEX(Skill!$N:$N, MATCH(DI$4, Skill!$C:$C, 0), 1), "")</f>
        <v/>
      </c>
      <c r="DJ12" s="94">
        <f t="array" ref="DJ12">IFERROR(INDEX(Skill!$N:$N, MATCH(DJ$4, Skill!$C:$C, 0), 1), "")</f>
        <v>1</v>
      </c>
      <c r="DK12" s="94" t="str">
        <f t="array" ref="DK12">IFERROR(INDEX(Skill!$N:$N, MATCH(DK$4, Skill!$C:$C, 0), 1), "")</f>
        <v/>
      </c>
      <c r="DL12" s="94">
        <f t="array" ref="DL12">IFERROR(INDEX(Skill!$N:$N, MATCH(DL$4, Skill!$C:$C, 0), 1), "")</f>
        <v>1</v>
      </c>
      <c r="DM12" s="94">
        <f t="array" ref="DM12">IFERROR(INDEX(Skill!$N:$N, MATCH(DM$4, Skill!$C:$C, 0), 1), "")</f>
        <v>1</v>
      </c>
      <c r="DN12" s="94">
        <f t="array" ref="DN12">IFERROR(INDEX(Skill!$N:$N, MATCH(DN$4, Skill!$C:$C, 0), 1), "")</f>
        <v>1</v>
      </c>
      <c r="DO12" s="94">
        <f t="array" ref="DO12">IFERROR(INDEX(Skill!$N:$N, MATCH(DO$4, Skill!$C:$C, 0), 1), "")</f>
        <v>1</v>
      </c>
      <c r="DP12" s="94">
        <f t="array" ref="DP12">IFERROR(INDEX(Skill!$N:$N, MATCH(DP$4, Skill!$C:$C, 0), 1), "")</f>
        <v>1</v>
      </c>
      <c r="DQ12" s="94">
        <f t="array" ref="DQ12">IFERROR(INDEX(Skill!$N:$N, MATCH(DQ$4, Skill!$C:$C, 0), 1), "")</f>
        <v>0.85</v>
      </c>
      <c r="DR12" s="94" t="str">
        <f t="array" ref="DR12">IFERROR(INDEX(Skill!$N:$N, MATCH(DR$4, Skill!$C:$C, 0), 1), "")</f>
        <v/>
      </c>
      <c r="DS12" s="94">
        <f t="array" ref="DS12">IFERROR(INDEX(Skill!$N:$N, MATCH(DS$4, Skill!$C:$C, 0), 1), "")</f>
        <v>0.85</v>
      </c>
      <c r="DT12" s="94">
        <f t="array" ref="DT12">IFERROR(INDEX(Skill!$N:$N, MATCH(DT$4, Skill!$C:$C, 0), 1), "")</f>
        <v>0.9</v>
      </c>
      <c r="DU12" s="94">
        <f t="array" ref="DU12">IFERROR(INDEX(Skill!$N:$N, MATCH(DU$4, Skill!$C:$C, 0), 1), "")</f>
        <v>0.85</v>
      </c>
      <c r="DV12" s="94" t="str">
        <f t="array" ref="DV12">IFERROR(INDEX(Skill!$N:$N, MATCH(DV$4, Skill!$C:$C, 0), 1), "")</f>
        <v/>
      </c>
      <c r="DW12" s="94">
        <f t="array" ref="DW12">IFERROR(INDEX(Skill!$N:$N, MATCH(DW$4, Skill!$C:$C, 0), 1), "")</f>
        <v>1</v>
      </c>
      <c r="DX12" s="94">
        <f t="array" ref="DX12">IFERROR(INDEX(Skill!$N:$N, MATCH(DX$4, Skill!$C:$C, 0), 1), "")</f>
        <v>1</v>
      </c>
      <c r="DY12" s="94">
        <f t="array" ref="DY12">IFERROR(INDEX(Skill!$N:$N, MATCH(DY$4, Skill!$C:$C, 0), 1), "")</f>
        <v>1</v>
      </c>
      <c r="DZ12" s="94">
        <f t="array" ref="DZ12">IFERROR(INDEX(Skill!$N:$N, MATCH(DZ$4, Skill!$C:$C, 0), 1), "")</f>
        <v>1</v>
      </c>
      <c r="EA12" s="89">
        <f t="array" ref="EA12">IFERROR(INDEX(Skill!$N:$N, MATCH(EA$4, Skill!$C:$C, 0), 1), "")</f>
        <v>1</v>
      </c>
      <c r="EB12" s="89" t="str">
        <f t="array" ref="EB12">IFERROR(INDEX(Skill!$N:$N, MATCH(EB$4, Skill!$C:$C, 0), 1), "")</f>
        <v/>
      </c>
      <c r="EC12" s="89" t="str">
        <f t="array" ref="EC12">IFERROR(INDEX(Skill!$N:$N, MATCH(EC$4, Skill!$C:$C, 0), 1), "")</f>
        <v/>
      </c>
      <c r="ED12" s="94">
        <f t="array" ref="ED12">IFERROR(INDEX(Skill!$N:$N, MATCH(ED$4, Skill!$C:$C, 0), 1), "")</f>
        <v>0.2</v>
      </c>
      <c r="EE12" s="98"/>
      <c r="EF12" s="98"/>
      <c r="EG12" s="98"/>
      <c r="EH12" s="98"/>
      <c r="EI12" s="98"/>
      <c r="EJ12" s="98"/>
      <c r="EK12" s="98"/>
      <c r="EL12" s="98"/>
      <c r="EM12" s="98"/>
      <c r="EN12" s="98"/>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8"/>
      <c r="FO12" s="99"/>
    </row>
    <row r="13" hidden="1">
      <c r="A13" s="3"/>
      <c r="B13" s="90"/>
      <c r="C13" s="90"/>
      <c r="D13" s="90"/>
      <c r="E13" s="90" t="s">
        <v>22</v>
      </c>
      <c r="F13" s="90"/>
      <c r="G13" s="90"/>
      <c r="H13" s="90"/>
      <c r="I13" s="90"/>
      <c r="J13" s="90"/>
      <c r="K13" s="94" t="str">
        <f t="array" ref="K13">IFERROR(INDEX(Skill!$AE:$AE, MATCH(K$4, Skill!$C:$C, 0), 1), "")</f>
        <v/>
      </c>
      <c r="L13" s="94" t="str">
        <f t="array" ref="L13">IFERROR(INDEX(Skill!$AE:$AE, MATCH(L$4, Skill!$C:$C, 0), 1), "")</f>
        <v/>
      </c>
      <c r="M13" s="94" t="str">
        <f t="array" ref="M13">IFERROR(INDEX(Skill!$AE:$AE, MATCH(M$4, Skill!$C:$C, 0), 1), "")</f>
        <v/>
      </c>
      <c r="N13" s="94" t="str">
        <f t="array" ref="N13">IFERROR(INDEX(Skill!$AE:$AE, MATCH(N$4, Skill!$C:$C, 0), 1), "")</f>
        <v/>
      </c>
      <c r="O13" s="94" t="str">
        <f t="array" ref="O13">IFERROR(INDEX(Skill!$AE:$AE, MATCH(O$4, Skill!$C:$C, 0), 1), "")</f>
        <v>SELF_AFFECTED_ALL</v>
      </c>
      <c r="P13" s="94" t="str">
        <f t="array" ref="P13">IFERROR(INDEX(Skill!$AE:$AE, MATCH(P$4, Skill!$C:$C, 0), 1), "")</f>
        <v/>
      </c>
      <c r="Q13" s="94" t="str">
        <f t="array" ref="Q13">IFERROR(INDEX(Skill!$AE:$AE, MATCH(Q$4, Skill!$C:$C, 0), 1), "")</f>
        <v/>
      </c>
      <c r="R13" s="94" t="str">
        <f t="array" ref="R13">IFERROR(INDEX(Skill!$AE:$AE, MATCH(R$4, Skill!$C:$C, 0), 1), "")</f>
        <v/>
      </c>
      <c r="S13" s="94" t="str">
        <f t="array" ref="S13">IFERROR(INDEX(Skill!$AE:$AE, MATCH(S$4, Skill!$C:$C, 0), 1), "")</f>
        <v/>
      </c>
      <c r="T13" s="94" t="str">
        <f t="array" ref="T13">IFERROR(INDEX(Skill!$AE:$AE, MATCH(T$4, Skill!$C:$C, 0), 1), "")</f>
        <v/>
      </c>
      <c r="U13" s="94" t="str">
        <f t="array" ref="U13">IFERROR(INDEX(Skill!$AE:$AE, MATCH(U$4, Skill!$C:$C, 0), 1), "")</f>
        <v/>
      </c>
      <c r="V13" s="94" t="str">
        <f t="array" ref="V13">IFERROR(INDEX(Skill!$AE:$AE, MATCH(V$4, Skill!$C:$C, 0), 1), "")</f>
        <v/>
      </c>
      <c r="W13" s="94" t="str">
        <f t="array" ref="W13">IFERROR(INDEX(Skill!$AE:$AE, MATCH(W$4, Skill!$C:$C, 0), 1), "")</f>
        <v>SELF_AFFECTED_ALL</v>
      </c>
      <c r="X13" s="94" t="str">
        <f t="array" ref="X13">IFERROR(INDEX(Skill!$AE:$AE, MATCH(X$4, Skill!$C:$C, 0), 1), "")</f>
        <v>SELF_AFFECTED_ALL</v>
      </c>
      <c r="Y13" s="94" t="str">
        <f t="array" ref="Y13">IFERROR(INDEX(Skill!$AE:$AE, MATCH(Y$4, Skill!$C:$C, 0), 1), "")</f>
        <v/>
      </c>
      <c r="Z13" s="94" t="str">
        <f t="array" ref="Z13">IFERROR(INDEX(Skill!$AE:$AE, MATCH(Z$4, Skill!$C:$C, 0), 1), "")</f>
        <v/>
      </c>
      <c r="AA13" s="94" t="str">
        <f t="array" ref="AA13">IFERROR(INDEX(Skill!$AE:$AE, MATCH(AA$4, Skill!$C:$C, 0), 1), "")</f>
        <v/>
      </c>
      <c r="AB13" s="94" t="str">
        <f t="array" ref="AB13">IFERROR(INDEX(Skill!$AE:$AE, MATCH(AB$4, Skill!$C:$C, 0), 1), "")</f>
        <v/>
      </c>
      <c r="AC13" s="94" t="str">
        <f t="array" ref="AC13">IFERROR(INDEX(Skill!$AE:$AE, MATCH(AC$4, Skill!$C:$C, 0), 1), "")</f>
        <v/>
      </c>
      <c r="AD13" s="94" t="str">
        <f t="array" ref="AD13">IFERROR(INDEX(Skill!$AE:$AE, MATCH(AD$4, Skill!$C:$C, 0), 1), "")</f>
        <v/>
      </c>
      <c r="AE13" s="94" t="str">
        <f t="array" ref="AE13">IFERROR(INDEX(Skill!$AE:$AE, MATCH(AE$4, Skill!$C:$C, 0), 1), "")</f>
        <v/>
      </c>
      <c r="AF13" s="94" t="str">
        <f t="array" ref="AF13">IFERROR(INDEX(Skill!$AE:$AE, MATCH(AF$4, Skill!$C:$C, 0), 1), "")</f>
        <v/>
      </c>
      <c r="AG13" s="94" t="str">
        <f t="array" ref="AG13">IFERROR(INDEX(Skill!$AE:$AE, MATCH(AG$4, Skill!$C:$C, 0), 1), "")</f>
        <v/>
      </c>
      <c r="AH13" s="94" t="str">
        <f t="array" ref="AH13">IFERROR(INDEX(Skill!$AE:$AE, MATCH(AH$4, Skill!$C:$C, 0), 1), "")</f>
        <v>SELF_AFFECTED_ALL</v>
      </c>
      <c r="AI13" s="94" t="str">
        <f t="array" ref="AI13">IFERROR(INDEX(Skill!$AE:$AE, MATCH(AI$4, Skill!$C:$C, 0), 1), "")</f>
        <v/>
      </c>
      <c r="AJ13" s="94" t="str">
        <f t="array" ref="AJ13">IFERROR(INDEX(Skill!$AE:$AE, MATCH(AJ$4, Skill!$C:$C, 0), 1), "")</f>
        <v/>
      </c>
      <c r="AK13" s="94" t="str">
        <f t="array" ref="AK13">IFERROR(INDEX(Skill!$AE:$AE, MATCH(AK$4, Skill!$C:$C, 0), 1), "")</f>
        <v/>
      </c>
      <c r="AL13" s="94" t="str">
        <f t="array" ref="AL13">IFERROR(INDEX(Skill!$AE:$AE, MATCH(AL$4, Skill!$C:$C, 0), 1), "")</f>
        <v/>
      </c>
      <c r="AM13" s="94" t="str">
        <f t="array" ref="AM13">IFERROR(INDEX(Skill!$AE:$AE, MATCH(AM$4, Skill!$C:$C, 0), 1), "")</f>
        <v/>
      </c>
      <c r="AN13" s="94" t="str">
        <f t="array" ref="AN13">IFERROR(INDEX(Skill!$AE:$AE, MATCH(AN$4, Skill!$C:$C, 0), 1), "")</f>
        <v/>
      </c>
      <c r="AO13" s="94" t="str">
        <f t="array" ref="AO13">IFERROR(INDEX(Skill!$AE:$AE, MATCH(AO$4, Skill!$C:$C, 0), 1), "")</f>
        <v>SELF_AFFECTED_ALL</v>
      </c>
      <c r="AP13" s="94" t="str">
        <f t="array" ref="AP13">IFERROR(INDEX(Skill!$AE:$AE, MATCH(AP$4, Skill!$C:$C, 0), 1), "")</f>
        <v/>
      </c>
      <c r="AQ13" s="94" t="str">
        <f t="array" ref="AQ13">IFERROR(INDEX(Skill!$AE:$AE, MATCH(AQ$4, Skill!$C:$C, 0), 1), "")</f>
        <v/>
      </c>
      <c r="AR13" s="94" t="str">
        <f t="array" ref="AR13">IFERROR(INDEX(Skill!$AE:$AE, MATCH(AR$4, Skill!$C:$C, 0), 1), "")</f>
        <v/>
      </c>
      <c r="AS13" s="94" t="str">
        <f t="array" ref="AS13">IFERROR(INDEX(Skill!$AE:$AE, MATCH(AS$4, Skill!$C:$C, 0), 1), "")</f>
        <v>SELF_EFFECTED_GCD</v>
      </c>
      <c r="AT13" s="94" t="str">
        <f t="array" ref="AT13">IFERROR(INDEX(Skill!$AE:$AE, MATCH(AT$4, Skill!$C:$C, 0), 1), "")</f>
        <v/>
      </c>
      <c r="AU13" s="94" t="str">
        <f t="array" ref="AU13">IFERROR(INDEX(Skill!$AE:$AE, MATCH(AU$4, Skill!$C:$C, 0), 1), "")</f>
        <v>RANGE_AFFECTED_GCD</v>
      </c>
      <c r="AV13" s="94" t="str">
        <f t="array" ref="AV13">IFERROR(INDEX(Skill!$AE:$AE, MATCH(AV$4, Skill!$C:$C, 0), 1), "")</f>
        <v>RANGE_AFFECTED_ALL</v>
      </c>
      <c r="AW13" s="94" t="str">
        <f t="array" ref="AW13">IFERROR(INDEX(Skill!$AE:$AE, MATCH(AW$4, Skill!$C:$C, 0), 1), "")</f>
        <v/>
      </c>
      <c r="AX13" s="94" t="str">
        <f t="array" ref="AX13">IFERROR(INDEX(Skill!$AE:$AE, MATCH(AX$4, Skill!$C:$C, 0), 1), "")</f>
        <v/>
      </c>
      <c r="AY13" s="94" t="str">
        <f t="array" ref="AY13">IFERROR(INDEX(Skill!$AE:$AE, MATCH(AY$4, Skill!$C:$C, 0), 1), "")</f>
        <v/>
      </c>
      <c r="AZ13" s="94" t="str">
        <f t="array" ref="AZ13">IFERROR(INDEX(Skill!$AE:$AE, MATCH(AZ$4, Skill!$C:$C, 0), 1), "")</f>
        <v/>
      </c>
      <c r="BA13" s="94" t="str">
        <f t="array" ref="BA13">IFERROR(INDEX(Skill!$AE:$AE, MATCH(BA$4, Skill!$C:$C, 0), 1), "")</f>
        <v/>
      </c>
      <c r="BB13" s="94" t="str">
        <f t="array" ref="BB13">IFERROR(INDEX(Skill!$AE:$AE, MATCH(BB$4, Skill!$C:$C, 0), 1), "")</f>
        <v/>
      </c>
      <c r="BC13" s="94" t="str">
        <f t="array" ref="BC13">IFERROR(INDEX(Skill!$AE:$AE, MATCH(BC$4, Skill!$C:$C, 0), 1), "")</f>
        <v/>
      </c>
      <c r="BD13" s="94" t="str">
        <f t="array" ref="BD13">IFERROR(INDEX(Skill!$AE:$AE, MATCH(BD$4, Skill!$C:$C, 0), 1), "")</f>
        <v/>
      </c>
      <c r="BE13" s="94" t="str">
        <f t="array" ref="BE13">IFERROR(INDEX(Skill!$AE:$AE, MATCH(BE$4, Skill!$C:$C, 0), 1), "")</f>
        <v/>
      </c>
      <c r="BF13" s="94" t="str">
        <f t="array" ref="BF13">IFERROR(INDEX(Skill!$AE:$AE, MATCH(BF$4, Skill!$C:$C, 0), 1), "")</f>
        <v>SELF_EFFECTED_GCD</v>
      </c>
      <c r="BG13" s="94" t="str">
        <f t="array" ref="BG13">IFERROR(INDEX(Skill!$AE:$AE, MATCH(BG$4, Skill!$C:$C, 0), 1), "")</f>
        <v/>
      </c>
      <c r="BH13" s="94" t="str">
        <f t="array" ref="BH13">IFERROR(INDEX(Skill!$AE:$AE, MATCH(BH$4, Skill!$C:$C, 0), 1), "")</f>
        <v/>
      </c>
      <c r="BI13" s="94" t="str">
        <f t="array" ref="BI13">IFERROR(INDEX(Skill!$AE:$AE, MATCH(BI$4, Skill!$C:$C, 0), 1), "")</f>
        <v/>
      </c>
      <c r="BJ13" s="94" t="str">
        <f t="array" ref="BJ13">IFERROR(INDEX(Skill!$AE:$AE, MATCH(BJ$4, Skill!$C:$C, 0), 1), "")</f>
        <v/>
      </c>
      <c r="BK13" s="94" t="str">
        <f t="array" ref="BK13">IFERROR(INDEX(Skill!$AE:$AE, MATCH(BK$4, Skill!$C:$C, 0), 1), "")</f>
        <v/>
      </c>
      <c r="BL13" s="94" t="str">
        <f t="array" ref="BL13">IFERROR(INDEX(Skill!$AE:$AE, MATCH(BL$4, Skill!$C:$C, 0), 1), "")</f>
        <v/>
      </c>
      <c r="BM13" s="94" t="str">
        <f t="array" ref="BM13">IFERROR(INDEX(Skill!$AE:$AE, MATCH(BM$4, Skill!$C:$C, 0), 1), "")</f>
        <v/>
      </c>
      <c r="BN13" s="94" t="str">
        <f t="array" ref="BN13">IFERROR(INDEX(Skill!$AE:$AE, MATCH(BN$4, Skill!$C:$C, 0), 1), "")</f>
        <v/>
      </c>
      <c r="BO13" s="94" t="str">
        <f t="array" ref="BO13">IFERROR(INDEX(Skill!$AE:$AE, MATCH(BO$4, Skill!$C:$C, 0), 1), "")</f>
        <v>SINGLE_AFFECTED_ALL</v>
      </c>
      <c r="BP13" s="94" t="str">
        <f t="array" ref="BP13">IFERROR(INDEX(Skill!$AE:$AE, MATCH(BP$4, Skill!$C:$C, 0), 1), "")</f>
        <v/>
      </c>
      <c r="BQ13" s="94" t="str">
        <f t="array" ref="BQ13">IFERROR(INDEX(Skill!$AE:$AE, MATCH(BQ$4, Skill!$C:$C, 0), 1), "")</f>
        <v/>
      </c>
      <c r="BR13" s="94" t="str">
        <f t="array" ref="BR13">IFERROR(INDEX(Skill!$AE:$AE, MATCH(BR$4, Skill!$C:$C, 0), 1), "")</f>
        <v/>
      </c>
      <c r="BS13" s="94" t="str">
        <f t="array" ref="BS13">IFERROR(INDEX(Skill!$AE:$AE, MATCH(BS$4, Skill!$C:$C, 0), 1), "")</f>
        <v/>
      </c>
      <c r="BT13" s="94" t="str">
        <f t="array" ref="BT13">IFERROR(INDEX(Skill!$AE:$AE, MATCH(BT$4, Skill!$C:$C, 0), 1), "")</f>
        <v/>
      </c>
      <c r="BU13" s="94" t="str">
        <f t="array" ref="BU13">IFERROR(INDEX(Skill!$AE:$AE, MATCH(BU$4, Skill!$C:$C, 0), 1), "")</f>
        <v/>
      </c>
      <c r="BV13" s="94" t="str">
        <f t="array" ref="BV13">IFERROR(INDEX(Skill!$AE:$AE, MATCH(BV$4, Skill!$C:$C, 0), 1), "")</f>
        <v/>
      </c>
      <c r="BW13" s="94" t="str">
        <f t="array" ref="BW13">IFERROR(INDEX(Skill!$AE:$AE, MATCH(BW$4, Skill!$C:$C, 0), 1), "")</f>
        <v/>
      </c>
      <c r="BX13" s="94" t="str">
        <f t="array" ref="BX13">IFERROR(INDEX(Skill!$AE:$AE, MATCH(BX$4, Skill!$C:$C, 0), 1), "")</f>
        <v/>
      </c>
      <c r="BY13" s="94" t="str">
        <f t="array" ref="BY13">IFERROR(INDEX(Skill!$AE:$AE, MATCH(BY$4, Skill!$C:$C, 0), 1), "")</f>
        <v>RANGE_AFFECTED_GCD</v>
      </c>
      <c r="BZ13" s="94" t="str">
        <f t="array" ref="BZ13">IFERROR(INDEX(Skill!$AE:$AE, MATCH(BZ$4, Skill!$C:$C, 0), 1), "")</f>
        <v/>
      </c>
      <c r="CA13" s="94" t="str">
        <f t="array" ref="CA13">IFERROR(INDEX(Skill!$AE:$AE, MATCH(CA$4, Skill!$C:$C, 0), 1), "")</f>
        <v/>
      </c>
      <c r="CB13" s="94" t="str">
        <f t="array" ref="CB13">IFERROR(INDEX(Skill!$AE:$AE, MATCH(CB$4, Skill!$C:$C, 0), 1), "")</f>
        <v/>
      </c>
      <c r="CC13" s="94" t="str">
        <f t="array" ref="CC13">IFERROR(INDEX(Skill!$AE:$AE, MATCH(CC$4, Skill!$C:$C, 0), 1), "")</f>
        <v/>
      </c>
      <c r="CD13" s="94" t="str">
        <f t="array" ref="CD13">IFERROR(INDEX(Skill!$AE:$AE, MATCH(CD$4, Skill!$C:$C, 0), 1), "")</f>
        <v/>
      </c>
      <c r="CE13" s="94" t="str">
        <f t="array" ref="CE13">IFERROR(INDEX(Skill!$AE:$AE, MATCH(CE$4, Skill!$C:$C, 0), 1), "")</f>
        <v/>
      </c>
      <c r="CF13" s="94" t="str">
        <f t="array" ref="CF13">IFERROR(INDEX(Skill!$AE:$AE, MATCH(CF$4, Skill!$C:$C, 0), 1), "")</f>
        <v/>
      </c>
      <c r="CG13" s="94" t="str">
        <f t="array" ref="CG13">IFERROR(INDEX(Skill!$AE:$AE, MATCH(CG$4, Skill!$C:$C, 0), 1), "")</f>
        <v/>
      </c>
      <c r="CH13" s="94" t="str">
        <f t="array" ref="CH13">IFERROR(INDEX(Skill!$AE:$AE, MATCH(CH$4, Skill!$C:$C, 0), 1), "")</f>
        <v/>
      </c>
      <c r="CI13" s="94" t="str">
        <f t="array" ref="CI13">IFERROR(INDEX(Skill!$AE:$AE, MATCH(CI$4, Skill!$C:$C, 0), 1), "")</f>
        <v>SELF_EFFECTED_GCD</v>
      </c>
      <c r="CJ13" s="94" t="str">
        <f t="array" ref="CJ13">IFERROR(INDEX(Skill!$AE:$AE, MATCH(CJ$4, Skill!$C:$C, 0), 1), "")</f>
        <v/>
      </c>
      <c r="CK13" s="94" t="str">
        <f t="array" ref="CK13">IFERROR(INDEX(Skill!$AE:$AE, MATCH(CK$4, Skill!$C:$C, 0), 1), "")</f>
        <v/>
      </c>
      <c r="CL13" s="94" t="str">
        <f t="array" ref="CL13">IFERROR(INDEX(Skill!$AE:$AE, MATCH(CL$4, Skill!$C:$C, 0), 1), "")</f>
        <v/>
      </c>
      <c r="CM13" s="94" t="str">
        <f t="array" ref="CM13">IFERROR(INDEX(Skill!$AE:$AE, MATCH(CM$4, Skill!$C:$C, 0), 1), "")</f>
        <v/>
      </c>
      <c r="CN13" s="94" t="str">
        <f t="array" ref="CN13">IFERROR(INDEX(Skill!$AE:$AE, MATCH(CN$4, Skill!$C:$C, 0), 1), "")</f>
        <v/>
      </c>
      <c r="CO13" s="94" t="str">
        <f t="array" ref="CO13">IFERROR(INDEX(Skill!$AE:$AE, MATCH(CO$4, Skill!$C:$C, 0), 1), "")</f>
        <v/>
      </c>
      <c r="CP13" s="94" t="str">
        <f t="array" ref="CP13">IFERROR(INDEX(Skill!$AE:$AE, MATCH(CP$4, Skill!$C:$C, 0), 1), "")</f>
        <v/>
      </c>
      <c r="CQ13" s="94" t="str">
        <f t="array" ref="CQ13">IFERROR(INDEX(Skill!$AE:$AE, MATCH(CQ$4, Skill!$C:$C, 0), 1), "")</f>
        <v/>
      </c>
      <c r="CR13" s="94" t="str">
        <f t="array" ref="CR13">IFERROR(INDEX(Skill!$AE:$AE, MATCH(CR$4, Skill!$C:$C, 0), 1), "")</f>
        <v/>
      </c>
      <c r="CS13" s="94" t="str">
        <f t="array" ref="CS13">IFERROR(INDEX(Skill!$AE:$AE, MATCH(CS$4, Skill!$C:$C, 0), 1), "")</f>
        <v/>
      </c>
      <c r="CT13" s="94" t="str">
        <f t="array" ref="CT13">IFERROR(INDEX(Skill!$AE:$AE, MATCH(CT$4, Skill!$C:$C, 0), 1), "")</f>
        <v/>
      </c>
      <c r="CU13" s="94" t="str">
        <f t="array" ref="CU13">IFERROR(INDEX(Skill!$AE:$AE, MATCH(CU$4, Skill!$C:$C, 0), 1), "")</f>
        <v/>
      </c>
      <c r="CV13" s="94" t="str">
        <f t="array" ref="CV13">IFERROR(INDEX(Skill!$AE:$AE, MATCH(CV$4, Skill!$C:$C, 0), 1), "")</f>
        <v/>
      </c>
      <c r="CW13" s="94" t="str">
        <f t="array" ref="CW13">IFERROR(INDEX(Skill!$AE:$AE, MATCH(CW$4, Skill!$C:$C, 0), 1), "")</f>
        <v/>
      </c>
      <c r="CX13" s="94" t="str">
        <f t="array" ref="CX13">IFERROR(INDEX(Skill!$AE:$AE, MATCH(CX$4, Skill!$C:$C, 0), 1), "")</f>
        <v>SELF_EFFECTED_GCD</v>
      </c>
      <c r="CY13" s="94" t="str">
        <f t="array" ref="CY13">IFERROR(INDEX(Skill!$AE:$AE, MATCH(CY$4, Skill!$C:$C, 0), 1), "")</f>
        <v>RANGE_AFFECTED_ALL</v>
      </c>
      <c r="CZ13" s="94" t="str">
        <f t="array" ref="CZ13">IFERROR(INDEX(Skill!$AE:$AE, MATCH(CZ$4, Skill!$C:$C, 0), 1), "")</f>
        <v/>
      </c>
      <c r="DA13" s="94" t="str">
        <f t="array" ref="DA13">IFERROR(INDEX(Skill!$AE:$AE, MATCH(DA$4, Skill!$C:$C, 0), 1), "")</f>
        <v/>
      </c>
      <c r="DB13" s="94" t="str">
        <f t="array" ref="DB13">IFERROR(INDEX(Skill!$AE:$AE, MATCH(DB$4, Skill!$C:$C, 0), 1), "")</f>
        <v/>
      </c>
      <c r="DC13" s="94" t="str">
        <f t="array" ref="DC13">IFERROR(INDEX(Skill!$AE:$AE, MATCH(DC$4, Skill!$C:$C, 0), 1), "")</f>
        <v>SELF_EFFECTED_GCD</v>
      </c>
      <c r="DD13" s="94" t="str">
        <f t="array" ref="DD13">IFERROR(INDEX(Skill!$AE:$AE, MATCH(DD$4, Skill!$C:$C, 0), 1), "")</f>
        <v/>
      </c>
      <c r="DE13" s="94" t="str">
        <f t="array" ref="DE13">IFERROR(INDEX(Skill!$AE:$AE, MATCH(DE$4, Skill!$C:$C, 0), 1), "")</f>
        <v/>
      </c>
      <c r="DF13" s="94" t="str">
        <f t="array" ref="DF13">IFERROR(INDEX(Skill!$AE:$AE, MATCH(DF$4, Skill!$C:$C, 0), 1), "")</f>
        <v/>
      </c>
      <c r="DG13" s="94" t="str">
        <f t="array" ref="DG13">IFERROR(INDEX(Skill!$AE:$AE, MATCH(DG$4, Skill!$C:$C, 0), 1), "")</f>
        <v/>
      </c>
      <c r="DH13" s="94" t="str">
        <f t="array" ref="DH13">IFERROR(INDEX(Skill!$AE:$AE, MATCH(DH$4, Skill!$C:$C, 0), 1), "")</f>
        <v/>
      </c>
      <c r="DI13" s="94" t="str">
        <f t="array" ref="DI13">IFERROR(INDEX(Skill!$AE:$AE, MATCH(DI$4, Skill!$C:$C, 0), 1), "")</f>
        <v/>
      </c>
      <c r="DJ13" s="94" t="str">
        <f t="array" ref="DJ13">IFERROR(INDEX(Skill!$AE:$AE, MATCH(DJ$4, Skill!$C:$C, 0), 1), "")</f>
        <v/>
      </c>
      <c r="DK13" s="94" t="str">
        <f t="array" ref="DK13">IFERROR(INDEX(Skill!$AE:$AE, MATCH(DK$4, Skill!$C:$C, 0), 1), "")</f>
        <v>RANGE_AFFECTED_ALL</v>
      </c>
      <c r="DL13" s="94" t="str">
        <f t="array" ref="DL13">IFERROR(INDEX(Skill!$AE:$AE, MATCH(DL$4, Skill!$C:$C, 0), 1), "")</f>
        <v/>
      </c>
      <c r="DM13" s="94" t="str">
        <f t="array" ref="DM13">IFERROR(INDEX(Skill!$AE:$AE, MATCH(DM$4, Skill!$C:$C, 0), 1), "")</f>
        <v/>
      </c>
      <c r="DN13" s="94" t="str">
        <f t="array" ref="DN13">IFERROR(INDEX(Skill!$AE:$AE, MATCH(DN$4, Skill!$C:$C, 0), 1), "")</f>
        <v/>
      </c>
      <c r="DO13" s="94" t="str">
        <f t="array" ref="DO13">IFERROR(INDEX(Skill!$AE:$AE, MATCH(DO$4, Skill!$C:$C, 0), 1), "")</f>
        <v/>
      </c>
      <c r="DP13" s="94" t="str">
        <f t="array" ref="DP13">IFERROR(INDEX(Skill!$AE:$AE, MATCH(DP$4, Skill!$C:$C, 0), 1), "")</f>
        <v/>
      </c>
      <c r="DQ13" s="94" t="str">
        <f t="array" ref="DQ13">IFERROR(INDEX(Skill!$AE:$AE, MATCH(DQ$4, Skill!$C:$C, 0), 1), "")</f>
        <v/>
      </c>
      <c r="DR13" s="94" t="str">
        <f t="array" ref="DR13">IFERROR(INDEX(Skill!$AE:$AE, MATCH(DR$4, Skill!$C:$C, 0), 1), "")</f>
        <v>RANGE_AFFECTED_ALL</v>
      </c>
      <c r="DS13" s="94" t="str">
        <f t="array" ref="DS13">IFERROR(INDEX(Skill!$AE:$AE, MATCH(DS$4, Skill!$C:$C, 0), 1), "")</f>
        <v/>
      </c>
      <c r="DT13" s="94" t="str">
        <f t="array" ref="DT13">IFERROR(INDEX(Skill!$AE:$AE, MATCH(DT$4, Skill!$C:$C, 0), 1), "")</f>
        <v/>
      </c>
      <c r="DU13" s="94" t="str">
        <f t="array" ref="DU13">IFERROR(INDEX(Skill!$AE:$AE, MATCH(DU$4, Skill!$C:$C, 0), 1), "")</f>
        <v/>
      </c>
      <c r="DV13" s="94" t="str">
        <f t="array" ref="DV13">IFERROR(INDEX(Skill!$AE:$AE, MATCH(DV$4, Skill!$C:$C, 0), 1), "")</f>
        <v/>
      </c>
      <c r="DW13" s="94" t="str">
        <f t="array" ref="DW13">IFERROR(INDEX(Skill!$AE:$AE, MATCH(DW$4, Skill!$C:$C, 0), 1), "")</f>
        <v/>
      </c>
      <c r="DX13" s="94" t="str">
        <f t="array" ref="DX13">IFERROR(INDEX(Skill!$AE:$AE, MATCH(DX$4, Skill!$C:$C, 0), 1), "")</f>
        <v/>
      </c>
      <c r="DY13" s="94" t="str">
        <f t="array" ref="DY13">IFERROR(INDEX(Skill!$AE:$AE, MATCH(DY$4, Skill!$C:$C, 0), 1), "")</f>
        <v/>
      </c>
      <c r="DZ13" s="94" t="str">
        <f t="array" ref="DZ13">IFERROR(INDEX(Skill!$AE:$AE, MATCH(DZ$4, Skill!$C:$C, 0), 1), "")</f>
        <v>RANGE_AFFECTED_ALL</v>
      </c>
      <c r="EA13" s="89" t="str">
        <f t="array" ref="EA13">IFERROR(INDEX(Skill!$AE:$AE, MATCH(EA$4, Skill!$C:$C, 0), 1), "")</f>
        <v/>
      </c>
      <c r="EB13" s="89" t="str">
        <f t="array" ref="EB13">IFERROR(INDEX(Skill!$AE:$AE, MATCH(EB$4, Skill!$C:$C, 0), 1), "")</f>
        <v/>
      </c>
      <c r="EC13" s="89" t="str">
        <f t="array" ref="EC13">IFERROR(INDEX(Skill!$AE:$AE, MATCH(EC$4, Skill!$C:$C, 0), 1), "")</f>
        <v/>
      </c>
      <c r="ED13" s="94" t="str">
        <f t="array" ref="ED13">IFERROR(INDEX(Skill!$AE:$AE, MATCH(ED$4, Skill!$C:$C, 0), 1), "")</f>
        <v/>
      </c>
      <c r="EE13" s="97"/>
      <c r="EF13" s="97"/>
      <c r="EG13" s="97"/>
      <c r="EH13" s="97"/>
      <c r="EI13" s="97"/>
      <c r="EJ13" s="97"/>
      <c r="EK13" s="97"/>
      <c r="EL13" s="97"/>
      <c r="EM13" s="97"/>
      <c r="EN13" s="97"/>
      <c r="EO13" s="97"/>
      <c r="EP13" s="97"/>
      <c r="EQ13" s="97"/>
      <c r="ER13" s="100"/>
      <c r="ES13" s="100"/>
      <c r="ET13" s="100"/>
      <c r="EU13" s="101"/>
      <c r="EV13" s="101"/>
      <c r="EW13" s="101"/>
      <c r="EX13" s="101"/>
      <c r="EY13" s="101"/>
      <c r="EZ13" s="101"/>
      <c r="FA13" s="101"/>
      <c r="FB13" s="101"/>
      <c r="FC13" s="101"/>
      <c r="FD13" s="101"/>
      <c r="FE13" s="101"/>
      <c r="FF13" s="101"/>
      <c r="FG13" s="101"/>
      <c r="FH13" s="101"/>
      <c r="FI13" s="101"/>
      <c r="FJ13" s="101"/>
      <c r="FK13" s="101"/>
      <c r="FL13" s="101"/>
      <c r="FM13" s="101"/>
      <c r="FN13" s="101"/>
      <c r="FO13" s="99"/>
    </row>
    <row r="14" hidden="1">
      <c r="A14" s="3"/>
      <c r="B14" s="90"/>
      <c r="C14" s="90"/>
      <c r="D14" s="90"/>
      <c r="E14" s="90" t="s">
        <v>1052</v>
      </c>
      <c r="F14" s="90"/>
      <c r="G14" s="90"/>
      <c r="H14" s="90"/>
      <c r="I14" s="90"/>
      <c r="J14" s="90"/>
      <c r="K14" s="94" t="str">
        <f t="array" ref="K14">IFERROR(INDEX(Skill!$AH:$AH, MATCH(K$4, Skill!$C:$C, 0), 1), "")</f>
        <v/>
      </c>
      <c r="L14" s="94" t="str">
        <f t="array" ref="L14">IFERROR(INDEX(Skill!$AH:$AH, MATCH(L$4, Skill!$C:$C, 0), 1), "")</f>
        <v/>
      </c>
      <c r="M14" s="94" t="str">
        <f t="array" ref="M14">IFERROR(INDEX(Skill!$AH:$AH, MATCH(M$4, Skill!$C:$C, 0), 1), "")</f>
        <v/>
      </c>
      <c r="N14" s="94" t="str">
        <f t="array" ref="N14">IFERROR(INDEX(Skill!$AH:$AH, MATCH(N$4, Skill!$C:$C, 0), 1), "")</f>
        <v/>
      </c>
      <c r="O14" s="94">
        <f t="array" ref="O14">IFERROR(INDEX(Skill!$AH:$AH, MATCH(O$4, Skill!$C:$C, 0), 1), "")</f>
        <v>1.15</v>
      </c>
      <c r="P14" s="94" t="str">
        <f t="array" ref="P14">IFERROR(INDEX(Skill!$AH:$AH, MATCH(P$4, Skill!$C:$C, 0), 1), "")</f>
        <v/>
      </c>
      <c r="Q14" s="94" t="str">
        <f t="array" ref="Q14">IFERROR(INDEX(Skill!$AH:$AH, MATCH(Q$4, Skill!$C:$C, 0), 1), "")</f>
        <v/>
      </c>
      <c r="R14" s="94" t="str">
        <f t="array" ref="R14">IFERROR(INDEX(Skill!$AH:$AH, MATCH(R$4, Skill!$C:$C, 0), 1), "")</f>
        <v/>
      </c>
      <c r="S14" s="94" t="str">
        <f t="array" ref="S14">IFERROR(INDEX(Skill!$AH:$AH, MATCH(S$4, Skill!$C:$C, 0), 1), "")</f>
        <v/>
      </c>
      <c r="T14" s="94" t="str">
        <f t="array" ref="T14">IFERROR(INDEX(Skill!$AH:$AH, MATCH(T$4, Skill!$C:$C, 0), 1), "")</f>
        <v/>
      </c>
      <c r="U14" s="94" t="str">
        <f t="array" ref="U14">IFERROR(INDEX(Skill!$AH:$AH, MATCH(U$4, Skill!$C:$C, 0), 1), "")</f>
        <v/>
      </c>
      <c r="V14" s="94" t="str">
        <f t="array" ref="V14">IFERROR(INDEX(Skill!$AH:$AH, MATCH(V$4, Skill!$C:$C, 0), 1), "")</f>
        <v/>
      </c>
      <c r="W14" s="94">
        <f t="array" ref="W14">IFERROR(INDEX(Skill!$AH:$AH, MATCH(W$4, Skill!$C:$C, 0), 1), "")</f>
        <v>1.15</v>
      </c>
      <c r="X14" s="94">
        <f t="array" ref="X14">IFERROR(INDEX(Skill!$AH:$AH, MATCH(X$4, Skill!$C:$C, 0), 1), "")</f>
        <v>1.2</v>
      </c>
      <c r="Y14" s="94" t="str">
        <f t="array" ref="Y14">IFERROR(INDEX(Skill!$AH:$AH, MATCH(Y$4, Skill!$C:$C, 0), 1), "")</f>
        <v/>
      </c>
      <c r="Z14" s="94" t="str">
        <f t="array" ref="Z14">IFERROR(INDEX(Skill!$AH:$AH, MATCH(Z$4, Skill!$C:$C, 0), 1), "")</f>
        <v/>
      </c>
      <c r="AA14" s="94" t="str">
        <f t="array" ref="AA14">IFERROR(INDEX(Skill!$AH:$AH, MATCH(AA$4, Skill!$C:$C, 0), 1), "")</f>
        <v/>
      </c>
      <c r="AB14" s="94" t="str">
        <f t="array" ref="AB14">IFERROR(INDEX(Skill!$AH:$AH, MATCH(AB$4, Skill!$C:$C, 0), 1), "")</f>
        <v/>
      </c>
      <c r="AC14" s="94" t="str">
        <f t="array" ref="AC14">IFERROR(INDEX(Skill!$AH:$AH, MATCH(AC$4, Skill!$C:$C, 0), 1), "")</f>
        <v/>
      </c>
      <c r="AD14" s="94" t="str">
        <f t="array" ref="AD14">IFERROR(INDEX(Skill!$AH:$AH, MATCH(AD$4, Skill!$C:$C, 0), 1), "")</f>
        <v/>
      </c>
      <c r="AE14" s="94" t="str">
        <f t="array" ref="AE14">IFERROR(INDEX(Skill!$AH:$AH, MATCH(AE$4, Skill!$C:$C, 0), 1), "")</f>
        <v/>
      </c>
      <c r="AF14" s="94" t="str">
        <f t="array" ref="AF14">IFERROR(INDEX(Skill!$AH:$AH, MATCH(AF$4, Skill!$C:$C, 0), 1), "")</f>
        <v/>
      </c>
      <c r="AG14" s="94" t="str">
        <f t="array" ref="AG14">IFERROR(INDEX(Skill!$AH:$AH, MATCH(AG$4, Skill!$C:$C, 0), 1), "")</f>
        <v/>
      </c>
      <c r="AH14" s="94">
        <f t="array" ref="AH14">IFERROR(INDEX(Skill!$AH:$AH, MATCH(AH$4, Skill!$C:$C, 0), 1), "")</f>
        <v>1.15</v>
      </c>
      <c r="AI14" s="94" t="str">
        <f t="array" ref="AI14">IFERROR(INDEX(Skill!$AH:$AH, MATCH(AI$4, Skill!$C:$C, 0), 1), "")</f>
        <v/>
      </c>
      <c r="AJ14" s="94" t="str">
        <f t="array" ref="AJ14">IFERROR(INDEX(Skill!$AH:$AH, MATCH(AJ$4, Skill!$C:$C, 0), 1), "")</f>
        <v/>
      </c>
      <c r="AK14" s="94" t="str">
        <f t="array" ref="AK14">IFERROR(INDEX(Skill!$AH:$AH, MATCH(AK$4, Skill!$C:$C, 0), 1), "")</f>
        <v/>
      </c>
      <c r="AL14" s="94" t="str">
        <f t="array" ref="AL14">IFERROR(INDEX(Skill!$AH:$AH, MATCH(AL$4, Skill!$C:$C, 0), 1), "")</f>
        <v/>
      </c>
      <c r="AM14" s="94" t="str">
        <f t="array" ref="AM14">IFERROR(INDEX(Skill!$AH:$AH, MATCH(AM$4, Skill!$C:$C, 0), 1), "")</f>
        <v/>
      </c>
      <c r="AN14" s="94" t="str">
        <f t="array" ref="AN14">IFERROR(INDEX(Skill!$AH:$AH, MATCH(AN$4, Skill!$C:$C, 0), 1), "")</f>
        <v/>
      </c>
      <c r="AO14" s="94">
        <f t="array" ref="AO14">IFERROR(INDEX(Skill!$AH:$AH, MATCH(AO$4, Skill!$C:$C, 0), 1), "")</f>
        <v>1.15</v>
      </c>
      <c r="AP14" s="94" t="str">
        <f t="array" ref="AP14">IFERROR(INDEX(Skill!$AH:$AH, MATCH(AP$4, Skill!$C:$C, 0), 1), "")</f>
        <v/>
      </c>
      <c r="AQ14" s="94" t="str">
        <f t="array" ref="AQ14">IFERROR(INDEX(Skill!$AH:$AH, MATCH(AQ$4, Skill!$C:$C, 0), 1), "")</f>
        <v/>
      </c>
      <c r="AR14" s="94" t="str">
        <f t="array" ref="AR14">IFERROR(INDEX(Skill!$AH:$AH, MATCH(AR$4, Skill!$C:$C, 0), 1), "")</f>
        <v/>
      </c>
      <c r="AS14" s="94">
        <f t="array" ref="AS14">IFERROR(INDEX(Skill!$AH:$AH, MATCH(AS$4, Skill!$C:$C, 0), 1), "")</f>
        <v>1.2</v>
      </c>
      <c r="AT14" s="94" t="str">
        <f t="array" ref="AT14">IFERROR(INDEX(Skill!$AH:$AH, MATCH(AT$4, Skill!$C:$C, 0), 1), "")</f>
        <v/>
      </c>
      <c r="AU14" s="94" t="str">
        <f t="array" ref="AU14">IFERROR(INDEX(Skill!$AH:$AH, MATCH(AU$4, Skill!$C:$C, 0), 1), "")</f>
        <v/>
      </c>
      <c r="AV14" s="94">
        <f t="array" ref="AV14">IFERROR(INDEX(Skill!$AH:$AH, MATCH(AV$4, Skill!$C:$C, 0), 1), "")</f>
        <v>1.1</v>
      </c>
      <c r="AW14" s="94" t="str">
        <f t="array" ref="AW14">IFERROR(INDEX(Skill!$AH:$AH, MATCH(AW$4, Skill!$C:$C, 0), 1), "")</f>
        <v/>
      </c>
      <c r="AX14" s="94" t="str">
        <f t="array" ref="AX14">IFERROR(INDEX(Skill!$AH:$AH, MATCH(AX$4, Skill!$C:$C, 0), 1), "")</f>
        <v/>
      </c>
      <c r="AY14" s="94" t="str">
        <f t="array" ref="AY14">IFERROR(INDEX(Skill!$AH:$AH, MATCH(AY$4, Skill!$C:$C, 0), 1), "")</f>
        <v/>
      </c>
      <c r="AZ14" s="94" t="str">
        <f t="array" ref="AZ14">IFERROR(INDEX(Skill!$AH:$AH, MATCH(AZ$4, Skill!$C:$C, 0), 1), "")</f>
        <v/>
      </c>
      <c r="BA14" s="94" t="str">
        <f t="array" ref="BA14">IFERROR(INDEX(Skill!$AH:$AH, MATCH(BA$4, Skill!$C:$C, 0), 1), "")</f>
        <v/>
      </c>
      <c r="BB14" s="94" t="str">
        <f t="array" ref="BB14">IFERROR(INDEX(Skill!$AH:$AH, MATCH(BB$4, Skill!$C:$C, 0), 1), "")</f>
        <v/>
      </c>
      <c r="BC14" s="94" t="str">
        <f t="array" ref="BC14">IFERROR(INDEX(Skill!$AH:$AH, MATCH(BC$4, Skill!$C:$C, 0), 1), "")</f>
        <v/>
      </c>
      <c r="BD14" s="94" t="str">
        <f t="array" ref="BD14">IFERROR(INDEX(Skill!$AH:$AH, MATCH(BD$4, Skill!$C:$C, 0), 1), "")</f>
        <v/>
      </c>
      <c r="BE14" s="94" t="str">
        <f t="array" ref="BE14">IFERROR(INDEX(Skill!$AH:$AH, MATCH(BE$4, Skill!$C:$C, 0), 1), "")</f>
        <v/>
      </c>
      <c r="BF14" s="94">
        <f t="array" ref="BF14">IFERROR(INDEX(Skill!$AH:$AH, MATCH(BF$4, Skill!$C:$C, 0), 1), "")</f>
        <v>1.2</v>
      </c>
      <c r="BG14" s="94" t="str">
        <f t="array" ref="BG14">IFERROR(INDEX(Skill!$AH:$AH, MATCH(BG$4, Skill!$C:$C, 0), 1), "")</f>
        <v/>
      </c>
      <c r="BH14" s="94" t="str">
        <f t="array" ref="BH14">IFERROR(INDEX(Skill!$AH:$AH, MATCH(BH$4, Skill!$C:$C, 0), 1), "")</f>
        <v/>
      </c>
      <c r="BI14" s="94" t="str">
        <f t="array" ref="BI14">IFERROR(INDEX(Skill!$AH:$AH, MATCH(BI$4, Skill!$C:$C, 0), 1), "")</f>
        <v/>
      </c>
      <c r="BJ14" s="94" t="str">
        <f t="array" ref="BJ14">IFERROR(INDEX(Skill!$AH:$AH, MATCH(BJ$4, Skill!$C:$C, 0), 1), "")</f>
        <v/>
      </c>
      <c r="BK14" s="94" t="str">
        <f t="array" ref="BK14">IFERROR(INDEX(Skill!$AH:$AH, MATCH(BK$4, Skill!$C:$C, 0), 1), "")</f>
        <v/>
      </c>
      <c r="BL14" s="94" t="str">
        <f t="array" ref="BL14">IFERROR(INDEX(Skill!$AH:$AH, MATCH(BL$4, Skill!$C:$C, 0), 1), "")</f>
        <v/>
      </c>
      <c r="BM14" s="94" t="str">
        <f t="array" ref="BM14">IFERROR(INDEX(Skill!$AH:$AH, MATCH(BM$4, Skill!$C:$C, 0), 1), "")</f>
        <v/>
      </c>
      <c r="BN14" s="94" t="str">
        <f t="array" ref="BN14">IFERROR(INDEX(Skill!$AH:$AH, MATCH(BN$4, Skill!$C:$C, 0), 1), "")</f>
        <v/>
      </c>
      <c r="BO14" s="94">
        <f t="array" ref="BO14">IFERROR(INDEX(Skill!$AH:$AH, MATCH(BO$4, Skill!$C:$C, 0), 1), "")</f>
        <v>1.1</v>
      </c>
      <c r="BP14" s="94" t="str">
        <f t="array" ref="BP14">IFERROR(INDEX(Skill!$AH:$AH, MATCH(BP$4, Skill!$C:$C, 0), 1), "")</f>
        <v/>
      </c>
      <c r="BQ14" s="94" t="str">
        <f t="array" ref="BQ14">IFERROR(INDEX(Skill!$AH:$AH, MATCH(BQ$4, Skill!$C:$C, 0), 1), "")</f>
        <v/>
      </c>
      <c r="BR14" s="94" t="str">
        <f t="array" ref="BR14">IFERROR(INDEX(Skill!$AH:$AH, MATCH(BR$4, Skill!$C:$C, 0), 1), "")</f>
        <v/>
      </c>
      <c r="BS14" s="94" t="str">
        <f t="array" ref="BS14">IFERROR(INDEX(Skill!$AH:$AH, MATCH(BS$4, Skill!$C:$C, 0), 1), "")</f>
        <v/>
      </c>
      <c r="BT14" s="94" t="str">
        <f t="array" ref="BT14">IFERROR(INDEX(Skill!$AH:$AH, MATCH(BT$4, Skill!$C:$C, 0), 1), "")</f>
        <v/>
      </c>
      <c r="BU14" s="94" t="str">
        <f t="array" ref="BU14">IFERROR(INDEX(Skill!$AH:$AH, MATCH(BU$4, Skill!$C:$C, 0), 1), "")</f>
        <v/>
      </c>
      <c r="BV14" s="94" t="str">
        <f t="array" ref="BV14">IFERROR(INDEX(Skill!$AH:$AH, MATCH(BV$4, Skill!$C:$C, 0), 1), "")</f>
        <v/>
      </c>
      <c r="BW14" s="94" t="str">
        <f t="array" ref="BW14">IFERROR(INDEX(Skill!$AH:$AH, MATCH(BW$4, Skill!$C:$C, 0), 1), "")</f>
        <v/>
      </c>
      <c r="BX14" s="94" t="str">
        <f t="array" ref="BX14">IFERROR(INDEX(Skill!$AH:$AH, MATCH(BX$4, Skill!$C:$C, 0), 1), "")</f>
        <v/>
      </c>
      <c r="BY14" s="94">
        <f t="array" ref="BY14">IFERROR(INDEX(Skill!$AH:$AH, MATCH(BY$4, Skill!$C:$C, 0), 1), "")</f>
        <v>1.1</v>
      </c>
      <c r="BZ14" s="94" t="str">
        <f t="array" ref="BZ14">IFERROR(INDEX(Skill!$AH:$AH, MATCH(BZ$4, Skill!$C:$C, 0), 1), "")</f>
        <v/>
      </c>
      <c r="CA14" s="94" t="str">
        <f t="array" ref="CA14">IFERROR(INDEX(Skill!$AH:$AH, MATCH(CA$4, Skill!$C:$C, 0), 1), "")</f>
        <v/>
      </c>
      <c r="CB14" s="94" t="str">
        <f t="array" ref="CB14">IFERROR(INDEX(Skill!$AH:$AH, MATCH(CB$4, Skill!$C:$C, 0), 1), "")</f>
        <v/>
      </c>
      <c r="CC14" s="94" t="str">
        <f t="array" ref="CC14">IFERROR(INDEX(Skill!$AH:$AH, MATCH(CC$4, Skill!$C:$C, 0), 1), "")</f>
        <v/>
      </c>
      <c r="CD14" s="94" t="str">
        <f t="array" ref="CD14">IFERROR(INDEX(Skill!$AH:$AH, MATCH(CD$4, Skill!$C:$C, 0), 1), "")</f>
        <v/>
      </c>
      <c r="CE14" s="94" t="str">
        <f t="array" ref="CE14">IFERROR(INDEX(Skill!$AH:$AH, MATCH(CE$4, Skill!$C:$C, 0), 1), "")</f>
        <v/>
      </c>
      <c r="CF14" s="94" t="str">
        <f t="array" ref="CF14">IFERROR(INDEX(Skill!$AH:$AH, MATCH(CF$4, Skill!$C:$C, 0), 1), "")</f>
        <v/>
      </c>
      <c r="CG14" s="94" t="str">
        <f t="array" ref="CG14">IFERROR(INDEX(Skill!$AH:$AH, MATCH(CG$4, Skill!$C:$C, 0), 1), "")</f>
        <v/>
      </c>
      <c r="CH14" s="94" t="str">
        <f t="array" ref="CH14">IFERROR(INDEX(Skill!$AH:$AH, MATCH(CH$4, Skill!$C:$C, 0), 1), "")</f>
        <v/>
      </c>
      <c r="CI14" s="94">
        <f t="array" ref="CI14">IFERROR(INDEX(Skill!$AH:$AH, MATCH(CI$4, Skill!$C:$C, 0), 1), "")</f>
        <v>1.2</v>
      </c>
      <c r="CJ14" s="94" t="str">
        <f t="array" ref="CJ14">IFERROR(INDEX(Skill!$AH:$AH, MATCH(CJ$4, Skill!$C:$C, 0), 1), "")</f>
        <v/>
      </c>
      <c r="CK14" s="94" t="str">
        <f t="array" ref="CK14">IFERROR(INDEX(Skill!$AH:$AH, MATCH(CK$4, Skill!$C:$C, 0), 1), "")</f>
        <v/>
      </c>
      <c r="CL14" s="94" t="str">
        <f t="array" ref="CL14">IFERROR(INDEX(Skill!$AH:$AH, MATCH(CL$4, Skill!$C:$C, 0), 1), "")</f>
        <v/>
      </c>
      <c r="CM14" s="94" t="str">
        <f t="array" ref="CM14">IFERROR(INDEX(Skill!$AH:$AH, MATCH(CM$4, Skill!$C:$C, 0), 1), "")</f>
        <v/>
      </c>
      <c r="CN14" s="94" t="str">
        <f t="array" ref="CN14">IFERROR(INDEX(Skill!$AH:$AH, MATCH(CN$4, Skill!$C:$C, 0), 1), "")</f>
        <v/>
      </c>
      <c r="CO14" s="94" t="str">
        <f t="array" ref="CO14">IFERROR(INDEX(Skill!$AH:$AH, MATCH(CO$4, Skill!$C:$C, 0), 1), "")</f>
        <v/>
      </c>
      <c r="CP14" s="94" t="str">
        <f t="array" ref="CP14">IFERROR(INDEX(Skill!$AH:$AH, MATCH(CP$4, Skill!$C:$C, 0), 1), "")</f>
        <v/>
      </c>
      <c r="CQ14" s="94" t="str">
        <f t="array" ref="CQ14">IFERROR(INDEX(Skill!$AH:$AH, MATCH(CQ$4, Skill!$C:$C, 0), 1), "")</f>
        <v/>
      </c>
      <c r="CR14" s="94" t="str">
        <f t="array" ref="CR14">IFERROR(INDEX(Skill!$AH:$AH, MATCH(CR$4, Skill!$C:$C, 0), 1), "")</f>
        <v/>
      </c>
      <c r="CS14" s="94" t="str">
        <f t="array" ref="CS14">IFERROR(INDEX(Skill!$AH:$AH, MATCH(CS$4, Skill!$C:$C, 0), 1), "")</f>
        <v/>
      </c>
      <c r="CT14" s="94" t="str">
        <f t="array" ref="CT14">IFERROR(INDEX(Skill!$AH:$AH, MATCH(CT$4, Skill!$C:$C, 0), 1), "")</f>
        <v/>
      </c>
      <c r="CU14" s="94" t="str">
        <f t="array" ref="CU14">IFERROR(INDEX(Skill!$AH:$AH, MATCH(CU$4, Skill!$C:$C, 0), 1), "")</f>
        <v/>
      </c>
      <c r="CV14" s="94" t="str">
        <f t="array" ref="CV14">IFERROR(INDEX(Skill!$AH:$AH, MATCH(CV$4, Skill!$C:$C, 0), 1), "")</f>
        <v/>
      </c>
      <c r="CW14" s="94" t="str">
        <f t="array" ref="CW14">IFERROR(INDEX(Skill!$AH:$AH, MATCH(CW$4, Skill!$C:$C, 0), 1), "")</f>
        <v/>
      </c>
      <c r="CX14" s="94">
        <f t="array" ref="CX14">IFERROR(INDEX(Skill!$AH:$AH, MATCH(CX$4, Skill!$C:$C, 0), 1), "")</f>
        <v>1.5</v>
      </c>
      <c r="CY14" s="94">
        <f t="array" ref="CY14">IFERROR(INDEX(Skill!$AH:$AH, MATCH(CY$4, Skill!$C:$C, 0), 1), "")</f>
        <v>1.1</v>
      </c>
      <c r="CZ14" s="94" t="str">
        <f t="array" ref="CZ14">IFERROR(INDEX(Skill!$AH:$AH, MATCH(CZ$4, Skill!$C:$C, 0), 1), "")</f>
        <v/>
      </c>
      <c r="DA14" s="94" t="str">
        <f t="array" ref="DA14">IFERROR(INDEX(Skill!$AH:$AH, MATCH(DA$4, Skill!$C:$C, 0), 1), "")</f>
        <v/>
      </c>
      <c r="DB14" s="94" t="str">
        <f t="array" ref="DB14">IFERROR(INDEX(Skill!$AH:$AH, MATCH(DB$4, Skill!$C:$C, 0), 1), "")</f>
        <v/>
      </c>
      <c r="DC14" s="94">
        <f t="array" ref="DC14">IFERROR(INDEX(Skill!$AH:$AH, MATCH(DC$4, Skill!$C:$C, 0), 1), "")</f>
        <v>1.2</v>
      </c>
      <c r="DD14" s="94" t="str">
        <f t="array" ref="DD14">IFERROR(INDEX(Skill!$AH:$AH, MATCH(DD$4, Skill!$C:$C, 0), 1), "")</f>
        <v/>
      </c>
      <c r="DE14" s="94" t="str">
        <f t="array" ref="DE14">IFERROR(INDEX(Skill!$AH:$AH, MATCH(DE$4, Skill!$C:$C, 0), 1), "")</f>
        <v/>
      </c>
      <c r="DF14" s="94" t="str">
        <f t="array" ref="DF14">IFERROR(INDEX(Skill!$AH:$AH, MATCH(DF$4, Skill!$C:$C, 0), 1), "")</f>
        <v/>
      </c>
      <c r="DG14" s="94" t="str">
        <f t="array" ref="DG14">IFERROR(INDEX(Skill!$AH:$AH, MATCH(DG$4, Skill!$C:$C, 0), 1), "")</f>
        <v/>
      </c>
      <c r="DH14" s="94" t="str">
        <f t="array" ref="DH14">IFERROR(INDEX(Skill!$AH:$AH, MATCH(DH$4, Skill!$C:$C, 0), 1), "")</f>
        <v/>
      </c>
      <c r="DI14" s="94" t="str">
        <f t="array" ref="DI14">IFERROR(INDEX(Skill!$AH:$AH, MATCH(DI$4, Skill!$C:$C, 0), 1), "")</f>
        <v/>
      </c>
      <c r="DJ14" s="94" t="str">
        <f t="array" ref="DJ14">IFERROR(INDEX(Skill!$AH:$AH, MATCH(DJ$4, Skill!$C:$C, 0), 1), "")</f>
        <v/>
      </c>
      <c r="DK14" s="94">
        <f t="array" ref="DK14">IFERROR(INDEX(Skill!$AH:$AH, MATCH(DK$4, Skill!$C:$C, 0), 1), "")</f>
        <v>1.1</v>
      </c>
      <c r="DL14" s="94" t="str">
        <f t="array" ref="DL14">IFERROR(INDEX(Skill!$AH:$AH, MATCH(DL$4, Skill!$C:$C, 0), 1), "")</f>
        <v/>
      </c>
      <c r="DM14" s="94" t="str">
        <f t="array" ref="DM14">IFERROR(INDEX(Skill!$AH:$AH, MATCH(DM$4, Skill!$C:$C, 0), 1), "")</f>
        <v/>
      </c>
      <c r="DN14" s="94" t="str">
        <f t="array" ref="DN14">IFERROR(INDEX(Skill!$AH:$AH, MATCH(DN$4, Skill!$C:$C, 0), 1), "")</f>
        <v/>
      </c>
      <c r="DO14" s="94" t="str">
        <f t="array" ref="DO14">IFERROR(INDEX(Skill!$AH:$AH, MATCH(DO$4, Skill!$C:$C, 0), 1), "")</f>
        <v/>
      </c>
      <c r="DP14" s="94" t="str">
        <f t="array" ref="DP14">IFERROR(INDEX(Skill!$AH:$AH, MATCH(DP$4, Skill!$C:$C, 0), 1), "")</f>
        <v/>
      </c>
      <c r="DQ14" s="94" t="str">
        <f t="array" ref="DQ14">IFERROR(INDEX(Skill!$AH:$AH, MATCH(DQ$4, Skill!$C:$C, 0), 1), "")</f>
        <v/>
      </c>
      <c r="DR14" s="94">
        <f t="array" ref="DR14">IFERROR(INDEX(Skill!$AH:$AH, MATCH(DR$4, Skill!$C:$C, 0), 1), "")</f>
        <v>1.15</v>
      </c>
      <c r="DS14" s="94" t="str">
        <f t="array" ref="DS14">IFERROR(INDEX(Skill!$AH:$AH, MATCH(DS$4, Skill!$C:$C, 0), 1), "")</f>
        <v/>
      </c>
      <c r="DT14" s="94" t="str">
        <f t="array" ref="DT14">IFERROR(INDEX(Skill!$AH:$AH, MATCH(DT$4, Skill!$C:$C, 0), 1), "")</f>
        <v/>
      </c>
      <c r="DU14" s="94" t="str">
        <f t="array" ref="DU14">IFERROR(INDEX(Skill!$AH:$AH, MATCH(DU$4, Skill!$C:$C, 0), 1), "")</f>
        <v/>
      </c>
      <c r="DV14" s="94" t="str">
        <f t="array" ref="DV14">IFERROR(INDEX(Skill!$AH:$AH, MATCH(DV$4, Skill!$C:$C, 0), 1), "")</f>
        <v/>
      </c>
      <c r="DW14" s="94" t="str">
        <f t="array" ref="DW14">IFERROR(INDEX(Skill!$AH:$AH, MATCH(DW$4, Skill!$C:$C, 0), 1), "")</f>
        <v/>
      </c>
      <c r="DX14" s="94" t="str">
        <f t="array" ref="DX14">IFERROR(INDEX(Skill!$AH:$AH, MATCH(DX$4, Skill!$C:$C, 0), 1), "")</f>
        <v/>
      </c>
      <c r="DY14" s="94" t="str">
        <f t="array" ref="DY14">IFERROR(INDEX(Skill!$AH:$AH, MATCH(DY$4, Skill!$C:$C, 0), 1), "")</f>
        <v/>
      </c>
      <c r="DZ14" s="94">
        <f t="array" ref="DZ14">IFERROR(INDEX(Skill!$AH:$AH, MATCH(DZ$4, Skill!$C:$C, 0), 1), "")</f>
        <v>1.05</v>
      </c>
      <c r="EA14" s="89" t="str">
        <f t="array" ref="EA14">IFERROR(INDEX(Skill!$AH:$AH, MATCH(EA$4, Skill!$C:$C, 0), 1), "")</f>
        <v/>
      </c>
      <c r="EB14" s="89" t="str">
        <f t="array" ref="EB14">IFERROR(INDEX(Skill!$AH:$AH, MATCH(EB$4, Skill!$C:$C, 0), 1), "")</f>
        <v/>
      </c>
      <c r="EC14" s="89" t="str">
        <f t="array" ref="EC14">IFERROR(INDEX(Skill!$AH:$AH, MATCH(EC$4, Skill!$C:$C, 0), 1), "")</f>
        <v/>
      </c>
      <c r="ED14" s="94" t="str">
        <f t="array" ref="ED14">IFERROR(INDEX(Skill!$AH:$AH, MATCH(ED$4, Skill!$C:$C, 0), 1), "")</f>
        <v/>
      </c>
      <c r="EE14" s="97"/>
      <c r="EF14" s="97"/>
      <c r="EG14" s="97"/>
      <c r="EH14" s="97"/>
      <c r="EI14" s="97"/>
      <c r="EJ14" s="97"/>
      <c r="EK14" s="97"/>
      <c r="EL14" s="97"/>
      <c r="EM14" s="97"/>
      <c r="EN14" s="97"/>
      <c r="EO14" s="97"/>
      <c r="EP14" s="97"/>
      <c r="EQ14" s="97"/>
      <c r="ER14" s="100"/>
      <c r="ES14" s="100"/>
      <c r="ET14" s="100"/>
      <c r="EU14" s="101"/>
      <c r="EV14" s="101"/>
      <c r="EW14" s="101"/>
      <c r="EX14" s="101"/>
      <c r="EY14" s="101"/>
      <c r="EZ14" s="101"/>
      <c r="FA14" s="101"/>
      <c r="FB14" s="101"/>
      <c r="FC14" s="101"/>
      <c r="FD14" s="101"/>
      <c r="FE14" s="101"/>
      <c r="FF14" s="101"/>
      <c r="FG14" s="101"/>
      <c r="FH14" s="101"/>
      <c r="FI14" s="101"/>
      <c r="FJ14" s="101"/>
      <c r="FK14" s="101"/>
      <c r="FL14" s="101"/>
      <c r="FM14" s="101"/>
      <c r="FN14" s="101"/>
      <c r="FO14" s="99"/>
    </row>
    <row r="15" hidden="1">
      <c r="A15" s="3"/>
      <c r="B15" s="90"/>
      <c r="C15" s="90"/>
      <c r="D15" s="90"/>
      <c r="E15" s="90" t="s">
        <v>1053</v>
      </c>
      <c r="F15" s="90"/>
      <c r="G15" s="90"/>
      <c r="H15" s="90"/>
      <c r="I15" s="90"/>
      <c r="J15" s="90"/>
      <c r="K15" s="94" t="str">
        <f t="array" ref="K15">IFERROR(INDEX(Skill!$AJ:$AJ, MATCH(K$4, Skill!$C:$C, 0), 1), "")</f>
        <v/>
      </c>
      <c r="L15" s="94" t="str">
        <f t="array" ref="L15">IFERROR(INDEX(Skill!$AJ:$AJ, MATCH(L$4, Skill!$C:$C, 0), 1), "")</f>
        <v/>
      </c>
      <c r="M15" s="94">
        <f t="array" ref="M15">IFERROR(INDEX(Skill!$AJ:$AJ, MATCH(M$4, Skill!$C:$C, 0), 1), "")</f>
        <v>0.1</v>
      </c>
      <c r="N15" s="94" t="str">
        <f t="array" ref="N15">IFERROR(INDEX(Skill!$AJ:$AJ, MATCH(N$4, Skill!$C:$C, 0), 1), "")</f>
        <v/>
      </c>
      <c r="O15" s="94" t="str">
        <f t="array" ref="O15">IFERROR(INDEX(Skill!$AJ:$AJ, MATCH(O$4, Skill!$C:$C, 0), 1), "")</f>
        <v/>
      </c>
      <c r="P15" s="94" t="str">
        <f t="array" ref="P15">IFERROR(INDEX(Skill!$AJ:$AJ, MATCH(P$4, Skill!$C:$C, 0), 1), "")</f>
        <v/>
      </c>
      <c r="Q15" s="94" t="str">
        <f t="array" ref="Q15">IFERROR(INDEX(Skill!$AJ:$AJ, MATCH(Q$4, Skill!$C:$C, 0), 1), "")</f>
        <v/>
      </c>
      <c r="R15" s="94" t="str">
        <f t="array" ref="R15">IFERROR(INDEX(Skill!$AJ:$AJ, MATCH(R$4, Skill!$C:$C, 0), 1), "")</f>
        <v/>
      </c>
      <c r="S15" s="94" t="str">
        <f t="array" ref="S15">IFERROR(INDEX(Skill!$AJ:$AJ, MATCH(S$4, Skill!$C:$C, 0), 1), "")</f>
        <v/>
      </c>
      <c r="T15" s="94" t="str">
        <f t="array" ref="T15">IFERROR(INDEX(Skill!$AJ:$AJ, MATCH(T$4, Skill!$C:$C, 0), 1), "")</f>
        <v/>
      </c>
      <c r="U15" s="94">
        <f t="array" ref="U15">IFERROR(INDEX(Skill!$AJ:$AJ, MATCH(U$4, Skill!$C:$C, 0), 1), "")</f>
        <v>0.15</v>
      </c>
      <c r="V15" s="94" t="str">
        <f t="array" ref="V15">IFERROR(INDEX(Skill!$AJ:$AJ, MATCH(V$4, Skill!$C:$C, 0), 1), "")</f>
        <v/>
      </c>
      <c r="W15" s="94" t="str">
        <f t="array" ref="W15">IFERROR(INDEX(Skill!$AJ:$AJ, MATCH(W$4, Skill!$C:$C, 0), 1), "")</f>
        <v/>
      </c>
      <c r="X15" s="94" t="str">
        <f t="array" ref="X15">IFERROR(INDEX(Skill!$AJ:$AJ, MATCH(X$4, Skill!$C:$C, 0), 1), "")</f>
        <v/>
      </c>
      <c r="Y15" s="94" t="str">
        <f t="array" ref="Y15">IFERROR(INDEX(Skill!$AJ:$AJ, MATCH(Y$4, Skill!$C:$C, 0), 1), "")</f>
        <v/>
      </c>
      <c r="Z15" s="94" t="str">
        <f t="array" ref="Z15">IFERROR(INDEX(Skill!$AJ:$AJ, MATCH(Z$4, Skill!$C:$C, 0), 1), "")</f>
        <v/>
      </c>
      <c r="AA15" s="94" t="str">
        <f t="array" ref="AA15">IFERROR(INDEX(Skill!$AJ:$AJ, MATCH(AA$4, Skill!$C:$C, 0), 1), "")</f>
        <v/>
      </c>
      <c r="AB15" s="94" t="str">
        <f t="array" ref="AB15">IFERROR(INDEX(Skill!$AJ:$AJ, MATCH(AB$4, Skill!$C:$C, 0), 1), "")</f>
        <v/>
      </c>
      <c r="AC15" s="94" t="str">
        <f t="array" ref="AC15">IFERROR(INDEX(Skill!$AJ:$AJ, MATCH(AC$4, Skill!$C:$C, 0), 1), "")</f>
        <v/>
      </c>
      <c r="AD15" s="94" t="str">
        <f t="array" ref="AD15">IFERROR(INDEX(Skill!$AJ:$AJ, MATCH(AD$4, Skill!$C:$C, 0), 1), "")</f>
        <v/>
      </c>
      <c r="AE15" s="94">
        <f t="array" ref="AE15">IFERROR(INDEX(Skill!$AJ:$AJ, MATCH(AE$4, Skill!$C:$C, 0), 1), "")</f>
        <v>0.25</v>
      </c>
      <c r="AF15" s="94" t="str">
        <f t="array" ref="AF15">IFERROR(INDEX(Skill!$AJ:$AJ, MATCH(AF$4, Skill!$C:$C, 0), 1), "")</f>
        <v/>
      </c>
      <c r="AG15" s="94" t="str">
        <f t="array" ref="AG15">IFERROR(INDEX(Skill!$AJ:$AJ, MATCH(AG$4, Skill!$C:$C, 0), 1), "")</f>
        <v/>
      </c>
      <c r="AH15" s="94" t="str">
        <f t="array" ref="AH15">IFERROR(INDEX(Skill!$AJ:$AJ, MATCH(AH$4, Skill!$C:$C, 0), 1), "")</f>
        <v/>
      </c>
      <c r="AI15" s="94" t="str">
        <f t="array" ref="AI15">IFERROR(INDEX(Skill!$AJ:$AJ, MATCH(AI$4, Skill!$C:$C, 0), 1), "")</f>
        <v/>
      </c>
      <c r="AJ15" s="94" t="str">
        <f t="array" ref="AJ15">IFERROR(INDEX(Skill!$AJ:$AJ, MATCH(AJ$4, Skill!$C:$C, 0), 1), "")</f>
        <v/>
      </c>
      <c r="AK15" s="94" t="str">
        <f t="array" ref="AK15">IFERROR(INDEX(Skill!$AJ:$AJ, MATCH(AK$4, Skill!$C:$C, 0), 1), "")</f>
        <v/>
      </c>
      <c r="AL15" s="94" t="str">
        <f t="array" ref="AL15">IFERROR(INDEX(Skill!$AJ:$AJ, MATCH(AL$4, Skill!$C:$C, 0), 1), "")</f>
        <v/>
      </c>
      <c r="AM15" s="94" t="str">
        <f t="array" ref="AM15">IFERROR(INDEX(Skill!$AJ:$AJ, MATCH(AM$4, Skill!$C:$C, 0), 1), "")</f>
        <v/>
      </c>
      <c r="AN15" s="94" t="str">
        <f t="array" ref="AN15">IFERROR(INDEX(Skill!$AJ:$AJ, MATCH(AN$4, Skill!$C:$C, 0), 1), "")</f>
        <v/>
      </c>
      <c r="AO15" s="94" t="str">
        <f t="array" ref="AO15">IFERROR(INDEX(Skill!$AJ:$AJ, MATCH(AO$4, Skill!$C:$C, 0), 1), "")</f>
        <v/>
      </c>
      <c r="AP15" s="94" t="str">
        <f t="array" ref="AP15">IFERROR(INDEX(Skill!$AJ:$AJ, MATCH(AP$4, Skill!$C:$C, 0), 1), "")</f>
        <v/>
      </c>
      <c r="AQ15" s="94" t="str">
        <f t="array" ref="AQ15">IFERROR(INDEX(Skill!$AJ:$AJ, MATCH(AQ$4, Skill!$C:$C, 0), 1), "")</f>
        <v/>
      </c>
      <c r="AR15" s="94" t="str">
        <f t="array" ref="AR15">IFERROR(INDEX(Skill!$AJ:$AJ, MATCH(AR$4, Skill!$C:$C, 0), 1), "")</f>
        <v/>
      </c>
      <c r="AS15" s="94" t="str">
        <f t="array" ref="AS15">IFERROR(INDEX(Skill!$AJ:$AJ, MATCH(AS$4, Skill!$C:$C, 0), 1), "")</f>
        <v/>
      </c>
      <c r="AT15" s="94" t="str">
        <f t="array" ref="AT15">IFERROR(INDEX(Skill!$AJ:$AJ, MATCH(AT$4, Skill!$C:$C, 0), 1), "")</f>
        <v/>
      </c>
      <c r="AU15" s="94" t="str">
        <f t="array" ref="AU15">IFERROR(INDEX(Skill!$AJ:$AJ, MATCH(AU$4, Skill!$C:$C, 0), 1), "")</f>
        <v/>
      </c>
      <c r="AV15" s="94" t="str">
        <f t="array" ref="AV15">IFERROR(INDEX(Skill!$AJ:$AJ, MATCH(AV$4, Skill!$C:$C, 0), 1), "")</f>
        <v/>
      </c>
      <c r="AW15" s="94" t="str">
        <f t="array" ref="AW15">IFERROR(INDEX(Skill!$AJ:$AJ, MATCH(AW$4, Skill!$C:$C, 0), 1), "")</f>
        <v/>
      </c>
      <c r="AX15" s="94" t="str">
        <f t="array" ref="AX15">IFERROR(INDEX(Skill!$AJ:$AJ, MATCH(AX$4, Skill!$C:$C, 0), 1), "")</f>
        <v/>
      </c>
      <c r="AY15" s="94" t="str">
        <f t="array" ref="AY15">IFERROR(INDEX(Skill!$AJ:$AJ, MATCH(AY$4, Skill!$C:$C, 0), 1), "")</f>
        <v/>
      </c>
      <c r="AZ15" s="94" t="str">
        <f t="array" ref="AZ15">IFERROR(INDEX(Skill!$AJ:$AJ, MATCH(AZ$4, Skill!$C:$C, 0), 1), "")</f>
        <v/>
      </c>
      <c r="BA15" s="94" t="str">
        <f t="array" ref="BA15">IFERROR(INDEX(Skill!$AJ:$AJ, MATCH(BA$4, Skill!$C:$C, 0), 1), "")</f>
        <v/>
      </c>
      <c r="BB15" s="94" t="str">
        <f t="array" ref="BB15">IFERROR(INDEX(Skill!$AJ:$AJ, MATCH(BB$4, Skill!$C:$C, 0), 1), "")</f>
        <v/>
      </c>
      <c r="BC15" s="94" t="str">
        <f t="array" ref="BC15">IFERROR(INDEX(Skill!$AJ:$AJ, MATCH(BC$4, Skill!$C:$C, 0), 1), "")</f>
        <v/>
      </c>
      <c r="BD15" s="94" t="str">
        <f t="array" ref="BD15">IFERROR(INDEX(Skill!$AJ:$AJ, MATCH(BD$4, Skill!$C:$C, 0), 1), "")</f>
        <v/>
      </c>
      <c r="BE15" s="94" t="str">
        <f t="array" ref="BE15">IFERROR(INDEX(Skill!$AJ:$AJ, MATCH(BE$4, Skill!$C:$C, 0), 1), "")</f>
        <v/>
      </c>
      <c r="BF15" s="94" t="str">
        <f t="array" ref="BF15">IFERROR(INDEX(Skill!$AJ:$AJ, MATCH(BF$4, Skill!$C:$C, 0), 1), "")</f>
        <v/>
      </c>
      <c r="BG15" s="94" t="str">
        <f t="array" ref="BG15">IFERROR(INDEX(Skill!$AJ:$AJ, MATCH(BG$4, Skill!$C:$C, 0), 1), "")</f>
        <v/>
      </c>
      <c r="BH15" s="94" t="str">
        <f t="array" ref="BH15">IFERROR(INDEX(Skill!$AJ:$AJ, MATCH(BH$4, Skill!$C:$C, 0), 1), "")</f>
        <v/>
      </c>
      <c r="BI15" s="94" t="str">
        <f t="array" ref="BI15">IFERROR(INDEX(Skill!$AJ:$AJ, MATCH(BI$4, Skill!$C:$C, 0), 1), "")</f>
        <v/>
      </c>
      <c r="BJ15" s="94" t="str">
        <f t="array" ref="BJ15">IFERROR(INDEX(Skill!$AJ:$AJ, MATCH(BJ$4, Skill!$C:$C, 0), 1), "")</f>
        <v/>
      </c>
      <c r="BK15" s="94" t="str">
        <f t="array" ref="BK15">IFERROR(INDEX(Skill!$AJ:$AJ, MATCH(BK$4, Skill!$C:$C, 0), 1), "")</f>
        <v/>
      </c>
      <c r="BL15" s="94" t="str">
        <f t="array" ref="BL15">IFERROR(INDEX(Skill!$AJ:$AJ, MATCH(BL$4, Skill!$C:$C, 0), 1), "")</f>
        <v/>
      </c>
      <c r="BM15" s="94" t="str">
        <f t="array" ref="BM15">IFERROR(INDEX(Skill!$AJ:$AJ, MATCH(BM$4, Skill!$C:$C, 0), 1), "")</f>
        <v/>
      </c>
      <c r="BN15" s="94" t="str">
        <f t="array" ref="BN15">IFERROR(INDEX(Skill!$AJ:$AJ, MATCH(BN$4, Skill!$C:$C, 0), 1), "")</f>
        <v/>
      </c>
      <c r="BO15" s="94" t="str">
        <f t="array" ref="BO15">IFERROR(INDEX(Skill!$AJ:$AJ, MATCH(BO$4, Skill!$C:$C, 0), 1), "")</f>
        <v/>
      </c>
      <c r="BP15" s="94" t="str">
        <f t="array" ref="BP15">IFERROR(INDEX(Skill!$AJ:$AJ, MATCH(BP$4, Skill!$C:$C, 0), 1), "")</f>
        <v/>
      </c>
      <c r="BQ15" s="94" t="str">
        <f t="array" ref="BQ15">IFERROR(INDEX(Skill!$AJ:$AJ, MATCH(BQ$4, Skill!$C:$C, 0), 1), "")</f>
        <v/>
      </c>
      <c r="BR15" s="94" t="str">
        <f t="array" ref="BR15">IFERROR(INDEX(Skill!$AJ:$AJ, MATCH(BR$4, Skill!$C:$C, 0), 1), "")</f>
        <v/>
      </c>
      <c r="BS15" s="94" t="str">
        <f t="array" ref="BS15">IFERROR(INDEX(Skill!$AJ:$AJ, MATCH(BS$4, Skill!$C:$C, 0), 1), "")</f>
        <v/>
      </c>
      <c r="BT15" s="94" t="str">
        <f t="array" ref="BT15">IFERROR(INDEX(Skill!$AJ:$AJ, MATCH(BT$4, Skill!$C:$C, 0), 1), "")</f>
        <v/>
      </c>
      <c r="BU15" s="94" t="str">
        <f t="array" ref="BU15">IFERROR(INDEX(Skill!$AJ:$AJ, MATCH(BU$4, Skill!$C:$C, 0), 1), "")</f>
        <v/>
      </c>
      <c r="BV15" s="94" t="str">
        <f t="array" ref="BV15">IFERROR(INDEX(Skill!$AJ:$AJ, MATCH(BV$4, Skill!$C:$C, 0), 1), "")</f>
        <v/>
      </c>
      <c r="BW15" s="94" t="str">
        <f t="array" ref="BW15">IFERROR(INDEX(Skill!$AJ:$AJ, MATCH(BW$4, Skill!$C:$C, 0), 1), "")</f>
        <v/>
      </c>
      <c r="BX15" s="94" t="str">
        <f t="array" ref="BX15">IFERROR(INDEX(Skill!$AJ:$AJ, MATCH(BX$4, Skill!$C:$C, 0), 1), "")</f>
        <v/>
      </c>
      <c r="BY15" s="94" t="str">
        <f t="array" ref="BY15">IFERROR(INDEX(Skill!$AJ:$AJ, MATCH(BY$4, Skill!$C:$C, 0), 1), "")</f>
        <v/>
      </c>
      <c r="BZ15" s="94" t="str">
        <f t="array" ref="BZ15">IFERROR(INDEX(Skill!$AJ:$AJ, MATCH(BZ$4, Skill!$C:$C, 0), 1), "")</f>
        <v/>
      </c>
      <c r="CA15" s="94" t="str">
        <f t="array" ref="CA15">IFERROR(INDEX(Skill!$AJ:$AJ, MATCH(CA$4, Skill!$C:$C, 0), 1), "")</f>
        <v/>
      </c>
      <c r="CB15" s="94" t="str">
        <f t="array" ref="CB15">IFERROR(INDEX(Skill!$AJ:$AJ, MATCH(CB$4, Skill!$C:$C, 0), 1), "")</f>
        <v/>
      </c>
      <c r="CC15" s="94" t="str">
        <f t="array" ref="CC15">IFERROR(INDEX(Skill!$AJ:$AJ, MATCH(CC$4, Skill!$C:$C, 0), 1), "")</f>
        <v/>
      </c>
      <c r="CD15" s="94" t="str">
        <f t="array" ref="CD15">IFERROR(INDEX(Skill!$AJ:$AJ, MATCH(CD$4, Skill!$C:$C, 0), 1), "")</f>
        <v/>
      </c>
      <c r="CE15" s="94" t="str">
        <f t="array" ref="CE15">IFERROR(INDEX(Skill!$AJ:$AJ, MATCH(CE$4, Skill!$C:$C, 0), 1), "")</f>
        <v/>
      </c>
      <c r="CF15" s="94" t="str">
        <f t="array" ref="CF15">IFERROR(INDEX(Skill!$AJ:$AJ, MATCH(CF$4, Skill!$C:$C, 0), 1), "")</f>
        <v/>
      </c>
      <c r="CG15" s="94" t="str">
        <f t="array" ref="CG15">IFERROR(INDEX(Skill!$AJ:$AJ, MATCH(CG$4, Skill!$C:$C, 0), 1), "")</f>
        <v/>
      </c>
      <c r="CH15" s="94" t="str">
        <f t="array" ref="CH15">IFERROR(INDEX(Skill!$AJ:$AJ, MATCH(CH$4, Skill!$C:$C, 0), 1), "")</f>
        <v/>
      </c>
      <c r="CI15" s="94" t="str">
        <f t="array" ref="CI15">IFERROR(INDEX(Skill!$AJ:$AJ, MATCH(CI$4, Skill!$C:$C, 0), 1), "")</f>
        <v/>
      </c>
      <c r="CJ15" s="94" t="str">
        <f t="array" ref="CJ15">IFERROR(INDEX(Skill!$AJ:$AJ, MATCH(CJ$4, Skill!$C:$C, 0), 1), "")</f>
        <v/>
      </c>
      <c r="CK15" s="94" t="str">
        <f t="array" ref="CK15">IFERROR(INDEX(Skill!$AJ:$AJ, MATCH(CK$4, Skill!$C:$C, 0), 1), "")</f>
        <v/>
      </c>
      <c r="CL15" s="94" t="str">
        <f t="array" ref="CL15">IFERROR(INDEX(Skill!$AJ:$AJ, MATCH(CL$4, Skill!$C:$C, 0), 1), "")</f>
        <v/>
      </c>
      <c r="CM15" s="94" t="str">
        <f t="array" ref="CM15">IFERROR(INDEX(Skill!$AJ:$AJ, MATCH(CM$4, Skill!$C:$C, 0), 1), "")</f>
        <v/>
      </c>
      <c r="CN15" s="94" t="str">
        <f t="array" ref="CN15">IFERROR(INDEX(Skill!$AJ:$AJ, MATCH(CN$4, Skill!$C:$C, 0), 1), "")</f>
        <v/>
      </c>
      <c r="CO15" s="94" t="str">
        <f t="array" ref="CO15">IFERROR(INDEX(Skill!$AJ:$AJ, MATCH(CO$4, Skill!$C:$C, 0), 1), "")</f>
        <v/>
      </c>
      <c r="CP15" s="94" t="str">
        <f t="array" ref="CP15">IFERROR(INDEX(Skill!$AJ:$AJ, MATCH(CP$4, Skill!$C:$C, 0), 1), "")</f>
        <v/>
      </c>
      <c r="CQ15" s="94" t="str">
        <f t="array" ref="CQ15">IFERROR(INDEX(Skill!$AJ:$AJ, MATCH(CQ$4, Skill!$C:$C, 0), 1), "")</f>
        <v/>
      </c>
      <c r="CR15" s="94" t="str">
        <f t="array" ref="CR15">IFERROR(INDEX(Skill!$AJ:$AJ, MATCH(CR$4, Skill!$C:$C, 0), 1), "")</f>
        <v/>
      </c>
      <c r="CS15" s="94" t="str">
        <f t="array" ref="CS15">IFERROR(INDEX(Skill!$AJ:$AJ, MATCH(CS$4, Skill!$C:$C, 0), 1), "")</f>
        <v/>
      </c>
      <c r="CT15" s="94" t="str">
        <f t="array" ref="CT15">IFERROR(INDEX(Skill!$AJ:$AJ, MATCH(CT$4, Skill!$C:$C, 0), 1), "")</f>
        <v/>
      </c>
      <c r="CU15" s="94" t="str">
        <f t="array" ref="CU15">IFERROR(INDEX(Skill!$AJ:$AJ, MATCH(CU$4, Skill!$C:$C, 0), 1), "")</f>
        <v/>
      </c>
      <c r="CV15" s="94" t="str">
        <f t="array" ref="CV15">IFERROR(INDEX(Skill!$AJ:$AJ, MATCH(CV$4, Skill!$C:$C, 0), 1), "")</f>
        <v/>
      </c>
      <c r="CW15" s="94" t="str">
        <f t="array" ref="CW15">IFERROR(INDEX(Skill!$AJ:$AJ, MATCH(CW$4, Skill!$C:$C, 0), 1), "")</f>
        <v/>
      </c>
      <c r="CX15" s="94" t="str">
        <f t="array" ref="CX15">IFERROR(INDEX(Skill!$AJ:$AJ, MATCH(CX$4, Skill!$C:$C, 0), 1), "")</f>
        <v/>
      </c>
      <c r="CY15" s="94" t="str">
        <f t="array" ref="CY15">IFERROR(INDEX(Skill!$AJ:$AJ, MATCH(CY$4, Skill!$C:$C, 0), 1), "")</f>
        <v/>
      </c>
      <c r="CZ15" s="94" t="str">
        <f t="array" ref="CZ15">IFERROR(INDEX(Skill!$AJ:$AJ, MATCH(CZ$4, Skill!$C:$C, 0), 1), "")</f>
        <v/>
      </c>
      <c r="DA15" s="94" t="str">
        <f t="array" ref="DA15">IFERROR(INDEX(Skill!$AJ:$AJ, MATCH(DA$4, Skill!$C:$C, 0), 1), "")</f>
        <v/>
      </c>
      <c r="DB15" s="94" t="str">
        <f t="array" ref="DB15">IFERROR(INDEX(Skill!$AJ:$AJ, MATCH(DB$4, Skill!$C:$C, 0), 1), "")</f>
        <v/>
      </c>
      <c r="DC15" s="94" t="str">
        <f t="array" ref="DC15">IFERROR(INDEX(Skill!$AJ:$AJ, MATCH(DC$4, Skill!$C:$C, 0), 1), "")</f>
        <v/>
      </c>
      <c r="DD15" s="94" t="str">
        <f t="array" ref="DD15">IFERROR(INDEX(Skill!$AJ:$AJ, MATCH(DD$4, Skill!$C:$C, 0), 1), "")</f>
        <v/>
      </c>
      <c r="DE15" s="94" t="str">
        <f t="array" ref="DE15">IFERROR(INDEX(Skill!$AJ:$AJ, MATCH(DE$4, Skill!$C:$C, 0), 1), "")</f>
        <v/>
      </c>
      <c r="DF15" s="94" t="str">
        <f t="array" ref="DF15">IFERROR(INDEX(Skill!$AJ:$AJ, MATCH(DF$4, Skill!$C:$C, 0), 1), "")</f>
        <v/>
      </c>
      <c r="DG15" s="94" t="str">
        <f t="array" ref="DG15">IFERROR(INDEX(Skill!$AJ:$AJ, MATCH(DG$4, Skill!$C:$C, 0), 1), "")</f>
        <v/>
      </c>
      <c r="DH15" s="94" t="str">
        <f t="array" ref="DH15">IFERROR(INDEX(Skill!$AJ:$AJ, MATCH(DH$4, Skill!$C:$C, 0), 1), "")</f>
        <v/>
      </c>
      <c r="DI15" s="94" t="str">
        <f t="array" ref="DI15">IFERROR(INDEX(Skill!$AJ:$AJ, MATCH(DI$4, Skill!$C:$C, 0), 1), "")</f>
        <v/>
      </c>
      <c r="DJ15" s="94" t="str">
        <f t="array" ref="DJ15">IFERROR(INDEX(Skill!$AJ:$AJ, MATCH(DJ$4, Skill!$C:$C, 0), 1), "")</f>
        <v/>
      </c>
      <c r="DK15" s="94" t="str">
        <f t="array" ref="DK15">IFERROR(INDEX(Skill!$AJ:$AJ, MATCH(DK$4, Skill!$C:$C, 0), 1), "")</f>
        <v/>
      </c>
      <c r="DL15" s="94" t="str">
        <f t="array" ref="DL15">IFERROR(INDEX(Skill!$AJ:$AJ, MATCH(DL$4, Skill!$C:$C, 0), 1), "")</f>
        <v/>
      </c>
      <c r="DM15" s="94" t="str">
        <f t="array" ref="DM15">IFERROR(INDEX(Skill!$AJ:$AJ, MATCH(DM$4, Skill!$C:$C, 0), 1), "")</f>
        <v/>
      </c>
      <c r="DN15" s="94" t="str">
        <f t="array" ref="DN15">IFERROR(INDEX(Skill!$AJ:$AJ, MATCH(DN$4, Skill!$C:$C, 0), 1), "")</f>
        <v/>
      </c>
      <c r="DO15" s="94" t="str">
        <f t="array" ref="DO15">IFERROR(INDEX(Skill!$AJ:$AJ, MATCH(DO$4, Skill!$C:$C, 0), 1), "")</f>
        <v/>
      </c>
      <c r="DP15" s="94" t="str">
        <f t="array" ref="DP15">IFERROR(INDEX(Skill!$AJ:$AJ, MATCH(DP$4, Skill!$C:$C, 0), 1), "")</f>
        <v/>
      </c>
      <c r="DQ15" s="94" t="str">
        <f t="array" ref="DQ15">IFERROR(INDEX(Skill!$AJ:$AJ, MATCH(DQ$4, Skill!$C:$C, 0), 1), "")</f>
        <v/>
      </c>
      <c r="DR15" s="94" t="str">
        <f t="array" ref="DR15">IFERROR(INDEX(Skill!$AJ:$AJ, MATCH(DR$4, Skill!$C:$C, 0), 1), "")</f>
        <v/>
      </c>
      <c r="DS15" s="94" t="str">
        <f t="array" ref="DS15">IFERROR(INDEX(Skill!$AJ:$AJ, MATCH(DS$4, Skill!$C:$C, 0), 1), "")</f>
        <v/>
      </c>
      <c r="DT15" s="94" t="str">
        <f t="array" ref="DT15">IFERROR(INDEX(Skill!$AJ:$AJ, MATCH(DT$4, Skill!$C:$C, 0), 1), "")</f>
        <v/>
      </c>
      <c r="DU15" s="94" t="str">
        <f t="array" ref="DU15">IFERROR(INDEX(Skill!$AJ:$AJ, MATCH(DU$4, Skill!$C:$C, 0), 1), "")</f>
        <v/>
      </c>
      <c r="DV15" s="94">
        <f t="array" ref="DV15">IFERROR(INDEX(Skill!$AJ:$AJ, MATCH(DV$4, Skill!$C:$C, 0), 1), "")</f>
        <v>0.05</v>
      </c>
      <c r="DW15" s="94" t="str">
        <f t="array" ref="DW15">IFERROR(INDEX(Skill!$AJ:$AJ, MATCH(DW$4, Skill!$C:$C, 0), 1), "")</f>
        <v/>
      </c>
      <c r="DX15" s="94" t="str">
        <f t="array" ref="DX15">IFERROR(INDEX(Skill!$AJ:$AJ, MATCH(DX$4, Skill!$C:$C, 0), 1), "")</f>
        <v/>
      </c>
      <c r="DY15" s="94" t="str">
        <f t="array" ref="DY15">IFERROR(INDEX(Skill!$AJ:$AJ, MATCH(DY$4, Skill!$C:$C, 0), 1), "")</f>
        <v/>
      </c>
      <c r="DZ15" s="94" t="str">
        <f t="array" ref="DZ15">IFERROR(INDEX(Skill!$AJ:$AJ, MATCH(DZ$4, Skill!$C:$C, 0), 1), "")</f>
        <v/>
      </c>
      <c r="EA15" s="89" t="str">
        <f t="array" ref="EA15">IFERROR(INDEX(Skill!$AJ:$AJ, MATCH(EA$4, Skill!$C:$C, 0), 1), "")</f>
        <v/>
      </c>
      <c r="EB15" s="89" t="str">
        <f t="array" ref="EB15">IFERROR(INDEX(Skill!$AJ:$AJ, MATCH(EB$4, Skill!$C:$C, 0), 1), "")</f>
        <v/>
      </c>
      <c r="EC15" s="89">
        <f t="array" ref="EC15">IFERROR(INDEX(Skill!$AJ:$AJ, MATCH(EC$4, Skill!$C:$C, 0), 1), "")</f>
        <v>0.1</v>
      </c>
      <c r="ED15" s="94" t="str">
        <f t="array" ref="ED15">IFERROR(INDEX(Skill!$AJ:$AJ, MATCH(ED$4, Skill!$C:$C, 0), 1), "")</f>
        <v/>
      </c>
      <c r="EE15" s="97"/>
      <c r="EF15" s="97"/>
      <c r="EG15" s="97"/>
      <c r="EH15" s="97"/>
      <c r="EI15" s="97"/>
      <c r="EJ15" s="97"/>
      <c r="EK15" s="97"/>
      <c r="EL15" s="97"/>
      <c r="EM15" s="97"/>
      <c r="EN15" s="97"/>
      <c r="EO15" s="97"/>
      <c r="EP15" s="97"/>
      <c r="EQ15" s="97"/>
      <c r="ER15" s="100"/>
      <c r="ES15" s="100"/>
      <c r="ET15" s="100"/>
      <c r="EU15" s="101"/>
      <c r="EV15" s="101"/>
      <c r="EW15" s="101"/>
      <c r="EX15" s="101"/>
      <c r="EY15" s="101"/>
      <c r="EZ15" s="101"/>
      <c r="FA15" s="101"/>
      <c r="FB15" s="101"/>
      <c r="FC15" s="101"/>
      <c r="FD15" s="101"/>
      <c r="FE15" s="101"/>
      <c r="FF15" s="101"/>
      <c r="FG15" s="101"/>
      <c r="FH15" s="101"/>
      <c r="FI15" s="101"/>
      <c r="FJ15" s="101"/>
      <c r="FK15" s="101"/>
      <c r="FL15" s="101"/>
      <c r="FM15" s="101"/>
      <c r="FN15" s="101"/>
      <c r="FO15" s="99"/>
    </row>
    <row r="16" hidden="1">
      <c r="B16" s="84"/>
      <c r="C16" s="83"/>
      <c r="D16" s="83"/>
      <c r="E16" s="84" t="s">
        <v>1043</v>
      </c>
      <c r="F16" s="84"/>
      <c r="G16" s="84"/>
      <c r="H16" s="84"/>
      <c r="I16" s="84"/>
      <c r="J16" s="84"/>
      <c r="K16" s="94" t="str">
        <f t="array" ref="K16">IFERROR(INDEX(Skill!$AP:$AP, MATCH(K$4, Skill!$C:$C, 0), 1), "")</f>
        <v/>
      </c>
      <c r="L16" s="94" t="str">
        <f t="array" ref="L16">IFERROR(INDEX(Skill!$AP:$AP, MATCH(L$4, Skill!$C:$C, 0), 1), "")</f>
        <v/>
      </c>
      <c r="M16" s="94" t="str">
        <f t="array" ref="M16">IFERROR(INDEX(Skill!$AP:$AP, MATCH(M$4, Skill!$C:$C, 0), 1), "")</f>
        <v/>
      </c>
      <c r="N16" s="94" t="str">
        <f t="array" ref="N16">IFERROR(INDEX(Skill!$AP:$AP, MATCH(N$4, Skill!$C:$C, 0), 1), "")</f>
        <v/>
      </c>
      <c r="O16" s="94" t="str">
        <f t="array" ref="O16">IFERROR(INDEX(Skill!$AP:$AP, MATCH(O$4, Skill!$C:$C, 0), 1), "")</f>
        <v/>
      </c>
      <c r="P16" s="94" t="str">
        <f t="array" ref="P16">IFERROR(INDEX(Skill!$AP:$AP, MATCH(P$4, Skill!$C:$C, 0), 1), "")</f>
        <v/>
      </c>
      <c r="Q16" s="94">
        <f t="array" ref="Q16">IFERROR(INDEX(Skill!$AP:$AP, MATCH(Q$4, Skill!$C:$C, 0), 1), "")</f>
        <v>1000</v>
      </c>
      <c r="R16" s="94" t="str">
        <f t="array" ref="R16">IFERROR(INDEX(Skill!$AP:$AP, MATCH(R$4, Skill!$C:$C, 0), 1), "")</f>
        <v/>
      </c>
      <c r="S16" s="94" t="str">
        <f t="array" ref="S16">IFERROR(INDEX(Skill!$AP:$AP, MATCH(S$4, Skill!$C:$C, 0), 1), "")</f>
        <v/>
      </c>
      <c r="T16" s="94" t="str">
        <f t="array" ref="T16">IFERROR(INDEX(Skill!$AP:$AP, MATCH(T$4, Skill!$C:$C, 0), 1), "")</f>
        <v/>
      </c>
      <c r="U16" s="94" t="str">
        <f t="array" ref="U16">IFERROR(INDEX(Skill!$AP:$AP, MATCH(U$4, Skill!$C:$C, 0), 1), "")</f>
        <v/>
      </c>
      <c r="V16" s="94" t="str">
        <f t="array" ref="V16">IFERROR(INDEX(Skill!$AP:$AP, MATCH(V$4, Skill!$C:$C, 0), 1), "")</f>
        <v/>
      </c>
      <c r="W16" s="94" t="str">
        <f t="array" ref="W16">IFERROR(INDEX(Skill!$AP:$AP, MATCH(W$4, Skill!$C:$C, 0), 1), "")</f>
        <v/>
      </c>
      <c r="X16" s="94" t="str">
        <f t="array" ref="X16">IFERROR(INDEX(Skill!$AP:$AP, MATCH(X$4, Skill!$C:$C, 0), 1), "")</f>
        <v/>
      </c>
      <c r="Y16" s="94" t="str">
        <f t="array" ref="Y16">IFERROR(INDEX(Skill!$AP:$AP, MATCH(Y$4, Skill!$C:$C, 0), 1), "")</f>
        <v/>
      </c>
      <c r="Z16" s="94" t="str">
        <f t="array" ref="Z16">IFERROR(INDEX(Skill!$AP:$AP, MATCH(Z$4, Skill!$C:$C, 0), 1), "")</f>
        <v/>
      </c>
      <c r="AA16" s="94" t="str">
        <f t="array" ref="AA16">IFERROR(INDEX(Skill!$AP:$AP, MATCH(AA$4, Skill!$C:$C, 0), 1), "")</f>
        <v/>
      </c>
      <c r="AB16" s="94" t="str">
        <f t="array" ref="AB16">IFERROR(INDEX(Skill!$AP:$AP, MATCH(AB$4, Skill!$C:$C, 0), 1), "")</f>
        <v/>
      </c>
      <c r="AC16" s="94" t="str">
        <f t="array" ref="AC16">IFERROR(INDEX(Skill!$AP:$AP, MATCH(AC$4, Skill!$C:$C, 0), 1), "")</f>
        <v/>
      </c>
      <c r="AD16" s="94" t="str">
        <f t="array" ref="AD16">IFERROR(INDEX(Skill!$AP:$AP, MATCH(AD$4, Skill!$C:$C, 0), 1), "")</f>
        <v/>
      </c>
      <c r="AE16" s="94" t="str">
        <f t="array" ref="AE16">IFERROR(INDEX(Skill!$AP:$AP, MATCH(AE$4, Skill!$C:$C, 0), 1), "")</f>
        <v/>
      </c>
      <c r="AF16" s="94" t="str">
        <f t="array" ref="AF16">IFERROR(INDEX(Skill!$AP:$AP, MATCH(AF$4, Skill!$C:$C, 0), 1), "")</f>
        <v/>
      </c>
      <c r="AG16" s="94" t="str">
        <f t="array" ref="AG16">IFERROR(INDEX(Skill!$AP:$AP, MATCH(AG$4, Skill!$C:$C, 0), 1), "")</f>
        <v/>
      </c>
      <c r="AH16" s="94" t="str">
        <f t="array" ref="AH16">IFERROR(INDEX(Skill!$AP:$AP, MATCH(AH$4, Skill!$C:$C, 0), 1), "")</f>
        <v/>
      </c>
      <c r="AI16" s="94" t="str">
        <f t="array" ref="AI16">IFERROR(INDEX(Skill!$AP:$AP, MATCH(AI$4, Skill!$C:$C, 0), 1), "")</f>
        <v/>
      </c>
      <c r="AJ16" s="94" t="str">
        <f t="array" ref="AJ16">IFERROR(INDEX(Skill!$AP:$AP, MATCH(AJ$4, Skill!$C:$C, 0), 1), "")</f>
        <v/>
      </c>
      <c r="AK16" s="94" t="str">
        <f t="array" ref="AK16">IFERROR(INDEX(Skill!$AP:$AP, MATCH(AK$4, Skill!$C:$C, 0), 1), "")</f>
        <v/>
      </c>
      <c r="AL16" s="94" t="str">
        <f t="array" ref="AL16">IFERROR(INDEX(Skill!$AP:$AP, MATCH(AL$4, Skill!$C:$C, 0), 1), "")</f>
        <v/>
      </c>
      <c r="AM16" s="94" t="str">
        <f t="array" ref="AM16">IFERROR(INDEX(Skill!$AP:$AP, MATCH(AM$4, Skill!$C:$C, 0), 1), "")</f>
        <v/>
      </c>
      <c r="AN16" s="94" t="str">
        <f t="array" ref="AN16">IFERROR(INDEX(Skill!$AP:$AP, MATCH(AN$4, Skill!$C:$C, 0), 1), "")</f>
        <v/>
      </c>
      <c r="AO16" s="94" t="str">
        <f t="array" ref="AO16">IFERROR(INDEX(Skill!$AP:$AP, MATCH(AO$4, Skill!$C:$C, 0), 1), "")</f>
        <v/>
      </c>
      <c r="AP16" s="94" t="str">
        <f t="array" ref="AP16">IFERROR(INDEX(Skill!$AP:$AP, MATCH(AP$4, Skill!$C:$C, 0), 1), "")</f>
        <v/>
      </c>
      <c r="AQ16" s="94" t="str">
        <f t="array" ref="AQ16">IFERROR(INDEX(Skill!$AP:$AP, MATCH(AQ$4, Skill!$C:$C, 0), 1), "")</f>
        <v/>
      </c>
      <c r="AR16" s="94" t="str">
        <f t="array" ref="AR16">IFERROR(INDEX(Skill!$AP:$AP, MATCH(AR$4, Skill!$C:$C, 0), 1), "")</f>
        <v/>
      </c>
      <c r="AS16" s="94" t="str">
        <f t="array" ref="AS16">IFERROR(INDEX(Skill!$AP:$AP, MATCH(AS$4, Skill!$C:$C, 0), 1), "")</f>
        <v/>
      </c>
      <c r="AT16" s="94">
        <f t="array" ref="AT16">IFERROR(INDEX(Skill!$AP:$AP, MATCH(AT$4, Skill!$C:$C, 0), 1), "")</f>
        <v>400</v>
      </c>
      <c r="AU16" s="94" t="str">
        <f t="array" ref="AU16">IFERROR(INDEX(Skill!$AP:$AP, MATCH(AU$4, Skill!$C:$C, 0), 1), "")</f>
        <v/>
      </c>
      <c r="AV16" s="94" t="str">
        <f t="array" ref="AV16">IFERROR(INDEX(Skill!$AP:$AP, MATCH(AV$4, Skill!$C:$C, 0), 1), "")</f>
        <v/>
      </c>
      <c r="AW16" s="94" t="str">
        <f t="array" ref="AW16">IFERROR(INDEX(Skill!$AP:$AP, MATCH(AW$4, Skill!$C:$C, 0), 1), "")</f>
        <v/>
      </c>
      <c r="AX16" s="94" t="str">
        <f t="array" ref="AX16">IFERROR(INDEX(Skill!$AP:$AP, MATCH(AX$4, Skill!$C:$C, 0), 1), "")</f>
        <v/>
      </c>
      <c r="AY16" s="94" t="str">
        <f t="array" ref="AY16">IFERROR(INDEX(Skill!$AP:$AP, MATCH(AY$4, Skill!$C:$C, 0), 1), "")</f>
        <v/>
      </c>
      <c r="AZ16" s="94">
        <f t="array" ref="AZ16">IFERROR(INDEX(Skill!$AP:$AP, MATCH(AZ$4, Skill!$C:$C, 0), 1), "")</f>
        <v>500</v>
      </c>
      <c r="BA16" s="94" t="str">
        <f t="array" ref="BA16">IFERROR(INDEX(Skill!$AP:$AP, MATCH(BA$4, Skill!$C:$C, 0), 1), "")</f>
        <v/>
      </c>
      <c r="BB16" s="94" t="str">
        <f t="array" ref="BB16">IFERROR(INDEX(Skill!$AP:$AP, MATCH(BB$4, Skill!$C:$C, 0), 1), "")</f>
        <v/>
      </c>
      <c r="BC16" s="94" t="str">
        <f t="array" ref="BC16">IFERROR(INDEX(Skill!$AP:$AP, MATCH(BC$4, Skill!$C:$C, 0), 1), "")</f>
        <v/>
      </c>
      <c r="BD16" s="94" t="str">
        <f t="array" ref="BD16">IFERROR(INDEX(Skill!$AP:$AP, MATCH(BD$4, Skill!$C:$C, 0), 1), "")</f>
        <v/>
      </c>
      <c r="BE16" s="94" t="str">
        <f t="array" ref="BE16">IFERROR(INDEX(Skill!$AP:$AP, MATCH(BE$4, Skill!$C:$C, 0), 1), "")</f>
        <v/>
      </c>
      <c r="BF16" s="94" t="str">
        <f t="array" ref="BF16">IFERROR(INDEX(Skill!$AP:$AP, MATCH(BF$4, Skill!$C:$C, 0), 1), "")</f>
        <v/>
      </c>
      <c r="BG16" s="94" t="str">
        <f t="array" ref="BG16">IFERROR(INDEX(Skill!$AP:$AP, MATCH(BG$4, Skill!$C:$C, 0), 1), "")</f>
        <v/>
      </c>
      <c r="BH16" s="94" t="str">
        <f t="array" ref="BH16">IFERROR(INDEX(Skill!$AP:$AP, MATCH(BH$4, Skill!$C:$C, 0), 1), "")</f>
        <v/>
      </c>
      <c r="BI16" s="94" t="str">
        <f t="array" ref="BI16">IFERROR(INDEX(Skill!$AP:$AP, MATCH(BI$4, Skill!$C:$C, 0), 1), "")</f>
        <v/>
      </c>
      <c r="BJ16" s="94" t="str">
        <f t="array" ref="BJ16">IFERROR(INDEX(Skill!$AP:$AP, MATCH(BJ$4, Skill!$C:$C, 0), 1), "")</f>
        <v/>
      </c>
      <c r="BK16" s="94" t="str">
        <f t="array" ref="BK16">IFERROR(INDEX(Skill!$AP:$AP, MATCH(BK$4, Skill!$C:$C, 0), 1), "")</f>
        <v/>
      </c>
      <c r="BL16" s="94" t="str">
        <f t="array" ref="BL16">IFERROR(INDEX(Skill!$AP:$AP, MATCH(BL$4, Skill!$C:$C, 0), 1), "")</f>
        <v/>
      </c>
      <c r="BM16" s="94" t="str">
        <f t="array" ref="BM16">IFERROR(INDEX(Skill!$AP:$AP, MATCH(BM$4, Skill!$C:$C, 0), 1), "")</f>
        <v/>
      </c>
      <c r="BN16" s="94" t="str">
        <f t="array" ref="BN16">IFERROR(INDEX(Skill!$AP:$AP, MATCH(BN$4, Skill!$C:$C, 0), 1), "")</f>
        <v/>
      </c>
      <c r="BO16" s="94" t="str">
        <f t="array" ref="BO16">IFERROR(INDEX(Skill!$AP:$AP, MATCH(BO$4, Skill!$C:$C, 0), 1), "")</f>
        <v/>
      </c>
      <c r="BP16" s="94">
        <f t="array" ref="BP16">IFERROR(INDEX(Skill!$AP:$AP, MATCH(BP$4, Skill!$C:$C, 0), 1), "")</f>
        <v>400</v>
      </c>
      <c r="BQ16" s="94" t="str">
        <f t="array" ref="BQ16">IFERROR(INDEX(Skill!$AP:$AP, MATCH(BQ$4, Skill!$C:$C, 0), 1), "")</f>
        <v/>
      </c>
      <c r="BR16" s="94" t="str">
        <f t="array" ref="BR16">IFERROR(INDEX(Skill!$AP:$AP, MATCH(BR$4, Skill!$C:$C, 0), 1), "")</f>
        <v/>
      </c>
      <c r="BS16" s="94" t="str">
        <f t="array" ref="BS16">IFERROR(INDEX(Skill!$AP:$AP, MATCH(BS$4, Skill!$C:$C, 0), 1), "")</f>
        <v/>
      </c>
      <c r="BT16" s="94" t="str">
        <f t="array" ref="BT16">IFERROR(INDEX(Skill!$AP:$AP, MATCH(BT$4, Skill!$C:$C, 0), 1), "")</f>
        <v/>
      </c>
      <c r="BU16" s="94" t="str">
        <f t="array" ref="BU16">IFERROR(INDEX(Skill!$AP:$AP, MATCH(BU$4, Skill!$C:$C, 0), 1), "")</f>
        <v/>
      </c>
      <c r="BV16" s="94">
        <f t="array" ref="BV16">IFERROR(INDEX(Skill!$AP:$AP, MATCH(BV$4, Skill!$C:$C, 0), 1), "")</f>
        <v>400</v>
      </c>
      <c r="BW16" s="94" t="str">
        <f t="array" ref="BW16">IFERROR(INDEX(Skill!$AP:$AP, MATCH(BW$4, Skill!$C:$C, 0), 1), "")</f>
        <v/>
      </c>
      <c r="BX16" s="94" t="str">
        <f t="array" ref="BX16">IFERROR(INDEX(Skill!$AP:$AP, MATCH(BX$4, Skill!$C:$C, 0), 1), "")</f>
        <v/>
      </c>
      <c r="BY16" s="94" t="str">
        <f t="array" ref="BY16">IFERROR(INDEX(Skill!$AP:$AP, MATCH(BY$4, Skill!$C:$C, 0), 1), "")</f>
        <v/>
      </c>
      <c r="BZ16" s="94" t="str">
        <f t="array" ref="BZ16">IFERROR(INDEX(Skill!$AP:$AP, MATCH(BZ$4, Skill!$C:$C, 0), 1), "")</f>
        <v/>
      </c>
      <c r="CA16" s="94" t="str">
        <f t="array" ref="CA16">IFERROR(INDEX(Skill!$AP:$AP, MATCH(CA$4, Skill!$C:$C, 0), 1), "")</f>
        <v/>
      </c>
      <c r="CB16" s="94" t="str">
        <f t="array" ref="CB16">IFERROR(INDEX(Skill!$AP:$AP, MATCH(CB$4, Skill!$C:$C, 0), 1), "")</f>
        <v/>
      </c>
      <c r="CC16" s="94">
        <f t="array" ref="CC16">IFERROR(INDEX(Skill!$AP:$AP, MATCH(CC$4, Skill!$C:$C, 0), 1), "")</f>
        <v>360</v>
      </c>
      <c r="CD16" s="94" t="str">
        <f t="array" ref="CD16">IFERROR(INDEX(Skill!$AP:$AP, MATCH(CD$4, Skill!$C:$C, 0), 1), "")</f>
        <v/>
      </c>
      <c r="CE16" s="94" t="str">
        <f t="array" ref="CE16">IFERROR(INDEX(Skill!$AP:$AP, MATCH(CE$4, Skill!$C:$C, 0), 1), "")</f>
        <v/>
      </c>
      <c r="CF16" s="94" t="str">
        <f t="array" ref="CF16">IFERROR(INDEX(Skill!$AP:$AP, MATCH(CF$4, Skill!$C:$C, 0), 1), "")</f>
        <v/>
      </c>
      <c r="CG16" s="94" t="str">
        <f t="array" ref="CG16">IFERROR(INDEX(Skill!$AP:$AP, MATCH(CG$4, Skill!$C:$C, 0), 1), "")</f>
        <v/>
      </c>
      <c r="CH16" s="94">
        <f t="array" ref="CH16">IFERROR(INDEX(Skill!$AP:$AP, MATCH(CH$4, Skill!$C:$C, 0), 1), "")</f>
        <v>162.5</v>
      </c>
      <c r="CI16" s="94" t="str">
        <f t="array" ref="CI16">IFERROR(INDEX(Skill!$AP:$AP, MATCH(CI$4, Skill!$C:$C, 0), 1), "")</f>
        <v/>
      </c>
      <c r="CJ16" s="94" t="str">
        <f t="array" ref="CJ16">IFERROR(INDEX(Skill!$AP:$AP, MATCH(CJ$4, Skill!$C:$C, 0), 1), "")</f>
        <v/>
      </c>
      <c r="CK16" s="94" t="str">
        <f t="array" ref="CK16">IFERROR(INDEX(Skill!$AP:$AP, MATCH(CK$4, Skill!$C:$C, 0), 1), "")</f>
        <v/>
      </c>
      <c r="CL16" s="94">
        <f t="array" ref="CL16">IFERROR(INDEX(Skill!$AP:$AP, MATCH(CL$4, Skill!$C:$C, 0), 1), "")</f>
        <v>432</v>
      </c>
      <c r="CM16" s="94">
        <f t="array" ref="CM16">IFERROR(INDEX(Skill!$AP:$AP, MATCH(CM$4, Skill!$C:$C, 0), 1), "")</f>
        <v>648</v>
      </c>
      <c r="CN16" s="94" t="str">
        <f t="array" ref="CN16">IFERROR(INDEX(Skill!$AP:$AP, MATCH(CN$4, Skill!$C:$C, 0), 1), "")</f>
        <v/>
      </c>
      <c r="CO16" s="94" t="str">
        <f t="array" ref="CO16">IFERROR(INDEX(Skill!$AP:$AP, MATCH(CO$4, Skill!$C:$C, 0), 1), "")</f>
        <v/>
      </c>
      <c r="CP16" s="94">
        <f t="array" ref="CP16">IFERROR(INDEX(Skill!$AP:$AP, MATCH(CP$4, Skill!$C:$C, 0), 1), "")</f>
        <v>540</v>
      </c>
      <c r="CQ16" s="94" t="str">
        <f t="array" ref="CQ16">IFERROR(INDEX(Skill!$AP:$AP, MATCH(CQ$4, Skill!$C:$C, 0), 1), "")</f>
        <v/>
      </c>
      <c r="CR16" s="94" t="str">
        <f t="array" ref="CR16">IFERROR(INDEX(Skill!$AP:$AP, MATCH(CR$4, Skill!$C:$C, 0), 1), "")</f>
        <v/>
      </c>
      <c r="CS16" s="94" t="str">
        <f t="array" ref="CS16">IFERROR(INDEX(Skill!$AP:$AP, MATCH(CS$4, Skill!$C:$C, 0), 1), "")</f>
        <v/>
      </c>
      <c r="CT16" s="94">
        <f t="array" ref="CT16">IFERROR(INDEX(Skill!$AP:$AP, MATCH(CT$4, Skill!$C:$C, 0), 1), "")</f>
        <v>300</v>
      </c>
      <c r="CU16" s="94" t="str">
        <f t="array" ref="CU16">IFERROR(INDEX(Skill!$AP:$AP, MATCH(CU$4, Skill!$C:$C, 0), 1), "")</f>
        <v/>
      </c>
      <c r="CV16" s="94">
        <f t="array" ref="CV16">IFERROR(INDEX(Skill!$AP:$AP, MATCH(CV$4, Skill!$C:$C, 0), 1), "")</f>
        <v>360</v>
      </c>
      <c r="CW16" s="94">
        <f t="array" ref="CW16">IFERROR(INDEX(Skill!$AP:$AP, MATCH(CW$4, Skill!$C:$C, 0), 1), "")</f>
        <v>200</v>
      </c>
      <c r="CX16" s="94" t="str">
        <f t="array" ref="CX16">IFERROR(INDEX(Skill!$AP:$AP, MATCH(CX$4, Skill!$C:$C, 0), 1), "")</f>
        <v/>
      </c>
      <c r="CY16" s="94" t="str">
        <f t="array" ref="CY16">IFERROR(INDEX(Skill!$AP:$AP, MATCH(CY$4, Skill!$C:$C, 0), 1), "")</f>
        <v/>
      </c>
      <c r="CZ16" s="94" t="str">
        <f t="array" ref="CZ16">IFERROR(INDEX(Skill!$AP:$AP, MATCH(CZ$4, Skill!$C:$C, 0), 1), "")</f>
        <v/>
      </c>
      <c r="DA16" s="94" t="str">
        <f t="array" ref="DA16">IFERROR(INDEX(Skill!$AP:$AP, MATCH(DA$4, Skill!$C:$C, 0), 1), "")</f>
        <v/>
      </c>
      <c r="DB16" s="94" t="str">
        <f t="array" ref="DB16">IFERROR(INDEX(Skill!$AP:$AP, MATCH(DB$4, Skill!$C:$C, 0), 1), "")</f>
        <v/>
      </c>
      <c r="DC16" s="94" t="str">
        <f t="array" ref="DC16">IFERROR(INDEX(Skill!$AP:$AP, MATCH(DC$4, Skill!$C:$C, 0), 1), "")</f>
        <v/>
      </c>
      <c r="DD16" s="94" t="str">
        <f t="array" ref="DD16">IFERROR(INDEX(Skill!$AP:$AP, MATCH(DD$4, Skill!$C:$C, 0), 1), "")</f>
        <v/>
      </c>
      <c r="DE16" s="94" t="str">
        <f t="array" ref="DE16">IFERROR(INDEX(Skill!$AP:$AP, MATCH(DE$4, Skill!$C:$C, 0), 1), "")</f>
        <v/>
      </c>
      <c r="DF16" s="94">
        <f t="array" ref="DF16">IFERROR(INDEX(Skill!$AP:$AP, MATCH(DF$4, Skill!$C:$C, 0), 1), "")</f>
        <v>540</v>
      </c>
      <c r="DG16" s="94">
        <f t="array" ref="DG16">IFERROR(INDEX(Skill!$AP:$AP, MATCH(DG$4, Skill!$C:$C, 0), 1), "")</f>
        <v>300</v>
      </c>
      <c r="DH16" s="94" t="str">
        <f t="array" ref="DH16">IFERROR(INDEX(Skill!$AP:$AP, MATCH(DH$4, Skill!$C:$C, 0), 1), "")</f>
        <v/>
      </c>
      <c r="DI16" s="94" t="str">
        <f t="array" ref="DI16">IFERROR(INDEX(Skill!$AP:$AP, MATCH(DI$4, Skill!$C:$C, 0), 1), "")</f>
        <v/>
      </c>
      <c r="DJ16" s="94" t="str">
        <f t="array" ref="DJ16">IFERROR(INDEX(Skill!$AP:$AP, MATCH(DJ$4, Skill!$C:$C, 0), 1), "")</f>
        <v/>
      </c>
      <c r="DK16" s="94" t="str">
        <f t="array" ref="DK16">IFERROR(INDEX(Skill!$AP:$AP, MATCH(DK$4, Skill!$C:$C, 0), 1), "")</f>
        <v/>
      </c>
      <c r="DL16" s="94" t="str">
        <f t="array" ref="DL16">IFERROR(INDEX(Skill!$AP:$AP, MATCH(DL$4, Skill!$C:$C, 0), 1), "")</f>
        <v/>
      </c>
      <c r="DM16" s="94" t="str">
        <f t="array" ref="DM16">IFERROR(INDEX(Skill!$AP:$AP, MATCH(DM$4, Skill!$C:$C, 0), 1), "")</f>
        <v/>
      </c>
      <c r="DN16" s="94" t="str">
        <f t="array" ref="DN16">IFERROR(INDEX(Skill!$AP:$AP, MATCH(DN$4, Skill!$C:$C, 0), 1), "")</f>
        <v/>
      </c>
      <c r="DO16" s="94" t="str">
        <f t="array" ref="DO16">IFERROR(INDEX(Skill!$AP:$AP, MATCH(DO$4, Skill!$C:$C, 0), 1), "")</f>
        <v/>
      </c>
      <c r="DP16" s="94" t="str">
        <f t="array" ref="DP16">IFERROR(INDEX(Skill!$AP:$AP, MATCH(DP$4, Skill!$C:$C, 0), 1), "")</f>
        <v/>
      </c>
      <c r="DQ16" s="94" t="str">
        <f t="array" ref="DQ16">IFERROR(INDEX(Skill!$AP:$AP, MATCH(DQ$4, Skill!$C:$C, 0), 1), "")</f>
        <v/>
      </c>
      <c r="DR16" s="94" t="str">
        <f t="array" ref="DR16">IFERROR(INDEX(Skill!$AP:$AP, MATCH(DR$4, Skill!$C:$C, 0), 1), "")</f>
        <v/>
      </c>
      <c r="DS16" s="94" t="str">
        <f t="array" ref="DS16">IFERROR(INDEX(Skill!$AP:$AP, MATCH(DS$4, Skill!$C:$C, 0), 1), "")</f>
        <v/>
      </c>
      <c r="DT16" s="94" t="str">
        <f t="array" ref="DT16">IFERROR(INDEX(Skill!$AP:$AP, MATCH(DT$4, Skill!$C:$C, 0), 1), "")</f>
        <v/>
      </c>
      <c r="DU16" s="94" t="str">
        <f t="array" ref="DU16">IFERROR(INDEX(Skill!$AP:$AP, MATCH(DU$4, Skill!$C:$C, 0), 1), "")</f>
        <v/>
      </c>
      <c r="DV16" s="94" t="str">
        <f t="array" ref="DV16">IFERROR(INDEX(Skill!$AP:$AP, MATCH(DV$4, Skill!$C:$C, 0), 1), "")</f>
        <v/>
      </c>
      <c r="DW16" s="94" t="str">
        <f t="array" ref="DW16">IFERROR(INDEX(Skill!$AP:$AP, MATCH(DW$4, Skill!$C:$C, 0), 1), "")</f>
        <v/>
      </c>
      <c r="DX16" s="94" t="str">
        <f t="array" ref="DX16">IFERROR(INDEX(Skill!$AP:$AP, MATCH(DX$4, Skill!$C:$C, 0), 1), "")</f>
        <v/>
      </c>
      <c r="DY16" s="94" t="str">
        <f t="array" ref="DY16">IFERROR(INDEX(Skill!$AP:$AP, MATCH(DY$4, Skill!$C:$C, 0), 1), "")</f>
        <v/>
      </c>
      <c r="DZ16" s="94" t="str">
        <f t="array" ref="DZ16">IFERROR(INDEX(Skill!$AP:$AP, MATCH(DZ$4, Skill!$C:$C, 0), 1), "")</f>
        <v/>
      </c>
      <c r="EA16" s="89" t="str">
        <f t="array" ref="EA16">IFERROR(INDEX(Skill!$AP:$AP, MATCH(EA$4, Skill!$C:$C, 0), 1), "")</f>
        <v/>
      </c>
      <c r="EB16" s="89" t="str">
        <f t="array" ref="EB16">IFERROR(INDEX(Skill!$AP:$AP, MATCH(EB$4, Skill!$C:$C, 0), 1), "")</f>
        <v/>
      </c>
      <c r="EC16" s="89" t="str">
        <f t="array" ref="EC16">IFERROR(INDEX(Skill!$AP:$AP, MATCH(EC$4, Skill!$C:$C, 0), 1), "")</f>
        <v/>
      </c>
      <c r="ED16" s="94" t="str">
        <f t="array" ref="ED16">IFERROR(INDEX(Skill!$AP:$AP, MATCH(ED$4, Skill!$C:$C, 0), 1), "")</f>
        <v/>
      </c>
      <c r="EE16" s="102"/>
      <c r="EF16" s="102"/>
      <c r="EG16" s="102"/>
      <c r="EH16" s="102"/>
      <c r="EI16" s="102"/>
      <c r="EJ16" s="102"/>
      <c r="EK16" s="102"/>
      <c r="EL16" s="102"/>
      <c r="EM16" s="102"/>
      <c r="EN16" s="102"/>
      <c r="EO16" s="102"/>
      <c r="EP16" s="102"/>
      <c r="EQ16" s="102"/>
      <c r="ER16" s="103"/>
      <c r="ES16" s="103"/>
      <c r="ET16" s="103"/>
      <c r="EU16" s="76"/>
      <c r="EV16" s="76"/>
      <c r="EW16" s="76"/>
      <c r="EX16" s="76"/>
      <c r="EY16" s="76"/>
      <c r="EZ16" s="76"/>
      <c r="FA16" s="76"/>
      <c r="FB16" s="76"/>
      <c r="FC16" s="76"/>
      <c r="FD16" s="76"/>
      <c r="FE16" s="76"/>
      <c r="FF16" s="76"/>
      <c r="FG16" s="76"/>
      <c r="FH16" s="76"/>
      <c r="FI16" s="76"/>
      <c r="FJ16" s="76"/>
      <c r="FK16" s="76"/>
      <c r="FL16" s="76"/>
      <c r="FM16" s="76"/>
      <c r="FN16" s="76"/>
      <c r="FO16" s="91"/>
    </row>
    <row r="17" hidden="1">
      <c r="B17" s="84"/>
      <c r="C17" s="83"/>
      <c r="D17" s="83"/>
      <c r="E17" s="104" t="s">
        <v>16</v>
      </c>
      <c r="F17" s="84"/>
      <c r="G17" s="84"/>
      <c r="H17" s="84"/>
      <c r="I17" s="84"/>
      <c r="J17" s="84"/>
      <c r="K17" s="94" t="str">
        <f t="array" ref="K17">IFERROR(INDEX(Skill!$U:$U, MATCH(K$4, Skill!$C:$C, 0), 1), "")</f>
        <v/>
      </c>
      <c r="L17" s="94" t="str">
        <f t="array" ref="L17">IFERROR(INDEX(Skill!$U:$U, MATCH(L$4, Skill!$C:$C, 0), 1), "")</f>
        <v/>
      </c>
      <c r="M17" s="94" t="str">
        <f t="array" ref="M17">IFERROR(INDEX(Skill!$U:$U, MATCH(M$4, Skill!$C:$C, 0), 1), "")</f>
        <v/>
      </c>
      <c r="N17" s="94" t="str">
        <f t="array" ref="N17">IFERROR(INDEX(Skill!$U:$U, MATCH(N$4, Skill!$C:$C, 0), 1), "")</f>
        <v>ランパート|センチネル|エクストリームガード</v>
      </c>
      <c r="O17" s="94" t="str">
        <f t="array" ref="O17">IFERROR(INDEX(Skill!$U:$U, MATCH(O$4, Skill!$C:$C, 0), 1), "")</f>
        <v/>
      </c>
      <c r="P17" s="94" t="str">
        <f t="array" ref="P17">IFERROR(INDEX(Skill!$U:$U, MATCH(P$4, Skill!$C:$C, 0), 1), "")</f>
        <v/>
      </c>
      <c r="Q17" s="94" t="str">
        <f t="array" ref="Q17">IFERROR(INDEX(Skill!$U:$U, MATCH(Q$4, Skill!$C:$C, 0), 1), "")</f>
        <v/>
      </c>
      <c r="R17" s="94" t="str">
        <f t="array" ref="R17">IFERROR(INDEX(Skill!$U:$U, MATCH(R$4, Skill!$C:$C, 0), 1), "")</f>
        <v/>
      </c>
      <c r="S17" s="94" t="str">
        <f t="array" ref="S17">IFERROR(INDEX(Skill!$U:$U, MATCH(S$4, Skill!$C:$C, 0), 1), "")</f>
        <v/>
      </c>
      <c r="T17" s="94" t="str">
        <f t="array" ref="T17">IFERROR(INDEX(Skill!$U:$U, MATCH(T$4, Skill!$C:$C, 0), 1), "")</f>
        <v/>
      </c>
      <c r="U17" s="94" t="str">
        <f t="array" ref="U17">IFERROR(INDEX(Skill!$U:$U, MATCH(U$4, Skill!$C:$C, 0), 1), "")</f>
        <v/>
      </c>
      <c r="V17" s="94" t="str">
        <f t="array" ref="V17">IFERROR(INDEX(Skill!$U:$U, MATCH(V$4, Skill!$C:$C, 0), 1), "")</f>
        <v/>
      </c>
      <c r="W17" s="94" t="str">
        <f t="array" ref="W17">IFERROR(INDEX(Skill!$U:$U, MATCH(W$4, Skill!$C:$C, 0), 1), "")</f>
        <v/>
      </c>
      <c r="X17" s="94" t="str">
        <f t="array" ref="X17">IFERROR(INDEX(Skill!$U:$U, MATCH(X$4, Skill!$C:$C, 0), 1), "")</f>
        <v/>
      </c>
      <c r="Y17" s="94" t="str">
        <f t="array" ref="Y17">IFERROR(INDEX(Skill!$U:$U, MATCH(Y$4, Skill!$C:$C, 0), 1), "")</f>
        <v/>
      </c>
      <c r="Z17" s="94" t="str">
        <f t="array" ref="Z17">IFERROR(INDEX(Skill!$U:$U, MATCH(Z$4, Skill!$C:$C, 0), 1), "")</f>
        <v/>
      </c>
      <c r="AA17" s="94" t="str">
        <f t="array" ref="AA17">IFERROR(INDEX(Skill!$U:$U, MATCH(AA$4, Skill!$C:$C, 0), 1), "")</f>
        <v/>
      </c>
      <c r="AB17" s="94" t="str">
        <f t="array" ref="AB17">IFERROR(INDEX(Skill!$U:$U, MATCH(AB$4, Skill!$C:$C, 0), 1), "")</f>
        <v/>
      </c>
      <c r="AC17" s="94" t="str">
        <f t="array" ref="AC17">IFERROR(INDEX(Skill!$U:$U, MATCH(AC$4, Skill!$C:$C, 0), 1), "")</f>
        <v/>
      </c>
      <c r="AD17" s="94" t="str">
        <f t="array" ref="AD17">IFERROR(INDEX(Skill!$U:$U, MATCH(AD$4, Skill!$C:$C, 0), 1), "")</f>
        <v/>
      </c>
      <c r="AE17" s="94" t="str">
        <f t="array" ref="AE17">IFERROR(INDEX(Skill!$U:$U, MATCH(AE$4, Skill!$C:$C, 0), 1), "")</f>
        <v/>
      </c>
      <c r="AF17" s="94" t="str">
        <f t="array" ref="AF17">IFERROR(INDEX(Skill!$U:$U, MATCH(AF$4, Skill!$C:$C, 0), 1), "")</f>
        <v/>
      </c>
      <c r="AG17" s="94" t="str">
        <f t="array" ref="AG17">IFERROR(INDEX(Skill!$U:$U, MATCH(AG$4, Skill!$C:$C, 0), 1), "")</f>
        <v/>
      </c>
      <c r="AH17" s="94" t="str">
        <f t="array" ref="AH17">IFERROR(INDEX(Skill!$U:$U, MATCH(AH$4, Skill!$C:$C, 0), 1), "")</f>
        <v/>
      </c>
      <c r="AI17" s="94" t="str">
        <f t="array" ref="AI17">IFERROR(INDEX(Skill!$U:$U, MATCH(AI$4, Skill!$C:$C, 0), 1), "")</f>
        <v/>
      </c>
      <c r="AJ17" s="94" t="str">
        <f t="array" ref="AJ17">IFERROR(INDEX(Skill!$U:$U, MATCH(AJ$4, Skill!$C:$C, 0), 1), "")</f>
        <v/>
      </c>
      <c r="AK17" s="94" t="str">
        <f t="array" ref="AK17">IFERROR(INDEX(Skill!$U:$U, MATCH(AK$4, Skill!$C:$C, 0), 1), "")</f>
        <v/>
      </c>
      <c r="AL17" s="94" t="str">
        <f t="array" ref="AL17">IFERROR(INDEX(Skill!$U:$U, MATCH(AL$4, Skill!$C:$C, 0), 1), "")</f>
        <v/>
      </c>
      <c r="AM17" s="94" t="str">
        <f t="array" ref="AM17">IFERROR(INDEX(Skill!$U:$U, MATCH(AM$4, Skill!$C:$C, 0), 1), "")</f>
        <v/>
      </c>
      <c r="AN17" s="94" t="str">
        <f t="array" ref="AN17">IFERROR(INDEX(Skill!$U:$U, MATCH(AN$4, Skill!$C:$C, 0), 1), "")</f>
        <v/>
      </c>
      <c r="AO17" s="94" t="str">
        <f t="array" ref="AO17">IFERROR(INDEX(Skill!$U:$U, MATCH(AO$4, Skill!$C:$C, 0), 1), "")</f>
        <v/>
      </c>
      <c r="AP17" s="94" t="str">
        <f t="array" ref="AP17">IFERROR(INDEX(Skill!$U:$U, MATCH(AP$4, Skill!$C:$C, 0), 1), "")</f>
        <v/>
      </c>
      <c r="AQ17" s="94" t="str">
        <f t="array" ref="AQ17">IFERROR(INDEX(Skill!$U:$U, MATCH(AQ$4, Skill!$C:$C, 0), 1), "")</f>
        <v/>
      </c>
      <c r="AR17" s="94" t="str">
        <f t="array" ref="AR17">IFERROR(INDEX(Skill!$U:$U, MATCH(AR$4, Skill!$C:$C, 0), 1), "")</f>
        <v/>
      </c>
      <c r="AS17" s="94" t="str">
        <f t="array" ref="AS17">IFERROR(INDEX(Skill!$U:$U, MATCH(AS$4, Skill!$C:$C, 0), 1), "")</f>
        <v/>
      </c>
      <c r="AT17" s="94" t="str">
        <f t="array" ref="AT17">IFERROR(INDEX(Skill!$U:$U, MATCH(AT$4, Skill!$C:$C, 0), 1), "")</f>
        <v/>
      </c>
      <c r="AU17" s="94" t="str">
        <f t="array" ref="AU17">IFERROR(INDEX(Skill!$U:$U, MATCH(AU$4, Skill!$C:$C, 0), 1), "")</f>
        <v/>
      </c>
      <c r="AV17" s="94" t="str">
        <f t="array" ref="AV17">IFERROR(INDEX(Skill!$U:$U, MATCH(AV$4, Skill!$C:$C, 0), 1), "")</f>
        <v/>
      </c>
      <c r="AW17" s="94" t="str">
        <f t="array" ref="AW17">IFERROR(INDEX(Skill!$U:$U, MATCH(AW$4, Skill!$C:$C, 0), 1), "")</f>
        <v/>
      </c>
      <c r="AX17" s="94" t="str">
        <f t="array" ref="AX17">IFERROR(INDEX(Skill!$U:$U, MATCH(AX$4, Skill!$C:$C, 0), 1), "")</f>
        <v/>
      </c>
      <c r="AY17" s="94" t="str">
        <f t="array" ref="AY17">IFERROR(INDEX(Skill!$U:$U, MATCH(AY$4, Skill!$C:$C, 0), 1), "")</f>
        <v/>
      </c>
      <c r="AZ17" s="94" t="str">
        <f t="array" ref="AZ17">IFERROR(INDEX(Skill!$U:$U, MATCH(AZ$4, Skill!$C:$C, 0), 1), "")</f>
        <v/>
      </c>
      <c r="BA17" s="94" t="str">
        <f t="array" ref="BA17">IFERROR(INDEX(Skill!$U:$U, MATCH(BA$4, Skill!$C:$C, 0), 1), "")</f>
        <v/>
      </c>
      <c r="BB17" s="94" t="str">
        <f t="array" ref="BB17">IFERROR(INDEX(Skill!$U:$U, MATCH(BB$4, Skill!$C:$C, 0), 1), "")</f>
        <v/>
      </c>
      <c r="BC17" s="94" t="str">
        <f t="array" ref="BC17">IFERROR(INDEX(Skill!$U:$U, MATCH(BC$4, Skill!$C:$C, 0), 1), "")</f>
        <v/>
      </c>
      <c r="BD17" s="94" t="str">
        <f t="array" ref="BD17">IFERROR(INDEX(Skill!$U:$U, MATCH(BD$4, Skill!$C:$C, 0), 1), "")</f>
        <v/>
      </c>
      <c r="BE17" s="94" t="str">
        <f t="array" ref="BE17">IFERROR(INDEX(Skill!$U:$U, MATCH(BE$4, Skill!$C:$C, 0), 1), "")</f>
        <v/>
      </c>
      <c r="BF17" s="94" t="str">
        <f t="array" ref="BF17">IFERROR(INDEX(Skill!$U:$U, MATCH(BF$4, Skill!$C:$C, 0), 1), "")</f>
        <v/>
      </c>
      <c r="BG17" s="94" t="str">
        <f t="array" ref="BG17">IFERROR(INDEX(Skill!$U:$U, MATCH(BG$4, Skill!$C:$C, 0), 1), "")</f>
        <v/>
      </c>
      <c r="BH17" s="94" t="str">
        <f t="array" ref="BH17">IFERROR(INDEX(Skill!$U:$U, MATCH(BH$4, Skill!$C:$C, 0), 1), "")</f>
        <v>ニュートラルセクト</v>
      </c>
      <c r="BI17" s="94" t="str">
        <f t="array" ref="BI17">IFERROR(INDEX(Skill!$U:$U, MATCH(BI$4, Skill!$C:$C, 0), 1), "")</f>
        <v/>
      </c>
      <c r="BJ17" s="94" t="str">
        <f t="array" ref="BJ17">IFERROR(INDEX(Skill!$U:$U, MATCH(BJ$4, Skill!$C:$C, 0), 1), "")</f>
        <v/>
      </c>
      <c r="BK17" s="94" t="str">
        <f t="array" ref="BK17">IFERROR(INDEX(Skill!$U:$U, MATCH(BK$4, Skill!$C:$C, 0), 1), "")</f>
        <v/>
      </c>
      <c r="BL17" s="94" t="str">
        <f t="array" ref="BL17">IFERROR(INDEX(Skill!$U:$U, MATCH(BL$4, Skill!$C:$C, 0), 1), "")</f>
        <v/>
      </c>
      <c r="BM17" s="94" t="str">
        <f t="array" ref="BM17">IFERROR(INDEX(Skill!$U:$U, MATCH(BM$4, Skill!$C:$C, 0), 1), "")</f>
        <v/>
      </c>
      <c r="BN17" s="94" t="str">
        <f t="array" ref="BN17">IFERROR(INDEX(Skill!$U:$U, MATCH(BN$4, Skill!$C:$C, 0), 1), "")</f>
        <v/>
      </c>
      <c r="BO17" s="94" t="str">
        <f t="array" ref="BO17">IFERROR(INDEX(Skill!$U:$U, MATCH(BO$4, Skill!$C:$C, 0), 1), "")</f>
        <v/>
      </c>
      <c r="BP17" s="94" t="str">
        <f t="array" ref="BP17">IFERROR(INDEX(Skill!$U:$U, MATCH(BP$4, Skill!$C:$C, 0), 1), "")</f>
        <v/>
      </c>
      <c r="BQ17" s="94" t="str">
        <f t="array" ref="BQ17">IFERROR(INDEX(Skill!$U:$U, MATCH(BQ$4, Skill!$C:$C, 0), 1), "")</f>
        <v/>
      </c>
      <c r="BR17" s="94" t="str">
        <f t="array" ref="BR17">IFERROR(INDEX(Skill!$U:$U, MATCH(BR$4, Skill!$C:$C, 0), 1), "")</f>
        <v/>
      </c>
      <c r="BS17" s="94" t="str">
        <f t="array" ref="BS17">IFERROR(INDEX(Skill!$U:$U, MATCH(BS$4, Skill!$C:$C, 0), 1), "")</f>
        <v/>
      </c>
      <c r="BT17" s="94" t="str">
        <f t="array" ref="BT17">IFERROR(INDEX(Skill!$U:$U, MATCH(BT$4, Skill!$C:$C, 0), 1), "")</f>
        <v/>
      </c>
      <c r="BU17" s="94" t="str">
        <f t="array" ref="BU17">IFERROR(INDEX(Skill!$U:$U, MATCH(BU$4, Skill!$C:$C, 0), 1), "")</f>
        <v/>
      </c>
      <c r="BV17" s="94" t="str">
        <f t="array" ref="BV17">IFERROR(INDEX(Skill!$U:$U, MATCH(BV$4, Skill!$C:$C, 0), 1), "")</f>
        <v/>
      </c>
      <c r="BW17" s="94" t="str">
        <f t="array" ref="BW17">IFERROR(INDEX(Skill!$U:$U, MATCH(BW$4, Skill!$C:$C, 0), 1), "")</f>
        <v/>
      </c>
      <c r="BX17" s="94" t="str">
        <f t="array" ref="BX17">IFERROR(INDEX(Skill!$U:$U, MATCH(BX$4, Skill!$C:$C, 0), 1), "")</f>
        <v>ニュートラルセクト</v>
      </c>
      <c r="BY17" s="94" t="str">
        <f t="array" ref="BY17">IFERROR(INDEX(Skill!$U:$U, MATCH(BY$4, Skill!$C:$C, 0), 1), "")</f>
        <v/>
      </c>
      <c r="BZ17" s="94" t="str">
        <f t="array" ref="BZ17">IFERROR(INDEX(Skill!$U:$U, MATCH(BZ$4, Skill!$C:$C, 0), 1), "")</f>
        <v/>
      </c>
      <c r="CA17" s="94" t="str">
        <f t="array" ref="CA17">IFERROR(INDEX(Skill!$U:$U, MATCH(CA$4, Skill!$C:$C, 0), 1), "")</f>
        <v/>
      </c>
      <c r="CB17" s="94" t="str">
        <f t="array" ref="CB17">IFERROR(INDEX(Skill!$U:$U, MATCH(CB$4, Skill!$C:$C, 0), 1), "")</f>
        <v/>
      </c>
      <c r="CC17" s="94" t="str">
        <f t="array" ref="CC17">IFERROR(INDEX(Skill!$U:$U, MATCH(CC$4, Skill!$C:$C, 0), 1), "")</f>
        <v/>
      </c>
      <c r="CD17" s="94" t="str">
        <f t="array" ref="CD17">IFERROR(INDEX(Skill!$U:$U, MATCH(CD$4, Skill!$C:$C, 0), 1), "")</f>
        <v/>
      </c>
      <c r="CE17" s="94" t="str">
        <f t="array" ref="CE17">IFERROR(INDEX(Skill!$U:$U, MATCH(CE$4, Skill!$C:$C, 0), 1), "")</f>
        <v/>
      </c>
      <c r="CF17" s="94" t="str">
        <f t="array" ref="CF17">IFERROR(INDEX(Skill!$U:$U, MATCH(CF$4, Skill!$C:$C, 0), 1), "")</f>
        <v/>
      </c>
      <c r="CG17" s="94" t="str">
        <f t="array" ref="CG17">IFERROR(INDEX(Skill!$U:$U, MATCH(CG$4, Skill!$C:$C, 0), 1), "")</f>
        <v/>
      </c>
      <c r="CH17" s="94" t="str">
        <f t="array" ref="CH17">IFERROR(INDEX(Skill!$U:$U, MATCH(CH$4, Skill!$C:$C, 0), 1), "")</f>
        <v/>
      </c>
      <c r="CI17" s="94" t="str">
        <f t="array" ref="CI17">IFERROR(INDEX(Skill!$U:$U, MATCH(CI$4, Skill!$C:$C, 0), 1), "")</f>
        <v/>
      </c>
      <c r="CJ17" s="94" t="str">
        <f t="array" ref="CJ17">IFERROR(INDEX(Skill!$U:$U, MATCH(CJ$4, Skill!$C:$C, 0), 1), "")</f>
        <v/>
      </c>
      <c r="CK17" s="94" t="str">
        <f t="array" ref="CK17">IFERROR(INDEX(Skill!$U:$U, MATCH(CK$4, Skill!$C:$C, 0), 1), "")</f>
        <v/>
      </c>
      <c r="CL17" s="94" t="str">
        <f t="array" ref="CL17">IFERROR(INDEX(Skill!$U:$U, MATCH(CL$4, Skill!$C:$C, 0), 1), "")</f>
        <v/>
      </c>
      <c r="CM17" s="94" t="str">
        <f t="array" ref="CM17">IFERROR(INDEX(Skill!$U:$U, MATCH(CM$4, Skill!$C:$C, 0), 1), "")</f>
        <v>秘策</v>
      </c>
      <c r="CN17" s="94" t="str">
        <f t="array" ref="CN17">IFERROR(INDEX(Skill!$U:$U, MATCH(CN$4, Skill!$C:$C, 0), 1), "")</f>
        <v/>
      </c>
      <c r="CO17" s="94" t="str">
        <f t="array" ref="CO17">IFERROR(INDEX(Skill!$U:$U, MATCH(CO$4, Skill!$C:$C, 0), 1), "")</f>
        <v/>
      </c>
      <c r="CP17" s="94" t="str">
        <f t="array" ref="CP17">IFERROR(INDEX(Skill!$U:$U, MATCH(CP$4, Skill!$C:$C, 0), 1), "")</f>
        <v>秘策</v>
      </c>
      <c r="CQ17" s="94" t="str">
        <f t="array" ref="CQ17">IFERROR(INDEX(Skill!$U:$U, MATCH(CQ$4, Skill!$C:$C, 0), 1), "")</f>
        <v/>
      </c>
      <c r="CR17" s="94" t="str">
        <f t="array" ref="CR17">IFERROR(INDEX(Skill!$U:$U, MATCH(CR$4, Skill!$C:$C, 0), 1), "")</f>
        <v/>
      </c>
      <c r="CS17" s="94" t="str">
        <f t="array" ref="CS17">IFERROR(INDEX(Skill!$U:$U, MATCH(CS$4, Skill!$C:$C, 0), 1), "")</f>
        <v/>
      </c>
      <c r="CT17" s="94" t="str">
        <f t="array" ref="CT17">IFERROR(INDEX(Skill!$U:$U, MATCH(CT$4, Skill!$C:$C, 0), 1), "")</f>
        <v/>
      </c>
      <c r="CU17" s="94" t="str">
        <f t="array" ref="CU17">IFERROR(INDEX(Skill!$U:$U, MATCH(CU$4, Skill!$C:$C, 0), 1), "")</f>
        <v/>
      </c>
      <c r="CV17" s="94" t="str">
        <f t="array" ref="CV17">IFERROR(INDEX(Skill!$U:$U, MATCH(CV$4, Skill!$C:$C, 0), 1), "")</f>
        <v/>
      </c>
      <c r="CW17" s="94" t="str">
        <f t="array" ref="CW17">IFERROR(INDEX(Skill!$U:$U, MATCH(CW$4, Skill!$C:$C, 0), 1), "")</f>
        <v/>
      </c>
      <c r="CX17" s="94" t="str">
        <f t="array" ref="CX17">IFERROR(INDEX(Skill!$U:$U, MATCH(CX$4, Skill!$C:$C, 0), 1), "")</f>
        <v/>
      </c>
      <c r="CY17" s="94" t="str">
        <f t="array" ref="CY17">IFERROR(INDEX(Skill!$U:$U, MATCH(CY$4, Skill!$C:$C, 0), 1), "")</f>
        <v/>
      </c>
      <c r="CZ17" s="94" t="str">
        <f t="array" ref="CZ17">IFERROR(INDEX(Skill!$U:$U, MATCH(CZ$4, Skill!$C:$C, 0), 1), "")</f>
        <v/>
      </c>
      <c r="DA17" s="94" t="str">
        <f t="array" ref="DA17">IFERROR(INDEX(Skill!$U:$U, MATCH(DA$4, Skill!$C:$C, 0), 1), "")</f>
        <v/>
      </c>
      <c r="DB17" s="94" t="str">
        <f t="array" ref="DB17">IFERROR(INDEX(Skill!$U:$U, MATCH(DB$4, Skill!$C:$C, 0), 1), "")</f>
        <v/>
      </c>
      <c r="DC17" s="94" t="str">
        <f t="array" ref="DC17">IFERROR(INDEX(Skill!$U:$U, MATCH(DC$4, Skill!$C:$C, 0), 1), "")</f>
        <v/>
      </c>
      <c r="DD17" s="94" t="str">
        <f t="array" ref="DD17">IFERROR(INDEX(Skill!$U:$U, MATCH(DD$4, Skill!$C:$C, 0), 1), "")</f>
        <v/>
      </c>
      <c r="DE17" s="94" t="str">
        <f t="array" ref="DE17">IFERROR(INDEX(Skill!$U:$U, MATCH(DE$4, Skill!$C:$C, 0), 1), "")</f>
        <v/>
      </c>
      <c r="DF17" s="94" t="str">
        <f t="array" ref="DF17">IFERROR(INDEX(Skill!$U:$U, MATCH(DF$4, Skill!$C:$C, 0), 1), "")</f>
        <v/>
      </c>
      <c r="DG17" s="94" t="str">
        <f t="array" ref="DG17">IFERROR(INDEX(Skill!$U:$U, MATCH(DG$4, Skill!$C:$C, 0), 1), "")</f>
        <v/>
      </c>
      <c r="DH17" s="94" t="str">
        <f t="array" ref="DH17">IFERROR(INDEX(Skill!$U:$U, MATCH(DH$4, Skill!$C:$C, 0), 1), "")</f>
        <v/>
      </c>
      <c r="DI17" s="94" t="str">
        <f t="array" ref="DI17">IFERROR(INDEX(Skill!$U:$U, MATCH(DI$4, Skill!$C:$C, 0), 1), "")</f>
        <v/>
      </c>
      <c r="DJ17" s="94" t="str">
        <f t="array" ref="DJ17">IFERROR(INDEX(Skill!$U:$U, MATCH(DJ$4, Skill!$C:$C, 0), 1), "")</f>
        <v/>
      </c>
      <c r="DK17" s="94" t="str">
        <f t="array" ref="DK17">IFERROR(INDEX(Skill!$U:$U, MATCH(DK$4, Skill!$C:$C, 0), 1), "")</f>
        <v/>
      </c>
      <c r="DL17" s="94" t="str">
        <f t="array" ref="DL17">IFERROR(INDEX(Skill!$U:$U, MATCH(DL$4, Skill!$C:$C, 0), 1), "")</f>
        <v/>
      </c>
      <c r="DM17" s="94" t="str">
        <f t="array" ref="DM17">IFERROR(INDEX(Skill!$U:$U, MATCH(DM$4, Skill!$C:$C, 0), 1), "")</f>
        <v/>
      </c>
      <c r="DN17" s="94" t="str">
        <f t="array" ref="DN17">IFERROR(INDEX(Skill!$U:$U, MATCH(DN$4, Skill!$C:$C, 0), 1), "")</f>
        <v/>
      </c>
      <c r="DO17" s="94" t="str">
        <f t="array" ref="DO17">IFERROR(INDEX(Skill!$U:$U, MATCH(DO$4, Skill!$C:$C, 0), 1), "")</f>
        <v/>
      </c>
      <c r="DP17" s="94" t="str">
        <f t="array" ref="DP17">IFERROR(INDEX(Skill!$U:$U, MATCH(DP$4, Skill!$C:$C, 0), 1), "")</f>
        <v/>
      </c>
      <c r="DQ17" s="94" t="str">
        <f t="array" ref="DQ17">IFERROR(INDEX(Skill!$U:$U, MATCH(DQ$4, Skill!$C:$C, 0), 1), "")</f>
        <v/>
      </c>
      <c r="DR17" s="94" t="str">
        <f t="array" ref="DR17">IFERROR(INDEX(Skill!$U:$U, MATCH(DR$4, Skill!$C:$C, 0), 1), "")</f>
        <v/>
      </c>
      <c r="DS17" s="94" t="str">
        <f t="array" ref="DS17">IFERROR(INDEX(Skill!$U:$U, MATCH(DS$4, Skill!$C:$C, 0), 1), "")</f>
        <v/>
      </c>
      <c r="DT17" s="94" t="str">
        <f t="array" ref="DT17">IFERROR(INDEX(Skill!$U:$U, MATCH(DT$4, Skill!$C:$C, 0), 1), "")</f>
        <v/>
      </c>
      <c r="DU17" s="94" t="str">
        <f t="array" ref="DU17">IFERROR(INDEX(Skill!$U:$U, MATCH(DU$4, Skill!$C:$C, 0), 1), "")</f>
        <v/>
      </c>
      <c r="DV17" s="94" t="str">
        <f t="array" ref="DV17">IFERROR(INDEX(Skill!$U:$U, MATCH(DV$4, Skill!$C:$C, 0), 1), "")</f>
        <v/>
      </c>
      <c r="DW17" s="94" t="str">
        <f t="array" ref="DW17">IFERROR(INDEX(Skill!$U:$U, MATCH(DW$4, Skill!$C:$C, 0), 1), "")</f>
        <v/>
      </c>
      <c r="DX17" s="94" t="str">
        <f t="array" ref="DX17">IFERROR(INDEX(Skill!$U:$U, MATCH(DX$4, Skill!$C:$C, 0), 1), "")</f>
        <v/>
      </c>
      <c r="DY17" s="94" t="str">
        <f t="array" ref="DY17">IFERROR(INDEX(Skill!$U:$U, MATCH(DY$4, Skill!$C:$C, 0), 1), "")</f>
        <v/>
      </c>
      <c r="DZ17" s="94" t="str">
        <f t="array" ref="DZ17">IFERROR(INDEX(Skill!$U:$U, MATCH(DZ$4, Skill!$C:$C, 0), 1), "")</f>
        <v/>
      </c>
      <c r="EA17" s="89" t="str">
        <f t="array" ref="EA17">IFERROR(INDEX(Skill!$U:$U, MATCH(EA$4, Skill!$C:$C, 0), 1), "")</f>
        <v/>
      </c>
      <c r="EB17" s="89" t="str">
        <f t="array" ref="EB17">IFERROR(INDEX(Skill!$U:$U, MATCH(EB$4, Skill!$C:$C, 0), 1), "")</f>
        <v/>
      </c>
      <c r="EC17" s="89" t="str">
        <f t="array" ref="EC17">IFERROR(INDEX(Skill!$U:$U, MATCH(EC$4, Skill!$C:$C, 0), 1), "")</f>
        <v/>
      </c>
      <c r="ED17" s="94" t="str">
        <f t="array" ref="ED17">IFERROR(INDEX(Skill!$U:$U, MATCH(ED$4, Skill!$C:$C, 0), 1), "")</f>
        <v/>
      </c>
      <c r="EE17" s="102"/>
      <c r="EF17" s="102"/>
      <c r="EG17" s="102"/>
      <c r="EH17" s="102"/>
      <c r="EI17" s="102"/>
      <c r="EJ17" s="102"/>
      <c r="EK17" s="102"/>
      <c r="EL17" s="102"/>
      <c r="EM17" s="102"/>
      <c r="EN17" s="102"/>
      <c r="EO17" s="102"/>
      <c r="EP17" s="102"/>
      <c r="EQ17" s="102"/>
      <c r="ER17" s="103"/>
      <c r="ES17" s="103"/>
      <c r="ET17" s="103"/>
      <c r="EU17" s="76"/>
      <c r="EV17" s="76"/>
      <c r="EW17" s="76"/>
      <c r="EX17" s="76"/>
      <c r="EY17" s="76"/>
      <c r="EZ17" s="76"/>
      <c r="FA17" s="76"/>
      <c r="FB17" s="76"/>
      <c r="FC17" s="76"/>
      <c r="FD17" s="76"/>
      <c r="FE17" s="76"/>
      <c r="FF17" s="76"/>
      <c r="FG17" s="76"/>
      <c r="FH17" s="76"/>
      <c r="FI17" s="76"/>
      <c r="FJ17" s="76"/>
      <c r="FK17" s="76"/>
      <c r="FL17" s="76"/>
      <c r="FM17" s="76"/>
      <c r="FN17" s="76"/>
      <c r="FO17" s="91"/>
    </row>
    <row r="18" hidden="1">
      <c r="B18" s="84"/>
      <c r="C18" s="83"/>
      <c r="D18" s="83"/>
      <c r="E18" s="105" t="s">
        <v>11</v>
      </c>
      <c r="F18" s="84"/>
      <c r="G18" s="84"/>
      <c r="H18" s="84"/>
      <c r="I18" s="84"/>
      <c r="J18" s="84"/>
      <c r="K18" s="94" t="str">
        <f t="array" ref="K18">IFERROR(INDEX(Skill!$X:$X, MATCH(K$4, Skill!$C:$C, 0), 1), "")</f>
        <v/>
      </c>
      <c r="L18" s="94" t="str">
        <f t="array" ref="L18">IFERROR(INDEX(Skill!$X:$X, MATCH(L$4, Skill!$C:$C, 0), 1), "")</f>
        <v/>
      </c>
      <c r="M18" s="94" t="str">
        <f t="array" ref="M18">IFERROR(INDEX(Skill!$X:$X, MATCH(M$4, Skill!$C:$C, 0), 1), "")</f>
        <v/>
      </c>
      <c r="N18" s="94">
        <f t="array" ref="N18">IFERROR(INDEX(Skill!$X:$X, MATCH(N$4, Skill!$C:$C, 0), 1), "")</f>
        <v>0.8</v>
      </c>
      <c r="O18" s="94" t="str">
        <f t="array" ref="O18">IFERROR(INDEX(Skill!$X:$X, MATCH(O$4, Skill!$C:$C, 0), 1), "")</f>
        <v/>
      </c>
      <c r="P18" s="94" t="str">
        <f t="array" ref="P18">IFERROR(INDEX(Skill!$X:$X, MATCH(P$4, Skill!$C:$C, 0), 1), "")</f>
        <v/>
      </c>
      <c r="Q18" s="94" t="str">
        <f t="array" ref="Q18">IFERROR(INDEX(Skill!$X:$X, MATCH(Q$4, Skill!$C:$C, 0), 1), "")</f>
        <v/>
      </c>
      <c r="R18" s="94" t="str">
        <f t="array" ref="R18">IFERROR(INDEX(Skill!$X:$X, MATCH(R$4, Skill!$C:$C, 0), 1), "")</f>
        <v/>
      </c>
      <c r="S18" s="94" t="str">
        <f t="array" ref="S18">IFERROR(INDEX(Skill!$X:$X, MATCH(S$4, Skill!$C:$C, 0), 1), "")</f>
        <v/>
      </c>
      <c r="T18" s="94" t="str">
        <f t="array" ref="T18">IFERROR(INDEX(Skill!$X:$X, MATCH(T$4, Skill!$C:$C, 0), 1), "")</f>
        <v/>
      </c>
      <c r="U18" s="94" t="str">
        <f t="array" ref="U18">IFERROR(INDEX(Skill!$X:$X, MATCH(U$4, Skill!$C:$C, 0), 1), "")</f>
        <v/>
      </c>
      <c r="V18" s="94" t="str">
        <f t="array" ref="V18">IFERROR(INDEX(Skill!$X:$X, MATCH(V$4, Skill!$C:$C, 0), 1), "")</f>
        <v/>
      </c>
      <c r="W18" s="94" t="str">
        <f t="array" ref="W18">IFERROR(INDEX(Skill!$X:$X, MATCH(W$4, Skill!$C:$C, 0), 1), "")</f>
        <v/>
      </c>
      <c r="X18" s="94" t="str">
        <f t="array" ref="X18">IFERROR(INDEX(Skill!$X:$X, MATCH(X$4, Skill!$C:$C, 0), 1), "")</f>
        <v/>
      </c>
      <c r="Y18" s="94" t="str">
        <f t="array" ref="Y18">IFERROR(INDEX(Skill!$X:$X, MATCH(Y$4, Skill!$C:$C, 0), 1), "")</f>
        <v/>
      </c>
      <c r="Z18" s="94" t="str">
        <f t="array" ref="Z18">IFERROR(INDEX(Skill!$X:$X, MATCH(Z$4, Skill!$C:$C, 0), 1), "")</f>
        <v/>
      </c>
      <c r="AA18" s="94" t="str">
        <f t="array" ref="AA18">IFERROR(INDEX(Skill!$X:$X, MATCH(AA$4, Skill!$C:$C, 0), 1), "")</f>
        <v/>
      </c>
      <c r="AB18" s="94" t="str">
        <f t="array" ref="AB18">IFERROR(INDEX(Skill!$X:$X, MATCH(AB$4, Skill!$C:$C, 0), 1), "")</f>
        <v/>
      </c>
      <c r="AC18" s="94" t="str">
        <f t="array" ref="AC18">IFERROR(INDEX(Skill!$X:$X, MATCH(AC$4, Skill!$C:$C, 0), 1), "")</f>
        <v/>
      </c>
      <c r="AD18" s="94" t="str">
        <f t="array" ref="AD18">IFERROR(INDEX(Skill!$X:$X, MATCH(AD$4, Skill!$C:$C, 0), 1), "")</f>
        <v/>
      </c>
      <c r="AE18" s="94" t="str">
        <f t="array" ref="AE18">IFERROR(INDEX(Skill!$X:$X, MATCH(AE$4, Skill!$C:$C, 0), 1), "")</f>
        <v/>
      </c>
      <c r="AF18" s="94" t="str">
        <f t="array" ref="AF18">IFERROR(INDEX(Skill!$X:$X, MATCH(AF$4, Skill!$C:$C, 0), 1), "")</f>
        <v/>
      </c>
      <c r="AG18" s="94" t="str">
        <f t="array" ref="AG18">IFERROR(INDEX(Skill!$X:$X, MATCH(AG$4, Skill!$C:$C, 0), 1), "")</f>
        <v/>
      </c>
      <c r="AH18" s="94" t="str">
        <f t="array" ref="AH18">IFERROR(INDEX(Skill!$X:$X, MATCH(AH$4, Skill!$C:$C, 0), 1), "")</f>
        <v/>
      </c>
      <c r="AI18" s="94" t="str">
        <f t="array" ref="AI18">IFERROR(INDEX(Skill!$X:$X, MATCH(AI$4, Skill!$C:$C, 0), 1), "")</f>
        <v/>
      </c>
      <c r="AJ18" s="94" t="str">
        <f t="array" ref="AJ18">IFERROR(INDEX(Skill!$X:$X, MATCH(AJ$4, Skill!$C:$C, 0), 1), "")</f>
        <v/>
      </c>
      <c r="AK18" s="94" t="str">
        <f t="array" ref="AK18">IFERROR(INDEX(Skill!$X:$X, MATCH(AK$4, Skill!$C:$C, 0), 1), "")</f>
        <v/>
      </c>
      <c r="AL18" s="94" t="str">
        <f t="array" ref="AL18">IFERROR(INDEX(Skill!$X:$X, MATCH(AL$4, Skill!$C:$C, 0), 1), "")</f>
        <v/>
      </c>
      <c r="AM18" s="94" t="str">
        <f t="array" ref="AM18">IFERROR(INDEX(Skill!$X:$X, MATCH(AM$4, Skill!$C:$C, 0), 1), "")</f>
        <v/>
      </c>
      <c r="AN18" s="94" t="str">
        <f t="array" ref="AN18">IFERROR(INDEX(Skill!$X:$X, MATCH(AN$4, Skill!$C:$C, 0), 1), "")</f>
        <v/>
      </c>
      <c r="AO18" s="94" t="str">
        <f t="array" ref="AO18">IFERROR(INDEX(Skill!$X:$X, MATCH(AO$4, Skill!$C:$C, 0), 1), "")</f>
        <v/>
      </c>
      <c r="AP18" s="94" t="str">
        <f t="array" ref="AP18">IFERROR(INDEX(Skill!$X:$X, MATCH(AP$4, Skill!$C:$C, 0), 1), "")</f>
        <v/>
      </c>
      <c r="AQ18" s="94" t="str">
        <f t="array" ref="AQ18">IFERROR(INDEX(Skill!$X:$X, MATCH(AQ$4, Skill!$C:$C, 0), 1), "")</f>
        <v/>
      </c>
      <c r="AR18" s="94" t="str">
        <f t="array" ref="AR18">IFERROR(INDEX(Skill!$X:$X, MATCH(AR$4, Skill!$C:$C, 0), 1), "")</f>
        <v/>
      </c>
      <c r="AS18" s="94" t="str">
        <f t="array" ref="AS18">IFERROR(INDEX(Skill!$X:$X, MATCH(AS$4, Skill!$C:$C, 0), 1), "")</f>
        <v/>
      </c>
      <c r="AT18" s="94" t="str">
        <f t="array" ref="AT18">IFERROR(INDEX(Skill!$X:$X, MATCH(AT$4, Skill!$C:$C, 0), 1), "")</f>
        <v/>
      </c>
      <c r="AU18" s="94" t="str">
        <f t="array" ref="AU18">IFERROR(INDEX(Skill!$X:$X, MATCH(AU$4, Skill!$C:$C, 0), 1), "")</f>
        <v/>
      </c>
      <c r="AV18" s="94" t="str">
        <f t="array" ref="AV18">IFERROR(INDEX(Skill!$X:$X, MATCH(AV$4, Skill!$C:$C, 0), 1), "")</f>
        <v/>
      </c>
      <c r="AW18" s="94" t="str">
        <f t="array" ref="AW18">IFERROR(INDEX(Skill!$X:$X, MATCH(AW$4, Skill!$C:$C, 0), 1), "")</f>
        <v/>
      </c>
      <c r="AX18" s="94" t="str">
        <f t="array" ref="AX18">IFERROR(INDEX(Skill!$X:$X, MATCH(AX$4, Skill!$C:$C, 0), 1), "")</f>
        <v/>
      </c>
      <c r="AY18" s="94" t="str">
        <f t="array" ref="AY18">IFERROR(INDEX(Skill!$X:$X, MATCH(AY$4, Skill!$C:$C, 0), 1), "")</f>
        <v/>
      </c>
      <c r="AZ18" s="94" t="str">
        <f t="array" ref="AZ18">IFERROR(INDEX(Skill!$X:$X, MATCH(AZ$4, Skill!$C:$C, 0), 1), "")</f>
        <v/>
      </c>
      <c r="BA18" s="94" t="str">
        <f t="array" ref="BA18">IFERROR(INDEX(Skill!$X:$X, MATCH(BA$4, Skill!$C:$C, 0), 1), "")</f>
        <v/>
      </c>
      <c r="BB18" s="94" t="str">
        <f t="array" ref="BB18">IFERROR(INDEX(Skill!$X:$X, MATCH(BB$4, Skill!$C:$C, 0), 1), "")</f>
        <v/>
      </c>
      <c r="BC18" s="94" t="str">
        <f t="array" ref="BC18">IFERROR(INDEX(Skill!$X:$X, MATCH(BC$4, Skill!$C:$C, 0), 1), "")</f>
        <v/>
      </c>
      <c r="BD18" s="94" t="str">
        <f t="array" ref="BD18">IFERROR(INDEX(Skill!$X:$X, MATCH(BD$4, Skill!$C:$C, 0), 1), "")</f>
        <v/>
      </c>
      <c r="BE18" s="94" t="str">
        <f t="array" ref="BE18">IFERROR(INDEX(Skill!$X:$X, MATCH(BE$4, Skill!$C:$C, 0), 1), "")</f>
        <v/>
      </c>
      <c r="BF18" s="94" t="str">
        <f t="array" ref="BF18">IFERROR(INDEX(Skill!$X:$X, MATCH(BF$4, Skill!$C:$C, 0), 1), "")</f>
        <v/>
      </c>
      <c r="BG18" s="94" t="str">
        <f t="array" ref="BG18">IFERROR(INDEX(Skill!$X:$X, MATCH(BG$4, Skill!$C:$C, 0), 1), "")</f>
        <v/>
      </c>
      <c r="BH18" s="94" t="str">
        <f t="array" ref="BH18">IFERROR(INDEX(Skill!$X:$X, MATCH(BH$4, Skill!$C:$C, 0), 1), "")</f>
        <v/>
      </c>
      <c r="BI18" s="94" t="str">
        <f t="array" ref="BI18">IFERROR(INDEX(Skill!$X:$X, MATCH(BI$4, Skill!$C:$C, 0), 1), "")</f>
        <v/>
      </c>
      <c r="BJ18" s="94" t="str">
        <f t="array" ref="BJ18">IFERROR(INDEX(Skill!$X:$X, MATCH(BJ$4, Skill!$C:$C, 0), 1), "")</f>
        <v/>
      </c>
      <c r="BK18" s="94" t="str">
        <f t="array" ref="BK18">IFERROR(INDEX(Skill!$X:$X, MATCH(BK$4, Skill!$C:$C, 0), 1), "")</f>
        <v/>
      </c>
      <c r="BL18" s="94" t="str">
        <f t="array" ref="BL18">IFERROR(INDEX(Skill!$X:$X, MATCH(BL$4, Skill!$C:$C, 0), 1), "")</f>
        <v/>
      </c>
      <c r="BM18" s="94" t="str">
        <f t="array" ref="BM18">IFERROR(INDEX(Skill!$X:$X, MATCH(BM$4, Skill!$C:$C, 0), 1), "")</f>
        <v/>
      </c>
      <c r="BN18" s="94" t="str">
        <f t="array" ref="BN18">IFERROR(INDEX(Skill!$X:$X, MATCH(BN$4, Skill!$C:$C, 0), 1), "")</f>
        <v/>
      </c>
      <c r="BO18" s="94" t="str">
        <f t="array" ref="BO18">IFERROR(INDEX(Skill!$X:$X, MATCH(BO$4, Skill!$C:$C, 0), 1), "")</f>
        <v/>
      </c>
      <c r="BP18" s="94" t="str">
        <f t="array" ref="BP18">IFERROR(INDEX(Skill!$X:$X, MATCH(BP$4, Skill!$C:$C, 0), 1), "")</f>
        <v/>
      </c>
      <c r="BQ18" s="94" t="str">
        <f t="array" ref="BQ18">IFERROR(INDEX(Skill!$X:$X, MATCH(BQ$4, Skill!$C:$C, 0), 1), "")</f>
        <v/>
      </c>
      <c r="BR18" s="94" t="str">
        <f t="array" ref="BR18">IFERROR(INDEX(Skill!$X:$X, MATCH(BR$4, Skill!$C:$C, 0), 1), "")</f>
        <v/>
      </c>
      <c r="BS18" s="94" t="str">
        <f t="array" ref="BS18">IFERROR(INDEX(Skill!$X:$X, MATCH(BS$4, Skill!$C:$C, 0), 1), "")</f>
        <v/>
      </c>
      <c r="BT18" s="94" t="str">
        <f t="array" ref="BT18">IFERROR(INDEX(Skill!$X:$X, MATCH(BT$4, Skill!$C:$C, 0), 1), "")</f>
        <v/>
      </c>
      <c r="BU18" s="94" t="str">
        <f t="array" ref="BU18">IFERROR(INDEX(Skill!$X:$X, MATCH(BU$4, Skill!$C:$C, 0), 1), "")</f>
        <v/>
      </c>
      <c r="BV18" s="94" t="str">
        <f t="array" ref="BV18">IFERROR(INDEX(Skill!$X:$X, MATCH(BV$4, Skill!$C:$C, 0), 1), "")</f>
        <v/>
      </c>
      <c r="BW18" s="94" t="str">
        <f t="array" ref="BW18">IFERROR(INDEX(Skill!$X:$X, MATCH(BW$4, Skill!$C:$C, 0), 1), "")</f>
        <v/>
      </c>
      <c r="BX18" s="94" t="str">
        <f t="array" ref="BX18">IFERROR(INDEX(Skill!$X:$X, MATCH(BX$4, Skill!$C:$C, 0), 1), "")</f>
        <v/>
      </c>
      <c r="BY18" s="94" t="str">
        <f t="array" ref="BY18">IFERROR(INDEX(Skill!$X:$X, MATCH(BY$4, Skill!$C:$C, 0), 1), "")</f>
        <v/>
      </c>
      <c r="BZ18" s="94" t="str">
        <f t="array" ref="BZ18">IFERROR(INDEX(Skill!$X:$X, MATCH(BZ$4, Skill!$C:$C, 0), 1), "")</f>
        <v/>
      </c>
      <c r="CA18" s="94" t="str">
        <f t="array" ref="CA18">IFERROR(INDEX(Skill!$X:$X, MATCH(CA$4, Skill!$C:$C, 0), 1), "")</f>
        <v/>
      </c>
      <c r="CB18" s="94" t="str">
        <f t="array" ref="CB18">IFERROR(INDEX(Skill!$X:$X, MATCH(CB$4, Skill!$C:$C, 0), 1), "")</f>
        <v/>
      </c>
      <c r="CC18" s="94" t="str">
        <f t="array" ref="CC18">IFERROR(INDEX(Skill!$X:$X, MATCH(CC$4, Skill!$C:$C, 0), 1), "")</f>
        <v/>
      </c>
      <c r="CD18" s="94" t="str">
        <f t="array" ref="CD18">IFERROR(INDEX(Skill!$X:$X, MATCH(CD$4, Skill!$C:$C, 0), 1), "")</f>
        <v/>
      </c>
      <c r="CE18" s="94" t="str">
        <f t="array" ref="CE18">IFERROR(INDEX(Skill!$X:$X, MATCH(CE$4, Skill!$C:$C, 0), 1), "")</f>
        <v/>
      </c>
      <c r="CF18" s="94" t="str">
        <f t="array" ref="CF18">IFERROR(INDEX(Skill!$X:$X, MATCH(CF$4, Skill!$C:$C, 0), 1), "")</f>
        <v/>
      </c>
      <c r="CG18" s="94" t="str">
        <f t="array" ref="CG18">IFERROR(INDEX(Skill!$X:$X, MATCH(CG$4, Skill!$C:$C, 0), 1), "")</f>
        <v/>
      </c>
      <c r="CH18" s="94" t="str">
        <f t="array" ref="CH18">IFERROR(INDEX(Skill!$X:$X, MATCH(CH$4, Skill!$C:$C, 0), 1), "")</f>
        <v/>
      </c>
      <c r="CI18" s="94" t="str">
        <f t="array" ref="CI18">IFERROR(INDEX(Skill!$X:$X, MATCH(CI$4, Skill!$C:$C, 0), 1), "")</f>
        <v/>
      </c>
      <c r="CJ18" s="94" t="str">
        <f t="array" ref="CJ18">IFERROR(INDEX(Skill!$X:$X, MATCH(CJ$4, Skill!$C:$C, 0), 1), "")</f>
        <v/>
      </c>
      <c r="CK18" s="94" t="str">
        <f t="array" ref="CK18">IFERROR(INDEX(Skill!$X:$X, MATCH(CK$4, Skill!$C:$C, 0), 1), "")</f>
        <v/>
      </c>
      <c r="CL18" s="94" t="str">
        <f t="array" ref="CL18">IFERROR(INDEX(Skill!$X:$X, MATCH(CL$4, Skill!$C:$C, 0), 1), "")</f>
        <v/>
      </c>
      <c r="CM18" s="94" t="str">
        <f t="array" ref="CM18">IFERROR(INDEX(Skill!$X:$X, MATCH(CM$4, Skill!$C:$C, 0), 1), "")</f>
        <v/>
      </c>
      <c r="CN18" s="94" t="str">
        <f t="array" ref="CN18">IFERROR(INDEX(Skill!$X:$X, MATCH(CN$4, Skill!$C:$C, 0), 1), "")</f>
        <v/>
      </c>
      <c r="CO18" s="94" t="str">
        <f t="array" ref="CO18">IFERROR(INDEX(Skill!$X:$X, MATCH(CO$4, Skill!$C:$C, 0), 1), "")</f>
        <v/>
      </c>
      <c r="CP18" s="94" t="str">
        <f t="array" ref="CP18">IFERROR(INDEX(Skill!$X:$X, MATCH(CP$4, Skill!$C:$C, 0), 1), "")</f>
        <v/>
      </c>
      <c r="CQ18" s="94" t="str">
        <f t="array" ref="CQ18">IFERROR(INDEX(Skill!$X:$X, MATCH(CQ$4, Skill!$C:$C, 0), 1), "")</f>
        <v/>
      </c>
      <c r="CR18" s="94" t="str">
        <f t="array" ref="CR18">IFERROR(INDEX(Skill!$X:$X, MATCH(CR$4, Skill!$C:$C, 0), 1), "")</f>
        <v/>
      </c>
      <c r="CS18" s="94" t="str">
        <f t="array" ref="CS18">IFERROR(INDEX(Skill!$X:$X, MATCH(CS$4, Skill!$C:$C, 0), 1), "")</f>
        <v/>
      </c>
      <c r="CT18" s="94" t="str">
        <f t="array" ref="CT18">IFERROR(INDEX(Skill!$X:$X, MATCH(CT$4, Skill!$C:$C, 0), 1), "")</f>
        <v/>
      </c>
      <c r="CU18" s="94" t="str">
        <f t="array" ref="CU18">IFERROR(INDEX(Skill!$X:$X, MATCH(CU$4, Skill!$C:$C, 0), 1), "")</f>
        <v/>
      </c>
      <c r="CV18" s="94" t="str">
        <f t="array" ref="CV18">IFERROR(INDEX(Skill!$X:$X, MATCH(CV$4, Skill!$C:$C, 0), 1), "")</f>
        <v/>
      </c>
      <c r="CW18" s="94" t="str">
        <f t="array" ref="CW18">IFERROR(INDEX(Skill!$X:$X, MATCH(CW$4, Skill!$C:$C, 0), 1), "")</f>
        <v/>
      </c>
      <c r="CX18" s="94" t="str">
        <f t="array" ref="CX18">IFERROR(INDEX(Skill!$X:$X, MATCH(CX$4, Skill!$C:$C, 0), 1), "")</f>
        <v/>
      </c>
      <c r="CY18" s="94" t="str">
        <f t="array" ref="CY18">IFERROR(INDEX(Skill!$X:$X, MATCH(CY$4, Skill!$C:$C, 0), 1), "")</f>
        <v/>
      </c>
      <c r="CZ18" s="94" t="str">
        <f t="array" ref="CZ18">IFERROR(INDEX(Skill!$X:$X, MATCH(CZ$4, Skill!$C:$C, 0), 1), "")</f>
        <v/>
      </c>
      <c r="DA18" s="94" t="str">
        <f t="array" ref="DA18">IFERROR(INDEX(Skill!$X:$X, MATCH(DA$4, Skill!$C:$C, 0), 1), "")</f>
        <v/>
      </c>
      <c r="DB18" s="94" t="str">
        <f t="array" ref="DB18">IFERROR(INDEX(Skill!$X:$X, MATCH(DB$4, Skill!$C:$C, 0), 1), "")</f>
        <v/>
      </c>
      <c r="DC18" s="94" t="str">
        <f t="array" ref="DC18">IFERROR(INDEX(Skill!$X:$X, MATCH(DC$4, Skill!$C:$C, 0), 1), "")</f>
        <v/>
      </c>
      <c r="DD18" s="94" t="str">
        <f t="array" ref="DD18">IFERROR(INDEX(Skill!$X:$X, MATCH(DD$4, Skill!$C:$C, 0), 1), "")</f>
        <v/>
      </c>
      <c r="DE18" s="94" t="str">
        <f t="array" ref="DE18">IFERROR(INDEX(Skill!$X:$X, MATCH(DE$4, Skill!$C:$C, 0), 1), "")</f>
        <v/>
      </c>
      <c r="DF18" s="94" t="str">
        <f t="array" ref="DF18">IFERROR(INDEX(Skill!$X:$X, MATCH(DF$4, Skill!$C:$C, 0), 1), "")</f>
        <v/>
      </c>
      <c r="DG18" s="94" t="str">
        <f t="array" ref="DG18">IFERROR(INDEX(Skill!$X:$X, MATCH(DG$4, Skill!$C:$C, 0), 1), "")</f>
        <v/>
      </c>
      <c r="DH18" s="94" t="str">
        <f t="array" ref="DH18">IFERROR(INDEX(Skill!$X:$X, MATCH(DH$4, Skill!$C:$C, 0), 1), "")</f>
        <v/>
      </c>
      <c r="DI18" s="94" t="str">
        <f t="array" ref="DI18">IFERROR(INDEX(Skill!$X:$X, MATCH(DI$4, Skill!$C:$C, 0), 1), "")</f>
        <v/>
      </c>
      <c r="DJ18" s="94" t="str">
        <f t="array" ref="DJ18">IFERROR(INDEX(Skill!$X:$X, MATCH(DJ$4, Skill!$C:$C, 0), 1), "")</f>
        <v/>
      </c>
      <c r="DK18" s="94" t="str">
        <f t="array" ref="DK18">IFERROR(INDEX(Skill!$X:$X, MATCH(DK$4, Skill!$C:$C, 0), 1), "")</f>
        <v/>
      </c>
      <c r="DL18" s="94" t="str">
        <f t="array" ref="DL18">IFERROR(INDEX(Skill!$X:$X, MATCH(DL$4, Skill!$C:$C, 0), 1), "")</f>
        <v/>
      </c>
      <c r="DM18" s="94" t="str">
        <f t="array" ref="DM18">IFERROR(INDEX(Skill!$X:$X, MATCH(DM$4, Skill!$C:$C, 0), 1), "")</f>
        <v/>
      </c>
      <c r="DN18" s="94" t="str">
        <f t="array" ref="DN18">IFERROR(INDEX(Skill!$X:$X, MATCH(DN$4, Skill!$C:$C, 0), 1), "")</f>
        <v/>
      </c>
      <c r="DO18" s="94" t="str">
        <f t="array" ref="DO18">IFERROR(INDEX(Skill!$X:$X, MATCH(DO$4, Skill!$C:$C, 0), 1), "")</f>
        <v/>
      </c>
      <c r="DP18" s="94" t="str">
        <f t="array" ref="DP18">IFERROR(INDEX(Skill!$X:$X, MATCH(DP$4, Skill!$C:$C, 0), 1), "")</f>
        <v/>
      </c>
      <c r="DQ18" s="94" t="str">
        <f t="array" ref="DQ18">IFERROR(INDEX(Skill!$X:$X, MATCH(DQ$4, Skill!$C:$C, 0), 1), "")</f>
        <v/>
      </c>
      <c r="DR18" s="94" t="str">
        <f t="array" ref="DR18">IFERROR(INDEX(Skill!$X:$X, MATCH(DR$4, Skill!$C:$C, 0), 1), "")</f>
        <v/>
      </c>
      <c r="DS18" s="94" t="str">
        <f t="array" ref="DS18">IFERROR(INDEX(Skill!$X:$X, MATCH(DS$4, Skill!$C:$C, 0), 1), "")</f>
        <v/>
      </c>
      <c r="DT18" s="94" t="str">
        <f t="array" ref="DT18">IFERROR(INDEX(Skill!$X:$X, MATCH(DT$4, Skill!$C:$C, 0), 1), "")</f>
        <v/>
      </c>
      <c r="DU18" s="94" t="str">
        <f t="array" ref="DU18">IFERROR(INDEX(Skill!$X:$X, MATCH(DU$4, Skill!$C:$C, 0), 1), "")</f>
        <v/>
      </c>
      <c r="DV18" s="94" t="str">
        <f t="array" ref="DV18">IFERROR(INDEX(Skill!$X:$X, MATCH(DV$4, Skill!$C:$C, 0), 1), "")</f>
        <v/>
      </c>
      <c r="DW18" s="94" t="str">
        <f t="array" ref="DW18">IFERROR(INDEX(Skill!$X:$X, MATCH(DW$4, Skill!$C:$C, 0), 1), "")</f>
        <v/>
      </c>
      <c r="DX18" s="94" t="str">
        <f t="array" ref="DX18">IFERROR(INDEX(Skill!$X:$X, MATCH(DX$4, Skill!$C:$C, 0), 1), "")</f>
        <v/>
      </c>
      <c r="DY18" s="94" t="str">
        <f t="array" ref="DY18">IFERROR(INDEX(Skill!$X:$X, MATCH(DY$4, Skill!$C:$C, 0), 1), "")</f>
        <v/>
      </c>
      <c r="DZ18" s="94" t="str">
        <f t="array" ref="DZ18">IFERROR(INDEX(Skill!$X:$X, MATCH(DZ$4, Skill!$C:$C, 0), 1), "")</f>
        <v/>
      </c>
      <c r="EA18" s="89" t="str">
        <f t="array" ref="EA18">IFERROR(INDEX(Skill!$X:$X, MATCH(EA$4, Skill!$C:$C, 0), 1), "")</f>
        <v/>
      </c>
      <c r="EB18" s="89" t="str">
        <f t="array" ref="EB18">IFERROR(INDEX(Skill!$X:$X, MATCH(EB$4, Skill!$C:$C, 0), 1), "")</f>
        <v/>
      </c>
      <c r="EC18" s="89" t="str">
        <f t="array" ref="EC18">IFERROR(INDEX(Skill!$X:$X, MATCH(EC$4, Skill!$C:$C, 0), 1), "")</f>
        <v/>
      </c>
      <c r="ED18" s="94" t="str">
        <f t="array" ref="ED18">IFERROR(INDEX(Skill!$X:$X, MATCH(ED$4, Skill!$C:$C, 0), 1), "")</f>
        <v/>
      </c>
      <c r="EE18" s="102"/>
      <c r="EF18" s="102"/>
      <c r="EG18" s="102"/>
      <c r="EH18" s="102"/>
      <c r="EI18" s="102"/>
      <c r="EJ18" s="102"/>
      <c r="EK18" s="102"/>
      <c r="EL18" s="102"/>
      <c r="EM18" s="102"/>
      <c r="EN18" s="102"/>
      <c r="EO18" s="102"/>
      <c r="EP18" s="102"/>
      <c r="EQ18" s="102"/>
      <c r="ER18" s="103"/>
      <c r="ES18" s="103"/>
      <c r="ET18" s="103"/>
      <c r="EU18" s="76"/>
      <c r="EV18" s="76"/>
      <c r="EW18" s="76"/>
      <c r="EX18" s="76"/>
      <c r="EY18" s="76"/>
      <c r="EZ18" s="76"/>
      <c r="FA18" s="76"/>
      <c r="FB18" s="76"/>
      <c r="FC18" s="76"/>
      <c r="FD18" s="76"/>
      <c r="FE18" s="76"/>
      <c r="FF18" s="76"/>
      <c r="FG18" s="76"/>
      <c r="FH18" s="76"/>
      <c r="FI18" s="76"/>
      <c r="FJ18" s="76"/>
      <c r="FK18" s="76"/>
      <c r="FL18" s="76"/>
      <c r="FM18" s="76"/>
      <c r="FN18" s="76"/>
      <c r="FO18" s="91"/>
    </row>
    <row r="19" hidden="1">
      <c r="B19" s="84"/>
      <c r="C19" s="83"/>
      <c r="D19" s="83"/>
      <c r="E19" s="105" t="s">
        <v>10</v>
      </c>
      <c r="F19" s="84"/>
      <c r="G19" s="84"/>
      <c r="H19" s="84"/>
      <c r="I19" s="84"/>
      <c r="J19" s="84"/>
      <c r="K19" s="94" t="str">
        <f t="array" ref="K19">IFERROR(INDEX(Skill!$W:$W, MATCH(K$4, Skill!$C:$C, 0), 1), "")</f>
        <v/>
      </c>
      <c r="L19" s="94" t="str">
        <f t="array" ref="L19">IFERROR(INDEX(Skill!$W:$W, MATCH(L$4, Skill!$C:$C, 0), 1), "")</f>
        <v/>
      </c>
      <c r="M19" s="94" t="str">
        <f t="array" ref="M19">IFERROR(INDEX(Skill!$W:$W, MATCH(M$4, Skill!$C:$C, 0), 1), "")</f>
        <v/>
      </c>
      <c r="N19" s="94">
        <f t="array" ref="N19">IFERROR(INDEX(Skill!$W:$W, MATCH(N$4, Skill!$C:$C, 0), 1), "")</f>
        <v>0.8</v>
      </c>
      <c r="O19" s="94" t="str">
        <f t="array" ref="O19">IFERROR(INDEX(Skill!$W:$W, MATCH(O$4, Skill!$C:$C, 0), 1), "")</f>
        <v/>
      </c>
      <c r="P19" s="94" t="str">
        <f t="array" ref="P19">IFERROR(INDEX(Skill!$W:$W, MATCH(P$4, Skill!$C:$C, 0), 1), "")</f>
        <v/>
      </c>
      <c r="Q19" s="94" t="str">
        <f t="array" ref="Q19">IFERROR(INDEX(Skill!$W:$W, MATCH(Q$4, Skill!$C:$C, 0), 1), "")</f>
        <v/>
      </c>
      <c r="R19" s="94" t="str">
        <f t="array" ref="R19">IFERROR(INDEX(Skill!$W:$W, MATCH(R$4, Skill!$C:$C, 0), 1), "")</f>
        <v/>
      </c>
      <c r="S19" s="94" t="str">
        <f t="array" ref="S19">IFERROR(INDEX(Skill!$W:$W, MATCH(S$4, Skill!$C:$C, 0), 1), "")</f>
        <v/>
      </c>
      <c r="T19" s="94" t="str">
        <f t="array" ref="T19">IFERROR(INDEX(Skill!$W:$W, MATCH(T$4, Skill!$C:$C, 0), 1), "")</f>
        <v/>
      </c>
      <c r="U19" s="94" t="str">
        <f t="array" ref="U19">IFERROR(INDEX(Skill!$W:$W, MATCH(U$4, Skill!$C:$C, 0), 1), "")</f>
        <v/>
      </c>
      <c r="V19" s="94" t="str">
        <f t="array" ref="V19">IFERROR(INDEX(Skill!$W:$W, MATCH(V$4, Skill!$C:$C, 0), 1), "")</f>
        <v/>
      </c>
      <c r="W19" s="94" t="str">
        <f t="array" ref="W19">IFERROR(INDEX(Skill!$W:$W, MATCH(W$4, Skill!$C:$C, 0), 1), "")</f>
        <v/>
      </c>
      <c r="X19" s="94" t="str">
        <f t="array" ref="X19">IFERROR(INDEX(Skill!$W:$W, MATCH(X$4, Skill!$C:$C, 0), 1), "")</f>
        <v/>
      </c>
      <c r="Y19" s="94" t="str">
        <f t="array" ref="Y19">IFERROR(INDEX(Skill!$W:$W, MATCH(Y$4, Skill!$C:$C, 0), 1), "")</f>
        <v/>
      </c>
      <c r="Z19" s="94" t="str">
        <f t="array" ref="Z19">IFERROR(INDEX(Skill!$W:$W, MATCH(Z$4, Skill!$C:$C, 0), 1), "")</f>
        <v/>
      </c>
      <c r="AA19" s="94" t="str">
        <f t="array" ref="AA19">IFERROR(INDEX(Skill!$W:$W, MATCH(AA$4, Skill!$C:$C, 0), 1), "")</f>
        <v/>
      </c>
      <c r="AB19" s="94" t="str">
        <f t="array" ref="AB19">IFERROR(INDEX(Skill!$W:$W, MATCH(AB$4, Skill!$C:$C, 0), 1), "")</f>
        <v/>
      </c>
      <c r="AC19" s="94" t="str">
        <f t="array" ref="AC19">IFERROR(INDEX(Skill!$W:$W, MATCH(AC$4, Skill!$C:$C, 0), 1), "")</f>
        <v/>
      </c>
      <c r="AD19" s="94" t="str">
        <f t="array" ref="AD19">IFERROR(INDEX(Skill!$W:$W, MATCH(AD$4, Skill!$C:$C, 0), 1), "")</f>
        <v/>
      </c>
      <c r="AE19" s="94" t="str">
        <f t="array" ref="AE19">IFERROR(INDEX(Skill!$W:$W, MATCH(AE$4, Skill!$C:$C, 0), 1), "")</f>
        <v/>
      </c>
      <c r="AF19" s="94" t="str">
        <f t="array" ref="AF19">IFERROR(INDEX(Skill!$W:$W, MATCH(AF$4, Skill!$C:$C, 0), 1), "")</f>
        <v/>
      </c>
      <c r="AG19" s="94" t="str">
        <f t="array" ref="AG19">IFERROR(INDEX(Skill!$W:$W, MATCH(AG$4, Skill!$C:$C, 0), 1), "")</f>
        <v/>
      </c>
      <c r="AH19" s="94" t="str">
        <f t="array" ref="AH19">IFERROR(INDEX(Skill!$W:$W, MATCH(AH$4, Skill!$C:$C, 0), 1), "")</f>
        <v/>
      </c>
      <c r="AI19" s="94" t="str">
        <f t="array" ref="AI19">IFERROR(INDEX(Skill!$W:$W, MATCH(AI$4, Skill!$C:$C, 0), 1), "")</f>
        <v/>
      </c>
      <c r="AJ19" s="94" t="str">
        <f t="array" ref="AJ19">IFERROR(INDEX(Skill!$W:$W, MATCH(AJ$4, Skill!$C:$C, 0), 1), "")</f>
        <v/>
      </c>
      <c r="AK19" s="94" t="str">
        <f t="array" ref="AK19">IFERROR(INDEX(Skill!$W:$W, MATCH(AK$4, Skill!$C:$C, 0), 1), "")</f>
        <v/>
      </c>
      <c r="AL19" s="94" t="str">
        <f t="array" ref="AL19">IFERROR(INDEX(Skill!$W:$W, MATCH(AL$4, Skill!$C:$C, 0), 1), "")</f>
        <v/>
      </c>
      <c r="AM19" s="94" t="str">
        <f t="array" ref="AM19">IFERROR(INDEX(Skill!$W:$W, MATCH(AM$4, Skill!$C:$C, 0), 1), "")</f>
        <v/>
      </c>
      <c r="AN19" s="94" t="str">
        <f t="array" ref="AN19">IFERROR(INDEX(Skill!$W:$W, MATCH(AN$4, Skill!$C:$C, 0), 1), "")</f>
        <v/>
      </c>
      <c r="AO19" s="94" t="str">
        <f t="array" ref="AO19">IFERROR(INDEX(Skill!$W:$W, MATCH(AO$4, Skill!$C:$C, 0), 1), "")</f>
        <v/>
      </c>
      <c r="AP19" s="94" t="str">
        <f t="array" ref="AP19">IFERROR(INDEX(Skill!$W:$W, MATCH(AP$4, Skill!$C:$C, 0), 1), "")</f>
        <v/>
      </c>
      <c r="AQ19" s="94" t="str">
        <f t="array" ref="AQ19">IFERROR(INDEX(Skill!$W:$W, MATCH(AQ$4, Skill!$C:$C, 0), 1), "")</f>
        <v/>
      </c>
      <c r="AR19" s="94" t="str">
        <f t="array" ref="AR19">IFERROR(INDEX(Skill!$W:$W, MATCH(AR$4, Skill!$C:$C, 0), 1), "")</f>
        <v/>
      </c>
      <c r="AS19" s="94" t="str">
        <f t="array" ref="AS19">IFERROR(INDEX(Skill!$W:$W, MATCH(AS$4, Skill!$C:$C, 0), 1), "")</f>
        <v/>
      </c>
      <c r="AT19" s="94" t="str">
        <f t="array" ref="AT19">IFERROR(INDEX(Skill!$W:$W, MATCH(AT$4, Skill!$C:$C, 0), 1), "")</f>
        <v/>
      </c>
      <c r="AU19" s="94" t="str">
        <f t="array" ref="AU19">IFERROR(INDEX(Skill!$W:$W, MATCH(AU$4, Skill!$C:$C, 0), 1), "")</f>
        <v/>
      </c>
      <c r="AV19" s="94" t="str">
        <f t="array" ref="AV19">IFERROR(INDEX(Skill!$W:$W, MATCH(AV$4, Skill!$C:$C, 0), 1), "")</f>
        <v/>
      </c>
      <c r="AW19" s="94" t="str">
        <f t="array" ref="AW19">IFERROR(INDEX(Skill!$W:$W, MATCH(AW$4, Skill!$C:$C, 0), 1), "")</f>
        <v/>
      </c>
      <c r="AX19" s="94" t="str">
        <f t="array" ref="AX19">IFERROR(INDEX(Skill!$W:$W, MATCH(AX$4, Skill!$C:$C, 0), 1), "")</f>
        <v/>
      </c>
      <c r="AY19" s="94" t="str">
        <f t="array" ref="AY19">IFERROR(INDEX(Skill!$W:$W, MATCH(AY$4, Skill!$C:$C, 0), 1), "")</f>
        <v/>
      </c>
      <c r="AZ19" s="94" t="str">
        <f t="array" ref="AZ19">IFERROR(INDEX(Skill!$W:$W, MATCH(AZ$4, Skill!$C:$C, 0), 1), "")</f>
        <v/>
      </c>
      <c r="BA19" s="94" t="str">
        <f t="array" ref="BA19">IFERROR(INDEX(Skill!$W:$W, MATCH(BA$4, Skill!$C:$C, 0), 1), "")</f>
        <v/>
      </c>
      <c r="BB19" s="94" t="str">
        <f t="array" ref="BB19">IFERROR(INDEX(Skill!$W:$W, MATCH(BB$4, Skill!$C:$C, 0), 1), "")</f>
        <v/>
      </c>
      <c r="BC19" s="94" t="str">
        <f t="array" ref="BC19">IFERROR(INDEX(Skill!$W:$W, MATCH(BC$4, Skill!$C:$C, 0), 1), "")</f>
        <v/>
      </c>
      <c r="BD19" s="94" t="str">
        <f t="array" ref="BD19">IFERROR(INDEX(Skill!$W:$W, MATCH(BD$4, Skill!$C:$C, 0), 1), "")</f>
        <v/>
      </c>
      <c r="BE19" s="94" t="str">
        <f t="array" ref="BE19">IFERROR(INDEX(Skill!$W:$W, MATCH(BE$4, Skill!$C:$C, 0), 1), "")</f>
        <v/>
      </c>
      <c r="BF19" s="94" t="str">
        <f t="array" ref="BF19">IFERROR(INDEX(Skill!$W:$W, MATCH(BF$4, Skill!$C:$C, 0), 1), "")</f>
        <v/>
      </c>
      <c r="BG19" s="94" t="str">
        <f t="array" ref="BG19">IFERROR(INDEX(Skill!$W:$W, MATCH(BG$4, Skill!$C:$C, 0), 1), "")</f>
        <v/>
      </c>
      <c r="BH19" s="94" t="str">
        <f t="array" ref="BH19">IFERROR(INDEX(Skill!$W:$W, MATCH(BH$4, Skill!$C:$C, 0), 1), "")</f>
        <v/>
      </c>
      <c r="BI19" s="94" t="str">
        <f t="array" ref="BI19">IFERROR(INDEX(Skill!$W:$W, MATCH(BI$4, Skill!$C:$C, 0), 1), "")</f>
        <v/>
      </c>
      <c r="BJ19" s="94" t="str">
        <f t="array" ref="BJ19">IFERROR(INDEX(Skill!$W:$W, MATCH(BJ$4, Skill!$C:$C, 0), 1), "")</f>
        <v/>
      </c>
      <c r="BK19" s="94" t="str">
        <f t="array" ref="BK19">IFERROR(INDEX(Skill!$W:$W, MATCH(BK$4, Skill!$C:$C, 0), 1), "")</f>
        <v/>
      </c>
      <c r="BL19" s="94" t="str">
        <f t="array" ref="BL19">IFERROR(INDEX(Skill!$W:$W, MATCH(BL$4, Skill!$C:$C, 0), 1), "")</f>
        <v/>
      </c>
      <c r="BM19" s="94" t="str">
        <f t="array" ref="BM19">IFERROR(INDEX(Skill!$W:$W, MATCH(BM$4, Skill!$C:$C, 0), 1), "")</f>
        <v/>
      </c>
      <c r="BN19" s="94" t="str">
        <f t="array" ref="BN19">IFERROR(INDEX(Skill!$W:$W, MATCH(BN$4, Skill!$C:$C, 0), 1), "")</f>
        <v/>
      </c>
      <c r="BO19" s="94" t="str">
        <f t="array" ref="BO19">IFERROR(INDEX(Skill!$W:$W, MATCH(BO$4, Skill!$C:$C, 0), 1), "")</f>
        <v/>
      </c>
      <c r="BP19" s="94" t="str">
        <f t="array" ref="BP19">IFERROR(INDEX(Skill!$W:$W, MATCH(BP$4, Skill!$C:$C, 0), 1), "")</f>
        <v/>
      </c>
      <c r="BQ19" s="94" t="str">
        <f t="array" ref="BQ19">IFERROR(INDEX(Skill!$W:$W, MATCH(BQ$4, Skill!$C:$C, 0), 1), "")</f>
        <v/>
      </c>
      <c r="BR19" s="94" t="str">
        <f t="array" ref="BR19">IFERROR(INDEX(Skill!$W:$W, MATCH(BR$4, Skill!$C:$C, 0), 1), "")</f>
        <v/>
      </c>
      <c r="BS19" s="94" t="str">
        <f t="array" ref="BS19">IFERROR(INDEX(Skill!$W:$W, MATCH(BS$4, Skill!$C:$C, 0), 1), "")</f>
        <v/>
      </c>
      <c r="BT19" s="94" t="str">
        <f t="array" ref="BT19">IFERROR(INDEX(Skill!$W:$W, MATCH(BT$4, Skill!$C:$C, 0), 1), "")</f>
        <v/>
      </c>
      <c r="BU19" s="94" t="str">
        <f t="array" ref="BU19">IFERROR(INDEX(Skill!$W:$W, MATCH(BU$4, Skill!$C:$C, 0), 1), "")</f>
        <v/>
      </c>
      <c r="BV19" s="94" t="str">
        <f t="array" ref="BV19">IFERROR(INDEX(Skill!$W:$W, MATCH(BV$4, Skill!$C:$C, 0), 1), "")</f>
        <v/>
      </c>
      <c r="BW19" s="94" t="str">
        <f t="array" ref="BW19">IFERROR(INDEX(Skill!$W:$W, MATCH(BW$4, Skill!$C:$C, 0), 1), "")</f>
        <v/>
      </c>
      <c r="BX19" s="94" t="str">
        <f t="array" ref="BX19">IFERROR(INDEX(Skill!$W:$W, MATCH(BX$4, Skill!$C:$C, 0), 1), "")</f>
        <v/>
      </c>
      <c r="BY19" s="94" t="str">
        <f t="array" ref="BY19">IFERROR(INDEX(Skill!$W:$W, MATCH(BY$4, Skill!$C:$C, 0), 1), "")</f>
        <v/>
      </c>
      <c r="BZ19" s="94" t="str">
        <f t="array" ref="BZ19">IFERROR(INDEX(Skill!$W:$W, MATCH(BZ$4, Skill!$C:$C, 0), 1), "")</f>
        <v/>
      </c>
      <c r="CA19" s="94" t="str">
        <f t="array" ref="CA19">IFERROR(INDEX(Skill!$W:$W, MATCH(CA$4, Skill!$C:$C, 0), 1), "")</f>
        <v/>
      </c>
      <c r="CB19" s="94" t="str">
        <f t="array" ref="CB19">IFERROR(INDEX(Skill!$W:$W, MATCH(CB$4, Skill!$C:$C, 0), 1), "")</f>
        <v/>
      </c>
      <c r="CC19" s="94" t="str">
        <f t="array" ref="CC19">IFERROR(INDEX(Skill!$W:$W, MATCH(CC$4, Skill!$C:$C, 0), 1), "")</f>
        <v/>
      </c>
      <c r="CD19" s="94" t="str">
        <f t="array" ref="CD19">IFERROR(INDEX(Skill!$W:$W, MATCH(CD$4, Skill!$C:$C, 0), 1), "")</f>
        <v/>
      </c>
      <c r="CE19" s="94" t="str">
        <f t="array" ref="CE19">IFERROR(INDEX(Skill!$W:$W, MATCH(CE$4, Skill!$C:$C, 0), 1), "")</f>
        <v/>
      </c>
      <c r="CF19" s="94" t="str">
        <f t="array" ref="CF19">IFERROR(INDEX(Skill!$W:$W, MATCH(CF$4, Skill!$C:$C, 0), 1), "")</f>
        <v/>
      </c>
      <c r="CG19" s="94" t="str">
        <f t="array" ref="CG19">IFERROR(INDEX(Skill!$W:$W, MATCH(CG$4, Skill!$C:$C, 0), 1), "")</f>
        <v/>
      </c>
      <c r="CH19" s="94" t="str">
        <f t="array" ref="CH19">IFERROR(INDEX(Skill!$W:$W, MATCH(CH$4, Skill!$C:$C, 0), 1), "")</f>
        <v/>
      </c>
      <c r="CI19" s="94" t="str">
        <f t="array" ref="CI19">IFERROR(INDEX(Skill!$W:$W, MATCH(CI$4, Skill!$C:$C, 0), 1), "")</f>
        <v/>
      </c>
      <c r="CJ19" s="94" t="str">
        <f t="array" ref="CJ19">IFERROR(INDEX(Skill!$W:$W, MATCH(CJ$4, Skill!$C:$C, 0), 1), "")</f>
        <v/>
      </c>
      <c r="CK19" s="94" t="str">
        <f t="array" ref="CK19">IFERROR(INDEX(Skill!$W:$W, MATCH(CK$4, Skill!$C:$C, 0), 1), "")</f>
        <v/>
      </c>
      <c r="CL19" s="94" t="str">
        <f t="array" ref="CL19">IFERROR(INDEX(Skill!$W:$W, MATCH(CL$4, Skill!$C:$C, 0), 1), "")</f>
        <v/>
      </c>
      <c r="CM19" s="94" t="str">
        <f t="array" ref="CM19">IFERROR(INDEX(Skill!$W:$W, MATCH(CM$4, Skill!$C:$C, 0), 1), "")</f>
        <v/>
      </c>
      <c r="CN19" s="94" t="str">
        <f t="array" ref="CN19">IFERROR(INDEX(Skill!$W:$W, MATCH(CN$4, Skill!$C:$C, 0), 1), "")</f>
        <v/>
      </c>
      <c r="CO19" s="94" t="str">
        <f t="array" ref="CO19">IFERROR(INDEX(Skill!$W:$W, MATCH(CO$4, Skill!$C:$C, 0), 1), "")</f>
        <v/>
      </c>
      <c r="CP19" s="94" t="str">
        <f t="array" ref="CP19">IFERROR(INDEX(Skill!$W:$W, MATCH(CP$4, Skill!$C:$C, 0), 1), "")</f>
        <v/>
      </c>
      <c r="CQ19" s="94" t="str">
        <f t="array" ref="CQ19">IFERROR(INDEX(Skill!$W:$W, MATCH(CQ$4, Skill!$C:$C, 0), 1), "")</f>
        <v/>
      </c>
      <c r="CR19" s="94" t="str">
        <f t="array" ref="CR19">IFERROR(INDEX(Skill!$W:$W, MATCH(CR$4, Skill!$C:$C, 0), 1), "")</f>
        <v/>
      </c>
      <c r="CS19" s="94" t="str">
        <f t="array" ref="CS19">IFERROR(INDEX(Skill!$W:$W, MATCH(CS$4, Skill!$C:$C, 0), 1), "")</f>
        <v/>
      </c>
      <c r="CT19" s="94" t="str">
        <f t="array" ref="CT19">IFERROR(INDEX(Skill!$W:$W, MATCH(CT$4, Skill!$C:$C, 0), 1), "")</f>
        <v/>
      </c>
      <c r="CU19" s="94" t="str">
        <f t="array" ref="CU19">IFERROR(INDEX(Skill!$W:$W, MATCH(CU$4, Skill!$C:$C, 0), 1), "")</f>
        <v/>
      </c>
      <c r="CV19" s="94" t="str">
        <f t="array" ref="CV19">IFERROR(INDEX(Skill!$W:$W, MATCH(CV$4, Skill!$C:$C, 0), 1), "")</f>
        <v/>
      </c>
      <c r="CW19" s="94" t="str">
        <f t="array" ref="CW19">IFERROR(INDEX(Skill!$W:$W, MATCH(CW$4, Skill!$C:$C, 0), 1), "")</f>
        <v/>
      </c>
      <c r="CX19" s="94" t="str">
        <f t="array" ref="CX19">IFERROR(INDEX(Skill!$W:$W, MATCH(CX$4, Skill!$C:$C, 0), 1), "")</f>
        <v/>
      </c>
      <c r="CY19" s="94" t="str">
        <f t="array" ref="CY19">IFERROR(INDEX(Skill!$W:$W, MATCH(CY$4, Skill!$C:$C, 0), 1), "")</f>
        <v/>
      </c>
      <c r="CZ19" s="94" t="str">
        <f t="array" ref="CZ19">IFERROR(INDEX(Skill!$W:$W, MATCH(CZ$4, Skill!$C:$C, 0), 1), "")</f>
        <v/>
      </c>
      <c r="DA19" s="94" t="str">
        <f t="array" ref="DA19">IFERROR(INDEX(Skill!$W:$W, MATCH(DA$4, Skill!$C:$C, 0), 1), "")</f>
        <v/>
      </c>
      <c r="DB19" s="94" t="str">
        <f t="array" ref="DB19">IFERROR(INDEX(Skill!$W:$W, MATCH(DB$4, Skill!$C:$C, 0), 1), "")</f>
        <v/>
      </c>
      <c r="DC19" s="94" t="str">
        <f t="array" ref="DC19">IFERROR(INDEX(Skill!$W:$W, MATCH(DC$4, Skill!$C:$C, 0), 1), "")</f>
        <v/>
      </c>
      <c r="DD19" s="94" t="str">
        <f t="array" ref="DD19">IFERROR(INDEX(Skill!$W:$W, MATCH(DD$4, Skill!$C:$C, 0), 1), "")</f>
        <v/>
      </c>
      <c r="DE19" s="94" t="str">
        <f t="array" ref="DE19">IFERROR(INDEX(Skill!$W:$W, MATCH(DE$4, Skill!$C:$C, 0), 1), "")</f>
        <v/>
      </c>
      <c r="DF19" s="94" t="str">
        <f t="array" ref="DF19">IFERROR(INDEX(Skill!$W:$W, MATCH(DF$4, Skill!$C:$C, 0), 1), "")</f>
        <v/>
      </c>
      <c r="DG19" s="94" t="str">
        <f t="array" ref="DG19">IFERROR(INDEX(Skill!$W:$W, MATCH(DG$4, Skill!$C:$C, 0), 1), "")</f>
        <v/>
      </c>
      <c r="DH19" s="94" t="str">
        <f t="array" ref="DH19">IFERROR(INDEX(Skill!$W:$W, MATCH(DH$4, Skill!$C:$C, 0), 1), "")</f>
        <v/>
      </c>
      <c r="DI19" s="94" t="str">
        <f t="array" ref="DI19">IFERROR(INDEX(Skill!$W:$W, MATCH(DI$4, Skill!$C:$C, 0), 1), "")</f>
        <v/>
      </c>
      <c r="DJ19" s="94" t="str">
        <f t="array" ref="DJ19">IFERROR(INDEX(Skill!$W:$W, MATCH(DJ$4, Skill!$C:$C, 0), 1), "")</f>
        <v/>
      </c>
      <c r="DK19" s="94" t="str">
        <f t="array" ref="DK19">IFERROR(INDEX(Skill!$W:$W, MATCH(DK$4, Skill!$C:$C, 0), 1), "")</f>
        <v/>
      </c>
      <c r="DL19" s="94" t="str">
        <f t="array" ref="DL19">IFERROR(INDEX(Skill!$W:$W, MATCH(DL$4, Skill!$C:$C, 0), 1), "")</f>
        <v/>
      </c>
      <c r="DM19" s="94" t="str">
        <f t="array" ref="DM19">IFERROR(INDEX(Skill!$W:$W, MATCH(DM$4, Skill!$C:$C, 0), 1), "")</f>
        <v/>
      </c>
      <c r="DN19" s="94" t="str">
        <f t="array" ref="DN19">IFERROR(INDEX(Skill!$W:$W, MATCH(DN$4, Skill!$C:$C, 0), 1), "")</f>
        <v/>
      </c>
      <c r="DO19" s="94" t="str">
        <f t="array" ref="DO19">IFERROR(INDEX(Skill!$W:$W, MATCH(DO$4, Skill!$C:$C, 0), 1), "")</f>
        <v/>
      </c>
      <c r="DP19" s="94" t="str">
        <f t="array" ref="DP19">IFERROR(INDEX(Skill!$W:$W, MATCH(DP$4, Skill!$C:$C, 0), 1), "")</f>
        <v/>
      </c>
      <c r="DQ19" s="94" t="str">
        <f t="array" ref="DQ19">IFERROR(INDEX(Skill!$W:$W, MATCH(DQ$4, Skill!$C:$C, 0), 1), "")</f>
        <v/>
      </c>
      <c r="DR19" s="94" t="str">
        <f t="array" ref="DR19">IFERROR(INDEX(Skill!$W:$W, MATCH(DR$4, Skill!$C:$C, 0), 1), "")</f>
        <v/>
      </c>
      <c r="DS19" s="94" t="str">
        <f t="array" ref="DS19">IFERROR(INDEX(Skill!$W:$W, MATCH(DS$4, Skill!$C:$C, 0), 1), "")</f>
        <v/>
      </c>
      <c r="DT19" s="94" t="str">
        <f t="array" ref="DT19">IFERROR(INDEX(Skill!$W:$W, MATCH(DT$4, Skill!$C:$C, 0), 1), "")</f>
        <v/>
      </c>
      <c r="DU19" s="94" t="str">
        <f t="array" ref="DU19">IFERROR(INDEX(Skill!$W:$W, MATCH(DU$4, Skill!$C:$C, 0), 1), "")</f>
        <v/>
      </c>
      <c r="DV19" s="94" t="str">
        <f t="array" ref="DV19">IFERROR(INDEX(Skill!$W:$W, MATCH(DV$4, Skill!$C:$C, 0), 1), "")</f>
        <v/>
      </c>
      <c r="DW19" s="94" t="str">
        <f t="array" ref="DW19">IFERROR(INDEX(Skill!$W:$W, MATCH(DW$4, Skill!$C:$C, 0), 1), "")</f>
        <v/>
      </c>
      <c r="DX19" s="94" t="str">
        <f t="array" ref="DX19">IFERROR(INDEX(Skill!$W:$W, MATCH(DX$4, Skill!$C:$C, 0), 1), "")</f>
        <v/>
      </c>
      <c r="DY19" s="94" t="str">
        <f t="array" ref="DY19">IFERROR(INDEX(Skill!$W:$W, MATCH(DY$4, Skill!$C:$C, 0), 1), "")</f>
        <v/>
      </c>
      <c r="DZ19" s="94" t="str">
        <f t="array" ref="DZ19">IFERROR(INDEX(Skill!$W:$W, MATCH(DZ$4, Skill!$C:$C, 0), 1), "")</f>
        <v/>
      </c>
      <c r="EA19" s="89" t="str">
        <f t="array" ref="EA19">IFERROR(INDEX(Skill!$W:$W, MATCH(EA$4, Skill!$C:$C, 0), 1), "")</f>
        <v/>
      </c>
      <c r="EB19" s="89" t="str">
        <f t="array" ref="EB19">IFERROR(INDEX(Skill!$W:$W, MATCH(EB$4, Skill!$C:$C, 0), 1), "")</f>
        <v/>
      </c>
      <c r="EC19" s="89" t="str">
        <f t="array" ref="EC19">IFERROR(INDEX(Skill!$W:$W, MATCH(EC$4, Skill!$C:$C, 0), 1), "")</f>
        <v/>
      </c>
      <c r="ED19" s="94" t="str">
        <f t="array" ref="ED19">IFERROR(INDEX(Skill!$W:$W, MATCH(ED$4, Skill!$C:$C, 0), 1), "")</f>
        <v/>
      </c>
      <c r="EE19" s="102"/>
      <c r="EF19" s="102"/>
      <c r="EG19" s="102"/>
      <c r="EH19" s="102"/>
      <c r="EI19" s="102"/>
      <c r="EJ19" s="102"/>
      <c r="EK19" s="102"/>
      <c r="EL19" s="102"/>
      <c r="EM19" s="102"/>
      <c r="EN19" s="102"/>
      <c r="EO19" s="102"/>
      <c r="EP19" s="102"/>
      <c r="EQ19" s="102"/>
      <c r="ER19" s="103"/>
      <c r="ES19" s="103"/>
      <c r="ET19" s="103"/>
      <c r="EU19" s="76"/>
      <c r="EV19" s="76"/>
      <c r="EW19" s="76"/>
      <c r="EX19" s="76"/>
      <c r="EY19" s="76"/>
      <c r="EZ19" s="76"/>
      <c r="FA19" s="76"/>
      <c r="FB19" s="76"/>
      <c r="FC19" s="76"/>
      <c r="FD19" s="76"/>
      <c r="FE19" s="76"/>
      <c r="FF19" s="76"/>
      <c r="FG19" s="76"/>
      <c r="FH19" s="76"/>
      <c r="FI19" s="76"/>
      <c r="FJ19" s="76"/>
      <c r="FK19" s="76"/>
      <c r="FL19" s="76"/>
      <c r="FM19" s="76"/>
      <c r="FN19" s="76"/>
      <c r="FO19" s="91"/>
    </row>
    <row r="20" hidden="1">
      <c r="B20" s="84"/>
      <c r="C20" s="83"/>
      <c r="D20" s="83"/>
      <c r="E20" s="105" t="s">
        <v>12</v>
      </c>
      <c r="F20" s="84"/>
      <c r="G20" s="84"/>
      <c r="H20" s="84"/>
      <c r="I20" s="84"/>
      <c r="J20" s="84"/>
      <c r="K20" s="94" t="str">
        <f t="array" ref="K20">IFERROR(INDEX(Skill!$Y:$Y, MATCH(K$4, Skill!$C:$C, 0), 1), "")</f>
        <v/>
      </c>
      <c r="L20" s="94" t="str">
        <f t="array" ref="L20">IFERROR(INDEX(Skill!$Y:$Y, MATCH(L$4, Skill!$C:$C, 0), 1), "")</f>
        <v/>
      </c>
      <c r="M20" s="94" t="str">
        <f t="array" ref="M20">IFERROR(INDEX(Skill!$Y:$Y, MATCH(M$4, Skill!$C:$C, 0), 1), "")</f>
        <v/>
      </c>
      <c r="N20" s="94">
        <f t="array" ref="N20">IFERROR(INDEX(Skill!$Y:$Y, MATCH(N$4, Skill!$C:$C, 0), 1), "")</f>
        <v>0.8</v>
      </c>
      <c r="O20" s="94" t="str">
        <f t="array" ref="O20">IFERROR(INDEX(Skill!$Y:$Y, MATCH(O$4, Skill!$C:$C, 0), 1), "")</f>
        <v/>
      </c>
      <c r="P20" s="94" t="str">
        <f t="array" ref="P20">IFERROR(INDEX(Skill!$Y:$Y, MATCH(P$4, Skill!$C:$C, 0), 1), "")</f>
        <v/>
      </c>
      <c r="Q20" s="94" t="str">
        <f t="array" ref="Q20">IFERROR(INDEX(Skill!$Y:$Y, MATCH(Q$4, Skill!$C:$C, 0), 1), "")</f>
        <v/>
      </c>
      <c r="R20" s="94" t="str">
        <f t="array" ref="R20">IFERROR(INDEX(Skill!$Y:$Y, MATCH(R$4, Skill!$C:$C, 0), 1), "")</f>
        <v/>
      </c>
      <c r="S20" s="94" t="str">
        <f t="array" ref="S20">IFERROR(INDEX(Skill!$Y:$Y, MATCH(S$4, Skill!$C:$C, 0), 1), "")</f>
        <v/>
      </c>
      <c r="T20" s="94" t="str">
        <f t="array" ref="T20">IFERROR(INDEX(Skill!$Y:$Y, MATCH(T$4, Skill!$C:$C, 0), 1), "")</f>
        <v/>
      </c>
      <c r="U20" s="94" t="str">
        <f t="array" ref="U20">IFERROR(INDEX(Skill!$Y:$Y, MATCH(U$4, Skill!$C:$C, 0), 1), "")</f>
        <v/>
      </c>
      <c r="V20" s="94" t="str">
        <f t="array" ref="V20">IFERROR(INDEX(Skill!$Y:$Y, MATCH(V$4, Skill!$C:$C, 0), 1), "")</f>
        <v/>
      </c>
      <c r="W20" s="94" t="str">
        <f t="array" ref="W20">IFERROR(INDEX(Skill!$Y:$Y, MATCH(W$4, Skill!$C:$C, 0), 1), "")</f>
        <v/>
      </c>
      <c r="X20" s="94" t="str">
        <f t="array" ref="X20">IFERROR(INDEX(Skill!$Y:$Y, MATCH(X$4, Skill!$C:$C, 0), 1), "")</f>
        <v/>
      </c>
      <c r="Y20" s="94" t="str">
        <f t="array" ref="Y20">IFERROR(INDEX(Skill!$Y:$Y, MATCH(Y$4, Skill!$C:$C, 0), 1), "")</f>
        <v/>
      </c>
      <c r="Z20" s="94" t="str">
        <f t="array" ref="Z20">IFERROR(INDEX(Skill!$Y:$Y, MATCH(Z$4, Skill!$C:$C, 0), 1), "")</f>
        <v/>
      </c>
      <c r="AA20" s="94" t="str">
        <f t="array" ref="AA20">IFERROR(INDEX(Skill!$Y:$Y, MATCH(AA$4, Skill!$C:$C, 0), 1), "")</f>
        <v/>
      </c>
      <c r="AB20" s="94" t="str">
        <f t="array" ref="AB20">IFERROR(INDEX(Skill!$Y:$Y, MATCH(AB$4, Skill!$C:$C, 0), 1), "")</f>
        <v/>
      </c>
      <c r="AC20" s="94" t="str">
        <f t="array" ref="AC20">IFERROR(INDEX(Skill!$Y:$Y, MATCH(AC$4, Skill!$C:$C, 0), 1), "")</f>
        <v/>
      </c>
      <c r="AD20" s="94" t="str">
        <f t="array" ref="AD20">IFERROR(INDEX(Skill!$Y:$Y, MATCH(AD$4, Skill!$C:$C, 0), 1), "")</f>
        <v/>
      </c>
      <c r="AE20" s="94" t="str">
        <f t="array" ref="AE20">IFERROR(INDEX(Skill!$Y:$Y, MATCH(AE$4, Skill!$C:$C, 0), 1), "")</f>
        <v/>
      </c>
      <c r="AF20" s="94" t="str">
        <f t="array" ref="AF20">IFERROR(INDEX(Skill!$Y:$Y, MATCH(AF$4, Skill!$C:$C, 0), 1), "")</f>
        <v/>
      </c>
      <c r="AG20" s="94" t="str">
        <f t="array" ref="AG20">IFERROR(INDEX(Skill!$Y:$Y, MATCH(AG$4, Skill!$C:$C, 0), 1), "")</f>
        <v/>
      </c>
      <c r="AH20" s="94" t="str">
        <f t="array" ref="AH20">IFERROR(INDEX(Skill!$Y:$Y, MATCH(AH$4, Skill!$C:$C, 0), 1), "")</f>
        <v/>
      </c>
      <c r="AI20" s="94" t="str">
        <f t="array" ref="AI20">IFERROR(INDEX(Skill!$Y:$Y, MATCH(AI$4, Skill!$C:$C, 0), 1), "")</f>
        <v/>
      </c>
      <c r="AJ20" s="94" t="str">
        <f t="array" ref="AJ20">IFERROR(INDEX(Skill!$Y:$Y, MATCH(AJ$4, Skill!$C:$C, 0), 1), "")</f>
        <v/>
      </c>
      <c r="AK20" s="94" t="str">
        <f t="array" ref="AK20">IFERROR(INDEX(Skill!$Y:$Y, MATCH(AK$4, Skill!$C:$C, 0), 1), "")</f>
        <v/>
      </c>
      <c r="AL20" s="94" t="str">
        <f t="array" ref="AL20">IFERROR(INDEX(Skill!$Y:$Y, MATCH(AL$4, Skill!$C:$C, 0), 1), "")</f>
        <v/>
      </c>
      <c r="AM20" s="94" t="str">
        <f t="array" ref="AM20">IFERROR(INDEX(Skill!$Y:$Y, MATCH(AM$4, Skill!$C:$C, 0), 1), "")</f>
        <v/>
      </c>
      <c r="AN20" s="94" t="str">
        <f t="array" ref="AN20">IFERROR(INDEX(Skill!$Y:$Y, MATCH(AN$4, Skill!$C:$C, 0), 1), "")</f>
        <v/>
      </c>
      <c r="AO20" s="94" t="str">
        <f t="array" ref="AO20">IFERROR(INDEX(Skill!$Y:$Y, MATCH(AO$4, Skill!$C:$C, 0), 1), "")</f>
        <v/>
      </c>
      <c r="AP20" s="94" t="str">
        <f t="array" ref="AP20">IFERROR(INDEX(Skill!$Y:$Y, MATCH(AP$4, Skill!$C:$C, 0), 1), "")</f>
        <v/>
      </c>
      <c r="AQ20" s="94" t="str">
        <f t="array" ref="AQ20">IFERROR(INDEX(Skill!$Y:$Y, MATCH(AQ$4, Skill!$C:$C, 0), 1), "")</f>
        <v/>
      </c>
      <c r="AR20" s="94" t="str">
        <f t="array" ref="AR20">IFERROR(INDEX(Skill!$Y:$Y, MATCH(AR$4, Skill!$C:$C, 0), 1), "")</f>
        <v/>
      </c>
      <c r="AS20" s="94" t="str">
        <f t="array" ref="AS20">IFERROR(INDEX(Skill!$Y:$Y, MATCH(AS$4, Skill!$C:$C, 0), 1), "")</f>
        <v/>
      </c>
      <c r="AT20" s="94" t="str">
        <f t="array" ref="AT20">IFERROR(INDEX(Skill!$Y:$Y, MATCH(AT$4, Skill!$C:$C, 0), 1), "")</f>
        <v/>
      </c>
      <c r="AU20" s="94" t="str">
        <f t="array" ref="AU20">IFERROR(INDEX(Skill!$Y:$Y, MATCH(AU$4, Skill!$C:$C, 0), 1), "")</f>
        <v/>
      </c>
      <c r="AV20" s="94" t="str">
        <f t="array" ref="AV20">IFERROR(INDEX(Skill!$Y:$Y, MATCH(AV$4, Skill!$C:$C, 0), 1), "")</f>
        <v/>
      </c>
      <c r="AW20" s="94" t="str">
        <f t="array" ref="AW20">IFERROR(INDEX(Skill!$Y:$Y, MATCH(AW$4, Skill!$C:$C, 0), 1), "")</f>
        <v/>
      </c>
      <c r="AX20" s="94" t="str">
        <f t="array" ref="AX20">IFERROR(INDEX(Skill!$Y:$Y, MATCH(AX$4, Skill!$C:$C, 0), 1), "")</f>
        <v/>
      </c>
      <c r="AY20" s="94" t="str">
        <f t="array" ref="AY20">IFERROR(INDEX(Skill!$Y:$Y, MATCH(AY$4, Skill!$C:$C, 0), 1), "")</f>
        <v/>
      </c>
      <c r="AZ20" s="94" t="str">
        <f t="array" ref="AZ20">IFERROR(INDEX(Skill!$Y:$Y, MATCH(AZ$4, Skill!$C:$C, 0), 1), "")</f>
        <v/>
      </c>
      <c r="BA20" s="94" t="str">
        <f t="array" ref="BA20">IFERROR(INDEX(Skill!$Y:$Y, MATCH(BA$4, Skill!$C:$C, 0), 1), "")</f>
        <v/>
      </c>
      <c r="BB20" s="94" t="str">
        <f t="array" ref="BB20">IFERROR(INDEX(Skill!$Y:$Y, MATCH(BB$4, Skill!$C:$C, 0), 1), "")</f>
        <v/>
      </c>
      <c r="BC20" s="94" t="str">
        <f t="array" ref="BC20">IFERROR(INDEX(Skill!$Y:$Y, MATCH(BC$4, Skill!$C:$C, 0), 1), "")</f>
        <v/>
      </c>
      <c r="BD20" s="94" t="str">
        <f t="array" ref="BD20">IFERROR(INDEX(Skill!$Y:$Y, MATCH(BD$4, Skill!$C:$C, 0), 1), "")</f>
        <v/>
      </c>
      <c r="BE20" s="94" t="str">
        <f t="array" ref="BE20">IFERROR(INDEX(Skill!$Y:$Y, MATCH(BE$4, Skill!$C:$C, 0), 1), "")</f>
        <v/>
      </c>
      <c r="BF20" s="94" t="str">
        <f t="array" ref="BF20">IFERROR(INDEX(Skill!$Y:$Y, MATCH(BF$4, Skill!$C:$C, 0), 1), "")</f>
        <v/>
      </c>
      <c r="BG20" s="94" t="str">
        <f t="array" ref="BG20">IFERROR(INDEX(Skill!$Y:$Y, MATCH(BG$4, Skill!$C:$C, 0), 1), "")</f>
        <v/>
      </c>
      <c r="BH20" s="94" t="str">
        <f t="array" ref="BH20">IFERROR(INDEX(Skill!$Y:$Y, MATCH(BH$4, Skill!$C:$C, 0), 1), "")</f>
        <v/>
      </c>
      <c r="BI20" s="94" t="str">
        <f t="array" ref="BI20">IFERROR(INDEX(Skill!$Y:$Y, MATCH(BI$4, Skill!$C:$C, 0), 1), "")</f>
        <v/>
      </c>
      <c r="BJ20" s="94" t="str">
        <f t="array" ref="BJ20">IFERROR(INDEX(Skill!$Y:$Y, MATCH(BJ$4, Skill!$C:$C, 0), 1), "")</f>
        <v/>
      </c>
      <c r="BK20" s="94" t="str">
        <f t="array" ref="BK20">IFERROR(INDEX(Skill!$Y:$Y, MATCH(BK$4, Skill!$C:$C, 0), 1), "")</f>
        <v/>
      </c>
      <c r="BL20" s="94" t="str">
        <f t="array" ref="BL20">IFERROR(INDEX(Skill!$Y:$Y, MATCH(BL$4, Skill!$C:$C, 0), 1), "")</f>
        <v/>
      </c>
      <c r="BM20" s="94" t="str">
        <f t="array" ref="BM20">IFERROR(INDEX(Skill!$Y:$Y, MATCH(BM$4, Skill!$C:$C, 0), 1), "")</f>
        <v/>
      </c>
      <c r="BN20" s="94" t="str">
        <f t="array" ref="BN20">IFERROR(INDEX(Skill!$Y:$Y, MATCH(BN$4, Skill!$C:$C, 0), 1), "")</f>
        <v/>
      </c>
      <c r="BO20" s="94" t="str">
        <f t="array" ref="BO20">IFERROR(INDEX(Skill!$Y:$Y, MATCH(BO$4, Skill!$C:$C, 0), 1), "")</f>
        <v/>
      </c>
      <c r="BP20" s="94" t="str">
        <f t="array" ref="BP20">IFERROR(INDEX(Skill!$Y:$Y, MATCH(BP$4, Skill!$C:$C, 0), 1), "")</f>
        <v/>
      </c>
      <c r="BQ20" s="94" t="str">
        <f t="array" ref="BQ20">IFERROR(INDEX(Skill!$Y:$Y, MATCH(BQ$4, Skill!$C:$C, 0), 1), "")</f>
        <v/>
      </c>
      <c r="BR20" s="94" t="str">
        <f t="array" ref="BR20">IFERROR(INDEX(Skill!$Y:$Y, MATCH(BR$4, Skill!$C:$C, 0), 1), "")</f>
        <v/>
      </c>
      <c r="BS20" s="94" t="str">
        <f t="array" ref="BS20">IFERROR(INDEX(Skill!$Y:$Y, MATCH(BS$4, Skill!$C:$C, 0), 1), "")</f>
        <v/>
      </c>
      <c r="BT20" s="94" t="str">
        <f t="array" ref="BT20">IFERROR(INDEX(Skill!$Y:$Y, MATCH(BT$4, Skill!$C:$C, 0), 1), "")</f>
        <v/>
      </c>
      <c r="BU20" s="94" t="str">
        <f t="array" ref="BU20">IFERROR(INDEX(Skill!$Y:$Y, MATCH(BU$4, Skill!$C:$C, 0), 1), "")</f>
        <v/>
      </c>
      <c r="BV20" s="94" t="str">
        <f t="array" ref="BV20">IFERROR(INDEX(Skill!$Y:$Y, MATCH(BV$4, Skill!$C:$C, 0), 1), "")</f>
        <v/>
      </c>
      <c r="BW20" s="94" t="str">
        <f t="array" ref="BW20">IFERROR(INDEX(Skill!$Y:$Y, MATCH(BW$4, Skill!$C:$C, 0), 1), "")</f>
        <v/>
      </c>
      <c r="BX20" s="94" t="str">
        <f t="array" ref="BX20">IFERROR(INDEX(Skill!$Y:$Y, MATCH(BX$4, Skill!$C:$C, 0), 1), "")</f>
        <v/>
      </c>
      <c r="BY20" s="94" t="str">
        <f t="array" ref="BY20">IFERROR(INDEX(Skill!$Y:$Y, MATCH(BY$4, Skill!$C:$C, 0), 1), "")</f>
        <v/>
      </c>
      <c r="BZ20" s="94" t="str">
        <f t="array" ref="BZ20">IFERROR(INDEX(Skill!$Y:$Y, MATCH(BZ$4, Skill!$C:$C, 0), 1), "")</f>
        <v/>
      </c>
      <c r="CA20" s="94" t="str">
        <f t="array" ref="CA20">IFERROR(INDEX(Skill!$Y:$Y, MATCH(CA$4, Skill!$C:$C, 0), 1), "")</f>
        <v/>
      </c>
      <c r="CB20" s="94" t="str">
        <f t="array" ref="CB20">IFERROR(INDEX(Skill!$Y:$Y, MATCH(CB$4, Skill!$C:$C, 0), 1), "")</f>
        <v/>
      </c>
      <c r="CC20" s="94" t="str">
        <f t="array" ref="CC20">IFERROR(INDEX(Skill!$Y:$Y, MATCH(CC$4, Skill!$C:$C, 0), 1), "")</f>
        <v/>
      </c>
      <c r="CD20" s="94" t="str">
        <f t="array" ref="CD20">IFERROR(INDEX(Skill!$Y:$Y, MATCH(CD$4, Skill!$C:$C, 0), 1), "")</f>
        <v/>
      </c>
      <c r="CE20" s="94" t="str">
        <f t="array" ref="CE20">IFERROR(INDEX(Skill!$Y:$Y, MATCH(CE$4, Skill!$C:$C, 0), 1), "")</f>
        <v/>
      </c>
      <c r="CF20" s="94" t="str">
        <f t="array" ref="CF20">IFERROR(INDEX(Skill!$Y:$Y, MATCH(CF$4, Skill!$C:$C, 0), 1), "")</f>
        <v/>
      </c>
      <c r="CG20" s="94" t="str">
        <f t="array" ref="CG20">IFERROR(INDEX(Skill!$Y:$Y, MATCH(CG$4, Skill!$C:$C, 0), 1), "")</f>
        <v/>
      </c>
      <c r="CH20" s="94" t="str">
        <f t="array" ref="CH20">IFERROR(INDEX(Skill!$Y:$Y, MATCH(CH$4, Skill!$C:$C, 0), 1), "")</f>
        <v/>
      </c>
      <c r="CI20" s="94" t="str">
        <f t="array" ref="CI20">IFERROR(INDEX(Skill!$Y:$Y, MATCH(CI$4, Skill!$C:$C, 0), 1), "")</f>
        <v/>
      </c>
      <c r="CJ20" s="94" t="str">
        <f t="array" ref="CJ20">IFERROR(INDEX(Skill!$Y:$Y, MATCH(CJ$4, Skill!$C:$C, 0), 1), "")</f>
        <v/>
      </c>
      <c r="CK20" s="94" t="str">
        <f t="array" ref="CK20">IFERROR(INDEX(Skill!$Y:$Y, MATCH(CK$4, Skill!$C:$C, 0), 1), "")</f>
        <v/>
      </c>
      <c r="CL20" s="94" t="str">
        <f t="array" ref="CL20">IFERROR(INDEX(Skill!$Y:$Y, MATCH(CL$4, Skill!$C:$C, 0), 1), "")</f>
        <v/>
      </c>
      <c r="CM20" s="94" t="str">
        <f t="array" ref="CM20">IFERROR(INDEX(Skill!$Y:$Y, MATCH(CM$4, Skill!$C:$C, 0), 1), "")</f>
        <v/>
      </c>
      <c r="CN20" s="94" t="str">
        <f t="array" ref="CN20">IFERROR(INDEX(Skill!$Y:$Y, MATCH(CN$4, Skill!$C:$C, 0), 1), "")</f>
        <v/>
      </c>
      <c r="CO20" s="94" t="str">
        <f t="array" ref="CO20">IFERROR(INDEX(Skill!$Y:$Y, MATCH(CO$4, Skill!$C:$C, 0), 1), "")</f>
        <v/>
      </c>
      <c r="CP20" s="94" t="str">
        <f t="array" ref="CP20">IFERROR(INDEX(Skill!$Y:$Y, MATCH(CP$4, Skill!$C:$C, 0), 1), "")</f>
        <v/>
      </c>
      <c r="CQ20" s="94" t="str">
        <f t="array" ref="CQ20">IFERROR(INDEX(Skill!$Y:$Y, MATCH(CQ$4, Skill!$C:$C, 0), 1), "")</f>
        <v/>
      </c>
      <c r="CR20" s="94" t="str">
        <f t="array" ref="CR20">IFERROR(INDEX(Skill!$Y:$Y, MATCH(CR$4, Skill!$C:$C, 0), 1), "")</f>
        <v/>
      </c>
      <c r="CS20" s="94" t="str">
        <f t="array" ref="CS20">IFERROR(INDEX(Skill!$Y:$Y, MATCH(CS$4, Skill!$C:$C, 0), 1), "")</f>
        <v/>
      </c>
      <c r="CT20" s="94" t="str">
        <f t="array" ref="CT20">IFERROR(INDEX(Skill!$Y:$Y, MATCH(CT$4, Skill!$C:$C, 0), 1), "")</f>
        <v/>
      </c>
      <c r="CU20" s="94" t="str">
        <f t="array" ref="CU20">IFERROR(INDEX(Skill!$Y:$Y, MATCH(CU$4, Skill!$C:$C, 0), 1), "")</f>
        <v/>
      </c>
      <c r="CV20" s="94" t="str">
        <f t="array" ref="CV20">IFERROR(INDEX(Skill!$Y:$Y, MATCH(CV$4, Skill!$C:$C, 0), 1), "")</f>
        <v/>
      </c>
      <c r="CW20" s="94" t="str">
        <f t="array" ref="CW20">IFERROR(INDEX(Skill!$Y:$Y, MATCH(CW$4, Skill!$C:$C, 0), 1), "")</f>
        <v/>
      </c>
      <c r="CX20" s="94" t="str">
        <f t="array" ref="CX20">IFERROR(INDEX(Skill!$Y:$Y, MATCH(CX$4, Skill!$C:$C, 0), 1), "")</f>
        <v/>
      </c>
      <c r="CY20" s="94" t="str">
        <f t="array" ref="CY20">IFERROR(INDEX(Skill!$Y:$Y, MATCH(CY$4, Skill!$C:$C, 0), 1), "")</f>
        <v/>
      </c>
      <c r="CZ20" s="94" t="str">
        <f t="array" ref="CZ20">IFERROR(INDEX(Skill!$Y:$Y, MATCH(CZ$4, Skill!$C:$C, 0), 1), "")</f>
        <v/>
      </c>
      <c r="DA20" s="94" t="str">
        <f t="array" ref="DA20">IFERROR(INDEX(Skill!$Y:$Y, MATCH(DA$4, Skill!$C:$C, 0), 1), "")</f>
        <v/>
      </c>
      <c r="DB20" s="94" t="str">
        <f t="array" ref="DB20">IFERROR(INDEX(Skill!$Y:$Y, MATCH(DB$4, Skill!$C:$C, 0), 1), "")</f>
        <v/>
      </c>
      <c r="DC20" s="94" t="str">
        <f t="array" ref="DC20">IFERROR(INDEX(Skill!$Y:$Y, MATCH(DC$4, Skill!$C:$C, 0), 1), "")</f>
        <v/>
      </c>
      <c r="DD20" s="94" t="str">
        <f t="array" ref="DD20">IFERROR(INDEX(Skill!$Y:$Y, MATCH(DD$4, Skill!$C:$C, 0), 1), "")</f>
        <v/>
      </c>
      <c r="DE20" s="94" t="str">
        <f t="array" ref="DE20">IFERROR(INDEX(Skill!$Y:$Y, MATCH(DE$4, Skill!$C:$C, 0), 1), "")</f>
        <v/>
      </c>
      <c r="DF20" s="94" t="str">
        <f t="array" ref="DF20">IFERROR(INDEX(Skill!$Y:$Y, MATCH(DF$4, Skill!$C:$C, 0), 1), "")</f>
        <v/>
      </c>
      <c r="DG20" s="94" t="str">
        <f t="array" ref="DG20">IFERROR(INDEX(Skill!$Y:$Y, MATCH(DG$4, Skill!$C:$C, 0), 1), "")</f>
        <v/>
      </c>
      <c r="DH20" s="94" t="str">
        <f t="array" ref="DH20">IFERROR(INDEX(Skill!$Y:$Y, MATCH(DH$4, Skill!$C:$C, 0), 1), "")</f>
        <v/>
      </c>
      <c r="DI20" s="94" t="str">
        <f t="array" ref="DI20">IFERROR(INDEX(Skill!$Y:$Y, MATCH(DI$4, Skill!$C:$C, 0), 1), "")</f>
        <v/>
      </c>
      <c r="DJ20" s="94" t="str">
        <f t="array" ref="DJ20">IFERROR(INDEX(Skill!$Y:$Y, MATCH(DJ$4, Skill!$C:$C, 0), 1), "")</f>
        <v/>
      </c>
      <c r="DK20" s="94" t="str">
        <f t="array" ref="DK20">IFERROR(INDEX(Skill!$Y:$Y, MATCH(DK$4, Skill!$C:$C, 0), 1), "")</f>
        <v/>
      </c>
      <c r="DL20" s="94" t="str">
        <f t="array" ref="DL20">IFERROR(INDEX(Skill!$Y:$Y, MATCH(DL$4, Skill!$C:$C, 0), 1), "")</f>
        <v/>
      </c>
      <c r="DM20" s="94" t="str">
        <f t="array" ref="DM20">IFERROR(INDEX(Skill!$Y:$Y, MATCH(DM$4, Skill!$C:$C, 0), 1), "")</f>
        <v/>
      </c>
      <c r="DN20" s="94" t="str">
        <f t="array" ref="DN20">IFERROR(INDEX(Skill!$Y:$Y, MATCH(DN$4, Skill!$C:$C, 0), 1), "")</f>
        <v/>
      </c>
      <c r="DO20" s="94" t="str">
        <f t="array" ref="DO20">IFERROR(INDEX(Skill!$Y:$Y, MATCH(DO$4, Skill!$C:$C, 0), 1), "")</f>
        <v/>
      </c>
      <c r="DP20" s="94" t="str">
        <f t="array" ref="DP20">IFERROR(INDEX(Skill!$Y:$Y, MATCH(DP$4, Skill!$C:$C, 0), 1), "")</f>
        <v/>
      </c>
      <c r="DQ20" s="94" t="str">
        <f t="array" ref="DQ20">IFERROR(INDEX(Skill!$Y:$Y, MATCH(DQ$4, Skill!$C:$C, 0), 1), "")</f>
        <v/>
      </c>
      <c r="DR20" s="94" t="str">
        <f t="array" ref="DR20">IFERROR(INDEX(Skill!$Y:$Y, MATCH(DR$4, Skill!$C:$C, 0), 1), "")</f>
        <v/>
      </c>
      <c r="DS20" s="94" t="str">
        <f t="array" ref="DS20">IFERROR(INDEX(Skill!$Y:$Y, MATCH(DS$4, Skill!$C:$C, 0), 1), "")</f>
        <v/>
      </c>
      <c r="DT20" s="94" t="str">
        <f t="array" ref="DT20">IFERROR(INDEX(Skill!$Y:$Y, MATCH(DT$4, Skill!$C:$C, 0), 1), "")</f>
        <v/>
      </c>
      <c r="DU20" s="94" t="str">
        <f t="array" ref="DU20">IFERROR(INDEX(Skill!$Y:$Y, MATCH(DU$4, Skill!$C:$C, 0), 1), "")</f>
        <v/>
      </c>
      <c r="DV20" s="94" t="str">
        <f t="array" ref="DV20">IFERROR(INDEX(Skill!$Y:$Y, MATCH(DV$4, Skill!$C:$C, 0), 1), "")</f>
        <v/>
      </c>
      <c r="DW20" s="94" t="str">
        <f t="array" ref="DW20">IFERROR(INDEX(Skill!$Y:$Y, MATCH(DW$4, Skill!$C:$C, 0), 1), "")</f>
        <v/>
      </c>
      <c r="DX20" s="94" t="str">
        <f t="array" ref="DX20">IFERROR(INDEX(Skill!$Y:$Y, MATCH(DX$4, Skill!$C:$C, 0), 1), "")</f>
        <v/>
      </c>
      <c r="DY20" s="94" t="str">
        <f t="array" ref="DY20">IFERROR(INDEX(Skill!$Y:$Y, MATCH(DY$4, Skill!$C:$C, 0), 1), "")</f>
        <v/>
      </c>
      <c r="DZ20" s="94" t="str">
        <f t="array" ref="DZ20">IFERROR(INDEX(Skill!$Y:$Y, MATCH(DZ$4, Skill!$C:$C, 0), 1), "")</f>
        <v/>
      </c>
      <c r="EA20" s="89" t="str">
        <f t="array" ref="EA20">IFERROR(INDEX(Skill!$Y:$Y, MATCH(EA$4, Skill!$C:$C, 0), 1), "")</f>
        <v/>
      </c>
      <c r="EB20" s="89" t="str">
        <f t="array" ref="EB20">IFERROR(INDEX(Skill!$Y:$Y, MATCH(EB$4, Skill!$C:$C, 0), 1), "")</f>
        <v/>
      </c>
      <c r="EC20" s="89" t="str">
        <f t="array" ref="EC20">IFERROR(INDEX(Skill!$Y:$Y, MATCH(EC$4, Skill!$C:$C, 0), 1), "")</f>
        <v/>
      </c>
      <c r="ED20" s="94" t="str">
        <f t="array" ref="ED20">IFERROR(INDEX(Skill!$Y:$Y, MATCH(ED$4, Skill!$C:$C, 0), 1), "")</f>
        <v/>
      </c>
      <c r="EE20" s="102"/>
      <c r="EF20" s="102"/>
      <c r="EG20" s="102"/>
      <c r="EH20" s="102"/>
      <c r="EI20" s="102"/>
      <c r="EJ20" s="102"/>
      <c r="EK20" s="102"/>
      <c r="EL20" s="102"/>
      <c r="EM20" s="102"/>
      <c r="EN20" s="102"/>
      <c r="EO20" s="102"/>
      <c r="EP20" s="102"/>
      <c r="EQ20" s="102"/>
      <c r="ER20" s="103"/>
      <c r="ES20" s="103"/>
      <c r="ET20" s="103"/>
      <c r="EU20" s="76"/>
      <c r="EV20" s="76"/>
      <c r="EW20" s="76"/>
      <c r="EX20" s="76"/>
      <c r="EY20" s="76"/>
      <c r="EZ20" s="76"/>
      <c r="FA20" s="76"/>
      <c r="FB20" s="76"/>
      <c r="FC20" s="76"/>
      <c r="FD20" s="76"/>
      <c r="FE20" s="76"/>
      <c r="FF20" s="76"/>
      <c r="FG20" s="76"/>
      <c r="FH20" s="76"/>
      <c r="FI20" s="76"/>
      <c r="FJ20" s="76"/>
      <c r="FK20" s="76"/>
      <c r="FL20" s="76"/>
      <c r="FM20" s="76"/>
      <c r="FN20" s="76"/>
      <c r="FO20" s="91"/>
    </row>
    <row r="21" hidden="1">
      <c r="B21" s="84"/>
      <c r="C21" s="83"/>
      <c r="D21" s="83"/>
      <c r="E21" s="84" t="s">
        <v>1043</v>
      </c>
      <c r="F21" s="84"/>
      <c r="G21" s="84"/>
      <c r="H21" s="84"/>
      <c r="I21" s="84"/>
      <c r="J21" s="84"/>
      <c r="K21" s="94" t="str">
        <f t="array" ref="K21">IFERROR(INDEX(Skill!$AB:$AB, MATCH(K$4, Skill!$C:$C, 0), 1), "")</f>
        <v/>
      </c>
      <c r="L21" s="94" t="str">
        <f t="array" ref="L21">IFERROR(INDEX(Skill!$AB:$AB, MATCH(L$4, Skill!$C:$C, 0), 1), "")</f>
        <v/>
      </c>
      <c r="M21" s="94" t="str">
        <f t="array" ref="M21">IFERROR(INDEX(Skill!$AB:$AB, MATCH(M$4, Skill!$C:$C, 0), 1), "")</f>
        <v/>
      </c>
      <c r="N21" s="94" t="str">
        <f t="array" ref="N21">IFERROR(INDEX(Skill!$AB:$AB, MATCH(N$4, Skill!$C:$C, 0), 1), "")</f>
        <v/>
      </c>
      <c r="O21" s="94" t="str">
        <f t="array" ref="O21">IFERROR(INDEX(Skill!$AB:$AB, MATCH(O$4, Skill!$C:$C, 0), 1), "")</f>
        <v/>
      </c>
      <c r="P21" s="94" t="str">
        <f t="array" ref="P21">IFERROR(INDEX(Skill!$AB:$AB, MATCH(P$4, Skill!$C:$C, 0), 1), "")</f>
        <v/>
      </c>
      <c r="Q21" s="94" t="str">
        <f t="array" ref="Q21">IFERROR(INDEX(Skill!$AB:$AB, MATCH(Q$4, Skill!$C:$C, 0), 1), "")</f>
        <v/>
      </c>
      <c r="R21" s="94" t="str">
        <f t="array" ref="R21">IFERROR(INDEX(Skill!$AB:$AB, MATCH(R$4, Skill!$C:$C, 0), 1), "")</f>
        <v/>
      </c>
      <c r="S21" s="94" t="str">
        <f t="array" ref="S21">IFERROR(INDEX(Skill!$AB:$AB, MATCH(S$4, Skill!$C:$C, 0), 1), "")</f>
        <v/>
      </c>
      <c r="T21" s="94" t="str">
        <f t="array" ref="T21">IFERROR(INDEX(Skill!$AB:$AB, MATCH(T$4, Skill!$C:$C, 0), 1), "")</f>
        <v/>
      </c>
      <c r="U21" s="94" t="str">
        <f t="array" ref="U21">IFERROR(INDEX(Skill!$AB:$AB, MATCH(U$4, Skill!$C:$C, 0), 1), "")</f>
        <v/>
      </c>
      <c r="V21" s="94" t="str">
        <f t="array" ref="V21">IFERROR(INDEX(Skill!$AB:$AB, MATCH(V$4, Skill!$C:$C, 0), 1), "")</f>
        <v/>
      </c>
      <c r="W21" s="94" t="str">
        <f t="array" ref="W21">IFERROR(INDEX(Skill!$AB:$AB, MATCH(W$4, Skill!$C:$C, 0), 1), "")</f>
        <v/>
      </c>
      <c r="X21" s="94" t="str">
        <f t="array" ref="X21">IFERROR(INDEX(Skill!$AB:$AB, MATCH(X$4, Skill!$C:$C, 0), 1), "")</f>
        <v/>
      </c>
      <c r="Y21" s="94" t="str">
        <f t="array" ref="Y21">IFERROR(INDEX(Skill!$AB:$AB, MATCH(Y$4, Skill!$C:$C, 0), 1), "")</f>
        <v/>
      </c>
      <c r="Z21" s="94" t="str">
        <f t="array" ref="Z21">IFERROR(INDEX(Skill!$AB:$AB, MATCH(Z$4, Skill!$C:$C, 0), 1), "")</f>
        <v/>
      </c>
      <c r="AA21" s="94" t="str">
        <f t="array" ref="AA21">IFERROR(INDEX(Skill!$AB:$AB, MATCH(AA$4, Skill!$C:$C, 0), 1), "")</f>
        <v/>
      </c>
      <c r="AB21" s="94" t="str">
        <f t="array" ref="AB21">IFERROR(INDEX(Skill!$AB:$AB, MATCH(AB$4, Skill!$C:$C, 0), 1), "")</f>
        <v/>
      </c>
      <c r="AC21" s="94" t="str">
        <f t="array" ref="AC21">IFERROR(INDEX(Skill!$AB:$AB, MATCH(AC$4, Skill!$C:$C, 0), 1), "")</f>
        <v/>
      </c>
      <c r="AD21" s="94" t="str">
        <f t="array" ref="AD21">IFERROR(INDEX(Skill!$AB:$AB, MATCH(AD$4, Skill!$C:$C, 0), 1), "")</f>
        <v/>
      </c>
      <c r="AE21" s="94" t="str">
        <f t="array" ref="AE21">IFERROR(INDEX(Skill!$AB:$AB, MATCH(AE$4, Skill!$C:$C, 0), 1), "")</f>
        <v/>
      </c>
      <c r="AF21" s="94" t="str">
        <f t="array" ref="AF21">IFERROR(INDEX(Skill!$AB:$AB, MATCH(AF$4, Skill!$C:$C, 0), 1), "")</f>
        <v/>
      </c>
      <c r="AG21" s="94" t="str">
        <f t="array" ref="AG21">IFERROR(INDEX(Skill!$AB:$AB, MATCH(AG$4, Skill!$C:$C, 0), 1), "")</f>
        <v/>
      </c>
      <c r="AH21" s="94" t="str">
        <f t="array" ref="AH21">IFERROR(INDEX(Skill!$AB:$AB, MATCH(AH$4, Skill!$C:$C, 0), 1), "")</f>
        <v/>
      </c>
      <c r="AI21" s="94" t="str">
        <f t="array" ref="AI21">IFERROR(INDEX(Skill!$AB:$AB, MATCH(AI$4, Skill!$C:$C, 0), 1), "")</f>
        <v/>
      </c>
      <c r="AJ21" s="94" t="str">
        <f t="array" ref="AJ21">IFERROR(INDEX(Skill!$AB:$AB, MATCH(AJ$4, Skill!$C:$C, 0), 1), "")</f>
        <v/>
      </c>
      <c r="AK21" s="94" t="str">
        <f t="array" ref="AK21">IFERROR(INDEX(Skill!$AB:$AB, MATCH(AK$4, Skill!$C:$C, 0), 1), "")</f>
        <v/>
      </c>
      <c r="AL21" s="94" t="str">
        <f t="array" ref="AL21">IFERROR(INDEX(Skill!$AB:$AB, MATCH(AL$4, Skill!$C:$C, 0), 1), "")</f>
        <v/>
      </c>
      <c r="AM21" s="94" t="str">
        <f t="array" ref="AM21">IFERROR(INDEX(Skill!$AB:$AB, MATCH(AM$4, Skill!$C:$C, 0), 1), "")</f>
        <v/>
      </c>
      <c r="AN21" s="94" t="str">
        <f t="array" ref="AN21">IFERROR(INDEX(Skill!$AB:$AB, MATCH(AN$4, Skill!$C:$C, 0), 1), "")</f>
        <v/>
      </c>
      <c r="AO21" s="94" t="str">
        <f t="array" ref="AO21">IFERROR(INDEX(Skill!$AB:$AB, MATCH(AO$4, Skill!$C:$C, 0), 1), "")</f>
        <v/>
      </c>
      <c r="AP21" s="94" t="str">
        <f t="array" ref="AP21">IFERROR(INDEX(Skill!$AB:$AB, MATCH(AP$4, Skill!$C:$C, 0), 1), "")</f>
        <v/>
      </c>
      <c r="AQ21" s="94" t="str">
        <f t="array" ref="AQ21">IFERROR(INDEX(Skill!$AB:$AB, MATCH(AQ$4, Skill!$C:$C, 0), 1), "")</f>
        <v/>
      </c>
      <c r="AR21" s="94" t="str">
        <f t="array" ref="AR21">IFERROR(INDEX(Skill!$AB:$AB, MATCH(AR$4, Skill!$C:$C, 0), 1), "")</f>
        <v/>
      </c>
      <c r="AS21" s="94" t="str">
        <f t="array" ref="AS21">IFERROR(INDEX(Skill!$AB:$AB, MATCH(AS$4, Skill!$C:$C, 0), 1), "")</f>
        <v/>
      </c>
      <c r="AT21" s="94" t="str">
        <f t="array" ref="AT21">IFERROR(INDEX(Skill!$AB:$AB, MATCH(AT$4, Skill!$C:$C, 0), 1), "")</f>
        <v/>
      </c>
      <c r="AU21" s="94" t="str">
        <f t="array" ref="AU21">IFERROR(INDEX(Skill!$AB:$AB, MATCH(AU$4, Skill!$C:$C, 0), 1), "")</f>
        <v/>
      </c>
      <c r="AV21" s="94" t="str">
        <f t="array" ref="AV21">IFERROR(INDEX(Skill!$AB:$AB, MATCH(AV$4, Skill!$C:$C, 0), 1), "")</f>
        <v/>
      </c>
      <c r="AW21" s="94" t="str">
        <f t="array" ref="AW21">IFERROR(INDEX(Skill!$AB:$AB, MATCH(AW$4, Skill!$C:$C, 0), 1), "")</f>
        <v/>
      </c>
      <c r="AX21" s="94" t="str">
        <f t="array" ref="AX21">IFERROR(INDEX(Skill!$AB:$AB, MATCH(AX$4, Skill!$C:$C, 0), 1), "")</f>
        <v/>
      </c>
      <c r="AY21" s="94" t="str">
        <f t="array" ref="AY21">IFERROR(INDEX(Skill!$AB:$AB, MATCH(AY$4, Skill!$C:$C, 0), 1), "")</f>
        <v/>
      </c>
      <c r="AZ21" s="94" t="str">
        <f t="array" ref="AZ21">IFERROR(INDEX(Skill!$AB:$AB, MATCH(AZ$4, Skill!$C:$C, 0), 1), "")</f>
        <v/>
      </c>
      <c r="BA21" s="94" t="str">
        <f t="array" ref="BA21">IFERROR(INDEX(Skill!$AB:$AB, MATCH(BA$4, Skill!$C:$C, 0), 1), "")</f>
        <v/>
      </c>
      <c r="BB21" s="94" t="str">
        <f t="array" ref="BB21">IFERROR(INDEX(Skill!$AB:$AB, MATCH(BB$4, Skill!$C:$C, 0), 1), "")</f>
        <v/>
      </c>
      <c r="BC21" s="94" t="str">
        <f t="array" ref="BC21">IFERROR(INDEX(Skill!$AB:$AB, MATCH(BC$4, Skill!$C:$C, 0), 1), "")</f>
        <v/>
      </c>
      <c r="BD21" s="94" t="str">
        <f t="array" ref="BD21">IFERROR(INDEX(Skill!$AB:$AB, MATCH(BD$4, Skill!$C:$C, 0), 1), "")</f>
        <v/>
      </c>
      <c r="BE21" s="94" t="str">
        <f t="array" ref="BE21">IFERROR(INDEX(Skill!$AB:$AB, MATCH(BE$4, Skill!$C:$C, 0), 1), "")</f>
        <v/>
      </c>
      <c r="BF21" s="94" t="str">
        <f t="array" ref="BF21">IFERROR(INDEX(Skill!$AB:$AB, MATCH(BF$4, Skill!$C:$C, 0), 1), "")</f>
        <v/>
      </c>
      <c r="BG21" s="94" t="str">
        <f t="array" ref="BG21">IFERROR(INDEX(Skill!$AB:$AB, MATCH(BG$4, Skill!$C:$C, 0), 1), "")</f>
        <v/>
      </c>
      <c r="BH21" s="94">
        <f t="array" ref="BH21">IFERROR(INDEX(Skill!$AB:$AB, MATCH(BH$4, Skill!$C:$C, 0), 1), "")</f>
        <v>312.5</v>
      </c>
      <c r="BI21" s="94" t="str">
        <f t="array" ref="BI21">IFERROR(INDEX(Skill!$AB:$AB, MATCH(BI$4, Skill!$C:$C, 0), 1), "")</f>
        <v/>
      </c>
      <c r="BJ21" s="94" t="str">
        <f t="array" ref="BJ21">IFERROR(INDEX(Skill!$AB:$AB, MATCH(BJ$4, Skill!$C:$C, 0), 1), "")</f>
        <v/>
      </c>
      <c r="BK21" s="94" t="str">
        <f t="array" ref="BK21">IFERROR(INDEX(Skill!$AB:$AB, MATCH(BK$4, Skill!$C:$C, 0), 1), "")</f>
        <v/>
      </c>
      <c r="BL21" s="94" t="str">
        <f t="array" ref="BL21">IFERROR(INDEX(Skill!$AB:$AB, MATCH(BL$4, Skill!$C:$C, 0), 1), "")</f>
        <v/>
      </c>
      <c r="BM21" s="94" t="str">
        <f t="array" ref="BM21">IFERROR(INDEX(Skill!$AB:$AB, MATCH(BM$4, Skill!$C:$C, 0), 1), "")</f>
        <v/>
      </c>
      <c r="BN21" s="94" t="str">
        <f t="array" ref="BN21">IFERROR(INDEX(Skill!$AB:$AB, MATCH(BN$4, Skill!$C:$C, 0), 1), "")</f>
        <v/>
      </c>
      <c r="BO21" s="94" t="str">
        <f t="array" ref="BO21">IFERROR(INDEX(Skill!$AB:$AB, MATCH(BO$4, Skill!$C:$C, 0), 1), "")</f>
        <v/>
      </c>
      <c r="BP21" s="94" t="str">
        <f t="array" ref="BP21">IFERROR(INDEX(Skill!$AB:$AB, MATCH(BP$4, Skill!$C:$C, 0), 1), "")</f>
        <v/>
      </c>
      <c r="BQ21" s="94" t="str">
        <f t="array" ref="BQ21">IFERROR(INDEX(Skill!$AB:$AB, MATCH(BQ$4, Skill!$C:$C, 0), 1), "")</f>
        <v/>
      </c>
      <c r="BR21" s="94" t="str">
        <f t="array" ref="BR21">IFERROR(INDEX(Skill!$AB:$AB, MATCH(BR$4, Skill!$C:$C, 0), 1), "")</f>
        <v/>
      </c>
      <c r="BS21" s="94" t="str">
        <f t="array" ref="BS21">IFERROR(INDEX(Skill!$AB:$AB, MATCH(BS$4, Skill!$C:$C, 0), 1), "")</f>
        <v/>
      </c>
      <c r="BT21" s="94" t="str">
        <f t="array" ref="BT21">IFERROR(INDEX(Skill!$AB:$AB, MATCH(BT$4, Skill!$C:$C, 0), 1), "")</f>
        <v/>
      </c>
      <c r="BU21" s="94" t="str">
        <f t="array" ref="BU21">IFERROR(INDEX(Skill!$AB:$AB, MATCH(BU$4, Skill!$C:$C, 0), 1), "")</f>
        <v/>
      </c>
      <c r="BV21" s="94" t="str">
        <f t="array" ref="BV21">IFERROR(INDEX(Skill!$AB:$AB, MATCH(BV$4, Skill!$C:$C, 0), 1), "")</f>
        <v/>
      </c>
      <c r="BW21" s="94" t="str">
        <f t="array" ref="BW21">IFERROR(INDEX(Skill!$AB:$AB, MATCH(BW$4, Skill!$C:$C, 0), 1), "")</f>
        <v/>
      </c>
      <c r="BX21" s="94">
        <f t="array" ref="BX21">IFERROR(INDEX(Skill!$AB:$AB, MATCH(BX$4, Skill!$C:$C, 0), 1), "")</f>
        <v>625</v>
      </c>
      <c r="BY21" s="94" t="str">
        <f t="array" ref="BY21">IFERROR(INDEX(Skill!$AB:$AB, MATCH(BY$4, Skill!$C:$C, 0), 1), "")</f>
        <v/>
      </c>
      <c r="BZ21" s="94" t="str">
        <f t="array" ref="BZ21">IFERROR(INDEX(Skill!$AB:$AB, MATCH(BZ$4, Skill!$C:$C, 0), 1), "")</f>
        <v/>
      </c>
      <c r="CA21" s="94" t="str">
        <f t="array" ref="CA21">IFERROR(INDEX(Skill!$AB:$AB, MATCH(CA$4, Skill!$C:$C, 0), 1), "")</f>
        <v/>
      </c>
      <c r="CB21" s="94" t="str">
        <f t="array" ref="CB21">IFERROR(INDEX(Skill!$AB:$AB, MATCH(CB$4, Skill!$C:$C, 0), 1), "")</f>
        <v/>
      </c>
      <c r="CC21" s="94" t="str">
        <f t="array" ref="CC21">IFERROR(INDEX(Skill!$AB:$AB, MATCH(CC$4, Skill!$C:$C, 0), 1), "")</f>
        <v/>
      </c>
      <c r="CD21" s="94" t="str">
        <f t="array" ref="CD21">IFERROR(INDEX(Skill!$AB:$AB, MATCH(CD$4, Skill!$C:$C, 0), 1), "")</f>
        <v/>
      </c>
      <c r="CE21" s="94" t="str">
        <f t="array" ref="CE21">IFERROR(INDEX(Skill!$AB:$AB, MATCH(CE$4, Skill!$C:$C, 0), 1), "")</f>
        <v/>
      </c>
      <c r="CF21" s="94" t="str">
        <f t="array" ref="CF21">IFERROR(INDEX(Skill!$AB:$AB, MATCH(CF$4, Skill!$C:$C, 0), 1), "")</f>
        <v/>
      </c>
      <c r="CG21" s="94" t="str">
        <f t="array" ref="CG21">IFERROR(INDEX(Skill!$AB:$AB, MATCH(CG$4, Skill!$C:$C, 0), 1), "")</f>
        <v/>
      </c>
      <c r="CH21" s="94" t="str">
        <f t="array" ref="CH21">IFERROR(INDEX(Skill!$AB:$AB, MATCH(CH$4, Skill!$C:$C, 0), 1), "")</f>
        <v/>
      </c>
      <c r="CI21" s="94" t="str">
        <f t="array" ref="CI21">IFERROR(INDEX(Skill!$AB:$AB, MATCH(CI$4, Skill!$C:$C, 0), 1), "")</f>
        <v/>
      </c>
      <c r="CJ21" s="94" t="str">
        <f t="array" ref="CJ21">IFERROR(INDEX(Skill!$AB:$AB, MATCH(CJ$4, Skill!$C:$C, 0), 1), "")</f>
        <v/>
      </c>
      <c r="CK21" s="94" t="str">
        <f t="array" ref="CK21">IFERROR(INDEX(Skill!$AB:$AB, MATCH(CK$4, Skill!$C:$C, 0), 1), "")</f>
        <v/>
      </c>
      <c r="CL21" s="94" t="str">
        <f t="array" ref="CL21">IFERROR(INDEX(Skill!$AB:$AB, MATCH(CL$4, Skill!$C:$C, 0), 1), "")</f>
        <v/>
      </c>
      <c r="CM21" s="94">
        <f t="array" ref="CM21">IFERROR(INDEX(Skill!$AB:$AB, MATCH(CM$4, Skill!$C:$C, 0), 1), "")</f>
        <v>648</v>
      </c>
      <c r="CN21" s="94" t="str">
        <f t="array" ref="CN21">IFERROR(INDEX(Skill!$AB:$AB, MATCH(CN$4, Skill!$C:$C, 0), 1), "")</f>
        <v/>
      </c>
      <c r="CO21" s="94" t="str">
        <f t="array" ref="CO21">IFERROR(INDEX(Skill!$AB:$AB, MATCH(CO$4, Skill!$C:$C, 0), 1), "")</f>
        <v/>
      </c>
      <c r="CP21" s="94">
        <f t="array" ref="CP21">IFERROR(INDEX(Skill!$AB:$AB, MATCH(CP$4, Skill!$C:$C, 0), 1), "")</f>
        <v>540</v>
      </c>
      <c r="CQ21" s="94" t="str">
        <f t="array" ref="CQ21">IFERROR(INDEX(Skill!$AB:$AB, MATCH(CQ$4, Skill!$C:$C, 0), 1), "")</f>
        <v/>
      </c>
      <c r="CR21" s="94" t="str">
        <f t="array" ref="CR21">IFERROR(INDEX(Skill!$AB:$AB, MATCH(CR$4, Skill!$C:$C, 0), 1), "")</f>
        <v/>
      </c>
      <c r="CS21" s="94" t="str">
        <f t="array" ref="CS21">IFERROR(INDEX(Skill!$AB:$AB, MATCH(CS$4, Skill!$C:$C, 0), 1), "")</f>
        <v/>
      </c>
      <c r="CT21" s="94" t="str">
        <f t="array" ref="CT21">IFERROR(INDEX(Skill!$AB:$AB, MATCH(CT$4, Skill!$C:$C, 0), 1), "")</f>
        <v/>
      </c>
      <c r="CU21" s="94" t="str">
        <f t="array" ref="CU21">IFERROR(INDEX(Skill!$AB:$AB, MATCH(CU$4, Skill!$C:$C, 0), 1), "")</f>
        <v/>
      </c>
      <c r="CV21" s="94" t="str">
        <f t="array" ref="CV21">IFERROR(INDEX(Skill!$AB:$AB, MATCH(CV$4, Skill!$C:$C, 0), 1), "")</f>
        <v/>
      </c>
      <c r="CW21" s="94" t="str">
        <f t="array" ref="CW21">IFERROR(INDEX(Skill!$AB:$AB, MATCH(CW$4, Skill!$C:$C, 0), 1), "")</f>
        <v/>
      </c>
      <c r="CX21" s="94" t="str">
        <f t="array" ref="CX21">IFERROR(INDEX(Skill!$AB:$AB, MATCH(CX$4, Skill!$C:$C, 0), 1), "")</f>
        <v/>
      </c>
      <c r="CY21" s="94" t="str">
        <f t="array" ref="CY21">IFERROR(INDEX(Skill!$AB:$AB, MATCH(CY$4, Skill!$C:$C, 0), 1), "")</f>
        <v/>
      </c>
      <c r="CZ21" s="94" t="str">
        <f t="array" ref="CZ21">IFERROR(INDEX(Skill!$AB:$AB, MATCH(CZ$4, Skill!$C:$C, 0), 1), "")</f>
        <v/>
      </c>
      <c r="DA21" s="94" t="str">
        <f t="array" ref="DA21">IFERROR(INDEX(Skill!$AB:$AB, MATCH(DA$4, Skill!$C:$C, 0), 1), "")</f>
        <v/>
      </c>
      <c r="DB21" s="94" t="str">
        <f t="array" ref="DB21">IFERROR(INDEX(Skill!$AB:$AB, MATCH(DB$4, Skill!$C:$C, 0), 1), "")</f>
        <v/>
      </c>
      <c r="DC21" s="94" t="str">
        <f t="array" ref="DC21">IFERROR(INDEX(Skill!$AB:$AB, MATCH(DC$4, Skill!$C:$C, 0), 1), "")</f>
        <v/>
      </c>
      <c r="DD21" s="94" t="str">
        <f t="array" ref="DD21">IFERROR(INDEX(Skill!$AB:$AB, MATCH(DD$4, Skill!$C:$C, 0), 1), "")</f>
        <v/>
      </c>
      <c r="DE21" s="94" t="str">
        <f t="array" ref="DE21">IFERROR(INDEX(Skill!$AB:$AB, MATCH(DE$4, Skill!$C:$C, 0), 1), "")</f>
        <v/>
      </c>
      <c r="DF21" s="94" t="str">
        <f t="array" ref="DF21">IFERROR(INDEX(Skill!$AB:$AB, MATCH(DF$4, Skill!$C:$C, 0), 1), "")</f>
        <v/>
      </c>
      <c r="DG21" s="94" t="str">
        <f t="array" ref="DG21">IFERROR(INDEX(Skill!$AB:$AB, MATCH(DG$4, Skill!$C:$C, 0), 1), "")</f>
        <v/>
      </c>
      <c r="DH21" s="94" t="str">
        <f t="array" ref="DH21">IFERROR(INDEX(Skill!$AB:$AB, MATCH(DH$4, Skill!$C:$C, 0), 1), "")</f>
        <v/>
      </c>
      <c r="DI21" s="94" t="str">
        <f t="array" ref="DI21">IFERROR(INDEX(Skill!$AB:$AB, MATCH(DI$4, Skill!$C:$C, 0), 1), "")</f>
        <v/>
      </c>
      <c r="DJ21" s="94" t="str">
        <f t="array" ref="DJ21">IFERROR(INDEX(Skill!$AB:$AB, MATCH(DJ$4, Skill!$C:$C, 0), 1), "")</f>
        <v/>
      </c>
      <c r="DK21" s="94" t="str">
        <f t="array" ref="DK21">IFERROR(INDEX(Skill!$AB:$AB, MATCH(DK$4, Skill!$C:$C, 0), 1), "")</f>
        <v/>
      </c>
      <c r="DL21" s="94" t="str">
        <f t="array" ref="DL21">IFERROR(INDEX(Skill!$AB:$AB, MATCH(DL$4, Skill!$C:$C, 0), 1), "")</f>
        <v/>
      </c>
      <c r="DM21" s="94" t="str">
        <f t="array" ref="DM21">IFERROR(INDEX(Skill!$AB:$AB, MATCH(DM$4, Skill!$C:$C, 0), 1), "")</f>
        <v/>
      </c>
      <c r="DN21" s="94" t="str">
        <f t="array" ref="DN21">IFERROR(INDEX(Skill!$AB:$AB, MATCH(DN$4, Skill!$C:$C, 0), 1), "")</f>
        <v/>
      </c>
      <c r="DO21" s="94" t="str">
        <f t="array" ref="DO21">IFERROR(INDEX(Skill!$AB:$AB, MATCH(DO$4, Skill!$C:$C, 0), 1), "")</f>
        <v/>
      </c>
      <c r="DP21" s="94" t="str">
        <f t="array" ref="DP21">IFERROR(INDEX(Skill!$AB:$AB, MATCH(DP$4, Skill!$C:$C, 0), 1), "")</f>
        <v/>
      </c>
      <c r="DQ21" s="94" t="str">
        <f t="array" ref="DQ21">IFERROR(INDEX(Skill!$AB:$AB, MATCH(DQ$4, Skill!$C:$C, 0), 1), "")</f>
        <v/>
      </c>
      <c r="DR21" s="94" t="str">
        <f t="array" ref="DR21">IFERROR(INDEX(Skill!$AB:$AB, MATCH(DR$4, Skill!$C:$C, 0), 1), "")</f>
        <v/>
      </c>
      <c r="DS21" s="94" t="str">
        <f t="array" ref="DS21">IFERROR(INDEX(Skill!$AB:$AB, MATCH(DS$4, Skill!$C:$C, 0), 1), "")</f>
        <v/>
      </c>
      <c r="DT21" s="94" t="str">
        <f t="array" ref="DT21">IFERROR(INDEX(Skill!$AB:$AB, MATCH(DT$4, Skill!$C:$C, 0), 1), "")</f>
        <v/>
      </c>
      <c r="DU21" s="94" t="str">
        <f t="array" ref="DU21">IFERROR(INDEX(Skill!$AB:$AB, MATCH(DU$4, Skill!$C:$C, 0), 1), "")</f>
        <v/>
      </c>
      <c r="DV21" s="94" t="str">
        <f t="array" ref="DV21">IFERROR(INDEX(Skill!$AB:$AB, MATCH(DV$4, Skill!$C:$C, 0), 1), "")</f>
        <v/>
      </c>
      <c r="DW21" s="94" t="str">
        <f t="array" ref="DW21">IFERROR(INDEX(Skill!$AB:$AB, MATCH(DW$4, Skill!$C:$C, 0), 1), "")</f>
        <v/>
      </c>
      <c r="DX21" s="94" t="str">
        <f t="array" ref="DX21">IFERROR(INDEX(Skill!$AB:$AB, MATCH(DX$4, Skill!$C:$C, 0), 1), "")</f>
        <v/>
      </c>
      <c r="DY21" s="94" t="str">
        <f t="array" ref="DY21">IFERROR(INDEX(Skill!$AB:$AB, MATCH(DY$4, Skill!$C:$C, 0), 1), "")</f>
        <v/>
      </c>
      <c r="DZ21" s="94" t="str">
        <f t="array" ref="DZ21">IFERROR(INDEX(Skill!$AB:$AB, MATCH(DZ$4, Skill!$C:$C, 0), 1), "")</f>
        <v/>
      </c>
      <c r="EA21" s="89" t="str">
        <f t="array" ref="EA21">IFERROR(INDEX(Skill!$AB:$AB, MATCH(EA$4, Skill!$C:$C, 0), 1), "")</f>
        <v/>
      </c>
      <c r="EB21" s="89" t="str">
        <f t="array" ref="EB21">IFERROR(INDEX(Skill!$AB:$AB, MATCH(EB$4, Skill!$C:$C, 0), 1), "")</f>
        <v/>
      </c>
      <c r="EC21" s="89" t="str">
        <f t="array" ref="EC21">IFERROR(INDEX(Skill!$AB:$AB, MATCH(EC$4, Skill!$C:$C, 0), 1), "")</f>
        <v/>
      </c>
      <c r="ED21" s="94" t="str">
        <f t="array" ref="ED21">IFERROR(INDEX(Skill!$AB:$AB, MATCH(ED$4, Skill!$C:$C, 0), 1), "")</f>
        <v/>
      </c>
      <c r="EE21" s="102"/>
      <c r="EF21" s="102"/>
      <c r="EG21" s="102"/>
      <c r="EH21" s="102"/>
      <c r="EI21" s="102"/>
      <c r="EJ21" s="102"/>
      <c r="EK21" s="102"/>
      <c r="EL21" s="102"/>
      <c r="EM21" s="102"/>
      <c r="EN21" s="102"/>
      <c r="EO21" s="102"/>
      <c r="EP21" s="102"/>
      <c r="EQ21" s="102"/>
      <c r="ER21" s="103"/>
      <c r="ES21" s="103"/>
      <c r="ET21" s="103"/>
      <c r="EU21" s="76"/>
      <c r="EV21" s="76"/>
      <c r="EW21" s="76"/>
      <c r="EX21" s="76"/>
      <c r="EY21" s="76"/>
      <c r="EZ21" s="76"/>
      <c r="FA21" s="76"/>
      <c r="FB21" s="76"/>
      <c r="FC21" s="76"/>
      <c r="FD21" s="76"/>
      <c r="FE21" s="76"/>
      <c r="FF21" s="76"/>
      <c r="FG21" s="76"/>
      <c r="FH21" s="76"/>
      <c r="FI21" s="76"/>
      <c r="FJ21" s="76"/>
      <c r="FK21" s="76"/>
      <c r="FL21" s="76"/>
      <c r="FM21" s="76"/>
      <c r="FN21" s="76"/>
      <c r="FO21" s="91"/>
    </row>
    <row r="22">
      <c r="B22" s="106" t="s">
        <v>1036</v>
      </c>
      <c r="C22" s="107" t="s">
        <v>1038</v>
      </c>
      <c r="D22" s="108"/>
      <c r="E22" s="106" t="s">
        <v>1039</v>
      </c>
      <c r="F22" s="109" t="s">
        <v>1040</v>
      </c>
      <c r="G22" s="108"/>
      <c r="H22" s="110" t="s">
        <v>1041</v>
      </c>
      <c r="I22" s="111"/>
      <c r="J22" s="108"/>
      <c r="K22" s="112" t="s">
        <v>1042</v>
      </c>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3"/>
      <c r="BP22" s="113"/>
      <c r="BQ22" s="113"/>
      <c r="BR22" s="113"/>
      <c r="BS22" s="113"/>
      <c r="BT22" s="113"/>
      <c r="BU22" s="113"/>
      <c r="BV22" s="113"/>
      <c r="BW22" s="113"/>
      <c r="BX22" s="113"/>
      <c r="BY22" s="113"/>
      <c r="BZ22" s="113"/>
      <c r="CA22" s="113"/>
      <c r="CB22" s="113"/>
      <c r="CC22" s="113"/>
      <c r="CD22" s="113"/>
      <c r="CE22" s="113"/>
      <c r="CF22" s="113"/>
      <c r="CG22" s="113"/>
      <c r="CH22" s="113"/>
      <c r="CI22" s="113"/>
      <c r="CJ22" s="113"/>
      <c r="CK22" s="113"/>
      <c r="CL22" s="113"/>
      <c r="CM22" s="113"/>
      <c r="CN22" s="113"/>
      <c r="CO22" s="113"/>
      <c r="CP22" s="113"/>
      <c r="CQ22" s="113"/>
      <c r="CR22" s="113"/>
      <c r="CS22" s="113"/>
      <c r="CT22" s="113"/>
      <c r="CU22" s="113"/>
      <c r="CV22" s="113"/>
      <c r="CW22" s="113"/>
      <c r="CX22" s="113"/>
      <c r="CY22" s="113"/>
      <c r="CZ22" s="113"/>
      <c r="DA22" s="113"/>
      <c r="DB22" s="113"/>
      <c r="DC22" s="113"/>
      <c r="DD22" s="113"/>
      <c r="DE22" s="113"/>
      <c r="DF22" s="113"/>
      <c r="DG22" s="113"/>
      <c r="DH22" s="113"/>
      <c r="DI22" s="113"/>
      <c r="DJ22" s="113"/>
      <c r="DK22" s="113"/>
      <c r="DL22" s="113"/>
      <c r="DM22" s="113"/>
      <c r="DN22" s="113"/>
      <c r="DO22" s="113"/>
      <c r="DP22" s="113"/>
      <c r="DQ22" s="113"/>
      <c r="DR22" s="113"/>
      <c r="DS22" s="113"/>
      <c r="DT22" s="113"/>
      <c r="DU22" s="113"/>
      <c r="DV22" s="113"/>
      <c r="DW22" s="113"/>
      <c r="DX22" s="113"/>
      <c r="DY22" s="113"/>
      <c r="DZ22" s="113"/>
      <c r="EA22" s="113"/>
      <c r="EB22" s="113"/>
      <c r="EC22" s="113"/>
      <c r="ED22" s="113"/>
      <c r="EE22" s="114" t="s">
        <v>1054</v>
      </c>
      <c r="EF22" s="113"/>
      <c r="EG22" s="113"/>
      <c r="EH22" s="113"/>
      <c r="EI22" s="113"/>
      <c r="EJ22" s="113"/>
      <c r="EK22" s="113"/>
      <c r="EL22" s="113"/>
      <c r="EM22" s="113"/>
      <c r="EN22" s="113"/>
      <c r="EO22" s="113"/>
      <c r="EP22" s="113"/>
      <c r="EQ22" s="115"/>
      <c r="ER22" s="110" t="s">
        <v>1055</v>
      </c>
      <c r="ES22" s="111"/>
      <c r="ET22" s="116" t="s">
        <v>1056</v>
      </c>
      <c r="EU22" s="117" t="s">
        <v>1054</v>
      </c>
      <c r="EY22" s="118" t="s">
        <v>1056</v>
      </c>
      <c r="EZ22" s="117" t="s">
        <v>1054</v>
      </c>
      <c r="FD22" s="118" t="s">
        <v>1056</v>
      </c>
      <c r="FE22" s="117" t="s">
        <v>1054</v>
      </c>
      <c r="FI22" s="118" t="s">
        <v>1056</v>
      </c>
      <c r="FJ22" s="117" t="s">
        <v>1054</v>
      </c>
      <c r="FN22" s="118" t="s">
        <v>1056</v>
      </c>
      <c r="FO22" s="91"/>
    </row>
    <row r="23">
      <c r="B23" s="119"/>
      <c r="C23" s="120"/>
      <c r="D23" s="121"/>
      <c r="E23" s="119"/>
      <c r="F23" s="120"/>
      <c r="G23" s="121"/>
      <c r="H23" s="122"/>
      <c r="I23" s="122"/>
      <c r="J23" s="123"/>
      <c r="K23" s="124" t="str">
        <f>IMAGE("https://xivapi.com/i/062000/062119.png")</f>
        <v/>
      </c>
      <c r="L23" s="113"/>
      <c r="M23" s="113"/>
      <c r="N23" s="113"/>
      <c r="O23" s="113"/>
      <c r="P23" s="113"/>
      <c r="Q23" s="113"/>
      <c r="R23" s="113"/>
      <c r="S23" s="115"/>
      <c r="T23" s="125" t="str">
        <f>IMAGE("https://xivapi.com/i/062000/062121.png")</f>
        <v/>
      </c>
      <c r="U23" s="113"/>
      <c r="V23" s="113"/>
      <c r="W23" s="113"/>
      <c r="X23" s="113"/>
      <c r="Y23" s="113"/>
      <c r="Z23" s="113"/>
      <c r="AA23" s="113"/>
      <c r="AB23" s="115"/>
      <c r="AC23" s="125" t="str">
        <f>IMAGE("https://xivapi.com/i/062000/062132.png")</f>
        <v/>
      </c>
      <c r="AD23" s="113"/>
      <c r="AE23" s="113"/>
      <c r="AF23" s="113"/>
      <c r="AG23" s="113"/>
      <c r="AH23" s="113"/>
      <c r="AI23" s="113"/>
      <c r="AJ23" s="113"/>
      <c r="AK23" s="115"/>
      <c r="AL23" s="125" t="str">
        <f>IMAGE("https://xivapi.com/i/062000/062137.png")</f>
        <v/>
      </c>
      <c r="AM23" s="113"/>
      <c r="AN23" s="113"/>
      <c r="AO23" s="113"/>
      <c r="AP23" s="113"/>
      <c r="AQ23" s="113"/>
      <c r="AR23" s="115"/>
      <c r="AS23" s="126" t="str">
        <f>IMAGE("https://xivapi.com/i/062000/062124.png")</f>
        <v/>
      </c>
      <c r="AT23" s="113"/>
      <c r="AU23" s="113"/>
      <c r="AV23" s="113"/>
      <c r="AW23" s="113"/>
      <c r="AX23" s="113"/>
      <c r="AY23" s="113"/>
      <c r="AZ23" s="113"/>
      <c r="BA23" s="113"/>
      <c r="BB23" s="113"/>
      <c r="BC23" s="113"/>
      <c r="BD23" s="115"/>
      <c r="BE23" s="126" t="str">
        <f>IMAGE("https://xivapi.com/i/062000/062133.png")</f>
        <v/>
      </c>
      <c r="BF23" s="113"/>
      <c r="BG23" s="113"/>
      <c r="BH23" s="113"/>
      <c r="BI23" s="113"/>
      <c r="BJ23" s="113"/>
      <c r="BK23" s="113"/>
      <c r="BL23" s="113"/>
      <c r="BM23" s="113"/>
      <c r="BN23" s="113"/>
      <c r="BO23" s="113"/>
      <c r="BP23" s="113"/>
      <c r="BQ23" s="113"/>
      <c r="BR23" s="113"/>
      <c r="BS23" s="113"/>
      <c r="BT23" s="113"/>
      <c r="BU23" s="113"/>
      <c r="BV23" s="113"/>
      <c r="BW23" s="113"/>
      <c r="BX23" s="115"/>
      <c r="BY23" s="126" t="str">
        <f>IMAGE("https://xivapi.com/i/062000/062128.png")</f>
        <v/>
      </c>
      <c r="BZ23" s="113"/>
      <c r="CA23" s="113"/>
      <c r="CB23" s="113"/>
      <c r="CC23" s="113"/>
      <c r="CD23" s="113"/>
      <c r="CE23" s="113"/>
      <c r="CF23" s="113"/>
      <c r="CG23" s="113"/>
      <c r="CH23" s="113"/>
      <c r="CI23" s="113"/>
      <c r="CJ23" s="113"/>
      <c r="CK23" s="113"/>
      <c r="CL23" s="113"/>
      <c r="CM23" s="113"/>
      <c r="CN23" s="113"/>
      <c r="CO23" s="113"/>
      <c r="CP23" s="113"/>
      <c r="CQ23" s="113"/>
      <c r="CR23" s="113"/>
      <c r="CS23" s="115"/>
      <c r="CT23" s="126" t="str">
        <f>IMAGE("https://xivapi.com/i/062000/062140.png")</f>
        <v/>
      </c>
      <c r="CU23" s="113"/>
      <c r="CV23" s="113"/>
      <c r="CW23" s="113"/>
      <c r="CX23" s="113"/>
      <c r="CY23" s="113"/>
      <c r="CZ23" s="113"/>
      <c r="DA23" s="113"/>
      <c r="DB23" s="113"/>
      <c r="DC23" s="113"/>
      <c r="DD23" s="113"/>
      <c r="DE23" s="113"/>
      <c r="DF23" s="113"/>
      <c r="DG23" s="113"/>
      <c r="DH23" s="113"/>
      <c r="DI23" s="115"/>
      <c r="DJ23" s="127" t="str">
        <f>IMAGE("https://xivapi.com/i/062000/062120.png")</f>
        <v/>
      </c>
      <c r="DK23" s="115"/>
      <c r="DL23" s="127" t="str">
        <f>IMAGE("https://xivapi.com/i/062000/062122.png")</f>
        <v/>
      </c>
      <c r="DM23" s="127" t="str">
        <f>IMAGE("https://xivapi.com/i/062000/062130.png")</f>
        <v/>
      </c>
      <c r="DN23" s="127" t="str">
        <f>IMAGE("https://xivapi.com/i/062000/062134.png")</f>
        <v/>
      </c>
      <c r="DO23" s="127" t="str">
        <f>IMAGE("https://xivapi.com/i/062000/062139.png")</f>
        <v/>
      </c>
      <c r="DP23" s="127" t="str">
        <f>IMAGE("https://xivapi.com/i/062000/062141.png")</f>
        <v/>
      </c>
      <c r="DQ23" s="128" t="str">
        <f>IMAGE("https://xivapi.com/i/062000/062123.png")</f>
        <v/>
      </c>
      <c r="DR23" s="115"/>
      <c r="DS23" s="128" t="str">
        <f>IMAGE("https://xivapi.com/i/062000/062131.png")</f>
        <v/>
      </c>
      <c r="DT23" s="115"/>
      <c r="DU23" s="128" t="str">
        <f>IMAGE("https://xivapi.com/i/062000/062138.png")</f>
        <v/>
      </c>
      <c r="DV23" s="115"/>
      <c r="DW23" s="129" t="str">
        <f>IMAGE("https://xivapi.com/i/062000/062125.png")</f>
        <v/>
      </c>
      <c r="DX23" s="129" t="str">
        <f>IMAGE("https://xivapi.com/i/062000/062127.png")</f>
        <v/>
      </c>
      <c r="DY23" s="129" t="str">
        <f>IMAGE("https://xivapi.com/i/062000/062135.png")</f>
        <v/>
      </c>
      <c r="DZ23" s="115"/>
      <c r="EA23" s="129" t="str">
        <f>IMAGE("https://xivapi.com/i/062000/062142.png")</f>
        <v/>
      </c>
      <c r="EB23" s="113"/>
      <c r="EC23" s="115"/>
      <c r="ED23" s="130" t="str">
        <f>IMAGE("https://xivapi.com/cj/misc/bordered_tank.png")</f>
        <v/>
      </c>
      <c r="EE23" s="131" t="s">
        <v>1042</v>
      </c>
      <c r="EF23" s="132" t="s">
        <v>1057</v>
      </c>
      <c r="EG23" s="111"/>
      <c r="EH23" s="132" t="s">
        <v>1058</v>
      </c>
      <c r="EI23" s="111"/>
      <c r="EJ23" s="132" t="s">
        <v>1059</v>
      </c>
      <c r="EK23" s="111"/>
      <c r="EL23" s="132" t="s">
        <v>1060</v>
      </c>
      <c r="EM23" s="111"/>
      <c r="EN23" s="132" t="s">
        <v>1061</v>
      </c>
      <c r="EO23" s="111"/>
      <c r="EP23" s="132" t="s">
        <v>1062</v>
      </c>
      <c r="EQ23" s="133" t="s">
        <v>1063</v>
      </c>
      <c r="ET23" s="134" t="s">
        <v>1064</v>
      </c>
      <c r="EU23" s="135" t="str">
        <f>IMAGE("https://xivapi.com/cj/companion/paladin.png")</f>
        <v/>
      </c>
      <c r="EZ23" s="135" t="str">
        <f>IMAGE("https://xivapi.com/cj/companion/warrior.png")</f>
        <v/>
      </c>
      <c r="FE23" s="135" t="str">
        <f>IMAGE("https://xivapi.com/cj/companion/darkknight.png")</f>
        <v/>
      </c>
      <c r="FJ23" s="135" t="str">
        <f>IMAGE("https://xivapi.com/cj/companion/gunbreaker.png")</f>
        <v/>
      </c>
      <c r="FO23" s="91"/>
    </row>
    <row r="24">
      <c r="B24" s="136"/>
      <c r="C24" s="137"/>
      <c r="D24" s="123"/>
      <c r="E24" s="136"/>
      <c r="F24" s="137"/>
      <c r="G24" s="123"/>
      <c r="H24" s="138" t="s">
        <v>1065</v>
      </c>
      <c r="I24" s="139" t="s">
        <v>1066</v>
      </c>
      <c r="J24" s="139" t="s">
        <v>1067</v>
      </c>
      <c r="K24" s="140" t="str">
        <f t="array" ref="K24">IFERROR(INDEX(Skill!$D:$D, MATCH(K$4, Skill!$C:$C, 0), 1), "")</f>
        <v/>
      </c>
      <c r="L24" s="140" t="str">
        <f t="array" ref="L24">IFERROR(INDEX(Skill!$D:$D, MATCH(L$4, Skill!$C:$C, 0), 1), "")</f>
        <v/>
      </c>
      <c r="M24" s="140" t="str">
        <f t="array" ref="M24">IFERROR(INDEX(Skill!$D:$D, MATCH(M$4, Skill!$C:$C, 0), 1), "")</f>
        <v/>
      </c>
      <c r="N24" s="140" t="str">
        <f t="array" ref="N24">IFERROR(INDEX(Skill!$D:$D, MATCH(N$4, Skill!$C:$C, 0), 1), "")</f>
        <v/>
      </c>
      <c r="O24" s="140" t="str">
        <f t="array" ref="O24">IFERROR(INDEX(Skill!$D:$D, MATCH(O$4, Skill!$C:$C, 0), 1), "")</f>
        <v/>
      </c>
      <c r="P24" s="140" t="str">
        <f t="array" ref="P24">IFERROR(INDEX(Skill!$D:$D, MATCH(P$4, Skill!$C:$C, 0), 1), "")</f>
        <v/>
      </c>
      <c r="Q24" s="140" t="str">
        <f t="array" ref="Q24">IFERROR(INDEX(Skill!$D:$D, MATCH(Q$4, Skill!$C:$C, 0), 1), "")</f>
        <v/>
      </c>
      <c r="R24" s="140" t="str">
        <f t="array" ref="R24">IFERROR(INDEX(Skill!$D:$D, MATCH(R$4, Skill!$C:$C, 0), 1), "")</f>
        <v/>
      </c>
      <c r="S24" s="140" t="str">
        <f t="array" ref="S24">IFERROR(INDEX(Skill!$D:$D, MATCH(S$4, Skill!$C:$C, 0), 1), "")</f>
        <v/>
      </c>
      <c r="T24" s="141" t="str">
        <f t="array" ref="T24">IFERROR(INDEX(Skill!$D:$D, MATCH(T$4, Skill!$C:$C, 0), 1), "")</f>
        <v/>
      </c>
      <c r="U24" s="124" t="str">
        <f t="array" ref="U24">IFERROR(INDEX(Skill!$D:$D, MATCH(U$4, Skill!$C:$C, 0), 1), "")</f>
        <v/>
      </c>
      <c r="V24" s="124" t="str">
        <f t="array" ref="V24">IFERROR(INDEX(Skill!$D:$D, MATCH(V$4, Skill!$C:$C, 0), 1), "")</f>
        <v/>
      </c>
      <c r="W24" s="124" t="str">
        <f t="array" ref="W24">IFERROR(INDEX(Skill!$D:$D, MATCH(W$4, Skill!$C:$C, 0), 1), "")</f>
        <v/>
      </c>
      <c r="X24" s="124" t="str">
        <f t="array" ref="X24">IFERROR(INDEX(Skill!$D:$D, MATCH(X$4, Skill!$C:$C, 0), 1), "")</f>
        <v/>
      </c>
      <c r="Y24" s="124" t="str">
        <f t="array" ref="Y24">IFERROR(INDEX(Skill!$D:$D, MATCH(Y$4, Skill!$C:$C, 0), 1), "")</f>
        <v/>
      </c>
      <c r="Z24" s="124" t="str">
        <f t="array" ref="Z24">IFERROR(INDEX(Skill!$D:$D, MATCH(Z$4, Skill!$C:$C, 0), 1), "")</f>
        <v/>
      </c>
      <c r="AA24" s="124" t="str">
        <f t="array" ref="AA24">IFERROR(INDEX(Skill!$D:$D, MATCH(AA$4, Skill!$C:$C, 0), 1), "")</f>
        <v/>
      </c>
      <c r="AB24" s="124" t="str">
        <f t="array" ref="AB24">IFERROR(INDEX(Skill!$D:$D, MATCH(AB$4, Skill!$C:$C, 0), 1), "")</f>
        <v/>
      </c>
      <c r="AC24" s="141" t="str">
        <f t="array" ref="AC24">IFERROR(INDEX(Skill!$D:$D, MATCH(AC$4, Skill!$C:$C, 0), 1), "")</f>
        <v/>
      </c>
      <c r="AD24" s="142" t="str">
        <f t="array" ref="AD24">IFERROR(INDEX(Skill!$D:$D, MATCH(AD$4, Skill!$C:$C, 0), 1), "")</f>
        <v/>
      </c>
      <c r="AE24" s="142" t="str">
        <f t="array" ref="AE24">IFERROR(INDEX(Skill!$D:$D, MATCH(AE$4, Skill!$C:$C, 0), 1), "")</f>
        <v/>
      </c>
      <c r="AF24" s="143" t="str">
        <f t="array" ref="AF24">IFERROR(INDEX(Skill!$D:$D, MATCH(AF$4, Skill!$C:$C, 0), 1), "")</f>
        <v/>
      </c>
      <c r="AG24" s="115"/>
      <c r="AH24" s="142" t="str">
        <f t="array" ref="AH24">IFERROR(INDEX(Skill!$D:$D, MATCH(AH$4, Skill!$C:$C, 0), 1), "")</f>
        <v/>
      </c>
      <c r="AI24" s="142" t="str">
        <f t="array" ref="AI24">IFERROR(INDEX(Skill!$D:$D, MATCH(AI$4, Skill!$C:$C, 0), 1), "")</f>
        <v/>
      </c>
      <c r="AJ24" s="142" t="str">
        <f t="array" ref="AJ24">IFERROR(INDEX(Skill!$D:$D, MATCH(AJ$4, Skill!$C:$C, 0), 1), "")</f>
        <v/>
      </c>
      <c r="AK24" s="142" t="str">
        <f t="array" ref="AK24">IFERROR(INDEX(Skill!$D:$D, MATCH(AK$4, Skill!$C:$C, 0), 1), "")</f>
        <v/>
      </c>
      <c r="AL24" s="141" t="str">
        <f t="array" ref="AL24">IFERROR(INDEX(Skill!$D:$D, MATCH(AL$4, Skill!$C:$C, 0), 1), "")</f>
        <v/>
      </c>
      <c r="AM24" s="140" t="str">
        <f t="array" ref="AM24">IFERROR(INDEX(Skill!$D:$D, MATCH(AM$4, Skill!$C:$C, 0), 1), "")</f>
        <v/>
      </c>
      <c r="AN24" s="140" t="str">
        <f t="array" ref="AN24">IFERROR(INDEX(Skill!$D:$D, MATCH(AN$4, Skill!$C:$C, 0), 1), "")</f>
        <v/>
      </c>
      <c r="AO24" s="140" t="str">
        <f t="array" ref="AO24">IFERROR(INDEX(Skill!$D:$D, MATCH(AO$4, Skill!$C:$C, 0), 1), "")</f>
        <v/>
      </c>
      <c r="AP24" s="140" t="str">
        <f t="array" ref="AP24">IFERROR(INDEX(Skill!$D:$D, MATCH(AP$4, Skill!$C:$C, 0), 1), "")</f>
        <v/>
      </c>
      <c r="AQ24" s="140" t="str">
        <f t="array" ref="AQ24">IFERROR(INDEX(Skill!$D:$D, MATCH(AQ$4, Skill!$C:$C, 0), 1), "")</f>
        <v/>
      </c>
      <c r="AR24" s="140" t="str">
        <f t="array" ref="AR24">IFERROR(INDEX(Skill!$D:$D, MATCH(AR$4, Skill!$C:$C, 0), 1), "")</f>
        <v/>
      </c>
      <c r="AS24" s="144" t="str">
        <f t="array" ref="AS24">IFERROR(INDEX(Skill!$D:$D, MATCH(AS$4, Skill!$C:$C, 0), 1), "")</f>
        <v/>
      </c>
      <c r="AT24" s="145" t="str">
        <f t="array" ref="AT24">IFERROR(INDEX(Skill!$D:$D, MATCH(AT$4, Skill!$C:$C, 0), 1), "")</f>
        <v/>
      </c>
      <c r="AU24" s="145" t="str">
        <f t="array" ref="AU24">IFERROR(INDEX(Skill!$D:$D, MATCH(AU$4, Skill!$C:$C, 0), 1), "")</f>
        <v/>
      </c>
      <c r="AV24" s="145" t="str">
        <f t="array" ref="AV24">IFERROR(INDEX(Skill!$D:$D, MATCH(AV$4, Skill!$C:$C, 0), 1), "")</f>
        <v/>
      </c>
      <c r="AW24" s="145" t="str">
        <f t="array" ref="AW24">IFERROR(INDEX(Skill!$D:$D, MATCH(AW$4, Skill!$C:$C, 0), 1), "")</f>
        <v/>
      </c>
      <c r="AX24" s="145" t="str">
        <f t="array" ref="AX24">IFERROR(INDEX(Skill!$D:$D, MATCH(AX$4, Skill!$C:$C, 0), 1), "")</f>
        <v/>
      </c>
      <c r="AY24" s="145" t="str">
        <f t="array" ref="AY24">IFERROR(INDEX(Skill!$D:$D, MATCH(AY$4, Skill!$C:$C, 0), 1), "")</f>
        <v/>
      </c>
      <c r="AZ24" s="146" t="str">
        <f t="array" ref="AZ24">IFERROR(INDEX(Skill!$D:$D, MATCH(AZ$4, Skill!$C:$C, 0), 1), "")</f>
        <v/>
      </c>
      <c r="BA24" s="115"/>
      <c r="BB24" s="146" t="str">
        <f t="array" ref="BB24">IFERROR(INDEX(Skill!$D:$D, MATCH(BB$4, Skill!$C:$C, 0), 1), "")</f>
        <v/>
      </c>
      <c r="BC24" s="115"/>
      <c r="BD24" s="145" t="str">
        <f t="array" ref="BD24">IFERROR(INDEX(Skill!$D:$D, MATCH(BD$4, Skill!$C:$C, 0), 1), "")</f>
        <v/>
      </c>
      <c r="BE24" s="144" t="str">
        <f t="array" ref="BE24">IFERROR(INDEX(Skill!$D:$D, MATCH(BE$4, Skill!$C:$C, 0), 1), "")</f>
        <v/>
      </c>
      <c r="BF24" s="147" t="str">
        <f t="array" ref="BF24">IFERROR(INDEX(Skill!$D:$D, MATCH(BF$4, Skill!$C:$C, 0), 1), "")</f>
        <v/>
      </c>
      <c r="BG24" s="147" t="str">
        <f t="array" ref="BG24">IFERROR(INDEX(Skill!$D:$D, MATCH(BG$4, Skill!$C:$C, 0), 1), "")</f>
        <v/>
      </c>
      <c r="BH24" s="147" t="str">
        <f t="array" ref="BH24">IFERROR(INDEX(Skill!$D:$D, MATCH(BH$4, Skill!$C:$C, 0), 1), "")</f>
        <v/>
      </c>
      <c r="BI24" s="147" t="str">
        <f t="array" ref="BI24">IFERROR(INDEX(Skill!$D:$D, MATCH(BI$4, Skill!$C:$C, 0), 1), "")</f>
        <v/>
      </c>
      <c r="BJ24" s="147" t="str">
        <f t="array" ref="BJ24">IFERROR(INDEX(Skill!$D:$D, MATCH(BJ$4, Skill!$C:$C, 0), 1), "")</f>
        <v/>
      </c>
      <c r="BK24" s="147" t="str">
        <f t="array" ref="BK24">IFERROR(INDEX(Skill!$D:$D, MATCH(BK$4, Skill!$C:$C, 0), 1), "")</f>
        <v/>
      </c>
      <c r="BL24" s="147" t="str">
        <f t="array" ref="BL24">IFERROR(INDEX(Skill!$D:$D, MATCH(BL$4, Skill!$C:$C, 0), 1), "")</f>
        <v/>
      </c>
      <c r="BM24" s="147" t="str">
        <f t="array" ref="BM24">IFERROR(INDEX(Skill!$D:$D, MATCH(BM$4, Skill!$C:$C, 0), 1), "")</f>
        <v/>
      </c>
      <c r="BN24" s="147" t="str">
        <f t="array" ref="BN24">IFERROR(INDEX(Skill!$D:$D, MATCH(BN$4, Skill!$C:$C, 0), 1), "")</f>
        <v/>
      </c>
      <c r="BO24" s="147" t="str">
        <f t="array" ref="BO24">IFERROR(INDEX(Skill!$D:$D, MATCH(BO$4, Skill!$C:$C, 0), 1), "")</f>
        <v/>
      </c>
      <c r="BP24" s="147" t="str">
        <f t="array" ref="BP24">IFERROR(INDEX(Skill!$D:$D, MATCH(BP$4, Skill!$C:$C, 0), 1), "")</f>
        <v/>
      </c>
      <c r="BQ24" s="147" t="str">
        <f t="array" ref="BQ24">IFERROR(INDEX(Skill!$D:$D, MATCH(BQ$4, Skill!$C:$C, 0), 1), "")</f>
        <v/>
      </c>
      <c r="BR24" s="147" t="str">
        <f t="array" ref="BR24">IFERROR(INDEX(Skill!$D:$D, MATCH(BR$4, Skill!$C:$C, 0), 1), "")</f>
        <v/>
      </c>
      <c r="BS24" s="148" t="str">
        <f t="array" ref="BS24">IFERROR(INDEX(Skill!$D:$D, MATCH(BS$4, Skill!$C:$C, 0), 1), "")</f>
        <v/>
      </c>
      <c r="BT24" s="115"/>
      <c r="BU24" s="147" t="str">
        <f t="array" ref="BU24">IFERROR(INDEX(Skill!$D:$D, MATCH(BU$4, Skill!$C:$C, 0), 1), "")</f>
        <v/>
      </c>
      <c r="BV24" s="148" t="str">
        <f t="array" ref="BV24">IFERROR(INDEX(Skill!$D:$D, MATCH(BV$4, Skill!$C:$C, 0), 1), "")</f>
        <v/>
      </c>
      <c r="BW24" s="115"/>
      <c r="BX24" s="147" t="str">
        <f t="array" ref="BX24">IFERROR(INDEX(Skill!$D:$D, MATCH(BX$4, Skill!$C:$C, 0), 1), "")</f>
        <v/>
      </c>
      <c r="BY24" s="144" t="str">
        <f t="array" ref="BY24">IFERROR(INDEX(Skill!$D:$D, MATCH(BY$4, Skill!$C:$C, 0), 1), "")</f>
        <v/>
      </c>
      <c r="BZ24" s="147" t="str">
        <f t="array" ref="BZ24">IFERROR(INDEX(Skill!$D:$D, MATCH(BZ$4, Skill!$C:$C, 0), 1), "")</f>
        <v/>
      </c>
      <c r="CA24" s="147" t="str">
        <f t="array" ref="CA24">IFERROR(INDEX(Skill!$D:$D, MATCH(CA$4, Skill!$C:$C, 0), 1), "")</f>
        <v/>
      </c>
      <c r="CB24" s="147" t="str">
        <f t="array" ref="CB24">IFERROR(INDEX(Skill!$D:$D, MATCH(CB$4, Skill!$C:$C, 0), 1), "")</f>
        <v/>
      </c>
      <c r="CC24" s="147" t="str">
        <f t="array" ref="CC24">IFERROR(INDEX(Skill!$D:$D, MATCH(CC$4, Skill!$C:$C, 0), 1), "")</f>
        <v/>
      </c>
      <c r="CD24" s="147" t="str">
        <f t="array" ref="CD24">IFERROR(INDEX(Skill!$D:$D, MATCH(CD$4, Skill!$C:$C, 0), 1), "")</f>
        <v/>
      </c>
      <c r="CE24" s="147" t="str">
        <f t="array" ref="CE24">IFERROR(INDEX(Skill!$D:$D, MATCH(CE$4, Skill!$C:$C, 0), 1), "")</f>
        <v/>
      </c>
      <c r="CF24" s="147" t="str">
        <f t="array" ref="CF24">IFERROR(INDEX(Skill!$D:$D, MATCH(CF$4, Skill!$C:$C, 0), 1), "")</f>
        <v/>
      </c>
      <c r="CG24" s="147" t="str">
        <f t="array" ref="CG24">IFERROR(INDEX(Skill!$D:$D, MATCH(CG$4, Skill!$C:$C, 0), 1), "")</f>
        <v/>
      </c>
      <c r="CH24" s="147" t="str">
        <f t="array" ref="CH24">IFERROR(INDEX(Skill!$D:$D, MATCH(CH$4, Skill!$C:$C, 0), 1), "")</f>
        <v/>
      </c>
      <c r="CI24" s="147" t="str">
        <f t="array" ref="CI24">IFERROR(INDEX(Skill!$D:$D, MATCH(CI$4, Skill!$C:$C, 0), 1), "")</f>
        <v/>
      </c>
      <c r="CJ24" s="147" t="str">
        <f t="array" ref="CJ24">IFERROR(INDEX(Skill!$D:$D, MATCH(CJ$4, Skill!$C:$C, 0), 1), "")</f>
        <v/>
      </c>
      <c r="CK24" s="147" t="str">
        <f t="array" ref="CK24">IFERROR(INDEX(Skill!$D:$D, MATCH(CK$4, Skill!$C:$C, 0), 1), "")</f>
        <v/>
      </c>
      <c r="CL24" s="147" t="str">
        <f t="array" ref="CL24">IFERROR(INDEX(Skill!$D:$D, MATCH(CL$4, Skill!$C:$C, 0), 1), "")</f>
        <v/>
      </c>
      <c r="CM24" s="147" t="str">
        <f t="array" ref="CM24">IFERROR(INDEX(Skill!$D:$D, MATCH(CM$4, Skill!$C:$C, 0), 1), "")</f>
        <v/>
      </c>
      <c r="CN24" s="147" t="str">
        <f t="array" ref="CN24">IFERROR(INDEX(Skill!$D:$D, MATCH(CN$4, Skill!$C:$C, 0), 1), "")</f>
        <v/>
      </c>
      <c r="CO24" s="147" t="str">
        <f t="array" ref="CO24">IFERROR(INDEX(Skill!$D:$D, MATCH(CO$4, Skill!$C:$C, 0), 1), "")</f>
        <v/>
      </c>
      <c r="CP24" s="147" t="str">
        <f t="array" ref="CP24">IFERROR(INDEX(Skill!$D:$D, MATCH(CP$4, Skill!$C:$C, 0), 1), "")</f>
        <v/>
      </c>
      <c r="CQ24" s="147" t="str">
        <f t="array" ref="CQ24">IFERROR(INDEX(Skill!$D:$D, MATCH(CQ$4, Skill!$C:$C, 0), 1), "")</f>
        <v/>
      </c>
      <c r="CR24" s="147" t="str">
        <f t="array" ref="CR24">IFERROR(INDEX(Skill!$D:$D, MATCH(CR$4, Skill!$C:$C, 0), 1), "")</f>
        <v/>
      </c>
      <c r="CS24" s="147" t="str">
        <f>IMAGE("http://drive.google.com/uc?export=view&amp;id=1AdMXq2oDpA84xtFE73ql3oAKBb8YsCwr")</f>
        <v/>
      </c>
      <c r="CT24" s="144" t="str">
        <f t="array" ref="CT24">IFERROR(INDEX(Skill!$D:$D, MATCH(CT$4, Skill!$C:$C, 0), 1), "")</f>
        <v/>
      </c>
      <c r="CU24" s="147" t="str">
        <f t="array" ref="CU24">IFERROR(INDEX(Skill!$D:$D, MATCH(CU$4, Skill!$C:$C, 0), 1), "")</f>
        <v/>
      </c>
      <c r="CV24" s="147" t="str">
        <f t="array" ref="CV24">IFERROR(INDEX(Skill!$D:$D, MATCH(CV$4, Skill!$C:$C, 0), 1), "")</f>
        <v/>
      </c>
      <c r="CW24" s="147" t="str">
        <f t="array" ref="CW24">IFERROR(INDEX(Skill!$D:$D, MATCH(CW$4, Skill!$C:$C, 0), 1), "")</f>
        <v/>
      </c>
      <c r="CX24" s="147" t="str">
        <f t="array" ref="CX24">IFERROR(INDEX(Skill!$D:$D, MATCH(CX$4, Skill!$C:$C, 0), 1), "")</f>
        <v/>
      </c>
      <c r="CY24" s="147" t="str">
        <f t="array" ref="CY24">IFERROR(INDEX(Skill!$D:$D, MATCH(CY$4, Skill!$C:$C, 0), 1), "")</f>
        <v/>
      </c>
      <c r="CZ24" s="147" t="str">
        <f t="array" ref="CZ24">IFERROR(INDEX(Skill!$D:$D, MATCH(CZ$4, Skill!$C:$C, 0), 1), "")</f>
        <v/>
      </c>
      <c r="DA24" s="147" t="str">
        <f t="array" ref="DA24">IFERROR(INDEX(Skill!$D:$D, MATCH(DA$4, Skill!$C:$C, 0), 1), "")</f>
        <v/>
      </c>
      <c r="DB24" s="147" t="str">
        <f t="array" ref="DB24">IFERROR(INDEX(Skill!$D:$D, MATCH(DB$4, Skill!$C:$C, 0), 1), "")</f>
        <v/>
      </c>
      <c r="DC24" s="147" t="str">
        <f t="array" ref="DC24">IFERROR(INDEX(Skill!$D:$D, MATCH(DC$4, Skill!$C:$C, 0), 1), "")</f>
        <v/>
      </c>
      <c r="DD24" s="147" t="str">
        <f t="array" ref="DD24">IFERROR(INDEX(Skill!$D:$D, MATCH(DD$4, Skill!$C:$C, 0), 1), "")</f>
        <v/>
      </c>
      <c r="DE24" s="147" t="str">
        <f t="array" ref="DE24">IFERROR(INDEX(Skill!$D:$D, MATCH(DE$4, Skill!$C:$C, 0), 1), "")</f>
        <v/>
      </c>
      <c r="DF24" s="147" t="str">
        <f t="array" ref="DF24">IFERROR(INDEX(Skill!$D:$D, MATCH(DF$4, Skill!$C:$C, 0), 1), "")</f>
        <v/>
      </c>
      <c r="DG24" s="147" t="str">
        <f t="array" ref="DG24">IFERROR(INDEX(Skill!$D:$D, MATCH(DG$4, Skill!$C:$C, 0), 1), "")</f>
        <v/>
      </c>
      <c r="DH24" s="147" t="str">
        <f t="array" ref="DH24">IFERROR(INDEX(Skill!$D:$D, MATCH(DH$4, Skill!$C:$C, 0), 1), "")</f>
        <v/>
      </c>
      <c r="DI24" s="149" t="str">
        <f>IMAGE("http://drive.google.com/uc?export=view&amp;id=1FcMZkz9P-d2sGOIP9AD8bApVpM0bcRKd")</f>
        <v/>
      </c>
      <c r="DJ24" s="150" t="str">
        <f t="array" ref="DJ24">IFERROR(INDEX(Skill!$D:$D, MATCH(DJ$4, Skill!$C:$C, 0), 1), "")</f>
        <v/>
      </c>
      <c r="DK24" s="151" t="str">
        <f t="array" ref="DK24">IFERROR(INDEX(Skill!$D:$D, MATCH(DK$4, Skill!$C:$C, 0), 1), "")</f>
        <v/>
      </c>
      <c r="DL24" s="127" t="str">
        <f t="array" ref="DL24">IFERROR(INDEX(Skill!$D:$D, MATCH(DL$4, Skill!$C:$C, 0), 1), "")</f>
        <v/>
      </c>
      <c r="DM24" s="127" t="str">
        <f t="array" ref="DM24">IFERROR(INDEX(Skill!$D:$D, MATCH(DM$4, Skill!$C:$C, 0), 1), "")</f>
        <v/>
      </c>
      <c r="DN24" s="127" t="str">
        <f t="array" ref="DN24">IFERROR(INDEX(Skill!$D:$D, MATCH(DN$4, Skill!$C:$C, 0), 1), "")</f>
        <v/>
      </c>
      <c r="DO24" s="127" t="str">
        <f t="array" ref="DO24">IFERROR(INDEX(Skill!$D:$D, MATCH(DO$4, Skill!$C:$C, 0), 1), "")</f>
        <v/>
      </c>
      <c r="DP24" s="127" t="str">
        <f t="array" ref="DP24">IFERROR(INDEX(Skill!$D:$D, MATCH(DP$4, Skill!$C:$C, 0), 1), "")</f>
        <v/>
      </c>
      <c r="DQ24" s="152" t="str">
        <f t="array" ref="DQ24">IFERROR(INDEX(Skill!$D:$D, MATCH(DQ$4, Skill!$C:$C, 0), 1), "")</f>
        <v/>
      </c>
      <c r="DR24" s="153" t="str">
        <f t="array" ref="DR24">IFERROR(INDEX(Skill!$D:$D, MATCH(DR$4, Skill!$C:$C, 0), 1), "")</f>
        <v/>
      </c>
      <c r="DS24" s="152" t="str">
        <f t="array" ref="DS24">IFERROR(INDEX(Skill!$D:$D, MATCH(DS$4, Skill!$C:$C, 0), 1), "")</f>
        <v/>
      </c>
      <c r="DT24" s="153" t="str">
        <f t="array" ref="DT24">IFERROR(INDEX(Skill!$D:$D, MATCH(DT$4, Skill!$C:$C, 0), 1), "")</f>
        <v/>
      </c>
      <c r="DU24" s="152" t="str">
        <f t="array" ref="DU24">IFERROR(INDEX(Skill!$D:$D, MATCH(DU$4, Skill!$C:$C, 0), 1), "")</f>
        <v/>
      </c>
      <c r="DV24" s="153" t="str">
        <f t="array" ref="DV24">IFERROR(INDEX(Skill!$D:$D, MATCH(DV$4, Skill!$C:$C, 0), 1), "")</f>
        <v/>
      </c>
      <c r="DW24" s="129" t="str">
        <f t="array" ref="DW24">IFERROR(INDEX(Skill!$D:$D, MATCH(DW$4, Skill!$C:$C, 0), 1), "")</f>
        <v/>
      </c>
      <c r="DX24" s="129" t="str">
        <f t="array" ref="DX24">IFERROR(INDEX(Skill!$D:$D, MATCH(DX$4, Skill!$C:$C, 0), 1), "")</f>
        <v/>
      </c>
      <c r="DY24" s="154" t="str">
        <f t="array" ref="DY24">IFERROR(INDEX(Skill!$D:$D, MATCH(DY$4, Skill!$C:$C, 0), 1), "")</f>
        <v/>
      </c>
      <c r="DZ24" s="155" t="str">
        <f t="array" ref="DZ24">IFERROR(INDEX(Skill!$D:$D, MATCH(DZ$4, Skill!$C:$C, 0), 1), "")</f>
        <v/>
      </c>
      <c r="EA24" s="154" t="str">
        <f t="array" ref="EA24">IFERROR(INDEX(Skill!$D:$D, MATCH(EA$4, Skill!$C:$C, 0), 1), "")</f>
        <v/>
      </c>
      <c r="EB24" s="154" t="str">
        <f t="array" ref="EB24">IFERROR(INDEX(Skill!$D:$D, MATCH(EB$4, Skill!$C:$C, 0), 1), "")</f>
        <v/>
      </c>
      <c r="EC24" s="154" t="str">
        <f t="array" ref="EC24">IFERROR(INDEX(Skill!$D:$D, MATCH(EC$4, Skill!$C:$C, 0), 1), "")</f>
        <v/>
      </c>
      <c r="ED24" s="125" t="str">
        <f t="array" ref="ED24">IFERROR(INDEX(Skill!$D:$D, MATCH(ED$4, Skill!$C:$C, 0), 1), "")</f>
        <v/>
      </c>
      <c r="EE24" s="156"/>
      <c r="EF24" s="132" t="s">
        <v>1068</v>
      </c>
      <c r="EG24" s="132" t="s">
        <v>1069</v>
      </c>
      <c r="EH24" s="132" t="s">
        <v>1068</v>
      </c>
      <c r="EI24" s="132" t="s">
        <v>1069</v>
      </c>
      <c r="EJ24" s="132" t="s">
        <v>1068</v>
      </c>
      <c r="EK24" s="132" t="s">
        <v>1069</v>
      </c>
      <c r="EL24" s="132" t="s">
        <v>1068</v>
      </c>
      <c r="EM24" s="132" t="s">
        <v>1069</v>
      </c>
      <c r="EN24" s="132" t="s">
        <v>1068</v>
      </c>
      <c r="EO24" s="132" t="s">
        <v>1069</v>
      </c>
      <c r="EP24" s="137"/>
      <c r="EQ24" s="122"/>
      <c r="ER24" s="157" t="s">
        <v>1065</v>
      </c>
      <c r="ES24" s="158" t="s">
        <v>1066</v>
      </c>
      <c r="ET24" s="159">
        <f>Option!$D$21</f>
        <v>142000</v>
      </c>
      <c r="EU24" s="160" t="s">
        <v>1042</v>
      </c>
      <c r="EV24" s="158" t="s">
        <v>1041</v>
      </c>
      <c r="EW24" s="158" t="s">
        <v>1052</v>
      </c>
      <c r="EX24" s="158" t="s">
        <v>1043</v>
      </c>
      <c r="EY24" s="161">
        <f>Option!$D$17</f>
        <v>225800</v>
      </c>
      <c r="EZ24" s="160" t="s">
        <v>1042</v>
      </c>
      <c r="FA24" s="158" t="s">
        <v>1041</v>
      </c>
      <c r="FB24" s="158" t="s">
        <v>1052</v>
      </c>
      <c r="FC24" s="158" t="s">
        <v>1043</v>
      </c>
      <c r="FD24" s="161">
        <f>Option!$D$18</f>
        <v>225800</v>
      </c>
      <c r="FE24" s="160" t="s">
        <v>1042</v>
      </c>
      <c r="FF24" s="158" t="s">
        <v>1041</v>
      </c>
      <c r="FG24" s="158" t="s">
        <v>1052</v>
      </c>
      <c r="FH24" s="158" t="s">
        <v>1043</v>
      </c>
      <c r="FI24" s="161">
        <f>Option!$D$19</f>
        <v>225800</v>
      </c>
      <c r="FJ24" s="160" t="s">
        <v>1042</v>
      </c>
      <c r="FK24" s="158" t="s">
        <v>1041</v>
      </c>
      <c r="FL24" s="158" t="s">
        <v>1052</v>
      </c>
      <c r="FM24" s="158" t="s">
        <v>1043</v>
      </c>
      <c r="FN24" s="161">
        <f>Option!$D$20</f>
        <v>225800</v>
      </c>
      <c r="FO24" s="162"/>
    </row>
    <row r="25">
      <c r="B25" s="229"/>
      <c r="C25" s="217">
        <f t="shared" ref="C25:C76" si="1">IFERROR(C$3+D25, D25)</f>
        <v>0</v>
      </c>
      <c r="D25" s="242"/>
      <c r="E25" s="243"/>
      <c r="F25" s="167"/>
      <c r="G25" s="168" t="str">
        <f t="shared" ref="G25:G76" si="2">SWITCH(F25,
"Physical", image("https://xivapi.com/i/060000/060011.png"),
"Magic", image("https://xivapi.com/i/060000/060012.png"),
"Unique", image("https://xivapi.com/i/060000/060013.png"),
"")</f>
        <v/>
      </c>
      <c r="H25" s="169"/>
      <c r="I25" s="169"/>
      <c r="J25" s="169"/>
      <c r="K25" s="170" t="b">
        <v>0</v>
      </c>
      <c r="L25" s="170" t="b">
        <v>0</v>
      </c>
      <c r="M25" s="170" t="b">
        <v>0</v>
      </c>
      <c r="N25" s="171" t="s">
        <v>1070</v>
      </c>
      <c r="O25" s="172" t="b">
        <v>0</v>
      </c>
      <c r="P25" s="173" t="b">
        <v>0</v>
      </c>
      <c r="Q25" s="173" t="b">
        <v>0</v>
      </c>
      <c r="R25" s="173" t="b">
        <v>0</v>
      </c>
      <c r="S25" s="174" t="b">
        <v>0</v>
      </c>
      <c r="T25" s="175" t="b">
        <v>0</v>
      </c>
      <c r="U25" s="173" t="b">
        <v>0</v>
      </c>
      <c r="V25" s="171" t="s">
        <v>1070</v>
      </c>
      <c r="W25" s="172" t="b">
        <v>0</v>
      </c>
      <c r="X25" s="173" t="b">
        <v>0</v>
      </c>
      <c r="Y25" s="173" t="b">
        <v>0</v>
      </c>
      <c r="Z25" s="173" t="b">
        <v>0</v>
      </c>
      <c r="AA25" s="174" t="b">
        <v>0</v>
      </c>
      <c r="AB25" s="174" t="b">
        <v>0</v>
      </c>
      <c r="AC25" s="175" t="b">
        <v>0</v>
      </c>
      <c r="AD25" s="173" t="b">
        <v>0</v>
      </c>
      <c r="AE25" s="176" t="s">
        <v>1070</v>
      </c>
      <c r="AF25" s="171" t="s">
        <v>1070</v>
      </c>
      <c r="AG25" s="177">
        <f>IFERROR(__xludf.DUMMYFUNCTION("IF(
  ISNUMBER(#REF!),
  MIN(MAX(
    #REF!
    + MAX(
      ROUNDDOWN(($D25 - MAX(IFERROR(FILTER($D$24:$D24, AG$24:AG24 &lt;&gt; AF$6, AG$23:AG24 = AF$6), 0))) * (60 * 60 * 24) / AF$9) - ROUNDDOWN((#REF! - MAX(IFERROR(FILTER($D$23:$D24, AG$23:AG24 &lt;&gt; AF$6, AG$"&amp;"22:AG24 = AF$6), 0))) * (60 * 60 * 24) / 60),
      0
    )
    - COUNTIF(AF25, ""&lt;&gt;-""),
  0), AF$6),
  AF$6 - COUNTIF(AF25, ""&lt;&gt;-"")
)"),2.0)</f>
        <v>2</v>
      </c>
      <c r="AH25" s="173" t="b">
        <v>0</v>
      </c>
      <c r="AI25" s="173" t="b">
        <v>0</v>
      </c>
      <c r="AJ25" s="173" t="b">
        <v>0</v>
      </c>
      <c r="AK25" s="174" t="b">
        <v>0</v>
      </c>
      <c r="AL25" s="175" t="b">
        <v>0</v>
      </c>
      <c r="AM25" s="173" t="b">
        <v>0</v>
      </c>
      <c r="AN25" s="171" t="s">
        <v>1070</v>
      </c>
      <c r="AO25" s="173" t="b">
        <v>0</v>
      </c>
      <c r="AP25" s="173" t="b">
        <v>0</v>
      </c>
      <c r="AQ25" s="173" t="b">
        <v>0</v>
      </c>
      <c r="AR25" s="174" t="b">
        <v>0</v>
      </c>
      <c r="AS25" s="178" t="b">
        <v>0</v>
      </c>
      <c r="AT25" s="179" t="b">
        <v>0</v>
      </c>
      <c r="AU25" s="180" t="b">
        <v>0</v>
      </c>
      <c r="AV25" s="180" t="b">
        <v>0</v>
      </c>
      <c r="AW25" s="180" t="b">
        <v>0</v>
      </c>
      <c r="AX25" s="180" t="b">
        <v>0</v>
      </c>
      <c r="AY25" s="181" t="s">
        <v>1070</v>
      </c>
      <c r="AZ25" s="181" t="s">
        <v>1070</v>
      </c>
      <c r="BA25" s="184">
        <f>IFERROR(__xludf.DUMMYFUNCTION("IF(
  ISNUMBER(#REF!),
  MIN(MAX(
    #REF!
    + MAX(
      ROUNDDOWN((D25 - MAX(IFERROR(FILTER(D$24:D24, BA$24:BA24 &lt;&gt; AZ$6, BA$23:BA24 = AZ$6), 0))) * (60 * 60 * 24) / AZ$9) - ROUNDDOWN((#REF! - MAX(IFERROR(FILTER(D$23:D24, BA$23:BA24 &lt;&gt; AZ$6, BA$22:BA"&amp;"24 = AZ$6), 0))) * (60 * 60 * 24) / AZ$9),
      0
    )
    - COUNTIF(AZ25, ""&lt;&gt;-""),
  0), AZ$6),
  AZ$6 - COUNTIF(AZ25, ""&lt;&gt;-"")
)"),2.0)</f>
        <v>2</v>
      </c>
      <c r="BB25" s="181" t="s">
        <v>1070</v>
      </c>
      <c r="BC25" s="183">
        <f>IFERROR(__xludf.DUMMYFUNCTION("IF(
  ISNUMBER(#REF!),
  MIN(MAX(
    #REF!
    + MAX(
      ROUNDDOWN(($D25 - MAX(IFERROR(FILTER($D$24:$D24, BC$24:BC24 &lt;&gt; BB$6, BC$23:BC24 = BB$6), 0))) * (60 * 60 * 24) / BB$9) - ROUNDDOWN((#REF! - MAX(IFERROR(FILTER($D$23:$D24, BC$23:BC24 &lt;&gt; BB$6, BC$"&amp;"22:BC24 = BB$6), 0))) * (60 * 60 * 24) / 60),
      0
    )
    - COUNTIF(BB25, ""&lt;&gt;-""),
  0), BB$6),
  BB$6 - COUNTIF(BB25, ""&lt;&gt;-"")
)"),2.0)</f>
        <v>2</v>
      </c>
      <c r="BD25" s="181" t="s">
        <v>1070</v>
      </c>
      <c r="BE25" s="178" t="b">
        <v>0</v>
      </c>
      <c r="BF25" s="180" t="b">
        <v>0</v>
      </c>
      <c r="BG25" s="180" t="b">
        <v>0</v>
      </c>
      <c r="BH25" s="180" t="b">
        <v>0</v>
      </c>
      <c r="BI25" s="180" t="b">
        <v>0</v>
      </c>
      <c r="BJ25" s="180" t="b">
        <v>0</v>
      </c>
      <c r="BK25" s="180" t="b">
        <v>0</v>
      </c>
      <c r="BL25" s="180" t="b">
        <v>0</v>
      </c>
      <c r="BM25" s="180" t="b">
        <v>0</v>
      </c>
      <c r="BN25" s="180" t="b">
        <v>0</v>
      </c>
      <c r="BO25" s="181" t="s">
        <v>1070</v>
      </c>
      <c r="BP25" s="181" t="s">
        <v>1070</v>
      </c>
      <c r="BQ25" s="181" t="s">
        <v>1070</v>
      </c>
      <c r="BR25" s="181" t="s">
        <v>1070</v>
      </c>
      <c r="BS25" s="181" t="s">
        <v>1070</v>
      </c>
      <c r="BT25" s="184">
        <f>IFERROR(__xludf.DUMMYFUNCTION("IF(
  ISNUMBER(#REF!),
  MIN(MAX(
    #REF!
    + MAX(
      ROUNDDOWN((D25 - MAX(IFERROR(FILTER(D$24:D24, BT$24:BT24 &lt;&gt; BS$6, BT$23:BT24 = BS$6), 0))) * (60 * 60 * 24) / BS$9) - ROUNDDOWN((#REF! - MAX(IFERROR(FILTER(D$23:D24, BT$23:BT24 &lt;&gt; BS$6, BT$22:BT"&amp;"24 = BS$6), 0))) * (60 * 60 * 24) / BS$9),
      0
    )
    - COUNTIF(BS25, ""&lt;&gt;-""),
  0), BS$6),
  BS$6 - COUNTIF(BS25, ""&lt;&gt;-"")
)"),3.0)</f>
        <v>3</v>
      </c>
      <c r="BU25" s="181" t="s">
        <v>1070</v>
      </c>
      <c r="BV25" s="181" t="s">
        <v>1070</v>
      </c>
      <c r="BW25" s="184">
        <f>IFERROR(__xludf.DUMMYFUNCTION("IF(
  ISNUMBER(#REF!),
  MIN(MAX(
    #REF!
    + MAX(
      ROUNDDOWN((D25 - MAX(IFERROR(FILTER(D$24:D24, BW$24:BW24 &lt;&gt; BV$6, BW$23:BW24 = BV$6), 0))) * (60 * 60 * 24) / BV$9) - ROUNDDOWN((#REF! - MAX(IFERROR(FILTER(D$23:D24, BW$23:BW24 &lt;&gt; BV$6, BW$22:BW"&amp;"24 = BV$6), 0))) * (60 * 60 * 24) / BV$9),
      0
    )
    - COUNTIF(BV25, ""&lt;&gt;-""),
  0), BV$6),
  BV$6 - COUNTIF(BV25, ""&lt;&gt;-"")
)"),2.0)</f>
        <v>2</v>
      </c>
      <c r="BX25" s="185" t="s">
        <v>1070</v>
      </c>
      <c r="BY25" s="178" t="b">
        <v>0</v>
      </c>
      <c r="BZ25" s="180" t="b">
        <v>0</v>
      </c>
      <c r="CA25" s="180" t="b">
        <v>0</v>
      </c>
      <c r="CB25" s="180" t="b">
        <v>0</v>
      </c>
      <c r="CC25" s="180" t="b">
        <v>0</v>
      </c>
      <c r="CD25" s="180" t="b">
        <v>0</v>
      </c>
      <c r="CE25" s="180" t="b">
        <v>0</v>
      </c>
      <c r="CF25" s="180" t="b">
        <v>0</v>
      </c>
      <c r="CG25" s="180" t="b">
        <v>0</v>
      </c>
      <c r="CH25" s="180" t="b">
        <v>0</v>
      </c>
      <c r="CI25" s="180" t="b">
        <v>0</v>
      </c>
      <c r="CJ25" s="180" t="b">
        <v>0</v>
      </c>
      <c r="CK25" s="180" t="b">
        <v>0</v>
      </c>
      <c r="CL25" s="180" t="b">
        <v>0</v>
      </c>
      <c r="CM25" s="181" t="s">
        <v>1070</v>
      </c>
      <c r="CN25" s="181" t="s">
        <v>1070</v>
      </c>
      <c r="CO25" s="181" t="s">
        <v>1070</v>
      </c>
      <c r="CP25" s="181" t="s">
        <v>1070</v>
      </c>
      <c r="CQ25" s="185" t="s">
        <v>1070</v>
      </c>
      <c r="CR25" s="180" t="b">
        <v>0</v>
      </c>
      <c r="CS25" s="186" t="str">
        <f t="array" ref="CS25">SWITCH(
    IF(OR(AND(CI25, #REF!&lt;&gt;TRUE), CR25), 3, IF(ISTEXT(#REF!), FIND("◇", #REF!&amp;"◇") - 1, 0))
  - COUNTIFS({BZ25,CE25}, "=TRUE", {#REF!,#REF!}, "&lt;&gt;TRUE")
  - COUNTIF({CN25,CQ25}, "&lt;&gt;-")
  + IF(COUNTIFS({BZ25,CE25}, "=TRUE", {#REF!,#REF!}, "&lt;&gt;TRUE") + COUNTIF({CN25,CQ25}, "&lt;&gt;-"), COUNTIFS(CJ25, "=TRUE", #REF!, "&lt;&gt;TRUE"), 0),
  0, "◇◇◇", 1, "◆◇◇", 2, "◆◆◇", 3, "◆◆◆", "◇◇◇"
)</f>
        <v>#REF!</v>
      </c>
      <c r="CT25" s="178" t="b">
        <v>0</v>
      </c>
      <c r="CU25" s="180" t="b">
        <v>0</v>
      </c>
      <c r="CV25" s="180" t="b">
        <v>0</v>
      </c>
      <c r="CW25" s="180" t="b">
        <v>0</v>
      </c>
      <c r="CX25" s="180" t="b">
        <v>0</v>
      </c>
      <c r="CY25" s="180" t="b">
        <v>0</v>
      </c>
      <c r="CZ25" s="180" t="b">
        <v>0</v>
      </c>
      <c r="DA25" s="180" t="b">
        <v>0</v>
      </c>
      <c r="DB25" s="180" t="b">
        <v>0</v>
      </c>
      <c r="DC25" s="180" t="b">
        <v>0</v>
      </c>
      <c r="DD25" s="181" t="s">
        <v>1070</v>
      </c>
      <c r="DE25" s="181" t="s">
        <v>1070</v>
      </c>
      <c r="DF25" s="181" t="s">
        <v>1070</v>
      </c>
      <c r="DG25" s="185" t="s">
        <v>1070</v>
      </c>
      <c r="DH25" s="180" t="b">
        <v>0</v>
      </c>
      <c r="DI25" s="187" t="str">
        <f>IFERROR(__xludf.DUMMYFUNCTION("SWITCH(
  IF(
    ISTEXT(#REF!),
    IF (
      FIND(""○"", #REF!&amp;""○"") &gt; 3,
      3,
      FIND(""○"", #REF!&amp;""○"")
      + MAX(
        ROUNDDOWN(($D25 - MAX(IFERROR(FILTER(D$24:D24, DI$24:DI24 &lt;&gt; ""●●●"", DI$23:DI24 = ""●●●""), 0))) * (60 * 60 * 24) /"&amp;" 20) - ROUNDDOWN((#REF! - MAX(IFERROR(FILTER(D$23:D24, DI$23:DI24 &lt;&gt; ""●●●"", DI$22:DI24 = ""●●●""), 0))) * (60 * 60 * 24) / 20),
        0
      ) - 1
    ) - COUNTIFS(CU25, ""=TRUE"", #REF!, ""&lt;&gt;TRUE"") - COUNTIF(CZ25, ""=TRUE"") - COUNTIF({DD25,DE25}, "&amp;"""&lt;&gt;-"") + COUNTIF(DH25, ""=TRUE""),
    3
  ),
  0, ""○○○"", 1, ""●○○"", 2, ""●●○"", 3, ""●●●"", 4, ""●●●"", ""○○○""
)"),"●●●")</f>
        <v>●●●</v>
      </c>
      <c r="DJ25" s="188" t="b">
        <v>0</v>
      </c>
      <c r="DK25" s="189" t="b">
        <v>0</v>
      </c>
      <c r="DL25" s="190" t="b">
        <v>0</v>
      </c>
      <c r="DM25" s="190" t="b">
        <v>0</v>
      </c>
      <c r="DN25" s="190" t="b">
        <v>0</v>
      </c>
      <c r="DO25" s="190" t="b">
        <v>0</v>
      </c>
      <c r="DP25" s="190" t="b">
        <v>0</v>
      </c>
      <c r="DQ25" s="191" t="b">
        <v>0</v>
      </c>
      <c r="DR25" s="192" t="b">
        <v>0</v>
      </c>
      <c r="DS25" s="191" t="b">
        <v>0</v>
      </c>
      <c r="DT25" s="192" t="b">
        <v>0</v>
      </c>
      <c r="DU25" s="191" t="b">
        <v>0</v>
      </c>
      <c r="DV25" s="193" t="s">
        <v>1070</v>
      </c>
      <c r="DW25" s="194" t="b">
        <v>0</v>
      </c>
      <c r="DX25" s="194" t="b">
        <v>0</v>
      </c>
      <c r="DY25" s="195" t="b">
        <v>0</v>
      </c>
      <c r="DZ25" s="196" t="b">
        <v>0</v>
      </c>
      <c r="EA25" s="195" t="b">
        <v>0</v>
      </c>
      <c r="EB25" s="197" t="b">
        <v>0</v>
      </c>
      <c r="EC25" s="197" t="b">
        <v>0</v>
      </c>
      <c r="ED25" s="212" t="b">
        <v>0</v>
      </c>
      <c r="EE25" s="199">
        <f>IFERROR(__xludf.DUMMYFUNCTION("IFERROR(
   PRODUCT(
     MAP(
       INDEX(TRANSPOSE(UNIQUE(TRANSPOSE(FILTER({IF($F25=""Physical"", K$10:ED$10, IF($F25=""Magic"", K$11:ED$11, K$12:ED$12));K$4:ED$4;K25:ED25}, K25:ED25=TRUE)))), 1, 0),
       INDEX(TRANSPOSE(UNIQUE(TRANSPOSE(FILTER({IF($"&amp;"F25=""Physical"", K$18:ED$18, IF($F25=""Magic"", K$19:ED$19, K$20:ED$20));K$4:ED$4;K25:ED25}, K25:ED25=TRUE)))), 1, 0),
       INDEX(TRANSPOSE(UNIQUE(TRANSPOSE(FILTER({K$5:ED$5;K$4:ED$4;K25:ED25}, K25:ED25=TRUE)))), 1, 0),
       INDEX(TRANSPOSE(UNIQUE(TR"&amp;"ANSPOSE(FILTER({K$17:ED$17;K$4:ED$4;K25:ED25}, K25:ED25=TRUE)))), 1, 0),
       LAMBDA(
         mitigation,
         enhance,
         assign,
         precondition,
         IF(
           REGEXMATCH(assign, ""RANGE_PARTY|SINGLE_ENEMY|RANGE_ENEMY""),
  "&amp;"         IF(
             OR(ARRAYFORMULA((IF(precondition="""", FALSE, REGEXMATCH(K$4:ED$4, precondition))) * (K25:ED25=TRUE))),
             IF(ISNUMBER(enhance), enhance, 1),
             IF(ISNUMBER(mitigation), mitigation, 1)
           ),
          "&amp;" 1
         )
       )
     )
   ),
   1
 )"),1.0)</f>
        <v>1</v>
      </c>
      <c r="EF25" s="200" t="str">
        <f>IFERROR(__xludf.DUMMYFUNCTION("PRODUCT(
   MAP(
     K$14:ED$14,
     K$13:ED$13,
     K25:ED25,
     LAMBDA(
       buff,
       target,
       check,
       IF(
         AND(check=TRUE, REGEXMATCH(target, ""RANGE_AFFECTED_ALL|RANGE_EFFECTED_ALL""), ISNUMBER(buff)),
         buff,
   "&amp;"      1
       )
     )
   )
 )"),"#REF!")</f>
        <v>#REF!</v>
      </c>
      <c r="EG25" s="200" t="str">
        <f>IFERROR(__xludf.DUMMYFUNCTION("PRODUCT(
   MAP(
     K$14:ED$14,
     K$13:ED$13,
     K25:ED25,
     LAMBDA(
       buff,
       target,
       check,
       IF(
         AND(check=TRUE, REGEXMATCH(target, ""RANGE_AFFECTED_GCD|RANGE_EFFECTED_GCD""), ISNUMBER(buff)),
         buff,
   "&amp;"      1
       )
     )
   )
 )"),"#REF!")</f>
        <v>#REF!</v>
      </c>
      <c r="EH25" s="200" t="str">
        <f>IFERROR(__xludf.DUMMYFUNCTION("PRODUCT(
   MAP(
     K$3:ED$3,
     K$14:ED$14,
     K$13:ED$13,
     K25:ED25,
     LAMBDA(
       job,
       buff,
       target,
       check,
       IF(
         AND(check=TRUE, REGEXMATCH(target, ""SELF_EFFECTED_ALL""), ISNUMBER(buff), job=""白魔道士"""&amp;"),
         buff,
         1
       )
     )
   )
 )"),"#REF!")</f>
        <v>#REF!</v>
      </c>
      <c r="EI25" s="200" t="str">
        <f>IFERROR(__xludf.DUMMYFUNCTION("PRODUCT(
   MAP(
     K$3:ED$3,
     K$14:ED$14,
     K$13:ED$13,
     K25:ED25,
     LAMBDA(
       job,
       buff,
       target,
       check,
       IF(
         AND(check=TRUE, REGEXMATCH(target, ""SELF_EFFECTED_GCD""), ISNUMBER(buff), job=""白魔道士"""&amp;"),
         buff,
         1
       )
     )
   )
 )"),"#REF!")</f>
        <v>#REF!</v>
      </c>
      <c r="EJ25" s="200" t="str">
        <f>IFERROR(__xludf.DUMMYFUNCTION("PRODUCT(
   MAP(
     K$3:ED$3,
     K$14:ED$14,
     K$13:ED$13,
     K25:ED25,
     LAMBDA(
       job,
       buff,
       target,
       check,
       IF(
         AND(check=TRUE, REGEXMATCH(target, ""SELF_EFFECTED_ALL""), ISNUMBER(buff), job=""占星術師"""&amp;"),
         buff,
         1
       )
     )
   )
 )"),"#REF!")</f>
        <v>#REF!</v>
      </c>
      <c r="EK25" s="200" t="str">
        <f>IFERROR(__xludf.DUMMYFUNCTION("PRODUCT(
   MAP(
     K$3:ED$3,
     K$14:ED$14,
     K$13:ED$13,
     K25:ED25,
     LAMBDA(
       job,
       buff,
       target,
       check,
       IF(
         AND(check=TRUE, REGEXMATCH(target, ""SELF_EFFECTED_GCD""), ISNUMBER(buff), job=""占星術師"""&amp;"),
         buff,
         1
       )
     )
   )
 )"),"#REF!")</f>
        <v>#REF!</v>
      </c>
      <c r="EL25" s="200" t="str">
        <f>IFERROR(__xludf.DUMMYFUNCTION("PRODUCT(
   MAP(
     K$3:ED$3,
     K$14:ED$14,
     K$13:ED$13,
     K25:ED25,
     LAMBDA(
       job,
       buff,
       target,
       check,
       IF(
         AND(check=TRUE, REGEXMATCH(target, ""SELF_EFFECTED_ALL""), ISNUMBER(buff), job=""学者""),"&amp;"
         buff,
         1
       )
     )
   )
 )"),"#REF!")</f>
        <v>#REF!</v>
      </c>
      <c r="EM25" s="200" t="str">
        <f>IFERROR(__xludf.DUMMYFUNCTION("PRODUCT(
   MAP(
     K$3:ED$3,
     K$14:ED$14,
     K$13:ED$13,
     K25:ED25,
     LAMBDA(
       job,
       buff,
       target,
       check,
       IF(
         AND(check=TRUE, REGEXMATCH(target, ""SELF_EFFECTED_GCD""), ISNUMBER(buff), job=""学者""),"&amp;"
         buff,
         1
       )
     )
   )
 )"),"#REF!")</f>
        <v>#REF!</v>
      </c>
      <c r="EN25" s="200" t="str">
        <f>IFERROR(__xludf.DUMMYFUNCTION("PRODUCT(
   MAP(
     K$3:ED$3,
     K$14:ED$14,
     K$13:ED$13,
     K25:ED25,
     LAMBDA(
       job,
       buff,
       target,
       check,
       IF(
         AND(check=TRUE, REGEXMATCH(target, ""SELF_EFFECTED_ALL""), ISNUMBER(buff), job=""賢者""),"&amp;"
         buff,
         1
       )
     )
   )
 )"),"#REF!")</f>
        <v>#REF!</v>
      </c>
      <c r="EO25" s="200" t="str">
        <f>IFERROR(__xludf.DUMMYFUNCTION("PRODUCT(
   MAP(
     K$3:ED$3,
     K$14:ED$14,
     K$13:ED$13,
     K25:ED25,
     LAMBDA(
       job,
       buff,
       target,
       check,
       IF(
         AND(check=TRUE, REGEXMATCH(target, ""SELF_EFFECTED_GCD""), ISNUMBER(buff), job=""賢者""),"&amp;"
         buff,
         1
       )
     )
   )
 )"),"#REF!")</f>
        <v>#REF!</v>
      </c>
      <c r="EP25" s="201">
        <f t="shared" ref="EP25:EP76" si="3">H25*EE25</f>
        <v>0</v>
      </c>
      <c r="EQ25" s="201" t="str">
        <f>IFERROR(__xludf.DUMMYFUNCTION("SUM(
   MAP(
     K$4:ED$4,
     K$3:ED$3,
     K$7:ED$7,
     K$15:ED$15,
     K$16:ED$16,
     K$21:ED$21,
     K$5:ED$5,
     K$17:ED$17,
     K25:ED25,
     LAMBDA(
       name,
       job,
       abillity,
       buff,
       barrier,
       enhance,"&amp;"
       assign,
       precondition,
       check,
       SWITCH(
         name,
         ""シェイクオフ"", IF(check=TRUE, buff + (0.02 * COUNTIF(ARRAYFORMULA((REGEXMATCH($K$4:$ED$4, ""スリル・オブ・バトル|ヴェンジェンス|原初の血気|ダムネーション"")) * (K25:ED25=TRUE)), 1)), 0),
         "&amp;"""インプロビゼーションフィニッシュ(踊りの激情0)"", IF(ISNUMBER(check), INDEX(Skill!$AJ:$AJ, MATCH(SUBSTITUTE(DV$4, 0, check), Skill!$C:$C, 0)), 0),
         IF(
           AND(check=TRUE, REGEXMATCH(assign, ""RANGE_PARTY"")),
           IF(
             OR(ARRAYFORMULA((IF(pr"&amp;"econdition="""", FALSE, REGEXMATCH($K$4:$ED$4, precondition))) * (K25:ED25=TRUE))),
             enhance,
             IF(barrier="""", buff, barrier)
           ),
           0
         )
       ) *
       SWITCH(
         job,
         ""ナイト"", EY$24,
 "&amp;"        ""戦士"", FD$24,
         ""踊り子"", ET$24,
         ""ピクトマンサー"", ET$24,
         ""白魔道士"", EF25 * EH25 * IF(abillity, 1, EG25 * EI25) * (Option!$D$22 * 0.81 / 100),
         ""占星術師"", EF25 * EJ25 * IF(abillity, 1, EG25 * EK25) * (Option!$D$23 * 0.81 "&amp;"/ 100),
         ""学者"", EF25 * EL25 * IF(abillity, 1, EG25 * EM25) * (Option!$D$24 * 0.81 / 100),
         ""賢者"", EF25 * EN25 * IF(abillity, 1, EG25 * EO25) * (Option!$D$25 * 0.81 / 100),
         1
       )
     )
   )
 )"),"#REF!")</f>
        <v>#REF!</v>
      </c>
      <c r="ER25" s="202" t="str">
        <f t="shared" ref="ER25:ER76" si="4">IF(EP25 &lt; EQ25, 0, EP25 - EQ25)</f>
        <v>#REF!</v>
      </c>
      <c r="ES25" s="203">
        <f t="shared" ref="ES25:ES76" si="5">I25*J25*EE25</f>
        <v>0</v>
      </c>
      <c r="ET25" s="231" t="str">
        <f>IFERROR(__xludf.DUMMYFUNCTION("IFS(
  EP25 &gt; $ET$24 + EQ25,
  SPARKLINE({ 1, 0 }, {""charttype"",""bar"";""max"", 1;""color1"",Option!$D$30;""color2"",Option!$D$30}),
  EP25 &lt; EQ25,
  SPARKLINE({EQ25 - EP25, $ET$24 - (EQ25 - EP25)}, {""charttype"",""bar"";""max"",$ET$24;""color1"",Opti"&amp;"on!$D$28;""color2"",Option!$D$29}),
  EP25 &gt;= EQ25,
  SPARKLINE({$ET$24 + EQ25 - EP25,EP25 - EQ25}, {""charttype"",""bar"";""max"",$ET$24;""color1"",Option!$D$29;""color2"",Option!$D$30})
)"),"#REF!")</f>
        <v>#REF!</v>
      </c>
      <c r="EU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job=""ナイト""), AND(check=Option!$E$13, REGEXMATCH(assign, ""SINGLE_PARTY""))),
      "&amp;"   IF(
           OR(ARRAYFORMULA((IF(precondition="""", FALSE, REGEXMATCH($K$4:$ED$4, precondition))) * (K25:ED25=TRUE))),
           enhance,
           mitigation
         ),
         1
       )
     )
   )
 ) * EE25"),"#REF!")</f>
        <v>#REF!</v>
      </c>
      <c r="EV25" s="206" t="str">
        <f t="shared" ref="EV25:EV76" si="6">H25 * EU25 * 0.8</f>
        <v>#REF!</v>
      </c>
      <c r="EW25" s="205" t="str">
        <f>IFERROR(__xludf.DUMMYFUNCTION("PRODUCT(
   MAP(
     K$3:ED$3,
     K$14:ED$14,
     K$13:ED$13,
     K25:ED25,
     LAMBDA(
       job,
       buff,
       target,
       check,
       IF(
         OR(AND(check=TRUE, REGEXMATCH(target, ""SELF_AFFECTED_ALL""), job=""ナイト""), AND(check=O"&amp;"ption!$E$13, REGEXMATCH(target, ""SINGLE_AFFECTED_ALL""))),
         buff,
         1
       )
     )
   )
 )"),"#REF!")</f>
        <v>#REF!</v>
      </c>
      <c r="EX25" s="206" t="str">
        <f>IFERROR(__xludf.DUMMYFUNCTION("SUM(
   MAP(
     K$3:ED$3,
     K$7:ED$7,
     K$15:ED$15,
     K$16:ED$16,
     K$21:ED$21,
     K$5:ED$5,
     K$17:ED$17,
     K25:ED25,
     LAMBDA(
       job,
       abillity,
       buff,
       barrier,
       enhance,
       assign,
       preco"&amp;"ndition,
       check,
       IF(
         OR(AND(check=TRUE, REGEXMATCH(assign, ""SELF""), job=""ナイト""), AND(check=Option!$E$13, REGEXMATCH(assign, ""SINGLE_PARTY""))),
         IF(
           OR(ARRAYFORMULA((IF(precondition="""", FALSE, REGEXMATCH($K$4"&amp;":$ED$4, precondition))) * (K25:ED25=TRUE))),
           enhance,
           IF(barrier="""", buff, barrier)
         ),
         0
       ) *
       SWITCH(
         job,
         ""暗黒騎士"", EY$24,
         ""白魔道士"", EF25 * EH25 * EW25 * IF(abillity, 1, EG"&amp;"25 * EI25) * (Option!$D$22 * 0.81 / 100),
         ""占星術師"", EF25 * EJ25 * EW25 * IF(abillity, 1, EG25 * EK25) * (Option!$D$23 * 0.81 / 100),
         ""学者"", EF25 * EL25 * EW25 * IF(abillity, 1, EG25 * EM25) * (Option!$D$24 * 0.81 / 100),
         ""賢者"""&amp;", EF25 * EN25 * EW25 * IF(abillity, 1, EG25 * EO25) * (Option!$D$25 * 0.81 / 100),
         1
       )
     )
   )
 ) + EQ25"),"#REF!")</f>
        <v>#REF!</v>
      </c>
      <c r="EY25" s="232" t="str">
        <f t="shared" ref="EY25:EY76" si="7">MAX(EV25 - EX25, 0)</f>
        <v>#REF!</v>
      </c>
      <c r="EZ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job=""戦士""), AND(check=Option!$F$13, REGEXMATCH(assign, ""SINGLE_PARTY""))),
       "&amp;"  IF(
           OR(ARRAYFORMULA((IF(precondition="""", FALSE, REGEXMATCH($K$4:$ED$4, precondition))) * (K25:ED25=TRUE))),
           enhance,
           mitigation
         ),
         1
       )
     )
   )
 ) * EE25"),"#REF!")</f>
        <v>#REF!</v>
      </c>
      <c r="FA25" s="206" t="str">
        <f t="shared" ref="FA25:FA76" si="8">H25 * EZ25 * 0.8</f>
        <v>#REF!</v>
      </c>
      <c r="FB25" s="205" t="str">
        <f>IFERROR(__xludf.DUMMYFUNCTION("PRODUCT(
   MAP(
     K$3:ED$3,
     K$14:ED$14,
     K$13:ED$13,
     K25:ED25,
     LAMBDA(
       job,
       buff,
       target,
       check,
       IF(
         OR(AND(check=TRUE, REGEXMATCH(target, ""SELF_AFFECTED_ALL""), job=""戦士""), AND(check=Op"&amp;"tion!$F$13, REGEXMATCH(target, ""SINGLE_AFFECTED_ALL""))),
         buff,
         1
       )
     )
   )
 )"),"#REF!")</f>
        <v>#REF!</v>
      </c>
      <c r="FC25" s="206" t="str">
        <f>IFERROR(__xludf.DUMMYFUNCTION("SUM(
   MAP(
     K$3:ED$3,
     K$7:ED$7,
     K$15:ED$15,
     K$16:ED$16,
     K$21:ED$21,
     K$5:ED$5,
     K$17:ED$17,
     K25:ED25,
     LAMBDA(
       job,
       abillity,
       buff,
       barrier,
       enhance,
       assign,
       preco"&amp;"ndition,
       check,
       IF(
         OR(AND(check=TRUE, REGEXMATCH(assign, ""SELF""), job=""戦士""), AND(check=Option!$F$13, REGEXMATCH(assign, ""SINGLE_PARTY""))),
         IF(
           OR(ARRAYFORMULA((IF(precondition="""", FALSE, REGEXMATCH($K$4:"&amp;"$ED$4, precondition))) * (K25:ED25=TRUE))),
           enhance,
           IF(barrier="""", buff, barrier)
         ),
         0
       ) *
       SWITCH(
         job,
         ""暗黒騎士"", FD$24,
         ""白魔道士"", EF25 * EH25 * FB25 * IF(abillity, 1, EG2"&amp;"5 * EI25) * (Option!$D$22 * 0.81 / 100),
         ""占星術師"", EF25 * EJ25 * FFB25 * IF(abillity, 1, EG25 * EK25) * (Option!$D$23 * 0.81 / 100),
         ""学者"", EF25 * EL25 * FB25 * IF(abillity, 1, EG25 * EM25) * (Option!$D$24 * 0.81 / 100),
         ""賢者"""&amp;", EF25 * EN25 * FB25 * IF(abillity, 1, EG25 * EO25) * (Option!$D$25 * 0.81 / 100),
         1
       )
     )
   )
 ) + EQ25"),"#REF!")</f>
        <v>#REF!</v>
      </c>
      <c r="FD25" s="206" t="str">
        <f t="shared" ref="FD25:FD76" si="9">MAX(FA25 - FC25, 0)</f>
        <v>#REF!</v>
      </c>
      <c r="FE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job=""暗黒騎士""), AND(check=Option!$G$13, REGEXMATCH(assign, ""SINGLE_PARTY""))),
     "&amp;"    IF(
           OR(ARRAYFORMULA((IF(precondition="""", FALSE, REGEXMATCH($K$4:$ED$4, precondition))) * (K25:ED25=TRUE))),
           enhance,
           mitigation
         ),
         1
       )
     )
   )
 ) * EE25"),"#REF!")</f>
        <v>#REF!</v>
      </c>
      <c r="FF25" s="206" t="str">
        <f t="shared" ref="FF25:FF76" si="10">H25 * FE25 * 0.8</f>
        <v>#REF!</v>
      </c>
      <c r="FG25" s="205" t="str">
        <f>IFERROR(__xludf.DUMMYFUNCTION("PRODUCT(
   MAP(
     K$3:ED$3,
     K$14:ED$14,
     K$13:ED$13,
     K25:ED25,
     LAMBDA(
       job,
       buff,
       target,
       check,
       IF(
         OR(AND(check=TRUE, REGEXMATCH(target, ""SELF_AFFECTED_ALL""), job=""暗黒騎士""), AND(check="&amp;"Option!$G$13, REGEXMATCH(target, ""SINGLE_AFFECTED_ALL""))),
         buff,
         1
       )
     )
   )
 )"),"#REF!")</f>
        <v>#REF!</v>
      </c>
      <c r="FH25" s="206" t="str">
        <f>IFERROR(__xludf.DUMMYFUNCTION("SUM(
   MAP(
     K$3:ED$3,
     K$7:ED$7,
     K$15:ED$15,
     K$16:ED$16,
     K$21:ED$21,
     K$5:ED$5,
     K$17:ED$17,
     K25:ED25,
     LAMBDA(
       job,
       abillity,
       buff,
       barrier,
       enhance,
       assign,
       preco"&amp;"ndition,
       check,
       IF(
         OR(AND(check=TRUE, REGEXMATCH(assign, ""SELF""), job=""暗黒騎士""), AND(check=Option!$G$13, REGEXMATCH(assign, ""SINGLE_PARTY""))),
         IF(
           OR(ARRAYFORMULA((IF(precondition="""", FALSE, REGEXMATCH($K$"&amp;"4:$ED$4, precondition))) * (K25:ED25=TRUE))),
           enhance,
           IF(barrier="""", buff, barrier)
         ),
         0
       ) *
       SWITCH(
         job,
         ""暗黒騎士"", FI$24,
         ""白魔道士"", EF25 * EH25 * FG25 * IF(abillity, 1, E"&amp;"G25 * EI25) * (Option!$D$22 * 0.81 / 100),
         ""占星術師"", EF25 * EJ25 * FG25 * IF(abillity, 1, EG25 * EK25) * (Option!$D$23 * 0.81 / 100),
         ""学者"", EF25 * EL25 * FG25 * IF(abillity, 1, EG25 * EM25) * (Option!$D$24 * 0.81 / 100),
         ""賢者"&amp;""", EF25 * EN25 * FG25 * IF(abillity, 1, EG25 * EO25) * (Option!$D$25 * 0.81 / 100),
         1
       )
     )
   )
 ) + EQ25"),"#REF!")</f>
        <v>#REF!</v>
      </c>
      <c r="FI25" s="206" t="str">
        <f t="shared" ref="FI25:FI76" si="11">MAX(FF25 - FH25, 0)</f>
        <v>#REF!</v>
      </c>
      <c r="FJ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job=""ガンブレイカー""), AND(check=Option!$H$13, REGEXMATCH(assign, ""SINGLE_PARTY""))),
  "&amp;"       IF(
           OR(ARRAYFORMULA((IF(precondition="""", FALSE, REGEXMATCH($K$4:$ED$4, precondition))) * (K25:ED25=TRUE))),
           enhance,
           mitigation
         ),
         1
       )
     )
   )
 ) * EE25"),"#REF!")</f>
        <v>#REF!</v>
      </c>
      <c r="FK25" s="206" t="str">
        <f t="shared" ref="FK25:FK76" si="12">H25 * FJ25 * 0.8</f>
        <v>#REF!</v>
      </c>
      <c r="FL25" s="205" t="str">
        <f>IFERROR(__xludf.DUMMYFUNCTION("PRODUCT(
   MAP(
     K$3:ED$3,
     K$14:ED$14,
     K$13:ED$13,
     K25:ED25,
     LAMBDA(
       job,
       buff,
       target,
       check,
       IF(
         OR(AND(check=TRUE, REGEXMATCH(target, ""SELF_AFFECTED_ALL""), job=""ガンブレイカー""), AND(che"&amp;"ck=Option!$H$13, REGEXMATCH(target, ""SINGLE_AFFECTED_ALL""))),
         buff,
         1
       )
     )
   )
 )"),"#REF!")</f>
        <v>#REF!</v>
      </c>
      <c r="FM25" s="206" t="str">
        <f>IFERROR(__xludf.DUMMYFUNCTION("SUM(
   MAP(
     K$3:ED$3,
     K$7:ED$7,
     K$15:ED$15,
     K$16:ED$16,
     K$21:ED$21,
     K$5:ED$5,
     K$17:ED$17,
     K25:ED25,
     LAMBDA(
       job,
       abillity,
       buff,
       barrier,
       enhance,
       assign,
       preco"&amp;"ndition,
       check,
       IF(
         OR(AND(check=TRUE, REGEXMATCH(assign, ""SELF""), job=""ガンブレイカー""), AND(check=Option!$H$13, REGEXMATCH(assign, ""SINGLE_PARTY""))),
         IF(
           OR(ARRAYFORMULA((IF(precondition="""", FALSE, REGEXMATCH("&amp;"$K$4:$ED$4, precondition))) * (K25:ED25=TRUE))),
           enhance,
           IF(barrier="""", buff, barrier)
         ),
         0
       ) *
       SWITCH(
         job,
         ""暗黒騎士"", FN$24,
         ""白魔道士"", EF25 * EH25 * FL25 * IF(abillity, 1"&amp;", EG25 * EI25) * (Option!$D$22 * 0.81 / 100),
         ""占星術師"", EF25 * EJ25 * FL25 * IF(abillity, 1, EG25 * EK25) * (Option!$D$23 * 0.81 / 100),
         ""学者"", EF25 * EL25 * FL25 * IF(abillity, 1, EG25 * EM25) * (Option!$D$24 * 0.81 / 100),
         """&amp;"賢者"", EF25 * EN25 * FL25 * IF(abillity, 1, EG25 * EO25) * (Option!$D$25 * 0.81 / 100),
         1
       )
     )
   )
 ) + EQ25"),"#REF!")</f>
        <v>#REF!</v>
      </c>
      <c r="FN25" s="206" t="str">
        <f t="shared" ref="FN25:FN76" si="13">MAX(FK25 - FM25, 0)</f>
        <v>#REF!</v>
      </c>
      <c r="FO25" s="213"/>
    </row>
    <row r="26">
      <c r="B26" s="229"/>
      <c r="C26" s="217">
        <f t="shared" si="1"/>
        <v>0</v>
      </c>
      <c r="D26" s="236"/>
      <c r="E26" s="238"/>
      <c r="F26" s="167"/>
      <c r="G26" s="168" t="str">
        <f t="shared" si="2"/>
        <v/>
      </c>
      <c r="H26" s="169"/>
      <c r="I26" s="169"/>
      <c r="J26" s="169"/>
      <c r="K26" s="170" t="b">
        <v>0</v>
      </c>
      <c r="L26" s="170" t="b">
        <v>0</v>
      </c>
      <c r="M26" s="170" t="b">
        <v>0</v>
      </c>
      <c r="N26" s="171" t="s">
        <v>1070</v>
      </c>
      <c r="O26" s="172" t="b">
        <v>0</v>
      </c>
      <c r="P26" s="173" t="b">
        <v>0</v>
      </c>
      <c r="Q26" s="173" t="b">
        <v>0</v>
      </c>
      <c r="R26" s="173" t="b">
        <v>0</v>
      </c>
      <c r="S26" s="174" t="b">
        <v>0</v>
      </c>
      <c r="T26" s="175" t="b">
        <v>0</v>
      </c>
      <c r="U26" s="173" t="b">
        <v>0</v>
      </c>
      <c r="V26" s="171" t="s">
        <v>1070</v>
      </c>
      <c r="W26" s="172" t="b">
        <v>0</v>
      </c>
      <c r="X26" s="173" t="b">
        <v>0</v>
      </c>
      <c r="Y26" s="173" t="b">
        <v>0</v>
      </c>
      <c r="Z26" s="173" t="b">
        <v>0</v>
      </c>
      <c r="AA26" s="174" t="b">
        <v>0</v>
      </c>
      <c r="AB26" s="174" t="b">
        <v>0</v>
      </c>
      <c r="AC26" s="175" t="b">
        <v>0</v>
      </c>
      <c r="AD26" s="173" t="b">
        <v>0</v>
      </c>
      <c r="AE26" s="176" t="s">
        <v>1070</v>
      </c>
      <c r="AF26" s="171" t="s">
        <v>1070</v>
      </c>
      <c r="AG26" s="177">
        <f>IFERROR(__xludf.DUMMYFUNCTION("IF(
  ISNUMBER(AG25),
  MIN(MAX(
    AG25
    + MAX(
      ROUNDDOWN(($D26 - MAX(IFERROR(FILTER($D$24:$D25, AG$24:AG25 &lt;&gt; AF$6, AG$23:AG24 = AF$6), 0))) * (60 * 60 * 24) / AF$9) - ROUNDDOWN(($D25 - MAX(IFERROR(FILTER($D$23:$D24, AG$23:AG24 &lt;&gt; AF$6, AG$22:"&amp;"AG24 = AF$6), 0))) * (60 * 60 * 24) / 60),
      0
    )
    - COUNTIF(AF26, ""&lt;&gt;-""),
  0), AF$6),
  AF$6 - COUNTIF(AF26, ""&lt;&gt;-"")
)"),2.0)</f>
        <v>2</v>
      </c>
      <c r="AH26" s="173" t="b">
        <v>0</v>
      </c>
      <c r="AI26" s="173" t="b">
        <v>0</v>
      </c>
      <c r="AJ26" s="173" t="b">
        <v>0</v>
      </c>
      <c r="AK26" s="174" t="b">
        <v>0</v>
      </c>
      <c r="AL26" s="175" t="b">
        <v>0</v>
      </c>
      <c r="AM26" s="173" t="b">
        <v>0</v>
      </c>
      <c r="AN26" s="171" t="s">
        <v>1070</v>
      </c>
      <c r="AO26" s="173" t="b">
        <v>0</v>
      </c>
      <c r="AP26" s="173" t="b">
        <v>0</v>
      </c>
      <c r="AQ26" s="173" t="b">
        <v>0</v>
      </c>
      <c r="AR26" s="174" t="b">
        <v>0</v>
      </c>
      <c r="AS26" s="178" t="b">
        <v>0</v>
      </c>
      <c r="AT26" s="179" t="b">
        <v>0</v>
      </c>
      <c r="AU26" s="180" t="b">
        <v>0</v>
      </c>
      <c r="AV26" s="180" t="b">
        <v>0</v>
      </c>
      <c r="AW26" s="180" t="b">
        <v>0</v>
      </c>
      <c r="AX26" s="180" t="b">
        <v>0</v>
      </c>
      <c r="AY26" s="181" t="s">
        <v>1070</v>
      </c>
      <c r="AZ26" s="181" t="s">
        <v>1070</v>
      </c>
      <c r="BA26" s="184">
        <f>IFERROR(__xludf.DUMMYFUNCTION("IF(
  ISNUMBER(BA25),
  MIN(MAX(
    BA25
    + MAX(
      ROUNDDOWN((D26 - MAX(IFERROR(FILTER(D$24:D25, BA$24:BA25 &lt;&gt; AZ$6, BA$23:BA24 = AZ$6), 0))) * (60 * 60 * 24) / AZ$9) - ROUNDDOWN((D25 - MAX(IFERROR(FILTER(D$23:D24, BA$23:BA24 &lt;&gt; AZ$6, BA$22:BA24 ="&amp;" AZ$6), 0))) * (60 * 60 * 24) / AZ$9),
      0
    )
    - COUNTIF(AZ26, ""&lt;&gt;-""),
  0), AZ$6),
  AZ$6 - COUNTIF(AZ26, ""&lt;&gt;-"")
)"),2.0)</f>
        <v>2</v>
      </c>
      <c r="BB26" s="181" t="s">
        <v>1070</v>
      </c>
      <c r="BC26" s="183">
        <f>IFERROR(__xludf.DUMMYFUNCTION("IF(
  ISNUMBER(BC25),
  MIN(MAX(
    BC25
    + MAX(
      ROUNDDOWN(($D26 - MAX(IFERROR(FILTER($D$24:$D25, BC$24:BC25 &lt;&gt; BB$6, BC$23:BC24 = BB$6), 0))) * (60 * 60 * 24) / BB$9) - ROUNDDOWN(($D25 - MAX(IFERROR(FILTER($D$23:$D24, BC$23:BC24 &lt;&gt; BB$6, BC$22:"&amp;"BC24 = BB$6), 0))) * (60 * 60 * 24) / 60),
      0
    )
    - COUNTIF(BB26, ""&lt;&gt;-""),
  0), BB$6),
  BB$6 - COUNTIF(BB26, ""&lt;&gt;-"")
)"),2.0)</f>
        <v>2</v>
      </c>
      <c r="BD26" s="181" t="s">
        <v>1070</v>
      </c>
      <c r="BE26" s="178" t="b">
        <v>0</v>
      </c>
      <c r="BF26" s="180" t="b">
        <v>0</v>
      </c>
      <c r="BG26" s="180" t="b">
        <v>0</v>
      </c>
      <c r="BH26" s="180" t="b">
        <v>0</v>
      </c>
      <c r="BI26" s="180" t="b">
        <v>0</v>
      </c>
      <c r="BJ26" s="180" t="b">
        <v>0</v>
      </c>
      <c r="BK26" s="180" t="b">
        <v>0</v>
      </c>
      <c r="BL26" s="180" t="b">
        <v>0</v>
      </c>
      <c r="BM26" s="180" t="b">
        <v>0</v>
      </c>
      <c r="BN26" s="180" t="b">
        <v>0</v>
      </c>
      <c r="BO26" s="181" t="s">
        <v>1070</v>
      </c>
      <c r="BP26" s="181" t="s">
        <v>1070</v>
      </c>
      <c r="BQ26" s="181" t="s">
        <v>1070</v>
      </c>
      <c r="BR26" s="181" t="s">
        <v>1070</v>
      </c>
      <c r="BS26" s="181" t="s">
        <v>1070</v>
      </c>
      <c r="BT26" s="184">
        <f>IFERROR(__xludf.DUMMYFUNCTION("IF(
  ISNUMBER(BT25),
  MIN(MAX(
    BT25
    + MAX(
      ROUNDDOWN((D26 - MAX(IFERROR(FILTER(D$24:D25, BT$24:BT25 &lt;&gt; BS$6, BT$23:BT24 = BS$6), 0))) * (60 * 60 * 24) / BS$9) - ROUNDDOWN((D25 - MAX(IFERROR(FILTER(D$23:D24, BT$23:BT24 &lt;&gt; BS$6, BT$22:BT24 ="&amp;" BS$6), 0))) * (60 * 60 * 24) / BS$9),
      0
    )
    - COUNTIF(BS26, ""&lt;&gt;-""),
  0), BS$6),
  BS$6 - COUNTIF(BS26, ""&lt;&gt;-"")
)"),3.0)</f>
        <v>3</v>
      </c>
      <c r="BU26" s="181" t="s">
        <v>1070</v>
      </c>
      <c r="BV26" s="181" t="s">
        <v>1070</v>
      </c>
      <c r="BW26" s="184">
        <f>IFERROR(__xludf.DUMMYFUNCTION("IF(
  ISNUMBER(BW25),
  MIN(MAX(
    BW25
    + MAX(
      ROUNDDOWN((D26 - MAX(IFERROR(FILTER(D$24:D25, BW$24:BW25 &lt;&gt; BV$6, BW$23:BW24 = BV$6), 0))) * (60 * 60 * 24) / BV$9) - ROUNDDOWN((D25 - MAX(IFERROR(FILTER(D$23:D24, BW$23:BW24 &lt;&gt; BV$6, BW$22:BW24 ="&amp;" BV$6), 0))) * (60 * 60 * 24) / BV$9),
      0
    )
    - COUNTIF(BV26, ""&lt;&gt;-""),
  0), BV$6),
  BV$6 - COUNTIF(BV26, ""&lt;&gt;-"")
)"),2.0)</f>
        <v>2</v>
      </c>
      <c r="BX26" s="185" t="s">
        <v>1070</v>
      </c>
      <c r="BY26" s="178" t="b">
        <v>0</v>
      </c>
      <c r="BZ26" s="180" t="b">
        <v>0</v>
      </c>
      <c r="CA26" s="180" t="b">
        <v>0</v>
      </c>
      <c r="CB26" s="180" t="b">
        <v>0</v>
      </c>
      <c r="CC26" s="180" t="b">
        <v>0</v>
      </c>
      <c r="CD26" s="180" t="b">
        <v>0</v>
      </c>
      <c r="CE26" s="180" t="b">
        <v>0</v>
      </c>
      <c r="CF26" s="180" t="b">
        <v>0</v>
      </c>
      <c r="CG26" s="180" t="b">
        <v>0</v>
      </c>
      <c r="CH26" s="180" t="b">
        <v>0</v>
      </c>
      <c r="CI26" s="180" t="b">
        <v>0</v>
      </c>
      <c r="CJ26" s="180" t="b">
        <v>0</v>
      </c>
      <c r="CK26" s="180" t="b">
        <v>0</v>
      </c>
      <c r="CL26" s="180" t="b">
        <v>0</v>
      </c>
      <c r="CM26" s="181" t="s">
        <v>1070</v>
      </c>
      <c r="CN26" s="181" t="s">
        <v>1070</v>
      </c>
      <c r="CO26" s="181" t="s">
        <v>1070</v>
      </c>
      <c r="CP26" s="181" t="s">
        <v>1070</v>
      </c>
      <c r="CQ26" s="185" t="s">
        <v>1070</v>
      </c>
      <c r="CR26" s="180" t="b">
        <v>0</v>
      </c>
      <c r="CS26" s="186" t="str">
        <f t="shared" ref="CS26:CS76" si="14">SWITCH(
    IF(OR(AND(CI26, CI25&lt;&gt;TRUE), CR26), 3, IF(ISTEXT(CS25), FIND("◇", CS25&amp;"◇") - 1, 0))
  - COUNTIFS({BZ26,CE26}, "=TRUE", {BZ25,CE25}, "&lt;&gt;TRUE")
  - COUNTIF({CN26,CQ26}, "&lt;&gt;-")
  + IF(COUNTIFS({BZ26,CE26}, "=TRUE", {BZ25,CE25}, "&lt;&gt;TRUE") + COUNTIF({CN26,CQ26}, "&lt;&gt;-"), COUNTIFS(CJ26, "=TRUE", CJ25, "&lt;&gt;TRUE"), 0),
  0, "◇◇◇", 1, "◆◇◇", 2, "◆◆◇", 3, "◆◆◆", "◇◇◇"
)</f>
        <v>◇◇◇</v>
      </c>
      <c r="CT26" s="178" t="b">
        <v>0</v>
      </c>
      <c r="CU26" s="180" t="b">
        <v>0</v>
      </c>
      <c r="CV26" s="180" t="b">
        <v>0</v>
      </c>
      <c r="CW26" s="180" t="b">
        <v>0</v>
      </c>
      <c r="CX26" s="180" t="b">
        <v>0</v>
      </c>
      <c r="CY26" s="180" t="b">
        <v>0</v>
      </c>
      <c r="CZ26" s="180" t="b">
        <v>0</v>
      </c>
      <c r="DA26" s="180" t="b">
        <v>0</v>
      </c>
      <c r="DB26" s="180" t="b">
        <v>0</v>
      </c>
      <c r="DC26" s="180" t="b">
        <v>0</v>
      </c>
      <c r="DD26" s="181" t="s">
        <v>1070</v>
      </c>
      <c r="DE26" s="181" t="s">
        <v>1070</v>
      </c>
      <c r="DF26" s="181" t="s">
        <v>1070</v>
      </c>
      <c r="DG26" s="185" t="s">
        <v>1070</v>
      </c>
      <c r="DH26" s="180" t="b">
        <v>0</v>
      </c>
      <c r="DI26" s="187" t="str">
        <f>IFERROR(__xludf.DUMMYFUNCTION("SWITCH(
  IF(
    ISTEXT(DI25),
    IF (
      FIND(""○"", DI25&amp;""○"") &gt; 3,
      3,
      FIND(""○"", DI25&amp;""○"")
      + MAX(
        ROUNDDOWN(($D26 - MAX(IFERROR(FILTER(D$24:D25, DI$24:DI25 &lt;&gt; ""●●●"", DI$23:DI24 = ""●●●""), 0))) * (60 * 60 * 24) / 20"&amp;") - ROUNDDOWN(($D25 - MAX(IFERROR(FILTER(D$23:D24, DI$23:DI24 &lt;&gt; ""●●●"", DI$22:DI24 = ""●●●""), 0))) * (60 * 60 * 24) / 20),
        0
      ) - 1
    ) - COUNTIFS(CU26, ""=TRUE"", CU25, ""&lt;&gt;TRUE"") - COUNTIF(CZ26, ""=TRUE"") - COUNTIF({DD26,DE26}, ""&lt;&gt;-"&amp;""") + COUNTIF(DH26, ""=TRUE""),
    3
  ),
  0, ""○○○"", 1, ""●○○"", 2, ""●●○"", 3, ""●●●"", 4, ""●●●"", ""○○○""
)"),"●●●")</f>
        <v>●●●</v>
      </c>
      <c r="DJ26" s="188" t="b">
        <v>0</v>
      </c>
      <c r="DK26" s="189" t="b">
        <v>0</v>
      </c>
      <c r="DL26" s="190" t="b">
        <v>0</v>
      </c>
      <c r="DM26" s="190" t="b">
        <v>0</v>
      </c>
      <c r="DN26" s="190" t="b">
        <v>0</v>
      </c>
      <c r="DO26" s="190" t="b">
        <v>0</v>
      </c>
      <c r="DP26" s="190" t="b">
        <v>0</v>
      </c>
      <c r="DQ26" s="191" t="b">
        <v>0</v>
      </c>
      <c r="DR26" s="192" t="b">
        <v>0</v>
      </c>
      <c r="DS26" s="191" t="b">
        <v>0</v>
      </c>
      <c r="DT26" s="192" t="b">
        <v>0</v>
      </c>
      <c r="DU26" s="191" t="b">
        <v>0</v>
      </c>
      <c r="DV26" s="193" t="s">
        <v>1070</v>
      </c>
      <c r="DW26" s="194" t="b">
        <v>0</v>
      </c>
      <c r="DX26" s="194" t="b">
        <v>0</v>
      </c>
      <c r="DY26" s="195" t="b">
        <v>0</v>
      </c>
      <c r="DZ26" s="196" t="b">
        <v>0</v>
      </c>
      <c r="EA26" s="195" t="b">
        <v>0</v>
      </c>
      <c r="EB26" s="197" t="b">
        <v>0</v>
      </c>
      <c r="EC26" s="197" t="b">
        <v>0</v>
      </c>
      <c r="ED26" s="212" t="b">
        <v>0</v>
      </c>
      <c r="EE26" s="199">
        <f>IFERROR(__xludf.DUMMYFUNCTION("IFERROR(
   PRODUCT(
     MAP(
       INDEX(TRANSPOSE(UNIQUE(TRANSPOSE(FILTER({IF($F26=""Physical"", K$10:ED$10, IF($F26=""Magic"", K$11:ED$11, K$12:ED$12));K$4:ED$4;K26:ED26}, K26:ED26=TRUE)))), 1, 0),
       INDEX(TRANSPOSE(UNIQUE(TRANSPOSE(FILTER({IF($"&amp;"F26=""Physical"", K$18:ED$18, IF($F26=""Magic"", K$19:ED$19, K$20:ED$20));K$4:ED$4;K26:ED26}, K26:ED26=TRUE)))), 1, 0),
       INDEX(TRANSPOSE(UNIQUE(TRANSPOSE(FILTER({K$5:ED$5;K$4:ED$4;K26:ED26}, K26:ED26=TRUE)))), 1, 0),
       INDEX(TRANSPOSE(UNIQUE(TR"&amp;"ANSPOSE(FILTER({K$17:ED$17;K$4:ED$4;K26:ED26}, K26:ED26=TRUE)))), 1, 0),
       LAMBDA(
         mitigation,
         enhance,
         assign,
         precondition,
         IF(
           REGEXMATCH(assign, ""RANGE_PARTY|SINGLE_ENEMY|RANGE_ENEMY""),
  "&amp;"         IF(
             OR(ARRAYFORMULA((IF(precondition="""", FALSE, REGEXMATCH(K$4:ED$4, precondition))) * (K26:ED26=TRUE))),
             IF(ISNUMBER(enhance), enhance, 1),
             IF(ISNUMBER(mitigation), mitigation, 1)
           ),
          "&amp;" 1
         )
       )
     )
   ),
   1
 )"),1.0)</f>
        <v>1</v>
      </c>
      <c r="EF26" s="200">
        <f>IFERROR(__xludf.DUMMYFUNCTION("PRODUCT(
   MAP(
     K$14:ED$14,
     K$13:ED$13,
     K26:ED26,
     LAMBDA(
       buff,
       target,
       check,
       IF(
         AND(check=TRUE, REGEXMATCH(target, ""RANGE_AFFECTED_ALL|RANGE_EFFECTED_ALL""), ISNUMBER(buff)),
         buff,
   "&amp;"      1
       )
     )
   )
 )"),1.0)</f>
        <v>1</v>
      </c>
      <c r="EG26" s="200">
        <f>IFERROR(__xludf.DUMMYFUNCTION("PRODUCT(
   MAP(
     K$14:ED$14,
     K$13:ED$13,
     K26:ED26,
     LAMBDA(
       buff,
       target,
       check,
       IF(
         AND(check=TRUE, REGEXMATCH(target, ""RANGE_AFFECTED_GCD|RANGE_EFFECTED_GCD""), ISNUMBER(buff)),
         buff,
   "&amp;"      1
       )
     )
   )
 )"),1.0)</f>
        <v>1</v>
      </c>
      <c r="EH26" s="200">
        <f>IFERROR(__xludf.DUMMYFUNCTION("PRODUCT(
   MAP(
     K$3:ED$3,
     K$14:ED$14,
     K$13:ED$13,
     K26:ED26,
     LAMBDA(
       job,
       buff,
       target,
       check,
       IF(
         AND(check=TRUE, REGEXMATCH(target, ""SELF_EFFECTED_ALL""), ISNUMBER(buff), job=""白魔道士"""&amp;"),
         buff,
         1
       )
     )
   )
 )"),1.0)</f>
        <v>1</v>
      </c>
      <c r="EI26" s="200">
        <f>IFERROR(__xludf.DUMMYFUNCTION("PRODUCT(
   MAP(
     K$3:ED$3,
     K$14:ED$14,
     K$13:ED$13,
     K26:ED26,
     LAMBDA(
       job,
       buff,
       target,
       check,
       IF(
         AND(check=TRUE, REGEXMATCH(target, ""SELF_EFFECTED_GCD""), ISNUMBER(buff), job=""白魔道士"""&amp;"),
         buff,
         1
       )
     )
   )
 )"),1.0)</f>
        <v>1</v>
      </c>
      <c r="EJ26" s="200">
        <f>IFERROR(__xludf.DUMMYFUNCTION("PRODUCT(
   MAP(
     K$3:ED$3,
     K$14:ED$14,
     K$13:ED$13,
     K26:ED26,
     LAMBDA(
       job,
       buff,
       target,
       check,
       IF(
         AND(check=TRUE, REGEXMATCH(target, ""SELF_EFFECTED_ALL""), ISNUMBER(buff), job=""占星術師"""&amp;"),
         buff,
         1
       )
     )
   )
 )"),1.0)</f>
        <v>1</v>
      </c>
      <c r="EK26" s="200">
        <f>IFERROR(__xludf.DUMMYFUNCTION("PRODUCT(
   MAP(
     K$3:ED$3,
     K$14:ED$14,
     K$13:ED$13,
     K26:ED26,
     LAMBDA(
       job,
       buff,
       target,
       check,
       IF(
         AND(check=TRUE, REGEXMATCH(target, ""SELF_EFFECTED_GCD""), ISNUMBER(buff), job=""占星術師"""&amp;"),
         buff,
         1
       )
     )
   )
 )"),1.0)</f>
        <v>1</v>
      </c>
      <c r="EL26" s="200">
        <f>IFERROR(__xludf.DUMMYFUNCTION("PRODUCT(
   MAP(
     K$3:ED$3,
     K$14:ED$14,
     K$13:ED$13,
     K26:ED26,
     LAMBDA(
       job,
       buff,
       target,
       check,
       IF(
         AND(check=TRUE, REGEXMATCH(target, ""SELF_EFFECTED_ALL""), ISNUMBER(buff), job=""学者""),"&amp;"
         buff,
         1
       )
     )
   )
 )"),1.0)</f>
        <v>1</v>
      </c>
      <c r="EM26" s="200">
        <f>IFERROR(__xludf.DUMMYFUNCTION("PRODUCT(
   MAP(
     K$3:ED$3,
     K$14:ED$14,
     K$13:ED$13,
     K26:ED26,
     LAMBDA(
       job,
       buff,
       target,
       check,
       IF(
         AND(check=TRUE, REGEXMATCH(target, ""SELF_EFFECTED_GCD""), ISNUMBER(buff), job=""学者""),"&amp;"
         buff,
         1
       )
     )
   )
 )"),1.0)</f>
        <v>1</v>
      </c>
      <c r="EN26" s="200">
        <f>IFERROR(__xludf.DUMMYFUNCTION("PRODUCT(
   MAP(
     K$3:ED$3,
     K$14:ED$14,
     K$13:ED$13,
     K26:ED26,
     LAMBDA(
       job,
       buff,
       target,
       check,
       IF(
         AND(check=TRUE, REGEXMATCH(target, ""SELF_EFFECTED_ALL""), ISNUMBER(buff), job=""賢者""),"&amp;"
         buff,
         1
       )
     )
   )
 )"),1.0)</f>
        <v>1</v>
      </c>
      <c r="EO26" s="200">
        <f>IFERROR(__xludf.DUMMYFUNCTION("PRODUCT(
   MAP(
     K$3:ED$3,
     K$14:ED$14,
     K$13:ED$13,
     K26:ED26,
     LAMBDA(
       job,
       buff,
       target,
       check,
       IF(
         AND(check=TRUE, REGEXMATCH(target, ""SELF_EFFECTED_GCD""), ISNUMBER(buff), job=""賢者""),"&amp;"
         buff,
         1
       )
     )
   )
 )"),1.0)</f>
        <v>1</v>
      </c>
      <c r="EP26" s="201">
        <f t="shared" si="3"/>
        <v>0</v>
      </c>
      <c r="EQ26" s="201">
        <f>IFERROR(__xludf.DUMMYFUNCTION("SUM(
   MAP(
     K$4:ED$4,
     K$3:ED$3,
     K$7:ED$7,
     K$15:ED$15,
     K$16:ED$16,
     K$21:ED$21,
     K$5:ED$5,
     K$17:ED$17,
     K26:ED26,
     LAMBDA(
       name,
       job,
       abillity,
       buff,
       barrier,
       enhance,"&amp;"
       assign,
       precondition,
       check,
       SWITCH(
         name,
         ""シェイクオフ"", IF(check=TRUE, buff + (0.02 * COUNTIF(ARRAYFORMULA((REGEXMATCH($K$4:$ED$4, ""スリル・オブ・バトル|ヴェンジェンス|原初の血気|ダムネーション"")) * (K26:ED26=TRUE)), 1)), 0),
         "&amp;"""インプロビゼーションフィニッシュ(踊りの激情0)"", IF(ISNUMBER(check), INDEX(Skill!$AJ:$AJ, MATCH(SUBSTITUTE(DV$4, 0, check), Skill!$C:$C, 0)), 0),
         IF(
           AND(check=TRUE, REGEXMATCH(assign, ""RANGE_PARTY"")),
           IF(
             OR(ARRAYFORMULA((IF(pr"&amp;"econdition="""", FALSE, REGEXMATCH($K$4:$ED$4, precondition))) * (K26:ED26=TRUE))),
             enhance,
             IF(barrier="""", buff, barrier)
           ),
           0
         )
       ) *
       SWITCH(
         job,
         ""ナイト"", EY$24,
 "&amp;"        ""戦士"", FD$24,
         ""踊り子"", ET$24,
         ""ピクトマンサー"", ET$24,
         ""白魔道士"", EF26 * EH26 * IF(abillity, 1, EG26 * EI26) * (Option!$D$22 * 0.81 / 100),
         ""占星術師"", EF26 * EJ26 * IF(abillity, 1, EG26 * EK26) * (Option!$D$23 * 0.81 "&amp;"/ 100),
         ""学者"", EF26 * EL26 * IF(abillity, 1, EG26 * EM26) * (Option!$D$24 * 0.81 / 100),
         ""賢者"", EF26 * EN26 * IF(abillity, 1, EG26 * EO26) * (Option!$D$25 * 0.81 / 100),
         1
       )
     )
   )
 )"),0.0)</f>
        <v>0</v>
      </c>
      <c r="ER26" s="202">
        <f t="shared" si="4"/>
        <v>0</v>
      </c>
      <c r="ES26" s="203">
        <f t="shared" si="5"/>
        <v>0</v>
      </c>
      <c r="ET26" s="231" t="str">
        <f>IFERROR(__xludf.DUMMYFUNCTION("IFS(
  EP26 &gt; $ET$24 + EQ26,
  SPARKLINE({ 1, 0 }, {""charttype"",""bar"";""max"", 1;""color1"",Option!$D$30;""color2"",Option!$D$30}),
  EP26 &lt; EQ26,
  SPARKLINE({EQ26 - EP26, $ET$24 - (EQ26 - EP26)}, {""charttype"",""bar"";""max"",$ET$24;""color1"",Opti"&amp;"on!$D$28;""color2"",Option!$D$29}),
  EP26 &gt;= EQ26,
  SPARKLINE({$ET$24 + EQ26 - EP26,EP26 - EQ26}, {""charttype"",""bar"";""max"",$ET$24;""color1"",Option!$D$29;""color2"",Option!$D$30})
)"),"")</f>
        <v/>
      </c>
      <c r="EU26" s="205">
        <f>IFERROR(__xludf.DUMMYFUNCTION("PRODUCT(
   MAP(
     IF($F26=""Physical"", K$10:ED$10, IF($F26=""Magic"", K$11:ED$11, K$12:ED$12)),
     IF($F26=""Physical"", K$18:ED$18, IF($F26=""Magic"", K$19:ED$19, K$20:ED$20)),
     K$3:ED$3,
     K$5:ED$5,
     K$17:ED$17,
     K26:ED26,
     LAM"&amp;"BDA(
       mitigation,
       enhance,
       job,
       assign,
       precondition,
       check,
       IF(
         OR(AND(check=TRUE, REGEXMATCH(assign, ""SELF""), job=""ナイト""), AND(check=Option!$E$13, REGEXMATCH(assign, ""SINGLE_PARTY""))),
      "&amp;"   IF(
           OR(ARRAYFORMULA((IF(precondition="""", FALSE, REGEXMATCH($K$4:$ED$4, precondition))) * (K26:ED26=TRUE))),
           enhance,
           mitigation
         ),
         1
       )
     )
   )
 ) * EE26"),1.0)</f>
        <v>1</v>
      </c>
      <c r="EV26" s="206">
        <f t="shared" si="6"/>
        <v>0</v>
      </c>
      <c r="EW26" s="205">
        <f>IFERROR(__xludf.DUMMYFUNCTION("PRODUCT(
   MAP(
     K$3:ED$3,
     K$14:ED$14,
     K$13:ED$13,
     K26:ED26,
     LAMBDA(
       job,
       buff,
       target,
       check,
       IF(
         OR(AND(check=TRUE, REGEXMATCH(target, ""SELF_AFFECTED_ALL""), job=""ナイト""), AND(check=O"&amp;"ption!$E$13, REGEXMATCH(target, ""SINGLE_AFFECTED_ALL""))),
         buff,
         1
       )
     )
   )
 )"),1.0)</f>
        <v>1</v>
      </c>
      <c r="EX26" s="206">
        <f>IFERROR(__xludf.DUMMYFUNCTION("SUM(
   MAP(
     K$3:ED$3,
     K$7:ED$7,
     K$15:ED$15,
     K$16:ED$16,
     K$21:ED$21,
     K$5:ED$5,
     K$17:ED$17,
     K26:ED26,
     LAMBDA(
       job,
       abillity,
       buff,
       barrier,
       enhance,
       assign,
       preco"&amp;"ndition,
       check,
       IF(
         OR(AND(check=TRUE, REGEXMATCH(assign, ""SELF""), job=""ナイト""), AND(check=Option!$E$13, REGEXMATCH(assign, ""SINGLE_PARTY""))),
         IF(
           OR(ARRAYFORMULA((IF(precondition="""", FALSE, REGEXMATCH($K$4"&amp;":$ED$4, precondition))) * (K26:ED26=TRUE))),
           enhance,
           IF(barrier="""", buff, barrier)
         ),
         0
       ) *
       SWITCH(
         job,
         ""暗黒騎士"", EY$24,
         ""白魔道士"", EF26 * EH26 * EW26 * IF(abillity, 1, EG"&amp;"26 * EI26) * (Option!$D$22 * 0.81 / 100),
         ""占星術師"", EF26 * EJ26 * EW26 * IF(abillity, 1, EG26 * EK26) * (Option!$D$23 * 0.81 / 100),
         ""学者"", EF26 * EL26 * EW26 * IF(abillity, 1, EG26 * EM26) * (Option!$D$24 * 0.81 / 100),
         ""賢者"""&amp;", EF26 * EN26 * EW26 * IF(abillity, 1, EG26 * EO26) * (Option!$D$25 * 0.81 / 100),
         1
       )
     )
   )
 ) + EQ26"),0.0)</f>
        <v>0</v>
      </c>
      <c r="EY26" s="232">
        <f t="shared" si="7"/>
        <v>0</v>
      </c>
      <c r="EZ26" s="205">
        <f>IFERROR(__xludf.DUMMYFUNCTION("PRODUCT(
   MAP(
     IF($F26=""Physical"", K$10:ED$10, IF($F26=""Magic"", K$11:ED$11, K$12:ED$12)),
     IF($F26=""Physical"", K$18:ED$18, IF($F26=""Magic"", K$19:ED$19, K$20:ED$20)),
     K$3:ED$3,
     K$5:ED$5,
     K$17:ED$17,
     K26:ED26,
     LAM"&amp;"BDA(
       mitigation,
       enhance,
       job,
       assign,
       precondition,
       check,
       IF(
         OR(AND(check=TRUE, REGEXMATCH(assign, ""SELF""), job=""戦士""), AND(check=Option!$F$13, REGEXMATCH(assign, ""SINGLE_PARTY""))),
       "&amp;"  IF(
           OR(ARRAYFORMULA((IF(precondition="""", FALSE, REGEXMATCH($K$4:$ED$4, precondition))) * (K26:ED26=TRUE))),
           enhance,
           mitigation
         ),
         1
       )
     )
   )
 ) * EE26"),1.0)</f>
        <v>1</v>
      </c>
      <c r="FA26" s="206">
        <f t="shared" si="8"/>
        <v>0</v>
      </c>
      <c r="FB26" s="205">
        <f>IFERROR(__xludf.DUMMYFUNCTION("PRODUCT(
   MAP(
     K$3:ED$3,
     K$14:ED$14,
     K$13:ED$13,
     K26:ED26,
     LAMBDA(
       job,
       buff,
       target,
       check,
       IF(
         OR(AND(check=TRUE, REGEXMATCH(target, ""SELF_AFFECTED_ALL""), job=""戦士""), AND(check=Op"&amp;"tion!$F$13, REGEXMATCH(target, ""SINGLE_AFFECTED_ALL""))),
         buff,
         1
       )
     )
   )
 )"),1.0)</f>
        <v>1</v>
      </c>
      <c r="FC26" s="206">
        <f>IFERROR(__xludf.DUMMYFUNCTION("SUM(
   MAP(
     K$3:ED$3,
     K$7:ED$7,
     K$15:ED$15,
     K$16:ED$16,
     K$21:ED$21,
     K$5:ED$5,
     K$17:ED$17,
     K26:ED26,
     LAMBDA(
       job,
       abillity,
       buff,
       barrier,
       enhance,
       assign,
       preco"&amp;"ndition,
       check,
       IF(
         OR(AND(check=TRUE, REGEXMATCH(assign, ""SELF""), job=""戦士""), AND(check=Option!$F$13, REGEXMATCH(assign, ""SINGLE_PARTY""))),
         IF(
           OR(ARRAYFORMULA((IF(precondition="""", FALSE, REGEXMATCH($K$4:"&amp;"$ED$4, precondition))) * (K26:ED26=TRUE))),
           enhance,
           IF(barrier="""", buff, barrier)
         ),
         0
       ) *
       SWITCH(
         job,
         ""暗黒騎士"", FD$24,
         ""白魔道士"", EF26 * EH26 * FB26 * IF(abillity, 1, EG2"&amp;"6 * EI26) * (Option!$D$22 * 0.81 / 100),
         ""占星術師"", EF26 * EJ26 * FFB26 * IF(abillity, 1, EG26 * EK26) * (Option!$D$23 * 0.81 / 100),
         ""学者"", EF26 * EL26 * FB26 * IF(abillity, 1, EG26 * EM26) * (Option!$D$24 * 0.81 / 100),
         ""賢者"""&amp;", EF26 * EN26 * FB26 * IF(abillity, 1, EG26 * EO26) * (Option!$D$25 * 0.81 / 100),
         1
       )
     )
   )
 ) + EQ26"),0.0)</f>
        <v>0</v>
      </c>
      <c r="FD26" s="206">
        <f t="shared" si="9"/>
        <v>0</v>
      </c>
      <c r="FE26" s="205">
        <f>IFERROR(__xludf.DUMMYFUNCTION("PRODUCT(
   MAP(
     IF($F26=""Physical"", K$10:ED$10, IF($F26=""Magic"", K$11:ED$11, K$12:ED$12)),
     IF($F26=""Physical"", K$18:ED$18, IF($F26=""Magic"", K$19:ED$19, K$20:ED$20)),
     K$3:ED$3,
     K$5:ED$5,
     K$17:ED$17,
     K26:ED26,
     LAM"&amp;"BDA(
       mitigation,
       enhance,
       job,
       assign,
       precondition,
       check,
       IF(
         OR(AND(check=TRUE, REGEXMATCH(assign, ""SELF""), job=""暗黒騎士""), AND(check=Option!$G$13, REGEXMATCH(assign, ""SINGLE_PARTY""))),
     "&amp;"    IF(
           OR(ARRAYFORMULA((IF(precondition="""", FALSE, REGEXMATCH($K$4:$ED$4, precondition))) * (K26:ED26=TRUE))),
           enhance,
           mitigation
         ),
         1
       )
     )
   )
 ) * EE26"),1.0)</f>
        <v>1</v>
      </c>
      <c r="FF26" s="206">
        <f t="shared" si="10"/>
        <v>0</v>
      </c>
      <c r="FG26" s="205">
        <f>IFERROR(__xludf.DUMMYFUNCTION("PRODUCT(
   MAP(
     K$3:ED$3,
     K$14:ED$14,
     K$13:ED$13,
     K26:ED26,
     LAMBDA(
       job,
       buff,
       target,
       check,
       IF(
         OR(AND(check=TRUE, REGEXMATCH(target, ""SELF_AFFECTED_ALL""), job=""暗黒騎士""), AND(check="&amp;"Option!$G$13, REGEXMATCH(target, ""SINGLE_AFFECTED_ALL""))),
         buff,
         1
       )
     )
   )
 )"),1.0)</f>
        <v>1</v>
      </c>
      <c r="FH26" s="206">
        <f>IFERROR(__xludf.DUMMYFUNCTION("SUM(
   MAP(
     K$3:ED$3,
     K$7:ED$7,
     K$15:ED$15,
     K$16:ED$16,
     K$21:ED$21,
     K$5:ED$5,
     K$17:ED$17,
     K26:ED26,
     LAMBDA(
       job,
       abillity,
       buff,
       barrier,
       enhance,
       assign,
       preco"&amp;"ndition,
       check,
       IF(
         OR(AND(check=TRUE, REGEXMATCH(assign, ""SELF""), job=""暗黒騎士""), AND(check=Option!$G$13, REGEXMATCH(assign, ""SINGLE_PARTY""))),
         IF(
           OR(ARRAYFORMULA((IF(precondition="""", FALSE, REGEXMATCH($K$"&amp;"4:$ED$4, precondition))) * (K26:ED26=TRUE))),
           enhance,
           IF(barrier="""", buff, barrier)
         ),
         0
       ) *
       SWITCH(
         job,
         ""暗黒騎士"", FI$24,
         ""白魔道士"", EF26 * EH26 * FG26 * IF(abillity, 1, E"&amp;"G26 * EI26) * (Option!$D$22 * 0.81 / 100),
         ""占星術師"", EF26 * EJ26 * FG26 * IF(abillity, 1, EG26 * EK26) * (Option!$D$23 * 0.81 / 100),
         ""学者"", EF26 * EL26 * FG26 * IF(abillity, 1, EG26 * EM26) * (Option!$D$24 * 0.81 / 100),
         ""賢者"&amp;""", EF26 * EN26 * FG26 * IF(abillity, 1, EG26 * EO26) * (Option!$D$25 * 0.81 / 100),
         1
       )
     )
   )
 ) + EQ26"),0.0)</f>
        <v>0</v>
      </c>
      <c r="FI26" s="206">
        <f t="shared" si="11"/>
        <v>0</v>
      </c>
      <c r="FJ26" s="205">
        <f>IFERROR(__xludf.DUMMYFUNCTION("PRODUCT(
   MAP(
     IF($F26=""Physical"", K$10:ED$10, IF($F26=""Magic"", K$11:ED$11, K$12:ED$12)),
     IF($F26=""Physical"", K$18:ED$18, IF($F26=""Magic"", K$19:ED$19, K$20:ED$20)),
     K$3:ED$3,
     K$5:ED$5,
     K$17:ED$17,
     K26:ED26,
     LAM"&amp;"BDA(
       mitigation,
       enhance,
       job,
       assign,
       precondition,
       check,
       IF(
         OR(AND(check=TRUE, REGEXMATCH(assign, ""SELF""), job=""ガンブレイカー""), AND(check=Option!$H$13, REGEXMATCH(assign, ""SINGLE_PARTY""))),
  "&amp;"       IF(
           OR(ARRAYFORMULA((IF(precondition="""", FALSE, REGEXMATCH($K$4:$ED$4, precondition))) * (K26:ED26=TRUE))),
           enhance,
           mitigation
         ),
         1
       )
     )
   )
 ) * EE26"),1.0)</f>
        <v>1</v>
      </c>
      <c r="FK26" s="206">
        <f t="shared" si="12"/>
        <v>0</v>
      </c>
      <c r="FL26" s="205">
        <f>IFERROR(__xludf.DUMMYFUNCTION("PRODUCT(
   MAP(
     K$3:ED$3,
     K$14:ED$14,
     K$13:ED$13,
     K26:ED26,
     LAMBDA(
       job,
       buff,
       target,
       check,
       IF(
         OR(AND(check=TRUE, REGEXMATCH(target, ""SELF_AFFECTED_ALL""), job=""ガンブレイカー""), AND(che"&amp;"ck=Option!$H$13, REGEXMATCH(target, ""SINGLE_AFFECTED_ALL""))),
         buff,
         1
       )
     )
   )
 )"),1.0)</f>
        <v>1</v>
      </c>
      <c r="FM26" s="206">
        <f>IFERROR(__xludf.DUMMYFUNCTION("SUM(
   MAP(
     K$3:ED$3,
     K$7:ED$7,
     K$15:ED$15,
     K$16:ED$16,
     K$21:ED$21,
     K$5:ED$5,
     K$17:ED$17,
     K26:ED26,
     LAMBDA(
       job,
       abillity,
       buff,
       barrier,
       enhance,
       assign,
       preco"&amp;"ndition,
       check,
       IF(
         OR(AND(check=TRUE, REGEXMATCH(assign, ""SELF""), job=""ガンブレイカー""), AND(check=Option!$H$13, REGEXMATCH(assign, ""SINGLE_PARTY""))),
         IF(
           OR(ARRAYFORMULA((IF(precondition="""", FALSE, REGEXMATCH("&amp;"$K$4:$ED$4, precondition))) * (K26:ED26=TRUE))),
           enhance,
           IF(barrier="""", buff, barrier)
         ),
         0
       ) *
       SWITCH(
         job,
         ""暗黒騎士"", FN$24,
         ""白魔道士"", EF26 * EH26 * FL26 * IF(abillity, 1"&amp;", EG26 * EI26) * (Option!$D$22 * 0.81 / 100),
         ""占星術師"", EF26 * EJ26 * FL26 * IF(abillity, 1, EG26 * EK26) * (Option!$D$23 * 0.81 / 100),
         ""学者"", EF26 * EL26 * FL26 * IF(abillity, 1, EG26 * EM26) * (Option!$D$24 * 0.81 / 100),
         """&amp;"賢者"", EF26 * EN26 * FL26 * IF(abillity, 1, EG26 * EO26) * (Option!$D$25 * 0.81 / 100),
         1
       )
     )
   )
 ) + EQ26"),0.0)</f>
        <v>0</v>
      </c>
      <c r="FN26" s="206">
        <f t="shared" si="13"/>
        <v>0</v>
      </c>
      <c r="FO26" s="213"/>
    </row>
    <row r="27">
      <c r="B27" s="229"/>
      <c r="C27" s="217">
        <f t="shared" si="1"/>
        <v>0</v>
      </c>
      <c r="D27" s="236"/>
      <c r="E27" s="238"/>
      <c r="F27" s="167"/>
      <c r="G27" s="168" t="str">
        <f t="shared" si="2"/>
        <v/>
      </c>
      <c r="H27" s="169"/>
      <c r="I27" s="169"/>
      <c r="J27" s="169"/>
      <c r="K27" s="170" t="b">
        <v>0</v>
      </c>
      <c r="L27" s="170" t="b">
        <v>0</v>
      </c>
      <c r="M27" s="170" t="b">
        <v>0</v>
      </c>
      <c r="N27" s="171" t="s">
        <v>1070</v>
      </c>
      <c r="O27" s="172" t="b">
        <v>0</v>
      </c>
      <c r="P27" s="173" t="b">
        <v>0</v>
      </c>
      <c r="Q27" s="173" t="b">
        <v>0</v>
      </c>
      <c r="R27" s="173" t="b">
        <v>0</v>
      </c>
      <c r="S27" s="174" t="b">
        <v>0</v>
      </c>
      <c r="T27" s="175" t="b">
        <v>0</v>
      </c>
      <c r="U27" s="173" t="b">
        <v>0</v>
      </c>
      <c r="V27" s="171" t="s">
        <v>1070</v>
      </c>
      <c r="W27" s="172" t="b">
        <v>0</v>
      </c>
      <c r="X27" s="173" t="b">
        <v>0</v>
      </c>
      <c r="Y27" s="173" t="b">
        <v>0</v>
      </c>
      <c r="Z27" s="173" t="b">
        <v>0</v>
      </c>
      <c r="AA27" s="174" t="b">
        <v>0</v>
      </c>
      <c r="AB27" s="174" t="b">
        <v>0</v>
      </c>
      <c r="AC27" s="175" t="b">
        <v>0</v>
      </c>
      <c r="AD27" s="173" t="b">
        <v>0</v>
      </c>
      <c r="AE27" s="176" t="s">
        <v>1070</v>
      </c>
      <c r="AF27" s="171" t="s">
        <v>1070</v>
      </c>
      <c r="AG27" s="177">
        <f>IFERROR(__xludf.DUMMYFUNCTION("IF(
  ISNUMBER(AG26),
  MIN(MAX(
    AG26
    + MAX(
      ROUNDDOWN(($D27 - MAX(IFERROR(FILTER($D$24:$D26, AG$24:AG26 &lt;&gt; AF$6, AG$23:AG25 = AF$6), 0))) * (60 * 60 * 24) / AF$9) - ROUNDDOWN(($D26 - MAX(IFERROR(FILTER($D$23:$D25, AG$23:AG25 &lt;&gt; AF$6, AG$22:"&amp;"AG24 = AF$6), 0))) * (60 * 60 * 24) / 60),
      0
    )
    - COUNTIF(AF27, ""&lt;&gt;-""),
  0), AF$6),
  AF$6 - COUNTIF(AF27, ""&lt;&gt;-"")
)"),2.0)</f>
        <v>2</v>
      </c>
      <c r="AH27" s="173" t="b">
        <v>0</v>
      </c>
      <c r="AI27" s="173" t="b">
        <v>0</v>
      </c>
      <c r="AJ27" s="173" t="b">
        <v>0</v>
      </c>
      <c r="AK27" s="174" t="b">
        <v>0</v>
      </c>
      <c r="AL27" s="175" t="b">
        <v>0</v>
      </c>
      <c r="AM27" s="173" t="b">
        <v>0</v>
      </c>
      <c r="AN27" s="171" t="s">
        <v>1070</v>
      </c>
      <c r="AO27" s="173" t="b">
        <v>0</v>
      </c>
      <c r="AP27" s="173" t="b">
        <v>0</v>
      </c>
      <c r="AQ27" s="173" t="b">
        <v>0</v>
      </c>
      <c r="AR27" s="174" t="b">
        <v>0</v>
      </c>
      <c r="AS27" s="178" t="b">
        <v>0</v>
      </c>
      <c r="AT27" s="179" t="b">
        <v>0</v>
      </c>
      <c r="AU27" s="180" t="b">
        <v>0</v>
      </c>
      <c r="AV27" s="180" t="b">
        <v>0</v>
      </c>
      <c r="AW27" s="180" t="b">
        <v>0</v>
      </c>
      <c r="AX27" s="180" t="b">
        <v>0</v>
      </c>
      <c r="AY27" s="181" t="s">
        <v>1070</v>
      </c>
      <c r="AZ27" s="181" t="s">
        <v>1070</v>
      </c>
      <c r="BA27" s="184">
        <f>IFERROR(__xludf.DUMMYFUNCTION("IF(
  ISNUMBER(BA26),
  MIN(MAX(
    BA26
    + MAX(
      ROUNDDOWN((D27 - MAX(IFERROR(FILTER(D$24:D26, BA$24:BA26 &lt;&gt; AZ$6, BA$23:BA25 = AZ$6), 0))) * (60 * 60 * 24) / AZ$9) - ROUNDDOWN((D26 - MAX(IFERROR(FILTER(D$23:D25, BA$23:BA25 &lt;&gt; AZ$6, BA$22:BA24 ="&amp;" AZ$6), 0))) * (60 * 60 * 24) / AZ$9),
      0
    )
    - COUNTIF(AZ27, ""&lt;&gt;-""),
  0), AZ$6),
  AZ$6 - COUNTIF(AZ27, ""&lt;&gt;-"")
)"),2.0)</f>
        <v>2</v>
      </c>
      <c r="BB27" s="181" t="s">
        <v>1070</v>
      </c>
      <c r="BC27" s="183">
        <f>IFERROR(__xludf.DUMMYFUNCTION("IF(
  ISNUMBER(BC26),
  MIN(MAX(
    BC26
    + MAX(
      ROUNDDOWN(($D27 - MAX(IFERROR(FILTER($D$24:$D26, BC$24:BC26 &lt;&gt; BB$6, BC$23:BC25 = BB$6), 0))) * (60 * 60 * 24) / BB$9) - ROUNDDOWN(($D26 - MAX(IFERROR(FILTER($D$23:$D25, BC$23:BC25 &lt;&gt; BB$6, BC$22:"&amp;"BC24 = BB$6), 0))) * (60 * 60 * 24) / 60),
      0
    )
    - COUNTIF(BB27, ""&lt;&gt;-""),
  0), BB$6),
  BB$6 - COUNTIF(BB27, ""&lt;&gt;-"")
)"),2.0)</f>
        <v>2</v>
      </c>
      <c r="BD27" s="181" t="s">
        <v>1070</v>
      </c>
      <c r="BE27" s="178" t="b">
        <v>0</v>
      </c>
      <c r="BF27" s="180" t="b">
        <v>0</v>
      </c>
      <c r="BG27" s="180" t="b">
        <v>0</v>
      </c>
      <c r="BH27" s="180" t="b">
        <v>0</v>
      </c>
      <c r="BI27" s="180" t="b">
        <v>0</v>
      </c>
      <c r="BJ27" s="180" t="b">
        <v>0</v>
      </c>
      <c r="BK27" s="180" t="b">
        <v>0</v>
      </c>
      <c r="BL27" s="180" t="b">
        <v>0</v>
      </c>
      <c r="BM27" s="180" t="b">
        <v>0</v>
      </c>
      <c r="BN27" s="180" t="b">
        <v>0</v>
      </c>
      <c r="BO27" s="181" t="s">
        <v>1070</v>
      </c>
      <c r="BP27" s="181" t="s">
        <v>1070</v>
      </c>
      <c r="BQ27" s="181" t="s">
        <v>1070</v>
      </c>
      <c r="BR27" s="181" t="s">
        <v>1070</v>
      </c>
      <c r="BS27" s="181" t="s">
        <v>1070</v>
      </c>
      <c r="BT27" s="184">
        <f>IFERROR(__xludf.DUMMYFUNCTION("IF(
  ISNUMBER(BT26),
  MIN(MAX(
    BT26
    + MAX(
      ROUNDDOWN((D27 - MAX(IFERROR(FILTER(D$24:D26, BT$24:BT26 &lt;&gt; BS$6, BT$23:BT25 = BS$6), 0))) * (60 * 60 * 24) / BS$9) - ROUNDDOWN((D26 - MAX(IFERROR(FILTER(D$23:D25, BT$23:BT25 &lt;&gt; BS$6, BT$22:BT24 ="&amp;" BS$6), 0))) * (60 * 60 * 24) / BS$9),
      0
    )
    - COUNTIF(BS27, ""&lt;&gt;-""),
  0), BS$6),
  BS$6 - COUNTIF(BS27, ""&lt;&gt;-"")
)"),3.0)</f>
        <v>3</v>
      </c>
      <c r="BU27" s="181" t="s">
        <v>1070</v>
      </c>
      <c r="BV27" s="181" t="s">
        <v>1070</v>
      </c>
      <c r="BW27" s="184">
        <f>IFERROR(__xludf.DUMMYFUNCTION("IF(
  ISNUMBER(BW26),
  MIN(MAX(
    BW26
    + MAX(
      ROUNDDOWN((D27 - MAX(IFERROR(FILTER(D$24:D26, BW$24:BW26 &lt;&gt; BV$6, BW$23:BW25 = BV$6), 0))) * (60 * 60 * 24) / BV$9) - ROUNDDOWN((D26 - MAX(IFERROR(FILTER(D$23:D25, BW$23:BW25 &lt;&gt; BV$6, BW$22:BW24 ="&amp;" BV$6), 0))) * (60 * 60 * 24) / BV$9),
      0
    )
    - COUNTIF(BV27, ""&lt;&gt;-""),
  0), BV$6),
  BV$6 - COUNTIF(BV27, ""&lt;&gt;-"")
)"),2.0)</f>
        <v>2</v>
      </c>
      <c r="BX27" s="185" t="s">
        <v>1070</v>
      </c>
      <c r="BY27" s="178" t="b">
        <v>0</v>
      </c>
      <c r="BZ27" s="180" t="b">
        <v>0</v>
      </c>
      <c r="CA27" s="180" t="b">
        <v>0</v>
      </c>
      <c r="CB27" s="180" t="b">
        <v>0</v>
      </c>
      <c r="CC27" s="180" t="b">
        <v>0</v>
      </c>
      <c r="CD27" s="180" t="b">
        <v>0</v>
      </c>
      <c r="CE27" s="180" t="b">
        <v>0</v>
      </c>
      <c r="CF27" s="180" t="b">
        <v>0</v>
      </c>
      <c r="CG27" s="180" t="b">
        <v>0</v>
      </c>
      <c r="CH27" s="180" t="b">
        <v>0</v>
      </c>
      <c r="CI27" s="180" t="b">
        <v>0</v>
      </c>
      <c r="CJ27" s="180" t="b">
        <v>0</v>
      </c>
      <c r="CK27" s="180" t="b">
        <v>0</v>
      </c>
      <c r="CL27" s="180" t="b">
        <v>0</v>
      </c>
      <c r="CM27" s="181" t="s">
        <v>1070</v>
      </c>
      <c r="CN27" s="181" t="s">
        <v>1070</v>
      </c>
      <c r="CO27" s="181" t="s">
        <v>1070</v>
      </c>
      <c r="CP27" s="181" t="s">
        <v>1070</v>
      </c>
      <c r="CQ27" s="185" t="s">
        <v>1070</v>
      </c>
      <c r="CR27" s="180" t="b">
        <v>0</v>
      </c>
      <c r="CS27" s="186" t="str">
        <f t="shared" si="14"/>
        <v>◇◇◇</v>
      </c>
      <c r="CT27" s="178" t="b">
        <v>0</v>
      </c>
      <c r="CU27" s="180" t="b">
        <v>0</v>
      </c>
      <c r="CV27" s="180" t="b">
        <v>0</v>
      </c>
      <c r="CW27" s="180" t="b">
        <v>0</v>
      </c>
      <c r="CX27" s="180" t="b">
        <v>0</v>
      </c>
      <c r="CY27" s="180" t="b">
        <v>0</v>
      </c>
      <c r="CZ27" s="180" t="b">
        <v>0</v>
      </c>
      <c r="DA27" s="180" t="b">
        <v>0</v>
      </c>
      <c r="DB27" s="180" t="b">
        <v>0</v>
      </c>
      <c r="DC27" s="180" t="b">
        <v>0</v>
      </c>
      <c r="DD27" s="181" t="s">
        <v>1070</v>
      </c>
      <c r="DE27" s="181" t="s">
        <v>1070</v>
      </c>
      <c r="DF27" s="181" t="s">
        <v>1070</v>
      </c>
      <c r="DG27" s="185" t="s">
        <v>1070</v>
      </c>
      <c r="DH27" s="180" t="b">
        <v>0</v>
      </c>
      <c r="DI27" s="187" t="str">
        <f>IFERROR(__xludf.DUMMYFUNCTION("SWITCH(
  IF(
    ISTEXT(DI26),
    IF (
      FIND(""○"", DI26&amp;""○"") &gt; 3,
      3,
      FIND(""○"", DI26&amp;""○"")
      + MAX(
        ROUNDDOWN(($D27 - MAX(IFERROR(FILTER(D$24:D26, DI$24:DI26 &lt;&gt; ""●●●"", DI$23:DI25 = ""●●●""), 0))) * (60 * 60 * 24) / 20"&amp;") - ROUNDDOWN(($D26 - MAX(IFERROR(FILTER(D$23:D25, DI$23:DI25 &lt;&gt; ""●●●"", DI$22:DI24 = ""●●●""), 0))) * (60 * 60 * 24) / 20),
        0
      ) - 1
    ) - COUNTIFS(CU27, ""=TRUE"", CU26, ""&lt;&gt;TRUE"") - COUNTIF(CZ27, ""=TRUE"") - COUNTIF({DD27,DE27}, ""&lt;&gt;-"&amp;""") + COUNTIF(DH27, ""=TRUE""),
    3
  ),
  0, ""○○○"", 1, ""●○○"", 2, ""●●○"", 3, ""●●●"", 4, ""●●●"", ""○○○""
)"),"●●●")</f>
        <v>●●●</v>
      </c>
      <c r="DJ27" s="188" t="b">
        <v>0</v>
      </c>
      <c r="DK27" s="189" t="b">
        <v>0</v>
      </c>
      <c r="DL27" s="190" t="b">
        <v>0</v>
      </c>
      <c r="DM27" s="190" t="b">
        <v>0</v>
      </c>
      <c r="DN27" s="190" t="b">
        <v>0</v>
      </c>
      <c r="DO27" s="190" t="b">
        <v>0</v>
      </c>
      <c r="DP27" s="190" t="b">
        <v>0</v>
      </c>
      <c r="DQ27" s="191" t="b">
        <v>0</v>
      </c>
      <c r="DR27" s="192" t="b">
        <v>0</v>
      </c>
      <c r="DS27" s="191" t="b">
        <v>0</v>
      </c>
      <c r="DT27" s="192" t="b">
        <v>0</v>
      </c>
      <c r="DU27" s="191" t="b">
        <v>0</v>
      </c>
      <c r="DV27" s="193" t="s">
        <v>1070</v>
      </c>
      <c r="DW27" s="194" t="b">
        <v>0</v>
      </c>
      <c r="DX27" s="194" t="b">
        <v>0</v>
      </c>
      <c r="DY27" s="195" t="b">
        <v>0</v>
      </c>
      <c r="DZ27" s="196" t="b">
        <v>0</v>
      </c>
      <c r="EA27" s="195" t="b">
        <v>0</v>
      </c>
      <c r="EB27" s="197" t="b">
        <v>0</v>
      </c>
      <c r="EC27" s="197" t="b">
        <v>0</v>
      </c>
      <c r="ED27" s="212" t="b">
        <v>0</v>
      </c>
      <c r="EE27" s="199">
        <f>IFERROR(__xludf.DUMMYFUNCTION("IFERROR(
   PRODUCT(
     MAP(
       INDEX(TRANSPOSE(UNIQUE(TRANSPOSE(FILTER({IF($F27=""Physical"", K$10:ED$10, IF($F27=""Magic"", K$11:ED$11, K$12:ED$12));K$4:ED$4;K27:ED27}, K27:ED27=TRUE)))), 1, 0),
       INDEX(TRANSPOSE(UNIQUE(TRANSPOSE(FILTER({IF($"&amp;"F27=""Physical"", K$18:ED$18, IF($F27=""Magic"", K$19:ED$19, K$20:ED$20));K$4:ED$4;K27:ED27}, K27:ED27=TRUE)))), 1, 0),
       INDEX(TRANSPOSE(UNIQUE(TRANSPOSE(FILTER({K$5:ED$5;K$4:ED$4;K27:ED27}, K27:ED27=TRUE)))), 1, 0),
       INDEX(TRANSPOSE(UNIQUE(TR"&amp;"ANSPOSE(FILTER({K$17:ED$17;K$4:ED$4;K27:ED27}, K27:ED27=TRUE)))), 1, 0),
       LAMBDA(
         mitigation,
         enhance,
         assign,
         precondition,
         IF(
           REGEXMATCH(assign, ""RANGE_PARTY|SINGLE_ENEMY|RANGE_ENEMY""),
  "&amp;"         IF(
             OR(ARRAYFORMULA((IF(precondition="""", FALSE, REGEXMATCH(K$4:ED$4, precondition))) * (K27:ED27=TRUE))),
             IF(ISNUMBER(enhance), enhance, 1),
             IF(ISNUMBER(mitigation), mitigation, 1)
           ),
          "&amp;" 1
         )
       )
     )
   ),
   1
 )"),1.0)</f>
        <v>1</v>
      </c>
      <c r="EF27" s="200">
        <f>IFERROR(__xludf.DUMMYFUNCTION("PRODUCT(
   MAP(
     K$14:ED$14,
     K$13:ED$13,
     K27:ED27,
     LAMBDA(
       buff,
       target,
       check,
       IF(
         AND(check=TRUE, REGEXMATCH(target, ""RANGE_AFFECTED_ALL|RANGE_EFFECTED_ALL""), ISNUMBER(buff)),
         buff,
   "&amp;"      1
       )
     )
   )
 )"),1.0)</f>
        <v>1</v>
      </c>
      <c r="EG27" s="200">
        <f>IFERROR(__xludf.DUMMYFUNCTION("PRODUCT(
   MAP(
     K$14:ED$14,
     K$13:ED$13,
     K27:ED27,
     LAMBDA(
       buff,
       target,
       check,
       IF(
         AND(check=TRUE, REGEXMATCH(target, ""RANGE_AFFECTED_GCD|RANGE_EFFECTED_GCD""), ISNUMBER(buff)),
         buff,
   "&amp;"      1
       )
     )
   )
 )"),1.0)</f>
        <v>1</v>
      </c>
      <c r="EH27" s="200">
        <f>IFERROR(__xludf.DUMMYFUNCTION("PRODUCT(
   MAP(
     K$3:ED$3,
     K$14:ED$14,
     K$13:ED$13,
     K27:ED27,
     LAMBDA(
       job,
       buff,
       target,
       check,
       IF(
         AND(check=TRUE, REGEXMATCH(target, ""SELF_EFFECTED_ALL""), ISNUMBER(buff), job=""白魔道士"""&amp;"),
         buff,
         1
       )
     )
   )
 )"),1.0)</f>
        <v>1</v>
      </c>
      <c r="EI27" s="200">
        <f>IFERROR(__xludf.DUMMYFUNCTION("PRODUCT(
   MAP(
     K$3:ED$3,
     K$14:ED$14,
     K$13:ED$13,
     K27:ED27,
     LAMBDA(
       job,
       buff,
       target,
       check,
       IF(
         AND(check=TRUE, REGEXMATCH(target, ""SELF_EFFECTED_GCD""), ISNUMBER(buff), job=""白魔道士"""&amp;"),
         buff,
         1
       )
     )
   )
 )"),1.0)</f>
        <v>1</v>
      </c>
      <c r="EJ27" s="200">
        <f>IFERROR(__xludf.DUMMYFUNCTION("PRODUCT(
   MAP(
     K$3:ED$3,
     K$14:ED$14,
     K$13:ED$13,
     K27:ED27,
     LAMBDA(
       job,
       buff,
       target,
       check,
       IF(
         AND(check=TRUE, REGEXMATCH(target, ""SELF_EFFECTED_ALL""), ISNUMBER(buff), job=""占星術師"""&amp;"),
         buff,
         1
       )
     )
   )
 )"),1.0)</f>
        <v>1</v>
      </c>
      <c r="EK27" s="200">
        <f>IFERROR(__xludf.DUMMYFUNCTION("PRODUCT(
   MAP(
     K$3:ED$3,
     K$14:ED$14,
     K$13:ED$13,
     K27:ED27,
     LAMBDA(
       job,
       buff,
       target,
       check,
       IF(
         AND(check=TRUE, REGEXMATCH(target, ""SELF_EFFECTED_GCD""), ISNUMBER(buff), job=""占星術師"""&amp;"),
         buff,
         1
       )
     )
   )
 )"),1.0)</f>
        <v>1</v>
      </c>
      <c r="EL27" s="200">
        <f>IFERROR(__xludf.DUMMYFUNCTION("PRODUCT(
   MAP(
     K$3:ED$3,
     K$14:ED$14,
     K$13:ED$13,
     K27:ED27,
     LAMBDA(
       job,
       buff,
       target,
       check,
       IF(
         AND(check=TRUE, REGEXMATCH(target, ""SELF_EFFECTED_ALL""), ISNUMBER(buff), job=""学者""),"&amp;"
         buff,
         1
       )
     )
   )
 )"),1.0)</f>
        <v>1</v>
      </c>
      <c r="EM27" s="200">
        <f>IFERROR(__xludf.DUMMYFUNCTION("PRODUCT(
   MAP(
     K$3:ED$3,
     K$14:ED$14,
     K$13:ED$13,
     K27:ED27,
     LAMBDA(
       job,
       buff,
       target,
       check,
       IF(
         AND(check=TRUE, REGEXMATCH(target, ""SELF_EFFECTED_GCD""), ISNUMBER(buff), job=""学者""),"&amp;"
         buff,
         1
       )
     )
   )
 )"),1.0)</f>
        <v>1</v>
      </c>
      <c r="EN27" s="200">
        <f>IFERROR(__xludf.DUMMYFUNCTION("PRODUCT(
   MAP(
     K$3:ED$3,
     K$14:ED$14,
     K$13:ED$13,
     K27:ED27,
     LAMBDA(
       job,
       buff,
       target,
       check,
       IF(
         AND(check=TRUE, REGEXMATCH(target, ""SELF_EFFECTED_ALL""), ISNUMBER(buff), job=""賢者""),"&amp;"
         buff,
         1
       )
     )
   )
 )"),1.0)</f>
        <v>1</v>
      </c>
      <c r="EO27" s="200">
        <f>IFERROR(__xludf.DUMMYFUNCTION("PRODUCT(
   MAP(
     K$3:ED$3,
     K$14:ED$14,
     K$13:ED$13,
     K27:ED27,
     LAMBDA(
       job,
       buff,
       target,
       check,
       IF(
         AND(check=TRUE, REGEXMATCH(target, ""SELF_EFFECTED_GCD""), ISNUMBER(buff), job=""賢者""),"&amp;"
         buff,
         1
       )
     )
   )
 )"),1.0)</f>
        <v>1</v>
      </c>
      <c r="EP27" s="201">
        <f t="shared" si="3"/>
        <v>0</v>
      </c>
      <c r="EQ27" s="201">
        <f>IFERROR(__xludf.DUMMYFUNCTION("SUM(
   MAP(
     K$4:ED$4,
     K$3:ED$3,
     K$7:ED$7,
     K$15:ED$15,
     K$16:ED$16,
     K$21:ED$21,
     K$5:ED$5,
     K$17:ED$17,
     K27:ED27,
     LAMBDA(
       name,
       job,
       abillity,
       buff,
       barrier,
       enhance,"&amp;"
       assign,
       precondition,
       check,
       SWITCH(
         name,
         ""シェイクオフ"", IF(check=TRUE, buff + (0.02 * COUNTIF(ARRAYFORMULA((REGEXMATCH($K$4:$ED$4, ""スリル・オブ・バトル|ヴェンジェンス|原初の血気|ダムネーション"")) * (K27:ED27=TRUE)), 1)), 0),
         "&amp;"""インプロビゼーションフィニッシュ(踊りの激情0)"", IF(ISNUMBER(check), INDEX(Skill!$AJ:$AJ, MATCH(SUBSTITUTE(DV$4, 0, check), Skill!$C:$C, 0)), 0),
         IF(
           AND(check=TRUE, REGEXMATCH(assign, ""RANGE_PARTY"")),
           IF(
             OR(ARRAYFORMULA((IF(pr"&amp;"econdition="""", FALSE, REGEXMATCH($K$4:$ED$4, precondition))) * (K27:ED27=TRUE))),
             enhance,
             IF(barrier="""", buff, barrier)
           ),
           0
         )
       ) *
       SWITCH(
         job,
         ""ナイト"", EY$24,
 "&amp;"        ""戦士"", FD$24,
         ""踊り子"", ET$24,
         ""ピクトマンサー"", ET$24,
         ""白魔道士"", EF27 * EH27 * IF(abillity, 1, EG27 * EI27) * (Option!$D$22 * 0.81 / 100),
         ""占星術師"", EF27 * EJ27 * IF(abillity, 1, EG27 * EK27) * (Option!$D$23 * 0.81 "&amp;"/ 100),
         ""学者"", EF27 * EL27 * IF(abillity, 1, EG27 * EM27) * (Option!$D$24 * 0.81 / 100),
         ""賢者"", EF27 * EN27 * IF(abillity, 1, EG27 * EO27) * (Option!$D$25 * 0.81 / 100),
         1
       )
     )
   )
 )"),0.0)</f>
        <v>0</v>
      </c>
      <c r="ER27" s="202">
        <f t="shared" si="4"/>
        <v>0</v>
      </c>
      <c r="ES27" s="203">
        <f t="shared" si="5"/>
        <v>0</v>
      </c>
      <c r="ET27" s="231" t="str">
        <f>IFERROR(__xludf.DUMMYFUNCTION("IFS(
  EP27 &gt; $ET$24 + EQ27,
  SPARKLINE({ 1, 0 }, {""charttype"",""bar"";""max"", 1;""color1"",Option!$D$30;""color2"",Option!$D$30}),
  EP27 &lt; EQ27,
  SPARKLINE({EQ27 - EP27, $ET$24 - (EQ27 - EP27)}, {""charttype"",""bar"";""max"",$ET$24;""color1"",Opti"&amp;"on!$D$28;""color2"",Option!$D$29}),
  EP27 &gt;= EQ27,
  SPARKLINE({$ET$24 + EQ27 - EP27,EP27 - EQ27}, {""charttype"",""bar"";""max"",$ET$24;""color1"",Option!$D$29;""color2"",Option!$D$30})
)"),"")</f>
        <v/>
      </c>
      <c r="EU27" s="205">
        <f>IFERROR(__xludf.DUMMYFUNCTION("PRODUCT(
   MAP(
     IF($F27=""Physical"", K$10:ED$10, IF($F27=""Magic"", K$11:ED$11, K$12:ED$12)),
     IF($F27=""Physical"", K$18:ED$18, IF($F27=""Magic"", K$19:ED$19, K$20:ED$20)),
     K$3:ED$3,
     K$5:ED$5,
     K$17:ED$17,
     K27:ED27,
     LAM"&amp;"BDA(
       mitigation,
       enhance,
       job,
       assign,
       precondition,
       check,
       IF(
         OR(AND(check=TRUE, REGEXMATCH(assign, ""SELF""), job=""ナイト""), AND(check=Option!$E$13, REGEXMATCH(assign, ""SINGLE_PARTY""))),
      "&amp;"   IF(
           OR(ARRAYFORMULA((IF(precondition="""", FALSE, REGEXMATCH($K$4:$ED$4, precondition))) * (K27:ED27=TRUE))),
           enhance,
           mitigation
         ),
         1
       )
     )
   )
 ) * EE27"),1.0)</f>
        <v>1</v>
      </c>
      <c r="EV27" s="206">
        <f t="shared" si="6"/>
        <v>0</v>
      </c>
      <c r="EW27" s="205">
        <f>IFERROR(__xludf.DUMMYFUNCTION("PRODUCT(
   MAP(
     K$3:ED$3,
     K$14:ED$14,
     K$13:ED$13,
     K27:ED27,
     LAMBDA(
       job,
       buff,
       target,
       check,
       IF(
         OR(AND(check=TRUE, REGEXMATCH(target, ""SELF_AFFECTED_ALL""), job=""ナイト""), AND(check=O"&amp;"ption!$E$13, REGEXMATCH(target, ""SINGLE_AFFECTED_ALL""))),
         buff,
         1
       )
     )
   )
 )"),1.0)</f>
        <v>1</v>
      </c>
      <c r="EX27" s="206">
        <f>IFERROR(__xludf.DUMMYFUNCTION("SUM(
   MAP(
     K$3:ED$3,
     K$7:ED$7,
     K$15:ED$15,
     K$16:ED$16,
     K$21:ED$21,
     K$5:ED$5,
     K$17:ED$17,
     K27:ED27,
     LAMBDA(
       job,
       abillity,
       buff,
       barrier,
       enhance,
       assign,
       preco"&amp;"ndition,
       check,
       IF(
         OR(AND(check=TRUE, REGEXMATCH(assign, ""SELF""), job=""ナイト""), AND(check=Option!$E$13, REGEXMATCH(assign, ""SINGLE_PARTY""))),
         IF(
           OR(ARRAYFORMULA((IF(precondition="""", FALSE, REGEXMATCH($K$4"&amp;":$ED$4, precondition))) * (K27:ED27=TRUE))),
           enhance,
           IF(barrier="""", buff, barrier)
         ),
         0
       ) *
       SWITCH(
         job,
         ""暗黒騎士"", EY$24,
         ""白魔道士"", EF27 * EH27 * EW27 * IF(abillity, 1, EG"&amp;"27 * EI27) * (Option!$D$22 * 0.81 / 100),
         ""占星術師"", EF27 * EJ27 * EW27 * IF(abillity, 1, EG27 * EK27) * (Option!$D$23 * 0.81 / 100),
         ""学者"", EF27 * EL27 * EW27 * IF(abillity, 1, EG27 * EM27) * (Option!$D$24 * 0.81 / 100),
         ""賢者"""&amp;", EF27 * EN27 * EW27 * IF(abillity, 1, EG27 * EO27) * (Option!$D$25 * 0.81 / 100),
         1
       )
     )
   )
 ) + EQ27"),0.0)</f>
        <v>0</v>
      </c>
      <c r="EY27" s="232">
        <f t="shared" si="7"/>
        <v>0</v>
      </c>
      <c r="EZ27" s="205">
        <f>IFERROR(__xludf.DUMMYFUNCTION("PRODUCT(
   MAP(
     IF($F27=""Physical"", K$10:ED$10, IF($F27=""Magic"", K$11:ED$11, K$12:ED$12)),
     IF($F27=""Physical"", K$18:ED$18, IF($F27=""Magic"", K$19:ED$19, K$20:ED$20)),
     K$3:ED$3,
     K$5:ED$5,
     K$17:ED$17,
     K27:ED27,
     LAM"&amp;"BDA(
       mitigation,
       enhance,
       job,
       assign,
       precondition,
       check,
       IF(
         OR(AND(check=TRUE, REGEXMATCH(assign, ""SELF""), job=""戦士""), AND(check=Option!$F$13, REGEXMATCH(assign, ""SINGLE_PARTY""))),
       "&amp;"  IF(
           OR(ARRAYFORMULA((IF(precondition="""", FALSE, REGEXMATCH($K$4:$ED$4, precondition))) * (K27:ED27=TRUE))),
           enhance,
           mitigation
         ),
         1
       )
     )
   )
 ) * EE27"),1.0)</f>
        <v>1</v>
      </c>
      <c r="FA27" s="206">
        <f t="shared" si="8"/>
        <v>0</v>
      </c>
      <c r="FB27" s="205">
        <f>IFERROR(__xludf.DUMMYFUNCTION("PRODUCT(
   MAP(
     K$3:ED$3,
     K$14:ED$14,
     K$13:ED$13,
     K27:ED27,
     LAMBDA(
       job,
       buff,
       target,
       check,
       IF(
         OR(AND(check=TRUE, REGEXMATCH(target, ""SELF_AFFECTED_ALL""), job=""戦士""), AND(check=Op"&amp;"tion!$F$13, REGEXMATCH(target, ""SINGLE_AFFECTED_ALL""))),
         buff,
         1
       )
     )
   )
 )"),1.0)</f>
        <v>1</v>
      </c>
      <c r="FC27" s="206">
        <f>IFERROR(__xludf.DUMMYFUNCTION("SUM(
   MAP(
     K$3:ED$3,
     K$7:ED$7,
     K$15:ED$15,
     K$16:ED$16,
     K$21:ED$21,
     K$5:ED$5,
     K$17:ED$17,
     K27:ED27,
     LAMBDA(
       job,
       abillity,
       buff,
       barrier,
       enhance,
       assign,
       preco"&amp;"ndition,
       check,
       IF(
         OR(AND(check=TRUE, REGEXMATCH(assign, ""SELF""), job=""戦士""), AND(check=Option!$F$13, REGEXMATCH(assign, ""SINGLE_PARTY""))),
         IF(
           OR(ARRAYFORMULA((IF(precondition="""", FALSE, REGEXMATCH($K$4:"&amp;"$ED$4, precondition))) * (K27:ED27=TRUE))),
           enhance,
           IF(barrier="""", buff, barrier)
         ),
         0
       ) *
       SWITCH(
         job,
         ""暗黒騎士"", FD$24,
         ""白魔道士"", EF27 * EH27 * FB27 * IF(abillity, 1, EG2"&amp;"7 * EI27) * (Option!$D$22 * 0.81 / 100),
         ""占星術師"", EF27 * EJ27 * FFB27 * IF(abillity, 1, EG27 * EK27) * (Option!$D$23 * 0.81 / 100),
         ""学者"", EF27 * EL27 * FB27 * IF(abillity, 1, EG27 * EM27) * (Option!$D$24 * 0.81 / 100),
         ""賢者"""&amp;", EF27 * EN27 * FB27 * IF(abillity, 1, EG27 * EO27) * (Option!$D$25 * 0.81 / 100),
         1
       )
     )
   )
 ) + EQ27"),0.0)</f>
        <v>0</v>
      </c>
      <c r="FD27" s="206">
        <f t="shared" si="9"/>
        <v>0</v>
      </c>
      <c r="FE27" s="205">
        <f>IFERROR(__xludf.DUMMYFUNCTION("PRODUCT(
   MAP(
     IF($F27=""Physical"", K$10:ED$10, IF($F27=""Magic"", K$11:ED$11, K$12:ED$12)),
     IF($F27=""Physical"", K$18:ED$18, IF($F27=""Magic"", K$19:ED$19, K$20:ED$20)),
     K$3:ED$3,
     K$5:ED$5,
     K$17:ED$17,
     K27:ED27,
     LAM"&amp;"BDA(
       mitigation,
       enhance,
       job,
       assign,
       precondition,
       check,
       IF(
         OR(AND(check=TRUE, REGEXMATCH(assign, ""SELF""), job=""暗黒騎士""), AND(check=Option!$G$13, REGEXMATCH(assign, ""SINGLE_PARTY""))),
     "&amp;"    IF(
           OR(ARRAYFORMULA((IF(precondition="""", FALSE, REGEXMATCH($K$4:$ED$4, precondition))) * (K27:ED27=TRUE))),
           enhance,
           mitigation
         ),
         1
       )
     )
   )
 ) * EE27"),1.0)</f>
        <v>1</v>
      </c>
      <c r="FF27" s="206">
        <f t="shared" si="10"/>
        <v>0</v>
      </c>
      <c r="FG27" s="205">
        <f>IFERROR(__xludf.DUMMYFUNCTION("PRODUCT(
   MAP(
     K$3:ED$3,
     K$14:ED$14,
     K$13:ED$13,
     K27:ED27,
     LAMBDA(
       job,
       buff,
       target,
       check,
       IF(
         OR(AND(check=TRUE, REGEXMATCH(target, ""SELF_AFFECTED_ALL""), job=""暗黒騎士""), AND(check="&amp;"Option!$G$13, REGEXMATCH(target, ""SINGLE_AFFECTED_ALL""))),
         buff,
         1
       )
     )
   )
 )"),1.0)</f>
        <v>1</v>
      </c>
      <c r="FH27" s="206">
        <f>IFERROR(__xludf.DUMMYFUNCTION("SUM(
   MAP(
     K$3:ED$3,
     K$7:ED$7,
     K$15:ED$15,
     K$16:ED$16,
     K$21:ED$21,
     K$5:ED$5,
     K$17:ED$17,
     K27:ED27,
     LAMBDA(
       job,
       abillity,
       buff,
       barrier,
       enhance,
       assign,
       preco"&amp;"ndition,
       check,
       IF(
         OR(AND(check=TRUE, REGEXMATCH(assign, ""SELF""), job=""暗黒騎士""), AND(check=Option!$G$13, REGEXMATCH(assign, ""SINGLE_PARTY""))),
         IF(
           OR(ARRAYFORMULA((IF(precondition="""", FALSE, REGEXMATCH($K$"&amp;"4:$ED$4, precondition))) * (K27:ED27=TRUE))),
           enhance,
           IF(barrier="""", buff, barrier)
         ),
         0
       ) *
       SWITCH(
         job,
         ""暗黒騎士"", FI$24,
         ""白魔道士"", EF27 * EH27 * FG27 * IF(abillity, 1, E"&amp;"G27 * EI27) * (Option!$D$22 * 0.81 / 100),
         ""占星術師"", EF27 * EJ27 * FG27 * IF(abillity, 1, EG27 * EK27) * (Option!$D$23 * 0.81 / 100),
         ""学者"", EF27 * EL27 * FG27 * IF(abillity, 1, EG27 * EM27) * (Option!$D$24 * 0.81 / 100),
         ""賢者"&amp;""", EF27 * EN27 * FG27 * IF(abillity, 1, EG27 * EO27) * (Option!$D$25 * 0.81 / 100),
         1
       )
     )
   )
 ) + EQ27"),0.0)</f>
        <v>0</v>
      </c>
      <c r="FI27" s="206">
        <f t="shared" si="11"/>
        <v>0</v>
      </c>
      <c r="FJ27" s="205">
        <f>IFERROR(__xludf.DUMMYFUNCTION("PRODUCT(
   MAP(
     IF($F27=""Physical"", K$10:ED$10, IF($F27=""Magic"", K$11:ED$11, K$12:ED$12)),
     IF($F27=""Physical"", K$18:ED$18, IF($F27=""Magic"", K$19:ED$19, K$20:ED$20)),
     K$3:ED$3,
     K$5:ED$5,
     K$17:ED$17,
     K27:ED27,
     LAM"&amp;"BDA(
       mitigation,
       enhance,
       job,
       assign,
       precondition,
       check,
       IF(
         OR(AND(check=TRUE, REGEXMATCH(assign, ""SELF""), job=""ガンブレイカー""), AND(check=Option!$H$13, REGEXMATCH(assign, ""SINGLE_PARTY""))),
  "&amp;"       IF(
           OR(ARRAYFORMULA((IF(precondition="""", FALSE, REGEXMATCH($K$4:$ED$4, precondition))) * (K27:ED27=TRUE))),
           enhance,
           mitigation
         ),
         1
       )
     )
   )
 ) * EE27"),1.0)</f>
        <v>1</v>
      </c>
      <c r="FK27" s="206">
        <f t="shared" si="12"/>
        <v>0</v>
      </c>
      <c r="FL27" s="205">
        <f>IFERROR(__xludf.DUMMYFUNCTION("PRODUCT(
   MAP(
     K$3:ED$3,
     K$14:ED$14,
     K$13:ED$13,
     K27:ED27,
     LAMBDA(
       job,
       buff,
       target,
       check,
       IF(
         OR(AND(check=TRUE, REGEXMATCH(target, ""SELF_AFFECTED_ALL""), job=""ガンブレイカー""), AND(che"&amp;"ck=Option!$H$13, REGEXMATCH(target, ""SINGLE_AFFECTED_ALL""))),
         buff,
         1
       )
     )
   )
 )"),1.0)</f>
        <v>1</v>
      </c>
      <c r="FM27" s="206">
        <f>IFERROR(__xludf.DUMMYFUNCTION("SUM(
   MAP(
     K$3:ED$3,
     K$7:ED$7,
     K$15:ED$15,
     K$16:ED$16,
     K$21:ED$21,
     K$5:ED$5,
     K$17:ED$17,
     K27:ED27,
     LAMBDA(
       job,
       abillity,
       buff,
       barrier,
       enhance,
       assign,
       preco"&amp;"ndition,
       check,
       IF(
         OR(AND(check=TRUE, REGEXMATCH(assign, ""SELF""), job=""ガンブレイカー""), AND(check=Option!$H$13, REGEXMATCH(assign, ""SINGLE_PARTY""))),
         IF(
           OR(ARRAYFORMULA((IF(precondition="""", FALSE, REGEXMATCH("&amp;"$K$4:$ED$4, precondition))) * (K27:ED27=TRUE))),
           enhance,
           IF(barrier="""", buff, barrier)
         ),
         0
       ) *
       SWITCH(
         job,
         ""暗黒騎士"", FN$24,
         ""白魔道士"", EF27 * EH27 * FL27 * IF(abillity, 1"&amp;", EG27 * EI27) * (Option!$D$22 * 0.81 / 100),
         ""占星術師"", EF27 * EJ27 * FL27 * IF(abillity, 1, EG27 * EK27) * (Option!$D$23 * 0.81 / 100),
         ""学者"", EF27 * EL27 * FL27 * IF(abillity, 1, EG27 * EM27) * (Option!$D$24 * 0.81 / 100),
         """&amp;"賢者"", EF27 * EN27 * FL27 * IF(abillity, 1, EG27 * EO27) * (Option!$D$25 * 0.81 / 100),
         1
       )
     )
   )
 ) + EQ27"),0.0)</f>
        <v>0</v>
      </c>
      <c r="FN27" s="206">
        <f t="shared" si="13"/>
        <v>0</v>
      </c>
      <c r="FO27" s="213"/>
    </row>
    <row r="28">
      <c r="B28" s="229"/>
      <c r="C28" s="217">
        <f t="shared" si="1"/>
        <v>0</v>
      </c>
      <c r="D28" s="236"/>
      <c r="E28" s="238"/>
      <c r="F28" s="167"/>
      <c r="G28" s="168" t="str">
        <f t="shared" si="2"/>
        <v/>
      </c>
      <c r="H28" s="169"/>
      <c r="I28" s="169"/>
      <c r="J28" s="169"/>
      <c r="K28" s="170" t="b">
        <v>0</v>
      </c>
      <c r="L28" s="170" t="b">
        <v>0</v>
      </c>
      <c r="M28" s="170" t="b">
        <v>0</v>
      </c>
      <c r="N28" s="171" t="s">
        <v>1070</v>
      </c>
      <c r="O28" s="172" t="b">
        <v>0</v>
      </c>
      <c r="P28" s="173" t="b">
        <v>0</v>
      </c>
      <c r="Q28" s="173" t="b">
        <v>0</v>
      </c>
      <c r="R28" s="173" t="b">
        <v>0</v>
      </c>
      <c r="S28" s="174" t="b">
        <v>0</v>
      </c>
      <c r="T28" s="175" t="b">
        <v>0</v>
      </c>
      <c r="U28" s="173" t="b">
        <v>0</v>
      </c>
      <c r="V28" s="171" t="s">
        <v>1070</v>
      </c>
      <c r="W28" s="172" t="b">
        <v>0</v>
      </c>
      <c r="X28" s="173" t="b">
        <v>0</v>
      </c>
      <c r="Y28" s="173" t="b">
        <v>0</v>
      </c>
      <c r="Z28" s="173" t="b">
        <v>0</v>
      </c>
      <c r="AA28" s="174" t="b">
        <v>0</v>
      </c>
      <c r="AB28" s="174" t="b">
        <v>0</v>
      </c>
      <c r="AC28" s="175" t="b">
        <v>0</v>
      </c>
      <c r="AD28" s="173" t="b">
        <v>0</v>
      </c>
      <c r="AE28" s="176" t="s">
        <v>1070</v>
      </c>
      <c r="AF28" s="171" t="s">
        <v>1070</v>
      </c>
      <c r="AG28" s="177">
        <f>IFERROR(__xludf.DUMMYFUNCTION("IF(
  ISNUMBER(AG27),
  MIN(MAX(
    AG27
    + MAX(
      ROUNDDOWN(($D28 - MAX(IFERROR(FILTER($D$24:$D27, AG$24:AG27 &lt;&gt; AF$6, AG$23:AG26 = AF$6), 0))) * (60 * 60 * 24) / AF$9) - ROUNDDOWN(($D27 - MAX(IFERROR(FILTER($D$23:$D26, AG$23:AG26 &lt;&gt; AF$6, AG$22:"&amp;"AG25 = AF$6), 0))) * (60 * 60 * 24) / 60),
      0
    )
    - COUNTIF(AF28, ""&lt;&gt;-""),
  0), AF$6),
  AF$6 - COUNTIF(AF28, ""&lt;&gt;-"")
)"),2.0)</f>
        <v>2</v>
      </c>
      <c r="AH28" s="173" t="b">
        <v>0</v>
      </c>
      <c r="AI28" s="173" t="b">
        <v>0</v>
      </c>
      <c r="AJ28" s="173" t="b">
        <v>0</v>
      </c>
      <c r="AK28" s="174" t="b">
        <v>0</v>
      </c>
      <c r="AL28" s="175" t="b">
        <v>0</v>
      </c>
      <c r="AM28" s="173" t="b">
        <v>0</v>
      </c>
      <c r="AN28" s="171" t="s">
        <v>1070</v>
      </c>
      <c r="AO28" s="173" t="b">
        <v>0</v>
      </c>
      <c r="AP28" s="173" t="b">
        <v>0</v>
      </c>
      <c r="AQ28" s="173" t="b">
        <v>0</v>
      </c>
      <c r="AR28" s="174" t="b">
        <v>0</v>
      </c>
      <c r="AS28" s="178" t="b">
        <v>0</v>
      </c>
      <c r="AT28" s="179" t="b">
        <v>0</v>
      </c>
      <c r="AU28" s="180" t="b">
        <v>0</v>
      </c>
      <c r="AV28" s="180" t="b">
        <v>0</v>
      </c>
      <c r="AW28" s="180" t="b">
        <v>0</v>
      </c>
      <c r="AX28" s="180" t="b">
        <v>0</v>
      </c>
      <c r="AY28" s="181" t="s">
        <v>1070</v>
      </c>
      <c r="AZ28" s="181" t="s">
        <v>1070</v>
      </c>
      <c r="BA28" s="184">
        <f>IFERROR(__xludf.DUMMYFUNCTION("IF(
  ISNUMBER(BA27),
  MIN(MAX(
    BA27
    + MAX(
      ROUNDDOWN((D28 - MAX(IFERROR(FILTER(D$24:D27, BA$24:BA27 &lt;&gt; AZ$6, BA$23:BA26 = AZ$6), 0))) * (60 * 60 * 24) / AZ$9) - ROUNDDOWN((D27 - MAX(IFERROR(FILTER(D$23:D26, BA$23:BA26 &lt;&gt; AZ$6, BA$22:BA25 ="&amp;" AZ$6), 0))) * (60 * 60 * 24) / AZ$9),
      0
    )
    - COUNTIF(AZ28, ""&lt;&gt;-""),
  0), AZ$6),
  AZ$6 - COUNTIF(AZ28, ""&lt;&gt;-"")
)"),2.0)</f>
        <v>2</v>
      </c>
      <c r="BB28" s="181" t="s">
        <v>1070</v>
      </c>
      <c r="BC28" s="183">
        <f>IFERROR(__xludf.DUMMYFUNCTION("IF(
  ISNUMBER(BC27),
  MIN(MAX(
    BC27
    + MAX(
      ROUNDDOWN(($D28 - MAX(IFERROR(FILTER($D$24:$D27, BC$24:BC27 &lt;&gt; BB$6, BC$23:BC26 = BB$6), 0))) * (60 * 60 * 24) / BB$9) - ROUNDDOWN(($D27 - MAX(IFERROR(FILTER($D$23:$D26, BC$23:BC26 &lt;&gt; BB$6, BC$22:"&amp;"BC25 = BB$6), 0))) * (60 * 60 * 24) / 60),
      0
    )
    - COUNTIF(BB28, ""&lt;&gt;-""),
  0), BB$6),
  BB$6 - COUNTIF(BB28, ""&lt;&gt;-"")
)"),2.0)</f>
        <v>2</v>
      </c>
      <c r="BD28" s="181" t="s">
        <v>1070</v>
      </c>
      <c r="BE28" s="178" t="b">
        <v>0</v>
      </c>
      <c r="BF28" s="180" t="b">
        <v>0</v>
      </c>
      <c r="BG28" s="180" t="b">
        <v>0</v>
      </c>
      <c r="BH28" s="180" t="b">
        <v>0</v>
      </c>
      <c r="BI28" s="180" t="b">
        <v>0</v>
      </c>
      <c r="BJ28" s="180" t="b">
        <v>0</v>
      </c>
      <c r="BK28" s="180" t="b">
        <v>0</v>
      </c>
      <c r="BL28" s="180" t="b">
        <v>0</v>
      </c>
      <c r="BM28" s="180" t="b">
        <v>0</v>
      </c>
      <c r="BN28" s="180" t="b">
        <v>0</v>
      </c>
      <c r="BO28" s="181" t="s">
        <v>1070</v>
      </c>
      <c r="BP28" s="181" t="s">
        <v>1070</v>
      </c>
      <c r="BQ28" s="181" t="s">
        <v>1070</v>
      </c>
      <c r="BR28" s="181" t="s">
        <v>1070</v>
      </c>
      <c r="BS28" s="181" t="s">
        <v>1070</v>
      </c>
      <c r="BT28" s="184">
        <f>IFERROR(__xludf.DUMMYFUNCTION("IF(
  ISNUMBER(BT27),
  MIN(MAX(
    BT27
    + MAX(
      ROUNDDOWN((D28 - MAX(IFERROR(FILTER(D$24:D27, BT$24:BT27 &lt;&gt; BS$6, BT$23:BT26 = BS$6), 0))) * (60 * 60 * 24) / BS$9) - ROUNDDOWN((D27 - MAX(IFERROR(FILTER(D$23:D26, BT$23:BT26 &lt;&gt; BS$6, BT$22:BT25 ="&amp;" BS$6), 0))) * (60 * 60 * 24) / BS$9),
      0
    )
    - COUNTIF(BS28, ""&lt;&gt;-""),
  0), BS$6),
  BS$6 - COUNTIF(BS28, ""&lt;&gt;-"")
)"),3.0)</f>
        <v>3</v>
      </c>
      <c r="BU28" s="181" t="s">
        <v>1070</v>
      </c>
      <c r="BV28" s="181" t="s">
        <v>1070</v>
      </c>
      <c r="BW28" s="184">
        <f>IFERROR(__xludf.DUMMYFUNCTION("IF(
  ISNUMBER(BW27),
  MIN(MAX(
    BW27
    + MAX(
      ROUNDDOWN((D28 - MAX(IFERROR(FILTER(D$24:D27, BW$24:BW27 &lt;&gt; BV$6, BW$23:BW26 = BV$6), 0))) * (60 * 60 * 24) / BV$9) - ROUNDDOWN((D27 - MAX(IFERROR(FILTER(D$23:D26, BW$23:BW26 &lt;&gt; BV$6, BW$22:BW25 ="&amp;" BV$6), 0))) * (60 * 60 * 24) / BV$9),
      0
    )
    - COUNTIF(BV28, ""&lt;&gt;-""),
  0), BV$6),
  BV$6 - COUNTIF(BV28, ""&lt;&gt;-"")
)"),2.0)</f>
        <v>2</v>
      </c>
      <c r="BX28" s="185" t="s">
        <v>1070</v>
      </c>
      <c r="BY28" s="178" t="b">
        <v>0</v>
      </c>
      <c r="BZ28" s="180" t="b">
        <v>0</v>
      </c>
      <c r="CA28" s="180" t="b">
        <v>0</v>
      </c>
      <c r="CB28" s="180" t="b">
        <v>0</v>
      </c>
      <c r="CC28" s="180" t="b">
        <v>0</v>
      </c>
      <c r="CD28" s="180" t="b">
        <v>0</v>
      </c>
      <c r="CE28" s="180" t="b">
        <v>0</v>
      </c>
      <c r="CF28" s="180" t="b">
        <v>0</v>
      </c>
      <c r="CG28" s="180" t="b">
        <v>0</v>
      </c>
      <c r="CH28" s="180" t="b">
        <v>0</v>
      </c>
      <c r="CI28" s="180" t="b">
        <v>0</v>
      </c>
      <c r="CJ28" s="180" t="b">
        <v>0</v>
      </c>
      <c r="CK28" s="180" t="b">
        <v>0</v>
      </c>
      <c r="CL28" s="180" t="b">
        <v>0</v>
      </c>
      <c r="CM28" s="181" t="s">
        <v>1070</v>
      </c>
      <c r="CN28" s="181" t="s">
        <v>1070</v>
      </c>
      <c r="CO28" s="181" t="s">
        <v>1070</v>
      </c>
      <c r="CP28" s="181" t="s">
        <v>1070</v>
      </c>
      <c r="CQ28" s="185" t="s">
        <v>1070</v>
      </c>
      <c r="CR28" s="180" t="b">
        <v>0</v>
      </c>
      <c r="CS28" s="186" t="str">
        <f t="shared" si="14"/>
        <v>◇◇◇</v>
      </c>
      <c r="CT28" s="178" t="b">
        <v>0</v>
      </c>
      <c r="CU28" s="180" t="b">
        <v>0</v>
      </c>
      <c r="CV28" s="180" t="b">
        <v>0</v>
      </c>
      <c r="CW28" s="180" t="b">
        <v>0</v>
      </c>
      <c r="CX28" s="180" t="b">
        <v>0</v>
      </c>
      <c r="CY28" s="180" t="b">
        <v>0</v>
      </c>
      <c r="CZ28" s="180" t="b">
        <v>0</v>
      </c>
      <c r="DA28" s="180" t="b">
        <v>0</v>
      </c>
      <c r="DB28" s="180" t="b">
        <v>0</v>
      </c>
      <c r="DC28" s="180" t="b">
        <v>0</v>
      </c>
      <c r="DD28" s="181" t="s">
        <v>1070</v>
      </c>
      <c r="DE28" s="181" t="s">
        <v>1070</v>
      </c>
      <c r="DF28" s="181" t="s">
        <v>1070</v>
      </c>
      <c r="DG28" s="185" t="s">
        <v>1070</v>
      </c>
      <c r="DH28" s="180" t="b">
        <v>0</v>
      </c>
      <c r="DI28" s="187" t="str">
        <f>IFERROR(__xludf.DUMMYFUNCTION("SWITCH(
  IF(
    ISTEXT(DI27),
    IF (
      FIND(""○"", DI27&amp;""○"") &gt; 3,
      3,
      FIND(""○"", DI27&amp;""○"")
      + MAX(
        ROUNDDOWN(($D28 - MAX(IFERROR(FILTER(D$24:D27, DI$24:DI27 &lt;&gt; ""●●●"", DI$23:DI26 = ""●●●""), 0))) * (60 * 60 * 24) / 20"&amp;") - ROUNDDOWN(($D27 - MAX(IFERROR(FILTER(D$23:D26, DI$23:DI26 &lt;&gt; ""●●●"", DI$22:DI25 = ""●●●""), 0))) * (60 * 60 * 24) / 20),
        0
      ) - 1
    ) - COUNTIFS(CU28, ""=TRUE"", CU27, ""&lt;&gt;TRUE"") - COUNTIF(CZ28, ""=TRUE"") - COUNTIF({DD28,DE28}, ""&lt;&gt;-"&amp;""") + COUNTIF(DH28, ""=TRUE""),
    3
  ),
  0, ""○○○"", 1, ""●○○"", 2, ""●●○"", 3, ""●●●"", 4, ""●●●"", ""○○○""
)"),"●●●")</f>
        <v>●●●</v>
      </c>
      <c r="DJ28" s="188" t="b">
        <v>0</v>
      </c>
      <c r="DK28" s="189" t="b">
        <v>0</v>
      </c>
      <c r="DL28" s="190" t="b">
        <v>0</v>
      </c>
      <c r="DM28" s="190" t="b">
        <v>0</v>
      </c>
      <c r="DN28" s="190" t="b">
        <v>0</v>
      </c>
      <c r="DO28" s="190" t="b">
        <v>0</v>
      </c>
      <c r="DP28" s="190" t="b">
        <v>0</v>
      </c>
      <c r="DQ28" s="191" t="b">
        <v>0</v>
      </c>
      <c r="DR28" s="192" t="b">
        <v>0</v>
      </c>
      <c r="DS28" s="191" t="b">
        <v>0</v>
      </c>
      <c r="DT28" s="192" t="b">
        <v>0</v>
      </c>
      <c r="DU28" s="191" t="b">
        <v>0</v>
      </c>
      <c r="DV28" s="193" t="s">
        <v>1070</v>
      </c>
      <c r="DW28" s="194" t="b">
        <v>0</v>
      </c>
      <c r="DX28" s="194" t="b">
        <v>0</v>
      </c>
      <c r="DY28" s="195" t="b">
        <v>0</v>
      </c>
      <c r="DZ28" s="196" t="b">
        <v>0</v>
      </c>
      <c r="EA28" s="195" t="b">
        <v>0</v>
      </c>
      <c r="EB28" s="197" t="b">
        <v>0</v>
      </c>
      <c r="EC28" s="197" t="b">
        <v>0</v>
      </c>
      <c r="ED28" s="212" t="b">
        <v>0</v>
      </c>
      <c r="EE28" s="199">
        <f>IFERROR(__xludf.DUMMYFUNCTION("IFERROR(
   PRODUCT(
     MAP(
       INDEX(TRANSPOSE(UNIQUE(TRANSPOSE(FILTER({IF($F28=""Physical"", K$10:ED$10, IF($F28=""Magic"", K$11:ED$11, K$12:ED$12));K$4:ED$4;K28:ED28}, K28:ED28=TRUE)))), 1, 0),
       INDEX(TRANSPOSE(UNIQUE(TRANSPOSE(FILTER({IF($"&amp;"F28=""Physical"", K$18:ED$18, IF($F28=""Magic"", K$19:ED$19, K$20:ED$20));K$4:ED$4;K28:ED28}, K28:ED28=TRUE)))), 1, 0),
       INDEX(TRANSPOSE(UNIQUE(TRANSPOSE(FILTER({K$5:ED$5;K$4:ED$4;K28:ED28}, K28:ED28=TRUE)))), 1, 0),
       INDEX(TRANSPOSE(UNIQUE(TR"&amp;"ANSPOSE(FILTER({K$17:ED$17;K$4:ED$4;K28:ED28}, K28:ED28=TRUE)))), 1, 0),
       LAMBDA(
         mitigation,
         enhance,
         assign,
         precondition,
         IF(
           REGEXMATCH(assign, ""RANGE_PARTY|SINGLE_ENEMY|RANGE_ENEMY""),
  "&amp;"         IF(
             OR(ARRAYFORMULA((IF(precondition="""", FALSE, REGEXMATCH(K$4:ED$4, precondition))) * (K28:ED28=TRUE))),
             IF(ISNUMBER(enhance), enhance, 1),
             IF(ISNUMBER(mitigation), mitigation, 1)
           ),
          "&amp;" 1
         )
       )
     )
   ),
   1
 )"),1.0)</f>
        <v>1</v>
      </c>
      <c r="EF28" s="200">
        <f>IFERROR(__xludf.DUMMYFUNCTION("PRODUCT(
   MAP(
     K$14:ED$14,
     K$13:ED$13,
     K28:ED28,
     LAMBDA(
       buff,
       target,
       check,
       IF(
         AND(check=TRUE, REGEXMATCH(target, ""RANGE_AFFECTED_ALL|RANGE_EFFECTED_ALL""), ISNUMBER(buff)),
         buff,
   "&amp;"      1
       )
     )
   )
 )"),1.0)</f>
        <v>1</v>
      </c>
      <c r="EG28" s="200">
        <f>IFERROR(__xludf.DUMMYFUNCTION("PRODUCT(
   MAP(
     K$14:ED$14,
     K$13:ED$13,
     K28:ED28,
     LAMBDA(
       buff,
       target,
       check,
       IF(
         AND(check=TRUE, REGEXMATCH(target, ""RANGE_AFFECTED_GCD|RANGE_EFFECTED_GCD""), ISNUMBER(buff)),
         buff,
   "&amp;"      1
       )
     )
   )
 )"),1.0)</f>
        <v>1</v>
      </c>
      <c r="EH28" s="200">
        <f>IFERROR(__xludf.DUMMYFUNCTION("PRODUCT(
   MAP(
     K$3:ED$3,
     K$14:ED$14,
     K$13:ED$13,
     K28:ED28,
     LAMBDA(
       job,
       buff,
       target,
       check,
       IF(
         AND(check=TRUE, REGEXMATCH(target, ""SELF_EFFECTED_ALL""), ISNUMBER(buff), job=""白魔道士"""&amp;"),
         buff,
         1
       )
     )
   )
 )"),1.0)</f>
        <v>1</v>
      </c>
      <c r="EI28" s="200">
        <f>IFERROR(__xludf.DUMMYFUNCTION("PRODUCT(
   MAP(
     K$3:ED$3,
     K$14:ED$14,
     K$13:ED$13,
     K28:ED28,
     LAMBDA(
       job,
       buff,
       target,
       check,
       IF(
         AND(check=TRUE, REGEXMATCH(target, ""SELF_EFFECTED_GCD""), ISNUMBER(buff), job=""白魔道士"""&amp;"),
         buff,
         1
       )
     )
   )
 )"),1.0)</f>
        <v>1</v>
      </c>
      <c r="EJ28" s="200">
        <f>IFERROR(__xludf.DUMMYFUNCTION("PRODUCT(
   MAP(
     K$3:ED$3,
     K$14:ED$14,
     K$13:ED$13,
     K28:ED28,
     LAMBDA(
       job,
       buff,
       target,
       check,
       IF(
         AND(check=TRUE, REGEXMATCH(target, ""SELF_EFFECTED_ALL""), ISNUMBER(buff), job=""占星術師"""&amp;"),
         buff,
         1
       )
     )
   )
 )"),1.0)</f>
        <v>1</v>
      </c>
      <c r="EK28" s="200">
        <f>IFERROR(__xludf.DUMMYFUNCTION("PRODUCT(
   MAP(
     K$3:ED$3,
     K$14:ED$14,
     K$13:ED$13,
     K28:ED28,
     LAMBDA(
       job,
       buff,
       target,
       check,
       IF(
         AND(check=TRUE, REGEXMATCH(target, ""SELF_EFFECTED_GCD""), ISNUMBER(buff), job=""占星術師"""&amp;"),
         buff,
         1
       )
     )
   )
 )"),1.0)</f>
        <v>1</v>
      </c>
      <c r="EL28" s="200">
        <f>IFERROR(__xludf.DUMMYFUNCTION("PRODUCT(
   MAP(
     K$3:ED$3,
     K$14:ED$14,
     K$13:ED$13,
     K28:ED28,
     LAMBDA(
       job,
       buff,
       target,
       check,
       IF(
         AND(check=TRUE, REGEXMATCH(target, ""SELF_EFFECTED_ALL""), ISNUMBER(buff), job=""学者""),"&amp;"
         buff,
         1
       )
     )
   )
 )"),1.0)</f>
        <v>1</v>
      </c>
      <c r="EM28" s="200">
        <f>IFERROR(__xludf.DUMMYFUNCTION("PRODUCT(
   MAP(
     K$3:ED$3,
     K$14:ED$14,
     K$13:ED$13,
     K28:ED28,
     LAMBDA(
       job,
       buff,
       target,
       check,
       IF(
         AND(check=TRUE, REGEXMATCH(target, ""SELF_EFFECTED_GCD""), ISNUMBER(buff), job=""学者""),"&amp;"
         buff,
         1
       )
     )
   )
 )"),1.0)</f>
        <v>1</v>
      </c>
      <c r="EN28" s="200">
        <f>IFERROR(__xludf.DUMMYFUNCTION("PRODUCT(
   MAP(
     K$3:ED$3,
     K$14:ED$14,
     K$13:ED$13,
     K28:ED28,
     LAMBDA(
       job,
       buff,
       target,
       check,
       IF(
         AND(check=TRUE, REGEXMATCH(target, ""SELF_EFFECTED_ALL""), ISNUMBER(buff), job=""賢者""),"&amp;"
         buff,
         1
       )
     )
   )
 )"),1.0)</f>
        <v>1</v>
      </c>
      <c r="EO28" s="200">
        <f>IFERROR(__xludf.DUMMYFUNCTION("PRODUCT(
   MAP(
     K$3:ED$3,
     K$14:ED$14,
     K$13:ED$13,
     K28:ED28,
     LAMBDA(
       job,
       buff,
       target,
       check,
       IF(
         AND(check=TRUE, REGEXMATCH(target, ""SELF_EFFECTED_GCD""), ISNUMBER(buff), job=""賢者""),"&amp;"
         buff,
         1
       )
     )
   )
 )"),1.0)</f>
        <v>1</v>
      </c>
      <c r="EP28" s="201">
        <f t="shared" si="3"/>
        <v>0</v>
      </c>
      <c r="EQ28" s="201">
        <f>IFERROR(__xludf.DUMMYFUNCTION("SUM(
   MAP(
     K$4:ED$4,
     K$3:ED$3,
     K$7:ED$7,
     K$15:ED$15,
     K$16:ED$16,
     K$21:ED$21,
     K$5:ED$5,
     K$17:ED$17,
     K28:ED28,
     LAMBDA(
       name,
       job,
       abillity,
       buff,
       barrier,
       enhance,"&amp;"
       assign,
       precondition,
       check,
       SWITCH(
         name,
         ""シェイクオフ"", IF(check=TRUE, buff + (0.02 * COUNTIF(ARRAYFORMULA((REGEXMATCH($K$4:$ED$4, ""スリル・オブ・バトル|ヴェンジェンス|原初の血気|ダムネーション"")) * (K28:ED28=TRUE)), 1)), 0),
         "&amp;"""インプロビゼーションフィニッシュ(踊りの激情0)"", IF(ISNUMBER(check), INDEX(Skill!$AJ:$AJ, MATCH(SUBSTITUTE(DV$4, 0, check), Skill!$C:$C, 0)), 0),
         IF(
           AND(check=TRUE, REGEXMATCH(assign, ""RANGE_PARTY"")),
           IF(
             OR(ARRAYFORMULA((IF(pr"&amp;"econdition="""", FALSE, REGEXMATCH($K$4:$ED$4, precondition))) * (K28:ED28=TRUE))),
             enhance,
             IF(barrier="""", buff, barrier)
           ),
           0
         )
       ) *
       SWITCH(
         job,
         ""ナイト"", EY$24,
 "&amp;"        ""戦士"", FD$24,
         ""踊り子"", ET$24,
         ""ピクトマンサー"", ET$24,
         ""白魔道士"", EF28 * EH28 * IF(abillity, 1, EG28 * EI28) * (Option!$D$22 * 0.81 / 100),
         ""占星術師"", EF28 * EJ28 * IF(abillity, 1, EG28 * EK28) * (Option!$D$23 * 0.81 "&amp;"/ 100),
         ""学者"", EF28 * EL28 * IF(abillity, 1, EG28 * EM28) * (Option!$D$24 * 0.81 / 100),
         ""賢者"", EF28 * EN28 * IF(abillity, 1, EG28 * EO28) * (Option!$D$25 * 0.81 / 100),
         1
       )
     )
   )
 )"),0.0)</f>
        <v>0</v>
      </c>
      <c r="ER28" s="202">
        <f t="shared" si="4"/>
        <v>0</v>
      </c>
      <c r="ES28" s="203">
        <f t="shared" si="5"/>
        <v>0</v>
      </c>
      <c r="ET28" s="231" t="str">
        <f>IFERROR(__xludf.DUMMYFUNCTION("IFS(
  EP28 &gt; $ET$24 + EQ28,
  SPARKLINE({ 1, 0 }, {""charttype"",""bar"";""max"", 1;""color1"",Option!$D$30;""color2"",Option!$D$30}),
  EP28 &lt; EQ28,
  SPARKLINE({EQ28 - EP28, $ET$24 - (EQ28 - EP28)}, {""charttype"",""bar"";""max"",$ET$24;""color1"",Opti"&amp;"on!$D$28;""color2"",Option!$D$29}),
  EP28 &gt;= EQ28,
  SPARKLINE({$ET$24 + EQ28 - EP28,EP28 - EQ28}, {""charttype"",""bar"";""max"",$ET$24;""color1"",Option!$D$29;""color2"",Option!$D$30})
)"),"")</f>
        <v/>
      </c>
      <c r="EU28" s="205">
        <f>IFERROR(__xludf.DUMMYFUNCTION("PRODUCT(
   MAP(
     IF($F28=""Physical"", K$10:ED$10, IF($F28=""Magic"", K$11:ED$11, K$12:ED$12)),
     IF($F28=""Physical"", K$18:ED$18, IF($F28=""Magic"", K$19:ED$19, K$20:ED$20)),
     K$3:ED$3,
     K$5:ED$5,
     K$17:ED$17,
     K28:ED28,
     LAM"&amp;"BDA(
       mitigation,
       enhance,
       job,
       assign,
       precondition,
       check,
       IF(
         OR(AND(check=TRUE, REGEXMATCH(assign, ""SELF""), job=""ナイト""), AND(check=Option!$E$13, REGEXMATCH(assign, ""SINGLE_PARTY""))),
      "&amp;"   IF(
           OR(ARRAYFORMULA((IF(precondition="""", FALSE, REGEXMATCH($K$4:$ED$4, precondition))) * (K28:ED28=TRUE))),
           enhance,
           mitigation
         ),
         1
       )
     )
   )
 ) * EE28"),1.0)</f>
        <v>1</v>
      </c>
      <c r="EV28" s="206">
        <f t="shared" si="6"/>
        <v>0</v>
      </c>
      <c r="EW28" s="205">
        <f>IFERROR(__xludf.DUMMYFUNCTION("PRODUCT(
   MAP(
     K$3:ED$3,
     K$14:ED$14,
     K$13:ED$13,
     K28:ED28,
     LAMBDA(
       job,
       buff,
       target,
       check,
       IF(
         OR(AND(check=TRUE, REGEXMATCH(target, ""SELF_AFFECTED_ALL""), job=""ナイト""), AND(check=O"&amp;"ption!$E$13, REGEXMATCH(target, ""SINGLE_AFFECTED_ALL""))),
         buff,
         1
       )
     )
   )
 )"),1.0)</f>
        <v>1</v>
      </c>
      <c r="EX28" s="206">
        <f>IFERROR(__xludf.DUMMYFUNCTION("SUM(
   MAP(
     K$3:ED$3,
     K$7:ED$7,
     K$15:ED$15,
     K$16:ED$16,
     K$21:ED$21,
     K$5:ED$5,
     K$17:ED$17,
     K28:ED28,
     LAMBDA(
       job,
       abillity,
       buff,
       barrier,
       enhance,
       assign,
       preco"&amp;"ndition,
       check,
       IF(
         OR(AND(check=TRUE, REGEXMATCH(assign, ""SELF""), job=""ナイト""), AND(check=Option!$E$13, REGEXMATCH(assign, ""SINGLE_PARTY""))),
         IF(
           OR(ARRAYFORMULA((IF(precondition="""", FALSE, REGEXMATCH($K$4"&amp;":$ED$4, precondition))) * (K28:ED28=TRUE))),
           enhance,
           IF(barrier="""", buff, barrier)
         ),
         0
       ) *
       SWITCH(
         job,
         ""暗黒騎士"", EY$24,
         ""白魔道士"", EF28 * EH28 * EW28 * IF(abillity, 1, EG"&amp;"28 * EI28) * (Option!$D$22 * 0.81 / 100),
         ""占星術師"", EF28 * EJ28 * EW28 * IF(abillity, 1, EG28 * EK28) * (Option!$D$23 * 0.81 / 100),
         ""学者"", EF28 * EL28 * EW28 * IF(abillity, 1, EG28 * EM28) * (Option!$D$24 * 0.81 / 100),
         ""賢者"""&amp;", EF28 * EN28 * EW28 * IF(abillity, 1, EG28 * EO28) * (Option!$D$25 * 0.81 / 100),
         1
       )
     )
   )
 ) + EQ28"),0.0)</f>
        <v>0</v>
      </c>
      <c r="EY28" s="232">
        <f t="shared" si="7"/>
        <v>0</v>
      </c>
      <c r="EZ28" s="205">
        <f>IFERROR(__xludf.DUMMYFUNCTION("PRODUCT(
   MAP(
     IF($F28=""Physical"", K$10:ED$10, IF($F28=""Magic"", K$11:ED$11, K$12:ED$12)),
     IF($F28=""Physical"", K$18:ED$18, IF($F28=""Magic"", K$19:ED$19, K$20:ED$20)),
     K$3:ED$3,
     K$5:ED$5,
     K$17:ED$17,
     K28:ED28,
     LAM"&amp;"BDA(
       mitigation,
       enhance,
       job,
       assign,
       precondition,
       check,
       IF(
         OR(AND(check=TRUE, REGEXMATCH(assign, ""SELF""), job=""戦士""), AND(check=Option!$F$13, REGEXMATCH(assign, ""SINGLE_PARTY""))),
       "&amp;"  IF(
           OR(ARRAYFORMULA((IF(precondition="""", FALSE, REGEXMATCH($K$4:$ED$4, precondition))) * (K28:ED28=TRUE))),
           enhance,
           mitigation
         ),
         1
       )
     )
   )
 ) * EE28"),1.0)</f>
        <v>1</v>
      </c>
      <c r="FA28" s="206">
        <f t="shared" si="8"/>
        <v>0</v>
      </c>
      <c r="FB28" s="205">
        <f>IFERROR(__xludf.DUMMYFUNCTION("PRODUCT(
   MAP(
     K$3:ED$3,
     K$14:ED$14,
     K$13:ED$13,
     K28:ED28,
     LAMBDA(
       job,
       buff,
       target,
       check,
       IF(
         OR(AND(check=TRUE, REGEXMATCH(target, ""SELF_AFFECTED_ALL""), job=""戦士""), AND(check=Op"&amp;"tion!$F$13, REGEXMATCH(target, ""SINGLE_AFFECTED_ALL""))),
         buff,
         1
       )
     )
   )
 )"),1.0)</f>
        <v>1</v>
      </c>
      <c r="FC28" s="206">
        <f>IFERROR(__xludf.DUMMYFUNCTION("SUM(
   MAP(
     K$3:ED$3,
     K$7:ED$7,
     K$15:ED$15,
     K$16:ED$16,
     K$21:ED$21,
     K$5:ED$5,
     K$17:ED$17,
     K28:ED28,
     LAMBDA(
       job,
       abillity,
       buff,
       barrier,
       enhance,
       assign,
       preco"&amp;"ndition,
       check,
       IF(
         OR(AND(check=TRUE, REGEXMATCH(assign, ""SELF""), job=""戦士""), AND(check=Option!$F$13, REGEXMATCH(assign, ""SINGLE_PARTY""))),
         IF(
           OR(ARRAYFORMULA((IF(precondition="""", FALSE, REGEXMATCH($K$4:"&amp;"$ED$4, precondition))) * (K28:ED28=TRUE))),
           enhance,
           IF(barrier="""", buff, barrier)
         ),
         0
       ) *
       SWITCH(
         job,
         ""暗黒騎士"", FD$24,
         ""白魔道士"", EF28 * EH28 * FB28 * IF(abillity, 1, EG2"&amp;"8 * EI28) * (Option!$D$22 * 0.81 / 100),
         ""占星術師"", EF28 * EJ28 * FFB28 * IF(abillity, 1, EG28 * EK28) * (Option!$D$23 * 0.81 / 100),
         ""学者"", EF28 * EL28 * FB28 * IF(abillity, 1, EG28 * EM28) * (Option!$D$24 * 0.81 / 100),
         ""賢者"""&amp;", EF28 * EN28 * FB28 * IF(abillity, 1, EG28 * EO28) * (Option!$D$25 * 0.81 / 100),
         1
       )
     )
   )
 ) + EQ28"),0.0)</f>
        <v>0</v>
      </c>
      <c r="FD28" s="206">
        <f t="shared" si="9"/>
        <v>0</v>
      </c>
      <c r="FE28" s="205">
        <f>IFERROR(__xludf.DUMMYFUNCTION("PRODUCT(
   MAP(
     IF($F28=""Physical"", K$10:ED$10, IF($F28=""Magic"", K$11:ED$11, K$12:ED$12)),
     IF($F28=""Physical"", K$18:ED$18, IF($F28=""Magic"", K$19:ED$19, K$20:ED$20)),
     K$3:ED$3,
     K$5:ED$5,
     K$17:ED$17,
     K28:ED28,
     LAM"&amp;"BDA(
       mitigation,
       enhance,
       job,
       assign,
       precondition,
       check,
       IF(
         OR(AND(check=TRUE, REGEXMATCH(assign, ""SELF""), job=""暗黒騎士""), AND(check=Option!$G$13, REGEXMATCH(assign, ""SINGLE_PARTY""))),
     "&amp;"    IF(
           OR(ARRAYFORMULA((IF(precondition="""", FALSE, REGEXMATCH($K$4:$ED$4, precondition))) * (K28:ED28=TRUE))),
           enhance,
           mitigation
         ),
         1
       )
     )
   )
 ) * EE28"),1.0)</f>
        <v>1</v>
      </c>
      <c r="FF28" s="206">
        <f t="shared" si="10"/>
        <v>0</v>
      </c>
      <c r="FG28" s="205">
        <f>IFERROR(__xludf.DUMMYFUNCTION("PRODUCT(
   MAP(
     K$3:ED$3,
     K$14:ED$14,
     K$13:ED$13,
     K28:ED28,
     LAMBDA(
       job,
       buff,
       target,
       check,
       IF(
         OR(AND(check=TRUE, REGEXMATCH(target, ""SELF_AFFECTED_ALL""), job=""暗黒騎士""), AND(check="&amp;"Option!$G$13, REGEXMATCH(target, ""SINGLE_AFFECTED_ALL""))),
         buff,
         1
       )
     )
   )
 )"),1.0)</f>
        <v>1</v>
      </c>
      <c r="FH28" s="206">
        <f>IFERROR(__xludf.DUMMYFUNCTION("SUM(
   MAP(
     K$3:ED$3,
     K$7:ED$7,
     K$15:ED$15,
     K$16:ED$16,
     K$21:ED$21,
     K$5:ED$5,
     K$17:ED$17,
     K28:ED28,
     LAMBDA(
       job,
       abillity,
       buff,
       barrier,
       enhance,
       assign,
       preco"&amp;"ndition,
       check,
       IF(
         OR(AND(check=TRUE, REGEXMATCH(assign, ""SELF""), job=""暗黒騎士""), AND(check=Option!$G$13, REGEXMATCH(assign, ""SINGLE_PARTY""))),
         IF(
           OR(ARRAYFORMULA((IF(precondition="""", FALSE, REGEXMATCH($K$"&amp;"4:$ED$4, precondition))) * (K28:ED28=TRUE))),
           enhance,
           IF(barrier="""", buff, barrier)
         ),
         0
       ) *
       SWITCH(
         job,
         ""暗黒騎士"", FI$24,
         ""白魔道士"", EF28 * EH28 * FG28 * IF(abillity, 1, E"&amp;"G28 * EI28) * (Option!$D$22 * 0.81 / 100),
         ""占星術師"", EF28 * EJ28 * FG28 * IF(abillity, 1, EG28 * EK28) * (Option!$D$23 * 0.81 / 100),
         ""学者"", EF28 * EL28 * FG28 * IF(abillity, 1, EG28 * EM28) * (Option!$D$24 * 0.81 / 100),
         ""賢者"&amp;""", EF28 * EN28 * FG28 * IF(abillity, 1, EG28 * EO28) * (Option!$D$25 * 0.81 / 100),
         1
       )
     )
   )
 ) + EQ28"),0.0)</f>
        <v>0</v>
      </c>
      <c r="FI28" s="206">
        <f t="shared" si="11"/>
        <v>0</v>
      </c>
      <c r="FJ28" s="205">
        <f>IFERROR(__xludf.DUMMYFUNCTION("PRODUCT(
   MAP(
     IF($F28=""Physical"", K$10:ED$10, IF($F28=""Magic"", K$11:ED$11, K$12:ED$12)),
     IF($F28=""Physical"", K$18:ED$18, IF($F28=""Magic"", K$19:ED$19, K$20:ED$20)),
     K$3:ED$3,
     K$5:ED$5,
     K$17:ED$17,
     K28:ED28,
     LAM"&amp;"BDA(
       mitigation,
       enhance,
       job,
       assign,
       precondition,
       check,
       IF(
         OR(AND(check=TRUE, REGEXMATCH(assign, ""SELF""), job=""ガンブレイカー""), AND(check=Option!$H$13, REGEXMATCH(assign, ""SINGLE_PARTY""))),
  "&amp;"       IF(
           OR(ARRAYFORMULA((IF(precondition="""", FALSE, REGEXMATCH($K$4:$ED$4, precondition))) * (K28:ED28=TRUE))),
           enhance,
           mitigation
         ),
         1
       )
     )
   )
 ) * EE28"),1.0)</f>
        <v>1</v>
      </c>
      <c r="FK28" s="206">
        <f t="shared" si="12"/>
        <v>0</v>
      </c>
      <c r="FL28" s="205">
        <f>IFERROR(__xludf.DUMMYFUNCTION("PRODUCT(
   MAP(
     K$3:ED$3,
     K$14:ED$14,
     K$13:ED$13,
     K28:ED28,
     LAMBDA(
       job,
       buff,
       target,
       check,
       IF(
         OR(AND(check=TRUE, REGEXMATCH(target, ""SELF_AFFECTED_ALL""), job=""ガンブレイカー""), AND(che"&amp;"ck=Option!$H$13, REGEXMATCH(target, ""SINGLE_AFFECTED_ALL""))),
         buff,
         1
       )
     )
   )
 )"),1.0)</f>
        <v>1</v>
      </c>
      <c r="FM28" s="206">
        <f>IFERROR(__xludf.DUMMYFUNCTION("SUM(
   MAP(
     K$3:ED$3,
     K$7:ED$7,
     K$15:ED$15,
     K$16:ED$16,
     K$21:ED$21,
     K$5:ED$5,
     K$17:ED$17,
     K28:ED28,
     LAMBDA(
       job,
       abillity,
       buff,
       barrier,
       enhance,
       assign,
       preco"&amp;"ndition,
       check,
       IF(
         OR(AND(check=TRUE, REGEXMATCH(assign, ""SELF""), job=""ガンブレイカー""), AND(check=Option!$H$13, REGEXMATCH(assign, ""SINGLE_PARTY""))),
         IF(
           OR(ARRAYFORMULA((IF(precondition="""", FALSE, REGEXMATCH("&amp;"$K$4:$ED$4, precondition))) * (K28:ED28=TRUE))),
           enhance,
           IF(barrier="""", buff, barrier)
         ),
         0
       ) *
       SWITCH(
         job,
         ""暗黒騎士"", FN$24,
         ""白魔道士"", EF28 * EH28 * FL28 * IF(abillity, 1"&amp;", EG28 * EI28) * (Option!$D$22 * 0.81 / 100),
         ""占星術師"", EF28 * EJ28 * FL28 * IF(abillity, 1, EG28 * EK28) * (Option!$D$23 * 0.81 / 100),
         ""学者"", EF28 * EL28 * FL28 * IF(abillity, 1, EG28 * EM28) * (Option!$D$24 * 0.81 / 100),
         """&amp;"賢者"", EF28 * EN28 * FL28 * IF(abillity, 1, EG28 * EO28) * (Option!$D$25 * 0.81 / 100),
         1
       )
     )
   )
 ) + EQ28"),0.0)</f>
        <v>0</v>
      </c>
      <c r="FN28" s="206">
        <f t="shared" si="13"/>
        <v>0</v>
      </c>
      <c r="FO28" s="213"/>
    </row>
    <row r="29">
      <c r="B29" s="229"/>
      <c r="C29" s="217">
        <f t="shared" si="1"/>
        <v>0</v>
      </c>
      <c r="D29" s="236"/>
      <c r="E29" s="238"/>
      <c r="F29" s="167"/>
      <c r="G29" s="168" t="str">
        <f t="shared" si="2"/>
        <v/>
      </c>
      <c r="H29" s="169"/>
      <c r="I29" s="169"/>
      <c r="J29" s="169"/>
      <c r="K29" s="170" t="b">
        <v>0</v>
      </c>
      <c r="L29" s="170" t="b">
        <v>0</v>
      </c>
      <c r="M29" s="170" t="b">
        <v>0</v>
      </c>
      <c r="N29" s="171" t="s">
        <v>1070</v>
      </c>
      <c r="O29" s="172" t="b">
        <v>0</v>
      </c>
      <c r="P29" s="173" t="b">
        <v>0</v>
      </c>
      <c r="Q29" s="173" t="b">
        <v>0</v>
      </c>
      <c r="R29" s="173" t="b">
        <v>0</v>
      </c>
      <c r="S29" s="174" t="b">
        <v>0</v>
      </c>
      <c r="T29" s="175" t="b">
        <v>0</v>
      </c>
      <c r="U29" s="173" t="b">
        <v>0</v>
      </c>
      <c r="V29" s="171" t="s">
        <v>1070</v>
      </c>
      <c r="W29" s="172" t="b">
        <v>0</v>
      </c>
      <c r="X29" s="173" t="b">
        <v>0</v>
      </c>
      <c r="Y29" s="173" t="b">
        <v>0</v>
      </c>
      <c r="Z29" s="173" t="b">
        <v>0</v>
      </c>
      <c r="AA29" s="174" t="b">
        <v>0</v>
      </c>
      <c r="AB29" s="174" t="b">
        <v>0</v>
      </c>
      <c r="AC29" s="175" t="b">
        <v>0</v>
      </c>
      <c r="AD29" s="173" t="b">
        <v>0</v>
      </c>
      <c r="AE29" s="176" t="s">
        <v>1070</v>
      </c>
      <c r="AF29" s="171" t="s">
        <v>1070</v>
      </c>
      <c r="AG29" s="177">
        <f>IFERROR(__xludf.DUMMYFUNCTION("IF(
  ISNUMBER(AG28),
  MIN(MAX(
    AG28
    + MAX(
      ROUNDDOWN(($D29 - MAX(IFERROR(FILTER($D$24:$D28, AG$24:AG28 &lt;&gt; AF$6, AG$23:AG27 = AF$6), 0))) * (60 * 60 * 24) / AF$9) - ROUNDDOWN(($D28 - MAX(IFERROR(FILTER($D$23:$D27, AG$23:AG27 &lt;&gt; AF$6, AG$22:"&amp;"AG26 = AF$6), 0))) * (60 * 60 * 24) / 60),
      0
    )
    - COUNTIF(AF29, ""&lt;&gt;-""),
  0), AF$6),
  AF$6 - COUNTIF(AF29, ""&lt;&gt;-"")
)"),2.0)</f>
        <v>2</v>
      </c>
      <c r="AH29" s="173" t="b">
        <v>0</v>
      </c>
      <c r="AI29" s="173" t="b">
        <v>0</v>
      </c>
      <c r="AJ29" s="173" t="b">
        <v>0</v>
      </c>
      <c r="AK29" s="174" t="b">
        <v>0</v>
      </c>
      <c r="AL29" s="175" t="b">
        <v>0</v>
      </c>
      <c r="AM29" s="173" t="b">
        <v>0</v>
      </c>
      <c r="AN29" s="171" t="s">
        <v>1070</v>
      </c>
      <c r="AO29" s="173" t="b">
        <v>0</v>
      </c>
      <c r="AP29" s="173" t="b">
        <v>0</v>
      </c>
      <c r="AQ29" s="173" t="b">
        <v>0</v>
      </c>
      <c r="AR29" s="174" t="b">
        <v>0</v>
      </c>
      <c r="AS29" s="178" t="b">
        <v>0</v>
      </c>
      <c r="AT29" s="179" t="b">
        <v>0</v>
      </c>
      <c r="AU29" s="180" t="b">
        <v>0</v>
      </c>
      <c r="AV29" s="180" t="b">
        <v>0</v>
      </c>
      <c r="AW29" s="180" t="b">
        <v>0</v>
      </c>
      <c r="AX29" s="180" t="b">
        <v>0</v>
      </c>
      <c r="AY29" s="181" t="s">
        <v>1070</v>
      </c>
      <c r="AZ29" s="181" t="s">
        <v>1070</v>
      </c>
      <c r="BA29" s="184">
        <f>IFERROR(__xludf.DUMMYFUNCTION("IF(
  ISNUMBER(BA28),
  MIN(MAX(
    BA28
    + MAX(
      ROUNDDOWN((D29 - MAX(IFERROR(FILTER(D$24:D28, BA$24:BA28 &lt;&gt; AZ$6, BA$23:BA27 = AZ$6), 0))) * (60 * 60 * 24) / AZ$9) - ROUNDDOWN((D28 - MAX(IFERROR(FILTER(D$23:D27, BA$23:BA27 &lt;&gt; AZ$6, BA$22:BA26 ="&amp;" AZ$6), 0))) * (60 * 60 * 24) / AZ$9),
      0
    )
    - COUNTIF(AZ29, ""&lt;&gt;-""),
  0), AZ$6),
  AZ$6 - COUNTIF(AZ29, ""&lt;&gt;-"")
)"),2.0)</f>
        <v>2</v>
      </c>
      <c r="BB29" s="181" t="s">
        <v>1070</v>
      </c>
      <c r="BC29" s="183">
        <f>IFERROR(__xludf.DUMMYFUNCTION("IF(
  ISNUMBER(BC28),
  MIN(MAX(
    BC28
    + MAX(
      ROUNDDOWN(($D29 - MAX(IFERROR(FILTER($D$24:$D28, BC$24:BC28 &lt;&gt; BB$6, BC$23:BC27 = BB$6), 0))) * (60 * 60 * 24) / BB$9) - ROUNDDOWN(($D28 - MAX(IFERROR(FILTER($D$23:$D27, BC$23:BC27 &lt;&gt; BB$6, BC$22:"&amp;"BC26 = BB$6), 0))) * (60 * 60 * 24) / 60),
      0
    )
    - COUNTIF(BB29, ""&lt;&gt;-""),
  0), BB$6),
  BB$6 - COUNTIF(BB29, ""&lt;&gt;-"")
)"),2.0)</f>
        <v>2</v>
      </c>
      <c r="BD29" s="181" t="s">
        <v>1070</v>
      </c>
      <c r="BE29" s="178" t="b">
        <v>0</v>
      </c>
      <c r="BF29" s="180" t="b">
        <v>0</v>
      </c>
      <c r="BG29" s="180" t="b">
        <v>0</v>
      </c>
      <c r="BH29" s="180" t="b">
        <v>0</v>
      </c>
      <c r="BI29" s="180" t="b">
        <v>0</v>
      </c>
      <c r="BJ29" s="180" t="b">
        <v>0</v>
      </c>
      <c r="BK29" s="180" t="b">
        <v>0</v>
      </c>
      <c r="BL29" s="180" t="b">
        <v>0</v>
      </c>
      <c r="BM29" s="180" t="b">
        <v>0</v>
      </c>
      <c r="BN29" s="180" t="b">
        <v>0</v>
      </c>
      <c r="BO29" s="181" t="s">
        <v>1070</v>
      </c>
      <c r="BP29" s="181" t="s">
        <v>1070</v>
      </c>
      <c r="BQ29" s="181" t="s">
        <v>1070</v>
      </c>
      <c r="BR29" s="181" t="s">
        <v>1070</v>
      </c>
      <c r="BS29" s="181" t="s">
        <v>1070</v>
      </c>
      <c r="BT29" s="184">
        <f>IFERROR(__xludf.DUMMYFUNCTION("IF(
  ISNUMBER(BT28),
  MIN(MAX(
    BT28
    + MAX(
      ROUNDDOWN((D29 - MAX(IFERROR(FILTER(D$24:D28, BT$24:BT28 &lt;&gt; BS$6, BT$23:BT27 = BS$6), 0))) * (60 * 60 * 24) / BS$9) - ROUNDDOWN((D28 - MAX(IFERROR(FILTER(D$23:D27, BT$23:BT27 &lt;&gt; BS$6, BT$22:BT26 ="&amp;" BS$6), 0))) * (60 * 60 * 24) / BS$9),
      0
    )
    - COUNTIF(BS29, ""&lt;&gt;-""),
  0), BS$6),
  BS$6 - COUNTIF(BS29, ""&lt;&gt;-"")
)"),3.0)</f>
        <v>3</v>
      </c>
      <c r="BU29" s="181" t="s">
        <v>1070</v>
      </c>
      <c r="BV29" s="181" t="s">
        <v>1070</v>
      </c>
      <c r="BW29" s="184">
        <f>IFERROR(__xludf.DUMMYFUNCTION("IF(
  ISNUMBER(BW28),
  MIN(MAX(
    BW28
    + MAX(
      ROUNDDOWN((D29 - MAX(IFERROR(FILTER(D$24:D28, BW$24:BW28 &lt;&gt; BV$6, BW$23:BW27 = BV$6), 0))) * (60 * 60 * 24) / BV$9) - ROUNDDOWN((D28 - MAX(IFERROR(FILTER(D$23:D27, BW$23:BW27 &lt;&gt; BV$6, BW$22:BW26 ="&amp;" BV$6), 0))) * (60 * 60 * 24) / BV$9),
      0
    )
    - COUNTIF(BV29, ""&lt;&gt;-""),
  0), BV$6),
  BV$6 - COUNTIF(BV29, ""&lt;&gt;-"")
)"),2.0)</f>
        <v>2</v>
      </c>
      <c r="BX29" s="185" t="s">
        <v>1070</v>
      </c>
      <c r="BY29" s="178" t="b">
        <v>0</v>
      </c>
      <c r="BZ29" s="180" t="b">
        <v>0</v>
      </c>
      <c r="CA29" s="180" t="b">
        <v>0</v>
      </c>
      <c r="CB29" s="180" t="b">
        <v>0</v>
      </c>
      <c r="CC29" s="180" t="b">
        <v>0</v>
      </c>
      <c r="CD29" s="180" t="b">
        <v>0</v>
      </c>
      <c r="CE29" s="180" t="b">
        <v>0</v>
      </c>
      <c r="CF29" s="180" t="b">
        <v>0</v>
      </c>
      <c r="CG29" s="180" t="b">
        <v>0</v>
      </c>
      <c r="CH29" s="180" t="b">
        <v>0</v>
      </c>
      <c r="CI29" s="180" t="b">
        <v>0</v>
      </c>
      <c r="CJ29" s="180" t="b">
        <v>0</v>
      </c>
      <c r="CK29" s="180" t="b">
        <v>0</v>
      </c>
      <c r="CL29" s="180" t="b">
        <v>0</v>
      </c>
      <c r="CM29" s="181" t="s">
        <v>1070</v>
      </c>
      <c r="CN29" s="181" t="s">
        <v>1070</v>
      </c>
      <c r="CO29" s="181" t="s">
        <v>1070</v>
      </c>
      <c r="CP29" s="181" t="s">
        <v>1070</v>
      </c>
      <c r="CQ29" s="185" t="s">
        <v>1070</v>
      </c>
      <c r="CR29" s="180" t="b">
        <v>0</v>
      </c>
      <c r="CS29" s="186" t="str">
        <f t="shared" si="14"/>
        <v>◇◇◇</v>
      </c>
      <c r="CT29" s="178" t="b">
        <v>0</v>
      </c>
      <c r="CU29" s="180" t="b">
        <v>0</v>
      </c>
      <c r="CV29" s="180" t="b">
        <v>0</v>
      </c>
      <c r="CW29" s="180" t="b">
        <v>0</v>
      </c>
      <c r="CX29" s="180" t="b">
        <v>0</v>
      </c>
      <c r="CY29" s="180" t="b">
        <v>0</v>
      </c>
      <c r="CZ29" s="180" t="b">
        <v>0</v>
      </c>
      <c r="DA29" s="180" t="b">
        <v>0</v>
      </c>
      <c r="DB29" s="180" t="b">
        <v>0</v>
      </c>
      <c r="DC29" s="180" t="b">
        <v>0</v>
      </c>
      <c r="DD29" s="181" t="s">
        <v>1070</v>
      </c>
      <c r="DE29" s="181" t="s">
        <v>1070</v>
      </c>
      <c r="DF29" s="181" t="s">
        <v>1070</v>
      </c>
      <c r="DG29" s="185" t="s">
        <v>1070</v>
      </c>
      <c r="DH29" s="180" t="b">
        <v>0</v>
      </c>
      <c r="DI29" s="187" t="str">
        <f>IFERROR(__xludf.DUMMYFUNCTION("SWITCH(
  IF(
    ISTEXT(DI28),
    IF (
      FIND(""○"", DI28&amp;""○"") &gt; 3,
      3,
      FIND(""○"", DI28&amp;""○"")
      + MAX(
        ROUNDDOWN(($D29 - MAX(IFERROR(FILTER(D$24:D28, DI$24:DI28 &lt;&gt; ""●●●"", DI$23:DI27 = ""●●●""), 0))) * (60 * 60 * 24) / 20"&amp;") - ROUNDDOWN(($D28 - MAX(IFERROR(FILTER(D$23:D27, DI$23:DI27 &lt;&gt; ""●●●"", DI$22:DI26 = ""●●●""), 0))) * (60 * 60 * 24) / 20),
        0
      ) - 1
    ) - COUNTIFS(CU29, ""=TRUE"", CU28, ""&lt;&gt;TRUE"") - COUNTIF(CZ29, ""=TRUE"") - COUNTIF({DD29,DE29}, ""&lt;&gt;-"&amp;""") + COUNTIF(DH29, ""=TRUE""),
    3
  ),
  0, ""○○○"", 1, ""●○○"", 2, ""●●○"", 3, ""●●●"", 4, ""●●●"", ""○○○""
)"),"●●●")</f>
        <v>●●●</v>
      </c>
      <c r="DJ29" s="188" t="b">
        <v>0</v>
      </c>
      <c r="DK29" s="189" t="b">
        <v>0</v>
      </c>
      <c r="DL29" s="190" t="b">
        <v>0</v>
      </c>
      <c r="DM29" s="190" t="b">
        <v>0</v>
      </c>
      <c r="DN29" s="190" t="b">
        <v>0</v>
      </c>
      <c r="DO29" s="190" t="b">
        <v>0</v>
      </c>
      <c r="DP29" s="190" t="b">
        <v>0</v>
      </c>
      <c r="DQ29" s="191" t="b">
        <v>0</v>
      </c>
      <c r="DR29" s="192" t="b">
        <v>0</v>
      </c>
      <c r="DS29" s="191" t="b">
        <v>0</v>
      </c>
      <c r="DT29" s="192" t="b">
        <v>0</v>
      </c>
      <c r="DU29" s="191" t="b">
        <v>0</v>
      </c>
      <c r="DV29" s="193" t="s">
        <v>1070</v>
      </c>
      <c r="DW29" s="194" t="b">
        <v>0</v>
      </c>
      <c r="DX29" s="194" t="b">
        <v>0</v>
      </c>
      <c r="DY29" s="195" t="b">
        <v>0</v>
      </c>
      <c r="DZ29" s="196" t="b">
        <v>0</v>
      </c>
      <c r="EA29" s="195" t="b">
        <v>0</v>
      </c>
      <c r="EB29" s="197" t="b">
        <v>0</v>
      </c>
      <c r="EC29" s="197" t="b">
        <v>0</v>
      </c>
      <c r="ED29" s="212" t="b">
        <v>0</v>
      </c>
      <c r="EE29" s="199">
        <f>IFERROR(__xludf.DUMMYFUNCTION("IFERROR(
   PRODUCT(
     MAP(
       INDEX(TRANSPOSE(UNIQUE(TRANSPOSE(FILTER({IF($F29=""Physical"", K$10:ED$10, IF($F29=""Magic"", K$11:ED$11, K$12:ED$12));K$4:ED$4;K29:ED29}, K29:ED29=TRUE)))), 1, 0),
       INDEX(TRANSPOSE(UNIQUE(TRANSPOSE(FILTER({IF($"&amp;"F29=""Physical"", K$18:ED$18, IF($F29=""Magic"", K$19:ED$19, K$20:ED$20));K$4:ED$4;K29:ED29}, K29:ED29=TRUE)))), 1, 0),
       INDEX(TRANSPOSE(UNIQUE(TRANSPOSE(FILTER({K$5:ED$5;K$4:ED$4;K29:ED29}, K29:ED29=TRUE)))), 1, 0),
       INDEX(TRANSPOSE(UNIQUE(TR"&amp;"ANSPOSE(FILTER({K$17:ED$17;K$4:ED$4;K29:ED29}, K29:ED29=TRUE)))), 1, 0),
       LAMBDA(
         mitigation,
         enhance,
         assign,
         precondition,
         IF(
           REGEXMATCH(assign, ""RANGE_PARTY|SINGLE_ENEMY|RANGE_ENEMY""),
  "&amp;"         IF(
             OR(ARRAYFORMULA((IF(precondition="""", FALSE, REGEXMATCH(K$4:ED$4, precondition))) * (K29:ED29=TRUE))),
             IF(ISNUMBER(enhance), enhance, 1),
             IF(ISNUMBER(mitigation), mitigation, 1)
           ),
          "&amp;" 1
         )
       )
     )
   ),
   1
 )"),1.0)</f>
        <v>1</v>
      </c>
      <c r="EF29" s="200">
        <f>IFERROR(__xludf.DUMMYFUNCTION("PRODUCT(
   MAP(
     K$14:ED$14,
     K$13:ED$13,
     K29:ED29,
     LAMBDA(
       buff,
       target,
       check,
       IF(
         AND(check=TRUE, REGEXMATCH(target, ""RANGE_AFFECTED_ALL|RANGE_EFFECTED_ALL""), ISNUMBER(buff)),
         buff,
   "&amp;"      1
       )
     )
   )
 )"),1.0)</f>
        <v>1</v>
      </c>
      <c r="EG29" s="200">
        <f>IFERROR(__xludf.DUMMYFUNCTION("PRODUCT(
   MAP(
     K$14:ED$14,
     K$13:ED$13,
     K29:ED29,
     LAMBDA(
       buff,
       target,
       check,
       IF(
         AND(check=TRUE, REGEXMATCH(target, ""RANGE_AFFECTED_GCD|RANGE_EFFECTED_GCD""), ISNUMBER(buff)),
         buff,
   "&amp;"      1
       )
     )
   )
 )"),1.0)</f>
        <v>1</v>
      </c>
      <c r="EH29" s="200">
        <f>IFERROR(__xludf.DUMMYFUNCTION("PRODUCT(
   MAP(
     K$3:ED$3,
     K$14:ED$14,
     K$13:ED$13,
     K29:ED29,
     LAMBDA(
       job,
       buff,
       target,
       check,
       IF(
         AND(check=TRUE, REGEXMATCH(target, ""SELF_EFFECTED_ALL""), ISNUMBER(buff), job=""白魔道士"""&amp;"),
         buff,
         1
       )
     )
   )
 )"),1.0)</f>
        <v>1</v>
      </c>
      <c r="EI29" s="200">
        <f>IFERROR(__xludf.DUMMYFUNCTION("PRODUCT(
   MAP(
     K$3:ED$3,
     K$14:ED$14,
     K$13:ED$13,
     K29:ED29,
     LAMBDA(
       job,
       buff,
       target,
       check,
       IF(
         AND(check=TRUE, REGEXMATCH(target, ""SELF_EFFECTED_GCD""), ISNUMBER(buff), job=""白魔道士"""&amp;"),
         buff,
         1
       )
     )
   )
 )"),1.0)</f>
        <v>1</v>
      </c>
      <c r="EJ29" s="200">
        <f>IFERROR(__xludf.DUMMYFUNCTION("PRODUCT(
   MAP(
     K$3:ED$3,
     K$14:ED$14,
     K$13:ED$13,
     K29:ED29,
     LAMBDA(
       job,
       buff,
       target,
       check,
       IF(
         AND(check=TRUE, REGEXMATCH(target, ""SELF_EFFECTED_ALL""), ISNUMBER(buff), job=""占星術師"""&amp;"),
         buff,
         1
       )
     )
   )
 )"),1.0)</f>
        <v>1</v>
      </c>
      <c r="EK29" s="200">
        <f>IFERROR(__xludf.DUMMYFUNCTION("PRODUCT(
   MAP(
     K$3:ED$3,
     K$14:ED$14,
     K$13:ED$13,
     K29:ED29,
     LAMBDA(
       job,
       buff,
       target,
       check,
       IF(
         AND(check=TRUE, REGEXMATCH(target, ""SELF_EFFECTED_GCD""), ISNUMBER(buff), job=""占星術師"""&amp;"),
         buff,
         1
       )
     )
   )
 )"),1.0)</f>
        <v>1</v>
      </c>
      <c r="EL29" s="200">
        <f>IFERROR(__xludf.DUMMYFUNCTION("PRODUCT(
   MAP(
     K$3:ED$3,
     K$14:ED$14,
     K$13:ED$13,
     K29:ED29,
     LAMBDA(
       job,
       buff,
       target,
       check,
       IF(
         AND(check=TRUE, REGEXMATCH(target, ""SELF_EFFECTED_ALL""), ISNUMBER(buff), job=""学者""),"&amp;"
         buff,
         1
       )
     )
   )
 )"),1.0)</f>
        <v>1</v>
      </c>
      <c r="EM29" s="200">
        <f>IFERROR(__xludf.DUMMYFUNCTION("PRODUCT(
   MAP(
     K$3:ED$3,
     K$14:ED$14,
     K$13:ED$13,
     K29:ED29,
     LAMBDA(
       job,
       buff,
       target,
       check,
       IF(
         AND(check=TRUE, REGEXMATCH(target, ""SELF_EFFECTED_GCD""), ISNUMBER(buff), job=""学者""),"&amp;"
         buff,
         1
       )
     )
   )
 )"),1.0)</f>
        <v>1</v>
      </c>
      <c r="EN29" s="200">
        <f>IFERROR(__xludf.DUMMYFUNCTION("PRODUCT(
   MAP(
     K$3:ED$3,
     K$14:ED$14,
     K$13:ED$13,
     K29:ED29,
     LAMBDA(
       job,
       buff,
       target,
       check,
       IF(
         AND(check=TRUE, REGEXMATCH(target, ""SELF_EFFECTED_ALL""), ISNUMBER(buff), job=""賢者""),"&amp;"
         buff,
         1
       )
     )
   )
 )"),1.0)</f>
        <v>1</v>
      </c>
      <c r="EO29" s="200">
        <f>IFERROR(__xludf.DUMMYFUNCTION("PRODUCT(
   MAP(
     K$3:ED$3,
     K$14:ED$14,
     K$13:ED$13,
     K29:ED29,
     LAMBDA(
       job,
       buff,
       target,
       check,
       IF(
         AND(check=TRUE, REGEXMATCH(target, ""SELF_EFFECTED_GCD""), ISNUMBER(buff), job=""賢者""),"&amp;"
         buff,
         1
       )
     )
   )
 )"),1.0)</f>
        <v>1</v>
      </c>
      <c r="EP29" s="201">
        <f t="shared" si="3"/>
        <v>0</v>
      </c>
      <c r="EQ29" s="201">
        <f>IFERROR(__xludf.DUMMYFUNCTION("SUM(
   MAP(
     K$4:ED$4,
     K$3:ED$3,
     K$7:ED$7,
     K$15:ED$15,
     K$16:ED$16,
     K$21:ED$21,
     K$5:ED$5,
     K$17:ED$17,
     K29:ED29,
     LAMBDA(
       name,
       job,
       abillity,
       buff,
       barrier,
       enhance,"&amp;"
       assign,
       precondition,
       check,
       SWITCH(
         name,
         ""シェイクオフ"", IF(check=TRUE, buff + (0.02 * COUNTIF(ARRAYFORMULA((REGEXMATCH($K$4:$ED$4, ""スリル・オブ・バトル|ヴェンジェンス|原初の血気|ダムネーション"")) * (K29:ED29=TRUE)), 1)), 0),
         "&amp;"""インプロビゼーションフィニッシュ(踊りの激情0)"", IF(ISNUMBER(check), INDEX(Skill!$AJ:$AJ, MATCH(SUBSTITUTE(DV$4, 0, check), Skill!$C:$C, 0)), 0),
         IF(
           AND(check=TRUE, REGEXMATCH(assign, ""RANGE_PARTY"")),
           IF(
             OR(ARRAYFORMULA((IF(pr"&amp;"econdition="""", FALSE, REGEXMATCH($K$4:$ED$4, precondition))) * (K29:ED29=TRUE))),
             enhance,
             IF(barrier="""", buff, barrier)
           ),
           0
         )
       ) *
       SWITCH(
         job,
         ""ナイト"", EY$24,
 "&amp;"        ""戦士"", FD$24,
         ""踊り子"", ET$24,
         ""ピクトマンサー"", ET$24,
         ""白魔道士"", EF29 * EH29 * IF(abillity, 1, EG29 * EI29) * (Option!$D$22 * 0.81 / 100),
         ""占星術師"", EF29 * EJ29 * IF(abillity, 1, EG29 * EK29) * (Option!$D$23 * 0.81 "&amp;"/ 100),
         ""学者"", EF29 * EL29 * IF(abillity, 1, EG29 * EM29) * (Option!$D$24 * 0.81 / 100),
         ""賢者"", EF29 * EN29 * IF(abillity, 1, EG29 * EO29) * (Option!$D$25 * 0.81 / 100),
         1
       )
     )
   )
 )"),0.0)</f>
        <v>0</v>
      </c>
      <c r="ER29" s="202">
        <f t="shared" si="4"/>
        <v>0</v>
      </c>
      <c r="ES29" s="203">
        <f t="shared" si="5"/>
        <v>0</v>
      </c>
      <c r="ET29" s="231" t="str">
        <f>IFERROR(__xludf.DUMMYFUNCTION("IFS(
  EP29 &gt; $ET$24 + EQ29,
  SPARKLINE({ 1, 0 }, {""charttype"",""bar"";""max"", 1;""color1"",Option!$D$30;""color2"",Option!$D$30}),
  EP29 &lt; EQ29,
  SPARKLINE({EQ29 - EP29, $ET$24 - (EQ29 - EP29)}, {""charttype"",""bar"";""max"",$ET$24;""color1"",Opti"&amp;"on!$D$28;""color2"",Option!$D$29}),
  EP29 &gt;= EQ29,
  SPARKLINE({$ET$24 + EQ29 - EP29,EP29 - EQ29}, {""charttype"",""bar"";""max"",$ET$24;""color1"",Option!$D$29;""color2"",Option!$D$30})
)"),"")</f>
        <v/>
      </c>
      <c r="EU29" s="205">
        <f>IFERROR(__xludf.DUMMYFUNCTION("PRODUCT(
   MAP(
     IF($F29=""Physical"", K$10:ED$10, IF($F29=""Magic"", K$11:ED$11, K$12:ED$12)),
     IF($F29=""Physical"", K$18:ED$18, IF($F29=""Magic"", K$19:ED$19, K$20:ED$20)),
     K$3:ED$3,
     K$5:ED$5,
     K$17:ED$17,
     K29:ED29,
     LAM"&amp;"BDA(
       mitigation,
       enhance,
       job,
       assign,
       precondition,
       check,
       IF(
         OR(AND(check=TRUE, REGEXMATCH(assign, ""SELF""), job=""ナイト""), AND(check=Option!$E$13, REGEXMATCH(assign, ""SINGLE_PARTY""))),
      "&amp;"   IF(
           OR(ARRAYFORMULA((IF(precondition="""", FALSE, REGEXMATCH($K$4:$ED$4, precondition))) * (K29:ED29=TRUE))),
           enhance,
           mitigation
         ),
         1
       )
     )
   )
 ) * EE29"),1.0)</f>
        <v>1</v>
      </c>
      <c r="EV29" s="206">
        <f t="shared" si="6"/>
        <v>0</v>
      </c>
      <c r="EW29" s="205">
        <f>IFERROR(__xludf.DUMMYFUNCTION("PRODUCT(
   MAP(
     K$3:ED$3,
     K$14:ED$14,
     K$13:ED$13,
     K29:ED29,
     LAMBDA(
       job,
       buff,
       target,
       check,
       IF(
         OR(AND(check=TRUE, REGEXMATCH(target, ""SELF_AFFECTED_ALL""), job=""ナイト""), AND(check=O"&amp;"ption!$E$13, REGEXMATCH(target, ""SINGLE_AFFECTED_ALL""))),
         buff,
         1
       )
     )
   )
 )"),1.0)</f>
        <v>1</v>
      </c>
      <c r="EX29" s="206">
        <f>IFERROR(__xludf.DUMMYFUNCTION("SUM(
   MAP(
     K$3:ED$3,
     K$7:ED$7,
     K$15:ED$15,
     K$16:ED$16,
     K$21:ED$21,
     K$5:ED$5,
     K$17:ED$17,
     K29:ED29,
     LAMBDA(
       job,
       abillity,
       buff,
       barrier,
       enhance,
       assign,
       preco"&amp;"ndition,
       check,
       IF(
         OR(AND(check=TRUE, REGEXMATCH(assign, ""SELF""), job=""ナイト""), AND(check=Option!$E$13, REGEXMATCH(assign, ""SINGLE_PARTY""))),
         IF(
           OR(ARRAYFORMULA((IF(precondition="""", FALSE, REGEXMATCH($K$4"&amp;":$ED$4, precondition))) * (K29:ED29=TRUE))),
           enhance,
           IF(barrier="""", buff, barrier)
         ),
         0
       ) *
       SWITCH(
         job,
         ""暗黒騎士"", EY$24,
         ""白魔道士"", EF29 * EH29 * EW29 * IF(abillity, 1, EG"&amp;"29 * EI29) * (Option!$D$22 * 0.81 / 100),
         ""占星術師"", EF29 * EJ29 * EW29 * IF(abillity, 1, EG29 * EK29) * (Option!$D$23 * 0.81 / 100),
         ""学者"", EF29 * EL29 * EW29 * IF(abillity, 1, EG29 * EM29) * (Option!$D$24 * 0.81 / 100),
         ""賢者"""&amp;", EF29 * EN29 * EW29 * IF(abillity, 1, EG29 * EO29) * (Option!$D$25 * 0.81 / 100),
         1
       )
     )
   )
 ) + EQ29"),0.0)</f>
        <v>0</v>
      </c>
      <c r="EY29" s="232">
        <f t="shared" si="7"/>
        <v>0</v>
      </c>
      <c r="EZ29" s="205">
        <f>IFERROR(__xludf.DUMMYFUNCTION("PRODUCT(
   MAP(
     IF($F29=""Physical"", K$10:ED$10, IF($F29=""Magic"", K$11:ED$11, K$12:ED$12)),
     IF($F29=""Physical"", K$18:ED$18, IF($F29=""Magic"", K$19:ED$19, K$20:ED$20)),
     K$3:ED$3,
     K$5:ED$5,
     K$17:ED$17,
     K29:ED29,
     LAM"&amp;"BDA(
       mitigation,
       enhance,
       job,
       assign,
       precondition,
       check,
       IF(
         OR(AND(check=TRUE, REGEXMATCH(assign, ""SELF""), job=""戦士""), AND(check=Option!$F$13, REGEXMATCH(assign, ""SINGLE_PARTY""))),
       "&amp;"  IF(
           OR(ARRAYFORMULA((IF(precondition="""", FALSE, REGEXMATCH($K$4:$ED$4, precondition))) * (K29:ED29=TRUE))),
           enhance,
           mitigation
         ),
         1
       )
     )
   )
 ) * EE29"),1.0)</f>
        <v>1</v>
      </c>
      <c r="FA29" s="206">
        <f t="shared" si="8"/>
        <v>0</v>
      </c>
      <c r="FB29" s="205">
        <f>IFERROR(__xludf.DUMMYFUNCTION("PRODUCT(
   MAP(
     K$3:ED$3,
     K$14:ED$14,
     K$13:ED$13,
     K29:ED29,
     LAMBDA(
       job,
       buff,
       target,
       check,
       IF(
         OR(AND(check=TRUE, REGEXMATCH(target, ""SELF_AFFECTED_ALL""), job=""戦士""), AND(check=Op"&amp;"tion!$F$13, REGEXMATCH(target, ""SINGLE_AFFECTED_ALL""))),
         buff,
         1
       )
     )
   )
 )"),1.0)</f>
        <v>1</v>
      </c>
      <c r="FC29" s="206">
        <f>IFERROR(__xludf.DUMMYFUNCTION("SUM(
   MAP(
     K$3:ED$3,
     K$7:ED$7,
     K$15:ED$15,
     K$16:ED$16,
     K$21:ED$21,
     K$5:ED$5,
     K$17:ED$17,
     K29:ED29,
     LAMBDA(
       job,
       abillity,
       buff,
       barrier,
       enhance,
       assign,
       preco"&amp;"ndition,
       check,
       IF(
         OR(AND(check=TRUE, REGEXMATCH(assign, ""SELF""), job=""戦士""), AND(check=Option!$F$13, REGEXMATCH(assign, ""SINGLE_PARTY""))),
         IF(
           OR(ARRAYFORMULA((IF(precondition="""", FALSE, REGEXMATCH($K$4:"&amp;"$ED$4, precondition))) * (K29:ED29=TRUE))),
           enhance,
           IF(barrier="""", buff, barrier)
         ),
         0
       ) *
       SWITCH(
         job,
         ""暗黒騎士"", FD$24,
         ""白魔道士"", EF29 * EH29 * FB29 * IF(abillity, 1, EG2"&amp;"9 * EI29) * (Option!$D$22 * 0.81 / 100),
         ""占星術師"", EF29 * EJ29 * FFB29 * IF(abillity, 1, EG29 * EK29) * (Option!$D$23 * 0.81 / 100),
         ""学者"", EF29 * EL29 * FB29 * IF(abillity, 1, EG29 * EM29) * (Option!$D$24 * 0.81 / 100),
         ""賢者"""&amp;", EF29 * EN29 * FB29 * IF(abillity, 1, EG29 * EO29) * (Option!$D$25 * 0.81 / 100),
         1
       )
     )
   )
 ) + EQ29"),0.0)</f>
        <v>0</v>
      </c>
      <c r="FD29" s="206">
        <f t="shared" si="9"/>
        <v>0</v>
      </c>
      <c r="FE29" s="205">
        <f>IFERROR(__xludf.DUMMYFUNCTION("PRODUCT(
   MAP(
     IF($F29=""Physical"", K$10:ED$10, IF($F29=""Magic"", K$11:ED$11, K$12:ED$12)),
     IF($F29=""Physical"", K$18:ED$18, IF($F29=""Magic"", K$19:ED$19, K$20:ED$20)),
     K$3:ED$3,
     K$5:ED$5,
     K$17:ED$17,
     K29:ED29,
     LAM"&amp;"BDA(
       mitigation,
       enhance,
       job,
       assign,
       precondition,
       check,
       IF(
         OR(AND(check=TRUE, REGEXMATCH(assign, ""SELF""), job=""暗黒騎士""), AND(check=Option!$G$13, REGEXMATCH(assign, ""SINGLE_PARTY""))),
     "&amp;"    IF(
           OR(ARRAYFORMULA((IF(precondition="""", FALSE, REGEXMATCH($K$4:$ED$4, precondition))) * (K29:ED29=TRUE))),
           enhance,
           mitigation
         ),
         1
       )
     )
   )
 ) * EE29"),1.0)</f>
        <v>1</v>
      </c>
      <c r="FF29" s="206">
        <f t="shared" si="10"/>
        <v>0</v>
      </c>
      <c r="FG29" s="205">
        <f>IFERROR(__xludf.DUMMYFUNCTION("PRODUCT(
   MAP(
     K$3:ED$3,
     K$14:ED$14,
     K$13:ED$13,
     K29:ED29,
     LAMBDA(
       job,
       buff,
       target,
       check,
       IF(
         OR(AND(check=TRUE, REGEXMATCH(target, ""SELF_AFFECTED_ALL""), job=""暗黒騎士""), AND(check="&amp;"Option!$G$13, REGEXMATCH(target, ""SINGLE_AFFECTED_ALL""))),
         buff,
         1
       )
     )
   )
 )"),1.0)</f>
        <v>1</v>
      </c>
      <c r="FH29" s="206">
        <f>IFERROR(__xludf.DUMMYFUNCTION("SUM(
   MAP(
     K$3:ED$3,
     K$7:ED$7,
     K$15:ED$15,
     K$16:ED$16,
     K$21:ED$21,
     K$5:ED$5,
     K$17:ED$17,
     K29:ED29,
     LAMBDA(
       job,
       abillity,
       buff,
       barrier,
       enhance,
       assign,
       preco"&amp;"ndition,
       check,
       IF(
         OR(AND(check=TRUE, REGEXMATCH(assign, ""SELF""), job=""暗黒騎士""), AND(check=Option!$G$13, REGEXMATCH(assign, ""SINGLE_PARTY""))),
         IF(
           OR(ARRAYFORMULA((IF(precondition="""", FALSE, REGEXMATCH($K$"&amp;"4:$ED$4, precondition))) * (K29:ED29=TRUE))),
           enhance,
           IF(barrier="""", buff, barrier)
         ),
         0
       ) *
       SWITCH(
         job,
         ""暗黒騎士"", FI$24,
         ""白魔道士"", EF29 * EH29 * FG29 * IF(abillity, 1, E"&amp;"G29 * EI29) * (Option!$D$22 * 0.81 / 100),
         ""占星術師"", EF29 * EJ29 * FG29 * IF(abillity, 1, EG29 * EK29) * (Option!$D$23 * 0.81 / 100),
         ""学者"", EF29 * EL29 * FG29 * IF(abillity, 1, EG29 * EM29) * (Option!$D$24 * 0.81 / 100),
         ""賢者"&amp;""", EF29 * EN29 * FG29 * IF(abillity, 1, EG29 * EO29) * (Option!$D$25 * 0.81 / 100),
         1
       )
     )
   )
 ) + EQ29"),0.0)</f>
        <v>0</v>
      </c>
      <c r="FI29" s="206">
        <f t="shared" si="11"/>
        <v>0</v>
      </c>
      <c r="FJ29" s="205">
        <f>IFERROR(__xludf.DUMMYFUNCTION("PRODUCT(
   MAP(
     IF($F29=""Physical"", K$10:ED$10, IF($F29=""Magic"", K$11:ED$11, K$12:ED$12)),
     IF($F29=""Physical"", K$18:ED$18, IF($F29=""Magic"", K$19:ED$19, K$20:ED$20)),
     K$3:ED$3,
     K$5:ED$5,
     K$17:ED$17,
     K29:ED29,
     LAM"&amp;"BDA(
       mitigation,
       enhance,
       job,
       assign,
       precondition,
       check,
       IF(
         OR(AND(check=TRUE, REGEXMATCH(assign, ""SELF""), job=""ガンブレイカー""), AND(check=Option!$H$13, REGEXMATCH(assign, ""SINGLE_PARTY""))),
  "&amp;"       IF(
           OR(ARRAYFORMULA((IF(precondition="""", FALSE, REGEXMATCH($K$4:$ED$4, precondition))) * (K29:ED29=TRUE))),
           enhance,
           mitigation
         ),
         1
       )
     )
   )
 ) * EE29"),1.0)</f>
        <v>1</v>
      </c>
      <c r="FK29" s="206">
        <f t="shared" si="12"/>
        <v>0</v>
      </c>
      <c r="FL29" s="205">
        <f>IFERROR(__xludf.DUMMYFUNCTION("PRODUCT(
   MAP(
     K$3:ED$3,
     K$14:ED$14,
     K$13:ED$13,
     K29:ED29,
     LAMBDA(
       job,
       buff,
       target,
       check,
       IF(
         OR(AND(check=TRUE, REGEXMATCH(target, ""SELF_AFFECTED_ALL""), job=""ガンブレイカー""), AND(che"&amp;"ck=Option!$H$13, REGEXMATCH(target, ""SINGLE_AFFECTED_ALL""))),
         buff,
         1
       )
     )
   )
 )"),1.0)</f>
        <v>1</v>
      </c>
      <c r="FM29" s="206">
        <f>IFERROR(__xludf.DUMMYFUNCTION("SUM(
   MAP(
     K$3:ED$3,
     K$7:ED$7,
     K$15:ED$15,
     K$16:ED$16,
     K$21:ED$21,
     K$5:ED$5,
     K$17:ED$17,
     K29:ED29,
     LAMBDA(
       job,
       abillity,
       buff,
       barrier,
       enhance,
       assign,
       preco"&amp;"ndition,
       check,
       IF(
         OR(AND(check=TRUE, REGEXMATCH(assign, ""SELF""), job=""ガンブレイカー""), AND(check=Option!$H$13, REGEXMATCH(assign, ""SINGLE_PARTY""))),
         IF(
           OR(ARRAYFORMULA((IF(precondition="""", FALSE, REGEXMATCH("&amp;"$K$4:$ED$4, precondition))) * (K29:ED29=TRUE))),
           enhance,
           IF(barrier="""", buff, barrier)
         ),
         0
       ) *
       SWITCH(
         job,
         ""暗黒騎士"", FN$24,
         ""白魔道士"", EF29 * EH29 * FL29 * IF(abillity, 1"&amp;", EG29 * EI29) * (Option!$D$22 * 0.81 / 100),
         ""占星術師"", EF29 * EJ29 * FL29 * IF(abillity, 1, EG29 * EK29) * (Option!$D$23 * 0.81 / 100),
         ""学者"", EF29 * EL29 * FL29 * IF(abillity, 1, EG29 * EM29) * (Option!$D$24 * 0.81 / 100),
         """&amp;"賢者"", EF29 * EN29 * FL29 * IF(abillity, 1, EG29 * EO29) * (Option!$D$25 * 0.81 / 100),
         1
       )
     )
   )
 ) + EQ29"),0.0)</f>
        <v>0</v>
      </c>
      <c r="FN29" s="206">
        <f t="shared" si="13"/>
        <v>0</v>
      </c>
      <c r="FO29" s="213"/>
    </row>
    <row r="30">
      <c r="B30" s="229"/>
      <c r="C30" s="217">
        <f t="shared" si="1"/>
        <v>0</v>
      </c>
      <c r="D30" s="236"/>
      <c r="E30" s="238"/>
      <c r="F30" s="167"/>
      <c r="G30" s="168" t="str">
        <f t="shared" si="2"/>
        <v/>
      </c>
      <c r="H30" s="169"/>
      <c r="I30" s="169"/>
      <c r="J30" s="169"/>
      <c r="K30" s="170" t="b">
        <v>0</v>
      </c>
      <c r="L30" s="170" t="b">
        <v>0</v>
      </c>
      <c r="M30" s="170" t="b">
        <v>0</v>
      </c>
      <c r="N30" s="171" t="s">
        <v>1070</v>
      </c>
      <c r="O30" s="172" t="b">
        <v>0</v>
      </c>
      <c r="P30" s="173" t="b">
        <v>0</v>
      </c>
      <c r="Q30" s="173" t="b">
        <v>0</v>
      </c>
      <c r="R30" s="173" t="b">
        <v>0</v>
      </c>
      <c r="S30" s="174" t="b">
        <v>0</v>
      </c>
      <c r="T30" s="175" t="b">
        <v>0</v>
      </c>
      <c r="U30" s="173" t="b">
        <v>0</v>
      </c>
      <c r="V30" s="171" t="s">
        <v>1070</v>
      </c>
      <c r="W30" s="172" t="b">
        <v>0</v>
      </c>
      <c r="X30" s="173" t="b">
        <v>0</v>
      </c>
      <c r="Y30" s="173" t="b">
        <v>0</v>
      </c>
      <c r="Z30" s="173" t="b">
        <v>0</v>
      </c>
      <c r="AA30" s="174" t="b">
        <v>0</v>
      </c>
      <c r="AB30" s="174" t="b">
        <v>0</v>
      </c>
      <c r="AC30" s="175" t="b">
        <v>0</v>
      </c>
      <c r="AD30" s="173" t="b">
        <v>0</v>
      </c>
      <c r="AE30" s="176" t="s">
        <v>1070</v>
      </c>
      <c r="AF30" s="171" t="s">
        <v>1070</v>
      </c>
      <c r="AG30" s="177">
        <f>IFERROR(__xludf.DUMMYFUNCTION("IF(
  ISNUMBER(AG29),
  MIN(MAX(
    AG29
    + MAX(
      ROUNDDOWN(($D30 - MAX(IFERROR(FILTER($D$24:$D29, AG$24:AG29 &lt;&gt; AF$6, AG$23:AG28 = AF$6), 0))) * (60 * 60 * 24) / AF$9) - ROUNDDOWN(($D29 - MAX(IFERROR(FILTER($D$23:$D28, AG$23:AG28 &lt;&gt; AF$6, AG$22:"&amp;"AG27 = AF$6), 0))) * (60 * 60 * 24) / 60),
      0
    )
    - COUNTIF(AF30, ""&lt;&gt;-""),
  0), AF$6),
  AF$6 - COUNTIF(AF30, ""&lt;&gt;-"")
)"),2.0)</f>
        <v>2</v>
      </c>
      <c r="AH30" s="173" t="b">
        <v>0</v>
      </c>
      <c r="AI30" s="173" t="b">
        <v>0</v>
      </c>
      <c r="AJ30" s="173" t="b">
        <v>0</v>
      </c>
      <c r="AK30" s="174" t="b">
        <v>0</v>
      </c>
      <c r="AL30" s="175" t="b">
        <v>0</v>
      </c>
      <c r="AM30" s="173" t="b">
        <v>0</v>
      </c>
      <c r="AN30" s="171" t="s">
        <v>1070</v>
      </c>
      <c r="AO30" s="173" t="b">
        <v>0</v>
      </c>
      <c r="AP30" s="173" t="b">
        <v>0</v>
      </c>
      <c r="AQ30" s="173" t="b">
        <v>0</v>
      </c>
      <c r="AR30" s="174" t="b">
        <v>0</v>
      </c>
      <c r="AS30" s="178" t="b">
        <v>0</v>
      </c>
      <c r="AT30" s="179" t="b">
        <v>0</v>
      </c>
      <c r="AU30" s="180" t="b">
        <v>0</v>
      </c>
      <c r="AV30" s="180" t="b">
        <v>0</v>
      </c>
      <c r="AW30" s="180" t="b">
        <v>0</v>
      </c>
      <c r="AX30" s="180" t="b">
        <v>0</v>
      </c>
      <c r="AY30" s="181" t="s">
        <v>1070</v>
      </c>
      <c r="AZ30" s="181" t="s">
        <v>1070</v>
      </c>
      <c r="BA30" s="184">
        <f>IFERROR(__xludf.DUMMYFUNCTION("IF(
  ISNUMBER(BA29),
  MIN(MAX(
    BA29
    + MAX(
      ROUNDDOWN((D30 - MAX(IFERROR(FILTER(D$24:D29, BA$24:BA29 &lt;&gt; AZ$6, BA$23:BA28 = AZ$6), 0))) * (60 * 60 * 24) / AZ$9) - ROUNDDOWN((D29 - MAX(IFERROR(FILTER(D$23:D28, BA$23:BA28 &lt;&gt; AZ$6, BA$22:BA27 ="&amp;" AZ$6), 0))) * (60 * 60 * 24) / AZ$9),
      0
    )
    - COUNTIF(AZ30, ""&lt;&gt;-""),
  0), AZ$6),
  AZ$6 - COUNTIF(AZ30, ""&lt;&gt;-"")
)"),2.0)</f>
        <v>2</v>
      </c>
      <c r="BB30" s="181" t="s">
        <v>1070</v>
      </c>
      <c r="BC30" s="183">
        <f>IFERROR(__xludf.DUMMYFUNCTION("IF(
  ISNUMBER(BC29),
  MIN(MAX(
    BC29
    + MAX(
      ROUNDDOWN(($D30 - MAX(IFERROR(FILTER($D$24:$D29, BC$24:BC29 &lt;&gt; BB$6, BC$23:BC28 = BB$6), 0))) * (60 * 60 * 24) / BB$9) - ROUNDDOWN(($D29 - MAX(IFERROR(FILTER($D$23:$D28, BC$23:BC28 &lt;&gt; BB$6, BC$22:"&amp;"BC27 = BB$6), 0))) * (60 * 60 * 24) / 60),
      0
    )
    - COUNTIF(BB30, ""&lt;&gt;-""),
  0), BB$6),
  BB$6 - COUNTIF(BB30, ""&lt;&gt;-"")
)"),2.0)</f>
        <v>2</v>
      </c>
      <c r="BD30" s="181" t="s">
        <v>1070</v>
      </c>
      <c r="BE30" s="178" t="b">
        <v>0</v>
      </c>
      <c r="BF30" s="180" t="b">
        <v>0</v>
      </c>
      <c r="BG30" s="180" t="b">
        <v>0</v>
      </c>
      <c r="BH30" s="180" t="b">
        <v>0</v>
      </c>
      <c r="BI30" s="180" t="b">
        <v>0</v>
      </c>
      <c r="BJ30" s="180" t="b">
        <v>0</v>
      </c>
      <c r="BK30" s="180" t="b">
        <v>0</v>
      </c>
      <c r="BL30" s="180" t="b">
        <v>0</v>
      </c>
      <c r="BM30" s="180" t="b">
        <v>0</v>
      </c>
      <c r="BN30" s="180" t="b">
        <v>0</v>
      </c>
      <c r="BO30" s="181" t="s">
        <v>1070</v>
      </c>
      <c r="BP30" s="181" t="s">
        <v>1070</v>
      </c>
      <c r="BQ30" s="181" t="s">
        <v>1070</v>
      </c>
      <c r="BR30" s="181" t="s">
        <v>1070</v>
      </c>
      <c r="BS30" s="181" t="s">
        <v>1070</v>
      </c>
      <c r="BT30" s="184">
        <f>IFERROR(__xludf.DUMMYFUNCTION("IF(
  ISNUMBER(BT29),
  MIN(MAX(
    BT29
    + MAX(
      ROUNDDOWN((D30 - MAX(IFERROR(FILTER(D$24:D29, BT$24:BT29 &lt;&gt; BS$6, BT$23:BT28 = BS$6), 0))) * (60 * 60 * 24) / BS$9) - ROUNDDOWN((D29 - MAX(IFERROR(FILTER(D$23:D28, BT$23:BT28 &lt;&gt; BS$6, BT$22:BT27 ="&amp;" BS$6), 0))) * (60 * 60 * 24) / BS$9),
      0
    )
    - COUNTIF(BS30, ""&lt;&gt;-""),
  0), BS$6),
  BS$6 - COUNTIF(BS30, ""&lt;&gt;-"")
)"),3.0)</f>
        <v>3</v>
      </c>
      <c r="BU30" s="181" t="s">
        <v>1070</v>
      </c>
      <c r="BV30" s="181" t="s">
        <v>1070</v>
      </c>
      <c r="BW30" s="184">
        <f>IFERROR(__xludf.DUMMYFUNCTION("IF(
  ISNUMBER(BW29),
  MIN(MAX(
    BW29
    + MAX(
      ROUNDDOWN((D30 - MAX(IFERROR(FILTER(D$24:D29, BW$24:BW29 &lt;&gt; BV$6, BW$23:BW28 = BV$6), 0))) * (60 * 60 * 24) / BV$9) - ROUNDDOWN((D29 - MAX(IFERROR(FILTER(D$23:D28, BW$23:BW28 &lt;&gt; BV$6, BW$22:BW27 ="&amp;" BV$6), 0))) * (60 * 60 * 24) / BV$9),
      0
    )
    - COUNTIF(BV30, ""&lt;&gt;-""),
  0), BV$6),
  BV$6 - COUNTIF(BV30, ""&lt;&gt;-"")
)"),2.0)</f>
        <v>2</v>
      </c>
      <c r="BX30" s="185" t="s">
        <v>1070</v>
      </c>
      <c r="BY30" s="178" t="b">
        <v>0</v>
      </c>
      <c r="BZ30" s="180" t="b">
        <v>0</v>
      </c>
      <c r="CA30" s="180" t="b">
        <v>0</v>
      </c>
      <c r="CB30" s="180" t="b">
        <v>0</v>
      </c>
      <c r="CC30" s="180" t="b">
        <v>0</v>
      </c>
      <c r="CD30" s="180" t="b">
        <v>0</v>
      </c>
      <c r="CE30" s="180" t="b">
        <v>0</v>
      </c>
      <c r="CF30" s="180" t="b">
        <v>0</v>
      </c>
      <c r="CG30" s="180" t="b">
        <v>0</v>
      </c>
      <c r="CH30" s="180" t="b">
        <v>0</v>
      </c>
      <c r="CI30" s="180" t="b">
        <v>0</v>
      </c>
      <c r="CJ30" s="180" t="b">
        <v>0</v>
      </c>
      <c r="CK30" s="180" t="b">
        <v>0</v>
      </c>
      <c r="CL30" s="180" t="b">
        <v>0</v>
      </c>
      <c r="CM30" s="181" t="s">
        <v>1070</v>
      </c>
      <c r="CN30" s="181" t="s">
        <v>1070</v>
      </c>
      <c r="CO30" s="181" t="s">
        <v>1070</v>
      </c>
      <c r="CP30" s="181" t="s">
        <v>1070</v>
      </c>
      <c r="CQ30" s="185" t="s">
        <v>1070</v>
      </c>
      <c r="CR30" s="180" t="b">
        <v>0</v>
      </c>
      <c r="CS30" s="186" t="str">
        <f t="shared" si="14"/>
        <v>◇◇◇</v>
      </c>
      <c r="CT30" s="178" t="b">
        <v>0</v>
      </c>
      <c r="CU30" s="180" t="b">
        <v>0</v>
      </c>
      <c r="CV30" s="180" t="b">
        <v>0</v>
      </c>
      <c r="CW30" s="180" t="b">
        <v>0</v>
      </c>
      <c r="CX30" s="180" t="b">
        <v>0</v>
      </c>
      <c r="CY30" s="180" t="b">
        <v>0</v>
      </c>
      <c r="CZ30" s="180" t="b">
        <v>0</v>
      </c>
      <c r="DA30" s="180" t="b">
        <v>0</v>
      </c>
      <c r="DB30" s="180" t="b">
        <v>0</v>
      </c>
      <c r="DC30" s="180" t="b">
        <v>0</v>
      </c>
      <c r="DD30" s="181" t="s">
        <v>1070</v>
      </c>
      <c r="DE30" s="181" t="s">
        <v>1070</v>
      </c>
      <c r="DF30" s="181" t="s">
        <v>1070</v>
      </c>
      <c r="DG30" s="185" t="s">
        <v>1070</v>
      </c>
      <c r="DH30" s="180" t="b">
        <v>0</v>
      </c>
      <c r="DI30" s="187" t="str">
        <f>IFERROR(__xludf.DUMMYFUNCTION("SWITCH(
  IF(
    ISTEXT(DI29),
    IF (
      FIND(""○"", DI29&amp;""○"") &gt; 3,
      3,
      FIND(""○"", DI29&amp;""○"")
      + MAX(
        ROUNDDOWN(($D30 - MAX(IFERROR(FILTER(D$24:D29, DI$24:DI29 &lt;&gt; ""●●●"", DI$23:DI28 = ""●●●""), 0))) * (60 * 60 * 24) / 20"&amp;") - ROUNDDOWN(($D29 - MAX(IFERROR(FILTER(D$23:D28, DI$23:DI28 &lt;&gt; ""●●●"", DI$22:DI27 = ""●●●""), 0))) * (60 * 60 * 24) / 20),
        0
      ) - 1
    ) - COUNTIFS(CU30, ""=TRUE"", CU29, ""&lt;&gt;TRUE"") - COUNTIF(CZ30, ""=TRUE"") - COUNTIF({DD30,DE30}, ""&lt;&gt;-"&amp;""") + COUNTIF(DH30, ""=TRUE""),
    3
  ),
  0, ""○○○"", 1, ""●○○"", 2, ""●●○"", 3, ""●●●"", 4, ""●●●"", ""○○○""
)"),"●●●")</f>
        <v>●●●</v>
      </c>
      <c r="DJ30" s="188" t="b">
        <v>0</v>
      </c>
      <c r="DK30" s="189" t="b">
        <v>0</v>
      </c>
      <c r="DL30" s="190" t="b">
        <v>0</v>
      </c>
      <c r="DM30" s="190" t="b">
        <v>0</v>
      </c>
      <c r="DN30" s="190" t="b">
        <v>0</v>
      </c>
      <c r="DO30" s="190" t="b">
        <v>0</v>
      </c>
      <c r="DP30" s="190" t="b">
        <v>0</v>
      </c>
      <c r="DQ30" s="191" t="b">
        <v>0</v>
      </c>
      <c r="DR30" s="192" t="b">
        <v>0</v>
      </c>
      <c r="DS30" s="191" t="b">
        <v>0</v>
      </c>
      <c r="DT30" s="192" t="b">
        <v>0</v>
      </c>
      <c r="DU30" s="191" t="b">
        <v>0</v>
      </c>
      <c r="DV30" s="193" t="s">
        <v>1070</v>
      </c>
      <c r="DW30" s="194" t="b">
        <v>0</v>
      </c>
      <c r="DX30" s="194" t="b">
        <v>0</v>
      </c>
      <c r="DY30" s="195" t="b">
        <v>0</v>
      </c>
      <c r="DZ30" s="196" t="b">
        <v>0</v>
      </c>
      <c r="EA30" s="195" t="b">
        <v>0</v>
      </c>
      <c r="EB30" s="197" t="b">
        <v>0</v>
      </c>
      <c r="EC30" s="197" t="b">
        <v>0</v>
      </c>
      <c r="ED30" s="212" t="b">
        <v>0</v>
      </c>
      <c r="EE30" s="199">
        <f>IFERROR(__xludf.DUMMYFUNCTION("IFERROR(
   PRODUCT(
     MAP(
       INDEX(TRANSPOSE(UNIQUE(TRANSPOSE(FILTER({IF($F30=""Physical"", K$10:ED$10, IF($F30=""Magic"", K$11:ED$11, K$12:ED$12));K$4:ED$4;K30:ED30}, K30:ED30=TRUE)))), 1, 0),
       INDEX(TRANSPOSE(UNIQUE(TRANSPOSE(FILTER({IF($"&amp;"F30=""Physical"", K$18:ED$18, IF($F30=""Magic"", K$19:ED$19, K$20:ED$20));K$4:ED$4;K30:ED30}, K30:ED30=TRUE)))), 1, 0),
       INDEX(TRANSPOSE(UNIQUE(TRANSPOSE(FILTER({K$5:ED$5;K$4:ED$4;K30:ED30}, K30:ED30=TRUE)))), 1, 0),
       INDEX(TRANSPOSE(UNIQUE(TR"&amp;"ANSPOSE(FILTER({K$17:ED$17;K$4:ED$4;K30:ED30}, K30:ED30=TRUE)))), 1, 0),
       LAMBDA(
         mitigation,
         enhance,
         assign,
         precondition,
         IF(
           REGEXMATCH(assign, ""RANGE_PARTY|SINGLE_ENEMY|RANGE_ENEMY""),
  "&amp;"         IF(
             OR(ARRAYFORMULA((IF(precondition="""", FALSE, REGEXMATCH(K$4:ED$4, precondition))) * (K30:ED30=TRUE))),
             IF(ISNUMBER(enhance), enhance, 1),
             IF(ISNUMBER(mitigation), mitigation, 1)
           ),
          "&amp;" 1
         )
       )
     )
   ),
   1
 )"),1.0)</f>
        <v>1</v>
      </c>
      <c r="EF30" s="200">
        <f>IFERROR(__xludf.DUMMYFUNCTION("PRODUCT(
   MAP(
     K$14:ED$14,
     K$13:ED$13,
     K30:ED30,
     LAMBDA(
       buff,
       target,
       check,
       IF(
         AND(check=TRUE, REGEXMATCH(target, ""RANGE_AFFECTED_ALL|RANGE_EFFECTED_ALL""), ISNUMBER(buff)),
         buff,
   "&amp;"      1
       )
     )
   )
 )"),1.0)</f>
        <v>1</v>
      </c>
      <c r="EG30" s="200">
        <f>IFERROR(__xludf.DUMMYFUNCTION("PRODUCT(
   MAP(
     K$14:ED$14,
     K$13:ED$13,
     K30:ED30,
     LAMBDA(
       buff,
       target,
       check,
       IF(
         AND(check=TRUE, REGEXMATCH(target, ""RANGE_AFFECTED_GCD|RANGE_EFFECTED_GCD""), ISNUMBER(buff)),
         buff,
   "&amp;"      1
       )
     )
   )
 )"),1.0)</f>
        <v>1</v>
      </c>
      <c r="EH30" s="200">
        <f>IFERROR(__xludf.DUMMYFUNCTION("PRODUCT(
   MAP(
     K$3:ED$3,
     K$14:ED$14,
     K$13:ED$13,
     K30:ED30,
     LAMBDA(
       job,
       buff,
       target,
       check,
       IF(
         AND(check=TRUE, REGEXMATCH(target, ""SELF_EFFECTED_ALL""), ISNUMBER(buff), job=""白魔道士"""&amp;"),
         buff,
         1
       )
     )
   )
 )"),1.0)</f>
        <v>1</v>
      </c>
      <c r="EI30" s="200">
        <f>IFERROR(__xludf.DUMMYFUNCTION("PRODUCT(
   MAP(
     K$3:ED$3,
     K$14:ED$14,
     K$13:ED$13,
     K30:ED30,
     LAMBDA(
       job,
       buff,
       target,
       check,
       IF(
         AND(check=TRUE, REGEXMATCH(target, ""SELF_EFFECTED_GCD""), ISNUMBER(buff), job=""白魔道士"""&amp;"),
         buff,
         1
       )
     )
   )
 )"),1.0)</f>
        <v>1</v>
      </c>
      <c r="EJ30" s="200">
        <f>IFERROR(__xludf.DUMMYFUNCTION("PRODUCT(
   MAP(
     K$3:ED$3,
     K$14:ED$14,
     K$13:ED$13,
     K30:ED30,
     LAMBDA(
       job,
       buff,
       target,
       check,
       IF(
         AND(check=TRUE, REGEXMATCH(target, ""SELF_EFFECTED_ALL""), ISNUMBER(buff), job=""占星術師"""&amp;"),
         buff,
         1
       )
     )
   )
 )"),1.0)</f>
        <v>1</v>
      </c>
      <c r="EK30" s="200">
        <f>IFERROR(__xludf.DUMMYFUNCTION("PRODUCT(
   MAP(
     K$3:ED$3,
     K$14:ED$14,
     K$13:ED$13,
     K30:ED30,
     LAMBDA(
       job,
       buff,
       target,
       check,
       IF(
         AND(check=TRUE, REGEXMATCH(target, ""SELF_EFFECTED_GCD""), ISNUMBER(buff), job=""占星術師"""&amp;"),
         buff,
         1
       )
     )
   )
 )"),1.0)</f>
        <v>1</v>
      </c>
      <c r="EL30" s="200">
        <f>IFERROR(__xludf.DUMMYFUNCTION("PRODUCT(
   MAP(
     K$3:ED$3,
     K$14:ED$14,
     K$13:ED$13,
     K30:ED30,
     LAMBDA(
       job,
       buff,
       target,
       check,
       IF(
         AND(check=TRUE, REGEXMATCH(target, ""SELF_EFFECTED_ALL""), ISNUMBER(buff), job=""学者""),"&amp;"
         buff,
         1
       )
     )
   )
 )"),1.0)</f>
        <v>1</v>
      </c>
      <c r="EM30" s="200">
        <f>IFERROR(__xludf.DUMMYFUNCTION("PRODUCT(
   MAP(
     K$3:ED$3,
     K$14:ED$14,
     K$13:ED$13,
     K30:ED30,
     LAMBDA(
       job,
       buff,
       target,
       check,
       IF(
         AND(check=TRUE, REGEXMATCH(target, ""SELF_EFFECTED_GCD""), ISNUMBER(buff), job=""学者""),"&amp;"
         buff,
         1
       )
     )
   )
 )"),1.0)</f>
        <v>1</v>
      </c>
      <c r="EN30" s="200">
        <f>IFERROR(__xludf.DUMMYFUNCTION("PRODUCT(
   MAP(
     K$3:ED$3,
     K$14:ED$14,
     K$13:ED$13,
     K30:ED30,
     LAMBDA(
       job,
       buff,
       target,
       check,
       IF(
         AND(check=TRUE, REGEXMATCH(target, ""SELF_EFFECTED_ALL""), ISNUMBER(buff), job=""賢者""),"&amp;"
         buff,
         1
       )
     )
   )
 )"),1.0)</f>
        <v>1</v>
      </c>
      <c r="EO30" s="200">
        <f>IFERROR(__xludf.DUMMYFUNCTION("PRODUCT(
   MAP(
     K$3:ED$3,
     K$14:ED$14,
     K$13:ED$13,
     K30:ED30,
     LAMBDA(
       job,
       buff,
       target,
       check,
       IF(
         AND(check=TRUE, REGEXMATCH(target, ""SELF_EFFECTED_GCD""), ISNUMBER(buff), job=""賢者""),"&amp;"
         buff,
         1
       )
     )
   )
 )"),1.0)</f>
        <v>1</v>
      </c>
      <c r="EP30" s="201">
        <f t="shared" si="3"/>
        <v>0</v>
      </c>
      <c r="EQ30" s="201">
        <f>IFERROR(__xludf.DUMMYFUNCTION("SUM(
   MAP(
     K$4:ED$4,
     K$3:ED$3,
     K$7:ED$7,
     K$15:ED$15,
     K$16:ED$16,
     K$21:ED$21,
     K$5:ED$5,
     K$17:ED$17,
     K30:ED30,
     LAMBDA(
       name,
       job,
       abillity,
       buff,
       barrier,
       enhance,"&amp;"
       assign,
       precondition,
       check,
       SWITCH(
         name,
         ""シェイクオフ"", IF(check=TRUE, buff + (0.02 * COUNTIF(ARRAYFORMULA((REGEXMATCH($K$4:$ED$4, ""スリル・オブ・バトル|ヴェンジェンス|原初の血気|ダムネーション"")) * (K30:ED30=TRUE)), 1)), 0),
         "&amp;"""インプロビゼーションフィニッシュ(踊りの激情0)"", IF(ISNUMBER(check), INDEX(Skill!$AJ:$AJ, MATCH(SUBSTITUTE(DV$4, 0, check), Skill!$C:$C, 0)), 0),
         IF(
           AND(check=TRUE, REGEXMATCH(assign, ""RANGE_PARTY"")),
           IF(
             OR(ARRAYFORMULA((IF(pr"&amp;"econdition="""", FALSE, REGEXMATCH($K$4:$ED$4, precondition))) * (K30:ED30=TRUE))),
             enhance,
             IF(barrier="""", buff, barrier)
           ),
           0
         )
       ) *
       SWITCH(
         job,
         ""ナイト"", EY$24,
 "&amp;"        ""戦士"", FD$24,
         ""踊り子"", ET$24,
         ""ピクトマンサー"", ET$24,
         ""白魔道士"", EF30 * EH30 * IF(abillity, 1, EG30 * EI30) * (Option!$D$22 * 0.81 / 100),
         ""占星術師"", EF30 * EJ30 * IF(abillity, 1, EG30 * EK30) * (Option!$D$23 * 0.81 "&amp;"/ 100),
         ""学者"", EF30 * EL30 * IF(abillity, 1, EG30 * EM30) * (Option!$D$24 * 0.81 / 100),
         ""賢者"", EF30 * EN30 * IF(abillity, 1, EG30 * EO30) * (Option!$D$25 * 0.81 / 100),
         1
       )
     )
   )
 )"),0.0)</f>
        <v>0</v>
      </c>
      <c r="ER30" s="202">
        <f t="shared" si="4"/>
        <v>0</v>
      </c>
      <c r="ES30" s="203">
        <f t="shared" si="5"/>
        <v>0</v>
      </c>
      <c r="ET30" s="231" t="str">
        <f>IFERROR(__xludf.DUMMYFUNCTION("IFS(
  EP30 &gt; $ET$24 + EQ30,
  SPARKLINE({ 1, 0 }, {""charttype"",""bar"";""max"", 1;""color1"",Option!$D$30;""color2"",Option!$D$30}),
  EP30 &lt; EQ30,
  SPARKLINE({EQ30 - EP30, $ET$24 - (EQ30 - EP30)}, {""charttype"",""bar"";""max"",$ET$24;""color1"",Opti"&amp;"on!$D$28;""color2"",Option!$D$29}),
  EP30 &gt;= EQ30,
  SPARKLINE({$ET$24 + EQ30 - EP30,EP30 - EQ30}, {""charttype"",""bar"";""max"",$ET$24;""color1"",Option!$D$29;""color2"",Option!$D$30})
)"),"")</f>
        <v/>
      </c>
      <c r="EU30" s="205">
        <f>IFERROR(__xludf.DUMMYFUNCTION("PRODUCT(
   MAP(
     IF($F30=""Physical"", K$10:ED$10, IF($F30=""Magic"", K$11:ED$11, K$12:ED$12)),
     IF($F30=""Physical"", K$18:ED$18, IF($F30=""Magic"", K$19:ED$19, K$20:ED$20)),
     K$3:ED$3,
     K$5:ED$5,
     K$17:ED$17,
     K30:ED30,
     LAM"&amp;"BDA(
       mitigation,
       enhance,
       job,
       assign,
       precondition,
       check,
       IF(
         OR(AND(check=TRUE, REGEXMATCH(assign, ""SELF""), job=""ナイト""), AND(check=Option!$E$13, REGEXMATCH(assign, ""SINGLE_PARTY""))),
      "&amp;"   IF(
           OR(ARRAYFORMULA((IF(precondition="""", FALSE, REGEXMATCH($K$4:$ED$4, precondition))) * (K30:ED30=TRUE))),
           enhance,
           mitigation
         ),
         1
       )
     )
   )
 ) * EE30"),1.0)</f>
        <v>1</v>
      </c>
      <c r="EV30" s="206">
        <f t="shared" si="6"/>
        <v>0</v>
      </c>
      <c r="EW30" s="205">
        <f>IFERROR(__xludf.DUMMYFUNCTION("PRODUCT(
   MAP(
     K$3:ED$3,
     K$14:ED$14,
     K$13:ED$13,
     K30:ED30,
     LAMBDA(
       job,
       buff,
       target,
       check,
       IF(
         OR(AND(check=TRUE, REGEXMATCH(target, ""SELF_AFFECTED_ALL""), job=""ナイト""), AND(check=O"&amp;"ption!$E$13, REGEXMATCH(target, ""SINGLE_AFFECTED_ALL""))),
         buff,
         1
       )
     )
   )
 )"),1.0)</f>
        <v>1</v>
      </c>
      <c r="EX30" s="206">
        <f>IFERROR(__xludf.DUMMYFUNCTION("SUM(
   MAP(
     K$3:ED$3,
     K$7:ED$7,
     K$15:ED$15,
     K$16:ED$16,
     K$21:ED$21,
     K$5:ED$5,
     K$17:ED$17,
     K30:ED30,
     LAMBDA(
       job,
       abillity,
       buff,
       barrier,
       enhance,
       assign,
       preco"&amp;"ndition,
       check,
       IF(
         OR(AND(check=TRUE, REGEXMATCH(assign, ""SELF""), job=""ナイト""), AND(check=Option!$E$13, REGEXMATCH(assign, ""SINGLE_PARTY""))),
         IF(
           OR(ARRAYFORMULA((IF(precondition="""", FALSE, REGEXMATCH($K$4"&amp;":$ED$4, precondition))) * (K30:ED30=TRUE))),
           enhance,
           IF(barrier="""", buff, barrier)
         ),
         0
       ) *
       SWITCH(
         job,
         ""暗黒騎士"", EY$24,
         ""白魔道士"", EF30 * EH30 * EW30 * IF(abillity, 1, EG"&amp;"30 * EI30) * (Option!$D$22 * 0.81 / 100),
         ""占星術師"", EF30 * EJ30 * EW30 * IF(abillity, 1, EG30 * EK30) * (Option!$D$23 * 0.81 / 100),
         ""学者"", EF30 * EL30 * EW30 * IF(abillity, 1, EG30 * EM30) * (Option!$D$24 * 0.81 / 100),
         ""賢者"""&amp;", EF30 * EN30 * EW30 * IF(abillity, 1, EG30 * EO30) * (Option!$D$25 * 0.81 / 100),
         1
       )
     )
   )
 ) + EQ30"),0.0)</f>
        <v>0</v>
      </c>
      <c r="EY30" s="232">
        <f t="shared" si="7"/>
        <v>0</v>
      </c>
      <c r="EZ30" s="205">
        <f>IFERROR(__xludf.DUMMYFUNCTION("PRODUCT(
   MAP(
     IF($F30=""Physical"", K$10:ED$10, IF($F30=""Magic"", K$11:ED$11, K$12:ED$12)),
     IF($F30=""Physical"", K$18:ED$18, IF($F30=""Magic"", K$19:ED$19, K$20:ED$20)),
     K$3:ED$3,
     K$5:ED$5,
     K$17:ED$17,
     K30:ED30,
     LAM"&amp;"BDA(
       mitigation,
       enhance,
       job,
       assign,
       precondition,
       check,
       IF(
         OR(AND(check=TRUE, REGEXMATCH(assign, ""SELF""), job=""戦士""), AND(check=Option!$F$13, REGEXMATCH(assign, ""SINGLE_PARTY""))),
       "&amp;"  IF(
           OR(ARRAYFORMULA((IF(precondition="""", FALSE, REGEXMATCH($K$4:$ED$4, precondition))) * (K30:ED30=TRUE))),
           enhance,
           mitigation
         ),
         1
       )
     )
   )
 ) * EE30"),1.0)</f>
        <v>1</v>
      </c>
      <c r="FA30" s="206">
        <f t="shared" si="8"/>
        <v>0</v>
      </c>
      <c r="FB30" s="205">
        <f>IFERROR(__xludf.DUMMYFUNCTION("PRODUCT(
   MAP(
     K$3:ED$3,
     K$14:ED$14,
     K$13:ED$13,
     K30:ED30,
     LAMBDA(
       job,
       buff,
       target,
       check,
       IF(
         OR(AND(check=TRUE, REGEXMATCH(target, ""SELF_AFFECTED_ALL""), job=""戦士""), AND(check=Op"&amp;"tion!$F$13, REGEXMATCH(target, ""SINGLE_AFFECTED_ALL""))),
         buff,
         1
       )
     )
   )
 )"),1.0)</f>
        <v>1</v>
      </c>
      <c r="FC30" s="206">
        <f>IFERROR(__xludf.DUMMYFUNCTION("SUM(
   MAP(
     K$3:ED$3,
     K$7:ED$7,
     K$15:ED$15,
     K$16:ED$16,
     K$21:ED$21,
     K$5:ED$5,
     K$17:ED$17,
     K30:ED30,
     LAMBDA(
       job,
       abillity,
       buff,
       barrier,
       enhance,
       assign,
       preco"&amp;"ndition,
       check,
       IF(
         OR(AND(check=TRUE, REGEXMATCH(assign, ""SELF""), job=""戦士""), AND(check=Option!$F$13, REGEXMATCH(assign, ""SINGLE_PARTY""))),
         IF(
           OR(ARRAYFORMULA((IF(precondition="""", FALSE, REGEXMATCH($K$4:"&amp;"$ED$4, precondition))) * (K30:ED30=TRUE))),
           enhance,
           IF(barrier="""", buff, barrier)
         ),
         0
       ) *
       SWITCH(
         job,
         ""暗黒騎士"", FD$24,
         ""白魔道士"", EF30 * EH30 * FB30 * IF(abillity, 1, EG3"&amp;"0 * EI30) * (Option!$D$22 * 0.81 / 100),
         ""占星術師"", EF30 * EJ30 * FFB30 * IF(abillity, 1, EG30 * EK30) * (Option!$D$23 * 0.81 / 100),
         ""学者"", EF30 * EL30 * FB30 * IF(abillity, 1, EG30 * EM30) * (Option!$D$24 * 0.81 / 100),
         ""賢者"""&amp;", EF30 * EN30 * FB30 * IF(abillity, 1, EG30 * EO30) * (Option!$D$25 * 0.81 / 100),
         1
       )
     )
   )
 ) + EQ30"),0.0)</f>
        <v>0</v>
      </c>
      <c r="FD30" s="206">
        <f t="shared" si="9"/>
        <v>0</v>
      </c>
      <c r="FE30" s="205">
        <f>IFERROR(__xludf.DUMMYFUNCTION("PRODUCT(
   MAP(
     IF($F30=""Physical"", K$10:ED$10, IF($F30=""Magic"", K$11:ED$11, K$12:ED$12)),
     IF($F30=""Physical"", K$18:ED$18, IF($F30=""Magic"", K$19:ED$19, K$20:ED$20)),
     K$3:ED$3,
     K$5:ED$5,
     K$17:ED$17,
     K30:ED30,
     LAM"&amp;"BDA(
       mitigation,
       enhance,
       job,
       assign,
       precondition,
       check,
       IF(
         OR(AND(check=TRUE, REGEXMATCH(assign, ""SELF""), job=""暗黒騎士""), AND(check=Option!$G$13, REGEXMATCH(assign, ""SINGLE_PARTY""))),
     "&amp;"    IF(
           OR(ARRAYFORMULA((IF(precondition="""", FALSE, REGEXMATCH($K$4:$ED$4, precondition))) * (K30:ED30=TRUE))),
           enhance,
           mitigation
         ),
         1
       )
     )
   )
 ) * EE30"),1.0)</f>
        <v>1</v>
      </c>
      <c r="FF30" s="206">
        <f t="shared" si="10"/>
        <v>0</v>
      </c>
      <c r="FG30" s="205">
        <f>IFERROR(__xludf.DUMMYFUNCTION("PRODUCT(
   MAP(
     K$3:ED$3,
     K$14:ED$14,
     K$13:ED$13,
     K30:ED30,
     LAMBDA(
       job,
       buff,
       target,
       check,
       IF(
         OR(AND(check=TRUE, REGEXMATCH(target, ""SELF_AFFECTED_ALL""), job=""暗黒騎士""), AND(check="&amp;"Option!$G$13, REGEXMATCH(target, ""SINGLE_AFFECTED_ALL""))),
         buff,
         1
       )
     )
   )
 )"),1.0)</f>
        <v>1</v>
      </c>
      <c r="FH30" s="206">
        <f>IFERROR(__xludf.DUMMYFUNCTION("SUM(
   MAP(
     K$3:ED$3,
     K$7:ED$7,
     K$15:ED$15,
     K$16:ED$16,
     K$21:ED$21,
     K$5:ED$5,
     K$17:ED$17,
     K30:ED30,
     LAMBDA(
       job,
       abillity,
       buff,
       barrier,
       enhance,
       assign,
       preco"&amp;"ndition,
       check,
       IF(
         OR(AND(check=TRUE, REGEXMATCH(assign, ""SELF""), job=""暗黒騎士""), AND(check=Option!$G$13, REGEXMATCH(assign, ""SINGLE_PARTY""))),
         IF(
           OR(ARRAYFORMULA((IF(precondition="""", FALSE, REGEXMATCH($K$"&amp;"4:$ED$4, precondition))) * (K30:ED30=TRUE))),
           enhance,
           IF(barrier="""", buff, barrier)
         ),
         0
       ) *
       SWITCH(
         job,
         ""暗黒騎士"", FI$24,
         ""白魔道士"", EF30 * EH30 * FG30 * IF(abillity, 1, E"&amp;"G30 * EI30) * (Option!$D$22 * 0.81 / 100),
         ""占星術師"", EF30 * EJ30 * FG30 * IF(abillity, 1, EG30 * EK30) * (Option!$D$23 * 0.81 / 100),
         ""学者"", EF30 * EL30 * FG30 * IF(abillity, 1, EG30 * EM30) * (Option!$D$24 * 0.81 / 100),
         ""賢者"&amp;""", EF30 * EN30 * FG30 * IF(abillity, 1, EG30 * EO30) * (Option!$D$25 * 0.81 / 100),
         1
       )
     )
   )
 ) + EQ30"),0.0)</f>
        <v>0</v>
      </c>
      <c r="FI30" s="206">
        <f t="shared" si="11"/>
        <v>0</v>
      </c>
      <c r="FJ30" s="205">
        <f>IFERROR(__xludf.DUMMYFUNCTION("PRODUCT(
   MAP(
     IF($F30=""Physical"", K$10:ED$10, IF($F30=""Magic"", K$11:ED$11, K$12:ED$12)),
     IF($F30=""Physical"", K$18:ED$18, IF($F30=""Magic"", K$19:ED$19, K$20:ED$20)),
     K$3:ED$3,
     K$5:ED$5,
     K$17:ED$17,
     K30:ED30,
     LAM"&amp;"BDA(
       mitigation,
       enhance,
       job,
       assign,
       precondition,
       check,
       IF(
         OR(AND(check=TRUE, REGEXMATCH(assign, ""SELF""), job=""ガンブレイカー""), AND(check=Option!$H$13, REGEXMATCH(assign, ""SINGLE_PARTY""))),
  "&amp;"       IF(
           OR(ARRAYFORMULA((IF(precondition="""", FALSE, REGEXMATCH($K$4:$ED$4, precondition))) * (K30:ED30=TRUE))),
           enhance,
           mitigation
         ),
         1
       )
     )
   )
 ) * EE30"),1.0)</f>
        <v>1</v>
      </c>
      <c r="FK30" s="206">
        <f t="shared" si="12"/>
        <v>0</v>
      </c>
      <c r="FL30" s="205">
        <f>IFERROR(__xludf.DUMMYFUNCTION("PRODUCT(
   MAP(
     K$3:ED$3,
     K$14:ED$14,
     K$13:ED$13,
     K30:ED30,
     LAMBDA(
       job,
       buff,
       target,
       check,
       IF(
         OR(AND(check=TRUE, REGEXMATCH(target, ""SELF_AFFECTED_ALL""), job=""ガンブレイカー""), AND(che"&amp;"ck=Option!$H$13, REGEXMATCH(target, ""SINGLE_AFFECTED_ALL""))),
         buff,
         1
       )
     )
   )
 )"),1.0)</f>
        <v>1</v>
      </c>
      <c r="FM30" s="206">
        <f>IFERROR(__xludf.DUMMYFUNCTION("SUM(
   MAP(
     K$3:ED$3,
     K$7:ED$7,
     K$15:ED$15,
     K$16:ED$16,
     K$21:ED$21,
     K$5:ED$5,
     K$17:ED$17,
     K30:ED30,
     LAMBDA(
       job,
       abillity,
       buff,
       barrier,
       enhance,
       assign,
       preco"&amp;"ndition,
       check,
       IF(
         OR(AND(check=TRUE, REGEXMATCH(assign, ""SELF""), job=""ガンブレイカー""), AND(check=Option!$H$13, REGEXMATCH(assign, ""SINGLE_PARTY""))),
         IF(
           OR(ARRAYFORMULA((IF(precondition="""", FALSE, REGEXMATCH("&amp;"$K$4:$ED$4, precondition))) * (K30:ED30=TRUE))),
           enhance,
           IF(barrier="""", buff, barrier)
         ),
         0
       ) *
       SWITCH(
         job,
         ""暗黒騎士"", FN$24,
         ""白魔道士"", EF30 * EH30 * FL30 * IF(abillity, 1"&amp;", EG30 * EI30) * (Option!$D$22 * 0.81 / 100),
         ""占星術師"", EF30 * EJ30 * FL30 * IF(abillity, 1, EG30 * EK30) * (Option!$D$23 * 0.81 / 100),
         ""学者"", EF30 * EL30 * FL30 * IF(abillity, 1, EG30 * EM30) * (Option!$D$24 * 0.81 / 100),
         """&amp;"賢者"", EF30 * EN30 * FL30 * IF(abillity, 1, EG30 * EO30) * (Option!$D$25 * 0.81 / 100),
         1
       )
     )
   )
 ) + EQ30"),0.0)</f>
        <v>0</v>
      </c>
      <c r="FN30" s="206">
        <f t="shared" si="13"/>
        <v>0</v>
      </c>
      <c r="FO30" s="213"/>
    </row>
    <row r="31">
      <c r="B31" s="229"/>
      <c r="C31" s="217">
        <f t="shared" si="1"/>
        <v>0</v>
      </c>
      <c r="D31" s="236"/>
      <c r="E31" s="238"/>
      <c r="F31" s="167"/>
      <c r="G31" s="168" t="str">
        <f t="shared" si="2"/>
        <v/>
      </c>
      <c r="H31" s="169"/>
      <c r="I31" s="169"/>
      <c r="J31" s="169"/>
      <c r="K31" s="170" t="b">
        <v>0</v>
      </c>
      <c r="L31" s="170" t="b">
        <v>0</v>
      </c>
      <c r="M31" s="170" t="b">
        <v>0</v>
      </c>
      <c r="N31" s="171" t="s">
        <v>1070</v>
      </c>
      <c r="O31" s="172" t="b">
        <v>0</v>
      </c>
      <c r="P31" s="173" t="b">
        <v>0</v>
      </c>
      <c r="Q31" s="173" t="b">
        <v>0</v>
      </c>
      <c r="R31" s="173" t="b">
        <v>0</v>
      </c>
      <c r="S31" s="174" t="b">
        <v>0</v>
      </c>
      <c r="T31" s="175" t="b">
        <v>0</v>
      </c>
      <c r="U31" s="173" t="b">
        <v>0</v>
      </c>
      <c r="V31" s="171" t="s">
        <v>1070</v>
      </c>
      <c r="W31" s="172" t="b">
        <v>0</v>
      </c>
      <c r="X31" s="173" t="b">
        <v>0</v>
      </c>
      <c r="Y31" s="173" t="b">
        <v>0</v>
      </c>
      <c r="Z31" s="173" t="b">
        <v>0</v>
      </c>
      <c r="AA31" s="174" t="b">
        <v>0</v>
      </c>
      <c r="AB31" s="174" t="b">
        <v>0</v>
      </c>
      <c r="AC31" s="175" t="b">
        <v>0</v>
      </c>
      <c r="AD31" s="173" t="b">
        <v>0</v>
      </c>
      <c r="AE31" s="176" t="s">
        <v>1070</v>
      </c>
      <c r="AF31" s="171" t="s">
        <v>1070</v>
      </c>
      <c r="AG31" s="177">
        <f>IFERROR(__xludf.DUMMYFUNCTION("IF(
  ISNUMBER(AG30),
  MIN(MAX(
    AG30
    + MAX(
      ROUNDDOWN(($D31 - MAX(IFERROR(FILTER($D$24:$D30, AG$24:AG30 &lt;&gt; AF$6, AG$23:AG29 = AF$6), 0))) * (60 * 60 * 24) / AF$9) - ROUNDDOWN(($D30 - MAX(IFERROR(FILTER($D$23:$D29, AG$23:AG29 &lt;&gt; AF$6, AG$22:"&amp;"AG28 = AF$6), 0))) * (60 * 60 * 24) / 60),
      0
    )
    - COUNTIF(AF31, ""&lt;&gt;-""),
  0), AF$6),
  AF$6 - COUNTIF(AF31, ""&lt;&gt;-"")
)"),2.0)</f>
        <v>2</v>
      </c>
      <c r="AH31" s="173" t="b">
        <v>0</v>
      </c>
      <c r="AI31" s="173" t="b">
        <v>0</v>
      </c>
      <c r="AJ31" s="173" t="b">
        <v>0</v>
      </c>
      <c r="AK31" s="174" t="b">
        <v>0</v>
      </c>
      <c r="AL31" s="175" t="b">
        <v>0</v>
      </c>
      <c r="AM31" s="173" t="b">
        <v>0</v>
      </c>
      <c r="AN31" s="171" t="s">
        <v>1070</v>
      </c>
      <c r="AO31" s="173" t="b">
        <v>0</v>
      </c>
      <c r="AP31" s="173" t="b">
        <v>0</v>
      </c>
      <c r="AQ31" s="173" t="b">
        <v>0</v>
      </c>
      <c r="AR31" s="174" t="b">
        <v>0</v>
      </c>
      <c r="AS31" s="178" t="b">
        <v>0</v>
      </c>
      <c r="AT31" s="179" t="b">
        <v>0</v>
      </c>
      <c r="AU31" s="180" t="b">
        <v>0</v>
      </c>
      <c r="AV31" s="180" t="b">
        <v>0</v>
      </c>
      <c r="AW31" s="180" t="b">
        <v>0</v>
      </c>
      <c r="AX31" s="180" t="b">
        <v>0</v>
      </c>
      <c r="AY31" s="181" t="s">
        <v>1070</v>
      </c>
      <c r="AZ31" s="181" t="s">
        <v>1070</v>
      </c>
      <c r="BA31" s="184">
        <f>IFERROR(__xludf.DUMMYFUNCTION("IF(
  ISNUMBER(BA30),
  MIN(MAX(
    BA30
    + MAX(
      ROUNDDOWN((D31 - MAX(IFERROR(FILTER(D$24:D30, BA$24:BA30 &lt;&gt; AZ$6, BA$23:BA29 = AZ$6), 0))) * (60 * 60 * 24) / AZ$9) - ROUNDDOWN((D30 - MAX(IFERROR(FILTER(D$23:D29, BA$23:BA29 &lt;&gt; AZ$6, BA$22:BA28 ="&amp;" AZ$6), 0))) * (60 * 60 * 24) / AZ$9),
      0
    )
    - COUNTIF(AZ31, ""&lt;&gt;-""),
  0), AZ$6),
  AZ$6 - COUNTIF(AZ31, ""&lt;&gt;-"")
)"),2.0)</f>
        <v>2</v>
      </c>
      <c r="BB31" s="181" t="s">
        <v>1070</v>
      </c>
      <c r="BC31" s="183">
        <f>IFERROR(__xludf.DUMMYFUNCTION("IF(
  ISNUMBER(BC30),
  MIN(MAX(
    BC30
    + MAX(
      ROUNDDOWN(($D31 - MAX(IFERROR(FILTER($D$24:$D30, BC$24:BC30 &lt;&gt; BB$6, BC$23:BC29 = BB$6), 0))) * (60 * 60 * 24) / BB$9) - ROUNDDOWN(($D30 - MAX(IFERROR(FILTER($D$23:$D29, BC$23:BC29 &lt;&gt; BB$6, BC$22:"&amp;"BC28 = BB$6), 0))) * (60 * 60 * 24) / 60),
      0
    )
    - COUNTIF(BB31, ""&lt;&gt;-""),
  0), BB$6),
  BB$6 - COUNTIF(BB31, ""&lt;&gt;-"")
)"),2.0)</f>
        <v>2</v>
      </c>
      <c r="BD31" s="181" t="s">
        <v>1070</v>
      </c>
      <c r="BE31" s="178" t="b">
        <v>0</v>
      </c>
      <c r="BF31" s="180" t="b">
        <v>0</v>
      </c>
      <c r="BG31" s="180" t="b">
        <v>0</v>
      </c>
      <c r="BH31" s="180" t="b">
        <v>0</v>
      </c>
      <c r="BI31" s="180" t="b">
        <v>0</v>
      </c>
      <c r="BJ31" s="180" t="b">
        <v>0</v>
      </c>
      <c r="BK31" s="180" t="b">
        <v>0</v>
      </c>
      <c r="BL31" s="180" t="b">
        <v>0</v>
      </c>
      <c r="BM31" s="180" t="b">
        <v>0</v>
      </c>
      <c r="BN31" s="180" t="b">
        <v>0</v>
      </c>
      <c r="BO31" s="181" t="s">
        <v>1070</v>
      </c>
      <c r="BP31" s="181" t="s">
        <v>1070</v>
      </c>
      <c r="BQ31" s="181" t="s">
        <v>1070</v>
      </c>
      <c r="BR31" s="181" t="s">
        <v>1070</v>
      </c>
      <c r="BS31" s="181" t="s">
        <v>1070</v>
      </c>
      <c r="BT31" s="184">
        <f>IFERROR(__xludf.DUMMYFUNCTION("IF(
  ISNUMBER(BT30),
  MIN(MAX(
    BT30
    + MAX(
      ROUNDDOWN((D31 - MAX(IFERROR(FILTER(D$24:D30, BT$24:BT30 &lt;&gt; BS$6, BT$23:BT29 = BS$6), 0))) * (60 * 60 * 24) / BS$9) - ROUNDDOWN((D30 - MAX(IFERROR(FILTER(D$23:D29, BT$23:BT29 &lt;&gt; BS$6, BT$22:BT28 ="&amp;" BS$6), 0))) * (60 * 60 * 24) / BS$9),
      0
    )
    - COUNTIF(BS31, ""&lt;&gt;-""),
  0), BS$6),
  BS$6 - COUNTIF(BS31, ""&lt;&gt;-"")
)"),3.0)</f>
        <v>3</v>
      </c>
      <c r="BU31" s="181" t="s">
        <v>1070</v>
      </c>
      <c r="BV31" s="181" t="s">
        <v>1070</v>
      </c>
      <c r="BW31" s="184">
        <f>IFERROR(__xludf.DUMMYFUNCTION("IF(
  ISNUMBER(BW30),
  MIN(MAX(
    BW30
    + MAX(
      ROUNDDOWN((D31 - MAX(IFERROR(FILTER(D$24:D30, BW$24:BW30 &lt;&gt; BV$6, BW$23:BW29 = BV$6), 0))) * (60 * 60 * 24) / BV$9) - ROUNDDOWN((D30 - MAX(IFERROR(FILTER(D$23:D29, BW$23:BW29 &lt;&gt; BV$6, BW$22:BW28 ="&amp;" BV$6), 0))) * (60 * 60 * 24) / BV$9),
      0
    )
    - COUNTIF(BV31, ""&lt;&gt;-""),
  0), BV$6),
  BV$6 - COUNTIF(BV31, ""&lt;&gt;-"")
)"),2.0)</f>
        <v>2</v>
      </c>
      <c r="BX31" s="185" t="s">
        <v>1070</v>
      </c>
      <c r="BY31" s="178" t="b">
        <v>0</v>
      </c>
      <c r="BZ31" s="180" t="b">
        <v>0</v>
      </c>
      <c r="CA31" s="180" t="b">
        <v>0</v>
      </c>
      <c r="CB31" s="180" t="b">
        <v>0</v>
      </c>
      <c r="CC31" s="180" t="b">
        <v>0</v>
      </c>
      <c r="CD31" s="180" t="b">
        <v>0</v>
      </c>
      <c r="CE31" s="180" t="b">
        <v>0</v>
      </c>
      <c r="CF31" s="180" t="b">
        <v>0</v>
      </c>
      <c r="CG31" s="180" t="b">
        <v>0</v>
      </c>
      <c r="CH31" s="180" t="b">
        <v>0</v>
      </c>
      <c r="CI31" s="180" t="b">
        <v>0</v>
      </c>
      <c r="CJ31" s="180" t="b">
        <v>0</v>
      </c>
      <c r="CK31" s="180" t="b">
        <v>0</v>
      </c>
      <c r="CL31" s="180" t="b">
        <v>0</v>
      </c>
      <c r="CM31" s="181" t="s">
        <v>1070</v>
      </c>
      <c r="CN31" s="181" t="s">
        <v>1070</v>
      </c>
      <c r="CO31" s="181" t="s">
        <v>1070</v>
      </c>
      <c r="CP31" s="181" t="s">
        <v>1070</v>
      </c>
      <c r="CQ31" s="185" t="s">
        <v>1070</v>
      </c>
      <c r="CR31" s="180" t="b">
        <v>0</v>
      </c>
      <c r="CS31" s="186" t="str">
        <f t="shared" si="14"/>
        <v>◇◇◇</v>
      </c>
      <c r="CT31" s="178" t="b">
        <v>0</v>
      </c>
      <c r="CU31" s="180" t="b">
        <v>0</v>
      </c>
      <c r="CV31" s="180" t="b">
        <v>0</v>
      </c>
      <c r="CW31" s="180" t="b">
        <v>0</v>
      </c>
      <c r="CX31" s="180" t="b">
        <v>0</v>
      </c>
      <c r="CY31" s="180" t="b">
        <v>0</v>
      </c>
      <c r="CZ31" s="180" t="b">
        <v>0</v>
      </c>
      <c r="DA31" s="180" t="b">
        <v>0</v>
      </c>
      <c r="DB31" s="180" t="b">
        <v>0</v>
      </c>
      <c r="DC31" s="180" t="b">
        <v>0</v>
      </c>
      <c r="DD31" s="181" t="s">
        <v>1070</v>
      </c>
      <c r="DE31" s="181" t="s">
        <v>1070</v>
      </c>
      <c r="DF31" s="181" t="s">
        <v>1070</v>
      </c>
      <c r="DG31" s="185" t="s">
        <v>1070</v>
      </c>
      <c r="DH31" s="180" t="b">
        <v>0</v>
      </c>
      <c r="DI31" s="187" t="str">
        <f>IFERROR(__xludf.DUMMYFUNCTION("SWITCH(
  IF(
    ISTEXT(DI30),
    IF (
      FIND(""○"", DI30&amp;""○"") &gt; 3,
      3,
      FIND(""○"", DI30&amp;""○"")
      + MAX(
        ROUNDDOWN(($D31 - MAX(IFERROR(FILTER(D$24:D30, DI$24:DI30 &lt;&gt; ""●●●"", DI$23:DI29 = ""●●●""), 0))) * (60 * 60 * 24) / 20"&amp;") - ROUNDDOWN(($D30 - MAX(IFERROR(FILTER(D$23:D29, DI$23:DI29 &lt;&gt; ""●●●"", DI$22:DI28 = ""●●●""), 0))) * (60 * 60 * 24) / 20),
        0
      ) - 1
    ) - COUNTIFS(CU31, ""=TRUE"", CU30, ""&lt;&gt;TRUE"") - COUNTIF(CZ31, ""=TRUE"") - COUNTIF({DD31,DE31}, ""&lt;&gt;-"&amp;""") + COUNTIF(DH31, ""=TRUE""),
    3
  ),
  0, ""○○○"", 1, ""●○○"", 2, ""●●○"", 3, ""●●●"", 4, ""●●●"", ""○○○""
)"),"●●●")</f>
        <v>●●●</v>
      </c>
      <c r="DJ31" s="188" t="b">
        <v>0</v>
      </c>
      <c r="DK31" s="189" t="b">
        <v>0</v>
      </c>
      <c r="DL31" s="190" t="b">
        <v>0</v>
      </c>
      <c r="DM31" s="190" t="b">
        <v>0</v>
      </c>
      <c r="DN31" s="190" t="b">
        <v>0</v>
      </c>
      <c r="DO31" s="190" t="b">
        <v>0</v>
      </c>
      <c r="DP31" s="190" t="b">
        <v>0</v>
      </c>
      <c r="DQ31" s="191" t="b">
        <v>0</v>
      </c>
      <c r="DR31" s="192" t="b">
        <v>0</v>
      </c>
      <c r="DS31" s="191" t="b">
        <v>0</v>
      </c>
      <c r="DT31" s="192" t="b">
        <v>0</v>
      </c>
      <c r="DU31" s="191" t="b">
        <v>0</v>
      </c>
      <c r="DV31" s="193" t="s">
        <v>1070</v>
      </c>
      <c r="DW31" s="194" t="b">
        <v>0</v>
      </c>
      <c r="DX31" s="194" t="b">
        <v>0</v>
      </c>
      <c r="DY31" s="195" t="b">
        <v>0</v>
      </c>
      <c r="DZ31" s="196" t="b">
        <v>0</v>
      </c>
      <c r="EA31" s="195" t="b">
        <v>0</v>
      </c>
      <c r="EB31" s="197" t="b">
        <v>0</v>
      </c>
      <c r="EC31" s="197" t="b">
        <v>0</v>
      </c>
      <c r="ED31" s="212" t="b">
        <v>0</v>
      </c>
      <c r="EE31" s="199">
        <f>IFERROR(__xludf.DUMMYFUNCTION("IFERROR(
   PRODUCT(
     MAP(
       INDEX(TRANSPOSE(UNIQUE(TRANSPOSE(FILTER({IF($F31=""Physical"", K$10:ED$10, IF($F31=""Magic"", K$11:ED$11, K$12:ED$12));K$4:ED$4;K31:ED31}, K31:ED31=TRUE)))), 1, 0),
       INDEX(TRANSPOSE(UNIQUE(TRANSPOSE(FILTER({IF($"&amp;"F31=""Physical"", K$18:ED$18, IF($F31=""Magic"", K$19:ED$19, K$20:ED$20));K$4:ED$4;K31:ED31}, K31:ED31=TRUE)))), 1, 0),
       INDEX(TRANSPOSE(UNIQUE(TRANSPOSE(FILTER({K$5:ED$5;K$4:ED$4;K31:ED31}, K31:ED31=TRUE)))), 1, 0),
       INDEX(TRANSPOSE(UNIQUE(TR"&amp;"ANSPOSE(FILTER({K$17:ED$17;K$4:ED$4;K31:ED31}, K31:ED31=TRUE)))), 1, 0),
       LAMBDA(
         mitigation,
         enhance,
         assign,
         precondition,
         IF(
           REGEXMATCH(assign, ""RANGE_PARTY|SINGLE_ENEMY|RANGE_ENEMY""),
  "&amp;"         IF(
             OR(ARRAYFORMULA((IF(precondition="""", FALSE, REGEXMATCH(K$4:ED$4, precondition))) * (K31:ED31=TRUE))),
             IF(ISNUMBER(enhance), enhance, 1),
             IF(ISNUMBER(mitigation), mitigation, 1)
           ),
          "&amp;" 1
         )
       )
     )
   ),
   1
 )"),1.0)</f>
        <v>1</v>
      </c>
      <c r="EF31" s="200">
        <f>IFERROR(__xludf.DUMMYFUNCTION("PRODUCT(
   MAP(
     K$14:ED$14,
     K$13:ED$13,
     K31:ED31,
     LAMBDA(
       buff,
       target,
       check,
       IF(
         AND(check=TRUE, REGEXMATCH(target, ""RANGE_AFFECTED_ALL|RANGE_EFFECTED_ALL""), ISNUMBER(buff)),
         buff,
   "&amp;"      1
       )
     )
   )
 )"),1.0)</f>
        <v>1</v>
      </c>
      <c r="EG31" s="200">
        <f>IFERROR(__xludf.DUMMYFUNCTION("PRODUCT(
   MAP(
     K$14:ED$14,
     K$13:ED$13,
     K31:ED31,
     LAMBDA(
       buff,
       target,
       check,
       IF(
         AND(check=TRUE, REGEXMATCH(target, ""RANGE_AFFECTED_GCD|RANGE_EFFECTED_GCD""), ISNUMBER(buff)),
         buff,
   "&amp;"      1
       )
     )
   )
 )"),1.0)</f>
        <v>1</v>
      </c>
      <c r="EH31" s="200">
        <f>IFERROR(__xludf.DUMMYFUNCTION("PRODUCT(
   MAP(
     K$3:ED$3,
     K$14:ED$14,
     K$13:ED$13,
     K31:ED31,
     LAMBDA(
       job,
       buff,
       target,
       check,
       IF(
         AND(check=TRUE, REGEXMATCH(target, ""SELF_EFFECTED_ALL""), ISNUMBER(buff), job=""白魔道士"""&amp;"),
         buff,
         1
       )
     )
   )
 )"),1.0)</f>
        <v>1</v>
      </c>
      <c r="EI31" s="200">
        <f>IFERROR(__xludf.DUMMYFUNCTION("PRODUCT(
   MAP(
     K$3:ED$3,
     K$14:ED$14,
     K$13:ED$13,
     K31:ED31,
     LAMBDA(
       job,
       buff,
       target,
       check,
       IF(
         AND(check=TRUE, REGEXMATCH(target, ""SELF_EFFECTED_GCD""), ISNUMBER(buff), job=""白魔道士"""&amp;"),
         buff,
         1
       )
     )
   )
 )"),1.0)</f>
        <v>1</v>
      </c>
      <c r="EJ31" s="200">
        <f>IFERROR(__xludf.DUMMYFUNCTION("PRODUCT(
   MAP(
     K$3:ED$3,
     K$14:ED$14,
     K$13:ED$13,
     K31:ED31,
     LAMBDA(
       job,
       buff,
       target,
       check,
       IF(
         AND(check=TRUE, REGEXMATCH(target, ""SELF_EFFECTED_ALL""), ISNUMBER(buff), job=""占星術師"""&amp;"),
         buff,
         1
       )
     )
   )
 )"),1.0)</f>
        <v>1</v>
      </c>
      <c r="EK31" s="200">
        <f>IFERROR(__xludf.DUMMYFUNCTION("PRODUCT(
   MAP(
     K$3:ED$3,
     K$14:ED$14,
     K$13:ED$13,
     K31:ED31,
     LAMBDA(
       job,
       buff,
       target,
       check,
       IF(
         AND(check=TRUE, REGEXMATCH(target, ""SELF_EFFECTED_GCD""), ISNUMBER(buff), job=""占星術師"""&amp;"),
         buff,
         1
       )
     )
   )
 )"),1.0)</f>
        <v>1</v>
      </c>
      <c r="EL31" s="200">
        <f>IFERROR(__xludf.DUMMYFUNCTION("PRODUCT(
   MAP(
     K$3:ED$3,
     K$14:ED$14,
     K$13:ED$13,
     K31:ED31,
     LAMBDA(
       job,
       buff,
       target,
       check,
       IF(
         AND(check=TRUE, REGEXMATCH(target, ""SELF_EFFECTED_ALL""), ISNUMBER(buff), job=""学者""),"&amp;"
         buff,
         1
       )
     )
   )
 )"),1.0)</f>
        <v>1</v>
      </c>
      <c r="EM31" s="200">
        <f>IFERROR(__xludf.DUMMYFUNCTION("PRODUCT(
   MAP(
     K$3:ED$3,
     K$14:ED$14,
     K$13:ED$13,
     K31:ED31,
     LAMBDA(
       job,
       buff,
       target,
       check,
       IF(
         AND(check=TRUE, REGEXMATCH(target, ""SELF_EFFECTED_GCD""), ISNUMBER(buff), job=""学者""),"&amp;"
         buff,
         1
       )
     )
   )
 )"),1.0)</f>
        <v>1</v>
      </c>
      <c r="EN31" s="200">
        <f>IFERROR(__xludf.DUMMYFUNCTION("PRODUCT(
   MAP(
     K$3:ED$3,
     K$14:ED$14,
     K$13:ED$13,
     K31:ED31,
     LAMBDA(
       job,
       buff,
       target,
       check,
       IF(
         AND(check=TRUE, REGEXMATCH(target, ""SELF_EFFECTED_ALL""), ISNUMBER(buff), job=""賢者""),"&amp;"
         buff,
         1
       )
     )
   )
 )"),1.0)</f>
        <v>1</v>
      </c>
      <c r="EO31" s="200">
        <f>IFERROR(__xludf.DUMMYFUNCTION("PRODUCT(
   MAP(
     K$3:ED$3,
     K$14:ED$14,
     K$13:ED$13,
     K31:ED31,
     LAMBDA(
       job,
       buff,
       target,
       check,
       IF(
         AND(check=TRUE, REGEXMATCH(target, ""SELF_EFFECTED_GCD""), ISNUMBER(buff), job=""賢者""),"&amp;"
         buff,
         1
       )
     )
   )
 )"),1.0)</f>
        <v>1</v>
      </c>
      <c r="EP31" s="201">
        <f t="shared" si="3"/>
        <v>0</v>
      </c>
      <c r="EQ31" s="201">
        <f>IFERROR(__xludf.DUMMYFUNCTION("SUM(
   MAP(
     K$4:ED$4,
     K$3:ED$3,
     K$7:ED$7,
     K$15:ED$15,
     K$16:ED$16,
     K$21:ED$21,
     K$5:ED$5,
     K$17:ED$17,
     K31:ED31,
     LAMBDA(
       name,
       job,
       abillity,
       buff,
       barrier,
       enhance,"&amp;"
       assign,
       precondition,
       check,
       SWITCH(
         name,
         ""シェイクオフ"", IF(check=TRUE, buff + (0.02 * COUNTIF(ARRAYFORMULA((REGEXMATCH($K$4:$ED$4, ""スリル・オブ・バトル|ヴェンジェンス|原初の血気|ダムネーション"")) * (K31:ED31=TRUE)), 1)), 0),
         "&amp;"""インプロビゼーションフィニッシュ(踊りの激情0)"", IF(ISNUMBER(check), INDEX(Skill!$AJ:$AJ, MATCH(SUBSTITUTE(DV$4, 0, check), Skill!$C:$C, 0)), 0),
         IF(
           AND(check=TRUE, REGEXMATCH(assign, ""RANGE_PARTY"")),
           IF(
             OR(ARRAYFORMULA((IF(pr"&amp;"econdition="""", FALSE, REGEXMATCH($K$4:$ED$4, precondition))) * (K31:ED31=TRUE))),
             enhance,
             IF(barrier="""", buff, barrier)
           ),
           0
         )
       ) *
       SWITCH(
         job,
         ""ナイト"", EY$24,
 "&amp;"        ""戦士"", FD$24,
         ""踊り子"", ET$24,
         ""ピクトマンサー"", ET$24,
         ""白魔道士"", EF31 * EH31 * IF(abillity, 1, EG31 * EI31) * (Option!$D$22 * 0.81 / 100),
         ""占星術師"", EF31 * EJ31 * IF(abillity, 1, EG31 * EK31) * (Option!$D$23 * 0.81 "&amp;"/ 100),
         ""学者"", EF31 * EL31 * IF(abillity, 1, EG31 * EM31) * (Option!$D$24 * 0.81 / 100),
         ""賢者"", EF31 * EN31 * IF(abillity, 1, EG31 * EO31) * (Option!$D$25 * 0.81 / 100),
         1
       )
     )
   )
 )"),0.0)</f>
        <v>0</v>
      </c>
      <c r="ER31" s="202">
        <f t="shared" si="4"/>
        <v>0</v>
      </c>
      <c r="ES31" s="203">
        <f t="shared" si="5"/>
        <v>0</v>
      </c>
      <c r="ET31" s="231" t="str">
        <f>IFERROR(__xludf.DUMMYFUNCTION("IFS(
  EP31 &gt; $ET$24 + EQ31,
  SPARKLINE({ 1, 0 }, {""charttype"",""bar"";""max"", 1;""color1"",Option!$D$30;""color2"",Option!$D$30}),
  EP31 &lt; EQ31,
  SPARKLINE({EQ31 - EP31, $ET$24 - (EQ31 - EP31)}, {""charttype"",""bar"";""max"",$ET$24;""color1"",Opti"&amp;"on!$D$28;""color2"",Option!$D$29}),
  EP31 &gt;= EQ31,
  SPARKLINE({$ET$24 + EQ31 - EP31,EP31 - EQ31}, {""charttype"",""bar"";""max"",$ET$24;""color1"",Option!$D$29;""color2"",Option!$D$30})
)"),"")</f>
        <v/>
      </c>
      <c r="EU31" s="205">
        <f>IFERROR(__xludf.DUMMYFUNCTION("PRODUCT(
   MAP(
     IF($F31=""Physical"", K$10:ED$10, IF($F31=""Magic"", K$11:ED$11, K$12:ED$12)),
     IF($F31=""Physical"", K$18:ED$18, IF($F31=""Magic"", K$19:ED$19, K$20:ED$20)),
     K$3:ED$3,
     K$5:ED$5,
     K$17:ED$17,
     K31:ED31,
     LAM"&amp;"BDA(
       mitigation,
       enhance,
       job,
       assign,
       precondition,
       check,
       IF(
         OR(AND(check=TRUE, REGEXMATCH(assign, ""SELF""), job=""ナイト""), AND(check=Option!$E$13, REGEXMATCH(assign, ""SINGLE_PARTY""))),
      "&amp;"   IF(
           OR(ARRAYFORMULA((IF(precondition="""", FALSE, REGEXMATCH($K$4:$ED$4, precondition))) * (K31:ED31=TRUE))),
           enhance,
           mitigation
         ),
         1
       )
     )
   )
 ) * EE31"),1.0)</f>
        <v>1</v>
      </c>
      <c r="EV31" s="206">
        <f t="shared" si="6"/>
        <v>0</v>
      </c>
      <c r="EW31" s="205">
        <f>IFERROR(__xludf.DUMMYFUNCTION("PRODUCT(
   MAP(
     K$3:ED$3,
     K$14:ED$14,
     K$13:ED$13,
     K31:ED31,
     LAMBDA(
       job,
       buff,
       target,
       check,
       IF(
         OR(AND(check=TRUE, REGEXMATCH(target, ""SELF_AFFECTED_ALL""), job=""ナイト""), AND(check=O"&amp;"ption!$E$13, REGEXMATCH(target, ""SINGLE_AFFECTED_ALL""))),
         buff,
         1
       )
     )
   )
 )"),1.0)</f>
        <v>1</v>
      </c>
      <c r="EX31" s="206">
        <f>IFERROR(__xludf.DUMMYFUNCTION("SUM(
   MAP(
     K$3:ED$3,
     K$7:ED$7,
     K$15:ED$15,
     K$16:ED$16,
     K$21:ED$21,
     K$5:ED$5,
     K$17:ED$17,
     K31:ED31,
     LAMBDA(
       job,
       abillity,
       buff,
       barrier,
       enhance,
       assign,
       preco"&amp;"ndition,
       check,
       IF(
         OR(AND(check=TRUE, REGEXMATCH(assign, ""SELF""), job=""ナイト""), AND(check=Option!$E$13, REGEXMATCH(assign, ""SINGLE_PARTY""))),
         IF(
           OR(ARRAYFORMULA((IF(precondition="""", FALSE, REGEXMATCH($K$4"&amp;":$ED$4, precondition))) * (K31:ED31=TRUE))),
           enhance,
           IF(barrier="""", buff, barrier)
         ),
         0
       ) *
       SWITCH(
         job,
         ""暗黒騎士"", EY$24,
         ""白魔道士"", EF31 * EH31 * EW31 * IF(abillity, 1, EG"&amp;"31 * EI31) * (Option!$D$22 * 0.81 / 100),
         ""占星術師"", EF31 * EJ31 * EW31 * IF(abillity, 1, EG31 * EK31) * (Option!$D$23 * 0.81 / 100),
         ""学者"", EF31 * EL31 * EW31 * IF(abillity, 1, EG31 * EM31) * (Option!$D$24 * 0.81 / 100),
         ""賢者"""&amp;", EF31 * EN31 * EW31 * IF(abillity, 1, EG31 * EO31) * (Option!$D$25 * 0.81 / 100),
         1
       )
     )
   )
 ) + EQ31"),0.0)</f>
        <v>0</v>
      </c>
      <c r="EY31" s="232">
        <f t="shared" si="7"/>
        <v>0</v>
      </c>
      <c r="EZ31" s="205">
        <f>IFERROR(__xludf.DUMMYFUNCTION("PRODUCT(
   MAP(
     IF($F31=""Physical"", K$10:ED$10, IF($F31=""Magic"", K$11:ED$11, K$12:ED$12)),
     IF($F31=""Physical"", K$18:ED$18, IF($F31=""Magic"", K$19:ED$19, K$20:ED$20)),
     K$3:ED$3,
     K$5:ED$5,
     K$17:ED$17,
     K31:ED31,
     LAM"&amp;"BDA(
       mitigation,
       enhance,
       job,
       assign,
       precondition,
       check,
       IF(
         OR(AND(check=TRUE, REGEXMATCH(assign, ""SELF""), job=""戦士""), AND(check=Option!$F$13, REGEXMATCH(assign, ""SINGLE_PARTY""))),
       "&amp;"  IF(
           OR(ARRAYFORMULA((IF(precondition="""", FALSE, REGEXMATCH($K$4:$ED$4, precondition))) * (K31:ED31=TRUE))),
           enhance,
           mitigation
         ),
         1
       )
     )
   )
 ) * EE31"),1.0)</f>
        <v>1</v>
      </c>
      <c r="FA31" s="206">
        <f t="shared" si="8"/>
        <v>0</v>
      </c>
      <c r="FB31" s="205">
        <f>IFERROR(__xludf.DUMMYFUNCTION("PRODUCT(
   MAP(
     K$3:ED$3,
     K$14:ED$14,
     K$13:ED$13,
     K31:ED31,
     LAMBDA(
       job,
       buff,
       target,
       check,
       IF(
         OR(AND(check=TRUE, REGEXMATCH(target, ""SELF_AFFECTED_ALL""), job=""戦士""), AND(check=Op"&amp;"tion!$F$13, REGEXMATCH(target, ""SINGLE_AFFECTED_ALL""))),
         buff,
         1
       )
     )
   )
 )"),1.0)</f>
        <v>1</v>
      </c>
      <c r="FC31" s="206">
        <f>IFERROR(__xludf.DUMMYFUNCTION("SUM(
   MAP(
     K$3:ED$3,
     K$7:ED$7,
     K$15:ED$15,
     K$16:ED$16,
     K$21:ED$21,
     K$5:ED$5,
     K$17:ED$17,
     K31:ED31,
     LAMBDA(
       job,
       abillity,
       buff,
       barrier,
       enhance,
       assign,
       preco"&amp;"ndition,
       check,
       IF(
         OR(AND(check=TRUE, REGEXMATCH(assign, ""SELF""), job=""戦士""), AND(check=Option!$F$13, REGEXMATCH(assign, ""SINGLE_PARTY""))),
         IF(
           OR(ARRAYFORMULA((IF(precondition="""", FALSE, REGEXMATCH($K$4:"&amp;"$ED$4, precondition))) * (K31:ED31=TRUE))),
           enhance,
           IF(barrier="""", buff, barrier)
         ),
         0
       ) *
       SWITCH(
         job,
         ""暗黒騎士"", FD$24,
         ""白魔道士"", EF31 * EH31 * FB31 * IF(abillity, 1, EG3"&amp;"1 * EI31) * (Option!$D$22 * 0.81 / 100),
         ""占星術師"", EF31 * EJ31 * FFB31 * IF(abillity, 1, EG31 * EK31) * (Option!$D$23 * 0.81 / 100),
         ""学者"", EF31 * EL31 * FB31 * IF(abillity, 1, EG31 * EM31) * (Option!$D$24 * 0.81 / 100),
         ""賢者"""&amp;", EF31 * EN31 * FB31 * IF(abillity, 1, EG31 * EO31) * (Option!$D$25 * 0.81 / 100),
         1
       )
     )
   )
 ) + EQ31"),0.0)</f>
        <v>0</v>
      </c>
      <c r="FD31" s="206">
        <f t="shared" si="9"/>
        <v>0</v>
      </c>
      <c r="FE31" s="205">
        <f>IFERROR(__xludf.DUMMYFUNCTION("PRODUCT(
   MAP(
     IF($F31=""Physical"", K$10:ED$10, IF($F31=""Magic"", K$11:ED$11, K$12:ED$12)),
     IF($F31=""Physical"", K$18:ED$18, IF($F31=""Magic"", K$19:ED$19, K$20:ED$20)),
     K$3:ED$3,
     K$5:ED$5,
     K$17:ED$17,
     K31:ED31,
     LAM"&amp;"BDA(
       mitigation,
       enhance,
       job,
       assign,
       precondition,
       check,
       IF(
         OR(AND(check=TRUE, REGEXMATCH(assign, ""SELF""), job=""暗黒騎士""), AND(check=Option!$G$13, REGEXMATCH(assign, ""SINGLE_PARTY""))),
     "&amp;"    IF(
           OR(ARRAYFORMULA((IF(precondition="""", FALSE, REGEXMATCH($K$4:$ED$4, precondition))) * (K31:ED31=TRUE))),
           enhance,
           mitigation
         ),
         1
       )
     )
   )
 ) * EE31"),1.0)</f>
        <v>1</v>
      </c>
      <c r="FF31" s="206">
        <f t="shared" si="10"/>
        <v>0</v>
      </c>
      <c r="FG31" s="205">
        <f>IFERROR(__xludf.DUMMYFUNCTION("PRODUCT(
   MAP(
     K$3:ED$3,
     K$14:ED$14,
     K$13:ED$13,
     K31:ED31,
     LAMBDA(
       job,
       buff,
       target,
       check,
       IF(
         OR(AND(check=TRUE, REGEXMATCH(target, ""SELF_AFFECTED_ALL""), job=""暗黒騎士""), AND(check="&amp;"Option!$G$13, REGEXMATCH(target, ""SINGLE_AFFECTED_ALL""))),
         buff,
         1
       )
     )
   )
 )"),1.0)</f>
        <v>1</v>
      </c>
      <c r="FH31" s="206">
        <f>IFERROR(__xludf.DUMMYFUNCTION("SUM(
   MAP(
     K$3:ED$3,
     K$7:ED$7,
     K$15:ED$15,
     K$16:ED$16,
     K$21:ED$21,
     K$5:ED$5,
     K$17:ED$17,
     K31:ED31,
     LAMBDA(
       job,
       abillity,
       buff,
       barrier,
       enhance,
       assign,
       preco"&amp;"ndition,
       check,
       IF(
         OR(AND(check=TRUE, REGEXMATCH(assign, ""SELF""), job=""暗黒騎士""), AND(check=Option!$G$13, REGEXMATCH(assign, ""SINGLE_PARTY""))),
         IF(
           OR(ARRAYFORMULA((IF(precondition="""", FALSE, REGEXMATCH($K$"&amp;"4:$ED$4, precondition))) * (K31:ED31=TRUE))),
           enhance,
           IF(barrier="""", buff, barrier)
         ),
         0
       ) *
       SWITCH(
         job,
         ""暗黒騎士"", FI$24,
         ""白魔道士"", EF31 * EH31 * FG31 * IF(abillity, 1, E"&amp;"G31 * EI31) * (Option!$D$22 * 0.81 / 100),
         ""占星術師"", EF31 * EJ31 * FG31 * IF(abillity, 1, EG31 * EK31) * (Option!$D$23 * 0.81 / 100),
         ""学者"", EF31 * EL31 * FG31 * IF(abillity, 1, EG31 * EM31) * (Option!$D$24 * 0.81 / 100),
         ""賢者"&amp;""", EF31 * EN31 * FG31 * IF(abillity, 1, EG31 * EO31) * (Option!$D$25 * 0.81 / 100),
         1
       )
     )
   )
 ) + EQ31"),0.0)</f>
        <v>0</v>
      </c>
      <c r="FI31" s="206">
        <f t="shared" si="11"/>
        <v>0</v>
      </c>
      <c r="FJ31" s="205">
        <f>IFERROR(__xludf.DUMMYFUNCTION("PRODUCT(
   MAP(
     IF($F31=""Physical"", K$10:ED$10, IF($F31=""Magic"", K$11:ED$11, K$12:ED$12)),
     IF($F31=""Physical"", K$18:ED$18, IF($F31=""Magic"", K$19:ED$19, K$20:ED$20)),
     K$3:ED$3,
     K$5:ED$5,
     K$17:ED$17,
     K31:ED31,
     LAM"&amp;"BDA(
       mitigation,
       enhance,
       job,
       assign,
       precondition,
       check,
       IF(
         OR(AND(check=TRUE, REGEXMATCH(assign, ""SELF""), job=""ガンブレイカー""), AND(check=Option!$H$13, REGEXMATCH(assign, ""SINGLE_PARTY""))),
  "&amp;"       IF(
           OR(ARRAYFORMULA((IF(precondition="""", FALSE, REGEXMATCH($K$4:$ED$4, precondition))) * (K31:ED31=TRUE))),
           enhance,
           mitigation
         ),
         1
       )
     )
   )
 ) * EE31"),1.0)</f>
        <v>1</v>
      </c>
      <c r="FK31" s="206">
        <f t="shared" si="12"/>
        <v>0</v>
      </c>
      <c r="FL31" s="205">
        <f>IFERROR(__xludf.DUMMYFUNCTION("PRODUCT(
   MAP(
     K$3:ED$3,
     K$14:ED$14,
     K$13:ED$13,
     K31:ED31,
     LAMBDA(
       job,
       buff,
       target,
       check,
       IF(
         OR(AND(check=TRUE, REGEXMATCH(target, ""SELF_AFFECTED_ALL""), job=""ガンブレイカー""), AND(che"&amp;"ck=Option!$H$13, REGEXMATCH(target, ""SINGLE_AFFECTED_ALL""))),
         buff,
         1
       )
     )
   )
 )"),1.0)</f>
        <v>1</v>
      </c>
      <c r="FM31" s="206">
        <f>IFERROR(__xludf.DUMMYFUNCTION("SUM(
   MAP(
     K$3:ED$3,
     K$7:ED$7,
     K$15:ED$15,
     K$16:ED$16,
     K$21:ED$21,
     K$5:ED$5,
     K$17:ED$17,
     K31:ED31,
     LAMBDA(
       job,
       abillity,
       buff,
       barrier,
       enhance,
       assign,
       preco"&amp;"ndition,
       check,
       IF(
         OR(AND(check=TRUE, REGEXMATCH(assign, ""SELF""), job=""ガンブレイカー""), AND(check=Option!$H$13, REGEXMATCH(assign, ""SINGLE_PARTY""))),
         IF(
           OR(ARRAYFORMULA((IF(precondition="""", FALSE, REGEXMATCH("&amp;"$K$4:$ED$4, precondition))) * (K31:ED31=TRUE))),
           enhance,
           IF(barrier="""", buff, barrier)
         ),
         0
       ) *
       SWITCH(
         job,
         ""暗黒騎士"", FN$24,
         ""白魔道士"", EF31 * EH31 * FL31 * IF(abillity, 1"&amp;", EG31 * EI31) * (Option!$D$22 * 0.81 / 100),
         ""占星術師"", EF31 * EJ31 * FL31 * IF(abillity, 1, EG31 * EK31) * (Option!$D$23 * 0.81 / 100),
         ""学者"", EF31 * EL31 * FL31 * IF(abillity, 1, EG31 * EM31) * (Option!$D$24 * 0.81 / 100),
         """&amp;"賢者"", EF31 * EN31 * FL31 * IF(abillity, 1, EG31 * EO31) * (Option!$D$25 * 0.81 / 100),
         1
       )
     )
   )
 ) + EQ31"),0.0)</f>
        <v>0</v>
      </c>
      <c r="FN31" s="206">
        <f t="shared" si="13"/>
        <v>0</v>
      </c>
      <c r="FO31" s="213"/>
    </row>
    <row r="32">
      <c r="B32" s="229"/>
      <c r="C32" s="217">
        <f t="shared" si="1"/>
        <v>0</v>
      </c>
      <c r="D32" s="236"/>
      <c r="E32" s="238"/>
      <c r="F32" s="167"/>
      <c r="G32" s="168" t="str">
        <f t="shared" si="2"/>
        <v/>
      </c>
      <c r="H32" s="169"/>
      <c r="I32" s="169"/>
      <c r="J32" s="169"/>
      <c r="K32" s="170" t="b">
        <v>0</v>
      </c>
      <c r="L32" s="170" t="b">
        <v>0</v>
      </c>
      <c r="M32" s="170" t="b">
        <v>0</v>
      </c>
      <c r="N32" s="171" t="s">
        <v>1070</v>
      </c>
      <c r="O32" s="172" t="b">
        <v>0</v>
      </c>
      <c r="P32" s="173" t="b">
        <v>0</v>
      </c>
      <c r="Q32" s="173" t="b">
        <v>0</v>
      </c>
      <c r="R32" s="173" t="b">
        <v>0</v>
      </c>
      <c r="S32" s="174" t="b">
        <v>0</v>
      </c>
      <c r="T32" s="175" t="b">
        <v>0</v>
      </c>
      <c r="U32" s="173" t="b">
        <v>0</v>
      </c>
      <c r="V32" s="171" t="s">
        <v>1070</v>
      </c>
      <c r="W32" s="172" t="b">
        <v>0</v>
      </c>
      <c r="X32" s="173" t="b">
        <v>0</v>
      </c>
      <c r="Y32" s="173" t="b">
        <v>0</v>
      </c>
      <c r="Z32" s="173" t="b">
        <v>0</v>
      </c>
      <c r="AA32" s="174" t="b">
        <v>0</v>
      </c>
      <c r="AB32" s="174" t="b">
        <v>0</v>
      </c>
      <c r="AC32" s="175" t="b">
        <v>0</v>
      </c>
      <c r="AD32" s="173" t="b">
        <v>0</v>
      </c>
      <c r="AE32" s="176" t="s">
        <v>1070</v>
      </c>
      <c r="AF32" s="171" t="s">
        <v>1070</v>
      </c>
      <c r="AG32" s="177">
        <f>IFERROR(__xludf.DUMMYFUNCTION("IF(
  ISNUMBER(AG31),
  MIN(MAX(
    AG31
    + MAX(
      ROUNDDOWN(($D32 - MAX(IFERROR(FILTER($D$24:$D31, AG$24:AG31 &lt;&gt; AF$6, AG$23:AG30 = AF$6), 0))) * (60 * 60 * 24) / AF$9) - ROUNDDOWN(($D31 - MAX(IFERROR(FILTER($D$23:$D30, AG$23:AG30 &lt;&gt; AF$6, AG$22:"&amp;"AG29 = AF$6), 0))) * (60 * 60 * 24) / 60),
      0
    )
    - COUNTIF(AF32, ""&lt;&gt;-""),
  0), AF$6),
  AF$6 - COUNTIF(AF32, ""&lt;&gt;-"")
)"),2.0)</f>
        <v>2</v>
      </c>
      <c r="AH32" s="173" t="b">
        <v>0</v>
      </c>
      <c r="AI32" s="173" t="b">
        <v>0</v>
      </c>
      <c r="AJ32" s="173" t="b">
        <v>0</v>
      </c>
      <c r="AK32" s="174" t="b">
        <v>0</v>
      </c>
      <c r="AL32" s="175" t="b">
        <v>0</v>
      </c>
      <c r="AM32" s="173" t="b">
        <v>0</v>
      </c>
      <c r="AN32" s="171" t="s">
        <v>1070</v>
      </c>
      <c r="AO32" s="173" t="b">
        <v>0</v>
      </c>
      <c r="AP32" s="173" t="b">
        <v>0</v>
      </c>
      <c r="AQ32" s="173" t="b">
        <v>0</v>
      </c>
      <c r="AR32" s="174" t="b">
        <v>0</v>
      </c>
      <c r="AS32" s="178" t="b">
        <v>0</v>
      </c>
      <c r="AT32" s="179" t="b">
        <v>0</v>
      </c>
      <c r="AU32" s="180" t="b">
        <v>0</v>
      </c>
      <c r="AV32" s="180" t="b">
        <v>0</v>
      </c>
      <c r="AW32" s="180" t="b">
        <v>0</v>
      </c>
      <c r="AX32" s="180" t="b">
        <v>0</v>
      </c>
      <c r="AY32" s="181" t="s">
        <v>1070</v>
      </c>
      <c r="AZ32" s="181" t="s">
        <v>1070</v>
      </c>
      <c r="BA32" s="184">
        <f>IFERROR(__xludf.DUMMYFUNCTION("IF(
  ISNUMBER(BA31),
  MIN(MAX(
    BA31
    + MAX(
      ROUNDDOWN((D32 - MAX(IFERROR(FILTER(D$24:D31, BA$24:BA31 &lt;&gt; AZ$6, BA$23:BA30 = AZ$6), 0))) * (60 * 60 * 24) / AZ$9) - ROUNDDOWN((D31 - MAX(IFERROR(FILTER(D$23:D30, BA$23:BA30 &lt;&gt; AZ$6, BA$22:BA29 ="&amp;" AZ$6), 0))) * (60 * 60 * 24) / AZ$9),
      0
    )
    - COUNTIF(AZ32, ""&lt;&gt;-""),
  0), AZ$6),
  AZ$6 - COUNTIF(AZ32, ""&lt;&gt;-"")
)"),2.0)</f>
        <v>2</v>
      </c>
      <c r="BB32" s="181" t="s">
        <v>1070</v>
      </c>
      <c r="BC32" s="183">
        <f>IFERROR(__xludf.DUMMYFUNCTION("IF(
  ISNUMBER(BC31),
  MIN(MAX(
    BC31
    + MAX(
      ROUNDDOWN(($D32 - MAX(IFERROR(FILTER($D$24:$D31, BC$24:BC31 &lt;&gt; BB$6, BC$23:BC30 = BB$6), 0))) * (60 * 60 * 24) / BB$9) - ROUNDDOWN(($D31 - MAX(IFERROR(FILTER($D$23:$D30, BC$23:BC30 &lt;&gt; BB$6, BC$22:"&amp;"BC29 = BB$6), 0))) * (60 * 60 * 24) / 60),
      0
    )
    - COUNTIF(BB32, ""&lt;&gt;-""),
  0), BB$6),
  BB$6 - COUNTIF(BB32, ""&lt;&gt;-"")
)"),2.0)</f>
        <v>2</v>
      </c>
      <c r="BD32" s="181" t="s">
        <v>1070</v>
      </c>
      <c r="BE32" s="178" t="b">
        <v>0</v>
      </c>
      <c r="BF32" s="180" t="b">
        <v>0</v>
      </c>
      <c r="BG32" s="180" t="b">
        <v>0</v>
      </c>
      <c r="BH32" s="180" t="b">
        <v>0</v>
      </c>
      <c r="BI32" s="180" t="b">
        <v>0</v>
      </c>
      <c r="BJ32" s="180" t="b">
        <v>0</v>
      </c>
      <c r="BK32" s="180" t="b">
        <v>0</v>
      </c>
      <c r="BL32" s="180" t="b">
        <v>0</v>
      </c>
      <c r="BM32" s="180" t="b">
        <v>0</v>
      </c>
      <c r="BN32" s="180" t="b">
        <v>0</v>
      </c>
      <c r="BO32" s="181" t="s">
        <v>1070</v>
      </c>
      <c r="BP32" s="181" t="s">
        <v>1070</v>
      </c>
      <c r="BQ32" s="181" t="s">
        <v>1070</v>
      </c>
      <c r="BR32" s="181" t="s">
        <v>1070</v>
      </c>
      <c r="BS32" s="181" t="s">
        <v>1070</v>
      </c>
      <c r="BT32" s="184">
        <f>IFERROR(__xludf.DUMMYFUNCTION("IF(
  ISNUMBER(BT31),
  MIN(MAX(
    BT31
    + MAX(
      ROUNDDOWN((D32 - MAX(IFERROR(FILTER(D$24:D31, BT$24:BT31 &lt;&gt; BS$6, BT$23:BT30 = BS$6), 0))) * (60 * 60 * 24) / BS$9) - ROUNDDOWN((D31 - MAX(IFERROR(FILTER(D$23:D30, BT$23:BT30 &lt;&gt; BS$6, BT$22:BT29 ="&amp;" BS$6), 0))) * (60 * 60 * 24) / BS$9),
      0
    )
    - COUNTIF(BS32, ""&lt;&gt;-""),
  0), BS$6),
  BS$6 - COUNTIF(BS32, ""&lt;&gt;-"")
)"),3.0)</f>
        <v>3</v>
      </c>
      <c r="BU32" s="181" t="s">
        <v>1070</v>
      </c>
      <c r="BV32" s="181" t="s">
        <v>1070</v>
      </c>
      <c r="BW32" s="184">
        <f>IFERROR(__xludf.DUMMYFUNCTION("IF(
  ISNUMBER(BW31),
  MIN(MAX(
    BW31
    + MAX(
      ROUNDDOWN((D32 - MAX(IFERROR(FILTER(D$24:D31, BW$24:BW31 &lt;&gt; BV$6, BW$23:BW30 = BV$6), 0))) * (60 * 60 * 24) / BV$9) - ROUNDDOWN((D31 - MAX(IFERROR(FILTER(D$23:D30, BW$23:BW30 &lt;&gt; BV$6, BW$22:BW29 ="&amp;" BV$6), 0))) * (60 * 60 * 24) / BV$9),
      0
    )
    - COUNTIF(BV32, ""&lt;&gt;-""),
  0), BV$6),
  BV$6 - COUNTIF(BV32, ""&lt;&gt;-"")
)"),2.0)</f>
        <v>2</v>
      </c>
      <c r="BX32" s="185" t="s">
        <v>1070</v>
      </c>
      <c r="BY32" s="178" t="b">
        <v>0</v>
      </c>
      <c r="BZ32" s="180" t="b">
        <v>0</v>
      </c>
      <c r="CA32" s="180" t="b">
        <v>0</v>
      </c>
      <c r="CB32" s="180" t="b">
        <v>0</v>
      </c>
      <c r="CC32" s="180" t="b">
        <v>0</v>
      </c>
      <c r="CD32" s="180" t="b">
        <v>0</v>
      </c>
      <c r="CE32" s="180" t="b">
        <v>0</v>
      </c>
      <c r="CF32" s="180" t="b">
        <v>0</v>
      </c>
      <c r="CG32" s="180" t="b">
        <v>0</v>
      </c>
      <c r="CH32" s="180" t="b">
        <v>0</v>
      </c>
      <c r="CI32" s="180" t="b">
        <v>0</v>
      </c>
      <c r="CJ32" s="180" t="b">
        <v>0</v>
      </c>
      <c r="CK32" s="180" t="b">
        <v>0</v>
      </c>
      <c r="CL32" s="180" t="b">
        <v>0</v>
      </c>
      <c r="CM32" s="181" t="s">
        <v>1070</v>
      </c>
      <c r="CN32" s="181" t="s">
        <v>1070</v>
      </c>
      <c r="CO32" s="181" t="s">
        <v>1070</v>
      </c>
      <c r="CP32" s="181" t="s">
        <v>1070</v>
      </c>
      <c r="CQ32" s="185" t="s">
        <v>1070</v>
      </c>
      <c r="CR32" s="180" t="b">
        <v>0</v>
      </c>
      <c r="CS32" s="186" t="str">
        <f t="shared" si="14"/>
        <v>◇◇◇</v>
      </c>
      <c r="CT32" s="178" t="b">
        <v>0</v>
      </c>
      <c r="CU32" s="180" t="b">
        <v>0</v>
      </c>
      <c r="CV32" s="180" t="b">
        <v>0</v>
      </c>
      <c r="CW32" s="180" t="b">
        <v>0</v>
      </c>
      <c r="CX32" s="180" t="b">
        <v>0</v>
      </c>
      <c r="CY32" s="180" t="b">
        <v>0</v>
      </c>
      <c r="CZ32" s="180" t="b">
        <v>0</v>
      </c>
      <c r="DA32" s="180" t="b">
        <v>0</v>
      </c>
      <c r="DB32" s="180" t="b">
        <v>0</v>
      </c>
      <c r="DC32" s="180" t="b">
        <v>0</v>
      </c>
      <c r="DD32" s="181" t="s">
        <v>1070</v>
      </c>
      <c r="DE32" s="181" t="s">
        <v>1070</v>
      </c>
      <c r="DF32" s="181" t="s">
        <v>1070</v>
      </c>
      <c r="DG32" s="185" t="s">
        <v>1070</v>
      </c>
      <c r="DH32" s="180" t="b">
        <v>0</v>
      </c>
      <c r="DI32" s="187" t="str">
        <f>IFERROR(__xludf.DUMMYFUNCTION("SWITCH(
  IF(
    ISTEXT(DI31),
    IF (
      FIND(""○"", DI31&amp;""○"") &gt; 3,
      3,
      FIND(""○"", DI31&amp;""○"")
      + MAX(
        ROUNDDOWN(($D32 - MAX(IFERROR(FILTER(D$24:D31, DI$24:DI31 &lt;&gt; ""●●●"", DI$23:DI30 = ""●●●""), 0))) * (60 * 60 * 24) / 20"&amp;") - ROUNDDOWN(($D31 - MAX(IFERROR(FILTER(D$23:D30, DI$23:DI30 &lt;&gt; ""●●●"", DI$22:DI29 = ""●●●""), 0))) * (60 * 60 * 24) / 20),
        0
      ) - 1
    ) - COUNTIFS(CU32, ""=TRUE"", CU31, ""&lt;&gt;TRUE"") - COUNTIF(CZ32, ""=TRUE"") - COUNTIF({DD32,DE32}, ""&lt;&gt;-"&amp;""") + COUNTIF(DH32, ""=TRUE""),
    3
  ),
  0, ""○○○"", 1, ""●○○"", 2, ""●●○"", 3, ""●●●"", 4, ""●●●"", ""○○○""
)"),"●●●")</f>
        <v>●●●</v>
      </c>
      <c r="DJ32" s="188" t="b">
        <v>0</v>
      </c>
      <c r="DK32" s="189" t="b">
        <v>0</v>
      </c>
      <c r="DL32" s="190" t="b">
        <v>0</v>
      </c>
      <c r="DM32" s="190" t="b">
        <v>0</v>
      </c>
      <c r="DN32" s="190" t="b">
        <v>0</v>
      </c>
      <c r="DO32" s="190" t="b">
        <v>0</v>
      </c>
      <c r="DP32" s="190" t="b">
        <v>0</v>
      </c>
      <c r="DQ32" s="191" t="b">
        <v>0</v>
      </c>
      <c r="DR32" s="192" t="b">
        <v>0</v>
      </c>
      <c r="DS32" s="191" t="b">
        <v>0</v>
      </c>
      <c r="DT32" s="192" t="b">
        <v>0</v>
      </c>
      <c r="DU32" s="191" t="b">
        <v>0</v>
      </c>
      <c r="DV32" s="193" t="s">
        <v>1070</v>
      </c>
      <c r="DW32" s="194" t="b">
        <v>0</v>
      </c>
      <c r="DX32" s="194" t="b">
        <v>0</v>
      </c>
      <c r="DY32" s="195" t="b">
        <v>0</v>
      </c>
      <c r="DZ32" s="196" t="b">
        <v>0</v>
      </c>
      <c r="EA32" s="195" t="b">
        <v>0</v>
      </c>
      <c r="EB32" s="197" t="b">
        <v>0</v>
      </c>
      <c r="EC32" s="197" t="b">
        <v>0</v>
      </c>
      <c r="ED32" s="212" t="b">
        <v>0</v>
      </c>
      <c r="EE32" s="199">
        <f>IFERROR(__xludf.DUMMYFUNCTION("IFERROR(
   PRODUCT(
     MAP(
       INDEX(TRANSPOSE(UNIQUE(TRANSPOSE(FILTER({IF($F32=""Physical"", K$10:ED$10, IF($F32=""Magic"", K$11:ED$11, K$12:ED$12));K$4:ED$4;K32:ED32}, K32:ED32=TRUE)))), 1, 0),
       INDEX(TRANSPOSE(UNIQUE(TRANSPOSE(FILTER({IF($"&amp;"F32=""Physical"", K$18:ED$18, IF($F32=""Magic"", K$19:ED$19, K$20:ED$20));K$4:ED$4;K32:ED32}, K32:ED32=TRUE)))), 1, 0),
       INDEX(TRANSPOSE(UNIQUE(TRANSPOSE(FILTER({K$5:ED$5;K$4:ED$4;K32:ED32}, K32:ED32=TRUE)))), 1, 0),
       INDEX(TRANSPOSE(UNIQUE(TR"&amp;"ANSPOSE(FILTER({K$17:ED$17;K$4:ED$4;K32:ED32}, K32:ED32=TRUE)))), 1, 0),
       LAMBDA(
         mitigation,
         enhance,
         assign,
         precondition,
         IF(
           REGEXMATCH(assign, ""RANGE_PARTY|SINGLE_ENEMY|RANGE_ENEMY""),
  "&amp;"         IF(
             OR(ARRAYFORMULA((IF(precondition="""", FALSE, REGEXMATCH(K$4:ED$4, precondition))) * (K32:ED32=TRUE))),
             IF(ISNUMBER(enhance), enhance, 1),
             IF(ISNUMBER(mitigation), mitigation, 1)
           ),
          "&amp;" 1
         )
       )
     )
   ),
   1
 )"),1.0)</f>
        <v>1</v>
      </c>
      <c r="EF32" s="200">
        <f>IFERROR(__xludf.DUMMYFUNCTION("PRODUCT(
   MAP(
     K$14:ED$14,
     K$13:ED$13,
     K32:ED32,
     LAMBDA(
       buff,
       target,
       check,
       IF(
         AND(check=TRUE, REGEXMATCH(target, ""RANGE_AFFECTED_ALL|RANGE_EFFECTED_ALL""), ISNUMBER(buff)),
         buff,
   "&amp;"      1
       )
     )
   )
 )"),1.0)</f>
        <v>1</v>
      </c>
      <c r="EG32" s="200">
        <f>IFERROR(__xludf.DUMMYFUNCTION("PRODUCT(
   MAP(
     K$14:ED$14,
     K$13:ED$13,
     K32:ED32,
     LAMBDA(
       buff,
       target,
       check,
       IF(
         AND(check=TRUE, REGEXMATCH(target, ""RANGE_AFFECTED_GCD|RANGE_EFFECTED_GCD""), ISNUMBER(buff)),
         buff,
   "&amp;"      1
       )
     )
   )
 )"),1.0)</f>
        <v>1</v>
      </c>
      <c r="EH32" s="200">
        <f>IFERROR(__xludf.DUMMYFUNCTION("PRODUCT(
   MAP(
     K$3:ED$3,
     K$14:ED$14,
     K$13:ED$13,
     K32:ED32,
     LAMBDA(
       job,
       buff,
       target,
       check,
       IF(
         AND(check=TRUE, REGEXMATCH(target, ""SELF_EFFECTED_ALL""), ISNUMBER(buff), job=""白魔道士"""&amp;"),
         buff,
         1
       )
     )
   )
 )"),1.0)</f>
        <v>1</v>
      </c>
      <c r="EI32" s="200">
        <f>IFERROR(__xludf.DUMMYFUNCTION("PRODUCT(
   MAP(
     K$3:ED$3,
     K$14:ED$14,
     K$13:ED$13,
     K32:ED32,
     LAMBDA(
       job,
       buff,
       target,
       check,
       IF(
         AND(check=TRUE, REGEXMATCH(target, ""SELF_EFFECTED_GCD""), ISNUMBER(buff), job=""白魔道士"""&amp;"),
         buff,
         1
       )
     )
   )
 )"),1.0)</f>
        <v>1</v>
      </c>
      <c r="EJ32" s="200">
        <f>IFERROR(__xludf.DUMMYFUNCTION("PRODUCT(
   MAP(
     K$3:ED$3,
     K$14:ED$14,
     K$13:ED$13,
     K32:ED32,
     LAMBDA(
       job,
       buff,
       target,
       check,
       IF(
         AND(check=TRUE, REGEXMATCH(target, ""SELF_EFFECTED_ALL""), ISNUMBER(buff), job=""占星術師"""&amp;"),
         buff,
         1
       )
     )
   )
 )"),1.0)</f>
        <v>1</v>
      </c>
      <c r="EK32" s="200">
        <f>IFERROR(__xludf.DUMMYFUNCTION("PRODUCT(
   MAP(
     K$3:ED$3,
     K$14:ED$14,
     K$13:ED$13,
     K32:ED32,
     LAMBDA(
       job,
       buff,
       target,
       check,
       IF(
         AND(check=TRUE, REGEXMATCH(target, ""SELF_EFFECTED_GCD""), ISNUMBER(buff), job=""占星術師"""&amp;"),
         buff,
         1
       )
     )
   )
 )"),1.0)</f>
        <v>1</v>
      </c>
      <c r="EL32" s="200">
        <f>IFERROR(__xludf.DUMMYFUNCTION("PRODUCT(
   MAP(
     K$3:ED$3,
     K$14:ED$14,
     K$13:ED$13,
     K32:ED32,
     LAMBDA(
       job,
       buff,
       target,
       check,
       IF(
         AND(check=TRUE, REGEXMATCH(target, ""SELF_EFFECTED_ALL""), ISNUMBER(buff), job=""学者""),"&amp;"
         buff,
         1
       )
     )
   )
 )"),1.0)</f>
        <v>1</v>
      </c>
      <c r="EM32" s="200">
        <f>IFERROR(__xludf.DUMMYFUNCTION("PRODUCT(
   MAP(
     K$3:ED$3,
     K$14:ED$14,
     K$13:ED$13,
     K32:ED32,
     LAMBDA(
       job,
       buff,
       target,
       check,
       IF(
         AND(check=TRUE, REGEXMATCH(target, ""SELF_EFFECTED_GCD""), ISNUMBER(buff), job=""学者""),"&amp;"
         buff,
         1
       )
     )
   )
 )"),1.0)</f>
        <v>1</v>
      </c>
      <c r="EN32" s="200">
        <f>IFERROR(__xludf.DUMMYFUNCTION("PRODUCT(
   MAP(
     K$3:ED$3,
     K$14:ED$14,
     K$13:ED$13,
     K32:ED32,
     LAMBDA(
       job,
       buff,
       target,
       check,
       IF(
         AND(check=TRUE, REGEXMATCH(target, ""SELF_EFFECTED_ALL""), ISNUMBER(buff), job=""賢者""),"&amp;"
         buff,
         1
       )
     )
   )
 )"),1.0)</f>
        <v>1</v>
      </c>
      <c r="EO32" s="200">
        <f>IFERROR(__xludf.DUMMYFUNCTION("PRODUCT(
   MAP(
     K$3:ED$3,
     K$14:ED$14,
     K$13:ED$13,
     K32:ED32,
     LAMBDA(
       job,
       buff,
       target,
       check,
       IF(
         AND(check=TRUE, REGEXMATCH(target, ""SELF_EFFECTED_GCD""), ISNUMBER(buff), job=""賢者""),"&amp;"
         buff,
         1
       )
     )
   )
 )"),1.0)</f>
        <v>1</v>
      </c>
      <c r="EP32" s="201">
        <f t="shared" si="3"/>
        <v>0</v>
      </c>
      <c r="EQ32" s="201">
        <f>IFERROR(__xludf.DUMMYFUNCTION("SUM(
   MAP(
     K$4:ED$4,
     K$3:ED$3,
     K$7:ED$7,
     K$15:ED$15,
     K$16:ED$16,
     K$21:ED$21,
     K$5:ED$5,
     K$17:ED$17,
     K32:ED32,
     LAMBDA(
       name,
       job,
       abillity,
       buff,
       barrier,
       enhance,"&amp;"
       assign,
       precondition,
       check,
       SWITCH(
         name,
         ""シェイクオフ"", IF(check=TRUE, buff + (0.02 * COUNTIF(ARRAYFORMULA((REGEXMATCH($K$4:$ED$4, ""スリル・オブ・バトル|ヴェンジェンス|原初の血気|ダムネーション"")) * (K32:ED32=TRUE)), 1)), 0),
         "&amp;"""インプロビゼーションフィニッシュ(踊りの激情0)"", IF(ISNUMBER(check), INDEX(Skill!$AJ:$AJ, MATCH(SUBSTITUTE(DV$4, 0, check), Skill!$C:$C, 0)), 0),
         IF(
           AND(check=TRUE, REGEXMATCH(assign, ""RANGE_PARTY"")),
           IF(
             OR(ARRAYFORMULA((IF(pr"&amp;"econdition="""", FALSE, REGEXMATCH($K$4:$ED$4, precondition))) * (K32:ED32=TRUE))),
             enhance,
             IF(barrier="""", buff, barrier)
           ),
           0
         )
       ) *
       SWITCH(
         job,
         ""ナイト"", EY$24,
 "&amp;"        ""戦士"", FD$24,
         ""踊り子"", ET$24,
         ""ピクトマンサー"", ET$24,
         ""白魔道士"", EF32 * EH32 * IF(abillity, 1, EG32 * EI32) * (Option!$D$22 * 0.81 / 100),
         ""占星術師"", EF32 * EJ32 * IF(abillity, 1, EG32 * EK32) * (Option!$D$23 * 0.81 "&amp;"/ 100),
         ""学者"", EF32 * EL32 * IF(abillity, 1, EG32 * EM32) * (Option!$D$24 * 0.81 / 100),
         ""賢者"", EF32 * EN32 * IF(abillity, 1, EG32 * EO32) * (Option!$D$25 * 0.81 / 100),
         1
       )
     )
   )
 )"),0.0)</f>
        <v>0</v>
      </c>
      <c r="ER32" s="202">
        <f t="shared" si="4"/>
        <v>0</v>
      </c>
      <c r="ES32" s="203">
        <f t="shared" si="5"/>
        <v>0</v>
      </c>
      <c r="ET32" s="231" t="str">
        <f>IFERROR(__xludf.DUMMYFUNCTION("IFS(
  EP32 &gt; $ET$24 + EQ32,
  SPARKLINE({ 1, 0 }, {""charttype"",""bar"";""max"", 1;""color1"",Option!$D$30;""color2"",Option!$D$30}),
  EP32 &lt; EQ32,
  SPARKLINE({EQ32 - EP32, $ET$24 - (EQ32 - EP32)}, {""charttype"",""bar"";""max"",$ET$24;""color1"",Opti"&amp;"on!$D$28;""color2"",Option!$D$29}),
  EP32 &gt;= EQ32,
  SPARKLINE({$ET$24 + EQ32 - EP32,EP32 - EQ32}, {""charttype"",""bar"";""max"",$ET$24;""color1"",Option!$D$29;""color2"",Option!$D$30})
)"),"")</f>
        <v/>
      </c>
      <c r="EU32" s="205">
        <f>IFERROR(__xludf.DUMMYFUNCTION("PRODUCT(
   MAP(
     IF($F32=""Physical"", K$10:ED$10, IF($F32=""Magic"", K$11:ED$11, K$12:ED$12)),
     IF($F32=""Physical"", K$18:ED$18, IF($F32=""Magic"", K$19:ED$19, K$20:ED$20)),
     K$3:ED$3,
     K$5:ED$5,
     K$17:ED$17,
     K32:ED32,
     LAM"&amp;"BDA(
       mitigation,
       enhance,
       job,
       assign,
       precondition,
       check,
       IF(
         OR(AND(check=TRUE, REGEXMATCH(assign, ""SELF""), job=""ナイト""), AND(check=Option!$E$13, REGEXMATCH(assign, ""SINGLE_PARTY""))),
      "&amp;"   IF(
           OR(ARRAYFORMULA((IF(precondition="""", FALSE, REGEXMATCH($K$4:$ED$4, precondition))) * (K32:ED32=TRUE))),
           enhance,
           mitigation
         ),
         1
       )
     )
   )
 ) * EE32"),1.0)</f>
        <v>1</v>
      </c>
      <c r="EV32" s="206">
        <f t="shared" si="6"/>
        <v>0</v>
      </c>
      <c r="EW32" s="205">
        <f>IFERROR(__xludf.DUMMYFUNCTION("PRODUCT(
   MAP(
     K$3:ED$3,
     K$14:ED$14,
     K$13:ED$13,
     K32:ED32,
     LAMBDA(
       job,
       buff,
       target,
       check,
       IF(
         OR(AND(check=TRUE, REGEXMATCH(target, ""SELF_AFFECTED_ALL""), job=""ナイト""), AND(check=O"&amp;"ption!$E$13, REGEXMATCH(target, ""SINGLE_AFFECTED_ALL""))),
         buff,
         1
       )
     )
   )
 )"),1.0)</f>
        <v>1</v>
      </c>
      <c r="EX32" s="206">
        <f>IFERROR(__xludf.DUMMYFUNCTION("SUM(
   MAP(
     K$3:ED$3,
     K$7:ED$7,
     K$15:ED$15,
     K$16:ED$16,
     K$21:ED$21,
     K$5:ED$5,
     K$17:ED$17,
     K32:ED32,
     LAMBDA(
       job,
       abillity,
       buff,
       barrier,
       enhance,
       assign,
       preco"&amp;"ndition,
       check,
       IF(
         OR(AND(check=TRUE, REGEXMATCH(assign, ""SELF""), job=""ナイト""), AND(check=Option!$E$13, REGEXMATCH(assign, ""SINGLE_PARTY""))),
         IF(
           OR(ARRAYFORMULA((IF(precondition="""", FALSE, REGEXMATCH($K$4"&amp;":$ED$4, precondition))) * (K32:ED32=TRUE))),
           enhance,
           IF(barrier="""", buff, barrier)
         ),
         0
       ) *
       SWITCH(
         job,
         ""暗黒騎士"", EY$24,
         ""白魔道士"", EF32 * EH32 * EW32 * IF(abillity, 1, EG"&amp;"32 * EI32) * (Option!$D$22 * 0.81 / 100),
         ""占星術師"", EF32 * EJ32 * EW32 * IF(abillity, 1, EG32 * EK32) * (Option!$D$23 * 0.81 / 100),
         ""学者"", EF32 * EL32 * EW32 * IF(abillity, 1, EG32 * EM32) * (Option!$D$24 * 0.81 / 100),
         ""賢者"""&amp;", EF32 * EN32 * EW32 * IF(abillity, 1, EG32 * EO32) * (Option!$D$25 * 0.81 / 100),
         1
       )
     )
   )
 ) + EQ32"),0.0)</f>
        <v>0</v>
      </c>
      <c r="EY32" s="232">
        <f t="shared" si="7"/>
        <v>0</v>
      </c>
      <c r="EZ32" s="205">
        <f>IFERROR(__xludf.DUMMYFUNCTION("PRODUCT(
   MAP(
     IF($F32=""Physical"", K$10:ED$10, IF($F32=""Magic"", K$11:ED$11, K$12:ED$12)),
     IF($F32=""Physical"", K$18:ED$18, IF($F32=""Magic"", K$19:ED$19, K$20:ED$20)),
     K$3:ED$3,
     K$5:ED$5,
     K$17:ED$17,
     K32:ED32,
     LAM"&amp;"BDA(
       mitigation,
       enhance,
       job,
       assign,
       precondition,
       check,
       IF(
         OR(AND(check=TRUE, REGEXMATCH(assign, ""SELF""), job=""戦士""), AND(check=Option!$F$13, REGEXMATCH(assign, ""SINGLE_PARTY""))),
       "&amp;"  IF(
           OR(ARRAYFORMULA((IF(precondition="""", FALSE, REGEXMATCH($K$4:$ED$4, precondition))) * (K32:ED32=TRUE))),
           enhance,
           mitigation
         ),
         1
       )
     )
   )
 ) * EE32"),1.0)</f>
        <v>1</v>
      </c>
      <c r="FA32" s="206">
        <f t="shared" si="8"/>
        <v>0</v>
      </c>
      <c r="FB32" s="205">
        <f>IFERROR(__xludf.DUMMYFUNCTION("PRODUCT(
   MAP(
     K$3:ED$3,
     K$14:ED$14,
     K$13:ED$13,
     K32:ED32,
     LAMBDA(
       job,
       buff,
       target,
       check,
       IF(
         OR(AND(check=TRUE, REGEXMATCH(target, ""SELF_AFFECTED_ALL""), job=""戦士""), AND(check=Op"&amp;"tion!$F$13, REGEXMATCH(target, ""SINGLE_AFFECTED_ALL""))),
         buff,
         1
       )
     )
   )
 )"),1.0)</f>
        <v>1</v>
      </c>
      <c r="FC32" s="206">
        <f>IFERROR(__xludf.DUMMYFUNCTION("SUM(
   MAP(
     K$3:ED$3,
     K$7:ED$7,
     K$15:ED$15,
     K$16:ED$16,
     K$21:ED$21,
     K$5:ED$5,
     K$17:ED$17,
     K32:ED32,
     LAMBDA(
       job,
       abillity,
       buff,
       barrier,
       enhance,
       assign,
       preco"&amp;"ndition,
       check,
       IF(
         OR(AND(check=TRUE, REGEXMATCH(assign, ""SELF""), job=""戦士""), AND(check=Option!$F$13, REGEXMATCH(assign, ""SINGLE_PARTY""))),
         IF(
           OR(ARRAYFORMULA((IF(precondition="""", FALSE, REGEXMATCH($K$4:"&amp;"$ED$4, precondition))) * (K32:ED32=TRUE))),
           enhance,
           IF(barrier="""", buff, barrier)
         ),
         0
       ) *
       SWITCH(
         job,
         ""暗黒騎士"", FD$24,
         ""白魔道士"", EF32 * EH32 * FB32 * IF(abillity, 1, EG3"&amp;"2 * EI32) * (Option!$D$22 * 0.81 / 100),
         ""占星術師"", EF32 * EJ32 * FFB32 * IF(abillity, 1, EG32 * EK32) * (Option!$D$23 * 0.81 / 100),
         ""学者"", EF32 * EL32 * FB32 * IF(abillity, 1, EG32 * EM32) * (Option!$D$24 * 0.81 / 100),
         ""賢者"""&amp;", EF32 * EN32 * FB32 * IF(abillity, 1, EG32 * EO32) * (Option!$D$25 * 0.81 / 100),
         1
       )
     )
   )
 ) + EQ32"),0.0)</f>
        <v>0</v>
      </c>
      <c r="FD32" s="206">
        <f t="shared" si="9"/>
        <v>0</v>
      </c>
      <c r="FE32" s="205">
        <f>IFERROR(__xludf.DUMMYFUNCTION("PRODUCT(
   MAP(
     IF($F32=""Physical"", K$10:ED$10, IF($F32=""Magic"", K$11:ED$11, K$12:ED$12)),
     IF($F32=""Physical"", K$18:ED$18, IF($F32=""Magic"", K$19:ED$19, K$20:ED$20)),
     K$3:ED$3,
     K$5:ED$5,
     K$17:ED$17,
     K32:ED32,
     LAM"&amp;"BDA(
       mitigation,
       enhance,
       job,
       assign,
       precondition,
       check,
       IF(
         OR(AND(check=TRUE, REGEXMATCH(assign, ""SELF""), job=""暗黒騎士""), AND(check=Option!$G$13, REGEXMATCH(assign, ""SINGLE_PARTY""))),
     "&amp;"    IF(
           OR(ARRAYFORMULA((IF(precondition="""", FALSE, REGEXMATCH($K$4:$ED$4, precondition))) * (K32:ED32=TRUE))),
           enhance,
           mitigation
         ),
         1
       )
     )
   )
 ) * EE32"),1.0)</f>
        <v>1</v>
      </c>
      <c r="FF32" s="206">
        <f t="shared" si="10"/>
        <v>0</v>
      </c>
      <c r="FG32" s="205">
        <f>IFERROR(__xludf.DUMMYFUNCTION("PRODUCT(
   MAP(
     K$3:ED$3,
     K$14:ED$14,
     K$13:ED$13,
     K32:ED32,
     LAMBDA(
       job,
       buff,
       target,
       check,
       IF(
         OR(AND(check=TRUE, REGEXMATCH(target, ""SELF_AFFECTED_ALL""), job=""暗黒騎士""), AND(check="&amp;"Option!$G$13, REGEXMATCH(target, ""SINGLE_AFFECTED_ALL""))),
         buff,
         1
       )
     )
   )
 )"),1.0)</f>
        <v>1</v>
      </c>
      <c r="FH32" s="206">
        <f>IFERROR(__xludf.DUMMYFUNCTION("SUM(
   MAP(
     K$3:ED$3,
     K$7:ED$7,
     K$15:ED$15,
     K$16:ED$16,
     K$21:ED$21,
     K$5:ED$5,
     K$17:ED$17,
     K32:ED32,
     LAMBDA(
       job,
       abillity,
       buff,
       barrier,
       enhance,
       assign,
       preco"&amp;"ndition,
       check,
       IF(
         OR(AND(check=TRUE, REGEXMATCH(assign, ""SELF""), job=""暗黒騎士""), AND(check=Option!$G$13, REGEXMATCH(assign, ""SINGLE_PARTY""))),
         IF(
           OR(ARRAYFORMULA((IF(precondition="""", FALSE, REGEXMATCH($K$"&amp;"4:$ED$4, precondition))) * (K32:ED32=TRUE))),
           enhance,
           IF(barrier="""", buff, barrier)
         ),
         0
       ) *
       SWITCH(
         job,
         ""暗黒騎士"", FI$24,
         ""白魔道士"", EF32 * EH32 * FG32 * IF(abillity, 1, E"&amp;"G32 * EI32) * (Option!$D$22 * 0.81 / 100),
         ""占星術師"", EF32 * EJ32 * FG32 * IF(abillity, 1, EG32 * EK32) * (Option!$D$23 * 0.81 / 100),
         ""学者"", EF32 * EL32 * FG32 * IF(abillity, 1, EG32 * EM32) * (Option!$D$24 * 0.81 / 100),
         ""賢者"&amp;""", EF32 * EN32 * FG32 * IF(abillity, 1, EG32 * EO32) * (Option!$D$25 * 0.81 / 100),
         1
       )
     )
   )
 ) + EQ32"),0.0)</f>
        <v>0</v>
      </c>
      <c r="FI32" s="206">
        <f t="shared" si="11"/>
        <v>0</v>
      </c>
      <c r="FJ32" s="205">
        <f>IFERROR(__xludf.DUMMYFUNCTION("PRODUCT(
   MAP(
     IF($F32=""Physical"", K$10:ED$10, IF($F32=""Magic"", K$11:ED$11, K$12:ED$12)),
     IF($F32=""Physical"", K$18:ED$18, IF($F32=""Magic"", K$19:ED$19, K$20:ED$20)),
     K$3:ED$3,
     K$5:ED$5,
     K$17:ED$17,
     K32:ED32,
     LAM"&amp;"BDA(
       mitigation,
       enhance,
       job,
       assign,
       precondition,
       check,
       IF(
         OR(AND(check=TRUE, REGEXMATCH(assign, ""SELF""), job=""ガンブレイカー""), AND(check=Option!$H$13, REGEXMATCH(assign, ""SINGLE_PARTY""))),
  "&amp;"       IF(
           OR(ARRAYFORMULA((IF(precondition="""", FALSE, REGEXMATCH($K$4:$ED$4, precondition))) * (K32:ED32=TRUE))),
           enhance,
           mitigation
         ),
         1
       )
     )
   )
 ) * EE32"),1.0)</f>
        <v>1</v>
      </c>
      <c r="FK32" s="206">
        <f t="shared" si="12"/>
        <v>0</v>
      </c>
      <c r="FL32" s="205">
        <f>IFERROR(__xludf.DUMMYFUNCTION("PRODUCT(
   MAP(
     K$3:ED$3,
     K$14:ED$14,
     K$13:ED$13,
     K32:ED32,
     LAMBDA(
       job,
       buff,
       target,
       check,
       IF(
         OR(AND(check=TRUE, REGEXMATCH(target, ""SELF_AFFECTED_ALL""), job=""ガンブレイカー""), AND(che"&amp;"ck=Option!$H$13, REGEXMATCH(target, ""SINGLE_AFFECTED_ALL""))),
         buff,
         1
       )
     )
   )
 )"),1.0)</f>
        <v>1</v>
      </c>
      <c r="FM32" s="206">
        <f>IFERROR(__xludf.DUMMYFUNCTION("SUM(
   MAP(
     K$3:ED$3,
     K$7:ED$7,
     K$15:ED$15,
     K$16:ED$16,
     K$21:ED$21,
     K$5:ED$5,
     K$17:ED$17,
     K32:ED32,
     LAMBDA(
       job,
       abillity,
       buff,
       barrier,
       enhance,
       assign,
       preco"&amp;"ndition,
       check,
       IF(
         OR(AND(check=TRUE, REGEXMATCH(assign, ""SELF""), job=""ガンブレイカー""), AND(check=Option!$H$13, REGEXMATCH(assign, ""SINGLE_PARTY""))),
         IF(
           OR(ARRAYFORMULA((IF(precondition="""", FALSE, REGEXMATCH("&amp;"$K$4:$ED$4, precondition))) * (K32:ED32=TRUE))),
           enhance,
           IF(barrier="""", buff, barrier)
         ),
         0
       ) *
       SWITCH(
         job,
         ""暗黒騎士"", FN$24,
         ""白魔道士"", EF32 * EH32 * FL32 * IF(abillity, 1"&amp;", EG32 * EI32) * (Option!$D$22 * 0.81 / 100),
         ""占星術師"", EF32 * EJ32 * FL32 * IF(abillity, 1, EG32 * EK32) * (Option!$D$23 * 0.81 / 100),
         ""学者"", EF32 * EL32 * FL32 * IF(abillity, 1, EG32 * EM32) * (Option!$D$24 * 0.81 / 100),
         """&amp;"賢者"", EF32 * EN32 * FL32 * IF(abillity, 1, EG32 * EO32) * (Option!$D$25 * 0.81 / 100),
         1
       )
     )
   )
 ) + EQ32"),0.0)</f>
        <v>0</v>
      </c>
      <c r="FN32" s="206">
        <f t="shared" si="13"/>
        <v>0</v>
      </c>
      <c r="FO32" s="213"/>
    </row>
    <row r="33">
      <c r="B33" s="229"/>
      <c r="C33" s="217">
        <f t="shared" si="1"/>
        <v>0</v>
      </c>
      <c r="D33" s="236"/>
      <c r="E33" s="238"/>
      <c r="F33" s="167"/>
      <c r="G33" s="168" t="str">
        <f t="shared" si="2"/>
        <v/>
      </c>
      <c r="H33" s="169"/>
      <c r="I33" s="169"/>
      <c r="J33" s="169"/>
      <c r="K33" s="170" t="b">
        <v>0</v>
      </c>
      <c r="L33" s="170" t="b">
        <v>0</v>
      </c>
      <c r="M33" s="170" t="b">
        <v>0</v>
      </c>
      <c r="N33" s="171" t="s">
        <v>1070</v>
      </c>
      <c r="O33" s="172" t="b">
        <v>0</v>
      </c>
      <c r="P33" s="173" t="b">
        <v>0</v>
      </c>
      <c r="Q33" s="173" t="b">
        <v>0</v>
      </c>
      <c r="R33" s="173" t="b">
        <v>0</v>
      </c>
      <c r="S33" s="174" t="b">
        <v>0</v>
      </c>
      <c r="T33" s="175" t="b">
        <v>0</v>
      </c>
      <c r="U33" s="173" t="b">
        <v>0</v>
      </c>
      <c r="V33" s="171" t="s">
        <v>1070</v>
      </c>
      <c r="W33" s="172" t="b">
        <v>0</v>
      </c>
      <c r="X33" s="173" t="b">
        <v>0</v>
      </c>
      <c r="Y33" s="173" t="b">
        <v>0</v>
      </c>
      <c r="Z33" s="173" t="b">
        <v>0</v>
      </c>
      <c r="AA33" s="174" t="b">
        <v>0</v>
      </c>
      <c r="AB33" s="174" t="b">
        <v>0</v>
      </c>
      <c r="AC33" s="175" t="b">
        <v>0</v>
      </c>
      <c r="AD33" s="173" t="b">
        <v>0</v>
      </c>
      <c r="AE33" s="176" t="s">
        <v>1070</v>
      </c>
      <c r="AF33" s="171" t="s">
        <v>1070</v>
      </c>
      <c r="AG33" s="177">
        <f>IFERROR(__xludf.DUMMYFUNCTION("IF(
  ISNUMBER(AG32),
  MIN(MAX(
    AG32
    + MAX(
      ROUNDDOWN(($D33 - MAX(IFERROR(FILTER($D$24:$D32, AG$24:AG32 &lt;&gt; AF$6, AG$23:AG31 = AF$6), 0))) * (60 * 60 * 24) / AF$9) - ROUNDDOWN(($D32 - MAX(IFERROR(FILTER($D$23:$D31, AG$23:AG31 &lt;&gt; AF$6, AG$22:"&amp;"AG30 = AF$6), 0))) * (60 * 60 * 24) / 60),
      0
    )
    - COUNTIF(AF33, ""&lt;&gt;-""),
  0), AF$6),
  AF$6 - COUNTIF(AF33, ""&lt;&gt;-"")
)"),2.0)</f>
        <v>2</v>
      </c>
      <c r="AH33" s="173" t="b">
        <v>0</v>
      </c>
      <c r="AI33" s="173" t="b">
        <v>0</v>
      </c>
      <c r="AJ33" s="173" t="b">
        <v>0</v>
      </c>
      <c r="AK33" s="174" t="b">
        <v>0</v>
      </c>
      <c r="AL33" s="175" t="b">
        <v>0</v>
      </c>
      <c r="AM33" s="173" t="b">
        <v>0</v>
      </c>
      <c r="AN33" s="171" t="s">
        <v>1070</v>
      </c>
      <c r="AO33" s="173" t="b">
        <v>0</v>
      </c>
      <c r="AP33" s="173" t="b">
        <v>0</v>
      </c>
      <c r="AQ33" s="173" t="b">
        <v>0</v>
      </c>
      <c r="AR33" s="174" t="b">
        <v>0</v>
      </c>
      <c r="AS33" s="178" t="b">
        <v>0</v>
      </c>
      <c r="AT33" s="179" t="b">
        <v>0</v>
      </c>
      <c r="AU33" s="180" t="b">
        <v>0</v>
      </c>
      <c r="AV33" s="180" t="b">
        <v>0</v>
      </c>
      <c r="AW33" s="180" t="b">
        <v>0</v>
      </c>
      <c r="AX33" s="180" t="b">
        <v>0</v>
      </c>
      <c r="AY33" s="181" t="s">
        <v>1070</v>
      </c>
      <c r="AZ33" s="181" t="s">
        <v>1070</v>
      </c>
      <c r="BA33" s="184">
        <f>IFERROR(__xludf.DUMMYFUNCTION("IF(
  ISNUMBER(BA32),
  MIN(MAX(
    BA32
    + MAX(
      ROUNDDOWN((D33 - MAX(IFERROR(FILTER(D$24:D32, BA$24:BA32 &lt;&gt; AZ$6, BA$23:BA31 = AZ$6), 0))) * (60 * 60 * 24) / AZ$9) - ROUNDDOWN((D32 - MAX(IFERROR(FILTER(D$23:D31, BA$23:BA31 &lt;&gt; AZ$6, BA$22:BA30 ="&amp;" AZ$6), 0))) * (60 * 60 * 24) / AZ$9),
      0
    )
    - COUNTIF(AZ33, ""&lt;&gt;-""),
  0), AZ$6),
  AZ$6 - COUNTIF(AZ33, ""&lt;&gt;-"")
)"),2.0)</f>
        <v>2</v>
      </c>
      <c r="BB33" s="181" t="s">
        <v>1070</v>
      </c>
      <c r="BC33" s="183">
        <f>IFERROR(__xludf.DUMMYFUNCTION("IF(
  ISNUMBER(BC32),
  MIN(MAX(
    BC32
    + MAX(
      ROUNDDOWN(($D33 - MAX(IFERROR(FILTER($D$24:$D32, BC$24:BC32 &lt;&gt; BB$6, BC$23:BC31 = BB$6), 0))) * (60 * 60 * 24) / BB$9) - ROUNDDOWN(($D32 - MAX(IFERROR(FILTER($D$23:$D31, BC$23:BC31 &lt;&gt; BB$6, BC$22:"&amp;"BC30 = BB$6), 0))) * (60 * 60 * 24) / 60),
      0
    )
    - COUNTIF(BB33, ""&lt;&gt;-""),
  0), BB$6),
  BB$6 - COUNTIF(BB33, ""&lt;&gt;-"")
)"),2.0)</f>
        <v>2</v>
      </c>
      <c r="BD33" s="181" t="s">
        <v>1070</v>
      </c>
      <c r="BE33" s="178" t="b">
        <v>0</v>
      </c>
      <c r="BF33" s="180" t="b">
        <v>0</v>
      </c>
      <c r="BG33" s="180" t="b">
        <v>0</v>
      </c>
      <c r="BH33" s="180" t="b">
        <v>0</v>
      </c>
      <c r="BI33" s="180" t="b">
        <v>0</v>
      </c>
      <c r="BJ33" s="180" t="b">
        <v>0</v>
      </c>
      <c r="BK33" s="180" t="b">
        <v>0</v>
      </c>
      <c r="BL33" s="180" t="b">
        <v>0</v>
      </c>
      <c r="BM33" s="180" t="b">
        <v>0</v>
      </c>
      <c r="BN33" s="180" t="b">
        <v>0</v>
      </c>
      <c r="BO33" s="181" t="s">
        <v>1070</v>
      </c>
      <c r="BP33" s="181" t="s">
        <v>1070</v>
      </c>
      <c r="BQ33" s="181" t="s">
        <v>1070</v>
      </c>
      <c r="BR33" s="181" t="s">
        <v>1070</v>
      </c>
      <c r="BS33" s="181" t="s">
        <v>1070</v>
      </c>
      <c r="BT33" s="184">
        <f>IFERROR(__xludf.DUMMYFUNCTION("IF(
  ISNUMBER(BT32),
  MIN(MAX(
    BT32
    + MAX(
      ROUNDDOWN((D33 - MAX(IFERROR(FILTER(D$24:D32, BT$24:BT32 &lt;&gt; BS$6, BT$23:BT31 = BS$6), 0))) * (60 * 60 * 24) / BS$9) - ROUNDDOWN((D32 - MAX(IFERROR(FILTER(D$23:D31, BT$23:BT31 &lt;&gt; BS$6, BT$22:BT30 ="&amp;" BS$6), 0))) * (60 * 60 * 24) / BS$9),
      0
    )
    - COUNTIF(BS33, ""&lt;&gt;-""),
  0), BS$6),
  BS$6 - COUNTIF(BS33, ""&lt;&gt;-"")
)"),3.0)</f>
        <v>3</v>
      </c>
      <c r="BU33" s="181" t="s">
        <v>1070</v>
      </c>
      <c r="BV33" s="181" t="s">
        <v>1070</v>
      </c>
      <c r="BW33" s="184">
        <f>IFERROR(__xludf.DUMMYFUNCTION("IF(
  ISNUMBER(BW32),
  MIN(MAX(
    BW32
    + MAX(
      ROUNDDOWN((D33 - MAX(IFERROR(FILTER(D$24:D32, BW$24:BW32 &lt;&gt; BV$6, BW$23:BW31 = BV$6), 0))) * (60 * 60 * 24) / BV$9) - ROUNDDOWN((D32 - MAX(IFERROR(FILTER(D$23:D31, BW$23:BW31 &lt;&gt; BV$6, BW$22:BW30 ="&amp;" BV$6), 0))) * (60 * 60 * 24) / BV$9),
      0
    )
    - COUNTIF(BV33, ""&lt;&gt;-""),
  0), BV$6),
  BV$6 - COUNTIF(BV33, ""&lt;&gt;-"")
)"),2.0)</f>
        <v>2</v>
      </c>
      <c r="BX33" s="185" t="s">
        <v>1070</v>
      </c>
      <c r="BY33" s="178" t="b">
        <v>0</v>
      </c>
      <c r="BZ33" s="180" t="b">
        <v>0</v>
      </c>
      <c r="CA33" s="180" t="b">
        <v>0</v>
      </c>
      <c r="CB33" s="180" t="b">
        <v>0</v>
      </c>
      <c r="CC33" s="180" t="b">
        <v>0</v>
      </c>
      <c r="CD33" s="180" t="b">
        <v>0</v>
      </c>
      <c r="CE33" s="180" t="b">
        <v>0</v>
      </c>
      <c r="CF33" s="180" t="b">
        <v>0</v>
      </c>
      <c r="CG33" s="180" t="b">
        <v>0</v>
      </c>
      <c r="CH33" s="180" t="b">
        <v>0</v>
      </c>
      <c r="CI33" s="180" t="b">
        <v>0</v>
      </c>
      <c r="CJ33" s="180" t="b">
        <v>0</v>
      </c>
      <c r="CK33" s="180" t="b">
        <v>0</v>
      </c>
      <c r="CL33" s="180" t="b">
        <v>0</v>
      </c>
      <c r="CM33" s="181" t="s">
        <v>1070</v>
      </c>
      <c r="CN33" s="181" t="s">
        <v>1070</v>
      </c>
      <c r="CO33" s="181" t="s">
        <v>1070</v>
      </c>
      <c r="CP33" s="181" t="s">
        <v>1070</v>
      </c>
      <c r="CQ33" s="185" t="s">
        <v>1070</v>
      </c>
      <c r="CR33" s="180" t="b">
        <v>0</v>
      </c>
      <c r="CS33" s="186" t="str">
        <f t="shared" si="14"/>
        <v>◇◇◇</v>
      </c>
      <c r="CT33" s="178" t="b">
        <v>0</v>
      </c>
      <c r="CU33" s="180" t="b">
        <v>0</v>
      </c>
      <c r="CV33" s="180" t="b">
        <v>0</v>
      </c>
      <c r="CW33" s="180" t="b">
        <v>0</v>
      </c>
      <c r="CX33" s="180" t="b">
        <v>0</v>
      </c>
      <c r="CY33" s="180" t="b">
        <v>0</v>
      </c>
      <c r="CZ33" s="180" t="b">
        <v>0</v>
      </c>
      <c r="DA33" s="180" t="b">
        <v>0</v>
      </c>
      <c r="DB33" s="180" t="b">
        <v>0</v>
      </c>
      <c r="DC33" s="180" t="b">
        <v>0</v>
      </c>
      <c r="DD33" s="181" t="s">
        <v>1070</v>
      </c>
      <c r="DE33" s="181" t="s">
        <v>1070</v>
      </c>
      <c r="DF33" s="181" t="s">
        <v>1070</v>
      </c>
      <c r="DG33" s="185" t="s">
        <v>1070</v>
      </c>
      <c r="DH33" s="180" t="b">
        <v>0</v>
      </c>
      <c r="DI33" s="187" t="str">
        <f>IFERROR(__xludf.DUMMYFUNCTION("SWITCH(
  IF(
    ISTEXT(DI32),
    IF (
      FIND(""○"", DI32&amp;""○"") &gt; 3,
      3,
      FIND(""○"", DI32&amp;""○"")
      + MAX(
        ROUNDDOWN(($D33 - MAX(IFERROR(FILTER(D$24:D32, DI$24:DI32 &lt;&gt; ""●●●"", DI$23:DI31 = ""●●●""), 0))) * (60 * 60 * 24) / 20"&amp;") - ROUNDDOWN(($D32 - MAX(IFERROR(FILTER(D$23:D31, DI$23:DI31 &lt;&gt; ""●●●"", DI$22:DI30 = ""●●●""), 0))) * (60 * 60 * 24) / 20),
        0
      ) - 1
    ) - COUNTIFS(CU33, ""=TRUE"", CU32, ""&lt;&gt;TRUE"") - COUNTIF(CZ33, ""=TRUE"") - COUNTIF({DD33,DE33}, ""&lt;&gt;-"&amp;""") + COUNTIF(DH33, ""=TRUE""),
    3
  ),
  0, ""○○○"", 1, ""●○○"", 2, ""●●○"", 3, ""●●●"", 4, ""●●●"", ""○○○""
)"),"●●●")</f>
        <v>●●●</v>
      </c>
      <c r="DJ33" s="188" t="b">
        <v>0</v>
      </c>
      <c r="DK33" s="189" t="b">
        <v>0</v>
      </c>
      <c r="DL33" s="190" t="b">
        <v>0</v>
      </c>
      <c r="DM33" s="190" t="b">
        <v>0</v>
      </c>
      <c r="DN33" s="190" t="b">
        <v>0</v>
      </c>
      <c r="DO33" s="190" t="b">
        <v>0</v>
      </c>
      <c r="DP33" s="190" t="b">
        <v>0</v>
      </c>
      <c r="DQ33" s="191" t="b">
        <v>0</v>
      </c>
      <c r="DR33" s="192" t="b">
        <v>0</v>
      </c>
      <c r="DS33" s="191" t="b">
        <v>0</v>
      </c>
      <c r="DT33" s="192" t="b">
        <v>0</v>
      </c>
      <c r="DU33" s="191" t="b">
        <v>0</v>
      </c>
      <c r="DV33" s="193" t="s">
        <v>1070</v>
      </c>
      <c r="DW33" s="194" t="b">
        <v>0</v>
      </c>
      <c r="DX33" s="194" t="b">
        <v>0</v>
      </c>
      <c r="DY33" s="195" t="b">
        <v>0</v>
      </c>
      <c r="DZ33" s="196" t="b">
        <v>0</v>
      </c>
      <c r="EA33" s="195" t="b">
        <v>0</v>
      </c>
      <c r="EB33" s="197" t="b">
        <v>0</v>
      </c>
      <c r="EC33" s="197" t="b">
        <v>0</v>
      </c>
      <c r="ED33" s="212" t="b">
        <v>0</v>
      </c>
      <c r="EE33" s="199">
        <f>IFERROR(__xludf.DUMMYFUNCTION("IFERROR(
   PRODUCT(
     MAP(
       INDEX(TRANSPOSE(UNIQUE(TRANSPOSE(FILTER({IF($F33=""Physical"", K$10:ED$10, IF($F33=""Magic"", K$11:ED$11, K$12:ED$12));K$4:ED$4;K33:ED33}, K33:ED33=TRUE)))), 1, 0),
       INDEX(TRANSPOSE(UNIQUE(TRANSPOSE(FILTER({IF($"&amp;"F33=""Physical"", K$18:ED$18, IF($F33=""Magic"", K$19:ED$19, K$20:ED$20));K$4:ED$4;K33:ED33}, K33:ED33=TRUE)))), 1, 0),
       INDEX(TRANSPOSE(UNIQUE(TRANSPOSE(FILTER({K$5:ED$5;K$4:ED$4;K33:ED33}, K33:ED33=TRUE)))), 1, 0),
       INDEX(TRANSPOSE(UNIQUE(TR"&amp;"ANSPOSE(FILTER({K$17:ED$17;K$4:ED$4;K33:ED33}, K33:ED33=TRUE)))), 1, 0),
       LAMBDA(
         mitigation,
         enhance,
         assign,
         precondition,
         IF(
           REGEXMATCH(assign, ""RANGE_PARTY|SINGLE_ENEMY|RANGE_ENEMY""),
  "&amp;"         IF(
             OR(ARRAYFORMULA((IF(precondition="""", FALSE, REGEXMATCH(K$4:ED$4, precondition))) * (K33:ED33=TRUE))),
             IF(ISNUMBER(enhance), enhance, 1),
             IF(ISNUMBER(mitigation), mitigation, 1)
           ),
          "&amp;" 1
         )
       )
     )
   ),
   1
 )"),1.0)</f>
        <v>1</v>
      </c>
      <c r="EF33" s="200">
        <f>IFERROR(__xludf.DUMMYFUNCTION("PRODUCT(
   MAP(
     K$14:ED$14,
     K$13:ED$13,
     K33:ED33,
     LAMBDA(
       buff,
       target,
       check,
       IF(
         AND(check=TRUE, REGEXMATCH(target, ""RANGE_AFFECTED_ALL|RANGE_EFFECTED_ALL""), ISNUMBER(buff)),
         buff,
   "&amp;"      1
       )
     )
   )
 )"),1.0)</f>
        <v>1</v>
      </c>
      <c r="EG33" s="200">
        <f>IFERROR(__xludf.DUMMYFUNCTION("PRODUCT(
   MAP(
     K$14:ED$14,
     K$13:ED$13,
     K33:ED33,
     LAMBDA(
       buff,
       target,
       check,
       IF(
         AND(check=TRUE, REGEXMATCH(target, ""RANGE_AFFECTED_GCD|RANGE_EFFECTED_GCD""), ISNUMBER(buff)),
         buff,
   "&amp;"      1
       )
     )
   )
 )"),1.0)</f>
        <v>1</v>
      </c>
      <c r="EH33" s="200">
        <f>IFERROR(__xludf.DUMMYFUNCTION("PRODUCT(
   MAP(
     K$3:ED$3,
     K$14:ED$14,
     K$13:ED$13,
     K33:ED33,
     LAMBDA(
       job,
       buff,
       target,
       check,
       IF(
         AND(check=TRUE, REGEXMATCH(target, ""SELF_EFFECTED_ALL""), ISNUMBER(buff), job=""白魔道士"""&amp;"),
         buff,
         1
       )
     )
   )
 )"),1.0)</f>
        <v>1</v>
      </c>
      <c r="EI33" s="200">
        <f>IFERROR(__xludf.DUMMYFUNCTION("PRODUCT(
   MAP(
     K$3:ED$3,
     K$14:ED$14,
     K$13:ED$13,
     K33:ED33,
     LAMBDA(
       job,
       buff,
       target,
       check,
       IF(
         AND(check=TRUE, REGEXMATCH(target, ""SELF_EFFECTED_GCD""), ISNUMBER(buff), job=""白魔道士"""&amp;"),
         buff,
         1
       )
     )
   )
 )"),1.0)</f>
        <v>1</v>
      </c>
      <c r="EJ33" s="200">
        <f>IFERROR(__xludf.DUMMYFUNCTION("PRODUCT(
   MAP(
     K$3:ED$3,
     K$14:ED$14,
     K$13:ED$13,
     K33:ED33,
     LAMBDA(
       job,
       buff,
       target,
       check,
       IF(
         AND(check=TRUE, REGEXMATCH(target, ""SELF_EFFECTED_ALL""), ISNUMBER(buff), job=""占星術師"""&amp;"),
         buff,
         1
       )
     )
   )
 )"),1.0)</f>
        <v>1</v>
      </c>
      <c r="EK33" s="200">
        <f>IFERROR(__xludf.DUMMYFUNCTION("PRODUCT(
   MAP(
     K$3:ED$3,
     K$14:ED$14,
     K$13:ED$13,
     K33:ED33,
     LAMBDA(
       job,
       buff,
       target,
       check,
       IF(
         AND(check=TRUE, REGEXMATCH(target, ""SELF_EFFECTED_GCD""), ISNUMBER(buff), job=""占星術師"""&amp;"),
         buff,
         1
       )
     )
   )
 )"),1.0)</f>
        <v>1</v>
      </c>
      <c r="EL33" s="200">
        <f>IFERROR(__xludf.DUMMYFUNCTION("PRODUCT(
   MAP(
     K$3:ED$3,
     K$14:ED$14,
     K$13:ED$13,
     K33:ED33,
     LAMBDA(
       job,
       buff,
       target,
       check,
       IF(
         AND(check=TRUE, REGEXMATCH(target, ""SELF_EFFECTED_ALL""), ISNUMBER(buff), job=""学者""),"&amp;"
         buff,
         1
       )
     )
   )
 )"),1.0)</f>
        <v>1</v>
      </c>
      <c r="EM33" s="200">
        <f>IFERROR(__xludf.DUMMYFUNCTION("PRODUCT(
   MAP(
     K$3:ED$3,
     K$14:ED$14,
     K$13:ED$13,
     K33:ED33,
     LAMBDA(
       job,
       buff,
       target,
       check,
       IF(
         AND(check=TRUE, REGEXMATCH(target, ""SELF_EFFECTED_GCD""), ISNUMBER(buff), job=""学者""),"&amp;"
         buff,
         1
       )
     )
   )
 )"),1.0)</f>
        <v>1</v>
      </c>
      <c r="EN33" s="200">
        <f>IFERROR(__xludf.DUMMYFUNCTION("PRODUCT(
   MAP(
     K$3:ED$3,
     K$14:ED$14,
     K$13:ED$13,
     K33:ED33,
     LAMBDA(
       job,
       buff,
       target,
       check,
       IF(
         AND(check=TRUE, REGEXMATCH(target, ""SELF_EFFECTED_ALL""), ISNUMBER(buff), job=""賢者""),"&amp;"
         buff,
         1
       )
     )
   )
 )"),1.0)</f>
        <v>1</v>
      </c>
      <c r="EO33" s="200">
        <f>IFERROR(__xludf.DUMMYFUNCTION("PRODUCT(
   MAP(
     K$3:ED$3,
     K$14:ED$14,
     K$13:ED$13,
     K33:ED33,
     LAMBDA(
       job,
       buff,
       target,
       check,
       IF(
         AND(check=TRUE, REGEXMATCH(target, ""SELF_EFFECTED_GCD""), ISNUMBER(buff), job=""賢者""),"&amp;"
         buff,
         1
       )
     )
   )
 )"),1.0)</f>
        <v>1</v>
      </c>
      <c r="EP33" s="201">
        <f t="shared" si="3"/>
        <v>0</v>
      </c>
      <c r="EQ33" s="201">
        <f>IFERROR(__xludf.DUMMYFUNCTION("SUM(
   MAP(
     K$4:ED$4,
     K$3:ED$3,
     K$7:ED$7,
     K$15:ED$15,
     K$16:ED$16,
     K$21:ED$21,
     K$5:ED$5,
     K$17:ED$17,
     K33:ED33,
     LAMBDA(
       name,
       job,
       abillity,
       buff,
       barrier,
       enhance,"&amp;"
       assign,
       precondition,
       check,
       SWITCH(
         name,
         ""シェイクオフ"", IF(check=TRUE, buff + (0.02 * COUNTIF(ARRAYFORMULA((REGEXMATCH($K$4:$ED$4, ""スリル・オブ・バトル|ヴェンジェンス|原初の血気|ダムネーション"")) * (K33:ED33=TRUE)), 1)), 0),
         "&amp;"""インプロビゼーションフィニッシュ(踊りの激情0)"", IF(ISNUMBER(check), INDEX(Skill!$AJ:$AJ, MATCH(SUBSTITUTE(DV$4, 0, check), Skill!$C:$C, 0)), 0),
         IF(
           AND(check=TRUE, REGEXMATCH(assign, ""RANGE_PARTY"")),
           IF(
             OR(ARRAYFORMULA((IF(pr"&amp;"econdition="""", FALSE, REGEXMATCH($K$4:$ED$4, precondition))) * (K33:ED33=TRUE))),
             enhance,
             IF(barrier="""", buff, barrier)
           ),
           0
         )
       ) *
       SWITCH(
         job,
         ""ナイト"", EY$24,
 "&amp;"        ""戦士"", FD$24,
         ""踊り子"", ET$24,
         ""ピクトマンサー"", ET$24,
         ""白魔道士"", EF33 * EH33 * IF(abillity, 1, EG33 * EI33) * (Option!$D$22 * 0.81 / 100),
         ""占星術師"", EF33 * EJ33 * IF(abillity, 1, EG33 * EK33) * (Option!$D$23 * 0.81 "&amp;"/ 100),
         ""学者"", EF33 * EL33 * IF(abillity, 1, EG33 * EM33) * (Option!$D$24 * 0.81 / 100),
         ""賢者"", EF33 * EN33 * IF(abillity, 1, EG33 * EO33) * (Option!$D$25 * 0.81 / 100),
         1
       )
     )
   )
 )"),0.0)</f>
        <v>0</v>
      </c>
      <c r="ER33" s="202">
        <f t="shared" si="4"/>
        <v>0</v>
      </c>
      <c r="ES33" s="203">
        <f t="shared" si="5"/>
        <v>0</v>
      </c>
      <c r="ET33" s="231" t="str">
        <f>IFERROR(__xludf.DUMMYFUNCTION("IFS(
  EP33 &gt; $ET$24 + EQ33,
  SPARKLINE({ 1, 0 }, {""charttype"",""bar"";""max"", 1;""color1"",Option!$D$30;""color2"",Option!$D$30}),
  EP33 &lt; EQ33,
  SPARKLINE({EQ33 - EP33, $ET$24 - (EQ33 - EP33)}, {""charttype"",""bar"";""max"",$ET$24;""color1"",Opti"&amp;"on!$D$28;""color2"",Option!$D$29}),
  EP33 &gt;= EQ33,
  SPARKLINE({$ET$24 + EQ33 - EP33,EP33 - EQ33}, {""charttype"",""bar"";""max"",$ET$24;""color1"",Option!$D$29;""color2"",Option!$D$30})
)"),"")</f>
        <v/>
      </c>
      <c r="EU33" s="205">
        <f>IFERROR(__xludf.DUMMYFUNCTION("PRODUCT(
   MAP(
     IF($F33=""Physical"", K$10:ED$10, IF($F33=""Magic"", K$11:ED$11, K$12:ED$12)),
     IF($F33=""Physical"", K$18:ED$18, IF($F33=""Magic"", K$19:ED$19, K$20:ED$20)),
     K$3:ED$3,
     K$5:ED$5,
     K$17:ED$17,
     K33:ED33,
     LAM"&amp;"BDA(
       mitigation,
       enhance,
       job,
       assign,
       precondition,
       check,
       IF(
         OR(AND(check=TRUE, REGEXMATCH(assign, ""SELF""), job=""ナイト""), AND(check=Option!$E$13, REGEXMATCH(assign, ""SINGLE_PARTY""))),
      "&amp;"   IF(
           OR(ARRAYFORMULA((IF(precondition="""", FALSE, REGEXMATCH($K$4:$ED$4, precondition))) * (K33:ED33=TRUE))),
           enhance,
           mitigation
         ),
         1
       )
     )
   )
 ) * EE33"),1.0)</f>
        <v>1</v>
      </c>
      <c r="EV33" s="206">
        <f t="shared" si="6"/>
        <v>0</v>
      </c>
      <c r="EW33" s="205">
        <f>IFERROR(__xludf.DUMMYFUNCTION("PRODUCT(
   MAP(
     K$3:ED$3,
     K$14:ED$14,
     K$13:ED$13,
     K33:ED33,
     LAMBDA(
       job,
       buff,
       target,
       check,
       IF(
         OR(AND(check=TRUE, REGEXMATCH(target, ""SELF_AFFECTED_ALL""), job=""ナイト""), AND(check=O"&amp;"ption!$E$13, REGEXMATCH(target, ""SINGLE_AFFECTED_ALL""))),
         buff,
         1
       )
     )
   )
 )"),1.0)</f>
        <v>1</v>
      </c>
      <c r="EX33" s="206">
        <f>IFERROR(__xludf.DUMMYFUNCTION("SUM(
   MAP(
     K$3:ED$3,
     K$7:ED$7,
     K$15:ED$15,
     K$16:ED$16,
     K$21:ED$21,
     K$5:ED$5,
     K$17:ED$17,
     K33:ED33,
     LAMBDA(
       job,
       abillity,
       buff,
       barrier,
       enhance,
       assign,
       preco"&amp;"ndition,
       check,
       IF(
         OR(AND(check=TRUE, REGEXMATCH(assign, ""SELF""), job=""ナイト""), AND(check=Option!$E$13, REGEXMATCH(assign, ""SINGLE_PARTY""))),
         IF(
           OR(ARRAYFORMULA((IF(precondition="""", FALSE, REGEXMATCH($K$4"&amp;":$ED$4, precondition))) * (K33:ED33=TRUE))),
           enhance,
           IF(barrier="""", buff, barrier)
         ),
         0
       ) *
       SWITCH(
         job,
         ""暗黒騎士"", EY$24,
         ""白魔道士"", EF33 * EH33 * EW33 * IF(abillity, 1, EG"&amp;"33 * EI33) * (Option!$D$22 * 0.81 / 100),
         ""占星術師"", EF33 * EJ33 * EW33 * IF(abillity, 1, EG33 * EK33) * (Option!$D$23 * 0.81 / 100),
         ""学者"", EF33 * EL33 * EW33 * IF(abillity, 1, EG33 * EM33) * (Option!$D$24 * 0.81 / 100),
         ""賢者"""&amp;", EF33 * EN33 * EW33 * IF(abillity, 1, EG33 * EO33) * (Option!$D$25 * 0.81 / 100),
         1
       )
     )
   )
 ) + EQ33"),0.0)</f>
        <v>0</v>
      </c>
      <c r="EY33" s="232">
        <f t="shared" si="7"/>
        <v>0</v>
      </c>
      <c r="EZ33" s="205">
        <f>IFERROR(__xludf.DUMMYFUNCTION("PRODUCT(
   MAP(
     IF($F33=""Physical"", K$10:ED$10, IF($F33=""Magic"", K$11:ED$11, K$12:ED$12)),
     IF($F33=""Physical"", K$18:ED$18, IF($F33=""Magic"", K$19:ED$19, K$20:ED$20)),
     K$3:ED$3,
     K$5:ED$5,
     K$17:ED$17,
     K33:ED33,
     LAM"&amp;"BDA(
       mitigation,
       enhance,
       job,
       assign,
       precondition,
       check,
       IF(
         OR(AND(check=TRUE, REGEXMATCH(assign, ""SELF""), job=""戦士""), AND(check=Option!$F$13, REGEXMATCH(assign, ""SINGLE_PARTY""))),
       "&amp;"  IF(
           OR(ARRAYFORMULA((IF(precondition="""", FALSE, REGEXMATCH($K$4:$ED$4, precondition))) * (K33:ED33=TRUE))),
           enhance,
           mitigation
         ),
         1
       )
     )
   )
 ) * EE33"),1.0)</f>
        <v>1</v>
      </c>
      <c r="FA33" s="206">
        <f t="shared" si="8"/>
        <v>0</v>
      </c>
      <c r="FB33" s="205">
        <f>IFERROR(__xludf.DUMMYFUNCTION("PRODUCT(
   MAP(
     K$3:ED$3,
     K$14:ED$14,
     K$13:ED$13,
     K33:ED33,
     LAMBDA(
       job,
       buff,
       target,
       check,
       IF(
         OR(AND(check=TRUE, REGEXMATCH(target, ""SELF_AFFECTED_ALL""), job=""戦士""), AND(check=Op"&amp;"tion!$F$13, REGEXMATCH(target, ""SINGLE_AFFECTED_ALL""))),
         buff,
         1
       )
     )
   )
 )"),1.0)</f>
        <v>1</v>
      </c>
      <c r="FC33" s="206">
        <f>IFERROR(__xludf.DUMMYFUNCTION("SUM(
   MAP(
     K$3:ED$3,
     K$7:ED$7,
     K$15:ED$15,
     K$16:ED$16,
     K$21:ED$21,
     K$5:ED$5,
     K$17:ED$17,
     K33:ED33,
     LAMBDA(
       job,
       abillity,
       buff,
       barrier,
       enhance,
       assign,
       preco"&amp;"ndition,
       check,
       IF(
         OR(AND(check=TRUE, REGEXMATCH(assign, ""SELF""), job=""戦士""), AND(check=Option!$F$13, REGEXMATCH(assign, ""SINGLE_PARTY""))),
         IF(
           OR(ARRAYFORMULA((IF(precondition="""", FALSE, REGEXMATCH($K$4:"&amp;"$ED$4, precondition))) * (K33:ED33=TRUE))),
           enhance,
           IF(barrier="""", buff, barrier)
         ),
         0
       ) *
       SWITCH(
         job,
         ""暗黒騎士"", FD$24,
         ""白魔道士"", EF33 * EH33 * FB33 * IF(abillity, 1, EG3"&amp;"3 * EI33) * (Option!$D$22 * 0.81 / 100),
         ""占星術師"", EF33 * EJ33 * FFB33 * IF(abillity, 1, EG33 * EK33) * (Option!$D$23 * 0.81 / 100),
         ""学者"", EF33 * EL33 * FB33 * IF(abillity, 1, EG33 * EM33) * (Option!$D$24 * 0.81 / 100),
         ""賢者"""&amp;", EF33 * EN33 * FB33 * IF(abillity, 1, EG33 * EO33) * (Option!$D$25 * 0.81 / 100),
         1
       )
     )
   )
 ) + EQ33"),0.0)</f>
        <v>0</v>
      </c>
      <c r="FD33" s="206">
        <f t="shared" si="9"/>
        <v>0</v>
      </c>
      <c r="FE33" s="205">
        <f>IFERROR(__xludf.DUMMYFUNCTION("PRODUCT(
   MAP(
     IF($F33=""Physical"", K$10:ED$10, IF($F33=""Magic"", K$11:ED$11, K$12:ED$12)),
     IF($F33=""Physical"", K$18:ED$18, IF($F33=""Magic"", K$19:ED$19, K$20:ED$20)),
     K$3:ED$3,
     K$5:ED$5,
     K$17:ED$17,
     K33:ED33,
     LAM"&amp;"BDA(
       mitigation,
       enhance,
       job,
       assign,
       precondition,
       check,
       IF(
         OR(AND(check=TRUE, REGEXMATCH(assign, ""SELF""), job=""暗黒騎士""), AND(check=Option!$G$13, REGEXMATCH(assign, ""SINGLE_PARTY""))),
     "&amp;"    IF(
           OR(ARRAYFORMULA((IF(precondition="""", FALSE, REGEXMATCH($K$4:$ED$4, precondition))) * (K33:ED33=TRUE))),
           enhance,
           mitigation
         ),
         1
       )
     )
   )
 ) * EE33"),1.0)</f>
        <v>1</v>
      </c>
      <c r="FF33" s="206">
        <f t="shared" si="10"/>
        <v>0</v>
      </c>
      <c r="FG33" s="205">
        <f>IFERROR(__xludf.DUMMYFUNCTION("PRODUCT(
   MAP(
     K$3:ED$3,
     K$14:ED$14,
     K$13:ED$13,
     K33:ED33,
     LAMBDA(
       job,
       buff,
       target,
       check,
       IF(
         OR(AND(check=TRUE, REGEXMATCH(target, ""SELF_AFFECTED_ALL""), job=""暗黒騎士""), AND(check="&amp;"Option!$G$13, REGEXMATCH(target, ""SINGLE_AFFECTED_ALL""))),
         buff,
         1
       )
     )
   )
 )"),1.0)</f>
        <v>1</v>
      </c>
      <c r="FH33" s="206">
        <f>IFERROR(__xludf.DUMMYFUNCTION("SUM(
   MAP(
     K$3:ED$3,
     K$7:ED$7,
     K$15:ED$15,
     K$16:ED$16,
     K$21:ED$21,
     K$5:ED$5,
     K$17:ED$17,
     K33:ED33,
     LAMBDA(
       job,
       abillity,
       buff,
       barrier,
       enhance,
       assign,
       preco"&amp;"ndition,
       check,
       IF(
         OR(AND(check=TRUE, REGEXMATCH(assign, ""SELF""), job=""暗黒騎士""), AND(check=Option!$G$13, REGEXMATCH(assign, ""SINGLE_PARTY""))),
         IF(
           OR(ARRAYFORMULA((IF(precondition="""", FALSE, REGEXMATCH($K$"&amp;"4:$ED$4, precondition))) * (K33:ED33=TRUE))),
           enhance,
           IF(barrier="""", buff, barrier)
         ),
         0
       ) *
       SWITCH(
         job,
         ""暗黒騎士"", FI$24,
         ""白魔道士"", EF33 * EH33 * FG33 * IF(abillity, 1, E"&amp;"G33 * EI33) * (Option!$D$22 * 0.81 / 100),
         ""占星術師"", EF33 * EJ33 * FG33 * IF(abillity, 1, EG33 * EK33) * (Option!$D$23 * 0.81 / 100),
         ""学者"", EF33 * EL33 * FG33 * IF(abillity, 1, EG33 * EM33) * (Option!$D$24 * 0.81 / 100),
         ""賢者"&amp;""", EF33 * EN33 * FG33 * IF(abillity, 1, EG33 * EO33) * (Option!$D$25 * 0.81 / 100),
         1
       )
     )
   )
 ) + EQ33"),0.0)</f>
        <v>0</v>
      </c>
      <c r="FI33" s="206">
        <f t="shared" si="11"/>
        <v>0</v>
      </c>
      <c r="FJ33" s="205">
        <f>IFERROR(__xludf.DUMMYFUNCTION("PRODUCT(
   MAP(
     IF($F33=""Physical"", K$10:ED$10, IF($F33=""Magic"", K$11:ED$11, K$12:ED$12)),
     IF($F33=""Physical"", K$18:ED$18, IF($F33=""Magic"", K$19:ED$19, K$20:ED$20)),
     K$3:ED$3,
     K$5:ED$5,
     K$17:ED$17,
     K33:ED33,
     LAM"&amp;"BDA(
       mitigation,
       enhance,
       job,
       assign,
       precondition,
       check,
       IF(
         OR(AND(check=TRUE, REGEXMATCH(assign, ""SELF""), job=""ガンブレイカー""), AND(check=Option!$H$13, REGEXMATCH(assign, ""SINGLE_PARTY""))),
  "&amp;"       IF(
           OR(ARRAYFORMULA((IF(precondition="""", FALSE, REGEXMATCH($K$4:$ED$4, precondition))) * (K33:ED33=TRUE))),
           enhance,
           mitigation
         ),
         1
       )
     )
   )
 ) * EE33"),1.0)</f>
        <v>1</v>
      </c>
      <c r="FK33" s="206">
        <f t="shared" si="12"/>
        <v>0</v>
      </c>
      <c r="FL33" s="205">
        <f>IFERROR(__xludf.DUMMYFUNCTION("PRODUCT(
   MAP(
     K$3:ED$3,
     K$14:ED$14,
     K$13:ED$13,
     K33:ED33,
     LAMBDA(
       job,
       buff,
       target,
       check,
       IF(
         OR(AND(check=TRUE, REGEXMATCH(target, ""SELF_AFFECTED_ALL""), job=""ガンブレイカー""), AND(che"&amp;"ck=Option!$H$13, REGEXMATCH(target, ""SINGLE_AFFECTED_ALL""))),
         buff,
         1
       )
     )
   )
 )"),1.0)</f>
        <v>1</v>
      </c>
      <c r="FM33" s="206">
        <f>IFERROR(__xludf.DUMMYFUNCTION("SUM(
   MAP(
     K$3:ED$3,
     K$7:ED$7,
     K$15:ED$15,
     K$16:ED$16,
     K$21:ED$21,
     K$5:ED$5,
     K$17:ED$17,
     K33:ED33,
     LAMBDA(
       job,
       abillity,
       buff,
       barrier,
       enhance,
       assign,
       preco"&amp;"ndition,
       check,
       IF(
         OR(AND(check=TRUE, REGEXMATCH(assign, ""SELF""), job=""ガンブレイカー""), AND(check=Option!$H$13, REGEXMATCH(assign, ""SINGLE_PARTY""))),
         IF(
           OR(ARRAYFORMULA((IF(precondition="""", FALSE, REGEXMATCH("&amp;"$K$4:$ED$4, precondition))) * (K33:ED33=TRUE))),
           enhance,
           IF(barrier="""", buff, barrier)
         ),
         0
       ) *
       SWITCH(
         job,
         ""暗黒騎士"", FN$24,
         ""白魔道士"", EF33 * EH33 * FL33 * IF(abillity, 1"&amp;", EG33 * EI33) * (Option!$D$22 * 0.81 / 100),
         ""占星術師"", EF33 * EJ33 * FL33 * IF(abillity, 1, EG33 * EK33) * (Option!$D$23 * 0.81 / 100),
         ""学者"", EF33 * EL33 * FL33 * IF(abillity, 1, EG33 * EM33) * (Option!$D$24 * 0.81 / 100),
         """&amp;"賢者"", EF33 * EN33 * FL33 * IF(abillity, 1, EG33 * EO33) * (Option!$D$25 * 0.81 / 100),
         1
       )
     )
   )
 ) + EQ33"),0.0)</f>
        <v>0</v>
      </c>
      <c r="FN33" s="206">
        <f t="shared" si="13"/>
        <v>0</v>
      </c>
      <c r="FO33" s="213"/>
    </row>
    <row r="34">
      <c r="B34" s="229"/>
      <c r="C34" s="217">
        <f t="shared" si="1"/>
        <v>0</v>
      </c>
      <c r="D34" s="236"/>
      <c r="E34" s="238"/>
      <c r="F34" s="167"/>
      <c r="G34" s="168" t="str">
        <f t="shared" si="2"/>
        <v/>
      </c>
      <c r="H34" s="169"/>
      <c r="I34" s="169"/>
      <c r="J34" s="169"/>
      <c r="K34" s="170" t="b">
        <v>0</v>
      </c>
      <c r="L34" s="170" t="b">
        <v>0</v>
      </c>
      <c r="M34" s="170" t="b">
        <v>0</v>
      </c>
      <c r="N34" s="171" t="s">
        <v>1070</v>
      </c>
      <c r="O34" s="172" t="b">
        <v>0</v>
      </c>
      <c r="P34" s="173" t="b">
        <v>0</v>
      </c>
      <c r="Q34" s="173" t="b">
        <v>0</v>
      </c>
      <c r="R34" s="173" t="b">
        <v>0</v>
      </c>
      <c r="S34" s="174" t="b">
        <v>0</v>
      </c>
      <c r="T34" s="175" t="b">
        <v>0</v>
      </c>
      <c r="U34" s="173" t="b">
        <v>0</v>
      </c>
      <c r="V34" s="171" t="s">
        <v>1070</v>
      </c>
      <c r="W34" s="172" t="b">
        <v>0</v>
      </c>
      <c r="X34" s="173" t="b">
        <v>0</v>
      </c>
      <c r="Y34" s="173" t="b">
        <v>0</v>
      </c>
      <c r="Z34" s="173" t="b">
        <v>0</v>
      </c>
      <c r="AA34" s="174" t="b">
        <v>0</v>
      </c>
      <c r="AB34" s="174" t="b">
        <v>0</v>
      </c>
      <c r="AC34" s="175" t="b">
        <v>0</v>
      </c>
      <c r="AD34" s="173" t="b">
        <v>0</v>
      </c>
      <c r="AE34" s="176" t="s">
        <v>1070</v>
      </c>
      <c r="AF34" s="171" t="s">
        <v>1070</v>
      </c>
      <c r="AG34" s="177">
        <f>IFERROR(__xludf.DUMMYFUNCTION("IF(
  ISNUMBER(AG33),
  MIN(MAX(
    AG33
    + MAX(
      ROUNDDOWN(($D34 - MAX(IFERROR(FILTER($D$24:$D33, AG$24:AG33 &lt;&gt; AF$6, AG$23:AG32 = AF$6), 0))) * (60 * 60 * 24) / AF$9) - ROUNDDOWN(($D33 - MAX(IFERROR(FILTER($D$23:$D32, AG$23:AG32 &lt;&gt; AF$6, AG$22:"&amp;"AG31 = AF$6), 0))) * (60 * 60 * 24) / 60),
      0
    )
    - COUNTIF(AF34, ""&lt;&gt;-""),
  0), AF$6),
  AF$6 - COUNTIF(AF34, ""&lt;&gt;-"")
)"),2.0)</f>
        <v>2</v>
      </c>
      <c r="AH34" s="173" t="b">
        <v>0</v>
      </c>
      <c r="AI34" s="173" t="b">
        <v>0</v>
      </c>
      <c r="AJ34" s="173" t="b">
        <v>0</v>
      </c>
      <c r="AK34" s="174" t="b">
        <v>0</v>
      </c>
      <c r="AL34" s="175" t="b">
        <v>0</v>
      </c>
      <c r="AM34" s="173" t="b">
        <v>0</v>
      </c>
      <c r="AN34" s="171" t="s">
        <v>1070</v>
      </c>
      <c r="AO34" s="173" t="b">
        <v>0</v>
      </c>
      <c r="AP34" s="173" t="b">
        <v>0</v>
      </c>
      <c r="AQ34" s="173" t="b">
        <v>0</v>
      </c>
      <c r="AR34" s="174" t="b">
        <v>0</v>
      </c>
      <c r="AS34" s="178" t="b">
        <v>0</v>
      </c>
      <c r="AT34" s="179" t="b">
        <v>0</v>
      </c>
      <c r="AU34" s="180" t="b">
        <v>0</v>
      </c>
      <c r="AV34" s="180" t="b">
        <v>0</v>
      </c>
      <c r="AW34" s="180" t="b">
        <v>0</v>
      </c>
      <c r="AX34" s="180" t="b">
        <v>0</v>
      </c>
      <c r="AY34" s="181" t="s">
        <v>1070</v>
      </c>
      <c r="AZ34" s="181" t="s">
        <v>1070</v>
      </c>
      <c r="BA34" s="184">
        <f>IFERROR(__xludf.DUMMYFUNCTION("IF(
  ISNUMBER(BA33),
  MIN(MAX(
    BA33
    + MAX(
      ROUNDDOWN((D34 - MAX(IFERROR(FILTER(D$24:D33, BA$24:BA33 &lt;&gt; AZ$6, BA$23:BA32 = AZ$6), 0))) * (60 * 60 * 24) / AZ$9) - ROUNDDOWN((D33 - MAX(IFERROR(FILTER(D$23:D32, BA$23:BA32 &lt;&gt; AZ$6, BA$22:BA31 ="&amp;" AZ$6), 0))) * (60 * 60 * 24) / AZ$9),
      0
    )
    - COUNTIF(AZ34, ""&lt;&gt;-""),
  0), AZ$6),
  AZ$6 - COUNTIF(AZ34, ""&lt;&gt;-"")
)"),2.0)</f>
        <v>2</v>
      </c>
      <c r="BB34" s="181" t="s">
        <v>1070</v>
      </c>
      <c r="BC34" s="183">
        <f>IFERROR(__xludf.DUMMYFUNCTION("IF(
  ISNUMBER(BC33),
  MIN(MAX(
    BC33
    + MAX(
      ROUNDDOWN(($D34 - MAX(IFERROR(FILTER($D$24:$D33, BC$24:BC33 &lt;&gt; BB$6, BC$23:BC32 = BB$6), 0))) * (60 * 60 * 24) / BB$9) - ROUNDDOWN(($D33 - MAX(IFERROR(FILTER($D$23:$D32, BC$23:BC32 &lt;&gt; BB$6, BC$22:"&amp;"BC31 = BB$6), 0))) * (60 * 60 * 24) / 60),
      0
    )
    - COUNTIF(BB34, ""&lt;&gt;-""),
  0), BB$6),
  BB$6 - COUNTIF(BB34, ""&lt;&gt;-"")
)"),2.0)</f>
        <v>2</v>
      </c>
      <c r="BD34" s="181" t="s">
        <v>1070</v>
      </c>
      <c r="BE34" s="178" t="b">
        <v>0</v>
      </c>
      <c r="BF34" s="180" t="b">
        <v>0</v>
      </c>
      <c r="BG34" s="180" t="b">
        <v>0</v>
      </c>
      <c r="BH34" s="180" t="b">
        <v>0</v>
      </c>
      <c r="BI34" s="180" t="b">
        <v>0</v>
      </c>
      <c r="BJ34" s="180" t="b">
        <v>0</v>
      </c>
      <c r="BK34" s="180" t="b">
        <v>0</v>
      </c>
      <c r="BL34" s="180" t="b">
        <v>0</v>
      </c>
      <c r="BM34" s="180" t="b">
        <v>0</v>
      </c>
      <c r="BN34" s="180" t="b">
        <v>0</v>
      </c>
      <c r="BO34" s="181" t="s">
        <v>1070</v>
      </c>
      <c r="BP34" s="181" t="s">
        <v>1070</v>
      </c>
      <c r="BQ34" s="181" t="s">
        <v>1070</v>
      </c>
      <c r="BR34" s="181" t="s">
        <v>1070</v>
      </c>
      <c r="BS34" s="181" t="s">
        <v>1070</v>
      </c>
      <c r="BT34" s="184">
        <f>IFERROR(__xludf.DUMMYFUNCTION("IF(
  ISNUMBER(BT33),
  MIN(MAX(
    BT33
    + MAX(
      ROUNDDOWN((D34 - MAX(IFERROR(FILTER(D$24:D33, BT$24:BT33 &lt;&gt; BS$6, BT$23:BT32 = BS$6), 0))) * (60 * 60 * 24) / BS$9) - ROUNDDOWN((D33 - MAX(IFERROR(FILTER(D$23:D32, BT$23:BT32 &lt;&gt; BS$6, BT$22:BT31 ="&amp;" BS$6), 0))) * (60 * 60 * 24) / BS$9),
      0
    )
    - COUNTIF(BS34, ""&lt;&gt;-""),
  0), BS$6),
  BS$6 - COUNTIF(BS34, ""&lt;&gt;-"")
)"),3.0)</f>
        <v>3</v>
      </c>
      <c r="BU34" s="181" t="s">
        <v>1070</v>
      </c>
      <c r="BV34" s="181" t="s">
        <v>1070</v>
      </c>
      <c r="BW34" s="184">
        <f>IFERROR(__xludf.DUMMYFUNCTION("IF(
  ISNUMBER(BW33),
  MIN(MAX(
    BW33
    + MAX(
      ROUNDDOWN((D34 - MAX(IFERROR(FILTER(D$24:D33, BW$24:BW33 &lt;&gt; BV$6, BW$23:BW32 = BV$6), 0))) * (60 * 60 * 24) / BV$9) - ROUNDDOWN((D33 - MAX(IFERROR(FILTER(D$23:D32, BW$23:BW32 &lt;&gt; BV$6, BW$22:BW31 ="&amp;" BV$6), 0))) * (60 * 60 * 24) / BV$9),
      0
    )
    - COUNTIF(BV34, ""&lt;&gt;-""),
  0), BV$6),
  BV$6 - COUNTIF(BV34, ""&lt;&gt;-"")
)"),2.0)</f>
        <v>2</v>
      </c>
      <c r="BX34" s="185" t="s">
        <v>1070</v>
      </c>
      <c r="BY34" s="178" t="b">
        <v>0</v>
      </c>
      <c r="BZ34" s="180" t="b">
        <v>0</v>
      </c>
      <c r="CA34" s="180" t="b">
        <v>0</v>
      </c>
      <c r="CB34" s="180" t="b">
        <v>0</v>
      </c>
      <c r="CC34" s="180" t="b">
        <v>0</v>
      </c>
      <c r="CD34" s="180" t="b">
        <v>0</v>
      </c>
      <c r="CE34" s="180" t="b">
        <v>0</v>
      </c>
      <c r="CF34" s="180" t="b">
        <v>0</v>
      </c>
      <c r="CG34" s="180" t="b">
        <v>0</v>
      </c>
      <c r="CH34" s="180" t="b">
        <v>0</v>
      </c>
      <c r="CI34" s="180" t="b">
        <v>0</v>
      </c>
      <c r="CJ34" s="180" t="b">
        <v>0</v>
      </c>
      <c r="CK34" s="180" t="b">
        <v>0</v>
      </c>
      <c r="CL34" s="180" t="b">
        <v>0</v>
      </c>
      <c r="CM34" s="181" t="s">
        <v>1070</v>
      </c>
      <c r="CN34" s="181" t="s">
        <v>1070</v>
      </c>
      <c r="CO34" s="181" t="s">
        <v>1070</v>
      </c>
      <c r="CP34" s="181" t="s">
        <v>1070</v>
      </c>
      <c r="CQ34" s="185" t="s">
        <v>1070</v>
      </c>
      <c r="CR34" s="180" t="b">
        <v>0</v>
      </c>
      <c r="CS34" s="186" t="str">
        <f t="shared" si="14"/>
        <v>◇◇◇</v>
      </c>
      <c r="CT34" s="178" t="b">
        <v>0</v>
      </c>
      <c r="CU34" s="180" t="b">
        <v>0</v>
      </c>
      <c r="CV34" s="180" t="b">
        <v>0</v>
      </c>
      <c r="CW34" s="180" t="b">
        <v>0</v>
      </c>
      <c r="CX34" s="180" t="b">
        <v>0</v>
      </c>
      <c r="CY34" s="180" t="b">
        <v>0</v>
      </c>
      <c r="CZ34" s="180" t="b">
        <v>0</v>
      </c>
      <c r="DA34" s="180" t="b">
        <v>0</v>
      </c>
      <c r="DB34" s="180" t="b">
        <v>0</v>
      </c>
      <c r="DC34" s="180" t="b">
        <v>0</v>
      </c>
      <c r="DD34" s="181" t="s">
        <v>1070</v>
      </c>
      <c r="DE34" s="181" t="s">
        <v>1070</v>
      </c>
      <c r="DF34" s="181" t="s">
        <v>1070</v>
      </c>
      <c r="DG34" s="185" t="s">
        <v>1070</v>
      </c>
      <c r="DH34" s="180" t="b">
        <v>0</v>
      </c>
      <c r="DI34" s="187" t="str">
        <f>IFERROR(__xludf.DUMMYFUNCTION("SWITCH(
  IF(
    ISTEXT(DI33),
    IF (
      FIND(""○"", DI33&amp;""○"") &gt; 3,
      3,
      FIND(""○"", DI33&amp;""○"")
      + MAX(
        ROUNDDOWN(($D34 - MAX(IFERROR(FILTER(D$24:D33, DI$24:DI33 &lt;&gt; ""●●●"", DI$23:DI32 = ""●●●""), 0))) * (60 * 60 * 24) / 20"&amp;") - ROUNDDOWN(($D33 - MAX(IFERROR(FILTER(D$23:D32, DI$23:DI32 &lt;&gt; ""●●●"", DI$22:DI31 = ""●●●""), 0))) * (60 * 60 * 24) / 20),
        0
      ) - 1
    ) - COUNTIFS(CU34, ""=TRUE"", CU33, ""&lt;&gt;TRUE"") - COUNTIF(CZ34, ""=TRUE"") - COUNTIF({DD34,DE34}, ""&lt;&gt;-"&amp;""") + COUNTIF(DH34, ""=TRUE""),
    3
  ),
  0, ""○○○"", 1, ""●○○"", 2, ""●●○"", 3, ""●●●"", 4, ""●●●"", ""○○○""
)"),"●●●")</f>
        <v>●●●</v>
      </c>
      <c r="DJ34" s="188" t="b">
        <v>0</v>
      </c>
      <c r="DK34" s="189" t="b">
        <v>0</v>
      </c>
      <c r="DL34" s="190" t="b">
        <v>0</v>
      </c>
      <c r="DM34" s="190" t="b">
        <v>0</v>
      </c>
      <c r="DN34" s="190" t="b">
        <v>0</v>
      </c>
      <c r="DO34" s="190" t="b">
        <v>0</v>
      </c>
      <c r="DP34" s="190" t="b">
        <v>0</v>
      </c>
      <c r="DQ34" s="191" t="b">
        <v>0</v>
      </c>
      <c r="DR34" s="192" t="b">
        <v>0</v>
      </c>
      <c r="DS34" s="191" t="b">
        <v>0</v>
      </c>
      <c r="DT34" s="192" t="b">
        <v>0</v>
      </c>
      <c r="DU34" s="191" t="b">
        <v>0</v>
      </c>
      <c r="DV34" s="193" t="s">
        <v>1070</v>
      </c>
      <c r="DW34" s="194" t="b">
        <v>0</v>
      </c>
      <c r="DX34" s="194" t="b">
        <v>0</v>
      </c>
      <c r="DY34" s="195" t="b">
        <v>0</v>
      </c>
      <c r="DZ34" s="196" t="b">
        <v>0</v>
      </c>
      <c r="EA34" s="195" t="b">
        <v>0</v>
      </c>
      <c r="EB34" s="197" t="b">
        <v>0</v>
      </c>
      <c r="EC34" s="197" t="b">
        <v>0</v>
      </c>
      <c r="ED34" s="212" t="b">
        <v>0</v>
      </c>
      <c r="EE34" s="199">
        <f>IFERROR(__xludf.DUMMYFUNCTION("IFERROR(
   PRODUCT(
     MAP(
       INDEX(TRANSPOSE(UNIQUE(TRANSPOSE(FILTER({IF($F34=""Physical"", K$10:ED$10, IF($F34=""Magic"", K$11:ED$11, K$12:ED$12));K$4:ED$4;K34:ED34}, K34:ED34=TRUE)))), 1, 0),
       INDEX(TRANSPOSE(UNIQUE(TRANSPOSE(FILTER({IF($"&amp;"F34=""Physical"", K$18:ED$18, IF($F34=""Magic"", K$19:ED$19, K$20:ED$20));K$4:ED$4;K34:ED34}, K34:ED34=TRUE)))), 1, 0),
       INDEX(TRANSPOSE(UNIQUE(TRANSPOSE(FILTER({K$5:ED$5;K$4:ED$4;K34:ED34}, K34:ED34=TRUE)))), 1, 0),
       INDEX(TRANSPOSE(UNIQUE(TR"&amp;"ANSPOSE(FILTER({K$17:ED$17;K$4:ED$4;K34:ED34}, K34:ED34=TRUE)))), 1, 0),
       LAMBDA(
         mitigation,
         enhance,
         assign,
         precondition,
         IF(
           REGEXMATCH(assign, ""RANGE_PARTY|SINGLE_ENEMY|RANGE_ENEMY""),
  "&amp;"         IF(
             OR(ARRAYFORMULA((IF(precondition="""", FALSE, REGEXMATCH(K$4:ED$4, precondition))) * (K34:ED34=TRUE))),
             IF(ISNUMBER(enhance), enhance, 1),
             IF(ISNUMBER(mitigation), mitigation, 1)
           ),
          "&amp;" 1
         )
       )
     )
   ),
   1
 )"),1.0)</f>
        <v>1</v>
      </c>
      <c r="EF34" s="200">
        <f>IFERROR(__xludf.DUMMYFUNCTION("PRODUCT(
   MAP(
     K$14:ED$14,
     K$13:ED$13,
     K34:ED34,
     LAMBDA(
       buff,
       target,
       check,
       IF(
         AND(check=TRUE, REGEXMATCH(target, ""RANGE_AFFECTED_ALL|RANGE_EFFECTED_ALL""), ISNUMBER(buff)),
         buff,
   "&amp;"      1
       )
     )
   )
 )"),1.0)</f>
        <v>1</v>
      </c>
      <c r="EG34" s="200">
        <f>IFERROR(__xludf.DUMMYFUNCTION("PRODUCT(
   MAP(
     K$14:ED$14,
     K$13:ED$13,
     K34:ED34,
     LAMBDA(
       buff,
       target,
       check,
       IF(
         AND(check=TRUE, REGEXMATCH(target, ""RANGE_AFFECTED_GCD|RANGE_EFFECTED_GCD""), ISNUMBER(buff)),
         buff,
   "&amp;"      1
       )
     )
   )
 )"),1.0)</f>
        <v>1</v>
      </c>
      <c r="EH34" s="200">
        <f>IFERROR(__xludf.DUMMYFUNCTION("PRODUCT(
   MAP(
     K$3:ED$3,
     K$14:ED$14,
     K$13:ED$13,
     K34:ED34,
     LAMBDA(
       job,
       buff,
       target,
       check,
       IF(
         AND(check=TRUE, REGEXMATCH(target, ""SELF_EFFECTED_ALL""), ISNUMBER(buff), job=""白魔道士"""&amp;"),
         buff,
         1
       )
     )
   )
 )"),1.0)</f>
        <v>1</v>
      </c>
      <c r="EI34" s="200">
        <f>IFERROR(__xludf.DUMMYFUNCTION("PRODUCT(
   MAP(
     K$3:ED$3,
     K$14:ED$14,
     K$13:ED$13,
     K34:ED34,
     LAMBDA(
       job,
       buff,
       target,
       check,
       IF(
         AND(check=TRUE, REGEXMATCH(target, ""SELF_EFFECTED_GCD""), ISNUMBER(buff), job=""白魔道士"""&amp;"),
         buff,
         1
       )
     )
   )
 )"),1.0)</f>
        <v>1</v>
      </c>
      <c r="EJ34" s="200">
        <f>IFERROR(__xludf.DUMMYFUNCTION("PRODUCT(
   MAP(
     K$3:ED$3,
     K$14:ED$14,
     K$13:ED$13,
     K34:ED34,
     LAMBDA(
       job,
       buff,
       target,
       check,
       IF(
         AND(check=TRUE, REGEXMATCH(target, ""SELF_EFFECTED_ALL""), ISNUMBER(buff), job=""占星術師"""&amp;"),
         buff,
         1
       )
     )
   )
 )"),1.0)</f>
        <v>1</v>
      </c>
      <c r="EK34" s="200">
        <f>IFERROR(__xludf.DUMMYFUNCTION("PRODUCT(
   MAP(
     K$3:ED$3,
     K$14:ED$14,
     K$13:ED$13,
     K34:ED34,
     LAMBDA(
       job,
       buff,
       target,
       check,
       IF(
         AND(check=TRUE, REGEXMATCH(target, ""SELF_EFFECTED_GCD""), ISNUMBER(buff), job=""占星術師"""&amp;"),
         buff,
         1
       )
     )
   )
 )"),1.0)</f>
        <v>1</v>
      </c>
      <c r="EL34" s="200">
        <f>IFERROR(__xludf.DUMMYFUNCTION("PRODUCT(
   MAP(
     K$3:ED$3,
     K$14:ED$14,
     K$13:ED$13,
     K34:ED34,
     LAMBDA(
       job,
       buff,
       target,
       check,
       IF(
         AND(check=TRUE, REGEXMATCH(target, ""SELF_EFFECTED_ALL""), ISNUMBER(buff), job=""学者""),"&amp;"
         buff,
         1
       )
     )
   )
 )"),1.0)</f>
        <v>1</v>
      </c>
      <c r="EM34" s="200">
        <f>IFERROR(__xludf.DUMMYFUNCTION("PRODUCT(
   MAP(
     K$3:ED$3,
     K$14:ED$14,
     K$13:ED$13,
     K34:ED34,
     LAMBDA(
       job,
       buff,
       target,
       check,
       IF(
         AND(check=TRUE, REGEXMATCH(target, ""SELF_EFFECTED_GCD""), ISNUMBER(buff), job=""学者""),"&amp;"
         buff,
         1
       )
     )
   )
 )"),1.0)</f>
        <v>1</v>
      </c>
      <c r="EN34" s="200">
        <f>IFERROR(__xludf.DUMMYFUNCTION("PRODUCT(
   MAP(
     K$3:ED$3,
     K$14:ED$14,
     K$13:ED$13,
     K34:ED34,
     LAMBDA(
       job,
       buff,
       target,
       check,
       IF(
         AND(check=TRUE, REGEXMATCH(target, ""SELF_EFFECTED_ALL""), ISNUMBER(buff), job=""賢者""),"&amp;"
         buff,
         1
       )
     )
   )
 )"),1.0)</f>
        <v>1</v>
      </c>
      <c r="EO34" s="200">
        <f>IFERROR(__xludf.DUMMYFUNCTION("PRODUCT(
   MAP(
     K$3:ED$3,
     K$14:ED$14,
     K$13:ED$13,
     K34:ED34,
     LAMBDA(
       job,
       buff,
       target,
       check,
       IF(
         AND(check=TRUE, REGEXMATCH(target, ""SELF_EFFECTED_GCD""), ISNUMBER(buff), job=""賢者""),"&amp;"
         buff,
         1
       )
     )
   )
 )"),1.0)</f>
        <v>1</v>
      </c>
      <c r="EP34" s="201">
        <f t="shared" si="3"/>
        <v>0</v>
      </c>
      <c r="EQ34" s="201">
        <f>IFERROR(__xludf.DUMMYFUNCTION("SUM(
   MAP(
     K$4:ED$4,
     K$3:ED$3,
     K$7:ED$7,
     K$15:ED$15,
     K$16:ED$16,
     K$21:ED$21,
     K$5:ED$5,
     K$17:ED$17,
     K34:ED34,
     LAMBDA(
       name,
       job,
       abillity,
       buff,
       barrier,
       enhance,"&amp;"
       assign,
       precondition,
       check,
       SWITCH(
         name,
         ""シェイクオフ"", IF(check=TRUE, buff + (0.02 * COUNTIF(ARRAYFORMULA((REGEXMATCH($K$4:$ED$4, ""スリル・オブ・バトル|ヴェンジェンス|原初の血気|ダムネーション"")) * (K34:ED34=TRUE)), 1)), 0),
         "&amp;"""インプロビゼーションフィニッシュ(踊りの激情0)"", IF(ISNUMBER(check), INDEX(Skill!$AJ:$AJ, MATCH(SUBSTITUTE(DV$4, 0, check), Skill!$C:$C, 0)), 0),
         IF(
           AND(check=TRUE, REGEXMATCH(assign, ""RANGE_PARTY"")),
           IF(
             OR(ARRAYFORMULA((IF(pr"&amp;"econdition="""", FALSE, REGEXMATCH($K$4:$ED$4, precondition))) * (K34:ED34=TRUE))),
             enhance,
             IF(barrier="""", buff, barrier)
           ),
           0
         )
       ) *
       SWITCH(
         job,
         ""ナイト"", EY$24,
 "&amp;"        ""戦士"", FD$24,
         ""踊り子"", ET$24,
         ""ピクトマンサー"", ET$24,
         ""白魔道士"", EF34 * EH34 * IF(abillity, 1, EG34 * EI34) * (Option!$D$22 * 0.81 / 100),
         ""占星術師"", EF34 * EJ34 * IF(abillity, 1, EG34 * EK34) * (Option!$D$23 * 0.81 "&amp;"/ 100),
         ""学者"", EF34 * EL34 * IF(abillity, 1, EG34 * EM34) * (Option!$D$24 * 0.81 / 100),
         ""賢者"", EF34 * EN34 * IF(abillity, 1, EG34 * EO34) * (Option!$D$25 * 0.81 / 100),
         1
       )
     )
   )
 )"),0.0)</f>
        <v>0</v>
      </c>
      <c r="ER34" s="202">
        <f t="shared" si="4"/>
        <v>0</v>
      </c>
      <c r="ES34" s="203">
        <f t="shared" si="5"/>
        <v>0</v>
      </c>
      <c r="ET34" s="231" t="str">
        <f>IFERROR(__xludf.DUMMYFUNCTION("IFS(
  EP34 &gt; $ET$24 + EQ34,
  SPARKLINE({ 1, 0 }, {""charttype"",""bar"";""max"", 1;""color1"",Option!$D$30;""color2"",Option!$D$30}),
  EP34 &lt; EQ34,
  SPARKLINE({EQ34 - EP34, $ET$24 - (EQ34 - EP34)}, {""charttype"",""bar"";""max"",$ET$24;""color1"",Opti"&amp;"on!$D$28;""color2"",Option!$D$29}),
  EP34 &gt;= EQ34,
  SPARKLINE({$ET$24 + EQ34 - EP34,EP34 - EQ34}, {""charttype"",""bar"";""max"",$ET$24;""color1"",Option!$D$29;""color2"",Option!$D$30})
)"),"")</f>
        <v/>
      </c>
      <c r="EU34" s="205">
        <f>IFERROR(__xludf.DUMMYFUNCTION("PRODUCT(
   MAP(
     IF($F34=""Physical"", K$10:ED$10, IF($F34=""Magic"", K$11:ED$11, K$12:ED$12)),
     IF($F34=""Physical"", K$18:ED$18, IF($F34=""Magic"", K$19:ED$19, K$20:ED$20)),
     K$3:ED$3,
     K$5:ED$5,
     K$17:ED$17,
     K34:ED34,
     LAM"&amp;"BDA(
       mitigation,
       enhance,
       job,
       assign,
       precondition,
       check,
       IF(
         OR(AND(check=TRUE, REGEXMATCH(assign, ""SELF""), job=""ナイト""), AND(check=Option!$E$13, REGEXMATCH(assign, ""SINGLE_PARTY""))),
      "&amp;"   IF(
           OR(ARRAYFORMULA((IF(precondition="""", FALSE, REGEXMATCH($K$4:$ED$4, precondition))) * (K34:ED34=TRUE))),
           enhance,
           mitigation
         ),
         1
       )
     )
   )
 ) * EE34"),1.0)</f>
        <v>1</v>
      </c>
      <c r="EV34" s="206">
        <f t="shared" si="6"/>
        <v>0</v>
      </c>
      <c r="EW34" s="205">
        <f>IFERROR(__xludf.DUMMYFUNCTION("PRODUCT(
   MAP(
     K$3:ED$3,
     K$14:ED$14,
     K$13:ED$13,
     K34:ED34,
     LAMBDA(
       job,
       buff,
       target,
       check,
       IF(
         OR(AND(check=TRUE, REGEXMATCH(target, ""SELF_AFFECTED_ALL""), job=""ナイト""), AND(check=O"&amp;"ption!$E$13, REGEXMATCH(target, ""SINGLE_AFFECTED_ALL""))),
         buff,
         1
       )
     )
   )
 )"),1.0)</f>
        <v>1</v>
      </c>
      <c r="EX34" s="206">
        <f>IFERROR(__xludf.DUMMYFUNCTION("SUM(
   MAP(
     K$3:ED$3,
     K$7:ED$7,
     K$15:ED$15,
     K$16:ED$16,
     K$21:ED$21,
     K$5:ED$5,
     K$17:ED$17,
     K34:ED34,
     LAMBDA(
       job,
       abillity,
       buff,
       barrier,
       enhance,
       assign,
       preco"&amp;"ndition,
       check,
       IF(
         OR(AND(check=TRUE, REGEXMATCH(assign, ""SELF""), job=""ナイト""), AND(check=Option!$E$13, REGEXMATCH(assign, ""SINGLE_PARTY""))),
         IF(
           OR(ARRAYFORMULA((IF(precondition="""", FALSE, REGEXMATCH($K$4"&amp;":$ED$4, precondition))) * (K34:ED34=TRUE))),
           enhance,
           IF(barrier="""", buff, barrier)
         ),
         0
       ) *
       SWITCH(
         job,
         ""暗黒騎士"", EY$24,
         ""白魔道士"", EF34 * EH34 * EW34 * IF(abillity, 1, EG"&amp;"34 * EI34) * (Option!$D$22 * 0.81 / 100),
         ""占星術師"", EF34 * EJ34 * EW34 * IF(abillity, 1, EG34 * EK34) * (Option!$D$23 * 0.81 / 100),
         ""学者"", EF34 * EL34 * EW34 * IF(abillity, 1, EG34 * EM34) * (Option!$D$24 * 0.81 / 100),
         ""賢者"""&amp;", EF34 * EN34 * EW34 * IF(abillity, 1, EG34 * EO34) * (Option!$D$25 * 0.81 / 100),
         1
       )
     )
   )
 ) + EQ34"),0.0)</f>
        <v>0</v>
      </c>
      <c r="EY34" s="232">
        <f t="shared" si="7"/>
        <v>0</v>
      </c>
      <c r="EZ34" s="205">
        <f>IFERROR(__xludf.DUMMYFUNCTION("PRODUCT(
   MAP(
     IF($F34=""Physical"", K$10:ED$10, IF($F34=""Magic"", K$11:ED$11, K$12:ED$12)),
     IF($F34=""Physical"", K$18:ED$18, IF($F34=""Magic"", K$19:ED$19, K$20:ED$20)),
     K$3:ED$3,
     K$5:ED$5,
     K$17:ED$17,
     K34:ED34,
     LAM"&amp;"BDA(
       mitigation,
       enhance,
       job,
       assign,
       precondition,
       check,
       IF(
         OR(AND(check=TRUE, REGEXMATCH(assign, ""SELF""), job=""戦士""), AND(check=Option!$F$13, REGEXMATCH(assign, ""SINGLE_PARTY""))),
       "&amp;"  IF(
           OR(ARRAYFORMULA((IF(precondition="""", FALSE, REGEXMATCH($K$4:$ED$4, precondition))) * (K34:ED34=TRUE))),
           enhance,
           mitigation
         ),
         1
       )
     )
   )
 ) * EE34"),1.0)</f>
        <v>1</v>
      </c>
      <c r="FA34" s="206">
        <f t="shared" si="8"/>
        <v>0</v>
      </c>
      <c r="FB34" s="205">
        <f>IFERROR(__xludf.DUMMYFUNCTION("PRODUCT(
   MAP(
     K$3:ED$3,
     K$14:ED$14,
     K$13:ED$13,
     K34:ED34,
     LAMBDA(
       job,
       buff,
       target,
       check,
       IF(
         OR(AND(check=TRUE, REGEXMATCH(target, ""SELF_AFFECTED_ALL""), job=""戦士""), AND(check=Op"&amp;"tion!$F$13, REGEXMATCH(target, ""SINGLE_AFFECTED_ALL""))),
         buff,
         1
       )
     )
   )
 )"),1.0)</f>
        <v>1</v>
      </c>
      <c r="FC34" s="206">
        <f>IFERROR(__xludf.DUMMYFUNCTION("SUM(
   MAP(
     K$3:ED$3,
     K$7:ED$7,
     K$15:ED$15,
     K$16:ED$16,
     K$21:ED$21,
     K$5:ED$5,
     K$17:ED$17,
     K34:ED34,
     LAMBDA(
       job,
       abillity,
       buff,
       barrier,
       enhance,
       assign,
       preco"&amp;"ndition,
       check,
       IF(
         OR(AND(check=TRUE, REGEXMATCH(assign, ""SELF""), job=""戦士""), AND(check=Option!$F$13, REGEXMATCH(assign, ""SINGLE_PARTY""))),
         IF(
           OR(ARRAYFORMULA((IF(precondition="""", FALSE, REGEXMATCH($K$4:"&amp;"$ED$4, precondition))) * (K34:ED34=TRUE))),
           enhance,
           IF(barrier="""", buff, barrier)
         ),
         0
       ) *
       SWITCH(
         job,
         ""暗黒騎士"", FD$24,
         ""白魔道士"", EF34 * EH34 * FB34 * IF(abillity, 1, EG3"&amp;"4 * EI34) * (Option!$D$22 * 0.81 / 100),
         ""占星術師"", EF34 * EJ34 * FFB34 * IF(abillity, 1, EG34 * EK34) * (Option!$D$23 * 0.81 / 100),
         ""学者"", EF34 * EL34 * FB34 * IF(abillity, 1, EG34 * EM34) * (Option!$D$24 * 0.81 / 100),
         ""賢者"""&amp;", EF34 * EN34 * FB34 * IF(abillity, 1, EG34 * EO34) * (Option!$D$25 * 0.81 / 100),
         1
       )
     )
   )
 ) + EQ34"),0.0)</f>
        <v>0</v>
      </c>
      <c r="FD34" s="206">
        <f t="shared" si="9"/>
        <v>0</v>
      </c>
      <c r="FE34" s="205">
        <f>IFERROR(__xludf.DUMMYFUNCTION("PRODUCT(
   MAP(
     IF($F34=""Physical"", K$10:ED$10, IF($F34=""Magic"", K$11:ED$11, K$12:ED$12)),
     IF($F34=""Physical"", K$18:ED$18, IF($F34=""Magic"", K$19:ED$19, K$20:ED$20)),
     K$3:ED$3,
     K$5:ED$5,
     K$17:ED$17,
     K34:ED34,
     LAM"&amp;"BDA(
       mitigation,
       enhance,
       job,
       assign,
       precondition,
       check,
       IF(
         OR(AND(check=TRUE, REGEXMATCH(assign, ""SELF""), job=""暗黒騎士""), AND(check=Option!$G$13, REGEXMATCH(assign, ""SINGLE_PARTY""))),
     "&amp;"    IF(
           OR(ARRAYFORMULA((IF(precondition="""", FALSE, REGEXMATCH($K$4:$ED$4, precondition))) * (K34:ED34=TRUE))),
           enhance,
           mitigation
         ),
         1
       )
     )
   )
 ) * EE34"),1.0)</f>
        <v>1</v>
      </c>
      <c r="FF34" s="206">
        <f t="shared" si="10"/>
        <v>0</v>
      </c>
      <c r="FG34" s="205">
        <f>IFERROR(__xludf.DUMMYFUNCTION("PRODUCT(
   MAP(
     K$3:ED$3,
     K$14:ED$14,
     K$13:ED$13,
     K34:ED34,
     LAMBDA(
       job,
       buff,
       target,
       check,
       IF(
         OR(AND(check=TRUE, REGEXMATCH(target, ""SELF_AFFECTED_ALL""), job=""暗黒騎士""), AND(check="&amp;"Option!$G$13, REGEXMATCH(target, ""SINGLE_AFFECTED_ALL""))),
         buff,
         1
       )
     )
   )
 )"),1.0)</f>
        <v>1</v>
      </c>
      <c r="FH34" s="206">
        <f>IFERROR(__xludf.DUMMYFUNCTION("SUM(
   MAP(
     K$3:ED$3,
     K$7:ED$7,
     K$15:ED$15,
     K$16:ED$16,
     K$21:ED$21,
     K$5:ED$5,
     K$17:ED$17,
     K34:ED34,
     LAMBDA(
       job,
       abillity,
       buff,
       barrier,
       enhance,
       assign,
       preco"&amp;"ndition,
       check,
       IF(
         OR(AND(check=TRUE, REGEXMATCH(assign, ""SELF""), job=""暗黒騎士""), AND(check=Option!$G$13, REGEXMATCH(assign, ""SINGLE_PARTY""))),
         IF(
           OR(ARRAYFORMULA((IF(precondition="""", FALSE, REGEXMATCH($K$"&amp;"4:$ED$4, precondition))) * (K34:ED34=TRUE))),
           enhance,
           IF(barrier="""", buff, barrier)
         ),
         0
       ) *
       SWITCH(
         job,
         ""暗黒騎士"", FI$24,
         ""白魔道士"", EF34 * EH34 * FG34 * IF(abillity, 1, E"&amp;"G34 * EI34) * (Option!$D$22 * 0.81 / 100),
         ""占星術師"", EF34 * EJ34 * FG34 * IF(abillity, 1, EG34 * EK34) * (Option!$D$23 * 0.81 / 100),
         ""学者"", EF34 * EL34 * FG34 * IF(abillity, 1, EG34 * EM34) * (Option!$D$24 * 0.81 / 100),
         ""賢者"&amp;""", EF34 * EN34 * FG34 * IF(abillity, 1, EG34 * EO34) * (Option!$D$25 * 0.81 / 100),
         1
       )
     )
   )
 ) + EQ34"),0.0)</f>
        <v>0</v>
      </c>
      <c r="FI34" s="206">
        <f t="shared" si="11"/>
        <v>0</v>
      </c>
      <c r="FJ34" s="205">
        <f>IFERROR(__xludf.DUMMYFUNCTION("PRODUCT(
   MAP(
     IF($F34=""Physical"", K$10:ED$10, IF($F34=""Magic"", K$11:ED$11, K$12:ED$12)),
     IF($F34=""Physical"", K$18:ED$18, IF($F34=""Magic"", K$19:ED$19, K$20:ED$20)),
     K$3:ED$3,
     K$5:ED$5,
     K$17:ED$17,
     K34:ED34,
     LAM"&amp;"BDA(
       mitigation,
       enhance,
       job,
       assign,
       precondition,
       check,
       IF(
         OR(AND(check=TRUE, REGEXMATCH(assign, ""SELF""), job=""ガンブレイカー""), AND(check=Option!$H$13, REGEXMATCH(assign, ""SINGLE_PARTY""))),
  "&amp;"       IF(
           OR(ARRAYFORMULA((IF(precondition="""", FALSE, REGEXMATCH($K$4:$ED$4, precondition))) * (K34:ED34=TRUE))),
           enhance,
           mitigation
         ),
         1
       )
     )
   )
 ) * EE34"),1.0)</f>
        <v>1</v>
      </c>
      <c r="FK34" s="206">
        <f t="shared" si="12"/>
        <v>0</v>
      </c>
      <c r="FL34" s="205">
        <f>IFERROR(__xludf.DUMMYFUNCTION("PRODUCT(
   MAP(
     K$3:ED$3,
     K$14:ED$14,
     K$13:ED$13,
     K34:ED34,
     LAMBDA(
       job,
       buff,
       target,
       check,
       IF(
         OR(AND(check=TRUE, REGEXMATCH(target, ""SELF_AFFECTED_ALL""), job=""ガンブレイカー""), AND(che"&amp;"ck=Option!$H$13, REGEXMATCH(target, ""SINGLE_AFFECTED_ALL""))),
         buff,
         1
       )
     )
   )
 )"),1.0)</f>
        <v>1</v>
      </c>
      <c r="FM34" s="206">
        <f>IFERROR(__xludf.DUMMYFUNCTION("SUM(
   MAP(
     K$3:ED$3,
     K$7:ED$7,
     K$15:ED$15,
     K$16:ED$16,
     K$21:ED$21,
     K$5:ED$5,
     K$17:ED$17,
     K34:ED34,
     LAMBDA(
       job,
       abillity,
       buff,
       barrier,
       enhance,
       assign,
       preco"&amp;"ndition,
       check,
       IF(
         OR(AND(check=TRUE, REGEXMATCH(assign, ""SELF""), job=""ガンブレイカー""), AND(check=Option!$H$13, REGEXMATCH(assign, ""SINGLE_PARTY""))),
         IF(
           OR(ARRAYFORMULA((IF(precondition="""", FALSE, REGEXMATCH("&amp;"$K$4:$ED$4, precondition))) * (K34:ED34=TRUE))),
           enhance,
           IF(barrier="""", buff, barrier)
         ),
         0
       ) *
       SWITCH(
         job,
         ""暗黒騎士"", FN$24,
         ""白魔道士"", EF34 * EH34 * FL34 * IF(abillity, 1"&amp;", EG34 * EI34) * (Option!$D$22 * 0.81 / 100),
         ""占星術師"", EF34 * EJ34 * FL34 * IF(abillity, 1, EG34 * EK34) * (Option!$D$23 * 0.81 / 100),
         ""学者"", EF34 * EL34 * FL34 * IF(abillity, 1, EG34 * EM34) * (Option!$D$24 * 0.81 / 100),
         """&amp;"賢者"", EF34 * EN34 * FL34 * IF(abillity, 1, EG34 * EO34) * (Option!$D$25 * 0.81 / 100),
         1
       )
     )
   )
 ) + EQ34"),0.0)</f>
        <v>0</v>
      </c>
      <c r="FN34" s="206">
        <f t="shared" si="13"/>
        <v>0</v>
      </c>
      <c r="FO34" s="213"/>
    </row>
    <row r="35">
      <c r="B35" s="229"/>
      <c r="C35" s="217">
        <f t="shared" si="1"/>
        <v>0</v>
      </c>
      <c r="D35" s="236"/>
      <c r="E35" s="238"/>
      <c r="F35" s="167"/>
      <c r="G35" s="168" t="str">
        <f t="shared" si="2"/>
        <v/>
      </c>
      <c r="H35" s="169"/>
      <c r="I35" s="169"/>
      <c r="J35" s="169"/>
      <c r="K35" s="170" t="b">
        <v>0</v>
      </c>
      <c r="L35" s="170" t="b">
        <v>0</v>
      </c>
      <c r="M35" s="170" t="b">
        <v>0</v>
      </c>
      <c r="N35" s="171" t="s">
        <v>1070</v>
      </c>
      <c r="O35" s="172" t="b">
        <v>0</v>
      </c>
      <c r="P35" s="173" t="b">
        <v>0</v>
      </c>
      <c r="Q35" s="173" t="b">
        <v>0</v>
      </c>
      <c r="R35" s="173" t="b">
        <v>0</v>
      </c>
      <c r="S35" s="174" t="b">
        <v>0</v>
      </c>
      <c r="T35" s="175" t="b">
        <v>0</v>
      </c>
      <c r="U35" s="173" t="b">
        <v>0</v>
      </c>
      <c r="V35" s="171" t="s">
        <v>1070</v>
      </c>
      <c r="W35" s="172" t="b">
        <v>0</v>
      </c>
      <c r="X35" s="173" t="b">
        <v>0</v>
      </c>
      <c r="Y35" s="173" t="b">
        <v>0</v>
      </c>
      <c r="Z35" s="173" t="b">
        <v>0</v>
      </c>
      <c r="AA35" s="174" t="b">
        <v>0</v>
      </c>
      <c r="AB35" s="174" t="b">
        <v>0</v>
      </c>
      <c r="AC35" s="175" t="b">
        <v>0</v>
      </c>
      <c r="AD35" s="173" t="b">
        <v>0</v>
      </c>
      <c r="AE35" s="176" t="s">
        <v>1070</v>
      </c>
      <c r="AF35" s="171" t="s">
        <v>1070</v>
      </c>
      <c r="AG35" s="177">
        <f>IFERROR(__xludf.DUMMYFUNCTION("IF(
  ISNUMBER(AG34),
  MIN(MAX(
    AG34
    + MAX(
      ROUNDDOWN(($D35 - MAX(IFERROR(FILTER($D$24:$D34, AG$24:AG34 &lt;&gt; AF$6, AG$23:AG33 = AF$6), 0))) * (60 * 60 * 24) / AF$9) - ROUNDDOWN(($D34 - MAX(IFERROR(FILTER($D$23:$D33, AG$23:AG33 &lt;&gt; AF$6, AG$22:"&amp;"AG32 = AF$6), 0))) * (60 * 60 * 24) / 60),
      0
    )
    - COUNTIF(AF35, ""&lt;&gt;-""),
  0), AF$6),
  AF$6 - COUNTIF(AF35, ""&lt;&gt;-"")
)"),2.0)</f>
        <v>2</v>
      </c>
      <c r="AH35" s="173" t="b">
        <v>0</v>
      </c>
      <c r="AI35" s="173" t="b">
        <v>0</v>
      </c>
      <c r="AJ35" s="173" t="b">
        <v>0</v>
      </c>
      <c r="AK35" s="174" t="b">
        <v>0</v>
      </c>
      <c r="AL35" s="175" t="b">
        <v>0</v>
      </c>
      <c r="AM35" s="173" t="b">
        <v>0</v>
      </c>
      <c r="AN35" s="171" t="s">
        <v>1070</v>
      </c>
      <c r="AO35" s="173" t="b">
        <v>0</v>
      </c>
      <c r="AP35" s="173" t="b">
        <v>0</v>
      </c>
      <c r="AQ35" s="173" t="b">
        <v>0</v>
      </c>
      <c r="AR35" s="174" t="b">
        <v>0</v>
      </c>
      <c r="AS35" s="178" t="b">
        <v>0</v>
      </c>
      <c r="AT35" s="179" t="b">
        <v>0</v>
      </c>
      <c r="AU35" s="180" t="b">
        <v>0</v>
      </c>
      <c r="AV35" s="180" t="b">
        <v>0</v>
      </c>
      <c r="AW35" s="180" t="b">
        <v>0</v>
      </c>
      <c r="AX35" s="180" t="b">
        <v>0</v>
      </c>
      <c r="AY35" s="181" t="s">
        <v>1070</v>
      </c>
      <c r="AZ35" s="181" t="s">
        <v>1070</v>
      </c>
      <c r="BA35" s="184">
        <f>IFERROR(__xludf.DUMMYFUNCTION("IF(
  ISNUMBER(BA34),
  MIN(MAX(
    BA34
    + MAX(
      ROUNDDOWN((D35 - MAX(IFERROR(FILTER(D$24:D34, BA$24:BA34 &lt;&gt; AZ$6, BA$23:BA33 = AZ$6), 0))) * (60 * 60 * 24) / AZ$9) - ROUNDDOWN((D34 - MAX(IFERROR(FILTER(D$23:D33, BA$23:BA33 &lt;&gt; AZ$6, BA$22:BA32 ="&amp;" AZ$6), 0))) * (60 * 60 * 24) / AZ$9),
      0
    )
    - COUNTIF(AZ35, ""&lt;&gt;-""),
  0), AZ$6),
  AZ$6 - COUNTIF(AZ35, ""&lt;&gt;-"")
)"),2.0)</f>
        <v>2</v>
      </c>
      <c r="BB35" s="181" t="s">
        <v>1070</v>
      </c>
      <c r="BC35" s="183">
        <f>IFERROR(__xludf.DUMMYFUNCTION("IF(
  ISNUMBER(BC34),
  MIN(MAX(
    BC34
    + MAX(
      ROUNDDOWN(($D35 - MAX(IFERROR(FILTER($D$24:$D34, BC$24:BC34 &lt;&gt; BB$6, BC$23:BC33 = BB$6), 0))) * (60 * 60 * 24) / BB$9) - ROUNDDOWN(($D34 - MAX(IFERROR(FILTER($D$23:$D33, BC$23:BC33 &lt;&gt; BB$6, BC$22:"&amp;"BC32 = BB$6), 0))) * (60 * 60 * 24) / 60),
      0
    )
    - COUNTIF(BB35, ""&lt;&gt;-""),
  0), BB$6),
  BB$6 - COUNTIF(BB35, ""&lt;&gt;-"")
)"),2.0)</f>
        <v>2</v>
      </c>
      <c r="BD35" s="181" t="s">
        <v>1070</v>
      </c>
      <c r="BE35" s="178" t="b">
        <v>0</v>
      </c>
      <c r="BF35" s="180" t="b">
        <v>0</v>
      </c>
      <c r="BG35" s="180" t="b">
        <v>0</v>
      </c>
      <c r="BH35" s="180" t="b">
        <v>0</v>
      </c>
      <c r="BI35" s="180" t="b">
        <v>0</v>
      </c>
      <c r="BJ35" s="180" t="b">
        <v>0</v>
      </c>
      <c r="BK35" s="180" t="b">
        <v>0</v>
      </c>
      <c r="BL35" s="180" t="b">
        <v>0</v>
      </c>
      <c r="BM35" s="180" t="b">
        <v>0</v>
      </c>
      <c r="BN35" s="180" t="b">
        <v>0</v>
      </c>
      <c r="BO35" s="181" t="s">
        <v>1070</v>
      </c>
      <c r="BP35" s="181" t="s">
        <v>1070</v>
      </c>
      <c r="BQ35" s="181" t="s">
        <v>1070</v>
      </c>
      <c r="BR35" s="181" t="s">
        <v>1070</v>
      </c>
      <c r="BS35" s="181" t="s">
        <v>1070</v>
      </c>
      <c r="BT35" s="184">
        <f>IFERROR(__xludf.DUMMYFUNCTION("IF(
  ISNUMBER(BT34),
  MIN(MAX(
    BT34
    + MAX(
      ROUNDDOWN((D35 - MAX(IFERROR(FILTER(D$24:D34, BT$24:BT34 &lt;&gt; BS$6, BT$23:BT33 = BS$6), 0))) * (60 * 60 * 24) / BS$9) - ROUNDDOWN((D34 - MAX(IFERROR(FILTER(D$23:D33, BT$23:BT33 &lt;&gt; BS$6, BT$22:BT32 ="&amp;" BS$6), 0))) * (60 * 60 * 24) / BS$9),
      0
    )
    - COUNTIF(BS35, ""&lt;&gt;-""),
  0), BS$6),
  BS$6 - COUNTIF(BS35, ""&lt;&gt;-"")
)"),3.0)</f>
        <v>3</v>
      </c>
      <c r="BU35" s="181" t="s">
        <v>1070</v>
      </c>
      <c r="BV35" s="181" t="s">
        <v>1070</v>
      </c>
      <c r="BW35" s="184">
        <f>IFERROR(__xludf.DUMMYFUNCTION("IF(
  ISNUMBER(BW34),
  MIN(MAX(
    BW34
    + MAX(
      ROUNDDOWN((D35 - MAX(IFERROR(FILTER(D$24:D34, BW$24:BW34 &lt;&gt; BV$6, BW$23:BW33 = BV$6), 0))) * (60 * 60 * 24) / BV$9) - ROUNDDOWN((D34 - MAX(IFERROR(FILTER(D$23:D33, BW$23:BW33 &lt;&gt; BV$6, BW$22:BW32 ="&amp;" BV$6), 0))) * (60 * 60 * 24) / BV$9),
      0
    )
    - COUNTIF(BV35, ""&lt;&gt;-""),
  0), BV$6),
  BV$6 - COUNTIF(BV35, ""&lt;&gt;-"")
)"),2.0)</f>
        <v>2</v>
      </c>
      <c r="BX35" s="185" t="s">
        <v>1070</v>
      </c>
      <c r="BY35" s="178" t="b">
        <v>0</v>
      </c>
      <c r="BZ35" s="180" t="b">
        <v>0</v>
      </c>
      <c r="CA35" s="180" t="b">
        <v>0</v>
      </c>
      <c r="CB35" s="180" t="b">
        <v>0</v>
      </c>
      <c r="CC35" s="180" t="b">
        <v>0</v>
      </c>
      <c r="CD35" s="180" t="b">
        <v>0</v>
      </c>
      <c r="CE35" s="180" t="b">
        <v>0</v>
      </c>
      <c r="CF35" s="180" t="b">
        <v>0</v>
      </c>
      <c r="CG35" s="180" t="b">
        <v>0</v>
      </c>
      <c r="CH35" s="180" t="b">
        <v>0</v>
      </c>
      <c r="CI35" s="180" t="b">
        <v>0</v>
      </c>
      <c r="CJ35" s="180" t="b">
        <v>0</v>
      </c>
      <c r="CK35" s="180" t="b">
        <v>0</v>
      </c>
      <c r="CL35" s="180" t="b">
        <v>0</v>
      </c>
      <c r="CM35" s="181" t="s">
        <v>1070</v>
      </c>
      <c r="CN35" s="181" t="s">
        <v>1070</v>
      </c>
      <c r="CO35" s="181" t="s">
        <v>1070</v>
      </c>
      <c r="CP35" s="181" t="s">
        <v>1070</v>
      </c>
      <c r="CQ35" s="185" t="s">
        <v>1070</v>
      </c>
      <c r="CR35" s="180" t="b">
        <v>0</v>
      </c>
      <c r="CS35" s="186" t="str">
        <f t="shared" si="14"/>
        <v>◇◇◇</v>
      </c>
      <c r="CT35" s="178" t="b">
        <v>0</v>
      </c>
      <c r="CU35" s="180" t="b">
        <v>0</v>
      </c>
      <c r="CV35" s="180" t="b">
        <v>0</v>
      </c>
      <c r="CW35" s="180" t="b">
        <v>0</v>
      </c>
      <c r="CX35" s="180" t="b">
        <v>0</v>
      </c>
      <c r="CY35" s="180" t="b">
        <v>0</v>
      </c>
      <c r="CZ35" s="180" t="b">
        <v>0</v>
      </c>
      <c r="DA35" s="180" t="b">
        <v>0</v>
      </c>
      <c r="DB35" s="180" t="b">
        <v>0</v>
      </c>
      <c r="DC35" s="180" t="b">
        <v>0</v>
      </c>
      <c r="DD35" s="181" t="s">
        <v>1070</v>
      </c>
      <c r="DE35" s="181" t="s">
        <v>1070</v>
      </c>
      <c r="DF35" s="181" t="s">
        <v>1070</v>
      </c>
      <c r="DG35" s="185" t="s">
        <v>1070</v>
      </c>
      <c r="DH35" s="180" t="b">
        <v>0</v>
      </c>
      <c r="DI35" s="187" t="str">
        <f>IFERROR(__xludf.DUMMYFUNCTION("SWITCH(
  IF(
    ISTEXT(DI34),
    IF (
      FIND(""○"", DI34&amp;""○"") &gt; 3,
      3,
      FIND(""○"", DI34&amp;""○"")
      + MAX(
        ROUNDDOWN(($D35 - MAX(IFERROR(FILTER(D$24:D34, DI$24:DI34 &lt;&gt; ""●●●"", DI$23:DI33 = ""●●●""), 0))) * (60 * 60 * 24) / 20"&amp;") - ROUNDDOWN(($D34 - MAX(IFERROR(FILTER(D$23:D33, DI$23:DI33 &lt;&gt; ""●●●"", DI$22:DI32 = ""●●●""), 0))) * (60 * 60 * 24) / 20),
        0
      ) - 1
    ) - COUNTIFS(CU35, ""=TRUE"", CU34, ""&lt;&gt;TRUE"") - COUNTIF(CZ35, ""=TRUE"") - COUNTIF({DD35,DE35}, ""&lt;&gt;-"&amp;""") + COUNTIF(DH35, ""=TRUE""),
    3
  ),
  0, ""○○○"", 1, ""●○○"", 2, ""●●○"", 3, ""●●●"", 4, ""●●●"", ""○○○""
)"),"●●●")</f>
        <v>●●●</v>
      </c>
      <c r="DJ35" s="188" t="b">
        <v>0</v>
      </c>
      <c r="DK35" s="189" t="b">
        <v>0</v>
      </c>
      <c r="DL35" s="190" t="b">
        <v>0</v>
      </c>
      <c r="DM35" s="190" t="b">
        <v>0</v>
      </c>
      <c r="DN35" s="190" t="b">
        <v>0</v>
      </c>
      <c r="DO35" s="190" t="b">
        <v>0</v>
      </c>
      <c r="DP35" s="190" t="b">
        <v>0</v>
      </c>
      <c r="DQ35" s="191" t="b">
        <v>0</v>
      </c>
      <c r="DR35" s="192" t="b">
        <v>0</v>
      </c>
      <c r="DS35" s="191" t="b">
        <v>0</v>
      </c>
      <c r="DT35" s="192" t="b">
        <v>0</v>
      </c>
      <c r="DU35" s="191" t="b">
        <v>0</v>
      </c>
      <c r="DV35" s="193" t="s">
        <v>1070</v>
      </c>
      <c r="DW35" s="194" t="b">
        <v>0</v>
      </c>
      <c r="DX35" s="194" t="b">
        <v>0</v>
      </c>
      <c r="DY35" s="195" t="b">
        <v>0</v>
      </c>
      <c r="DZ35" s="196" t="b">
        <v>0</v>
      </c>
      <c r="EA35" s="195" t="b">
        <v>0</v>
      </c>
      <c r="EB35" s="197" t="b">
        <v>0</v>
      </c>
      <c r="EC35" s="197" t="b">
        <v>0</v>
      </c>
      <c r="ED35" s="212" t="b">
        <v>0</v>
      </c>
      <c r="EE35" s="199">
        <f>IFERROR(__xludf.DUMMYFUNCTION("IFERROR(
   PRODUCT(
     MAP(
       INDEX(TRANSPOSE(UNIQUE(TRANSPOSE(FILTER({IF($F35=""Physical"", K$10:ED$10, IF($F35=""Magic"", K$11:ED$11, K$12:ED$12));K$4:ED$4;K35:ED35}, K35:ED35=TRUE)))), 1, 0),
       INDEX(TRANSPOSE(UNIQUE(TRANSPOSE(FILTER({IF($"&amp;"F35=""Physical"", K$18:ED$18, IF($F35=""Magic"", K$19:ED$19, K$20:ED$20));K$4:ED$4;K35:ED35}, K35:ED35=TRUE)))), 1, 0),
       INDEX(TRANSPOSE(UNIQUE(TRANSPOSE(FILTER({K$5:ED$5;K$4:ED$4;K35:ED35}, K35:ED35=TRUE)))), 1, 0),
       INDEX(TRANSPOSE(UNIQUE(TR"&amp;"ANSPOSE(FILTER({K$17:ED$17;K$4:ED$4;K35:ED35}, K35:ED35=TRUE)))), 1, 0),
       LAMBDA(
         mitigation,
         enhance,
         assign,
         precondition,
         IF(
           REGEXMATCH(assign, ""RANGE_PARTY|SINGLE_ENEMY|RANGE_ENEMY""),
  "&amp;"         IF(
             OR(ARRAYFORMULA((IF(precondition="""", FALSE, REGEXMATCH(K$4:ED$4, precondition))) * (K35:ED35=TRUE))),
             IF(ISNUMBER(enhance), enhance, 1),
             IF(ISNUMBER(mitigation), mitigation, 1)
           ),
          "&amp;" 1
         )
       )
     )
   ),
   1
 )"),1.0)</f>
        <v>1</v>
      </c>
      <c r="EF35" s="200">
        <f>IFERROR(__xludf.DUMMYFUNCTION("PRODUCT(
   MAP(
     K$14:ED$14,
     K$13:ED$13,
     K35:ED35,
     LAMBDA(
       buff,
       target,
       check,
       IF(
         AND(check=TRUE, REGEXMATCH(target, ""RANGE_AFFECTED_ALL|RANGE_EFFECTED_ALL""), ISNUMBER(buff)),
         buff,
   "&amp;"      1
       )
     )
   )
 )"),1.0)</f>
        <v>1</v>
      </c>
      <c r="EG35" s="200">
        <f>IFERROR(__xludf.DUMMYFUNCTION("PRODUCT(
   MAP(
     K$14:ED$14,
     K$13:ED$13,
     K35:ED35,
     LAMBDA(
       buff,
       target,
       check,
       IF(
         AND(check=TRUE, REGEXMATCH(target, ""RANGE_AFFECTED_GCD|RANGE_EFFECTED_GCD""), ISNUMBER(buff)),
         buff,
   "&amp;"      1
       )
     )
   )
 )"),1.0)</f>
        <v>1</v>
      </c>
      <c r="EH35" s="200">
        <f>IFERROR(__xludf.DUMMYFUNCTION("PRODUCT(
   MAP(
     K$3:ED$3,
     K$14:ED$14,
     K$13:ED$13,
     K35:ED35,
     LAMBDA(
       job,
       buff,
       target,
       check,
       IF(
         AND(check=TRUE, REGEXMATCH(target, ""SELF_EFFECTED_ALL""), ISNUMBER(buff), job=""白魔道士"""&amp;"),
         buff,
         1
       )
     )
   )
 )"),1.0)</f>
        <v>1</v>
      </c>
      <c r="EI35" s="200">
        <f>IFERROR(__xludf.DUMMYFUNCTION("PRODUCT(
   MAP(
     K$3:ED$3,
     K$14:ED$14,
     K$13:ED$13,
     K35:ED35,
     LAMBDA(
       job,
       buff,
       target,
       check,
       IF(
         AND(check=TRUE, REGEXMATCH(target, ""SELF_EFFECTED_GCD""), ISNUMBER(buff), job=""白魔道士"""&amp;"),
         buff,
         1
       )
     )
   )
 )"),1.0)</f>
        <v>1</v>
      </c>
      <c r="EJ35" s="200">
        <f>IFERROR(__xludf.DUMMYFUNCTION("PRODUCT(
   MAP(
     K$3:ED$3,
     K$14:ED$14,
     K$13:ED$13,
     K35:ED35,
     LAMBDA(
       job,
       buff,
       target,
       check,
       IF(
         AND(check=TRUE, REGEXMATCH(target, ""SELF_EFFECTED_ALL""), ISNUMBER(buff), job=""占星術師"""&amp;"),
         buff,
         1
       )
     )
   )
 )"),1.0)</f>
        <v>1</v>
      </c>
      <c r="EK35" s="200">
        <f>IFERROR(__xludf.DUMMYFUNCTION("PRODUCT(
   MAP(
     K$3:ED$3,
     K$14:ED$14,
     K$13:ED$13,
     K35:ED35,
     LAMBDA(
       job,
       buff,
       target,
       check,
       IF(
         AND(check=TRUE, REGEXMATCH(target, ""SELF_EFFECTED_GCD""), ISNUMBER(buff), job=""占星術師"""&amp;"),
         buff,
         1
       )
     )
   )
 )"),1.0)</f>
        <v>1</v>
      </c>
      <c r="EL35" s="200">
        <f>IFERROR(__xludf.DUMMYFUNCTION("PRODUCT(
   MAP(
     K$3:ED$3,
     K$14:ED$14,
     K$13:ED$13,
     K35:ED35,
     LAMBDA(
       job,
       buff,
       target,
       check,
       IF(
         AND(check=TRUE, REGEXMATCH(target, ""SELF_EFFECTED_ALL""), ISNUMBER(buff), job=""学者""),"&amp;"
         buff,
         1
       )
     )
   )
 )"),1.0)</f>
        <v>1</v>
      </c>
      <c r="EM35" s="200">
        <f>IFERROR(__xludf.DUMMYFUNCTION("PRODUCT(
   MAP(
     K$3:ED$3,
     K$14:ED$14,
     K$13:ED$13,
     K35:ED35,
     LAMBDA(
       job,
       buff,
       target,
       check,
       IF(
         AND(check=TRUE, REGEXMATCH(target, ""SELF_EFFECTED_GCD""), ISNUMBER(buff), job=""学者""),"&amp;"
         buff,
         1
       )
     )
   )
 )"),1.0)</f>
        <v>1</v>
      </c>
      <c r="EN35" s="200">
        <f>IFERROR(__xludf.DUMMYFUNCTION("PRODUCT(
   MAP(
     K$3:ED$3,
     K$14:ED$14,
     K$13:ED$13,
     K35:ED35,
     LAMBDA(
       job,
       buff,
       target,
       check,
       IF(
         AND(check=TRUE, REGEXMATCH(target, ""SELF_EFFECTED_ALL""), ISNUMBER(buff), job=""賢者""),"&amp;"
         buff,
         1
       )
     )
   )
 )"),1.0)</f>
        <v>1</v>
      </c>
      <c r="EO35" s="200">
        <f>IFERROR(__xludf.DUMMYFUNCTION("PRODUCT(
   MAP(
     K$3:ED$3,
     K$14:ED$14,
     K$13:ED$13,
     K35:ED35,
     LAMBDA(
       job,
       buff,
       target,
       check,
       IF(
         AND(check=TRUE, REGEXMATCH(target, ""SELF_EFFECTED_GCD""), ISNUMBER(buff), job=""賢者""),"&amp;"
         buff,
         1
       )
     )
   )
 )"),1.0)</f>
        <v>1</v>
      </c>
      <c r="EP35" s="201">
        <f t="shared" si="3"/>
        <v>0</v>
      </c>
      <c r="EQ35" s="201">
        <f>IFERROR(__xludf.DUMMYFUNCTION("SUM(
   MAP(
     K$4:ED$4,
     K$3:ED$3,
     K$7:ED$7,
     K$15:ED$15,
     K$16:ED$16,
     K$21:ED$21,
     K$5:ED$5,
     K$17:ED$17,
     K35:ED35,
     LAMBDA(
       name,
       job,
       abillity,
       buff,
       barrier,
       enhance,"&amp;"
       assign,
       precondition,
       check,
       SWITCH(
         name,
         ""シェイクオフ"", IF(check=TRUE, buff + (0.02 * COUNTIF(ARRAYFORMULA((REGEXMATCH($K$4:$ED$4, ""スリル・オブ・バトル|ヴェンジェンス|原初の血気|ダムネーション"")) * (K35:ED35=TRUE)), 1)), 0),
         "&amp;"""インプロビゼーションフィニッシュ(踊りの激情0)"", IF(ISNUMBER(check), INDEX(Skill!$AJ:$AJ, MATCH(SUBSTITUTE(DV$4, 0, check), Skill!$C:$C, 0)), 0),
         IF(
           AND(check=TRUE, REGEXMATCH(assign, ""RANGE_PARTY"")),
           IF(
             OR(ARRAYFORMULA((IF(pr"&amp;"econdition="""", FALSE, REGEXMATCH($K$4:$ED$4, precondition))) * (K35:ED35=TRUE))),
             enhance,
             IF(barrier="""", buff, barrier)
           ),
           0
         )
       ) *
       SWITCH(
         job,
         ""ナイト"", EY$24,
 "&amp;"        ""戦士"", FD$24,
         ""踊り子"", ET$24,
         ""ピクトマンサー"", ET$24,
         ""白魔道士"", EF35 * EH35 * IF(abillity, 1, EG35 * EI35) * (Option!$D$22 * 0.81 / 100),
         ""占星術師"", EF35 * EJ35 * IF(abillity, 1, EG35 * EK35) * (Option!$D$23 * 0.81 "&amp;"/ 100),
         ""学者"", EF35 * EL35 * IF(abillity, 1, EG35 * EM35) * (Option!$D$24 * 0.81 / 100),
         ""賢者"", EF35 * EN35 * IF(abillity, 1, EG35 * EO35) * (Option!$D$25 * 0.81 / 100),
         1
       )
     )
   )
 )"),0.0)</f>
        <v>0</v>
      </c>
      <c r="ER35" s="202">
        <f t="shared" si="4"/>
        <v>0</v>
      </c>
      <c r="ES35" s="203">
        <f t="shared" si="5"/>
        <v>0</v>
      </c>
      <c r="ET35" s="231" t="str">
        <f>IFERROR(__xludf.DUMMYFUNCTION("IFS(
  EP35 &gt; $ET$24 + EQ35,
  SPARKLINE({ 1, 0 }, {""charttype"",""bar"";""max"", 1;""color1"",Option!$D$30;""color2"",Option!$D$30}),
  EP35 &lt; EQ35,
  SPARKLINE({EQ35 - EP35, $ET$24 - (EQ35 - EP35)}, {""charttype"",""bar"";""max"",$ET$24;""color1"",Opti"&amp;"on!$D$28;""color2"",Option!$D$29}),
  EP35 &gt;= EQ35,
  SPARKLINE({$ET$24 + EQ35 - EP35,EP35 - EQ35}, {""charttype"",""bar"";""max"",$ET$24;""color1"",Option!$D$29;""color2"",Option!$D$30})
)"),"")</f>
        <v/>
      </c>
      <c r="EU35" s="205">
        <f>IFERROR(__xludf.DUMMYFUNCTION("PRODUCT(
   MAP(
     IF($F35=""Physical"", K$10:ED$10, IF($F35=""Magic"", K$11:ED$11, K$12:ED$12)),
     IF($F35=""Physical"", K$18:ED$18, IF($F35=""Magic"", K$19:ED$19, K$20:ED$20)),
     K$3:ED$3,
     K$5:ED$5,
     K$17:ED$17,
     K35:ED35,
     LAM"&amp;"BDA(
       mitigation,
       enhance,
       job,
       assign,
       precondition,
       check,
       IF(
         OR(AND(check=TRUE, REGEXMATCH(assign, ""SELF""), job=""ナイト""), AND(check=Option!$E$13, REGEXMATCH(assign, ""SINGLE_PARTY""))),
      "&amp;"   IF(
           OR(ARRAYFORMULA((IF(precondition="""", FALSE, REGEXMATCH($K$4:$ED$4, precondition))) * (K35:ED35=TRUE))),
           enhance,
           mitigation
         ),
         1
       )
     )
   )
 ) * EE35"),1.0)</f>
        <v>1</v>
      </c>
      <c r="EV35" s="206">
        <f t="shared" si="6"/>
        <v>0</v>
      </c>
      <c r="EW35" s="205">
        <f>IFERROR(__xludf.DUMMYFUNCTION("PRODUCT(
   MAP(
     K$3:ED$3,
     K$14:ED$14,
     K$13:ED$13,
     K35:ED35,
     LAMBDA(
       job,
       buff,
       target,
       check,
       IF(
         OR(AND(check=TRUE, REGEXMATCH(target, ""SELF_AFFECTED_ALL""), job=""ナイト""), AND(check=O"&amp;"ption!$E$13, REGEXMATCH(target, ""SINGLE_AFFECTED_ALL""))),
         buff,
         1
       )
     )
   )
 )"),1.0)</f>
        <v>1</v>
      </c>
      <c r="EX35" s="206">
        <f>IFERROR(__xludf.DUMMYFUNCTION("SUM(
   MAP(
     K$3:ED$3,
     K$7:ED$7,
     K$15:ED$15,
     K$16:ED$16,
     K$21:ED$21,
     K$5:ED$5,
     K$17:ED$17,
     K35:ED35,
     LAMBDA(
       job,
       abillity,
       buff,
       barrier,
       enhance,
       assign,
       preco"&amp;"ndition,
       check,
       IF(
         OR(AND(check=TRUE, REGEXMATCH(assign, ""SELF""), job=""ナイト""), AND(check=Option!$E$13, REGEXMATCH(assign, ""SINGLE_PARTY""))),
         IF(
           OR(ARRAYFORMULA((IF(precondition="""", FALSE, REGEXMATCH($K$4"&amp;":$ED$4, precondition))) * (K35:ED35=TRUE))),
           enhance,
           IF(barrier="""", buff, barrier)
         ),
         0
       ) *
       SWITCH(
         job,
         ""暗黒騎士"", EY$24,
         ""白魔道士"", EF35 * EH35 * EW35 * IF(abillity, 1, EG"&amp;"35 * EI35) * (Option!$D$22 * 0.81 / 100),
         ""占星術師"", EF35 * EJ35 * EW35 * IF(abillity, 1, EG35 * EK35) * (Option!$D$23 * 0.81 / 100),
         ""学者"", EF35 * EL35 * EW35 * IF(abillity, 1, EG35 * EM35) * (Option!$D$24 * 0.81 / 100),
         ""賢者"""&amp;", EF35 * EN35 * EW35 * IF(abillity, 1, EG35 * EO35) * (Option!$D$25 * 0.81 / 100),
         1
       )
     )
   )
 ) + EQ35"),0.0)</f>
        <v>0</v>
      </c>
      <c r="EY35" s="232">
        <f t="shared" si="7"/>
        <v>0</v>
      </c>
      <c r="EZ35" s="205">
        <f>IFERROR(__xludf.DUMMYFUNCTION("PRODUCT(
   MAP(
     IF($F35=""Physical"", K$10:ED$10, IF($F35=""Magic"", K$11:ED$11, K$12:ED$12)),
     IF($F35=""Physical"", K$18:ED$18, IF($F35=""Magic"", K$19:ED$19, K$20:ED$20)),
     K$3:ED$3,
     K$5:ED$5,
     K$17:ED$17,
     K35:ED35,
     LAM"&amp;"BDA(
       mitigation,
       enhance,
       job,
       assign,
       precondition,
       check,
       IF(
         OR(AND(check=TRUE, REGEXMATCH(assign, ""SELF""), job=""戦士""), AND(check=Option!$F$13, REGEXMATCH(assign, ""SINGLE_PARTY""))),
       "&amp;"  IF(
           OR(ARRAYFORMULA((IF(precondition="""", FALSE, REGEXMATCH($K$4:$ED$4, precondition))) * (K35:ED35=TRUE))),
           enhance,
           mitigation
         ),
         1
       )
     )
   )
 ) * EE35"),1.0)</f>
        <v>1</v>
      </c>
      <c r="FA35" s="206">
        <f t="shared" si="8"/>
        <v>0</v>
      </c>
      <c r="FB35" s="205">
        <f>IFERROR(__xludf.DUMMYFUNCTION("PRODUCT(
   MAP(
     K$3:ED$3,
     K$14:ED$14,
     K$13:ED$13,
     K35:ED35,
     LAMBDA(
       job,
       buff,
       target,
       check,
       IF(
         OR(AND(check=TRUE, REGEXMATCH(target, ""SELF_AFFECTED_ALL""), job=""戦士""), AND(check=Op"&amp;"tion!$F$13, REGEXMATCH(target, ""SINGLE_AFFECTED_ALL""))),
         buff,
         1
       )
     )
   )
 )"),1.0)</f>
        <v>1</v>
      </c>
      <c r="FC35" s="206">
        <f>IFERROR(__xludf.DUMMYFUNCTION("SUM(
   MAP(
     K$3:ED$3,
     K$7:ED$7,
     K$15:ED$15,
     K$16:ED$16,
     K$21:ED$21,
     K$5:ED$5,
     K$17:ED$17,
     K35:ED35,
     LAMBDA(
       job,
       abillity,
       buff,
       barrier,
       enhance,
       assign,
       preco"&amp;"ndition,
       check,
       IF(
         OR(AND(check=TRUE, REGEXMATCH(assign, ""SELF""), job=""戦士""), AND(check=Option!$F$13, REGEXMATCH(assign, ""SINGLE_PARTY""))),
         IF(
           OR(ARRAYFORMULA((IF(precondition="""", FALSE, REGEXMATCH($K$4:"&amp;"$ED$4, precondition))) * (K35:ED35=TRUE))),
           enhance,
           IF(barrier="""", buff, barrier)
         ),
         0
       ) *
       SWITCH(
         job,
         ""暗黒騎士"", FD$24,
         ""白魔道士"", EF35 * EH35 * FB35 * IF(abillity, 1, EG3"&amp;"5 * EI35) * (Option!$D$22 * 0.81 / 100),
         ""占星術師"", EF35 * EJ35 * FFB35 * IF(abillity, 1, EG35 * EK35) * (Option!$D$23 * 0.81 / 100),
         ""学者"", EF35 * EL35 * FB35 * IF(abillity, 1, EG35 * EM35) * (Option!$D$24 * 0.81 / 100),
         ""賢者"""&amp;", EF35 * EN35 * FB35 * IF(abillity, 1, EG35 * EO35) * (Option!$D$25 * 0.81 / 100),
         1
       )
     )
   )
 ) + EQ35"),0.0)</f>
        <v>0</v>
      </c>
      <c r="FD35" s="206">
        <f t="shared" si="9"/>
        <v>0</v>
      </c>
      <c r="FE35" s="205">
        <f>IFERROR(__xludf.DUMMYFUNCTION("PRODUCT(
   MAP(
     IF($F35=""Physical"", K$10:ED$10, IF($F35=""Magic"", K$11:ED$11, K$12:ED$12)),
     IF($F35=""Physical"", K$18:ED$18, IF($F35=""Magic"", K$19:ED$19, K$20:ED$20)),
     K$3:ED$3,
     K$5:ED$5,
     K$17:ED$17,
     K35:ED35,
     LAM"&amp;"BDA(
       mitigation,
       enhance,
       job,
       assign,
       precondition,
       check,
       IF(
         OR(AND(check=TRUE, REGEXMATCH(assign, ""SELF""), job=""暗黒騎士""), AND(check=Option!$G$13, REGEXMATCH(assign, ""SINGLE_PARTY""))),
     "&amp;"    IF(
           OR(ARRAYFORMULA((IF(precondition="""", FALSE, REGEXMATCH($K$4:$ED$4, precondition))) * (K35:ED35=TRUE))),
           enhance,
           mitigation
         ),
         1
       )
     )
   )
 ) * EE35"),1.0)</f>
        <v>1</v>
      </c>
      <c r="FF35" s="206">
        <f t="shared" si="10"/>
        <v>0</v>
      </c>
      <c r="FG35" s="205">
        <f>IFERROR(__xludf.DUMMYFUNCTION("PRODUCT(
   MAP(
     K$3:ED$3,
     K$14:ED$14,
     K$13:ED$13,
     K35:ED35,
     LAMBDA(
       job,
       buff,
       target,
       check,
       IF(
         OR(AND(check=TRUE, REGEXMATCH(target, ""SELF_AFFECTED_ALL""), job=""暗黒騎士""), AND(check="&amp;"Option!$G$13, REGEXMATCH(target, ""SINGLE_AFFECTED_ALL""))),
         buff,
         1
       )
     )
   )
 )"),1.0)</f>
        <v>1</v>
      </c>
      <c r="FH35" s="206">
        <f>IFERROR(__xludf.DUMMYFUNCTION("SUM(
   MAP(
     K$3:ED$3,
     K$7:ED$7,
     K$15:ED$15,
     K$16:ED$16,
     K$21:ED$21,
     K$5:ED$5,
     K$17:ED$17,
     K35:ED35,
     LAMBDA(
       job,
       abillity,
       buff,
       barrier,
       enhance,
       assign,
       preco"&amp;"ndition,
       check,
       IF(
         OR(AND(check=TRUE, REGEXMATCH(assign, ""SELF""), job=""暗黒騎士""), AND(check=Option!$G$13, REGEXMATCH(assign, ""SINGLE_PARTY""))),
         IF(
           OR(ARRAYFORMULA((IF(precondition="""", FALSE, REGEXMATCH($K$"&amp;"4:$ED$4, precondition))) * (K35:ED35=TRUE))),
           enhance,
           IF(barrier="""", buff, barrier)
         ),
         0
       ) *
       SWITCH(
         job,
         ""暗黒騎士"", FI$24,
         ""白魔道士"", EF35 * EH35 * FG35 * IF(abillity, 1, E"&amp;"G35 * EI35) * (Option!$D$22 * 0.81 / 100),
         ""占星術師"", EF35 * EJ35 * FG35 * IF(abillity, 1, EG35 * EK35) * (Option!$D$23 * 0.81 / 100),
         ""学者"", EF35 * EL35 * FG35 * IF(abillity, 1, EG35 * EM35) * (Option!$D$24 * 0.81 / 100),
         ""賢者"&amp;""", EF35 * EN35 * FG35 * IF(abillity, 1, EG35 * EO35) * (Option!$D$25 * 0.81 / 100),
         1
       )
     )
   )
 ) + EQ35"),0.0)</f>
        <v>0</v>
      </c>
      <c r="FI35" s="206">
        <f t="shared" si="11"/>
        <v>0</v>
      </c>
      <c r="FJ35" s="205">
        <f>IFERROR(__xludf.DUMMYFUNCTION("PRODUCT(
   MAP(
     IF($F35=""Physical"", K$10:ED$10, IF($F35=""Magic"", K$11:ED$11, K$12:ED$12)),
     IF($F35=""Physical"", K$18:ED$18, IF($F35=""Magic"", K$19:ED$19, K$20:ED$20)),
     K$3:ED$3,
     K$5:ED$5,
     K$17:ED$17,
     K35:ED35,
     LAM"&amp;"BDA(
       mitigation,
       enhance,
       job,
       assign,
       precondition,
       check,
       IF(
         OR(AND(check=TRUE, REGEXMATCH(assign, ""SELF""), job=""ガンブレイカー""), AND(check=Option!$H$13, REGEXMATCH(assign, ""SINGLE_PARTY""))),
  "&amp;"       IF(
           OR(ARRAYFORMULA((IF(precondition="""", FALSE, REGEXMATCH($K$4:$ED$4, precondition))) * (K35:ED35=TRUE))),
           enhance,
           mitigation
         ),
         1
       )
     )
   )
 ) * EE35"),1.0)</f>
        <v>1</v>
      </c>
      <c r="FK35" s="206">
        <f t="shared" si="12"/>
        <v>0</v>
      </c>
      <c r="FL35" s="205">
        <f>IFERROR(__xludf.DUMMYFUNCTION("PRODUCT(
   MAP(
     K$3:ED$3,
     K$14:ED$14,
     K$13:ED$13,
     K35:ED35,
     LAMBDA(
       job,
       buff,
       target,
       check,
       IF(
         OR(AND(check=TRUE, REGEXMATCH(target, ""SELF_AFFECTED_ALL""), job=""ガンブレイカー""), AND(che"&amp;"ck=Option!$H$13, REGEXMATCH(target, ""SINGLE_AFFECTED_ALL""))),
         buff,
         1
       )
     )
   )
 )"),1.0)</f>
        <v>1</v>
      </c>
      <c r="FM35" s="206">
        <f>IFERROR(__xludf.DUMMYFUNCTION("SUM(
   MAP(
     K$3:ED$3,
     K$7:ED$7,
     K$15:ED$15,
     K$16:ED$16,
     K$21:ED$21,
     K$5:ED$5,
     K$17:ED$17,
     K35:ED35,
     LAMBDA(
       job,
       abillity,
       buff,
       barrier,
       enhance,
       assign,
       preco"&amp;"ndition,
       check,
       IF(
         OR(AND(check=TRUE, REGEXMATCH(assign, ""SELF""), job=""ガンブレイカー""), AND(check=Option!$H$13, REGEXMATCH(assign, ""SINGLE_PARTY""))),
         IF(
           OR(ARRAYFORMULA((IF(precondition="""", FALSE, REGEXMATCH("&amp;"$K$4:$ED$4, precondition))) * (K35:ED35=TRUE))),
           enhance,
           IF(barrier="""", buff, barrier)
         ),
         0
       ) *
       SWITCH(
         job,
         ""暗黒騎士"", FN$24,
         ""白魔道士"", EF35 * EH35 * FL35 * IF(abillity, 1"&amp;", EG35 * EI35) * (Option!$D$22 * 0.81 / 100),
         ""占星術師"", EF35 * EJ35 * FL35 * IF(abillity, 1, EG35 * EK35) * (Option!$D$23 * 0.81 / 100),
         ""学者"", EF35 * EL35 * FL35 * IF(abillity, 1, EG35 * EM35) * (Option!$D$24 * 0.81 / 100),
         """&amp;"賢者"", EF35 * EN35 * FL35 * IF(abillity, 1, EG35 * EO35) * (Option!$D$25 * 0.81 / 100),
         1
       )
     )
   )
 ) + EQ35"),0.0)</f>
        <v>0</v>
      </c>
      <c r="FN35" s="206">
        <f t="shared" si="13"/>
        <v>0</v>
      </c>
      <c r="FO35" s="213"/>
    </row>
    <row r="36">
      <c r="B36" s="229"/>
      <c r="C36" s="217">
        <f t="shared" si="1"/>
        <v>0</v>
      </c>
      <c r="D36" s="236"/>
      <c r="E36" s="238"/>
      <c r="F36" s="167"/>
      <c r="G36" s="168" t="str">
        <f t="shared" si="2"/>
        <v/>
      </c>
      <c r="H36" s="169"/>
      <c r="I36" s="169"/>
      <c r="J36" s="169"/>
      <c r="K36" s="170" t="b">
        <v>0</v>
      </c>
      <c r="L36" s="170" t="b">
        <v>0</v>
      </c>
      <c r="M36" s="170" t="b">
        <v>0</v>
      </c>
      <c r="N36" s="171" t="s">
        <v>1070</v>
      </c>
      <c r="O36" s="172" t="b">
        <v>0</v>
      </c>
      <c r="P36" s="173" t="b">
        <v>0</v>
      </c>
      <c r="Q36" s="173" t="b">
        <v>0</v>
      </c>
      <c r="R36" s="173" t="b">
        <v>0</v>
      </c>
      <c r="S36" s="174" t="b">
        <v>0</v>
      </c>
      <c r="T36" s="175" t="b">
        <v>0</v>
      </c>
      <c r="U36" s="173" t="b">
        <v>0</v>
      </c>
      <c r="V36" s="171" t="s">
        <v>1070</v>
      </c>
      <c r="W36" s="172" t="b">
        <v>0</v>
      </c>
      <c r="X36" s="173" t="b">
        <v>0</v>
      </c>
      <c r="Y36" s="173" t="b">
        <v>0</v>
      </c>
      <c r="Z36" s="173" t="b">
        <v>0</v>
      </c>
      <c r="AA36" s="174" t="b">
        <v>0</v>
      </c>
      <c r="AB36" s="174" t="b">
        <v>0</v>
      </c>
      <c r="AC36" s="175" t="b">
        <v>0</v>
      </c>
      <c r="AD36" s="173" t="b">
        <v>0</v>
      </c>
      <c r="AE36" s="176" t="s">
        <v>1070</v>
      </c>
      <c r="AF36" s="171" t="s">
        <v>1070</v>
      </c>
      <c r="AG36" s="177">
        <f>IFERROR(__xludf.DUMMYFUNCTION("IF(
  ISNUMBER(AG35),
  MIN(MAX(
    AG35
    + MAX(
      ROUNDDOWN(($D36 - MAX(IFERROR(FILTER($D$24:$D35, AG$24:AG35 &lt;&gt; AF$6, AG$23:AG34 = AF$6), 0))) * (60 * 60 * 24) / AF$9) - ROUNDDOWN(($D35 - MAX(IFERROR(FILTER($D$23:$D34, AG$23:AG34 &lt;&gt; AF$6, AG$22:"&amp;"AG33 = AF$6), 0))) * (60 * 60 * 24) / 60),
      0
    )
    - COUNTIF(AF36, ""&lt;&gt;-""),
  0), AF$6),
  AF$6 - COUNTIF(AF36, ""&lt;&gt;-"")
)"),2.0)</f>
        <v>2</v>
      </c>
      <c r="AH36" s="173" t="b">
        <v>0</v>
      </c>
      <c r="AI36" s="173" t="b">
        <v>0</v>
      </c>
      <c r="AJ36" s="173" t="b">
        <v>0</v>
      </c>
      <c r="AK36" s="174" t="b">
        <v>0</v>
      </c>
      <c r="AL36" s="175" t="b">
        <v>0</v>
      </c>
      <c r="AM36" s="173" t="b">
        <v>0</v>
      </c>
      <c r="AN36" s="171" t="s">
        <v>1070</v>
      </c>
      <c r="AO36" s="173" t="b">
        <v>0</v>
      </c>
      <c r="AP36" s="173" t="b">
        <v>0</v>
      </c>
      <c r="AQ36" s="173" t="b">
        <v>0</v>
      </c>
      <c r="AR36" s="174" t="b">
        <v>0</v>
      </c>
      <c r="AS36" s="178" t="b">
        <v>0</v>
      </c>
      <c r="AT36" s="179" t="b">
        <v>0</v>
      </c>
      <c r="AU36" s="180" t="b">
        <v>0</v>
      </c>
      <c r="AV36" s="180" t="b">
        <v>0</v>
      </c>
      <c r="AW36" s="180" t="b">
        <v>0</v>
      </c>
      <c r="AX36" s="180" t="b">
        <v>0</v>
      </c>
      <c r="AY36" s="181" t="s">
        <v>1070</v>
      </c>
      <c r="AZ36" s="181" t="s">
        <v>1070</v>
      </c>
      <c r="BA36" s="184">
        <f>IFERROR(__xludf.DUMMYFUNCTION("IF(
  ISNUMBER(BA35),
  MIN(MAX(
    BA35
    + MAX(
      ROUNDDOWN((D36 - MAX(IFERROR(FILTER(D$24:D35, BA$24:BA35 &lt;&gt; AZ$6, BA$23:BA34 = AZ$6), 0))) * (60 * 60 * 24) / AZ$9) - ROUNDDOWN((D35 - MAX(IFERROR(FILTER(D$23:D34, BA$23:BA34 &lt;&gt; AZ$6, BA$22:BA33 ="&amp;" AZ$6), 0))) * (60 * 60 * 24) / AZ$9),
      0
    )
    - COUNTIF(AZ36, ""&lt;&gt;-""),
  0), AZ$6),
  AZ$6 - COUNTIF(AZ36, ""&lt;&gt;-"")
)"),2.0)</f>
        <v>2</v>
      </c>
      <c r="BB36" s="181" t="s">
        <v>1070</v>
      </c>
      <c r="BC36" s="183">
        <f>IFERROR(__xludf.DUMMYFUNCTION("IF(
  ISNUMBER(BC35),
  MIN(MAX(
    BC35
    + MAX(
      ROUNDDOWN(($D36 - MAX(IFERROR(FILTER($D$24:$D35, BC$24:BC35 &lt;&gt; BB$6, BC$23:BC34 = BB$6), 0))) * (60 * 60 * 24) / BB$9) - ROUNDDOWN(($D35 - MAX(IFERROR(FILTER($D$23:$D34, BC$23:BC34 &lt;&gt; BB$6, BC$22:"&amp;"BC33 = BB$6), 0))) * (60 * 60 * 24) / 60),
      0
    )
    - COUNTIF(BB36, ""&lt;&gt;-""),
  0), BB$6),
  BB$6 - COUNTIF(BB36, ""&lt;&gt;-"")
)"),2.0)</f>
        <v>2</v>
      </c>
      <c r="BD36" s="181" t="s">
        <v>1070</v>
      </c>
      <c r="BE36" s="178" t="b">
        <v>0</v>
      </c>
      <c r="BF36" s="180" t="b">
        <v>0</v>
      </c>
      <c r="BG36" s="180" t="b">
        <v>0</v>
      </c>
      <c r="BH36" s="180" t="b">
        <v>0</v>
      </c>
      <c r="BI36" s="180" t="b">
        <v>0</v>
      </c>
      <c r="BJ36" s="180" t="b">
        <v>0</v>
      </c>
      <c r="BK36" s="180" t="b">
        <v>0</v>
      </c>
      <c r="BL36" s="180" t="b">
        <v>0</v>
      </c>
      <c r="BM36" s="180" t="b">
        <v>0</v>
      </c>
      <c r="BN36" s="180" t="b">
        <v>0</v>
      </c>
      <c r="BO36" s="181" t="s">
        <v>1070</v>
      </c>
      <c r="BP36" s="181" t="s">
        <v>1070</v>
      </c>
      <c r="BQ36" s="181" t="s">
        <v>1070</v>
      </c>
      <c r="BR36" s="181" t="s">
        <v>1070</v>
      </c>
      <c r="BS36" s="181" t="s">
        <v>1070</v>
      </c>
      <c r="BT36" s="184">
        <f>IFERROR(__xludf.DUMMYFUNCTION("IF(
  ISNUMBER(BT35),
  MIN(MAX(
    BT35
    + MAX(
      ROUNDDOWN((D36 - MAX(IFERROR(FILTER(D$24:D35, BT$24:BT35 &lt;&gt; BS$6, BT$23:BT34 = BS$6), 0))) * (60 * 60 * 24) / BS$9) - ROUNDDOWN((D35 - MAX(IFERROR(FILTER(D$23:D34, BT$23:BT34 &lt;&gt; BS$6, BT$22:BT33 ="&amp;" BS$6), 0))) * (60 * 60 * 24) / BS$9),
      0
    )
    - COUNTIF(BS36, ""&lt;&gt;-""),
  0), BS$6),
  BS$6 - COUNTIF(BS36, ""&lt;&gt;-"")
)"),3.0)</f>
        <v>3</v>
      </c>
      <c r="BU36" s="181" t="s">
        <v>1070</v>
      </c>
      <c r="BV36" s="181" t="s">
        <v>1070</v>
      </c>
      <c r="BW36" s="184">
        <f>IFERROR(__xludf.DUMMYFUNCTION("IF(
  ISNUMBER(BW35),
  MIN(MAX(
    BW35
    + MAX(
      ROUNDDOWN((D36 - MAX(IFERROR(FILTER(D$24:D35, BW$24:BW35 &lt;&gt; BV$6, BW$23:BW34 = BV$6), 0))) * (60 * 60 * 24) / BV$9) - ROUNDDOWN((D35 - MAX(IFERROR(FILTER(D$23:D34, BW$23:BW34 &lt;&gt; BV$6, BW$22:BW33 ="&amp;" BV$6), 0))) * (60 * 60 * 24) / BV$9),
      0
    )
    - COUNTIF(BV36, ""&lt;&gt;-""),
  0), BV$6),
  BV$6 - COUNTIF(BV36, ""&lt;&gt;-"")
)"),2.0)</f>
        <v>2</v>
      </c>
      <c r="BX36" s="185" t="s">
        <v>1070</v>
      </c>
      <c r="BY36" s="178" t="b">
        <v>0</v>
      </c>
      <c r="BZ36" s="180" t="b">
        <v>0</v>
      </c>
      <c r="CA36" s="180" t="b">
        <v>0</v>
      </c>
      <c r="CB36" s="180" t="b">
        <v>0</v>
      </c>
      <c r="CC36" s="180" t="b">
        <v>0</v>
      </c>
      <c r="CD36" s="180" t="b">
        <v>0</v>
      </c>
      <c r="CE36" s="180" t="b">
        <v>0</v>
      </c>
      <c r="CF36" s="180" t="b">
        <v>0</v>
      </c>
      <c r="CG36" s="180" t="b">
        <v>0</v>
      </c>
      <c r="CH36" s="180" t="b">
        <v>0</v>
      </c>
      <c r="CI36" s="180" t="b">
        <v>0</v>
      </c>
      <c r="CJ36" s="180" t="b">
        <v>0</v>
      </c>
      <c r="CK36" s="180" t="b">
        <v>0</v>
      </c>
      <c r="CL36" s="180" t="b">
        <v>0</v>
      </c>
      <c r="CM36" s="181" t="s">
        <v>1070</v>
      </c>
      <c r="CN36" s="181" t="s">
        <v>1070</v>
      </c>
      <c r="CO36" s="181" t="s">
        <v>1070</v>
      </c>
      <c r="CP36" s="181" t="s">
        <v>1070</v>
      </c>
      <c r="CQ36" s="185" t="s">
        <v>1070</v>
      </c>
      <c r="CR36" s="180" t="b">
        <v>0</v>
      </c>
      <c r="CS36" s="186" t="str">
        <f t="shared" si="14"/>
        <v>◇◇◇</v>
      </c>
      <c r="CT36" s="178" t="b">
        <v>0</v>
      </c>
      <c r="CU36" s="180" t="b">
        <v>0</v>
      </c>
      <c r="CV36" s="180" t="b">
        <v>0</v>
      </c>
      <c r="CW36" s="180" t="b">
        <v>0</v>
      </c>
      <c r="CX36" s="180" t="b">
        <v>0</v>
      </c>
      <c r="CY36" s="180" t="b">
        <v>0</v>
      </c>
      <c r="CZ36" s="180" t="b">
        <v>0</v>
      </c>
      <c r="DA36" s="180" t="b">
        <v>0</v>
      </c>
      <c r="DB36" s="180" t="b">
        <v>0</v>
      </c>
      <c r="DC36" s="180" t="b">
        <v>0</v>
      </c>
      <c r="DD36" s="181" t="s">
        <v>1070</v>
      </c>
      <c r="DE36" s="181" t="s">
        <v>1070</v>
      </c>
      <c r="DF36" s="181" t="s">
        <v>1070</v>
      </c>
      <c r="DG36" s="185" t="s">
        <v>1070</v>
      </c>
      <c r="DH36" s="180" t="b">
        <v>0</v>
      </c>
      <c r="DI36" s="187" t="str">
        <f>IFERROR(__xludf.DUMMYFUNCTION("SWITCH(
  IF(
    ISTEXT(DI35),
    IF (
      FIND(""○"", DI35&amp;""○"") &gt; 3,
      3,
      FIND(""○"", DI35&amp;""○"")
      + MAX(
        ROUNDDOWN(($D36 - MAX(IFERROR(FILTER(D$24:D35, DI$24:DI35 &lt;&gt; ""●●●"", DI$23:DI34 = ""●●●""), 0))) * (60 * 60 * 24) / 20"&amp;") - ROUNDDOWN(($D35 - MAX(IFERROR(FILTER(D$23:D34, DI$23:DI34 &lt;&gt; ""●●●"", DI$22:DI33 = ""●●●""), 0))) * (60 * 60 * 24) / 20),
        0
      ) - 1
    ) - COUNTIFS(CU36, ""=TRUE"", CU35, ""&lt;&gt;TRUE"") - COUNTIF(CZ36, ""=TRUE"") - COUNTIF({DD36,DE36}, ""&lt;&gt;-"&amp;""") + COUNTIF(DH36, ""=TRUE""),
    3
  ),
  0, ""○○○"", 1, ""●○○"", 2, ""●●○"", 3, ""●●●"", 4, ""●●●"", ""○○○""
)"),"●●●")</f>
        <v>●●●</v>
      </c>
      <c r="DJ36" s="188" t="b">
        <v>0</v>
      </c>
      <c r="DK36" s="189" t="b">
        <v>0</v>
      </c>
      <c r="DL36" s="190" t="b">
        <v>0</v>
      </c>
      <c r="DM36" s="190" t="b">
        <v>0</v>
      </c>
      <c r="DN36" s="190" t="b">
        <v>0</v>
      </c>
      <c r="DO36" s="190" t="b">
        <v>0</v>
      </c>
      <c r="DP36" s="190" t="b">
        <v>0</v>
      </c>
      <c r="DQ36" s="191" t="b">
        <v>0</v>
      </c>
      <c r="DR36" s="192" t="b">
        <v>0</v>
      </c>
      <c r="DS36" s="191" t="b">
        <v>0</v>
      </c>
      <c r="DT36" s="192" t="b">
        <v>0</v>
      </c>
      <c r="DU36" s="191" t="b">
        <v>0</v>
      </c>
      <c r="DV36" s="193" t="s">
        <v>1070</v>
      </c>
      <c r="DW36" s="194" t="b">
        <v>0</v>
      </c>
      <c r="DX36" s="194" t="b">
        <v>0</v>
      </c>
      <c r="DY36" s="195" t="b">
        <v>0</v>
      </c>
      <c r="DZ36" s="196" t="b">
        <v>0</v>
      </c>
      <c r="EA36" s="195" t="b">
        <v>0</v>
      </c>
      <c r="EB36" s="197" t="b">
        <v>0</v>
      </c>
      <c r="EC36" s="197" t="b">
        <v>0</v>
      </c>
      <c r="ED36" s="212" t="b">
        <v>0</v>
      </c>
      <c r="EE36" s="199">
        <f>IFERROR(__xludf.DUMMYFUNCTION("IFERROR(
   PRODUCT(
     MAP(
       INDEX(TRANSPOSE(UNIQUE(TRANSPOSE(FILTER({IF($F36=""Physical"", K$10:ED$10, IF($F36=""Magic"", K$11:ED$11, K$12:ED$12));K$4:ED$4;K36:ED36}, K36:ED36=TRUE)))), 1, 0),
       INDEX(TRANSPOSE(UNIQUE(TRANSPOSE(FILTER({IF($"&amp;"F36=""Physical"", K$18:ED$18, IF($F36=""Magic"", K$19:ED$19, K$20:ED$20));K$4:ED$4;K36:ED36}, K36:ED36=TRUE)))), 1, 0),
       INDEX(TRANSPOSE(UNIQUE(TRANSPOSE(FILTER({K$5:ED$5;K$4:ED$4;K36:ED36}, K36:ED36=TRUE)))), 1, 0),
       INDEX(TRANSPOSE(UNIQUE(TR"&amp;"ANSPOSE(FILTER({K$17:ED$17;K$4:ED$4;K36:ED36}, K36:ED36=TRUE)))), 1, 0),
       LAMBDA(
         mitigation,
         enhance,
         assign,
         precondition,
         IF(
           REGEXMATCH(assign, ""RANGE_PARTY|SINGLE_ENEMY|RANGE_ENEMY""),
  "&amp;"         IF(
             OR(ARRAYFORMULA((IF(precondition="""", FALSE, REGEXMATCH(K$4:ED$4, precondition))) * (K36:ED36=TRUE))),
             IF(ISNUMBER(enhance), enhance, 1),
             IF(ISNUMBER(mitigation), mitigation, 1)
           ),
          "&amp;" 1
         )
       )
     )
   ),
   1
 )"),1.0)</f>
        <v>1</v>
      </c>
      <c r="EF36" s="200">
        <f>IFERROR(__xludf.DUMMYFUNCTION("PRODUCT(
   MAP(
     K$14:ED$14,
     K$13:ED$13,
     K36:ED36,
     LAMBDA(
       buff,
       target,
       check,
       IF(
         AND(check=TRUE, REGEXMATCH(target, ""RANGE_AFFECTED_ALL|RANGE_EFFECTED_ALL""), ISNUMBER(buff)),
         buff,
   "&amp;"      1
       )
     )
   )
 )"),1.0)</f>
        <v>1</v>
      </c>
      <c r="EG36" s="200">
        <f>IFERROR(__xludf.DUMMYFUNCTION("PRODUCT(
   MAP(
     K$14:ED$14,
     K$13:ED$13,
     K36:ED36,
     LAMBDA(
       buff,
       target,
       check,
       IF(
         AND(check=TRUE, REGEXMATCH(target, ""RANGE_AFFECTED_GCD|RANGE_EFFECTED_GCD""), ISNUMBER(buff)),
         buff,
   "&amp;"      1
       )
     )
   )
 )"),1.0)</f>
        <v>1</v>
      </c>
      <c r="EH36" s="200">
        <f>IFERROR(__xludf.DUMMYFUNCTION("PRODUCT(
   MAP(
     K$3:ED$3,
     K$14:ED$14,
     K$13:ED$13,
     K36:ED36,
     LAMBDA(
       job,
       buff,
       target,
       check,
       IF(
         AND(check=TRUE, REGEXMATCH(target, ""SELF_EFFECTED_ALL""), ISNUMBER(buff), job=""白魔道士"""&amp;"),
         buff,
         1
       )
     )
   )
 )"),1.0)</f>
        <v>1</v>
      </c>
      <c r="EI36" s="200">
        <f>IFERROR(__xludf.DUMMYFUNCTION("PRODUCT(
   MAP(
     K$3:ED$3,
     K$14:ED$14,
     K$13:ED$13,
     K36:ED36,
     LAMBDA(
       job,
       buff,
       target,
       check,
       IF(
         AND(check=TRUE, REGEXMATCH(target, ""SELF_EFFECTED_GCD""), ISNUMBER(buff), job=""白魔道士"""&amp;"),
         buff,
         1
       )
     )
   )
 )"),1.0)</f>
        <v>1</v>
      </c>
      <c r="EJ36" s="200">
        <f>IFERROR(__xludf.DUMMYFUNCTION("PRODUCT(
   MAP(
     K$3:ED$3,
     K$14:ED$14,
     K$13:ED$13,
     K36:ED36,
     LAMBDA(
       job,
       buff,
       target,
       check,
       IF(
         AND(check=TRUE, REGEXMATCH(target, ""SELF_EFFECTED_ALL""), ISNUMBER(buff), job=""占星術師"""&amp;"),
         buff,
         1
       )
     )
   )
 )"),1.0)</f>
        <v>1</v>
      </c>
      <c r="EK36" s="200">
        <f>IFERROR(__xludf.DUMMYFUNCTION("PRODUCT(
   MAP(
     K$3:ED$3,
     K$14:ED$14,
     K$13:ED$13,
     K36:ED36,
     LAMBDA(
       job,
       buff,
       target,
       check,
       IF(
         AND(check=TRUE, REGEXMATCH(target, ""SELF_EFFECTED_GCD""), ISNUMBER(buff), job=""占星術師"""&amp;"),
         buff,
         1
       )
     )
   )
 )"),1.0)</f>
        <v>1</v>
      </c>
      <c r="EL36" s="200">
        <f>IFERROR(__xludf.DUMMYFUNCTION("PRODUCT(
   MAP(
     K$3:ED$3,
     K$14:ED$14,
     K$13:ED$13,
     K36:ED36,
     LAMBDA(
       job,
       buff,
       target,
       check,
       IF(
         AND(check=TRUE, REGEXMATCH(target, ""SELF_EFFECTED_ALL""), ISNUMBER(buff), job=""学者""),"&amp;"
         buff,
         1
       )
     )
   )
 )"),1.0)</f>
        <v>1</v>
      </c>
      <c r="EM36" s="200">
        <f>IFERROR(__xludf.DUMMYFUNCTION("PRODUCT(
   MAP(
     K$3:ED$3,
     K$14:ED$14,
     K$13:ED$13,
     K36:ED36,
     LAMBDA(
       job,
       buff,
       target,
       check,
       IF(
         AND(check=TRUE, REGEXMATCH(target, ""SELF_EFFECTED_GCD""), ISNUMBER(buff), job=""学者""),"&amp;"
         buff,
         1
       )
     )
   )
 )"),1.0)</f>
        <v>1</v>
      </c>
      <c r="EN36" s="200">
        <f>IFERROR(__xludf.DUMMYFUNCTION("PRODUCT(
   MAP(
     K$3:ED$3,
     K$14:ED$14,
     K$13:ED$13,
     K36:ED36,
     LAMBDA(
       job,
       buff,
       target,
       check,
       IF(
         AND(check=TRUE, REGEXMATCH(target, ""SELF_EFFECTED_ALL""), ISNUMBER(buff), job=""賢者""),"&amp;"
         buff,
         1
       )
     )
   )
 )"),1.0)</f>
        <v>1</v>
      </c>
      <c r="EO36" s="200">
        <f>IFERROR(__xludf.DUMMYFUNCTION("PRODUCT(
   MAP(
     K$3:ED$3,
     K$14:ED$14,
     K$13:ED$13,
     K36:ED36,
     LAMBDA(
       job,
       buff,
       target,
       check,
       IF(
         AND(check=TRUE, REGEXMATCH(target, ""SELF_EFFECTED_GCD""), ISNUMBER(buff), job=""賢者""),"&amp;"
         buff,
         1
       )
     )
   )
 )"),1.0)</f>
        <v>1</v>
      </c>
      <c r="EP36" s="201">
        <f t="shared" si="3"/>
        <v>0</v>
      </c>
      <c r="EQ36" s="201">
        <f>IFERROR(__xludf.DUMMYFUNCTION("SUM(
   MAP(
     K$4:ED$4,
     K$3:ED$3,
     K$7:ED$7,
     K$15:ED$15,
     K$16:ED$16,
     K$21:ED$21,
     K$5:ED$5,
     K$17:ED$17,
     K36:ED36,
     LAMBDA(
       name,
       job,
       abillity,
       buff,
       barrier,
       enhance,"&amp;"
       assign,
       precondition,
       check,
       SWITCH(
         name,
         ""シェイクオフ"", IF(check=TRUE, buff + (0.02 * COUNTIF(ARRAYFORMULA((REGEXMATCH($K$4:$ED$4, ""スリル・オブ・バトル|ヴェンジェンス|原初の血気|ダムネーション"")) * (K36:ED36=TRUE)), 1)), 0),
         "&amp;"""インプロビゼーションフィニッシュ(踊りの激情0)"", IF(ISNUMBER(check), INDEX(Skill!$AJ:$AJ, MATCH(SUBSTITUTE(DV$4, 0, check), Skill!$C:$C, 0)), 0),
         IF(
           AND(check=TRUE, REGEXMATCH(assign, ""RANGE_PARTY"")),
           IF(
             OR(ARRAYFORMULA((IF(pr"&amp;"econdition="""", FALSE, REGEXMATCH($K$4:$ED$4, precondition))) * (K36:ED36=TRUE))),
             enhance,
             IF(barrier="""", buff, barrier)
           ),
           0
         )
       ) *
       SWITCH(
         job,
         ""ナイト"", EY$24,
 "&amp;"        ""戦士"", FD$24,
         ""踊り子"", ET$24,
         ""ピクトマンサー"", ET$24,
         ""白魔道士"", EF36 * EH36 * IF(abillity, 1, EG36 * EI36) * (Option!$D$22 * 0.81 / 100),
         ""占星術師"", EF36 * EJ36 * IF(abillity, 1, EG36 * EK36) * (Option!$D$23 * 0.81 "&amp;"/ 100),
         ""学者"", EF36 * EL36 * IF(abillity, 1, EG36 * EM36) * (Option!$D$24 * 0.81 / 100),
         ""賢者"", EF36 * EN36 * IF(abillity, 1, EG36 * EO36) * (Option!$D$25 * 0.81 / 100),
         1
       )
     )
   )
 )"),0.0)</f>
        <v>0</v>
      </c>
      <c r="ER36" s="202">
        <f t="shared" si="4"/>
        <v>0</v>
      </c>
      <c r="ES36" s="203">
        <f t="shared" si="5"/>
        <v>0</v>
      </c>
      <c r="ET36" s="231" t="str">
        <f>IFERROR(__xludf.DUMMYFUNCTION("IFS(
  EP36 &gt; $ET$24 + EQ36,
  SPARKLINE({ 1, 0 }, {""charttype"",""bar"";""max"", 1;""color1"",Option!$D$30;""color2"",Option!$D$30}),
  EP36 &lt; EQ36,
  SPARKLINE({EQ36 - EP36, $ET$24 - (EQ36 - EP36)}, {""charttype"",""bar"";""max"",$ET$24;""color1"",Opti"&amp;"on!$D$28;""color2"",Option!$D$29}),
  EP36 &gt;= EQ36,
  SPARKLINE({$ET$24 + EQ36 - EP36,EP36 - EQ36}, {""charttype"",""bar"";""max"",$ET$24;""color1"",Option!$D$29;""color2"",Option!$D$30})
)"),"")</f>
        <v/>
      </c>
      <c r="EU36" s="205">
        <f>IFERROR(__xludf.DUMMYFUNCTION("PRODUCT(
   MAP(
     IF($F36=""Physical"", K$10:ED$10, IF($F36=""Magic"", K$11:ED$11, K$12:ED$12)),
     IF($F36=""Physical"", K$18:ED$18, IF($F36=""Magic"", K$19:ED$19, K$20:ED$20)),
     K$3:ED$3,
     K$5:ED$5,
     K$17:ED$17,
     K36:ED36,
     LAM"&amp;"BDA(
       mitigation,
       enhance,
       job,
       assign,
       precondition,
       check,
       IF(
         OR(AND(check=TRUE, REGEXMATCH(assign, ""SELF""), job=""ナイト""), AND(check=Option!$E$13, REGEXMATCH(assign, ""SINGLE_PARTY""))),
      "&amp;"   IF(
           OR(ARRAYFORMULA((IF(precondition="""", FALSE, REGEXMATCH($K$4:$ED$4, precondition))) * (K36:ED36=TRUE))),
           enhance,
           mitigation
         ),
         1
       )
     )
   )
 ) * EE36"),1.0)</f>
        <v>1</v>
      </c>
      <c r="EV36" s="206">
        <f t="shared" si="6"/>
        <v>0</v>
      </c>
      <c r="EW36" s="205">
        <f>IFERROR(__xludf.DUMMYFUNCTION("PRODUCT(
   MAP(
     K$3:ED$3,
     K$14:ED$14,
     K$13:ED$13,
     K36:ED36,
     LAMBDA(
       job,
       buff,
       target,
       check,
       IF(
         OR(AND(check=TRUE, REGEXMATCH(target, ""SELF_AFFECTED_ALL""), job=""ナイト""), AND(check=O"&amp;"ption!$E$13, REGEXMATCH(target, ""SINGLE_AFFECTED_ALL""))),
         buff,
         1
       )
     )
   )
 )"),1.0)</f>
        <v>1</v>
      </c>
      <c r="EX36" s="206">
        <f>IFERROR(__xludf.DUMMYFUNCTION("SUM(
   MAP(
     K$3:ED$3,
     K$7:ED$7,
     K$15:ED$15,
     K$16:ED$16,
     K$21:ED$21,
     K$5:ED$5,
     K$17:ED$17,
     K36:ED36,
     LAMBDA(
       job,
       abillity,
       buff,
       barrier,
       enhance,
       assign,
       preco"&amp;"ndition,
       check,
       IF(
         OR(AND(check=TRUE, REGEXMATCH(assign, ""SELF""), job=""ナイト""), AND(check=Option!$E$13, REGEXMATCH(assign, ""SINGLE_PARTY""))),
         IF(
           OR(ARRAYFORMULA((IF(precondition="""", FALSE, REGEXMATCH($K$4"&amp;":$ED$4, precondition))) * (K36:ED36=TRUE))),
           enhance,
           IF(barrier="""", buff, barrier)
         ),
         0
       ) *
       SWITCH(
         job,
         ""暗黒騎士"", EY$24,
         ""白魔道士"", EF36 * EH36 * EW36 * IF(abillity, 1, EG"&amp;"36 * EI36) * (Option!$D$22 * 0.81 / 100),
         ""占星術師"", EF36 * EJ36 * EW36 * IF(abillity, 1, EG36 * EK36) * (Option!$D$23 * 0.81 / 100),
         ""学者"", EF36 * EL36 * EW36 * IF(abillity, 1, EG36 * EM36) * (Option!$D$24 * 0.81 / 100),
         ""賢者"""&amp;", EF36 * EN36 * EW36 * IF(abillity, 1, EG36 * EO36) * (Option!$D$25 * 0.81 / 100),
         1
       )
     )
   )
 ) + EQ36"),0.0)</f>
        <v>0</v>
      </c>
      <c r="EY36" s="232">
        <f t="shared" si="7"/>
        <v>0</v>
      </c>
      <c r="EZ36" s="205">
        <f>IFERROR(__xludf.DUMMYFUNCTION("PRODUCT(
   MAP(
     IF($F36=""Physical"", K$10:ED$10, IF($F36=""Magic"", K$11:ED$11, K$12:ED$12)),
     IF($F36=""Physical"", K$18:ED$18, IF($F36=""Magic"", K$19:ED$19, K$20:ED$20)),
     K$3:ED$3,
     K$5:ED$5,
     K$17:ED$17,
     K36:ED36,
     LAM"&amp;"BDA(
       mitigation,
       enhance,
       job,
       assign,
       precondition,
       check,
       IF(
         OR(AND(check=TRUE, REGEXMATCH(assign, ""SELF""), job=""戦士""), AND(check=Option!$F$13, REGEXMATCH(assign, ""SINGLE_PARTY""))),
       "&amp;"  IF(
           OR(ARRAYFORMULA((IF(precondition="""", FALSE, REGEXMATCH($K$4:$ED$4, precondition))) * (K36:ED36=TRUE))),
           enhance,
           mitigation
         ),
         1
       )
     )
   )
 ) * EE36"),1.0)</f>
        <v>1</v>
      </c>
      <c r="FA36" s="206">
        <f t="shared" si="8"/>
        <v>0</v>
      </c>
      <c r="FB36" s="205">
        <f>IFERROR(__xludf.DUMMYFUNCTION("PRODUCT(
   MAP(
     K$3:ED$3,
     K$14:ED$14,
     K$13:ED$13,
     K36:ED36,
     LAMBDA(
       job,
       buff,
       target,
       check,
       IF(
         OR(AND(check=TRUE, REGEXMATCH(target, ""SELF_AFFECTED_ALL""), job=""戦士""), AND(check=Op"&amp;"tion!$F$13, REGEXMATCH(target, ""SINGLE_AFFECTED_ALL""))),
         buff,
         1
       )
     )
   )
 )"),1.0)</f>
        <v>1</v>
      </c>
      <c r="FC36" s="206">
        <f>IFERROR(__xludf.DUMMYFUNCTION("SUM(
   MAP(
     K$3:ED$3,
     K$7:ED$7,
     K$15:ED$15,
     K$16:ED$16,
     K$21:ED$21,
     K$5:ED$5,
     K$17:ED$17,
     K36:ED36,
     LAMBDA(
       job,
       abillity,
       buff,
       barrier,
       enhance,
       assign,
       preco"&amp;"ndition,
       check,
       IF(
         OR(AND(check=TRUE, REGEXMATCH(assign, ""SELF""), job=""戦士""), AND(check=Option!$F$13, REGEXMATCH(assign, ""SINGLE_PARTY""))),
         IF(
           OR(ARRAYFORMULA((IF(precondition="""", FALSE, REGEXMATCH($K$4:"&amp;"$ED$4, precondition))) * (K36:ED36=TRUE))),
           enhance,
           IF(barrier="""", buff, barrier)
         ),
         0
       ) *
       SWITCH(
         job,
         ""暗黒騎士"", FD$24,
         ""白魔道士"", EF36 * EH36 * FB36 * IF(abillity, 1, EG3"&amp;"6 * EI36) * (Option!$D$22 * 0.81 / 100),
         ""占星術師"", EF36 * EJ36 * FFB36 * IF(abillity, 1, EG36 * EK36) * (Option!$D$23 * 0.81 / 100),
         ""学者"", EF36 * EL36 * FB36 * IF(abillity, 1, EG36 * EM36) * (Option!$D$24 * 0.81 / 100),
         ""賢者"""&amp;", EF36 * EN36 * FB36 * IF(abillity, 1, EG36 * EO36) * (Option!$D$25 * 0.81 / 100),
         1
       )
     )
   )
 ) + EQ36"),0.0)</f>
        <v>0</v>
      </c>
      <c r="FD36" s="206">
        <f t="shared" si="9"/>
        <v>0</v>
      </c>
      <c r="FE36" s="205">
        <f>IFERROR(__xludf.DUMMYFUNCTION("PRODUCT(
   MAP(
     IF($F36=""Physical"", K$10:ED$10, IF($F36=""Magic"", K$11:ED$11, K$12:ED$12)),
     IF($F36=""Physical"", K$18:ED$18, IF($F36=""Magic"", K$19:ED$19, K$20:ED$20)),
     K$3:ED$3,
     K$5:ED$5,
     K$17:ED$17,
     K36:ED36,
     LAM"&amp;"BDA(
       mitigation,
       enhance,
       job,
       assign,
       precondition,
       check,
       IF(
         OR(AND(check=TRUE, REGEXMATCH(assign, ""SELF""), job=""暗黒騎士""), AND(check=Option!$G$13, REGEXMATCH(assign, ""SINGLE_PARTY""))),
     "&amp;"    IF(
           OR(ARRAYFORMULA((IF(precondition="""", FALSE, REGEXMATCH($K$4:$ED$4, precondition))) * (K36:ED36=TRUE))),
           enhance,
           mitigation
         ),
         1
       )
     )
   )
 ) * EE36"),1.0)</f>
        <v>1</v>
      </c>
      <c r="FF36" s="206">
        <f t="shared" si="10"/>
        <v>0</v>
      </c>
      <c r="FG36" s="205">
        <f>IFERROR(__xludf.DUMMYFUNCTION("PRODUCT(
   MAP(
     K$3:ED$3,
     K$14:ED$14,
     K$13:ED$13,
     K36:ED36,
     LAMBDA(
       job,
       buff,
       target,
       check,
       IF(
         OR(AND(check=TRUE, REGEXMATCH(target, ""SELF_AFFECTED_ALL""), job=""暗黒騎士""), AND(check="&amp;"Option!$G$13, REGEXMATCH(target, ""SINGLE_AFFECTED_ALL""))),
         buff,
         1
       )
     )
   )
 )"),1.0)</f>
        <v>1</v>
      </c>
      <c r="FH36" s="206">
        <f>IFERROR(__xludf.DUMMYFUNCTION("SUM(
   MAP(
     K$3:ED$3,
     K$7:ED$7,
     K$15:ED$15,
     K$16:ED$16,
     K$21:ED$21,
     K$5:ED$5,
     K$17:ED$17,
     K36:ED36,
     LAMBDA(
       job,
       abillity,
       buff,
       barrier,
       enhance,
       assign,
       preco"&amp;"ndition,
       check,
       IF(
         OR(AND(check=TRUE, REGEXMATCH(assign, ""SELF""), job=""暗黒騎士""), AND(check=Option!$G$13, REGEXMATCH(assign, ""SINGLE_PARTY""))),
         IF(
           OR(ARRAYFORMULA((IF(precondition="""", FALSE, REGEXMATCH($K$"&amp;"4:$ED$4, precondition))) * (K36:ED36=TRUE))),
           enhance,
           IF(barrier="""", buff, barrier)
         ),
         0
       ) *
       SWITCH(
         job,
         ""暗黒騎士"", FI$24,
         ""白魔道士"", EF36 * EH36 * FG36 * IF(abillity, 1, E"&amp;"G36 * EI36) * (Option!$D$22 * 0.81 / 100),
         ""占星術師"", EF36 * EJ36 * FG36 * IF(abillity, 1, EG36 * EK36) * (Option!$D$23 * 0.81 / 100),
         ""学者"", EF36 * EL36 * FG36 * IF(abillity, 1, EG36 * EM36) * (Option!$D$24 * 0.81 / 100),
         ""賢者"&amp;""", EF36 * EN36 * FG36 * IF(abillity, 1, EG36 * EO36) * (Option!$D$25 * 0.81 / 100),
         1
       )
     )
   )
 ) + EQ36"),0.0)</f>
        <v>0</v>
      </c>
      <c r="FI36" s="206">
        <f t="shared" si="11"/>
        <v>0</v>
      </c>
      <c r="FJ36" s="205">
        <f>IFERROR(__xludf.DUMMYFUNCTION("PRODUCT(
   MAP(
     IF($F36=""Physical"", K$10:ED$10, IF($F36=""Magic"", K$11:ED$11, K$12:ED$12)),
     IF($F36=""Physical"", K$18:ED$18, IF($F36=""Magic"", K$19:ED$19, K$20:ED$20)),
     K$3:ED$3,
     K$5:ED$5,
     K$17:ED$17,
     K36:ED36,
     LAM"&amp;"BDA(
       mitigation,
       enhance,
       job,
       assign,
       precondition,
       check,
       IF(
         OR(AND(check=TRUE, REGEXMATCH(assign, ""SELF""), job=""ガンブレイカー""), AND(check=Option!$H$13, REGEXMATCH(assign, ""SINGLE_PARTY""))),
  "&amp;"       IF(
           OR(ARRAYFORMULA((IF(precondition="""", FALSE, REGEXMATCH($K$4:$ED$4, precondition))) * (K36:ED36=TRUE))),
           enhance,
           mitigation
         ),
         1
       )
     )
   )
 ) * EE36"),1.0)</f>
        <v>1</v>
      </c>
      <c r="FK36" s="206">
        <f t="shared" si="12"/>
        <v>0</v>
      </c>
      <c r="FL36" s="205">
        <f>IFERROR(__xludf.DUMMYFUNCTION("PRODUCT(
   MAP(
     K$3:ED$3,
     K$14:ED$14,
     K$13:ED$13,
     K36:ED36,
     LAMBDA(
       job,
       buff,
       target,
       check,
       IF(
         OR(AND(check=TRUE, REGEXMATCH(target, ""SELF_AFFECTED_ALL""), job=""ガンブレイカー""), AND(che"&amp;"ck=Option!$H$13, REGEXMATCH(target, ""SINGLE_AFFECTED_ALL""))),
         buff,
         1
       )
     )
   )
 )"),1.0)</f>
        <v>1</v>
      </c>
      <c r="FM36" s="206">
        <f>IFERROR(__xludf.DUMMYFUNCTION("SUM(
   MAP(
     K$3:ED$3,
     K$7:ED$7,
     K$15:ED$15,
     K$16:ED$16,
     K$21:ED$21,
     K$5:ED$5,
     K$17:ED$17,
     K36:ED36,
     LAMBDA(
       job,
       abillity,
       buff,
       barrier,
       enhance,
       assign,
       preco"&amp;"ndition,
       check,
       IF(
         OR(AND(check=TRUE, REGEXMATCH(assign, ""SELF""), job=""ガンブレイカー""), AND(check=Option!$H$13, REGEXMATCH(assign, ""SINGLE_PARTY""))),
         IF(
           OR(ARRAYFORMULA((IF(precondition="""", FALSE, REGEXMATCH("&amp;"$K$4:$ED$4, precondition))) * (K36:ED36=TRUE))),
           enhance,
           IF(barrier="""", buff, barrier)
         ),
         0
       ) *
       SWITCH(
         job,
         ""暗黒騎士"", FN$24,
         ""白魔道士"", EF36 * EH36 * FL36 * IF(abillity, 1"&amp;", EG36 * EI36) * (Option!$D$22 * 0.81 / 100),
         ""占星術師"", EF36 * EJ36 * FL36 * IF(abillity, 1, EG36 * EK36) * (Option!$D$23 * 0.81 / 100),
         ""学者"", EF36 * EL36 * FL36 * IF(abillity, 1, EG36 * EM36) * (Option!$D$24 * 0.81 / 100),
         """&amp;"賢者"", EF36 * EN36 * FL36 * IF(abillity, 1, EG36 * EO36) * (Option!$D$25 * 0.81 / 100),
         1
       )
     )
   )
 ) + EQ36"),0.0)</f>
        <v>0</v>
      </c>
      <c r="FN36" s="206">
        <f t="shared" si="13"/>
        <v>0</v>
      </c>
      <c r="FO36" s="213"/>
    </row>
    <row r="37">
      <c r="B37" s="229"/>
      <c r="C37" s="217">
        <f t="shared" si="1"/>
        <v>0</v>
      </c>
      <c r="D37" s="236"/>
      <c r="E37" s="238"/>
      <c r="F37" s="167"/>
      <c r="G37" s="168" t="str">
        <f t="shared" si="2"/>
        <v/>
      </c>
      <c r="H37" s="169"/>
      <c r="I37" s="169"/>
      <c r="J37" s="169"/>
      <c r="K37" s="170" t="b">
        <v>0</v>
      </c>
      <c r="L37" s="170" t="b">
        <v>0</v>
      </c>
      <c r="M37" s="170" t="b">
        <v>0</v>
      </c>
      <c r="N37" s="171" t="s">
        <v>1070</v>
      </c>
      <c r="O37" s="172" t="b">
        <v>0</v>
      </c>
      <c r="P37" s="173" t="b">
        <v>0</v>
      </c>
      <c r="Q37" s="173" t="b">
        <v>0</v>
      </c>
      <c r="R37" s="173" t="b">
        <v>0</v>
      </c>
      <c r="S37" s="174" t="b">
        <v>0</v>
      </c>
      <c r="T37" s="175" t="b">
        <v>0</v>
      </c>
      <c r="U37" s="173" t="b">
        <v>0</v>
      </c>
      <c r="V37" s="171" t="s">
        <v>1070</v>
      </c>
      <c r="W37" s="172" t="b">
        <v>0</v>
      </c>
      <c r="X37" s="173" t="b">
        <v>0</v>
      </c>
      <c r="Y37" s="173" t="b">
        <v>0</v>
      </c>
      <c r="Z37" s="173" t="b">
        <v>0</v>
      </c>
      <c r="AA37" s="174" t="b">
        <v>0</v>
      </c>
      <c r="AB37" s="174" t="b">
        <v>0</v>
      </c>
      <c r="AC37" s="175" t="b">
        <v>0</v>
      </c>
      <c r="AD37" s="173" t="b">
        <v>0</v>
      </c>
      <c r="AE37" s="176" t="s">
        <v>1070</v>
      </c>
      <c r="AF37" s="171" t="s">
        <v>1070</v>
      </c>
      <c r="AG37" s="177">
        <f>IFERROR(__xludf.DUMMYFUNCTION("IF(
  ISNUMBER(AG36),
  MIN(MAX(
    AG36
    + MAX(
      ROUNDDOWN(($D37 - MAX(IFERROR(FILTER($D$24:$D36, AG$24:AG36 &lt;&gt; AF$6, AG$23:AG35 = AF$6), 0))) * (60 * 60 * 24) / AF$9) - ROUNDDOWN(($D36 - MAX(IFERROR(FILTER($D$23:$D35, AG$23:AG35 &lt;&gt; AF$6, AG$22:"&amp;"AG34 = AF$6), 0))) * (60 * 60 * 24) / 60),
      0
    )
    - COUNTIF(AF37, ""&lt;&gt;-""),
  0), AF$6),
  AF$6 - COUNTIF(AF37, ""&lt;&gt;-"")
)"),2.0)</f>
        <v>2</v>
      </c>
      <c r="AH37" s="173" t="b">
        <v>0</v>
      </c>
      <c r="AI37" s="173" t="b">
        <v>0</v>
      </c>
      <c r="AJ37" s="173" t="b">
        <v>0</v>
      </c>
      <c r="AK37" s="174" t="b">
        <v>0</v>
      </c>
      <c r="AL37" s="175" t="b">
        <v>0</v>
      </c>
      <c r="AM37" s="173" t="b">
        <v>0</v>
      </c>
      <c r="AN37" s="171" t="s">
        <v>1070</v>
      </c>
      <c r="AO37" s="173" t="b">
        <v>0</v>
      </c>
      <c r="AP37" s="173" t="b">
        <v>0</v>
      </c>
      <c r="AQ37" s="173" t="b">
        <v>0</v>
      </c>
      <c r="AR37" s="174" t="b">
        <v>0</v>
      </c>
      <c r="AS37" s="178" t="b">
        <v>0</v>
      </c>
      <c r="AT37" s="179" t="b">
        <v>0</v>
      </c>
      <c r="AU37" s="180" t="b">
        <v>0</v>
      </c>
      <c r="AV37" s="180" t="b">
        <v>0</v>
      </c>
      <c r="AW37" s="180" t="b">
        <v>0</v>
      </c>
      <c r="AX37" s="180" t="b">
        <v>0</v>
      </c>
      <c r="AY37" s="181" t="s">
        <v>1070</v>
      </c>
      <c r="AZ37" s="181" t="s">
        <v>1070</v>
      </c>
      <c r="BA37" s="184">
        <f>IFERROR(__xludf.DUMMYFUNCTION("IF(
  ISNUMBER(BA36),
  MIN(MAX(
    BA36
    + MAX(
      ROUNDDOWN((D37 - MAX(IFERROR(FILTER(D$24:D36, BA$24:BA36 &lt;&gt; AZ$6, BA$23:BA35 = AZ$6), 0))) * (60 * 60 * 24) / AZ$9) - ROUNDDOWN((D36 - MAX(IFERROR(FILTER(D$23:D35, BA$23:BA35 &lt;&gt; AZ$6, BA$22:BA34 ="&amp;" AZ$6), 0))) * (60 * 60 * 24) / AZ$9),
      0
    )
    - COUNTIF(AZ37, ""&lt;&gt;-""),
  0), AZ$6),
  AZ$6 - COUNTIF(AZ37, ""&lt;&gt;-"")
)"),2.0)</f>
        <v>2</v>
      </c>
      <c r="BB37" s="181" t="s">
        <v>1070</v>
      </c>
      <c r="BC37" s="183">
        <f>IFERROR(__xludf.DUMMYFUNCTION("IF(
  ISNUMBER(BC36),
  MIN(MAX(
    BC36
    + MAX(
      ROUNDDOWN(($D37 - MAX(IFERROR(FILTER($D$24:$D36, BC$24:BC36 &lt;&gt; BB$6, BC$23:BC35 = BB$6), 0))) * (60 * 60 * 24) / BB$9) - ROUNDDOWN(($D36 - MAX(IFERROR(FILTER($D$23:$D35, BC$23:BC35 &lt;&gt; BB$6, BC$22:"&amp;"BC34 = BB$6), 0))) * (60 * 60 * 24) / 60),
      0
    )
    - COUNTIF(BB37, ""&lt;&gt;-""),
  0), BB$6),
  BB$6 - COUNTIF(BB37, ""&lt;&gt;-"")
)"),2.0)</f>
        <v>2</v>
      </c>
      <c r="BD37" s="181" t="s">
        <v>1070</v>
      </c>
      <c r="BE37" s="178" t="b">
        <v>0</v>
      </c>
      <c r="BF37" s="180" t="b">
        <v>0</v>
      </c>
      <c r="BG37" s="180" t="b">
        <v>0</v>
      </c>
      <c r="BH37" s="180" t="b">
        <v>0</v>
      </c>
      <c r="BI37" s="180" t="b">
        <v>0</v>
      </c>
      <c r="BJ37" s="180" t="b">
        <v>0</v>
      </c>
      <c r="BK37" s="180" t="b">
        <v>0</v>
      </c>
      <c r="BL37" s="180" t="b">
        <v>0</v>
      </c>
      <c r="BM37" s="180" t="b">
        <v>0</v>
      </c>
      <c r="BN37" s="180" t="b">
        <v>0</v>
      </c>
      <c r="BO37" s="181" t="s">
        <v>1070</v>
      </c>
      <c r="BP37" s="181" t="s">
        <v>1070</v>
      </c>
      <c r="BQ37" s="181" t="s">
        <v>1070</v>
      </c>
      <c r="BR37" s="181" t="s">
        <v>1070</v>
      </c>
      <c r="BS37" s="181" t="s">
        <v>1070</v>
      </c>
      <c r="BT37" s="184">
        <f>IFERROR(__xludf.DUMMYFUNCTION("IF(
  ISNUMBER(BT36),
  MIN(MAX(
    BT36
    + MAX(
      ROUNDDOWN((D37 - MAX(IFERROR(FILTER(D$24:D36, BT$24:BT36 &lt;&gt; BS$6, BT$23:BT35 = BS$6), 0))) * (60 * 60 * 24) / BS$9) - ROUNDDOWN((D36 - MAX(IFERROR(FILTER(D$23:D35, BT$23:BT35 &lt;&gt; BS$6, BT$22:BT34 ="&amp;" BS$6), 0))) * (60 * 60 * 24) / BS$9),
      0
    )
    - COUNTIF(BS37, ""&lt;&gt;-""),
  0), BS$6),
  BS$6 - COUNTIF(BS37, ""&lt;&gt;-"")
)"),3.0)</f>
        <v>3</v>
      </c>
      <c r="BU37" s="181" t="s">
        <v>1070</v>
      </c>
      <c r="BV37" s="181" t="s">
        <v>1070</v>
      </c>
      <c r="BW37" s="184">
        <f>IFERROR(__xludf.DUMMYFUNCTION("IF(
  ISNUMBER(BW36),
  MIN(MAX(
    BW36
    + MAX(
      ROUNDDOWN((D37 - MAX(IFERROR(FILTER(D$24:D36, BW$24:BW36 &lt;&gt; BV$6, BW$23:BW35 = BV$6), 0))) * (60 * 60 * 24) / BV$9) - ROUNDDOWN((D36 - MAX(IFERROR(FILTER(D$23:D35, BW$23:BW35 &lt;&gt; BV$6, BW$22:BW34 ="&amp;" BV$6), 0))) * (60 * 60 * 24) / BV$9),
      0
    )
    - COUNTIF(BV37, ""&lt;&gt;-""),
  0), BV$6),
  BV$6 - COUNTIF(BV37, ""&lt;&gt;-"")
)"),2.0)</f>
        <v>2</v>
      </c>
      <c r="BX37" s="185" t="s">
        <v>1070</v>
      </c>
      <c r="BY37" s="178" t="b">
        <v>0</v>
      </c>
      <c r="BZ37" s="180" t="b">
        <v>0</v>
      </c>
      <c r="CA37" s="180" t="b">
        <v>0</v>
      </c>
      <c r="CB37" s="180" t="b">
        <v>0</v>
      </c>
      <c r="CC37" s="180" t="b">
        <v>0</v>
      </c>
      <c r="CD37" s="180" t="b">
        <v>0</v>
      </c>
      <c r="CE37" s="180" t="b">
        <v>0</v>
      </c>
      <c r="CF37" s="180" t="b">
        <v>0</v>
      </c>
      <c r="CG37" s="180" t="b">
        <v>0</v>
      </c>
      <c r="CH37" s="180" t="b">
        <v>0</v>
      </c>
      <c r="CI37" s="180" t="b">
        <v>0</v>
      </c>
      <c r="CJ37" s="180" t="b">
        <v>0</v>
      </c>
      <c r="CK37" s="180" t="b">
        <v>0</v>
      </c>
      <c r="CL37" s="180" t="b">
        <v>0</v>
      </c>
      <c r="CM37" s="181" t="s">
        <v>1070</v>
      </c>
      <c r="CN37" s="181" t="s">
        <v>1070</v>
      </c>
      <c r="CO37" s="181" t="s">
        <v>1070</v>
      </c>
      <c r="CP37" s="181" t="s">
        <v>1070</v>
      </c>
      <c r="CQ37" s="185" t="s">
        <v>1070</v>
      </c>
      <c r="CR37" s="180" t="b">
        <v>0</v>
      </c>
      <c r="CS37" s="186" t="str">
        <f t="shared" si="14"/>
        <v>◇◇◇</v>
      </c>
      <c r="CT37" s="178" t="b">
        <v>0</v>
      </c>
      <c r="CU37" s="180" t="b">
        <v>0</v>
      </c>
      <c r="CV37" s="180" t="b">
        <v>0</v>
      </c>
      <c r="CW37" s="180" t="b">
        <v>0</v>
      </c>
      <c r="CX37" s="180" t="b">
        <v>0</v>
      </c>
      <c r="CY37" s="180" t="b">
        <v>0</v>
      </c>
      <c r="CZ37" s="180" t="b">
        <v>0</v>
      </c>
      <c r="DA37" s="180" t="b">
        <v>0</v>
      </c>
      <c r="DB37" s="180" t="b">
        <v>0</v>
      </c>
      <c r="DC37" s="180" t="b">
        <v>0</v>
      </c>
      <c r="DD37" s="181" t="s">
        <v>1070</v>
      </c>
      <c r="DE37" s="181" t="s">
        <v>1070</v>
      </c>
      <c r="DF37" s="181" t="s">
        <v>1070</v>
      </c>
      <c r="DG37" s="185" t="s">
        <v>1070</v>
      </c>
      <c r="DH37" s="180" t="b">
        <v>0</v>
      </c>
      <c r="DI37" s="187" t="str">
        <f>IFERROR(__xludf.DUMMYFUNCTION("SWITCH(
  IF(
    ISTEXT(DI36),
    IF (
      FIND(""○"", DI36&amp;""○"") &gt; 3,
      3,
      FIND(""○"", DI36&amp;""○"")
      + MAX(
        ROUNDDOWN(($D37 - MAX(IFERROR(FILTER(D$24:D36, DI$24:DI36 &lt;&gt; ""●●●"", DI$23:DI35 = ""●●●""), 0))) * (60 * 60 * 24) / 20"&amp;") - ROUNDDOWN(($D36 - MAX(IFERROR(FILTER(D$23:D35, DI$23:DI35 &lt;&gt; ""●●●"", DI$22:DI34 = ""●●●""), 0))) * (60 * 60 * 24) / 20),
        0
      ) - 1
    ) - COUNTIFS(CU37, ""=TRUE"", CU36, ""&lt;&gt;TRUE"") - COUNTIF(CZ37, ""=TRUE"") - COUNTIF({DD37,DE37}, ""&lt;&gt;-"&amp;""") + COUNTIF(DH37, ""=TRUE""),
    3
  ),
  0, ""○○○"", 1, ""●○○"", 2, ""●●○"", 3, ""●●●"", 4, ""●●●"", ""○○○""
)"),"●●●")</f>
        <v>●●●</v>
      </c>
      <c r="DJ37" s="188" t="b">
        <v>0</v>
      </c>
      <c r="DK37" s="189" t="b">
        <v>0</v>
      </c>
      <c r="DL37" s="190" t="b">
        <v>0</v>
      </c>
      <c r="DM37" s="190" t="b">
        <v>0</v>
      </c>
      <c r="DN37" s="190" t="b">
        <v>0</v>
      </c>
      <c r="DO37" s="190" t="b">
        <v>0</v>
      </c>
      <c r="DP37" s="190" t="b">
        <v>0</v>
      </c>
      <c r="DQ37" s="191" t="b">
        <v>0</v>
      </c>
      <c r="DR37" s="192" t="b">
        <v>0</v>
      </c>
      <c r="DS37" s="191" t="b">
        <v>0</v>
      </c>
      <c r="DT37" s="192" t="b">
        <v>0</v>
      </c>
      <c r="DU37" s="191" t="b">
        <v>0</v>
      </c>
      <c r="DV37" s="193" t="s">
        <v>1070</v>
      </c>
      <c r="DW37" s="194" t="b">
        <v>0</v>
      </c>
      <c r="DX37" s="194" t="b">
        <v>0</v>
      </c>
      <c r="DY37" s="195" t="b">
        <v>0</v>
      </c>
      <c r="DZ37" s="196" t="b">
        <v>0</v>
      </c>
      <c r="EA37" s="195" t="b">
        <v>0</v>
      </c>
      <c r="EB37" s="197" t="b">
        <v>0</v>
      </c>
      <c r="EC37" s="197" t="b">
        <v>0</v>
      </c>
      <c r="ED37" s="212" t="b">
        <v>0</v>
      </c>
      <c r="EE37" s="199">
        <f>IFERROR(__xludf.DUMMYFUNCTION("IFERROR(
   PRODUCT(
     MAP(
       INDEX(TRANSPOSE(UNIQUE(TRANSPOSE(FILTER({IF($F37=""Physical"", K$10:ED$10, IF($F37=""Magic"", K$11:ED$11, K$12:ED$12));K$4:ED$4;K37:ED37}, K37:ED37=TRUE)))), 1, 0),
       INDEX(TRANSPOSE(UNIQUE(TRANSPOSE(FILTER({IF($"&amp;"F37=""Physical"", K$18:ED$18, IF($F37=""Magic"", K$19:ED$19, K$20:ED$20));K$4:ED$4;K37:ED37}, K37:ED37=TRUE)))), 1, 0),
       INDEX(TRANSPOSE(UNIQUE(TRANSPOSE(FILTER({K$5:ED$5;K$4:ED$4;K37:ED37}, K37:ED37=TRUE)))), 1, 0),
       INDEX(TRANSPOSE(UNIQUE(TR"&amp;"ANSPOSE(FILTER({K$17:ED$17;K$4:ED$4;K37:ED37}, K37:ED37=TRUE)))), 1, 0),
       LAMBDA(
         mitigation,
         enhance,
         assign,
         precondition,
         IF(
           REGEXMATCH(assign, ""RANGE_PARTY|SINGLE_ENEMY|RANGE_ENEMY""),
  "&amp;"         IF(
             OR(ARRAYFORMULA((IF(precondition="""", FALSE, REGEXMATCH(K$4:ED$4, precondition))) * (K37:ED37=TRUE))),
             IF(ISNUMBER(enhance), enhance, 1),
             IF(ISNUMBER(mitigation), mitigation, 1)
           ),
          "&amp;" 1
         )
       )
     )
   ),
   1
 )"),1.0)</f>
        <v>1</v>
      </c>
      <c r="EF37" s="200">
        <f>IFERROR(__xludf.DUMMYFUNCTION("PRODUCT(
   MAP(
     K$14:ED$14,
     K$13:ED$13,
     K37:ED37,
     LAMBDA(
       buff,
       target,
       check,
       IF(
         AND(check=TRUE, REGEXMATCH(target, ""RANGE_AFFECTED_ALL|RANGE_EFFECTED_ALL""), ISNUMBER(buff)),
         buff,
   "&amp;"      1
       )
     )
   )
 )"),1.0)</f>
        <v>1</v>
      </c>
      <c r="EG37" s="200">
        <f>IFERROR(__xludf.DUMMYFUNCTION("PRODUCT(
   MAP(
     K$14:ED$14,
     K$13:ED$13,
     K37:ED37,
     LAMBDA(
       buff,
       target,
       check,
       IF(
         AND(check=TRUE, REGEXMATCH(target, ""RANGE_AFFECTED_GCD|RANGE_EFFECTED_GCD""), ISNUMBER(buff)),
         buff,
   "&amp;"      1
       )
     )
   )
 )"),1.0)</f>
        <v>1</v>
      </c>
      <c r="EH37" s="200">
        <f>IFERROR(__xludf.DUMMYFUNCTION("PRODUCT(
   MAP(
     K$3:ED$3,
     K$14:ED$14,
     K$13:ED$13,
     K37:ED37,
     LAMBDA(
       job,
       buff,
       target,
       check,
       IF(
         AND(check=TRUE, REGEXMATCH(target, ""SELF_EFFECTED_ALL""), ISNUMBER(buff), job=""白魔道士"""&amp;"),
         buff,
         1
       )
     )
   )
 )"),1.0)</f>
        <v>1</v>
      </c>
      <c r="EI37" s="200">
        <f>IFERROR(__xludf.DUMMYFUNCTION("PRODUCT(
   MAP(
     K$3:ED$3,
     K$14:ED$14,
     K$13:ED$13,
     K37:ED37,
     LAMBDA(
       job,
       buff,
       target,
       check,
       IF(
         AND(check=TRUE, REGEXMATCH(target, ""SELF_EFFECTED_GCD""), ISNUMBER(buff), job=""白魔道士"""&amp;"),
         buff,
         1
       )
     )
   )
 )"),1.0)</f>
        <v>1</v>
      </c>
      <c r="EJ37" s="200">
        <f>IFERROR(__xludf.DUMMYFUNCTION("PRODUCT(
   MAP(
     K$3:ED$3,
     K$14:ED$14,
     K$13:ED$13,
     K37:ED37,
     LAMBDA(
       job,
       buff,
       target,
       check,
       IF(
         AND(check=TRUE, REGEXMATCH(target, ""SELF_EFFECTED_ALL""), ISNUMBER(buff), job=""占星術師"""&amp;"),
         buff,
         1
       )
     )
   )
 )"),1.0)</f>
        <v>1</v>
      </c>
      <c r="EK37" s="200">
        <f>IFERROR(__xludf.DUMMYFUNCTION("PRODUCT(
   MAP(
     K$3:ED$3,
     K$14:ED$14,
     K$13:ED$13,
     K37:ED37,
     LAMBDA(
       job,
       buff,
       target,
       check,
       IF(
         AND(check=TRUE, REGEXMATCH(target, ""SELF_EFFECTED_GCD""), ISNUMBER(buff), job=""占星術師"""&amp;"),
         buff,
         1
       )
     )
   )
 )"),1.0)</f>
        <v>1</v>
      </c>
      <c r="EL37" s="200">
        <f>IFERROR(__xludf.DUMMYFUNCTION("PRODUCT(
   MAP(
     K$3:ED$3,
     K$14:ED$14,
     K$13:ED$13,
     K37:ED37,
     LAMBDA(
       job,
       buff,
       target,
       check,
       IF(
         AND(check=TRUE, REGEXMATCH(target, ""SELF_EFFECTED_ALL""), ISNUMBER(buff), job=""学者""),"&amp;"
         buff,
         1
       )
     )
   )
 )"),1.0)</f>
        <v>1</v>
      </c>
      <c r="EM37" s="200">
        <f>IFERROR(__xludf.DUMMYFUNCTION("PRODUCT(
   MAP(
     K$3:ED$3,
     K$14:ED$14,
     K$13:ED$13,
     K37:ED37,
     LAMBDA(
       job,
       buff,
       target,
       check,
       IF(
         AND(check=TRUE, REGEXMATCH(target, ""SELF_EFFECTED_GCD""), ISNUMBER(buff), job=""学者""),"&amp;"
         buff,
         1
       )
     )
   )
 )"),1.0)</f>
        <v>1</v>
      </c>
      <c r="EN37" s="200">
        <f>IFERROR(__xludf.DUMMYFUNCTION("PRODUCT(
   MAP(
     K$3:ED$3,
     K$14:ED$14,
     K$13:ED$13,
     K37:ED37,
     LAMBDA(
       job,
       buff,
       target,
       check,
       IF(
         AND(check=TRUE, REGEXMATCH(target, ""SELF_EFFECTED_ALL""), ISNUMBER(buff), job=""賢者""),"&amp;"
         buff,
         1
       )
     )
   )
 )"),1.0)</f>
        <v>1</v>
      </c>
      <c r="EO37" s="200">
        <f>IFERROR(__xludf.DUMMYFUNCTION("PRODUCT(
   MAP(
     K$3:ED$3,
     K$14:ED$14,
     K$13:ED$13,
     K37:ED37,
     LAMBDA(
       job,
       buff,
       target,
       check,
       IF(
         AND(check=TRUE, REGEXMATCH(target, ""SELF_EFFECTED_GCD""), ISNUMBER(buff), job=""賢者""),"&amp;"
         buff,
         1
       )
     )
   )
 )"),1.0)</f>
        <v>1</v>
      </c>
      <c r="EP37" s="201">
        <f t="shared" si="3"/>
        <v>0</v>
      </c>
      <c r="EQ37" s="201">
        <f>IFERROR(__xludf.DUMMYFUNCTION("SUM(
   MAP(
     K$4:ED$4,
     K$3:ED$3,
     K$7:ED$7,
     K$15:ED$15,
     K$16:ED$16,
     K$21:ED$21,
     K$5:ED$5,
     K$17:ED$17,
     K37:ED37,
     LAMBDA(
       name,
       job,
       abillity,
       buff,
       barrier,
       enhance,"&amp;"
       assign,
       precondition,
       check,
       SWITCH(
         name,
         ""シェイクオフ"", IF(check=TRUE, buff + (0.02 * COUNTIF(ARRAYFORMULA((REGEXMATCH($K$4:$ED$4, ""スリル・オブ・バトル|ヴェンジェンス|原初の血気|ダムネーション"")) * (K37:ED37=TRUE)), 1)), 0),
         "&amp;"""インプロビゼーションフィニッシュ(踊りの激情0)"", IF(ISNUMBER(check), INDEX(Skill!$AJ:$AJ, MATCH(SUBSTITUTE(DV$4, 0, check), Skill!$C:$C, 0)), 0),
         IF(
           AND(check=TRUE, REGEXMATCH(assign, ""RANGE_PARTY"")),
           IF(
             OR(ARRAYFORMULA((IF(pr"&amp;"econdition="""", FALSE, REGEXMATCH($K$4:$ED$4, precondition))) * (K37:ED37=TRUE))),
             enhance,
             IF(barrier="""", buff, barrier)
           ),
           0
         )
       ) *
       SWITCH(
         job,
         ""ナイト"", EY$24,
 "&amp;"        ""戦士"", FD$24,
         ""踊り子"", ET$24,
         ""ピクトマンサー"", ET$24,
         ""白魔道士"", EF37 * EH37 * IF(abillity, 1, EG37 * EI37) * (Option!$D$22 * 0.81 / 100),
         ""占星術師"", EF37 * EJ37 * IF(abillity, 1, EG37 * EK37) * (Option!$D$23 * 0.81 "&amp;"/ 100),
         ""学者"", EF37 * EL37 * IF(abillity, 1, EG37 * EM37) * (Option!$D$24 * 0.81 / 100),
         ""賢者"", EF37 * EN37 * IF(abillity, 1, EG37 * EO37) * (Option!$D$25 * 0.81 / 100),
         1
       )
     )
   )
 )"),0.0)</f>
        <v>0</v>
      </c>
      <c r="ER37" s="202">
        <f t="shared" si="4"/>
        <v>0</v>
      </c>
      <c r="ES37" s="203">
        <f t="shared" si="5"/>
        <v>0</v>
      </c>
      <c r="ET37" s="231" t="str">
        <f>IFERROR(__xludf.DUMMYFUNCTION("IFS(
  EP37 &gt; $ET$24 + EQ37,
  SPARKLINE({ 1, 0 }, {""charttype"",""bar"";""max"", 1;""color1"",Option!$D$30;""color2"",Option!$D$30}),
  EP37 &lt; EQ37,
  SPARKLINE({EQ37 - EP37, $ET$24 - (EQ37 - EP37)}, {""charttype"",""bar"";""max"",$ET$24;""color1"",Opti"&amp;"on!$D$28;""color2"",Option!$D$29}),
  EP37 &gt;= EQ37,
  SPARKLINE({$ET$24 + EQ37 - EP37,EP37 - EQ37}, {""charttype"",""bar"";""max"",$ET$24;""color1"",Option!$D$29;""color2"",Option!$D$30})
)"),"")</f>
        <v/>
      </c>
      <c r="EU37" s="205">
        <f>IFERROR(__xludf.DUMMYFUNCTION("PRODUCT(
   MAP(
     IF($F37=""Physical"", K$10:ED$10, IF($F37=""Magic"", K$11:ED$11, K$12:ED$12)),
     IF($F37=""Physical"", K$18:ED$18, IF($F37=""Magic"", K$19:ED$19, K$20:ED$20)),
     K$3:ED$3,
     K$5:ED$5,
     K$17:ED$17,
     K37:ED37,
     LAM"&amp;"BDA(
       mitigation,
       enhance,
       job,
       assign,
       precondition,
       check,
       IF(
         OR(AND(check=TRUE, REGEXMATCH(assign, ""SELF""), job=""ナイト""), AND(check=Option!$E$13, REGEXMATCH(assign, ""SINGLE_PARTY""))),
      "&amp;"   IF(
           OR(ARRAYFORMULA((IF(precondition="""", FALSE, REGEXMATCH($K$4:$ED$4, precondition))) * (K37:ED37=TRUE))),
           enhance,
           mitigation
         ),
         1
       )
     )
   )
 ) * EE37"),1.0)</f>
        <v>1</v>
      </c>
      <c r="EV37" s="206">
        <f t="shared" si="6"/>
        <v>0</v>
      </c>
      <c r="EW37" s="205">
        <f>IFERROR(__xludf.DUMMYFUNCTION("PRODUCT(
   MAP(
     K$3:ED$3,
     K$14:ED$14,
     K$13:ED$13,
     K37:ED37,
     LAMBDA(
       job,
       buff,
       target,
       check,
       IF(
         OR(AND(check=TRUE, REGEXMATCH(target, ""SELF_AFFECTED_ALL""), job=""ナイト""), AND(check=O"&amp;"ption!$E$13, REGEXMATCH(target, ""SINGLE_AFFECTED_ALL""))),
         buff,
         1
       )
     )
   )
 )"),1.0)</f>
        <v>1</v>
      </c>
      <c r="EX37" s="206">
        <f>IFERROR(__xludf.DUMMYFUNCTION("SUM(
   MAP(
     K$3:ED$3,
     K$7:ED$7,
     K$15:ED$15,
     K$16:ED$16,
     K$21:ED$21,
     K$5:ED$5,
     K$17:ED$17,
     K37:ED37,
     LAMBDA(
       job,
       abillity,
       buff,
       barrier,
       enhance,
       assign,
       preco"&amp;"ndition,
       check,
       IF(
         OR(AND(check=TRUE, REGEXMATCH(assign, ""SELF""), job=""ナイト""), AND(check=Option!$E$13, REGEXMATCH(assign, ""SINGLE_PARTY""))),
         IF(
           OR(ARRAYFORMULA((IF(precondition="""", FALSE, REGEXMATCH($K$4"&amp;":$ED$4, precondition))) * (K37:ED37=TRUE))),
           enhance,
           IF(barrier="""", buff, barrier)
         ),
         0
       ) *
       SWITCH(
         job,
         ""暗黒騎士"", EY$24,
         ""白魔道士"", EF37 * EH37 * EW37 * IF(abillity, 1, EG"&amp;"37 * EI37) * (Option!$D$22 * 0.81 / 100),
         ""占星術師"", EF37 * EJ37 * EW37 * IF(abillity, 1, EG37 * EK37) * (Option!$D$23 * 0.81 / 100),
         ""学者"", EF37 * EL37 * EW37 * IF(abillity, 1, EG37 * EM37) * (Option!$D$24 * 0.81 / 100),
         ""賢者"""&amp;", EF37 * EN37 * EW37 * IF(abillity, 1, EG37 * EO37) * (Option!$D$25 * 0.81 / 100),
         1
       )
     )
   )
 ) + EQ37"),0.0)</f>
        <v>0</v>
      </c>
      <c r="EY37" s="232">
        <f t="shared" si="7"/>
        <v>0</v>
      </c>
      <c r="EZ37" s="205">
        <f>IFERROR(__xludf.DUMMYFUNCTION("PRODUCT(
   MAP(
     IF($F37=""Physical"", K$10:ED$10, IF($F37=""Magic"", K$11:ED$11, K$12:ED$12)),
     IF($F37=""Physical"", K$18:ED$18, IF($F37=""Magic"", K$19:ED$19, K$20:ED$20)),
     K$3:ED$3,
     K$5:ED$5,
     K$17:ED$17,
     K37:ED37,
     LAM"&amp;"BDA(
       mitigation,
       enhance,
       job,
       assign,
       precondition,
       check,
       IF(
         OR(AND(check=TRUE, REGEXMATCH(assign, ""SELF""), job=""戦士""), AND(check=Option!$F$13, REGEXMATCH(assign, ""SINGLE_PARTY""))),
       "&amp;"  IF(
           OR(ARRAYFORMULA((IF(precondition="""", FALSE, REGEXMATCH($K$4:$ED$4, precondition))) * (K37:ED37=TRUE))),
           enhance,
           mitigation
         ),
         1
       )
     )
   )
 ) * EE37"),1.0)</f>
        <v>1</v>
      </c>
      <c r="FA37" s="206">
        <f t="shared" si="8"/>
        <v>0</v>
      </c>
      <c r="FB37" s="205">
        <f>IFERROR(__xludf.DUMMYFUNCTION("PRODUCT(
   MAP(
     K$3:ED$3,
     K$14:ED$14,
     K$13:ED$13,
     K37:ED37,
     LAMBDA(
       job,
       buff,
       target,
       check,
       IF(
         OR(AND(check=TRUE, REGEXMATCH(target, ""SELF_AFFECTED_ALL""), job=""戦士""), AND(check=Op"&amp;"tion!$F$13, REGEXMATCH(target, ""SINGLE_AFFECTED_ALL""))),
         buff,
         1
       )
     )
   )
 )"),1.0)</f>
        <v>1</v>
      </c>
      <c r="FC37" s="206">
        <f>IFERROR(__xludf.DUMMYFUNCTION("SUM(
   MAP(
     K$3:ED$3,
     K$7:ED$7,
     K$15:ED$15,
     K$16:ED$16,
     K$21:ED$21,
     K$5:ED$5,
     K$17:ED$17,
     K37:ED37,
     LAMBDA(
       job,
       abillity,
       buff,
       barrier,
       enhance,
       assign,
       preco"&amp;"ndition,
       check,
       IF(
         OR(AND(check=TRUE, REGEXMATCH(assign, ""SELF""), job=""戦士""), AND(check=Option!$F$13, REGEXMATCH(assign, ""SINGLE_PARTY""))),
         IF(
           OR(ARRAYFORMULA((IF(precondition="""", FALSE, REGEXMATCH($K$4:"&amp;"$ED$4, precondition))) * (K37:ED37=TRUE))),
           enhance,
           IF(barrier="""", buff, barrier)
         ),
         0
       ) *
       SWITCH(
         job,
         ""暗黒騎士"", FD$24,
         ""白魔道士"", EF37 * EH37 * FB37 * IF(abillity, 1, EG3"&amp;"7 * EI37) * (Option!$D$22 * 0.81 / 100),
         ""占星術師"", EF37 * EJ37 * FFB37 * IF(abillity, 1, EG37 * EK37) * (Option!$D$23 * 0.81 / 100),
         ""学者"", EF37 * EL37 * FB37 * IF(abillity, 1, EG37 * EM37) * (Option!$D$24 * 0.81 / 100),
         ""賢者"""&amp;", EF37 * EN37 * FB37 * IF(abillity, 1, EG37 * EO37) * (Option!$D$25 * 0.81 / 100),
         1
       )
     )
   )
 ) + EQ37"),0.0)</f>
        <v>0</v>
      </c>
      <c r="FD37" s="206">
        <f t="shared" si="9"/>
        <v>0</v>
      </c>
      <c r="FE37" s="205">
        <f>IFERROR(__xludf.DUMMYFUNCTION("PRODUCT(
   MAP(
     IF($F37=""Physical"", K$10:ED$10, IF($F37=""Magic"", K$11:ED$11, K$12:ED$12)),
     IF($F37=""Physical"", K$18:ED$18, IF($F37=""Magic"", K$19:ED$19, K$20:ED$20)),
     K$3:ED$3,
     K$5:ED$5,
     K$17:ED$17,
     K37:ED37,
     LAM"&amp;"BDA(
       mitigation,
       enhance,
       job,
       assign,
       precondition,
       check,
       IF(
         OR(AND(check=TRUE, REGEXMATCH(assign, ""SELF""), job=""暗黒騎士""), AND(check=Option!$G$13, REGEXMATCH(assign, ""SINGLE_PARTY""))),
     "&amp;"    IF(
           OR(ARRAYFORMULA((IF(precondition="""", FALSE, REGEXMATCH($K$4:$ED$4, precondition))) * (K37:ED37=TRUE))),
           enhance,
           mitigation
         ),
         1
       )
     )
   )
 ) * EE37"),1.0)</f>
        <v>1</v>
      </c>
      <c r="FF37" s="206">
        <f t="shared" si="10"/>
        <v>0</v>
      </c>
      <c r="FG37" s="205">
        <f>IFERROR(__xludf.DUMMYFUNCTION("PRODUCT(
   MAP(
     K$3:ED$3,
     K$14:ED$14,
     K$13:ED$13,
     K37:ED37,
     LAMBDA(
       job,
       buff,
       target,
       check,
       IF(
         OR(AND(check=TRUE, REGEXMATCH(target, ""SELF_AFFECTED_ALL""), job=""暗黒騎士""), AND(check="&amp;"Option!$G$13, REGEXMATCH(target, ""SINGLE_AFFECTED_ALL""))),
         buff,
         1
       )
     )
   )
 )"),1.0)</f>
        <v>1</v>
      </c>
      <c r="FH37" s="206">
        <f>IFERROR(__xludf.DUMMYFUNCTION("SUM(
   MAP(
     K$3:ED$3,
     K$7:ED$7,
     K$15:ED$15,
     K$16:ED$16,
     K$21:ED$21,
     K$5:ED$5,
     K$17:ED$17,
     K37:ED37,
     LAMBDA(
       job,
       abillity,
       buff,
       barrier,
       enhance,
       assign,
       preco"&amp;"ndition,
       check,
       IF(
         OR(AND(check=TRUE, REGEXMATCH(assign, ""SELF""), job=""暗黒騎士""), AND(check=Option!$G$13, REGEXMATCH(assign, ""SINGLE_PARTY""))),
         IF(
           OR(ARRAYFORMULA((IF(precondition="""", FALSE, REGEXMATCH($K$"&amp;"4:$ED$4, precondition))) * (K37:ED37=TRUE))),
           enhance,
           IF(barrier="""", buff, barrier)
         ),
         0
       ) *
       SWITCH(
         job,
         ""暗黒騎士"", FI$24,
         ""白魔道士"", EF37 * EH37 * FG37 * IF(abillity, 1, E"&amp;"G37 * EI37) * (Option!$D$22 * 0.81 / 100),
         ""占星術師"", EF37 * EJ37 * FG37 * IF(abillity, 1, EG37 * EK37) * (Option!$D$23 * 0.81 / 100),
         ""学者"", EF37 * EL37 * FG37 * IF(abillity, 1, EG37 * EM37) * (Option!$D$24 * 0.81 / 100),
         ""賢者"&amp;""", EF37 * EN37 * FG37 * IF(abillity, 1, EG37 * EO37) * (Option!$D$25 * 0.81 / 100),
         1
       )
     )
   )
 ) + EQ37"),0.0)</f>
        <v>0</v>
      </c>
      <c r="FI37" s="206">
        <f t="shared" si="11"/>
        <v>0</v>
      </c>
      <c r="FJ37" s="205">
        <f>IFERROR(__xludf.DUMMYFUNCTION("PRODUCT(
   MAP(
     IF($F37=""Physical"", K$10:ED$10, IF($F37=""Magic"", K$11:ED$11, K$12:ED$12)),
     IF($F37=""Physical"", K$18:ED$18, IF($F37=""Magic"", K$19:ED$19, K$20:ED$20)),
     K$3:ED$3,
     K$5:ED$5,
     K$17:ED$17,
     K37:ED37,
     LAM"&amp;"BDA(
       mitigation,
       enhance,
       job,
       assign,
       precondition,
       check,
       IF(
         OR(AND(check=TRUE, REGEXMATCH(assign, ""SELF""), job=""ガンブレイカー""), AND(check=Option!$H$13, REGEXMATCH(assign, ""SINGLE_PARTY""))),
  "&amp;"       IF(
           OR(ARRAYFORMULA((IF(precondition="""", FALSE, REGEXMATCH($K$4:$ED$4, precondition))) * (K37:ED37=TRUE))),
           enhance,
           mitigation
         ),
         1
       )
     )
   )
 ) * EE37"),1.0)</f>
        <v>1</v>
      </c>
      <c r="FK37" s="206">
        <f t="shared" si="12"/>
        <v>0</v>
      </c>
      <c r="FL37" s="205">
        <f>IFERROR(__xludf.DUMMYFUNCTION("PRODUCT(
   MAP(
     K$3:ED$3,
     K$14:ED$14,
     K$13:ED$13,
     K37:ED37,
     LAMBDA(
       job,
       buff,
       target,
       check,
       IF(
         OR(AND(check=TRUE, REGEXMATCH(target, ""SELF_AFFECTED_ALL""), job=""ガンブレイカー""), AND(che"&amp;"ck=Option!$H$13, REGEXMATCH(target, ""SINGLE_AFFECTED_ALL""))),
         buff,
         1
       )
     )
   )
 )"),1.0)</f>
        <v>1</v>
      </c>
      <c r="FM37" s="206">
        <f>IFERROR(__xludf.DUMMYFUNCTION("SUM(
   MAP(
     K$3:ED$3,
     K$7:ED$7,
     K$15:ED$15,
     K$16:ED$16,
     K$21:ED$21,
     K$5:ED$5,
     K$17:ED$17,
     K37:ED37,
     LAMBDA(
       job,
       abillity,
       buff,
       barrier,
       enhance,
       assign,
       preco"&amp;"ndition,
       check,
       IF(
         OR(AND(check=TRUE, REGEXMATCH(assign, ""SELF""), job=""ガンブレイカー""), AND(check=Option!$H$13, REGEXMATCH(assign, ""SINGLE_PARTY""))),
         IF(
           OR(ARRAYFORMULA((IF(precondition="""", FALSE, REGEXMATCH("&amp;"$K$4:$ED$4, precondition))) * (K37:ED37=TRUE))),
           enhance,
           IF(barrier="""", buff, barrier)
         ),
         0
       ) *
       SWITCH(
         job,
         ""暗黒騎士"", FN$24,
         ""白魔道士"", EF37 * EH37 * FL37 * IF(abillity, 1"&amp;", EG37 * EI37) * (Option!$D$22 * 0.81 / 100),
         ""占星術師"", EF37 * EJ37 * FL37 * IF(abillity, 1, EG37 * EK37) * (Option!$D$23 * 0.81 / 100),
         ""学者"", EF37 * EL37 * FL37 * IF(abillity, 1, EG37 * EM37) * (Option!$D$24 * 0.81 / 100),
         """&amp;"賢者"", EF37 * EN37 * FL37 * IF(abillity, 1, EG37 * EO37) * (Option!$D$25 * 0.81 / 100),
         1
       )
     )
   )
 ) + EQ37"),0.0)</f>
        <v>0</v>
      </c>
      <c r="FN37" s="206">
        <f t="shared" si="13"/>
        <v>0</v>
      </c>
      <c r="FO37" s="213"/>
    </row>
    <row r="38">
      <c r="B38" s="229"/>
      <c r="C38" s="217">
        <f t="shared" si="1"/>
        <v>0</v>
      </c>
      <c r="D38" s="236"/>
      <c r="E38" s="238"/>
      <c r="F38" s="167"/>
      <c r="G38" s="168" t="str">
        <f t="shared" si="2"/>
        <v/>
      </c>
      <c r="H38" s="169"/>
      <c r="I38" s="169"/>
      <c r="J38" s="169"/>
      <c r="K38" s="170" t="b">
        <v>0</v>
      </c>
      <c r="L38" s="170" t="b">
        <v>0</v>
      </c>
      <c r="M38" s="170" t="b">
        <v>0</v>
      </c>
      <c r="N38" s="171" t="s">
        <v>1070</v>
      </c>
      <c r="O38" s="172" t="b">
        <v>0</v>
      </c>
      <c r="P38" s="173" t="b">
        <v>0</v>
      </c>
      <c r="Q38" s="173" t="b">
        <v>0</v>
      </c>
      <c r="R38" s="173" t="b">
        <v>0</v>
      </c>
      <c r="S38" s="174" t="b">
        <v>0</v>
      </c>
      <c r="T38" s="175" t="b">
        <v>0</v>
      </c>
      <c r="U38" s="173" t="b">
        <v>0</v>
      </c>
      <c r="V38" s="171" t="s">
        <v>1070</v>
      </c>
      <c r="W38" s="172" t="b">
        <v>0</v>
      </c>
      <c r="X38" s="173" t="b">
        <v>0</v>
      </c>
      <c r="Y38" s="173" t="b">
        <v>0</v>
      </c>
      <c r="Z38" s="173" t="b">
        <v>0</v>
      </c>
      <c r="AA38" s="174" t="b">
        <v>0</v>
      </c>
      <c r="AB38" s="174" t="b">
        <v>0</v>
      </c>
      <c r="AC38" s="175" t="b">
        <v>0</v>
      </c>
      <c r="AD38" s="173" t="b">
        <v>0</v>
      </c>
      <c r="AE38" s="176" t="s">
        <v>1070</v>
      </c>
      <c r="AF38" s="171" t="s">
        <v>1070</v>
      </c>
      <c r="AG38" s="177">
        <f>IFERROR(__xludf.DUMMYFUNCTION("IF(
  ISNUMBER(AG37),
  MIN(MAX(
    AG37
    + MAX(
      ROUNDDOWN(($D38 - MAX(IFERROR(FILTER($D$24:$D37, AG$24:AG37 &lt;&gt; AF$6, AG$23:AG36 = AF$6), 0))) * (60 * 60 * 24) / AF$9) - ROUNDDOWN(($D37 - MAX(IFERROR(FILTER($D$23:$D36, AG$23:AG36 &lt;&gt; AF$6, AG$22:"&amp;"AG35 = AF$6), 0))) * (60 * 60 * 24) / 60),
      0
    )
    - COUNTIF(AF38, ""&lt;&gt;-""),
  0), AF$6),
  AF$6 - COUNTIF(AF38, ""&lt;&gt;-"")
)"),2.0)</f>
        <v>2</v>
      </c>
      <c r="AH38" s="173" t="b">
        <v>0</v>
      </c>
      <c r="AI38" s="173" t="b">
        <v>0</v>
      </c>
      <c r="AJ38" s="173" t="b">
        <v>0</v>
      </c>
      <c r="AK38" s="174" t="b">
        <v>0</v>
      </c>
      <c r="AL38" s="175" t="b">
        <v>0</v>
      </c>
      <c r="AM38" s="173" t="b">
        <v>0</v>
      </c>
      <c r="AN38" s="171" t="s">
        <v>1070</v>
      </c>
      <c r="AO38" s="173" t="b">
        <v>0</v>
      </c>
      <c r="AP38" s="173" t="b">
        <v>0</v>
      </c>
      <c r="AQ38" s="173" t="b">
        <v>0</v>
      </c>
      <c r="AR38" s="174" t="b">
        <v>0</v>
      </c>
      <c r="AS38" s="178" t="b">
        <v>0</v>
      </c>
      <c r="AT38" s="179" t="b">
        <v>0</v>
      </c>
      <c r="AU38" s="180" t="b">
        <v>0</v>
      </c>
      <c r="AV38" s="180" t="b">
        <v>0</v>
      </c>
      <c r="AW38" s="180" t="b">
        <v>0</v>
      </c>
      <c r="AX38" s="180" t="b">
        <v>0</v>
      </c>
      <c r="AY38" s="181" t="s">
        <v>1070</v>
      </c>
      <c r="AZ38" s="181" t="s">
        <v>1070</v>
      </c>
      <c r="BA38" s="184">
        <f>IFERROR(__xludf.DUMMYFUNCTION("IF(
  ISNUMBER(BA37),
  MIN(MAX(
    BA37
    + MAX(
      ROUNDDOWN((D38 - MAX(IFERROR(FILTER(D$24:D37, BA$24:BA37 &lt;&gt; AZ$6, BA$23:BA36 = AZ$6), 0))) * (60 * 60 * 24) / AZ$9) - ROUNDDOWN((D37 - MAX(IFERROR(FILTER(D$23:D36, BA$23:BA36 &lt;&gt; AZ$6, BA$22:BA35 ="&amp;" AZ$6), 0))) * (60 * 60 * 24) / AZ$9),
      0
    )
    - COUNTIF(AZ38, ""&lt;&gt;-""),
  0), AZ$6),
  AZ$6 - COUNTIF(AZ38, ""&lt;&gt;-"")
)"),2.0)</f>
        <v>2</v>
      </c>
      <c r="BB38" s="181" t="s">
        <v>1070</v>
      </c>
      <c r="BC38" s="183">
        <f>IFERROR(__xludf.DUMMYFUNCTION("IF(
  ISNUMBER(BC37),
  MIN(MAX(
    BC37
    + MAX(
      ROUNDDOWN(($D38 - MAX(IFERROR(FILTER($D$24:$D37, BC$24:BC37 &lt;&gt; BB$6, BC$23:BC36 = BB$6), 0))) * (60 * 60 * 24) / BB$9) - ROUNDDOWN(($D37 - MAX(IFERROR(FILTER($D$23:$D36, BC$23:BC36 &lt;&gt; BB$6, BC$22:"&amp;"BC35 = BB$6), 0))) * (60 * 60 * 24) / 60),
      0
    )
    - COUNTIF(BB38, ""&lt;&gt;-""),
  0), BB$6),
  BB$6 - COUNTIF(BB38, ""&lt;&gt;-"")
)"),2.0)</f>
        <v>2</v>
      </c>
      <c r="BD38" s="181" t="s">
        <v>1070</v>
      </c>
      <c r="BE38" s="178" t="b">
        <v>0</v>
      </c>
      <c r="BF38" s="180" t="b">
        <v>0</v>
      </c>
      <c r="BG38" s="180" t="b">
        <v>0</v>
      </c>
      <c r="BH38" s="180" t="b">
        <v>0</v>
      </c>
      <c r="BI38" s="180" t="b">
        <v>0</v>
      </c>
      <c r="BJ38" s="180" t="b">
        <v>0</v>
      </c>
      <c r="BK38" s="180" t="b">
        <v>0</v>
      </c>
      <c r="BL38" s="180" t="b">
        <v>0</v>
      </c>
      <c r="BM38" s="180" t="b">
        <v>0</v>
      </c>
      <c r="BN38" s="180" t="b">
        <v>0</v>
      </c>
      <c r="BO38" s="181" t="s">
        <v>1070</v>
      </c>
      <c r="BP38" s="181" t="s">
        <v>1070</v>
      </c>
      <c r="BQ38" s="181" t="s">
        <v>1070</v>
      </c>
      <c r="BR38" s="181" t="s">
        <v>1070</v>
      </c>
      <c r="BS38" s="181" t="s">
        <v>1070</v>
      </c>
      <c r="BT38" s="184">
        <f>IFERROR(__xludf.DUMMYFUNCTION("IF(
  ISNUMBER(BT37),
  MIN(MAX(
    BT37
    + MAX(
      ROUNDDOWN((D38 - MAX(IFERROR(FILTER(D$24:D37, BT$24:BT37 &lt;&gt; BS$6, BT$23:BT36 = BS$6), 0))) * (60 * 60 * 24) / BS$9) - ROUNDDOWN((D37 - MAX(IFERROR(FILTER(D$23:D36, BT$23:BT36 &lt;&gt; BS$6, BT$22:BT35 ="&amp;" BS$6), 0))) * (60 * 60 * 24) / BS$9),
      0
    )
    - COUNTIF(BS38, ""&lt;&gt;-""),
  0), BS$6),
  BS$6 - COUNTIF(BS38, ""&lt;&gt;-"")
)"),3.0)</f>
        <v>3</v>
      </c>
      <c r="BU38" s="181" t="s">
        <v>1070</v>
      </c>
      <c r="BV38" s="181" t="s">
        <v>1070</v>
      </c>
      <c r="BW38" s="184">
        <f>IFERROR(__xludf.DUMMYFUNCTION("IF(
  ISNUMBER(BW37),
  MIN(MAX(
    BW37
    + MAX(
      ROUNDDOWN((D38 - MAX(IFERROR(FILTER(D$24:D37, BW$24:BW37 &lt;&gt; BV$6, BW$23:BW36 = BV$6), 0))) * (60 * 60 * 24) / BV$9) - ROUNDDOWN((D37 - MAX(IFERROR(FILTER(D$23:D36, BW$23:BW36 &lt;&gt; BV$6, BW$22:BW35 ="&amp;" BV$6), 0))) * (60 * 60 * 24) / BV$9),
      0
    )
    - COUNTIF(BV38, ""&lt;&gt;-""),
  0), BV$6),
  BV$6 - COUNTIF(BV38, ""&lt;&gt;-"")
)"),2.0)</f>
        <v>2</v>
      </c>
      <c r="BX38" s="185" t="s">
        <v>1070</v>
      </c>
      <c r="BY38" s="178" t="b">
        <v>0</v>
      </c>
      <c r="BZ38" s="180" t="b">
        <v>0</v>
      </c>
      <c r="CA38" s="180" t="b">
        <v>0</v>
      </c>
      <c r="CB38" s="180" t="b">
        <v>0</v>
      </c>
      <c r="CC38" s="180" t="b">
        <v>0</v>
      </c>
      <c r="CD38" s="180" t="b">
        <v>0</v>
      </c>
      <c r="CE38" s="180" t="b">
        <v>0</v>
      </c>
      <c r="CF38" s="180" t="b">
        <v>0</v>
      </c>
      <c r="CG38" s="180" t="b">
        <v>0</v>
      </c>
      <c r="CH38" s="180" t="b">
        <v>0</v>
      </c>
      <c r="CI38" s="180" t="b">
        <v>0</v>
      </c>
      <c r="CJ38" s="180" t="b">
        <v>0</v>
      </c>
      <c r="CK38" s="180" t="b">
        <v>0</v>
      </c>
      <c r="CL38" s="180" t="b">
        <v>0</v>
      </c>
      <c r="CM38" s="181" t="s">
        <v>1070</v>
      </c>
      <c r="CN38" s="181" t="s">
        <v>1070</v>
      </c>
      <c r="CO38" s="181" t="s">
        <v>1070</v>
      </c>
      <c r="CP38" s="181" t="s">
        <v>1070</v>
      </c>
      <c r="CQ38" s="185" t="s">
        <v>1070</v>
      </c>
      <c r="CR38" s="180" t="b">
        <v>0</v>
      </c>
      <c r="CS38" s="186" t="str">
        <f t="shared" si="14"/>
        <v>◇◇◇</v>
      </c>
      <c r="CT38" s="178" t="b">
        <v>0</v>
      </c>
      <c r="CU38" s="180" t="b">
        <v>0</v>
      </c>
      <c r="CV38" s="180" t="b">
        <v>0</v>
      </c>
      <c r="CW38" s="180" t="b">
        <v>0</v>
      </c>
      <c r="CX38" s="180" t="b">
        <v>0</v>
      </c>
      <c r="CY38" s="180" t="b">
        <v>0</v>
      </c>
      <c r="CZ38" s="180" t="b">
        <v>0</v>
      </c>
      <c r="DA38" s="180" t="b">
        <v>0</v>
      </c>
      <c r="DB38" s="180" t="b">
        <v>0</v>
      </c>
      <c r="DC38" s="180" t="b">
        <v>0</v>
      </c>
      <c r="DD38" s="181" t="s">
        <v>1070</v>
      </c>
      <c r="DE38" s="181" t="s">
        <v>1070</v>
      </c>
      <c r="DF38" s="181" t="s">
        <v>1070</v>
      </c>
      <c r="DG38" s="185" t="s">
        <v>1070</v>
      </c>
      <c r="DH38" s="180" t="b">
        <v>0</v>
      </c>
      <c r="DI38" s="187" t="str">
        <f>IFERROR(__xludf.DUMMYFUNCTION("SWITCH(
  IF(
    ISTEXT(DI37),
    IF (
      FIND(""○"", DI37&amp;""○"") &gt; 3,
      3,
      FIND(""○"", DI37&amp;""○"")
      + MAX(
        ROUNDDOWN(($D38 - MAX(IFERROR(FILTER(D$24:D37, DI$24:DI37 &lt;&gt; ""●●●"", DI$23:DI36 = ""●●●""), 0))) * (60 * 60 * 24) / 20"&amp;") - ROUNDDOWN(($D37 - MAX(IFERROR(FILTER(D$23:D36, DI$23:DI36 &lt;&gt; ""●●●"", DI$22:DI35 = ""●●●""), 0))) * (60 * 60 * 24) / 20),
        0
      ) - 1
    ) - COUNTIFS(CU38, ""=TRUE"", CU37, ""&lt;&gt;TRUE"") - COUNTIF(CZ38, ""=TRUE"") - COUNTIF({DD38,DE38}, ""&lt;&gt;-"&amp;""") + COUNTIF(DH38, ""=TRUE""),
    3
  ),
  0, ""○○○"", 1, ""●○○"", 2, ""●●○"", 3, ""●●●"", 4, ""●●●"", ""○○○""
)"),"●●●")</f>
        <v>●●●</v>
      </c>
      <c r="DJ38" s="188" t="b">
        <v>0</v>
      </c>
      <c r="DK38" s="189" t="b">
        <v>0</v>
      </c>
      <c r="DL38" s="190" t="b">
        <v>0</v>
      </c>
      <c r="DM38" s="190" t="b">
        <v>0</v>
      </c>
      <c r="DN38" s="190" t="b">
        <v>0</v>
      </c>
      <c r="DO38" s="190" t="b">
        <v>0</v>
      </c>
      <c r="DP38" s="190" t="b">
        <v>0</v>
      </c>
      <c r="DQ38" s="191" t="b">
        <v>0</v>
      </c>
      <c r="DR38" s="192" t="b">
        <v>0</v>
      </c>
      <c r="DS38" s="191" t="b">
        <v>0</v>
      </c>
      <c r="DT38" s="192" t="b">
        <v>0</v>
      </c>
      <c r="DU38" s="191" t="b">
        <v>0</v>
      </c>
      <c r="DV38" s="193" t="s">
        <v>1070</v>
      </c>
      <c r="DW38" s="194" t="b">
        <v>0</v>
      </c>
      <c r="DX38" s="194" t="b">
        <v>0</v>
      </c>
      <c r="DY38" s="195" t="b">
        <v>0</v>
      </c>
      <c r="DZ38" s="196" t="b">
        <v>0</v>
      </c>
      <c r="EA38" s="195" t="b">
        <v>0</v>
      </c>
      <c r="EB38" s="197" t="b">
        <v>0</v>
      </c>
      <c r="EC38" s="197" t="b">
        <v>0</v>
      </c>
      <c r="ED38" s="212" t="b">
        <v>0</v>
      </c>
      <c r="EE38" s="199">
        <f>IFERROR(__xludf.DUMMYFUNCTION("IFERROR(
   PRODUCT(
     MAP(
       INDEX(TRANSPOSE(UNIQUE(TRANSPOSE(FILTER({IF($F38=""Physical"", K$10:ED$10, IF($F38=""Magic"", K$11:ED$11, K$12:ED$12));K$4:ED$4;K38:ED38}, K38:ED38=TRUE)))), 1, 0),
       INDEX(TRANSPOSE(UNIQUE(TRANSPOSE(FILTER({IF($"&amp;"F38=""Physical"", K$18:ED$18, IF($F38=""Magic"", K$19:ED$19, K$20:ED$20));K$4:ED$4;K38:ED38}, K38:ED38=TRUE)))), 1, 0),
       INDEX(TRANSPOSE(UNIQUE(TRANSPOSE(FILTER({K$5:ED$5;K$4:ED$4;K38:ED38}, K38:ED38=TRUE)))), 1, 0),
       INDEX(TRANSPOSE(UNIQUE(TR"&amp;"ANSPOSE(FILTER({K$17:ED$17;K$4:ED$4;K38:ED38}, K38:ED38=TRUE)))), 1, 0),
       LAMBDA(
         mitigation,
         enhance,
         assign,
         precondition,
         IF(
           REGEXMATCH(assign, ""RANGE_PARTY|SINGLE_ENEMY|RANGE_ENEMY""),
  "&amp;"         IF(
             OR(ARRAYFORMULA((IF(precondition="""", FALSE, REGEXMATCH(K$4:ED$4, precondition))) * (K38:ED38=TRUE))),
             IF(ISNUMBER(enhance), enhance, 1),
             IF(ISNUMBER(mitigation), mitigation, 1)
           ),
          "&amp;" 1
         )
       )
     )
   ),
   1
 )"),1.0)</f>
        <v>1</v>
      </c>
      <c r="EF38" s="200">
        <f>IFERROR(__xludf.DUMMYFUNCTION("PRODUCT(
   MAP(
     K$14:ED$14,
     K$13:ED$13,
     K38:ED38,
     LAMBDA(
       buff,
       target,
       check,
       IF(
         AND(check=TRUE, REGEXMATCH(target, ""RANGE_AFFECTED_ALL|RANGE_EFFECTED_ALL""), ISNUMBER(buff)),
         buff,
   "&amp;"      1
       )
     )
   )
 )"),1.0)</f>
        <v>1</v>
      </c>
      <c r="EG38" s="200">
        <f>IFERROR(__xludf.DUMMYFUNCTION("PRODUCT(
   MAP(
     K$14:ED$14,
     K$13:ED$13,
     K38:ED38,
     LAMBDA(
       buff,
       target,
       check,
       IF(
         AND(check=TRUE, REGEXMATCH(target, ""RANGE_AFFECTED_GCD|RANGE_EFFECTED_GCD""), ISNUMBER(buff)),
         buff,
   "&amp;"      1
       )
     )
   )
 )"),1.0)</f>
        <v>1</v>
      </c>
      <c r="EH38" s="200">
        <f>IFERROR(__xludf.DUMMYFUNCTION("PRODUCT(
   MAP(
     K$3:ED$3,
     K$14:ED$14,
     K$13:ED$13,
     K38:ED38,
     LAMBDA(
       job,
       buff,
       target,
       check,
       IF(
         AND(check=TRUE, REGEXMATCH(target, ""SELF_EFFECTED_ALL""), ISNUMBER(buff), job=""白魔道士"""&amp;"),
         buff,
         1
       )
     )
   )
 )"),1.0)</f>
        <v>1</v>
      </c>
      <c r="EI38" s="200">
        <f>IFERROR(__xludf.DUMMYFUNCTION("PRODUCT(
   MAP(
     K$3:ED$3,
     K$14:ED$14,
     K$13:ED$13,
     K38:ED38,
     LAMBDA(
       job,
       buff,
       target,
       check,
       IF(
         AND(check=TRUE, REGEXMATCH(target, ""SELF_EFFECTED_GCD""), ISNUMBER(buff), job=""白魔道士"""&amp;"),
         buff,
         1
       )
     )
   )
 )"),1.0)</f>
        <v>1</v>
      </c>
      <c r="EJ38" s="200">
        <f>IFERROR(__xludf.DUMMYFUNCTION("PRODUCT(
   MAP(
     K$3:ED$3,
     K$14:ED$14,
     K$13:ED$13,
     K38:ED38,
     LAMBDA(
       job,
       buff,
       target,
       check,
       IF(
         AND(check=TRUE, REGEXMATCH(target, ""SELF_EFFECTED_ALL""), ISNUMBER(buff), job=""占星術師"""&amp;"),
         buff,
         1
       )
     )
   )
 )"),1.0)</f>
        <v>1</v>
      </c>
      <c r="EK38" s="200">
        <f>IFERROR(__xludf.DUMMYFUNCTION("PRODUCT(
   MAP(
     K$3:ED$3,
     K$14:ED$14,
     K$13:ED$13,
     K38:ED38,
     LAMBDA(
       job,
       buff,
       target,
       check,
       IF(
         AND(check=TRUE, REGEXMATCH(target, ""SELF_EFFECTED_GCD""), ISNUMBER(buff), job=""占星術師"""&amp;"),
         buff,
         1
       )
     )
   )
 )"),1.0)</f>
        <v>1</v>
      </c>
      <c r="EL38" s="200">
        <f>IFERROR(__xludf.DUMMYFUNCTION("PRODUCT(
   MAP(
     K$3:ED$3,
     K$14:ED$14,
     K$13:ED$13,
     K38:ED38,
     LAMBDA(
       job,
       buff,
       target,
       check,
       IF(
         AND(check=TRUE, REGEXMATCH(target, ""SELF_EFFECTED_ALL""), ISNUMBER(buff), job=""学者""),"&amp;"
         buff,
         1
       )
     )
   )
 )"),1.0)</f>
        <v>1</v>
      </c>
      <c r="EM38" s="200">
        <f>IFERROR(__xludf.DUMMYFUNCTION("PRODUCT(
   MAP(
     K$3:ED$3,
     K$14:ED$14,
     K$13:ED$13,
     K38:ED38,
     LAMBDA(
       job,
       buff,
       target,
       check,
       IF(
         AND(check=TRUE, REGEXMATCH(target, ""SELF_EFFECTED_GCD""), ISNUMBER(buff), job=""学者""),"&amp;"
         buff,
         1
       )
     )
   )
 )"),1.0)</f>
        <v>1</v>
      </c>
      <c r="EN38" s="200">
        <f>IFERROR(__xludf.DUMMYFUNCTION("PRODUCT(
   MAP(
     K$3:ED$3,
     K$14:ED$14,
     K$13:ED$13,
     K38:ED38,
     LAMBDA(
       job,
       buff,
       target,
       check,
       IF(
         AND(check=TRUE, REGEXMATCH(target, ""SELF_EFFECTED_ALL""), ISNUMBER(buff), job=""賢者""),"&amp;"
         buff,
         1
       )
     )
   )
 )"),1.0)</f>
        <v>1</v>
      </c>
      <c r="EO38" s="200">
        <f>IFERROR(__xludf.DUMMYFUNCTION("PRODUCT(
   MAP(
     K$3:ED$3,
     K$14:ED$14,
     K$13:ED$13,
     K38:ED38,
     LAMBDA(
       job,
       buff,
       target,
       check,
       IF(
         AND(check=TRUE, REGEXMATCH(target, ""SELF_EFFECTED_GCD""), ISNUMBER(buff), job=""賢者""),"&amp;"
         buff,
         1
       )
     )
   )
 )"),1.0)</f>
        <v>1</v>
      </c>
      <c r="EP38" s="201">
        <f t="shared" si="3"/>
        <v>0</v>
      </c>
      <c r="EQ38" s="201">
        <f>IFERROR(__xludf.DUMMYFUNCTION("SUM(
   MAP(
     K$4:ED$4,
     K$3:ED$3,
     K$7:ED$7,
     K$15:ED$15,
     K$16:ED$16,
     K$21:ED$21,
     K$5:ED$5,
     K$17:ED$17,
     K38:ED38,
     LAMBDA(
       name,
       job,
       abillity,
       buff,
       barrier,
       enhance,"&amp;"
       assign,
       precondition,
       check,
       SWITCH(
         name,
         ""シェイクオフ"", IF(check=TRUE, buff + (0.02 * COUNTIF(ARRAYFORMULA((REGEXMATCH($K$4:$ED$4, ""スリル・オブ・バトル|ヴェンジェンス|原初の血気|ダムネーション"")) * (K38:ED38=TRUE)), 1)), 0),
         "&amp;"""インプロビゼーションフィニッシュ(踊りの激情0)"", IF(ISNUMBER(check), INDEX(Skill!$AJ:$AJ, MATCH(SUBSTITUTE(DV$4, 0, check), Skill!$C:$C, 0)), 0),
         IF(
           AND(check=TRUE, REGEXMATCH(assign, ""RANGE_PARTY"")),
           IF(
             OR(ARRAYFORMULA((IF(pr"&amp;"econdition="""", FALSE, REGEXMATCH($K$4:$ED$4, precondition))) * (K38:ED38=TRUE))),
             enhance,
             IF(barrier="""", buff, barrier)
           ),
           0
         )
       ) *
       SWITCH(
         job,
         ""ナイト"", EY$24,
 "&amp;"        ""戦士"", FD$24,
         ""踊り子"", ET$24,
         ""ピクトマンサー"", ET$24,
         ""白魔道士"", EF38 * EH38 * IF(abillity, 1, EG38 * EI38) * (Option!$D$22 * 0.81 / 100),
         ""占星術師"", EF38 * EJ38 * IF(abillity, 1, EG38 * EK38) * (Option!$D$23 * 0.81 "&amp;"/ 100),
         ""学者"", EF38 * EL38 * IF(abillity, 1, EG38 * EM38) * (Option!$D$24 * 0.81 / 100),
         ""賢者"", EF38 * EN38 * IF(abillity, 1, EG38 * EO38) * (Option!$D$25 * 0.81 / 100),
         1
       )
     )
   )
 )"),0.0)</f>
        <v>0</v>
      </c>
      <c r="ER38" s="202">
        <f t="shared" si="4"/>
        <v>0</v>
      </c>
      <c r="ES38" s="203">
        <f t="shared" si="5"/>
        <v>0</v>
      </c>
      <c r="ET38" s="231" t="str">
        <f>IFERROR(__xludf.DUMMYFUNCTION("IFS(
  EP38 &gt; $ET$24 + EQ38,
  SPARKLINE({ 1, 0 }, {""charttype"",""bar"";""max"", 1;""color1"",Option!$D$30;""color2"",Option!$D$30}),
  EP38 &lt; EQ38,
  SPARKLINE({EQ38 - EP38, $ET$24 - (EQ38 - EP38)}, {""charttype"",""bar"";""max"",$ET$24;""color1"",Opti"&amp;"on!$D$28;""color2"",Option!$D$29}),
  EP38 &gt;= EQ38,
  SPARKLINE({$ET$24 + EQ38 - EP38,EP38 - EQ38}, {""charttype"",""bar"";""max"",$ET$24;""color1"",Option!$D$29;""color2"",Option!$D$30})
)"),"")</f>
        <v/>
      </c>
      <c r="EU38" s="205">
        <f>IFERROR(__xludf.DUMMYFUNCTION("PRODUCT(
   MAP(
     IF($F38=""Physical"", K$10:ED$10, IF($F38=""Magic"", K$11:ED$11, K$12:ED$12)),
     IF($F38=""Physical"", K$18:ED$18, IF($F38=""Magic"", K$19:ED$19, K$20:ED$20)),
     K$3:ED$3,
     K$5:ED$5,
     K$17:ED$17,
     K38:ED38,
     LAM"&amp;"BDA(
       mitigation,
       enhance,
       job,
       assign,
       precondition,
       check,
       IF(
         OR(AND(check=TRUE, REGEXMATCH(assign, ""SELF""), job=""ナイト""), AND(check=Option!$E$13, REGEXMATCH(assign, ""SINGLE_PARTY""))),
      "&amp;"   IF(
           OR(ARRAYFORMULA((IF(precondition="""", FALSE, REGEXMATCH($K$4:$ED$4, precondition))) * (K38:ED38=TRUE))),
           enhance,
           mitigation
         ),
         1
       )
     )
   )
 ) * EE38"),1.0)</f>
        <v>1</v>
      </c>
      <c r="EV38" s="206">
        <f t="shared" si="6"/>
        <v>0</v>
      </c>
      <c r="EW38" s="205">
        <f>IFERROR(__xludf.DUMMYFUNCTION("PRODUCT(
   MAP(
     K$3:ED$3,
     K$14:ED$14,
     K$13:ED$13,
     K38:ED38,
     LAMBDA(
       job,
       buff,
       target,
       check,
       IF(
         OR(AND(check=TRUE, REGEXMATCH(target, ""SELF_AFFECTED_ALL""), job=""ナイト""), AND(check=O"&amp;"ption!$E$13, REGEXMATCH(target, ""SINGLE_AFFECTED_ALL""))),
         buff,
         1
       )
     )
   )
 )"),1.0)</f>
        <v>1</v>
      </c>
      <c r="EX38" s="206">
        <f>IFERROR(__xludf.DUMMYFUNCTION("SUM(
   MAP(
     K$3:ED$3,
     K$7:ED$7,
     K$15:ED$15,
     K$16:ED$16,
     K$21:ED$21,
     K$5:ED$5,
     K$17:ED$17,
     K38:ED38,
     LAMBDA(
       job,
       abillity,
       buff,
       barrier,
       enhance,
       assign,
       preco"&amp;"ndition,
       check,
       IF(
         OR(AND(check=TRUE, REGEXMATCH(assign, ""SELF""), job=""ナイト""), AND(check=Option!$E$13, REGEXMATCH(assign, ""SINGLE_PARTY""))),
         IF(
           OR(ARRAYFORMULA((IF(precondition="""", FALSE, REGEXMATCH($K$4"&amp;":$ED$4, precondition))) * (K38:ED38=TRUE))),
           enhance,
           IF(barrier="""", buff, barrier)
         ),
         0
       ) *
       SWITCH(
         job,
         ""暗黒騎士"", EY$24,
         ""白魔道士"", EF38 * EH38 * EW38 * IF(abillity, 1, EG"&amp;"38 * EI38) * (Option!$D$22 * 0.81 / 100),
         ""占星術師"", EF38 * EJ38 * EW38 * IF(abillity, 1, EG38 * EK38) * (Option!$D$23 * 0.81 / 100),
         ""学者"", EF38 * EL38 * EW38 * IF(abillity, 1, EG38 * EM38) * (Option!$D$24 * 0.81 / 100),
         ""賢者"""&amp;", EF38 * EN38 * EW38 * IF(abillity, 1, EG38 * EO38) * (Option!$D$25 * 0.81 / 100),
         1
       )
     )
   )
 ) + EQ38"),0.0)</f>
        <v>0</v>
      </c>
      <c r="EY38" s="232">
        <f t="shared" si="7"/>
        <v>0</v>
      </c>
      <c r="EZ38" s="205">
        <f>IFERROR(__xludf.DUMMYFUNCTION("PRODUCT(
   MAP(
     IF($F38=""Physical"", K$10:ED$10, IF($F38=""Magic"", K$11:ED$11, K$12:ED$12)),
     IF($F38=""Physical"", K$18:ED$18, IF($F38=""Magic"", K$19:ED$19, K$20:ED$20)),
     K$3:ED$3,
     K$5:ED$5,
     K$17:ED$17,
     K38:ED38,
     LAM"&amp;"BDA(
       mitigation,
       enhance,
       job,
       assign,
       precondition,
       check,
       IF(
         OR(AND(check=TRUE, REGEXMATCH(assign, ""SELF""), job=""戦士""), AND(check=Option!$F$13, REGEXMATCH(assign, ""SINGLE_PARTY""))),
       "&amp;"  IF(
           OR(ARRAYFORMULA((IF(precondition="""", FALSE, REGEXMATCH($K$4:$ED$4, precondition))) * (K38:ED38=TRUE))),
           enhance,
           mitigation
         ),
         1
       )
     )
   )
 ) * EE38"),1.0)</f>
        <v>1</v>
      </c>
      <c r="FA38" s="206">
        <f t="shared" si="8"/>
        <v>0</v>
      </c>
      <c r="FB38" s="205">
        <f>IFERROR(__xludf.DUMMYFUNCTION("PRODUCT(
   MAP(
     K$3:ED$3,
     K$14:ED$14,
     K$13:ED$13,
     K38:ED38,
     LAMBDA(
       job,
       buff,
       target,
       check,
       IF(
         OR(AND(check=TRUE, REGEXMATCH(target, ""SELF_AFFECTED_ALL""), job=""戦士""), AND(check=Op"&amp;"tion!$F$13, REGEXMATCH(target, ""SINGLE_AFFECTED_ALL""))),
         buff,
         1
       )
     )
   )
 )"),1.0)</f>
        <v>1</v>
      </c>
      <c r="FC38" s="206">
        <f>IFERROR(__xludf.DUMMYFUNCTION("SUM(
   MAP(
     K$3:ED$3,
     K$7:ED$7,
     K$15:ED$15,
     K$16:ED$16,
     K$21:ED$21,
     K$5:ED$5,
     K$17:ED$17,
     K38:ED38,
     LAMBDA(
       job,
       abillity,
       buff,
       barrier,
       enhance,
       assign,
       preco"&amp;"ndition,
       check,
       IF(
         OR(AND(check=TRUE, REGEXMATCH(assign, ""SELF""), job=""戦士""), AND(check=Option!$F$13, REGEXMATCH(assign, ""SINGLE_PARTY""))),
         IF(
           OR(ARRAYFORMULA((IF(precondition="""", FALSE, REGEXMATCH($K$4:"&amp;"$ED$4, precondition))) * (K38:ED38=TRUE))),
           enhance,
           IF(barrier="""", buff, barrier)
         ),
         0
       ) *
       SWITCH(
         job,
         ""暗黒騎士"", FD$24,
         ""白魔道士"", EF38 * EH38 * FB38 * IF(abillity, 1, EG3"&amp;"8 * EI38) * (Option!$D$22 * 0.81 / 100),
         ""占星術師"", EF38 * EJ38 * FFB38 * IF(abillity, 1, EG38 * EK38) * (Option!$D$23 * 0.81 / 100),
         ""学者"", EF38 * EL38 * FB38 * IF(abillity, 1, EG38 * EM38) * (Option!$D$24 * 0.81 / 100),
         ""賢者"""&amp;", EF38 * EN38 * FB38 * IF(abillity, 1, EG38 * EO38) * (Option!$D$25 * 0.81 / 100),
         1
       )
     )
   )
 ) + EQ38"),0.0)</f>
        <v>0</v>
      </c>
      <c r="FD38" s="206">
        <f t="shared" si="9"/>
        <v>0</v>
      </c>
      <c r="FE38" s="205">
        <f>IFERROR(__xludf.DUMMYFUNCTION("PRODUCT(
   MAP(
     IF($F38=""Physical"", K$10:ED$10, IF($F38=""Magic"", K$11:ED$11, K$12:ED$12)),
     IF($F38=""Physical"", K$18:ED$18, IF($F38=""Magic"", K$19:ED$19, K$20:ED$20)),
     K$3:ED$3,
     K$5:ED$5,
     K$17:ED$17,
     K38:ED38,
     LAM"&amp;"BDA(
       mitigation,
       enhance,
       job,
       assign,
       precondition,
       check,
       IF(
         OR(AND(check=TRUE, REGEXMATCH(assign, ""SELF""), job=""暗黒騎士""), AND(check=Option!$G$13, REGEXMATCH(assign, ""SINGLE_PARTY""))),
     "&amp;"    IF(
           OR(ARRAYFORMULA((IF(precondition="""", FALSE, REGEXMATCH($K$4:$ED$4, precondition))) * (K38:ED38=TRUE))),
           enhance,
           mitigation
         ),
         1
       )
     )
   )
 ) * EE38"),1.0)</f>
        <v>1</v>
      </c>
      <c r="FF38" s="206">
        <f t="shared" si="10"/>
        <v>0</v>
      </c>
      <c r="FG38" s="205">
        <f>IFERROR(__xludf.DUMMYFUNCTION("PRODUCT(
   MAP(
     K$3:ED$3,
     K$14:ED$14,
     K$13:ED$13,
     K38:ED38,
     LAMBDA(
       job,
       buff,
       target,
       check,
       IF(
         OR(AND(check=TRUE, REGEXMATCH(target, ""SELF_AFFECTED_ALL""), job=""暗黒騎士""), AND(check="&amp;"Option!$G$13, REGEXMATCH(target, ""SINGLE_AFFECTED_ALL""))),
         buff,
         1
       )
     )
   )
 )"),1.0)</f>
        <v>1</v>
      </c>
      <c r="FH38" s="206">
        <f>IFERROR(__xludf.DUMMYFUNCTION("SUM(
   MAP(
     K$3:ED$3,
     K$7:ED$7,
     K$15:ED$15,
     K$16:ED$16,
     K$21:ED$21,
     K$5:ED$5,
     K$17:ED$17,
     K38:ED38,
     LAMBDA(
       job,
       abillity,
       buff,
       barrier,
       enhance,
       assign,
       preco"&amp;"ndition,
       check,
       IF(
         OR(AND(check=TRUE, REGEXMATCH(assign, ""SELF""), job=""暗黒騎士""), AND(check=Option!$G$13, REGEXMATCH(assign, ""SINGLE_PARTY""))),
         IF(
           OR(ARRAYFORMULA((IF(precondition="""", FALSE, REGEXMATCH($K$"&amp;"4:$ED$4, precondition))) * (K38:ED38=TRUE))),
           enhance,
           IF(barrier="""", buff, barrier)
         ),
         0
       ) *
       SWITCH(
         job,
         ""暗黒騎士"", FI$24,
         ""白魔道士"", EF38 * EH38 * FG38 * IF(abillity, 1, E"&amp;"G38 * EI38) * (Option!$D$22 * 0.81 / 100),
         ""占星術師"", EF38 * EJ38 * FG38 * IF(abillity, 1, EG38 * EK38) * (Option!$D$23 * 0.81 / 100),
         ""学者"", EF38 * EL38 * FG38 * IF(abillity, 1, EG38 * EM38) * (Option!$D$24 * 0.81 / 100),
         ""賢者"&amp;""", EF38 * EN38 * FG38 * IF(abillity, 1, EG38 * EO38) * (Option!$D$25 * 0.81 / 100),
         1
       )
     )
   )
 ) + EQ38"),0.0)</f>
        <v>0</v>
      </c>
      <c r="FI38" s="206">
        <f t="shared" si="11"/>
        <v>0</v>
      </c>
      <c r="FJ38" s="205">
        <f>IFERROR(__xludf.DUMMYFUNCTION("PRODUCT(
   MAP(
     IF($F38=""Physical"", K$10:ED$10, IF($F38=""Magic"", K$11:ED$11, K$12:ED$12)),
     IF($F38=""Physical"", K$18:ED$18, IF($F38=""Magic"", K$19:ED$19, K$20:ED$20)),
     K$3:ED$3,
     K$5:ED$5,
     K$17:ED$17,
     K38:ED38,
     LAM"&amp;"BDA(
       mitigation,
       enhance,
       job,
       assign,
       precondition,
       check,
       IF(
         OR(AND(check=TRUE, REGEXMATCH(assign, ""SELF""), job=""ガンブレイカー""), AND(check=Option!$H$13, REGEXMATCH(assign, ""SINGLE_PARTY""))),
  "&amp;"       IF(
           OR(ARRAYFORMULA((IF(precondition="""", FALSE, REGEXMATCH($K$4:$ED$4, precondition))) * (K38:ED38=TRUE))),
           enhance,
           mitigation
         ),
         1
       )
     )
   )
 ) * EE38"),1.0)</f>
        <v>1</v>
      </c>
      <c r="FK38" s="206">
        <f t="shared" si="12"/>
        <v>0</v>
      </c>
      <c r="FL38" s="205">
        <f>IFERROR(__xludf.DUMMYFUNCTION("PRODUCT(
   MAP(
     K$3:ED$3,
     K$14:ED$14,
     K$13:ED$13,
     K38:ED38,
     LAMBDA(
       job,
       buff,
       target,
       check,
       IF(
         OR(AND(check=TRUE, REGEXMATCH(target, ""SELF_AFFECTED_ALL""), job=""ガンブレイカー""), AND(che"&amp;"ck=Option!$H$13, REGEXMATCH(target, ""SINGLE_AFFECTED_ALL""))),
         buff,
         1
       )
     )
   )
 )"),1.0)</f>
        <v>1</v>
      </c>
      <c r="FM38" s="206">
        <f>IFERROR(__xludf.DUMMYFUNCTION("SUM(
   MAP(
     K$3:ED$3,
     K$7:ED$7,
     K$15:ED$15,
     K$16:ED$16,
     K$21:ED$21,
     K$5:ED$5,
     K$17:ED$17,
     K38:ED38,
     LAMBDA(
       job,
       abillity,
       buff,
       barrier,
       enhance,
       assign,
       preco"&amp;"ndition,
       check,
       IF(
         OR(AND(check=TRUE, REGEXMATCH(assign, ""SELF""), job=""ガンブレイカー""), AND(check=Option!$H$13, REGEXMATCH(assign, ""SINGLE_PARTY""))),
         IF(
           OR(ARRAYFORMULA((IF(precondition="""", FALSE, REGEXMATCH("&amp;"$K$4:$ED$4, precondition))) * (K38:ED38=TRUE))),
           enhance,
           IF(barrier="""", buff, barrier)
         ),
         0
       ) *
       SWITCH(
         job,
         ""暗黒騎士"", FN$24,
         ""白魔道士"", EF38 * EH38 * FL38 * IF(abillity, 1"&amp;", EG38 * EI38) * (Option!$D$22 * 0.81 / 100),
         ""占星術師"", EF38 * EJ38 * FL38 * IF(abillity, 1, EG38 * EK38) * (Option!$D$23 * 0.81 / 100),
         ""学者"", EF38 * EL38 * FL38 * IF(abillity, 1, EG38 * EM38) * (Option!$D$24 * 0.81 / 100),
         """&amp;"賢者"", EF38 * EN38 * FL38 * IF(abillity, 1, EG38 * EO38) * (Option!$D$25 * 0.81 / 100),
         1
       )
     )
   )
 ) + EQ38"),0.0)</f>
        <v>0</v>
      </c>
      <c r="FN38" s="206">
        <f t="shared" si="13"/>
        <v>0</v>
      </c>
      <c r="FO38" s="213"/>
    </row>
    <row r="39">
      <c r="B39" s="229"/>
      <c r="C39" s="217">
        <f t="shared" si="1"/>
        <v>0</v>
      </c>
      <c r="D39" s="236"/>
      <c r="E39" s="238"/>
      <c r="F39" s="167"/>
      <c r="G39" s="168" t="str">
        <f t="shared" si="2"/>
        <v/>
      </c>
      <c r="H39" s="169"/>
      <c r="I39" s="169"/>
      <c r="J39" s="169"/>
      <c r="K39" s="170" t="b">
        <v>0</v>
      </c>
      <c r="L39" s="170" t="b">
        <v>0</v>
      </c>
      <c r="M39" s="170" t="b">
        <v>0</v>
      </c>
      <c r="N39" s="171" t="s">
        <v>1070</v>
      </c>
      <c r="O39" s="172" t="b">
        <v>0</v>
      </c>
      <c r="P39" s="173" t="b">
        <v>0</v>
      </c>
      <c r="Q39" s="173" t="b">
        <v>0</v>
      </c>
      <c r="R39" s="173" t="b">
        <v>0</v>
      </c>
      <c r="S39" s="174" t="b">
        <v>0</v>
      </c>
      <c r="T39" s="175" t="b">
        <v>0</v>
      </c>
      <c r="U39" s="173" t="b">
        <v>0</v>
      </c>
      <c r="V39" s="171" t="s">
        <v>1070</v>
      </c>
      <c r="W39" s="172" t="b">
        <v>0</v>
      </c>
      <c r="X39" s="173" t="b">
        <v>0</v>
      </c>
      <c r="Y39" s="173" t="b">
        <v>0</v>
      </c>
      <c r="Z39" s="173" t="b">
        <v>0</v>
      </c>
      <c r="AA39" s="174" t="b">
        <v>0</v>
      </c>
      <c r="AB39" s="174" t="b">
        <v>0</v>
      </c>
      <c r="AC39" s="175" t="b">
        <v>0</v>
      </c>
      <c r="AD39" s="173" t="b">
        <v>0</v>
      </c>
      <c r="AE39" s="176" t="s">
        <v>1070</v>
      </c>
      <c r="AF39" s="171" t="s">
        <v>1070</v>
      </c>
      <c r="AG39" s="177">
        <f>IFERROR(__xludf.DUMMYFUNCTION("IF(
  ISNUMBER(AG38),
  MIN(MAX(
    AG38
    + MAX(
      ROUNDDOWN(($D39 - MAX(IFERROR(FILTER($D$24:$D38, AG$24:AG38 &lt;&gt; AF$6, AG$23:AG37 = AF$6), 0))) * (60 * 60 * 24) / AF$9) - ROUNDDOWN(($D38 - MAX(IFERROR(FILTER($D$23:$D37, AG$23:AG37 &lt;&gt; AF$6, AG$22:"&amp;"AG36 = AF$6), 0))) * (60 * 60 * 24) / 60),
      0
    )
    - COUNTIF(AF39, ""&lt;&gt;-""),
  0), AF$6),
  AF$6 - COUNTIF(AF39, ""&lt;&gt;-"")
)"),2.0)</f>
        <v>2</v>
      </c>
      <c r="AH39" s="173" t="b">
        <v>0</v>
      </c>
      <c r="AI39" s="173" t="b">
        <v>0</v>
      </c>
      <c r="AJ39" s="173" t="b">
        <v>0</v>
      </c>
      <c r="AK39" s="174" t="b">
        <v>0</v>
      </c>
      <c r="AL39" s="175" t="b">
        <v>0</v>
      </c>
      <c r="AM39" s="173" t="b">
        <v>0</v>
      </c>
      <c r="AN39" s="171" t="s">
        <v>1070</v>
      </c>
      <c r="AO39" s="173" t="b">
        <v>0</v>
      </c>
      <c r="AP39" s="173" t="b">
        <v>0</v>
      </c>
      <c r="AQ39" s="173" t="b">
        <v>0</v>
      </c>
      <c r="AR39" s="174" t="b">
        <v>0</v>
      </c>
      <c r="AS39" s="178" t="b">
        <v>0</v>
      </c>
      <c r="AT39" s="179" t="b">
        <v>0</v>
      </c>
      <c r="AU39" s="180" t="b">
        <v>0</v>
      </c>
      <c r="AV39" s="180" t="b">
        <v>0</v>
      </c>
      <c r="AW39" s="180" t="b">
        <v>0</v>
      </c>
      <c r="AX39" s="180" t="b">
        <v>0</v>
      </c>
      <c r="AY39" s="181" t="s">
        <v>1070</v>
      </c>
      <c r="AZ39" s="181" t="s">
        <v>1070</v>
      </c>
      <c r="BA39" s="184">
        <f>IFERROR(__xludf.DUMMYFUNCTION("IF(
  ISNUMBER(BA38),
  MIN(MAX(
    BA38
    + MAX(
      ROUNDDOWN((D39 - MAX(IFERROR(FILTER(D$24:D38, BA$24:BA38 &lt;&gt; AZ$6, BA$23:BA37 = AZ$6), 0))) * (60 * 60 * 24) / AZ$9) - ROUNDDOWN((D38 - MAX(IFERROR(FILTER(D$23:D37, BA$23:BA37 &lt;&gt; AZ$6, BA$22:BA36 ="&amp;" AZ$6), 0))) * (60 * 60 * 24) / AZ$9),
      0
    )
    - COUNTIF(AZ39, ""&lt;&gt;-""),
  0), AZ$6),
  AZ$6 - COUNTIF(AZ39, ""&lt;&gt;-"")
)"),2.0)</f>
        <v>2</v>
      </c>
      <c r="BB39" s="181" t="s">
        <v>1070</v>
      </c>
      <c r="BC39" s="183">
        <f>IFERROR(__xludf.DUMMYFUNCTION("IF(
  ISNUMBER(BC38),
  MIN(MAX(
    BC38
    + MAX(
      ROUNDDOWN(($D39 - MAX(IFERROR(FILTER($D$24:$D38, BC$24:BC38 &lt;&gt; BB$6, BC$23:BC37 = BB$6), 0))) * (60 * 60 * 24) / BB$9) - ROUNDDOWN(($D38 - MAX(IFERROR(FILTER($D$23:$D37, BC$23:BC37 &lt;&gt; BB$6, BC$22:"&amp;"BC36 = BB$6), 0))) * (60 * 60 * 24) / 60),
      0
    )
    - COUNTIF(BB39, ""&lt;&gt;-""),
  0), BB$6),
  BB$6 - COUNTIF(BB39, ""&lt;&gt;-"")
)"),2.0)</f>
        <v>2</v>
      </c>
      <c r="BD39" s="181" t="s">
        <v>1070</v>
      </c>
      <c r="BE39" s="178" t="b">
        <v>0</v>
      </c>
      <c r="BF39" s="180" t="b">
        <v>0</v>
      </c>
      <c r="BG39" s="180" t="b">
        <v>0</v>
      </c>
      <c r="BH39" s="180" t="b">
        <v>0</v>
      </c>
      <c r="BI39" s="180" t="b">
        <v>0</v>
      </c>
      <c r="BJ39" s="180" t="b">
        <v>0</v>
      </c>
      <c r="BK39" s="180" t="b">
        <v>0</v>
      </c>
      <c r="BL39" s="180" t="b">
        <v>0</v>
      </c>
      <c r="BM39" s="180" t="b">
        <v>0</v>
      </c>
      <c r="BN39" s="180" t="b">
        <v>0</v>
      </c>
      <c r="BO39" s="181" t="s">
        <v>1070</v>
      </c>
      <c r="BP39" s="181" t="s">
        <v>1070</v>
      </c>
      <c r="BQ39" s="181" t="s">
        <v>1070</v>
      </c>
      <c r="BR39" s="181" t="s">
        <v>1070</v>
      </c>
      <c r="BS39" s="181" t="s">
        <v>1070</v>
      </c>
      <c r="BT39" s="184">
        <f>IFERROR(__xludf.DUMMYFUNCTION("IF(
  ISNUMBER(BT38),
  MIN(MAX(
    BT38
    + MAX(
      ROUNDDOWN((D39 - MAX(IFERROR(FILTER(D$24:D38, BT$24:BT38 &lt;&gt; BS$6, BT$23:BT37 = BS$6), 0))) * (60 * 60 * 24) / BS$9) - ROUNDDOWN((D38 - MAX(IFERROR(FILTER(D$23:D37, BT$23:BT37 &lt;&gt; BS$6, BT$22:BT36 ="&amp;" BS$6), 0))) * (60 * 60 * 24) / BS$9),
      0
    )
    - COUNTIF(BS39, ""&lt;&gt;-""),
  0), BS$6),
  BS$6 - COUNTIF(BS39, ""&lt;&gt;-"")
)"),3.0)</f>
        <v>3</v>
      </c>
      <c r="BU39" s="181" t="s">
        <v>1070</v>
      </c>
      <c r="BV39" s="181" t="s">
        <v>1070</v>
      </c>
      <c r="BW39" s="184">
        <f>IFERROR(__xludf.DUMMYFUNCTION("IF(
  ISNUMBER(BW38),
  MIN(MAX(
    BW38
    + MAX(
      ROUNDDOWN((D39 - MAX(IFERROR(FILTER(D$24:D38, BW$24:BW38 &lt;&gt; BV$6, BW$23:BW37 = BV$6), 0))) * (60 * 60 * 24) / BV$9) - ROUNDDOWN((D38 - MAX(IFERROR(FILTER(D$23:D37, BW$23:BW37 &lt;&gt; BV$6, BW$22:BW36 ="&amp;" BV$6), 0))) * (60 * 60 * 24) / BV$9),
      0
    )
    - COUNTIF(BV39, ""&lt;&gt;-""),
  0), BV$6),
  BV$6 - COUNTIF(BV39, ""&lt;&gt;-"")
)"),2.0)</f>
        <v>2</v>
      </c>
      <c r="BX39" s="185" t="s">
        <v>1070</v>
      </c>
      <c r="BY39" s="178" t="b">
        <v>0</v>
      </c>
      <c r="BZ39" s="180" t="b">
        <v>0</v>
      </c>
      <c r="CA39" s="180" t="b">
        <v>0</v>
      </c>
      <c r="CB39" s="180" t="b">
        <v>0</v>
      </c>
      <c r="CC39" s="180" t="b">
        <v>0</v>
      </c>
      <c r="CD39" s="180" t="b">
        <v>0</v>
      </c>
      <c r="CE39" s="180" t="b">
        <v>0</v>
      </c>
      <c r="CF39" s="180" t="b">
        <v>0</v>
      </c>
      <c r="CG39" s="180" t="b">
        <v>0</v>
      </c>
      <c r="CH39" s="180" t="b">
        <v>0</v>
      </c>
      <c r="CI39" s="180" t="b">
        <v>0</v>
      </c>
      <c r="CJ39" s="180" t="b">
        <v>0</v>
      </c>
      <c r="CK39" s="180" t="b">
        <v>0</v>
      </c>
      <c r="CL39" s="180" t="b">
        <v>0</v>
      </c>
      <c r="CM39" s="181" t="s">
        <v>1070</v>
      </c>
      <c r="CN39" s="181" t="s">
        <v>1070</v>
      </c>
      <c r="CO39" s="181" t="s">
        <v>1070</v>
      </c>
      <c r="CP39" s="181" t="s">
        <v>1070</v>
      </c>
      <c r="CQ39" s="185" t="s">
        <v>1070</v>
      </c>
      <c r="CR39" s="180" t="b">
        <v>0</v>
      </c>
      <c r="CS39" s="186" t="str">
        <f t="shared" si="14"/>
        <v>◇◇◇</v>
      </c>
      <c r="CT39" s="178" t="b">
        <v>0</v>
      </c>
      <c r="CU39" s="180" t="b">
        <v>0</v>
      </c>
      <c r="CV39" s="180" t="b">
        <v>0</v>
      </c>
      <c r="CW39" s="180" t="b">
        <v>0</v>
      </c>
      <c r="CX39" s="180" t="b">
        <v>0</v>
      </c>
      <c r="CY39" s="180" t="b">
        <v>0</v>
      </c>
      <c r="CZ39" s="180" t="b">
        <v>0</v>
      </c>
      <c r="DA39" s="180" t="b">
        <v>0</v>
      </c>
      <c r="DB39" s="180" t="b">
        <v>0</v>
      </c>
      <c r="DC39" s="180" t="b">
        <v>0</v>
      </c>
      <c r="DD39" s="181" t="s">
        <v>1070</v>
      </c>
      <c r="DE39" s="181" t="s">
        <v>1070</v>
      </c>
      <c r="DF39" s="181" t="s">
        <v>1070</v>
      </c>
      <c r="DG39" s="185" t="s">
        <v>1070</v>
      </c>
      <c r="DH39" s="180" t="b">
        <v>0</v>
      </c>
      <c r="DI39" s="187" t="str">
        <f>IFERROR(__xludf.DUMMYFUNCTION("SWITCH(
  IF(
    ISTEXT(DI38),
    IF (
      FIND(""○"", DI38&amp;""○"") &gt; 3,
      3,
      FIND(""○"", DI38&amp;""○"")
      + MAX(
        ROUNDDOWN(($D39 - MAX(IFERROR(FILTER(D$24:D38, DI$24:DI38 &lt;&gt; ""●●●"", DI$23:DI37 = ""●●●""), 0))) * (60 * 60 * 24) / 20"&amp;") - ROUNDDOWN(($D38 - MAX(IFERROR(FILTER(D$23:D37, DI$23:DI37 &lt;&gt; ""●●●"", DI$22:DI36 = ""●●●""), 0))) * (60 * 60 * 24) / 20),
        0
      ) - 1
    ) - COUNTIFS(CU39, ""=TRUE"", CU38, ""&lt;&gt;TRUE"") - COUNTIF(CZ39, ""=TRUE"") - COUNTIF({DD39,DE39}, ""&lt;&gt;-"&amp;""") + COUNTIF(DH39, ""=TRUE""),
    3
  ),
  0, ""○○○"", 1, ""●○○"", 2, ""●●○"", 3, ""●●●"", 4, ""●●●"", ""○○○""
)"),"●●●")</f>
        <v>●●●</v>
      </c>
      <c r="DJ39" s="188" t="b">
        <v>0</v>
      </c>
      <c r="DK39" s="189" t="b">
        <v>0</v>
      </c>
      <c r="DL39" s="190" t="b">
        <v>0</v>
      </c>
      <c r="DM39" s="190" t="b">
        <v>0</v>
      </c>
      <c r="DN39" s="190" t="b">
        <v>0</v>
      </c>
      <c r="DO39" s="190" t="b">
        <v>0</v>
      </c>
      <c r="DP39" s="190" t="b">
        <v>0</v>
      </c>
      <c r="DQ39" s="191" t="b">
        <v>0</v>
      </c>
      <c r="DR39" s="192" t="b">
        <v>0</v>
      </c>
      <c r="DS39" s="191" t="b">
        <v>0</v>
      </c>
      <c r="DT39" s="192" t="b">
        <v>0</v>
      </c>
      <c r="DU39" s="191" t="b">
        <v>0</v>
      </c>
      <c r="DV39" s="193" t="s">
        <v>1070</v>
      </c>
      <c r="DW39" s="194" t="b">
        <v>0</v>
      </c>
      <c r="DX39" s="194" t="b">
        <v>0</v>
      </c>
      <c r="DY39" s="195" t="b">
        <v>0</v>
      </c>
      <c r="DZ39" s="196" t="b">
        <v>0</v>
      </c>
      <c r="EA39" s="195" t="b">
        <v>0</v>
      </c>
      <c r="EB39" s="197" t="b">
        <v>0</v>
      </c>
      <c r="EC39" s="197" t="b">
        <v>0</v>
      </c>
      <c r="ED39" s="212" t="b">
        <v>0</v>
      </c>
      <c r="EE39" s="199">
        <f>IFERROR(__xludf.DUMMYFUNCTION("IFERROR(
   PRODUCT(
     MAP(
       INDEX(TRANSPOSE(UNIQUE(TRANSPOSE(FILTER({IF($F39=""Physical"", K$10:ED$10, IF($F39=""Magic"", K$11:ED$11, K$12:ED$12));K$4:ED$4;K39:ED39}, K39:ED39=TRUE)))), 1, 0),
       INDEX(TRANSPOSE(UNIQUE(TRANSPOSE(FILTER({IF($"&amp;"F39=""Physical"", K$18:ED$18, IF($F39=""Magic"", K$19:ED$19, K$20:ED$20));K$4:ED$4;K39:ED39}, K39:ED39=TRUE)))), 1, 0),
       INDEX(TRANSPOSE(UNIQUE(TRANSPOSE(FILTER({K$5:ED$5;K$4:ED$4;K39:ED39}, K39:ED39=TRUE)))), 1, 0),
       INDEX(TRANSPOSE(UNIQUE(TR"&amp;"ANSPOSE(FILTER({K$17:ED$17;K$4:ED$4;K39:ED39}, K39:ED39=TRUE)))), 1, 0),
       LAMBDA(
         mitigation,
         enhance,
         assign,
         precondition,
         IF(
           REGEXMATCH(assign, ""RANGE_PARTY|SINGLE_ENEMY|RANGE_ENEMY""),
  "&amp;"         IF(
             OR(ARRAYFORMULA((IF(precondition="""", FALSE, REGEXMATCH(K$4:ED$4, precondition))) * (K39:ED39=TRUE))),
             IF(ISNUMBER(enhance), enhance, 1),
             IF(ISNUMBER(mitigation), mitigation, 1)
           ),
          "&amp;" 1
         )
       )
     )
   ),
   1
 )"),1.0)</f>
        <v>1</v>
      </c>
      <c r="EF39" s="200">
        <f>IFERROR(__xludf.DUMMYFUNCTION("PRODUCT(
   MAP(
     K$14:ED$14,
     K$13:ED$13,
     K39:ED39,
     LAMBDA(
       buff,
       target,
       check,
       IF(
         AND(check=TRUE, REGEXMATCH(target, ""RANGE_AFFECTED_ALL|RANGE_EFFECTED_ALL""), ISNUMBER(buff)),
         buff,
   "&amp;"      1
       )
     )
   )
 )"),1.0)</f>
        <v>1</v>
      </c>
      <c r="EG39" s="200">
        <f>IFERROR(__xludf.DUMMYFUNCTION("PRODUCT(
   MAP(
     K$14:ED$14,
     K$13:ED$13,
     K39:ED39,
     LAMBDA(
       buff,
       target,
       check,
       IF(
         AND(check=TRUE, REGEXMATCH(target, ""RANGE_AFFECTED_GCD|RANGE_EFFECTED_GCD""), ISNUMBER(buff)),
         buff,
   "&amp;"      1
       )
     )
   )
 )"),1.0)</f>
        <v>1</v>
      </c>
      <c r="EH39" s="200">
        <f>IFERROR(__xludf.DUMMYFUNCTION("PRODUCT(
   MAP(
     K$3:ED$3,
     K$14:ED$14,
     K$13:ED$13,
     K39:ED39,
     LAMBDA(
       job,
       buff,
       target,
       check,
       IF(
         AND(check=TRUE, REGEXMATCH(target, ""SELF_EFFECTED_ALL""), ISNUMBER(buff), job=""白魔道士"""&amp;"),
         buff,
         1
       )
     )
   )
 )"),1.0)</f>
        <v>1</v>
      </c>
      <c r="EI39" s="200">
        <f>IFERROR(__xludf.DUMMYFUNCTION("PRODUCT(
   MAP(
     K$3:ED$3,
     K$14:ED$14,
     K$13:ED$13,
     K39:ED39,
     LAMBDA(
       job,
       buff,
       target,
       check,
       IF(
         AND(check=TRUE, REGEXMATCH(target, ""SELF_EFFECTED_GCD""), ISNUMBER(buff), job=""白魔道士"""&amp;"),
         buff,
         1
       )
     )
   )
 )"),1.0)</f>
        <v>1</v>
      </c>
      <c r="EJ39" s="200">
        <f>IFERROR(__xludf.DUMMYFUNCTION("PRODUCT(
   MAP(
     K$3:ED$3,
     K$14:ED$14,
     K$13:ED$13,
     K39:ED39,
     LAMBDA(
       job,
       buff,
       target,
       check,
       IF(
         AND(check=TRUE, REGEXMATCH(target, ""SELF_EFFECTED_ALL""), ISNUMBER(buff), job=""占星術師"""&amp;"),
         buff,
         1
       )
     )
   )
 )"),1.0)</f>
        <v>1</v>
      </c>
      <c r="EK39" s="200">
        <f>IFERROR(__xludf.DUMMYFUNCTION("PRODUCT(
   MAP(
     K$3:ED$3,
     K$14:ED$14,
     K$13:ED$13,
     K39:ED39,
     LAMBDA(
       job,
       buff,
       target,
       check,
       IF(
         AND(check=TRUE, REGEXMATCH(target, ""SELF_EFFECTED_GCD""), ISNUMBER(buff), job=""占星術師"""&amp;"),
         buff,
         1
       )
     )
   )
 )"),1.0)</f>
        <v>1</v>
      </c>
      <c r="EL39" s="200">
        <f>IFERROR(__xludf.DUMMYFUNCTION("PRODUCT(
   MAP(
     K$3:ED$3,
     K$14:ED$14,
     K$13:ED$13,
     K39:ED39,
     LAMBDA(
       job,
       buff,
       target,
       check,
       IF(
         AND(check=TRUE, REGEXMATCH(target, ""SELF_EFFECTED_ALL""), ISNUMBER(buff), job=""学者""),"&amp;"
         buff,
         1
       )
     )
   )
 )"),1.0)</f>
        <v>1</v>
      </c>
      <c r="EM39" s="200">
        <f>IFERROR(__xludf.DUMMYFUNCTION("PRODUCT(
   MAP(
     K$3:ED$3,
     K$14:ED$14,
     K$13:ED$13,
     K39:ED39,
     LAMBDA(
       job,
       buff,
       target,
       check,
       IF(
         AND(check=TRUE, REGEXMATCH(target, ""SELF_EFFECTED_GCD""), ISNUMBER(buff), job=""学者""),"&amp;"
         buff,
         1
       )
     )
   )
 )"),1.0)</f>
        <v>1</v>
      </c>
      <c r="EN39" s="200">
        <f>IFERROR(__xludf.DUMMYFUNCTION("PRODUCT(
   MAP(
     K$3:ED$3,
     K$14:ED$14,
     K$13:ED$13,
     K39:ED39,
     LAMBDA(
       job,
       buff,
       target,
       check,
       IF(
         AND(check=TRUE, REGEXMATCH(target, ""SELF_EFFECTED_ALL""), ISNUMBER(buff), job=""賢者""),"&amp;"
         buff,
         1
       )
     )
   )
 )"),1.0)</f>
        <v>1</v>
      </c>
      <c r="EO39" s="200">
        <f>IFERROR(__xludf.DUMMYFUNCTION("PRODUCT(
   MAP(
     K$3:ED$3,
     K$14:ED$14,
     K$13:ED$13,
     K39:ED39,
     LAMBDA(
       job,
       buff,
       target,
       check,
       IF(
         AND(check=TRUE, REGEXMATCH(target, ""SELF_EFFECTED_GCD""), ISNUMBER(buff), job=""賢者""),"&amp;"
         buff,
         1
       )
     )
   )
 )"),1.0)</f>
        <v>1</v>
      </c>
      <c r="EP39" s="201">
        <f t="shared" si="3"/>
        <v>0</v>
      </c>
      <c r="EQ39" s="201">
        <f>IFERROR(__xludf.DUMMYFUNCTION("SUM(
   MAP(
     K$4:ED$4,
     K$3:ED$3,
     K$7:ED$7,
     K$15:ED$15,
     K$16:ED$16,
     K$21:ED$21,
     K$5:ED$5,
     K$17:ED$17,
     K39:ED39,
     LAMBDA(
       name,
       job,
       abillity,
       buff,
       barrier,
       enhance,"&amp;"
       assign,
       precondition,
       check,
       SWITCH(
         name,
         ""シェイクオフ"", IF(check=TRUE, buff + (0.02 * COUNTIF(ARRAYFORMULA((REGEXMATCH($K$4:$ED$4, ""スリル・オブ・バトル|ヴェンジェンス|原初の血気|ダムネーション"")) * (K39:ED39=TRUE)), 1)), 0),
         "&amp;"""インプロビゼーションフィニッシュ(踊りの激情0)"", IF(ISNUMBER(check), INDEX(Skill!$AJ:$AJ, MATCH(SUBSTITUTE(DV$4, 0, check), Skill!$C:$C, 0)), 0),
         IF(
           AND(check=TRUE, REGEXMATCH(assign, ""RANGE_PARTY"")),
           IF(
             OR(ARRAYFORMULA((IF(pr"&amp;"econdition="""", FALSE, REGEXMATCH($K$4:$ED$4, precondition))) * (K39:ED39=TRUE))),
             enhance,
             IF(barrier="""", buff, barrier)
           ),
           0
         )
       ) *
       SWITCH(
         job,
         ""ナイト"", EY$24,
 "&amp;"        ""戦士"", FD$24,
         ""踊り子"", ET$24,
         ""ピクトマンサー"", ET$24,
         ""白魔道士"", EF39 * EH39 * IF(abillity, 1, EG39 * EI39) * (Option!$D$22 * 0.81 / 100),
         ""占星術師"", EF39 * EJ39 * IF(abillity, 1, EG39 * EK39) * (Option!$D$23 * 0.81 "&amp;"/ 100),
         ""学者"", EF39 * EL39 * IF(abillity, 1, EG39 * EM39) * (Option!$D$24 * 0.81 / 100),
         ""賢者"", EF39 * EN39 * IF(abillity, 1, EG39 * EO39) * (Option!$D$25 * 0.81 / 100),
         1
       )
     )
   )
 )"),0.0)</f>
        <v>0</v>
      </c>
      <c r="ER39" s="202">
        <f t="shared" si="4"/>
        <v>0</v>
      </c>
      <c r="ES39" s="203">
        <f t="shared" si="5"/>
        <v>0</v>
      </c>
      <c r="ET39" s="231" t="str">
        <f>IFERROR(__xludf.DUMMYFUNCTION("IFS(
  EP39 &gt; $ET$24 + EQ39,
  SPARKLINE({ 1, 0 }, {""charttype"",""bar"";""max"", 1;""color1"",Option!$D$30;""color2"",Option!$D$30}),
  EP39 &lt; EQ39,
  SPARKLINE({EQ39 - EP39, $ET$24 - (EQ39 - EP39)}, {""charttype"",""bar"";""max"",$ET$24;""color1"",Opti"&amp;"on!$D$28;""color2"",Option!$D$29}),
  EP39 &gt;= EQ39,
  SPARKLINE({$ET$24 + EQ39 - EP39,EP39 - EQ39}, {""charttype"",""bar"";""max"",$ET$24;""color1"",Option!$D$29;""color2"",Option!$D$30})
)"),"")</f>
        <v/>
      </c>
      <c r="EU39" s="205">
        <f>IFERROR(__xludf.DUMMYFUNCTION("PRODUCT(
   MAP(
     IF($F39=""Physical"", K$10:ED$10, IF($F39=""Magic"", K$11:ED$11, K$12:ED$12)),
     IF($F39=""Physical"", K$18:ED$18, IF($F39=""Magic"", K$19:ED$19, K$20:ED$20)),
     K$3:ED$3,
     K$5:ED$5,
     K$17:ED$17,
     K39:ED39,
     LAM"&amp;"BDA(
       mitigation,
       enhance,
       job,
       assign,
       precondition,
       check,
       IF(
         OR(AND(check=TRUE, REGEXMATCH(assign, ""SELF""), job=""ナイト""), AND(check=Option!$E$13, REGEXMATCH(assign, ""SINGLE_PARTY""))),
      "&amp;"   IF(
           OR(ARRAYFORMULA((IF(precondition="""", FALSE, REGEXMATCH($K$4:$ED$4, precondition))) * (K39:ED39=TRUE))),
           enhance,
           mitigation
         ),
         1
       )
     )
   )
 ) * EE39"),1.0)</f>
        <v>1</v>
      </c>
      <c r="EV39" s="206">
        <f t="shared" si="6"/>
        <v>0</v>
      </c>
      <c r="EW39" s="205">
        <f>IFERROR(__xludf.DUMMYFUNCTION("PRODUCT(
   MAP(
     K$3:ED$3,
     K$14:ED$14,
     K$13:ED$13,
     K39:ED39,
     LAMBDA(
       job,
       buff,
       target,
       check,
       IF(
         OR(AND(check=TRUE, REGEXMATCH(target, ""SELF_AFFECTED_ALL""), job=""ナイト""), AND(check=O"&amp;"ption!$E$13, REGEXMATCH(target, ""SINGLE_AFFECTED_ALL""))),
         buff,
         1
       )
     )
   )
 )"),1.0)</f>
        <v>1</v>
      </c>
      <c r="EX39" s="206">
        <f>IFERROR(__xludf.DUMMYFUNCTION("SUM(
   MAP(
     K$3:ED$3,
     K$7:ED$7,
     K$15:ED$15,
     K$16:ED$16,
     K$21:ED$21,
     K$5:ED$5,
     K$17:ED$17,
     K39:ED39,
     LAMBDA(
       job,
       abillity,
       buff,
       barrier,
       enhance,
       assign,
       preco"&amp;"ndition,
       check,
       IF(
         OR(AND(check=TRUE, REGEXMATCH(assign, ""SELF""), job=""ナイト""), AND(check=Option!$E$13, REGEXMATCH(assign, ""SINGLE_PARTY""))),
         IF(
           OR(ARRAYFORMULA((IF(precondition="""", FALSE, REGEXMATCH($K$4"&amp;":$ED$4, precondition))) * (K39:ED39=TRUE))),
           enhance,
           IF(barrier="""", buff, barrier)
         ),
         0
       ) *
       SWITCH(
         job,
         ""暗黒騎士"", EY$24,
         ""白魔道士"", EF39 * EH39 * EW39 * IF(abillity, 1, EG"&amp;"39 * EI39) * (Option!$D$22 * 0.81 / 100),
         ""占星術師"", EF39 * EJ39 * EW39 * IF(abillity, 1, EG39 * EK39) * (Option!$D$23 * 0.81 / 100),
         ""学者"", EF39 * EL39 * EW39 * IF(abillity, 1, EG39 * EM39) * (Option!$D$24 * 0.81 / 100),
         ""賢者"""&amp;", EF39 * EN39 * EW39 * IF(abillity, 1, EG39 * EO39) * (Option!$D$25 * 0.81 / 100),
         1
       )
     )
   )
 ) + EQ39"),0.0)</f>
        <v>0</v>
      </c>
      <c r="EY39" s="232">
        <f t="shared" si="7"/>
        <v>0</v>
      </c>
      <c r="EZ39" s="205">
        <f>IFERROR(__xludf.DUMMYFUNCTION("PRODUCT(
   MAP(
     IF($F39=""Physical"", K$10:ED$10, IF($F39=""Magic"", K$11:ED$11, K$12:ED$12)),
     IF($F39=""Physical"", K$18:ED$18, IF($F39=""Magic"", K$19:ED$19, K$20:ED$20)),
     K$3:ED$3,
     K$5:ED$5,
     K$17:ED$17,
     K39:ED39,
     LAM"&amp;"BDA(
       mitigation,
       enhance,
       job,
       assign,
       precondition,
       check,
       IF(
         OR(AND(check=TRUE, REGEXMATCH(assign, ""SELF""), job=""戦士""), AND(check=Option!$F$13, REGEXMATCH(assign, ""SINGLE_PARTY""))),
       "&amp;"  IF(
           OR(ARRAYFORMULA((IF(precondition="""", FALSE, REGEXMATCH($K$4:$ED$4, precondition))) * (K39:ED39=TRUE))),
           enhance,
           mitigation
         ),
         1
       )
     )
   )
 ) * EE39"),1.0)</f>
        <v>1</v>
      </c>
      <c r="FA39" s="206">
        <f t="shared" si="8"/>
        <v>0</v>
      </c>
      <c r="FB39" s="205">
        <f>IFERROR(__xludf.DUMMYFUNCTION("PRODUCT(
   MAP(
     K$3:ED$3,
     K$14:ED$14,
     K$13:ED$13,
     K39:ED39,
     LAMBDA(
       job,
       buff,
       target,
       check,
       IF(
         OR(AND(check=TRUE, REGEXMATCH(target, ""SELF_AFFECTED_ALL""), job=""戦士""), AND(check=Op"&amp;"tion!$F$13, REGEXMATCH(target, ""SINGLE_AFFECTED_ALL""))),
         buff,
         1
       )
     )
   )
 )"),1.0)</f>
        <v>1</v>
      </c>
      <c r="FC39" s="206">
        <f>IFERROR(__xludf.DUMMYFUNCTION("SUM(
   MAP(
     K$3:ED$3,
     K$7:ED$7,
     K$15:ED$15,
     K$16:ED$16,
     K$21:ED$21,
     K$5:ED$5,
     K$17:ED$17,
     K39:ED39,
     LAMBDA(
       job,
       abillity,
       buff,
       barrier,
       enhance,
       assign,
       preco"&amp;"ndition,
       check,
       IF(
         OR(AND(check=TRUE, REGEXMATCH(assign, ""SELF""), job=""戦士""), AND(check=Option!$F$13, REGEXMATCH(assign, ""SINGLE_PARTY""))),
         IF(
           OR(ARRAYFORMULA((IF(precondition="""", FALSE, REGEXMATCH($K$4:"&amp;"$ED$4, precondition))) * (K39:ED39=TRUE))),
           enhance,
           IF(barrier="""", buff, barrier)
         ),
         0
       ) *
       SWITCH(
         job,
         ""暗黒騎士"", FD$24,
         ""白魔道士"", EF39 * EH39 * FB39 * IF(abillity, 1, EG3"&amp;"9 * EI39) * (Option!$D$22 * 0.81 / 100),
         ""占星術師"", EF39 * EJ39 * FFB39 * IF(abillity, 1, EG39 * EK39) * (Option!$D$23 * 0.81 / 100),
         ""学者"", EF39 * EL39 * FB39 * IF(abillity, 1, EG39 * EM39) * (Option!$D$24 * 0.81 / 100),
         ""賢者"""&amp;", EF39 * EN39 * FB39 * IF(abillity, 1, EG39 * EO39) * (Option!$D$25 * 0.81 / 100),
         1
       )
     )
   )
 ) + EQ39"),0.0)</f>
        <v>0</v>
      </c>
      <c r="FD39" s="206">
        <f t="shared" si="9"/>
        <v>0</v>
      </c>
      <c r="FE39" s="205">
        <f>IFERROR(__xludf.DUMMYFUNCTION("PRODUCT(
   MAP(
     IF($F39=""Physical"", K$10:ED$10, IF($F39=""Magic"", K$11:ED$11, K$12:ED$12)),
     IF($F39=""Physical"", K$18:ED$18, IF($F39=""Magic"", K$19:ED$19, K$20:ED$20)),
     K$3:ED$3,
     K$5:ED$5,
     K$17:ED$17,
     K39:ED39,
     LAM"&amp;"BDA(
       mitigation,
       enhance,
       job,
       assign,
       precondition,
       check,
       IF(
         OR(AND(check=TRUE, REGEXMATCH(assign, ""SELF""), job=""暗黒騎士""), AND(check=Option!$G$13, REGEXMATCH(assign, ""SINGLE_PARTY""))),
     "&amp;"    IF(
           OR(ARRAYFORMULA((IF(precondition="""", FALSE, REGEXMATCH($K$4:$ED$4, precondition))) * (K39:ED39=TRUE))),
           enhance,
           mitigation
         ),
         1
       )
     )
   )
 ) * EE39"),1.0)</f>
        <v>1</v>
      </c>
      <c r="FF39" s="206">
        <f t="shared" si="10"/>
        <v>0</v>
      </c>
      <c r="FG39" s="205">
        <f>IFERROR(__xludf.DUMMYFUNCTION("PRODUCT(
   MAP(
     K$3:ED$3,
     K$14:ED$14,
     K$13:ED$13,
     K39:ED39,
     LAMBDA(
       job,
       buff,
       target,
       check,
       IF(
         OR(AND(check=TRUE, REGEXMATCH(target, ""SELF_AFFECTED_ALL""), job=""暗黒騎士""), AND(check="&amp;"Option!$G$13, REGEXMATCH(target, ""SINGLE_AFFECTED_ALL""))),
         buff,
         1
       )
     )
   )
 )"),1.0)</f>
        <v>1</v>
      </c>
      <c r="FH39" s="206">
        <f>IFERROR(__xludf.DUMMYFUNCTION("SUM(
   MAP(
     K$3:ED$3,
     K$7:ED$7,
     K$15:ED$15,
     K$16:ED$16,
     K$21:ED$21,
     K$5:ED$5,
     K$17:ED$17,
     K39:ED39,
     LAMBDA(
       job,
       abillity,
       buff,
       barrier,
       enhance,
       assign,
       preco"&amp;"ndition,
       check,
       IF(
         OR(AND(check=TRUE, REGEXMATCH(assign, ""SELF""), job=""暗黒騎士""), AND(check=Option!$G$13, REGEXMATCH(assign, ""SINGLE_PARTY""))),
         IF(
           OR(ARRAYFORMULA((IF(precondition="""", FALSE, REGEXMATCH($K$"&amp;"4:$ED$4, precondition))) * (K39:ED39=TRUE))),
           enhance,
           IF(barrier="""", buff, barrier)
         ),
         0
       ) *
       SWITCH(
         job,
         ""暗黒騎士"", FI$24,
         ""白魔道士"", EF39 * EH39 * FG39 * IF(abillity, 1, E"&amp;"G39 * EI39) * (Option!$D$22 * 0.81 / 100),
         ""占星術師"", EF39 * EJ39 * FG39 * IF(abillity, 1, EG39 * EK39) * (Option!$D$23 * 0.81 / 100),
         ""学者"", EF39 * EL39 * FG39 * IF(abillity, 1, EG39 * EM39) * (Option!$D$24 * 0.81 / 100),
         ""賢者"&amp;""", EF39 * EN39 * FG39 * IF(abillity, 1, EG39 * EO39) * (Option!$D$25 * 0.81 / 100),
         1
       )
     )
   )
 ) + EQ39"),0.0)</f>
        <v>0</v>
      </c>
      <c r="FI39" s="206">
        <f t="shared" si="11"/>
        <v>0</v>
      </c>
      <c r="FJ39" s="205">
        <f>IFERROR(__xludf.DUMMYFUNCTION("PRODUCT(
   MAP(
     IF($F39=""Physical"", K$10:ED$10, IF($F39=""Magic"", K$11:ED$11, K$12:ED$12)),
     IF($F39=""Physical"", K$18:ED$18, IF($F39=""Magic"", K$19:ED$19, K$20:ED$20)),
     K$3:ED$3,
     K$5:ED$5,
     K$17:ED$17,
     K39:ED39,
     LAM"&amp;"BDA(
       mitigation,
       enhance,
       job,
       assign,
       precondition,
       check,
       IF(
         OR(AND(check=TRUE, REGEXMATCH(assign, ""SELF""), job=""ガンブレイカー""), AND(check=Option!$H$13, REGEXMATCH(assign, ""SINGLE_PARTY""))),
  "&amp;"       IF(
           OR(ARRAYFORMULA((IF(precondition="""", FALSE, REGEXMATCH($K$4:$ED$4, precondition))) * (K39:ED39=TRUE))),
           enhance,
           mitigation
         ),
         1
       )
     )
   )
 ) * EE39"),1.0)</f>
        <v>1</v>
      </c>
      <c r="FK39" s="206">
        <f t="shared" si="12"/>
        <v>0</v>
      </c>
      <c r="FL39" s="205">
        <f>IFERROR(__xludf.DUMMYFUNCTION("PRODUCT(
   MAP(
     K$3:ED$3,
     K$14:ED$14,
     K$13:ED$13,
     K39:ED39,
     LAMBDA(
       job,
       buff,
       target,
       check,
       IF(
         OR(AND(check=TRUE, REGEXMATCH(target, ""SELF_AFFECTED_ALL""), job=""ガンブレイカー""), AND(che"&amp;"ck=Option!$H$13, REGEXMATCH(target, ""SINGLE_AFFECTED_ALL""))),
         buff,
         1
       )
     )
   )
 )"),1.0)</f>
        <v>1</v>
      </c>
      <c r="FM39" s="206">
        <f>IFERROR(__xludf.DUMMYFUNCTION("SUM(
   MAP(
     K$3:ED$3,
     K$7:ED$7,
     K$15:ED$15,
     K$16:ED$16,
     K$21:ED$21,
     K$5:ED$5,
     K$17:ED$17,
     K39:ED39,
     LAMBDA(
       job,
       abillity,
       buff,
       barrier,
       enhance,
       assign,
       preco"&amp;"ndition,
       check,
       IF(
         OR(AND(check=TRUE, REGEXMATCH(assign, ""SELF""), job=""ガンブレイカー""), AND(check=Option!$H$13, REGEXMATCH(assign, ""SINGLE_PARTY""))),
         IF(
           OR(ARRAYFORMULA((IF(precondition="""", FALSE, REGEXMATCH("&amp;"$K$4:$ED$4, precondition))) * (K39:ED39=TRUE))),
           enhance,
           IF(barrier="""", buff, barrier)
         ),
         0
       ) *
       SWITCH(
         job,
         ""暗黒騎士"", FN$24,
         ""白魔道士"", EF39 * EH39 * FL39 * IF(abillity, 1"&amp;", EG39 * EI39) * (Option!$D$22 * 0.81 / 100),
         ""占星術師"", EF39 * EJ39 * FL39 * IF(abillity, 1, EG39 * EK39) * (Option!$D$23 * 0.81 / 100),
         ""学者"", EF39 * EL39 * FL39 * IF(abillity, 1, EG39 * EM39) * (Option!$D$24 * 0.81 / 100),
         """&amp;"賢者"", EF39 * EN39 * FL39 * IF(abillity, 1, EG39 * EO39) * (Option!$D$25 * 0.81 / 100),
         1
       )
     )
   )
 ) + EQ39"),0.0)</f>
        <v>0</v>
      </c>
      <c r="FN39" s="206">
        <f t="shared" si="13"/>
        <v>0</v>
      </c>
      <c r="FO39" s="213"/>
    </row>
    <row r="40">
      <c r="B40" s="229"/>
      <c r="C40" s="217">
        <f t="shared" si="1"/>
        <v>0</v>
      </c>
      <c r="D40" s="236"/>
      <c r="E40" s="238"/>
      <c r="F40" s="167"/>
      <c r="G40" s="168" t="str">
        <f t="shared" si="2"/>
        <v/>
      </c>
      <c r="H40" s="169"/>
      <c r="I40" s="169"/>
      <c r="J40" s="169"/>
      <c r="K40" s="170" t="b">
        <v>0</v>
      </c>
      <c r="L40" s="170" t="b">
        <v>0</v>
      </c>
      <c r="M40" s="170" t="b">
        <v>0</v>
      </c>
      <c r="N40" s="171" t="s">
        <v>1070</v>
      </c>
      <c r="O40" s="172" t="b">
        <v>0</v>
      </c>
      <c r="P40" s="173" t="b">
        <v>0</v>
      </c>
      <c r="Q40" s="173" t="b">
        <v>0</v>
      </c>
      <c r="R40" s="173" t="b">
        <v>0</v>
      </c>
      <c r="S40" s="174" t="b">
        <v>0</v>
      </c>
      <c r="T40" s="175" t="b">
        <v>0</v>
      </c>
      <c r="U40" s="173" t="b">
        <v>0</v>
      </c>
      <c r="V40" s="171" t="s">
        <v>1070</v>
      </c>
      <c r="W40" s="172" t="b">
        <v>0</v>
      </c>
      <c r="X40" s="173" t="b">
        <v>0</v>
      </c>
      <c r="Y40" s="173" t="b">
        <v>0</v>
      </c>
      <c r="Z40" s="173" t="b">
        <v>0</v>
      </c>
      <c r="AA40" s="174" t="b">
        <v>0</v>
      </c>
      <c r="AB40" s="174" t="b">
        <v>0</v>
      </c>
      <c r="AC40" s="175" t="b">
        <v>0</v>
      </c>
      <c r="AD40" s="173" t="b">
        <v>0</v>
      </c>
      <c r="AE40" s="176" t="s">
        <v>1070</v>
      </c>
      <c r="AF40" s="171" t="s">
        <v>1070</v>
      </c>
      <c r="AG40" s="177">
        <f>IFERROR(__xludf.DUMMYFUNCTION("IF(
  ISNUMBER(AG39),
  MIN(MAX(
    AG39
    + MAX(
      ROUNDDOWN(($D40 - MAX(IFERROR(FILTER($D$24:$D39, AG$24:AG39 &lt;&gt; AF$6, AG$23:AG38 = AF$6), 0))) * (60 * 60 * 24) / AF$9) - ROUNDDOWN(($D39 - MAX(IFERROR(FILTER($D$23:$D38, AG$23:AG38 &lt;&gt; AF$6, AG$22:"&amp;"AG37 = AF$6), 0))) * (60 * 60 * 24) / 60),
      0
    )
    - COUNTIF(AF40, ""&lt;&gt;-""),
  0), AF$6),
  AF$6 - COUNTIF(AF40, ""&lt;&gt;-"")
)"),2.0)</f>
        <v>2</v>
      </c>
      <c r="AH40" s="173" t="b">
        <v>0</v>
      </c>
      <c r="AI40" s="173" t="b">
        <v>0</v>
      </c>
      <c r="AJ40" s="173" t="b">
        <v>0</v>
      </c>
      <c r="AK40" s="174" t="b">
        <v>0</v>
      </c>
      <c r="AL40" s="175" t="b">
        <v>0</v>
      </c>
      <c r="AM40" s="173" t="b">
        <v>0</v>
      </c>
      <c r="AN40" s="171" t="s">
        <v>1070</v>
      </c>
      <c r="AO40" s="173" t="b">
        <v>0</v>
      </c>
      <c r="AP40" s="173" t="b">
        <v>0</v>
      </c>
      <c r="AQ40" s="173" t="b">
        <v>0</v>
      </c>
      <c r="AR40" s="174" t="b">
        <v>0</v>
      </c>
      <c r="AS40" s="178" t="b">
        <v>0</v>
      </c>
      <c r="AT40" s="179" t="b">
        <v>0</v>
      </c>
      <c r="AU40" s="180" t="b">
        <v>0</v>
      </c>
      <c r="AV40" s="180" t="b">
        <v>0</v>
      </c>
      <c r="AW40" s="180" t="b">
        <v>0</v>
      </c>
      <c r="AX40" s="180" t="b">
        <v>0</v>
      </c>
      <c r="AY40" s="181" t="s">
        <v>1070</v>
      </c>
      <c r="AZ40" s="181" t="s">
        <v>1070</v>
      </c>
      <c r="BA40" s="184">
        <f>IFERROR(__xludf.DUMMYFUNCTION("IF(
  ISNUMBER(BA39),
  MIN(MAX(
    BA39
    + MAX(
      ROUNDDOWN((D40 - MAX(IFERROR(FILTER(D$24:D39, BA$24:BA39 &lt;&gt; AZ$6, BA$23:BA38 = AZ$6), 0))) * (60 * 60 * 24) / AZ$9) - ROUNDDOWN((D39 - MAX(IFERROR(FILTER(D$23:D38, BA$23:BA38 &lt;&gt; AZ$6, BA$22:BA37 ="&amp;" AZ$6), 0))) * (60 * 60 * 24) / AZ$9),
      0
    )
    - COUNTIF(AZ40, ""&lt;&gt;-""),
  0), AZ$6),
  AZ$6 - COUNTIF(AZ40, ""&lt;&gt;-"")
)"),2.0)</f>
        <v>2</v>
      </c>
      <c r="BB40" s="181" t="s">
        <v>1070</v>
      </c>
      <c r="BC40" s="183">
        <f>IFERROR(__xludf.DUMMYFUNCTION("IF(
  ISNUMBER(BC39),
  MIN(MAX(
    BC39
    + MAX(
      ROUNDDOWN(($D40 - MAX(IFERROR(FILTER($D$24:$D39, BC$24:BC39 &lt;&gt; BB$6, BC$23:BC38 = BB$6), 0))) * (60 * 60 * 24) / BB$9) - ROUNDDOWN(($D39 - MAX(IFERROR(FILTER($D$23:$D38, BC$23:BC38 &lt;&gt; BB$6, BC$22:"&amp;"BC37 = BB$6), 0))) * (60 * 60 * 24) / 60),
      0
    )
    - COUNTIF(BB40, ""&lt;&gt;-""),
  0), BB$6),
  BB$6 - COUNTIF(BB40, ""&lt;&gt;-"")
)"),2.0)</f>
        <v>2</v>
      </c>
      <c r="BD40" s="181" t="s">
        <v>1070</v>
      </c>
      <c r="BE40" s="178" t="b">
        <v>0</v>
      </c>
      <c r="BF40" s="180" t="b">
        <v>0</v>
      </c>
      <c r="BG40" s="180" t="b">
        <v>0</v>
      </c>
      <c r="BH40" s="180" t="b">
        <v>0</v>
      </c>
      <c r="BI40" s="180" t="b">
        <v>0</v>
      </c>
      <c r="BJ40" s="180" t="b">
        <v>0</v>
      </c>
      <c r="BK40" s="180" t="b">
        <v>0</v>
      </c>
      <c r="BL40" s="180" t="b">
        <v>0</v>
      </c>
      <c r="BM40" s="180" t="b">
        <v>0</v>
      </c>
      <c r="BN40" s="180" t="b">
        <v>0</v>
      </c>
      <c r="BO40" s="181" t="s">
        <v>1070</v>
      </c>
      <c r="BP40" s="181" t="s">
        <v>1070</v>
      </c>
      <c r="BQ40" s="181" t="s">
        <v>1070</v>
      </c>
      <c r="BR40" s="181" t="s">
        <v>1070</v>
      </c>
      <c r="BS40" s="181" t="s">
        <v>1070</v>
      </c>
      <c r="BT40" s="184">
        <f>IFERROR(__xludf.DUMMYFUNCTION("IF(
  ISNUMBER(BT39),
  MIN(MAX(
    BT39
    + MAX(
      ROUNDDOWN((D40 - MAX(IFERROR(FILTER(D$24:D39, BT$24:BT39 &lt;&gt; BS$6, BT$23:BT38 = BS$6), 0))) * (60 * 60 * 24) / BS$9) - ROUNDDOWN((D39 - MAX(IFERROR(FILTER(D$23:D38, BT$23:BT38 &lt;&gt; BS$6, BT$22:BT37 ="&amp;" BS$6), 0))) * (60 * 60 * 24) / BS$9),
      0
    )
    - COUNTIF(BS40, ""&lt;&gt;-""),
  0), BS$6),
  BS$6 - COUNTIF(BS40, ""&lt;&gt;-"")
)"),3.0)</f>
        <v>3</v>
      </c>
      <c r="BU40" s="181" t="s">
        <v>1070</v>
      </c>
      <c r="BV40" s="181" t="s">
        <v>1070</v>
      </c>
      <c r="BW40" s="184">
        <f>IFERROR(__xludf.DUMMYFUNCTION("IF(
  ISNUMBER(BW39),
  MIN(MAX(
    BW39
    + MAX(
      ROUNDDOWN((D40 - MAX(IFERROR(FILTER(D$24:D39, BW$24:BW39 &lt;&gt; BV$6, BW$23:BW38 = BV$6), 0))) * (60 * 60 * 24) / BV$9) - ROUNDDOWN((D39 - MAX(IFERROR(FILTER(D$23:D38, BW$23:BW38 &lt;&gt; BV$6, BW$22:BW37 ="&amp;" BV$6), 0))) * (60 * 60 * 24) / BV$9),
      0
    )
    - COUNTIF(BV40, ""&lt;&gt;-""),
  0), BV$6),
  BV$6 - COUNTIF(BV40, ""&lt;&gt;-"")
)"),2.0)</f>
        <v>2</v>
      </c>
      <c r="BX40" s="185" t="s">
        <v>1070</v>
      </c>
      <c r="BY40" s="178" t="b">
        <v>0</v>
      </c>
      <c r="BZ40" s="180" t="b">
        <v>0</v>
      </c>
      <c r="CA40" s="180" t="b">
        <v>0</v>
      </c>
      <c r="CB40" s="180" t="b">
        <v>0</v>
      </c>
      <c r="CC40" s="180" t="b">
        <v>0</v>
      </c>
      <c r="CD40" s="180" t="b">
        <v>0</v>
      </c>
      <c r="CE40" s="180" t="b">
        <v>0</v>
      </c>
      <c r="CF40" s="180" t="b">
        <v>0</v>
      </c>
      <c r="CG40" s="180" t="b">
        <v>0</v>
      </c>
      <c r="CH40" s="180" t="b">
        <v>0</v>
      </c>
      <c r="CI40" s="180" t="b">
        <v>0</v>
      </c>
      <c r="CJ40" s="180" t="b">
        <v>0</v>
      </c>
      <c r="CK40" s="180" t="b">
        <v>0</v>
      </c>
      <c r="CL40" s="180" t="b">
        <v>0</v>
      </c>
      <c r="CM40" s="181" t="s">
        <v>1070</v>
      </c>
      <c r="CN40" s="181" t="s">
        <v>1070</v>
      </c>
      <c r="CO40" s="181" t="s">
        <v>1070</v>
      </c>
      <c r="CP40" s="181" t="s">
        <v>1070</v>
      </c>
      <c r="CQ40" s="185" t="s">
        <v>1070</v>
      </c>
      <c r="CR40" s="180" t="b">
        <v>0</v>
      </c>
      <c r="CS40" s="186" t="str">
        <f t="shared" si="14"/>
        <v>◇◇◇</v>
      </c>
      <c r="CT40" s="178" t="b">
        <v>0</v>
      </c>
      <c r="CU40" s="180" t="b">
        <v>0</v>
      </c>
      <c r="CV40" s="180" t="b">
        <v>0</v>
      </c>
      <c r="CW40" s="180" t="b">
        <v>0</v>
      </c>
      <c r="CX40" s="180" t="b">
        <v>0</v>
      </c>
      <c r="CY40" s="180" t="b">
        <v>0</v>
      </c>
      <c r="CZ40" s="180" t="b">
        <v>0</v>
      </c>
      <c r="DA40" s="180" t="b">
        <v>0</v>
      </c>
      <c r="DB40" s="180" t="b">
        <v>0</v>
      </c>
      <c r="DC40" s="180" t="b">
        <v>0</v>
      </c>
      <c r="DD40" s="181" t="s">
        <v>1070</v>
      </c>
      <c r="DE40" s="181" t="s">
        <v>1070</v>
      </c>
      <c r="DF40" s="181" t="s">
        <v>1070</v>
      </c>
      <c r="DG40" s="185" t="s">
        <v>1070</v>
      </c>
      <c r="DH40" s="180" t="b">
        <v>0</v>
      </c>
      <c r="DI40" s="187" t="str">
        <f>IFERROR(__xludf.DUMMYFUNCTION("SWITCH(
  IF(
    ISTEXT(DI39),
    IF (
      FIND(""○"", DI39&amp;""○"") &gt; 3,
      3,
      FIND(""○"", DI39&amp;""○"")
      + MAX(
        ROUNDDOWN(($D40 - MAX(IFERROR(FILTER(D$24:D39, DI$24:DI39 &lt;&gt; ""●●●"", DI$23:DI38 = ""●●●""), 0))) * (60 * 60 * 24) / 20"&amp;") - ROUNDDOWN(($D39 - MAX(IFERROR(FILTER(D$23:D38, DI$23:DI38 &lt;&gt; ""●●●"", DI$22:DI37 = ""●●●""), 0))) * (60 * 60 * 24) / 20),
        0
      ) - 1
    ) - COUNTIFS(CU40, ""=TRUE"", CU39, ""&lt;&gt;TRUE"") - COUNTIF(CZ40, ""=TRUE"") - COUNTIF({DD40,DE40}, ""&lt;&gt;-"&amp;""") + COUNTIF(DH40, ""=TRUE""),
    3
  ),
  0, ""○○○"", 1, ""●○○"", 2, ""●●○"", 3, ""●●●"", 4, ""●●●"", ""○○○""
)"),"●●●")</f>
        <v>●●●</v>
      </c>
      <c r="DJ40" s="188" t="b">
        <v>0</v>
      </c>
      <c r="DK40" s="189" t="b">
        <v>0</v>
      </c>
      <c r="DL40" s="190" t="b">
        <v>0</v>
      </c>
      <c r="DM40" s="190" t="b">
        <v>0</v>
      </c>
      <c r="DN40" s="190" t="b">
        <v>0</v>
      </c>
      <c r="DO40" s="190" t="b">
        <v>0</v>
      </c>
      <c r="DP40" s="190" t="b">
        <v>0</v>
      </c>
      <c r="DQ40" s="191" t="b">
        <v>0</v>
      </c>
      <c r="DR40" s="192" t="b">
        <v>0</v>
      </c>
      <c r="DS40" s="191" t="b">
        <v>0</v>
      </c>
      <c r="DT40" s="192" t="b">
        <v>0</v>
      </c>
      <c r="DU40" s="191" t="b">
        <v>0</v>
      </c>
      <c r="DV40" s="193" t="s">
        <v>1070</v>
      </c>
      <c r="DW40" s="194" t="b">
        <v>0</v>
      </c>
      <c r="DX40" s="194" t="b">
        <v>0</v>
      </c>
      <c r="DY40" s="195" t="b">
        <v>0</v>
      </c>
      <c r="DZ40" s="196" t="b">
        <v>0</v>
      </c>
      <c r="EA40" s="195" t="b">
        <v>0</v>
      </c>
      <c r="EB40" s="197" t="b">
        <v>0</v>
      </c>
      <c r="EC40" s="197" t="b">
        <v>0</v>
      </c>
      <c r="ED40" s="212" t="b">
        <v>0</v>
      </c>
      <c r="EE40" s="199">
        <f>IFERROR(__xludf.DUMMYFUNCTION("IFERROR(
   PRODUCT(
     MAP(
       INDEX(TRANSPOSE(UNIQUE(TRANSPOSE(FILTER({IF($F40=""Physical"", K$10:ED$10, IF($F40=""Magic"", K$11:ED$11, K$12:ED$12));K$4:ED$4;K40:ED40}, K40:ED40=TRUE)))), 1, 0),
       INDEX(TRANSPOSE(UNIQUE(TRANSPOSE(FILTER({IF($"&amp;"F40=""Physical"", K$18:ED$18, IF($F40=""Magic"", K$19:ED$19, K$20:ED$20));K$4:ED$4;K40:ED40}, K40:ED40=TRUE)))), 1, 0),
       INDEX(TRANSPOSE(UNIQUE(TRANSPOSE(FILTER({K$5:ED$5;K$4:ED$4;K40:ED40}, K40:ED40=TRUE)))), 1, 0),
       INDEX(TRANSPOSE(UNIQUE(TR"&amp;"ANSPOSE(FILTER({K$17:ED$17;K$4:ED$4;K40:ED40}, K40:ED40=TRUE)))), 1, 0),
       LAMBDA(
         mitigation,
         enhance,
         assign,
         precondition,
         IF(
           REGEXMATCH(assign, ""RANGE_PARTY|SINGLE_ENEMY|RANGE_ENEMY""),
  "&amp;"         IF(
             OR(ARRAYFORMULA((IF(precondition="""", FALSE, REGEXMATCH(K$4:ED$4, precondition))) * (K40:ED40=TRUE))),
             IF(ISNUMBER(enhance), enhance, 1),
             IF(ISNUMBER(mitigation), mitigation, 1)
           ),
          "&amp;" 1
         )
       )
     )
   ),
   1
 )"),1.0)</f>
        <v>1</v>
      </c>
      <c r="EF40" s="200">
        <f>IFERROR(__xludf.DUMMYFUNCTION("PRODUCT(
   MAP(
     K$14:ED$14,
     K$13:ED$13,
     K40:ED40,
     LAMBDA(
       buff,
       target,
       check,
       IF(
         AND(check=TRUE, REGEXMATCH(target, ""RANGE_AFFECTED_ALL|RANGE_EFFECTED_ALL""), ISNUMBER(buff)),
         buff,
   "&amp;"      1
       )
     )
   )
 )"),1.0)</f>
        <v>1</v>
      </c>
      <c r="EG40" s="200">
        <f>IFERROR(__xludf.DUMMYFUNCTION("PRODUCT(
   MAP(
     K$14:ED$14,
     K$13:ED$13,
     K40:ED40,
     LAMBDA(
       buff,
       target,
       check,
       IF(
         AND(check=TRUE, REGEXMATCH(target, ""RANGE_AFFECTED_GCD|RANGE_EFFECTED_GCD""), ISNUMBER(buff)),
         buff,
   "&amp;"      1
       )
     )
   )
 )"),1.0)</f>
        <v>1</v>
      </c>
      <c r="EH40" s="200">
        <f>IFERROR(__xludf.DUMMYFUNCTION("PRODUCT(
   MAP(
     K$3:ED$3,
     K$14:ED$14,
     K$13:ED$13,
     K40:ED40,
     LAMBDA(
       job,
       buff,
       target,
       check,
       IF(
         AND(check=TRUE, REGEXMATCH(target, ""SELF_EFFECTED_ALL""), ISNUMBER(buff), job=""白魔道士"""&amp;"),
         buff,
         1
       )
     )
   )
 )"),1.0)</f>
        <v>1</v>
      </c>
      <c r="EI40" s="200">
        <f>IFERROR(__xludf.DUMMYFUNCTION("PRODUCT(
   MAP(
     K$3:ED$3,
     K$14:ED$14,
     K$13:ED$13,
     K40:ED40,
     LAMBDA(
       job,
       buff,
       target,
       check,
       IF(
         AND(check=TRUE, REGEXMATCH(target, ""SELF_EFFECTED_GCD""), ISNUMBER(buff), job=""白魔道士"""&amp;"),
         buff,
         1
       )
     )
   )
 )"),1.0)</f>
        <v>1</v>
      </c>
      <c r="EJ40" s="200">
        <f>IFERROR(__xludf.DUMMYFUNCTION("PRODUCT(
   MAP(
     K$3:ED$3,
     K$14:ED$14,
     K$13:ED$13,
     K40:ED40,
     LAMBDA(
       job,
       buff,
       target,
       check,
       IF(
         AND(check=TRUE, REGEXMATCH(target, ""SELF_EFFECTED_ALL""), ISNUMBER(buff), job=""占星術師"""&amp;"),
         buff,
         1
       )
     )
   )
 )"),1.0)</f>
        <v>1</v>
      </c>
      <c r="EK40" s="200">
        <f>IFERROR(__xludf.DUMMYFUNCTION("PRODUCT(
   MAP(
     K$3:ED$3,
     K$14:ED$14,
     K$13:ED$13,
     K40:ED40,
     LAMBDA(
       job,
       buff,
       target,
       check,
       IF(
         AND(check=TRUE, REGEXMATCH(target, ""SELF_EFFECTED_GCD""), ISNUMBER(buff), job=""占星術師"""&amp;"),
         buff,
         1
       )
     )
   )
 )"),1.0)</f>
        <v>1</v>
      </c>
      <c r="EL40" s="200">
        <f>IFERROR(__xludf.DUMMYFUNCTION("PRODUCT(
   MAP(
     K$3:ED$3,
     K$14:ED$14,
     K$13:ED$13,
     K40:ED40,
     LAMBDA(
       job,
       buff,
       target,
       check,
       IF(
         AND(check=TRUE, REGEXMATCH(target, ""SELF_EFFECTED_ALL""), ISNUMBER(buff), job=""学者""),"&amp;"
         buff,
         1
       )
     )
   )
 )"),1.0)</f>
        <v>1</v>
      </c>
      <c r="EM40" s="200">
        <f>IFERROR(__xludf.DUMMYFUNCTION("PRODUCT(
   MAP(
     K$3:ED$3,
     K$14:ED$14,
     K$13:ED$13,
     K40:ED40,
     LAMBDA(
       job,
       buff,
       target,
       check,
       IF(
         AND(check=TRUE, REGEXMATCH(target, ""SELF_EFFECTED_GCD""), ISNUMBER(buff), job=""学者""),"&amp;"
         buff,
         1
       )
     )
   )
 )"),1.0)</f>
        <v>1</v>
      </c>
      <c r="EN40" s="200">
        <f>IFERROR(__xludf.DUMMYFUNCTION("PRODUCT(
   MAP(
     K$3:ED$3,
     K$14:ED$14,
     K$13:ED$13,
     K40:ED40,
     LAMBDA(
       job,
       buff,
       target,
       check,
       IF(
         AND(check=TRUE, REGEXMATCH(target, ""SELF_EFFECTED_ALL""), ISNUMBER(buff), job=""賢者""),"&amp;"
         buff,
         1
       )
     )
   )
 )"),1.0)</f>
        <v>1</v>
      </c>
      <c r="EO40" s="200">
        <f>IFERROR(__xludf.DUMMYFUNCTION("PRODUCT(
   MAP(
     K$3:ED$3,
     K$14:ED$14,
     K$13:ED$13,
     K40:ED40,
     LAMBDA(
       job,
       buff,
       target,
       check,
       IF(
         AND(check=TRUE, REGEXMATCH(target, ""SELF_EFFECTED_GCD""), ISNUMBER(buff), job=""賢者""),"&amp;"
         buff,
         1
       )
     )
   )
 )"),1.0)</f>
        <v>1</v>
      </c>
      <c r="EP40" s="201">
        <f t="shared" si="3"/>
        <v>0</v>
      </c>
      <c r="EQ40" s="201">
        <f>IFERROR(__xludf.DUMMYFUNCTION("SUM(
   MAP(
     K$4:ED$4,
     K$3:ED$3,
     K$7:ED$7,
     K$15:ED$15,
     K$16:ED$16,
     K$21:ED$21,
     K$5:ED$5,
     K$17:ED$17,
     K40:ED40,
     LAMBDA(
       name,
       job,
       abillity,
       buff,
       barrier,
       enhance,"&amp;"
       assign,
       precondition,
       check,
       SWITCH(
         name,
         ""シェイクオフ"", IF(check=TRUE, buff + (0.02 * COUNTIF(ARRAYFORMULA((REGEXMATCH($K$4:$ED$4, ""スリル・オブ・バトル|ヴェンジェンス|原初の血気|ダムネーション"")) * (K40:ED40=TRUE)), 1)), 0),
         "&amp;"""インプロビゼーションフィニッシュ(踊りの激情0)"", IF(ISNUMBER(check), INDEX(Skill!$AJ:$AJ, MATCH(SUBSTITUTE(DV$4, 0, check), Skill!$C:$C, 0)), 0),
         IF(
           AND(check=TRUE, REGEXMATCH(assign, ""RANGE_PARTY"")),
           IF(
             OR(ARRAYFORMULA((IF(pr"&amp;"econdition="""", FALSE, REGEXMATCH($K$4:$ED$4, precondition))) * (K40:ED40=TRUE))),
             enhance,
             IF(barrier="""", buff, barrier)
           ),
           0
         )
       ) *
       SWITCH(
         job,
         ""ナイト"", EY$24,
 "&amp;"        ""戦士"", FD$24,
         ""踊り子"", ET$24,
         ""ピクトマンサー"", ET$24,
         ""白魔道士"", EF40 * EH40 * IF(abillity, 1, EG40 * EI40) * (Option!$D$22 * 0.81 / 100),
         ""占星術師"", EF40 * EJ40 * IF(abillity, 1, EG40 * EK40) * (Option!$D$23 * 0.81 "&amp;"/ 100),
         ""学者"", EF40 * EL40 * IF(abillity, 1, EG40 * EM40) * (Option!$D$24 * 0.81 / 100),
         ""賢者"", EF40 * EN40 * IF(abillity, 1, EG40 * EO40) * (Option!$D$25 * 0.81 / 100),
         1
       )
     )
   )
 )"),0.0)</f>
        <v>0</v>
      </c>
      <c r="ER40" s="202">
        <f t="shared" si="4"/>
        <v>0</v>
      </c>
      <c r="ES40" s="203">
        <f t="shared" si="5"/>
        <v>0</v>
      </c>
      <c r="ET40" s="231" t="str">
        <f>IFERROR(__xludf.DUMMYFUNCTION("IFS(
  EP40 &gt; $ET$24 + EQ40,
  SPARKLINE({ 1, 0 }, {""charttype"",""bar"";""max"", 1;""color1"",Option!$D$30;""color2"",Option!$D$30}),
  EP40 &lt; EQ40,
  SPARKLINE({EQ40 - EP40, $ET$24 - (EQ40 - EP40)}, {""charttype"",""bar"";""max"",$ET$24;""color1"",Opti"&amp;"on!$D$28;""color2"",Option!$D$29}),
  EP40 &gt;= EQ40,
  SPARKLINE({$ET$24 + EQ40 - EP40,EP40 - EQ40}, {""charttype"",""bar"";""max"",$ET$24;""color1"",Option!$D$29;""color2"",Option!$D$30})
)"),"")</f>
        <v/>
      </c>
      <c r="EU40" s="205">
        <f>IFERROR(__xludf.DUMMYFUNCTION("PRODUCT(
   MAP(
     IF($F40=""Physical"", K$10:ED$10, IF($F40=""Magic"", K$11:ED$11, K$12:ED$12)),
     IF($F40=""Physical"", K$18:ED$18, IF($F40=""Magic"", K$19:ED$19, K$20:ED$20)),
     K$3:ED$3,
     K$5:ED$5,
     K$17:ED$17,
     K40:ED40,
     LAM"&amp;"BDA(
       mitigation,
       enhance,
       job,
       assign,
       precondition,
       check,
       IF(
         OR(AND(check=TRUE, REGEXMATCH(assign, ""SELF""), job=""ナイト""), AND(check=Option!$E$13, REGEXMATCH(assign, ""SINGLE_PARTY""))),
      "&amp;"   IF(
           OR(ARRAYFORMULA((IF(precondition="""", FALSE, REGEXMATCH($K$4:$ED$4, precondition))) * (K40:ED40=TRUE))),
           enhance,
           mitigation
         ),
         1
       )
     )
   )
 ) * EE40"),1.0)</f>
        <v>1</v>
      </c>
      <c r="EV40" s="206">
        <f t="shared" si="6"/>
        <v>0</v>
      </c>
      <c r="EW40" s="205">
        <f>IFERROR(__xludf.DUMMYFUNCTION("PRODUCT(
   MAP(
     K$3:ED$3,
     K$14:ED$14,
     K$13:ED$13,
     K40:ED40,
     LAMBDA(
       job,
       buff,
       target,
       check,
       IF(
         OR(AND(check=TRUE, REGEXMATCH(target, ""SELF_AFFECTED_ALL""), job=""ナイト""), AND(check=O"&amp;"ption!$E$13, REGEXMATCH(target, ""SINGLE_AFFECTED_ALL""))),
         buff,
         1
       )
     )
   )
 )"),1.0)</f>
        <v>1</v>
      </c>
      <c r="EX40" s="206">
        <f>IFERROR(__xludf.DUMMYFUNCTION("SUM(
   MAP(
     K$3:ED$3,
     K$7:ED$7,
     K$15:ED$15,
     K$16:ED$16,
     K$21:ED$21,
     K$5:ED$5,
     K$17:ED$17,
     K40:ED40,
     LAMBDA(
       job,
       abillity,
       buff,
       barrier,
       enhance,
       assign,
       preco"&amp;"ndition,
       check,
       IF(
         OR(AND(check=TRUE, REGEXMATCH(assign, ""SELF""), job=""ナイト""), AND(check=Option!$E$13, REGEXMATCH(assign, ""SINGLE_PARTY""))),
         IF(
           OR(ARRAYFORMULA((IF(precondition="""", FALSE, REGEXMATCH($K$4"&amp;":$ED$4, precondition))) * (K40:ED40=TRUE))),
           enhance,
           IF(barrier="""", buff, barrier)
         ),
         0
       ) *
       SWITCH(
         job,
         ""暗黒騎士"", EY$24,
         ""白魔道士"", EF40 * EH40 * EW40 * IF(abillity, 1, EG"&amp;"40 * EI40) * (Option!$D$22 * 0.81 / 100),
         ""占星術師"", EF40 * EJ40 * EW40 * IF(abillity, 1, EG40 * EK40) * (Option!$D$23 * 0.81 / 100),
         ""学者"", EF40 * EL40 * EW40 * IF(abillity, 1, EG40 * EM40) * (Option!$D$24 * 0.81 / 100),
         ""賢者"""&amp;", EF40 * EN40 * EW40 * IF(abillity, 1, EG40 * EO40) * (Option!$D$25 * 0.81 / 100),
         1
       )
     )
   )
 ) + EQ40"),0.0)</f>
        <v>0</v>
      </c>
      <c r="EY40" s="232">
        <f t="shared" si="7"/>
        <v>0</v>
      </c>
      <c r="EZ40" s="205">
        <f>IFERROR(__xludf.DUMMYFUNCTION("PRODUCT(
   MAP(
     IF($F40=""Physical"", K$10:ED$10, IF($F40=""Magic"", K$11:ED$11, K$12:ED$12)),
     IF($F40=""Physical"", K$18:ED$18, IF($F40=""Magic"", K$19:ED$19, K$20:ED$20)),
     K$3:ED$3,
     K$5:ED$5,
     K$17:ED$17,
     K40:ED40,
     LAM"&amp;"BDA(
       mitigation,
       enhance,
       job,
       assign,
       precondition,
       check,
       IF(
         OR(AND(check=TRUE, REGEXMATCH(assign, ""SELF""), job=""戦士""), AND(check=Option!$F$13, REGEXMATCH(assign, ""SINGLE_PARTY""))),
       "&amp;"  IF(
           OR(ARRAYFORMULA((IF(precondition="""", FALSE, REGEXMATCH($K$4:$ED$4, precondition))) * (K40:ED40=TRUE))),
           enhance,
           mitigation
         ),
         1
       )
     )
   )
 ) * EE40"),1.0)</f>
        <v>1</v>
      </c>
      <c r="FA40" s="206">
        <f t="shared" si="8"/>
        <v>0</v>
      </c>
      <c r="FB40" s="205">
        <f>IFERROR(__xludf.DUMMYFUNCTION("PRODUCT(
   MAP(
     K$3:ED$3,
     K$14:ED$14,
     K$13:ED$13,
     K40:ED40,
     LAMBDA(
       job,
       buff,
       target,
       check,
       IF(
         OR(AND(check=TRUE, REGEXMATCH(target, ""SELF_AFFECTED_ALL""), job=""戦士""), AND(check=Op"&amp;"tion!$F$13, REGEXMATCH(target, ""SINGLE_AFFECTED_ALL""))),
         buff,
         1
       )
     )
   )
 )"),1.0)</f>
        <v>1</v>
      </c>
      <c r="FC40" s="206">
        <f>IFERROR(__xludf.DUMMYFUNCTION("SUM(
   MAP(
     K$3:ED$3,
     K$7:ED$7,
     K$15:ED$15,
     K$16:ED$16,
     K$21:ED$21,
     K$5:ED$5,
     K$17:ED$17,
     K40:ED40,
     LAMBDA(
       job,
       abillity,
       buff,
       barrier,
       enhance,
       assign,
       preco"&amp;"ndition,
       check,
       IF(
         OR(AND(check=TRUE, REGEXMATCH(assign, ""SELF""), job=""戦士""), AND(check=Option!$F$13, REGEXMATCH(assign, ""SINGLE_PARTY""))),
         IF(
           OR(ARRAYFORMULA((IF(precondition="""", FALSE, REGEXMATCH($K$4:"&amp;"$ED$4, precondition))) * (K40:ED40=TRUE))),
           enhance,
           IF(barrier="""", buff, barrier)
         ),
         0
       ) *
       SWITCH(
         job,
         ""暗黒騎士"", FD$24,
         ""白魔道士"", EF40 * EH40 * FB40 * IF(abillity, 1, EG4"&amp;"0 * EI40) * (Option!$D$22 * 0.81 / 100),
         ""占星術師"", EF40 * EJ40 * FFB40 * IF(abillity, 1, EG40 * EK40) * (Option!$D$23 * 0.81 / 100),
         ""学者"", EF40 * EL40 * FB40 * IF(abillity, 1, EG40 * EM40) * (Option!$D$24 * 0.81 / 100),
         ""賢者"""&amp;", EF40 * EN40 * FB40 * IF(abillity, 1, EG40 * EO40) * (Option!$D$25 * 0.81 / 100),
         1
       )
     )
   )
 ) + EQ40"),0.0)</f>
        <v>0</v>
      </c>
      <c r="FD40" s="206">
        <f t="shared" si="9"/>
        <v>0</v>
      </c>
      <c r="FE40" s="205">
        <f>IFERROR(__xludf.DUMMYFUNCTION("PRODUCT(
   MAP(
     IF($F40=""Physical"", K$10:ED$10, IF($F40=""Magic"", K$11:ED$11, K$12:ED$12)),
     IF($F40=""Physical"", K$18:ED$18, IF($F40=""Magic"", K$19:ED$19, K$20:ED$20)),
     K$3:ED$3,
     K$5:ED$5,
     K$17:ED$17,
     K40:ED40,
     LAM"&amp;"BDA(
       mitigation,
       enhance,
       job,
       assign,
       precondition,
       check,
       IF(
         OR(AND(check=TRUE, REGEXMATCH(assign, ""SELF""), job=""暗黒騎士""), AND(check=Option!$G$13, REGEXMATCH(assign, ""SINGLE_PARTY""))),
     "&amp;"    IF(
           OR(ARRAYFORMULA((IF(precondition="""", FALSE, REGEXMATCH($K$4:$ED$4, precondition))) * (K40:ED40=TRUE))),
           enhance,
           mitigation
         ),
         1
       )
     )
   )
 ) * EE40"),1.0)</f>
        <v>1</v>
      </c>
      <c r="FF40" s="206">
        <f t="shared" si="10"/>
        <v>0</v>
      </c>
      <c r="FG40" s="205">
        <f>IFERROR(__xludf.DUMMYFUNCTION("PRODUCT(
   MAP(
     K$3:ED$3,
     K$14:ED$14,
     K$13:ED$13,
     K40:ED40,
     LAMBDA(
       job,
       buff,
       target,
       check,
       IF(
         OR(AND(check=TRUE, REGEXMATCH(target, ""SELF_AFFECTED_ALL""), job=""暗黒騎士""), AND(check="&amp;"Option!$G$13, REGEXMATCH(target, ""SINGLE_AFFECTED_ALL""))),
         buff,
         1
       )
     )
   )
 )"),1.0)</f>
        <v>1</v>
      </c>
      <c r="FH40" s="206">
        <f>IFERROR(__xludf.DUMMYFUNCTION("SUM(
   MAP(
     K$3:ED$3,
     K$7:ED$7,
     K$15:ED$15,
     K$16:ED$16,
     K$21:ED$21,
     K$5:ED$5,
     K$17:ED$17,
     K40:ED40,
     LAMBDA(
       job,
       abillity,
       buff,
       barrier,
       enhance,
       assign,
       preco"&amp;"ndition,
       check,
       IF(
         OR(AND(check=TRUE, REGEXMATCH(assign, ""SELF""), job=""暗黒騎士""), AND(check=Option!$G$13, REGEXMATCH(assign, ""SINGLE_PARTY""))),
         IF(
           OR(ARRAYFORMULA((IF(precondition="""", FALSE, REGEXMATCH($K$"&amp;"4:$ED$4, precondition))) * (K40:ED40=TRUE))),
           enhance,
           IF(barrier="""", buff, barrier)
         ),
         0
       ) *
       SWITCH(
         job,
         ""暗黒騎士"", FI$24,
         ""白魔道士"", EF40 * EH40 * FG40 * IF(abillity, 1, E"&amp;"G40 * EI40) * (Option!$D$22 * 0.81 / 100),
         ""占星術師"", EF40 * EJ40 * FG40 * IF(abillity, 1, EG40 * EK40) * (Option!$D$23 * 0.81 / 100),
         ""学者"", EF40 * EL40 * FG40 * IF(abillity, 1, EG40 * EM40) * (Option!$D$24 * 0.81 / 100),
         ""賢者"&amp;""", EF40 * EN40 * FG40 * IF(abillity, 1, EG40 * EO40) * (Option!$D$25 * 0.81 / 100),
         1
       )
     )
   )
 ) + EQ40"),0.0)</f>
        <v>0</v>
      </c>
      <c r="FI40" s="206">
        <f t="shared" si="11"/>
        <v>0</v>
      </c>
      <c r="FJ40" s="205">
        <f>IFERROR(__xludf.DUMMYFUNCTION("PRODUCT(
   MAP(
     IF($F40=""Physical"", K$10:ED$10, IF($F40=""Magic"", K$11:ED$11, K$12:ED$12)),
     IF($F40=""Physical"", K$18:ED$18, IF($F40=""Magic"", K$19:ED$19, K$20:ED$20)),
     K$3:ED$3,
     K$5:ED$5,
     K$17:ED$17,
     K40:ED40,
     LAM"&amp;"BDA(
       mitigation,
       enhance,
       job,
       assign,
       precondition,
       check,
       IF(
         OR(AND(check=TRUE, REGEXMATCH(assign, ""SELF""), job=""ガンブレイカー""), AND(check=Option!$H$13, REGEXMATCH(assign, ""SINGLE_PARTY""))),
  "&amp;"       IF(
           OR(ARRAYFORMULA((IF(precondition="""", FALSE, REGEXMATCH($K$4:$ED$4, precondition))) * (K40:ED40=TRUE))),
           enhance,
           mitigation
         ),
         1
       )
     )
   )
 ) * EE40"),1.0)</f>
        <v>1</v>
      </c>
      <c r="FK40" s="206">
        <f t="shared" si="12"/>
        <v>0</v>
      </c>
      <c r="FL40" s="205">
        <f>IFERROR(__xludf.DUMMYFUNCTION("PRODUCT(
   MAP(
     K$3:ED$3,
     K$14:ED$14,
     K$13:ED$13,
     K40:ED40,
     LAMBDA(
       job,
       buff,
       target,
       check,
       IF(
         OR(AND(check=TRUE, REGEXMATCH(target, ""SELF_AFFECTED_ALL""), job=""ガンブレイカー""), AND(che"&amp;"ck=Option!$H$13, REGEXMATCH(target, ""SINGLE_AFFECTED_ALL""))),
         buff,
         1
       )
     )
   )
 )"),1.0)</f>
        <v>1</v>
      </c>
      <c r="FM40" s="206">
        <f>IFERROR(__xludf.DUMMYFUNCTION("SUM(
   MAP(
     K$3:ED$3,
     K$7:ED$7,
     K$15:ED$15,
     K$16:ED$16,
     K$21:ED$21,
     K$5:ED$5,
     K$17:ED$17,
     K40:ED40,
     LAMBDA(
       job,
       abillity,
       buff,
       barrier,
       enhance,
       assign,
       preco"&amp;"ndition,
       check,
       IF(
         OR(AND(check=TRUE, REGEXMATCH(assign, ""SELF""), job=""ガンブレイカー""), AND(check=Option!$H$13, REGEXMATCH(assign, ""SINGLE_PARTY""))),
         IF(
           OR(ARRAYFORMULA((IF(precondition="""", FALSE, REGEXMATCH("&amp;"$K$4:$ED$4, precondition))) * (K40:ED40=TRUE))),
           enhance,
           IF(barrier="""", buff, barrier)
         ),
         0
       ) *
       SWITCH(
         job,
         ""暗黒騎士"", FN$24,
         ""白魔道士"", EF40 * EH40 * FL40 * IF(abillity, 1"&amp;", EG40 * EI40) * (Option!$D$22 * 0.81 / 100),
         ""占星術師"", EF40 * EJ40 * FL40 * IF(abillity, 1, EG40 * EK40) * (Option!$D$23 * 0.81 / 100),
         ""学者"", EF40 * EL40 * FL40 * IF(abillity, 1, EG40 * EM40) * (Option!$D$24 * 0.81 / 100),
         """&amp;"賢者"", EF40 * EN40 * FL40 * IF(abillity, 1, EG40 * EO40) * (Option!$D$25 * 0.81 / 100),
         1
       )
     )
   )
 ) + EQ40"),0.0)</f>
        <v>0</v>
      </c>
      <c r="FN40" s="206">
        <f t="shared" si="13"/>
        <v>0</v>
      </c>
      <c r="FO40" s="213"/>
    </row>
    <row r="41">
      <c r="B41" s="229"/>
      <c r="C41" s="217">
        <f t="shared" si="1"/>
        <v>0</v>
      </c>
      <c r="D41" s="236"/>
      <c r="E41" s="238"/>
      <c r="F41" s="167"/>
      <c r="G41" s="168" t="str">
        <f t="shared" si="2"/>
        <v/>
      </c>
      <c r="H41" s="169"/>
      <c r="I41" s="169"/>
      <c r="J41" s="169"/>
      <c r="K41" s="170" t="b">
        <v>0</v>
      </c>
      <c r="L41" s="170" t="b">
        <v>0</v>
      </c>
      <c r="M41" s="170" t="b">
        <v>0</v>
      </c>
      <c r="N41" s="171" t="s">
        <v>1070</v>
      </c>
      <c r="O41" s="172" t="b">
        <v>0</v>
      </c>
      <c r="P41" s="173" t="b">
        <v>0</v>
      </c>
      <c r="Q41" s="173" t="b">
        <v>0</v>
      </c>
      <c r="R41" s="173" t="b">
        <v>0</v>
      </c>
      <c r="S41" s="174" t="b">
        <v>0</v>
      </c>
      <c r="T41" s="175" t="b">
        <v>0</v>
      </c>
      <c r="U41" s="173" t="b">
        <v>0</v>
      </c>
      <c r="V41" s="171" t="s">
        <v>1070</v>
      </c>
      <c r="W41" s="172" t="b">
        <v>0</v>
      </c>
      <c r="X41" s="173" t="b">
        <v>0</v>
      </c>
      <c r="Y41" s="173" t="b">
        <v>0</v>
      </c>
      <c r="Z41" s="173" t="b">
        <v>0</v>
      </c>
      <c r="AA41" s="174" t="b">
        <v>0</v>
      </c>
      <c r="AB41" s="174" t="b">
        <v>0</v>
      </c>
      <c r="AC41" s="175" t="b">
        <v>0</v>
      </c>
      <c r="AD41" s="173" t="b">
        <v>0</v>
      </c>
      <c r="AE41" s="176" t="s">
        <v>1070</v>
      </c>
      <c r="AF41" s="171" t="s">
        <v>1070</v>
      </c>
      <c r="AG41" s="177">
        <f>IFERROR(__xludf.DUMMYFUNCTION("IF(
  ISNUMBER(AG40),
  MIN(MAX(
    AG40
    + MAX(
      ROUNDDOWN(($D41 - MAX(IFERROR(FILTER($D$24:$D40, AG$24:AG40 &lt;&gt; AF$6, AG$23:AG39 = AF$6), 0))) * (60 * 60 * 24) / AF$9) - ROUNDDOWN(($D40 - MAX(IFERROR(FILTER($D$23:$D39, AG$23:AG39 &lt;&gt; AF$6, AG$22:"&amp;"AG38 = AF$6), 0))) * (60 * 60 * 24) / 60),
      0
    )
    - COUNTIF(AF41, ""&lt;&gt;-""),
  0), AF$6),
  AF$6 - COUNTIF(AF41, ""&lt;&gt;-"")
)"),2.0)</f>
        <v>2</v>
      </c>
      <c r="AH41" s="173" t="b">
        <v>0</v>
      </c>
      <c r="AI41" s="173" t="b">
        <v>0</v>
      </c>
      <c r="AJ41" s="173" t="b">
        <v>0</v>
      </c>
      <c r="AK41" s="174" t="b">
        <v>0</v>
      </c>
      <c r="AL41" s="175" t="b">
        <v>0</v>
      </c>
      <c r="AM41" s="173" t="b">
        <v>0</v>
      </c>
      <c r="AN41" s="171" t="s">
        <v>1070</v>
      </c>
      <c r="AO41" s="173" t="b">
        <v>0</v>
      </c>
      <c r="AP41" s="173" t="b">
        <v>0</v>
      </c>
      <c r="AQ41" s="173" t="b">
        <v>0</v>
      </c>
      <c r="AR41" s="174" t="b">
        <v>0</v>
      </c>
      <c r="AS41" s="178" t="b">
        <v>0</v>
      </c>
      <c r="AT41" s="179" t="b">
        <v>0</v>
      </c>
      <c r="AU41" s="180" t="b">
        <v>0</v>
      </c>
      <c r="AV41" s="180" t="b">
        <v>0</v>
      </c>
      <c r="AW41" s="180" t="b">
        <v>0</v>
      </c>
      <c r="AX41" s="180" t="b">
        <v>0</v>
      </c>
      <c r="AY41" s="181" t="s">
        <v>1070</v>
      </c>
      <c r="AZ41" s="181" t="s">
        <v>1070</v>
      </c>
      <c r="BA41" s="184">
        <f>IFERROR(__xludf.DUMMYFUNCTION("IF(
  ISNUMBER(BA40),
  MIN(MAX(
    BA40
    + MAX(
      ROUNDDOWN((D41 - MAX(IFERROR(FILTER(D$24:D40, BA$24:BA40 &lt;&gt; AZ$6, BA$23:BA39 = AZ$6), 0))) * (60 * 60 * 24) / AZ$9) - ROUNDDOWN((D40 - MAX(IFERROR(FILTER(D$23:D39, BA$23:BA39 &lt;&gt; AZ$6, BA$22:BA38 ="&amp;" AZ$6), 0))) * (60 * 60 * 24) / AZ$9),
      0
    )
    - COUNTIF(AZ41, ""&lt;&gt;-""),
  0), AZ$6),
  AZ$6 - COUNTIF(AZ41, ""&lt;&gt;-"")
)"),2.0)</f>
        <v>2</v>
      </c>
      <c r="BB41" s="181" t="s">
        <v>1070</v>
      </c>
      <c r="BC41" s="183">
        <f>IFERROR(__xludf.DUMMYFUNCTION("IF(
  ISNUMBER(BC40),
  MIN(MAX(
    BC40
    + MAX(
      ROUNDDOWN(($D41 - MAX(IFERROR(FILTER($D$24:$D40, BC$24:BC40 &lt;&gt; BB$6, BC$23:BC39 = BB$6), 0))) * (60 * 60 * 24) / BB$9) - ROUNDDOWN(($D40 - MAX(IFERROR(FILTER($D$23:$D39, BC$23:BC39 &lt;&gt; BB$6, BC$22:"&amp;"BC38 = BB$6), 0))) * (60 * 60 * 24) / 60),
      0
    )
    - COUNTIF(BB41, ""&lt;&gt;-""),
  0), BB$6),
  BB$6 - COUNTIF(BB41, ""&lt;&gt;-"")
)"),2.0)</f>
        <v>2</v>
      </c>
      <c r="BD41" s="181" t="s">
        <v>1070</v>
      </c>
      <c r="BE41" s="178" t="b">
        <v>0</v>
      </c>
      <c r="BF41" s="180" t="b">
        <v>0</v>
      </c>
      <c r="BG41" s="180" t="b">
        <v>0</v>
      </c>
      <c r="BH41" s="180" t="b">
        <v>0</v>
      </c>
      <c r="BI41" s="180" t="b">
        <v>0</v>
      </c>
      <c r="BJ41" s="180" t="b">
        <v>0</v>
      </c>
      <c r="BK41" s="180" t="b">
        <v>0</v>
      </c>
      <c r="BL41" s="180" t="b">
        <v>0</v>
      </c>
      <c r="BM41" s="180" t="b">
        <v>0</v>
      </c>
      <c r="BN41" s="180" t="b">
        <v>0</v>
      </c>
      <c r="BO41" s="181" t="s">
        <v>1070</v>
      </c>
      <c r="BP41" s="181" t="s">
        <v>1070</v>
      </c>
      <c r="BQ41" s="181" t="s">
        <v>1070</v>
      </c>
      <c r="BR41" s="181" t="s">
        <v>1070</v>
      </c>
      <c r="BS41" s="181" t="s">
        <v>1070</v>
      </c>
      <c r="BT41" s="184">
        <f>IFERROR(__xludf.DUMMYFUNCTION("IF(
  ISNUMBER(BT40),
  MIN(MAX(
    BT40
    + MAX(
      ROUNDDOWN((D41 - MAX(IFERROR(FILTER(D$24:D40, BT$24:BT40 &lt;&gt; BS$6, BT$23:BT39 = BS$6), 0))) * (60 * 60 * 24) / BS$9) - ROUNDDOWN((D40 - MAX(IFERROR(FILTER(D$23:D39, BT$23:BT39 &lt;&gt; BS$6, BT$22:BT38 ="&amp;" BS$6), 0))) * (60 * 60 * 24) / BS$9),
      0
    )
    - COUNTIF(BS41, ""&lt;&gt;-""),
  0), BS$6),
  BS$6 - COUNTIF(BS41, ""&lt;&gt;-"")
)"),3.0)</f>
        <v>3</v>
      </c>
      <c r="BU41" s="181" t="s">
        <v>1070</v>
      </c>
      <c r="BV41" s="181" t="s">
        <v>1070</v>
      </c>
      <c r="BW41" s="184">
        <f>IFERROR(__xludf.DUMMYFUNCTION("IF(
  ISNUMBER(BW40),
  MIN(MAX(
    BW40
    + MAX(
      ROUNDDOWN((D41 - MAX(IFERROR(FILTER(D$24:D40, BW$24:BW40 &lt;&gt; BV$6, BW$23:BW39 = BV$6), 0))) * (60 * 60 * 24) / BV$9) - ROUNDDOWN((D40 - MAX(IFERROR(FILTER(D$23:D39, BW$23:BW39 &lt;&gt; BV$6, BW$22:BW38 ="&amp;" BV$6), 0))) * (60 * 60 * 24) / BV$9),
      0
    )
    - COUNTIF(BV41, ""&lt;&gt;-""),
  0), BV$6),
  BV$6 - COUNTIF(BV41, ""&lt;&gt;-"")
)"),2.0)</f>
        <v>2</v>
      </c>
      <c r="BX41" s="185" t="s">
        <v>1070</v>
      </c>
      <c r="BY41" s="178" t="b">
        <v>0</v>
      </c>
      <c r="BZ41" s="180" t="b">
        <v>0</v>
      </c>
      <c r="CA41" s="180" t="b">
        <v>0</v>
      </c>
      <c r="CB41" s="180" t="b">
        <v>0</v>
      </c>
      <c r="CC41" s="180" t="b">
        <v>0</v>
      </c>
      <c r="CD41" s="180" t="b">
        <v>0</v>
      </c>
      <c r="CE41" s="180" t="b">
        <v>0</v>
      </c>
      <c r="CF41" s="180" t="b">
        <v>0</v>
      </c>
      <c r="CG41" s="180" t="b">
        <v>0</v>
      </c>
      <c r="CH41" s="180" t="b">
        <v>0</v>
      </c>
      <c r="CI41" s="180" t="b">
        <v>0</v>
      </c>
      <c r="CJ41" s="180" t="b">
        <v>0</v>
      </c>
      <c r="CK41" s="180" t="b">
        <v>0</v>
      </c>
      <c r="CL41" s="180" t="b">
        <v>0</v>
      </c>
      <c r="CM41" s="181" t="s">
        <v>1070</v>
      </c>
      <c r="CN41" s="181" t="s">
        <v>1070</v>
      </c>
      <c r="CO41" s="181" t="s">
        <v>1070</v>
      </c>
      <c r="CP41" s="181" t="s">
        <v>1070</v>
      </c>
      <c r="CQ41" s="185" t="s">
        <v>1070</v>
      </c>
      <c r="CR41" s="180" t="b">
        <v>0</v>
      </c>
      <c r="CS41" s="186" t="str">
        <f t="shared" si="14"/>
        <v>◇◇◇</v>
      </c>
      <c r="CT41" s="178" t="b">
        <v>0</v>
      </c>
      <c r="CU41" s="180" t="b">
        <v>0</v>
      </c>
      <c r="CV41" s="180" t="b">
        <v>0</v>
      </c>
      <c r="CW41" s="180" t="b">
        <v>0</v>
      </c>
      <c r="CX41" s="180" t="b">
        <v>0</v>
      </c>
      <c r="CY41" s="180" t="b">
        <v>0</v>
      </c>
      <c r="CZ41" s="180" t="b">
        <v>0</v>
      </c>
      <c r="DA41" s="180" t="b">
        <v>0</v>
      </c>
      <c r="DB41" s="180" t="b">
        <v>0</v>
      </c>
      <c r="DC41" s="180" t="b">
        <v>0</v>
      </c>
      <c r="DD41" s="181" t="s">
        <v>1070</v>
      </c>
      <c r="DE41" s="181" t="s">
        <v>1070</v>
      </c>
      <c r="DF41" s="181" t="s">
        <v>1070</v>
      </c>
      <c r="DG41" s="185" t="s">
        <v>1070</v>
      </c>
      <c r="DH41" s="180" t="b">
        <v>0</v>
      </c>
      <c r="DI41" s="187" t="str">
        <f>IFERROR(__xludf.DUMMYFUNCTION("SWITCH(
  IF(
    ISTEXT(DI40),
    IF (
      FIND(""○"", DI40&amp;""○"") &gt; 3,
      3,
      FIND(""○"", DI40&amp;""○"")
      + MAX(
        ROUNDDOWN(($D41 - MAX(IFERROR(FILTER(D$24:D40, DI$24:DI40 &lt;&gt; ""●●●"", DI$23:DI39 = ""●●●""), 0))) * (60 * 60 * 24) / 20"&amp;") - ROUNDDOWN(($D40 - MAX(IFERROR(FILTER(D$23:D39, DI$23:DI39 &lt;&gt; ""●●●"", DI$22:DI38 = ""●●●""), 0))) * (60 * 60 * 24) / 20),
        0
      ) - 1
    ) - COUNTIFS(CU41, ""=TRUE"", CU40, ""&lt;&gt;TRUE"") - COUNTIF(CZ41, ""=TRUE"") - COUNTIF({DD41,DE41}, ""&lt;&gt;-"&amp;""") + COUNTIF(DH41, ""=TRUE""),
    3
  ),
  0, ""○○○"", 1, ""●○○"", 2, ""●●○"", 3, ""●●●"", 4, ""●●●"", ""○○○""
)"),"●●●")</f>
        <v>●●●</v>
      </c>
      <c r="DJ41" s="188" t="b">
        <v>0</v>
      </c>
      <c r="DK41" s="189" t="b">
        <v>0</v>
      </c>
      <c r="DL41" s="190" t="b">
        <v>0</v>
      </c>
      <c r="DM41" s="190" t="b">
        <v>0</v>
      </c>
      <c r="DN41" s="190" t="b">
        <v>0</v>
      </c>
      <c r="DO41" s="190" t="b">
        <v>0</v>
      </c>
      <c r="DP41" s="190" t="b">
        <v>0</v>
      </c>
      <c r="DQ41" s="191" t="b">
        <v>0</v>
      </c>
      <c r="DR41" s="192" t="b">
        <v>0</v>
      </c>
      <c r="DS41" s="191" t="b">
        <v>0</v>
      </c>
      <c r="DT41" s="192" t="b">
        <v>0</v>
      </c>
      <c r="DU41" s="191" t="b">
        <v>0</v>
      </c>
      <c r="DV41" s="193" t="s">
        <v>1070</v>
      </c>
      <c r="DW41" s="194" t="b">
        <v>0</v>
      </c>
      <c r="DX41" s="194" t="b">
        <v>0</v>
      </c>
      <c r="DY41" s="195" t="b">
        <v>0</v>
      </c>
      <c r="DZ41" s="196" t="b">
        <v>0</v>
      </c>
      <c r="EA41" s="195" t="b">
        <v>0</v>
      </c>
      <c r="EB41" s="197" t="b">
        <v>0</v>
      </c>
      <c r="EC41" s="197" t="b">
        <v>0</v>
      </c>
      <c r="ED41" s="212" t="b">
        <v>0</v>
      </c>
      <c r="EE41" s="199">
        <f>IFERROR(__xludf.DUMMYFUNCTION("IFERROR(
   PRODUCT(
     MAP(
       INDEX(TRANSPOSE(UNIQUE(TRANSPOSE(FILTER({IF($F41=""Physical"", K$10:ED$10, IF($F41=""Magic"", K$11:ED$11, K$12:ED$12));K$4:ED$4;K41:ED41}, K41:ED41=TRUE)))), 1, 0),
       INDEX(TRANSPOSE(UNIQUE(TRANSPOSE(FILTER({IF($"&amp;"F41=""Physical"", K$18:ED$18, IF($F41=""Magic"", K$19:ED$19, K$20:ED$20));K$4:ED$4;K41:ED41}, K41:ED41=TRUE)))), 1, 0),
       INDEX(TRANSPOSE(UNIQUE(TRANSPOSE(FILTER({K$5:ED$5;K$4:ED$4;K41:ED41}, K41:ED41=TRUE)))), 1, 0),
       INDEX(TRANSPOSE(UNIQUE(TR"&amp;"ANSPOSE(FILTER({K$17:ED$17;K$4:ED$4;K41:ED41}, K41:ED41=TRUE)))), 1, 0),
       LAMBDA(
         mitigation,
         enhance,
         assign,
         precondition,
         IF(
           REGEXMATCH(assign, ""RANGE_PARTY|SINGLE_ENEMY|RANGE_ENEMY""),
  "&amp;"         IF(
             OR(ARRAYFORMULA((IF(precondition="""", FALSE, REGEXMATCH(K$4:ED$4, precondition))) * (K41:ED41=TRUE))),
             IF(ISNUMBER(enhance), enhance, 1),
             IF(ISNUMBER(mitigation), mitigation, 1)
           ),
          "&amp;" 1
         )
       )
     )
   ),
   1
 )"),1.0)</f>
        <v>1</v>
      </c>
      <c r="EF41" s="200">
        <f>IFERROR(__xludf.DUMMYFUNCTION("PRODUCT(
   MAP(
     K$14:ED$14,
     K$13:ED$13,
     K41:ED41,
     LAMBDA(
       buff,
       target,
       check,
       IF(
         AND(check=TRUE, REGEXMATCH(target, ""RANGE_AFFECTED_ALL|RANGE_EFFECTED_ALL""), ISNUMBER(buff)),
         buff,
   "&amp;"      1
       )
     )
   )
 )"),1.0)</f>
        <v>1</v>
      </c>
      <c r="EG41" s="200">
        <f>IFERROR(__xludf.DUMMYFUNCTION("PRODUCT(
   MAP(
     K$14:ED$14,
     K$13:ED$13,
     K41:ED41,
     LAMBDA(
       buff,
       target,
       check,
       IF(
         AND(check=TRUE, REGEXMATCH(target, ""RANGE_AFFECTED_GCD|RANGE_EFFECTED_GCD""), ISNUMBER(buff)),
         buff,
   "&amp;"      1
       )
     )
   )
 )"),1.0)</f>
        <v>1</v>
      </c>
      <c r="EH41" s="200">
        <f>IFERROR(__xludf.DUMMYFUNCTION("PRODUCT(
   MAP(
     K$3:ED$3,
     K$14:ED$14,
     K$13:ED$13,
     K41:ED41,
     LAMBDA(
       job,
       buff,
       target,
       check,
       IF(
         AND(check=TRUE, REGEXMATCH(target, ""SELF_EFFECTED_ALL""), ISNUMBER(buff), job=""白魔道士"""&amp;"),
         buff,
         1
       )
     )
   )
 )"),1.0)</f>
        <v>1</v>
      </c>
      <c r="EI41" s="200">
        <f>IFERROR(__xludf.DUMMYFUNCTION("PRODUCT(
   MAP(
     K$3:ED$3,
     K$14:ED$14,
     K$13:ED$13,
     K41:ED41,
     LAMBDA(
       job,
       buff,
       target,
       check,
       IF(
         AND(check=TRUE, REGEXMATCH(target, ""SELF_EFFECTED_GCD""), ISNUMBER(buff), job=""白魔道士"""&amp;"),
         buff,
         1
       )
     )
   )
 )"),1.0)</f>
        <v>1</v>
      </c>
      <c r="EJ41" s="200">
        <f>IFERROR(__xludf.DUMMYFUNCTION("PRODUCT(
   MAP(
     K$3:ED$3,
     K$14:ED$14,
     K$13:ED$13,
     K41:ED41,
     LAMBDA(
       job,
       buff,
       target,
       check,
       IF(
         AND(check=TRUE, REGEXMATCH(target, ""SELF_EFFECTED_ALL""), ISNUMBER(buff), job=""占星術師"""&amp;"),
         buff,
         1
       )
     )
   )
 )"),1.0)</f>
        <v>1</v>
      </c>
      <c r="EK41" s="200">
        <f>IFERROR(__xludf.DUMMYFUNCTION("PRODUCT(
   MAP(
     K$3:ED$3,
     K$14:ED$14,
     K$13:ED$13,
     K41:ED41,
     LAMBDA(
       job,
       buff,
       target,
       check,
       IF(
         AND(check=TRUE, REGEXMATCH(target, ""SELF_EFFECTED_GCD""), ISNUMBER(buff), job=""占星術師"""&amp;"),
         buff,
         1
       )
     )
   )
 )"),1.0)</f>
        <v>1</v>
      </c>
      <c r="EL41" s="200">
        <f>IFERROR(__xludf.DUMMYFUNCTION("PRODUCT(
   MAP(
     K$3:ED$3,
     K$14:ED$14,
     K$13:ED$13,
     K41:ED41,
     LAMBDA(
       job,
       buff,
       target,
       check,
       IF(
         AND(check=TRUE, REGEXMATCH(target, ""SELF_EFFECTED_ALL""), ISNUMBER(buff), job=""学者""),"&amp;"
         buff,
         1
       )
     )
   )
 )"),1.0)</f>
        <v>1</v>
      </c>
      <c r="EM41" s="200">
        <f>IFERROR(__xludf.DUMMYFUNCTION("PRODUCT(
   MAP(
     K$3:ED$3,
     K$14:ED$14,
     K$13:ED$13,
     K41:ED41,
     LAMBDA(
       job,
       buff,
       target,
       check,
       IF(
         AND(check=TRUE, REGEXMATCH(target, ""SELF_EFFECTED_GCD""), ISNUMBER(buff), job=""学者""),"&amp;"
         buff,
         1
       )
     )
   )
 )"),1.0)</f>
        <v>1</v>
      </c>
      <c r="EN41" s="200">
        <f>IFERROR(__xludf.DUMMYFUNCTION("PRODUCT(
   MAP(
     K$3:ED$3,
     K$14:ED$14,
     K$13:ED$13,
     K41:ED41,
     LAMBDA(
       job,
       buff,
       target,
       check,
       IF(
         AND(check=TRUE, REGEXMATCH(target, ""SELF_EFFECTED_ALL""), ISNUMBER(buff), job=""賢者""),"&amp;"
         buff,
         1
       )
     )
   )
 )"),1.0)</f>
        <v>1</v>
      </c>
      <c r="EO41" s="200">
        <f>IFERROR(__xludf.DUMMYFUNCTION("PRODUCT(
   MAP(
     K$3:ED$3,
     K$14:ED$14,
     K$13:ED$13,
     K41:ED41,
     LAMBDA(
       job,
       buff,
       target,
       check,
       IF(
         AND(check=TRUE, REGEXMATCH(target, ""SELF_EFFECTED_GCD""), ISNUMBER(buff), job=""賢者""),"&amp;"
         buff,
         1
       )
     )
   )
 )"),1.0)</f>
        <v>1</v>
      </c>
      <c r="EP41" s="201">
        <f t="shared" si="3"/>
        <v>0</v>
      </c>
      <c r="EQ41" s="201">
        <f>IFERROR(__xludf.DUMMYFUNCTION("SUM(
   MAP(
     K$4:ED$4,
     K$3:ED$3,
     K$7:ED$7,
     K$15:ED$15,
     K$16:ED$16,
     K$21:ED$21,
     K$5:ED$5,
     K$17:ED$17,
     K41:ED41,
     LAMBDA(
       name,
       job,
       abillity,
       buff,
       barrier,
       enhance,"&amp;"
       assign,
       precondition,
       check,
       SWITCH(
         name,
         ""シェイクオフ"", IF(check=TRUE, buff + (0.02 * COUNTIF(ARRAYFORMULA((REGEXMATCH($K$4:$ED$4, ""スリル・オブ・バトル|ヴェンジェンス|原初の血気|ダムネーション"")) * (K41:ED41=TRUE)), 1)), 0),
         "&amp;"""インプロビゼーションフィニッシュ(踊りの激情0)"", IF(ISNUMBER(check), INDEX(Skill!$AJ:$AJ, MATCH(SUBSTITUTE(DV$4, 0, check), Skill!$C:$C, 0)), 0),
         IF(
           AND(check=TRUE, REGEXMATCH(assign, ""RANGE_PARTY"")),
           IF(
             OR(ARRAYFORMULA((IF(pr"&amp;"econdition="""", FALSE, REGEXMATCH($K$4:$ED$4, precondition))) * (K41:ED41=TRUE))),
             enhance,
             IF(barrier="""", buff, barrier)
           ),
           0
         )
       ) *
       SWITCH(
         job,
         ""ナイト"", EY$24,
 "&amp;"        ""戦士"", FD$24,
         ""踊り子"", ET$24,
         ""ピクトマンサー"", ET$24,
         ""白魔道士"", EF41 * EH41 * IF(abillity, 1, EG41 * EI41) * (Option!$D$22 * 0.81 / 100),
         ""占星術師"", EF41 * EJ41 * IF(abillity, 1, EG41 * EK41) * (Option!$D$23 * 0.81 "&amp;"/ 100),
         ""学者"", EF41 * EL41 * IF(abillity, 1, EG41 * EM41) * (Option!$D$24 * 0.81 / 100),
         ""賢者"", EF41 * EN41 * IF(abillity, 1, EG41 * EO41) * (Option!$D$25 * 0.81 / 100),
         1
       )
     )
   )
 )"),0.0)</f>
        <v>0</v>
      </c>
      <c r="ER41" s="202">
        <f t="shared" si="4"/>
        <v>0</v>
      </c>
      <c r="ES41" s="203">
        <f t="shared" si="5"/>
        <v>0</v>
      </c>
      <c r="ET41" s="231" t="str">
        <f>IFERROR(__xludf.DUMMYFUNCTION("IFS(
  EP41 &gt; $ET$24 + EQ41,
  SPARKLINE({ 1, 0 }, {""charttype"",""bar"";""max"", 1;""color1"",Option!$D$30;""color2"",Option!$D$30}),
  EP41 &lt; EQ41,
  SPARKLINE({EQ41 - EP41, $ET$24 - (EQ41 - EP41)}, {""charttype"",""bar"";""max"",$ET$24;""color1"",Opti"&amp;"on!$D$28;""color2"",Option!$D$29}),
  EP41 &gt;= EQ41,
  SPARKLINE({$ET$24 + EQ41 - EP41,EP41 - EQ41}, {""charttype"",""bar"";""max"",$ET$24;""color1"",Option!$D$29;""color2"",Option!$D$30})
)"),"")</f>
        <v/>
      </c>
      <c r="EU41" s="205">
        <f>IFERROR(__xludf.DUMMYFUNCTION("PRODUCT(
   MAP(
     IF($F41=""Physical"", K$10:ED$10, IF($F41=""Magic"", K$11:ED$11, K$12:ED$12)),
     IF($F41=""Physical"", K$18:ED$18, IF($F41=""Magic"", K$19:ED$19, K$20:ED$20)),
     K$3:ED$3,
     K$5:ED$5,
     K$17:ED$17,
     K41:ED41,
     LAM"&amp;"BDA(
       mitigation,
       enhance,
       job,
       assign,
       precondition,
       check,
       IF(
         OR(AND(check=TRUE, REGEXMATCH(assign, ""SELF""), job=""ナイト""), AND(check=Option!$E$13, REGEXMATCH(assign, ""SINGLE_PARTY""))),
      "&amp;"   IF(
           OR(ARRAYFORMULA((IF(precondition="""", FALSE, REGEXMATCH($K$4:$ED$4, precondition))) * (K41:ED41=TRUE))),
           enhance,
           mitigation
         ),
         1
       )
     )
   )
 ) * EE41"),1.0)</f>
        <v>1</v>
      </c>
      <c r="EV41" s="206">
        <f t="shared" si="6"/>
        <v>0</v>
      </c>
      <c r="EW41" s="205">
        <f>IFERROR(__xludf.DUMMYFUNCTION("PRODUCT(
   MAP(
     K$3:ED$3,
     K$14:ED$14,
     K$13:ED$13,
     K41:ED41,
     LAMBDA(
       job,
       buff,
       target,
       check,
       IF(
         OR(AND(check=TRUE, REGEXMATCH(target, ""SELF_AFFECTED_ALL""), job=""ナイト""), AND(check=O"&amp;"ption!$E$13, REGEXMATCH(target, ""SINGLE_AFFECTED_ALL""))),
         buff,
         1
       )
     )
   )
 )"),1.0)</f>
        <v>1</v>
      </c>
      <c r="EX41" s="206">
        <f>IFERROR(__xludf.DUMMYFUNCTION("SUM(
   MAP(
     K$3:ED$3,
     K$7:ED$7,
     K$15:ED$15,
     K$16:ED$16,
     K$21:ED$21,
     K$5:ED$5,
     K$17:ED$17,
     K41:ED41,
     LAMBDA(
       job,
       abillity,
       buff,
       barrier,
       enhance,
       assign,
       preco"&amp;"ndition,
       check,
       IF(
         OR(AND(check=TRUE, REGEXMATCH(assign, ""SELF""), job=""ナイト""), AND(check=Option!$E$13, REGEXMATCH(assign, ""SINGLE_PARTY""))),
         IF(
           OR(ARRAYFORMULA((IF(precondition="""", FALSE, REGEXMATCH($K$4"&amp;":$ED$4, precondition))) * (K41:ED41=TRUE))),
           enhance,
           IF(barrier="""", buff, barrier)
         ),
         0
       ) *
       SWITCH(
         job,
         ""暗黒騎士"", EY$24,
         ""白魔道士"", EF41 * EH41 * EW41 * IF(abillity, 1, EG"&amp;"41 * EI41) * (Option!$D$22 * 0.81 / 100),
         ""占星術師"", EF41 * EJ41 * EW41 * IF(abillity, 1, EG41 * EK41) * (Option!$D$23 * 0.81 / 100),
         ""学者"", EF41 * EL41 * EW41 * IF(abillity, 1, EG41 * EM41) * (Option!$D$24 * 0.81 / 100),
         ""賢者"""&amp;", EF41 * EN41 * EW41 * IF(abillity, 1, EG41 * EO41) * (Option!$D$25 * 0.81 / 100),
         1
       )
     )
   )
 ) + EQ41"),0.0)</f>
        <v>0</v>
      </c>
      <c r="EY41" s="232">
        <f t="shared" si="7"/>
        <v>0</v>
      </c>
      <c r="EZ41" s="205">
        <f>IFERROR(__xludf.DUMMYFUNCTION("PRODUCT(
   MAP(
     IF($F41=""Physical"", K$10:ED$10, IF($F41=""Magic"", K$11:ED$11, K$12:ED$12)),
     IF($F41=""Physical"", K$18:ED$18, IF($F41=""Magic"", K$19:ED$19, K$20:ED$20)),
     K$3:ED$3,
     K$5:ED$5,
     K$17:ED$17,
     K41:ED41,
     LAM"&amp;"BDA(
       mitigation,
       enhance,
       job,
       assign,
       precondition,
       check,
       IF(
         OR(AND(check=TRUE, REGEXMATCH(assign, ""SELF""), job=""戦士""), AND(check=Option!$F$13, REGEXMATCH(assign, ""SINGLE_PARTY""))),
       "&amp;"  IF(
           OR(ARRAYFORMULA((IF(precondition="""", FALSE, REGEXMATCH($K$4:$ED$4, precondition))) * (K41:ED41=TRUE))),
           enhance,
           mitigation
         ),
         1
       )
     )
   )
 ) * EE41"),1.0)</f>
        <v>1</v>
      </c>
      <c r="FA41" s="206">
        <f t="shared" si="8"/>
        <v>0</v>
      </c>
      <c r="FB41" s="205">
        <f>IFERROR(__xludf.DUMMYFUNCTION("PRODUCT(
   MAP(
     K$3:ED$3,
     K$14:ED$14,
     K$13:ED$13,
     K41:ED41,
     LAMBDA(
       job,
       buff,
       target,
       check,
       IF(
         OR(AND(check=TRUE, REGEXMATCH(target, ""SELF_AFFECTED_ALL""), job=""戦士""), AND(check=Op"&amp;"tion!$F$13, REGEXMATCH(target, ""SINGLE_AFFECTED_ALL""))),
         buff,
         1
       )
     )
   )
 )"),1.0)</f>
        <v>1</v>
      </c>
      <c r="FC41" s="206">
        <f>IFERROR(__xludf.DUMMYFUNCTION("SUM(
   MAP(
     K$3:ED$3,
     K$7:ED$7,
     K$15:ED$15,
     K$16:ED$16,
     K$21:ED$21,
     K$5:ED$5,
     K$17:ED$17,
     K41:ED41,
     LAMBDA(
       job,
       abillity,
       buff,
       barrier,
       enhance,
       assign,
       preco"&amp;"ndition,
       check,
       IF(
         OR(AND(check=TRUE, REGEXMATCH(assign, ""SELF""), job=""戦士""), AND(check=Option!$F$13, REGEXMATCH(assign, ""SINGLE_PARTY""))),
         IF(
           OR(ARRAYFORMULA((IF(precondition="""", FALSE, REGEXMATCH($K$4:"&amp;"$ED$4, precondition))) * (K41:ED41=TRUE))),
           enhance,
           IF(barrier="""", buff, barrier)
         ),
         0
       ) *
       SWITCH(
         job,
         ""暗黒騎士"", FD$24,
         ""白魔道士"", EF41 * EH41 * FB41 * IF(abillity, 1, EG4"&amp;"1 * EI41) * (Option!$D$22 * 0.81 / 100),
         ""占星術師"", EF41 * EJ41 * FFB41 * IF(abillity, 1, EG41 * EK41) * (Option!$D$23 * 0.81 / 100),
         ""学者"", EF41 * EL41 * FB41 * IF(abillity, 1, EG41 * EM41) * (Option!$D$24 * 0.81 / 100),
         ""賢者"""&amp;", EF41 * EN41 * FB41 * IF(abillity, 1, EG41 * EO41) * (Option!$D$25 * 0.81 / 100),
         1
       )
     )
   )
 ) + EQ41"),0.0)</f>
        <v>0</v>
      </c>
      <c r="FD41" s="206">
        <f t="shared" si="9"/>
        <v>0</v>
      </c>
      <c r="FE41" s="205">
        <f>IFERROR(__xludf.DUMMYFUNCTION("PRODUCT(
   MAP(
     IF($F41=""Physical"", K$10:ED$10, IF($F41=""Magic"", K$11:ED$11, K$12:ED$12)),
     IF($F41=""Physical"", K$18:ED$18, IF($F41=""Magic"", K$19:ED$19, K$20:ED$20)),
     K$3:ED$3,
     K$5:ED$5,
     K$17:ED$17,
     K41:ED41,
     LAM"&amp;"BDA(
       mitigation,
       enhance,
       job,
       assign,
       precondition,
       check,
       IF(
         OR(AND(check=TRUE, REGEXMATCH(assign, ""SELF""), job=""暗黒騎士""), AND(check=Option!$G$13, REGEXMATCH(assign, ""SINGLE_PARTY""))),
     "&amp;"    IF(
           OR(ARRAYFORMULA((IF(precondition="""", FALSE, REGEXMATCH($K$4:$ED$4, precondition))) * (K41:ED41=TRUE))),
           enhance,
           mitigation
         ),
         1
       )
     )
   )
 ) * EE41"),1.0)</f>
        <v>1</v>
      </c>
      <c r="FF41" s="206">
        <f t="shared" si="10"/>
        <v>0</v>
      </c>
      <c r="FG41" s="205">
        <f>IFERROR(__xludf.DUMMYFUNCTION("PRODUCT(
   MAP(
     K$3:ED$3,
     K$14:ED$14,
     K$13:ED$13,
     K41:ED41,
     LAMBDA(
       job,
       buff,
       target,
       check,
       IF(
         OR(AND(check=TRUE, REGEXMATCH(target, ""SELF_AFFECTED_ALL""), job=""暗黒騎士""), AND(check="&amp;"Option!$G$13, REGEXMATCH(target, ""SINGLE_AFFECTED_ALL""))),
         buff,
         1
       )
     )
   )
 )"),1.0)</f>
        <v>1</v>
      </c>
      <c r="FH41" s="206">
        <f>IFERROR(__xludf.DUMMYFUNCTION("SUM(
   MAP(
     K$3:ED$3,
     K$7:ED$7,
     K$15:ED$15,
     K$16:ED$16,
     K$21:ED$21,
     K$5:ED$5,
     K$17:ED$17,
     K41:ED41,
     LAMBDA(
       job,
       abillity,
       buff,
       barrier,
       enhance,
       assign,
       preco"&amp;"ndition,
       check,
       IF(
         OR(AND(check=TRUE, REGEXMATCH(assign, ""SELF""), job=""暗黒騎士""), AND(check=Option!$G$13, REGEXMATCH(assign, ""SINGLE_PARTY""))),
         IF(
           OR(ARRAYFORMULA((IF(precondition="""", FALSE, REGEXMATCH($K$"&amp;"4:$ED$4, precondition))) * (K41:ED41=TRUE))),
           enhance,
           IF(barrier="""", buff, barrier)
         ),
         0
       ) *
       SWITCH(
         job,
         ""暗黒騎士"", FI$24,
         ""白魔道士"", EF41 * EH41 * FG41 * IF(abillity, 1, E"&amp;"G41 * EI41) * (Option!$D$22 * 0.81 / 100),
         ""占星術師"", EF41 * EJ41 * FG41 * IF(abillity, 1, EG41 * EK41) * (Option!$D$23 * 0.81 / 100),
         ""学者"", EF41 * EL41 * FG41 * IF(abillity, 1, EG41 * EM41) * (Option!$D$24 * 0.81 / 100),
         ""賢者"&amp;""", EF41 * EN41 * FG41 * IF(abillity, 1, EG41 * EO41) * (Option!$D$25 * 0.81 / 100),
         1
       )
     )
   )
 ) + EQ41"),0.0)</f>
        <v>0</v>
      </c>
      <c r="FI41" s="206">
        <f t="shared" si="11"/>
        <v>0</v>
      </c>
      <c r="FJ41" s="205">
        <f>IFERROR(__xludf.DUMMYFUNCTION("PRODUCT(
   MAP(
     IF($F41=""Physical"", K$10:ED$10, IF($F41=""Magic"", K$11:ED$11, K$12:ED$12)),
     IF($F41=""Physical"", K$18:ED$18, IF($F41=""Magic"", K$19:ED$19, K$20:ED$20)),
     K$3:ED$3,
     K$5:ED$5,
     K$17:ED$17,
     K41:ED41,
     LAM"&amp;"BDA(
       mitigation,
       enhance,
       job,
       assign,
       precondition,
       check,
       IF(
         OR(AND(check=TRUE, REGEXMATCH(assign, ""SELF""), job=""ガンブレイカー""), AND(check=Option!$H$13, REGEXMATCH(assign, ""SINGLE_PARTY""))),
  "&amp;"       IF(
           OR(ARRAYFORMULA((IF(precondition="""", FALSE, REGEXMATCH($K$4:$ED$4, precondition))) * (K41:ED41=TRUE))),
           enhance,
           mitigation
         ),
         1
       )
     )
   )
 ) * EE41"),1.0)</f>
        <v>1</v>
      </c>
      <c r="FK41" s="206">
        <f t="shared" si="12"/>
        <v>0</v>
      </c>
      <c r="FL41" s="205">
        <f>IFERROR(__xludf.DUMMYFUNCTION("PRODUCT(
   MAP(
     K$3:ED$3,
     K$14:ED$14,
     K$13:ED$13,
     K41:ED41,
     LAMBDA(
       job,
       buff,
       target,
       check,
       IF(
         OR(AND(check=TRUE, REGEXMATCH(target, ""SELF_AFFECTED_ALL""), job=""ガンブレイカー""), AND(che"&amp;"ck=Option!$H$13, REGEXMATCH(target, ""SINGLE_AFFECTED_ALL""))),
         buff,
         1
       )
     )
   )
 )"),1.0)</f>
        <v>1</v>
      </c>
      <c r="FM41" s="206">
        <f>IFERROR(__xludf.DUMMYFUNCTION("SUM(
   MAP(
     K$3:ED$3,
     K$7:ED$7,
     K$15:ED$15,
     K$16:ED$16,
     K$21:ED$21,
     K$5:ED$5,
     K$17:ED$17,
     K41:ED41,
     LAMBDA(
       job,
       abillity,
       buff,
       barrier,
       enhance,
       assign,
       preco"&amp;"ndition,
       check,
       IF(
         OR(AND(check=TRUE, REGEXMATCH(assign, ""SELF""), job=""ガンブレイカー""), AND(check=Option!$H$13, REGEXMATCH(assign, ""SINGLE_PARTY""))),
         IF(
           OR(ARRAYFORMULA((IF(precondition="""", FALSE, REGEXMATCH("&amp;"$K$4:$ED$4, precondition))) * (K41:ED41=TRUE))),
           enhance,
           IF(barrier="""", buff, barrier)
         ),
         0
       ) *
       SWITCH(
         job,
         ""暗黒騎士"", FN$24,
         ""白魔道士"", EF41 * EH41 * FL41 * IF(abillity, 1"&amp;", EG41 * EI41) * (Option!$D$22 * 0.81 / 100),
         ""占星術師"", EF41 * EJ41 * FL41 * IF(abillity, 1, EG41 * EK41) * (Option!$D$23 * 0.81 / 100),
         ""学者"", EF41 * EL41 * FL41 * IF(abillity, 1, EG41 * EM41) * (Option!$D$24 * 0.81 / 100),
         """&amp;"賢者"", EF41 * EN41 * FL41 * IF(abillity, 1, EG41 * EO41) * (Option!$D$25 * 0.81 / 100),
         1
       )
     )
   )
 ) + EQ41"),0.0)</f>
        <v>0</v>
      </c>
      <c r="FN41" s="206">
        <f t="shared" si="13"/>
        <v>0</v>
      </c>
      <c r="FO41" s="213"/>
    </row>
    <row r="42">
      <c r="B42" s="229"/>
      <c r="C42" s="217">
        <f t="shared" si="1"/>
        <v>0</v>
      </c>
      <c r="D42" s="236"/>
      <c r="E42" s="238"/>
      <c r="F42" s="167"/>
      <c r="G42" s="168" t="str">
        <f t="shared" si="2"/>
        <v/>
      </c>
      <c r="H42" s="169"/>
      <c r="I42" s="169"/>
      <c r="J42" s="169"/>
      <c r="K42" s="170" t="b">
        <v>0</v>
      </c>
      <c r="L42" s="170" t="b">
        <v>0</v>
      </c>
      <c r="M42" s="170" t="b">
        <v>0</v>
      </c>
      <c r="N42" s="171" t="s">
        <v>1070</v>
      </c>
      <c r="O42" s="172" t="b">
        <v>0</v>
      </c>
      <c r="P42" s="173" t="b">
        <v>0</v>
      </c>
      <c r="Q42" s="173" t="b">
        <v>0</v>
      </c>
      <c r="R42" s="173" t="b">
        <v>0</v>
      </c>
      <c r="S42" s="174" t="b">
        <v>0</v>
      </c>
      <c r="T42" s="175" t="b">
        <v>0</v>
      </c>
      <c r="U42" s="173" t="b">
        <v>0</v>
      </c>
      <c r="V42" s="171" t="s">
        <v>1070</v>
      </c>
      <c r="W42" s="172" t="b">
        <v>0</v>
      </c>
      <c r="X42" s="173" t="b">
        <v>0</v>
      </c>
      <c r="Y42" s="173" t="b">
        <v>0</v>
      </c>
      <c r="Z42" s="173" t="b">
        <v>0</v>
      </c>
      <c r="AA42" s="174" t="b">
        <v>0</v>
      </c>
      <c r="AB42" s="174" t="b">
        <v>0</v>
      </c>
      <c r="AC42" s="175" t="b">
        <v>0</v>
      </c>
      <c r="AD42" s="173" t="b">
        <v>0</v>
      </c>
      <c r="AE42" s="176" t="s">
        <v>1070</v>
      </c>
      <c r="AF42" s="171" t="s">
        <v>1070</v>
      </c>
      <c r="AG42" s="177">
        <f>IFERROR(__xludf.DUMMYFUNCTION("IF(
  ISNUMBER(AG41),
  MIN(MAX(
    AG41
    + MAX(
      ROUNDDOWN(($D42 - MAX(IFERROR(FILTER($D$24:$D41, AG$24:AG41 &lt;&gt; AF$6, AG$23:AG40 = AF$6), 0))) * (60 * 60 * 24) / AF$9) - ROUNDDOWN(($D41 - MAX(IFERROR(FILTER($D$23:$D40, AG$23:AG40 &lt;&gt; AF$6, AG$22:"&amp;"AG39 = AF$6), 0))) * (60 * 60 * 24) / 60),
      0
    )
    - COUNTIF(AF42, ""&lt;&gt;-""),
  0), AF$6),
  AF$6 - COUNTIF(AF42, ""&lt;&gt;-"")
)"),2.0)</f>
        <v>2</v>
      </c>
      <c r="AH42" s="173" t="b">
        <v>0</v>
      </c>
      <c r="AI42" s="173" t="b">
        <v>0</v>
      </c>
      <c r="AJ42" s="173" t="b">
        <v>0</v>
      </c>
      <c r="AK42" s="174" t="b">
        <v>0</v>
      </c>
      <c r="AL42" s="175" t="b">
        <v>0</v>
      </c>
      <c r="AM42" s="173" t="b">
        <v>0</v>
      </c>
      <c r="AN42" s="171" t="s">
        <v>1070</v>
      </c>
      <c r="AO42" s="173" t="b">
        <v>0</v>
      </c>
      <c r="AP42" s="173" t="b">
        <v>0</v>
      </c>
      <c r="AQ42" s="173" t="b">
        <v>0</v>
      </c>
      <c r="AR42" s="174" t="b">
        <v>0</v>
      </c>
      <c r="AS42" s="178" t="b">
        <v>0</v>
      </c>
      <c r="AT42" s="179" t="b">
        <v>0</v>
      </c>
      <c r="AU42" s="180" t="b">
        <v>0</v>
      </c>
      <c r="AV42" s="180" t="b">
        <v>0</v>
      </c>
      <c r="AW42" s="180" t="b">
        <v>0</v>
      </c>
      <c r="AX42" s="180" t="b">
        <v>0</v>
      </c>
      <c r="AY42" s="181" t="s">
        <v>1070</v>
      </c>
      <c r="AZ42" s="181" t="s">
        <v>1070</v>
      </c>
      <c r="BA42" s="184">
        <f>IFERROR(__xludf.DUMMYFUNCTION("IF(
  ISNUMBER(BA41),
  MIN(MAX(
    BA41
    + MAX(
      ROUNDDOWN((D42 - MAX(IFERROR(FILTER(D$24:D41, BA$24:BA41 &lt;&gt; AZ$6, BA$23:BA40 = AZ$6), 0))) * (60 * 60 * 24) / AZ$9) - ROUNDDOWN((D41 - MAX(IFERROR(FILTER(D$23:D40, BA$23:BA40 &lt;&gt; AZ$6, BA$22:BA39 ="&amp;" AZ$6), 0))) * (60 * 60 * 24) / AZ$9),
      0
    )
    - COUNTIF(AZ42, ""&lt;&gt;-""),
  0), AZ$6),
  AZ$6 - COUNTIF(AZ42, ""&lt;&gt;-"")
)"),2.0)</f>
        <v>2</v>
      </c>
      <c r="BB42" s="181" t="s">
        <v>1070</v>
      </c>
      <c r="BC42" s="183">
        <f>IFERROR(__xludf.DUMMYFUNCTION("IF(
  ISNUMBER(BC41),
  MIN(MAX(
    BC41
    + MAX(
      ROUNDDOWN(($D42 - MAX(IFERROR(FILTER($D$24:$D41, BC$24:BC41 &lt;&gt; BB$6, BC$23:BC40 = BB$6), 0))) * (60 * 60 * 24) / BB$9) - ROUNDDOWN(($D41 - MAX(IFERROR(FILTER($D$23:$D40, BC$23:BC40 &lt;&gt; BB$6, BC$22:"&amp;"BC39 = BB$6), 0))) * (60 * 60 * 24) / 60),
      0
    )
    - COUNTIF(BB42, ""&lt;&gt;-""),
  0), BB$6),
  BB$6 - COUNTIF(BB42, ""&lt;&gt;-"")
)"),2.0)</f>
        <v>2</v>
      </c>
      <c r="BD42" s="181" t="s">
        <v>1070</v>
      </c>
      <c r="BE42" s="178" t="b">
        <v>0</v>
      </c>
      <c r="BF42" s="180" t="b">
        <v>0</v>
      </c>
      <c r="BG42" s="180" t="b">
        <v>0</v>
      </c>
      <c r="BH42" s="180" t="b">
        <v>0</v>
      </c>
      <c r="BI42" s="180" t="b">
        <v>0</v>
      </c>
      <c r="BJ42" s="180" t="b">
        <v>0</v>
      </c>
      <c r="BK42" s="180" t="b">
        <v>0</v>
      </c>
      <c r="BL42" s="180" t="b">
        <v>0</v>
      </c>
      <c r="BM42" s="180" t="b">
        <v>0</v>
      </c>
      <c r="BN42" s="180" t="b">
        <v>0</v>
      </c>
      <c r="BO42" s="181" t="s">
        <v>1070</v>
      </c>
      <c r="BP42" s="181" t="s">
        <v>1070</v>
      </c>
      <c r="BQ42" s="181" t="s">
        <v>1070</v>
      </c>
      <c r="BR42" s="181" t="s">
        <v>1070</v>
      </c>
      <c r="BS42" s="181" t="s">
        <v>1070</v>
      </c>
      <c r="BT42" s="184">
        <f>IFERROR(__xludf.DUMMYFUNCTION("IF(
  ISNUMBER(BT41),
  MIN(MAX(
    BT41
    + MAX(
      ROUNDDOWN((D42 - MAX(IFERROR(FILTER(D$24:D41, BT$24:BT41 &lt;&gt; BS$6, BT$23:BT40 = BS$6), 0))) * (60 * 60 * 24) / BS$9) - ROUNDDOWN((D41 - MAX(IFERROR(FILTER(D$23:D40, BT$23:BT40 &lt;&gt; BS$6, BT$22:BT39 ="&amp;" BS$6), 0))) * (60 * 60 * 24) / BS$9),
      0
    )
    - COUNTIF(BS42, ""&lt;&gt;-""),
  0), BS$6),
  BS$6 - COUNTIF(BS42, ""&lt;&gt;-"")
)"),3.0)</f>
        <v>3</v>
      </c>
      <c r="BU42" s="181" t="s">
        <v>1070</v>
      </c>
      <c r="BV42" s="181" t="s">
        <v>1070</v>
      </c>
      <c r="BW42" s="184">
        <f>IFERROR(__xludf.DUMMYFUNCTION("IF(
  ISNUMBER(BW41),
  MIN(MAX(
    BW41
    + MAX(
      ROUNDDOWN((D42 - MAX(IFERROR(FILTER(D$24:D41, BW$24:BW41 &lt;&gt; BV$6, BW$23:BW40 = BV$6), 0))) * (60 * 60 * 24) / BV$9) - ROUNDDOWN((D41 - MAX(IFERROR(FILTER(D$23:D40, BW$23:BW40 &lt;&gt; BV$6, BW$22:BW39 ="&amp;" BV$6), 0))) * (60 * 60 * 24) / BV$9),
      0
    )
    - COUNTIF(BV42, ""&lt;&gt;-""),
  0), BV$6),
  BV$6 - COUNTIF(BV42, ""&lt;&gt;-"")
)"),2.0)</f>
        <v>2</v>
      </c>
      <c r="BX42" s="185" t="s">
        <v>1070</v>
      </c>
      <c r="BY42" s="178" t="b">
        <v>0</v>
      </c>
      <c r="BZ42" s="180" t="b">
        <v>0</v>
      </c>
      <c r="CA42" s="180" t="b">
        <v>0</v>
      </c>
      <c r="CB42" s="180" t="b">
        <v>0</v>
      </c>
      <c r="CC42" s="180" t="b">
        <v>0</v>
      </c>
      <c r="CD42" s="180" t="b">
        <v>0</v>
      </c>
      <c r="CE42" s="180" t="b">
        <v>0</v>
      </c>
      <c r="CF42" s="180" t="b">
        <v>0</v>
      </c>
      <c r="CG42" s="180" t="b">
        <v>0</v>
      </c>
      <c r="CH42" s="180" t="b">
        <v>0</v>
      </c>
      <c r="CI42" s="180" t="b">
        <v>0</v>
      </c>
      <c r="CJ42" s="180" t="b">
        <v>0</v>
      </c>
      <c r="CK42" s="180" t="b">
        <v>0</v>
      </c>
      <c r="CL42" s="180" t="b">
        <v>0</v>
      </c>
      <c r="CM42" s="181" t="s">
        <v>1070</v>
      </c>
      <c r="CN42" s="181" t="s">
        <v>1070</v>
      </c>
      <c r="CO42" s="181" t="s">
        <v>1070</v>
      </c>
      <c r="CP42" s="181" t="s">
        <v>1070</v>
      </c>
      <c r="CQ42" s="185" t="s">
        <v>1070</v>
      </c>
      <c r="CR42" s="180" t="b">
        <v>0</v>
      </c>
      <c r="CS42" s="186" t="str">
        <f t="shared" si="14"/>
        <v>◇◇◇</v>
      </c>
      <c r="CT42" s="178" t="b">
        <v>0</v>
      </c>
      <c r="CU42" s="180" t="b">
        <v>0</v>
      </c>
      <c r="CV42" s="180" t="b">
        <v>0</v>
      </c>
      <c r="CW42" s="180" t="b">
        <v>0</v>
      </c>
      <c r="CX42" s="180" t="b">
        <v>0</v>
      </c>
      <c r="CY42" s="180" t="b">
        <v>0</v>
      </c>
      <c r="CZ42" s="180" t="b">
        <v>0</v>
      </c>
      <c r="DA42" s="180" t="b">
        <v>0</v>
      </c>
      <c r="DB42" s="180" t="b">
        <v>0</v>
      </c>
      <c r="DC42" s="180" t="b">
        <v>0</v>
      </c>
      <c r="DD42" s="181" t="s">
        <v>1070</v>
      </c>
      <c r="DE42" s="181" t="s">
        <v>1070</v>
      </c>
      <c r="DF42" s="181" t="s">
        <v>1070</v>
      </c>
      <c r="DG42" s="185" t="s">
        <v>1070</v>
      </c>
      <c r="DH42" s="180" t="b">
        <v>0</v>
      </c>
      <c r="DI42" s="187" t="str">
        <f>IFERROR(__xludf.DUMMYFUNCTION("SWITCH(
  IF(
    ISTEXT(DI41),
    IF (
      FIND(""○"", DI41&amp;""○"") &gt; 3,
      3,
      FIND(""○"", DI41&amp;""○"")
      + MAX(
        ROUNDDOWN(($D42 - MAX(IFERROR(FILTER(D$24:D41, DI$24:DI41 &lt;&gt; ""●●●"", DI$23:DI40 = ""●●●""), 0))) * (60 * 60 * 24) / 20"&amp;") - ROUNDDOWN(($D41 - MAX(IFERROR(FILTER(D$23:D40, DI$23:DI40 &lt;&gt; ""●●●"", DI$22:DI39 = ""●●●""), 0))) * (60 * 60 * 24) / 20),
        0
      ) - 1
    ) - COUNTIFS(CU42, ""=TRUE"", CU41, ""&lt;&gt;TRUE"") - COUNTIF(CZ42, ""=TRUE"") - COUNTIF({DD42,DE42}, ""&lt;&gt;-"&amp;""") + COUNTIF(DH42, ""=TRUE""),
    3
  ),
  0, ""○○○"", 1, ""●○○"", 2, ""●●○"", 3, ""●●●"", 4, ""●●●"", ""○○○""
)"),"●●●")</f>
        <v>●●●</v>
      </c>
      <c r="DJ42" s="188" t="b">
        <v>0</v>
      </c>
      <c r="DK42" s="189" t="b">
        <v>0</v>
      </c>
      <c r="DL42" s="190" t="b">
        <v>0</v>
      </c>
      <c r="DM42" s="190" t="b">
        <v>0</v>
      </c>
      <c r="DN42" s="190" t="b">
        <v>0</v>
      </c>
      <c r="DO42" s="190" t="b">
        <v>0</v>
      </c>
      <c r="DP42" s="190" t="b">
        <v>0</v>
      </c>
      <c r="DQ42" s="191" t="b">
        <v>0</v>
      </c>
      <c r="DR42" s="192" t="b">
        <v>0</v>
      </c>
      <c r="DS42" s="191" t="b">
        <v>0</v>
      </c>
      <c r="DT42" s="192" t="b">
        <v>0</v>
      </c>
      <c r="DU42" s="191" t="b">
        <v>0</v>
      </c>
      <c r="DV42" s="193" t="s">
        <v>1070</v>
      </c>
      <c r="DW42" s="194" t="b">
        <v>0</v>
      </c>
      <c r="DX42" s="194" t="b">
        <v>0</v>
      </c>
      <c r="DY42" s="195" t="b">
        <v>0</v>
      </c>
      <c r="DZ42" s="196" t="b">
        <v>0</v>
      </c>
      <c r="EA42" s="195" t="b">
        <v>0</v>
      </c>
      <c r="EB42" s="197" t="b">
        <v>0</v>
      </c>
      <c r="EC42" s="197" t="b">
        <v>0</v>
      </c>
      <c r="ED42" s="212" t="b">
        <v>0</v>
      </c>
      <c r="EE42" s="199">
        <f>IFERROR(__xludf.DUMMYFUNCTION("IFERROR(
   PRODUCT(
     MAP(
       INDEX(TRANSPOSE(UNIQUE(TRANSPOSE(FILTER({IF($F42=""Physical"", K$10:ED$10, IF($F42=""Magic"", K$11:ED$11, K$12:ED$12));K$4:ED$4;K42:ED42}, K42:ED42=TRUE)))), 1, 0),
       INDEX(TRANSPOSE(UNIQUE(TRANSPOSE(FILTER({IF($"&amp;"F42=""Physical"", K$18:ED$18, IF($F42=""Magic"", K$19:ED$19, K$20:ED$20));K$4:ED$4;K42:ED42}, K42:ED42=TRUE)))), 1, 0),
       INDEX(TRANSPOSE(UNIQUE(TRANSPOSE(FILTER({K$5:ED$5;K$4:ED$4;K42:ED42}, K42:ED42=TRUE)))), 1, 0),
       INDEX(TRANSPOSE(UNIQUE(TR"&amp;"ANSPOSE(FILTER({K$17:ED$17;K$4:ED$4;K42:ED42}, K42:ED42=TRUE)))), 1, 0),
       LAMBDA(
         mitigation,
         enhance,
         assign,
         precondition,
         IF(
           REGEXMATCH(assign, ""RANGE_PARTY|SINGLE_ENEMY|RANGE_ENEMY""),
  "&amp;"         IF(
             OR(ARRAYFORMULA((IF(precondition="""", FALSE, REGEXMATCH(K$4:ED$4, precondition))) * (K42:ED42=TRUE))),
             IF(ISNUMBER(enhance), enhance, 1),
             IF(ISNUMBER(mitigation), mitigation, 1)
           ),
          "&amp;" 1
         )
       )
     )
   ),
   1
 )"),1.0)</f>
        <v>1</v>
      </c>
      <c r="EF42" s="200">
        <f>IFERROR(__xludf.DUMMYFUNCTION("PRODUCT(
   MAP(
     K$14:ED$14,
     K$13:ED$13,
     K42:ED42,
     LAMBDA(
       buff,
       target,
       check,
       IF(
         AND(check=TRUE, REGEXMATCH(target, ""RANGE_AFFECTED_ALL|RANGE_EFFECTED_ALL""), ISNUMBER(buff)),
         buff,
   "&amp;"      1
       )
     )
   )
 )"),1.0)</f>
        <v>1</v>
      </c>
      <c r="EG42" s="200">
        <f>IFERROR(__xludf.DUMMYFUNCTION("PRODUCT(
   MAP(
     K$14:ED$14,
     K$13:ED$13,
     K42:ED42,
     LAMBDA(
       buff,
       target,
       check,
       IF(
         AND(check=TRUE, REGEXMATCH(target, ""RANGE_AFFECTED_GCD|RANGE_EFFECTED_GCD""), ISNUMBER(buff)),
         buff,
   "&amp;"      1
       )
     )
   )
 )"),1.0)</f>
        <v>1</v>
      </c>
      <c r="EH42" s="200">
        <f>IFERROR(__xludf.DUMMYFUNCTION("PRODUCT(
   MAP(
     K$3:ED$3,
     K$14:ED$14,
     K$13:ED$13,
     K42:ED42,
     LAMBDA(
       job,
       buff,
       target,
       check,
       IF(
         AND(check=TRUE, REGEXMATCH(target, ""SELF_EFFECTED_ALL""), ISNUMBER(buff), job=""白魔道士"""&amp;"),
         buff,
         1
       )
     )
   )
 )"),1.0)</f>
        <v>1</v>
      </c>
      <c r="EI42" s="200">
        <f>IFERROR(__xludf.DUMMYFUNCTION("PRODUCT(
   MAP(
     K$3:ED$3,
     K$14:ED$14,
     K$13:ED$13,
     K42:ED42,
     LAMBDA(
       job,
       buff,
       target,
       check,
       IF(
         AND(check=TRUE, REGEXMATCH(target, ""SELF_EFFECTED_GCD""), ISNUMBER(buff), job=""白魔道士"""&amp;"),
         buff,
         1
       )
     )
   )
 )"),1.0)</f>
        <v>1</v>
      </c>
      <c r="EJ42" s="200">
        <f>IFERROR(__xludf.DUMMYFUNCTION("PRODUCT(
   MAP(
     K$3:ED$3,
     K$14:ED$14,
     K$13:ED$13,
     K42:ED42,
     LAMBDA(
       job,
       buff,
       target,
       check,
       IF(
         AND(check=TRUE, REGEXMATCH(target, ""SELF_EFFECTED_ALL""), ISNUMBER(buff), job=""占星術師"""&amp;"),
         buff,
         1
       )
     )
   )
 )"),1.0)</f>
        <v>1</v>
      </c>
      <c r="EK42" s="200">
        <f>IFERROR(__xludf.DUMMYFUNCTION("PRODUCT(
   MAP(
     K$3:ED$3,
     K$14:ED$14,
     K$13:ED$13,
     K42:ED42,
     LAMBDA(
       job,
       buff,
       target,
       check,
       IF(
         AND(check=TRUE, REGEXMATCH(target, ""SELF_EFFECTED_GCD""), ISNUMBER(buff), job=""占星術師"""&amp;"),
         buff,
         1
       )
     )
   )
 )"),1.0)</f>
        <v>1</v>
      </c>
      <c r="EL42" s="200">
        <f>IFERROR(__xludf.DUMMYFUNCTION("PRODUCT(
   MAP(
     K$3:ED$3,
     K$14:ED$14,
     K$13:ED$13,
     K42:ED42,
     LAMBDA(
       job,
       buff,
       target,
       check,
       IF(
         AND(check=TRUE, REGEXMATCH(target, ""SELF_EFFECTED_ALL""), ISNUMBER(buff), job=""学者""),"&amp;"
         buff,
         1
       )
     )
   )
 )"),1.0)</f>
        <v>1</v>
      </c>
      <c r="EM42" s="200">
        <f>IFERROR(__xludf.DUMMYFUNCTION("PRODUCT(
   MAP(
     K$3:ED$3,
     K$14:ED$14,
     K$13:ED$13,
     K42:ED42,
     LAMBDA(
       job,
       buff,
       target,
       check,
       IF(
         AND(check=TRUE, REGEXMATCH(target, ""SELF_EFFECTED_GCD""), ISNUMBER(buff), job=""学者""),"&amp;"
         buff,
         1
       )
     )
   )
 )"),1.0)</f>
        <v>1</v>
      </c>
      <c r="EN42" s="200">
        <f>IFERROR(__xludf.DUMMYFUNCTION("PRODUCT(
   MAP(
     K$3:ED$3,
     K$14:ED$14,
     K$13:ED$13,
     K42:ED42,
     LAMBDA(
       job,
       buff,
       target,
       check,
       IF(
         AND(check=TRUE, REGEXMATCH(target, ""SELF_EFFECTED_ALL""), ISNUMBER(buff), job=""賢者""),"&amp;"
         buff,
         1
       )
     )
   )
 )"),1.0)</f>
        <v>1</v>
      </c>
      <c r="EO42" s="200">
        <f>IFERROR(__xludf.DUMMYFUNCTION("PRODUCT(
   MAP(
     K$3:ED$3,
     K$14:ED$14,
     K$13:ED$13,
     K42:ED42,
     LAMBDA(
       job,
       buff,
       target,
       check,
       IF(
         AND(check=TRUE, REGEXMATCH(target, ""SELF_EFFECTED_GCD""), ISNUMBER(buff), job=""賢者""),"&amp;"
         buff,
         1
       )
     )
   )
 )"),1.0)</f>
        <v>1</v>
      </c>
      <c r="EP42" s="201">
        <f t="shared" si="3"/>
        <v>0</v>
      </c>
      <c r="EQ42" s="201">
        <f>IFERROR(__xludf.DUMMYFUNCTION("SUM(
   MAP(
     K$4:ED$4,
     K$3:ED$3,
     K$7:ED$7,
     K$15:ED$15,
     K$16:ED$16,
     K$21:ED$21,
     K$5:ED$5,
     K$17:ED$17,
     K42:ED42,
     LAMBDA(
       name,
       job,
       abillity,
       buff,
       barrier,
       enhance,"&amp;"
       assign,
       precondition,
       check,
       SWITCH(
         name,
         ""シェイクオフ"", IF(check=TRUE, buff + (0.02 * COUNTIF(ARRAYFORMULA((REGEXMATCH($K$4:$ED$4, ""スリル・オブ・バトル|ヴェンジェンス|原初の血気|ダムネーション"")) * (K42:ED42=TRUE)), 1)), 0),
         "&amp;"""インプロビゼーションフィニッシュ(踊りの激情0)"", IF(ISNUMBER(check), INDEX(Skill!$AJ:$AJ, MATCH(SUBSTITUTE(DV$4, 0, check), Skill!$C:$C, 0)), 0),
         IF(
           AND(check=TRUE, REGEXMATCH(assign, ""RANGE_PARTY"")),
           IF(
             OR(ARRAYFORMULA((IF(pr"&amp;"econdition="""", FALSE, REGEXMATCH($K$4:$ED$4, precondition))) * (K42:ED42=TRUE))),
             enhance,
             IF(barrier="""", buff, barrier)
           ),
           0
         )
       ) *
       SWITCH(
         job,
         ""ナイト"", EY$24,
 "&amp;"        ""戦士"", FD$24,
         ""踊り子"", ET$24,
         ""ピクトマンサー"", ET$24,
         ""白魔道士"", EF42 * EH42 * IF(abillity, 1, EG42 * EI42) * (Option!$D$22 * 0.81 / 100),
         ""占星術師"", EF42 * EJ42 * IF(abillity, 1, EG42 * EK42) * (Option!$D$23 * 0.81 "&amp;"/ 100),
         ""学者"", EF42 * EL42 * IF(abillity, 1, EG42 * EM42) * (Option!$D$24 * 0.81 / 100),
         ""賢者"", EF42 * EN42 * IF(abillity, 1, EG42 * EO42) * (Option!$D$25 * 0.81 / 100),
         1
       )
     )
   )
 )"),0.0)</f>
        <v>0</v>
      </c>
      <c r="ER42" s="202">
        <f t="shared" si="4"/>
        <v>0</v>
      </c>
      <c r="ES42" s="203">
        <f t="shared" si="5"/>
        <v>0</v>
      </c>
      <c r="ET42" s="231" t="str">
        <f>IFERROR(__xludf.DUMMYFUNCTION("IFS(
  EP42 &gt; $ET$24 + EQ42,
  SPARKLINE({ 1, 0 }, {""charttype"",""bar"";""max"", 1;""color1"",Option!$D$30;""color2"",Option!$D$30}),
  EP42 &lt; EQ42,
  SPARKLINE({EQ42 - EP42, $ET$24 - (EQ42 - EP42)}, {""charttype"",""bar"";""max"",$ET$24;""color1"",Opti"&amp;"on!$D$28;""color2"",Option!$D$29}),
  EP42 &gt;= EQ42,
  SPARKLINE({$ET$24 + EQ42 - EP42,EP42 - EQ42}, {""charttype"",""bar"";""max"",$ET$24;""color1"",Option!$D$29;""color2"",Option!$D$30})
)"),"")</f>
        <v/>
      </c>
      <c r="EU42" s="205">
        <f>IFERROR(__xludf.DUMMYFUNCTION("PRODUCT(
   MAP(
     IF($F42=""Physical"", K$10:ED$10, IF($F42=""Magic"", K$11:ED$11, K$12:ED$12)),
     IF($F42=""Physical"", K$18:ED$18, IF($F42=""Magic"", K$19:ED$19, K$20:ED$20)),
     K$3:ED$3,
     K$5:ED$5,
     K$17:ED$17,
     K42:ED42,
     LAM"&amp;"BDA(
       mitigation,
       enhance,
       job,
       assign,
       precondition,
       check,
       IF(
         OR(AND(check=TRUE, REGEXMATCH(assign, ""SELF""), job=""ナイト""), AND(check=Option!$E$13, REGEXMATCH(assign, ""SINGLE_PARTY""))),
      "&amp;"   IF(
           OR(ARRAYFORMULA((IF(precondition="""", FALSE, REGEXMATCH($K$4:$ED$4, precondition))) * (K42:ED42=TRUE))),
           enhance,
           mitigation
         ),
         1
       )
     )
   )
 ) * EE42"),1.0)</f>
        <v>1</v>
      </c>
      <c r="EV42" s="206">
        <f t="shared" si="6"/>
        <v>0</v>
      </c>
      <c r="EW42" s="205">
        <f>IFERROR(__xludf.DUMMYFUNCTION("PRODUCT(
   MAP(
     K$3:ED$3,
     K$14:ED$14,
     K$13:ED$13,
     K42:ED42,
     LAMBDA(
       job,
       buff,
       target,
       check,
       IF(
         OR(AND(check=TRUE, REGEXMATCH(target, ""SELF_AFFECTED_ALL""), job=""ナイト""), AND(check=O"&amp;"ption!$E$13, REGEXMATCH(target, ""SINGLE_AFFECTED_ALL""))),
         buff,
         1
       )
     )
   )
 )"),1.0)</f>
        <v>1</v>
      </c>
      <c r="EX42" s="206">
        <f>IFERROR(__xludf.DUMMYFUNCTION("SUM(
   MAP(
     K$3:ED$3,
     K$7:ED$7,
     K$15:ED$15,
     K$16:ED$16,
     K$21:ED$21,
     K$5:ED$5,
     K$17:ED$17,
     K42:ED42,
     LAMBDA(
       job,
       abillity,
       buff,
       barrier,
       enhance,
       assign,
       preco"&amp;"ndition,
       check,
       IF(
         OR(AND(check=TRUE, REGEXMATCH(assign, ""SELF""), job=""ナイト""), AND(check=Option!$E$13, REGEXMATCH(assign, ""SINGLE_PARTY""))),
         IF(
           OR(ARRAYFORMULA((IF(precondition="""", FALSE, REGEXMATCH($K$4"&amp;":$ED$4, precondition))) * (K42:ED42=TRUE))),
           enhance,
           IF(barrier="""", buff, barrier)
         ),
         0
       ) *
       SWITCH(
         job,
         ""暗黒騎士"", EY$24,
         ""白魔道士"", EF42 * EH42 * EW42 * IF(abillity, 1, EG"&amp;"42 * EI42) * (Option!$D$22 * 0.81 / 100),
         ""占星術師"", EF42 * EJ42 * EW42 * IF(abillity, 1, EG42 * EK42) * (Option!$D$23 * 0.81 / 100),
         ""学者"", EF42 * EL42 * EW42 * IF(abillity, 1, EG42 * EM42) * (Option!$D$24 * 0.81 / 100),
         ""賢者"""&amp;", EF42 * EN42 * EW42 * IF(abillity, 1, EG42 * EO42) * (Option!$D$25 * 0.81 / 100),
         1
       )
     )
   )
 ) + EQ42"),0.0)</f>
        <v>0</v>
      </c>
      <c r="EY42" s="232">
        <f t="shared" si="7"/>
        <v>0</v>
      </c>
      <c r="EZ42" s="205">
        <f>IFERROR(__xludf.DUMMYFUNCTION("PRODUCT(
   MAP(
     IF($F42=""Physical"", K$10:ED$10, IF($F42=""Magic"", K$11:ED$11, K$12:ED$12)),
     IF($F42=""Physical"", K$18:ED$18, IF($F42=""Magic"", K$19:ED$19, K$20:ED$20)),
     K$3:ED$3,
     K$5:ED$5,
     K$17:ED$17,
     K42:ED42,
     LAM"&amp;"BDA(
       mitigation,
       enhance,
       job,
       assign,
       precondition,
       check,
       IF(
         OR(AND(check=TRUE, REGEXMATCH(assign, ""SELF""), job=""戦士""), AND(check=Option!$F$13, REGEXMATCH(assign, ""SINGLE_PARTY""))),
       "&amp;"  IF(
           OR(ARRAYFORMULA((IF(precondition="""", FALSE, REGEXMATCH($K$4:$ED$4, precondition))) * (K42:ED42=TRUE))),
           enhance,
           mitigation
         ),
         1
       )
     )
   )
 ) * EE42"),1.0)</f>
        <v>1</v>
      </c>
      <c r="FA42" s="206">
        <f t="shared" si="8"/>
        <v>0</v>
      </c>
      <c r="FB42" s="205">
        <f>IFERROR(__xludf.DUMMYFUNCTION("PRODUCT(
   MAP(
     K$3:ED$3,
     K$14:ED$14,
     K$13:ED$13,
     K42:ED42,
     LAMBDA(
       job,
       buff,
       target,
       check,
       IF(
         OR(AND(check=TRUE, REGEXMATCH(target, ""SELF_AFFECTED_ALL""), job=""戦士""), AND(check=Op"&amp;"tion!$F$13, REGEXMATCH(target, ""SINGLE_AFFECTED_ALL""))),
         buff,
         1
       )
     )
   )
 )"),1.0)</f>
        <v>1</v>
      </c>
      <c r="FC42" s="206">
        <f>IFERROR(__xludf.DUMMYFUNCTION("SUM(
   MAP(
     K$3:ED$3,
     K$7:ED$7,
     K$15:ED$15,
     K$16:ED$16,
     K$21:ED$21,
     K$5:ED$5,
     K$17:ED$17,
     K42:ED42,
     LAMBDA(
       job,
       abillity,
       buff,
       barrier,
       enhance,
       assign,
       preco"&amp;"ndition,
       check,
       IF(
         OR(AND(check=TRUE, REGEXMATCH(assign, ""SELF""), job=""戦士""), AND(check=Option!$F$13, REGEXMATCH(assign, ""SINGLE_PARTY""))),
         IF(
           OR(ARRAYFORMULA((IF(precondition="""", FALSE, REGEXMATCH($K$4:"&amp;"$ED$4, precondition))) * (K42:ED42=TRUE))),
           enhance,
           IF(barrier="""", buff, barrier)
         ),
         0
       ) *
       SWITCH(
         job,
         ""暗黒騎士"", FD$24,
         ""白魔道士"", EF42 * EH42 * FB42 * IF(abillity, 1, EG4"&amp;"2 * EI42) * (Option!$D$22 * 0.81 / 100),
         ""占星術師"", EF42 * EJ42 * FFB42 * IF(abillity, 1, EG42 * EK42) * (Option!$D$23 * 0.81 / 100),
         ""学者"", EF42 * EL42 * FB42 * IF(abillity, 1, EG42 * EM42) * (Option!$D$24 * 0.81 / 100),
         ""賢者"""&amp;", EF42 * EN42 * FB42 * IF(abillity, 1, EG42 * EO42) * (Option!$D$25 * 0.81 / 100),
         1
       )
     )
   )
 ) + EQ42"),0.0)</f>
        <v>0</v>
      </c>
      <c r="FD42" s="206">
        <f t="shared" si="9"/>
        <v>0</v>
      </c>
      <c r="FE42" s="205">
        <f>IFERROR(__xludf.DUMMYFUNCTION("PRODUCT(
   MAP(
     IF($F42=""Physical"", K$10:ED$10, IF($F42=""Magic"", K$11:ED$11, K$12:ED$12)),
     IF($F42=""Physical"", K$18:ED$18, IF($F42=""Magic"", K$19:ED$19, K$20:ED$20)),
     K$3:ED$3,
     K$5:ED$5,
     K$17:ED$17,
     K42:ED42,
     LAM"&amp;"BDA(
       mitigation,
       enhance,
       job,
       assign,
       precondition,
       check,
       IF(
         OR(AND(check=TRUE, REGEXMATCH(assign, ""SELF""), job=""暗黒騎士""), AND(check=Option!$G$13, REGEXMATCH(assign, ""SINGLE_PARTY""))),
     "&amp;"    IF(
           OR(ARRAYFORMULA((IF(precondition="""", FALSE, REGEXMATCH($K$4:$ED$4, precondition))) * (K42:ED42=TRUE))),
           enhance,
           mitigation
         ),
         1
       )
     )
   )
 ) * EE42"),1.0)</f>
        <v>1</v>
      </c>
      <c r="FF42" s="206">
        <f t="shared" si="10"/>
        <v>0</v>
      </c>
      <c r="FG42" s="205">
        <f>IFERROR(__xludf.DUMMYFUNCTION("PRODUCT(
   MAP(
     K$3:ED$3,
     K$14:ED$14,
     K$13:ED$13,
     K42:ED42,
     LAMBDA(
       job,
       buff,
       target,
       check,
       IF(
         OR(AND(check=TRUE, REGEXMATCH(target, ""SELF_AFFECTED_ALL""), job=""暗黒騎士""), AND(check="&amp;"Option!$G$13, REGEXMATCH(target, ""SINGLE_AFFECTED_ALL""))),
         buff,
         1
       )
     )
   )
 )"),1.0)</f>
        <v>1</v>
      </c>
      <c r="FH42" s="206">
        <f>IFERROR(__xludf.DUMMYFUNCTION("SUM(
   MAP(
     K$3:ED$3,
     K$7:ED$7,
     K$15:ED$15,
     K$16:ED$16,
     K$21:ED$21,
     K$5:ED$5,
     K$17:ED$17,
     K42:ED42,
     LAMBDA(
       job,
       abillity,
       buff,
       barrier,
       enhance,
       assign,
       preco"&amp;"ndition,
       check,
       IF(
         OR(AND(check=TRUE, REGEXMATCH(assign, ""SELF""), job=""暗黒騎士""), AND(check=Option!$G$13, REGEXMATCH(assign, ""SINGLE_PARTY""))),
         IF(
           OR(ARRAYFORMULA((IF(precondition="""", FALSE, REGEXMATCH($K$"&amp;"4:$ED$4, precondition))) * (K42:ED42=TRUE))),
           enhance,
           IF(barrier="""", buff, barrier)
         ),
         0
       ) *
       SWITCH(
         job,
         ""暗黒騎士"", FI$24,
         ""白魔道士"", EF42 * EH42 * FG42 * IF(abillity, 1, E"&amp;"G42 * EI42) * (Option!$D$22 * 0.81 / 100),
         ""占星術師"", EF42 * EJ42 * FG42 * IF(abillity, 1, EG42 * EK42) * (Option!$D$23 * 0.81 / 100),
         ""学者"", EF42 * EL42 * FG42 * IF(abillity, 1, EG42 * EM42) * (Option!$D$24 * 0.81 / 100),
         ""賢者"&amp;""", EF42 * EN42 * FG42 * IF(abillity, 1, EG42 * EO42) * (Option!$D$25 * 0.81 / 100),
         1
       )
     )
   )
 ) + EQ42"),0.0)</f>
        <v>0</v>
      </c>
      <c r="FI42" s="206">
        <f t="shared" si="11"/>
        <v>0</v>
      </c>
      <c r="FJ42" s="205">
        <f>IFERROR(__xludf.DUMMYFUNCTION("PRODUCT(
   MAP(
     IF($F42=""Physical"", K$10:ED$10, IF($F42=""Magic"", K$11:ED$11, K$12:ED$12)),
     IF($F42=""Physical"", K$18:ED$18, IF($F42=""Magic"", K$19:ED$19, K$20:ED$20)),
     K$3:ED$3,
     K$5:ED$5,
     K$17:ED$17,
     K42:ED42,
     LAM"&amp;"BDA(
       mitigation,
       enhance,
       job,
       assign,
       precondition,
       check,
       IF(
         OR(AND(check=TRUE, REGEXMATCH(assign, ""SELF""), job=""ガンブレイカー""), AND(check=Option!$H$13, REGEXMATCH(assign, ""SINGLE_PARTY""))),
  "&amp;"       IF(
           OR(ARRAYFORMULA((IF(precondition="""", FALSE, REGEXMATCH($K$4:$ED$4, precondition))) * (K42:ED42=TRUE))),
           enhance,
           mitigation
         ),
         1
       )
     )
   )
 ) * EE42"),1.0)</f>
        <v>1</v>
      </c>
      <c r="FK42" s="206">
        <f t="shared" si="12"/>
        <v>0</v>
      </c>
      <c r="FL42" s="205">
        <f>IFERROR(__xludf.DUMMYFUNCTION("PRODUCT(
   MAP(
     K$3:ED$3,
     K$14:ED$14,
     K$13:ED$13,
     K42:ED42,
     LAMBDA(
       job,
       buff,
       target,
       check,
       IF(
         OR(AND(check=TRUE, REGEXMATCH(target, ""SELF_AFFECTED_ALL""), job=""ガンブレイカー""), AND(che"&amp;"ck=Option!$H$13, REGEXMATCH(target, ""SINGLE_AFFECTED_ALL""))),
         buff,
         1
       )
     )
   )
 )"),1.0)</f>
        <v>1</v>
      </c>
      <c r="FM42" s="206">
        <f>IFERROR(__xludf.DUMMYFUNCTION("SUM(
   MAP(
     K$3:ED$3,
     K$7:ED$7,
     K$15:ED$15,
     K$16:ED$16,
     K$21:ED$21,
     K$5:ED$5,
     K$17:ED$17,
     K42:ED42,
     LAMBDA(
       job,
       abillity,
       buff,
       barrier,
       enhance,
       assign,
       preco"&amp;"ndition,
       check,
       IF(
         OR(AND(check=TRUE, REGEXMATCH(assign, ""SELF""), job=""ガンブレイカー""), AND(check=Option!$H$13, REGEXMATCH(assign, ""SINGLE_PARTY""))),
         IF(
           OR(ARRAYFORMULA((IF(precondition="""", FALSE, REGEXMATCH("&amp;"$K$4:$ED$4, precondition))) * (K42:ED42=TRUE))),
           enhance,
           IF(barrier="""", buff, barrier)
         ),
         0
       ) *
       SWITCH(
         job,
         ""暗黒騎士"", FN$24,
         ""白魔道士"", EF42 * EH42 * FL42 * IF(abillity, 1"&amp;", EG42 * EI42) * (Option!$D$22 * 0.81 / 100),
         ""占星術師"", EF42 * EJ42 * FL42 * IF(abillity, 1, EG42 * EK42) * (Option!$D$23 * 0.81 / 100),
         ""学者"", EF42 * EL42 * FL42 * IF(abillity, 1, EG42 * EM42) * (Option!$D$24 * 0.81 / 100),
         """&amp;"賢者"", EF42 * EN42 * FL42 * IF(abillity, 1, EG42 * EO42) * (Option!$D$25 * 0.81 / 100),
         1
       )
     )
   )
 ) + EQ42"),0.0)</f>
        <v>0</v>
      </c>
      <c r="FN42" s="206">
        <f t="shared" si="13"/>
        <v>0</v>
      </c>
      <c r="FO42" s="213"/>
    </row>
    <row r="43">
      <c r="B43" s="229"/>
      <c r="C43" s="217">
        <f t="shared" si="1"/>
        <v>0</v>
      </c>
      <c r="D43" s="236"/>
      <c r="E43" s="238"/>
      <c r="F43" s="167"/>
      <c r="G43" s="168" t="str">
        <f t="shared" si="2"/>
        <v/>
      </c>
      <c r="H43" s="169"/>
      <c r="I43" s="169"/>
      <c r="J43" s="169"/>
      <c r="K43" s="170" t="b">
        <v>0</v>
      </c>
      <c r="L43" s="170" t="b">
        <v>0</v>
      </c>
      <c r="M43" s="170" t="b">
        <v>0</v>
      </c>
      <c r="N43" s="171" t="s">
        <v>1070</v>
      </c>
      <c r="O43" s="172" t="b">
        <v>0</v>
      </c>
      <c r="P43" s="173" t="b">
        <v>0</v>
      </c>
      <c r="Q43" s="173" t="b">
        <v>0</v>
      </c>
      <c r="R43" s="173" t="b">
        <v>0</v>
      </c>
      <c r="S43" s="174" t="b">
        <v>0</v>
      </c>
      <c r="T43" s="175" t="b">
        <v>0</v>
      </c>
      <c r="U43" s="173" t="b">
        <v>0</v>
      </c>
      <c r="V43" s="171" t="s">
        <v>1070</v>
      </c>
      <c r="W43" s="172" t="b">
        <v>0</v>
      </c>
      <c r="X43" s="173" t="b">
        <v>0</v>
      </c>
      <c r="Y43" s="173" t="b">
        <v>0</v>
      </c>
      <c r="Z43" s="173" t="b">
        <v>0</v>
      </c>
      <c r="AA43" s="174" t="b">
        <v>0</v>
      </c>
      <c r="AB43" s="174" t="b">
        <v>0</v>
      </c>
      <c r="AC43" s="175" t="b">
        <v>0</v>
      </c>
      <c r="AD43" s="173" t="b">
        <v>0</v>
      </c>
      <c r="AE43" s="176" t="s">
        <v>1070</v>
      </c>
      <c r="AF43" s="171" t="s">
        <v>1070</v>
      </c>
      <c r="AG43" s="177">
        <f>IFERROR(__xludf.DUMMYFUNCTION("IF(
  ISNUMBER(AG42),
  MIN(MAX(
    AG42
    + MAX(
      ROUNDDOWN(($D43 - MAX(IFERROR(FILTER($D$24:$D42, AG$24:AG42 &lt;&gt; AF$6, AG$23:AG41 = AF$6), 0))) * (60 * 60 * 24) / AF$9) - ROUNDDOWN(($D42 - MAX(IFERROR(FILTER($D$23:$D41, AG$23:AG41 &lt;&gt; AF$6, AG$22:"&amp;"AG40 = AF$6), 0))) * (60 * 60 * 24) / 60),
      0
    )
    - COUNTIF(AF43, ""&lt;&gt;-""),
  0), AF$6),
  AF$6 - COUNTIF(AF43, ""&lt;&gt;-"")
)"),2.0)</f>
        <v>2</v>
      </c>
      <c r="AH43" s="173" t="b">
        <v>0</v>
      </c>
      <c r="AI43" s="173" t="b">
        <v>0</v>
      </c>
      <c r="AJ43" s="173" t="b">
        <v>0</v>
      </c>
      <c r="AK43" s="174" t="b">
        <v>0</v>
      </c>
      <c r="AL43" s="175" t="b">
        <v>0</v>
      </c>
      <c r="AM43" s="173" t="b">
        <v>0</v>
      </c>
      <c r="AN43" s="171" t="s">
        <v>1070</v>
      </c>
      <c r="AO43" s="173" t="b">
        <v>0</v>
      </c>
      <c r="AP43" s="173" t="b">
        <v>0</v>
      </c>
      <c r="AQ43" s="173" t="b">
        <v>0</v>
      </c>
      <c r="AR43" s="174" t="b">
        <v>0</v>
      </c>
      <c r="AS43" s="178" t="b">
        <v>0</v>
      </c>
      <c r="AT43" s="179" t="b">
        <v>0</v>
      </c>
      <c r="AU43" s="180" t="b">
        <v>0</v>
      </c>
      <c r="AV43" s="180" t="b">
        <v>0</v>
      </c>
      <c r="AW43" s="180" t="b">
        <v>0</v>
      </c>
      <c r="AX43" s="180" t="b">
        <v>0</v>
      </c>
      <c r="AY43" s="181" t="s">
        <v>1070</v>
      </c>
      <c r="AZ43" s="181" t="s">
        <v>1070</v>
      </c>
      <c r="BA43" s="184">
        <f>IFERROR(__xludf.DUMMYFUNCTION("IF(
  ISNUMBER(BA42),
  MIN(MAX(
    BA42
    + MAX(
      ROUNDDOWN((D43 - MAX(IFERROR(FILTER(D$24:D42, BA$24:BA42 &lt;&gt; AZ$6, BA$23:BA41 = AZ$6), 0))) * (60 * 60 * 24) / AZ$9) - ROUNDDOWN((D42 - MAX(IFERROR(FILTER(D$23:D41, BA$23:BA41 &lt;&gt; AZ$6, BA$22:BA40 ="&amp;" AZ$6), 0))) * (60 * 60 * 24) / AZ$9),
      0
    )
    - COUNTIF(AZ43, ""&lt;&gt;-""),
  0), AZ$6),
  AZ$6 - COUNTIF(AZ43, ""&lt;&gt;-"")
)"),2.0)</f>
        <v>2</v>
      </c>
      <c r="BB43" s="181" t="s">
        <v>1070</v>
      </c>
      <c r="BC43" s="183">
        <f>IFERROR(__xludf.DUMMYFUNCTION("IF(
  ISNUMBER(BC42),
  MIN(MAX(
    BC42
    + MAX(
      ROUNDDOWN(($D43 - MAX(IFERROR(FILTER($D$24:$D42, BC$24:BC42 &lt;&gt; BB$6, BC$23:BC41 = BB$6), 0))) * (60 * 60 * 24) / BB$9) - ROUNDDOWN(($D42 - MAX(IFERROR(FILTER($D$23:$D41, BC$23:BC41 &lt;&gt; BB$6, BC$22:"&amp;"BC40 = BB$6), 0))) * (60 * 60 * 24) / 60),
      0
    )
    - COUNTIF(BB43, ""&lt;&gt;-""),
  0), BB$6),
  BB$6 - COUNTIF(BB43, ""&lt;&gt;-"")
)"),2.0)</f>
        <v>2</v>
      </c>
      <c r="BD43" s="181" t="s">
        <v>1070</v>
      </c>
      <c r="BE43" s="178" t="b">
        <v>0</v>
      </c>
      <c r="BF43" s="180" t="b">
        <v>0</v>
      </c>
      <c r="BG43" s="180" t="b">
        <v>0</v>
      </c>
      <c r="BH43" s="180" t="b">
        <v>0</v>
      </c>
      <c r="BI43" s="180" t="b">
        <v>0</v>
      </c>
      <c r="BJ43" s="180" t="b">
        <v>0</v>
      </c>
      <c r="BK43" s="180" t="b">
        <v>0</v>
      </c>
      <c r="BL43" s="180" t="b">
        <v>0</v>
      </c>
      <c r="BM43" s="180" t="b">
        <v>0</v>
      </c>
      <c r="BN43" s="180" t="b">
        <v>0</v>
      </c>
      <c r="BO43" s="181" t="s">
        <v>1070</v>
      </c>
      <c r="BP43" s="181" t="s">
        <v>1070</v>
      </c>
      <c r="BQ43" s="181" t="s">
        <v>1070</v>
      </c>
      <c r="BR43" s="181" t="s">
        <v>1070</v>
      </c>
      <c r="BS43" s="181" t="s">
        <v>1070</v>
      </c>
      <c r="BT43" s="184">
        <f>IFERROR(__xludf.DUMMYFUNCTION("IF(
  ISNUMBER(BT42),
  MIN(MAX(
    BT42
    + MAX(
      ROUNDDOWN((D43 - MAX(IFERROR(FILTER(D$24:D42, BT$24:BT42 &lt;&gt; BS$6, BT$23:BT41 = BS$6), 0))) * (60 * 60 * 24) / BS$9) - ROUNDDOWN((D42 - MAX(IFERROR(FILTER(D$23:D41, BT$23:BT41 &lt;&gt; BS$6, BT$22:BT40 ="&amp;" BS$6), 0))) * (60 * 60 * 24) / BS$9),
      0
    )
    - COUNTIF(BS43, ""&lt;&gt;-""),
  0), BS$6),
  BS$6 - COUNTIF(BS43, ""&lt;&gt;-"")
)"),3.0)</f>
        <v>3</v>
      </c>
      <c r="BU43" s="181" t="s">
        <v>1070</v>
      </c>
      <c r="BV43" s="181" t="s">
        <v>1070</v>
      </c>
      <c r="BW43" s="184">
        <f>IFERROR(__xludf.DUMMYFUNCTION("IF(
  ISNUMBER(BW42),
  MIN(MAX(
    BW42
    + MAX(
      ROUNDDOWN((D43 - MAX(IFERROR(FILTER(D$24:D42, BW$24:BW42 &lt;&gt; BV$6, BW$23:BW41 = BV$6), 0))) * (60 * 60 * 24) / BV$9) - ROUNDDOWN((D42 - MAX(IFERROR(FILTER(D$23:D41, BW$23:BW41 &lt;&gt; BV$6, BW$22:BW40 ="&amp;" BV$6), 0))) * (60 * 60 * 24) / BV$9),
      0
    )
    - COUNTIF(BV43, ""&lt;&gt;-""),
  0), BV$6),
  BV$6 - COUNTIF(BV43, ""&lt;&gt;-"")
)"),2.0)</f>
        <v>2</v>
      </c>
      <c r="BX43" s="185" t="s">
        <v>1070</v>
      </c>
      <c r="BY43" s="178" t="b">
        <v>0</v>
      </c>
      <c r="BZ43" s="180" t="b">
        <v>0</v>
      </c>
      <c r="CA43" s="180" t="b">
        <v>0</v>
      </c>
      <c r="CB43" s="180" t="b">
        <v>0</v>
      </c>
      <c r="CC43" s="180" t="b">
        <v>0</v>
      </c>
      <c r="CD43" s="180" t="b">
        <v>0</v>
      </c>
      <c r="CE43" s="180" t="b">
        <v>0</v>
      </c>
      <c r="CF43" s="180" t="b">
        <v>0</v>
      </c>
      <c r="CG43" s="180" t="b">
        <v>0</v>
      </c>
      <c r="CH43" s="180" t="b">
        <v>0</v>
      </c>
      <c r="CI43" s="180" t="b">
        <v>0</v>
      </c>
      <c r="CJ43" s="180" t="b">
        <v>0</v>
      </c>
      <c r="CK43" s="180" t="b">
        <v>0</v>
      </c>
      <c r="CL43" s="180" t="b">
        <v>0</v>
      </c>
      <c r="CM43" s="181" t="s">
        <v>1070</v>
      </c>
      <c r="CN43" s="181" t="s">
        <v>1070</v>
      </c>
      <c r="CO43" s="181" t="s">
        <v>1070</v>
      </c>
      <c r="CP43" s="181" t="s">
        <v>1070</v>
      </c>
      <c r="CQ43" s="185" t="s">
        <v>1070</v>
      </c>
      <c r="CR43" s="180" t="b">
        <v>0</v>
      </c>
      <c r="CS43" s="186" t="str">
        <f t="shared" si="14"/>
        <v>◇◇◇</v>
      </c>
      <c r="CT43" s="178" t="b">
        <v>0</v>
      </c>
      <c r="CU43" s="180" t="b">
        <v>0</v>
      </c>
      <c r="CV43" s="180" t="b">
        <v>0</v>
      </c>
      <c r="CW43" s="180" t="b">
        <v>0</v>
      </c>
      <c r="CX43" s="180" t="b">
        <v>0</v>
      </c>
      <c r="CY43" s="180" t="b">
        <v>0</v>
      </c>
      <c r="CZ43" s="180" t="b">
        <v>0</v>
      </c>
      <c r="DA43" s="180" t="b">
        <v>0</v>
      </c>
      <c r="DB43" s="180" t="b">
        <v>0</v>
      </c>
      <c r="DC43" s="180" t="b">
        <v>0</v>
      </c>
      <c r="DD43" s="181" t="s">
        <v>1070</v>
      </c>
      <c r="DE43" s="181" t="s">
        <v>1070</v>
      </c>
      <c r="DF43" s="181" t="s">
        <v>1070</v>
      </c>
      <c r="DG43" s="185" t="s">
        <v>1070</v>
      </c>
      <c r="DH43" s="180" t="b">
        <v>0</v>
      </c>
      <c r="DI43" s="187" t="str">
        <f>IFERROR(__xludf.DUMMYFUNCTION("SWITCH(
  IF(
    ISTEXT(DI42),
    IF (
      FIND(""○"", DI42&amp;""○"") &gt; 3,
      3,
      FIND(""○"", DI42&amp;""○"")
      + MAX(
        ROUNDDOWN(($D43 - MAX(IFERROR(FILTER(D$24:D42, DI$24:DI42 &lt;&gt; ""●●●"", DI$23:DI41 = ""●●●""), 0))) * (60 * 60 * 24) / 20"&amp;") - ROUNDDOWN(($D42 - MAX(IFERROR(FILTER(D$23:D41, DI$23:DI41 &lt;&gt; ""●●●"", DI$22:DI40 = ""●●●""), 0))) * (60 * 60 * 24) / 20),
        0
      ) - 1
    ) - COUNTIFS(CU43, ""=TRUE"", CU42, ""&lt;&gt;TRUE"") - COUNTIF(CZ43, ""=TRUE"") - COUNTIF({DD43,DE43}, ""&lt;&gt;-"&amp;""") + COUNTIF(DH43, ""=TRUE""),
    3
  ),
  0, ""○○○"", 1, ""●○○"", 2, ""●●○"", 3, ""●●●"", 4, ""●●●"", ""○○○""
)"),"●●●")</f>
        <v>●●●</v>
      </c>
      <c r="DJ43" s="188" t="b">
        <v>0</v>
      </c>
      <c r="DK43" s="189" t="b">
        <v>0</v>
      </c>
      <c r="DL43" s="190" t="b">
        <v>0</v>
      </c>
      <c r="DM43" s="190" t="b">
        <v>0</v>
      </c>
      <c r="DN43" s="190" t="b">
        <v>0</v>
      </c>
      <c r="DO43" s="190" t="b">
        <v>0</v>
      </c>
      <c r="DP43" s="190" t="b">
        <v>0</v>
      </c>
      <c r="DQ43" s="191" t="b">
        <v>0</v>
      </c>
      <c r="DR43" s="192" t="b">
        <v>0</v>
      </c>
      <c r="DS43" s="191" t="b">
        <v>0</v>
      </c>
      <c r="DT43" s="192" t="b">
        <v>0</v>
      </c>
      <c r="DU43" s="191" t="b">
        <v>0</v>
      </c>
      <c r="DV43" s="193" t="s">
        <v>1070</v>
      </c>
      <c r="DW43" s="194" t="b">
        <v>0</v>
      </c>
      <c r="DX43" s="194" t="b">
        <v>0</v>
      </c>
      <c r="DY43" s="195" t="b">
        <v>0</v>
      </c>
      <c r="DZ43" s="196" t="b">
        <v>0</v>
      </c>
      <c r="EA43" s="195" t="b">
        <v>0</v>
      </c>
      <c r="EB43" s="197" t="b">
        <v>0</v>
      </c>
      <c r="EC43" s="197" t="b">
        <v>0</v>
      </c>
      <c r="ED43" s="212" t="b">
        <v>0</v>
      </c>
      <c r="EE43" s="199">
        <f>IFERROR(__xludf.DUMMYFUNCTION("IFERROR(
   PRODUCT(
     MAP(
       INDEX(TRANSPOSE(UNIQUE(TRANSPOSE(FILTER({IF($F43=""Physical"", K$10:ED$10, IF($F43=""Magic"", K$11:ED$11, K$12:ED$12));K$4:ED$4;K43:ED43}, K43:ED43=TRUE)))), 1, 0),
       INDEX(TRANSPOSE(UNIQUE(TRANSPOSE(FILTER({IF($"&amp;"F43=""Physical"", K$18:ED$18, IF($F43=""Magic"", K$19:ED$19, K$20:ED$20));K$4:ED$4;K43:ED43}, K43:ED43=TRUE)))), 1, 0),
       INDEX(TRANSPOSE(UNIQUE(TRANSPOSE(FILTER({K$5:ED$5;K$4:ED$4;K43:ED43}, K43:ED43=TRUE)))), 1, 0),
       INDEX(TRANSPOSE(UNIQUE(TR"&amp;"ANSPOSE(FILTER({K$17:ED$17;K$4:ED$4;K43:ED43}, K43:ED43=TRUE)))), 1, 0),
       LAMBDA(
         mitigation,
         enhance,
         assign,
         precondition,
         IF(
           REGEXMATCH(assign, ""RANGE_PARTY|SINGLE_ENEMY|RANGE_ENEMY""),
  "&amp;"         IF(
             OR(ARRAYFORMULA((IF(precondition="""", FALSE, REGEXMATCH(K$4:ED$4, precondition))) * (K43:ED43=TRUE))),
             IF(ISNUMBER(enhance), enhance, 1),
             IF(ISNUMBER(mitigation), mitigation, 1)
           ),
          "&amp;" 1
         )
       )
     )
   ),
   1
 )"),1.0)</f>
        <v>1</v>
      </c>
      <c r="EF43" s="200">
        <f>IFERROR(__xludf.DUMMYFUNCTION("PRODUCT(
   MAP(
     K$14:ED$14,
     K$13:ED$13,
     K43:ED43,
     LAMBDA(
       buff,
       target,
       check,
       IF(
         AND(check=TRUE, REGEXMATCH(target, ""RANGE_AFFECTED_ALL|RANGE_EFFECTED_ALL""), ISNUMBER(buff)),
         buff,
   "&amp;"      1
       )
     )
   )
 )"),1.0)</f>
        <v>1</v>
      </c>
      <c r="EG43" s="200">
        <f>IFERROR(__xludf.DUMMYFUNCTION("PRODUCT(
   MAP(
     K$14:ED$14,
     K$13:ED$13,
     K43:ED43,
     LAMBDA(
       buff,
       target,
       check,
       IF(
         AND(check=TRUE, REGEXMATCH(target, ""RANGE_AFFECTED_GCD|RANGE_EFFECTED_GCD""), ISNUMBER(buff)),
         buff,
   "&amp;"      1
       )
     )
   )
 )"),1.0)</f>
        <v>1</v>
      </c>
      <c r="EH43" s="200">
        <f>IFERROR(__xludf.DUMMYFUNCTION("PRODUCT(
   MAP(
     K$3:ED$3,
     K$14:ED$14,
     K$13:ED$13,
     K43:ED43,
     LAMBDA(
       job,
       buff,
       target,
       check,
       IF(
         AND(check=TRUE, REGEXMATCH(target, ""SELF_EFFECTED_ALL""), ISNUMBER(buff), job=""白魔道士"""&amp;"),
         buff,
         1
       )
     )
   )
 )"),1.0)</f>
        <v>1</v>
      </c>
      <c r="EI43" s="200">
        <f>IFERROR(__xludf.DUMMYFUNCTION("PRODUCT(
   MAP(
     K$3:ED$3,
     K$14:ED$14,
     K$13:ED$13,
     K43:ED43,
     LAMBDA(
       job,
       buff,
       target,
       check,
       IF(
         AND(check=TRUE, REGEXMATCH(target, ""SELF_EFFECTED_GCD""), ISNUMBER(buff), job=""白魔道士"""&amp;"),
         buff,
         1
       )
     )
   )
 )"),1.0)</f>
        <v>1</v>
      </c>
      <c r="EJ43" s="200">
        <f>IFERROR(__xludf.DUMMYFUNCTION("PRODUCT(
   MAP(
     K$3:ED$3,
     K$14:ED$14,
     K$13:ED$13,
     K43:ED43,
     LAMBDA(
       job,
       buff,
       target,
       check,
       IF(
         AND(check=TRUE, REGEXMATCH(target, ""SELF_EFFECTED_ALL""), ISNUMBER(buff), job=""占星術師"""&amp;"),
         buff,
         1
       )
     )
   )
 )"),1.0)</f>
        <v>1</v>
      </c>
      <c r="EK43" s="200">
        <f>IFERROR(__xludf.DUMMYFUNCTION("PRODUCT(
   MAP(
     K$3:ED$3,
     K$14:ED$14,
     K$13:ED$13,
     K43:ED43,
     LAMBDA(
       job,
       buff,
       target,
       check,
       IF(
         AND(check=TRUE, REGEXMATCH(target, ""SELF_EFFECTED_GCD""), ISNUMBER(buff), job=""占星術師"""&amp;"),
         buff,
         1
       )
     )
   )
 )"),1.0)</f>
        <v>1</v>
      </c>
      <c r="EL43" s="200">
        <f>IFERROR(__xludf.DUMMYFUNCTION("PRODUCT(
   MAP(
     K$3:ED$3,
     K$14:ED$14,
     K$13:ED$13,
     K43:ED43,
     LAMBDA(
       job,
       buff,
       target,
       check,
       IF(
         AND(check=TRUE, REGEXMATCH(target, ""SELF_EFFECTED_ALL""), ISNUMBER(buff), job=""学者""),"&amp;"
         buff,
         1
       )
     )
   )
 )"),1.0)</f>
        <v>1</v>
      </c>
      <c r="EM43" s="200">
        <f>IFERROR(__xludf.DUMMYFUNCTION("PRODUCT(
   MAP(
     K$3:ED$3,
     K$14:ED$14,
     K$13:ED$13,
     K43:ED43,
     LAMBDA(
       job,
       buff,
       target,
       check,
       IF(
         AND(check=TRUE, REGEXMATCH(target, ""SELF_EFFECTED_GCD""), ISNUMBER(buff), job=""学者""),"&amp;"
         buff,
         1
       )
     )
   )
 )"),1.0)</f>
        <v>1</v>
      </c>
      <c r="EN43" s="200">
        <f>IFERROR(__xludf.DUMMYFUNCTION("PRODUCT(
   MAP(
     K$3:ED$3,
     K$14:ED$14,
     K$13:ED$13,
     K43:ED43,
     LAMBDA(
       job,
       buff,
       target,
       check,
       IF(
         AND(check=TRUE, REGEXMATCH(target, ""SELF_EFFECTED_ALL""), ISNUMBER(buff), job=""賢者""),"&amp;"
         buff,
         1
       )
     )
   )
 )"),1.0)</f>
        <v>1</v>
      </c>
      <c r="EO43" s="200">
        <f>IFERROR(__xludf.DUMMYFUNCTION("PRODUCT(
   MAP(
     K$3:ED$3,
     K$14:ED$14,
     K$13:ED$13,
     K43:ED43,
     LAMBDA(
       job,
       buff,
       target,
       check,
       IF(
         AND(check=TRUE, REGEXMATCH(target, ""SELF_EFFECTED_GCD""), ISNUMBER(buff), job=""賢者""),"&amp;"
         buff,
         1
       )
     )
   )
 )"),1.0)</f>
        <v>1</v>
      </c>
      <c r="EP43" s="201">
        <f t="shared" si="3"/>
        <v>0</v>
      </c>
      <c r="EQ43" s="201">
        <f>IFERROR(__xludf.DUMMYFUNCTION("SUM(
   MAP(
     K$4:ED$4,
     K$3:ED$3,
     K$7:ED$7,
     K$15:ED$15,
     K$16:ED$16,
     K$21:ED$21,
     K$5:ED$5,
     K$17:ED$17,
     K43:ED43,
     LAMBDA(
       name,
       job,
       abillity,
       buff,
       barrier,
       enhance,"&amp;"
       assign,
       precondition,
       check,
       SWITCH(
         name,
         ""シェイクオフ"", IF(check=TRUE, buff + (0.02 * COUNTIF(ARRAYFORMULA((REGEXMATCH($K$4:$ED$4, ""スリル・オブ・バトル|ヴェンジェンス|原初の血気|ダムネーション"")) * (K43:ED43=TRUE)), 1)), 0),
         "&amp;"""インプロビゼーションフィニッシュ(踊りの激情0)"", IF(ISNUMBER(check), INDEX(Skill!$AJ:$AJ, MATCH(SUBSTITUTE(DV$4, 0, check), Skill!$C:$C, 0)), 0),
         IF(
           AND(check=TRUE, REGEXMATCH(assign, ""RANGE_PARTY"")),
           IF(
             OR(ARRAYFORMULA((IF(pr"&amp;"econdition="""", FALSE, REGEXMATCH($K$4:$ED$4, precondition))) * (K43:ED43=TRUE))),
             enhance,
             IF(barrier="""", buff, barrier)
           ),
           0
         )
       ) *
       SWITCH(
         job,
         ""ナイト"", EY$24,
 "&amp;"        ""戦士"", FD$24,
         ""踊り子"", ET$24,
         ""ピクトマンサー"", ET$24,
         ""白魔道士"", EF43 * EH43 * IF(abillity, 1, EG43 * EI43) * (Option!$D$22 * 0.81 / 100),
         ""占星術師"", EF43 * EJ43 * IF(abillity, 1, EG43 * EK43) * (Option!$D$23 * 0.81 "&amp;"/ 100),
         ""学者"", EF43 * EL43 * IF(abillity, 1, EG43 * EM43) * (Option!$D$24 * 0.81 / 100),
         ""賢者"", EF43 * EN43 * IF(abillity, 1, EG43 * EO43) * (Option!$D$25 * 0.81 / 100),
         1
       )
     )
   )
 )"),0.0)</f>
        <v>0</v>
      </c>
      <c r="ER43" s="202">
        <f t="shared" si="4"/>
        <v>0</v>
      </c>
      <c r="ES43" s="203">
        <f t="shared" si="5"/>
        <v>0</v>
      </c>
      <c r="ET43" s="231" t="str">
        <f>IFERROR(__xludf.DUMMYFUNCTION("IFS(
  EP43 &gt; $ET$24 + EQ43,
  SPARKLINE({ 1, 0 }, {""charttype"",""bar"";""max"", 1;""color1"",Option!$D$30;""color2"",Option!$D$30}),
  EP43 &lt; EQ43,
  SPARKLINE({EQ43 - EP43, $ET$24 - (EQ43 - EP43)}, {""charttype"",""bar"";""max"",$ET$24;""color1"",Opti"&amp;"on!$D$28;""color2"",Option!$D$29}),
  EP43 &gt;= EQ43,
  SPARKLINE({$ET$24 + EQ43 - EP43,EP43 - EQ43}, {""charttype"",""bar"";""max"",$ET$24;""color1"",Option!$D$29;""color2"",Option!$D$30})
)"),"")</f>
        <v/>
      </c>
      <c r="EU43" s="205">
        <f>IFERROR(__xludf.DUMMYFUNCTION("PRODUCT(
   MAP(
     IF($F43=""Physical"", K$10:ED$10, IF($F43=""Magic"", K$11:ED$11, K$12:ED$12)),
     IF($F43=""Physical"", K$18:ED$18, IF($F43=""Magic"", K$19:ED$19, K$20:ED$20)),
     K$3:ED$3,
     K$5:ED$5,
     K$17:ED$17,
     K43:ED43,
     LAM"&amp;"BDA(
       mitigation,
       enhance,
       job,
       assign,
       precondition,
       check,
       IF(
         OR(AND(check=TRUE, REGEXMATCH(assign, ""SELF""), job=""ナイト""), AND(check=Option!$E$13, REGEXMATCH(assign, ""SINGLE_PARTY""))),
      "&amp;"   IF(
           OR(ARRAYFORMULA((IF(precondition="""", FALSE, REGEXMATCH($K$4:$ED$4, precondition))) * (K43:ED43=TRUE))),
           enhance,
           mitigation
         ),
         1
       )
     )
   )
 ) * EE43"),1.0)</f>
        <v>1</v>
      </c>
      <c r="EV43" s="206">
        <f t="shared" si="6"/>
        <v>0</v>
      </c>
      <c r="EW43" s="205">
        <f>IFERROR(__xludf.DUMMYFUNCTION("PRODUCT(
   MAP(
     K$3:ED$3,
     K$14:ED$14,
     K$13:ED$13,
     K43:ED43,
     LAMBDA(
       job,
       buff,
       target,
       check,
       IF(
         OR(AND(check=TRUE, REGEXMATCH(target, ""SELF_AFFECTED_ALL""), job=""ナイト""), AND(check=O"&amp;"ption!$E$13, REGEXMATCH(target, ""SINGLE_AFFECTED_ALL""))),
         buff,
         1
       )
     )
   )
 )"),1.0)</f>
        <v>1</v>
      </c>
      <c r="EX43" s="206">
        <f>IFERROR(__xludf.DUMMYFUNCTION("SUM(
   MAP(
     K$3:ED$3,
     K$7:ED$7,
     K$15:ED$15,
     K$16:ED$16,
     K$21:ED$21,
     K$5:ED$5,
     K$17:ED$17,
     K43:ED43,
     LAMBDA(
       job,
       abillity,
       buff,
       barrier,
       enhance,
       assign,
       preco"&amp;"ndition,
       check,
       IF(
         OR(AND(check=TRUE, REGEXMATCH(assign, ""SELF""), job=""ナイト""), AND(check=Option!$E$13, REGEXMATCH(assign, ""SINGLE_PARTY""))),
         IF(
           OR(ARRAYFORMULA((IF(precondition="""", FALSE, REGEXMATCH($K$4"&amp;":$ED$4, precondition))) * (K43:ED43=TRUE))),
           enhance,
           IF(barrier="""", buff, barrier)
         ),
         0
       ) *
       SWITCH(
         job,
         ""暗黒騎士"", EY$24,
         ""白魔道士"", EF43 * EH43 * EW43 * IF(abillity, 1, EG"&amp;"43 * EI43) * (Option!$D$22 * 0.81 / 100),
         ""占星術師"", EF43 * EJ43 * EW43 * IF(abillity, 1, EG43 * EK43) * (Option!$D$23 * 0.81 / 100),
         ""学者"", EF43 * EL43 * EW43 * IF(abillity, 1, EG43 * EM43) * (Option!$D$24 * 0.81 / 100),
         ""賢者"""&amp;", EF43 * EN43 * EW43 * IF(abillity, 1, EG43 * EO43) * (Option!$D$25 * 0.81 / 100),
         1
       )
     )
   )
 ) + EQ43"),0.0)</f>
        <v>0</v>
      </c>
      <c r="EY43" s="232">
        <f t="shared" si="7"/>
        <v>0</v>
      </c>
      <c r="EZ43" s="205">
        <f>IFERROR(__xludf.DUMMYFUNCTION("PRODUCT(
   MAP(
     IF($F43=""Physical"", K$10:ED$10, IF($F43=""Magic"", K$11:ED$11, K$12:ED$12)),
     IF($F43=""Physical"", K$18:ED$18, IF($F43=""Magic"", K$19:ED$19, K$20:ED$20)),
     K$3:ED$3,
     K$5:ED$5,
     K$17:ED$17,
     K43:ED43,
     LAM"&amp;"BDA(
       mitigation,
       enhance,
       job,
       assign,
       precondition,
       check,
       IF(
         OR(AND(check=TRUE, REGEXMATCH(assign, ""SELF""), job=""戦士""), AND(check=Option!$F$13, REGEXMATCH(assign, ""SINGLE_PARTY""))),
       "&amp;"  IF(
           OR(ARRAYFORMULA((IF(precondition="""", FALSE, REGEXMATCH($K$4:$ED$4, precondition))) * (K43:ED43=TRUE))),
           enhance,
           mitigation
         ),
         1
       )
     )
   )
 ) * EE43"),1.0)</f>
        <v>1</v>
      </c>
      <c r="FA43" s="206">
        <f t="shared" si="8"/>
        <v>0</v>
      </c>
      <c r="FB43" s="205">
        <f>IFERROR(__xludf.DUMMYFUNCTION("PRODUCT(
   MAP(
     K$3:ED$3,
     K$14:ED$14,
     K$13:ED$13,
     K43:ED43,
     LAMBDA(
       job,
       buff,
       target,
       check,
       IF(
         OR(AND(check=TRUE, REGEXMATCH(target, ""SELF_AFFECTED_ALL""), job=""戦士""), AND(check=Op"&amp;"tion!$F$13, REGEXMATCH(target, ""SINGLE_AFFECTED_ALL""))),
         buff,
         1
       )
     )
   )
 )"),1.0)</f>
        <v>1</v>
      </c>
      <c r="FC43" s="206">
        <f>IFERROR(__xludf.DUMMYFUNCTION("SUM(
   MAP(
     K$3:ED$3,
     K$7:ED$7,
     K$15:ED$15,
     K$16:ED$16,
     K$21:ED$21,
     K$5:ED$5,
     K$17:ED$17,
     K43:ED43,
     LAMBDA(
       job,
       abillity,
       buff,
       barrier,
       enhance,
       assign,
       preco"&amp;"ndition,
       check,
       IF(
         OR(AND(check=TRUE, REGEXMATCH(assign, ""SELF""), job=""戦士""), AND(check=Option!$F$13, REGEXMATCH(assign, ""SINGLE_PARTY""))),
         IF(
           OR(ARRAYFORMULA((IF(precondition="""", FALSE, REGEXMATCH($K$4:"&amp;"$ED$4, precondition))) * (K43:ED43=TRUE))),
           enhance,
           IF(barrier="""", buff, barrier)
         ),
         0
       ) *
       SWITCH(
         job,
         ""暗黒騎士"", FD$24,
         ""白魔道士"", EF43 * EH43 * FB43 * IF(abillity, 1, EG4"&amp;"3 * EI43) * (Option!$D$22 * 0.81 / 100),
         ""占星術師"", EF43 * EJ43 * FFB43 * IF(abillity, 1, EG43 * EK43) * (Option!$D$23 * 0.81 / 100),
         ""学者"", EF43 * EL43 * FB43 * IF(abillity, 1, EG43 * EM43) * (Option!$D$24 * 0.81 / 100),
         ""賢者"""&amp;", EF43 * EN43 * FB43 * IF(abillity, 1, EG43 * EO43) * (Option!$D$25 * 0.81 / 100),
         1
       )
     )
   )
 ) + EQ43"),0.0)</f>
        <v>0</v>
      </c>
      <c r="FD43" s="206">
        <f t="shared" si="9"/>
        <v>0</v>
      </c>
      <c r="FE43" s="205">
        <f>IFERROR(__xludf.DUMMYFUNCTION("PRODUCT(
   MAP(
     IF($F43=""Physical"", K$10:ED$10, IF($F43=""Magic"", K$11:ED$11, K$12:ED$12)),
     IF($F43=""Physical"", K$18:ED$18, IF($F43=""Magic"", K$19:ED$19, K$20:ED$20)),
     K$3:ED$3,
     K$5:ED$5,
     K$17:ED$17,
     K43:ED43,
     LAM"&amp;"BDA(
       mitigation,
       enhance,
       job,
       assign,
       precondition,
       check,
       IF(
         OR(AND(check=TRUE, REGEXMATCH(assign, ""SELF""), job=""暗黒騎士""), AND(check=Option!$G$13, REGEXMATCH(assign, ""SINGLE_PARTY""))),
     "&amp;"    IF(
           OR(ARRAYFORMULA((IF(precondition="""", FALSE, REGEXMATCH($K$4:$ED$4, precondition))) * (K43:ED43=TRUE))),
           enhance,
           mitigation
         ),
         1
       )
     )
   )
 ) * EE43"),1.0)</f>
        <v>1</v>
      </c>
      <c r="FF43" s="206">
        <f t="shared" si="10"/>
        <v>0</v>
      </c>
      <c r="FG43" s="205">
        <f>IFERROR(__xludf.DUMMYFUNCTION("PRODUCT(
   MAP(
     K$3:ED$3,
     K$14:ED$14,
     K$13:ED$13,
     K43:ED43,
     LAMBDA(
       job,
       buff,
       target,
       check,
       IF(
         OR(AND(check=TRUE, REGEXMATCH(target, ""SELF_AFFECTED_ALL""), job=""暗黒騎士""), AND(check="&amp;"Option!$G$13, REGEXMATCH(target, ""SINGLE_AFFECTED_ALL""))),
         buff,
         1
       )
     )
   )
 )"),1.0)</f>
        <v>1</v>
      </c>
      <c r="FH43" s="206">
        <f>IFERROR(__xludf.DUMMYFUNCTION("SUM(
   MAP(
     K$3:ED$3,
     K$7:ED$7,
     K$15:ED$15,
     K$16:ED$16,
     K$21:ED$21,
     K$5:ED$5,
     K$17:ED$17,
     K43:ED43,
     LAMBDA(
       job,
       abillity,
       buff,
       barrier,
       enhance,
       assign,
       preco"&amp;"ndition,
       check,
       IF(
         OR(AND(check=TRUE, REGEXMATCH(assign, ""SELF""), job=""暗黒騎士""), AND(check=Option!$G$13, REGEXMATCH(assign, ""SINGLE_PARTY""))),
         IF(
           OR(ARRAYFORMULA((IF(precondition="""", FALSE, REGEXMATCH($K$"&amp;"4:$ED$4, precondition))) * (K43:ED43=TRUE))),
           enhance,
           IF(barrier="""", buff, barrier)
         ),
         0
       ) *
       SWITCH(
         job,
         ""暗黒騎士"", FI$24,
         ""白魔道士"", EF43 * EH43 * FG43 * IF(abillity, 1, E"&amp;"G43 * EI43) * (Option!$D$22 * 0.81 / 100),
         ""占星術師"", EF43 * EJ43 * FG43 * IF(abillity, 1, EG43 * EK43) * (Option!$D$23 * 0.81 / 100),
         ""学者"", EF43 * EL43 * FG43 * IF(abillity, 1, EG43 * EM43) * (Option!$D$24 * 0.81 / 100),
         ""賢者"&amp;""", EF43 * EN43 * FG43 * IF(abillity, 1, EG43 * EO43) * (Option!$D$25 * 0.81 / 100),
         1
       )
     )
   )
 ) + EQ43"),0.0)</f>
        <v>0</v>
      </c>
      <c r="FI43" s="206">
        <f t="shared" si="11"/>
        <v>0</v>
      </c>
      <c r="FJ43" s="205">
        <f>IFERROR(__xludf.DUMMYFUNCTION("PRODUCT(
   MAP(
     IF($F43=""Physical"", K$10:ED$10, IF($F43=""Magic"", K$11:ED$11, K$12:ED$12)),
     IF($F43=""Physical"", K$18:ED$18, IF($F43=""Magic"", K$19:ED$19, K$20:ED$20)),
     K$3:ED$3,
     K$5:ED$5,
     K$17:ED$17,
     K43:ED43,
     LAM"&amp;"BDA(
       mitigation,
       enhance,
       job,
       assign,
       precondition,
       check,
       IF(
         OR(AND(check=TRUE, REGEXMATCH(assign, ""SELF""), job=""ガンブレイカー""), AND(check=Option!$H$13, REGEXMATCH(assign, ""SINGLE_PARTY""))),
  "&amp;"       IF(
           OR(ARRAYFORMULA((IF(precondition="""", FALSE, REGEXMATCH($K$4:$ED$4, precondition))) * (K43:ED43=TRUE))),
           enhance,
           mitigation
         ),
         1
       )
     )
   )
 ) * EE43"),1.0)</f>
        <v>1</v>
      </c>
      <c r="FK43" s="206">
        <f t="shared" si="12"/>
        <v>0</v>
      </c>
      <c r="FL43" s="205">
        <f>IFERROR(__xludf.DUMMYFUNCTION("PRODUCT(
   MAP(
     K$3:ED$3,
     K$14:ED$14,
     K$13:ED$13,
     K43:ED43,
     LAMBDA(
       job,
       buff,
       target,
       check,
       IF(
         OR(AND(check=TRUE, REGEXMATCH(target, ""SELF_AFFECTED_ALL""), job=""ガンブレイカー""), AND(che"&amp;"ck=Option!$H$13, REGEXMATCH(target, ""SINGLE_AFFECTED_ALL""))),
         buff,
         1
       )
     )
   )
 )"),1.0)</f>
        <v>1</v>
      </c>
      <c r="FM43" s="206">
        <f>IFERROR(__xludf.DUMMYFUNCTION("SUM(
   MAP(
     K$3:ED$3,
     K$7:ED$7,
     K$15:ED$15,
     K$16:ED$16,
     K$21:ED$21,
     K$5:ED$5,
     K$17:ED$17,
     K43:ED43,
     LAMBDA(
       job,
       abillity,
       buff,
       barrier,
       enhance,
       assign,
       preco"&amp;"ndition,
       check,
       IF(
         OR(AND(check=TRUE, REGEXMATCH(assign, ""SELF""), job=""ガンブレイカー""), AND(check=Option!$H$13, REGEXMATCH(assign, ""SINGLE_PARTY""))),
         IF(
           OR(ARRAYFORMULA((IF(precondition="""", FALSE, REGEXMATCH("&amp;"$K$4:$ED$4, precondition))) * (K43:ED43=TRUE))),
           enhance,
           IF(barrier="""", buff, barrier)
         ),
         0
       ) *
       SWITCH(
         job,
         ""暗黒騎士"", FN$24,
         ""白魔道士"", EF43 * EH43 * FL43 * IF(abillity, 1"&amp;", EG43 * EI43) * (Option!$D$22 * 0.81 / 100),
         ""占星術師"", EF43 * EJ43 * FL43 * IF(abillity, 1, EG43 * EK43) * (Option!$D$23 * 0.81 / 100),
         ""学者"", EF43 * EL43 * FL43 * IF(abillity, 1, EG43 * EM43) * (Option!$D$24 * 0.81 / 100),
         """&amp;"賢者"", EF43 * EN43 * FL43 * IF(abillity, 1, EG43 * EO43) * (Option!$D$25 * 0.81 / 100),
         1
       )
     )
   )
 ) + EQ43"),0.0)</f>
        <v>0</v>
      </c>
      <c r="FN43" s="206">
        <f t="shared" si="13"/>
        <v>0</v>
      </c>
      <c r="FO43" s="213"/>
    </row>
    <row r="44">
      <c r="B44" s="229"/>
      <c r="C44" s="217">
        <f t="shared" si="1"/>
        <v>0</v>
      </c>
      <c r="D44" s="236"/>
      <c r="E44" s="238"/>
      <c r="F44" s="167"/>
      <c r="G44" s="168" t="str">
        <f t="shared" si="2"/>
        <v/>
      </c>
      <c r="H44" s="169"/>
      <c r="I44" s="169"/>
      <c r="J44" s="169"/>
      <c r="K44" s="170" t="b">
        <v>0</v>
      </c>
      <c r="L44" s="170" t="b">
        <v>0</v>
      </c>
      <c r="M44" s="170" t="b">
        <v>0</v>
      </c>
      <c r="N44" s="171" t="s">
        <v>1070</v>
      </c>
      <c r="O44" s="172" t="b">
        <v>0</v>
      </c>
      <c r="P44" s="173" t="b">
        <v>0</v>
      </c>
      <c r="Q44" s="173" t="b">
        <v>0</v>
      </c>
      <c r="R44" s="173" t="b">
        <v>0</v>
      </c>
      <c r="S44" s="174" t="b">
        <v>0</v>
      </c>
      <c r="T44" s="175" t="b">
        <v>0</v>
      </c>
      <c r="U44" s="173" t="b">
        <v>0</v>
      </c>
      <c r="V44" s="171" t="s">
        <v>1070</v>
      </c>
      <c r="W44" s="172" t="b">
        <v>0</v>
      </c>
      <c r="X44" s="173" t="b">
        <v>0</v>
      </c>
      <c r="Y44" s="173" t="b">
        <v>0</v>
      </c>
      <c r="Z44" s="173" t="b">
        <v>0</v>
      </c>
      <c r="AA44" s="174" t="b">
        <v>0</v>
      </c>
      <c r="AB44" s="174" t="b">
        <v>0</v>
      </c>
      <c r="AC44" s="175" t="b">
        <v>0</v>
      </c>
      <c r="AD44" s="173" t="b">
        <v>0</v>
      </c>
      <c r="AE44" s="176" t="s">
        <v>1070</v>
      </c>
      <c r="AF44" s="171" t="s">
        <v>1070</v>
      </c>
      <c r="AG44" s="177">
        <f>IFERROR(__xludf.DUMMYFUNCTION("IF(
  ISNUMBER(AG43),
  MIN(MAX(
    AG43
    + MAX(
      ROUNDDOWN(($D44 - MAX(IFERROR(FILTER($D$24:$D43, AG$24:AG43 &lt;&gt; AF$6, AG$23:AG42 = AF$6), 0))) * (60 * 60 * 24) / AF$9) - ROUNDDOWN(($D43 - MAX(IFERROR(FILTER($D$23:$D42, AG$23:AG42 &lt;&gt; AF$6, AG$22:"&amp;"AG41 = AF$6), 0))) * (60 * 60 * 24) / 60),
      0
    )
    - COUNTIF(AF44, ""&lt;&gt;-""),
  0), AF$6),
  AF$6 - COUNTIF(AF44, ""&lt;&gt;-"")
)"),2.0)</f>
        <v>2</v>
      </c>
      <c r="AH44" s="173" t="b">
        <v>0</v>
      </c>
      <c r="AI44" s="173" t="b">
        <v>0</v>
      </c>
      <c r="AJ44" s="173" t="b">
        <v>0</v>
      </c>
      <c r="AK44" s="174" t="b">
        <v>0</v>
      </c>
      <c r="AL44" s="175" t="b">
        <v>0</v>
      </c>
      <c r="AM44" s="173" t="b">
        <v>0</v>
      </c>
      <c r="AN44" s="171" t="s">
        <v>1070</v>
      </c>
      <c r="AO44" s="173" t="b">
        <v>0</v>
      </c>
      <c r="AP44" s="173" t="b">
        <v>0</v>
      </c>
      <c r="AQ44" s="173" t="b">
        <v>0</v>
      </c>
      <c r="AR44" s="174" t="b">
        <v>0</v>
      </c>
      <c r="AS44" s="178" t="b">
        <v>0</v>
      </c>
      <c r="AT44" s="179" t="b">
        <v>0</v>
      </c>
      <c r="AU44" s="180" t="b">
        <v>0</v>
      </c>
      <c r="AV44" s="180" t="b">
        <v>0</v>
      </c>
      <c r="AW44" s="180" t="b">
        <v>0</v>
      </c>
      <c r="AX44" s="180" t="b">
        <v>0</v>
      </c>
      <c r="AY44" s="181" t="s">
        <v>1070</v>
      </c>
      <c r="AZ44" s="181" t="s">
        <v>1070</v>
      </c>
      <c r="BA44" s="184">
        <f>IFERROR(__xludf.DUMMYFUNCTION("IF(
  ISNUMBER(BA43),
  MIN(MAX(
    BA43
    + MAX(
      ROUNDDOWN((D44 - MAX(IFERROR(FILTER(D$24:D43, BA$24:BA43 &lt;&gt; AZ$6, BA$23:BA42 = AZ$6), 0))) * (60 * 60 * 24) / AZ$9) - ROUNDDOWN((D43 - MAX(IFERROR(FILTER(D$23:D42, BA$23:BA42 &lt;&gt; AZ$6, BA$22:BA41 ="&amp;" AZ$6), 0))) * (60 * 60 * 24) / AZ$9),
      0
    )
    - COUNTIF(AZ44, ""&lt;&gt;-""),
  0), AZ$6),
  AZ$6 - COUNTIF(AZ44, ""&lt;&gt;-"")
)"),2.0)</f>
        <v>2</v>
      </c>
      <c r="BB44" s="181" t="s">
        <v>1070</v>
      </c>
      <c r="BC44" s="183">
        <f>IFERROR(__xludf.DUMMYFUNCTION("IF(
  ISNUMBER(BC43),
  MIN(MAX(
    BC43
    + MAX(
      ROUNDDOWN(($D44 - MAX(IFERROR(FILTER($D$24:$D43, BC$24:BC43 &lt;&gt; BB$6, BC$23:BC42 = BB$6), 0))) * (60 * 60 * 24) / BB$9) - ROUNDDOWN(($D43 - MAX(IFERROR(FILTER($D$23:$D42, BC$23:BC42 &lt;&gt; BB$6, BC$22:"&amp;"BC41 = BB$6), 0))) * (60 * 60 * 24) / 60),
      0
    )
    - COUNTIF(BB44, ""&lt;&gt;-""),
  0), BB$6),
  BB$6 - COUNTIF(BB44, ""&lt;&gt;-"")
)"),2.0)</f>
        <v>2</v>
      </c>
      <c r="BD44" s="181" t="s">
        <v>1070</v>
      </c>
      <c r="BE44" s="178" t="b">
        <v>0</v>
      </c>
      <c r="BF44" s="180" t="b">
        <v>0</v>
      </c>
      <c r="BG44" s="180" t="b">
        <v>0</v>
      </c>
      <c r="BH44" s="180" t="b">
        <v>0</v>
      </c>
      <c r="BI44" s="180" t="b">
        <v>0</v>
      </c>
      <c r="BJ44" s="180" t="b">
        <v>0</v>
      </c>
      <c r="BK44" s="180" t="b">
        <v>0</v>
      </c>
      <c r="BL44" s="180" t="b">
        <v>0</v>
      </c>
      <c r="BM44" s="180" t="b">
        <v>0</v>
      </c>
      <c r="BN44" s="180" t="b">
        <v>0</v>
      </c>
      <c r="BO44" s="181" t="s">
        <v>1070</v>
      </c>
      <c r="BP44" s="181" t="s">
        <v>1070</v>
      </c>
      <c r="BQ44" s="181" t="s">
        <v>1070</v>
      </c>
      <c r="BR44" s="181" t="s">
        <v>1070</v>
      </c>
      <c r="BS44" s="181" t="s">
        <v>1070</v>
      </c>
      <c r="BT44" s="184">
        <f>IFERROR(__xludf.DUMMYFUNCTION("IF(
  ISNUMBER(BT43),
  MIN(MAX(
    BT43
    + MAX(
      ROUNDDOWN((D44 - MAX(IFERROR(FILTER(D$24:D43, BT$24:BT43 &lt;&gt; BS$6, BT$23:BT42 = BS$6), 0))) * (60 * 60 * 24) / BS$9) - ROUNDDOWN((D43 - MAX(IFERROR(FILTER(D$23:D42, BT$23:BT42 &lt;&gt; BS$6, BT$22:BT41 ="&amp;" BS$6), 0))) * (60 * 60 * 24) / BS$9),
      0
    )
    - COUNTIF(BS44, ""&lt;&gt;-""),
  0), BS$6),
  BS$6 - COUNTIF(BS44, ""&lt;&gt;-"")
)"),3.0)</f>
        <v>3</v>
      </c>
      <c r="BU44" s="181" t="s">
        <v>1070</v>
      </c>
      <c r="BV44" s="181" t="s">
        <v>1070</v>
      </c>
      <c r="BW44" s="184">
        <f>IFERROR(__xludf.DUMMYFUNCTION("IF(
  ISNUMBER(BW43),
  MIN(MAX(
    BW43
    + MAX(
      ROUNDDOWN((D44 - MAX(IFERROR(FILTER(D$24:D43, BW$24:BW43 &lt;&gt; BV$6, BW$23:BW42 = BV$6), 0))) * (60 * 60 * 24) / BV$9) - ROUNDDOWN((D43 - MAX(IFERROR(FILTER(D$23:D42, BW$23:BW42 &lt;&gt; BV$6, BW$22:BW41 ="&amp;" BV$6), 0))) * (60 * 60 * 24) / BV$9),
      0
    )
    - COUNTIF(BV44, ""&lt;&gt;-""),
  0), BV$6),
  BV$6 - COUNTIF(BV44, ""&lt;&gt;-"")
)"),2.0)</f>
        <v>2</v>
      </c>
      <c r="BX44" s="185" t="s">
        <v>1070</v>
      </c>
      <c r="BY44" s="178" t="b">
        <v>0</v>
      </c>
      <c r="BZ44" s="180" t="b">
        <v>0</v>
      </c>
      <c r="CA44" s="180" t="b">
        <v>0</v>
      </c>
      <c r="CB44" s="180" t="b">
        <v>0</v>
      </c>
      <c r="CC44" s="180" t="b">
        <v>0</v>
      </c>
      <c r="CD44" s="180" t="b">
        <v>0</v>
      </c>
      <c r="CE44" s="180" t="b">
        <v>0</v>
      </c>
      <c r="CF44" s="180" t="b">
        <v>0</v>
      </c>
      <c r="CG44" s="180" t="b">
        <v>0</v>
      </c>
      <c r="CH44" s="180" t="b">
        <v>0</v>
      </c>
      <c r="CI44" s="180" t="b">
        <v>0</v>
      </c>
      <c r="CJ44" s="180" t="b">
        <v>0</v>
      </c>
      <c r="CK44" s="180" t="b">
        <v>0</v>
      </c>
      <c r="CL44" s="180" t="b">
        <v>0</v>
      </c>
      <c r="CM44" s="181" t="s">
        <v>1070</v>
      </c>
      <c r="CN44" s="181" t="s">
        <v>1070</v>
      </c>
      <c r="CO44" s="181" t="s">
        <v>1070</v>
      </c>
      <c r="CP44" s="181" t="s">
        <v>1070</v>
      </c>
      <c r="CQ44" s="185" t="s">
        <v>1070</v>
      </c>
      <c r="CR44" s="180" t="b">
        <v>0</v>
      </c>
      <c r="CS44" s="186" t="str">
        <f t="shared" si="14"/>
        <v>◇◇◇</v>
      </c>
      <c r="CT44" s="178" t="b">
        <v>0</v>
      </c>
      <c r="CU44" s="180" t="b">
        <v>0</v>
      </c>
      <c r="CV44" s="180" t="b">
        <v>0</v>
      </c>
      <c r="CW44" s="180" t="b">
        <v>0</v>
      </c>
      <c r="CX44" s="180" t="b">
        <v>0</v>
      </c>
      <c r="CY44" s="180" t="b">
        <v>0</v>
      </c>
      <c r="CZ44" s="180" t="b">
        <v>0</v>
      </c>
      <c r="DA44" s="180" t="b">
        <v>0</v>
      </c>
      <c r="DB44" s="180" t="b">
        <v>0</v>
      </c>
      <c r="DC44" s="180" t="b">
        <v>0</v>
      </c>
      <c r="DD44" s="181" t="s">
        <v>1070</v>
      </c>
      <c r="DE44" s="181" t="s">
        <v>1070</v>
      </c>
      <c r="DF44" s="181" t="s">
        <v>1070</v>
      </c>
      <c r="DG44" s="185" t="s">
        <v>1070</v>
      </c>
      <c r="DH44" s="180" t="b">
        <v>0</v>
      </c>
      <c r="DI44" s="187" t="str">
        <f>IFERROR(__xludf.DUMMYFUNCTION("SWITCH(
  IF(
    ISTEXT(DI43),
    IF (
      FIND(""○"", DI43&amp;""○"") &gt; 3,
      3,
      FIND(""○"", DI43&amp;""○"")
      + MAX(
        ROUNDDOWN(($D44 - MAX(IFERROR(FILTER(D$24:D43, DI$24:DI43 &lt;&gt; ""●●●"", DI$23:DI42 = ""●●●""), 0))) * (60 * 60 * 24) / 20"&amp;") - ROUNDDOWN(($D43 - MAX(IFERROR(FILTER(D$23:D42, DI$23:DI42 &lt;&gt; ""●●●"", DI$22:DI41 = ""●●●""), 0))) * (60 * 60 * 24) / 20),
        0
      ) - 1
    ) - COUNTIFS(CU44, ""=TRUE"", CU43, ""&lt;&gt;TRUE"") - COUNTIF(CZ44, ""=TRUE"") - COUNTIF({DD44,DE44}, ""&lt;&gt;-"&amp;""") + COUNTIF(DH44, ""=TRUE""),
    3
  ),
  0, ""○○○"", 1, ""●○○"", 2, ""●●○"", 3, ""●●●"", 4, ""●●●"", ""○○○""
)"),"●●●")</f>
        <v>●●●</v>
      </c>
      <c r="DJ44" s="188" t="b">
        <v>0</v>
      </c>
      <c r="DK44" s="189" t="b">
        <v>0</v>
      </c>
      <c r="DL44" s="190" t="b">
        <v>0</v>
      </c>
      <c r="DM44" s="190" t="b">
        <v>0</v>
      </c>
      <c r="DN44" s="190" t="b">
        <v>0</v>
      </c>
      <c r="DO44" s="190" t="b">
        <v>0</v>
      </c>
      <c r="DP44" s="190" t="b">
        <v>0</v>
      </c>
      <c r="DQ44" s="191" t="b">
        <v>0</v>
      </c>
      <c r="DR44" s="192" t="b">
        <v>0</v>
      </c>
      <c r="DS44" s="191" t="b">
        <v>0</v>
      </c>
      <c r="DT44" s="192" t="b">
        <v>0</v>
      </c>
      <c r="DU44" s="191" t="b">
        <v>0</v>
      </c>
      <c r="DV44" s="193" t="s">
        <v>1070</v>
      </c>
      <c r="DW44" s="194" t="b">
        <v>0</v>
      </c>
      <c r="DX44" s="194" t="b">
        <v>0</v>
      </c>
      <c r="DY44" s="195" t="b">
        <v>0</v>
      </c>
      <c r="DZ44" s="196" t="b">
        <v>0</v>
      </c>
      <c r="EA44" s="195" t="b">
        <v>0</v>
      </c>
      <c r="EB44" s="197" t="b">
        <v>0</v>
      </c>
      <c r="EC44" s="197" t="b">
        <v>0</v>
      </c>
      <c r="ED44" s="212" t="b">
        <v>0</v>
      </c>
      <c r="EE44" s="199">
        <f>IFERROR(__xludf.DUMMYFUNCTION("IFERROR(
   PRODUCT(
     MAP(
       INDEX(TRANSPOSE(UNIQUE(TRANSPOSE(FILTER({IF($F44=""Physical"", K$10:ED$10, IF($F44=""Magic"", K$11:ED$11, K$12:ED$12));K$4:ED$4;K44:ED44}, K44:ED44=TRUE)))), 1, 0),
       INDEX(TRANSPOSE(UNIQUE(TRANSPOSE(FILTER({IF($"&amp;"F44=""Physical"", K$18:ED$18, IF($F44=""Magic"", K$19:ED$19, K$20:ED$20));K$4:ED$4;K44:ED44}, K44:ED44=TRUE)))), 1, 0),
       INDEX(TRANSPOSE(UNIQUE(TRANSPOSE(FILTER({K$5:ED$5;K$4:ED$4;K44:ED44}, K44:ED44=TRUE)))), 1, 0),
       INDEX(TRANSPOSE(UNIQUE(TR"&amp;"ANSPOSE(FILTER({K$17:ED$17;K$4:ED$4;K44:ED44}, K44:ED44=TRUE)))), 1, 0),
       LAMBDA(
         mitigation,
         enhance,
         assign,
         precondition,
         IF(
           REGEXMATCH(assign, ""RANGE_PARTY|SINGLE_ENEMY|RANGE_ENEMY""),
  "&amp;"         IF(
             OR(ARRAYFORMULA((IF(precondition="""", FALSE, REGEXMATCH(K$4:ED$4, precondition))) * (K44:ED44=TRUE))),
             IF(ISNUMBER(enhance), enhance, 1),
             IF(ISNUMBER(mitigation), mitigation, 1)
           ),
          "&amp;" 1
         )
       )
     )
   ),
   1
 )"),1.0)</f>
        <v>1</v>
      </c>
      <c r="EF44" s="200">
        <f>IFERROR(__xludf.DUMMYFUNCTION("PRODUCT(
   MAP(
     K$14:ED$14,
     K$13:ED$13,
     K44:ED44,
     LAMBDA(
       buff,
       target,
       check,
       IF(
         AND(check=TRUE, REGEXMATCH(target, ""RANGE_AFFECTED_ALL|RANGE_EFFECTED_ALL""), ISNUMBER(buff)),
         buff,
   "&amp;"      1
       )
     )
   )
 )"),1.0)</f>
        <v>1</v>
      </c>
      <c r="EG44" s="200">
        <f>IFERROR(__xludf.DUMMYFUNCTION("PRODUCT(
   MAP(
     K$14:ED$14,
     K$13:ED$13,
     K44:ED44,
     LAMBDA(
       buff,
       target,
       check,
       IF(
         AND(check=TRUE, REGEXMATCH(target, ""RANGE_AFFECTED_GCD|RANGE_EFFECTED_GCD""), ISNUMBER(buff)),
         buff,
   "&amp;"      1
       )
     )
   )
 )"),1.0)</f>
        <v>1</v>
      </c>
      <c r="EH44" s="200">
        <f>IFERROR(__xludf.DUMMYFUNCTION("PRODUCT(
   MAP(
     K$3:ED$3,
     K$14:ED$14,
     K$13:ED$13,
     K44:ED44,
     LAMBDA(
       job,
       buff,
       target,
       check,
       IF(
         AND(check=TRUE, REGEXMATCH(target, ""SELF_EFFECTED_ALL""), ISNUMBER(buff), job=""白魔道士"""&amp;"),
         buff,
         1
       )
     )
   )
 )"),1.0)</f>
        <v>1</v>
      </c>
      <c r="EI44" s="200">
        <f>IFERROR(__xludf.DUMMYFUNCTION("PRODUCT(
   MAP(
     K$3:ED$3,
     K$14:ED$14,
     K$13:ED$13,
     K44:ED44,
     LAMBDA(
       job,
       buff,
       target,
       check,
       IF(
         AND(check=TRUE, REGEXMATCH(target, ""SELF_EFFECTED_GCD""), ISNUMBER(buff), job=""白魔道士"""&amp;"),
         buff,
         1
       )
     )
   )
 )"),1.0)</f>
        <v>1</v>
      </c>
      <c r="EJ44" s="200">
        <f>IFERROR(__xludf.DUMMYFUNCTION("PRODUCT(
   MAP(
     K$3:ED$3,
     K$14:ED$14,
     K$13:ED$13,
     K44:ED44,
     LAMBDA(
       job,
       buff,
       target,
       check,
       IF(
         AND(check=TRUE, REGEXMATCH(target, ""SELF_EFFECTED_ALL""), ISNUMBER(buff), job=""占星術師"""&amp;"),
         buff,
         1
       )
     )
   )
 )"),1.0)</f>
        <v>1</v>
      </c>
      <c r="EK44" s="200">
        <f>IFERROR(__xludf.DUMMYFUNCTION("PRODUCT(
   MAP(
     K$3:ED$3,
     K$14:ED$14,
     K$13:ED$13,
     K44:ED44,
     LAMBDA(
       job,
       buff,
       target,
       check,
       IF(
         AND(check=TRUE, REGEXMATCH(target, ""SELF_EFFECTED_GCD""), ISNUMBER(buff), job=""占星術師"""&amp;"),
         buff,
         1
       )
     )
   )
 )"),1.0)</f>
        <v>1</v>
      </c>
      <c r="EL44" s="200">
        <f>IFERROR(__xludf.DUMMYFUNCTION("PRODUCT(
   MAP(
     K$3:ED$3,
     K$14:ED$14,
     K$13:ED$13,
     K44:ED44,
     LAMBDA(
       job,
       buff,
       target,
       check,
       IF(
         AND(check=TRUE, REGEXMATCH(target, ""SELF_EFFECTED_ALL""), ISNUMBER(buff), job=""学者""),"&amp;"
         buff,
         1
       )
     )
   )
 )"),1.0)</f>
        <v>1</v>
      </c>
      <c r="EM44" s="200">
        <f>IFERROR(__xludf.DUMMYFUNCTION("PRODUCT(
   MAP(
     K$3:ED$3,
     K$14:ED$14,
     K$13:ED$13,
     K44:ED44,
     LAMBDA(
       job,
       buff,
       target,
       check,
       IF(
         AND(check=TRUE, REGEXMATCH(target, ""SELF_EFFECTED_GCD""), ISNUMBER(buff), job=""学者""),"&amp;"
         buff,
         1
       )
     )
   )
 )"),1.0)</f>
        <v>1</v>
      </c>
      <c r="EN44" s="200">
        <f>IFERROR(__xludf.DUMMYFUNCTION("PRODUCT(
   MAP(
     K$3:ED$3,
     K$14:ED$14,
     K$13:ED$13,
     K44:ED44,
     LAMBDA(
       job,
       buff,
       target,
       check,
       IF(
         AND(check=TRUE, REGEXMATCH(target, ""SELF_EFFECTED_ALL""), ISNUMBER(buff), job=""賢者""),"&amp;"
         buff,
         1
       )
     )
   )
 )"),1.0)</f>
        <v>1</v>
      </c>
      <c r="EO44" s="200">
        <f>IFERROR(__xludf.DUMMYFUNCTION("PRODUCT(
   MAP(
     K$3:ED$3,
     K$14:ED$14,
     K$13:ED$13,
     K44:ED44,
     LAMBDA(
       job,
       buff,
       target,
       check,
       IF(
         AND(check=TRUE, REGEXMATCH(target, ""SELF_EFFECTED_GCD""), ISNUMBER(buff), job=""賢者""),"&amp;"
         buff,
         1
       )
     )
   )
 )"),1.0)</f>
        <v>1</v>
      </c>
      <c r="EP44" s="201">
        <f t="shared" si="3"/>
        <v>0</v>
      </c>
      <c r="EQ44" s="201">
        <f>IFERROR(__xludf.DUMMYFUNCTION("SUM(
   MAP(
     K$4:ED$4,
     K$3:ED$3,
     K$7:ED$7,
     K$15:ED$15,
     K$16:ED$16,
     K$21:ED$21,
     K$5:ED$5,
     K$17:ED$17,
     K44:ED44,
     LAMBDA(
       name,
       job,
       abillity,
       buff,
       barrier,
       enhance,"&amp;"
       assign,
       precondition,
       check,
       SWITCH(
         name,
         ""シェイクオフ"", IF(check=TRUE, buff + (0.02 * COUNTIF(ARRAYFORMULA((REGEXMATCH($K$4:$ED$4, ""スリル・オブ・バトル|ヴェンジェンス|原初の血気|ダムネーション"")) * (K44:ED44=TRUE)), 1)), 0),
         "&amp;"""インプロビゼーションフィニッシュ(踊りの激情0)"", IF(ISNUMBER(check), INDEX(Skill!$AJ:$AJ, MATCH(SUBSTITUTE(DV$4, 0, check), Skill!$C:$C, 0)), 0),
         IF(
           AND(check=TRUE, REGEXMATCH(assign, ""RANGE_PARTY"")),
           IF(
             OR(ARRAYFORMULA((IF(pr"&amp;"econdition="""", FALSE, REGEXMATCH($K$4:$ED$4, precondition))) * (K44:ED44=TRUE))),
             enhance,
             IF(barrier="""", buff, barrier)
           ),
           0
         )
       ) *
       SWITCH(
         job,
         ""ナイト"", EY$24,
 "&amp;"        ""戦士"", FD$24,
         ""踊り子"", ET$24,
         ""ピクトマンサー"", ET$24,
         ""白魔道士"", EF44 * EH44 * IF(abillity, 1, EG44 * EI44) * (Option!$D$22 * 0.81 / 100),
         ""占星術師"", EF44 * EJ44 * IF(abillity, 1, EG44 * EK44) * (Option!$D$23 * 0.81 "&amp;"/ 100),
         ""学者"", EF44 * EL44 * IF(abillity, 1, EG44 * EM44) * (Option!$D$24 * 0.81 / 100),
         ""賢者"", EF44 * EN44 * IF(abillity, 1, EG44 * EO44) * (Option!$D$25 * 0.81 / 100),
         1
       )
     )
   )
 )"),0.0)</f>
        <v>0</v>
      </c>
      <c r="ER44" s="202">
        <f t="shared" si="4"/>
        <v>0</v>
      </c>
      <c r="ES44" s="203">
        <f t="shared" si="5"/>
        <v>0</v>
      </c>
      <c r="ET44" s="231" t="str">
        <f>IFERROR(__xludf.DUMMYFUNCTION("IFS(
  EP44 &gt; $ET$24 + EQ44,
  SPARKLINE({ 1, 0 }, {""charttype"",""bar"";""max"", 1;""color1"",Option!$D$30;""color2"",Option!$D$30}),
  EP44 &lt; EQ44,
  SPARKLINE({EQ44 - EP44, $ET$24 - (EQ44 - EP44)}, {""charttype"",""bar"";""max"",$ET$24;""color1"",Opti"&amp;"on!$D$28;""color2"",Option!$D$29}),
  EP44 &gt;= EQ44,
  SPARKLINE({$ET$24 + EQ44 - EP44,EP44 - EQ44}, {""charttype"",""bar"";""max"",$ET$24;""color1"",Option!$D$29;""color2"",Option!$D$30})
)"),"")</f>
        <v/>
      </c>
      <c r="EU44" s="205">
        <f>IFERROR(__xludf.DUMMYFUNCTION("PRODUCT(
   MAP(
     IF($F44=""Physical"", K$10:ED$10, IF($F44=""Magic"", K$11:ED$11, K$12:ED$12)),
     IF($F44=""Physical"", K$18:ED$18, IF($F44=""Magic"", K$19:ED$19, K$20:ED$20)),
     K$3:ED$3,
     K$5:ED$5,
     K$17:ED$17,
     K44:ED44,
     LAM"&amp;"BDA(
       mitigation,
       enhance,
       job,
       assign,
       precondition,
       check,
       IF(
         OR(AND(check=TRUE, REGEXMATCH(assign, ""SELF""), job=""ナイト""), AND(check=Option!$E$13, REGEXMATCH(assign, ""SINGLE_PARTY""))),
      "&amp;"   IF(
           OR(ARRAYFORMULA((IF(precondition="""", FALSE, REGEXMATCH($K$4:$ED$4, precondition))) * (K44:ED44=TRUE))),
           enhance,
           mitigation
         ),
         1
       )
     )
   )
 ) * EE44"),1.0)</f>
        <v>1</v>
      </c>
      <c r="EV44" s="206">
        <f t="shared" si="6"/>
        <v>0</v>
      </c>
      <c r="EW44" s="205">
        <f>IFERROR(__xludf.DUMMYFUNCTION("PRODUCT(
   MAP(
     K$3:ED$3,
     K$14:ED$14,
     K$13:ED$13,
     K44:ED44,
     LAMBDA(
       job,
       buff,
       target,
       check,
       IF(
         OR(AND(check=TRUE, REGEXMATCH(target, ""SELF_AFFECTED_ALL""), job=""ナイト""), AND(check=O"&amp;"ption!$E$13, REGEXMATCH(target, ""SINGLE_AFFECTED_ALL""))),
         buff,
         1
       )
     )
   )
 )"),1.0)</f>
        <v>1</v>
      </c>
      <c r="EX44" s="206">
        <f>IFERROR(__xludf.DUMMYFUNCTION("SUM(
   MAP(
     K$3:ED$3,
     K$7:ED$7,
     K$15:ED$15,
     K$16:ED$16,
     K$21:ED$21,
     K$5:ED$5,
     K$17:ED$17,
     K44:ED44,
     LAMBDA(
       job,
       abillity,
       buff,
       barrier,
       enhance,
       assign,
       preco"&amp;"ndition,
       check,
       IF(
         OR(AND(check=TRUE, REGEXMATCH(assign, ""SELF""), job=""ナイト""), AND(check=Option!$E$13, REGEXMATCH(assign, ""SINGLE_PARTY""))),
         IF(
           OR(ARRAYFORMULA((IF(precondition="""", FALSE, REGEXMATCH($K$4"&amp;":$ED$4, precondition))) * (K44:ED44=TRUE))),
           enhance,
           IF(barrier="""", buff, barrier)
         ),
         0
       ) *
       SWITCH(
         job,
         ""暗黒騎士"", EY$24,
         ""白魔道士"", EF44 * EH44 * EW44 * IF(abillity, 1, EG"&amp;"44 * EI44) * (Option!$D$22 * 0.81 / 100),
         ""占星術師"", EF44 * EJ44 * EW44 * IF(abillity, 1, EG44 * EK44) * (Option!$D$23 * 0.81 / 100),
         ""学者"", EF44 * EL44 * EW44 * IF(abillity, 1, EG44 * EM44) * (Option!$D$24 * 0.81 / 100),
         ""賢者"""&amp;", EF44 * EN44 * EW44 * IF(abillity, 1, EG44 * EO44) * (Option!$D$25 * 0.81 / 100),
         1
       )
     )
   )
 ) + EQ44"),0.0)</f>
        <v>0</v>
      </c>
      <c r="EY44" s="232">
        <f t="shared" si="7"/>
        <v>0</v>
      </c>
      <c r="EZ44" s="205">
        <f>IFERROR(__xludf.DUMMYFUNCTION("PRODUCT(
   MAP(
     IF($F44=""Physical"", K$10:ED$10, IF($F44=""Magic"", K$11:ED$11, K$12:ED$12)),
     IF($F44=""Physical"", K$18:ED$18, IF($F44=""Magic"", K$19:ED$19, K$20:ED$20)),
     K$3:ED$3,
     K$5:ED$5,
     K$17:ED$17,
     K44:ED44,
     LAM"&amp;"BDA(
       mitigation,
       enhance,
       job,
       assign,
       precondition,
       check,
       IF(
         OR(AND(check=TRUE, REGEXMATCH(assign, ""SELF""), job=""戦士""), AND(check=Option!$F$13, REGEXMATCH(assign, ""SINGLE_PARTY""))),
       "&amp;"  IF(
           OR(ARRAYFORMULA((IF(precondition="""", FALSE, REGEXMATCH($K$4:$ED$4, precondition))) * (K44:ED44=TRUE))),
           enhance,
           mitigation
         ),
         1
       )
     )
   )
 ) * EE44"),1.0)</f>
        <v>1</v>
      </c>
      <c r="FA44" s="206">
        <f t="shared" si="8"/>
        <v>0</v>
      </c>
      <c r="FB44" s="205">
        <f>IFERROR(__xludf.DUMMYFUNCTION("PRODUCT(
   MAP(
     K$3:ED$3,
     K$14:ED$14,
     K$13:ED$13,
     K44:ED44,
     LAMBDA(
       job,
       buff,
       target,
       check,
       IF(
         OR(AND(check=TRUE, REGEXMATCH(target, ""SELF_AFFECTED_ALL""), job=""戦士""), AND(check=Op"&amp;"tion!$F$13, REGEXMATCH(target, ""SINGLE_AFFECTED_ALL""))),
         buff,
         1
       )
     )
   )
 )"),1.0)</f>
        <v>1</v>
      </c>
      <c r="FC44" s="206">
        <f>IFERROR(__xludf.DUMMYFUNCTION("SUM(
   MAP(
     K$3:ED$3,
     K$7:ED$7,
     K$15:ED$15,
     K$16:ED$16,
     K$21:ED$21,
     K$5:ED$5,
     K$17:ED$17,
     K44:ED44,
     LAMBDA(
       job,
       abillity,
       buff,
       barrier,
       enhance,
       assign,
       preco"&amp;"ndition,
       check,
       IF(
         OR(AND(check=TRUE, REGEXMATCH(assign, ""SELF""), job=""戦士""), AND(check=Option!$F$13, REGEXMATCH(assign, ""SINGLE_PARTY""))),
         IF(
           OR(ARRAYFORMULA((IF(precondition="""", FALSE, REGEXMATCH($K$4:"&amp;"$ED$4, precondition))) * (K44:ED44=TRUE))),
           enhance,
           IF(barrier="""", buff, barrier)
         ),
         0
       ) *
       SWITCH(
         job,
         ""暗黒騎士"", FD$24,
         ""白魔道士"", EF44 * EH44 * FB44 * IF(abillity, 1, EG4"&amp;"4 * EI44) * (Option!$D$22 * 0.81 / 100),
         ""占星術師"", EF44 * EJ44 * FFB44 * IF(abillity, 1, EG44 * EK44) * (Option!$D$23 * 0.81 / 100),
         ""学者"", EF44 * EL44 * FB44 * IF(abillity, 1, EG44 * EM44) * (Option!$D$24 * 0.81 / 100),
         ""賢者"""&amp;", EF44 * EN44 * FB44 * IF(abillity, 1, EG44 * EO44) * (Option!$D$25 * 0.81 / 100),
         1
       )
     )
   )
 ) + EQ44"),0.0)</f>
        <v>0</v>
      </c>
      <c r="FD44" s="206">
        <f t="shared" si="9"/>
        <v>0</v>
      </c>
      <c r="FE44" s="205">
        <f>IFERROR(__xludf.DUMMYFUNCTION("PRODUCT(
   MAP(
     IF($F44=""Physical"", K$10:ED$10, IF($F44=""Magic"", K$11:ED$11, K$12:ED$12)),
     IF($F44=""Physical"", K$18:ED$18, IF($F44=""Magic"", K$19:ED$19, K$20:ED$20)),
     K$3:ED$3,
     K$5:ED$5,
     K$17:ED$17,
     K44:ED44,
     LAM"&amp;"BDA(
       mitigation,
       enhance,
       job,
       assign,
       precondition,
       check,
       IF(
         OR(AND(check=TRUE, REGEXMATCH(assign, ""SELF""), job=""暗黒騎士""), AND(check=Option!$G$13, REGEXMATCH(assign, ""SINGLE_PARTY""))),
     "&amp;"    IF(
           OR(ARRAYFORMULA((IF(precondition="""", FALSE, REGEXMATCH($K$4:$ED$4, precondition))) * (K44:ED44=TRUE))),
           enhance,
           mitigation
         ),
         1
       )
     )
   )
 ) * EE44"),1.0)</f>
        <v>1</v>
      </c>
      <c r="FF44" s="206">
        <f t="shared" si="10"/>
        <v>0</v>
      </c>
      <c r="FG44" s="205">
        <f>IFERROR(__xludf.DUMMYFUNCTION("PRODUCT(
   MAP(
     K$3:ED$3,
     K$14:ED$14,
     K$13:ED$13,
     K44:ED44,
     LAMBDA(
       job,
       buff,
       target,
       check,
       IF(
         OR(AND(check=TRUE, REGEXMATCH(target, ""SELF_AFFECTED_ALL""), job=""暗黒騎士""), AND(check="&amp;"Option!$G$13, REGEXMATCH(target, ""SINGLE_AFFECTED_ALL""))),
         buff,
         1
       )
     )
   )
 )"),1.0)</f>
        <v>1</v>
      </c>
      <c r="FH44" s="206">
        <f>IFERROR(__xludf.DUMMYFUNCTION("SUM(
   MAP(
     K$3:ED$3,
     K$7:ED$7,
     K$15:ED$15,
     K$16:ED$16,
     K$21:ED$21,
     K$5:ED$5,
     K$17:ED$17,
     K44:ED44,
     LAMBDA(
       job,
       abillity,
       buff,
       barrier,
       enhance,
       assign,
       preco"&amp;"ndition,
       check,
       IF(
         OR(AND(check=TRUE, REGEXMATCH(assign, ""SELF""), job=""暗黒騎士""), AND(check=Option!$G$13, REGEXMATCH(assign, ""SINGLE_PARTY""))),
         IF(
           OR(ARRAYFORMULA((IF(precondition="""", FALSE, REGEXMATCH($K$"&amp;"4:$ED$4, precondition))) * (K44:ED44=TRUE))),
           enhance,
           IF(barrier="""", buff, barrier)
         ),
         0
       ) *
       SWITCH(
         job,
         ""暗黒騎士"", FI$24,
         ""白魔道士"", EF44 * EH44 * FG44 * IF(abillity, 1, E"&amp;"G44 * EI44) * (Option!$D$22 * 0.81 / 100),
         ""占星術師"", EF44 * EJ44 * FG44 * IF(abillity, 1, EG44 * EK44) * (Option!$D$23 * 0.81 / 100),
         ""学者"", EF44 * EL44 * FG44 * IF(abillity, 1, EG44 * EM44) * (Option!$D$24 * 0.81 / 100),
         ""賢者"&amp;""", EF44 * EN44 * FG44 * IF(abillity, 1, EG44 * EO44) * (Option!$D$25 * 0.81 / 100),
         1
       )
     )
   )
 ) + EQ44"),0.0)</f>
        <v>0</v>
      </c>
      <c r="FI44" s="206">
        <f t="shared" si="11"/>
        <v>0</v>
      </c>
      <c r="FJ44" s="205">
        <f>IFERROR(__xludf.DUMMYFUNCTION("PRODUCT(
   MAP(
     IF($F44=""Physical"", K$10:ED$10, IF($F44=""Magic"", K$11:ED$11, K$12:ED$12)),
     IF($F44=""Physical"", K$18:ED$18, IF($F44=""Magic"", K$19:ED$19, K$20:ED$20)),
     K$3:ED$3,
     K$5:ED$5,
     K$17:ED$17,
     K44:ED44,
     LAM"&amp;"BDA(
       mitigation,
       enhance,
       job,
       assign,
       precondition,
       check,
       IF(
         OR(AND(check=TRUE, REGEXMATCH(assign, ""SELF""), job=""ガンブレイカー""), AND(check=Option!$H$13, REGEXMATCH(assign, ""SINGLE_PARTY""))),
  "&amp;"       IF(
           OR(ARRAYFORMULA((IF(precondition="""", FALSE, REGEXMATCH($K$4:$ED$4, precondition))) * (K44:ED44=TRUE))),
           enhance,
           mitigation
         ),
         1
       )
     )
   )
 ) * EE44"),1.0)</f>
        <v>1</v>
      </c>
      <c r="FK44" s="206">
        <f t="shared" si="12"/>
        <v>0</v>
      </c>
      <c r="FL44" s="205">
        <f>IFERROR(__xludf.DUMMYFUNCTION("PRODUCT(
   MAP(
     K$3:ED$3,
     K$14:ED$14,
     K$13:ED$13,
     K44:ED44,
     LAMBDA(
       job,
       buff,
       target,
       check,
       IF(
         OR(AND(check=TRUE, REGEXMATCH(target, ""SELF_AFFECTED_ALL""), job=""ガンブレイカー""), AND(che"&amp;"ck=Option!$H$13, REGEXMATCH(target, ""SINGLE_AFFECTED_ALL""))),
         buff,
         1
       )
     )
   )
 )"),1.0)</f>
        <v>1</v>
      </c>
      <c r="FM44" s="206">
        <f>IFERROR(__xludf.DUMMYFUNCTION("SUM(
   MAP(
     K$3:ED$3,
     K$7:ED$7,
     K$15:ED$15,
     K$16:ED$16,
     K$21:ED$21,
     K$5:ED$5,
     K$17:ED$17,
     K44:ED44,
     LAMBDA(
       job,
       abillity,
       buff,
       barrier,
       enhance,
       assign,
       preco"&amp;"ndition,
       check,
       IF(
         OR(AND(check=TRUE, REGEXMATCH(assign, ""SELF""), job=""ガンブレイカー""), AND(check=Option!$H$13, REGEXMATCH(assign, ""SINGLE_PARTY""))),
         IF(
           OR(ARRAYFORMULA((IF(precondition="""", FALSE, REGEXMATCH("&amp;"$K$4:$ED$4, precondition))) * (K44:ED44=TRUE))),
           enhance,
           IF(barrier="""", buff, barrier)
         ),
         0
       ) *
       SWITCH(
         job,
         ""暗黒騎士"", FN$24,
         ""白魔道士"", EF44 * EH44 * FL44 * IF(abillity, 1"&amp;", EG44 * EI44) * (Option!$D$22 * 0.81 / 100),
         ""占星術師"", EF44 * EJ44 * FL44 * IF(abillity, 1, EG44 * EK44) * (Option!$D$23 * 0.81 / 100),
         ""学者"", EF44 * EL44 * FL44 * IF(abillity, 1, EG44 * EM44) * (Option!$D$24 * 0.81 / 100),
         """&amp;"賢者"", EF44 * EN44 * FL44 * IF(abillity, 1, EG44 * EO44) * (Option!$D$25 * 0.81 / 100),
         1
       )
     )
   )
 ) + EQ44"),0.0)</f>
        <v>0</v>
      </c>
      <c r="FN44" s="206">
        <f t="shared" si="13"/>
        <v>0</v>
      </c>
      <c r="FO44" s="213"/>
    </row>
    <row r="45">
      <c r="B45" s="229"/>
      <c r="C45" s="217">
        <f t="shared" si="1"/>
        <v>0</v>
      </c>
      <c r="D45" s="236"/>
      <c r="E45" s="238"/>
      <c r="F45" s="167"/>
      <c r="G45" s="168" t="str">
        <f t="shared" si="2"/>
        <v/>
      </c>
      <c r="H45" s="169"/>
      <c r="I45" s="169"/>
      <c r="J45" s="169"/>
      <c r="K45" s="170" t="b">
        <v>0</v>
      </c>
      <c r="L45" s="170" t="b">
        <v>0</v>
      </c>
      <c r="M45" s="170" t="b">
        <v>0</v>
      </c>
      <c r="N45" s="171" t="s">
        <v>1070</v>
      </c>
      <c r="O45" s="172" t="b">
        <v>0</v>
      </c>
      <c r="P45" s="173" t="b">
        <v>0</v>
      </c>
      <c r="Q45" s="173" t="b">
        <v>0</v>
      </c>
      <c r="R45" s="173" t="b">
        <v>0</v>
      </c>
      <c r="S45" s="174" t="b">
        <v>0</v>
      </c>
      <c r="T45" s="175" t="b">
        <v>0</v>
      </c>
      <c r="U45" s="173" t="b">
        <v>0</v>
      </c>
      <c r="V45" s="171" t="s">
        <v>1070</v>
      </c>
      <c r="W45" s="172" t="b">
        <v>0</v>
      </c>
      <c r="X45" s="173" t="b">
        <v>0</v>
      </c>
      <c r="Y45" s="173" t="b">
        <v>0</v>
      </c>
      <c r="Z45" s="173" t="b">
        <v>0</v>
      </c>
      <c r="AA45" s="174" t="b">
        <v>0</v>
      </c>
      <c r="AB45" s="174" t="b">
        <v>0</v>
      </c>
      <c r="AC45" s="175" t="b">
        <v>0</v>
      </c>
      <c r="AD45" s="173" t="b">
        <v>0</v>
      </c>
      <c r="AE45" s="176" t="s">
        <v>1070</v>
      </c>
      <c r="AF45" s="171" t="s">
        <v>1070</v>
      </c>
      <c r="AG45" s="177">
        <f>IFERROR(__xludf.DUMMYFUNCTION("IF(
  ISNUMBER(AG44),
  MIN(MAX(
    AG44
    + MAX(
      ROUNDDOWN(($D45 - MAX(IFERROR(FILTER($D$24:$D44, AG$24:AG44 &lt;&gt; AF$6, AG$23:AG43 = AF$6), 0))) * (60 * 60 * 24) / AF$9) - ROUNDDOWN(($D44 - MAX(IFERROR(FILTER($D$23:$D43, AG$23:AG43 &lt;&gt; AF$6, AG$22:"&amp;"AG42 = AF$6), 0))) * (60 * 60 * 24) / 60),
      0
    )
    - COUNTIF(AF45, ""&lt;&gt;-""),
  0), AF$6),
  AF$6 - COUNTIF(AF45, ""&lt;&gt;-"")
)"),2.0)</f>
        <v>2</v>
      </c>
      <c r="AH45" s="173" t="b">
        <v>0</v>
      </c>
      <c r="AI45" s="173" t="b">
        <v>0</v>
      </c>
      <c r="AJ45" s="173" t="b">
        <v>0</v>
      </c>
      <c r="AK45" s="174" t="b">
        <v>0</v>
      </c>
      <c r="AL45" s="175" t="b">
        <v>0</v>
      </c>
      <c r="AM45" s="173" t="b">
        <v>0</v>
      </c>
      <c r="AN45" s="171" t="s">
        <v>1070</v>
      </c>
      <c r="AO45" s="173" t="b">
        <v>0</v>
      </c>
      <c r="AP45" s="173" t="b">
        <v>0</v>
      </c>
      <c r="AQ45" s="173" t="b">
        <v>0</v>
      </c>
      <c r="AR45" s="174" t="b">
        <v>0</v>
      </c>
      <c r="AS45" s="178" t="b">
        <v>0</v>
      </c>
      <c r="AT45" s="179" t="b">
        <v>0</v>
      </c>
      <c r="AU45" s="180" t="b">
        <v>0</v>
      </c>
      <c r="AV45" s="180" t="b">
        <v>0</v>
      </c>
      <c r="AW45" s="180" t="b">
        <v>0</v>
      </c>
      <c r="AX45" s="180" t="b">
        <v>0</v>
      </c>
      <c r="AY45" s="181" t="s">
        <v>1070</v>
      </c>
      <c r="AZ45" s="181" t="s">
        <v>1070</v>
      </c>
      <c r="BA45" s="184">
        <f>IFERROR(__xludf.DUMMYFUNCTION("IF(
  ISNUMBER(BA44),
  MIN(MAX(
    BA44
    + MAX(
      ROUNDDOWN((D45 - MAX(IFERROR(FILTER(D$24:D44, BA$24:BA44 &lt;&gt; AZ$6, BA$23:BA43 = AZ$6), 0))) * (60 * 60 * 24) / AZ$9) - ROUNDDOWN((D44 - MAX(IFERROR(FILTER(D$23:D43, BA$23:BA43 &lt;&gt; AZ$6, BA$22:BA42 ="&amp;" AZ$6), 0))) * (60 * 60 * 24) / AZ$9),
      0
    )
    - COUNTIF(AZ45, ""&lt;&gt;-""),
  0), AZ$6),
  AZ$6 - COUNTIF(AZ45, ""&lt;&gt;-"")
)"),2.0)</f>
        <v>2</v>
      </c>
      <c r="BB45" s="181" t="s">
        <v>1070</v>
      </c>
      <c r="BC45" s="183">
        <f>IFERROR(__xludf.DUMMYFUNCTION("IF(
  ISNUMBER(BC44),
  MIN(MAX(
    BC44
    + MAX(
      ROUNDDOWN(($D45 - MAX(IFERROR(FILTER($D$24:$D44, BC$24:BC44 &lt;&gt; BB$6, BC$23:BC43 = BB$6), 0))) * (60 * 60 * 24) / BB$9) - ROUNDDOWN(($D44 - MAX(IFERROR(FILTER($D$23:$D43, BC$23:BC43 &lt;&gt; BB$6, BC$22:"&amp;"BC42 = BB$6), 0))) * (60 * 60 * 24) / 60),
      0
    )
    - COUNTIF(BB45, ""&lt;&gt;-""),
  0), BB$6),
  BB$6 - COUNTIF(BB45, ""&lt;&gt;-"")
)"),2.0)</f>
        <v>2</v>
      </c>
      <c r="BD45" s="181" t="s">
        <v>1070</v>
      </c>
      <c r="BE45" s="178" t="b">
        <v>0</v>
      </c>
      <c r="BF45" s="180" t="b">
        <v>0</v>
      </c>
      <c r="BG45" s="180" t="b">
        <v>0</v>
      </c>
      <c r="BH45" s="180" t="b">
        <v>0</v>
      </c>
      <c r="BI45" s="180" t="b">
        <v>0</v>
      </c>
      <c r="BJ45" s="180" t="b">
        <v>0</v>
      </c>
      <c r="BK45" s="180" t="b">
        <v>0</v>
      </c>
      <c r="BL45" s="180" t="b">
        <v>0</v>
      </c>
      <c r="BM45" s="180" t="b">
        <v>0</v>
      </c>
      <c r="BN45" s="180" t="b">
        <v>0</v>
      </c>
      <c r="BO45" s="181" t="s">
        <v>1070</v>
      </c>
      <c r="BP45" s="181" t="s">
        <v>1070</v>
      </c>
      <c r="BQ45" s="181" t="s">
        <v>1070</v>
      </c>
      <c r="BR45" s="181" t="s">
        <v>1070</v>
      </c>
      <c r="BS45" s="181" t="s">
        <v>1070</v>
      </c>
      <c r="BT45" s="184">
        <f>IFERROR(__xludf.DUMMYFUNCTION("IF(
  ISNUMBER(BT44),
  MIN(MAX(
    BT44
    + MAX(
      ROUNDDOWN((D45 - MAX(IFERROR(FILTER(D$24:D44, BT$24:BT44 &lt;&gt; BS$6, BT$23:BT43 = BS$6), 0))) * (60 * 60 * 24) / BS$9) - ROUNDDOWN((D44 - MAX(IFERROR(FILTER(D$23:D43, BT$23:BT43 &lt;&gt; BS$6, BT$22:BT42 ="&amp;" BS$6), 0))) * (60 * 60 * 24) / BS$9),
      0
    )
    - COUNTIF(BS45, ""&lt;&gt;-""),
  0), BS$6),
  BS$6 - COUNTIF(BS45, ""&lt;&gt;-"")
)"),3.0)</f>
        <v>3</v>
      </c>
      <c r="BU45" s="181" t="s">
        <v>1070</v>
      </c>
      <c r="BV45" s="181" t="s">
        <v>1070</v>
      </c>
      <c r="BW45" s="184">
        <f>IFERROR(__xludf.DUMMYFUNCTION("IF(
  ISNUMBER(BW44),
  MIN(MAX(
    BW44
    + MAX(
      ROUNDDOWN((D45 - MAX(IFERROR(FILTER(D$24:D44, BW$24:BW44 &lt;&gt; BV$6, BW$23:BW43 = BV$6), 0))) * (60 * 60 * 24) / BV$9) - ROUNDDOWN((D44 - MAX(IFERROR(FILTER(D$23:D43, BW$23:BW43 &lt;&gt; BV$6, BW$22:BW42 ="&amp;" BV$6), 0))) * (60 * 60 * 24) / BV$9),
      0
    )
    - COUNTIF(BV45, ""&lt;&gt;-""),
  0), BV$6),
  BV$6 - COUNTIF(BV45, ""&lt;&gt;-"")
)"),2.0)</f>
        <v>2</v>
      </c>
      <c r="BX45" s="185" t="s">
        <v>1070</v>
      </c>
      <c r="BY45" s="178" t="b">
        <v>0</v>
      </c>
      <c r="BZ45" s="180" t="b">
        <v>0</v>
      </c>
      <c r="CA45" s="180" t="b">
        <v>0</v>
      </c>
      <c r="CB45" s="180" t="b">
        <v>0</v>
      </c>
      <c r="CC45" s="180" t="b">
        <v>0</v>
      </c>
      <c r="CD45" s="180" t="b">
        <v>0</v>
      </c>
      <c r="CE45" s="180" t="b">
        <v>0</v>
      </c>
      <c r="CF45" s="180" t="b">
        <v>0</v>
      </c>
      <c r="CG45" s="180" t="b">
        <v>0</v>
      </c>
      <c r="CH45" s="180" t="b">
        <v>0</v>
      </c>
      <c r="CI45" s="180" t="b">
        <v>0</v>
      </c>
      <c r="CJ45" s="180" t="b">
        <v>0</v>
      </c>
      <c r="CK45" s="180" t="b">
        <v>0</v>
      </c>
      <c r="CL45" s="180" t="b">
        <v>0</v>
      </c>
      <c r="CM45" s="181" t="s">
        <v>1070</v>
      </c>
      <c r="CN45" s="181" t="s">
        <v>1070</v>
      </c>
      <c r="CO45" s="181" t="s">
        <v>1070</v>
      </c>
      <c r="CP45" s="181" t="s">
        <v>1070</v>
      </c>
      <c r="CQ45" s="185" t="s">
        <v>1070</v>
      </c>
      <c r="CR45" s="180" t="b">
        <v>0</v>
      </c>
      <c r="CS45" s="186" t="str">
        <f t="shared" si="14"/>
        <v>◇◇◇</v>
      </c>
      <c r="CT45" s="178" t="b">
        <v>0</v>
      </c>
      <c r="CU45" s="180" t="b">
        <v>0</v>
      </c>
      <c r="CV45" s="180" t="b">
        <v>0</v>
      </c>
      <c r="CW45" s="180" t="b">
        <v>0</v>
      </c>
      <c r="CX45" s="180" t="b">
        <v>0</v>
      </c>
      <c r="CY45" s="180" t="b">
        <v>0</v>
      </c>
      <c r="CZ45" s="180" t="b">
        <v>0</v>
      </c>
      <c r="DA45" s="180" t="b">
        <v>0</v>
      </c>
      <c r="DB45" s="180" t="b">
        <v>0</v>
      </c>
      <c r="DC45" s="180" t="b">
        <v>0</v>
      </c>
      <c r="DD45" s="181" t="s">
        <v>1070</v>
      </c>
      <c r="DE45" s="181" t="s">
        <v>1070</v>
      </c>
      <c r="DF45" s="181" t="s">
        <v>1070</v>
      </c>
      <c r="DG45" s="185" t="s">
        <v>1070</v>
      </c>
      <c r="DH45" s="180" t="b">
        <v>0</v>
      </c>
      <c r="DI45" s="187" t="str">
        <f>IFERROR(__xludf.DUMMYFUNCTION("SWITCH(
  IF(
    ISTEXT(DI44),
    IF (
      FIND(""○"", DI44&amp;""○"") &gt; 3,
      3,
      FIND(""○"", DI44&amp;""○"")
      + MAX(
        ROUNDDOWN(($D45 - MAX(IFERROR(FILTER(D$24:D44, DI$24:DI44 &lt;&gt; ""●●●"", DI$23:DI43 = ""●●●""), 0))) * (60 * 60 * 24) / 20"&amp;") - ROUNDDOWN(($D44 - MAX(IFERROR(FILTER(D$23:D43, DI$23:DI43 &lt;&gt; ""●●●"", DI$22:DI42 = ""●●●""), 0))) * (60 * 60 * 24) / 20),
        0
      ) - 1
    ) - COUNTIFS(CU45, ""=TRUE"", CU44, ""&lt;&gt;TRUE"") - COUNTIF(CZ45, ""=TRUE"") - COUNTIF({DD45,DE45}, ""&lt;&gt;-"&amp;""") + COUNTIF(DH45, ""=TRUE""),
    3
  ),
  0, ""○○○"", 1, ""●○○"", 2, ""●●○"", 3, ""●●●"", 4, ""●●●"", ""○○○""
)"),"●●●")</f>
        <v>●●●</v>
      </c>
      <c r="DJ45" s="188" t="b">
        <v>0</v>
      </c>
      <c r="DK45" s="189" t="b">
        <v>0</v>
      </c>
      <c r="DL45" s="190" t="b">
        <v>0</v>
      </c>
      <c r="DM45" s="190" t="b">
        <v>0</v>
      </c>
      <c r="DN45" s="190" t="b">
        <v>0</v>
      </c>
      <c r="DO45" s="190" t="b">
        <v>0</v>
      </c>
      <c r="DP45" s="190" t="b">
        <v>0</v>
      </c>
      <c r="DQ45" s="191" t="b">
        <v>0</v>
      </c>
      <c r="DR45" s="192" t="b">
        <v>0</v>
      </c>
      <c r="DS45" s="191" t="b">
        <v>0</v>
      </c>
      <c r="DT45" s="192" t="b">
        <v>0</v>
      </c>
      <c r="DU45" s="191" t="b">
        <v>0</v>
      </c>
      <c r="DV45" s="193" t="s">
        <v>1070</v>
      </c>
      <c r="DW45" s="194" t="b">
        <v>0</v>
      </c>
      <c r="DX45" s="194" t="b">
        <v>0</v>
      </c>
      <c r="DY45" s="195" t="b">
        <v>0</v>
      </c>
      <c r="DZ45" s="196" t="b">
        <v>0</v>
      </c>
      <c r="EA45" s="195" t="b">
        <v>0</v>
      </c>
      <c r="EB45" s="197" t="b">
        <v>0</v>
      </c>
      <c r="EC45" s="197" t="b">
        <v>0</v>
      </c>
      <c r="ED45" s="212" t="b">
        <v>0</v>
      </c>
      <c r="EE45" s="199">
        <f>IFERROR(__xludf.DUMMYFUNCTION("IFERROR(
   PRODUCT(
     MAP(
       INDEX(TRANSPOSE(UNIQUE(TRANSPOSE(FILTER({IF($F45=""Physical"", K$10:ED$10, IF($F45=""Magic"", K$11:ED$11, K$12:ED$12));K$4:ED$4;K45:ED45}, K45:ED45=TRUE)))), 1, 0),
       INDEX(TRANSPOSE(UNIQUE(TRANSPOSE(FILTER({IF($"&amp;"F45=""Physical"", K$18:ED$18, IF($F45=""Magic"", K$19:ED$19, K$20:ED$20));K$4:ED$4;K45:ED45}, K45:ED45=TRUE)))), 1, 0),
       INDEX(TRANSPOSE(UNIQUE(TRANSPOSE(FILTER({K$5:ED$5;K$4:ED$4;K45:ED45}, K45:ED45=TRUE)))), 1, 0),
       INDEX(TRANSPOSE(UNIQUE(TR"&amp;"ANSPOSE(FILTER({K$17:ED$17;K$4:ED$4;K45:ED45}, K45:ED45=TRUE)))), 1, 0),
       LAMBDA(
         mitigation,
         enhance,
         assign,
         precondition,
         IF(
           REGEXMATCH(assign, ""RANGE_PARTY|SINGLE_ENEMY|RANGE_ENEMY""),
  "&amp;"         IF(
             OR(ARRAYFORMULA((IF(precondition="""", FALSE, REGEXMATCH(K$4:ED$4, precondition))) * (K45:ED45=TRUE))),
             IF(ISNUMBER(enhance), enhance, 1),
             IF(ISNUMBER(mitigation), mitigation, 1)
           ),
          "&amp;" 1
         )
       )
     )
   ),
   1
 )"),1.0)</f>
        <v>1</v>
      </c>
      <c r="EF45" s="200">
        <f>IFERROR(__xludf.DUMMYFUNCTION("PRODUCT(
   MAP(
     K$14:ED$14,
     K$13:ED$13,
     K45:ED45,
     LAMBDA(
       buff,
       target,
       check,
       IF(
         AND(check=TRUE, REGEXMATCH(target, ""RANGE_AFFECTED_ALL|RANGE_EFFECTED_ALL""), ISNUMBER(buff)),
         buff,
   "&amp;"      1
       )
     )
   )
 )"),1.0)</f>
        <v>1</v>
      </c>
      <c r="EG45" s="200">
        <f>IFERROR(__xludf.DUMMYFUNCTION("PRODUCT(
   MAP(
     K$14:ED$14,
     K$13:ED$13,
     K45:ED45,
     LAMBDA(
       buff,
       target,
       check,
       IF(
         AND(check=TRUE, REGEXMATCH(target, ""RANGE_AFFECTED_GCD|RANGE_EFFECTED_GCD""), ISNUMBER(buff)),
         buff,
   "&amp;"      1
       )
     )
   )
 )"),1.0)</f>
        <v>1</v>
      </c>
      <c r="EH45" s="200">
        <f>IFERROR(__xludf.DUMMYFUNCTION("PRODUCT(
   MAP(
     K$3:ED$3,
     K$14:ED$14,
     K$13:ED$13,
     K45:ED45,
     LAMBDA(
       job,
       buff,
       target,
       check,
       IF(
         AND(check=TRUE, REGEXMATCH(target, ""SELF_EFFECTED_ALL""), ISNUMBER(buff), job=""白魔道士"""&amp;"),
         buff,
         1
       )
     )
   )
 )"),1.0)</f>
        <v>1</v>
      </c>
      <c r="EI45" s="200">
        <f>IFERROR(__xludf.DUMMYFUNCTION("PRODUCT(
   MAP(
     K$3:ED$3,
     K$14:ED$14,
     K$13:ED$13,
     K45:ED45,
     LAMBDA(
       job,
       buff,
       target,
       check,
       IF(
         AND(check=TRUE, REGEXMATCH(target, ""SELF_EFFECTED_GCD""), ISNUMBER(buff), job=""白魔道士"""&amp;"),
         buff,
         1
       )
     )
   )
 )"),1.0)</f>
        <v>1</v>
      </c>
      <c r="EJ45" s="200">
        <f>IFERROR(__xludf.DUMMYFUNCTION("PRODUCT(
   MAP(
     K$3:ED$3,
     K$14:ED$14,
     K$13:ED$13,
     K45:ED45,
     LAMBDA(
       job,
       buff,
       target,
       check,
       IF(
         AND(check=TRUE, REGEXMATCH(target, ""SELF_EFFECTED_ALL""), ISNUMBER(buff), job=""占星術師"""&amp;"),
         buff,
         1
       )
     )
   )
 )"),1.0)</f>
        <v>1</v>
      </c>
      <c r="EK45" s="200">
        <f>IFERROR(__xludf.DUMMYFUNCTION("PRODUCT(
   MAP(
     K$3:ED$3,
     K$14:ED$14,
     K$13:ED$13,
     K45:ED45,
     LAMBDA(
       job,
       buff,
       target,
       check,
       IF(
         AND(check=TRUE, REGEXMATCH(target, ""SELF_EFFECTED_GCD""), ISNUMBER(buff), job=""占星術師"""&amp;"),
         buff,
         1
       )
     )
   )
 )"),1.0)</f>
        <v>1</v>
      </c>
      <c r="EL45" s="200">
        <f>IFERROR(__xludf.DUMMYFUNCTION("PRODUCT(
   MAP(
     K$3:ED$3,
     K$14:ED$14,
     K$13:ED$13,
     K45:ED45,
     LAMBDA(
       job,
       buff,
       target,
       check,
       IF(
         AND(check=TRUE, REGEXMATCH(target, ""SELF_EFFECTED_ALL""), ISNUMBER(buff), job=""学者""),"&amp;"
         buff,
         1
       )
     )
   )
 )"),1.0)</f>
        <v>1</v>
      </c>
      <c r="EM45" s="200">
        <f>IFERROR(__xludf.DUMMYFUNCTION("PRODUCT(
   MAP(
     K$3:ED$3,
     K$14:ED$14,
     K$13:ED$13,
     K45:ED45,
     LAMBDA(
       job,
       buff,
       target,
       check,
       IF(
         AND(check=TRUE, REGEXMATCH(target, ""SELF_EFFECTED_GCD""), ISNUMBER(buff), job=""学者""),"&amp;"
         buff,
         1
       )
     )
   )
 )"),1.0)</f>
        <v>1</v>
      </c>
      <c r="EN45" s="200">
        <f>IFERROR(__xludf.DUMMYFUNCTION("PRODUCT(
   MAP(
     K$3:ED$3,
     K$14:ED$14,
     K$13:ED$13,
     K45:ED45,
     LAMBDA(
       job,
       buff,
       target,
       check,
       IF(
         AND(check=TRUE, REGEXMATCH(target, ""SELF_EFFECTED_ALL""), ISNUMBER(buff), job=""賢者""),"&amp;"
         buff,
         1
       )
     )
   )
 )"),1.0)</f>
        <v>1</v>
      </c>
      <c r="EO45" s="200">
        <f>IFERROR(__xludf.DUMMYFUNCTION("PRODUCT(
   MAP(
     K$3:ED$3,
     K$14:ED$14,
     K$13:ED$13,
     K45:ED45,
     LAMBDA(
       job,
       buff,
       target,
       check,
       IF(
         AND(check=TRUE, REGEXMATCH(target, ""SELF_EFFECTED_GCD""), ISNUMBER(buff), job=""賢者""),"&amp;"
         buff,
         1
       )
     )
   )
 )"),1.0)</f>
        <v>1</v>
      </c>
      <c r="EP45" s="201">
        <f t="shared" si="3"/>
        <v>0</v>
      </c>
      <c r="EQ45" s="201">
        <f>IFERROR(__xludf.DUMMYFUNCTION("SUM(
   MAP(
     K$4:ED$4,
     K$3:ED$3,
     K$7:ED$7,
     K$15:ED$15,
     K$16:ED$16,
     K$21:ED$21,
     K$5:ED$5,
     K$17:ED$17,
     K45:ED45,
     LAMBDA(
       name,
       job,
       abillity,
       buff,
       barrier,
       enhance,"&amp;"
       assign,
       precondition,
       check,
       SWITCH(
         name,
         ""シェイクオフ"", IF(check=TRUE, buff + (0.02 * COUNTIF(ARRAYFORMULA((REGEXMATCH($K$4:$ED$4, ""スリル・オブ・バトル|ヴェンジェンス|原初の血気|ダムネーション"")) * (K45:ED45=TRUE)), 1)), 0),
         "&amp;"""インプロビゼーションフィニッシュ(踊りの激情0)"", IF(ISNUMBER(check), INDEX(Skill!$AJ:$AJ, MATCH(SUBSTITUTE(DV$4, 0, check), Skill!$C:$C, 0)), 0),
         IF(
           AND(check=TRUE, REGEXMATCH(assign, ""RANGE_PARTY"")),
           IF(
             OR(ARRAYFORMULA((IF(pr"&amp;"econdition="""", FALSE, REGEXMATCH($K$4:$ED$4, precondition))) * (K45:ED45=TRUE))),
             enhance,
             IF(barrier="""", buff, barrier)
           ),
           0
         )
       ) *
       SWITCH(
         job,
         ""ナイト"", EY$24,
 "&amp;"        ""戦士"", FD$24,
         ""踊り子"", ET$24,
         ""ピクトマンサー"", ET$24,
         ""白魔道士"", EF45 * EH45 * IF(abillity, 1, EG45 * EI45) * (Option!$D$22 * 0.81 / 100),
         ""占星術師"", EF45 * EJ45 * IF(abillity, 1, EG45 * EK45) * (Option!$D$23 * 0.81 "&amp;"/ 100),
         ""学者"", EF45 * EL45 * IF(abillity, 1, EG45 * EM45) * (Option!$D$24 * 0.81 / 100),
         ""賢者"", EF45 * EN45 * IF(abillity, 1, EG45 * EO45) * (Option!$D$25 * 0.81 / 100),
         1
       )
     )
   )
 )"),0.0)</f>
        <v>0</v>
      </c>
      <c r="ER45" s="202">
        <f t="shared" si="4"/>
        <v>0</v>
      </c>
      <c r="ES45" s="203">
        <f t="shared" si="5"/>
        <v>0</v>
      </c>
      <c r="ET45" s="231" t="str">
        <f>IFERROR(__xludf.DUMMYFUNCTION("IFS(
  EP45 &gt; $ET$24 + EQ45,
  SPARKLINE({ 1, 0 }, {""charttype"",""bar"";""max"", 1;""color1"",Option!$D$30;""color2"",Option!$D$30}),
  EP45 &lt; EQ45,
  SPARKLINE({EQ45 - EP45, $ET$24 - (EQ45 - EP45)}, {""charttype"",""bar"";""max"",$ET$24;""color1"",Opti"&amp;"on!$D$28;""color2"",Option!$D$29}),
  EP45 &gt;= EQ45,
  SPARKLINE({$ET$24 + EQ45 - EP45,EP45 - EQ45}, {""charttype"",""bar"";""max"",$ET$24;""color1"",Option!$D$29;""color2"",Option!$D$30})
)"),"")</f>
        <v/>
      </c>
      <c r="EU45" s="205">
        <f>IFERROR(__xludf.DUMMYFUNCTION("PRODUCT(
   MAP(
     IF($F45=""Physical"", K$10:ED$10, IF($F45=""Magic"", K$11:ED$11, K$12:ED$12)),
     IF($F45=""Physical"", K$18:ED$18, IF($F45=""Magic"", K$19:ED$19, K$20:ED$20)),
     K$3:ED$3,
     K$5:ED$5,
     K$17:ED$17,
     K45:ED45,
     LAM"&amp;"BDA(
       mitigation,
       enhance,
       job,
       assign,
       precondition,
       check,
       IF(
         OR(AND(check=TRUE, REGEXMATCH(assign, ""SELF""), job=""ナイト""), AND(check=Option!$E$13, REGEXMATCH(assign, ""SINGLE_PARTY""))),
      "&amp;"   IF(
           OR(ARRAYFORMULA((IF(precondition="""", FALSE, REGEXMATCH($K$4:$ED$4, precondition))) * (K45:ED45=TRUE))),
           enhance,
           mitigation
         ),
         1
       )
     )
   )
 ) * EE45"),1.0)</f>
        <v>1</v>
      </c>
      <c r="EV45" s="206">
        <f t="shared" si="6"/>
        <v>0</v>
      </c>
      <c r="EW45" s="205">
        <f>IFERROR(__xludf.DUMMYFUNCTION("PRODUCT(
   MAP(
     K$3:ED$3,
     K$14:ED$14,
     K$13:ED$13,
     K45:ED45,
     LAMBDA(
       job,
       buff,
       target,
       check,
       IF(
         OR(AND(check=TRUE, REGEXMATCH(target, ""SELF_AFFECTED_ALL""), job=""ナイト""), AND(check=O"&amp;"ption!$E$13, REGEXMATCH(target, ""SINGLE_AFFECTED_ALL""))),
         buff,
         1
       )
     )
   )
 )"),1.0)</f>
        <v>1</v>
      </c>
      <c r="EX45" s="206">
        <f>IFERROR(__xludf.DUMMYFUNCTION("SUM(
   MAP(
     K$3:ED$3,
     K$7:ED$7,
     K$15:ED$15,
     K$16:ED$16,
     K$21:ED$21,
     K$5:ED$5,
     K$17:ED$17,
     K45:ED45,
     LAMBDA(
       job,
       abillity,
       buff,
       barrier,
       enhance,
       assign,
       preco"&amp;"ndition,
       check,
       IF(
         OR(AND(check=TRUE, REGEXMATCH(assign, ""SELF""), job=""ナイト""), AND(check=Option!$E$13, REGEXMATCH(assign, ""SINGLE_PARTY""))),
         IF(
           OR(ARRAYFORMULA((IF(precondition="""", FALSE, REGEXMATCH($K$4"&amp;":$ED$4, precondition))) * (K45:ED45=TRUE))),
           enhance,
           IF(barrier="""", buff, barrier)
         ),
         0
       ) *
       SWITCH(
         job,
         ""暗黒騎士"", EY$24,
         ""白魔道士"", EF45 * EH45 * EW45 * IF(abillity, 1, EG"&amp;"45 * EI45) * (Option!$D$22 * 0.81 / 100),
         ""占星術師"", EF45 * EJ45 * EW45 * IF(abillity, 1, EG45 * EK45) * (Option!$D$23 * 0.81 / 100),
         ""学者"", EF45 * EL45 * EW45 * IF(abillity, 1, EG45 * EM45) * (Option!$D$24 * 0.81 / 100),
         ""賢者"""&amp;", EF45 * EN45 * EW45 * IF(abillity, 1, EG45 * EO45) * (Option!$D$25 * 0.81 / 100),
         1
       )
     )
   )
 ) + EQ45"),0.0)</f>
        <v>0</v>
      </c>
      <c r="EY45" s="232">
        <f t="shared" si="7"/>
        <v>0</v>
      </c>
      <c r="EZ45" s="205">
        <f>IFERROR(__xludf.DUMMYFUNCTION("PRODUCT(
   MAP(
     IF($F45=""Physical"", K$10:ED$10, IF($F45=""Magic"", K$11:ED$11, K$12:ED$12)),
     IF($F45=""Physical"", K$18:ED$18, IF($F45=""Magic"", K$19:ED$19, K$20:ED$20)),
     K$3:ED$3,
     K$5:ED$5,
     K$17:ED$17,
     K45:ED45,
     LAM"&amp;"BDA(
       mitigation,
       enhance,
       job,
       assign,
       precondition,
       check,
       IF(
         OR(AND(check=TRUE, REGEXMATCH(assign, ""SELF""), job=""戦士""), AND(check=Option!$F$13, REGEXMATCH(assign, ""SINGLE_PARTY""))),
       "&amp;"  IF(
           OR(ARRAYFORMULA((IF(precondition="""", FALSE, REGEXMATCH($K$4:$ED$4, precondition))) * (K45:ED45=TRUE))),
           enhance,
           mitigation
         ),
         1
       )
     )
   )
 ) * EE45"),1.0)</f>
        <v>1</v>
      </c>
      <c r="FA45" s="206">
        <f t="shared" si="8"/>
        <v>0</v>
      </c>
      <c r="FB45" s="205">
        <f>IFERROR(__xludf.DUMMYFUNCTION("PRODUCT(
   MAP(
     K$3:ED$3,
     K$14:ED$14,
     K$13:ED$13,
     K45:ED45,
     LAMBDA(
       job,
       buff,
       target,
       check,
       IF(
         OR(AND(check=TRUE, REGEXMATCH(target, ""SELF_AFFECTED_ALL""), job=""戦士""), AND(check=Op"&amp;"tion!$F$13, REGEXMATCH(target, ""SINGLE_AFFECTED_ALL""))),
         buff,
         1
       )
     )
   )
 )"),1.0)</f>
        <v>1</v>
      </c>
      <c r="FC45" s="206">
        <f>IFERROR(__xludf.DUMMYFUNCTION("SUM(
   MAP(
     K$3:ED$3,
     K$7:ED$7,
     K$15:ED$15,
     K$16:ED$16,
     K$21:ED$21,
     K$5:ED$5,
     K$17:ED$17,
     K45:ED45,
     LAMBDA(
       job,
       abillity,
       buff,
       barrier,
       enhance,
       assign,
       preco"&amp;"ndition,
       check,
       IF(
         OR(AND(check=TRUE, REGEXMATCH(assign, ""SELF""), job=""戦士""), AND(check=Option!$F$13, REGEXMATCH(assign, ""SINGLE_PARTY""))),
         IF(
           OR(ARRAYFORMULA((IF(precondition="""", FALSE, REGEXMATCH($K$4:"&amp;"$ED$4, precondition))) * (K45:ED45=TRUE))),
           enhance,
           IF(barrier="""", buff, barrier)
         ),
         0
       ) *
       SWITCH(
         job,
         ""暗黒騎士"", FD$24,
         ""白魔道士"", EF45 * EH45 * FB45 * IF(abillity, 1, EG4"&amp;"5 * EI45) * (Option!$D$22 * 0.81 / 100),
         ""占星術師"", EF45 * EJ45 * FFB45 * IF(abillity, 1, EG45 * EK45) * (Option!$D$23 * 0.81 / 100),
         ""学者"", EF45 * EL45 * FB45 * IF(abillity, 1, EG45 * EM45) * (Option!$D$24 * 0.81 / 100),
         ""賢者"""&amp;", EF45 * EN45 * FB45 * IF(abillity, 1, EG45 * EO45) * (Option!$D$25 * 0.81 / 100),
         1
       )
     )
   )
 ) + EQ45"),0.0)</f>
        <v>0</v>
      </c>
      <c r="FD45" s="206">
        <f t="shared" si="9"/>
        <v>0</v>
      </c>
      <c r="FE45" s="205">
        <f>IFERROR(__xludf.DUMMYFUNCTION("PRODUCT(
   MAP(
     IF($F45=""Physical"", K$10:ED$10, IF($F45=""Magic"", K$11:ED$11, K$12:ED$12)),
     IF($F45=""Physical"", K$18:ED$18, IF($F45=""Magic"", K$19:ED$19, K$20:ED$20)),
     K$3:ED$3,
     K$5:ED$5,
     K$17:ED$17,
     K45:ED45,
     LAM"&amp;"BDA(
       mitigation,
       enhance,
       job,
       assign,
       precondition,
       check,
       IF(
         OR(AND(check=TRUE, REGEXMATCH(assign, ""SELF""), job=""暗黒騎士""), AND(check=Option!$G$13, REGEXMATCH(assign, ""SINGLE_PARTY""))),
     "&amp;"    IF(
           OR(ARRAYFORMULA((IF(precondition="""", FALSE, REGEXMATCH($K$4:$ED$4, precondition))) * (K45:ED45=TRUE))),
           enhance,
           mitigation
         ),
         1
       )
     )
   )
 ) * EE45"),1.0)</f>
        <v>1</v>
      </c>
      <c r="FF45" s="206">
        <f t="shared" si="10"/>
        <v>0</v>
      </c>
      <c r="FG45" s="205">
        <f>IFERROR(__xludf.DUMMYFUNCTION("PRODUCT(
   MAP(
     K$3:ED$3,
     K$14:ED$14,
     K$13:ED$13,
     K45:ED45,
     LAMBDA(
       job,
       buff,
       target,
       check,
       IF(
         OR(AND(check=TRUE, REGEXMATCH(target, ""SELF_AFFECTED_ALL""), job=""暗黒騎士""), AND(check="&amp;"Option!$G$13, REGEXMATCH(target, ""SINGLE_AFFECTED_ALL""))),
         buff,
         1
       )
     )
   )
 )"),1.0)</f>
        <v>1</v>
      </c>
      <c r="FH45" s="206">
        <f>IFERROR(__xludf.DUMMYFUNCTION("SUM(
   MAP(
     K$3:ED$3,
     K$7:ED$7,
     K$15:ED$15,
     K$16:ED$16,
     K$21:ED$21,
     K$5:ED$5,
     K$17:ED$17,
     K45:ED45,
     LAMBDA(
       job,
       abillity,
       buff,
       barrier,
       enhance,
       assign,
       preco"&amp;"ndition,
       check,
       IF(
         OR(AND(check=TRUE, REGEXMATCH(assign, ""SELF""), job=""暗黒騎士""), AND(check=Option!$G$13, REGEXMATCH(assign, ""SINGLE_PARTY""))),
         IF(
           OR(ARRAYFORMULA((IF(precondition="""", FALSE, REGEXMATCH($K$"&amp;"4:$ED$4, precondition))) * (K45:ED45=TRUE))),
           enhance,
           IF(barrier="""", buff, barrier)
         ),
         0
       ) *
       SWITCH(
         job,
         ""暗黒騎士"", FI$24,
         ""白魔道士"", EF45 * EH45 * FG45 * IF(abillity, 1, E"&amp;"G45 * EI45) * (Option!$D$22 * 0.81 / 100),
         ""占星術師"", EF45 * EJ45 * FG45 * IF(abillity, 1, EG45 * EK45) * (Option!$D$23 * 0.81 / 100),
         ""学者"", EF45 * EL45 * FG45 * IF(abillity, 1, EG45 * EM45) * (Option!$D$24 * 0.81 / 100),
         ""賢者"&amp;""", EF45 * EN45 * FG45 * IF(abillity, 1, EG45 * EO45) * (Option!$D$25 * 0.81 / 100),
         1
       )
     )
   )
 ) + EQ45"),0.0)</f>
        <v>0</v>
      </c>
      <c r="FI45" s="206">
        <f t="shared" si="11"/>
        <v>0</v>
      </c>
      <c r="FJ45" s="205">
        <f>IFERROR(__xludf.DUMMYFUNCTION("PRODUCT(
   MAP(
     IF($F45=""Physical"", K$10:ED$10, IF($F45=""Magic"", K$11:ED$11, K$12:ED$12)),
     IF($F45=""Physical"", K$18:ED$18, IF($F45=""Magic"", K$19:ED$19, K$20:ED$20)),
     K$3:ED$3,
     K$5:ED$5,
     K$17:ED$17,
     K45:ED45,
     LAM"&amp;"BDA(
       mitigation,
       enhance,
       job,
       assign,
       precondition,
       check,
       IF(
         OR(AND(check=TRUE, REGEXMATCH(assign, ""SELF""), job=""ガンブレイカー""), AND(check=Option!$H$13, REGEXMATCH(assign, ""SINGLE_PARTY""))),
  "&amp;"       IF(
           OR(ARRAYFORMULA((IF(precondition="""", FALSE, REGEXMATCH($K$4:$ED$4, precondition))) * (K45:ED45=TRUE))),
           enhance,
           mitigation
         ),
         1
       )
     )
   )
 ) * EE45"),1.0)</f>
        <v>1</v>
      </c>
      <c r="FK45" s="206">
        <f t="shared" si="12"/>
        <v>0</v>
      </c>
      <c r="FL45" s="205">
        <f>IFERROR(__xludf.DUMMYFUNCTION("PRODUCT(
   MAP(
     K$3:ED$3,
     K$14:ED$14,
     K$13:ED$13,
     K45:ED45,
     LAMBDA(
       job,
       buff,
       target,
       check,
       IF(
         OR(AND(check=TRUE, REGEXMATCH(target, ""SELF_AFFECTED_ALL""), job=""ガンブレイカー""), AND(che"&amp;"ck=Option!$H$13, REGEXMATCH(target, ""SINGLE_AFFECTED_ALL""))),
         buff,
         1
       )
     )
   )
 )"),1.0)</f>
        <v>1</v>
      </c>
      <c r="FM45" s="206">
        <f>IFERROR(__xludf.DUMMYFUNCTION("SUM(
   MAP(
     K$3:ED$3,
     K$7:ED$7,
     K$15:ED$15,
     K$16:ED$16,
     K$21:ED$21,
     K$5:ED$5,
     K$17:ED$17,
     K45:ED45,
     LAMBDA(
       job,
       abillity,
       buff,
       barrier,
       enhance,
       assign,
       preco"&amp;"ndition,
       check,
       IF(
         OR(AND(check=TRUE, REGEXMATCH(assign, ""SELF""), job=""ガンブレイカー""), AND(check=Option!$H$13, REGEXMATCH(assign, ""SINGLE_PARTY""))),
         IF(
           OR(ARRAYFORMULA((IF(precondition="""", FALSE, REGEXMATCH("&amp;"$K$4:$ED$4, precondition))) * (K45:ED45=TRUE))),
           enhance,
           IF(barrier="""", buff, barrier)
         ),
         0
       ) *
       SWITCH(
         job,
         ""暗黒騎士"", FN$24,
         ""白魔道士"", EF45 * EH45 * FL45 * IF(abillity, 1"&amp;", EG45 * EI45) * (Option!$D$22 * 0.81 / 100),
         ""占星術師"", EF45 * EJ45 * FL45 * IF(abillity, 1, EG45 * EK45) * (Option!$D$23 * 0.81 / 100),
         ""学者"", EF45 * EL45 * FL45 * IF(abillity, 1, EG45 * EM45) * (Option!$D$24 * 0.81 / 100),
         """&amp;"賢者"", EF45 * EN45 * FL45 * IF(abillity, 1, EG45 * EO45) * (Option!$D$25 * 0.81 / 100),
         1
       )
     )
   )
 ) + EQ45"),0.0)</f>
        <v>0</v>
      </c>
      <c r="FN45" s="206">
        <f t="shared" si="13"/>
        <v>0</v>
      </c>
      <c r="FO45" s="213"/>
    </row>
    <row r="46">
      <c r="B46" s="229"/>
      <c r="C46" s="217">
        <f t="shared" si="1"/>
        <v>0</v>
      </c>
      <c r="D46" s="236"/>
      <c r="E46" s="238"/>
      <c r="F46" s="167"/>
      <c r="G46" s="168" t="str">
        <f t="shared" si="2"/>
        <v/>
      </c>
      <c r="H46" s="169"/>
      <c r="I46" s="169"/>
      <c r="J46" s="169"/>
      <c r="K46" s="170" t="b">
        <v>0</v>
      </c>
      <c r="L46" s="170" t="b">
        <v>0</v>
      </c>
      <c r="M46" s="170" t="b">
        <v>0</v>
      </c>
      <c r="N46" s="171" t="s">
        <v>1070</v>
      </c>
      <c r="O46" s="172" t="b">
        <v>0</v>
      </c>
      <c r="P46" s="173" t="b">
        <v>0</v>
      </c>
      <c r="Q46" s="173" t="b">
        <v>0</v>
      </c>
      <c r="R46" s="173" t="b">
        <v>0</v>
      </c>
      <c r="S46" s="174" t="b">
        <v>0</v>
      </c>
      <c r="T46" s="175" t="b">
        <v>0</v>
      </c>
      <c r="U46" s="173" t="b">
        <v>0</v>
      </c>
      <c r="V46" s="171" t="s">
        <v>1070</v>
      </c>
      <c r="W46" s="172" t="b">
        <v>0</v>
      </c>
      <c r="X46" s="173" t="b">
        <v>0</v>
      </c>
      <c r="Y46" s="173" t="b">
        <v>0</v>
      </c>
      <c r="Z46" s="173" t="b">
        <v>0</v>
      </c>
      <c r="AA46" s="174" t="b">
        <v>0</v>
      </c>
      <c r="AB46" s="174" t="b">
        <v>0</v>
      </c>
      <c r="AC46" s="175" t="b">
        <v>0</v>
      </c>
      <c r="AD46" s="173" t="b">
        <v>0</v>
      </c>
      <c r="AE46" s="176" t="s">
        <v>1070</v>
      </c>
      <c r="AF46" s="171" t="s">
        <v>1070</v>
      </c>
      <c r="AG46" s="177">
        <f>IFERROR(__xludf.DUMMYFUNCTION("IF(
  ISNUMBER(AG45),
  MIN(MAX(
    AG45
    + MAX(
      ROUNDDOWN(($D46 - MAX(IFERROR(FILTER($D$24:$D45, AG$24:AG45 &lt;&gt; AF$6, AG$23:AG44 = AF$6), 0))) * (60 * 60 * 24) / AF$9) - ROUNDDOWN(($D45 - MAX(IFERROR(FILTER($D$23:$D44, AG$23:AG44 &lt;&gt; AF$6, AG$22:"&amp;"AG43 = AF$6), 0))) * (60 * 60 * 24) / 60),
      0
    )
    - COUNTIF(AF46, ""&lt;&gt;-""),
  0), AF$6),
  AF$6 - COUNTIF(AF46, ""&lt;&gt;-"")
)"),2.0)</f>
        <v>2</v>
      </c>
      <c r="AH46" s="173" t="b">
        <v>0</v>
      </c>
      <c r="AI46" s="173" t="b">
        <v>0</v>
      </c>
      <c r="AJ46" s="173" t="b">
        <v>0</v>
      </c>
      <c r="AK46" s="174" t="b">
        <v>0</v>
      </c>
      <c r="AL46" s="175" t="b">
        <v>0</v>
      </c>
      <c r="AM46" s="173" t="b">
        <v>0</v>
      </c>
      <c r="AN46" s="171" t="s">
        <v>1070</v>
      </c>
      <c r="AO46" s="173" t="b">
        <v>0</v>
      </c>
      <c r="AP46" s="173" t="b">
        <v>0</v>
      </c>
      <c r="AQ46" s="173" t="b">
        <v>0</v>
      </c>
      <c r="AR46" s="174" t="b">
        <v>0</v>
      </c>
      <c r="AS46" s="178" t="b">
        <v>0</v>
      </c>
      <c r="AT46" s="179" t="b">
        <v>0</v>
      </c>
      <c r="AU46" s="180" t="b">
        <v>0</v>
      </c>
      <c r="AV46" s="180" t="b">
        <v>0</v>
      </c>
      <c r="AW46" s="180" t="b">
        <v>0</v>
      </c>
      <c r="AX46" s="180" t="b">
        <v>0</v>
      </c>
      <c r="AY46" s="181" t="s">
        <v>1070</v>
      </c>
      <c r="AZ46" s="181" t="s">
        <v>1070</v>
      </c>
      <c r="BA46" s="184">
        <f>IFERROR(__xludf.DUMMYFUNCTION("IF(
  ISNUMBER(BA45),
  MIN(MAX(
    BA45
    + MAX(
      ROUNDDOWN((D46 - MAX(IFERROR(FILTER(D$24:D45, BA$24:BA45 &lt;&gt; AZ$6, BA$23:BA44 = AZ$6), 0))) * (60 * 60 * 24) / AZ$9) - ROUNDDOWN((D45 - MAX(IFERROR(FILTER(D$23:D44, BA$23:BA44 &lt;&gt; AZ$6, BA$22:BA43 ="&amp;" AZ$6), 0))) * (60 * 60 * 24) / AZ$9),
      0
    )
    - COUNTIF(AZ46, ""&lt;&gt;-""),
  0), AZ$6),
  AZ$6 - COUNTIF(AZ46, ""&lt;&gt;-"")
)"),2.0)</f>
        <v>2</v>
      </c>
      <c r="BB46" s="181" t="s">
        <v>1070</v>
      </c>
      <c r="BC46" s="183">
        <f>IFERROR(__xludf.DUMMYFUNCTION("IF(
  ISNUMBER(BC45),
  MIN(MAX(
    BC45
    + MAX(
      ROUNDDOWN(($D46 - MAX(IFERROR(FILTER($D$24:$D45, BC$24:BC45 &lt;&gt; BB$6, BC$23:BC44 = BB$6), 0))) * (60 * 60 * 24) / BB$9) - ROUNDDOWN(($D45 - MAX(IFERROR(FILTER($D$23:$D44, BC$23:BC44 &lt;&gt; BB$6, BC$22:"&amp;"BC43 = BB$6), 0))) * (60 * 60 * 24) / 60),
      0
    )
    - COUNTIF(BB46, ""&lt;&gt;-""),
  0), BB$6),
  BB$6 - COUNTIF(BB46, ""&lt;&gt;-"")
)"),2.0)</f>
        <v>2</v>
      </c>
      <c r="BD46" s="181" t="s">
        <v>1070</v>
      </c>
      <c r="BE46" s="178" t="b">
        <v>0</v>
      </c>
      <c r="BF46" s="180" t="b">
        <v>0</v>
      </c>
      <c r="BG46" s="180" t="b">
        <v>0</v>
      </c>
      <c r="BH46" s="180" t="b">
        <v>0</v>
      </c>
      <c r="BI46" s="180" t="b">
        <v>0</v>
      </c>
      <c r="BJ46" s="180" t="b">
        <v>0</v>
      </c>
      <c r="BK46" s="180" t="b">
        <v>0</v>
      </c>
      <c r="BL46" s="180" t="b">
        <v>0</v>
      </c>
      <c r="BM46" s="180" t="b">
        <v>0</v>
      </c>
      <c r="BN46" s="180" t="b">
        <v>0</v>
      </c>
      <c r="BO46" s="181" t="s">
        <v>1070</v>
      </c>
      <c r="BP46" s="181" t="s">
        <v>1070</v>
      </c>
      <c r="BQ46" s="181" t="s">
        <v>1070</v>
      </c>
      <c r="BR46" s="181" t="s">
        <v>1070</v>
      </c>
      <c r="BS46" s="181" t="s">
        <v>1070</v>
      </c>
      <c r="BT46" s="184">
        <f>IFERROR(__xludf.DUMMYFUNCTION("IF(
  ISNUMBER(BT45),
  MIN(MAX(
    BT45
    + MAX(
      ROUNDDOWN((D46 - MAX(IFERROR(FILTER(D$24:D45, BT$24:BT45 &lt;&gt; BS$6, BT$23:BT44 = BS$6), 0))) * (60 * 60 * 24) / BS$9) - ROUNDDOWN((D45 - MAX(IFERROR(FILTER(D$23:D44, BT$23:BT44 &lt;&gt; BS$6, BT$22:BT43 ="&amp;" BS$6), 0))) * (60 * 60 * 24) / BS$9),
      0
    )
    - COUNTIF(BS46, ""&lt;&gt;-""),
  0), BS$6),
  BS$6 - COUNTIF(BS46, ""&lt;&gt;-"")
)"),3.0)</f>
        <v>3</v>
      </c>
      <c r="BU46" s="181" t="s">
        <v>1070</v>
      </c>
      <c r="BV46" s="181" t="s">
        <v>1070</v>
      </c>
      <c r="BW46" s="184">
        <f>IFERROR(__xludf.DUMMYFUNCTION("IF(
  ISNUMBER(BW45),
  MIN(MAX(
    BW45
    + MAX(
      ROUNDDOWN((D46 - MAX(IFERROR(FILTER(D$24:D45, BW$24:BW45 &lt;&gt; BV$6, BW$23:BW44 = BV$6), 0))) * (60 * 60 * 24) / BV$9) - ROUNDDOWN((D45 - MAX(IFERROR(FILTER(D$23:D44, BW$23:BW44 &lt;&gt; BV$6, BW$22:BW43 ="&amp;" BV$6), 0))) * (60 * 60 * 24) / BV$9),
      0
    )
    - COUNTIF(BV46, ""&lt;&gt;-""),
  0), BV$6),
  BV$6 - COUNTIF(BV46, ""&lt;&gt;-"")
)"),2.0)</f>
        <v>2</v>
      </c>
      <c r="BX46" s="185" t="s">
        <v>1070</v>
      </c>
      <c r="BY46" s="178" t="b">
        <v>0</v>
      </c>
      <c r="BZ46" s="180" t="b">
        <v>0</v>
      </c>
      <c r="CA46" s="180" t="b">
        <v>0</v>
      </c>
      <c r="CB46" s="180" t="b">
        <v>0</v>
      </c>
      <c r="CC46" s="180" t="b">
        <v>0</v>
      </c>
      <c r="CD46" s="180" t="b">
        <v>0</v>
      </c>
      <c r="CE46" s="180" t="b">
        <v>0</v>
      </c>
      <c r="CF46" s="180" t="b">
        <v>0</v>
      </c>
      <c r="CG46" s="180" t="b">
        <v>0</v>
      </c>
      <c r="CH46" s="180" t="b">
        <v>0</v>
      </c>
      <c r="CI46" s="180" t="b">
        <v>0</v>
      </c>
      <c r="CJ46" s="180" t="b">
        <v>0</v>
      </c>
      <c r="CK46" s="180" t="b">
        <v>0</v>
      </c>
      <c r="CL46" s="180" t="b">
        <v>0</v>
      </c>
      <c r="CM46" s="181" t="s">
        <v>1070</v>
      </c>
      <c r="CN46" s="181" t="s">
        <v>1070</v>
      </c>
      <c r="CO46" s="181" t="s">
        <v>1070</v>
      </c>
      <c r="CP46" s="181" t="s">
        <v>1070</v>
      </c>
      <c r="CQ46" s="185" t="s">
        <v>1070</v>
      </c>
      <c r="CR46" s="180" t="b">
        <v>0</v>
      </c>
      <c r="CS46" s="186" t="str">
        <f t="shared" si="14"/>
        <v>◇◇◇</v>
      </c>
      <c r="CT46" s="178" t="b">
        <v>0</v>
      </c>
      <c r="CU46" s="180" t="b">
        <v>0</v>
      </c>
      <c r="CV46" s="180" t="b">
        <v>0</v>
      </c>
      <c r="CW46" s="180" t="b">
        <v>0</v>
      </c>
      <c r="CX46" s="180" t="b">
        <v>0</v>
      </c>
      <c r="CY46" s="180" t="b">
        <v>0</v>
      </c>
      <c r="CZ46" s="180" t="b">
        <v>0</v>
      </c>
      <c r="DA46" s="180" t="b">
        <v>0</v>
      </c>
      <c r="DB46" s="180" t="b">
        <v>0</v>
      </c>
      <c r="DC46" s="180" t="b">
        <v>0</v>
      </c>
      <c r="DD46" s="181" t="s">
        <v>1070</v>
      </c>
      <c r="DE46" s="181" t="s">
        <v>1070</v>
      </c>
      <c r="DF46" s="181" t="s">
        <v>1070</v>
      </c>
      <c r="DG46" s="185" t="s">
        <v>1070</v>
      </c>
      <c r="DH46" s="180" t="b">
        <v>0</v>
      </c>
      <c r="DI46" s="187" t="str">
        <f>IFERROR(__xludf.DUMMYFUNCTION("SWITCH(
  IF(
    ISTEXT(DI45),
    IF (
      FIND(""○"", DI45&amp;""○"") &gt; 3,
      3,
      FIND(""○"", DI45&amp;""○"")
      + MAX(
        ROUNDDOWN(($D46 - MAX(IFERROR(FILTER(D$24:D45, DI$24:DI45 &lt;&gt; ""●●●"", DI$23:DI44 = ""●●●""), 0))) * (60 * 60 * 24) / 20"&amp;") - ROUNDDOWN(($D45 - MAX(IFERROR(FILTER(D$23:D44, DI$23:DI44 &lt;&gt; ""●●●"", DI$22:DI43 = ""●●●""), 0))) * (60 * 60 * 24) / 20),
        0
      ) - 1
    ) - COUNTIFS(CU46, ""=TRUE"", CU45, ""&lt;&gt;TRUE"") - COUNTIF(CZ46, ""=TRUE"") - COUNTIF({DD46,DE46}, ""&lt;&gt;-"&amp;""") + COUNTIF(DH46, ""=TRUE""),
    3
  ),
  0, ""○○○"", 1, ""●○○"", 2, ""●●○"", 3, ""●●●"", 4, ""●●●"", ""○○○""
)"),"●●●")</f>
        <v>●●●</v>
      </c>
      <c r="DJ46" s="188" t="b">
        <v>0</v>
      </c>
      <c r="DK46" s="189" t="b">
        <v>0</v>
      </c>
      <c r="DL46" s="190" t="b">
        <v>0</v>
      </c>
      <c r="DM46" s="190" t="b">
        <v>0</v>
      </c>
      <c r="DN46" s="190" t="b">
        <v>0</v>
      </c>
      <c r="DO46" s="190" t="b">
        <v>0</v>
      </c>
      <c r="DP46" s="190" t="b">
        <v>0</v>
      </c>
      <c r="DQ46" s="191" t="b">
        <v>0</v>
      </c>
      <c r="DR46" s="192" t="b">
        <v>0</v>
      </c>
      <c r="DS46" s="191" t="b">
        <v>0</v>
      </c>
      <c r="DT46" s="192" t="b">
        <v>0</v>
      </c>
      <c r="DU46" s="191" t="b">
        <v>0</v>
      </c>
      <c r="DV46" s="193" t="s">
        <v>1070</v>
      </c>
      <c r="DW46" s="194" t="b">
        <v>0</v>
      </c>
      <c r="DX46" s="194" t="b">
        <v>0</v>
      </c>
      <c r="DY46" s="195" t="b">
        <v>0</v>
      </c>
      <c r="DZ46" s="196" t="b">
        <v>0</v>
      </c>
      <c r="EA46" s="195" t="b">
        <v>0</v>
      </c>
      <c r="EB46" s="197" t="b">
        <v>0</v>
      </c>
      <c r="EC46" s="197" t="b">
        <v>0</v>
      </c>
      <c r="ED46" s="212" t="b">
        <v>0</v>
      </c>
      <c r="EE46" s="199">
        <f>IFERROR(__xludf.DUMMYFUNCTION("IFERROR(
   PRODUCT(
     MAP(
       INDEX(TRANSPOSE(UNIQUE(TRANSPOSE(FILTER({IF($F46=""Physical"", K$10:ED$10, IF($F46=""Magic"", K$11:ED$11, K$12:ED$12));K$4:ED$4;K46:ED46}, K46:ED46=TRUE)))), 1, 0),
       INDEX(TRANSPOSE(UNIQUE(TRANSPOSE(FILTER({IF($"&amp;"F46=""Physical"", K$18:ED$18, IF($F46=""Magic"", K$19:ED$19, K$20:ED$20));K$4:ED$4;K46:ED46}, K46:ED46=TRUE)))), 1, 0),
       INDEX(TRANSPOSE(UNIQUE(TRANSPOSE(FILTER({K$5:ED$5;K$4:ED$4;K46:ED46}, K46:ED46=TRUE)))), 1, 0),
       INDEX(TRANSPOSE(UNIQUE(TR"&amp;"ANSPOSE(FILTER({K$17:ED$17;K$4:ED$4;K46:ED46}, K46:ED46=TRUE)))), 1, 0),
       LAMBDA(
         mitigation,
         enhance,
         assign,
         precondition,
         IF(
           REGEXMATCH(assign, ""RANGE_PARTY|SINGLE_ENEMY|RANGE_ENEMY""),
  "&amp;"         IF(
             OR(ARRAYFORMULA((IF(precondition="""", FALSE, REGEXMATCH(K$4:ED$4, precondition))) * (K46:ED46=TRUE))),
             IF(ISNUMBER(enhance), enhance, 1),
             IF(ISNUMBER(mitigation), mitigation, 1)
           ),
          "&amp;" 1
         )
       )
     )
   ),
   1
 )"),1.0)</f>
        <v>1</v>
      </c>
      <c r="EF46" s="200">
        <f>IFERROR(__xludf.DUMMYFUNCTION("PRODUCT(
   MAP(
     K$14:ED$14,
     K$13:ED$13,
     K46:ED46,
     LAMBDA(
       buff,
       target,
       check,
       IF(
         AND(check=TRUE, REGEXMATCH(target, ""RANGE_AFFECTED_ALL|RANGE_EFFECTED_ALL""), ISNUMBER(buff)),
         buff,
   "&amp;"      1
       )
     )
   )
 )"),1.0)</f>
        <v>1</v>
      </c>
      <c r="EG46" s="200">
        <f>IFERROR(__xludf.DUMMYFUNCTION("PRODUCT(
   MAP(
     K$14:ED$14,
     K$13:ED$13,
     K46:ED46,
     LAMBDA(
       buff,
       target,
       check,
       IF(
         AND(check=TRUE, REGEXMATCH(target, ""RANGE_AFFECTED_GCD|RANGE_EFFECTED_GCD""), ISNUMBER(buff)),
         buff,
   "&amp;"      1
       )
     )
   )
 )"),1.0)</f>
        <v>1</v>
      </c>
      <c r="EH46" s="200">
        <f>IFERROR(__xludf.DUMMYFUNCTION("PRODUCT(
   MAP(
     K$3:ED$3,
     K$14:ED$14,
     K$13:ED$13,
     K46:ED46,
     LAMBDA(
       job,
       buff,
       target,
       check,
       IF(
         AND(check=TRUE, REGEXMATCH(target, ""SELF_EFFECTED_ALL""), ISNUMBER(buff), job=""白魔道士"""&amp;"),
         buff,
         1
       )
     )
   )
 )"),1.0)</f>
        <v>1</v>
      </c>
      <c r="EI46" s="200">
        <f>IFERROR(__xludf.DUMMYFUNCTION("PRODUCT(
   MAP(
     K$3:ED$3,
     K$14:ED$14,
     K$13:ED$13,
     K46:ED46,
     LAMBDA(
       job,
       buff,
       target,
       check,
       IF(
         AND(check=TRUE, REGEXMATCH(target, ""SELF_EFFECTED_GCD""), ISNUMBER(buff), job=""白魔道士"""&amp;"),
         buff,
         1
       )
     )
   )
 )"),1.0)</f>
        <v>1</v>
      </c>
      <c r="EJ46" s="200">
        <f>IFERROR(__xludf.DUMMYFUNCTION("PRODUCT(
   MAP(
     K$3:ED$3,
     K$14:ED$14,
     K$13:ED$13,
     K46:ED46,
     LAMBDA(
       job,
       buff,
       target,
       check,
       IF(
         AND(check=TRUE, REGEXMATCH(target, ""SELF_EFFECTED_ALL""), ISNUMBER(buff), job=""占星術師"""&amp;"),
         buff,
         1
       )
     )
   )
 )"),1.0)</f>
        <v>1</v>
      </c>
      <c r="EK46" s="200">
        <f>IFERROR(__xludf.DUMMYFUNCTION("PRODUCT(
   MAP(
     K$3:ED$3,
     K$14:ED$14,
     K$13:ED$13,
     K46:ED46,
     LAMBDA(
       job,
       buff,
       target,
       check,
       IF(
         AND(check=TRUE, REGEXMATCH(target, ""SELF_EFFECTED_GCD""), ISNUMBER(buff), job=""占星術師"""&amp;"),
         buff,
         1
       )
     )
   )
 )"),1.0)</f>
        <v>1</v>
      </c>
      <c r="EL46" s="200">
        <f>IFERROR(__xludf.DUMMYFUNCTION("PRODUCT(
   MAP(
     K$3:ED$3,
     K$14:ED$14,
     K$13:ED$13,
     K46:ED46,
     LAMBDA(
       job,
       buff,
       target,
       check,
       IF(
         AND(check=TRUE, REGEXMATCH(target, ""SELF_EFFECTED_ALL""), ISNUMBER(buff), job=""学者""),"&amp;"
         buff,
         1
       )
     )
   )
 )"),1.0)</f>
        <v>1</v>
      </c>
      <c r="EM46" s="200">
        <f>IFERROR(__xludf.DUMMYFUNCTION("PRODUCT(
   MAP(
     K$3:ED$3,
     K$14:ED$14,
     K$13:ED$13,
     K46:ED46,
     LAMBDA(
       job,
       buff,
       target,
       check,
       IF(
         AND(check=TRUE, REGEXMATCH(target, ""SELF_EFFECTED_GCD""), ISNUMBER(buff), job=""学者""),"&amp;"
         buff,
         1
       )
     )
   )
 )"),1.0)</f>
        <v>1</v>
      </c>
      <c r="EN46" s="200">
        <f>IFERROR(__xludf.DUMMYFUNCTION("PRODUCT(
   MAP(
     K$3:ED$3,
     K$14:ED$14,
     K$13:ED$13,
     K46:ED46,
     LAMBDA(
       job,
       buff,
       target,
       check,
       IF(
         AND(check=TRUE, REGEXMATCH(target, ""SELF_EFFECTED_ALL""), ISNUMBER(buff), job=""賢者""),"&amp;"
         buff,
         1
       )
     )
   )
 )"),1.0)</f>
        <v>1</v>
      </c>
      <c r="EO46" s="200">
        <f>IFERROR(__xludf.DUMMYFUNCTION("PRODUCT(
   MAP(
     K$3:ED$3,
     K$14:ED$14,
     K$13:ED$13,
     K46:ED46,
     LAMBDA(
       job,
       buff,
       target,
       check,
       IF(
         AND(check=TRUE, REGEXMATCH(target, ""SELF_EFFECTED_GCD""), ISNUMBER(buff), job=""賢者""),"&amp;"
         buff,
         1
       )
     )
   )
 )"),1.0)</f>
        <v>1</v>
      </c>
      <c r="EP46" s="201">
        <f t="shared" si="3"/>
        <v>0</v>
      </c>
      <c r="EQ46" s="201">
        <f>IFERROR(__xludf.DUMMYFUNCTION("SUM(
   MAP(
     K$4:ED$4,
     K$3:ED$3,
     K$7:ED$7,
     K$15:ED$15,
     K$16:ED$16,
     K$21:ED$21,
     K$5:ED$5,
     K$17:ED$17,
     K46:ED46,
     LAMBDA(
       name,
       job,
       abillity,
       buff,
       barrier,
       enhance,"&amp;"
       assign,
       precondition,
       check,
       SWITCH(
         name,
         ""シェイクオフ"", IF(check=TRUE, buff + (0.02 * COUNTIF(ARRAYFORMULA((REGEXMATCH($K$4:$ED$4, ""スリル・オブ・バトル|ヴェンジェンス|原初の血気|ダムネーション"")) * (K46:ED46=TRUE)), 1)), 0),
         "&amp;"""インプロビゼーションフィニッシュ(踊りの激情0)"", IF(ISNUMBER(check), INDEX(Skill!$AJ:$AJ, MATCH(SUBSTITUTE(DV$4, 0, check), Skill!$C:$C, 0)), 0),
         IF(
           AND(check=TRUE, REGEXMATCH(assign, ""RANGE_PARTY"")),
           IF(
             OR(ARRAYFORMULA((IF(pr"&amp;"econdition="""", FALSE, REGEXMATCH($K$4:$ED$4, precondition))) * (K46:ED46=TRUE))),
             enhance,
             IF(barrier="""", buff, barrier)
           ),
           0
         )
       ) *
       SWITCH(
         job,
         ""ナイト"", EY$24,
 "&amp;"        ""戦士"", FD$24,
         ""踊り子"", ET$24,
         ""ピクトマンサー"", ET$24,
         ""白魔道士"", EF46 * EH46 * IF(abillity, 1, EG46 * EI46) * (Option!$D$22 * 0.81 / 100),
         ""占星術師"", EF46 * EJ46 * IF(abillity, 1, EG46 * EK46) * (Option!$D$23 * 0.81 "&amp;"/ 100),
         ""学者"", EF46 * EL46 * IF(abillity, 1, EG46 * EM46) * (Option!$D$24 * 0.81 / 100),
         ""賢者"", EF46 * EN46 * IF(abillity, 1, EG46 * EO46) * (Option!$D$25 * 0.81 / 100),
         1
       )
     )
   )
 )"),0.0)</f>
        <v>0</v>
      </c>
      <c r="ER46" s="202">
        <f t="shared" si="4"/>
        <v>0</v>
      </c>
      <c r="ES46" s="203">
        <f t="shared" si="5"/>
        <v>0</v>
      </c>
      <c r="ET46" s="231" t="str">
        <f>IFERROR(__xludf.DUMMYFUNCTION("IFS(
  EP46 &gt; $ET$24 + EQ46,
  SPARKLINE({ 1, 0 }, {""charttype"",""bar"";""max"", 1;""color1"",Option!$D$30;""color2"",Option!$D$30}),
  EP46 &lt; EQ46,
  SPARKLINE({EQ46 - EP46, $ET$24 - (EQ46 - EP46)}, {""charttype"",""bar"";""max"",$ET$24;""color1"",Opti"&amp;"on!$D$28;""color2"",Option!$D$29}),
  EP46 &gt;= EQ46,
  SPARKLINE({$ET$24 + EQ46 - EP46,EP46 - EQ46}, {""charttype"",""bar"";""max"",$ET$24;""color1"",Option!$D$29;""color2"",Option!$D$30})
)"),"")</f>
        <v/>
      </c>
      <c r="EU46" s="205">
        <f>IFERROR(__xludf.DUMMYFUNCTION("PRODUCT(
   MAP(
     IF($F46=""Physical"", K$10:ED$10, IF($F46=""Magic"", K$11:ED$11, K$12:ED$12)),
     IF($F46=""Physical"", K$18:ED$18, IF($F46=""Magic"", K$19:ED$19, K$20:ED$20)),
     K$3:ED$3,
     K$5:ED$5,
     K$17:ED$17,
     K46:ED46,
     LAM"&amp;"BDA(
       mitigation,
       enhance,
       job,
       assign,
       precondition,
       check,
       IF(
         OR(AND(check=TRUE, REGEXMATCH(assign, ""SELF""), job=""ナイト""), AND(check=Option!$E$13, REGEXMATCH(assign, ""SINGLE_PARTY""))),
      "&amp;"   IF(
           OR(ARRAYFORMULA((IF(precondition="""", FALSE, REGEXMATCH($K$4:$ED$4, precondition))) * (K46:ED46=TRUE))),
           enhance,
           mitigation
         ),
         1
       )
     )
   )
 ) * EE46"),1.0)</f>
        <v>1</v>
      </c>
      <c r="EV46" s="206">
        <f t="shared" si="6"/>
        <v>0</v>
      </c>
      <c r="EW46" s="205">
        <f>IFERROR(__xludf.DUMMYFUNCTION("PRODUCT(
   MAP(
     K$3:ED$3,
     K$14:ED$14,
     K$13:ED$13,
     K46:ED46,
     LAMBDA(
       job,
       buff,
       target,
       check,
       IF(
         OR(AND(check=TRUE, REGEXMATCH(target, ""SELF_AFFECTED_ALL""), job=""ナイト""), AND(check=O"&amp;"ption!$E$13, REGEXMATCH(target, ""SINGLE_AFFECTED_ALL""))),
         buff,
         1
       )
     )
   )
 )"),1.0)</f>
        <v>1</v>
      </c>
      <c r="EX46" s="206">
        <f>IFERROR(__xludf.DUMMYFUNCTION("SUM(
   MAP(
     K$3:ED$3,
     K$7:ED$7,
     K$15:ED$15,
     K$16:ED$16,
     K$21:ED$21,
     K$5:ED$5,
     K$17:ED$17,
     K46:ED46,
     LAMBDA(
       job,
       abillity,
       buff,
       barrier,
       enhance,
       assign,
       preco"&amp;"ndition,
       check,
       IF(
         OR(AND(check=TRUE, REGEXMATCH(assign, ""SELF""), job=""ナイト""), AND(check=Option!$E$13, REGEXMATCH(assign, ""SINGLE_PARTY""))),
         IF(
           OR(ARRAYFORMULA((IF(precondition="""", FALSE, REGEXMATCH($K$4"&amp;":$ED$4, precondition))) * (K46:ED46=TRUE))),
           enhance,
           IF(barrier="""", buff, barrier)
         ),
         0
       ) *
       SWITCH(
         job,
         ""暗黒騎士"", EY$24,
         ""白魔道士"", EF46 * EH46 * EW46 * IF(abillity, 1, EG"&amp;"46 * EI46) * (Option!$D$22 * 0.81 / 100),
         ""占星術師"", EF46 * EJ46 * EW46 * IF(abillity, 1, EG46 * EK46) * (Option!$D$23 * 0.81 / 100),
         ""学者"", EF46 * EL46 * EW46 * IF(abillity, 1, EG46 * EM46) * (Option!$D$24 * 0.81 / 100),
         ""賢者"""&amp;", EF46 * EN46 * EW46 * IF(abillity, 1, EG46 * EO46) * (Option!$D$25 * 0.81 / 100),
         1
       )
     )
   )
 ) + EQ46"),0.0)</f>
        <v>0</v>
      </c>
      <c r="EY46" s="232">
        <f t="shared" si="7"/>
        <v>0</v>
      </c>
      <c r="EZ46" s="205">
        <f>IFERROR(__xludf.DUMMYFUNCTION("PRODUCT(
   MAP(
     IF($F46=""Physical"", K$10:ED$10, IF($F46=""Magic"", K$11:ED$11, K$12:ED$12)),
     IF($F46=""Physical"", K$18:ED$18, IF($F46=""Magic"", K$19:ED$19, K$20:ED$20)),
     K$3:ED$3,
     K$5:ED$5,
     K$17:ED$17,
     K46:ED46,
     LAM"&amp;"BDA(
       mitigation,
       enhance,
       job,
       assign,
       precondition,
       check,
       IF(
         OR(AND(check=TRUE, REGEXMATCH(assign, ""SELF""), job=""戦士""), AND(check=Option!$F$13, REGEXMATCH(assign, ""SINGLE_PARTY""))),
       "&amp;"  IF(
           OR(ARRAYFORMULA((IF(precondition="""", FALSE, REGEXMATCH($K$4:$ED$4, precondition))) * (K46:ED46=TRUE))),
           enhance,
           mitigation
         ),
         1
       )
     )
   )
 ) * EE46"),1.0)</f>
        <v>1</v>
      </c>
      <c r="FA46" s="206">
        <f t="shared" si="8"/>
        <v>0</v>
      </c>
      <c r="FB46" s="205">
        <f>IFERROR(__xludf.DUMMYFUNCTION("PRODUCT(
   MAP(
     K$3:ED$3,
     K$14:ED$14,
     K$13:ED$13,
     K46:ED46,
     LAMBDA(
       job,
       buff,
       target,
       check,
       IF(
         OR(AND(check=TRUE, REGEXMATCH(target, ""SELF_AFFECTED_ALL""), job=""戦士""), AND(check=Op"&amp;"tion!$F$13, REGEXMATCH(target, ""SINGLE_AFFECTED_ALL""))),
         buff,
         1
       )
     )
   )
 )"),1.0)</f>
        <v>1</v>
      </c>
      <c r="FC46" s="206">
        <f>IFERROR(__xludf.DUMMYFUNCTION("SUM(
   MAP(
     K$3:ED$3,
     K$7:ED$7,
     K$15:ED$15,
     K$16:ED$16,
     K$21:ED$21,
     K$5:ED$5,
     K$17:ED$17,
     K46:ED46,
     LAMBDA(
       job,
       abillity,
       buff,
       barrier,
       enhance,
       assign,
       preco"&amp;"ndition,
       check,
       IF(
         OR(AND(check=TRUE, REGEXMATCH(assign, ""SELF""), job=""戦士""), AND(check=Option!$F$13, REGEXMATCH(assign, ""SINGLE_PARTY""))),
         IF(
           OR(ARRAYFORMULA((IF(precondition="""", FALSE, REGEXMATCH($K$4:"&amp;"$ED$4, precondition))) * (K46:ED46=TRUE))),
           enhance,
           IF(barrier="""", buff, barrier)
         ),
         0
       ) *
       SWITCH(
         job,
         ""暗黒騎士"", FD$24,
         ""白魔道士"", EF46 * EH46 * FB46 * IF(abillity, 1, EG4"&amp;"6 * EI46) * (Option!$D$22 * 0.81 / 100),
         ""占星術師"", EF46 * EJ46 * FFB46 * IF(abillity, 1, EG46 * EK46) * (Option!$D$23 * 0.81 / 100),
         ""学者"", EF46 * EL46 * FB46 * IF(abillity, 1, EG46 * EM46) * (Option!$D$24 * 0.81 / 100),
         ""賢者"""&amp;", EF46 * EN46 * FB46 * IF(abillity, 1, EG46 * EO46) * (Option!$D$25 * 0.81 / 100),
         1
       )
     )
   )
 ) + EQ46"),0.0)</f>
        <v>0</v>
      </c>
      <c r="FD46" s="206">
        <f t="shared" si="9"/>
        <v>0</v>
      </c>
      <c r="FE46" s="205">
        <f>IFERROR(__xludf.DUMMYFUNCTION("PRODUCT(
   MAP(
     IF($F46=""Physical"", K$10:ED$10, IF($F46=""Magic"", K$11:ED$11, K$12:ED$12)),
     IF($F46=""Physical"", K$18:ED$18, IF($F46=""Magic"", K$19:ED$19, K$20:ED$20)),
     K$3:ED$3,
     K$5:ED$5,
     K$17:ED$17,
     K46:ED46,
     LAM"&amp;"BDA(
       mitigation,
       enhance,
       job,
       assign,
       precondition,
       check,
       IF(
         OR(AND(check=TRUE, REGEXMATCH(assign, ""SELF""), job=""暗黒騎士""), AND(check=Option!$G$13, REGEXMATCH(assign, ""SINGLE_PARTY""))),
     "&amp;"    IF(
           OR(ARRAYFORMULA((IF(precondition="""", FALSE, REGEXMATCH($K$4:$ED$4, precondition))) * (K46:ED46=TRUE))),
           enhance,
           mitigation
         ),
         1
       )
     )
   )
 ) * EE46"),1.0)</f>
        <v>1</v>
      </c>
      <c r="FF46" s="206">
        <f t="shared" si="10"/>
        <v>0</v>
      </c>
      <c r="FG46" s="205">
        <f>IFERROR(__xludf.DUMMYFUNCTION("PRODUCT(
   MAP(
     K$3:ED$3,
     K$14:ED$14,
     K$13:ED$13,
     K46:ED46,
     LAMBDA(
       job,
       buff,
       target,
       check,
       IF(
         OR(AND(check=TRUE, REGEXMATCH(target, ""SELF_AFFECTED_ALL""), job=""暗黒騎士""), AND(check="&amp;"Option!$G$13, REGEXMATCH(target, ""SINGLE_AFFECTED_ALL""))),
         buff,
         1
       )
     )
   )
 )"),1.0)</f>
        <v>1</v>
      </c>
      <c r="FH46" s="206">
        <f>IFERROR(__xludf.DUMMYFUNCTION("SUM(
   MAP(
     K$3:ED$3,
     K$7:ED$7,
     K$15:ED$15,
     K$16:ED$16,
     K$21:ED$21,
     K$5:ED$5,
     K$17:ED$17,
     K46:ED46,
     LAMBDA(
       job,
       abillity,
       buff,
       barrier,
       enhance,
       assign,
       preco"&amp;"ndition,
       check,
       IF(
         OR(AND(check=TRUE, REGEXMATCH(assign, ""SELF""), job=""暗黒騎士""), AND(check=Option!$G$13, REGEXMATCH(assign, ""SINGLE_PARTY""))),
         IF(
           OR(ARRAYFORMULA((IF(precondition="""", FALSE, REGEXMATCH($K$"&amp;"4:$ED$4, precondition))) * (K46:ED46=TRUE))),
           enhance,
           IF(barrier="""", buff, barrier)
         ),
         0
       ) *
       SWITCH(
         job,
         ""暗黒騎士"", FI$24,
         ""白魔道士"", EF46 * EH46 * FG46 * IF(abillity, 1, E"&amp;"G46 * EI46) * (Option!$D$22 * 0.81 / 100),
         ""占星術師"", EF46 * EJ46 * FG46 * IF(abillity, 1, EG46 * EK46) * (Option!$D$23 * 0.81 / 100),
         ""学者"", EF46 * EL46 * FG46 * IF(abillity, 1, EG46 * EM46) * (Option!$D$24 * 0.81 / 100),
         ""賢者"&amp;""", EF46 * EN46 * FG46 * IF(abillity, 1, EG46 * EO46) * (Option!$D$25 * 0.81 / 100),
         1
       )
     )
   )
 ) + EQ46"),0.0)</f>
        <v>0</v>
      </c>
      <c r="FI46" s="206">
        <f t="shared" si="11"/>
        <v>0</v>
      </c>
      <c r="FJ46" s="205">
        <f>IFERROR(__xludf.DUMMYFUNCTION("PRODUCT(
   MAP(
     IF($F46=""Physical"", K$10:ED$10, IF($F46=""Magic"", K$11:ED$11, K$12:ED$12)),
     IF($F46=""Physical"", K$18:ED$18, IF($F46=""Magic"", K$19:ED$19, K$20:ED$20)),
     K$3:ED$3,
     K$5:ED$5,
     K$17:ED$17,
     K46:ED46,
     LAM"&amp;"BDA(
       mitigation,
       enhance,
       job,
       assign,
       precondition,
       check,
       IF(
         OR(AND(check=TRUE, REGEXMATCH(assign, ""SELF""), job=""ガンブレイカー""), AND(check=Option!$H$13, REGEXMATCH(assign, ""SINGLE_PARTY""))),
  "&amp;"       IF(
           OR(ARRAYFORMULA((IF(precondition="""", FALSE, REGEXMATCH($K$4:$ED$4, precondition))) * (K46:ED46=TRUE))),
           enhance,
           mitigation
         ),
         1
       )
     )
   )
 ) * EE46"),1.0)</f>
        <v>1</v>
      </c>
      <c r="FK46" s="206">
        <f t="shared" si="12"/>
        <v>0</v>
      </c>
      <c r="FL46" s="205">
        <f>IFERROR(__xludf.DUMMYFUNCTION("PRODUCT(
   MAP(
     K$3:ED$3,
     K$14:ED$14,
     K$13:ED$13,
     K46:ED46,
     LAMBDA(
       job,
       buff,
       target,
       check,
       IF(
         OR(AND(check=TRUE, REGEXMATCH(target, ""SELF_AFFECTED_ALL""), job=""ガンブレイカー""), AND(che"&amp;"ck=Option!$H$13, REGEXMATCH(target, ""SINGLE_AFFECTED_ALL""))),
         buff,
         1
       )
     )
   )
 )"),1.0)</f>
        <v>1</v>
      </c>
      <c r="FM46" s="206">
        <f>IFERROR(__xludf.DUMMYFUNCTION("SUM(
   MAP(
     K$3:ED$3,
     K$7:ED$7,
     K$15:ED$15,
     K$16:ED$16,
     K$21:ED$21,
     K$5:ED$5,
     K$17:ED$17,
     K46:ED46,
     LAMBDA(
       job,
       abillity,
       buff,
       barrier,
       enhance,
       assign,
       preco"&amp;"ndition,
       check,
       IF(
         OR(AND(check=TRUE, REGEXMATCH(assign, ""SELF""), job=""ガンブレイカー""), AND(check=Option!$H$13, REGEXMATCH(assign, ""SINGLE_PARTY""))),
         IF(
           OR(ARRAYFORMULA((IF(precondition="""", FALSE, REGEXMATCH("&amp;"$K$4:$ED$4, precondition))) * (K46:ED46=TRUE))),
           enhance,
           IF(barrier="""", buff, barrier)
         ),
         0
       ) *
       SWITCH(
         job,
         ""暗黒騎士"", FN$24,
         ""白魔道士"", EF46 * EH46 * FL46 * IF(abillity, 1"&amp;", EG46 * EI46) * (Option!$D$22 * 0.81 / 100),
         ""占星術師"", EF46 * EJ46 * FL46 * IF(abillity, 1, EG46 * EK46) * (Option!$D$23 * 0.81 / 100),
         ""学者"", EF46 * EL46 * FL46 * IF(abillity, 1, EG46 * EM46) * (Option!$D$24 * 0.81 / 100),
         """&amp;"賢者"", EF46 * EN46 * FL46 * IF(abillity, 1, EG46 * EO46) * (Option!$D$25 * 0.81 / 100),
         1
       )
     )
   )
 ) + EQ46"),0.0)</f>
        <v>0</v>
      </c>
      <c r="FN46" s="206">
        <f t="shared" si="13"/>
        <v>0</v>
      </c>
      <c r="FO46" s="213"/>
    </row>
    <row r="47">
      <c r="B47" s="229"/>
      <c r="C47" s="217">
        <f t="shared" si="1"/>
        <v>0</v>
      </c>
      <c r="D47" s="236"/>
      <c r="E47" s="238"/>
      <c r="F47" s="167"/>
      <c r="G47" s="168" t="str">
        <f t="shared" si="2"/>
        <v/>
      </c>
      <c r="H47" s="169"/>
      <c r="I47" s="169"/>
      <c r="J47" s="169"/>
      <c r="K47" s="170" t="b">
        <v>0</v>
      </c>
      <c r="L47" s="170" t="b">
        <v>0</v>
      </c>
      <c r="M47" s="170" t="b">
        <v>0</v>
      </c>
      <c r="N47" s="171" t="s">
        <v>1070</v>
      </c>
      <c r="O47" s="172" t="b">
        <v>0</v>
      </c>
      <c r="P47" s="173" t="b">
        <v>0</v>
      </c>
      <c r="Q47" s="173" t="b">
        <v>0</v>
      </c>
      <c r="R47" s="173" t="b">
        <v>0</v>
      </c>
      <c r="S47" s="174" t="b">
        <v>0</v>
      </c>
      <c r="T47" s="175" t="b">
        <v>0</v>
      </c>
      <c r="U47" s="173" t="b">
        <v>0</v>
      </c>
      <c r="V47" s="171" t="s">
        <v>1070</v>
      </c>
      <c r="W47" s="172" t="b">
        <v>0</v>
      </c>
      <c r="X47" s="173" t="b">
        <v>0</v>
      </c>
      <c r="Y47" s="173" t="b">
        <v>0</v>
      </c>
      <c r="Z47" s="173" t="b">
        <v>0</v>
      </c>
      <c r="AA47" s="174" t="b">
        <v>0</v>
      </c>
      <c r="AB47" s="174" t="b">
        <v>0</v>
      </c>
      <c r="AC47" s="175" t="b">
        <v>0</v>
      </c>
      <c r="AD47" s="173" t="b">
        <v>0</v>
      </c>
      <c r="AE47" s="176" t="s">
        <v>1070</v>
      </c>
      <c r="AF47" s="171" t="s">
        <v>1070</v>
      </c>
      <c r="AG47" s="177">
        <f>IFERROR(__xludf.DUMMYFUNCTION("IF(
  ISNUMBER(AG46),
  MIN(MAX(
    AG46
    + MAX(
      ROUNDDOWN(($D47 - MAX(IFERROR(FILTER($D$24:$D46, AG$24:AG46 &lt;&gt; AF$6, AG$23:AG45 = AF$6), 0))) * (60 * 60 * 24) / AF$9) - ROUNDDOWN(($D46 - MAX(IFERROR(FILTER($D$23:$D45, AG$23:AG45 &lt;&gt; AF$6, AG$22:"&amp;"AG44 = AF$6), 0))) * (60 * 60 * 24) / 60),
      0
    )
    - COUNTIF(AF47, ""&lt;&gt;-""),
  0), AF$6),
  AF$6 - COUNTIF(AF47, ""&lt;&gt;-"")
)"),2.0)</f>
        <v>2</v>
      </c>
      <c r="AH47" s="173" t="b">
        <v>0</v>
      </c>
      <c r="AI47" s="173" t="b">
        <v>0</v>
      </c>
      <c r="AJ47" s="173" t="b">
        <v>0</v>
      </c>
      <c r="AK47" s="174" t="b">
        <v>0</v>
      </c>
      <c r="AL47" s="175" t="b">
        <v>0</v>
      </c>
      <c r="AM47" s="173" t="b">
        <v>0</v>
      </c>
      <c r="AN47" s="171" t="s">
        <v>1070</v>
      </c>
      <c r="AO47" s="173" t="b">
        <v>0</v>
      </c>
      <c r="AP47" s="173" t="b">
        <v>0</v>
      </c>
      <c r="AQ47" s="173" t="b">
        <v>0</v>
      </c>
      <c r="AR47" s="174" t="b">
        <v>0</v>
      </c>
      <c r="AS47" s="178" t="b">
        <v>0</v>
      </c>
      <c r="AT47" s="179" t="b">
        <v>0</v>
      </c>
      <c r="AU47" s="180" t="b">
        <v>0</v>
      </c>
      <c r="AV47" s="180" t="b">
        <v>0</v>
      </c>
      <c r="AW47" s="180" t="b">
        <v>0</v>
      </c>
      <c r="AX47" s="180" t="b">
        <v>0</v>
      </c>
      <c r="AY47" s="181" t="s">
        <v>1070</v>
      </c>
      <c r="AZ47" s="181" t="s">
        <v>1070</v>
      </c>
      <c r="BA47" s="184">
        <f>IFERROR(__xludf.DUMMYFUNCTION("IF(
  ISNUMBER(BA46),
  MIN(MAX(
    BA46
    + MAX(
      ROUNDDOWN((D47 - MAX(IFERROR(FILTER(D$24:D46, BA$24:BA46 &lt;&gt; AZ$6, BA$23:BA45 = AZ$6), 0))) * (60 * 60 * 24) / AZ$9) - ROUNDDOWN((D46 - MAX(IFERROR(FILTER(D$23:D45, BA$23:BA45 &lt;&gt; AZ$6, BA$22:BA44 ="&amp;" AZ$6), 0))) * (60 * 60 * 24) / AZ$9),
      0
    )
    - COUNTIF(AZ47, ""&lt;&gt;-""),
  0), AZ$6),
  AZ$6 - COUNTIF(AZ47, ""&lt;&gt;-"")
)"),2.0)</f>
        <v>2</v>
      </c>
      <c r="BB47" s="181" t="s">
        <v>1070</v>
      </c>
      <c r="BC47" s="183">
        <f>IFERROR(__xludf.DUMMYFUNCTION("IF(
  ISNUMBER(BC46),
  MIN(MAX(
    BC46
    + MAX(
      ROUNDDOWN(($D47 - MAX(IFERROR(FILTER($D$24:$D46, BC$24:BC46 &lt;&gt; BB$6, BC$23:BC45 = BB$6), 0))) * (60 * 60 * 24) / BB$9) - ROUNDDOWN(($D46 - MAX(IFERROR(FILTER($D$23:$D45, BC$23:BC45 &lt;&gt; BB$6, BC$22:"&amp;"BC44 = BB$6), 0))) * (60 * 60 * 24) / 60),
      0
    )
    - COUNTIF(BB47, ""&lt;&gt;-""),
  0), BB$6),
  BB$6 - COUNTIF(BB47, ""&lt;&gt;-"")
)"),2.0)</f>
        <v>2</v>
      </c>
      <c r="BD47" s="181" t="s">
        <v>1070</v>
      </c>
      <c r="BE47" s="178" t="b">
        <v>0</v>
      </c>
      <c r="BF47" s="180" t="b">
        <v>0</v>
      </c>
      <c r="BG47" s="180" t="b">
        <v>0</v>
      </c>
      <c r="BH47" s="180" t="b">
        <v>0</v>
      </c>
      <c r="BI47" s="180" t="b">
        <v>0</v>
      </c>
      <c r="BJ47" s="180" t="b">
        <v>0</v>
      </c>
      <c r="BK47" s="180" t="b">
        <v>0</v>
      </c>
      <c r="BL47" s="180" t="b">
        <v>0</v>
      </c>
      <c r="BM47" s="180" t="b">
        <v>0</v>
      </c>
      <c r="BN47" s="180" t="b">
        <v>0</v>
      </c>
      <c r="BO47" s="181" t="s">
        <v>1070</v>
      </c>
      <c r="BP47" s="181" t="s">
        <v>1070</v>
      </c>
      <c r="BQ47" s="181" t="s">
        <v>1070</v>
      </c>
      <c r="BR47" s="181" t="s">
        <v>1070</v>
      </c>
      <c r="BS47" s="181" t="s">
        <v>1070</v>
      </c>
      <c r="BT47" s="184">
        <f>IFERROR(__xludf.DUMMYFUNCTION("IF(
  ISNUMBER(BT46),
  MIN(MAX(
    BT46
    + MAX(
      ROUNDDOWN((D47 - MAX(IFERROR(FILTER(D$24:D46, BT$24:BT46 &lt;&gt; BS$6, BT$23:BT45 = BS$6), 0))) * (60 * 60 * 24) / BS$9) - ROUNDDOWN((D46 - MAX(IFERROR(FILTER(D$23:D45, BT$23:BT45 &lt;&gt; BS$6, BT$22:BT44 ="&amp;" BS$6), 0))) * (60 * 60 * 24) / BS$9),
      0
    )
    - COUNTIF(BS47, ""&lt;&gt;-""),
  0), BS$6),
  BS$6 - COUNTIF(BS47, ""&lt;&gt;-"")
)"),3.0)</f>
        <v>3</v>
      </c>
      <c r="BU47" s="181" t="s">
        <v>1070</v>
      </c>
      <c r="BV47" s="181" t="s">
        <v>1070</v>
      </c>
      <c r="BW47" s="184">
        <f>IFERROR(__xludf.DUMMYFUNCTION("IF(
  ISNUMBER(BW46),
  MIN(MAX(
    BW46
    + MAX(
      ROUNDDOWN((D47 - MAX(IFERROR(FILTER(D$24:D46, BW$24:BW46 &lt;&gt; BV$6, BW$23:BW45 = BV$6), 0))) * (60 * 60 * 24) / BV$9) - ROUNDDOWN((D46 - MAX(IFERROR(FILTER(D$23:D45, BW$23:BW45 &lt;&gt; BV$6, BW$22:BW44 ="&amp;" BV$6), 0))) * (60 * 60 * 24) / BV$9),
      0
    )
    - COUNTIF(BV47, ""&lt;&gt;-""),
  0), BV$6),
  BV$6 - COUNTIF(BV47, ""&lt;&gt;-"")
)"),2.0)</f>
        <v>2</v>
      </c>
      <c r="BX47" s="185" t="s">
        <v>1070</v>
      </c>
      <c r="BY47" s="178" t="b">
        <v>0</v>
      </c>
      <c r="BZ47" s="180" t="b">
        <v>0</v>
      </c>
      <c r="CA47" s="180" t="b">
        <v>0</v>
      </c>
      <c r="CB47" s="180" t="b">
        <v>0</v>
      </c>
      <c r="CC47" s="180" t="b">
        <v>0</v>
      </c>
      <c r="CD47" s="180" t="b">
        <v>0</v>
      </c>
      <c r="CE47" s="180" t="b">
        <v>0</v>
      </c>
      <c r="CF47" s="180" t="b">
        <v>0</v>
      </c>
      <c r="CG47" s="180" t="b">
        <v>0</v>
      </c>
      <c r="CH47" s="180" t="b">
        <v>0</v>
      </c>
      <c r="CI47" s="180" t="b">
        <v>0</v>
      </c>
      <c r="CJ47" s="180" t="b">
        <v>0</v>
      </c>
      <c r="CK47" s="180" t="b">
        <v>0</v>
      </c>
      <c r="CL47" s="180" t="b">
        <v>0</v>
      </c>
      <c r="CM47" s="181" t="s">
        <v>1070</v>
      </c>
      <c r="CN47" s="181" t="s">
        <v>1070</v>
      </c>
      <c r="CO47" s="181" t="s">
        <v>1070</v>
      </c>
      <c r="CP47" s="181" t="s">
        <v>1070</v>
      </c>
      <c r="CQ47" s="185" t="s">
        <v>1070</v>
      </c>
      <c r="CR47" s="180" t="b">
        <v>0</v>
      </c>
      <c r="CS47" s="186" t="str">
        <f t="shared" si="14"/>
        <v>◇◇◇</v>
      </c>
      <c r="CT47" s="178" t="b">
        <v>0</v>
      </c>
      <c r="CU47" s="180" t="b">
        <v>0</v>
      </c>
      <c r="CV47" s="180" t="b">
        <v>0</v>
      </c>
      <c r="CW47" s="180" t="b">
        <v>0</v>
      </c>
      <c r="CX47" s="180" t="b">
        <v>0</v>
      </c>
      <c r="CY47" s="180" t="b">
        <v>0</v>
      </c>
      <c r="CZ47" s="180" t="b">
        <v>0</v>
      </c>
      <c r="DA47" s="180" t="b">
        <v>0</v>
      </c>
      <c r="DB47" s="180" t="b">
        <v>0</v>
      </c>
      <c r="DC47" s="180" t="b">
        <v>0</v>
      </c>
      <c r="DD47" s="181" t="s">
        <v>1070</v>
      </c>
      <c r="DE47" s="181" t="s">
        <v>1070</v>
      </c>
      <c r="DF47" s="181" t="s">
        <v>1070</v>
      </c>
      <c r="DG47" s="185" t="s">
        <v>1070</v>
      </c>
      <c r="DH47" s="180" t="b">
        <v>0</v>
      </c>
      <c r="DI47" s="187" t="str">
        <f>IFERROR(__xludf.DUMMYFUNCTION("SWITCH(
  IF(
    ISTEXT(DI46),
    IF (
      FIND(""○"", DI46&amp;""○"") &gt; 3,
      3,
      FIND(""○"", DI46&amp;""○"")
      + MAX(
        ROUNDDOWN(($D47 - MAX(IFERROR(FILTER(D$24:D46, DI$24:DI46 &lt;&gt; ""●●●"", DI$23:DI45 = ""●●●""), 0))) * (60 * 60 * 24) / 20"&amp;") - ROUNDDOWN(($D46 - MAX(IFERROR(FILTER(D$23:D45, DI$23:DI45 &lt;&gt; ""●●●"", DI$22:DI44 = ""●●●""), 0))) * (60 * 60 * 24) / 20),
        0
      ) - 1
    ) - COUNTIFS(CU47, ""=TRUE"", CU46, ""&lt;&gt;TRUE"") - COUNTIF(CZ47, ""=TRUE"") - COUNTIF({DD47,DE47}, ""&lt;&gt;-"&amp;""") + COUNTIF(DH47, ""=TRUE""),
    3
  ),
  0, ""○○○"", 1, ""●○○"", 2, ""●●○"", 3, ""●●●"", 4, ""●●●"", ""○○○""
)"),"●●●")</f>
        <v>●●●</v>
      </c>
      <c r="DJ47" s="188" t="b">
        <v>0</v>
      </c>
      <c r="DK47" s="189" t="b">
        <v>0</v>
      </c>
      <c r="DL47" s="190" t="b">
        <v>0</v>
      </c>
      <c r="DM47" s="190" t="b">
        <v>0</v>
      </c>
      <c r="DN47" s="190" t="b">
        <v>0</v>
      </c>
      <c r="DO47" s="190" t="b">
        <v>0</v>
      </c>
      <c r="DP47" s="190" t="b">
        <v>0</v>
      </c>
      <c r="DQ47" s="191" t="b">
        <v>0</v>
      </c>
      <c r="DR47" s="192" t="b">
        <v>0</v>
      </c>
      <c r="DS47" s="191" t="b">
        <v>0</v>
      </c>
      <c r="DT47" s="192" t="b">
        <v>0</v>
      </c>
      <c r="DU47" s="191" t="b">
        <v>0</v>
      </c>
      <c r="DV47" s="193" t="s">
        <v>1070</v>
      </c>
      <c r="DW47" s="194" t="b">
        <v>0</v>
      </c>
      <c r="DX47" s="194" t="b">
        <v>0</v>
      </c>
      <c r="DY47" s="195" t="b">
        <v>0</v>
      </c>
      <c r="DZ47" s="196" t="b">
        <v>0</v>
      </c>
      <c r="EA47" s="195" t="b">
        <v>0</v>
      </c>
      <c r="EB47" s="197" t="b">
        <v>0</v>
      </c>
      <c r="EC47" s="197" t="b">
        <v>0</v>
      </c>
      <c r="ED47" s="212" t="b">
        <v>0</v>
      </c>
      <c r="EE47" s="199">
        <f>IFERROR(__xludf.DUMMYFUNCTION("IFERROR(
   PRODUCT(
     MAP(
       INDEX(TRANSPOSE(UNIQUE(TRANSPOSE(FILTER({IF($F47=""Physical"", K$10:ED$10, IF($F47=""Magic"", K$11:ED$11, K$12:ED$12));K$4:ED$4;K47:ED47}, K47:ED47=TRUE)))), 1, 0),
       INDEX(TRANSPOSE(UNIQUE(TRANSPOSE(FILTER({IF($"&amp;"F47=""Physical"", K$18:ED$18, IF($F47=""Magic"", K$19:ED$19, K$20:ED$20));K$4:ED$4;K47:ED47}, K47:ED47=TRUE)))), 1, 0),
       INDEX(TRANSPOSE(UNIQUE(TRANSPOSE(FILTER({K$5:ED$5;K$4:ED$4;K47:ED47}, K47:ED47=TRUE)))), 1, 0),
       INDEX(TRANSPOSE(UNIQUE(TR"&amp;"ANSPOSE(FILTER({K$17:ED$17;K$4:ED$4;K47:ED47}, K47:ED47=TRUE)))), 1, 0),
       LAMBDA(
         mitigation,
         enhance,
         assign,
         precondition,
         IF(
           REGEXMATCH(assign, ""RANGE_PARTY|SINGLE_ENEMY|RANGE_ENEMY""),
  "&amp;"         IF(
             OR(ARRAYFORMULA((IF(precondition="""", FALSE, REGEXMATCH(K$4:ED$4, precondition))) * (K47:ED47=TRUE))),
             IF(ISNUMBER(enhance), enhance, 1),
             IF(ISNUMBER(mitigation), mitigation, 1)
           ),
          "&amp;" 1
         )
       )
     )
   ),
   1
 )"),1.0)</f>
        <v>1</v>
      </c>
      <c r="EF47" s="200">
        <f>IFERROR(__xludf.DUMMYFUNCTION("PRODUCT(
   MAP(
     K$14:ED$14,
     K$13:ED$13,
     K47:ED47,
     LAMBDA(
       buff,
       target,
       check,
       IF(
         AND(check=TRUE, REGEXMATCH(target, ""RANGE_AFFECTED_ALL|RANGE_EFFECTED_ALL""), ISNUMBER(buff)),
         buff,
   "&amp;"      1
       )
     )
   )
 )"),1.0)</f>
        <v>1</v>
      </c>
      <c r="EG47" s="200">
        <f>IFERROR(__xludf.DUMMYFUNCTION("PRODUCT(
   MAP(
     K$14:ED$14,
     K$13:ED$13,
     K47:ED47,
     LAMBDA(
       buff,
       target,
       check,
       IF(
         AND(check=TRUE, REGEXMATCH(target, ""RANGE_AFFECTED_GCD|RANGE_EFFECTED_GCD""), ISNUMBER(buff)),
         buff,
   "&amp;"      1
       )
     )
   )
 )"),1.0)</f>
        <v>1</v>
      </c>
      <c r="EH47" s="200">
        <f>IFERROR(__xludf.DUMMYFUNCTION("PRODUCT(
   MAP(
     K$3:ED$3,
     K$14:ED$14,
     K$13:ED$13,
     K47:ED47,
     LAMBDA(
       job,
       buff,
       target,
       check,
       IF(
         AND(check=TRUE, REGEXMATCH(target, ""SELF_EFFECTED_ALL""), ISNUMBER(buff), job=""白魔道士"""&amp;"),
         buff,
         1
       )
     )
   )
 )"),1.0)</f>
        <v>1</v>
      </c>
      <c r="EI47" s="200">
        <f>IFERROR(__xludf.DUMMYFUNCTION("PRODUCT(
   MAP(
     K$3:ED$3,
     K$14:ED$14,
     K$13:ED$13,
     K47:ED47,
     LAMBDA(
       job,
       buff,
       target,
       check,
       IF(
         AND(check=TRUE, REGEXMATCH(target, ""SELF_EFFECTED_GCD""), ISNUMBER(buff), job=""白魔道士"""&amp;"),
         buff,
         1
       )
     )
   )
 )"),1.0)</f>
        <v>1</v>
      </c>
      <c r="EJ47" s="200">
        <f>IFERROR(__xludf.DUMMYFUNCTION("PRODUCT(
   MAP(
     K$3:ED$3,
     K$14:ED$14,
     K$13:ED$13,
     K47:ED47,
     LAMBDA(
       job,
       buff,
       target,
       check,
       IF(
         AND(check=TRUE, REGEXMATCH(target, ""SELF_EFFECTED_ALL""), ISNUMBER(buff), job=""占星術師"""&amp;"),
         buff,
         1
       )
     )
   )
 )"),1.0)</f>
        <v>1</v>
      </c>
      <c r="EK47" s="200">
        <f>IFERROR(__xludf.DUMMYFUNCTION("PRODUCT(
   MAP(
     K$3:ED$3,
     K$14:ED$14,
     K$13:ED$13,
     K47:ED47,
     LAMBDA(
       job,
       buff,
       target,
       check,
       IF(
         AND(check=TRUE, REGEXMATCH(target, ""SELF_EFFECTED_GCD""), ISNUMBER(buff), job=""占星術師"""&amp;"),
         buff,
         1
       )
     )
   )
 )"),1.0)</f>
        <v>1</v>
      </c>
      <c r="EL47" s="200">
        <f>IFERROR(__xludf.DUMMYFUNCTION("PRODUCT(
   MAP(
     K$3:ED$3,
     K$14:ED$14,
     K$13:ED$13,
     K47:ED47,
     LAMBDA(
       job,
       buff,
       target,
       check,
       IF(
         AND(check=TRUE, REGEXMATCH(target, ""SELF_EFFECTED_ALL""), ISNUMBER(buff), job=""学者""),"&amp;"
         buff,
         1
       )
     )
   )
 )"),1.0)</f>
        <v>1</v>
      </c>
      <c r="EM47" s="200">
        <f>IFERROR(__xludf.DUMMYFUNCTION("PRODUCT(
   MAP(
     K$3:ED$3,
     K$14:ED$14,
     K$13:ED$13,
     K47:ED47,
     LAMBDA(
       job,
       buff,
       target,
       check,
       IF(
         AND(check=TRUE, REGEXMATCH(target, ""SELF_EFFECTED_GCD""), ISNUMBER(buff), job=""学者""),"&amp;"
         buff,
         1
       )
     )
   )
 )"),1.0)</f>
        <v>1</v>
      </c>
      <c r="EN47" s="200">
        <f>IFERROR(__xludf.DUMMYFUNCTION("PRODUCT(
   MAP(
     K$3:ED$3,
     K$14:ED$14,
     K$13:ED$13,
     K47:ED47,
     LAMBDA(
       job,
       buff,
       target,
       check,
       IF(
         AND(check=TRUE, REGEXMATCH(target, ""SELF_EFFECTED_ALL""), ISNUMBER(buff), job=""賢者""),"&amp;"
         buff,
         1
       )
     )
   )
 )"),1.0)</f>
        <v>1</v>
      </c>
      <c r="EO47" s="200">
        <f>IFERROR(__xludf.DUMMYFUNCTION("PRODUCT(
   MAP(
     K$3:ED$3,
     K$14:ED$14,
     K$13:ED$13,
     K47:ED47,
     LAMBDA(
       job,
       buff,
       target,
       check,
       IF(
         AND(check=TRUE, REGEXMATCH(target, ""SELF_EFFECTED_GCD""), ISNUMBER(buff), job=""賢者""),"&amp;"
         buff,
         1
       )
     )
   )
 )"),1.0)</f>
        <v>1</v>
      </c>
      <c r="EP47" s="201">
        <f t="shared" si="3"/>
        <v>0</v>
      </c>
      <c r="EQ47" s="201">
        <f>IFERROR(__xludf.DUMMYFUNCTION("SUM(
   MAP(
     K$4:ED$4,
     K$3:ED$3,
     K$7:ED$7,
     K$15:ED$15,
     K$16:ED$16,
     K$21:ED$21,
     K$5:ED$5,
     K$17:ED$17,
     K47:ED47,
     LAMBDA(
       name,
       job,
       abillity,
       buff,
       barrier,
       enhance,"&amp;"
       assign,
       precondition,
       check,
       SWITCH(
         name,
         ""シェイクオフ"", IF(check=TRUE, buff + (0.02 * COUNTIF(ARRAYFORMULA((REGEXMATCH($K$4:$ED$4, ""スリル・オブ・バトル|ヴェンジェンス|原初の血気|ダムネーション"")) * (K47:ED47=TRUE)), 1)), 0),
         "&amp;"""インプロビゼーションフィニッシュ(踊りの激情0)"", IF(ISNUMBER(check), INDEX(Skill!$AJ:$AJ, MATCH(SUBSTITUTE(DV$4, 0, check), Skill!$C:$C, 0)), 0),
         IF(
           AND(check=TRUE, REGEXMATCH(assign, ""RANGE_PARTY"")),
           IF(
             OR(ARRAYFORMULA((IF(pr"&amp;"econdition="""", FALSE, REGEXMATCH($K$4:$ED$4, precondition))) * (K47:ED47=TRUE))),
             enhance,
             IF(barrier="""", buff, barrier)
           ),
           0
         )
       ) *
       SWITCH(
         job,
         ""ナイト"", EY$24,
 "&amp;"        ""戦士"", FD$24,
         ""踊り子"", ET$24,
         ""ピクトマンサー"", ET$24,
         ""白魔道士"", EF47 * EH47 * IF(abillity, 1, EG47 * EI47) * (Option!$D$22 * 0.81 / 100),
         ""占星術師"", EF47 * EJ47 * IF(abillity, 1, EG47 * EK47) * (Option!$D$23 * 0.81 "&amp;"/ 100),
         ""学者"", EF47 * EL47 * IF(abillity, 1, EG47 * EM47) * (Option!$D$24 * 0.81 / 100),
         ""賢者"", EF47 * EN47 * IF(abillity, 1, EG47 * EO47) * (Option!$D$25 * 0.81 / 100),
         1
       )
     )
   )
 )"),0.0)</f>
        <v>0</v>
      </c>
      <c r="ER47" s="202">
        <f t="shared" si="4"/>
        <v>0</v>
      </c>
      <c r="ES47" s="203">
        <f t="shared" si="5"/>
        <v>0</v>
      </c>
      <c r="ET47" s="231" t="str">
        <f>IFERROR(__xludf.DUMMYFUNCTION("IFS(
  EP47 &gt; $ET$24 + EQ47,
  SPARKLINE({ 1, 0 }, {""charttype"",""bar"";""max"", 1;""color1"",Option!$D$30;""color2"",Option!$D$30}),
  EP47 &lt; EQ47,
  SPARKLINE({EQ47 - EP47, $ET$24 - (EQ47 - EP47)}, {""charttype"",""bar"";""max"",$ET$24;""color1"",Opti"&amp;"on!$D$28;""color2"",Option!$D$29}),
  EP47 &gt;= EQ47,
  SPARKLINE({$ET$24 + EQ47 - EP47,EP47 - EQ47}, {""charttype"",""bar"";""max"",$ET$24;""color1"",Option!$D$29;""color2"",Option!$D$30})
)"),"")</f>
        <v/>
      </c>
      <c r="EU47" s="205">
        <f>IFERROR(__xludf.DUMMYFUNCTION("PRODUCT(
   MAP(
     IF($F47=""Physical"", K$10:ED$10, IF($F47=""Magic"", K$11:ED$11, K$12:ED$12)),
     IF($F47=""Physical"", K$18:ED$18, IF($F47=""Magic"", K$19:ED$19, K$20:ED$20)),
     K$3:ED$3,
     K$5:ED$5,
     K$17:ED$17,
     K47:ED47,
     LAM"&amp;"BDA(
       mitigation,
       enhance,
       job,
       assign,
       precondition,
       check,
       IF(
         OR(AND(check=TRUE, REGEXMATCH(assign, ""SELF""), job=""ナイト""), AND(check=Option!$E$13, REGEXMATCH(assign, ""SINGLE_PARTY""))),
      "&amp;"   IF(
           OR(ARRAYFORMULA((IF(precondition="""", FALSE, REGEXMATCH($K$4:$ED$4, precondition))) * (K47:ED47=TRUE))),
           enhance,
           mitigation
         ),
         1
       )
     )
   )
 ) * EE47"),1.0)</f>
        <v>1</v>
      </c>
      <c r="EV47" s="206">
        <f t="shared" si="6"/>
        <v>0</v>
      </c>
      <c r="EW47" s="205">
        <f>IFERROR(__xludf.DUMMYFUNCTION("PRODUCT(
   MAP(
     K$3:ED$3,
     K$14:ED$14,
     K$13:ED$13,
     K47:ED47,
     LAMBDA(
       job,
       buff,
       target,
       check,
       IF(
         OR(AND(check=TRUE, REGEXMATCH(target, ""SELF_AFFECTED_ALL""), job=""ナイト""), AND(check=O"&amp;"ption!$E$13, REGEXMATCH(target, ""SINGLE_AFFECTED_ALL""))),
         buff,
         1
       )
     )
   )
 )"),1.0)</f>
        <v>1</v>
      </c>
      <c r="EX47" s="206">
        <f>IFERROR(__xludf.DUMMYFUNCTION("SUM(
   MAP(
     K$3:ED$3,
     K$7:ED$7,
     K$15:ED$15,
     K$16:ED$16,
     K$21:ED$21,
     K$5:ED$5,
     K$17:ED$17,
     K47:ED47,
     LAMBDA(
       job,
       abillity,
       buff,
       barrier,
       enhance,
       assign,
       preco"&amp;"ndition,
       check,
       IF(
         OR(AND(check=TRUE, REGEXMATCH(assign, ""SELF""), job=""ナイト""), AND(check=Option!$E$13, REGEXMATCH(assign, ""SINGLE_PARTY""))),
         IF(
           OR(ARRAYFORMULA((IF(precondition="""", FALSE, REGEXMATCH($K$4"&amp;":$ED$4, precondition))) * (K47:ED47=TRUE))),
           enhance,
           IF(barrier="""", buff, barrier)
         ),
         0
       ) *
       SWITCH(
         job,
         ""暗黒騎士"", EY$24,
         ""白魔道士"", EF47 * EH47 * EW47 * IF(abillity, 1, EG"&amp;"47 * EI47) * (Option!$D$22 * 0.81 / 100),
         ""占星術師"", EF47 * EJ47 * EW47 * IF(abillity, 1, EG47 * EK47) * (Option!$D$23 * 0.81 / 100),
         ""学者"", EF47 * EL47 * EW47 * IF(abillity, 1, EG47 * EM47) * (Option!$D$24 * 0.81 / 100),
         ""賢者"""&amp;", EF47 * EN47 * EW47 * IF(abillity, 1, EG47 * EO47) * (Option!$D$25 * 0.81 / 100),
         1
       )
     )
   )
 ) + EQ47"),0.0)</f>
        <v>0</v>
      </c>
      <c r="EY47" s="232">
        <f t="shared" si="7"/>
        <v>0</v>
      </c>
      <c r="EZ47" s="205">
        <f>IFERROR(__xludf.DUMMYFUNCTION("PRODUCT(
   MAP(
     IF($F47=""Physical"", K$10:ED$10, IF($F47=""Magic"", K$11:ED$11, K$12:ED$12)),
     IF($F47=""Physical"", K$18:ED$18, IF($F47=""Magic"", K$19:ED$19, K$20:ED$20)),
     K$3:ED$3,
     K$5:ED$5,
     K$17:ED$17,
     K47:ED47,
     LAM"&amp;"BDA(
       mitigation,
       enhance,
       job,
       assign,
       precondition,
       check,
       IF(
         OR(AND(check=TRUE, REGEXMATCH(assign, ""SELF""), job=""戦士""), AND(check=Option!$F$13, REGEXMATCH(assign, ""SINGLE_PARTY""))),
       "&amp;"  IF(
           OR(ARRAYFORMULA((IF(precondition="""", FALSE, REGEXMATCH($K$4:$ED$4, precondition))) * (K47:ED47=TRUE))),
           enhance,
           mitigation
         ),
         1
       )
     )
   )
 ) * EE47"),1.0)</f>
        <v>1</v>
      </c>
      <c r="FA47" s="206">
        <f t="shared" si="8"/>
        <v>0</v>
      </c>
      <c r="FB47" s="205">
        <f>IFERROR(__xludf.DUMMYFUNCTION("PRODUCT(
   MAP(
     K$3:ED$3,
     K$14:ED$14,
     K$13:ED$13,
     K47:ED47,
     LAMBDA(
       job,
       buff,
       target,
       check,
       IF(
         OR(AND(check=TRUE, REGEXMATCH(target, ""SELF_AFFECTED_ALL""), job=""戦士""), AND(check=Op"&amp;"tion!$F$13, REGEXMATCH(target, ""SINGLE_AFFECTED_ALL""))),
         buff,
         1
       )
     )
   )
 )"),1.0)</f>
        <v>1</v>
      </c>
      <c r="FC47" s="206">
        <f>IFERROR(__xludf.DUMMYFUNCTION("SUM(
   MAP(
     K$3:ED$3,
     K$7:ED$7,
     K$15:ED$15,
     K$16:ED$16,
     K$21:ED$21,
     K$5:ED$5,
     K$17:ED$17,
     K47:ED47,
     LAMBDA(
       job,
       abillity,
       buff,
       barrier,
       enhance,
       assign,
       preco"&amp;"ndition,
       check,
       IF(
         OR(AND(check=TRUE, REGEXMATCH(assign, ""SELF""), job=""戦士""), AND(check=Option!$F$13, REGEXMATCH(assign, ""SINGLE_PARTY""))),
         IF(
           OR(ARRAYFORMULA((IF(precondition="""", FALSE, REGEXMATCH($K$4:"&amp;"$ED$4, precondition))) * (K47:ED47=TRUE))),
           enhance,
           IF(barrier="""", buff, barrier)
         ),
         0
       ) *
       SWITCH(
         job,
         ""暗黒騎士"", FD$24,
         ""白魔道士"", EF47 * EH47 * FB47 * IF(abillity, 1, EG4"&amp;"7 * EI47) * (Option!$D$22 * 0.81 / 100),
         ""占星術師"", EF47 * EJ47 * FFB47 * IF(abillity, 1, EG47 * EK47) * (Option!$D$23 * 0.81 / 100),
         ""学者"", EF47 * EL47 * FB47 * IF(abillity, 1, EG47 * EM47) * (Option!$D$24 * 0.81 / 100),
         ""賢者"""&amp;", EF47 * EN47 * FB47 * IF(abillity, 1, EG47 * EO47) * (Option!$D$25 * 0.81 / 100),
         1
       )
     )
   )
 ) + EQ47"),0.0)</f>
        <v>0</v>
      </c>
      <c r="FD47" s="206">
        <f t="shared" si="9"/>
        <v>0</v>
      </c>
      <c r="FE47" s="205">
        <f>IFERROR(__xludf.DUMMYFUNCTION("PRODUCT(
   MAP(
     IF($F47=""Physical"", K$10:ED$10, IF($F47=""Magic"", K$11:ED$11, K$12:ED$12)),
     IF($F47=""Physical"", K$18:ED$18, IF($F47=""Magic"", K$19:ED$19, K$20:ED$20)),
     K$3:ED$3,
     K$5:ED$5,
     K$17:ED$17,
     K47:ED47,
     LAM"&amp;"BDA(
       mitigation,
       enhance,
       job,
       assign,
       precondition,
       check,
       IF(
         OR(AND(check=TRUE, REGEXMATCH(assign, ""SELF""), job=""暗黒騎士""), AND(check=Option!$G$13, REGEXMATCH(assign, ""SINGLE_PARTY""))),
     "&amp;"    IF(
           OR(ARRAYFORMULA((IF(precondition="""", FALSE, REGEXMATCH($K$4:$ED$4, precondition))) * (K47:ED47=TRUE))),
           enhance,
           mitigation
         ),
         1
       )
     )
   )
 ) * EE47"),1.0)</f>
        <v>1</v>
      </c>
      <c r="FF47" s="206">
        <f t="shared" si="10"/>
        <v>0</v>
      </c>
      <c r="FG47" s="205">
        <f>IFERROR(__xludf.DUMMYFUNCTION("PRODUCT(
   MAP(
     K$3:ED$3,
     K$14:ED$14,
     K$13:ED$13,
     K47:ED47,
     LAMBDA(
       job,
       buff,
       target,
       check,
       IF(
         OR(AND(check=TRUE, REGEXMATCH(target, ""SELF_AFFECTED_ALL""), job=""暗黒騎士""), AND(check="&amp;"Option!$G$13, REGEXMATCH(target, ""SINGLE_AFFECTED_ALL""))),
         buff,
         1
       )
     )
   )
 )"),1.0)</f>
        <v>1</v>
      </c>
      <c r="FH47" s="206">
        <f>IFERROR(__xludf.DUMMYFUNCTION("SUM(
   MAP(
     K$3:ED$3,
     K$7:ED$7,
     K$15:ED$15,
     K$16:ED$16,
     K$21:ED$21,
     K$5:ED$5,
     K$17:ED$17,
     K47:ED47,
     LAMBDA(
       job,
       abillity,
       buff,
       barrier,
       enhance,
       assign,
       preco"&amp;"ndition,
       check,
       IF(
         OR(AND(check=TRUE, REGEXMATCH(assign, ""SELF""), job=""暗黒騎士""), AND(check=Option!$G$13, REGEXMATCH(assign, ""SINGLE_PARTY""))),
         IF(
           OR(ARRAYFORMULA((IF(precondition="""", FALSE, REGEXMATCH($K$"&amp;"4:$ED$4, precondition))) * (K47:ED47=TRUE))),
           enhance,
           IF(barrier="""", buff, barrier)
         ),
         0
       ) *
       SWITCH(
         job,
         ""暗黒騎士"", FI$24,
         ""白魔道士"", EF47 * EH47 * FG47 * IF(abillity, 1, E"&amp;"G47 * EI47) * (Option!$D$22 * 0.81 / 100),
         ""占星術師"", EF47 * EJ47 * FG47 * IF(abillity, 1, EG47 * EK47) * (Option!$D$23 * 0.81 / 100),
         ""学者"", EF47 * EL47 * FG47 * IF(abillity, 1, EG47 * EM47) * (Option!$D$24 * 0.81 / 100),
         ""賢者"&amp;""", EF47 * EN47 * FG47 * IF(abillity, 1, EG47 * EO47) * (Option!$D$25 * 0.81 / 100),
         1
       )
     )
   )
 ) + EQ47"),0.0)</f>
        <v>0</v>
      </c>
      <c r="FI47" s="206">
        <f t="shared" si="11"/>
        <v>0</v>
      </c>
      <c r="FJ47" s="205">
        <f>IFERROR(__xludf.DUMMYFUNCTION("PRODUCT(
   MAP(
     IF($F47=""Physical"", K$10:ED$10, IF($F47=""Magic"", K$11:ED$11, K$12:ED$12)),
     IF($F47=""Physical"", K$18:ED$18, IF($F47=""Magic"", K$19:ED$19, K$20:ED$20)),
     K$3:ED$3,
     K$5:ED$5,
     K$17:ED$17,
     K47:ED47,
     LAM"&amp;"BDA(
       mitigation,
       enhance,
       job,
       assign,
       precondition,
       check,
       IF(
         OR(AND(check=TRUE, REGEXMATCH(assign, ""SELF""), job=""ガンブレイカー""), AND(check=Option!$H$13, REGEXMATCH(assign, ""SINGLE_PARTY""))),
  "&amp;"       IF(
           OR(ARRAYFORMULA((IF(precondition="""", FALSE, REGEXMATCH($K$4:$ED$4, precondition))) * (K47:ED47=TRUE))),
           enhance,
           mitigation
         ),
         1
       )
     )
   )
 ) * EE47"),1.0)</f>
        <v>1</v>
      </c>
      <c r="FK47" s="206">
        <f t="shared" si="12"/>
        <v>0</v>
      </c>
      <c r="FL47" s="205">
        <f>IFERROR(__xludf.DUMMYFUNCTION("PRODUCT(
   MAP(
     K$3:ED$3,
     K$14:ED$14,
     K$13:ED$13,
     K47:ED47,
     LAMBDA(
       job,
       buff,
       target,
       check,
       IF(
         OR(AND(check=TRUE, REGEXMATCH(target, ""SELF_AFFECTED_ALL""), job=""ガンブレイカー""), AND(che"&amp;"ck=Option!$H$13, REGEXMATCH(target, ""SINGLE_AFFECTED_ALL""))),
         buff,
         1
       )
     )
   )
 )"),1.0)</f>
        <v>1</v>
      </c>
      <c r="FM47" s="206">
        <f>IFERROR(__xludf.DUMMYFUNCTION("SUM(
   MAP(
     K$3:ED$3,
     K$7:ED$7,
     K$15:ED$15,
     K$16:ED$16,
     K$21:ED$21,
     K$5:ED$5,
     K$17:ED$17,
     K47:ED47,
     LAMBDA(
       job,
       abillity,
       buff,
       barrier,
       enhance,
       assign,
       preco"&amp;"ndition,
       check,
       IF(
         OR(AND(check=TRUE, REGEXMATCH(assign, ""SELF""), job=""ガンブレイカー""), AND(check=Option!$H$13, REGEXMATCH(assign, ""SINGLE_PARTY""))),
         IF(
           OR(ARRAYFORMULA((IF(precondition="""", FALSE, REGEXMATCH("&amp;"$K$4:$ED$4, precondition))) * (K47:ED47=TRUE))),
           enhance,
           IF(barrier="""", buff, barrier)
         ),
         0
       ) *
       SWITCH(
         job,
         ""暗黒騎士"", FN$24,
         ""白魔道士"", EF47 * EH47 * FL47 * IF(abillity, 1"&amp;", EG47 * EI47) * (Option!$D$22 * 0.81 / 100),
         ""占星術師"", EF47 * EJ47 * FL47 * IF(abillity, 1, EG47 * EK47) * (Option!$D$23 * 0.81 / 100),
         ""学者"", EF47 * EL47 * FL47 * IF(abillity, 1, EG47 * EM47) * (Option!$D$24 * 0.81 / 100),
         """&amp;"賢者"", EF47 * EN47 * FL47 * IF(abillity, 1, EG47 * EO47) * (Option!$D$25 * 0.81 / 100),
         1
       )
     )
   )
 ) + EQ47"),0.0)</f>
        <v>0</v>
      </c>
      <c r="FN47" s="206">
        <f t="shared" si="13"/>
        <v>0</v>
      </c>
      <c r="FO47" s="213"/>
    </row>
    <row r="48">
      <c r="B48" s="229"/>
      <c r="C48" s="217">
        <f t="shared" si="1"/>
        <v>0</v>
      </c>
      <c r="D48" s="236"/>
      <c r="E48" s="238"/>
      <c r="F48" s="167"/>
      <c r="G48" s="168" t="str">
        <f t="shared" si="2"/>
        <v/>
      </c>
      <c r="H48" s="169"/>
      <c r="I48" s="169"/>
      <c r="J48" s="169"/>
      <c r="K48" s="170" t="b">
        <v>0</v>
      </c>
      <c r="L48" s="170" t="b">
        <v>0</v>
      </c>
      <c r="M48" s="170" t="b">
        <v>0</v>
      </c>
      <c r="N48" s="171" t="s">
        <v>1070</v>
      </c>
      <c r="O48" s="172" t="b">
        <v>0</v>
      </c>
      <c r="P48" s="173" t="b">
        <v>0</v>
      </c>
      <c r="Q48" s="173" t="b">
        <v>0</v>
      </c>
      <c r="R48" s="173" t="b">
        <v>0</v>
      </c>
      <c r="S48" s="174" t="b">
        <v>0</v>
      </c>
      <c r="T48" s="175" t="b">
        <v>0</v>
      </c>
      <c r="U48" s="173" t="b">
        <v>0</v>
      </c>
      <c r="V48" s="171" t="s">
        <v>1070</v>
      </c>
      <c r="W48" s="172" t="b">
        <v>0</v>
      </c>
      <c r="X48" s="173" t="b">
        <v>0</v>
      </c>
      <c r="Y48" s="173" t="b">
        <v>0</v>
      </c>
      <c r="Z48" s="173" t="b">
        <v>0</v>
      </c>
      <c r="AA48" s="174" t="b">
        <v>0</v>
      </c>
      <c r="AB48" s="174" t="b">
        <v>0</v>
      </c>
      <c r="AC48" s="175" t="b">
        <v>0</v>
      </c>
      <c r="AD48" s="173" t="b">
        <v>0</v>
      </c>
      <c r="AE48" s="176" t="s">
        <v>1070</v>
      </c>
      <c r="AF48" s="171" t="s">
        <v>1070</v>
      </c>
      <c r="AG48" s="177">
        <f>IFERROR(__xludf.DUMMYFUNCTION("IF(
  ISNUMBER(AG47),
  MIN(MAX(
    AG47
    + MAX(
      ROUNDDOWN(($D48 - MAX(IFERROR(FILTER($D$24:$D47, AG$24:AG47 &lt;&gt; AF$6, AG$23:AG46 = AF$6), 0))) * (60 * 60 * 24) / AF$9) - ROUNDDOWN(($D47 - MAX(IFERROR(FILTER($D$23:$D46, AG$23:AG46 &lt;&gt; AF$6, AG$22:"&amp;"AG45 = AF$6), 0))) * (60 * 60 * 24) / 60),
      0
    )
    - COUNTIF(AF48, ""&lt;&gt;-""),
  0), AF$6),
  AF$6 - COUNTIF(AF48, ""&lt;&gt;-"")
)"),2.0)</f>
        <v>2</v>
      </c>
      <c r="AH48" s="173" t="b">
        <v>0</v>
      </c>
      <c r="AI48" s="173" t="b">
        <v>0</v>
      </c>
      <c r="AJ48" s="173" t="b">
        <v>0</v>
      </c>
      <c r="AK48" s="174" t="b">
        <v>0</v>
      </c>
      <c r="AL48" s="175" t="b">
        <v>0</v>
      </c>
      <c r="AM48" s="173" t="b">
        <v>0</v>
      </c>
      <c r="AN48" s="171" t="s">
        <v>1070</v>
      </c>
      <c r="AO48" s="173" t="b">
        <v>0</v>
      </c>
      <c r="AP48" s="173" t="b">
        <v>0</v>
      </c>
      <c r="AQ48" s="173" t="b">
        <v>0</v>
      </c>
      <c r="AR48" s="174" t="b">
        <v>0</v>
      </c>
      <c r="AS48" s="178" t="b">
        <v>0</v>
      </c>
      <c r="AT48" s="179" t="b">
        <v>0</v>
      </c>
      <c r="AU48" s="180" t="b">
        <v>0</v>
      </c>
      <c r="AV48" s="180" t="b">
        <v>0</v>
      </c>
      <c r="AW48" s="180" t="b">
        <v>0</v>
      </c>
      <c r="AX48" s="180" t="b">
        <v>0</v>
      </c>
      <c r="AY48" s="181" t="s">
        <v>1070</v>
      </c>
      <c r="AZ48" s="181" t="s">
        <v>1070</v>
      </c>
      <c r="BA48" s="184">
        <f>IFERROR(__xludf.DUMMYFUNCTION("IF(
  ISNUMBER(BA47),
  MIN(MAX(
    BA47
    + MAX(
      ROUNDDOWN((D48 - MAX(IFERROR(FILTER(D$24:D47, BA$24:BA47 &lt;&gt; AZ$6, BA$23:BA46 = AZ$6), 0))) * (60 * 60 * 24) / AZ$9) - ROUNDDOWN((D47 - MAX(IFERROR(FILTER(D$23:D46, BA$23:BA46 &lt;&gt; AZ$6, BA$22:BA45 ="&amp;" AZ$6), 0))) * (60 * 60 * 24) / AZ$9),
      0
    )
    - COUNTIF(AZ48, ""&lt;&gt;-""),
  0), AZ$6),
  AZ$6 - COUNTIF(AZ48, ""&lt;&gt;-"")
)"),2.0)</f>
        <v>2</v>
      </c>
      <c r="BB48" s="181" t="s">
        <v>1070</v>
      </c>
      <c r="BC48" s="183">
        <f>IFERROR(__xludf.DUMMYFUNCTION("IF(
  ISNUMBER(BC47),
  MIN(MAX(
    BC47
    + MAX(
      ROUNDDOWN(($D48 - MAX(IFERROR(FILTER($D$24:$D47, BC$24:BC47 &lt;&gt; BB$6, BC$23:BC46 = BB$6), 0))) * (60 * 60 * 24) / BB$9) - ROUNDDOWN(($D47 - MAX(IFERROR(FILTER($D$23:$D46, BC$23:BC46 &lt;&gt; BB$6, BC$22:"&amp;"BC45 = BB$6), 0))) * (60 * 60 * 24) / 60),
      0
    )
    - COUNTIF(BB48, ""&lt;&gt;-""),
  0), BB$6),
  BB$6 - COUNTIF(BB48, ""&lt;&gt;-"")
)"),2.0)</f>
        <v>2</v>
      </c>
      <c r="BD48" s="181" t="s">
        <v>1070</v>
      </c>
      <c r="BE48" s="178" t="b">
        <v>0</v>
      </c>
      <c r="BF48" s="180" t="b">
        <v>0</v>
      </c>
      <c r="BG48" s="180" t="b">
        <v>0</v>
      </c>
      <c r="BH48" s="180" t="b">
        <v>0</v>
      </c>
      <c r="BI48" s="180" t="b">
        <v>0</v>
      </c>
      <c r="BJ48" s="180" t="b">
        <v>0</v>
      </c>
      <c r="BK48" s="180" t="b">
        <v>0</v>
      </c>
      <c r="BL48" s="180" t="b">
        <v>0</v>
      </c>
      <c r="BM48" s="180" t="b">
        <v>0</v>
      </c>
      <c r="BN48" s="180" t="b">
        <v>0</v>
      </c>
      <c r="BO48" s="181" t="s">
        <v>1070</v>
      </c>
      <c r="BP48" s="181" t="s">
        <v>1070</v>
      </c>
      <c r="BQ48" s="181" t="s">
        <v>1070</v>
      </c>
      <c r="BR48" s="181" t="s">
        <v>1070</v>
      </c>
      <c r="BS48" s="181" t="s">
        <v>1070</v>
      </c>
      <c r="BT48" s="184">
        <f>IFERROR(__xludf.DUMMYFUNCTION("IF(
  ISNUMBER(BT47),
  MIN(MAX(
    BT47
    + MAX(
      ROUNDDOWN((D48 - MAX(IFERROR(FILTER(D$24:D47, BT$24:BT47 &lt;&gt; BS$6, BT$23:BT46 = BS$6), 0))) * (60 * 60 * 24) / BS$9) - ROUNDDOWN((D47 - MAX(IFERROR(FILTER(D$23:D46, BT$23:BT46 &lt;&gt; BS$6, BT$22:BT45 ="&amp;" BS$6), 0))) * (60 * 60 * 24) / BS$9),
      0
    )
    - COUNTIF(BS48, ""&lt;&gt;-""),
  0), BS$6),
  BS$6 - COUNTIF(BS48, ""&lt;&gt;-"")
)"),3.0)</f>
        <v>3</v>
      </c>
      <c r="BU48" s="181" t="s">
        <v>1070</v>
      </c>
      <c r="BV48" s="181" t="s">
        <v>1070</v>
      </c>
      <c r="BW48" s="184">
        <f>IFERROR(__xludf.DUMMYFUNCTION("IF(
  ISNUMBER(BW47),
  MIN(MAX(
    BW47
    + MAX(
      ROUNDDOWN((D48 - MAX(IFERROR(FILTER(D$24:D47, BW$24:BW47 &lt;&gt; BV$6, BW$23:BW46 = BV$6), 0))) * (60 * 60 * 24) / BV$9) - ROUNDDOWN((D47 - MAX(IFERROR(FILTER(D$23:D46, BW$23:BW46 &lt;&gt; BV$6, BW$22:BW45 ="&amp;" BV$6), 0))) * (60 * 60 * 24) / BV$9),
      0
    )
    - COUNTIF(BV48, ""&lt;&gt;-""),
  0), BV$6),
  BV$6 - COUNTIF(BV48, ""&lt;&gt;-"")
)"),2.0)</f>
        <v>2</v>
      </c>
      <c r="BX48" s="185" t="s">
        <v>1070</v>
      </c>
      <c r="BY48" s="178" t="b">
        <v>0</v>
      </c>
      <c r="BZ48" s="180" t="b">
        <v>0</v>
      </c>
      <c r="CA48" s="180" t="b">
        <v>0</v>
      </c>
      <c r="CB48" s="180" t="b">
        <v>0</v>
      </c>
      <c r="CC48" s="180" t="b">
        <v>0</v>
      </c>
      <c r="CD48" s="180" t="b">
        <v>0</v>
      </c>
      <c r="CE48" s="180" t="b">
        <v>0</v>
      </c>
      <c r="CF48" s="180" t="b">
        <v>0</v>
      </c>
      <c r="CG48" s="180" t="b">
        <v>0</v>
      </c>
      <c r="CH48" s="180" t="b">
        <v>0</v>
      </c>
      <c r="CI48" s="180" t="b">
        <v>0</v>
      </c>
      <c r="CJ48" s="180" t="b">
        <v>0</v>
      </c>
      <c r="CK48" s="180" t="b">
        <v>0</v>
      </c>
      <c r="CL48" s="180" t="b">
        <v>0</v>
      </c>
      <c r="CM48" s="181" t="s">
        <v>1070</v>
      </c>
      <c r="CN48" s="181" t="s">
        <v>1070</v>
      </c>
      <c r="CO48" s="181" t="s">
        <v>1070</v>
      </c>
      <c r="CP48" s="181" t="s">
        <v>1070</v>
      </c>
      <c r="CQ48" s="185" t="s">
        <v>1070</v>
      </c>
      <c r="CR48" s="180" t="b">
        <v>0</v>
      </c>
      <c r="CS48" s="186" t="str">
        <f t="shared" si="14"/>
        <v>◇◇◇</v>
      </c>
      <c r="CT48" s="178" t="b">
        <v>0</v>
      </c>
      <c r="CU48" s="180" t="b">
        <v>0</v>
      </c>
      <c r="CV48" s="180" t="b">
        <v>0</v>
      </c>
      <c r="CW48" s="180" t="b">
        <v>0</v>
      </c>
      <c r="CX48" s="180" t="b">
        <v>0</v>
      </c>
      <c r="CY48" s="180" t="b">
        <v>0</v>
      </c>
      <c r="CZ48" s="180" t="b">
        <v>0</v>
      </c>
      <c r="DA48" s="180" t="b">
        <v>0</v>
      </c>
      <c r="DB48" s="180" t="b">
        <v>0</v>
      </c>
      <c r="DC48" s="180" t="b">
        <v>0</v>
      </c>
      <c r="DD48" s="181" t="s">
        <v>1070</v>
      </c>
      <c r="DE48" s="181" t="s">
        <v>1070</v>
      </c>
      <c r="DF48" s="181" t="s">
        <v>1070</v>
      </c>
      <c r="DG48" s="185" t="s">
        <v>1070</v>
      </c>
      <c r="DH48" s="180" t="b">
        <v>0</v>
      </c>
      <c r="DI48" s="187" t="str">
        <f>IFERROR(__xludf.DUMMYFUNCTION("SWITCH(
  IF(
    ISTEXT(DI47),
    IF (
      FIND(""○"", DI47&amp;""○"") &gt; 3,
      3,
      FIND(""○"", DI47&amp;""○"")
      + MAX(
        ROUNDDOWN(($D48 - MAX(IFERROR(FILTER(D$24:D47, DI$24:DI47 &lt;&gt; ""●●●"", DI$23:DI46 = ""●●●""), 0))) * (60 * 60 * 24) / 20"&amp;") - ROUNDDOWN(($D47 - MAX(IFERROR(FILTER(D$23:D46, DI$23:DI46 &lt;&gt; ""●●●"", DI$22:DI45 = ""●●●""), 0))) * (60 * 60 * 24) / 20),
        0
      ) - 1
    ) - COUNTIFS(CU48, ""=TRUE"", CU47, ""&lt;&gt;TRUE"") - COUNTIF(CZ48, ""=TRUE"") - COUNTIF({DD48,DE48}, ""&lt;&gt;-"&amp;""") + COUNTIF(DH48, ""=TRUE""),
    3
  ),
  0, ""○○○"", 1, ""●○○"", 2, ""●●○"", 3, ""●●●"", 4, ""●●●"", ""○○○""
)"),"●●●")</f>
        <v>●●●</v>
      </c>
      <c r="DJ48" s="188" t="b">
        <v>0</v>
      </c>
      <c r="DK48" s="189" t="b">
        <v>0</v>
      </c>
      <c r="DL48" s="190" t="b">
        <v>0</v>
      </c>
      <c r="DM48" s="190" t="b">
        <v>0</v>
      </c>
      <c r="DN48" s="190" t="b">
        <v>0</v>
      </c>
      <c r="DO48" s="190" t="b">
        <v>0</v>
      </c>
      <c r="DP48" s="190" t="b">
        <v>0</v>
      </c>
      <c r="DQ48" s="191" t="b">
        <v>0</v>
      </c>
      <c r="DR48" s="192" t="b">
        <v>0</v>
      </c>
      <c r="DS48" s="191" t="b">
        <v>0</v>
      </c>
      <c r="DT48" s="192" t="b">
        <v>0</v>
      </c>
      <c r="DU48" s="191" t="b">
        <v>0</v>
      </c>
      <c r="DV48" s="193" t="s">
        <v>1070</v>
      </c>
      <c r="DW48" s="194" t="b">
        <v>0</v>
      </c>
      <c r="DX48" s="194" t="b">
        <v>0</v>
      </c>
      <c r="DY48" s="195" t="b">
        <v>0</v>
      </c>
      <c r="DZ48" s="196" t="b">
        <v>0</v>
      </c>
      <c r="EA48" s="195" t="b">
        <v>0</v>
      </c>
      <c r="EB48" s="197" t="b">
        <v>0</v>
      </c>
      <c r="EC48" s="197" t="b">
        <v>0</v>
      </c>
      <c r="ED48" s="212" t="b">
        <v>0</v>
      </c>
      <c r="EE48" s="199">
        <f>IFERROR(__xludf.DUMMYFUNCTION("IFERROR(
   PRODUCT(
     MAP(
       INDEX(TRANSPOSE(UNIQUE(TRANSPOSE(FILTER({IF($F48=""Physical"", K$10:ED$10, IF($F48=""Magic"", K$11:ED$11, K$12:ED$12));K$4:ED$4;K48:ED48}, K48:ED48=TRUE)))), 1, 0),
       INDEX(TRANSPOSE(UNIQUE(TRANSPOSE(FILTER({IF($"&amp;"F48=""Physical"", K$18:ED$18, IF($F48=""Magic"", K$19:ED$19, K$20:ED$20));K$4:ED$4;K48:ED48}, K48:ED48=TRUE)))), 1, 0),
       INDEX(TRANSPOSE(UNIQUE(TRANSPOSE(FILTER({K$5:ED$5;K$4:ED$4;K48:ED48}, K48:ED48=TRUE)))), 1, 0),
       INDEX(TRANSPOSE(UNIQUE(TR"&amp;"ANSPOSE(FILTER({K$17:ED$17;K$4:ED$4;K48:ED48}, K48:ED48=TRUE)))), 1, 0),
       LAMBDA(
         mitigation,
         enhance,
         assign,
         precondition,
         IF(
           REGEXMATCH(assign, ""RANGE_PARTY|SINGLE_ENEMY|RANGE_ENEMY""),
  "&amp;"         IF(
             OR(ARRAYFORMULA((IF(precondition="""", FALSE, REGEXMATCH(K$4:ED$4, precondition))) * (K48:ED48=TRUE))),
             IF(ISNUMBER(enhance), enhance, 1),
             IF(ISNUMBER(mitigation), mitigation, 1)
           ),
          "&amp;" 1
         )
       )
     )
   ),
   1
 )"),1.0)</f>
        <v>1</v>
      </c>
      <c r="EF48" s="200">
        <f>IFERROR(__xludf.DUMMYFUNCTION("PRODUCT(
   MAP(
     K$14:ED$14,
     K$13:ED$13,
     K48:ED48,
     LAMBDA(
       buff,
       target,
       check,
       IF(
         AND(check=TRUE, REGEXMATCH(target, ""RANGE_AFFECTED_ALL|RANGE_EFFECTED_ALL""), ISNUMBER(buff)),
         buff,
   "&amp;"      1
       )
     )
   )
 )"),1.0)</f>
        <v>1</v>
      </c>
      <c r="EG48" s="200">
        <f>IFERROR(__xludf.DUMMYFUNCTION("PRODUCT(
   MAP(
     K$14:ED$14,
     K$13:ED$13,
     K48:ED48,
     LAMBDA(
       buff,
       target,
       check,
       IF(
         AND(check=TRUE, REGEXMATCH(target, ""RANGE_AFFECTED_GCD|RANGE_EFFECTED_GCD""), ISNUMBER(buff)),
         buff,
   "&amp;"      1
       )
     )
   )
 )"),1.0)</f>
        <v>1</v>
      </c>
      <c r="EH48" s="200">
        <f>IFERROR(__xludf.DUMMYFUNCTION("PRODUCT(
   MAP(
     K$3:ED$3,
     K$14:ED$14,
     K$13:ED$13,
     K48:ED48,
     LAMBDA(
       job,
       buff,
       target,
       check,
       IF(
         AND(check=TRUE, REGEXMATCH(target, ""SELF_EFFECTED_ALL""), ISNUMBER(buff), job=""白魔道士"""&amp;"),
         buff,
         1
       )
     )
   )
 )"),1.0)</f>
        <v>1</v>
      </c>
      <c r="EI48" s="200">
        <f>IFERROR(__xludf.DUMMYFUNCTION("PRODUCT(
   MAP(
     K$3:ED$3,
     K$14:ED$14,
     K$13:ED$13,
     K48:ED48,
     LAMBDA(
       job,
       buff,
       target,
       check,
       IF(
         AND(check=TRUE, REGEXMATCH(target, ""SELF_EFFECTED_GCD""), ISNUMBER(buff), job=""白魔道士"""&amp;"),
         buff,
         1
       )
     )
   )
 )"),1.0)</f>
        <v>1</v>
      </c>
      <c r="EJ48" s="200">
        <f>IFERROR(__xludf.DUMMYFUNCTION("PRODUCT(
   MAP(
     K$3:ED$3,
     K$14:ED$14,
     K$13:ED$13,
     K48:ED48,
     LAMBDA(
       job,
       buff,
       target,
       check,
       IF(
         AND(check=TRUE, REGEXMATCH(target, ""SELF_EFFECTED_ALL""), ISNUMBER(buff), job=""占星術師"""&amp;"),
         buff,
         1
       )
     )
   )
 )"),1.0)</f>
        <v>1</v>
      </c>
      <c r="EK48" s="200">
        <f>IFERROR(__xludf.DUMMYFUNCTION("PRODUCT(
   MAP(
     K$3:ED$3,
     K$14:ED$14,
     K$13:ED$13,
     K48:ED48,
     LAMBDA(
       job,
       buff,
       target,
       check,
       IF(
         AND(check=TRUE, REGEXMATCH(target, ""SELF_EFFECTED_GCD""), ISNUMBER(buff), job=""占星術師"""&amp;"),
         buff,
         1
       )
     )
   )
 )"),1.0)</f>
        <v>1</v>
      </c>
      <c r="EL48" s="200">
        <f>IFERROR(__xludf.DUMMYFUNCTION("PRODUCT(
   MAP(
     K$3:ED$3,
     K$14:ED$14,
     K$13:ED$13,
     K48:ED48,
     LAMBDA(
       job,
       buff,
       target,
       check,
       IF(
         AND(check=TRUE, REGEXMATCH(target, ""SELF_EFFECTED_ALL""), ISNUMBER(buff), job=""学者""),"&amp;"
         buff,
         1
       )
     )
   )
 )"),1.0)</f>
        <v>1</v>
      </c>
      <c r="EM48" s="200">
        <f>IFERROR(__xludf.DUMMYFUNCTION("PRODUCT(
   MAP(
     K$3:ED$3,
     K$14:ED$14,
     K$13:ED$13,
     K48:ED48,
     LAMBDA(
       job,
       buff,
       target,
       check,
       IF(
         AND(check=TRUE, REGEXMATCH(target, ""SELF_EFFECTED_GCD""), ISNUMBER(buff), job=""学者""),"&amp;"
         buff,
         1
       )
     )
   )
 )"),1.0)</f>
        <v>1</v>
      </c>
      <c r="EN48" s="200">
        <f>IFERROR(__xludf.DUMMYFUNCTION("PRODUCT(
   MAP(
     K$3:ED$3,
     K$14:ED$14,
     K$13:ED$13,
     K48:ED48,
     LAMBDA(
       job,
       buff,
       target,
       check,
       IF(
         AND(check=TRUE, REGEXMATCH(target, ""SELF_EFFECTED_ALL""), ISNUMBER(buff), job=""賢者""),"&amp;"
         buff,
         1
       )
     )
   )
 )"),1.0)</f>
        <v>1</v>
      </c>
      <c r="EO48" s="200">
        <f>IFERROR(__xludf.DUMMYFUNCTION("PRODUCT(
   MAP(
     K$3:ED$3,
     K$14:ED$14,
     K$13:ED$13,
     K48:ED48,
     LAMBDA(
       job,
       buff,
       target,
       check,
       IF(
         AND(check=TRUE, REGEXMATCH(target, ""SELF_EFFECTED_GCD""), ISNUMBER(buff), job=""賢者""),"&amp;"
         buff,
         1
       )
     )
   )
 )"),1.0)</f>
        <v>1</v>
      </c>
      <c r="EP48" s="201">
        <f t="shared" si="3"/>
        <v>0</v>
      </c>
      <c r="EQ48" s="201">
        <f>IFERROR(__xludf.DUMMYFUNCTION("SUM(
   MAP(
     K$4:ED$4,
     K$3:ED$3,
     K$7:ED$7,
     K$15:ED$15,
     K$16:ED$16,
     K$21:ED$21,
     K$5:ED$5,
     K$17:ED$17,
     K48:ED48,
     LAMBDA(
       name,
       job,
       abillity,
       buff,
       barrier,
       enhance,"&amp;"
       assign,
       precondition,
       check,
       SWITCH(
         name,
         ""シェイクオフ"", IF(check=TRUE, buff + (0.02 * COUNTIF(ARRAYFORMULA((REGEXMATCH($K$4:$ED$4, ""スリル・オブ・バトル|ヴェンジェンス|原初の血気|ダムネーション"")) * (K48:ED48=TRUE)), 1)), 0),
         "&amp;"""インプロビゼーションフィニッシュ(踊りの激情0)"", IF(ISNUMBER(check), INDEX(Skill!$AJ:$AJ, MATCH(SUBSTITUTE(DV$4, 0, check), Skill!$C:$C, 0)), 0),
         IF(
           AND(check=TRUE, REGEXMATCH(assign, ""RANGE_PARTY"")),
           IF(
             OR(ARRAYFORMULA((IF(pr"&amp;"econdition="""", FALSE, REGEXMATCH($K$4:$ED$4, precondition))) * (K48:ED48=TRUE))),
             enhance,
             IF(barrier="""", buff, barrier)
           ),
           0
         )
       ) *
       SWITCH(
         job,
         ""ナイト"", EY$24,
 "&amp;"        ""戦士"", FD$24,
         ""踊り子"", ET$24,
         ""ピクトマンサー"", ET$24,
         ""白魔道士"", EF48 * EH48 * IF(abillity, 1, EG48 * EI48) * (Option!$D$22 * 0.81 / 100),
         ""占星術師"", EF48 * EJ48 * IF(abillity, 1, EG48 * EK48) * (Option!$D$23 * 0.81 "&amp;"/ 100),
         ""学者"", EF48 * EL48 * IF(abillity, 1, EG48 * EM48) * (Option!$D$24 * 0.81 / 100),
         ""賢者"", EF48 * EN48 * IF(abillity, 1, EG48 * EO48) * (Option!$D$25 * 0.81 / 100),
         1
       )
     )
   )
 )"),0.0)</f>
        <v>0</v>
      </c>
      <c r="ER48" s="202">
        <f t="shared" si="4"/>
        <v>0</v>
      </c>
      <c r="ES48" s="203">
        <f t="shared" si="5"/>
        <v>0</v>
      </c>
      <c r="ET48" s="231" t="str">
        <f>IFERROR(__xludf.DUMMYFUNCTION("IFS(
  EP48 &gt; $ET$24 + EQ48,
  SPARKLINE({ 1, 0 }, {""charttype"",""bar"";""max"", 1;""color1"",Option!$D$30;""color2"",Option!$D$30}),
  EP48 &lt; EQ48,
  SPARKLINE({EQ48 - EP48, $ET$24 - (EQ48 - EP48)}, {""charttype"",""bar"";""max"",$ET$24;""color1"",Opti"&amp;"on!$D$28;""color2"",Option!$D$29}),
  EP48 &gt;= EQ48,
  SPARKLINE({$ET$24 + EQ48 - EP48,EP48 - EQ48}, {""charttype"",""bar"";""max"",$ET$24;""color1"",Option!$D$29;""color2"",Option!$D$30})
)"),"")</f>
        <v/>
      </c>
      <c r="EU48" s="205">
        <f>IFERROR(__xludf.DUMMYFUNCTION("PRODUCT(
   MAP(
     IF($F48=""Physical"", K$10:ED$10, IF($F48=""Magic"", K$11:ED$11, K$12:ED$12)),
     IF($F48=""Physical"", K$18:ED$18, IF($F48=""Magic"", K$19:ED$19, K$20:ED$20)),
     K$3:ED$3,
     K$5:ED$5,
     K$17:ED$17,
     K48:ED48,
     LAM"&amp;"BDA(
       mitigation,
       enhance,
       job,
       assign,
       precondition,
       check,
       IF(
         OR(AND(check=TRUE, REGEXMATCH(assign, ""SELF""), job=""ナイト""), AND(check=Option!$E$13, REGEXMATCH(assign, ""SINGLE_PARTY""))),
      "&amp;"   IF(
           OR(ARRAYFORMULA((IF(precondition="""", FALSE, REGEXMATCH($K$4:$ED$4, precondition))) * (K48:ED48=TRUE))),
           enhance,
           mitigation
         ),
         1
       )
     )
   )
 ) * EE48"),1.0)</f>
        <v>1</v>
      </c>
      <c r="EV48" s="206">
        <f t="shared" si="6"/>
        <v>0</v>
      </c>
      <c r="EW48" s="205">
        <f>IFERROR(__xludf.DUMMYFUNCTION("PRODUCT(
   MAP(
     K$3:ED$3,
     K$14:ED$14,
     K$13:ED$13,
     K48:ED48,
     LAMBDA(
       job,
       buff,
       target,
       check,
       IF(
         OR(AND(check=TRUE, REGEXMATCH(target, ""SELF_AFFECTED_ALL""), job=""ナイト""), AND(check=O"&amp;"ption!$E$13, REGEXMATCH(target, ""SINGLE_AFFECTED_ALL""))),
         buff,
         1
       )
     )
   )
 )"),1.0)</f>
        <v>1</v>
      </c>
      <c r="EX48" s="206">
        <f>IFERROR(__xludf.DUMMYFUNCTION("SUM(
   MAP(
     K$3:ED$3,
     K$7:ED$7,
     K$15:ED$15,
     K$16:ED$16,
     K$21:ED$21,
     K$5:ED$5,
     K$17:ED$17,
     K48:ED48,
     LAMBDA(
       job,
       abillity,
       buff,
       barrier,
       enhance,
       assign,
       preco"&amp;"ndition,
       check,
       IF(
         OR(AND(check=TRUE, REGEXMATCH(assign, ""SELF""), job=""ナイト""), AND(check=Option!$E$13, REGEXMATCH(assign, ""SINGLE_PARTY""))),
         IF(
           OR(ARRAYFORMULA((IF(precondition="""", FALSE, REGEXMATCH($K$4"&amp;":$ED$4, precondition))) * (K48:ED48=TRUE))),
           enhance,
           IF(barrier="""", buff, barrier)
         ),
         0
       ) *
       SWITCH(
         job,
         ""暗黒騎士"", EY$24,
         ""白魔道士"", EF48 * EH48 * EW48 * IF(abillity, 1, EG"&amp;"48 * EI48) * (Option!$D$22 * 0.81 / 100),
         ""占星術師"", EF48 * EJ48 * EW48 * IF(abillity, 1, EG48 * EK48) * (Option!$D$23 * 0.81 / 100),
         ""学者"", EF48 * EL48 * EW48 * IF(abillity, 1, EG48 * EM48) * (Option!$D$24 * 0.81 / 100),
         ""賢者"""&amp;", EF48 * EN48 * EW48 * IF(abillity, 1, EG48 * EO48) * (Option!$D$25 * 0.81 / 100),
         1
       )
     )
   )
 ) + EQ48"),0.0)</f>
        <v>0</v>
      </c>
      <c r="EY48" s="232">
        <f t="shared" si="7"/>
        <v>0</v>
      </c>
      <c r="EZ48" s="205">
        <f>IFERROR(__xludf.DUMMYFUNCTION("PRODUCT(
   MAP(
     IF($F48=""Physical"", K$10:ED$10, IF($F48=""Magic"", K$11:ED$11, K$12:ED$12)),
     IF($F48=""Physical"", K$18:ED$18, IF($F48=""Magic"", K$19:ED$19, K$20:ED$20)),
     K$3:ED$3,
     K$5:ED$5,
     K$17:ED$17,
     K48:ED48,
     LAM"&amp;"BDA(
       mitigation,
       enhance,
       job,
       assign,
       precondition,
       check,
       IF(
         OR(AND(check=TRUE, REGEXMATCH(assign, ""SELF""), job=""戦士""), AND(check=Option!$F$13, REGEXMATCH(assign, ""SINGLE_PARTY""))),
       "&amp;"  IF(
           OR(ARRAYFORMULA((IF(precondition="""", FALSE, REGEXMATCH($K$4:$ED$4, precondition))) * (K48:ED48=TRUE))),
           enhance,
           mitigation
         ),
         1
       )
     )
   )
 ) * EE48"),1.0)</f>
        <v>1</v>
      </c>
      <c r="FA48" s="206">
        <f t="shared" si="8"/>
        <v>0</v>
      </c>
      <c r="FB48" s="205">
        <f>IFERROR(__xludf.DUMMYFUNCTION("PRODUCT(
   MAP(
     K$3:ED$3,
     K$14:ED$14,
     K$13:ED$13,
     K48:ED48,
     LAMBDA(
       job,
       buff,
       target,
       check,
       IF(
         OR(AND(check=TRUE, REGEXMATCH(target, ""SELF_AFFECTED_ALL""), job=""戦士""), AND(check=Op"&amp;"tion!$F$13, REGEXMATCH(target, ""SINGLE_AFFECTED_ALL""))),
         buff,
         1
       )
     )
   )
 )"),1.0)</f>
        <v>1</v>
      </c>
      <c r="FC48" s="206">
        <f>IFERROR(__xludf.DUMMYFUNCTION("SUM(
   MAP(
     K$3:ED$3,
     K$7:ED$7,
     K$15:ED$15,
     K$16:ED$16,
     K$21:ED$21,
     K$5:ED$5,
     K$17:ED$17,
     K48:ED48,
     LAMBDA(
       job,
       abillity,
       buff,
       barrier,
       enhance,
       assign,
       preco"&amp;"ndition,
       check,
       IF(
         OR(AND(check=TRUE, REGEXMATCH(assign, ""SELF""), job=""戦士""), AND(check=Option!$F$13, REGEXMATCH(assign, ""SINGLE_PARTY""))),
         IF(
           OR(ARRAYFORMULA((IF(precondition="""", FALSE, REGEXMATCH($K$4:"&amp;"$ED$4, precondition))) * (K48:ED48=TRUE))),
           enhance,
           IF(barrier="""", buff, barrier)
         ),
         0
       ) *
       SWITCH(
         job,
         ""暗黒騎士"", FD$24,
         ""白魔道士"", EF48 * EH48 * FB48 * IF(abillity, 1, EG4"&amp;"8 * EI48) * (Option!$D$22 * 0.81 / 100),
         ""占星術師"", EF48 * EJ48 * FFB48 * IF(abillity, 1, EG48 * EK48) * (Option!$D$23 * 0.81 / 100),
         ""学者"", EF48 * EL48 * FB48 * IF(abillity, 1, EG48 * EM48) * (Option!$D$24 * 0.81 / 100),
         ""賢者"""&amp;", EF48 * EN48 * FB48 * IF(abillity, 1, EG48 * EO48) * (Option!$D$25 * 0.81 / 100),
         1
       )
     )
   )
 ) + EQ48"),0.0)</f>
        <v>0</v>
      </c>
      <c r="FD48" s="206">
        <f t="shared" si="9"/>
        <v>0</v>
      </c>
      <c r="FE48" s="205">
        <f>IFERROR(__xludf.DUMMYFUNCTION("PRODUCT(
   MAP(
     IF($F48=""Physical"", K$10:ED$10, IF($F48=""Magic"", K$11:ED$11, K$12:ED$12)),
     IF($F48=""Physical"", K$18:ED$18, IF($F48=""Magic"", K$19:ED$19, K$20:ED$20)),
     K$3:ED$3,
     K$5:ED$5,
     K$17:ED$17,
     K48:ED48,
     LAM"&amp;"BDA(
       mitigation,
       enhance,
       job,
       assign,
       precondition,
       check,
       IF(
         OR(AND(check=TRUE, REGEXMATCH(assign, ""SELF""), job=""暗黒騎士""), AND(check=Option!$G$13, REGEXMATCH(assign, ""SINGLE_PARTY""))),
     "&amp;"    IF(
           OR(ARRAYFORMULA((IF(precondition="""", FALSE, REGEXMATCH($K$4:$ED$4, precondition))) * (K48:ED48=TRUE))),
           enhance,
           mitigation
         ),
         1
       )
     )
   )
 ) * EE48"),1.0)</f>
        <v>1</v>
      </c>
      <c r="FF48" s="206">
        <f t="shared" si="10"/>
        <v>0</v>
      </c>
      <c r="FG48" s="205">
        <f>IFERROR(__xludf.DUMMYFUNCTION("PRODUCT(
   MAP(
     K$3:ED$3,
     K$14:ED$14,
     K$13:ED$13,
     K48:ED48,
     LAMBDA(
       job,
       buff,
       target,
       check,
       IF(
         OR(AND(check=TRUE, REGEXMATCH(target, ""SELF_AFFECTED_ALL""), job=""暗黒騎士""), AND(check="&amp;"Option!$G$13, REGEXMATCH(target, ""SINGLE_AFFECTED_ALL""))),
         buff,
         1
       )
     )
   )
 )"),1.0)</f>
        <v>1</v>
      </c>
      <c r="FH48" s="206">
        <f>IFERROR(__xludf.DUMMYFUNCTION("SUM(
   MAP(
     K$3:ED$3,
     K$7:ED$7,
     K$15:ED$15,
     K$16:ED$16,
     K$21:ED$21,
     K$5:ED$5,
     K$17:ED$17,
     K48:ED48,
     LAMBDA(
       job,
       abillity,
       buff,
       barrier,
       enhance,
       assign,
       preco"&amp;"ndition,
       check,
       IF(
         OR(AND(check=TRUE, REGEXMATCH(assign, ""SELF""), job=""暗黒騎士""), AND(check=Option!$G$13, REGEXMATCH(assign, ""SINGLE_PARTY""))),
         IF(
           OR(ARRAYFORMULA((IF(precondition="""", FALSE, REGEXMATCH($K$"&amp;"4:$ED$4, precondition))) * (K48:ED48=TRUE))),
           enhance,
           IF(barrier="""", buff, barrier)
         ),
         0
       ) *
       SWITCH(
         job,
         ""暗黒騎士"", FI$24,
         ""白魔道士"", EF48 * EH48 * FG48 * IF(abillity, 1, E"&amp;"G48 * EI48) * (Option!$D$22 * 0.81 / 100),
         ""占星術師"", EF48 * EJ48 * FG48 * IF(abillity, 1, EG48 * EK48) * (Option!$D$23 * 0.81 / 100),
         ""学者"", EF48 * EL48 * FG48 * IF(abillity, 1, EG48 * EM48) * (Option!$D$24 * 0.81 / 100),
         ""賢者"&amp;""", EF48 * EN48 * FG48 * IF(abillity, 1, EG48 * EO48) * (Option!$D$25 * 0.81 / 100),
         1
       )
     )
   )
 ) + EQ48"),0.0)</f>
        <v>0</v>
      </c>
      <c r="FI48" s="206">
        <f t="shared" si="11"/>
        <v>0</v>
      </c>
      <c r="FJ48" s="205">
        <f>IFERROR(__xludf.DUMMYFUNCTION("PRODUCT(
   MAP(
     IF($F48=""Physical"", K$10:ED$10, IF($F48=""Magic"", K$11:ED$11, K$12:ED$12)),
     IF($F48=""Physical"", K$18:ED$18, IF($F48=""Magic"", K$19:ED$19, K$20:ED$20)),
     K$3:ED$3,
     K$5:ED$5,
     K$17:ED$17,
     K48:ED48,
     LAM"&amp;"BDA(
       mitigation,
       enhance,
       job,
       assign,
       precondition,
       check,
       IF(
         OR(AND(check=TRUE, REGEXMATCH(assign, ""SELF""), job=""ガンブレイカー""), AND(check=Option!$H$13, REGEXMATCH(assign, ""SINGLE_PARTY""))),
  "&amp;"       IF(
           OR(ARRAYFORMULA((IF(precondition="""", FALSE, REGEXMATCH($K$4:$ED$4, precondition))) * (K48:ED48=TRUE))),
           enhance,
           mitigation
         ),
         1
       )
     )
   )
 ) * EE48"),1.0)</f>
        <v>1</v>
      </c>
      <c r="FK48" s="206">
        <f t="shared" si="12"/>
        <v>0</v>
      </c>
      <c r="FL48" s="205">
        <f>IFERROR(__xludf.DUMMYFUNCTION("PRODUCT(
   MAP(
     K$3:ED$3,
     K$14:ED$14,
     K$13:ED$13,
     K48:ED48,
     LAMBDA(
       job,
       buff,
       target,
       check,
       IF(
         OR(AND(check=TRUE, REGEXMATCH(target, ""SELF_AFFECTED_ALL""), job=""ガンブレイカー""), AND(che"&amp;"ck=Option!$H$13, REGEXMATCH(target, ""SINGLE_AFFECTED_ALL""))),
         buff,
         1
       )
     )
   )
 )"),1.0)</f>
        <v>1</v>
      </c>
      <c r="FM48" s="206">
        <f>IFERROR(__xludf.DUMMYFUNCTION("SUM(
   MAP(
     K$3:ED$3,
     K$7:ED$7,
     K$15:ED$15,
     K$16:ED$16,
     K$21:ED$21,
     K$5:ED$5,
     K$17:ED$17,
     K48:ED48,
     LAMBDA(
       job,
       abillity,
       buff,
       barrier,
       enhance,
       assign,
       preco"&amp;"ndition,
       check,
       IF(
         OR(AND(check=TRUE, REGEXMATCH(assign, ""SELF""), job=""ガンブレイカー""), AND(check=Option!$H$13, REGEXMATCH(assign, ""SINGLE_PARTY""))),
         IF(
           OR(ARRAYFORMULA((IF(precondition="""", FALSE, REGEXMATCH("&amp;"$K$4:$ED$4, precondition))) * (K48:ED48=TRUE))),
           enhance,
           IF(barrier="""", buff, barrier)
         ),
         0
       ) *
       SWITCH(
         job,
         ""暗黒騎士"", FN$24,
         ""白魔道士"", EF48 * EH48 * FL48 * IF(abillity, 1"&amp;", EG48 * EI48) * (Option!$D$22 * 0.81 / 100),
         ""占星術師"", EF48 * EJ48 * FL48 * IF(abillity, 1, EG48 * EK48) * (Option!$D$23 * 0.81 / 100),
         ""学者"", EF48 * EL48 * FL48 * IF(abillity, 1, EG48 * EM48) * (Option!$D$24 * 0.81 / 100),
         """&amp;"賢者"", EF48 * EN48 * FL48 * IF(abillity, 1, EG48 * EO48) * (Option!$D$25 * 0.81 / 100),
         1
       )
     )
   )
 ) + EQ48"),0.0)</f>
        <v>0</v>
      </c>
      <c r="FN48" s="206">
        <f t="shared" si="13"/>
        <v>0</v>
      </c>
      <c r="FO48" s="213"/>
    </row>
    <row r="49">
      <c r="B49" s="229"/>
      <c r="C49" s="217">
        <f t="shared" si="1"/>
        <v>0</v>
      </c>
      <c r="D49" s="236"/>
      <c r="E49" s="238"/>
      <c r="F49" s="167"/>
      <c r="G49" s="168" t="str">
        <f t="shared" si="2"/>
        <v/>
      </c>
      <c r="H49" s="169"/>
      <c r="I49" s="169"/>
      <c r="J49" s="169"/>
      <c r="K49" s="170" t="b">
        <v>0</v>
      </c>
      <c r="L49" s="170" t="b">
        <v>0</v>
      </c>
      <c r="M49" s="170" t="b">
        <v>0</v>
      </c>
      <c r="N49" s="171" t="s">
        <v>1070</v>
      </c>
      <c r="O49" s="172" t="b">
        <v>0</v>
      </c>
      <c r="P49" s="173" t="b">
        <v>0</v>
      </c>
      <c r="Q49" s="173" t="b">
        <v>0</v>
      </c>
      <c r="R49" s="173" t="b">
        <v>0</v>
      </c>
      <c r="S49" s="174" t="b">
        <v>0</v>
      </c>
      <c r="T49" s="175" t="b">
        <v>0</v>
      </c>
      <c r="U49" s="173" t="b">
        <v>0</v>
      </c>
      <c r="V49" s="171" t="s">
        <v>1070</v>
      </c>
      <c r="W49" s="172" t="b">
        <v>0</v>
      </c>
      <c r="X49" s="173" t="b">
        <v>0</v>
      </c>
      <c r="Y49" s="173" t="b">
        <v>0</v>
      </c>
      <c r="Z49" s="173" t="b">
        <v>0</v>
      </c>
      <c r="AA49" s="174" t="b">
        <v>0</v>
      </c>
      <c r="AB49" s="174" t="b">
        <v>0</v>
      </c>
      <c r="AC49" s="175" t="b">
        <v>0</v>
      </c>
      <c r="AD49" s="173" t="b">
        <v>0</v>
      </c>
      <c r="AE49" s="176" t="s">
        <v>1070</v>
      </c>
      <c r="AF49" s="171" t="s">
        <v>1070</v>
      </c>
      <c r="AG49" s="177">
        <f>IFERROR(__xludf.DUMMYFUNCTION("IF(
  ISNUMBER(AG48),
  MIN(MAX(
    AG48
    + MAX(
      ROUNDDOWN(($D49 - MAX(IFERROR(FILTER($D$24:$D48, AG$24:AG48 &lt;&gt; AF$6, AG$23:AG47 = AF$6), 0))) * (60 * 60 * 24) / AF$9) - ROUNDDOWN(($D48 - MAX(IFERROR(FILTER($D$23:$D47, AG$23:AG47 &lt;&gt; AF$6, AG$22:"&amp;"AG46 = AF$6), 0))) * (60 * 60 * 24) / 60),
      0
    )
    - COUNTIF(AF49, ""&lt;&gt;-""),
  0), AF$6),
  AF$6 - COUNTIF(AF49, ""&lt;&gt;-"")
)"),2.0)</f>
        <v>2</v>
      </c>
      <c r="AH49" s="173" t="b">
        <v>0</v>
      </c>
      <c r="AI49" s="173" t="b">
        <v>0</v>
      </c>
      <c r="AJ49" s="173" t="b">
        <v>0</v>
      </c>
      <c r="AK49" s="174" t="b">
        <v>0</v>
      </c>
      <c r="AL49" s="175" t="b">
        <v>0</v>
      </c>
      <c r="AM49" s="173" t="b">
        <v>0</v>
      </c>
      <c r="AN49" s="171" t="s">
        <v>1070</v>
      </c>
      <c r="AO49" s="173" t="b">
        <v>0</v>
      </c>
      <c r="AP49" s="173" t="b">
        <v>0</v>
      </c>
      <c r="AQ49" s="173" t="b">
        <v>0</v>
      </c>
      <c r="AR49" s="174" t="b">
        <v>0</v>
      </c>
      <c r="AS49" s="178" t="b">
        <v>0</v>
      </c>
      <c r="AT49" s="179" t="b">
        <v>0</v>
      </c>
      <c r="AU49" s="180" t="b">
        <v>0</v>
      </c>
      <c r="AV49" s="180" t="b">
        <v>0</v>
      </c>
      <c r="AW49" s="180" t="b">
        <v>0</v>
      </c>
      <c r="AX49" s="180" t="b">
        <v>0</v>
      </c>
      <c r="AY49" s="181" t="s">
        <v>1070</v>
      </c>
      <c r="AZ49" s="181" t="s">
        <v>1070</v>
      </c>
      <c r="BA49" s="184">
        <f>IFERROR(__xludf.DUMMYFUNCTION("IF(
  ISNUMBER(BA48),
  MIN(MAX(
    BA48
    + MAX(
      ROUNDDOWN((D49 - MAX(IFERROR(FILTER(D$24:D48, BA$24:BA48 &lt;&gt; AZ$6, BA$23:BA47 = AZ$6), 0))) * (60 * 60 * 24) / AZ$9) - ROUNDDOWN((D48 - MAX(IFERROR(FILTER(D$23:D47, BA$23:BA47 &lt;&gt; AZ$6, BA$22:BA46 ="&amp;" AZ$6), 0))) * (60 * 60 * 24) / AZ$9),
      0
    )
    - COUNTIF(AZ49, ""&lt;&gt;-""),
  0), AZ$6),
  AZ$6 - COUNTIF(AZ49, ""&lt;&gt;-"")
)"),2.0)</f>
        <v>2</v>
      </c>
      <c r="BB49" s="181" t="s">
        <v>1070</v>
      </c>
      <c r="BC49" s="183">
        <f>IFERROR(__xludf.DUMMYFUNCTION("IF(
  ISNUMBER(BC48),
  MIN(MAX(
    BC48
    + MAX(
      ROUNDDOWN(($D49 - MAX(IFERROR(FILTER($D$24:$D48, BC$24:BC48 &lt;&gt; BB$6, BC$23:BC47 = BB$6), 0))) * (60 * 60 * 24) / BB$9) - ROUNDDOWN(($D48 - MAX(IFERROR(FILTER($D$23:$D47, BC$23:BC47 &lt;&gt; BB$6, BC$22:"&amp;"BC46 = BB$6), 0))) * (60 * 60 * 24) / 60),
      0
    )
    - COUNTIF(BB49, ""&lt;&gt;-""),
  0), BB$6),
  BB$6 - COUNTIF(BB49, ""&lt;&gt;-"")
)"),2.0)</f>
        <v>2</v>
      </c>
      <c r="BD49" s="181" t="s">
        <v>1070</v>
      </c>
      <c r="BE49" s="178" t="b">
        <v>0</v>
      </c>
      <c r="BF49" s="180" t="b">
        <v>0</v>
      </c>
      <c r="BG49" s="180" t="b">
        <v>0</v>
      </c>
      <c r="BH49" s="180" t="b">
        <v>0</v>
      </c>
      <c r="BI49" s="180" t="b">
        <v>0</v>
      </c>
      <c r="BJ49" s="180" t="b">
        <v>0</v>
      </c>
      <c r="BK49" s="180" t="b">
        <v>0</v>
      </c>
      <c r="BL49" s="180" t="b">
        <v>0</v>
      </c>
      <c r="BM49" s="180" t="b">
        <v>0</v>
      </c>
      <c r="BN49" s="180" t="b">
        <v>0</v>
      </c>
      <c r="BO49" s="181" t="s">
        <v>1070</v>
      </c>
      <c r="BP49" s="181" t="s">
        <v>1070</v>
      </c>
      <c r="BQ49" s="181" t="s">
        <v>1070</v>
      </c>
      <c r="BR49" s="181" t="s">
        <v>1070</v>
      </c>
      <c r="BS49" s="181" t="s">
        <v>1070</v>
      </c>
      <c r="BT49" s="184">
        <f>IFERROR(__xludf.DUMMYFUNCTION("IF(
  ISNUMBER(BT48),
  MIN(MAX(
    BT48
    + MAX(
      ROUNDDOWN((D49 - MAX(IFERROR(FILTER(D$24:D48, BT$24:BT48 &lt;&gt; BS$6, BT$23:BT47 = BS$6), 0))) * (60 * 60 * 24) / BS$9) - ROUNDDOWN((D48 - MAX(IFERROR(FILTER(D$23:D47, BT$23:BT47 &lt;&gt; BS$6, BT$22:BT46 ="&amp;" BS$6), 0))) * (60 * 60 * 24) / BS$9),
      0
    )
    - COUNTIF(BS49, ""&lt;&gt;-""),
  0), BS$6),
  BS$6 - COUNTIF(BS49, ""&lt;&gt;-"")
)"),3.0)</f>
        <v>3</v>
      </c>
      <c r="BU49" s="181" t="s">
        <v>1070</v>
      </c>
      <c r="BV49" s="181" t="s">
        <v>1070</v>
      </c>
      <c r="BW49" s="184">
        <f>IFERROR(__xludf.DUMMYFUNCTION("IF(
  ISNUMBER(BW48),
  MIN(MAX(
    BW48
    + MAX(
      ROUNDDOWN((D49 - MAX(IFERROR(FILTER(D$24:D48, BW$24:BW48 &lt;&gt; BV$6, BW$23:BW47 = BV$6), 0))) * (60 * 60 * 24) / BV$9) - ROUNDDOWN((D48 - MAX(IFERROR(FILTER(D$23:D47, BW$23:BW47 &lt;&gt; BV$6, BW$22:BW46 ="&amp;" BV$6), 0))) * (60 * 60 * 24) / BV$9),
      0
    )
    - COUNTIF(BV49, ""&lt;&gt;-""),
  0), BV$6),
  BV$6 - COUNTIF(BV49, ""&lt;&gt;-"")
)"),2.0)</f>
        <v>2</v>
      </c>
      <c r="BX49" s="185" t="s">
        <v>1070</v>
      </c>
      <c r="BY49" s="178" t="b">
        <v>0</v>
      </c>
      <c r="BZ49" s="180" t="b">
        <v>0</v>
      </c>
      <c r="CA49" s="180" t="b">
        <v>0</v>
      </c>
      <c r="CB49" s="180" t="b">
        <v>0</v>
      </c>
      <c r="CC49" s="180" t="b">
        <v>0</v>
      </c>
      <c r="CD49" s="180" t="b">
        <v>0</v>
      </c>
      <c r="CE49" s="180" t="b">
        <v>0</v>
      </c>
      <c r="CF49" s="180" t="b">
        <v>0</v>
      </c>
      <c r="CG49" s="180" t="b">
        <v>0</v>
      </c>
      <c r="CH49" s="180" t="b">
        <v>0</v>
      </c>
      <c r="CI49" s="180" t="b">
        <v>0</v>
      </c>
      <c r="CJ49" s="180" t="b">
        <v>0</v>
      </c>
      <c r="CK49" s="180" t="b">
        <v>0</v>
      </c>
      <c r="CL49" s="180" t="b">
        <v>0</v>
      </c>
      <c r="CM49" s="181" t="s">
        <v>1070</v>
      </c>
      <c r="CN49" s="181" t="s">
        <v>1070</v>
      </c>
      <c r="CO49" s="181" t="s">
        <v>1070</v>
      </c>
      <c r="CP49" s="181" t="s">
        <v>1070</v>
      </c>
      <c r="CQ49" s="185" t="s">
        <v>1070</v>
      </c>
      <c r="CR49" s="180" t="b">
        <v>0</v>
      </c>
      <c r="CS49" s="186" t="str">
        <f t="shared" si="14"/>
        <v>◇◇◇</v>
      </c>
      <c r="CT49" s="178" t="b">
        <v>0</v>
      </c>
      <c r="CU49" s="180" t="b">
        <v>0</v>
      </c>
      <c r="CV49" s="180" t="b">
        <v>0</v>
      </c>
      <c r="CW49" s="180" t="b">
        <v>0</v>
      </c>
      <c r="CX49" s="180" t="b">
        <v>0</v>
      </c>
      <c r="CY49" s="180" t="b">
        <v>0</v>
      </c>
      <c r="CZ49" s="180" t="b">
        <v>0</v>
      </c>
      <c r="DA49" s="180" t="b">
        <v>0</v>
      </c>
      <c r="DB49" s="180" t="b">
        <v>0</v>
      </c>
      <c r="DC49" s="180" t="b">
        <v>0</v>
      </c>
      <c r="DD49" s="181" t="s">
        <v>1070</v>
      </c>
      <c r="DE49" s="181" t="s">
        <v>1070</v>
      </c>
      <c r="DF49" s="181" t="s">
        <v>1070</v>
      </c>
      <c r="DG49" s="185" t="s">
        <v>1070</v>
      </c>
      <c r="DH49" s="180" t="b">
        <v>0</v>
      </c>
      <c r="DI49" s="187" t="str">
        <f>IFERROR(__xludf.DUMMYFUNCTION("SWITCH(
  IF(
    ISTEXT(DI48),
    IF (
      FIND(""○"", DI48&amp;""○"") &gt; 3,
      3,
      FIND(""○"", DI48&amp;""○"")
      + MAX(
        ROUNDDOWN(($D49 - MAX(IFERROR(FILTER(D$24:D48, DI$24:DI48 &lt;&gt; ""●●●"", DI$23:DI47 = ""●●●""), 0))) * (60 * 60 * 24) / 20"&amp;") - ROUNDDOWN(($D48 - MAX(IFERROR(FILTER(D$23:D47, DI$23:DI47 &lt;&gt; ""●●●"", DI$22:DI46 = ""●●●""), 0))) * (60 * 60 * 24) / 20),
        0
      ) - 1
    ) - COUNTIFS(CU49, ""=TRUE"", CU48, ""&lt;&gt;TRUE"") - COUNTIF(CZ49, ""=TRUE"") - COUNTIF({DD49,DE49}, ""&lt;&gt;-"&amp;""") + COUNTIF(DH49, ""=TRUE""),
    3
  ),
  0, ""○○○"", 1, ""●○○"", 2, ""●●○"", 3, ""●●●"", 4, ""●●●"", ""○○○""
)"),"●●●")</f>
        <v>●●●</v>
      </c>
      <c r="DJ49" s="188" t="b">
        <v>0</v>
      </c>
      <c r="DK49" s="189" t="b">
        <v>0</v>
      </c>
      <c r="DL49" s="190" t="b">
        <v>0</v>
      </c>
      <c r="DM49" s="190" t="b">
        <v>0</v>
      </c>
      <c r="DN49" s="190" t="b">
        <v>0</v>
      </c>
      <c r="DO49" s="190" t="b">
        <v>0</v>
      </c>
      <c r="DP49" s="190" t="b">
        <v>0</v>
      </c>
      <c r="DQ49" s="191" t="b">
        <v>0</v>
      </c>
      <c r="DR49" s="192" t="b">
        <v>0</v>
      </c>
      <c r="DS49" s="191" t="b">
        <v>0</v>
      </c>
      <c r="DT49" s="192" t="b">
        <v>0</v>
      </c>
      <c r="DU49" s="191" t="b">
        <v>0</v>
      </c>
      <c r="DV49" s="193" t="s">
        <v>1070</v>
      </c>
      <c r="DW49" s="194" t="b">
        <v>0</v>
      </c>
      <c r="DX49" s="194" t="b">
        <v>0</v>
      </c>
      <c r="DY49" s="195" t="b">
        <v>0</v>
      </c>
      <c r="DZ49" s="196" t="b">
        <v>0</v>
      </c>
      <c r="EA49" s="195" t="b">
        <v>0</v>
      </c>
      <c r="EB49" s="197" t="b">
        <v>0</v>
      </c>
      <c r="EC49" s="197" t="b">
        <v>0</v>
      </c>
      <c r="ED49" s="212" t="b">
        <v>0</v>
      </c>
      <c r="EE49" s="199">
        <f>IFERROR(__xludf.DUMMYFUNCTION("IFERROR(
   PRODUCT(
     MAP(
       INDEX(TRANSPOSE(UNIQUE(TRANSPOSE(FILTER({IF($F49=""Physical"", K$10:ED$10, IF($F49=""Magic"", K$11:ED$11, K$12:ED$12));K$4:ED$4;K49:ED49}, K49:ED49=TRUE)))), 1, 0),
       INDEX(TRANSPOSE(UNIQUE(TRANSPOSE(FILTER({IF($"&amp;"F49=""Physical"", K$18:ED$18, IF($F49=""Magic"", K$19:ED$19, K$20:ED$20));K$4:ED$4;K49:ED49}, K49:ED49=TRUE)))), 1, 0),
       INDEX(TRANSPOSE(UNIQUE(TRANSPOSE(FILTER({K$5:ED$5;K$4:ED$4;K49:ED49}, K49:ED49=TRUE)))), 1, 0),
       INDEX(TRANSPOSE(UNIQUE(TR"&amp;"ANSPOSE(FILTER({K$17:ED$17;K$4:ED$4;K49:ED49}, K49:ED49=TRUE)))), 1, 0),
       LAMBDA(
         mitigation,
         enhance,
         assign,
         precondition,
         IF(
           REGEXMATCH(assign, ""RANGE_PARTY|SINGLE_ENEMY|RANGE_ENEMY""),
  "&amp;"         IF(
             OR(ARRAYFORMULA((IF(precondition="""", FALSE, REGEXMATCH(K$4:ED$4, precondition))) * (K49:ED49=TRUE))),
             IF(ISNUMBER(enhance), enhance, 1),
             IF(ISNUMBER(mitigation), mitigation, 1)
           ),
          "&amp;" 1
         )
       )
     )
   ),
   1
 )"),1.0)</f>
        <v>1</v>
      </c>
      <c r="EF49" s="200">
        <f>IFERROR(__xludf.DUMMYFUNCTION("PRODUCT(
   MAP(
     K$14:ED$14,
     K$13:ED$13,
     K49:ED49,
     LAMBDA(
       buff,
       target,
       check,
       IF(
         AND(check=TRUE, REGEXMATCH(target, ""RANGE_AFFECTED_ALL|RANGE_EFFECTED_ALL""), ISNUMBER(buff)),
         buff,
   "&amp;"      1
       )
     )
   )
 )"),1.0)</f>
        <v>1</v>
      </c>
      <c r="EG49" s="200">
        <f>IFERROR(__xludf.DUMMYFUNCTION("PRODUCT(
   MAP(
     K$14:ED$14,
     K$13:ED$13,
     K49:ED49,
     LAMBDA(
       buff,
       target,
       check,
       IF(
         AND(check=TRUE, REGEXMATCH(target, ""RANGE_AFFECTED_GCD|RANGE_EFFECTED_GCD""), ISNUMBER(buff)),
         buff,
   "&amp;"      1
       )
     )
   )
 )"),1.0)</f>
        <v>1</v>
      </c>
      <c r="EH49" s="200">
        <f>IFERROR(__xludf.DUMMYFUNCTION("PRODUCT(
   MAP(
     K$3:ED$3,
     K$14:ED$14,
     K$13:ED$13,
     K49:ED49,
     LAMBDA(
       job,
       buff,
       target,
       check,
       IF(
         AND(check=TRUE, REGEXMATCH(target, ""SELF_EFFECTED_ALL""), ISNUMBER(buff), job=""白魔道士"""&amp;"),
         buff,
         1
       )
     )
   )
 )"),1.0)</f>
        <v>1</v>
      </c>
      <c r="EI49" s="200">
        <f>IFERROR(__xludf.DUMMYFUNCTION("PRODUCT(
   MAP(
     K$3:ED$3,
     K$14:ED$14,
     K$13:ED$13,
     K49:ED49,
     LAMBDA(
       job,
       buff,
       target,
       check,
       IF(
         AND(check=TRUE, REGEXMATCH(target, ""SELF_EFFECTED_GCD""), ISNUMBER(buff), job=""白魔道士"""&amp;"),
         buff,
         1
       )
     )
   )
 )"),1.0)</f>
        <v>1</v>
      </c>
      <c r="EJ49" s="200">
        <f>IFERROR(__xludf.DUMMYFUNCTION("PRODUCT(
   MAP(
     K$3:ED$3,
     K$14:ED$14,
     K$13:ED$13,
     K49:ED49,
     LAMBDA(
       job,
       buff,
       target,
       check,
       IF(
         AND(check=TRUE, REGEXMATCH(target, ""SELF_EFFECTED_ALL""), ISNUMBER(buff), job=""占星術師"""&amp;"),
         buff,
         1
       )
     )
   )
 )"),1.0)</f>
        <v>1</v>
      </c>
      <c r="EK49" s="200">
        <f>IFERROR(__xludf.DUMMYFUNCTION("PRODUCT(
   MAP(
     K$3:ED$3,
     K$14:ED$14,
     K$13:ED$13,
     K49:ED49,
     LAMBDA(
       job,
       buff,
       target,
       check,
       IF(
         AND(check=TRUE, REGEXMATCH(target, ""SELF_EFFECTED_GCD""), ISNUMBER(buff), job=""占星術師"""&amp;"),
         buff,
         1
       )
     )
   )
 )"),1.0)</f>
        <v>1</v>
      </c>
      <c r="EL49" s="200">
        <f>IFERROR(__xludf.DUMMYFUNCTION("PRODUCT(
   MAP(
     K$3:ED$3,
     K$14:ED$14,
     K$13:ED$13,
     K49:ED49,
     LAMBDA(
       job,
       buff,
       target,
       check,
       IF(
         AND(check=TRUE, REGEXMATCH(target, ""SELF_EFFECTED_ALL""), ISNUMBER(buff), job=""学者""),"&amp;"
         buff,
         1
       )
     )
   )
 )"),1.0)</f>
        <v>1</v>
      </c>
      <c r="EM49" s="200">
        <f>IFERROR(__xludf.DUMMYFUNCTION("PRODUCT(
   MAP(
     K$3:ED$3,
     K$14:ED$14,
     K$13:ED$13,
     K49:ED49,
     LAMBDA(
       job,
       buff,
       target,
       check,
       IF(
         AND(check=TRUE, REGEXMATCH(target, ""SELF_EFFECTED_GCD""), ISNUMBER(buff), job=""学者""),"&amp;"
         buff,
         1
       )
     )
   )
 )"),1.0)</f>
        <v>1</v>
      </c>
      <c r="EN49" s="200">
        <f>IFERROR(__xludf.DUMMYFUNCTION("PRODUCT(
   MAP(
     K$3:ED$3,
     K$14:ED$14,
     K$13:ED$13,
     K49:ED49,
     LAMBDA(
       job,
       buff,
       target,
       check,
       IF(
         AND(check=TRUE, REGEXMATCH(target, ""SELF_EFFECTED_ALL""), ISNUMBER(buff), job=""賢者""),"&amp;"
         buff,
         1
       )
     )
   )
 )"),1.0)</f>
        <v>1</v>
      </c>
      <c r="EO49" s="200">
        <f>IFERROR(__xludf.DUMMYFUNCTION("PRODUCT(
   MAP(
     K$3:ED$3,
     K$14:ED$14,
     K$13:ED$13,
     K49:ED49,
     LAMBDA(
       job,
       buff,
       target,
       check,
       IF(
         AND(check=TRUE, REGEXMATCH(target, ""SELF_EFFECTED_GCD""), ISNUMBER(buff), job=""賢者""),"&amp;"
         buff,
         1
       )
     )
   )
 )"),1.0)</f>
        <v>1</v>
      </c>
      <c r="EP49" s="201">
        <f t="shared" si="3"/>
        <v>0</v>
      </c>
      <c r="EQ49" s="201">
        <f>IFERROR(__xludf.DUMMYFUNCTION("SUM(
   MAP(
     K$4:ED$4,
     K$3:ED$3,
     K$7:ED$7,
     K$15:ED$15,
     K$16:ED$16,
     K$21:ED$21,
     K$5:ED$5,
     K$17:ED$17,
     K49:ED49,
     LAMBDA(
       name,
       job,
       abillity,
       buff,
       barrier,
       enhance,"&amp;"
       assign,
       precondition,
       check,
       SWITCH(
         name,
         ""シェイクオフ"", IF(check=TRUE, buff + (0.02 * COUNTIF(ARRAYFORMULA((REGEXMATCH($K$4:$ED$4, ""スリル・オブ・バトル|ヴェンジェンス|原初の血気|ダムネーション"")) * (K49:ED49=TRUE)), 1)), 0),
         "&amp;"""インプロビゼーションフィニッシュ(踊りの激情0)"", IF(ISNUMBER(check), INDEX(Skill!$AJ:$AJ, MATCH(SUBSTITUTE(DV$4, 0, check), Skill!$C:$C, 0)), 0),
         IF(
           AND(check=TRUE, REGEXMATCH(assign, ""RANGE_PARTY"")),
           IF(
             OR(ARRAYFORMULA((IF(pr"&amp;"econdition="""", FALSE, REGEXMATCH($K$4:$ED$4, precondition))) * (K49:ED49=TRUE))),
             enhance,
             IF(barrier="""", buff, barrier)
           ),
           0
         )
       ) *
       SWITCH(
         job,
         ""ナイト"", EY$24,
 "&amp;"        ""戦士"", FD$24,
         ""踊り子"", ET$24,
         ""ピクトマンサー"", ET$24,
         ""白魔道士"", EF49 * EH49 * IF(abillity, 1, EG49 * EI49) * (Option!$D$22 * 0.81 / 100),
         ""占星術師"", EF49 * EJ49 * IF(abillity, 1, EG49 * EK49) * (Option!$D$23 * 0.81 "&amp;"/ 100),
         ""学者"", EF49 * EL49 * IF(abillity, 1, EG49 * EM49) * (Option!$D$24 * 0.81 / 100),
         ""賢者"", EF49 * EN49 * IF(abillity, 1, EG49 * EO49) * (Option!$D$25 * 0.81 / 100),
         1
       )
     )
   )
 )"),0.0)</f>
        <v>0</v>
      </c>
      <c r="ER49" s="202">
        <f t="shared" si="4"/>
        <v>0</v>
      </c>
      <c r="ES49" s="203">
        <f t="shared" si="5"/>
        <v>0</v>
      </c>
      <c r="ET49" s="231" t="str">
        <f>IFERROR(__xludf.DUMMYFUNCTION("IFS(
  EP49 &gt; $ET$24 + EQ49,
  SPARKLINE({ 1, 0 }, {""charttype"",""bar"";""max"", 1;""color1"",Option!$D$30;""color2"",Option!$D$30}),
  EP49 &lt; EQ49,
  SPARKLINE({EQ49 - EP49, $ET$24 - (EQ49 - EP49)}, {""charttype"",""bar"";""max"",$ET$24;""color1"",Opti"&amp;"on!$D$28;""color2"",Option!$D$29}),
  EP49 &gt;= EQ49,
  SPARKLINE({$ET$24 + EQ49 - EP49,EP49 - EQ49}, {""charttype"",""bar"";""max"",$ET$24;""color1"",Option!$D$29;""color2"",Option!$D$30})
)"),"")</f>
        <v/>
      </c>
      <c r="EU49" s="205">
        <f>IFERROR(__xludf.DUMMYFUNCTION("PRODUCT(
   MAP(
     IF($F49=""Physical"", K$10:ED$10, IF($F49=""Magic"", K$11:ED$11, K$12:ED$12)),
     IF($F49=""Physical"", K$18:ED$18, IF($F49=""Magic"", K$19:ED$19, K$20:ED$20)),
     K$3:ED$3,
     K$5:ED$5,
     K$17:ED$17,
     K49:ED49,
     LAM"&amp;"BDA(
       mitigation,
       enhance,
       job,
       assign,
       precondition,
       check,
       IF(
         OR(AND(check=TRUE, REGEXMATCH(assign, ""SELF""), job=""ナイト""), AND(check=Option!$E$13, REGEXMATCH(assign, ""SINGLE_PARTY""))),
      "&amp;"   IF(
           OR(ARRAYFORMULA((IF(precondition="""", FALSE, REGEXMATCH($K$4:$ED$4, precondition))) * (K49:ED49=TRUE))),
           enhance,
           mitigation
         ),
         1
       )
     )
   )
 ) * EE49"),1.0)</f>
        <v>1</v>
      </c>
      <c r="EV49" s="206">
        <f t="shared" si="6"/>
        <v>0</v>
      </c>
      <c r="EW49" s="205">
        <f>IFERROR(__xludf.DUMMYFUNCTION("PRODUCT(
   MAP(
     K$3:ED$3,
     K$14:ED$14,
     K$13:ED$13,
     K49:ED49,
     LAMBDA(
       job,
       buff,
       target,
       check,
       IF(
         OR(AND(check=TRUE, REGEXMATCH(target, ""SELF_AFFECTED_ALL""), job=""ナイト""), AND(check=O"&amp;"ption!$E$13, REGEXMATCH(target, ""SINGLE_AFFECTED_ALL""))),
         buff,
         1
       )
     )
   )
 )"),1.0)</f>
        <v>1</v>
      </c>
      <c r="EX49" s="206">
        <f>IFERROR(__xludf.DUMMYFUNCTION("SUM(
   MAP(
     K$3:ED$3,
     K$7:ED$7,
     K$15:ED$15,
     K$16:ED$16,
     K$21:ED$21,
     K$5:ED$5,
     K$17:ED$17,
     K49:ED49,
     LAMBDA(
       job,
       abillity,
       buff,
       barrier,
       enhance,
       assign,
       preco"&amp;"ndition,
       check,
       IF(
         OR(AND(check=TRUE, REGEXMATCH(assign, ""SELF""), job=""ナイト""), AND(check=Option!$E$13, REGEXMATCH(assign, ""SINGLE_PARTY""))),
         IF(
           OR(ARRAYFORMULA((IF(precondition="""", FALSE, REGEXMATCH($K$4"&amp;":$ED$4, precondition))) * (K49:ED49=TRUE))),
           enhance,
           IF(barrier="""", buff, barrier)
         ),
         0
       ) *
       SWITCH(
         job,
         ""暗黒騎士"", EY$24,
         ""白魔道士"", EF49 * EH49 * EW49 * IF(abillity, 1, EG"&amp;"49 * EI49) * (Option!$D$22 * 0.81 / 100),
         ""占星術師"", EF49 * EJ49 * EW49 * IF(abillity, 1, EG49 * EK49) * (Option!$D$23 * 0.81 / 100),
         ""学者"", EF49 * EL49 * EW49 * IF(abillity, 1, EG49 * EM49) * (Option!$D$24 * 0.81 / 100),
         ""賢者"""&amp;", EF49 * EN49 * EW49 * IF(abillity, 1, EG49 * EO49) * (Option!$D$25 * 0.81 / 100),
         1
       )
     )
   )
 ) + EQ49"),0.0)</f>
        <v>0</v>
      </c>
      <c r="EY49" s="232">
        <f t="shared" si="7"/>
        <v>0</v>
      </c>
      <c r="EZ49" s="205">
        <f>IFERROR(__xludf.DUMMYFUNCTION("PRODUCT(
   MAP(
     IF($F49=""Physical"", K$10:ED$10, IF($F49=""Magic"", K$11:ED$11, K$12:ED$12)),
     IF($F49=""Physical"", K$18:ED$18, IF($F49=""Magic"", K$19:ED$19, K$20:ED$20)),
     K$3:ED$3,
     K$5:ED$5,
     K$17:ED$17,
     K49:ED49,
     LAM"&amp;"BDA(
       mitigation,
       enhance,
       job,
       assign,
       precondition,
       check,
       IF(
         OR(AND(check=TRUE, REGEXMATCH(assign, ""SELF""), job=""戦士""), AND(check=Option!$F$13, REGEXMATCH(assign, ""SINGLE_PARTY""))),
       "&amp;"  IF(
           OR(ARRAYFORMULA((IF(precondition="""", FALSE, REGEXMATCH($K$4:$ED$4, precondition))) * (K49:ED49=TRUE))),
           enhance,
           mitigation
         ),
         1
       )
     )
   )
 ) * EE49"),1.0)</f>
        <v>1</v>
      </c>
      <c r="FA49" s="206">
        <f t="shared" si="8"/>
        <v>0</v>
      </c>
      <c r="FB49" s="205">
        <f>IFERROR(__xludf.DUMMYFUNCTION("PRODUCT(
   MAP(
     K$3:ED$3,
     K$14:ED$14,
     K$13:ED$13,
     K49:ED49,
     LAMBDA(
       job,
       buff,
       target,
       check,
       IF(
         OR(AND(check=TRUE, REGEXMATCH(target, ""SELF_AFFECTED_ALL""), job=""戦士""), AND(check=Op"&amp;"tion!$F$13, REGEXMATCH(target, ""SINGLE_AFFECTED_ALL""))),
         buff,
         1
       )
     )
   )
 )"),1.0)</f>
        <v>1</v>
      </c>
      <c r="FC49" s="206">
        <f>IFERROR(__xludf.DUMMYFUNCTION("SUM(
   MAP(
     K$3:ED$3,
     K$7:ED$7,
     K$15:ED$15,
     K$16:ED$16,
     K$21:ED$21,
     K$5:ED$5,
     K$17:ED$17,
     K49:ED49,
     LAMBDA(
       job,
       abillity,
       buff,
       barrier,
       enhance,
       assign,
       preco"&amp;"ndition,
       check,
       IF(
         OR(AND(check=TRUE, REGEXMATCH(assign, ""SELF""), job=""戦士""), AND(check=Option!$F$13, REGEXMATCH(assign, ""SINGLE_PARTY""))),
         IF(
           OR(ARRAYFORMULA((IF(precondition="""", FALSE, REGEXMATCH($K$4:"&amp;"$ED$4, precondition))) * (K49:ED49=TRUE))),
           enhance,
           IF(barrier="""", buff, barrier)
         ),
         0
       ) *
       SWITCH(
         job,
         ""暗黒騎士"", FD$24,
         ""白魔道士"", EF49 * EH49 * FB49 * IF(abillity, 1, EG4"&amp;"9 * EI49) * (Option!$D$22 * 0.81 / 100),
         ""占星術師"", EF49 * EJ49 * FFB49 * IF(abillity, 1, EG49 * EK49) * (Option!$D$23 * 0.81 / 100),
         ""学者"", EF49 * EL49 * FB49 * IF(abillity, 1, EG49 * EM49) * (Option!$D$24 * 0.81 / 100),
         ""賢者"""&amp;", EF49 * EN49 * FB49 * IF(abillity, 1, EG49 * EO49) * (Option!$D$25 * 0.81 / 100),
         1
       )
     )
   )
 ) + EQ49"),0.0)</f>
        <v>0</v>
      </c>
      <c r="FD49" s="206">
        <f t="shared" si="9"/>
        <v>0</v>
      </c>
      <c r="FE49" s="205">
        <f>IFERROR(__xludf.DUMMYFUNCTION("PRODUCT(
   MAP(
     IF($F49=""Physical"", K$10:ED$10, IF($F49=""Magic"", K$11:ED$11, K$12:ED$12)),
     IF($F49=""Physical"", K$18:ED$18, IF($F49=""Magic"", K$19:ED$19, K$20:ED$20)),
     K$3:ED$3,
     K$5:ED$5,
     K$17:ED$17,
     K49:ED49,
     LAM"&amp;"BDA(
       mitigation,
       enhance,
       job,
       assign,
       precondition,
       check,
       IF(
         OR(AND(check=TRUE, REGEXMATCH(assign, ""SELF""), job=""暗黒騎士""), AND(check=Option!$G$13, REGEXMATCH(assign, ""SINGLE_PARTY""))),
     "&amp;"    IF(
           OR(ARRAYFORMULA((IF(precondition="""", FALSE, REGEXMATCH($K$4:$ED$4, precondition))) * (K49:ED49=TRUE))),
           enhance,
           mitigation
         ),
         1
       )
     )
   )
 ) * EE49"),1.0)</f>
        <v>1</v>
      </c>
      <c r="FF49" s="206">
        <f t="shared" si="10"/>
        <v>0</v>
      </c>
      <c r="FG49" s="205">
        <f>IFERROR(__xludf.DUMMYFUNCTION("PRODUCT(
   MAP(
     K$3:ED$3,
     K$14:ED$14,
     K$13:ED$13,
     K49:ED49,
     LAMBDA(
       job,
       buff,
       target,
       check,
       IF(
         OR(AND(check=TRUE, REGEXMATCH(target, ""SELF_AFFECTED_ALL""), job=""暗黒騎士""), AND(check="&amp;"Option!$G$13, REGEXMATCH(target, ""SINGLE_AFFECTED_ALL""))),
         buff,
         1
       )
     )
   )
 )"),1.0)</f>
        <v>1</v>
      </c>
      <c r="FH49" s="206">
        <f>IFERROR(__xludf.DUMMYFUNCTION("SUM(
   MAP(
     K$3:ED$3,
     K$7:ED$7,
     K$15:ED$15,
     K$16:ED$16,
     K$21:ED$21,
     K$5:ED$5,
     K$17:ED$17,
     K49:ED49,
     LAMBDA(
       job,
       abillity,
       buff,
       barrier,
       enhance,
       assign,
       preco"&amp;"ndition,
       check,
       IF(
         OR(AND(check=TRUE, REGEXMATCH(assign, ""SELF""), job=""暗黒騎士""), AND(check=Option!$G$13, REGEXMATCH(assign, ""SINGLE_PARTY""))),
         IF(
           OR(ARRAYFORMULA((IF(precondition="""", FALSE, REGEXMATCH($K$"&amp;"4:$ED$4, precondition))) * (K49:ED49=TRUE))),
           enhance,
           IF(barrier="""", buff, barrier)
         ),
         0
       ) *
       SWITCH(
         job,
         ""暗黒騎士"", FI$24,
         ""白魔道士"", EF49 * EH49 * FG49 * IF(abillity, 1, E"&amp;"G49 * EI49) * (Option!$D$22 * 0.81 / 100),
         ""占星術師"", EF49 * EJ49 * FG49 * IF(abillity, 1, EG49 * EK49) * (Option!$D$23 * 0.81 / 100),
         ""学者"", EF49 * EL49 * FG49 * IF(abillity, 1, EG49 * EM49) * (Option!$D$24 * 0.81 / 100),
         ""賢者"&amp;""", EF49 * EN49 * FG49 * IF(abillity, 1, EG49 * EO49) * (Option!$D$25 * 0.81 / 100),
         1
       )
     )
   )
 ) + EQ49"),0.0)</f>
        <v>0</v>
      </c>
      <c r="FI49" s="206">
        <f t="shared" si="11"/>
        <v>0</v>
      </c>
      <c r="FJ49" s="205">
        <f>IFERROR(__xludf.DUMMYFUNCTION("PRODUCT(
   MAP(
     IF($F49=""Physical"", K$10:ED$10, IF($F49=""Magic"", K$11:ED$11, K$12:ED$12)),
     IF($F49=""Physical"", K$18:ED$18, IF($F49=""Magic"", K$19:ED$19, K$20:ED$20)),
     K$3:ED$3,
     K$5:ED$5,
     K$17:ED$17,
     K49:ED49,
     LAM"&amp;"BDA(
       mitigation,
       enhance,
       job,
       assign,
       precondition,
       check,
       IF(
         OR(AND(check=TRUE, REGEXMATCH(assign, ""SELF""), job=""ガンブレイカー""), AND(check=Option!$H$13, REGEXMATCH(assign, ""SINGLE_PARTY""))),
  "&amp;"       IF(
           OR(ARRAYFORMULA((IF(precondition="""", FALSE, REGEXMATCH($K$4:$ED$4, precondition))) * (K49:ED49=TRUE))),
           enhance,
           mitigation
         ),
         1
       )
     )
   )
 ) * EE49"),1.0)</f>
        <v>1</v>
      </c>
      <c r="FK49" s="206">
        <f t="shared" si="12"/>
        <v>0</v>
      </c>
      <c r="FL49" s="205">
        <f>IFERROR(__xludf.DUMMYFUNCTION("PRODUCT(
   MAP(
     K$3:ED$3,
     K$14:ED$14,
     K$13:ED$13,
     K49:ED49,
     LAMBDA(
       job,
       buff,
       target,
       check,
       IF(
         OR(AND(check=TRUE, REGEXMATCH(target, ""SELF_AFFECTED_ALL""), job=""ガンブレイカー""), AND(che"&amp;"ck=Option!$H$13, REGEXMATCH(target, ""SINGLE_AFFECTED_ALL""))),
         buff,
         1
       )
     )
   )
 )"),1.0)</f>
        <v>1</v>
      </c>
      <c r="FM49" s="206">
        <f>IFERROR(__xludf.DUMMYFUNCTION("SUM(
   MAP(
     K$3:ED$3,
     K$7:ED$7,
     K$15:ED$15,
     K$16:ED$16,
     K$21:ED$21,
     K$5:ED$5,
     K$17:ED$17,
     K49:ED49,
     LAMBDA(
       job,
       abillity,
       buff,
       barrier,
       enhance,
       assign,
       preco"&amp;"ndition,
       check,
       IF(
         OR(AND(check=TRUE, REGEXMATCH(assign, ""SELF""), job=""ガンブレイカー""), AND(check=Option!$H$13, REGEXMATCH(assign, ""SINGLE_PARTY""))),
         IF(
           OR(ARRAYFORMULA((IF(precondition="""", FALSE, REGEXMATCH("&amp;"$K$4:$ED$4, precondition))) * (K49:ED49=TRUE))),
           enhance,
           IF(barrier="""", buff, barrier)
         ),
         0
       ) *
       SWITCH(
         job,
         ""暗黒騎士"", FN$24,
         ""白魔道士"", EF49 * EH49 * FL49 * IF(abillity, 1"&amp;", EG49 * EI49) * (Option!$D$22 * 0.81 / 100),
         ""占星術師"", EF49 * EJ49 * FL49 * IF(abillity, 1, EG49 * EK49) * (Option!$D$23 * 0.81 / 100),
         ""学者"", EF49 * EL49 * FL49 * IF(abillity, 1, EG49 * EM49) * (Option!$D$24 * 0.81 / 100),
         """&amp;"賢者"", EF49 * EN49 * FL49 * IF(abillity, 1, EG49 * EO49) * (Option!$D$25 * 0.81 / 100),
         1
       )
     )
   )
 ) + EQ49"),0.0)</f>
        <v>0</v>
      </c>
      <c r="FN49" s="206">
        <f t="shared" si="13"/>
        <v>0</v>
      </c>
      <c r="FO49" s="213"/>
    </row>
    <row r="50">
      <c r="B50" s="229"/>
      <c r="C50" s="217">
        <f t="shared" si="1"/>
        <v>0</v>
      </c>
      <c r="D50" s="236"/>
      <c r="E50" s="238"/>
      <c r="F50" s="167"/>
      <c r="G50" s="168" t="str">
        <f t="shared" si="2"/>
        <v/>
      </c>
      <c r="H50" s="169"/>
      <c r="I50" s="169"/>
      <c r="J50" s="169"/>
      <c r="K50" s="170" t="b">
        <v>0</v>
      </c>
      <c r="L50" s="170" t="b">
        <v>0</v>
      </c>
      <c r="M50" s="170" t="b">
        <v>0</v>
      </c>
      <c r="N50" s="171" t="s">
        <v>1070</v>
      </c>
      <c r="O50" s="172" t="b">
        <v>0</v>
      </c>
      <c r="P50" s="173" t="b">
        <v>0</v>
      </c>
      <c r="Q50" s="173" t="b">
        <v>0</v>
      </c>
      <c r="R50" s="173" t="b">
        <v>0</v>
      </c>
      <c r="S50" s="174" t="b">
        <v>0</v>
      </c>
      <c r="T50" s="175" t="b">
        <v>0</v>
      </c>
      <c r="U50" s="173" t="b">
        <v>0</v>
      </c>
      <c r="V50" s="171" t="s">
        <v>1070</v>
      </c>
      <c r="W50" s="172" t="b">
        <v>0</v>
      </c>
      <c r="X50" s="173" t="b">
        <v>0</v>
      </c>
      <c r="Y50" s="173" t="b">
        <v>0</v>
      </c>
      <c r="Z50" s="173" t="b">
        <v>0</v>
      </c>
      <c r="AA50" s="174" t="b">
        <v>0</v>
      </c>
      <c r="AB50" s="174" t="b">
        <v>0</v>
      </c>
      <c r="AC50" s="175" t="b">
        <v>0</v>
      </c>
      <c r="AD50" s="173" t="b">
        <v>0</v>
      </c>
      <c r="AE50" s="176" t="s">
        <v>1070</v>
      </c>
      <c r="AF50" s="171" t="s">
        <v>1070</v>
      </c>
      <c r="AG50" s="177">
        <f>IFERROR(__xludf.DUMMYFUNCTION("IF(
  ISNUMBER(AG49),
  MIN(MAX(
    AG49
    + MAX(
      ROUNDDOWN(($D50 - MAX(IFERROR(FILTER($D$24:$D49, AG$24:AG49 &lt;&gt; AF$6, AG$23:AG48 = AF$6), 0))) * (60 * 60 * 24) / AF$9) - ROUNDDOWN(($D49 - MAX(IFERROR(FILTER($D$23:$D48, AG$23:AG48 &lt;&gt; AF$6, AG$22:"&amp;"AG47 = AF$6), 0))) * (60 * 60 * 24) / 60),
      0
    )
    - COUNTIF(AF50, ""&lt;&gt;-""),
  0), AF$6),
  AF$6 - COUNTIF(AF50, ""&lt;&gt;-"")
)"),2.0)</f>
        <v>2</v>
      </c>
      <c r="AH50" s="173" t="b">
        <v>0</v>
      </c>
      <c r="AI50" s="173" t="b">
        <v>0</v>
      </c>
      <c r="AJ50" s="173" t="b">
        <v>0</v>
      </c>
      <c r="AK50" s="174" t="b">
        <v>0</v>
      </c>
      <c r="AL50" s="175" t="b">
        <v>0</v>
      </c>
      <c r="AM50" s="173" t="b">
        <v>0</v>
      </c>
      <c r="AN50" s="171" t="s">
        <v>1070</v>
      </c>
      <c r="AO50" s="173" t="b">
        <v>0</v>
      </c>
      <c r="AP50" s="173" t="b">
        <v>0</v>
      </c>
      <c r="AQ50" s="173" t="b">
        <v>0</v>
      </c>
      <c r="AR50" s="174" t="b">
        <v>0</v>
      </c>
      <c r="AS50" s="178" t="b">
        <v>0</v>
      </c>
      <c r="AT50" s="179" t="b">
        <v>0</v>
      </c>
      <c r="AU50" s="180" t="b">
        <v>0</v>
      </c>
      <c r="AV50" s="180" t="b">
        <v>0</v>
      </c>
      <c r="AW50" s="180" t="b">
        <v>0</v>
      </c>
      <c r="AX50" s="180" t="b">
        <v>0</v>
      </c>
      <c r="AY50" s="181" t="s">
        <v>1070</v>
      </c>
      <c r="AZ50" s="181" t="s">
        <v>1070</v>
      </c>
      <c r="BA50" s="184">
        <f>IFERROR(__xludf.DUMMYFUNCTION("IF(
  ISNUMBER(BA49),
  MIN(MAX(
    BA49
    + MAX(
      ROUNDDOWN((D50 - MAX(IFERROR(FILTER(D$24:D49, BA$24:BA49 &lt;&gt; AZ$6, BA$23:BA48 = AZ$6), 0))) * (60 * 60 * 24) / AZ$9) - ROUNDDOWN((D49 - MAX(IFERROR(FILTER(D$23:D48, BA$23:BA48 &lt;&gt; AZ$6, BA$22:BA47 ="&amp;" AZ$6), 0))) * (60 * 60 * 24) / AZ$9),
      0
    )
    - COUNTIF(AZ50, ""&lt;&gt;-""),
  0), AZ$6),
  AZ$6 - COUNTIF(AZ50, ""&lt;&gt;-"")
)"),2.0)</f>
        <v>2</v>
      </c>
      <c r="BB50" s="181" t="s">
        <v>1070</v>
      </c>
      <c r="BC50" s="183">
        <f>IFERROR(__xludf.DUMMYFUNCTION("IF(
  ISNUMBER(BC49),
  MIN(MAX(
    BC49
    + MAX(
      ROUNDDOWN(($D50 - MAX(IFERROR(FILTER($D$24:$D49, BC$24:BC49 &lt;&gt; BB$6, BC$23:BC48 = BB$6), 0))) * (60 * 60 * 24) / BB$9) - ROUNDDOWN(($D49 - MAX(IFERROR(FILTER($D$23:$D48, BC$23:BC48 &lt;&gt; BB$6, BC$22:"&amp;"BC47 = BB$6), 0))) * (60 * 60 * 24) / 60),
      0
    )
    - COUNTIF(BB50, ""&lt;&gt;-""),
  0), BB$6),
  BB$6 - COUNTIF(BB50, ""&lt;&gt;-"")
)"),2.0)</f>
        <v>2</v>
      </c>
      <c r="BD50" s="181" t="s">
        <v>1070</v>
      </c>
      <c r="BE50" s="178" t="b">
        <v>0</v>
      </c>
      <c r="BF50" s="180" t="b">
        <v>0</v>
      </c>
      <c r="BG50" s="180" t="b">
        <v>0</v>
      </c>
      <c r="BH50" s="180" t="b">
        <v>0</v>
      </c>
      <c r="BI50" s="180" t="b">
        <v>0</v>
      </c>
      <c r="BJ50" s="180" t="b">
        <v>0</v>
      </c>
      <c r="BK50" s="180" t="b">
        <v>0</v>
      </c>
      <c r="BL50" s="180" t="b">
        <v>0</v>
      </c>
      <c r="BM50" s="180" t="b">
        <v>0</v>
      </c>
      <c r="BN50" s="180" t="b">
        <v>0</v>
      </c>
      <c r="BO50" s="181" t="s">
        <v>1070</v>
      </c>
      <c r="BP50" s="181" t="s">
        <v>1070</v>
      </c>
      <c r="BQ50" s="181" t="s">
        <v>1070</v>
      </c>
      <c r="BR50" s="181" t="s">
        <v>1070</v>
      </c>
      <c r="BS50" s="181" t="s">
        <v>1070</v>
      </c>
      <c r="BT50" s="184">
        <f>IFERROR(__xludf.DUMMYFUNCTION("IF(
  ISNUMBER(BT49),
  MIN(MAX(
    BT49
    + MAX(
      ROUNDDOWN((D50 - MAX(IFERROR(FILTER(D$24:D49, BT$24:BT49 &lt;&gt; BS$6, BT$23:BT48 = BS$6), 0))) * (60 * 60 * 24) / BS$9) - ROUNDDOWN((D49 - MAX(IFERROR(FILTER(D$23:D48, BT$23:BT48 &lt;&gt; BS$6, BT$22:BT47 ="&amp;" BS$6), 0))) * (60 * 60 * 24) / BS$9),
      0
    )
    - COUNTIF(BS50, ""&lt;&gt;-""),
  0), BS$6),
  BS$6 - COUNTIF(BS50, ""&lt;&gt;-"")
)"),3.0)</f>
        <v>3</v>
      </c>
      <c r="BU50" s="181" t="s">
        <v>1070</v>
      </c>
      <c r="BV50" s="181" t="s">
        <v>1070</v>
      </c>
      <c r="BW50" s="184">
        <f>IFERROR(__xludf.DUMMYFUNCTION("IF(
  ISNUMBER(BW49),
  MIN(MAX(
    BW49
    + MAX(
      ROUNDDOWN((D50 - MAX(IFERROR(FILTER(D$24:D49, BW$24:BW49 &lt;&gt; BV$6, BW$23:BW48 = BV$6), 0))) * (60 * 60 * 24) / BV$9) - ROUNDDOWN((D49 - MAX(IFERROR(FILTER(D$23:D48, BW$23:BW48 &lt;&gt; BV$6, BW$22:BW47 ="&amp;" BV$6), 0))) * (60 * 60 * 24) / BV$9),
      0
    )
    - COUNTIF(BV50, ""&lt;&gt;-""),
  0), BV$6),
  BV$6 - COUNTIF(BV50, ""&lt;&gt;-"")
)"),2.0)</f>
        <v>2</v>
      </c>
      <c r="BX50" s="185" t="s">
        <v>1070</v>
      </c>
      <c r="BY50" s="178" t="b">
        <v>0</v>
      </c>
      <c r="BZ50" s="180" t="b">
        <v>0</v>
      </c>
      <c r="CA50" s="180" t="b">
        <v>0</v>
      </c>
      <c r="CB50" s="180" t="b">
        <v>0</v>
      </c>
      <c r="CC50" s="180" t="b">
        <v>0</v>
      </c>
      <c r="CD50" s="180" t="b">
        <v>0</v>
      </c>
      <c r="CE50" s="180" t="b">
        <v>0</v>
      </c>
      <c r="CF50" s="180" t="b">
        <v>0</v>
      </c>
      <c r="CG50" s="180" t="b">
        <v>0</v>
      </c>
      <c r="CH50" s="180" t="b">
        <v>0</v>
      </c>
      <c r="CI50" s="180" t="b">
        <v>0</v>
      </c>
      <c r="CJ50" s="180" t="b">
        <v>0</v>
      </c>
      <c r="CK50" s="180" t="b">
        <v>0</v>
      </c>
      <c r="CL50" s="180" t="b">
        <v>0</v>
      </c>
      <c r="CM50" s="181" t="s">
        <v>1070</v>
      </c>
      <c r="CN50" s="181" t="s">
        <v>1070</v>
      </c>
      <c r="CO50" s="181" t="s">
        <v>1070</v>
      </c>
      <c r="CP50" s="181" t="s">
        <v>1070</v>
      </c>
      <c r="CQ50" s="185" t="s">
        <v>1070</v>
      </c>
      <c r="CR50" s="180" t="b">
        <v>0</v>
      </c>
      <c r="CS50" s="186" t="str">
        <f t="shared" si="14"/>
        <v>◇◇◇</v>
      </c>
      <c r="CT50" s="178" t="b">
        <v>0</v>
      </c>
      <c r="CU50" s="180" t="b">
        <v>0</v>
      </c>
      <c r="CV50" s="180" t="b">
        <v>0</v>
      </c>
      <c r="CW50" s="180" t="b">
        <v>0</v>
      </c>
      <c r="CX50" s="180" t="b">
        <v>0</v>
      </c>
      <c r="CY50" s="180" t="b">
        <v>0</v>
      </c>
      <c r="CZ50" s="180" t="b">
        <v>0</v>
      </c>
      <c r="DA50" s="180" t="b">
        <v>0</v>
      </c>
      <c r="DB50" s="180" t="b">
        <v>0</v>
      </c>
      <c r="DC50" s="180" t="b">
        <v>0</v>
      </c>
      <c r="DD50" s="181" t="s">
        <v>1070</v>
      </c>
      <c r="DE50" s="181" t="s">
        <v>1070</v>
      </c>
      <c r="DF50" s="181" t="s">
        <v>1070</v>
      </c>
      <c r="DG50" s="185" t="s">
        <v>1070</v>
      </c>
      <c r="DH50" s="180" t="b">
        <v>0</v>
      </c>
      <c r="DI50" s="187" t="str">
        <f>IFERROR(__xludf.DUMMYFUNCTION("SWITCH(
  IF(
    ISTEXT(DI49),
    IF (
      FIND(""○"", DI49&amp;""○"") &gt; 3,
      3,
      FIND(""○"", DI49&amp;""○"")
      + MAX(
        ROUNDDOWN(($D50 - MAX(IFERROR(FILTER(D$24:D49, DI$24:DI49 &lt;&gt; ""●●●"", DI$23:DI48 = ""●●●""), 0))) * (60 * 60 * 24) / 20"&amp;") - ROUNDDOWN(($D49 - MAX(IFERROR(FILTER(D$23:D48, DI$23:DI48 &lt;&gt; ""●●●"", DI$22:DI47 = ""●●●""), 0))) * (60 * 60 * 24) / 20),
        0
      ) - 1
    ) - COUNTIFS(CU50, ""=TRUE"", CU49, ""&lt;&gt;TRUE"") - COUNTIF(CZ50, ""=TRUE"") - COUNTIF({DD50,DE50}, ""&lt;&gt;-"&amp;""") + COUNTIF(DH50, ""=TRUE""),
    3
  ),
  0, ""○○○"", 1, ""●○○"", 2, ""●●○"", 3, ""●●●"", 4, ""●●●"", ""○○○""
)"),"●●●")</f>
        <v>●●●</v>
      </c>
      <c r="DJ50" s="188" t="b">
        <v>0</v>
      </c>
      <c r="DK50" s="189" t="b">
        <v>0</v>
      </c>
      <c r="DL50" s="190" t="b">
        <v>0</v>
      </c>
      <c r="DM50" s="190" t="b">
        <v>0</v>
      </c>
      <c r="DN50" s="190" t="b">
        <v>0</v>
      </c>
      <c r="DO50" s="190" t="b">
        <v>0</v>
      </c>
      <c r="DP50" s="190" t="b">
        <v>0</v>
      </c>
      <c r="DQ50" s="191" t="b">
        <v>0</v>
      </c>
      <c r="DR50" s="192" t="b">
        <v>0</v>
      </c>
      <c r="DS50" s="191" t="b">
        <v>0</v>
      </c>
      <c r="DT50" s="192" t="b">
        <v>0</v>
      </c>
      <c r="DU50" s="191" t="b">
        <v>0</v>
      </c>
      <c r="DV50" s="193" t="s">
        <v>1070</v>
      </c>
      <c r="DW50" s="194" t="b">
        <v>0</v>
      </c>
      <c r="DX50" s="194" t="b">
        <v>0</v>
      </c>
      <c r="DY50" s="195" t="b">
        <v>0</v>
      </c>
      <c r="DZ50" s="196" t="b">
        <v>0</v>
      </c>
      <c r="EA50" s="195" t="b">
        <v>0</v>
      </c>
      <c r="EB50" s="197" t="b">
        <v>0</v>
      </c>
      <c r="EC50" s="197" t="b">
        <v>0</v>
      </c>
      <c r="ED50" s="212" t="b">
        <v>0</v>
      </c>
      <c r="EE50" s="199">
        <f>IFERROR(__xludf.DUMMYFUNCTION("IFERROR(
   PRODUCT(
     MAP(
       INDEX(TRANSPOSE(UNIQUE(TRANSPOSE(FILTER({IF($F50=""Physical"", K$10:ED$10, IF($F50=""Magic"", K$11:ED$11, K$12:ED$12));K$4:ED$4;K50:ED50}, K50:ED50=TRUE)))), 1, 0),
       INDEX(TRANSPOSE(UNIQUE(TRANSPOSE(FILTER({IF($"&amp;"F50=""Physical"", K$18:ED$18, IF($F50=""Magic"", K$19:ED$19, K$20:ED$20));K$4:ED$4;K50:ED50}, K50:ED50=TRUE)))), 1, 0),
       INDEX(TRANSPOSE(UNIQUE(TRANSPOSE(FILTER({K$5:ED$5;K$4:ED$4;K50:ED50}, K50:ED50=TRUE)))), 1, 0),
       INDEX(TRANSPOSE(UNIQUE(TR"&amp;"ANSPOSE(FILTER({K$17:ED$17;K$4:ED$4;K50:ED50}, K50:ED50=TRUE)))), 1, 0),
       LAMBDA(
         mitigation,
         enhance,
         assign,
         precondition,
         IF(
           REGEXMATCH(assign, ""RANGE_PARTY|SINGLE_ENEMY|RANGE_ENEMY""),
  "&amp;"         IF(
             OR(ARRAYFORMULA((IF(precondition="""", FALSE, REGEXMATCH(K$4:ED$4, precondition))) * (K50:ED50=TRUE))),
             IF(ISNUMBER(enhance), enhance, 1),
             IF(ISNUMBER(mitigation), mitigation, 1)
           ),
          "&amp;" 1
         )
       )
     )
   ),
   1
 )"),1.0)</f>
        <v>1</v>
      </c>
      <c r="EF50" s="200">
        <f>IFERROR(__xludf.DUMMYFUNCTION("PRODUCT(
   MAP(
     K$14:ED$14,
     K$13:ED$13,
     K50:ED50,
     LAMBDA(
       buff,
       target,
       check,
       IF(
         AND(check=TRUE, REGEXMATCH(target, ""RANGE_AFFECTED_ALL|RANGE_EFFECTED_ALL""), ISNUMBER(buff)),
         buff,
   "&amp;"      1
       )
     )
   )
 )"),1.0)</f>
        <v>1</v>
      </c>
      <c r="EG50" s="200">
        <f>IFERROR(__xludf.DUMMYFUNCTION("PRODUCT(
   MAP(
     K$14:ED$14,
     K$13:ED$13,
     K50:ED50,
     LAMBDA(
       buff,
       target,
       check,
       IF(
         AND(check=TRUE, REGEXMATCH(target, ""RANGE_AFFECTED_GCD|RANGE_EFFECTED_GCD""), ISNUMBER(buff)),
         buff,
   "&amp;"      1
       )
     )
   )
 )"),1.0)</f>
        <v>1</v>
      </c>
      <c r="EH50" s="200">
        <f>IFERROR(__xludf.DUMMYFUNCTION("PRODUCT(
   MAP(
     K$3:ED$3,
     K$14:ED$14,
     K$13:ED$13,
     K50:ED50,
     LAMBDA(
       job,
       buff,
       target,
       check,
       IF(
         AND(check=TRUE, REGEXMATCH(target, ""SELF_EFFECTED_ALL""), ISNUMBER(buff), job=""白魔道士"""&amp;"),
         buff,
         1
       )
     )
   )
 )"),1.0)</f>
        <v>1</v>
      </c>
      <c r="EI50" s="200">
        <f>IFERROR(__xludf.DUMMYFUNCTION("PRODUCT(
   MAP(
     K$3:ED$3,
     K$14:ED$14,
     K$13:ED$13,
     K50:ED50,
     LAMBDA(
       job,
       buff,
       target,
       check,
       IF(
         AND(check=TRUE, REGEXMATCH(target, ""SELF_EFFECTED_GCD""), ISNUMBER(buff), job=""白魔道士"""&amp;"),
         buff,
         1
       )
     )
   )
 )"),1.0)</f>
        <v>1</v>
      </c>
      <c r="EJ50" s="200">
        <f>IFERROR(__xludf.DUMMYFUNCTION("PRODUCT(
   MAP(
     K$3:ED$3,
     K$14:ED$14,
     K$13:ED$13,
     K50:ED50,
     LAMBDA(
       job,
       buff,
       target,
       check,
       IF(
         AND(check=TRUE, REGEXMATCH(target, ""SELF_EFFECTED_ALL""), ISNUMBER(buff), job=""占星術師"""&amp;"),
         buff,
         1
       )
     )
   )
 )"),1.0)</f>
        <v>1</v>
      </c>
      <c r="EK50" s="200">
        <f>IFERROR(__xludf.DUMMYFUNCTION("PRODUCT(
   MAP(
     K$3:ED$3,
     K$14:ED$14,
     K$13:ED$13,
     K50:ED50,
     LAMBDA(
       job,
       buff,
       target,
       check,
       IF(
         AND(check=TRUE, REGEXMATCH(target, ""SELF_EFFECTED_GCD""), ISNUMBER(buff), job=""占星術師"""&amp;"),
         buff,
         1
       )
     )
   )
 )"),1.0)</f>
        <v>1</v>
      </c>
      <c r="EL50" s="200">
        <f>IFERROR(__xludf.DUMMYFUNCTION("PRODUCT(
   MAP(
     K$3:ED$3,
     K$14:ED$14,
     K$13:ED$13,
     K50:ED50,
     LAMBDA(
       job,
       buff,
       target,
       check,
       IF(
         AND(check=TRUE, REGEXMATCH(target, ""SELF_EFFECTED_ALL""), ISNUMBER(buff), job=""学者""),"&amp;"
         buff,
         1
       )
     )
   )
 )"),1.0)</f>
        <v>1</v>
      </c>
      <c r="EM50" s="200">
        <f>IFERROR(__xludf.DUMMYFUNCTION("PRODUCT(
   MAP(
     K$3:ED$3,
     K$14:ED$14,
     K$13:ED$13,
     K50:ED50,
     LAMBDA(
       job,
       buff,
       target,
       check,
       IF(
         AND(check=TRUE, REGEXMATCH(target, ""SELF_EFFECTED_GCD""), ISNUMBER(buff), job=""学者""),"&amp;"
         buff,
         1
       )
     )
   )
 )"),1.0)</f>
        <v>1</v>
      </c>
      <c r="EN50" s="200">
        <f>IFERROR(__xludf.DUMMYFUNCTION("PRODUCT(
   MAP(
     K$3:ED$3,
     K$14:ED$14,
     K$13:ED$13,
     K50:ED50,
     LAMBDA(
       job,
       buff,
       target,
       check,
       IF(
         AND(check=TRUE, REGEXMATCH(target, ""SELF_EFFECTED_ALL""), ISNUMBER(buff), job=""賢者""),"&amp;"
         buff,
         1
       )
     )
   )
 )"),1.0)</f>
        <v>1</v>
      </c>
      <c r="EO50" s="200">
        <f>IFERROR(__xludf.DUMMYFUNCTION("PRODUCT(
   MAP(
     K$3:ED$3,
     K$14:ED$14,
     K$13:ED$13,
     K50:ED50,
     LAMBDA(
       job,
       buff,
       target,
       check,
       IF(
         AND(check=TRUE, REGEXMATCH(target, ""SELF_EFFECTED_GCD""), ISNUMBER(buff), job=""賢者""),"&amp;"
         buff,
         1
       )
     )
   )
 )"),1.0)</f>
        <v>1</v>
      </c>
      <c r="EP50" s="201">
        <f t="shared" si="3"/>
        <v>0</v>
      </c>
      <c r="EQ50" s="201">
        <f>IFERROR(__xludf.DUMMYFUNCTION("SUM(
   MAP(
     K$4:ED$4,
     K$3:ED$3,
     K$7:ED$7,
     K$15:ED$15,
     K$16:ED$16,
     K$21:ED$21,
     K$5:ED$5,
     K$17:ED$17,
     K50:ED50,
     LAMBDA(
       name,
       job,
       abillity,
       buff,
       barrier,
       enhance,"&amp;"
       assign,
       precondition,
       check,
       SWITCH(
         name,
         ""シェイクオフ"", IF(check=TRUE, buff + (0.02 * COUNTIF(ARRAYFORMULA((REGEXMATCH($K$4:$ED$4, ""スリル・オブ・バトル|ヴェンジェンス|原初の血気|ダムネーション"")) * (K50:ED50=TRUE)), 1)), 0),
         "&amp;"""インプロビゼーションフィニッシュ(踊りの激情0)"", IF(ISNUMBER(check), INDEX(Skill!$AJ:$AJ, MATCH(SUBSTITUTE(DV$4, 0, check), Skill!$C:$C, 0)), 0),
         IF(
           AND(check=TRUE, REGEXMATCH(assign, ""RANGE_PARTY"")),
           IF(
             OR(ARRAYFORMULA((IF(pr"&amp;"econdition="""", FALSE, REGEXMATCH($K$4:$ED$4, precondition))) * (K50:ED50=TRUE))),
             enhance,
             IF(barrier="""", buff, barrier)
           ),
           0
         )
       ) *
       SWITCH(
         job,
         ""ナイト"", EY$24,
 "&amp;"        ""戦士"", FD$24,
         ""踊り子"", ET$24,
         ""ピクトマンサー"", ET$24,
         ""白魔道士"", EF50 * EH50 * IF(abillity, 1, EG50 * EI50) * (Option!$D$22 * 0.81 / 100),
         ""占星術師"", EF50 * EJ50 * IF(abillity, 1, EG50 * EK50) * (Option!$D$23 * 0.81 "&amp;"/ 100),
         ""学者"", EF50 * EL50 * IF(abillity, 1, EG50 * EM50) * (Option!$D$24 * 0.81 / 100),
         ""賢者"", EF50 * EN50 * IF(abillity, 1, EG50 * EO50) * (Option!$D$25 * 0.81 / 100),
         1
       )
     )
   )
 )"),0.0)</f>
        <v>0</v>
      </c>
      <c r="ER50" s="202">
        <f t="shared" si="4"/>
        <v>0</v>
      </c>
      <c r="ES50" s="203">
        <f t="shared" si="5"/>
        <v>0</v>
      </c>
      <c r="ET50" s="231" t="str">
        <f>IFERROR(__xludf.DUMMYFUNCTION("IFS(
  EP50 &gt; $ET$24 + EQ50,
  SPARKLINE({ 1, 0 }, {""charttype"",""bar"";""max"", 1;""color1"",Option!$D$30;""color2"",Option!$D$30}),
  EP50 &lt; EQ50,
  SPARKLINE({EQ50 - EP50, $ET$24 - (EQ50 - EP50)}, {""charttype"",""bar"";""max"",$ET$24;""color1"",Opti"&amp;"on!$D$28;""color2"",Option!$D$29}),
  EP50 &gt;= EQ50,
  SPARKLINE({$ET$24 + EQ50 - EP50,EP50 - EQ50}, {""charttype"",""bar"";""max"",$ET$24;""color1"",Option!$D$29;""color2"",Option!$D$30})
)"),"")</f>
        <v/>
      </c>
      <c r="EU50" s="205">
        <f>IFERROR(__xludf.DUMMYFUNCTION("PRODUCT(
   MAP(
     IF($F50=""Physical"", K$10:ED$10, IF($F50=""Magic"", K$11:ED$11, K$12:ED$12)),
     IF($F50=""Physical"", K$18:ED$18, IF($F50=""Magic"", K$19:ED$19, K$20:ED$20)),
     K$3:ED$3,
     K$5:ED$5,
     K$17:ED$17,
     K50:ED50,
     LAM"&amp;"BDA(
       mitigation,
       enhance,
       job,
       assign,
       precondition,
       check,
       IF(
         OR(AND(check=TRUE, REGEXMATCH(assign, ""SELF""), job=""ナイト""), AND(check=Option!$E$13, REGEXMATCH(assign, ""SINGLE_PARTY""))),
      "&amp;"   IF(
           OR(ARRAYFORMULA((IF(precondition="""", FALSE, REGEXMATCH($K$4:$ED$4, precondition))) * (K50:ED50=TRUE))),
           enhance,
           mitigation
         ),
         1
       )
     )
   )
 ) * EE50"),1.0)</f>
        <v>1</v>
      </c>
      <c r="EV50" s="206">
        <f t="shared" si="6"/>
        <v>0</v>
      </c>
      <c r="EW50" s="205">
        <f>IFERROR(__xludf.DUMMYFUNCTION("PRODUCT(
   MAP(
     K$3:ED$3,
     K$14:ED$14,
     K$13:ED$13,
     K50:ED50,
     LAMBDA(
       job,
       buff,
       target,
       check,
       IF(
         OR(AND(check=TRUE, REGEXMATCH(target, ""SELF_AFFECTED_ALL""), job=""ナイト""), AND(check=O"&amp;"ption!$E$13, REGEXMATCH(target, ""SINGLE_AFFECTED_ALL""))),
         buff,
         1
       )
     )
   )
 )"),1.0)</f>
        <v>1</v>
      </c>
      <c r="EX50" s="206">
        <f>IFERROR(__xludf.DUMMYFUNCTION("SUM(
   MAP(
     K$3:ED$3,
     K$7:ED$7,
     K$15:ED$15,
     K$16:ED$16,
     K$21:ED$21,
     K$5:ED$5,
     K$17:ED$17,
     K50:ED50,
     LAMBDA(
       job,
       abillity,
       buff,
       barrier,
       enhance,
       assign,
       preco"&amp;"ndition,
       check,
       IF(
         OR(AND(check=TRUE, REGEXMATCH(assign, ""SELF""), job=""ナイト""), AND(check=Option!$E$13, REGEXMATCH(assign, ""SINGLE_PARTY""))),
         IF(
           OR(ARRAYFORMULA((IF(precondition="""", FALSE, REGEXMATCH($K$4"&amp;":$ED$4, precondition))) * (K50:ED50=TRUE))),
           enhance,
           IF(barrier="""", buff, barrier)
         ),
         0
       ) *
       SWITCH(
         job,
         ""暗黒騎士"", EY$24,
         ""白魔道士"", EF50 * EH50 * EW50 * IF(abillity, 1, EG"&amp;"50 * EI50) * (Option!$D$22 * 0.81 / 100),
         ""占星術師"", EF50 * EJ50 * EW50 * IF(abillity, 1, EG50 * EK50) * (Option!$D$23 * 0.81 / 100),
         ""学者"", EF50 * EL50 * EW50 * IF(abillity, 1, EG50 * EM50) * (Option!$D$24 * 0.81 / 100),
         ""賢者"""&amp;", EF50 * EN50 * EW50 * IF(abillity, 1, EG50 * EO50) * (Option!$D$25 * 0.81 / 100),
         1
       )
     )
   )
 ) + EQ50"),0.0)</f>
        <v>0</v>
      </c>
      <c r="EY50" s="232">
        <f t="shared" si="7"/>
        <v>0</v>
      </c>
      <c r="EZ50" s="205">
        <f>IFERROR(__xludf.DUMMYFUNCTION("PRODUCT(
   MAP(
     IF($F50=""Physical"", K$10:ED$10, IF($F50=""Magic"", K$11:ED$11, K$12:ED$12)),
     IF($F50=""Physical"", K$18:ED$18, IF($F50=""Magic"", K$19:ED$19, K$20:ED$20)),
     K$3:ED$3,
     K$5:ED$5,
     K$17:ED$17,
     K50:ED50,
     LAM"&amp;"BDA(
       mitigation,
       enhance,
       job,
       assign,
       precondition,
       check,
       IF(
         OR(AND(check=TRUE, REGEXMATCH(assign, ""SELF""), job=""戦士""), AND(check=Option!$F$13, REGEXMATCH(assign, ""SINGLE_PARTY""))),
       "&amp;"  IF(
           OR(ARRAYFORMULA((IF(precondition="""", FALSE, REGEXMATCH($K$4:$ED$4, precondition))) * (K50:ED50=TRUE))),
           enhance,
           mitigation
         ),
         1
       )
     )
   )
 ) * EE50"),1.0)</f>
        <v>1</v>
      </c>
      <c r="FA50" s="206">
        <f t="shared" si="8"/>
        <v>0</v>
      </c>
      <c r="FB50" s="205">
        <f>IFERROR(__xludf.DUMMYFUNCTION("PRODUCT(
   MAP(
     K$3:ED$3,
     K$14:ED$14,
     K$13:ED$13,
     K50:ED50,
     LAMBDA(
       job,
       buff,
       target,
       check,
       IF(
         OR(AND(check=TRUE, REGEXMATCH(target, ""SELF_AFFECTED_ALL""), job=""戦士""), AND(check=Op"&amp;"tion!$F$13, REGEXMATCH(target, ""SINGLE_AFFECTED_ALL""))),
         buff,
         1
       )
     )
   )
 )"),1.0)</f>
        <v>1</v>
      </c>
      <c r="FC50" s="206">
        <f>IFERROR(__xludf.DUMMYFUNCTION("SUM(
   MAP(
     K$3:ED$3,
     K$7:ED$7,
     K$15:ED$15,
     K$16:ED$16,
     K$21:ED$21,
     K$5:ED$5,
     K$17:ED$17,
     K50:ED50,
     LAMBDA(
       job,
       abillity,
       buff,
       barrier,
       enhance,
       assign,
       preco"&amp;"ndition,
       check,
       IF(
         OR(AND(check=TRUE, REGEXMATCH(assign, ""SELF""), job=""戦士""), AND(check=Option!$F$13, REGEXMATCH(assign, ""SINGLE_PARTY""))),
         IF(
           OR(ARRAYFORMULA((IF(precondition="""", FALSE, REGEXMATCH($K$4:"&amp;"$ED$4, precondition))) * (K50:ED50=TRUE))),
           enhance,
           IF(barrier="""", buff, barrier)
         ),
         0
       ) *
       SWITCH(
         job,
         ""暗黒騎士"", FD$24,
         ""白魔道士"", EF50 * EH50 * FB50 * IF(abillity, 1, EG5"&amp;"0 * EI50) * (Option!$D$22 * 0.81 / 100),
         ""占星術師"", EF50 * EJ50 * FFB50 * IF(abillity, 1, EG50 * EK50) * (Option!$D$23 * 0.81 / 100),
         ""学者"", EF50 * EL50 * FB50 * IF(abillity, 1, EG50 * EM50) * (Option!$D$24 * 0.81 / 100),
         ""賢者"""&amp;", EF50 * EN50 * FB50 * IF(abillity, 1, EG50 * EO50) * (Option!$D$25 * 0.81 / 100),
         1
       )
     )
   )
 ) + EQ50"),0.0)</f>
        <v>0</v>
      </c>
      <c r="FD50" s="206">
        <f t="shared" si="9"/>
        <v>0</v>
      </c>
      <c r="FE50" s="205">
        <f>IFERROR(__xludf.DUMMYFUNCTION("PRODUCT(
   MAP(
     IF($F50=""Physical"", K$10:ED$10, IF($F50=""Magic"", K$11:ED$11, K$12:ED$12)),
     IF($F50=""Physical"", K$18:ED$18, IF($F50=""Magic"", K$19:ED$19, K$20:ED$20)),
     K$3:ED$3,
     K$5:ED$5,
     K$17:ED$17,
     K50:ED50,
     LAM"&amp;"BDA(
       mitigation,
       enhance,
       job,
       assign,
       precondition,
       check,
       IF(
         OR(AND(check=TRUE, REGEXMATCH(assign, ""SELF""), job=""暗黒騎士""), AND(check=Option!$G$13, REGEXMATCH(assign, ""SINGLE_PARTY""))),
     "&amp;"    IF(
           OR(ARRAYFORMULA((IF(precondition="""", FALSE, REGEXMATCH($K$4:$ED$4, precondition))) * (K50:ED50=TRUE))),
           enhance,
           mitigation
         ),
         1
       )
     )
   )
 ) * EE50"),1.0)</f>
        <v>1</v>
      </c>
      <c r="FF50" s="206">
        <f t="shared" si="10"/>
        <v>0</v>
      </c>
      <c r="FG50" s="205">
        <f>IFERROR(__xludf.DUMMYFUNCTION("PRODUCT(
   MAP(
     K$3:ED$3,
     K$14:ED$14,
     K$13:ED$13,
     K50:ED50,
     LAMBDA(
       job,
       buff,
       target,
       check,
       IF(
         OR(AND(check=TRUE, REGEXMATCH(target, ""SELF_AFFECTED_ALL""), job=""暗黒騎士""), AND(check="&amp;"Option!$G$13, REGEXMATCH(target, ""SINGLE_AFFECTED_ALL""))),
         buff,
         1
       )
     )
   )
 )"),1.0)</f>
        <v>1</v>
      </c>
      <c r="FH50" s="206">
        <f>IFERROR(__xludf.DUMMYFUNCTION("SUM(
   MAP(
     K$3:ED$3,
     K$7:ED$7,
     K$15:ED$15,
     K$16:ED$16,
     K$21:ED$21,
     K$5:ED$5,
     K$17:ED$17,
     K50:ED50,
     LAMBDA(
       job,
       abillity,
       buff,
       barrier,
       enhance,
       assign,
       preco"&amp;"ndition,
       check,
       IF(
         OR(AND(check=TRUE, REGEXMATCH(assign, ""SELF""), job=""暗黒騎士""), AND(check=Option!$G$13, REGEXMATCH(assign, ""SINGLE_PARTY""))),
         IF(
           OR(ARRAYFORMULA((IF(precondition="""", FALSE, REGEXMATCH($K$"&amp;"4:$ED$4, precondition))) * (K50:ED50=TRUE))),
           enhance,
           IF(barrier="""", buff, barrier)
         ),
         0
       ) *
       SWITCH(
         job,
         ""暗黒騎士"", FI$24,
         ""白魔道士"", EF50 * EH50 * FG50 * IF(abillity, 1, E"&amp;"G50 * EI50) * (Option!$D$22 * 0.81 / 100),
         ""占星術師"", EF50 * EJ50 * FG50 * IF(abillity, 1, EG50 * EK50) * (Option!$D$23 * 0.81 / 100),
         ""学者"", EF50 * EL50 * FG50 * IF(abillity, 1, EG50 * EM50) * (Option!$D$24 * 0.81 / 100),
         ""賢者"&amp;""", EF50 * EN50 * FG50 * IF(abillity, 1, EG50 * EO50) * (Option!$D$25 * 0.81 / 100),
         1
       )
     )
   )
 ) + EQ50"),0.0)</f>
        <v>0</v>
      </c>
      <c r="FI50" s="206">
        <f t="shared" si="11"/>
        <v>0</v>
      </c>
      <c r="FJ50" s="205">
        <f>IFERROR(__xludf.DUMMYFUNCTION("PRODUCT(
   MAP(
     IF($F50=""Physical"", K$10:ED$10, IF($F50=""Magic"", K$11:ED$11, K$12:ED$12)),
     IF($F50=""Physical"", K$18:ED$18, IF($F50=""Magic"", K$19:ED$19, K$20:ED$20)),
     K$3:ED$3,
     K$5:ED$5,
     K$17:ED$17,
     K50:ED50,
     LAM"&amp;"BDA(
       mitigation,
       enhance,
       job,
       assign,
       precondition,
       check,
       IF(
         OR(AND(check=TRUE, REGEXMATCH(assign, ""SELF""), job=""ガンブレイカー""), AND(check=Option!$H$13, REGEXMATCH(assign, ""SINGLE_PARTY""))),
  "&amp;"       IF(
           OR(ARRAYFORMULA((IF(precondition="""", FALSE, REGEXMATCH($K$4:$ED$4, precondition))) * (K50:ED50=TRUE))),
           enhance,
           mitigation
         ),
         1
       )
     )
   )
 ) * EE50"),1.0)</f>
        <v>1</v>
      </c>
      <c r="FK50" s="206">
        <f t="shared" si="12"/>
        <v>0</v>
      </c>
      <c r="FL50" s="205">
        <f>IFERROR(__xludf.DUMMYFUNCTION("PRODUCT(
   MAP(
     K$3:ED$3,
     K$14:ED$14,
     K$13:ED$13,
     K50:ED50,
     LAMBDA(
       job,
       buff,
       target,
       check,
       IF(
         OR(AND(check=TRUE, REGEXMATCH(target, ""SELF_AFFECTED_ALL""), job=""ガンブレイカー""), AND(che"&amp;"ck=Option!$H$13, REGEXMATCH(target, ""SINGLE_AFFECTED_ALL""))),
         buff,
         1
       )
     )
   )
 )"),1.0)</f>
        <v>1</v>
      </c>
      <c r="FM50" s="206">
        <f>IFERROR(__xludf.DUMMYFUNCTION("SUM(
   MAP(
     K$3:ED$3,
     K$7:ED$7,
     K$15:ED$15,
     K$16:ED$16,
     K$21:ED$21,
     K$5:ED$5,
     K$17:ED$17,
     K50:ED50,
     LAMBDA(
       job,
       abillity,
       buff,
       barrier,
       enhance,
       assign,
       preco"&amp;"ndition,
       check,
       IF(
         OR(AND(check=TRUE, REGEXMATCH(assign, ""SELF""), job=""ガンブレイカー""), AND(check=Option!$H$13, REGEXMATCH(assign, ""SINGLE_PARTY""))),
         IF(
           OR(ARRAYFORMULA((IF(precondition="""", FALSE, REGEXMATCH("&amp;"$K$4:$ED$4, precondition))) * (K50:ED50=TRUE))),
           enhance,
           IF(barrier="""", buff, barrier)
         ),
         0
       ) *
       SWITCH(
         job,
         ""暗黒騎士"", FN$24,
         ""白魔道士"", EF50 * EH50 * FL50 * IF(abillity, 1"&amp;", EG50 * EI50) * (Option!$D$22 * 0.81 / 100),
         ""占星術師"", EF50 * EJ50 * FL50 * IF(abillity, 1, EG50 * EK50) * (Option!$D$23 * 0.81 / 100),
         ""学者"", EF50 * EL50 * FL50 * IF(abillity, 1, EG50 * EM50) * (Option!$D$24 * 0.81 / 100),
         """&amp;"賢者"", EF50 * EN50 * FL50 * IF(abillity, 1, EG50 * EO50) * (Option!$D$25 * 0.81 / 100),
         1
       )
     )
   )
 ) + EQ50"),0.0)</f>
        <v>0</v>
      </c>
      <c r="FN50" s="206">
        <f t="shared" si="13"/>
        <v>0</v>
      </c>
      <c r="FO50" s="213"/>
    </row>
    <row r="51">
      <c r="B51" s="229"/>
      <c r="C51" s="217">
        <f t="shared" si="1"/>
        <v>0</v>
      </c>
      <c r="D51" s="236"/>
      <c r="E51" s="238"/>
      <c r="F51" s="167"/>
      <c r="G51" s="168" t="str">
        <f t="shared" si="2"/>
        <v/>
      </c>
      <c r="H51" s="169"/>
      <c r="I51" s="169"/>
      <c r="J51" s="169"/>
      <c r="K51" s="170" t="b">
        <v>0</v>
      </c>
      <c r="L51" s="170" t="b">
        <v>0</v>
      </c>
      <c r="M51" s="170" t="b">
        <v>0</v>
      </c>
      <c r="N51" s="171" t="s">
        <v>1070</v>
      </c>
      <c r="O51" s="172" t="b">
        <v>0</v>
      </c>
      <c r="P51" s="173" t="b">
        <v>0</v>
      </c>
      <c r="Q51" s="173" t="b">
        <v>0</v>
      </c>
      <c r="R51" s="173" t="b">
        <v>0</v>
      </c>
      <c r="S51" s="174" t="b">
        <v>0</v>
      </c>
      <c r="T51" s="175" t="b">
        <v>0</v>
      </c>
      <c r="U51" s="173" t="b">
        <v>0</v>
      </c>
      <c r="V51" s="171" t="s">
        <v>1070</v>
      </c>
      <c r="W51" s="172" t="b">
        <v>0</v>
      </c>
      <c r="X51" s="173" t="b">
        <v>0</v>
      </c>
      <c r="Y51" s="173" t="b">
        <v>0</v>
      </c>
      <c r="Z51" s="173" t="b">
        <v>0</v>
      </c>
      <c r="AA51" s="174" t="b">
        <v>0</v>
      </c>
      <c r="AB51" s="174" t="b">
        <v>0</v>
      </c>
      <c r="AC51" s="175" t="b">
        <v>0</v>
      </c>
      <c r="AD51" s="173" t="b">
        <v>0</v>
      </c>
      <c r="AE51" s="176" t="s">
        <v>1070</v>
      </c>
      <c r="AF51" s="171" t="s">
        <v>1070</v>
      </c>
      <c r="AG51" s="177">
        <f>IFERROR(__xludf.DUMMYFUNCTION("IF(
  ISNUMBER(AG50),
  MIN(MAX(
    AG50
    + MAX(
      ROUNDDOWN(($D51 - MAX(IFERROR(FILTER($D$24:$D50, AG$24:AG50 &lt;&gt; AF$6, AG$23:AG49 = AF$6), 0))) * (60 * 60 * 24) / AF$9) - ROUNDDOWN(($D50 - MAX(IFERROR(FILTER($D$23:$D49, AG$23:AG49 &lt;&gt; AF$6, AG$22:"&amp;"AG48 = AF$6), 0))) * (60 * 60 * 24) / 60),
      0
    )
    - COUNTIF(AF51, ""&lt;&gt;-""),
  0), AF$6),
  AF$6 - COUNTIF(AF51, ""&lt;&gt;-"")
)"),2.0)</f>
        <v>2</v>
      </c>
      <c r="AH51" s="173" t="b">
        <v>0</v>
      </c>
      <c r="AI51" s="173" t="b">
        <v>0</v>
      </c>
      <c r="AJ51" s="173" t="b">
        <v>0</v>
      </c>
      <c r="AK51" s="174" t="b">
        <v>0</v>
      </c>
      <c r="AL51" s="175" t="b">
        <v>0</v>
      </c>
      <c r="AM51" s="173" t="b">
        <v>0</v>
      </c>
      <c r="AN51" s="171" t="s">
        <v>1070</v>
      </c>
      <c r="AO51" s="173" t="b">
        <v>0</v>
      </c>
      <c r="AP51" s="173" t="b">
        <v>0</v>
      </c>
      <c r="AQ51" s="173" t="b">
        <v>0</v>
      </c>
      <c r="AR51" s="174" t="b">
        <v>0</v>
      </c>
      <c r="AS51" s="178" t="b">
        <v>0</v>
      </c>
      <c r="AT51" s="179" t="b">
        <v>0</v>
      </c>
      <c r="AU51" s="180" t="b">
        <v>0</v>
      </c>
      <c r="AV51" s="180" t="b">
        <v>0</v>
      </c>
      <c r="AW51" s="180" t="b">
        <v>0</v>
      </c>
      <c r="AX51" s="180" t="b">
        <v>0</v>
      </c>
      <c r="AY51" s="181" t="s">
        <v>1070</v>
      </c>
      <c r="AZ51" s="181" t="s">
        <v>1070</v>
      </c>
      <c r="BA51" s="184">
        <f>IFERROR(__xludf.DUMMYFUNCTION("IF(
  ISNUMBER(BA50),
  MIN(MAX(
    BA50
    + MAX(
      ROUNDDOWN((D51 - MAX(IFERROR(FILTER(D$24:D50, BA$24:BA50 &lt;&gt; AZ$6, BA$23:BA49 = AZ$6), 0))) * (60 * 60 * 24) / AZ$9) - ROUNDDOWN((D50 - MAX(IFERROR(FILTER(D$23:D49, BA$23:BA49 &lt;&gt; AZ$6, BA$22:BA48 ="&amp;" AZ$6), 0))) * (60 * 60 * 24) / AZ$9),
      0
    )
    - COUNTIF(AZ51, ""&lt;&gt;-""),
  0), AZ$6),
  AZ$6 - COUNTIF(AZ51, ""&lt;&gt;-"")
)"),2.0)</f>
        <v>2</v>
      </c>
      <c r="BB51" s="181" t="s">
        <v>1070</v>
      </c>
      <c r="BC51" s="183">
        <f>IFERROR(__xludf.DUMMYFUNCTION("IF(
  ISNUMBER(BC50),
  MIN(MAX(
    BC50
    + MAX(
      ROUNDDOWN(($D51 - MAX(IFERROR(FILTER($D$24:$D50, BC$24:BC50 &lt;&gt; BB$6, BC$23:BC49 = BB$6), 0))) * (60 * 60 * 24) / BB$9) - ROUNDDOWN(($D50 - MAX(IFERROR(FILTER($D$23:$D49, BC$23:BC49 &lt;&gt; BB$6, BC$22:"&amp;"BC48 = BB$6), 0))) * (60 * 60 * 24) / 60),
      0
    )
    - COUNTIF(BB51, ""&lt;&gt;-""),
  0), BB$6),
  BB$6 - COUNTIF(BB51, ""&lt;&gt;-"")
)"),2.0)</f>
        <v>2</v>
      </c>
      <c r="BD51" s="181" t="s">
        <v>1070</v>
      </c>
      <c r="BE51" s="178" t="b">
        <v>0</v>
      </c>
      <c r="BF51" s="180" t="b">
        <v>0</v>
      </c>
      <c r="BG51" s="180" t="b">
        <v>0</v>
      </c>
      <c r="BH51" s="180" t="b">
        <v>0</v>
      </c>
      <c r="BI51" s="180" t="b">
        <v>0</v>
      </c>
      <c r="BJ51" s="180" t="b">
        <v>0</v>
      </c>
      <c r="BK51" s="180" t="b">
        <v>0</v>
      </c>
      <c r="BL51" s="180" t="b">
        <v>0</v>
      </c>
      <c r="BM51" s="180" t="b">
        <v>0</v>
      </c>
      <c r="BN51" s="180" t="b">
        <v>0</v>
      </c>
      <c r="BO51" s="181" t="s">
        <v>1070</v>
      </c>
      <c r="BP51" s="181" t="s">
        <v>1070</v>
      </c>
      <c r="BQ51" s="181" t="s">
        <v>1070</v>
      </c>
      <c r="BR51" s="181" t="s">
        <v>1070</v>
      </c>
      <c r="BS51" s="181" t="s">
        <v>1070</v>
      </c>
      <c r="BT51" s="184">
        <f>IFERROR(__xludf.DUMMYFUNCTION("IF(
  ISNUMBER(BT50),
  MIN(MAX(
    BT50
    + MAX(
      ROUNDDOWN((D51 - MAX(IFERROR(FILTER(D$24:D50, BT$24:BT50 &lt;&gt; BS$6, BT$23:BT49 = BS$6), 0))) * (60 * 60 * 24) / BS$9) - ROUNDDOWN((D50 - MAX(IFERROR(FILTER(D$23:D49, BT$23:BT49 &lt;&gt; BS$6, BT$22:BT48 ="&amp;" BS$6), 0))) * (60 * 60 * 24) / BS$9),
      0
    )
    - COUNTIF(BS51, ""&lt;&gt;-""),
  0), BS$6),
  BS$6 - COUNTIF(BS51, ""&lt;&gt;-"")
)"),3.0)</f>
        <v>3</v>
      </c>
      <c r="BU51" s="181" t="s">
        <v>1070</v>
      </c>
      <c r="BV51" s="181" t="s">
        <v>1070</v>
      </c>
      <c r="BW51" s="184">
        <f>IFERROR(__xludf.DUMMYFUNCTION("IF(
  ISNUMBER(BW50),
  MIN(MAX(
    BW50
    + MAX(
      ROUNDDOWN((D51 - MAX(IFERROR(FILTER(D$24:D50, BW$24:BW50 &lt;&gt; BV$6, BW$23:BW49 = BV$6), 0))) * (60 * 60 * 24) / BV$9) - ROUNDDOWN((D50 - MAX(IFERROR(FILTER(D$23:D49, BW$23:BW49 &lt;&gt; BV$6, BW$22:BW48 ="&amp;" BV$6), 0))) * (60 * 60 * 24) / BV$9),
      0
    )
    - COUNTIF(BV51, ""&lt;&gt;-""),
  0), BV$6),
  BV$6 - COUNTIF(BV51, ""&lt;&gt;-"")
)"),2.0)</f>
        <v>2</v>
      </c>
      <c r="BX51" s="185" t="s">
        <v>1070</v>
      </c>
      <c r="BY51" s="178" t="b">
        <v>0</v>
      </c>
      <c r="BZ51" s="180" t="b">
        <v>0</v>
      </c>
      <c r="CA51" s="180" t="b">
        <v>0</v>
      </c>
      <c r="CB51" s="180" t="b">
        <v>0</v>
      </c>
      <c r="CC51" s="180" t="b">
        <v>0</v>
      </c>
      <c r="CD51" s="180" t="b">
        <v>0</v>
      </c>
      <c r="CE51" s="180" t="b">
        <v>0</v>
      </c>
      <c r="CF51" s="180" t="b">
        <v>0</v>
      </c>
      <c r="CG51" s="180" t="b">
        <v>0</v>
      </c>
      <c r="CH51" s="180" t="b">
        <v>0</v>
      </c>
      <c r="CI51" s="180" t="b">
        <v>0</v>
      </c>
      <c r="CJ51" s="180" t="b">
        <v>0</v>
      </c>
      <c r="CK51" s="180" t="b">
        <v>0</v>
      </c>
      <c r="CL51" s="180" t="b">
        <v>0</v>
      </c>
      <c r="CM51" s="181" t="s">
        <v>1070</v>
      </c>
      <c r="CN51" s="181" t="s">
        <v>1070</v>
      </c>
      <c r="CO51" s="181" t="s">
        <v>1070</v>
      </c>
      <c r="CP51" s="181" t="s">
        <v>1070</v>
      </c>
      <c r="CQ51" s="185" t="s">
        <v>1070</v>
      </c>
      <c r="CR51" s="180" t="b">
        <v>0</v>
      </c>
      <c r="CS51" s="186" t="str">
        <f t="shared" si="14"/>
        <v>◇◇◇</v>
      </c>
      <c r="CT51" s="178" t="b">
        <v>0</v>
      </c>
      <c r="CU51" s="180" t="b">
        <v>0</v>
      </c>
      <c r="CV51" s="180" t="b">
        <v>0</v>
      </c>
      <c r="CW51" s="180" t="b">
        <v>0</v>
      </c>
      <c r="CX51" s="180" t="b">
        <v>0</v>
      </c>
      <c r="CY51" s="180" t="b">
        <v>0</v>
      </c>
      <c r="CZ51" s="180" t="b">
        <v>0</v>
      </c>
      <c r="DA51" s="180" t="b">
        <v>0</v>
      </c>
      <c r="DB51" s="180" t="b">
        <v>0</v>
      </c>
      <c r="DC51" s="180" t="b">
        <v>0</v>
      </c>
      <c r="DD51" s="181" t="s">
        <v>1070</v>
      </c>
      <c r="DE51" s="181" t="s">
        <v>1070</v>
      </c>
      <c r="DF51" s="181" t="s">
        <v>1070</v>
      </c>
      <c r="DG51" s="185" t="s">
        <v>1070</v>
      </c>
      <c r="DH51" s="180" t="b">
        <v>0</v>
      </c>
      <c r="DI51" s="187" t="str">
        <f>IFERROR(__xludf.DUMMYFUNCTION("SWITCH(
  IF(
    ISTEXT(DI50),
    IF (
      FIND(""○"", DI50&amp;""○"") &gt; 3,
      3,
      FIND(""○"", DI50&amp;""○"")
      + MAX(
        ROUNDDOWN(($D51 - MAX(IFERROR(FILTER(D$24:D50, DI$24:DI50 &lt;&gt; ""●●●"", DI$23:DI49 = ""●●●""), 0))) * (60 * 60 * 24) / 20"&amp;") - ROUNDDOWN(($D50 - MAX(IFERROR(FILTER(D$23:D49, DI$23:DI49 &lt;&gt; ""●●●"", DI$22:DI48 = ""●●●""), 0))) * (60 * 60 * 24) / 20),
        0
      ) - 1
    ) - COUNTIFS(CU51, ""=TRUE"", CU50, ""&lt;&gt;TRUE"") - COUNTIF(CZ51, ""=TRUE"") - COUNTIF({DD51,DE51}, ""&lt;&gt;-"&amp;""") + COUNTIF(DH51, ""=TRUE""),
    3
  ),
  0, ""○○○"", 1, ""●○○"", 2, ""●●○"", 3, ""●●●"", 4, ""●●●"", ""○○○""
)"),"●●●")</f>
        <v>●●●</v>
      </c>
      <c r="DJ51" s="188" t="b">
        <v>0</v>
      </c>
      <c r="DK51" s="189" t="b">
        <v>0</v>
      </c>
      <c r="DL51" s="190" t="b">
        <v>0</v>
      </c>
      <c r="DM51" s="190" t="b">
        <v>0</v>
      </c>
      <c r="DN51" s="190" t="b">
        <v>0</v>
      </c>
      <c r="DO51" s="190" t="b">
        <v>0</v>
      </c>
      <c r="DP51" s="190" t="b">
        <v>0</v>
      </c>
      <c r="DQ51" s="191" t="b">
        <v>0</v>
      </c>
      <c r="DR51" s="192" t="b">
        <v>0</v>
      </c>
      <c r="DS51" s="191" t="b">
        <v>0</v>
      </c>
      <c r="DT51" s="192" t="b">
        <v>0</v>
      </c>
      <c r="DU51" s="191" t="b">
        <v>0</v>
      </c>
      <c r="DV51" s="193" t="s">
        <v>1070</v>
      </c>
      <c r="DW51" s="194" t="b">
        <v>0</v>
      </c>
      <c r="DX51" s="194" t="b">
        <v>0</v>
      </c>
      <c r="DY51" s="195" t="b">
        <v>0</v>
      </c>
      <c r="DZ51" s="196" t="b">
        <v>0</v>
      </c>
      <c r="EA51" s="195" t="b">
        <v>0</v>
      </c>
      <c r="EB51" s="197" t="b">
        <v>0</v>
      </c>
      <c r="EC51" s="197" t="b">
        <v>0</v>
      </c>
      <c r="ED51" s="212" t="b">
        <v>0</v>
      </c>
      <c r="EE51" s="199">
        <f>IFERROR(__xludf.DUMMYFUNCTION("IFERROR(
   PRODUCT(
     MAP(
       INDEX(TRANSPOSE(UNIQUE(TRANSPOSE(FILTER({IF($F51=""Physical"", K$10:ED$10, IF($F51=""Magic"", K$11:ED$11, K$12:ED$12));K$4:ED$4;K51:ED51}, K51:ED51=TRUE)))), 1, 0),
       INDEX(TRANSPOSE(UNIQUE(TRANSPOSE(FILTER({IF($"&amp;"F51=""Physical"", K$18:ED$18, IF($F51=""Magic"", K$19:ED$19, K$20:ED$20));K$4:ED$4;K51:ED51}, K51:ED51=TRUE)))), 1, 0),
       INDEX(TRANSPOSE(UNIQUE(TRANSPOSE(FILTER({K$5:ED$5;K$4:ED$4;K51:ED51}, K51:ED51=TRUE)))), 1, 0),
       INDEX(TRANSPOSE(UNIQUE(TR"&amp;"ANSPOSE(FILTER({K$17:ED$17;K$4:ED$4;K51:ED51}, K51:ED51=TRUE)))), 1, 0),
       LAMBDA(
         mitigation,
         enhance,
         assign,
         precondition,
         IF(
           REGEXMATCH(assign, ""RANGE_PARTY|SINGLE_ENEMY|RANGE_ENEMY""),
  "&amp;"         IF(
             OR(ARRAYFORMULA((IF(precondition="""", FALSE, REGEXMATCH(K$4:ED$4, precondition))) * (K51:ED51=TRUE))),
             IF(ISNUMBER(enhance), enhance, 1),
             IF(ISNUMBER(mitigation), mitigation, 1)
           ),
          "&amp;" 1
         )
       )
     )
   ),
   1
 )"),1.0)</f>
        <v>1</v>
      </c>
      <c r="EF51" s="200">
        <f>IFERROR(__xludf.DUMMYFUNCTION("PRODUCT(
   MAP(
     K$14:ED$14,
     K$13:ED$13,
     K51:ED51,
     LAMBDA(
       buff,
       target,
       check,
       IF(
         AND(check=TRUE, REGEXMATCH(target, ""RANGE_AFFECTED_ALL|RANGE_EFFECTED_ALL""), ISNUMBER(buff)),
         buff,
   "&amp;"      1
       )
     )
   )
 )"),1.0)</f>
        <v>1</v>
      </c>
      <c r="EG51" s="200">
        <f>IFERROR(__xludf.DUMMYFUNCTION("PRODUCT(
   MAP(
     K$14:ED$14,
     K$13:ED$13,
     K51:ED51,
     LAMBDA(
       buff,
       target,
       check,
       IF(
         AND(check=TRUE, REGEXMATCH(target, ""RANGE_AFFECTED_GCD|RANGE_EFFECTED_GCD""), ISNUMBER(buff)),
         buff,
   "&amp;"      1
       )
     )
   )
 )"),1.0)</f>
        <v>1</v>
      </c>
      <c r="EH51" s="200">
        <f>IFERROR(__xludf.DUMMYFUNCTION("PRODUCT(
   MAP(
     K$3:ED$3,
     K$14:ED$14,
     K$13:ED$13,
     K51:ED51,
     LAMBDA(
       job,
       buff,
       target,
       check,
       IF(
         AND(check=TRUE, REGEXMATCH(target, ""SELF_EFFECTED_ALL""), ISNUMBER(buff), job=""白魔道士"""&amp;"),
         buff,
         1
       )
     )
   )
 )"),1.0)</f>
        <v>1</v>
      </c>
      <c r="EI51" s="200">
        <f>IFERROR(__xludf.DUMMYFUNCTION("PRODUCT(
   MAP(
     K$3:ED$3,
     K$14:ED$14,
     K$13:ED$13,
     K51:ED51,
     LAMBDA(
       job,
       buff,
       target,
       check,
       IF(
         AND(check=TRUE, REGEXMATCH(target, ""SELF_EFFECTED_GCD""), ISNUMBER(buff), job=""白魔道士"""&amp;"),
         buff,
         1
       )
     )
   )
 )"),1.0)</f>
        <v>1</v>
      </c>
      <c r="EJ51" s="200">
        <f>IFERROR(__xludf.DUMMYFUNCTION("PRODUCT(
   MAP(
     K$3:ED$3,
     K$14:ED$14,
     K$13:ED$13,
     K51:ED51,
     LAMBDA(
       job,
       buff,
       target,
       check,
       IF(
         AND(check=TRUE, REGEXMATCH(target, ""SELF_EFFECTED_ALL""), ISNUMBER(buff), job=""占星術師"""&amp;"),
         buff,
         1
       )
     )
   )
 )"),1.0)</f>
        <v>1</v>
      </c>
      <c r="EK51" s="200">
        <f>IFERROR(__xludf.DUMMYFUNCTION("PRODUCT(
   MAP(
     K$3:ED$3,
     K$14:ED$14,
     K$13:ED$13,
     K51:ED51,
     LAMBDA(
       job,
       buff,
       target,
       check,
       IF(
         AND(check=TRUE, REGEXMATCH(target, ""SELF_EFFECTED_GCD""), ISNUMBER(buff), job=""占星術師"""&amp;"),
         buff,
         1
       )
     )
   )
 )"),1.0)</f>
        <v>1</v>
      </c>
      <c r="EL51" s="200">
        <f>IFERROR(__xludf.DUMMYFUNCTION("PRODUCT(
   MAP(
     K$3:ED$3,
     K$14:ED$14,
     K$13:ED$13,
     K51:ED51,
     LAMBDA(
       job,
       buff,
       target,
       check,
       IF(
         AND(check=TRUE, REGEXMATCH(target, ""SELF_EFFECTED_ALL""), ISNUMBER(buff), job=""学者""),"&amp;"
         buff,
         1
       )
     )
   )
 )"),1.0)</f>
        <v>1</v>
      </c>
      <c r="EM51" s="200">
        <f>IFERROR(__xludf.DUMMYFUNCTION("PRODUCT(
   MAP(
     K$3:ED$3,
     K$14:ED$14,
     K$13:ED$13,
     K51:ED51,
     LAMBDA(
       job,
       buff,
       target,
       check,
       IF(
         AND(check=TRUE, REGEXMATCH(target, ""SELF_EFFECTED_GCD""), ISNUMBER(buff), job=""学者""),"&amp;"
         buff,
         1
       )
     )
   )
 )"),1.0)</f>
        <v>1</v>
      </c>
      <c r="EN51" s="200">
        <f>IFERROR(__xludf.DUMMYFUNCTION("PRODUCT(
   MAP(
     K$3:ED$3,
     K$14:ED$14,
     K$13:ED$13,
     K51:ED51,
     LAMBDA(
       job,
       buff,
       target,
       check,
       IF(
         AND(check=TRUE, REGEXMATCH(target, ""SELF_EFFECTED_ALL""), ISNUMBER(buff), job=""賢者""),"&amp;"
         buff,
         1
       )
     )
   )
 )"),1.0)</f>
        <v>1</v>
      </c>
      <c r="EO51" s="200">
        <f>IFERROR(__xludf.DUMMYFUNCTION("PRODUCT(
   MAP(
     K$3:ED$3,
     K$14:ED$14,
     K$13:ED$13,
     K51:ED51,
     LAMBDA(
       job,
       buff,
       target,
       check,
       IF(
         AND(check=TRUE, REGEXMATCH(target, ""SELF_EFFECTED_GCD""), ISNUMBER(buff), job=""賢者""),"&amp;"
         buff,
         1
       )
     )
   )
 )"),1.0)</f>
        <v>1</v>
      </c>
      <c r="EP51" s="201">
        <f t="shared" si="3"/>
        <v>0</v>
      </c>
      <c r="EQ51" s="201">
        <f>IFERROR(__xludf.DUMMYFUNCTION("SUM(
   MAP(
     K$4:ED$4,
     K$3:ED$3,
     K$7:ED$7,
     K$15:ED$15,
     K$16:ED$16,
     K$21:ED$21,
     K$5:ED$5,
     K$17:ED$17,
     K51:ED51,
     LAMBDA(
       name,
       job,
       abillity,
       buff,
       barrier,
       enhance,"&amp;"
       assign,
       precondition,
       check,
       SWITCH(
         name,
         ""シェイクオフ"", IF(check=TRUE, buff + (0.02 * COUNTIF(ARRAYFORMULA((REGEXMATCH($K$4:$ED$4, ""スリル・オブ・バトル|ヴェンジェンス|原初の血気|ダムネーション"")) * (K51:ED51=TRUE)), 1)), 0),
         "&amp;"""インプロビゼーションフィニッシュ(踊りの激情0)"", IF(ISNUMBER(check), INDEX(Skill!$AJ:$AJ, MATCH(SUBSTITUTE(DV$4, 0, check), Skill!$C:$C, 0)), 0),
         IF(
           AND(check=TRUE, REGEXMATCH(assign, ""RANGE_PARTY"")),
           IF(
             OR(ARRAYFORMULA((IF(pr"&amp;"econdition="""", FALSE, REGEXMATCH($K$4:$ED$4, precondition))) * (K51:ED51=TRUE))),
             enhance,
             IF(barrier="""", buff, barrier)
           ),
           0
         )
       ) *
       SWITCH(
         job,
         ""ナイト"", EY$24,
 "&amp;"        ""戦士"", FD$24,
         ""踊り子"", ET$24,
         ""ピクトマンサー"", ET$24,
         ""白魔道士"", EF51 * EH51 * IF(abillity, 1, EG51 * EI51) * (Option!$D$22 * 0.81 / 100),
         ""占星術師"", EF51 * EJ51 * IF(abillity, 1, EG51 * EK51) * (Option!$D$23 * 0.81 "&amp;"/ 100),
         ""学者"", EF51 * EL51 * IF(abillity, 1, EG51 * EM51) * (Option!$D$24 * 0.81 / 100),
         ""賢者"", EF51 * EN51 * IF(abillity, 1, EG51 * EO51) * (Option!$D$25 * 0.81 / 100),
         1
       )
     )
   )
 )"),0.0)</f>
        <v>0</v>
      </c>
      <c r="ER51" s="202">
        <f t="shared" si="4"/>
        <v>0</v>
      </c>
      <c r="ES51" s="203">
        <f t="shared" si="5"/>
        <v>0</v>
      </c>
      <c r="ET51" s="231" t="str">
        <f>IFERROR(__xludf.DUMMYFUNCTION("IFS(
  EP51 &gt; $ET$24 + EQ51,
  SPARKLINE({ 1, 0 }, {""charttype"",""bar"";""max"", 1;""color1"",Option!$D$30;""color2"",Option!$D$30}),
  EP51 &lt; EQ51,
  SPARKLINE({EQ51 - EP51, $ET$24 - (EQ51 - EP51)}, {""charttype"",""bar"";""max"",$ET$24;""color1"",Opti"&amp;"on!$D$28;""color2"",Option!$D$29}),
  EP51 &gt;= EQ51,
  SPARKLINE({$ET$24 + EQ51 - EP51,EP51 - EQ51}, {""charttype"",""bar"";""max"",$ET$24;""color1"",Option!$D$29;""color2"",Option!$D$30})
)"),"")</f>
        <v/>
      </c>
      <c r="EU51" s="205">
        <f>IFERROR(__xludf.DUMMYFUNCTION("PRODUCT(
   MAP(
     IF($F51=""Physical"", K$10:ED$10, IF($F51=""Magic"", K$11:ED$11, K$12:ED$12)),
     IF($F51=""Physical"", K$18:ED$18, IF($F51=""Magic"", K$19:ED$19, K$20:ED$20)),
     K$3:ED$3,
     K$5:ED$5,
     K$17:ED$17,
     K51:ED51,
     LAM"&amp;"BDA(
       mitigation,
       enhance,
       job,
       assign,
       precondition,
       check,
       IF(
         OR(AND(check=TRUE, REGEXMATCH(assign, ""SELF""), job=""ナイト""), AND(check=Option!$E$13, REGEXMATCH(assign, ""SINGLE_PARTY""))),
      "&amp;"   IF(
           OR(ARRAYFORMULA((IF(precondition="""", FALSE, REGEXMATCH($K$4:$ED$4, precondition))) * (K51:ED51=TRUE))),
           enhance,
           mitigation
         ),
         1
       )
     )
   )
 ) * EE51"),1.0)</f>
        <v>1</v>
      </c>
      <c r="EV51" s="206">
        <f t="shared" si="6"/>
        <v>0</v>
      </c>
      <c r="EW51" s="205">
        <f>IFERROR(__xludf.DUMMYFUNCTION("PRODUCT(
   MAP(
     K$3:ED$3,
     K$14:ED$14,
     K$13:ED$13,
     K51:ED51,
     LAMBDA(
       job,
       buff,
       target,
       check,
       IF(
         OR(AND(check=TRUE, REGEXMATCH(target, ""SELF_AFFECTED_ALL""), job=""ナイト""), AND(check=O"&amp;"ption!$E$13, REGEXMATCH(target, ""SINGLE_AFFECTED_ALL""))),
         buff,
         1
       )
     )
   )
 )"),1.0)</f>
        <v>1</v>
      </c>
      <c r="EX51" s="206">
        <f>IFERROR(__xludf.DUMMYFUNCTION("SUM(
   MAP(
     K$3:ED$3,
     K$7:ED$7,
     K$15:ED$15,
     K$16:ED$16,
     K$21:ED$21,
     K$5:ED$5,
     K$17:ED$17,
     K51:ED51,
     LAMBDA(
       job,
       abillity,
       buff,
       barrier,
       enhance,
       assign,
       preco"&amp;"ndition,
       check,
       IF(
         OR(AND(check=TRUE, REGEXMATCH(assign, ""SELF""), job=""ナイト""), AND(check=Option!$E$13, REGEXMATCH(assign, ""SINGLE_PARTY""))),
         IF(
           OR(ARRAYFORMULA((IF(precondition="""", FALSE, REGEXMATCH($K$4"&amp;":$ED$4, precondition))) * (K51:ED51=TRUE))),
           enhance,
           IF(barrier="""", buff, barrier)
         ),
         0
       ) *
       SWITCH(
         job,
         ""暗黒騎士"", EY$24,
         ""白魔道士"", EF51 * EH51 * EW51 * IF(abillity, 1, EG"&amp;"51 * EI51) * (Option!$D$22 * 0.81 / 100),
         ""占星術師"", EF51 * EJ51 * EW51 * IF(abillity, 1, EG51 * EK51) * (Option!$D$23 * 0.81 / 100),
         ""学者"", EF51 * EL51 * EW51 * IF(abillity, 1, EG51 * EM51) * (Option!$D$24 * 0.81 / 100),
         ""賢者"""&amp;", EF51 * EN51 * EW51 * IF(abillity, 1, EG51 * EO51) * (Option!$D$25 * 0.81 / 100),
         1
       )
     )
   )
 ) + EQ51"),0.0)</f>
        <v>0</v>
      </c>
      <c r="EY51" s="232">
        <f t="shared" si="7"/>
        <v>0</v>
      </c>
      <c r="EZ51" s="205">
        <f>IFERROR(__xludf.DUMMYFUNCTION("PRODUCT(
   MAP(
     IF($F51=""Physical"", K$10:ED$10, IF($F51=""Magic"", K$11:ED$11, K$12:ED$12)),
     IF($F51=""Physical"", K$18:ED$18, IF($F51=""Magic"", K$19:ED$19, K$20:ED$20)),
     K$3:ED$3,
     K$5:ED$5,
     K$17:ED$17,
     K51:ED51,
     LAM"&amp;"BDA(
       mitigation,
       enhance,
       job,
       assign,
       precondition,
       check,
       IF(
         OR(AND(check=TRUE, REGEXMATCH(assign, ""SELF""), job=""戦士""), AND(check=Option!$F$13, REGEXMATCH(assign, ""SINGLE_PARTY""))),
       "&amp;"  IF(
           OR(ARRAYFORMULA((IF(precondition="""", FALSE, REGEXMATCH($K$4:$ED$4, precondition))) * (K51:ED51=TRUE))),
           enhance,
           mitigation
         ),
         1
       )
     )
   )
 ) * EE51"),1.0)</f>
        <v>1</v>
      </c>
      <c r="FA51" s="206">
        <f t="shared" si="8"/>
        <v>0</v>
      </c>
      <c r="FB51" s="205">
        <f>IFERROR(__xludf.DUMMYFUNCTION("PRODUCT(
   MAP(
     K$3:ED$3,
     K$14:ED$14,
     K$13:ED$13,
     K51:ED51,
     LAMBDA(
       job,
       buff,
       target,
       check,
       IF(
         OR(AND(check=TRUE, REGEXMATCH(target, ""SELF_AFFECTED_ALL""), job=""戦士""), AND(check=Op"&amp;"tion!$F$13, REGEXMATCH(target, ""SINGLE_AFFECTED_ALL""))),
         buff,
         1
       )
     )
   )
 )"),1.0)</f>
        <v>1</v>
      </c>
      <c r="FC51" s="206">
        <f>IFERROR(__xludf.DUMMYFUNCTION("SUM(
   MAP(
     K$3:ED$3,
     K$7:ED$7,
     K$15:ED$15,
     K$16:ED$16,
     K$21:ED$21,
     K$5:ED$5,
     K$17:ED$17,
     K51:ED51,
     LAMBDA(
       job,
       abillity,
       buff,
       barrier,
       enhance,
       assign,
       preco"&amp;"ndition,
       check,
       IF(
         OR(AND(check=TRUE, REGEXMATCH(assign, ""SELF""), job=""戦士""), AND(check=Option!$F$13, REGEXMATCH(assign, ""SINGLE_PARTY""))),
         IF(
           OR(ARRAYFORMULA((IF(precondition="""", FALSE, REGEXMATCH($K$4:"&amp;"$ED$4, precondition))) * (K51:ED51=TRUE))),
           enhance,
           IF(barrier="""", buff, barrier)
         ),
         0
       ) *
       SWITCH(
         job,
         ""暗黒騎士"", FD$24,
         ""白魔道士"", EF51 * EH51 * FB51 * IF(abillity, 1, EG5"&amp;"1 * EI51) * (Option!$D$22 * 0.81 / 100),
         ""占星術師"", EF51 * EJ51 * FFB51 * IF(abillity, 1, EG51 * EK51) * (Option!$D$23 * 0.81 / 100),
         ""学者"", EF51 * EL51 * FB51 * IF(abillity, 1, EG51 * EM51) * (Option!$D$24 * 0.81 / 100),
         ""賢者"""&amp;", EF51 * EN51 * FB51 * IF(abillity, 1, EG51 * EO51) * (Option!$D$25 * 0.81 / 100),
         1
       )
     )
   )
 ) + EQ51"),0.0)</f>
        <v>0</v>
      </c>
      <c r="FD51" s="206">
        <f t="shared" si="9"/>
        <v>0</v>
      </c>
      <c r="FE51" s="205">
        <f>IFERROR(__xludf.DUMMYFUNCTION("PRODUCT(
   MAP(
     IF($F51=""Physical"", K$10:ED$10, IF($F51=""Magic"", K$11:ED$11, K$12:ED$12)),
     IF($F51=""Physical"", K$18:ED$18, IF($F51=""Magic"", K$19:ED$19, K$20:ED$20)),
     K$3:ED$3,
     K$5:ED$5,
     K$17:ED$17,
     K51:ED51,
     LAM"&amp;"BDA(
       mitigation,
       enhance,
       job,
       assign,
       precondition,
       check,
       IF(
         OR(AND(check=TRUE, REGEXMATCH(assign, ""SELF""), job=""暗黒騎士""), AND(check=Option!$G$13, REGEXMATCH(assign, ""SINGLE_PARTY""))),
     "&amp;"    IF(
           OR(ARRAYFORMULA((IF(precondition="""", FALSE, REGEXMATCH($K$4:$ED$4, precondition))) * (K51:ED51=TRUE))),
           enhance,
           mitigation
         ),
         1
       )
     )
   )
 ) * EE51"),1.0)</f>
        <v>1</v>
      </c>
      <c r="FF51" s="206">
        <f t="shared" si="10"/>
        <v>0</v>
      </c>
      <c r="FG51" s="205">
        <f>IFERROR(__xludf.DUMMYFUNCTION("PRODUCT(
   MAP(
     K$3:ED$3,
     K$14:ED$14,
     K$13:ED$13,
     K51:ED51,
     LAMBDA(
       job,
       buff,
       target,
       check,
       IF(
         OR(AND(check=TRUE, REGEXMATCH(target, ""SELF_AFFECTED_ALL""), job=""暗黒騎士""), AND(check="&amp;"Option!$G$13, REGEXMATCH(target, ""SINGLE_AFFECTED_ALL""))),
         buff,
         1
       )
     )
   )
 )"),1.0)</f>
        <v>1</v>
      </c>
      <c r="FH51" s="206">
        <f>IFERROR(__xludf.DUMMYFUNCTION("SUM(
   MAP(
     K$3:ED$3,
     K$7:ED$7,
     K$15:ED$15,
     K$16:ED$16,
     K$21:ED$21,
     K$5:ED$5,
     K$17:ED$17,
     K51:ED51,
     LAMBDA(
       job,
       abillity,
       buff,
       barrier,
       enhance,
       assign,
       preco"&amp;"ndition,
       check,
       IF(
         OR(AND(check=TRUE, REGEXMATCH(assign, ""SELF""), job=""暗黒騎士""), AND(check=Option!$G$13, REGEXMATCH(assign, ""SINGLE_PARTY""))),
         IF(
           OR(ARRAYFORMULA((IF(precondition="""", FALSE, REGEXMATCH($K$"&amp;"4:$ED$4, precondition))) * (K51:ED51=TRUE))),
           enhance,
           IF(barrier="""", buff, barrier)
         ),
         0
       ) *
       SWITCH(
         job,
         ""暗黒騎士"", FI$24,
         ""白魔道士"", EF51 * EH51 * FG51 * IF(abillity, 1, E"&amp;"G51 * EI51) * (Option!$D$22 * 0.81 / 100),
         ""占星術師"", EF51 * EJ51 * FG51 * IF(abillity, 1, EG51 * EK51) * (Option!$D$23 * 0.81 / 100),
         ""学者"", EF51 * EL51 * FG51 * IF(abillity, 1, EG51 * EM51) * (Option!$D$24 * 0.81 / 100),
         ""賢者"&amp;""", EF51 * EN51 * FG51 * IF(abillity, 1, EG51 * EO51) * (Option!$D$25 * 0.81 / 100),
         1
       )
     )
   )
 ) + EQ51"),0.0)</f>
        <v>0</v>
      </c>
      <c r="FI51" s="206">
        <f t="shared" si="11"/>
        <v>0</v>
      </c>
      <c r="FJ51" s="205">
        <f>IFERROR(__xludf.DUMMYFUNCTION("PRODUCT(
   MAP(
     IF($F51=""Physical"", K$10:ED$10, IF($F51=""Magic"", K$11:ED$11, K$12:ED$12)),
     IF($F51=""Physical"", K$18:ED$18, IF($F51=""Magic"", K$19:ED$19, K$20:ED$20)),
     K$3:ED$3,
     K$5:ED$5,
     K$17:ED$17,
     K51:ED51,
     LAM"&amp;"BDA(
       mitigation,
       enhance,
       job,
       assign,
       precondition,
       check,
       IF(
         OR(AND(check=TRUE, REGEXMATCH(assign, ""SELF""), job=""ガンブレイカー""), AND(check=Option!$H$13, REGEXMATCH(assign, ""SINGLE_PARTY""))),
  "&amp;"       IF(
           OR(ARRAYFORMULA((IF(precondition="""", FALSE, REGEXMATCH($K$4:$ED$4, precondition))) * (K51:ED51=TRUE))),
           enhance,
           mitigation
         ),
         1
       )
     )
   )
 ) * EE51"),1.0)</f>
        <v>1</v>
      </c>
      <c r="FK51" s="206">
        <f t="shared" si="12"/>
        <v>0</v>
      </c>
      <c r="FL51" s="205">
        <f>IFERROR(__xludf.DUMMYFUNCTION("PRODUCT(
   MAP(
     K$3:ED$3,
     K$14:ED$14,
     K$13:ED$13,
     K51:ED51,
     LAMBDA(
       job,
       buff,
       target,
       check,
       IF(
         OR(AND(check=TRUE, REGEXMATCH(target, ""SELF_AFFECTED_ALL""), job=""ガンブレイカー""), AND(che"&amp;"ck=Option!$H$13, REGEXMATCH(target, ""SINGLE_AFFECTED_ALL""))),
         buff,
         1
       )
     )
   )
 )"),1.0)</f>
        <v>1</v>
      </c>
      <c r="FM51" s="206">
        <f>IFERROR(__xludf.DUMMYFUNCTION("SUM(
   MAP(
     K$3:ED$3,
     K$7:ED$7,
     K$15:ED$15,
     K$16:ED$16,
     K$21:ED$21,
     K$5:ED$5,
     K$17:ED$17,
     K51:ED51,
     LAMBDA(
       job,
       abillity,
       buff,
       barrier,
       enhance,
       assign,
       preco"&amp;"ndition,
       check,
       IF(
         OR(AND(check=TRUE, REGEXMATCH(assign, ""SELF""), job=""ガンブレイカー""), AND(check=Option!$H$13, REGEXMATCH(assign, ""SINGLE_PARTY""))),
         IF(
           OR(ARRAYFORMULA((IF(precondition="""", FALSE, REGEXMATCH("&amp;"$K$4:$ED$4, precondition))) * (K51:ED51=TRUE))),
           enhance,
           IF(barrier="""", buff, barrier)
         ),
         0
       ) *
       SWITCH(
         job,
         ""暗黒騎士"", FN$24,
         ""白魔道士"", EF51 * EH51 * FL51 * IF(abillity, 1"&amp;", EG51 * EI51) * (Option!$D$22 * 0.81 / 100),
         ""占星術師"", EF51 * EJ51 * FL51 * IF(abillity, 1, EG51 * EK51) * (Option!$D$23 * 0.81 / 100),
         ""学者"", EF51 * EL51 * FL51 * IF(abillity, 1, EG51 * EM51) * (Option!$D$24 * 0.81 / 100),
         """&amp;"賢者"", EF51 * EN51 * FL51 * IF(abillity, 1, EG51 * EO51) * (Option!$D$25 * 0.81 / 100),
         1
       )
     )
   )
 ) + EQ51"),0.0)</f>
        <v>0</v>
      </c>
      <c r="FN51" s="206">
        <f t="shared" si="13"/>
        <v>0</v>
      </c>
      <c r="FO51" s="213"/>
    </row>
    <row r="52">
      <c r="B52" s="229"/>
      <c r="C52" s="217">
        <f t="shared" si="1"/>
        <v>0</v>
      </c>
      <c r="D52" s="236"/>
      <c r="E52" s="238"/>
      <c r="F52" s="167"/>
      <c r="G52" s="168" t="str">
        <f t="shared" si="2"/>
        <v/>
      </c>
      <c r="H52" s="169"/>
      <c r="I52" s="169"/>
      <c r="J52" s="169"/>
      <c r="K52" s="170" t="b">
        <v>0</v>
      </c>
      <c r="L52" s="170" t="b">
        <v>0</v>
      </c>
      <c r="M52" s="170" t="b">
        <v>0</v>
      </c>
      <c r="N52" s="171" t="s">
        <v>1070</v>
      </c>
      <c r="O52" s="172" t="b">
        <v>0</v>
      </c>
      <c r="P52" s="173" t="b">
        <v>0</v>
      </c>
      <c r="Q52" s="173" t="b">
        <v>0</v>
      </c>
      <c r="R52" s="173" t="b">
        <v>0</v>
      </c>
      <c r="S52" s="174" t="b">
        <v>0</v>
      </c>
      <c r="T52" s="175" t="b">
        <v>0</v>
      </c>
      <c r="U52" s="173" t="b">
        <v>0</v>
      </c>
      <c r="V52" s="171" t="s">
        <v>1070</v>
      </c>
      <c r="W52" s="172" t="b">
        <v>0</v>
      </c>
      <c r="X52" s="173" t="b">
        <v>0</v>
      </c>
      <c r="Y52" s="173" t="b">
        <v>0</v>
      </c>
      <c r="Z52" s="173" t="b">
        <v>0</v>
      </c>
      <c r="AA52" s="174" t="b">
        <v>0</v>
      </c>
      <c r="AB52" s="174" t="b">
        <v>0</v>
      </c>
      <c r="AC52" s="175" t="b">
        <v>0</v>
      </c>
      <c r="AD52" s="173" t="b">
        <v>0</v>
      </c>
      <c r="AE52" s="176" t="s">
        <v>1070</v>
      </c>
      <c r="AF52" s="171" t="s">
        <v>1070</v>
      </c>
      <c r="AG52" s="177">
        <f>IFERROR(__xludf.DUMMYFUNCTION("IF(
  ISNUMBER(AG51),
  MIN(MAX(
    AG51
    + MAX(
      ROUNDDOWN(($D52 - MAX(IFERROR(FILTER($D$24:$D51, AG$24:AG51 &lt;&gt; AF$6, AG$23:AG50 = AF$6), 0))) * (60 * 60 * 24) / AF$9) - ROUNDDOWN(($D51 - MAX(IFERROR(FILTER($D$23:$D50, AG$23:AG50 &lt;&gt; AF$6, AG$22:"&amp;"AG49 = AF$6), 0))) * (60 * 60 * 24) / 60),
      0
    )
    - COUNTIF(AF52, ""&lt;&gt;-""),
  0), AF$6),
  AF$6 - COUNTIF(AF52, ""&lt;&gt;-"")
)"),2.0)</f>
        <v>2</v>
      </c>
      <c r="AH52" s="173" t="b">
        <v>0</v>
      </c>
      <c r="AI52" s="173" t="b">
        <v>0</v>
      </c>
      <c r="AJ52" s="173" t="b">
        <v>0</v>
      </c>
      <c r="AK52" s="174" t="b">
        <v>0</v>
      </c>
      <c r="AL52" s="175" t="b">
        <v>0</v>
      </c>
      <c r="AM52" s="173" t="b">
        <v>0</v>
      </c>
      <c r="AN52" s="171" t="s">
        <v>1070</v>
      </c>
      <c r="AO52" s="173" t="b">
        <v>0</v>
      </c>
      <c r="AP52" s="173" t="b">
        <v>0</v>
      </c>
      <c r="AQ52" s="173" t="b">
        <v>0</v>
      </c>
      <c r="AR52" s="174" t="b">
        <v>0</v>
      </c>
      <c r="AS52" s="178" t="b">
        <v>0</v>
      </c>
      <c r="AT52" s="179" t="b">
        <v>0</v>
      </c>
      <c r="AU52" s="180" t="b">
        <v>0</v>
      </c>
      <c r="AV52" s="180" t="b">
        <v>0</v>
      </c>
      <c r="AW52" s="180" t="b">
        <v>0</v>
      </c>
      <c r="AX52" s="180" t="b">
        <v>0</v>
      </c>
      <c r="AY52" s="181" t="s">
        <v>1070</v>
      </c>
      <c r="AZ52" s="181" t="s">
        <v>1070</v>
      </c>
      <c r="BA52" s="184">
        <f>IFERROR(__xludf.DUMMYFUNCTION("IF(
  ISNUMBER(BA51),
  MIN(MAX(
    BA51
    + MAX(
      ROUNDDOWN((D52 - MAX(IFERROR(FILTER(D$24:D51, BA$24:BA51 &lt;&gt; AZ$6, BA$23:BA50 = AZ$6), 0))) * (60 * 60 * 24) / AZ$9) - ROUNDDOWN((D51 - MAX(IFERROR(FILTER(D$23:D50, BA$23:BA50 &lt;&gt; AZ$6, BA$22:BA49 ="&amp;" AZ$6), 0))) * (60 * 60 * 24) / AZ$9),
      0
    )
    - COUNTIF(AZ52, ""&lt;&gt;-""),
  0), AZ$6),
  AZ$6 - COUNTIF(AZ52, ""&lt;&gt;-"")
)"),2.0)</f>
        <v>2</v>
      </c>
      <c r="BB52" s="181" t="s">
        <v>1070</v>
      </c>
      <c r="BC52" s="183">
        <f>IFERROR(__xludf.DUMMYFUNCTION("IF(
  ISNUMBER(BC51),
  MIN(MAX(
    BC51
    + MAX(
      ROUNDDOWN(($D52 - MAX(IFERROR(FILTER($D$24:$D51, BC$24:BC51 &lt;&gt; BB$6, BC$23:BC50 = BB$6), 0))) * (60 * 60 * 24) / BB$9) - ROUNDDOWN(($D51 - MAX(IFERROR(FILTER($D$23:$D50, BC$23:BC50 &lt;&gt; BB$6, BC$22:"&amp;"BC49 = BB$6), 0))) * (60 * 60 * 24) / 60),
      0
    )
    - COUNTIF(BB52, ""&lt;&gt;-""),
  0), BB$6),
  BB$6 - COUNTIF(BB52, ""&lt;&gt;-"")
)"),2.0)</f>
        <v>2</v>
      </c>
      <c r="BD52" s="181" t="s">
        <v>1070</v>
      </c>
      <c r="BE52" s="178" t="b">
        <v>0</v>
      </c>
      <c r="BF52" s="180" t="b">
        <v>0</v>
      </c>
      <c r="BG52" s="180" t="b">
        <v>0</v>
      </c>
      <c r="BH52" s="180" t="b">
        <v>0</v>
      </c>
      <c r="BI52" s="180" t="b">
        <v>0</v>
      </c>
      <c r="BJ52" s="180" t="b">
        <v>0</v>
      </c>
      <c r="BK52" s="180" t="b">
        <v>0</v>
      </c>
      <c r="BL52" s="180" t="b">
        <v>0</v>
      </c>
      <c r="BM52" s="180" t="b">
        <v>0</v>
      </c>
      <c r="BN52" s="180" t="b">
        <v>0</v>
      </c>
      <c r="BO52" s="181" t="s">
        <v>1070</v>
      </c>
      <c r="BP52" s="181" t="s">
        <v>1070</v>
      </c>
      <c r="BQ52" s="181" t="s">
        <v>1070</v>
      </c>
      <c r="BR52" s="181" t="s">
        <v>1070</v>
      </c>
      <c r="BS52" s="181" t="s">
        <v>1070</v>
      </c>
      <c r="BT52" s="184">
        <f>IFERROR(__xludf.DUMMYFUNCTION("IF(
  ISNUMBER(BT51),
  MIN(MAX(
    BT51
    + MAX(
      ROUNDDOWN((D52 - MAX(IFERROR(FILTER(D$24:D51, BT$24:BT51 &lt;&gt; BS$6, BT$23:BT50 = BS$6), 0))) * (60 * 60 * 24) / BS$9) - ROUNDDOWN((D51 - MAX(IFERROR(FILTER(D$23:D50, BT$23:BT50 &lt;&gt; BS$6, BT$22:BT49 ="&amp;" BS$6), 0))) * (60 * 60 * 24) / BS$9),
      0
    )
    - COUNTIF(BS52, ""&lt;&gt;-""),
  0), BS$6),
  BS$6 - COUNTIF(BS52, ""&lt;&gt;-"")
)"),3.0)</f>
        <v>3</v>
      </c>
      <c r="BU52" s="181" t="s">
        <v>1070</v>
      </c>
      <c r="BV52" s="181" t="s">
        <v>1070</v>
      </c>
      <c r="BW52" s="184">
        <f>IFERROR(__xludf.DUMMYFUNCTION("IF(
  ISNUMBER(BW51),
  MIN(MAX(
    BW51
    + MAX(
      ROUNDDOWN((D52 - MAX(IFERROR(FILTER(D$24:D51, BW$24:BW51 &lt;&gt; BV$6, BW$23:BW50 = BV$6), 0))) * (60 * 60 * 24) / BV$9) - ROUNDDOWN((D51 - MAX(IFERROR(FILTER(D$23:D50, BW$23:BW50 &lt;&gt; BV$6, BW$22:BW49 ="&amp;" BV$6), 0))) * (60 * 60 * 24) / BV$9),
      0
    )
    - COUNTIF(BV52, ""&lt;&gt;-""),
  0), BV$6),
  BV$6 - COUNTIF(BV52, ""&lt;&gt;-"")
)"),2.0)</f>
        <v>2</v>
      </c>
      <c r="BX52" s="185" t="s">
        <v>1070</v>
      </c>
      <c r="BY52" s="178" t="b">
        <v>0</v>
      </c>
      <c r="BZ52" s="180" t="b">
        <v>0</v>
      </c>
      <c r="CA52" s="180" t="b">
        <v>0</v>
      </c>
      <c r="CB52" s="180" t="b">
        <v>0</v>
      </c>
      <c r="CC52" s="180" t="b">
        <v>0</v>
      </c>
      <c r="CD52" s="180" t="b">
        <v>0</v>
      </c>
      <c r="CE52" s="180" t="b">
        <v>0</v>
      </c>
      <c r="CF52" s="180" t="b">
        <v>0</v>
      </c>
      <c r="CG52" s="180" t="b">
        <v>0</v>
      </c>
      <c r="CH52" s="180" t="b">
        <v>0</v>
      </c>
      <c r="CI52" s="180" t="b">
        <v>0</v>
      </c>
      <c r="CJ52" s="180" t="b">
        <v>0</v>
      </c>
      <c r="CK52" s="180" t="b">
        <v>0</v>
      </c>
      <c r="CL52" s="180" t="b">
        <v>0</v>
      </c>
      <c r="CM52" s="181" t="s">
        <v>1070</v>
      </c>
      <c r="CN52" s="181" t="s">
        <v>1070</v>
      </c>
      <c r="CO52" s="181" t="s">
        <v>1070</v>
      </c>
      <c r="CP52" s="181" t="s">
        <v>1070</v>
      </c>
      <c r="CQ52" s="185" t="s">
        <v>1070</v>
      </c>
      <c r="CR52" s="180" t="b">
        <v>0</v>
      </c>
      <c r="CS52" s="186" t="str">
        <f t="shared" si="14"/>
        <v>◇◇◇</v>
      </c>
      <c r="CT52" s="178" t="b">
        <v>0</v>
      </c>
      <c r="CU52" s="180" t="b">
        <v>0</v>
      </c>
      <c r="CV52" s="180" t="b">
        <v>0</v>
      </c>
      <c r="CW52" s="180" t="b">
        <v>0</v>
      </c>
      <c r="CX52" s="180" t="b">
        <v>0</v>
      </c>
      <c r="CY52" s="180" t="b">
        <v>0</v>
      </c>
      <c r="CZ52" s="180" t="b">
        <v>0</v>
      </c>
      <c r="DA52" s="180" t="b">
        <v>0</v>
      </c>
      <c r="DB52" s="180" t="b">
        <v>0</v>
      </c>
      <c r="DC52" s="180" t="b">
        <v>0</v>
      </c>
      <c r="DD52" s="181" t="s">
        <v>1070</v>
      </c>
      <c r="DE52" s="181" t="s">
        <v>1070</v>
      </c>
      <c r="DF52" s="181" t="s">
        <v>1070</v>
      </c>
      <c r="DG52" s="185" t="s">
        <v>1070</v>
      </c>
      <c r="DH52" s="180" t="b">
        <v>0</v>
      </c>
      <c r="DI52" s="187" t="str">
        <f>IFERROR(__xludf.DUMMYFUNCTION("SWITCH(
  IF(
    ISTEXT(DI51),
    IF (
      FIND(""○"", DI51&amp;""○"") &gt; 3,
      3,
      FIND(""○"", DI51&amp;""○"")
      + MAX(
        ROUNDDOWN(($D52 - MAX(IFERROR(FILTER(D$24:D51, DI$24:DI51 &lt;&gt; ""●●●"", DI$23:DI50 = ""●●●""), 0))) * (60 * 60 * 24) / 20"&amp;") - ROUNDDOWN(($D51 - MAX(IFERROR(FILTER(D$23:D50, DI$23:DI50 &lt;&gt; ""●●●"", DI$22:DI49 = ""●●●""), 0))) * (60 * 60 * 24) / 20),
        0
      ) - 1
    ) - COUNTIFS(CU52, ""=TRUE"", CU51, ""&lt;&gt;TRUE"") - COUNTIF(CZ52, ""=TRUE"") - COUNTIF({DD52,DE52}, ""&lt;&gt;-"&amp;""") + COUNTIF(DH52, ""=TRUE""),
    3
  ),
  0, ""○○○"", 1, ""●○○"", 2, ""●●○"", 3, ""●●●"", 4, ""●●●"", ""○○○""
)"),"●●●")</f>
        <v>●●●</v>
      </c>
      <c r="DJ52" s="188" t="b">
        <v>0</v>
      </c>
      <c r="DK52" s="189" t="b">
        <v>0</v>
      </c>
      <c r="DL52" s="190" t="b">
        <v>0</v>
      </c>
      <c r="DM52" s="190" t="b">
        <v>0</v>
      </c>
      <c r="DN52" s="190" t="b">
        <v>0</v>
      </c>
      <c r="DO52" s="190" t="b">
        <v>0</v>
      </c>
      <c r="DP52" s="190" t="b">
        <v>0</v>
      </c>
      <c r="DQ52" s="191" t="b">
        <v>0</v>
      </c>
      <c r="DR52" s="192" t="b">
        <v>0</v>
      </c>
      <c r="DS52" s="191" t="b">
        <v>0</v>
      </c>
      <c r="DT52" s="192" t="b">
        <v>0</v>
      </c>
      <c r="DU52" s="191" t="b">
        <v>0</v>
      </c>
      <c r="DV52" s="193" t="s">
        <v>1070</v>
      </c>
      <c r="DW52" s="194" t="b">
        <v>0</v>
      </c>
      <c r="DX52" s="194" t="b">
        <v>0</v>
      </c>
      <c r="DY52" s="195" t="b">
        <v>0</v>
      </c>
      <c r="DZ52" s="196" t="b">
        <v>0</v>
      </c>
      <c r="EA52" s="195" t="b">
        <v>0</v>
      </c>
      <c r="EB52" s="197" t="b">
        <v>0</v>
      </c>
      <c r="EC52" s="197" t="b">
        <v>0</v>
      </c>
      <c r="ED52" s="212" t="b">
        <v>0</v>
      </c>
      <c r="EE52" s="199">
        <f>IFERROR(__xludf.DUMMYFUNCTION("IFERROR(
   PRODUCT(
     MAP(
       INDEX(TRANSPOSE(UNIQUE(TRANSPOSE(FILTER({IF($F52=""Physical"", K$10:ED$10, IF($F52=""Magic"", K$11:ED$11, K$12:ED$12));K$4:ED$4;K52:ED52}, K52:ED52=TRUE)))), 1, 0),
       INDEX(TRANSPOSE(UNIQUE(TRANSPOSE(FILTER({IF($"&amp;"F52=""Physical"", K$18:ED$18, IF($F52=""Magic"", K$19:ED$19, K$20:ED$20));K$4:ED$4;K52:ED52}, K52:ED52=TRUE)))), 1, 0),
       INDEX(TRANSPOSE(UNIQUE(TRANSPOSE(FILTER({K$5:ED$5;K$4:ED$4;K52:ED52}, K52:ED52=TRUE)))), 1, 0),
       INDEX(TRANSPOSE(UNIQUE(TR"&amp;"ANSPOSE(FILTER({K$17:ED$17;K$4:ED$4;K52:ED52}, K52:ED52=TRUE)))), 1, 0),
       LAMBDA(
         mitigation,
         enhance,
         assign,
         precondition,
         IF(
           REGEXMATCH(assign, ""RANGE_PARTY|SINGLE_ENEMY|RANGE_ENEMY""),
  "&amp;"         IF(
             OR(ARRAYFORMULA((IF(precondition="""", FALSE, REGEXMATCH(K$4:ED$4, precondition))) * (K52:ED52=TRUE))),
             IF(ISNUMBER(enhance), enhance, 1),
             IF(ISNUMBER(mitigation), mitigation, 1)
           ),
          "&amp;" 1
         )
       )
     )
   ),
   1
 )"),1.0)</f>
        <v>1</v>
      </c>
      <c r="EF52" s="200">
        <f>IFERROR(__xludf.DUMMYFUNCTION("PRODUCT(
   MAP(
     K$14:ED$14,
     K$13:ED$13,
     K52:ED52,
     LAMBDA(
       buff,
       target,
       check,
       IF(
         AND(check=TRUE, REGEXMATCH(target, ""RANGE_AFFECTED_ALL|RANGE_EFFECTED_ALL""), ISNUMBER(buff)),
         buff,
   "&amp;"      1
       )
     )
   )
 )"),1.0)</f>
        <v>1</v>
      </c>
      <c r="EG52" s="200">
        <f>IFERROR(__xludf.DUMMYFUNCTION("PRODUCT(
   MAP(
     K$14:ED$14,
     K$13:ED$13,
     K52:ED52,
     LAMBDA(
       buff,
       target,
       check,
       IF(
         AND(check=TRUE, REGEXMATCH(target, ""RANGE_AFFECTED_GCD|RANGE_EFFECTED_GCD""), ISNUMBER(buff)),
         buff,
   "&amp;"      1
       )
     )
   )
 )"),1.0)</f>
        <v>1</v>
      </c>
      <c r="EH52" s="200">
        <f>IFERROR(__xludf.DUMMYFUNCTION("PRODUCT(
   MAP(
     K$3:ED$3,
     K$14:ED$14,
     K$13:ED$13,
     K52:ED52,
     LAMBDA(
       job,
       buff,
       target,
       check,
       IF(
         AND(check=TRUE, REGEXMATCH(target, ""SELF_EFFECTED_ALL""), ISNUMBER(buff), job=""白魔道士"""&amp;"),
         buff,
         1
       )
     )
   )
 )"),1.0)</f>
        <v>1</v>
      </c>
      <c r="EI52" s="200">
        <f>IFERROR(__xludf.DUMMYFUNCTION("PRODUCT(
   MAP(
     K$3:ED$3,
     K$14:ED$14,
     K$13:ED$13,
     K52:ED52,
     LAMBDA(
       job,
       buff,
       target,
       check,
       IF(
         AND(check=TRUE, REGEXMATCH(target, ""SELF_EFFECTED_GCD""), ISNUMBER(buff), job=""白魔道士"""&amp;"),
         buff,
         1
       )
     )
   )
 )"),1.0)</f>
        <v>1</v>
      </c>
      <c r="EJ52" s="200">
        <f>IFERROR(__xludf.DUMMYFUNCTION("PRODUCT(
   MAP(
     K$3:ED$3,
     K$14:ED$14,
     K$13:ED$13,
     K52:ED52,
     LAMBDA(
       job,
       buff,
       target,
       check,
       IF(
         AND(check=TRUE, REGEXMATCH(target, ""SELF_EFFECTED_ALL""), ISNUMBER(buff), job=""占星術師"""&amp;"),
         buff,
         1
       )
     )
   )
 )"),1.0)</f>
        <v>1</v>
      </c>
      <c r="EK52" s="200">
        <f>IFERROR(__xludf.DUMMYFUNCTION("PRODUCT(
   MAP(
     K$3:ED$3,
     K$14:ED$14,
     K$13:ED$13,
     K52:ED52,
     LAMBDA(
       job,
       buff,
       target,
       check,
       IF(
         AND(check=TRUE, REGEXMATCH(target, ""SELF_EFFECTED_GCD""), ISNUMBER(buff), job=""占星術師"""&amp;"),
         buff,
         1
       )
     )
   )
 )"),1.0)</f>
        <v>1</v>
      </c>
      <c r="EL52" s="200">
        <f>IFERROR(__xludf.DUMMYFUNCTION("PRODUCT(
   MAP(
     K$3:ED$3,
     K$14:ED$14,
     K$13:ED$13,
     K52:ED52,
     LAMBDA(
       job,
       buff,
       target,
       check,
       IF(
         AND(check=TRUE, REGEXMATCH(target, ""SELF_EFFECTED_ALL""), ISNUMBER(buff), job=""学者""),"&amp;"
         buff,
         1
       )
     )
   )
 )"),1.0)</f>
        <v>1</v>
      </c>
      <c r="EM52" s="200">
        <f>IFERROR(__xludf.DUMMYFUNCTION("PRODUCT(
   MAP(
     K$3:ED$3,
     K$14:ED$14,
     K$13:ED$13,
     K52:ED52,
     LAMBDA(
       job,
       buff,
       target,
       check,
       IF(
         AND(check=TRUE, REGEXMATCH(target, ""SELF_EFFECTED_GCD""), ISNUMBER(buff), job=""学者""),"&amp;"
         buff,
         1
       )
     )
   )
 )"),1.0)</f>
        <v>1</v>
      </c>
      <c r="EN52" s="200">
        <f>IFERROR(__xludf.DUMMYFUNCTION("PRODUCT(
   MAP(
     K$3:ED$3,
     K$14:ED$14,
     K$13:ED$13,
     K52:ED52,
     LAMBDA(
       job,
       buff,
       target,
       check,
       IF(
         AND(check=TRUE, REGEXMATCH(target, ""SELF_EFFECTED_ALL""), ISNUMBER(buff), job=""賢者""),"&amp;"
         buff,
         1
       )
     )
   )
 )"),1.0)</f>
        <v>1</v>
      </c>
      <c r="EO52" s="200">
        <f>IFERROR(__xludf.DUMMYFUNCTION("PRODUCT(
   MAP(
     K$3:ED$3,
     K$14:ED$14,
     K$13:ED$13,
     K52:ED52,
     LAMBDA(
       job,
       buff,
       target,
       check,
       IF(
         AND(check=TRUE, REGEXMATCH(target, ""SELF_EFFECTED_GCD""), ISNUMBER(buff), job=""賢者""),"&amp;"
         buff,
         1
       )
     )
   )
 )"),1.0)</f>
        <v>1</v>
      </c>
      <c r="EP52" s="201">
        <f t="shared" si="3"/>
        <v>0</v>
      </c>
      <c r="EQ52" s="201">
        <f>IFERROR(__xludf.DUMMYFUNCTION("SUM(
   MAP(
     K$4:ED$4,
     K$3:ED$3,
     K$7:ED$7,
     K$15:ED$15,
     K$16:ED$16,
     K$21:ED$21,
     K$5:ED$5,
     K$17:ED$17,
     K52:ED52,
     LAMBDA(
       name,
       job,
       abillity,
       buff,
       barrier,
       enhance,"&amp;"
       assign,
       precondition,
       check,
       SWITCH(
         name,
         ""シェイクオフ"", IF(check=TRUE, buff + (0.02 * COUNTIF(ARRAYFORMULA((REGEXMATCH($K$4:$ED$4, ""スリル・オブ・バトル|ヴェンジェンス|原初の血気|ダムネーション"")) * (K52:ED52=TRUE)), 1)), 0),
         "&amp;"""インプロビゼーションフィニッシュ(踊りの激情0)"", IF(ISNUMBER(check), INDEX(Skill!$AJ:$AJ, MATCH(SUBSTITUTE(DV$4, 0, check), Skill!$C:$C, 0)), 0),
         IF(
           AND(check=TRUE, REGEXMATCH(assign, ""RANGE_PARTY"")),
           IF(
             OR(ARRAYFORMULA((IF(pr"&amp;"econdition="""", FALSE, REGEXMATCH($K$4:$ED$4, precondition))) * (K52:ED52=TRUE))),
             enhance,
             IF(barrier="""", buff, barrier)
           ),
           0
         )
       ) *
       SWITCH(
         job,
         ""ナイト"", EY$24,
 "&amp;"        ""戦士"", FD$24,
         ""踊り子"", ET$24,
         ""ピクトマンサー"", ET$24,
         ""白魔道士"", EF52 * EH52 * IF(abillity, 1, EG52 * EI52) * (Option!$D$22 * 0.81 / 100),
         ""占星術師"", EF52 * EJ52 * IF(abillity, 1, EG52 * EK52) * (Option!$D$23 * 0.81 "&amp;"/ 100),
         ""学者"", EF52 * EL52 * IF(abillity, 1, EG52 * EM52) * (Option!$D$24 * 0.81 / 100),
         ""賢者"", EF52 * EN52 * IF(abillity, 1, EG52 * EO52) * (Option!$D$25 * 0.81 / 100),
         1
       )
     )
   )
 )"),0.0)</f>
        <v>0</v>
      </c>
      <c r="ER52" s="202">
        <f t="shared" si="4"/>
        <v>0</v>
      </c>
      <c r="ES52" s="203">
        <f t="shared" si="5"/>
        <v>0</v>
      </c>
      <c r="ET52" s="231" t="str">
        <f>IFERROR(__xludf.DUMMYFUNCTION("IFS(
  EP52 &gt; $ET$24 + EQ52,
  SPARKLINE({ 1, 0 }, {""charttype"",""bar"";""max"", 1;""color1"",Option!$D$30;""color2"",Option!$D$30}),
  EP52 &lt; EQ52,
  SPARKLINE({EQ52 - EP52, $ET$24 - (EQ52 - EP52)}, {""charttype"",""bar"";""max"",$ET$24;""color1"",Opti"&amp;"on!$D$28;""color2"",Option!$D$29}),
  EP52 &gt;= EQ52,
  SPARKLINE({$ET$24 + EQ52 - EP52,EP52 - EQ52}, {""charttype"",""bar"";""max"",$ET$24;""color1"",Option!$D$29;""color2"",Option!$D$30})
)"),"")</f>
        <v/>
      </c>
      <c r="EU52" s="205">
        <f>IFERROR(__xludf.DUMMYFUNCTION("PRODUCT(
   MAP(
     IF($F52=""Physical"", K$10:ED$10, IF($F52=""Magic"", K$11:ED$11, K$12:ED$12)),
     IF($F52=""Physical"", K$18:ED$18, IF($F52=""Magic"", K$19:ED$19, K$20:ED$20)),
     K$3:ED$3,
     K$5:ED$5,
     K$17:ED$17,
     K52:ED52,
     LAM"&amp;"BDA(
       mitigation,
       enhance,
       job,
       assign,
       precondition,
       check,
       IF(
         OR(AND(check=TRUE, REGEXMATCH(assign, ""SELF""), job=""ナイト""), AND(check=Option!$E$13, REGEXMATCH(assign, ""SINGLE_PARTY""))),
      "&amp;"   IF(
           OR(ARRAYFORMULA((IF(precondition="""", FALSE, REGEXMATCH($K$4:$ED$4, precondition))) * (K52:ED52=TRUE))),
           enhance,
           mitigation
         ),
         1
       )
     )
   )
 ) * EE52"),1.0)</f>
        <v>1</v>
      </c>
      <c r="EV52" s="206">
        <f t="shared" si="6"/>
        <v>0</v>
      </c>
      <c r="EW52" s="205">
        <f>IFERROR(__xludf.DUMMYFUNCTION("PRODUCT(
   MAP(
     K$3:ED$3,
     K$14:ED$14,
     K$13:ED$13,
     K52:ED52,
     LAMBDA(
       job,
       buff,
       target,
       check,
       IF(
         OR(AND(check=TRUE, REGEXMATCH(target, ""SELF_AFFECTED_ALL""), job=""ナイト""), AND(check=O"&amp;"ption!$E$13, REGEXMATCH(target, ""SINGLE_AFFECTED_ALL""))),
         buff,
         1
       )
     )
   )
 )"),1.0)</f>
        <v>1</v>
      </c>
      <c r="EX52" s="206">
        <f>IFERROR(__xludf.DUMMYFUNCTION("SUM(
   MAP(
     K$3:ED$3,
     K$7:ED$7,
     K$15:ED$15,
     K$16:ED$16,
     K$21:ED$21,
     K$5:ED$5,
     K$17:ED$17,
     K52:ED52,
     LAMBDA(
       job,
       abillity,
       buff,
       barrier,
       enhance,
       assign,
       preco"&amp;"ndition,
       check,
       IF(
         OR(AND(check=TRUE, REGEXMATCH(assign, ""SELF""), job=""ナイト""), AND(check=Option!$E$13, REGEXMATCH(assign, ""SINGLE_PARTY""))),
         IF(
           OR(ARRAYFORMULA((IF(precondition="""", FALSE, REGEXMATCH($K$4"&amp;":$ED$4, precondition))) * (K52:ED52=TRUE))),
           enhance,
           IF(barrier="""", buff, barrier)
         ),
         0
       ) *
       SWITCH(
         job,
         ""暗黒騎士"", EY$24,
         ""白魔道士"", EF52 * EH52 * EW52 * IF(abillity, 1, EG"&amp;"52 * EI52) * (Option!$D$22 * 0.81 / 100),
         ""占星術師"", EF52 * EJ52 * EW52 * IF(abillity, 1, EG52 * EK52) * (Option!$D$23 * 0.81 / 100),
         ""学者"", EF52 * EL52 * EW52 * IF(abillity, 1, EG52 * EM52) * (Option!$D$24 * 0.81 / 100),
         ""賢者"""&amp;", EF52 * EN52 * EW52 * IF(abillity, 1, EG52 * EO52) * (Option!$D$25 * 0.81 / 100),
         1
       )
     )
   )
 ) + EQ52"),0.0)</f>
        <v>0</v>
      </c>
      <c r="EY52" s="232">
        <f t="shared" si="7"/>
        <v>0</v>
      </c>
      <c r="EZ52" s="205">
        <f>IFERROR(__xludf.DUMMYFUNCTION("PRODUCT(
   MAP(
     IF($F52=""Physical"", K$10:ED$10, IF($F52=""Magic"", K$11:ED$11, K$12:ED$12)),
     IF($F52=""Physical"", K$18:ED$18, IF($F52=""Magic"", K$19:ED$19, K$20:ED$20)),
     K$3:ED$3,
     K$5:ED$5,
     K$17:ED$17,
     K52:ED52,
     LAM"&amp;"BDA(
       mitigation,
       enhance,
       job,
       assign,
       precondition,
       check,
       IF(
         OR(AND(check=TRUE, REGEXMATCH(assign, ""SELF""), job=""戦士""), AND(check=Option!$F$13, REGEXMATCH(assign, ""SINGLE_PARTY""))),
       "&amp;"  IF(
           OR(ARRAYFORMULA((IF(precondition="""", FALSE, REGEXMATCH($K$4:$ED$4, precondition))) * (K52:ED52=TRUE))),
           enhance,
           mitigation
         ),
         1
       )
     )
   )
 ) * EE52"),1.0)</f>
        <v>1</v>
      </c>
      <c r="FA52" s="206">
        <f t="shared" si="8"/>
        <v>0</v>
      </c>
      <c r="FB52" s="205">
        <f>IFERROR(__xludf.DUMMYFUNCTION("PRODUCT(
   MAP(
     K$3:ED$3,
     K$14:ED$14,
     K$13:ED$13,
     K52:ED52,
     LAMBDA(
       job,
       buff,
       target,
       check,
       IF(
         OR(AND(check=TRUE, REGEXMATCH(target, ""SELF_AFFECTED_ALL""), job=""戦士""), AND(check=Op"&amp;"tion!$F$13, REGEXMATCH(target, ""SINGLE_AFFECTED_ALL""))),
         buff,
         1
       )
     )
   )
 )"),1.0)</f>
        <v>1</v>
      </c>
      <c r="FC52" s="206">
        <f>IFERROR(__xludf.DUMMYFUNCTION("SUM(
   MAP(
     K$3:ED$3,
     K$7:ED$7,
     K$15:ED$15,
     K$16:ED$16,
     K$21:ED$21,
     K$5:ED$5,
     K$17:ED$17,
     K52:ED52,
     LAMBDA(
       job,
       abillity,
       buff,
       barrier,
       enhance,
       assign,
       preco"&amp;"ndition,
       check,
       IF(
         OR(AND(check=TRUE, REGEXMATCH(assign, ""SELF""), job=""戦士""), AND(check=Option!$F$13, REGEXMATCH(assign, ""SINGLE_PARTY""))),
         IF(
           OR(ARRAYFORMULA((IF(precondition="""", FALSE, REGEXMATCH($K$4:"&amp;"$ED$4, precondition))) * (K52:ED52=TRUE))),
           enhance,
           IF(barrier="""", buff, barrier)
         ),
         0
       ) *
       SWITCH(
         job,
         ""暗黒騎士"", FD$24,
         ""白魔道士"", EF52 * EH52 * FB52 * IF(abillity, 1, EG5"&amp;"2 * EI52) * (Option!$D$22 * 0.81 / 100),
         ""占星術師"", EF52 * EJ52 * FFB52 * IF(abillity, 1, EG52 * EK52) * (Option!$D$23 * 0.81 / 100),
         ""学者"", EF52 * EL52 * FB52 * IF(abillity, 1, EG52 * EM52) * (Option!$D$24 * 0.81 / 100),
         ""賢者"""&amp;", EF52 * EN52 * FB52 * IF(abillity, 1, EG52 * EO52) * (Option!$D$25 * 0.81 / 100),
         1
       )
     )
   )
 ) + EQ52"),0.0)</f>
        <v>0</v>
      </c>
      <c r="FD52" s="206">
        <f t="shared" si="9"/>
        <v>0</v>
      </c>
      <c r="FE52" s="205">
        <f>IFERROR(__xludf.DUMMYFUNCTION("PRODUCT(
   MAP(
     IF($F52=""Physical"", K$10:ED$10, IF($F52=""Magic"", K$11:ED$11, K$12:ED$12)),
     IF($F52=""Physical"", K$18:ED$18, IF($F52=""Magic"", K$19:ED$19, K$20:ED$20)),
     K$3:ED$3,
     K$5:ED$5,
     K$17:ED$17,
     K52:ED52,
     LAM"&amp;"BDA(
       mitigation,
       enhance,
       job,
       assign,
       precondition,
       check,
       IF(
         OR(AND(check=TRUE, REGEXMATCH(assign, ""SELF""), job=""暗黒騎士""), AND(check=Option!$G$13, REGEXMATCH(assign, ""SINGLE_PARTY""))),
     "&amp;"    IF(
           OR(ARRAYFORMULA((IF(precondition="""", FALSE, REGEXMATCH($K$4:$ED$4, precondition))) * (K52:ED52=TRUE))),
           enhance,
           mitigation
         ),
         1
       )
     )
   )
 ) * EE52"),1.0)</f>
        <v>1</v>
      </c>
      <c r="FF52" s="206">
        <f t="shared" si="10"/>
        <v>0</v>
      </c>
      <c r="FG52" s="205">
        <f>IFERROR(__xludf.DUMMYFUNCTION("PRODUCT(
   MAP(
     K$3:ED$3,
     K$14:ED$14,
     K$13:ED$13,
     K52:ED52,
     LAMBDA(
       job,
       buff,
       target,
       check,
       IF(
         OR(AND(check=TRUE, REGEXMATCH(target, ""SELF_AFFECTED_ALL""), job=""暗黒騎士""), AND(check="&amp;"Option!$G$13, REGEXMATCH(target, ""SINGLE_AFFECTED_ALL""))),
         buff,
         1
       )
     )
   )
 )"),1.0)</f>
        <v>1</v>
      </c>
      <c r="FH52" s="206">
        <f>IFERROR(__xludf.DUMMYFUNCTION("SUM(
   MAP(
     K$3:ED$3,
     K$7:ED$7,
     K$15:ED$15,
     K$16:ED$16,
     K$21:ED$21,
     K$5:ED$5,
     K$17:ED$17,
     K52:ED52,
     LAMBDA(
       job,
       abillity,
       buff,
       barrier,
       enhance,
       assign,
       preco"&amp;"ndition,
       check,
       IF(
         OR(AND(check=TRUE, REGEXMATCH(assign, ""SELF""), job=""暗黒騎士""), AND(check=Option!$G$13, REGEXMATCH(assign, ""SINGLE_PARTY""))),
         IF(
           OR(ARRAYFORMULA((IF(precondition="""", FALSE, REGEXMATCH($K$"&amp;"4:$ED$4, precondition))) * (K52:ED52=TRUE))),
           enhance,
           IF(barrier="""", buff, barrier)
         ),
         0
       ) *
       SWITCH(
         job,
         ""暗黒騎士"", FI$24,
         ""白魔道士"", EF52 * EH52 * FG52 * IF(abillity, 1, E"&amp;"G52 * EI52) * (Option!$D$22 * 0.81 / 100),
         ""占星術師"", EF52 * EJ52 * FG52 * IF(abillity, 1, EG52 * EK52) * (Option!$D$23 * 0.81 / 100),
         ""学者"", EF52 * EL52 * FG52 * IF(abillity, 1, EG52 * EM52) * (Option!$D$24 * 0.81 / 100),
         ""賢者"&amp;""", EF52 * EN52 * FG52 * IF(abillity, 1, EG52 * EO52) * (Option!$D$25 * 0.81 / 100),
         1
       )
     )
   )
 ) + EQ52"),0.0)</f>
        <v>0</v>
      </c>
      <c r="FI52" s="206">
        <f t="shared" si="11"/>
        <v>0</v>
      </c>
      <c r="FJ52" s="205">
        <f>IFERROR(__xludf.DUMMYFUNCTION("PRODUCT(
   MAP(
     IF($F52=""Physical"", K$10:ED$10, IF($F52=""Magic"", K$11:ED$11, K$12:ED$12)),
     IF($F52=""Physical"", K$18:ED$18, IF($F52=""Magic"", K$19:ED$19, K$20:ED$20)),
     K$3:ED$3,
     K$5:ED$5,
     K$17:ED$17,
     K52:ED52,
     LAM"&amp;"BDA(
       mitigation,
       enhance,
       job,
       assign,
       precondition,
       check,
       IF(
         OR(AND(check=TRUE, REGEXMATCH(assign, ""SELF""), job=""ガンブレイカー""), AND(check=Option!$H$13, REGEXMATCH(assign, ""SINGLE_PARTY""))),
  "&amp;"       IF(
           OR(ARRAYFORMULA((IF(precondition="""", FALSE, REGEXMATCH($K$4:$ED$4, precondition))) * (K52:ED52=TRUE))),
           enhance,
           mitigation
         ),
         1
       )
     )
   )
 ) * EE52"),1.0)</f>
        <v>1</v>
      </c>
      <c r="FK52" s="206">
        <f t="shared" si="12"/>
        <v>0</v>
      </c>
      <c r="FL52" s="205">
        <f>IFERROR(__xludf.DUMMYFUNCTION("PRODUCT(
   MAP(
     K$3:ED$3,
     K$14:ED$14,
     K$13:ED$13,
     K52:ED52,
     LAMBDA(
       job,
       buff,
       target,
       check,
       IF(
         OR(AND(check=TRUE, REGEXMATCH(target, ""SELF_AFFECTED_ALL""), job=""ガンブレイカー""), AND(che"&amp;"ck=Option!$H$13, REGEXMATCH(target, ""SINGLE_AFFECTED_ALL""))),
         buff,
         1
       )
     )
   )
 )"),1.0)</f>
        <v>1</v>
      </c>
      <c r="FM52" s="206">
        <f>IFERROR(__xludf.DUMMYFUNCTION("SUM(
   MAP(
     K$3:ED$3,
     K$7:ED$7,
     K$15:ED$15,
     K$16:ED$16,
     K$21:ED$21,
     K$5:ED$5,
     K$17:ED$17,
     K52:ED52,
     LAMBDA(
       job,
       abillity,
       buff,
       barrier,
       enhance,
       assign,
       preco"&amp;"ndition,
       check,
       IF(
         OR(AND(check=TRUE, REGEXMATCH(assign, ""SELF""), job=""ガンブレイカー""), AND(check=Option!$H$13, REGEXMATCH(assign, ""SINGLE_PARTY""))),
         IF(
           OR(ARRAYFORMULA((IF(precondition="""", FALSE, REGEXMATCH("&amp;"$K$4:$ED$4, precondition))) * (K52:ED52=TRUE))),
           enhance,
           IF(barrier="""", buff, barrier)
         ),
         0
       ) *
       SWITCH(
         job,
         ""暗黒騎士"", FN$24,
         ""白魔道士"", EF52 * EH52 * FL52 * IF(abillity, 1"&amp;", EG52 * EI52) * (Option!$D$22 * 0.81 / 100),
         ""占星術師"", EF52 * EJ52 * FL52 * IF(abillity, 1, EG52 * EK52) * (Option!$D$23 * 0.81 / 100),
         ""学者"", EF52 * EL52 * FL52 * IF(abillity, 1, EG52 * EM52) * (Option!$D$24 * 0.81 / 100),
         """&amp;"賢者"", EF52 * EN52 * FL52 * IF(abillity, 1, EG52 * EO52) * (Option!$D$25 * 0.81 / 100),
         1
       )
     )
   )
 ) + EQ52"),0.0)</f>
        <v>0</v>
      </c>
      <c r="FN52" s="206">
        <f t="shared" si="13"/>
        <v>0</v>
      </c>
      <c r="FO52" s="213"/>
    </row>
    <row r="53">
      <c r="B53" s="229"/>
      <c r="C53" s="217">
        <f t="shared" si="1"/>
        <v>0</v>
      </c>
      <c r="D53" s="236"/>
      <c r="E53" s="238"/>
      <c r="F53" s="167"/>
      <c r="G53" s="168" t="str">
        <f t="shared" si="2"/>
        <v/>
      </c>
      <c r="H53" s="169"/>
      <c r="I53" s="169"/>
      <c r="J53" s="169"/>
      <c r="K53" s="170" t="b">
        <v>0</v>
      </c>
      <c r="L53" s="170" t="b">
        <v>0</v>
      </c>
      <c r="M53" s="170" t="b">
        <v>0</v>
      </c>
      <c r="N53" s="171" t="s">
        <v>1070</v>
      </c>
      <c r="O53" s="172" t="b">
        <v>0</v>
      </c>
      <c r="P53" s="173" t="b">
        <v>0</v>
      </c>
      <c r="Q53" s="173" t="b">
        <v>0</v>
      </c>
      <c r="R53" s="173" t="b">
        <v>0</v>
      </c>
      <c r="S53" s="174" t="b">
        <v>0</v>
      </c>
      <c r="T53" s="175" t="b">
        <v>0</v>
      </c>
      <c r="U53" s="173" t="b">
        <v>0</v>
      </c>
      <c r="V53" s="171" t="s">
        <v>1070</v>
      </c>
      <c r="W53" s="172" t="b">
        <v>0</v>
      </c>
      <c r="X53" s="173" t="b">
        <v>0</v>
      </c>
      <c r="Y53" s="173" t="b">
        <v>0</v>
      </c>
      <c r="Z53" s="173" t="b">
        <v>0</v>
      </c>
      <c r="AA53" s="174" t="b">
        <v>0</v>
      </c>
      <c r="AB53" s="174" t="b">
        <v>0</v>
      </c>
      <c r="AC53" s="175" t="b">
        <v>0</v>
      </c>
      <c r="AD53" s="173" t="b">
        <v>0</v>
      </c>
      <c r="AE53" s="176" t="s">
        <v>1070</v>
      </c>
      <c r="AF53" s="171" t="s">
        <v>1070</v>
      </c>
      <c r="AG53" s="177">
        <f>IFERROR(__xludf.DUMMYFUNCTION("IF(
  ISNUMBER(AG52),
  MIN(MAX(
    AG52
    + MAX(
      ROUNDDOWN(($D53 - MAX(IFERROR(FILTER($D$24:$D52, AG$24:AG52 &lt;&gt; AF$6, AG$23:AG51 = AF$6), 0))) * (60 * 60 * 24) / AF$9) - ROUNDDOWN(($D52 - MAX(IFERROR(FILTER($D$23:$D51, AG$23:AG51 &lt;&gt; AF$6, AG$22:"&amp;"AG50 = AF$6), 0))) * (60 * 60 * 24) / 60),
      0
    )
    - COUNTIF(AF53, ""&lt;&gt;-""),
  0), AF$6),
  AF$6 - COUNTIF(AF53, ""&lt;&gt;-"")
)"),2.0)</f>
        <v>2</v>
      </c>
      <c r="AH53" s="173" t="b">
        <v>0</v>
      </c>
      <c r="AI53" s="173" t="b">
        <v>0</v>
      </c>
      <c r="AJ53" s="173" t="b">
        <v>0</v>
      </c>
      <c r="AK53" s="174" t="b">
        <v>0</v>
      </c>
      <c r="AL53" s="175" t="b">
        <v>0</v>
      </c>
      <c r="AM53" s="173" t="b">
        <v>0</v>
      </c>
      <c r="AN53" s="171" t="s">
        <v>1070</v>
      </c>
      <c r="AO53" s="173" t="b">
        <v>0</v>
      </c>
      <c r="AP53" s="173" t="b">
        <v>0</v>
      </c>
      <c r="AQ53" s="173" t="b">
        <v>0</v>
      </c>
      <c r="AR53" s="174" t="b">
        <v>0</v>
      </c>
      <c r="AS53" s="178" t="b">
        <v>0</v>
      </c>
      <c r="AT53" s="179" t="b">
        <v>0</v>
      </c>
      <c r="AU53" s="180" t="b">
        <v>0</v>
      </c>
      <c r="AV53" s="180" t="b">
        <v>0</v>
      </c>
      <c r="AW53" s="180" t="b">
        <v>0</v>
      </c>
      <c r="AX53" s="180" t="b">
        <v>0</v>
      </c>
      <c r="AY53" s="181" t="s">
        <v>1070</v>
      </c>
      <c r="AZ53" s="181" t="s">
        <v>1070</v>
      </c>
      <c r="BA53" s="184">
        <f>IFERROR(__xludf.DUMMYFUNCTION("IF(
  ISNUMBER(BA52),
  MIN(MAX(
    BA52
    + MAX(
      ROUNDDOWN((D53 - MAX(IFERROR(FILTER(D$24:D52, BA$24:BA52 &lt;&gt; AZ$6, BA$23:BA51 = AZ$6), 0))) * (60 * 60 * 24) / AZ$9) - ROUNDDOWN((D52 - MAX(IFERROR(FILTER(D$23:D51, BA$23:BA51 &lt;&gt; AZ$6, BA$22:BA50 ="&amp;" AZ$6), 0))) * (60 * 60 * 24) / AZ$9),
      0
    )
    - COUNTIF(AZ53, ""&lt;&gt;-""),
  0), AZ$6),
  AZ$6 - COUNTIF(AZ53, ""&lt;&gt;-"")
)"),2.0)</f>
        <v>2</v>
      </c>
      <c r="BB53" s="181" t="s">
        <v>1070</v>
      </c>
      <c r="BC53" s="183">
        <f>IFERROR(__xludf.DUMMYFUNCTION("IF(
  ISNUMBER(BC52),
  MIN(MAX(
    BC52
    + MAX(
      ROUNDDOWN(($D53 - MAX(IFERROR(FILTER($D$24:$D52, BC$24:BC52 &lt;&gt; BB$6, BC$23:BC51 = BB$6), 0))) * (60 * 60 * 24) / BB$9) - ROUNDDOWN(($D52 - MAX(IFERROR(FILTER($D$23:$D51, BC$23:BC51 &lt;&gt; BB$6, BC$22:"&amp;"BC50 = BB$6), 0))) * (60 * 60 * 24) / 60),
      0
    )
    - COUNTIF(BB53, ""&lt;&gt;-""),
  0), BB$6),
  BB$6 - COUNTIF(BB53, ""&lt;&gt;-"")
)"),2.0)</f>
        <v>2</v>
      </c>
      <c r="BD53" s="181" t="s">
        <v>1070</v>
      </c>
      <c r="BE53" s="178" t="b">
        <v>0</v>
      </c>
      <c r="BF53" s="180" t="b">
        <v>0</v>
      </c>
      <c r="BG53" s="180" t="b">
        <v>0</v>
      </c>
      <c r="BH53" s="180" t="b">
        <v>0</v>
      </c>
      <c r="BI53" s="180" t="b">
        <v>0</v>
      </c>
      <c r="BJ53" s="180" t="b">
        <v>0</v>
      </c>
      <c r="BK53" s="180" t="b">
        <v>0</v>
      </c>
      <c r="BL53" s="180" t="b">
        <v>0</v>
      </c>
      <c r="BM53" s="180" t="b">
        <v>0</v>
      </c>
      <c r="BN53" s="180" t="b">
        <v>0</v>
      </c>
      <c r="BO53" s="181" t="s">
        <v>1070</v>
      </c>
      <c r="BP53" s="181" t="s">
        <v>1070</v>
      </c>
      <c r="BQ53" s="181" t="s">
        <v>1070</v>
      </c>
      <c r="BR53" s="181" t="s">
        <v>1070</v>
      </c>
      <c r="BS53" s="181" t="s">
        <v>1070</v>
      </c>
      <c r="BT53" s="184">
        <f>IFERROR(__xludf.DUMMYFUNCTION("IF(
  ISNUMBER(BT52),
  MIN(MAX(
    BT52
    + MAX(
      ROUNDDOWN((D53 - MAX(IFERROR(FILTER(D$24:D52, BT$24:BT52 &lt;&gt; BS$6, BT$23:BT51 = BS$6), 0))) * (60 * 60 * 24) / BS$9) - ROUNDDOWN((D52 - MAX(IFERROR(FILTER(D$23:D51, BT$23:BT51 &lt;&gt; BS$6, BT$22:BT50 ="&amp;" BS$6), 0))) * (60 * 60 * 24) / BS$9),
      0
    )
    - COUNTIF(BS53, ""&lt;&gt;-""),
  0), BS$6),
  BS$6 - COUNTIF(BS53, ""&lt;&gt;-"")
)"),3.0)</f>
        <v>3</v>
      </c>
      <c r="BU53" s="181" t="s">
        <v>1070</v>
      </c>
      <c r="BV53" s="181" t="s">
        <v>1070</v>
      </c>
      <c r="BW53" s="184">
        <f>IFERROR(__xludf.DUMMYFUNCTION("IF(
  ISNUMBER(BW52),
  MIN(MAX(
    BW52
    + MAX(
      ROUNDDOWN((D53 - MAX(IFERROR(FILTER(D$24:D52, BW$24:BW52 &lt;&gt; BV$6, BW$23:BW51 = BV$6), 0))) * (60 * 60 * 24) / BV$9) - ROUNDDOWN((D52 - MAX(IFERROR(FILTER(D$23:D51, BW$23:BW51 &lt;&gt; BV$6, BW$22:BW50 ="&amp;" BV$6), 0))) * (60 * 60 * 24) / BV$9),
      0
    )
    - COUNTIF(BV53, ""&lt;&gt;-""),
  0), BV$6),
  BV$6 - COUNTIF(BV53, ""&lt;&gt;-"")
)"),2.0)</f>
        <v>2</v>
      </c>
      <c r="BX53" s="185" t="s">
        <v>1070</v>
      </c>
      <c r="BY53" s="178" t="b">
        <v>0</v>
      </c>
      <c r="BZ53" s="180" t="b">
        <v>0</v>
      </c>
      <c r="CA53" s="180" t="b">
        <v>0</v>
      </c>
      <c r="CB53" s="180" t="b">
        <v>0</v>
      </c>
      <c r="CC53" s="180" t="b">
        <v>0</v>
      </c>
      <c r="CD53" s="180" t="b">
        <v>0</v>
      </c>
      <c r="CE53" s="180" t="b">
        <v>0</v>
      </c>
      <c r="CF53" s="180" t="b">
        <v>0</v>
      </c>
      <c r="CG53" s="180" t="b">
        <v>0</v>
      </c>
      <c r="CH53" s="180" t="b">
        <v>0</v>
      </c>
      <c r="CI53" s="180" t="b">
        <v>0</v>
      </c>
      <c r="CJ53" s="180" t="b">
        <v>0</v>
      </c>
      <c r="CK53" s="180" t="b">
        <v>0</v>
      </c>
      <c r="CL53" s="180" t="b">
        <v>0</v>
      </c>
      <c r="CM53" s="181" t="s">
        <v>1070</v>
      </c>
      <c r="CN53" s="181" t="s">
        <v>1070</v>
      </c>
      <c r="CO53" s="181" t="s">
        <v>1070</v>
      </c>
      <c r="CP53" s="181" t="s">
        <v>1070</v>
      </c>
      <c r="CQ53" s="185" t="s">
        <v>1070</v>
      </c>
      <c r="CR53" s="180" t="b">
        <v>0</v>
      </c>
      <c r="CS53" s="186" t="str">
        <f t="shared" si="14"/>
        <v>◇◇◇</v>
      </c>
      <c r="CT53" s="178" t="b">
        <v>0</v>
      </c>
      <c r="CU53" s="180" t="b">
        <v>0</v>
      </c>
      <c r="CV53" s="180" t="b">
        <v>0</v>
      </c>
      <c r="CW53" s="180" t="b">
        <v>0</v>
      </c>
      <c r="CX53" s="180" t="b">
        <v>0</v>
      </c>
      <c r="CY53" s="180" t="b">
        <v>0</v>
      </c>
      <c r="CZ53" s="180" t="b">
        <v>0</v>
      </c>
      <c r="DA53" s="180" t="b">
        <v>0</v>
      </c>
      <c r="DB53" s="180" t="b">
        <v>0</v>
      </c>
      <c r="DC53" s="180" t="b">
        <v>0</v>
      </c>
      <c r="DD53" s="181" t="s">
        <v>1070</v>
      </c>
      <c r="DE53" s="181" t="s">
        <v>1070</v>
      </c>
      <c r="DF53" s="181" t="s">
        <v>1070</v>
      </c>
      <c r="DG53" s="185" t="s">
        <v>1070</v>
      </c>
      <c r="DH53" s="180" t="b">
        <v>0</v>
      </c>
      <c r="DI53" s="187" t="str">
        <f>IFERROR(__xludf.DUMMYFUNCTION("SWITCH(
  IF(
    ISTEXT(DI52),
    IF (
      FIND(""○"", DI52&amp;""○"") &gt; 3,
      3,
      FIND(""○"", DI52&amp;""○"")
      + MAX(
        ROUNDDOWN(($D53 - MAX(IFERROR(FILTER(D$24:D52, DI$24:DI52 &lt;&gt; ""●●●"", DI$23:DI51 = ""●●●""), 0))) * (60 * 60 * 24) / 20"&amp;") - ROUNDDOWN(($D52 - MAX(IFERROR(FILTER(D$23:D51, DI$23:DI51 &lt;&gt; ""●●●"", DI$22:DI50 = ""●●●""), 0))) * (60 * 60 * 24) / 20),
        0
      ) - 1
    ) - COUNTIFS(CU53, ""=TRUE"", CU52, ""&lt;&gt;TRUE"") - COUNTIF(CZ53, ""=TRUE"") - COUNTIF({DD53,DE53}, ""&lt;&gt;-"&amp;""") + COUNTIF(DH53, ""=TRUE""),
    3
  ),
  0, ""○○○"", 1, ""●○○"", 2, ""●●○"", 3, ""●●●"", 4, ""●●●"", ""○○○""
)"),"●●●")</f>
        <v>●●●</v>
      </c>
      <c r="DJ53" s="188" t="b">
        <v>0</v>
      </c>
      <c r="DK53" s="189" t="b">
        <v>0</v>
      </c>
      <c r="DL53" s="190" t="b">
        <v>0</v>
      </c>
      <c r="DM53" s="190" t="b">
        <v>0</v>
      </c>
      <c r="DN53" s="190" t="b">
        <v>0</v>
      </c>
      <c r="DO53" s="190" t="b">
        <v>0</v>
      </c>
      <c r="DP53" s="190" t="b">
        <v>0</v>
      </c>
      <c r="DQ53" s="191" t="b">
        <v>0</v>
      </c>
      <c r="DR53" s="192" t="b">
        <v>0</v>
      </c>
      <c r="DS53" s="191" t="b">
        <v>0</v>
      </c>
      <c r="DT53" s="192" t="b">
        <v>0</v>
      </c>
      <c r="DU53" s="191" t="b">
        <v>0</v>
      </c>
      <c r="DV53" s="193" t="s">
        <v>1070</v>
      </c>
      <c r="DW53" s="194" t="b">
        <v>0</v>
      </c>
      <c r="DX53" s="194" t="b">
        <v>0</v>
      </c>
      <c r="DY53" s="195" t="b">
        <v>0</v>
      </c>
      <c r="DZ53" s="196" t="b">
        <v>0</v>
      </c>
      <c r="EA53" s="195" t="b">
        <v>0</v>
      </c>
      <c r="EB53" s="197" t="b">
        <v>0</v>
      </c>
      <c r="EC53" s="197" t="b">
        <v>0</v>
      </c>
      <c r="ED53" s="212" t="b">
        <v>0</v>
      </c>
      <c r="EE53" s="199">
        <f>IFERROR(__xludf.DUMMYFUNCTION("IFERROR(
   PRODUCT(
     MAP(
       INDEX(TRANSPOSE(UNIQUE(TRANSPOSE(FILTER({IF($F53=""Physical"", K$10:ED$10, IF($F53=""Magic"", K$11:ED$11, K$12:ED$12));K$4:ED$4;K53:ED53}, K53:ED53=TRUE)))), 1, 0),
       INDEX(TRANSPOSE(UNIQUE(TRANSPOSE(FILTER({IF($"&amp;"F53=""Physical"", K$18:ED$18, IF($F53=""Magic"", K$19:ED$19, K$20:ED$20));K$4:ED$4;K53:ED53}, K53:ED53=TRUE)))), 1, 0),
       INDEX(TRANSPOSE(UNIQUE(TRANSPOSE(FILTER({K$5:ED$5;K$4:ED$4;K53:ED53}, K53:ED53=TRUE)))), 1, 0),
       INDEX(TRANSPOSE(UNIQUE(TR"&amp;"ANSPOSE(FILTER({K$17:ED$17;K$4:ED$4;K53:ED53}, K53:ED53=TRUE)))), 1, 0),
       LAMBDA(
         mitigation,
         enhance,
         assign,
         precondition,
         IF(
           REGEXMATCH(assign, ""RANGE_PARTY|SINGLE_ENEMY|RANGE_ENEMY""),
  "&amp;"         IF(
             OR(ARRAYFORMULA((IF(precondition="""", FALSE, REGEXMATCH(K$4:ED$4, precondition))) * (K53:ED53=TRUE))),
             IF(ISNUMBER(enhance), enhance, 1),
             IF(ISNUMBER(mitigation), mitigation, 1)
           ),
          "&amp;" 1
         )
       )
     )
   ),
   1
 )"),1.0)</f>
        <v>1</v>
      </c>
      <c r="EF53" s="200">
        <f>IFERROR(__xludf.DUMMYFUNCTION("PRODUCT(
   MAP(
     K$14:ED$14,
     K$13:ED$13,
     K53:ED53,
     LAMBDA(
       buff,
       target,
       check,
       IF(
         AND(check=TRUE, REGEXMATCH(target, ""RANGE_AFFECTED_ALL|RANGE_EFFECTED_ALL""), ISNUMBER(buff)),
         buff,
   "&amp;"      1
       )
     )
   )
 )"),1.0)</f>
        <v>1</v>
      </c>
      <c r="EG53" s="200">
        <f>IFERROR(__xludf.DUMMYFUNCTION("PRODUCT(
   MAP(
     K$14:ED$14,
     K$13:ED$13,
     K53:ED53,
     LAMBDA(
       buff,
       target,
       check,
       IF(
         AND(check=TRUE, REGEXMATCH(target, ""RANGE_AFFECTED_GCD|RANGE_EFFECTED_GCD""), ISNUMBER(buff)),
         buff,
   "&amp;"      1
       )
     )
   )
 )"),1.0)</f>
        <v>1</v>
      </c>
      <c r="EH53" s="200">
        <f>IFERROR(__xludf.DUMMYFUNCTION("PRODUCT(
   MAP(
     K$3:ED$3,
     K$14:ED$14,
     K$13:ED$13,
     K53:ED53,
     LAMBDA(
       job,
       buff,
       target,
       check,
       IF(
         AND(check=TRUE, REGEXMATCH(target, ""SELF_EFFECTED_ALL""), ISNUMBER(buff), job=""白魔道士"""&amp;"),
         buff,
         1
       )
     )
   )
 )"),1.0)</f>
        <v>1</v>
      </c>
      <c r="EI53" s="200">
        <f>IFERROR(__xludf.DUMMYFUNCTION("PRODUCT(
   MAP(
     K$3:ED$3,
     K$14:ED$14,
     K$13:ED$13,
     K53:ED53,
     LAMBDA(
       job,
       buff,
       target,
       check,
       IF(
         AND(check=TRUE, REGEXMATCH(target, ""SELF_EFFECTED_GCD""), ISNUMBER(buff), job=""白魔道士"""&amp;"),
         buff,
         1
       )
     )
   )
 )"),1.0)</f>
        <v>1</v>
      </c>
      <c r="EJ53" s="200">
        <f>IFERROR(__xludf.DUMMYFUNCTION("PRODUCT(
   MAP(
     K$3:ED$3,
     K$14:ED$14,
     K$13:ED$13,
     K53:ED53,
     LAMBDA(
       job,
       buff,
       target,
       check,
       IF(
         AND(check=TRUE, REGEXMATCH(target, ""SELF_EFFECTED_ALL""), ISNUMBER(buff), job=""占星術師"""&amp;"),
         buff,
         1
       )
     )
   )
 )"),1.0)</f>
        <v>1</v>
      </c>
      <c r="EK53" s="200">
        <f>IFERROR(__xludf.DUMMYFUNCTION("PRODUCT(
   MAP(
     K$3:ED$3,
     K$14:ED$14,
     K$13:ED$13,
     K53:ED53,
     LAMBDA(
       job,
       buff,
       target,
       check,
       IF(
         AND(check=TRUE, REGEXMATCH(target, ""SELF_EFFECTED_GCD""), ISNUMBER(buff), job=""占星術師"""&amp;"),
         buff,
         1
       )
     )
   )
 )"),1.0)</f>
        <v>1</v>
      </c>
      <c r="EL53" s="200">
        <f>IFERROR(__xludf.DUMMYFUNCTION("PRODUCT(
   MAP(
     K$3:ED$3,
     K$14:ED$14,
     K$13:ED$13,
     K53:ED53,
     LAMBDA(
       job,
       buff,
       target,
       check,
       IF(
         AND(check=TRUE, REGEXMATCH(target, ""SELF_EFFECTED_ALL""), ISNUMBER(buff), job=""学者""),"&amp;"
         buff,
         1
       )
     )
   )
 )"),1.0)</f>
        <v>1</v>
      </c>
      <c r="EM53" s="200">
        <f>IFERROR(__xludf.DUMMYFUNCTION("PRODUCT(
   MAP(
     K$3:ED$3,
     K$14:ED$14,
     K$13:ED$13,
     K53:ED53,
     LAMBDA(
       job,
       buff,
       target,
       check,
       IF(
         AND(check=TRUE, REGEXMATCH(target, ""SELF_EFFECTED_GCD""), ISNUMBER(buff), job=""学者""),"&amp;"
         buff,
         1
       )
     )
   )
 )"),1.0)</f>
        <v>1</v>
      </c>
      <c r="EN53" s="200">
        <f>IFERROR(__xludf.DUMMYFUNCTION("PRODUCT(
   MAP(
     K$3:ED$3,
     K$14:ED$14,
     K$13:ED$13,
     K53:ED53,
     LAMBDA(
       job,
       buff,
       target,
       check,
       IF(
         AND(check=TRUE, REGEXMATCH(target, ""SELF_EFFECTED_ALL""), ISNUMBER(buff), job=""賢者""),"&amp;"
         buff,
         1
       )
     )
   )
 )"),1.0)</f>
        <v>1</v>
      </c>
      <c r="EO53" s="200">
        <f>IFERROR(__xludf.DUMMYFUNCTION("PRODUCT(
   MAP(
     K$3:ED$3,
     K$14:ED$14,
     K$13:ED$13,
     K53:ED53,
     LAMBDA(
       job,
       buff,
       target,
       check,
       IF(
         AND(check=TRUE, REGEXMATCH(target, ""SELF_EFFECTED_GCD""), ISNUMBER(buff), job=""賢者""),"&amp;"
         buff,
         1
       )
     )
   )
 )"),1.0)</f>
        <v>1</v>
      </c>
      <c r="EP53" s="201">
        <f t="shared" si="3"/>
        <v>0</v>
      </c>
      <c r="EQ53" s="201">
        <f>IFERROR(__xludf.DUMMYFUNCTION("SUM(
   MAP(
     K$4:ED$4,
     K$3:ED$3,
     K$7:ED$7,
     K$15:ED$15,
     K$16:ED$16,
     K$21:ED$21,
     K$5:ED$5,
     K$17:ED$17,
     K53:ED53,
     LAMBDA(
       name,
       job,
       abillity,
       buff,
       barrier,
       enhance,"&amp;"
       assign,
       precondition,
       check,
       SWITCH(
         name,
         ""シェイクオフ"", IF(check=TRUE, buff + (0.02 * COUNTIF(ARRAYFORMULA((REGEXMATCH($K$4:$ED$4, ""スリル・オブ・バトル|ヴェンジェンス|原初の血気|ダムネーション"")) * (K53:ED53=TRUE)), 1)), 0),
         "&amp;"""インプロビゼーションフィニッシュ(踊りの激情0)"", IF(ISNUMBER(check), INDEX(Skill!$AJ:$AJ, MATCH(SUBSTITUTE(DV$4, 0, check), Skill!$C:$C, 0)), 0),
         IF(
           AND(check=TRUE, REGEXMATCH(assign, ""RANGE_PARTY"")),
           IF(
             OR(ARRAYFORMULA((IF(pr"&amp;"econdition="""", FALSE, REGEXMATCH($K$4:$ED$4, precondition))) * (K53:ED53=TRUE))),
             enhance,
             IF(barrier="""", buff, barrier)
           ),
           0
         )
       ) *
       SWITCH(
         job,
         ""ナイト"", EY$24,
 "&amp;"        ""戦士"", FD$24,
         ""踊り子"", ET$24,
         ""ピクトマンサー"", ET$24,
         ""白魔道士"", EF53 * EH53 * IF(abillity, 1, EG53 * EI53) * (Option!$D$22 * 0.81 / 100),
         ""占星術師"", EF53 * EJ53 * IF(abillity, 1, EG53 * EK53) * (Option!$D$23 * 0.81 "&amp;"/ 100),
         ""学者"", EF53 * EL53 * IF(abillity, 1, EG53 * EM53) * (Option!$D$24 * 0.81 / 100),
         ""賢者"", EF53 * EN53 * IF(abillity, 1, EG53 * EO53) * (Option!$D$25 * 0.81 / 100),
         1
       )
     )
   )
 )"),0.0)</f>
        <v>0</v>
      </c>
      <c r="ER53" s="202">
        <f t="shared" si="4"/>
        <v>0</v>
      </c>
      <c r="ES53" s="203">
        <f t="shared" si="5"/>
        <v>0</v>
      </c>
      <c r="ET53" s="231" t="str">
        <f>IFERROR(__xludf.DUMMYFUNCTION("IFS(
  EP53 &gt; $ET$24 + EQ53,
  SPARKLINE({ 1, 0 }, {""charttype"",""bar"";""max"", 1;""color1"",Option!$D$30;""color2"",Option!$D$30}),
  EP53 &lt; EQ53,
  SPARKLINE({EQ53 - EP53, $ET$24 - (EQ53 - EP53)}, {""charttype"",""bar"";""max"",$ET$24;""color1"",Opti"&amp;"on!$D$28;""color2"",Option!$D$29}),
  EP53 &gt;= EQ53,
  SPARKLINE({$ET$24 + EQ53 - EP53,EP53 - EQ53}, {""charttype"",""bar"";""max"",$ET$24;""color1"",Option!$D$29;""color2"",Option!$D$30})
)"),"")</f>
        <v/>
      </c>
      <c r="EU53" s="205">
        <f>IFERROR(__xludf.DUMMYFUNCTION("PRODUCT(
   MAP(
     IF($F53=""Physical"", K$10:ED$10, IF($F53=""Magic"", K$11:ED$11, K$12:ED$12)),
     IF($F53=""Physical"", K$18:ED$18, IF($F53=""Magic"", K$19:ED$19, K$20:ED$20)),
     K$3:ED$3,
     K$5:ED$5,
     K$17:ED$17,
     K53:ED53,
     LAM"&amp;"BDA(
       mitigation,
       enhance,
       job,
       assign,
       precondition,
       check,
       IF(
         OR(AND(check=TRUE, REGEXMATCH(assign, ""SELF""), job=""ナイト""), AND(check=Option!$E$13, REGEXMATCH(assign, ""SINGLE_PARTY""))),
      "&amp;"   IF(
           OR(ARRAYFORMULA((IF(precondition="""", FALSE, REGEXMATCH($K$4:$ED$4, precondition))) * (K53:ED53=TRUE))),
           enhance,
           mitigation
         ),
         1
       )
     )
   )
 ) * EE53"),1.0)</f>
        <v>1</v>
      </c>
      <c r="EV53" s="206">
        <f t="shared" si="6"/>
        <v>0</v>
      </c>
      <c r="EW53" s="205">
        <f>IFERROR(__xludf.DUMMYFUNCTION("PRODUCT(
   MAP(
     K$3:ED$3,
     K$14:ED$14,
     K$13:ED$13,
     K53:ED53,
     LAMBDA(
       job,
       buff,
       target,
       check,
       IF(
         OR(AND(check=TRUE, REGEXMATCH(target, ""SELF_AFFECTED_ALL""), job=""ナイト""), AND(check=O"&amp;"ption!$E$13, REGEXMATCH(target, ""SINGLE_AFFECTED_ALL""))),
         buff,
         1
       )
     )
   )
 )"),1.0)</f>
        <v>1</v>
      </c>
      <c r="EX53" s="206">
        <f>IFERROR(__xludf.DUMMYFUNCTION("SUM(
   MAP(
     K$3:ED$3,
     K$7:ED$7,
     K$15:ED$15,
     K$16:ED$16,
     K$21:ED$21,
     K$5:ED$5,
     K$17:ED$17,
     K53:ED53,
     LAMBDA(
       job,
       abillity,
       buff,
       barrier,
       enhance,
       assign,
       preco"&amp;"ndition,
       check,
       IF(
         OR(AND(check=TRUE, REGEXMATCH(assign, ""SELF""), job=""ナイト""), AND(check=Option!$E$13, REGEXMATCH(assign, ""SINGLE_PARTY""))),
         IF(
           OR(ARRAYFORMULA((IF(precondition="""", FALSE, REGEXMATCH($K$4"&amp;":$ED$4, precondition))) * (K53:ED53=TRUE))),
           enhance,
           IF(barrier="""", buff, barrier)
         ),
         0
       ) *
       SWITCH(
         job,
         ""暗黒騎士"", EY$24,
         ""白魔道士"", EF53 * EH53 * EW53 * IF(abillity, 1, EG"&amp;"53 * EI53) * (Option!$D$22 * 0.81 / 100),
         ""占星術師"", EF53 * EJ53 * EW53 * IF(abillity, 1, EG53 * EK53) * (Option!$D$23 * 0.81 / 100),
         ""学者"", EF53 * EL53 * EW53 * IF(abillity, 1, EG53 * EM53) * (Option!$D$24 * 0.81 / 100),
         ""賢者"""&amp;", EF53 * EN53 * EW53 * IF(abillity, 1, EG53 * EO53) * (Option!$D$25 * 0.81 / 100),
         1
       )
     )
   )
 ) + EQ53"),0.0)</f>
        <v>0</v>
      </c>
      <c r="EY53" s="232">
        <f t="shared" si="7"/>
        <v>0</v>
      </c>
      <c r="EZ53" s="205">
        <f>IFERROR(__xludf.DUMMYFUNCTION("PRODUCT(
   MAP(
     IF($F53=""Physical"", K$10:ED$10, IF($F53=""Magic"", K$11:ED$11, K$12:ED$12)),
     IF($F53=""Physical"", K$18:ED$18, IF($F53=""Magic"", K$19:ED$19, K$20:ED$20)),
     K$3:ED$3,
     K$5:ED$5,
     K$17:ED$17,
     K53:ED53,
     LAM"&amp;"BDA(
       mitigation,
       enhance,
       job,
       assign,
       precondition,
       check,
       IF(
         OR(AND(check=TRUE, REGEXMATCH(assign, ""SELF""), job=""戦士""), AND(check=Option!$F$13, REGEXMATCH(assign, ""SINGLE_PARTY""))),
       "&amp;"  IF(
           OR(ARRAYFORMULA((IF(precondition="""", FALSE, REGEXMATCH($K$4:$ED$4, precondition))) * (K53:ED53=TRUE))),
           enhance,
           mitigation
         ),
         1
       )
     )
   )
 ) * EE53"),1.0)</f>
        <v>1</v>
      </c>
      <c r="FA53" s="206">
        <f t="shared" si="8"/>
        <v>0</v>
      </c>
      <c r="FB53" s="205">
        <f>IFERROR(__xludf.DUMMYFUNCTION("PRODUCT(
   MAP(
     K$3:ED$3,
     K$14:ED$14,
     K$13:ED$13,
     K53:ED53,
     LAMBDA(
       job,
       buff,
       target,
       check,
       IF(
         OR(AND(check=TRUE, REGEXMATCH(target, ""SELF_AFFECTED_ALL""), job=""戦士""), AND(check=Op"&amp;"tion!$F$13, REGEXMATCH(target, ""SINGLE_AFFECTED_ALL""))),
         buff,
         1
       )
     )
   )
 )"),1.0)</f>
        <v>1</v>
      </c>
      <c r="FC53" s="206">
        <f>IFERROR(__xludf.DUMMYFUNCTION("SUM(
   MAP(
     K$3:ED$3,
     K$7:ED$7,
     K$15:ED$15,
     K$16:ED$16,
     K$21:ED$21,
     K$5:ED$5,
     K$17:ED$17,
     K53:ED53,
     LAMBDA(
       job,
       abillity,
       buff,
       barrier,
       enhance,
       assign,
       preco"&amp;"ndition,
       check,
       IF(
         OR(AND(check=TRUE, REGEXMATCH(assign, ""SELF""), job=""戦士""), AND(check=Option!$F$13, REGEXMATCH(assign, ""SINGLE_PARTY""))),
         IF(
           OR(ARRAYFORMULA((IF(precondition="""", FALSE, REGEXMATCH($K$4:"&amp;"$ED$4, precondition))) * (K53:ED53=TRUE))),
           enhance,
           IF(barrier="""", buff, barrier)
         ),
         0
       ) *
       SWITCH(
         job,
         ""暗黒騎士"", FD$24,
         ""白魔道士"", EF53 * EH53 * FB53 * IF(abillity, 1, EG5"&amp;"3 * EI53) * (Option!$D$22 * 0.81 / 100),
         ""占星術師"", EF53 * EJ53 * FFB53 * IF(abillity, 1, EG53 * EK53) * (Option!$D$23 * 0.81 / 100),
         ""学者"", EF53 * EL53 * FB53 * IF(abillity, 1, EG53 * EM53) * (Option!$D$24 * 0.81 / 100),
         ""賢者"""&amp;", EF53 * EN53 * FB53 * IF(abillity, 1, EG53 * EO53) * (Option!$D$25 * 0.81 / 100),
         1
       )
     )
   )
 ) + EQ53"),0.0)</f>
        <v>0</v>
      </c>
      <c r="FD53" s="206">
        <f t="shared" si="9"/>
        <v>0</v>
      </c>
      <c r="FE53" s="205">
        <f>IFERROR(__xludf.DUMMYFUNCTION("PRODUCT(
   MAP(
     IF($F53=""Physical"", K$10:ED$10, IF($F53=""Magic"", K$11:ED$11, K$12:ED$12)),
     IF($F53=""Physical"", K$18:ED$18, IF($F53=""Magic"", K$19:ED$19, K$20:ED$20)),
     K$3:ED$3,
     K$5:ED$5,
     K$17:ED$17,
     K53:ED53,
     LAM"&amp;"BDA(
       mitigation,
       enhance,
       job,
       assign,
       precondition,
       check,
       IF(
         OR(AND(check=TRUE, REGEXMATCH(assign, ""SELF""), job=""暗黒騎士""), AND(check=Option!$G$13, REGEXMATCH(assign, ""SINGLE_PARTY""))),
     "&amp;"    IF(
           OR(ARRAYFORMULA((IF(precondition="""", FALSE, REGEXMATCH($K$4:$ED$4, precondition))) * (K53:ED53=TRUE))),
           enhance,
           mitigation
         ),
         1
       )
     )
   )
 ) * EE53"),1.0)</f>
        <v>1</v>
      </c>
      <c r="FF53" s="206">
        <f t="shared" si="10"/>
        <v>0</v>
      </c>
      <c r="FG53" s="205">
        <f>IFERROR(__xludf.DUMMYFUNCTION("PRODUCT(
   MAP(
     K$3:ED$3,
     K$14:ED$14,
     K$13:ED$13,
     K53:ED53,
     LAMBDA(
       job,
       buff,
       target,
       check,
       IF(
         OR(AND(check=TRUE, REGEXMATCH(target, ""SELF_AFFECTED_ALL""), job=""暗黒騎士""), AND(check="&amp;"Option!$G$13, REGEXMATCH(target, ""SINGLE_AFFECTED_ALL""))),
         buff,
         1
       )
     )
   )
 )"),1.0)</f>
        <v>1</v>
      </c>
      <c r="FH53" s="206">
        <f>IFERROR(__xludf.DUMMYFUNCTION("SUM(
   MAP(
     K$3:ED$3,
     K$7:ED$7,
     K$15:ED$15,
     K$16:ED$16,
     K$21:ED$21,
     K$5:ED$5,
     K$17:ED$17,
     K53:ED53,
     LAMBDA(
       job,
       abillity,
       buff,
       barrier,
       enhance,
       assign,
       preco"&amp;"ndition,
       check,
       IF(
         OR(AND(check=TRUE, REGEXMATCH(assign, ""SELF""), job=""暗黒騎士""), AND(check=Option!$G$13, REGEXMATCH(assign, ""SINGLE_PARTY""))),
         IF(
           OR(ARRAYFORMULA((IF(precondition="""", FALSE, REGEXMATCH($K$"&amp;"4:$ED$4, precondition))) * (K53:ED53=TRUE))),
           enhance,
           IF(barrier="""", buff, barrier)
         ),
         0
       ) *
       SWITCH(
         job,
         ""暗黒騎士"", FI$24,
         ""白魔道士"", EF53 * EH53 * FG53 * IF(abillity, 1, E"&amp;"G53 * EI53) * (Option!$D$22 * 0.81 / 100),
         ""占星術師"", EF53 * EJ53 * FG53 * IF(abillity, 1, EG53 * EK53) * (Option!$D$23 * 0.81 / 100),
         ""学者"", EF53 * EL53 * FG53 * IF(abillity, 1, EG53 * EM53) * (Option!$D$24 * 0.81 / 100),
         ""賢者"&amp;""", EF53 * EN53 * FG53 * IF(abillity, 1, EG53 * EO53) * (Option!$D$25 * 0.81 / 100),
         1
       )
     )
   )
 ) + EQ53"),0.0)</f>
        <v>0</v>
      </c>
      <c r="FI53" s="206">
        <f t="shared" si="11"/>
        <v>0</v>
      </c>
      <c r="FJ53" s="205">
        <f>IFERROR(__xludf.DUMMYFUNCTION("PRODUCT(
   MAP(
     IF($F53=""Physical"", K$10:ED$10, IF($F53=""Magic"", K$11:ED$11, K$12:ED$12)),
     IF($F53=""Physical"", K$18:ED$18, IF($F53=""Magic"", K$19:ED$19, K$20:ED$20)),
     K$3:ED$3,
     K$5:ED$5,
     K$17:ED$17,
     K53:ED53,
     LAM"&amp;"BDA(
       mitigation,
       enhance,
       job,
       assign,
       precondition,
       check,
       IF(
         OR(AND(check=TRUE, REGEXMATCH(assign, ""SELF""), job=""ガンブレイカー""), AND(check=Option!$H$13, REGEXMATCH(assign, ""SINGLE_PARTY""))),
  "&amp;"       IF(
           OR(ARRAYFORMULA((IF(precondition="""", FALSE, REGEXMATCH($K$4:$ED$4, precondition))) * (K53:ED53=TRUE))),
           enhance,
           mitigation
         ),
         1
       )
     )
   )
 ) * EE53"),1.0)</f>
        <v>1</v>
      </c>
      <c r="FK53" s="206">
        <f t="shared" si="12"/>
        <v>0</v>
      </c>
      <c r="FL53" s="205">
        <f>IFERROR(__xludf.DUMMYFUNCTION("PRODUCT(
   MAP(
     K$3:ED$3,
     K$14:ED$14,
     K$13:ED$13,
     K53:ED53,
     LAMBDA(
       job,
       buff,
       target,
       check,
       IF(
         OR(AND(check=TRUE, REGEXMATCH(target, ""SELF_AFFECTED_ALL""), job=""ガンブレイカー""), AND(che"&amp;"ck=Option!$H$13, REGEXMATCH(target, ""SINGLE_AFFECTED_ALL""))),
         buff,
         1
       )
     )
   )
 )"),1.0)</f>
        <v>1</v>
      </c>
      <c r="FM53" s="206">
        <f>IFERROR(__xludf.DUMMYFUNCTION("SUM(
   MAP(
     K$3:ED$3,
     K$7:ED$7,
     K$15:ED$15,
     K$16:ED$16,
     K$21:ED$21,
     K$5:ED$5,
     K$17:ED$17,
     K53:ED53,
     LAMBDA(
       job,
       abillity,
       buff,
       barrier,
       enhance,
       assign,
       preco"&amp;"ndition,
       check,
       IF(
         OR(AND(check=TRUE, REGEXMATCH(assign, ""SELF""), job=""ガンブレイカー""), AND(check=Option!$H$13, REGEXMATCH(assign, ""SINGLE_PARTY""))),
         IF(
           OR(ARRAYFORMULA((IF(precondition="""", FALSE, REGEXMATCH("&amp;"$K$4:$ED$4, precondition))) * (K53:ED53=TRUE))),
           enhance,
           IF(barrier="""", buff, barrier)
         ),
         0
       ) *
       SWITCH(
         job,
         ""暗黒騎士"", FN$24,
         ""白魔道士"", EF53 * EH53 * FL53 * IF(abillity, 1"&amp;", EG53 * EI53) * (Option!$D$22 * 0.81 / 100),
         ""占星術師"", EF53 * EJ53 * FL53 * IF(abillity, 1, EG53 * EK53) * (Option!$D$23 * 0.81 / 100),
         ""学者"", EF53 * EL53 * FL53 * IF(abillity, 1, EG53 * EM53) * (Option!$D$24 * 0.81 / 100),
         """&amp;"賢者"", EF53 * EN53 * FL53 * IF(abillity, 1, EG53 * EO53) * (Option!$D$25 * 0.81 / 100),
         1
       )
     )
   )
 ) + EQ53"),0.0)</f>
        <v>0</v>
      </c>
      <c r="FN53" s="206">
        <f t="shared" si="13"/>
        <v>0</v>
      </c>
      <c r="FO53" s="213"/>
    </row>
    <row r="54">
      <c r="B54" s="229"/>
      <c r="C54" s="217">
        <f t="shared" si="1"/>
        <v>0</v>
      </c>
      <c r="D54" s="236"/>
      <c r="E54" s="238"/>
      <c r="F54" s="167"/>
      <c r="G54" s="168" t="str">
        <f t="shared" si="2"/>
        <v/>
      </c>
      <c r="H54" s="169"/>
      <c r="I54" s="169"/>
      <c r="J54" s="169"/>
      <c r="K54" s="170" t="b">
        <v>0</v>
      </c>
      <c r="L54" s="170" t="b">
        <v>0</v>
      </c>
      <c r="M54" s="170" t="b">
        <v>0</v>
      </c>
      <c r="N54" s="171" t="s">
        <v>1070</v>
      </c>
      <c r="O54" s="172" t="b">
        <v>0</v>
      </c>
      <c r="P54" s="173" t="b">
        <v>0</v>
      </c>
      <c r="Q54" s="173" t="b">
        <v>0</v>
      </c>
      <c r="R54" s="173" t="b">
        <v>0</v>
      </c>
      <c r="S54" s="174" t="b">
        <v>0</v>
      </c>
      <c r="T54" s="175" t="b">
        <v>0</v>
      </c>
      <c r="U54" s="173" t="b">
        <v>0</v>
      </c>
      <c r="V54" s="171" t="s">
        <v>1070</v>
      </c>
      <c r="W54" s="172" t="b">
        <v>0</v>
      </c>
      <c r="X54" s="173" t="b">
        <v>0</v>
      </c>
      <c r="Y54" s="173" t="b">
        <v>0</v>
      </c>
      <c r="Z54" s="173" t="b">
        <v>0</v>
      </c>
      <c r="AA54" s="174" t="b">
        <v>0</v>
      </c>
      <c r="AB54" s="174" t="b">
        <v>0</v>
      </c>
      <c r="AC54" s="175" t="b">
        <v>0</v>
      </c>
      <c r="AD54" s="173" t="b">
        <v>0</v>
      </c>
      <c r="AE54" s="176" t="s">
        <v>1070</v>
      </c>
      <c r="AF54" s="171" t="s">
        <v>1070</v>
      </c>
      <c r="AG54" s="177">
        <f>IFERROR(__xludf.DUMMYFUNCTION("IF(
  ISNUMBER(AG53),
  MIN(MAX(
    AG53
    + MAX(
      ROUNDDOWN(($D54 - MAX(IFERROR(FILTER($D$24:$D53, AG$24:AG53 &lt;&gt; AF$6, AG$23:AG52 = AF$6), 0))) * (60 * 60 * 24) / AF$9) - ROUNDDOWN(($D53 - MAX(IFERROR(FILTER($D$23:$D52, AG$23:AG52 &lt;&gt; AF$6, AG$22:"&amp;"AG51 = AF$6), 0))) * (60 * 60 * 24) / 60),
      0
    )
    - COUNTIF(AF54, ""&lt;&gt;-""),
  0), AF$6),
  AF$6 - COUNTIF(AF54, ""&lt;&gt;-"")
)"),2.0)</f>
        <v>2</v>
      </c>
      <c r="AH54" s="173" t="b">
        <v>0</v>
      </c>
      <c r="AI54" s="173" t="b">
        <v>0</v>
      </c>
      <c r="AJ54" s="173" t="b">
        <v>0</v>
      </c>
      <c r="AK54" s="174" t="b">
        <v>0</v>
      </c>
      <c r="AL54" s="175" t="b">
        <v>0</v>
      </c>
      <c r="AM54" s="173" t="b">
        <v>0</v>
      </c>
      <c r="AN54" s="171" t="s">
        <v>1070</v>
      </c>
      <c r="AO54" s="173" t="b">
        <v>0</v>
      </c>
      <c r="AP54" s="173" t="b">
        <v>0</v>
      </c>
      <c r="AQ54" s="173" t="b">
        <v>0</v>
      </c>
      <c r="AR54" s="174" t="b">
        <v>0</v>
      </c>
      <c r="AS54" s="178" t="b">
        <v>0</v>
      </c>
      <c r="AT54" s="179" t="b">
        <v>0</v>
      </c>
      <c r="AU54" s="180" t="b">
        <v>0</v>
      </c>
      <c r="AV54" s="180" t="b">
        <v>0</v>
      </c>
      <c r="AW54" s="180" t="b">
        <v>0</v>
      </c>
      <c r="AX54" s="180" t="b">
        <v>0</v>
      </c>
      <c r="AY54" s="181" t="s">
        <v>1070</v>
      </c>
      <c r="AZ54" s="181" t="s">
        <v>1070</v>
      </c>
      <c r="BA54" s="184">
        <f>IFERROR(__xludf.DUMMYFUNCTION("IF(
  ISNUMBER(BA53),
  MIN(MAX(
    BA53
    + MAX(
      ROUNDDOWN((D54 - MAX(IFERROR(FILTER(D$24:D53, BA$24:BA53 &lt;&gt; AZ$6, BA$23:BA52 = AZ$6), 0))) * (60 * 60 * 24) / AZ$9) - ROUNDDOWN((D53 - MAX(IFERROR(FILTER(D$23:D52, BA$23:BA52 &lt;&gt; AZ$6, BA$22:BA51 ="&amp;" AZ$6), 0))) * (60 * 60 * 24) / AZ$9),
      0
    )
    - COUNTIF(AZ54, ""&lt;&gt;-""),
  0), AZ$6),
  AZ$6 - COUNTIF(AZ54, ""&lt;&gt;-"")
)"),2.0)</f>
        <v>2</v>
      </c>
      <c r="BB54" s="181" t="s">
        <v>1070</v>
      </c>
      <c r="BC54" s="183">
        <f>IFERROR(__xludf.DUMMYFUNCTION("IF(
  ISNUMBER(BC53),
  MIN(MAX(
    BC53
    + MAX(
      ROUNDDOWN(($D54 - MAX(IFERROR(FILTER($D$24:$D53, BC$24:BC53 &lt;&gt; BB$6, BC$23:BC52 = BB$6), 0))) * (60 * 60 * 24) / BB$9) - ROUNDDOWN(($D53 - MAX(IFERROR(FILTER($D$23:$D52, BC$23:BC52 &lt;&gt; BB$6, BC$22:"&amp;"BC51 = BB$6), 0))) * (60 * 60 * 24) / 60),
      0
    )
    - COUNTIF(BB54, ""&lt;&gt;-""),
  0), BB$6),
  BB$6 - COUNTIF(BB54, ""&lt;&gt;-"")
)"),2.0)</f>
        <v>2</v>
      </c>
      <c r="BD54" s="181" t="s">
        <v>1070</v>
      </c>
      <c r="BE54" s="178" t="b">
        <v>0</v>
      </c>
      <c r="BF54" s="180" t="b">
        <v>0</v>
      </c>
      <c r="BG54" s="180" t="b">
        <v>0</v>
      </c>
      <c r="BH54" s="180" t="b">
        <v>0</v>
      </c>
      <c r="BI54" s="180" t="b">
        <v>0</v>
      </c>
      <c r="BJ54" s="180" t="b">
        <v>0</v>
      </c>
      <c r="BK54" s="180" t="b">
        <v>0</v>
      </c>
      <c r="BL54" s="180" t="b">
        <v>0</v>
      </c>
      <c r="BM54" s="180" t="b">
        <v>0</v>
      </c>
      <c r="BN54" s="180" t="b">
        <v>0</v>
      </c>
      <c r="BO54" s="181" t="s">
        <v>1070</v>
      </c>
      <c r="BP54" s="181" t="s">
        <v>1070</v>
      </c>
      <c r="BQ54" s="181" t="s">
        <v>1070</v>
      </c>
      <c r="BR54" s="181" t="s">
        <v>1070</v>
      </c>
      <c r="BS54" s="181" t="s">
        <v>1070</v>
      </c>
      <c r="BT54" s="184">
        <f>IFERROR(__xludf.DUMMYFUNCTION("IF(
  ISNUMBER(BT53),
  MIN(MAX(
    BT53
    + MAX(
      ROUNDDOWN((D54 - MAX(IFERROR(FILTER(D$24:D53, BT$24:BT53 &lt;&gt; BS$6, BT$23:BT52 = BS$6), 0))) * (60 * 60 * 24) / BS$9) - ROUNDDOWN((D53 - MAX(IFERROR(FILTER(D$23:D52, BT$23:BT52 &lt;&gt; BS$6, BT$22:BT51 ="&amp;" BS$6), 0))) * (60 * 60 * 24) / BS$9),
      0
    )
    - COUNTIF(BS54, ""&lt;&gt;-""),
  0), BS$6),
  BS$6 - COUNTIF(BS54, ""&lt;&gt;-"")
)"),3.0)</f>
        <v>3</v>
      </c>
      <c r="BU54" s="181" t="s">
        <v>1070</v>
      </c>
      <c r="BV54" s="181" t="s">
        <v>1070</v>
      </c>
      <c r="BW54" s="184">
        <f>IFERROR(__xludf.DUMMYFUNCTION("IF(
  ISNUMBER(BW53),
  MIN(MAX(
    BW53
    + MAX(
      ROUNDDOWN((D54 - MAX(IFERROR(FILTER(D$24:D53, BW$24:BW53 &lt;&gt; BV$6, BW$23:BW52 = BV$6), 0))) * (60 * 60 * 24) / BV$9) - ROUNDDOWN((D53 - MAX(IFERROR(FILTER(D$23:D52, BW$23:BW52 &lt;&gt; BV$6, BW$22:BW51 ="&amp;" BV$6), 0))) * (60 * 60 * 24) / BV$9),
      0
    )
    - COUNTIF(BV54, ""&lt;&gt;-""),
  0), BV$6),
  BV$6 - COUNTIF(BV54, ""&lt;&gt;-"")
)"),2.0)</f>
        <v>2</v>
      </c>
      <c r="BX54" s="185" t="s">
        <v>1070</v>
      </c>
      <c r="BY54" s="178" t="b">
        <v>0</v>
      </c>
      <c r="BZ54" s="180" t="b">
        <v>0</v>
      </c>
      <c r="CA54" s="180" t="b">
        <v>0</v>
      </c>
      <c r="CB54" s="180" t="b">
        <v>0</v>
      </c>
      <c r="CC54" s="180" t="b">
        <v>0</v>
      </c>
      <c r="CD54" s="180" t="b">
        <v>0</v>
      </c>
      <c r="CE54" s="180" t="b">
        <v>0</v>
      </c>
      <c r="CF54" s="180" t="b">
        <v>0</v>
      </c>
      <c r="CG54" s="180" t="b">
        <v>0</v>
      </c>
      <c r="CH54" s="180" t="b">
        <v>0</v>
      </c>
      <c r="CI54" s="180" t="b">
        <v>0</v>
      </c>
      <c r="CJ54" s="180" t="b">
        <v>0</v>
      </c>
      <c r="CK54" s="180" t="b">
        <v>0</v>
      </c>
      <c r="CL54" s="180" t="b">
        <v>0</v>
      </c>
      <c r="CM54" s="181" t="s">
        <v>1070</v>
      </c>
      <c r="CN54" s="181" t="s">
        <v>1070</v>
      </c>
      <c r="CO54" s="181" t="s">
        <v>1070</v>
      </c>
      <c r="CP54" s="181" t="s">
        <v>1070</v>
      </c>
      <c r="CQ54" s="185" t="s">
        <v>1070</v>
      </c>
      <c r="CR54" s="180" t="b">
        <v>0</v>
      </c>
      <c r="CS54" s="186" t="str">
        <f t="shared" si="14"/>
        <v>◇◇◇</v>
      </c>
      <c r="CT54" s="178" t="b">
        <v>0</v>
      </c>
      <c r="CU54" s="180" t="b">
        <v>0</v>
      </c>
      <c r="CV54" s="180" t="b">
        <v>0</v>
      </c>
      <c r="CW54" s="180" t="b">
        <v>0</v>
      </c>
      <c r="CX54" s="180" t="b">
        <v>0</v>
      </c>
      <c r="CY54" s="180" t="b">
        <v>0</v>
      </c>
      <c r="CZ54" s="180" t="b">
        <v>0</v>
      </c>
      <c r="DA54" s="180" t="b">
        <v>0</v>
      </c>
      <c r="DB54" s="180" t="b">
        <v>0</v>
      </c>
      <c r="DC54" s="180" t="b">
        <v>0</v>
      </c>
      <c r="DD54" s="181" t="s">
        <v>1070</v>
      </c>
      <c r="DE54" s="181" t="s">
        <v>1070</v>
      </c>
      <c r="DF54" s="181" t="s">
        <v>1070</v>
      </c>
      <c r="DG54" s="185" t="s">
        <v>1070</v>
      </c>
      <c r="DH54" s="180" t="b">
        <v>0</v>
      </c>
      <c r="DI54" s="187" t="str">
        <f>IFERROR(__xludf.DUMMYFUNCTION("SWITCH(
  IF(
    ISTEXT(DI53),
    IF (
      FIND(""○"", DI53&amp;""○"") &gt; 3,
      3,
      FIND(""○"", DI53&amp;""○"")
      + MAX(
        ROUNDDOWN(($D54 - MAX(IFERROR(FILTER(D$24:D53, DI$24:DI53 &lt;&gt; ""●●●"", DI$23:DI52 = ""●●●""), 0))) * (60 * 60 * 24) / 20"&amp;") - ROUNDDOWN(($D53 - MAX(IFERROR(FILTER(D$23:D52, DI$23:DI52 &lt;&gt; ""●●●"", DI$22:DI51 = ""●●●""), 0))) * (60 * 60 * 24) / 20),
        0
      ) - 1
    ) - COUNTIFS(CU54, ""=TRUE"", CU53, ""&lt;&gt;TRUE"") - COUNTIF(CZ54, ""=TRUE"") - COUNTIF({DD54,DE54}, ""&lt;&gt;-"&amp;""") + COUNTIF(DH54, ""=TRUE""),
    3
  ),
  0, ""○○○"", 1, ""●○○"", 2, ""●●○"", 3, ""●●●"", 4, ""●●●"", ""○○○""
)"),"●●●")</f>
        <v>●●●</v>
      </c>
      <c r="DJ54" s="188" t="b">
        <v>0</v>
      </c>
      <c r="DK54" s="189" t="b">
        <v>0</v>
      </c>
      <c r="DL54" s="190" t="b">
        <v>0</v>
      </c>
      <c r="DM54" s="190" t="b">
        <v>0</v>
      </c>
      <c r="DN54" s="190" t="b">
        <v>0</v>
      </c>
      <c r="DO54" s="190" t="b">
        <v>0</v>
      </c>
      <c r="DP54" s="190" t="b">
        <v>0</v>
      </c>
      <c r="DQ54" s="191" t="b">
        <v>0</v>
      </c>
      <c r="DR54" s="192" t="b">
        <v>0</v>
      </c>
      <c r="DS54" s="191" t="b">
        <v>0</v>
      </c>
      <c r="DT54" s="192" t="b">
        <v>0</v>
      </c>
      <c r="DU54" s="191" t="b">
        <v>0</v>
      </c>
      <c r="DV54" s="193">
        <v>0.0</v>
      </c>
      <c r="DW54" s="194" t="b">
        <v>0</v>
      </c>
      <c r="DX54" s="194" t="b">
        <v>0</v>
      </c>
      <c r="DY54" s="195" t="b">
        <v>0</v>
      </c>
      <c r="DZ54" s="196" t="b">
        <v>0</v>
      </c>
      <c r="EA54" s="195" t="b">
        <v>0</v>
      </c>
      <c r="EB54" s="197" t="b">
        <v>0</v>
      </c>
      <c r="EC54" s="197" t="b">
        <v>0</v>
      </c>
      <c r="ED54" s="212" t="b">
        <v>0</v>
      </c>
      <c r="EE54" s="199">
        <f>IFERROR(__xludf.DUMMYFUNCTION("IFERROR(
   PRODUCT(
     MAP(
       INDEX(TRANSPOSE(UNIQUE(TRANSPOSE(FILTER({IF($F54=""Physical"", K$10:ED$10, IF($F54=""Magic"", K$11:ED$11, K$12:ED$12));K$4:ED$4;K54:ED54}, K54:ED54=TRUE)))), 1, 0),
       INDEX(TRANSPOSE(UNIQUE(TRANSPOSE(FILTER({IF($"&amp;"F54=""Physical"", K$18:ED$18, IF($F54=""Magic"", K$19:ED$19, K$20:ED$20));K$4:ED$4;K54:ED54}, K54:ED54=TRUE)))), 1, 0),
       INDEX(TRANSPOSE(UNIQUE(TRANSPOSE(FILTER({K$5:ED$5;K$4:ED$4;K54:ED54}, K54:ED54=TRUE)))), 1, 0),
       INDEX(TRANSPOSE(UNIQUE(TR"&amp;"ANSPOSE(FILTER({K$17:ED$17;K$4:ED$4;K54:ED54}, K54:ED54=TRUE)))), 1, 0),
       LAMBDA(
         mitigation,
         enhance,
         assign,
         precondition,
         IF(
           REGEXMATCH(assign, ""RANGE_PARTY|SINGLE_ENEMY|RANGE_ENEMY""),
  "&amp;"         IF(
             OR(ARRAYFORMULA((IF(precondition="""", FALSE, REGEXMATCH(K$4:ED$4, precondition))) * (K54:ED54=TRUE))),
             IF(ISNUMBER(enhance), enhance, 1),
             IF(ISNUMBER(mitigation), mitigation, 1)
           ),
          "&amp;" 1
         )
       )
     )
   ),
   1
 )"),1.0)</f>
        <v>1</v>
      </c>
      <c r="EF54" s="200">
        <f>IFERROR(__xludf.DUMMYFUNCTION("PRODUCT(
   MAP(
     K$14:ED$14,
     K$13:ED$13,
     K54:ED54,
     LAMBDA(
       buff,
       target,
       check,
       IF(
         AND(check=TRUE, REGEXMATCH(target, ""RANGE_AFFECTED_ALL|RANGE_EFFECTED_ALL""), ISNUMBER(buff)),
         buff,
   "&amp;"      1
       )
     )
   )
 )"),1.0)</f>
        <v>1</v>
      </c>
      <c r="EG54" s="200">
        <f>IFERROR(__xludf.DUMMYFUNCTION("PRODUCT(
   MAP(
     K$14:ED$14,
     K$13:ED$13,
     K54:ED54,
     LAMBDA(
       buff,
       target,
       check,
       IF(
         AND(check=TRUE, REGEXMATCH(target, ""RANGE_AFFECTED_GCD|RANGE_EFFECTED_GCD""), ISNUMBER(buff)),
         buff,
   "&amp;"      1
       )
     )
   )
 )"),1.0)</f>
        <v>1</v>
      </c>
      <c r="EH54" s="200">
        <f>IFERROR(__xludf.DUMMYFUNCTION("PRODUCT(
   MAP(
     K$3:ED$3,
     K$14:ED$14,
     K$13:ED$13,
     K54:ED54,
     LAMBDA(
       job,
       buff,
       target,
       check,
       IF(
         AND(check=TRUE, REGEXMATCH(target, ""SELF_EFFECTED_ALL""), ISNUMBER(buff), job=""白魔道士"""&amp;"),
         buff,
         1
       )
     )
   )
 )"),1.0)</f>
        <v>1</v>
      </c>
      <c r="EI54" s="200">
        <f>IFERROR(__xludf.DUMMYFUNCTION("PRODUCT(
   MAP(
     K$3:ED$3,
     K$14:ED$14,
     K$13:ED$13,
     K54:ED54,
     LAMBDA(
       job,
       buff,
       target,
       check,
       IF(
         AND(check=TRUE, REGEXMATCH(target, ""SELF_EFFECTED_GCD""), ISNUMBER(buff), job=""白魔道士"""&amp;"),
         buff,
         1
       )
     )
   )
 )"),1.0)</f>
        <v>1</v>
      </c>
      <c r="EJ54" s="200">
        <f>IFERROR(__xludf.DUMMYFUNCTION("PRODUCT(
   MAP(
     K$3:ED$3,
     K$14:ED$14,
     K$13:ED$13,
     K54:ED54,
     LAMBDA(
       job,
       buff,
       target,
       check,
       IF(
         AND(check=TRUE, REGEXMATCH(target, ""SELF_EFFECTED_ALL""), ISNUMBER(buff), job=""占星術師"""&amp;"),
         buff,
         1
       )
     )
   )
 )"),1.0)</f>
        <v>1</v>
      </c>
      <c r="EK54" s="200">
        <f>IFERROR(__xludf.DUMMYFUNCTION("PRODUCT(
   MAP(
     K$3:ED$3,
     K$14:ED$14,
     K$13:ED$13,
     K54:ED54,
     LAMBDA(
       job,
       buff,
       target,
       check,
       IF(
         AND(check=TRUE, REGEXMATCH(target, ""SELF_EFFECTED_GCD""), ISNUMBER(buff), job=""占星術師"""&amp;"),
         buff,
         1
       )
     )
   )
 )"),1.0)</f>
        <v>1</v>
      </c>
      <c r="EL54" s="200">
        <f>IFERROR(__xludf.DUMMYFUNCTION("PRODUCT(
   MAP(
     K$3:ED$3,
     K$14:ED$14,
     K$13:ED$13,
     K54:ED54,
     LAMBDA(
       job,
       buff,
       target,
       check,
       IF(
         AND(check=TRUE, REGEXMATCH(target, ""SELF_EFFECTED_ALL""), ISNUMBER(buff), job=""学者""),"&amp;"
         buff,
         1
       )
     )
   )
 )"),1.0)</f>
        <v>1</v>
      </c>
      <c r="EM54" s="200">
        <f>IFERROR(__xludf.DUMMYFUNCTION("PRODUCT(
   MAP(
     K$3:ED$3,
     K$14:ED$14,
     K$13:ED$13,
     K54:ED54,
     LAMBDA(
       job,
       buff,
       target,
       check,
       IF(
         AND(check=TRUE, REGEXMATCH(target, ""SELF_EFFECTED_GCD""), ISNUMBER(buff), job=""学者""),"&amp;"
         buff,
         1
       )
     )
   )
 )"),1.0)</f>
        <v>1</v>
      </c>
      <c r="EN54" s="200">
        <f>IFERROR(__xludf.DUMMYFUNCTION("PRODUCT(
   MAP(
     K$3:ED$3,
     K$14:ED$14,
     K$13:ED$13,
     K54:ED54,
     LAMBDA(
       job,
       buff,
       target,
       check,
       IF(
         AND(check=TRUE, REGEXMATCH(target, ""SELF_EFFECTED_ALL""), ISNUMBER(buff), job=""賢者""),"&amp;"
         buff,
         1
       )
     )
   )
 )"),1.0)</f>
        <v>1</v>
      </c>
      <c r="EO54" s="200">
        <f>IFERROR(__xludf.DUMMYFUNCTION("PRODUCT(
   MAP(
     K$3:ED$3,
     K$14:ED$14,
     K$13:ED$13,
     K54:ED54,
     LAMBDA(
       job,
       buff,
       target,
       check,
       IF(
         AND(check=TRUE, REGEXMATCH(target, ""SELF_EFFECTED_GCD""), ISNUMBER(buff), job=""賢者""),"&amp;"
         buff,
         1
       )
     )
   )
 )"),1.0)</f>
        <v>1</v>
      </c>
      <c r="EP54" s="201">
        <f t="shared" si="3"/>
        <v>0</v>
      </c>
      <c r="EQ54" s="201">
        <f>IFERROR(__xludf.DUMMYFUNCTION("SUM(
   MAP(
     K$4:ED$4,
     K$3:ED$3,
     K$7:ED$7,
     K$15:ED$15,
     K$16:ED$16,
     K$21:ED$21,
     K$5:ED$5,
     K$17:ED$17,
     K54:ED54,
     LAMBDA(
       name,
       job,
       abillity,
       buff,
       barrier,
       enhance,"&amp;"
       assign,
       precondition,
       check,
       SWITCH(
         name,
         ""シェイクオフ"", IF(check=TRUE, buff + (0.02 * COUNTIF(ARRAYFORMULA((REGEXMATCH($K$4:$ED$4, ""スリル・オブ・バトル|ヴェンジェンス|原初の血気|ダムネーション"")) * (K54:ED54=TRUE)), 1)), 0),
         "&amp;"""インプロビゼーションフィニッシュ(踊りの激情0)"", IF(ISNUMBER(check), INDEX(Skill!$AJ:$AJ, MATCH(SUBSTITUTE(DV$4, 0, check), Skill!$C:$C, 0)), 0),
         IF(
           AND(check=TRUE, REGEXMATCH(assign, ""RANGE_PARTY"")),
           IF(
             OR(ARRAYFORMULA((IF(pr"&amp;"econdition="""", FALSE, REGEXMATCH($K$4:$ED$4, precondition))) * (K54:ED54=TRUE))),
             enhance,
             IF(barrier="""", buff, barrier)
           ),
           0
         )
       ) *
       SWITCH(
         job,
         ""ナイト"", EY$24,
 "&amp;"        ""戦士"", FD$24,
         ""踊り子"", ET$24,
         ""ピクトマンサー"", ET$24,
         ""白魔道士"", EF54 * EH54 * IF(abillity, 1, EG54 * EI54) * (Option!$D$22 * 0.81 / 100),
         ""占星術師"", EF54 * EJ54 * IF(abillity, 1, EG54 * EK54) * (Option!$D$23 * 0.81 "&amp;"/ 100),
         ""学者"", EF54 * EL54 * IF(abillity, 1, EG54 * EM54) * (Option!$D$24 * 0.81 / 100),
         ""賢者"", EF54 * EN54 * IF(abillity, 1, EG54 * EO54) * (Option!$D$25 * 0.81 / 100),
         1
       )
     )
   )
 )"),7100.0)</f>
        <v>7100</v>
      </c>
      <c r="ER54" s="202">
        <f t="shared" si="4"/>
        <v>0</v>
      </c>
      <c r="ES54" s="203">
        <f t="shared" si="5"/>
        <v>0</v>
      </c>
      <c r="ET54" s="231" t="str">
        <f>IFERROR(__xludf.DUMMYFUNCTION("IFS(
  EP54 &gt; $ET$24 + EQ54,
  SPARKLINE({ 1, 0 }, {""charttype"",""bar"";""max"", 1;""color1"",Option!$D$30;""color2"",Option!$D$30}),
  EP54 &lt; EQ54,
  SPARKLINE({EQ54 - EP54, $ET$24 - (EQ54 - EP54)}, {""charttype"",""bar"";""max"",$ET$24;""color1"",Opti"&amp;"on!$D$28;""color2"",Option!$D$29}),
  EP54 &gt;= EQ54,
  SPARKLINE({$ET$24 + EQ54 - EP54,EP54 - EQ54}, {""charttype"",""bar"";""max"",$ET$24;""color1"",Option!$D$29;""color2"",Option!$D$30})
)"),"")</f>
        <v/>
      </c>
      <c r="EU54" s="205">
        <f>IFERROR(__xludf.DUMMYFUNCTION("PRODUCT(
   MAP(
     IF($F54=""Physical"", K$10:ED$10, IF($F54=""Magic"", K$11:ED$11, K$12:ED$12)),
     IF($F54=""Physical"", K$18:ED$18, IF($F54=""Magic"", K$19:ED$19, K$20:ED$20)),
     K$3:ED$3,
     K$5:ED$5,
     K$17:ED$17,
     K54:ED54,
     LAM"&amp;"BDA(
       mitigation,
       enhance,
       job,
       assign,
       precondition,
       check,
       IF(
         OR(AND(check=TRUE, REGEXMATCH(assign, ""SELF""), job=""ナイト""), AND(check=Option!$E$13, REGEXMATCH(assign, ""SINGLE_PARTY""))),
      "&amp;"   IF(
           OR(ARRAYFORMULA((IF(precondition="""", FALSE, REGEXMATCH($K$4:$ED$4, precondition))) * (K54:ED54=TRUE))),
           enhance,
           mitigation
         ),
         1
       )
     )
   )
 ) * EE54"),1.0)</f>
        <v>1</v>
      </c>
      <c r="EV54" s="206">
        <f t="shared" si="6"/>
        <v>0</v>
      </c>
      <c r="EW54" s="205">
        <f>IFERROR(__xludf.DUMMYFUNCTION("PRODUCT(
   MAP(
     K$3:ED$3,
     K$14:ED$14,
     K$13:ED$13,
     K54:ED54,
     LAMBDA(
       job,
       buff,
       target,
       check,
       IF(
         OR(AND(check=TRUE, REGEXMATCH(target, ""SELF_AFFECTED_ALL""), job=""ナイト""), AND(check=O"&amp;"ption!$E$13, REGEXMATCH(target, ""SINGLE_AFFECTED_ALL""))),
         buff,
         1
       )
     )
   )
 )"),1.0)</f>
        <v>1</v>
      </c>
      <c r="EX54" s="206">
        <f>IFERROR(__xludf.DUMMYFUNCTION("SUM(
   MAP(
     K$3:ED$3,
     K$7:ED$7,
     K$15:ED$15,
     K$16:ED$16,
     K$21:ED$21,
     K$5:ED$5,
     K$17:ED$17,
     K54:ED54,
     LAMBDA(
       job,
       abillity,
       buff,
       barrier,
       enhance,
       assign,
       preco"&amp;"ndition,
       check,
       IF(
         OR(AND(check=TRUE, REGEXMATCH(assign, ""SELF""), job=""ナイト""), AND(check=Option!$E$13, REGEXMATCH(assign, ""SINGLE_PARTY""))),
         IF(
           OR(ARRAYFORMULA((IF(precondition="""", FALSE, REGEXMATCH($K$4"&amp;":$ED$4, precondition))) * (K54:ED54=TRUE))),
           enhance,
           IF(barrier="""", buff, barrier)
         ),
         0
       ) *
       SWITCH(
         job,
         ""暗黒騎士"", EY$24,
         ""白魔道士"", EF54 * EH54 * EW54 * IF(abillity, 1, EG"&amp;"54 * EI54) * (Option!$D$22 * 0.81 / 100),
         ""占星術師"", EF54 * EJ54 * EW54 * IF(abillity, 1, EG54 * EK54) * (Option!$D$23 * 0.81 / 100),
         ""学者"", EF54 * EL54 * EW54 * IF(abillity, 1, EG54 * EM54) * (Option!$D$24 * 0.81 / 100),
         ""賢者"""&amp;", EF54 * EN54 * EW54 * IF(abillity, 1, EG54 * EO54) * (Option!$D$25 * 0.81 / 100),
         1
       )
     )
   )
 ) + EQ54"),7100.0)</f>
        <v>7100</v>
      </c>
      <c r="EY54" s="232">
        <f t="shared" si="7"/>
        <v>0</v>
      </c>
      <c r="EZ54" s="205">
        <f>IFERROR(__xludf.DUMMYFUNCTION("PRODUCT(
   MAP(
     IF($F54=""Physical"", K$10:ED$10, IF($F54=""Magic"", K$11:ED$11, K$12:ED$12)),
     IF($F54=""Physical"", K$18:ED$18, IF($F54=""Magic"", K$19:ED$19, K$20:ED$20)),
     K$3:ED$3,
     K$5:ED$5,
     K$17:ED$17,
     K54:ED54,
     LAM"&amp;"BDA(
       mitigation,
       enhance,
       job,
       assign,
       precondition,
       check,
       IF(
         OR(AND(check=TRUE, REGEXMATCH(assign, ""SELF""), job=""戦士""), AND(check=Option!$F$13, REGEXMATCH(assign, ""SINGLE_PARTY""))),
       "&amp;"  IF(
           OR(ARRAYFORMULA((IF(precondition="""", FALSE, REGEXMATCH($K$4:$ED$4, precondition))) * (K54:ED54=TRUE))),
           enhance,
           mitigation
         ),
         1
       )
     )
   )
 ) * EE54"),1.0)</f>
        <v>1</v>
      </c>
      <c r="FA54" s="206">
        <f t="shared" si="8"/>
        <v>0</v>
      </c>
      <c r="FB54" s="205">
        <f>IFERROR(__xludf.DUMMYFUNCTION("PRODUCT(
   MAP(
     K$3:ED$3,
     K$14:ED$14,
     K$13:ED$13,
     K54:ED54,
     LAMBDA(
       job,
       buff,
       target,
       check,
       IF(
         OR(AND(check=TRUE, REGEXMATCH(target, ""SELF_AFFECTED_ALL""), job=""戦士""), AND(check=Op"&amp;"tion!$F$13, REGEXMATCH(target, ""SINGLE_AFFECTED_ALL""))),
         buff,
         1
       )
     )
   )
 )"),1.0)</f>
        <v>1</v>
      </c>
      <c r="FC54" s="206">
        <f>IFERROR(__xludf.DUMMYFUNCTION("SUM(
   MAP(
     K$3:ED$3,
     K$7:ED$7,
     K$15:ED$15,
     K$16:ED$16,
     K$21:ED$21,
     K$5:ED$5,
     K$17:ED$17,
     K54:ED54,
     LAMBDA(
       job,
       abillity,
       buff,
       barrier,
       enhance,
       assign,
       preco"&amp;"ndition,
       check,
       IF(
         OR(AND(check=TRUE, REGEXMATCH(assign, ""SELF""), job=""戦士""), AND(check=Option!$F$13, REGEXMATCH(assign, ""SINGLE_PARTY""))),
         IF(
           OR(ARRAYFORMULA((IF(precondition="""", FALSE, REGEXMATCH($K$4:"&amp;"$ED$4, precondition))) * (K54:ED54=TRUE))),
           enhance,
           IF(barrier="""", buff, barrier)
         ),
         0
       ) *
       SWITCH(
         job,
         ""暗黒騎士"", FD$24,
         ""白魔道士"", EF54 * EH54 * FB54 * IF(abillity, 1, EG5"&amp;"4 * EI54) * (Option!$D$22 * 0.81 / 100),
         ""占星術師"", EF54 * EJ54 * FFB54 * IF(abillity, 1, EG54 * EK54) * (Option!$D$23 * 0.81 / 100),
         ""学者"", EF54 * EL54 * FB54 * IF(abillity, 1, EG54 * EM54) * (Option!$D$24 * 0.81 / 100),
         ""賢者"""&amp;", EF54 * EN54 * FB54 * IF(abillity, 1, EG54 * EO54) * (Option!$D$25 * 0.81 / 100),
         1
       )
     )
   )
 ) + EQ54"),7100.0)</f>
        <v>7100</v>
      </c>
      <c r="FD54" s="206">
        <f t="shared" si="9"/>
        <v>0</v>
      </c>
      <c r="FE54" s="205">
        <f>IFERROR(__xludf.DUMMYFUNCTION("PRODUCT(
   MAP(
     IF($F54=""Physical"", K$10:ED$10, IF($F54=""Magic"", K$11:ED$11, K$12:ED$12)),
     IF($F54=""Physical"", K$18:ED$18, IF($F54=""Magic"", K$19:ED$19, K$20:ED$20)),
     K$3:ED$3,
     K$5:ED$5,
     K$17:ED$17,
     K54:ED54,
     LAM"&amp;"BDA(
       mitigation,
       enhance,
       job,
       assign,
       precondition,
       check,
       IF(
         OR(AND(check=TRUE, REGEXMATCH(assign, ""SELF""), job=""暗黒騎士""), AND(check=Option!$G$13, REGEXMATCH(assign, ""SINGLE_PARTY""))),
     "&amp;"    IF(
           OR(ARRAYFORMULA((IF(precondition="""", FALSE, REGEXMATCH($K$4:$ED$4, precondition))) * (K54:ED54=TRUE))),
           enhance,
           mitigation
         ),
         1
       )
     )
   )
 ) * EE54"),1.0)</f>
        <v>1</v>
      </c>
      <c r="FF54" s="206">
        <f t="shared" si="10"/>
        <v>0</v>
      </c>
      <c r="FG54" s="205">
        <f>IFERROR(__xludf.DUMMYFUNCTION("PRODUCT(
   MAP(
     K$3:ED$3,
     K$14:ED$14,
     K$13:ED$13,
     K54:ED54,
     LAMBDA(
       job,
       buff,
       target,
       check,
       IF(
         OR(AND(check=TRUE, REGEXMATCH(target, ""SELF_AFFECTED_ALL""), job=""暗黒騎士""), AND(check="&amp;"Option!$G$13, REGEXMATCH(target, ""SINGLE_AFFECTED_ALL""))),
         buff,
         1
       )
     )
   )
 )"),1.0)</f>
        <v>1</v>
      </c>
      <c r="FH54" s="206">
        <f>IFERROR(__xludf.DUMMYFUNCTION("SUM(
   MAP(
     K$3:ED$3,
     K$7:ED$7,
     K$15:ED$15,
     K$16:ED$16,
     K$21:ED$21,
     K$5:ED$5,
     K$17:ED$17,
     K54:ED54,
     LAMBDA(
       job,
       abillity,
       buff,
       barrier,
       enhance,
       assign,
       preco"&amp;"ndition,
       check,
       IF(
         OR(AND(check=TRUE, REGEXMATCH(assign, ""SELF""), job=""暗黒騎士""), AND(check=Option!$G$13, REGEXMATCH(assign, ""SINGLE_PARTY""))),
         IF(
           OR(ARRAYFORMULA((IF(precondition="""", FALSE, REGEXMATCH($K$"&amp;"4:$ED$4, precondition))) * (K54:ED54=TRUE))),
           enhance,
           IF(barrier="""", buff, barrier)
         ),
         0
       ) *
       SWITCH(
         job,
         ""暗黒騎士"", FI$24,
         ""白魔道士"", EF54 * EH54 * FG54 * IF(abillity, 1, E"&amp;"G54 * EI54) * (Option!$D$22 * 0.81 / 100),
         ""占星術師"", EF54 * EJ54 * FG54 * IF(abillity, 1, EG54 * EK54) * (Option!$D$23 * 0.81 / 100),
         ""学者"", EF54 * EL54 * FG54 * IF(abillity, 1, EG54 * EM54) * (Option!$D$24 * 0.81 / 100),
         ""賢者"&amp;""", EF54 * EN54 * FG54 * IF(abillity, 1, EG54 * EO54) * (Option!$D$25 * 0.81 / 100),
         1
       )
     )
   )
 ) + EQ54"),7100.0)</f>
        <v>7100</v>
      </c>
      <c r="FI54" s="206">
        <f t="shared" si="11"/>
        <v>0</v>
      </c>
      <c r="FJ54" s="205">
        <f>IFERROR(__xludf.DUMMYFUNCTION("PRODUCT(
   MAP(
     IF($F54=""Physical"", K$10:ED$10, IF($F54=""Magic"", K$11:ED$11, K$12:ED$12)),
     IF($F54=""Physical"", K$18:ED$18, IF($F54=""Magic"", K$19:ED$19, K$20:ED$20)),
     K$3:ED$3,
     K$5:ED$5,
     K$17:ED$17,
     K54:ED54,
     LAM"&amp;"BDA(
       mitigation,
       enhance,
       job,
       assign,
       precondition,
       check,
       IF(
         OR(AND(check=TRUE, REGEXMATCH(assign, ""SELF""), job=""ガンブレイカー""), AND(check=Option!$H$13, REGEXMATCH(assign, ""SINGLE_PARTY""))),
  "&amp;"       IF(
           OR(ARRAYFORMULA((IF(precondition="""", FALSE, REGEXMATCH($K$4:$ED$4, precondition))) * (K54:ED54=TRUE))),
           enhance,
           mitigation
         ),
         1
       )
     )
   )
 ) * EE54"),1.0)</f>
        <v>1</v>
      </c>
      <c r="FK54" s="206">
        <f t="shared" si="12"/>
        <v>0</v>
      </c>
      <c r="FL54" s="205">
        <f>IFERROR(__xludf.DUMMYFUNCTION("PRODUCT(
   MAP(
     K$3:ED$3,
     K$14:ED$14,
     K$13:ED$13,
     K54:ED54,
     LAMBDA(
       job,
       buff,
       target,
       check,
       IF(
         OR(AND(check=TRUE, REGEXMATCH(target, ""SELF_AFFECTED_ALL""), job=""ガンブレイカー""), AND(che"&amp;"ck=Option!$H$13, REGEXMATCH(target, ""SINGLE_AFFECTED_ALL""))),
         buff,
         1
       )
     )
   )
 )"),1.0)</f>
        <v>1</v>
      </c>
      <c r="FM54" s="206">
        <f>IFERROR(__xludf.DUMMYFUNCTION("SUM(
   MAP(
     K$3:ED$3,
     K$7:ED$7,
     K$15:ED$15,
     K$16:ED$16,
     K$21:ED$21,
     K$5:ED$5,
     K$17:ED$17,
     K54:ED54,
     LAMBDA(
       job,
       abillity,
       buff,
       barrier,
       enhance,
       assign,
       preco"&amp;"ndition,
       check,
       IF(
         OR(AND(check=TRUE, REGEXMATCH(assign, ""SELF""), job=""ガンブレイカー""), AND(check=Option!$H$13, REGEXMATCH(assign, ""SINGLE_PARTY""))),
         IF(
           OR(ARRAYFORMULA((IF(precondition="""", FALSE, REGEXMATCH("&amp;"$K$4:$ED$4, precondition))) * (K54:ED54=TRUE))),
           enhance,
           IF(barrier="""", buff, barrier)
         ),
         0
       ) *
       SWITCH(
         job,
         ""暗黒騎士"", FN$24,
         ""白魔道士"", EF54 * EH54 * FL54 * IF(abillity, 1"&amp;", EG54 * EI54) * (Option!$D$22 * 0.81 / 100),
         ""占星術師"", EF54 * EJ54 * FL54 * IF(abillity, 1, EG54 * EK54) * (Option!$D$23 * 0.81 / 100),
         ""学者"", EF54 * EL54 * FL54 * IF(abillity, 1, EG54 * EM54) * (Option!$D$24 * 0.81 / 100),
         """&amp;"賢者"", EF54 * EN54 * FL54 * IF(abillity, 1, EG54 * EO54) * (Option!$D$25 * 0.81 / 100),
         1
       )
     )
   )
 ) + EQ54"),7100.0)</f>
        <v>7100</v>
      </c>
      <c r="FN54" s="206">
        <f t="shared" si="13"/>
        <v>0</v>
      </c>
      <c r="FO54" s="213"/>
    </row>
    <row r="55">
      <c r="B55" s="229"/>
      <c r="C55" s="217">
        <f t="shared" si="1"/>
        <v>0</v>
      </c>
      <c r="D55" s="236"/>
      <c r="E55" s="238"/>
      <c r="F55" s="167"/>
      <c r="G55" s="168" t="str">
        <f t="shared" si="2"/>
        <v/>
      </c>
      <c r="H55" s="169"/>
      <c r="I55" s="169"/>
      <c r="J55" s="169"/>
      <c r="K55" s="170" t="b">
        <v>0</v>
      </c>
      <c r="L55" s="170" t="b">
        <v>0</v>
      </c>
      <c r="M55" s="170" t="b">
        <v>0</v>
      </c>
      <c r="N55" s="171" t="s">
        <v>1070</v>
      </c>
      <c r="O55" s="172" t="b">
        <v>0</v>
      </c>
      <c r="P55" s="173" t="b">
        <v>0</v>
      </c>
      <c r="Q55" s="173" t="b">
        <v>0</v>
      </c>
      <c r="R55" s="173" t="b">
        <v>0</v>
      </c>
      <c r="S55" s="174" t="b">
        <v>0</v>
      </c>
      <c r="T55" s="175" t="b">
        <v>0</v>
      </c>
      <c r="U55" s="173" t="b">
        <v>0</v>
      </c>
      <c r="V55" s="171" t="s">
        <v>1070</v>
      </c>
      <c r="W55" s="172" t="b">
        <v>0</v>
      </c>
      <c r="X55" s="173" t="b">
        <v>0</v>
      </c>
      <c r="Y55" s="173" t="b">
        <v>0</v>
      </c>
      <c r="Z55" s="173" t="b">
        <v>0</v>
      </c>
      <c r="AA55" s="174" t="b">
        <v>0</v>
      </c>
      <c r="AB55" s="174" t="b">
        <v>0</v>
      </c>
      <c r="AC55" s="175" t="b">
        <v>0</v>
      </c>
      <c r="AD55" s="173" t="b">
        <v>0</v>
      </c>
      <c r="AE55" s="176" t="s">
        <v>1070</v>
      </c>
      <c r="AF55" s="171" t="s">
        <v>1070</v>
      </c>
      <c r="AG55" s="177">
        <f>IFERROR(__xludf.DUMMYFUNCTION("IF(
  ISNUMBER(AG54),
  MIN(MAX(
    AG54
    + MAX(
      ROUNDDOWN(($D55 - MAX(IFERROR(FILTER($D$24:$D54, AG$24:AG54 &lt;&gt; AF$6, AG$23:AG53 = AF$6), 0))) * (60 * 60 * 24) / AF$9) - ROUNDDOWN(($D54 - MAX(IFERROR(FILTER($D$23:$D53, AG$23:AG53 &lt;&gt; AF$6, AG$22:"&amp;"AG52 = AF$6), 0))) * (60 * 60 * 24) / 60),
      0
    )
    - COUNTIF(AF55, ""&lt;&gt;-""),
  0), AF$6),
  AF$6 - COUNTIF(AF55, ""&lt;&gt;-"")
)"),2.0)</f>
        <v>2</v>
      </c>
      <c r="AH55" s="173" t="b">
        <v>0</v>
      </c>
      <c r="AI55" s="173" t="b">
        <v>0</v>
      </c>
      <c r="AJ55" s="173" t="b">
        <v>0</v>
      </c>
      <c r="AK55" s="174" t="b">
        <v>0</v>
      </c>
      <c r="AL55" s="175" t="b">
        <v>0</v>
      </c>
      <c r="AM55" s="173" t="b">
        <v>0</v>
      </c>
      <c r="AN55" s="171" t="s">
        <v>1070</v>
      </c>
      <c r="AO55" s="173" t="b">
        <v>0</v>
      </c>
      <c r="AP55" s="173" t="b">
        <v>0</v>
      </c>
      <c r="AQ55" s="173" t="b">
        <v>0</v>
      </c>
      <c r="AR55" s="174" t="b">
        <v>0</v>
      </c>
      <c r="AS55" s="178" t="b">
        <v>0</v>
      </c>
      <c r="AT55" s="179" t="b">
        <v>0</v>
      </c>
      <c r="AU55" s="180" t="b">
        <v>0</v>
      </c>
      <c r="AV55" s="180" t="b">
        <v>0</v>
      </c>
      <c r="AW55" s="180" t="b">
        <v>0</v>
      </c>
      <c r="AX55" s="180" t="b">
        <v>0</v>
      </c>
      <c r="AY55" s="181" t="s">
        <v>1070</v>
      </c>
      <c r="AZ55" s="181" t="s">
        <v>1070</v>
      </c>
      <c r="BA55" s="184">
        <f>IFERROR(__xludf.DUMMYFUNCTION("IF(
  ISNUMBER(BA54),
  MIN(MAX(
    BA54
    + MAX(
      ROUNDDOWN((D55 - MAX(IFERROR(FILTER(D$24:D54, BA$24:BA54 &lt;&gt; AZ$6, BA$23:BA53 = AZ$6), 0))) * (60 * 60 * 24) / AZ$9) - ROUNDDOWN((D54 - MAX(IFERROR(FILTER(D$23:D53, BA$23:BA53 &lt;&gt; AZ$6, BA$22:BA52 ="&amp;" AZ$6), 0))) * (60 * 60 * 24) / AZ$9),
      0
    )
    - COUNTIF(AZ55, ""&lt;&gt;-""),
  0), AZ$6),
  AZ$6 - COUNTIF(AZ55, ""&lt;&gt;-"")
)"),2.0)</f>
        <v>2</v>
      </c>
      <c r="BB55" s="181" t="s">
        <v>1070</v>
      </c>
      <c r="BC55" s="183">
        <f>IFERROR(__xludf.DUMMYFUNCTION("IF(
  ISNUMBER(BC54),
  MIN(MAX(
    BC54
    + MAX(
      ROUNDDOWN(($D55 - MAX(IFERROR(FILTER($D$24:$D54, BC$24:BC54 &lt;&gt; BB$6, BC$23:BC53 = BB$6), 0))) * (60 * 60 * 24) / BB$9) - ROUNDDOWN(($D54 - MAX(IFERROR(FILTER($D$23:$D53, BC$23:BC53 &lt;&gt; BB$6, BC$22:"&amp;"BC52 = BB$6), 0))) * (60 * 60 * 24) / 60),
      0
    )
    - COUNTIF(BB55, ""&lt;&gt;-""),
  0), BB$6),
  BB$6 - COUNTIF(BB55, ""&lt;&gt;-"")
)"),2.0)</f>
        <v>2</v>
      </c>
      <c r="BD55" s="181" t="s">
        <v>1070</v>
      </c>
      <c r="BE55" s="178" t="b">
        <v>0</v>
      </c>
      <c r="BF55" s="180" t="b">
        <v>0</v>
      </c>
      <c r="BG55" s="180" t="b">
        <v>0</v>
      </c>
      <c r="BH55" s="180" t="b">
        <v>0</v>
      </c>
      <c r="BI55" s="180" t="b">
        <v>0</v>
      </c>
      <c r="BJ55" s="180" t="b">
        <v>0</v>
      </c>
      <c r="BK55" s="180" t="b">
        <v>0</v>
      </c>
      <c r="BL55" s="180" t="b">
        <v>0</v>
      </c>
      <c r="BM55" s="180" t="b">
        <v>0</v>
      </c>
      <c r="BN55" s="180" t="b">
        <v>0</v>
      </c>
      <c r="BO55" s="181" t="s">
        <v>1070</v>
      </c>
      <c r="BP55" s="181" t="s">
        <v>1070</v>
      </c>
      <c r="BQ55" s="181" t="s">
        <v>1070</v>
      </c>
      <c r="BR55" s="181" t="s">
        <v>1070</v>
      </c>
      <c r="BS55" s="181" t="s">
        <v>1070</v>
      </c>
      <c r="BT55" s="184">
        <f>IFERROR(__xludf.DUMMYFUNCTION("IF(
  ISNUMBER(BT54),
  MIN(MAX(
    BT54
    + MAX(
      ROUNDDOWN((D55 - MAX(IFERROR(FILTER(D$24:D54, BT$24:BT54 &lt;&gt; BS$6, BT$23:BT53 = BS$6), 0))) * (60 * 60 * 24) / BS$9) - ROUNDDOWN((D54 - MAX(IFERROR(FILTER(D$23:D53, BT$23:BT53 &lt;&gt; BS$6, BT$22:BT52 ="&amp;" BS$6), 0))) * (60 * 60 * 24) / BS$9),
      0
    )
    - COUNTIF(BS55, ""&lt;&gt;-""),
  0), BS$6),
  BS$6 - COUNTIF(BS55, ""&lt;&gt;-"")
)"),3.0)</f>
        <v>3</v>
      </c>
      <c r="BU55" s="181" t="s">
        <v>1070</v>
      </c>
      <c r="BV55" s="181" t="s">
        <v>1070</v>
      </c>
      <c r="BW55" s="184">
        <f>IFERROR(__xludf.DUMMYFUNCTION("IF(
  ISNUMBER(BW54),
  MIN(MAX(
    BW54
    + MAX(
      ROUNDDOWN((D55 - MAX(IFERROR(FILTER(D$24:D54, BW$24:BW54 &lt;&gt; BV$6, BW$23:BW53 = BV$6), 0))) * (60 * 60 * 24) / BV$9) - ROUNDDOWN((D54 - MAX(IFERROR(FILTER(D$23:D53, BW$23:BW53 &lt;&gt; BV$6, BW$22:BW52 ="&amp;" BV$6), 0))) * (60 * 60 * 24) / BV$9),
      0
    )
    - COUNTIF(BV55, ""&lt;&gt;-""),
  0), BV$6),
  BV$6 - COUNTIF(BV55, ""&lt;&gt;-"")
)"),2.0)</f>
        <v>2</v>
      </c>
      <c r="BX55" s="185" t="s">
        <v>1070</v>
      </c>
      <c r="BY55" s="178" t="b">
        <v>0</v>
      </c>
      <c r="BZ55" s="180" t="b">
        <v>0</v>
      </c>
      <c r="CA55" s="180" t="b">
        <v>0</v>
      </c>
      <c r="CB55" s="180" t="b">
        <v>0</v>
      </c>
      <c r="CC55" s="180" t="b">
        <v>0</v>
      </c>
      <c r="CD55" s="180" t="b">
        <v>0</v>
      </c>
      <c r="CE55" s="180" t="b">
        <v>0</v>
      </c>
      <c r="CF55" s="180" t="b">
        <v>0</v>
      </c>
      <c r="CG55" s="180" t="b">
        <v>0</v>
      </c>
      <c r="CH55" s="180" t="b">
        <v>0</v>
      </c>
      <c r="CI55" s="180" t="b">
        <v>0</v>
      </c>
      <c r="CJ55" s="180" t="b">
        <v>0</v>
      </c>
      <c r="CK55" s="180" t="b">
        <v>0</v>
      </c>
      <c r="CL55" s="180" t="b">
        <v>0</v>
      </c>
      <c r="CM55" s="181" t="s">
        <v>1070</v>
      </c>
      <c r="CN55" s="181" t="s">
        <v>1070</v>
      </c>
      <c r="CO55" s="181" t="s">
        <v>1070</v>
      </c>
      <c r="CP55" s="181" t="s">
        <v>1070</v>
      </c>
      <c r="CQ55" s="185" t="s">
        <v>1070</v>
      </c>
      <c r="CR55" s="180" t="b">
        <v>0</v>
      </c>
      <c r="CS55" s="186" t="str">
        <f t="shared" si="14"/>
        <v>◇◇◇</v>
      </c>
      <c r="CT55" s="178" t="b">
        <v>0</v>
      </c>
      <c r="CU55" s="180" t="b">
        <v>0</v>
      </c>
      <c r="CV55" s="180" t="b">
        <v>0</v>
      </c>
      <c r="CW55" s="180" t="b">
        <v>0</v>
      </c>
      <c r="CX55" s="180" t="b">
        <v>0</v>
      </c>
      <c r="CY55" s="180" t="b">
        <v>0</v>
      </c>
      <c r="CZ55" s="180" t="b">
        <v>0</v>
      </c>
      <c r="DA55" s="180" t="b">
        <v>0</v>
      </c>
      <c r="DB55" s="180" t="b">
        <v>0</v>
      </c>
      <c r="DC55" s="180" t="b">
        <v>0</v>
      </c>
      <c r="DD55" s="181" t="s">
        <v>1070</v>
      </c>
      <c r="DE55" s="181" t="s">
        <v>1070</v>
      </c>
      <c r="DF55" s="181" t="s">
        <v>1070</v>
      </c>
      <c r="DG55" s="185" t="s">
        <v>1070</v>
      </c>
      <c r="DH55" s="180" t="b">
        <v>0</v>
      </c>
      <c r="DI55" s="187" t="str">
        <f>IFERROR(__xludf.DUMMYFUNCTION("SWITCH(
  IF(
    ISTEXT(DI54),
    IF (
      FIND(""○"", DI54&amp;""○"") &gt; 3,
      3,
      FIND(""○"", DI54&amp;""○"")
      + MAX(
        ROUNDDOWN(($D55 - MAX(IFERROR(FILTER(D$24:D54, DI$24:DI54 &lt;&gt; ""●●●"", DI$23:DI53 = ""●●●""), 0))) * (60 * 60 * 24) / 20"&amp;") - ROUNDDOWN(($D54 - MAX(IFERROR(FILTER(D$23:D53, DI$23:DI53 &lt;&gt; ""●●●"", DI$22:DI52 = ""●●●""), 0))) * (60 * 60 * 24) / 20),
        0
      ) - 1
    ) - COUNTIFS(CU55, ""=TRUE"", CU54, ""&lt;&gt;TRUE"") - COUNTIF(CZ55, ""=TRUE"") - COUNTIF({DD55,DE55}, ""&lt;&gt;-"&amp;""") + COUNTIF(DH55, ""=TRUE""),
    3
  ),
  0, ""○○○"", 1, ""●○○"", 2, ""●●○"", 3, ""●●●"", 4, ""●●●"", ""○○○""
)"),"●●●")</f>
        <v>●●●</v>
      </c>
      <c r="DJ55" s="188" t="b">
        <v>0</v>
      </c>
      <c r="DK55" s="189" t="b">
        <v>0</v>
      </c>
      <c r="DL55" s="190" t="b">
        <v>0</v>
      </c>
      <c r="DM55" s="190" t="b">
        <v>0</v>
      </c>
      <c r="DN55" s="190" t="b">
        <v>0</v>
      </c>
      <c r="DO55" s="190" t="b">
        <v>0</v>
      </c>
      <c r="DP55" s="190" t="b">
        <v>0</v>
      </c>
      <c r="DQ55" s="191" t="b">
        <v>0</v>
      </c>
      <c r="DR55" s="192" t="b">
        <v>0</v>
      </c>
      <c r="DS55" s="191" t="b">
        <v>0</v>
      </c>
      <c r="DT55" s="192" t="b">
        <v>0</v>
      </c>
      <c r="DU55" s="191" t="b">
        <v>0</v>
      </c>
      <c r="DV55" s="193" t="s">
        <v>1070</v>
      </c>
      <c r="DW55" s="194" t="b">
        <v>0</v>
      </c>
      <c r="DX55" s="194" t="b">
        <v>0</v>
      </c>
      <c r="DY55" s="195" t="b">
        <v>0</v>
      </c>
      <c r="DZ55" s="196" t="b">
        <v>0</v>
      </c>
      <c r="EA55" s="195" t="b">
        <v>0</v>
      </c>
      <c r="EB55" s="197" t="b">
        <v>0</v>
      </c>
      <c r="EC55" s="197" t="b">
        <v>0</v>
      </c>
      <c r="ED55" s="212" t="b">
        <v>0</v>
      </c>
      <c r="EE55" s="199">
        <f>IFERROR(__xludf.DUMMYFUNCTION("IFERROR(
   PRODUCT(
     MAP(
       INDEX(TRANSPOSE(UNIQUE(TRANSPOSE(FILTER({IF($F55=""Physical"", K$10:ED$10, IF($F55=""Magic"", K$11:ED$11, K$12:ED$12));K$4:ED$4;K55:ED55}, K55:ED55=TRUE)))), 1, 0),
       INDEX(TRANSPOSE(UNIQUE(TRANSPOSE(FILTER({IF($"&amp;"F55=""Physical"", K$18:ED$18, IF($F55=""Magic"", K$19:ED$19, K$20:ED$20));K$4:ED$4;K55:ED55}, K55:ED55=TRUE)))), 1, 0),
       INDEX(TRANSPOSE(UNIQUE(TRANSPOSE(FILTER({K$5:ED$5;K$4:ED$4;K55:ED55}, K55:ED55=TRUE)))), 1, 0),
       INDEX(TRANSPOSE(UNIQUE(TR"&amp;"ANSPOSE(FILTER({K$17:ED$17;K$4:ED$4;K55:ED55}, K55:ED55=TRUE)))), 1, 0),
       LAMBDA(
         mitigation,
         enhance,
         assign,
         precondition,
         IF(
           REGEXMATCH(assign, ""RANGE_PARTY|SINGLE_ENEMY|RANGE_ENEMY""),
  "&amp;"         IF(
             OR(ARRAYFORMULA((IF(precondition="""", FALSE, REGEXMATCH(K$4:ED$4, precondition))) * (K55:ED55=TRUE))),
             IF(ISNUMBER(enhance), enhance, 1),
             IF(ISNUMBER(mitigation), mitigation, 1)
           ),
          "&amp;" 1
         )
       )
     )
   ),
   1
 )"),1.0)</f>
        <v>1</v>
      </c>
      <c r="EF55" s="200">
        <f>IFERROR(__xludf.DUMMYFUNCTION("PRODUCT(
   MAP(
     K$14:ED$14,
     K$13:ED$13,
     K55:ED55,
     LAMBDA(
       buff,
       target,
       check,
       IF(
         AND(check=TRUE, REGEXMATCH(target, ""RANGE_AFFECTED_ALL|RANGE_EFFECTED_ALL""), ISNUMBER(buff)),
         buff,
   "&amp;"      1
       )
     )
   )
 )"),1.0)</f>
        <v>1</v>
      </c>
      <c r="EG55" s="200">
        <f>IFERROR(__xludf.DUMMYFUNCTION("PRODUCT(
   MAP(
     K$14:ED$14,
     K$13:ED$13,
     K55:ED55,
     LAMBDA(
       buff,
       target,
       check,
       IF(
         AND(check=TRUE, REGEXMATCH(target, ""RANGE_AFFECTED_GCD|RANGE_EFFECTED_GCD""), ISNUMBER(buff)),
         buff,
   "&amp;"      1
       )
     )
   )
 )"),1.0)</f>
        <v>1</v>
      </c>
      <c r="EH55" s="200">
        <f>IFERROR(__xludf.DUMMYFUNCTION("PRODUCT(
   MAP(
     K$3:ED$3,
     K$14:ED$14,
     K$13:ED$13,
     K55:ED55,
     LAMBDA(
       job,
       buff,
       target,
       check,
       IF(
         AND(check=TRUE, REGEXMATCH(target, ""SELF_EFFECTED_ALL""), ISNUMBER(buff), job=""白魔道士"""&amp;"),
         buff,
         1
       )
     )
   )
 )"),1.0)</f>
        <v>1</v>
      </c>
      <c r="EI55" s="200">
        <f>IFERROR(__xludf.DUMMYFUNCTION("PRODUCT(
   MAP(
     K$3:ED$3,
     K$14:ED$14,
     K$13:ED$13,
     K55:ED55,
     LAMBDA(
       job,
       buff,
       target,
       check,
       IF(
         AND(check=TRUE, REGEXMATCH(target, ""SELF_EFFECTED_GCD""), ISNUMBER(buff), job=""白魔道士"""&amp;"),
         buff,
         1
       )
     )
   )
 )"),1.0)</f>
        <v>1</v>
      </c>
      <c r="EJ55" s="200">
        <f>IFERROR(__xludf.DUMMYFUNCTION("PRODUCT(
   MAP(
     K$3:ED$3,
     K$14:ED$14,
     K$13:ED$13,
     K55:ED55,
     LAMBDA(
       job,
       buff,
       target,
       check,
       IF(
         AND(check=TRUE, REGEXMATCH(target, ""SELF_EFFECTED_ALL""), ISNUMBER(buff), job=""占星術師"""&amp;"),
         buff,
         1
       )
     )
   )
 )"),1.0)</f>
        <v>1</v>
      </c>
      <c r="EK55" s="200">
        <f>IFERROR(__xludf.DUMMYFUNCTION("PRODUCT(
   MAP(
     K$3:ED$3,
     K$14:ED$14,
     K$13:ED$13,
     K55:ED55,
     LAMBDA(
       job,
       buff,
       target,
       check,
       IF(
         AND(check=TRUE, REGEXMATCH(target, ""SELF_EFFECTED_GCD""), ISNUMBER(buff), job=""占星術師"""&amp;"),
         buff,
         1
       )
     )
   )
 )"),1.0)</f>
        <v>1</v>
      </c>
      <c r="EL55" s="200">
        <f>IFERROR(__xludf.DUMMYFUNCTION("PRODUCT(
   MAP(
     K$3:ED$3,
     K$14:ED$14,
     K$13:ED$13,
     K55:ED55,
     LAMBDA(
       job,
       buff,
       target,
       check,
       IF(
         AND(check=TRUE, REGEXMATCH(target, ""SELF_EFFECTED_ALL""), ISNUMBER(buff), job=""学者""),"&amp;"
         buff,
         1
       )
     )
   )
 )"),1.0)</f>
        <v>1</v>
      </c>
      <c r="EM55" s="200">
        <f>IFERROR(__xludf.DUMMYFUNCTION("PRODUCT(
   MAP(
     K$3:ED$3,
     K$14:ED$14,
     K$13:ED$13,
     K55:ED55,
     LAMBDA(
       job,
       buff,
       target,
       check,
       IF(
         AND(check=TRUE, REGEXMATCH(target, ""SELF_EFFECTED_GCD""), ISNUMBER(buff), job=""学者""),"&amp;"
         buff,
         1
       )
     )
   )
 )"),1.0)</f>
        <v>1</v>
      </c>
      <c r="EN55" s="200">
        <f>IFERROR(__xludf.DUMMYFUNCTION("PRODUCT(
   MAP(
     K$3:ED$3,
     K$14:ED$14,
     K$13:ED$13,
     K55:ED55,
     LAMBDA(
       job,
       buff,
       target,
       check,
       IF(
         AND(check=TRUE, REGEXMATCH(target, ""SELF_EFFECTED_ALL""), ISNUMBER(buff), job=""賢者""),"&amp;"
         buff,
         1
       )
     )
   )
 )"),1.0)</f>
        <v>1</v>
      </c>
      <c r="EO55" s="200">
        <f>IFERROR(__xludf.DUMMYFUNCTION("PRODUCT(
   MAP(
     K$3:ED$3,
     K$14:ED$14,
     K$13:ED$13,
     K55:ED55,
     LAMBDA(
       job,
       buff,
       target,
       check,
       IF(
         AND(check=TRUE, REGEXMATCH(target, ""SELF_EFFECTED_GCD""), ISNUMBER(buff), job=""賢者""),"&amp;"
         buff,
         1
       )
     )
   )
 )"),1.0)</f>
        <v>1</v>
      </c>
      <c r="EP55" s="201">
        <f t="shared" si="3"/>
        <v>0</v>
      </c>
      <c r="EQ55" s="201">
        <f>IFERROR(__xludf.DUMMYFUNCTION("SUM(
   MAP(
     K$4:ED$4,
     K$3:ED$3,
     K$7:ED$7,
     K$15:ED$15,
     K$16:ED$16,
     K$21:ED$21,
     K$5:ED$5,
     K$17:ED$17,
     K55:ED55,
     LAMBDA(
       name,
       job,
       abillity,
       buff,
       barrier,
       enhance,"&amp;"
       assign,
       precondition,
       check,
       SWITCH(
         name,
         ""シェイクオフ"", IF(check=TRUE, buff + (0.02 * COUNTIF(ARRAYFORMULA((REGEXMATCH($K$4:$ED$4, ""スリル・オブ・バトル|ヴェンジェンス|原初の血気|ダムネーション"")) * (K55:ED55=TRUE)), 1)), 0),
         "&amp;"""インプロビゼーションフィニッシュ(踊りの激情0)"", IF(ISNUMBER(check), INDEX(Skill!$AJ:$AJ, MATCH(SUBSTITUTE(DV$4, 0, check), Skill!$C:$C, 0)), 0),
         IF(
           AND(check=TRUE, REGEXMATCH(assign, ""RANGE_PARTY"")),
           IF(
             OR(ARRAYFORMULA((IF(pr"&amp;"econdition="""", FALSE, REGEXMATCH($K$4:$ED$4, precondition))) * (K55:ED55=TRUE))),
             enhance,
             IF(barrier="""", buff, barrier)
           ),
           0
         )
       ) *
       SWITCH(
         job,
         ""ナイト"", EY$24,
 "&amp;"        ""戦士"", FD$24,
         ""踊り子"", ET$24,
         ""ピクトマンサー"", ET$24,
         ""白魔道士"", EF55 * EH55 * IF(abillity, 1, EG55 * EI55) * (Option!$D$22 * 0.81 / 100),
         ""占星術師"", EF55 * EJ55 * IF(abillity, 1, EG55 * EK55) * (Option!$D$23 * 0.81 "&amp;"/ 100),
         ""学者"", EF55 * EL55 * IF(abillity, 1, EG55 * EM55) * (Option!$D$24 * 0.81 / 100),
         ""賢者"", EF55 * EN55 * IF(abillity, 1, EG55 * EO55) * (Option!$D$25 * 0.81 / 100),
         1
       )
     )
   )
 )"),0.0)</f>
        <v>0</v>
      </c>
      <c r="ER55" s="202">
        <f t="shared" si="4"/>
        <v>0</v>
      </c>
      <c r="ES55" s="203">
        <f t="shared" si="5"/>
        <v>0</v>
      </c>
      <c r="ET55" s="231" t="str">
        <f>IFERROR(__xludf.DUMMYFUNCTION("IFS(
  EP55 &gt; $ET$24 + EQ55,
  SPARKLINE({ 1, 0 }, {""charttype"",""bar"";""max"", 1;""color1"",Option!$D$30;""color2"",Option!$D$30}),
  EP55 &lt; EQ55,
  SPARKLINE({EQ55 - EP55, $ET$24 - (EQ55 - EP55)}, {""charttype"",""bar"";""max"",$ET$24;""color1"",Opti"&amp;"on!$D$28;""color2"",Option!$D$29}),
  EP55 &gt;= EQ55,
  SPARKLINE({$ET$24 + EQ55 - EP55,EP55 - EQ55}, {""charttype"",""bar"";""max"",$ET$24;""color1"",Option!$D$29;""color2"",Option!$D$30})
)"),"")</f>
        <v/>
      </c>
      <c r="EU55" s="205">
        <f>IFERROR(__xludf.DUMMYFUNCTION("PRODUCT(
   MAP(
     IF($F55=""Physical"", K$10:ED$10, IF($F55=""Magic"", K$11:ED$11, K$12:ED$12)),
     IF($F55=""Physical"", K$18:ED$18, IF($F55=""Magic"", K$19:ED$19, K$20:ED$20)),
     K$3:ED$3,
     K$5:ED$5,
     K$17:ED$17,
     K55:ED55,
     LAM"&amp;"BDA(
       mitigation,
       enhance,
       job,
       assign,
       precondition,
       check,
       IF(
         OR(AND(check=TRUE, REGEXMATCH(assign, ""SELF""), job=""ナイト""), AND(check=Option!$E$13, REGEXMATCH(assign, ""SINGLE_PARTY""))),
      "&amp;"   IF(
           OR(ARRAYFORMULA((IF(precondition="""", FALSE, REGEXMATCH($K$4:$ED$4, precondition))) * (K55:ED55=TRUE))),
           enhance,
           mitigation
         ),
         1
       )
     )
   )
 ) * EE55"),1.0)</f>
        <v>1</v>
      </c>
      <c r="EV55" s="206">
        <f t="shared" si="6"/>
        <v>0</v>
      </c>
      <c r="EW55" s="205">
        <f>IFERROR(__xludf.DUMMYFUNCTION("PRODUCT(
   MAP(
     K$3:ED$3,
     K$14:ED$14,
     K$13:ED$13,
     K55:ED55,
     LAMBDA(
       job,
       buff,
       target,
       check,
       IF(
         OR(AND(check=TRUE, REGEXMATCH(target, ""SELF_AFFECTED_ALL""), job=""ナイト""), AND(check=O"&amp;"ption!$E$13, REGEXMATCH(target, ""SINGLE_AFFECTED_ALL""))),
         buff,
         1
       )
     )
   )
 )"),1.0)</f>
        <v>1</v>
      </c>
      <c r="EX55" s="206">
        <f>IFERROR(__xludf.DUMMYFUNCTION("SUM(
   MAP(
     K$3:ED$3,
     K$7:ED$7,
     K$15:ED$15,
     K$16:ED$16,
     K$21:ED$21,
     K$5:ED$5,
     K$17:ED$17,
     K55:ED55,
     LAMBDA(
       job,
       abillity,
       buff,
       barrier,
       enhance,
       assign,
       preco"&amp;"ndition,
       check,
       IF(
         OR(AND(check=TRUE, REGEXMATCH(assign, ""SELF""), job=""ナイト""), AND(check=Option!$E$13, REGEXMATCH(assign, ""SINGLE_PARTY""))),
         IF(
           OR(ARRAYFORMULA((IF(precondition="""", FALSE, REGEXMATCH($K$4"&amp;":$ED$4, precondition))) * (K55:ED55=TRUE))),
           enhance,
           IF(barrier="""", buff, barrier)
         ),
         0
       ) *
       SWITCH(
         job,
         ""暗黒騎士"", EY$24,
         ""白魔道士"", EF55 * EH55 * EW55 * IF(abillity, 1, EG"&amp;"55 * EI55) * (Option!$D$22 * 0.81 / 100),
         ""占星術師"", EF55 * EJ55 * EW55 * IF(abillity, 1, EG55 * EK55) * (Option!$D$23 * 0.81 / 100),
         ""学者"", EF55 * EL55 * EW55 * IF(abillity, 1, EG55 * EM55) * (Option!$D$24 * 0.81 / 100),
         ""賢者"""&amp;", EF55 * EN55 * EW55 * IF(abillity, 1, EG55 * EO55) * (Option!$D$25 * 0.81 / 100),
         1
       )
     )
   )
 ) + EQ55"),0.0)</f>
        <v>0</v>
      </c>
      <c r="EY55" s="232">
        <f t="shared" si="7"/>
        <v>0</v>
      </c>
      <c r="EZ55" s="205">
        <f>IFERROR(__xludf.DUMMYFUNCTION("PRODUCT(
   MAP(
     IF($F55=""Physical"", K$10:ED$10, IF($F55=""Magic"", K$11:ED$11, K$12:ED$12)),
     IF($F55=""Physical"", K$18:ED$18, IF($F55=""Magic"", K$19:ED$19, K$20:ED$20)),
     K$3:ED$3,
     K$5:ED$5,
     K$17:ED$17,
     K55:ED55,
     LAM"&amp;"BDA(
       mitigation,
       enhance,
       job,
       assign,
       precondition,
       check,
       IF(
         OR(AND(check=TRUE, REGEXMATCH(assign, ""SELF""), job=""戦士""), AND(check=Option!$F$13, REGEXMATCH(assign, ""SINGLE_PARTY""))),
       "&amp;"  IF(
           OR(ARRAYFORMULA((IF(precondition="""", FALSE, REGEXMATCH($K$4:$ED$4, precondition))) * (K55:ED55=TRUE))),
           enhance,
           mitigation
         ),
         1
       )
     )
   )
 ) * EE55"),1.0)</f>
        <v>1</v>
      </c>
      <c r="FA55" s="206">
        <f t="shared" si="8"/>
        <v>0</v>
      </c>
      <c r="FB55" s="205">
        <f>IFERROR(__xludf.DUMMYFUNCTION("PRODUCT(
   MAP(
     K$3:ED$3,
     K$14:ED$14,
     K$13:ED$13,
     K55:ED55,
     LAMBDA(
       job,
       buff,
       target,
       check,
       IF(
         OR(AND(check=TRUE, REGEXMATCH(target, ""SELF_AFFECTED_ALL""), job=""戦士""), AND(check=Op"&amp;"tion!$F$13, REGEXMATCH(target, ""SINGLE_AFFECTED_ALL""))),
         buff,
         1
       )
     )
   )
 )"),1.0)</f>
        <v>1</v>
      </c>
      <c r="FC55" s="206">
        <f>IFERROR(__xludf.DUMMYFUNCTION("SUM(
   MAP(
     K$3:ED$3,
     K$7:ED$7,
     K$15:ED$15,
     K$16:ED$16,
     K$21:ED$21,
     K$5:ED$5,
     K$17:ED$17,
     K55:ED55,
     LAMBDA(
       job,
       abillity,
       buff,
       barrier,
       enhance,
       assign,
       preco"&amp;"ndition,
       check,
       IF(
         OR(AND(check=TRUE, REGEXMATCH(assign, ""SELF""), job=""戦士""), AND(check=Option!$F$13, REGEXMATCH(assign, ""SINGLE_PARTY""))),
         IF(
           OR(ARRAYFORMULA((IF(precondition="""", FALSE, REGEXMATCH($K$4:"&amp;"$ED$4, precondition))) * (K55:ED55=TRUE))),
           enhance,
           IF(barrier="""", buff, barrier)
         ),
         0
       ) *
       SWITCH(
         job,
         ""暗黒騎士"", FD$24,
         ""白魔道士"", EF55 * EH55 * FB55 * IF(abillity, 1, EG5"&amp;"5 * EI55) * (Option!$D$22 * 0.81 / 100),
         ""占星術師"", EF55 * EJ55 * FFB55 * IF(abillity, 1, EG55 * EK55) * (Option!$D$23 * 0.81 / 100),
         ""学者"", EF55 * EL55 * FB55 * IF(abillity, 1, EG55 * EM55) * (Option!$D$24 * 0.81 / 100),
         ""賢者"""&amp;", EF55 * EN55 * FB55 * IF(abillity, 1, EG55 * EO55) * (Option!$D$25 * 0.81 / 100),
         1
       )
     )
   )
 ) + EQ55"),0.0)</f>
        <v>0</v>
      </c>
      <c r="FD55" s="206">
        <f t="shared" si="9"/>
        <v>0</v>
      </c>
      <c r="FE55" s="205">
        <f>IFERROR(__xludf.DUMMYFUNCTION("PRODUCT(
   MAP(
     IF($F55=""Physical"", K$10:ED$10, IF($F55=""Magic"", K$11:ED$11, K$12:ED$12)),
     IF($F55=""Physical"", K$18:ED$18, IF($F55=""Magic"", K$19:ED$19, K$20:ED$20)),
     K$3:ED$3,
     K$5:ED$5,
     K$17:ED$17,
     K55:ED55,
     LAM"&amp;"BDA(
       mitigation,
       enhance,
       job,
       assign,
       precondition,
       check,
       IF(
         OR(AND(check=TRUE, REGEXMATCH(assign, ""SELF""), job=""暗黒騎士""), AND(check=Option!$G$13, REGEXMATCH(assign, ""SINGLE_PARTY""))),
     "&amp;"    IF(
           OR(ARRAYFORMULA((IF(precondition="""", FALSE, REGEXMATCH($K$4:$ED$4, precondition))) * (K55:ED55=TRUE))),
           enhance,
           mitigation
         ),
         1
       )
     )
   )
 ) * EE55"),1.0)</f>
        <v>1</v>
      </c>
      <c r="FF55" s="206">
        <f t="shared" si="10"/>
        <v>0</v>
      </c>
      <c r="FG55" s="205">
        <f>IFERROR(__xludf.DUMMYFUNCTION("PRODUCT(
   MAP(
     K$3:ED$3,
     K$14:ED$14,
     K$13:ED$13,
     K55:ED55,
     LAMBDA(
       job,
       buff,
       target,
       check,
       IF(
         OR(AND(check=TRUE, REGEXMATCH(target, ""SELF_AFFECTED_ALL""), job=""暗黒騎士""), AND(check="&amp;"Option!$G$13, REGEXMATCH(target, ""SINGLE_AFFECTED_ALL""))),
         buff,
         1
       )
     )
   )
 )"),1.0)</f>
        <v>1</v>
      </c>
      <c r="FH55" s="206">
        <f>IFERROR(__xludf.DUMMYFUNCTION("SUM(
   MAP(
     K$3:ED$3,
     K$7:ED$7,
     K$15:ED$15,
     K$16:ED$16,
     K$21:ED$21,
     K$5:ED$5,
     K$17:ED$17,
     K55:ED55,
     LAMBDA(
       job,
       abillity,
       buff,
       barrier,
       enhance,
       assign,
       preco"&amp;"ndition,
       check,
       IF(
         OR(AND(check=TRUE, REGEXMATCH(assign, ""SELF""), job=""暗黒騎士""), AND(check=Option!$G$13, REGEXMATCH(assign, ""SINGLE_PARTY""))),
         IF(
           OR(ARRAYFORMULA((IF(precondition="""", FALSE, REGEXMATCH($K$"&amp;"4:$ED$4, precondition))) * (K55:ED55=TRUE))),
           enhance,
           IF(barrier="""", buff, barrier)
         ),
         0
       ) *
       SWITCH(
         job,
         ""暗黒騎士"", FI$24,
         ""白魔道士"", EF55 * EH55 * FG55 * IF(abillity, 1, E"&amp;"G55 * EI55) * (Option!$D$22 * 0.81 / 100),
         ""占星術師"", EF55 * EJ55 * FG55 * IF(abillity, 1, EG55 * EK55) * (Option!$D$23 * 0.81 / 100),
         ""学者"", EF55 * EL55 * FG55 * IF(abillity, 1, EG55 * EM55) * (Option!$D$24 * 0.81 / 100),
         ""賢者"&amp;""", EF55 * EN55 * FG55 * IF(abillity, 1, EG55 * EO55) * (Option!$D$25 * 0.81 / 100),
         1
       )
     )
   )
 ) + EQ55"),0.0)</f>
        <v>0</v>
      </c>
      <c r="FI55" s="206">
        <f t="shared" si="11"/>
        <v>0</v>
      </c>
      <c r="FJ55" s="205">
        <f>IFERROR(__xludf.DUMMYFUNCTION("PRODUCT(
   MAP(
     IF($F55=""Physical"", K$10:ED$10, IF($F55=""Magic"", K$11:ED$11, K$12:ED$12)),
     IF($F55=""Physical"", K$18:ED$18, IF($F55=""Magic"", K$19:ED$19, K$20:ED$20)),
     K$3:ED$3,
     K$5:ED$5,
     K$17:ED$17,
     K55:ED55,
     LAM"&amp;"BDA(
       mitigation,
       enhance,
       job,
       assign,
       precondition,
       check,
       IF(
         OR(AND(check=TRUE, REGEXMATCH(assign, ""SELF""), job=""ガンブレイカー""), AND(check=Option!$H$13, REGEXMATCH(assign, ""SINGLE_PARTY""))),
  "&amp;"       IF(
           OR(ARRAYFORMULA((IF(precondition="""", FALSE, REGEXMATCH($K$4:$ED$4, precondition))) * (K55:ED55=TRUE))),
           enhance,
           mitigation
         ),
         1
       )
     )
   )
 ) * EE55"),1.0)</f>
        <v>1</v>
      </c>
      <c r="FK55" s="206">
        <f t="shared" si="12"/>
        <v>0</v>
      </c>
      <c r="FL55" s="205">
        <f>IFERROR(__xludf.DUMMYFUNCTION("PRODUCT(
   MAP(
     K$3:ED$3,
     K$14:ED$14,
     K$13:ED$13,
     K55:ED55,
     LAMBDA(
       job,
       buff,
       target,
       check,
       IF(
         OR(AND(check=TRUE, REGEXMATCH(target, ""SELF_AFFECTED_ALL""), job=""ガンブレイカー""), AND(che"&amp;"ck=Option!$H$13, REGEXMATCH(target, ""SINGLE_AFFECTED_ALL""))),
         buff,
         1
       )
     )
   )
 )"),1.0)</f>
        <v>1</v>
      </c>
      <c r="FM55" s="206">
        <f>IFERROR(__xludf.DUMMYFUNCTION("SUM(
   MAP(
     K$3:ED$3,
     K$7:ED$7,
     K$15:ED$15,
     K$16:ED$16,
     K$21:ED$21,
     K$5:ED$5,
     K$17:ED$17,
     K55:ED55,
     LAMBDA(
       job,
       abillity,
       buff,
       barrier,
       enhance,
       assign,
       preco"&amp;"ndition,
       check,
       IF(
         OR(AND(check=TRUE, REGEXMATCH(assign, ""SELF""), job=""ガンブレイカー""), AND(check=Option!$H$13, REGEXMATCH(assign, ""SINGLE_PARTY""))),
         IF(
           OR(ARRAYFORMULA((IF(precondition="""", FALSE, REGEXMATCH("&amp;"$K$4:$ED$4, precondition))) * (K55:ED55=TRUE))),
           enhance,
           IF(barrier="""", buff, barrier)
         ),
         0
       ) *
       SWITCH(
         job,
         ""暗黒騎士"", FN$24,
         ""白魔道士"", EF55 * EH55 * FL55 * IF(abillity, 1"&amp;", EG55 * EI55) * (Option!$D$22 * 0.81 / 100),
         ""占星術師"", EF55 * EJ55 * FL55 * IF(abillity, 1, EG55 * EK55) * (Option!$D$23 * 0.81 / 100),
         ""学者"", EF55 * EL55 * FL55 * IF(abillity, 1, EG55 * EM55) * (Option!$D$24 * 0.81 / 100),
         """&amp;"賢者"", EF55 * EN55 * FL55 * IF(abillity, 1, EG55 * EO55) * (Option!$D$25 * 0.81 / 100),
         1
       )
     )
   )
 ) + EQ55"),0.0)</f>
        <v>0</v>
      </c>
      <c r="FN55" s="206">
        <f t="shared" si="13"/>
        <v>0</v>
      </c>
      <c r="FO55" s="213"/>
    </row>
    <row r="56">
      <c r="B56" s="229"/>
      <c r="C56" s="217">
        <f t="shared" si="1"/>
        <v>0</v>
      </c>
      <c r="D56" s="236"/>
      <c r="E56" s="238"/>
      <c r="F56" s="167"/>
      <c r="G56" s="168" t="str">
        <f t="shared" si="2"/>
        <v/>
      </c>
      <c r="H56" s="169"/>
      <c r="I56" s="169"/>
      <c r="J56" s="169"/>
      <c r="K56" s="170" t="b">
        <v>0</v>
      </c>
      <c r="L56" s="170" t="b">
        <v>0</v>
      </c>
      <c r="M56" s="170" t="b">
        <v>0</v>
      </c>
      <c r="N56" s="171" t="s">
        <v>1070</v>
      </c>
      <c r="O56" s="172" t="b">
        <v>0</v>
      </c>
      <c r="P56" s="173" t="b">
        <v>0</v>
      </c>
      <c r="Q56" s="173" t="b">
        <v>0</v>
      </c>
      <c r="R56" s="173" t="b">
        <v>0</v>
      </c>
      <c r="S56" s="174" t="b">
        <v>0</v>
      </c>
      <c r="T56" s="175" t="b">
        <v>0</v>
      </c>
      <c r="U56" s="173" t="b">
        <v>0</v>
      </c>
      <c r="V56" s="171" t="s">
        <v>1070</v>
      </c>
      <c r="W56" s="172" t="b">
        <v>0</v>
      </c>
      <c r="X56" s="173" t="b">
        <v>0</v>
      </c>
      <c r="Y56" s="173" t="b">
        <v>0</v>
      </c>
      <c r="Z56" s="173" t="b">
        <v>0</v>
      </c>
      <c r="AA56" s="174" t="b">
        <v>0</v>
      </c>
      <c r="AB56" s="174" t="b">
        <v>0</v>
      </c>
      <c r="AC56" s="175" t="b">
        <v>0</v>
      </c>
      <c r="AD56" s="173" t="b">
        <v>0</v>
      </c>
      <c r="AE56" s="176" t="s">
        <v>1070</v>
      </c>
      <c r="AF56" s="171" t="s">
        <v>1070</v>
      </c>
      <c r="AG56" s="177">
        <f>IFERROR(__xludf.DUMMYFUNCTION("IF(
  ISNUMBER(AG55),
  MIN(MAX(
    AG55
    + MAX(
      ROUNDDOWN(($D56 - MAX(IFERROR(FILTER($D$24:$D55, AG$24:AG55 &lt;&gt; AF$6, AG$23:AG54 = AF$6), 0))) * (60 * 60 * 24) / AF$9) - ROUNDDOWN(($D55 - MAX(IFERROR(FILTER($D$23:$D54, AG$23:AG54 &lt;&gt; AF$6, AG$22:"&amp;"AG53 = AF$6), 0))) * (60 * 60 * 24) / 60),
      0
    )
    - COUNTIF(AF56, ""&lt;&gt;-""),
  0), AF$6),
  AF$6 - COUNTIF(AF56, ""&lt;&gt;-"")
)"),2.0)</f>
        <v>2</v>
      </c>
      <c r="AH56" s="173" t="b">
        <v>0</v>
      </c>
      <c r="AI56" s="173" t="b">
        <v>0</v>
      </c>
      <c r="AJ56" s="173" t="b">
        <v>0</v>
      </c>
      <c r="AK56" s="174" t="b">
        <v>0</v>
      </c>
      <c r="AL56" s="175" t="b">
        <v>0</v>
      </c>
      <c r="AM56" s="239" t="b">
        <v>0</v>
      </c>
      <c r="AN56" s="171" t="s">
        <v>1070</v>
      </c>
      <c r="AO56" s="173" t="b">
        <v>0</v>
      </c>
      <c r="AP56" s="173" t="b">
        <v>0</v>
      </c>
      <c r="AQ56" s="173" t="b">
        <v>0</v>
      </c>
      <c r="AR56" s="174" t="b">
        <v>0</v>
      </c>
      <c r="AS56" s="178" t="b">
        <v>0</v>
      </c>
      <c r="AT56" s="179" t="b">
        <v>0</v>
      </c>
      <c r="AU56" s="180" t="b">
        <v>0</v>
      </c>
      <c r="AV56" s="180" t="b">
        <v>0</v>
      </c>
      <c r="AW56" s="180" t="b">
        <v>0</v>
      </c>
      <c r="AX56" s="180" t="b">
        <v>0</v>
      </c>
      <c r="AY56" s="181" t="s">
        <v>1070</v>
      </c>
      <c r="AZ56" s="181" t="s">
        <v>1070</v>
      </c>
      <c r="BA56" s="184">
        <f>IFERROR(__xludf.DUMMYFUNCTION("IF(
  ISNUMBER(BA55),
  MIN(MAX(
    BA55
    + MAX(
      ROUNDDOWN((D56 - MAX(IFERROR(FILTER(D$24:D55, BA$24:BA55 &lt;&gt; AZ$6, BA$23:BA54 = AZ$6), 0))) * (60 * 60 * 24) / AZ$9) - ROUNDDOWN((D55 - MAX(IFERROR(FILTER(D$23:D54, BA$23:BA54 &lt;&gt; AZ$6, BA$22:BA53 ="&amp;" AZ$6), 0))) * (60 * 60 * 24) / AZ$9),
      0
    )
    - COUNTIF(AZ56, ""&lt;&gt;-""),
  0), AZ$6),
  AZ$6 - COUNTIF(AZ56, ""&lt;&gt;-"")
)"),2.0)</f>
        <v>2</v>
      </c>
      <c r="BB56" s="181" t="s">
        <v>1070</v>
      </c>
      <c r="BC56" s="183">
        <f>IFERROR(__xludf.DUMMYFUNCTION("IF(
  ISNUMBER(BC55),
  MIN(MAX(
    BC55
    + MAX(
      ROUNDDOWN(($D56 - MAX(IFERROR(FILTER($D$24:$D55, BC$24:BC55 &lt;&gt; BB$6, BC$23:BC54 = BB$6), 0))) * (60 * 60 * 24) / BB$9) - ROUNDDOWN(($D55 - MAX(IFERROR(FILTER($D$23:$D54, BC$23:BC54 &lt;&gt; BB$6, BC$22:"&amp;"BC53 = BB$6), 0))) * (60 * 60 * 24) / 60),
      0
    )
    - COUNTIF(BB56, ""&lt;&gt;-""),
  0), BB$6),
  BB$6 - COUNTIF(BB56, ""&lt;&gt;-"")
)"),2.0)</f>
        <v>2</v>
      </c>
      <c r="BD56" s="181" t="s">
        <v>1070</v>
      </c>
      <c r="BE56" s="178" t="b">
        <v>0</v>
      </c>
      <c r="BF56" s="180" t="b">
        <v>0</v>
      </c>
      <c r="BG56" s="180" t="b">
        <v>0</v>
      </c>
      <c r="BH56" s="180" t="b">
        <v>0</v>
      </c>
      <c r="BI56" s="180" t="b">
        <v>0</v>
      </c>
      <c r="BJ56" s="180" t="b">
        <v>0</v>
      </c>
      <c r="BK56" s="180" t="b">
        <v>0</v>
      </c>
      <c r="BL56" s="180" t="b">
        <v>0</v>
      </c>
      <c r="BM56" s="180" t="b">
        <v>0</v>
      </c>
      <c r="BN56" s="180" t="b">
        <v>0</v>
      </c>
      <c r="BO56" s="181" t="s">
        <v>1070</v>
      </c>
      <c r="BP56" s="181" t="s">
        <v>1070</v>
      </c>
      <c r="BQ56" s="181" t="s">
        <v>1070</v>
      </c>
      <c r="BR56" s="181" t="s">
        <v>1070</v>
      </c>
      <c r="BS56" s="181" t="s">
        <v>1070</v>
      </c>
      <c r="BT56" s="184">
        <f>IFERROR(__xludf.DUMMYFUNCTION("IF(
  ISNUMBER(BT55),
  MIN(MAX(
    BT55
    + MAX(
      ROUNDDOWN((D56 - MAX(IFERROR(FILTER(D$24:D55, BT$24:BT55 &lt;&gt; BS$6, BT$23:BT54 = BS$6), 0))) * (60 * 60 * 24) / BS$9) - ROUNDDOWN((D55 - MAX(IFERROR(FILTER(D$23:D54, BT$23:BT54 &lt;&gt; BS$6, BT$22:BT53 ="&amp;" BS$6), 0))) * (60 * 60 * 24) / BS$9),
      0
    )
    - COUNTIF(BS56, ""&lt;&gt;-""),
  0), BS$6),
  BS$6 - COUNTIF(BS56, ""&lt;&gt;-"")
)"),3.0)</f>
        <v>3</v>
      </c>
      <c r="BU56" s="181" t="s">
        <v>1070</v>
      </c>
      <c r="BV56" s="181" t="s">
        <v>1070</v>
      </c>
      <c r="BW56" s="184">
        <f>IFERROR(__xludf.DUMMYFUNCTION("IF(
  ISNUMBER(BW55),
  MIN(MAX(
    BW55
    + MAX(
      ROUNDDOWN((D56 - MAX(IFERROR(FILTER(D$24:D55, BW$24:BW55 &lt;&gt; BV$6, BW$23:BW54 = BV$6), 0))) * (60 * 60 * 24) / BV$9) - ROUNDDOWN((D55 - MAX(IFERROR(FILTER(D$23:D54, BW$23:BW54 &lt;&gt; BV$6, BW$22:BW53 ="&amp;" BV$6), 0))) * (60 * 60 * 24) / BV$9),
      0
    )
    - COUNTIF(BV56, ""&lt;&gt;-""),
  0), BV$6),
  BV$6 - COUNTIF(BV56, ""&lt;&gt;-"")
)"),2.0)</f>
        <v>2</v>
      </c>
      <c r="BX56" s="185" t="s">
        <v>1070</v>
      </c>
      <c r="BY56" s="178" t="b">
        <v>0</v>
      </c>
      <c r="BZ56" s="180" t="b">
        <v>0</v>
      </c>
      <c r="CA56" s="180" t="b">
        <v>0</v>
      </c>
      <c r="CB56" s="180" t="b">
        <v>0</v>
      </c>
      <c r="CC56" s="180" t="b">
        <v>0</v>
      </c>
      <c r="CD56" s="180" t="b">
        <v>0</v>
      </c>
      <c r="CE56" s="180" t="b">
        <v>0</v>
      </c>
      <c r="CF56" s="180" t="b">
        <v>0</v>
      </c>
      <c r="CG56" s="180" t="b">
        <v>0</v>
      </c>
      <c r="CH56" s="180" t="b">
        <v>0</v>
      </c>
      <c r="CI56" s="180" t="b">
        <v>0</v>
      </c>
      <c r="CJ56" s="180" t="b">
        <v>0</v>
      </c>
      <c r="CK56" s="180" t="b">
        <v>0</v>
      </c>
      <c r="CL56" s="180" t="b">
        <v>0</v>
      </c>
      <c r="CM56" s="181" t="s">
        <v>1070</v>
      </c>
      <c r="CN56" s="181" t="s">
        <v>1070</v>
      </c>
      <c r="CO56" s="181" t="s">
        <v>1070</v>
      </c>
      <c r="CP56" s="181" t="s">
        <v>1070</v>
      </c>
      <c r="CQ56" s="185" t="s">
        <v>1070</v>
      </c>
      <c r="CR56" s="180" t="b">
        <v>0</v>
      </c>
      <c r="CS56" s="186" t="str">
        <f t="shared" si="14"/>
        <v>◇◇◇</v>
      </c>
      <c r="CT56" s="178" t="b">
        <v>0</v>
      </c>
      <c r="CU56" s="180" t="b">
        <v>0</v>
      </c>
      <c r="CV56" s="180" t="b">
        <v>0</v>
      </c>
      <c r="CW56" s="180" t="b">
        <v>0</v>
      </c>
      <c r="CX56" s="180" t="b">
        <v>0</v>
      </c>
      <c r="CY56" s="180" t="b">
        <v>0</v>
      </c>
      <c r="CZ56" s="180" t="b">
        <v>0</v>
      </c>
      <c r="DA56" s="180" t="b">
        <v>0</v>
      </c>
      <c r="DB56" s="180" t="b">
        <v>0</v>
      </c>
      <c r="DC56" s="180" t="b">
        <v>0</v>
      </c>
      <c r="DD56" s="181" t="s">
        <v>1070</v>
      </c>
      <c r="DE56" s="181" t="s">
        <v>1070</v>
      </c>
      <c r="DF56" s="181" t="s">
        <v>1070</v>
      </c>
      <c r="DG56" s="185" t="s">
        <v>1070</v>
      </c>
      <c r="DH56" s="180" t="b">
        <v>0</v>
      </c>
      <c r="DI56" s="187" t="str">
        <f>IFERROR(__xludf.DUMMYFUNCTION("SWITCH(
  IF(
    ISTEXT(DI55),
    IF (
      FIND(""○"", DI55&amp;""○"") &gt; 3,
      3,
      FIND(""○"", DI55&amp;""○"")
      + MAX(
        ROUNDDOWN(($D56 - MAX(IFERROR(FILTER(D$24:D55, DI$24:DI55 &lt;&gt; ""●●●"", DI$23:DI54 = ""●●●""), 0))) * (60 * 60 * 24) / 20"&amp;") - ROUNDDOWN(($D55 - MAX(IFERROR(FILTER(D$23:D54, DI$23:DI54 &lt;&gt; ""●●●"", DI$22:DI53 = ""●●●""), 0))) * (60 * 60 * 24) / 20),
        0
      ) - 1
    ) - COUNTIFS(CU56, ""=TRUE"", CU55, ""&lt;&gt;TRUE"") - COUNTIF(CZ56, ""=TRUE"") - COUNTIF({DD56,DE56}, ""&lt;&gt;-"&amp;""") + COUNTIF(DH56, ""=TRUE""),
    3
  ),
  0, ""○○○"", 1, ""●○○"", 2, ""●●○"", 3, ""●●●"", 4, ""●●●"", ""○○○""
)"),"●●●")</f>
        <v>●●●</v>
      </c>
      <c r="DJ56" s="188" t="b">
        <v>0</v>
      </c>
      <c r="DK56" s="189" t="b">
        <v>0</v>
      </c>
      <c r="DL56" s="190" t="b">
        <v>0</v>
      </c>
      <c r="DM56" s="190" t="b">
        <v>0</v>
      </c>
      <c r="DN56" s="190" t="b">
        <v>0</v>
      </c>
      <c r="DO56" s="190" t="b">
        <v>0</v>
      </c>
      <c r="DP56" s="190" t="b">
        <v>0</v>
      </c>
      <c r="DQ56" s="191" t="b">
        <v>0</v>
      </c>
      <c r="DR56" s="192" t="b">
        <v>0</v>
      </c>
      <c r="DS56" s="191" t="b">
        <v>0</v>
      </c>
      <c r="DT56" s="192" t="b">
        <v>0</v>
      </c>
      <c r="DU56" s="191" t="b">
        <v>0</v>
      </c>
      <c r="DV56" s="193" t="s">
        <v>1070</v>
      </c>
      <c r="DW56" s="194" t="b">
        <v>0</v>
      </c>
      <c r="DX56" s="194" t="b">
        <v>0</v>
      </c>
      <c r="DY56" s="195" t="b">
        <v>0</v>
      </c>
      <c r="DZ56" s="196" t="b">
        <v>0</v>
      </c>
      <c r="EA56" s="195" t="b">
        <v>0</v>
      </c>
      <c r="EB56" s="197" t="b">
        <v>0</v>
      </c>
      <c r="EC56" s="197" t="b">
        <v>0</v>
      </c>
      <c r="ED56" s="212" t="b">
        <v>0</v>
      </c>
      <c r="EE56" s="199">
        <f>IFERROR(__xludf.DUMMYFUNCTION("IFERROR(
   PRODUCT(
     MAP(
       INDEX(TRANSPOSE(UNIQUE(TRANSPOSE(FILTER({IF($F56=""Physical"", K$10:ED$10, IF($F56=""Magic"", K$11:ED$11, K$12:ED$12));K$4:ED$4;K56:ED56}, K56:ED56=TRUE)))), 1, 0),
       INDEX(TRANSPOSE(UNIQUE(TRANSPOSE(FILTER({IF($"&amp;"F56=""Physical"", K$18:ED$18, IF($F56=""Magic"", K$19:ED$19, K$20:ED$20));K$4:ED$4;K56:ED56}, K56:ED56=TRUE)))), 1, 0),
       INDEX(TRANSPOSE(UNIQUE(TRANSPOSE(FILTER({K$5:ED$5;K$4:ED$4;K56:ED56}, K56:ED56=TRUE)))), 1, 0),
       INDEX(TRANSPOSE(UNIQUE(TR"&amp;"ANSPOSE(FILTER({K$17:ED$17;K$4:ED$4;K56:ED56}, K56:ED56=TRUE)))), 1, 0),
       LAMBDA(
         mitigation,
         enhance,
         assign,
         precondition,
         IF(
           REGEXMATCH(assign, ""RANGE_PARTY|SINGLE_ENEMY|RANGE_ENEMY""),
  "&amp;"         IF(
             OR(ARRAYFORMULA((IF(precondition="""", FALSE, REGEXMATCH(K$4:ED$4, precondition))) * (K56:ED56=TRUE))),
             IF(ISNUMBER(enhance), enhance, 1),
             IF(ISNUMBER(mitigation), mitigation, 1)
           ),
          "&amp;" 1
         )
       )
     )
   ),
   1
 )"),1.0)</f>
        <v>1</v>
      </c>
      <c r="EF56" s="200">
        <f>IFERROR(__xludf.DUMMYFUNCTION("PRODUCT(
   MAP(
     K$14:ED$14,
     K$13:ED$13,
     K56:ED56,
     LAMBDA(
       buff,
       target,
       check,
       IF(
         AND(check=TRUE, REGEXMATCH(target, ""RANGE_AFFECTED_ALL|RANGE_EFFECTED_ALL""), ISNUMBER(buff)),
         buff,
   "&amp;"      1
       )
     )
   )
 )"),1.0)</f>
        <v>1</v>
      </c>
      <c r="EG56" s="200">
        <f>IFERROR(__xludf.DUMMYFUNCTION("PRODUCT(
   MAP(
     K$14:ED$14,
     K$13:ED$13,
     K56:ED56,
     LAMBDA(
       buff,
       target,
       check,
       IF(
         AND(check=TRUE, REGEXMATCH(target, ""RANGE_AFFECTED_GCD|RANGE_EFFECTED_GCD""), ISNUMBER(buff)),
         buff,
   "&amp;"      1
       )
     )
   )
 )"),1.0)</f>
        <v>1</v>
      </c>
      <c r="EH56" s="200">
        <f>IFERROR(__xludf.DUMMYFUNCTION("PRODUCT(
   MAP(
     K$3:ED$3,
     K$14:ED$14,
     K$13:ED$13,
     K56:ED56,
     LAMBDA(
       job,
       buff,
       target,
       check,
       IF(
         AND(check=TRUE, REGEXMATCH(target, ""SELF_EFFECTED_ALL""), ISNUMBER(buff), job=""白魔道士"""&amp;"),
         buff,
         1
       )
     )
   )
 )"),1.0)</f>
        <v>1</v>
      </c>
      <c r="EI56" s="200">
        <f>IFERROR(__xludf.DUMMYFUNCTION("PRODUCT(
   MAP(
     K$3:ED$3,
     K$14:ED$14,
     K$13:ED$13,
     K56:ED56,
     LAMBDA(
       job,
       buff,
       target,
       check,
       IF(
         AND(check=TRUE, REGEXMATCH(target, ""SELF_EFFECTED_GCD""), ISNUMBER(buff), job=""白魔道士"""&amp;"),
         buff,
         1
       )
     )
   )
 )"),1.0)</f>
        <v>1</v>
      </c>
      <c r="EJ56" s="200">
        <f>IFERROR(__xludf.DUMMYFUNCTION("PRODUCT(
   MAP(
     K$3:ED$3,
     K$14:ED$14,
     K$13:ED$13,
     K56:ED56,
     LAMBDA(
       job,
       buff,
       target,
       check,
       IF(
         AND(check=TRUE, REGEXMATCH(target, ""SELF_EFFECTED_ALL""), ISNUMBER(buff), job=""占星術師"""&amp;"),
         buff,
         1
       )
     )
   )
 )"),1.0)</f>
        <v>1</v>
      </c>
      <c r="EK56" s="200">
        <f>IFERROR(__xludf.DUMMYFUNCTION("PRODUCT(
   MAP(
     K$3:ED$3,
     K$14:ED$14,
     K$13:ED$13,
     K56:ED56,
     LAMBDA(
       job,
       buff,
       target,
       check,
       IF(
         AND(check=TRUE, REGEXMATCH(target, ""SELF_EFFECTED_GCD""), ISNUMBER(buff), job=""占星術師"""&amp;"),
         buff,
         1
       )
     )
   )
 )"),1.0)</f>
        <v>1</v>
      </c>
      <c r="EL56" s="200">
        <f>IFERROR(__xludf.DUMMYFUNCTION("PRODUCT(
   MAP(
     K$3:ED$3,
     K$14:ED$14,
     K$13:ED$13,
     K56:ED56,
     LAMBDA(
       job,
       buff,
       target,
       check,
       IF(
         AND(check=TRUE, REGEXMATCH(target, ""SELF_EFFECTED_ALL""), ISNUMBER(buff), job=""学者""),"&amp;"
         buff,
         1
       )
     )
   )
 )"),1.0)</f>
        <v>1</v>
      </c>
      <c r="EM56" s="200">
        <f>IFERROR(__xludf.DUMMYFUNCTION("PRODUCT(
   MAP(
     K$3:ED$3,
     K$14:ED$14,
     K$13:ED$13,
     K56:ED56,
     LAMBDA(
       job,
       buff,
       target,
       check,
       IF(
         AND(check=TRUE, REGEXMATCH(target, ""SELF_EFFECTED_GCD""), ISNUMBER(buff), job=""学者""),"&amp;"
         buff,
         1
       )
     )
   )
 )"),1.0)</f>
        <v>1</v>
      </c>
      <c r="EN56" s="200">
        <f>IFERROR(__xludf.DUMMYFUNCTION("PRODUCT(
   MAP(
     K$3:ED$3,
     K$14:ED$14,
     K$13:ED$13,
     K56:ED56,
     LAMBDA(
       job,
       buff,
       target,
       check,
       IF(
         AND(check=TRUE, REGEXMATCH(target, ""SELF_EFFECTED_ALL""), ISNUMBER(buff), job=""賢者""),"&amp;"
         buff,
         1
       )
     )
   )
 )"),1.0)</f>
        <v>1</v>
      </c>
      <c r="EO56" s="200">
        <f>IFERROR(__xludf.DUMMYFUNCTION("PRODUCT(
   MAP(
     K$3:ED$3,
     K$14:ED$14,
     K$13:ED$13,
     K56:ED56,
     LAMBDA(
       job,
       buff,
       target,
       check,
       IF(
         AND(check=TRUE, REGEXMATCH(target, ""SELF_EFFECTED_GCD""), ISNUMBER(buff), job=""賢者""),"&amp;"
         buff,
         1
       )
     )
   )
 )"),1.0)</f>
        <v>1</v>
      </c>
      <c r="EP56" s="201">
        <f t="shared" si="3"/>
        <v>0</v>
      </c>
      <c r="EQ56" s="201">
        <f>IFERROR(__xludf.DUMMYFUNCTION("SUM(
   MAP(
     K$4:ED$4,
     K$3:ED$3,
     K$7:ED$7,
     K$15:ED$15,
     K$16:ED$16,
     K$21:ED$21,
     K$5:ED$5,
     K$17:ED$17,
     K56:ED56,
     LAMBDA(
       name,
       job,
       abillity,
       buff,
       barrier,
       enhance,"&amp;"
       assign,
       precondition,
       check,
       SWITCH(
         name,
         ""シェイクオフ"", IF(check=TRUE, buff + (0.02 * COUNTIF(ARRAYFORMULA((REGEXMATCH($K$4:$ED$4, ""スリル・オブ・バトル|ヴェンジェンス|原初の血気|ダムネーション"")) * (K56:ED56=TRUE)), 1)), 0),
         "&amp;"""インプロビゼーションフィニッシュ(踊りの激情0)"", IF(ISNUMBER(check), INDEX(Skill!$AJ:$AJ, MATCH(SUBSTITUTE(DV$4, 0, check), Skill!$C:$C, 0)), 0),
         IF(
           AND(check=TRUE, REGEXMATCH(assign, ""RANGE_PARTY"")),
           IF(
             OR(ARRAYFORMULA((IF(pr"&amp;"econdition="""", FALSE, REGEXMATCH($K$4:$ED$4, precondition))) * (K56:ED56=TRUE))),
             enhance,
             IF(barrier="""", buff, barrier)
           ),
           0
         )
       ) *
       SWITCH(
         job,
         ""ナイト"", EY$24,
 "&amp;"        ""戦士"", FD$24,
         ""踊り子"", ET$24,
         ""ピクトマンサー"", ET$24,
         ""白魔道士"", EF56 * EH56 * IF(abillity, 1, EG56 * EI56) * (Option!$D$22 * 0.81 / 100),
         ""占星術師"", EF56 * EJ56 * IF(abillity, 1, EG56 * EK56) * (Option!$D$23 * 0.81 "&amp;"/ 100),
         ""学者"", EF56 * EL56 * IF(abillity, 1, EG56 * EM56) * (Option!$D$24 * 0.81 / 100),
         ""賢者"", EF56 * EN56 * IF(abillity, 1, EG56 * EO56) * (Option!$D$25 * 0.81 / 100),
         1
       )
     )
   )
 )"),0.0)</f>
        <v>0</v>
      </c>
      <c r="ER56" s="202">
        <f t="shared" si="4"/>
        <v>0</v>
      </c>
      <c r="ES56" s="203">
        <f t="shared" si="5"/>
        <v>0</v>
      </c>
      <c r="ET56" s="231" t="str">
        <f>IFERROR(__xludf.DUMMYFUNCTION("IFS(
  EP56 &gt; $ET$24 + EQ56,
  SPARKLINE({ 1, 0 }, {""charttype"",""bar"";""max"", 1;""color1"",Option!$D$30;""color2"",Option!$D$30}),
  EP56 &lt; EQ56,
  SPARKLINE({EQ56 - EP56, $ET$24 - (EQ56 - EP56)}, {""charttype"",""bar"";""max"",$ET$24;""color1"",Opti"&amp;"on!$D$28;""color2"",Option!$D$29}),
  EP56 &gt;= EQ56,
  SPARKLINE({$ET$24 + EQ56 - EP56,EP56 - EQ56}, {""charttype"",""bar"";""max"",$ET$24;""color1"",Option!$D$29;""color2"",Option!$D$30})
)"),"")</f>
        <v/>
      </c>
      <c r="EU56" s="205">
        <f>IFERROR(__xludf.DUMMYFUNCTION("PRODUCT(
   MAP(
     IF($F56=""Physical"", K$10:ED$10, IF($F56=""Magic"", K$11:ED$11, K$12:ED$12)),
     IF($F56=""Physical"", K$18:ED$18, IF($F56=""Magic"", K$19:ED$19, K$20:ED$20)),
     K$3:ED$3,
     K$5:ED$5,
     K$17:ED$17,
     K56:ED56,
     LAM"&amp;"BDA(
       mitigation,
       enhance,
       job,
       assign,
       precondition,
       check,
       IF(
         OR(AND(check=TRUE, REGEXMATCH(assign, ""SELF""), job=""ナイト""), AND(check=Option!$E$13, REGEXMATCH(assign, ""SINGLE_PARTY""))),
      "&amp;"   IF(
           OR(ARRAYFORMULA((IF(precondition="""", FALSE, REGEXMATCH($K$4:$ED$4, precondition))) * (K56:ED56=TRUE))),
           enhance,
           mitigation
         ),
         1
       )
     )
   )
 ) * EE56"),1.0)</f>
        <v>1</v>
      </c>
      <c r="EV56" s="206">
        <f t="shared" si="6"/>
        <v>0</v>
      </c>
      <c r="EW56" s="205">
        <f>IFERROR(__xludf.DUMMYFUNCTION("PRODUCT(
   MAP(
     K$3:ED$3,
     K$14:ED$14,
     K$13:ED$13,
     K56:ED56,
     LAMBDA(
       job,
       buff,
       target,
       check,
       IF(
         OR(AND(check=TRUE, REGEXMATCH(target, ""SELF_AFFECTED_ALL""), job=""ナイト""), AND(check=O"&amp;"ption!$E$13, REGEXMATCH(target, ""SINGLE_AFFECTED_ALL""))),
         buff,
         1
       )
     )
   )
 )"),1.0)</f>
        <v>1</v>
      </c>
      <c r="EX56" s="206">
        <f>IFERROR(__xludf.DUMMYFUNCTION("SUM(
   MAP(
     K$3:ED$3,
     K$7:ED$7,
     K$15:ED$15,
     K$16:ED$16,
     K$21:ED$21,
     K$5:ED$5,
     K$17:ED$17,
     K56:ED56,
     LAMBDA(
       job,
       abillity,
       buff,
       barrier,
       enhance,
       assign,
       preco"&amp;"ndition,
       check,
       IF(
         OR(AND(check=TRUE, REGEXMATCH(assign, ""SELF""), job=""ナイト""), AND(check=Option!$E$13, REGEXMATCH(assign, ""SINGLE_PARTY""))),
         IF(
           OR(ARRAYFORMULA((IF(precondition="""", FALSE, REGEXMATCH($K$4"&amp;":$ED$4, precondition))) * (K56:ED56=TRUE))),
           enhance,
           IF(barrier="""", buff, barrier)
         ),
         0
       ) *
       SWITCH(
         job,
         ""暗黒騎士"", EY$24,
         ""白魔道士"", EF56 * EH56 * EW56 * IF(abillity, 1, EG"&amp;"56 * EI56) * (Option!$D$22 * 0.81 / 100),
         ""占星術師"", EF56 * EJ56 * EW56 * IF(abillity, 1, EG56 * EK56) * (Option!$D$23 * 0.81 / 100),
         ""学者"", EF56 * EL56 * EW56 * IF(abillity, 1, EG56 * EM56) * (Option!$D$24 * 0.81 / 100),
         ""賢者"""&amp;", EF56 * EN56 * EW56 * IF(abillity, 1, EG56 * EO56) * (Option!$D$25 * 0.81 / 100),
         1
       )
     )
   )
 ) + EQ56"),0.0)</f>
        <v>0</v>
      </c>
      <c r="EY56" s="232">
        <f t="shared" si="7"/>
        <v>0</v>
      </c>
      <c r="EZ56" s="205">
        <f>IFERROR(__xludf.DUMMYFUNCTION("PRODUCT(
   MAP(
     IF($F56=""Physical"", K$10:ED$10, IF($F56=""Magic"", K$11:ED$11, K$12:ED$12)),
     IF($F56=""Physical"", K$18:ED$18, IF($F56=""Magic"", K$19:ED$19, K$20:ED$20)),
     K$3:ED$3,
     K$5:ED$5,
     K$17:ED$17,
     K56:ED56,
     LAM"&amp;"BDA(
       mitigation,
       enhance,
       job,
       assign,
       precondition,
       check,
       IF(
         OR(AND(check=TRUE, REGEXMATCH(assign, ""SELF""), job=""戦士""), AND(check=Option!$F$13, REGEXMATCH(assign, ""SINGLE_PARTY""))),
       "&amp;"  IF(
           OR(ARRAYFORMULA((IF(precondition="""", FALSE, REGEXMATCH($K$4:$ED$4, precondition))) * (K56:ED56=TRUE))),
           enhance,
           mitigation
         ),
         1
       )
     )
   )
 ) * EE56"),1.0)</f>
        <v>1</v>
      </c>
      <c r="FA56" s="206">
        <f t="shared" si="8"/>
        <v>0</v>
      </c>
      <c r="FB56" s="205">
        <f>IFERROR(__xludf.DUMMYFUNCTION("PRODUCT(
   MAP(
     K$3:ED$3,
     K$14:ED$14,
     K$13:ED$13,
     K56:ED56,
     LAMBDA(
       job,
       buff,
       target,
       check,
       IF(
         OR(AND(check=TRUE, REGEXMATCH(target, ""SELF_AFFECTED_ALL""), job=""戦士""), AND(check=Op"&amp;"tion!$F$13, REGEXMATCH(target, ""SINGLE_AFFECTED_ALL""))),
         buff,
         1
       )
     )
   )
 )"),1.0)</f>
        <v>1</v>
      </c>
      <c r="FC56" s="206">
        <f>IFERROR(__xludf.DUMMYFUNCTION("SUM(
   MAP(
     K$3:ED$3,
     K$7:ED$7,
     K$15:ED$15,
     K$16:ED$16,
     K$21:ED$21,
     K$5:ED$5,
     K$17:ED$17,
     K56:ED56,
     LAMBDA(
       job,
       abillity,
       buff,
       barrier,
       enhance,
       assign,
       preco"&amp;"ndition,
       check,
       IF(
         OR(AND(check=TRUE, REGEXMATCH(assign, ""SELF""), job=""戦士""), AND(check=Option!$F$13, REGEXMATCH(assign, ""SINGLE_PARTY""))),
         IF(
           OR(ARRAYFORMULA((IF(precondition="""", FALSE, REGEXMATCH($K$4:"&amp;"$ED$4, precondition))) * (K56:ED56=TRUE))),
           enhance,
           IF(barrier="""", buff, barrier)
         ),
         0
       ) *
       SWITCH(
         job,
         ""暗黒騎士"", FD$24,
         ""白魔道士"", EF56 * EH56 * FB56 * IF(abillity, 1, EG5"&amp;"6 * EI56) * (Option!$D$22 * 0.81 / 100),
         ""占星術師"", EF56 * EJ56 * FFB56 * IF(abillity, 1, EG56 * EK56) * (Option!$D$23 * 0.81 / 100),
         ""学者"", EF56 * EL56 * FB56 * IF(abillity, 1, EG56 * EM56) * (Option!$D$24 * 0.81 / 100),
         ""賢者"""&amp;", EF56 * EN56 * FB56 * IF(abillity, 1, EG56 * EO56) * (Option!$D$25 * 0.81 / 100),
         1
       )
     )
   )
 ) + EQ56"),0.0)</f>
        <v>0</v>
      </c>
      <c r="FD56" s="206">
        <f t="shared" si="9"/>
        <v>0</v>
      </c>
      <c r="FE56" s="205">
        <f>IFERROR(__xludf.DUMMYFUNCTION("PRODUCT(
   MAP(
     IF($F56=""Physical"", K$10:ED$10, IF($F56=""Magic"", K$11:ED$11, K$12:ED$12)),
     IF($F56=""Physical"", K$18:ED$18, IF($F56=""Magic"", K$19:ED$19, K$20:ED$20)),
     K$3:ED$3,
     K$5:ED$5,
     K$17:ED$17,
     K56:ED56,
     LAM"&amp;"BDA(
       mitigation,
       enhance,
       job,
       assign,
       precondition,
       check,
       IF(
         OR(AND(check=TRUE, REGEXMATCH(assign, ""SELF""), job=""暗黒騎士""), AND(check=Option!$G$13, REGEXMATCH(assign, ""SINGLE_PARTY""))),
     "&amp;"    IF(
           OR(ARRAYFORMULA((IF(precondition="""", FALSE, REGEXMATCH($K$4:$ED$4, precondition))) * (K56:ED56=TRUE))),
           enhance,
           mitigation
         ),
         1
       )
     )
   )
 ) * EE56"),1.0)</f>
        <v>1</v>
      </c>
      <c r="FF56" s="206">
        <f t="shared" si="10"/>
        <v>0</v>
      </c>
      <c r="FG56" s="205">
        <f>IFERROR(__xludf.DUMMYFUNCTION("PRODUCT(
   MAP(
     K$3:ED$3,
     K$14:ED$14,
     K$13:ED$13,
     K56:ED56,
     LAMBDA(
       job,
       buff,
       target,
       check,
       IF(
         OR(AND(check=TRUE, REGEXMATCH(target, ""SELF_AFFECTED_ALL""), job=""暗黒騎士""), AND(check="&amp;"Option!$G$13, REGEXMATCH(target, ""SINGLE_AFFECTED_ALL""))),
         buff,
         1
       )
     )
   )
 )"),1.0)</f>
        <v>1</v>
      </c>
      <c r="FH56" s="206">
        <f>IFERROR(__xludf.DUMMYFUNCTION("SUM(
   MAP(
     K$3:ED$3,
     K$7:ED$7,
     K$15:ED$15,
     K$16:ED$16,
     K$21:ED$21,
     K$5:ED$5,
     K$17:ED$17,
     K56:ED56,
     LAMBDA(
       job,
       abillity,
       buff,
       barrier,
       enhance,
       assign,
       preco"&amp;"ndition,
       check,
       IF(
         OR(AND(check=TRUE, REGEXMATCH(assign, ""SELF""), job=""暗黒騎士""), AND(check=Option!$G$13, REGEXMATCH(assign, ""SINGLE_PARTY""))),
         IF(
           OR(ARRAYFORMULA((IF(precondition="""", FALSE, REGEXMATCH($K$"&amp;"4:$ED$4, precondition))) * (K56:ED56=TRUE))),
           enhance,
           IF(barrier="""", buff, barrier)
         ),
         0
       ) *
       SWITCH(
         job,
         ""暗黒騎士"", FI$24,
         ""白魔道士"", EF56 * EH56 * FG56 * IF(abillity, 1, E"&amp;"G56 * EI56) * (Option!$D$22 * 0.81 / 100),
         ""占星術師"", EF56 * EJ56 * FG56 * IF(abillity, 1, EG56 * EK56) * (Option!$D$23 * 0.81 / 100),
         ""学者"", EF56 * EL56 * FG56 * IF(abillity, 1, EG56 * EM56) * (Option!$D$24 * 0.81 / 100),
         ""賢者"&amp;""", EF56 * EN56 * FG56 * IF(abillity, 1, EG56 * EO56) * (Option!$D$25 * 0.81 / 100),
         1
       )
     )
   )
 ) + EQ56"),0.0)</f>
        <v>0</v>
      </c>
      <c r="FI56" s="206">
        <f t="shared" si="11"/>
        <v>0</v>
      </c>
      <c r="FJ56" s="205">
        <f>IFERROR(__xludf.DUMMYFUNCTION("PRODUCT(
   MAP(
     IF($F56=""Physical"", K$10:ED$10, IF($F56=""Magic"", K$11:ED$11, K$12:ED$12)),
     IF($F56=""Physical"", K$18:ED$18, IF($F56=""Magic"", K$19:ED$19, K$20:ED$20)),
     K$3:ED$3,
     K$5:ED$5,
     K$17:ED$17,
     K56:ED56,
     LAM"&amp;"BDA(
       mitigation,
       enhance,
       job,
       assign,
       precondition,
       check,
       IF(
         OR(AND(check=TRUE, REGEXMATCH(assign, ""SELF""), job=""ガンブレイカー""), AND(check=Option!$H$13, REGEXMATCH(assign, ""SINGLE_PARTY""))),
  "&amp;"       IF(
           OR(ARRAYFORMULA((IF(precondition="""", FALSE, REGEXMATCH($K$4:$ED$4, precondition))) * (K56:ED56=TRUE))),
           enhance,
           mitigation
         ),
         1
       )
     )
   )
 ) * EE56"),1.0)</f>
        <v>1</v>
      </c>
      <c r="FK56" s="206">
        <f t="shared" si="12"/>
        <v>0</v>
      </c>
      <c r="FL56" s="205">
        <f>IFERROR(__xludf.DUMMYFUNCTION("PRODUCT(
   MAP(
     K$3:ED$3,
     K$14:ED$14,
     K$13:ED$13,
     K56:ED56,
     LAMBDA(
       job,
       buff,
       target,
       check,
       IF(
         OR(AND(check=TRUE, REGEXMATCH(target, ""SELF_AFFECTED_ALL""), job=""ガンブレイカー""), AND(che"&amp;"ck=Option!$H$13, REGEXMATCH(target, ""SINGLE_AFFECTED_ALL""))),
         buff,
         1
       )
     )
   )
 )"),1.0)</f>
        <v>1</v>
      </c>
      <c r="FM56" s="206">
        <f>IFERROR(__xludf.DUMMYFUNCTION("SUM(
   MAP(
     K$3:ED$3,
     K$7:ED$7,
     K$15:ED$15,
     K$16:ED$16,
     K$21:ED$21,
     K$5:ED$5,
     K$17:ED$17,
     K56:ED56,
     LAMBDA(
       job,
       abillity,
       buff,
       barrier,
       enhance,
       assign,
       preco"&amp;"ndition,
       check,
       IF(
         OR(AND(check=TRUE, REGEXMATCH(assign, ""SELF""), job=""ガンブレイカー""), AND(check=Option!$H$13, REGEXMATCH(assign, ""SINGLE_PARTY""))),
         IF(
           OR(ARRAYFORMULA((IF(precondition="""", FALSE, REGEXMATCH("&amp;"$K$4:$ED$4, precondition))) * (K56:ED56=TRUE))),
           enhance,
           IF(barrier="""", buff, barrier)
         ),
         0
       ) *
       SWITCH(
         job,
         ""暗黒騎士"", FN$24,
         ""白魔道士"", EF56 * EH56 * FL56 * IF(abillity, 1"&amp;", EG56 * EI56) * (Option!$D$22 * 0.81 / 100),
         ""占星術師"", EF56 * EJ56 * FL56 * IF(abillity, 1, EG56 * EK56) * (Option!$D$23 * 0.81 / 100),
         ""学者"", EF56 * EL56 * FL56 * IF(abillity, 1, EG56 * EM56) * (Option!$D$24 * 0.81 / 100),
         """&amp;"賢者"", EF56 * EN56 * FL56 * IF(abillity, 1, EG56 * EO56) * (Option!$D$25 * 0.81 / 100),
         1
       )
     )
   )
 ) + EQ56"),0.0)</f>
        <v>0</v>
      </c>
      <c r="FN56" s="206">
        <f t="shared" si="13"/>
        <v>0</v>
      </c>
      <c r="FO56" s="213"/>
    </row>
    <row r="57">
      <c r="B57" s="229"/>
      <c r="C57" s="217">
        <f t="shared" si="1"/>
        <v>0</v>
      </c>
      <c r="D57" s="236"/>
      <c r="E57" s="238"/>
      <c r="F57" s="167"/>
      <c r="G57" s="168" t="str">
        <f t="shared" si="2"/>
        <v/>
      </c>
      <c r="H57" s="169"/>
      <c r="I57" s="169"/>
      <c r="J57" s="169"/>
      <c r="K57" s="170" t="b">
        <v>0</v>
      </c>
      <c r="L57" s="170" t="b">
        <v>0</v>
      </c>
      <c r="M57" s="170" t="b">
        <v>0</v>
      </c>
      <c r="N57" s="171" t="s">
        <v>1070</v>
      </c>
      <c r="O57" s="172" t="b">
        <v>0</v>
      </c>
      <c r="P57" s="173" t="b">
        <v>0</v>
      </c>
      <c r="Q57" s="173" t="b">
        <v>0</v>
      </c>
      <c r="R57" s="173" t="b">
        <v>0</v>
      </c>
      <c r="S57" s="174" t="b">
        <v>0</v>
      </c>
      <c r="T57" s="175" t="b">
        <v>0</v>
      </c>
      <c r="U57" s="173" t="b">
        <v>0</v>
      </c>
      <c r="V57" s="171" t="s">
        <v>1070</v>
      </c>
      <c r="W57" s="172" t="b">
        <v>0</v>
      </c>
      <c r="X57" s="173" t="b">
        <v>0</v>
      </c>
      <c r="Y57" s="173" t="b">
        <v>0</v>
      </c>
      <c r="Z57" s="173" t="b">
        <v>0</v>
      </c>
      <c r="AA57" s="174" t="b">
        <v>0</v>
      </c>
      <c r="AB57" s="174" t="b">
        <v>0</v>
      </c>
      <c r="AC57" s="175" t="b">
        <v>0</v>
      </c>
      <c r="AD57" s="173" t="b">
        <v>0</v>
      </c>
      <c r="AE57" s="176" t="s">
        <v>1070</v>
      </c>
      <c r="AF57" s="171" t="s">
        <v>1070</v>
      </c>
      <c r="AG57" s="177">
        <f>IFERROR(__xludf.DUMMYFUNCTION("IF(
  ISNUMBER(AG56),
  MIN(MAX(
    AG56
    + MAX(
      ROUNDDOWN(($D57 - MAX(IFERROR(FILTER($D$24:$D56, AG$24:AG56 &lt;&gt; AF$6, AG$23:AG55 = AF$6), 0))) * (60 * 60 * 24) / AF$9) - ROUNDDOWN(($D56 - MAX(IFERROR(FILTER($D$23:$D55, AG$23:AG55 &lt;&gt; AF$6, AG$22:"&amp;"AG54 = AF$6), 0))) * (60 * 60 * 24) / 60),
      0
    )
    - COUNTIF(AF57, ""&lt;&gt;-""),
  0), AF$6),
  AF$6 - COUNTIF(AF57, ""&lt;&gt;-"")
)"),2.0)</f>
        <v>2</v>
      </c>
      <c r="AH57" s="173" t="b">
        <v>0</v>
      </c>
      <c r="AI57" s="173" t="b">
        <v>0</v>
      </c>
      <c r="AJ57" s="173" t="b">
        <v>0</v>
      </c>
      <c r="AK57" s="174" t="b">
        <v>0</v>
      </c>
      <c r="AL57" s="175" t="b">
        <v>0</v>
      </c>
      <c r="AM57" s="173" t="b">
        <v>0</v>
      </c>
      <c r="AN57" s="171" t="s">
        <v>1070</v>
      </c>
      <c r="AO57" s="173" t="b">
        <v>0</v>
      </c>
      <c r="AP57" s="173" t="b">
        <v>0</v>
      </c>
      <c r="AQ57" s="173" t="b">
        <v>0</v>
      </c>
      <c r="AR57" s="174" t="b">
        <v>0</v>
      </c>
      <c r="AS57" s="178" t="b">
        <v>0</v>
      </c>
      <c r="AT57" s="179" t="b">
        <v>0</v>
      </c>
      <c r="AU57" s="180" t="b">
        <v>0</v>
      </c>
      <c r="AV57" s="180" t="b">
        <v>0</v>
      </c>
      <c r="AW57" s="180" t="b">
        <v>0</v>
      </c>
      <c r="AX57" s="180" t="b">
        <v>0</v>
      </c>
      <c r="AY57" s="181" t="s">
        <v>1070</v>
      </c>
      <c r="AZ57" s="181" t="s">
        <v>1070</v>
      </c>
      <c r="BA57" s="184">
        <f>IFERROR(__xludf.DUMMYFUNCTION("IF(
  ISNUMBER(BA56),
  MIN(MAX(
    BA56
    + MAX(
      ROUNDDOWN((D57 - MAX(IFERROR(FILTER(D$24:D56, BA$24:BA56 &lt;&gt; AZ$6, BA$23:BA55 = AZ$6), 0))) * (60 * 60 * 24) / AZ$9) - ROUNDDOWN((D56 - MAX(IFERROR(FILTER(D$23:D55, BA$23:BA55 &lt;&gt; AZ$6, BA$22:BA54 ="&amp;" AZ$6), 0))) * (60 * 60 * 24) / AZ$9),
      0
    )
    - COUNTIF(AZ57, ""&lt;&gt;-""),
  0), AZ$6),
  AZ$6 - COUNTIF(AZ57, ""&lt;&gt;-"")
)"),2.0)</f>
        <v>2</v>
      </c>
      <c r="BB57" s="181" t="s">
        <v>1070</v>
      </c>
      <c r="BC57" s="183">
        <f>IFERROR(__xludf.DUMMYFUNCTION("IF(
  ISNUMBER(BC56),
  MIN(MAX(
    BC56
    + MAX(
      ROUNDDOWN(($D57 - MAX(IFERROR(FILTER($D$24:$D56, BC$24:BC56 &lt;&gt; BB$6, BC$23:BC55 = BB$6), 0))) * (60 * 60 * 24) / BB$9) - ROUNDDOWN(($D56 - MAX(IFERROR(FILTER($D$23:$D55, BC$23:BC55 &lt;&gt; BB$6, BC$22:"&amp;"BC54 = BB$6), 0))) * (60 * 60 * 24) / 60),
      0
    )
    - COUNTIF(BB57, ""&lt;&gt;-""),
  0), BB$6),
  BB$6 - COUNTIF(BB57, ""&lt;&gt;-"")
)"),2.0)</f>
        <v>2</v>
      </c>
      <c r="BD57" s="181" t="s">
        <v>1070</v>
      </c>
      <c r="BE57" s="178" t="b">
        <v>0</v>
      </c>
      <c r="BF57" s="180" t="b">
        <v>0</v>
      </c>
      <c r="BG57" s="180" t="b">
        <v>0</v>
      </c>
      <c r="BH57" s="180" t="b">
        <v>0</v>
      </c>
      <c r="BI57" s="180" t="b">
        <v>0</v>
      </c>
      <c r="BJ57" s="180" t="b">
        <v>0</v>
      </c>
      <c r="BK57" s="180" t="b">
        <v>0</v>
      </c>
      <c r="BL57" s="180" t="b">
        <v>0</v>
      </c>
      <c r="BM57" s="180" t="b">
        <v>0</v>
      </c>
      <c r="BN57" s="180" t="b">
        <v>0</v>
      </c>
      <c r="BO57" s="181" t="s">
        <v>1070</v>
      </c>
      <c r="BP57" s="181" t="s">
        <v>1070</v>
      </c>
      <c r="BQ57" s="181" t="s">
        <v>1070</v>
      </c>
      <c r="BR57" s="181" t="s">
        <v>1070</v>
      </c>
      <c r="BS57" s="181" t="s">
        <v>1070</v>
      </c>
      <c r="BT57" s="184">
        <f>IFERROR(__xludf.DUMMYFUNCTION("IF(
  ISNUMBER(BT56),
  MIN(MAX(
    BT56
    + MAX(
      ROUNDDOWN((D57 - MAX(IFERROR(FILTER(D$24:D56, BT$24:BT56 &lt;&gt; BS$6, BT$23:BT55 = BS$6), 0))) * (60 * 60 * 24) / BS$9) - ROUNDDOWN((D56 - MAX(IFERROR(FILTER(D$23:D55, BT$23:BT55 &lt;&gt; BS$6, BT$22:BT54 ="&amp;" BS$6), 0))) * (60 * 60 * 24) / BS$9),
      0
    )
    - COUNTIF(BS57, ""&lt;&gt;-""),
  0), BS$6),
  BS$6 - COUNTIF(BS57, ""&lt;&gt;-"")
)"),3.0)</f>
        <v>3</v>
      </c>
      <c r="BU57" s="181" t="s">
        <v>1070</v>
      </c>
      <c r="BV57" s="181" t="s">
        <v>1070</v>
      </c>
      <c r="BW57" s="184">
        <f>IFERROR(__xludf.DUMMYFUNCTION("IF(
  ISNUMBER(BW56),
  MIN(MAX(
    BW56
    + MAX(
      ROUNDDOWN((D57 - MAX(IFERROR(FILTER(D$24:D56, BW$24:BW56 &lt;&gt; BV$6, BW$23:BW55 = BV$6), 0))) * (60 * 60 * 24) / BV$9) - ROUNDDOWN((D56 - MAX(IFERROR(FILTER(D$23:D55, BW$23:BW55 &lt;&gt; BV$6, BW$22:BW54 ="&amp;" BV$6), 0))) * (60 * 60 * 24) / BV$9),
      0
    )
    - COUNTIF(BV57, ""&lt;&gt;-""),
  0), BV$6),
  BV$6 - COUNTIF(BV57, ""&lt;&gt;-"")
)"),2.0)</f>
        <v>2</v>
      </c>
      <c r="BX57" s="185" t="s">
        <v>1070</v>
      </c>
      <c r="BY57" s="178" t="b">
        <v>0</v>
      </c>
      <c r="BZ57" s="180" t="b">
        <v>0</v>
      </c>
      <c r="CA57" s="180" t="b">
        <v>0</v>
      </c>
      <c r="CB57" s="180" t="b">
        <v>0</v>
      </c>
      <c r="CC57" s="180" t="b">
        <v>0</v>
      </c>
      <c r="CD57" s="180" t="b">
        <v>0</v>
      </c>
      <c r="CE57" s="180" t="b">
        <v>0</v>
      </c>
      <c r="CF57" s="180" t="b">
        <v>0</v>
      </c>
      <c r="CG57" s="180" t="b">
        <v>0</v>
      </c>
      <c r="CH57" s="180" t="b">
        <v>0</v>
      </c>
      <c r="CI57" s="180" t="b">
        <v>0</v>
      </c>
      <c r="CJ57" s="180" t="b">
        <v>0</v>
      </c>
      <c r="CK57" s="180" t="b">
        <v>0</v>
      </c>
      <c r="CL57" s="180" t="b">
        <v>0</v>
      </c>
      <c r="CM57" s="181" t="s">
        <v>1070</v>
      </c>
      <c r="CN57" s="181" t="s">
        <v>1070</v>
      </c>
      <c r="CO57" s="181" t="s">
        <v>1070</v>
      </c>
      <c r="CP57" s="181" t="s">
        <v>1070</v>
      </c>
      <c r="CQ57" s="185" t="s">
        <v>1070</v>
      </c>
      <c r="CR57" s="180" t="b">
        <v>0</v>
      </c>
      <c r="CS57" s="186" t="str">
        <f t="shared" si="14"/>
        <v>◇◇◇</v>
      </c>
      <c r="CT57" s="178" t="b">
        <v>0</v>
      </c>
      <c r="CU57" s="180" t="b">
        <v>0</v>
      </c>
      <c r="CV57" s="180" t="b">
        <v>0</v>
      </c>
      <c r="CW57" s="180" t="b">
        <v>0</v>
      </c>
      <c r="CX57" s="180" t="b">
        <v>0</v>
      </c>
      <c r="CY57" s="180" t="b">
        <v>0</v>
      </c>
      <c r="CZ57" s="180" t="b">
        <v>0</v>
      </c>
      <c r="DA57" s="180" t="b">
        <v>0</v>
      </c>
      <c r="DB57" s="180" t="b">
        <v>0</v>
      </c>
      <c r="DC57" s="180" t="b">
        <v>0</v>
      </c>
      <c r="DD57" s="181" t="s">
        <v>1070</v>
      </c>
      <c r="DE57" s="181" t="s">
        <v>1070</v>
      </c>
      <c r="DF57" s="181" t="s">
        <v>1070</v>
      </c>
      <c r="DG57" s="185" t="s">
        <v>1070</v>
      </c>
      <c r="DH57" s="180" t="b">
        <v>0</v>
      </c>
      <c r="DI57" s="187" t="str">
        <f>IFERROR(__xludf.DUMMYFUNCTION("SWITCH(
  IF(
    ISTEXT(DI56),
    IF (
      FIND(""○"", DI56&amp;""○"") &gt; 3,
      3,
      FIND(""○"", DI56&amp;""○"")
      + MAX(
        ROUNDDOWN(($D57 - MAX(IFERROR(FILTER(D$24:D56, DI$24:DI56 &lt;&gt; ""●●●"", DI$23:DI55 = ""●●●""), 0))) * (60 * 60 * 24) / 20"&amp;") - ROUNDDOWN(($D56 - MAX(IFERROR(FILTER(D$23:D55, DI$23:DI55 &lt;&gt; ""●●●"", DI$22:DI54 = ""●●●""), 0))) * (60 * 60 * 24) / 20),
        0
      ) - 1
    ) - COUNTIFS(CU57, ""=TRUE"", CU56, ""&lt;&gt;TRUE"") - COUNTIF(CZ57, ""=TRUE"") - COUNTIF({DD57,DE57}, ""&lt;&gt;-"&amp;""") + COUNTIF(DH57, ""=TRUE""),
    3
  ),
  0, ""○○○"", 1, ""●○○"", 2, ""●●○"", 3, ""●●●"", 4, ""●●●"", ""○○○""
)"),"●●●")</f>
        <v>●●●</v>
      </c>
      <c r="DJ57" s="188" t="b">
        <v>0</v>
      </c>
      <c r="DK57" s="189" t="b">
        <v>0</v>
      </c>
      <c r="DL57" s="190" t="b">
        <v>0</v>
      </c>
      <c r="DM57" s="190" t="b">
        <v>0</v>
      </c>
      <c r="DN57" s="190" t="b">
        <v>0</v>
      </c>
      <c r="DO57" s="190" t="b">
        <v>0</v>
      </c>
      <c r="DP57" s="190" t="b">
        <v>0</v>
      </c>
      <c r="DQ57" s="191" t="b">
        <v>0</v>
      </c>
      <c r="DR57" s="192" t="b">
        <v>0</v>
      </c>
      <c r="DS57" s="191" t="b">
        <v>0</v>
      </c>
      <c r="DT57" s="192" t="b">
        <v>0</v>
      </c>
      <c r="DU57" s="191" t="b">
        <v>0</v>
      </c>
      <c r="DV57" s="193" t="s">
        <v>1070</v>
      </c>
      <c r="DW57" s="194" t="b">
        <v>0</v>
      </c>
      <c r="DX57" s="194" t="b">
        <v>0</v>
      </c>
      <c r="DY57" s="195" t="b">
        <v>0</v>
      </c>
      <c r="DZ57" s="196" t="b">
        <v>0</v>
      </c>
      <c r="EA57" s="195" t="b">
        <v>0</v>
      </c>
      <c r="EB57" s="197" t="b">
        <v>0</v>
      </c>
      <c r="EC57" s="197" t="b">
        <v>0</v>
      </c>
      <c r="ED57" s="212" t="b">
        <v>0</v>
      </c>
      <c r="EE57" s="199">
        <f>IFERROR(__xludf.DUMMYFUNCTION("IFERROR(
   PRODUCT(
     MAP(
       INDEX(TRANSPOSE(UNIQUE(TRANSPOSE(FILTER({IF($F57=""Physical"", K$10:ED$10, IF($F57=""Magic"", K$11:ED$11, K$12:ED$12));K$4:ED$4;K57:ED57}, K57:ED57=TRUE)))), 1, 0),
       INDEX(TRANSPOSE(UNIQUE(TRANSPOSE(FILTER({IF($"&amp;"F57=""Physical"", K$18:ED$18, IF($F57=""Magic"", K$19:ED$19, K$20:ED$20));K$4:ED$4;K57:ED57}, K57:ED57=TRUE)))), 1, 0),
       INDEX(TRANSPOSE(UNIQUE(TRANSPOSE(FILTER({K$5:ED$5;K$4:ED$4;K57:ED57}, K57:ED57=TRUE)))), 1, 0),
       INDEX(TRANSPOSE(UNIQUE(TR"&amp;"ANSPOSE(FILTER({K$17:ED$17;K$4:ED$4;K57:ED57}, K57:ED57=TRUE)))), 1, 0),
       LAMBDA(
         mitigation,
         enhance,
         assign,
         precondition,
         IF(
           REGEXMATCH(assign, ""RANGE_PARTY|SINGLE_ENEMY|RANGE_ENEMY""),
  "&amp;"         IF(
             OR(ARRAYFORMULA((IF(precondition="""", FALSE, REGEXMATCH(K$4:ED$4, precondition))) * (K57:ED57=TRUE))),
             IF(ISNUMBER(enhance), enhance, 1),
             IF(ISNUMBER(mitigation), mitigation, 1)
           ),
          "&amp;" 1
         )
       )
     )
   ),
   1
 )"),1.0)</f>
        <v>1</v>
      </c>
      <c r="EF57" s="200">
        <f>IFERROR(__xludf.DUMMYFUNCTION("PRODUCT(
   MAP(
     K$14:ED$14,
     K$13:ED$13,
     K57:ED57,
     LAMBDA(
       buff,
       target,
       check,
       IF(
         AND(check=TRUE, REGEXMATCH(target, ""RANGE_AFFECTED_ALL|RANGE_EFFECTED_ALL""), ISNUMBER(buff)),
         buff,
   "&amp;"      1
       )
     )
   )
 )"),1.0)</f>
        <v>1</v>
      </c>
      <c r="EG57" s="200">
        <f>IFERROR(__xludf.DUMMYFUNCTION("PRODUCT(
   MAP(
     K$14:ED$14,
     K$13:ED$13,
     K57:ED57,
     LAMBDA(
       buff,
       target,
       check,
       IF(
         AND(check=TRUE, REGEXMATCH(target, ""RANGE_AFFECTED_GCD|RANGE_EFFECTED_GCD""), ISNUMBER(buff)),
         buff,
   "&amp;"      1
       )
     )
   )
 )"),1.0)</f>
        <v>1</v>
      </c>
      <c r="EH57" s="200">
        <f>IFERROR(__xludf.DUMMYFUNCTION("PRODUCT(
   MAP(
     K$3:ED$3,
     K$14:ED$14,
     K$13:ED$13,
     K57:ED57,
     LAMBDA(
       job,
       buff,
       target,
       check,
       IF(
         AND(check=TRUE, REGEXMATCH(target, ""SELF_EFFECTED_ALL""), ISNUMBER(buff), job=""白魔道士"""&amp;"),
         buff,
         1
       )
     )
   )
 )"),1.0)</f>
        <v>1</v>
      </c>
      <c r="EI57" s="200">
        <f>IFERROR(__xludf.DUMMYFUNCTION("PRODUCT(
   MAP(
     K$3:ED$3,
     K$14:ED$14,
     K$13:ED$13,
     K57:ED57,
     LAMBDA(
       job,
       buff,
       target,
       check,
       IF(
         AND(check=TRUE, REGEXMATCH(target, ""SELF_EFFECTED_GCD""), ISNUMBER(buff), job=""白魔道士"""&amp;"),
         buff,
         1
       )
     )
   )
 )"),1.0)</f>
        <v>1</v>
      </c>
      <c r="EJ57" s="200">
        <f>IFERROR(__xludf.DUMMYFUNCTION("PRODUCT(
   MAP(
     K$3:ED$3,
     K$14:ED$14,
     K$13:ED$13,
     K57:ED57,
     LAMBDA(
       job,
       buff,
       target,
       check,
       IF(
         AND(check=TRUE, REGEXMATCH(target, ""SELF_EFFECTED_ALL""), ISNUMBER(buff), job=""占星術師"""&amp;"),
         buff,
         1
       )
     )
   )
 )"),1.0)</f>
        <v>1</v>
      </c>
      <c r="EK57" s="200">
        <f>IFERROR(__xludf.DUMMYFUNCTION("PRODUCT(
   MAP(
     K$3:ED$3,
     K$14:ED$14,
     K$13:ED$13,
     K57:ED57,
     LAMBDA(
       job,
       buff,
       target,
       check,
       IF(
         AND(check=TRUE, REGEXMATCH(target, ""SELF_EFFECTED_GCD""), ISNUMBER(buff), job=""占星術師"""&amp;"),
         buff,
         1
       )
     )
   )
 )"),1.0)</f>
        <v>1</v>
      </c>
      <c r="EL57" s="200">
        <f>IFERROR(__xludf.DUMMYFUNCTION("PRODUCT(
   MAP(
     K$3:ED$3,
     K$14:ED$14,
     K$13:ED$13,
     K57:ED57,
     LAMBDA(
       job,
       buff,
       target,
       check,
       IF(
         AND(check=TRUE, REGEXMATCH(target, ""SELF_EFFECTED_ALL""), ISNUMBER(buff), job=""学者""),"&amp;"
         buff,
         1
       )
     )
   )
 )"),1.0)</f>
        <v>1</v>
      </c>
      <c r="EM57" s="200">
        <f>IFERROR(__xludf.DUMMYFUNCTION("PRODUCT(
   MAP(
     K$3:ED$3,
     K$14:ED$14,
     K$13:ED$13,
     K57:ED57,
     LAMBDA(
       job,
       buff,
       target,
       check,
       IF(
         AND(check=TRUE, REGEXMATCH(target, ""SELF_EFFECTED_GCD""), ISNUMBER(buff), job=""学者""),"&amp;"
         buff,
         1
       )
     )
   )
 )"),1.0)</f>
        <v>1</v>
      </c>
      <c r="EN57" s="200">
        <f>IFERROR(__xludf.DUMMYFUNCTION("PRODUCT(
   MAP(
     K$3:ED$3,
     K$14:ED$14,
     K$13:ED$13,
     K57:ED57,
     LAMBDA(
       job,
       buff,
       target,
       check,
       IF(
         AND(check=TRUE, REGEXMATCH(target, ""SELF_EFFECTED_ALL""), ISNUMBER(buff), job=""賢者""),"&amp;"
         buff,
         1
       )
     )
   )
 )"),1.0)</f>
        <v>1</v>
      </c>
      <c r="EO57" s="200">
        <f>IFERROR(__xludf.DUMMYFUNCTION("PRODUCT(
   MAP(
     K$3:ED$3,
     K$14:ED$14,
     K$13:ED$13,
     K57:ED57,
     LAMBDA(
       job,
       buff,
       target,
       check,
       IF(
         AND(check=TRUE, REGEXMATCH(target, ""SELF_EFFECTED_GCD""), ISNUMBER(buff), job=""賢者""),"&amp;"
         buff,
         1
       )
     )
   )
 )"),1.0)</f>
        <v>1</v>
      </c>
      <c r="EP57" s="201">
        <f t="shared" si="3"/>
        <v>0</v>
      </c>
      <c r="EQ57" s="201">
        <f>IFERROR(__xludf.DUMMYFUNCTION("SUM(
   MAP(
     K$4:ED$4,
     K$3:ED$3,
     K$7:ED$7,
     K$15:ED$15,
     K$16:ED$16,
     K$21:ED$21,
     K$5:ED$5,
     K$17:ED$17,
     K57:ED57,
     LAMBDA(
       name,
       job,
       abillity,
       buff,
       barrier,
       enhance,"&amp;"
       assign,
       precondition,
       check,
       SWITCH(
         name,
         ""シェイクオフ"", IF(check=TRUE, buff + (0.02 * COUNTIF(ARRAYFORMULA((REGEXMATCH($K$4:$ED$4, ""スリル・オブ・バトル|ヴェンジェンス|原初の血気|ダムネーション"")) * (K57:ED57=TRUE)), 1)), 0),
         "&amp;"""インプロビゼーションフィニッシュ(踊りの激情0)"", IF(ISNUMBER(check), INDEX(Skill!$AJ:$AJ, MATCH(SUBSTITUTE(DV$4, 0, check), Skill!$C:$C, 0)), 0),
         IF(
           AND(check=TRUE, REGEXMATCH(assign, ""RANGE_PARTY"")),
           IF(
             OR(ARRAYFORMULA((IF(pr"&amp;"econdition="""", FALSE, REGEXMATCH($K$4:$ED$4, precondition))) * (K57:ED57=TRUE))),
             enhance,
             IF(barrier="""", buff, barrier)
           ),
           0
         )
       ) *
       SWITCH(
         job,
         ""ナイト"", EY$24,
 "&amp;"        ""戦士"", FD$24,
         ""踊り子"", ET$24,
         ""ピクトマンサー"", ET$24,
         ""白魔道士"", EF57 * EH57 * IF(abillity, 1, EG57 * EI57) * (Option!$D$22 * 0.81 / 100),
         ""占星術師"", EF57 * EJ57 * IF(abillity, 1, EG57 * EK57) * (Option!$D$23 * 0.81 "&amp;"/ 100),
         ""学者"", EF57 * EL57 * IF(abillity, 1, EG57 * EM57) * (Option!$D$24 * 0.81 / 100),
         ""賢者"", EF57 * EN57 * IF(abillity, 1, EG57 * EO57) * (Option!$D$25 * 0.81 / 100),
         1
       )
     )
   )
 )"),0.0)</f>
        <v>0</v>
      </c>
      <c r="ER57" s="202">
        <f t="shared" si="4"/>
        <v>0</v>
      </c>
      <c r="ES57" s="203">
        <f t="shared" si="5"/>
        <v>0</v>
      </c>
      <c r="ET57" s="231" t="str">
        <f>IFERROR(__xludf.DUMMYFUNCTION("IFS(
  EP57 &gt; $ET$24 + EQ57,
  SPARKLINE({ 1, 0 }, {""charttype"",""bar"";""max"", 1;""color1"",Option!$D$30;""color2"",Option!$D$30}),
  EP57 &lt; EQ57,
  SPARKLINE({EQ57 - EP57, $ET$24 - (EQ57 - EP57)}, {""charttype"",""bar"";""max"",$ET$24;""color1"",Opti"&amp;"on!$D$28;""color2"",Option!$D$29}),
  EP57 &gt;= EQ57,
  SPARKLINE({$ET$24 + EQ57 - EP57,EP57 - EQ57}, {""charttype"",""bar"";""max"",$ET$24;""color1"",Option!$D$29;""color2"",Option!$D$30})
)"),"")</f>
        <v/>
      </c>
      <c r="EU57" s="205">
        <f>IFERROR(__xludf.DUMMYFUNCTION("PRODUCT(
   MAP(
     IF($F57=""Physical"", K$10:ED$10, IF($F57=""Magic"", K$11:ED$11, K$12:ED$12)),
     IF($F57=""Physical"", K$18:ED$18, IF($F57=""Magic"", K$19:ED$19, K$20:ED$20)),
     K$3:ED$3,
     K$5:ED$5,
     K$17:ED$17,
     K57:ED57,
     LAM"&amp;"BDA(
       mitigation,
       enhance,
       job,
       assign,
       precondition,
       check,
       IF(
         OR(AND(check=TRUE, REGEXMATCH(assign, ""SELF""), job=""ナイト""), AND(check=Option!$E$13, REGEXMATCH(assign, ""SINGLE_PARTY""))),
      "&amp;"   IF(
           OR(ARRAYFORMULA((IF(precondition="""", FALSE, REGEXMATCH($K$4:$ED$4, precondition))) * (K57:ED57=TRUE))),
           enhance,
           mitigation
         ),
         1
       )
     )
   )
 ) * EE57"),1.0)</f>
        <v>1</v>
      </c>
      <c r="EV57" s="206">
        <f t="shared" si="6"/>
        <v>0</v>
      </c>
      <c r="EW57" s="205">
        <f>IFERROR(__xludf.DUMMYFUNCTION("PRODUCT(
   MAP(
     K$3:ED$3,
     K$14:ED$14,
     K$13:ED$13,
     K57:ED57,
     LAMBDA(
       job,
       buff,
       target,
       check,
       IF(
         OR(AND(check=TRUE, REGEXMATCH(target, ""SELF_AFFECTED_ALL""), job=""ナイト""), AND(check=O"&amp;"ption!$E$13, REGEXMATCH(target, ""SINGLE_AFFECTED_ALL""))),
         buff,
         1
       )
     )
   )
 )"),1.0)</f>
        <v>1</v>
      </c>
      <c r="EX57" s="206">
        <f>IFERROR(__xludf.DUMMYFUNCTION("SUM(
   MAP(
     K$3:ED$3,
     K$7:ED$7,
     K$15:ED$15,
     K$16:ED$16,
     K$21:ED$21,
     K$5:ED$5,
     K$17:ED$17,
     K57:ED57,
     LAMBDA(
       job,
       abillity,
       buff,
       barrier,
       enhance,
       assign,
       preco"&amp;"ndition,
       check,
       IF(
         OR(AND(check=TRUE, REGEXMATCH(assign, ""SELF""), job=""ナイト""), AND(check=Option!$E$13, REGEXMATCH(assign, ""SINGLE_PARTY""))),
         IF(
           OR(ARRAYFORMULA((IF(precondition="""", FALSE, REGEXMATCH($K$4"&amp;":$ED$4, precondition))) * (K57:ED57=TRUE))),
           enhance,
           IF(barrier="""", buff, barrier)
         ),
         0
       ) *
       SWITCH(
         job,
         ""暗黒騎士"", EY$24,
         ""白魔道士"", EF57 * EH57 * EW57 * IF(abillity, 1, EG"&amp;"57 * EI57) * (Option!$D$22 * 0.81 / 100),
         ""占星術師"", EF57 * EJ57 * EW57 * IF(abillity, 1, EG57 * EK57) * (Option!$D$23 * 0.81 / 100),
         ""学者"", EF57 * EL57 * EW57 * IF(abillity, 1, EG57 * EM57) * (Option!$D$24 * 0.81 / 100),
         ""賢者"""&amp;", EF57 * EN57 * EW57 * IF(abillity, 1, EG57 * EO57) * (Option!$D$25 * 0.81 / 100),
         1
       )
     )
   )
 ) + EQ57"),0.0)</f>
        <v>0</v>
      </c>
      <c r="EY57" s="232">
        <f t="shared" si="7"/>
        <v>0</v>
      </c>
      <c r="EZ57" s="205">
        <f>IFERROR(__xludf.DUMMYFUNCTION("PRODUCT(
   MAP(
     IF($F57=""Physical"", K$10:ED$10, IF($F57=""Magic"", K$11:ED$11, K$12:ED$12)),
     IF($F57=""Physical"", K$18:ED$18, IF($F57=""Magic"", K$19:ED$19, K$20:ED$20)),
     K$3:ED$3,
     K$5:ED$5,
     K$17:ED$17,
     K57:ED57,
     LAM"&amp;"BDA(
       mitigation,
       enhance,
       job,
       assign,
       precondition,
       check,
       IF(
         OR(AND(check=TRUE, REGEXMATCH(assign, ""SELF""), job=""戦士""), AND(check=Option!$F$13, REGEXMATCH(assign, ""SINGLE_PARTY""))),
       "&amp;"  IF(
           OR(ARRAYFORMULA((IF(precondition="""", FALSE, REGEXMATCH($K$4:$ED$4, precondition))) * (K57:ED57=TRUE))),
           enhance,
           mitigation
         ),
         1
       )
     )
   )
 ) * EE57"),1.0)</f>
        <v>1</v>
      </c>
      <c r="FA57" s="206">
        <f t="shared" si="8"/>
        <v>0</v>
      </c>
      <c r="FB57" s="205">
        <f>IFERROR(__xludf.DUMMYFUNCTION("PRODUCT(
   MAP(
     K$3:ED$3,
     K$14:ED$14,
     K$13:ED$13,
     K57:ED57,
     LAMBDA(
       job,
       buff,
       target,
       check,
       IF(
         OR(AND(check=TRUE, REGEXMATCH(target, ""SELF_AFFECTED_ALL""), job=""戦士""), AND(check=Op"&amp;"tion!$F$13, REGEXMATCH(target, ""SINGLE_AFFECTED_ALL""))),
         buff,
         1
       )
     )
   )
 )"),1.0)</f>
        <v>1</v>
      </c>
      <c r="FC57" s="206">
        <f>IFERROR(__xludf.DUMMYFUNCTION("SUM(
   MAP(
     K$3:ED$3,
     K$7:ED$7,
     K$15:ED$15,
     K$16:ED$16,
     K$21:ED$21,
     K$5:ED$5,
     K$17:ED$17,
     K57:ED57,
     LAMBDA(
       job,
       abillity,
       buff,
       barrier,
       enhance,
       assign,
       preco"&amp;"ndition,
       check,
       IF(
         OR(AND(check=TRUE, REGEXMATCH(assign, ""SELF""), job=""戦士""), AND(check=Option!$F$13, REGEXMATCH(assign, ""SINGLE_PARTY""))),
         IF(
           OR(ARRAYFORMULA((IF(precondition="""", FALSE, REGEXMATCH($K$4:"&amp;"$ED$4, precondition))) * (K57:ED57=TRUE))),
           enhance,
           IF(barrier="""", buff, barrier)
         ),
         0
       ) *
       SWITCH(
         job,
         ""暗黒騎士"", FD$24,
         ""白魔道士"", EF57 * EH57 * FB57 * IF(abillity, 1, EG5"&amp;"7 * EI57) * (Option!$D$22 * 0.81 / 100),
         ""占星術師"", EF57 * EJ57 * FFB57 * IF(abillity, 1, EG57 * EK57) * (Option!$D$23 * 0.81 / 100),
         ""学者"", EF57 * EL57 * FB57 * IF(abillity, 1, EG57 * EM57) * (Option!$D$24 * 0.81 / 100),
         ""賢者"""&amp;", EF57 * EN57 * FB57 * IF(abillity, 1, EG57 * EO57) * (Option!$D$25 * 0.81 / 100),
         1
       )
     )
   )
 ) + EQ57"),0.0)</f>
        <v>0</v>
      </c>
      <c r="FD57" s="206">
        <f t="shared" si="9"/>
        <v>0</v>
      </c>
      <c r="FE57" s="205">
        <f>IFERROR(__xludf.DUMMYFUNCTION("PRODUCT(
   MAP(
     IF($F57=""Physical"", K$10:ED$10, IF($F57=""Magic"", K$11:ED$11, K$12:ED$12)),
     IF($F57=""Physical"", K$18:ED$18, IF($F57=""Magic"", K$19:ED$19, K$20:ED$20)),
     K$3:ED$3,
     K$5:ED$5,
     K$17:ED$17,
     K57:ED57,
     LAM"&amp;"BDA(
       mitigation,
       enhance,
       job,
       assign,
       precondition,
       check,
       IF(
         OR(AND(check=TRUE, REGEXMATCH(assign, ""SELF""), job=""暗黒騎士""), AND(check=Option!$G$13, REGEXMATCH(assign, ""SINGLE_PARTY""))),
     "&amp;"    IF(
           OR(ARRAYFORMULA((IF(precondition="""", FALSE, REGEXMATCH($K$4:$ED$4, precondition))) * (K57:ED57=TRUE))),
           enhance,
           mitigation
         ),
         1
       )
     )
   )
 ) * EE57"),1.0)</f>
        <v>1</v>
      </c>
      <c r="FF57" s="206">
        <f t="shared" si="10"/>
        <v>0</v>
      </c>
      <c r="FG57" s="205">
        <f>IFERROR(__xludf.DUMMYFUNCTION("PRODUCT(
   MAP(
     K$3:ED$3,
     K$14:ED$14,
     K$13:ED$13,
     K57:ED57,
     LAMBDA(
       job,
       buff,
       target,
       check,
       IF(
         OR(AND(check=TRUE, REGEXMATCH(target, ""SELF_AFFECTED_ALL""), job=""暗黒騎士""), AND(check="&amp;"Option!$G$13, REGEXMATCH(target, ""SINGLE_AFFECTED_ALL""))),
         buff,
         1
       )
     )
   )
 )"),1.0)</f>
        <v>1</v>
      </c>
      <c r="FH57" s="206">
        <f>IFERROR(__xludf.DUMMYFUNCTION("SUM(
   MAP(
     K$3:ED$3,
     K$7:ED$7,
     K$15:ED$15,
     K$16:ED$16,
     K$21:ED$21,
     K$5:ED$5,
     K$17:ED$17,
     K57:ED57,
     LAMBDA(
       job,
       abillity,
       buff,
       barrier,
       enhance,
       assign,
       preco"&amp;"ndition,
       check,
       IF(
         OR(AND(check=TRUE, REGEXMATCH(assign, ""SELF""), job=""暗黒騎士""), AND(check=Option!$G$13, REGEXMATCH(assign, ""SINGLE_PARTY""))),
         IF(
           OR(ARRAYFORMULA((IF(precondition="""", FALSE, REGEXMATCH($K$"&amp;"4:$ED$4, precondition))) * (K57:ED57=TRUE))),
           enhance,
           IF(barrier="""", buff, barrier)
         ),
         0
       ) *
       SWITCH(
         job,
         ""暗黒騎士"", FI$24,
         ""白魔道士"", EF57 * EH57 * FG57 * IF(abillity, 1, E"&amp;"G57 * EI57) * (Option!$D$22 * 0.81 / 100),
         ""占星術師"", EF57 * EJ57 * FG57 * IF(abillity, 1, EG57 * EK57) * (Option!$D$23 * 0.81 / 100),
         ""学者"", EF57 * EL57 * FG57 * IF(abillity, 1, EG57 * EM57) * (Option!$D$24 * 0.81 / 100),
         ""賢者"&amp;""", EF57 * EN57 * FG57 * IF(abillity, 1, EG57 * EO57) * (Option!$D$25 * 0.81 / 100),
         1
       )
     )
   )
 ) + EQ57"),0.0)</f>
        <v>0</v>
      </c>
      <c r="FI57" s="206">
        <f t="shared" si="11"/>
        <v>0</v>
      </c>
      <c r="FJ57" s="205">
        <f>IFERROR(__xludf.DUMMYFUNCTION("PRODUCT(
   MAP(
     IF($F57=""Physical"", K$10:ED$10, IF($F57=""Magic"", K$11:ED$11, K$12:ED$12)),
     IF($F57=""Physical"", K$18:ED$18, IF($F57=""Magic"", K$19:ED$19, K$20:ED$20)),
     K$3:ED$3,
     K$5:ED$5,
     K$17:ED$17,
     K57:ED57,
     LAM"&amp;"BDA(
       mitigation,
       enhance,
       job,
       assign,
       precondition,
       check,
       IF(
         OR(AND(check=TRUE, REGEXMATCH(assign, ""SELF""), job=""ガンブレイカー""), AND(check=Option!$H$13, REGEXMATCH(assign, ""SINGLE_PARTY""))),
  "&amp;"       IF(
           OR(ARRAYFORMULA((IF(precondition="""", FALSE, REGEXMATCH($K$4:$ED$4, precondition))) * (K57:ED57=TRUE))),
           enhance,
           mitigation
         ),
         1
       )
     )
   )
 ) * EE57"),1.0)</f>
        <v>1</v>
      </c>
      <c r="FK57" s="206">
        <f t="shared" si="12"/>
        <v>0</v>
      </c>
      <c r="FL57" s="205">
        <f>IFERROR(__xludf.DUMMYFUNCTION("PRODUCT(
   MAP(
     K$3:ED$3,
     K$14:ED$14,
     K$13:ED$13,
     K57:ED57,
     LAMBDA(
       job,
       buff,
       target,
       check,
       IF(
         OR(AND(check=TRUE, REGEXMATCH(target, ""SELF_AFFECTED_ALL""), job=""ガンブレイカー""), AND(che"&amp;"ck=Option!$H$13, REGEXMATCH(target, ""SINGLE_AFFECTED_ALL""))),
         buff,
         1
       )
     )
   )
 )"),1.0)</f>
        <v>1</v>
      </c>
      <c r="FM57" s="206">
        <f>IFERROR(__xludf.DUMMYFUNCTION("SUM(
   MAP(
     K$3:ED$3,
     K$7:ED$7,
     K$15:ED$15,
     K$16:ED$16,
     K$21:ED$21,
     K$5:ED$5,
     K$17:ED$17,
     K57:ED57,
     LAMBDA(
       job,
       abillity,
       buff,
       barrier,
       enhance,
       assign,
       preco"&amp;"ndition,
       check,
       IF(
         OR(AND(check=TRUE, REGEXMATCH(assign, ""SELF""), job=""ガンブレイカー""), AND(check=Option!$H$13, REGEXMATCH(assign, ""SINGLE_PARTY""))),
         IF(
           OR(ARRAYFORMULA((IF(precondition="""", FALSE, REGEXMATCH("&amp;"$K$4:$ED$4, precondition))) * (K57:ED57=TRUE))),
           enhance,
           IF(barrier="""", buff, barrier)
         ),
         0
       ) *
       SWITCH(
         job,
         ""暗黒騎士"", FN$24,
         ""白魔道士"", EF57 * EH57 * FL57 * IF(abillity, 1"&amp;", EG57 * EI57) * (Option!$D$22 * 0.81 / 100),
         ""占星術師"", EF57 * EJ57 * FL57 * IF(abillity, 1, EG57 * EK57) * (Option!$D$23 * 0.81 / 100),
         ""学者"", EF57 * EL57 * FL57 * IF(abillity, 1, EG57 * EM57) * (Option!$D$24 * 0.81 / 100),
         """&amp;"賢者"", EF57 * EN57 * FL57 * IF(abillity, 1, EG57 * EO57) * (Option!$D$25 * 0.81 / 100),
         1
       )
     )
   )
 ) + EQ57"),0.0)</f>
        <v>0</v>
      </c>
      <c r="FN57" s="206">
        <f t="shared" si="13"/>
        <v>0</v>
      </c>
      <c r="FO57" s="213"/>
    </row>
    <row r="58">
      <c r="B58" s="229"/>
      <c r="C58" s="217">
        <f t="shared" si="1"/>
        <v>0</v>
      </c>
      <c r="D58" s="236"/>
      <c r="E58" s="238"/>
      <c r="F58" s="167"/>
      <c r="G58" s="168" t="str">
        <f t="shared" si="2"/>
        <v/>
      </c>
      <c r="H58" s="169"/>
      <c r="I58" s="169"/>
      <c r="J58" s="169"/>
      <c r="K58" s="170" t="b">
        <v>0</v>
      </c>
      <c r="L58" s="170" t="b">
        <v>0</v>
      </c>
      <c r="M58" s="170" t="b">
        <v>0</v>
      </c>
      <c r="N58" s="171" t="s">
        <v>1070</v>
      </c>
      <c r="O58" s="172" t="b">
        <v>0</v>
      </c>
      <c r="P58" s="173" t="b">
        <v>0</v>
      </c>
      <c r="Q58" s="173" t="b">
        <v>0</v>
      </c>
      <c r="R58" s="173" t="b">
        <v>0</v>
      </c>
      <c r="S58" s="174" t="b">
        <v>0</v>
      </c>
      <c r="T58" s="175" t="b">
        <v>0</v>
      </c>
      <c r="U58" s="173" t="b">
        <v>0</v>
      </c>
      <c r="V58" s="171" t="s">
        <v>1070</v>
      </c>
      <c r="W58" s="172" t="b">
        <v>0</v>
      </c>
      <c r="X58" s="173" t="b">
        <v>0</v>
      </c>
      <c r="Y58" s="173" t="b">
        <v>0</v>
      </c>
      <c r="Z58" s="173" t="b">
        <v>0</v>
      </c>
      <c r="AA58" s="174" t="b">
        <v>0</v>
      </c>
      <c r="AB58" s="174" t="b">
        <v>0</v>
      </c>
      <c r="AC58" s="175" t="b">
        <v>0</v>
      </c>
      <c r="AD58" s="173" t="b">
        <v>0</v>
      </c>
      <c r="AE58" s="176" t="s">
        <v>1070</v>
      </c>
      <c r="AF58" s="171" t="s">
        <v>1070</v>
      </c>
      <c r="AG58" s="177">
        <f>IFERROR(__xludf.DUMMYFUNCTION("IF(
  ISNUMBER(AG57),
  MIN(MAX(
    AG57
    + MAX(
      ROUNDDOWN(($D58 - MAX(IFERROR(FILTER($D$24:$D57, AG$24:AG57 &lt;&gt; AF$6, AG$23:AG56 = AF$6), 0))) * (60 * 60 * 24) / AF$9) - ROUNDDOWN(($D57 - MAX(IFERROR(FILTER($D$23:$D56, AG$23:AG56 &lt;&gt; AF$6, AG$22:"&amp;"AG55 = AF$6), 0))) * (60 * 60 * 24) / 60),
      0
    )
    - COUNTIF(AF58, ""&lt;&gt;-""),
  0), AF$6),
  AF$6 - COUNTIF(AF58, ""&lt;&gt;-"")
)"),2.0)</f>
        <v>2</v>
      </c>
      <c r="AH58" s="173" t="b">
        <v>0</v>
      </c>
      <c r="AI58" s="173" t="b">
        <v>0</v>
      </c>
      <c r="AJ58" s="173" t="b">
        <v>0</v>
      </c>
      <c r="AK58" s="174" t="b">
        <v>0</v>
      </c>
      <c r="AL58" s="175" t="b">
        <v>0</v>
      </c>
      <c r="AM58" s="173" t="b">
        <v>0</v>
      </c>
      <c r="AN58" s="171" t="s">
        <v>1070</v>
      </c>
      <c r="AO58" s="173" t="b">
        <v>0</v>
      </c>
      <c r="AP58" s="173" t="b">
        <v>0</v>
      </c>
      <c r="AQ58" s="173" t="b">
        <v>0</v>
      </c>
      <c r="AR58" s="174" t="b">
        <v>0</v>
      </c>
      <c r="AS58" s="178" t="b">
        <v>0</v>
      </c>
      <c r="AT58" s="179" t="b">
        <v>0</v>
      </c>
      <c r="AU58" s="180" t="b">
        <v>0</v>
      </c>
      <c r="AV58" s="180" t="b">
        <v>0</v>
      </c>
      <c r="AW58" s="180" t="b">
        <v>0</v>
      </c>
      <c r="AX58" s="180" t="b">
        <v>0</v>
      </c>
      <c r="AY58" s="181" t="s">
        <v>1070</v>
      </c>
      <c r="AZ58" s="181" t="s">
        <v>1070</v>
      </c>
      <c r="BA58" s="184">
        <f>IFERROR(__xludf.DUMMYFUNCTION("IF(
  ISNUMBER(BA57),
  MIN(MAX(
    BA57
    + MAX(
      ROUNDDOWN((D58 - MAX(IFERROR(FILTER(D$24:D57, BA$24:BA57 &lt;&gt; AZ$6, BA$23:BA56 = AZ$6), 0))) * (60 * 60 * 24) / AZ$9) - ROUNDDOWN((D57 - MAX(IFERROR(FILTER(D$23:D56, BA$23:BA56 &lt;&gt; AZ$6, BA$22:BA55 ="&amp;" AZ$6), 0))) * (60 * 60 * 24) / AZ$9),
      0
    )
    - COUNTIF(AZ58, ""&lt;&gt;-""),
  0), AZ$6),
  AZ$6 - COUNTIF(AZ58, ""&lt;&gt;-"")
)"),2.0)</f>
        <v>2</v>
      </c>
      <c r="BB58" s="181" t="s">
        <v>1070</v>
      </c>
      <c r="BC58" s="183">
        <f>IFERROR(__xludf.DUMMYFUNCTION("IF(
  ISNUMBER(BC57),
  MIN(MAX(
    BC57
    + MAX(
      ROUNDDOWN(($D58 - MAX(IFERROR(FILTER($D$24:$D57, BC$24:BC57 &lt;&gt; BB$6, BC$23:BC56 = BB$6), 0))) * (60 * 60 * 24) / BB$9) - ROUNDDOWN(($D57 - MAX(IFERROR(FILTER($D$23:$D56, BC$23:BC56 &lt;&gt; BB$6, BC$22:"&amp;"BC55 = BB$6), 0))) * (60 * 60 * 24) / 60),
      0
    )
    - COUNTIF(BB58, ""&lt;&gt;-""),
  0), BB$6),
  BB$6 - COUNTIF(BB58, ""&lt;&gt;-"")
)"),2.0)</f>
        <v>2</v>
      </c>
      <c r="BD58" s="181" t="s">
        <v>1070</v>
      </c>
      <c r="BE58" s="178" t="b">
        <v>0</v>
      </c>
      <c r="BF58" s="180" t="b">
        <v>0</v>
      </c>
      <c r="BG58" s="180" t="b">
        <v>0</v>
      </c>
      <c r="BH58" s="180" t="b">
        <v>0</v>
      </c>
      <c r="BI58" s="180" t="b">
        <v>0</v>
      </c>
      <c r="BJ58" s="180" t="b">
        <v>0</v>
      </c>
      <c r="BK58" s="180" t="b">
        <v>0</v>
      </c>
      <c r="BL58" s="180" t="b">
        <v>0</v>
      </c>
      <c r="BM58" s="180" t="b">
        <v>0</v>
      </c>
      <c r="BN58" s="180" t="b">
        <v>0</v>
      </c>
      <c r="BO58" s="181" t="s">
        <v>1070</v>
      </c>
      <c r="BP58" s="181" t="s">
        <v>1070</v>
      </c>
      <c r="BQ58" s="181" t="s">
        <v>1070</v>
      </c>
      <c r="BR58" s="181" t="s">
        <v>1070</v>
      </c>
      <c r="BS58" s="181" t="s">
        <v>1070</v>
      </c>
      <c r="BT58" s="184">
        <f>IFERROR(__xludf.DUMMYFUNCTION("IF(
  ISNUMBER(BT57),
  MIN(MAX(
    BT57
    + MAX(
      ROUNDDOWN((D58 - MAX(IFERROR(FILTER(D$24:D57, BT$24:BT57 &lt;&gt; BS$6, BT$23:BT56 = BS$6), 0))) * (60 * 60 * 24) / BS$9) - ROUNDDOWN((D57 - MAX(IFERROR(FILTER(D$23:D56, BT$23:BT56 &lt;&gt; BS$6, BT$22:BT55 ="&amp;" BS$6), 0))) * (60 * 60 * 24) / BS$9),
      0
    )
    - COUNTIF(BS58, ""&lt;&gt;-""),
  0), BS$6),
  BS$6 - COUNTIF(BS58, ""&lt;&gt;-"")
)"),3.0)</f>
        <v>3</v>
      </c>
      <c r="BU58" s="181" t="s">
        <v>1070</v>
      </c>
      <c r="BV58" s="181" t="s">
        <v>1070</v>
      </c>
      <c r="BW58" s="184">
        <f>IFERROR(__xludf.DUMMYFUNCTION("IF(
  ISNUMBER(BW57),
  MIN(MAX(
    BW57
    + MAX(
      ROUNDDOWN((D58 - MAX(IFERROR(FILTER(D$24:D57, BW$24:BW57 &lt;&gt; BV$6, BW$23:BW56 = BV$6), 0))) * (60 * 60 * 24) / BV$9) - ROUNDDOWN((D57 - MAX(IFERROR(FILTER(D$23:D56, BW$23:BW56 &lt;&gt; BV$6, BW$22:BW55 ="&amp;" BV$6), 0))) * (60 * 60 * 24) / BV$9),
      0
    )
    - COUNTIF(BV58, ""&lt;&gt;-""),
  0), BV$6),
  BV$6 - COUNTIF(BV58, ""&lt;&gt;-"")
)"),2.0)</f>
        <v>2</v>
      </c>
      <c r="BX58" s="185" t="s">
        <v>1070</v>
      </c>
      <c r="BY58" s="178" t="b">
        <v>0</v>
      </c>
      <c r="BZ58" s="180" t="b">
        <v>0</v>
      </c>
      <c r="CA58" s="180" t="b">
        <v>0</v>
      </c>
      <c r="CB58" s="180" t="b">
        <v>0</v>
      </c>
      <c r="CC58" s="180" t="b">
        <v>0</v>
      </c>
      <c r="CD58" s="180" t="b">
        <v>0</v>
      </c>
      <c r="CE58" s="180" t="b">
        <v>0</v>
      </c>
      <c r="CF58" s="180" t="b">
        <v>0</v>
      </c>
      <c r="CG58" s="180" t="b">
        <v>0</v>
      </c>
      <c r="CH58" s="180" t="b">
        <v>0</v>
      </c>
      <c r="CI58" s="180" t="b">
        <v>0</v>
      </c>
      <c r="CJ58" s="180" t="b">
        <v>0</v>
      </c>
      <c r="CK58" s="180" t="b">
        <v>0</v>
      </c>
      <c r="CL58" s="180" t="b">
        <v>0</v>
      </c>
      <c r="CM58" s="181" t="s">
        <v>1070</v>
      </c>
      <c r="CN58" s="181" t="s">
        <v>1070</v>
      </c>
      <c r="CO58" s="181" t="s">
        <v>1070</v>
      </c>
      <c r="CP58" s="181" t="s">
        <v>1070</v>
      </c>
      <c r="CQ58" s="185" t="s">
        <v>1070</v>
      </c>
      <c r="CR58" s="180" t="b">
        <v>0</v>
      </c>
      <c r="CS58" s="186" t="str">
        <f t="shared" si="14"/>
        <v>◇◇◇</v>
      </c>
      <c r="CT58" s="178" t="b">
        <v>0</v>
      </c>
      <c r="CU58" s="180" t="b">
        <v>0</v>
      </c>
      <c r="CV58" s="180" t="b">
        <v>0</v>
      </c>
      <c r="CW58" s="180" t="b">
        <v>0</v>
      </c>
      <c r="CX58" s="180" t="b">
        <v>0</v>
      </c>
      <c r="CY58" s="180" t="b">
        <v>0</v>
      </c>
      <c r="CZ58" s="180" t="b">
        <v>0</v>
      </c>
      <c r="DA58" s="180" t="b">
        <v>0</v>
      </c>
      <c r="DB58" s="180" t="b">
        <v>0</v>
      </c>
      <c r="DC58" s="180" t="b">
        <v>0</v>
      </c>
      <c r="DD58" s="181" t="s">
        <v>1070</v>
      </c>
      <c r="DE58" s="181" t="s">
        <v>1070</v>
      </c>
      <c r="DF58" s="181" t="s">
        <v>1070</v>
      </c>
      <c r="DG58" s="185" t="s">
        <v>1070</v>
      </c>
      <c r="DH58" s="180" t="b">
        <v>0</v>
      </c>
      <c r="DI58" s="187" t="str">
        <f>IFERROR(__xludf.DUMMYFUNCTION("SWITCH(
  IF(
    ISTEXT(DI57),
    IF (
      FIND(""○"", DI57&amp;""○"") &gt; 3,
      3,
      FIND(""○"", DI57&amp;""○"")
      + MAX(
        ROUNDDOWN(($D58 - MAX(IFERROR(FILTER(D$24:D57, DI$24:DI57 &lt;&gt; ""●●●"", DI$23:DI56 = ""●●●""), 0))) * (60 * 60 * 24) / 20"&amp;") - ROUNDDOWN(($D57 - MAX(IFERROR(FILTER(D$23:D56, DI$23:DI56 &lt;&gt; ""●●●"", DI$22:DI55 = ""●●●""), 0))) * (60 * 60 * 24) / 20),
        0
      ) - 1
    ) - COUNTIFS(CU58, ""=TRUE"", CU57, ""&lt;&gt;TRUE"") - COUNTIF(CZ58, ""=TRUE"") - COUNTIF({DD58,DE58}, ""&lt;&gt;-"&amp;""") + COUNTIF(DH58, ""=TRUE""),
    3
  ),
  0, ""○○○"", 1, ""●○○"", 2, ""●●○"", 3, ""●●●"", 4, ""●●●"", ""○○○""
)"),"●●●")</f>
        <v>●●●</v>
      </c>
      <c r="DJ58" s="188" t="b">
        <v>0</v>
      </c>
      <c r="DK58" s="189" t="b">
        <v>0</v>
      </c>
      <c r="DL58" s="190" t="b">
        <v>0</v>
      </c>
      <c r="DM58" s="190" t="b">
        <v>0</v>
      </c>
      <c r="DN58" s="190" t="b">
        <v>0</v>
      </c>
      <c r="DO58" s="190" t="b">
        <v>0</v>
      </c>
      <c r="DP58" s="190" t="b">
        <v>0</v>
      </c>
      <c r="DQ58" s="191" t="b">
        <v>0</v>
      </c>
      <c r="DR58" s="192" t="b">
        <v>0</v>
      </c>
      <c r="DS58" s="191" t="b">
        <v>0</v>
      </c>
      <c r="DT58" s="192" t="b">
        <v>0</v>
      </c>
      <c r="DU58" s="191" t="b">
        <v>0</v>
      </c>
      <c r="DV58" s="193" t="s">
        <v>1070</v>
      </c>
      <c r="DW58" s="194" t="b">
        <v>0</v>
      </c>
      <c r="DX58" s="194" t="b">
        <v>0</v>
      </c>
      <c r="DY58" s="195" t="b">
        <v>0</v>
      </c>
      <c r="DZ58" s="196" t="b">
        <v>0</v>
      </c>
      <c r="EA58" s="195" t="b">
        <v>0</v>
      </c>
      <c r="EB58" s="197" t="b">
        <v>0</v>
      </c>
      <c r="EC58" s="197" t="b">
        <v>0</v>
      </c>
      <c r="ED58" s="212" t="b">
        <v>0</v>
      </c>
      <c r="EE58" s="199">
        <f>IFERROR(__xludf.DUMMYFUNCTION("IFERROR(
   PRODUCT(
     MAP(
       INDEX(TRANSPOSE(UNIQUE(TRANSPOSE(FILTER({IF($F58=""Physical"", K$10:ED$10, IF($F58=""Magic"", K$11:ED$11, K$12:ED$12));K$4:ED$4;K58:ED58}, K58:ED58=TRUE)))), 1, 0),
       INDEX(TRANSPOSE(UNIQUE(TRANSPOSE(FILTER({IF($"&amp;"F58=""Physical"", K$18:ED$18, IF($F58=""Magic"", K$19:ED$19, K$20:ED$20));K$4:ED$4;K58:ED58}, K58:ED58=TRUE)))), 1, 0),
       INDEX(TRANSPOSE(UNIQUE(TRANSPOSE(FILTER({K$5:ED$5;K$4:ED$4;K58:ED58}, K58:ED58=TRUE)))), 1, 0),
       INDEX(TRANSPOSE(UNIQUE(TR"&amp;"ANSPOSE(FILTER({K$17:ED$17;K$4:ED$4;K58:ED58}, K58:ED58=TRUE)))), 1, 0),
       LAMBDA(
         mitigation,
         enhance,
         assign,
         precondition,
         IF(
           REGEXMATCH(assign, ""RANGE_PARTY|SINGLE_ENEMY|RANGE_ENEMY""),
  "&amp;"         IF(
             OR(ARRAYFORMULA((IF(precondition="""", FALSE, REGEXMATCH(K$4:ED$4, precondition))) * (K58:ED58=TRUE))),
             IF(ISNUMBER(enhance), enhance, 1),
             IF(ISNUMBER(mitigation), mitigation, 1)
           ),
          "&amp;" 1
         )
       )
     )
   ),
   1
 )"),1.0)</f>
        <v>1</v>
      </c>
      <c r="EF58" s="200">
        <f>IFERROR(__xludf.DUMMYFUNCTION("PRODUCT(
   MAP(
     K$14:ED$14,
     K$13:ED$13,
     K58:ED58,
     LAMBDA(
       buff,
       target,
       check,
       IF(
         AND(check=TRUE, REGEXMATCH(target, ""RANGE_AFFECTED_ALL|RANGE_EFFECTED_ALL""), ISNUMBER(buff)),
         buff,
   "&amp;"      1
       )
     )
   )
 )"),1.0)</f>
        <v>1</v>
      </c>
      <c r="EG58" s="200">
        <f>IFERROR(__xludf.DUMMYFUNCTION("PRODUCT(
   MAP(
     K$14:ED$14,
     K$13:ED$13,
     K58:ED58,
     LAMBDA(
       buff,
       target,
       check,
       IF(
         AND(check=TRUE, REGEXMATCH(target, ""RANGE_AFFECTED_GCD|RANGE_EFFECTED_GCD""), ISNUMBER(buff)),
         buff,
   "&amp;"      1
       )
     )
   )
 )"),1.0)</f>
        <v>1</v>
      </c>
      <c r="EH58" s="200">
        <f>IFERROR(__xludf.DUMMYFUNCTION("PRODUCT(
   MAP(
     K$3:ED$3,
     K$14:ED$14,
     K$13:ED$13,
     K58:ED58,
     LAMBDA(
       job,
       buff,
       target,
       check,
       IF(
         AND(check=TRUE, REGEXMATCH(target, ""SELF_EFFECTED_ALL""), ISNUMBER(buff), job=""白魔道士"""&amp;"),
         buff,
         1
       )
     )
   )
 )"),1.0)</f>
        <v>1</v>
      </c>
      <c r="EI58" s="200">
        <f>IFERROR(__xludf.DUMMYFUNCTION("PRODUCT(
   MAP(
     K$3:ED$3,
     K$14:ED$14,
     K$13:ED$13,
     K58:ED58,
     LAMBDA(
       job,
       buff,
       target,
       check,
       IF(
         AND(check=TRUE, REGEXMATCH(target, ""SELF_EFFECTED_GCD""), ISNUMBER(buff), job=""白魔道士"""&amp;"),
         buff,
         1
       )
     )
   )
 )"),1.0)</f>
        <v>1</v>
      </c>
      <c r="EJ58" s="200">
        <f>IFERROR(__xludf.DUMMYFUNCTION("PRODUCT(
   MAP(
     K$3:ED$3,
     K$14:ED$14,
     K$13:ED$13,
     K58:ED58,
     LAMBDA(
       job,
       buff,
       target,
       check,
       IF(
         AND(check=TRUE, REGEXMATCH(target, ""SELF_EFFECTED_ALL""), ISNUMBER(buff), job=""占星術師"""&amp;"),
         buff,
         1
       )
     )
   )
 )"),1.0)</f>
        <v>1</v>
      </c>
      <c r="EK58" s="200">
        <f>IFERROR(__xludf.DUMMYFUNCTION("PRODUCT(
   MAP(
     K$3:ED$3,
     K$14:ED$14,
     K$13:ED$13,
     K58:ED58,
     LAMBDA(
       job,
       buff,
       target,
       check,
       IF(
         AND(check=TRUE, REGEXMATCH(target, ""SELF_EFFECTED_GCD""), ISNUMBER(buff), job=""占星術師"""&amp;"),
         buff,
         1
       )
     )
   )
 )"),1.0)</f>
        <v>1</v>
      </c>
      <c r="EL58" s="200">
        <f>IFERROR(__xludf.DUMMYFUNCTION("PRODUCT(
   MAP(
     K$3:ED$3,
     K$14:ED$14,
     K$13:ED$13,
     K58:ED58,
     LAMBDA(
       job,
       buff,
       target,
       check,
       IF(
         AND(check=TRUE, REGEXMATCH(target, ""SELF_EFFECTED_ALL""), ISNUMBER(buff), job=""学者""),"&amp;"
         buff,
         1
       )
     )
   )
 )"),1.0)</f>
        <v>1</v>
      </c>
      <c r="EM58" s="200">
        <f>IFERROR(__xludf.DUMMYFUNCTION("PRODUCT(
   MAP(
     K$3:ED$3,
     K$14:ED$14,
     K$13:ED$13,
     K58:ED58,
     LAMBDA(
       job,
       buff,
       target,
       check,
       IF(
         AND(check=TRUE, REGEXMATCH(target, ""SELF_EFFECTED_GCD""), ISNUMBER(buff), job=""学者""),"&amp;"
         buff,
         1
       )
     )
   )
 )"),1.0)</f>
        <v>1</v>
      </c>
      <c r="EN58" s="200">
        <f>IFERROR(__xludf.DUMMYFUNCTION("PRODUCT(
   MAP(
     K$3:ED$3,
     K$14:ED$14,
     K$13:ED$13,
     K58:ED58,
     LAMBDA(
       job,
       buff,
       target,
       check,
       IF(
         AND(check=TRUE, REGEXMATCH(target, ""SELF_EFFECTED_ALL""), ISNUMBER(buff), job=""賢者""),"&amp;"
         buff,
         1
       )
     )
   )
 )"),1.0)</f>
        <v>1</v>
      </c>
      <c r="EO58" s="200">
        <f>IFERROR(__xludf.DUMMYFUNCTION("PRODUCT(
   MAP(
     K$3:ED$3,
     K$14:ED$14,
     K$13:ED$13,
     K58:ED58,
     LAMBDA(
       job,
       buff,
       target,
       check,
       IF(
         AND(check=TRUE, REGEXMATCH(target, ""SELF_EFFECTED_GCD""), ISNUMBER(buff), job=""賢者""),"&amp;"
         buff,
         1
       )
     )
   )
 )"),1.0)</f>
        <v>1</v>
      </c>
      <c r="EP58" s="201">
        <f t="shared" si="3"/>
        <v>0</v>
      </c>
      <c r="EQ58" s="201">
        <f>IFERROR(__xludf.DUMMYFUNCTION("SUM(
   MAP(
     K$4:ED$4,
     K$3:ED$3,
     K$7:ED$7,
     K$15:ED$15,
     K$16:ED$16,
     K$21:ED$21,
     K$5:ED$5,
     K$17:ED$17,
     K58:ED58,
     LAMBDA(
       name,
       job,
       abillity,
       buff,
       barrier,
       enhance,"&amp;"
       assign,
       precondition,
       check,
       SWITCH(
         name,
         ""シェイクオフ"", IF(check=TRUE, buff + (0.02 * COUNTIF(ARRAYFORMULA((REGEXMATCH($K$4:$ED$4, ""スリル・オブ・バトル|ヴェンジェンス|原初の血気|ダムネーション"")) * (K58:ED58=TRUE)), 1)), 0),
         "&amp;"""インプロビゼーションフィニッシュ(踊りの激情0)"", IF(ISNUMBER(check), INDEX(Skill!$AJ:$AJ, MATCH(SUBSTITUTE(DV$4, 0, check), Skill!$C:$C, 0)), 0),
         IF(
           AND(check=TRUE, REGEXMATCH(assign, ""RANGE_PARTY"")),
           IF(
             OR(ARRAYFORMULA((IF(pr"&amp;"econdition="""", FALSE, REGEXMATCH($K$4:$ED$4, precondition))) * (K58:ED58=TRUE))),
             enhance,
             IF(barrier="""", buff, barrier)
           ),
           0
         )
       ) *
       SWITCH(
         job,
         ""ナイト"", EY$24,
 "&amp;"        ""戦士"", FD$24,
         ""踊り子"", ET$24,
         ""ピクトマンサー"", ET$24,
         ""白魔道士"", EF58 * EH58 * IF(abillity, 1, EG58 * EI58) * (Option!$D$22 * 0.81 / 100),
         ""占星術師"", EF58 * EJ58 * IF(abillity, 1, EG58 * EK58) * (Option!$D$23 * 0.81 "&amp;"/ 100),
         ""学者"", EF58 * EL58 * IF(abillity, 1, EG58 * EM58) * (Option!$D$24 * 0.81 / 100),
         ""賢者"", EF58 * EN58 * IF(abillity, 1, EG58 * EO58) * (Option!$D$25 * 0.81 / 100),
         1
       )
     )
   )
 )"),0.0)</f>
        <v>0</v>
      </c>
      <c r="ER58" s="202">
        <f t="shared" si="4"/>
        <v>0</v>
      </c>
      <c r="ES58" s="203">
        <f t="shared" si="5"/>
        <v>0</v>
      </c>
      <c r="ET58" s="231" t="str">
        <f>IFERROR(__xludf.DUMMYFUNCTION("IFS(
  EP58 &gt; $ET$24 + EQ58,
  SPARKLINE({ 1, 0 }, {""charttype"",""bar"";""max"", 1;""color1"",Option!$D$30;""color2"",Option!$D$30}),
  EP58 &lt; EQ58,
  SPARKLINE({EQ58 - EP58, $ET$24 - (EQ58 - EP58)}, {""charttype"",""bar"";""max"",$ET$24;""color1"",Opti"&amp;"on!$D$28;""color2"",Option!$D$29}),
  EP58 &gt;= EQ58,
  SPARKLINE({$ET$24 + EQ58 - EP58,EP58 - EQ58}, {""charttype"",""bar"";""max"",$ET$24;""color1"",Option!$D$29;""color2"",Option!$D$30})
)"),"")</f>
        <v/>
      </c>
      <c r="EU58" s="205">
        <f>IFERROR(__xludf.DUMMYFUNCTION("PRODUCT(
   MAP(
     IF($F58=""Physical"", K$10:ED$10, IF($F58=""Magic"", K$11:ED$11, K$12:ED$12)),
     IF($F58=""Physical"", K$18:ED$18, IF($F58=""Magic"", K$19:ED$19, K$20:ED$20)),
     K$3:ED$3,
     K$5:ED$5,
     K$17:ED$17,
     K58:ED58,
     LAM"&amp;"BDA(
       mitigation,
       enhance,
       job,
       assign,
       precondition,
       check,
       IF(
         OR(AND(check=TRUE, REGEXMATCH(assign, ""SELF""), job=""ナイト""), AND(check=Option!$E$13, REGEXMATCH(assign, ""SINGLE_PARTY""))),
      "&amp;"   IF(
           OR(ARRAYFORMULA((IF(precondition="""", FALSE, REGEXMATCH($K$4:$ED$4, precondition))) * (K58:ED58=TRUE))),
           enhance,
           mitigation
         ),
         1
       )
     )
   )
 ) * EE58"),1.0)</f>
        <v>1</v>
      </c>
      <c r="EV58" s="206">
        <f t="shared" si="6"/>
        <v>0</v>
      </c>
      <c r="EW58" s="205">
        <f>IFERROR(__xludf.DUMMYFUNCTION("PRODUCT(
   MAP(
     K$3:ED$3,
     K$14:ED$14,
     K$13:ED$13,
     K58:ED58,
     LAMBDA(
       job,
       buff,
       target,
       check,
       IF(
         OR(AND(check=TRUE, REGEXMATCH(target, ""SELF_AFFECTED_ALL""), job=""ナイト""), AND(check=O"&amp;"ption!$E$13, REGEXMATCH(target, ""SINGLE_AFFECTED_ALL""))),
         buff,
         1
       )
     )
   )
 )"),1.0)</f>
        <v>1</v>
      </c>
      <c r="EX58" s="206">
        <f>IFERROR(__xludf.DUMMYFUNCTION("SUM(
   MAP(
     K$3:ED$3,
     K$7:ED$7,
     K$15:ED$15,
     K$16:ED$16,
     K$21:ED$21,
     K$5:ED$5,
     K$17:ED$17,
     K58:ED58,
     LAMBDA(
       job,
       abillity,
       buff,
       barrier,
       enhance,
       assign,
       preco"&amp;"ndition,
       check,
       IF(
         OR(AND(check=TRUE, REGEXMATCH(assign, ""SELF""), job=""ナイト""), AND(check=Option!$E$13, REGEXMATCH(assign, ""SINGLE_PARTY""))),
         IF(
           OR(ARRAYFORMULA((IF(precondition="""", FALSE, REGEXMATCH($K$4"&amp;":$ED$4, precondition))) * (K58:ED58=TRUE))),
           enhance,
           IF(barrier="""", buff, barrier)
         ),
         0
       ) *
       SWITCH(
         job,
         ""暗黒騎士"", EY$24,
         ""白魔道士"", EF58 * EH58 * EW58 * IF(abillity, 1, EG"&amp;"58 * EI58) * (Option!$D$22 * 0.81 / 100),
         ""占星術師"", EF58 * EJ58 * EW58 * IF(abillity, 1, EG58 * EK58) * (Option!$D$23 * 0.81 / 100),
         ""学者"", EF58 * EL58 * EW58 * IF(abillity, 1, EG58 * EM58) * (Option!$D$24 * 0.81 / 100),
         ""賢者"""&amp;", EF58 * EN58 * EW58 * IF(abillity, 1, EG58 * EO58) * (Option!$D$25 * 0.81 / 100),
         1
       )
     )
   )
 ) + EQ58"),0.0)</f>
        <v>0</v>
      </c>
      <c r="EY58" s="232">
        <f t="shared" si="7"/>
        <v>0</v>
      </c>
      <c r="EZ58" s="205">
        <f>IFERROR(__xludf.DUMMYFUNCTION("PRODUCT(
   MAP(
     IF($F58=""Physical"", K$10:ED$10, IF($F58=""Magic"", K$11:ED$11, K$12:ED$12)),
     IF($F58=""Physical"", K$18:ED$18, IF($F58=""Magic"", K$19:ED$19, K$20:ED$20)),
     K$3:ED$3,
     K$5:ED$5,
     K$17:ED$17,
     K58:ED58,
     LAM"&amp;"BDA(
       mitigation,
       enhance,
       job,
       assign,
       precondition,
       check,
       IF(
         OR(AND(check=TRUE, REGEXMATCH(assign, ""SELF""), job=""戦士""), AND(check=Option!$F$13, REGEXMATCH(assign, ""SINGLE_PARTY""))),
       "&amp;"  IF(
           OR(ARRAYFORMULA((IF(precondition="""", FALSE, REGEXMATCH($K$4:$ED$4, precondition))) * (K58:ED58=TRUE))),
           enhance,
           mitigation
         ),
         1
       )
     )
   )
 ) * EE58"),1.0)</f>
        <v>1</v>
      </c>
      <c r="FA58" s="206">
        <f t="shared" si="8"/>
        <v>0</v>
      </c>
      <c r="FB58" s="205">
        <f>IFERROR(__xludf.DUMMYFUNCTION("PRODUCT(
   MAP(
     K$3:ED$3,
     K$14:ED$14,
     K$13:ED$13,
     K58:ED58,
     LAMBDA(
       job,
       buff,
       target,
       check,
       IF(
         OR(AND(check=TRUE, REGEXMATCH(target, ""SELF_AFFECTED_ALL""), job=""戦士""), AND(check=Op"&amp;"tion!$F$13, REGEXMATCH(target, ""SINGLE_AFFECTED_ALL""))),
         buff,
         1
       )
     )
   )
 )"),1.0)</f>
        <v>1</v>
      </c>
      <c r="FC58" s="206">
        <f>IFERROR(__xludf.DUMMYFUNCTION("SUM(
   MAP(
     K$3:ED$3,
     K$7:ED$7,
     K$15:ED$15,
     K$16:ED$16,
     K$21:ED$21,
     K$5:ED$5,
     K$17:ED$17,
     K58:ED58,
     LAMBDA(
       job,
       abillity,
       buff,
       barrier,
       enhance,
       assign,
       preco"&amp;"ndition,
       check,
       IF(
         OR(AND(check=TRUE, REGEXMATCH(assign, ""SELF""), job=""戦士""), AND(check=Option!$F$13, REGEXMATCH(assign, ""SINGLE_PARTY""))),
         IF(
           OR(ARRAYFORMULA((IF(precondition="""", FALSE, REGEXMATCH($K$4:"&amp;"$ED$4, precondition))) * (K58:ED58=TRUE))),
           enhance,
           IF(barrier="""", buff, barrier)
         ),
         0
       ) *
       SWITCH(
         job,
         ""暗黒騎士"", FD$24,
         ""白魔道士"", EF58 * EH58 * FB58 * IF(abillity, 1, EG5"&amp;"8 * EI58) * (Option!$D$22 * 0.81 / 100),
         ""占星術師"", EF58 * EJ58 * FFB58 * IF(abillity, 1, EG58 * EK58) * (Option!$D$23 * 0.81 / 100),
         ""学者"", EF58 * EL58 * FB58 * IF(abillity, 1, EG58 * EM58) * (Option!$D$24 * 0.81 / 100),
         ""賢者"""&amp;", EF58 * EN58 * FB58 * IF(abillity, 1, EG58 * EO58) * (Option!$D$25 * 0.81 / 100),
         1
       )
     )
   )
 ) + EQ58"),0.0)</f>
        <v>0</v>
      </c>
      <c r="FD58" s="206">
        <f t="shared" si="9"/>
        <v>0</v>
      </c>
      <c r="FE58" s="205">
        <f>IFERROR(__xludf.DUMMYFUNCTION("PRODUCT(
   MAP(
     IF($F58=""Physical"", K$10:ED$10, IF($F58=""Magic"", K$11:ED$11, K$12:ED$12)),
     IF($F58=""Physical"", K$18:ED$18, IF($F58=""Magic"", K$19:ED$19, K$20:ED$20)),
     K$3:ED$3,
     K$5:ED$5,
     K$17:ED$17,
     K58:ED58,
     LAM"&amp;"BDA(
       mitigation,
       enhance,
       job,
       assign,
       precondition,
       check,
       IF(
         OR(AND(check=TRUE, REGEXMATCH(assign, ""SELF""), job=""暗黒騎士""), AND(check=Option!$G$13, REGEXMATCH(assign, ""SINGLE_PARTY""))),
     "&amp;"    IF(
           OR(ARRAYFORMULA((IF(precondition="""", FALSE, REGEXMATCH($K$4:$ED$4, precondition))) * (K58:ED58=TRUE))),
           enhance,
           mitigation
         ),
         1
       )
     )
   )
 ) * EE58"),1.0)</f>
        <v>1</v>
      </c>
      <c r="FF58" s="206">
        <f t="shared" si="10"/>
        <v>0</v>
      </c>
      <c r="FG58" s="205">
        <f>IFERROR(__xludf.DUMMYFUNCTION("PRODUCT(
   MAP(
     K$3:ED$3,
     K$14:ED$14,
     K$13:ED$13,
     K58:ED58,
     LAMBDA(
       job,
       buff,
       target,
       check,
       IF(
         OR(AND(check=TRUE, REGEXMATCH(target, ""SELF_AFFECTED_ALL""), job=""暗黒騎士""), AND(check="&amp;"Option!$G$13, REGEXMATCH(target, ""SINGLE_AFFECTED_ALL""))),
         buff,
         1
       )
     )
   )
 )"),1.0)</f>
        <v>1</v>
      </c>
      <c r="FH58" s="206">
        <f>IFERROR(__xludf.DUMMYFUNCTION("SUM(
   MAP(
     K$3:ED$3,
     K$7:ED$7,
     K$15:ED$15,
     K$16:ED$16,
     K$21:ED$21,
     K$5:ED$5,
     K$17:ED$17,
     K58:ED58,
     LAMBDA(
       job,
       abillity,
       buff,
       barrier,
       enhance,
       assign,
       preco"&amp;"ndition,
       check,
       IF(
         OR(AND(check=TRUE, REGEXMATCH(assign, ""SELF""), job=""暗黒騎士""), AND(check=Option!$G$13, REGEXMATCH(assign, ""SINGLE_PARTY""))),
         IF(
           OR(ARRAYFORMULA((IF(precondition="""", FALSE, REGEXMATCH($K$"&amp;"4:$ED$4, precondition))) * (K58:ED58=TRUE))),
           enhance,
           IF(barrier="""", buff, barrier)
         ),
         0
       ) *
       SWITCH(
         job,
         ""暗黒騎士"", FI$24,
         ""白魔道士"", EF58 * EH58 * FG58 * IF(abillity, 1, E"&amp;"G58 * EI58) * (Option!$D$22 * 0.81 / 100),
         ""占星術師"", EF58 * EJ58 * FG58 * IF(abillity, 1, EG58 * EK58) * (Option!$D$23 * 0.81 / 100),
         ""学者"", EF58 * EL58 * FG58 * IF(abillity, 1, EG58 * EM58) * (Option!$D$24 * 0.81 / 100),
         ""賢者"&amp;""", EF58 * EN58 * FG58 * IF(abillity, 1, EG58 * EO58) * (Option!$D$25 * 0.81 / 100),
         1
       )
     )
   )
 ) + EQ58"),0.0)</f>
        <v>0</v>
      </c>
      <c r="FI58" s="206">
        <f t="shared" si="11"/>
        <v>0</v>
      </c>
      <c r="FJ58" s="205">
        <f>IFERROR(__xludf.DUMMYFUNCTION("PRODUCT(
   MAP(
     IF($F58=""Physical"", K$10:ED$10, IF($F58=""Magic"", K$11:ED$11, K$12:ED$12)),
     IF($F58=""Physical"", K$18:ED$18, IF($F58=""Magic"", K$19:ED$19, K$20:ED$20)),
     K$3:ED$3,
     K$5:ED$5,
     K$17:ED$17,
     K58:ED58,
     LAM"&amp;"BDA(
       mitigation,
       enhance,
       job,
       assign,
       precondition,
       check,
       IF(
         OR(AND(check=TRUE, REGEXMATCH(assign, ""SELF""), job=""ガンブレイカー""), AND(check=Option!$H$13, REGEXMATCH(assign, ""SINGLE_PARTY""))),
  "&amp;"       IF(
           OR(ARRAYFORMULA((IF(precondition="""", FALSE, REGEXMATCH($K$4:$ED$4, precondition))) * (K58:ED58=TRUE))),
           enhance,
           mitigation
         ),
         1
       )
     )
   )
 ) * EE58"),1.0)</f>
        <v>1</v>
      </c>
      <c r="FK58" s="206">
        <f t="shared" si="12"/>
        <v>0</v>
      </c>
      <c r="FL58" s="205">
        <f>IFERROR(__xludf.DUMMYFUNCTION("PRODUCT(
   MAP(
     K$3:ED$3,
     K$14:ED$14,
     K$13:ED$13,
     K58:ED58,
     LAMBDA(
       job,
       buff,
       target,
       check,
       IF(
         OR(AND(check=TRUE, REGEXMATCH(target, ""SELF_AFFECTED_ALL""), job=""ガンブレイカー""), AND(che"&amp;"ck=Option!$H$13, REGEXMATCH(target, ""SINGLE_AFFECTED_ALL""))),
         buff,
         1
       )
     )
   )
 )"),1.0)</f>
        <v>1</v>
      </c>
      <c r="FM58" s="206">
        <f>IFERROR(__xludf.DUMMYFUNCTION("SUM(
   MAP(
     K$3:ED$3,
     K$7:ED$7,
     K$15:ED$15,
     K$16:ED$16,
     K$21:ED$21,
     K$5:ED$5,
     K$17:ED$17,
     K58:ED58,
     LAMBDA(
       job,
       abillity,
       buff,
       barrier,
       enhance,
       assign,
       preco"&amp;"ndition,
       check,
       IF(
         OR(AND(check=TRUE, REGEXMATCH(assign, ""SELF""), job=""ガンブレイカー""), AND(check=Option!$H$13, REGEXMATCH(assign, ""SINGLE_PARTY""))),
         IF(
           OR(ARRAYFORMULA((IF(precondition="""", FALSE, REGEXMATCH("&amp;"$K$4:$ED$4, precondition))) * (K58:ED58=TRUE))),
           enhance,
           IF(barrier="""", buff, barrier)
         ),
         0
       ) *
       SWITCH(
         job,
         ""暗黒騎士"", FN$24,
         ""白魔道士"", EF58 * EH58 * FL58 * IF(abillity, 1"&amp;", EG58 * EI58) * (Option!$D$22 * 0.81 / 100),
         ""占星術師"", EF58 * EJ58 * FL58 * IF(abillity, 1, EG58 * EK58) * (Option!$D$23 * 0.81 / 100),
         ""学者"", EF58 * EL58 * FL58 * IF(abillity, 1, EG58 * EM58) * (Option!$D$24 * 0.81 / 100),
         """&amp;"賢者"", EF58 * EN58 * FL58 * IF(abillity, 1, EG58 * EO58) * (Option!$D$25 * 0.81 / 100),
         1
       )
     )
   )
 ) + EQ58"),0.0)</f>
        <v>0</v>
      </c>
      <c r="FN58" s="206">
        <f t="shared" si="13"/>
        <v>0</v>
      </c>
      <c r="FO58" s="213"/>
    </row>
    <row r="59">
      <c r="B59" s="229"/>
      <c r="C59" s="217">
        <f t="shared" si="1"/>
        <v>0</v>
      </c>
      <c r="D59" s="236"/>
      <c r="E59" s="238"/>
      <c r="F59" s="167"/>
      <c r="G59" s="168" t="str">
        <f t="shared" si="2"/>
        <v/>
      </c>
      <c r="H59" s="169"/>
      <c r="I59" s="169"/>
      <c r="J59" s="169"/>
      <c r="K59" s="170" t="b">
        <v>0</v>
      </c>
      <c r="L59" s="170" t="b">
        <v>0</v>
      </c>
      <c r="M59" s="170" t="b">
        <v>0</v>
      </c>
      <c r="N59" s="171" t="s">
        <v>1070</v>
      </c>
      <c r="O59" s="172" t="b">
        <v>0</v>
      </c>
      <c r="P59" s="173" t="b">
        <v>0</v>
      </c>
      <c r="Q59" s="173" t="b">
        <v>0</v>
      </c>
      <c r="R59" s="173" t="b">
        <v>0</v>
      </c>
      <c r="S59" s="174" t="b">
        <v>0</v>
      </c>
      <c r="T59" s="175" t="b">
        <v>0</v>
      </c>
      <c r="U59" s="173" t="b">
        <v>0</v>
      </c>
      <c r="V59" s="171" t="s">
        <v>1070</v>
      </c>
      <c r="W59" s="172" t="b">
        <v>0</v>
      </c>
      <c r="X59" s="173" t="b">
        <v>0</v>
      </c>
      <c r="Y59" s="173" t="b">
        <v>0</v>
      </c>
      <c r="Z59" s="173" t="b">
        <v>0</v>
      </c>
      <c r="AA59" s="174" t="b">
        <v>0</v>
      </c>
      <c r="AB59" s="174" t="b">
        <v>0</v>
      </c>
      <c r="AC59" s="175" t="b">
        <v>0</v>
      </c>
      <c r="AD59" s="173" t="b">
        <v>0</v>
      </c>
      <c r="AE59" s="176" t="s">
        <v>1070</v>
      </c>
      <c r="AF59" s="171" t="s">
        <v>1070</v>
      </c>
      <c r="AG59" s="177">
        <f>IFERROR(__xludf.DUMMYFUNCTION("IF(
  ISNUMBER(AG58),
  MIN(MAX(
    AG58
    + MAX(
      ROUNDDOWN(($D59 - MAX(IFERROR(FILTER($D$24:$D58, AG$24:AG58 &lt;&gt; AF$6, AG$23:AG57 = AF$6), 0))) * (60 * 60 * 24) / AF$9) - ROUNDDOWN(($D58 - MAX(IFERROR(FILTER($D$23:$D57, AG$23:AG57 &lt;&gt; AF$6, AG$22:"&amp;"AG56 = AF$6), 0))) * (60 * 60 * 24) / 60),
      0
    )
    - COUNTIF(AF59, ""&lt;&gt;-""),
  0), AF$6),
  AF$6 - COUNTIF(AF59, ""&lt;&gt;-"")
)"),2.0)</f>
        <v>2</v>
      </c>
      <c r="AH59" s="173" t="b">
        <v>0</v>
      </c>
      <c r="AI59" s="173" t="b">
        <v>0</v>
      </c>
      <c r="AJ59" s="173" t="b">
        <v>0</v>
      </c>
      <c r="AK59" s="174" t="b">
        <v>0</v>
      </c>
      <c r="AL59" s="175" t="b">
        <v>0</v>
      </c>
      <c r="AM59" s="173" t="b">
        <v>0</v>
      </c>
      <c r="AN59" s="171" t="s">
        <v>1070</v>
      </c>
      <c r="AO59" s="173" t="b">
        <v>0</v>
      </c>
      <c r="AP59" s="173" t="b">
        <v>0</v>
      </c>
      <c r="AQ59" s="173" t="b">
        <v>0</v>
      </c>
      <c r="AR59" s="174" t="b">
        <v>0</v>
      </c>
      <c r="AS59" s="178" t="b">
        <v>0</v>
      </c>
      <c r="AT59" s="179" t="b">
        <v>0</v>
      </c>
      <c r="AU59" s="180" t="b">
        <v>0</v>
      </c>
      <c r="AV59" s="180" t="b">
        <v>0</v>
      </c>
      <c r="AW59" s="180" t="b">
        <v>0</v>
      </c>
      <c r="AX59" s="180" t="b">
        <v>0</v>
      </c>
      <c r="AY59" s="181" t="s">
        <v>1070</v>
      </c>
      <c r="AZ59" s="181" t="s">
        <v>1070</v>
      </c>
      <c r="BA59" s="184">
        <f>IFERROR(__xludf.DUMMYFUNCTION("IF(
  ISNUMBER(BA58),
  MIN(MAX(
    BA58
    + MAX(
      ROUNDDOWN((D59 - MAX(IFERROR(FILTER(D$24:D58, BA$24:BA58 &lt;&gt; AZ$6, BA$23:BA57 = AZ$6), 0))) * (60 * 60 * 24) / AZ$9) - ROUNDDOWN((D58 - MAX(IFERROR(FILTER(D$23:D57, BA$23:BA57 &lt;&gt; AZ$6, BA$22:BA56 ="&amp;" AZ$6), 0))) * (60 * 60 * 24) / AZ$9),
      0
    )
    - COUNTIF(AZ59, ""&lt;&gt;-""),
  0), AZ$6),
  AZ$6 - COUNTIF(AZ59, ""&lt;&gt;-"")
)"),2.0)</f>
        <v>2</v>
      </c>
      <c r="BB59" s="181" t="s">
        <v>1070</v>
      </c>
      <c r="BC59" s="183">
        <f>IFERROR(__xludf.DUMMYFUNCTION("IF(
  ISNUMBER(BC58),
  MIN(MAX(
    BC58
    + MAX(
      ROUNDDOWN(($D59 - MAX(IFERROR(FILTER($D$24:$D58, BC$24:BC58 &lt;&gt; BB$6, BC$23:BC57 = BB$6), 0))) * (60 * 60 * 24) / BB$9) - ROUNDDOWN(($D58 - MAX(IFERROR(FILTER($D$23:$D57, BC$23:BC57 &lt;&gt; BB$6, BC$22:"&amp;"BC56 = BB$6), 0))) * (60 * 60 * 24) / 60),
      0
    )
    - COUNTIF(BB59, ""&lt;&gt;-""),
  0), BB$6),
  BB$6 - COUNTIF(BB59, ""&lt;&gt;-"")
)"),2.0)</f>
        <v>2</v>
      </c>
      <c r="BD59" s="181" t="s">
        <v>1070</v>
      </c>
      <c r="BE59" s="178" t="b">
        <v>0</v>
      </c>
      <c r="BF59" s="180" t="b">
        <v>0</v>
      </c>
      <c r="BG59" s="180" t="b">
        <v>0</v>
      </c>
      <c r="BH59" s="180" t="b">
        <v>0</v>
      </c>
      <c r="BI59" s="180" t="b">
        <v>0</v>
      </c>
      <c r="BJ59" s="180" t="b">
        <v>0</v>
      </c>
      <c r="BK59" s="180" t="b">
        <v>0</v>
      </c>
      <c r="BL59" s="180" t="b">
        <v>0</v>
      </c>
      <c r="BM59" s="180" t="b">
        <v>0</v>
      </c>
      <c r="BN59" s="180" t="b">
        <v>0</v>
      </c>
      <c r="BO59" s="181" t="s">
        <v>1070</v>
      </c>
      <c r="BP59" s="181" t="s">
        <v>1070</v>
      </c>
      <c r="BQ59" s="181" t="s">
        <v>1070</v>
      </c>
      <c r="BR59" s="181" t="s">
        <v>1070</v>
      </c>
      <c r="BS59" s="181" t="s">
        <v>1070</v>
      </c>
      <c r="BT59" s="184">
        <f>IFERROR(__xludf.DUMMYFUNCTION("IF(
  ISNUMBER(BT58),
  MIN(MAX(
    BT58
    + MAX(
      ROUNDDOWN((D59 - MAX(IFERROR(FILTER(D$24:D58, BT$24:BT58 &lt;&gt; BS$6, BT$23:BT57 = BS$6), 0))) * (60 * 60 * 24) / BS$9) - ROUNDDOWN((D58 - MAX(IFERROR(FILTER(D$23:D57, BT$23:BT57 &lt;&gt; BS$6, BT$22:BT56 ="&amp;" BS$6), 0))) * (60 * 60 * 24) / BS$9),
      0
    )
    - COUNTIF(BS59, ""&lt;&gt;-""),
  0), BS$6),
  BS$6 - COUNTIF(BS59, ""&lt;&gt;-"")
)"),3.0)</f>
        <v>3</v>
      </c>
      <c r="BU59" s="181" t="s">
        <v>1070</v>
      </c>
      <c r="BV59" s="181" t="s">
        <v>1070</v>
      </c>
      <c r="BW59" s="184">
        <f>IFERROR(__xludf.DUMMYFUNCTION("IF(
  ISNUMBER(BW58),
  MIN(MAX(
    BW58
    + MAX(
      ROUNDDOWN((D59 - MAX(IFERROR(FILTER(D$24:D58, BW$24:BW58 &lt;&gt; BV$6, BW$23:BW57 = BV$6), 0))) * (60 * 60 * 24) / BV$9) - ROUNDDOWN((D58 - MAX(IFERROR(FILTER(D$23:D57, BW$23:BW57 &lt;&gt; BV$6, BW$22:BW56 ="&amp;" BV$6), 0))) * (60 * 60 * 24) / BV$9),
      0
    )
    - COUNTIF(BV59, ""&lt;&gt;-""),
  0), BV$6),
  BV$6 - COUNTIF(BV59, ""&lt;&gt;-"")
)"),2.0)</f>
        <v>2</v>
      </c>
      <c r="BX59" s="185" t="s">
        <v>1070</v>
      </c>
      <c r="BY59" s="178" t="b">
        <v>0</v>
      </c>
      <c r="BZ59" s="180" t="b">
        <v>0</v>
      </c>
      <c r="CA59" s="180" t="b">
        <v>0</v>
      </c>
      <c r="CB59" s="180" t="b">
        <v>0</v>
      </c>
      <c r="CC59" s="180" t="b">
        <v>0</v>
      </c>
      <c r="CD59" s="180" t="b">
        <v>0</v>
      </c>
      <c r="CE59" s="180" t="b">
        <v>0</v>
      </c>
      <c r="CF59" s="180" t="b">
        <v>0</v>
      </c>
      <c r="CG59" s="180" t="b">
        <v>0</v>
      </c>
      <c r="CH59" s="180" t="b">
        <v>0</v>
      </c>
      <c r="CI59" s="180" t="b">
        <v>0</v>
      </c>
      <c r="CJ59" s="180" t="b">
        <v>0</v>
      </c>
      <c r="CK59" s="180" t="b">
        <v>0</v>
      </c>
      <c r="CL59" s="180" t="b">
        <v>0</v>
      </c>
      <c r="CM59" s="181" t="s">
        <v>1070</v>
      </c>
      <c r="CN59" s="181" t="s">
        <v>1070</v>
      </c>
      <c r="CO59" s="181" t="s">
        <v>1070</v>
      </c>
      <c r="CP59" s="181" t="s">
        <v>1070</v>
      </c>
      <c r="CQ59" s="185" t="s">
        <v>1070</v>
      </c>
      <c r="CR59" s="180" t="b">
        <v>0</v>
      </c>
      <c r="CS59" s="186" t="str">
        <f t="shared" si="14"/>
        <v>◇◇◇</v>
      </c>
      <c r="CT59" s="178" t="b">
        <v>0</v>
      </c>
      <c r="CU59" s="180" t="b">
        <v>0</v>
      </c>
      <c r="CV59" s="180" t="b">
        <v>0</v>
      </c>
      <c r="CW59" s="180" t="b">
        <v>0</v>
      </c>
      <c r="CX59" s="180" t="b">
        <v>0</v>
      </c>
      <c r="CY59" s="180" t="b">
        <v>0</v>
      </c>
      <c r="CZ59" s="180" t="b">
        <v>0</v>
      </c>
      <c r="DA59" s="180" t="b">
        <v>0</v>
      </c>
      <c r="DB59" s="180" t="b">
        <v>0</v>
      </c>
      <c r="DC59" s="180" t="b">
        <v>0</v>
      </c>
      <c r="DD59" s="181" t="s">
        <v>1070</v>
      </c>
      <c r="DE59" s="181" t="s">
        <v>1070</v>
      </c>
      <c r="DF59" s="181" t="s">
        <v>1070</v>
      </c>
      <c r="DG59" s="185" t="s">
        <v>1070</v>
      </c>
      <c r="DH59" s="180" t="b">
        <v>0</v>
      </c>
      <c r="DI59" s="187" t="str">
        <f>IFERROR(__xludf.DUMMYFUNCTION("SWITCH(
  IF(
    ISTEXT(DI58),
    IF (
      FIND(""○"", DI58&amp;""○"") &gt; 3,
      3,
      FIND(""○"", DI58&amp;""○"")
      + MAX(
        ROUNDDOWN(($D59 - MAX(IFERROR(FILTER(D$24:D58, DI$24:DI58 &lt;&gt; ""●●●"", DI$23:DI57 = ""●●●""), 0))) * (60 * 60 * 24) / 20"&amp;") - ROUNDDOWN(($D58 - MAX(IFERROR(FILTER(D$23:D57, DI$23:DI57 &lt;&gt; ""●●●"", DI$22:DI56 = ""●●●""), 0))) * (60 * 60 * 24) / 20),
        0
      ) - 1
    ) - COUNTIFS(CU59, ""=TRUE"", CU58, ""&lt;&gt;TRUE"") - COUNTIF(CZ59, ""=TRUE"") - COUNTIF({DD59,DE59}, ""&lt;&gt;-"&amp;""") + COUNTIF(DH59, ""=TRUE""),
    3
  ),
  0, ""○○○"", 1, ""●○○"", 2, ""●●○"", 3, ""●●●"", 4, ""●●●"", ""○○○""
)"),"●●●")</f>
        <v>●●●</v>
      </c>
      <c r="DJ59" s="188" t="b">
        <v>0</v>
      </c>
      <c r="DK59" s="189" t="b">
        <v>0</v>
      </c>
      <c r="DL59" s="190" t="b">
        <v>0</v>
      </c>
      <c r="DM59" s="190" t="b">
        <v>0</v>
      </c>
      <c r="DN59" s="190" t="b">
        <v>0</v>
      </c>
      <c r="DO59" s="190" t="b">
        <v>0</v>
      </c>
      <c r="DP59" s="190" t="b">
        <v>0</v>
      </c>
      <c r="DQ59" s="191" t="b">
        <v>0</v>
      </c>
      <c r="DR59" s="192" t="b">
        <v>0</v>
      </c>
      <c r="DS59" s="191" t="b">
        <v>0</v>
      </c>
      <c r="DT59" s="192" t="b">
        <v>0</v>
      </c>
      <c r="DU59" s="191" t="b">
        <v>0</v>
      </c>
      <c r="DV59" s="193" t="s">
        <v>1070</v>
      </c>
      <c r="DW59" s="194" t="b">
        <v>0</v>
      </c>
      <c r="DX59" s="194" t="b">
        <v>0</v>
      </c>
      <c r="DY59" s="195" t="b">
        <v>0</v>
      </c>
      <c r="DZ59" s="196" t="b">
        <v>0</v>
      </c>
      <c r="EA59" s="195" t="b">
        <v>0</v>
      </c>
      <c r="EB59" s="197" t="b">
        <v>0</v>
      </c>
      <c r="EC59" s="197" t="b">
        <v>0</v>
      </c>
      <c r="ED59" s="212" t="b">
        <v>0</v>
      </c>
      <c r="EE59" s="199">
        <f>IFERROR(__xludf.DUMMYFUNCTION("IFERROR(
   PRODUCT(
     MAP(
       INDEX(TRANSPOSE(UNIQUE(TRANSPOSE(FILTER({IF($F59=""Physical"", K$10:ED$10, IF($F59=""Magic"", K$11:ED$11, K$12:ED$12));K$4:ED$4;K59:ED59}, K59:ED59=TRUE)))), 1, 0),
       INDEX(TRANSPOSE(UNIQUE(TRANSPOSE(FILTER({IF($"&amp;"F59=""Physical"", K$18:ED$18, IF($F59=""Magic"", K$19:ED$19, K$20:ED$20));K$4:ED$4;K59:ED59}, K59:ED59=TRUE)))), 1, 0),
       INDEX(TRANSPOSE(UNIQUE(TRANSPOSE(FILTER({K$5:ED$5;K$4:ED$4;K59:ED59}, K59:ED59=TRUE)))), 1, 0),
       INDEX(TRANSPOSE(UNIQUE(TR"&amp;"ANSPOSE(FILTER({K$17:ED$17;K$4:ED$4;K59:ED59}, K59:ED59=TRUE)))), 1, 0),
       LAMBDA(
         mitigation,
         enhance,
         assign,
         precondition,
         IF(
           REGEXMATCH(assign, ""RANGE_PARTY|SINGLE_ENEMY|RANGE_ENEMY""),
  "&amp;"         IF(
             OR(ARRAYFORMULA((IF(precondition="""", FALSE, REGEXMATCH(K$4:ED$4, precondition))) * (K59:ED59=TRUE))),
             IF(ISNUMBER(enhance), enhance, 1),
             IF(ISNUMBER(mitigation), mitigation, 1)
           ),
          "&amp;" 1
         )
       )
     )
   ),
   1
 )"),1.0)</f>
        <v>1</v>
      </c>
      <c r="EF59" s="200">
        <f>IFERROR(__xludf.DUMMYFUNCTION("PRODUCT(
   MAP(
     K$14:ED$14,
     K$13:ED$13,
     K59:ED59,
     LAMBDA(
       buff,
       target,
       check,
       IF(
         AND(check=TRUE, REGEXMATCH(target, ""RANGE_AFFECTED_ALL|RANGE_EFFECTED_ALL""), ISNUMBER(buff)),
         buff,
   "&amp;"      1
       )
     )
   )
 )"),1.0)</f>
        <v>1</v>
      </c>
      <c r="EG59" s="200">
        <f>IFERROR(__xludf.DUMMYFUNCTION("PRODUCT(
   MAP(
     K$14:ED$14,
     K$13:ED$13,
     K59:ED59,
     LAMBDA(
       buff,
       target,
       check,
       IF(
         AND(check=TRUE, REGEXMATCH(target, ""RANGE_AFFECTED_GCD|RANGE_EFFECTED_GCD""), ISNUMBER(buff)),
         buff,
   "&amp;"      1
       )
     )
   )
 )"),1.0)</f>
        <v>1</v>
      </c>
      <c r="EH59" s="200">
        <f>IFERROR(__xludf.DUMMYFUNCTION("PRODUCT(
   MAP(
     K$3:ED$3,
     K$14:ED$14,
     K$13:ED$13,
     K59:ED59,
     LAMBDA(
       job,
       buff,
       target,
       check,
       IF(
         AND(check=TRUE, REGEXMATCH(target, ""SELF_EFFECTED_ALL""), ISNUMBER(buff), job=""白魔道士"""&amp;"),
         buff,
         1
       )
     )
   )
 )"),1.0)</f>
        <v>1</v>
      </c>
      <c r="EI59" s="200">
        <f>IFERROR(__xludf.DUMMYFUNCTION("PRODUCT(
   MAP(
     K$3:ED$3,
     K$14:ED$14,
     K$13:ED$13,
     K59:ED59,
     LAMBDA(
       job,
       buff,
       target,
       check,
       IF(
         AND(check=TRUE, REGEXMATCH(target, ""SELF_EFFECTED_GCD""), ISNUMBER(buff), job=""白魔道士"""&amp;"),
         buff,
         1
       )
     )
   )
 )"),1.0)</f>
        <v>1</v>
      </c>
      <c r="EJ59" s="200">
        <f>IFERROR(__xludf.DUMMYFUNCTION("PRODUCT(
   MAP(
     K$3:ED$3,
     K$14:ED$14,
     K$13:ED$13,
     K59:ED59,
     LAMBDA(
       job,
       buff,
       target,
       check,
       IF(
         AND(check=TRUE, REGEXMATCH(target, ""SELF_EFFECTED_ALL""), ISNUMBER(buff), job=""占星術師"""&amp;"),
         buff,
         1
       )
     )
   )
 )"),1.0)</f>
        <v>1</v>
      </c>
      <c r="EK59" s="200">
        <f>IFERROR(__xludf.DUMMYFUNCTION("PRODUCT(
   MAP(
     K$3:ED$3,
     K$14:ED$14,
     K$13:ED$13,
     K59:ED59,
     LAMBDA(
       job,
       buff,
       target,
       check,
       IF(
         AND(check=TRUE, REGEXMATCH(target, ""SELF_EFFECTED_GCD""), ISNUMBER(buff), job=""占星術師"""&amp;"),
         buff,
         1
       )
     )
   )
 )"),1.0)</f>
        <v>1</v>
      </c>
      <c r="EL59" s="200">
        <f>IFERROR(__xludf.DUMMYFUNCTION("PRODUCT(
   MAP(
     K$3:ED$3,
     K$14:ED$14,
     K$13:ED$13,
     K59:ED59,
     LAMBDA(
       job,
       buff,
       target,
       check,
       IF(
         AND(check=TRUE, REGEXMATCH(target, ""SELF_EFFECTED_ALL""), ISNUMBER(buff), job=""学者""),"&amp;"
         buff,
         1
       )
     )
   )
 )"),1.0)</f>
        <v>1</v>
      </c>
      <c r="EM59" s="200">
        <f>IFERROR(__xludf.DUMMYFUNCTION("PRODUCT(
   MAP(
     K$3:ED$3,
     K$14:ED$14,
     K$13:ED$13,
     K59:ED59,
     LAMBDA(
       job,
       buff,
       target,
       check,
       IF(
         AND(check=TRUE, REGEXMATCH(target, ""SELF_EFFECTED_GCD""), ISNUMBER(buff), job=""学者""),"&amp;"
         buff,
         1
       )
     )
   )
 )"),1.0)</f>
        <v>1</v>
      </c>
      <c r="EN59" s="200">
        <f>IFERROR(__xludf.DUMMYFUNCTION("PRODUCT(
   MAP(
     K$3:ED$3,
     K$14:ED$14,
     K$13:ED$13,
     K59:ED59,
     LAMBDA(
       job,
       buff,
       target,
       check,
       IF(
         AND(check=TRUE, REGEXMATCH(target, ""SELF_EFFECTED_ALL""), ISNUMBER(buff), job=""賢者""),"&amp;"
         buff,
         1
       )
     )
   )
 )"),1.0)</f>
        <v>1</v>
      </c>
      <c r="EO59" s="200">
        <f>IFERROR(__xludf.DUMMYFUNCTION("PRODUCT(
   MAP(
     K$3:ED$3,
     K$14:ED$14,
     K$13:ED$13,
     K59:ED59,
     LAMBDA(
       job,
       buff,
       target,
       check,
       IF(
         AND(check=TRUE, REGEXMATCH(target, ""SELF_EFFECTED_GCD""), ISNUMBER(buff), job=""賢者""),"&amp;"
         buff,
         1
       )
     )
   )
 )"),1.0)</f>
        <v>1</v>
      </c>
      <c r="EP59" s="201">
        <f t="shared" si="3"/>
        <v>0</v>
      </c>
      <c r="EQ59" s="201">
        <f>IFERROR(__xludf.DUMMYFUNCTION("SUM(
   MAP(
     K$4:ED$4,
     K$3:ED$3,
     K$7:ED$7,
     K$15:ED$15,
     K$16:ED$16,
     K$21:ED$21,
     K$5:ED$5,
     K$17:ED$17,
     K59:ED59,
     LAMBDA(
       name,
       job,
       abillity,
       buff,
       barrier,
       enhance,"&amp;"
       assign,
       precondition,
       check,
       SWITCH(
         name,
         ""シェイクオフ"", IF(check=TRUE, buff + (0.02 * COUNTIF(ARRAYFORMULA((REGEXMATCH($K$4:$ED$4, ""スリル・オブ・バトル|ヴェンジェンス|原初の血気|ダムネーション"")) * (K59:ED59=TRUE)), 1)), 0),
         "&amp;"""インプロビゼーションフィニッシュ(踊りの激情0)"", IF(ISNUMBER(check), INDEX(Skill!$AJ:$AJ, MATCH(SUBSTITUTE(DV$4, 0, check), Skill!$C:$C, 0)), 0),
         IF(
           AND(check=TRUE, REGEXMATCH(assign, ""RANGE_PARTY"")),
           IF(
             OR(ARRAYFORMULA((IF(pr"&amp;"econdition="""", FALSE, REGEXMATCH($K$4:$ED$4, precondition))) * (K59:ED59=TRUE))),
             enhance,
             IF(barrier="""", buff, barrier)
           ),
           0
         )
       ) *
       SWITCH(
         job,
         ""ナイト"", EY$24,
 "&amp;"        ""戦士"", FD$24,
         ""踊り子"", ET$24,
         ""ピクトマンサー"", ET$24,
         ""白魔道士"", EF59 * EH59 * IF(abillity, 1, EG59 * EI59) * (Option!$D$22 * 0.81 / 100),
         ""占星術師"", EF59 * EJ59 * IF(abillity, 1, EG59 * EK59) * (Option!$D$23 * 0.81 "&amp;"/ 100),
         ""学者"", EF59 * EL59 * IF(abillity, 1, EG59 * EM59) * (Option!$D$24 * 0.81 / 100),
         ""賢者"", EF59 * EN59 * IF(abillity, 1, EG59 * EO59) * (Option!$D$25 * 0.81 / 100),
         1
       )
     )
   )
 )"),0.0)</f>
        <v>0</v>
      </c>
      <c r="ER59" s="202">
        <f t="shared" si="4"/>
        <v>0</v>
      </c>
      <c r="ES59" s="203">
        <f t="shared" si="5"/>
        <v>0</v>
      </c>
      <c r="ET59" s="231" t="str">
        <f>IFERROR(__xludf.DUMMYFUNCTION("IFS(
  EP59 &gt; $ET$24 + EQ59,
  SPARKLINE({ 1, 0 }, {""charttype"",""bar"";""max"", 1;""color1"",Option!$D$30;""color2"",Option!$D$30}),
  EP59 &lt; EQ59,
  SPARKLINE({EQ59 - EP59, $ET$24 - (EQ59 - EP59)}, {""charttype"",""bar"";""max"",$ET$24;""color1"",Opti"&amp;"on!$D$28;""color2"",Option!$D$29}),
  EP59 &gt;= EQ59,
  SPARKLINE({$ET$24 + EQ59 - EP59,EP59 - EQ59}, {""charttype"",""bar"";""max"",$ET$24;""color1"",Option!$D$29;""color2"",Option!$D$30})
)"),"")</f>
        <v/>
      </c>
      <c r="EU59" s="205">
        <f>IFERROR(__xludf.DUMMYFUNCTION("PRODUCT(
   MAP(
     IF($F59=""Physical"", K$10:ED$10, IF($F59=""Magic"", K$11:ED$11, K$12:ED$12)),
     IF($F59=""Physical"", K$18:ED$18, IF($F59=""Magic"", K$19:ED$19, K$20:ED$20)),
     K$3:ED$3,
     K$5:ED$5,
     K$17:ED$17,
     K59:ED59,
     LAM"&amp;"BDA(
       mitigation,
       enhance,
       job,
       assign,
       precondition,
       check,
       IF(
         OR(AND(check=TRUE, REGEXMATCH(assign, ""SELF""), job=""ナイト""), AND(check=Option!$E$13, REGEXMATCH(assign, ""SINGLE_PARTY""))),
      "&amp;"   IF(
           OR(ARRAYFORMULA((IF(precondition="""", FALSE, REGEXMATCH($K$4:$ED$4, precondition))) * (K59:ED59=TRUE))),
           enhance,
           mitigation
         ),
         1
       )
     )
   )
 ) * EE59"),1.0)</f>
        <v>1</v>
      </c>
      <c r="EV59" s="206">
        <f t="shared" si="6"/>
        <v>0</v>
      </c>
      <c r="EW59" s="205">
        <f>IFERROR(__xludf.DUMMYFUNCTION("PRODUCT(
   MAP(
     K$3:ED$3,
     K$14:ED$14,
     K$13:ED$13,
     K59:ED59,
     LAMBDA(
       job,
       buff,
       target,
       check,
       IF(
         OR(AND(check=TRUE, REGEXMATCH(target, ""SELF_AFFECTED_ALL""), job=""ナイト""), AND(check=O"&amp;"ption!$E$13, REGEXMATCH(target, ""SINGLE_AFFECTED_ALL""))),
         buff,
         1
       )
     )
   )
 )"),1.0)</f>
        <v>1</v>
      </c>
      <c r="EX59" s="206">
        <f>IFERROR(__xludf.DUMMYFUNCTION("SUM(
   MAP(
     K$3:ED$3,
     K$7:ED$7,
     K$15:ED$15,
     K$16:ED$16,
     K$21:ED$21,
     K$5:ED$5,
     K$17:ED$17,
     K59:ED59,
     LAMBDA(
       job,
       abillity,
       buff,
       barrier,
       enhance,
       assign,
       preco"&amp;"ndition,
       check,
       IF(
         OR(AND(check=TRUE, REGEXMATCH(assign, ""SELF""), job=""ナイト""), AND(check=Option!$E$13, REGEXMATCH(assign, ""SINGLE_PARTY""))),
         IF(
           OR(ARRAYFORMULA((IF(precondition="""", FALSE, REGEXMATCH($K$4"&amp;":$ED$4, precondition))) * (K59:ED59=TRUE))),
           enhance,
           IF(barrier="""", buff, barrier)
         ),
         0
       ) *
       SWITCH(
         job,
         ""暗黒騎士"", EY$24,
         ""白魔道士"", EF59 * EH59 * EW59 * IF(abillity, 1, EG"&amp;"59 * EI59) * (Option!$D$22 * 0.81 / 100),
         ""占星術師"", EF59 * EJ59 * EW59 * IF(abillity, 1, EG59 * EK59) * (Option!$D$23 * 0.81 / 100),
         ""学者"", EF59 * EL59 * EW59 * IF(abillity, 1, EG59 * EM59) * (Option!$D$24 * 0.81 / 100),
         ""賢者"""&amp;", EF59 * EN59 * EW59 * IF(abillity, 1, EG59 * EO59) * (Option!$D$25 * 0.81 / 100),
         1
       )
     )
   )
 ) + EQ59"),0.0)</f>
        <v>0</v>
      </c>
      <c r="EY59" s="232">
        <f t="shared" si="7"/>
        <v>0</v>
      </c>
      <c r="EZ59" s="205">
        <f>IFERROR(__xludf.DUMMYFUNCTION("PRODUCT(
   MAP(
     IF($F59=""Physical"", K$10:ED$10, IF($F59=""Magic"", K$11:ED$11, K$12:ED$12)),
     IF($F59=""Physical"", K$18:ED$18, IF($F59=""Magic"", K$19:ED$19, K$20:ED$20)),
     K$3:ED$3,
     K$5:ED$5,
     K$17:ED$17,
     K59:ED59,
     LAM"&amp;"BDA(
       mitigation,
       enhance,
       job,
       assign,
       precondition,
       check,
       IF(
         OR(AND(check=TRUE, REGEXMATCH(assign, ""SELF""), job=""戦士""), AND(check=Option!$F$13, REGEXMATCH(assign, ""SINGLE_PARTY""))),
       "&amp;"  IF(
           OR(ARRAYFORMULA((IF(precondition="""", FALSE, REGEXMATCH($K$4:$ED$4, precondition))) * (K59:ED59=TRUE))),
           enhance,
           mitigation
         ),
         1
       )
     )
   )
 ) * EE59"),1.0)</f>
        <v>1</v>
      </c>
      <c r="FA59" s="206">
        <f t="shared" si="8"/>
        <v>0</v>
      </c>
      <c r="FB59" s="205">
        <f>IFERROR(__xludf.DUMMYFUNCTION("PRODUCT(
   MAP(
     K$3:ED$3,
     K$14:ED$14,
     K$13:ED$13,
     K59:ED59,
     LAMBDA(
       job,
       buff,
       target,
       check,
       IF(
         OR(AND(check=TRUE, REGEXMATCH(target, ""SELF_AFFECTED_ALL""), job=""戦士""), AND(check=Op"&amp;"tion!$F$13, REGEXMATCH(target, ""SINGLE_AFFECTED_ALL""))),
         buff,
         1
       )
     )
   )
 )"),1.0)</f>
        <v>1</v>
      </c>
      <c r="FC59" s="206">
        <f>IFERROR(__xludf.DUMMYFUNCTION("SUM(
   MAP(
     K$3:ED$3,
     K$7:ED$7,
     K$15:ED$15,
     K$16:ED$16,
     K$21:ED$21,
     K$5:ED$5,
     K$17:ED$17,
     K59:ED59,
     LAMBDA(
       job,
       abillity,
       buff,
       barrier,
       enhance,
       assign,
       preco"&amp;"ndition,
       check,
       IF(
         OR(AND(check=TRUE, REGEXMATCH(assign, ""SELF""), job=""戦士""), AND(check=Option!$F$13, REGEXMATCH(assign, ""SINGLE_PARTY""))),
         IF(
           OR(ARRAYFORMULA((IF(precondition="""", FALSE, REGEXMATCH($K$4:"&amp;"$ED$4, precondition))) * (K59:ED59=TRUE))),
           enhance,
           IF(barrier="""", buff, barrier)
         ),
         0
       ) *
       SWITCH(
         job,
         ""暗黒騎士"", FD$24,
         ""白魔道士"", EF59 * EH59 * FB59 * IF(abillity, 1, EG5"&amp;"9 * EI59) * (Option!$D$22 * 0.81 / 100),
         ""占星術師"", EF59 * EJ59 * FFB59 * IF(abillity, 1, EG59 * EK59) * (Option!$D$23 * 0.81 / 100),
         ""学者"", EF59 * EL59 * FB59 * IF(abillity, 1, EG59 * EM59) * (Option!$D$24 * 0.81 / 100),
         ""賢者"""&amp;", EF59 * EN59 * FB59 * IF(abillity, 1, EG59 * EO59) * (Option!$D$25 * 0.81 / 100),
         1
       )
     )
   )
 ) + EQ59"),0.0)</f>
        <v>0</v>
      </c>
      <c r="FD59" s="206">
        <f t="shared" si="9"/>
        <v>0</v>
      </c>
      <c r="FE59" s="205">
        <f>IFERROR(__xludf.DUMMYFUNCTION("PRODUCT(
   MAP(
     IF($F59=""Physical"", K$10:ED$10, IF($F59=""Magic"", K$11:ED$11, K$12:ED$12)),
     IF($F59=""Physical"", K$18:ED$18, IF($F59=""Magic"", K$19:ED$19, K$20:ED$20)),
     K$3:ED$3,
     K$5:ED$5,
     K$17:ED$17,
     K59:ED59,
     LAM"&amp;"BDA(
       mitigation,
       enhance,
       job,
       assign,
       precondition,
       check,
       IF(
         OR(AND(check=TRUE, REGEXMATCH(assign, ""SELF""), job=""暗黒騎士""), AND(check=Option!$G$13, REGEXMATCH(assign, ""SINGLE_PARTY""))),
     "&amp;"    IF(
           OR(ARRAYFORMULA((IF(precondition="""", FALSE, REGEXMATCH($K$4:$ED$4, precondition))) * (K59:ED59=TRUE))),
           enhance,
           mitigation
         ),
         1
       )
     )
   )
 ) * EE59"),1.0)</f>
        <v>1</v>
      </c>
      <c r="FF59" s="206">
        <f t="shared" si="10"/>
        <v>0</v>
      </c>
      <c r="FG59" s="205">
        <f>IFERROR(__xludf.DUMMYFUNCTION("PRODUCT(
   MAP(
     K$3:ED$3,
     K$14:ED$14,
     K$13:ED$13,
     K59:ED59,
     LAMBDA(
       job,
       buff,
       target,
       check,
       IF(
         OR(AND(check=TRUE, REGEXMATCH(target, ""SELF_AFFECTED_ALL""), job=""暗黒騎士""), AND(check="&amp;"Option!$G$13, REGEXMATCH(target, ""SINGLE_AFFECTED_ALL""))),
         buff,
         1
       )
     )
   )
 )"),1.0)</f>
        <v>1</v>
      </c>
      <c r="FH59" s="206">
        <f>IFERROR(__xludf.DUMMYFUNCTION("SUM(
   MAP(
     K$3:ED$3,
     K$7:ED$7,
     K$15:ED$15,
     K$16:ED$16,
     K$21:ED$21,
     K$5:ED$5,
     K$17:ED$17,
     K59:ED59,
     LAMBDA(
       job,
       abillity,
       buff,
       barrier,
       enhance,
       assign,
       preco"&amp;"ndition,
       check,
       IF(
         OR(AND(check=TRUE, REGEXMATCH(assign, ""SELF""), job=""暗黒騎士""), AND(check=Option!$G$13, REGEXMATCH(assign, ""SINGLE_PARTY""))),
         IF(
           OR(ARRAYFORMULA((IF(precondition="""", FALSE, REGEXMATCH($K$"&amp;"4:$ED$4, precondition))) * (K59:ED59=TRUE))),
           enhance,
           IF(barrier="""", buff, barrier)
         ),
         0
       ) *
       SWITCH(
         job,
         ""暗黒騎士"", FI$24,
         ""白魔道士"", EF59 * EH59 * FG59 * IF(abillity, 1, E"&amp;"G59 * EI59) * (Option!$D$22 * 0.81 / 100),
         ""占星術師"", EF59 * EJ59 * FG59 * IF(abillity, 1, EG59 * EK59) * (Option!$D$23 * 0.81 / 100),
         ""学者"", EF59 * EL59 * FG59 * IF(abillity, 1, EG59 * EM59) * (Option!$D$24 * 0.81 / 100),
         ""賢者"&amp;""", EF59 * EN59 * FG59 * IF(abillity, 1, EG59 * EO59) * (Option!$D$25 * 0.81 / 100),
         1
       )
     )
   )
 ) + EQ59"),0.0)</f>
        <v>0</v>
      </c>
      <c r="FI59" s="206">
        <f t="shared" si="11"/>
        <v>0</v>
      </c>
      <c r="FJ59" s="205">
        <f>IFERROR(__xludf.DUMMYFUNCTION("PRODUCT(
   MAP(
     IF($F59=""Physical"", K$10:ED$10, IF($F59=""Magic"", K$11:ED$11, K$12:ED$12)),
     IF($F59=""Physical"", K$18:ED$18, IF($F59=""Magic"", K$19:ED$19, K$20:ED$20)),
     K$3:ED$3,
     K$5:ED$5,
     K$17:ED$17,
     K59:ED59,
     LAM"&amp;"BDA(
       mitigation,
       enhance,
       job,
       assign,
       precondition,
       check,
       IF(
         OR(AND(check=TRUE, REGEXMATCH(assign, ""SELF""), job=""ガンブレイカー""), AND(check=Option!$H$13, REGEXMATCH(assign, ""SINGLE_PARTY""))),
  "&amp;"       IF(
           OR(ARRAYFORMULA((IF(precondition="""", FALSE, REGEXMATCH($K$4:$ED$4, precondition))) * (K59:ED59=TRUE))),
           enhance,
           mitigation
         ),
         1
       )
     )
   )
 ) * EE59"),1.0)</f>
        <v>1</v>
      </c>
      <c r="FK59" s="206">
        <f t="shared" si="12"/>
        <v>0</v>
      </c>
      <c r="FL59" s="205">
        <f>IFERROR(__xludf.DUMMYFUNCTION("PRODUCT(
   MAP(
     K$3:ED$3,
     K$14:ED$14,
     K$13:ED$13,
     K59:ED59,
     LAMBDA(
       job,
       buff,
       target,
       check,
       IF(
         OR(AND(check=TRUE, REGEXMATCH(target, ""SELF_AFFECTED_ALL""), job=""ガンブレイカー""), AND(che"&amp;"ck=Option!$H$13, REGEXMATCH(target, ""SINGLE_AFFECTED_ALL""))),
         buff,
         1
       )
     )
   )
 )"),1.0)</f>
        <v>1</v>
      </c>
      <c r="FM59" s="206">
        <f>IFERROR(__xludf.DUMMYFUNCTION("SUM(
   MAP(
     K$3:ED$3,
     K$7:ED$7,
     K$15:ED$15,
     K$16:ED$16,
     K$21:ED$21,
     K$5:ED$5,
     K$17:ED$17,
     K59:ED59,
     LAMBDA(
       job,
       abillity,
       buff,
       barrier,
       enhance,
       assign,
       preco"&amp;"ndition,
       check,
       IF(
         OR(AND(check=TRUE, REGEXMATCH(assign, ""SELF""), job=""ガンブレイカー""), AND(check=Option!$H$13, REGEXMATCH(assign, ""SINGLE_PARTY""))),
         IF(
           OR(ARRAYFORMULA((IF(precondition="""", FALSE, REGEXMATCH("&amp;"$K$4:$ED$4, precondition))) * (K59:ED59=TRUE))),
           enhance,
           IF(barrier="""", buff, barrier)
         ),
         0
       ) *
       SWITCH(
         job,
         ""暗黒騎士"", FN$24,
         ""白魔道士"", EF59 * EH59 * FL59 * IF(abillity, 1"&amp;", EG59 * EI59) * (Option!$D$22 * 0.81 / 100),
         ""占星術師"", EF59 * EJ59 * FL59 * IF(abillity, 1, EG59 * EK59) * (Option!$D$23 * 0.81 / 100),
         ""学者"", EF59 * EL59 * FL59 * IF(abillity, 1, EG59 * EM59) * (Option!$D$24 * 0.81 / 100),
         """&amp;"賢者"", EF59 * EN59 * FL59 * IF(abillity, 1, EG59 * EO59) * (Option!$D$25 * 0.81 / 100),
         1
       )
     )
   )
 ) + EQ59"),0.0)</f>
        <v>0</v>
      </c>
      <c r="FN59" s="206">
        <f t="shared" si="13"/>
        <v>0</v>
      </c>
      <c r="FO59" s="213"/>
    </row>
    <row r="60">
      <c r="B60" s="229"/>
      <c r="C60" s="217">
        <f t="shared" si="1"/>
        <v>0</v>
      </c>
      <c r="D60" s="236"/>
      <c r="E60" s="238"/>
      <c r="F60" s="167"/>
      <c r="G60" s="168" t="str">
        <f t="shared" si="2"/>
        <v/>
      </c>
      <c r="H60" s="169"/>
      <c r="I60" s="169"/>
      <c r="J60" s="169"/>
      <c r="K60" s="170" t="b">
        <v>0</v>
      </c>
      <c r="L60" s="170" t="b">
        <v>0</v>
      </c>
      <c r="M60" s="170" t="b">
        <v>0</v>
      </c>
      <c r="N60" s="171" t="s">
        <v>1070</v>
      </c>
      <c r="O60" s="172" t="b">
        <v>0</v>
      </c>
      <c r="P60" s="173" t="b">
        <v>0</v>
      </c>
      <c r="Q60" s="173" t="b">
        <v>0</v>
      </c>
      <c r="R60" s="173" t="b">
        <v>0</v>
      </c>
      <c r="S60" s="174" t="b">
        <v>0</v>
      </c>
      <c r="T60" s="175" t="b">
        <v>0</v>
      </c>
      <c r="U60" s="173" t="b">
        <v>0</v>
      </c>
      <c r="V60" s="171" t="s">
        <v>1070</v>
      </c>
      <c r="W60" s="172" t="b">
        <v>0</v>
      </c>
      <c r="X60" s="173" t="b">
        <v>0</v>
      </c>
      <c r="Y60" s="173" t="b">
        <v>0</v>
      </c>
      <c r="Z60" s="173" t="b">
        <v>0</v>
      </c>
      <c r="AA60" s="174" t="b">
        <v>0</v>
      </c>
      <c r="AB60" s="174" t="b">
        <v>0</v>
      </c>
      <c r="AC60" s="175" t="b">
        <v>0</v>
      </c>
      <c r="AD60" s="173" t="b">
        <v>0</v>
      </c>
      <c r="AE60" s="176" t="s">
        <v>1070</v>
      </c>
      <c r="AF60" s="171" t="s">
        <v>1070</v>
      </c>
      <c r="AG60" s="177">
        <f>IFERROR(__xludf.DUMMYFUNCTION("IF(
  ISNUMBER(AG59),
  MIN(MAX(
    AG59
    + MAX(
      ROUNDDOWN(($D60 - MAX(IFERROR(FILTER($D$24:$D59, AG$24:AG59 &lt;&gt; AF$6, AG$23:AG58 = AF$6), 0))) * (60 * 60 * 24) / AF$9) - ROUNDDOWN(($D59 - MAX(IFERROR(FILTER($D$23:$D58, AG$23:AG58 &lt;&gt; AF$6, AG$22:"&amp;"AG57 = AF$6), 0))) * (60 * 60 * 24) / 60),
      0
    )
    - COUNTIF(AF60, ""&lt;&gt;-""),
  0), AF$6),
  AF$6 - COUNTIF(AF60, ""&lt;&gt;-"")
)"),2.0)</f>
        <v>2</v>
      </c>
      <c r="AH60" s="173" t="b">
        <v>0</v>
      </c>
      <c r="AI60" s="173" t="b">
        <v>0</v>
      </c>
      <c r="AJ60" s="173" t="b">
        <v>0</v>
      </c>
      <c r="AK60" s="174" t="b">
        <v>0</v>
      </c>
      <c r="AL60" s="175" t="b">
        <v>0</v>
      </c>
      <c r="AM60" s="173" t="b">
        <v>0</v>
      </c>
      <c r="AN60" s="171" t="s">
        <v>1070</v>
      </c>
      <c r="AO60" s="173" t="b">
        <v>0</v>
      </c>
      <c r="AP60" s="173" t="b">
        <v>0</v>
      </c>
      <c r="AQ60" s="173" t="b">
        <v>0</v>
      </c>
      <c r="AR60" s="174" t="b">
        <v>0</v>
      </c>
      <c r="AS60" s="178" t="b">
        <v>0</v>
      </c>
      <c r="AT60" s="179" t="b">
        <v>0</v>
      </c>
      <c r="AU60" s="180" t="b">
        <v>0</v>
      </c>
      <c r="AV60" s="180" t="b">
        <v>0</v>
      </c>
      <c r="AW60" s="180" t="b">
        <v>0</v>
      </c>
      <c r="AX60" s="180" t="b">
        <v>0</v>
      </c>
      <c r="AY60" s="181" t="s">
        <v>1070</v>
      </c>
      <c r="AZ60" s="181" t="s">
        <v>1070</v>
      </c>
      <c r="BA60" s="184">
        <f>IFERROR(__xludf.DUMMYFUNCTION("IF(
  ISNUMBER(BA59),
  MIN(MAX(
    BA59
    + MAX(
      ROUNDDOWN((D60 - MAX(IFERROR(FILTER(D$24:D59, BA$24:BA59 &lt;&gt; AZ$6, BA$23:BA58 = AZ$6), 0))) * (60 * 60 * 24) / AZ$9) - ROUNDDOWN((D59 - MAX(IFERROR(FILTER(D$23:D58, BA$23:BA58 &lt;&gt; AZ$6, BA$22:BA57 ="&amp;" AZ$6), 0))) * (60 * 60 * 24) / AZ$9),
      0
    )
    - COUNTIF(AZ60, ""&lt;&gt;-""),
  0), AZ$6),
  AZ$6 - COUNTIF(AZ60, ""&lt;&gt;-"")
)"),2.0)</f>
        <v>2</v>
      </c>
      <c r="BB60" s="181" t="s">
        <v>1070</v>
      </c>
      <c r="BC60" s="183">
        <f>IFERROR(__xludf.DUMMYFUNCTION("IF(
  ISNUMBER(BC59),
  MIN(MAX(
    BC59
    + MAX(
      ROUNDDOWN(($D60 - MAX(IFERROR(FILTER($D$24:$D59, BC$24:BC59 &lt;&gt; BB$6, BC$23:BC58 = BB$6), 0))) * (60 * 60 * 24) / BB$9) - ROUNDDOWN(($D59 - MAX(IFERROR(FILTER($D$23:$D58, BC$23:BC58 &lt;&gt; BB$6, BC$22:"&amp;"BC57 = BB$6), 0))) * (60 * 60 * 24) / 60),
      0
    )
    - COUNTIF(BB60, ""&lt;&gt;-""),
  0), BB$6),
  BB$6 - COUNTIF(BB60, ""&lt;&gt;-"")
)"),2.0)</f>
        <v>2</v>
      </c>
      <c r="BD60" s="181" t="s">
        <v>1070</v>
      </c>
      <c r="BE60" s="178" t="b">
        <v>0</v>
      </c>
      <c r="BF60" s="180" t="b">
        <v>0</v>
      </c>
      <c r="BG60" s="180" t="b">
        <v>0</v>
      </c>
      <c r="BH60" s="180" t="b">
        <v>0</v>
      </c>
      <c r="BI60" s="180" t="b">
        <v>0</v>
      </c>
      <c r="BJ60" s="180" t="b">
        <v>0</v>
      </c>
      <c r="BK60" s="180" t="b">
        <v>0</v>
      </c>
      <c r="BL60" s="180" t="b">
        <v>0</v>
      </c>
      <c r="BM60" s="180" t="b">
        <v>0</v>
      </c>
      <c r="BN60" s="180" t="b">
        <v>0</v>
      </c>
      <c r="BO60" s="181" t="s">
        <v>1070</v>
      </c>
      <c r="BP60" s="181" t="s">
        <v>1070</v>
      </c>
      <c r="BQ60" s="181" t="s">
        <v>1070</v>
      </c>
      <c r="BR60" s="181" t="s">
        <v>1070</v>
      </c>
      <c r="BS60" s="181" t="s">
        <v>1070</v>
      </c>
      <c r="BT60" s="184">
        <f>IFERROR(__xludf.DUMMYFUNCTION("IF(
  ISNUMBER(BT59),
  MIN(MAX(
    BT59
    + MAX(
      ROUNDDOWN((D60 - MAX(IFERROR(FILTER(D$24:D59, BT$24:BT59 &lt;&gt; BS$6, BT$23:BT58 = BS$6), 0))) * (60 * 60 * 24) / BS$9) - ROUNDDOWN((D59 - MAX(IFERROR(FILTER(D$23:D58, BT$23:BT58 &lt;&gt; BS$6, BT$22:BT57 ="&amp;" BS$6), 0))) * (60 * 60 * 24) / BS$9),
      0
    )
    - COUNTIF(BS60, ""&lt;&gt;-""),
  0), BS$6),
  BS$6 - COUNTIF(BS60, ""&lt;&gt;-"")
)"),3.0)</f>
        <v>3</v>
      </c>
      <c r="BU60" s="181" t="s">
        <v>1070</v>
      </c>
      <c r="BV60" s="181" t="s">
        <v>1070</v>
      </c>
      <c r="BW60" s="184">
        <f>IFERROR(__xludf.DUMMYFUNCTION("IF(
  ISNUMBER(BW59),
  MIN(MAX(
    BW59
    + MAX(
      ROUNDDOWN((D60 - MAX(IFERROR(FILTER(D$24:D59, BW$24:BW59 &lt;&gt; BV$6, BW$23:BW58 = BV$6), 0))) * (60 * 60 * 24) / BV$9) - ROUNDDOWN((D59 - MAX(IFERROR(FILTER(D$23:D58, BW$23:BW58 &lt;&gt; BV$6, BW$22:BW57 ="&amp;" BV$6), 0))) * (60 * 60 * 24) / BV$9),
      0
    )
    - COUNTIF(BV60, ""&lt;&gt;-""),
  0), BV$6),
  BV$6 - COUNTIF(BV60, ""&lt;&gt;-"")
)"),2.0)</f>
        <v>2</v>
      </c>
      <c r="BX60" s="185" t="s">
        <v>1070</v>
      </c>
      <c r="BY60" s="178" t="b">
        <v>0</v>
      </c>
      <c r="BZ60" s="180" t="b">
        <v>0</v>
      </c>
      <c r="CA60" s="180" t="b">
        <v>0</v>
      </c>
      <c r="CB60" s="180" t="b">
        <v>0</v>
      </c>
      <c r="CC60" s="180" t="b">
        <v>0</v>
      </c>
      <c r="CD60" s="180" t="b">
        <v>0</v>
      </c>
      <c r="CE60" s="180" t="b">
        <v>0</v>
      </c>
      <c r="CF60" s="180" t="b">
        <v>0</v>
      </c>
      <c r="CG60" s="180" t="b">
        <v>0</v>
      </c>
      <c r="CH60" s="180" t="b">
        <v>0</v>
      </c>
      <c r="CI60" s="180" t="b">
        <v>0</v>
      </c>
      <c r="CJ60" s="180" t="b">
        <v>0</v>
      </c>
      <c r="CK60" s="180" t="b">
        <v>0</v>
      </c>
      <c r="CL60" s="180" t="b">
        <v>0</v>
      </c>
      <c r="CM60" s="181" t="s">
        <v>1070</v>
      </c>
      <c r="CN60" s="181" t="s">
        <v>1070</v>
      </c>
      <c r="CO60" s="181" t="s">
        <v>1070</v>
      </c>
      <c r="CP60" s="181" t="s">
        <v>1070</v>
      </c>
      <c r="CQ60" s="185" t="s">
        <v>1070</v>
      </c>
      <c r="CR60" s="180" t="b">
        <v>0</v>
      </c>
      <c r="CS60" s="186" t="str">
        <f t="shared" si="14"/>
        <v>◇◇◇</v>
      </c>
      <c r="CT60" s="178" t="b">
        <v>0</v>
      </c>
      <c r="CU60" s="180" t="b">
        <v>0</v>
      </c>
      <c r="CV60" s="180" t="b">
        <v>0</v>
      </c>
      <c r="CW60" s="180" t="b">
        <v>0</v>
      </c>
      <c r="CX60" s="180" t="b">
        <v>0</v>
      </c>
      <c r="CY60" s="180" t="b">
        <v>0</v>
      </c>
      <c r="CZ60" s="180" t="b">
        <v>0</v>
      </c>
      <c r="DA60" s="180" t="b">
        <v>0</v>
      </c>
      <c r="DB60" s="180" t="b">
        <v>0</v>
      </c>
      <c r="DC60" s="180" t="b">
        <v>0</v>
      </c>
      <c r="DD60" s="181" t="s">
        <v>1070</v>
      </c>
      <c r="DE60" s="181" t="s">
        <v>1070</v>
      </c>
      <c r="DF60" s="181" t="s">
        <v>1070</v>
      </c>
      <c r="DG60" s="185" t="s">
        <v>1070</v>
      </c>
      <c r="DH60" s="180" t="b">
        <v>0</v>
      </c>
      <c r="DI60" s="187" t="str">
        <f>IFERROR(__xludf.DUMMYFUNCTION("SWITCH(
  IF(
    ISTEXT(DI59),
    IF (
      FIND(""○"", DI59&amp;""○"") &gt; 3,
      3,
      FIND(""○"", DI59&amp;""○"")
      + MAX(
        ROUNDDOWN(($D60 - MAX(IFERROR(FILTER(D$24:D59, DI$24:DI59 &lt;&gt; ""●●●"", DI$23:DI58 = ""●●●""), 0))) * (60 * 60 * 24) / 20"&amp;") - ROUNDDOWN(($D59 - MAX(IFERROR(FILTER(D$23:D58, DI$23:DI58 &lt;&gt; ""●●●"", DI$22:DI57 = ""●●●""), 0))) * (60 * 60 * 24) / 20),
        0
      ) - 1
    ) - COUNTIFS(CU60, ""=TRUE"", CU59, ""&lt;&gt;TRUE"") - COUNTIF(CZ60, ""=TRUE"") - COUNTIF({DD60,DE60}, ""&lt;&gt;-"&amp;""") + COUNTIF(DH60, ""=TRUE""),
    3
  ),
  0, ""○○○"", 1, ""●○○"", 2, ""●●○"", 3, ""●●●"", 4, ""●●●"", ""○○○""
)"),"●●●")</f>
        <v>●●●</v>
      </c>
      <c r="DJ60" s="188" t="b">
        <v>0</v>
      </c>
      <c r="DK60" s="189" t="b">
        <v>0</v>
      </c>
      <c r="DL60" s="190" t="b">
        <v>0</v>
      </c>
      <c r="DM60" s="190" t="b">
        <v>0</v>
      </c>
      <c r="DN60" s="190" t="b">
        <v>0</v>
      </c>
      <c r="DO60" s="190" t="b">
        <v>0</v>
      </c>
      <c r="DP60" s="190" t="b">
        <v>0</v>
      </c>
      <c r="DQ60" s="191" t="b">
        <v>0</v>
      </c>
      <c r="DR60" s="192" t="b">
        <v>0</v>
      </c>
      <c r="DS60" s="191" t="b">
        <v>0</v>
      </c>
      <c r="DT60" s="192" t="b">
        <v>0</v>
      </c>
      <c r="DU60" s="191" t="b">
        <v>0</v>
      </c>
      <c r="DV60" s="193" t="s">
        <v>1070</v>
      </c>
      <c r="DW60" s="194" t="b">
        <v>0</v>
      </c>
      <c r="DX60" s="194" t="b">
        <v>0</v>
      </c>
      <c r="DY60" s="195" t="b">
        <v>0</v>
      </c>
      <c r="DZ60" s="196" t="b">
        <v>0</v>
      </c>
      <c r="EA60" s="195" t="b">
        <v>0</v>
      </c>
      <c r="EB60" s="197" t="b">
        <v>0</v>
      </c>
      <c r="EC60" s="197" t="b">
        <v>0</v>
      </c>
      <c r="ED60" s="212" t="b">
        <v>0</v>
      </c>
      <c r="EE60" s="199">
        <f>IFERROR(__xludf.DUMMYFUNCTION("IFERROR(
   PRODUCT(
     MAP(
       INDEX(TRANSPOSE(UNIQUE(TRANSPOSE(FILTER({IF($F60=""Physical"", K$10:ED$10, IF($F60=""Magic"", K$11:ED$11, K$12:ED$12));K$4:ED$4;K60:ED60}, K60:ED60=TRUE)))), 1, 0),
       INDEX(TRANSPOSE(UNIQUE(TRANSPOSE(FILTER({IF($"&amp;"F60=""Physical"", K$18:ED$18, IF($F60=""Magic"", K$19:ED$19, K$20:ED$20));K$4:ED$4;K60:ED60}, K60:ED60=TRUE)))), 1, 0),
       INDEX(TRANSPOSE(UNIQUE(TRANSPOSE(FILTER({K$5:ED$5;K$4:ED$4;K60:ED60}, K60:ED60=TRUE)))), 1, 0),
       INDEX(TRANSPOSE(UNIQUE(TR"&amp;"ANSPOSE(FILTER({K$17:ED$17;K$4:ED$4;K60:ED60}, K60:ED60=TRUE)))), 1, 0),
       LAMBDA(
         mitigation,
         enhance,
         assign,
         precondition,
         IF(
           REGEXMATCH(assign, ""RANGE_PARTY|SINGLE_ENEMY|RANGE_ENEMY""),
  "&amp;"         IF(
             OR(ARRAYFORMULA((IF(precondition="""", FALSE, REGEXMATCH(K$4:ED$4, precondition))) * (K60:ED60=TRUE))),
             IF(ISNUMBER(enhance), enhance, 1),
             IF(ISNUMBER(mitigation), mitigation, 1)
           ),
          "&amp;" 1
         )
       )
     )
   ),
   1
 )"),1.0)</f>
        <v>1</v>
      </c>
      <c r="EF60" s="200">
        <f>IFERROR(__xludf.DUMMYFUNCTION("PRODUCT(
   MAP(
     K$14:ED$14,
     K$13:ED$13,
     K60:ED60,
     LAMBDA(
       buff,
       target,
       check,
       IF(
         AND(check=TRUE, REGEXMATCH(target, ""RANGE_AFFECTED_ALL|RANGE_EFFECTED_ALL""), ISNUMBER(buff)),
         buff,
   "&amp;"      1
       )
     )
   )
 )"),1.0)</f>
        <v>1</v>
      </c>
      <c r="EG60" s="200">
        <f>IFERROR(__xludf.DUMMYFUNCTION("PRODUCT(
   MAP(
     K$14:ED$14,
     K$13:ED$13,
     K60:ED60,
     LAMBDA(
       buff,
       target,
       check,
       IF(
         AND(check=TRUE, REGEXMATCH(target, ""RANGE_AFFECTED_GCD|RANGE_EFFECTED_GCD""), ISNUMBER(buff)),
         buff,
   "&amp;"      1
       )
     )
   )
 )"),1.0)</f>
        <v>1</v>
      </c>
      <c r="EH60" s="200">
        <f>IFERROR(__xludf.DUMMYFUNCTION("PRODUCT(
   MAP(
     K$3:ED$3,
     K$14:ED$14,
     K$13:ED$13,
     K60:ED60,
     LAMBDA(
       job,
       buff,
       target,
       check,
       IF(
         AND(check=TRUE, REGEXMATCH(target, ""SELF_EFFECTED_ALL""), ISNUMBER(buff), job=""白魔道士"""&amp;"),
         buff,
         1
       )
     )
   )
 )"),1.0)</f>
        <v>1</v>
      </c>
      <c r="EI60" s="200">
        <f>IFERROR(__xludf.DUMMYFUNCTION("PRODUCT(
   MAP(
     K$3:ED$3,
     K$14:ED$14,
     K$13:ED$13,
     K60:ED60,
     LAMBDA(
       job,
       buff,
       target,
       check,
       IF(
         AND(check=TRUE, REGEXMATCH(target, ""SELF_EFFECTED_GCD""), ISNUMBER(buff), job=""白魔道士"""&amp;"),
         buff,
         1
       )
     )
   )
 )"),1.0)</f>
        <v>1</v>
      </c>
      <c r="EJ60" s="200">
        <f>IFERROR(__xludf.DUMMYFUNCTION("PRODUCT(
   MAP(
     K$3:ED$3,
     K$14:ED$14,
     K$13:ED$13,
     K60:ED60,
     LAMBDA(
       job,
       buff,
       target,
       check,
       IF(
         AND(check=TRUE, REGEXMATCH(target, ""SELF_EFFECTED_ALL""), ISNUMBER(buff), job=""占星術師"""&amp;"),
         buff,
         1
       )
     )
   )
 )"),1.0)</f>
        <v>1</v>
      </c>
      <c r="EK60" s="200">
        <f>IFERROR(__xludf.DUMMYFUNCTION("PRODUCT(
   MAP(
     K$3:ED$3,
     K$14:ED$14,
     K$13:ED$13,
     K60:ED60,
     LAMBDA(
       job,
       buff,
       target,
       check,
       IF(
         AND(check=TRUE, REGEXMATCH(target, ""SELF_EFFECTED_GCD""), ISNUMBER(buff), job=""占星術師"""&amp;"),
         buff,
         1
       )
     )
   )
 )"),1.0)</f>
        <v>1</v>
      </c>
      <c r="EL60" s="200">
        <f>IFERROR(__xludf.DUMMYFUNCTION("PRODUCT(
   MAP(
     K$3:ED$3,
     K$14:ED$14,
     K$13:ED$13,
     K60:ED60,
     LAMBDA(
       job,
       buff,
       target,
       check,
       IF(
         AND(check=TRUE, REGEXMATCH(target, ""SELF_EFFECTED_ALL""), ISNUMBER(buff), job=""学者""),"&amp;"
         buff,
         1
       )
     )
   )
 )"),1.0)</f>
        <v>1</v>
      </c>
      <c r="EM60" s="200">
        <f>IFERROR(__xludf.DUMMYFUNCTION("PRODUCT(
   MAP(
     K$3:ED$3,
     K$14:ED$14,
     K$13:ED$13,
     K60:ED60,
     LAMBDA(
       job,
       buff,
       target,
       check,
       IF(
         AND(check=TRUE, REGEXMATCH(target, ""SELF_EFFECTED_GCD""), ISNUMBER(buff), job=""学者""),"&amp;"
         buff,
         1
       )
     )
   )
 )"),1.0)</f>
        <v>1</v>
      </c>
      <c r="EN60" s="200">
        <f>IFERROR(__xludf.DUMMYFUNCTION("PRODUCT(
   MAP(
     K$3:ED$3,
     K$14:ED$14,
     K$13:ED$13,
     K60:ED60,
     LAMBDA(
       job,
       buff,
       target,
       check,
       IF(
         AND(check=TRUE, REGEXMATCH(target, ""SELF_EFFECTED_ALL""), ISNUMBER(buff), job=""賢者""),"&amp;"
         buff,
         1
       )
     )
   )
 )"),1.0)</f>
        <v>1</v>
      </c>
      <c r="EO60" s="200">
        <f>IFERROR(__xludf.DUMMYFUNCTION("PRODUCT(
   MAP(
     K$3:ED$3,
     K$14:ED$14,
     K$13:ED$13,
     K60:ED60,
     LAMBDA(
       job,
       buff,
       target,
       check,
       IF(
         AND(check=TRUE, REGEXMATCH(target, ""SELF_EFFECTED_GCD""), ISNUMBER(buff), job=""賢者""),"&amp;"
         buff,
         1
       )
     )
   )
 )"),1.0)</f>
        <v>1</v>
      </c>
      <c r="EP60" s="201">
        <f t="shared" si="3"/>
        <v>0</v>
      </c>
      <c r="EQ60" s="201">
        <f>IFERROR(__xludf.DUMMYFUNCTION("SUM(
   MAP(
     K$4:ED$4,
     K$3:ED$3,
     K$7:ED$7,
     K$15:ED$15,
     K$16:ED$16,
     K$21:ED$21,
     K$5:ED$5,
     K$17:ED$17,
     K60:ED60,
     LAMBDA(
       name,
       job,
       abillity,
       buff,
       barrier,
       enhance,"&amp;"
       assign,
       precondition,
       check,
       SWITCH(
         name,
         ""シェイクオフ"", IF(check=TRUE, buff + (0.02 * COUNTIF(ARRAYFORMULA((REGEXMATCH($K$4:$ED$4, ""スリル・オブ・バトル|ヴェンジェンス|原初の血気|ダムネーション"")) * (K60:ED60=TRUE)), 1)), 0),
         "&amp;"""インプロビゼーションフィニッシュ(踊りの激情0)"", IF(ISNUMBER(check), INDEX(Skill!$AJ:$AJ, MATCH(SUBSTITUTE(DV$4, 0, check), Skill!$C:$C, 0)), 0),
         IF(
           AND(check=TRUE, REGEXMATCH(assign, ""RANGE_PARTY"")),
           IF(
             OR(ARRAYFORMULA((IF(pr"&amp;"econdition="""", FALSE, REGEXMATCH($K$4:$ED$4, precondition))) * (K60:ED60=TRUE))),
             enhance,
             IF(barrier="""", buff, barrier)
           ),
           0
         )
       ) *
       SWITCH(
         job,
         ""ナイト"", EY$24,
 "&amp;"        ""戦士"", FD$24,
         ""踊り子"", ET$24,
         ""ピクトマンサー"", ET$24,
         ""白魔道士"", EF60 * EH60 * IF(abillity, 1, EG60 * EI60) * (Option!$D$22 * 0.81 / 100),
         ""占星術師"", EF60 * EJ60 * IF(abillity, 1, EG60 * EK60) * (Option!$D$23 * 0.81 "&amp;"/ 100),
         ""学者"", EF60 * EL60 * IF(abillity, 1, EG60 * EM60) * (Option!$D$24 * 0.81 / 100),
         ""賢者"", EF60 * EN60 * IF(abillity, 1, EG60 * EO60) * (Option!$D$25 * 0.81 / 100),
         1
       )
     )
   )
 )"),0.0)</f>
        <v>0</v>
      </c>
      <c r="ER60" s="202">
        <f t="shared" si="4"/>
        <v>0</v>
      </c>
      <c r="ES60" s="203">
        <f t="shared" si="5"/>
        <v>0</v>
      </c>
      <c r="ET60" s="231" t="str">
        <f>IFERROR(__xludf.DUMMYFUNCTION("IFS(
  EP60 &gt; $ET$24 + EQ60,
  SPARKLINE({ 1, 0 }, {""charttype"",""bar"";""max"", 1;""color1"",Option!$D$30;""color2"",Option!$D$30}),
  EP60 &lt; EQ60,
  SPARKLINE({EQ60 - EP60, $ET$24 - (EQ60 - EP60)}, {""charttype"",""bar"";""max"",$ET$24;""color1"",Opti"&amp;"on!$D$28;""color2"",Option!$D$29}),
  EP60 &gt;= EQ60,
  SPARKLINE({$ET$24 + EQ60 - EP60,EP60 - EQ60}, {""charttype"",""bar"";""max"",$ET$24;""color1"",Option!$D$29;""color2"",Option!$D$30})
)"),"")</f>
        <v/>
      </c>
      <c r="EU60" s="205">
        <f>IFERROR(__xludf.DUMMYFUNCTION("PRODUCT(
   MAP(
     IF($F60=""Physical"", K$10:ED$10, IF($F60=""Magic"", K$11:ED$11, K$12:ED$12)),
     IF($F60=""Physical"", K$18:ED$18, IF($F60=""Magic"", K$19:ED$19, K$20:ED$20)),
     K$3:ED$3,
     K$5:ED$5,
     K$17:ED$17,
     K60:ED60,
     LAM"&amp;"BDA(
       mitigation,
       enhance,
       job,
       assign,
       precondition,
       check,
       IF(
         OR(AND(check=TRUE, REGEXMATCH(assign, ""SELF""), job=""ナイト""), AND(check=Option!$E$13, REGEXMATCH(assign, ""SINGLE_PARTY""))),
      "&amp;"   IF(
           OR(ARRAYFORMULA((IF(precondition="""", FALSE, REGEXMATCH($K$4:$ED$4, precondition))) * (K60:ED60=TRUE))),
           enhance,
           mitigation
         ),
         1
       )
     )
   )
 ) * EE60"),1.0)</f>
        <v>1</v>
      </c>
      <c r="EV60" s="206">
        <f t="shared" si="6"/>
        <v>0</v>
      </c>
      <c r="EW60" s="205">
        <f>IFERROR(__xludf.DUMMYFUNCTION("PRODUCT(
   MAP(
     K$3:ED$3,
     K$14:ED$14,
     K$13:ED$13,
     K60:ED60,
     LAMBDA(
       job,
       buff,
       target,
       check,
       IF(
         OR(AND(check=TRUE, REGEXMATCH(target, ""SELF_AFFECTED_ALL""), job=""ナイト""), AND(check=O"&amp;"ption!$E$13, REGEXMATCH(target, ""SINGLE_AFFECTED_ALL""))),
         buff,
         1
       )
     )
   )
 )"),1.0)</f>
        <v>1</v>
      </c>
      <c r="EX60" s="206">
        <f>IFERROR(__xludf.DUMMYFUNCTION("SUM(
   MAP(
     K$3:ED$3,
     K$7:ED$7,
     K$15:ED$15,
     K$16:ED$16,
     K$21:ED$21,
     K$5:ED$5,
     K$17:ED$17,
     K60:ED60,
     LAMBDA(
       job,
       abillity,
       buff,
       barrier,
       enhance,
       assign,
       preco"&amp;"ndition,
       check,
       IF(
         OR(AND(check=TRUE, REGEXMATCH(assign, ""SELF""), job=""ナイト""), AND(check=Option!$E$13, REGEXMATCH(assign, ""SINGLE_PARTY""))),
         IF(
           OR(ARRAYFORMULA((IF(precondition="""", FALSE, REGEXMATCH($K$4"&amp;":$ED$4, precondition))) * (K60:ED60=TRUE))),
           enhance,
           IF(barrier="""", buff, barrier)
         ),
         0
       ) *
       SWITCH(
         job,
         ""暗黒騎士"", EY$24,
         ""白魔道士"", EF60 * EH60 * EW60 * IF(abillity, 1, EG"&amp;"60 * EI60) * (Option!$D$22 * 0.81 / 100),
         ""占星術師"", EF60 * EJ60 * EW60 * IF(abillity, 1, EG60 * EK60) * (Option!$D$23 * 0.81 / 100),
         ""学者"", EF60 * EL60 * EW60 * IF(abillity, 1, EG60 * EM60) * (Option!$D$24 * 0.81 / 100),
         ""賢者"""&amp;", EF60 * EN60 * EW60 * IF(abillity, 1, EG60 * EO60) * (Option!$D$25 * 0.81 / 100),
         1
       )
     )
   )
 ) + EQ60"),0.0)</f>
        <v>0</v>
      </c>
      <c r="EY60" s="232">
        <f t="shared" si="7"/>
        <v>0</v>
      </c>
      <c r="EZ60" s="205">
        <f>IFERROR(__xludf.DUMMYFUNCTION("PRODUCT(
   MAP(
     IF($F60=""Physical"", K$10:ED$10, IF($F60=""Magic"", K$11:ED$11, K$12:ED$12)),
     IF($F60=""Physical"", K$18:ED$18, IF($F60=""Magic"", K$19:ED$19, K$20:ED$20)),
     K$3:ED$3,
     K$5:ED$5,
     K$17:ED$17,
     K60:ED60,
     LAM"&amp;"BDA(
       mitigation,
       enhance,
       job,
       assign,
       precondition,
       check,
       IF(
         OR(AND(check=TRUE, REGEXMATCH(assign, ""SELF""), job=""戦士""), AND(check=Option!$F$13, REGEXMATCH(assign, ""SINGLE_PARTY""))),
       "&amp;"  IF(
           OR(ARRAYFORMULA((IF(precondition="""", FALSE, REGEXMATCH($K$4:$ED$4, precondition))) * (K60:ED60=TRUE))),
           enhance,
           mitigation
         ),
         1
       )
     )
   )
 ) * EE60"),1.0)</f>
        <v>1</v>
      </c>
      <c r="FA60" s="206">
        <f t="shared" si="8"/>
        <v>0</v>
      </c>
      <c r="FB60" s="205">
        <f>IFERROR(__xludf.DUMMYFUNCTION("PRODUCT(
   MAP(
     K$3:ED$3,
     K$14:ED$14,
     K$13:ED$13,
     K60:ED60,
     LAMBDA(
       job,
       buff,
       target,
       check,
       IF(
         OR(AND(check=TRUE, REGEXMATCH(target, ""SELF_AFFECTED_ALL""), job=""戦士""), AND(check=Op"&amp;"tion!$F$13, REGEXMATCH(target, ""SINGLE_AFFECTED_ALL""))),
         buff,
         1
       )
     )
   )
 )"),1.0)</f>
        <v>1</v>
      </c>
      <c r="FC60" s="206">
        <f>IFERROR(__xludf.DUMMYFUNCTION("SUM(
   MAP(
     K$3:ED$3,
     K$7:ED$7,
     K$15:ED$15,
     K$16:ED$16,
     K$21:ED$21,
     K$5:ED$5,
     K$17:ED$17,
     K60:ED60,
     LAMBDA(
       job,
       abillity,
       buff,
       barrier,
       enhance,
       assign,
       preco"&amp;"ndition,
       check,
       IF(
         OR(AND(check=TRUE, REGEXMATCH(assign, ""SELF""), job=""戦士""), AND(check=Option!$F$13, REGEXMATCH(assign, ""SINGLE_PARTY""))),
         IF(
           OR(ARRAYFORMULA((IF(precondition="""", FALSE, REGEXMATCH($K$4:"&amp;"$ED$4, precondition))) * (K60:ED60=TRUE))),
           enhance,
           IF(barrier="""", buff, barrier)
         ),
         0
       ) *
       SWITCH(
         job,
         ""暗黒騎士"", FD$24,
         ""白魔道士"", EF60 * EH60 * FB60 * IF(abillity, 1, EG6"&amp;"0 * EI60) * (Option!$D$22 * 0.81 / 100),
         ""占星術師"", EF60 * EJ60 * FFB60 * IF(abillity, 1, EG60 * EK60) * (Option!$D$23 * 0.81 / 100),
         ""学者"", EF60 * EL60 * FB60 * IF(abillity, 1, EG60 * EM60) * (Option!$D$24 * 0.81 / 100),
         ""賢者"""&amp;", EF60 * EN60 * FB60 * IF(abillity, 1, EG60 * EO60) * (Option!$D$25 * 0.81 / 100),
         1
       )
     )
   )
 ) + EQ60"),0.0)</f>
        <v>0</v>
      </c>
      <c r="FD60" s="206">
        <f t="shared" si="9"/>
        <v>0</v>
      </c>
      <c r="FE60" s="205">
        <f>IFERROR(__xludf.DUMMYFUNCTION("PRODUCT(
   MAP(
     IF($F60=""Physical"", K$10:ED$10, IF($F60=""Magic"", K$11:ED$11, K$12:ED$12)),
     IF($F60=""Physical"", K$18:ED$18, IF($F60=""Magic"", K$19:ED$19, K$20:ED$20)),
     K$3:ED$3,
     K$5:ED$5,
     K$17:ED$17,
     K60:ED60,
     LAM"&amp;"BDA(
       mitigation,
       enhance,
       job,
       assign,
       precondition,
       check,
       IF(
         OR(AND(check=TRUE, REGEXMATCH(assign, ""SELF""), job=""暗黒騎士""), AND(check=Option!$G$13, REGEXMATCH(assign, ""SINGLE_PARTY""))),
     "&amp;"    IF(
           OR(ARRAYFORMULA((IF(precondition="""", FALSE, REGEXMATCH($K$4:$ED$4, precondition))) * (K60:ED60=TRUE))),
           enhance,
           mitigation
         ),
         1
       )
     )
   )
 ) * EE60"),1.0)</f>
        <v>1</v>
      </c>
      <c r="FF60" s="206">
        <f t="shared" si="10"/>
        <v>0</v>
      </c>
      <c r="FG60" s="205">
        <f>IFERROR(__xludf.DUMMYFUNCTION("PRODUCT(
   MAP(
     K$3:ED$3,
     K$14:ED$14,
     K$13:ED$13,
     K60:ED60,
     LAMBDA(
       job,
       buff,
       target,
       check,
       IF(
         OR(AND(check=TRUE, REGEXMATCH(target, ""SELF_AFFECTED_ALL""), job=""暗黒騎士""), AND(check="&amp;"Option!$G$13, REGEXMATCH(target, ""SINGLE_AFFECTED_ALL""))),
         buff,
         1
       )
     )
   )
 )"),1.0)</f>
        <v>1</v>
      </c>
      <c r="FH60" s="206">
        <f>IFERROR(__xludf.DUMMYFUNCTION("SUM(
   MAP(
     K$3:ED$3,
     K$7:ED$7,
     K$15:ED$15,
     K$16:ED$16,
     K$21:ED$21,
     K$5:ED$5,
     K$17:ED$17,
     K60:ED60,
     LAMBDA(
       job,
       abillity,
       buff,
       barrier,
       enhance,
       assign,
       preco"&amp;"ndition,
       check,
       IF(
         OR(AND(check=TRUE, REGEXMATCH(assign, ""SELF""), job=""暗黒騎士""), AND(check=Option!$G$13, REGEXMATCH(assign, ""SINGLE_PARTY""))),
         IF(
           OR(ARRAYFORMULA((IF(precondition="""", FALSE, REGEXMATCH($K$"&amp;"4:$ED$4, precondition))) * (K60:ED60=TRUE))),
           enhance,
           IF(barrier="""", buff, barrier)
         ),
         0
       ) *
       SWITCH(
         job,
         ""暗黒騎士"", FI$24,
         ""白魔道士"", EF60 * EH60 * FG60 * IF(abillity, 1, E"&amp;"G60 * EI60) * (Option!$D$22 * 0.81 / 100),
         ""占星術師"", EF60 * EJ60 * FG60 * IF(abillity, 1, EG60 * EK60) * (Option!$D$23 * 0.81 / 100),
         ""学者"", EF60 * EL60 * FG60 * IF(abillity, 1, EG60 * EM60) * (Option!$D$24 * 0.81 / 100),
         ""賢者"&amp;""", EF60 * EN60 * FG60 * IF(abillity, 1, EG60 * EO60) * (Option!$D$25 * 0.81 / 100),
         1
       )
     )
   )
 ) + EQ60"),0.0)</f>
        <v>0</v>
      </c>
      <c r="FI60" s="206">
        <f t="shared" si="11"/>
        <v>0</v>
      </c>
      <c r="FJ60" s="205">
        <f>IFERROR(__xludf.DUMMYFUNCTION("PRODUCT(
   MAP(
     IF($F60=""Physical"", K$10:ED$10, IF($F60=""Magic"", K$11:ED$11, K$12:ED$12)),
     IF($F60=""Physical"", K$18:ED$18, IF($F60=""Magic"", K$19:ED$19, K$20:ED$20)),
     K$3:ED$3,
     K$5:ED$5,
     K$17:ED$17,
     K60:ED60,
     LAM"&amp;"BDA(
       mitigation,
       enhance,
       job,
       assign,
       precondition,
       check,
       IF(
         OR(AND(check=TRUE, REGEXMATCH(assign, ""SELF""), job=""ガンブレイカー""), AND(check=Option!$H$13, REGEXMATCH(assign, ""SINGLE_PARTY""))),
  "&amp;"       IF(
           OR(ARRAYFORMULA((IF(precondition="""", FALSE, REGEXMATCH($K$4:$ED$4, precondition))) * (K60:ED60=TRUE))),
           enhance,
           mitigation
         ),
         1
       )
     )
   )
 ) * EE60"),1.0)</f>
        <v>1</v>
      </c>
      <c r="FK60" s="206">
        <f t="shared" si="12"/>
        <v>0</v>
      </c>
      <c r="FL60" s="205">
        <f>IFERROR(__xludf.DUMMYFUNCTION("PRODUCT(
   MAP(
     K$3:ED$3,
     K$14:ED$14,
     K$13:ED$13,
     K60:ED60,
     LAMBDA(
       job,
       buff,
       target,
       check,
       IF(
         OR(AND(check=TRUE, REGEXMATCH(target, ""SELF_AFFECTED_ALL""), job=""ガンブレイカー""), AND(che"&amp;"ck=Option!$H$13, REGEXMATCH(target, ""SINGLE_AFFECTED_ALL""))),
         buff,
         1
       )
     )
   )
 )"),1.0)</f>
        <v>1</v>
      </c>
      <c r="FM60" s="206">
        <f>IFERROR(__xludf.DUMMYFUNCTION("SUM(
   MAP(
     K$3:ED$3,
     K$7:ED$7,
     K$15:ED$15,
     K$16:ED$16,
     K$21:ED$21,
     K$5:ED$5,
     K$17:ED$17,
     K60:ED60,
     LAMBDA(
       job,
       abillity,
       buff,
       barrier,
       enhance,
       assign,
       preco"&amp;"ndition,
       check,
       IF(
         OR(AND(check=TRUE, REGEXMATCH(assign, ""SELF""), job=""ガンブレイカー""), AND(check=Option!$H$13, REGEXMATCH(assign, ""SINGLE_PARTY""))),
         IF(
           OR(ARRAYFORMULA((IF(precondition="""", FALSE, REGEXMATCH("&amp;"$K$4:$ED$4, precondition))) * (K60:ED60=TRUE))),
           enhance,
           IF(barrier="""", buff, barrier)
         ),
         0
       ) *
       SWITCH(
         job,
         ""暗黒騎士"", FN$24,
         ""白魔道士"", EF60 * EH60 * FL60 * IF(abillity, 1"&amp;", EG60 * EI60) * (Option!$D$22 * 0.81 / 100),
         ""占星術師"", EF60 * EJ60 * FL60 * IF(abillity, 1, EG60 * EK60) * (Option!$D$23 * 0.81 / 100),
         ""学者"", EF60 * EL60 * FL60 * IF(abillity, 1, EG60 * EM60) * (Option!$D$24 * 0.81 / 100),
         """&amp;"賢者"", EF60 * EN60 * FL60 * IF(abillity, 1, EG60 * EO60) * (Option!$D$25 * 0.81 / 100),
         1
       )
     )
   )
 ) + EQ60"),0.0)</f>
        <v>0</v>
      </c>
      <c r="FN60" s="206">
        <f t="shared" si="13"/>
        <v>0</v>
      </c>
      <c r="FO60" s="213"/>
    </row>
    <row r="61">
      <c r="B61" s="229"/>
      <c r="C61" s="217">
        <f t="shared" si="1"/>
        <v>0</v>
      </c>
      <c r="D61" s="236"/>
      <c r="E61" s="238"/>
      <c r="F61" s="167"/>
      <c r="G61" s="168" t="str">
        <f t="shared" si="2"/>
        <v/>
      </c>
      <c r="H61" s="169"/>
      <c r="I61" s="169"/>
      <c r="J61" s="169"/>
      <c r="K61" s="170" t="b">
        <v>0</v>
      </c>
      <c r="L61" s="170" t="b">
        <v>0</v>
      </c>
      <c r="M61" s="170" t="b">
        <v>0</v>
      </c>
      <c r="N61" s="171" t="s">
        <v>1070</v>
      </c>
      <c r="O61" s="172" t="b">
        <v>0</v>
      </c>
      <c r="P61" s="173" t="b">
        <v>0</v>
      </c>
      <c r="Q61" s="173" t="b">
        <v>0</v>
      </c>
      <c r="R61" s="173" t="b">
        <v>0</v>
      </c>
      <c r="S61" s="174" t="b">
        <v>0</v>
      </c>
      <c r="T61" s="175" t="b">
        <v>0</v>
      </c>
      <c r="U61" s="173" t="b">
        <v>0</v>
      </c>
      <c r="V61" s="171" t="s">
        <v>1070</v>
      </c>
      <c r="W61" s="172" t="b">
        <v>0</v>
      </c>
      <c r="X61" s="173" t="b">
        <v>0</v>
      </c>
      <c r="Y61" s="173" t="b">
        <v>0</v>
      </c>
      <c r="Z61" s="173" t="b">
        <v>0</v>
      </c>
      <c r="AA61" s="174" t="b">
        <v>0</v>
      </c>
      <c r="AB61" s="174" t="b">
        <v>0</v>
      </c>
      <c r="AC61" s="175" t="b">
        <v>0</v>
      </c>
      <c r="AD61" s="173" t="b">
        <v>0</v>
      </c>
      <c r="AE61" s="176" t="s">
        <v>1070</v>
      </c>
      <c r="AF61" s="171" t="s">
        <v>1070</v>
      </c>
      <c r="AG61" s="177">
        <f>IFERROR(__xludf.DUMMYFUNCTION("IF(
  ISNUMBER(AG60),
  MIN(MAX(
    AG60
    + MAX(
      ROUNDDOWN(($D61 - MAX(IFERROR(FILTER($D$24:$D60, AG$24:AG60 &lt;&gt; AF$6, AG$23:AG59 = AF$6), 0))) * (60 * 60 * 24) / AF$9) - ROUNDDOWN(($D60 - MAX(IFERROR(FILTER($D$23:$D59, AG$23:AG59 &lt;&gt; AF$6, AG$22:"&amp;"AG58 = AF$6), 0))) * (60 * 60 * 24) / 60),
      0
    )
    - COUNTIF(AF61, ""&lt;&gt;-""),
  0), AF$6),
  AF$6 - COUNTIF(AF61, ""&lt;&gt;-"")
)"),2.0)</f>
        <v>2</v>
      </c>
      <c r="AH61" s="173" t="b">
        <v>0</v>
      </c>
      <c r="AI61" s="173" t="b">
        <v>0</v>
      </c>
      <c r="AJ61" s="173" t="b">
        <v>0</v>
      </c>
      <c r="AK61" s="174" t="b">
        <v>0</v>
      </c>
      <c r="AL61" s="175" t="b">
        <v>0</v>
      </c>
      <c r="AM61" s="173" t="b">
        <v>0</v>
      </c>
      <c r="AN61" s="171" t="s">
        <v>1070</v>
      </c>
      <c r="AO61" s="173" t="b">
        <v>0</v>
      </c>
      <c r="AP61" s="173" t="b">
        <v>0</v>
      </c>
      <c r="AQ61" s="173" t="b">
        <v>0</v>
      </c>
      <c r="AR61" s="174" t="b">
        <v>0</v>
      </c>
      <c r="AS61" s="178" t="b">
        <v>0</v>
      </c>
      <c r="AT61" s="179" t="b">
        <v>0</v>
      </c>
      <c r="AU61" s="180" t="b">
        <v>0</v>
      </c>
      <c r="AV61" s="180" t="b">
        <v>0</v>
      </c>
      <c r="AW61" s="180" t="b">
        <v>0</v>
      </c>
      <c r="AX61" s="180" t="b">
        <v>0</v>
      </c>
      <c r="AY61" s="181" t="s">
        <v>1070</v>
      </c>
      <c r="AZ61" s="181" t="s">
        <v>1070</v>
      </c>
      <c r="BA61" s="184">
        <f>IFERROR(__xludf.DUMMYFUNCTION("IF(
  ISNUMBER(BA60),
  MIN(MAX(
    BA60
    + MAX(
      ROUNDDOWN((D61 - MAX(IFERROR(FILTER(D$24:D60, BA$24:BA60 &lt;&gt; AZ$6, BA$23:BA59 = AZ$6), 0))) * (60 * 60 * 24) / AZ$9) - ROUNDDOWN((D60 - MAX(IFERROR(FILTER(D$23:D59, BA$23:BA59 &lt;&gt; AZ$6, BA$22:BA58 ="&amp;" AZ$6), 0))) * (60 * 60 * 24) / AZ$9),
      0
    )
    - COUNTIF(AZ61, ""&lt;&gt;-""),
  0), AZ$6),
  AZ$6 - COUNTIF(AZ61, ""&lt;&gt;-"")
)"),2.0)</f>
        <v>2</v>
      </c>
      <c r="BB61" s="181" t="s">
        <v>1070</v>
      </c>
      <c r="BC61" s="183">
        <f>IFERROR(__xludf.DUMMYFUNCTION("IF(
  ISNUMBER(BC60),
  MIN(MAX(
    BC60
    + MAX(
      ROUNDDOWN(($D61 - MAX(IFERROR(FILTER($D$24:$D60, BC$24:BC60 &lt;&gt; BB$6, BC$23:BC59 = BB$6), 0))) * (60 * 60 * 24) / BB$9) - ROUNDDOWN(($D60 - MAX(IFERROR(FILTER($D$23:$D59, BC$23:BC59 &lt;&gt; BB$6, BC$22:"&amp;"BC58 = BB$6), 0))) * (60 * 60 * 24) / 60),
      0
    )
    - COUNTIF(BB61, ""&lt;&gt;-""),
  0), BB$6),
  BB$6 - COUNTIF(BB61, ""&lt;&gt;-"")
)"),2.0)</f>
        <v>2</v>
      </c>
      <c r="BD61" s="181" t="s">
        <v>1070</v>
      </c>
      <c r="BE61" s="178" t="b">
        <v>0</v>
      </c>
      <c r="BF61" s="180" t="b">
        <v>0</v>
      </c>
      <c r="BG61" s="180" t="b">
        <v>0</v>
      </c>
      <c r="BH61" s="180" t="b">
        <v>0</v>
      </c>
      <c r="BI61" s="180" t="b">
        <v>0</v>
      </c>
      <c r="BJ61" s="180" t="b">
        <v>0</v>
      </c>
      <c r="BK61" s="180" t="b">
        <v>0</v>
      </c>
      <c r="BL61" s="180" t="b">
        <v>0</v>
      </c>
      <c r="BM61" s="180" t="b">
        <v>0</v>
      </c>
      <c r="BN61" s="180" t="b">
        <v>0</v>
      </c>
      <c r="BO61" s="181" t="s">
        <v>1070</v>
      </c>
      <c r="BP61" s="181" t="s">
        <v>1070</v>
      </c>
      <c r="BQ61" s="181" t="s">
        <v>1070</v>
      </c>
      <c r="BR61" s="181" t="s">
        <v>1070</v>
      </c>
      <c r="BS61" s="181" t="s">
        <v>1070</v>
      </c>
      <c r="BT61" s="184">
        <f>IFERROR(__xludf.DUMMYFUNCTION("IF(
  ISNUMBER(BT60),
  MIN(MAX(
    BT60
    + MAX(
      ROUNDDOWN((D61 - MAX(IFERROR(FILTER(D$24:D60, BT$24:BT60 &lt;&gt; BS$6, BT$23:BT59 = BS$6), 0))) * (60 * 60 * 24) / BS$9) - ROUNDDOWN((D60 - MAX(IFERROR(FILTER(D$23:D59, BT$23:BT59 &lt;&gt; BS$6, BT$22:BT58 ="&amp;" BS$6), 0))) * (60 * 60 * 24) / BS$9),
      0
    )
    - COUNTIF(BS61, ""&lt;&gt;-""),
  0), BS$6),
  BS$6 - COUNTIF(BS61, ""&lt;&gt;-"")
)"),3.0)</f>
        <v>3</v>
      </c>
      <c r="BU61" s="181" t="s">
        <v>1070</v>
      </c>
      <c r="BV61" s="181" t="s">
        <v>1070</v>
      </c>
      <c r="BW61" s="184">
        <f>IFERROR(__xludf.DUMMYFUNCTION("IF(
  ISNUMBER(BW60),
  MIN(MAX(
    BW60
    + MAX(
      ROUNDDOWN((D61 - MAX(IFERROR(FILTER(D$24:D60, BW$24:BW60 &lt;&gt; BV$6, BW$23:BW59 = BV$6), 0))) * (60 * 60 * 24) / BV$9) - ROUNDDOWN((D60 - MAX(IFERROR(FILTER(D$23:D59, BW$23:BW59 &lt;&gt; BV$6, BW$22:BW58 ="&amp;" BV$6), 0))) * (60 * 60 * 24) / BV$9),
      0
    )
    - COUNTIF(BV61, ""&lt;&gt;-""),
  0), BV$6),
  BV$6 - COUNTIF(BV61, ""&lt;&gt;-"")
)"),2.0)</f>
        <v>2</v>
      </c>
      <c r="BX61" s="185" t="s">
        <v>1070</v>
      </c>
      <c r="BY61" s="178" t="b">
        <v>0</v>
      </c>
      <c r="BZ61" s="180" t="b">
        <v>0</v>
      </c>
      <c r="CA61" s="180" t="b">
        <v>0</v>
      </c>
      <c r="CB61" s="180" t="b">
        <v>0</v>
      </c>
      <c r="CC61" s="180" t="b">
        <v>0</v>
      </c>
      <c r="CD61" s="180" t="b">
        <v>0</v>
      </c>
      <c r="CE61" s="180" t="b">
        <v>0</v>
      </c>
      <c r="CF61" s="180" t="b">
        <v>0</v>
      </c>
      <c r="CG61" s="180" t="b">
        <v>0</v>
      </c>
      <c r="CH61" s="180" t="b">
        <v>0</v>
      </c>
      <c r="CI61" s="180" t="b">
        <v>0</v>
      </c>
      <c r="CJ61" s="180" t="b">
        <v>0</v>
      </c>
      <c r="CK61" s="180" t="b">
        <v>0</v>
      </c>
      <c r="CL61" s="180" t="b">
        <v>0</v>
      </c>
      <c r="CM61" s="181" t="s">
        <v>1070</v>
      </c>
      <c r="CN61" s="181" t="s">
        <v>1070</v>
      </c>
      <c r="CO61" s="181" t="s">
        <v>1070</v>
      </c>
      <c r="CP61" s="181" t="s">
        <v>1070</v>
      </c>
      <c r="CQ61" s="185" t="s">
        <v>1070</v>
      </c>
      <c r="CR61" s="180" t="b">
        <v>0</v>
      </c>
      <c r="CS61" s="186" t="str">
        <f t="shared" si="14"/>
        <v>◇◇◇</v>
      </c>
      <c r="CT61" s="178" t="b">
        <v>0</v>
      </c>
      <c r="CU61" s="180" t="b">
        <v>0</v>
      </c>
      <c r="CV61" s="180" t="b">
        <v>0</v>
      </c>
      <c r="CW61" s="180" t="b">
        <v>0</v>
      </c>
      <c r="CX61" s="180" t="b">
        <v>0</v>
      </c>
      <c r="CY61" s="180" t="b">
        <v>0</v>
      </c>
      <c r="CZ61" s="180" t="b">
        <v>0</v>
      </c>
      <c r="DA61" s="180" t="b">
        <v>0</v>
      </c>
      <c r="DB61" s="180" t="b">
        <v>0</v>
      </c>
      <c r="DC61" s="180" t="b">
        <v>0</v>
      </c>
      <c r="DD61" s="181" t="s">
        <v>1070</v>
      </c>
      <c r="DE61" s="181" t="s">
        <v>1070</v>
      </c>
      <c r="DF61" s="181" t="s">
        <v>1070</v>
      </c>
      <c r="DG61" s="185" t="s">
        <v>1070</v>
      </c>
      <c r="DH61" s="180" t="b">
        <v>0</v>
      </c>
      <c r="DI61" s="187" t="str">
        <f>IFERROR(__xludf.DUMMYFUNCTION("SWITCH(
  IF(
    ISTEXT(DI60),
    IF (
      FIND(""○"", DI60&amp;""○"") &gt; 3,
      3,
      FIND(""○"", DI60&amp;""○"")
      + MAX(
        ROUNDDOWN(($D61 - MAX(IFERROR(FILTER(D$24:D60, DI$24:DI60 &lt;&gt; ""●●●"", DI$23:DI59 = ""●●●""), 0))) * (60 * 60 * 24) / 20"&amp;") - ROUNDDOWN(($D60 - MAX(IFERROR(FILTER(D$23:D59, DI$23:DI59 &lt;&gt; ""●●●"", DI$22:DI58 = ""●●●""), 0))) * (60 * 60 * 24) / 20),
        0
      ) - 1
    ) - COUNTIFS(CU61, ""=TRUE"", CU60, ""&lt;&gt;TRUE"") - COUNTIF(CZ61, ""=TRUE"") - COUNTIF({DD61,DE61}, ""&lt;&gt;-"&amp;""") + COUNTIF(DH61, ""=TRUE""),
    3
  ),
  0, ""○○○"", 1, ""●○○"", 2, ""●●○"", 3, ""●●●"", 4, ""●●●"", ""○○○""
)"),"●●●")</f>
        <v>●●●</v>
      </c>
      <c r="DJ61" s="188" t="b">
        <v>0</v>
      </c>
      <c r="DK61" s="189" t="b">
        <v>0</v>
      </c>
      <c r="DL61" s="190" t="b">
        <v>0</v>
      </c>
      <c r="DM61" s="190" t="b">
        <v>0</v>
      </c>
      <c r="DN61" s="190" t="b">
        <v>0</v>
      </c>
      <c r="DO61" s="190" t="b">
        <v>0</v>
      </c>
      <c r="DP61" s="190" t="b">
        <v>0</v>
      </c>
      <c r="DQ61" s="191" t="b">
        <v>0</v>
      </c>
      <c r="DR61" s="192" t="b">
        <v>0</v>
      </c>
      <c r="DS61" s="191" t="b">
        <v>0</v>
      </c>
      <c r="DT61" s="192" t="b">
        <v>0</v>
      </c>
      <c r="DU61" s="191" t="b">
        <v>0</v>
      </c>
      <c r="DV61" s="193" t="s">
        <v>1070</v>
      </c>
      <c r="DW61" s="194" t="b">
        <v>0</v>
      </c>
      <c r="DX61" s="194" t="b">
        <v>0</v>
      </c>
      <c r="DY61" s="195" t="b">
        <v>0</v>
      </c>
      <c r="DZ61" s="196" t="b">
        <v>0</v>
      </c>
      <c r="EA61" s="195" t="b">
        <v>0</v>
      </c>
      <c r="EB61" s="197" t="b">
        <v>0</v>
      </c>
      <c r="EC61" s="197" t="b">
        <v>0</v>
      </c>
      <c r="ED61" s="212" t="b">
        <v>0</v>
      </c>
      <c r="EE61" s="199">
        <f>IFERROR(__xludf.DUMMYFUNCTION("IFERROR(
   PRODUCT(
     MAP(
       INDEX(TRANSPOSE(UNIQUE(TRANSPOSE(FILTER({IF($F61=""Physical"", K$10:ED$10, IF($F61=""Magic"", K$11:ED$11, K$12:ED$12));K$4:ED$4;K61:ED61}, K61:ED61=TRUE)))), 1, 0),
       INDEX(TRANSPOSE(UNIQUE(TRANSPOSE(FILTER({IF($"&amp;"F61=""Physical"", K$18:ED$18, IF($F61=""Magic"", K$19:ED$19, K$20:ED$20));K$4:ED$4;K61:ED61}, K61:ED61=TRUE)))), 1, 0),
       INDEX(TRANSPOSE(UNIQUE(TRANSPOSE(FILTER({K$5:ED$5;K$4:ED$4;K61:ED61}, K61:ED61=TRUE)))), 1, 0),
       INDEX(TRANSPOSE(UNIQUE(TR"&amp;"ANSPOSE(FILTER({K$17:ED$17;K$4:ED$4;K61:ED61}, K61:ED61=TRUE)))), 1, 0),
       LAMBDA(
         mitigation,
         enhance,
         assign,
         precondition,
         IF(
           REGEXMATCH(assign, ""RANGE_PARTY|SINGLE_ENEMY|RANGE_ENEMY""),
  "&amp;"         IF(
             OR(ARRAYFORMULA((IF(precondition="""", FALSE, REGEXMATCH(K$4:ED$4, precondition))) * (K61:ED61=TRUE))),
             IF(ISNUMBER(enhance), enhance, 1),
             IF(ISNUMBER(mitigation), mitigation, 1)
           ),
          "&amp;" 1
         )
       )
     )
   ),
   1
 )"),1.0)</f>
        <v>1</v>
      </c>
      <c r="EF61" s="200">
        <f>IFERROR(__xludf.DUMMYFUNCTION("PRODUCT(
   MAP(
     K$14:ED$14,
     K$13:ED$13,
     K61:ED61,
     LAMBDA(
       buff,
       target,
       check,
       IF(
         AND(check=TRUE, REGEXMATCH(target, ""RANGE_AFFECTED_ALL|RANGE_EFFECTED_ALL""), ISNUMBER(buff)),
         buff,
   "&amp;"      1
       )
     )
   )
 )"),1.0)</f>
        <v>1</v>
      </c>
      <c r="EG61" s="200">
        <f>IFERROR(__xludf.DUMMYFUNCTION("PRODUCT(
   MAP(
     K$14:ED$14,
     K$13:ED$13,
     K61:ED61,
     LAMBDA(
       buff,
       target,
       check,
       IF(
         AND(check=TRUE, REGEXMATCH(target, ""RANGE_AFFECTED_GCD|RANGE_EFFECTED_GCD""), ISNUMBER(buff)),
         buff,
   "&amp;"      1
       )
     )
   )
 )"),1.0)</f>
        <v>1</v>
      </c>
      <c r="EH61" s="200">
        <f>IFERROR(__xludf.DUMMYFUNCTION("PRODUCT(
   MAP(
     K$3:ED$3,
     K$14:ED$14,
     K$13:ED$13,
     K61:ED61,
     LAMBDA(
       job,
       buff,
       target,
       check,
       IF(
         AND(check=TRUE, REGEXMATCH(target, ""SELF_EFFECTED_ALL""), ISNUMBER(buff), job=""白魔道士"""&amp;"),
         buff,
         1
       )
     )
   )
 )"),1.0)</f>
        <v>1</v>
      </c>
      <c r="EI61" s="200">
        <f>IFERROR(__xludf.DUMMYFUNCTION("PRODUCT(
   MAP(
     K$3:ED$3,
     K$14:ED$14,
     K$13:ED$13,
     K61:ED61,
     LAMBDA(
       job,
       buff,
       target,
       check,
       IF(
         AND(check=TRUE, REGEXMATCH(target, ""SELF_EFFECTED_GCD""), ISNUMBER(buff), job=""白魔道士"""&amp;"),
         buff,
         1
       )
     )
   )
 )"),1.0)</f>
        <v>1</v>
      </c>
      <c r="EJ61" s="200">
        <f>IFERROR(__xludf.DUMMYFUNCTION("PRODUCT(
   MAP(
     K$3:ED$3,
     K$14:ED$14,
     K$13:ED$13,
     K61:ED61,
     LAMBDA(
       job,
       buff,
       target,
       check,
       IF(
         AND(check=TRUE, REGEXMATCH(target, ""SELF_EFFECTED_ALL""), ISNUMBER(buff), job=""占星術師"""&amp;"),
         buff,
         1
       )
     )
   )
 )"),1.0)</f>
        <v>1</v>
      </c>
      <c r="EK61" s="200">
        <f>IFERROR(__xludf.DUMMYFUNCTION("PRODUCT(
   MAP(
     K$3:ED$3,
     K$14:ED$14,
     K$13:ED$13,
     K61:ED61,
     LAMBDA(
       job,
       buff,
       target,
       check,
       IF(
         AND(check=TRUE, REGEXMATCH(target, ""SELF_EFFECTED_GCD""), ISNUMBER(buff), job=""占星術師"""&amp;"),
         buff,
         1
       )
     )
   )
 )"),1.0)</f>
        <v>1</v>
      </c>
      <c r="EL61" s="200">
        <f>IFERROR(__xludf.DUMMYFUNCTION("PRODUCT(
   MAP(
     K$3:ED$3,
     K$14:ED$14,
     K$13:ED$13,
     K61:ED61,
     LAMBDA(
       job,
       buff,
       target,
       check,
       IF(
         AND(check=TRUE, REGEXMATCH(target, ""SELF_EFFECTED_ALL""), ISNUMBER(buff), job=""学者""),"&amp;"
         buff,
         1
       )
     )
   )
 )"),1.0)</f>
        <v>1</v>
      </c>
      <c r="EM61" s="200">
        <f>IFERROR(__xludf.DUMMYFUNCTION("PRODUCT(
   MAP(
     K$3:ED$3,
     K$14:ED$14,
     K$13:ED$13,
     K61:ED61,
     LAMBDA(
       job,
       buff,
       target,
       check,
       IF(
         AND(check=TRUE, REGEXMATCH(target, ""SELF_EFFECTED_GCD""), ISNUMBER(buff), job=""学者""),"&amp;"
         buff,
         1
       )
     )
   )
 )"),1.0)</f>
        <v>1</v>
      </c>
      <c r="EN61" s="200">
        <f>IFERROR(__xludf.DUMMYFUNCTION("PRODUCT(
   MAP(
     K$3:ED$3,
     K$14:ED$14,
     K$13:ED$13,
     K61:ED61,
     LAMBDA(
       job,
       buff,
       target,
       check,
       IF(
         AND(check=TRUE, REGEXMATCH(target, ""SELF_EFFECTED_ALL""), ISNUMBER(buff), job=""賢者""),"&amp;"
         buff,
         1
       )
     )
   )
 )"),1.0)</f>
        <v>1</v>
      </c>
      <c r="EO61" s="200">
        <f>IFERROR(__xludf.DUMMYFUNCTION("PRODUCT(
   MAP(
     K$3:ED$3,
     K$14:ED$14,
     K$13:ED$13,
     K61:ED61,
     LAMBDA(
       job,
       buff,
       target,
       check,
       IF(
         AND(check=TRUE, REGEXMATCH(target, ""SELF_EFFECTED_GCD""), ISNUMBER(buff), job=""賢者""),"&amp;"
         buff,
         1
       )
     )
   )
 )"),1.0)</f>
        <v>1</v>
      </c>
      <c r="EP61" s="201">
        <f t="shared" si="3"/>
        <v>0</v>
      </c>
      <c r="EQ61" s="201">
        <f>IFERROR(__xludf.DUMMYFUNCTION("SUM(
   MAP(
     K$4:ED$4,
     K$3:ED$3,
     K$7:ED$7,
     K$15:ED$15,
     K$16:ED$16,
     K$21:ED$21,
     K$5:ED$5,
     K$17:ED$17,
     K61:ED61,
     LAMBDA(
       name,
       job,
       abillity,
       buff,
       barrier,
       enhance,"&amp;"
       assign,
       precondition,
       check,
       SWITCH(
         name,
         ""シェイクオフ"", IF(check=TRUE, buff + (0.02 * COUNTIF(ARRAYFORMULA((REGEXMATCH($K$4:$ED$4, ""スリル・オブ・バトル|ヴェンジェンス|原初の血気|ダムネーション"")) * (K61:ED61=TRUE)), 1)), 0),
         "&amp;"""インプロビゼーションフィニッシュ(踊りの激情0)"", IF(ISNUMBER(check), INDEX(Skill!$AJ:$AJ, MATCH(SUBSTITUTE(DV$4, 0, check), Skill!$C:$C, 0)), 0),
         IF(
           AND(check=TRUE, REGEXMATCH(assign, ""RANGE_PARTY"")),
           IF(
             OR(ARRAYFORMULA((IF(pr"&amp;"econdition="""", FALSE, REGEXMATCH($K$4:$ED$4, precondition))) * (K61:ED61=TRUE))),
             enhance,
             IF(barrier="""", buff, barrier)
           ),
           0
         )
       ) *
       SWITCH(
         job,
         ""ナイト"", EY$24,
 "&amp;"        ""戦士"", FD$24,
         ""踊り子"", ET$24,
         ""ピクトマンサー"", ET$24,
         ""白魔道士"", EF61 * EH61 * IF(abillity, 1, EG61 * EI61) * (Option!$D$22 * 0.81 / 100),
         ""占星術師"", EF61 * EJ61 * IF(abillity, 1, EG61 * EK61) * (Option!$D$23 * 0.81 "&amp;"/ 100),
         ""学者"", EF61 * EL61 * IF(abillity, 1, EG61 * EM61) * (Option!$D$24 * 0.81 / 100),
         ""賢者"", EF61 * EN61 * IF(abillity, 1, EG61 * EO61) * (Option!$D$25 * 0.81 / 100),
         1
       )
     )
   )
 )"),0.0)</f>
        <v>0</v>
      </c>
      <c r="ER61" s="202">
        <f t="shared" si="4"/>
        <v>0</v>
      </c>
      <c r="ES61" s="203">
        <f t="shared" si="5"/>
        <v>0</v>
      </c>
      <c r="ET61" s="231" t="str">
        <f>IFERROR(__xludf.DUMMYFUNCTION("IFS(
  EP61 &gt; $ET$24 + EQ61,
  SPARKLINE({ 1, 0 }, {""charttype"",""bar"";""max"", 1;""color1"",Option!$D$30;""color2"",Option!$D$30}),
  EP61 &lt; EQ61,
  SPARKLINE({EQ61 - EP61, $ET$24 - (EQ61 - EP61)}, {""charttype"",""bar"";""max"",$ET$24;""color1"",Opti"&amp;"on!$D$28;""color2"",Option!$D$29}),
  EP61 &gt;= EQ61,
  SPARKLINE({$ET$24 + EQ61 - EP61,EP61 - EQ61}, {""charttype"",""bar"";""max"",$ET$24;""color1"",Option!$D$29;""color2"",Option!$D$30})
)"),"")</f>
        <v/>
      </c>
      <c r="EU61" s="205">
        <f>IFERROR(__xludf.DUMMYFUNCTION("PRODUCT(
   MAP(
     IF($F61=""Physical"", K$10:ED$10, IF($F61=""Magic"", K$11:ED$11, K$12:ED$12)),
     IF($F61=""Physical"", K$18:ED$18, IF($F61=""Magic"", K$19:ED$19, K$20:ED$20)),
     K$3:ED$3,
     K$5:ED$5,
     K$17:ED$17,
     K61:ED61,
     LAM"&amp;"BDA(
       mitigation,
       enhance,
       job,
       assign,
       precondition,
       check,
       IF(
         OR(AND(check=TRUE, REGEXMATCH(assign, ""SELF""), job=""ナイト""), AND(check=Option!$E$13, REGEXMATCH(assign, ""SINGLE_PARTY""))),
      "&amp;"   IF(
           OR(ARRAYFORMULA((IF(precondition="""", FALSE, REGEXMATCH($K$4:$ED$4, precondition))) * (K61:ED61=TRUE))),
           enhance,
           mitigation
         ),
         1
       )
     )
   )
 ) * EE61"),1.0)</f>
        <v>1</v>
      </c>
      <c r="EV61" s="206">
        <f t="shared" si="6"/>
        <v>0</v>
      </c>
      <c r="EW61" s="205">
        <f>IFERROR(__xludf.DUMMYFUNCTION("PRODUCT(
   MAP(
     K$3:ED$3,
     K$14:ED$14,
     K$13:ED$13,
     K61:ED61,
     LAMBDA(
       job,
       buff,
       target,
       check,
       IF(
         OR(AND(check=TRUE, REGEXMATCH(target, ""SELF_AFFECTED_ALL""), job=""ナイト""), AND(check=O"&amp;"ption!$E$13, REGEXMATCH(target, ""SINGLE_AFFECTED_ALL""))),
         buff,
         1
       )
     )
   )
 )"),1.0)</f>
        <v>1</v>
      </c>
      <c r="EX61" s="206">
        <f>IFERROR(__xludf.DUMMYFUNCTION("SUM(
   MAP(
     K$3:ED$3,
     K$7:ED$7,
     K$15:ED$15,
     K$16:ED$16,
     K$21:ED$21,
     K$5:ED$5,
     K$17:ED$17,
     K61:ED61,
     LAMBDA(
       job,
       abillity,
       buff,
       barrier,
       enhance,
       assign,
       preco"&amp;"ndition,
       check,
       IF(
         OR(AND(check=TRUE, REGEXMATCH(assign, ""SELF""), job=""ナイト""), AND(check=Option!$E$13, REGEXMATCH(assign, ""SINGLE_PARTY""))),
         IF(
           OR(ARRAYFORMULA((IF(precondition="""", FALSE, REGEXMATCH($K$4"&amp;":$ED$4, precondition))) * (K61:ED61=TRUE))),
           enhance,
           IF(barrier="""", buff, barrier)
         ),
         0
       ) *
       SWITCH(
         job,
         ""暗黒騎士"", EY$24,
         ""白魔道士"", EF61 * EH61 * EW61 * IF(abillity, 1, EG"&amp;"61 * EI61) * (Option!$D$22 * 0.81 / 100),
         ""占星術師"", EF61 * EJ61 * EW61 * IF(abillity, 1, EG61 * EK61) * (Option!$D$23 * 0.81 / 100),
         ""学者"", EF61 * EL61 * EW61 * IF(abillity, 1, EG61 * EM61) * (Option!$D$24 * 0.81 / 100),
         ""賢者"""&amp;", EF61 * EN61 * EW61 * IF(abillity, 1, EG61 * EO61) * (Option!$D$25 * 0.81 / 100),
         1
       )
     )
   )
 ) + EQ61"),0.0)</f>
        <v>0</v>
      </c>
      <c r="EY61" s="232">
        <f t="shared" si="7"/>
        <v>0</v>
      </c>
      <c r="EZ61" s="205">
        <f>IFERROR(__xludf.DUMMYFUNCTION("PRODUCT(
   MAP(
     IF($F61=""Physical"", K$10:ED$10, IF($F61=""Magic"", K$11:ED$11, K$12:ED$12)),
     IF($F61=""Physical"", K$18:ED$18, IF($F61=""Magic"", K$19:ED$19, K$20:ED$20)),
     K$3:ED$3,
     K$5:ED$5,
     K$17:ED$17,
     K61:ED61,
     LAM"&amp;"BDA(
       mitigation,
       enhance,
       job,
       assign,
       precondition,
       check,
       IF(
         OR(AND(check=TRUE, REGEXMATCH(assign, ""SELF""), job=""戦士""), AND(check=Option!$F$13, REGEXMATCH(assign, ""SINGLE_PARTY""))),
       "&amp;"  IF(
           OR(ARRAYFORMULA((IF(precondition="""", FALSE, REGEXMATCH($K$4:$ED$4, precondition))) * (K61:ED61=TRUE))),
           enhance,
           mitigation
         ),
         1
       )
     )
   )
 ) * EE61"),1.0)</f>
        <v>1</v>
      </c>
      <c r="FA61" s="206">
        <f t="shared" si="8"/>
        <v>0</v>
      </c>
      <c r="FB61" s="205">
        <f>IFERROR(__xludf.DUMMYFUNCTION("PRODUCT(
   MAP(
     K$3:ED$3,
     K$14:ED$14,
     K$13:ED$13,
     K61:ED61,
     LAMBDA(
       job,
       buff,
       target,
       check,
       IF(
         OR(AND(check=TRUE, REGEXMATCH(target, ""SELF_AFFECTED_ALL""), job=""戦士""), AND(check=Op"&amp;"tion!$F$13, REGEXMATCH(target, ""SINGLE_AFFECTED_ALL""))),
         buff,
         1
       )
     )
   )
 )"),1.0)</f>
        <v>1</v>
      </c>
      <c r="FC61" s="206">
        <f>IFERROR(__xludf.DUMMYFUNCTION("SUM(
   MAP(
     K$3:ED$3,
     K$7:ED$7,
     K$15:ED$15,
     K$16:ED$16,
     K$21:ED$21,
     K$5:ED$5,
     K$17:ED$17,
     K61:ED61,
     LAMBDA(
       job,
       abillity,
       buff,
       barrier,
       enhance,
       assign,
       preco"&amp;"ndition,
       check,
       IF(
         OR(AND(check=TRUE, REGEXMATCH(assign, ""SELF""), job=""戦士""), AND(check=Option!$F$13, REGEXMATCH(assign, ""SINGLE_PARTY""))),
         IF(
           OR(ARRAYFORMULA((IF(precondition="""", FALSE, REGEXMATCH($K$4:"&amp;"$ED$4, precondition))) * (K61:ED61=TRUE))),
           enhance,
           IF(barrier="""", buff, barrier)
         ),
         0
       ) *
       SWITCH(
         job,
         ""暗黒騎士"", FD$24,
         ""白魔道士"", EF61 * EH61 * FB61 * IF(abillity, 1, EG6"&amp;"1 * EI61) * (Option!$D$22 * 0.81 / 100),
         ""占星術師"", EF61 * EJ61 * FFB61 * IF(abillity, 1, EG61 * EK61) * (Option!$D$23 * 0.81 / 100),
         ""学者"", EF61 * EL61 * FB61 * IF(abillity, 1, EG61 * EM61) * (Option!$D$24 * 0.81 / 100),
         ""賢者"""&amp;", EF61 * EN61 * FB61 * IF(abillity, 1, EG61 * EO61) * (Option!$D$25 * 0.81 / 100),
         1
       )
     )
   )
 ) + EQ61"),0.0)</f>
        <v>0</v>
      </c>
      <c r="FD61" s="206">
        <f t="shared" si="9"/>
        <v>0</v>
      </c>
      <c r="FE61" s="205">
        <f>IFERROR(__xludf.DUMMYFUNCTION("PRODUCT(
   MAP(
     IF($F61=""Physical"", K$10:ED$10, IF($F61=""Magic"", K$11:ED$11, K$12:ED$12)),
     IF($F61=""Physical"", K$18:ED$18, IF($F61=""Magic"", K$19:ED$19, K$20:ED$20)),
     K$3:ED$3,
     K$5:ED$5,
     K$17:ED$17,
     K61:ED61,
     LAM"&amp;"BDA(
       mitigation,
       enhance,
       job,
       assign,
       precondition,
       check,
       IF(
         OR(AND(check=TRUE, REGEXMATCH(assign, ""SELF""), job=""暗黒騎士""), AND(check=Option!$G$13, REGEXMATCH(assign, ""SINGLE_PARTY""))),
     "&amp;"    IF(
           OR(ARRAYFORMULA((IF(precondition="""", FALSE, REGEXMATCH($K$4:$ED$4, precondition))) * (K61:ED61=TRUE))),
           enhance,
           mitigation
         ),
         1
       )
     )
   )
 ) * EE61"),1.0)</f>
        <v>1</v>
      </c>
      <c r="FF61" s="206">
        <f t="shared" si="10"/>
        <v>0</v>
      </c>
      <c r="FG61" s="205">
        <f>IFERROR(__xludf.DUMMYFUNCTION("PRODUCT(
   MAP(
     K$3:ED$3,
     K$14:ED$14,
     K$13:ED$13,
     K61:ED61,
     LAMBDA(
       job,
       buff,
       target,
       check,
       IF(
         OR(AND(check=TRUE, REGEXMATCH(target, ""SELF_AFFECTED_ALL""), job=""暗黒騎士""), AND(check="&amp;"Option!$G$13, REGEXMATCH(target, ""SINGLE_AFFECTED_ALL""))),
         buff,
         1
       )
     )
   )
 )"),1.0)</f>
        <v>1</v>
      </c>
      <c r="FH61" s="206">
        <f>IFERROR(__xludf.DUMMYFUNCTION("SUM(
   MAP(
     K$3:ED$3,
     K$7:ED$7,
     K$15:ED$15,
     K$16:ED$16,
     K$21:ED$21,
     K$5:ED$5,
     K$17:ED$17,
     K61:ED61,
     LAMBDA(
       job,
       abillity,
       buff,
       barrier,
       enhance,
       assign,
       preco"&amp;"ndition,
       check,
       IF(
         OR(AND(check=TRUE, REGEXMATCH(assign, ""SELF""), job=""暗黒騎士""), AND(check=Option!$G$13, REGEXMATCH(assign, ""SINGLE_PARTY""))),
         IF(
           OR(ARRAYFORMULA((IF(precondition="""", FALSE, REGEXMATCH($K$"&amp;"4:$ED$4, precondition))) * (K61:ED61=TRUE))),
           enhance,
           IF(barrier="""", buff, barrier)
         ),
         0
       ) *
       SWITCH(
         job,
         ""暗黒騎士"", FI$24,
         ""白魔道士"", EF61 * EH61 * FG61 * IF(abillity, 1, E"&amp;"G61 * EI61) * (Option!$D$22 * 0.81 / 100),
         ""占星術師"", EF61 * EJ61 * FG61 * IF(abillity, 1, EG61 * EK61) * (Option!$D$23 * 0.81 / 100),
         ""学者"", EF61 * EL61 * FG61 * IF(abillity, 1, EG61 * EM61) * (Option!$D$24 * 0.81 / 100),
         ""賢者"&amp;""", EF61 * EN61 * FG61 * IF(abillity, 1, EG61 * EO61) * (Option!$D$25 * 0.81 / 100),
         1
       )
     )
   )
 ) + EQ61"),0.0)</f>
        <v>0</v>
      </c>
      <c r="FI61" s="206">
        <f t="shared" si="11"/>
        <v>0</v>
      </c>
      <c r="FJ61" s="205">
        <f>IFERROR(__xludf.DUMMYFUNCTION("PRODUCT(
   MAP(
     IF($F61=""Physical"", K$10:ED$10, IF($F61=""Magic"", K$11:ED$11, K$12:ED$12)),
     IF($F61=""Physical"", K$18:ED$18, IF($F61=""Magic"", K$19:ED$19, K$20:ED$20)),
     K$3:ED$3,
     K$5:ED$5,
     K$17:ED$17,
     K61:ED61,
     LAM"&amp;"BDA(
       mitigation,
       enhance,
       job,
       assign,
       precondition,
       check,
       IF(
         OR(AND(check=TRUE, REGEXMATCH(assign, ""SELF""), job=""ガンブレイカー""), AND(check=Option!$H$13, REGEXMATCH(assign, ""SINGLE_PARTY""))),
  "&amp;"       IF(
           OR(ARRAYFORMULA((IF(precondition="""", FALSE, REGEXMATCH($K$4:$ED$4, precondition))) * (K61:ED61=TRUE))),
           enhance,
           mitigation
         ),
         1
       )
     )
   )
 ) * EE61"),1.0)</f>
        <v>1</v>
      </c>
      <c r="FK61" s="206">
        <f t="shared" si="12"/>
        <v>0</v>
      </c>
      <c r="FL61" s="205">
        <f>IFERROR(__xludf.DUMMYFUNCTION("PRODUCT(
   MAP(
     K$3:ED$3,
     K$14:ED$14,
     K$13:ED$13,
     K61:ED61,
     LAMBDA(
       job,
       buff,
       target,
       check,
       IF(
         OR(AND(check=TRUE, REGEXMATCH(target, ""SELF_AFFECTED_ALL""), job=""ガンブレイカー""), AND(che"&amp;"ck=Option!$H$13, REGEXMATCH(target, ""SINGLE_AFFECTED_ALL""))),
         buff,
         1
       )
     )
   )
 )"),1.0)</f>
        <v>1</v>
      </c>
      <c r="FM61" s="206">
        <f>IFERROR(__xludf.DUMMYFUNCTION("SUM(
   MAP(
     K$3:ED$3,
     K$7:ED$7,
     K$15:ED$15,
     K$16:ED$16,
     K$21:ED$21,
     K$5:ED$5,
     K$17:ED$17,
     K61:ED61,
     LAMBDA(
       job,
       abillity,
       buff,
       barrier,
       enhance,
       assign,
       preco"&amp;"ndition,
       check,
       IF(
         OR(AND(check=TRUE, REGEXMATCH(assign, ""SELF""), job=""ガンブレイカー""), AND(check=Option!$H$13, REGEXMATCH(assign, ""SINGLE_PARTY""))),
         IF(
           OR(ARRAYFORMULA((IF(precondition="""", FALSE, REGEXMATCH("&amp;"$K$4:$ED$4, precondition))) * (K61:ED61=TRUE))),
           enhance,
           IF(barrier="""", buff, barrier)
         ),
         0
       ) *
       SWITCH(
         job,
         ""暗黒騎士"", FN$24,
         ""白魔道士"", EF61 * EH61 * FL61 * IF(abillity, 1"&amp;", EG61 * EI61) * (Option!$D$22 * 0.81 / 100),
         ""占星術師"", EF61 * EJ61 * FL61 * IF(abillity, 1, EG61 * EK61) * (Option!$D$23 * 0.81 / 100),
         ""学者"", EF61 * EL61 * FL61 * IF(abillity, 1, EG61 * EM61) * (Option!$D$24 * 0.81 / 100),
         """&amp;"賢者"", EF61 * EN61 * FL61 * IF(abillity, 1, EG61 * EO61) * (Option!$D$25 * 0.81 / 100),
         1
       )
     )
   )
 ) + EQ61"),0.0)</f>
        <v>0</v>
      </c>
      <c r="FN61" s="206">
        <f t="shared" si="13"/>
        <v>0</v>
      </c>
      <c r="FO61" s="213"/>
    </row>
    <row r="62">
      <c r="B62" s="229"/>
      <c r="C62" s="217">
        <f t="shared" si="1"/>
        <v>0</v>
      </c>
      <c r="D62" s="236"/>
      <c r="E62" s="238"/>
      <c r="F62" s="167"/>
      <c r="G62" s="168" t="str">
        <f t="shared" si="2"/>
        <v/>
      </c>
      <c r="H62" s="169"/>
      <c r="I62" s="169"/>
      <c r="J62" s="169"/>
      <c r="K62" s="170" t="b">
        <v>0</v>
      </c>
      <c r="L62" s="170" t="b">
        <v>0</v>
      </c>
      <c r="M62" s="170" t="b">
        <v>0</v>
      </c>
      <c r="N62" s="171" t="s">
        <v>1070</v>
      </c>
      <c r="O62" s="172" t="b">
        <v>0</v>
      </c>
      <c r="P62" s="173" t="b">
        <v>0</v>
      </c>
      <c r="Q62" s="173" t="b">
        <v>0</v>
      </c>
      <c r="R62" s="173" t="b">
        <v>0</v>
      </c>
      <c r="S62" s="174" t="b">
        <v>0</v>
      </c>
      <c r="T62" s="175" t="b">
        <v>0</v>
      </c>
      <c r="U62" s="173" t="b">
        <v>0</v>
      </c>
      <c r="V62" s="171" t="s">
        <v>1070</v>
      </c>
      <c r="W62" s="172" t="b">
        <v>0</v>
      </c>
      <c r="X62" s="173" t="b">
        <v>0</v>
      </c>
      <c r="Y62" s="173" t="b">
        <v>0</v>
      </c>
      <c r="Z62" s="173" t="b">
        <v>0</v>
      </c>
      <c r="AA62" s="174" t="b">
        <v>0</v>
      </c>
      <c r="AB62" s="174" t="b">
        <v>0</v>
      </c>
      <c r="AC62" s="175" t="b">
        <v>0</v>
      </c>
      <c r="AD62" s="173" t="b">
        <v>0</v>
      </c>
      <c r="AE62" s="176" t="s">
        <v>1070</v>
      </c>
      <c r="AF62" s="171" t="s">
        <v>1070</v>
      </c>
      <c r="AG62" s="177">
        <f>IFERROR(__xludf.DUMMYFUNCTION("IF(
  ISNUMBER(AG61),
  MIN(MAX(
    AG61
    + MAX(
      ROUNDDOWN(($D62 - MAX(IFERROR(FILTER($D$24:$D61, AG$24:AG61 &lt;&gt; AF$6, AG$23:AG60 = AF$6), 0))) * (60 * 60 * 24) / AF$9) - ROUNDDOWN(($D61 - MAX(IFERROR(FILTER($D$23:$D60, AG$23:AG60 &lt;&gt; AF$6, AG$22:"&amp;"AG59 = AF$6), 0))) * (60 * 60 * 24) / 60),
      0
    )
    - COUNTIF(AF62, ""&lt;&gt;-""),
  0), AF$6),
  AF$6 - COUNTIF(AF62, ""&lt;&gt;-"")
)"),2.0)</f>
        <v>2</v>
      </c>
      <c r="AH62" s="173" t="b">
        <v>0</v>
      </c>
      <c r="AI62" s="173" t="b">
        <v>0</v>
      </c>
      <c r="AJ62" s="173" t="b">
        <v>0</v>
      </c>
      <c r="AK62" s="174" t="b">
        <v>0</v>
      </c>
      <c r="AL62" s="175" t="b">
        <v>0</v>
      </c>
      <c r="AM62" s="173" t="b">
        <v>0</v>
      </c>
      <c r="AN62" s="171" t="s">
        <v>1070</v>
      </c>
      <c r="AO62" s="173" t="b">
        <v>0</v>
      </c>
      <c r="AP62" s="173" t="b">
        <v>0</v>
      </c>
      <c r="AQ62" s="173" t="b">
        <v>0</v>
      </c>
      <c r="AR62" s="174" t="b">
        <v>0</v>
      </c>
      <c r="AS62" s="178" t="b">
        <v>0</v>
      </c>
      <c r="AT62" s="179" t="b">
        <v>0</v>
      </c>
      <c r="AU62" s="180" t="b">
        <v>0</v>
      </c>
      <c r="AV62" s="180" t="b">
        <v>0</v>
      </c>
      <c r="AW62" s="180" t="b">
        <v>0</v>
      </c>
      <c r="AX62" s="180" t="b">
        <v>0</v>
      </c>
      <c r="AY62" s="181" t="s">
        <v>1070</v>
      </c>
      <c r="AZ62" s="181" t="s">
        <v>1070</v>
      </c>
      <c r="BA62" s="184">
        <f>IFERROR(__xludf.DUMMYFUNCTION("IF(
  ISNUMBER(BA61),
  MIN(MAX(
    BA61
    + MAX(
      ROUNDDOWN((D62 - MAX(IFERROR(FILTER(D$24:D61, BA$24:BA61 &lt;&gt; AZ$6, BA$23:BA60 = AZ$6), 0))) * (60 * 60 * 24) / AZ$9) - ROUNDDOWN((D61 - MAX(IFERROR(FILTER(D$23:D60, BA$23:BA60 &lt;&gt; AZ$6, BA$22:BA59 ="&amp;" AZ$6), 0))) * (60 * 60 * 24) / AZ$9),
      0
    )
    - COUNTIF(AZ62, ""&lt;&gt;-""),
  0), AZ$6),
  AZ$6 - COUNTIF(AZ62, ""&lt;&gt;-"")
)"),2.0)</f>
        <v>2</v>
      </c>
      <c r="BB62" s="181" t="s">
        <v>1070</v>
      </c>
      <c r="BC62" s="183">
        <f>IFERROR(__xludf.DUMMYFUNCTION("IF(
  ISNUMBER(BC61),
  MIN(MAX(
    BC61
    + MAX(
      ROUNDDOWN(($D62 - MAX(IFERROR(FILTER($D$24:$D61, BC$24:BC61 &lt;&gt; BB$6, BC$23:BC60 = BB$6), 0))) * (60 * 60 * 24) / BB$9) - ROUNDDOWN(($D61 - MAX(IFERROR(FILTER($D$23:$D60, BC$23:BC60 &lt;&gt; BB$6, BC$22:"&amp;"BC59 = BB$6), 0))) * (60 * 60 * 24) / 60),
      0
    )
    - COUNTIF(BB62, ""&lt;&gt;-""),
  0), BB$6),
  BB$6 - COUNTIF(BB62, ""&lt;&gt;-"")
)"),2.0)</f>
        <v>2</v>
      </c>
      <c r="BD62" s="181" t="s">
        <v>1070</v>
      </c>
      <c r="BE62" s="178" t="b">
        <v>0</v>
      </c>
      <c r="BF62" s="180" t="b">
        <v>0</v>
      </c>
      <c r="BG62" s="180" t="b">
        <v>0</v>
      </c>
      <c r="BH62" s="180" t="b">
        <v>0</v>
      </c>
      <c r="BI62" s="180" t="b">
        <v>0</v>
      </c>
      <c r="BJ62" s="180" t="b">
        <v>0</v>
      </c>
      <c r="BK62" s="180" t="b">
        <v>0</v>
      </c>
      <c r="BL62" s="180" t="b">
        <v>0</v>
      </c>
      <c r="BM62" s="180" t="b">
        <v>0</v>
      </c>
      <c r="BN62" s="180" t="b">
        <v>0</v>
      </c>
      <c r="BO62" s="181" t="s">
        <v>1070</v>
      </c>
      <c r="BP62" s="181" t="s">
        <v>1070</v>
      </c>
      <c r="BQ62" s="181" t="s">
        <v>1070</v>
      </c>
      <c r="BR62" s="181" t="s">
        <v>1070</v>
      </c>
      <c r="BS62" s="181" t="s">
        <v>1070</v>
      </c>
      <c r="BT62" s="184">
        <f>IFERROR(__xludf.DUMMYFUNCTION("IF(
  ISNUMBER(BT61),
  MIN(MAX(
    BT61
    + MAX(
      ROUNDDOWN((D62 - MAX(IFERROR(FILTER(D$24:D61, BT$24:BT61 &lt;&gt; BS$6, BT$23:BT60 = BS$6), 0))) * (60 * 60 * 24) / BS$9) - ROUNDDOWN((D61 - MAX(IFERROR(FILTER(D$23:D60, BT$23:BT60 &lt;&gt; BS$6, BT$22:BT59 ="&amp;" BS$6), 0))) * (60 * 60 * 24) / BS$9),
      0
    )
    - COUNTIF(BS62, ""&lt;&gt;-""),
  0), BS$6),
  BS$6 - COUNTIF(BS62, ""&lt;&gt;-"")
)"),3.0)</f>
        <v>3</v>
      </c>
      <c r="BU62" s="181" t="s">
        <v>1070</v>
      </c>
      <c r="BV62" s="181" t="s">
        <v>1070</v>
      </c>
      <c r="BW62" s="184">
        <f>IFERROR(__xludf.DUMMYFUNCTION("IF(
  ISNUMBER(BW61),
  MIN(MAX(
    BW61
    + MAX(
      ROUNDDOWN((D62 - MAX(IFERROR(FILTER(D$24:D61, BW$24:BW61 &lt;&gt; BV$6, BW$23:BW60 = BV$6), 0))) * (60 * 60 * 24) / BV$9) - ROUNDDOWN((D61 - MAX(IFERROR(FILTER(D$23:D60, BW$23:BW60 &lt;&gt; BV$6, BW$22:BW59 ="&amp;" BV$6), 0))) * (60 * 60 * 24) / BV$9),
      0
    )
    - COUNTIF(BV62, ""&lt;&gt;-""),
  0), BV$6),
  BV$6 - COUNTIF(BV62, ""&lt;&gt;-"")
)"),2.0)</f>
        <v>2</v>
      </c>
      <c r="BX62" s="185" t="s">
        <v>1070</v>
      </c>
      <c r="BY62" s="178" t="b">
        <v>0</v>
      </c>
      <c r="BZ62" s="180" t="b">
        <v>0</v>
      </c>
      <c r="CA62" s="180" t="b">
        <v>0</v>
      </c>
      <c r="CB62" s="180" t="b">
        <v>0</v>
      </c>
      <c r="CC62" s="180" t="b">
        <v>0</v>
      </c>
      <c r="CD62" s="180" t="b">
        <v>0</v>
      </c>
      <c r="CE62" s="180" t="b">
        <v>0</v>
      </c>
      <c r="CF62" s="180" t="b">
        <v>0</v>
      </c>
      <c r="CG62" s="180" t="b">
        <v>0</v>
      </c>
      <c r="CH62" s="180" t="b">
        <v>0</v>
      </c>
      <c r="CI62" s="180" t="b">
        <v>0</v>
      </c>
      <c r="CJ62" s="180" t="b">
        <v>0</v>
      </c>
      <c r="CK62" s="180" t="b">
        <v>0</v>
      </c>
      <c r="CL62" s="180" t="b">
        <v>0</v>
      </c>
      <c r="CM62" s="181" t="s">
        <v>1070</v>
      </c>
      <c r="CN62" s="181" t="s">
        <v>1070</v>
      </c>
      <c r="CO62" s="181" t="s">
        <v>1070</v>
      </c>
      <c r="CP62" s="181" t="s">
        <v>1070</v>
      </c>
      <c r="CQ62" s="185" t="s">
        <v>1070</v>
      </c>
      <c r="CR62" s="180" t="b">
        <v>0</v>
      </c>
      <c r="CS62" s="186" t="str">
        <f t="shared" si="14"/>
        <v>◇◇◇</v>
      </c>
      <c r="CT62" s="178" t="b">
        <v>0</v>
      </c>
      <c r="CU62" s="180" t="b">
        <v>0</v>
      </c>
      <c r="CV62" s="180" t="b">
        <v>0</v>
      </c>
      <c r="CW62" s="180" t="b">
        <v>0</v>
      </c>
      <c r="CX62" s="180" t="b">
        <v>0</v>
      </c>
      <c r="CY62" s="180" t="b">
        <v>0</v>
      </c>
      <c r="CZ62" s="180" t="b">
        <v>0</v>
      </c>
      <c r="DA62" s="180" t="b">
        <v>0</v>
      </c>
      <c r="DB62" s="180" t="b">
        <v>0</v>
      </c>
      <c r="DC62" s="180" t="b">
        <v>0</v>
      </c>
      <c r="DD62" s="181" t="s">
        <v>1070</v>
      </c>
      <c r="DE62" s="181" t="s">
        <v>1070</v>
      </c>
      <c r="DF62" s="181" t="s">
        <v>1070</v>
      </c>
      <c r="DG62" s="185" t="s">
        <v>1070</v>
      </c>
      <c r="DH62" s="180" t="b">
        <v>0</v>
      </c>
      <c r="DI62" s="187" t="str">
        <f>IFERROR(__xludf.DUMMYFUNCTION("SWITCH(
  IF(
    ISTEXT(DI61),
    IF (
      FIND(""○"", DI61&amp;""○"") &gt; 3,
      3,
      FIND(""○"", DI61&amp;""○"")
      + MAX(
        ROUNDDOWN(($D62 - MAX(IFERROR(FILTER(D$24:D61, DI$24:DI61 &lt;&gt; ""●●●"", DI$23:DI60 = ""●●●""), 0))) * (60 * 60 * 24) / 20"&amp;") - ROUNDDOWN(($D61 - MAX(IFERROR(FILTER(D$23:D60, DI$23:DI60 &lt;&gt; ""●●●"", DI$22:DI59 = ""●●●""), 0))) * (60 * 60 * 24) / 20),
        0
      ) - 1
    ) - COUNTIFS(CU62, ""=TRUE"", CU61, ""&lt;&gt;TRUE"") - COUNTIF(CZ62, ""=TRUE"") - COUNTIF({DD62,DE62}, ""&lt;&gt;-"&amp;""") + COUNTIF(DH62, ""=TRUE""),
    3
  ),
  0, ""○○○"", 1, ""●○○"", 2, ""●●○"", 3, ""●●●"", 4, ""●●●"", ""○○○""
)"),"●●●")</f>
        <v>●●●</v>
      </c>
      <c r="DJ62" s="188" t="b">
        <v>0</v>
      </c>
      <c r="DK62" s="189" t="b">
        <v>0</v>
      </c>
      <c r="DL62" s="190" t="b">
        <v>0</v>
      </c>
      <c r="DM62" s="190" t="b">
        <v>0</v>
      </c>
      <c r="DN62" s="190" t="b">
        <v>0</v>
      </c>
      <c r="DO62" s="190" t="b">
        <v>0</v>
      </c>
      <c r="DP62" s="190" t="b">
        <v>0</v>
      </c>
      <c r="DQ62" s="191" t="b">
        <v>0</v>
      </c>
      <c r="DR62" s="192" t="b">
        <v>0</v>
      </c>
      <c r="DS62" s="191" t="b">
        <v>0</v>
      </c>
      <c r="DT62" s="192" t="b">
        <v>0</v>
      </c>
      <c r="DU62" s="191" t="b">
        <v>0</v>
      </c>
      <c r="DV62" s="193" t="s">
        <v>1070</v>
      </c>
      <c r="DW62" s="194" t="b">
        <v>0</v>
      </c>
      <c r="DX62" s="194" t="b">
        <v>0</v>
      </c>
      <c r="DY62" s="195" t="b">
        <v>0</v>
      </c>
      <c r="DZ62" s="196" t="b">
        <v>0</v>
      </c>
      <c r="EA62" s="195" t="b">
        <v>0</v>
      </c>
      <c r="EB62" s="197" t="b">
        <v>0</v>
      </c>
      <c r="EC62" s="197" t="b">
        <v>0</v>
      </c>
      <c r="ED62" s="212" t="b">
        <v>0</v>
      </c>
      <c r="EE62" s="199">
        <f>IFERROR(__xludf.DUMMYFUNCTION("IFERROR(
   PRODUCT(
     MAP(
       INDEX(TRANSPOSE(UNIQUE(TRANSPOSE(FILTER({IF($F62=""Physical"", K$10:ED$10, IF($F62=""Magic"", K$11:ED$11, K$12:ED$12));K$4:ED$4;K62:ED62}, K62:ED62=TRUE)))), 1, 0),
       INDEX(TRANSPOSE(UNIQUE(TRANSPOSE(FILTER({IF($"&amp;"F62=""Physical"", K$18:ED$18, IF($F62=""Magic"", K$19:ED$19, K$20:ED$20));K$4:ED$4;K62:ED62}, K62:ED62=TRUE)))), 1, 0),
       INDEX(TRANSPOSE(UNIQUE(TRANSPOSE(FILTER({K$5:ED$5;K$4:ED$4;K62:ED62}, K62:ED62=TRUE)))), 1, 0),
       INDEX(TRANSPOSE(UNIQUE(TR"&amp;"ANSPOSE(FILTER({K$17:ED$17;K$4:ED$4;K62:ED62}, K62:ED62=TRUE)))), 1, 0),
       LAMBDA(
         mitigation,
         enhance,
         assign,
         precondition,
         IF(
           REGEXMATCH(assign, ""RANGE_PARTY|SINGLE_ENEMY|RANGE_ENEMY""),
  "&amp;"         IF(
             OR(ARRAYFORMULA((IF(precondition="""", FALSE, REGEXMATCH(K$4:ED$4, precondition))) * (K62:ED62=TRUE))),
             IF(ISNUMBER(enhance), enhance, 1),
             IF(ISNUMBER(mitigation), mitigation, 1)
           ),
          "&amp;" 1
         )
       )
     )
   ),
   1
 )"),1.0)</f>
        <v>1</v>
      </c>
      <c r="EF62" s="200">
        <f>IFERROR(__xludf.DUMMYFUNCTION("PRODUCT(
   MAP(
     K$14:ED$14,
     K$13:ED$13,
     K62:ED62,
     LAMBDA(
       buff,
       target,
       check,
       IF(
         AND(check=TRUE, REGEXMATCH(target, ""RANGE_AFFECTED_ALL|RANGE_EFFECTED_ALL""), ISNUMBER(buff)),
         buff,
   "&amp;"      1
       )
     )
   )
 )"),1.0)</f>
        <v>1</v>
      </c>
      <c r="EG62" s="200">
        <f>IFERROR(__xludf.DUMMYFUNCTION("PRODUCT(
   MAP(
     K$14:ED$14,
     K$13:ED$13,
     K62:ED62,
     LAMBDA(
       buff,
       target,
       check,
       IF(
         AND(check=TRUE, REGEXMATCH(target, ""RANGE_AFFECTED_GCD|RANGE_EFFECTED_GCD""), ISNUMBER(buff)),
         buff,
   "&amp;"      1
       )
     )
   )
 )"),1.0)</f>
        <v>1</v>
      </c>
      <c r="EH62" s="200">
        <f>IFERROR(__xludf.DUMMYFUNCTION("PRODUCT(
   MAP(
     K$3:ED$3,
     K$14:ED$14,
     K$13:ED$13,
     K62:ED62,
     LAMBDA(
       job,
       buff,
       target,
       check,
       IF(
         AND(check=TRUE, REGEXMATCH(target, ""SELF_EFFECTED_ALL""), ISNUMBER(buff), job=""白魔道士"""&amp;"),
         buff,
         1
       )
     )
   )
 )"),1.0)</f>
        <v>1</v>
      </c>
      <c r="EI62" s="200">
        <f>IFERROR(__xludf.DUMMYFUNCTION("PRODUCT(
   MAP(
     K$3:ED$3,
     K$14:ED$14,
     K$13:ED$13,
     K62:ED62,
     LAMBDA(
       job,
       buff,
       target,
       check,
       IF(
         AND(check=TRUE, REGEXMATCH(target, ""SELF_EFFECTED_GCD""), ISNUMBER(buff), job=""白魔道士"""&amp;"),
         buff,
         1
       )
     )
   )
 )"),1.0)</f>
        <v>1</v>
      </c>
      <c r="EJ62" s="200">
        <f>IFERROR(__xludf.DUMMYFUNCTION("PRODUCT(
   MAP(
     K$3:ED$3,
     K$14:ED$14,
     K$13:ED$13,
     K62:ED62,
     LAMBDA(
       job,
       buff,
       target,
       check,
       IF(
         AND(check=TRUE, REGEXMATCH(target, ""SELF_EFFECTED_ALL""), ISNUMBER(buff), job=""占星術師"""&amp;"),
         buff,
         1
       )
     )
   )
 )"),1.0)</f>
        <v>1</v>
      </c>
      <c r="EK62" s="200">
        <f>IFERROR(__xludf.DUMMYFUNCTION("PRODUCT(
   MAP(
     K$3:ED$3,
     K$14:ED$14,
     K$13:ED$13,
     K62:ED62,
     LAMBDA(
       job,
       buff,
       target,
       check,
       IF(
         AND(check=TRUE, REGEXMATCH(target, ""SELF_EFFECTED_GCD""), ISNUMBER(buff), job=""占星術師"""&amp;"),
         buff,
         1
       )
     )
   )
 )"),1.0)</f>
        <v>1</v>
      </c>
      <c r="EL62" s="200">
        <f>IFERROR(__xludf.DUMMYFUNCTION("PRODUCT(
   MAP(
     K$3:ED$3,
     K$14:ED$14,
     K$13:ED$13,
     K62:ED62,
     LAMBDA(
       job,
       buff,
       target,
       check,
       IF(
         AND(check=TRUE, REGEXMATCH(target, ""SELF_EFFECTED_ALL""), ISNUMBER(buff), job=""学者""),"&amp;"
         buff,
         1
       )
     )
   )
 )"),1.0)</f>
        <v>1</v>
      </c>
      <c r="EM62" s="200">
        <f>IFERROR(__xludf.DUMMYFUNCTION("PRODUCT(
   MAP(
     K$3:ED$3,
     K$14:ED$14,
     K$13:ED$13,
     K62:ED62,
     LAMBDA(
       job,
       buff,
       target,
       check,
       IF(
         AND(check=TRUE, REGEXMATCH(target, ""SELF_EFFECTED_GCD""), ISNUMBER(buff), job=""学者""),"&amp;"
         buff,
         1
       )
     )
   )
 )"),1.0)</f>
        <v>1</v>
      </c>
      <c r="EN62" s="200">
        <f>IFERROR(__xludf.DUMMYFUNCTION("PRODUCT(
   MAP(
     K$3:ED$3,
     K$14:ED$14,
     K$13:ED$13,
     K62:ED62,
     LAMBDA(
       job,
       buff,
       target,
       check,
       IF(
         AND(check=TRUE, REGEXMATCH(target, ""SELF_EFFECTED_ALL""), ISNUMBER(buff), job=""賢者""),"&amp;"
         buff,
         1
       )
     )
   )
 )"),1.0)</f>
        <v>1</v>
      </c>
      <c r="EO62" s="200">
        <f>IFERROR(__xludf.DUMMYFUNCTION("PRODUCT(
   MAP(
     K$3:ED$3,
     K$14:ED$14,
     K$13:ED$13,
     K62:ED62,
     LAMBDA(
       job,
       buff,
       target,
       check,
       IF(
         AND(check=TRUE, REGEXMATCH(target, ""SELF_EFFECTED_GCD""), ISNUMBER(buff), job=""賢者""),"&amp;"
         buff,
         1
       )
     )
   )
 )"),1.0)</f>
        <v>1</v>
      </c>
      <c r="EP62" s="201">
        <f t="shared" si="3"/>
        <v>0</v>
      </c>
      <c r="EQ62" s="201">
        <f>IFERROR(__xludf.DUMMYFUNCTION("SUM(
   MAP(
     K$4:ED$4,
     K$3:ED$3,
     K$7:ED$7,
     K$15:ED$15,
     K$16:ED$16,
     K$21:ED$21,
     K$5:ED$5,
     K$17:ED$17,
     K62:ED62,
     LAMBDA(
       name,
       job,
       abillity,
       buff,
       barrier,
       enhance,"&amp;"
       assign,
       precondition,
       check,
       SWITCH(
         name,
         ""シェイクオフ"", IF(check=TRUE, buff + (0.02 * COUNTIF(ARRAYFORMULA((REGEXMATCH($K$4:$ED$4, ""スリル・オブ・バトル|ヴェンジェンス|原初の血気|ダムネーション"")) * (K62:ED62=TRUE)), 1)), 0),
         "&amp;"""インプロビゼーションフィニッシュ(踊りの激情0)"", IF(ISNUMBER(check), INDEX(Skill!$AJ:$AJ, MATCH(SUBSTITUTE(DV$4, 0, check), Skill!$C:$C, 0)), 0),
         IF(
           AND(check=TRUE, REGEXMATCH(assign, ""RANGE_PARTY"")),
           IF(
             OR(ARRAYFORMULA((IF(pr"&amp;"econdition="""", FALSE, REGEXMATCH($K$4:$ED$4, precondition))) * (K62:ED62=TRUE))),
             enhance,
             IF(barrier="""", buff, barrier)
           ),
           0
         )
       ) *
       SWITCH(
         job,
         ""ナイト"", EY$24,
 "&amp;"        ""戦士"", FD$24,
         ""踊り子"", ET$24,
         ""ピクトマンサー"", ET$24,
         ""白魔道士"", EF62 * EH62 * IF(abillity, 1, EG62 * EI62) * (Option!$D$22 * 0.81 / 100),
         ""占星術師"", EF62 * EJ62 * IF(abillity, 1, EG62 * EK62) * (Option!$D$23 * 0.81 "&amp;"/ 100),
         ""学者"", EF62 * EL62 * IF(abillity, 1, EG62 * EM62) * (Option!$D$24 * 0.81 / 100),
         ""賢者"", EF62 * EN62 * IF(abillity, 1, EG62 * EO62) * (Option!$D$25 * 0.81 / 100),
         1
       )
     )
   )
 )"),0.0)</f>
        <v>0</v>
      </c>
      <c r="ER62" s="202">
        <f t="shared" si="4"/>
        <v>0</v>
      </c>
      <c r="ES62" s="203">
        <f t="shared" si="5"/>
        <v>0</v>
      </c>
      <c r="ET62" s="231" t="str">
        <f>IFERROR(__xludf.DUMMYFUNCTION("IFS(
  EP62 &gt; $ET$24 + EQ62,
  SPARKLINE({ 1, 0 }, {""charttype"",""bar"";""max"", 1;""color1"",Option!$D$30;""color2"",Option!$D$30}),
  EP62 &lt; EQ62,
  SPARKLINE({EQ62 - EP62, $ET$24 - (EQ62 - EP62)}, {""charttype"",""bar"";""max"",$ET$24;""color1"",Opti"&amp;"on!$D$28;""color2"",Option!$D$29}),
  EP62 &gt;= EQ62,
  SPARKLINE({$ET$24 + EQ62 - EP62,EP62 - EQ62}, {""charttype"",""bar"";""max"",$ET$24;""color1"",Option!$D$29;""color2"",Option!$D$30})
)"),"")</f>
        <v/>
      </c>
      <c r="EU62" s="205">
        <f>IFERROR(__xludf.DUMMYFUNCTION("PRODUCT(
   MAP(
     IF($F62=""Physical"", K$10:ED$10, IF($F62=""Magic"", K$11:ED$11, K$12:ED$12)),
     IF($F62=""Physical"", K$18:ED$18, IF($F62=""Magic"", K$19:ED$19, K$20:ED$20)),
     K$3:ED$3,
     K$5:ED$5,
     K$17:ED$17,
     K62:ED62,
     LAM"&amp;"BDA(
       mitigation,
       enhance,
       job,
       assign,
       precondition,
       check,
       IF(
         OR(AND(check=TRUE, REGEXMATCH(assign, ""SELF""), job=""ナイト""), AND(check=Option!$E$13, REGEXMATCH(assign, ""SINGLE_PARTY""))),
      "&amp;"   IF(
           OR(ARRAYFORMULA((IF(precondition="""", FALSE, REGEXMATCH($K$4:$ED$4, precondition))) * (K62:ED62=TRUE))),
           enhance,
           mitigation
         ),
         1
       )
     )
   )
 ) * EE62"),1.0)</f>
        <v>1</v>
      </c>
      <c r="EV62" s="206">
        <f t="shared" si="6"/>
        <v>0</v>
      </c>
      <c r="EW62" s="205">
        <f>IFERROR(__xludf.DUMMYFUNCTION("PRODUCT(
   MAP(
     K$3:ED$3,
     K$14:ED$14,
     K$13:ED$13,
     K62:ED62,
     LAMBDA(
       job,
       buff,
       target,
       check,
       IF(
         OR(AND(check=TRUE, REGEXMATCH(target, ""SELF_AFFECTED_ALL""), job=""ナイト""), AND(check=O"&amp;"ption!$E$13, REGEXMATCH(target, ""SINGLE_AFFECTED_ALL""))),
         buff,
         1
       )
     )
   )
 )"),1.0)</f>
        <v>1</v>
      </c>
      <c r="EX62" s="206">
        <f>IFERROR(__xludf.DUMMYFUNCTION("SUM(
   MAP(
     K$3:ED$3,
     K$7:ED$7,
     K$15:ED$15,
     K$16:ED$16,
     K$21:ED$21,
     K$5:ED$5,
     K$17:ED$17,
     K62:ED62,
     LAMBDA(
       job,
       abillity,
       buff,
       barrier,
       enhance,
       assign,
       preco"&amp;"ndition,
       check,
       IF(
         OR(AND(check=TRUE, REGEXMATCH(assign, ""SELF""), job=""ナイト""), AND(check=Option!$E$13, REGEXMATCH(assign, ""SINGLE_PARTY""))),
         IF(
           OR(ARRAYFORMULA((IF(precondition="""", FALSE, REGEXMATCH($K$4"&amp;":$ED$4, precondition))) * (K62:ED62=TRUE))),
           enhance,
           IF(barrier="""", buff, barrier)
         ),
         0
       ) *
       SWITCH(
         job,
         ""暗黒騎士"", EY$24,
         ""白魔道士"", EF62 * EH62 * EW62 * IF(abillity, 1, EG"&amp;"62 * EI62) * (Option!$D$22 * 0.81 / 100),
         ""占星術師"", EF62 * EJ62 * EW62 * IF(abillity, 1, EG62 * EK62) * (Option!$D$23 * 0.81 / 100),
         ""学者"", EF62 * EL62 * EW62 * IF(abillity, 1, EG62 * EM62) * (Option!$D$24 * 0.81 / 100),
         ""賢者"""&amp;", EF62 * EN62 * EW62 * IF(abillity, 1, EG62 * EO62) * (Option!$D$25 * 0.81 / 100),
         1
       )
     )
   )
 ) + EQ62"),0.0)</f>
        <v>0</v>
      </c>
      <c r="EY62" s="232">
        <f t="shared" si="7"/>
        <v>0</v>
      </c>
      <c r="EZ62" s="205">
        <f>IFERROR(__xludf.DUMMYFUNCTION("PRODUCT(
   MAP(
     IF($F62=""Physical"", K$10:ED$10, IF($F62=""Magic"", K$11:ED$11, K$12:ED$12)),
     IF($F62=""Physical"", K$18:ED$18, IF($F62=""Magic"", K$19:ED$19, K$20:ED$20)),
     K$3:ED$3,
     K$5:ED$5,
     K$17:ED$17,
     K62:ED62,
     LAM"&amp;"BDA(
       mitigation,
       enhance,
       job,
       assign,
       precondition,
       check,
       IF(
         OR(AND(check=TRUE, REGEXMATCH(assign, ""SELF""), job=""戦士""), AND(check=Option!$F$13, REGEXMATCH(assign, ""SINGLE_PARTY""))),
       "&amp;"  IF(
           OR(ARRAYFORMULA((IF(precondition="""", FALSE, REGEXMATCH($K$4:$ED$4, precondition))) * (K62:ED62=TRUE))),
           enhance,
           mitigation
         ),
         1
       )
     )
   )
 ) * EE62"),1.0)</f>
        <v>1</v>
      </c>
      <c r="FA62" s="206">
        <f t="shared" si="8"/>
        <v>0</v>
      </c>
      <c r="FB62" s="205">
        <f>IFERROR(__xludf.DUMMYFUNCTION("PRODUCT(
   MAP(
     K$3:ED$3,
     K$14:ED$14,
     K$13:ED$13,
     K62:ED62,
     LAMBDA(
       job,
       buff,
       target,
       check,
       IF(
         OR(AND(check=TRUE, REGEXMATCH(target, ""SELF_AFFECTED_ALL""), job=""戦士""), AND(check=Op"&amp;"tion!$F$13, REGEXMATCH(target, ""SINGLE_AFFECTED_ALL""))),
         buff,
         1
       )
     )
   )
 )"),1.0)</f>
        <v>1</v>
      </c>
      <c r="FC62" s="206">
        <f>IFERROR(__xludf.DUMMYFUNCTION("SUM(
   MAP(
     K$3:ED$3,
     K$7:ED$7,
     K$15:ED$15,
     K$16:ED$16,
     K$21:ED$21,
     K$5:ED$5,
     K$17:ED$17,
     K62:ED62,
     LAMBDA(
       job,
       abillity,
       buff,
       barrier,
       enhance,
       assign,
       preco"&amp;"ndition,
       check,
       IF(
         OR(AND(check=TRUE, REGEXMATCH(assign, ""SELF""), job=""戦士""), AND(check=Option!$F$13, REGEXMATCH(assign, ""SINGLE_PARTY""))),
         IF(
           OR(ARRAYFORMULA((IF(precondition="""", FALSE, REGEXMATCH($K$4:"&amp;"$ED$4, precondition))) * (K62:ED62=TRUE))),
           enhance,
           IF(barrier="""", buff, barrier)
         ),
         0
       ) *
       SWITCH(
         job,
         ""暗黒騎士"", FD$24,
         ""白魔道士"", EF62 * EH62 * FB62 * IF(abillity, 1, EG6"&amp;"2 * EI62) * (Option!$D$22 * 0.81 / 100),
         ""占星術師"", EF62 * EJ62 * FFB62 * IF(abillity, 1, EG62 * EK62) * (Option!$D$23 * 0.81 / 100),
         ""学者"", EF62 * EL62 * FB62 * IF(abillity, 1, EG62 * EM62) * (Option!$D$24 * 0.81 / 100),
         ""賢者"""&amp;", EF62 * EN62 * FB62 * IF(abillity, 1, EG62 * EO62) * (Option!$D$25 * 0.81 / 100),
         1
       )
     )
   )
 ) + EQ62"),0.0)</f>
        <v>0</v>
      </c>
      <c r="FD62" s="206">
        <f t="shared" si="9"/>
        <v>0</v>
      </c>
      <c r="FE62" s="205">
        <f>IFERROR(__xludf.DUMMYFUNCTION("PRODUCT(
   MAP(
     IF($F62=""Physical"", K$10:ED$10, IF($F62=""Magic"", K$11:ED$11, K$12:ED$12)),
     IF($F62=""Physical"", K$18:ED$18, IF($F62=""Magic"", K$19:ED$19, K$20:ED$20)),
     K$3:ED$3,
     K$5:ED$5,
     K$17:ED$17,
     K62:ED62,
     LAM"&amp;"BDA(
       mitigation,
       enhance,
       job,
       assign,
       precondition,
       check,
       IF(
         OR(AND(check=TRUE, REGEXMATCH(assign, ""SELF""), job=""暗黒騎士""), AND(check=Option!$G$13, REGEXMATCH(assign, ""SINGLE_PARTY""))),
     "&amp;"    IF(
           OR(ARRAYFORMULA((IF(precondition="""", FALSE, REGEXMATCH($K$4:$ED$4, precondition))) * (K62:ED62=TRUE))),
           enhance,
           mitigation
         ),
         1
       )
     )
   )
 ) * EE62"),1.0)</f>
        <v>1</v>
      </c>
      <c r="FF62" s="206">
        <f t="shared" si="10"/>
        <v>0</v>
      </c>
      <c r="FG62" s="205">
        <f>IFERROR(__xludf.DUMMYFUNCTION("PRODUCT(
   MAP(
     K$3:ED$3,
     K$14:ED$14,
     K$13:ED$13,
     K62:ED62,
     LAMBDA(
       job,
       buff,
       target,
       check,
       IF(
         OR(AND(check=TRUE, REGEXMATCH(target, ""SELF_AFFECTED_ALL""), job=""暗黒騎士""), AND(check="&amp;"Option!$G$13, REGEXMATCH(target, ""SINGLE_AFFECTED_ALL""))),
         buff,
         1
       )
     )
   )
 )"),1.0)</f>
        <v>1</v>
      </c>
      <c r="FH62" s="206">
        <f>IFERROR(__xludf.DUMMYFUNCTION("SUM(
   MAP(
     K$3:ED$3,
     K$7:ED$7,
     K$15:ED$15,
     K$16:ED$16,
     K$21:ED$21,
     K$5:ED$5,
     K$17:ED$17,
     K62:ED62,
     LAMBDA(
       job,
       abillity,
       buff,
       barrier,
       enhance,
       assign,
       preco"&amp;"ndition,
       check,
       IF(
         OR(AND(check=TRUE, REGEXMATCH(assign, ""SELF""), job=""暗黒騎士""), AND(check=Option!$G$13, REGEXMATCH(assign, ""SINGLE_PARTY""))),
         IF(
           OR(ARRAYFORMULA((IF(precondition="""", FALSE, REGEXMATCH($K$"&amp;"4:$ED$4, precondition))) * (K62:ED62=TRUE))),
           enhance,
           IF(barrier="""", buff, barrier)
         ),
         0
       ) *
       SWITCH(
         job,
         ""暗黒騎士"", FI$24,
         ""白魔道士"", EF62 * EH62 * FG62 * IF(abillity, 1, E"&amp;"G62 * EI62) * (Option!$D$22 * 0.81 / 100),
         ""占星術師"", EF62 * EJ62 * FG62 * IF(abillity, 1, EG62 * EK62) * (Option!$D$23 * 0.81 / 100),
         ""学者"", EF62 * EL62 * FG62 * IF(abillity, 1, EG62 * EM62) * (Option!$D$24 * 0.81 / 100),
         ""賢者"&amp;""", EF62 * EN62 * FG62 * IF(abillity, 1, EG62 * EO62) * (Option!$D$25 * 0.81 / 100),
         1
       )
     )
   )
 ) + EQ62"),0.0)</f>
        <v>0</v>
      </c>
      <c r="FI62" s="206">
        <f t="shared" si="11"/>
        <v>0</v>
      </c>
      <c r="FJ62" s="205">
        <f>IFERROR(__xludf.DUMMYFUNCTION("PRODUCT(
   MAP(
     IF($F62=""Physical"", K$10:ED$10, IF($F62=""Magic"", K$11:ED$11, K$12:ED$12)),
     IF($F62=""Physical"", K$18:ED$18, IF($F62=""Magic"", K$19:ED$19, K$20:ED$20)),
     K$3:ED$3,
     K$5:ED$5,
     K$17:ED$17,
     K62:ED62,
     LAM"&amp;"BDA(
       mitigation,
       enhance,
       job,
       assign,
       precondition,
       check,
       IF(
         OR(AND(check=TRUE, REGEXMATCH(assign, ""SELF""), job=""ガンブレイカー""), AND(check=Option!$H$13, REGEXMATCH(assign, ""SINGLE_PARTY""))),
  "&amp;"       IF(
           OR(ARRAYFORMULA((IF(precondition="""", FALSE, REGEXMATCH($K$4:$ED$4, precondition))) * (K62:ED62=TRUE))),
           enhance,
           mitigation
         ),
         1
       )
     )
   )
 ) * EE62"),1.0)</f>
        <v>1</v>
      </c>
      <c r="FK62" s="206">
        <f t="shared" si="12"/>
        <v>0</v>
      </c>
      <c r="FL62" s="205">
        <f>IFERROR(__xludf.DUMMYFUNCTION("PRODUCT(
   MAP(
     K$3:ED$3,
     K$14:ED$14,
     K$13:ED$13,
     K62:ED62,
     LAMBDA(
       job,
       buff,
       target,
       check,
       IF(
         OR(AND(check=TRUE, REGEXMATCH(target, ""SELF_AFFECTED_ALL""), job=""ガンブレイカー""), AND(che"&amp;"ck=Option!$H$13, REGEXMATCH(target, ""SINGLE_AFFECTED_ALL""))),
         buff,
         1
       )
     )
   )
 )"),1.0)</f>
        <v>1</v>
      </c>
      <c r="FM62" s="206">
        <f>IFERROR(__xludf.DUMMYFUNCTION("SUM(
   MAP(
     K$3:ED$3,
     K$7:ED$7,
     K$15:ED$15,
     K$16:ED$16,
     K$21:ED$21,
     K$5:ED$5,
     K$17:ED$17,
     K62:ED62,
     LAMBDA(
       job,
       abillity,
       buff,
       barrier,
       enhance,
       assign,
       preco"&amp;"ndition,
       check,
       IF(
         OR(AND(check=TRUE, REGEXMATCH(assign, ""SELF""), job=""ガンブレイカー""), AND(check=Option!$H$13, REGEXMATCH(assign, ""SINGLE_PARTY""))),
         IF(
           OR(ARRAYFORMULA((IF(precondition="""", FALSE, REGEXMATCH("&amp;"$K$4:$ED$4, precondition))) * (K62:ED62=TRUE))),
           enhance,
           IF(barrier="""", buff, barrier)
         ),
         0
       ) *
       SWITCH(
         job,
         ""暗黒騎士"", FN$24,
         ""白魔道士"", EF62 * EH62 * FL62 * IF(abillity, 1"&amp;", EG62 * EI62) * (Option!$D$22 * 0.81 / 100),
         ""占星術師"", EF62 * EJ62 * FL62 * IF(abillity, 1, EG62 * EK62) * (Option!$D$23 * 0.81 / 100),
         ""学者"", EF62 * EL62 * FL62 * IF(abillity, 1, EG62 * EM62) * (Option!$D$24 * 0.81 / 100),
         """&amp;"賢者"", EF62 * EN62 * FL62 * IF(abillity, 1, EG62 * EO62) * (Option!$D$25 * 0.81 / 100),
         1
       )
     )
   )
 ) + EQ62"),0.0)</f>
        <v>0</v>
      </c>
      <c r="FN62" s="206">
        <f t="shared" si="13"/>
        <v>0</v>
      </c>
      <c r="FO62" s="213"/>
    </row>
    <row r="63">
      <c r="B63" s="229"/>
      <c r="C63" s="217">
        <f t="shared" si="1"/>
        <v>0</v>
      </c>
      <c r="D63" s="236"/>
      <c r="E63" s="238"/>
      <c r="F63" s="167"/>
      <c r="G63" s="168" t="str">
        <f t="shared" si="2"/>
        <v/>
      </c>
      <c r="H63" s="169"/>
      <c r="I63" s="169"/>
      <c r="J63" s="169"/>
      <c r="K63" s="170" t="b">
        <v>0</v>
      </c>
      <c r="L63" s="170" t="b">
        <v>0</v>
      </c>
      <c r="M63" s="170" t="b">
        <v>0</v>
      </c>
      <c r="N63" s="171" t="s">
        <v>1070</v>
      </c>
      <c r="O63" s="172" t="b">
        <v>0</v>
      </c>
      <c r="P63" s="173" t="b">
        <v>0</v>
      </c>
      <c r="Q63" s="173" t="b">
        <v>0</v>
      </c>
      <c r="R63" s="173" t="b">
        <v>0</v>
      </c>
      <c r="S63" s="174" t="b">
        <v>0</v>
      </c>
      <c r="T63" s="175" t="b">
        <v>0</v>
      </c>
      <c r="U63" s="173" t="b">
        <v>0</v>
      </c>
      <c r="V63" s="171" t="s">
        <v>1070</v>
      </c>
      <c r="W63" s="172" t="b">
        <v>0</v>
      </c>
      <c r="X63" s="173" t="b">
        <v>0</v>
      </c>
      <c r="Y63" s="173" t="b">
        <v>0</v>
      </c>
      <c r="Z63" s="173" t="b">
        <v>0</v>
      </c>
      <c r="AA63" s="174" t="b">
        <v>0</v>
      </c>
      <c r="AB63" s="174" t="b">
        <v>0</v>
      </c>
      <c r="AC63" s="175" t="b">
        <v>0</v>
      </c>
      <c r="AD63" s="173" t="b">
        <v>0</v>
      </c>
      <c r="AE63" s="176" t="s">
        <v>1070</v>
      </c>
      <c r="AF63" s="171" t="s">
        <v>1070</v>
      </c>
      <c r="AG63" s="177">
        <f>IFERROR(__xludf.DUMMYFUNCTION("IF(
  ISNUMBER(AG62),
  MIN(MAX(
    AG62
    + MAX(
      ROUNDDOWN(($D63 - MAX(IFERROR(FILTER($D$24:$D62, AG$24:AG62 &lt;&gt; AF$6, AG$23:AG61 = AF$6), 0))) * (60 * 60 * 24) / AF$9) - ROUNDDOWN(($D62 - MAX(IFERROR(FILTER($D$23:$D61, AG$23:AG61 &lt;&gt; AF$6, AG$22:"&amp;"AG60 = AF$6), 0))) * (60 * 60 * 24) / 60),
      0
    )
    - COUNTIF(AF63, ""&lt;&gt;-""),
  0), AF$6),
  AF$6 - COUNTIF(AF63, ""&lt;&gt;-"")
)"),2.0)</f>
        <v>2</v>
      </c>
      <c r="AH63" s="173" t="b">
        <v>0</v>
      </c>
      <c r="AI63" s="173" t="b">
        <v>0</v>
      </c>
      <c r="AJ63" s="173" t="b">
        <v>0</v>
      </c>
      <c r="AK63" s="174" t="b">
        <v>0</v>
      </c>
      <c r="AL63" s="175" t="b">
        <v>0</v>
      </c>
      <c r="AM63" s="173" t="b">
        <v>0</v>
      </c>
      <c r="AN63" s="171" t="s">
        <v>1070</v>
      </c>
      <c r="AO63" s="173" t="b">
        <v>0</v>
      </c>
      <c r="AP63" s="173" t="b">
        <v>0</v>
      </c>
      <c r="AQ63" s="173" t="b">
        <v>0</v>
      </c>
      <c r="AR63" s="174" t="b">
        <v>0</v>
      </c>
      <c r="AS63" s="178" t="b">
        <v>0</v>
      </c>
      <c r="AT63" s="179" t="b">
        <v>0</v>
      </c>
      <c r="AU63" s="180" t="b">
        <v>0</v>
      </c>
      <c r="AV63" s="180" t="b">
        <v>0</v>
      </c>
      <c r="AW63" s="180" t="b">
        <v>0</v>
      </c>
      <c r="AX63" s="180" t="b">
        <v>0</v>
      </c>
      <c r="AY63" s="181" t="s">
        <v>1070</v>
      </c>
      <c r="AZ63" s="181" t="s">
        <v>1070</v>
      </c>
      <c r="BA63" s="184">
        <f>IFERROR(__xludf.DUMMYFUNCTION("IF(
  ISNUMBER(BA62),
  MIN(MAX(
    BA62
    + MAX(
      ROUNDDOWN((D63 - MAX(IFERROR(FILTER(D$24:D62, BA$24:BA62 &lt;&gt; AZ$6, BA$23:BA61 = AZ$6), 0))) * (60 * 60 * 24) / AZ$9) - ROUNDDOWN((D62 - MAX(IFERROR(FILTER(D$23:D61, BA$23:BA61 &lt;&gt; AZ$6, BA$22:BA60 ="&amp;" AZ$6), 0))) * (60 * 60 * 24) / AZ$9),
      0
    )
    - COUNTIF(AZ63, ""&lt;&gt;-""),
  0), AZ$6),
  AZ$6 - COUNTIF(AZ63, ""&lt;&gt;-"")
)"),2.0)</f>
        <v>2</v>
      </c>
      <c r="BB63" s="181" t="s">
        <v>1070</v>
      </c>
      <c r="BC63" s="183">
        <f>IFERROR(__xludf.DUMMYFUNCTION("IF(
  ISNUMBER(BC62),
  MIN(MAX(
    BC62
    + MAX(
      ROUNDDOWN(($D63 - MAX(IFERROR(FILTER($D$24:$D62, BC$24:BC62 &lt;&gt; BB$6, BC$23:BC61 = BB$6), 0))) * (60 * 60 * 24) / BB$9) - ROUNDDOWN(($D62 - MAX(IFERROR(FILTER($D$23:$D61, BC$23:BC61 &lt;&gt; BB$6, BC$22:"&amp;"BC60 = BB$6), 0))) * (60 * 60 * 24) / 60),
      0
    )
    - COUNTIF(BB63, ""&lt;&gt;-""),
  0), BB$6),
  BB$6 - COUNTIF(BB63, ""&lt;&gt;-"")
)"),2.0)</f>
        <v>2</v>
      </c>
      <c r="BD63" s="181" t="s">
        <v>1070</v>
      </c>
      <c r="BE63" s="178" t="b">
        <v>0</v>
      </c>
      <c r="BF63" s="180" t="b">
        <v>0</v>
      </c>
      <c r="BG63" s="180" t="b">
        <v>0</v>
      </c>
      <c r="BH63" s="180" t="b">
        <v>0</v>
      </c>
      <c r="BI63" s="180" t="b">
        <v>0</v>
      </c>
      <c r="BJ63" s="180" t="b">
        <v>0</v>
      </c>
      <c r="BK63" s="180" t="b">
        <v>0</v>
      </c>
      <c r="BL63" s="180" t="b">
        <v>0</v>
      </c>
      <c r="BM63" s="180" t="b">
        <v>0</v>
      </c>
      <c r="BN63" s="180" t="b">
        <v>0</v>
      </c>
      <c r="BO63" s="181" t="s">
        <v>1070</v>
      </c>
      <c r="BP63" s="181" t="s">
        <v>1070</v>
      </c>
      <c r="BQ63" s="181" t="s">
        <v>1070</v>
      </c>
      <c r="BR63" s="181" t="s">
        <v>1070</v>
      </c>
      <c r="BS63" s="181" t="s">
        <v>1070</v>
      </c>
      <c r="BT63" s="184">
        <f>IFERROR(__xludf.DUMMYFUNCTION("IF(
  ISNUMBER(BT62),
  MIN(MAX(
    BT62
    + MAX(
      ROUNDDOWN((D63 - MAX(IFERROR(FILTER(D$24:D62, BT$24:BT62 &lt;&gt; BS$6, BT$23:BT61 = BS$6), 0))) * (60 * 60 * 24) / BS$9) - ROUNDDOWN((D62 - MAX(IFERROR(FILTER(D$23:D61, BT$23:BT61 &lt;&gt; BS$6, BT$22:BT60 ="&amp;" BS$6), 0))) * (60 * 60 * 24) / BS$9),
      0
    )
    - COUNTIF(BS63, ""&lt;&gt;-""),
  0), BS$6),
  BS$6 - COUNTIF(BS63, ""&lt;&gt;-"")
)"),3.0)</f>
        <v>3</v>
      </c>
      <c r="BU63" s="181" t="s">
        <v>1070</v>
      </c>
      <c r="BV63" s="181" t="s">
        <v>1070</v>
      </c>
      <c r="BW63" s="184">
        <f>IFERROR(__xludf.DUMMYFUNCTION("IF(
  ISNUMBER(BW62),
  MIN(MAX(
    BW62
    + MAX(
      ROUNDDOWN((D63 - MAX(IFERROR(FILTER(D$24:D62, BW$24:BW62 &lt;&gt; BV$6, BW$23:BW61 = BV$6), 0))) * (60 * 60 * 24) / BV$9) - ROUNDDOWN((D62 - MAX(IFERROR(FILTER(D$23:D61, BW$23:BW61 &lt;&gt; BV$6, BW$22:BW60 ="&amp;" BV$6), 0))) * (60 * 60 * 24) / BV$9),
      0
    )
    - COUNTIF(BV63, ""&lt;&gt;-""),
  0), BV$6),
  BV$6 - COUNTIF(BV63, ""&lt;&gt;-"")
)"),2.0)</f>
        <v>2</v>
      </c>
      <c r="BX63" s="185" t="s">
        <v>1070</v>
      </c>
      <c r="BY63" s="178" t="b">
        <v>0</v>
      </c>
      <c r="BZ63" s="180" t="b">
        <v>0</v>
      </c>
      <c r="CA63" s="180" t="b">
        <v>0</v>
      </c>
      <c r="CB63" s="180" t="b">
        <v>0</v>
      </c>
      <c r="CC63" s="180" t="b">
        <v>0</v>
      </c>
      <c r="CD63" s="180" t="b">
        <v>0</v>
      </c>
      <c r="CE63" s="180" t="b">
        <v>0</v>
      </c>
      <c r="CF63" s="180" t="b">
        <v>0</v>
      </c>
      <c r="CG63" s="180" t="b">
        <v>0</v>
      </c>
      <c r="CH63" s="180" t="b">
        <v>0</v>
      </c>
      <c r="CI63" s="180" t="b">
        <v>0</v>
      </c>
      <c r="CJ63" s="180" t="b">
        <v>0</v>
      </c>
      <c r="CK63" s="180" t="b">
        <v>0</v>
      </c>
      <c r="CL63" s="180" t="b">
        <v>0</v>
      </c>
      <c r="CM63" s="181" t="s">
        <v>1070</v>
      </c>
      <c r="CN63" s="181" t="s">
        <v>1070</v>
      </c>
      <c r="CO63" s="181" t="s">
        <v>1070</v>
      </c>
      <c r="CP63" s="181" t="s">
        <v>1070</v>
      </c>
      <c r="CQ63" s="185" t="s">
        <v>1070</v>
      </c>
      <c r="CR63" s="180" t="b">
        <v>0</v>
      </c>
      <c r="CS63" s="186" t="str">
        <f t="shared" si="14"/>
        <v>◇◇◇</v>
      </c>
      <c r="CT63" s="178" t="b">
        <v>0</v>
      </c>
      <c r="CU63" s="180" t="b">
        <v>0</v>
      </c>
      <c r="CV63" s="180" t="b">
        <v>0</v>
      </c>
      <c r="CW63" s="180" t="b">
        <v>0</v>
      </c>
      <c r="CX63" s="180" t="b">
        <v>0</v>
      </c>
      <c r="CY63" s="180" t="b">
        <v>0</v>
      </c>
      <c r="CZ63" s="180" t="b">
        <v>0</v>
      </c>
      <c r="DA63" s="180" t="b">
        <v>0</v>
      </c>
      <c r="DB63" s="180" t="b">
        <v>0</v>
      </c>
      <c r="DC63" s="180" t="b">
        <v>0</v>
      </c>
      <c r="DD63" s="181" t="s">
        <v>1070</v>
      </c>
      <c r="DE63" s="181" t="s">
        <v>1070</v>
      </c>
      <c r="DF63" s="181" t="s">
        <v>1070</v>
      </c>
      <c r="DG63" s="185" t="s">
        <v>1070</v>
      </c>
      <c r="DH63" s="180" t="b">
        <v>0</v>
      </c>
      <c r="DI63" s="187" t="str">
        <f>IFERROR(__xludf.DUMMYFUNCTION("SWITCH(
  IF(
    ISTEXT(DI62),
    IF (
      FIND(""○"", DI62&amp;""○"") &gt; 3,
      3,
      FIND(""○"", DI62&amp;""○"")
      + MAX(
        ROUNDDOWN(($D63 - MAX(IFERROR(FILTER(D$24:D62, DI$24:DI62 &lt;&gt; ""●●●"", DI$23:DI61 = ""●●●""), 0))) * (60 * 60 * 24) / 20"&amp;") - ROUNDDOWN(($D62 - MAX(IFERROR(FILTER(D$23:D61, DI$23:DI61 &lt;&gt; ""●●●"", DI$22:DI60 = ""●●●""), 0))) * (60 * 60 * 24) / 20),
        0
      ) - 1
    ) - COUNTIFS(CU63, ""=TRUE"", CU62, ""&lt;&gt;TRUE"") - COUNTIF(CZ63, ""=TRUE"") - COUNTIF({DD63,DE63}, ""&lt;&gt;-"&amp;""") + COUNTIF(DH63, ""=TRUE""),
    3
  ),
  0, ""○○○"", 1, ""●○○"", 2, ""●●○"", 3, ""●●●"", 4, ""●●●"", ""○○○""
)"),"●●●")</f>
        <v>●●●</v>
      </c>
      <c r="DJ63" s="188" t="b">
        <v>0</v>
      </c>
      <c r="DK63" s="189" t="b">
        <v>0</v>
      </c>
      <c r="DL63" s="190" t="b">
        <v>0</v>
      </c>
      <c r="DM63" s="190" t="b">
        <v>0</v>
      </c>
      <c r="DN63" s="190" t="b">
        <v>0</v>
      </c>
      <c r="DO63" s="190" t="b">
        <v>0</v>
      </c>
      <c r="DP63" s="190" t="b">
        <v>0</v>
      </c>
      <c r="DQ63" s="191" t="b">
        <v>0</v>
      </c>
      <c r="DR63" s="192" t="b">
        <v>0</v>
      </c>
      <c r="DS63" s="191" t="b">
        <v>0</v>
      </c>
      <c r="DT63" s="192" t="b">
        <v>0</v>
      </c>
      <c r="DU63" s="191" t="b">
        <v>0</v>
      </c>
      <c r="DV63" s="193" t="s">
        <v>1070</v>
      </c>
      <c r="DW63" s="194" t="b">
        <v>0</v>
      </c>
      <c r="DX63" s="194" t="b">
        <v>0</v>
      </c>
      <c r="DY63" s="195" t="b">
        <v>0</v>
      </c>
      <c r="DZ63" s="196" t="b">
        <v>0</v>
      </c>
      <c r="EA63" s="195" t="b">
        <v>0</v>
      </c>
      <c r="EB63" s="197" t="b">
        <v>0</v>
      </c>
      <c r="EC63" s="197" t="b">
        <v>0</v>
      </c>
      <c r="ED63" s="212" t="b">
        <v>0</v>
      </c>
      <c r="EE63" s="199">
        <f>IFERROR(__xludf.DUMMYFUNCTION("IFERROR(
   PRODUCT(
     MAP(
       INDEX(TRANSPOSE(UNIQUE(TRANSPOSE(FILTER({IF($F63=""Physical"", K$10:ED$10, IF($F63=""Magic"", K$11:ED$11, K$12:ED$12));K$4:ED$4;K63:ED63}, K63:ED63=TRUE)))), 1, 0),
       INDEX(TRANSPOSE(UNIQUE(TRANSPOSE(FILTER({IF($"&amp;"F63=""Physical"", K$18:ED$18, IF($F63=""Magic"", K$19:ED$19, K$20:ED$20));K$4:ED$4;K63:ED63}, K63:ED63=TRUE)))), 1, 0),
       INDEX(TRANSPOSE(UNIQUE(TRANSPOSE(FILTER({K$5:ED$5;K$4:ED$4;K63:ED63}, K63:ED63=TRUE)))), 1, 0),
       INDEX(TRANSPOSE(UNIQUE(TR"&amp;"ANSPOSE(FILTER({K$17:ED$17;K$4:ED$4;K63:ED63}, K63:ED63=TRUE)))), 1, 0),
       LAMBDA(
         mitigation,
         enhance,
         assign,
         precondition,
         IF(
           REGEXMATCH(assign, ""RANGE_PARTY|SINGLE_ENEMY|RANGE_ENEMY""),
  "&amp;"         IF(
             OR(ARRAYFORMULA((IF(precondition="""", FALSE, REGEXMATCH(K$4:ED$4, precondition))) * (K63:ED63=TRUE))),
             IF(ISNUMBER(enhance), enhance, 1),
             IF(ISNUMBER(mitigation), mitigation, 1)
           ),
          "&amp;" 1
         )
       )
     )
   ),
   1
 )"),1.0)</f>
        <v>1</v>
      </c>
      <c r="EF63" s="200">
        <f>IFERROR(__xludf.DUMMYFUNCTION("PRODUCT(
   MAP(
     K$14:ED$14,
     K$13:ED$13,
     K63:ED63,
     LAMBDA(
       buff,
       target,
       check,
       IF(
         AND(check=TRUE, REGEXMATCH(target, ""RANGE_AFFECTED_ALL|RANGE_EFFECTED_ALL""), ISNUMBER(buff)),
         buff,
   "&amp;"      1
       )
     )
   )
 )"),1.0)</f>
        <v>1</v>
      </c>
      <c r="EG63" s="200">
        <f>IFERROR(__xludf.DUMMYFUNCTION("PRODUCT(
   MAP(
     K$14:ED$14,
     K$13:ED$13,
     K63:ED63,
     LAMBDA(
       buff,
       target,
       check,
       IF(
         AND(check=TRUE, REGEXMATCH(target, ""RANGE_AFFECTED_GCD|RANGE_EFFECTED_GCD""), ISNUMBER(buff)),
         buff,
   "&amp;"      1
       )
     )
   )
 )"),1.0)</f>
        <v>1</v>
      </c>
      <c r="EH63" s="200">
        <f>IFERROR(__xludf.DUMMYFUNCTION("PRODUCT(
   MAP(
     K$3:ED$3,
     K$14:ED$14,
     K$13:ED$13,
     K63:ED63,
     LAMBDA(
       job,
       buff,
       target,
       check,
       IF(
         AND(check=TRUE, REGEXMATCH(target, ""SELF_EFFECTED_ALL""), ISNUMBER(buff), job=""白魔道士"""&amp;"),
         buff,
         1
       )
     )
   )
 )"),1.0)</f>
        <v>1</v>
      </c>
      <c r="EI63" s="200">
        <f>IFERROR(__xludf.DUMMYFUNCTION("PRODUCT(
   MAP(
     K$3:ED$3,
     K$14:ED$14,
     K$13:ED$13,
     K63:ED63,
     LAMBDA(
       job,
       buff,
       target,
       check,
       IF(
         AND(check=TRUE, REGEXMATCH(target, ""SELF_EFFECTED_GCD""), ISNUMBER(buff), job=""白魔道士"""&amp;"),
         buff,
         1
       )
     )
   )
 )"),1.0)</f>
        <v>1</v>
      </c>
      <c r="EJ63" s="200">
        <f>IFERROR(__xludf.DUMMYFUNCTION("PRODUCT(
   MAP(
     K$3:ED$3,
     K$14:ED$14,
     K$13:ED$13,
     K63:ED63,
     LAMBDA(
       job,
       buff,
       target,
       check,
       IF(
         AND(check=TRUE, REGEXMATCH(target, ""SELF_EFFECTED_ALL""), ISNUMBER(buff), job=""占星術師"""&amp;"),
         buff,
         1
       )
     )
   )
 )"),1.0)</f>
        <v>1</v>
      </c>
      <c r="EK63" s="200">
        <f>IFERROR(__xludf.DUMMYFUNCTION("PRODUCT(
   MAP(
     K$3:ED$3,
     K$14:ED$14,
     K$13:ED$13,
     K63:ED63,
     LAMBDA(
       job,
       buff,
       target,
       check,
       IF(
         AND(check=TRUE, REGEXMATCH(target, ""SELF_EFFECTED_GCD""), ISNUMBER(buff), job=""占星術師"""&amp;"),
         buff,
         1
       )
     )
   )
 )"),1.0)</f>
        <v>1</v>
      </c>
      <c r="EL63" s="200">
        <f>IFERROR(__xludf.DUMMYFUNCTION("PRODUCT(
   MAP(
     K$3:ED$3,
     K$14:ED$14,
     K$13:ED$13,
     K63:ED63,
     LAMBDA(
       job,
       buff,
       target,
       check,
       IF(
         AND(check=TRUE, REGEXMATCH(target, ""SELF_EFFECTED_ALL""), ISNUMBER(buff), job=""学者""),"&amp;"
         buff,
         1
       )
     )
   )
 )"),1.0)</f>
        <v>1</v>
      </c>
      <c r="EM63" s="200">
        <f>IFERROR(__xludf.DUMMYFUNCTION("PRODUCT(
   MAP(
     K$3:ED$3,
     K$14:ED$14,
     K$13:ED$13,
     K63:ED63,
     LAMBDA(
       job,
       buff,
       target,
       check,
       IF(
         AND(check=TRUE, REGEXMATCH(target, ""SELF_EFFECTED_GCD""), ISNUMBER(buff), job=""学者""),"&amp;"
         buff,
         1
       )
     )
   )
 )"),1.0)</f>
        <v>1</v>
      </c>
      <c r="EN63" s="200">
        <f>IFERROR(__xludf.DUMMYFUNCTION("PRODUCT(
   MAP(
     K$3:ED$3,
     K$14:ED$14,
     K$13:ED$13,
     K63:ED63,
     LAMBDA(
       job,
       buff,
       target,
       check,
       IF(
         AND(check=TRUE, REGEXMATCH(target, ""SELF_EFFECTED_ALL""), ISNUMBER(buff), job=""賢者""),"&amp;"
         buff,
         1
       )
     )
   )
 )"),1.0)</f>
        <v>1</v>
      </c>
      <c r="EO63" s="200">
        <f>IFERROR(__xludf.DUMMYFUNCTION("PRODUCT(
   MAP(
     K$3:ED$3,
     K$14:ED$14,
     K$13:ED$13,
     K63:ED63,
     LAMBDA(
       job,
       buff,
       target,
       check,
       IF(
         AND(check=TRUE, REGEXMATCH(target, ""SELF_EFFECTED_GCD""), ISNUMBER(buff), job=""賢者""),"&amp;"
         buff,
         1
       )
     )
   )
 )"),1.0)</f>
        <v>1</v>
      </c>
      <c r="EP63" s="201">
        <f t="shared" si="3"/>
        <v>0</v>
      </c>
      <c r="EQ63" s="201">
        <f>IFERROR(__xludf.DUMMYFUNCTION("SUM(
   MAP(
     K$4:ED$4,
     K$3:ED$3,
     K$7:ED$7,
     K$15:ED$15,
     K$16:ED$16,
     K$21:ED$21,
     K$5:ED$5,
     K$17:ED$17,
     K63:ED63,
     LAMBDA(
       name,
       job,
       abillity,
       buff,
       barrier,
       enhance,"&amp;"
       assign,
       precondition,
       check,
       SWITCH(
         name,
         ""シェイクオフ"", IF(check=TRUE, buff + (0.02 * COUNTIF(ARRAYFORMULA((REGEXMATCH($K$4:$ED$4, ""スリル・オブ・バトル|ヴェンジェンス|原初の血気|ダムネーション"")) * (K63:ED63=TRUE)), 1)), 0),
         "&amp;"""インプロビゼーションフィニッシュ(踊りの激情0)"", IF(ISNUMBER(check), INDEX(Skill!$AJ:$AJ, MATCH(SUBSTITUTE(DV$4, 0, check), Skill!$C:$C, 0)), 0),
         IF(
           AND(check=TRUE, REGEXMATCH(assign, ""RANGE_PARTY"")),
           IF(
             OR(ARRAYFORMULA((IF(pr"&amp;"econdition="""", FALSE, REGEXMATCH($K$4:$ED$4, precondition))) * (K63:ED63=TRUE))),
             enhance,
             IF(barrier="""", buff, barrier)
           ),
           0
         )
       ) *
       SWITCH(
         job,
         ""ナイト"", EY$24,
 "&amp;"        ""戦士"", FD$24,
         ""踊り子"", ET$24,
         ""ピクトマンサー"", ET$24,
         ""白魔道士"", EF63 * EH63 * IF(abillity, 1, EG63 * EI63) * (Option!$D$22 * 0.81 / 100),
         ""占星術師"", EF63 * EJ63 * IF(abillity, 1, EG63 * EK63) * (Option!$D$23 * 0.81 "&amp;"/ 100),
         ""学者"", EF63 * EL63 * IF(abillity, 1, EG63 * EM63) * (Option!$D$24 * 0.81 / 100),
         ""賢者"", EF63 * EN63 * IF(abillity, 1, EG63 * EO63) * (Option!$D$25 * 0.81 / 100),
         1
       )
     )
   )
 )"),0.0)</f>
        <v>0</v>
      </c>
      <c r="ER63" s="202">
        <f t="shared" si="4"/>
        <v>0</v>
      </c>
      <c r="ES63" s="203">
        <f t="shared" si="5"/>
        <v>0</v>
      </c>
      <c r="ET63" s="231" t="str">
        <f>IFERROR(__xludf.DUMMYFUNCTION("IFS(
  EP63 &gt; $ET$24 + EQ63,
  SPARKLINE({ 1, 0 }, {""charttype"",""bar"";""max"", 1;""color1"",Option!$D$30;""color2"",Option!$D$30}),
  EP63 &lt; EQ63,
  SPARKLINE({EQ63 - EP63, $ET$24 - (EQ63 - EP63)}, {""charttype"",""bar"";""max"",$ET$24;""color1"",Opti"&amp;"on!$D$28;""color2"",Option!$D$29}),
  EP63 &gt;= EQ63,
  SPARKLINE({$ET$24 + EQ63 - EP63,EP63 - EQ63}, {""charttype"",""bar"";""max"",$ET$24;""color1"",Option!$D$29;""color2"",Option!$D$30})
)"),"")</f>
        <v/>
      </c>
      <c r="EU63" s="205">
        <f>IFERROR(__xludf.DUMMYFUNCTION("PRODUCT(
   MAP(
     IF($F63=""Physical"", K$10:ED$10, IF($F63=""Magic"", K$11:ED$11, K$12:ED$12)),
     IF($F63=""Physical"", K$18:ED$18, IF($F63=""Magic"", K$19:ED$19, K$20:ED$20)),
     K$3:ED$3,
     K$5:ED$5,
     K$17:ED$17,
     K63:ED63,
     LAM"&amp;"BDA(
       mitigation,
       enhance,
       job,
       assign,
       precondition,
       check,
       IF(
         OR(AND(check=TRUE, REGEXMATCH(assign, ""SELF""), job=""ナイト""), AND(check=Option!$E$13, REGEXMATCH(assign, ""SINGLE_PARTY""))),
      "&amp;"   IF(
           OR(ARRAYFORMULA((IF(precondition="""", FALSE, REGEXMATCH($K$4:$ED$4, precondition))) * (K63:ED63=TRUE))),
           enhance,
           mitigation
         ),
         1
       )
     )
   )
 ) * EE63"),1.0)</f>
        <v>1</v>
      </c>
      <c r="EV63" s="206">
        <f t="shared" si="6"/>
        <v>0</v>
      </c>
      <c r="EW63" s="205">
        <f>IFERROR(__xludf.DUMMYFUNCTION("PRODUCT(
   MAP(
     K$3:ED$3,
     K$14:ED$14,
     K$13:ED$13,
     K63:ED63,
     LAMBDA(
       job,
       buff,
       target,
       check,
       IF(
         OR(AND(check=TRUE, REGEXMATCH(target, ""SELF_AFFECTED_ALL""), job=""ナイト""), AND(check=O"&amp;"ption!$E$13, REGEXMATCH(target, ""SINGLE_AFFECTED_ALL""))),
         buff,
         1
       )
     )
   )
 )"),1.0)</f>
        <v>1</v>
      </c>
      <c r="EX63" s="206">
        <f>IFERROR(__xludf.DUMMYFUNCTION("SUM(
   MAP(
     K$3:ED$3,
     K$7:ED$7,
     K$15:ED$15,
     K$16:ED$16,
     K$21:ED$21,
     K$5:ED$5,
     K$17:ED$17,
     K63:ED63,
     LAMBDA(
       job,
       abillity,
       buff,
       barrier,
       enhance,
       assign,
       preco"&amp;"ndition,
       check,
       IF(
         OR(AND(check=TRUE, REGEXMATCH(assign, ""SELF""), job=""ナイト""), AND(check=Option!$E$13, REGEXMATCH(assign, ""SINGLE_PARTY""))),
         IF(
           OR(ARRAYFORMULA((IF(precondition="""", FALSE, REGEXMATCH($K$4"&amp;":$ED$4, precondition))) * (K63:ED63=TRUE))),
           enhance,
           IF(barrier="""", buff, barrier)
         ),
         0
       ) *
       SWITCH(
         job,
         ""暗黒騎士"", EY$24,
         ""白魔道士"", EF63 * EH63 * EW63 * IF(abillity, 1, EG"&amp;"63 * EI63) * (Option!$D$22 * 0.81 / 100),
         ""占星術師"", EF63 * EJ63 * EW63 * IF(abillity, 1, EG63 * EK63) * (Option!$D$23 * 0.81 / 100),
         ""学者"", EF63 * EL63 * EW63 * IF(abillity, 1, EG63 * EM63) * (Option!$D$24 * 0.81 / 100),
         ""賢者"""&amp;", EF63 * EN63 * EW63 * IF(abillity, 1, EG63 * EO63) * (Option!$D$25 * 0.81 / 100),
         1
       )
     )
   )
 ) + EQ63"),0.0)</f>
        <v>0</v>
      </c>
      <c r="EY63" s="232">
        <f t="shared" si="7"/>
        <v>0</v>
      </c>
      <c r="EZ63" s="205">
        <f>IFERROR(__xludf.DUMMYFUNCTION("PRODUCT(
   MAP(
     IF($F63=""Physical"", K$10:ED$10, IF($F63=""Magic"", K$11:ED$11, K$12:ED$12)),
     IF($F63=""Physical"", K$18:ED$18, IF($F63=""Magic"", K$19:ED$19, K$20:ED$20)),
     K$3:ED$3,
     K$5:ED$5,
     K$17:ED$17,
     K63:ED63,
     LAM"&amp;"BDA(
       mitigation,
       enhance,
       job,
       assign,
       precondition,
       check,
       IF(
         OR(AND(check=TRUE, REGEXMATCH(assign, ""SELF""), job=""戦士""), AND(check=Option!$F$13, REGEXMATCH(assign, ""SINGLE_PARTY""))),
       "&amp;"  IF(
           OR(ARRAYFORMULA((IF(precondition="""", FALSE, REGEXMATCH($K$4:$ED$4, precondition))) * (K63:ED63=TRUE))),
           enhance,
           mitigation
         ),
         1
       )
     )
   )
 ) * EE63"),1.0)</f>
        <v>1</v>
      </c>
      <c r="FA63" s="206">
        <f t="shared" si="8"/>
        <v>0</v>
      </c>
      <c r="FB63" s="205">
        <f>IFERROR(__xludf.DUMMYFUNCTION("PRODUCT(
   MAP(
     K$3:ED$3,
     K$14:ED$14,
     K$13:ED$13,
     K63:ED63,
     LAMBDA(
       job,
       buff,
       target,
       check,
       IF(
         OR(AND(check=TRUE, REGEXMATCH(target, ""SELF_AFFECTED_ALL""), job=""戦士""), AND(check=Op"&amp;"tion!$F$13, REGEXMATCH(target, ""SINGLE_AFFECTED_ALL""))),
         buff,
         1
       )
     )
   )
 )"),1.0)</f>
        <v>1</v>
      </c>
      <c r="FC63" s="206">
        <f>IFERROR(__xludf.DUMMYFUNCTION("SUM(
   MAP(
     K$3:ED$3,
     K$7:ED$7,
     K$15:ED$15,
     K$16:ED$16,
     K$21:ED$21,
     K$5:ED$5,
     K$17:ED$17,
     K63:ED63,
     LAMBDA(
       job,
       abillity,
       buff,
       barrier,
       enhance,
       assign,
       preco"&amp;"ndition,
       check,
       IF(
         OR(AND(check=TRUE, REGEXMATCH(assign, ""SELF""), job=""戦士""), AND(check=Option!$F$13, REGEXMATCH(assign, ""SINGLE_PARTY""))),
         IF(
           OR(ARRAYFORMULA((IF(precondition="""", FALSE, REGEXMATCH($K$4:"&amp;"$ED$4, precondition))) * (K63:ED63=TRUE))),
           enhance,
           IF(barrier="""", buff, barrier)
         ),
         0
       ) *
       SWITCH(
         job,
         ""暗黒騎士"", FD$24,
         ""白魔道士"", EF63 * EH63 * FB63 * IF(abillity, 1, EG6"&amp;"3 * EI63) * (Option!$D$22 * 0.81 / 100),
         ""占星術師"", EF63 * EJ63 * FFB63 * IF(abillity, 1, EG63 * EK63) * (Option!$D$23 * 0.81 / 100),
         ""学者"", EF63 * EL63 * FB63 * IF(abillity, 1, EG63 * EM63) * (Option!$D$24 * 0.81 / 100),
         ""賢者"""&amp;", EF63 * EN63 * FB63 * IF(abillity, 1, EG63 * EO63) * (Option!$D$25 * 0.81 / 100),
         1
       )
     )
   )
 ) + EQ63"),0.0)</f>
        <v>0</v>
      </c>
      <c r="FD63" s="206">
        <f t="shared" si="9"/>
        <v>0</v>
      </c>
      <c r="FE63" s="205">
        <f>IFERROR(__xludf.DUMMYFUNCTION("PRODUCT(
   MAP(
     IF($F63=""Physical"", K$10:ED$10, IF($F63=""Magic"", K$11:ED$11, K$12:ED$12)),
     IF($F63=""Physical"", K$18:ED$18, IF($F63=""Magic"", K$19:ED$19, K$20:ED$20)),
     K$3:ED$3,
     K$5:ED$5,
     K$17:ED$17,
     K63:ED63,
     LAM"&amp;"BDA(
       mitigation,
       enhance,
       job,
       assign,
       precondition,
       check,
       IF(
         OR(AND(check=TRUE, REGEXMATCH(assign, ""SELF""), job=""暗黒騎士""), AND(check=Option!$G$13, REGEXMATCH(assign, ""SINGLE_PARTY""))),
     "&amp;"    IF(
           OR(ARRAYFORMULA((IF(precondition="""", FALSE, REGEXMATCH($K$4:$ED$4, precondition))) * (K63:ED63=TRUE))),
           enhance,
           mitigation
         ),
         1
       )
     )
   )
 ) * EE63"),1.0)</f>
        <v>1</v>
      </c>
      <c r="FF63" s="206">
        <f t="shared" si="10"/>
        <v>0</v>
      </c>
      <c r="FG63" s="205">
        <f>IFERROR(__xludf.DUMMYFUNCTION("PRODUCT(
   MAP(
     K$3:ED$3,
     K$14:ED$14,
     K$13:ED$13,
     K63:ED63,
     LAMBDA(
       job,
       buff,
       target,
       check,
       IF(
         OR(AND(check=TRUE, REGEXMATCH(target, ""SELF_AFFECTED_ALL""), job=""暗黒騎士""), AND(check="&amp;"Option!$G$13, REGEXMATCH(target, ""SINGLE_AFFECTED_ALL""))),
         buff,
         1
       )
     )
   )
 )"),1.0)</f>
        <v>1</v>
      </c>
      <c r="FH63" s="206">
        <f>IFERROR(__xludf.DUMMYFUNCTION("SUM(
   MAP(
     K$3:ED$3,
     K$7:ED$7,
     K$15:ED$15,
     K$16:ED$16,
     K$21:ED$21,
     K$5:ED$5,
     K$17:ED$17,
     K63:ED63,
     LAMBDA(
       job,
       abillity,
       buff,
       barrier,
       enhance,
       assign,
       preco"&amp;"ndition,
       check,
       IF(
         OR(AND(check=TRUE, REGEXMATCH(assign, ""SELF""), job=""暗黒騎士""), AND(check=Option!$G$13, REGEXMATCH(assign, ""SINGLE_PARTY""))),
         IF(
           OR(ARRAYFORMULA((IF(precondition="""", FALSE, REGEXMATCH($K$"&amp;"4:$ED$4, precondition))) * (K63:ED63=TRUE))),
           enhance,
           IF(barrier="""", buff, barrier)
         ),
         0
       ) *
       SWITCH(
         job,
         ""暗黒騎士"", FI$24,
         ""白魔道士"", EF63 * EH63 * FG63 * IF(abillity, 1, E"&amp;"G63 * EI63) * (Option!$D$22 * 0.81 / 100),
         ""占星術師"", EF63 * EJ63 * FG63 * IF(abillity, 1, EG63 * EK63) * (Option!$D$23 * 0.81 / 100),
         ""学者"", EF63 * EL63 * FG63 * IF(abillity, 1, EG63 * EM63) * (Option!$D$24 * 0.81 / 100),
         ""賢者"&amp;""", EF63 * EN63 * FG63 * IF(abillity, 1, EG63 * EO63) * (Option!$D$25 * 0.81 / 100),
         1
       )
     )
   )
 ) + EQ63"),0.0)</f>
        <v>0</v>
      </c>
      <c r="FI63" s="206">
        <f t="shared" si="11"/>
        <v>0</v>
      </c>
      <c r="FJ63" s="205">
        <f>IFERROR(__xludf.DUMMYFUNCTION("PRODUCT(
   MAP(
     IF($F63=""Physical"", K$10:ED$10, IF($F63=""Magic"", K$11:ED$11, K$12:ED$12)),
     IF($F63=""Physical"", K$18:ED$18, IF($F63=""Magic"", K$19:ED$19, K$20:ED$20)),
     K$3:ED$3,
     K$5:ED$5,
     K$17:ED$17,
     K63:ED63,
     LAM"&amp;"BDA(
       mitigation,
       enhance,
       job,
       assign,
       precondition,
       check,
       IF(
         OR(AND(check=TRUE, REGEXMATCH(assign, ""SELF""), job=""ガンブレイカー""), AND(check=Option!$H$13, REGEXMATCH(assign, ""SINGLE_PARTY""))),
  "&amp;"       IF(
           OR(ARRAYFORMULA((IF(precondition="""", FALSE, REGEXMATCH($K$4:$ED$4, precondition))) * (K63:ED63=TRUE))),
           enhance,
           mitigation
         ),
         1
       )
     )
   )
 ) * EE63"),1.0)</f>
        <v>1</v>
      </c>
      <c r="FK63" s="206">
        <f t="shared" si="12"/>
        <v>0</v>
      </c>
      <c r="FL63" s="205">
        <f>IFERROR(__xludf.DUMMYFUNCTION("PRODUCT(
   MAP(
     K$3:ED$3,
     K$14:ED$14,
     K$13:ED$13,
     K63:ED63,
     LAMBDA(
       job,
       buff,
       target,
       check,
       IF(
         OR(AND(check=TRUE, REGEXMATCH(target, ""SELF_AFFECTED_ALL""), job=""ガンブレイカー""), AND(che"&amp;"ck=Option!$H$13, REGEXMATCH(target, ""SINGLE_AFFECTED_ALL""))),
         buff,
         1
       )
     )
   )
 )"),1.0)</f>
        <v>1</v>
      </c>
      <c r="FM63" s="206">
        <f>IFERROR(__xludf.DUMMYFUNCTION("SUM(
   MAP(
     K$3:ED$3,
     K$7:ED$7,
     K$15:ED$15,
     K$16:ED$16,
     K$21:ED$21,
     K$5:ED$5,
     K$17:ED$17,
     K63:ED63,
     LAMBDA(
       job,
       abillity,
       buff,
       barrier,
       enhance,
       assign,
       preco"&amp;"ndition,
       check,
       IF(
         OR(AND(check=TRUE, REGEXMATCH(assign, ""SELF""), job=""ガンブレイカー""), AND(check=Option!$H$13, REGEXMATCH(assign, ""SINGLE_PARTY""))),
         IF(
           OR(ARRAYFORMULA((IF(precondition="""", FALSE, REGEXMATCH("&amp;"$K$4:$ED$4, precondition))) * (K63:ED63=TRUE))),
           enhance,
           IF(barrier="""", buff, barrier)
         ),
         0
       ) *
       SWITCH(
         job,
         ""暗黒騎士"", FN$24,
         ""白魔道士"", EF63 * EH63 * FL63 * IF(abillity, 1"&amp;", EG63 * EI63) * (Option!$D$22 * 0.81 / 100),
         ""占星術師"", EF63 * EJ63 * FL63 * IF(abillity, 1, EG63 * EK63) * (Option!$D$23 * 0.81 / 100),
         ""学者"", EF63 * EL63 * FL63 * IF(abillity, 1, EG63 * EM63) * (Option!$D$24 * 0.81 / 100),
         """&amp;"賢者"", EF63 * EN63 * FL63 * IF(abillity, 1, EG63 * EO63) * (Option!$D$25 * 0.81 / 100),
         1
       )
     )
   )
 ) + EQ63"),0.0)</f>
        <v>0</v>
      </c>
      <c r="FN63" s="206">
        <f t="shared" si="13"/>
        <v>0</v>
      </c>
      <c r="FO63" s="213"/>
    </row>
    <row r="64">
      <c r="B64" s="229"/>
      <c r="C64" s="217">
        <f t="shared" si="1"/>
        <v>0</v>
      </c>
      <c r="D64" s="236"/>
      <c r="E64" s="238"/>
      <c r="F64" s="167"/>
      <c r="G64" s="168" t="str">
        <f t="shared" si="2"/>
        <v/>
      </c>
      <c r="H64" s="169"/>
      <c r="I64" s="169"/>
      <c r="J64" s="169"/>
      <c r="K64" s="170" t="b">
        <v>0</v>
      </c>
      <c r="L64" s="170" t="b">
        <v>0</v>
      </c>
      <c r="M64" s="170" t="b">
        <v>0</v>
      </c>
      <c r="N64" s="171" t="s">
        <v>1070</v>
      </c>
      <c r="O64" s="172" t="b">
        <v>0</v>
      </c>
      <c r="P64" s="173" t="b">
        <v>0</v>
      </c>
      <c r="Q64" s="173" t="b">
        <v>0</v>
      </c>
      <c r="R64" s="173" t="b">
        <v>0</v>
      </c>
      <c r="S64" s="174" t="b">
        <v>0</v>
      </c>
      <c r="T64" s="175" t="b">
        <v>0</v>
      </c>
      <c r="U64" s="173" t="b">
        <v>0</v>
      </c>
      <c r="V64" s="171" t="s">
        <v>1070</v>
      </c>
      <c r="W64" s="172" t="b">
        <v>0</v>
      </c>
      <c r="X64" s="173" t="b">
        <v>0</v>
      </c>
      <c r="Y64" s="173" t="b">
        <v>0</v>
      </c>
      <c r="Z64" s="173" t="b">
        <v>0</v>
      </c>
      <c r="AA64" s="174" t="b">
        <v>0</v>
      </c>
      <c r="AB64" s="174" t="b">
        <v>0</v>
      </c>
      <c r="AC64" s="175" t="b">
        <v>0</v>
      </c>
      <c r="AD64" s="173" t="b">
        <v>0</v>
      </c>
      <c r="AE64" s="176" t="s">
        <v>1070</v>
      </c>
      <c r="AF64" s="171" t="s">
        <v>1070</v>
      </c>
      <c r="AG64" s="177">
        <f>IFERROR(__xludf.DUMMYFUNCTION("IF(
  ISNUMBER(AG63),
  MIN(MAX(
    AG63
    + MAX(
      ROUNDDOWN(($D64 - MAX(IFERROR(FILTER($D$24:$D63, AG$24:AG63 &lt;&gt; AF$6, AG$23:AG62 = AF$6), 0))) * (60 * 60 * 24) / AF$9) - ROUNDDOWN(($D63 - MAX(IFERROR(FILTER($D$23:$D62, AG$23:AG62 &lt;&gt; AF$6, AG$22:"&amp;"AG61 = AF$6), 0))) * (60 * 60 * 24) / 60),
      0
    )
    - COUNTIF(AF64, ""&lt;&gt;-""),
  0), AF$6),
  AF$6 - COUNTIF(AF64, ""&lt;&gt;-"")
)"),2.0)</f>
        <v>2</v>
      </c>
      <c r="AH64" s="173" t="b">
        <v>0</v>
      </c>
      <c r="AI64" s="173" t="b">
        <v>0</v>
      </c>
      <c r="AJ64" s="173" t="b">
        <v>0</v>
      </c>
      <c r="AK64" s="174" t="b">
        <v>0</v>
      </c>
      <c r="AL64" s="175" t="b">
        <v>0</v>
      </c>
      <c r="AM64" s="173" t="b">
        <v>0</v>
      </c>
      <c r="AN64" s="171" t="s">
        <v>1070</v>
      </c>
      <c r="AO64" s="173" t="b">
        <v>0</v>
      </c>
      <c r="AP64" s="173" t="b">
        <v>0</v>
      </c>
      <c r="AQ64" s="173" t="b">
        <v>0</v>
      </c>
      <c r="AR64" s="174" t="b">
        <v>0</v>
      </c>
      <c r="AS64" s="178" t="b">
        <v>0</v>
      </c>
      <c r="AT64" s="179" t="b">
        <v>0</v>
      </c>
      <c r="AU64" s="180" t="b">
        <v>0</v>
      </c>
      <c r="AV64" s="180" t="b">
        <v>0</v>
      </c>
      <c r="AW64" s="180" t="b">
        <v>0</v>
      </c>
      <c r="AX64" s="180" t="b">
        <v>0</v>
      </c>
      <c r="AY64" s="181" t="s">
        <v>1070</v>
      </c>
      <c r="AZ64" s="181" t="s">
        <v>1070</v>
      </c>
      <c r="BA64" s="184">
        <f>IFERROR(__xludf.DUMMYFUNCTION("IF(
  ISNUMBER(BA63),
  MIN(MAX(
    BA63
    + MAX(
      ROUNDDOWN((D64 - MAX(IFERROR(FILTER(D$24:D63, BA$24:BA63 &lt;&gt; AZ$6, BA$23:BA62 = AZ$6), 0))) * (60 * 60 * 24) / AZ$9) - ROUNDDOWN((D63 - MAX(IFERROR(FILTER(D$23:D62, BA$23:BA62 &lt;&gt; AZ$6, BA$22:BA61 ="&amp;" AZ$6), 0))) * (60 * 60 * 24) / AZ$9),
      0
    )
    - COUNTIF(AZ64, ""&lt;&gt;-""),
  0), AZ$6),
  AZ$6 - COUNTIF(AZ64, ""&lt;&gt;-"")
)"),2.0)</f>
        <v>2</v>
      </c>
      <c r="BB64" s="181" t="s">
        <v>1070</v>
      </c>
      <c r="BC64" s="183">
        <f>IFERROR(__xludf.DUMMYFUNCTION("IF(
  ISNUMBER(BC63),
  MIN(MAX(
    BC63
    + MAX(
      ROUNDDOWN(($D64 - MAX(IFERROR(FILTER($D$24:$D63, BC$24:BC63 &lt;&gt; BB$6, BC$23:BC62 = BB$6), 0))) * (60 * 60 * 24) / BB$9) - ROUNDDOWN(($D63 - MAX(IFERROR(FILTER($D$23:$D62, BC$23:BC62 &lt;&gt; BB$6, BC$22:"&amp;"BC61 = BB$6), 0))) * (60 * 60 * 24) / 60),
      0
    )
    - COUNTIF(BB64, ""&lt;&gt;-""),
  0), BB$6),
  BB$6 - COUNTIF(BB64, ""&lt;&gt;-"")
)"),2.0)</f>
        <v>2</v>
      </c>
      <c r="BD64" s="181" t="s">
        <v>1070</v>
      </c>
      <c r="BE64" s="178" t="b">
        <v>0</v>
      </c>
      <c r="BF64" s="180" t="b">
        <v>0</v>
      </c>
      <c r="BG64" s="180" t="b">
        <v>0</v>
      </c>
      <c r="BH64" s="180" t="b">
        <v>0</v>
      </c>
      <c r="BI64" s="180" t="b">
        <v>0</v>
      </c>
      <c r="BJ64" s="180" t="b">
        <v>0</v>
      </c>
      <c r="BK64" s="180" t="b">
        <v>0</v>
      </c>
      <c r="BL64" s="180" t="b">
        <v>0</v>
      </c>
      <c r="BM64" s="180" t="b">
        <v>0</v>
      </c>
      <c r="BN64" s="180" t="b">
        <v>0</v>
      </c>
      <c r="BO64" s="181" t="s">
        <v>1070</v>
      </c>
      <c r="BP64" s="181" t="s">
        <v>1070</v>
      </c>
      <c r="BQ64" s="181" t="s">
        <v>1070</v>
      </c>
      <c r="BR64" s="181" t="s">
        <v>1070</v>
      </c>
      <c r="BS64" s="181" t="s">
        <v>1070</v>
      </c>
      <c r="BT64" s="184">
        <f>IFERROR(__xludf.DUMMYFUNCTION("IF(
  ISNUMBER(BT63),
  MIN(MAX(
    BT63
    + MAX(
      ROUNDDOWN((D64 - MAX(IFERROR(FILTER(D$24:D63, BT$24:BT63 &lt;&gt; BS$6, BT$23:BT62 = BS$6), 0))) * (60 * 60 * 24) / BS$9) - ROUNDDOWN((D63 - MAX(IFERROR(FILTER(D$23:D62, BT$23:BT62 &lt;&gt; BS$6, BT$22:BT61 ="&amp;" BS$6), 0))) * (60 * 60 * 24) / BS$9),
      0
    )
    - COUNTIF(BS64, ""&lt;&gt;-""),
  0), BS$6),
  BS$6 - COUNTIF(BS64, ""&lt;&gt;-"")
)"),3.0)</f>
        <v>3</v>
      </c>
      <c r="BU64" s="181" t="s">
        <v>1070</v>
      </c>
      <c r="BV64" s="181" t="s">
        <v>1070</v>
      </c>
      <c r="BW64" s="184">
        <f>IFERROR(__xludf.DUMMYFUNCTION("IF(
  ISNUMBER(BW63),
  MIN(MAX(
    BW63
    + MAX(
      ROUNDDOWN((D64 - MAX(IFERROR(FILTER(D$24:D63, BW$24:BW63 &lt;&gt; BV$6, BW$23:BW62 = BV$6), 0))) * (60 * 60 * 24) / BV$9) - ROUNDDOWN((D63 - MAX(IFERROR(FILTER(D$23:D62, BW$23:BW62 &lt;&gt; BV$6, BW$22:BW61 ="&amp;" BV$6), 0))) * (60 * 60 * 24) / BV$9),
      0
    )
    - COUNTIF(BV64, ""&lt;&gt;-""),
  0), BV$6),
  BV$6 - COUNTIF(BV64, ""&lt;&gt;-"")
)"),2.0)</f>
        <v>2</v>
      </c>
      <c r="BX64" s="185" t="s">
        <v>1070</v>
      </c>
      <c r="BY64" s="178" t="b">
        <v>0</v>
      </c>
      <c r="BZ64" s="180" t="b">
        <v>0</v>
      </c>
      <c r="CA64" s="180" t="b">
        <v>0</v>
      </c>
      <c r="CB64" s="180" t="b">
        <v>0</v>
      </c>
      <c r="CC64" s="180" t="b">
        <v>0</v>
      </c>
      <c r="CD64" s="180" t="b">
        <v>0</v>
      </c>
      <c r="CE64" s="180" t="b">
        <v>0</v>
      </c>
      <c r="CF64" s="180" t="b">
        <v>0</v>
      </c>
      <c r="CG64" s="180" t="b">
        <v>0</v>
      </c>
      <c r="CH64" s="180" t="b">
        <v>0</v>
      </c>
      <c r="CI64" s="180" t="b">
        <v>0</v>
      </c>
      <c r="CJ64" s="180" t="b">
        <v>0</v>
      </c>
      <c r="CK64" s="180" t="b">
        <v>0</v>
      </c>
      <c r="CL64" s="180" t="b">
        <v>0</v>
      </c>
      <c r="CM64" s="181" t="s">
        <v>1070</v>
      </c>
      <c r="CN64" s="181" t="s">
        <v>1070</v>
      </c>
      <c r="CO64" s="181" t="s">
        <v>1070</v>
      </c>
      <c r="CP64" s="181" t="s">
        <v>1070</v>
      </c>
      <c r="CQ64" s="185" t="s">
        <v>1070</v>
      </c>
      <c r="CR64" s="180" t="b">
        <v>0</v>
      </c>
      <c r="CS64" s="186" t="str">
        <f t="shared" si="14"/>
        <v>◇◇◇</v>
      </c>
      <c r="CT64" s="178" t="b">
        <v>0</v>
      </c>
      <c r="CU64" s="180" t="b">
        <v>0</v>
      </c>
      <c r="CV64" s="180" t="b">
        <v>0</v>
      </c>
      <c r="CW64" s="180" t="b">
        <v>0</v>
      </c>
      <c r="CX64" s="180" t="b">
        <v>0</v>
      </c>
      <c r="CY64" s="180" t="b">
        <v>0</v>
      </c>
      <c r="CZ64" s="180" t="b">
        <v>0</v>
      </c>
      <c r="DA64" s="180" t="b">
        <v>0</v>
      </c>
      <c r="DB64" s="180" t="b">
        <v>0</v>
      </c>
      <c r="DC64" s="180" t="b">
        <v>0</v>
      </c>
      <c r="DD64" s="181" t="s">
        <v>1070</v>
      </c>
      <c r="DE64" s="181" t="s">
        <v>1070</v>
      </c>
      <c r="DF64" s="181" t="s">
        <v>1070</v>
      </c>
      <c r="DG64" s="185" t="s">
        <v>1070</v>
      </c>
      <c r="DH64" s="180" t="b">
        <v>0</v>
      </c>
      <c r="DI64" s="187" t="str">
        <f>IFERROR(__xludf.DUMMYFUNCTION("SWITCH(
  IF(
    ISTEXT(DI63),
    IF (
      FIND(""○"", DI63&amp;""○"") &gt; 3,
      3,
      FIND(""○"", DI63&amp;""○"")
      + MAX(
        ROUNDDOWN(($D64 - MAX(IFERROR(FILTER(D$24:D63, DI$24:DI63 &lt;&gt; ""●●●"", DI$23:DI62 = ""●●●""), 0))) * (60 * 60 * 24) / 20"&amp;") - ROUNDDOWN(($D63 - MAX(IFERROR(FILTER(D$23:D62, DI$23:DI62 &lt;&gt; ""●●●"", DI$22:DI61 = ""●●●""), 0))) * (60 * 60 * 24) / 20),
        0
      ) - 1
    ) - COUNTIFS(CU64, ""=TRUE"", CU63, ""&lt;&gt;TRUE"") - COUNTIF(CZ64, ""=TRUE"") - COUNTIF({DD64,DE64}, ""&lt;&gt;-"&amp;""") + COUNTIF(DH64, ""=TRUE""),
    3
  ),
  0, ""○○○"", 1, ""●○○"", 2, ""●●○"", 3, ""●●●"", 4, ""●●●"", ""○○○""
)"),"●●●")</f>
        <v>●●●</v>
      </c>
      <c r="DJ64" s="188" t="b">
        <v>0</v>
      </c>
      <c r="DK64" s="189" t="b">
        <v>0</v>
      </c>
      <c r="DL64" s="190" t="b">
        <v>0</v>
      </c>
      <c r="DM64" s="190" t="b">
        <v>0</v>
      </c>
      <c r="DN64" s="190" t="b">
        <v>0</v>
      </c>
      <c r="DO64" s="190" t="b">
        <v>0</v>
      </c>
      <c r="DP64" s="190" t="b">
        <v>0</v>
      </c>
      <c r="DQ64" s="191" t="b">
        <v>0</v>
      </c>
      <c r="DR64" s="192" t="b">
        <v>0</v>
      </c>
      <c r="DS64" s="191" t="b">
        <v>0</v>
      </c>
      <c r="DT64" s="192" t="b">
        <v>0</v>
      </c>
      <c r="DU64" s="191" t="b">
        <v>0</v>
      </c>
      <c r="DV64" s="193" t="s">
        <v>1070</v>
      </c>
      <c r="DW64" s="194" t="b">
        <v>0</v>
      </c>
      <c r="DX64" s="194" t="b">
        <v>0</v>
      </c>
      <c r="DY64" s="195" t="b">
        <v>0</v>
      </c>
      <c r="DZ64" s="196" t="b">
        <v>0</v>
      </c>
      <c r="EA64" s="195" t="b">
        <v>0</v>
      </c>
      <c r="EB64" s="197" t="b">
        <v>0</v>
      </c>
      <c r="EC64" s="197" t="b">
        <v>0</v>
      </c>
      <c r="ED64" s="212" t="b">
        <v>0</v>
      </c>
      <c r="EE64" s="199">
        <f>IFERROR(__xludf.DUMMYFUNCTION("IFERROR(
   PRODUCT(
     MAP(
       INDEX(TRANSPOSE(UNIQUE(TRANSPOSE(FILTER({IF($F64=""Physical"", K$10:ED$10, IF($F64=""Magic"", K$11:ED$11, K$12:ED$12));K$4:ED$4;K64:ED64}, K64:ED64=TRUE)))), 1, 0),
       INDEX(TRANSPOSE(UNIQUE(TRANSPOSE(FILTER({IF($"&amp;"F64=""Physical"", K$18:ED$18, IF($F64=""Magic"", K$19:ED$19, K$20:ED$20));K$4:ED$4;K64:ED64}, K64:ED64=TRUE)))), 1, 0),
       INDEX(TRANSPOSE(UNIQUE(TRANSPOSE(FILTER({K$5:ED$5;K$4:ED$4;K64:ED64}, K64:ED64=TRUE)))), 1, 0),
       INDEX(TRANSPOSE(UNIQUE(TR"&amp;"ANSPOSE(FILTER({K$17:ED$17;K$4:ED$4;K64:ED64}, K64:ED64=TRUE)))), 1, 0),
       LAMBDA(
         mitigation,
         enhance,
         assign,
         precondition,
         IF(
           REGEXMATCH(assign, ""RANGE_PARTY|SINGLE_ENEMY|RANGE_ENEMY""),
  "&amp;"         IF(
             OR(ARRAYFORMULA((IF(precondition="""", FALSE, REGEXMATCH(K$4:ED$4, precondition))) * (K64:ED64=TRUE))),
             IF(ISNUMBER(enhance), enhance, 1),
             IF(ISNUMBER(mitigation), mitigation, 1)
           ),
          "&amp;" 1
         )
       )
     )
   ),
   1
 )"),1.0)</f>
        <v>1</v>
      </c>
      <c r="EF64" s="200">
        <f>IFERROR(__xludf.DUMMYFUNCTION("PRODUCT(
   MAP(
     K$14:ED$14,
     K$13:ED$13,
     K64:ED64,
     LAMBDA(
       buff,
       target,
       check,
       IF(
         AND(check=TRUE, REGEXMATCH(target, ""RANGE_AFFECTED_ALL|RANGE_EFFECTED_ALL""), ISNUMBER(buff)),
         buff,
   "&amp;"      1
       )
     )
   )
 )"),1.0)</f>
        <v>1</v>
      </c>
      <c r="EG64" s="200">
        <f>IFERROR(__xludf.DUMMYFUNCTION("PRODUCT(
   MAP(
     K$14:ED$14,
     K$13:ED$13,
     K64:ED64,
     LAMBDA(
       buff,
       target,
       check,
       IF(
         AND(check=TRUE, REGEXMATCH(target, ""RANGE_AFFECTED_GCD|RANGE_EFFECTED_GCD""), ISNUMBER(buff)),
         buff,
   "&amp;"      1
       )
     )
   )
 )"),1.0)</f>
        <v>1</v>
      </c>
      <c r="EH64" s="200">
        <f>IFERROR(__xludf.DUMMYFUNCTION("PRODUCT(
   MAP(
     K$3:ED$3,
     K$14:ED$14,
     K$13:ED$13,
     K64:ED64,
     LAMBDA(
       job,
       buff,
       target,
       check,
       IF(
         AND(check=TRUE, REGEXMATCH(target, ""SELF_EFFECTED_ALL""), ISNUMBER(buff), job=""白魔道士"""&amp;"),
         buff,
         1
       )
     )
   )
 )"),1.0)</f>
        <v>1</v>
      </c>
      <c r="EI64" s="200">
        <f>IFERROR(__xludf.DUMMYFUNCTION("PRODUCT(
   MAP(
     K$3:ED$3,
     K$14:ED$14,
     K$13:ED$13,
     K64:ED64,
     LAMBDA(
       job,
       buff,
       target,
       check,
       IF(
         AND(check=TRUE, REGEXMATCH(target, ""SELF_EFFECTED_GCD""), ISNUMBER(buff), job=""白魔道士"""&amp;"),
         buff,
         1
       )
     )
   )
 )"),1.0)</f>
        <v>1</v>
      </c>
      <c r="EJ64" s="200">
        <f>IFERROR(__xludf.DUMMYFUNCTION("PRODUCT(
   MAP(
     K$3:ED$3,
     K$14:ED$14,
     K$13:ED$13,
     K64:ED64,
     LAMBDA(
       job,
       buff,
       target,
       check,
       IF(
         AND(check=TRUE, REGEXMATCH(target, ""SELF_EFFECTED_ALL""), ISNUMBER(buff), job=""占星術師"""&amp;"),
         buff,
         1
       )
     )
   )
 )"),1.0)</f>
        <v>1</v>
      </c>
      <c r="EK64" s="200">
        <f>IFERROR(__xludf.DUMMYFUNCTION("PRODUCT(
   MAP(
     K$3:ED$3,
     K$14:ED$14,
     K$13:ED$13,
     K64:ED64,
     LAMBDA(
       job,
       buff,
       target,
       check,
       IF(
         AND(check=TRUE, REGEXMATCH(target, ""SELF_EFFECTED_GCD""), ISNUMBER(buff), job=""占星術師"""&amp;"),
         buff,
         1
       )
     )
   )
 )"),1.0)</f>
        <v>1</v>
      </c>
      <c r="EL64" s="200">
        <f>IFERROR(__xludf.DUMMYFUNCTION("PRODUCT(
   MAP(
     K$3:ED$3,
     K$14:ED$14,
     K$13:ED$13,
     K64:ED64,
     LAMBDA(
       job,
       buff,
       target,
       check,
       IF(
         AND(check=TRUE, REGEXMATCH(target, ""SELF_EFFECTED_ALL""), ISNUMBER(buff), job=""学者""),"&amp;"
         buff,
         1
       )
     )
   )
 )"),1.0)</f>
        <v>1</v>
      </c>
      <c r="EM64" s="200">
        <f>IFERROR(__xludf.DUMMYFUNCTION("PRODUCT(
   MAP(
     K$3:ED$3,
     K$14:ED$14,
     K$13:ED$13,
     K64:ED64,
     LAMBDA(
       job,
       buff,
       target,
       check,
       IF(
         AND(check=TRUE, REGEXMATCH(target, ""SELF_EFFECTED_GCD""), ISNUMBER(buff), job=""学者""),"&amp;"
         buff,
         1
       )
     )
   )
 )"),1.0)</f>
        <v>1</v>
      </c>
      <c r="EN64" s="200">
        <f>IFERROR(__xludf.DUMMYFUNCTION("PRODUCT(
   MAP(
     K$3:ED$3,
     K$14:ED$14,
     K$13:ED$13,
     K64:ED64,
     LAMBDA(
       job,
       buff,
       target,
       check,
       IF(
         AND(check=TRUE, REGEXMATCH(target, ""SELF_EFFECTED_ALL""), ISNUMBER(buff), job=""賢者""),"&amp;"
         buff,
         1
       )
     )
   )
 )"),1.0)</f>
        <v>1</v>
      </c>
      <c r="EO64" s="200">
        <f>IFERROR(__xludf.DUMMYFUNCTION("PRODUCT(
   MAP(
     K$3:ED$3,
     K$14:ED$14,
     K$13:ED$13,
     K64:ED64,
     LAMBDA(
       job,
       buff,
       target,
       check,
       IF(
         AND(check=TRUE, REGEXMATCH(target, ""SELF_EFFECTED_GCD""), ISNUMBER(buff), job=""賢者""),"&amp;"
         buff,
         1
       )
     )
   )
 )"),1.0)</f>
        <v>1</v>
      </c>
      <c r="EP64" s="201">
        <f t="shared" si="3"/>
        <v>0</v>
      </c>
      <c r="EQ64" s="201">
        <f>IFERROR(__xludf.DUMMYFUNCTION("SUM(
   MAP(
     K$4:ED$4,
     K$3:ED$3,
     K$7:ED$7,
     K$15:ED$15,
     K$16:ED$16,
     K$21:ED$21,
     K$5:ED$5,
     K$17:ED$17,
     K64:ED64,
     LAMBDA(
       name,
       job,
       abillity,
       buff,
       barrier,
       enhance,"&amp;"
       assign,
       precondition,
       check,
       SWITCH(
         name,
         ""シェイクオフ"", IF(check=TRUE, buff + (0.02 * COUNTIF(ARRAYFORMULA((REGEXMATCH($K$4:$ED$4, ""スリル・オブ・バトル|ヴェンジェンス|原初の血気|ダムネーション"")) * (K64:ED64=TRUE)), 1)), 0),
         "&amp;"""インプロビゼーションフィニッシュ(踊りの激情0)"", IF(ISNUMBER(check), INDEX(Skill!$AJ:$AJ, MATCH(SUBSTITUTE(DV$4, 0, check), Skill!$C:$C, 0)), 0),
         IF(
           AND(check=TRUE, REGEXMATCH(assign, ""RANGE_PARTY"")),
           IF(
             OR(ARRAYFORMULA((IF(pr"&amp;"econdition="""", FALSE, REGEXMATCH($K$4:$ED$4, precondition))) * (K64:ED64=TRUE))),
             enhance,
             IF(barrier="""", buff, barrier)
           ),
           0
         )
       ) *
       SWITCH(
         job,
         ""ナイト"", EY$24,
 "&amp;"        ""戦士"", FD$24,
         ""踊り子"", ET$24,
         ""ピクトマンサー"", ET$24,
         ""白魔道士"", EF64 * EH64 * IF(abillity, 1, EG64 * EI64) * (Option!$D$22 * 0.81 / 100),
         ""占星術師"", EF64 * EJ64 * IF(abillity, 1, EG64 * EK64) * (Option!$D$23 * 0.81 "&amp;"/ 100),
         ""学者"", EF64 * EL64 * IF(abillity, 1, EG64 * EM64) * (Option!$D$24 * 0.81 / 100),
         ""賢者"", EF64 * EN64 * IF(abillity, 1, EG64 * EO64) * (Option!$D$25 * 0.81 / 100),
         1
       )
     )
   )
 )"),0.0)</f>
        <v>0</v>
      </c>
      <c r="ER64" s="202">
        <f t="shared" si="4"/>
        <v>0</v>
      </c>
      <c r="ES64" s="203">
        <f t="shared" si="5"/>
        <v>0</v>
      </c>
      <c r="ET64" s="231" t="str">
        <f>IFERROR(__xludf.DUMMYFUNCTION("IFS(
  EP64 &gt; $ET$24 + EQ64,
  SPARKLINE({ 1, 0 }, {""charttype"",""bar"";""max"", 1;""color1"",Option!$D$30;""color2"",Option!$D$30}),
  EP64 &lt; EQ64,
  SPARKLINE({EQ64 - EP64, $ET$24 - (EQ64 - EP64)}, {""charttype"",""bar"";""max"",$ET$24;""color1"",Opti"&amp;"on!$D$28;""color2"",Option!$D$29}),
  EP64 &gt;= EQ64,
  SPARKLINE({$ET$24 + EQ64 - EP64,EP64 - EQ64}, {""charttype"",""bar"";""max"",$ET$24;""color1"",Option!$D$29;""color2"",Option!$D$30})
)"),"")</f>
        <v/>
      </c>
      <c r="EU64" s="205">
        <f>IFERROR(__xludf.DUMMYFUNCTION("PRODUCT(
   MAP(
     IF($F64=""Physical"", K$10:ED$10, IF($F64=""Magic"", K$11:ED$11, K$12:ED$12)),
     IF($F64=""Physical"", K$18:ED$18, IF($F64=""Magic"", K$19:ED$19, K$20:ED$20)),
     K$3:ED$3,
     K$5:ED$5,
     K$17:ED$17,
     K64:ED64,
     LAM"&amp;"BDA(
       mitigation,
       enhance,
       job,
       assign,
       precondition,
       check,
       IF(
         OR(AND(check=TRUE, REGEXMATCH(assign, ""SELF""), job=""ナイト""), AND(check=Option!$E$13, REGEXMATCH(assign, ""SINGLE_PARTY""))),
      "&amp;"   IF(
           OR(ARRAYFORMULA((IF(precondition="""", FALSE, REGEXMATCH($K$4:$ED$4, precondition))) * (K64:ED64=TRUE))),
           enhance,
           mitigation
         ),
         1
       )
     )
   )
 ) * EE64"),1.0)</f>
        <v>1</v>
      </c>
      <c r="EV64" s="206">
        <f t="shared" si="6"/>
        <v>0</v>
      </c>
      <c r="EW64" s="205">
        <f>IFERROR(__xludf.DUMMYFUNCTION("PRODUCT(
   MAP(
     K$3:ED$3,
     K$14:ED$14,
     K$13:ED$13,
     K64:ED64,
     LAMBDA(
       job,
       buff,
       target,
       check,
       IF(
         OR(AND(check=TRUE, REGEXMATCH(target, ""SELF_AFFECTED_ALL""), job=""ナイト""), AND(check=O"&amp;"ption!$E$13, REGEXMATCH(target, ""SINGLE_AFFECTED_ALL""))),
         buff,
         1
       )
     )
   )
 )"),1.0)</f>
        <v>1</v>
      </c>
      <c r="EX64" s="206">
        <f>IFERROR(__xludf.DUMMYFUNCTION("SUM(
   MAP(
     K$3:ED$3,
     K$7:ED$7,
     K$15:ED$15,
     K$16:ED$16,
     K$21:ED$21,
     K$5:ED$5,
     K$17:ED$17,
     K64:ED64,
     LAMBDA(
       job,
       abillity,
       buff,
       barrier,
       enhance,
       assign,
       preco"&amp;"ndition,
       check,
       IF(
         OR(AND(check=TRUE, REGEXMATCH(assign, ""SELF""), job=""ナイト""), AND(check=Option!$E$13, REGEXMATCH(assign, ""SINGLE_PARTY""))),
         IF(
           OR(ARRAYFORMULA((IF(precondition="""", FALSE, REGEXMATCH($K$4"&amp;":$ED$4, precondition))) * (K64:ED64=TRUE))),
           enhance,
           IF(barrier="""", buff, barrier)
         ),
         0
       ) *
       SWITCH(
         job,
         ""暗黒騎士"", EY$24,
         ""白魔道士"", EF64 * EH64 * EW64 * IF(abillity, 1, EG"&amp;"64 * EI64) * (Option!$D$22 * 0.81 / 100),
         ""占星術師"", EF64 * EJ64 * EW64 * IF(abillity, 1, EG64 * EK64) * (Option!$D$23 * 0.81 / 100),
         ""学者"", EF64 * EL64 * EW64 * IF(abillity, 1, EG64 * EM64) * (Option!$D$24 * 0.81 / 100),
         ""賢者"""&amp;", EF64 * EN64 * EW64 * IF(abillity, 1, EG64 * EO64) * (Option!$D$25 * 0.81 / 100),
         1
       )
     )
   )
 ) + EQ64"),0.0)</f>
        <v>0</v>
      </c>
      <c r="EY64" s="232">
        <f t="shared" si="7"/>
        <v>0</v>
      </c>
      <c r="EZ64" s="205">
        <f>IFERROR(__xludf.DUMMYFUNCTION("PRODUCT(
   MAP(
     IF($F64=""Physical"", K$10:ED$10, IF($F64=""Magic"", K$11:ED$11, K$12:ED$12)),
     IF($F64=""Physical"", K$18:ED$18, IF($F64=""Magic"", K$19:ED$19, K$20:ED$20)),
     K$3:ED$3,
     K$5:ED$5,
     K$17:ED$17,
     K64:ED64,
     LAM"&amp;"BDA(
       mitigation,
       enhance,
       job,
       assign,
       precondition,
       check,
       IF(
         OR(AND(check=TRUE, REGEXMATCH(assign, ""SELF""), job=""戦士""), AND(check=Option!$F$13, REGEXMATCH(assign, ""SINGLE_PARTY""))),
       "&amp;"  IF(
           OR(ARRAYFORMULA((IF(precondition="""", FALSE, REGEXMATCH($K$4:$ED$4, precondition))) * (K64:ED64=TRUE))),
           enhance,
           mitigation
         ),
         1
       )
     )
   )
 ) * EE64"),1.0)</f>
        <v>1</v>
      </c>
      <c r="FA64" s="206">
        <f t="shared" si="8"/>
        <v>0</v>
      </c>
      <c r="FB64" s="205">
        <f>IFERROR(__xludf.DUMMYFUNCTION("PRODUCT(
   MAP(
     K$3:ED$3,
     K$14:ED$14,
     K$13:ED$13,
     K64:ED64,
     LAMBDA(
       job,
       buff,
       target,
       check,
       IF(
         OR(AND(check=TRUE, REGEXMATCH(target, ""SELF_AFFECTED_ALL""), job=""戦士""), AND(check=Op"&amp;"tion!$F$13, REGEXMATCH(target, ""SINGLE_AFFECTED_ALL""))),
         buff,
         1
       )
     )
   )
 )"),1.0)</f>
        <v>1</v>
      </c>
      <c r="FC64" s="206">
        <f>IFERROR(__xludf.DUMMYFUNCTION("SUM(
   MAP(
     K$3:ED$3,
     K$7:ED$7,
     K$15:ED$15,
     K$16:ED$16,
     K$21:ED$21,
     K$5:ED$5,
     K$17:ED$17,
     K64:ED64,
     LAMBDA(
       job,
       abillity,
       buff,
       barrier,
       enhance,
       assign,
       preco"&amp;"ndition,
       check,
       IF(
         OR(AND(check=TRUE, REGEXMATCH(assign, ""SELF""), job=""戦士""), AND(check=Option!$F$13, REGEXMATCH(assign, ""SINGLE_PARTY""))),
         IF(
           OR(ARRAYFORMULA((IF(precondition="""", FALSE, REGEXMATCH($K$4:"&amp;"$ED$4, precondition))) * (K64:ED64=TRUE))),
           enhance,
           IF(barrier="""", buff, barrier)
         ),
         0
       ) *
       SWITCH(
         job,
         ""暗黒騎士"", FD$24,
         ""白魔道士"", EF64 * EH64 * FB64 * IF(abillity, 1, EG6"&amp;"4 * EI64) * (Option!$D$22 * 0.81 / 100),
         ""占星術師"", EF64 * EJ64 * FFB64 * IF(abillity, 1, EG64 * EK64) * (Option!$D$23 * 0.81 / 100),
         ""学者"", EF64 * EL64 * FB64 * IF(abillity, 1, EG64 * EM64) * (Option!$D$24 * 0.81 / 100),
         ""賢者"""&amp;", EF64 * EN64 * FB64 * IF(abillity, 1, EG64 * EO64) * (Option!$D$25 * 0.81 / 100),
         1
       )
     )
   )
 ) + EQ64"),0.0)</f>
        <v>0</v>
      </c>
      <c r="FD64" s="206">
        <f t="shared" si="9"/>
        <v>0</v>
      </c>
      <c r="FE64" s="205">
        <f>IFERROR(__xludf.DUMMYFUNCTION("PRODUCT(
   MAP(
     IF($F64=""Physical"", K$10:ED$10, IF($F64=""Magic"", K$11:ED$11, K$12:ED$12)),
     IF($F64=""Physical"", K$18:ED$18, IF($F64=""Magic"", K$19:ED$19, K$20:ED$20)),
     K$3:ED$3,
     K$5:ED$5,
     K$17:ED$17,
     K64:ED64,
     LAM"&amp;"BDA(
       mitigation,
       enhance,
       job,
       assign,
       precondition,
       check,
       IF(
         OR(AND(check=TRUE, REGEXMATCH(assign, ""SELF""), job=""暗黒騎士""), AND(check=Option!$G$13, REGEXMATCH(assign, ""SINGLE_PARTY""))),
     "&amp;"    IF(
           OR(ARRAYFORMULA((IF(precondition="""", FALSE, REGEXMATCH($K$4:$ED$4, precondition))) * (K64:ED64=TRUE))),
           enhance,
           mitigation
         ),
         1
       )
     )
   )
 ) * EE64"),1.0)</f>
        <v>1</v>
      </c>
      <c r="FF64" s="206">
        <f t="shared" si="10"/>
        <v>0</v>
      </c>
      <c r="FG64" s="205">
        <f>IFERROR(__xludf.DUMMYFUNCTION("PRODUCT(
   MAP(
     K$3:ED$3,
     K$14:ED$14,
     K$13:ED$13,
     K64:ED64,
     LAMBDA(
       job,
       buff,
       target,
       check,
       IF(
         OR(AND(check=TRUE, REGEXMATCH(target, ""SELF_AFFECTED_ALL""), job=""暗黒騎士""), AND(check="&amp;"Option!$G$13, REGEXMATCH(target, ""SINGLE_AFFECTED_ALL""))),
         buff,
         1
       )
     )
   )
 )"),1.0)</f>
        <v>1</v>
      </c>
      <c r="FH64" s="206">
        <f>IFERROR(__xludf.DUMMYFUNCTION("SUM(
   MAP(
     K$3:ED$3,
     K$7:ED$7,
     K$15:ED$15,
     K$16:ED$16,
     K$21:ED$21,
     K$5:ED$5,
     K$17:ED$17,
     K64:ED64,
     LAMBDA(
       job,
       abillity,
       buff,
       barrier,
       enhance,
       assign,
       preco"&amp;"ndition,
       check,
       IF(
         OR(AND(check=TRUE, REGEXMATCH(assign, ""SELF""), job=""暗黒騎士""), AND(check=Option!$G$13, REGEXMATCH(assign, ""SINGLE_PARTY""))),
         IF(
           OR(ARRAYFORMULA((IF(precondition="""", FALSE, REGEXMATCH($K$"&amp;"4:$ED$4, precondition))) * (K64:ED64=TRUE))),
           enhance,
           IF(barrier="""", buff, barrier)
         ),
         0
       ) *
       SWITCH(
         job,
         ""暗黒騎士"", FI$24,
         ""白魔道士"", EF64 * EH64 * FG64 * IF(abillity, 1, E"&amp;"G64 * EI64) * (Option!$D$22 * 0.81 / 100),
         ""占星術師"", EF64 * EJ64 * FG64 * IF(abillity, 1, EG64 * EK64) * (Option!$D$23 * 0.81 / 100),
         ""学者"", EF64 * EL64 * FG64 * IF(abillity, 1, EG64 * EM64) * (Option!$D$24 * 0.81 / 100),
         ""賢者"&amp;""", EF64 * EN64 * FG64 * IF(abillity, 1, EG64 * EO64) * (Option!$D$25 * 0.81 / 100),
         1
       )
     )
   )
 ) + EQ64"),0.0)</f>
        <v>0</v>
      </c>
      <c r="FI64" s="206">
        <f t="shared" si="11"/>
        <v>0</v>
      </c>
      <c r="FJ64" s="205">
        <f>IFERROR(__xludf.DUMMYFUNCTION("PRODUCT(
   MAP(
     IF($F64=""Physical"", K$10:ED$10, IF($F64=""Magic"", K$11:ED$11, K$12:ED$12)),
     IF($F64=""Physical"", K$18:ED$18, IF($F64=""Magic"", K$19:ED$19, K$20:ED$20)),
     K$3:ED$3,
     K$5:ED$5,
     K$17:ED$17,
     K64:ED64,
     LAM"&amp;"BDA(
       mitigation,
       enhance,
       job,
       assign,
       precondition,
       check,
       IF(
         OR(AND(check=TRUE, REGEXMATCH(assign, ""SELF""), job=""ガンブレイカー""), AND(check=Option!$H$13, REGEXMATCH(assign, ""SINGLE_PARTY""))),
  "&amp;"       IF(
           OR(ARRAYFORMULA((IF(precondition="""", FALSE, REGEXMATCH($K$4:$ED$4, precondition))) * (K64:ED64=TRUE))),
           enhance,
           mitigation
         ),
         1
       )
     )
   )
 ) * EE64"),1.0)</f>
        <v>1</v>
      </c>
      <c r="FK64" s="206">
        <f t="shared" si="12"/>
        <v>0</v>
      </c>
      <c r="FL64" s="205">
        <f>IFERROR(__xludf.DUMMYFUNCTION("PRODUCT(
   MAP(
     K$3:ED$3,
     K$14:ED$14,
     K$13:ED$13,
     K64:ED64,
     LAMBDA(
       job,
       buff,
       target,
       check,
       IF(
         OR(AND(check=TRUE, REGEXMATCH(target, ""SELF_AFFECTED_ALL""), job=""ガンブレイカー""), AND(che"&amp;"ck=Option!$H$13, REGEXMATCH(target, ""SINGLE_AFFECTED_ALL""))),
         buff,
         1
       )
     )
   )
 )"),1.0)</f>
        <v>1</v>
      </c>
      <c r="FM64" s="206">
        <f>IFERROR(__xludf.DUMMYFUNCTION("SUM(
   MAP(
     K$3:ED$3,
     K$7:ED$7,
     K$15:ED$15,
     K$16:ED$16,
     K$21:ED$21,
     K$5:ED$5,
     K$17:ED$17,
     K64:ED64,
     LAMBDA(
       job,
       abillity,
       buff,
       barrier,
       enhance,
       assign,
       preco"&amp;"ndition,
       check,
       IF(
         OR(AND(check=TRUE, REGEXMATCH(assign, ""SELF""), job=""ガンブレイカー""), AND(check=Option!$H$13, REGEXMATCH(assign, ""SINGLE_PARTY""))),
         IF(
           OR(ARRAYFORMULA((IF(precondition="""", FALSE, REGEXMATCH("&amp;"$K$4:$ED$4, precondition))) * (K64:ED64=TRUE))),
           enhance,
           IF(barrier="""", buff, barrier)
         ),
         0
       ) *
       SWITCH(
         job,
         ""暗黒騎士"", FN$24,
         ""白魔道士"", EF64 * EH64 * FL64 * IF(abillity, 1"&amp;", EG64 * EI64) * (Option!$D$22 * 0.81 / 100),
         ""占星術師"", EF64 * EJ64 * FL64 * IF(abillity, 1, EG64 * EK64) * (Option!$D$23 * 0.81 / 100),
         ""学者"", EF64 * EL64 * FL64 * IF(abillity, 1, EG64 * EM64) * (Option!$D$24 * 0.81 / 100),
         """&amp;"賢者"", EF64 * EN64 * FL64 * IF(abillity, 1, EG64 * EO64) * (Option!$D$25 * 0.81 / 100),
         1
       )
     )
   )
 ) + EQ64"),0.0)</f>
        <v>0</v>
      </c>
      <c r="FN64" s="206">
        <f t="shared" si="13"/>
        <v>0</v>
      </c>
      <c r="FO64" s="213"/>
    </row>
    <row r="65">
      <c r="B65" s="229"/>
      <c r="C65" s="217">
        <f t="shared" si="1"/>
        <v>0</v>
      </c>
      <c r="D65" s="236"/>
      <c r="E65" s="238"/>
      <c r="F65" s="167"/>
      <c r="G65" s="168" t="str">
        <f t="shared" si="2"/>
        <v/>
      </c>
      <c r="H65" s="169"/>
      <c r="I65" s="169"/>
      <c r="J65" s="169"/>
      <c r="K65" s="170" t="b">
        <v>0</v>
      </c>
      <c r="L65" s="170" t="b">
        <v>0</v>
      </c>
      <c r="M65" s="170" t="b">
        <v>0</v>
      </c>
      <c r="N65" s="171" t="s">
        <v>1070</v>
      </c>
      <c r="O65" s="172" t="b">
        <v>0</v>
      </c>
      <c r="P65" s="173" t="b">
        <v>0</v>
      </c>
      <c r="Q65" s="173" t="b">
        <v>0</v>
      </c>
      <c r="R65" s="173" t="b">
        <v>0</v>
      </c>
      <c r="S65" s="174" t="b">
        <v>0</v>
      </c>
      <c r="T65" s="175" t="b">
        <v>0</v>
      </c>
      <c r="U65" s="173" t="b">
        <v>0</v>
      </c>
      <c r="V65" s="171" t="s">
        <v>1070</v>
      </c>
      <c r="W65" s="172" t="b">
        <v>0</v>
      </c>
      <c r="X65" s="173" t="b">
        <v>0</v>
      </c>
      <c r="Y65" s="173" t="b">
        <v>0</v>
      </c>
      <c r="Z65" s="173" t="b">
        <v>0</v>
      </c>
      <c r="AA65" s="174" t="b">
        <v>0</v>
      </c>
      <c r="AB65" s="174" t="b">
        <v>0</v>
      </c>
      <c r="AC65" s="175" t="b">
        <v>0</v>
      </c>
      <c r="AD65" s="173" t="b">
        <v>0</v>
      </c>
      <c r="AE65" s="176" t="s">
        <v>1070</v>
      </c>
      <c r="AF65" s="171" t="s">
        <v>1070</v>
      </c>
      <c r="AG65" s="177">
        <f>IFERROR(__xludf.DUMMYFUNCTION("IF(
  ISNUMBER(AG64),
  MIN(MAX(
    AG64
    + MAX(
      ROUNDDOWN(($D65 - MAX(IFERROR(FILTER($D$24:$D64, AG$24:AG64 &lt;&gt; AF$6, AG$23:AG63 = AF$6), 0))) * (60 * 60 * 24) / AF$9) - ROUNDDOWN(($D64 - MAX(IFERROR(FILTER($D$23:$D63, AG$23:AG63 &lt;&gt; AF$6, AG$22:"&amp;"AG62 = AF$6), 0))) * (60 * 60 * 24) / 60),
      0
    )
    - COUNTIF(AF65, ""&lt;&gt;-""),
  0), AF$6),
  AF$6 - COUNTIF(AF65, ""&lt;&gt;-"")
)"),2.0)</f>
        <v>2</v>
      </c>
      <c r="AH65" s="173" t="b">
        <v>0</v>
      </c>
      <c r="AI65" s="173" t="b">
        <v>0</v>
      </c>
      <c r="AJ65" s="173" t="b">
        <v>0</v>
      </c>
      <c r="AK65" s="174" t="b">
        <v>0</v>
      </c>
      <c r="AL65" s="175" t="b">
        <v>0</v>
      </c>
      <c r="AM65" s="173" t="b">
        <v>0</v>
      </c>
      <c r="AN65" s="171" t="s">
        <v>1070</v>
      </c>
      <c r="AO65" s="173" t="b">
        <v>0</v>
      </c>
      <c r="AP65" s="173" t="b">
        <v>0</v>
      </c>
      <c r="AQ65" s="173" t="b">
        <v>0</v>
      </c>
      <c r="AR65" s="174" t="b">
        <v>0</v>
      </c>
      <c r="AS65" s="178" t="b">
        <v>0</v>
      </c>
      <c r="AT65" s="179" t="b">
        <v>0</v>
      </c>
      <c r="AU65" s="180" t="b">
        <v>0</v>
      </c>
      <c r="AV65" s="180" t="b">
        <v>0</v>
      </c>
      <c r="AW65" s="180" t="b">
        <v>0</v>
      </c>
      <c r="AX65" s="180" t="b">
        <v>0</v>
      </c>
      <c r="AY65" s="181" t="s">
        <v>1070</v>
      </c>
      <c r="AZ65" s="181" t="s">
        <v>1070</v>
      </c>
      <c r="BA65" s="184">
        <f>IFERROR(__xludf.DUMMYFUNCTION("IF(
  ISNUMBER(BA64),
  MIN(MAX(
    BA64
    + MAX(
      ROUNDDOWN((D65 - MAX(IFERROR(FILTER(D$24:D64, BA$24:BA64 &lt;&gt; AZ$6, BA$23:BA63 = AZ$6), 0))) * (60 * 60 * 24) / AZ$9) - ROUNDDOWN((D64 - MAX(IFERROR(FILTER(D$23:D63, BA$23:BA63 &lt;&gt; AZ$6, BA$22:BA62 ="&amp;" AZ$6), 0))) * (60 * 60 * 24) / AZ$9),
      0
    )
    - COUNTIF(AZ65, ""&lt;&gt;-""),
  0), AZ$6),
  AZ$6 - COUNTIF(AZ65, ""&lt;&gt;-"")
)"),2.0)</f>
        <v>2</v>
      </c>
      <c r="BB65" s="181" t="s">
        <v>1070</v>
      </c>
      <c r="BC65" s="183">
        <f>IFERROR(__xludf.DUMMYFUNCTION("IF(
  ISNUMBER(BC64),
  MIN(MAX(
    BC64
    + MAX(
      ROUNDDOWN(($D65 - MAX(IFERROR(FILTER($D$24:$D64, BC$24:BC64 &lt;&gt; BB$6, BC$23:BC63 = BB$6), 0))) * (60 * 60 * 24) / BB$9) - ROUNDDOWN(($D64 - MAX(IFERROR(FILTER($D$23:$D63, BC$23:BC63 &lt;&gt; BB$6, BC$22:"&amp;"BC62 = BB$6), 0))) * (60 * 60 * 24) / 60),
      0
    )
    - COUNTIF(BB65, ""&lt;&gt;-""),
  0), BB$6),
  BB$6 - COUNTIF(BB65, ""&lt;&gt;-"")
)"),2.0)</f>
        <v>2</v>
      </c>
      <c r="BD65" s="181" t="s">
        <v>1070</v>
      </c>
      <c r="BE65" s="178" t="b">
        <v>0</v>
      </c>
      <c r="BF65" s="180" t="b">
        <v>0</v>
      </c>
      <c r="BG65" s="180" t="b">
        <v>0</v>
      </c>
      <c r="BH65" s="180" t="b">
        <v>0</v>
      </c>
      <c r="BI65" s="180" t="b">
        <v>0</v>
      </c>
      <c r="BJ65" s="180" t="b">
        <v>0</v>
      </c>
      <c r="BK65" s="180" t="b">
        <v>0</v>
      </c>
      <c r="BL65" s="180" t="b">
        <v>0</v>
      </c>
      <c r="BM65" s="180" t="b">
        <v>0</v>
      </c>
      <c r="BN65" s="180" t="b">
        <v>0</v>
      </c>
      <c r="BO65" s="181" t="s">
        <v>1070</v>
      </c>
      <c r="BP65" s="181" t="s">
        <v>1070</v>
      </c>
      <c r="BQ65" s="181" t="s">
        <v>1070</v>
      </c>
      <c r="BR65" s="181" t="s">
        <v>1070</v>
      </c>
      <c r="BS65" s="181" t="s">
        <v>1070</v>
      </c>
      <c r="BT65" s="184">
        <f>IFERROR(__xludf.DUMMYFUNCTION("IF(
  ISNUMBER(BT64),
  MIN(MAX(
    BT64
    + MAX(
      ROUNDDOWN((D65 - MAX(IFERROR(FILTER(D$24:D64, BT$24:BT64 &lt;&gt; BS$6, BT$23:BT63 = BS$6), 0))) * (60 * 60 * 24) / BS$9) - ROUNDDOWN((D64 - MAX(IFERROR(FILTER(D$23:D63, BT$23:BT63 &lt;&gt; BS$6, BT$22:BT62 ="&amp;" BS$6), 0))) * (60 * 60 * 24) / BS$9),
      0
    )
    - COUNTIF(BS65, ""&lt;&gt;-""),
  0), BS$6),
  BS$6 - COUNTIF(BS65, ""&lt;&gt;-"")
)"),3.0)</f>
        <v>3</v>
      </c>
      <c r="BU65" s="181" t="s">
        <v>1070</v>
      </c>
      <c r="BV65" s="181" t="s">
        <v>1070</v>
      </c>
      <c r="BW65" s="184">
        <f>IFERROR(__xludf.DUMMYFUNCTION("IF(
  ISNUMBER(BW64),
  MIN(MAX(
    BW64
    + MAX(
      ROUNDDOWN((D65 - MAX(IFERROR(FILTER(D$24:D64, BW$24:BW64 &lt;&gt; BV$6, BW$23:BW63 = BV$6), 0))) * (60 * 60 * 24) / BV$9) - ROUNDDOWN((D64 - MAX(IFERROR(FILTER(D$23:D63, BW$23:BW63 &lt;&gt; BV$6, BW$22:BW62 ="&amp;" BV$6), 0))) * (60 * 60 * 24) / BV$9),
      0
    )
    - COUNTIF(BV65, ""&lt;&gt;-""),
  0), BV$6),
  BV$6 - COUNTIF(BV65, ""&lt;&gt;-"")
)"),2.0)</f>
        <v>2</v>
      </c>
      <c r="BX65" s="185" t="s">
        <v>1070</v>
      </c>
      <c r="BY65" s="178" t="b">
        <v>0</v>
      </c>
      <c r="BZ65" s="180" t="b">
        <v>0</v>
      </c>
      <c r="CA65" s="180" t="b">
        <v>0</v>
      </c>
      <c r="CB65" s="180" t="b">
        <v>0</v>
      </c>
      <c r="CC65" s="180" t="b">
        <v>0</v>
      </c>
      <c r="CD65" s="180" t="b">
        <v>0</v>
      </c>
      <c r="CE65" s="180" t="b">
        <v>0</v>
      </c>
      <c r="CF65" s="180" t="b">
        <v>0</v>
      </c>
      <c r="CG65" s="180" t="b">
        <v>0</v>
      </c>
      <c r="CH65" s="180" t="b">
        <v>0</v>
      </c>
      <c r="CI65" s="180" t="b">
        <v>0</v>
      </c>
      <c r="CJ65" s="180" t="b">
        <v>0</v>
      </c>
      <c r="CK65" s="180" t="b">
        <v>0</v>
      </c>
      <c r="CL65" s="180" t="b">
        <v>0</v>
      </c>
      <c r="CM65" s="181" t="s">
        <v>1070</v>
      </c>
      <c r="CN65" s="181" t="s">
        <v>1070</v>
      </c>
      <c r="CO65" s="181" t="s">
        <v>1070</v>
      </c>
      <c r="CP65" s="181" t="s">
        <v>1070</v>
      </c>
      <c r="CQ65" s="185" t="s">
        <v>1070</v>
      </c>
      <c r="CR65" s="180" t="b">
        <v>0</v>
      </c>
      <c r="CS65" s="186" t="str">
        <f t="shared" si="14"/>
        <v>◇◇◇</v>
      </c>
      <c r="CT65" s="178" t="b">
        <v>0</v>
      </c>
      <c r="CU65" s="180" t="b">
        <v>0</v>
      </c>
      <c r="CV65" s="180" t="b">
        <v>0</v>
      </c>
      <c r="CW65" s="180" t="b">
        <v>0</v>
      </c>
      <c r="CX65" s="180" t="b">
        <v>0</v>
      </c>
      <c r="CY65" s="180" t="b">
        <v>0</v>
      </c>
      <c r="CZ65" s="180" t="b">
        <v>0</v>
      </c>
      <c r="DA65" s="180" t="b">
        <v>0</v>
      </c>
      <c r="DB65" s="180" t="b">
        <v>0</v>
      </c>
      <c r="DC65" s="180" t="b">
        <v>0</v>
      </c>
      <c r="DD65" s="181" t="s">
        <v>1070</v>
      </c>
      <c r="DE65" s="181" t="s">
        <v>1070</v>
      </c>
      <c r="DF65" s="181" t="s">
        <v>1070</v>
      </c>
      <c r="DG65" s="185" t="s">
        <v>1070</v>
      </c>
      <c r="DH65" s="180" t="b">
        <v>0</v>
      </c>
      <c r="DI65" s="187" t="str">
        <f>IFERROR(__xludf.DUMMYFUNCTION("SWITCH(
  IF(
    ISTEXT(DI64),
    IF (
      FIND(""○"", DI64&amp;""○"") &gt; 3,
      3,
      FIND(""○"", DI64&amp;""○"")
      + MAX(
        ROUNDDOWN(($D65 - MAX(IFERROR(FILTER(D$24:D64, DI$24:DI64 &lt;&gt; ""●●●"", DI$23:DI63 = ""●●●""), 0))) * (60 * 60 * 24) / 20"&amp;") - ROUNDDOWN(($D64 - MAX(IFERROR(FILTER(D$23:D63, DI$23:DI63 &lt;&gt; ""●●●"", DI$22:DI62 = ""●●●""), 0))) * (60 * 60 * 24) / 20),
        0
      ) - 1
    ) - COUNTIFS(CU65, ""=TRUE"", CU64, ""&lt;&gt;TRUE"") - COUNTIF(CZ65, ""=TRUE"") - COUNTIF({DD65,DE65}, ""&lt;&gt;-"&amp;""") + COUNTIF(DH65, ""=TRUE""),
    3
  ),
  0, ""○○○"", 1, ""●○○"", 2, ""●●○"", 3, ""●●●"", 4, ""●●●"", ""○○○""
)"),"●●●")</f>
        <v>●●●</v>
      </c>
      <c r="DJ65" s="188" t="b">
        <v>0</v>
      </c>
      <c r="DK65" s="189" t="b">
        <v>0</v>
      </c>
      <c r="DL65" s="190" t="b">
        <v>0</v>
      </c>
      <c r="DM65" s="190" t="b">
        <v>0</v>
      </c>
      <c r="DN65" s="190" t="b">
        <v>0</v>
      </c>
      <c r="DO65" s="190" t="b">
        <v>0</v>
      </c>
      <c r="DP65" s="190" t="b">
        <v>0</v>
      </c>
      <c r="DQ65" s="191" t="b">
        <v>0</v>
      </c>
      <c r="DR65" s="192" t="b">
        <v>0</v>
      </c>
      <c r="DS65" s="191" t="b">
        <v>0</v>
      </c>
      <c r="DT65" s="192" t="b">
        <v>0</v>
      </c>
      <c r="DU65" s="191" t="b">
        <v>0</v>
      </c>
      <c r="DV65" s="193" t="s">
        <v>1070</v>
      </c>
      <c r="DW65" s="194" t="b">
        <v>0</v>
      </c>
      <c r="DX65" s="194" t="b">
        <v>0</v>
      </c>
      <c r="DY65" s="195" t="b">
        <v>0</v>
      </c>
      <c r="DZ65" s="196" t="b">
        <v>0</v>
      </c>
      <c r="EA65" s="195" t="b">
        <v>0</v>
      </c>
      <c r="EB65" s="197" t="b">
        <v>0</v>
      </c>
      <c r="EC65" s="197" t="b">
        <v>0</v>
      </c>
      <c r="ED65" s="212" t="b">
        <v>0</v>
      </c>
      <c r="EE65" s="199">
        <f>IFERROR(__xludf.DUMMYFUNCTION("IFERROR(
   PRODUCT(
     MAP(
       INDEX(TRANSPOSE(UNIQUE(TRANSPOSE(FILTER({IF($F65=""Physical"", K$10:ED$10, IF($F65=""Magic"", K$11:ED$11, K$12:ED$12));K$4:ED$4;K65:ED65}, K65:ED65=TRUE)))), 1, 0),
       INDEX(TRANSPOSE(UNIQUE(TRANSPOSE(FILTER({IF($"&amp;"F65=""Physical"", K$18:ED$18, IF($F65=""Magic"", K$19:ED$19, K$20:ED$20));K$4:ED$4;K65:ED65}, K65:ED65=TRUE)))), 1, 0),
       INDEX(TRANSPOSE(UNIQUE(TRANSPOSE(FILTER({K$5:ED$5;K$4:ED$4;K65:ED65}, K65:ED65=TRUE)))), 1, 0),
       INDEX(TRANSPOSE(UNIQUE(TR"&amp;"ANSPOSE(FILTER({K$17:ED$17;K$4:ED$4;K65:ED65}, K65:ED65=TRUE)))), 1, 0),
       LAMBDA(
         mitigation,
         enhance,
         assign,
         precondition,
         IF(
           REGEXMATCH(assign, ""RANGE_PARTY|SINGLE_ENEMY|RANGE_ENEMY""),
  "&amp;"         IF(
             OR(ARRAYFORMULA((IF(precondition="""", FALSE, REGEXMATCH(K$4:ED$4, precondition))) * (K65:ED65=TRUE))),
             IF(ISNUMBER(enhance), enhance, 1),
             IF(ISNUMBER(mitigation), mitigation, 1)
           ),
          "&amp;" 1
         )
       )
     )
   ),
   1
 )"),1.0)</f>
        <v>1</v>
      </c>
      <c r="EF65" s="200">
        <f>IFERROR(__xludf.DUMMYFUNCTION("PRODUCT(
   MAP(
     K$14:ED$14,
     K$13:ED$13,
     K65:ED65,
     LAMBDA(
       buff,
       target,
       check,
       IF(
         AND(check=TRUE, REGEXMATCH(target, ""RANGE_AFFECTED_ALL|RANGE_EFFECTED_ALL""), ISNUMBER(buff)),
         buff,
   "&amp;"      1
       )
     )
   )
 )"),1.0)</f>
        <v>1</v>
      </c>
      <c r="EG65" s="200">
        <f>IFERROR(__xludf.DUMMYFUNCTION("PRODUCT(
   MAP(
     K$14:ED$14,
     K$13:ED$13,
     K65:ED65,
     LAMBDA(
       buff,
       target,
       check,
       IF(
         AND(check=TRUE, REGEXMATCH(target, ""RANGE_AFFECTED_GCD|RANGE_EFFECTED_GCD""), ISNUMBER(buff)),
         buff,
   "&amp;"      1
       )
     )
   )
 )"),1.0)</f>
        <v>1</v>
      </c>
      <c r="EH65" s="200">
        <f>IFERROR(__xludf.DUMMYFUNCTION("PRODUCT(
   MAP(
     K$3:ED$3,
     K$14:ED$14,
     K$13:ED$13,
     K65:ED65,
     LAMBDA(
       job,
       buff,
       target,
       check,
       IF(
         AND(check=TRUE, REGEXMATCH(target, ""SELF_EFFECTED_ALL""), ISNUMBER(buff), job=""白魔道士"""&amp;"),
         buff,
         1
       )
     )
   )
 )"),1.0)</f>
        <v>1</v>
      </c>
      <c r="EI65" s="200">
        <f>IFERROR(__xludf.DUMMYFUNCTION("PRODUCT(
   MAP(
     K$3:ED$3,
     K$14:ED$14,
     K$13:ED$13,
     K65:ED65,
     LAMBDA(
       job,
       buff,
       target,
       check,
       IF(
         AND(check=TRUE, REGEXMATCH(target, ""SELF_EFFECTED_GCD""), ISNUMBER(buff), job=""白魔道士"""&amp;"),
         buff,
         1
       )
     )
   )
 )"),1.0)</f>
        <v>1</v>
      </c>
      <c r="EJ65" s="200">
        <f>IFERROR(__xludf.DUMMYFUNCTION("PRODUCT(
   MAP(
     K$3:ED$3,
     K$14:ED$14,
     K$13:ED$13,
     K65:ED65,
     LAMBDA(
       job,
       buff,
       target,
       check,
       IF(
         AND(check=TRUE, REGEXMATCH(target, ""SELF_EFFECTED_ALL""), ISNUMBER(buff), job=""占星術師"""&amp;"),
         buff,
         1
       )
     )
   )
 )"),1.0)</f>
        <v>1</v>
      </c>
      <c r="EK65" s="200">
        <f>IFERROR(__xludf.DUMMYFUNCTION("PRODUCT(
   MAP(
     K$3:ED$3,
     K$14:ED$14,
     K$13:ED$13,
     K65:ED65,
     LAMBDA(
       job,
       buff,
       target,
       check,
       IF(
         AND(check=TRUE, REGEXMATCH(target, ""SELF_EFFECTED_GCD""), ISNUMBER(buff), job=""占星術師"""&amp;"),
         buff,
         1
       )
     )
   )
 )"),1.0)</f>
        <v>1</v>
      </c>
      <c r="EL65" s="200">
        <f>IFERROR(__xludf.DUMMYFUNCTION("PRODUCT(
   MAP(
     K$3:ED$3,
     K$14:ED$14,
     K$13:ED$13,
     K65:ED65,
     LAMBDA(
       job,
       buff,
       target,
       check,
       IF(
         AND(check=TRUE, REGEXMATCH(target, ""SELF_EFFECTED_ALL""), ISNUMBER(buff), job=""学者""),"&amp;"
         buff,
         1
       )
     )
   )
 )"),1.0)</f>
        <v>1</v>
      </c>
      <c r="EM65" s="200">
        <f>IFERROR(__xludf.DUMMYFUNCTION("PRODUCT(
   MAP(
     K$3:ED$3,
     K$14:ED$14,
     K$13:ED$13,
     K65:ED65,
     LAMBDA(
       job,
       buff,
       target,
       check,
       IF(
         AND(check=TRUE, REGEXMATCH(target, ""SELF_EFFECTED_GCD""), ISNUMBER(buff), job=""学者""),"&amp;"
         buff,
         1
       )
     )
   )
 )"),1.0)</f>
        <v>1</v>
      </c>
      <c r="EN65" s="200">
        <f>IFERROR(__xludf.DUMMYFUNCTION("PRODUCT(
   MAP(
     K$3:ED$3,
     K$14:ED$14,
     K$13:ED$13,
     K65:ED65,
     LAMBDA(
       job,
       buff,
       target,
       check,
       IF(
         AND(check=TRUE, REGEXMATCH(target, ""SELF_EFFECTED_ALL""), ISNUMBER(buff), job=""賢者""),"&amp;"
         buff,
         1
       )
     )
   )
 )"),1.0)</f>
        <v>1</v>
      </c>
      <c r="EO65" s="200">
        <f>IFERROR(__xludf.DUMMYFUNCTION("PRODUCT(
   MAP(
     K$3:ED$3,
     K$14:ED$14,
     K$13:ED$13,
     K65:ED65,
     LAMBDA(
       job,
       buff,
       target,
       check,
       IF(
         AND(check=TRUE, REGEXMATCH(target, ""SELF_EFFECTED_GCD""), ISNUMBER(buff), job=""賢者""),"&amp;"
         buff,
         1
       )
     )
   )
 )"),1.0)</f>
        <v>1</v>
      </c>
      <c r="EP65" s="201">
        <f t="shared" si="3"/>
        <v>0</v>
      </c>
      <c r="EQ65" s="201">
        <f>IFERROR(__xludf.DUMMYFUNCTION("SUM(
   MAP(
     K$4:ED$4,
     K$3:ED$3,
     K$7:ED$7,
     K$15:ED$15,
     K$16:ED$16,
     K$21:ED$21,
     K$5:ED$5,
     K$17:ED$17,
     K65:ED65,
     LAMBDA(
       name,
       job,
       abillity,
       buff,
       barrier,
       enhance,"&amp;"
       assign,
       precondition,
       check,
       SWITCH(
         name,
         ""シェイクオフ"", IF(check=TRUE, buff + (0.02 * COUNTIF(ARRAYFORMULA((REGEXMATCH($K$4:$ED$4, ""スリル・オブ・バトル|ヴェンジェンス|原初の血気|ダムネーション"")) * (K65:ED65=TRUE)), 1)), 0),
         "&amp;"""インプロビゼーションフィニッシュ(踊りの激情0)"", IF(ISNUMBER(check), INDEX(Skill!$AJ:$AJ, MATCH(SUBSTITUTE(DV$4, 0, check), Skill!$C:$C, 0)), 0),
         IF(
           AND(check=TRUE, REGEXMATCH(assign, ""RANGE_PARTY"")),
           IF(
             OR(ARRAYFORMULA((IF(pr"&amp;"econdition="""", FALSE, REGEXMATCH($K$4:$ED$4, precondition))) * (K65:ED65=TRUE))),
             enhance,
             IF(barrier="""", buff, barrier)
           ),
           0
         )
       ) *
       SWITCH(
         job,
         ""ナイト"", EY$24,
 "&amp;"        ""戦士"", FD$24,
         ""踊り子"", ET$24,
         ""ピクトマンサー"", ET$24,
         ""白魔道士"", EF65 * EH65 * IF(abillity, 1, EG65 * EI65) * (Option!$D$22 * 0.81 / 100),
         ""占星術師"", EF65 * EJ65 * IF(abillity, 1, EG65 * EK65) * (Option!$D$23 * 0.81 "&amp;"/ 100),
         ""学者"", EF65 * EL65 * IF(abillity, 1, EG65 * EM65) * (Option!$D$24 * 0.81 / 100),
         ""賢者"", EF65 * EN65 * IF(abillity, 1, EG65 * EO65) * (Option!$D$25 * 0.81 / 100),
         1
       )
     )
   )
 )"),0.0)</f>
        <v>0</v>
      </c>
      <c r="ER65" s="202">
        <f t="shared" si="4"/>
        <v>0</v>
      </c>
      <c r="ES65" s="203">
        <f t="shared" si="5"/>
        <v>0</v>
      </c>
      <c r="ET65" s="231" t="str">
        <f>IFERROR(__xludf.DUMMYFUNCTION("IFS(
  EP65 &gt; $ET$24 + EQ65,
  SPARKLINE({ 1, 0 }, {""charttype"",""bar"";""max"", 1;""color1"",Option!$D$30;""color2"",Option!$D$30}),
  EP65 &lt; EQ65,
  SPARKLINE({EQ65 - EP65, $ET$24 - (EQ65 - EP65)}, {""charttype"",""bar"";""max"",$ET$24;""color1"",Opti"&amp;"on!$D$28;""color2"",Option!$D$29}),
  EP65 &gt;= EQ65,
  SPARKLINE({$ET$24 + EQ65 - EP65,EP65 - EQ65}, {""charttype"",""bar"";""max"",$ET$24;""color1"",Option!$D$29;""color2"",Option!$D$30})
)"),"")</f>
        <v/>
      </c>
      <c r="EU65" s="205">
        <f>IFERROR(__xludf.DUMMYFUNCTION("PRODUCT(
   MAP(
     IF($F65=""Physical"", K$10:ED$10, IF($F65=""Magic"", K$11:ED$11, K$12:ED$12)),
     IF($F65=""Physical"", K$18:ED$18, IF($F65=""Magic"", K$19:ED$19, K$20:ED$20)),
     K$3:ED$3,
     K$5:ED$5,
     K$17:ED$17,
     K65:ED65,
     LAM"&amp;"BDA(
       mitigation,
       enhance,
       job,
       assign,
       precondition,
       check,
       IF(
         OR(AND(check=TRUE, REGEXMATCH(assign, ""SELF""), job=""ナイト""), AND(check=Option!$E$13, REGEXMATCH(assign, ""SINGLE_PARTY""))),
      "&amp;"   IF(
           OR(ARRAYFORMULA((IF(precondition="""", FALSE, REGEXMATCH($K$4:$ED$4, precondition))) * (K65:ED65=TRUE))),
           enhance,
           mitigation
         ),
         1
       )
     )
   )
 ) * EE65"),1.0)</f>
        <v>1</v>
      </c>
      <c r="EV65" s="206">
        <f t="shared" si="6"/>
        <v>0</v>
      </c>
      <c r="EW65" s="205">
        <f>IFERROR(__xludf.DUMMYFUNCTION("PRODUCT(
   MAP(
     K$3:ED$3,
     K$14:ED$14,
     K$13:ED$13,
     K65:ED65,
     LAMBDA(
       job,
       buff,
       target,
       check,
       IF(
         OR(AND(check=TRUE, REGEXMATCH(target, ""SELF_AFFECTED_ALL""), job=""ナイト""), AND(check=O"&amp;"ption!$E$13, REGEXMATCH(target, ""SINGLE_AFFECTED_ALL""))),
         buff,
         1
       )
     )
   )
 )"),1.0)</f>
        <v>1</v>
      </c>
      <c r="EX65" s="206">
        <f>IFERROR(__xludf.DUMMYFUNCTION("SUM(
   MAP(
     K$3:ED$3,
     K$7:ED$7,
     K$15:ED$15,
     K$16:ED$16,
     K$21:ED$21,
     K$5:ED$5,
     K$17:ED$17,
     K65:ED65,
     LAMBDA(
       job,
       abillity,
       buff,
       barrier,
       enhance,
       assign,
       preco"&amp;"ndition,
       check,
       IF(
         OR(AND(check=TRUE, REGEXMATCH(assign, ""SELF""), job=""ナイト""), AND(check=Option!$E$13, REGEXMATCH(assign, ""SINGLE_PARTY""))),
         IF(
           OR(ARRAYFORMULA((IF(precondition="""", FALSE, REGEXMATCH($K$4"&amp;":$ED$4, precondition))) * (K65:ED65=TRUE))),
           enhance,
           IF(barrier="""", buff, barrier)
         ),
         0
       ) *
       SWITCH(
         job,
         ""暗黒騎士"", EY$24,
         ""白魔道士"", EF65 * EH65 * EW65 * IF(abillity, 1, EG"&amp;"65 * EI65) * (Option!$D$22 * 0.81 / 100),
         ""占星術師"", EF65 * EJ65 * EW65 * IF(abillity, 1, EG65 * EK65) * (Option!$D$23 * 0.81 / 100),
         ""学者"", EF65 * EL65 * EW65 * IF(abillity, 1, EG65 * EM65) * (Option!$D$24 * 0.81 / 100),
         ""賢者"""&amp;", EF65 * EN65 * EW65 * IF(abillity, 1, EG65 * EO65) * (Option!$D$25 * 0.81 / 100),
         1
       )
     )
   )
 ) + EQ65"),0.0)</f>
        <v>0</v>
      </c>
      <c r="EY65" s="232">
        <f t="shared" si="7"/>
        <v>0</v>
      </c>
      <c r="EZ65" s="205">
        <f>IFERROR(__xludf.DUMMYFUNCTION("PRODUCT(
   MAP(
     IF($F65=""Physical"", K$10:ED$10, IF($F65=""Magic"", K$11:ED$11, K$12:ED$12)),
     IF($F65=""Physical"", K$18:ED$18, IF($F65=""Magic"", K$19:ED$19, K$20:ED$20)),
     K$3:ED$3,
     K$5:ED$5,
     K$17:ED$17,
     K65:ED65,
     LAM"&amp;"BDA(
       mitigation,
       enhance,
       job,
       assign,
       precondition,
       check,
       IF(
         OR(AND(check=TRUE, REGEXMATCH(assign, ""SELF""), job=""戦士""), AND(check=Option!$F$13, REGEXMATCH(assign, ""SINGLE_PARTY""))),
       "&amp;"  IF(
           OR(ARRAYFORMULA((IF(precondition="""", FALSE, REGEXMATCH($K$4:$ED$4, precondition))) * (K65:ED65=TRUE))),
           enhance,
           mitigation
         ),
         1
       )
     )
   )
 ) * EE65"),1.0)</f>
        <v>1</v>
      </c>
      <c r="FA65" s="206">
        <f t="shared" si="8"/>
        <v>0</v>
      </c>
      <c r="FB65" s="205">
        <f>IFERROR(__xludf.DUMMYFUNCTION("PRODUCT(
   MAP(
     K$3:ED$3,
     K$14:ED$14,
     K$13:ED$13,
     K65:ED65,
     LAMBDA(
       job,
       buff,
       target,
       check,
       IF(
         OR(AND(check=TRUE, REGEXMATCH(target, ""SELF_AFFECTED_ALL""), job=""戦士""), AND(check=Op"&amp;"tion!$F$13, REGEXMATCH(target, ""SINGLE_AFFECTED_ALL""))),
         buff,
         1
       )
     )
   )
 )"),1.0)</f>
        <v>1</v>
      </c>
      <c r="FC65" s="206">
        <f>IFERROR(__xludf.DUMMYFUNCTION("SUM(
   MAP(
     K$3:ED$3,
     K$7:ED$7,
     K$15:ED$15,
     K$16:ED$16,
     K$21:ED$21,
     K$5:ED$5,
     K$17:ED$17,
     K65:ED65,
     LAMBDA(
       job,
       abillity,
       buff,
       barrier,
       enhance,
       assign,
       preco"&amp;"ndition,
       check,
       IF(
         OR(AND(check=TRUE, REGEXMATCH(assign, ""SELF""), job=""戦士""), AND(check=Option!$F$13, REGEXMATCH(assign, ""SINGLE_PARTY""))),
         IF(
           OR(ARRAYFORMULA((IF(precondition="""", FALSE, REGEXMATCH($K$4:"&amp;"$ED$4, precondition))) * (K65:ED65=TRUE))),
           enhance,
           IF(barrier="""", buff, barrier)
         ),
         0
       ) *
       SWITCH(
         job,
         ""暗黒騎士"", FD$24,
         ""白魔道士"", EF65 * EH65 * FB65 * IF(abillity, 1, EG6"&amp;"5 * EI65) * (Option!$D$22 * 0.81 / 100),
         ""占星術師"", EF65 * EJ65 * FFB65 * IF(abillity, 1, EG65 * EK65) * (Option!$D$23 * 0.81 / 100),
         ""学者"", EF65 * EL65 * FB65 * IF(abillity, 1, EG65 * EM65) * (Option!$D$24 * 0.81 / 100),
         ""賢者"""&amp;", EF65 * EN65 * FB65 * IF(abillity, 1, EG65 * EO65) * (Option!$D$25 * 0.81 / 100),
         1
       )
     )
   )
 ) + EQ65"),0.0)</f>
        <v>0</v>
      </c>
      <c r="FD65" s="206">
        <f t="shared" si="9"/>
        <v>0</v>
      </c>
      <c r="FE65" s="205">
        <f>IFERROR(__xludf.DUMMYFUNCTION("PRODUCT(
   MAP(
     IF($F65=""Physical"", K$10:ED$10, IF($F65=""Magic"", K$11:ED$11, K$12:ED$12)),
     IF($F65=""Physical"", K$18:ED$18, IF($F65=""Magic"", K$19:ED$19, K$20:ED$20)),
     K$3:ED$3,
     K$5:ED$5,
     K$17:ED$17,
     K65:ED65,
     LAM"&amp;"BDA(
       mitigation,
       enhance,
       job,
       assign,
       precondition,
       check,
       IF(
         OR(AND(check=TRUE, REGEXMATCH(assign, ""SELF""), job=""暗黒騎士""), AND(check=Option!$G$13, REGEXMATCH(assign, ""SINGLE_PARTY""))),
     "&amp;"    IF(
           OR(ARRAYFORMULA((IF(precondition="""", FALSE, REGEXMATCH($K$4:$ED$4, precondition))) * (K65:ED65=TRUE))),
           enhance,
           mitigation
         ),
         1
       )
     )
   )
 ) * EE65"),1.0)</f>
        <v>1</v>
      </c>
      <c r="FF65" s="206">
        <f t="shared" si="10"/>
        <v>0</v>
      </c>
      <c r="FG65" s="205">
        <f>IFERROR(__xludf.DUMMYFUNCTION("PRODUCT(
   MAP(
     K$3:ED$3,
     K$14:ED$14,
     K$13:ED$13,
     K65:ED65,
     LAMBDA(
       job,
       buff,
       target,
       check,
       IF(
         OR(AND(check=TRUE, REGEXMATCH(target, ""SELF_AFFECTED_ALL""), job=""暗黒騎士""), AND(check="&amp;"Option!$G$13, REGEXMATCH(target, ""SINGLE_AFFECTED_ALL""))),
         buff,
         1
       )
     )
   )
 )"),1.0)</f>
        <v>1</v>
      </c>
      <c r="FH65" s="206">
        <f>IFERROR(__xludf.DUMMYFUNCTION("SUM(
   MAP(
     K$3:ED$3,
     K$7:ED$7,
     K$15:ED$15,
     K$16:ED$16,
     K$21:ED$21,
     K$5:ED$5,
     K$17:ED$17,
     K65:ED65,
     LAMBDA(
       job,
       abillity,
       buff,
       barrier,
       enhance,
       assign,
       preco"&amp;"ndition,
       check,
       IF(
         OR(AND(check=TRUE, REGEXMATCH(assign, ""SELF""), job=""暗黒騎士""), AND(check=Option!$G$13, REGEXMATCH(assign, ""SINGLE_PARTY""))),
         IF(
           OR(ARRAYFORMULA((IF(precondition="""", FALSE, REGEXMATCH($K$"&amp;"4:$ED$4, precondition))) * (K65:ED65=TRUE))),
           enhance,
           IF(barrier="""", buff, barrier)
         ),
         0
       ) *
       SWITCH(
         job,
         ""暗黒騎士"", FI$24,
         ""白魔道士"", EF65 * EH65 * FG65 * IF(abillity, 1, E"&amp;"G65 * EI65) * (Option!$D$22 * 0.81 / 100),
         ""占星術師"", EF65 * EJ65 * FG65 * IF(abillity, 1, EG65 * EK65) * (Option!$D$23 * 0.81 / 100),
         ""学者"", EF65 * EL65 * FG65 * IF(abillity, 1, EG65 * EM65) * (Option!$D$24 * 0.81 / 100),
         ""賢者"&amp;""", EF65 * EN65 * FG65 * IF(abillity, 1, EG65 * EO65) * (Option!$D$25 * 0.81 / 100),
         1
       )
     )
   )
 ) + EQ65"),0.0)</f>
        <v>0</v>
      </c>
      <c r="FI65" s="206">
        <f t="shared" si="11"/>
        <v>0</v>
      </c>
      <c r="FJ65" s="205">
        <f>IFERROR(__xludf.DUMMYFUNCTION("PRODUCT(
   MAP(
     IF($F65=""Physical"", K$10:ED$10, IF($F65=""Magic"", K$11:ED$11, K$12:ED$12)),
     IF($F65=""Physical"", K$18:ED$18, IF($F65=""Magic"", K$19:ED$19, K$20:ED$20)),
     K$3:ED$3,
     K$5:ED$5,
     K$17:ED$17,
     K65:ED65,
     LAM"&amp;"BDA(
       mitigation,
       enhance,
       job,
       assign,
       precondition,
       check,
       IF(
         OR(AND(check=TRUE, REGEXMATCH(assign, ""SELF""), job=""ガンブレイカー""), AND(check=Option!$H$13, REGEXMATCH(assign, ""SINGLE_PARTY""))),
  "&amp;"       IF(
           OR(ARRAYFORMULA((IF(precondition="""", FALSE, REGEXMATCH($K$4:$ED$4, precondition))) * (K65:ED65=TRUE))),
           enhance,
           mitigation
         ),
         1
       )
     )
   )
 ) * EE65"),1.0)</f>
        <v>1</v>
      </c>
      <c r="FK65" s="206">
        <f t="shared" si="12"/>
        <v>0</v>
      </c>
      <c r="FL65" s="205">
        <f>IFERROR(__xludf.DUMMYFUNCTION("PRODUCT(
   MAP(
     K$3:ED$3,
     K$14:ED$14,
     K$13:ED$13,
     K65:ED65,
     LAMBDA(
       job,
       buff,
       target,
       check,
       IF(
         OR(AND(check=TRUE, REGEXMATCH(target, ""SELF_AFFECTED_ALL""), job=""ガンブレイカー""), AND(che"&amp;"ck=Option!$H$13, REGEXMATCH(target, ""SINGLE_AFFECTED_ALL""))),
         buff,
         1
       )
     )
   )
 )"),1.0)</f>
        <v>1</v>
      </c>
      <c r="FM65" s="206">
        <f>IFERROR(__xludf.DUMMYFUNCTION("SUM(
   MAP(
     K$3:ED$3,
     K$7:ED$7,
     K$15:ED$15,
     K$16:ED$16,
     K$21:ED$21,
     K$5:ED$5,
     K$17:ED$17,
     K65:ED65,
     LAMBDA(
       job,
       abillity,
       buff,
       barrier,
       enhance,
       assign,
       preco"&amp;"ndition,
       check,
       IF(
         OR(AND(check=TRUE, REGEXMATCH(assign, ""SELF""), job=""ガンブレイカー""), AND(check=Option!$H$13, REGEXMATCH(assign, ""SINGLE_PARTY""))),
         IF(
           OR(ARRAYFORMULA((IF(precondition="""", FALSE, REGEXMATCH("&amp;"$K$4:$ED$4, precondition))) * (K65:ED65=TRUE))),
           enhance,
           IF(barrier="""", buff, barrier)
         ),
         0
       ) *
       SWITCH(
         job,
         ""暗黒騎士"", FN$24,
         ""白魔道士"", EF65 * EH65 * FL65 * IF(abillity, 1"&amp;", EG65 * EI65) * (Option!$D$22 * 0.81 / 100),
         ""占星術師"", EF65 * EJ65 * FL65 * IF(abillity, 1, EG65 * EK65) * (Option!$D$23 * 0.81 / 100),
         ""学者"", EF65 * EL65 * FL65 * IF(abillity, 1, EG65 * EM65) * (Option!$D$24 * 0.81 / 100),
         """&amp;"賢者"", EF65 * EN65 * FL65 * IF(abillity, 1, EG65 * EO65) * (Option!$D$25 * 0.81 / 100),
         1
       )
     )
   )
 ) + EQ65"),0.0)</f>
        <v>0</v>
      </c>
      <c r="FN65" s="206">
        <f t="shared" si="13"/>
        <v>0</v>
      </c>
      <c r="FO65" s="213"/>
    </row>
    <row r="66">
      <c r="B66" s="229"/>
      <c r="C66" s="217">
        <f t="shared" si="1"/>
        <v>0</v>
      </c>
      <c r="D66" s="236"/>
      <c r="E66" s="238"/>
      <c r="F66" s="167"/>
      <c r="G66" s="168" t="str">
        <f t="shared" si="2"/>
        <v/>
      </c>
      <c r="H66" s="169"/>
      <c r="I66" s="169"/>
      <c r="J66" s="169"/>
      <c r="K66" s="170" t="b">
        <v>0</v>
      </c>
      <c r="L66" s="170" t="b">
        <v>0</v>
      </c>
      <c r="M66" s="170" t="b">
        <v>0</v>
      </c>
      <c r="N66" s="171" t="s">
        <v>1070</v>
      </c>
      <c r="O66" s="172" t="b">
        <v>0</v>
      </c>
      <c r="P66" s="173" t="b">
        <v>0</v>
      </c>
      <c r="Q66" s="173" t="b">
        <v>0</v>
      </c>
      <c r="R66" s="173" t="b">
        <v>0</v>
      </c>
      <c r="S66" s="174" t="b">
        <v>0</v>
      </c>
      <c r="T66" s="175" t="b">
        <v>0</v>
      </c>
      <c r="U66" s="173" t="b">
        <v>0</v>
      </c>
      <c r="V66" s="171" t="s">
        <v>1070</v>
      </c>
      <c r="W66" s="172" t="b">
        <v>0</v>
      </c>
      <c r="X66" s="173" t="b">
        <v>0</v>
      </c>
      <c r="Y66" s="173" t="b">
        <v>0</v>
      </c>
      <c r="Z66" s="173" t="b">
        <v>0</v>
      </c>
      <c r="AA66" s="174" t="b">
        <v>0</v>
      </c>
      <c r="AB66" s="174" t="b">
        <v>0</v>
      </c>
      <c r="AC66" s="175" t="b">
        <v>0</v>
      </c>
      <c r="AD66" s="173" t="b">
        <v>0</v>
      </c>
      <c r="AE66" s="176" t="s">
        <v>1070</v>
      </c>
      <c r="AF66" s="171" t="s">
        <v>1070</v>
      </c>
      <c r="AG66" s="177">
        <f>IFERROR(__xludf.DUMMYFUNCTION("IF(
  ISNUMBER(AG65),
  MIN(MAX(
    AG65
    + MAX(
      ROUNDDOWN(($D66 - MAX(IFERROR(FILTER($D$24:$D65, AG$24:AG65 &lt;&gt; AF$6, AG$23:AG64 = AF$6), 0))) * (60 * 60 * 24) / AF$9) - ROUNDDOWN(($D65 - MAX(IFERROR(FILTER($D$23:$D64, AG$23:AG64 &lt;&gt; AF$6, AG$22:"&amp;"AG63 = AF$6), 0))) * (60 * 60 * 24) / 60),
      0
    )
    - COUNTIF(AF66, ""&lt;&gt;-""),
  0), AF$6),
  AF$6 - COUNTIF(AF66, ""&lt;&gt;-"")
)"),2.0)</f>
        <v>2</v>
      </c>
      <c r="AH66" s="173" t="b">
        <v>0</v>
      </c>
      <c r="AI66" s="173" t="b">
        <v>0</v>
      </c>
      <c r="AJ66" s="173" t="b">
        <v>0</v>
      </c>
      <c r="AK66" s="174" t="b">
        <v>0</v>
      </c>
      <c r="AL66" s="175" t="b">
        <v>0</v>
      </c>
      <c r="AM66" s="173" t="b">
        <v>0</v>
      </c>
      <c r="AN66" s="171" t="s">
        <v>1070</v>
      </c>
      <c r="AO66" s="173" t="b">
        <v>0</v>
      </c>
      <c r="AP66" s="173" t="b">
        <v>0</v>
      </c>
      <c r="AQ66" s="173" t="b">
        <v>0</v>
      </c>
      <c r="AR66" s="174" t="b">
        <v>0</v>
      </c>
      <c r="AS66" s="178" t="b">
        <v>0</v>
      </c>
      <c r="AT66" s="179" t="b">
        <v>0</v>
      </c>
      <c r="AU66" s="180" t="b">
        <v>0</v>
      </c>
      <c r="AV66" s="180" t="b">
        <v>0</v>
      </c>
      <c r="AW66" s="180" t="b">
        <v>0</v>
      </c>
      <c r="AX66" s="180" t="b">
        <v>0</v>
      </c>
      <c r="AY66" s="181" t="s">
        <v>1070</v>
      </c>
      <c r="AZ66" s="181" t="s">
        <v>1070</v>
      </c>
      <c r="BA66" s="184">
        <f>IFERROR(__xludf.DUMMYFUNCTION("IF(
  ISNUMBER(BA65),
  MIN(MAX(
    BA65
    + MAX(
      ROUNDDOWN((D66 - MAX(IFERROR(FILTER(D$24:D65, BA$24:BA65 &lt;&gt; AZ$6, BA$23:BA64 = AZ$6), 0))) * (60 * 60 * 24) / AZ$9) - ROUNDDOWN((D65 - MAX(IFERROR(FILTER(D$23:D64, BA$23:BA64 &lt;&gt; AZ$6, BA$22:BA63 ="&amp;" AZ$6), 0))) * (60 * 60 * 24) / AZ$9),
      0
    )
    - COUNTIF(AZ66, ""&lt;&gt;-""),
  0), AZ$6),
  AZ$6 - COUNTIF(AZ66, ""&lt;&gt;-"")
)"),2.0)</f>
        <v>2</v>
      </c>
      <c r="BB66" s="181" t="s">
        <v>1070</v>
      </c>
      <c r="BC66" s="183">
        <f>IFERROR(__xludf.DUMMYFUNCTION("IF(
  ISNUMBER(BC65),
  MIN(MAX(
    BC65
    + MAX(
      ROUNDDOWN(($D66 - MAX(IFERROR(FILTER($D$24:$D65, BC$24:BC65 &lt;&gt; BB$6, BC$23:BC64 = BB$6), 0))) * (60 * 60 * 24) / BB$9) - ROUNDDOWN(($D65 - MAX(IFERROR(FILTER($D$23:$D64, BC$23:BC64 &lt;&gt; BB$6, BC$22:"&amp;"BC63 = BB$6), 0))) * (60 * 60 * 24) / 60),
      0
    )
    - COUNTIF(BB66, ""&lt;&gt;-""),
  0), BB$6),
  BB$6 - COUNTIF(BB66, ""&lt;&gt;-"")
)"),2.0)</f>
        <v>2</v>
      </c>
      <c r="BD66" s="181" t="s">
        <v>1070</v>
      </c>
      <c r="BE66" s="178" t="b">
        <v>0</v>
      </c>
      <c r="BF66" s="180" t="b">
        <v>0</v>
      </c>
      <c r="BG66" s="180" t="b">
        <v>0</v>
      </c>
      <c r="BH66" s="180" t="b">
        <v>0</v>
      </c>
      <c r="BI66" s="180" t="b">
        <v>0</v>
      </c>
      <c r="BJ66" s="180" t="b">
        <v>0</v>
      </c>
      <c r="BK66" s="180" t="b">
        <v>0</v>
      </c>
      <c r="BL66" s="180" t="b">
        <v>0</v>
      </c>
      <c r="BM66" s="180" t="b">
        <v>0</v>
      </c>
      <c r="BN66" s="180" t="b">
        <v>0</v>
      </c>
      <c r="BO66" s="181" t="s">
        <v>1070</v>
      </c>
      <c r="BP66" s="181" t="s">
        <v>1070</v>
      </c>
      <c r="BQ66" s="181" t="s">
        <v>1070</v>
      </c>
      <c r="BR66" s="181" t="s">
        <v>1070</v>
      </c>
      <c r="BS66" s="181" t="s">
        <v>1070</v>
      </c>
      <c r="BT66" s="184">
        <f>IFERROR(__xludf.DUMMYFUNCTION("IF(
  ISNUMBER(BT65),
  MIN(MAX(
    BT65
    + MAX(
      ROUNDDOWN((D66 - MAX(IFERROR(FILTER(D$24:D65, BT$24:BT65 &lt;&gt; BS$6, BT$23:BT64 = BS$6), 0))) * (60 * 60 * 24) / BS$9) - ROUNDDOWN((D65 - MAX(IFERROR(FILTER(D$23:D64, BT$23:BT64 &lt;&gt; BS$6, BT$22:BT63 ="&amp;" BS$6), 0))) * (60 * 60 * 24) / BS$9),
      0
    )
    - COUNTIF(BS66, ""&lt;&gt;-""),
  0), BS$6),
  BS$6 - COUNTIF(BS66, ""&lt;&gt;-"")
)"),3.0)</f>
        <v>3</v>
      </c>
      <c r="BU66" s="181" t="s">
        <v>1070</v>
      </c>
      <c r="BV66" s="181" t="s">
        <v>1070</v>
      </c>
      <c r="BW66" s="184">
        <f>IFERROR(__xludf.DUMMYFUNCTION("IF(
  ISNUMBER(BW65),
  MIN(MAX(
    BW65
    + MAX(
      ROUNDDOWN((D66 - MAX(IFERROR(FILTER(D$24:D65, BW$24:BW65 &lt;&gt; BV$6, BW$23:BW64 = BV$6), 0))) * (60 * 60 * 24) / BV$9) - ROUNDDOWN((D65 - MAX(IFERROR(FILTER(D$23:D64, BW$23:BW64 &lt;&gt; BV$6, BW$22:BW63 ="&amp;" BV$6), 0))) * (60 * 60 * 24) / BV$9),
      0
    )
    - COUNTIF(BV66, ""&lt;&gt;-""),
  0), BV$6),
  BV$6 - COUNTIF(BV66, ""&lt;&gt;-"")
)"),2.0)</f>
        <v>2</v>
      </c>
      <c r="BX66" s="185" t="s">
        <v>1070</v>
      </c>
      <c r="BY66" s="178" t="b">
        <v>0</v>
      </c>
      <c r="BZ66" s="180" t="b">
        <v>0</v>
      </c>
      <c r="CA66" s="180" t="b">
        <v>0</v>
      </c>
      <c r="CB66" s="180" t="b">
        <v>0</v>
      </c>
      <c r="CC66" s="180" t="b">
        <v>0</v>
      </c>
      <c r="CD66" s="180" t="b">
        <v>0</v>
      </c>
      <c r="CE66" s="180" t="b">
        <v>0</v>
      </c>
      <c r="CF66" s="180" t="b">
        <v>0</v>
      </c>
      <c r="CG66" s="180" t="b">
        <v>0</v>
      </c>
      <c r="CH66" s="180" t="b">
        <v>0</v>
      </c>
      <c r="CI66" s="180" t="b">
        <v>0</v>
      </c>
      <c r="CJ66" s="180" t="b">
        <v>0</v>
      </c>
      <c r="CK66" s="180" t="b">
        <v>0</v>
      </c>
      <c r="CL66" s="180" t="b">
        <v>0</v>
      </c>
      <c r="CM66" s="181" t="s">
        <v>1070</v>
      </c>
      <c r="CN66" s="181" t="s">
        <v>1070</v>
      </c>
      <c r="CO66" s="181" t="s">
        <v>1070</v>
      </c>
      <c r="CP66" s="181" t="s">
        <v>1070</v>
      </c>
      <c r="CQ66" s="185" t="s">
        <v>1070</v>
      </c>
      <c r="CR66" s="180" t="b">
        <v>0</v>
      </c>
      <c r="CS66" s="186" t="str">
        <f t="shared" si="14"/>
        <v>◇◇◇</v>
      </c>
      <c r="CT66" s="178" t="b">
        <v>0</v>
      </c>
      <c r="CU66" s="180" t="b">
        <v>0</v>
      </c>
      <c r="CV66" s="180" t="b">
        <v>0</v>
      </c>
      <c r="CW66" s="180" t="b">
        <v>0</v>
      </c>
      <c r="CX66" s="180" t="b">
        <v>0</v>
      </c>
      <c r="CY66" s="180" t="b">
        <v>0</v>
      </c>
      <c r="CZ66" s="180" t="b">
        <v>0</v>
      </c>
      <c r="DA66" s="180" t="b">
        <v>0</v>
      </c>
      <c r="DB66" s="180" t="b">
        <v>0</v>
      </c>
      <c r="DC66" s="180" t="b">
        <v>0</v>
      </c>
      <c r="DD66" s="181" t="s">
        <v>1070</v>
      </c>
      <c r="DE66" s="181" t="s">
        <v>1070</v>
      </c>
      <c r="DF66" s="181" t="s">
        <v>1070</v>
      </c>
      <c r="DG66" s="185" t="s">
        <v>1070</v>
      </c>
      <c r="DH66" s="180" t="b">
        <v>0</v>
      </c>
      <c r="DI66" s="187" t="str">
        <f>IFERROR(__xludf.DUMMYFUNCTION("SWITCH(
  IF(
    ISTEXT(DI65),
    IF (
      FIND(""○"", DI65&amp;""○"") &gt; 3,
      3,
      FIND(""○"", DI65&amp;""○"")
      + MAX(
        ROUNDDOWN(($D66 - MAX(IFERROR(FILTER(D$24:D65, DI$24:DI65 &lt;&gt; ""●●●"", DI$23:DI64 = ""●●●""), 0))) * (60 * 60 * 24) / 20"&amp;") - ROUNDDOWN(($D65 - MAX(IFERROR(FILTER(D$23:D64, DI$23:DI64 &lt;&gt; ""●●●"", DI$22:DI63 = ""●●●""), 0))) * (60 * 60 * 24) / 20),
        0
      ) - 1
    ) - COUNTIFS(CU66, ""=TRUE"", CU65, ""&lt;&gt;TRUE"") - COUNTIF(CZ66, ""=TRUE"") - COUNTIF({DD66,DE66}, ""&lt;&gt;-"&amp;""") + COUNTIF(DH66, ""=TRUE""),
    3
  ),
  0, ""○○○"", 1, ""●○○"", 2, ""●●○"", 3, ""●●●"", 4, ""●●●"", ""○○○""
)"),"●●●")</f>
        <v>●●●</v>
      </c>
      <c r="DJ66" s="188" t="b">
        <v>0</v>
      </c>
      <c r="DK66" s="189" t="b">
        <v>0</v>
      </c>
      <c r="DL66" s="190" t="b">
        <v>0</v>
      </c>
      <c r="DM66" s="190" t="b">
        <v>0</v>
      </c>
      <c r="DN66" s="190" t="b">
        <v>0</v>
      </c>
      <c r="DO66" s="190" t="b">
        <v>0</v>
      </c>
      <c r="DP66" s="190" t="b">
        <v>0</v>
      </c>
      <c r="DQ66" s="191" t="b">
        <v>0</v>
      </c>
      <c r="DR66" s="192" t="b">
        <v>0</v>
      </c>
      <c r="DS66" s="191" t="b">
        <v>0</v>
      </c>
      <c r="DT66" s="192" t="b">
        <v>0</v>
      </c>
      <c r="DU66" s="191" t="b">
        <v>0</v>
      </c>
      <c r="DV66" s="193" t="s">
        <v>1070</v>
      </c>
      <c r="DW66" s="194" t="b">
        <v>0</v>
      </c>
      <c r="DX66" s="194" t="b">
        <v>0</v>
      </c>
      <c r="DY66" s="195" t="b">
        <v>0</v>
      </c>
      <c r="DZ66" s="196" t="b">
        <v>0</v>
      </c>
      <c r="EA66" s="195" t="b">
        <v>0</v>
      </c>
      <c r="EB66" s="197" t="b">
        <v>0</v>
      </c>
      <c r="EC66" s="197" t="b">
        <v>0</v>
      </c>
      <c r="ED66" s="212" t="b">
        <v>0</v>
      </c>
      <c r="EE66" s="199">
        <f>IFERROR(__xludf.DUMMYFUNCTION("IFERROR(
   PRODUCT(
     MAP(
       INDEX(TRANSPOSE(UNIQUE(TRANSPOSE(FILTER({IF($F66=""Physical"", K$10:ED$10, IF($F66=""Magic"", K$11:ED$11, K$12:ED$12));K$4:ED$4;K66:ED66}, K66:ED66=TRUE)))), 1, 0),
       INDEX(TRANSPOSE(UNIQUE(TRANSPOSE(FILTER({IF($"&amp;"F66=""Physical"", K$18:ED$18, IF($F66=""Magic"", K$19:ED$19, K$20:ED$20));K$4:ED$4;K66:ED66}, K66:ED66=TRUE)))), 1, 0),
       INDEX(TRANSPOSE(UNIQUE(TRANSPOSE(FILTER({K$5:ED$5;K$4:ED$4;K66:ED66}, K66:ED66=TRUE)))), 1, 0),
       INDEX(TRANSPOSE(UNIQUE(TR"&amp;"ANSPOSE(FILTER({K$17:ED$17;K$4:ED$4;K66:ED66}, K66:ED66=TRUE)))), 1, 0),
       LAMBDA(
         mitigation,
         enhance,
         assign,
         precondition,
         IF(
           REGEXMATCH(assign, ""RANGE_PARTY|SINGLE_ENEMY|RANGE_ENEMY""),
  "&amp;"         IF(
             OR(ARRAYFORMULA((IF(precondition="""", FALSE, REGEXMATCH(K$4:ED$4, precondition))) * (K66:ED66=TRUE))),
             IF(ISNUMBER(enhance), enhance, 1),
             IF(ISNUMBER(mitigation), mitigation, 1)
           ),
          "&amp;" 1
         )
       )
     )
   ),
   1
 )"),1.0)</f>
        <v>1</v>
      </c>
      <c r="EF66" s="200">
        <f>IFERROR(__xludf.DUMMYFUNCTION("PRODUCT(
   MAP(
     K$14:ED$14,
     K$13:ED$13,
     K66:ED66,
     LAMBDA(
       buff,
       target,
       check,
       IF(
         AND(check=TRUE, REGEXMATCH(target, ""RANGE_AFFECTED_ALL|RANGE_EFFECTED_ALL""), ISNUMBER(buff)),
         buff,
   "&amp;"      1
       )
     )
   )
 )"),1.0)</f>
        <v>1</v>
      </c>
      <c r="EG66" s="200">
        <f>IFERROR(__xludf.DUMMYFUNCTION("PRODUCT(
   MAP(
     K$14:ED$14,
     K$13:ED$13,
     K66:ED66,
     LAMBDA(
       buff,
       target,
       check,
       IF(
         AND(check=TRUE, REGEXMATCH(target, ""RANGE_AFFECTED_GCD|RANGE_EFFECTED_GCD""), ISNUMBER(buff)),
         buff,
   "&amp;"      1
       )
     )
   )
 )"),1.0)</f>
        <v>1</v>
      </c>
      <c r="EH66" s="200">
        <f>IFERROR(__xludf.DUMMYFUNCTION("PRODUCT(
   MAP(
     K$3:ED$3,
     K$14:ED$14,
     K$13:ED$13,
     K66:ED66,
     LAMBDA(
       job,
       buff,
       target,
       check,
       IF(
         AND(check=TRUE, REGEXMATCH(target, ""SELF_EFFECTED_ALL""), ISNUMBER(buff), job=""白魔道士"""&amp;"),
         buff,
         1
       )
     )
   )
 )"),1.0)</f>
        <v>1</v>
      </c>
      <c r="EI66" s="200">
        <f>IFERROR(__xludf.DUMMYFUNCTION("PRODUCT(
   MAP(
     K$3:ED$3,
     K$14:ED$14,
     K$13:ED$13,
     K66:ED66,
     LAMBDA(
       job,
       buff,
       target,
       check,
       IF(
         AND(check=TRUE, REGEXMATCH(target, ""SELF_EFFECTED_GCD""), ISNUMBER(buff), job=""白魔道士"""&amp;"),
         buff,
         1
       )
     )
   )
 )"),1.0)</f>
        <v>1</v>
      </c>
      <c r="EJ66" s="200">
        <f>IFERROR(__xludf.DUMMYFUNCTION("PRODUCT(
   MAP(
     K$3:ED$3,
     K$14:ED$14,
     K$13:ED$13,
     K66:ED66,
     LAMBDA(
       job,
       buff,
       target,
       check,
       IF(
         AND(check=TRUE, REGEXMATCH(target, ""SELF_EFFECTED_ALL""), ISNUMBER(buff), job=""占星術師"""&amp;"),
         buff,
         1
       )
     )
   )
 )"),1.0)</f>
        <v>1</v>
      </c>
      <c r="EK66" s="200">
        <f>IFERROR(__xludf.DUMMYFUNCTION("PRODUCT(
   MAP(
     K$3:ED$3,
     K$14:ED$14,
     K$13:ED$13,
     K66:ED66,
     LAMBDA(
       job,
       buff,
       target,
       check,
       IF(
         AND(check=TRUE, REGEXMATCH(target, ""SELF_EFFECTED_GCD""), ISNUMBER(buff), job=""占星術師"""&amp;"),
         buff,
         1
       )
     )
   )
 )"),1.0)</f>
        <v>1</v>
      </c>
      <c r="EL66" s="200">
        <f>IFERROR(__xludf.DUMMYFUNCTION("PRODUCT(
   MAP(
     K$3:ED$3,
     K$14:ED$14,
     K$13:ED$13,
     K66:ED66,
     LAMBDA(
       job,
       buff,
       target,
       check,
       IF(
         AND(check=TRUE, REGEXMATCH(target, ""SELF_EFFECTED_ALL""), ISNUMBER(buff), job=""学者""),"&amp;"
         buff,
         1
       )
     )
   )
 )"),1.0)</f>
        <v>1</v>
      </c>
      <c r="EM66" s="200">
        <f>IFERROR(__xludf.DUMMYFUNCTION("PRODUCT(
   MAP(
     K$3:ED$3,
     K$14:ED$14,
     K$13:ED$13,
     K66:ED66,
     LAMBDA(
       job,
       buff,
       target,
       check,
       IF(
         AND(check=TRUE, REGEXMATCH(target, ""SELF_EFFECTED_GCD""), ISNUMBER(buff), job=""学者""),"&amp;"
         buff,
         1
       )
     )
   )
 )"),1.0)</f>
        <v>1</v>
      </c>
      <c r="EN66" s="200">
        <f>IFERROR(__xludf.DUMMYFUNCTION("PRODUCT(
   MAP(
     K$3:ED$3,
     K$14:ED$14,
     K$13:ED$13,
     K66:ED66,
     LAMBDA(
       job,
       buff,
       target,
       check,
       IF(
         AND(check=TRUE, REGEXMATCH(target, ""SELF_EFFECTED_ALL""), ISNUMBER(buff), job=""賢者""),"&amp;"
         buff,
         1
       )
     )
   )
 )"),1.0)</f>
        <v>1</v>
      </c>
      <c r="EO66" s="200">
        <f>IFERROR(__xludf.DUMMYFUNCTION("PRODUCT(
   MAP(
     K$3:ED$3,
     K$14:ED$14,
     K$13:ED$13,
     K66:ED66,
     LAMBDA(
       job,
       buff,
       target,
       check,
       IF(
         AND(check=TRUE, REGEXMATCH(target, ""SELF_EFFECTED_GCD""), ISNUMBER(buff), job=""賢者""),"&amp;"
         buff,
         1
       )
     )
   )
 )"),1.0)</f>
        <v>1</v>
      </c>
      <c r="EP66" s="201">
        <f t="shared" si="3"/>
        <v>0</v>
      </c>
      <c r="EQ66" s="201">
        <f>IFERROR(__xludf.DUMMYFUNCTION("SUM(
   MAP(
     K$4:ED$4,
     K$3:ED$3,
     K$7:ED$7,
     K$15:ED$15,
     K$16:ED$16,
     K$21:ED$21,
     K$5:ED$5,
     K$17:ED$17,
     K66:ED66,
     LAMBDA(
       name,
       job,
       abillity,
       buff,
       barrier,
       enhance,"&amp;"
       assign,
       precondition,
       check,
       SWITCH(
         name,
         ""シェイクオフ"", IF(check=TRUE, buff + (0.02 * COUNTIF(ARRAYFORMULA((REGEXMATCH($K$4:$ED$4, ""スリル・オブ・バトル|ヴェンジェンス|原初の血気|ダムネーション"")) * (K66:ED66=TRUE)), 1)), 0),
         "&amp;"""インプロビゼーションフィニッシュ(踊りの激情0)"", IF(ISNUMBER(check), INDEX(Skill!$AJ:$AJ, MATCH(SUBSTITUTE(DV$4, 0, check), Skill!$C:$C, 0)), 0),
         IF(
           AND(check=TRUE, REGEXMATCH(assign, ""RANGE_PARTY"")),
           IF(
             OR(ARRAYFORMULA((IF(pr"&amp;"econdition="""", FALSE, REGEXMATCH($K$4:$ED$4, precondition))) * (K66:ED66=TRUE))),
             enhance,
             IF(barrier="""", buff, barrier)
           ),
           0
         )
       ) *
       SWITCH(
         job,
         ""ナイト"", EY$24,
 "&amp;"        ""戦士"", FD$24,
         ""踊り子"", ET$24,
         ""ピクトマンサー"", ET$24,
         ""白魔道士"", EF66 * EH66 * IF(abillity, 1, EG66 * EI66) * (Option!$D$22 * 0.81 / 100),
         ""占星術師"", EF66 * EJ66 * IF(abillity, 1, EG66 * EK66) * (Option!$D$23 * 0.81 "&amp;"/ 100),
         ""学者"", EF66 * EL66 * IF(abillity, 1, EG66 * EM66) * (Option!$D$24 * 0.81 / 100),
         ""賢者"", EF66 * EN66 * IF(abillity, 1, EG66 * EO66) * (Option!$D$25 * 0.81 / 100),
         1
       )
     )
   )
 )"),0.0)</f>
        <v>0</v>
      </c>
      <c r="ER66" s="202">
        <f t="shared" si="4"/>
        <v>0</v>
      </c>
      <c r="ES66" s="203">
        <f t="shared" si="5"/>
        <v>0</v>
      </c>
      <c r="ET66" s="231" t="str">
        <f>IFERROR(__xludf.DUMMYFUNCTION("IFS(
  EP66 &gt; $ET$24 + EQ66,
  SPARKLINE({ 1, 0 }, {""charttype"",""bar"";""max"", 1;""color1"",Option!$D$30;""color2"",Option!$D$30}),
  EP66 &lt; EQ66,
  SPARKLINE({EQ66 - EP66, $ET$24 - (EQ66 - EP66)}, {""charttype"",""bar"";""max"",$ET$24;""color1"",Opti"&amp;"on!$D$28;""color2"",Option!$D$29}),
  EP66 &gt;= EQ66,
  SPARKLINE({$ET$24 + EQ66 - EP66,EP66 - EQ66}, {""charttype"",""bar"";""max"",$ET$24;""color1"",Option!$D$29;""color2"",Option!$D$30})
)"),"")</f>
        <v/>
      </c>
      <c r="EU66" s="205">
        <f>IFERROR(__xludf.DUMMYFUNCTION("PRODUCT(
   MAP(
     IF($F66=""Physical"", K$10:ED$10, IF($F66=""Magic"", K$11:ED$11, K$12:ED$12)),
     IF($F66=""Physical"", K$18:ED$18, IF($F66=""Magic"", K$19:ED$19, K$20:ED$20)),
     K$3:ED$3,
     K$5:ED$5,
     K$17:ED$17,
     K66:ED66,
     LAM"&amp;"BDA(
       mitigation,
       enhance,
       job,
       assign,
       precondition,
       check,
       IF(
         OR(AND(check=TRUE, REGEXMATCH(assign, ""SELF""), job=""ナイト""), AND(check=Option!$E$13, REGEXMATCH(assign, ""SINGLE_PARTY""))),
      "&amp;"   IF(
           OR(ARRAYFORMULA((IF(precondition="""", FALSE, REGEXMATCH($K$4:$ED$4, precondition))) * (K66:ED66=TRUE))),
           enhance,
           mitigation
         ),
         1
       )
     )
   )
 ) * EE66"),1.0)</f>
        <v>1</v>
      </c>
      <c r="EV66" s="206">
        <f t="shared" si="6"/>
        <v>0</v>
      </c>
      <c r="EW66" s="205">
        <f>IFERROR(__xludf.DUMMYFUNCTION("PRODUCT(
   MAP(
     K$3:ED$3,
     K$14:ED$14,
     K$13:ED$13,
     K66:ED66,
     LAMBDA(
       job,
       buff,
       target,
       check,
       IF(
         OR(AND(check=TRUE, REGEXMATCH(target, ""SELF_AFFECTED_ALL""), job=""ナイト""), AND(check=O"&amp;"ption!$E$13, REGEXMATCH(target, ""SINGLE_AFFECTED_ALL""))),
         buff,
         1
       )
     )
   )
 )"),1.0)</f>
        <v>1</v>
      </c>
      <c r="EX66" s="206">
        <f>IFERROR(__xludf.DUMMYFUNCTION("SUM(
   MAP(
     K$3:ED$3,
     K$7:ED$7,
     K$15:ED$15,
     K$16:ED$16,
     K$21:ED$21,
     K$5:ED$5,
     K$17:ED$17,
     K66:ED66,
     LAMBDA(
       job,
       abillity,
       buff,
       barrier,
       enhance,
       assign,
       preco"&amp;"ndition,
       check,
       IF(
         OR(AND(check=TRUE, REGEXMATCH(assign, ""SELF""), job=""ナイト""), AND(check=Option!$E$13, REGEXMATCH(assign, ""SINGLE_PARTY""))),
         IF(
           OR(ARRAYFORMULA((IF(precondition="""", FALSE, REGEXMATCH($K$4"&amp;":$ED$4, precondition))) * (K66:ED66=TRUE))),
           enhance,
           IF(barrier="""", buff, barrier)
         ),
         0
       ) *
       SWITCH(
         job,
         ""暗黒騎士"", EY$24,
         ""白魔道士"", EF66 * EH66 * EW66 * IF(abillity, 1, EG"&amp;"66 * EI66) * (Option!$D$22 * 0.81 / 100),
         ""占星術師"", EF66 * EJ66 * EW66 * IF(abillity, 1, EG66 * EK66) * (Option!$D$23 * 0.81 / 100),
         ""学者"", EF66 * EL66 * EW66 * IF(abillity, 1, EG66 * EM66) * (Option!$D$24 * 0.81 / 100),
         ""賢者"""&amp;", EF66 * EN66 * EW66 * IF(abillity, 1, EG66 * EO66) * (Option!$D$25 * 0.81 / 100),
         1
       )
     )
   )
 ) + EQ66"),0.0)</f>
        <v>0</v>
      </c>
      <c r="EY66" s="232">
        <f t="shared" si="7"/>
        <v>0</v>
      </c>
      <c r="EZ66" s="205">
        <f>IFERROR(__xludf.DUMMYFUNCTION("PRODUCT(
   MAP(
     IF($F66=""Physical"", K$10:ED$10, IF($F66=""Magic"", K$11:ED$11, K$12:ED$12)),
     IF($F66=""Physical"", K$18:ED$18, IF($F66=""Magic"", K$19:ED$19, K$20:ED$20)),
     K$3:ED$3,
     K$5:ED$5,
     K$17:ED$17,
     K66:ED66,
     LAM"&amp;"BDA(
       mitigation,
       enhance,
       job,
       assign,
       precondition,
       check,
       IF(
         OR(AND(check=TRUE, REGEXMATCH(assign, ""SELF""), job=""戦士""), AND(check=Option!$F$13, REGEXMATCH(assign, ""SINGLE_PARTY""))),
       "&amp;"  IF(
           OR(ARRAYFORMULA((IF(precondition="""", FALSE, REGEXMATCH($K$4:$ED$4, precondition))) * (K66:ED66=TRUE))),
           enhance,
           mitigation
         ),
         1
       )
     )
   )
 ) * EE66"),1.0)</f>
        <v>1</v>
      </c>
      <c r="FA66" s="206">
        <f t="shared" si="8"/>
        <v>0</v>
      </c>
      <c r="FB66" s="205">
        <f>IFERROR(__xludf.DUMMYFUNCTION("PRODUCT(
   MAP(
     K$3:ED$3,
     K$14:ED$14,
     K$13:ED$13,
     K66:ED66,
     LAMBDA(
       job,
       buff,
       target,
       check,
       IF(
         OR(AND(check=TRUE, REGEXMATCH(target, ""SELF_AFFECTED_ALL""), job=""戦士""), AND(check=Op"&amp;"tion!$F$13, REGEXMATCH(target, ""SINGLE_AFFECTED_ALL""))),
         buff,
         1
       )
     )
   )
 )"),1.0)</f>
        <v>1</v>
      </c>
      <c r="FC66" s="206">
        <f>IFERROR(__xludf.DUMMYFUNCTION("SUM(
   MAP(
     K$3:ED$3,
     K$7:ED$7,
     K$15:ED$15,
     K$16:ED$16,
     K$21:ED$21,
     K$5:ED$5,
     K$17:ED$17,
     K66:ED66,
     LAMBDA(
       job,
       abillity,
       buff,
       barrier,
       enhance,
       assign,
       preco"&amp;"ndition,
       check,
       IF(
         OR(AND(check=TRUE, REGEXMATCH(assign, ""SELF""), job=""戦士""), AND(check=Option!$F$13, REGEXMATCH(assign, ""SINGLE_PARTY""))),
         IF(
           OR(ARRAYFORMULA((IF(precondition="""", FALSE, REGEXMATCH($K$4:"&amp;"$ED$4, precondition))) * (K66:ED66=TRUE))),
           enhance,
           IF(barrier="""", buff, barrier)
         ),
         0
       ) *
       SWITCH(
         job,
         ""暗黒騎士"", FD$24,
         ""白魔道士"", EF66 * EH66 * FB66 * IF(abillity, 1, EG6"&amp;"6 * EI66) * (Option!$D$22 * 0.81 / 100),
         ""占星術師"", EF66 * EJ66 * FFB66 * IF(abillity, 1, EG66 * EK66) * (Option!$D$23 * 0.81 / 100),
         ""学者"", EF66 * EL66 * FB66 * IF(abillity, 1, EG66 * EM66) * (Option!$D$24 * 0.81 / 100),
         ""賢者"""&amp;", EF66 * EN66 * FB66 * IF(abillity, 1, EG66 * EO66) * (Option!$D$25 * 0.81 / 100),
         1
       )
     )
   )
 ) + EQ66"),0.0)</f>
        <v>0</v>
      </c>
      <c r="FD66" s="206">
        <f t="shared" si="9"/>
        <v>0</v>
      </c>
      <c r="FE66" s="205">
        <f>IFERROR(__xludf.DUMMYFUNCTION("PRODUCT(
   MAP(
     IF($F66=""Physical"", K$10:ED$10, IF($F66=""Magic"", K$11:ED$11, K$12:ED$12)),
     IF($F66=""Physical"", K$18:ED$18, IF($F66=""Magic"", K$19:ED$19, K$20:ED$20)),
     K$3:ED$3,
     K$5:ED$5,
     K$17:ED$17,
     K66:ED66,
     LAM"&amp;"BDA(
       mitigation,
       enhance,
       job,
       assign,
       precondition,
       check,
       IF(
         OR(AND(check=TRUE, REGEXMATCH(assign, ""SELF""), job=""暗黒騎士""), AND(check=Option!$G$13, REGEXMATCH(assign, ""SINGLE_PARTY""))),
     "&amp;"    IF(
           OR(ARRAYFORMULA((IF(precondition="""", FALSE, REGEXMATCH($K$4:$ED$4, precondition))) * (K66:ED66=TRUE))),
           enhance,
           mitigation
         ),
         1
       )
     )
   )
 ) * EE66"),1.0)</f>
        <v>1</v>
      </c>
      <c r="FF66" s="206">
        <f t="shared" si="10"/>
        <v>0</v>
      </c>
      <c r="FG66" s="205">
        <f>IFERROR(__xludf.DUMMYFUNCTION("PRODUCT(
   MAP(
     K$3:ED$3,
     K$14:ED$14,
     K$13:ED$13,
     K66:ED66,
     LAMBDA(
       job,
       buff,
       target,
       check,
       IF(
         OR(AND(check=TRUE, REGEXMATCH(target, ""SELF_AFFECTED_ALL""), job=""暗黒騎士""), AND(check="&amp;"Option!$G$13, REGEXMATCH(target, ""SINGLE_AFFECTED_ALL""))),
         buff,
         1
       )
     )
   )
 )"),1.0)</f>
        <v>1</v>
      </c>
      <c r="FH66" s="206">
        <f>IFERROR(__xludf.DUMMYFUNCTION("SUM(
   MAP(
     K$3:ED$3,
     K$7:ED$7,
     K$15:ED$15,
     K$16:ED$16,
     K$21:ED$21,
     K$5:ED$5,
     K$17:ED$17,
     K66:ED66,
     LAMBDA(
       job,
       abillity,
       buff,
       barrier,
       enhance,
       assign,
       preco"&amp;"ndition,
       check,
       IF(
         OR(AND(check=TRUE, REGEXMATCH(assign, ""SELF""), job=""暗黒騎士""), AND(check=Option!$G$13, REGEXMATCH(assign, ""SINGLE_PARTY""))),
         IF(
           OR(ARRAYFORMULA((IF(precondition="""", FALSE, REGEXMATCH($K$"&amp;"4:$ED$4, precondition))) * (K66:ED66=TRUE))),
           enhance,
           IF(barrier="""", buff, barrier)
         ),
         0
       ) *
       SWITCH(
         job,
         ""暗黒騎士"", FI$24,
         ""白魔道士"", EF66 * EH66 * FG66 * IF(abillity, 1, E"&amp;"G66 * EI66) * (Option!$D$22 * 0.81 / 100),
         ""占星術師"", EF66 * EJ66 * FG66 * IF(abillity, 1, EG66 * EK66) * (Option!$D$23 * 0.81 / 100),
         ""学者"", EF66 * EL66 * FG66 * IF(abillity, 1, EG66 * EM66) * (Option!$D$24 * 0.81 / 100),
         ""賢者"&amp;""", EF66 * EN66 * FG66 * IF(abillity, 1, EG66 * EO66) * (Option!$D$25 * 0.81 / 100),
         1
       )
     )
   )
 ) + EQ66"),0.0)</f>
        <v>0</v>
      </c>
      <c r="FI66" s="206">
        <f t="shared" si="11"/>
        <v>0</v>
      </c>
      <c r="FJ66" s="205">
        <f>IFERROR(__xludf.DUMMYFUNCTION("PRODUCT(
   MAP(
     IF($F66=""Physical"", K$10:ED$10, IF($F66=""Magic"", K$11:ED$11, K$12:ED$12)),
     IF($F66=""Physical"", K$18:ED$18, IF($F66=""Magic"", K$19:ED$19, K$20:ED$20)),
     K$3:ED$3,
     K$5:ED$5,
     K$17:ED$17,
     K66:ED66,
     LAM"&amp;"BDA(
       mitigation,
       enhance,
       job,
       assign,
       precondition,
       check,
       IF(
         OR(AND(check=TRUE, REGEXMATCH(assign, ""SELF""), job=""ガンブレイカー""), AND(check=Option!$H$13, REGEXMATCH(assign, ""SINGLE_PARTY""))),
  "&amp;"       IF(
           OR(ARRAYFORMULA((IF(precondition="""", FALSE, REGEXMATCH($K$4:$ED$4, precondition))) * (K66:ED66=TRUE))),
           enhance,
           mitigation
         ),
         1
       )
     )
   )
 ) * EE66"),1.0)</f>
        <v>1</v>
      </c>
      <c r="FK66" s="206">
        <f t="shared" si="12"/>
        <v>0</v>
      </c>
      <c r="FL66" s="205">
        <f>IFERROR(__xludf.DUMMYFUNCTION("PRODUCT(
   MAP(
     K$3:ED$3,
     K$14:ED$14,
     K$13:ED$13,
     K66:ED66,
     LAMBDA(
       job,
       buff,
       target,
       check,
       IF(
         OR(AND(check=TRUE, REGEXMATCH(target, ""SELF_AFFECTED_ALL""), job=""ガンブレイカー""), AND(che"&amp;"ck=Option!$H$13, REGEXMATCH(target, ""SINGLE_AFFECTED_ALL""))),
         buff,
         1
       )
     )
   )
 )"),1.0)</f>
        <v>1</v>
      </c>
      <c r="FM66" s="206">
        <f>IFERROR(__xludf.DUMMYFUNCTION("SUM(
   MAP(
     K$3:ED$3,
     K$7:ED$7,
     K$15:ED$15,
     K$16:ED$16,
     K$21:ED$21,
     K$5:ED$5,
     K$17:ED$17,
     K66:ED66,
     LAMBDA(
       job,
       abillity,
       buff,
       barrier,
       enhance,
       assign,
       preco"&amp;"ndition,
       check,
       IF(
         OR(AND(check=TRUE, REGEXMATCH(assign, ""SELF""), job=""ガンブレイカー""), AND(check=Option!$H$13, REGEXMATCH(assign, ""SINGLE_PARTY""))),
         IF(
           OR(ARRAYFORMULA((IF(precondition="""", FALSE, REGEXMATCH("&amp;"$K$4:$ED$4, precondition))) * (K66:ED66=TRUE))),
           enhance,
           IF(barrier="""", buff, barrier)
         ),
         0
       ) *
       SWITCH(
         job,
         ""暗黒騎士"", FN$24,
         ""白魔道士"", EF66 * EH66 * FL66 * IF(abillity, 1"&amp;", EG66 * EI66) * (Option!$D$22 * 0.81 / 100),
         ""占星術師"", EF66 * EJ66 * FL66 * IF(abillity, 1, EG66 * EK66) * (Option!$D$23 * 0.81 / 100),
         ""学者"", EF66 * EL66 * FL66 * IF(abillity, 1, EG66 * EM66) * (Option!$D$24 * 0.81 / 100),
         """&amp;"賢者"", EF66 * EN66 * FL66 * IF(abillity, 1, EG66 * EO66) * (Option!$D$25 * 0.81 / 100),
         1
       )
     )
   )
 ) + EQ66"),0.0)</f>
        <v>0</v>
      </c>
      <c r="FN66" s="206">
        <f t="shared" si="13"/>
        <v>0</v>
      </c>
      <c r="FO66" s="213"/>
    </row>
    <row r="67">
      <c r="B67" s="229"/>
      <c r="C67" s="217">
        <f t="shared" si="1"/>
        <v>0</v>
      </c>
      <c r="D67" s="236"/>
      <c r="E67" s="238"/>
      <c r="F67" s="167"/>
      <c r="G67" s="168" t="str">
        <f t="shared" si="2"/>
        <v/>
      </c>
      <c r="H67" s="169"/>
      <c r="I67" s="169"/>
      <c r="J67" s="169"/>
      <c r="K67" s="170" t="b">
        <v>0</v>
      </c>
      <c r="L67" s="170" t="b">
        <v>0</v>
      </c>
      <c r="M67" s="170" t="b">
        <v>0</v>
      </c>
      <c r="N67" s="171" t="s">
        <v>1070</v>
      </c>
      <c r="O67" s="172" t="b">
        <v>0</v>
      </c>
      <c r="P67" s="173" t="b">
        <v>0</v>
      </c>
      <c r="Q67" s="173" t="b">
        <v>0</v>
      </c>
      <c r="R67" s="173" t="b">
        <v>0</v>
      </c>
      <c r="S67" s="174" t="b">
        <v>0</v>
      </c>
      <c r="T67" s="175" t="b">
        <v>0</v>
      </c>
      <c r="U67" s="173" t="b">
        <v>0</v>
      </c>
      <c r="V67" s="171" t="s">
        <v>1070</v>
      </c>
      <c r="W67" s="172" t="b">
        <v>0</v>
      </c>
      <c r="X67" s="173" t="b">
        <v>0</v>
      </c>
      <c r="Y67" s="173" t="b">
        <v>0</v>
      </c>
      <c r="Z67" s="173" t="b">
        <v>0</v>
      </c>
      <c r="AA67" s="174" t="b">
        <v>0</v>
      </c>
      <c r="AB67" s="174" t="b">
        <v>0</v>
      </c>
      <c r="AC67" s="175" t="b">
        <v>0</v>
      </c>
      <c r="AD67" s="173" t="b">
        <v>0</v>
      </c>
      <c r="AE67" s="176" t="s">
        <v>1070</v>
      </c>
      <c r="AF67" s="171" t="s">
        <v>1070</v>
      </c>
      <c r="AG67" s="177">
        <f>IFERROR(__xludf.DUMMYFUNCTION("IF(
  ISNUMBER(AG66),
  MIN(MAX(
    AG66
    + MAX(
      ROUNDDOWN(($D67 - MAX(IFERROR(FILTER($D$24:$D66, AG$24:AG66 &lt;&gt; AF$6, AG$23:AG65 = AF$6), 0))) * (60 * 60 * 24) / AF$9) - ROUNDDOWN(($D66 - MAX(IFERROR(FILTER($D$23:$D65, AG$23:AG65 &lt;&gt; AF$6, AG$22:"&amp;"AG64 = AF$6), 0))) * (60 * 60 * 24) / 60),
      0
    )
    - COUNTIF(AF67, ""&lt;&gt;-""),
  0), AF$6),
  AF$6 - COUNTIF(AF67, ""&lt;&gt;-"")
)"),2.0)</f>
        <v>2</v>
      </c>
      <c r="AH67" s="173" t="b">
        <v>0</v>
      </c>
      <c r="AI67" s="173" t="b">
        <v>0</v>
      </c>
      <c r="AJ67" s="173" t="b">
        <v>0</v>
      </c>
      <c r="AK67" s="174" t="b">
        <v>0</v>
      </c>
      <c r="AL67" s="175" t="b">
        <v>0</v>
      </c>
      <c r="AM67" s="173" t="b">
        <v>0</v>
      </c>
      <c r="AN67" s="171" t="s">
        <v>1070</v>
      </c>
      <c r="AO67" s="173" t="b">
        <v>0</v>
      </c>
      <c r="AP67" s="173" t="b">
        <v>0</v>
      </c>
      <c r="AQ67" s="173" t="b">
        <v>0</v>
      </c>
      <c r="AR67" s="174" t="b">
        <v>0</v>
      </c>
      <c r="AS67" s="178" t="b">
        <v>0</v>
      </c>
      <c r="AT67" s="179" t="b">
        <v>0</v>
      </c>
      <c r="AU67" s="180" t="b">
        <v>0</v>
      </c>
      <c r="AV67" s="180" t="b">
        <v>0</v>
      </c>
      <c r="AW67" s="180" t="b">
        <v>0</v>
      </c>
      <c r="AX67" s="180" t="b">
        <v>0</v>
      </c>
      <c r="AY67" s="181" t="s">
        <v>1070</v>
      </c>
      <c r="AZ67" s="181" t="s">
        <v>1070</v>
      </c>
      <c r="BA67" s="184">
        <f>IFERROR(__xludf.DUMMYFUNCTION("IF(
  ISNUMBER(BA66),
  MIN(MAX(
    BA66
    + MAX(
      ROUNDDOWN((D67 - MAX(IFERROR(FILTER(D$24:D66, BA$24:BA66 &lt;&gt; AZ$6, BA$23:BA65 = AZ$6), 0))) * (60 * 60 * 24) / AZ$9) - ROUNDDOWN((D66 - MAX(IFERROR(FILTER(D$23:D65, BA$23:BA65 &lt;&gt; AZ$6, BA$22:BA64 ="&amp;" AZ$6), 0))) * (60 * 60 * 24) / AZ$9),
      0
    )
    - COUNTIF(AZ67, ""&lt;&gt;-""),
  0), AZ$6),
  AZ$6 - COUNTIF(AZ67, ""&lt;&gt;-"")
)"),2.0)</f>
        <v>2</v>
      </c>
      <c r="BB67" s="181" t="s">
        <v>1070</v>
      </c>
      <c r="BC67" s="183">
        <f>IFERROR(__xludf.DUMMYFUNCTION("IF(
  ISNUMBER(BC66),
  MIN(MAX(
    BC66
    + MAX(
      ROUNDDOWN(($D67 - MAX(IFERROR(FILTER($D$24:$D66, BC$24:BC66 &lt;&gt; BB$6, BC$23:BC65 = BB$6), 0))) * (60 * 60 * 24) / BB$9) - ROUNDDOWN(($D66 - MAX(IFERROR(FILTER($D$23:$D65, BC$23:BC65 &lt;&gt; BB$6, BC$22:"&amp;"BC64 = BB$6), 0))) * (60 * 60 * 24) / 60),
      0
    )
    - COUNTIF(BB67, ""&lt;&gt;-""),
  0), BB$6),
  BB$6 - COUNTIF(BB67, ""&lt;&gt;-"")
)"),2.0)</f>
        <v>2</v>
      </c>
      <c r="BD67" s="181" t="s">
        <v>1070</v>
      </c>
      <c r="BE67" s="178" t="b">
        <v>0</v>
      </c>
      <c r="BF67" s="180" t="b">
        <v>0</v>
      </c>
      <c r="BG67" s="180" t="b">
        <v>0</v>
      </c>
      <c r="BH67" s="180" t="b">
        <v>0</v>
      </c>
      <c r="BI67" s="180" t="b">
        <v>0</v>
      </c>
      <c r="BJ67" s="180" t="b">
        <v>0</v>
      </c>
      <c r="BK67" s="180" t="b">
        <v>0</v>
      </c>
      <c r="BL67" s="180" t="b">
        <v>0</v>
      </c>
      <c r="BM67" s="180" t="b">
        <v>0</v>
      </c>
      <c r="BN67" s="180" t="b">
        <v>0</v>
      </c>
      <c r="BO67" s="181" t="s">
        <v>1070</v>
      </c>
      <c r="BP67" s="181" t="s">
        <v>1070</v>
      </c>
      <c r="BQ67" s="181" t="s">
        <v>1070</v>
      </c>
      <c r="BR67" s="181" t="s">
        <v>1070</v>
      </c>
      <c r="BS67" s="181" t="s">
        <v>1070</v>
      </c>
      <c r="BT67" s="184">
        <f>IFERROR(__xludf.DUMMYFUNCTION("IF(
  ISNUMBER(BT66),
  MIN(MAX(
    BT66
    + MAX(
      ROUNDDOWN((D67 - MAX(IFERROR(FILTER(D$24:D66, BT$24:BT66 &lt;&gt; BS$6, BT$23:BT65 = BS$6), 0))) * (60 * 60 * 24) / BS$9) - ROUNDDOWN((D66 - MAX(IFERROR(FILTER(D$23:D65, BT$23:BT65 &lt;&gt; BS$6, BT$22:BT64 ="&amp;" BS$6), 0))) * (60 * 60 * 24) / BS$9),
      0
    )
    - COUNTIF(BS67, ""&lt;&gt;-""),
  0), BS$6),
  BS$6 - COUNTIF(BS67, ""&lt;&gt;-"")
)"),3.0)</f>
        <v>3</v>
      </c>
      <c r="BU67" s="181" t="s">
        <v>1070</v>
      </c>
      <c r="BV67" s="181" t="s">
        <v>1070</v>
      </c>
      <c r="BW67" s="184">
        <f>IFERROR(__xludf.DUMMYFUNCTION("IF(
  ISNUMBER(BW66),
  MIN(MAX(
    BW66
    + MAX(
      ROUNDDOWN((D67 - MAX(IFERROR(FILTER(D$24:D66, BW$24:BW66 &lt;&gt; BV$6, BW$23:BW65 = BV$6), 0))) * (60 * 60 * 24) / BV$9) - ROUNDDOWN((D66 - MAX(IFERROR(FILTER(D$23:D65, BW$23:BW65 &lt;&gt; BV$6, BW$22:BW64 ="&amp;" BV$6), 0))) * (60 * 60 * 24) / BV$9),
      0
    )
    - COUNTIF(BV67, ""&lt;&gt;-""),
  0), BV$6),
  BV$6 - COUNTIF(BV67, ""&lt;&gt;-"")
)"),2.0)</f>
        <v>2</v>
      </c>
      <c r="BX67" s="185" t="s">
        <v>1070</v>
      </c>
      <c r="BY67" s="178" t="b">
        <v>0</v>
      </c>
      <c r="BZ67" s="180" t="b">
        <v>0</v>
      </c>
      <c r="CA67" s="180" t="b">
        <v>0</v>
      </c>
      <c r="CB67" s="180" t="b">
        <v>0</v>
      </c>
      <c r="CC67" s="180" t="b">
        <v>0</v>
      </c>
      <c r="CD67" s="180" t="b">
        <v>0</v>
      </c>
      <c r="CE67" s="180" t="b">
        <v>0</v>
      </c>
      <c r="CF67" s="180" t="b">
        <v>0</v>
      </c>
      <c r="CG67" s="180" t="b">
        <v>0</v>
      </c>
      <c r="CH67" s="180" t="b">
        <v>0</v>
      </c>
      <c r="CI67" s="180" t="b">
        <v>0</v>
      </c>
      <c r="CJ67" s="180" t="b">
        <v>0</v>
      </c>
      <c r="CK67" s="180" t="b">
        <v>0</v>
      </c>
      <c r="CL67" s="180" t="b">
        <v>0</v>
      </c>
      <c r="CM67" s="181" t="s">
        <v>1070</v>
      </c>
      <c r="CN67" s="181" t="s">
        <v>1070</v>
      </c>
      <c r="CO67" s="181" t="s">
        <v>1070</v>
      </c>
      <c r="CP67" s="181" t="s">
        <v>1070</v>
      </c>
      <c r="CQ67" s="185" t="s">
        <v>1070</v>
      </c>
      <c r="CR67" s="180" t="b">
        <v>0</v>
      </c>
      <c r="CS67" s="186" t="str">
        <f t="shared" si="14"/>
        <v>◇◇◇</v>
      </c>
      <c r="CT67" s="178" t="b">
        <v>0</v>
      </c>
      <c r="CU67" s="180" t="b">
        <v>0</v>
      </c>
      <c r="CV67" s="180" t="b">
        <v>0</v>
      </c>
      <c r="CW67" s="180" t="b">
        <v>0</v>
      </c>
      <c r="CX67" s="180" t="b">
        <v>0</v>
      </c>
      <c r="CY67" s="180" t="b">
        <v>0</v>
      </c>
      <c r="CZ67" s="180" t="b">
        <v>0</v>
      </c>
      <c r="DA67" s="180" t="b">
        <v>0</v>
      </c>
      <c r="DB67" s="180" t="b">
        <v>0</v>
      </c>
      <c r="DC67" s="180" t="b">
        <v>0</v>
      </c>
      <c r="DD67" s="181" t="s">
        <v>1070</v>
      </c>
      <c r="DE67" s="181" t="s">
        <v>1070</v>
      </c>
      <c r="DF67" s="181" t="s">
        <v>1070</v>
      </c>
      <c r="DG67" s="185" t="s">
        <v>1070</v>
      </c>
      <c r="DH67" s="180" t="b">
        <v>0</v>
      </c>
      <c r="DI67" s="187" t="str">
        <f>IFERROR(__xludf.DUMMYFUNCTION("SWITCH(
  IF(
    ISTEXT(DI66),
    IF (
      FIND(""○"", DI66&amp;""○"") &gt; 3,
      3,
      FIND(""○"", DI66&amp;""○"")
      + MAX(
        ROUNDDOWN(($D67 - MAX(IFERROR(FILTER(D$24:D66, DI$24:DI66 &lt;&gt; ""●●●"", DI$23:DI65 = ""●●●""), 0))) * (60 * 60 * 24) / 20"&amp;") - ROUNDDOWN(($D66 - MAX(IFERROR(FILTER(D$23:D65, DI$23:DI65 &lt;&gt; ""●●●"", DI$22:DI64 = ""●●●""), 0))) * (60 * 60 * 24) / 20),
        0
      ) - 1
    ) - COUNTIFS(CU67, ""=TRUE"", CU66, ""&lt;&gt;TRUE"") - COUNTIF(CZ67, ""=TRUE"") - COUNTIF({DD67,DE67}, ""&lt;&gt;-"&amp;""") + COUNTIF(DH67, ""=TRUE""),
    3
  ),
  0, ""○○○"", 1, ""●○○"", 2, ""●●○"", 3, ""●●●"", 4, ""●●●"", ""○○○""
)"),"●●●")</f>
        <v>●●●</v>
      </c>
      <c r="DJ67" s="188" t="b">
        <v>0</v>
      </c>
      <c r="DK67" s="189" t="b">
        <v>0</v>
      </c>
      <c r="DL67" s="190" t="b">
        <v>0</v>
      </c>
      <c r="DM67" s="190" t="b">
        <v>0</v>
      </c>
      <c r="DN67" s="190" t="b">
        <v>0</v>
      </c>
      <c r="DO67" s="190" t="b">
        <v>0</v>
      </c>
      <c r="DP67" s="190" t="b">
        <v>0</v>
      </c>
      <c r="DQ67" s="191" t="b">
        <v>0</v>
      </c>
      <c r="DR67" s="192" t="b">
        <v>0</v>
      </c>
      <c r="DS67" s="191" t="b">
        <v>0</v>
      </c>
      <c r="DT67" s="192" t="b">
        <v>0</v>
      </c>
      <c r="DU67" s="191" t="b">
        <v>0</v>
      </c>
      <c r="DV67" s="193" t="s">
        <v>1070</v>
      </c>
      <c r="DW67" s="194" t="b">
        <v>0</v>
      </c>
      <c r="DX67" s="194" t="b">
        <v>0</v>
      </c>
      <c r="DY67" s="195" t="b">
        <v>0</v>
      </c>
      <c r="DZ67" s="196" t="b">
        <v>0</v>
      </c>
      <c r="EA67" s="195" t="b">
        <v>0</v>
      </c>
      <c r="EB67" s="197" t="b">
        <v>0</v>
      </c>
      <c r="EC67" s="197" t="b">
        <v>0</v>
      </c>
      <c r="ED67" s="212" t="b">
        <v>0</v>
      </c>
      <c r="EE67" s="199">
        <f>IFERROR(__xludf.DUMMYFUNCTION("IFERROR(
   PRODUCT(
     MAP(
       INDEX(TRANSPOSE(UNIQUE(TRANSPOSE(FILTER({IF($F67=""Physical"", K$10:ED$10, IF($F67=""Magic"", K$11:ED$11, K$12:ED$12));K$4:ED$4;K67:ED67}, K67:ED67=TRUE)))), 1, 0),
       INDEX(TRANSPOSE(UNIQUE(TRANSPOSE(FILTER({IF($"&amp;"F67=""Physical"", K$18:ED$18, IF($F67=""Magic"", K$19:ED$19, K$20:ED$20));K$4:ED$4;K67:ED67}, K67:ED67=TRUE)))), 1, 0),
       INDEX(TRANSPOSE(UNIQUE(TRANSPOSE(FILTER({K$5:ED$5;K$4:ED$4;K67:ED67}, K67:ED67=TRUE)))), 1, 0),
       INDEX(TRANSPOSE(UNIQUE(TR"&amp;"ANSPOSE(FILTER({K$17:ED$17;K$4:ED$4;K67:ED67}, K67:ED67=TRUE)))), 1, 0),
       LAMBDA(
         mitigation,
         enhance,
         assign,
         precondition,
         IF(
           REGEXMATCH(assign, ""RANGE_PARTY|SINGLE_ENEMY|RANGE_ENEMY""),
  "&amp;"         IF(
             OR(ARRAYFORMULA((IF(precondition="""", FALSE, REGEXMATCH(K$4:ED$4, precondition))) * (K67:ED67=TRUE))),
             IF(ISNUMBER(enhance), enhance, 1),
             IF(ISNUMBER(mitigation), mitigation, 1)
           ),
          "&amp;" 1
         )
       )
     )
   ),
   1
 )"),1.0)</f>
        <v>1</v>
      </c>
      <c r="EF67" s="200">
        <f>IFERROR(__xludf.DUMMYFUNCTION("PRODUCT(
   MAP(
     K$14:ED$14,
     K$13:ED$13,
     K67:ED67,
     LAMBDA(
       buff,
       target,
       check,
       IF(
         AND(check=TRUE, REGEXMATCH(target, ""RANGE_AFFECTED_ALL|RANGE_EFFECTED_ALL""), ISNUMBER(buff)),
         buff,
   "&amp;"      1
       )
     )
   )
 )"),1.0)</f>
        <v>1</v>
      </c>
      <c r="EG67" s="200">
        <f>IFERROR(__xludf.DUMMYFUNCTION("PRODUCT(
   MAP(
     K$14:ED$14,
     K$13:ED$13,
     K67:ED67,
     LAMBDA(
       buff,
       target,
       check,
       IF(
         AND(check=TRUE, REGEXMATCH(target, ""RANGE_AFFECTED_GCD|RANGE_EFFECTED_GCD""), ISNUMBER(buff)),
         buff,
   "&amp;"      1
       )
     )
   )
 )"),1.0)</f>
        <v>1</v>
      </c>
      <c r="EH67" s="200">
        <f>IFERROR(__xludf.DUMMYFUNCTION("PRODUCT(
   MAP(
     K$3:ED$3,
     K$14:ED$14,
     K$13:ED$13,
     K67:ED67,
     LAMBDA(
       job,
       buff,
       target,
       check,
       IF(
         AND(check=TRUE, REGEXMATCH(target, ""SELF_EFFECTED_ALL""), ISNUMBER(buff), job=""白魔道士"""&amp;"),
         buff,
         1
       )
     )
   )
 )"),1.0)</f>
        <v>1</v>
      </c>
      <c r="EI67" s="200">
        <f>IFERROR(__xludf.DUMMYFUNCTION("PRODUCT(
   MAP(
     K$3:ED$3,
     K$14:ED$14,
     K$13:ED$13,
     K67:ED67,
     LAMBDA(
       job,
       buff,
       target,
       check,
       IF(
         AND(check=TRUE, REGEXMATCH(target, ""SELF_EFFECTED_GCD""), ISNUMBER(buff), job=""白魔道士"""&amp;"),
         buff,
         1
       )
     )
   )
 )"),1.0)</f>
        <v>1</v>
      </c>
      <c r="EJ67" s="200">
        <f>IFERROR(__xludf.DUMMYFUNCTION("PRODUCT(
   MAP(
     K$3:ED$3,
     K$14:ED$14,
     K$13:ED$13,
     K67:ED67,
     LAMBDA(
       job,
       buff,
       target,
       check,
       IF(
         AND(check=TRUE, REGEXMATCH(target, ""SELF_EFFECTED_ALL""), ISNUMBER(buff), job=""占星術師"""&amp;"),
         buff,
         1
       )
     )
   )
 )"),1.0)</f>
        <v>1</v>
      </c>
      <c r="EK67" s="200">
        <f>IFERROR(__xludf.DUMMYFUNCTION("PRODUCT(
   MAP(
     K$3:ED$3,
     K$14:ED$14,
     K$13:ED$13,
     K67:ED67,
     LAMBDA(
       job,
       buff,
       target,
       check,
       IF(
         AND(check=TRUE, REGEXMATCH(target, ""SELF_EFFECTED_GCD""), ISNUMBER(buff), job=""占星術師"""&amp;"),
         buff,
         1
       )
     )
   )
 )"),1.0)</f>
        <v>1</v>
      </c>
      <c r="EL67" s="200">
        <f>IFERROR(__xludf.DUMMYFUNCTION("PRODUCT(
   MAP(
     K$3:ED$3,
     K$14:ED$14,
     K$13:ED$13,
     K67:ED67,
     LAMBDA(
       job,
       buff,
       target,
       check,
       IF(
         AND(check=TRUE, REGEXMATCH(target, ""SELF_EFFECTED_ALL""), ISNUMBER(buff), job=""学者""),"&amp;"
         buff,
         1
       )
     )
   )
 )"),1.0)</f>
        <v>1</v>
      </c>
      <c r="EM67" s="200">
        <f>IFERROR(__xludf.DUMMYFUNCTION("PRODUCT(
   MAP(
     K$3:ED$3,
     K$14:ED$14,
     K$13:ED$13,
     K67:ED67,
     LAMBDA(
       job,
       buff,
       target,
       check,
       IF(
         AND(check=TRUE, REGEXMATCH(target, ""SELF_EFFECTED_GCD""), ISNUMBER(buff), job=""学者""),"&amp;"
         buff,
         1
       )
     )
   )
 )"),1.0)</f>
        <v>1</v>
      </c>
      <c r="EN67" s="200">
        <f>IFERROR(__xludf.DUMMYFUNCTION("PRODUCT(
   MAP(
     K$3:ED$3,
     K$14:ED$14,
     K$13:ED$13,
     K67:ED67,
     LAMBDA(
       job,
       buff,
       target,
       check,
       IF(
         AND(check=TRUE, REGEXMATCH(target, ""SELF_EFFECTED_ALL""), ISNUMBER(buff), job=""賢者""),"&amp;"
         buff,
         1
       )
     )
   )
 )"),1.0)</f>
        <v>1</v>
      </c>
      <c r="EO67" s="200">
        <f>IFERROR(__xludf.DUMMYFUNCTION("PRODUCT(
   MAP(
     K$3:ED$3,
     K$14:ED$14,
     K$13:ED$13,
     K67:ED67,
     LAMBDA(
       job,
       buff,
       target,
       check,
       IF(
         AND(check=TRUE, REGEXMATCH(target, ""SELF_EFFECTED_GCD""), ISNUMBER(buff), job=""賢者""),"&amp;"
         buff,
         1
       )
     )
   )
 )"),1.0)</f>
        <v>1</v>
      </c>
      <c r="EP67" s="201">
        <f t="shared" si="3"/>
        <v>0</v>
      </c>
      <c r="EQ67" s="201">
        <f>IFERROR(__xludf.DUMMYFUNCTION("SUM(
   MAP(
     K$4:ED$4,
     K$3:ED$3,
     K$7:ED$7,
     K$15:ED$15,
     K$16:ED$16,
     K$21:ED$21,
     K$5:ED$5,
     K$17:ED$17,
     K67:ED67,
     LAMBDA(
       name,
       job,
       abillity,
       buff,
       barrier,
       enhance,"&amp;"
       assign,
       precondition,
       check,
       SWITCH(
         name,
         ""シェイクオフ"", IF(check=TRUE, buff + (0.02 * COUNTIF(ARRAYFORMULA((REGEXMATCH($K$4:$ED$4, ""スリル・オブ・バトル|ヴェンジェンス|原初の血気|ダムネーション"")) * (K67:ED67=TRUE)), 1)), 0),
         "&amp;"""インプロビゼーションフィニッシュ(踊りの激情0)"", IF(ISNUMBER(check), INDEX(Skill!$AJ:$AJ, MATCH(SUBSTITUTE(DV$4, 0, check), Skill!$C:$C, 0)), 0),
         IF(
           AND(check=TRUE, REGEXMATCH(assign, ""RANGE_PARTY"")),
           IF(
             OR(ARRAYFORMULA((IF(pr"&amp;"econdition="""", FALSE, REGEXMATCH($K$4:$ED$4, precondition))) * (K67:ED67=TRUE))),
             enhance,
             IF(barrier="""", buff, barrier)
           ),
           0
         )
       ) *
       SWITCH(
         job,
         ""ナイト"", EY$24,
 "&amp;"        ""戦士"", FD$24,
         ""踊り子"", ET$24,
         ""ピクトマンサー"", ET$24,
         ""白魔道士"", EF67 * EH67 * IF(abillity, 1, EG67 * EI67) * (Option!$D$22 * 0.81 / 100),
         ""占星術師"", EF67 * EJ67 * IF(abillity, 1, EG67 * EK67) * (Option!$D$23 * 0.81 "&amp;"/ 100),
         ""学者"", EF67 * EL67 * IF(abillity, 1, EG67 * EM67) * (Option!$D$24 * 0.81 / 100),
         ""賢者"", EF67 * EN67 * IF(abillity, 1, EG67 * EO67) * (Option!$D$25 * 0.81 / 100),
         1
       )
     )
   )
 )"),0.0)</f>
        <v>0</v>
      </c>
      <c r="ER67" s="202">
        <f t="shared" si="4"/>
        <v>0</v>
      </c>
      <c r="ES67" s="203">
        <f t="shared" si="5"/>
        <v>0</v>
      </c>
      <c r="ET67" s="231" t="str">
        <f>IFERROR(__xludf.DUMMYFUNCTION("IFS(
  EP67 &gt; $ET$24 + EQ67,
  SPARKLINE({ 1, 0 }, {""charttype"",""bar"";""max"", 1;""color1"",Option!$D$30;""color2"",Option!$D$30}),
  EP67 &lt; EQ67,
  SPARKLINE({EQ67 - EP67, $ET$24 - (EQ67 - EP67)}, {""charttype"",""bar"";""max"",$ET$24;""color1"",Opti"&amp;"on!$D$28;""color2"",Option!$D$29}),
  EP67 &gt;= EQ67,
  SPARKLINE({$ET$24 + EQ67 - EP67,EP67 - EQ67}, {""charttype"",""bar"";""max"",$ET$24;""color1"",Option!$D$29;""color2"",Option!$D$30})
)"),"")</f>
        <v/>
      </c>
      <c r="EU67" s="205">
        <f>IFERROR(__xludf.DUMMYFUNCTION("PRODUCT(
   MAP(
     IF($F67=""Physical"", K$10:ED$10, IF($F67=""Magic"", K$11:ED$11, K$12:ED$12)),
     IF($F67=""Physical"", K$18:ED$18, IF($F67=""Magic"", K$19:ED$19, K$20:ED$20)),
     K$3:ED$3,
     K$5:ED$5,
     K$17:ED$17,
     K67:ED67,
     LAM"&amp;"BDA(
       mitigation,
       enhance,
       job,
       assign,
       precondition,
       check,
       IF(
         OR(AND(check=TRUE, REGEXMATCH(assign, ""SELF""), job=""ナイト""), AND(check=Option!$E$13, REGEXMATCH(assign, ""SINGLE_PARTY""))),
      "&amp;"   IF(
           OR(ARRAYFORMULA((IF(precondition="""", FALSE, REGEXMATCH($K$4:$ED$4, precondition))) * (K67:ED67=TRUE))),
           enhance,
           mitigation
         ),
         1
       )
     )
   )
 ) * EE67"),1.0)</f>
        <v>1</v>
      </c>
      <c r="EV67" s="206">
        <f t="shared" si="6"/>
        <v>0</v>
      </c>
      <c r="EW67" s="205">
        <f>IFERROR(__xludf.DUMMYFUNCTION("PRODUCT(
   MAP(
     K$3:ED$3,
     K$14:ED$14,
     K$13:ED$13,
     K67:ED67,
     LAMBDA(
       job,
       buff,
       target,
       check,
       IF(
         OR(AND(check=TRUE, REGEXMATCH(target, ""SELF_AFFECTED_ALL""), job=""ナイト""), AND(check=O"&amp;"ption!$E$13, REGEXMATCH(target, ""SINGLE_AFFECTED_ALL""))),
         buff,
         1
       )
     )
   )
 )"),1.0)</f>
        <v>1</v>
      </c>
      <c r="EX67" s="206">
        <f>IFERROR(__xludf.DUMMYFUNCTION("SUM(
   MAP(
     K$3:ED$3,
     K$7:ED$7,
     K$15:ED$15,
     K$16:ED$16,
     K$21:ED$21,
     K$5:ED$5,
     K$17:ED$17,
     K67:ED67,
     LAMBDA(
       job,
       abillity,
       buff,
       barrier,
       enhance,
       assign,
       preco"&amp;"ndition,
       check,
       IF(
         OR(AND(check=TRUE, REGEXMATCH(assign, ""SELF""), job=""ナイト""), AND(check=Option!$E$13, REGEXMATCH(assign, ""SINGLE_PARTY""))),
         IF(
           OR(ARRAYFORMULA((IF(precondition="""", FALSE, REGEXMATCH($K$4"&amp;":$ED$4, precondition))) * (K67:ED67=TRUE))),
           enhance,
           IF(barrier="""", buff, barrier)
         ),
         0
       ) *
       SWITCH(
         job,
         ""暗黒騎士"", EY$24,
         ""白魔道士"", EF67 * EH67 * EW67 * IF(abillity, 1, EG"&amp;"67 * EI67) * (Option!$D$22 * 0.81 / 100),
         ""占星術師"", EF67 * EJ67 * EW67 * IF(abillity, 1, EG67 * EK67) * (Option!$D$23 * 0.81 / 100),
         ""学者"", EF67 * EL67 * EW67 * IF(abillity, 1, EG67 * EM67) * (Option!$D$24 * 0.81 / 100),
         ""賢者"""&amp;", EF67 * EN67 * EW67 * IF(abillity, 1, EG67 * EO67) * (Option!$D$25 * 0.81 / 100),
         1
       )
     )
   )
 ) + EQ67"),0.0)</f>
        <v>0</v>
      </c>
      <c r="EY67" s="232">
        <f t="shared" si="7"/>
        <v>0</v>
      </c>
      <c r="EZ67" s="205">
        <f>IFERROR(__xludf.DUMMYFUNCTION("PRODUCT(
   MAP(
     IF($F67=""Physical"", K$10:ED$10, IF($F67=""Magic"", K$11:ED$11, K$12:ED$12)),
     IF($F67=""Physical"", K$18:ED$18, IF($F67=""Magic"", K$19:ED$19, K$20:ED$20)),
     K$3:ED$3,
     K$5:ED$5,
     K$17:ED$17,
     K67:ED67,
     LAM"&amp;"BDA(
       mitigation,
       enhance,
       job,
       assign,
       precondition,
       check,
       IF(
         OR(AND(check=TRUE, REGEXMATCH(assign, ""SELF""), job=""戦士""), AND(check=Option!$F$13, REGEXMATCH(assign, ""SINGLE_PARTY""))),
       "&amp;"  IF(
           OR(ARRAYFORMULA((IF(precondition="""", FALSE, REGEXMATCH($K$4:$ED$4, precondition))) * (K67:ED67=TRUE))),
           enhance,
           mitigation
         ),
         1
       )
     )
   )
 ) * EE67"),1.0)</f>
        <v>1</v>
      </c>
      <c r="FA67" s="206">
        <f t="shared" si="8"/>
        <v>0</v>
      </c>
      <c r="FB67" s="205">
        <f>IFERROR(__xludf.DUMMYFUNCTION("PRODUCT(
   MAP(
     K$3:ED$3,
     K$14:ED$14,
     K$13:ED$13,
     K67:ED67,
     LAMBDA(
       job,
       buff,
       target,
       check,
       IF(
         OR(AND(check=TRUE, REGEXMATCH(target, ""SELF_AFFECTED_ALL""), job=""戦士""), AND(check=Op"&amp;"tion!$F$13, REGEXMATCH(target, ""SINGLE_AFFECTED_ALL""))),
         buff,
         1
       )
     )
   )
 )"),1.0)</f>
        <v>1</v>
      </c>
      <c r="FC67" s="206">
        <f>IFERROR(__xludf.DUMMYFUNCTION("SUM(
   MAP(
     K$3:ED$3,
     K$7:ED$7,
     K$15:ED$15,
     K$16:ED$16,
     K$21:ED$21,
     K$5:ED$5,
     K$17:ED$17,
     K67:ED67,
     LAMBDA(
       job,
       abillity,
       buff,
       barrier,
       enhance,
       assign,
       preco"&amp;"ndition,
       check,
       IF(
         OR(AND(check=TRUE, REGEXMATCH(assign, ""SELF""), job=""戦士""), AND(check=Option!$F$13, REGEXMATCH(assign, ""SINGLE_PARTY""))),
         IF(
           OR(ARRAYFORMULA((IF(precondition="""", FALSE, REGEXMATCH($K$4:"&amp;"$ED$4, precondition))) * (K67:ED67=TRUE))),
           enhance,
           IF(barrier="""", buff, barrier)
         ),
         0
       ) *
       SWITCH(
         job,
         ""暗黒騎士"", FD$24,
         ""白魔道士"", EF67 * EH67 * FB67 * IF(abillity, 1, EG6"&amp;"7 * EI67) * (Option!$D$22 * 0.81 / 100),
         ""占星術師"", EF67 * EJ67 * FFB67 * IF(abillity, 1, EG67 * EK67) * (Option!$D$23 * 0.81 / 100),
         ""学者"", EF67 * EL67 * FB67 * IF(abillity, 1, EG67 * EM67) * (Option!$D$24 * 0.81 / 100),
         ""賢者"""&amp;", EF67 * EN67 * FB67 * IF(abillity, 1, EG67 * EO67) * (Option!$D$25 * 0.81 / 100),
         1
       )
     )
   )
 ) + EQ67"),0.0)</f>
        <v>0</v>
      </c>
      <c r="FD67" s="206">
        <f t="shared" si="9"/>
        <v>0</v>
      </c>
      <c r="FE67" s="205">
        <f>IFERROR(__xludf.DUMMYFUNCTION("PRODUCT(
   MAP(
     IF($F67=""Physical"", K$10:ED$10, IF($F67=""Magic"", K$11:ED$11, K$12:ED$12)),
     IF($F67=""Physical"", K$18:ED$18, IF($F67=""Magic"", K$19:ED$19, K$20:ED$20)),
     K$3:ED$3,
     K$5:ED$5,
     K$17:ED$17,
     K67:ED67,
     LAM"&amp;"BDA(
       mitigation,
       enhance,
       job,
       assign,
       precondition,
       check,
       IF(
         OR(AND(check=TRUE, REGEXMATCH(assign, ""SELF""), job=""暗黒騎士""), AND(check=Option!$G$13, REGEXMATCH(assign, ""SINGLE_PARTY""))),
     "&amp;"    IF(
           OR(ARRAYFORMULA((IF(precondition="""", FALSE, REGEXMATCH($K$4:$ED$4, precondition))) * (K67:ED67=TRUE))),
           enhance,
           mitigation
         ),
         1
       )
     )
   )
 ) * EE67"),1.0)</f>
        <v>1</v>
      </c>
      <c r="FF67" s="206">
        <f t="shared" si="10"/>
        <v>0</v>
      </c>
      <c r="FG67" s="205">
        <f>IFERROR(__xludf.DUMMYFUNCTION("PRODUCT(
   MAP(
     K$3:ED$3,
     K$14:ED$14,
     K$13:ED$13,
     K67:ED67,
     LAMBDA(
       job,
       buff,
       target,
       check,
       IF(
         OR(AND(check=TRUE, REGEXMATCH(target, ""SELF_AFFECTED_ALL""), job=""暗黒騎士""), AND(check="&amp;"Option!$G$13, REGEXMATCH(target, ""SINGLE_AFFECTED_ALL""))),
         buff,
         1
       )
     )
   )
 )"),1.0)</f>
        <v>1</v>
      </c>
      <c r="FH67" s="206">
        <f>IFERROR(__xludf.DUMMYFUNCTION("SUM(
   MAP(
     K$3:ED$3,
     K$7:ED$7,
     K$15:ED$15,
     K$16:ED$16,
     K$21:ED$21,
     K$5:ED$5,
     K$17:ED$17,
     K67:ED67,
     LAMBDA(
       job,
       abillity,
       buff,
       barrier,
       enhance,
       assign,
       preco"&amp;"ndition,
       check,
       IF(
         OR(AND(check=TRUE, REGEXMATCH(assign, ""SELF""), job=""暗黒騎士""), AND(check=Option!$G$13, REGEXMATCH(assign, ""SINGLE_PARTY""))),
         IF(
           OR(ARRAYFORMULA((IF(precondition="""", FALSE, REGEXMATCH($K$"&amp;"4:$ED$4, precondition))) * (K67:ED67=TRUE))),
           enhance,
           IF(barrier="""", buff, barrier)
         ),
         0
       ) *
       SWITCH(
         job,
         ""暗黒騎士"", FI$24,
         ""白魔道士"", EF67 * EH67 * FG67 * IF(abillity, 1, E"&amp;"G67 * EI67) * (Option!$D$22 * 0.81 / 100),
         ""占星術師"", EF67 * EJ67 * FG67 * IF(abillity, 1, EG67 * EK67) * (Option!$D$23 * 0.81 / 100),
         ""学者"", EF67 * EL67 * FG67 * IF(abillity, 1, EG67 * EM67) * (Option!$D$24 * 0.81 / 100),
         ""賢者"&amp;""", EF67 * EN67 * FG67 * IF(abillity, 1, EG67 * EO67) * (Option!$D$25 * 0.81 / 100),
         1
       )
     )
   )
 ) + EQ67"),0.0)</f>
        <v>0</v>
      </c>
      <c r="FI67" s="206">
        <f t="shared" si="11"/>
        <v>0</v>
      </c>
      <c r="FJ67" s="205">
        <f>IFERROR(__xludf.DUMMYFUNCTION("PRODUCT(
   MAP(
     IF($F67=""Physical"", K$10:ED$10, IF($F67=""Magic"", K$11:ED$11, K$12:ED$12)),
     IF($F67=""Physical"", K$18:ED$18, IF($F67=""Magic"", K$19:ED$19, K$20:ED$20)),
     K$3:ED$3,
     K$5:ED$5,
     K$17:ED$17,
     K67:ED67,
     LAM"&amp;"BDA(
       mitigation,
       enhance,
       job,
       assign,
       precondition,
       check,
       IF(
         OR(AND(check=TRUE, REGEXMATCH(assign, ""SELF""), job=""ガンブレイカー""), AND(check=Option!$H$13, REGEXMATCH(assign, ""SINGLE_PARTY""))),
  "&amp;"       IF(
           OR(ARRAYFORMULA((IF(precondition="""", FALSE, REGEXMATCH($K$4:$ED$4, precondition))) * (K67:ED67=TRUE))),
           enhance,
           mitigation
         ),
         1
       )
     )
   )
 ) * EE67"),1.0)</f>
        <v>1</v>
      </c>
      <c r="FK67" s="206">
        <f t="shared" si="12"/>
        <v>0</v>
      </c>
      <c r="FL67" s="205">
        <f>IFERROR(__xludf.DUMMYFUNCTION("PRODUCT(
   MAP(
     K$3:ED$3,
     K$14:ED$14,
     K$13:ED$13,
     K67:ED67,
     LAMBDA(
       job,
       buff,
       target,
       check,
       IF(
         OR(AND(check=TRUE, REGEXMATCH(target, ""SELF_AFFECTED_ALL""), job=""ガンブレイカー""), AND(che"&amp;"ck=Option!$H$13, REGEXMATCH(target, ""SINGLE_AFFECTED_ALL""))),
         buff,
         1
       )
     )
   )
 )"),1.0)</f>
        <v>1</v>
      </c>
      <c r="FM67" s="206">
        <f>IFERROR(__xludf.DUMMYFUNCTION("SUM(
   MAP(
     K$3:ED$3,
     K$7:ED$7,
     K$15:ED$15,
     K$16:ED$16,
     K$21:ED$21,
     K$5:ED$5,
     K$17:ED$17,
     K67:ED67,
     LAMBDA(
       job,
       abillity,
       buff,
       barrier,
       enhance,
       assign,
       preco"&amp;"ndition,
       check,
       IF(
         OR(AND(check=TRUE, REGEXMATCH(assign, ""SELF""), job=""ガンブレイカー""), AND(check=Option!$H$13, REGEXMATCH(assign, ""SINGLE_PARTY""))),
         IF(
           OR(ARRAYFORMULA((IF(precondition="""", FALSE, REGEXMATCH("&amp;"$K$4:$ED$4, precondition))) * (K67:ED67=TRUE))),
           enhance,
           IF(barrier="""", buff, barrier)
         ),
         0
       ) *
       SWITCH(
         job,
         ""暗黒騎士"", FN$24,
         ""白魔道士"", EF67 * EH67 * FL67 * IF(abillity, 1"&amp;", EG67 * EI67) * (Option!$D$22 * 0.81 / 100),
         ""占星術師"", EF67 * EJ67 * FL67 * IF(abillity, 1, EG67 * EK67) * (Option!$D$23 * 0.81 / 100),
         ""学者"", EF67 * EL67 * FL67 * IF(abillity, 1, EG67 * EM67) * (Option!$D$24 * 0.81 / 100),
         """&amp;"賢者"", EF67 * EN67 * FL67 * IF(abillity, 1, EG67 * EO67) * (Option!$D$25 * 0.81 / 100),
         1
       )
     )
   )
 ) + EQ67"),0.0)</f>
        <v>0</v>
      </c>
      <c r="FN67" s="206">
        <f t="shared" si="13"/>
        <v>0</v>
      </c>
      <c r="FO67" s="213"/>
    </row>
    <row r="68">
      <c r="B68" s="229"/>
      <c r="C68" s="217">
        <f t="shared" si="1"/>
        <v>0</v>
      </c>
      <c r="D68" s="236"/>
      <c r="E68" s="238"/>
      <c r="F68" s="167"/>
      <c r="G68" s="168" t="str">
        <f t="shared" si="2"/>
        <v/>
      </c>
      <c r="H68" s="169"/>
      <c r="I68" s="169"/>
      <c r="J68" s="169"/>
      <c r="K68" s="170" t="b">
        <v>0</v>
      </c>
      <c r="L68" s="170" t="b">
        <v>0</v>
      </c>
      <c r="M68" s="170" t="b">
        <v>0</v>
      </c>
      <c r="N68" s="171" t="s">
        <v>1070</v>
      </c>
      <c r="O68" s="172" t="b">
        <v>0</v>
      </c>
      <c r="P68" s="173" t="b">
        <v>0</v>
      </c>
      <c r="Q68" s="173" t="b">
        <v>0</v>
      </c>
      <c r="R68" s="173" t="b">
        <v>0</v>
      </c>
      <c r="S68" s="174" t="b">
        <v>0</v>
      </c>
      <c r="T68" s="175" t="b">
        <v>0</v>
      </c>
      <c r="U68" s="173" t="b">
        <v>0</v>
      </c>
      <c r="V68" s="171" t="s">
        <v>1070</v>
      </c>
      <c r="W68" s="172" t="b">
        <v>0</v>
      </c>
      <c r="X68" s="173" t="b">
        <v>0</v>
      </c>
      <c r="Y68" s="173" t="b">
        <v>0</v>
      </c>
      <c r="Z68" s="173" t="b">
        <v>0</v>
      </c>
      <c r="AA68" s="174" t="b">
        <v>0</v>
      </c>
      <c r="AB68" s="174" t="b">
        <v>0</v>
      </c>
      <c r="AC68" s="175" t="b">
        <v>0</v>
      </c>
      <c r="AD68" s="173" t="b">
        <v>0</v>
      </c>
      <c r="AE68" s="176" t="s">
        <v>1070</v>
      </c>
      <c r="AF68" s="171" t="s">
        <v>1070</v>
      </c>
      <c r="AG68" s="177">
        <f>IFERROR(__xludf.DUMMYFUNCTION("IF(
  ISNUMBER(AG67),
  MIN(MAX(
    AG67
    + MAX(
      ROUNDDOWN(($D68 - MAX(IFERROR(FILTER($D$24:$D67, AG$24:AG67 &lt;&gt; AF$6, AG$23:AG66 = AF$6), 0))) * (60 * 60 * 24) / AF$9) - ROUNDDOWN(($D67 - MAX(IFERROR(FILTER($D$23:$D66, AG$23:AG66 &lt;&gt; AF$6, AG$22:"&amp;"AG65 = AF$6), 0))) * (60 * 60 * 24) / 60),
      0
    )
    - COUNTIF(AF68, ""&lt;&gt;-""),
  0), AF$6),
  AF$6 - COUNTIF(AF68, ""&lt;&gt;-"")
)"),2.0)</f>
        <v>2</v>
      </c>
      <c r="AH68" s="173" t="b">
        <v>0</v>
      </c>
      <c r="AI68" s="173" t="b">
        <v>0</v>
      </c>
      <c r="AJ68" s="173" t="b">
        <v>0</v>
      </c>
      <c r="AK68" s="174" t="b">
        <v>0</v>
      </c>
      <c r="AL68" s="175" t="b">
        <v>0</v>
      </c>
      <c r="AM68" s="173" t="b">
        <v>0</v>
      </c>
      <c r="AN68" s="171" t="s">
        <v>1070</v>
      </c>
      <c r="AO68" s="173" t="b">
        <v>0</v>
      </c>
      <c r="AP68" s="173" t="b">
        <v>0</v>
      </c>
      <c r="AQ68" s="173" t="b">
        <v>0</v>
      </c>
      <c r="AR68" s="174" t="b">
        <v>0</v>
      </c>
      <c r="AS68" s="178" t="b">
        <v>0</v>
      </c>
      <c r="AT68" s="179" t="b">
        <v>0</v>
      </c>
      <c r="AU68" s="180" t="b">
        <v>0</v>
      </c>
      <c r="AV68" s="180" t="b">
        <v>0</v>
      </c>
      <c r="AW68" s="180" t="b">
        <v>0</v>
      </c>
      <c r="AX68" s="180" t="b">
        <v>0</v>
      </c>
      <c r="AY68" s="181" t="s">
        <v>1070</v>
      </c>
      <c r="AZ68" s="181" t="s">
        <v>1070</v>
      </c>
      <c r="BA68" s="184">
        <f>IFERROR(__xludf.DUMMYFUNCTION("IF(
  ISNUMBER(BA67),
  MIN(MAX(
    BA67
    + MAX(
      ROUNDDOWN((D68 - MAX(IFERROR(FILTER(D$24:D67, BA$24:BA67 &lt;&gt; AZ$6, BA$23:BA66 = AZ$6), 0))) * (60 * 60 * 24) / AZ$9) - ROUNDDOWN((D67 - MAX(IFERROR(FILTER(D$23:D66, BA$23:BA66 &lt;&gt; AZ$6, BA$22:BA65 ="&amp;" AZ$6), 0))) * (60 * 60 * 24) / AZ$9),
      0
    )
    - COUNTIF(AZ68, ""&lt;&gt;-""),
  0), AZ$6),
  AZ$6 - COUNTIF(AZ68, ""&lt;&gt;-"")
)"),2.0)</f>
        <v>2</v>
      </c>
      <c r="BB68" s="181" t="s">
        <v>1070</v>
      </c>
      <c r="BC68" s="183">
        <f>IFERROR(__xludf.DUMMYFUNCTION("IF(
  ISNUMBER(BC67),
  MIN(MAX(
    BC67
    + MAX(
      ROUNDDOWN(($D68 - MAX(IFERROR(FILTER($D$24:$D67, BC$24:BC67 &lt;&gt; BB$6, BC$23:BC66 = BB$6), 0))) * (60 * 60 * 24) / BB$9) - ROUNDDOWN(($D67 - MAX(IFERROR(FILTER($D$23:$D66, BC$23:BC66 &lt;&gt; BB$6, BC$22:"&amp;"BC65 = BB$6), 0))) * (60 * 60 * 24) / 60),
      0
    )
    - COUNTIF(BB68, ""&lt;&gt;-""),
  0), BB$6),
  BB$6 - COUNTIF(BB68, ""&lt;&gt;-"")
)"),2.0)</f>
        <v>2</v>
      </c>
      <c r="BD68" s="181" t="s">
        <v>1070</v>
      </c>
      <c r="BE68" s="178" t="b">
        <v>0</v>
      </c>
      <c r="BF68" s="180" t="b">
        <v>0</v>
      </c>
      <c r="BG68" s="180" t="b">
        <v>0</v>
      </c>
      <c r="BH68" s="180" t="b">
        <v>0</v>
      </c>
      <c r="BI68" s="180" t="b">
        <v>0</v>
      </c>
      <c r="BJ68" s="180" t="b">
        <v>0</v>
      </c>
      <c r="BK68" s="180" t="b">
        <v>0</v>
      </c>
      <c r="BL68" s="180" t="b">
        <v>0</v>
      </c>
      <c r="BM68" s="180" t="b">
        <v>0</v>
      </c>
      <c r="BN68" s="180" t="b">
        <v>0</v>
      </c>
      <c r="BO68" s="181" t="s">
        <v>1070</v>
      </c>
      <c r="BP68" s="181" t="s">
        <v>1070</v>
      </c>
      <c r="BQ68" s="181" t="s">
        <v>1070</v>
      </c>
      <c r="BR68" s="181" t="s">
        <v>1070</v>
      </c>
      <c r="BS68" s="181" t="s">
        <v>1070</v>
      </c>
      <c r="BT68" s="184">
        <f>IFERROR(__xludf.DUMMYFUNCTION("IF(
  ISNUMBER(BT67),
  MIN(MAX(
    BT67
    + MAX(
      ROUNDDOWN((D68 - MAX(IFERROR(FILTER(D$24:D67, BT$24:BT67 &lt;&gt; BS$6, BT$23:BT66 = BS$6), 0))) * (60 * 60 * 24) / BS$9) - ROUNDDOWN((D67 - MAX(IFERROR(FILTER(D$23:D66, BT$23:BT66 &lt;&gt; BS$6, BT$22:BT65 ="&amp;" BS$6), 0))) * (60 * 60 * 24) / BS$9),
      0
    )
    - COUNTIF(BS68, ""&lt;&gt;-""),
  0), BS$6),
  BS$6 - COUNTIF(BS68, ""&lt;&gt;-"")
)"),3.0)</f>
        <v>3</v>
      </c>
      <c r="BU68" s="181" t="s">
        <v>1070</v>
      </c>
      <c r="BV68" s="181" t="s">
        <v>1070</v>
      </c>
      <c r="BW68" s="184">
        <f>IFERROR(__xludf.DUMMYFUNCTION("IF(
  ISNUMBER(BW67),
  MIN(MAX(
    BW67
    + MAX(
      ROUNDDOWN((D68 - MAX(IFERROR(FILTER(D$24:D67, BW$24:BW67 &lt;&gt; BV$6, BW$23:BW66 = BV$6), 0))) * (60 * 60 * 24) / BV$9) - ROUNDDOWN((D67 - MAX(IFERROR(FILTER(D$23:D66, BW$23:BW66 &lt;&gt; BV$6, BW$22:BW65 ="&amp;" BV$6), 0))) * (60 * 60 * 24) / BV$9),
      0
    )
    - COUNTIF(BV68, ""&lt;&gt;-""),
  0), BV$6),
  BV$6 - COUNTIF(BV68, ""&lt;&gt;-"")
)"),2.0)</f>
        <v>2</v>
      </c>
      <c r="BX68" s="185" t="s">
        <v>1070</v>
      </c>
      <c r="BY68" s="178" t="b">
        <v>0</v>
      </c>
      <c r="BZ68" s="180" t="b">
        <v>0</v>
      </c>
      <c r="CA68" s="180" t="b">
        <v>0</v>
      </c>
      <c r="CB68" s="180" t="b">
        <v>0</v>
      </c>
      <c r="CC68" s="180" t="b">
        <v>0</v>
      </c>
      <c r="CD68" s="180" t="b">
        <v>0</v>
      </c>
      <c r="CE68" s="180" t="b">
        <v>0</v>
      </c>
      <c r="CF68" s="180" t="b">
        <v>0</v>
      </c>
      <c r="CG68" s="180" t="b">
        <v>0</v>
      </c>
      <c r="CH68" s="180" t="b">
        <v>0</v>
      </c>
      <c r="CI68" s="180" t="b">
        <v>0</v>
      </c>
      <c r="CJ68" s="180" t="b">
        <v>0</v>
      </c>
      <c r="CK68" s="180" t="b">
        <v>0</v>
      </c>
      <c r="CL68" s="180" t="b">
        <v>0</v>
      </c>
      <c r="CM68" s="181" t="s">
        <v>1070</v>
      </c>
      <c r="CN68" s="181" t="s">
        <v>1070</v>
      </c>
      <c r="CO68" s="181" t="s">
        <v>1070</v>
      </c>
      <c r="CP68" s="181" t="s">
        <v>1070</v>
      </c>
      <c r="CQ68" s="185" t="s">
        <v>1070</v>
      </c>
      <c r="CR68" s="180" t="b">
        <v>0</v>
      </c>
      <c r="CS68" s="186" t="str">
        <f t="shared" si="14"/>
        <v>◇◇◇</v>
      </c>
      <c r="CT68" s="178" t="b">
        <v>0</v>
      </c>
      <c r="CU68" s="180" t="b">
        <v>0</v>
      </c>
      <c r="CV68" s="180" t="b">
        <v>0</v>
      </c>
      <c r="CW68" s="180" t="b">
        <v>0</v>
      </c>
      <c r="CX68" s="180" t="b">
        <v>0</v>
      </c>
      <c r="CY68" s="180" t="b">
        <v>0</v>
      </c>
      <c r="CZ68" s="180" t="b">
        <v>0</v>
      </c>
      <c r="DA68" s="180" t="b">
        <v>0</v>
      </c>
      <c r="DB68" s="180" t="b">
        <v>0</v>
      </c>
      <c r="DC68" s="180" t="b">
        <v>0</v>
      </c>
      <c r="DD68" s="181" t="s">
        <v>1070</v>
      </c>
      <c r="DE68" s="181" t="s">
        <v>1070</v>
      </c>
      <c r="DF68" s="181" t="s">
        <v>1070</v>
      </c>
      <c r="DG68" s="185" t="s">
        <v>1070</v>
      </c>
      <c r="DH68" s="180" t="b">
        <v>0</v>
      </c>
      <c r="DI68" s="187" t="str">
        <f>IFERROR(__xludf.DUMMYFUNCTION("SWITCH(
  IF(
    ISTEXT(DI67),
    IF (
      FIND(""○"", DI67&amp;""○"") &gt; 3,
      3,
      FIND(""○"", DI67&amp;""○"")
      + MAX(
        ROUNDDOWN(($D68 - MAX(IFERROR(FILTER(D$24:D67, DI$24:DI67 &lt;&gt; ""●●●"", DI$23:DI66 = ""●●●""), 0))) * (60 * 60 * 24) / 20"&amp;") - ROUNDDOWN(($D67 - MAX(IFERROR(FILTER(D$23:D66, DI$23:DI66 &lt;&gt; ""●●●"", DI$22:DI65 = ""●●●""), 0))) * (60 * 60 * 24) / 20),
        0
      ) - 1
    ) - COUNTIFS(CU68, ""=TRUE"", CU67, ""&lt;&gt;TRUE"") - COUNTIF(CZ68, ""=TRUE"") - COUNTIF({DD68,DE68}, ""&lt;&gt;-"&amp;""") + COUNTIF(DH68, ""=TRUE""),
    3
  ),
  0, ""○○○"", 1, ""●○○"", 2, ""●●○"", 3, ""●●●"", 4, ""●●●"", ""○○○""
)"),"●●●")</f>
        <v>●●●</v>
      </c>
      <c r="DJ68" s="188" t="b">
        <v>0</v>
      </c>
      <c r="DK68" s="189" t="b">
        <v>0</v>
      </c>
      <c r="DL68" s="190" t="b">
        <v>0</v>
      </c>
      <c r="DM68" s="190" t="b">
        <v>0</v>
      </c>
      <c r="DN68" s="190" t="b">
        <v>0</v>
      </c>
      <c r="DO68" s="190" t="b">
        <v>0</v>
      </c>
      <c r="DP68" s="190" t="b">
        <v>0</v>
      </c>
      <c r="DQ68" s="191" t="b">
        <v>0</v>
      </c>
      <c r="DR68" s="192" t="b">
        <v>0</v>
      </c>
      <c r="DS68" s="191" t="b">
        <v>0</v>
      </c>
      <c r="DT68" s="192" t="b">
        <v>0</v>
      </c>
      <c r="DU68" s="191" t="b">
        <v>0</v>
      </c>
      <c r="DV68" s="193" t="s">
        <v>1070</v>
      </c>
      <c r="DW68" s="194" t="b">
        <v>0</v>
      </c>
      <c r="DX68" s="194" t="b">
        <v>0</v>
      </c>
      <c r="DY68" s="195" t="b">
        <v>0</v>
      </c>
      <c r="DZ68" s="196" t="b">
        <v>0</v>
      </c>
      <c r="EA68" s="195" t="b">
        <v>0</v>
      </c>
      <c r="EB68" s="197" t="b">
        <v>0</v>
      </c>
      <c r="EC68" s="197" t="b">
        <v>0</v>
      </c>
      <c r="ED68" s="212" t="b">
        <v>0</v>
      </c>
      <c r="EE68" s="199">
        <f>IFERROR(__xludf.DUMMYFUNCTION("IFERROR(
   PRODUCT(
     MAP(
       INDEX(TRANSPOSE(UNIQUE(TRANSPOSE(FILTER({IF($F68=""Physical"", K$10:ED$10, IF($F68=""Magic"", K$11:ED$11, K$12:ED$12));K$4:ED$4;K68:ED68}, K68:ED68=TRUE)))), 1, 0),
       INDEX(TRANSPOSE(UNIQUE(TRANSPOSE(FILTER({IF($"&amp;"F68=""Physical"", K$18:ED$18, IF($F68=""Magic"", K$19:ED$19, K$20:ED$20));K$4:ED$4;K68:ED68}, K68:ED68=TRUE)))), 1, 0),
       INDEX(TRANSPOSE(UNIQUE(TRANSPOSE(FILTER({K$5:ED$5;K$4:ED$4;K68:ED68}, K68:ED68=TRUE)))), 1, 0),
       INDEX(TRANSPOSE(UNIQUE(TR"&amp;"ANSPOSE(FILTER({K$17:ED$17;K$4:ED$4;K68:ED68}, K68:ED68=TRUE)))), 1, 0),
       LAMBDA(
         mitigation,
         enhance,
         assign,
         precondition,
         IF(
           REGEXMATCH(assign, ""RANGE_PARTY|SINGLE_ENEMY|RANGE_ENEMY""),
  "&amp;"         IF(
             OR(ARRAYFORMULA((IF(precondition="""", FALSE, REGEXMATCH(K$4:ED$4, precondition))) * (K68:ED68=TRUE))),
             IF(ISNUMBER(enhance), enhance, 1),
             IF(ISNUMBER(mitigation), mitigation, 1)
           ),
          "&amp;" 1
         )
       )
     )
   ),
   1
 )"),1.0)</f>
        <v>1</v>
      </c>
      <c r="EF68" s="200">
        <f>IFERROR(__xludf.DUMMYFUNCTION("PRODUCT(
   MAP(
     K$14:ED$14,
     K$13:ED$13,
     K68:ED68,
     LAMBDA(
       buff,
       target,
       check,
       IF(
         AND(check=TRUE, REGEXMATCH(target, ""RANGE_AFFECTED_ALL|RANGE_EFFECTED_ALL""), ISNUMBER(buff)),
         buff,
   "&amp;"      1
       )
     )
   )
 )"),1.0)</f>
        <v>1</v>
      </c>
      <c r="EG68" s="200">
        <f>IFERROR(__xludf.DUMMYFUNCTION("PRODUCT(
   MAP(
     K$14:ED$14,
     K$13:ED$13,
     K68:ED68,
     LAMBDA(
       buff,
       target,
       check,
       IF(
         AND(check=TRUE, REGEXMATCH(target, ""RANGE_AFFECTED_GCD|RANGE_EFFECTED_GCD""), ISNUMBER(buff)),
         buff,
   "&amp;"      1
       )
     )
   )
 )"),1.0)</f>
        <v>1</v>
      </c>
      <c r="EH68" s="200">
        <f>IFERROR(__xludf.DUMMYFUNCTION("PRODUCT(
   MAP(
     K$3:ED$3,
     K$14:ED$14,
     K$13:ED$13,
     K68:ED68,
     LAMBDA(
       job,
       buff,
       target,
       check,
       IF(
         AND(check=TRUE, REGEXMATCH(target, ""SELF_EFFECTED_ALL""), ISNUMBER(buff), job=""白魔道士"""&amp;"),
         buff,
         1
       )
     )
   )
 )"),1.0)</f>
        <v>1</v>
      </c>
      <c r="EI68" s="200">
        <f>IFERROR(__xludf.DUMMYFUNCTION("PRODUCT(
   MAP(
     K$3:ED$3,
     K$14:ED$14,
     K$13:ED$13,
     K68:ED68,
     LAMBDA(
       job,
       buff,
       target,
       check,
       IF(
         AND(check=TRUE, REGEXMATCH(target, ""SELF_EFFECTED_GCD""), ISNUMBER(buff), job=""白魔道士"""&amp;"),
         buff,
         1
       )
     )
   )
 )"),1.0)</f>
        <v>1</v>
      </c>
      <c r="EJ68" s="200">
        <f>IFERROR(__xludf.DUMMYFUNCTION("PRODUCT(
   MAP(
     K$3:ED$3,
     K$14:ED$14,
     K$13:ED$13,
     K68:ED68,
     LAMBDA(
       job,
       buff,
       target,
       check,
       IF(
         AND(check=TRUE, REGEXMATCH(target, ""SELF_EFFECTED_ALL""), ISNUMBER(buff), job=""占星術師"""&amp;"),
         buff,
         1
       )
     )
   )
 )"),1.0)</f>
        <v>1</v>
      </c>
      <c r="EK68" s="200">
        <f>IFERROR(__xludf.DUMMYFUNCTION("PRODUCT(
   MAP(
     K$3:ED$3,
     K$14:ED$14,
     K$13:ED$13,
     K68:ED68,
     LAMBDA(
       job,
       buff,
       target,
       check,
       IF(
         AND(check=TRUE, REGEXMATCH(target, ""SELF_EFFECTED_GCD""), ISNUMBER(buff), job=""占星術師"""&amp;"),
         buff,
         1
       )
     )
   )
 )"),1.0)</f>
        <v>1</v>
      </c>
      <c r="EL68" s="200">
        <f>IFERROR(__xludf.DUMMYFUNCTION("PRODUCT(
   MAP(
     K$3:ED$3,
     K$14:ED$14,
     K$13:ED$13,
     K68:ED68,
     LAMBDA(
       job,
       buff,
       target,
       check,
       IF(
         AND(check=TRUE, REGEXMATCH(target, ""SELF_EFFECTED_ALL""), ISNUMBER(buff), job=""学者""),"&amp;"
         buff,
         1
       )
     )
   )
 )"),1.0)</f>
        <v>1</v>
      </c>
      <c r="EM68" s="200">
        <f>IFERROR(__xludf.DUMMYFUNCTION("PRODUCT(
   MAP(
     K$3:ED$3,
     K$14:ED$14,
     K$13:ED$13,
     K68:ED68,
     LAMBDA(
       job,
       buff,
       target,
       check,
       IF(
         AND(check=TRUE, REGEXMATCH(target, ""SELF_EFFECTED_GCD""), ISNUMBER(buff), job=""学者""),"&amp;"
         buff,
         1
       )
     )
   )
 )"),1.0)</f>
        <v>1</v>
      </c>
      <c r="EN68" s="200">
        <f>IFERROR(__xludf.DUMMYFUNCTION("PRODUCT(
   MAP(
     K$3:ED$3,
     K$14:ED$14,
     K$13:ED$13,
     K68:ED68,
     LAMBDA(
       job,
       buff,
       target,
       check,
       IF(
         AND(check=TRUE, REGEXMATCH(target, ""SELF_EFFECTED_ALL""), ISNUMBER(buff), job=""賢者""),"&amp;"
         buff,
         1
       )
     )
   )
 )"),1.0)</f>
        <v>1</v>
      </c>
      <c r="EO68" s="200">
        <f>IFERROR(__xludf.DUMMYFUNCTION("PRODUCT(
   MAP(
     K$3:ED$3,
     K$14:ED$14,
     K$13:ED$13,
     K68:ED68,
     LAMBDA(
       job,
       buff,
       target,
       check,
       IF(
         AND(check=TRUE, REGEXMATCH(target, ""SELF_EFFECTED_GCD""), ISNUMBER(buff), job=""賢者""),"&amp;"
         buff,
         1
       )
     )
   )
 )"),1.0)</f>
        <v>1</v>
      </c>
      <c r="EP68" s="201">
        <f t="shared" si="3"/>
        <v>0</v>
      </c>
      <c r="EQ68" s="201">
        <f>IFERROR(__xludf.DUMMYFUNCTION("SUM(
   MAP(
     K$4:ED$4,
     K$3:ED$3,
     K$7:ED$7,
     K$15:ED$15,
     K$16:ED$16,
     K$21:ED$21,
     K$5:ED$5,
     K$17:ED$17,
     K68:ED68,
     LAMBDA(
       name,
       job,
       abillity,
       buff,
       barrier,
       enhance,"&amp;"
       assign,
       precondition,
       check,
       SWITCH(
         name,
         ""シェイクオフ"", IF(check=TRUE, buff + (0.02 * COUNTIF(ARRAYFORMULA((REGEXMATCH($K$4:$ED$4, ""スリル・オブ・バトル|ヴェンジェンス|原初の血気|ダムネーション"")) * (K68:ED68=TRUE)), 1)), 0),
         "&amp;"""インプロビゼーションフィニッシュ(踊りの激情0)"", IF(ISNUMBER(check), INDEX(Skill!$AJ:$AJ, MATCH(SUBSTITUTE(DV$4, 0, check), Skill!$C:$C, 0)), 0),
         IF(
           AND(check=TRUE, REGEXMATCH(assign, ""RANGE_PARTY"")),
           IF(
             OR(ARRAYFORMULA((IF(pr"&amp;"econdition="""", FALSE, REGEXMATCH($K$4:$ED$4, precondition))) * (K68:ED68=TRUE))),
             enhance,
             IF(barrier="""", buff, barrier)
           ),
           0
         )
       ) *
       SWITCH(
         job,
         ""ナイト"", EY$24,
 "&amp;"        ""戦士"", FD$24,
         ""踊り子"", ET$24,
         ""ピクトマンサー"", ET$24,
         ""白魔道士"", EF68 * EH68 * IF(abillity, 1, EG68 * EI68) * (Option!$D$22 * 0.81 / 100),
         ""占星術師"", EF68 * EJ68 * IF(abillity, 1, EG68 * EK68) * (Option!$D$23 * 0.81 "&amp;"/ 100),
         ""学者"", EF68 * EL68 * IF(abillity, 1, EG68 * EM68) * (Option!$D$24 * 0.81 / 100),
         ""賢者"", EF68 * EN68 * IF(abillity, 1, EG68 * EO68) * (Option!$D$25 * 0.81 / 100),
         1
       )
     )
   )
 )"),0.0)</f>
        <v>0</v>
      </c>
      <c r="ER68" s="202">
        <f t="shared" si="4"/>
        <v>0</v>
      </c>
      <c r="ES68" s="203">
        <f t="shared" si="5"/>
        <v>0</v>
      </c>
      <c r="ET68" s="231" t="str">
        <f>IFERROR(__xludf.DUMMYFUNCTION("IFS(
  EP68 &gt; $ET$24 + EQ68,
  SPARKLINE({ 1, 0 }, {""charttype"",""bar"";""max"", 1;""color1"",Option!$D$30;""color2"",Option!$D$30}),
  EP68 &lt; EQ68,
  SPARKLINE({EQ68 - EP68, $ET$24 - (EQ68 - EP68)}, {""charttype"",""bar"";""max"",$ET$24;""color1"",Opti"&amp;"on!$D$28;""color2"",Option!$D$29}),
  EP68 &gt;= EQ68,
  SPARKLINE({$ET$24 + EQ68 - EP68,EP68 - EQ68}, {""charttype"",""bar"";""max"",$ET$24;""color1"",Option!$D$29;""color2"",Option!$D$30})
)"),"")</f>
        <v/>
      </c>
      <c r="EU68" s="205">
        <f>IFERROR(__xludf.DUMMYFUNCTION("PRODUCT(
   MAP(
     IF($F68=""Physical"", K$10:ED$10, IF($F68=""Magic"", K$11:ED$11, K$12:ED$12)),
     IF($F68=""Physical"", K$18:ED$18, IF($F68=""Magic"", K$19:ED$19, K$20:ED$20)),
     K$3:ED$3,
     K$5:ED$5,
     K$17:ED$17,
     K68:ED68,
     LAM"&amp;"BDA(
       mitigation,
       enhance,
       job,
       assign,
       precondition,
       check,
       IF(
         OR(AND(check=TRUE, REGEXMATCH(assign, ""SELF""), job=""ナイト""), AND(check=Option!$E$13, REGEXMATCH(assign, ""SINGLE_PARTY""))),
      "&amp;"   IF(
           OR(ARRAYFORMULA((IF(precondition="""", FALSE, REGEXMATCH($K$4:$ED$4, precondition))) * (K68:ED68=TRUE))),
           enhance,
           mitigation
         ),
         1
       )
     )
   )
 ) * EE68"),1.0)</f>
        <v>1</v>
      </c>
      <c r="EV68" s="206">
        <f t="shared" si="6"/>
        <v>0</v>
      </c>
      <c r="EW68" s="205">
        <f>IFERROR(__xludf.DUMMYFUNCTION("PRODUCT(
   MAP(
     K$3:ED$3,
     K$14:ED$14,
     K$13:ED$13,
     K68:ED68,
     LAMBDA(
       job,
       buff,
       target,
       check,
       IF(
         OR(AND(check=TRUE, REGEXMATCH(target, ""SELF_AFFECTED_ALL""), job=""ナイト""), AND(check=O"&amp;"ption!$E$13, REGEXMATCH(target, ""SINGLE_AFFECTED_ALL""))),
         buff,
         1
       )
     )
   )
 )"),1.0)</f>
        <v>1</v>
      </c>
      <c r="EX68" s="206">
        <f>IFERROR(__xludf.DUMMYFUNCTION("SUM(
   MAP(
     K$3:ED$3,
     K$7:ED$7,
     K$15:ED$15,
     K$16:ED$16,
     K$21:ED$21,
     K$5:ED$5,
     K$17:ED$17,
     K68:ED68,
     LAMBDA(
       job,
       abillity,
       buff,
       barrier,
       enhance,
       assign,
       preco"&amp;"ndition,
       check,
       IF(
         OR(AND(check=TRUE, REGEXMATCH(assign, ""SELF""), job=""ナイト""), AND(check=Option!$E$13, REGEXMATCH(assign, ""SINGLE_PARTY""))),
         IF(
           OR(ARRAYFORMULA((IF(precondition="""", FALSE, REGEXMATCH($K$4"&amp;":$ED$4, precondition))) * (K68:ED68=TRUE))),
           enhance,
           IF(barrier="""", buff, barrier)
         ),
         0
       ) *
       SWITCH(
         job,
         ""暗黒騎士"", EY$24,
         ""白魔道士"", EF68 * EH68 * EW68 * IF(abillity, 1, EG"&amp;"68 * EI68) * (Option!$D$22 * 0.81 / 100),
         ""占星術師"", EF68 * EJ68 * EW68 * IF(abillity, 1, EG68 * EK68) * (Option!$D$23 * 0.81 / 100),
         ""学者"", EF68 * EL68 * EW68 * IF(abillity, 1, EG68 * EM68) * (Option!$D$24 * 0.81 / 100),
         ""賢者"""&amp;", EF68 * EN68 * EW68 * IF(abillity, 1, EG68 * EO68) * (Option!$D$25 * 0.81 / 100),
         1
       )
     )
   )
 ) + EQ68"),0.0)</f>
        <v>0</v>
      </c>
      <c r="EY68" s="232">
        <f t="shared" si="7"/>
        <v>0</v>
      </c>
      <c r="EZ68" s="205">
        <f>IFERROR(__xludf.DUMMYFUNCTION("PRODUCT(
   MAP(
     IF($F68=""Physical"", K$10:ED$10, IF($F68=""Magic"", K$11:ED$11, K$12:ED$12)),
     IF($F68=""Physical"", K$18:ED$18, IF($F68=""Magic"", K$19:ED$19, K$20:ED$20)),
     K$3:ED$3,
     K$5:ED$5,
     K$17:ED$17,
     K68:ED68,
     LAM"&amp;"BDA(
       mitigation,
       enhance,
       job,
       assign,
       precondition,
       check,
       IF(
         OR(AND(check=TRUE, REGEXMATCH(assign, ""SELF""), job=""戦士""), AND(check=Option!$F$13, REGEXMATCH(assign, ""SINGLE_PARTY""))),
       "&amp;"  IF(
           OR(ARRAYFORMULA((IF(precondition="""", FALSE, REGEXMATCH($K$4:$ED$4, precondition))) * (K68:ED68=TRUE))),
           enhance,
           mitigation
         ),
         1
       )
     )
   )
 ) * EE68"),1.0)</f>
        <v>1</v>
      </c>
      <c r="FA68" s="206">
        <f t="shared" si="8"/>
        <v>0</v>
      </c>
      <c r="FB68" s="205">
        <f>IFERROR(__xludf.DUMMYFUNCTION("PRODUCT(
   MAP(
     K$3:ED$3,
     K$14:ED$14,
     K$13:ED$13,
     K68:ED68,
     LAMBDA(
       job,
       buff,
       target,
       check,
       IF(
         OR(AND(check=TRUE, REGEXMATCH(target, ""SELF_AFFECTED_ALL""), job=""戦士""), AND(check=Op"&amp;"tion!$F$13, REGEXMATCH(target, ""SINGLE_AFFECTED_ALL""))),
         buff,
         1
       )
     )
   )
 )"),1.0)</f>
        <v>1</v>
      </c>
      <c r="FC68" s="206">
        <f>IFERROR(__xludf.DUMMYFUNCTION("SUM(
   MAP(
     K$3:ED$3,
     K$7:ED$7,
     K$15:ED$15,
     K$16:ED$16,
     K$21:ED$21,
     K$5:ED$5,
     K$17:ED$17,
     K68:ED68,
     LAMBDA(
       job,
       abillity,
       buff,
       barrier,
       enhance,
       assign,
       preco"&amp;"ndition,
       check,
       IF(
         OR(AND(check=TRUE, REGEXMATCH(assign, ""SELF""), job=""戦士""), AND(check=Option!$F$13, REGEXMATCH(assign, ""SINGLE_PARTY""))),
         IF(
           OR(ARRAYFORMULA((IF(precondition="""", FALSE, REGEXMATCH($K$4:"&amp;"$ED$4, precondition))) * (K68:ED68=TRUE))),
           enhance,
           IF(barrier="""", buff, barrier)
         ),
         0
       ) *
       SWITCH(
         job,
         ""暗黒騎士"", FD$24,
         ""白魔道士"", EF68 * EH68 * FB68 * IF(abillity, 1, EG6"&amp;"8 * EI68) * (Option!$D$22 * 0.81 / 100),
         ""占星術師"", EF68 * EJ68 * FFB68 * IF(abillity, 1, EG68 * EK68) * (Option!$D$23 * 0.81 / 100),
         ""学者"", EF68 * EL68 * FB68 * IF(abillity, 1, EG68 * EM68) * (Option!$D$24 * 0.81 / 100),
         ""賢者"""&amp;", EF68 * EN68 * FB68 * IF(abillity, 1, EG68 * EO68) * (Option!$D$25 * 0.81 / 100),
         1
       )
     )
   )
 ) + EQ68"),0.0)</f>
        <v>0</v>
      </c>
      <c r="FD68" s="206">
        <f t="shared" si="9"/>
        <v>0</v>
      </c>
      <c r="FE68" s="205">
        <f>IFERROR(__xludf.DUMMYFUNCTION("PRODUCT(
   MAP(
     IF($F68=""Physical"", K$10:ED$10, IF($F68=""Magic"", K$11:ED$11, K$12:ED$12)),
     IF($F68=""Physical"", K$18:ED$18, IF($F68=""Magic"", K$19:ED$19, K$20:ED$20)),
     K$3:ED$3,
     K$5:ED$5,
     K$17:ED$17,
     K68:ED68,
     LAM"&amp;"BDA(
       mitigation,
       enhance,
       job,
       assign,
       precondition,
       check,
       IF(
         OR(AND(check=TRUE, REGEXMATCH(assign, ""SELF""), job=""暗黒騎士""), AND(check=Option!$G$13, REGEXMATCH(assign, ""SINGLE_PARTY""))),
     "&amp;"    IF(
           OR(ARRAYFORMULA((IF(precondition="""", FALSE, REGEXMATCH($K$4:$ED$4, precondition))) * (K68:ED68=TRUE))),
           enhance,
           mitigation
         ),
         1
       )
     )
   )
 ) * EE68"),1.0)</f>
        <v>1</v>
      </c>
      <c r="FF68" s="206">
        <f t="shared" si="10"/>
        <v>0</v>
      </c>
      <c r="FG68" s="205">
        <f>IFERROR(__xludf.DUMMYFUNCTION("PRODUCT(
   MAP(
     K$3:ED$3,
     K$14:ED$14,
     K$13:ED$13,
     K68:ED68,
     LAMBDA(
       job,
       buff,
       target,
       check,
       IF(
         OR(AND(check=TRUE, REGEXMATCH(target, ""SELF_AFFECTED_ALL""), job=""暗黒騎士""), AND(check="&amp;"Option!$G$13, REGEXMATCH(target, ""SINGLE_AFFECTED_ALL""))),
         buff,
         1
       )
     )
   )
 )"),1.0)</f>
        <v>1</v>
      </c>
      <c r="FH68" s="206">
        <f>IFERROR(__xludf.DUMMYFUNCTION("SUM(
   MAP(
     K$3:ED$3,
     K$7:ED$7,
     K$15:ED$15,
     K$16:ED$16,
     K$21:ED$21,
     K$5:ED$5,
     K$17:ED$17,
     K68:ED68,
     LAMBDA(
       job,
       abillity,
       buff,
       barrier,
       enhance,
       assign,
       preco"&amp;"ndition,
       check,
       IF(
         OR(AND(check=TRUE, REGEXMATCH(assign, ""SELF""), job=""暗黒騎士""), AND(check=Option!$G$13, REGEXMATCH(assign, ""SINGLE_PARTY""))),
         IF(
           OR(ARRAYFORMULA((IF(precondition="""", FALSE, REGEXMATCH($K$"&amp;"4:$ED$4, precondition))) * (K68:ED68=TRUE))),
           enhance,
           IF(barrier="""", buff, barrier)
         ),
         0
       ) *
       SWITCH(
         job,
         ""暗黒騎士"", FI$24,
         ""白魔道士"", EF68 * EH68 * FG68 * IF(abillity, 1, E"&amp;"G68 * EI68) * (Option!$D$22 * 0.81 / 100),
         ""占星術師"", EF68 * EJ68 * FG68 * IF(abillity, 1, EG68 * EK68) * (Option!$D$23 * 0.81 / 100),
         ""学者"", EF68 * EL68 * FG68 * IF(abillity, 1, EG68 * EM68) * (Option!$D$24 * 0.81 / 100),
         ""賢者"&amp;""", EF68 * EN68 * FG68 * IF(abillity, 1, EG68 * EO68) * (Option!$D$25 * 0.81 / 100),
         1
       )
     )
   )
 ) + EQ68"),0.0)</f>
        <v>0</v>
      </c>
      <c r="FI68" s="206">
        <f t="shared" si="11"/>
        <v>0</v>
      </c>
      <c r="FJ68" s="205">
        <f>IFERROR(__xludf.DUMMYFUNCTION("PRODUCT(
   MAP(
     IF($F68=""Physical"", K$10:ED$10, IF($F68=""Magic"", K$11:ED$11, K$12:ED$12)),
     IF($F68=""Physical"", K$18:ED$18, IF($F68=""Magic"", K$19:ED$19, K$20:ED$20)),
     K$3:ED$3,
     K$5:ED$5,
     K$17:ED$17,
     K68:ED68,
     LAM"&amp;"BDA(
       mitigation,
       enhance,
       job,
       assign,
       precondition,
       check,
       IF(
         OR(AND(check=TRUE, REGEXMATCH(assign, ""SELF""), job=""ガンブレイカー""), AND(check=Option!$H$13, REGEXMATCH(assign, ""SINGLE_PARTY""))),
  "&amp;"       IF(
           OR(ARRAYFORMULA((IF(precondition="""", FALSE, REGEXMATCH($K$4:$ED$4, precondition))) * (K68:ED68=TRUE))),
           enhance,
           mitigation
         ),
         1
       )
     )
   )
 ) * EE68"),1.0)</f>
        <v>1</v>
      </c>
      <c r="FK68" s="206">
        <f t="shared" si="12"/>
        <v>0</v>
      </c>
      <c r="FL68" s="205">
        <f>IFERROR(__xludf.DUMMYFUNCTION("PRODUCT(
   MAP(
     K$3:ED$3,
     K$14:ED$14,
     K$13:ED$13,
     K68:ED68,
     LAMBDA(
       job,
       buff,
       target,
       check,
       IF(
         OR(AND(check=TRUE, REGEXMATCH(target, ""SELF_AFFECTED_ALL""), job=""ガンブレイカー""), AND(che"&amp;"ck=Option!$H$13, REGEXMATCH(target, ""SINGLE_AFFECTED_ALL""))),
         buff,
         1
       )
     )
   )
 )"),1.0)</f>
        <v>1</v>
      </c>
      <c r="FM68" s="206">
        <f>IFERROR(__xludf.DUMMYFUNCTION("SUM(
   MAP(
     K$3:ED$3,
     K$7:ED$7,
     K$15:ED$15,
     K$16:ED$16,
     K$21:ED$21,
     K$5:ED$5,
     K$17:ED$17,
     K68:ED68,
     LAMBDA(
       job,
       abillity,
       buff,
       barrier,
       enhance,
       assign,
       preco"&amp;"ndition,
       check,
       IF(
         OR(AND(check=TRUE, REGEXMATCH(assign, ""SELF""), job=""ガンブレイカー""), AND(check=Option!$H$13, REGEXMATCH(assign, ""SINGLE_PARTY""))),
         IF(
           OR(ARRAYFORMULA((IF(precondition="""", FALSE, REGEXMATCH("&amp;"$K$4:$ED$4, precondition))) * (K68:ED68=TRUE))),
           enhance,
           IF(barrier="""", buff, barrier)
         ),
         0
       ) *
       SWITCH(
         job,
         ""暗黒騎士"", FN$24,
         ""白魔道士"", EF68 * EH68 * FL68 * IF(abillity, 1"&amp;", EG68 * EI68) * (Option!$D$22 * 0.81 / 100),
         ""占星術師"", EF68 * EJ68 * FL68 * IF(abillity, 1, EG68 * EK68) * (Option!$D$23 * 0.81 / 100),
         ""学者"", EF68 * EL68 * FL68 * IF(abillity, 1, EG68 * EM68) * (Option!$D$24 * 0.81 / 100),
         """&amp;"賢者"", EF68 * EN68 * FL68 * IF(abillity, 1, EG68 * EO68) * (Option!$D$25 * 0.81 / 100),
         1
       )
     )
   )
 ) + EQ68"),0.0)</f>
        <v>0</v>
      </c>
      <c r="FN68" s="206">
        <f t="shared" si="13"/>
        <v>0</v>
      </c>
      <c r="FO68" s="213"/>
    </row>
    <row r="69">
      <c r="B69" s="229"/>
      <c r="C69" s="217">
        <f t="shared" si="1"/>
        <v>0</v>
      </c>
      <c r="D69" s="236"/>
      <c r="E69" s="238"/>
      <c r="F69" s="167"/>
      <c r="G69" s="168" t="str">
        <f t="shared" si="2"/>
        <v/>
      </c>
      <c r="H69" s="169"/>
      <c r="I69" s="169"/>
      <c r="J69" s="169"/>
      <c r="K69" s="170" t="b">
        <v>0</v>
      </c>
      <c r="L69" s="170" t="b">
        <v>0</v>
      </c>
      <c r="M69" s="170" t="b">
        <v>0</v>
      </c>
      <c r="N69" s="171" t="s">
        <v>1070</v>
      </c>
      <c r="O69" s="172" t="b">
        <v>0</v>
      </c>
      <c r="P69" s="173" t="b">
        <v>0</v>
      </c>
      <c r="Q69" s="173" t="b">
        <v>0</v>
      </c>
      <c r="R69" s="173" t="b">
        <v>0</v>
      </c>
      <c r="S69" s="174" t="b">
        <v>0</v>
      </c>
      <c r="T69" s="175" t="b">
        <v>0</v>
      </c>
      <c r="U69" s="173" t="b">
        <v>0</v>
      </c>
      <c r="V69" s="171" t="s">
        <v>1070</v>
      </c>
      <c r="W69" s="172" t="b">
        <v>0</v>
      </c>
      <c r="X69" s="173" t="b">
        <v>0</v>
      </c>
      <c r="Y69" s="173" t="b">
        <v>0</v>
      </c>
      <c r="Z69" s="173" t="b">
        <v>0</v>
      </c>
      <c r="AA69" s="174" t="b">
        <v>0</v>
      </c>
      <c r="AB69" s="174" t="b">
        <v>0</v>
      </c>
      <c r="AC69" s="175" t="b">
        <v>0</v>
      </c>
      <c r="AD69" s="173" t="b">
        <v>0</v>
      </c>
      <c r="AE69" s="176" t="s">
        <v>1070</v>
      </c>
      <c r="AF69" s="171" t="s">
        <v>1070</v>
      </c>
      <c r="AG69" s="177">
        <f>IFERROR(__xludf.DUMMYFUNCTION("IF(
  ISNUMBER(AG68),
  MIN(MAX(
    AG68
    + MAX(
      ROUNDDOWN(($D69 - MAX(IFERROR(FILTER($D$24:$D68, AG$24:AG68 &lt;&gt; AF$6, AG$23:AG67 = AF$6), 0))) * (60 * 60 * 24) / AF$9) - ROUNDDOWN(($D68 - MAX(IFERROR(FILTER($D$23:$D67, AG$23:AG67 &lt;&gt; AF$6, AG$22:"&amp;"AG66 = AF$6), 0))) * (60 * 60 * 24) / 60),
      0
    )
    - COUNTIF(AF69, ""&lt;&gt;-""),
  0), AF$6),
  AF$6 - COUNTIF(AF69, ""&lt;&gt;-"")
)"),2.0)</f>
        <v>2</v>
      </c>
      <c r="AH69" s="173" t="b">
        <v>0</v>
      </c>
      <c r="AI69" s="173" t="b">
        <v>0</v>
      </c>
      <c r="AJ69" s="173" t="b">
        <v>0</v>
      </c>
      <c r="AK69" s="174" t="b">
        <v>0</v>
      </c>
      <c r="AL69" s="175" t="b">
        <v>0</v>
      </c>
      <c r="AM69" s="173" t="b">
        <v>0</v>
      </c>
      <c r="AN69" s="171" t="s">
        <v>1070</v>
      </c>
      <c r="AO69" s="173" t="b">
        <v>0</v>
      </c>
      <c r="AP69" s="173" t="b">
        <v>0</v>
      </c>
      <c r="AQ69" s="173" t="b">
        <v>0</v>
      </c>
      <c r="AR69" s="174" t="b">
        <v>0</v>
      </c>
      <c r="AS69" s="178" t="b">
        <v>0</v>
      </c>
      <c r="AT69" s="179" t="b">
        <v>0</v>
      </c>
      <c r="AU69" s="180" t="b">
        <v>0</v>
      </c>
      <c r="AV69" s="180" t="b">
        <v>0</v>
      </c>
      <c r="AW69" s="180" t="b">
        <v>0</v>
      </c>
      <c r="AX69" s="180" t="b">
        <v>0</v>
      </c>
      <c r="AY69" s="181" t="s">
        <v>1070</v>
      </c>
      <c r="AZ69" s="181" t="s">
        <v>1070</v>
      </c>
      <c r="BA69" s="184">
        <f>IFERROR(__xludf.DUMMYFUNCTION("IF(
  ISNUMBER(BA68),
  MIN(MAX(
    BA68
    + MAX(
      ROUNDDOWN((D69 - MAX(IFERROR(FILTER(D$24:D68, BA$24:BA68 &lt;&gt; AZ$6, BA$23:BA67 = AZ$6), 0))) * (60 * 60 * 24) / AZ$9) - ROUNDDOWN((D68 - MAX(IFERROR(FILTER(D$23:D67, BA$23:BA67 &lt;&gt; AZ$6, BA$22:BA66 ="&amp;" AZ$6), 0))) * (60 * 60 * 24) / AZ$9),
      0
    )
    - COUNTIF(AZ69, ""&lt;&gt;-""),
  0), AZ$6),
  AZ$6 - COUNTIF(AZ69, ""&lt;&gt;-"")
)"),2.0)</f>
        <v>2</v>
      </c>
      <c r="BB69" s="181" t="s">
        <v>1070</v>
      </c>
      <c r="BC69" s="183">
        <f>IFERROR(__xludf.DUMMYFUNCTION("IF(
  ISNUMBER(BC68),
  MIN(MAX(
    BC68
    + MAX(
      ROUNDDOWN(($D69 - MAX(IFERROR(FILTER($D$24:$D68, BC$24:BC68 &lt;&gt; BB$6, BC$23:BC67 = BB$6), 0))) * (60 * 60 * 24) / BB$9) - ROUNDDOWN(($D68 - MAX(IFERROR(FILTER($D$23:$D67, BC$23:BC67 &lt;&gt; BB$6, BC$22:"&amp;"BC66 = BB$6), 0))) * (60 * 60 * 24) / 60),
      0
    )
    - COUNTIF(BB69, ""&lt;&gt;-""),
  0), BB$6),
  BB$6 - COUNTIF(BB69, ""&lt;&gt;-"")
)"),2.0)</f>
        <v>2</v>
      </c>
      <c r="BD69" s="181" t="s">
        <v>1070</v>
      </c>
      <c r="BE69" s="178" t="b">
        <v>0</v>
      </c>
      <c r="BF69" s="180" t="b">
        <v>0</v>
      </c>
      <c r="BG69" s="180" t="b">
        <v>0</v>
      </c>
      <c r="BH69" s="180" t="b">
        <v>0</v>
      </c>
      <c r="BI69" s="180" t="b">
        <v>0</v>
      </c>
      <c r="BJ69" s="180" t="b">
        <v>0</v>
      </c>
      <c r="BK69" s="180" t="b">
        <v>0</v>
      </c>
      <c r="BL69" s="180" t="b">
        <v>0</v>
      </c>
      <c r="BM69" s="180" t="b">
        <v>0</v>
      </c>
      <c r="BN69" s="180" t="b">
        <v>0</v>
      </c>
      <c r="BO69" s="181" t="s">
        <v>1070</v>
      </c>
      <c r="BP69" s="181" t="s">
        <v>1070</v>
      </c>
      <c r="BQ69" s="181" t="s">
        <v>1070</v>
      </c>
      <c r="BR69" s="181" t="s">
        <v>1070</v>
      </c>
      <c r="BS69" s="181" t="s">
        <v>1070</v>
      </c>
      <c r="BT69" s="184">
        <f>IFERROR(__xludf.DUMMYFUNCTION("IF(
  ISNUMBER(BT68),
  MIN(MAX(
    BT68
    + MAX(
      ROUNDDOWN((D69 - MAX(IFERROR(FILTER(D$24:D68, BT$24:BT68 &lt;&gt; BS$6, BT$23:BT67 = BS$6), 0))) * (60 * 60 * 24) / BS$9) - ROUNDDOWN((D68 - MAX(IFERROR(FILTER(D$23:D67, BT$23:BT67 &lt;&gt; BS$6, BT$22:BT66 ="&amp;" BS$6), 0))) * (60 * 60 * 24) / BS$9),
      0
    )
    - COUNTIF(BS69, ""&lt;&gt;-""),
  0), BS$6),
  BS$6 - COUNTIF(BS69, ""&lt;&gt;-"")
)"),3.0)</f>
        <v>3</v>
      </c>
      <c r="BU69" s="181" t="s">
        <v>1070</v>
      </c>
      <c r="BV69" s="181" t="s">
        <v>1070</v>
      </c>
      <c r="BW69" s="184">
        <f>IFERROR(__xludf.DUMMYFUNCTION("IF(
  ISNUMBER(BW68),
  MIN(MAX(
    BW68
    + MAX(
      ROUNDDOWN((D69 - MAX(IFERROR(FILTER(D$24:D68, BW$24:BW68 &lt;&gt; BV$6, BW$23:BW67 = BV$6), 0))) * (60 * 60 * 24) / BV$9) - ROUNDDOWN((D68 - MAX(IFERROR(FILTER(D$23:D67, BW$23:BW67 &lt;&gt; BV$6, BW$22:BW66 ="&amp;" BV$6), 0))) * (60 * 60 * 24) / BV$9),
      0
    )
    - COUNTIF(BV69, ""&lt;&gt;-""),
  0), BV$6),
  BV$6 - COUNTIF(BV69, ""&lt;&gt;-"")
)"),2.0)</f>
        <v>2</v>
      </c>
      <c r="BX69" s="185" t="s">
        <v>1070</v>
      </c>
      <c r="BY69" s="178" t="b">
        <v>0</v>
      </c>
      <c r="BZ69" s="180" t="b">
        <v>0</v>
      </c>
      <c r="CA69" s="180" t="b">
        <v>0</v>
      </c>
      <c r="CB69" s="180" t="b">
        <v>0</v>
      </c>
      <c r="CC69" s="180" t="b">
        <v>0</v>
      </c>
      <c r="CD69" s="180" t="b">
        <v>0</v>
      </c>
      <c r="CE69" s="180" t="b">
        <v>0</v>
      </c>
      <c r="CF69" s="180" t="b">
        <v>0</v>
      </c>
      <c r="CG69" s="180" t="b">
        <v>0</v>
      </c>
      <c r="CH69" s="180" t="b">
        <v>0</v>
      </c>
      <c r="CI69" s="180" t="b">
        <v>0</v>
      </c>
      <c r="CJ69" s="180" t="b">
        <v>0</v>
      </c>
      <c r="CK69" s="180" t="b">
        <v>0</v>
      </c>
      <c r="CL69" s="180" t="b">
        <v>0</v>
      </c>
      <c r="CM69" s="181" t="s">
        <v>1070</v>
      </c>
      <c r="CN69" s="181" t="s">
        <v>1070</v>
      </c>
      <c r="CO69" s="181" t="s">
        <v>1070</v>
      </c>
      <c r="CP69" s="181" t="s">
        <v>1070</v>
      </c>
      <c r="CQ69" s="185" t="s">
        <v>1070</v>
      </c>
      <c r="CR69" s="180" t="b">
        <v>0</v>
      </c>
      <c r="CS69" s="186" t="str">
        <f t="shared" si="14"/>
        <v>◇◇◇</v>
      </c>
      <c r="CT69" s="178" t="b">
        <v>0</v>
      </c>
      <c r="CU69" s="180" t="b">
        <v>0</v>
      </c>
      <c r="CV69" s="180" t="b">
        <v>0</v>
      </c>
      <c r="CW69" s="180" t="b">
        <v>0</v>
      </c>
      <c r="CX69" s="180" t="b">
        <v>0</v>
      </c>
      <c r="CY69" s="180" t="b">
        <v>0</v>
      </c>
      <c r="CZ69" s="180" t="b">
        <v>0</v>
      </c>
      <c r="DA69" s="180" t="b">
        <v>0</v>
      </c>
      <c r="DB69" s="180" t="b">
        <v>0</v>
      </c>
      <c r="DC69" s="180" t="b">
        <v>0</v>
      </c>
      <c r="DD69" s="181" t="s">
        <v>1070</v>
      </c>
      <c r="DE69" s="181" t="s">
        <v>1070</v>
      </c>
      <c r="DF69" s="181" t="s">
        <v>1070</v>
      </c>
      <c r="DG69" s="185" t="s">
        <v>1070</v>
      </c>
      <c r="DH69" s="180" t="b">
        <v>0</v>
      </c>
      <c r="DI69" s="187" t="str">
        <f>IFERROR(__xludf.DUMMYFUNCTION("SWITCH(
  IF(
    ISTEXT(DI68),
    IF (
      FIND(""○"", DI68&amp;""○"") &gt; 3,
      3,
      FIND(""○"", DI68&amp;""○"")
      + MAX(
        ROUNDDOWN(($D69 - MAX(IFERROR(FILTER(D$24:D68, DI$24:DI68 &lt;&gt; ""●●●"", DI$23:DI67 = ""●●●""), 0))) * (60 * 60 * 24) / 20"&amp;") - ROUNDDOWN(($D68 - MAX(IFERROR(FILTER(D$23:D67, DI$23:DI67 &lt;&gt; ""●●●"", DI$22:DI66 = ""●●●""), 0))) * (60 * 60 * 24) / 20),
        0
      ) - 1
    ) - COUNTIFS(CU69, ""=TRUE"", CU68, ""&lt;&gt;TRUE"") - COUNTIF(CZ69, ""=TRUE"") - COUNTIF({DD69,DE69}, ""&lt;&gt;-"&amp;""") + COUNTIF(DH69, ""=TRUE""),
    3
  ),
  0, ""○○○"", 1, ""●○○"", 2, ""●●○"", 3, ""●●●"", 4, ""●●●"", ""○○○""
)"),"●●●")</f>
        <v>●●●</v>
      </c>
      <c r="DJ69" s="188" t="b">
        <v>0</v>
      </c>
      <c r="DK69" s="189" t="b">
        <v>0</v>
      </c>
      <c r="DL69" s="190" t="b">
        <v>0</v>
      </c>
      <c r="DM69" s="190" t="b">
        <v>0</v>
      </c>
      <c r="DN69" s="190" t="b">
        <v>0</v>
      </c>
      <c r="DO69" s="190" t="b">
        <v>0</v>
      </c>
      <c r="DP69" s="190" t="b">
        <v>0</v>
      </c>
      <c r="DQ69" s="191" t="b">
        <v>0</v>
      </c>
      <c r="DR69" s="192" t="b">
        <v>0</v>
      </c>
      <c r="DS69" s="191" t="b">
        <v>0</v>
      </c>
      <c r="DT69" s="192" t="b">
        <v>0</v>
      </c>
      <c r="DU69" s="191" t="b">
        <v>0</v>
      </c>
      <c r="DV69" s="193" t="s">
        <v>1070</v>
      </c>
      <c r="DW69" s="194" t="b">
        <v>0</v>
      </c>
      <c r="DX69" s="194" t="b">
        <v>0</v>
      </c>
      <c r="DY69" s="195" t="b">
        <v>0</v>
      </c>
      <c r="DZ69" s="196" t="b">
        <v>0</v>
      </c>
      <c r="EA69" s="195" t="b">
        <v>0</v>
      </c>
      <c r="EB69" s="197" t="b">
        <v>0</v>
      </c>
      <c r="EC69" s="197" t="b">
        <v>0</v>
      </c>
      <c r="ED69" s="212" t="b">
        <v>0</v>
      </c>
      <c r="EE69" s="199">
        <f>IFERROR(__xludf.DUMMYFUNCTION("IFERROR(
   PRODUCT(
     MAP(
       INDEX(TRANSPOSE(UNIQUE(TRANSPOSE(FILTER({IF($F69=""Physical"", K$10:ED$10, IF($F69=""Magic"", K$11:ED$11, K$12:ED$12));K$4:ED$4;K69:ED69}, K69:ED69=TRUE)))), 1, 0),
       INDEX(TRANSPOSE(UNIQUE(TRANSPOSE(FILTER({IF($"&amp;"F69=""Physical"", K$18:ED$18, IF($F69=""Magic"", K$19:ED$19, K$20:ED$20));K$4:ED$4;K69:ED69}, K69:ED69=TRUE)))), 1, 0),
       INDEX(TRANSPOSE(UNIQUE(TRANSPOSE(FILTER({K$5:ED$5;K$4:ED$4;K69:ED69}, K69:ED69=TRUE)))), 1, 0),
       INDEX(TRANSPOSE(UNIQUE(TR"&amp;"ANSPOSE(FILTER({K$17:ED$17;K$4:ED$4;K69:ED69}, K69:ED69=TRUE)))), 1, 0),
       LAMBDA(
         mitigation,
         enhance,
         assign,
         precondition,
         IF(
           REGEXMATCH(assign, ""RANGE_PARTY|SINGLE_ENEMY|RANGE_ENEMY""),
  "&amp;"         IF(
             OR(ARRAYFORMULA((IF(precondition="""", FALSE, REGEXMATCH(K$4:ED$4, precondition))) * (K69:ED69=TRUE))),
             IF(ISNUMBER(enhance), enhance, 1),
             IF(ISNUMBER(mitigation), mitigation, 1)
           ),
          "&amp;" 1
         )
       )
     )
   ),
   1
 )"),1.0)</f>
        <v>1</v>
      </c>
      <c r="EF69" s="200">
        <f>IFERROR(__xludf.DUMMYFUNCTION("PRODUCT(
   MAP(
     K$14:ED$14,
     K$13:ED$13,
     K69:ED69,
     LAMBDA(
       buff,
       target,
       check,
       IF(
         AND(check=TRUE, REGEXMATCH(target, ""RANGE_AFFECTED_ALL|RANGE_EFFECTED_ALL""), ISNUMBER(buff)),
         buff,
   "&amp;"      1
       )
     )
   )
 )"),1.0)</f>
        <v>1</v>
      </c>
      <c r="EG69" s="200">
        <f>IFERROR(__xludf.DUMMYFUNCTION("PRODUCT(
   MAP(
     K$14:ED$14,
     K$13:ED$13,
     K69:ED69,
     LAMBDA(
       buff,
       target,
       check,
       IF(
         AND(check=TRUE, REGEXMATCH(target, ""RANGE_AFFECTED_GCD|RANGE_EFFECTED_GCD""), ISNUMBER(buff)),
         buff,
   "&amp;"      1
       )
     )
   )
 )"),1.0)</f>
        <v>1</v>
      </c>
      <c r="EH69" s="200">
        <f>IFERROR(__xludf.DUMMYFUNCTION("PRODUCT(
   MAP(
     K$3:ED$3,
     K$14:ED$14,
     K$13:ED$13,
     K69:ED69,
     LAMBDA(
       job,
       buff,
       target,
       check,
       IF(
         AND(check=TRUE, REGEXMATCH(target, ""SELF_EFFECTED_ALL""), ISNUMBER(buff), job=""白魔道士"""&amp;"),
         buff,
         1
       )
     )
   )
 )"),1.0)</f>
        <v>1</v>
      </c>
      <c r="EI69" s="200">
        <f>IFERROR(__xludf.DUMMYFUNCTION("PRODUCT(
   MAP(
     K$3:ED$3,
     K$14:ED$14,
     K$13:ED$13,
     K69:ED69,
     LAMBDA(
       job,
       buff,
       target,
       check,
       IF(
         AND(check=TRUE, REGEXMATCH(target, ""SELF_EFFECTED_GCD""), ISNUMBER(buff), job=""白魔道士"""&amp;"),
         buff,
         1
       )
     )
   )
 )"),1.0)</f>
        <v>1</v>
      </c>
      <c r="EJ69" s="200">
        <f>IFERROR(__xludf.DUMMYFUNCTION("PRODUCT(
   MAP(
     K$3:ED$3,
     K$14:ED$14,
     K$13:ED$13,
     K69:ED69,
     LAMBDA(
       job,
       buff,
       target,
       check,
       IF(
         AND(check=TRUE, REGEXMATCH(target, ""SELF_EFFECTED_ALL""), ISNUMBER(buff), job=""占星術師"""&amp;"),
         buff,
         1
       )
     )
   )
 )"),1.0)</f>
        <v>1</v>
      </c>
      <c r="EK69" s="200">
        <f>IFERROR(__xludf.DUMMYFUNCTION("PRODUCT(
   MAP(
     K$3:ED$3,
     K$14:ED$14,
     K$13:ED$13,
     K69:ED69,
     LAMBDA(
       job,
       buff,
       target,
       check,
       IF(
         AND(check=TRUE, REGEXMATCH(target, ""SELF_EFFECTED_GCD""), ISNUMBER(buff), job=""占星術師"""&amp;"),
         buff,
         1
       )
     )
   )
 )"),1.0)</f>
        <v>1</v>
      </c>
      <c r="EL69" s="200">
        <f>IFERROR(__xludf.DUMMYFUNCTION("PRODUCT(
   MAP(
     K$3:ED$3,
     K$14:ED$14,
     K$13:ED$13,
     K69:ED69,
     LAMBDA(
       job,
       buff,
       target,
       check,
       IF(
         AND(check=TRUE, REGEXMATCH(target, ""SELF_EFFECTED_ALL""), ISNUMBER(buff), job=""学者""),"&amp;"
         buff,
         1
       )
     )
   )
 )"),1.0)</f>
        <v>1</v>
      </c>
      <c r="EM69" s="200">
        <f>IFERROR(__xludf.DUMMYFUNCTION("PRODUCT(
   MAP(
     K$3:ED$3,
     K$14:ED$14,
     K$13:ED$13,
     K69:ED69,
     LAMBDA(
       job,
       buff,
       target,
       check,
       IF(
         AND(check=TRUE, REGEXMATCH(target, ""SELF_EFFECTED_GCD""), ISNUMBER(buff), job=""学者""),"&amp;"
         buff,
         1
       )
     )
   )
 )"),1.0)</f>
        <v>1</v>
      </c>
      <c r="EN69" s="200">
        <f>IFERROR(__xludf.DUMMYFUNCTION("PRODUCT(
   MAP(
     K$3:ED$3,
     K$14:ED$14,
     K$13:ED$13,
     K69:ED69,
     LAMBDA(
       job,
       buff,
       target,
       check,
       IF(
         AND(check=TRUE, REGEXMATCH(target, ""SELF_EFFECTED_ALL""), ISNUMBER(buff), job=""賢者""),"&amp;"
         buff,
         1
       )
     )
   )
 )"),1.0)</f>
        <v>1</v>
      </c>
      <c r="EO69" s="200">
        <f>IFERROR(__xludf.DUMMYFUNCTION("PRODUCT(
   MAP(
     K$3:ED$3,
     K$14:ED$14,
     K$13:ED$13,
     K69:ED69,
     LAMBDA(
       job,
       buff,
       target,
       check,
       IF(
         AND(check=TRUE, REGEXMATCH(target, ""SELF_EFFECTED_GCD""), ISNUMBER(buff), job=""賢者""),"&amp;"
         buff,
         1
       )
     )
   )
 )"),1.0)</f>
        <v>1</v>
      </c>
      <c r="EP69" s="201">
        <f t="shared" si="3"/>
        <v>0</v>
      </c>
      <c r="EQ69" s="201">
        <f>IFERROR(__xludf.DUMMYFUNCTION("SUM(
   MAP(
     K$4:ED$4,
     K$3:ED$3,
     K$7:ED$7,
     K$15:ED$15,
     K$16:ED$16,
     K$21:ED$21,
     K$5:ED$5,
     K$17:ED$17,
     K69:ED69,
     LAMBDA(
       name,
       job,
       abillity,
       buff,
       barrier,
       enhance,"&amp;"
       assign,
       precondition,
       check,
       SWITCH(
         name,
         ""シェイクオフ"", IF(check=TRUE, buff + (0.02 * COUNTIF(ARRAYFORMULA((REGEXMATCH($K$4:$ED$4, ""スリル・オブ・バトル|ヴェンジェンス|原初の血気|ダムネーション"")) * (K69:ED69=TRUE)), 1)), 0),
         "&amp;"""インプロビゼーションフィニッシュ(踊りの激情0)"", IF(ISNUMBER(check), INDEX(Skill!$AJ:$AJ, MATCH(SUBSTITUTE(DV$4, 0, check), Skill!$C:$C, 0)), 0),
         IF(
           AND(check=TRUE, REGEXMATCH(assign, ""RANGE_PARTY"")),
           IF(
             OR(ARRAYFORMULA((IF(pr"&amp;"econdition="""", FALSE, REGEXMATCH($K$4:$ED$4, precondition))) * (K69:ED69=TRUE))),
             enhance,
             IF(barrier="""", buff, barrier)
           ),
           0
         )
       ) *
       SWITCH(
         job,
         ""ナイト"", EY$24,
 "&amp;"        ""戦士"", FD$24,
         ""踊り子"", ET$24,
         ""ピクトマンサー"", ET$24,
         ""白魔道士"", EF69 * EH69 * IF(abillity, 1, EG69 * EI69) * (Option!$D$22 * 0.81 / 100),
         ""占星術師"", EF69 * EJ69 * IF(abillity, 1, EG69 * EK69) * (Option!$D$23 * 0.81 "&amp;"/ 100),
         ""学者"", EF69 * EL69 * IF(abillity, 1, EG69 * EM69) * (Option!$D$24 * 0.81 / 100),
         ""賢者"", EF69 * EN69 * IF(abillity, 1, EG69 * EO69) * (Option!$D$25 * 0.81 / 100),
         1
       )
     )
   )
 )"),0.0)</f>
        <v>0</v>
      </c>
      <c r="ER69" s="202">
        <f t="shared" si="4"/>
        <v>0</v>
      </c>
      <c r="ES69" s="203">
        <f t="shared" si="5"/>
        <v>0</v>
      </c>
      <c r="ET69" s="231" t="str">
        <f>IFERROR(__xludf.DUMMYFUNCTION("IFS(
  EP69 &gt; $ET$24 + EQ69,
  SPARKLINE({ 1, 0 }, {""charttype"",""bar"";""max"", 1;""color1"",Option!$D$30;""color2"",Option!$D$30}),
  EP69 &lt; EQ69,
  SPARKLINE({EQ69 - EP69, $ET$24 - (EQ69 - EP69)}, {""charttype"",""bar"";""max"",$ET$24;""color1"",Opti"&amp;"on!$D$28;""color2"",Option!$D$29}),
  EP69 &gt;= EQ69,
  SPARKLINE({$ET$24 + EQ69 - EP69,EP69 - EQ69}, {""charttype"",""bar"";""max"",$ET$24;""color1"",Option!$D$29;""color2"",Option!$D$30})
)"),"")</f>
        <v/>
      </c>
      <c r="EU69" s="205">
        <f>IFERROR(__xludf.DUMMYFUNCTION("PRODUCT(
   MAP(
     IF($F69=""Physical"", K$10:ED$10, IF($F69=""Magic"", K$11:ED$11, K$12:ED$12)),
     IF($F69=""Physical"", K$18:ED$18, IF($F69=""Magic"", K$19:ED$19, K$20:ED$20)),
     K$3:ED$3,
     K$5:ED$5,
     K$17:ED$17,
     K69:ED69,
     LAM"&amp;"BDA(
       mitigation,
       enhance,
       job,
       assign,
       precondition,
       check,
       IF(
         OR(AND(check=TRUE, REGEXMATCH(assign, ""SELF""), job=""ナイト""), AND(check=Option!$E$13, REGEXMATCH(assign, ""SINGLE_PARTY""))),
      "&amp;"   IF(
           OR(ARRAYFORMULA((IF(precondition="""", FALSE, REGEXMATCH($K$4:$ED$4, precondition))) * (K69:ED69=TRUE))),
           enhance,
           mitigation
         ),
         1
       )
     )
   )
 ) * EE69"),1.0)</f>
        <v>1</v>
      </c>
      <c r="EV69" s="206">
        <f t="shared" si="6"/>
        <v>0</v>
      </c>
      <c r="EW69" s="205">
        <f>IFERROR(__xludf.DUMMYFUNCTION("PRODUCT(
   MAP(
     K$3:ED$3,
     K$14:ED$14,
     K$13:ED$13,
     K69:ED69,
     LAMBDA(
       job,
       buff,
       target,
       check,
       IF(
         OR(AND(check=TRUE, REGEXMATCH(target, ""SELF_AFFECTED_ALL""), job=""ナイト""), AND(check=O"&amp;"ption!$E$13, REGEXMATCH(target, ""SINGLE_AFFECTED_ALL""))),
         buff,
         1
       )
     )
   )
 )"),1.0)</f>
        <v>1</v>
      </c>
      <c r="EX69" s="206">
        <f>IFERROR(__xludf.DUMMYFUNCTION("SUM(
   MAP(
     K$3:ED$3,
     K$7:ED$7,
     K$15:ED$15,
     K$16:ED$16,
     K$21:ED$21,
     K$5:ED$5,
     K$17:ED$17,
     K69:ED69,
     LAMBDA(
       job,
       abillity,
       buff,
       barrier,
       enhance,
       assign,
       preco"&amp;"ndition,
       check,
       IF(
         OR(AND(check=TRUE, REGEXMATCH(assign, ""SELF""), job=""ナイト""), AND(check=Option!$E$13, REGEXMATCH(assign, ""SINGLE_PARTY""))),
         IF(
           OR(ARRAYFORMULA((IF(precondition="""", FALSE, REGEXMATCH($K$4"&amp;":$ED$4, precondition))) * (K69:ED69=TRUE))),
           enhance,
           IF(barrier="""", buff, barrier)
         ),
         0
       ) *
       SWITCH(
         job,
         ""暗黒騎士"", EY$24,
         ""白魔道士"", EF69 * EH69 * EW69 * IF(abillity, 1, EG"&amp;"69 * EI69) * (Option!$D$22 * 0.81 / 100),
         ""占星術師"", EF69 * EJ69 * EW69 * IF(abillity, 1, EG69 * EK69) * (Option!$D$23 * 0.81 / 100),
         ""学者"", EF69 * EL69 * EW69 * IF(abillity, 1, EG69 * EM69) * (Option!$D$24 * 0.81 / 100),
         ""賢者"""&amp;", EF69 * EN69 * EW69 * IF(abillity, 1, EG69 * EO69) * (Option!$D$25 * 0.81 / 100),
         1
       )
     )
   )
 ) + EQ69"),0.0)</f>
        <v>0</v>
      </c>
      <c r="EY69" s="232">
        <f t="shared" si="7"/>
        <v>0</v>
      </c>
      <c r="EZ69" s="205">
        <f>IFERROR(__xludf.DUMMYFUNCTION("PRODUCT(
   MAP(
     IF($F69=""Physical"", K$10:ED$10, IF($F69=""Magic"", K$11:ED$11, K$12:ED$12)),
     IF($F69=""Physical"", K$18:ED$18, IF($F69=""Magic"", K$19:ED$19, K$20:ED$20)),
     K$3:ED$3,
     K$5:ED$5,
     K$17:ED$17,
     K69:ED69,
     LAM"&amp;"BDA(
       mitigation,
       enhance,
       job,
       assign,
       precondition,
       check,
       IF(
         OR(AND(check=TRUE, REGEXMATCH(assign, ""SELF""), job=""戦士""), AND(check=Option!$F$13, REGEXMATCH(assign, ""SINGLE_PARTY""))),
       "&amp;"  IF(
           OR(ARRAYFORMULA((IF(precondition="""", FALSE, REGEXMATCH($K$4:$ED$4, precondition))) * (K69:ED69=TRUE))),
           enhance,
           mitigation
         ),
         1
       )
     )
   )
 ) * EE69"),1.0)</f>
        <v>1</v>
      </c>
      <c r="FA69" s="206">
        <f t="shared" si="8"/>
        <v>0</v>
      </c>
      <c r="FB69" s="205">
        <f>IFERROR(__xludf.DUMMYFUNCTION("PRODUCT(
   MAP(
     K$3:ED$3,
     K$14:ED$14,
     K$13:ED$13,
     K69:ED69,
     LAMBDA(
       job,
       buff,
       target,
       check,
       IF(
         OR(AND(check=TRUE, REGEXMATCH(target, ""SELF_AFFECTED_ALL""), job=""戦士""), AND(check=Op"&amp;"tion!$F$13, REGEXMATCH(target, ""SINGLE_AFFECTED_ALL""))),
         buff,
         1
       )
     )
   )
 )"),1.0)</f>
        <v>1</v>
      </c>
      <c r="FC69" s="206">
        <f>IFERROR(__xludf.DUMMYFUNCTION("SUM(
   MAP(
     K$3:ED$3,
     K$7:ED$7,
     K$15:ED$15,
     K$16:ED$16,
     K$21:ED$21,
     K$5:ED$5,
     K$17:ED$17,
     K69:ED69,
     LAMBDA(
       job,
       abillity,
       buff,
       barrier,
       enhance,
       assign,
       preco"&amp;"ndition,
       check,
       IF(
         OR(AND(check=TRUE, REGEXMATCH(assign, ""SELF""), job=""戦士""), AND(check=Option!$F$13, REGEXMATCH(assign, ""SINGLE_PARTY""))),
         IF(
           OR(ARRAYFORMULA((IF(precondition="""", FALSE, REGEXMATCH($K$4:"&amp;"$ED$4, precondition))) * (K69:ED69=TRUE))),
           enhance,
           IF(barrier="""", buff, barrier)
         ),
         0
       ) *
       SWITCH(
         job,
         ""暗黒騎士"", FD$24,
         ""白魔道士"", EF69 * EH69 * FB69 * IF(abillity, 1, EG6"&amp;"9 * EI69) * (Option!$D$22 * 0.81 / 100),
         ""占星術師"", EF69 * EJ69 * FFB69 * IF(abillity, 1, EG69 * EK69) * (Option!$D$23 * 0.81 / 100),
         ""学者"", EF69 * EL69 * FB69 * IF(abillity, 1, EG69 * EM69) * (Option!$D$24 * 0.81 / 100),
         ""賢者"""&amp;", EF69 * EN69 * FB69 * IF(abillity, 1, EG69 * EO69) * (Option!$D$25 * 0.81 / 100),
         1
       )
     )
   )
 ) + EQ69"),0.0)</f>
        <v>0</v>
      </c>
      <c r="FD69" s="206">
        <f t="shared" si="9"/>
        <v>0</v>
      </c>
      <c r="FE69" s="205">
        <f>IFERROR(__xludf.DUMMYFUNCTION("PRODUCT(
   MAP(
     IF($F69=""Physical"", K$10:ED$10, IF($F69=""Magic"", K$11:ED$11, K$12:ED$12)),
     IF($F69=""Physical"", K$18:ED$18, IF($F69=""Magic"", K$19:ED$19, K$20:ED$20)),
     K$3:ED$3,
     K$5:ED$5,
     K$17:ED$17,
     K69:ED69,
     LAM"&amp;"BDA(
       mitigation,
       enhance,
       job,
       assign,
       precondition,
       check,
       IF(
         OR(AND(check=TRUE, REGEXMATCH(assign, ""SELF""), job=""暗黒騎士""), AND(check=Option!$G$13, REGEXMATCH(assign, ""SINGLE_PARTY""))),
     "&amp;"    IF(
           OR(ARRAYFORMULA((IF(precondition="""", FALSE, REGEXMATCH($K$4:$ED$4, precondition))) * (K69:ED69=TRUE))),
           enhance,
           mitigation
         ),
         1
       )
     )
   )
 ) * EE69"),1.0)</f>
        <v>1</v>
      </c>
      <c r="FF69" s="206">
        <f t="shared" si="10"/>
        <v>0</v>
      </c>
      <c r="FG69" s="205">
        <f>IFERROR(__xludf.DUMMYFUNCTION("PRODUCT(
   MAP(
     K$3:ED$3,
     K$14:ED$14,
     K$13:ED$13,
     K69:ED69,
     LAMBDA(
       job,
       buff,
       target,
       check,
       IF(
         OR(AND(check=TRUE, REGEXMATCH(target, ""SELF_AFFECTED_ALL""), job=""暗黒騎士""), AND(check="&amp;"Option!$G$13, REGEXMATCH(target, ""SINGLE_AFFECTED_ALL""))),
         buff,
         1
       )
     )
   )
 )"),1.0)</f>
        <v>1</v>
      </c>
      <c r="FH69" s="206">
        <f>IFERROR(__xludf.DUMMYFUNCTION("SUM(
   MAP(
     K$3:ED$3,
     K$7:ED$7,
     K$15:ED$15,
     K$16:ED$16,
     K$21:ED$21,
     K$5:ED$5,
     K$17:ED$17,
     K69:ED69,
     LAMBDA(
       job,
       abillity,
       buff,
       barrier,
       enhance,
       assign,
       preco"&amp;"ndition,
       check,
       IF(
         OR(AND(check=TRUE, REGEXMATCH(assign, ""SELF""), job=""暗黒騎士""), AND(check=Option!$G$13, REGEXMATCH(assign, ""SINGLE_PARTY""))),
         IF(
           OR(ARRAYFORMULA((IF(precondition="""", FALSE, REGEXMATCH($K$"&amp;"4:$ED$4, precondition))) * (K69:ED69=TRUE))),
           enhance,
           IF(barrier="""", buff, barrier)
         ),
         0
       ) *
       SWITCH(
         job,
         ""暗黒騎士"", FI$24,
         ""白魔道士"", EF69 * EH69 * FG69 * IF(abillity, 1, E"&amp;"G69 * EI69) * (Option!$D$22 * 0.81 / 100),
         ""占星術師"", EF69 * EJ69 * FG69 * IF(abillity, 1, EG69 * EK69) * (Option!$D$23 * 0.81 / 100),
         ""学者"", EF69 * EL69 * FG69 * IF(abillity, 1, EG69 * EM69) * (Option!$D$24 * 0.81 / 100),
         ""賢者"&amp;""", EF69 * EN69 * FG69 * IF(abillity, 1, EG69 * EO69) * (Option!$D$25 * 0.81 / 100),
         1
       )
     )
   )
 ) + EQ69"),0.0)</f>
        <v>0</v>
      </c>
      <c r="FI69" s="206">
        <f t="shared" si="11"/>
        <v>0</v>
      </c>
      <c r="FJ69" s="205">
        <f>IFERROR(__xludf.DUMMYFUNCTION("PRODUCT(
   MAP(
     IF($F69=""Physical"", K$10:ED$10, IF($F69=""Magic"", K$11:ED$11, K$12:ED$12)),
     IF($F69=""Physical"", K$18:ED$18, IF($F69=""Magic"", K$19:ED$19, K$20:ED$20)),
     K$3:ED$3,
     K$5:ED$5,
     K$17:ED$17,
     K69:ED69,
     LAM"&amp;"BDA(
       mitigation,
       enhance,
       job,
       assign,
       precondition,
       check,
       IF(
         OR(AND(check=TRUE, REGEXMATCH(assign, ""SELF""), job=""ガンブレイカー""), AND(check=Option!$H$13, REGEXMATCH(assign, ""SINGLE_PARTY""))),
  "&amp;"       IF(
           OR(ARRAYFORMULA((IF(precondition="""", FALSE, REGEXMATCH($K$4:$ED$4, precondition))) * (K69:ED69=TRUE))),
           enhance,
           mitigation
         ),
         1
       )
     )
   )
 ) * EE69"),1.0)</f>
        <v>1</v>
      </c>
      <c r="FK69" s="206">
        <f t="shared" si="12"/>
        <v>0</v>
      </c>
      <c r="FL69" s="205">
        <f>IFERROR(__xludf.DUMMYFUNCTION("PRODUCT(
   MAP(
     K$3:ED$3,
     K$14:ED$14,
     K$13:ED$13,
     K69:ED69,
     LAMBDA(
       job,
       buff,
       target,
       check,
       IF(
         OR(AND(check=TRUE, REGEXMATCH(target, ""SELF_AFFECTED_ALL""), job=""ガンブレイカー""), AND(che"&amp;"ck=Option!$H$13, REGEXMATCH(target, ""SINGLE_AFFECTED_ALL""))),
         buff,
         1
       )
     )
   )
 )"),1.0)</f>
        <v>1</v>
      </c>
      <c r="FM69" s="206">
        <f>IFERROR(__xludf.DUMMYFUNCTION("SUM(
   MAP(
     K$3:ED$3,
     K$7:ED$7,
     K$15:ED$15,
     K$16:ED$16,
     K$21:ED$21,
     K$5:ED$5,
     K$17:ED$17,
     K69:ED69,
     LAMBDA(
       job,
       abillity,
       buff,
       barrier,
       enhance,
       assign,
       preco"&amp;"ndition,
       check,
       IF(
         OR(AND(check=TRUE, REGEXMATCH(assign, ""SELF""), job=""ガンブレイカー""), AND(check=Option!$H$13, REGEXMATCH(assign, ""SINGLE_PARTY""))),
         IF(
           OR(ARRAYFORMULA((IF(precondition="""", FALSE, REGEXMATCH("&amp;"$K$4:$ED$4, precondition))) * (K69:ED69=TRUE))),
           enhance,
           IF(barrier="""", buff, barrier)
         ),
         0
       ) *
       SWITCH(
         job,
         ""暗黒騎士"", FN$24,
         ""白魔道士"", EF69 * EH69 * FL69 * IF(abillity, 1"&amp;", EG69 * EI69) * (Option!$D$22 * 0.81 / 100),
         ""占星術師"", EF69 * EJ69 * FL69 * IF(abillity, 1, EG69 * EK69) * (Option!$D$23 * 0.81 / 100),
         ""学者"", EF69 * EL69 * FL69 * IF(abillity, 1, EG69 * EM69) * (Option!$D$24 * 0.81 / 100),
         """&amp;"賢者"", EF69 * EN69 * FL69 * IF(abillity, 1, EG69 * EO69) * (Option!$D$25 * 0.81 / 100),
         1
       )
     )
   )
 ) + EQ69"),0.0)</f>
        <v>0</v>
      </c>
      <c r="FN69" s="206">
        <f t="shared" si="13"/>
        <v>0</v>
      </c>
      <c r="FO69" s="213"/>
    </row>
    <row r="70">
      <c r="B70" s="229"/>
      <c r="C70" s="217">
        <f t="shared" si="1"/>
        <v>0</v>
      </c>
      <c r="D70" s="236"/>
      <c r="E70" s="238"/>
      <c r="F70" s="167"/>
      <c r="G70" s="168" t="str">
        <f t="shared" si="2"/>
        <v/>
      </c>
      <c r="H70" s="169"/>
      <c r="I70" s="169"/>
      <c r="J70" s="169"/>
      <c r="K70" s="170" t="b">
        <v>0</v>
      </c>
      <c r="L70" s="170" t="b">
        <v>0</v>
      </c>
      <c r="M70" s="170" t="b">
        <v>0</v>
      </c>
      <c r="N70" s="171" t="s">
        <v>1070</v>
      </c>
      <c r="O70" s="172" t="b">
        <v>0</v>
      </c>
      <c r="P70" s="173" t="b">
        <v>0</v>
      </c>
      <c r="Q70" s="173" t="b">
        <v>0</v>
      </c>
      <c r="R70" s="173" t="b">
        <v>0</v>
      </c>
      <c r="S70" s="174" t="b">
        <v>0</v>
      </c>
      <c r="T70" s="175" t="b">
        <v>0</v>
      </c>
      <c r="U70" s="173" t="b">
        <v>0</v>
      </c>
      <c r="V70" s="171" t="s">
        <v>1070</v>
      </c>
      <c r="W70" s="172" t="b">
        <v>0</v>
      </c>
      <c r="X70" s="173" t="b">
        <v>0</v>
      </c>
      <c r="Y70" s="173" t="b">
        <v>0</v>
      </c>
      <c r="Z70" s="173" t="b">
        <v>0</v>
      </c>
      <c r="AA70" s="174" t="b">
        <v>0</v>
      </c>
      <c r="AB70" s="174" t="b">
        <v>0</v>
      </c>
      <c r="AC70" s="175" t="b">
        <v>0</v>
      </c>
      <c r="AD70" s="173" t="b">
        <v>0</v>
      </c>
      <c r="AE70" s="176" t="s">
        <v>1070</v>
      </c>
      <c r="AF70" s="171" t="s">
        <v>1070</v>
      </c>
      <c r="AG70" s="177">
        <f>IFERROR(__xludf.DUMMYFUNCTION("IF(
  ISNUMBER(AG69),
  MIN(MAX(
    AG69
    + MAX(
      ROUNDDOWN(($D70 - MAX(IFERROR(FILTER($D$24:$D69, AG$24:AG69 &lt;&gt; AF$6, AG$23:AG68 = AF$6), 0))) * (60 * 60 * 24) / AF$9) - ROUNDDOWN(($D69 - MAX(IFERROR(FILTER($D$23:$D68, AG$23:AG68 &lt;&gt; AF$6, AG$22:"&amp;"AG67 = AF$6), 0))) * (60 * 60 * 24) / 60),
      0
    )
    - COUNTIF(AF70, ""&lt;&gt;-""),
  0), AF$6),
  AF$6 - COUNTIF(AF70, ""&lt;&gt;-"")
)"),2.0)</f>
        <v>2</v>
      </c>
      <c r="AH70" s="173" t="b">
        <v>0</v>
      </c>
      <c r="AI70" s="173" t="b">
        <v>0</v>
      </c>
      <c r="AJ70" s="173" t="b">
        <v>0</v>
      </c>
      <c r="AK70" s="174" t="b">
        <v>0</v>
      </c>
      <c r="AL70" s="175" t="b">
        <v>0</v>
      </c>
      <c r="AM70" s="173" t="b">
        <v>0</v>
      </c>
      <c r="AN70" s="171" t="s">
        <v>1070</v>
      </c>
      <c r="AO70" s="173" t="b">
        <v>0</v>
      </c>
      <c r="AP70" s="173" t="b">
        <v>0</v>
      </c>
      <c r="AQ70" s="173" t="b">
        <v>0</v>
      </c>
      <c r="AR70" s="174" t="b">
        <v>0</v>
      </c>
      <c r="AS70" s="178" t="b">
        <v>0</v>
      </c>
      <c r="AT70" s="179" t="b">
        <v>0</v>
      </c>
      <c r="AU70" s="180" t="b">
        <v>0</v>
      </c>
      <c r="AV70" s="180" t="b">
        <v>0</v>
      </c>
      <c r="AW70" s="180" t="b">
        <v>0</v>
      </c>
      <c r="AX70" s="180" t="b">
        <v>0</v>
      </c>
      <c r="AY70" s="181" t="s">
        <v>1070</v>
      </c>
      <c r="AZ70" s="181" t="s">
        <v>1070</v>
      </c>
      <c r="BA70" s="184">
        <f>IFERROR(__xludf.DUMMYFUNCTION("IF(
  ISNUMBER(BA69),
  MIN(MAX(
    BA69
    + MAX(
      ROUNDDOWN((D70 - MAX(IFERROR(FILTER(D$24:D69, BA$24:BA69 &lt;&gt; AZ$6, BA$23:BA68 = AZ$6), 0))) * (60 * 60 * 24) / AZ$9) - ROUNDDOWN((D69 - MAX(IFERROR(FILTER(D$23:D68, BA$23:BA68 &lt;&gt; AZ$6, BA$22:BA67 ="&amp;" AZ$6), 0))) * (60 * 60 * 24) / AZ$9),
      0
    )
    - COUNTIF(AZ70, ""&lt;&gt;-""),
  0), AZ$6),
  AZ$6 - COUNTIF(AZ70, ""&lt;&gt;-"")
)"),2.0)</f>
        <v>2</v>
      </c>
      <c r="BB70" s="181" t="s">
        <v>1070</v>
      </c>
      <c r="BC70" s="183">
        <f>IFERROR(__xludf.DUMMYFUNCTION("IF(
  ISNUMBER(BC69),
  MIN(MAX(
    BC69
    + MAX(
      ROUNDDOWN(($D70 - MAX(IFERROR(FILTER($D$24:$D69, BC$24:BC69 &lt;&gt; BB$6, BC$23:BC68 = BB$6), 0))) * (60 * 60 * 24) / BB$9) - ROUNDDOWN(($D69 - MAX(IFERROR(FILTER($D$23:$D68, BC$23:BC68 &lt;&gt; BB$6, BC$22:"&amp;"BC67 = BB$6), 0))) * (60 * 60 * 24) / 60),
      0
    )
    - COUNTIF(BB70, ""&lt;&gt;-""),
  0), BB$6),
  BB$6 - COUNTIF(BB70, ""&lt;&gt;-"")
)"),2.0)</f>
        <v>2</v>
      </c>
      <c r="BD70" s="181" t="s">
        <v>1070</v>
      </c>
      <c r="BE70" s="178" t="b">
        <v>0</v>
      </c>
      <c r="BF70" s="180" t="b">
        <v>0</v>
      </c>
      <c r="BG70" s="180" t="b">
        <v>0</v>
      </c>
      <c r="BH70" s="180" t="b">
        <v>0</v>
      </c>
      <c r="BI70" s="180" t="b">
        <v>0</v>
      </c>
      <c r="BJ70" s="180" t="b">
        <v>0</v>
      </c>
      <c r="BK70" s="180" t="b">
        <v>0</v>
      </c>
      <c r="BL70" s="180" t="b">
        <v>0</v>
      </c>
      <c r="BM70" s="180" t="b">
        <v>0</v>
      </c>
      <c r="BN70" s="180" t="b">
        <v>0</v>
      </c>
      <c r="BO70" s="181" t="s">
        <v>1070</v>
      </c>
      <c r="BP70" s="181" t="s">
        <v>1070</v>
      </c>
      <c r="BQ70" s="181" t="s">
        <v>1070</v>
      </c>
      <c r="BR70" s="181" t="s">
        <v>1070</v>
      </c>
      <c r="BS70" s="181" t="s">
        <v>1070</v>
      </c>
      <c r="BT70" s="184">
        <f>IFERROR(__xludf.DUMMYFUNCTION("IF(
  ISNUMBER(BT69),
  MIN(MAX(
    BT69
    + MAX(
      ROUNDDOWN((D70 - MAX(IFERROR(FILTER(D$24:D69, BT$24:BT69 &lt;&gt; BS$6, BT$23:BT68 = BS$6), 0))) * (60 * 60 * 24) / BS$9) - ROUNDDOWN((D69 - MAX(IFERROR(FILTER(D$23:D68, BT$23:BT68 &lt;&gt; BS$6, BT$22:BT67 ="&amp;" BS$6), 0))) * (60 * 60 * 24) / BS$9),
      0
    )
    - COUNTIF(BS70, ""&lt;&gt;-""),
  0), BS$6),
  BS$6 - COUNTIF(BS70, ""&lt;&gt;-"")
)"),3.0)</f>
        <v>3</v>
      </c>
      <c r="BU70" s="181" t="s">
        <v>1070</v>
      </c>
      <c r="BV70" s="181" t="s">
        <v>1070</v>
      </c>
      <c r="BW70" s="184">
        <f>IFERROR(__xludf.DUMMYFUNCTION("IF(
  ISNUMBER(BW69),
  MIN(MAX(
    BW69
    + MAX(
      ROUNDDOWN((D70 - MAX(IFERROR(FILTER(D$24:D69, BW$24:BW69 &lt;&gt; BV$6, BW$23:BW68 = BV$6), 0))) * (60 * 60 * 24) / BV$9) - ROUNDDOWN((D69 - MAX(IFERROR(FILTER(D$23:D68, BW$23:BW68 &lt;&gt; BV$6, BW$22:BW67 ="&amp;" BV$6), 0))) * (60 * 60 * 24) / BV$9),
      0
    )
    - COUNTIF(BV70, ""&lt;&gt;-""),
  0), BV$6),
  BV$6 - COUNTIF(BV70, ""&lt;&gt;-"")
)"),2.0)</f>
        <v>2</v>
      </c>
      <c r="BX70" s="185" t="s">
        <v>1070</v>
      </c>
      <c r="BY70" s="178" t="b">
        <v>0</v>
      </c>
      <c r="BZ70" s="180" t="b">
        <v>0</v>
      </c>
      <c r="CA70" s="180" t="b">
        <v>0</v>
      </c>
      <c r="CB70" s="180" t="b">
        <v>0</v>
      </c>
      <c r="CC70" s="180" t="b">
        <v>0</v>
      </c>
      <c r="CD70" s="180" t="b">
        <v>0</v>
      </c>
      <c r="CE70" s="180" t="b">
        <v>0</v>
      </c>
      <c r="CF70" s="180" t="b">
        <v>0</v>
      </c>
      <c r="CG70" s="180" t="b">
        <v>0</v>
      </c>
      <c r="CH70" s="180" t="b">
        <v>0</v>
      </c>
      <c r="CI70" s="180" t="b">
        <v>0</v>
      </c>
      <c r="CJ70" s="180" t="b">
        <v>0</v>
      </c>
      <c r="CK70" s="180" t="b">
        <v>0</v>
      </c>
      <c r="CL70" s="180" t="b">
        <v>0</v>
      </c>
      <c r="CM70" s="181" t="s">
        <v>1070</v>
      </c>
      <c r="CN70" s="181" t="s">
        <v>1070</v>
      </c>
      <c r="CO70" s="181" t="s">
        <v>1070</v>
      </c>
      <c r="CP70" s="181" t="s">
        <v>1070</v>
      </c>
      <c r="CQ70" s="185" t="s">
        <v>1070</v>
      </c>
      <c r="CR70" s="180" t="b">
        <v>0</v>
      </c>
      <c r="CS70" s="186" t="str">
        <f t="shared" si="14"/>
        <v>◇◇◇</v>
      </c>
      <c r="CT70" s="178" t="b">
        <v>0</v>
      </c>
      <c r="CU70" s="180" t="b">
        <v>0</v>
      </c>
      <c r="CV70" s="180" t="b">
        <v>0</v>
      </c>
      <c r="CW70" s="180" t="b">
        <v>0</v>
      </c>
      <c r="CX70" s="180" t="b">
        <v>0</v>
      </c>
      <c r="CY70" s="180" t="b">
        <v>0</v>
      </c>
      <c r="CZ70" s="180" t="b">
        <v>0</v>
      </c>
      <c r="DA70" s="180" t="b">
        <v>0</v>
      </c>
      <c r="DB70" s="180" t="b">
        <v>0</v>
      </c>
      <c r="DC70" s="180" t="b">
        <v>0</v>
      </c>
      <c r="DD70" s="181" t="s">
        <v>1070</v>
      </c>
      <c r="DE70" s="181" t="s">
        <v>1070</v>
      </c>
      <c r="DF70" s="181" t="s">
        <v>1070</v>
      </c>
      <c r="DG70" s="185" t="s">
        <v>1070</v>
      </c>
      <c r="DH70" s="180" t="b">
        <v>0</v>
      </c>
      <c r="DI70" s="187" t="str">
        <f>IFERROR(__xludf.DUMMYFUNCTION("SWITCH(
  IF(
    ISTEXT(DI69),
    IF (
      FIND(""○"", DI69&amp;""○"") &gt; 3,
      3,
      FIND(""○"", DI69&amp;""○"")
      + MAX(
        ROUNDDOWN(($D70 - MAX(IFERROR(FILTER(D$24:D69, DI$24:DI69 &lt;&gt; ""●●●"", DI$23:DI68 = ""●●●""), 0))) * (60 * 60 * 24) / 20"&amp;") - ROUNDDOWN(($D69 - MAX(IFERROR(FILTER(D$23:D68, DI$23:DI68 &lt;&gt; ""●●●"", DI$22:DI67 = ""●●●""), 0))) * (60 * 60 * 24) / 20),
        0
      ) - 1
    ) - COUNTIFS(CU70, ""=TRUE"", CU69, ""&lt;&gt;TRUE"") - COUNTIF(CZ70, ""=TRUE"") - COUNTIF({DD70,DE70}, ""&lt;&gt;-"&amp;""") + COUNTIF(DH70, ""=TRUE""),
    3
  ),
  0, ""○○○"", 1, ""●○○"", 2, ""●●○"", 3, ""●●●"", 4, ""●●●"", ""○○○""
)"),"●●●")</f>
        <v>●●●</v>
      </c>
      <c r="DJ70" s="188" t="b">
        <v>0</v>
      </c>
      <c r="DK70" s="189" t="b">
        <v>0</v>
      </c>
      <c r="DL70" s="190" t="b">
        <v>0</v>
      </c>
      <c r="DM70" s="190" t="b">
        <v>0</v>
      </c>
      <c r="DN70" s="190" t="b">
        <v>0</v>
      </c>
      <c r="DO70" s="190" t="b">
        <v>0</v>
      </c>
      <c r="DP70" s="190" t="b">
        <v>0</v>
      </c>
      <c r="DQ70" s="191" t="b">
        <v>0</v>
      </c>
      <c r="DR70" s="192" t="b">
        <v>0</v>
      </c>
      <c r="DS70" s="191" t="b">
        <v>0</v>
      </c>
      <c r="DT70" s="192" t="b">
        <v>0</v>
      </c>
      <c r="DU70" s="191" t="b">
        <v>0</v>
      </c>
      <c r="DV70" s="193" t="s">
        <v>1070</v>
      </c>
      <c r="DW70" s="194" t="b">
        <v>0</v>
      </c>
      <c r="DX70" s="194" t="b">
        <v>0</v>
      </c>
      <c r="DY70" s="195" t="b">
        <v>0</v>
      </c>
      <c r="DZ70" s="196" t="b">
        <v>0</v>
      </c>
      <c r="EA70" s="195" t="b">
        <v>0</v>
      </c>
      <c r="EB70" s="197" t="b">
        <v>0</v>
      </c>
      <c r="EC70" s="197" t="b">
        <v>0</v>
      </c>
      <c r="ED70" s="212" t="b">
        <v>0</v>
      </c>
      <c r="EE70" s="199">
        <f>IFERROR(__xludf.DUMMYFUNCTION("IFERROR(
   PRODUCT(
     MAP(
       INDEX(TRANSPOSE(UNIQUE(TRANSPOSE(FILTER({IF($F70=""Physical"", K$10:ED$10, IF($F70=""Magic"", K$11:ED$11, K$12:ED$12));K$4:ED$4;K70:ED70}, K70:ED70=TRUE)))), 1, 0),
       INDEX(TRANSPOSE(UNIQUE(TRANSPOSE(FILTER({IF($"&amp;"F70=""Physical"", K$18:ED$18, IF($F70=""Magic"", K$19:ED$19, K$20:ED$20));K$4:ED$4;K70:ED70}, K70:ED70=TRUE)))), 1, 0),
       INDEX(TRANSPOSE(UNIQUE(TRANSPOSE(FILTER({K$5:ED$5;K$4:ED$4;K70:ED70}, K70:ED70=TRUE)))), 1, 0),
       INDEX(TRANSPOSE(UNIQUE(TR"&amp;"ANSPOSE(FILTER({K$17:ED$17;K$4:ED$4;K70:ED70}, K70:ED70=TRUE)))), 1, 0),
       LAMBDA(
         mitigation,
         enhance,
         assign,
         precondition,
         IF(
           REGEXMATCH(assign, ""RANGE_PARTY|SINGLE_ENEMY|RANGE_ENEMY""),
  "&amp;"         IF(
             OR(ARRAYFORMULA((IF(precondition="""", FALSE, REGEXMATCH(K$4:ED$4, precondition))) * (K70:ED70=TRUE))),
             IF(ISNUMBER(enhance), enhance, 1),
             IF(ISNUMBER(mitigation), mitigation, 1)
           ),
          "&amp;" 1
         )
       )
     )
   ),
   1
 )"),1.0)</f>
        <v>1</v>
      </c>
      <c r="EF70" s="200">
        <f>IFERROR(__xludf.DUMMYFUNCTION("PRODUCT(
   MAP(
     K$14:ED$14,
     K$13:ED$13,
     K70:ED70,
     LAMBDA(
       buff,
       target,
       check,
       IF(
         AND(check=TRUE, REGEXMATCH(target, ""RANGE_AFFECTED_ALL|RANGE_EFFECTED_ALL""), ISNUMBER(buff)),
         buff,
   "&amp;"      1
       )
     )
   )
 )"),1.0)</f>
        <v>1</v>
      </c>
      <c r="EG70" s="200">
        <f>IFERROR(__xludf.DUMMYFUNCTION("PRODUCT(
   MAP(
     K$14:ED$14,
     K$13:ED$13,
     K70:ED70,
     LAMBDA(
       buff,
       target,
       check,
       IF(
         AND(check=TRUE, REGEXMATCH(target, ""RANGE_AFFECTED_GCD|RANGE_EFFECTED_GCD""), ISNUMBER(buff)),
         buff,
   "&amp;"      1
       )
     )
   )
 )"),1.0)</f>
        <v>1</v>
      </c>
      <c r="EH70" s="200">
        <f>IFERROR(__xludf.DUMMYFUNCTION("PRODUCT(
   MAP(
     K$3:ED$3,
     K$14:ED$14,
     K$13:ED$13,
     K70:ED70,
     LAMBDA(
       job,
       buff,
       target,
       check,
       IF(
         AND(check=TRUE, REGEXMATCH(target, ""SELF_EFFECTED_ALL""), ISNUMBER(buff), job=""白魔道士"""&amp;"),
         buff,
         1
       )
     )
   )
 )"),1.0)</f>
        <v>1</v>
      </c>
      <c r="EI70" s="200">
        <f>IFERROR(__xludf.DUMMYFUNCTION("PRODUCT(
   MAP(
     K$3:ED$3,
     K$14:ED$14,
     K$13:ED$13,
     K70:ED70,
     LAMBDA(
       job,
       buff,
       target,
       check,
       IF(
         AND(check=TRUE, REGEXMATCH(target, ""SELF_EFFECTED_GCD""), ISNUMBER(buff), job=""白魔道士"""&amp;"),
         buff,
         1
       )
     )
   )
 )"),1.0)</f>
        <v>1</v>
      </c>
      <c r="EJ70" s="200">
        <f>IFERROR(__xludf.DUMMYFUNCTION("PRODUCT(
   MAP(
     K$3:ED$3,
     K$14:ED$14,
     K$13:ED$13,
     K70:ED70,
     LAMBDA(
       job,
       buff,
       target,
       check,
       IF(
         AND(check=TRUE, REGEXMATCH(target, ""SELF_EFFECTED_ALL""), ISNUMBER(buff), job=""占星術師"""&amp;"),
         buff,
         1
       )
     )
   )
 )"),1.0)</f>
        <v>1</v>
      </c>
      <c r="EK70" s="200">
        <f>IFERROR(__xludf.DUMMYFUNCTION("PRODUCT(
   MAP(
     K$3:ED$3,
     K$14:ED$14,
     K$13:ED$13,
     K70:ED70,
     LAMBDA(
       job,
       buff,
       target,
       check,
       IF(
         AND(check=TRUE, REGEXMATCH(target, ""SELF_EFFECTED_GCD""), ISNUMBER(buff), job=""占星術師"""&amp;"),
         buff,
         1
       )
     )
   )
 )"),1.0)</f>
        <v>1</v>
      </c>
      <c r="EL70" s="200">
        <f>IFERROR(__xludf.DUMMYFUNCTION("PRODUCT(
   MAP(
     K$3:ED$3,
     K$14:ED$14,
     K$13:ED$13,
     K70:ED70,
     LAMBDA(
       job,
       buff,
       target,
       check,
       IF(
         AND(check=TRUE, REGEXMATCH(target, ""SELF_EFFECTED_ALL""), ISNUMBER(buff), job=""学者""),"&amp;"
         buff,
         1
       )
     )
   )
 )"),1.0)</f>
        <v>1</v>
      </c>
      <c r="EM70" s="200">
        <f>IFERROR(__xludf.DUMMYFUNCTION("PRODUCT(
   MAP(
     K$3:ED$3,
     K$14:ED$14,
     K$13:ED$13,
     K70:ED70,
     LAMBDA(
       job,
       buff,
       target,
       check,
       IF(
         AND(check=TRUE, REGEXMATCH(target, ""SELF_EFFECTED_GCD""), ISNUMBER(buff), job=""学者""),"&amp;"
         buff,
         1
       )
     )
   )
 )"),1.0)</f>
        <v>1</v>
      </c>
      <c r="EN70" s="200">
        <f>IFERROR(__xludf.DUMMYFUNCTION("PRODUCT(
   MAP(
     K$3:ED$3,
     K$14:ED$14,
     K$13:ED$13,
     K70:ED70,
     LAMBDA(
       job,
       buff,
       target,
       check,
       IF(
         AND(check=TRUE, REGEXMATCH(target, ""SELF_EFFECTED_ALL""), ISNUMBER(buff), job=""賢者""),"&amp;"
         buff,
         1
       )
     )
   )
 )"),1.0)</f>
        <v>1</v>
      </c>
      <c r="EO70" s="200">
        <f>IFERROR(__xludf.DUMMYFUNCTION("PRODUCT(
   MAP(
     K$3:ED$3,
     K$14:ED$14,
     K$13:ED$13,
     K70:ED70,
     LAMBDA(
       job,
       buff,
       target,
       check,
       IF(
         AND(check=TRUE, REGEXMATCH(target, ""SELF_EFFECTED_GCD""), ISNUMBER(buff), job=""賢者""),"&amp;"
         buff,
         1
       )
     )
   )
 )"),1.0)</f>
        <v>1</v>
      </c>
      <c r="EP70" s="201">
        <f t="shared" si="3"/>
        <v>0</v>
      </c>
      <c r="EQ70" s="201">
        <f>IFERROR(__xludf.DUMMYFUNCTION("SUM(
   MAP(
     K$4:ED$4,
     K$3:ED$3,
     K$7:ED$7,
     K$15:ED$15,
     K$16:ED$16,
     K$21:ED$21,
     K$5:ED$5,
     K$17:ED$17,
     K70:ED70,
     LAMBDA(
       name,
       job,
       abillity,
       buff,
       barrier,
       enhance,"&amp;"
       assign,
       precondition,
       check,
       SWITCH(
         name,
         ""シェイクオフ"", IF(check=TRUE, buff + (0.02 * COUNTIF(ARRAYFORMULA((REGEXMATCH($K$4:$ED$4, ""スリル・オブ・バトル|ヴェンジェンス|原初の血気|ダムネーション"")) * (K70:ED70=TRUE)), 1)), 0),
         "&amp;"""インプロビゼーションフィニッシュ(踊りの激情0)"", IF(ISNUMBER(check), INDEX(Skill!$AJ:$AJ, MATCH(SUBSTITUTE(DV$4, 0, check), Skill!$C:$C, 0)), 0),
         IF(
           AND(check=TRUE, REGEXMATCH(assign, ""RANGE_PARTY"")),
           IF(
             OR(ARRAYFORMULA((IF(pr"&amp;"econdition="""", FALSE, REGEXMATCH($K$4:$ED$4, precondition))) * (K70:ED70=TRUE))),
             enhance,
             IF(barrier="""", buff, barrier)
           ),
           0
         )
       ) *
       SWITCH(
         job,
         ""ナイト"", EY$24,
 "&amp;"        ""戦士"", FD$24,
         ""踊り子"", ET$24,
         ""ピクトマンサー"", ET$24,
         ""白魔道士"", EF70 * EH70 * IF(abillity, 1, EG70 * EI70) * (Option!$D$22 * 0.81 / 100),
         ""占星術師"", EF70 * EJ70 * IF(abillity, 1, EG70 * EK70) * (Option!$D$23 * 0.81 "&amp;"/ 100),
         ""学者"", EF70 * EL70 * IF(abillity, 1, EG70 * EM70) * (Option!$D$24 * 0.81 / 100),
         ""賢者"", EF70 * EN70 * IF(abillity, 1, EG70 * EO70) * (Option!$D$25 * 0.81 / 100),
         1
       )
     )
   )
 )"),0.0)</f>
        <v>0</v>
      </c>
      <c r="ER70" s="202">
        <f t="shared" si="4"/>
        <v>0</v>
      </c>
      <c r="ES70" s="203">
        <f t="shared" si="5"/>
        <v>0</v>
      </c>
      <c r="ET70" s="231" t="str">
        <f>IFERROR(__xludf.DUMMYFUNCTION("IFS(
  EP70 &gt; $ET$24 + EQ70,
  SPARKLINE({ 1, 0 }, {""charttype"",""bar"";""max"", 1;""color1"",Option!$D$30;""color2"",Option!$D$30}),
  EP70 &lt; EQ70,
  SPARKLINE({EQ70 - EP70, $ET$24 - (EQ70 - EP70)}, {""charttype"",""bar"";""max"",$ET$24;""color1"",Opti"&amp;"on!$D$28;""color2"",Option!$D$29}),
  EP70 &gt;= EQ70,
  SPARKLINE({$ET$24 + EQ70 - EP70,EP70 - EQ70}, {""charttype"",""bar"";""max"",$ET$24;""color1"",Option!$D$29;""color2"",Option!$D$30})
)"),"")</f>
        <v/>
      </c>
      <c r="EU70" s="205">
        <f>IFERROR(__xludf.DUMMYFUNCTION("PRODUCT(
   MAP(
     IF($F70=""Physical"", K$10:ED$10, IF($F70=""Magic"", K$11:ED$11, K$12:ED$12)),
     IF($F70=""Physical"", K$18:ED$18, IF($F70=""Magic"", K$19:ED$19, K$20:ED$20)),
     K$3:ED$3,
     K$5:ED$5,
     K$17:ED$17,
     K70:ED70,
     LAM"&amp;"BDA(
       mitigation,
       enhance,
       job,
       assign,
       precondition,
       check,
       IF(
         OR(AND(check=TRUE, REGEXMATCH(assign, ""SELF""), job=""ナイト""), AND(check=Option!$E$13, REGEXMATCH(assign, ""SINGLE_PARTY""))),
      "&amp;"   IF(
           OR(ARRAYFORMULA((IF(precondition="""", FALSE, REGEXMATCH($K$4:$ED$4, precondition))) * (K70:ED70=TRUE))),
           enhance,
           mitigation
         ),
         1
       )
     )
   )
 ) * EE70"),1.0)</f>
        <v>1</v>
      </c>
      <c r="EV70" s="206">
        <f t="shared" si="6"/>
        <v>0</v>
      </c>
      <c r="EW70" s="205">
        <f>IFERROR(__xludf.DUMMYFUNCTION("PRODUCT(
   MAP(
     K$3:ED$3,
     K$14:ED$14,
     K$13:ED$13,
     K70:ED70,
     LAMBDA(
       job,
       buff,
       target,
       check,
       IF(
         OR(AND(check=TRUE, REGEXMATCH(target, ""SELF_AFFECTED_ALL""), job=""ナイト""), AND(check=O"&amp;"ption!$E$13, REGEXMATCH(target, ""SINGLE_AFFECTED_ALL""))),
         buff,
         1
       )
     )
   )
 )"),1.0)</f>
        <v>1</v>
      </c>
      <c r="EX70" s="206">
        <f>IFERROR(__xludf.DUMMYFUNCTION("SUM(
   MAP(
     K$3:ED$3,
     K$7:ED$7,
     K$15:ED$15,
     K$16:ED$16,
     K$21:ED$21,
     K$5:ED$5,
     K$17:ED$17,
     K70:ED70,
     LAMBDA(
       job,
       abillity,
       buff,
       barrier,
       enhance,
       assign,
       preco"&amp;"ndition,
       check,
       IF(
         OR(AND(check=TRUE, REGEXMATCH(assign, ""SELF""), job=""ナイト""), AND(check=Option!$E$13, REGEXMATCH(assign, ""SINGLE_PARTY""))),
         IF(
           OR(ARRAYFORMULA((IF(precondition="""", FALSE, REGEXMATCH($K$4"&amp;":$ED$4, precondition))) * (K70:ED70=TRUE))),
           enhance,
           IF(barrier="""", buff, barrier)
         ),
         0
       ) *
       SWITCH(
         job,
         ""暗黒騎士"", EY$24,
         ""白魔道士"", EF70 * EH70 * EW70 * IF(abillity, 1, EG"&amp;"70 * EI70) * (Option!$D$22 * 0.81 / 100),
         ""占星術師"", EF70 * EJ70 * EW70 * IF(abillity, 1, EG70 * EK70) * (Option!$D$23 * 0.81 / 100),
         ""学者"", EF70 * EL70 * EW70 * IF(abillity, 1, EG70 * EM70) * (Option!$D$24 * 0.81 / 100),
         ""賢者"""&amp;", EF70 * EN70 * EW70 * IF(abillity, 1, EG70 * EO70) * (Option!$D$25 * 0.81 / 100),
         1
       )
     )
   )
 ) + EQ70"),0.0)</f>
        <v>0</v>
      </c>
      <c r="EY70" s="232">
        <f t="shared" si="7"/>
        <v>0</v>
      </c>
      <c r="EZ70" s="205">
        <f>IFERROR(__xludf.DUMMYFUNCTION("PRODUCT(
   MAP(
     IF($F70=""Physical"", K$10:ED$10, IF($F70=""Magic"", K$11:ED$11, K$12:ED$12)),
     IF($F70=""Physical"", K$18:ED$18, IF($F70=""Magic"", K$19:ED$19, K$20:ED$20)),
     K$3:ED$3,
     K$5:ED$5,
     K$17:ED$17,
     K70:ED70,
     LAM"&amp;"BDA(
       mitigation,
       enhance,
       job,
       assign,
       precondition,
       check,
       IF(
         OR(AND(check=TRUE, REGEXMATCH(assign, ""SELF""), job=""戦士""), AND(check=Option!$F$13, REGEXMATCH(assign, ""SINGLE_PARTY""))),
       "&amp;"  IF(
           OR(ARRAYFORMULA((IF(precondition="""", FALSE, REGEXMATCH($K$4:$ED$4, precondition))) * (K70:ED70=TRUE))),
           enhance,
           mitigation
         ),
         1
       )
     )
   )
 ) * EE70"),1.0)</f>
        <v>1</v>
      </c>
      <c r="FA70" s="206">
        <f t="shared" si="8"/>
        <v>0</v>
      </c>
      <c r="FB70" s="205">
        <f>IFERROR(__xludf.DUMMYFUNCTION("PRODUCT(
   MAP(
     K$3:ED$3,
     K$14:ED$14,
     K$13:ED$13,
     K70:ED70,
     LAMBDA(
       job,
       buff,
       target,
       check,
       IF(
         OR(AND(check=TRUE, REGEXMATCH(target, ""SELF_AFFECTED_ALL""), job=""戦士""), AND(check=Op"&amp;"tion!$F$13, REGEXMATCH(target, ""SINGLE_AFFECTED_ALL""))),
         buff,
         1
       )
     )
   )
 )"),1.0)</f>
        <v>1</v>
      </c>
      <c r="FC70" s="206">
        <f>IFERROR(__xludf.DUMMYFUNCTION("SUM(
   MAP(
     K$3:ED$3,
     K$7:ED$7,
     K$15:ED$15,
     K$16:ED$16,
     K$21:ED$21,
     K$5:ED$5,
     K$17:ED$17,
     K70:ED70,
     LAMBDA(
       job,
       abillity,
       buff,
       barrier,
       enhance,
       assign,
       preco"&amp;"ndition,
       check,
       IF(
         OR(AND(check=TRUE, REGEXMATCH(assign, ""SELF""), job=""戦士""), AND(check=Option!$F$13, REGEXMATCH(assign, ""SINGLE_PARTY""))),
         IF(
           OR(ARRAYFORMULA((IF(precondition="""", FALSE, REGEXMATCH($K$4:"&amp;"$ED$4, precondition))) * (K70:ED70=TRUE))),
           enhance,
           IF(barrier="""", buff, barrier)
         ),
         0
       ) *
       SWITCH(
         job,
         ""暗黒騎士"", FD$24,
         ""白魔道士"", EF70 * EH70 * FB70 * IF(abillity, 1, EG7"&amp;"0 * EI70) * (Option!$D$22 * 0.81 / 100),
         ""占星術師"", EF70 * EJ70 * FFB70 * IF(abillity, 1, EG70 * EK70) * (Option!$D$23 * 0.81 / 100),
         ""学者"", EF70 * EL70 * FB70 * IF(abillity, 1, EG70 * EM70) * (Option!$D$24 * 0.81 / 100),
         ""賢者"""&amp;", EF70 * EN70 * FB70 * IF(abillity, 1, EG70 * EO70) * (Option!$D$25 * 0.81 / 100),
         1
       )
     )
   )
 ) + EQ70"),0.0)</f>
        <v>0</v>
      </c>
      <c r="FD70" s="206">
        <f t="shared" si="9"/>
        <v>0</v>
      </c>
      <c r="FE70" s="205">
        <f>IFERROR(__xludf.DUMMYFUNCTION("PRODUCT(
   MAP(
     IF($F70=""Physical"", K$10:ED$10, IF($F70=""Magic"", K$11:ED$11, K$12:ED$12)),
     IF($F70=""Physical"", K$18:ED$18, IF($F70=""Magic"", K$19:ED$19, K$20:ED$20)),
     K$3:ED$3,
     K$5:ED$5,
     K$17:ED$17,
     K70:ED70,
     LAM"&amp;"BDA(
       mitigation,
       enhance,
       job,
       assign,
       precondition,
       check,
       IF(
         OR(AND(check=TRUE, REGEXMATCH(assign, ""SELF""), job=""暗黒騎士""), AND(check=Option!$G$13, REGEXMATCH(assign, ""SINGLE_PARTY""))),
     "&amp;"    IF(
           OR(ARRAYFORMULA((IF(precondition="""", FALSE, REGEXMATCH($K$4:$ED$4, precondition))) * (K70:ED70=TRUE))),
           enhance,
           mitigation
         ),
         1
       )
     )
   )
 ) * EE70"),1.0)</f>
        <v>1</v>
      </c>
      <c r="FF70" s="206">
        <f t="shared" si="10"/>
        <v>0</v>
      </c>
      <c r="FG70" s="205">
        <f>IFERROR(__xludf.DUMMYFUNCTION("PRODUCT(
   MAP(
     K$3:ED$3,
     K$14:ED$14,
     K$13:ED$13,
     K70:ED70,
     LAMBDA(
       job,
       buff,
       target,
       check,
       IF(
         OR(AND(check=TRUE, REGEXMATCH(target, ""SELF_AFFECTED_ALL""), job=""暗黒騎士""), AND(check="&amp;"Option!$G$13, REGEXMATCH(target, ""SINGLE_AFFECTED_ALL""))),
         buff,
         1
       )
     )
   )
 )"),1.0)</f>
        <v>1</v>
      </c>
      <c r="FH70" s="206">
        <f>IFERROR(__xludf.DUMMYFUNCTION("SUM(
   MAP(
     K$3:ED$3,
     K$7:ED$7,
     K$15:ED$15,
     K$16:ED$16,
     K$21:ED$21,
     K$5:ED$5,
     K$17:ED$17,
     K70:ED70,
     LAMBDA(
       job,
       abillity,
       buff,
       barrier,
       enhance,
       assign,
       preco"&amp;"ndition,
       check,
       IF(
         OR(AND(check=TRUE, REGEXMATCH(assign, ""SELF""), job=""暗黒騎士""), AND(check=Option!$G$13, REGEXMATCH(assign, ""SINGLE_PARTY""))),
         IF(
           OR(ARRAYFORMULA((IF(precondition="""", FALSE, REGEXMATCH($K$"&amp;"4:$ED$4, precondition))) * (K70:ED70=TRUE))),
           enhance,
           IF(barrier="""", buff, barrier)
         ),
         0
       ) *
       SWITCH(
         job,
         ""暗黒騎士"", FI$24,
         ""白魔道士"", EF70 * EH70 * FG70 * IF(abillity, 1, E"&amp;"G70 * EI70) * (Option!$D$22 * 0.81 / 100),
         ""占星術師"", EF70 * EJ70 * FG70 * IF(abillity, 1, EG70 * EK70) * (Option!$D$23 * 0.81 / 100),
         ""学者"", EF70 * EL70 * FG70 * IF(abillity, 1, EG70 * EM70) * (Option!$D$24 * 0.81 / 100),
         ""賢者"&amp;""", EF70 * EN70 * FG70 * IF(abillity, 1, EG70 * EO70) * (Option!$D$25 * 0.81 / 100),
         1
       )
     )
   )
 ) + EQ70"),0.0)</f>
        <v>0</v>
      </c>
      <c r="FI70" s="206">
        <f t="shared" si="11"/>
        <v>0</v>
      </c>
      <c r="FJ70" s="205">
        <f>IFERROR(__xludf.DUMMYFUNCTION("PRODUCT(
   MAP(
     IF($F70=""Physical"", K$10:ED$10, IF($F70=""Magic"", K$11:ED$11, K$12:ED$12)),
     IF($F70=""Physical"", K$18:ED$18, IF($F70=""Magic"", K$19:ED$19, K$20:ED$20)),
     K$3:ED$3,
     K$5:ED$5,
     K$17:ED$17,
     K70:ED70,
     LAM"&amp;"BDA(
       mitigation,
       enhance,
       job,
       assign,
       precondition,
       check,
       IF(
         OR(AND(check=TRUE, REGEXMATCH(assign, ""SELF""), job=""ガンブレイカー""), AND(check=Option!$H$13, REGEXMATCH(assign, ""SINGLE_PARTY""))),
  "&amp;"       IF(
           OR(ARRAYFORMULA((IF(precondition="""", FALSE, REGEXMATCH($K$4:$ED$4, precondition))) * (K70:ED70=TRUE))),
           enhance,
           mitigation
         ),
         1
       )
     )
   )
 ) * EE70"),1.0)</f>
        <v>1</v>
      </c>
      <c r="FK70" s="206">
        <f t="shared" si="12"/>
        <v>0</v>
      </c>
      <c r="FL70" s="205">
        <f>IFERROR(__xludf.DUMMYFUNCTION("PRODUCT(
   MAP(
     K$3:ED$3,
     K$14:ED$14,
     K$13:ED$13,
     K70:ED70,
     LAMBDA(
       job,
       buff,
       target,
       check,
       IF(
         OR(AND(check=TRUE, REGEXMATCH(target, ""SELF_AFFECTED_ALL""), job=""ガンブレイカー""), AND(che"&amp;"ck=Option!$H$13, REGEXMATCH(target, ""SINGLE_AFFECTED_ALL""))),
         buff,
         1
       )
     )
   )
 )"),1.0)</f>
        <v>1</v>
      </c>
      <c r="FM70" s="206">
        <f>IFERROR(__xludf.DUMMYFUNCTION("SUM(
   MAP(
     K$3:ED$3,
     K$7:ED$7,
     K$15:ED$15,
     K$16:ED$16,
     K$21:ED$21,
     K$5:ED$5,
     K$17:ED$17,
     K70:ED70,
     LAMBDA(
       job,
       abillity,
       buff,
       barrier,
       enhance,
       assign,
       preco"&amp;"ndition,
       check,
       IF(
         OR(AND(check=TRUE, REGEXMATCH(assign, ""SELF""), job=""ガンブレイカー""), AND(check=Option!$H$13, REGEXMATCH(assign, ""SINGLE_PARTY""))),
         IF(
           OR(ARRAYFORMULA((IF(precondition="""", FALSE, REGEXMATCH("&amp;"$K$4:$ED$4, precondition))) * (K70:ED70=TRUE))),
           enhance,
           IF(barrier="""", buff, barrier)
         ),
         0
       ) *
       SWITCH(
         job,
         ""暗黒騎士"", FN$24,
         ""白魔道士"", EF70 * EH70 * FL70 * IF(abillity, 1"&amp;", EG70 * EI70) * (Option!$D$22 * 0.81 / 100),
         ""占星術師"", EF70 * EJ70 * FL70 * IF(abillity, 1, EG70 * EK70) * (Option!$D$23 * 0.81 / 100),
         ""学者"", EF70 * EL70 * FL70 * IF(abillity, 1, EG70 * EM70) * (Option!$D$24 * 0.81 / 100),
         """&amp;"賢者"", EF70 * EN70 * FL70 * IF(abillity, 1, EG70 * EO70) * (Option!$D$25 * 0.81 / 100),
         1
       )
     )
   )
 ) + EQ70"),0.0)</f>
        <v>0</v>
      </c>
      <c r="FN70" s="206">
        <f t="shared" si="13"/>
        <v>0</v>
      </c>
      <c r="FO70" s="213"/>
    </row>
    <row r="71">
      <c r="B71" s="229"/>
      <c r="C71" s="217">
        <f t="shared" si="1"/>
        <v>0</v>
      </c>
      <c r="D71" s="236"/>
      <c r="E71" s="238"/>
      <c r="F71" s="167"/>
      <c r="G71" s="168" t="str">
        <f t="shared" si="2"/>
        <v/>
      </c>
      <c r="H71" s="169"/>
      <c r="I71" s="169"/>
      <c r="J71" s="169"/>
      <c r="K71" s="170" t="b">
        <v>0</v>
      </c>
      <c r="L71" s="170" t="b">
        <v>0</v>
      </c>
      <c r="M71" s="170" t="b">
        <v>0</v>
      </c>
      <c r="N71" s="171" t="s">
        <v>1070</v>
      </c>
      <c r="O71" s="172" t="b">
        <v>0</v>
      </c>
      <c r="P71" s="173" t="b">
        <v>0</v>
      </c>
      <c r="Q71" s="173" t="b">
        <v>0</v>
      </c>
      <c r="R71" s="173" t="b">
        <v>0</v>
      </c>
      <c r="S71" s="174" t="b">
        <v>0</v>
      </c>
      <c r="T71" s="175" t="b">
        <v>0</v>
      </c>
      <c r="U71" s="173" t="b">
        <v>0</v>
      </c>
      <c r="V71" s="171" t="s">
        <v>1070</v>
      </c>
      <c r="W71" s="172" t="b">
        <v>0</v>
      </c>
      <c r="X71" s="173" t="b">
        <v>0</v>
      </c>
      <c r="Y71" s="173" t="b">
        <v>0</v>
      </c>
      <c r="Z71" s="173" t="b">
        <v>0</v>
      </c>
      <c r="AA71" s="174" t="b">
        <v>0</v>
      </c>
      <c r="AB71" s="174" t="b">
        <v>0</v>
      </c>
      <c r="AC71" s="175" t="b">
        <v>0</v>
      </c>
      <c r="AD71" s="173" t="b">
        <v>0</v>
      </c>
      <c r="AE71" s="176" t="s">
        <v>1070</v>
      </c>
      <c r="AF71" s="171" t="s">
        <v>1070</v>
      </c>
      <c r="AG71" s="177">
        <f>IFERROR(__xludf.DUMMYFUNCTION("IF(
  ISNUMBER(AG70),
  MIN(MAX(
    AG70
    + MAX(
      ROUNDDOWN(($D71 - MAX(IFERROR(FILTER($D$24:$D70, AG$24:AG70 &lt;&gt; AF$6, AG$23:AG69 = AF$6), 0))) * (60 * 60 * 24) / AF$9) - ROUNDDOWN(($D70 - MAX(IFERROR(FILTER($D$23:$D69, AG$23:AG69 &lt;&gt; AF$6, AG$22:"&amp;"AG68 = AF$6), 0))) * (60 * 60 * 24) / 60),
      0
    )
    - COUNTIF(AF71, ""&lt;&gt;-""),
  0), AF$6),
  AF$6 - COUNTIF(AF71, ""&lt;&gt;-"")
)"),2.0)</f>
        <v>2</v>
      </c>
      <c r="AH71" s="173" t="b">
        <v>0</v>
      </c>
      <c r="AI71" s="173" t="b">
        <v>0</v>
      </c>
      <c r="AJ71" s="173" t="b">
        <v>0</v>
      </c>
      <c r="AK71" s="174" t="b">
        <v>0</v>
      </c>
      <c r="AL71" s="175" t="b">
        <v>0</v>
      </c>
      <c r="AM71" s="173" t="b">
        <v>0</v>
      </c>
      <c r="AN71" s="171" t="s">
        <v>1070</v>
      </c>
      <c r="AO71" s="173" t="b">
        <v>0</v>
      </c>
      <c r="AP71" s="173" t="b">
        <v>0</v>
      </c>
      <c r="AQ71" s="173" t="b">
        <v>0</v>
      </c>
      <c r="AR71" s="174" t="b">
        <v>0</v>
      </c>
      <c r="AS71" s="178" t="b">
        <v>0</v>
      </c>
      <c r="AT71" s="179" t="b">
        <v>0</v>
      </c>
      <c r="AU71" s="180" t="b">
        <v>0</v>
      </c>
      <c r="AV71" s="180" t="b">
        <v>0</v>
      </c>
      <c r="AW71" s="180" t="b">
        <v>0</v>
      </c>
      <c r="AX71" s="180" t="b">
        <v>0</v>
      </c>
      <c r="AY71" s="181" t="s">
        <v>1070</v>
      </c>
      <c r="AZ71" s="181" t="s">
        <v>1070</v>
      </c>
      <c r="BA71" s="184">
        <f>IFERROR(__xludf.DUMMYFUNCTION("IF(
  ISNUMBER(BA70),
  MIN(MAX(
    BA70
    + MAX(
      ROUNDDOWN((D71 - MAX(IFERROR(FILTER(D$24:D70, BA$24:BA70 &lt;&gt; AZ$6, BA$23:BA69 = AZ$6), 0))) * (60 * 60 * 24) / AZ$9) - ROUNDDOWN((D70 - MAX(IFERROR(FILTER(D$23:D69, BA$23:BA69 &lt;&gt; AZ$6, BA$22:BA68 ="&amp;" AZ$6), 0))) * (60 * 60 * 24) / AZ$9),
      0
    )
    - COUNTIF(AZ71, ""&lt;&gt;-""),
  0), AZ$6),
  AZ$6 - COUNTIF(AZ71, ""&lt;&gt;-"")
)"),2.0)</f>
        <v>2</v>
      </c>
      <c r="BB71" s="181" t="s">
        <v>1070</v>
      </c>
      <c r="BC71" s="183">
        <f>IFERROR(__xludf.DUMMYFUNCTION("IF(
  ISNUMBER(BC70),
  MIN(MAX(
    BC70
    + MAX(
      ROUNDDOWN(($D71 - MAX(IFERROR(FILTER($D$24:$D70, BC$24:BC70 &lt;&gt; BB$6, BC$23:BC69 = BB$6), 0))) * (60 * 60 * 24) / BB$9) - ROUNDDOWN(($D70 - MAX(IFERROR(FILTER($D$23:$D69, BC$23:BC69 &lt;&gt; BB$6, BC$22:"&amp;"BC68 = BB$6), 0))) * (60 * 60 * 24) / 60),
      0
    )
    - COUNTIF(BB71, ""&lt;&gt;-""),
  0), BB$6),
  BB$6 - COUNTIF(BB71, ""&lt;&gt;-"")
)"),2.0)</f>
        <v>2</v>
      </c>
      <c r="BD71" s="181" t="s">
        <v>1070</v>
      </c>
      <c r="BE71" s="178" t="b">
        <v>0</v>
      </c>
      <c r="BF71" s="180" t="b">
        <v>0</v>
      </c>
      <c r="BG71" s="180" t="b">
        <v>0</v>
      </c>
      <c r="BH71" s="180" t="b">
        <v>0</v>
      </c>
      <c r="BI71" s="180" t="b">
        <v>0</v>
      </c>
      <c r="BJ71" s="180" t="b">
        <v>0</v>
      </c>
      <c r="BK71" s="180" t="b">
        <v>0</v>
      </c>
      <c r="BL71" s="180" t="b">
        <v>0</v>
      </c>
      <c r="BM71" s="180" t="b">
        <v>0</v>
      </c>
      <c r="BN71" s="180" t="b">
        <v>0</v>
      </c>
      <c r="BO71" s="181" t="s">
        <v>1070</v>
      </c>
      <c r="BP71" s="181" t="s">
        <v>1070</v>
      </c>
      <c r="BQ71" s="181" t="s">
        <v>1070</v>
      </c>
      <c r="BR71" s="181" t="s">
        <v>1070</v>
      </c>
      <c r="BS71" s="181" t="s">
        <v>1070</v>
      </c>
      <c r="BT71" s="184">
        <f>IFERROR(__xludf.DUMMYFUNCTION("IF(
  ISNUMBER(BT70),
  MIN(MAX(
    BT70
    + MAX(
      ROUNDDOWN((D71 - MAX(IFERROR(FILTER(D$24:D70, BT$24:BT70 &lt;&gt; BS$6, BT$23:BT69 = BS$6), 0))) * (60 * 60 * 24) / BS$9) - ROUNDDOWN((D70 - MAX(IFERROR(FILTER(D$23:D69, BT$23:BT69 &lt;&gt; BS$6, BT$22:BT68 ="&amp;" BS$6), 0))) * (60 * 60 * 24) / BS$9),
      0
    )
    - COUNTIF(BS71, ""&lt;&gt;-""),
  0), BS$6),
  BS$6 - COUNTIF(BS71, ""&lt;&gt;-"")
)"),3.0)</f>
        <v>3</v>
      </c>
      <c r="BU71" s="181" t="s">
        <v>1070</v>
      </c>
      <c r="BV71" s="181" t="s">
        <v>1070</v>
      </c>
      <c r="BW71" s="184">
        <f>IFERROR(__xludf.DUMMYFUNCTION("IF(
  ISNUMBER(BW70),
  MIN(MAX(
    BW70
    + MAX(
      ROUNDDOWN((D71 - MAX(IFERROR(FILTER(D$24:D70, BW$24:BW70 &lt;&gt; BV$6, BW$23:BW69 = BV$6), 0))) * (60 * 60 * 24) / BV$9) - ROUNDDOWN((D70 - MAX(IFERROR(FILTER(D$23:D69, BW$23:BW69 &lt;&gt; BV$6, BW$22:BW68 ="&amp;" BV$6), 0))) * (60 * 60 * 24) / BV$9),
      0
    )
    - COUNTIF(BV71, ""&lt;&gt;-""),
  0), BV$6),
  BV$6 - COUNTIF(BV71, ""&lt;&gt;-"")
)"),2.0)</f>
        <v>2</v>
      </c>
      <c r="BX71" s="185" t="s">
        <v>1070</v>
      </c>
      <c r="BY71" s="178" t="b">
        <v>0</v>
      </c>
      <c r="BZ71" s="180" t="b">
        <v>0</v>
      </c>
      <c r="CA71" s="180" t="b">
        <v>0</v>
      </c>
      <c r="CB71" s="180" t="b">
        <v>0</v>
      </c>
      <c r="CC71" s="180" t="b">
        <v>0</v>
      </c>
      <c r="CD71" s="180" t="b">
        <v>0</v>
      </c>
      <c r="CE71" s="180" t="b">
        <v>0</v>
      </c>
      <c r="CF71" s="180" t="b">
        <v>0</v>
      </c>
      <c r="CG71" s="180" t="b">
        <v>0</v>
      </c>
      <c r="CH71" s="180" t="b">
        <v>0</v>
      </c>
      <c r="CI71" s="180" t="b">
        <v>0</v>
      </c>
      <c r="CJ71" s="180" t="b">
        <v>0</v>
      </c>
      <c r="CK71" s="180" t="b">
        <v>0</v>
      </c>
      <c r="CL71" s="180" t="b">
        <v>0</v>
      </c>
      <c r="CM71" s="181" t="s">
        <v>1070</v>
      </c>
      <c r="CN71" s="181" t="s">
        <v>1070</v>
      </c>
      <c r="CO71" s="181" t="s">
        <v>1070</v>
      </c>
      <c r="CP71" s="181" t="s">
        <v>1070</v>
      </c>
      <c r="CQ71" s="185" t="s">
        <v>1070</v>
      </c>
      <c r="CR71" s="180" t="b">
        <v>0</v>
      </c>
      <c r="CS71" s="186" t="str">
        <f t="shared" si="14"/>
        <v>◇◇◇</v>
      </c>
      <c r="CT71" s="178" t="b">
        <v>0</v>
      </c>
      <c r="CU71" s="180" t="b">
        <v>0</v>
      </c>
      <c r="CV71" s="180" t="b">
        <v>0</v>
      </c>
      <c r="CW71" s="180" t="b">
        <v>0</v>
      </c>
      <c r="CX71" s="180" t="b">
        <v>0</v>
      </c>
      <c r="CY71" s="180" t="b">
        <v>0</v>
      </c>
      <c r="CZ71" s="180" t="b">
        <v>0</v>
      </c>
      <c r="DA71" s="180" t="b">
        <v>0</v>
      </c>
      <c r="DB71" s="180" t="b">
        <v>0</v>
      </c>
      <c r="DC71" s="180" t="b">
        <v>0</v>
      </c>
      <c r="DD71" s="181" t="s">
        <v>1070</v>
      </c>
      <c r="DE71" s="181" t="s">
        <v>1070</v>
      </c>
      <c r="DF71" s="181" t="s">
        <v>1070</v>
      </c>
      <c r="DG71" s="185" t="s">
        <v>1070</v>
      </c>
      <c r="DH71" s="180" t="b">
        <v>0</v>
      </c>
      <c r="DI71" s="187" t="str">
        <f>IFERROR(__xludf.DUMMYFUNCTION("SWITCH(
  IF(
    ISTEXT(DI70),
    IF (
      FIND(""○"", DI70&amp;""○"") &gt; 3,
      3,
      FIND(""○"", DI70&amp;""○"")
      + MAX(
        ROUNDDOWN(($D71 - MAX(IFERROR(FILTER(D$24:D70, DI$24:DI70 &lt;&gt; ""●●●"", DI$23:DI69 = ""●●●""), 0))) * (60 * 60 * 24) / 20"&amp;") - ROUNDDOWN(($D70 - MAX(IFERROR(FILTER(D$23:D69, DI$23:DI69 &lt;&gt; ""●●●"", DI$22:DI68 = ""●●●""), 0))) * (60 * 60 * 24) / 20),
        0
      ) - 1
    ) - COUNTIFS(CU71, ""=TRUE"", CU70, ""&lt;&gt;TRUE"") - COUNTIF(CZ71, ""=TRUE"") - COUNTIF({DD71,DE71}, ""&lt;&gt;-"&amp;""") + COUNTIF(DH71, ""=TRUE""),
    3
  ),
  0, ""○○○"", 1, ""●○○"", 2, ""●●○"", 3, ""●●●"", 4, ""●●●"", ""○○○""
)"),"●●●")</f>
        <v>●●●</v>
      </c>
      <c r="DJ71" s="188" t="b">
        <v>0</v>
      </c>
      <c r="DK71" s="189" t="b">
        <v>0</v>
      </c>
      <c r="DL71" s="190" t="b">
        <v>0</v>
      </c>
      <c r="DM71" s="190" t="b">
        <v>0</v>
      </c>
      <c r="DN71" s="190" t="b">
        <v>0</v>
      </c>
      <c r="DO71" s="190" t="b">
        <v>0</v>
      </c>
      <c r="DP71" s="190" t="b">
        <v>0</v>
      </c>
      <c r="DQ71" s="191" t="b">
        <v>0</v>
      </c>
      <c r="DR71" s="192" t="b">
        <v>0</v>
      </c>
      <c r="DS71" s="191" t="b">
        <v>0</v>
      </c>
      <c r="DT71" s="192" t="b">
        <v>0</v>
      </c>
      <c r="DU71" s="191" t="b">
        <v>0</v>
      </c>
      <c r="DV71" s="193" t="s">
        <v>1070</v>
      </c>
      <c r="DW71" s="194" t="b">
        <v>0</v>
      </c>
      <c r="DX71" s="194" t="b">
        <v>0</v>
      </c>
      <c r="DY71" s="195" t="b">
        <v>0</v>
      </c>
      <c r="DZ71" s="196" t="b">
        <v>0</v>
      </c>
      <c r="EA71" s="195" t="b">
        <v>0</v>
      </c>
      <c r="EB71" s="197" t="b">
        <v>0</v>
      </c>
      <c r="EC71" s="197" t="b">
        <v>0</v>
      </c>
      <c r="ED71" s="212" t="b">
        <v>0</v>
      </c>
      <c r="EE71" s="199">
        <f>IFERROR(__xludf.DUMMYFUNCTION("IFERROR(
   PRODUCT(
     MAP(
       INDEX(TRANSPOSE(UNIQUE(TRANSPOSE(FILTER({IF($F71=""Physical"", K$10:ED$10, IF($F71=""Magic"", K$11:ED$11, K$12:ED$12));K$4:ED$4;K71:ED71}, K71:ED71=TRUE)))), 1, 0),
       INDEX(TRANSPOSE(UNIQUE(TRANSPOSE(FILTER({IF($"&amp;"F71=""Physical"", K$18:ED$18, IF($F71=""Magic"", K$19:ED$19, K$20:ED$20));K$4:ED$4;K71:ED71}, K71:ED71=TRUE)))), 1, 0),
       INDEX(TRANSPOSE(UNIQUE(TRANSPOSE(FILTER({K$5:ED$5;K$4:ED$4;K71:ED71}, K71:ED71=TRUE)))), 1, 0),
       INDEX(TRANSPOSE(UNIQUE(TR"&amp;"ANSPOSE(FILTER({K$17:ED$17;K$4:ED$4;K71:ED71}, K71:ED71=TRUE)))), 1, 0),
       LAMBDA(
         mitigation,
         enhance,
         assign,
         precondition,
         IF(
           REGEXMATCH(assign, ""RANGE_PARTY|SINGLE_ENEMY|RANGE_ENEMY""),
  "&amp;"         IF(
             OR(ARRAYFORMULA((IF(precondition="""", FALSE, REGEXMATCH(K$4:ED$4, precondition))) * (K71:ED71=TRUE))),
             IF(ISNUMBER(enhance), enhance, 1),
             IF(ISNUMBER(mitigation), mitigation, 1)
           ),
          "&amp;" 1
         )
       )
     )
   ),
   1
 )"),1.0)</f>
        <v>1</v>
      </c>
      <c r="EF71" s="200">
        <f>IFERROR(__xludf.DUMMYFUNCTION("PRODUCT(
   MAP(
     K$14:ED$14,
     K$13:ED$13,
     K71:ED71,
     LAMBDA(
       buff,
       target,
       check,
       IF(
         AND(check=TRUE, REGEXMATCH(target, ""RANGE_AFFECTED_ALL|RANGE_EFFECTED_ALL""), ISNUMBER(buff)),
         buff,
   "&amp;"      1
       )
     )
   )
 )"),1.0)</f>
        <v>1</v>
      </c>
      <c r="EG71" s="200">
        <f>IFERROR(__xludf.DUMMYFUNCTION("PRODUCT(
   MAP(
     K$14:ED$14,
     K$13:ED$13,
     K71:ED71,
     LAMBDA(
       buff,
       target,
       check,
       IF(
         AND(check=TRUE, REGEXMATCH(target, ""RANGE_AFFECTED_GCD|RANGE_EFFECTED_GCD""), ISNUMBER(buff)),
         buff,
   "&amp;"      1
       )
     )
   )
 )"),1.0)</f>
        <v>1</v>
      </c>
      <c r="EH71" s="200">
        <f>IFERROR(__xludf.DUMMYFUNCTION("PRODUCT(
   MAP(
     K$3:ED$3,
     K$14:ED$14,
     K$13:ED$13,
     K71:ED71,
     LAMBDA(
       job,
       buff,
       target,
       check,
       IF(
         AND(check=TRUE, REGEXMATCH(target, ""SELF_EFFECTED_ALL""), ISNUMBER(buff), job=""白魔道士"""&amp;"),
         buff,
         1
       )
     )
   )
 )"),1.0)</f>
        <v>1</v>
      </c>
      <c r="EI71" s="200">
        <f>IFERROR(__xludf.DUMMYFUNCTION("PRODUCT(
   MAP(
     K$3:ED$3,
     K$14:ED$14,
     K$13:ED$13,
     K71:ED71,
     LAMBDA(
       job,
       buff,
       target,
       check,
       IF(
         AND(check=TRUE, REGEXMATCH(target, ""SELF_EFFECTED_GCD""), ISNUMBER(buff), job=""白魔道士"""&amp;"),
         buff,
         1
       )
     )
   )
 )"),1.0)</f>
        <v>1</v>
      </c>
      <c r="EJ71" s="200">
        <f>IFERROR(__xludf.DUMMYFUNCTION("PRODUCT(
   MAP(
     K$3:ED$3,
     K$14:ED$14,
     K$13:ED$13,
     K71:ED71,
     LAMBDA(
       job,
       buff,
       target,
       check,
       IF(
         AND(check=TRUE, REGEXMATCH(target, ""SELF_EFFECTED_ALL""), ISNUMBER(buff), job=""占星術師"""&amp;"),
         buff,
         1
       )
     )
   )
 )"),1.0)</f>
        <v>1</v>
      </c>
      <c r="EK71" s="200">
        <f>IFERROR(__xludf.DUMMYFUNCTION("PRODUCT(
   MAP(
     K$3:ED$3,
     K$14:ED$14,
     K$13:ED$13,
     K71:ED71,
     LAMBDA(
       job,
       buff,
       target,
       check,
       IF(
         AND(check=TRUE, REGEXMATCH(target, ""SELF_EFFECTED_GCD""), ISNUMBER(buff), job=""占星術師"""&amp;"),
         buff,
         1
       )
     )
   )
 )"),1.0)</f>
        <v>1</v>
      </c>
      <c r="EL71" s="200">
        <f>IFERROR(__xludf.DUMMYFUNCTION("PRODUCT(
   MAP(
     K$3:ED$3,
     K$14:ED$14,
     K$13:ED$13,
     K71:ED71,
     LAMBDA(
       job,
       buff,
       target,
       check,
       IF(
         AND(check=TRUE, REGEXMATCH(target, ""SELF_EFFECTED_ALL""), ISNUMBER(buff), job=""学者""),"&amp;"
         buff,
         1
       )
     )
   )
 )"),1.0)</f>
        <v>1</v>
      </c>
      <c r="EM71" s="200">
        <f>IFERROR(__xludf.DUMMYFUNCTION("PRODUCT(
   MAP(
     K$3:ED$3,
     K$14:ED$14,
     K$13:ED$13,
     K71:ED71,
     LAMBDA(
       job,
       buff,
       target,
       check,
       IF(
         AND(check=TRUE, REGEXMATCH(target, ""SELF_EFFECTED_GCD""), ISNUMBER(buff), job=""学者""),"&amp;"
         buff,
         1
       )
     )
   )
 )"),1.0)</f>
        <v>1</v>
      </c>
      <c r="EN71" s="200">
        <f>IFERROR(__xludf.DUMMYFUNCTION("PRODUCT(
   MAP(
     K$3:ED$3,
     K$14:ED$14,
     K$13:ED$13,
     K71:ED71,
     LAMBDA(
       job,
       buff,
       target,
       check,
       IF(
         AND(check=TRUE, REGEXMATCH(target, ""SELF_EFFECTED_ALL""), ISNUMBER(buff), job=""賢者""),"&amp;"
         buff,
         1
       )
     )
   )
 )"),1.0)</f>
        <v>1</v>
      </c>
      <c r="EO71" s="200">
        <f>IFERROR(__xludf.DUMMYFUNCTION("PRODUCT(
   MAP(
     K$3:ED$3,
     K$14:ED$14,
     K$13:ED$13,
     K71:ED71,
     LAMBDA(
       job,
       buff,
       target,
       check,
       IF(
         AND(check=TRUE, REGEXMATCH(target, ""SELF_EFFECTED_GCD""), ISNUMBER(buff), job=""賢者""),"&amp;"
         buff,
         1
       )
     )
   )
 )"),1.0)</f>
        <v>1</v>
      </c>
      <c r="EP71" s="201">
        <f t="shared" si="3"/>
        <v>0</v>
      </c>
      <c r="EQ71" s="201">
        <f>IFERROR(__xludf.DUMMYFUNCTION("SUM(
   MAP(
     K$4:ED$4,
     K$3:ED$3,
     K$7:ED$7,
     K$15:ED$15,
     K$16:ED$16,
     K$21:ED$21,
     K$5:ED$5,
     K$17:ED$17,
     K71:ED71,
     LAMBDA(
       name,
       job,
       abillity,
       buff,
       barrier,
       enhance,"&amp;"
       assign,
       precondition,
       check,
       SWITCH(
         name,
         ""シェイクオフ"", IF(check=TRUE, buff + (0.02 * COUNTIF(ARRAYFORMULA((REGEXMATCH($K$4:$ED$4, ""スリル・オブ・バトル|ヴェンジェンス|原初の血気|ダムネーション"")) * (K71:ED71=TRUE)), 1)), 0),
         "&amp;"""インプロビゼーションフィニッシュ(踊りの激情0)"", IF(ISNUMBER(check), INDEX(Skill!$AJ:$AJ, MATCH(SUBSTITUTE(DV$4, 0, check), Skill!$C:$C, 0)), 0),
         IF(
           AND(check=TRUE, REGEXMATCH(assign, ""RANGE_PARTY"")),
           IF(
             OR(ARRAYFORMULA((IF(pr"&amp;"econdition="""", FALSE, REGEXMATCH($K$4:$ED$4, precondition))) * (K71:ED71=TRUE))),
             enhance,
             IF(barrier="""", buff, barrier)
           ),
           0
         )
       ) *
       SWITCH(
         job,
         ""ナイト"", EY$24,
 "&amp;"        ""戦士"", FD$24,
         ""踊り子"", ET$24,
         ""ピクトマンサー"", ET$24,
         ""白魔道士"", EF71 * EH71 * IF(abillity, 1, EG71 * EI71) * (Option!$D$22 * 0.81 / 100),
         ""占星術師"", EF71 * EJ71 * IF(abillity, 1, EG71 * EK71) * (Option!$D$23 * 0.81 "&amp;"/ 100),
         ""学者"", EF71 * EL71 * IF(abillity, 1, EG71 * EM71) * (Option!$D$24 * 0.81 / 100),
         ""賢者"", EF71 * EN71 * IF(abillity, 1, EG71 * EO71) * (Option!$D$25 * 0.81 / 100),
         1
       )
     )
   )
 )"),0.0)</f>
        <v>0</v>
      </c>
      <c r="ER71" s="202">
        <f t="shared" si="4"/>
        <v>0</v>
      </c>
      <c r="ES71" s="203">
        <f t="shared" si="5"/>
        <v>0</v>
      </c>
      <c r="ET71" s="231" t="str">
        <f>IFERROR(__xludf.DUMMYFUNCTION("IFS(
  EP71 &gt; $ET$24 + EQ71,
  SPARKLINE({ 1, 0 }, {""charttype"",""bar"";""max"", 1;""color1"",Option!$D$30;""color2"",Option!$D$30}),
  EP71 &lt; EQ71,
  SPARKLINE({EQ71 - EP71, $ET$24 - (EQ71 - EP71)}, {""charttype"",""bar"";""max"",$ET$24;""color1"",Opti"&amp;"on!$D$28;""color2"",Option!$D$29}),
  EP71 &gt;= EQ71,
  SPARKLINE({$ET$24 + EQ71 - EP71,EP71 - EQ71}, {""charttype"",""bar"";""max"",$ET$24;""color1"",Option!$D$29;""color2"",Option!$D$30})
)"),"")</f>
        <v/>
      </c>
      <c r="EU71" s="205">
        <f>IFERROR(__xludf.DUMMYFUNCTION("PRODUCT(
   MAP(
     IF($F71=""Physical"", K$10:ED$10, IF($F71=""Magic"", K$11:ED$11, K$12:ED$12)),
     IF($F71=""Physical"", K$18:ED$18, IF($F71=""Magic"", K$19:ED$19, K$20:ED$20)),
     K$3:ED$3,
     K$5:ED$5,
     K$17:ED$17,
     K71:ED71,
     LAM"&amp;"BDA(
       mitigation,
       enhance,
       job,
       assign,
       precondition,
       check,
       IF(
         OR(AND(check=TRUE, REGEXMATCH(assign, ""SELF""), job=""ナイト""), AND(check=Option!$E$13, REGEXMATCH(assign, ""SINGLE_PARTY""))),
      "&amp;"   IF(
           OR(ARRAYFORMULA((IF(precondition="""", FALSE, REGEXMATCH($K$4:$ED$4, precondition))) * (K71:ED71=TRUE))),
           enhance,
           mitigation
         ),
         1
       )
     )
   )
 ) * EE71"),1.0)</f>
        <v>1</v>
      </c>
      <c r="EV71" s="206">
        <f t="shared" si="6"/>
        <v>0</v>
      </c>
      <c r="EW71" s="205">
        <f>IFERROR(__xludf.DUMMYFUNCTION("PRODUCT(
   MAP(
     K$3:ED$3,
     K$14:ED$14,
     K$13:ED$13,
     K71:ED71,
     LAMBDA(
       job,
       buff,
       target,
       check,
       IF(
         OR(AND(check=TRUE, REGEXMATCH(target, ""SELF_AFFECTED_ALL""), job=""ナイト""), AND(check=O"&amp;"ption!$E$13, REGEXMATCH(target, ""SINGLE_AFFECTED_ALL""))),
         buff,
         1
       )
     )
   )
 )"),1.0)</f>
        <v>1</v>
      </c>
      <c r="EX71" s="206">
        <f>IFERROR(__xludf.DUMMYFUNCTION("SUM(
   MAP(
     K$3:ED$3,
     K$7:ED$7,
     K$15:ED$15,
     K$16:ED$16,
     K$21:ED$21,
     K$5:ED$5,
     K$17:ED$17,
     K71:ED71,
     LAMBDA(
       job,
       abillity,
       buff,
       barrier,
       enhance,
       assign,
       preco"&amp;"ndition,
       check,
       IF(
         OR(AND(check=TRUE, REGEXMATCH(assign, ""SELF""), job=""ナイト""), AND(check=Option!$E$13, REGEXMATCH(assign, ""SINGLE_PARTY""))),
         IF(
           OR(ARRAYFORMULA((IF(precondition="""", FALSE, REGEXMATCH($K$4"&amp;":$ED$4, precondition))) * (K71:ED71=TRUE))),
           enhance,
           IF(barrier="""", buff, barrier)
         ),
         0
       ) *
       SWITCH(
         job,
         ""暗黒騎士"", EY$24,
         ""白魔道士"", EF71 * EH71 * EW71 * IF(abillity, 1, EG"&amp;"71 * EI71) * (Option!$D$22 * 0.81 / 100),
         ""占星術師"", EF71 * EJ71 * EW71 * IF(abillity, 1, EG71 * EK71) * (Option!$D$23 * 0.81 / 100),
         ""学者"", EF71 * EL71 * EW71 * IF(abillity, 1, EG71 * EM71) * (Option!$D$24 * 0.81 / 100),
         ""賢者"""&amp;", EF71 * EN71 * EW71 * IF(abillity, 1, EG71 * EO71) * (Option!$D$25 * 0.81 / 100),
         1
       )
     )
   )
 ) + EQ71"),0.0)</f>
        <v>0</v>
      </c>
      <c r="EY71" s="232">
        <f t="shared" si="7"/>
        <v>0</v>
      </c>
      <c r="EZ71" s="205">
        <f>IFERROR(__xludf.DUMMYFUNCTION("PRODUCT(
   MAP(
     IF($F71=""Physical"", K$10:ED$10, IF($F71=""Magic"", K$11:ED$11, K$12:ED$12)),
     IF($F71=""Physical"", K$18:ED$18, IF($F71=""Magic"", K$19:ED$19, K$20:ED$20)),
     K$3:ED$3,
     K$5:ED$5,
     K$17:ED$17,
     K71:ED71,
     LAM"&amp;"BDA(
       mitigation,
       enhance,
       job,
       assign,
       precondition,
       check,
       IF(
         OR(AND(check=TRUE, REGEXMATCH(assign, ""SELF""), job=""戦士""), AND(check=Option!$F$13, REGEXMATCH(assign, ""SINGLE_PARTY""))),
       "&amp;"  IF(
           OR(ARRAYFORMULA((IF(precondition="""", FALSE, REGEXMATCH($K$4:$ED$4, precondition))) * (K71:ED71=TRUE))),
           enhance,
           mitigation
         ),
         1
       )
     )
   )
 ) * EE71"),1.0)</f>
        <v>1</v>
      </c>
      <c r="FA71" s="206">
        <f t="shared" si="8"/>
        <v>0</v>
      </c>
      <c r="FB71" s="205">
        <f>IFERROR(__xludf.DUMMYFUNCTION("PRODUCT(
   MAP(
     K$3:ED$3,
     K$14:ED$14,
     K$13:ED$13,
     K71:ED71,
     LAMBDA(
       job,
       buff,
       target,
       check,
       IF(
         OR(AND(check=TRUE, REGEXMATCH(target, ""SELF_AFFECTED_ALL""), job=""戦士""), AND(check=Op"&amp;"tion!$F$13, REGEXMATCH(target, ""SINGLE_AFFECTED_ALL""))),
         buff,
         1
       )
     )
   )
 )"),1.0)</f>
        <v>1</v>
      </c>
      <c r="FC71" s="206">
        <f>IFERROR(__xludf.DUMMYFUNCTION("SUM(
   MAP(
     K$3:ED$3,
     K$7:ED$7,
     K$15:ED$15,
     K$16:ED$16,
     K$21:ED$21,
     K$5:ED$5,
     K$17:ED$17,
     K71:ED71,
     LAMBDA(
       job,
       abillity,
       buff,
       barrier,
       enhance,
       assign,
       preco"&amp;"ndition,
       check,
       IF(
         OR(AND(check=TRUE, REGEXMATCH(assign, ""SELF""), job=""戦士""), AND(check=Option!$F$13, REGEXMATCH(assign, ""SINGLE_PARTY""))),
         IF(
           OR(ARRAYFORMULA((IF(precondition="""", FALSE, REGEXMATCH($K$4:"&amp;"$ED$4, precondition))) * (K71:ED71=TRUE))),
           enhance,
           IF(barrier="""", buff, barrier)
         ),
         0
       ) *
       SWITCH(
         job,
         ""暗黒騎士"", FD$24,
         ""白魔道士"", EF71 * EH71 * FB71 * IF(abillity, 1, EG7"&amp;"1 * EI71) * (Option!$D$22 * 0.81 / 100),
         ""占星術師"", EF71 * EJ71 * FFB71 * IF(abillity, 1, EG71 * EK71) * (Option!$D$23 * 0.81 / 100),
         ""学者"", EF71 * EL71 * FB71 * IF(abillity, 1, EG71 * EM71) * (Option!$D$24 * 0.81 / 100),
         ""賢者"""&amp;", EF71 * EN71 * FB71 * IF(abillity, 1, EG71 * EO71) * (Option!$D$25 * 0.81 / 100),
         1
       )
     )
   )
 ) + EQ71"),0.0)</f>
        <v>0</v>
      </c>
      <c r="FD71" s="206">
        <f t="shared" si="9"/>
        <v>0</v>
      </c>
      <c r="FE71" s="205">
        <f>IFERROR(__xludf.DUMMYFUNCTION("PRODUCT(
   MAP(
     IF($F71=""Physical"", K$10:ED$10, IF($F71=""Magic"", K$11:ED$11, K$12:ED$12)),
     IF($F71=""Physical"", K$18:ED$18, IF($F71=""Magic"", K$19:ED$19, K$20:ED$20)),
     K$3:ED$3,
     K$5:ED$5,
     K$17:ED$17,
     K71:ED71,
     LAM"&amp;"BDA(
       mitigation,
       enhance,
       job,
       assign,
       precondition,
       check,
       IF(
         OR(AND(check=TRUE, REGEXMATCH(assign, ""SELF""), job=""暗黒騎士""), AND(check=Option!$G$13, REGEXMATCH(assign, ""SINGLE_PARTY""))),
     "&amp;"    IF(
           OR(ARRAYFORMULA((IF(precondition="""", FALSE, REGEXMATCH($K$4:$ED$4, precondition))) * (K71:ED71=TRUE))),
           enhance,
           mitigation
         ),
         1
       )
     )
   )
 ) * EE71"),1.0)</f>
        <v>1</v>
      </c>
      <c r="FF71" s="206">
        <f t="shared" si="10"/>
        <v>0</v>
      </c>
      <c r="FG71" s="205">
        <f>IFERROR(__xludf.DUMMYFUNCTION("PRODUCT(
   MAP(
     K$3:ED$3,
     K$14:ED$14,
     K$13:ED$13,
     K71:ED71,
     LAMBDA(
       job,
       buff,
       target,
       check,
       IF(
         OR(AND(check=TRUE, REGEXMATCH(target, ""SELF_AFFECTED_ALL""), job=""暗黒騎士""), AND(check="&amp;"Option!$G$13, REGEXMATCH(target, ""SINGLE_AFFECTED_ALL""))),
         buff,
         1
       )
     )
   )
 )"),1.0)</f>
        <v>1</v>
      </c>
      <c r="FH71" s="206">
        <f>IFERROR(__xludf.DUMMYFUNCTION("SUM(
   MAP(
     K$3:ED$3,
     K$7:ED$7,
     K$15:ED$15,
     K$16:ED$16,
     K$21:ED$21,
     K$5:ED$5,
     K$17:ED$17,
     K71:ED71,
     LAMBDA(
       job,
       abillity,
       buff,
       barrier,
       enhance,
       assign,
       preco"&amp;"ndition,
       check,
       IF(
         OR(AND(check=TRUE, REGEXMATCH(assign, ""SELF""), job=""暗黒騎士""), AND(check=Option!$G$13, REGEXMATCH(assign, ""SINGLE_PARTY""))),
         IF(
           OR(ARRAYFORMULA((IF(precondition="""", FALSE, REGEXMATCH($K$"&amp;"4:$ED$4, precondition))) * (K71:ED71=TRUE))),
           enhance,
           IF(barrier="""", buff, barrier)
         ),
         0
       ) *
       SWITCH(
         job,
         ""暗黒騎士"", FI$24,
         ""白魔道士"", EF71 * EH71 * FG71 * IF(abillity, 1, E"&amp;"G71 * EI71) * (Option!$D$22 * 0.81 / 100),
         ""占星術師"", EF71 * EJ71 * FG71 * IF(abillity, 1, EG71 * EK71) * (Option!$D$23 * 0.81 / 100),
         ""学者"", EF71 * EL71 * FG71 * IF(abillity, 1, EG71 * EM71) * (Option!$D$24 * 0.81 / 100),
         ""賢者"&amp;""", EF71 * EN71 * FG71 * IF(abillity, 1, EG71 * EO71) * (Option!$D$25 * 0.81 / 100),
         1
       )
     )
   )
 ) + EQ71"),0.0)</f>
        <v>0</v>
      </c>
      <c r="FI71" s="206">
        <f t="shared" si="11"/>
        <v>0</v>
      </c>
      <c r="FJ71" s="205">
        <f>IFERROR(__xludf.DUMMYFUNCTION("PRODUCT(
   MAP(
     IF($F71=""Physical"", K$10:ED$10, IF($F71=""Magic"", K$11:ED$11, K$12:ED$12)),
     IF($F71=""Physical"", K$18:ED$18, IF($F71=""Magic"", K$19:ED$19, K$20:ED$20)),
     K$3:ED$3,
     K$5:ED$5,
     K$17:ED$17,
     K71:ED71,
     LAM"&amp;"BDA(
       mitigation,
       enhance,
       job,
       assign,
       precondition,
       check,
       IF(
         OR(AND(check=TRUE, REGEXMATCH(assign, ""SELF""), job=""ガンブレイカー""), AND(check=Option!$H$13, REGEXMATCH(assign, ""SINGLE_PARTY""))),
  "&amp;"       IF(
           OR(ARRAYFORMULA((IF(precondition="""", FALSE, REGEXMATCH($K$4:$ED$4, precondition))) * (K71:ED71=TRUE))),
           enhance,
           mitigation
         ),
         1
       )
     )
   )
 ) * EE71"),1.0)</f>
        <v>1</v>
      </c>
      <c r="FK71" s="206">
        <f t="shared" si="12"/>
        <v>0</v>
      </c>
      <c r="FL71" s="205">
        <f>IFERROR(__xludf.DUMMYFUNCTION("PRODUCT(
   MAP(
     K$3:ED$3,
     K$14:ED$14,
     K$13:ED$13,
     K71:ED71,
     LAMBDA(
       job,
       buff,
       target,
       check,
       IF(
         OR(AND(check=TRUE, REGEXMATCH(target, ""SELF_AFFECTED_ALL""), job=""ガンブレイカー""), AND(che"&amp;"ck=Option!$H$13, REGEXMATCH(target, ""SINGLE_AFFECTED_ALL""))),
         buff,
         1
       )
     )
   )
 )"),1.0)</f>
        <v>1</v>
      </c>
      <c r="FM71" s="206">
        <f>IFERROR(__xludf.DUMMYFUNCTION("SUM(
   MAP(
     K$3:ED$3,
     K$7:ED$7,
     K$15:ED$15,
     K$16:ED$16,
     K$21:ED$21,
     K$5:ED$5,
     K$17:ED$17,
     K71:ED71,
     LAMBDA(
       job,
       abillity,
       buff,
       barrier,
       enhance,
       assign,
       preco"&amp;"ndition,
       check,
       IF(
         OR(AND(check=TRUE, REGEXMATCH(assign, ""SELF""), job=""ガンブレイカー""), AND(check=Option!$H$13, REGEXMATCH(assign, ""SINGLE_PARTY""))),
         IF(
           OR(ARRAYFORMULA((IF(precondition="""", FALSE, REGEXMATCH("&amp;"$K$4:$ED$4, precondition))) * (K71:ED71=TRUE))),
           enhance,
           IF(barrier="""", buff, barrier)
         ),
         0
       ) *
       SWITCH(
         job,
         ""暗黒騎士"", FN$24,
         ""白魔道士"", EF71 * EH71 * FL71 * IF(abillity, 1"&amp;", EG71 * EI71) * (Option!$D$22 * 0.81 / 100),
         ""占星術師"", EF71 * EJ71 * FL71 * IF(abillity, 1, EG71 * EK71) * (Option!$D$23 * 0.81 / 100),
         ""学者"", EF71 * EL71 * FL71 * IF(abillity, 1, EG71 * EM71) * (Option!$D$24 * 0.81 / 100),
         """&amp;"賢者"", EF71 * EN71 * FL71 * IF(abillity, 1, EG71 * EO71) * (Option!$D$25 * 0.81 / 100),
         1
       )
     )
   )
 ) + EQ71"),0.0)</f>
        <v>0</v>
      </c>
      <c r="FN71" s="206">
        <f t="shared" si="13"/>
        <v>0</v>
      </c>
      <c r="FO71" s="213"/>
    </row>
    <row r="72">
      <c r="B72" s="229"/>
      <c r="C72" s="217">
        <f t="shared" si="1"/>
        <v>0</v>
      </c>
      <c r="D72" s="236"/>
      <c r="E72" s="238"/>
      <c r="F72" s="167"/>
      <c r="G72" s="168" t="str">
        <f t="shared" si="2"/>
        <v/>
      </c>
      <c r="H72" s="169"/>
      <c r="I72" s="169"/>
      <c r="J72" s="169"/>
      <c r="K72" s="170" t="b">
        <v>0</v>
      </c>
      <c r="L72" s="170" t="b">
        <v>0</v>
      </c>
      <c r="M72" s="170" t="b">
        <v>0</v>
      </c>
      <c r="N72" s="171" t="s">
        <v>1070</v>
      </c>
      <c r="O72" s="172" t="b">
        <v>0</v>
      </c>
      <c r="P72" s="173" t="b">
        <v>0</v>
      </c>
      <c r="Q72" s="173" t="b">
        <v>0</v>
      </c>
      <c r="R72" s="173" t="b">
        <v>0</v>
      </c>
      <c r="S72" s="174" t="b">
        <v>0</v>
      </c>
      <c r="T72" s="175" t="b">
        <v>0</v>
      </c>
      <c r="U72" s="173" t="b">
        <v>0</v>
      </c>
      <c r="V72" s="171" t="s">
        <v>1070</v>
      </c>
      <c r="W72" s="172" t="b">
        <v>0</v>
      </c>
      <c r="X72" s="173" t="b">
        <v>0</v>
      </c>
      <c r="Y72" s="173" t="b">
        <v>0</v>
      </c>
      <c r="Z72" s="173" t="b">
        <v>0</v>
      </c>
      <c r="AA72" s="174" t="b">
        <v>0</v>
      </c>
      <c r="AB72" s="174" t="b">
        <v>0</v>
      </c>
      <c r="AC72" s="175" t="b">
        <v>0</v>
      </c>
      <c r="AD72" s="173" t="b">
        <v>0</v>
      </c>
      <c r="AE72" s="176" t="s">
        <v>1070</v>
      </c>
      <c r="AF72" s="171" t="s">
        <v>1070</v>
      </c>
      <c r="AG72" s="177">
        <f>IFERROR(__xludf.DUMMYFUNCTION("IF(
  ISNUMBER(AG71),
  MIN(MAX(
    AG71
    + MAX(
      ROUNDDOWN(($D72 - MAX(IFERROR(FILTER($D$24:$D71, AG$24:AG71 &lt;&gt; AF$6, AG$23:AG70 = AF$6), 0))) * (60 * 60 * 24) / AF$9) - ROUNDDOWN(($D71 - MAX(IFERROR(FILTER($D$23:$D70, AG$23:AG70 &lt;&gt; AF$6, AG$22:"&amp;"AG69 = AF$6), 0))) * (60 * 60 * 24) / 60),
      0
    )
    - COUNTIF(AF72, ""&lt;&gt;-""),
  0), AF$6),
  AF$6 - COUNTIF(AF72, ""&lt;&gt;-"")
)"),2.0)</f>
        <v>2</v>
      </c>
      <c r="AH72" s="173" t="b">
        <v>0</v>
      </c>
      <c r="AI72" s="173" t="b">
        <v>0</v>
      </c>
      <c r="AJ72" s="173" t="b">
        <v>0</v>
      </c>
      <c r="AK72" s="174" t="b">
        <v>0</v>
      </c>
      <c r="AL72" s="175" t="b">
        <v>0</v>
      </c>
      <c r="AM72" s="173" t="b">
        <v>0</v>
      </c>
      <c r="AN72" s="171" t="s">
        <v>1070</v>
      </c>
      <c r="AO72" s="173" t="b">
        <v>0</v>
      </c>
      <c r="AP72" s="173" t="b">
        <v>0</v>
      </c>
      <c r="AQ72" s="173" t="b">
        <v>0</v>
      </c>
      <c r="AR72" s="174" t="b">
        <v>0</v>
      </c>
      <c r="AS72" s="178" t="b">
        <v>0</v>
      </c>
      <c r="AT72" s="179" t="b">
        <v>0</v>
      </c>
      <c r="AU72" s="180" t="b">
        <v>0</v>
      </c>
      <c r="AV72" s="180" t="b">
        <v>0</v>
      </c>
      <c r="AW72" s="180" t="b">
        <v>0</v>
      </c>
      <c r="AX72" s="180" t="b">
        <v>0</v>
      </c>
      <c r="AY72" s="181" t="s">
        <v>1070</v>
      </c>
      <c r="AZ72" s="181" t="s">
        <v>1070</v>
      </c>
      <c r="BA72" s="184">
        <f>IFERROR(__xludf.DUMMYFUNCTION("IF(
  ISNUMBER(BA71),
  MIN(MAX(
    BA71
    + MAX(
      ROUNDDOWN((D72 - MAX(IFERROR(FILTER(D$24:D71, BA$24:BA71 &lt;&gt; AZ$6, BA$23:BA70 = AZ$6), 0))) * (60 * 60 * 24) / AZ$9) - ROUNDDOWN((D71 - MAX(IFERROR(FILTER(D$23:D70, BA$23:BA70 &lt;&gt; AZ$6, BA$22:BA69 ="&amp;" AZ$6), 0))) * (60 * 60 * 24) / AZ$9),
      0
    )
    - COUNTIF(AZ72, ""&lt;&gt;-""),
  0), AZ$6),
  AZ$6 - COUNTIF(AZ72, ""&lt;&gt;-"")
)"),2.0)</f>
        <v>2</v>
      </c>
      <c r="BB72" s="181" t="s">
        <v>1070</v>
      </c>
      <c r="BC72" s="183">
        <f>IFERROR(__xludf.DUMMYFUNCTION("IF(
  ISNUMBER(BC71),
  MIN(MAX(
    BC71
    + MAX(
      ROUNDDOWN(($D72 - MAX(IFERROR(FILTER($D$24:$D71, BC$24:BC71 &lt;&gt; BB$6, BC$23:BC70 = BB$6), 0))) * (60 * 60 * 24) / BB$9) - ROUNDDOWN(($D71 - MAX(IFERROR(FILTER($D$23:$D70, BC$23:BC70 &lt;&gt; BB$6, BC$22:"&amp;"BC69 = BB$6), 0))) * (60 * 60 * 24) / 60),
      0
    )
    - COUNTIF(BB72, ""&lt;&gt;-""),
  0), BB$6),
  BB$6 - COUNTIF(BB72, ""&lt;&gt;-"")
)"),2.0)</f>
        <v>2</v>
      </c>
      <c r="BD72" s="181" t="s">
        <v>1070</v>
      </c>
      <c r="BE72" s="178" t="b">
        <v>0</v>
      </c>
      <c r="BF72" s="180" t="b">
        <v>0</v>
      </c>
      <c r="BG72" s="180" t="b">
        <v>0</v>
      </c>
      <c r="BH72" s="180" t="b">
        <v>0</v>
      </c>
      <c r="BI72" s="180" t="b">
        <v>0</v>
      </c>
      <c r="BJ72" s="180" t="b">
        <v>0</v>
      </c>
      <c r="BK72" s="180" t="b">
        <v>0</v>
      </c>
      <c r="BL72" s="180" t="b">
        <v>0</v>
      </c>
      <c r="BM72" s="180" t="b">
        <v>0</v>
      </c>
      <c r="BN72" s="180" t="b">
        <v>0</v>
      </c>
      <c r="BO72" s="181" t="s">
        <v>1070</v>
      </c>
      <c r="BP72" s="181" t="s">
        <v>1070</v>
      </c>
      <c r="BQ72" s="181" t="s">
        <v>1070</v>
      </c>
      <c r="BR72" s="181" t="s">
        <v>1070</v>
      </c>
      <c r="BS72" s="181" t="s">
        <v>1070</v>
      </c>
      <c r="BT72" s="184">
        <f>IFERROR(__xludf.DUMMYFUNCTION("IF(
  ISNUMBER(BT71),
  MIN(MAX(
    BT71
    + MAX(
      ROUNDDOWN((D72 - MAX(IFERROR(FILTER(D$24:D71, BT$24:BT71 &lt;&gt; BS$6, BT$23:BT70 = BS$6), 0))) * (60 * 60 * 24) / BS$9) - ROUNDDOWN((D71 - MAX(IFERROR(FILTER(D$23:D70, BT$23:BT70 &lt;&gt; BS$6, BT$22:BT69 ="&amp;" BS$6), 0))) * (60 * 60 * 24) / BS$9),
      0
    )
    - COUNTIF(BS72, ""&lt;&gt;-""),
  0), BS$6),
  BS$6 - COUNTIF(BS72, ""&lt;&gt;-"")
)"),3.0)</f>
        <v>3</v>
      </c>
      <c r="BU72" s="181" t="s">
        <v>1070</v>
      </c>
      <c r="BV72" s="181" t="s">
        <v>1070</v>
      </c>
      <c r="BW72" s="184">
        <f>IFERROR(__xludf.DUMMYFUNCTION("IF(
  ISNUMBER(BW71),
  MIN(MAX(
    BW71
    + MAX(
      ROUNDDOWN((D72 - MAX(IFERROR(FILTER(D$24:D71, BW$24:BW71 &lt;&gt; BV$6, BW$23:BW70 = BV$6), 0))) * (60 * 60 * 24) / BV$9) - ROUNDDOWN((D71 - MAX(IFERROR(FILTER(D$23:D70, BW$23:BW70 &lt;&gt; BV$6, BW$22:BW69 ="&amp;" BV$6), 0))) * (60 * 60 * 24) / BV$9),
      0
    )
    - COUNTIF(BV72, ""&lt;&gt;-""),
  0), BV$6),
  BV$6 - COUNTIF(BV72, ""&lt;&gt;-"")
)"),2.0)</f>
        <v>2</v>
      </c>
      <c r="BX72" s="185" t="s">
        <v>1070</v>
      </c>
      <c r="BY72" s="178" t="b">
        <v>0</v>
      </c>
      <c r="BZ72" s="180" t="b">
        <v>0</v>
      </c>
      <c r="CA72" s="180" t="b">
        <v>0</v>
      </c>
      <c r="CB72" s="180" t="b">
        <v>0</v>
      </c>
      <c r="CC72" s="180" t="b">
        <v>0</v>
      </c>
      <c r="CD72" s="180" t="b">
        <v>0</v>
      </c>
      <c r="CE72" s="180" t="b">
        <v>0</v>
      </c>
      <c r="CF72" s="180" t="b">
        <v>0</v>
      </c>
      <c r="CG72" s="180" t="b">
        <v>0</v>
      </c>
      <c r="CH72" s="180" t="b">
        <v>0</v>
      </c>
      <c r="CI72" s="180" t="b">
        <v>0</v>
      </c>
      <c r="CJ72" s="180" t="b">
        <v>0</v>
      </c>
      <c r="CK72" s="180" t="b">
        <v>0</v>
      </c>
      <c r="CL72" s="180" t="b">
        <v>0</v>
      </c>
      <c r="CM72" s="181" t="s">
        <v>1070</v>
      </c>
      <c r="CN72" s="181" t="s">
        <v>1070</v>
      </c>
      <c r="CO72" s="181" t="s">
        <v>1070</v>
      </c>
      <c r="CP72" s="181" t="s">
        <v>1070</v>
      </c>
      <c r="CQ72" s="185" t="s">
        <v>1070</v>
      </c>
      <c r="CR72" s="180" t="b">
        <v>0</v>
      </c>
      <c r="CS72" s="186" t="str">
        <f t="shared" si="14"/>
        <v>◇◇◇</v>
      </c>
      <c r="CT72" s="178" t="b">
        <v>0</v>
      </c>
      <c r="CU72" s="180" t="b">
        <v>0</v>
      </c>
      <c r="CV72" s="180" t="b">
        <v>0</v>
      </c>
      <c r="CW72" s="180" t="b">
        <v>0</v>
      </c>
      <c r="CX72" s="180" t="b">
        <v>0</v>
      </c>
      <c r="CY72" s="180" t="b">
        <v>0</v>
      </c>
      <c r="CZ72" s="180" t="b">
        <v>0</v>
      </c>
      <c r="DA72" s="180" t="b">
        <v>0</v>
      </c>
      <c r="DB72" s="180" t="b">
        <v>0</v>
      </c>
      <c r="DC72" s="180" t="b">
        <v>0</v>
      </c>
      <c r="DD72" s="181" t="s">
        <v>1070</v>
      </c>
      <c r="DE72" s="181" t="s">
        <v>1070</v>
      </c>
      <c r="DF72" s="181" t="s">
        <v>1070</v>
      </c>
      <c r="DG72" s="185" t="s">
        <v>1070</v>
      </c>
      <c r="DH72" s="180" t="b">
        <v>0</v>
      </c>
      <c r="DI72" s="187" t="str">
        <f>IFERROR(__xludf.DUMMYFUNCTION("SWITCH(
  IF(
    ISTEXT(DI71),
    IF (
      FIND(""○"", DI71&amp;""○"") &gt; 3,
      3,
      FIND(""○"", DI71&amp;""○"")
      + MAX(
        ROUNDDOWN(($D72 - MAX(IFERROR(FILTER(D$24:D71, DI$24:DI71 &lt;&gt; ""●●●"", DI$23:DI70 = ""●●●""), 0))) * (60 * 60 * 24) / 20"&amp;") - ROUNDDOWN(($D71 - MAX(IFERROR(FILTER(D$23:D70, DI$23:DI70 &lt;&gt; ""●●●"", DI$22:DI69 = ""●●●""), 0))) * (60 * 60 * 24) / 20),
        0
      ) - 1
    ) - COUNTIFS(CU72, ""=TRUE"", CU71, ""&lt;&gt;TRUE"") - COUNTIF(CZ72, ""=TRUE"") - COUNTIF({DD72,DE72}, ""&lt;&gt;-"&amp;""") + COUNTIF(DH72, ""=TRUE""),
    3
  ),
  0, ""○○○"", 1, ""●○○"", 2, ""●●○"", 3, ""●●●"", 4, ""●●●"", ""○○○""
)"),"●●●")</f>
        <v>●●●</v>
      </c>
      <c r="DJ72" s="188" t="b">
        <v>0</v>
      </c>
      <c r="DK72" s="189" t="b">
        <v>0</v>
      </c>
      <c r="DL72" s="190" t="b">
        <v>0</v>
      </c>
      <c r="DM72" s="190" t="b">
        <v>0</v>
      </c>
      <c r="DN72" s="190" t="b">
        <v>0</v>
      </c>
      <c r="DO72" s="190" t="b">
        <v>0</v>
      </c>
      <c r="DP72" s="190" t="b">
        <v>0</v>
      </c>
      <c r="DQ72" s="191" t="b">
        <v>0</v>
      </c>
      <c r="DR72" s="192" t="b">
        <v>0</v>
      </c>
      <c r="DS72" s="191" t="b">
        <v>0</v>
      </c>
      <c r="DT72" s="192" t="b">
        <v>0</v>
      </c>
      <c r="DU72" s="191" t="b">
        <v>0</v>
      </c>
      <c r="DV72" s="193" t="s">
        <v>1070</v>
      </c>
      <c r="DW72" s="194" t="b">
        <v>0</v>
      </c>
      <c r="DX72" s="194" t="b">
        <v>0</v>
      </c>
      <c r="DY72" s="195" t="b">
        <v>0</v>
      </c>
      <c r="DZ72" s="196" t="b">
        <v>0</v>
      </c>
      <c r="EA72" s="195" t="b">
        <v>0</v>
      </c>
      <c r="EB72" s="197" t="b">
        <v>0</v>
      </c>
      <c r="EC72" s="197" t="b">
        <v>0</v>
      </c>
      <c r="ED72" s="212" t="b">
        <v>0</v>
      </c>
      <c r="EE72" s="199">
        <f>IFERROR(__xludf.DUMMYFUNCTION("IFERROR(
   PRODUCT(
     MAP(
       INDEX(TRANSPOSE(UNIQUE(TRANSPOSE(FILTER({IF($F72=""Physical"", K$10:ED$10, IF($F72=""Magic"", K$11:ED$11, K$12:ED$12));K$4:ED$4;K72:ED72}, K72:ED72=TRUE)))), 1, 0),
       INDEX(TRANSPOSE(UNIQUE(TRANSPOSE(FILTER({IF($"&amp;"F72=""Physical"", K$18:ED$18, IF($F72=""Magic"", K$19:ED$19, K$20:ED$20));K$4:ED$4;K72:ED72}, K72:ED72=TRUE)))), 1, 0),
       INDEX(TRANSPOSE(UNIQUE(TRANSPOSE(FILTER({K$5:ED$5;K$4:ED$4;K72:ED72}, K72:ED72=TRUE)))), 1, 0),
       INDEX(TRANSPOSE(UNIQUE(TR"&amp;"ANSPOSE(FILTER({K$17:ED$17;K$4:ED$4;K72:ED72}, K72:ED72=TRUE)))), 1, 0),
       LAMBDA(
         mitigation,
         enhance,
         assign,
         precondition,
         IF(
           REGEXMATCH(assign, ""RANGE_PARTY|SINGLE_ENEMY|RANGE_ENEMY""),
  "&amp;"         IF(
             OR(ARRAYFORMULA((IF(precondition="""", FALSE, REGEXMATCH(K$4:ED$4, precondition))) * (K72:ED72=TRUE))),
             IF(ISNUMBER(enhance), enhance, 1),
             IF(ISNUMBER(mitigation), mitigation, 1)
           ),
          "&amp;" 1
         )
       )
     )
   ),
   1
 )"),1.0)</f>
        <v>1</v>
      </c>
      <c r="EF72" s="200">
        <f>IFERROR(__xludf.DUMMYFUNCTION("PRODUCT(
   MAP(
     K$14:ED$14,
     K$13:ED$13,
     K72:ED72,
     LAMBDA(
       buff,
       target,
       check,
       IF(
         AND(check=TRUE, REGEXMATCH(target, ""RANGE_AFFECTED_ALL|RANGE_EFFECTED_ALL""), ISNUMBER(buff)),
         buff,
   "&amp;"      1
       )
     )
   )
 )"),1.0)</f>
        <v>1</v>
      </c>
      <c r="EG72" s="200">
        <f>IFERROR(__xludf.DUMMYFUNCTION("PRODUCT(
   MAP(
     K$14:ED$14,
     K$13:ED$13,
     K72:ED72,
     LAMBDA(
       buff,
       target,
       check,
       IF(
         AND(check=TRUE, REGEXMATCH(target, ""RANGE_AFFECTED_GCD|RANGE_EFFECTED_GCD""), ISNUMBER(buff)),
         buff,
   "&amp;"      1
       )
     )
   )
 )"),1.0)</f>
        <v>1</v>
      </c>
      <c r="EH72" s="200">
        <f>IFERROR(__xludf.DUMMYFUNCTION("PRODUCT(
   MAP(
     K$3:ED$3,
     K$14:ED$14,
     K$13:ED$13,
     K72:ED72,
     LAMBDA(
       job,
       buff,
       target,
       check,
       IF(
         AND(check=TRUE, REGEXMATCH(target, ""SELF_EFFECTED_ALL""), ISNUMBER(buff), job=""白魔道士"""&amp;"),
         buff,
         1
       )
     )
   )
 )"),1.0)</f>
        <v>1</v>
      </c>
      <c r="EI72" s="200">
        <f>IFERROR(__xludf.DUMMYFUNCTION("PRODUCT(
   MAP(
     K$3:ED$3,
     K$14:ED$14,
     K$13:ED$13,
     K72:ED72,
     LAMBDA(
       job,
       buff,
       target,
       check,
       IF(
         AND(check=TRUE, REGEXMATCH(target, ""SELF_EFFECTED_GCD""), ISNUMBER(buff), job=""白魔道士"""&amp;"),
         buff,
         1
       )
     )
   )
 )"),1.0)</f>
        <v>1</v>
      </c>
      <c r="EJ72" s="200">
        <f>IFERROR(__xludf.DUMMYFUNCTION("PRODUCT(
   MAP(
     K$3:ED$3,
     K$14:ED$14,
     K$13:ED$13,
     K72:ED72,
     LAMBDA(
       job,
       buff,
       target,
       check,
       IF(
         AND(check=TRUE, REGEXMATCH(target, ""SELF_EFFECTED_ALL""), ISNUMBER(buff), job=""占星術師"""&amp;"),
         buff,
         1
       )
     )
   )
 )"),1.0)</f>
        <v>1</v>
      </c>
      <c r="EK72" s="200">
        <f>IFERROR(__xludf.DUMMYFUNCTION("PRODUCT(
   MAP(
     K$3:ED$3,
     K$14:ED$14,
     K$13:ED$13,
     K72:ED72,
     LAMBDA(
       job,
       buff,
       target,
       check,
       IF(
         AND(check=TRUE, REGEXMATCH(target, ""SELF_EFFECTED_GCD""), ISNUMBER(buff), job=""占星術師"""&amp;"),
         buff,
         1
       )
     )
   )
 )"),1.0)</f>
        <v>1</v>
      </c>
      <c r="EL72" s="200">
        <f>IFERROR(__xludf.DUMMYFUNCTION("PRODUCT(
   MAP(
     K$3:ED$3,
     K$14:ED$14,
     K$13:ED$13,
     K72:ED72,
     LAMBDA(
       job,
       buff,
       target,
       check,
       IF(
         AND(check=TRUE, REGEXMATCH(target, ""SELF_EFFECTED_ALL""), ISNUMBER(buff), job=""学者""),"&amp;"
         buff,
         1
       )
     )
   )
 )"),1.0)</f>
        <v>1</v>
      </c>
      <c r="EM72" s="200">
        <f>IFERROR(__xludf.DUMMYFUNCTION("PRODUCT(
   MAP(
     K$3:ED$3,
     K$14:ED$14,
     K$13:ED$13,
     K72:ED72,
     LAMBDA(
       job,
       buff,
       target,
       check,
       IF(
         AND(check=TRUE, REGEXMATCH(target, ""SELF_EFFECTED_GCD""), ISNUMBER(buff), job=""学者""),"&amp;"
         buff,
         1
       )
     )
   )
 )"),1.0)</f>
        <v>1</v>
      </c>
      <c r="EN72" s="200">
        <f>IFERROR(__xludf.DUMMYFUNCTION("PRODUCT(
   MAP(
     K$3:ED$3,
     K$14:ED$14,
     K$13:ED$13,
     K72:ED72,
     LAMBDA(
       job,
       buff,
       target,
       check,
       IF(
         AND(check=TRUE, REGEXMATCH(target, ""SELF_EFFECTED_ALL""), ISNUMBER(buff), job=""賢者""),"&amp;"
         buff,
         1
       )
     )
   )
 )"),1.0)</f>
        <v>1</v>
      </c>
      <c r="EO72" s="200">
        <f>IFERROR(__xludf.DUMMYFUNCTION("PRODUCT(
   MAP(
     K$3:ED$3,
     K$14:ED$14,
     K$13:ED$13,
     K72:ED72,
     LAMBDA(
       job,
       buff,
       target,
       check,
       IF(
         AND(check=TRUE, REGEXMATCH(target, ""SELF_EFFECTED_GCD""), ISNUMBER(buff), job=""賢者""),"&amp;"
         buff,
         1
       )
     )
   )
 )"),1.0)</f>
        <v>1</v>
      </c>
      <c r="EP72" s="201">
        <f t="shared" si="3"/>
        <v>0</v>
      </c>
      <c r="EQ72" s="201">
        <f>IFERROR(__xludf.DUMMYFUNCTION("SUM(
   MAP(
     K$4:ED$4,
     K$3:ED$3,
     K$7:ED$7,
     K$15:ED$15,
     K$16:ED$16,
     K$21:ED$21,
     K$5:ED$5,
     K$17:ED$17,
     K72:ED72,
     LAMBDA(
       name,
       job,
       abillity,
       buff,
       barrier,
       enhance,"&amp;"
       assign,
       precondition,
       check,
       SWITCH(
         name,
         ""シェイクオフ"", IF(check=TRUE, buff + (0.02 * COUNTIF(ARRAYFORMULA((REGEXMATCH($K$4:$ED$4, ""スリル・オブ・バトル|ヴェンジェンス|原初の血気|ダムネーション"")) * (K72:ED72=TRUE)), 1)), 0),
         "&amp;"""インプロビゼーションフィニッシュ(踊りの激情0)"", IF(ISNUMBER(check), INDEX(Skill!$AJ:$AJ, MATCH(SUBSTITUTE(DV$4, 0, check), Skill!$C:$C, 0)), 0),
         IF(
           AND(check=TRUE, REGEXMATCH(assign, ""RANGE_PARTY"")),
           IF(
             OR(ARRAYFORMULA((IF(pr"&amp;"econdition="""", FALSE, REGEXMATCH($K$4:$ED$4, precondition))) * (K72:ED72=TRUE))),
             enhance,
             IF(barrier="""", buff, barrier)
           ),
           0
         )
       ) *
       SWITCH(
         job,
         ""ナイト"", EY$24,
 "&amp;"        ""戦士"", FD$24,
         ""踊り子"", ET$24,
         ""ピクトマンサー"", ET$24,
         ""白魔道士"", EF72 * EH72 * IF(abillity, 1, EG72 * EI72) * (Option!$D$22 * 0.81 / 100),
         ""占星術師"", EF72 * EJ72 * IF(abillity, 1, EG72 * EK72) * (Option!$D$23 * 0.81 "&amp;"/ 100),
         ""学者"", EF72 * EL72 * IF(abillity, 1, EG72 * EM72) * (Option!$D$24 * 0.81 / 100),
         ""賢者"", EF72 * EN72 * IF(abillity, 1, EG72 * EO72) * (Option!$D$25 * 0.81 / 100),
         1
       )
     )
   )
 )"),0.0)</f>
        <v>0</v>
      </c>
      <c r="ER72" s="202">
        <f t="shared" si="4"/>
        <v>0</v>
      </c>
      <c r="ES72" s="203">
        <f t="shared" si="5"/>
        <v>0</v>
      </c>
      <c r="ET72" s="231" t="str">
        <f>IFERROR(__xludf.DUMMYFUNCTION("IFS(
  EP72 &gt; $ET$24 + EQ72,
  SPARKLINE({ 1, 0 }, {""charttype"",""bar"";""max"", 1;""color1"",Option!$D$30;""color2"",Option!$D$30}),
  EP72 &lt; EQ72,
  SPARKLINE({EQ72 - EP72, $ET$24 - (EQ72 - EP72)}, {""charttype"",""bar"";""max"",$ET$24;""color1"",Opti"&amp;"on!$D$28;""color2"",Option!$D$29}),
  EP72 &gt;= EQ72,
  SPARKLINE({$ET$24 + EQ72 - EP72,EP72 - EQ72}, {""charttype"",""bar"";""max"",$ET$24;""color1"",Option!$D$29;""color2"",Option!$D$30})
)"),"")</f>
        <v/>
      </c>
      <c r="EU72" s="205">
        <f>IFERROR(__xludf.DUMMYFUNCTION("PRODUCT(
   MAP(
     IF($F72=""Physical"", K$10:ED$10, IF($F72=""Magic"", K$11:ED$11, K$12:ED$12)),
     IF($F72=""Physical"", K$18:ED$18, IF($F72=""Magic"", K$19:ED$19, K$20:ED$20)),
     K$3:ED$3,
     K$5:ED$5,
     K$17:ED$17,
     K72:ED72,
     LAM"&amp;"BDA(
       mitigation,
       enhance,
       job,
       assign,
       precondition,
       check,
       IF(
         OR(AND(check=TRUE, REGEXMATCH(assign, ""SELF""), job=""ナイト""), AND(check=Option!$E$13, REGEXMATCH(assign, ""SINGLE_PARTY""))),
      "&amp;"   IF(
           OR(ARRAYFORMULA((IF(precondition="""", FALSE, REGEXMATCH($K$4:$ED$4, precondition))) * (K72:ED72=TRUE))),
           enhance,
           mitigation
         ),
         1
       )
     )
   )
 ) * EE72"),1.0)</f>
        <v>1</v>
      </c>
      <c r="EV72" s="206">
        <f t="shared" si="6"/>
        <v>0</v>
      </c>
      <c r="EW72" s="205">
        <f>IFERROR(__xludf.DUMMYFUNCTION("PRODUCT(
   MAP(
     K$3:ED$3,
     K$14:ED$14,
     K$13:ED$13,
     K72:ED72,
     LAMBDA(
       job,
       buff,
       target,
       check,
       IF(
         OR(AND(check=TRUE, REGEXMATCH(target, ""SELF_AFFECTED_ALL""), job=""ナイト""), AND(check=O"&amp;"ption!$E$13, REGEXMATCH(target, ""SINGLE_AFFECTED_ALL""))),
         buff,
         1
       )
     )
   )
 )"),1.0)</f>
        <v>1</v>
      </c>
      <c r="EX72" s="206">
        <f>IFERROR(__xludf.DUMMYFUNCTION("SUM(
   MAP(
     K$3:ED$3,
     K$7:ED$7,
     K$15:ED$15,
     K$16:ED$16,
     K$21:ED$21,
     K$5:ED$5,
     K$17:ED$17,
     K72:ED72,
     LAMBDA(
       job,
       abillity,
       buff,
       barrier,
       enhance,
       assign,
       preco"&amp;"ndition,
       check,
       IF(
         OR(AND(check=TRUE, REGEXMATCH(assign, ""SELF""), job=""ナイト""), AND(check=Option!$E$13, REGEXMATCH(assign, ""SINGLE_PARTY""))),
         IF(
           OR(ARRAYFORMULA((IF(precondition="""", FALSE, REGEXMATCH($K$4"&amp;":$ED$4, precondition))) * (K72:ED72=TRUE))),
           enhance,
           IF(barrier="""", buff, barrier)
         ),
         0
       ) *
       SWITCH(
         job,
         ""暗黒騎士"", EY$24,
         ""白魔道士"", EF72 * EH72 * EW72 * IF(abillity, 1, EG"&amp;"72 * EI72) * (Option!$D$22 * 0.81 / 100),
         ""占星術師"", EF72 * EJ72 * EW72 * IF(abillity, 1, EG72 * EK72) * (Option!$D$23 * 0.81 / 100),
         ""学者"", EF72 * EL72 * EW72 * IF(abillity, 1, EG72 * EM72) * (Option!$D$24 * 0.81 / 100),
         ""賢者"""&amp;", EF72 * EN72 * EW72 * IF(abillity, 1, EG72 * EO72) * (Option!$D$25 * 0.81 / 100),
         1
       )
     )
   )
 ) + EQ72"),0.0)</f>
        <v>0</v>
      </c>
      <c r="EY72" s="232">
        <f t="shared" si="7"/>
        <v>0</v>
      </c>
      <c r="EZ72" s="205">
        <f>IFERROR(__xludf.DUMMYFUNCTION("PRODUCT(
   MAP(
     IF($F72=""Physical"", K$10:ED$10, IF($F72=""Magic"", K$11:ED$11, K$12:ED$12)),
     IF($F72=""Physical"", K$18:ED$18, IF($F72=""Magic"", K$19:ED$19, K$20:ED$20)),
     K$3:ED$3,
     K$5:ED$5,
     K$17:ED$17,
     K72:ED72,
     LAM"&amp;"BDA(
       mitigation,
       enhance,
       job,
       assign,
       precondition,
       check,
       IF(
         OR(AND(check=TRUE, REGEXMATCH(assign, ""SELF""), job=""戦士""), AND(check=Option!$F$13, REGEXMATCH(assign, ""SINGLE_PARTY""))),
       "&amp;"  IF(
           OR(ARRAYFORMULA((IF(precondition="""", FALSE, REGEXMATCH($K$4:$ED$4, precondition))) * (K72:ED72=TRUE))),
           enhance,
           mitigation
         ),
         1
       )
     )
   )
 ) * EE72"),1.0)</f>
        <v>1</v>
      </c>
      <c r="FA72" s="206">
        <f t="shared" si="8"/>
        <v>0</v>
      </c>
      <c r="FB72" s="205">
        <f>IFERROR(__xludf.DUMMYFUNCTION("PRODUCT(
   MAP(
     K$3:ED$3,
     K$14:ED$14,
     K$13:ED$13,
     K72:ED72,
     LAMBDA(
       job,
       buff,
       target,
       check,
       IF(
         OR(AND(check=TRUE, REGEXMATCH(target, ""SELF_AFFECTED_ALL""), job=""戦士""), AND(check=Op"&amp;"tion!$F$13, REGEXMATCH(target, ""SINGLE_AFFECTED_ALL""))),
         buff,
         1
       )
     )
   )
 )"),1.0)</f>
        <v>1</v>
      </c>
      <c r="FC72" s="206">
        <f>IFERROR(__xludf.DUMMYFUNCTION("SUM(
   MAP(
     K$3:ED$3,
     K$7:ED$7,
     K$15:ED$15,
     K$16:ED$16,
     K$21:ED$21,
     K$5:ED$5,
     K$17:ED$17,
     K72:ED72,
     LAMBDA(
       job,
       abillity,
       buff,
       barrier,
       enhance,
       assign,
       preco"&amp;"ndition,
       check,
       IF(
         OR(AND(check=TRUE, REGEXMATCH(assign, ""SELF""), job=""戦士""), AND(check=Option!$F$13, REGEXMATCH(assign, ""SINGLE_PARTY""))),
         IF(
           OR(ARRAYFORMULA((IF(precondition="""", FALSE, REGEXMATCH($K$4:"&amp;"$ED$4, precondition))) * (K72:ED72=TRUE))),
           enhance,
           IF(barrier="""", buff, barrier)
         ),
         0
       ) *
       SWITCH(
         job,
         ""暗黒騎士"", FD$24,
         ""白魔道士"", EF72 * EH72 * FB72 * IF(abillity, 1, EG7"&amp;"2 * EI72) * (Option!$D$22 * 0.81 / 100),
         ""占星術師"", EF72 * EJ72 * FFB72 * IF(abillity, 1, EG72 * EK72) * (Option!$D$23 * 0.81 / 100),
         ""学者"", EF72 * EL72 * FB72 * IF(abillity, 1, EG72 * EM72) * (Option!$D$24 * 0.81 / 100),
         ""賢者"""&amp;", EF72 * EN72 * FB72 * IF(abillity, 1, EG72 * EO72) * (Option!$D$25 * 0.81 / 100),
         1
       )
     )
   )
 ) + EQ72"),0.0)</f>
        <v>0</v>
      </c>
      <c r="FD72" s="206">
        <f t="shared" si="9"/>
        <v>0</v>
      </c>
      <c r="FE72" s="205">
        <f>IFERROR(__xludf.DUMMYFUNCTION("PRODUCT(
   MAP(
     IF($F72=""Physical"", K$10:ED$10, IF($F72=""Magic"", K$11:ED$11, K$12:ED$12)),
     IF($F72=""Physical"", K$18:ED$18, IF($F72=""Magic"", K$19:ED$19, K$20:ED$20)),
     K$3:ED$3,
     K$5:ED$5,
     K$17:ED$17,
     K72:ED72,
     LAM"&amp;"BDA(
       mitigation,
       enhance,
       job,
       assign,
       precondition,
       check,
       IF(
         OR(AND(check=TRUE, REGEXMATCH(assign, ""SELF""), job=""暗黒騎士""), AND(check=Option!$G$13, REGEXMATCH(assign, ""SINGLE_PARTY""))),
     "&amp;"    IF(
           OR(ARRAYFORMULA((IF(precondition="""", FALSE, REGEXMATCH($K$4:$ED$4, precondition))) * (K72:ED72=TRUE))),
           enhance,
           mitigation
         ),
         1
       )
     )
   )
 ) * EE72"),1.0)</f>
        <v>1</v>
      </c>
      <c r="FF72" s="206">
        <f t="shared" si="10"/>
        <v>0</v>
      </c>
      <c r="FG72" s="205">
        <f>IFERROR(__xludf.DUMMYFUNCTION("PRODUCT(
   MAP(
     K$3:ED$3,
     K$14:ED$14,
     K$13:ED$13,
     K72:ED72,
     LAMBDA(
       job,
       buff,
       target,
       check,
       IF(
         OR(AND(check=TRUE, REGEXMATCH(target, ""SELF_AFFECTED_ALL""), job=""暗黒騎士""), AND(check="&amp;"Option!$G$13, REGEXMATCH(target, ""SINGLE_AFFECTED_ALL""))),
         buff,
         1
       )
     )
   )
 )"),1.0)</f>
        <v>1</v>
      </c>
      <c r="FH72" s="206">
        <f>IFERROR(__xludf.DUMMYFUNCTION("SUM(
   MAP(
     K$3:ED$3,
     K$7:ED$7,
     K$15:ED$15,
     K$16:ED$16,
     K$21:ED$21,
     K$5:ED$5,
     K$17:ED$17,
     K72:ED72,
     LAMBDA(
       job,
       abillity,
       buff,
       barrier,
       enhance,
       assign,
       preco"&amp;"ndition,
       check,
       IF(
         OR(AND(check=TRUE, REGEXMATCH(assign, ""SELF""), job=""暗黒騎士""), AND(check=Option!$G$13, REGEXMATCH(assign, ""SINGLE_PARTY""))),
         IF(
           OR(ARRAYFORMULA((IF(precondition="""", FALSE, REGEXMATCH($K$"&amp;"4:$ED$4, precondition))) * (K72:ED72=TRUE))),
           enhance,
           IF(barrier="""", buff, barrier)
         ),
         0
       ) *
       SWITCH(
         job,
         ""暗黒騎士"", FI$24,
         ""白魔道士"", EF72 * EH72 * FG72 * IF(abillity, 1, E"&amp;"G72 * EI72) * (Option!$D$22 * 0.81 / 100),
         ""占星術師"", EF72 * EJ72 * FG72 * IF(abillity, 1, EG72 * EK72) * (Option!$D$23 * 0.81 / 100),
         ""学者"", EF72 * EL72 * FG72 * IF(abillity, 1, EG72 * EM72) * (Option!$D$24 * 0.81 / 100),
         ""賢者"&amp;""", EF72 * EN72 * FG72 * IF(abillity, 1, EG72 * EO72) * (Option!$D$25 * 0.81 / 100),
         1
       )
     )
   )
 ) + EQ72"),0.0)</f>
        <v>0</v>
      </c>
      <c r="FI72" s="206">
        <f t="shared" si="11"/>
        <v>0</v>
      </c>
      <c r="FJ72" s="205">
        <f>IFERROR(__xludf.DUMMYFUNCTION("PRODUCT(
   MAP(
     IF($F72=""Physical"", K$10:ED$10, IF($F72=""Magic"", K$11:ED$11, K$12:ED$12)),
     IF($F72=""Physical"", K$18:ED$18, IF($F72=""Magic"", K$19:ED$19, K$20:ED$20)),
     K$3:ED$3,
     K$5:ED$5,
     K$17:ED$17,
     K72:ED72,
     LAM"&amp;"BDA(
       mitigation,
       enhance,
       job,
       assign,
       precondition,
       check,
       IF(
         OR(AND(check=TRUE, REGEXMATCH(assign, ""SELF""), job=""ガンブレイカー""), AND(check=Option!$H$13, REGEXMATCH(assign, ""SINGLE_PARTY""))),
  "&amp;"       IF(
           OR(ARRAYFORMULA((IF(precondition="""", FALSE, REGEXMATCH($K$4:$ED$4, precondition))) * (K72:ED72=TRUE))),
           enhance,
           mitigation
         ),
         1
       )
     )
   )
 ) * EE72"),1.0)</f>
        <v>1</v>
      </c>
      <c r="FK72" s="206">
        <f t="shared" si="12"/>
        <v>0</v>
      </c>
      <c r="FL72" s="205">
        <f>IFERROR(__xludf.DUMMYFUNCTION("PRODUCT(
   MAP(
     K$3:ED$3,
     K$14:ED$14,
     K$13:ED$13,
     K72:ED72,
     LAMBDA(
       job,
       buff,
       target,
       check,
       IF(
         OR(AND(check=TRUE, REGEXMATCH(target, ""SELF_AFFECTED_ALL""), job=""ガンブレイカー""), AND(che"&amp;"ck=Option!$H$13, REGEXMATCH(target, ""SINGLE_AFFECTED_ALL""))),
         buff,
         1
       )
     )
   )
 )"),1.0)</f>
        <v>1</v>
      </c>
      <c r="FM72" s="206">
        <f>IFERROR(__xludf.DUMMYFUNCTION("SUM(
   MAP(
     K$3:ED$3,
     K$7:ED$7,
     K$15:ED$15,
     K$16:ED$16,
     K$21:ED$21,
     K$5:ED$5,
     K$17:ED$17,
     K72:ED72,
     LAMBDA(
       job,
       abillity,
       buff,
       barrier,
       enhance,
       assign,
       preco"&amp;"ndition,
       check,
       IF(
         OR(AND(check=TRUE, REGEXMATCH(assign, ""SELF""), job=""ガンブレイカー""), AND(check=Option!$H$13, REGEXMATCH(assign, ""SINGLE_PARTY""))),
         IF(
           OR(ARRAYFORMULA((IF(precondition="""", FALSE, REGEXMATCH("&amp;"$K$4:$ED$4, precondition))) * (K72:ED72=TRUE))),
           enhance,
           IF(barrier="""", buff, barrier)
         ),
         0
       ) *
       SWITCH(
         job,
         ""暗黒騎士"", FN$24,
         ""白魔道士"", EF72 * EH72 * FL72 * IF(abillity, 1"&amp;", EG72 * EI72) * (Option!$D$22 * 0.81 / 100),
         ""占星術師"", EF72 * EJ72 * FL72 * IF(abillity, 1, EG72 * EK72) * (Option!$D$23 * 0.81 / 100),
         ""学者"", EF72 * EL72 * FL72 * IF(abillity, 1, EG72 * EM72) * (Option!$D$24 * 0.81 / 100),
         """&amp;"賢者"", EF72 * EN72 * FL72 * IF(abillity, 1, EG72 * EO72) * (Option!$D$25 * 0.81 / 100),
         1
       )
     )
   )
 ) + EQ72"),0.0)</f>
        <v>0</v>
      </c>
      <c r="FN72" s="206">
        <f t="shared" si="13"/>
        <v>0</v>
      </c>
      <c r="FO72" s="213"/>
    </row>
    <row r="73">
      <c r="B73" s="229"/>
      <c r="C73" s="217">
        <f t="shared" si="1"/>
        <v>0</v>
      </c>
      <c r="D73" s="236"/>
      <c r="E73" s="238"/>
      <c r="F73" s="167"/>
      <c r="G73" s="168" t="str">
        <f t="shared" si="2"/>
        <v/>
      </c>
      <c r="H73" s="169"/>
      <c r="I73" s="169"/>
      <c r="J73" s="169"/>
      <c r="K73" s="170" t="b">
        <v>0</v>
      </c>
      <c r="L73" s="170" t="b">
        <v>0</v>
      </c>
      <c r="M73" s="170" t="b">
        <v>0</v>
      </c>
      <c r="N73" s="171" t="s">
        <v>1070</v>
      </c>
      <c r="O73" s="172" t="b">
        <v>0</v>
      </c>
      <c r="P73" s="173" t="b">
        <v>0</v>
      </c>
      <c r="Q73" s="173" t="b">
        <v>0</v>
      </c>
      <c r="R73" s="173" t="b">
        <v>0</v>
      </c>
      <c r="S73" s="174" t="b">
        <v>0</v>
      </c>
      <c r="T73" s="175" t="b">
        <v>0</v>
      </c>
      <c r="U73" s="173" t="b">
        <v>0</v>
      </c>
      <c r="V73" s="171" t="s">
        <v>1070</v>
      </c>
      <c r="W73" s="172" t="b">
        <v>0</v>
      </c>
      <c r="X73" s="173" t="b">
        <v>0</v>
      </c>
      <c r="Y73" s="173" t="b">
        <v>0</v>
      </c>
      <c r="Z73" s="173" t="b">
        <v>0</v>
      </c>
      <c r="AA73" s="174" t="b">
        <v>0</v>
      </c>
      <c r="AB73" s="174" t="b">
        <v>0</v>
      </c>
      <c r="AC73" s="175" t="b">
        <v>0</v>
      </c>
      <c r="AD73" s="173" t="b">
        <v>0</v>
      </c>
      <c r="AE73" s="176" t="s">
        <v>1070</v>
      </c>
      <c r="AF73" s="171" t="s">
        <v>1070</v>
      </c>
      <c r="AG73" s="177">
        <f>IFERROR(__xludf.DUMMYFUNCTION("IF(
  ISNUMBER(AG72),
  MIN(MAX(
    AG72
    + MAX(
      ROUNDDOWN(($D73 - MAX(IFERROR(FILTER($D$24:$D72, AG$24:AG72 &lt;&gt; AF$6, AG$23:AG71 = AF$6), 0))) * (60 * 60 * 24) / AF$9) - ROUNDDOWN(($D72 - MAX(IFERROR(FILTER($D$23:$D71, AG$23:AG71 &lt;&gt; AF$6, AG$22:"&amp;"AG70 = AF$6), 0))) * (60 * 60 * 24) / 60),
      0
    )
    - COUNTIF(AF73, ""&lt;&gt;-""),
  0), AF$6),
  AF$6 - COUNTIF(AF73, ""&lt;&gt;-"")
)"),2.0)</f>
        <v>2</v>
      </c>
      <c r="AH73" s="173" t="b">
        <v>0</v>
      </c>
      <c r="AI73" s="173" t="b">
        <v>0</v>
      </c>
      <c r="AJ73" s="173" t="b">
        <v>0</v>
      </c>
      <c r="AK73" s="174" t="b">
        <v>0</v>
      </c>
      <c r="AL73" s="175" t="b">
        <v>0</v>
      </c>
      <c r="AM73" s="173" t="b">
        <v>0</v>
      </c>
      <c r="AN73" s="171" t="s">
        <v>1070</v>
      </c>
      <c r="AO73" s="173" t="b">
        <v>0</v>
      </c>
      <c r="AP73" s="173" t="b">
        <v>0</v>
      </c>
      <c r="AQ73" s="173" t="b">
        <v>0</v>
      </c>
      <c r="AR73" s="174" t="b">
        <v>0</v>
      </c>
      <c r="AS73" s="178" t="b">
        <v>0</v>
      </c>
      <c r="AT73" s="179" t="b">
        <v>0</v>
      </c>
      <c r="AU73" s="180" t="b">
        <v>0</v>
      </c>
      <c r="AV73" s="180" t="b">
        <v>0</v>
      </c>
      <c r="AW73" s="180" t="b">
        <v>0</v>
      </c>
      <c r="AX73" s="180" t="b">
        <v>0</v>
      </c>
      <c r="AY73" s="181" t="s">
        <v>1070</v>
      </c>
      <c r="AZ73" s="181" t="s">
        <v>1070</v>
      </c>
      <c r="BA73" s="184">
        <f>IFERROR(__xludf.DUMMYFUNCTION("IF(
  ISNUMBER(BA72),
  MIN(MAX(
    BA72
    + MAX(
      ROUNDDOWN((D73 - MAX(IFERROR(FILTER(D$24:D72, BA$24:BA72 &lt;&gt; AZ$6, BA$23:BA71 = AZ$6), 0))) * (60 * 60 * 24) / AZ$9) - ROUNDDOWN((D72 - MAX(IFERROR(FILTER(D$23:D71, BA$23:BA71 &lt;&gt; AZ$6, BA$22:BA70 ="&amp;" AZ$6), 0))) * (60 * 60 * 24) / AZ$9),
      0
    )
    - COUNTIF(AZ73, ""&lt;&gt;-""),
  0), AZ$6),
  AZ$6 - COUNTIF(AZ73, ""&lt;&gt;-"")
)"),2.0)</f>
        <v>2</v>
      </c>
      <c r="BB73" s="181" t="s">
        <v>1070</v>
      </c>
      <c r="BC73" s="183">
        <f>IFERROR(__xludf.DUMMYFUNCTION("IF(
  ISNUMBER(BC72),
  MIN(MAX(
    BC72
    + MAX(
      ROUNDDOWN(($D73 - MAX(IFERROR(FILTER($D$24:$D72, BC$24:BC72 &lt;&gt; BB$6, BC$23:BC71 = BB$6), 0))) * (60 * 60 * 24) / BB$9) - ROUNDDOWN(($D72 - MAX(IFERROR(FILTER($D$23:$D71, BC$23:BC71 &lt;&gt; BB$6, BC$22:"&amp;"BC70 = BB$6), 0))) * (60 * 60 * 24) / 60),
      0
    )
    - COUNTIF(BB73, ""&lt;&gt;-""),
  0), BB$6),
  BB$6 - COUNTIF(BB73, ""&lt;&gt;-"")
)"),2.0)</f>
        <v>2</v>
      </c>
      <c r="BD73" s="181" t="s">
        <v>1070</v>
      </c>
      <c r="BE73" s="178" t="b">
        <v>0</v>
      </c>
      <c r="BF73" s="180" t="b">
        <v>0</v>
      </c>
      <c r="BG73" s="180" t="b">
        <v>0</v>
      </c>
      <c r="BH73" s="180" t="b">
        <v>0</v>
      </c>
      <c r="BI73" s="180" t="b">
        <v>0</v>
      </c>
      <c r="BJ73" s="180" t="b">
        <v>0</v>
      </c>
      <c r="BK73" s="180" t="b">
        <v>0</v>
      </c>
      <c r="BL73" s="180" t="b">
        <v>0</v>
      </c>
      <c r="BM73" s="180" t="b">
        <v>0</v>
      </c>
      <c r="BN73" s="180" t="b">
        <v>0</v>
      </c>
      <c r="BO73" s="181" t="s">
        <v>1070</v>
      </c>
      <c r="BP73" s="181" t="s">
        <v>1070</v>
      </c>
      <c r="BQ73" s="181" t="s">
        <v>1070</v>
      </c>
      <c r="BR73" s="181" t="s">
        <v>1070</v>
      </c>
      <c r="BS73" s="181" t="s">
        <v>1070</v>
      </c>
      <c r="BT73" s="184">
        <f>IFERROR(__xludf.DUMMYFUNCTION("IF(
  ISNUMBER(BT72),
  MIN(MAX(
    BT72
    + MAX(
      ROUNDDOWN((D73 - MAX(IFERROR(FILTER(D$24:D72, BT$24:BT72 &lt;&gt; BS$6, BT$23:BT71 = BS$6), 0))) * (60 * 60 * 24) / BS$9) - ROUNDDOWN((D72 - MAX(IFERROR(FILTER(D$23:D71, BT$23:BT71 &lt;&gt; BS$6, BT$22:BT70 ="&amp;" BS$6), 0))) * (60 * 60 * 24) / BS$9),
      0
    )
    - COUNTIF(BS73, ""&lt;&gt;-""),
  0), BS$6),
  BS$6 - COUNTIF(BS73, ""&lt;&gt;-"")
)"),3.0)</f>
        <v>3</v>
      </c>
      <c r="BU73" s="181" t="s">
        <v>1070</v>
      </c>
      <c r="BV73" s="181" t="s">
        <v>1070</v>
      </c>
      <c r="BW73" s="184">
        <f>IFERROR(__xludf.DUMMYFUNCTION("IF(
  ISNUMBER(BW72),
  MIN(MAX(
    BW72
    + MAX(
      ROUNDDOWN((D73 - MAX(IFERROR(FILTER(D$24:D72, BW$24:BW72 &lt;&gt; BV$6, BW$23:BW71 = BV$6), 0))) * (60 * 60 * 24) / BV$9) - ROUNDDOWN((D72 - MAX(IFERROR(FILTER(D$23:D71, BW$23:BW71 &lt;&gt; BV$6, BW$22:BW70 ="&amp;" BV$6), 0))) * (60 * 60 * 24) / BV$9),
      0
    )
    - COUNTIF(BV73, ""&lt;&gt;-""),
  0), BV$6),
  BV$6 - COUNTIF(BV73, ""&lt;&gt;-"")
)"),2.0)</f>
        <v>2</v>
      </c>
      <c r="BX73" s="185" t="s">
        <v>1070</v>
      </c>
      <c r="BY73" s="178" t="b">
        <v>0</v>
      </c>
      <c r="BZ73" s="180" t="b">
        <v>0</v>
      </c>
      <c r="CA73" s="180" t="b">
        <v>0</v>
      </c>
      <c r="CB73" s="180" t="b">
        <v>0</v>
      </c>
      <c r="CC73" s="180" t="b">
        <v>0</v>
      </c>
      <c r="CD73" s="180" t="b">
        <v>0</v>
      </c>
      <c r="CE73" s="180" t="b">
        <v>0</v>
      </c>
      <c r="CF73" s="180" t="b">
        <v>0</v>
      </c>
      <c r="CG73" s="180" t="b">
        <v>0</v>
      </c>
      <c r="CH73" s="180" t="b">
        <v>0</v>
      </c>
      <c r="CI73" s="180" t="b">
        <v>0</v>
      </c>
      <c r="CJ73" s="180" t="b">
        <v>0</v>
      </c>
      <c r="CK73" s="180" t="b">
        <v>0</v>
      </c>
      <c r="CL73" s="180" t="b">
        <v>0</v>
      </c>
      <c r="CM73" s="181" t="s">
        <v>1070</v>
      </c>
      <c r="CN73" s="181" t="s">
        <v>1070</v>
      </c>
      <c r="CO73" s="181" t="s">
        <v>1070</v>
      </c>
      <c r="CP73" s="181" t="s">
        <v>1070</v>
      </c>
      <c r="CQ73" s="185" t="s">
        <v>1070</v>
      </c>
      <c r="CR73" s="180" t="b">
        <v>0</v>
      </c>
      <c r="CS73" s="186" t="str">
        <f t="shared" si="14"/>
        <v>◇◇◇</v>
      </c>
      <c r="CT73" s="178" t="b">
        <v>0</v>
      </c>
      <c r="CU73" s="180" t="b">
        <v>0</v>
      </c>
      <c r="CV73" s="180" t="b">
        <v>0</v>
      </c>
      <c r="CW73" s="180" t="b">
        <v>0</v>
      </c>
      <c r="CX73" s="180" t="b">
        <v>0</v>
      </c>
      <c r="CY73" s="180" t="b">
        <v>0</v>
      </c>
      <c r="CZ73" s="180" t="b">
        <v>0</v>
      </c>
      <c r="DA73" s="180" t="b">
        <v>0</v>
      </c>
      <c r="DB73" s="180" t="b">
        <v>0</v>
      </c>
      <c r="DC73" s="180" t="b">
        <v>0</v>
      </c>
      <c r="DD73" s="181" t="s">
        <v>1070</v>
      </c>
      <c r="DE73" s="181" t="s">
        <v>1070</v>
      </c>
      <c r="DF73" s="181" t="s">
        <v>1070</v>
      </c>
      <c r="DG73" s="185" t="s">
        <v>1070</v>
      </c>
      <c r="DH73" s="180" t="b">
        <v>0</v>
      </c>
      <c r="DI73" s="187" t="str">
        <f>IFERROR(__xludf.DUMMYFUNCTION("SWITCH(
  IF(
    ISTEXT(DI72),
    IF (
      FIND(""○"", DI72&amp;""○"") &gt; 3,
      3,
      FIND(""○"", DI72&amp;""○"")
      + MAX(
        ROUNDDOWN(($D73 - MAX(IFERROR(FILTER(D$24:D72, DI$24:DI72 &lt;&gt; ""●●●"", DI$23:DI71 = ""●●●""), 0))) * (60 * 60 * 24) / 20"&amp;") - ROUNDDOWN(($D72 - MAX(IFERROR(FILTER(D$23:D71, DI$23:DI71 &lt;&gt; ""●●●"", DI$22:DI70 = ""●●●""), 0))) * (60 * 60 * 24) / 20),
        0
      ) - 1
    ) - COUNTIFS(CU73, ""=TRUE"", CU72, ""&lt;&gt;TRUE"") - COUNTIF(CZ73, ""=TRUE"") - COUNTIF({DD73,DE73}, ""&lt;&gt;-"&amp;""") + COUNTIF(DH73, ""=TRUE""),
    3
  ),
  0, ""○○○"", 1, ""●○○"", 2, ""●●○"", 3, ""●●●"", 4, ""●●●"", ""○○○""
)"),"●●●")</f>
        <v>●●●</v>
      </c>
      <c r="DJ73" s="188" t="b">
        <v>0</v>
      </c>
      <c r="DK73" s="189" t="b">
        <v>0</v>
      </c>
      <c r="DL73" s="190" t="b">
        <v>0</v>
      </c>
      <c r="DM73" s="190" t="b">
        <v>0</v>
      </c>
      <c r="DN73" s="190" t="b">
        <v>0</v>
      </c>
      <c r="DO73" s="190" t="b">
        <v>0</v>
      </c>
      <c r="DP73" s="190" t="b">
        <v>0</v>
      </c>
      <c r="DQ73" s="191" t="b">
        <v>0</v>
      </c>
      <c r="DR73" s="192" t="b">
        <v>0</v>
      </c>
      <c r="DS73" s="191" t="b">
        <v>0</v>
      </c>
      <c r="DT73" s="192" t="b">
        <v>0</v>
      </c>
      <c r="DU73" s="191" t="b">
        <v>0</v>
      </c>
      <c r="DV73" s="193" t="s">
        <v>1070</v>
      </c>
      <c r="DW73" s="194" t="b">
        <v>0</v>
      </c>
      <c r="DX73" s="194" t="b">
        <v>0</v>
      </c>
      <c r="DY73" s="195" t="b">
        <v>0</v>
      </c>
      <c r="DZ73" s="196" t="b">
        <v>0</v>
      </c>
      <c r="EA73" s="195" t="b">
        <v>0</v>
      </c>
      <c r="EB73" s="197" t="b">
        <v>0</v>
      </c>
      <c r="EC73" s="197" t="b">
        <v>0</v>
      </c>
      <c r="ED73" s="212" t="b">
        <v>0</v>
      </c>
      <c r="EE73" s="199">
        <f>IFERROR(__xludf.DUMMYFUNCTION("IFERROR(
   PRODUCT(
     MAP(
       INDEX(TRANSPOSE(UNIQUE(TRANSPOSE(FILTER({IF($F73=""Physical"", K$10:ED$10, IF($F73=""Magic"", K$11:ED$11, K$12:ED$12));K$4:ED$4;K73:ED73}, K73:ED73=TRUE)))), 1, 0),
       INDEX(TRANSPOSE(UNIQUE(TRANSPOSE(FILTER({IF($"&amp;"F73=""Physical"", K$18:ED$18, IF($F73=""Magic"", K$19:ED$19, K$20:ED$20));K$4:ED$4;K73:ED73}, K73:ED73=TRUE)))), 1, 0),
       INDEX(TRANSPOSE(UNIQUE(TRANSPOSE(FILTER({K$5:ED$5;K$4:ED$4;K73:ED73}, K73:ED73=TRUE)))), 1, 0),
       INDEX(TRANSPOSE(UNIQUE(TR"&amp;"ANSPOSE(FILTER({K$17:ED$17;K$4:ED$4;K73:ED73}, K73:ED73=TRUE)))), 1, 0),
       LAMBDA(
         mitigation,
         enhance,
         assign,
         precondition,
         IF(
           REGEXMATCH(assign, ""RANGE_PARTY|SINGLE_ENEMY|RANGE_ENEMY""),
  "&amp;"         IF(
             OR(ARRAYFORMULA((IF(precondition="""", FALSE, REGEXMATCH(K$4:ED$4, precondition))) * (K73:ED73=TRUE))),
             IF(ISNUMBER(enhance), enhance, 1),
             IF(ISNUMBER(mitigation), mitigation, 1)
           ),
          "&amp;" 1
         )
       )
     )
   ),
   1
 )"),1.0)</f>
        <v>1</v>
      </c>
      <c r="EF73" s="200">
        <f>IFERROR(__xludf.DUMMYFUNCTION("PRODUCT(
   MAP(
     K$14:ED$14,
     K$13:ED$13,
     K73:ED73,
     LAMBDA(
       buff,
       target,
       check,
       IF(
         AND(check=TRUE, REGEXMATCH(target, ""RANGE_AFFECTED_ALL|RANGE_EFFECTED_ALL""), ISNUMBER(buff)),
         buff,
   "&amp;"      1
       )
     )
   )
 )"),1.0)</f>
        <v>1</v>
      </c>
      <c r="EG73" s="200">
        <f>IFERROR(__xludf.DUMMYFUNCTION("PRODUCT(
   MAP(
     K$14:ED$14,
     K$13:ED$13,
     K73:ED73,
     LAMBDA(
       buff,
       target,
       check,
       IF(
         AND(check=TRUE, REGEXMATCH(target, ""RANGE_AFFECTED_GCD|RANGE_EFFECTED_GCD""), ISNUMBER(buff)),
         buff,
   "&amp;"      1
       )
     )
   )
 )"),1.0)</f>
        <v>1</v>
      </c>
      <c r="EH73" s="200">
        <f>IFERROR(__xludf.DUMMYFUNCTION("PRODUCT(
   MAP(
     K$3:ED$3,
     K$14:ED$14,
     K$13:ED$13,
     K73:ED73,
     LAMBDA(
       job,
       buff,
       target,
       check,
       IF(
         AND(check=TRUE, REGEXMATCH(target, ""SELF_EFFECTED_ALL""), ISNUMBER(buff), job=""白魔道士"""&amp;"),
         buff,
         1
       )
     )
   )
 )"),1.0)</f>
        <v>1</v>
      </c>
      <c r="EI73" s="200">
        <f>IFERROR(__xludf.DUMMYFUNCTION("PRODUCT(
   MAP(
     K$3:ED$3,
     K$14:ED$14,
     K$13:ED$13,
     K73:ED73,
     LAMBDA(
       job,
       buff,
       target,
       check,
       IF(
         AND(check=TRUE, REGEXMATCH(target, ""SELF_EFFECTED_GCD""), ISNUMBER(buff), job=""白魔道士"""&amp;"),
         buff,
         1
       )
     )
   )
 )"),1.0)</f>
        <v>1</v>
      </c>
      <c r="EJ73" s="200">
        <f>IFERROR(__xludf.DUMMYFUNCTION("PRODUCT(
   MAP(
     K$3:ED$3,
     K$14:ED$14,
     K$13:ED$13,
     K73:ED73,
     LAMBDA(
       job,
       buff,
       target,
       check,
       IF(
         AND(check=TRUE, REGEXMATCH(target, ""SELF_EFFECTED_ALL""), ISNUMBER(buff), job=""占星術師"""&amp;"),
         buff,
         1
       )
     )
   )
 )"),1.0)</f>
        <v>1</v>
      </c>
      <c r="EK73" s="200">
        <f>IFERROR(__xludf.DUMMYFUNCTION("PRODUCT(
   MAP(
     K$3:ED$3,
     K$14:ED$14,
     K$13:ED$13,
     K73:ED73,
     LAMBDA(
       job,
       buff,
       target,
       check,
       IF(
         AND(check=TRUE, REGEXMATCH(target, ""SELF_EFFECTED_GCD""), ISNUMBER(buff), job=""占星術師"""&amp;"),
         buff,
         1
       )
     )
   )
 )"),1.0)</f>
        <v>1</v>
      </c>
      <c r="EL73" s="200">
        <f>IFERROR(__xludf.DUMMYFUNCTION("PRODUCT(
   MAP(
     K$3:ED$3,
     K$14:ED$14,
     K$13:ED$13,
     K73:ED73,
     LAMBDA(
       job,
       buff,
       target,
       check,
       IF(
         AND(check=TRUE, REGEXMATCH(target, ""SELF_EFFECTED_ALL""), ISNUMBER(buff), job=""学者""),"&amp;"
         buff,
         1
       )
     )
   )
 )"),1.0)</f>
        <v>1</v>
      </c>
      <c r="EM73" s="200">
        <f>IFERROR(__xludf.DUMMYFUNCTION("PRODUCT(
   MAP(
     K$3:ED$3,
     K$14:ED$14,
     K$13:ED$13,
     K73:ED73,
     LAMBDA(
       job,
       buff,
       target,
       check,
       IF(
         AND(check=TRUE, REGEXMATCH(target, ""SELF_EFFECTED_GCD""), ISNUMBER(buff), job=""学者""),"&amp;"
         buff,
         1
       )
     )
   )
 )"),1.0)</f>
        <v>1</v>
      </c>
      <c r="EN73" s="200">
        <f>IFERROR(__xludf.DUMMYFUNCTION("PRODUCT(
   MAP(
     K$3:ED$3,
     K$14:ED$14,
     K$13:ED$13,
     K73:ED73,
     LAMBDA(
       job,
       buff,
       target,
       check,
       IF(
         AND(check=TRUE, REGEXMATCH(target, ""SELF_EFFECTED_ALL""), ISNUMBER(buff), job=""賢者""),"&amp;"
         buff,
         1
       )
     )
   )
 )"),1.0)</f>
        <v>1</v>
      </c>
      <c r="EO73" s="200">
        <f>IFERROR(__xludf.DUMMYFUNCTION("PRODUCT(
   MAP(
     K$3:ED$3,
     K$14:ED$14,
     K$13:ED$13,
     K73:ED73,
     LAMBDA(
       job,
       buff,
       target,
       check,
       IF(
         AND(check=TRUE, REGEXMATCH(target, ""SELF_EFFECTED_GCD""), ISNUMBER(buff), job=""賢者""),"&amp;"
         buff,
         1
       )
     )
   )
 )"),1.0)</f>
        <v>1</v>
      </c>
      <c r="EP73" s="201">
        <f t="shared" si="3"/>
        <v>0</v>
      </c>
      <c r="EQ73" s="201">
        <f>IFERROR(__xludf.DUMMYFUNCTION("SUM(
   MAP(
     K$4:ED$4,
     K$3:ED$3,
     K$7:ED$7,
     K$15:ED$15,
     K$16:ED$16,
     K$21:ED$21,
     K$5:ED$5,
     K$17:ED$17,
     K73:ED73,
     LAMBDA(
       name,
       job,
       abillity,
       buff,
       barrier,
       enhance,"&amp;"
       assign,
       precondition,
       check,
       SWITCH(
         name,
         ""シェイクオフ"", IF(check=TRUE, buff + (0.02 * COUNTIF(ARRAYFORMULA((REGEXMATCH($K$4:$ED$4, ""スリル・オブ・バトル|ヴェンジェンス|原初の血気|ダムネーション"")) * (K73:ED73=TRUE)), 1)), 0),
         "&amp;"""インプロビゼーションフィニッシュ(踊りの激情0)"", IF(ISNUMBER(check), INDEX(Skill!$AJ:$AJ, MATCH(SUBSTITUTE(DV$4, 0, check), Skill!$C:$C, 0)), 0),
         IF(
           AND(check=TRUE, REGEXMATCH(assign, ""RANGE_PARTY"")),
           IF(
             OR(ARRAYFORMULA((IF(pr"&amp;"econdition="""", FALSE, REGEXMATCH($K$4:$ED$4, precondition))) * (K73:ED73=TRUE))),
             enhance,
             IF(barrier="""", buff, barrier)
           ),
           0
         )
       ) *
       SWITCH(
         job,
         ""ナイト"", EY$24,
 "&amp;"        ""戦士"", FD$24,
         ""踊り子"", ET$24,
         ""ピクトマンサー"", ET$24,
         ""白魔道士"", EF73 * EH73 * IF(abillity, 1, EG73 * EI73) * (Option!$D$22 * 0.81 / 100),
         ""占星術師"", EF73 * EJ73 * IF(abillity, 1, EG73 * EK73) * (Option!$D$23 * 0.81 "&amp;"/ 100),
         ""学者"", EF73 * EL73 * IF(abillity, 1, EG73 * EM73) * (Option!$D$24 * 0.81 / 100),
         ""賢者"", EF73 * EN73 * IF(abillity, 1, EG73 * EO73) * (Option!$D$25 * 0.81 / 100),
         1
       )
     )
   )
 )"),0.0)</f>
        <v>0</v>
      </c>
      <c r="ER73" s="202">
        <f t="shared" si="4"/>
        <v>0</v>
      </c>
      <c r="ES73" s="203">
        <f t="shared" si="5"/>
        <v>0</v>
      </c>
      <c r="ET73" s="231" t="str">
        <f>IFERROR(__xludf.DUMMYFUNCTION("IFS(
  EP73 &gt; $ET$24 + EQ73,
  SPARKLINE({ 1, 0 }, {""charttype"",""bar"";""max"", 1;""color1"",Option!$D$30;""color2"",Option!$D$30}),
  EP73 &lt; EQ73,
  SPARKLINE({EQ73 - EP73, $ET$24 - (EQ73 - EP73)}, {""charttype"",""bar"";""max"",$ET$24;""color1"",Opti"&amp;"on!$D$28;""color2"",Option!$D$29}),
  EP73 &gt;= EQ73,
  SPARKLINE({$ET$24 + EQ73 - EP73,EP73 - EQ73}, {""charttype"",""bar"";""max"",$ET$24;""color1"",Option!$D$29;""color2"",Option!$D$30})
)"),"")</f>
        <v/>
      </c>
      <c r="EU73" s="205">
        <f>IFERROR(__xludf.DUMMYFUNCTION("PRODUCT(
   MAP(
     IF($F73=""Physical"", K$10:ED$10, IF($F73=""Magic"", K$11:ED$11, K$12:ED$12)),
     IF($F73=""Physical"", K$18:ED$18, IF($F73=""Magic"", K$19:ED$19, K$20:ED$20)),
     K$3:ED$3,
     K$5:ED$5,
     K$17:ED$17,
     K73:ED73,
     LAM"&amp;"BDA(
       mitigation,
       enhance,
       job,
       assign,
       precondition,
       check,
       IF(
         OR(AND(check=TRUE, REGEXMATCH(assign, ""SELF""), job=""ナイト""), AND(check=Option!$E$13, REGEXMATCH(assign, ""SINGLE_PARTY""))),
      "&amp;"   IF(
           OR(ARRAYFORMULA((IF(precondition="""", FALSE, REGEXMATCH($K$4:$ED$4, precondition))) * (K73:ED73=TRUE))),
           enhance,
           mitigation
         ),
         1
       )
     )
   )
 ) * EE73"),1.0)</f>
        <v>1</v>
      </c>
      <c r="EV73" s="206">
        <f t="shared" si="6"/>
        <v>0</v>
      </c>
      <c r="EW73" s="205">
        <f>IFERROR(__xludf.DUMMYFUNCTION("PRODUCT(
   MAP(
     K$3:ED$3,
     K$14:ED$14,
     K$13:ED$13,
     K73:ED73,
     LAMBDA(
       job,
       buff,
       target,
       check,
       IF(
         OR(AND(check=TRUE, REGEXMATCH(target, ""SELF_AFFECTED_ALL""), job=""ナイト""), AND(check=O"&amp;"ption!$E$13, REGEXMATCH(target, ""SINGLE_AFFECTED_ALL""))),
         buff,
         1
       )
     )
   )
 )"),1.0)</f>
        <v>1</v>
      </c>
      <c r="EX73" s="206">
        <f>IFERROR(__xludf.DUMMYFUNCTION("SUM(
   MAP(
     K$3:ED$3,
     K$7:ED$7,
     K$15:ED$15,
     K$16:ED$16,
     K$21:ED$21,
     K$5:ED$5,
     K$17:ED$17,
     K73:ED73,
     LAMBDA(
       job,
       abillity,
       buff,
       barrier,
       enhance,
       assign,
       preco"&amp;"ndition,
       check,
       IF(
         OR(AND(check=TRUE, REGEXMATCH(assign, ""SELF""), job=""ナイト""), AND(check=Option!$E$13, REGEXMATCH(assign, ""SINGLE_PARTY""))),
         IF(
           OR(ARRAYFORMULA((IF(precondition="""", FALSE, REGEXMATCH($K$4"&amp;":$ED$4, precondition))) * (K73:ED73=TRUE))),
           enhance,
           IF(barrier="""", buff, barrier)
         ),
         0
       ) *
       SWITCH(
         job,
         ""暗黒騎士"", EY$24,
         ""白魔道士"", EF73 * EH73 * EW73 * IF(abillity, 1, EG"&amp;"73 * EI73) * (Option!$D$22 * 0.81 / 100),
         ""占星術師"", EF73 * EJ73 * EW73 * IF(abillity, 1, EG73 * EK73) * (Option!$D$23 * 0.81 / 100),
         ""学者"", EF73 * EL73 * EW73 * IF(abillity, 1, EG73 * EM73) * (Option!$D$24 * 0.81 / 100),
         ""賢者"""&amp;", EF73 * EN73 * EW73 * IF(abillity, 1, EG73 * EO73) * (Option!$D$25 * 0.81 / 100),
         1
       )
     )
   )
 ) + EQ73"),0.0)</f>
        <v>0</v>
      </c>
      <c r="EY73" s="232">
        <f t="shared" si="7"/>
        <v>0</v>
      </c>
      <c r="EZ73" s="205">
        <f>IFERROR(__xludf.DUMMYFUNCTION("PRODUCT(
   MAP(
     IF($F73=""Physical"", K$10:ED$10, IF($F73=""Magic"", K$11:ED$11, K$12:ED$12)),
     IF($F73=""Physical"", K$18:ED$18, IF($F73=""Magic"", K$19:ED$19, K$20:ED$20)),
     K$3:ED$3,
     K$5:ED$5,
     K$17:ED$17,
     K73:ED73,
     LAM"&amp;"BDA(
       mitigation,
       enhance,
       job,
       assign,
       precondition,
       check,
       IF(
         OR(AND(check=TRUE, REGEXMATCH(assign, ""SELF""), job=""戦士""), AND(check=Option!$F$13, REGEXMATCH(assign, ""SINGLE_PARTY""))),
       "&amp;"  IF(
           OR(ARRAYFORMULA((IF(precondition="""", FALSE, REGEXMATCH($K$4:$ED$4, precondition))) * (K73:ED73=TRUE))),
           enhance,
           mitigation
         ),
         1
       )
     )
   )
 ) * EE73"),1.0)</f>
        <v>1</v>
      </c>
      <c r="FA73" s="206">
        <f t="shared" si="8"/>
        <v>0</v>
      </c>
      <c r="FB73" s="205">
        <f>IFERROR(__xludf.DUMMYFUNCTION("PRODUCT(
   MAP(
     K$3:ED$3,
     K$14:ED$14,
     K$13:ED$13,
     K73:ED73,
     LAMBDA(
       job,
       buff,
       target,
       check,
       IF(
         OR(AND(check=TRUE, REGEXMATCH(target, ""SELF_AFFECTED_ALL""), job=""戦士""), AND(check=Op"&amp;"tion!$F$13, REGEXMATCH(target, ""SINGLE_AFFECTED_ALL""))),
         buff,
         1
       )
     )
   )
 )"),1.0)</f>
        <v>1</v>
      </c>
      <c r="FC73" s="206">
        <f>IFERROR(__xludf.DUMMYFUNCTION("SUM(
   MAP(
     K$3:ED$3,
     K$7:ED$7,
     K$15:ED$15,
     K$16:ED$16,
     K$21:ED$21,
     K$5:ED$5,
     K$17:ED$17,
     K73:ED73,
     LAMBDA(
       job,
       abillity,
       buff,
       barrier,
       enhance,
       assign,
       preco"&amp;"ndition,
       check,
       IF(
         OR(AND(check=TRUE, REGEXMATCH(assign, ""SELF""), job=""戦士""), AND(check=Option!$F$13, REGEXMATCH(assign, ""SINGLE_PARTY""))),
         IF(
           OR(ARRAYFORMULA((IF(precondition="""", FALSE, REGEXMATCH($K$4:"&amp;"$ED$4, precondition))) * (K73:ED73=TRUE))),
           enhance,
           IF(barrier="""", buff, barrier)
         ),
         0
       ) *
       SWITCH(
         job,
         ""暗黒騎士"", FD$24,
         ""白魔道士"", EF73 * EH73 * FB73 * IF(abillity, 1, EG7"&amp;"3 * EI73) * (Option!$D$22 * 0.81 / 100),
         ""占星術師"", EF73 * EJ73 * FFB73 * IF(abillity, 1, EG73 * EK73) * (Option!$D$23 * 0.81 / 100),
         ""学者"", EF73 * EL73 * FB73 * IF(abillity, 1, EG73 * EM73) * (Option!$D$24 * 0.81 / 100),
         ""賢者"""&amp;", EF73 * EN73 * FB73 * IF(abillity, 1, EG73 * EO73) * (Option!$D$25 * 0.81 / 100),
         1
       )
     )
   )
 ) + EQ73"),0.0)</f>
        <v>0</v>
      </c>
      <c r="FD73" s="206">
        <f t="shared" si="9"/>
        <v>0</v>
      </c>
      <c r="FE73" s="205">
        <f>IFERROR(__xludf.DUMMYFUNCTION("PRODUCT(
   MAP(
     IF($F73=""Physical"", K$10:ED$10, IF($F73=""Magic"", K$11:ED$11, K$12:ED$12)),
     IF($F73=""Physical"", K$18:ED$18, IF($F73=""Magic"", K$19:ED$19, K$20:ED$20)),
     K$3:ED$3,
     K$5:ED$5,
     K$17:ED$17,
     K73:ED73,
     LAM"&amp;"BDA(
       mitigation,
       enhance,
       job,
       assign,
       precondition,
       check,
       IF(
         OR(AND(check=TRUE, REGEXMATCH(assign, ""SELF""), job=""暗黒騎士""), AND(check=Option!$G$13, REGEXMATCH(assign, ""SINGLE_PARTY""))),
     "&amp;"    IF(
           OR(ARRAYFORMULA((IF(precondition="""", FALSE, REGEXMATCH($K$4:$ED$4, precondition))) * (K73:ED73=TRUE))),
           enhance,
           mitigation
         ),
         1
       )
     )
   )
 ) * EE73"),1.0)</f>
        <v>1</v>
      </c>
      <c r="FF73" s="206">
        <f t="shared" si="10"/>
        <v>0</v>
      </c>
      <c r="FG73" s="205">
        <f>IFERROR(__xludf.DUMMYFUNCTION("PRODUCT(
   MAP(
     K$3:ED$3,
     K$14:ED$14,
     K$13:ED$13,
     K73:ED73,
     LAMBDA(
       job,
       buff,
       target,
       check,
       IF(
         OR(AND(check=TRUE, REGEXMATCH(target, ""SELF_AFFECTED_ALL""), job=""暗黒騎士""), AND(check="&amp;"Option!$G$13, REGEXMATCH(target, ""SINGLE_AFFECTED_ALL""))),
         buff,
         1
       )
     )
   )
 )"),1.0)</f>
        <v>1</v>
      </c>
      <c r="FH73" s="206">
        <f>IFERROR(__xludf.DUMMYFUNCTION("SUM(
   MAP(
     K$3:ED$3,
     K$7:ED$7,
     K$15:ED$15,
     K$16:ED$16,
     K$21:ED$21,
     K$5:ED$5,
     K$17:ED$17,
     K73:ED73,
     LAMBDA(
       job,
       abillity,
       buff,
       barrier,
       enhance,
       assign,
       preco"&amp;"ndition,
       check,
       IF(
         OR(AND(check=TRUE, REGEXMATCH(assign, ""SELF""), job=""暗黒騎士""), AND(check=Option!$G$13, REGEXMATCH(assign, ""SINGLE_PARTY""))),
         IF(
           OR(ARRAYFORMULA((IF(precondition="""", FALSE, REGEXMATCH($K$"&amp;"4:$ED$4, precondition))) * (K73:ED73=TRUE))),
           enhance,
           IF(barrier="""", buff, barrier)
         ),
         0
       ) *
       SWITCH(
         job,
         ""暗黒騎士"", FI$24,
         ""白魔道士"", EF73 * EH73 * FG73 * IF(abillity, 1, E"&amp;"G73 * EI73) * (Option!$D$22 * 0.81 / 100),
         ""占星術師"", EF73 * EJ73 * FG73 * IF(abillity, 1, EG73 * EK73) * (Option!$D$23 * 0.81 / 100),
         ""学者"", EF73 * EL73 * FG73 * IF(abillity, 1, EG73 * EM73) * (Option!$D$24 * 0.81 / 100),
         ""賢者"&amp;""", EF73 * EN73 * FG73 * IF(abillity, 1, EG73 * EO73) * (Option!$D$25 * 0.81 / 100),
         1
       )
     )
   )
 ) + EQ73"),0.0)</f>
        <v>0</v>
      </c>
      <c r="FI73" s="206">
        <f t="shared" si="11"/>
        <v>0</v>
      </c>
      <c r="FJ73" s="205">
        <f>IFERROR(__xludf.DUMMYFUNCTION("PRODUCT(
   MAP(
     IF($F73=""Physical"", K$10:ED$10, IF($F73=""Magic"", K$11:ED$11, K$12:ED$12)),
     IF($F73=""Physical"", K$18:ED$18, IF($F73=""Magic"", K$19:ED$19, K$20:ED$20)),
     K$3:ED$3,
     K$5:ED$5,
     K$17:ED$17,
     K73:ED73,
     LAM"&amp;"BDA(
       mitigation,
       enhance,
       job,
       assign,
       precondition,
       check,
       IF(
         OR(AND(check=TRUE, REGEXMATCH(assign, ""SELF""), job=""ガンブレイカー""), AND(check=Option!$H$13, REGEXMATCH(assign, ""SINGLE_PARTY""))),
  "&amp;"       IF(
           OR(ARRAYFORMULA((IF(precondition="""", FALSE, REGEXMATCH($K$4:$ED$4, precondition))) * (K73:ED73=TRUE))),
           enhance,
           mitigation
         ),
         1
       )
     )
   )
 ) * EE73"),1.0)</f>
        <v>1</v>
      </c>
      <c r="FK73" s="206">
        <f t="shared" si="12"/>
        <v>0</v>
      </c>
      <c r="FL73" s="205">
        <f>IFERROR(__xludf.DUMMYFUNCTION("PRODUCT(
   MAP(
     K$3:ED$3,
     K$14:ED$14,
     K$13:ED$13,
     K73:ED73,
     LAMBDA(
       job,
       buff,
       target,
       check,
       IF(
         OR(AND(check=TRUE, REGEXMATCH(target, ""SELF_AFFECTED_ALL""), job=""ガンブレイカー""), AND(che"&amp;"ck=Option!$H$13, REGEXMATCH(target, ""SINGLE_AFFECTED_ALL""))),
         buff,
         1
       )
     )
   )
 )"),1.0)</f>
        <v>1</v>
      </c>
      <c r="FM73" s="206">
        <f>IFERROR(__xludf.DUMMYFUNCTION("SUM(
   MAP(
     K$3:ED$3,
     K$7:ED$7,
     K$15:ED$15,
     K$16:ED$16,
     K$21:ED$21,
     K$5:ED$5,
     K$17:ED$17,
     K73:ED73,
     LAMBDA(
       job,
       abillity,
       buff,
       barrier,
       enhance,
       assign,
       preco"&amp;"ndition,
       check,
       IF(
         OR(AND(check=TRUE, REGEXMATCH(assign, ""SELF""), job=""ガンブレイカー""), AND(check=Option!$H$13, REGEXMATCH(assign, ""SINGLE_PARTY""))),
         IF(
           OR(ARRAYFORMULA((IF(precondition="""", FALSE, REGEXMATCH("&amp;"$K$4:$ED$4, precondition))) * (K73:ED73=TRUE))),
           enhance,
           IF(barrier="""", buff, barrier)
         ),
         0
       ) *
       SWITCH(
         job,
         ""暗黒騎士"", FN$24,
         ""白魔道士"", EF73 * EH73 * FL73 * IF(abillity, 1"&amp;", EG73 * EI73) * (Option!$D$22 * 0.81 / 100),
         ""占星術師"", EF73 * EJ73 * FL73 * IF(abillity, 1, EG73 * EK73) * (Option!$D$23 * 0.81 / 100),
         ""学者"", EF73 * EL73 * FL73 * IF(abillity, 1, EG73 * EM73) * (Option!$D$24 * 0.81 / 100),
         """&amp;"賢者"", EF73 * EN73 * FL73 * IF(abillity, 1, EG73 * EO73) * (Option!$D$25 * 0.81 / 100),
         1
       )
     )
   )
 ) + EQ73"),0.0)</f>
        <v>0</v>
      </c>
      <c r="FN73" s="206">
        <f t="shared" si="13"/>
        <v>0</v>
      </c>
      <c r="FO73" s="213"/>
    </row>
    <row r="74">
      <c r="B74" s="229"/>
      <c r="C74" s="217">
        <f t="shared" si="1"/>
        <v>0</v>
      </c>
      <c r="D74" s="236"/>
      <c r="E74" s="238"/>
      <c r="F74" s="167"/>
      <c r="G74" s="168" t="str">
        <f t="shared" si="2"/>
        <v/>
      </c>
      <c r="H74" s="169"/>
      <c r="I74" s="169"/>
      <c r="J74" s="169"/>
      <c r="K74" s="170" t="b">
        <v>0</v>
      </c>
      <c r="L74" s="170" t="b">
        <v>0</v>
      </c>
      <c r="M74" s="170" t="b">
        <v>0</v>
      </c>
      <c r="N74" s="171" t="s">
        <v>1070</v>
      </c>
      <c r="O74" s="172" t="b">
        <v>0</v>
      </c>
      <c r="P74" s="173" t="b">
        <v>0</v>
      </c>
      <c r="Q74" s="173" t="b">
        <v>0</v>
      </c>
      <c r="R74" s="173" t="b">
        <v>0</v>
      </c>
      <c r="S74" s="174" t="b">
        <v>0</v>
      </c>
      <c r="T74" s="175" t="b">
        <v>0</v>
      </c>
      <c r="U74" s="173" t="b">
        <v>0</v>
      </c>
      <c r="V74" s="171" t="s">
        <v>1070</v>
      </c>
      <c r="W74" s="172" t="b">
        <v>0</v>
      </c>
      <c r="X74" s="173" t="b">
        <v>0</v>
      </c>
      <c r="Y74" s="173" t="b">
        <v>0</v>
      </c>
      <c r="Z74" s="173" t="b">
        <v>0</v>
      </c>
      <c r="AA74" s="174" t="b">
        <v>0</v>
      </c>
      <c r="AB74" s="174" t="b">
        <v>0</v>
      </c>
      <c r="AC74" s="175" t="b">
        <v>0</v>
      </c>
      <c r="AD74" s="173" t="b">
        <v>0</v>
      </c>
      <c r="AE74" s="176" t="s">
        <v>1070</v>
      </c>
      <c r="AF74" s="171" t="s">
        <v>1070</v>
      </c>
      <c r="AG74" s="177">
        <f>IFERROR(__xludf.DUMMYFUNCTION("IF(
  ISNUMBER(AG73),
  MIN(MAX(
    AG73
    + MAX(
      ROUNDDOWN(($D74 - MAX(IFERROR(FILTER($D$24:$D73, AG$24:AG73 &lt;&gt; AF$6, AG$23:AG72 = AF$6), 0))) * (60 * 60 * 24) / AF$9) - ROUNDDOWN(($D73 - MAX(IFERROR(FILTER($D$23:$D72, AG$23:AG72 &lt;&gt; AF$6, AG$22:"&amp;"AG71 = AF$6), 0))) * (60 * 60 * 24) / 60),
      0
    )
    - COUNTIF(AF74, ""&lt;&gt;-""),
  0), AF$6),
  AF$6 - COUNTIF(AF74, ""&lt;&gt;-"")
)"),2.0)</f>
        <v>2</v>
      </c>
      <c r="AH74" s="173" t="b">
        <v>0</v>
      </c>
      <c r="AI74" s="173" t="b">
        <v>0</v>
      </c>
      <c r="AJ74" s="173" t="b">
        <v>0</v>
      </c>
      <c r="AK74" s="174" t="b">
        <v>0</v>
      </c>
      <c r="AL74" s="175" t="b">
        <v>0</v>
      </c>
      <c r="AM74" s="173" t="b">
        <v>0</v>
      </c>
      <c r="AN74" s="171" t="s">
        <v>1070</v>
      </c>
      <c r="AO74" s="173" t="b">
        <v>0</v>
      </c>
      <c r="AP74" s="173" t="b">
        <v>0</v>
      </c>
      <c r="AQ74" s="173" t="b">
        <v>0</v>
      </c>
      <c r="AR74" s="174" t="b">
        <v>0</v>
      </c>
      <c r="AS74" s="178" t="b">
        <v>0</v>
      </c>
      <c r="AT74" s="179" t="b">
        <v>0</v>
      </c>
      <c r="AU74" s="180" t="b">
        <v>0</v>
      </c>
      <c r="AV74" s="180" t="b">
        <v>0</v>
      </c>
      <c r="AW74" s="180" t="b">
        <v>0</v>
      </c>
      <c r="AX74" s="180" t="b">
        <v>0</v>
      </c>
      <c r="AY74" s="181" t="s">
        <v>1070</v>
      </c>
      <c r="AZ74" s="181" t="s">
        <v>1070</v>
      </c>
      <c r="BA74" s="184">
        <f>IFERROR(__xludf.DUMMYFUNCTION("IF(
  ISNUMBER(BA73),
  MIN(MAX(
    BA73
    + MAX(
      ROUNDDOWN((D74 - MAX(IFERROR(FILTER(D$24:D73, BA$24:BA73 &lt;&gt; AZ$6, BA$23:BA72 = AZ$6), 0))) * (60 * 60 * 24) / AZ$9) - ROUNDDOWN((D73 - MAX(IFERROR(FILTER(D$23:D72, BA$23:BA72 &lt;&gt; AZ$6, BA$22:BA71 ="&amp;" AZ$6), 0))) * (60 * 60 * 24) / AZ$9),
      0
    )
    - COUNTIF(AZ74, ""&lt;&gt;-""),
  0), AZ$6),
  AZ$6 - COUNTIF(AZ74, ""&lt;&gt;-"")
)"),2.0)</f>
        <v>2</v>
      </c>
      <c r="BB74" s="181" t="s">
        <v>1070</v>
      </c>
      <c r="BC74" s="183">
        <f>IFERROR(__xludf.DUMMYFUNCTION("IF(
  ISNUMBER(BC73),
  MIN(MAX(
    BC73
    + MAX(
      ROUNDDOWN(($D74 - MAX(IFERROR(FILTER($D$24:$D73, BC$24:BC73 &lt;&gt; BB$6, BC$23:BC72 = BB$6), 0))) * (60 * 60 * 24) / BB$9) - ROUNDDOWN(($D73 - MAX(IFERROR(FILTER($D$23:$D72, BC$23:BC72 &lt;&gt; BB$6, BC$22:"&amp;"BC71 = BB$6), 0))) * (60 * 60 * 24) / 60),
      0
    )
    - COUNTIF(BB74, ""&lt;&gt;-""),
  0), BB$6),
  BB$6 - COUNTIF(BB74, ""&lt;&gt;-"")
)"),2.0)</f>
        <v>2</v>
      </c>
      <c r="BD74" s="181" t="s">
        <v>1070</v>
      </c>
      <c r="BE74" s="178" t="b">
        <v>0</v>
      </c>
      <c r="BF74" s="180" t="b">
        <v>0</v>
      </c>
      <c r="BG74" s="180" t="b">
        <v>0</v>
      </c>
      <c r="BH74" s="180" t="b">
        <v>0</v>
      </c>
      <c r="BI74" s="180" t="b">
        <v>0</v>
      </c>
      <c r="BJ74" s="180" t="b">
        <v>0</v>
      </c>
      <c r="BK74" s="180" t="b">
        <v>0</v>
      </c>
      <c r="BL74" s="180" t="b">
        <v>0</v>
      </c>
      <c r="BM74" s="180" t="b">
        <v>0</v>
      </c>
      <c r="BN74" s="180" t="b">
        <v>0</v>
      </c>
      <c r="BO74" s="181" t="s">
        <v>1070</v>
      </c>
      <c r="BP74" s="181" t="s">
        <v>1070</v>
      </c>
      <c r="BQ74" s="181" t="s">
        <v>1070</v>
      </c>
      <c r="BR74" s="181" t="s">
        <v>1070</v>
      </c>
      <c r="BS74" s="181" t="s">
        <v>1070</v>
      </c>
      <c r="BT74" s="184">
        <f>IFERROR(__xludf.DUMMYFUNCTION("IF(
  ISNUMBER(BT73),
  MIN(MAX(
    BT73
    + MAX(
      ROUNDDOWN((D74 - MAX(IFERROR(FILTER(D$24:D73, BT$24:BT73 &lt;&gt; BS$6, BT$23:BT72 = BS$6), 0))) * (60 * 60 * 24) / BS$9) - ROUNDDOWN((D73 - MAX(IFERROR(FILTER(D$23:D72, BT$23:BT72 &lt;&gt; BS$6, BT$22:BT71 ="&amp;" BS$6), 0))) * (60 * 60 * 24) / BS$9),
      0
    )
    - COUNTIF(BS74, ""&lt;&gt;-""),
  0), BS$6),
  BS$6 - COUNTIF(BS74, ""&lt;&gt;-"")
)"),3.0)</f>
        <v>3</v>
      </c>
      <c r="BU74" s="181" t="s">
        <v>1070</v>
      </c>
      <c r="BV74" s="181" t="s">
        <v>1070</v>
      </c>
      <c r="BW74" s="184">
        <f>IFERROR(__xludf.DUMMYFUNCTION("IF(
  ISNUMBER(BW73),
  MIN(MAX(
    BW73
    + MAX(
      ROUNDDOWN((D74 - MAX(IFERROR(FILTER(D$24:D73, BW$24:BW73 &lt;&gt; BV$6, BW$23:BW72 = BV$6), 0))) * (60 * 60 * 24) / BV$9) - ROUNDDOWN((D73 - MAX(IFERROR(FILTER(D$23:D72, BW$23:BW72 &lt;&gt; BV$6, BW$22:BW71 ="&amp;" BV$6), 0))) * (60 * 60 * 24) / BV$9),
      0
    )
    - COUNTIF(BV74, ""&lt;&gt;-""),
  0), BV$6),
  BV$6 - COUNTIF(BV74, ""&lt;&gt;-"")
)"),2.0)</f>
        <v>2</v>
      </c>
      <c r="BX74" s="185" t="s">
        <v>1070</v>
      </c>
      <c r="BY74" s="178" t="b">
        <v>0</v>
      </c>
      <c r="BZ74" s="180" t="b">
        <v>0</v>
      </c>
      <c r="CA74" s="180" t="b">
        <v>0</v>
      </c>
      <c r="CB74" s="180" t="b">
        <v>0</v>
      </c>
      <c r="CC74" s="180" t="b">
        <v>0</v>
      </c>
      <c r="CD74" s="180" t="b">
        <v>0</v>
      </c>
      <c r="CE74" s="180" t="b">
        <v>0</v>
      </c>
      <c r="CF74" s="180" t="b">
        <v>0</v>
      </c>
      <c r="CG74" s="180" t="b">
        <v>0</v>
      </c>
      <c r="CH74" s="180" t="b">
        <v>0</v>
      </c>
      <c r="CI74" s="180" t="b">
        <v>0</v>
      </c>
      <c r="CJ74" s="180" t="b">
        <v>0</v>
      </c>
      <c r="CK74" s="180" t="b">
        <v>0</v>
      </c>
      <c r="CL74" s="180" t="b">
        <v>0</v>
      </c>
      <c r="CM74" s="181" t="s">
        <v>1070</v>
      </c>
      <c r="CN74" s="181" t="s">
        <v>1070</v>
      </c>
      <c r="CO74" s="181" t="s">
        <v>1070</v>
      </c>
      <c r="CP74" s="181" t="s">
        <v>1070</v>
      </c>
      <c r="CQ74" s="185" t="s">
        <v>1070</v>
      </c>
      <c r="CR74" s="180" t="b">
        <v>0</v>
      </c>
      <c r="CS74" s="186" t="str">
        <f t="shared" si="14"/>
        <v>◇◇◇</v>
      </c>
      <c r="CT74" s="178" t="b">
        <v>0</v>
      </c>
      <c r="CU74" s="180" t="b">
        <v>0</v>
      </c>
      <c r="CV74" s="180" t="b">
        <v>0</v>
      </c>
      <c r="CW74" s="180" t="b">
        <v>0</v>
      </c>
      <c r="CX74" s="180" t="b">
        <v>0</v>
      </c>
      <c r="CY74" s="180" t="b">
        <v>0</v>
      </c>
      <c r="CZ74" s="180" t="b">
        <v>0</v>
      </c>
      <c r="DA74" s="180" t="b">
        <v>0</v>
      </c>
      <c r="DB74" s="180" t="b">
        <v>0</v>
      </c>
      <c r="DC74" s="180" t="b">
        <v>0</v>
      </c>
      <c r="DD74" s="181" t="s">
        <v>1070</v>
      </c>
      <c r="DE74" s="181" t="s">
        <v>1070</v>
      </c>
      <c r="DF74" s="181" t="s">
        <v>1070</v>
      </c>
      <c r="DG74" s="185" t="s">
        <v>1070</v>
      </c>
      <c r="DH74" s="180" t="b">
        <v>0</v>
      </c>
      <c r="DI74" s="187" t="str">
        <f>IFERROR(__xludf.DUMMYFUNCTION("SWITCH(
  IF(
    ISTEXT(DI73),
    IF (
      FIND(""○"", DI73&amp;""○"") &gt; 3,
      3,
      FIND(""○"", DI73&amp;""○"")
      + MAX(
        ROUNDDOWN(($D74 - MAX(IFERROR(FILTER(D$24:D73, DI$24:DI73 &lt;&gt; ""●●●"", DI$23:DI72 = ""●●●""), 0))) * (60 * 60 * 24) / 20"&amp;") - ROUNDDOWN(($D73 - MAX(IFERROR(FILTER(D$23:D72, DI$23:DI72 &lt;&gt; ""●●●"", DI$22:DI71 = ""●●●""), 0))) * (60 * 60 * 24) / 20),
        0
      ) - 1
    ) - COUNTIFS(CU74, ""=TRUE"", CU73, ""&lt;&gt;TRUE"") - COUNTIF(CZ74, ""=TRUE"") - COUNTIF({DD74,DE74}, ""&lt;&gt;-"&amp;""") + COUNTIF(DH74, ""=TRUE""),
    3
  ),
  0, ""○○○"", 1, ""●○○"", 2, ""●●○"", 3, ""●●●"", 4, ""●●●"", ""○○○""
)"),"●●●")</f>
        <v>●●●</v>
      </c>
      <c r="DJ74" s="188" t="b">
        <v>0</v>
      </c>
      <c r="DK74" s="189" t="b">
        <v>0</v>
      </c>
      <c r="DL74" s="190" t="b">
        <v>0</v>
      </c>
      <c r="DM74" s="190" t="b">
        <v>0</v>
      </c>
      <c r="DN74" s="190" t="b">
        <v>0</v>
      </c>
      <c r="DO74" s="190" t="b">
        <v>0</v>
      </c>
      <c r="DP74" s="190" t="b">
        <v>0</v>
      </c>
      <c r="DQ74" s="191" t="b">
        <v>0</v>
      </c>
      <c r="DR74" s="192" t="b">
        <v>0</v>
      </c>
      <c r="DS74" s="191" t="b">
        <v>0</v>
      </c>
      <c r="DT74" s="192" t="b">
        <v>0</v>
      </c>
      <c r="DU74" s="191" t="b">
        <v>0</v>
      </c>
      <c r="DV74" s="193" t="s">
        <v>1070</v>
      </c>
      <c r="DW74" s="194" t="b">
        <v>0</v>
      </c>
      <c r="DX74" s="194" t="b">
        <v>0</v>
      </c>
      <c r="DY74" s="195" t="b">
        <v>0</v>
      </c>
      <c r="DZ74" s="196" t="b">
        <v>0</v>
      </c>
      <c r="EA74" s="195" t="b">
        <v>0</v>
      </c>
      <c r="EB74" s="197" t="b">
        <v>0</v>
      </c>
      <c r="EC74" s="197" t="b">
        <v>0</v>
      </c>
      <c r="ED74" s="212" t="b">
        <v>0</v>
      </c>
      <c r="EE74" s="199">
        <f>IFERROR(__xludf.DUMMYFUNCTION("IFERROR(
   PRODUCT(
     MAP(
       INDEX(TRANSPOSE(UNIQUE(TRANSPOSE(FILTER({IF($F74=""Physical"", K$10:ED$10, IF($F74=""Magic"", K$11:ED$11, K$12:ED$12));K$4:ED$4;K74:ED74}, K74:ED74=TRUE)))), 1, 0),
       INDEX(TRANSPOSE(UNIQUE(TRANSPOSE(FILTER({IF($"&amp;"F74=""Physical"", K$18:ED$18, IF($F74=""Magic"", K$19:ED$19, K$20:ED$20));K$4:ED$4;K74:ED74}, K74:ED74=TRUE)))), 1, 0),
       INDEX(TRANSPOSE(UNIQUE(TRANSPOSE(FILTER({K$5:ED$5;K$4:ED$4;K74:ED74}, K74:ED74=TRUE)))), 1, 0),
       INDEX(TRANSPOSE(UNIQUE(TR"&amp;"ANSPOSE(FILTER({K$17:ED$17;K$4:ED$4;K74:ED74}, K74:ED74=TRUE)))), 1, 0),
       LAMBDA(
         mitigation,
         enhance,
         assign,
         precondition,
         IF(
           REGEXMATCH(assign, ""RANGE_PARTY|SINGLE_ENEMY|RANGE_ENEMY""),
  "&amp;"         IF(
             OR(ARRAYFORMULA((IF(precondition="""", FALSE, REGEXMATCH(K$4:ED$4, precondition))) * (K74:ED74=TRUE))),
             IF(ISNUMBER(enhance), enhance, 1),
             IF(ISNUMBER(mitigation), mitigation, 1)
           ),
          "&amp;" 1
         )
       )
     )
   ),
   1
 )"),1.0)</f>
        <v>1</v>
      </c>
      <c r="EF74" s="200">
        <f>IFERROR(__xludf.DUMMYFUNCTION("PRODUCT(
   MAP(
     K$14:ED$14,
     K$13:ED$13,
     K74:ED74,
     LAMBDA(
       buff,
       target,
       check,
       IF(
         AND(check=TRUE, REGEXMATCH(target, ""RANGE_AFFECTED_ALL|RANGE_EFFECTED_ALL""), ISNUMBER(buff)),
         buff,
   "&amp;"      1
       )
     )
   )
 )"),1.0)</f>
        <v>1</v>
      </c>
      <c r="EG74" s="200">
        <f>IFERROR(__xludf.DUMMYFUNCTION("PRODUCT(
   MAP(
     K$14:ED$14,
     K$13:ED$13,
     K74:ED74,
     LAMBDA(
       buff,
       target,
       check,
       IF(
         AND(check=TRUE, REGEXMATCH(target, ""RANGE_AFFECTED_GCD|RANGE_EFFECTED_GCD""), ISNUMBER(buff)),
         buff,
   "&amp;"      1
       )
     )
   )
 )"),1.0)</f>
        <v>1</v>
      </c>
      <c r="EH74" s="200">
        <f>IFERROR(__xludf.DUMMYFUNCTION("PRODUCT(
   MAP(
     K$3:ED$3,
     K$14:ED$14,
     K$13:ED$13,
     K74:ED74,
     LAMBDA(
       job,
       buff,
       target,
       check,
       IF(
         AND(check=TRUE, REGEXMATCH(target, ""SELF_EFFECTED_ALL""), ISNUMBER(buff), job=""白魔道士"""&amp;"),
         buff,
         1
       )
     )
   )
 )"),1.0)</f>
        <v>1</v>
      </c>
      <c r="EI74" s="200">
        <f>IFERROR(__xludf.DUMMYFUNCTION("PRODUCT(
   MAP(
     K$3:ED$3,
     K$14:ED$14,
     K$13:ED$13,
     K74:ED74,
     LAMBDA(
       job,
       buff,
       target,
       check,
       IF(
         AND(check=TRUE, REGEXMATCH(target, ""SELF_EFFECTED_GCD""), ISNUMBER(buff), job=""白魔道士"""&amp;"),
         buff,
         1
       )
     )
   )
 )"),1.0)</f>
        <v>1</v>
      </c>
      <c r="EJ74" s="200">
        <f>IFERROR(__xludf.DUMMYFUNCTION("PRODUCT(
   MAP(
     K$3:ED$3,
     K$14:ED$14,
     K$13:ED$13,
     K74:ED74,
     LAMBDA(
       job,
       buff,
       target,
       check,
       IF(
         AND(check=TRUE, REGEXMATCH(target, ""SELF_EFFECTED_ALL""), ISNUMBER(buff), job=""占星術師"""&amp;"),
         buff,
         1
       )
     )
   )
 )"),1.0)</f>
        <v>1</v>
      </c>
      <c r="EK74" s="200">
        <f>IFERROR(__xludf.DUMMYFUNCTION("PRODUCT(
   MAP(
     K$3:ED$3,
     K$14:ED$14,
     K$13:ED$13,
     K74:ED74,
     LAMBDA(
       job,
       buff,
       target,
       check,
       IF(
         AND(check=TRUE, REGEXMATCH(target, ""SELF_EFFECTED_GCD""), ISNUMBER(buff), job=""占星術師"""&amp;"),
         buff,
         1
       )
     )
   )
 )"),1.0)</f>
        <v>1</v>
      </c>
      <c r="EL74" s="200">
        <f>IFERROR(__xludf.DUMMYFUNCTION("PRODUCT(
   MAP(
     K$3:ED$3,
     K$14:ED$14,
     K$13:ED$13,
     K74:ED74,
     LAMBDA(
       job,
       buff,
       target,
       check,
       IF(
         AND(check=TRUE, REGEXMATCH(target, ""SELF_EFFECTED_ALL""), ISNUMBER(buff), job=""学者""),"&amp;"
         buff,
         1
       )
     )
   )
 )"),1.0)</f>
        <v>1</v>
      </c>
      <c r="EM74" s="200">
        <f>IFERROR(__xludf.DUMMYFUNCTION("PRODUCT(
   MAP(
     K$3:ED$3,
     K$14:ED$14,
     K$13:ED$13,
     K74:ED74,
     LAMBDA(
       job,
       buff,
       target,
       check,
       IF(
         AND(check=TRUE, REGEXMATCH(target, ""SELF_EFFECTED_GCD""), ISNUMBER(buff), job=""学者""),"&amp;"
         buff,
         1
       )
     )
   )
 )"),1.0)</f>
        <v>1</v>
      </c>
      <c r="EN74" s="200">
        <f>IFERROR(__xludf.DUMMYFUNCTION("PRODUCT(
   MAP(
     K$3:ED$3,
     K$14:ED$14,
     K$13:ED$13,
     K74:ED74,
     LAMBDA(
       job,
       buff,
       target,
       check,
       IF(
         AND(check=TRUE, REGEXMATCH(target, ""SELF_EFFECTED_ALL""), ISNUMBER(buff), job=""賢者""),"&amp;"
         buff,
         1
       )
     )
   )
 )"),1.0)</f>
        <v>1</v>
      </c>
      <c r="EO74" s="200">
        <f>IFERROR(__xludf.DUMMYFUNCTION("PRODUCT(
   MAP(
     K$3:ED$3,
     K$14:ED$14,
     K$13:ED$13,
     K74:ED74,
     LAMBDA(
       job,
       buff,
       target,
       check,
       IF(
         AND(check=TRUE, REGEXMATCH(target, ""SELF_EFFECTED_GCD""), ISNUMBER(buff), job=""賢者""),"&amp;"
         buff,
         1
       )
     )
   )
 )"),1.0)</f>
        <v>1</v>
      </c>
      <c r="EP74" s="201">
        <f t="shared" si="3"/>
        <v>0</v>
      </c>
      <c r="EQ74" s="201">
        <f>IFERROR(__xludf.DUMMYFUNCTION("SUM(
   MAP(
     K$4:ED$4,
     K$3:ED$3,
     K$7:ED$7,
     K$15:ED$15,
     K$16:ED$16,
     K$21:ED$21,
     K$5:ED$5,
     K$17:ED$17,
     K74:ED74,
     LAMBDA(
       name,
       job,
       abillity,
       buff,
       barrier,
       enhance,"&amp;"
       assign,
       precondition,
       check,
       SWITCH(
         name,
         ""シェイクオフ"", IF(check=TRUE, buff + (0.02 * COUNTIF(ARRAYFORMULA((REGEXMATCH($K$4:$ED$4, ""スリル・オブ・バトル|ヴェンジェンス|原初の血気|ダムネーション"")) * (K74:ED74=TRUE)), 1)), 0),
         "&amp;"""インプロビゼーションフィニッシュ(踊りの激情0)"", IF(ISNUMBER(check), INDEX(Skill!$AJ:$AJ, MATCH(SUBSTITUTE(DV$4, 0, check), Skill!$C:$C, 0)), 0),
         IF(
           AND(check=TRUE, REGEXMATCH(assign, ""RANGE_PARTY"")),
           IF(
             OR(ARRAYFORMULA((IF(pr"&amp;"econdition="""", FALSE, REGEXMATCH($K$4:$ED$4, precondition))) * (K74:ED74=TRUE))),
             enhance,
             IF(barrier="""", buff, barrier)
           ),
           0
         )
       ) *
       SWITCH(
         job,
         ""ナイト"", EY$24,
 "&amp;"        ""戦士"", FD$24,
         ""踊り子"", ET$24,
         ""ピクトマンサー"", ET$24,
         ""白魔道士"", EF74 * EH74 * IF(abillity, 1, EG74 * EI74) * (Option!$D$22 * 0.81 / 100),
         ""占星術師"", EF74 * EJ74 * IF(abillity, 1, EG74 * EK74) * (Option!$D$23 * 0.81 "&amp;"/ 100),
         ""学者"", EF74 * EL74 * IF(abillity, 1, EG74 * EM74) * (Option!$D$24 * 0.81 / 100),
         ""賢者"", EF74 * EN74 * IF(abillity, 1, EG74 * EO74) * (Option!$D$25 * 0.81 / 100),
         1
       )
     )
   )
 )"),0.0)</f>
        <v>0</v>
      </c>
      <c r="ER74" s="202">
        <f t="shared" si="4"/>
        <v>0</v>
      </c>
      <c r="ES74" s="203">
        <f t="shared" si="5"/>
        <v>0</v>
      </c>
      <c r="ET74" s="231" t="str">
        <f>IFERROR(__xludf.DUMMYFUNCTION("IFS(
  EP74 &gt; $ET$24 + EQ74,
  SPARKLINE({ 1, 0 }, {""charttype"",""bar"";""max"", 1;""color1"",Option!$D$30;""color2"",Option!$D$30}),
  EP74 &lt; EQ74,
  SPARKLINE({EQ74 - EP74, $ET$24 - (EQ74 - EP74)}, {""charttype"",""bar"";""max"",$ET$24;""color1"",Opti"&amp;"on!$D$28;""color2"",Option!$D$29}),
  EP74 &gt;= EQ74,
  SPARKLINE({$ET$24 + EQ74 - EP74,EP74 - EQ74}, {""charttype"",""bar"";""max"",$ET$24;""color1"",Option!$D$29;""color2"",Option!$D$30})
)"),"")</f>
        <v/>
      </c>
      <c r="EU74" s="205">
        <f>IFERROR(__xludf.DUMMYFUNCTION("PRODUCT(
   MAP(
     IF($F74=""Physical"", K$10:ED$10, IF($F74=""Magic"", K$11:ED$11, K$12:ED$12)),
     IF($F74=""Physical"", K$18:ED$18, IF($F74=""Magic"", K$19:ED$19, K$20:ED$20)),
     K$3:ED$3,
     K$5:ED$5,
     K$17:ED$17,
     K74:ED74,
     LAM"&amp;"BDA(
       mitigation,
       enhance,
       job,
       assign,
       precondition,
       check,
       IF(
         OR(AND(check=TRUE, REGEXMATCH(assign, ""SELF""), job=""ナイト""), AND(check=Option!$E$13, REGEXMATCH(assign, ""SINGLE_PARTY""))),
      "&amp;"   IF(
           OR(ARRAYFORMULA((IF(precondition="""", FALSE, REGEXMATCH($K$4:$ED$4, precondition))) * (K74:ED74=TRUE))),
           enhance,
           mitigation
         ),
         1
       )
     )
   )
 ) * EE74"),1.0)</f>
        <v>1</v>
      </c>
      <c r="EV74" s="206">
        <f t="shared" si="6"/>
        <v>0</v>
      </c>
      <c r="EW74" s="205">
        <f>IFERROR(__xludf.DUMMYFUNCTION("PRODUCT(
   MAP(
     K$3:ED$3,
     K$14:ED$14,
     K$13:ED$13,
     K74:ED74,
     LAMBDA(
       job,
       buff,
       target,
       check,
       IF(
         OR(AND(check=TRUE, REGEXMATCH(target, ""SELF_AFFECTED_ALL""), job=""ナイト""), AND(check=O"&amp;"ption!$E$13, REGEXMATCH(target, ""SINGLE_AFFECTED_ALL""))),
         buff,
         1
       )
     )
   )
 )"),1.0)</f>
        <v>1</v>
      </c>
      <c r="EX74" s="206">
        <f>IFERROR(__xludf.DUMMYFUNCTION("SUM(
   MAP(
     K$3:ED$3,
     K$7:ED$7,
     K$15:ED$15,
     K$16:ED$16,
     K$21:ED$21,
     K$5:ED$5,
     K$17:ED$17,
     K74:ED74,
     LAMBDA(
       job,
       abillity,
       buff,
       barrier,
       enhance,
       assign,
       preco"&amp;"ndition,
       check,
       IF(
         OR(AND(check=TRUE, REGEXMATCH(assign, ""SELF""), job=""ナイト""), AND(check=Option!$E$13, REGEXMATCH(assign, ""SINGLE_PARTY""))),
         IF(
           OR(ARRAYFORMULA((IF(precondition="""", FALSE, REGEXMATCH($K$4"&amp;":$ED$4, precondition))) * (K74:ED74=TRUE))),
           enhance,
           IF(barrier="""", buff, barrier)
         ),
         0
       ) *
       SWITCH(
         job,
         ""暗黒騎士"", EY$24,
         ""白魔道士"", EF74 * EH74 * EW74 * IF(abillity, 1, EG"&amp;"74 * EI74) * (Option!$D$22 * 0.81 / 100),
         ""占星術師"", EF74 * EJ74 * EW74 * IF(abillity, 1, EG74 * EK74) * (Option!$D$23 * 0.81 / 100),
         ""学者"", EF74 * EL74 * EW74 * IF(abillity, 1, EG74 * EM74) * (Option!$D$24 * 0.81 / 100),
         ""賢者"""&amp;", EF74 * EN74 * EW74 * IF(abillity, 1, EG74 * EO74) * (Option!$D$25 * 0.81 / 100),
         1
       )
     )
   )
 ) + EQ74"),0.0)</f>
        <v>0</v>
      </c>
      <c r="EY74" s="232">
        <f t="shared" si="7"/>
        <v>0</v>
      </c>
      <c r="EZ74" s="205">
        <f>IFERROR(__xludf.DUMMYFUNCTION("PRODUCT(
   MAP(
     IF($F74=""Physical"", K$10:ED$10, IF($F74=""Magic"", K$11:ED$11, K$12:ED$12)),
     IF($F74=""Physical"", K$18:ED$18, IF($F74=""Magic"", K$19:ED$19, K$20:ED$20)),
     K$3:ED$3,
     K$5:ED$5,
     K$17:ED$17,
     K74:ED74,
     LAM"&amp;"BDA(
       mitigation,
       enhance,
       job,
       assign,
       precondition,
       check,
       IF(
         OR(AND(check=TRUE, REGEXMATCH(assign, ""SELF""), job=""戦士""), AND(check=Option!$F$13, REGEXMATCH(assign, ""SINGLE_PARTY""))),
       "&amp;"  IF(
           OR(ARRAYFORMULA((IF(precondition="""", FALSE, REGEXMATCH($K$4:$ED$4, precondition))) * (K74:ED74=TRUE))),
           enhance,
           mitigation
         ),
         1
       )
     )
   )
 ) * EE74"),1.0)</f>
        <v>1</v>
      </c>
      <c r="FA74" s="206">
        <f t="shared" si="8"/>
        <v>0</v>
      </c>
      <c r="FB74" s="205">
        <f>IFERROR(__xludf.DUMMYFUNCTION("PRODUCT(
   MAP(
     K$3:ED$3,
     K$14:ED$14,
     K$13:ED$13,
     K74:ED74,
     LAMBDA(
       job,
       buff,
       target,
       check,
       IF(
         OR(AND(check=TRUE, REGEXMATCH(target, ""SELF_AFFECTED_ALL""), job=""戦士""), AND(check=Op"&amp;"tion!$F$13, REGEXMATCH(target, ""SINGLE_AFFECTED_ALL""))),
         buff,
         1
       )
     )
   )
 )"),1.0)</f>
        <v>1</v>
      </c>
      <c r="FC74" s="206">
        <f>IFERROR(__xludf.DUMMYFUNCTION("SUM(
   MAP(
     K$3:ED$3,
     K$7:ED$7,
     K$15:ED$15,
     K$16:ED$16,
     K$21:ED$21,
     K$5:ED$5,
     K$17:ED$17,
     K74:ED74,
     LAMBDA(
       job,
       abillity,
       buff,
       barrier,
       enhance,
       assign,
       preco"&amp;"ndition,
       check,
       IF(
         OR(AND(check=TRUE, REGEXMATCH(assign, ""SELF""), job=""戦士""), AND(check=Option!$F$13, REGEXMATCH(assign, ""SINGLE_PARTY""))),
         IF(
           OR(ARRAYFORMULA((IF(precondition="""", FALSE, REGEXMATCH($K$4:"&amp;"$ED$4, precondition))) * (K74:ED74=TRUE))),
           enhance,
           IF(barrier="""", buff, barrier)
         ),
         0
       ) *
       SWITCH(
         job,
         ""暗黒騎士"", FD$24,
         ""白魔道士"", EF74 * EH74 * FB74 * IF(abillity, 1, EG7"&amp;"4 * EI74) * (Option!$D$22 * 0.81 / 100),
         ""占星術師"", EF74 * EJ74 * FFB74 * IF(abillity, 1, EG74 * EK74) * (Option!$D$23 * 0.81 / 100),
         ""学者"", EF74 * EL74 * FB74 * IF(abillity, 1, EG74 * EM74) * (Option!$D$24 * 0.81 / 100),
         ""賢者"""&amp;", EF74 * EN74 * FB74 * IF(abillity, 1, EG74 * EO74) * (Option!$D$25 * 0.81 / 100),
         1
       )
     )
   )
 ) + EQ74"),0.0)</f>
        <v>0</v>
      </c>
      <c r="FD74" s="206">
        <f t="shared" si="9"/>
        <v>0</v>
      </c>
      <c r="FE74" s="205">
        <f>IFERROR(__xludf.DUMMYFUNCTION("PRODUCT(
   MAP(
     IF($F74=""Physical"", K$10:ED$10, IF($F74=""Magic"", K$11:ED$11, K$12:ED$12)),
     IF($F74=""Physical"", K$18:ED$18, IF($F74=""Magic"", K$19:ED$19, K$20:ED$20)),
     K$3:ED$3,
     K$5:ED$5,
     K$17:ED$17,
     K74:ED74,
     LAM"&amp;"BDA(
       mitigation,
       enhance,
       job,
       assign,
       precondition,
       check,
       IF(
         OR(AND(check=TRUE, REGEXMATCH(assign, ""SELF""), job=""暗黒騎士""), AND(check=Option!$G$13, REGEXMATCH(assign, ""SINGLE_PARTY""))),
     "&amp;"    IF(
           OR(ARRAYFORMULA((IF(precondition="""", FALSE, REGEXMATCH($K$4:$ED$4, precondition))) * (K74:ED74=TRUE))),
           enhance,
           mitigation
         ),
         1
       )
     )
   )
 ) * EE74"),1.0)</f>
        <v>1</v>
      </c>
      <c r="FF74" s="206">
        <f t="shared" si="10"/>
        <v>0</v>
      </c>
      <c r="FG74" s="205">
        <f>IFERROR(__xludf.DUMMYFUNCTION("PRODUCT(
   MAP(
     K$3:ED$3,
     K$14:ED$14,
     K$13:ED$13,
     K74:ED74,
     LAMBDA(
       job,
       buff,
       target,
       check,
       IF(
         OR(AND(check=TRUE, REGEXMATCH(target, ""SELF_AFFECTED_ALL""), job=""暗黒騎士""), AND(check="&amp;"Option!$G$13, REGEXMATCH(target, ""SINGLE_AFFECTED_ALL""))),
         buff,
         1
       )
     )
   )
 )"),1.0)</f>
        <v>1</v>
      </c>
      <c r="FH74" s="206">
        <f>IFERROR(__xludf.DUMMYFUNCTION("SUM(
   MAP(
     K$3:ED$3,
     K$7:ED$7,
     K$15:ED$15,
     K$16:ED$16,
     K$21:ED$21,
     K$5:ED$5,
     K$17:ED$17,
     K74:ED74,
     LAMBDA(
       job,
       abillity,
       buff,
       barrier,
       enhance,
       assign,
       preco"&amp;"ndition,
       check,
       IF(
         OR(AND(check=TRUE, REGEXMATCH(assign, ""SELF""), job=""暗黒騎士""), AND(check=Option!$G$13, REGEXMATCH(assign, ""SINGLE_PARTY""))),
         IF(
           OR(ARRAYFORMULA((IF(precondition="""", FALSE, REGEXMATCH($K$"&amp;"4:$ED$4, precondition))) * (K74:ED74=TRUE))),
           enhance,
           IF(barrier="""", buff, barrier)
         ),
         0
       ) *
       SWITCH(
         job,
         ""暗黒騎士"", FI$24,
         ""白魔道士"", EF74 * EH74 * FG74 * IF(abillity, 1, E"&amp;"G74 * EI74) * (Option!$D$22 * 0.81 / 100),
         ""占星術師"", EF74 * EJ74 * FG74 * IF(abillity, 1, EG74 * EK74) * (Option!$D$23 * 0.81 / 100),
         ""学者"", EF74 * EL74 * FG74 * IF(abillity, 1, EG74 * EM74) * (Option!$D$24 * 0.81 / 100),
         ""賢者"&amp;""", EF74 * EN74 * FG74 * IF(abillity, 1, EG74 * EO74) * (Option!$D$25 * 0.81 / 100),
         1
       )
     )
   )
 ) + EQ74"),0.0)</f>
        <v>0</v>
      </c>
      <c r="FI74" s="206">
        <f t="shared" si="11"/>
        <v>0</v>
      </c>
      <c r="FJ74" s="205">
        <f>IFERROR(__xludf.DUMMYFUNCTION("PRODUCT(
   MAP(
     IF($F74=""Physical"", K$10:ED$10, IF($F74=""Magic"", K$11:ED$11, K$12:ED$12)),
     IF($F74=""Physical"", K$18:ED$18, IF($F74=""Magic"", K$19:ED$19, K$20:ED$20)),
     K$3:ED$3,
     K$5:ED$5,
     K$17:ED$17,
     K74:ED74,
     LAM"&amp;"BDA(
       mitigation,
       enhance,
       job,
       assign,
       precondition,
       check,
       IF(
         OR(AND(check=TRUE, REGEXMATCH(assign, ""SELF""), job=""ガンブレイカー""), AND(check=Option!$H$13, REGEXMATCH(assign, ""SINGLE_PARTY""))),
  "&amp;"       IF(
           OR(ARRAYFORMULA((IF(precondition="""", FALSE, REGEXMATCH($K$4:$ED$4, precondition))) * (K74:ED74=TRUE))),
           enhance,
           mitigation
         ),
         1
       )
     )
   )
 ) * EE74"),1.0)</f>
        <v>1</v>
      </c>
      <c r="FK74" s="206">
        <f t="shared" si="12"/>
        <v>0</v>
      </c>
      <c r="FL74" s="205">
        <f>IFERROR(__xludf.DUMMYFUNCTION("PRODUCT(
   MAP(
     K$3:ED$3,
     K$14:ED$14,
     K$13:ED$13,
     K74:ED74,
     LAMBDA(
       job,
       buff,
       target,
       check,
       IF(
         OR(AND(check=TRUE, REGEXMATCH(target, ""SELF_AFFECTED_ALL""), job=""ガンブレイカー""), AND(che"&amp;"ck=Option!$H$13, REGEXMATCH(target, ""SINGLE_AFFECTED_ALL""))),
         buff,
         1
       )
     )
   )
 )"),1.0)</f>
        <v>1</v>
      </c>
      <c r="FM74" s="206">
        <f>IFERROR(__xludf.DUMMYFUNCTION("SUM(
   MAP(
     K$3:ED$3,
     K$7:ED$7,
     K$15:ED$15,
     K$16:ED$16,
     K$21:ED$21,
     K$5:ED$5,
     K$17:ED$17,
     K74:ED74,
     LAMBDA(
       job,
       abillity,
       buff,
       barrier,
       enhance,
       assign,
       preco"&amp;"ndition,
       check,
       IF(
         OR(AND(check=TRUE, REGEXMATCH(assign, ""SELF""), job=""ガンブレイカー""), AND(check=Option!$H$13, REGEXMATCH(assign, ""SINGLE_PARTY""))),
         IF(
           OR(ARRAYFORMULA((IF(precondition="""", FALSE, REGEXMATCH("&amp;"$K$4:$ED$4, precondition))) * (K74:ED74=TRUE))),
           enhance,
           IF(barrier="""", buff, barrier)
         ),
         0
       ) *
       SWITCH(
         job,
         ""暗黒騎士"", FN$24,
         ""白魔道士"", EF74 * EH74 * FL74 * IF(abillity, 1"&amp;", EG74 * EI74) * (Option!$D$22 * 0.81 / 100),
         ""占星術師"", EF74 * EJ74 * FL74 * IF(abillity, 1, EG74 * EK74) * (Option!$D$23 * 0.81 / 100),
         ""学者"", EF74 * EL74 * FL74 * IF(abillity, 1, EG74 * EM74) * (Option!$D$24 * 0.81 / 100),
         """&amp;"賢者"", EF74 * EN74 * FL74 * IF(abillity, 1, EG74 * EO74) * (Option!$D$25 * 0.81 / 100),
         1
       )
     )
   )
 ) + EQ74"),0.0)</f>
        <v>0</v>
      </c>
      <c r="FN74" s="206">
        <f t="shared" si="13"/>
        <v>0</v>
      </c>
      <c r="FO74" s="213"/>
    </row>
    <row r="75">
      <c r="B75" s="229"/>
      <c r="C75" s="217">
        <f t="shared" si="1"/>
        <v>0</v>
      </c>
      <c r="D75" s="236"/>
      <c r="E75" s="238"/>
      <c r="F75" s="167"/>
      <c r="G75" s="168" t="str">
        <f t="shared" si="2"/>
        <v/>
      </c>
      <c r="H75" s="169"/>
      <c r="I75" s="169"/>
      <c r="J75" s="169"/>
      <c r="K75" s="170" t="b">
        <v>0</v>
      </c>
      <c r="L75" s="170" t="b">
        <v>0</v>
      </c>
      <c r="M75" s="170" t="b">
        <v>0</v>
      </c>
      <c r="N75" s="171" t="s">
        <v>1070</v>
      </c>
      <c r="O75" s="172" t="b">
        <v>0</v>
      </c>
      <c r="P75" s="173" t="b">
        <v>0</v>
      </c>
      <c r="Q75" s="173" t="b">
        <v>0</v>
      </c>
      <c r="R75" s="173" t="b">
        <v>0</v>
      </c>
      <c r="S75" s="174" t="b">
        <v>0</v>
      </c>
      <c r="T75" s="175" t="b">
        <v>0</v>
      </c>
      <c r="U75" s="173" t="b">
        <v>0</v>
      </c>
      <c r="V75" s="171" t="s">
        <v>1070</v>
      </c>
      <c r="W75" s="172" t="b">
        <v>0</v>
      </c>
      <c r="X75" s="173" t="b">
        <v>0</v>
      </c>
      <c r="Y75" s="173" t="b">
        <v>0</v>
      </c>
      <c r="Z75" s="173" t="b">
        <v>0</v>
      </c>
      <c r="AA75" s="174" t="b">
        <v>0</v>
      </c>
      <c r="AB75" s="174" t="b">
        <v>0</v>
      </c>
      <c r="AC75" s="175" t="b">
        <v>0</v>
      </c>
      <c r="AD75" s="173" t="b">
        <v>0</v>
      </c>
      <c r="AE75" s="176" t="s">
        <v>1070</v>
      </c>
      <c r="AF75" s="171" t="s">
        <v>1070</v>
      </c>
      <c r="AG75" s="177">
        <f>IFERROR(__xludf.DUMMYFUNCTION("IF(
  ISNUMBER(AG74),
  MIN(MAX(
    AG74
    + MAX(
      ROUNDDOWN(($D75 - MAX(IFERROR(FILTER($D$24:$D74, AG$24:AG74 &lt;&gt; AF$6, AG$23:AG73 = AF$6), 0))) * (60 * 60 * 24) / AF$9) - ROUNDDOWN(($D74 - MAX(IFERROR(FILTER($D$23:$D73, AG$23:AG73 &lt;&gt; AF$6, AG$22:"&amp;"AG72 = AF$6), 0))) * (60 * 60 * 24) / 60),
      0
    )
    - COUNTIF(AF75, ""&lt;&gt;-""),
  0), AF$6),
  AF$6 - COUNTIF(AF75, ""&lt;&gt;-"")
)"),2.0)</f>
        <v>2</v>
      </c>
      <c r="AH75" s="173" t="b">
        <v>0</v>
      </c>
      <c r="AI75" s="173" t="b">
        <v>0</v>
      </c>
      <c r="AJ75" s="173" t="b">
        <v>0</v>
      </c>
      <c r="AK75" s="174" t="b">
        <v>0</v>
      </c>
      <c r="AL75" s="175" t="b">
        <v>0</v>
      </c>
      <c r="AM75" s="173" t="b">
        <v>0</v>
      </c>
      <c r="AN75" s="171" t="s">
        <v>1070</v>
      </c>
      <c r="AO75" s="173" t="b">
        <v>0</v>
      </c>
      <c r="AP75" s="173" t="b">
        <v>0</v>
      </c>
      <c r="AQ75" s="173" t="b">
        <v>0</v>
      </c>
      <c r="AR75" s="174" t="b">
        <v>0</v>
      </c>
      <c r="AS75" s="178" t="b">
        <v>0</v>
      </c>
      <c r="AT75" s="179" t="b">
        <v>0</v>
      </c>
      <c r="AU75" s="180" t="b">
        <v>0</v>
      </c>
      <c r="AV75" s="180" t="b">
        <v>0</v>
      </c>
      <c r="AW75" s="180" t="b">
        <v>0</v>
      </c>
      <c r="AX75" s="180" t="b">
        <v>0</v>
      </c>
      <c r="AY75" s="181" t="s">
        <v>1070</v>
      </c>
      <c r="AZ75" s="181" t="s">
        <v>1070</v>
      </c>
      <c r="BA75" s="184">
        <f>IFERROR(__xludf.DUMMYFUNCTION("IF(
  ISNUMBER(BA74),
  MIN(MAX(
    BA74
    + MAX(
      ROUNDDOWN((D75 - MAX(IFERROR(FILTER(D$24:D74, BA$24:BA74 &lt;&gt; AZ$6, BA$23:BA73 = AZ$6), 0))) * (60 * 60 * 24) / AZ$9) - ROUNDDOWN((D74 - MAX(IFERROR(FILTER(D$23:D73, BA$23:BA73 &lt;&gt; AZ$6, BA$22:BA72 ="&amp;" AZ$6), 0))) * (60 * 60 * 24) / AZ$9),
      0
    )
    - COUNTIF(AZ75, ""&lt;&gt;-""),
  0), AZ$6),
  AZ$6 - COUNTIF(AZ75, ""&lt;&gt;-"")
)"),2.0)</f>
        <v>2</v>
      </c>
      <c r="BB75" s="181" t="s">
        <v>1070</v>
      </c>
      <c r="BC75" s="183">
        <f>IFERROR(__xludf.DUMMYFUNCTION("IF(
  ISNUMBER(BC74),
  MIN(MAX(
    BC74
    + MAX(
      ROUNDDOWN(($D75 - MAX(IFERROR(FILTER($D$24:$D74, BC$24:BC74 &lt;&gt; BB$6, BC$23:BC73 = BB$6), 0))) * (60 * 60 * 24) / BB$9) - ROUNDDOWN(($D74 - MAX(IFERROR(FILTER($D$23:$D73, BC$23:BC73 &lt;&gt; BB$6, BC$22:"&amp;"BC72 = BB$6), 0))) * (60 * 60 * 24) / 60),
      0
    )
    - COUNTIF(BB75, ""&lt;&gt;-""),
  0), BB$6),
  BB$6 - COUNTIF(BB75, ""&lt;&gt;-"")
)"),2.0)</f>
        <v>2</v>
      </c>
      <c r="BD75" s="181" t="s">
        <v>1070</v>
      </c>
      <c r="BE75" s="178" t="b">
        <v>0</v>
      </c>
      <c r="BF75" s="180" t="b">
        <v>0</v>
      </c>
      <c r="BG75" s="180" t="b">
        <v>0</v>
      </c>
      <c r="BH75" s="180" t="b">
        <v>0</v>
      </c>
      <c r="BI75" s="180" t="b">
        <v>0</v>
      </c>
      <c r="BJ75" s="180" t="b">
        <v>0</v>
      </c>
      <c r="BK75" s="180" t="b">
        <v>0</v>
      </c>
      <c r="BL75" s="180" t="b">
        <v>0</v>
      </c>
      <c r="BM75" s="180" t="b">
        <v>0</v>
      </c>
      <c r="BN75" s="180" t="b">
        <v>0</v>
      </c>
      <c r="BO75" s="181" t="s">
        <v>1070</v>
      </c>
      <c r="BP75" s="181" t="s">
        <v>1070</v>
      </c>
      <c r="BQ75" s="181" t="s">
        <v>1070</v>
      </c>
      <c r="BR75" s="181" t="s">
        <v>1070</v>
      </c>
      <c r="BS75" s="181" t="s">
        <v>1070</v>
      </c>
      <c r="BT75" s="184">
        <f>IFERROR(__xludf.DUMMYFUNCTION("IF(
  ISNUMBER(BT74),
  MIN(MAX(
    BT74
    + MAX(
      ROUNDDOWN((D75 - MAX(IFERROR(FILTER(D$24:D74, BT$24:BT74 &lt;&gt; BS$6, BT$23:BT73 = BS$6), 0))) * (60 * 60 * 24) / BS$9) - ROUNDDOWN((D74 - MAX(IFERROR(FILTER(D$23:D73, BT$23:BT73 &lt;&gt; BS$6, BT$22:BT72 ="&amp;" BS$6), 0))) * (60 * 60 * 24) / BS$9),
      0
    )
    - COUNTIF(BS75, ""&lt;&gt;-""),
  0), BS$6),
  BS$6 - COUNTIF(BS75, ""&lt;&gt;-"")
)"),3.0)</f>
        <v>3</v>
      </c>
      <c r="BU75" s="181" t="s">
        <v>1070</v>
      </c>
      <c r="BV75" s="181" t="s">
        <v>1070</v>
      </c>
      <c r="BW75" s="184">
        <f>IFERROR(__xludf.DUMMYFUNCTION("IF(
  ISNUMBER(BW74),
  MIN(MAX(
    BW74
    + MAX(
      ROUNDDOWN((D75 - MAX(IFERROR(FILTER(D$24:D74, BW$24:BW74 &lt;&gt; BV$6, BW$23:BW73 = BV$6), 0))) * (60 * 60 * 24) / BV$9) - ROUNDDOWN((D74 - MAX(IFERROR(FILTER(D$23:D73, BW$23:BW73 &lt;&gt; BV$6, BW$22:BW72 ="&amp;" BV$6), 0))) * (60 * 60 * 24) / BV$9),
      0
    )
    - COUNTIF(BV75, ""&lt;&gt;-""),
  0), BV$6),
  BV$6 - COUNTIF(BV75, ""&lt;&gt;-"")
)"),2.0)</f>
        <v>2</v>
      </c>
      <c r="BX75" s="185" t="s">
        <v>1070</v>
      </c>
      <c r="BY75" s="178" t="b">
        <v>0</v>
      </c>
      <c r="BZ75" s="180" t="b">
        <v>0</v>
      </c>
      <c r="CA75" s="180" t="b">
        <v>0</v>
      </c>
      <c r="CB75" s="180" t="b">
        <v>0</v>
      </c>
      <c r="CC75" s="180" t="b">
        <v>0</v>
      </c>
      <c r="CD75" s="180" t="b">
        <v>0</v>
      </c>
      <c r="CE75" s="180" t="b">
        <v>0</v>
      </c>
      <c r="CF75" s="180" t="b">
        <v>0</v>
      </c>
      <c r="CG75" s="180" t="b">
        <v>0</v>
      </c>
      <c r="CH75" s="180" t="b">
        <v>0</v>
      </c>
      <c r="CI75" s="180" t="b">
        <v>0</v>
      </c>
      <c r="CJ75" s="180" t="b">
        <v>0</v>
      </c>
      <c r="CK75" s="180" t="b">
        <v>0</v>
      </c>
      <c r="CL75" s="180" t="b">
        <v>0</v>
      </c>
      <c r="CM75" s="181" t="s">
        <v>1070</v>
      </c>
      <c r="CN75" s="181" t="s">
        <v>1070</v>
      </c>
      <c r="CO75" s="181" t="s">
        <v>1070</v>
      </c>
      <c r="CP75" s="181" t="s">
        <v>1070</v>
      </c>
      <c r="CQ75" s="185" t="s">
        <v>1070</v>
      </c>
      <c r="CR75" s="180" t="b">
        <v>0</v>
      </c>
      <c r="CS75" s="186" t="str">
        <f t="shared" si="14"/>
        <v>◇◇◇</v>
      </c>
      <c r="CT75" s="178" t="b">
        <v>0</v>
      </c>
      <c r="CU75" s="180" t="b">
        <v>0</v>
      </c>
      <c r="CV75" s="180" t="b">
        <v>0</v>
      </c>
      <c r="CW75" s="180" t="b">
        <v>0</v>
      </c>
      <c r="CX75" s="180" t="b">
        <v>0</v>
      </c>
      <c r="CY75" s="180" t="b">
        <v>0</v>
      </c>
      <c r="CZ75" s="180" t="b">
        <v>0</v>
      </c>
      <c r="DA75" s="180" t="b">
        <v>0</v>
      </c>
      <c r="DB75" s="180" t="b">
        <v>0</v>
      </c>
      <c r="DC75" s="180" t="b">
        <v>0</v>
      </c>
      <c r="DD75" s="181" t="s">
        <v>1070</v>
      </c>
      <c r="DE75" s="181" t="s">
        <v>1070</v>
      </c>
      <c r="DF75" s="181" t="s">
        <v>1070</v>
      </c>
      <c r="DG75" s="185" t="s">
        <v>1070</v>
      </c>
      <c r="DH75" s="180" t="b">
        <v>0</v>
      </c>
      <c r="DI75" s="187" t="str">
        <f>IFERROR(__xludf.DUMMYFUNCTION("SWITCH(
  IF(
    ISTEXT(DI74),
    IF (
      FIND(""○"", DI74&amp;""○"") &gt; 3,
      3,
      FIND(""○"", DI74&amp;""○"")
      + MAX(
        ROUNDDOWN(($D75 - MAX(IFERROR(FILTER(D$24:D74, DI$24:DI74 &lt;&gt; ""●●●"", DI$23:DI73 = ""●●●""), 0))) * (60 * 60 * 24) / 20"&amp;") - ROUNDDOWN(($D74 - MAX(IFERROR(FILTER(D$23:D73, DI$23:DI73 &lt;&gt; ""●●●"", DI$22:DI72 = ""●●●""), 0))) * (60 * 60 * 24) / 20),
        0
      ) - 1
    ) - COUNTIFS(CU75, ""=TRUE"", CU74, ""&lt;&gt;TRUE"") - COUNTIF(CZ75, ""=TRUE"") - COUNTIF({DD75,DE75}, ""&lt;&gt;-"&amp;""") + COUNTIF(DH75, ""=TRUE""),
    3
  ),
  0, ""○○○"", 1, ""●○○"", 2, ""●●○"", 3, ""●●●"", 4, ""●●●"", ""○○○""
)"),"●●●")</f>
        <v>●●●</v>
      </c>
      <c r="DJ75" s="188" t="b">
        <v>0</v>
      </c>
      <c r="DK75" s="189" t="b">
        <v>0</v>
      </c>
      <c r="DL75" s="190" t="b">
        <v>0</v>
      </c>
      <c r="DM75" s="190" t="b">
        <v>0</v>
      </c>
      <c r="DN75" s="190" t="b">
        <v>0</v>
      </c>
      <c r="DO75" s="190" t="b">
        <v>0</v>
      </c>
      <c r="DP75" s="190" t="b">
        <v>0</v>
      </c>
      <c r="DQ75" s="191" t="b">
        <v>0</v>
      </c>
      <c r="DR75" s="192" t="b">
        <v>0</v>
      </c>
      <c r="DS75" s="191" t="b">
        <v>0</v>
      </c>
      <c r="DT75" s="192" t="b">
        <v>0</v>
      </c>
      <c r="DU75" s="191" t="b">
        <v>0</v>
      </c>
      <c r="DV75" s="193" t="s">
        <v>1070</v>
      </c>
      <c r="DW75" s="194" t="b">
        <v>0</v>
      </c>
      <c r="DX75" s="194" t="b">
        <v>0</v>
      </c>
      <c r="DY75" s="195" t="b">
        <v>0</v>
      </c>
      <c r="DZ75" s="196" t="b">
        <v>0</v>
      </c>
      <c r="EA75" s="195" t="b">
        <v>0</v>
      </c>
      <c r="EB75" s="197" t="b">
        <v>0</v>
      </c>
      <c r="EC75" s="197" t="b">
        <v>0</v>
      </c>
      <c r="ED75" s="212" t="b">
        <v>0</v>
      </c>
      <c r="EE75" s="199">
        <f>IFERROR(__xludf.DUMMYFUNCTION("IFERROR(
   PRODUCT(
     MAP(
       INDEX(TRANSPOSE(UNIQUE(TRANSPOSE(FILTER({IF($F75=""Physical"", K$10:ED$10, IF($F75=""Magic"", K$11:ED$11, K$12:ED$12));K$4:ED$4;K75:ED75}, K75:ED75=TRUE)))), 1, 0),
       INDEX(TRANSPOSE(UNIQUE(TRANSPOSE(FILTER({IF($"&amp;"F75=""Physical"", K$18:ED$18, IF($F75=""Magic"", K$19:ED$19, K$20:ED$20));K$4:ED$4;K75:ED75}, K75:ED75=TRUE)))), 1, 0),
       INDEX(TRANSPOSE(UNIQUE(TRANSPOSE(FILTER({K$5:ED$5;K$4:ED$4;K75:ED75}, K75:ED75=TRUE)))), 1, 0),
       INDEX(TRANSPOSE(UNIQUE(TR"&amp;"ANSPOSE(FILTER({K$17:ED$17;K$4:ED$4;K75:ED75}, K75:ED75=TRUE)))), 1, 0),
       LAMBDA(
         mitigation,
         enhance,
         assign,
         precondition,
         IF(
           REGEXMATCH(assign, ""RANGE_PARTY|SINGLE_ENEMY|RANGE_ENEMY""),
  "&amp;"         IF(
             OR(ARRAYFORMULA((IF(precondition="""", FALSE, REGEXMATCH(K$4:ED$4, precondition))) * (K75:ED75=TRUE))),
             IF(ISNUMBER(enhance), enhance, 1),
             IF(ISNUMBER(mitigation), mitigation, 1)
           ),
          "&amp;" 1
         )
       )
     )
   ),
   1
 )"),1.0)</f>
        <v>1</v>
      </c>
      <c r="EF75" s="200">
        <f>IFERROR(__xludf.DUMMYFUNCTION("PRODUCT(
   MAP(
     K$14:ED$14,
     K$13:ED$13,
     K75:ED75,
     LAMBDA(
       buff,
       target,
       check,
       IF(
         AND(check=TRUE, REGEXMATCH(target, ""RANGE_AFFECTED_ALL|RANGE_EFFECTED_ALL""), ISNUMBER(buff)),
         buff,
   "&amp;"      1
       )
     )
   )
 )"),1.0)</f>
        <v>1</v>
      </c>
      <c r="EG75" s="200">
        <f>IFERROR(__xludf.DUMMYFUNCTION("PRODUCT(
   MAP(
     K$14:ED$14,
     K$13:ED$13,
     K75:ED75,
     LAMBDA(
       buff,
       target,
       check,
       IF(
         AND(check=TRUE, REGEXMATCH(target, ""RANGE_AFFECTED_GCD|RANGE_EFFECTED_GCD""), ISNUMBER(buff)),
         buff,
   "&amp;"      1
       )
     )
   )
 )"),1.0)</f>
        <v>1</v>
      </c>
      <c r="EH75" s="200">
        <f>IFERROR(__xludf.DUMMYFUNCTION("PRODUCT(
   MAP(
     K$3:ED$3,
     K$14:ED$14,
     K$13:ED$13,
     K75:ED75,
     LAMBDA(
       job,
       buff,
       target,
       check,
       IF(
         AND(check=TRUE, REGEXMATCH(target, ""SELF_EFFECTED_ALL""), ISNUMBER(buff), job=""白魔道士"""&amp;"),
         buff,
         1
       )
     )
   )
 )"),1.0)</f>
        <v>1</v>
      </c>
      <c r="EI75" s="200">
        <f>IFERROR(__xludf.DUMMYFUNCTION("PRODUCT(
   MAP(
     K$3:ED$3,
     K$14:ED$14,
     K$13:ED$13,
     K75:ED75,
     LAMBDA(
       job,
       buff,
       target,
       check,
       IF(
         AND(check=TRUE, REGEXMATCH(target, ""SELF_EFFECTED_GCD""), ISNUMBER(buff), job=""白魔道士"""&amp;"),
         buff,
         1
       )
     )
   )
 )"),1.0)</f>
        <v>1</v>
      </c>
      <c r="EJ75" s="200">
        <f>IFERROR(__xludf.DUMMYFUNCTION("PRODUCT(
   MAP(
     K$3:ED$3,
     K$14:ED$14,
     K$13:ED$13,
     K75:ED75,
     LAMBDA(
       job,
       buff,
       target,
       check,
       IF(
         AND(check=TRUE, REGEXMATCH(target, ""SELF_EFFECTED_ALL""), ISNUMBER(buff), job=""占星術師"""&amp;"),
         buff,
         1
       )
     )
   )
 )"),1.0)</f>
        <v>1</v>
      </c>
      <c r="EK75" s="200">
        <f>IFERROR(__xludf.DUMMYFUNCTION("PRODUCT(
   MAP(
     K$3:ED$3,
     K$14:ED$14,
     K$13:ED$13,
     K75:ED75,
     LAMBDA(
       job,
       buff,
       target,
       check,
       IF(
         AND(check=TRUE, REGEXMATCH(target, ""SELF_EFFECTED_GCD""), ISNUMBER(buff), job=""占星術師"""&amp;"),
         buff,
         1
       )
     )
   )
 )"),1.0)</f>
        <v>1</v>
      </c>
      <c r="EL75" s="200">
        <f>IFERROR(__xludf.DUMMYFUNCTION("PRODUCT(
   MAP(
     K$3:ED$3,
     K$14:ED$14,
     K$13:ED$13,
     K75:ED75,
     LAMBDA(
       job,
       buff,
       target,
       check,
       IF(
         AND(check=TRUE, REGEXMATCH(target, ""SELF_EFFECTED_ALL""), ISNUMBER(buff), job=""学者""),"&amp;"
         buff,
         1
       )
     )
   )
 )"),1.0)</f>
        <v>1</v>
      </c>
      <c r="EM75" s="200">
        <f>IFERROR(__xludf.DUMMYFUNCTION("PRODUCT(
   MAP(
     K$3:ED$3,
     K$14:ED$14,
     K$13:ED$13,
     K75:ED75,
     LAMBDA(
       job,
       buff,
       target,
       check,
       IF(
         AND(check=TRUE, REGEXMATCH(target, ""SELF_EFFECTED_GCD""), ISNUMBER(buff), job=""学者""),"&amp;"
         buff,
         1
       )
     )
   )
 )"),1.0)</f>
        <v>1</v>
      </c>
      <c r="EN75" s="200">
        <f>IFERROR(__xludf.DUMMYFUNCTION("PRODUCT(
   MAP(
     K$3:ED$3,
     K$14:ED$14,
     K$13:ED$13,
     K75:ED75,
     LAMBDA(
       job,
       buff,
       target,
       check,
       IF(
         AND(check=TRUE, REGEXMATCH(target, ""SELF_EFFECTED_ALL""), ISNUMBER(buff), job=""賢者""),"&amp;"
         buff,
         1
       )
     )
   )
 )"),1.0)</f>
        <v>1</v>
      </c>
      <c r="EO75" s="200">
        <f>IFERROR(__xludf.DUMMYFUNCTION("PRODUCT(
   MAP(
     K$3:ED$3,
     K$14:ED$14,
     K$13:ED$13,
     K75:ED75,
     LAMBDA(
       job,
       buff,
       target,
       check,
       IF(
         AND(check=TRUE, REGEXMATCH(target, ""SELF_EFFECTED_GCD""), ISNUMBER(buff), job=""賢者""),"&amp;"
         buff,
         1
       )
     )
   )
 )"),1.0)</f>
        <v>1</v>
      </c>
      <c r="EP75" s="201">
        <f t="shared" si="3"/>
        <v>0</v>
      </c>
      <c r="EQ75" s="201">
        <f>IFERROR(__xludf.DUMMYFUNCTION("SUM(
   MAP(
     K$4:ED$4,
     K$3:ED$3,
     K$7:ED$7,
     K$15:ED$15,
     K$16:ED$16,
     K$21:ED$21,
     K$5:ED$5,
     K$17:ED$17,
     K75:ED75,
     LAMBDA(
       name,
       job,
       abillity,
       buff,
       barrier,
       enhance,"&amp;"
       assign,
       precondition,
       check,
       SWITCH(
         name,
         ""シェイクオフ"", IF(check=TRUE, buff + (0.02 * COUNTIF(ARRAYFORMULA((REGEXMATCH($K$4:$ED$4, ""スリル・オブ・バトル|ヴェンジェンス|原初の血気|ダムネーション"")) * (K75:ED75=TRUE)), 1)), 0),
         "&amp;"""インプロビゼーションフィニッシュ(踊りの激情0)"", IF(ISNUMBER(check), INDEX(Skill!$AJ:$AJ, MATCH(SUBSTITUTE(DV$4, 0, check), Skill!$C:$C, 0)), 0),
         IF(
           AND(check=TRUE, REGEXMATCH(assign, ""RANGE_PARTY"")),
           IF(
             OR(ARRAYFORMULA((IF(pr"&amp;"econdition="""", FALSE, REGEXMATCH($K$4:$ED$4, precondition))) * (K75:ED75=TRUE))),
             enhance,
             IF(barrier="""", buff, barrier)
           ),
           0
         )
       ) *
       SWITCH(
         job,
         ""ナイト"", EY$24,
 "&amp;"        ""戦士"", FD$24,
         ""踊り子"", ET$24,
         ""ピクトマンサー"", ET$24,
         ""白魔道士"", EF75 * EH75 * IF(abillity, 1, EG75 * EI75) * (Option!$D$22 * 0.81 / 100),
         ""占星術師"", EF75 * EJ75 * IF(abillity, 1, EG75 * EK75) * (Option!$D$23 * 0.81 "&amp;"/ 100),
         ""学者"", EF75 * EL75 * IF(abillity, 1, EG75 * EM75) * (Option!$D$24 * 0.81 / 100),
         ""賢者"", EF75 * EN75 * IF(abillity, 1, EG75 * EO75) * (Option!$D$25 * 0.81 / 100),
         1
       )
     )
   )
 )"),0.0)</f>
        <v>0</v>
      </c>
      <c r="ER75" s="202">
        <f t="shared" si="4"/>
        <v>0</v>
      </c>
      <c r="ES75" s="203">
        <f t="shared" si="5"/>
        <v>0</v>
      </c>
      <c r="ET75" s="231" t="str">
        <f>IFERROR(__xludf.DUMMYFUNCTION("IFS(
  EP75 &gt; $ET$24 + EQ75,
  SPARKLINE({ 1, 0 }, {""charttype"",""bar"";""max"", 1;""color1"",Option!$D$30;""color2"",Option!$D$30}),
  EP75 &lt; EQ75,
  SPARKLINE({EQ75 - EP75, $ET$24 - (EQ75 - EP75)}, {""charttype"",""bar"";""max"",$ET$24;""color1"",Opti"&amp;"on!$D$28;""color2"",Option!$D$29}),
  EP75 &gt;= EQ75,
  SPARKLINE({$ET$24 + EQ75 - EP75,EP75 - EQ75}, {""charttype"",""bar"";""max"",$ET$24;""color1"",Option!$D$29;""color2"",Option!$D$30})
)"),"")</f>
        <v/>
      </c>
      <c r="EU75" s="205">
        <f>IFERROR(__xludf.DUMMYFUNCTION("PRODUCT(
   MAP(
     IF($F75=""Physical"", K$10:ED$10, IF($F75=""Magic"", K$11:ED$11, K$12:ED$12)),
     IF($F75=""Physical"", K$18:ED$18, IF($F75=""Magic"", K$19:ED$19, K$20:ED$20)),
     K$3:ED$3,
     K$5:ED$5,
     K$17:ED$17,
     K75:ED75,
     LAM"&amp;"BDA(
       mitigation,
       enhance,
       job,
       assign,
       precondition,
       check,
       IF(
         OR(AND(check=TRUE, REGEXMATCH(assign, ""SELF""), job=""ナイト""), AND(check=Option!$E$13, REGEXMATCH(assign, ""SINGLE_PARTY""))),
      "&amp;"   IF(
           OR(ARRAYFORMULA((IF(precondition="""", FALSE, REGEXMATCH($K$4:$ED$4, precondition))) * (K75:ED75=TRUE))),
           enhance,
           mitigation
         ),
         1
       )
     )
   )
 ) * EE75"),1.0)</f>
        <v>1</v>
      </c>
      <c r="EV75" s="206">
        <f t="shared" si="6"/>
        <v>0</v>
      </c>
      <c r="EW75" s="205">
        <f>IFERROR(__xludf.DUMMYFUNCTION("PRODUCT(
   MAP(
     K$3:ED$3,
     K$14:ED$14,
     K$13:ED$13,
     K75:ED75,
     LAMBDA(
       job,
       buff,
       target,
       check,
       IF(
         OR(AND(check=TRUE, REGEXMATCH(target, ""SELF_AFFECTED_ALL""), job=""ナイト""), AND(check=O"&amp;"ption!$E$13, REGEXMATCH(target, ""SINGLE_AFFECTED_ALL""))),
         buff,
         1
       )
     )
   )
 )"),1.0)</f>
        <v>1</v>
      </c>
      <c r="EX75" s="206">
        <f>IFERROR(__xludf.DUMMYFUNCTION("SUM(
   MAP(
     K$3:ED$3,
     K$7:ED$7,
     K$15:ED$15,
     K$16:ED$16,
     K$21:ED$21,
     K$5:ED$5,
     K$17:ED$17,
     K75:ED75,
     LAMBDA(
       job,
       abillity,
       buff,
       barrier,
       enhance,
       assign,
       preco"&amp;"ndition,
       check,
       IF(
         OR(AND(check=TRUE, REGEXMATCH(assign, ""SELF""), job=""ナイト""), AND(check=Option!$E$13, REGEXMATCH(assign, ""SINGLE_PARTY""))),
         IF(
           OR(ARRAYFORMULA((IF(precondition="""", FALSE, REGEXMATCH($K$4"&amp;":$ED$4, precondition))) * (K75:ED75=TRUE))),
           enhance,
           IF(barrier="""", buff, barrier)
         ),
         0
       ) *
       SWITCH(
         job,
         ""暗黒騎士"", EY$24,
         ""白魔道士"", EF75 * EH75 * EW75 * IF(abillity, 1, EG"&amp;"75 * EI75) * (Option!$D$22 * 0.81 / 100),
         ""占星術師"", EF75 * EJ75 * EW75 * IF(abillity, 1, EG75 * EK75) * (Option!$D$23 * 0.81 / 100),
         ""学者"", EF75 * EL75 * EW75 * IF(abillity, 1, EG75 * EM75) * (Option!$D$24 * 0.81 / 100),
         ""賢者"""&amp;", EF75 * EN75 * EW75 * IF(abillity, 1, EG75 * EO75) * (Option!$D$25 * 0.81 / 100),
         1
       )
     )
   )
 ) + EQ75"),0.0)</f>
        <v>0</v>
      </c>
      <c r="EY75" s="232">
        <f t="shared" si="7"/>
        <v>0</v>
      </c>
      <c r="EZ75" s="205">
        <f>IFERROR(__xludf.DUMMYFUNCTION("PRODUCT(
   MAP(
     IF($F75=""Physical"", K$10:ED$10, IF($F75=""Magic"", K$11:ED$11, K$12:ED$12)),
     IF($F75=""Physical"", K$18:ED$18, IF($F75=""Magic"", K$19:ED$19, K$20:ED$20)),
     K$3:ED$3,
     K$5:ED$5,
     K$17:ED$17,
     K75:ED75,
     LAM"&amp;"BDA(
       mitigation,
       enhance,
       job,
       assign,
       precondition,
       check,
       IF(
         OR(AND(check=TRUE, REGEXMATCH(assign, ""SELF""), job=""戦士""), AND(check=Option!$F$13, REGEXMATCH(assign, ""SINGLE_PARTY""))),
       "&amp;"  IF(
           OR(ARRAYFORMULA((IF(precondition="""", FALSE, REGEXMATCH($K$4:$ED$4, precondition))) * (K75:ED75=TRUE))),
           enhance,
           mitigation
         ),
         1
       )
     )
   )
 ) * EE75"),1.0)</f>
        <v>1</v>
      </c>
      <c r="FA75" s="206">
        <f t="shared" si="8"/>
        <v>0</v>
      </c>
      <c r="FB75" s="205">
        <f>IFERROR(__xludf.DUMMYFUNCTION("PRODUCT(
   MAP(
     K$3:ED$3,
     K$14:ED$14,
     K$13:ED$13,
     K75:ED75,
     LAMBDA(
       job,
       buff,
       target,
       check,
       IF(
         OR(AND(check=TRUE, REGEXMATCH(target, ""SELF_AFFECTED_ALL""), job=""戦士""), AND(check=Op"&amp;"tion!$F$13, REGEXMATCH(target, ""SINGLE_AFFECTED_ALL""))),
         buff,
         1
       )
     )
   )
 )"),1.0)</f>
        <v>1</v>
      </c>
      <c r="FC75" s="206">
        <f>IFERROR(__xludf.DUMMYFUNCTION("SUM(
   MAP(
     K$3:ED$3,
     K$7:ED$7,
     K$15:ED$15,
     K$16:ED$16,
     K$21:ED$21,
     K$5:ED$5,
     K$17:ED$17,
     K75:ED75,
     LAMBDA(
       job,
       abillity,
       buff,
       barrier,
       enhance,
       assign,
       preco"&amp;"ndition,
       check,
       IF(
         OR(AND(check=TRUE, REGEXMATCH(assign, ""SELF""), job=""戦士""), AND(check=Option!$F$13, REGEXMATCH(assign, ""SINGLE_PARTY""))),
         IF(
           OR(ARRAYFORMULA((IF(precondition="""", FALSE, REGEXMATCH($K$4:"&amp;"$ED$4, precondition))) * (K75:ED75=TRUE))),
           enhance,
           IF(barrier="""", buff, barrier)
         ),
         0
       ) *
       SWITCH(
         job,
         ""暗黒騎士"", FD$24,
         ""白魔道士"", EF75 * EH75 * FB75 * IF(abillity, 1, EG7"&amp;"5 * EI75) * (Option!$D$22 * 0.81 / 100),
         ""占星術師"", EF75 * EJ75 * FFB75 * IF(abillity, 1, EG75 * EK75) * (Option!$D$23 * 0.81 / 100),
         ""学者"", EF75 * EL75 * FB75 * IF(abillity, 1, EG75 * EM75) * (Option!$D$24 * 0.81 / 100),
         ""賢者"""&amp;", EF75 * EN75 * FB75 * IF(abillity, 1, EG75 * EO75) * (Option!$D$25 * 0.81 / 100),
         1
       )
     )
   )
 ) + EQ75"),0.0)</f>
        <v>0</v>
      </c>
      <c r="FD75" s="206">
        <f t="shared" si="9"/>
        <v>0</v>
      </c>
      <c r="FE75" s="205">
        <f>IFERROR(__xludf.DUMMYFUNCTION("PRODUCT(
   MAP(
     IF($F75=""Physical"", K$10:ED$10, IF($F75=""Magic"", K$11:ED$11, K$12:ED$12)),
     IF($F75=""Physical"", K$18:ED$18, IF($F75=""Magic"", K$19:ED$19, K$20:ED$20)),
     K$3:ED$3,
     K$5:ED$5,
     K$17:ED$17,
     K75:ED75,
     LAM"&amp;"BDA(
       mitigation,
       enhance,
       job,
       assign,
       precondition,
       check,
       IF(
         OR(AND(check=TRUE, REGEXMATCH(assign, ""SELF""), job=""暗黒騎士""), AND(check=Option!$G$13, REGEXMATCH(assign, ""SINGLE_PARTY""))),
     "&amp;"    IF(
           OR(ARRAYFORMULA((IF(precondition="""", FALSE, REGEXMATCH($K$4:$ED$4, precondition))) * (K75:ED75=TRUE))),
           enhance,
           mitigation
         ),
         1
       )
     )
   )
 ) * EE75"),1.0)</f>
        <v>1</v>
      </c>
      <c r="FF75" s="206">
        <f t="shared" si="10"/>
        <v>0</v>
      </c>
      <c r="FG75" s="205">
        <f>IFERROR(__xludf.DUMMYFUNCTION("PRODUCT(
   MAP(
     K$3:ED$3,
     K$14:ED$14,
     K$13:ED$13,
     K75:ED75,
     LAMBDA(
       job,
       buff,
       target,
       check,
       IF(
         OR(AND(check=TRUE, REGEXMATCH(target, ""SELF_AFFECTED_ALL""), job=""暗黒騎士""), AND(check="&amp;"Option!$G$13, REGEXMATCH(target, ""SINGLE_AFFECTED_ALL""))),
         buff,
         1
       )
     )
   )
 )"),1.0)</f>
        <v>1</v>
      </c>
      <c r="FH75" s="206">
        <f>IFERROR(__xludf.DUMMYFUNCTION("SUM(
   MAP(
     K$3:ED$3,
     K$7:ED$7,
     K$15:ED$15,
     K$16:ED$16,
     K$21:ED$21,
     K$5:ED$5,
     K$17:ED$17,
     K75:ED75,
     LAMBDA(
       job,
       abillity,
       buff,
       barrier,
       enhance,
       assign,
       preco"&amp;"ndition,
       check,
       IF(
         OR(AND(check=TRUE, REGEXMATCH(assign, ""SELF""), job=""暗黒騎士""), AND(check=Option!$G$13, REGEXMATCH(assign, ""SINGLE_PARTY""))),
         IF(
           OR(ARRAYFORMULA((IF(precondition="""", FALSE, REGEXMATCH($K$"&amp;"4:$ED$4, precondition))) * (K75:ED75=TRUE))),
           enhance,
           IF(barrier="""", buff, barrier)
         ),
         0
       ) *
       SWITCH(
         job,
         ""暗黒騎士"", FI$24,
         ""白魔道士"", EF75 * EH75 * FG75 * IF(abillity, 1, E"&amp;"G75 * EI75) * (Option!$D$22 * 0.81 / 100),
         ""占星術師"", EF75 * EJ75 * FG75 * IF(abillity, 1, EG75 * EK75) * (Option!$D$23 * 0.81 / 100),
         ""学者"", EF75 * EL75 * FG75 * IF(abillity, 1, EG75 * EM75) * (Option!$D$24 * 0.81 / 100),
         ""賢者"&amp;""", EF75 * EN75 * FG75 * IF(abillity, 1, EG75 * EO75) * (Option!$D$25 * 0.81 / 100),
         1
       )
     )
   )
 ) + EQ75"),0.0)</f>
        <v>0</v>
      </c>
      <c r="FI75" s="206">
        <f t="shared" si="11"/>
        <v>0</v>
      </c>
      <c r="FJ75" s="205">
        <f>IFERROR(__xludf.DUMMYFUNCTION("PRODUCT(
   MAP(
     IF($F75=""Physical"", K$10:ED$10, IF($F75=""Magic"", K$11:ED$11, K$12:ED$12)),
     IF($F75=""Physical"", K$18:ED$18, IF($F75=""Magic"", K$19:ED$19, K$20:ED$20)),
     K$3:ED$3,
     K$5:ED$5,
     K$17:ED$17,
     K75:ED75,
     LAM"&amp;"BDA(
       mitigation,
       enhance,
       job,
       assign,
       precondition,
       check,
       IF(
         OR(AND(check=TRUE, REGEXMATCH(assign, ""SELF""), job=""ガンブレイカー""), AND(check=Option!$H$13, REGEXMATCH(assign, ""SINGLE_PARTY""))),
  "&amp;"       IF(
           OR(ARRAYFORMULA((IF(precondition="""", FALSE, REGEXMATCH($K$4:$ED$4, precondition))) * (K75:ED75=TRUE))),
           enhance,
           mitigation
         ),
         1
       )
     )
   )
 ) * EE75"),1.0)</f>
        <v>1</v>
      </c>
      <c r="FK75" s="206">
        <f t="shared" si="12"/>
        <v>0</v>
      </c>
      <c r="FL75" s="205">
        <f>IFERROR(__xludf.DUMMYFUNCTION("PRODUCT(
   MAP(
     K$3:ED$3,
     K$14:ED$14,
     K$13:ED$13,
     K75:ED75,
     LAMBDA(
       job,
       buff,
       target,
       check,
       IF(
         OR(AND(check=TRUE, REGEXMATCH(target, ""SELF_AFFECTED_ALL""), job=""ガンブレイカー""), AND(che"&amp;"ck=Option!$H$13, REGEXMATCH(target, ""SINGLE_AFFECTED_ALL""))),
         buff,
         1
       )
     )
   )
 )"),1.0)</f>
        <v>1</v>
      </c>
      <c r="FM75" s="206">
        <f>IFERROR(__xludf.DUMMYFUNCTION("SUM(
   MAP(
     K$3:ED$3,
     K$7:ED$7,
     K$15:ED$15,
     K$16:ED$16,
     K$21:ED$21,
     K$5:ED$5,
     K$17:ED$17,
     K75:ED75,
     LAMBDA(
       job,
       abillity,
       buff,
       barrier,
       enhance,
       assign,
       preco"&amp;"ndition,
       check,
       IF(
         OR(AND(check=TRUE, REGEXMATCH(assign, ""SELF""), job=""ガンブレイカー""), AND(check=Option!$H$13, REGEXMATCH(assign, ""SINGLE_PARTY""))),
         IF(
           OR(ARRAYFORMULA((IF(precondition="""", FALSE, REGEXMATCH("&amp;"$K$4:$ED$4, precondition))) * (K75:ED75=TRUE))),
           enhance,
           IF(barrier="""", buff, barrier)
         ),
         0
       ) *
       SWITCH(
         job,
         ""暗黒騎士"", FN$24,
         ""白魔道士"", EF75 * EH75 * FL75 * IF(abillity, 1"&amp;", EG75 * EI75) * (Option!$D$22 * 0.81 / 100),
         ""占星術師"", EF75 * EJ75 * FL75 * IF(abillity, 1, EG75 * EK75) * (Option!$D$23 * 0.81 / 100),
         ""学者"", EF75 * EL75 * FL75 * IF(abillity, 1, EG75 * EM75) * (Option!$D$24 * 0.81 / 100),
         """&amp;"賢者"", EF75 * EN75 * FL75 * IF(abillity, 1, EG75 * EO75) * (Option!$D$25 * 0.81 / 100),
         1
       )
     )
   )
 ) + EQ75"),0.0)</f>
        <v>0</v>
      </c>
      <c r="FN75" s="206">
        <f t="shared" si="13"/>
        <v>0</v>
      </c>
      <c r="FO75" s="213"/>
    </row>
    <row r="76">
      <c r="B76" s="240"/>
      <c r="C76" s="217">
        <f t="shared" si="1"/>
        <v>0</v>
      </c>
      <c r="D76" s="236"/>
      <c r="E76" s="241"/>
      <c r="F76" s="167"/>
      <c r="G76" s="168" t="str">
        <f t="shared" si="2"/>
        <v/>
      </c>
      <c r="H76" s="169"/>
      <c r="I76" s="169"/>
      <c r="J76" s="169"/>
      <c r="K76" s="170" t="b">
        <v>0</v>
      </c>
      <c r="L76" s="170" t="b">
        <v>0</v>
      </c>
      <c r="M76" s="170" t="b">
        <v>0</v>
      </c>
      <c r="N76" s="171" t="s">
        <v>1070</v>
      </c>
      <c r="O76" s="172" t="b">
        <v>0</v>
      </c>
      <c r="P76" s="173" t="b">
        <v>0</v>
      </c>
      <c r="Q76" s="173" t="b">
        <v>0</v>
      </c>
      <c r="R76" s="173" t="b">
        <v>0</v>
      </c>
      <c r="S76" s="174" t="b">
        <v>0</v>
      </c>
      <c r="T76" s="175" t="b">
        <v>0</v>
      </c>
      <c r="U76" s="173" t="b">
        <v>0</v>
      </c>
      <c r="V76" s="171" t="s">
        <v>1070</v>
      </c>
      <c r="W76" s="172" t="b">
        <v>0</v>
      </c>
      <c r="X76" s="173" t="b">
        <v>0</v>
      </c>
      <c r="Y76" s="173" t="b">
        <v>0</v>
      </c>
      <c r="Z76" s="173" t="b">
        <v>0</v>
      </c>
      <c r="AA76" s="174" t="b">
        <v>0</v>
      </c>
      <c r="AB76" s="174" t="b">
        <v>0</v>
      </c>
      <c r="AC76" s="175" t="b">
        <v>0</v>
      </c>
      <c r="AD76" s="173" t="b">
        <v>0</v>
      </c>
      <c r="AE76" s="176" t="s">
        <v>1070</v>
      </c>
      <c r="AF76" s="171" t="s">
        <v>1070</v>
      </c>
      <c r="AG76" s="177">
        <f>IFERROR(__xludf.DUMMYFUNCTION("IF(
  ISNUMBER(AG75),
  MIN(MAX(
    AG75
    + MAX(
      ROUNDDOWN(($D76 - MAX(IFERROR(FILTER($D$24:$D75, AG$24:AG75 &lt;&gt; AF$6, AG$23:AG74 = AF$6), 0))) * (60 * 60 * 24) / AF$9) - ROUNDDOWN(($D75 - MAX(IFERROR(FILTER($D$23:$D74, AG$23:AG74 &lt;&gt; AF$6, AG$22:"&amp;"AG73 = AF$6), 0))) * (60 * 60 * 24) / 60),
      0
    )
    - COUNTIF(AF76, ""&lt;&gt;-""),
  0), AF$6),
  AF$6 - COUNTIF(AF76, ""&lt;&gt;-"")
)"),2.0)</f>
        <v>2</v>
      </c>
      <c r="AH76" s="173" t="b">
        <v>0</v>
      </c>
      <c r="AI76" s="173" t="b">
        <v>0</v>
      </c>
      <c r="AJ76" s="173" t="b">
        <v>0</v>
      </c>
      <c r="AK76" s="174" t="b">
        <v>0</v>
      </c>
      <c r="AL76" s="175" t="b">
        <v>0</v>
      </c>
      <c r="AM76" s="173" t="b">
        <v>0</v>
      </c>
      <c r="AN76" s="171" t="s">
        <v>1070</v>
      </c>
      <c r="AO76" s="173" t="b">
        <v>0</v>
      </c>
      <c r="AP76" s="173" t="b">
        <v>0</v>
      </c>
      <c r="AQ76" s="173" t="b">
        <v>0</v>
      </c>
      <c r="AR76" s="174" t="b">
        <v>0</v>
      </c>
      <c r="AS76" s="178" t="b">
        <v>0</v>
      </c>
      <c r="AT76" s="179" t="b">
        <v>0</v>
      </c>
      <c r="AU76" s="180" t="b">
        <v>0</v>
      </c>
      <c r="AV76" s="180" t="b">
        <v>0</v>
      </c>
      <c r="AW76" s="180" t="b">
        <v>0</v>
      </c>
      <c r="AX76" s="180" t="b">
        <v>0</v>
      </c>
      <c r="AY76" s="181" t="s">
        <v>1070</v>
      </c>
      <c r="AZ76" s="181" t="s">
        <v>1070</v>
      </c>
      <c r="BA76" s="184">
        <f>IFERROR(__xludf.DUMMYFUNCTION("IF(
  ISNUMBER(BA75),
  MIN(MAX(
    BA75
    + MAX(
      ROUNDDOWN((D76 - MAX(IFERROR(FILTER(D$24:D75, BA$24:BA75 &lt;&gt; AZ$6, BA$23:BA74 = AZ$6), 0))) * (60 * 60 * 24) / AZ$9) - ROUNDDOWN((D75 - MAX(IFERROR(FILTER(D$23:D74, BA$23:BA74 &lt;&gt; AZ$6, BA$22:BA73 ="&amp;" AZ$6), 0))) * (60 * 60 * 24) / AZ$9),
      0
    )
    - COUNTIF(AZ76, ""&lt;&gt;-""),
  0), AZ$6),
  AZ$6 - COUNTIF(AZ76, ""&lt;&gt;-"")
)"),2.0)</f>
        <v>2</v>
      </c>
      <c r="BB76" s="181" t="s">
        <v>1070</v>
      </c>
      <c r="BC76" s="183">
        <f>IFERROR(__xludf.DUMMYFUNCTION("IF(
  ISNUMBER(BC75),
  MIN(MAX(
    BC75
    + MAX(
      ROUNDDOWN(($D76 - MAX(IFERROR(FILTER($D$24:$D75, BC$24:BC75 &lt;&gt; BB$6, BC$23:BC74 = BB$6), 0))) * (60 * 60 * 24) / BB$9) - ROUNDDOWN(($D75 - MAX(IFERROR(FILTER($D$23:$D74, BC$23:BC74 &lt;&gt; BB$6, BC$22:"&amp;"BC73 = BB$6), 0))) * (60 * 60 * 24) / 60),
      0
    )
    - COUNTIF(BB76, ""&lt;&gt;-""),
  0), BB$6),
  BB$6 - COUNTIF(BB76, ""&lt;&gt;-"")
)"),2.0)</f>
        <v>2</v>
      </c>
      <c r="BD76" s="181" t="s">
        <v>1070</v>
      </c>
      <c r="BE76" s="178" t="b">
        <v>0</v>
      </c>
      <c r="BF76" s="180" t="b">
        <v>0</v>
      </c>
      <c r="BG76" s="180" t="b">
        <v>0</v>
      </c>
      <c r="BH76" s="180" t="b">
        <v>0</v>
      </c>
      <c r="BI76" s="180" t="b">
        <v>0</v>
      </c>
      <c r="BJ76" s="180" t="b">
        <v>0</v>
      </c>
      <c r="BK76" s="180" t="b">
        <v>0</v>
      </c>
      <c r="BL76" s="180" t="b">
        <v>0</v>
      </c>
      <c r="BM76" s="180" t="b">
        <v>0</v>
      </c>
      <c r="BN76" s="180" t="b">
        <v>0</v>
      </c>
      <c r="BO76" s="181" t="s">
        <v>1070</v>
      </c>
      <c r="BP76" s="181" t="s">
        <v>1070</v>
      </c>
      <c r="BQ76" s="181" t="s">
        <v>1070</v>
      </c>
      <c r="BR76" s="181" t="s">
        <v>1070</v>
      </c>
      <c r="BS76" s="181" t="s">
        <v>1070</v>
      </c>
      <c r="BT76" s="184">
        <f>IFERROR(__xludf.DUMMYFUNCTION("IF(
  ISNUMBER(BT75),
  MIN(MAX(
    BT75
    + MAX(
      ROUNDDOWN((D76 - MAX(IFERROR(FILTER(D$24:D75, BT$24:BT75 &lt;&gt; BS$6, BT$23:BT74 = BS$6), 0))) * (60 * 60 * 24) / BS$9) - ROUNDDOWN((D75 - MAX(IFERROR(FILTER(D$23:D74, BT$23:BT74 &lt;&gt; BS$6, BT$22:BT73 ="&amp;" BS$6), 0))) * (60 * 60 * 24) / BS$9),
      0
    )
    - COUNTIF(BS76, ""&lt;&gt;-""),
  0), BS$6),
  BS$6 - COUNTIF(BS76, ""&lt;&gt;-"")
)"),3.0)</f>
        <v>3</v>
      </c>
      <c r="BU76" s="181" t="s">
        <v>1070</v>
      </c>
      <c r="BV76" s="181" t="s">
        <v>1070</v>
      </c>
      <c r="BW76" s="184">
        <f>IFERROR(__xludf.DUMMYFUNCTION("IF(
  ISNUMBER(BW75),
  MIN(MAX(
    BW75
    + MAX(
      ROUNDDOWN((D76 - MAX(IFERROR(FILTER(D$24:D75, BW$24:BW75 &lt;&gt; BV$6, BW$23:BW74 = BV$6), 0))) * (60 * 60 * 24) / BV$9) - ROUNDDOWN((D75 - MAX(IFERROR(FILTER(D$23:D74, BW$23:BW74 &lt;&gt; BV$6, BW$22:BW73 ="&amp;" BV$6), 0))) * (60 * 60 * 24) / BV$9),
      0
    )
    - COUNTIF(BV76, ""&lt;&gt;-""),
  0), BV$6),
  BV$6 - COUNTIF(BV76, ""&lt;&gt;-"")
)"),2.0)</f>
        <v>2</v>
      </c>
      <c r="BX76" s="185" t="s">
        <v>1070</v>
      </c>
      <c r="BY76" s="178" t="b">
        <v>0</v>
      </c>
      <c r="BZ76" s="180" t="b">
        <v>0</v>
      </c>
      <c r="CA76" s="180" t="b">
        <v>0</v>
      </c>
      <c r="CB76" s="180" t="b">
        <v>0</v>
      </c>
      <c r="CC76" s="180" t="b">
        <v>0</v>
      </c>
      <c r="CD76" s="180" t="b">
        <v>0</v>
      </c>
      <c r="CE76" s="180" t="b">
        <v>0</v>
      </c>
      <c r="CF76" s="180" t="b">
        <v>0</v>
      </c>
      <c r="CG76" s="180" t="b">
        <v>0</v>
      </c>
      <c r="CH76" s="180" t="b">
        <v>0</v>
      </c>
      <c r="CI76" s="180" t="b">
        <v>0</v>
      </c>
      <c r="CJ76" s="180" t="b">
        <v>0</v>
      </c>
      <c r="CK76" s="180" t="b">
        <v>0</v>
      </c>
      <c r="CL76" s="180" t="b">
        <v>0</v>
      </c>
      <c r="CM76" s="181" t="s">
        <v>1070</v>
      </c>
      <c r="CN76" s="181" t="s">
        <v>1070</v>
      </c>
      <c r="CO76" s="181" t="s">
        <v>1070</v>
      </c>
      <c r="CP76" s="181" t="s">
        <v>1070</v>
      </c>
      <c r="CQ76" s="185" t="s">
        <v>1070</v>
      </c>
      <c r="CR76" s="180" t="b">
        <v>0</v>
      </c>
      <c r="CS76" s="186" t="str">
        <f t="shared" si="14"/>
        <v>◇◇◇</v>
      </c>
      <c r="CT76" s="178" t="b">
        <v>0</v>
      </c>
      <c r="CU76" s="180" t="b">
        <v>0</v>
      </c>
      <c r="CV76" s="180" t="b">
        <v>0</v>
      </c>
      <c r="CW76" s="180" t="b">
        <v>0</v>
      </c>
      <c r="CX76" s="180" t="b">
        <v>0</v>
      </c>
      <c r="CY76" s="180" t="b">
        <v>0</v>
      </c>
      <c r="CZ76" s="180" t="b">
        <v>0</v>
      </c>
      <c r="DA76" s="180" t="b">
        <v>0</v>
      </c>
      <c r="DB76" s="180" t="b">
        <v>0</v>
      </c>
      <c r="DC76" s="180" t="b">
        <v>0</v>
      </c>
      <c r="DD76" s="181" t="s">
        <v>1070</v>
      </c>
      <c r="DE76" s="181" t="s">
        <v>1070</v>
      </c>
      <c r="DF76" s="181" t="s">
        <v>1070</v>
      </c>
      <c r="DG76" s="185" t="s">
        <v>1070</v>
      </c>
      <c r="DH76" s="180" t="b">
        <v>0</v>
      </c>
      <c r="DI76" s="187" t="str">
        <f>IFERROR(__xludf.DUMMYFUNCTION("SWITCH(
  IF(
    ISTEXT(DI75),
    IF (
      FIND(""○"", DI75&amp;""○"") &gt; 3,
      3,
      FIND(""○"", DI75&amp;""○"")
      + MAX(
        ROUNDDOWN(($D76 - MAX(IFERROR(FILTER(D$24:D75, DI$24:DI75 &lt;&gt; ""●●●"", DI$23:DI74 = ""●●●""), 0))) * (60 * 60 * 24) / 20"&amp;") - ROUNDDOWN(($D75 - MAX(IFERROR(FILTER(D$23:D74, DI$23:DI74 &lt;&gt; ""●●●"", DI$22:DI73 = ""●●●""), 0))) * (60 * 60 * 24) / 20),
        0
      ) - 1
    ) - COUNTIFS(CU76, ""=TRUE"", CU75, ""&lt;&gt;TRUE"") - COUNTIF(CZ76, ""=TRUE"") - COUNTIF({DD76,DE76}, ""&lt;&gt;-"&amp;""") + COUNTIF(DH76, ""=TRUE""),
    3
  ),
  0, ""○○○"", 1, ""●○○"", 2, ""●●○"", 3, ""●●●"", 4, ""●●●"", ""○○○""
)"),"●●●")</f>
        <v>●●●</v>
      </c>
      <c r="DJ76" s="188" t="b">
        <v>0</v>
      </c>
      <c r="DK76" s="189" t="b">
        <v>0</v>
      </c>
      <c r="DL76" s="190" t="b">
        <v>0</v>
      </c>
      <c r="DM76" s="190" t="b">
        <v>0</v>
      </c>
      <c r="DN76" s="190" t="b">
        <v>0</v>
      </c>
      <c r="DO76" s="190" t="b">
        <v>0</v>
      </c>
      <c r="DP76" s="190" t="b">
        <v>0</v>
      </c>
      <c r="DQ76" s="191" t="b">
        <v>0</v>
      </c>
      <c r="DR76" s="192" t="b">
        <v>0</v>
      </c>
      <c r="DS76" s="191" t="b">
        <v>0</v>
      </c>
      <c r="DT76" s="192" t="b">
        <v>0</v>
      </c>
      <c r="DU76" s="191" t="b">
        <v>0</v>
      </c>
      <c r="DV76" s="193" t="s">
        <v>1070</v>
      </c>
      <c r="DW76" s="194" t="b">
        <v>0</v>
      </c>
      <c r="DX76" s="194" t="b">
        <v>0</v>
      </c>
      <c r="DY76" s="195" t="b">
        <v>0</v>
      </c>
      <c r="DZ76" s="196" t="b">
        <v>0</v>
      </c>
      <c r="EA76" s="195" t="b">
        <v>0</v>
      </c>
      <c r="EB76" s="197" t="b">
        <v>0</v>
      </c>
      <c r="EC76" s="197" t="b">
        <v>0</v>
      </c>
      <c r="ED76" s="212" t="b">
        <v>0</v>
      </c>
      <c r="EE76" s="199">
        <f>IFERROR(__xludf.DUMMYFUNCTION("IFERROR(
   PRODUCT(
     MAP(
       INDEX(TRANSPOSE(UNIQUE(TRANSPOSE(FILTER({IF($F76=""Physical"", K$10:ED$10, IF($F76=""Magic"", K$11:ED$11, K$12:ED$12));K$4:ED$4;K76:ED76}, K76:ED76=TRUE)))), 1, 0),
       INDEX(TRANSPOSE(UNIQUE(TRANSPOSE(FILTER({IF($"&amp;"F76=""Physical"", K$18:ED$18, IF($F76=""Magic"", K$19:ED$19, K$20:ED$20));K$4:ED$4;K76:ED76}, K76:ED76=TRUE)))), 1, 0),
       INDEX(TRANSPOSE(UNIQUE(TRANSPOSE(FILTER({K$5:ED$5;K$4:ED$4;K76:ED76}, K76:ED76=TRUE)))), 1, 0),
       INDEX(TRANSPOSE(UNIQUE(TR"&amp;"ANSPOSE(FILTER({K$17:ED$17;K$4:ED$4;K76:ED76}, K76:ED76=TRUE)))), 1, 0),
       LAMBDA(
         mitigation,
         enhance,
         assign,
         precondition,
         IF(
           REGEXMATCH(assign, ""RANGE_PARTY|SINGLE_ENEMY|RANGE_ENEMY""),
  "&amp;"         IF(
             OR(ARRAYFORMULA((IF(precondition="""", FALSE, REGEXMATCH(K$4:ED$4, precondition))) * (K76:ED76=TRUE))),
             IF(ISNUMBER(enhance), enhance, 1),
             IF(ISNUMBER(mitigation), mitigation, 1)
           ),
          "&amp;" 1
         )
       )
     )
   ),
   1
 )"),1.0)</f>
        <v>1</v>
      </c>
      <c r="EF76" s="200">
        <f>IFERROR(__xludf.DUMMYFUNCTION("PRODUCT(
   MAP(
     K$14:ED$14,
     K$13:ED$13,
     K76:ED76,
     LAMBDA(
       buff,
       target,
       check,
       IF(
         AND(check=TRUE, REGEXMATCH(target, ""RANGE_AFFECTED_ALL|RANGE_EFFECTED_ALL""), ISNUMBER(buff)),
         buff,
   "&amp;"      1
       )
     )
   )
 )"),1.0)</f>
        <v>1</v>
      </c>
      <c r="EG76" s="200">
        <f>IFERROR(__xludf.DUMMYFUNCTION("PRODUCT(
   MAP(
     K$14:ED$14,
     K$13:ED$13,
     K76:ED76,
     LAMBDA(
       buff,
       target,
       check,
       IF(
         AND(check=TRUE, REGEXMATCH(target, ""RANGE_AFFECTED_GCD|RANGE_EFFECTED_GCD""), ISNUMBER(buff)),
         buff,
   "&amp;"      1
       )
     )
   )
 )"),1.0)</f>
        <v>1</v>
      </c>
      <c r="EH76" s="200">
        <f>IFERROR(__xludf.DUMMYFUNCTION("PRODUCT(
   MAP(
     K$3:ED$3,
     K$14:ED$14,
     K$13:ED$13,
     K76:ED76,
     LAMBDA(
       job,
       buff,
       target,
       check,
       IF(
         AND(check=TRUE, REGEXMATCH(target, ""SELF_EFFECTED_ALL""), ISNUMBER(buff), job=""白魔道士"""&amp;"),
         buff,
         1
       )
     )
   )
 )"),1.0)</f>
        <v>1</v>
      </c>
      <c r="EI76" s="200">
        <f>IFERROR(__xludf.DUMMYFUNCTION("PRODUCT(
   MAP(
     K$3:ED$3,
     K$14:ED$14,
     K$13:ED$13,
     K76:ED76,
     LAMBDA(
       job,
       buff,
       target,
       check,
       IF(
         AND(check=TRUE, REGEXMATCH(target, ""SELF_EFFECTED_GCD""), ISNUMBER(buff), job=""白魔道士"""&amp;"),
         buff,
         1
       )
     )
   )
 )"),1.0)</f>
        <v>1</v>
      </c>
      <c r="EJ76" s="200">
        <f>IFERROR(__xludf.DUMMYFUNCTION("PRODUCT(
   MAP(
     K$3:ED$3,
     K$14:ED$14,
     K$13:ED$13,
     K76:ED76,
     LAMBDA(
       job,
       buff,
       target,
       check,
       IF(
         AND(check=TRUE, REGEXMATCH(target, ""SELF_EFFECTED_ALL""), ISNUMBER(buff), job=""占星術師"""&amp;"),
         buff,
         1
       )
     )
   )
 )"),1.0)</f>
        <v>1</v>
      </c>
      <c r="EK76" s="200">
        <f>IFERROR(__xludf.DUMMYFUNCTION("PRODUCT(
   MAP(
     K$3:ED$3,
     K$14:ED$14,
     K$13:ED$13,
     K76:ED76,
     LAMBDA(
       job,
       buff,
       target,
       check,
       IF(
         AND(check=TRUE, REGEXMATCH(target, ""SELF_EFFECTED_GCD""), ISNUMBER(buff), job=""占星術師"""&amp;"),
         buff,
         1
       )
     )
   )
 )"),1.0)</f>
        <v>1</v>
      </c>
      <c r="EL76" s="200">
        <f>IFERROR(__xludf.DUMMYFUNCTION("PRODUCT(
   MAP(
     K$3:ED$3,
     K$14:ED$14,
     K$13:ED$13,
     K76:ED76,
     LAMBDA(
       job,
       buff,
       target,
       check,
       IF(
         AND(check=TRUE, REGEXMATCH(target, ""SELF_EFFECTED_ALL""), ISNUMBER(buff), job=""学者""),"&amp;"
         buff,
         1
       )
     )
   )
 )"),1.0)</f>
        <v>1</v>
      </c>
      <c r="EM76" s="200">
        <f>IFERROR(__xludf.DUMMYFUNCTION("PRODUCT(
   MAP(
     K$3:ED$3,
     K$14:ED$14,
     K$13:ED$13,
     K76:ED76,
     LAMBDA(
       job,
       buff,
       target,
       check,
       IF(
         AND(check=TRUE, REGEXMATCH(target, ""SELF_EFFECTED_GCD""), ISNUMBER(buff), job=""学者""),"&amp;"
         buff,
         1
       )
     )
   )
 )"),1.0)</f>
        <v>1</v>
      </c>
      <c r="EN76" s="200">
        <f>IFERROR(__xludf.DUMMYFUNCTION("PRODUCT(
   MAP(
     K$3:ED$3,
     K$14:ED$14,
     K$13:ED$13,
     K76:ED76,
     LAMBDA(
       job,
       buff,
       target,
       check,
       IF(
         AND(check=TRUE, REGEXMATCH(target, ""SELF_EFFECTED_ALL""), ISNUMBER(buff), job=""賢者""),"&amp;"
         buff,
         1
       )
     )
   )
 )"),1.0)</f>
        <v>1</v>
      </c>
      <c r="EO76" s="200">
        <f>IFERROR(__xludf.DUMMYFUNCTION("PRODUCT(
   MAP(
     K$3:ED$3,
     K$14:ED$14,
     K$13:ED$13,
     K76:ED76,
     LAMBDA(
       job,
       buff,
       target,
       check,
       IF(
         AND(check=TRUE, REGEXMATCH(target, ""SELF_EFFECTED_GCD""), ISNUMBER(buff), job=""賢者""),"&amp;"
         buff,
         1
       )
     )
   )
 )"),1.0)</f>
        <v>1</v>
      </c>
      <c r="EP76" s="201">
        <f t="shared" si="3"/>
        <v>0</v>
      </c>
      <c r="EQ76" s="201">
        <f>IFERROR(__xludf.DUMMYFUNCTION("SUM(
   MAP(
     K$4:ED$4,
     K$3:ED$3,
     K$7:ED$7,
     K$15:ED$15,
     K$16:ED$16,
     K$21:ED$21,
     K$5:ED$5,
     K$17:ED$17,
     K76:ED76,
     LAMBDA(
       name,
       job,
       abillity,
       buff,
       barrier,
       enhance,"&amp;"
       assign,
       precondition,
       check,
       SWITCH(
         name,
         ""シェイクオフ"", IF(check=TRUE, buff + (0.02 * COUNTIF(ARRAYFORMULA((REGEXMATCH($K$4:$ED$4, ""スリル・オブ・バトル|ヴェンジェンス|原初の血気|ダムネーション"")) * (K76:ED76=TRUE)), 1)), 0),
         "&amp;"""インプロビゼーションフィニッシュ(踊りの激情0)"", IF(ISNUMBER(check), INDEX(Skill!$AJ:$AJ, MATCH(SUBSTITUTE(DV$4, 0, check), Skill!$C:$C, 0)), 0),
         IF(
           AND(check=TRUE, REGEXMATCH(assign, ""RANGE_PARTY"")),
           IF(
             OR(ARRAYFORMULA((IF(pr"&amp;"econdition="""", FALSE, REGEXMATCH($K$4:$ED$4, precondition))) * (K76:ED76=TRUE))),
             enhance,
             IF(barrier="""", buff, barrier)
           ),
           0
         )
       ) *
       SWITCH(
         job,
         ""ナイト"", EY$24,
 "&amp;"        ""戦士"", FD$24,
         ""踊り子"", ET$24,
         ""ピクトマンサー"", ET$24,
         ""白魔道士"", EF76 * EH76 * IF(abillity, 1, EG76 * EI76) * (Option!$D$22 * 0.81 / 100),
         ""占星術師"", EF76 * EJ76 * IF(abillity, 1, EG76 * EK76) * (Option!$D$23 * 0.81 "&amp;"/ 100),
         ""学者"", EF76 * EL76 * IF(abillity, 1, EG76 * EM76) * (Option!$D$24 * 0.81 / 100),
         ""賢者"", EF76 * EN76 * IF(abillity, 1, EG76 * EO76) * (Option!$D$25 * 0.81 / 100),
         1
       )
     )
   )
 )"),0.0)</f>
        <v>0</v>
      </c>
      <c r="ER76" s="202">
        <f t="shared" si="4"/>
        <v>0</v>
      </c>
      <c r="ES76" s="203">
        <f t="shared" si="5"/>
        <v>0</v>
      </c>
      <c r="ET76" s="231" t="str">
        <f>IFERROR(__xludf.DUMMYFUNCTION("IFS(
  EP76 &gt; $ET$24 + EQ76,
  SPARKLINE({ 1, 0 }, {""charttype"",""bar"";""max"", 1;""color1"",Option!$D$30;""color2"",Option!$D$30}),
  EP76 &lt; EQ76,
  SPARKLINE({EQ76 - EP76, $ET$24 - (EQ76 - EP76)}, {""charttype"",""bar"";""max"",$ET$24;""color1"",Opti"&amp;"on!$D$28;""color2"",Option!$D$29}),
  EP76 &gt;= EQ76,
  SPARKLINE({$ET$24 + EQ76 - EP76,EP76 - EQ76}, {""charttype"",""bar"";""max"",$ET$24;""color1"",Option!$D$29;""color2"",Option!$D$30})
)"),"")</f>
        <v/>
      </c>
      <c r="EU76" s="205">
        <f>IFERROR(__xludf.DUMMYFUNCTION("PRODUCT(
   MAP(
     IF($F76=""Physical"", K$10:ED$10, IF($F76=""Magic"", K$11:ED$11, K$12:ED$12)),
     IF($F76=""Physical"", K$18:ED$18, IF($F76=""Magic"", K$19:ED$19, K$20:ED$20)),
     K$3:ED$3,
     K$5:ED$5,
     K$17:ED$17,
     K76:ED76,
     LAM"&amp;"BDA(
       mitigation,
       enhance,
       job,
       assign,
       precondition,
       check,
       IF(
         OR(AND(check=TRUE, REGEXMATCH(assign, ""SELF""), job=""ナイト""), AND(check=Option!$E$13, REGEXMATCH(assign, ""SINGLE_PARTY""))),
      "&amp;"   IF(
           OR(ARRAYFORMULA((IF(precondition="""", FALSE, REGEXMATCH($K$4:$ED$4, precondition))) * (K76:ED76=TRUE))),
           enhance,
           mitigation
         ),
         1
       )
     )
   )
 ) * EE76"),1.0)</f>
        <v>1</v>
      </c>
      <c r="EV76" s="206">
        <f t="shared" si="6"/>
        <v>0</v>
      </c>
      <c r="EW76" s="205">
        <f>IFERROR(__xludf.DUMMYFUNCTION("PRODUCT(
   MAP(
     K$3:ED$3,
     K$14:ED$14,
     K$13:ED$13,
     K76:ED76,
     LAMBDA(
       job,
       buff,
       target,
       check,
       IF(
         OR(AND(check=TRUE, REGEXMATCH(target, ""SELF_AFFECTED_ALL""), job=""ナイト""), AND(check=O"&amp;"ption!$E$13, REGEXMATCH(target, ""SINGLE_AFFECTED_ALL""))),
         buff,
         1
       )
     )
   )
 )"),1.0)</f>
        <v>1</v>
      </c>
      <c r="EX76" s="206">
        <f>IFERROR(__xludf.DUMMYFUNCTION("SUM(
   MAP(
     K$3:ED$3,
     K$7:ED$7,
     K$15:ED$15,
     K$16:ED$16,
     K$21:ED$21,
     K$5:ED$5,
     K$17:ED$17,
     K76:ED76,
     LAMBDA(
       job,
       abillity,
       buff,
       barrier,
       enhance,
       assign,
       preco"&amp;"ndition,
       check,
       IF(
         OR(AND(check=TRUE, REGEXMATCH(assign, ""SELF""), job=""ナイト""), AND(check=Option!$E$13, REGEXMATCH(assign, ""SINGLE_PARTY""))),
         IF(
           OR(ARRAYFORMULA((IF(precondition="""", FALSE, REGEXMATCH($K$4"&amp;":$ED$4, precondition))) * (K76:ED76=TRUE))),
           enhance,
           IF(barrier="""", buff, barrier)
         ),
         0
       ) *
       SWITCH(
         job,
         ""暗黒騎士"", EY$24,
         ""白魔道士"", EF76 * EH76 * EW76 * IF(abillity, 1, EG"&amp;"76 * EI76) * (Option!$D$22 * 0.81 / 100),
         ""占星術師"", EF76 * EJ76 * EW76 * IF(abillity, 1, EG76 * EK76) * (Option!$D$23 * 0.81 / 100),
         ""学者"", EF76 * EL76 * EW76 * IF(abillity, 1, EG76 * EM76) * (Option!$D$24 * 0.81 / 100),
         ""賢者"""&amp;", EF76 * EN76 * EW76 * IF(abillity, 1, EG76 * EO76) * (Option!$D$25 * 0.81 / 100),
         1
       )
     )
   )
 ) + EQ76"),0.0)</f>
        <v>0</v>
      </c>
      <c r="EY76" s="232">
        <f t="shared" si="7"/>
        <v>0</v>
      </c>
      <c r="EZ76" s="205">
        <f>IFERROR(__xludf.DUMMYFUNCTION("PRODUCT(
   MAP(
     IF($F76=""Physical"", K$10:ED$10, IF($F76=""Magic"", K$11:ED$11, K$12:ED$12)),
     IF($F76=""Physical"", K$18:ED$18, IF($F76=""Magic"", K$19:ED$19, K$20:ED$20)),
     K$3:ED$3,
     K$5:ED$5,
     K$17:ED$17,
     K76:ED76,
     LAM"&amp;"BDA(
       mitigation,
       enhance,
       job,
       assign,
       precondition,
       check,
       IF(
         OR(AND(check=TRUE, REGEXMATCH(assign, ""SELF""), job=""戦士""), AND(check=Option!$F$13, REGEXMATCH(assign, ""SINGLE_PARTY""))),
       "&amp;"  IF(
           OR(ARRAYFORMULA((IF(precondition="""", FALSE, REGEXMATCH($K$4:$ED$4, precondition))) * (K76:ED76=TRUE))),
           enhance,
           mitigation
         ),
         1
       )
     )
   )
 ) * EE76"),1.0)</f>
        <v>1</v>
      </c>
      <c r="FA76" s="206">
        <f t="shared" si="8"/>
        <v>0</v>
      </c>
      <c r="FB76" s="205">
        <f>IFERROR(__xludf.DUMMYFUNCTION("PRODUCT(
   MAP(
     K$3:ED$3,
     K$14:ED$14,
     K$13:ED$13,
     K76:ED76,
     LAMBDA(
       job,
       buff,
       target,
       check,
       IF(
         OR(AND(check=TRUE, REGEXMATCH(target, ""SELF_AFFECTED_ALL""), job=""戦士""), AND(check=Op"&amp;"tion!$F$13, REGEXMATCH(target, ""SINGLE_AFFECTED_ALL""))),
         buff,
         1
       )
     )
   )
 )"),1.0)</f>
        <v>1</v>
      </c>
      <c r="FC76" s="206">
        <f>IFERROR(__xludf.DUMMYFUNCTION("SUM(
   MAP(
     K$3:ED$3,
     K$7:ED$7,
     K$15:ED$15,
     K$16:ED$16,
     K$21:ED$21,
     K$5:ED$5,
     K$17:ED$17,
     K76:ED76,
     LAMBDA(
       job,
       abillity,
       buff,
       barrier,
       enhance,
       assign,
       preco"&amp;"ndition,
       check,
       IF(
         OR(AND(check=TRUE, REGEXMATCH(assign, ""SELF""), job=""戦士""), AND(check=Option!$F$13, REGEXMATCH(assign, ""SINGLE_PARTY""))),
         IF(
           OR(ARRAYFORMULA((IF(precondition="""", FALSE, REGEXMATCH($K$4:"&amp;"$ED$4, precondition))) * (K76:ED76=TRUE))),
           enhance,
           IF(barrier="""", buff, barrier)
         ),
         0
       ) *
       SWITCH(
         job,
         ""暗黒騎士"", FD$24,
         ""白魔道士"", EF76 * EH76 * FB76 * IF(abillity, 1, EG7"&amp;"6 * EI76) * (Option!$D$22 * 0.81 / 100),
         ""占星術師"", EF76 * EJ76 * FFB76 * IF(abillity, 1, EG76 * EK76) * (Option!$D$23 * 0.81 / 100),
         ""学者"", EF76 * EL76 * FB76 * IF(abillity, 1, EG76 * EM76) * (Option!$D$24 * 0.81 / 100),
         ""賢者"""&amp;", EF76 * EN76 * FB76 * IF(abillity, 1, EG76 * EO76) * (Option!$D$25 * 0.81 / 100),
         1
       )
     )
   )
 ) + EQ76"),0.0)</f>
        <v>0</v>
      </c>
      <c r="FD76" s="206">
        <f t="shared" si="9"/>
        <v>0</v>
      </c>
      <c r="FE76" s="205">
        <f>IFERROR(__xludf.DUMMYFUNCTION("PRODUCT(
   MAP(
     IF($F76=""Physical"", K$10:ED$10, IF($F76=""Magic"", K$11:ED$11, K$12:ED$12)),
     IF($F76=""Physical"", K$18:ED$18, IF($F76=""Magic"", K$19:ED$19, K$20:ED$20)),
     K$3:ED$3,
     K$5:ED$5,
     K$17:ED$17,
     K76:ED76,
     LAM"&amp;"BDA(
       mitigation,
       enhance,
       job,
       assign,
       precondition,
       check,
       IF(
         OR(AND(check=TRUE, REGEXMATCH(assign, ""SELF""), job=""暗黒騎士""), AND(check=Option!$G$13, REGEXMATCH(assign, ""SINGLE_PARTY""))),
     "&amp;"    IF(
           OR(ARRAYFORMULA((IF(precondition="""", FALSE, REGEXMATCH($K$4:$ED$4, precondition))) * (K76:ED76=TRUE))),
           enhance,
           mitigation
         ),
         1
       )
     )
   )
 ) * EE76"),1.0)</f>
        <v>1</v>
      </c>
      <c r="FF76" s="206">
        <f t="shared" si="10"/>
        <v>0</v>
      </c>
      <c r="FG76" s="205">
        <f>IFERROR(__xludf.DUMMYFUNCTION("PRODUCT(
   MAP(
     K$3:ED$3,
     K$14:ED$14,
     K$13:ED$13,
     K76:ED76,
     LAMBDA(
       job,
       buff,
       target,
       check,
       IF(
         OR(AND(check=TRUE, REGEXMATCH(target, ""SELF_AFFECTED_ALL""), job=""暗黒騎士""), AND(check="&amp;"Option!$G$13, REGEXMATCH(target, ""SINGLE_AFFECTED_ALL""))),
         buff,
         1
       )
     )
   )
 )"),1.0)</f>
        <v>1</v>
      </c>
      <c r="FH76" s="206">
        <f>IFERROR(__xludf.DUMMYFUNCTION("SUM(
   MAP(
     K$3:ED$3,
     K$7:ED$7,
     K$15:ED$15,
     K$16:ED$16,
     K$21:ED$21,
     K$5:ED$5,
     K$17:ED$17,
     K76:ED76,
     LAMBDA(
       job,
       abillity,
       buff,
       barrier,
       enhance,
       assign,
       preco"&amp;"ndition,
       check,
       IF(
         OR(AND(check=TRUE, REGEXMATCH(assign, ""SELF""), job=""暗黒騎士""), AND(check=Option!$G$13, REGEXMATCH(assign, ""SINGLE_PARTY""))),
         IF(
           OR(ARRAYFORMULA((IF(precondition="""", FALSE, REGEXMATCH($K$"&amp;"4:$ED$4, precondition))) * (K76:ED76=TRUE))),
           enhance,
           IF(barrier="""", buff, barrier)
         ),
         0
       ) *
       SWITCH(
         job,
         ""暗黒騎士"", FI$24,
         ""白魔道士"", EF76 * EH76 * FG76 * IF(abillity, 1, E"&amp;"G76 * EI76) * (Option!$D$22 * 0.81 / 100),
         ""占星術師"", EF76 * EJ76 * FG76 * IF(abillity, 1, EG76 * EK76) * (Option!$D$23 * 0.81 / 100),
         ""学者"", EF76 * EL76 * FG76 * IF(abillity, 1, EG76 * EM76) * (Option!$D$24 * 0.81 / 100),
         ""賢者"&amp;""", EF76 * EN76 * FG76 * IF(abillity, 1, EG76 * EO76) * (Option!$D$25 * 0.81 / 100),
         1
       )
     )
   )
 ) + EQ76"),0.0)</f>
        <v>0</v>
      </c>
      <c r="FI76" s="206">
        <f t="shared" si="11"/>
        <v>0</v>
      </c>
      <c r="FJ76" s="205">
        <f>IFERROR(__xludf.DUMMYFUNCTION("PRODUCT(
   MAP(
     IF($F76=""Physical"", K$10:ED$10, IF($F76=""Magic"", K$11:ED$11, K$12:ED$12)),
     IF($F76=""Physical"", K$18:ED$18, IF($F76=""Magic"", K$19:ED$19, K$20:ED$20)),
     K$3:ED$3,
     K$5:ED$5,
     K$17:ED$17,
     K76:ED76,
     LAM"&amp;"BDA(
       mitigation,
       enhance,
       job,
       assign,
       precondition,
       check,
       IF(
         OR(AND(check=TRUE, REGEXMATCH(assign, ""SELF""), job=""ガンブレイカー""), AND(check=Option!$H$13, REGEXMATCH(assign, ""SINGLE_PARTY""))),
  "&amp;"       IF(
           OR(ARRAYFORMULA((IF(precondition="""", FALSE, REGEXMATCH($K$4:$ED$4, precondition))) * (K76:ED76=TRUE))),
           enhance,
           mitigation
         ),
         1
       )
     )
   )
 ) * EE76"),1.0)</f>
        <v>1</v>
      </c>
      <c r="FK76" s="206">
        <f t="shared" si="12"/>
        <v>0</v>
      </c>
      <c r="FL76" s="205">
        <f>IFERROR(__xludf.DUMMYFUNCTION("PRODUCT(
   MAP(
     K$3:ED$3,
     K$14:ED$14,
     K$13:ED$13,
     K76:ED76,
     LAMBDA(
       job,
       buff,
       target,
       check,
       IF(
         OR(AND(check=TRUE, REGEXMATCH(target, ""SELF_AFFECTED_ALL""), job=""ガンブレイカー""), AND(che"&amp;"ck=Option!$H$13, REGEXMATCH(target, ""SINGLE_AFFECTED_ALL""))),
         buff,
         1
       )
     )
   )
 )"),1.0)</f>
        <v>1</v>
      </c>
      <c r="FM76" s="206">
        <f>IFERROR(__xludf.DUMMYFUNCTION("SUM(
   MAP(
     K$3:ED$3,
     K$7:ED$7,
     K$15:ED$15,
     K$16:ED$16,
     K$21:ED$21,
     K$5:ED$5,
     K$17:ED$17,
     K76:ED76,
     LAMBDA(
       job,
       abillity,
       buff,
       barrier,
       enhance,
       assign,
       preco"&amp;"ndition,
       check,
       IF(
         OR(AND(check=TRUE, REGEXMATCH(assign, ""SELF""), job=""ガンブレイカー""), AND(check=Option!$H$13, REGEXMATCH(assign, ""SINGLE_PARTY""))),
         IF(
           OR(ARRAYFORMULA((IF(precondition="""", FALSE, REGEXMATCH("&amp;"$K$4:$ED$4, precondition))) * (K76:ED76=TRUE))),
           enhance,
           IF(barrier="""", buff, barrier)
         ),
         0
       ) *
       SWITCH(
         job,
         ""暗黒騎士"", FN$24,
         ""白魔道士"", EF76 * EH76 * FL76 * IF(abillity, 1"&amp;", EG76 * EI76) * (Option!$D$22 * 0.81 / 100),
         ""占星術師"", EF76 * EJ76 * FL76 * IF(abillity, 1, EG76 * EK76) * (Option!$D$23 * 0.81 / 100),
         ""学者"", EF76 * EL76 * FL76 * IF(abillity, 1, EG76 * EM76) * (Option!$D$24 * 0.81 / 100),
         """&amp;"賢者"", EF76 * EN76 * FL76 * IF(abillity, 1, EG76 * EO76) * (Option!$D$25 * 0.81 / 100),
         1
       )
     )
   )
 ) + EQ76"),0.0)</f>
        <v>0</v>
      </c>
      <c r="FN76" s="206">
        <f t="shared" si="13"/>
        <v>0</v>
      </c>
      <c r="FO76" s="213"/>
    </row>
    <row r="77">
      <c r="C77" s="65"/>
      <c r="D77" s="65"/>
      <c r="G77" s="66"/>
      <c r="H77" s="4"/>
      <c r="I77" s="4"/>
      <c r="J77" s="4"/>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8"/>
      <c r="DJ77" s="66"/>
      <c r="DK77" s="66"/>
      <c r="DL77" s="66"/>
      <c r="DM77" s="66"/>
      <c r="DN77" s="66"/>
      <c r="DO77" s="66"/>
      <c r="DP77" s="66"/>
      <c r="DQ77" s="66"/>
      <c r="DR77" s="66"/>
      <c r="DS77" s="66"/>
      <c r="DT77" s="66"/>
      <c r="DU77" s="66"/>
      <c r="DV77" s="66"/>
      <c r="DW77" s="66"/>
      <c r="DX77" s="66"/>
      <c r="DY77" s="66"/>
      <c r="DZ77" s="66"/>
      <c r="EA77" s="69"/>
      <c r="EB77" s="66"/>
      <c r="EC77" s="66"/>
      <c r="ED77" s="66"/>
      <c r="EE77" s="3"/>
      <c r="EF77" s="4"/>
      <c r="EG77" s="4"/>
      <c r="EH77" s="4"/>
      <c r="EI77" s="4"/>
      <c r="EJ77" s="4"/>
      <c r="EK77" s="4"/>
      <c r="EL77" s="4"/>
      <c r="EM77" s="4"/>
      <c r="EN77" s="4"/>
      <c r="EO77" s="4"/>
      <c r="EP77" s="4"/>
      <c r="EQ77" s="70"/>
      <c r="ER77" s="70"/>
      <c r="ES77" s="70"/>
      <c r="ET77" s="70"/>
      <c r="EU77" s="71"/>
      <c r="EV77" s="70"/>
      <c r="EW77" s="70"/>
      <c r="EX77" s="70"/>
      <c r="EY77" s="70"/>
      <c r="EZ77" s="71"/>
      <c r="FA77" s="70"/>
      <c r="FB77" s="70"/>
      <c r="FC77" s="70"/>
      <c r="FD77" s="70"/>
      <c r="FE77" s="71"/>
      <c r="FF77" s="70"/>
      <c r="FG77" s="70"/>
      <c r="FH77" s="70"/>
      <c r="FI77" s="70"/>
      <c r="FJ77" s="71"/>
      <c r="FK77" s="70"/>
      <c r="FL77" s="70"/>
      <c r="FM77" s="70"/>
      <c r="FN77" s="70"/>
      <c r="FO77" s="70"/>
    </row>
  </sheetData>
  <mergeCells count="43">
    <mergeCell ref="BY23:CS23"/>
    <mergeCell ref="CT23:DI23"/>
    <mergeCell ref="EE23:EE24"/>
    <mergeCell ref="EF23:EG23"/>
    <mergeCell ref="EH23:EI23"/>
    <mergeCell ref="EJ23:EK23"/>
    <mergeCell ref="EL23:EM23"/>
    <mergeCell ref="EN23:EO23"/>
    <mergeCell ref="EP23:EP24"/>
    <mergeCell ref="EQ23:EQ24"/>
    <mergeCell ref="AF24:AG24"/>
    <mergeCell ref="AZ24:BA24"/>
    <mergeCell ref="BB24:BC24"/>
    <mergeCell ref="BS24:BT24"/>
    <mergeCell ref="B22:B24"/>
    <mergeCell ref="C22:D24"/>
    <mergeCell ref="E22:E24"/>
    <mergeCell ref="F22:G24"/>
    <mergeCell ref="H22:J23"/>
    <mergeCell ref="K22:ED22"/>
    <mergeCell ref="ER22:ES23"/>
    <mergeCell ref="BV24:BW24"/>
    <mergeCell ref="EE22:EQ22"/>
    <mergeCell ref="EU22:EX22"/>
    <mergeCell ref="EZ22:FC22"/>
    <mergeCell ref="FE22:FH22"/>
    <mergeCell ref="FJ22:FM22"/>
    <mergeCell ref="K23:S23"/>
    <mergeCell ref="T23:AB23"/>
    <mergeCell ref="AC23:AK23"/>
    <mergeCell ref="AL23:AR23"/>
    <mergeCell ref="AS23:BD23"/>
    <mergeCell ref="BE23:BX23"/>
    <mergeCell ref="DJ23:DK23"/>
    <mergeCell ref="DQ23:DR23"/>
    <mergeCell ref="DS23:DT23"/>
    <mergeCell ref="DU23:DV23"/>
    <mergeCell ref="DY23:DZ23"/>
    <mergeCell ref="EA23:EC23"/>
    <mergeCell ref="EU23:EY23"/>
    <mergeCell ref="EZ23:FD23"/>
    <mergeCell ref="FE23:FI23"/>
    <mergeCell ref="FJ23:FN23"/>
  </mergeCells>
  <conditionalFormatting sqref="K25:ED76">
    <cfRule type="expression" dxfId="7" priority="1">
      <formula>OR(COUNTIFS($D$25:$D25,"&gt;"&amp;$D25 - K$8/(60*60*24), K$25:K25, "=TRUE", K$24:K24, "&lt;&gt;TRUE"), COUNTIFS($D$25:$D25,"&gt;"&amp;$D25 - K$8/(60*60*24), K$25:K25, "&lt;&gt;TRUE", K$25:K25, "&lt;&gt;FALSE", K$25:K25, "&lt;&gt;-", K$24:K24, "=-"), IF(ISBLANK($K10), COUNTIFS(#REF!,"&gt;"&amp;$D25 - K$8/(60*60*24), #REF!, "&lt;&gt;TRUE", #REF!, "&lt;&gt;FALSE", #REF!, "&lt;&gt;-"), 0))</formula>
    </cfRule>
  </conditionalFormatting>
  <conditionalFormatting sqref="K25:ED76">
    <cfRule type="expression" dxfId="8" priority="2">
      <formula>IF(K$6&gt;1, 0, COUNTIFS($D$25:$D25,"&gt;"&amp;$D25 - K$9/(60*60*24), K$25:K25, "=TRUE", K$24:K24, "&lt;&gt;TRUE")+COUNTIFS($D$25:$D25,"&gt;"&amp;$D25 - K$9/(60*60*24), K$25:K25, "&lt;&gt;TRUE", K$25:K25, "&lt;&gt;FALSE", K$25:K25, "&lt;&gt;-", K$24:K24, "=-")+COUNTIFS(#REF!,"&gt;"&amp;$D25 - K$9/(60*60*24), #REF!, "&lt;&gt;TRUE", #REF!, "&lt;&gt;FALSE", #REF!, "&lt;&gt;-")) &gt;0</formula>
    </cfRule>
  </conditionalFormatting>
  <conditionalFormatting sqref="K25:ED76">
    <cfRule type="expression" dxfId="8" priority="3">
      <formula>AND(K$6 &gt; 1, L25 = 0)</formula>
    </cfRule>
  </conditionalFormatting>
  <conditionalFormatting sqref="K25:ED76">
    <cfRule type="expression" dxfId="9" priority="4">
      <formula>AND(K$6 &gt; 1, L25 &lt; K$6)</formula>
    </cfRule>
  </conditionalFormatting>
  <conditionalFormatting sqref="E25:E76">
    <cfRule type="containsText" dxfId="10" priority="5" operator="containsText" text="AA">
      <formula>NOT(ISERROR(SEARCH(("AA"),(E25))))</formula>
    </cfRule>
  </conditionalFormatting>
  <dataValidations>
    <dataValidation type="list" allowBlank="1" sqref="F25:F76">
      <formula1>"Physical,Magic,Unique"</formula1>
    </dataValidation>
    <dataValidation type="list" allowBlank="1" showErrorMessage="1" sqref="DV25:DV76">
      <formula1>"-,0,1,2,3,4"</formula1>
    </dataValidation>
    <dataValidation type="list" allowBlank="1" sqref="N25:N76 V25:V76 AE25:AF76 AN25:AN76 AY25:AZ76 BB25:BB76 BD25:BD76 BO25:BS76 BU25:BV76 BX25:BX76 CM25:CQ76 DD25:DG76">
      <formula1>Option!$D$14:$X$14</formula1>
    </dataValidation>
  </dataValidations>
  <drawing r:id="rId1"/>
  <tableParts count="2">
    <tablePart r:id="rId4"/>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24.0" topLeftCell="F25" activePane="bottomRight" state="frozen"/>
      <selection activeCell="F1" sqref="F1" pane="topRight"/>
      <selection activeCell="A25" sqref="A25" pane="bottomLeft"/>
      <selection activeCell="F25" sqref="F25" pane="bottomRight"/>
    </sheetView>
  </sheetViews>
  <sheetFormatPr customHeight="1" defaultColWidth="12.63" defaultRowHeight="15.75"/>
  <cols>
    <col customWidth="1" min="1" max="1" width="2.63"/>
    <col customWidth="1" min="2" max="4" width="6.38"/>
    <col customWidth="1" min="5" max="5" width="41.38"/>
    <col customWidth="1" min="6" max="6" width="10.38"/>
    <col customWidth="1" min="7" max="7" width="2.88"/>
    <col customWidth="1" min="8" max="8" width="9.5"/>
    <col customWidth="1" min="9" max="9" width="8.88"/>
    <col customWidth="1" min="10" max="10" width="3.88"/>
    <col customWidth="1" min="11" max="13" width="3.25"/>
    <col customWidth="1" min="14" max="14" width="6.38"/>
    <col customWidth="1" min="15" max="19" width="3.25"/>
    <col customWidth="1" hidden="1" min="20" max="21" width="3.25"/>
    <col customWidth="1" hidden="1" min="22" max="22" width="6.38"/>
    <col customWidth="1" hidden="1" min="23" max="28" width="3.25"/>
    <col customWidth="1" min="29" max="30" width="3.25"/>
    <col customWidth="1" min="31" max="32" width="6.38"/>
    <col customWidth="1" min="33" max="37" width="3.25"/>
    <col customWidth="1" hidden="1" min="38" max="39" width="3.25"/>
    <col customWidth="1" hidden="1" min="40" max="40" width="6.38"/>
    <col customWidth="1" hidden="1" min="41" max="50" width="3.25"/>
    <col customWidth="1" hidden="1" min="51" max="52" width="6.38"/>
    <col customWidth="1" hidden="1" min="53" max="53" width="3.25"/>
    <col customWidth="1" hidden="1" min="54" max="54" width="6.38"/>
    <col customWidth="1" hidden="1" min="55" max="55" width="3.25"/>
    <col customWidth="1" hidden="1" min="56" max="56" width="6.38"/>
    <col customWidth="1" min="57" max="64" width="3.25"/>
    <col customWidth="1" hidden="1" min="65" max="66" width="3.25"/>
    <col customWidth="1" hidden="1" min="67" max="71" width="6.38"/>
    <col customWidth="1" hidden="1" min="72" max="72" width="3.25"/>
    <col customWidth="1" hidden="1" min="73" max="74" width="6.38"/>
    <col customWidth="1" hidden="1" min="75" max="75" width="3.25"/>
    <col customWidth="1" hidden="1" min="76" max="76" width="6.38"/>
    <col customWidth="1" min="77" max="80" width="3.25"/>
    <col customWidth="1" hidden="1" min="81" max="81" width="3.25"/>
    <col customWidth="1" min="82" max="89" width="3.25"/>
    <col customWidth="1" hidden="1" min="90" max="90" width="3.25"/>
    <col customWidth="1" hidden="1" min="91" max="95" width="6.38"/>
    <col customWidth="1" min="96" max="96" width="3.25"/>
    <col customWidth="1" min="97" max="97" width="5.75"/>
    <col customWidth="1" hidden="1" min="98" max="107" width="3.25"/>
    <col customWidth="1" hidden="1" min="108" max="111" width="6.38"/>
    <col customWidth="1" hidden="1" min="112" max="112" width="3.25"/>
    <col customWidth="1" hidden="1" min="113" max="113" width="5.75"/>
    <col customWidth="1" hidden="1" min="114" max="117" width="3.25"/>
    <col customWidth="1" min="118" max="118" width="3.25"/>
    <col customWidth="1" hidden="1" min="119" max="120" width="3.25"/>
    <col customWidth="1" min="121" max="122" width="3.25"/>
    <col customWidth="1" hidden="1" min="123" max="125" width="3.25"/>
    <col customWidth="1" hidden="1" min="126" max="126" width="3.88"/>
    <col customWidth="1" hidden="1" min="127" max="127" width="3.25"/>
    <col customWidth="1" min="128" max="130" width="3.25"/>
    <col customWidth="1" hidden="1" min="131" max="133" width="3.25"/>
    <col customWidth="1" min="134" max="134" width="3.25"/>
    <col customWidth="1" hidden="1" min="135" max="147" width="8.88"/>
    <col customWidth="1" min="148" max="149" width="9.5"/>
    <col customWidth="1" min="150" max="150" width="13.5"/>
    <col customWidth="1" hidden="1" min="151" max="154" width="8.88"/>
    <col customWidth="1" min="155" max="155" width="13.5"/>
    <col customWidth="1" hidden="1" min="156" max="159" width="8.88"/>
    <col customWidth="1" min="160" max="160" width="13.5"/>
    <col customWidth="1" hidden="1" min="161" max="164" width="8.88"/>
    <col customWidth="1" min="165" max="165" width="13.5"/>
    <col customWidth="1" hidden="1" min="166" max="169" width="8.88"/>
    <col customWidth="1" min="170" max="171" width="13.5"/>
  </cols>
  <sheetData>
    <row r="1" hidden="1">
      <c r="B1" s="1"/>
      <c r="C1" s="65"/>
      <c r="D1" s="65"/>
      <c r="G1" s="66"/>
      <c r="H1" s="4"/>
      <c r="I1" s="4"/>
      <c r="J1" s="4"/>
      <c r="K1" s="66"/>
      <c r="L1" s="66"/>
      <c r="M1" s="66"/>
      <c r="N1" s="66"/>
      <c r="O1" s="66"/>
      <c r="P1" s="66"/>
      <c r="Q1" s="66"/>
      <c r="R1" s="66"/>
      <c r="S1" s="66"/>
      <c r="T1" s="66"/>
      <c r="U1" s="66"/>
      <c r="V1" s="66"/>
      <c r="W1" s="66"/>
      <c r="X1" s="66"/>
      <c r="Y1" s="66"/>
      <c r="Z1" s="66"/>
      <c r="AA1" s="66"/>
      <c r="AB1" s="66"/>
      <c r="AC1" s="66"/>
      <c r="AD1" s="66"/>
      <c r="AE1" s="66"/>
      <c r="AF1" s="66"/>
      <c r="AG1" s="66"/>
      <c r="AH1" s="66"/>
      <c r="AI1" s="66"/>
      <c r="AJ1" s="66"/>
      <c r="AK1" s="66"/>
      <c r="AL1" s="66"/>
      <c r="AM1" s="67" t="s">
        <v>1035</v>
      </c>
      <c r="AN1" s="66"/>
      <c r="AO1" s="66"/>
      <c r="AP1" s="66"/>
      <c r="AQ1" s="66"/>
      <c r="AR1" s="66"/>
      <c r="AS1" s="66"/>
      <c r="AT1" s="66"/>
      <c r="AU1" s="66"/>
      <c r="AV1" s="66"/>
      <c r="AW1" s="66"/>
      <c r="AX1" s="66"/>
      <c r="AY1" s="66"/>
      <c r="AZ1" s="66"/>
      <c r="BA1" s="66"/>
      <c r="BB1" s="66"/>
      <c r="BC1" s="66"/>
      <c r="BD1" s="66"/>
      <c r="BE1" s="66"/>
      <c r="BF1" s="66"/>
      <c r="BG1" s="66"/>
      <c r="BH1" s="66"/>
      <c r="BI1" s="66"/>
      <c r="BJ1" s="66"/>
      <c r="BK1" s="66"/>
      <c r="BL1" s="66"/>
      <c r="BM1" s="66"/>
      <c r="BN1" s="66"/>
      <c r="BO1" s="66"/>
      <c r="BP1" s="66"/>
      <c r="BQ1" s="66"/>
      <c r="BR1" s="66"/>
      <c r="BS1" s="66"/>
      <c r="BT1" s="66"/>
      <c r="BU1" s="66"/>
      <c r="BV1" s="66"/>
      <c r="BW1" s="66"/>
      <c r="BX1" s="66"/>
      <c r="BY1" s="66"/>
      <c r="BZ1" s="66"/>
      <c r="CA1" s="66"/>
      <c r="CB1" s="66"/>
      <c r="CC1" s="66"/>
      <c r="CD1" s="66"/>
      <c r="CE1" s="66"/>
      <c r="CF1" s="66"/>
      <c r="CG1" s="66"/>
      <c r="CH1" s="66"/>
      <c r="CI1" s="66"/>
      <c r="CJ1" s="66"/>
      <c r="CK1" s="66"/>
      <c r="CL1" s="66"/>
      <c r="CM1" s="66"/>
      <c r="CN1" s="66"/>
      <c r="CO1" s="66"/>
      <c r="CP1" s="66"/>
      <c r="CQ1" s="66"/>
      <c r="CR1" s="66"/>
      <c r="CS1" s="66"/>
      <c r="CT1" s="66"/>
      <c r="CU1" s="66"/>
      <c r="CV1" s="66"/>
      <c r="CW1" s="66"/>
      <c r="CX1" s="66"/>
      <c r="CY1" s="66"/>
      <c r="CZ1" s="66"/>
      <c r="DA1" s="66"/>
      <c r="DB1" s="66"/>
      <c r="DC1" s="66"/>
      <c r="DD1" s="66"/>
      <c r="DE1" s="66"/>
      <c r="DF1" s="66"/>
      <c r="DG1" s="66"/>
      <c r="DH1" s="66"/>
      <c r="DI1" s="68"/>
      <c r="DJ1" s="66"/>
      <c r="DK1" s="66"/>
      <c r="DL1" s="66"/>
      <c r="DM1" s="66"/>
      <c r="DN1" s="66"/>
      <c r="DO1" s="66"/>
      <c r="DP1" s="66"/>
      <c r="DQ1" s="66"/>
      <c r="DR1" s="66"/>
      <c r="DS1" s="66"/>
      <c r="DT1" s="66"/>
      <c r="DU1" s="66"/>
      <c r="DV1" s="66"/>
      <c r="DW1" s="66"/>
      <c r="DX1" s="66"/>
      <c r="DY1" s="66"/>
      <c r="DZ1" s="66"/>
      <c r="EA1" s="69"/>
      <c r="EB1" s="66"/>
      <c r="EC1" s="66"/>
      <c r="ED1" s="66"/>
      <c r="EE1" s="3"/>
      <c r="EF1" s="4"/>
      <c r="EG1" s="4"/>
      <c r="EH1" s="4"/>
      <c r="EI1" s="4"/>
      <c r="EJ1" s="4"/>
      <c r="EK1" s="4"/>
      <c r="EL1" s="4"/>
      <c r="EM1" s="4"/>
      <c r="EN1" s="4"/>
      <c r="EO1" s="4"/>
      <c r="EP1" s="4"/>
      <c r="EQ1" s="70"/>
      <c r="ER1" s="70"/>
      <c r="ES1" s="70"/>
      <c r="ET1" s="70"/>
      <c r="EU1" s="71"/>
      <c r="EV1" s="70"/>
      <c r="EW1" s="70"/>
      <c r="EX1" s="70"/>
      <c r="EY1" s="70"/>
      <c r="EZ1" s="71"/>
      <c r="FA1" s="70"/>
      <c r="FB1" s="70"/>
      <c r="FC1" s="70"/>
      <c r="FD1" s="70"/>
      <c r="FE1" s="71"/>
      <c r="FF1" s="70"/>
      <c r="FG1" s="70"/>
      <c r="FH1" s="70"/>
      <c r="FI1" s="70"/>
      <c r="FJ1" s="71"/>
      <c r="FK1" s="70"/>
      <c r="FL1" s="70"/>
      <c r="FM1" s="70"/>
      <c r="FN1" s="70"/>
      <c r="FO1" s="70"/>
    </row>
    <row r="2" hidden="1">
      <c r="B2" s="72" t="s">
        <v>1036</v>
      </c>
      <c r="C2" s="73" t="s">
        <v>1037</v>
      </c>
      <c r="D2" s="74" t="s">
        <v>1038</v>
      </c>
      <c r="E2" s="73" t="s">
        <v>1039</v>
      </c>
      <c r="F2" s="73" t="s">
        <v>1040</v>
      </c>
      <c r="G2" s="73" t="s">
        <v>1040</v>
      </c>
      <c r="H2" s="75" t="s">
        <v>1041</v>
      </c>
      <c r="I2" s="75" t="s">
        <v>1041</v>
      </c>
      <c r="J2" s="75" t="s">
        <v>1041</v>
      </c>
      <c r="K2" s="76" t="s">
        <v>1042</v>
      </c>
      <c r="L2" s="76" t="s">
        <v>1042</v>
      </c>
      <c r="M2" s="76" t="s">
        <v>1043</v>
      </c>
      <c r="N2" s="76" t="s">
        <v>1042</v>
      </c>
      <c r="O2" s="76" t="s">
        <v>1042</v>
      </c>
      <c r="P2" s="76" t="s">
        <v>1042</v>
      </c>
      <c r="Q2" s="76" t="s">
        <v>1042</v>
      </c>
      <c r="R2" s="76" t="s">
        <v>1042</v>
      </c>
      <c r="S2" s="76" t="s">
        <v>1042</v>
      </c>
      <c r="T2" s="76" t="s">
        <v>1042</v>
      </c>
      <c r="U2" s="76" t="s">
        <v>1043</v>
      </c>
      <c r="V2" s="76" t="s">
        <v>1042</v>
      </c>
      <c r="W2" s="76" t="s">
        <v>1042</v>
      </c>
      <c r="X2" s="76" t="s">
        <v>1042</v>
      </c>
      <c r="Y2" s="76" t="s">
        <v>1042</v>
      </c>
      <c r="Z2" s="76" t="s">
        <v>1042</v>
      </c>
      <c r="AA2" s="76" t="s">
        <v>28</v>
      </c>
      <c r="AB2" s="76" t="s">
        <v>1042</v>
      </c>
      <c r="AC2" s="76" t="s">
        <v>1042</v>
      </c>
      <c r="AD2" s="76" t="s">
        <v>1042</v>
      </c>
      <c r="AE2" s="76" t="s">
        <v>1043</v>
      </c>
      <c r="AF2" s="76" t="s">
        <v>1042</v>
      </c>
      <c r="AG2" s="76" t="s">
        <v>1042</v>
      </c>
      <c r="AH2" s="76" t="s">
        <v>1042</v>
      </c>
      <c r="AI2" s="76" t="s">
        <v>1042</v>
      </c>
      <c r="AJ2" s="76" t="s">
        <v>1042</v>
      </c>
      <c r="AK2" s="76" t="s">
        <v>1042</v>
      </c>
      <c r="AL2" s="76" t="s">
        <v>1042</v>
      </c>
      <c r="AM2" s="76" t="s">
        <v>1042</v>
      </c>
      <c r="AN2" s="76" t="s">
        <v>1042</v>
      </c>
      <c r="AO2" s="76" t="s">
        <v>1042</v>
      </c>
      <c r="AP2" s="76" t="s">
        <v>1042</v>
      </c>
      <c r="AQ2" s="76" t="s">
        <v>1042</v>
      </c>
      <c r="AR2" s="76" t="s">
        <v>1042</v>
      </c>
      <c r="AS2" s="76" t="s">
        <v>1042</v>
      </c>
      <c r="AT2" s="76" t="s">
        <v>1043</v>
      </c>
      <c r="AU2" s="76" t="s">
        <v>28</v>
      </c>
      <c r="AV2" s="76" t="s">
        <v>28</v>
      </c>
      <c r="AW2" s="76" t="s">
        <v>28</v>
      </c>
      <c r="AX2" s="76" t="s">
        <v>28</v>
      </c>
      <c r="AY2" s="76" t="s">
        <v>1042</v>
      </c>
      <c r="AZ2" s="76" t="s">
        <v>1043</v>
      </c>
      <c r="BA2" s="76" t="s">
        <v>1043</v>
      </c>
      <c r="BB2" s="76" t="s">
        <v>28</v>
      </c>
      <c r="BC2" s="76" t="s">
        <v>28</v>
      </c>
      <c r="BD2" s="76" t="s">
        <v>28</v>
      </c>
      <c r="BE2" s="76" t="s">
        <v>1042</v>
      </c>
      <c r="BF2" s="76" t="s">
        <v>28</v>
      </c>
      <c r="BG2" s="76" t="s">
        <v>1042</v>
      </c>
      <c r="BH2" s="76" t="s">
        <v>1043</v>
      </c>
      <c r="BI2" s="76" t="s">
        <v>28</v>
      </c>
      <c r="BJ2" s="76" t="s">
        <v>28</v>
      </c>
      <c r="BK2" s="76" t="s">
        <v>28</v>
      </c>
      <c r="BL2" s="76" t="s">
        <v>28</v>
      </c>
      <c r="BM2" s="76" t="s">
        <v>1042</v>
      </c>
      <c r="BN2" s="76" t="s">
        <v>1042</v>
      </c>
      <c r="BO2" s="76" t="s">
        <v>1042</v>
      </c>
      <c r="BP2" s="76" t="s">
        <v>1042</v>
      </c>
      <c r="BQ2" s="76" t="s">
        <v>1042</v>
      </c>
      <c r="BR2" s="76" t="s">
        <v>1042</v>
      </c>
      <c r="BS2" s="76" t="s">
        <v>28</v>
      </c>
      <c r="BT2" s="76" t="s">
        <v>28</v>
      </c>
      <c r="BU2" s="76" t="s">
        <v>1042</v>
      </c>
      <c r="BV2" s="76" t="s">
        <v>1043</v>
      </c>
      <c r="BW2" s="76" t="s">
        <v>1043</v>
      </c>
      <c r="BX2" s="76" t="s">
        <v>1043</v>
      </c>
      <c r="BY2" s="76" t="s">
        <v>1042</v>
      </c>
      <c r="BZ2" s="76" t="s">
        <v>1042</v>
      </c>
      <c r="CA2" s="76" t="s">
        <v>1042</v>
      </c>
      <c r="CB2" s="76" t="s">
        <v>1043</v>
      </c>
      <c r="CC2" s="76" t="s">
        <v>1043</v>
      </c>
      <c r="CD2" s="76" t="s">
        <v>28</v>
      </c>
      <c r="CE2" s="76" t="s">
        <v>28</v>
      </c>
      <c r="CF2" s="76" t="s">
        <v>28</v>
      </c>
      <c r="CG2" s="76" t="s">
        <v>1043</v>
      </c>
      <c r="CH2" s="76" t="s">
        <v>1043</v>
      </c>
      <c r="CI2" s="76" t="s">
        <v>28</v>
      </c>
      <c r="CJ2" s="76" t="s">
        <v>28</v>
      </c>
      <c r="CK2" s="76" t="s">
        <v>1042</v>
      </c>
      <c r="CL2" s="76" t="s">
        <v>1043</v>
      </c>
      <c r="CM2" s="76" t="s">
        <v>1043</v>
      </c>
      <c r="CN2" s="76" t="s">
        <v>28</v>
      </c>
      <c r="CO2" s="76" t="s">
        <v>1042</v>
      </c>
      <c r="CP2" s="76" t="s">
        <v>1043</v>
      </c>
      <c r="CQ2" s="76" t="s">
        <v>1043</v>
      </c>
      <c r="CR2" s="76" t="s">
        <v>28</v>
      </c>
      <c r="CS2" s="76"/>
      <c r="CT2" s="76" t="s">
        <v>1042</v>
      </c>
      <c r="CU2" s="76" t="s">
        <v>1042</v>
      </c>
      <c r="CV2" s="76" t="s">
        <v>1043</v>
      </c>
      <c r="CW2" s="76" t="s">
        <v>1043</v>
      </c>
      <c r="CX2" s="76" t="s">
        <v>28</v>
      </c>
      <c r="CY2" s="76" t="s">
        <v>28</v>
      </c>
      <c r="CZ2" s="76" t="s">
        <v>28</v>
      </c>
      <c r="DA2" s="76" t="s">
        <v>28</v>
      </c>
      <c r="DB2" s="76" t="s">
        <v>28</v>
      </c>
      <c r="DC2" s="76" t="s">
        <v>28</v>
      </c>
      <c r="DD2" s="76" t="s">
        <v>28</v>
      </c>
      <c r="DE2" s="76" t="s">
        <v>1042</v>
      </c>
      <c r="DF2" s="76" t="s">
        <v>1043</v>
      </c>
      <c r="DG2" s="76" t="s">
        <v>1043</v>
      </c>
      <c r="DH2" s="76" t="s">
        <v>28</v>
      </c>
      <c r="DI2" s="77"/>
      <c r="DJ2" s="76" t="s">
        <v>1042</v>
      </c>
      <c r="DK2" s="76" t="s">
        <v>28</v>
      </c>
      <c r="DL2" s="76" t="s">
        <v>1042</v>
      </c>
      <c r="DM2" s="76" t="s">
        <v>1042</v>
      </c>
      <c r="DN2" s="76" t="s">
        <v>1042</v>
      </c>
      <c r="DO2" s="76" t="s">
        <v>1042</v>
      </c>
      <c r="DP2" s="76" t="s">
        <v>1042</v>
      </c>
      <c r="DQ2" s="76" t="s">
        <v>1042</v>
      </c>
      <c r="DR2" s="76" t="s">
        <v>28</v>
      </c>
      <c r="DS2" s="76" t="s">
        <v>1042</v>
      </c>
      <c r="DT2" s="76" t="s">
        <v>1042</v>
      </c>
      <c r="DU2" s="76" t="s">
        <v>1042</v>
      </c>
      <c r="DV2" s="76" t="s">
        <v>1043</v>
      </c>
      <c r="DW2" s="76" t="s">
        <v>1042</v>
      </c>
      <c r="DX2" s="76" t="s">
        <v>1042</v>
      </c>
      <c r="DY2" s="76" t="s">
        <v>1042</v>
      </c>
      <c r="DZ2" s="76" t="s">
        <v>1042</v>
      </c>
      <c r="EA2" s="78" t="s">
        <v>1042</v>
      </c>
      <c r="EB2" s="76" t="s">
        <v>1043</v>
      </c>
      <c r="EC2" s="76" t="s">
        <v>1043</v>
      </c>
      <c r="ED2" s="76" t="s">
        <v>1042</v>
      </c>
      <c r="EE2" s="75" t="s">
        <v>1042</v>
      </c>
      <c r="EF2" s="75" t="s">
        <v>28</v>
      </c>
      <c r="EG2" s="75" t="s">
        <v>28</v>
      </c>
      <c r="EH2" s="75" t="s">
        <v>28</v>
      </c>
      <c r="EI2" s="75" t="s">
        <v>28</v>
      </c>
      <c r="EJ2" s="75" t="s">
        <v>28</v>
      </c>
      <c r="EK2" s="75" t="s">
        <v>28</v>
      </c>
      <c r="EL2" s="75" t="s">
        <v>28</v>
      </c>
      <c r="EM2" s="75" t="s">
        <v>28</v>
      </c>
      <c r="EN2" s="75" t="s">
        <v>28</v>
      </c>
      <c r="EO2" s="75" t="s">
        <v>28</v>
      </c>
      <c r="EP2" s="75" t="s">
        <v>1042</v>
      </c>
      <c r="EQ2" s="75" t="s">
        <v>1043</v>
      </c>
      <c r="ER2" s="75" t="s">
        <v>1041</v>
      </c>
      <c r="ES2" s="75" t="s">
        <v>1041</v>
      </c>
      <c r="ET2" s="75"/>
      <c r="EU2" s="79" t="s">
        <v>1042</v>
      </c>
      <c r="EV2" s="75" t="s">
        <v>1042</v>
      </c>
      <c r="EW2" s="75" t="s">
        <v>28</v>
      </c>
      <c r="EX2" s="75" t="s">
        <v>1043</v>
      </c>
      <c r="EY2" s="75"/>
      <c r="EZ2" s="79" t="s">
        <v>1042</v>
      </c>
      <c r="FA2" s="75" t="s">
        <v>1042</v>
      </c>
      <c r="FB2" s="75" t="s">
        <v>28</v>
      </c>
      <c r="FC2" s="75" t="s">
        <v>1043</v>
      </c>
      <c r="FD2" s="75"/>
      <c r="FE2" s="79" t="s">
        <v>1042</v>
      </c>
      <c r="FF2" s="75" t="s">
        <v>1042</v>
      </c>
      <c r="FG2" s="75" t="s">
        <v>28</v>
      </c>
      <c r="FH2" s="75" t="s">
        <v>1043</v>
      </c>
      <c r="FI2" s="75"/>
      <c r="FJ2" s="79" t="s">
        <v>1042</v>
      </c>
      <c r="FK2" s="75" t="s">
        <v>1042</v>
      </c>
      <c r="FL2" s="75" t="s">
        <v>28</v>
      </c>
      <c r="FM2" s="75" t="s">
        <v>1043</v>
      </c>
      <c r="FN2" s="75"/>
      <c r="FO2" s="80"/>
    </row>
    <row r="3" hidden="1">
      <c r="B3" s="81" t="b">
        <f>Option!$C6</f>
        <v>1</v>
      </c>
      <c r="C3" s="82" t="str">
        <f t="array" ref="C3">IFERROR(INDEX('Phase Map'!$E$2:$E$12, MATCH(E3, 'Phase Map'!$C$2:$C$12, 0)), "hide")</f>
        <v/>
      </c>
      <c r="D3" s="83"/>
      <c r="E3" s="84" t="str">
        <f>GETSHEETNAME()</f>
        <v>Phase 5</v>
      </c>
      <c r="F3" s="84" t="s">
        <v>1044</v>
      </c>
      <c r="G3" s="84"/>
      <c r="H3" s="84"/>
      <c r="I3" s="84"/>
      <c r="J3" s="84"/>
      <c r="K3" s="85" t="s">
        <v>186</v>
      </c>
      <c r="L3" s="85" t="s">
        <v>186</v>
      </c>
      <c r="M3" s="85" t="s">
        <v>186</v>
      </c>
      <c r="N3" s="85" t="s">
        <v>186</v>
      </c>
      <c r="O3" s="85" t="s">
        <v>186</v>
      </c>
      <c r="P3" s="85" t="s">
        <v>186</v>
      </c>
      <c r="Q3" s="85" t="s">
        <v>186</v>
      </c>
      <c r="R3" s="85" t="s">
        <v>186</v>
      </c>
      <c r="S3" s="85" t="s">
        <v>186</v>
      </c>
      <c r="T3" s="85" t="s">
        <v>198</v>
      </c>
      <c r="U3" s="85" t="s">
        <v>198</v>
      </c>
      <c r="V3" s="85" t="s">
        <v>198</v>
      </c>
      <c r="W3" s="85" t="s">
        <v>198</v>
      </c>
      <c r="X3" s="85" t="s">
        <v>198</v>
      </c>
      <c r="Y3" s="85" t="s">
        <v>198</v>
      </c>
      <c r="Z3" s="85" t="s">
        <v>198</v>
      </c>
      <c r="AA3" s="85" t="s">
        <v>198</v>
      </c>
      <c r="AB3" s="85" t="s">
        <v>198</v>
      </c>
      <c r="AC3" s="85" t="s">
        <v>192</v>
      </c>
      <c r="AD3" s="85" t="s">
        <v>192</v>
      </c>
      <c r="AE3" s="85" t="s">
        <v>192</v>
      </c>
      <c r="AF3" s="85" t="s">
        <v>192</v>
      </c>
      <c r="AG3" s="85" t="s">
        <v>1044</v>
      </c>
      <c r="AH3" s="85" t="s">
        <v>192</v>
      </c>
      <c r="AI3" s="85" t="s">
        <v>192</v>
      </c>
      <c r="AJ3" s="85" t="s">
        <v>192</v>
      </c>
      <c r="AK3" s="85" t="s">
        <v>192</v>
      </c>
      <c r="AL3" s="85" t="s">
        <v>180</v>
      </c>
      <c r="AM3" s="85" t="s">
        <v>180</v>
      </c>
      <c r="AN3" s="85" t="s">
        <v>180</v>
      </c>
      <c r="AO3" s="85" t="s">
        <v>180</v>
      </c>
      <c r="AP3" s="85" t="s">
        <v>180</v>
      </c>
      <c r="AQ3" s="85" t="s">
        <v>180</v>
      </c>
      <c r="AR3" s="85" t="s">
        <v>180</v>
      </c>
      <c r="AS3" s="85" t="s">
        <v>72</v>
      </c>
      <c r="AT3" s="85" t="s">
        <v>72</v>
      </c>
      <c r="AU3" s="85" t="s">
        <v>72</v>
      </c>
      <c r="AV3" s="85" t="s">
        <v>72</v>
      </c>
      <c r="AW3" s="85" t="s">
        <v>72</v>
      </c>
      <c r="AX3" s="85" t="s">
        <v>72</v>
      </c>
      <c r="AY3" s="85" t="s">
        <v>72</v>
      </c>
      <c r="AZ3" s="85" t="s">
        <v>72</v>
      </c>
      <c r="BA3" s="85" t="s">
        <v>1044</v>
      </c>
      <c r="BB3" s="85" t="s">
        <v>72</v>
      </c>
      <c r="BC3" s="85" t="s">
        <v>1044</v>
      </c>
      <c r="BD3" s="85" t="s">
        <v>72</v>
      </c>
      <c r="BE3" s="85" t="s">
        <v>65</v>
      </c>
      <c r="BF3" s="85" t="s">
        <v>65</v>
      </c>
      <c r="BG3" s="85" t="s">
        <v>65</v>
      </c>
      <c r="BH3" s="85" t="s">
        <v>65</v>
      </c>
      <c r="BI3" s="85" t="s">
        <v>65</v>
      </c>
      <c r="BJ3" s="85" t="s">
        <v>65</v>
      </c>
      <c r="BK3" s="85" t="s">
        <v>65</v>
      </c>
      <c r="BL3" s="85" t="s">
        <v>65</v>
      </c>
      <c r="BM3" s="85" t="s">
        <v>65</v>
      </c>
      <c r="BN3" s="85" t="s">
        <v>65</v>
      </c>
      <c r="BO3" s="85" t="s">
        <v>65</v>
      </c>
      <c r="BP3" s="85" t="s">
        <v>65</v>
      </c>
      <c r="BQ3" s="85" t="s">
        <v>65</v>
      </c>
      <c r="BR3" s="85" t="s">
        <v>65</v>
      </c>
      <c r="BS3" s="85" t="s">
        <v>65</v>
      </c>
      <c r="BT3" s="85" t="s">
        <v>1044</v>
      </c>
      <c r="BU3" s="85" t="s">
        <v>65</v>
      </c>
      <c r="BV3" s="85" t="s">
        <v>65</v>
      </c>
      <c r="BW3" s="85" t="s">
        <v>1044</v>
      </c>
      <c r="BX3" s="85" t="s">
        <v>65</v>
      </c>
      <c r="BY3" s="85" t="s">
        <v>43</v>
      </c>
      <c r="BZ3" s="85" t="s">
        <v>43</v>
      </c>
      <c r="CA3" s="85" t="s">
        <v>43</v>
      </c>
      <c r="CB3" s="85" t="s">
        <v>43</v>
      </c>
      <c r="CC3" s="85" t="s">
        <v>43</v>
      </c>
      <c r="CD3" s="85" t="s">
        <v>43</v>
      </c>
      <c r="CE3" s="85" t="s">
        <v>43</v>
      </c>
      <c r="CF3" s="85" t="s">
        <v>43</v>
      </c>
      <c r="CG3" s="85" t="s">
        <v>43</v>
      </c>
      <c r="CH3" s="85" t="s">
        <v>43</v>
      </c>
      <c r="CI3" s="85" t="s">
        <v>43</v>
      </c>
      <c r="CJ3" s="85" t="s">
        <v>43</v>
      </c>
      <c r="CK3" s="85" t="s">
        <v>43</v>
      </c>
      <c r="CL3" s="85" t="s">
        <v>43</v>
      </c>
      <c r="CM3" s="85" t="s">
        <v>43</v>
      </c>
      <c r="CN3" s="85" t="s">
        <v>43</v>
      </c>
      <c r="CO3" s="86" t="s">
        <v>43</v>
      </c>
      <c r="CP3" s="86" t="s">
        <v>43</v>
      </c>
      <c r="CQ3" s="86" t="s">
        <v>43</v>
      </c>
      <c r="CR3" s="86" t="s">
        <v>43</v>
      </c>
      <c r="CS3" s="86" t="s">
        <v>43</v>
      </c>
      <c r="CT3" s="85" t="s">
        <v>60</v>
      </c>
      <c r="CU3" s="85" t="s">
        <v>60</v>
      </c>
      <c r="CV3" s="85" t="s">
        <v>60</v>
      </c>
      <c r="CW3" s="85" t="s">
        <v>60</v>
      </c>
      <c r="CX3" s="85" t="s">
        <v>60</v>
      </c>
      <c r="CY3" s="85" t="s">
        <v>60</v>
      </c>
      <c r="CZ3" s="85" t="s">
        <v>60</v>
      </c>
      <c r="DA3" s="85" t="s">
        <v>60</v>
      </c>
      <c r="DB3" s="85" t="s">
        <v>60</v>
      </c>
      <c r="DC3" s="85" t="s">
        <v>60</v>
      </c>
      <c r="DD3" s="85" t="s">
        <v>60</v>
      </c>
      <c r="DE3" s="86" t="s">
        <v>60</v>
      </c>
      <c r="DF3" s="86" t="s">
        <v>60</v>
      </c>
      <c r="DG3" s="86" t="s">
        <v>60</v>
      </c>
      <c r="DH3" s="86" t="s">
        <v>60</v>
      </c>
      <c r="DI3" s="87" t="s">
        <v>60</v>
      </c>
      <c r="DJ3" s="85" t="s">
        <v>767</v>
      </c>
      <c r="DK3" s="88" t="s">
        <v>767</v>
      </c>
      <c r="DL3" s="85" t="s">
        <v>1045</v>
      </c>
      <c r="DM3" s="85" t="s">
        <v>1046</v>
      </c>
      <c r="DN3" s="85" t="s">
        <v>1047</v>
      </c>
      <c r="DO3" s="85" t="s">
        <v>1048</v>
      </c>
      <c r="DP3" s="85" t="s">
        <v>1049</v>
      </c>
      <c r="DQ3" s="85" t="s">
        <v>118</v>
      </c>
      <c r="DR3" s="85" t="s">
        <v>118</v>
      </c>
      <c r="DS3" s="85" t="s">
        <v>102</v>
      </c>
      <c r="DT3" s="85" t="s">
        <v>102</v>
      </c>
      <c r="DU3" s="85" t="s">
        <v>149</v>
      </c>
      <c r="DV3" s="85" t="s">
        <v>149</v>
      </c>
      <c r="DW3" s="85" t="s">
        <v>1050</v>
      </c>
      <c r="DX3" s="85" t="s">
        <v>1051</v>
      </c>
      <c r="DY3" s="85" t="s">
        <v>316</v>
      </c>
      <c r="DZ3" s="85" t="s">
        <v>316</v>
      </c>
      <c r="EA3" s="89" t="s">
        <v>278</v>
      </c>
      <c r="EB3" s="89" t="s">
        <v>278</v>
      </c>
      <c r="EC3" s="89" t="s">
        <v>278</v>
      </c>
      <c r="ED3" s="85" t="s">
        <v>93</v>
      </c>
      <c r="EE3" s="90" t="s">
        <v>1044</v>
      </c>
      <c r="EF3" s="90" t="s">
        <v>1044</v>
      </c>
      <c r="EG3" s="90" t="s">
        <v>1044</v>
      </c>
      <c r="EH3" s="90" t="s">
        <v>1044</v>
      </c>
      <c r="EI3" s="90" t="s">
        <v>1044</v>
      </c>
      <c r="EJ3" s="90" t="s">
        <v>1044</v>
      </c>
      <c r="EK3" s="90" t="s">
        <v>1044</v>
      </c>
      <c r="EL3" s="90" t="s">
        <v>1044</v>
      </c>
      <c r="EM3" s="90" t="s">
        <v>1044</v>
      </c>
      <c r="EN3" s="90" t="s">
        <v>1044</v>
      </c>
      <c r="EO3" s="90" t="s">
        <v>1044</v>
      </c>
      <c r="EP3" s="90" t="s">
        <v>1044</v>
      </c>
      <c r="EQ3" s="90" t="s">
        <v>1044</v>
      </c>
      <c r="ER3" s="84"/>
      <c r="ES3" s="84"/>
      <c r="ET3" s="84"/>
      <c r="EU3" s="90" t="s">
        <v>1044</v>
      </c>
      <c r="EV3" s="85" t="s">
        <v>1044</v>
      </c>
      <c r="EW3" s="85" t="s">
        <v>1044</v>
      </c>
      <c r="EX3" s="85" t="s">
        <v>1044</v>
      </c>
      <c r="EY3" s="85" t="s">
        <v>186</v>
      </c>
      <c r="EZ3" s="90" t="s">
        <v>1044</v>
      </c>
      <c r="FA3" s="85" t="s">
        <v>1044</v>
      </c>
      <c r="FB3" s="85" t="s">
        <v>1044</v>
      </c>
      <c r="FC3" s="85" t="s">
        <v>1044</v>
      </c>
      <c r="FD3" s="85" t="s">
        <v>198</v>
      </c>
      <c r="FE3" s="90" t="s">
        <v>1044</v>
      </c>
      <c r="FF3" s="85" t="s">
        <v>1044</v>
      </c>
      <c r="FG3" s="85" t="s">
        <v>1044</v>
      </c>
      <c r="FH3" s="85" t="s">
        <v>1044</v>
      </c>
      <c r="FI3" s="85" t="s">
        <v>192</v>
      </c>
      <c r="FJ3" s="90" t="s">
        <v>1044</v>
      </c>
      <c r="FK3" s="85" t="s">
        <v>1044</v>
      </c>
      <c r="FL3" s="85" t="s">
        <v>1044</v>
      </c>
      <c r="FM3" s="85" t="s">
        <v>1044</v>
      </c>
      <c r="FN3" s="85" t="s">
        <v>180</v>
      </c>
      <c r="FO3" s="91"/>
    </row>
    <row r="4" hidden="1">
      <c r="B4" s="92" t="b">
        <f>Option!$C7</f>
        <v>1</v>
      </c>
      <c r="C4" s="93" t="str">
        <f t="array" ref="C4">IFERROR(INDEX('Phase Map'!$D$2:$D$12, MATCH(E3, 'Phase Map'!$C$2:$C$12, 0)), "")</f>
        <v/>
      </c>
      <c r="D4" s="83"/>
      <c r="E4" s="84" t="s">
        <v>1</v>
      </c>
      <c r="F4" s="84"/>
      <c r="G4" s="84"/>
      <c r="H4" s="84"/>
      <c r="I4" s="84"/>
      <c r="J4" s="84"/>
      <c r="K4" s="85" t="s">
        <v>94</v>
      </c>
      <c r="L4" s="85" t="s">
        <v>679</v>
      </c>
      <c r="M4" s="85" t="s">
        <v>271</v>
      </c>
      <c r="N4" s="85" t="s">
        <v>479</v>
      </c>
      <c r="O4" s="85" t="s">
        <v>172</v>
      </c>
      <c r="P4" s="85" t="s">
        <v>856</v>
      </c>
      <c r="Q4" s="85" t="s">
        <v>187</v>
      </c>
      <c r="R4" s="85" t="s">
        <v>485</v>
      </c>
      <c r="S4" s="85" t="s">
        <v>888</v>
      </c>
      <c r="T4" s="85" t="s">
        <v>94</v>
      </c>
      <c r="U4" s="84" t="s">
        <v>660</v>
      </c>
      <c r="V4" s="84" t="s">
        <v>505</v>
      </c>
      <c r="W4" s="84" t="s">
        <v>172</v>
      </c>
      <c r="X4" s="84" t="s">
        <v>622</v>
      </c>
      <c r="Y4" s="84" t="s">
        <v>199</v>
      </c>
      <c r="Z4" s="84" t="s">
        <v>498</v>
      </c>
      <c r="AA4" s="84" t="s">
        <v>465</v>
      </c>
      <c r="AB4" s="84" t="s">
        <v>939</v>
      </c>
      <c r="AC4" s="85" t="s">
        <v>94</v>
      </c>
      <c r="AD4" s="85" t="s">
        <v>629</v>
      </c>
      <c r="AE4" s="85" t="s">
        <v>686</v>
      </c>
      <c r="AF4" s="85" t="s">
        <v>492</v>
      </c>
      <c r="AG4" s="85"/>
      <c r="AH4" s="85" t="s">
        <v>172</v>
      </c>
      <c r="AI4" s="85" t="s">
        <v>909</v>
      </c>
      <c r="AJ4" s="94" t="s">
        <v>193</v>
      </c>
      <c r="AK4" s="84" t="s">
        <v>895</v>
      </c>
      <c r="AL4" s="85" t="s">
        <v>94</v>
      </c>
      <c r="AM4" s="85" t="s">
        <v>760</v>
      </c>
      <c r="AN4" s="85" t="s">
        <v>472</v>
      </c>
      <c r="AO4" s="85" t="s">
        <v>172</v>
      </c>
      <c r="AP4" s="94" t="s">
        <v>1026</v>
      </c>
      <c r="AQ4" s="85" t="s">
        <v>181</v>
      </c>
      <c r="AR4" s="84" t="s">
        <v>881</v>
      </c>
      <c r="AS4" s="85" t="s">
        <v>74</v>
      </c>
      <c r="AT4" s="85" t="s">
        <v>73</v>
      </c>
      <c r="AU4" s="85" t="s">
        <v>204</v>
      </c>
      <c r="AV4" s="95" t="s">
        <v>874</v>
      </c>
      <c r="AW4" s="95" t="s">
        <v>849</v>
      </c>
      <c r="AX4" s="95" t="s">
        <v>234</v>
      </c>
      <c r="AY4" s="85" t="s">
        <v>329</v>
      </c>
      <c r="AZ4" s="85" t="s">
        <v>303</v>
      </c>
      <c r="BA4" s="85"/>
      <c r="BB4" s="85" t="s">
        <v>143</v>
      </c>
      <c r="BC4" s="85"/>
      <c r="BD4" s="85" t="s">
        <v>902</v>
      </c>
      <c r="BE4" s="85" t="s">
        <v>835</v>
      </c>
      <c r="BF4" s="85" t="s">
        <v>67</v>
      </c>
      <c r="BG4" s="85" t="s">
        <v>66</v>
      </c>
      <c r="BH4" s="85" t="s">
        <v>167</v>
      </c>
      <c r="BI4" s="95" t="s">
        <v>815</v>
      </c>
      <c r="BJ4" s="95" t="s">
        <v>803</v>
      </c>
      <c r="BK4" s="95" t="s">
        <v>648</v>
      </c>
      <c r="BL4" s="95" t="s">
        <v>221</v>
      </c>
      <c r="BM4" s="95" t="s">
        <v>978</v>
      </c>
      <c r="BN4" s="95" t="s">
        <v>736</v>
      </c>
      <c r="BO4" s="95" t="s">
        <v>987</v>
      </c>
      <c r="BP4" s="95" t="s">
        <v>998</v>
      </c>
      <c r="BQ4" s="95" t="s">
        <v>1003</v>
      </c>
      <c r="BR4" s="95" t="s">
        <v>993</v>
      </c>
      <c r="BS4" s="95" t="s">
        <v>130</v>
      </c>
      <c r="BT4" s="95"/>
      <c r="BU4" s="95" t="s">
        <v>324</v>
      </c>
      <c r="BV4" s="85" t="s">
        <v>296</v>
      </c>
      <c r="BW4" s="85"/>
      <c r="BX4" s="95" t="s">
        <v>375</v>
      </c>
      <c r="BY4" s="85" t="s">
        <v>945</v>
      </c>
      <c r="BZ4" s="85" t="s">
        <v>610</v>
      </c>
      <c r="CA4" s="85" t="s">
        <v>209</v>
      </c>
      <c r="CB4" s="85" t="s">
        <v>284</v>
      </c>
      <c r="CC4" s="85" t="s">
        <v>157</v>
      </c>
      <c r="CD4" s="85" t="s">
        <v>1008</v>
      </c>
      <c r="CE4" s="85" t="s">
        <v>862</v>
      </c>
      <c r="CF4" s="85" t="s">
        <v>636</v>
      </c>
      <c r="CG4" s="85" t="s">
        <v>512</v>
      </c>
      <c r="CH4" s="85" t="s">
        <v>519</v>
      </c>
      <c r="CI4" s="85" t="s">
        <v>810</v>
      </c>
      <c r="CJ4" s="95" t="s">
        <v>57</v>
      </c>
      <c r="CK4" s="95" t="s">
        <v>44</v>
      </c>
      <c r="CL4" s="95" t="s">
        <v>50</v>
      </c>
      <c r="CM4" s="95" t="s">
        <v>55</v>
      </c>
      <c r="CN4" s="95" t="s">
        <v>923</v>
      </c>
      <c r="CO4" s="95" t="s">
        <v>310</v>
      </c>
      <c r="CP4" s="85" t="s">
        <v>342</v>
      </c>
      <c r="CQ4" s="95" t="s">
        <v>778</v>
      </c>
      <c r="CR4" s="95" t="s">
        <v>916</v>
      </c>
      <c r="CS4" s="95"/>
      <c r="CT4" s="85" t="s">
        <v>643</v>
      </c>
      <c r="CU4" s="85" t="s">
        <v>617</v>
      </c>
      <c r="CV4" s="85" t="s">
        <v>162</v>
      </c>
      <c r="CW4" s="85" t="s">
        <v>526</v>
      </c>
      <c r="CX4" s="85" t="s">
        <v>291</v>
      </c>
      <c r="CY4" s="95" t="s">
        <v>124</v>
      </c>
      <c r="CZ4" s="95" t="s">
        <v>869</v>
      </c>
      <c r="DA4" s="95" t="s">
        <v>822</v>
      </c>
      <c r="DB4" s="95" t="s">
        <v>216</v>
      </c>
      <c r="DC4" s="95" t="s">
        <v>61</v>
      </c>
      <c r="DD4" s="95" t="s">
        <v>929</v>
      </c>
      <c r="DE4" s="95" t="s">
        <v>791</v>
      </c>
      <c r="DF4" s="95" t="s">
        <v>355</v>
      </c>
      <c r="DG4" s="95" t="s">
        <v>700</v>
      </c>
      <c r="DH4" s="95" t="s">
        <v>673</v>
      </c>
      <c r="DI4" s="96"/>
      <c r="DJ4" s="85" t="s">
        <v>111</v>
      </c>
      <c r="DK4" s="88" t="s">
        <v>934</v>
      </c>
      <c r="DL4" s="85" t="s">
        <v>111</v>
      </c>
      <c r="DM4" s="85" t="s">
        <v>111</v>
      </c>
      <c r="DN4" s="85" t="s">
        <v>111</v>
      </c>
      <c r="DO4" s="85" t="s">
        <v>111</v>
      </c>
      <c r="DP4" s="85" t="s">
        <v>111</v>
      </c>
      <c r="DQ4" s="85" t="s">
        <v>119</v>
      </c>
      <c r="DR4" s="85" t="s">
        <v>754</v>
      </c>
      <c r="DS4" s="85" t="s">
        <v>103</v>
      </c>
      <c r="DT4" s="85" t="s">
        <v>785</v>
      </c>
      <c r="DU4" s="85" t="s">
        <v>150</v>
      </c>
      <c r="DV4" s="85" t="s">
        <v>580</v>
      </c>
      <c r="DW4" s="85" t="s">
        <v>85</v>
      </c>
      <c r="DX4" s="85" t="s">
        <v>85</v>
      </c>
      <c r="DY4" s="85" t="s">
        <v>85</v>
      </c>
      <c r="DZ4" s="85" t="s">
        <v>317</v>
      </c>
      <c r="EA4" s="89" t="s">
        <v>85</v>
      </c>
      <c r="EB4" s="84" t="s">
        <v>1015</v>
      </c>
      <c r="EC4" s="84" t="s">
        <v>279</v>
      </c>
      <c r="ED4" s="85" t="s">
        <v>1034</v>
      </c>
      <c r="EE4" s="90"/>
      <c r="EF4" s="90"/>
      <c r="EG4" s="90"/>
      <c r="EH4" s="90"/>
      <c r="EI4" s="90"/>
      <c r="EJ4" s="90"/>
      <c r="EK4" s="90"/>
      <c r="EL4" s="90"/>
      <c r="EM4" s="90"/>
      <c r="EN4" s="90"/>
      <c r="EO4" s="90"/>
      <c r="EP4" s="90"/>
      <c r="EQ4" s="90"/>
      <c r="ER4" s="95"/>
      <c r="ES4" s="95"/>
      <c r="ET4" s="95"/>
      <c r="EU4" s="90"/>
      <c r="EV4" s="90"/>
      <c r="EW4" s="90"/>
      <c r="EX4" s="90"/>
      <c r="EY4" s="76"/>
      <c r="EZ4" s="90"/>
      <c r="FA4" s="90"/>
      <c r="FB4" s="90"/>
      <c r="FC4" s="90"/>
      <c r="FD4" s="76"/>
      <c r="FE4" s="90"/>
      <c r="FF4" s="90"/>
      <c r="FG4" s="90"/>
      <c r="FH4" s="90"/>
      <c r="FI4" s="76"/>
      <c r="FJ4" s="90"/>
      <c r="FK4" s="90"/>
      <c r="FL4" s="90"/>
      <c r="FM4" s="90"/>
      <c r="FN4" s="76"/>
      <c r="FO4" s="91"/>
    </row>
    <row r="5" hidden="1">
      <c r="B5" s="92" t="b">
        <f>Option!$C8</f>
        <v>1</v>
      </c>
      <c r="C5" s="93" t="str">
        <f t="array" ref="C5">IFERROR(INDEX('Phase Map'!$C$3:$C$13, MATCH(E3, 'Phase Map'!$C$2:$C$12, 0)), "")</f>
        <v/>
      </c>
      <c r="D5" s="83"/>
      <c r="E5" s="84" t="s">
        <v>7</v>
      </c>
      <c r="F5" s="84"/>
      <c r="G5" s="84"/>
      <c r="H5" s="84"/>
      <c r="I5" s="84"/>
      <c r="J5" s="84"/>
      <c r="K5" s="94" t="str">
        <f t="array" ref="K5">IFERROR(INDEX(Skill!$I:$I, MATCH(K$4, Skill!$C:$C, 0), 1), "")</f>
        <v>RANGE_ENEMY</v>
      </c>
      <c r="L5" s="94" t="str">
        <f t="array" ref="L5">IFERROR(INDEX(Skill!$I:$I, MATCH(L$4, Skill!$C:$C, 0), 1), "")</f>
        <v>RANGE_PARTY</v>
      </c>
      <c r="M5" s="94" t="str">
        <f t="array" ref="M5">IFERROR(INDEX(Skill!$I:$I, MATCH(M$4, Skill!$C:$C, 0), 1), "")</f>
        <v>RANGE_PARTY</v>
      </c>
      <c r="N5" s="94" t="str">
        <f t="array" ref="N5">IFERROR(INDEX(Skill!$I:$I, MATCH(N$4, Skill!$C:$C, 0), 1), "")</f>
        <v>SINGLE_PARTY</v>
      </c>
      <c r="O5" s="94" t="str">
        <f t="array" ref="O5">IFERROR(INDEX(Skill!$I:$I, MATCH(O$4, Skill!$C:$C, 0), 1), "")</f>
        <v>SELF</v>
      </c>
      <c r="P5" s="94" t="str">
        <f t="array" ref="P5">IFERROR(INDEX(Skill!$I:$I, MATCH(P$4, Skill!$C:$C, 0), 1), "")</f>
        <v>SELF</v>
      </c>
      <c r="Q5" s="94" t="str">
        <f t="array" ref="Q5">IFERROR(INDEX(Skill!$I:$I, MATCH(Q$4, Skill!$C:$C, 0), 1), "")</f>
        <v>SELF</v>
      </c>
      <c r="R5" s="94" t="str">
        <f t="array" ref="R5">IFERROR(INDEX(Skill!$I:$I, MATCH(R$4, Skill!$C:$C, 0), 1), "")</f>
        <v>SELF</v>
      </c>
      <c r="S5" s="94" t="str">
        <f t="array" ref="S5">IFERROR(INDEX(Skill!$I:$I, MATCH(S$4, Skill!$C:$C, 0), 1), "")</f>
        <v>SELF</v>
      </c>
      <c r="T5" s="94" t="str">
        <f t="array" ref="T5">IFERROR(INDEX(Skill!$I:$I, MATCH(T$4, Skill!$C:$C, 0), 1), "")</f>
        <v>RANGE_ENEMY</v>
      </c>
      <c r="U5" s="94" t="str">
        <f t="array" ref="U5">IFERROR(INDEX(Skill!$I:$I, MATCH(U$4, Skill!$C:$C, 0), 1), "")</f>
        <v>RANGE_PARTY</v>
      </c>
      <c r="V5" s="94" t="str">
        <f t="array" ref="V5">IFERROR(INDEX(Skill!$I:$I, MATCH(V$4, Skill!$C:$C, 0), 1), "")</f>
        <v>SINGLE_PARTY</v>
      </c>
      <c r="W5" s="94" t="str">
        <f t="array" ref="W5">IFERROR(INDEX(Skill!$I:$I, MATCH(W$4, Skill!$C:$C, 0), 1), "")</f>
        <v>SELF</v>
      </c>
      <c r="X5" s="94" t="str">
        <f t="array" ref="X5">IFERROR(INDEX(Skill!$I:$I, MATCH(X$4, Skill!$C:$C, 0), 1), "")</f>
        <v>SELF</v>
      </c>
      <c r="Y5" s="94" t="str">
        <f t="array" ref="Y5">IFERROR(INDEX(Skill!$I:$I, MATCH(Y$4, Skill!$C:$C, 0), 1), "")</f>
        <v>SELF</v>
      </c>
      <c r="Z5" s="94" t="str">
        <f t="array" ref="Z5">IFERROR(INDEX(Skill!$I:$I, MATCH(Z$4, Skill!$C:$C, 0), 1), "")</f>
        <v>SELF</v>
      </c>
      <c r="AA5" s="94" t="str">
        <f t="array" ref="AA5">IFERROR(INDEX(Skill!$I:$I, MATCH(AA$4, Skill!$C:$C, 0), 1), "")</f>
        <v>SELF</v>
      </c>
      <c r="AB5" s="94" t="str">
        <f t="array" ref="AB5">IFERROR(INDEX(Skill!$I:$I, MATCH(AB$4, Skill!$C:$C, 0), 1), "")</f>
        <v>SELF</v>
      </c>
      <c r="AC5" s="94" t="str">
        <f t="array" ref="AC5">IFERROR(INDEX(Skill!$I:$I, MATCH(AC$4, Skill!$C:$C, 0), 1), "")</f>
        <v>RANGE_ENEMY</v>
      </c>
      <c r="AD5" s="94" t="str">
        <f t="array" ref="AD5">IFERROR(INDEX(Skill!$I:$I, MATCH(AD$4, Skill!$C:$C, 0), 1), "")</f>
        <v>RANGE_PARTY</v>
      </c>
      <c r="AE5" s="94" t="str">
        <f t="array" ref="AE5">IFERROR(INDEX(Skill!$I:$I, MATCH(AE$4, Skill!$C:$C, 0), 1), "")</f>
        <v>SINGLE_PARTY</v>
      </c>
      <c r="AF5" s="94" t="str">
        <f t="array" ref="AF5">IFERROR(INDEX(Skill!$I:$I, MATCH(AF$4, Skill!$C:$C, 0), 1), "")</f>
        <v>SINGLE_PARTY</v>
      </c>
      <c r="AG5" s="94" t="str">
        <f t="array" ref="AG5">IFERROR(INDEX(Skill!$I:$I, MATCH(AG$4, Skill!$C:$C, 0), 1), "")</f>
        <v/>
      </c>
      <c r="AH5" s="94" t="str">
        <f t="array" ref="AH5">IFERROR(INDEX(Skill!$I:$I, MATCH(AH$4, Skill!$C:$C, 0), 1), "")</f>
        <v>SELF</v>
      </c>
      <c r="AI5" s="94" t="str">
        <f t="array" ref="AI5">IFERROR(INDEX(Skill!$I:$I, MATCH(AI$4, Skill!$C:$C, 0), 1), "")</f>
        <v>SELF</v>
      </c>
      <c r="AJ5" s="94" t="str">
        <f t="array" ref="AJ5">IFERROR(INDEX(Skill!$I:$I, MATCH(AJ$4, Skill!$C:$C, 0), 1), "")</f>
        <v>SELF</v>
      </c>
      <c r="AK5" s="94" t="str">
        <f t="array" ref="AK5">IFERROR(INDEX(Skill!$I:$I, MATCH(AK$4, Skill!$C:$C, 0), 1), "")</f>
        <v>SELF</v>
      </c>
      <c r="AL5" s="94" t="str">
        <f t="array" ref="AL5">IFERROR(INDEX(Skill!$I:$I, MATCH(AL$4, Skill!$C:$C, 0), 1), "")</f>
        <v>RANGE_ENEMY</v>
      </c>
      <c r="AM5" s="94" t="str">
        <f t="array" ref="AM5">IFERROR(INDEX(Skill!$I:$I, MATCH(AM$4, Skill!$C:$C, 0), 1), "")</f>
        <v>RANGE_PARTY</v>
      </c>
      <c r="AN5" s="94" t="str">
        <f t="array" ref="AN5">IFERROR(INDEX(Skill!$I:$I, MATCH(AN$4, Skill!$C:$C, 0), 1), "")</f>
        <v>SINGLE_PARTY</v>
      </c>
      <c r="AO5" s="94" t="str">
        <f t="array" ref="AO5">IFERROR(INDEX(Skill!$I:$I, MATCH(AO$4, Skill!$C:$C, 0), 1), "")</f>
        <v>SELF</v>
      </c>
      <c r="AP5" s="94" t="str">
        <f t="array" ref="AP5">IFERROR(INDEX(Skill!$I:$I, MATCH(AP$4, Skill!$C:$C, 0), 1), "")</f>
        <v>SELF</v>
      </c>
      <c r="AQ5" s="94" t="str">
        <f t="array" ref="AQ5">IFERROR(INDEX(Skill!$I:$I, MATCH(AQ$4, Skill!$C:$C, 0), 1), "")</f>
        <v>SELF</v>
      </c>
      <c r="AR5" s="94" t="str">
        <f t="array" ref="AR5">IFERROR(INDEX(Skill!$I:$I, MATCH(AR$4, Skill!$C:$C, 0), 1), "")</f>
        <v>SELF</v>
      </c>
      <c r="AS5" s="94" t="str">
        <f t="array" ref="AS5">IFERROR(INDEX(Skill!$I:$I, MATCH(AS$4, Skill!$C:$C, 0), 1), "")</f>
        <v>RANGE_PARTY</v>
      </c>
      <c r="AT5" s="94" t="str">
        <f t="array" ref="AT5">IFERROR(INDEX(Skill!$I:$I, MATCH(AT$4, Skill!$C:$C, 0), 1), "")</f>
        <v>RANGE_PARTY</v>
      </c>
      <c r="AU5" s="94" t="str">
        <f t="array" ref="AU5">IFERROR(INDEX(Skill!$I:$I, MATCH(AU$4, Skill!$C:$C, 0), 1), "")</f>
        <v>SELF</v>
      </c>
      <c r="AV5" s="94" t="str">
        <f t="array" ref="AV5">IFERROR(INDEX(Skill!$I:$I, MATCH(AV$4, Skill!$C:$C, 0), 1), "")</f>
        <v>RANGE_PARTY</v>
      </c>
      <c r="AW5" s="94" t="str">
        <f t="array" ref="AW5">IFERROR(INDEX(Skill!$I:$I, MATCH(AW$4, Skill!$C:$C, 0), 1), "")</f>
        <v>RANGE_PARTY</v>
      </c>
      <c r="AX5" s="94" t="str">
        <f t="array" ref="AX5">IFERROR(INDEX(Skill!$I:$I, MATCH(AX$4, Skill!$C:$C, 0), 1), "")</f>
        <v>RANGE_PARTY</v>
      </c>
      <c r="AY5" s="94" t="str">
        <f t="array" ref="AY5">IFERROR(INDEX(Skill!$I:$I, MATCH(AY$4, Skill!$C:$C, 0), 1), "")</f>
        <v>SINGLE_PARTY</v>
      </c>
      <c r="AZ5" s="94" t="str">
        <f t="array" ref="AZ5">IFERROR(INDEX(Skill!$I:$I, MATCH(AZ$4, Skill!$C:$C, 0), 1), "")</f>
        <v>SINGLE_PARTY</v>
      </c>
      <c r="BA5" s="94" t="str">
        <f t="array" ref="BA5">IFERROR(INDEX(Skill!$I:$I, MATCH(BA$4, Skill!$C:$C, 0), 1), "")</f>
        <v/>
      </c>
      <c r="BB5" s="94" t="str">
        <f t="array" ref="BB5">IFERROR(INDEX(Skill!$I:$I, MATCH(BB$4, Skill!$C:$C, 0), 1), "")</f>
        <v>SINGLE_PARTY</v>
      </c>
      <c r="BC5" s="94" t="str">
        <f t="array" ref="BC5">IFERROR(INDEX(Skill!$I:$I, MATCH(BC$4, Skill!$C:$C, 0), 1), "")</f>
        <v/>
      </c>
      <c r="BD5" s="94" t="str">
        <f t="array" ref="BD5">IFERROR(INDEX(Skill!$I:$I, MATCH(BD$4, Skill!$C:$C, 0), 1), "")</f>
        <v>SINGLE_PARTY</v>
      </c>
      <c r="BE5" s="94" t="str">
        <f t="array" ref="BE5">IFERROR(INDEX(Skill!$I:$I, MATCH(BE$4, Skill!$C:$C, 0), 1), "")</f>
        <v>RANGE_PARTY</v>
      </c>
      <c r="BF5" s="94" t="str">
        <f t="array" ref="BF5">IFERROR(INDEX(Skill!$I:$I, MATCH(BF$4, Skill!$C:$C, 0), 1), "")</f>
        <v>SELF</v>
      </c>
      <c r="BG5" s="94" t="str">
        <f t="array" ref="BG5">IFERROR(INDEX(Skill!$I:$I, MATCH(BG$4, Skill!$C:$C, 0), 1), "")</f>
        <v>RANGE_PARTY</v>
      </c>
      <c r="BH5" s="94" t="str">
        <f t="array" ref="BH5">IFERROR(INDEX(Skill!$I:$I, MATCH(BH$4, Skill!$C:$C, 0), 1), "")</f>
        <v>RANGE_PARTY</v>
      </c>
      <c r="BI5" s="94" t="str">
        <f t="array" ref="BI5">IFERROR(INDEX(Skill!$I:$I, MATCH(BI$4, Skill!$C:$C, 0), 1), "")</f>
        <v>RANGE_PARTY</v>
      </c>
      <c r="BJ5" s="94" t="str">
        <f t="array" ref="BJ5">IFERROR(INDEX(Skill!$I:$I, MATCH(BJ$4, Skill!$C:$C, 0), 1), "")</f>
        <v>RANGE_PARTY</v>
      </c>
      <c r="BK5" s="94" t="str">
        <f t="array" ref="BK5">IFERROR(INDEX(Skill!$I:$I, MATCH(BK$4, Skill!$C:$C, 0), 1), "")</f>
        <v>RANGE_PARTY</v>
      </c>
      <c r="BL5" s="94" t="str">
        <f t="array" ref="BL5">IFERROR(INDEX(Skill!$I:$I, MATCH(BL$4, Skill!$C:$C, 0), 1), "")</f>
        <v>RANGE_PARTY</v>
      </c>
      <c r="BM5" s="94" t="str">
        <f t="array" ref="BM5">IFERROR(INDEX(Skill!$I:$I, MATCH(BM$4, Skill!$C:$C, 0), 1), "")</f>
        <v>SELF</v>
      </c>
      <c r="BN5" s="94" t="str">
        <f t="array" ref="BN5">IFERROR(INDEX(Skill!$I:$I, MATCH(BN$4, Skill!$C:$C, 0), 1), "")</f>
        <v>SELF</v>
      </c>
      <c r="BO5" s="94" t="str">
        <f t="array" ref="BO5">IFERROR(INDEX(Skill!$I:$I, MATCH(BO$4, Skill!$C:$C, 0), 1), "")</f>
        <v>SINGLE_PARTY</v>
      </c>
      <c r="BP5" s="94" t="str">
        <f t="array" ref="BP5">IFERROR(INDEX(Skill!$I:$I, MATCH(BP$4, Skill!$C:$C, 0), 1), "")</f>
        <v>SINGLE_PARTY</v>
      </c>
      <c r="BQ5" s="94" t="str">
        <f t="array" ref="BQ5">IFERROR(INDEX(Skill!$I:$I, MATCH(BQ$4, Skill!$C:$C, 0), 1), "")</f>
        <v>SINGLE_PARTY</v>
      </c>
      <c r="BR5" s="94" t="str">
        <f t="array" ref="BR5">IFERROR(INDEX(Skill!$I:$I, MATCH(BR$4, Skill!$C:$C, 0), 1), "")</f>
        <v>SINGLE_PARTY</v>
      </c>
      <c r="BS5" s="94" t="str">
        <f t="array" ref="BS5">IFERROR(INDEX(Skill!$I:$I, MATCH(BS$4, Skill!$C:$C, 0), 1), "")</f>
        <v>SINGLE_PARTY</v>
      </c>
      <c r="BT5" s="94" t="str">
        <f t="array" ref="BT5">IFERROR(INDEX(Skill!$I:$I, MATCH(BT$4, Skill!$C:$C, 0), 1), "")</f>
        <v/>
      </c>
      <c r="BU5" s="94" t="str">
        <f t="array" ref="BU5">IFERROR(INDEX(Skill!$I:$I, MATCH(BU$4, Skill!$C:$C, 0), 1), "")</f>
        <v>SINGLE_PARTY</v>
      </c>
      <c r="BV5" s="94" t="str">
        <f t="array" ref="BV5">IFERROR(INDEX(Skill!$I:$I, MATCH(BV$4, Skill!$C:$C, 0), 1), "")</f>
        <v>SINGLE_PARTY</v>
      </c>
      <c r="BW5" s="94" t="str">
        <f t="array" ref="BW5">IFERROR(INDEX(Skill!$I:$I, MATCH(BW$4, Skill!$C:$C, 0), 1), "")</f>
        <v/>
      </c>
      <c r="BX5" s="94" t="str">
        <f t="array" ref="BX5">IFERROR(INDEX(Skill!$I:$I, MATCH(BX$4, Skill!$C:$C, 0), 1), "")</f>
        <v>SINGLE_PARTY</v>
      </c>
      <c r="BY5" s="94" t="str">
        <f t="array" ref="BY5">IFERROR(INDEX(Skill!$I:$I, MATCH(BY$4, Skill!$C:$C, 0), 1), "")</f>
        <v>RANGE_PARTY</v>
      </c>
      <c r="BZ5" s="94" t="str">
        <f t="array" ref="BZ5">IFERROR(INDEX(Skill!$I:$I, MATCH(BZ$4, Skill!$C:$C, 0), 1), "")</f>
        <v>RANGE_PARTY</v>
      </c>
      <c r="CA5" s="94" t="str">
        <f t="array" ref="CA5">IFERROR(INDEX(Skill!$I:$I, MATCH(CA$4, Skill!$C:$C, 0), 1), "")</f>
        <v>RANGE_PARTY</v>
      </c>
      <c r="CB5" s="94" t="str">
        <f t="array" ref="CB5">IFERROR(INDEX(Skill!$I:$I, MATCH(CB$4, Skill!$C:$C, 0), 1), "")</f>
        <v>RANGE_PARTY</v>
      </c>
      <c r="CC5" s="94" t="str">
        <f t="array" ref="CC5">IFERROR(INDEX(Skill!$I:$I, MATCH(CC$4, Skill!$C:$C, 0), 1), "")</f>
        <v>RANGE_PARTY</v>
      </c>
      <c r="CD5" s="94" t="str">
        <f t="array" ref="CD5">IFERROR(INDEX(Skill!$I:$I, MATCH(CD$4, Skill!$C:$C, 0), 1), "")</f>
        <v>RANGE_PARTY</v>
      </c>
      <c r="CE5" s="94" t="str">
        <f t="array" ref="CE5">IFERROR(INDEX(Skill!$I:$I, MATCH(CE$4, Skill!$C:$C, 0), 1), "")</f>
        <v>RANGE_PARTY</v>
      </c>
      <c r="CF5" s="94" t="str">
        <f t="array" ref="CF5">IFERROR(INDEX(Skill!$I:$I, MATCH(CF$4, Skill!$C:$C, 0), 1), "")</f>
        <v>RANGE_PARTY</v>
      </c>
      <c r="CG5" s="94" t="str">
        <f t="array" ref="CG5">IFERROR(INDEX(Skill!$I:$I, MATCH(CG$4, Skill!$C:$C, 0), 1), "")</f>
        <v>SELF</v>
      </c>
      <c r="CH5" s="94" t="str">
        <f t="array" ref="CH5">IFERROR(INDEX(Skill!$I:$I, MATCH(CH$4, Skill!$C:$C, 0), 1), "")</f>
        <v>RANGE_PARTY</v>
      </c>
      <c r="CI5" s="94" t="str">
        <f t="array" ref="CI5">IFERROR(INDEX(Skill!$I:$I, MATCH(CI$4, Skill!$C:$C, 0), 1), "")</f>
        <v>SELF</v>
      </c>
      <c r="CJ5" s="94" t="str">
        <f t="array" ref="CJ5">IFERROR(INDEX(Skill!$I:$I, MATCH(CJ$4, Skill!$C:$C, 0), 1), "")</f>
        <v>SINGLE_PARTY</v>
      </c>
      <c r="CK5" s="94" t="str">
        <f t="array" ref="CK5">IFERROR(INDEX(Skill!$I:$I, MATCH(CK$4, Skill!$C:$C, 0), 1), "")</f>
        <v>SELF</v>
      </c>
      <c r="CL5" s="94" t="str">
        <f t="array" ref="CL5">IFERROR(INDEX(Skill!$I:$I, MATCH(CL$4, Skill!$C:$C, 0), 1), "")</f>
        <v>RANGE_PARTY</v>
      </c>
      <c r="CM5" s="94" t="str">
        <f t="array" ref="CM5">IFERROR(INDEX(Skill!$I:$I, MATCH(CM$4, Skill!$C:$C, 0), 1), "")</f>
        <v>SINGLE_PARTY</v>
      </c>
      <c r="CN5" s="94" t="str">
        <f t="array" ref="CN5">IFERROR(INDEX(Skill!$I:$I, MATCH(CN$4, Skill!$C:$C, 0), 1), "")</f>
        <v>SINGLE_PARTY</v>
      </c>
      <c r="CO5" s="94" t="str">
        <f t="array" ref="CO5">IFERROR(INDEX(Skill!$I:$I, MATCH(CO$4, Skill!$C:$C, 0), 1), "")</f>
        <v>SINGLE_PARTY</v>
      </c>
      <c r="CP5" s="94" t="str">
        <f t="array" ref="CP5">IFERROR(INDEX(Skill!$I:$I, MATCH(CP$4, Skill!$C:$C, 0), 1), "")</f>
        <v>SINGLE_PARTY</v>
      </c>
      <c r="CQ5" s="94" t="str">
        <f t="array" ref="CQ5">IFERROR(INDEX(Skill!$I:$I, MATCH(CQ$4, Skill!$C:$C, 0), 1), "")</f>
        <v>SINGLE_PARTY</v>
      </c>
      <c r="CR5" s="94" t="str">
        <f t="array" ref="CR5">IFERROR(INDEX(Skill!$I:$I, MATCH(CR$4, Skill!$C:$C, 0), 1), "")</f>
        <v>SELF</v>
      </c>
      <c r="CS5" s="94" t="str">
        <f t="array" ref="CS5">IFERROR(INDEX(Skill!$I:$I, MATCH(CS$4, Skill!$C:$C, 0), 1), "")</f>
        <v/>
      </c>
      <c r="CT5" s="94" t="str">
        <f t="array" ref="CT5">IFERROR(INDEX(Skill!$I:$I, MATCH(CT$4, Skill!$C:$C, 0), 1), "")</f>
        <v>RANGE_PARTY</v>
      </c>
      <c r="CU5" s="94" t="str">
        <f t="array" ref="CU5">IFERROR(INDEX(Skill!$I:$I, MATCH(CU$4, Skill!$C:$C, 0), 1), "")</f>
        <v>RANGE_PARTY</v>
      </c>
      <c r="CV5" s="94" t="str">
        <f t="array" ref="CV5">IFERROR(INDEX(Skill!$I:$I, MATCH(CV$4, Skill!$C:$C, 0), 1), "")</f>
        <v>RANGE_PARTY</v>
      </c>
      <c r="CW5" s="94" t="str">
        <f t="array" ref="CW5">IFERROR(INDEX(Skill!$I:$I, MATCH(CW$4, Skill!$C:$C, 0), 1), "")</f>
        <v>RANGE_PARTY</v>
      </c>
      <c r="CX5" s="94" t="str">
        <f t="array" ref="CX5">IFERROR(INDEX(Skill!$I:$I, MATCH(CX$4, Skill!$C:$C, 0), 1), "")</f>
        <v>SELF</v>
      </c>
      <c r="CY5" s="94" t="str">
        <f t="array" ref="CY5">IFERROR(INDEX(Skill!$I:$I, MATCH(CY$4, Skill!$C:$C, 0), 1), "")</f>
        <v>RANGE_PARTY</v>
      </c>
      <c r="CZ5" s="94" t="str">
        <f t="array" ref="CZ5">IFERROR(INDEX(Skill!$I:$I, MATCH(CZ$4, Skill!$C:$C, 0), 1), "")</f>
        <v>RANGE_PARTY</v>
      </c>
      <c r="DA5" s="94" t="str">
        <f t="array" ref="DA5">IFERROR(INDEX(Skill!$I:$I, MATCH(DA$4, Skill!$C:$C, 0), 1), "")</f>
        <v>RANGE_PARTY</v>
      </c>
      <c r="DB5" s="94" t="str">
        <f t="array" ref="DB5">IFERROR(INDEX(Skill!$I:$I, MATCH(DB$4, Skill!$C:$C, 0), 1), "")</f>
        <v>RANGE_PARTY</v>
      </c>
      <c r="DC5" s="94" t="str">
        <f t="array" ref="DC5">IFERROR(INDEX(Skill!$I:$I, MATCH(DC$4, Skill!$C:$C, 0), 1), "")</f>
        <v>RANGE_PARTY</v>
      </c>
      <c r="DD5" s="94" t="str">
        <f t="array" ref="DD5">IFERROR(INDEX(Skill!$I:$I, MATCH(DD$4, Skill!$C:$C, 0), 1), "")</f>
        <v>SINGLE_PARTY</v>
      </c>
      <c r="DE5" s="94" t="str">
        <f t="array" ref="DE5">IFERROR(INDEX(Skill!$I:$I, MATCH(DE$4, Skill!$C:$C, 0), 1), "")</f>
        <v>SINGLE_PARTY</v>
      </c>
      <c r="DF5" s="94" t="str">
        <f t="array" ref="DF5">IFERROR(INDEX(Skill!$I:$I, MATCH(DF$4, Skill!$C:$C, 0), 1), "")</f>
        <v>SINGLE_PARTY</v>
      </c>
      <c r="DG5" s="94" t="str">
        <f t="array" ref="DG5">IFERROR(INDEX(Skill!$I:$I, MATCH(DG$4, Skill!$C:$C, 0), 1), "")</f>
        <v>SINGLE_PARTY</v>
      </c>
      <c r="DH5" s="94" t="str">
        <f t="array" ref="DH5">IFERROR(INDEX(Skill!$I:$I, MATCH(DH$4, Skill!$C:$C, 0), 1), "")</f>
        <v>SELF</v>
      </c>
      <c r="DI5" s="94" t="str">
        <f t="array" ref="DI5">IFERROR(INDEX(Skill!$I:$I, MATCH(DI$4, Skill!$C:$C, 0), 1), "")</f>
        <v/>
      </c>
      <c r="DJ5" s="94" t="str">
        <f t="array" ref="DJ5">IFERROR(INDEX(Skill!$I:$I, MATCH(DJ$4, Skill!$C:$C, 0), 1), "")</f>
        <v>SINGLE_ENEMY</v>
      </c>
      <c r="DK5" s="94" t="str">
        <f t="array" ref="DK5">IFERROR(INDEX(Skill!$I:$I, MATCH(DK$4, Skill!$C:$C, 0), 1), "")</f>
        <v>RANGE_PARTY</v>
      </c>
      <c r="DL5" s="94" t="str">
        <f t="array" ref="DL5">IFERROR(INDEX(Skill!$I:$I, MATCH(DL$4, Skill!$C:$C, 0), 1), "")</f>
        <v>SINGLE_ENEMY</v>
      </c>
      <c r="DM5" s="94" t="str">
        <f t="array" ref="DM5">IFERROR(INDEX(Skill!$I:$I, MATCH(DM$4, Skill!$C:$C, 0), 1), "")</f>
        <v>SINGLE_ENEMY</v>
      </c>
      <c r="DN5" s="94" t="str">
        <f t="array" ref="DN5">IFERROR(INDEX(Skill!$I:$I, MATCH(DN$4, Skill!$C:$C, 0), 1), "")</f>
        <v>SINGLE_ENEMY</v>
      </c>
      <c r="DO5" s="94" t="str">
        <f t="array" ref="DO5">IFERROR(INDEX(Skill!$I:$I, MATCH(DO$4, Skill!$C:$C, 0), 1), "")</f>
        <v>SINGLE_ENEMY</v>
      </c>
      <c r="DP5" s="94" t="str">
        <f t="array" ref="DP5">IFERROR(INDEX(Skill!$I:$I, MATCH(DP$4, Skill!$C:$C, 0), 1), "")</f>
        <v>SINGLE_ENEMY</v>
      </c>
      <c r="DQ5" s="94" t="str">
        <f t="array" ref="DQ5">IFERROR(INDEX(Skill!$I:$I, MATCH(DQ$4, Skill!$C:$C, 0), 1), "")</f>
        <v>RANGE_PARTY</v>
      </c>
      <c r="DR5" s="94" t="str">
        <f t="array" ref="DR5">IFERROR(INDEX(Skill!$I:$I, MATCH(DR$4, Skill!$C:$C, 0), 1), "")</f>
        <v>SINGLE_PARTY</v>
      </c>
      <c r="DS5" s="94" t="str">
        <f t="array" ref="DS5">IFERROR(INDEX(Skill!$I:$I, MATCH(DS$4, Skill!$C:$C, 0), 1), "")</f>
        <v>RANGE_PARTY</v>
      </c>
      <c r="DT5" s="94" t="str">
        <f t="array" ref="DT5">IFERROR(INDEX(Skill!$I:$I, MATCH(DT$4, Skill!$C:$C, 0), 1), "")</f>
        <v>SINGLE_ENEMY</v>
      </c>
      <c r="DU5" s="94" t="str">
        <f t="array" ref="DU5">IFERROR(INDEX(Skill!$I:$I, MATCH(DU$4, Skill!$C:$C, 0), 1), "")</f>
        <v>RANGE_PARTY</v>
      </c>
      <c r="DV5" s="94" t="str">
        <f t="array" ref="DV5">IFERROR(INDEX(Skill!$I:$I, MATCH(DV$4, Skill!$C:$C, 0), 1), "")</f>
        <v>RANGE_PARTY</v>
      </c>
      <c r="DW5" s="94" t="str">
        <f t="array" ref="DW5">IFERROR(INDEX(Skill!$I:$I, MATCH(DW$4, Skill!$C:$C, 0), 1), "")</f>
        <v>SINGLE_ENEMY</v>
      </c>
      <c r="DX5" s="94" t="str">
        <f t="array" ref="DX5">IFERROR(INDEX(Skill!$I:$I, MATCH(DX$4, Skill!$C:$C, 0), 1), "")</f>
        <v>SINGLE_ENEMY</v>
      </c>
      <c r="DY5" s="94" t="str">
        <f t="array" ref="DY5">IFERROR(INDEX(Skill!$I:$I, MATCH(DY$4, Skill!$C:$C, 0), 1), "")</f>
        <v>SINGLE_ENEMY</v>
      </c>
      <c r="DZ5" s="94" t="str">
        <f t="array" ref="DZ5">IFERROR(INDEX(Skill!$I:$I, MATCH(DZ$4, Skill!$C:$C, 0), 1), "")</f>
        <v>RANGE_PARTY</v>
      </c>
      <c r="EA5" s="89" t="str">
        <f t="array" ref="EA5">IFERROR(INDEX(Skill!$I:$I, MATCH(EA$4, Skill!$C:$C, 0), 1), "")</f>
        <v>SINGLE_ENEMY</v>
      </c>
      <c r="EB5" s="89" t="str">
        <f t="array" ref="EB5">IFERROR(INDEX(Skill!$I:$I, MATCH(EB$4, Skill!$C:$C, 0), 1), "")</f>
        <v>SELF</v>
      </c>
      <c r="EC5" s="89" t="str">
        <f t="array" ref="EC5">IFERROR(INDEX(Skill!$I:$I, MATCH(EC$4, Skill!$C:$C, 0), 1), "")</f>
        <v>SELF</v>
      </c>
      <c r="ED5" s="94" t="str">
        <f t="array" ref="ED5">IFERROR(INDEX(Skill!$I:$I, MATCH(ED$4, Skill!$C:$C, 0), 1), "")</f>
        <v>RANGE_PARTY</v>
      </c>
      <c r="EE5" s="97"/>
      <c r="EF5" s="97"/>
      <c r="EG5" s="97"/>
      <c r="EH5" s="97"/>
      <c r="EI5" s="97"/>
      <c r="EJ5" s="97"/>
      <c r="EK5" s="97"/>
      <c r="EL5" s="97"/>
      <c r="EM5" s="97"/>
      <c r="EN5" s="97"/>
      <c r="EO5" s="97"/>
      <c r="EP5" s="97"/>
      <c r="EQ5" s="97"/>
      <c r="ER5" s="76"/>
      <c r="ES5" s="76"/>
      <c r="ET5" s="76"/>
      <c r="EU5" s="97"/>
      <c r="EV5" s="97"/>
      <c r="EW5" s="97"/>
      <c r="EX5" s="97"/>
      <c r="EY5" s="76"/>
      <c r="EZ5" s="97"/>
      <c r="FA5" s="97"/>
      <c r="FB5" s="97"/>
      <c r="FC5" s="97"/>
      <c r="FD5" s="76"/>
      <c r="FE5" s="97"/>
      <c r="FF5" s="97"/>
      <c r="FG5" s="97"/>
      <c r="FH5" s="97"/>
      <c r="FI5" s="76"/>
      <c r="FJ5" s="97"/>
      <c r="FK5" s="97"/>
      <c r="FL5" s="97"/>
      <c r="FM5" s="97"/>
      <c r="FN5" s="76"/>
      <c r="FO5" s="91"/>
    </row>
    <row r="6" hidden="1">
      <c r="B6" s="92" t="b">
        <f>Option!$C9</f>
        <v>1</v>
      </c>
      <c r="C6" s="93"/>
      <c r="D6" s="83"/>
      <c r="E6" s="84" t="s">
        <v>8</v>
      </c>
      <c r="F6" s="84"/>
      <c r="G6" s="84"/>
      <c r="H6" s="84"/>
      <c r="I6" s="84"/>
      <c r="J6" s="84"/>
      <c r="K6" s="94">
        <f t="array" ref="K6">IFERROR(INDEX(Skill!$J:$J, MATCH(K$4, Skill!$C:$C, 0), 1), "")</f>
        <v>1</v>
      </c>
      <c r="L6" s="94">
        <f t="array" ref="L6">IFERROR(INDEX(Skill!$J:$J, MATCH(L$4, Skill!$C:$C, 0), 1), "")</f>
        <v>1</v>
      </c>
      <c r="M6" s="94">
        <f t="array" ref="M6">IFERROR(INDEX(Skill!$J:$J, MATCH(M$4, Skill!$C:$C, 0), 1), "")</f>
        <v>1</v>
      </c>
      <c r="N6" s="94">
        <f t="array" ref="N6">IFERROR(INDEX(Skill!$J:$J, MATCH(N$4, Skill!$C:$C, 0), 1), "")</f>
        <v>1</v>
      </c>
      <c r="O6" s="94">
        <f t="array" ref="O6">IFERROR(INDEX(Skill!$J:$J, MATCH(O$4, Skill!$C:$C, 0), 1), "")</f>
        <v>1</v>
      </c>
      <c r="P6" s="94">
        <f t="array" ref="P6">IFERROR(INDEX(Skill!$J:$J, MATCH(P$4, Skill!$C:$C, 0), 1), "")</f>
        <v>1</v>
      </c>
      <c r="Q6" s="94">
        <f t="array" ref="Q6">IFERROR(INDEX(Skill!$J:$J, MATCH(Q$4, Skill!$C:$C, 0), 1), "")</f>
        <v>1</v>
      </c>
      <c r="R6" s="94">
        <f t="array" ref="R6">IFERROR(INDEX(Skill!$J:$J, MATCH(R$4, Skill!$C:$C, 0), 1), "")</f>
        <v>1</v>
      </c>
      <c r="S6" s="94">
        <f t="array" ref="S6">IFERROR(INDEX(Skill!$J:$J, MATCH(S$4, Skill!$C:$C, 0), 1), "")</f>
        <v>1</v>
      </c>
      <c r="T6" s="94">
        <f t="array" ref="T6">IFERROR(INDEX(Skill!$J:$J, MATCH(T$4, Skill!$C:$C, 0), 1), "")</f>
        <v>1</v>
      </c>
      <c r="U6" s="94">
        <f t="array" ref="U6">IFERROR(INDEX(Skill!$J:$J, MATCH(U$4, Skill!$C:$C, 0), 1), "")</f>
        <v>1</v>
      </c>
      <c r="V6" s="94">
        <f t="array" ref="V6">IFERROR(INDEX(Skill!$J:$J, MATCH(V$4, Skill!$C:$C, 0), 1), "")</f>
        <v>1</v>
      </c>
      <c r="W6" s="94">
        <f t="array" ref="W6">IFERROR(INDEX(Skill!$J:$J, MATCH(W$4, Skill!$C:$C, 0), 1), "")</f>
        <v>1</v>
      </c>
      <c r="X6" s="94">
        <f t="array" ref="X6">IFERROR(INDEX(Skill!$J:$J, MATCH(X$4, Skill!$C:$C, 0), 1), "")</f>
        <v>1</v>
      </c>
      <c r="Y6" s="94">
        <f t="array" ref="Y6">IFERROR(INDEX(Skill!$J:$J, MATCH(Y$4, Skill!$C:$C, 0), 1), "")</f>
        <v>1</v>
      </c>
      <c r="Z6" s="94">
        <f t="array" ref="Z6">IFERROR(INDEX(Skill!$J:$J, MATCH(Z$4, Skill!$C:$C, 0), 1), "")</f>
        <v>1</v>
      </c>
      <c r="AA6" s="94">
        <f t="array" ref="AA6">IFERROR(INDEX(Skill!$J:$J, MATCH(AA$4, Skill!$C:$C, 0), 1), "")</f>
        <v>1</v>
      </c>
      <c r="AB6" s="94">
        <f t="array" ref="AB6">IFERROR(INDEX(Skill!$J:$J, MATCH(AB$4, Skill!$C:$C, 0), 1), "")</f>
        <v>1</v>
      </c>
      <c r="AC6" s="94">
        <f t="array" ref="AC6">IFERROR(INDEX(Skill!$J:$J, MATCH(AC$4, Skill!$C:$C, 0), 1), "")</f>
        <v>1</v>
      </c>
      <c r="AD6" s="94">
        <f t="array" ref="AD6">IFERROR(INDEX(Skill!$J:$J, MATCH(AD$4, Skill!$C:$C, 0), 1), "")</f>
        <v>1</v>
      </c>
      <c r="AE6" s="94">
        <f t="array" ref="AE6">IFERROR(INDEX(Skill!$J:$J, MATCH(AE$4, Skill!$C:$C, 0), 1), "")</f>
        <v>1</v>
      </c>
      <c r="AF6" s="94">
        <f t="array" ref="AF6">IFERROR(INDEX(Skill!$J:$J, MATCH(AF$4, Skill!$C:$C, 0), 1), "")</f>
        <v>2</v>
      </c>
      <c r="AG6" s="94" t="str">
        <f t="array" ref="AG6">IFERROR(INDEX(Skill!$J:$J, MATCH(AG$4, Skill!$C:$C, 0), 1), "")</f>
        <v/>
      </c>
      <c r="AH6" s="94">
        <f t="array" ref="AH6">IFERROR(INDEX(Skill!$J:$J, MATCH(AH$4, Skill!$C:$C, 0), 1), "")</f>
        <v>1</v>
      </c>
      <c r="AI6" s="94">
        <f t="array" ref="AI6">IFERROR(INDEX(Skill!$J:$J, MATCH(AI$4, Skill!$C:$C, 0), 1), "")</f>
        <v>1</v>
      </c>
      <c r="AJ6" s="94">
        <f t="array" ref="AJ6">IFERROR(INDEX(Skill!$J:$J, MATCH(AJ$4, Skill!$C:$C, 0), 1), "")</f>
        <v>1</v>
      </c>
      <c r="AK6" s="94">
        <f t="array" ref="AK6">IFERROR(INDEX(Skill!$J:$J, MATCH(AK$4, Skill!$C:$C, 0), 1), "")</f>
        <v>1</v>
      </c>
      <c r="AL6" s="94">
        <f t="array" ref="AL6">IFERROR(INDEX(Skill!$J:$J, MATCH(AL$4, Skill!$C:$C, 0), 1), "")</f>
        <v>1</v>
      </c>
      <c r="AM6" s="94">
        <f t="array" ref="AM6">IFERROR(INDEX(Skill!$J:$J, MATCH(AM$4, Skill!$C:$C, 0), 1), "")</f>
        <v>1</v>
      </c>
      <c r="AN6" s="94">
        <f t="array" ref="AN6">IFERROR(INDEX(Skill!$J:$J, MATCH(AN$4, Skill!$C:$C, 0), 1), "")</f>
        <v>1</v>
      </c>
      <c r="AO6" s="94">
        <f t="array" ref="AO6">IFERROR(INDEX(Skill!$J:$J, MATCH(AO$4, Skill!$C:$C, 0), 1), "")</f>
        <v>1</v>
      </c>
      <c r="AP6" s="94">
        <f t="array" ref="AP6">IFERROR(INDEX(Skill!$J:$J, MATCH(AP$4, Skill!$C:$C, 0), 1), "")</f>
        <v>1</v>
      </c>
      <c r="AQ6" s="94">
        <f t="array" ref="AQ6">IFERROR(INDEX(Skill!$J:$J, MATCH(AQ$4, Skill!$C:$C, 0), 1), "")</f>
        <v>1</v>
      </c>
      <c r="AR6" s="94">
        <f t="array" ref="AR6">IFERROR(INDEX(Skill!$J:$J, MATCH(AR$4, Skill!$C:$C, 0), 1), "")</f>
        <v>1</v>
      </c>
      <c r="AS6" s="94">
        <f t="array" ref="AS6">IFERROR(INDEX(Skill!$J:$J, MATCH(AS$4, Skill!$C:$C, 0), 1), "")</f>
        <v>1</v>
      </c>
      <c r="AT6" s="94">
        <f t="array" ref="AT6">IFERROR(INDEX(Skill!$J:$J, MATCH(AT$4, Skill!$C:$C, 0), 1), "")</f>
        <v>1</v>
      </c>
      <c r="AU6" s="94">
        <f t="array" ref="AU6">IFERROR(INDEX(Skill!$J:$J, MATCH(AU$4, Skill!$C:$C, 0), 1), "")</f>
        <v>1</v>
      </c>
      <c r="AV6" s="94">
        <f t="array" ref="AV6">IFERROR(INDEX(Skill!$J:$J, MATCH(AV$4, Skill!$C:$C, 0), 1), "")</f>
        <v>1</v>
      </c>
      <c r="AW6" s="94">
        <f t="array" ref="AW6">IFERROR(INDEX(Skill!$J:$J, MATCH(AW$4, Skill!$C:$C, 0), 1), "")</f>
        <v>1</v>
      </c>
      <c r="AX6" s="94">
        <f t="array" ref="AX6">IFERROR(INDEX(Skill!$J:$J, MATCH(AX$4, Skill!$C:$C, 0), 1), "")</f>
        <v>1</v>
      </c>
      <c r="AY6" s="94">
        <f t="array" ref="AY6">IFERROR(INDEX(Skill!$J:$J, MATCH(AY$4, Skill!$C:$C, 0), 1), "")</f>
        <v>1</v>
      </c>
      <c r="AZ6" s="94">
        <f t="array" ref="AZ6">IFERROR(INDEX(Skill!$J:$J, MATCH(AZ$4, Skill!$C:$C, 0), 1), "")</f>
        <v>2</v>
      </c>
      <c r="BA6" s="94" t="str">
        <f t="array" ref="BA6">IFERROR(INDEX(Skill!$J:$J, MATCH(BA$4, Skill!$C:$C, 0), 1), "")</f>
        <v/>
      </c>
      <c r="BB6" s="94">
        <f t="array" ref="BB6">IFERROR(INDEX(Skill!$J:$J, MATCH(BB$4, Skill!$C:$C, 0), 1), "")</f>
        <v>2</v>
      </c>
      <c r="BC6" s="94" t="str">
        <f t="array" ref="BC6">IFERROR(INDEX(Skill!$J:$J, MATCH(BC$4, Skill!$C:$C, 0), 1), "")</f>
        <v/>
      </c>
      <c r="BD6" s="94">
        <f t="array" ref="BD6">IFERROR(INDEX(Skill!$J:$J, MATCH(BD$4, Skill!$C:$C, 0), 1), "")</f>
        <v>1</v>
      </c>
      <c r="BE6" s="94">
        <f t="array" ref="BE6">IFERROR(INDEX(Skill!$J:$J, MATCH(BE$4, Skill!$C:$C, 0), 1), "")</f>
        <v>1</v>
      </c>
      <c r="BF6" s="94">
        <f t="array" ref="BF6">IFERROR(INDEX(Skill!$J:$J, MATCH(BF$4, Skill!$C:$C, 0), 1), "")</f>
        <v>1</v>
      </c>
      <c r="BG6" s="94">
        <f t="array" ref="BG6">IFERROR(INDEX(Skill!$J:$J, MATCH(BG$4, Skill!$C:$C, 0), 1), "")</f>
        <v>1</v>
      </c>
      <c r="BH6" s="94">
        <f t="array" ref="BH6">IFERROR(INDEX(Skill!$J:$J, MATCH(BH$4, Skill!$C:$C, 0), 1), "")</f>
        <v>1</v>
      </c>
      <c r="BI6" s="94">
        <f t="array" ref="BI6">IFERROR(INDEX(Skill!$J:$J, MATCH(BI$4, Skill!$C:$C, 0), 1), "")</f>
        <v>1</v>
      </c>
      <c r="BJ6" s="94">
        <f t="array" ref="BJ6">IFERROR(INDEX(Skill!$J:$J, MATCH(BJ$4, Skill!$C:$C, 0), 1), "")</f>
        <v>1</v>
      </c>
      <c r="BK6" s="94">
        <f t="array" ref="BK6">IFERROR(INDEX(Skill!$J:$J, MATCH(BK$4, Skill!$C:$C, 0), 1), "")</f>
        <v>1</v>
      </c>
      <c r="BL6" s="94">
        <f t="array" ref="BL6">IFERROR(INDEX(Skill!$J:$J, MATCH(BL$4, Skill!$C:$C, 0), 1), "")</f>
        <v>1</v>
      </c>
      <c r="BM6" s="94">
        <f t="array" ref="BM6">IFERROR(INDEX(Skill!$J:$J, MATCH(BM$4, Skill!$C:$C, 0), 1), "")</f>
        <v>1</v>
      </c>
      <c r="BN6" s="94">
        <f t="array" ref="BN6">IFERROR(INDEX(Skill!$J:$J, MATCH(BN$4, Skill!$C:$C, 0), 1), "")</f>
        <v>1</v>
      </c>
      <c r="BO6" s="94">
        <f t="array" ref="BO6">IFERROR(INDEX(Skill!$J:$J, MATCH(BO$4, Skill!$C:$C, 0), 1), "")</f>
        <v>1</v>
      </c>
      <c r="BP6" s="94">
        <f t="array" ref="BP6">IFERROR(INDEX(Skill!$J:$J, MATCH(BP$4, Skill!$C:$C, 0), 1), "")</f>
        <v>1</v>
      </c>
      <c r="BQ6" s="94">
        <f t="array" ref="BQ6">IFERROR(INDEX(Skill!$J:$J, MATCH(BQ$4, Skill!$C:$C, 0), 1), "")</f>
        <v>1</v>
      </c>
      <c r="BR6" s="94">
        <f t="array" ref="BR6">IFERROR(INDEX(Skill!$J:$J, MATCH(BR$4, Skill!$C:$C, 0), 1), "")</f>
        <v>1</v>
      </c>
      <c r="BS6" s="94">
        <f t="array" ref="BS6">IFERROR(INDEX(Skill!$J:$J, MATCH(BS$4, Skill!$C:$C, 0), 1), "")</f>
        <v>3</v>
      </c>
      <c r="BT6" s="94" t="str">
        <f t="array" ref="BT6">IFERROR(INDEX(Skill!$J:$J, MATCH(BT$4, Skill!$C:$C, 0), 1), "")</f>
        <v/>
      </c>
      <c r="BU6" s="94">
        <f t="array" ref="BU6">IFERROR(INDEX(Skill!$J:$J, MATCH(BU$4, Skill!$C:$C, 0), 1), "")</f>
        <v>1</v>
      </c>
      <c r="BV6" s="94">
        <f t="array" ref="BV6">IFERROR(INDEX(Skill!$J:$J, MATCH(BV$4, Skill!$C:$C, 0), 1), "")</f>
        <v>2</v>
      </c>
      <c r="BW6" s="94" t="str">
        <f t="array" ref="BW6">IFERROR(INDEX(Skill!$J:$J, MATCH(BW$4, Skill!$C:$C, 0), 1), "")</f>
        <v/>
      </c>
      <c r="BX6" s="94">
        <f t="array" ref="BX6">IFERROR(INDEX(Skill!$J:$J, MATCH(BX$4, Skill!$C:$C, 0), 1), "")</f>
        <v>1</v>
      </c>
      <c r="BY6" s="94">
        <f t="array" ref="BY6">IFERROR(INDEX(Skill!$J:$J, MATCH(BY$4, Skill!$C:$C, 0), 1), "")</f>
        <v>1</v>
      </c>
      <c r="BZ6" s="94">
        <f t="array" ref="BZ6">IFERROR(INDEX(Skill!$J:$J, MATCH(BZ$4, Skill!$C:$C, 0), 1), "")</f>
        <v>1</v>
      </c>
      <c r="CA6" s="94">
        <f t="array" ref="CA6">IFERROR(INDEX(Skill!$J:$J, MATCH(CA$4, Skill!$C:$C, 0), 1), "")</f>
        <v>1</v>
      </c>
      <c r="CB6" s="94">
        <f t="array" ref="CB6">IFERROR(INDEX(Skill!$J:$J, MATCH(CB$4, Skill!$C:$C, 0), 1), "")</f>
        <v>1</v>
      </c>
      <c r="CC6" s="94">
        <f t="array" ref="CC6">IFERROR(INDEX(Skill!$J:$J, MATCH(CC$4, Skill!$C:$C, 0), 1), "")</f>
        <v>1</v>
      </c>
      <c r="CD6" s="94">
        <f t="array" ref="CD6">IFERROR(INDEX(Skill!$J:$J, MATCH(CD$4, Skill!$C:$C, 0), 1), "")</f>
        <v>1</v>
      </c>
      <c r="CE6" s="94">
        <f t="array" ref="CE6">IFERROR(INDEX(Skill!$J:$J, MATCH(CE$4, Skill!$C:$C, 0), 1), "")</f>
        <v>1</v>
      </c>
      <c r="CF6" s="94">
        <f t="array" ref="CF6">IFERROR(INDEX(Skill!$J:$J, MATCH(CF$4, Skill!$C:$C, 0), 1), "")</f>
        <v>1</v>
      </c>
      <c r="CG6" s="94">
        <f t="array" ref="CG6">IFERROR(INDEX(Skill!$J:$J, MATCH(CG$4, Skill!$C:$C, 0), 1), "")</f>
        <v>1</v>
      </c>
      <c r="CH6" s="94">
        <f t="array" ref="CH6">IFERROR(INDEX(Skill!$J:$J, MATCH(CH$4, Skill!$C:$C, 0), 1), "")</f>
        <v>1</v>
      </c>
      <c r="CI6" s="94">
        <f t="array" ref="CI6">IFERROR(INDEX(Skill!$J:$J, MATCH(CI$4, Skill!$C:$C, 0), 1), "")</f>
        <v>1</v>
      </c>
      <c r="CJ6" s="94">
        <f t="array" ref="CJ6">IFERROR(INDEX(Skill!$J:$J, MATCH(CJ$4, Skill!$C:$C, 0), 1), "")</f>
        <v>1</v>
      </c>
      <c r="CK6" s="94">
        <f t="array" ref="CK6">IFERROR(INDEX(Skill!$J:$J, MATCH(CK$4, Skill!$C:$C, 0), 1), "")</f>
        <v>1</v>
      </c>
      <c r="CL6" s="94">
        <f t="array" ref="CL6">IFERROR(INDEX(Skill!$J:$J, MATCH(CL$4, Skill!$C:$C, 0), 1), "")</f>
        <v>1</v>
      </c>
      <c r="CM6" s="94">
        <f t="array" ref="CM6">IFERROR(INDEX(Skill!$J:$J, MATCH(CM$4, Skill!$C:$C, 0), 1), "")</f>
        <v>1</v>
      </c>
      <c r="CN6" s="94">
        <f t="array" ref="CN6">IFERROR(INDEX(Skill!$J:$J, MATCH(CN$4, Skill!$C:$C, 0), 1), "")</f>
        <v>1</v>
      </c>
      <c r="CO6" s="94">
        <f t="array" ref="CO6">IFERROR(INDEX(Skill!$J:$J, MATCH(CO$4, Skill!$C:$C, 0), 1), "")</f>
        <v>1</v>
      </c>
      <c r="CP6" s="94">
        <f t="array" ref="CP6">IFERROR(INDEX(Skill!$J:$J, MATCH(CP$4, Skill!$C:$C, 0), 1), "")</f>
        <v>1</v>
      </c>
      <c r="CQ6" s="94">
        <f t="array" ref="CQ6">IFERROR(INDEX(Skill!$J:$J, MATCH(CQ$4, Skill!$C:$C, 0), 1), "")</f>
        <v>1</v>
      </c>
      <c r="CR6" s="94">
        <f t="array" ref="CR6">IFERROR(INDEX(Skill!$J:$J, MATCH(CR$4, Skill!$C:$C, 0), 1), "")</f>
        <v>1</v>
      </c>
      <c r="CS6" s="94" t="str">
        <f t="array" ref="CS6">IFERROR(INDEX(Skill!$J:$J, MATCH(CS$4, Skill!$C:$C, 0), 1), "")</f>
        <v/>
      </c>
      <c r="CT6" s="94">
        <f t="array" ref="CT6">IFERROR(INDEX(Skill!$J:$J, MATCH(CT$4, Skill!$C:$C, 0), 1), "")</f>
        <v>1</v>
      </c>
      <c r="CU6" s="94">
        <f t="array" ref="CU6">IFERROR(INDEX(Skill!$J:$J, MATCH(CU$4, Skill!$C:$C, 0), 1), "")</f>
        <v>1</v>
      </c>
      <c r="CV6" s="94">
        <f t="array" ref="CV6">IFERROR(INDEX(Skill!$J:$J, MATCH(CV$4, Skill!$C:$C, 0), 1), "")</f>
        <v>1</v>
      </c>
      <c r="CW6" s="94">
        <f t="array" ref="CW6">IFERROR(INDEX(Skill!$J:$J, MATCH(CW$4, Skill!$C:$C, 0), 1), "")</f>
        <v>1</v>
      </c>
      <c r="CX6" s="94">
        <f t="array" ref="CX6">IFERROR(INDEX(Skill!$J:$J, MATCH(CX$4, Skill!$C:$C, 0), 1), "")</f>
        <v>1</v>
      </c>
      <c r="CY6" s="94">
        <f t="array" ref="CY6">IFERROR(INDEX(Skill!$J:$J, MATCH(CY$4, Skill!$C:$C, 0), 1), "")</f>
        <v>1</v>
      </c>
      <c r="CZ6" s="94">
        <f t="array" ref="CZ6">IFERROR(INDEX(Skill!$J:$J, MATCH(CZ$4, Skill!$C:$C, 0), 1), "")</f>
        <v>1</v>
      </c>
      <c r="DA6" s="94">
        <f t="array" ref="DA6">IFERROR(INDEX(Skill!$J:$J, MATCH(DA$4, Skill!$C:$C, 0), 1), "")</f>
        <v>1</v>
      </c>
      <c r="DB6" s="94">
        <f t="array" ref="DB6">IFERROR(INDEX(Skill!$J:$J, MATCH(DB$4, Skill!$C:$C, 0), 1), "")</f>
        <v>1</v>
      </c>
      <c r="DC6" s="94">
        <f t="array" ref="DC6">IFERROR(INDEX(Skill!$J:$J, MATCH(DC$4, Skill!$C:$C, 0), 1), "")</f>
        <v>1</v>
      </c>
      <c r="DD6" s="94">
        <f t="array" ref="DD6">IFERROR(INDEX(Skill!$J:$J, MATCH(DD$4, Skill!$C:$C, 0), 1), "")</f>
        <v>1</v>
      </c>
      <c r="DE6" s="94">
        <f t="array" ref="DE6">IFERROR(INDEX(Skill!$J:$J, MATCH(DE$4, Skill!$C:$C, 0), 1), "")</f>
        <v>1</v>
      </c>
      <c r="DF6" s="94">
        <f t="array" ref="DF6">IFERROR(INDEX(Skill!$J:$J, MATCH(DF$4, Skill!$C:$C, 0), 1), "")</f>
        <v>1</v>
      </c>
      <c r="DG6" s="94">
        <f t="array" ref="DG6">IFERROR(INDEX(Skill!$J:$J, MATCH(DG$4, Skill!$C:$C, 0), 1), "")</f>
        <v>1</v>
      </c>
      <c r="DH6" s="94">
        <f t="array" ref="DH6">IFERROR(INDEX(Skill!$J:$J, MATCH(DH$4, Skill!$C:$C, 0), 1), "")</f>
        <v>1</v>
      </c>
      <c r="DI6" s="94" t="str">
        <f t="array" ref="DI6">IFERROR(INDEX(Skill!$J:$J, MATCH(DI$4, Skill!$C:$C, 0), 1), "")</f>
        <v/>
      </c>
      <c r="DJ6" s="94">
        <f t="array" ref="DJ6">IFERROR(INDEX(Skill!$J:$J, MATCH(DJ$4, Skill!$C:$C, 0), 1), "")</f>
        <v>1</v>
      </c>
      <c r="DK6" s="94">
        <f t="array" ref="DK6">IFERROR(INDEX(Skill!$J:$J, MATCH(DK$4, Skill!$C:$C, 0), 1), "")</f>
        <v>1</v>
      </c>
      <c r="DL6" s="94">
        <f t="array" ref="DL6">IFERROR(INDEX(Skill!$J:$J, MATCH(DL$4, Skill!$C:$C, 0), 1), "")</f>
        <v>1</v>
      </c>
      <c r="DM6" s="94">
        <f t="array" ref="DM6">IFERROR(INDEX(Skill!$J:$J, MATCH(DM$4, Skill!$C:$C, 0), 1), "")</f>
        <v>1</v>
      </c>
      <c r="DN6" s="94">
        <f t="array" ref="DN6">IFERROR(INDEX(Skill!$J:$J, MATCH(DN$4, Skill!$C:$C, 0), 1), "")</f>
        <v>1</v>
      </c>
      <c r="DO6" s="94">
        <f t="array" ref="DO6">IFERROR(INDEX(Skill!$J:$J, MATCH(DO$4, Skill!$C:$C, 0), 1), "")</f>
        <v>1</v>
      </c>
      <c r="DP6" s="94">
        <f t="array" ref="DP6">IFERROR(INDEX(Skill!$J:$J, MATCH(DP$4, Skill!$C:$C, 0), 1), "")</f>
        <v>1</v>
      </c>
      <c r="DQ6" s="94">
        <f t="array" ref="DQ6">IFERROR(INDEX(Skill!$J:$J, MATCH(DQ$4, Skill!$C:$C, 0), 1), "")</f>
        <v>1</v>
      </c>
      <c r="DR6" s="94">
        <f t="array" ref="DR6">IFERROR(INDEX(Skill!$J:$J, MATCH(DR$4, Skill!$C:$C, 0), 1), "")</f>
        <v>1</v>
      </c>
      <c r="DS6" s="94">
        <f t="array" ref="DS6">IFERROR(INDEX(Skill!$J:$J, MATCH(DS$4, Skill!$C:$C, 0), 1), "")</f>
        <v>1</v>
      </c>
      <c r="DT6" s="94">
        <f t="array" ref="DT6">IFERROR(INDEX(Skill!$J:$J, MATCH(DT$4, Skill!$C:$C, 0), 1), "")</f>
        <v>1</v>
      </c>
      <c r="DU6" s="94">
        <f t="array" ref="DU6">IFERROR(INDEX(Skill!$J:$J, MATCH(DU$4, Skill!$C:$C, 0), 1), "")</f>
        <v>1</v>
      </c>
      <c r="DV6" s="94">
        <f t="array" ref="DV6">IFERROR(INDEX(Skill!$J:$J, MATCH(DV$4, Skill!$C:$C, 0), 1), "")</f>
        <v>1</v>
      </c>
      <c r="DW6" s="94">
        <f t="array" ref="DW6">IFERROR(INDEX(Skill!$J:$J, MATCH(DW$4, Skill!$C:$C, 0), 1), "")</f>
        <v>1</v>
      </c>
      <c r="DX6" s="94">
        <f t="array" ref="DX6">IFERROR(INDEX(Skill!$J:$J, MATCH(DX$4, Skill!$C:$C, 0), 1), "")</f>
        <v>1</v>
      </c>
      <c r="DY6" s="94">
        <f t="array" ref="DY6">IFERROR(INDEX(Skill!$J:$J, MATCH(DY$4, Skill!$C:$C, 0), 1), "")</f>
        <v>1</v>
      </c>
      <c r="DZ6" s="94">
        <f t="array" ref="DZ6">IFERROR(INDEX(Skill!$J:$J, MATCH(DZ$4, Skill!$C:$C, 0), 1), "")</f>
        <v>1</v>
      </c>
      <c r="EA6" s="89">
        <f t="array" ref="EA6">IFERROR(INDEX(Skill!$J:$J, MATCH(EA$4, Skill!$C:$C, 0), 1), "")</f>
        <v>1</v>
      </c>
      <c r="EB6" s="89">
        <f t="array" ref="EB6">IFERROR(INDEX(Skill!$J:$J, MATCH(EB$4, Skill!$C:$C, 0), 1), "")</f>
        <v>1</v>
      </c>
      <c r="EC6" s="89">
        <f t="array" ref="EC6">IFERROR(INDEX(Skill!$J:$J, MATCH(EC$4, Skill!$C:$C, 0), 1), "")</f>
        <v>1</v>
      </c>
      <c r="ED6" s="94">
        <f t="array" ref="ED6">IFERROR(INDEX(Skill!$J:$J, MATCH(ED$4, Skill!$C:$C, 0), 1), "")</f>
        <v>1</v>
      </c>
      <c r="EE6" s="94"/>
      <c r="EF6" s="94"/>
      <c r="EG6" s="94"/>
      <c r="EH6" s="94"/>
      <c r="EI6" s="94"/>
      <c r="EJ6" s="94"/>
      <c r="EK6" s="94"/>
      <c r="EL6" s="94"/>
      <c r="EM6" s="94"/>
      <c r="EN6" s="94"/>
      <c r="EO6" s="94"/>
      <c r="EP6" s="94"/>
      <c r="EQ6" s="94"/>
      <c r="ER6" s="94"/>
      <c r="ES6" s="94"/>
      <c r="ET6" s="94"/>
      <c r="EU6" s="94"/>
      <c r="EV6" s="94"/>
      <c r="EW6" s="94"/>
      <c r="EX6" s="94"/>
      <c r="EY6" s="94"/>
      <c r="EZ6" s="94"/>
      <c r="FA6" s="94"/>
      <c r="FB6" s="94"/>
      <c r="FC6" s="94"/>
      <c r="FD6" s="94"/>
      <c r="FE6" s="94"/>
      <c r="FF6" s="94"/>
      <c r="FG6" s="94"/>
      <c r="FH6" s="94"/>
      <c r="FI6" s="94"/>
      <c r="FJ6" s="94"/>
      <c r="FK6" s="94"/>
      <c r="FL6" s="94"/>
      <c r="FM6" s="94"/>
      <c r="FN6" s="94"/>
      <c r="FO6" s="91"/>
    </row>
    <row r="7" hidden="1">
      <c r="B7" s="92"/>
      <c r="C7" s="93"/>
      <c r="D7" s="83"/>
      <c r="E7" s="84" t="s">
        <v>6</v>
      </c>
      <c r="F7" s="84"/>
      <c r="G7" s="84"/>
      <c r="H7" s="84"/>
      <c r="I7" s="84"/>
      <c r="J7" s="84"/>
      <c r="K7" s="94" t="b">
        <f t="array" ref="K7">IFERROR(INDEX(Skill!$H:$H, MATCH(K$4, Skill!$C:$C, 0), 1), "")</f>
        <v>1</v>
      </c>
      <c r="L7" s="94" t="b">
        <f t="array" ref="L7">IFERROR(INDEX(Skill!$H:$H, MATCH(L$4, Skill!$C:$C, 0), 1), "")</f>
        <v>1</v>
      </c>
      <c r="M7" s="94" t="b">
        <f t="array" ref="M7">IFERROR(INDEX(Skill!$H:$H, MATCH(M$4, Skill!$C:$C, 0), 1), "")</f>
        <v>1</v>
      </c>
      <c r="N7" s="94" t="b">
        <f t="array" ref="N7">IFERROR(INDEX(Skill!$H:$H, MATCH(N$4, Skill!$C:$C, 0), 1), "")</f>
        <v>1</v>
      </c>
      <c r="O7" s="94" t="b">
        <f t="array" ref="O7">IFERROR(INDEX(Skill!$H:$H, MATCH(O$4, Skill!$C:$C, 0), 1), "")</f>
        <v>1</v>
      </c>
      <c r="P7" s="94" t="b">
        <f t="array" ref="P7">IFERROR(INDEX(Skill!$H:$H, MATCH(P$4, Skill!$C:$C, 0), 1), "")</f>
        <v>1</v>
      </c>
      <c r="Q7" s="94" t="b">
        <f t="array" ref="Q7">IFERROR(INDEX(Skill!$H:$H, MATCH(Q$4, Skill!$C:$C, 0), 1), "")</f>
        <v>1</v>
      </c>
      <c r="R7" s="94" t="b">
        <f t="array" ref="R7">IFERROR(INDEX(Skill!$H:$H, MATCH(R$4, Skill!$C:$C, 0), 1), "")</f>
        <v>1</v>
      </c>
      <c r="S7" s="94" t="b">
        <f t="array" ref="S7">IFERROR(INDEX(Skill!$H:$H, MATCH(S$4, Skill!$C:$C, 0), 1), "")</f>
        <v>1</v>
      </c>
      <c r="T7" s="94" t="b">
        <f t="array" ref="T7">IFERROR(INDEX(Skill!$H:$H, MATCH(T$4, Skill!$C:$C, 0), 1), "")</f>
        <v>1</v>
      </c>
      <c r="U7" s="94" t="b">
        <f t="array" ref="U7">IFERROR(INDEX(Skill!$H:$H, MATCH(U$4, Skill!$C:$C, 0), 1), "")</f>
        <v>1</v>
      </c>
      <c r="V7" s="94" t="b">
        <f t="array" ref="V7">IFERROR(INDEX(Skill!$H:$H, MATCH(V$4, Skill!$C:$C, 0), 1), "")</f>
        <v>1</v>
      </c>
      <c r="W7" s="94" t="b">
        <f t="array" ref="W7">IFERROR(INDEX(Skill!$H:$H, MATCH(W$4, Skill!$C:$C, 0), 1), "")</f>
        <v>1</v>
      </c>
      <c r="X7" s="94" t="b">
        <f t="array" ref="X7">IFERROR(INDEX(Skill!$H:$H, MATCH(X$4, Skill!$C:$C, 0), 1), "")</f>
        <v>1</v>
      </c>
      <c r="Y7" s="94" t="b">
        <f t="array" ref="Y7">IFERROR(INDEX(Skill!$H:$H, MATCH(Y$4, Skill!$C:$C, 0), 1), "")</f>
        <v>1</v>
      </c>
      <c r="Z7" s="94" t="b">
        <f t="array" ref="Z7">IFERROR(INDEX(Skill!$H:$H, MATCH(Z$4, Skill!$C:$C, 0), 1), "")</f>
        <v>1</v>
      </c>
      <c r="AA7" s="94" t="b">
        <f t="array" ref="AA7">IFERROR(INDEX(Skill!$H:$H, MATCH(AA$4, Skill!$C:$C, 0), 1), "")</f>
        <v>1</v>
      </c>
      <c r="AB7" s="94" t="b">
        <f t="array" ref="AB7">IFERROR(INDEX(Skill!$H:$H, MATCH(AB$4, Skill!$C:$C, 0), 1), "")</f>
        <v>1</v>
      </c>
      <c r="AC7" s="94" t="b">
        <f t="array" ref="AC7">IFERROR(INDEX(Skill!$H:$H, MATCH(AC$4, Skill!$C:$C, 0), 1), "")</f>
        <v>1</v>
      </c>
      <c r="AD7" s="94" t="b">
        <f t="array" ref="AD7">IFERROR(INDEX(Skill!$H:$H, MATCH(AD$4, Skill!$C:$C, 0), 1), "")</f>
        <v>1</v>
      </c>
      <c r="AE7" s="94" t="b">
        <f t="array" ref="AE7">IFERROR(INDEX(Skill!$H:$H, MATCH(AE$4, Skill!$C:$C, 0), 1), "")</f>
        <v>1</v>
      </c>
      <c r="AF7" s="94" t="b">
        <f t="array" ref="AF7">IFERROR(INDEX(Skill!$H:$H, MATCH(AF$4, Skill!$C:$C, 0), 1), "")</f>
        <v>1</v>
      </c>
      <c r="AG7" s="94" t="str">
        <f t="array" ref="AG7">IFERROR(INDEX(Skill!$H:$H, MATCH(AG$4, Skill!$C:$C, 0), 1), "")</f>
        <v/>
      </c>
      <c r="AH7" s="94" t="b">
        <f t="array" ref="AH7">IFERROR(INDEX(Skill!$H:$H, MATCH(AH$4, Skill!$C:$C, 0), 1), "")</f>
        <v>1</v>
      </c>
      <c r="AI7" s="94" t="b">
        <f t="array" ref="AI7">IFERROR(INDEX(Skill!$H:$H, MATCH(AI$4, Skill!$C:$C, 0), 1), "")</f>
        <v>1</v>
      </c>
      <c r="AJ7" s="94" t="b">
        <f t="array" ref="AJ7">IFERROR(INDEX(Skill!$H:$H, MATCH(AJ$4, Skill!$C:$C, 0), 1), "")</f>
        <v>1</v>
      </c>
      <c r="AK7" s="94" t="b">
        <f t="array" ref="AK7">IFERROR(INDEX(Skill!$H:$H, MATCH(AK$4, Skill!$C:$C, 0), 1), "")</f>
        <v>1</v>
      </c>
      <c r="AL7" s="94" t="b">
        <f t="array" ref="AL7">IFERROR(INDEX(Skill!$H:$H, MATCH(AL$4, Skill!$C:$C, 0), 1), "")</f>
        <v>1</v>
      </c>
      <c r="AM7" s="94" t="b">
        <f t="array" ref="AM7">IFERROR(INDEX(Skill!$H:$H, MATCH(AM$4, Skill!$C:$C, 0), 1), "")</f>
        <v>1</v>
      </c>
      <c r="AN7" s="94" t="b">
        <f t="array" ref="AN7">IFERROR(INDEX(Skill!$H:$H, MATCH(AN$4, Skill!$C:$C, 0), 1), "")</f>
        <v>1</v>
      </c>
      <c r="AO7" s="94" t="b">
        <f t="array" ref="AO7">IFERROR(INDEX(Skill!$H:$H, MATCH(AO$4, Skill!$C:$C, 0), 1), "")</f>
        <v>1</v>
      </c>
      <c r="AP7" s="94" t="b">
        <f t="array" ref="AP7">IFERROR(INDEX(Skill!$H:$H, MATCH(AP$4, Skill!$C:$C, 0), 1), "")</f>
        <v>1</v>
      </c>
      <c r="AQ7" s="94" t="b">
        <f t="array" ref="AQ7">IFERROR(INDEX(Skill!$H:$H, MATCH(AQ$4, Skill!$C:$C, 0), 1), "")</f>
        <v>1</v>
      </c>
      <c r="AR7" s="94" t="b">
        <f t="array" ref="AR7">IFERROR(INDEX(Skill!$H:$H, MATCH(AR$4, Skill!$C:$C, 0), 1), "")</f>
        <v>1</v>
      </c>
      <c r="AS7" s="94" t="b">
        <f t="array" ref="AS7">IFERROR(INDEX(Skill!$H:$H, MATCH(AS$4, Skill!$C:$C, 0), 1), "")</f>
        <v>1</v>
      </c>
      <c r="AT7" s="94" t="b">
        <f t="array" ref="AT7">IFERROR(INDEX(Skill!$H:$H, MATCH(AT$4, Skill!$C:$C, 0), 1), "")</f>
        <v>0</v>
      </c>
      <c r="AU7" s="94" t="b">
        <f t="array" ref="AU7">IFERROR(INDEX(Skill!$H:$H, MATCH(AU$4, Skill!$C:$C, 0), 1), "")</f>
        <v>1</v>
      </c>
      <c r="AV7" s="94" t="b">
        <f t="array" ref="AV7">IFERROR(INDEX(Skill!$H:$H, MATCH(AV$4, Skill!$C:$C, 0), 1), "")</f>
        <v>1</v>
      </c>
      <c r="AW7" s="94" t="b">
        <f t="array" ref="AW7">IFERROR(INDEX(Skill!$H:$H, MATCH(AW$4, Skill!$C:$C, 0), 1), "")</f>
        <v>1</v>
      </c>
      <c r="AX7" s="94" t="b">
        <f t="array" ref="AX7">IFERROR(INDEX(Skill!$H:$H, MATCH(AX$4, Skill!$C:$C, 0), 1), "")</f>
        <v>1</v>
      </c>
      <c r="AY7" s="94" t="b">
        <f t="array" ref="AY7">IFERROR(INDEX(Skill!$H:$H, MATCH(AY$4, Skill!$C:$C, 0), 1), "")</f>
        <v>1</v>
      </c>
      <c r="AZ7" s="94" t="b">
        <f t="array" ref="AZ7">IFERROR(INDEX(Skill!$H:$H, MATCH(AZ$4, Skill!$C:$C, 0), 1), "")</f>
        <v>1</v>
      </c>
      <c r="BA7" s="94" t="str">
        <f t="array" ref="BA7">IFERROR(INDEX(Skill!$H:$H, MATCH(BA$4, Skill!$C:$C, 0), 1), "")</f>
        <v/>
      </c>
      <c r="BB7" s="94" t="b">
        <f t="array" ref="BB7">IFERROR(INDEX(Skill!$H:$H, MATCH(BB$4, Skill!$C:$C, 0), 1), "")</f>
        <v>1</v>
      </c>
      <c r="BC7" s="94" t="str">
        <f t="array" ref="BC7">IFERROR(INDEX(Skill!$H:$H, MATCH(BC$4, Skill!$C:$C, 0), 1), "")</f>
        <v/>
      </c>
      <c r="BD7" s="94" t="b">
        <f t="array" ref="BD7">IFERROR(INDEX(Skill!$H:$H, MATCH(BD$4, Skill!$C:$C, 0), 1), "")</f>
        <v>1</v>
      </c>
      <c r="BE7" s="94" t="b">
        <f t="array" ref="BE7">IFERROR(INDEX(Skill!$H:$H, MATCH(BE$4, Skill!$C:$C, 0), 1), "")</f>
        <v>1</v>
      </c>
      <c r="BF7" s="94" t="b">
        <f t="array" ref="BF7">IFERROR(INDEX(Skill!$H:$H, MATCH(BF$4, Skill!$C:$C, 0), 1), "")</f>
        <v>1</v>
      </c>
      <c r="BG7" s="94" t="b">
        <f t="array" ref="BG7">IFERROR(INDEX(Skill!$H:$H, MATCH(BG$4, Skill!$C:$C, 0), 1), "")</f>
        <v>1</v>
      </c>
      <c r="BH7" s="94" t="b">
        <f t="array" ref="BH7">IFERROR(INDEX(Skill!$H:$H, MATCH(BH$4, Skill!$C:$C, 0), 1), "")</f>
        <v>0</v>
      </c>
      <c r="BI7" s="94" t="b">
        <f t="array" ref="BI7">IFERROR(INDEX(Skill!$H:$H, MATCH(BI$4, Skill!$C:$C, 0), 1), "")</f>
        <v>1</v>
      </c>
      <c r="BJ7" s="94" t="b">
        <f t="array" ref="BJ7">IFERROR(INDEX(Skill!$H:$H, MATCH(BJ$4, Skill!$C:$C, 0), 1), "")</f>
        <v>1</v>
      </c>
      <c r="BK7" s="94" t="b">
        <f t="array" ref="BK7">IFERROR(INDEX(Skill!$H:$H, MATCH(BK$4, Skill!$C:$C, 0), 1), "")</f>
        <v>1</v>
      </c>
      <c r="BL7" s="94" t="b">
        <f t="array" ref="BL7">IFERROR(INDEX(Skill!$H:$H, MATCH(BL$4, Skill!$C:$C, 0), 1), "")</f>
        <v>1</v>
      </c>
      <c r="BM7" s="94" t="b">
        <f t="array" ref="BM7">IFERROR(INDEX(Skill!$H:$H, MATCH(BM$4, Skill!$C:$C, 0), 1), "")</f>
        <v>1</v>
      </c>
      <c r="BN7" s="94" t="b">
        <f t="array" ref="BN7">IFERROR(INDEX(Skill!$H:$H, MATCH(BN$4, Skill!$C:$C, 0), 1), "")</f>
        <v>1</v>
      </c>
      <c r="BO7" s="94" t="b">
        <f t="array" ref="BO7">IFERROR(INDEX(Skill!$H:$H, MATCH(BO$4, Skill!$C:$C, 0), 1), "")</f>
        <v>1</v>
      </c>
      <c r="BP7" s="94" t="b">
        <f t="array" ref="BP7">IFERROR(INDEX(Skill!$H:$H, MATCH(BP$4, Skill!$C:$C, 0), 1), "")</f>
        <v>1</v>
      </c>
      <c r="BQ7" s="94" t="b">
        <f t="array" ref="BQ7">IFERROR(INDEX(Skill!$H:$H, MATCH(BQ$4, Skill!$C:$C, 0), 1), "")</f>
        <v>1</v>
      </c>
      <c r="BR7" s="94" t="b">
        <f t="array" ref="BR7">IFERROR(INDEX(Skill!$H:$H, MATCH(BR$4, Skill!$C:$C, 0), 1), "")</f>
        <v>1</v>
      </c>
      <c r="BS7" s="94" t="b">
        <f t="array" ref="BS7">IFERROR(INDEX(Skill!$H:$H, MATCH(BS$4, Skill!$C:$C, 0), 1), "")</f>
        <v>1</v>
      </c>
      <c r="BT7" s="94" t="str">
        <f t="array" ref="BT7">IFERROR(INDEX(Skill!$H:$H, MATCH(BT$4, Skill!$C:$C, 0), 1), "")</f>
        <v/>
      </c>
      <c r="BU7" s="94" t="b">
        <f t="array" ref="BU7">IFERROR(INDEX(Skill!$H:$H, MATCH(BU$4, Skill!$C:$C, 0), 1), "")</f>
        <v>1</v>
      </c>
      <c r="BV7" s="94" t="b">
        <f t="array" ref="BV7">IFERROR(INDEX(Skill!$H:$H, MATCH(BV$4, Skill!$C:$C, 0), 1), "")</f>
        <v>1</v>
      </c>
      <c r="BW7" s="94" t="str">
        <f t="array" ref="BW7">IFERROR(INDEX(Skill!$H:$H, MATCH(BW$4, Skill!$C:$C, 0), 1), "")</f>
        <v/>
      </c>
      <c r="BX7" s="94" t="b">
        <f t="array" ref="BX7">IFERROR(INDEX(Skill!$H:$H, MATCH(BX$4, Skill!$C:$C, 0), 1), "")</f>
        <v>0</v>
      </c>
      <c r="BY7" s="94" t="b">
        <f t="array" ref="BY7">IFERROR(INDEX(Skill!$H:$H, MATCH(BY$4, Skill!$C:$C, 0), 1), "")</f>
        <v>1</v>
      </c>
      <c r="BZ7" s="94" t="b">
        <f t="array" ref="BZ7">IFERROR(INDEX(Skill!$H:$H, MATCH(BZ$4, Skill!$C:$C, 0), 1), "")</f>
        <v>1</v>
      </c>
      <c r="CA7" s="94" t="b">
        <f t="array" ref="CA7">IFERROR(INDEX(Skill!$H:$H, MATCH(CA$4, Skill!$C:$C, 0), 1), "")</f>
        <v>1</v>
      </c>
      <c r="CB7" s="94" t="b">
        <f t="array" ref="CB7">IFERROR(INDEX(Skill!$H:$H, MATCH(CB$4, Skill!$C:$C, 0), 1), "")</f>
        <v>1</v>
      </c>
      <c r="CC7" s="94" t="b">
        <f t="array" ref="CC7">IFERROR(INDEX(Skill!$H:$H, MATCH(CC$4, Skill!$C:$C, 0), 1), "")</f>
        <v>0</v>
      </c>
      <c r="CD7" s="94" t="b">
        <f t="array" ref="CD7">IFERROR(INDEX(Skill!$H:$H, MATCH(CD$4, Skill!$C:$C, 0), 1), "")</f>
        <v>1</v>
      </c>
      <c r="CE7" s="94" t="b">
        <f t="array" ref="CE7">IFERROR(INDEX(Skill!$H:$H, MATCH(CE$4, Skill!$C:$C, 0), 1), "")</f>
        <v>1</v>
      </c>
      <c r="CF7" s="94" t="b">
        <f t="array" ref="CF7">IFERROR(INDEX(Skill!$H:$H, MATCH(CF$4, Skill!$C:$C, 0), 1), "")</f>
        <v>1</v>
      </c>
      <c r="CG7" s="94" t="b">
        <f t="array" ref="CG7">IFERROR(INDEX(Skill!$H:$H, MATCH(CG$4, Skill!$C:$C, 0), 1), "")</f>
        <v>1</v>
      </c>
      <c r="CH7" s="94" t="b">
        <f t="array" ref="CH7">IFERROR(INDEX(Skill!$H:$H, MATCH(CH$4, Skill!$C:$C, 0), 1), "")</f>
        <v>1</v>
      </c>
      <c r="CI7" s="94" t="b">
        <f t="array" ref="CI7">IFERROR(INDEX(Skill!$H:$H, MATCH(CI$4, Skill!$C:$C, 0), 1), "")</f>
        <v>1</v>
      </c>
      <c r="CJ7" s="94" t="b">
        <f t="array" ref="CJ7">IFERROR(INDEX(Skill!$H:$H, MATCH(CJ$4, Skill!$C:$C, 0), 1), "")</f>
        <v>1</v>
      </c>
      <c r="CK7" s="94" t="b">
        <f t="array" ref="CK7">IFERROR(INDEX(Skill!$H:$H, MATCH(CK$4, Skill!$C:$C, 0), 1), "")</f>
        <v>1</v>
      </c>
      <c r="CL7" s="94" t="b">
        <f t="array" ref="CL7">IFERROR(INDEX(Skill!$H:$H, MATCH(CL$4, Skill!$C:$C, 0), 1), "")</f>
        <v>0</v>
      </c>
      <c r="CM7" s="94" t="b">
        <f t="array" ref="CM7">IFERROR(INDEX(Skill!$H:$H, MATCH(CM$4, Skill!$C:$C, 0), 1), "")</f>
        <v>0</v>
      </c>
      <c r="CN7" s="94" t="b">
        <f t="array" ref="CN7">IFERROR(INDEX(Skill!$H:$H, MATCH(CN$4, Skill!$C:$C, 0), 1), "")</f>
        <v>1</v>
      </c>
      <c r="CO7" s="94" t="b">
        <f t="array" ref="CO7">IFERROR(INDEX(Skill!$H:$H, MATCH(CO$4, Skill!$C:$C, 0), 1), "")</f>
        <v>1</v>
      </c>
      <c r="CP7" s="94" t="b">
        <f t="array" ref="CP7">IFERROR(INDEX(Skill!$H:$H, MATCH(CP$4, Skill!$C:$C, 0), 1), "")</f>
        <v>0</v>
      </c>
      <c r="CQ7" s="94" t="b">
        <f t="array" ref="CQ7">IFERROR(INDEX(Skill!$H:$H, MATCH(CQ$4, Skill!$C:$C, 0), 1), "")</f>
        <v>1</v>
      </c>
      <c r="CR7" s="94" t="b">
        <f t="array" ref="CR7">IFERROR(INDEX(Skill!$H:$H, MATCH(CR$4, Skill!$C:$C, 0), 1), "")</f>
        <v>1</v>
      </c>
      <c r="CS7" s="94" t="str">
        <f t="array" ref="CS7">IFERROR(INDEX(Skill!$H:$H, MATCH(CS$4, Skill!$C:$C, 0), 1), "")</f>
        <v/>
      </c>
      <c r="CT7" s="94" t="b">
        <f t="array" ref="CT7">IFERROR(INDEX(Skill!$H:$H, MATCH(CT$4, Skill!$C:$C, 0), 1), "")</f>
        <v>1</v>
      </c>
      <c r="CU7" s="94" t="b">
        <f t="array" ref="CU7">IFERROR(INDEX(Skill!$H:$H, MATCH(CU$4, Skill!$C:$C, 0), 1), "")</f>
        <v>1</v>
      </c>
      <c r="CV7" s="94" t="b">
        <f t="array" ref="CV7">IFERROR(INDEX(Skill!$H:$H, MATCH(CV$4, Skill!$C:$C, 0), 1), "")</f>
        <v>0</v>
      </c>
      <c r="CW7" s="94" t="b">
        <f t="array" ref="CW7">IFERROR(INDEX(Skill!$H:$H, MATCH(CW$4, Skill!$C:$C, 0), 1), "")</f>
        <v>1</v>
      </c>
      <c r="CX7" s="94" t="b">
        <f t="array" ref="CX7">IFERROR(INDEX(Skill!$H:$H, MATCH(CX$4, Skill!$C:$C, 0), 1), "")</f>
        <v>1</v>
      </c>
      <c r="CY7" s="94" t="b">
        <f t="array" ref="CY7">IFERROR(INDEX(Skill!$H:$H, MATCH(CY$4, Skill!$C:$C, 0), 1), "")</f>
        <v>1</v>
      </c>
      <c r="CZ7" s="94" t="b">
        <f t="array" ref="CZ7">IFERROR(INDEX(Skill!$H:$H, MATCH(CZ$4, Skill!$C:$C, 0), 1), "")</f>
        <v>1</v>
      </c>
      <c r="DA7" s="94" t="b">
        <f t="array" ref="DA7">IFERROR(INDEX(Skill!$H:$H, MATCH(DA$4, Skill!$C:$C, 0), 1), "")</f>
        <v>1</v>
      </c>
      <c r="DB7" s="94" t="b">
        <f t="array" ref="DB7">IFERROR(INDEX(Skill!$H:$H, MATCH(DB$4, Skill!$C:$C, 0), 1), "")</f>
        <v>1</v>
      </c>
      <c r="DC7" s="94" t="b">
        <f t="array" ref="DC7">IFERROR(INDEX(Skill!$H:$H, MATCH(DC$4, Skill!$C:$C, 0), 1), "")</f>
        <v>1</v>
      </c>
      <c r="DD7" s="94" t="b">
        <f t="array" ref="DD7">IFERROR(INDEX(Skill!$H:$H, MATCH(DD$4, Skill!$C:$C, 0), 1), "")</f>
        <v>1</v>
      </c>
      <c r="DE7" s="94" t="b">
        <f t="array" ref="DE7">IFERROR(INDEX(Skill!$H:$H, MATCH(DE$4, Skill!$C:$C, 0), 1), "")</f>
        <v>1</v>
      </c>
      <c r="DF7" s="94" t="b">
        <f t="array" ref="DF7">IFERROR(INDEX(Skill!$H:$H, MATCH(DF$4, Skill!$C:$C, 0), 1), "")</f>
        <v>0</v>
      </c>
      <c r="DG7" s="94" t="b">
        <f t="array" ref="DG7">IFERROR(INDEX(Skill!$H:$H, MATCH(DG$4, Skill!$C:$C, 0), 1), "")</f>
        <v>1</v>
      </c>
      <c r="DH7" s="94" t="b">
        <f t="array" ref="DH7">IFERROR(INDEX(Skill!$H:$H, MATCH(DH$4, Skill!$C:$C, 0), 1), "")</f>
        <v>1</v>
      </c>
      <c r="DI7" s="94" t="str">
        <f t="array" ref="DI7">IFERROR(INDEX(Skill!$H:$H, MATCH(DI$4, Skill!$C:$C, 0), 1), "")</f>
        <v/>
      </c>
      <c r="DJ7" s="94" t="b">
        <f t="array" ref="DJ7">IFERROR(INDEX(Skill!$H:$H, MATCH(DJ$4, Skill!$C:$C, 0), 1), "")</f>
        <v>1</v>
      </c>
      <c r="DK7" s="94" t="b">
        <f t="array" ref="DK7">IFERROR(INDEX(Skill!$H:$H, MATCH(DK$4, Skill!$C:$C, 0), 1), "")</f>
        <v>1</v>
      </c>
      <c r="DL7" s="94" t="b">
        <f t="array" ref="DL7">IFERROR(INDEX(Skill!$H:$H, MATCH(DL$4, Skill!$C:$C, 0), 1), "")</f>
        <v>1</v>
      </c>
      <c r="DM7" s="94" t="b">
        <f t="array" ref="DM7">IFERROR(INDEX(Skill!$H:$H, MATCH(DM$4, Skill!$C:$C, 0), 1), "")</f>
        <v>1</v>
      </c>
      <c r="DN7" s="94" t="b">
        <f t="array" ref="DN7">IFERROR(INDEX(Skill!$H:$H, MATCH(DN$4, Skill!$C:$C, 0), 1), "")</f>
        <v>1</v>
      </c>
      <c r="DO7" s="94" t="b">
        <f t="array" ref="DO7">IFERROR(INDEX(Skill!$H:$H, MATCH(DO$4, Skill!$C:$C, 0), 1), "")</f>
        <v>1</v>
      </c>
      <c r="DP7" s="94" t="b">
        <f t="array" ref="DP7">IFERROR(INDEX(Skill!$H:$H, MATCH(DP$4, Skill!$C:$C, 0), 1), "")</f>
        <v>1</v>
      </c>
      <c r="DQ7" s="94" t="b">
        <f t="array" ref="DQ7">IFERROR(INDEX(Skill!$H:$H, MATCH(DQ$4, Skill!$C:$C, 0), 1), "")</f>
        <v>1</v>
      </c>
      <c r="DR7" s="94" t="b">
        <f t="array" ref="DR7">IFERROR(INDEX(Skill!$H:$H, MATCH(DR$4, Skill!$C:$C, 0), 1), "")</f>
        <v>1</v>
      </c>
      <c r="DS7" s="94" t="b">
        <f t="array" ref="DS7">IFERROR(INDEX(Skill!$H:$H, MATCH(DS$4, Skill!$C:$C, 0), 1), "")</f>
        <v>1</v>
      </c>
      <c r="DT7" s="94" t="b">
        <f t="array" ref="DT7">IFERROR(INDEX(Skill!$H:$H, MATCH(DT$4, Skill!$C:$C, 0), 1), "")</f>
        <v>1</v>
      </c>
      <c r="DU7" s="94" t="b">
        <f t="array" ref="DU7">IFERROR(INDEX(Skill!$H:$H, MATCH(DU$4, Skill!$C:$C, 0), 1), "")</f>
        <v>1</v>
      </c>
      <c r="DV7" s="94" t="b">
        <f t="array" ref="DV7">IFERROR(INDEX(Skill!$H:$H, MATCH(DV$4, Skill!$C:$C, 0), 1), "")</f>
        <v>1</v>
      </c>
      <c r="DW7" s="94" t="b">
        <f t="array" ref="DW7">IFERROR(INDEX(Skill!$H:$H, MATCH(DW$4, Skill!$C:$C, 0), 1), "")</f>
        <v>1</v>
      </c>
      <c r="DX7" s="94" t="b">
        <f t="array" ref="DX7">IFERROR(INDEX(Skill!$H:$H, MATCH(DX$4, Skill!$C:$C, 0), 1), "")</f>
        <v>1</v>
      </c>
      <c r="DY7" s="94" t="b">
        <f t="array" ref="DY7">IFERROR(INDEX(Skill!$H:$H, MATCH(DY$4, Skill!$C:$C, 0), 1), "")</f>
        <v>1</v>
      </c>
      <c r="DZ7" s="94" t="b">
        <f t="array" ref="DZ7">IFERROR(INDEX(Skill!$H:$H, MATCH(DZ$4, Skill!$C:$C, 0), 1), "")</f>
        <v>1</v>
      </c>
      <c r="EA7" s="89" t="b">
        <f t="array" ref="EA7">IFERROR(INDEX(Skill!$H:$H, MATCH(EA$4, Skill!$C:$C, 0), 1), "")</f>
        <v>1</v>
      </c>
      <c r="EB7" s="89" t="b">
        <f t="array" ref="EB7">IFERROR(INDEX(Skill!$H:$H, MATCH(EB$4, Skill!$C:$C, 0), 1), "")</f>
        <v>1</v>
      </c>
      <c r="EC7" s="89" t="b">
        <f t="array" ref="EC7">IFERROR(INDEX(Skill!$H:$H, MATCH(EC$4, Skill!$C:$C, 0), 1), "")</f>
        <v>1</v>
      </c>
      <c r="ED7" s="94" t="b">
        <f t="array" ref="ED7">IFERROR(INDEX(Skill!$H:$H, MATCH(ED$4, Skill!$C:$C, 0), 1), "")</f>
        <v>0</v>
      </c>
      <c r="EE7" s="94"/>
      <c r="EF7" s="94"/>
      <c r="EG7" s="94"/>
      <c r="EH7" s="94"/>
      <c r="EI7" s="94"/>
      <c r="EJ7" s="94"/>
      <c r="EK7" s="94"/>
      <c r="EL7" s="94"/>
      <c r="EM7" s="94"/>
      <c r="EN7" s="94"/>
      <c r="EO7" s="94"/>
      <c r="EP7" s="94"/>
      <c r="EQ7" s="94"/>
      <c r="ER7" s="94"/>
      <c r="ES7" s="94"/>
      <c r="ET7" s="94"/>
      <c r="EU7" s="94"/>
      <c r="EV7" s="94"/>
      <c r="EW7" s="94"/>
      <c r="EX7" s="94"/>
      <c r="EY7" s="94"/>
      <c r="EZ7" s="94"/>
      <c r="FA7" s="94"/>
      <c r="FB7" s="94"/>
      <c r="FC7" s="94"/>
      <c r="FD7" s="94"/>
      <c r="FE7" s="94"/>
      <c r="FF7" s="94"/>
      <c r="FG7" s="94"/>
      <c r="FH7" s="94"/>
      <c r="FI7" s="94"/>
      <c r="FJ7" s="94"/>
      <c r="FK7" s="94"/>
      <c r="FL7" s="94"/>
      <c r="FM7" s="94"/>
      <c r="FN7" s="94"/>
      <c r="FO7" s="91"/>
    </row>
    <row r="8" hidden="1">
      <c r="B8" s="92"/>
      <c r="C8" s="93"/>
      <c r="D8" s="83"/>
      <c r="E8" s="84" t="s">
        <v>1038</v>
      </c>
      <c r="F8" s="84"/>
      <c r="G8" s="84"/>
      <c r="H8" s="84"/>
      <c r="I8" s="84"/>
      <c r="J8" s="84"/>
      <c r="K8" s="94">
        <f t="array" ref="K8">IFERROR(INDEX(Skill!$F:$F, MATCH(K$4, Skill!$C:$C, 0), 1), "")</f>
        <v>15</v>
      </c>
      <c r="L8" s="94">
        <f t="array" ref="L8">IFERROR(INDEX(Skill!$F:$F, MATCH(L$4, Skill!$C:$C, 0), 1), "")</f>
        <v>18</v>
      </c>
      <c r="M8" s="94">
        <f t="array" ref="M8">IFERROR(INDEX(Skill!$F:$F, MATCH(M$4, Skill!$C:$C, 0), 1), "")</f>
        <v>30</v>
      </c>
      <c r="N8" s="94">
        <f t="array" ref="N8">IFERROR(INDEX(Skill!$F:$F, MATCH(N$4, Skill!$C:$C, 0), 1), "")</f>
        <v>8</v>
      </c>
      <c r="O8" s="94">
        <f t="array" ref="O8">IFERROR(INDEX(Skill!$F:$F, MATCH(O$4, Skill!$C:$C, 0), 1), "")</f>
        <v>20</v>
      </c>
      <c r="P8" s="94">
        <f t="array" ref="P8">IFERROR(INDEX(Skill!$F:$F, MATCH(P$4, Skill!$C:$C, 0), 1), "")</f>
        <v>10</v>
      </c>
      <c r="Q8" s="94">
        <f t="array" ref="Q8">IFERROR(INDEX(Skill!$F:$F, MATCH(Q$4, Skill!$C:$C, 0), 1), "")</f>
        <v>15</v>
      </c>
      <c r="R8" s="94">
        <f t="array" ref="R8">IFERROR(INDEX(Skill!$F:$F, MATCH(R$4, Skill!$C:$C, 0), 1), "")</f>
        <v>8</v>
      </c>
      <c r="S8" s="94">
        <f t="array" ref="S8">IFERROR(INDEX(Skill!$F:$F, MATCH(S$4, Skill!$C:$C, 0), 1), "")</f>
        <v>10</v>
      </c>
      <c r="T8" s="94">
        <f t="array" ref="T8">IFERROR(INDEX(Skill!$F:$F, MATCH(T$4, Skill!$C:$C, 0), 1), "")</f>
        <v>15</v>
      </c>
      <c r="U8" s="94">
        <f t="array" ref="U8">IFERROR(INDEX(Skill!$F:$F, MATCH(U$4, Skill!$C:$C, 0), 1), "")</f>
        <v>30</v>
      </c>
      <c r="V8" s="94">
        <f t="array" ref="V8">IFERROR(INDEX(Skill!$F:$F, MATCH(V$4, Skill!$C:$C, 0), 1), "")</f>
        <v>8</v>
      </c>
      <c r="W8" s="94">
        <f t="array" ref="W8">IFERROR(INDEX(Skill!$F:$F, MATCH(W$4, Skill!$C:$C, 0), 1), "")</f>
        <v>20</v>
      </c>
      <c r="X8" s="94">
        <f t="array" ref="X8">IFERROR(INDEX(Skill!$F:$F, MATCH(X$4, Skill!$C:$C, 0), 1), "")</f>
        <v>10</v>
      </c>
      <c r="Y8" s="94">
        <f t="array" ref="Y8">IFERROR(INDEX(Skill!$F:$F, MATCH(Y$4, Skill!$C:$C, 0), 1), "")</f>
        <v>15</v>
      </c>
      <c r="Z8" s="94">
        <f t="array" ref="Z8">IFERROR(INDEX(Skill!$F:$F, MATCH(Z$4, Skill!$C:$C, 0), 1), "")</f>
        <v>8</v>
      </c>
      <c r="AA8" s="94">
        <f t="array" ref="AA8">IFERROR(INDEX(Skill!$F:$F, MATCH(AA$4, Skill!$C:$C, 0), 1), "")</f>
        <v>0</v>
      </c>
      <c r="AB8" s="94">
        <f t="array" ref="AB8">IFERROR(INDEX(Skill!$F:$F, MATCH(AB$4, Skill!$C:$C, 0), 1), "")</f>
        <v>10</v>
      </c>
      <c r="AC8" s="94">
        <f t="array" ref="AC8">IFERROR(INDEX(Skill!$F:$F, MATCH(AC$4, Skill!$C:$C, 0), 1), "")</f>
        <v>15</v>
      </c>
      <c r="AD8" s="94">
        <f t="array" ref="AD8">IFERROR(INDEX(Skill!$F:$F, MATCH(AD$4, Skill!$C:$C, 0), 1), "")</f>
        <v>15</v>
      </c>
      <c r="AE8" s="94">
        <f t="array" ref="AE8">IFERROR(INDEX(Skill!$F:$F, MATCH(AE$4, Skill!$C:$C, 0), 1), "")</f>
        <v>7</v>
      </c>
      <c r="AF8" s="94">
        <f t="array" ref="AF8">IFERROR(INDEX(Skill!$F:$F, MATCH(AF$4, Skill!$C:$C, 0), 1), "")</f>
        <v>10</v>
      </c>
      <c r="AG8" s="94" t="str">
        <f t="array" ref="AG8">IFERROR(INDEX(Skill!$F:$F, MATCH(AG$4, Skill!$C:$C, 0), 1), "")</f>
        <v/>
      </c>
      <c r="AH8" s="94">
        <f t="array" ref="AH8">IFERROR(INDEX(Skill!$F:$F, MATCH(AH$4, Skill!$C:$C, 0), 1), "")</f>
        <v>20</v>
      </c>
      <c r="AI8" s="94">
        <f t="array" ref="AI8">IFERROR(INDEX(Skill!$F:$F, MATCH(AI$4, Skill!$C:$C, 0), 1), "")</f>
        <v>10</v>
      </c>
      <c r="AJ8" s="94">
        <f t="array" ref="AJ8">IFERROR(INDEX(Skill!$F:$F, MATCH(AJ$4, Skill!$C:$C, 0), 1), "")</f>
        <v>15</v>
      </c>
      <c r="AK8" s="94">
        <f t="array" ref="AK8">IFERROR(INDEX(Skill!$F:$F, MATCH(AK$4, Skill!$C:$C, 0), 1), "")</f>
        <v>10</v>
      </c>
      <c r="AL8" s="94">
        <f t="array" ref="AL8">IFERROR(INDEX(Skill!$F:$F, MATCH(AL$4, Skill!$C:$C, 0), 1), "")</f>
        <v>15</v>
      </c>
      <c r="AM8" s="94">
        <f t="array" ref="AM8">IFERROR(INDEX(Skill!$F:$F, MATCH(AM$4, Skill!$C:$C, 0), 1), "")</f>
        <v>15</v>
      </c>
      <c r="AN8" s="94">
        <f t="array" ref="AN8">IFERROR(INDEX(Skill!$F:$F, MATCH(AN$4, Skill!$C:$C, 0), 1), "")</f>
        <v>8</v>
      </c>
      <c r="AO8" s="94">
        <f t="array" ref="AO8">IFERROR(INDEX(Skill!$F:$F, MATCH(AO$4, Skill!$C:$C, 0), 1), "")</f>
        <v>20</v>
      </c>
      <c r="AP8" s="94">
        <f t="array" ref="AP8">IFERROR(INDEX(Skill!$F:$F, MATCH(AP$4, Skill!$C:$C, 0), 1), "")</f>
        <v>20</v>
      </c>
      <c r="AQ8" s="94">
        <f t="array" ref="AQ8">IFERROR(INDEX(Skill!$F:$F, MATCH(AQ$4, Skill!$C:$C, 0), 1), "")</f>
        <v>15</v>
      </c>
      <c r="AR8" s="94">
        <f t="array" ref="AR8">IFERROR(INDEX(Skill!$F:$F, MATCH(AR$4, Skill!$C:$C, 0), 1), "")</f>
        <v>10</v>
      </c>
      <c r="AS8" s="94">
        <f t="array" ref="AS8">IFERROR(INDEX(Skill!$F:$F, MATCH(AS$4, Skill!$C:$C, 0), 1), "")</f>
        <v>20</v>
      </c>
      <c r="AT8" s="94">
        <f t="array" ref="AT8">IFERROR(INDEX(Skill!$F:$F, MATCH(AT$4, Skill!$C:$C, 0), 1), "")</f>
        <v>10</v>
      </c>
      <c r="AU8" s="94">
        <f t="array" ref="AU8">IFERROR(INDEX(Skill!$F:$F, MATCH(AU$4, Skill!$C:$C, 0), 1), "")</f>
        <v>10</v>
      </c>
      <c r="AV8" s="94">
        <f t="array" ref="AV8">IFERROR(INDEX(Skill!$F:$F, MATCH(AV$4, Skill!$C:$C, 0), 1), "")</f>
        <v>24</v>
      </c>
      <c r="AW8" s="94">
        <f t="array" ref="AW8">IFERROR(INDEX(Skill!$F:$F, MATCH(AW$4, Skill!$C:$C, 0), 1), "")</f>
        <v>0</v>
      </c>
      <c r="AX8" s="94">
        <f t="array" ref="AX8">IFERROR(INDEX(Skill!$F:$F, MATCH(AX$4, Skill!$C:$C, 0), 1), "")</f>
        <v>0</v>
      </c>
      <c r="AY8" s="94">
        <f t="array" ref="AY8">IFERROR(INDEX(Skill!$F:$F, MATCH(AY$4, Skill!$C:$C, 0), 1), "")</f>
        <v>8</v>
      </c>
      <c r="AZ8" s="94">
        <f t="array" ref="AZ8">IFERROR(INDEX(Skill!$F:$F, MATCH(AZ$4, Skill!$C:$C, 0), 1), "")</f>
        <v>15</v>
      </c>
      <c r="BA8" s="94" t="str">
        <f t="array" ref="BA8">IFERROR(INDEX(Skill!$F:$F, MATCH(BA$4, Skill!$C:$C, 0), 1), "")</f>
        <v/>
      </c>
      <c r="BB8" s="94">
        <f t="array" ref="BB8">IFERROR(INDEX(Skill!$F:$F, MATCH(BB$4, Skill!$C:$C, 0), 1), "")</f>
        <v>0</v>
      </c>
      <c r="BC8" s="94" t="str">
        <f t="array" ref="BC8">IFERROR(INDEX(Skill!$F:$F, MATCH(BC$4, Skill!$C:$C, 0), 1), "")</f>
        <v/>
      </c>
      <c r="BD8" s="94">
        <f t="array" ref="BD8">IFERROR(INDEX(Skill!$F:$F, MATCH(BD$4, Skill!$C:$C, 0), 1), "")</f>
        <v>0</v>
      </c>
      <c r="BE8" s="94">
        <f t="array" ref="BE8">IFERROR(INDEX(Skill!$F:$F, MATCH(BE$4, Skill!$C:$C, 0), 1), "")</f>
        <v>5</v>
      </c>
      <c r="BF8" s="94">
        <f t="array" ref="BF8">IFERROR(INDEX(Skill!$F:$F, MATCH(BF$4, Skill!$C:$C, 0), 1), "")</f>
        <v>30</v>
      </c>
      <c r="BG8" s="94">
        <f t="array" ref="BG8">IFERROR(INDEX(Skill!$F:$F, MATCH(BG$4, Skill!$C:$C, 0), 1), "")</f>
        <v>15</v>
      </c>
      <c r="BH8" s="94">
        <f t="array" ref="BH8">IFERROR(INDEX(Skill!$F:$F, MATCH(BH$4, Skill!$C:$C, 0), 1), "")</f>
        <v>15</v>
      </c>
      <c r="BI8" s="94">
        <f t="array" ref="BI8">IFERROR(INDEX(Skill!$F:$F, MATCH(BI$4, Skill!$C:$C, 0), 1), "")</f>
        <v>15</v>
      </c>
      <c r="BJ8" s="94">
        <f t="array" ref="BJ8">IFERROR(INDEX(Skill!$F:$F, MATCH(BJ$4, Skill!$C:$C, 0), 1), "")</f>
        <v>0</v>
      </c>
      <c r="BK8" s="94">
        <f t="array" ref="BK8">IFERROR(INDEX(Skill!$F:$F, MATCH(BK$4, Skill!$C:$C, 0), 1), "")</f>
        <v>10</v>
      </c>
      <c r="BL8" s="94">
        <f t="array" ref="BL8">IFERROR(INDEX(Skill!$F:$F, MATCH(BL$4, Skill!$C:$C, 0), 1), "")</f>
        <v>0</v>
      </c>
      <c r="BM8" s="94">
        <f t="array" ref="BM8">IFERROR(INDEX(Skill!$F:$F, MATCH(BM$4, Skill!$C:$C, 0), 1), "")</f>
        <v>0</v>
      </c>
      <c r="BN8" s="94">
        <f t="array" ref="BN8">IFERROR(INDEX(Skill!$F:$F, MATCH(BN$4, Skill!$C:$C, 0), 1), "")</f>
        <v>0</v>
      </c>
      <c r="BO8" s="94">
        <f t="array" ref="BO8">IFERROR(INDEX(Skill!$F:$F, MATCH(BO$4, Skill!$C:$C, 0), 1), "")</f>
        <v>15</v>
      </c>
      <c r="BP8" s="94">
        <f t="array" ref="BP8">IFERROR(INDEX(Skill!$F:$F, MATCH(BP$4, Skill!$C:$C, 0), 1), "")</f>
        <v>30</v>
      </c>
      <c r="BQ8" s="94">
        <f t="array" ref="BQ8">IFERROR(INDEX(Skill!$F:$F, MATCH(BQ$4, Skill!$C:$C, 0), 1), "")</f>
        <v>15</v>
      </c>
      <c r="BR8" s="94">
        <f t="array" ref="BR8">IFERROR(INDEX(Skill!$F:$F, MATCH(BR$4, Skill!$C:$C, 0), 1), "")</f>
        <v>15</v>
      </c>
      <c r="BS8" s="94">
        <f t="array" ref="BS8">IFERROR(INDEX(Skill!$F:$F, MATCH(BS$4, Skill!$C:$C, 0), 1), "")</f>
        <v>0</v>
      </c>
      <c r="BT8" s="94" t="str">
        <f t="array" ref="BT8">IFERROR(INDEX(Skill!$F:$F, MATCH(BT$4, Skill!$C:$C, 0), 1), "")</f>
        <v/>
      </c>
      <c r="BU8" s="94">
        <f t="array" ref="BU8">IFERROR(INDEX(Skill!$F:$F, MATCH(BU$4, Skill!$C:$C, 0), 1), "")</f>
        <v>8</v>
      </c>
      <c r="BV8" s="94">
        <f t="array" ref="BV8">IFERROR(INDEX(Skill!$F:$F, MATCH(BV$4, Skill!$C:$C, 0), 1), "")</f>
        <v>30</v>
      </c>
      <c r="BW8" s="94" t="str">
        <f t="array" ref="BW8">IFERROR(INDEX(Skill!$F:$F, MATCH(BW$4, Skill!$C:$C, 0), 1), "")</f>
        <v/>
      </c>
      <c r="BX8" s="94">
        <f t="array" ref="BX8">IFERROR(INDEX(Skill!$F:$F, MATCH(BX$4, Skill!$C:$C, 0), 1), "")</f>
        <v>15</v>
      </c>
      <c r="BY8" s="94">
        <f t="array" ref="BY8">IFERROR(INDEX(Skill!$F:$F, MATCH(BY$4, Skill!$C:$C, 0), 1), "")</f>
        <v>20</v>
      </c>
      <c r="BZ8" s="94">
        <f t="array" ref="BZ8">IFERROR(INDEX(Skill!$F:$F, MATCH(BZ$4, Skill!$C:$C, 0), 1), "")</f>
        <v>15</v>
      </c>
      <c r="CA8" s="94">
        <f t="array" ref="CA8">IFERROR(INDEX(Skill!$F:$F, MATCH(CA$4, Skill!$C:$C, 0), 1), "")</f>
        <v>20</v>
      </c>
      <c r="CB8" s="94">
        <f t="array" ref="CB8">IFERROR(INDEX(Skill!$F:$F, MATCH(CB$4, Skill!$C:$C, 0), 1), "")</f>
        <v>0</v>
      </c>
      <c r="CC8" s="94">
        <f t="array" ref="CC8">IFERROR(INDEX(Skill!$F:$F, MATCH(CC$4, Skill!$C:$C, 0), 1), "")</f>
        <v>30</v>
      </c>
      <c r="CD8" s="94">
        <f t="array" ref="CD8">IFERROR(INDEX(Skill!$F:$F, MATCH(CD$4, Skill!$C:$C, 0), 1), "")</f>
        <v>21</v>
      </c>
      <c r="CE8" s="94">
        <f t="array" ref="CE8">IFERROR(INDEX(Skill!$F:$F, MATCH(CE$4, Skill!$C:$C, 0), 1), "")</f>
        <v>0</v>
      </c>
      <c r="CF8" s="94">
        <f t="array" ref="CF8">IFERROR(INDEX(Skill!$F:$F, MATCH(CF$4, Skill!$C:$C, 0), 1), "")</f>
        <v>0</v>
      </c>
      <c r="CG8" s="94">
        <f t="array" ref="CG8">IFERROR(INDEX(Skill!$F:$F, MATCH(CG$4, Skill!$C:$C, 0), 1), "")</f>
        <v>22</v>
      </c>
      <c r="CH8" s="94">
        <f t="array" ref="CH8">IFERROR(INDEX(Skill!$F:$F, MATCH(CH$4, Skill!$C:$C, 0), 1), "")</f>
        <v>0</v>
      </c>
      <c r="CI8" s="94">
        <f t="array" ref="CI8">IFERROR(INDEX(Skill!$F:$F, MATCH(CI$4, Skill!$C:$C, 0), 1), "")</f>
        <v>30</v>
      </c>
      <c r="CJ8" s="94">
        <f t="array" ref="CJ8">IFERROR(INDEX(Skill!$F:$F, MATCH(CJ$4, Skill!$C:$C, 0), 1), "")</f>
        <v>15</v>
      </c>
      <c r="CK8" s="94">
        <f t="array" ref="CK8">IFERROR(INDEX(Skill!$F:$F, MATCH(CK$4, Skill!$C:$C, 0), 1), "")</f>
        <v>20</v>
      </c>
      <c r="CL8" s="94">
        <f t="array" ref="CL8">IFERROR(INDEX(Skill!$F:$F, MATCH(CL$4, Skill!$C:$C, 0), 1), "")</f>
        <v>30</v>
      </c>
      <c r="CM8" s="94">
        <f t="array" ref="CM8">IFERROR(INDEX(Skill!$F:$F, MATCH(CM$4, Skill!$C:$C, 0), 1), "")</f>
        <v>30</v>
      </c>
      <c r="CN8" s="94">
        <f t="array" ref="CN8">IFERROR(INDEX(Skill!$F:$F, MATCH(CN$4, Skill!$C:$C, 0), 1), "")</f>
        <v>0</v>
      </c>
      <c r="CO8" s="94">
        <f t="array" ref="CO8">IFERROR(INDEX(Skill!$F:$F, MATCH(CO$4, Skill!$C:$C, 0), 1), "")</f>
        <v>10</v>
      </c>
      <c r="CP8" s="94">
        <f t="array" ref="CP8">IFERROR(INDEX(Skill!$F:$F, MATCH(CP$4, Skill!$C:$C, 0), 1), "")</f>
        <v>30</v>
      </c>
      <c r="CQ8" s="94">
        <f t="array" ref="CQ8">IFERROR(INDEX(Skill!$F:$F, MATCH(CQ$4, Skill!$C:$C, 0), 1), "")</f>
        <v>45</v>
      </c>
      <c r="CR8" s="94">
        <f t="array" ref="CR8">IFERROR(INDEX(Skill!$F:$F, MATCH(CR$4, Skill!$C:$C, 0), 1), "")</f>
        <v>0</v>
      </c>
      <c r="CS8" s="94" t="str">
        <f t="array" ref="CS8">IFERROR(INDEX(Skill!$F:$F, MATCH(CS$4, Skill!$C:$C, 0), 1), "")</f>
        <v/>
      </c>
      <c r="CT8" s="94">
        <f t="array" ref="CT8">IFERROR(INDEX(Skill!$F:$F, MATCH(CT$4, Skill!$C:$C, 0), 1), "")</f>
        <v>20</v>
      </c>
      <c r="CU8" s="94">
        <f t="array" ref="CU8">IFERROR(INDEX(Skill!$F:$F, MATCH(CU$4, Skill!$C:$C, 0), 1), "")</f>
        <v>15</v>
      </c>
      <c r="CV8" s="94">
        <f t="array" ref="CV8">IFERROR(INDEX(Skill!$F:$F, MATCH(CV$4, Skill!$C:$C, 0), 1), "")</f>
        <v>30</v>
      </c>
      <c r="CW8" s="94">
        <f t="array" ref="CW8">IFERROR(INDEX(Skill!$F:$F, MATCH(CW$4, Skill!$C:$C, 0), 1), "")</f>
        <v>15</v>
      </c>
      <c r="CX8" s="94">
        <f t="array" ref="CX8">IFERROR(INDEX(Skill!$F:$F, MATCH(CX$4, Skill!$C:$C, 0), 1), "")</f>
        <v>10</v>
      </c>
      <c r="CY8" s="94">
        <f t="array" ref="CY8">IFERROR(INDEX(Skill!$F:$F, MATCH(CY$4, Skill!$C:$C, 0), 1), "")</f>
        <v>15</v>
      </c>
      <c r="CZ8" s="94">
        <f t="array" ref="CZ8">IFERROR(INDEX(Skill!$F:$F, MATCH(CZ$4, Skill!$C:$C, 0), 1), "")</f>
        <v>0</v>
      </c>
      <c r="DA8" s="94">
        <f t="array" ref="DA8">IFERROR(INDEX(Skill!$F:$F, MATCH(DA$4, Skill!$C:$C, 0), 1), "")</f>
        <v>0</v>
      </c>
      <c r="DB8" s="94">
        <f t="array" ref="DB8">IFERROR(INDEX(Skill!$F:$F, MATCH(DB$4, Skill!$C:$C, 0), 1), "")</f>
        <v>0</v>
      </c>
      <c r="DC8" s="94">
        <f t="array" ref="DC8">IFERROR(INDEX(Skill!$F:$F, MATCH(DC$4, Skill!$C:$C, 0), 1), "")</f>
        <v>20</v>
      </c>
      <c r="DD8" s="94">
        <f t="array" ref="DD8">IFERROR(INDEX(Skill!$F:$F, MATCH(DD$4, Skill!$C:$C, 0), 1), "")</f>
        <v>0</v>
      </c>
      <c r="DE8" s="94">
        <f t="array" ref="DE8">IFERROR(INDEX(Skill!$F:$F, MATCH(DE$4, Skill!$C:$C, 0), 1), "")</f>
        <v>15</v>
      </c>
      <c r="DF8" s="94">
        <f t="array" ref="DF8">IFERROR(INDEX(Skill!$F:$F, MATCH(DF$4, Skill!$C:$C, 0), 1), "")</f>
        <v>30</v>
      </c>
      <c r="DG8" s="94">
        <f t="array" ref="DG8">IFERROR(INDEX(Skill!$F:$F, MATCH(DG$4, Skill!$C:$C, 0), 1), "")</f>
        <v>15</v>
      </c>
      <c r="DH8" s="94">
        <f t="array" ref="DH8">IFERROR(INDEX(Skill!$F:$F, MATCH(DH$4, Skill!$C:$C, 0), 1), "")</f>
        <v>0</v>
      </c>
      <c r="DI8" s="94" t="str">
        <f t="array" ref="DI8">IFERROR(INDEX(Skill!$F:$F, MATCH(DI$4, Skill!$C:$C, 0), 1), "")</f>
        <v/>
      </c>
      <c r="DJ8" s="94">
        <f t="array" ref="DJ8">IFERROR(INDEX(Skill!$F:$F, MATCH(DJ$4, Skill!$C:$C, 0), 1), "")</f>
        <v>15</v>
      </c>
      <c r="DK8" s="94">
        <f t="array" ref="DK8">IFERROR(INDEX(Skill!$F:$F, MATCH(DK$4, Skill!$C:$C, 0), 1), "")</f>
        <v>15</v>
      </c>
      <c r="DL8" s="94">
        <f t="array" ref="DL8">IFERROR(INDEX(Skill!$F:$F, MATCH(DL$4, Skill!$C:$C, 0), 1), "")</f>
        <v>15</v>
      </c>
      <c r="DM8" s="94">
        <f t="array" ref="DM8">IFERROR(INDEX(Skill!$F:$F, MATCH(DM$4, Skill!$C:$C, 0), 1), "")</f>
        <v>15</v>
      </c>
      <c r="DN8" s="94">
        <f t="array" ref="DN8">IFERROR(INDEX(Skill!$F:$F, MATCH(DN$4, Skill!$C:$C, 0), 1), "")</f>
        <v>15</v>
      </c>
      <c r="DO8" s="94">
        <f t="array" ref="DO8">IFERROR(INDEX(Skill!$F:$F, MATCH(DO$4, Skill!$C:$C, 0), 1), "")</f>
        <v>15</v>
      </c>
      <c r="DP8" s="94">
        <f t="array" ref="DP8">IFERROR(INDEX(Skill!$F:$F, MATCH(DP$4, Skill!$C:$C, 0), 1), "")</f>
        <v>15</v>
      </c>
      <c r="DQ8" s="94">
        <f t="array" ref="DQ8">IFERROR(INDEX(Skill!$F:$F, MATCH(DQ$4, Skill!$C:$C, 0), 1), "")</f>
        <v>15</v>
      </c>
      <c r="DR8" s="94">
        <f t="array" ref="DR8">IFERROR(INDEX(Skill!$F:$F, MATCH(DR$4, Skill!$C:$C, 0), 1), "")</f>
        <v>15</v>
      </c>
      <c r="DS8" s="94">
        <f t="array" ref="DS8">IFERROR(INDEX(Skill!$F:$F, MATCH(DS$4, Skill!$C:$C, 0), 1), "")</f>
        <v>15</v>
      </c>
      <c r="DT8" s="94">
        <f t="array" ref="DT8">IFERROR(INDEX(Skill!$F:$F, MATCH(DT$4, Skill!$C:$C, 0), 1), "")</f>
        <v>10</v>
      </c>
      <c r="DU8" s="94">
        <f t="array" ref="DU8">IFERROR(INDEX(Skill!$F:$F, MATCH(DU$4, Skill!$C:$C, 0), 1), "")</f>
        <v>15</v>
      </c>
      <c r="DV8" s="94">
        <f t="array" ref="DV8">IFERROR(INDEX(Skill!$F:$F, MATCH(DV$4, Skill!$C:$C, 0), 1), "")</f>
        <v>0</v>
      </c>
      <c r="DW8" s="94">
        <f t="array" ref="DW8">IFERROR(INDEX(Skill!$F:$F, MATCH(DW$4, Skill!$C:$C, 0), 1), "")</f>
        <v>15</v>
      </c>
      <c r="DX8" s="94">
        <f t="array" ref="DX8">IFERROR(INDEX(Skill!$F:$F, MATCH(DX$4, Skill!$C:$C, 0), 1), "")</f>
        <v>15</v>
      </c>
      <c r="DY8" s="94">
        <f t="array" ref="DY8">IFERROR(INDEX(Skill!$F:$F, MATCH(DY$4, Skill!$C:$C, 0), 1), "")</f>
        <v>15</v>
      </c>
      <c r="DZ8" s="94">
        <f t="array" ref="DZ8">IFERROR(INDEX(Skill!$F:$F, MATCH(DZ$4, Skill!$C:$C, 0), 1), "")</f>
        <v>10</v>
      </c>
      <c r="EA8" s="89">
        <f t="array" ref="EA8">IFERROR(INDEX(Skill!$F:$F, MATCH(EA$4, Skill!$C:$C, 0), 1), "")</f>
        <v>15</v>
      </c>
      <c r="EB8" s="89">
        <f t="array" ref="EB8">IFERROR(INDEX(Skill!$F:$F, MATCH(EB$4, Skill!$C:$C, 0), 1), "")</f>
        <v>10</v>
      </c>
      <c r="EC8" s="89">
        <f t="array" ref="EC8">IFERROR(INDEX(Skill!$F:$F, MATCH(EC$4, Skill!$C:$C, 0), 1), "")</f>
        <v>10</v>
      </c>
      <c r="ED8" s="94">
        <f t="array" ref="ED8">IFERROR(INDEX(Skill!$F:$F, MATCH(ED$4, Skill!$C:$C, 0), 1), "")</f>
        <v>8</v>
      </c>
      <c r="EE8" s="94"/>
      <c r="EF8" s="94"/>
      <c r="EG8" s="94"/>
      <c r="EH8" s="94"/>
      <c r="EI8" s="94"/>
      <c r="EJ8" s="94"/>
      <c r="EK8" s="94"/>
      <c r="EL8" s="94"/>
      <c r="EM8" s="94"/>
      <c r="EN8" s="94"/>
      <c r="EO8" s="94"/>
      <c r="EP8" s="94"/>
      <c r="EQ8" s="94"/>
      <c r="ER8" s="94"/>
      <c r="ES8" s="94"/>
      <c r="ET8" s="94"/>
      <c r="EU8" s="94"/>
      <c r="EV8" s="94"/>
      <c r="EW8" s="94"/>
      <c r="EX8" s="94"/>
      <c r="EY8" s="94"/>
      <c r="EZ8" s="94"/>
      <c r="FA8" s="94"/>
      <c r="FB8" s="94"/>
      <c r="FC8" s="94"/>
      <c r="FD8" s="94"/>
      <c r="FE8" s="94"/>
      <c r="FF8" s="94"/>
      <c r="FG8" s="94"/>
      <c r="FH8" s="94"/>
      <c r="FI8" s="94"/>
      <c r="FJ8" s="94"/>
      <c r="FK8" s="94"/>
      <c r="FL8" s="94"/>
      <c r="FM8" s="94"/>
      <c r="FN8" s="94"/>
      <c r="FO8" s="91"/>
    </row>
    <row r="9" hidden="1">
      <c r="B9" s="84"/>
      <c r="C9" s="83"/>
      <c r="D9" s="83"/>
      <c r="E9" s="84" t="s">
        <v>5</v>
      </c>
      <c r="F9" s="84"/>
      <c r="G9" s="84"/>
      <c r="H9" s="84"/>
      <c r="I9" s="84"/>
      <c r="J9" s="84"/>
      <c r="K9" s="94">
        <f t="array" ref="K9">IFERROR(INDEX(Skill!$G:$G, MATCH(K$4, Skill!$C:$C, 0), 1), "")</f>
        <v>60</v>
      </c>
      <c r="L9" s="94">
        <f t="array" ref="L9">IFERROR(INDEX(Skill!$G:$G, MATCH(L$4, Skill!$C:$C, 0), 1), "")</f>
        <v>120</v>
      </c>
      <c r="M9" s="94">
        <f t="array" ref="M9">IFERROR(INDEX(Skill!$G:$G, MATCH(M$4, Skill!$C:$C, 0), 1), "")</f>
        <v>90</v>
      </c>
      <c r="N9" s="94">
        <f t="array" ref="N9">IFERROR(INDEX(Skill!$G:$G, MATCH(N$4, Skill!$C:$C, 0), 1), "")</f>
        <v>10</v>
      </c>
      <c r="O9" s="94">
        <f t="array" ref="O9">IFERROR(INDEX(Skill!$G:$G, MATCH(O$4, Skill!$C:$C, 0), 1), "")</f>
        <v>90</v>
      </c>
      <c r="P9" s="94">
        <f t="array" ref="P9">IFERROR(INDEX(Skill!$G:$G, MATCH(P$4, Skill!$C:$C, 0), 1), "")</f>
        <v>90</v>
      </c>
      <c r="Q9" s="94">
        <f t="array" ref="Q9">IFERROR(INDEX(Skill!$G:$G, MATCH(Q$4, Skill!$C:$C, 0), 1), "")</f>
        <v>120</v>
      </c>
      <c r="R9" s="94">
        <f t="array" ref="R9">IFERROR(INDEX(Skill!$G:$G, MATCH(R$4, Skill!$C:$C, 0), 1), "")</f>
        <v>5</v>
      </c>
      <c r="S9" s="94">
        <f t="array" ref="S9">IFERROR(INDEX(Skill!$G:$G, MATCH(S$4, Skill!$C:$C, 0), 1), "")</f>
        <v>420</v>
      </c>
      <c r="T9" s="94">
        <f t="array" ref="T9">IFERROR(INDEX(Skill!$G:$G, MATCH(T$4, Skill!$C:$C, 0), 1), "")</f>
        <v>60</v>
      </c>
      <c r="U9" s="94">
        <f t="array" ref="U9">IFERROR(INDEX(Skill!$G:$G, MATCH(U$4, Skill!$C:$C, 0), 1), "")</f>
        <v>90</v>
      </c>
      <c r="V9" s="94">
        <f t="array" ref="V9">IFERROR(INDEX(Skill!$G:$G, MATCH(V$4, Skill!$C:$C, 0), 1), "")</f>
        <v>25</v>
      </c>
      <c r="W9" s="94">
        <f t="array" ref="W9">IFERROR(INDEX(Skill!$G:$G, MATCH(W$4, Skill!$C:$C, 0), 1), "")</f>
        <v>90</v>
      </c>
      <c r="X9" s="94">
        <f t="array" ref="X9">IFERROR(INDEX(Skill!$G:$G, MATCH(X$4, Skill!$C:$C, 0), 1), "")</f>
        <v>90</v>
      </c>
      <c r="Y9" s="94">
        <f t="array" ref="Y9">IFERROR(INDEX(Skill!$G:$G, MATCH(Y$4, Skill!$C:$C, 0), 1), "")</f>
        <v>120</v>
      </c>
      <c r="Z9" s="94">
        <f t="array" ref="Z9">IFERROR(INDEX(Skill!$G:$G, MATCH(Z$4, Skill!$C:$C, 0), 1), "")</f>
        <v>25</v>
      </c>
      <c r="AA9" s="94">
        <f t="array" ref="AA9">IFERROR(INDEX(Skill!$G:$G, MATCH(AA$4, Skill!$C:$C, 0), 1), "")</f>
        <v>60</v>
      </c>
      <c r="AB9" s="94">
        <f t="array" ref="AB9">IFERROR(INDEX(Skill!$G:$G, MATCH(AB$4, Skill!$C:$C, 0), 1), "")</f>
        <v>240</v>
      </c>
      <c r="AC9" s="94">
        <f t="array" ref="AC9">IFERROR(INDEX(Skill!$G:$G, MATCH(AC$4, Skill!$C:$C, 0), 1), "")</f>
        <v>60</v>
      </c>
      <c r="AD9" s="94">
        <f t="array" ref="AD9">IFERROR(INDEX(Skill!$G:$G, MATCH(AD$4, Skill!$C:$C, 0), 1), "")</f>
        <v>90</v>
      </c>
      <c r="AE9" s="94">
        <f t="array" ref="AE9">IFERROR(INDEX(Skill!$G:$G, MATCH(AE$4, Skill!$C:$C, 0), 1), "")</f>
        <v>15</v>
      </c>
      <c r="AF9" s="94">
        <f t="array" ref="AF9">IFERROR(INDEX(Skill!$G:$G, MATCH(AF$4, Skill!$C:$C, 0), 1), "")</f>
        <v>60</v>
      </c>
      <c r="AG9" s="94" t="str">
        <f t="array" ref="AG9">IFERROR(INDEX(Skill!$G:$G, MATCH(AG$4, Skill!$C:$C, 0), 1), "")</f>
        <v/>
      </c>
      <c r="AH9" s="94">
        <f t="array" ref="AH9">IFERROR(INDEX(Skill!$G:$G, MATCH(AH$4, Skill!$C:$C, 0), 1), "")</f>
        <v>90</v>
      </c>
      <c r="AI9" s="94">
        <f t="array" ref="AI9">IFERROR(INDEX(Skill!$G:$G, MATCH(AI$4, Skill!$C:$C, 0), 1), "")</f>
        <v>60</v>
      </c>
      <c r="AJ9" s="94">
        <f t="array" ref="AJ9">IFERROR(INDEX(Skill!$G:$G, MATCH(AJ$4, Skill!$C:$C, 0), 1), "")</f>
        <v>120</v>
      </c>
      <c r="AK9" s="94">
        <f t="array" ref="AK9">IFERROR(INDEX(Skill!$G:$G, MATCH(AK$4, Skill!$C:$C, 0), 1), "")</f>
        <v>300</v>
      </c>
      <c r="AL9" s="94">
        <f t="array" ref="AL9">IFERROR(INDEX(Skill!$G:$G, MATCH(AL$4, Skill!$C:$C, 0), 1), "")</f>
        <v>60</v>
      </c>
      <c r="AM9" s="94">
        <f t="array" ref="AM9">IFERROR(INDEX(Skill!$G:$G, MATCH(AM$4, Skill!$C:$C, 0), 1), "")</f>
        <v>90</v>
      </c>
      <c r="AN9" s="94">
        <f t="array" ref="AN9">IFERROR(INDEX(Skill!$G:$G, MATCH(AN$4, Skill!$C:$C, 0), 1), "")</f>
        <v>25</v>
      </c>
      <c r="AO9" s="94">
        <f t="array" ref="AO9">IFERROR(INDEX(Skill!$G:$G, MATCH(AO$4, Skill!$C:$C, 0), 1), "")</f>
        <v>90</v>
      </c>
      <c r="AP9" s="94">
        <f t="array" ref="AP9">IFERROR(INDEX(Skill!$G:$G, MATCH(AP$4, Skill!$C:$C, 0), 1), "")</f>
        <v>90</v>
      </c>
      <c r="AQ9" s="94">
        <f t="array" ref="AQ9">IFERROR(INDEX(Skill!$G:$G, MATCH(AQ$4, Skill!$C:$C, 0), 1), "")</f>
        <v>120</v>
      </c>
      <c r="AR9" s="94">
        <f t="array" ref="AR9">IFERROR(INDEX(Skill!$G:$G, MATCH(AR$4, Skill!$C:$C, 0), 1), "")</f>
        <v>360</v>
      </c>
      <c r="AS9" s="94">
        <f t="array" ref="AS9">IFERROR(INDEX(Skill!$G:$G, MATCH(AS$4, Skill!$C:$C, 0), 1), "")</f>
        <v>120</v>
      </c>
      <c r="AT9" s="94">
        <f t="array" ref="AT9">IFERROR(INDEX(Skill!$G:$G, MATCH(AT$4, Skill!$C:$C, 0), 1), "")</f>
        <v>1</v>
      </c>
      <c r="AU9" s="94">
        <f t="array" ref="AU9">IFERROR(INDEX(Skill!$G:$G, MATCH(AU$4, Skill!$C:$C, 0), 1), "")</f>
        <v>60</v>
      </c>
      <c r="AV9" s="94">
        <f t="array" ref="AV9">IFERROR(INDEX(Skill!$G:$G, MATCH(AV$4, Skill!$C:$C, 0), 1), "")</f>
        <v>90</v>
      </c>
      <c r="AW9" s="94">
        <f t="array" ref="AW9">IFERROR(INDEX(Skill!$G:$G, MATCH(AW$4, Skill!$C:$C, 0), 1), "")</f>
        <v>40</v>
      </c>
      <c r="AX9" s="94">
        <f t="array" ref="AX9">IFERROR(INDEX(Skill!$G:$G, MATCH(AX$4, Skill!$C:$C, 0), 1), "")</f>
        <v>180</v>
      </c>
      <c r="AY9" s="94">
        <f t="array" ref="AY9">IFERROR(INDEX(Skill!$G:$G, MATCH(AY$4, Skill!$C:$C, 0), 1), "")</f>
        <v>60</v>
      </c>
      <c r="AZ9" s="94">
        <f t="array" ref="AZ9">IFERROR(INDEX(Skill!$G:$G, MATCH(AZ$4, Skill!$C:$C, 0), 1), "")</f>
        <v>30</v>
      </c>
      <c r="BA9" s="94" t="str">
        <f t="array" ref="BA9">IFERROR(INDEX(Skill!$G:$G, MATCH(BA$4, Skill!$C:$C, 0), 1), "")</f>
        <v/>
      </c>
      <c r="BB9" s="94">
        <f t="array" ref="BB9">IFERROR(INDEX(Skill!$G:$G, MATCH(BB$4, Skill!$C:$C, 0), 1), "")</f>
        <v>60</v>
      </c>
      <c r="BC9" s="94" t="str">
        <f t="array" ref="BC9">IFERROR(INDEX(Skill!$G:$G, MATCH(BC$4, Skill!$C:$C, 0), 1), "")</f>
        <v/>
      </c>
      <c r="BD9" s="94">
        <f t="array" ref="BD9">IFERROR(INDEX(Skill!$G:$G, MATCH(BD$4, Skill!$C:$C, 0), 1), "")</f>
        <v>180</v>
      </c>
      <c r="BE9" s="94">
        <f t="array" ref="BE9">IFERROR(INDEX(Skill!$G:$G, MATCH(BE$4, Skill!$C:$C, 0), 1), "")</f>
        <v>60</v>
      </c>
      <c r="BF9" s="94">
        <f t="array" ref="BF9">IFERROR(INDEX(Skill!$G:$G, MATCH(BF$4, Skill!$C:$C, 0), 1), "")</f>
        <v>120</v>
      </c>
      <c r="BG9" s="94">
        <f t="array" ref="BG9">IFERROR(INDEX(Skill!$G:$G, MATCH(BG$4, Skill!$C:$C, 0), 1), "")</f>
        <v>1</v>
      </c>
      <c r="BH9" s="94">
        <f t="array" ref="BH9">IFERROR(INDEX(Skill!$G:$G, MATCH(BH$4, Skill!$C:$C, 0), 1), "")</f>
        <v>2.5</v>
      </c>
      <c r="BI9" s="94">
        <f t="array" ref="BI9">IFERROR(INDEX(Skill!$G:$G, MATCH(BI$4, Skill!$C:$C, 0), 1), "")</f>
        <v>60</v>
      </c>
      <c r="BJ9" s="94">
        <f t="array" ref="BJ9">IFERROR(INDEX(Skill!$G:$G, MATCH(BJ$4, Skill!$C:$C, 0), 1), "")</f>
        <v>60</v>
      </c>
      <c r="BK9" s="94">
        <f t="array" ref="BK9">IFERROR(INDEX(Skill!$G:$G, MATCH(BK$4, Skill!$C:$C, 0), 1), "")</f>
        <v>60</v>
      </c>
      <c r="BL9" s="94">
        <f t="array" ref="BL9">IFERROR(INDEX(Skill!$G:$G, MATCH(BL$4, Skill!$C:$C, 0), 1), "")</f>
        <v>180</v>
      </c>
      <c r="BM9" s="94">
        <f t="array" ref="BM9">IFERROR(INDEX(Skill!$G:$G, MATCH(BM$4, Skill!$C:$C, 0), 1), "")</f>
        <v>55</v>
      </c>
      <c r="BN9" s="94">
        <f t="array" ref="BN9">IFERROR(INDEX(Skill!$G:$G, MATCH(BN$4, Skill!$C:$C, 0), 1), "")</f>
        <v>55</v>
      </c>
      <c r="BO9" s="94">
        <f t="array" ref="BO9">IFERROR(INDEX(Skill!$G:$G, MATCH(BO$4, Skill!$C:$C, 0), 1), "")</f>
        <v>1</v>
      </c>
      <c r="BP9" s="94">
        <f t="array" ref="BP9">IFERROR(INDEX(Skill!$G:$G, MATCH(BP$4, Skill!$C:$C, 0), 1), "")</f>
        <v>1</v>
      </c>
      <c r="BQ9" s="94">
        <f t="array" ref="BQ9">IFERROR(INDEX(Skill!$G:$G, MATCH(BQ$4, Skill!$C:$C, 0), 1), "")</f>
        <v>1</v>
      </c>
      <c r="BR9" s="94">
        <f t="array" ref="BR9">IFERROR(INDEX(Skill!$G:$G, MATCH(BR$4, Skill!$C:$C, 0), 1), "")</f>
        <v>1</v>
      </c>
      <c r="BS9" s="94">
        <f t="array" ref="BS9">IFERROR(INDEX(Skill!$G:$G, MATCH(BS$4, Skill!$C:$C, 0), 1), "")</f>
        <v>40</v>
      </c>
      <c r="BT9" s="94" t="str">
        <f t="array" ref="BT9">IFERROR(INDEX(Skill!$G:$G, MATCH(BT$4, Skill!$C:$C, 0), 1), "")</f>
        <v/>
      </c>
      <c r="BU9" s="94">
        <f t="array" ref="BU9">IFERROR(INDEX(Skill!$G:$G, MATCH(BU$4, Skill!$C:$C, 0), 1), "")</f>
        <v>60</v>
      </c>
      <c r="BV9" s="94">
        <f t="array" ref="BV9">IFERROR(INDEX(Skill!$G:$G, MATCH(BV$4, Skill!$C:$C, 0), 1), "")</f>
        <v>30</v>
      </c>
      <c r="BW9" s="94" t="str">
        <f t="array" ref="BW9">IFERROR(INDEX(Skill!$G:$G, MATCH(BW$4, Skill!$C:$C, 0), 1), "")</f>
        <v/>
      </c>
      <c r="BX9" s="94">
        <f t="array" ref="BX9">IFERROR(INDEX(Skill!$G:$G, MATCH(BX$4, Skill!$C:$C, 0), 1), "")</f>
        <v>2.5</v>
      </c>
      <c r="BY9" s="94">
        <f t="array" ref="BY9">IFERROR(INDEX(Skill!$G:$G, MATCH(BY$4, Skill!$C:$C, 0), 1), "")</f>
        <v>120</v>
      </c>
      <c r="BZ9" s="94">
        <f t="array" ref="BZ9">IFERROR(INDEX(Skill!$G:$G, MATCH(BZ$4, Skill!$C:$C, 0), 1), "")</f>
        <v>30</v>
      </c>
      <c r="CA9" s="94">
        <f t="array" ref="CA9">IFERROR(INDEX(Skill!$G:$G, MATCH(CA$4, Skill!$C:$C, 0), 1), "")</f>
        <v>120</v>
      </c>
      <c r="CB9" s="94">
        <f t="array" ref="CB9">IFERROR(INDEX(Skill!$G:$G, MATCH(CB$4, Skill!$C:$C, 0), 1), "")</f>
        <v>90</v>
      </c>
      <c r="CC9" s="94">
        <f t="array" ref="CC9">IFERROR(INDEX(Skill!$G:$G, MATCH(CC$4, Skill!$C:$C, 0), 1), "")</f>
        <v>2.5</v>
      </c>
      <c r="CD9" s="94">
        <f t="array" ref="CD9">IFERROR(INDEX(Skill!$G:$G, MATCH(CD$4, Skill!$C:$C, 0), 1), "")</f>
        <v>60</v>
      </c>
      <c r="CE9" s="94">
        <f t="array" ref="CE9">IFERROR(INDEX(Skill!$G:$G, MATCH(CE$4, Skill!$C:$C, 0), 1), "")</f>
        <v>30</v>
      </c>
      <c r="CF9" s="94">
        <f t="array" ref="CF9">IFERROR(INDEX(Skill!$G:$G, MATCH(CF$4, Skill!$C:$C, 0), 1), "")</f>
        <v>60</v>
      </c>
      <c r="CG9" s="94">
        <f t="array" ref="CG9">IFERROR(INDEX(Skill!$G:$G, MATCH(CG$4, Skill!$C:$C, 0), 1), "")</f>
        <v>120</v>
      </c>
      <c r="CH9" s="94">
        <f t="array" ref="CH9">IFERROR(INDEX(Skill!$G:$G, MATCH(CH$4, Skill!$C:$C, 0), 1), "")</f>
        <v>30</v>
      </c>
      <c r="CI9" s="94">
        <f t="array" ref="CI9">IFERROR(INDEX(Skill!$G:$G, MATCH(CI$4, Skill!$C:$C, 0), 1), "")</f>
        <v>180</v>
      </c>
      <c r="CJ9" s="94">
        <f t="array" ref="CJ9">IFERROR(INDEX(Skill!$G:$G, MATCH(CJ$4, Skill!$C:$C, 0), 1), "")</f>
        <v>60</v>
      </c>
      <c r="CK9" s="94">
        <f t="array" ref="CK9">IFERROR(INDEX(Skill!$G:$G, MATCH(CK$4, Skill!$C:$C, 0), 1), "")</f>
        <v>180</v>
      </c>
      <c r="CL9" s="94">
        <f t="array" ref="CL9">IFERROR(INDEX(Skill!$G:$G, MATCH(CL$4, Skill!$C:$C, 0), 1), "")</f>
        <v>2.5</v>
      </c>
      <c r="CM9" s="94">
        <f t="array" ref="CM9">IFERROR(INDEX(Skill!$G:$G, MATCH(CM$4, Skill!$C:$C, 0), 1), "")</f>
        <v>2.5</v>
      </c>
      <c r="CN9" s="94">
        <f t="array" ref="CN9">IFERROR(INDEX(Skill!$G:$G, MATCH(CN$4, Skill!$C:$C, 0), 1), "")</f>
        <v>1</v>
      </c>
      <c r="CO9" s="94">
        <f t="array" ref="CO9">IFERROR(INDEX(Skill!$G:$G, MATCH(CO$4, Skill!$C:$C, 0), 1), "")</f>
        <v>60</v>
      </c>
      <c r="CP9" s="94">
        <f t="array" ref="CP9">IFERROR(INDEX(Skill!$G:$G, MATCH(CP$4, Skill!$C:$C, 0), 1), "")</f>
        <v>2.5</v>
      </c>
      <c r="CQ9" s="94">
        <f t="array" ref="CQ9">IFERROR(INDEX(Skill!$G:$G, MATCH(CQ$4, Skill!$C:$C, 0), 1), "")</f>
        <v>45</v>
      </c>
      <c r="CR9" s="94">
        <f t="array" ref="CR9">IFERROR(INDEX(Skill!$G:$G, MATCH(CR$4, Skill!$C:$C, 0), 1), "")</f>
        <v>60</v>
      </c>
      <c r="CS9" s="94" t="str">
        <f t="array" ref="CS9">IFERROR(INDEX(Skill!$G:$G, MATCH(CS$4, Skill!$C:$C, 0), 1), "")</f>
        <v/>
      </c>
      <c r="CT9" s="94">
        <f t="array" ref="CT9">IFERROR(INDEX(Skill!$G:$G, MATCH(CT$4, Skill!$C:$C, 0), 1), "")</f>
        <v>120</v>
      </c>
      <c r="CU9" s="94">
        <f t="array" ref="CU9">IFERROR(INDEX(Skill!$G:$G, MATCH(CU$4, Skill!$C:$C, 0), 1), "")</f>
        <v>30</v>
      </c>
      <c r="CV9" s="94">
        <f t="array" ref="CV9">IFERROR(INDEX(Skill!$G:$G, MATCH(CV$4, Skill!$C:$C, 0), 1), "")</f>
        <v>2.5</v>
      </c>
      <c r="CW9" s="94">
        <f t="array" ref="CW9">IFERROR(INDEX(Skill!$G:$G, MATCH(CW$4, Skill!$C:$C, 0), 1), "")</f>
        <v>120</v>
      </c>
      <c r="CX9" s="94">
        <f t="array" ref="CX9">IFERROR(INDEX(Skill!$G:$G, MATCH(CX$4, Skill!$C:$C, 0), 1), "")</f>
        <v>90</v>
      </c>
      <c r="CY9" s="94">
        <f t="array" ref="CY9">IFERROR(INDEX(Skill!$G:$G, MATCH(CY$4, Skill!$C:$C, 0), 1), "")</f>
        <v>60</v>
      </c>
      <c r="CZ9" s="94">
        <f t="array" ref="CZ9">IFERROR(INDEX(Skill!$G:$G, MATCH(CZ$4, Skill!$C:$C, 0), 1), "")</f>
        <v>30</v>
      </c>
      <c r="DA9" s="94">
        <f t="array" ref="DA9">IFERROR(INDEX(Skill!$G:$G, MATCH(DA$4, Skill!$C:$C, 0), 1), "")</f>
        <v>30</v>
      </c>
      <c r="DB9" s="94">
        <f t="array" ref="DB9">IFERROR(INDEX(Skill!$G:$G, MATCH(DB$4, Skill!$C:$C, 0), 1), "")</f>
        <v>120</v>
      </c>
      <c r="DC9" s="94">
        <f t="array" ref="DC9">IFERROR(INDEX(Skill!$G:$G, MATCH(DC$4, Skill!$C:$C, 0), 1), "")</f>
        <v>180</v>
      </c>
      <c r="DD9" s="94">
        <f t="array" ref="DD9">IFERROR(INDEX(Skill!$G:$G, MATCH(DD$4, Skill!$C:$C, 0), 1), "")</f>
        <v>1</v>
      </c>
      <c r="DE9" s="94">
        <f t="array" ref="DE9">IFERROR(INDEX(Skill!$G:$G, MATCH(DE$4, Skill!$C:$C, 0), 1), "")</f>
        <v>45</v>
      </c>
      <c r="DF9" s="94">
        <f t="array" ref="DF9">IFERROR(INDEX(Skill!$G:$G, MATCH(DF$4, Skill!$C:$C, 0), 1), "")</f>
        <v>2.5</v>
      </c>
      <c r="DG9" s="94">
        <f t="array" ref="DG9">IFERROR(INDEX(Skill!$G:$G, MATCH(DG$4, Skill!$C:$C, 0), 1), "")</f>
        <v>120</v>
      </c>
      <c r="DH9" s="94">
        <f t="array" ref="DH9">IFERROR(INDEX(Skill!$G:$G, MATCH(DH$4, Skill!$C:$C, 0), 1), "")</f>
        <v>90</v>
      </c>
      <c r="DI9" s="94" t="str">
        <f t="array" ref="DI9">IFERROR(INDEX(Skill!$G:$G, MATCH(DI$4, Skill!$C:$C, 0), 1), "")</f>
        <v/>
      </c>
      <c r="DJ9" s="94">
        <f t="array" ref="DJ9">IFERROR(INDEX(Skill!$G:$G, MATCH(DJ$4, Skill!$C:$C, 0), 1), "")</f>
        <v>90</v>
      </c>
      <c r="DK9" s="94">
        <f t="array" ref="DK9">IFERROR(INDEX(Skill!$G:$G, MATCH(DK$4, Skill!$C:$C, 0), 1), "")</f>
        <v>90</v>
      </c>
      <c r="DL9" s="94">
        <f t="array" ref="DL9">IFERROR(INDEX(Skill!$G:$G, MATCH(DL$4, Skill!$C:$C, 0), 1), "")</f>
        <v>90</v>
      </c>
      <c r="DM9" s="94">
        <f t="array" ref="DM9">IFERROR(INDEX(Skill!$G:$G, MATCH(DM$4, Skill!$C:$C, 0), 1), "")</f>
        <v>90</v>
      </c>
      <c r="DN9" s="94">
        <f t="array" ref="DN9">IFERROR(INDEX(Skill!$G:$G, MATCH(DN$4, Skill!$C:$C, 0), 1), "")</f>
        <v>90</v>
      </c>
      <c r="DO9" s="94">
        <f t="array" ref="DO9">IFERROR(INDEX(Skill!$G:$G, MATCH(DO$4, Skill!$C:$C, 0), 1), "")</f>
        <v>90</v>
      </c>
      <c r="DP9" s="94">
        <f t="array" ref="DP9">IFERROR(INDEX(Skill!$G:$G, MATCH(DP$4, Skill!$C:$C, 0), 1), "")</f>
        <v>90</v>
      </c>
      <c r="DQ9" s="94">
        <f t="array" ref="DQ9">IFERROR(INDEX(Skill!$G:$G, MATCH(DQ$4, Skill!$C:$C, 0), 1), "")</f>
        <v>90</v>
      </c>
      <c r="DR9" s="94">
        <f t="array" ref="DR9">IFERROR(INDEX(Skill!$G:$G, MATCH(DR$4, Skill!$C:$C, 0), 1), "")</f>
        <v>120</v>
      </c>
      <c r="DS9" s="94">
        <f t="array" ref="DS9">IFERROR(INDEX(Skill!$G:$G, MATCH(DS$4, Skill!$C:$C, 0), 1), "")</f>
        <v>90</v>
      </c>
      <c r="DT9" s="94">
        <f t="array" ref="DT9">IFERROR(INDEX(Skill!$G:$G, MATCH(DT$4, Skill!$C:$C, 0), 1), "")</f>
        <v>120</v>
      </c>
      <c r="DU9" s="94">
        <f t="array" ref="DU9">IFERROR(INDEX(Skill!$G:$G, MATCH(DU$4, Skill!$C:$C, 0), 1), "")</f>
        <v>90</v>
      </c>
      <c r="DV9" s="94">
        <f t="array" ref="DV9">IFERROR(INDEX(Skill!$G:$G, MATCH(DV$4, Skill!$C:$C, 0), 1), "")</f>
        <v>120</v>
      </c>
      <c r="DW9" s="94">
        <f t="array" ref="DW9">IFERROR(INDEX(Skill!$G:$G, MATCH(DW$4, Skill!$C:$C, 0), 1), "")</f>
        <v>90</v>
      </c>
      <c r="DX9" s="94">
        <f t="array" ref="DX9">IFERROR(INDEX(Skill!$G:$G, MATCH(DX$4, Skill!$C:$C, 0), 1), "")</f>
        <v>90</v>
      </c>
      <c r="DY9" s="94">
        <f t="array" ref="DY9">IFERROR(INDEX(Skill!$G:$G, MATCH(DY$4, Skill!$C:$C, 0), 1), "")</f>
        <v>90</v>
      </c>
      <c r="DZ9" s="94">
        <f t="array" ref="DZ9">IFERROR(INDEX(Skill!$G:$G, MATCH(DZ$4, Skill!$C:$C, 0), 1), "")</f>
        <v>120</v>
      </c>
      <c r="EA9" s="89">
        <f t="array" ref="EA9">IFERROR(INDEX(Skill!$G:$G, MATCH(EA$4, Skill!$C:$C, 0), 1), "")</f>
        <v>90</v>
      </c>
      <c r="EB9" s="89">
        <f t="array" ref="EB9">IFERROR(INDEX(Skill!$G:$G, MATCH(EB$4, Skill!$C:$C, 0), 1), "")</f>
        <v>120</v>
      </c>
      <c r="EC9" s="89">
        <f t="array" ref="EC9">IFERROR(INDEX(Skill!$G:$G, MATCH(EC$4, Skill!$C:$C, 0), 1), "")</f>
        <v>1</v>
      </c>
      <c r="ED9" s="94">
        <f t="array" ref="ED9">IFERROR(INDEX(Skill!$G:$G, MATCH(ED$4, Skill!$C:$C, 0), 1), "")</f>
        <v>2.5</v>
      </c>
      <c r="EE9" s="94"/>
      <c r="EF9" s="94"/>
      <c r="EG9" s="94"/>
      <c r="EH9" s="94"/>
      <c r="EI9" s="94"/>
      <c r="EJ9" s="94"/>
      <c r="EK9" s="94"/>
      <c r="EL9" s="94"/>
      <c r="EM9" s="94"/>
      <c r="EN9" s="94"/>
      <c r="EO9" s="94"/>
      <c r="EP9" s="94"/>
      <c r="EQ9" s="94"/>
      <c r="ER9" s="94"/>
      <c r="ES9" s="94"/>
      <c r="ET9" s="94"/>
      <c r="EU9" s="94"/>
      <c r="EV9" s="94"/>
      <c r="EW9" s="94"/>
      <c r="EX9" s="94"/>
      <c r="EY9" s="94"/>
      <c r="EZ9" s="94"/>
      <c r="FA9" s="94"/>
      <c r="FB9" s="94"/>
      <c r="FC9" s="94"/>
      <c r="FD9" s="94"/>
      <c r="FE9" s="94"/>
      <c r="FF9" s="94"/>
      <c r="FG9" s="94"/>
      <c r="FH9" s="94"/>
      <c r="FI9" s="94"/>
      <c r="FJ9" s="94"/>
      <c r="FK9" s="94"/>
      <c r="FL9" s="94"/>
      <c r="FM9" s="94"/>
      <c r="FN9" s="94"/>
      <c r="FO9" s="91"/>
    </row>
    <row r="10" hidden="1">
      <c r="A10" s="3"/>
      <c r="B10" s="90"/>
      <c r="C10" s="90"/>
      <c r="D10" s="90"/>
      <c r="E10" s="90" t="s">
        <v>11</v>
      </c>
      <c r="F10" s="90"/>
      <c r="G10" s="90"/>
      <c r="H10" s="90"/>
      <c r="I10" s="90"/>
      <c r="J10" s="90"/>
      <c r="K10" s="94">
        <f t="array" ref="K10">IFERROR(INDEX(Skill!$M:$M, MATCH(K$4, Skill!$C:$C, 0), 1), "")</f>
        <v>0.9</v>
      </c>
      <c r="L10" s="94">
        <f t="array" ref="L10">IFERROR(INDEX(Skill!$M:$M, MATCH(L$4, Skill!$C:$C, 0), 1), "")</f>
        <v>0.85</v>
      </c>
      <c r="M10" s="94" t="str">
        <f t="array" ref="M10">IFERROR(INDEX(Skill!$M:$M, MATCH(M$4, Skill!$C:$C, 0), 1), "")</f>
        <v/>
      </c>
      <c r="N10" s="94">
        <f t="array" ref="N10">IFERROR(INDEX(Skill!$M:$M, MATCH(N$4, Skill!$C:$C, 0), 1), "")</f>
        <v>0.9</v>
      </c>
      <c r="O10" s="94">
        <f t="array" ref="O10">IFERROR(INDEX(Skill!$M:$M, MATCH(O$4, Skill!$C:$C, 0), 1), "")</f>
        <v>0.8</v>
      </c>
      <c r="P10" s="94" t="str">
        <f t="array" ref="P10">IFERROR(INDEX(Skill!$M:$M, MATCH(P$4, Skill!$C:$C, 0), 1), "")</f>
        <v/>
      </c>
      <c r="Q10" s="94">
        <f t="array" ref="Q10">IFERROR(INDEX(Skill!$M:$M, MATCH(Q$4, Skill!$C:$C, 0), 1), "")</f>
        <v>0.6</v>
      </c>
      <c r="R10" s="94">
        <f t="array" ref="R10">IFERROR(INDEX(Skill!$M:$M, MATCH(R$4, Skill!$C:$C, 0), 1), "")</f>
        <v>0.85</v>
      </c>
      <c r="S10" s="94">
        <f t="array" ref="S10">IFERROR(INDEX(Skill!$M:$M, MATCH(S$4, Skill!$C:$C, 0), 1), "")</f>
        <v>0</v>
      </c>
      <c r="T10" s="94">
        <f t="array" ref="T10">IFERROR(INDEX(Skill!$M:$M, MATCH(T$4, Skill!$C:$C, 0), 1), "")</f>
        <v>0.9</v>
      </c>
      <c r="U10" s="94" t="str">
        <f t="array" ref="U10">IFERROR(INDEX(Skill!$M:$M, MATCH(U$4, Skill!$C:$C, 0), 1), "")</f>
        <v/>
      </c>
      <c r="V10" s="94">
        <f t="array" ref="V10">IFERROR(INDEX(Skill!$M:$M, MATCH(V$4, Skill!$C:$C, 0), 1), "")</f>
        <v>0.9</v>
      </c>
      <c r="W10" s="94">
        <f t="array" ref="W10">IFERROR(INDEX(Skill!$M:$M, MATCH(W$4, Skill!$C:$C, 0), 1), "")</f>
        <v>0.8</v>
      </c>
      <c r="X10" s="94" t="str">
        <f t="array" ref="X10">IFERROR(INDEX(Skill!$M:$M, MATCH(X$4, Skill!$C:$C, 0), 1), "")</f>
        <v/>
      </c>
      <c r="Y10" s="94">
        <f t="array" ref="Y10">IFERROR(INDEX(Skill!$M:$M, MATCH(Y$4, Skill!$C:$C, 0), 1), "")</f>
        <v>0.6</v>
      </c>
      <c r="Z10" s="94">
        <f t="array" ref="Z10">IFERROR(INDEX(Skill!$M:$M, MATCH(Z$4, Skill!$C:$C, 0), 1), "")</f>
        <v>0.9</v>
      </c>
      <c r="AA10" s="94" t="str">
        <f t="array" ref="AA10">IFERROR(INDEX(Skill!$M:$M, MATCH(AA$4, Skill!$C:$C, 0), 1), "")</f>
        <v/>
      </c>
      <c r="AB10" s="94">
        <f t="array" ref="AB10">IFERROR(INDEX(Skill!$M:$M, MATCH(AB$4, Skill!$C:$C, 0), 1), "")</f>
        <v>1</v>
      </c>
      <c r="AC10" s="94">
        <f t="array" ref="AC10">IFERROR(INDEX(Skill!$M:$M, MATCH(AC$4, Skill!$C:$C, 0), 1), "")</f>
        <v>0.9</v>
      </c>
      <c r="AD10" s="94">
        <f t="array" ref="AD10">IFERROR(INDEX(Skill!$M:$M, MATCH(AD$4, Skill!$C:$C, 0), 1), "")</f>
        <v>0.95</v>
      </c>
      <c r="AE10" s="94" t="str">
        <f t="array" ref="AE10">IFERROR(INDEX(Skill!$M:$M, MATCH(AE$4, Skill!$C:$C, 0), 1), "")</f>
        <v/>
      </c>
      <c r="AF10" s="94">
        <f t="array" ref="AF10">IFERROR(INDEX(Skill!$M:$M, MATCH(AF$4, Skill!$C:$C, 0), 1), "")</f>
        <v>0.9</v>
      </c>
      <c r="AG10" s="94" t="str">
        <f t="array" ref="AG10">IFERROR(INDEX(Skill!$M:$M, MATCH(AG$4, Skill!$C:$C, 0), 1), "")</f>
        <v/>
      </c>
      <c r="AH10" s="94">
        <f t="array" ref="AH10">IFERROR(INDEX(Skill!$M:$M, MATCH(AH$4, Skill!$C:$C, 0), 1), "")</f>
        <v>0.8</v>
      </c>
      <c r="AI10" s="94">
        <f t="array" ref="AI10">IFERROR(INDEX(Skill!$M:$M, MATCH(AI$4, Skill!$C:$C, 0), 1), "")</f>
        <v>0.9</v>
      </c>
      <c r="AJ10" s="94">
        <f t="array" ref="AJ10">IFERROR(INDEX(Skill!$M:$M, MATCH(AJ$4, Skill!$C:$C, 0), 1), "")</f>
        <v>0.6</v>
      </c>
      <c r="AK10" s="94">
        <f t="array" ref="AK10">IFERROR(INDEX(Skill!$M:$M, MATCH(AK$4, Skill!$C:$C, 0), 1), "")</f>
        <v>1</v>
      </c>
      <c r="AL10" s="94">
        <f t="array" ref="AL10">IFERROR(INDEX(Skill!$M:$M, MATCH(AL$4, Skill!$C:$C, 0), 1), "")</f>
        <v>0.9</v>
      </c>
      <c r="AM10" s="94">
        <f t="array" ref="AM10">IFERROR(INDEX(Skill!$M:$M, MATCH(AM$4, Skill!$C:$C, 0), 1), "")</f>
        <v>0.95</v>
      </c>
      <c r="AN10" s="94">
        <f t="array" ref="AN10">IFERROR(INDEX(Skill!$M:$M, MATCH(AN$4, Skill!$C:$C, 0), 1), "")</f>
        <v>0.85</v>
      </c>
      <c r="AO10" s="94">
        <f t="array" ref="AO10">IFERROR(INDEX(Skill!$M:$M, MATCH(AO$4, Skill!$C:$C, 0), 1), "")</f>
        <v>0.8</v>
      </c>
      <c r="AP10" s="94">
        <f t="array" ref="AP10">IFERROR(INDEX(Skill!$M:$M, MATCH(AP$4, Skill!$C:$C, 0), 1), "")</f>
        <v>0.9</v>
      </c>
      <c r="AQ10" s="94">
        <f t="array" ref="AQ10">IFERROR(INDEX(Skill!$M:$M, MATCH(AQ$4, Skill!$C:$C, 0), 1), "")</f>
        <v>0.6</v>
      </c>
      <c r="AR10" s="94">
        <f t="array" ref="AR10">IFERROR(INDEX(Skill!$M:$M, MATCH(AR$4, Skill!$C:$C, 0), 1), "")</f>
        <v>0</v>
      </c>
      <c r="AS10" s="94">
        <f t="array" ref="AS10">IFERROR(INDEX(Skill!$M:$M, MATCH(AS$4, Skill!$C:$C, 0), 1), "")</f>
        <v>0.9</v>
      </c>
      <c r="AT10" s="94" t="str">
        <f t="array" ref="AT10">IFERROR(INDEX(Skill!$M:$M, MATCH(AT$4, Skill!$C:$C, 0), 1), "")</f>
        <v/>
      </c>
      <c r="AU10" s="94" t="str">
        <f t="array" ref="AU10">IFERROR(INDEX(Skill!$M:$M, MATCH(AU$4, Skill!$C:$C, 0), 1), "")</f>
        <v/>
      </c>
      <c r="AV10" s="94" t="str">
        <f t="array" ref="AV10">IFERROR(INDEX(Skill!$M:$M, MATCH(AV$4, Skill!$C:$C, 0), 1), "")</f>
        <v/>
      </c>
      <c r="AW10" s="94" t="str">
        <f t="array" ref="AW10">IFERROR(INDEX(Skill!$M:$M, MATCH(AW$4, Skill!$C:$C, 0), 1), "")</f>
        <v/>
      </c>
      <c r="AX10" s="94" t="str">
        <f t="array" ref="AX10">IFERROR(INDEX(Skill!$M:$M, MATCH(AX$4, Skill!$C:$C, 0), 1), "")</f>
        <v/>
      </c>
      <c r="AY10" s="94">
        <f t="array" ref="AY10">IFERROR(INDEX(Skill!$M:$M, MATCH(AY$4, Skill!$C:$C, 0), 1), "")</f>
        <v>0.85</v>
      </c>
      <c r="AZ10" s="94" t="str">
        <f t="array" ref="AZ10">IFERROR(INDEX(Skill!$M:$M, MATCH(AZ$4, Skill!$C:$C, 0), 1), "")</f>
        <v/>
      </c>
      <c r="BA10" s="94" t="str">
        <f t="array" ref="BA10">IFERROR(INDEX(Skill!$M:$M, MATCH(BA$4, Skill!$C:$C, 0), 1), "")</f>
        <v/>
      </c>
      <c r="BB10" s="94" t="str">
        <f t="array" ref="BB10">IFERROR(INDEX(Skill!$M:$M, MATCH(BB$4, Skill!$C:$C, 0), 1), "")</f>
        <v/>
      </c>
      <c r="BC10" s="94" t="str">
        <f t="array" ref="BC10">IFERROR(INDEX(Skill!$M:$M, MATCH(BC$4, Skill!$C:$C, 0), 1), "")</f>
        <v/>
      </c>
      <c r="BD10" s="94" t="str">
        <f t="array" ref="BD10">IFERROR(INDEX(Skill!$M:$M, MATCH(BD$4, Skill!$C:$C, 0), 1), "")</f>
        <v/>
      </c>
      <c r="BE10" s="94">
        <f t="array" ref="BE10">IFERROR(INDEX(Skill!$M:$M, MATCH(BE$4, Skill!$C:$C, 0), 1), "")</f>
        <v>0.9</v>
      </c>
      <c r="BF10" s="94" t="str">
        <f t="array" ref="BF10">IFERROR(INDEX(Skill!$M:$M, MATCH(BF$4, Skill!$C:$C, 0), 1), "")</f>
        <v/>
      </c>
      <c r="BG10" s="94">
        <f t="array" ref="BG10">IFERROR(INDEX(Skill!$M:$M, MATCH(BG$4, Skill!$C:$C, 0), 1), "")</f>
        <v>0.9</v>
      </c>
      <c r="BH10" s="94" t="str">
        <f t="array" ref="BH10">IFERROR(INDEX(Skill!$M:$M, MATCH(BH$4, Skill!$C:$C, 0), 1), "")</f>
        <v/>
      </c>
      <c r="BI10" s="94" t="str">
        <f t="array" ref="BI10">IFERROR(INDEX(Skill!$M:$M, MATCH(BI$4, Skill!$C:$C, 0), 1), "")</f>
        <v/>
      </c>
      <c r="BJ10" s="94" t="str">
        <f t="array" ref="BJ10">IFERROR(INDEX(Skill!$M:$M, MATCH(BJ$4, Skill!$C:$C, 0), 1), "")</f>
        <v/>
      </c>
      <c r="BK10" s="94" t="str">
        <f t="array" ref="BK10">IFERROR(INDEX(Skill!$M:$M, MATCH(BK$4, Skill!$C:$C, 0), 1), "")</f>
        <v/>
      </c>
      <c r="BL10" s="94" t="str">
        <f t="array" ref="BL10">IFERROR(INDEX(Skill!$M:$M, MATCH(BL$4, Skill!$C:$C, 0), 1), "")</f>
        <v/>
      </c>
      <c r="BM10" s="94" t="str">
        <f t="array" ref="BM10">IFERROR(INDEX(Skill!$M:$M, MATCH(BM$4, Skill!$C:$C, 0), 1), "")</f>
        <v/>
      </c>
      <c r="BN10" s="94" t="str">
        <f t="array" ref="BN10">IFERROR(INDEX(Skill!$M:$M, MATCH(BN$4, Skill!$C:$C, 0), 1), "")</f>
        <v/>
      </c>
      <c r="BO10" s="94" t="str">
        <f t="array" ref="BO10">IFERROR(INDEX(Skill!$M:$M, MATCH(BO$4, Skill!$C:$C, 0), 1), "")</f>
        <v/>
      </c>
      <c r="BP10" s="94" t="str">
        <f t="array" ref="BP10">IFERROR(INDEX(Skill!$M:$M, MATCH(BP$4, Skill!$C:$C, 0), 1), "")</f>
        <v/>
      </c>
      <c r="BQ10" s="94">
        <f t="array" ref="BQ10">IFERROR(INDEX(Skill!$M:$M, MATCH(BQ$4, Skill!$C:$C, 0), 1), "")</f>
        <v>0.9</v>
      </c>
      <c r="BR10" s="94" t="str">
        <f t="array" ref="BR10">IFERROR(INDEX(Skill!$M:$M, MATCH(BR$4, Skill!$C:$C, 0), 1), "")</f>
        <v/>
      </c>
      <c r="BS10" s="94" t="str">
        <f t="array" ref="BS10">IFERROR(INDEX(Skill!$M:$M, MATCH(BS$4, Skill!$C:$C, 0), 1), "")</f>
        <v/>
      </c>
      <c r="BT10" s="94" t="str">
        <f t="array" ref="BT10">IFERROR(INDEX(Skill!$M:$M, MATCH(BT$4, Skill!$C:$C, 0), 1), "")</f>
        <v/>
      </c>
      <c r="BU10" s="94">
        <f t="array" ref="BU10">IFERROR(INDEX(Skill!$M:$M, MATCH(BU$4, Skill!$C:$C, 0), 1), "")</f>
        <v>0.9</v>
      </c>
      <c r="BV10" s="94" t="str">
        <f t="array" ref="BV10">IFERROR(INDEX(Skill!$M:$M, MATCH(BV$4, Skill!$C:$C, 0), 1), "")</f>
        <v/>
      </c>
      <c r="BW10" s="94" t="str">
        <f t="array" ref="BW10">IFERROR(INDEX(Skill!$M:$M, MATCH(BW$4, Skill!$C:$C, 0), 1), "")</f>
        <v/>
      </c>
      <c r="BX10" s="94" t="str">
        <f t="array" ref="BX10">IFERROR(INDEX(Skill!$M:$M, MATCH(BX$4, Skill!$C:$C, 0), 1), "")</f>
        <v/>
      </c>
      <c r="BY10" s="94">
        <f t="array" ref="BY10">IFERROR(INDEX(Skill!$M:$M, MATCH(BY$4, Skill!$C:$C, 0), 1), "")</f>
        <v>1</v>
      </c>
      <c r="BZ10" s="94">
        <f t="array" ref="BZ10">IFERROR(INDEX(Skill!$M:$M, MATCH(BZ$4, Skill!$C:$C, 0), 1), "")</f>
        <v>0.9</v>
      </c>
      <c r="CA10" s="94">
        <f t="array" ref="CA10">IFERROR(INDEX(Skill!$M:$M, MATCH(CA$4, Skill!$C:$C, 0), 1), "")</f>
        <v>0.9</v>
      </c>
      <c r="CB10" s="94" t="str">
        <f t="array" ref="CB10">IFERROR(INDEX(Skill!$M:$M, MATCH(CB$4, Skill!$C:$C, 0), 1), "")</f>
        <v/>
      </c>
      <c r="CC10" s="94" t="str">
        <f t="array" ref="CC10">IFERROR(INDEX(Skill!$M:$M, MATCH(CC$4, Skill!$C:$C, 0), 1), "")</f>
        <v/>
      </c>
      <c r="CD10" s="94" t="str">
        <f t="array" ref="CD10">IFERROR(INDEX(Skill!$M:$M, MATCH(CD$4, Skill!$C:$C, 0), 1), "")</f>
        <v/>
      </c>
      <c r="CE10" s="94" t="str">
        <f t="array" ref="CE10">IFERROR(INDEX(Skill!$M:$M, MATCH(CE$4, Skill!$C:$C, 0), 1), "")</f>
        <v/>
      </c>
      <c r="CF10" s="94" t="str">
        <f t="array" ref="CF10">IFERROR(INDEX(Skill!$M:$M, MATCH(CF$4, Skill!$C:$C, 0), 1), "")</f>
        <v/>
      </c>
      <c r="CG10" s="94" t="str">
        <f t="array" ref="CG10">IFERROR(INDEX(Skill!$M:$M, MATCH(CG$4, Skill!$C:$C, 0), 1), "")</f>
        <v/>
      </c>
      <c r="CH10" s="94" t="str">
        <f t="array" ref="CH10">IFERROR(INDEX(Skill!$M:$M, MATCH(CH$4, Skill!$C:$C, 0), 1), "")</f>
        <v/>
      </c>
      <c r="CI10" s="94" t="str">
        <f t="array" ref="CI10">IFERROR(INDEX(Skill!$M:$M, MATCH(CI$4, Skill!$C:$C, 0), 1), "")</f>
        <v/>
      </c>
      <c r="CJ10" s="94" t="str">
        <f t="array" ref="CJ10">IFERROR(INDEX(Skill!$M:$M, MATCH(CJ$4, Skill!$C:$C, 0), 1), "")</f>
        <v/>
      </c>
      <c r="CK10" s="94" t="str">
        <f t="array" ref="CK10">IFERROR(INDEX(Skill!$M:$M, MATCH(CK$4, Skill!$C:$C, 0), 1), "")</f>
        <v/>
      </c>
      <c r="CL10" s="94" t="str">
        <f t="array" ref="CL10">IFERROR(INDEX(Skill!$M:$M, MATCH(CL$4, Skill!$C:$C, 0), 1), "")</f>
        <v/>
      </c>
      <c r="CM10" s="94" t="str">
        <f t="array" ref="CM10">IFERROR(INDEX(Skill!$M:$M, MATCH(CM$4, Skill!$C:$C, 0), 1), "")</f>
        <v/>
      </c>
      <c r="CN10" s="94" t="str">
        <f t="array" ref="CN10">IFERROR(INDEX(Skill!$M:$M, MATCH(CN$4, Skill!$C:$C, 0), 1), "")</f>
        <v/>
      </c>
      <c r="CO10" s="94" t="str">
        <f t="array" ref="CO10">IFERROR(INDEX(Skill!$M:$M, MATCH(CO$4, Skill!$C:$C, 0), 1), "")</f>
        <v/>
      </c>
      <c r="CP10" s="94" t="str">
        <f t="array" ref="CP10">IFERROR(INDEX(Skill!$M:$M, MATCH(CP$4, Skill!$C:$C, 0), 1), "")</f>
        <v/>
      </c>
      <c r="CQ10" s="94" t="str">
        <f t="array" ref="CQ10">IFERROR(INDEX(Skill!$M:$M, MATCH(CQ$4, Skill!$C:$C, 0), 1), "")</f>
        <v/>
      </c>
      <c r="CR10" s="94" t="str">
        <f t="array" ref="CR10">IFERROR(INDEX(Skill!$M:$M, MATCH(CR$4, Skill!$C:$C, 0), 1), "")</f>
        <v/>
      </c>
      <c r="CS10" s="94" t="str">
        <f t="array" ref="CS10">IFERROR(INDEX(Skill!$M:$M, MATCH(CS$4, Skill!$C:$C, 0), 1), "")</f>
        <v/>
      </c>
      <c r="CT10" s="94">
        <f t="array" ref="CT10">IFERROR(INDEX(Skill!$M:$M, MATCH(CT$4, Skill!$C:$C, 0), 1), "")</f>
        <v>0.9</v>
      </c>
      <c r="CU10" s="94">
        <f t="array" ref="CU10">IFERROR(INDEX(Skill!$M:$M, MATCH(CU$4, Skill!$C:$C, 0), 1), "")</f>
        <v>0.9</v>
      </c>
      <c r="CV10" s="94" t="str">
        <f t="array" ref="CV10">IFERROR(INDEX(Skill!$M:$M, MATCH(CV$4, Skill!$C:$C, 0), 1), "")</f>
        <v/>
      </c>
      <c r="CW10" s="94" t="str">
        <f t="array" ref="CW10">IFERROR(INDEX(Skill!$M:$M, MATCH(CW$4, Skill!$C:$C, 0), 1), "")</f>
        <v/>
      </c>
      <c r="CX10" s="94" t="str">
        <f t="array" ref="CX10">IFERROR(INDEX(Skill!$M:$M, MATCH(CX$4, Skill!$C:$C, 0), 1), "")</f>
        <v/>
      </c>
      <c r="CY10" s="94" t="str">
        <f t="array" ref="CY10">IFERROR(INDEX(Skill!$M:$M, MATCH(CY$4, Skill!$C:$C, 0), 1), "")</f>
        <v/>
      </c>
      <c r="CZ10" s="94" t="str">
        <f t="array" ref="CZ10">IFERROR(INDEX(Skill!$M:$M, MATCH(CZ$4, Skill!$C:$C, 0), 1), "")</f>
        <v/>
      </c>
      <c r="DA10" s="94" t="str">
        <f t="array" ref="DA10">IFERROR(INDEX(Skill!$M:$M, MATCH(DA$4, Skill!$C:$C, 0), 1), "")</f>
        <v/>
      </c>
      <c r="DB10" s="94" t="str">
        <f t="array" ref="DB10">IFERROR(INDEX(Skill!$M:$M, MATCH(DB$4, Skill!$C:$C, 0), 1), "")</f>
        <v/>
      </c>
      <c r="DC10" s="94" t="str">
        <f t="array" ref="DC10">IFERROR(INDEX(Skill!$M:$M, MATCH(DC$4, Skill!$C:$C, 0), 1), "")</f>
        <v/>
      </c>
      <c r="DD10" s="94" t="str">
        <f t="array" ref="DD10">IFERROR(INDEX(Skill!$M:$M, MATCH(DD$4, Skill!$C:$C, 0), 1), "")</f>
        <v/>
      </c>
      <c r="DE10" s="94">
        <f t="array" ref="DE10">IFERROR(INDEX(Skill!$M:$M, MATCH(DE$4, Skill!$C:$C, 0), 1), "")</f>
        <v>0.9</v>
      </c>
      <c r="DF10" s="94" t="str">
        <f t="array" ref="DF10">IFERROR(INDEX(Skill!$M:$M, MATCH(DF$4, Skill!$C:$C, 0), 1), "")</f>
        <v/>
      </c>
      <c r="DG10" s="94" t="str">
        <f t="array" ref="DG10">IFERROR(INDEX(Skill!$M:$M, MATCH(DG$4, Skill!$C:$C, 0), 1), "")</f>
        <v/>
      </c>
      <c r="DH10" s="94" t="str">
        <f t="array" ref="DH10">IFERROR(INDEX(Skill!$M:$M, MATCH(DH$4, Skill!$C:$C, 0), 1), "")</f>
        <v/>
      </c>
      <c r="DI10" s="94" t="str">
        <f t="array" ref="DI10">IFERROR(INDEX(Skill!$M:$M, MATCH(DI$4, Skill!$C:$C, 0), 1), "")</f>
        <v/>
      </c>
      <c r="DJ10" s="94">
        <f t="array" ref="DJ10">IFERROR(INDEX(Skill!$M:$M, MATCH(DJ$4, Skill!$C:$C, 0), 1), "")</f>
        <v>0.9</v>
      </c>
      <c r="DK10" s="94" t="str">
        <f t="array" ref="DK10">IFERROR(INDEX(Skill!$M:$M, MATCH(DK$4, Skill!$C:$C, 0), 1), "")</f>
        <v/>
      </c>
      <c r="DL10" s="94">
        <f t="array" ref="DL10">IFERROR(INDEX(Skill!$M:$M, MATCH(DL$4, Skill!$C:$C, 0), 1), "")</f>
        <v>0.9</v>
      </c>
      <c r="DM10" s="94">
        <f t="array" ref="DM10">IFERROR(INDEX(Skill!$M:$M, MATCH(DM$4, Skill!$C:$C, 0), 1), "")</f>
        <v>0.9</v>
      </c>
      <c r="DN10" s="94">
        <f t="array" ref="DN10">IFERROR(INDEX(Skill!$M:$M, MATCH(DN$4, Skill!$C:$C, 0), 1), "")</f>
        <v>0.9</v>
      </c>
      <c r="DO10" s="94">
        <f t="array" ref="DO10">IFERROR(INDEX(Skill!$M:$M, MATCH(DO$4, Skill!$C:$C, 0), 1), "")</f>
        <v>0.9</v>
      </c>
      <c r="DP10" s="94">
        <f t="array" ref="DP10">IFERROR(INDEX(Skill!$M:$M, MATCH(DP$4, Skill!$C:$C, 0), 1), "")</f>
        <v>0.9</v>
      </c>
      <c r="DQ10" s="94">
        <f t="array" ref="DQ10">IFERROR(INDEX(Skill!$M:$M, MATCH(DQ$4, Skill!$C:$C, 0), 1), "")</f>
        <v>0.85</v>
      </c>
      <c r="DR10" s="94" t="str">
        <f t="array" ref="DR10">IFERROR(INDEX(Skill!$M:$M, MATCH(DR$4, Skill!$C:$C, 0), 1), "")</f>
        <v/>
      </c>
      <c r="DS10" s="94">
        <f t="array" ref="DS10">IFERROR(INDEX(Skill!$M:$M, MATCH(DS$4, Skill!$C:$C, 0), 1), "")</f>
        <v>0.85</v>
      </c>
      <c r="DT10" s="94">
        <f t="array" ref="DT10">IFERROR(INDEX(Skill!$M:$M, MATCH(DT$4, Skill!$C:$C, 0), 1), "")</f>
        <v>0.9</v>
      </c>
      <c r="DU10" s="94">
        <f t="array" ref="DU10">IFERROR(INDEX(Skill!$M:$M, MATCH(DU$4, Skill!$C:$C, 0), 1), "")</f>
        <v>0.85</v>
      </c>
      <c r="DV10" s="94" t="str">
        <f t="array" ref="DV10">IFERROR(INDEX(Skill!$M:$M, MATCH(DV$4, Skill!$C:$C, 0), 1), "")</f>
        <v/>
      </c>
      <c r="DW10" s="94">
        <f t="array" ref="DW10">IFERROR(INDEX(Skill!$M:$M, MATCH(DW$4, Skill!$C:$C, 0), 1), "")</f>
        <v>0.95</v>
      </c>
      <c r="DX10" s="94">
        <f t="array" ref="DX10">IFERROR(INDEX(Skill!$M:$M, MATCH(DX$4, Skill!$C:$C, 0), 1), "")</f>
        <v>0.95</v>
      </c>
      <c r="DY10" s="94">
        <f t="array" ref="DY10">IFERROR(INDEX(Skill!$M:$M, MATCH(DY$4, Skill!$C:$C, 0), 1), "")</f>
        <v>0.95</v>
      </c>
      <c r="DZ10" s="94">
        <f t="array" ref="DZ10">IFERROR(INDEX(Skill!$M:$M, MATCH(DZ$4, Skill!$C:$C, 0), 1), "")</f>
        <v>1</v>
      </c>
      <c r="EA10" s="89">
        <f t="array" ref="EA10">IFERROR(INDEX(Skill!$M:$M, MATCH(EA$4, Skill!$C:$C, 0), 1), "")</f>
        <v>0.95</v>
      </c>
      <c r="EB10" s="89" t="str">
        <f t="array" ref="EB10">IFERROR(INDEX(Skill!$M:$M, MATCH(EB$4, Skill!$C:$C, 0), 1), "")</f>
        <v/>
      </c>
      <c r="EC10" s="89" t="str">
        <f t="array" ref="EC10">IFERROR(INDEX(Skill!$M:$M, MATCH(EC$4, Skill!$C:$C, 0), 1), "")</f>
        <v/>
      </c>
      <c r="ED10" s="94">
        <f t="array" ref="ED10">IFERROR(INDEX(Skill!$M:$M, MATCH(ED$4, Skill!$C:$C, 0), 1), "")</f>
        <v>0.2</v>
      </c>
      <c r="EE10" s="98"/>
      <c r="EF10" s="98"/>
      <c r="EG10" s="98"/>
      <c r="EH10" s="98"/>
      <c r="EI10" s="98"/>
      <c r="EJ10" s="98"/>
      <c r="EK10" s="98"/>
      <c r="EL10" s="98"/>
      <c r="EM10" s="98"/>
      <c r="EN10" s="98"/>
      <c r="EO10" s="98"/>
      <c r="EP10" s="98"/>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8"/>
      <c r="FO10" s="99"/>
    </row>
    <row r="11" hidden="1">
      <c r="A11" s="3"/>
      <c r="B11" s="90"/>
      <c r="C11" s="90"/>
      <c r="D11" s="90"/>
      <c r="E11" s="90" t="s">
        <v>10</v>
      </c>
      <c r="F11" s="90"/>
      <c r="G11" s="90"/>
      <c r="H11" s="90"/>
      <c r="I11" s="90"/>
      <c r="J11" s="90"/>
      <c r="K11" s="94">
        <f t="array" ref="K11">IFERROR(INDEX(Skill!$L:$L, MATCH(K$4, Skill!$C:$C, 0), 1), "")</f>
        <v>0.9</v>
      </c>
      <c r="L11" s="94">
        <f t="array" ref="L11">IFERROR(INDEX(Skill!$L:$L, MATCH(L$4, Skill!$C:$C, 0), 1), "")</f>
        <v>0.85</v>
      </c>
      <c r="M11" s="94" t="str">
        <f t="array" ref="M11">IFERROR(INDEX(Skill!$L:$L, MATCH(M$4, Skill!$C:$C, 0), 1), "")</f>
        <v/>
      </c>
      <c r="N11" s="94">
        <f t="array" ref="N11">IFERROR(INDEX(Skill!$L:$L, MATCH(N$4, Skill!$C:$C, 0), 1), "")</f>
        <v>0.9</v>
      </c>
      <c r="O11" s="94">
        <f t="array" ref="O11">IFERROR(INDEX(Skill!$L:$L, MATCH(O$4, Skill!$C:$C, 0), 1), "")</f>
        <v>0.8</v>
      </c>
      <c r="P11" s="94" t="str">
        <f t="array" ref="P11">IFERROR(INDEX(Skill!$L:$L, MATCH(P$4, Skill!$C:$C, 0), 1), "")</f>
        <v/>
      </c>
      <c r="Q11" s="94">
        <f t="array" ref="Q11">IFERROR(INDEX(Skill!$L:$L, MATCH(Q$4, Skill!$C:$C, 0), 1), "")</f>
        <v>0.6</v>
      </c>
      <c r="R11" s="94">
        <f t="array" ref="R11">IFERROR(INDEX(Skill!$L:$L, MATCH(R$4, Skill!$C:$C, 0), 1), "")</f>
        <v>0.85</v>
      </c>
      <c r="S11" s="94">
        <f t="array" ref="S11">IFERROR(INDEX(Skill!$L:$L, MATCH(S$4, Skill!$C:$C, 0), 1), "")</f>
        <v>0</v>
      </c>
      <c r="T11" s="94">
        <f t="array" ref="T11">IFERROR(INDEX(Skill!$L:$L, MATCH(T$4, Skill!$C:$C, 0), 1), "")</f>
        <v>0.9</v>
      </c>
      <c r="U11" s="94" t="str">
        <f t="array" ref="U11">IFERROR(INDEX(Skill!$L:$L, MATCH(U$4, Skill!$C:$C, 0), 1), "")</f>
        <v/>
      </c>
      <c r="V11" s="94">
        <f t="array" ref="V11">IFERROR(INDEX(Skill!$L:$L, MATCH(V$4, Skill!$C:$C, 0), 1), "")</f>
        <v>0.9</v>
      </c>
      <c r="W11" s="94">
        <f t="array" ref="W11">IFERROR(INDEX(Skill!$L:$L, MATCH(W$4, Skill!$C:$C, 0), 1), "")</f>
        <v>0.8</v>
      </c>
      <c r="X11" s="94" t="str">
        <f t="array" ref="X11">IFERROR(INDEX(Skill!$L:$L, MATCH(X$4, Skill!$C:$C, 0), 1), "")</f>
        <v/>
      </c>
      <c r="Y11" s="94">
        <f t="array" ref="Y11">IFERROR(INDEX(Skill!$L:$L, MATCH(Y$4, Skill!$C:$C, 0), 1), "")</f>
        <v>0.6</v>
      </c>
      <c r="Z11" s="94">
        <f t="array" ref="Z11">IFERROR(INDEX(Skill!$L:$L, MATCH(Z$4, Skill!$C:$C, 0), 1), "")</f>
        <v>0.9</v>
      </c>
      <c r="AA11" s="94" t="str">
        <f t="array" ref="AA11">IFERROR(INDEX(Skill!$L:$L, MATCH(AA$4, Skill!$C:$C, 0), 1), "")</f>
        <v/>
      </c>
      <c r="AB11" s="94">
        <f t="array" ref="AB11">IFERROR(INDEX(Skill!$L:$L, MATCH(AB$4, Skill!$C:$C, 0), 1), "")</f>
        <v>1</v>
      </c>
      <c r="AC11" s="94">
        <f t="array" ref="AC11">IFERROR(INDEX(Skill!$L:$L, MATCH(AC$4, Skill!$C:$C, 0), 1), "")</f>
        <v>0.9</v>
      </c>
      <c r="AD11" s="94">
        <f t="array" ref="AD11">IFERROR(INDEX(Skill!$L:$L, MATCH(AD$4, Skill!$C:$C, 0), 1), "")</f>
        <v>0.9</v>
      </c>
      <c r="AE11" s="94" t="str">
        <f t="array" ref="AE11">IFERROR(INDEX(Skill!$L:$L, MATCH(AE$4, Skill!$C:$C, 0), 1), "")</f>
        <v/>
      </c>
      <c r="AF11" s="94">
        <f t="array" ref="AF11">IFERROR(INDEX(Skill!$L:$L, MATCH(AF$4, Skill!$C:$C, 0), 1), "")</f>
        <v>0.9</v>
      </c>
      <c r="AG11" s="94" t="str">
        <f t="array" ref="AG11">IFERROR(INDEX(Skill!$L:$L, MATCH(AG$4, Skill!$C:$C, 0), 1), "")</f>
        <v/>
      </c>
      <c r="AH11" s="94">
        <f t="array" ref="AH11">IFERROR(INDEX(Skill!$L:$L, MATCH(AH$4, Skill!$C:$C, 0), 1), "")</f>
        <v>0.8</v>
      </c>
      <c r="AI11" s="94">
        <f t="array" ref="AI11">IFERROR(INDEX(Skill!$L:$L, MATCH(AI$4, Skill!$C:$C, 0), 1), "")</f>
        <v>0.8</v>
      </c>
      <c r="AJ11" s="94">
        <f t="array" ref="AJ11">IFERROR(INDEX(Skill!$L:$L, MATCH(AJ$4, Skill!$C:$C, 0), 1), "")</f>
        <v>0.6</v>
      </c>
      <c r="AK11" s="94">
        <f t="array" ref="AK11">IFERROR(INDEX(Skill!$L:$L, MATCH(AK$4, Skill!$C:$C, 0), 1), "")</f>
        <v>1</v>
      </c>
      <c r="AL11" s="94">
        <f t="array" ref="AL11">IFERROR(INDEX(Skill!$L:$L, MATCH(AL$4, Skill!$C:$C, 0), 1), "")</f>
        <v>0.9</v>
      </c>
      <c r="AM11" s="94">
        <f t="array" ref="AM11">IFERROR(INDEX(Skill!$L:$L, MATCH(AM$4, Skill!$C:$C, 0), 1), "")</f>
        <v>0.9</v>
      </c>
      <c r="AN11" s="94">
        <f t="array" ref="AN11">IFERROR(INDEX(Skill!$L:$L, MATCH(AN$4, Skill!$C:$C, 0), 1), "")</f>
        <v>0.85</v>
      </c>
      <c r="AO11" s="94">
        <f t="array" ref="AO11">IFERROR(INDEX(Skill!$L:$L, MATCH(AO$4, Skill!$C:$C, 0), 1), "")</f>
        <v>0.8</v>
      </c>
      <c r="AP11" s="94">
        <f t="array" ref="AP11">IFERROR(INDEX(Skill!$L:$L, MATCH(AP$4, Skill!$C:$C, 0), 1), "")</f>
        <v>0.9</v>
      </c>
      <c r="AQ11" s="94">
        <f t="array" ref="AQ11">IFERROR(INDEX(Skill!$L:$L, MATCH(AQ$4, Skill!$C:$C, 0), 1), "")</f>
        <v>0.6</v>
      </c>
      <c r="AR11" s="94">
        <f t="array" ref="AR11">IFERROR(INDEX(Skill!$L:$L, MATCH(AR$4, Skill!$C:$C, 0), 1), "")</f>
        <v>0</v>
      </c>
      <c r="AS11" s="94">
        <f t="array" ref="AS11">IFERROR(INDEX(Skill!$L:$L, MATCH(AS$4, Skill!$C:$C, 0), 1), "")</f>
        <v>0.9</v>
      </c>
      <c r="AT11" s="94" t="str">
        <f t="array" ref="AT11">IFERROR(INDEX(Skill!$L:$L, MATCH(AT$4, Skill!$C:$C, 0), 1), "")</f>
        <v/>
      </c>
      <c r="AU11" s="94" t="str">
        <f t="array" ref="AU11">IFERROR(INDEX(Skill!$L:$L, MATCH(AU$4, Skill!$C:$C, 0), 1), "")</f>
        <v/>
      </c>
      <c r="AV11" s="94" t="str">
        <f t="array" ref="AV11">IFERROR(INDEX(Skill!$L:$L, MATCH(AV$4, Skill!$C:$C, 0), 1), "")</f>
        <v/>
      </c>
      <c r="AW11" s="94" t="str">
        <f t="array" ref="AW11">IFERROR(INDEX(Skill!$L:$L, MATCH(AW$4, Skill!$C:$C, 0), 1), "")</f>
        <v/>
      </c>
      <c r="AX11" s="94" t="str">
        <f t="array" ref="AX11">IFERROR(INDEX(Skill!$L:$L, MATCH(AX$4, Skill!$C:$C, 0), 1), "")</f>
        <v/>
      </c>
      <c r="AY11" s="94">
        <f t="array" ref="AY11">IFERROR(INDEX(Skill!$L:$L, MATCH(AY$4, Skill!$C:$C, 0), 1), "")</f>
        <v>0.85</v>
      </c>
      <c r="AZ11" s="94" t="str">
        <f t="array" ref="AZ11">IFERROR(INDEX(Skill!$L:$L, MATCH(AZ$4, Skill!$C:$C, 0), 1), "")</f>
        <v/>
      </c>
      <c r="BA11" s="94" t="str">
        <f t="array" ref="BA11">IFERROR(INDEX(Skill!$L:$L, MATCH(BA$4, Skill!$C:$C, 0), 1), "")</f>
        <v/>
      </c>
      <c r="BB11" s="94" t="str">
        <f t="array" ref="BB11">IFERROR(INDEX(Skill!$L:$L, MATCH(BB$4, Skill!$C:$C, 0), 1), "")</f>
        <v/>
      </c>
      <c r="BC11" s="94" t="str">
        <f t="array" ref="BC11">IFERROR(INDEX(Skill!$L:$L, MATCH(BC$4, Skill!$C:$C, 0), 1), "")</f>
        <v/>
      </c>
      <c r="BD11" s="94" t="str">
        <f t="array" ref="BD11">IFERROR(INDEX(Skill!$L:$L, MATCH(BD$4, Skill!$C:$C, 0), 1), "")</f>
        <v/>
      </c>
      <c r="BE11" s="94">
        <f t="array" ref="BE11">IFERROR(INDEX(Skill!$L:$L, MATCH(BE$4, Skill!$C:$C, 0), 1), "")</f>
        <v>0.9</v>
      </c>
      <c r="BF11" s="94" t="str">
        <f t="array" ref="BF11">IFERROR(INDEX(Skill!$L:$L, MATCH(BF$4, Skill!$C:$C, 0), 1), "")</f>
        <v/>
      </c>
      <c r="BG11" s="94">
        <f t="array" ref="BG11">IFERROR(INDEX(Skill!$L:$L, MATCH(BG$4, Skill!$C:$C, 0), 1), "")</f>
        <v>0.9</v>
      </c>
      <c r="BH11" s="94" t="str">
        <f t="array" ref="BH11">IFERROR(INDEX(Skill!$L:$L, MATCH(BH$4, Skill!$C:$C, 0), 1), "")</f>
        <v/>
      </c>
      <c r="BI11" s="94" t="str">
        <f t="array" ref="BI11">IFERROR(INDEX(Skill!$L:$L, MATCH(BI$4, Skill!$C:$C, 0), 1), "")</f>
        <v/>
      </c>
      <c r="BJ11" s="94" t="str">
        <f t="array" ref="BJ11">IFERROR(INDEX(Skill!$L:$L, MATCH(BJ$4, Skill!$C:$C, 0), 1), "")</f>
        <v/>
      </c>
      <c r="BK11" s="94" t="str">
        <f t="array" ref="BK11">IFERROR(INDEX(Skill!$L:$L, MATCH(BK$4, Skill!$C:$C, 0), 1), "")</f>
        <v/>
      </c>
      <c r="BL11" s="94" t="str">
        <f t="array" ref="BL11">IFERROR(INDEX(Skill!$L:$L, MATCH(BL$4, Skill!$C:$C, 0), 1), "")</f>
        <v/>
      </c>
      <c r="BM11" s="94" t="str">
        <f t="array" ref="BM11">IFERROR(INDEX(Skill!$L:$L, MATCH(BM$4, Skill!$C:$C, 0), 1), "")</f>
        <v/>
      </c>
      <c r="BN11" s="94" t="str">
        <f t="array" ref="BN11">IFERROR(INDEX(Skill!$L:$L, MATCH(BN$4, Skill!$C:$C, 0), 1), "")</f>
        <v/>
      </c>
      <c r="BO11" s="94" t="str">
        <f t="array" ref="BO11">IFERROR(INDEX(Skill!$L:$L, MATCH(BO$4, Skill!$C:$C, 0), 1), "")</f>
        <v/>
      </c>
      <c r="BP11" s="94" t="str">
        <f t="array" ref="BP11">IFERROR(INDEX(Skill!$L:$L, MATCH(BP$4, Skill!$C:$C, 0), 1), "")</f>
        <v/>
      </c>
      <c r="BQ11" s="94">
        <f t="array" ref="BQ11">IFERROR(INDEX(Skill!$L:$L, MATCH(BQ$4, Skill!$C:$C, 0), 1), "")</f>
        <v>0.9</v>
      </c>
      <c r="BR11" s="94" t="str">
        <f t="array" ref="BR11">IFERROR(INDEX(Skill!$L:$L, MATCH(BR$4, Skill!$C:$C, 0), 1), "")</f>
        <v/>
      </c>
      <c r="BS11" s="94" t="str">
        <f t="array" ref="BS11">IFERROR(INDEX(Skill!$L:$L, MATCH(BS$4, Skill!$C:$C, 0), 1), "")</f>
        <v/>
      </c>
      <c r="BT11" s="94" t="str">
        <f t="array" ref="BT11">IFERROR(INDEX(Skill!$L:$L, MATCH(BT$4, Skill!$C:$C, 0), 1), "")</f>
        <v/>
      </c>
      <c r="BU11" s="94">
        <f t="array" ref="BU11">IFERROR(INDEX(Skill!$L:$L, MATCH(BU$4, Skill!$C:$C, 0), 1), "")</f>
        <v>0.9</v>
      </c>
      <c r="BV11" s="94" t="str">
        <f t="array" ref="BV11">IFERROR(INDEX(Skill!$L:$L, MATCH(BV$4, Skill!$C:$C, 0), 1), "")</f>
        <v/>
      </c>
      <c r="BW11" s="94" t="str">
        <f t="array" ref="BW11">IFERROR(INDEX(Skill!$L:$L, MATCH(BW$4, Skill!$C:$C, 0), 1), "")</f>
        <v/>
      </c>
      <c r="BX11" s="94" t="str">
        <f t="array" ref="BX11">IFERROR(INDEX(Skill!$L:$L, MATCH(BX$4, Skill!$C:$C, 0), 1), "")</f>
        <v/>
      </c>
      <c r="BY11" s="94">
        <f t="array" ref="BY11">IFERROR(INDEX(Skill!$L:$L, MATCH(BY$4, Skill!$C:$C, 0), 1), "")</f>
        <v>0.95</v>
      </c>
      <c r="BZ11" s="94">
        <f t="array" ref="BZ11">IFERROR(INDEX(Skill!$L:$L, MATCH(BZ$4, Skill!$C:$C, 0), 1), "")</f>
        <v>0.9</v>
      </c>
      <c r="CA11" s="94">
        <f t="array" ref="CA11">IFERROR(INDEX(Skill!$L:$L, MATCH(CA$4, Skill!$C:$C, 0), 1), "")</f>
        <v>0.9</v>
      </c>
      <c r="CB11" s="94" t="str">
        <f t="array" ref="CB11">IFERROR(INDEX(Skill!$L:$L, MATCH(CB$4, Skill!$C:$C, 0), 1), "")</f>
        <v/>
      </c>
      <c r="CC11" s="94" t="str">
        <f t="array" ref="CC11">IFERROR(INDEX(Skill!$L:$L, MATCH(CC$4, Skill!$C:$C, 0), 1), "")</f>
        <v/>
      </c>
      <c r="CD11" s="94" t="str">
        <f t="array" ref="CD11">IFERROR(INDEX(Skill!$L:$L, MATCH(CD$4, Skill!$C:$C, 0), 1), "")</f>
        <v/>
      </c>
      <c r="CE11" s="94" t="str">
        <f t="array" ref="CE11">IFERROR(INDEX(Skill!$L:$L, MATCH(CE$4, Skill!$C:$C, 0), 1), "")</f>
        <v/>
      </c>
      <c r="CF11" s="94" t="str">
        <f t="array" ref="CF11">IFERROR(INDEX(Skill!$L:$L, MATCH(CF$4, Skill!$C:$C, 0), 1), "")</f>
        <v/>
      </c>
      <c r="CG11" s="94" t="str">
        <f t="array" ref="CG11">IFERROR(INDEX(Skill!$L:$L, MATCH(CG$4, Skill!$C:$C, 0), 1), "")</f>
        <v/>
      </c>
      <c r="CH11" s="94" t="str">
        <f t="array" ref="CH11">IFERROR(INDEX(Skill!$L:$L, MATCH(CH$4, Skill!$C:$C, 0), 1), "")</f>
        <v/>
      </c>
      <c r="CI11" s="94" t="str">
        <f t="array" ref="CI11">IFERROR(INDEX(Skill!$L:$L, MATCH(CI$4, Skill!$C:$C, 0), 1), "")</f>
        <v/>
      </c>
      <c r="CJ11" s="94" t="str">
        <f t="array" ref="CJ11">IFERROR(INDEX(Skill!$L:$L, MATCH(CJ$4, Skill!$C:$C, 0), 1), "")</f>
        <v/>
      </c>
      <c r="CK11" s="94" t="str">
        <f t="array" ref="CK11">IFERROR(INDEX(Skill!$L:$L, MATCH(CK$4, Skill!$C:$C, 0), 1), "")</f>
        <v/>
      </c>
      <c r="CL11" s="94" t="str">
        <f t="array" ref="CL11">IFERROR(INDEX(Skill!$L:$L, MATCH(CL$4, Skill!$C:$C, 0), 1), "")</f>
        <v/>
      </c>
      <c r="CM11" s="94" t="str">
        <f t="array" ref="CM11">IFERROR(INDEX(Skill!$L:$L, MATCH(CM$4, Skill!$C:$C, 0), 1), "")</f>
        <v/>
      </c>
      <c r="CN11" s="94" t="str">
        <f t="array" ref="CN11">IFERROR(INDEX(Skill!$L:$L, MATCH(CN$4, Skill!$C:$C, 0), 1), "")</f>
        <v/>
      </c>
      <c r="CO11" s="94" t="str">
        <f t="array" ref="CO11">IFERROR(INDEX(Skill!$L:$L, MATCH(CO$4, Skill!$C:$C, 0), 1), "")</f>
        <v/>
      </c>
      <c r="CP11" s="94" t="str">
        <f t="array" ref="CP11">IFERROR(INDEX(Skill!$L:$L, MATCH(CP$4, Skill!$C:$C, 0), 1), "")</f>
        <v/>
      </c>
      <c r="CQ11" s="94" t="str">
        <f t="array" ref="CQ11">IFERROR(INDEX(Skill!$L:$L, MATCH(CQ$4, Skill!$C:$C, 0), 1), "")</f>
        <v/>
      </c>
      <c r="CR11" s="94" t="str">
        <f t="array" ref="CR11">IFERROR(INDEX(Skill!$L:$L, MATCH(CR$4, Skill!$C:$C, 0), 1), "")</f>
        <v/>
      </c>
      <c r="CS11" s="94" t="str">
        <f t="array" ref="CS11">IFERROR(INDEX(Skill!$L:$L, MATCH(CS$4, Skill!$C:$C, 0), 1), "")</f>
        <v/>
      </c>
      <c r="CT11" s="94">
        <f t="array" ref="CT11">IFERROR(INDEX(Skill!$L:$L, MATCH(CT$4, Skill!$C:$C, 0), 1), "")</f>
        <v>0.9</v>
      </c>
      <c r="CU11" s="94">
        <f t="array" ref="CU11">IFERROR(INDEX(Skill!$L:$L, MATCH(CU$4, Skill!$C:$C, 0), 1), "")</f>
        <v>0.9</v>
      </c>
      <c r="CV11" s="94" t="str">
        <f t="array" ref="CV11">IFERROR(INDEX(Skill!$L:$L, MATCH(CV$4, Skill!$C:$C, 0), 1), "")</f>
        <v/>
      </c>
      <c r="CW11" s="94" t="str">
        <f t="array" ref="CW11">IFERROR(INDEX(Skill!$L:$L, MATCH(CW$4, Skill!$C:$C, 0), 1), "")</f>
        <v/>
      </c>
      <c r="CX11" s="94" t="str">
        <f t="array" ref="CX11">IFERROR(INDEX(Skill!$L:$L, MATCH(CX$4, Skill!$C:$C, 0), 1), "")</f>
        <v/>
      </c>
      <c r="CY11" s="94" t="str">
        <f t="array" ref="CY11">IFERROR(INDEX(Skill!$L:$L, MATCH(CY$4, Skill!$C:$C, 0), 1), "")</f>
        <v/>
      </c>
      <c r="CZ11" s="94" t="str">
        <f t="array" ref="CZ11">IFERROR(INDEX(Skill!$L:$L, MATCH(CZ$4, Skill!$C:$C, 0), 1), "")</f>
        <v/>
      </c>
      <c r="DA11" s="94" t="str">
        <f t="array" ref="DA11">IFERROR(INDEX(Skill!$L:$L, MATCH(DA$4, Skill!$C:$C, 0), 1), "")</f>
        <v/>
      </c>
      <c r="DB11" s="94" t="str">
        <f t="array" ref="DB11">IFERROR(INDEX(Skill!$L:$L, MATCH(DB$4, Skill!$C:$C, 0), 1), "")</f>
        <v/>
      </c>
      <c r="DC11" s="94" t="str">
        <f t="array" ref="DC11">IFERROR(INDEX(Skill!$L:$L, MATCH(DC$4, Skill!$C:$C, 0), 1), "")</f>
        <v/>
      </c>
      <c r="DD11" s="94" t="str">
        <f t="array" ref="DD11">IFERROR(INDEX(Skill!$L:$L, MATCH(DD$4, Skill!$C:$C, 0), 1), "")</f>
        <v/>
      </c>
      <c r="DE11" s="94">
        <f t="array" ref="DE11">IFERROR(INDEX(Skill!$L:$L, MATCH(DE$4, Skill!$C:$C, 0), 1), "")</f>
        <v>0.9</v>
      </c>
      <c r="DF11" s="94" t="str">
        <f t="array" ref="DF11">IFERROR(INDEX(Skill!$L:$L, MATCH(DF$4, Skill!$C:$C, 0), 1), "")</f>
        <v/>
      </c>
      <c r="DG11" s="94" t="str">
        <f t="array" ref="DG11">IFERROR(INDEX(Skill!$L:$L, MATCH(DG$4, Skill!$C:$C, 0), 1), "")</f>
        <v/>
      </c>
      <c r="DH11" s="94" t="str">
        <f t="array" ref="DH11">IFERROR(INDEX(Skill!$L:$L, MATCH(DH$4, Skill!$C:$C, 0), 1), "")</f>
        <v/>
      </c>
      <c r="DI11" s="94" t="str">
        <f t="array" ref="DI11">IFERROR(INDEX(Skill!$L:$L, MATCH(DI$4, Skill!$C:$C, 0), 1), "")</f>
        <v/>
      </c>
      <c r="DJ11" s="94">
        <f t="array" ref="DJ11">IFERROR(INDEX(Skill!$L:$L, MATCH(DJ$4, Skill!$C:$C, 0), 1), "")</f>
        <v>0.95</v>
      </c>
      <c r="DK11" s="94" t="str">
        <f t="array" ref="DK11">IFERROR(INDEX(Skill!$L:$L, MATCH(DK$4, Skill!$C:$C, 0), 1), "")</f>
        <v/>
      </c>
      <c r="DL11" s="94">
        <f t="array" ref="DL11">IFERROR(INDEX(Skill!$L:$L, MATCH(DL$4, Skill!$C:$C, 0), 1), "")</f>
        <v>0.95</v>
      </c>
      <c r="DM11" s="94">
        <f t="array" ref="DM11">IFERROR(INDEX(Skill!$L:$L, MATCH(DM$4, Skill!$C:$C, 0), 1), "")</f>
        <v>0.95</v>
      </c>
      <c r="DN11" s="94">
        <f t="array" ref="DN11">IFERROR(INDEX(Skill!$L:$L, MATCH(DN$4, Skill!$C:$C, 0), 1), "")</f>
        <v>0.95</v>
      </c>
      <c r="DO11" s="94">
        <f t="array" ref="DO11">IFERROR(INDEX(Skill!$L:$L, MATCH(DO$4, Skill!$C:$C, 0), 1), "")</f>
        <v>0.95</v>
      </c>
      <c r="DP11" s="94">
        <f t="array" ref="DP11">IFERROR(INDEX(Skill!$L:$L, MATCH(DP$4, Skill!$C:$C, 0), 1), "")</f>
        <v>0.95</v>
      </c>
      <c r="DQ11" s="94">
        <f t="array" ref="DQ11">IFERROR(INDEX(Skill!$L:$L, MATCH(DQ$4, Skill!$C:$C, 0), 1), "")</f>
        <v>0.85</v>
      </c>
      <c r="DR11" s="94" t="str">
        <f t="array" ref="DR11">IFERROR(INDEX(Skill!$L:$L, MATCH(DR$4, Skill!$C:$C, 0), 1), "")</f>
        <v/>
      </c>
      <c r="DS11" s="94">
        <f t="array" ref="DS11">IFERROR(INDEX(Skill!$L:$L, MATCH(DS$4, Skill!$C:$C, 0), 1), "")</f>
        <v>0.85</v>
      </c>
      <c r="DT11" s="94">
        <f t="array" ref="DT11">IFERROR(INDEX(Skill!$L:$L, MATCH(DT$4, Skill!$C:$C, 0), 1), "")</f>
        <v>0.9</v>
      </c>
      <c r="DU11" s="94">
        <f t="array" ref="DU11">IFERROR(INDEX(Skill!$L:$L, MATCH(DU$4, Skill!$C:$C, 0), 1), "")</f>
        <v>0.85</v>
      </c>
      <c r="DV11" s="94" t="str">
        <f t="array" ref="DV11">IFERROR(INDEX(Skill!$L:$L, MATCH(DV$4, Skill!$C:$C, 0), 1), "")</f>
        <v/>
      </c>
      <c r="DW11" s="94">
        <f t="array" ref="DW11">IFERROR(INDEX(Skill!$L:$L, MATCH(DW$4, Skill!$C:$C, 0), 1), "")</f>
        <v>0.9</v>
      </c>
      <c r="DX11" s="94">
        <f t="array" ref="DX11">IFERROR(INDEX(Skill!$L:$L, MATCH(DX$4, Skill!$C:$C, 0), 1), "")</f>
        <v>0.9</v>
      </c>
      <c r="DY11" s="94">
        <f t="array" ref="DY11">IFERROR(INDEX(Skill!$L:$L, MATCH(DY$4, Skill!$C:$C, 0), 1), "")</f>
        <v>0.9</v>
      </c>
      <c r="DZ11" s="94">
        <f t="array" ref="DZ11">IFERROR(INDEX(Skill!$L:$L, MATCH(DZ$4, Skill!$C:$C, 0), 1), "")</f>
        <v>0.9</v>
      </c>
      <c r="EA11" s="89">
        <f t="array" ref="EA11">IFERROR(INDEX(Skill!$L:$L, MATCH(EA$4, Skill!$C:$C, 0), 1), "")</f>
        <v>0.9</v>
      </c>
      <c r="EB11" s="89" t="str">
        <f t="array" ref="EB11">IFERROR(INDEX(Skill!$L:$L, MATCH(EB$4, Skill!$C:$C, 0), 1), "")</f>
        <v/>
      </c>
      <c r="EC11" s="89" t="str">
        <f t="array" ref="EC11">IFERROR(INDEX(Skill!$L:$L, MATCH(EC$4, Skill!$C:$C, 0), 1), "")</f>
        <v/>
      </c>
      <c r="ED11" s="94">
        <f t="array" ref="ED11">IFERROR(INDEX(Skill!$L:$L, MATCH(ED$4, Skill!$C:$C, 0), 1), "")</f>
        <v>0.2</v>
      </c>
      <c r="EE11" s="98"/>
      <c r="EF11" s="98"/>
      <c r="EG11" s="98"/>
      <c r="EH11" s="98"/>
      <c r="EI11" s="98"/>
      <c r="EJ11" s="98"/>
      <c r="EK11" s="98"/>
      <c r="EL11" s="98"/>
      <c r="EM11" s="98"/>
      <c r="EN11" s="98"/>
      <c r="EO11" s="98"/>
      <c r="EP11" s="98"/>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8"/>
      <c r="FO11" s="99"/>
    </row>
    <row r="12" hidden="1">
      <c r="A12" s="3"/>
      <c r="B12" s="90"/>
      <c r="C12" s="90"/>
      <c r="D12" s="90"/>
      <c r="E12" s="90" t="s">
        <v>12</v>
      </c>
      <c r="F12" s="90"/>
      <c r="G12" s="90"/>
      <c r="H12" s="90"/>
      <c r="I12" s="90"/>
      <c r="J12" s="90"/>
      <c r="K12" s="94">
        <f t="array" ref="K12">IFERROR(INDEX(Skill!$N:$N, MATCH(K$4, Skill!$C:$C, 0), 1), "")</f>
        <v>0.9</v>
      </c>
      <c r="L12" s="94">
        <f t="array" ref="L12">IFERROR(INDEX(Skill!$N:$N, MATCH(L$4, Skill!$C:$C, 0), 1), "")</f>
        <v>0.85</v>
      </c>
      <c r="M12" s="94" t="str">
        <f t="array" ref="M12">IFERROR(INDEX(Skill!$N:$N, MATCH(M$4, Skill!$C:$C, 0), 1), "")</f>
        <v/>
      </c>
      <c r="N12" s="94">
        <f t="array" ref="N12">IFERROR(INDEX(Skill!$N:$N, MATCH(N$4, Skill!$C:$C, 0), 1), "")</f>
        <v>0.9</v>
      </c>
      <c r="O12" s="94">
        <f t="array" ref="O12">IFERROR(INDEX(Skill!$N:$N, MATCH(O$4, Skill!$C:$C, 0), 1), "")</f>
        <v>0.8</v>
      </c>
      <c r="P12" s="94" t="str">
        <f t="array" ref="P12">IFERROR(INDEX(Skill!$N:$N, MATCH(P$4, Skill!$C:$C, 0), 1), "")</f>
        <v/>
      </c>
      <c r="Q12" s="94">
        <f t="array" ref="Q12">IFERROR(INDEX(Skill!$N:$N, MATCH(Q$4, Skill!$C:$C, 0), 1), "")</f>
        <v>0.6</v>
      </c>
      <c r="R12" s="94">
        <f t="array" ref="R12">IFERROR(INDEX(Skill!$N:$N, MATCH(R$4, Skill!$C:$C, 0), 1), "")</f>
        <v>0.85</v>
      </c>
      <c r="S12" s="94">
        <f t="array" ref="S12">IFERROR(INDEX(Skill!$N:$N, MATCH(S$4, Skill!$C:$C, 0), 1), "")</f>
        <v>0</v>
      </c>
      <c r="T12" s="94">
        <f t="array" ref="T12">IFERROR(INDEX(Skill!$N:$N, MATCH(T$4, Skill!$C:$C, 0), 1), "")</f>
        <v>0.9</v>
      </c>
      <c r="U12" s="94" t="str">
        <f t="array" ref="U12">IFERROR(INDEX(Skill!$N:$N, MATCH(U$4, Skill!$C:$C, 0), 1), "")</f>
        <v/>
      </c>
      <c r="V12" s="94">
        <f t="array" ref="V12">IFERROR(INDEX(Skill!$N:$N, MATCH(V$4, Skill!$C:$C, 0), 1), "")</f>
        <v>0.9</v>
      </c>
      <c r="W12" s="94">
        <f t="array" ref="W12">IFERROR(INDEX(Skill!$N:$N, MATCH(W$4, Skill!$C:$C, 0), 1), "")</f>
        <v>0.8</v>
      </c>
      <c r="X12" s="94" t="str">
        <f t="array" ref="X12">IFERROR(INDEX(Skill!$N:$N, MATCH(X$4, Skill!$C:$C, 0), 1), "")</f>
        <v/>
      </c>
      <c r="Y12" s="94">
        <f t="array" ref="Y12">IFERROR(INDEX(Skill!$N:$N, MATCH(Y$4, Skill!$C:$C, 0), 1), "")</f>
        <v>0.6</v>
      </c>
      <c r="Z12" s="94">
        <f t="array" ref="Z12">IFERROR(INDEX(Skill!$N:$N, MATCH(Z$4, Skill!$C:$C, 0), 1), "")</f>
        <v>0.9</v>
      </c>
      <c r="AA12" s="94" t="str">
        <f t="array" ref="AA12">IFERROR(INDEX(Skill!$N:$N, MATCH(AA$4, Skill!$C:$C, 0), 1), "")</f>
        <v/>
      </c>
      <c r="AB12" s="94">
        <f t="array" ref="AB12">IFERROR(INDEX(Skill!$N:$N, MATCH(AB$4, Skill!$C:$C, 0), 1), "")</f>
        <v>1</v>
      </c>
      <c r="AC12" s="94">
        <f t="array" ref="AC12">IFERROR(INDEX(Skill!$N:$N, MATCH(AC$4, Skill!$C:$C, 0), 1), "")</f>
        <v>0.9</v>
      </c>
      <c r="AD12" s="94">
        <f t="array" ref="AD12">IFERROR(INDEX(Skill!$N:$N, MATCH(AD$4, Skill!$C:$C, 0), 1), "")</f>
        <v>1</v>
      </c>
      <c r="AE12" s="94" t="str">
        <f t="array" ref="AE12">IFERROR(INDEX(Skill!$N:$N, MATCH(AE$4, Skill!$C:$C, 0), 1), "")</f>
        <v/>
      </c>
      <c r="AF12" s="94">
        <f t="array" ref="AF12">IFERROR(INDEX(Skill!$N:$N, MATCH(AF$4, Skill!$C:$C, 0), 1), "")</f>
        <v>0.9</v>
      </c>
      <c r="AG12" s="94" t="str">
        <f t="array" ref="AG12">IFERROR(INDEX(Skill!$N:$N, MATCH(AG$4, Skill!$C:$C, 0), 1), "")</f>
        <v/>
      </c>
      <c r="AH12" s="94">
        <f t="array" ref="AH12">IFERROR(INDEX(Skill!$N:$N, MATCH(AH$4, Skill!$C:$C, 0), 1), "")</f>
        <v>0.8</v>
      </c>
      <c r="AI12" s="94">
        <f t="array" ref="AI12">IFERROR(INDEX(Skill!$N:$N, MATCH(AI$4, Skill!$C:$C, 0), 1), "")</f>
        <v>1</v>
      </c>
      <c r="AJ12" s="94">
        <f t="array" ref="AJ12">IFERROR(INDEX(Skill!$N:$N, MATCH(AJ$4, Skill!$C:$C, 0), 1), "")</f>
        <v>0.6</v>
      </c>
      <c r="AK12" s="94">
        <f t="array" ref="AK12">IFERROR(INDEX(Skill!$N:$N, MATCH(AK$4, Skill!$C:$C, 0), 1), "")</f>
        <v>1</v>
      </c>
      <c r="AL12" s="94">
        <f t="array" ref="AL12">IFERROR(INDEX(Skill!$N:$N, MATCH(AL$4, Skill!$C:$C, 0), 1), "")</f>
        <v>0.9</v>
      </c>
      <c r="AM12" s="94">
        <f t="array" ref="AM12">IFERROR(INDEX(Skill!$N:$N, MATCH(AM$4, Skill!$C:$C, 0), 1), "")</f>
        <v>1</v>
      </c>
      <c r="AN12" s="94">
        <f t="array" ref="AN12">IFERROR(INDEX(Skill!$N:$N, MATCH(AN$4, Skill!$C:$C, 0), 1), "")</f>
        <v>0.85</v>
      </c>
      <c r="AO12" s="94">
        <f t="array" ref="AO12">IFERROR(INDEX(Skill!$N:$N, MATCH(AO$4, Skill!$C:$C, 0), 1), "")</f>
        <v>0.8</v>
      </c>
      <c r="AP12" s="94">
        <f t="array" ref="AP12">IFERROR(INDEX(Skill!$N:$N, MATCH(AP$4, Skill!$C:$C, 0), 1), "")</f>
        <v>0.9</v>
      </c>
      <c r="AQ12" s="94">
        <f t="array" ref="AQ12">IFERROR(INDEX(Skill!$N:$N, MATCH(AQ$4, Skill!$C:$C, 0), 1), "")</f>
        <v>0.6</v>
      </c>
      <c r="AR12" s="94">
        <f t="array" ref="AR12">IFERROR(INDEX(Skill!$N:$N, MATCH(AR$4, Skill!$C:$C, 0), 1), "")</f>
        <v>0</v>
      </c>
      <c r="AS12" s="94">
        <f t="array" ref="AS12">IFERROR(INDEX(Skill!$N:$N, MATCH(AS$4, Skill!$C:$C, 0), 1), "")</f>
        <v>0.9</v>
      </c>
      <c r="AT12" s="94" t="str">
        <f t="array" ref="AT12">IFERROR(INDEX(Skill!$N:$N, MATCH(AT$4, Skill!$C:$C, 0), 1), "")</f>
        <v/>
      </c>
      <c r="AU12" s="94" t="str">
        <f t="array" ref="AU12">IFERROR(INDEX(Skill!$N:$N, MATCH(AU$4, Skill!$C:$C, 0), 1), "")</f>
        <v/>
      </c>
      <c r="AV12" s="94" t="str">
        <f t="array" ref="AV12">IFERROR(INDEX(Skill!$N:$N, MATCH(AV$4, Skill!$C:$C, 0), 1), "")</f>
        <v/>
      </c>
      <c r="AW12" s="94" t="str">
        <f t="array" ref="AW12">IFERROR(INDEX(Skill!$N:$N, MATCH(AW$4, Skill!$C:$C, 0), 1), "")</f>
        <v/>
      </c>
      <c r="AX12" s="94" t="str">
        <f t="array" ref="AX12">IFERROR(INDEX(Skill!$N:$N, MATCH(AX$4, Skill!$C:$C, 0), 1), "")</f>
        <v/>
      </c>
      <c r="AY12" s="94">
        <f t="array" ref="AY12">IFERROR(INDEX(Skill!$N:$N, MATCH(AY$4, Skill!$C:$C, 0), 1), "")</f>
        <v>0.85</v>
      </c>
      <c r="AZ12" s="94" t="str">
        <f t="array" ref="AZ12">IFERROR(INDEX(Skill!$N:$N, MATCH(AZ$4, Skill!$C:$C, 0), 1), "")</f>
        <v/>
      </c>
      <c r="BA12" s="94" t="str">
        <f t="array" ref="BA12">IFERROR(INDEX(Skill!$N:$N, MATCH(BA$4, Skill!$C:$C, 0), 1), "")</f>
        <v/>
      </c>
      <c r="BB12" s="94" t="str">
        <f t="array" ref="BB12">IFERROR(INDEX(Skill!$N:$N, MATCH(BB$4, Skill!$C:$C, 0), 1), "")</f>
        <v/>
      </c>
      <c r="BC12" s="94" t="str">
        <f t="array" ref="BC12">IFERROR(INDEX(Skill!$N:$N, MATCH(BC$4, Skill!$C:$C, 0), 1), "")</f>
        <v/>
      </c>
      <c r="BD12" s="94" t="str">
        <f t="array" ref="BD12">IFERROR(INDEX(Skill!$N:$N, MATCH(BD$4, Skill!$C:$C, 0), 1), "")</f>
        <v/>
      </c>
      <c r="BE12" s="94">
        <f t="array" ref="BE12">IFERROR(INDEX(Skill!$N:$N, MATCH(BE$4, Skill!$C:$C, 0), 1), "")</f>
        <v>0.9</v>
      </c>
      <c r="BF12" s="94" t="str">
        <f t="array" ref="BF12">IFERROR(INDEX(Skill!$N:$N, MATCH(BF$4, Skill!$C:$C, 0), 1), "")</f>
        <v/>
      </c>
      <c r="BG12" s="94">
        <f t="array" ref="BG12">IFERROR(INDEX(Skill!$N:$N, MATCH(BG$4, Skill!$C:$C, 0), 1), "")</f>
        <v>0.9</v>
      </c>
      <c r="BH12" s="94" t="str">
        <f t="array" ref="BH12">IFERROR(INDEX(Skill!$N:$N, MATCH(BH$4, Skill!$C:$C, 0), 1), "")</f>
        <v/>
      </c>
      <c r="BI12" s="94" t="str">
        <f t="array" ref="BI12">IFERROR(INDEX(Skill!$N:$N, MATCH(BI$4, Skill!$C:$C, 0), 1), "")</f>
        <v/>
      </c>
      <c r="BJ12" s="94" t="str">
        <f t="array" ref="BJ12">IFERROR(INDEX(Skill!$N:$N, MATCH(BJ$4, Skill!$C:$C, 0), 1), "")</f>
        <v/>
      </c>
      <c r="BK12" s="94" t="str">
        <f t="array" ref="BK12">IFERROR(INDEX(Skill!$N:$N, MATCH(BK$4, Skill!$C:$C, 0), 1), "")</f>
        <v/>
      </c>
      <c r="BL12" s="94" t="str">
        <f t="array" ref="BL12">IFERROR(INDEX(Skill!$N:$N, MATCH(BL$4, Skill!$C:$C, 0), 1), "")</f>
        <v/>
      </c>
      <c r="BM12" s="94" t="str">
        <f t="array" ref="BM12">IFERROR(INDEX(Skill!$N:$N, MATCH(BM$4, Skill!$C:$C, 0), 1), "")</f>
        <v/>
      </c>
      <c r="BN12" s="94" t="str">
        <f t="array" ref="BN12">IFERROR(INDEX(Skill!$N:$N, MATCH(BN$4, Skill!$C:$C, 0), 1), "")</f>
        <v/>
      </c>
      <c r="BO12" s="94" t="str">
        <f t="array" ref="BO12">IFERROR(INDEX(Skill!$N:$N, MATCH(BO$4, Skill!$C:$C, 0), 1), "")</f>
        <v/>
      </c>
      <c r="BP12" s="94" t="str">
        <f t="array" ref="BP12">IFERROR(INDEX(Skill!$N:$N, MATCH(BP$4, Skill!$C:$C, 0), 1), "")</f>
        <v/>
      </c>
      <c r="BQ12" s="94">
        <f t="array" ref="BQ12">IFERROR(INDEX(Skill!$N:$N, MATCH(BQ$4, Skill!$C:$C, 0), 1), "")</f>
        <v>0.9</v>
      </c>
      <c r="BR12" s="94" t="str">
        <f t="array" ref="BR12">IFERROR(INDEX(Skill!$N:$N, MATCH(BR$4, Skill!$C:$C, 0), 1), "")</f>
        <v/>
      </c>
      <c r="BS12" s="94" t="str">
        <f t="array" ref="BS12">IFERROR(INDEX(Skill!$N:$N, MATCH(BS$4, Skill!$C:$C, 0), 1), "")</f>
        <v/>
      </c>
      <c r="BT12" s="94" t="str">
        <f t="array" ref="BT12">IFERROR(INDEX(Skill!$N:$N, MATCH(BT$4, Skill!$C:$C, 0), 1), "")</f>
        <v/>
      </c>
      <c r="BU12" s="94">
        <f t="array" ref="BU12">IFERROR(INDEX(Skill!$N:$N, MATCH(BU$4, Skill!$C:$C, 0), 1), "")</f>
        <v>0.9</v>
      </c>
      <c r="BV12" s="94" t="str">
        <f t="array" ref="BV12">IFERROR(INDEX(Skill!$N:$N, MATCH(BV$4, Skill!$C:$C, 0), 1), "")</f>
        <v/>
      </c>
      <c r="BW12" s="94" t="str">
        <f t="array" ref="BW12">IFERROR(INDEX(Skill!$N:$N, MATCH(BW$4, Skill!$C:$C, 0), 1), "")</f>
        <v/>
      </c>
      <c r="BX12" s="94" t="str">
        <f t="array" ref="BX12">IFERROR(INDEX(Skill!$N:$N, MATCH(BX$4, Skill!$C:$C, 0), 1), "")</f>
        <v/>
      </c>
      <c r="BY12" s="94">
        <f t="array" ref="BY12">IFERROR(INDEX(Skill!$N:$N, MATCH(BY$4, Skill!$C:$C, 0), 1), "")</f>
        <v>1</v>
      </c>
      <c r="BZ12" s="94">
        <f t="array" ref="BZ12">IFERROR(INDEX(Skill!$N:$N, MATCH(BZ$4, Skill!$C:$C, 0), 1), "")</f>
        <v>0.9</v>
      </c>
      <c r="CA12" s="94">
        <f t="array" ref="CA12">IFERROR(INDEX(Skill!$N:$N, MATCH(CA$4, Skill!$C:$C, 0), 1), "")</f>
        <v>0.9</v>
      </c>
      <c r="CB12" s="94" t="str">
        <f t="array" ref="CB12">IFERROR(INDEX(Skill!$N:$N, MATCH(CB$4, Skill!$C:$C, 0), 1), "")</f>
        <v/>
      </c>
      <c r="CC12" s="94" t="str">
        <f t="array" ref="CC12">IFERROR(INDEX(Skill!$N:$N, MATCH(CC$4, Skill!$C:$C, 0), 1), "")</f>
        <v/>
      </c>
      <c r="CD12" s="94" t="str">
        <f t="array" ref="CD12">IFERROR(INDEX(Skill!$N:$N, MATCH(CD$4, Skill!$C:$C, 0), 1), "")</f>
        <v/>
      </c>
      <c r="CE12" s="94" t="str">
        <f t="array" ref="CE12">IFERROR(INDEX(Skill!$N:$N, MATCH(CE$4, Skill!$C:$C, 0), 1), "")</f>
        <v/>
      </c>
      <c r="CF12" s="94" t="str">
        <f t="array" ref="CF12">IFERROR(INDEX(Skill!$N:$N, MATCH(CF$4, Skill!$C:$C, 0), 1), "")</f>
        <v/>
      </c>
      <c r="CG12" s="94" t="str">
        <f t="array" ref="CG12">IFERROR(INDEX(Skill!$N:$N, MATCH(CG$4, Skill!$C:$C, 0), 1), "")</f>
        <v/>
      </c>
      <c r="CH12" s="94" t="str">
        <f t="array" ref="CH12">IFERROR(INDEX(Skill!$N:$N, MATCH(CH$4, Skill!$C:$C, 0), 1), "")</f>
        <v/>
      </c>
      <c r="CI12" s="94" t="str">
        <f t="array" ref="CI12">IFERROR(INDEX(Skill!$N:$N, MATCH(CI$4, Skill!$C:$C, 0), 1), "")</f>
        <v/>
      </c>
      <c r="CJ12" s="94" t="str">
        <f t="array" ref="CJ12">IFERROR(INDEX(Skill!$N:$N, MATCH(CJ$4, Skill!$C:$C, 0), 1), "")</f>
        <v/>
      </c>
      <c r="CK12" s="94" t="str">
        <f t="array" ref="CK12">IFERROR(INDEX(Skill!$N:$N, MATCH(CK$4, Skill!$C:$C, 0), 1), "")</f>
        <v/>
      </c>
      <c r="CL12" s="94" t="str">
        <f t="array" ref="CL12">IFERROR(INDEX(Skill!$N:$N, MATCH(CL$4, Skill!$C:$C, 0), 1), "")</f>
        <v/>
      </c>
      <c r="CM12" s="94" t="str">
        <f t="array" ref="CM12">IFERROR(INDEX(Skill!$N:$N, MATCH(CM$4, Skill!$C:$C, 0), 1), "")</f>
        <v/>
      </c>
      <c r="CN12" s="94" t="str">
        <f t="array" ref="CN12">IFERROR(INDEX(Skill!$N:$N, MATCH(CN$4, Skill!$C:$C, 0), 1), "")</f>
        <v/>
      </c>
      <c r="CO12" s="94" t="str">
        <f t="array" ref="CO12">IFERROR(INDEX(Skill!$N:$N, MATCH(CO$4, Skill!$C:$C, 0), 1), "")</f>
        <v/>
      </c>
      <c r="CP12" s="94" t="str">
        <f t="array" ref="CP12">IFERROR(INDEX(Skill!$N:$N, MATCH(CP$4, Skill!$C:$C, 0), 1), "")</f>
        <v/>
      </c>
      <c r="CQ12" s="94" t="str">
        <f t="array" ref="CQ12">IFERROR(INDEX(Skill!$N:$N, MATCH(CQ$4, Skill!$C:$C, 0), 1), "")</f>
        <v/>
      </c>
      <c r="CR12" s="94" t="str">
        <f t="array" ref="CR12">IFERROR(INDEX(Skill!$N:$N, MATCH(CR$4, Skill!$C:$C, 0), 1), "")</f>
        <v/>
      </c>
      <c r="CS12" s="94" t="str">
        <f t="array" ref="CS12">IFERROR(INDEX(Skill!$N:$N, MATCH(CS$4, Skill!$C:$C, 0), 1), "")</f>
        <v/>
      </c>
      <c r="CT12" s="94">
        <f t="array" ref="CT12">IFERROR(INDEX(Skill!$N:$N, MATCH(CT$4, Skill!$C:$C, 0), 1), "")</f>
        <v>0.9</v>
      </c>
      <c r="CU12" s="94">
        <f t="array" ref="CU12">IFERROR(INDEX(Skill!$N:$N, MATCH(CU$4, Skill!$C:$C, 0), 1), "")</f>
        <v>0.9</v>
      </c>
      <c r="CV12" s="94" t="str">
        <f t="array" ref="CV12">IFERROR(INDEX(Skill!$N:$N, MATCH(CV$4, Skill!$C:$C, 0), 1), "")</f>
        <v/>
      </c>
      <c r="CW12" s="94" t="str">
        <f t="array" ref="CW12">IFERROR(INDEX(Skill!$N:$N, MATCH(CW$4, Skill!$C:$C, 0), 1), "")</f>
        <v/>
      </c>
      <c r="CX12" s="94" t="str">
        <f t="array" ref="CX12">IFERROR(INDEX(Skill!$N:$N, MATCH(CX$4, Skill!$C:$C, 0), 1), "")</f>
        <v/>
      </c>
      <c r="CY12" s="94" t="str">
        <f t="array" ref="CY12">IFERROR(INDEX(Skill!$N:$N, MATCH(CY$4, Skill!$C:$C, 0), 1), "")</f>
        <v/>
      </c>
      <c r="CZ12" s="94" t="str">
        <f t="array" ref="CZ12">IFERROR(INDEX(Skill!$N:$N, MATCH(CZ$4, Skill!$C:$C, 0), 1), "")</f>
        <v/>
      </c>
      <c r="DA12" s="94" t="str">
        <f t="array" ref="DA12">IFERROR(INDEX(Skill!$N:$N, MATCH(DA$4, Skill!$C:$C, 0), 1), "")</f>
        <v/>
      </c>
      <c r="DB12" s="94" t="str">
        <f t="array" ref="DB12">IFERROR(INDEX(Skill!$N:$N, MATCH(DB$4, Skill!$C:$C, 0), 1), "")</f>
        <v/>
      </c>
      <c r="DC12" s="94" t="str">
        <f t="array" ref="DC12">IFERROR(INDEX(Skill!$N:$N, MATCH(DC$4, Skill!$C:$C, 0), 1), "")</f>
        <v/>
      </c>
      <c r="DD12" s="94" t="str">
        <f t="array" ref="DD12">IFERROR(INDEX(Skill!$N:$N, MATCH(DD$4, Skill!$C:$C, 0), 1), "")</f>
        <v/>
      </c>
      <c r="DE12" s="94">
        <f t="array" ref="DE12">IFERROR(INDEX(Skill!$N:$N, MATCH(DE$4, Skill!$C:$C, 0), 1), "")</f>
        <v>0.9</v>
      </c>
      <c r="DF12" s="94" t="str">
        <f t="array" ref="DF12">IFERROR(INDEX(Skill!$N:$N, MATCH(DF$4, Skill!$C:$C, 0), 1), "")</f>
        <v/>
      </c>
      <c r="DG12" s="94" t="str">
        <f t="array" ref="DG12">IFERROR(INDEX(Skill!$N:$N, MATCH(DG$4, Skill!$C:$C, 0), 1), "")</f>
        <v/>
      </c>
      <c r="DH12" s="94" t="str">
        <f t="array" ref="DH12">IFERROR(INDEX(Skill!$N:$N, MATCH(DH$4, Skill!$C:$C, 0), 1), "")</f>
        <v/>
      </c>
      <c r="DI12" s="94" t="str">
        <f t="array" ref="DI12">IFERROR(INDEX(Skill!$N:$N, MATCH(DI$4, Skill!$C:$C, 0), 1), "")</f>
        <v/>
      </c>
      <c r="DJ12" s="94">
        <f t="array" ref="DJ12">IFERROR(INDEX(Skill!$N:$N, MATCH(DJ$4, Skill!$C:$C, 0), 1), "")</f>
        <v>1</v>
      </c>
      <c r="DK12" s="94" t="str">
        <f t="array" ref="DK12">IFERROR(INDEX(Skill!$N:$N, MATCH(DK$4, Skill!$C:$C, 0), 1), "")</f>
        <v/>
      </c>
      <c r="DL12" s="94">
        <f t="array" ref="DL12">IFERROR(INDEX(Skill!$N:$N, MATCH(DL$4, Skill!$C:$C, 0), 1), "")</f>
        <v>1</v>
      </c>
      <c r="DM12" s="94">
        <f t="array" ref="DM12">IFERROR(INDEX(Skill!$N:$N, MATCH(DM$4, Skill!$C:$C, 0), 1), "")</f>
        <v>1</v>
      </c>
      <c r="DN12" s="94">
        <f t="array" ref="DN12">IFERROR(INDEX(Skill!$N:$N, MATCH(DN$4, Skill!$C:$C, 0), 1), "")</f>
        <v>1</v>
      </c>
      <c r="DO12" s="94">
        <f t="array" ref="DO12">IFERROR(INDEX(Skill!$N:$N, MATCH(DO$4, Skill!$C:$C, 0), 1), "")</f>
        <v>1</v>
      </c>
      <c r="DP12" s="94">
        <f t="array" ref="DP12">IFERROR(INDEX(Skill!$N:$N, MATCH(DP$4, Skill!$C:$C, 0), 1), "")</f>
        <v>1</v>
      </c>
      <c r="DQ12" s="94">
        <f t="array" ref="DQ12">IFERROR(INDEX(Skill!$N:$N, MATCH(DQ$4, Skill!$C:$C, 0), 1), "")</f>
        <v>0.85</v>
      </c>
      <c r="DR12" s="94" t="str">
        <f t="array" ref="DR12">IFERROR(INDEX(Skill!$N:$N, MATCH(DR$4, Skill!$C:$C, 0), 1), "")</f>
        <v/>
      </c>
      <c r="DS12" s="94">
        <f t="array" ref="DS12">IFERROR(INDEX(Skill!$N:$N, MATCH(DS$4, Skill!$C:$C, 0), 1), "")</f>
        <v>0.85</v>
      </c>
      <c r="DT12" s="94">
        <f t="array" ref="DT12">IFERROR(INDEX(Skill!$N:$N, MATCH(DT$4, Skill!$C:$C, 0), 1), "")</f>
        <v>0.9</v>
      </c>
      <c r="DU12" s="94">
        <f t="array" ref="DU12">IFERROR(INDEX(Skill!$N:$N, MATCH(DU$4, Skill!$C:$C, 0), 1), "")</f>
        <v>0.85</v>
      </c>
      <c r="DV12" s="94" t="str">
        <f t="array" ref="DV12">IFERROR(INDEX(Skill!$N:$N, MATCH(DV$4, Skill!$C:$C, 0), 1), "")</f>
        <v/>
      </c>
      <c r="DW12" s="94">
        <f t="array" ref="DW12">IFERROR(INDEX(Skill!$N:$N, MATCH(DW$4, Skill!$C:$C, 0), 1), "")</f>
        <v>1</v>
      </c>
      <c r="DX12" s="94">
        <f t="array" ref="DX12">IFERROR(INDEX(Skill!$N:$N, MATCH(DX$4, Skill!$C:$C, 0), 1), "")</f>
        <v>1</v>
      </c>
      <c r="DY12" s="94">
        <f t="array" ref="DY12">IFERROR(INDEX(Skill!$N:$N, MATCH(DY$4, Skill!$C:$C, 0), 1), "")</f>
        <v>1</v>
      </c>
      <c r="DZ12" s="94">
        <f t="array" ref="DZ12">IFERROR(INDEX(Skill!$N:$N, MATCH(DZ$4, Skill!$C:$C, 0), 1), "")</f>
        <v>1</v>
      </c>
      <c r="EA12" s="89">
        <f t="array" ref="EA12">IFERROR(INDEX(Skill!$N:$N, MATCH(EA$4, Skill!$C:$C, 0), 1), "")</f>
        <v>1</v>
      </c>
      <c r="EB12" s="89" t="str">
        <f t="array" ref="EB12">IFERROR(INDEX(Skill!$N:$N, MATCH(EB$4, Skill!$C:$C, 0), 1), "")</f>
        <v/>
      </c>
      <c r="EC12" s="89" t="str">
        <f t="array" ref="EC12">IFERROR(INDEX(Skill!$N:$N, MATCH(EC$4, Skill!$C:$C, 0), 1), "")</f>
        <v/>
      </c>
      <c r="ED12" s="94">
        <f t="array" ref="ED12">IFERROR(INDEX(Skill!$N:$N, MATCH(ED$4, Skill!$C:$C, 0), 1), "")</f>
        <v>0.2</v>
      </c>
      <c r="EE12" s="98"/>
      <c r="EF12" s="98"/>
      <c r="EG12" s="98"/>
      <c r="EH12" s="98"/>
      <c r="EI12" s="98"/>
      <c r="EJ12" s="98"/>
      <c r="EK12" s="98"/>
      <c r="EL12" s="98"/>
      <c r="EM12" s="98"/>
      <c r="EN12" s="98"/>
      <c r="EO12" s="98"/>
      <c r="EP12" s="98"/>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8"/>
      <c r="FO12" s="99"/>
    </row>
    <row r="13" hidden="1">
      <c r="A13" s="3"/>
      <c r="B13" s="90"/>
      <c r="C13" s="90"/>
      <c r="D13" s="90"/>
      <c r="E13" s="90" t="s">
        <v>22</v>
      </c>
      <c r="F13" s="90"/>
      <c r="G13" s="90"/>
      <c r="H13" s="90"/>
      <c r="I13" s="90"/>
      <c r="J13" s="90"/>
      <c r="K13" s="94" t="str">
        <f t="array" ref="K13">IFERROR(INDEX(Skill!$AE:$AE, MATCH(K$4, Skill!$C:$C, 0), 1), "")</f>
        <v/>
      </c>
      <c r="L13" s="94" t="str">
        <f t="array" ref="L13">IFERROR(INDEX(Skill!$AE:$AE, MATCH(L$4, Skill!$C:$C, 0), 1), "")</f>
        <v/>
      </c>
      <c r="M13" s="94" t="str">
        <f t="array" ref="M13">IFERROR(INDEX(Skill!$AE:$AE, MATCH(M$4, Skill!$C:$C, 0), 1), "")</f>
        <v/>
      </c>
      <c r="N13" s="94" t="str">
        <f t="array" ref="N13">IFERROR(INDEX(Skill!$AE:$AE, MATCH(N$4, Skill!$C:$C, 0), 1), "")</f>
        <v/>
      </c>
      <c r="O13" s="94" t="str">
        <f t="array" ref="O13">IFERROR(INDEX(Skill!$AE:$AE, MATCH(O$4, Skill!$C:$C, 0), 1), "")</f>
        <v>SELF_AFFECTED_ALL</v>
      </c>
      <c r="P13" s="94" t="str">
        <f t="array" ref="P13">IFERROR(INDEX(Skill!$AE:$AE, MATCH(P$4, Skill!$C:$C, 0), 1), "")</f>
        <v/>
      </c>
      <c r="Q13" s="94" t="str">
        <f t="array" ref="Q13">IFERROR(INDEX(Skill!$AE:$AE, MATCH(Q$4, Skill!$C:$C, 0), 1), "")</f>
        <v/>
      </c>
      <c r="R13" s="94" t="str">
        <f t="array" ref="R13">IFERROR(INDEX(Skill!$AE:$AE, MATCH(R$4, Skill!$C:$C, 0), 1), "")</f>
        <v/>
      </c>
      <c r="S13" s="94" t="str">
        <f t="array" ref="S13">IFERROR(INDEX(Skill!$AE:$AE, MATCH(S$4, Skill!$C:$C, 0), 1), "")</f>
        <v/>
      </c>
      <c r="T13" s="94" t="str">
        <f t="array" ref="T13">IFERROR(INDEX(Skill!$AE:$AE, MATCH(T$4, Skill!$C:$C, 0), 1), "")</f>
        <v/>
      </c>
      <c r="U13" s="94" t="str">
        <f t="array" ref="U13">IFERROR(INDEX(Skill!$AE:$AE, MATCH(U$4, Skill!$C:$C, 0), 1), "")</f>
        <v/>
      </c>
      <c r="V13" s="94" t="str">
        <f t="array" ref="V13">IFERROR(INDEX(Skill!$AE:$AE, MATCH(V$4, Skill!$C:$C, 0), 1), "")</f>
        <v/>
      </c>
      <c r="W13" s="94" t="str">
        <f t="array" ref="W13">IFERROR(INDEX(Skill!$AE:$AE, MATCH(W$4, Skill!$C:$C, 0), 1), "")</f>
        <v>SELF_AFFECTED_ALL</v>
      </c>
      <c r="X13" s="94" t="str">
        <f t="array" ref="X13">IFERROR(INDEX(Skill!$AE:$AE, MATCH(X$4, Skill!$C:$C, 0), 1), "")</f>
        <v>SELF_AFFECTED_ALL</v>
      </c>
      <c r="Y13" s="94" t="str">
        <f t="array" ref="Y13">IFERROR(INDEX(Skill!$AE:$AE, MATCH(Y$4, Skill!$C:$C, 0), 1), "")</f>
        <v/>
      </c>
      <c r="Z13" s="94" t="str">
        <f t="array" ref="Z13">IFERROR(INDEX(Skill!$AE:$AE, MATCH(Z$4, Skill!$C:$C, 0), 1), "")</f>
        <v/>
      </c>
      <c r="AA13" s="94" t="str">
        <f t="array" ref="AA13">IFERROR(INDEX(Skill!$AE:$AE, MATCH(AA$4, Skill!$C:$C, 0), 1), "")</f>
        <v/>
      </c>
      <c r="AB13" s="94" t="str">
        <f t="array" ref="AB13">IFERROR(INDEX(Skill!$AE:$AE, MATCH(AB$4, Skill!$C:$C, 0), 1), "")</f>
        <v/>
      </c>
      <c r="AC13" s="94" t="str">
        <f t="array" ref="AC13">IFERROR(INDEX(Skill!$AE:$AE, MATCH(AC$4, Skill!$C:$C, 0), 1), "")</f>
        <v/>
      </c>
      <c r="AD13" s="94" t="str">
        <f t="array" ref="AD13">IFERROR(INDEX(Skill!$AE:$AE, MATCH(AD$4, Skill!$C:$C, 0), 1), "")</f>
        <v/>
      </c>
      <c r="AE13" s="94" t="str">
        <f t="array" ref="AE13">IFERROR(INDEX(Skill!$AE:$AE, MATCH(AE$4, Skill!$C:$C, 0), 1), "")</f>
        <v/>
      </c>
      <c r="AF13" s="94" t="str">
        <f t="array" ref="AF13">IFERROR(INDEX(Skill!$AE:$AE, MATCH(AF$4, Skill!$C:$C, 0), 1), "")</f>
        <v/>
      </c>
      <c r="AG13" s="94" t="str">
        <f t="array" ref="AG13">IFERROR(INDEX(Skill!$AE:$AE, MATCH(AG$4, Skill!$C:$C, 0), 1), "")</f>
        <v/>
      </c>
      <c r="AH13" s="94" t="str">
        <f t="array" ref="AH13">IFERROR(INDEX(Skill!$AE:$AE, MATCH(AH$4, Skill!$C:$C, 0), 1), "")</f>
        <v>SELF_AFFECTED_ALL</v>
      </c>
      <c r="AI13" s="94" t="str">
        <f t="array" ref="AI13">IFERROR(INDEX(Skill!$AE:$AE, MATCH(AI$4, Skill!$C:$C, 0), 1), "")</f>
        <v/>
      </c>
      <c r="AJ13" s="94" t="str">
        <f t="array" ref="AJ13">IFERROR(INDEX(Skill!$AE:$AE, MATCH(AJ$4, Skill!$C:$C, 0), 1), "")</f>
        <v/>
      </c>
      <c r="AK13" s="94" t="str">
        <f t="array" ref="AK13">IFERROR(INDEX(Skill!$AE:$AE, MATCH(AK$4, Skill!$C:$C, 0), 1), "")</f>
        <v/>
      </c>
      <c r="AL13" s="94" t="str">
        <f t="array" ref="AL13">IFERROR(INDEX(Skill!$AE:$AE, MATCH(AL$4, Skill!$C:$C, 0), 1), "")</f>
        <v/>
      </c>
      <c r="AM13" s="94" t="str">
        <f t="array" ref="AM13">IFERROR(INDEX(Skill!$AE:$AE, MATCH(AM$4, Skill!$C:$C, 0), 1), "")</f>
        <v/>
      </c>
      <c r="AN13" s="94" t="str">
        <f t="array" ref="AN13">IFERROR(INDEX(Skill!$AE:$AE, MATCH(AN$4, Skill!$C:$C, 0), 1), "")</f>
        <v/>
      </c>
      <c r="AO13" s="94" t="str">
        <f t="array" ref="AO13">IFERROR(INDEX(Skill!$AE:$AE, MATCH(AO$4, Skill!$C:$C, 0), 1), "")</f>
        <v>SELF_AFFECTED_ALL</v>
      </c>
      <c r="AP13" s="94" t="str">
        <f t="array" ref="AP13">IFERROR(INDEX(Skill!$AE:$AE, MATCH(AP$4, Skill!$C:$C, 0), 1), "")</f>
        <v/>
      </c>
      <c r="AQ13" s="94" t="str">
        <f t="array" ref="AQ13">IFERROR(INDEX(Skill!$AE:$AE, MATCH(AQ$4, Skill!$C:$C, 0), 1), "")</f>
        <v/>
      </c>
      <c r="AR13" s="94" t="str">
        <f t="array" ref="AR13">IFERROR(INDEX(Skill!$AE:$AE, MATCH(AR$4, Skill!$C:$C, 0), 1), "")</f>
        <v/>
      </c>
      <c r="AS13" s="94" t="str">
        <f t="array" ref="AS13">IFERROR(INDEX(Skill!$AE:$AE, MATCH(AS$4, Skill!$C:$C, 0), 1), "")</f>
        <v>SELF_EFFECTED_GCD</v>
      </c>
      <c r="AT13" s="94" t="str">
        <f t="array" ref="AT13">IFERROR(INDEX(Skill!$AE:$AE, MATCH(AT$4, Skill!$C:$C, 0), 1), "")</f>
        <v/>
      </c>
      <c r="AU13" s="94" t="str">
        <f t="array" ref="AU13">IFERROR(INDEX(Skill!$AE:$AE, MATCH(AU$4, Skill!$C:$C, 0), 1), "")</f>
        <v>RANGE_AFFECTED_GCD</v>
      </c>
      <c r="AV13" s="94" t="str">
        <f t="array" ref="AV13">IFERROR(INDEX(Skill!$AE:$AE, MATCH(AV$4, Skill!$C:$C, 0), 1), "")</f>
        <v>RANGE_AFFECTED_ALL</v>
      </c>
      <c r="AW13" s="94" t="str">
        <f t="array" ref="AW13">IFERROR(INDEX(Skill!$AE:$AE, MATCH(AW$4, Skill!$C:$C, 0), 1), "")</f>
        <v/>
      </c>
      <c r="AX13" s="94" t="str">
        <f t="array" ref="AX13">IFERROR(INDEX(Skill!$AE:$AE, MATCH(AX$4, Skill!$C:$C, 0), 1), "")</f>
        <v/>
      </c>
      <c r="AY13" s="94" t="str">
        <f t="array" ref="AY13">IFERROR(INDEX(Skill!$AE:$AE, MATCH(AY$4, Skill!$C:$C, 0), 1), "")</f>
        <v/>
      </c>
      <c r="AZ13" s="94" t="str">
        <f t="array" ref="AZ13">IFERROR(INDEX(Skill!$AE:$AE, MATCH(AZ$4, Skill!$C:$C, 0), 1), "")</f>
        <v/>
      </c>
      <c r="BA13" s="94" t="str">
        <f t="array" ref="BA13">IFERROR(INDEX(Skill!$AE:$AE, MATCH(BA$4, Skill!$C:$C, 0), 1), "")</f>
        <v/>
      </c>
      <c r="BB13" s="94" t="str">
        <f t="array" ref="BB13">IFERROR(INDEX(Skill!$AE:$AE, MATCH(BB$4, Skill!$C:$C, 0), 1), "")</f>
        <v/>
      </c>
      <c r="BC13" s="94" t="str">
        <f t="array" ref="BC13">IFERROR(INDEX(Skill!$AE:$AE, MATCH(BC$4, Skill!$C:$C, 0), 1), "")</f>
        <v/>
      </c>
      <c r="BD13" s="94" t="str">
        <f t="array" ref="BD13">IFERROR(INDEX(Skill!$AE:$AE, MATCH(BD$4, Skill!$C:$C, 0), 1), "")</f>
        <v/>
      </c>
      <c r="BE13" s="94" t="str">
        <f t="array" ref="BE13">IFERROR(INDEX(Skill!$AE:$AE, MATCH(BE$4, Skill!$C:$C, 0), 1), "")</f>
        <v/>
      </c>
      <c r="BF13" s="94" t="str">
        <f t="array" ref="BF13">IFERROR(INDEX(Skill!$AE:$AE, MATCH(BF$4, Skill!$C:$C, 0), 1), "")</f>
        <v>SELF_EFFECTED_GCD</v>
      </c>
      <c r="BG13" s="94" t="str">
        <f t="array" ref="BG13">IFERROR(INDEX(Skill!$AE:$AE, MATCH(BG$4, Skill!$C:$C, 0), 1), "")</f>
        <v/>
      </c>
      <c r="BH13" s="94" t="str">
        <f t="array" ref="BH13">IFERROR(INDEX(Skill!$AE:$AE, MATCH(BH$4, Skill!$C:$C, 0), 1), "")</f>
        <v/>
      </c>
      <c r="BI13" s="94" t="str">
        <f t="array" ref="BI13">IFERROR(INDEX(Skill!$AE:$AE, MATCH(BI$4, Skill!$C:$C, 0), 1), "")</f>
        <v/>
      </c>
      <c r="BJ13" s="94" t="str">
        <f t="array" ref="BJ13">IFERROR(INDEX(Skill!$AE:$AE, MATCH(BJ$4, Skill!$C:$C, 0), 1), "")</f>
        <v/>
      </c>
      <c r="BK13" s="94" t="str">
        <f t="array" ref="BK13">IFERROR(INDEX(Skill!$AE:$AE, MATCH(BK$4, Skill!$C:$C, 0), 1), "")</f>
        <v/>
      </c>
      <c r="BL13" s="94" t="str">
        <f t="array" ref="BL13">IFERROR(INDEX(Skill!$AE:$AE, MATCH(BL$4, Skill!$C:$C, 0), 1), "")</f>
        <v/>
      </c>
      <c r="BM13" s="94" t="str">
        <f t="array" ref="BM13">IFERROR(INDEX(Skill!$AE:$AE, MATCH(BM$4, Skill!$C:$C, 0), 1), "")</f>
        <v/>
      </c>
      <c r="BN13" s="94" t="str">
        <f t="array" ref="BN13">IFERROR(INDEX(Skill!$AE:$AE, MATCH(BN$4, Skill!$C:$C, 0), 1), "")</f>
        <v/>
      </c>
      <c r="BO13" s="94" t="str">
        <f t="array" ref="BO13">IFERROR(INDEX(Skill!$AE:$AE, MATCH(BO$4, Skill!$C:$C, 0), 1), "")</f>
        <v>SINGLE_AFFECTED_ALL</v>
      </c>
      <c r="BP13" s="94" t="str">
        <f t="array" ref="BP13">IFERROR(INDEX(Skill!$AE:$AE, MATCH(BP$4, Skill!$C:$C, 0), 1), "")</f>
        <v/>
      </c>
      <c r="BQ13" s="94" t="str">
        <f t="array" ref="BQ13">IFERROR(INDEX(Skill!$AE:$AE, MATCH(BQ$4, Skill!$C:$C, 0), 1), "")</f>
        <v/>
      </c>
      <c r="BR13" s="94" t="str">
        <f t="array" ref="BR13">IFERROR(INDEX(Skill!$AE:$AE, MATCH(BR$4, Skill!$C:$C, 0), 1), "")</f>
        <v/>
      </c>
      <c r="BS13" s="94" t="str">
        <f t="array" ref="BS13">IFERROR(INDEX(Skill!$AE:$AE, MATCH(BS$4, Skill!$C:$C, 0), 1), "")</f>
        <v/>
      </c>
      <c r="BT13" s="94" t="str">
        <f t="array" ref="BT13">IFERROR(INDEX(Skill!$AE:$AE, MATCH(BT$4, Skill!$C:$C, 0), 1), "")</f>
        <v/>
      </c>
      <c r="BU13" s="94" t="str">
        <f t="array" ref="BU13">IFERROR(INDEX(Skill!$AE:$AE, MATCH(BU$4, Skill!$C:$C, 0), 1), "")</f>
        <v/>
      </c>
      <c r="BV13" s="94" t="str">
        <f t="array" ref="BV13">IFERROR(INDEX(Skill!$AE:$AE, MATCH(BV$4, Skill!$C:$C, 0), 1), "")</f>
        <v/>
      </c>
      <c r="BW13" s="94" t="str">
        <f t="array" ref="BW13">IFERROR(INDEX(Skill!$AE:$AE, MATCH(BW$4, Skill!$C:$C, 0), 1), "")</f>
        <v/>
      </c>
      <c r="BX13" s="94" t="str">
        <f t="array" ref="BX13">IFERROR(INDEX(Skill!$AE:$AE, MATCH(BX$4, Skill!$C:$C, 0), 1), "")</f>
        <v/>
      </c>
      <c r="BY13" s="94" t="str">
        <f t="array" ref="BY13">IFERROR(INDEX(Skill!$AE:$AE, MATCH(BY$4, Skill!$C:$C, 0), 1), "")</f>
        <v>RANGE_AFFECTED_GCD</v>
      </c>
      <c r="BZ13" s="94" t="str">
        <f t="array" ref="BZ13">IFERROR(INDEX(Skill!$AE:$AE, MATCH(BZ$4, Skill!$C:$C, 0), 1), "")</f>
        <v/>
      </c>
      <c r="CA13" s="94" t="str">
        <f t="array" ref="CA13">IFERROR(INDEX(Skill!$AE:$AE, MATCH(CA$4, Skill!$C:$C, 0), 1), "")</f>
        <v/>
      </c>
      <c r="CB13" s="94" t="str">
        <f t="array" ref="CB13">IFERROR(INDEX(Skill!$AE:$AE, MATCH(CB$4, Skill!$C:$C, 0), 1), "")</f>
        <v/>
      </c>
      <c r="CC13" s="94" t="str">
        <f t="array" ref="CC13">IFERROR(INDEX(Skill!$AE:$AE, MATCH(CC$4, Skill!$C:$C, 0), 1), "")</f>
        <v/>
      </c>
      <c r="CD13" s="94" t="str">
        <f t="array" ref="CD13">IFERROR(INDEX(Skill!$AE:$AE, MATCH(CD$4, Skill!$C:$C, 0), 1), "")</f>
        <v/>
      </c>
      <c r="CE13" s="94" t="str">
        <f t="array" ref="CE13">IFERROR(INDEX(Skill!$AE:$AE, MATCH(CE$4, Skill!$C:$C, 0), 1), "")</f>
        <v/>
      </c>
      <c r="CF13" s="94" t="str">
        <f t="array" ref="CF13">IFERROR(INDEX(Skill!$AE:$AE, MATCH(CF$4, Skill!$C:$C, 0), 1), "")</f>
        <v/>
      </c>
      <c r="CG13" s="94" t="str">
        <f t="array" ref="CG13">IFERROR(INDEX(Skill!$AE:$AE, MATCH(CG$4, Skill!$C:$C, 0), 1), "")</f>
        <v/>
      </c>
      <c r="CH13" s="94" t="str">
        <f t="array" ref="CH13">IFERROR(INDEX(Skill!$AE:$AE, MATCH(CH$4, Skill!$C:$C, 0), 1), "")</f>
        <v/>
      </c>
      <c r="CI13" s="94" t="str">
        <f t="array" ref="CI13">IFERROR(INDEX(Skill!$AE:$AE, MATCH(CI$4, Skill!$C:$C, 0), 1), "")</f>
        <v>SELF_EFFECTED_GCD</v>
      </c>
      <c r="CJ13" s="94" t="str">
        <f t="array" ref="CJ13">IFERROR(INDEX(Skill!$AE:$AE, MATCH(CJ$4, Skill!$C:$C, 0), 1), "")</f>
        <v/>
      </c>
      <c r="CK13" s="94" t="str">
        <f t="array" ref="CK13">IFERROR(INDEX(Skill!$AE:$AE, MATCH(CK$4, Skill!$C:$C, 0), 1), "")</f>
        <v/>
      </c>
      <c r="CL13" s="94" t="str">
        <f t="array" ref="CL13">IFERROR(INDEX(Skill!$AE:$AE, MATCH(CL$4, Skill!$C:$C, 0), 1), "")</f>
        <v/>
      </c>
      <c r="CM13" s="94" t="str">
        <f t="array" ref="CM13">IFERROR(INDEX(Skill!$AE:$AE, MATCH(CM$4, Skill!$C:$C, 0), 1), "")</f>
        <v/>
      </c>
      <c r="CN13" s="94" t="str">
        <f t="array" ref="CN13">IFERROR(INDEX(Skill!$AE:$AE, MATCH(CN$4, Skill!$C:$C, 0), 1), "")</f>
        <v/>
      </c>
      <c r="CO13" s="94" t="str">
        <f t="array" ref="CO13">IFERROR(INDEX(Skill!$AE:$AE, MATCH(CO$4, Skill!$C:$C, 0), 1), "")</f>
        <v/>
      </c>
      <c r="CP13" s="94" t="str">
        <f t="array" ref="CP13">IFERROR(INDEX(Skill!$AE:$AE, MATCH(CP$4, Skill!$C:$C, 0), 1), "")</f>
        <v/>
      </c>
      <c r="CQ13" s="94" t="str">
        <f t="array" ref="CQ13">IFERROR(INDEX(Skill!$AE:$AE, MATCH(CQ$4, Skill!$C:$C, 0), 1), "")</f>
        <v/>
      </c>
      <c r="CR13" s="94" t="str">
        <f t="array" ref="CR13">IFERROR(INDEX(Skill!$AE:$AE, MATCH(CR$4, Skill!$C:$C, 0), 1), "")</f>
        <v/>
      </c>
      <c r="CS13" s="94" t="str">
        <f t="array" ref="CS13">IFERROR(INDEX(Skill!$AE:$AE, MATCH(CS$4, Skill!$C:$C, 0), 1), "")</f>
        <v/>
      </c>
      <c r="CT13" s="94" t="str">
        <f t="array" ref="CT13">IFERROR(INDEX(Skill!$AE:$AE, MATCH(CT$4, Skill!$C:$C, 0), 1), "")</f>
        <v/>
      </c>
      <c r="CU13" s="94" t="str">
        <f t="array" ref="CU13">IFERROR(INDEX(Skill!$AE:$AE, MATCH(CU$4, Skill!$C:$C, 0), 1), "")</f>
        <v/>
      </c>
      <c r="CV13" s="94" t="str">
        <f t="array" ref="CV13">IFERROR(INDEX(Skill!$AE:$AE, MATCH(CV$4, Skill!$C:$C, 0), 1), "")</f>
        <v/>
      </c>
      <c r="CW13" s="94" t="str">
        <f t="array" ref="CW13">IFERROR(INDEX(Skill!$AE:$AE, MATCH(CW$4, Skill!$C:$C, 0), 1), "")</f>
        <v/>
      </c>
      <c r="CX13" s="94" t="str">
        <f t="array" ref="CX13">IFERROR(INDEX(Skill!$AE:$AE, MATCH(CX$4, Skill!$C:$C, 0), 1), "")</f>
        <v>SELF_EFFECTED_GCD</v>
      </c>
      <c r="CY13" s="94" t="str">
        <f t="array" ref="CY13">IFERROR(INDEX(Skill!$AE:$AE, MATCH(CY$4, Skill!$C:$C, 0), 1), "")</f>
        <v>RANGE_AFFECTED_ALL</v>
      </c>
      <c r="CZ13" s="94" t="str">
        <f t="array" ref="CZ13">IFERROR(INDEX(Skill!$AE:$AE, MATCH(CZ$4, Skill!$C:$C, 0), 1), "")</f>
        <v/>
      </c>
      <c r="DA13" s="94" t="str">
        <f t="array" ref="DA13">IFERROR(INDEX(Skill!$AE:$AE, MATCH(DA$4, Skill!$C:$C, 0), 1), "")</f>
        <v/>
      </c>
      <c r="DB13" s="94" t="str">
        <f t="array" ref="DB13">IFERROR(INDEX(Skill!$AE:$AE, MATCH(DB$4, Skill!$C:$C, 0), 1), "")</f>
        <v/>
      </c>
      <c r="DC13" s="94" t="str">
        <f t="array" ref="DC13">IFERROR(INDEX(Skill!$AE:$AE, MATCH(DC$4, Skill!$C:$C, 0), 1), "")</f>
        <v>SELF_EFFECTED_GCD</v>
      </c>
      <c r="DD13" s="94" t="str">
        <f t="array" ref="DD13">IFERROR(INDEX(Skill!$AE:$AE, MATCH(DD$4, Skill!$C:$C, 0), 1), "")</f>
        <v/>
      </c>
      <c r="DE13" s="94" t="str">
        <f t="array" ref="DE13">IFERROR(INDEX(Skill!$AE:$AE, MATCH(DE$4, Skill!$C:$C, 0), 1), "")</f>
        <v/>
      </c>
      <c r="DF13" s="94" t="str">
        <f t="array" ref="DF13">IFERROR(INDEX(Skill!$AE:$AE, MATCH(DF$4, Skill!$C:$C, 0), 1), "")</f>
        <v/>
      </c>
      <c r="DG13" s="94" t="str">
        <f t="array" ref="DG13">IFERROR(INDEX(Skill!$AE:$AE, MATCH(DG$4, Skill!$C:$C, 0), 1), "")</f>
        <v/>
      </c>
      <c r="DH13" s="94" t="str">
        <f t="array" ref="DH13">IFERROR(INDEX(Skill!$AE:$AE, MATCH(DH$4, Skill!$C:$C, 0), 1), "")</f>
        <v/>
      </c>
      <c r="DI13" s="94" t="str">
        <f t="array" ref="DI13">IFERROR(INDEX(Skill!$AE:$AE, MATCH(DI$4, Skill!$C:$C, 0), 1), "")</f>
        <v/>
      </c>
      <c r="DJ13" s="94" t="str">
        <f t="array" ref="DJ13">IFERROR(INDEX(Skill!$AE:$AE, MATCH(DJ$4, Skill!$C:$C, 0), 1), "")</f>
        <v/>
      </c>
      <c r="DK13" s="94" t="str">
        <f t="array" ref="DK13">IFERROR(INDEX(Skill!$AE:$AE, MATCH(DK$4, Skill!$C:$C, 0), 1), "")</f>
        <v>RANGE_AFFECTED_ALL</v>
      </c>
      <c r="DL13" s="94" t="str">
        <f t="array" ref="DL13">IFERROR(INDEX(Skill!$AE:$AE, MATCH(DL$4, Skill!$C:$C, 0), 1), "")</f>
        <v/>
      </c>
      <c r="DM13" s="94" t="str">
        <f t="array" ref="DM13">IFERROR(INDEX(Skill!$AE:$AE, MATCH(DM$4, Skill!$C:$C, 0), 1), "")</f>
        <v/>
      </c>
      <c r="DN13" s="94" t="str">
        <f t="array" ref="DN13">IFERROR(INDEX(Skill!$AE:$AE, MATCH(DN$4, Skill!$C:$C, 0), 1), "")</f>
        <v/>
      </c>
      <c r="DO13" s="94" t="str">
        <f t="array" ref="DO13">IFERROR(INDEX(Skill!$AE:$AE, MATCH(DO$4, Skill!$C:$C, 0), 1), "")</f>
        <v/>
      </c>
      <c r="DP13" s="94" t="str">
        <f t="array" ref="DP13">IFERROR(INDEX(Skill!$AE:$AE, MATCH(DP$4, Skill!$C:$C, 0), 1), "")</f>
        <v/>
      </c>
      <c r="DQ13" s="94" t="str">
        <f t="array" ref="DQ13">IFERROR(INDEX(Skill!$AE:$AE, MATCH(DQ$4, Skill!$C:$C, 0), 1), "")</f>
        <v/>
      </c>
      <c r="DR13" s="94" t="str">
        <f t="array" ref="DR13">IFERROR(INDEX(Skill!$AE:$AE, MATCH(DR$4, Skill!$C:$C, 0), 1), "")</f>
        <v>RANGE_AFFECTED_ALL</v>
      </c>
      <c r="DS13" s="94" t="str">
        <f t="array" ref="DS13">IFERROR(INDEX(Skill!$AE:$AE, MATCH(DS$4, Skill!$C:$C, 0), 1), "")</f>
        <v/>
      </c>
      <c r="DT13" s="94" t="str">
        <f t="array" ref="DT13">IFERROR(INDEX(Skill!$AE:$AE, MATCH(DT$4, Skill!$C:$C, 0), 1), "")</f>
        <v/>
      </c>
      <c r="DU13" s="94" t="str">
        <f t="array" ref="DU13">IFERROR(INDEX(Skill!$AE:$AE, MATCH(DU$4, Skill!$C:$C, 0), 1), "")</f>
        <v/>
      </c>
      <c r="DV13" s="94" t="str">
        <f t="array" ref="DV13">IFERROR(INDEX(Skill!$AE:$AE, MATCH(DV$4, Skill!$C:$C, 0), 1), "")</f>
        <v/>
      </c>
      <c r="DW13" s="94" t="str">
        <f t="array" ref="DW13">IFERROR(INDEX(Skill!$AE:$AE, MATCH(DW$4, Skill!$C:$C, 0), 1), "")</f>
        <v/>
      </c>
      <c r="DX13" s="94" t="str">
        <f t="array" ref="DX13">IFERROR(INDEX(Skill!$AE:$AE, MATCH(DX$4, Skill!$C:$C, 0), 1), "")</f>
        <v/>
      </c>
      <c r="DY13" s="94" t="str">
        <f t="array" ref="DY13">IFERROR(INDEX(Skill!$AE:$AE, MATCH(DY$4, Skill!$C:$C, 0), 1), "")</f>
        <v/>
      </c>
      <c r="DZ13" s="94" t="str">
        <f t="array" ref="DZ13">IFERROR(INDEX(Skill!$AE:$AE, MATCH(DZ$4, Skill!$C:$C, 0), 1), "")</f>
        <v>RANGE_AFFECTED_ALL</v>
      </c>
      <c r="EA13" s="89" t="str">
        <f t="array" ref="EA13">IFERROR(INDEX(Skill!$AE:$AE, MATCH(EA$4, Skill!$C:$C, 0), 1), "")</f>
        <v/>
      </c>
      <c r="EB13" s="89" t="str">
        <f t="array" ref="EB13">IFERROR(INDEX(Skill!$AE:$AE, MATCH(EB$4, Skill!$C:$C, 0), 1), "")</f>
        <v/>
      </c>
      <c r="EC13" s="89" t="str">
        <f t="array" ref="EC13">IFERROR(INDEX(Skill!$AE:$AE, MATCH(EC$4, Skill!$C:$C, 0), 1), "")</f>
        <v/>
      </c>
      <c r="ED13" s="94" t="str">
        <f t="array" ref="ED13">IFERROR(INDEX(Skill!$AE:$AE, MATCH(ED$4, Skill!$C:$C, 0), 1), "")</f>
        <v/>
      </c>
      <c r="EE13" s="97"/>
      <c r="EF13" s="97"/>
      <c r="EG13" s="97"/>
      <c r="EH13" s="97"/>
      <c r="EI13" s="97"/>
      <c r="EJ13" s="97"/>
      <c r="EK13" s="97"/>
      <c r="EL13" s="97"/>
      <c r="EM13" s="97"/>
      <c r="EN13" s="97"/>
      <c r="EO13" s="97"/>
      <c r="EP13" s="97"/>
      <c r="EQ13" s="97"/>
      <c r="ER13" s="100"/>
      <c r="ES13" s="100"/>
      <c r="ET13" s="100"/>
      <c r="EU13" s="101"/>
      <c r="EV13" s="101"/>
      <c r="EW13" s="101"/>
      <c r="EX13" s="101"/>
      <c r="EY13" s="101"/>
      <c r="EZ13" s="101"/>
      <c r="FA13" s="101"/>
      <c r="FB13" s="101"/>
      <c r="FC13" s="101"/>
      <c r="FD13" s="101"/>
      <c r="FE13" s="101"/>
      <c r="FF13" s="101"/>
      <c r="FG13" s="101"/>
      <c r="FH13" s="101"/>
      <c r="FI13" s="101"/>
      <c r="FJ13" s="101"/>
      <c r="FK13" s="101"/>
      <c r="FL13" s="101"/>
      <c r="FM13" s="101"/>
      <c r="FN13" s="101"/>
      <c r="FO13" s="99"/>
    </row>
    <row r="14" hidden="1">
      <c r="A14" s="3"/>
      <c r="B14" s="90"/>
      <c r="C14" s="90"/>
      <c r="D14" s="90"/>
      <c r="E14" s="90" t="s">
        <v>1052</v>
      </c>
      <c r="F14" s="90"/>
      <c r="G14" s="90"/>
      <c r="H14" s="90"/>
      <c r="I14" s="90"/>
      <c r="J14" s="90"/>
      <c r="K14" s="94" t="str">
        <f t="array" ref="K14">IFERROR(INDEX(Skill!$AH:$AH, MATCH(K$4, Skill!$C:$C, 0), 1), "")</f>
        <v/>
      </c>
      <c r="L14" s="94" t="str">
        <f t="array" ref="L14">IFERROR(INDEX(Skill!$AH:$AH, MATCH(L$4, Skill!$C:$C, 0), 1), "")</f>
        <v/>
      </c>
      <c r="M14" s="94" t="str">
        <f t="array" ref="M14">IFERROR(INDEX(Skill!$AH:$AH, MATCH(M$4, Skill!$C:$C, 0), 1), "")</f>
        <v/>
      </c>
      <c r="N14" s="94" t="str">
        <f t="array" ref="N14">IFERROR(INDEX(Skill!$AH:$AH, MATCH(N$4, Skill!$C:$C, 0), 1), "")</f>
        <v/>
      </c>
      <c r="O14" s="94">
        <f t="array" ref="O14">IFERROR(INDEX(Skill!$AH:$AH, MATCH(O$4, Skill!$C:$C, 0), 1), "")</f>
        <v>1.15</v>
      </c>
      <c r="P14" s="94" t="str">
        <f t="array" ref="P14">IFERROR(INDEX(Skill!$AH:$AH, MATCH(P$4, Skill!$C:$C, 0), 1), "")</f>
        <v/>
      </c>
      <c r="Q14" s="94" t="str">
        <f t="array" ref="Q14">IFERROR(INDEX(Skill!$AH:$AH, MATCH(Q$4, Skill!$C:$C, 0), 1), "")</f>
        <v/>
      </c>
      <c r="R14" s="94" t="str">
        <f t="array" ref="R14">IFERROR(INDEX(Skill!$AH:$AH, MATCH(R$4, Skill!$C:$C, 0), 1), "")</f>
        <v/>
      </c>
      <c r="S14" s="94" t="str">
        <f t="array" ref="S14">IFERROR(INDEX(Skill!$AH:$AH, MATCH(S$4, Skill!$C:$C, 0), 1), "")</f>
        <v/>
      </c>
      <c r="T14" s="94" t="str">
        <f t="array" ref="T14">IFERROR(INDEX(Skill!$AH:$AH, MATCH(T$4, Skill!$C:$C, 0), 1), "")</f>
        <v/>
      </c>
      <c r="U14" s="94" t="str">
        <f t="array" ref="U14">IFERROR(INDEX(Skill!$AH:$AH, MATCH(U$4, Skill!$C:$C, 0), 1), "")</f>
        <v/>
      </c>
      <c r="V14" s="94" t="str">
        <f t="array" ref="V14">IFERROR(INDEX(Skill!$AH:$AH, MATCH(V$4, Skill!$C:$C, 0), 1), "")</f>
        <v/>
      </c>
      <c r="W14" s="94">
        <f t="array" ref="W14">IFERROR(INDEX(Skill!$AH:$AH, MATCH(W$4, Skill!$C:$C, 0), 1), "")</f>
        <v>1.15</v>
      </c>
      <c r="X14" s="94">
        <f t="array" ref="X14">IFERROR(INDEX(Skill!$AH:$AH, MATCH(X$4, Skill!$C:$C, 0), 1), "")</f>
        <v>1.2</v>
      </c>
      <c r="Y14" s="94" t="str">
        <f t="array" ref="Y14">IFERROR(INDEX(Skill!$AH:$AH, MATCH(Y$4, Skill!$C:$C, 0), 1), "")</f>
        <v/>
      </c>
      <c r="Z14" s="94" t="str">
        <f t="array" ref="Z14">IFERROR(INDEX(Skill!$AH:$AH, MATCH(Z$4, Skill!$C:$C, 0), 1), "")</f>
        <v/>
      </c>
      <c r="AA14" s="94" t="str">
        <f t="array" ref="AA14">IFERROR(INDEX(Skill!$AH:$AH, MATCH(AA$4, Skill!$C:$C, 0), 1), "")</f>
        <v/>
      </c>
      <c r="AB14" s="94" t="str">
        <f t="array" ref="AB14">IFERROR(INDEX(Skill!$AH:$AH, MATCH(AB$4, Skill!$C:$C, 0), 1), "")</f>
        <v/>
      </c>
      <c r="AC14" s="94" t="str">
        <f t="array" ref="AC14">IFERROR(INDEX(Skill!$AH:$AH, MATCH(AC$4, Skill!$C:$C, 0), 1), "")</f>
        <v/>
      </c>
      <c r="AD14" s="94" t="str">
        <f t="array" ref="AD14">IFERROR(INDEX(Skill!$AH:$AH, MATCH(AD$4, Skill!$C:$C, 0), 1), "")</f>
        <v/>
      </c>
      <c r="AE14" s="94" t="str">
        <f t="array" ref="AE14">IFERROR(INDEX(Skill!$AH:$AH, MATCH(AE$4, Skill!$C:$C, 0), 1), "")</f>
        <v/>
      </c>
      <c r="AF14" s="94" t="str">
        <f t="array" ref="AF14">IFERROR(INDEX(Skill!$AH:$AH, MATCH(AF$4, Skill!$C:$C, 0), 1), "")</f>
        <v/>
      </c>
      <c r="AG14" s="94" t="str">
        <f t="array" ref="AG14">IFERROR(INDEX(Skill!$AH:$AH, MATCH(AG$4, Skill!$C:$C, 0), 1), "")</f>
        <v/>
      </c>
      <c r="AH14" s="94">
        <f t="array" ref="AH14">IFERROR(INDEX(Skill!$AH:$AH, MATCH(AH$4, Skill!$C:$C, 0), 1), "")</f>
        <v>1.15</v>
      </c>
      <c r="AI14" s="94" t="str">
        <f t="array" ref="AI14">IFERROR(INDEX(Skill!$AH:$AH, MATCH(AI$4, Skill!$C:$C, 0), 1), "")</f>
        <v/>
      </c>
      <c r="AJ14" s="94" t="str">
        <f t="array" ref="AJ14">IFERROR(INDEX(Skill!$AH:$AH, MATCH(AJ$4, Skill!$C:$C, 0), 1), "")</f>
        <v/>
      </c>
      <c r="AK14" s="94" t="str">
        <f t="array" ref="AK14">IFERROR(INDEX(Skill!$AH:$AH, MATCH(AK$4, Skill!$C:$C, 0), 1), "")</f>
        <v/>
      </c>
      <c r="AL14" s="94" t="str">
        <f t="array" ref="AL14">IFERROR(INDEX(Skill!$AH:$AH, MATCH(AL$4, Skill!$C:$C, 0), 1), "")</f>
        <v/>
      </c>
      <c r="AM14" s="94" t="str">
        <f t="array" ref="AM14">IFERROR(INDEX(Skill!$AH:$AH, MATCH(AM$4, Skill!$C:$C, 0), 1), "")</f>
        <v/>
      </c>
      <c r="AN14" s="94" t="str">
        <f t="array" ref="AN14">IFERROR(INDEX(Skill!$AH:$AH, MATCH(AN$4, Skill!$C:$C, 0), 1), "")</f>
        <v/>
      </c>
      <c r="AO14" s="94">
        <f t="array" ref="AO14">IFERROR(INDEX(Skill!$AH:$AH, MATCH(AO$4, Skill!$C:$C, 0), 1), "")</f>
        <v>1.15</v>
      </c>
      <c r="AP14" s="94" t="str">
        <f t="array" ref="AP14">IFERROR(INDEX(Skill!$AH:$AH, MATCH(AP$4, Skill!$C:$C, 0), 1), "")</f>
        <v/>
      </c>
      <c r="AQ14" s="94" t="str">
        <f t="array" ref="AQ14">IFERROR(INDEX(Skill!$AH:$AH, MATCH(AQ$4, Skill!$C:$C, 0), 1), "")</f>
        <v/>
      </c>
      <c r="AR14" s="94" t="str">
        <f t="array" ref="AR14">IFERROR(INDEX(Skill!$AH:$AH, MATCH(AR$4, Skill!$C:$C, 0), 1), "")</f>
        <v/>
      </c>
      <c r="AS14" s="94">
        <f t="array" ref="AS14">IFERROR(INDEX(Skill!$AH:$AH, MATCH(AS$4, Skill!$C:$C, 0), 1), "")</f>
        <v>1.2</v>
      </c>
      <c r="AT14" s="94" t="str">
        <f t="array" ref="AT14">IFERROR(INDEX(Skill!$AH:$AH, MATCH(AT$4, Skill!$C:$C, 0), 1), "")</f>
        <v/>
      </c>
      <c r="AU14" s="94" t="str">
        <f t="array" ref="AU14">IFERROR(INDEX(Skill!$AH:$AH, MATCH(AU$4, Skill!$C:$C, 0), 1), "")</f>
        <v/>
      </c>
      <c r="AV14" s="94">
        <f t="array" ref="AV14">IFERROR(INDEX(Skill!$AH:$AH, MATCH(AV$4, Skill!$C:$C, 0), 1), "")</f>
        <v>1.1</v>
      </c>
      <c r="AW14" s="94" t="str">
        <f t="array" ref="AW14">IFERROR(INDEX(Skill!$AH:$AH, MATCH(AW$4, Skill!$C:$C, 0), 1), "")</f>
        <v/>
      </c>
      <c r="AX14" s="94" t="str">
        <f t="array" ref="AX14">IFERROR(INDEX(Skill!$AH:$AH, MATCH(AX$4, Skill!$C:$C, 0), 1), "")</f>
        <v/>
      </c>
      <c r="AY14" s="94" t="str">
        <f t="array" ref="AY14">IFERROR(INDEX(Skill!$AH:$AH, MATCH(AY$4, Skill!$C:$C, 0), 1), "")</f>
        <v/>
      </c>
      <c r="AZ14" s="94" t="str">
        <f t="array" ref="AZ14">IFERROR(INDEX(Skill!$AH:$AH, MATCH(AZ$4, Skill!$C:$C, 0), 1), "")</f>
        <v/>
      </c>
      <c r="BA14" s="94" t="str">
        <f t="array" ref="BA14">IFERROR(INDEX(Skill!$AH:$AH, MATCH(BA$4, Skill!$C:$C, 0), 1), "")</f>
        <v/>
      </c>
      <c r="BB14" s="94" t="str">
        <f t="array" ref="BB14">IFERROR(INDEX(Skill!$AH:$AH, MATCH(BB$4, Skill!$C:$C, 0), 1), "")</f>
        <v/>
      </c>
      <c r="BC14" s="94" t="str">
        <f t="array" ref="BC14">IFERROR(INDEX(Skill!$AH:$AH, MATCH(BC$4, Skill!$C:$C, 0), 1), "")</f>
        <v/>
      </c>
      <c r="BD14" s="94" t="str">
        <f t="array" ref="BD14">IFERROR(INDEX(Skill!$AH:$AH, MATCH(BD$4, Skill!$C:$C, 0), 1), "")</f>
        <v/>
      </c>
      <c r="BE14" s="94" t="str">
        <f t="array" ref="BE14">IFERROR(INDEX(Skill!$AH:$AH, MATCH(BE$4, Skill!$C:$C, 0), 1), "")</f>
        <v/>
      </c>
      <c r="BF14" s="94">
        <f t="array" ref="BF14">IFERROR(INDEX(Skill!$AH:$AH, MATCH(BF$4, Skill!$C:$C, 0), 1), "")</f>
        <v>1.2</v>
      </c>
      <c r="BG14" s="94" t="str">
        <f t="array" ref="BG14">IFERROR(INDEX(Skill!$AH:$AH, MATCH(BG$4, Skill!$C:$C, 0), 1), "")</f>
        <v/>
      </c>
      <c r="BH14" s="94" t="str">
        <f t="array" ref="BH14">IFERROR(INDEX(Skill!$AH:$AH, MATCH(BH$4, Skill!$C:$C, 0), 1), "")</f>
        <v/>
      </c>
      <c r="BI14" s="94" t="str">
        <f t="array" ref="BI14">IFERROR(INDEX(Skill!$AH:$AH, MATCH(BI$4, Skill!$C:$C, 0), 1), "")</f>
        <v/>
      </c>
      <c r="BJ14" s="94" t="str">
        <f t="array" ref="BJ14">IFERROR(INDEX(Skill!$AH:$AH, MATCH(BJ$4, Skill!$C:$C, 0), 1), "")</f>
        <v/>
      </c>
      <c r="BK14" s="94" t="str">
        <f t="array" ref="BK14">IFERROR(INDEX(Skill!$AH:$AH, MATCH(BK$4, Skill!$C:$C, 0), 1), "")</f>
        <v/>
      </c>
      <c r="BL14" s="94" t="str">
        <f t="array" ref="BL14">IFERROR(INDEX(Skill!$AH:$AH, MATCH(BL$4, Skill!$C:$C, 0), 1), "")</f>
        <v/>
      </c>
      <c r="BM14" s="94" t="str">
        <f t="array" ref="BM14">IFERROR(INDEX(Skill!$AH:$AH, MATCH(BM$4, Skill!$C:$C, 0), 1), "")</f>
        <v/>
      </c>
      <c r="BN14" s="94" t="str">
        <f t="array" ref="BN14">IFERROR(INDEX(Skill!$AH:$AH, MATCH(BN$4, Skill!$C:$C, 0), 1), "")</f>
        <v/>
      </c>
      <c r="BO14" s="94">
        <f t="array" ref="BO14">IFERROR(INDEX(Skill!$AH:$AH, MATCH(BO$4, Skill!$C:$C, 0), 1), "")</f>
        <v>1.1</v>
      </c>
      <c r="BP14" s="94" t="str">
        <f t="array" ref="BP14">IFERROR(INDEX(Skill!$AH:$AH, MATCH(BP$4, Skill!$C:$C, 0), 1), "")</f>
        <v/>
      </c>
      <c r="BQ14" s="94" t="str">
        <f t="array" ref="BQ14">IFERROR(INDEX(Skill!$AH:$AH, MATCH(BQ$4, Skill!$C:$C, 0), 1), "")</f>
        <v/>
      </c>
      <c r="BR14" s="94" t="str">
        <f t="array" ref="BR14">IFERROR(INDEX(Skill!$AH:$AH, MATCH(BR$4, Skill!$C:$C, 0), 1), "")</f>
        <v/>
      </c>
      <c r="BS14" s="94" t="str">
        <f t="array" ref="BS14">IFERROR(INDEX(Skill!$AH:$AH, MATCH(BS$4, Skill!$C:$C, 0), 1), "")</f>
        <v/>
      </c>
      <c r="BT14" s="94" t="str">
        <f t="array" ref="BT14">IFERROR(INDEX(Skill!$AH:$AH, MATCH(BT$4, Skill!$C:$C, 0), 1), "")</f>
        <v/>
      </c>
      <c r="BU14" s="94" t="str">
        <f t="array" ref="BU14">IFERROR(INDEX(Skill!$AH:$AH, MATCH(BU$4, Skill!$C:$C, 0), 1), "")</f>
        <v/>
      </c>
      <c r="BV14" s="94" t="str">
        <f t="array" ref="BV14">IFERROR(INDEX(Skill!$AH:$AH, MATCH(BV$4, Skill!$C:$C, 0), 1), "")</f>
        <v/>
      </c>
      <c r="BW14" s="94" t="str">
        <f t="array" ref="BW14">IFERROR(INDEX(Skill!$AH:$AH, MATCH(BW$4, Skill!$C:$C, 0), 1), "")</f>
        <v/>
      </c>
      <c r="BX14" s="94" t="str">
        <f t="array" ref="BX14">IFERROR(INDEX(Skill!$AH:$AH, MATCH(BX$4, Skill!$C:$C, 0), 1), "")</f>
        <v/>
      </c>
      <c r="BY14" s="94">
        <f t="array" ref="BY14">IFERROR(INDEX(Skill!$AH:$AH, MATCH(BY$4, Skill!$C:$C, 0), 1), "")</f>
        <v>1.1</v>
      </c>
      <c r="BZ14" s="94" t="str">
        <f t="array" ref="BZ14">IFERROR(INDEX(Skill!$AH:$AH, MATCH(BZ$4, Skill!$C:$C, 0), 1), "")</f>
        <v/>
      </c>
      <c r="CA14" s="94" t="str">
        <f t="array" ref="CA14">IFERROR(INDEX(Skill!$AH:$AH, MATCH(CA$4, Skill!$C:$C, 0), 1), "")</f>
        <v/>
      </c>
      <c r="CB14" s="94" t="str">
        <f t="array" ref="CB14">IFERROR(INDEX(Skill!$AH:$AH, MATCH(CB$4, Skill!$C:$C, 0), 1), "")</f>
        <v/>
      </c>
      <c r="CC14" s="94" t="str">
        <f t="array" ref="CC14">IFERROR(INDEX(Skill!$AH:$AH, MATCH(CC$4, Skill!$C:$C, 0), 1), "")</f>
        <v/>
      </c>
      <c r="CD14" s="94" t="str">
        <f t="array" ref="CD14">IFERROR(INDEX(Skill!$AH:$AH, MATCH(CD$4, Skill!$C:$C, 0), 1), "")</f>
        <v/>
      </c>
      <c r="CE14" s="94" t="str">
        <f t="array" ref="CE14">IFERROR(INDEX(Skill!$AH:$AH, MATCH(CE$4, Skill!$C:$C, 0), 1), "")</f>
        <v/>
      </c>
      <c r="CF14" s="94" t="str">
        <f t="array" ref="CF14">IFERROR(INDEX(Skill!$AH:$AH, MATCH(CF$4, Skill!$C:$C, 0), 1), "")</f>
        <v/>
      </c>
      <c r="CG14" s="94" t="str">
        <f t="array" ref="CG14">IFERROR(INDEX(Skill!$AH:$AH, MATCH(CG$4, Skill!$C:$C, 0), 1), "")</f>
        <v/>
      </c>
      <c r="CH14" s="94" t="str">
        <f t="array" ref="CH14">IFERROR(INDEX(Skill!$AH:$AH, MATCH(CH$4, Skill!$C:$C, 0), 1), "")</f>
        <v/>
      </c>
      <c r="CI14" s="94">
        <f t="array" ref="CI14">IFERROR(INDEX(Skill!$AH:$AH, MATCH(CI$4, Skill!$C:$C, 0), 1), "")</f>
        <v>1.2</v>
      </c>
      <c r="CJ14" s="94" t="str">
        <f t="array" ref="CJ14">IFERROR(INDEX(Skill!$AH:$AH, MATCH(CJ$4, Skill!$C:$C, 0), 1), "")</f>
        <v/>
      </c>
      <c r="CK14" s="94" t="str">
        <f t="array" ref="CK14">IFERROR(INDEX(Skill!$AH:$AH, MATCH(CK$4, Skill!$C:$C, 0), 1), "")</f>
        <v/>
      </c>
      <c r="CL14" s="94" t="str">
        <f t="array" ref="CL14">IFERROR(INDEX(Skill!$AH:$AH, MATCH(CL$4, Skill!$C:$C, 0), 1), "")</f>
        <v/>
      </c>
      <c r="CM14" s="94" t="str">
        <f t="array" ref="CM14">IFERROR(INDEX(Skill!$AH:$AH, MATCH(CM$4, Skill!$C:$C, 0), 1), "")</f>
        <v/>
      </c>
      <c r="CN14" s="94" t="str">
        <f t="array" ref="CN14">IFERROR(INDEX(Skill!$AH:$AH, MATCH(CN$4, Skill!$C:$C, 0), 1), "")</f>
        <v/>
      </c>
      <c r="CO14" s="94" t="str">
        <f t="array" ref="CO14">IFERROR(INDEX(Skill!$AH:$AH, MATCH(CO$4, Skill!$C:$C, 0), 1), "")</f>
        <v/>
      </c>
      <c r="CP14" s="94" t="str">
        <f t="array" ref="CP14">IFERROR(INDEX(Skill!$AH:$AH, MATCH(CP$4, Skill!$C:$C, 0), 1), "")</f>
        <v/>
      </c>
      <c r="CQ14" s="94" t="str">
        <f t="array" ref="CQ14">IFERROR(INDEX(Skill!$AH:$AH, MATCH(CQ$4, Skill!$C:$C, 0), 1), "")</f>
        <v/>
      </c>
      <c r="CR14" s="94" t="str">
        <f t="array" ref="CR14">IFERROR(INDEX(Skill!$AH:$AH, MATCH(CR$4, Skill!$C:$C, 0), 1), "")</f>
        <v/>
      </c>
      <c r="CS14" s="94" t="str">
        <f t="array" ref="CS14">IFERROR(INDEX(Skill!$AH:$AH, MATCH(CS$4, Skill!$C:$C, 0), 1), "")</f>
        <v/>
      </c>
      <c r="CT14" s="94" t="str">
        <f t="array" ref="CT14">IFERROR(INDEX(Skill!$AH:$AH, MATCH(CT$4, Skill!$C:$C, 0), 1), "")</f>
        <v/>
      </c>
      <c r="CU14" s="94" t="str">
        <f t="array" ref="CU14">IFERROR(INDEX(Skill!$AH:$AH, MATCH(CU$4, Skill!$C:$C, 0), 1), "")</f>
        <v/>
      </c>
      <c r="CV14" s="94" t="str">
        <f t="array" ref="CV14">IFERROR(INDEX(Skill!$AH:$AH, MATCH(CV$4, Skill!$C:$C, 0), 1), "")</f>
        <v/>
      </c>
      <c r="CW14" s="94" t="str">
        <f t="array" ref="CW14">IFERROR(INDEX(Skill!$AH:$AH, MATCH(CW$4, Skill!$C:$C, 0), 1), "")</f>
        <v/>
      </c>
      <c r="CX14" s="94">
        <f t="array" ref="CX14">IFERROR(INDEX(Skill!$AH:$AH, MATCH(CX$4, Skill!$C:$C, 0), 1), "")</f>
        <v>1.5</v>
      </c>
      <c r="CY14" s="94">
        <f t="array" ref="CY14">IFERROR(INDEX(Skill!$AH:$AH, MATCH(CY$4, Skill!$C:$C, 0), 1), "")</f>
        <v>1.1</v>
      </c>
      <c r="CZ14" s="94" t="str">
        <f t="array" ref="CZ14">IFERROR(INDEX(Skill!$AH:$AH, MATCH(CZ$4, Skill!$C:$C, 0), 1), "")</f>
        <v/>
      </c>
      <c r="DA14" s="94" t="str">
        <f t="array" ref="DA14">IFERROR(INDEX(Skill!$AH:$AH, MATCH(DA$4, Skill!$C:$C, 0), 1), "")</f>
        <v/>
      </c>
      <c r="DB14" s="94" t="str">
        <f t="array" ref="DB14">IFERROR(INDEX(Skill!$AH:$AH, MATCH(DB$4, Skill!$C:$C, 0), 1), "")</f>
        <v/>
      </c>
      <c r="DC14" s="94">
        <f t="array" ref="DC14">IFERROR(INDEX(Skill!$AH:$AH, MATCH(DC$4, Skill!$C:$C, 0), 1), "")</f>
        <v>1.2</v>
      </c>
      <c r="DD14" s="94" t="str">
        <f t="array" ref="DD14">IFERROR(INDEX(Skill!$AH:$AH, MATCH(DD$4, Skill!$C:$C, 0), 1), "")</f>
        <v/>
      </c>
      <c r="DE14" s="94" t="str">
        <f t="array" ref="DE14">IFERROR(INDEX(Skill!$AH:$AH, MATCH(DE$4, Skill!$C:$C, 0), 1), "")</f>
        <v/>
      </c>
      <c r="DF14" s="94" t="str">
        <f t="array" ref="DF14">IFERROR(INDEX(Skill!$AH:$AH, MATCH(DF$4, Skill!$C:$C, 0), 1), "")</f>
        <v/>
      </c>
      <c r="DG14" s="94" t="str">
        <f t="array" ref="DG14">IFERROR(INDEX(Skill!$AH:$AH, MATCH(DG$4, Skill!$C:$C, 0), 1), "")</f>
        <v/>
      </c>
      <c r="DH14" s="94" t="str">
        <f t="array" ref="DH14">IFERROR(INDEX(Skill!$AH:$AH, MATCH(DH$4, Skill!$C:$C, 0), 1), "")</f>
        <v/>
      </c>
      <c r="DI14" s="94" t="str">
        <f t="array" ref="DI14">IFERROR(INDEX(Skill!$AH:$AH, MATCH(DI$4, Skill!$C:$C, 0), 1), "")</f>
        <v/>
      </c>
      <c r="DJ14" s="94" t="str">
        <f t="array" ref="DJ14">IFERROR(INDEX(Skill!$AH:$AH, MATCH(DJ$4, Skill!$C:$C, 0), 1), "")</f>
        <v/>
      </c>
      <c r="DK14" s="94">
        <f t="array" ref="DK14">IFERROR(INDEX(Skill!$AH:$AH, MATCH(DK$4, Skill!$C:$C, 0), 1), "")</f>
        <v>1.1</v>
      </c>
      <c r="DL14" s="94" t="str">
        <f t="array" ref="DL14">IFERROR(INDEX(Skill!$AH:$AH, MATCH(DL$4, Skill!$C:$C, 0), 1), "")</f>
        <v/>
      </c>
      <c r="DM14" s="94" t="str">
        <f t="array" ref="DM14">IFERROR(INDEX(Skill!$AH:$AH, MATCH(DM$4, Skill!$C:$C, 0), 1), "")</f>
        <v/>
      </c>
      <c r="DN14" s="94" t="str">
        <f t="array" ref="DN14">IFERROR(INDEX(Skill!$AH:$AH, MATCH(DN$4, Skill!$C:$C, 0), 1), "")</f>
        <v/>
      </c>
      <c r="DO14" s="94" t="str">
        <f t="array" ref="DO14">IFERROR(INDEX(Skill!$AH:$AH, MATCH(DO$4, Skill!$C:$C, 0), 1), "")</f>
        <v/>
      </c>
      <c r="DP14" s="94" t="str">
        <f t="array" ref="DP14">IFERROR(INDEX(Skill!$AH:$AH, MATCH(DP$4, Skill!$C:$C, 0), 1), "")</f>
        <v/>
      </c>
      <c r="DQ14" s="94" t="str">
        <f t="array" ref="DQ14">IFERROR(INDEX(Skill!$AH:$AH, MATCH(DQ$4, Skill!$C:$C, 0), 1), "")</f>
        <v/>
      </c>
      <c r="DR14" s="94">
        <f t="array" ref="DR14">IFERROR(INDEX(Skill!$AH:$AH, MATCH(DR$4, Skill!$C:$C, 0), 1), "")</f>
        <v>1.15</v>
      </c>
      <c r="DS14" s="94" t="str">
        <f t="array" ref="DS14">IFERROR(INDEX(Skill!$AH:$AH, MATCH(DS$4, Skill!$C:$C, 0), 1), "")</f>
        <v/>
      </c>
      <c r="DT14" s="94" t="str">
        <f t="array" ref="DT14">IFERROR(INDEX(Skill!$AH:$AH, MATCH(DT$4, Skill!$C:$C, 0), 1), "")</f>
        <v/>
      </c>
      <c r="DU14" s="94" t="str">
        <f t="array" ref="DU14">IFERROR(INDEX(Skill!$AH:$AH, MATCH(DU$4, Skill!$C:$C, 0), 1), "")</f>
        <v/>
      </c>
      <c r="DV14" s="94" t="str">
        <f t="array" ref="DV14">IFERROR(INDEX(Skill!$AH:$AH, MATCH(DV$4, Skill!$C:$C, 0), 1), "")</f>
        <v/>
      </c>
      <c r="DW14" s="94" t="str">
        <f t="array" ref="DW14">IFERROR(INDEX(Skill!$AH:$AH, MATCH(DW$4, Skill!$C:$C, 0), 1), "")</f>
        <v/>
      </c>
      <c r="DX14" s="94" t="str">
        <f t="array" ref="DX14">IFERROR(INDEX(Skill!$AH:$AH, MATCH(DX$4, Skill!$C:$C, 0), 1), "")</f>
        <v/>
      </c>
      <c r="DY14" s="94" t="str">
        <f t="array" ref="DY14">IFERROR(INDEX(Skill!$AH:$AH, MATCH(DY$4, Skill!$C:$C, 0), 1), "")</f>
        <v/>
      </c>
      <c r="DZ14" s="94">
        <f t="array" ref="DZ14">IFERROR(INDEX(Skill!$AH:$AH, MATCH(DZ$4, Skill!$C:$C, 0), 1), "")</f>
        <v>1.05</v>
      </c>
      <c r="EA14" s="89" t="str">
        <f t="array" ref="EA14">IFERROR(INDEX(Skill!$AH:$AH, MATCH(EA$4, Skill!$C:$C, 0), 1), "")</f>
        <v/>
      </c>
      <c r="EB14" s="89" t="str">
        <f t="array" ref="EB14">IFERROR(INDEX(Skill!$AH:$AH, MATCH(EB$4, Skill!$C:$C, 0), 1), "")</f>
        <v/>
      </c>
      <c r="EC14" s="89" t="str">
        <f t="array" ref="EC14">IFERROR(INDEX(Skill!$AH:$AH, MATCH(EC$4, Skill!$C:$C, 0), 1), "")</f>
        <v/>
      </c>
      <c r="ED14" s="94" t="str">
        <f t="array" ref="ED14">IFERROR(INDEX(Skill!$AH:$AH, MATCH(ED$4, Skill!$C:$C, 0), 1), "")</f>
        <v/>
      </c>
      <c r="EE14" s="97"/>
      <c r="EF14" s="97"/>
      <c r="EG14" s="97"/>
      <c r="EH14" s="97"/>
      <c r="EI14" s="97"/>
      <c r="EJ14" s="97"/>
      <c r="EK14" s="97"/>
      <c r="EL14" s="97"/>
      <c r="EM14" s="97"/>
      <c r="EN14" s="97"/>
      <c r="EO14" s="97"/>
      <c r="EP14" s="97"/>
      <c r="EQ14" s="97"/>
      <c r="ER14" s="100"/>
      <c r="ES14" s="100"/>
      <c r="ET14" s="100"/>
      <c r="EU14" s="101"/>
      <c r="EV14" s="101"/>
      <c r="EW14" s="101"/>
      <c r="EX14" s="101"/>
      <c r="EY14" s="101"/>
      <c r="EZ14" s="101"/>
      <c r="FA14" s="101"/>
      <c r="FB14" s="101"/>
      <c r="FC14" s="101"/>
      <c r="FD14" s="101"/>
      <c r="FE14" s="101"/>
      <c r="FF14" s="101"/>
      <c r="FG14" s="101"/>
      <c r="FH14" s="101"/>
      <c r="FI14" s="101"/>
      <c r="FJ14" s="101"/>
      <c r="FK14" s="101"/>
      <c r="FL14" s="101"/>
      <c r="FM14" s="101"/>
      <c r="FN14" s="101"/>
      <c r="FO14" s="99"/>
    </row>
    <row r="15" hidden="1">
      <c r="A15" s="3"/>
      <c r="B15" s="90"/>
      <c r="C15" s="90"/>
      <c r="D15" s="90"/>
      <c r="E15" s="90" t="s">
        <v>1053</v>
      </c>
      <c r="F15" s="90"/>
      <c r="G15" s="90"/>
      <c r="H15" s="90"/>
      <c r="I15" s="90"/>
      <c r="J15" s="90"/>
      <c r="K15" s="94" t="str">
        <f t="array" ref="K15">IFERROR(INDEX(Skill!$AJ:$AJ, MATCH(K$4, Skill!$C:$C, 0), 1), "")</f>
        <v/>
      </c>
      <c r="L15" s="94" t="str">
        <f t="array" ref="L15">IFERROR(INDEX(Skill!$AJ:$AJ, MATCH(L$4, Skill!$C:$C, 0), 1), "")</f>
        <v/>
      </c>
      <c r="M15" s="94">
        <f t="array" ref="M15">IFERROR(INDEX(Skill!$AJ:$AJ, MATCH(M$4, Skill!$C:$C, 0), 1), "")</f>
        <v>0.1</v>
      </c>
      <c r="N15" s="94" t="str">
        <f t="array" ref="N15">IFERROR(INDEX(Skill!$AJ:$AJ, MATCH(N$4, Skill!$C:$C, 0), 1), "")</f>
        <v/>
      </c>
      <c r="O15" s="94" t="str">
        <f t="array" ref="O15">IFERROR(INDEX(Skill!$AJ:$AJ, MATCH(O$4, Skill!$C:$C, 0), 1), "")</f>
        <v/>
      </c>
      <c r="P15" s="94" t="str">
        <f t="array" ref="P15">IFERROR(INDEX(Skill!$AJ:$AJ, MATCH(P$4, Skill!$C:$C, 0), 1), "")</f>
        <v/>
      </c>
      <c r="Q15" s="94" t="str">
        <f t="array" ref="Q15">IFERROR(INDEX(Skill!$AJ:$AJ, MATCH(Q$4, Skill!$C:$C, 0), 1), "")</f>
        <v/>
      </c>
      <c r="R15" s="94" t="str">
        <f t="array" ref="R15">IFERROR(INDEX(Skill!$AJ:$AJ, MATCH(R$4, Skill!$C:$C, 0), 1), "")</f>
        <v/>
      </c>
      <c r="S15" s="94" t="str">
        <f t="array" ref="S15">IFERROR(INDEX(Skill!$AJ:$AJ, MATCH(S$4, Skill!$C:$C, 0), 1), "")</f>
        <v/>
      </c>
      <c r="T15" s="94" t="str">
        <f t="array" ref="T15">IFERROR(INDEX(Skill!$AJ:$AJ, MATCH(T$4, Skill!$C:$C, 0), 1), "")</f>
        <v/>
      </c>
      <c r="U15" s="94">
        <f t="array" ref="U15">IFERROR(INDEX(Skill!$AJ:$AJ, MATCH(U$4, Skill!$C:$C, 0), 1), "")</f>
        <v>0.15</v>
      </c>
      <c r="V15" s="94" t="str">
        <f t="array" ref="V15">IFERROR(INDEX(Skill!$AJ:$AJ, MATCH(V$4, Skill!$C:$C, 0), 1), "")</f>
        <v/>
      </c>
      <c r="W15" s="94" t="str">
        <f t="array" ref="W15">IFERROR(INDEX(Skill!$AJ:$AJ, MATCH(W$4, Skill!$C:$C, 0), 1), "")</f>
        <v/>
      </c>
      <c r="X15" s="94" t="str">
        <f t="array" ref="X15">IFERROR(INDEX(Skill!$AJ:$AJ, MATCH(X$4, Skill!$C:$C, 0), 1), "")</f>
        <v/>
      </c>
      <c r="Y15" s="94" t="str">
        <f t="array" ref="Y15">IFERROR(INDEX(Skill!$AJ:$AJ, MATCH(Y$4, Skill!$C:$C, 0), 1), "")</f>
        <v/>
      </c>
      <c r="Z15" s="94" t="str">
        <f t="array" ref="Z15">IFERROR(INDEX(Skill!$AJ:$AJ, MATCH(Z$4, Skill!$C:$C, 0), 1), "")</f>
        <v/>
      </c>
      <c r="AA15" s="94" t="str">
        <f t="array" ref="AA15">IFERROR(INDEX(Skill!$AJ:$AJ, MATCH(AA$4, Skill!$C:$C, 0), 1), "")</f>
        <v/>
      </c>
      <c r="AB15" s="94" t="str">
        <f t="array" ref="AB15">IFERROR(INDEX(Skill!$AJ:$AJ, MATCH(AB$4, Skill!$C:$C, 0), 1), "")</f>
        <v/>
      </c>
      <c r="AC15" s="94" t="str">
        <f t="array" ref="AC15">IFERROR(INDEX(Skill!$AJ:$AJ, MATCH(AC$4, Skill!$C:$C, 0), 1), "")</f>
        <v/>
      </c>
      <c r="AD15" s="94" t="str">
        <f t="array" ref="AD15">IFERROR(INDEX(Skill!$AJ:$AJ, MATCH(AD$4, Skill!$C:$C, 0), 1), "")</f>
        <v/>
      </c>
      <c r="AE15" s="94">
        <f t="array" ref="AE15">IFERROR(INDEX(Skill!$AJ:$AJ, MATCH(AE$4, Skill!$C:$C, 0), 1), "")</f>
        <v>0.25</v>
      </c>
      <c r="AF15" s="94" t="str">
        <f t="array" ref="AF15">IFERROR(INDEX(Skill!$AJ:$AJ, MATCH(AF$4, Skill!$C:$C, 0), 1), "")</f>
        <v/>
      </c>
      <c r="AG15" s="94" t="str">
        <f t="array" ref="AG15">IFERROR(INDEX(Skill!$AJ:$AJ, MATCH(AG$4, Skill!$C:$C, 0), 1), "")</f>
        <v/>
      </c>
      <c r="AH15" s="94" t="str">
        <f t="array" ref="AH15">IFERROR(INDEX(Skill!$AJ:$AJ, MATCH(AH$4, Skill!$C:$C, 0), 1), "")</f>
        <v/>
      </c>
      <c r="AI15" s="94" t="str">
        <f t="array" ref="AI15">IFERROR(INDEX(Skill!$AJ:$AJ, MATCH(AI$4, Skill!$C:$C, 0), 1), "")</f>
        <v/>
      </c>
      <c r="AJ15" s="94" t="str">
        <f t="array" ref="AJ15">IFERROR(INDEX(Skill!$AJ:$AJ, MATCH(AJ$4, Skill!$C:$C, 0), 1), "")</f>
        <v/>
      </c>
      <c r="AK15" s="94" t="str">
        <f t="array" ref="AK15">IFERROR(INDEX(Skill!$AJ:$AJ, MATCH(AK$4, Skill!$C:$C, 0), 1), "")</f>
        <v/>
      </c>
      <c r="AL15" s="94" t="str">
        <f t="array" ref="AL15">IFERROR(INDEX(Skill!$AJ:$AJ, MATCH(AL$4, Skill!$C:$C, 0), 1), "")</f>
        <v/>
      </c>
      <c r="AM15" s="94" t="str">
        <f t="array" ref="AM15">IFERROR(INDEX(Skill!$AJ:$AJ, MATCH(AM$4, Skill!$C:$C, 0), 1), "")</f>
        <v/>
      </c>
      <c r="AN15" s="94" t="str">
        <f t="array" ref="AN15">IFERROR(INDEX(Skill!$AJ:$AJ, MATCH(AN$4, Skill!$C:$C, 0), 1), "")</f>
        <v/>
      </c>
      <c r="AO15" s="94" t="str">
        <f t="array" ref="AO15">IFERROR(INDEX(Skill!$AJ:$AJ, MATCH(AO$4, Skill!$C:$C, 0), 1), "")</f>
        <v/>
      </c>
      <c r="AP15" s="94" t="str">
        <f t="array" ref="AP15">IFERROR(INDEX(Skill!$AJ:$AJ, MATCH(AP$4, Skill!$C:$C, 0), 1), "")</f>
        <v/>
      </c>
      <c r="AQ15" s="94" t="str">
        <f t="array" ref="AQ15">IFERROR(INDEX(Skill!$AJ:$AJ, MATCH(AQ$4, Skill!$C:$C, 0), 1), "")</f>
        <v/>
      </c>
      <c r="AR15" s="94" t="str">
        <f t="array" ref="AR15">IFERROR(INDEX(Skill!$AJ:$AJ, MATCH(AR$4, Skill!$C:$C, 0), 1), "")</f>
        <v/>
      </c>
      <c r="AS15" s="94" t="str">
        <f t="array" ref="AS15">IFERROR(INDEX(Skill!$AJ:$AJ, MATCH(AS$4, Skill!$C:$C, 0), 1), "")</f>
        <v/>
      </c>
      <c r="AT15" s="94" t="str">
        <f t="array" ref="AT15">IFERROR(INDEX(Skill!$AJ:$AJ, MATCH(AT$4, Skill!$C:$C, 0), 1), "")</f>
        <v/>
      </c>
      <c r="AU15" s="94" t="str">
        <f t="array" ref="AU15">IFERROR(INDEX(Skill!$AJ:$AJ, MATCH(AU$4, Skill!$C:$C, 0), 1), "")</f>
        <v/>
      </c>
      <c r="AV15" s="94" t="str">
        <f t="array" ref="AV15">IFERROR(INDEX(Skill!$AJ:$AJ, MATCH(AV$4, Skill!$C:$C, 0), 1), "")</f>
        <v/>
      </c>
      <c r="AW15" s="94" t="str">
        <f t="array" ref="AW15">IFERROR(INDEX(Skill!$AJ:$AJ, MATCH(AW$4, Skill!$C:$C, 0), 1), "")</f>
        <v/>
      </c>
      <c r="AX15" s="94" t="str">
        <f t="array" ref="AX15">IFERROR(INDEX(Skill!$AJ:$AJ, MATCH(AX$4, Skill!$C:$C, 0), 1), "")</f>
        <v/>
      </c>
      <c r="AY15" s="94" t="str">
        <f t="array" ref="AY15">IFERROR(INDEX(Skill!$AJ:$AJ, MATCH(AY$4, Skill!$C:$C, 0), 1), "")</f>
        <v/>
      </c>
      <c r="AZ15" s="94" t="str">
        <f t="array" ref="AZ15">IFERROR(INDEX(Skill!$AJ:$AJ, MATCH(AZ$4, Skill!$C:$C, 0), 1), "")</f>
        <v/>
      </c>
      <c r="BA15" s="94" t="str">
        <f t="array" ref="BA15">IFERROR(INDEX(Skill!$AJ:$AJ, MATCH(BA$4, Skill!$C:$C, 0), 1), "")</f>
        <v/>
      </c>
      <c r="BB15" s="94" t="str">
        <f t="array" ref="BB15">IFERROR(INDEX(Skill!$AJ:$AJ, MATCH(BB$4, Skill!$C:$C, 0), 1), "")</f>
        <v/>
      </c>
      <c r="BC15" s="94" t="str">
        <f t="array" ref="BC15">IFERROR(INDEX(Skill!$AJ:$AJ, MATCH(BC$4, Skill!$C:$C, 0), 1), "")</f>
        <v/>
      </c>
      <c r="BD15" s="94" t="str">
        <f t="array" ref="BD15">IFERROR(INDEX(Skill!$AJ:$AJ, MATCH(BD$4, Skill!$C:$C, 0), 1), "")</f>
        <v/>
      </c>
      <c r="BE15" s="94" t="str">
        <f t="array" ref="BE15">IFERROR(INDEX(Skill!$AJ:$AJ, MATCH(BE$4, Skill!$C:$C, 0), 1), "")</f>
        <v/>
      </c>
      <c r="BF15" s="94" t="str">
        <f t="array" ref="BF15">IFERROR(INDEX(Skill!$AJ:$AJ, MATCH(BF$4, Skill!$C:$C, 0), 1), "")</f>
        <v/>
      </c>
      <c r="BG15" s="94" t="str">
        <f t="array" ref="BG15">IFERROR(INDEX(Skill!$AJ:$AJ, MATCH(BG$4, Skill!$C:$C, 0), 1), "")</f>
        <v/>
      </c>
      <c r="BH15" s="94" t="str">
        <f t="array" ref="BH15">IFERROR(INDEX(Skill!$AJ:$AJ, MATCH(BH$4, Skill!$C:$C, 0), 1), "")</f>
        <v/>
      </c>
      <c r="BI15" s="94" t="str">
        <f t="array" ref="BI15">IFERROR(INDEX(Skill!$AJ:$AJ, MATCH(BI$4, Skill!$C:$C, 0), 1), "")</f>
        <v/>
      </c>
      <c r="BJ15" s="94" t="str">
        <f t="array" ref="BJ15">IFERROR(INDEX(Skill!$AJ:$AJ, MATCH(BJ$4, Skill!$C:$C, 0), 1), "")</f>
        <v/>
      </c>
      <c r="BK15" s="94" t="str">
        <f t="array" ref="BK15">IFERROR(INDEX(Skill!$AJ:$AJ, MATCH(BK$4, Skill!$C:$C, 0), 1), "")</f>
        <v/>
      </c>
      <c r="BL15" s="94" t="str">
        <f t="array" ref="BL15">IFERROR(INDEX(Skill!$AJ:$AJ, MATCH(BL$4, Skill!$C:$C, 0), 1), "")</f>
        <v/>
      </c>
      <c r="BM15" s="94" t="str">
        <f t="array" ref="BM15">IFERROR(INDEX(Skill!$AJ:$AJ, MATCH(BM$4, Skill!$C:$C, 0), 1), "")</f>
        <v/>
      </c>
      <c r="BN15" s="94" t="str">
        <f t="array" ref="BN15">IFERROR(INDEX(Skill!$AJ:$AJ, MATCH(BN$4, Skill!$C:$C, 0), 1), "")</f>
        <v/>
      </c>
      <c r="BO15" s="94" t="str">
        <f t="array" ref="BO15">IFERROR(INDEX(Skill!$AJ:$AJ, MATCH(BO$4, Skill!$C:$C, 0), 1), "")</f>
        <v/>
      </c>
      <c r="BP15" s="94" t="str">
        <f t="array" ref="BP15">IFERROR(INDEX(Skill!$AJ:$AJ, MATCH(BP$4, Skill!$C:$C, 0), 1), "")</f>
        <v/>
      </c>
      <c r="BQ15" s="94" t="str">
        <f t="array" ref="BQ15">IFERROR(INDEX(Skill!$AJ:$AJ, MATCH(BQ$4, Skill!$C:$C, 0), 1), "")</f>
        <v/>
      </c>
      <c r="BR15" s="94" t="str">
        <f t="array" ref="BR15">IFERROR(INDEX(Skill!$AJ:$AJ, MATCH(BR$4, Skill!$C:$C, 0), 1), "")</f>
        <v/>
      </c>
      <c r="BS15" s="94" t="str">
        <f t="array" ref="BS15">IFERROR(INDEX(Skill!$AJ:$AJ, MATCH(BS$4, Skill!$C:$C, 0), 1), "")</f>
        <v/>
      </c>
      <c r="BT15" s="94" t="str">
        <f t="array" ref="BT15">IFERROR(INDEX(Skill!$AJ:$AJ, MATCH(BT$4, Skill!$C:$C, 0), 1), "")</f>
        <v/>
      </c>
      <c r="BU15" s="94" t="str">
        <f t="array" ref="BU15">IFERROR(INDEX(Skill!$AJ:$AJ, MATCH(BU$4, Skill!$C:$C, 0), 1), "")</f>
        <v/>
      </c>
      <c r="BV15" s="94" t="str">
        <f t="array" ref="BV15">IFERROR(INDEX(Skill!$AJ:$AJ, MATCH(BV$4, Skill!$C:$C, 0), 1), "")</f>
        <v/>
      </c>
      <c r="BW15" s="94" t="str">
        <f t="array" ref="BW15">IFERROR(INDEX(Skill!$AJ:$AJ, MATCH(BW$4, Skill!$C:$C, 0), 1), "")</f>
        <v/>
      </c>
      <c r="BX15" s="94" t="str">
        <f t="array" ref="BX15">IFERROR(INDEX(Skill!$AJ:$AJ, MATCH(BX$4, Skill!$C:$C, 0), 1), "")</f>
        <v/>
      </c>
      <c r="BY15" s="94" t="str">
        <f t="array" ref="BY15">IFERROR(INDEX(Skill!$AJ:$AJ, MATCH(BY$4, Skill!$C:$C, 0), 1), "")</f>
        <v/>
      </c>
      <c r="BZ15" s="94" t="str">
        <f t="array" ref="BZ15">IFERROR(INDEX(Skill!$AJ:$AJ, MATCH(BZ$4, Skill!$C:$C, 0), 1), "")</f>
        <v/>
      </c>
      <c r="CA15" s="94" t="str">
        <f t="array" ref="CA15">IFERROR(INDEX(Skill!$AJ:$AJ, MATCH(CA$4, Skill!$C:$C, 0), 1), "")</f>
        <v/>
      </c>
      <c r="CB15" s="94" t="str">
        <f t="array" ref="CB15">IFERROR(INDEX(Skill!$AJ:$AJ, MATCH(CB$4, Skill!$C:$C, 0), 1), "")</f>
        <v/>
      </c>
      <c r="CC15" s="94" t="str">
        <f t="array" ref="CC15">IFERROR(INDEX(Skill!$AJ:$AJ, MATCH(CC$4, Skill!$C:$C, 0), 1), "")</f>
        <v/>
      </c>
      <c r="CD15" s="94" t="str">
        <f t="array" ref="CD15">IFERROR(INDEX(Skill!$AJ:$AJ, MATCH(CD$4, Skill!$C:$C, 0), 1), "")</f>
        <v/>
      </c>
      <c r="CE15" s="94" t="str">
        <f t="array" ref="CE15">IFERROR(INDEX(Skill!$AJ:$AJ, MATCH(CE$4, Skill!$C:$C, 0), 1), "")</f>
        <v/>
      </c>
      <c r="CF15" s="94" t="str">
        <f t="array" ref="CF15">IFERROR(INDEX(Skill!$AJ:$AJ, MATCH(CF$4, Skill!$C:$C, 0), 1), "")</f>
        <v/>
      </c>
      <c r="CG15" s="94" t="str">
        <f t="array" ref="CG15">IFERROR(INDEX(Skill!$AJ:$AJ, MATCH(CG$4, Skill!$C:$C, 0), 1), "")</f>
        <v/>
      </c>
      <c r="CH15" s="94" t="str">
        <f t="array" ref="CH15">IFERROR(INDEX(Skill!$AJ:$AJ, MATCH(CH$4, Skill!$C:$C, 0), 1), "")</f>
        <v/>
      </c>
      <c r="CI15" s="94" t="str">
        <f t="array" ref="CI15">IFERROR(INDEX(Skill!$AJ:$AJ, MATCH(CI$4, Skill!$C:$C, 0), 1), "")</f>
        <v/>
      </c>
      <c r="CJ15" s="94" t="str">
        <f t="array" ref="CJ15">IFERROR(INDEX(Skill!$AJ:$AJ, MATCH(CJ$4, Skill!$C:$C, 0), 1), "")</f>
        <v/>
      </c>
      <c r="CK15" s="94" t="str">
        <f t="array" ref="CK15">IFERROR(INDEX(Skill!$AJ:$AJ, MATCH(CK$4, Skill!$C:$C, 0), 1), "")</f>
        <v/>
      </c>
      <c r="CL15" s="94" t="str">
        <f t="array" ref="CL15">IFERROR(INDEX(Skill!$AJ:$AJ, MATCH(CL$4, Skill!$C:$C, 0), 1), "")</f>
        <v/>
      </c>
      <c r="CM15" s="94" t="str">
        <f t="array" ref="CM15">IFERROR(INDEX(Skill!$AJ:$AJ, MATCH(CM$4, Skill!$C:$C, 0), 1), "")</f>
        <v/>
      </c>
      <c r="CN15" s="94" t="str">
        <f t="array" ref="CN15">IFERROR(INDEX(Skill!$AJ:$AJ, MATCH(CN$4, Skill!$C:$C, 0), 1), "")</f>
        <v/>
      </c>
      <c r="CO15" s="94" t="str">
        <f t="array" ref="CO15">IFERROR(INDEX(Skill!$AJ:$AJ, MATCH(CO$4, Skill!$C:$C, 0), 1), "")</f>
        <v/>
      </c>
      <c r="CP15" s="94" t="str">
        <f t="array" ref="CP15">IFERROR(INDEX(Skill!$AJ:$AJ, MATCH(CP$4, Skill!$C:$C, 0), 1), "")</f>
        <v/>
      </c>
      <c r="CQ15" s="94" t="str">
        <f t="array" ref="CQ15">IFERROR(INDEX(Skill!$AJ:$AJ, MATCH(CQ$4, Skill!$C:$C, 0), 1), "")</f>
        <v/>
      </c>
      <c r="CR15" s="94" t="str">
        <f t="array" ref="CR15">IFERROR(INDEX(Skill!$AJ:$AJ, MATCH(CR$4, Skill!$C:$C, 0), 1), "")</f>
        <v/>
      </c>
      <c r="CS15" s="94" t="str">
        <f t="array" ref="CS15">IFERROR(INDEX(Skill!$AJ:$AJ, MATCH(CS$4, Skill!$C:$C, 0), 1), "")</f>
        <v/>
      </c>
      <c r="CT15" s="94" t="str">
        <f t="array" ref="CT15">IFERROR(INDEX(Skill!$AJ:$AJ, MATCH(CT$4, Skill!$C:$C, 0), 1), "")</f>
        <v/>
      </c>
      <c r="CU15" s="94" t="str">
        <f t="array" ref="CU15">IFERROR(INDEX(Skill!$AJ:$AJ, MATCH(CU$4, Skill!$C:$C, 0), 1), "")</f>
        <v/>
      </c>
      <c r="CV15" s="94" t="str">
        <f t="array" ref="CV15">IFERROR(INDEX(Skill!$AJ:$AJ, MATCH(CV$4, Skill!$C:$C, 0), 1), "")</f>
        <v/>
      </c>
      <c r="CW15" s="94" t="str">
        <f t="array" ref="CW15">IFERROR(INDEX(Skill!$AJ:$AJ, MATCH(CW$4, Skill!$C:$C, 0), 1), "")</f>
        <v/>
      </c>
      <c r="CX15" s="94" t="str">
        <f t="array" ref="CX15">IFERROR(INDEX(Skill!$AJ:$AJ, MATCH(CX$4, Skill!$C:$C, 0), 1), "")</f>
        <v/>
      </c>
      <c r="CY15" s="94" t="str">
        <f t="array" ref="CY15">IFERROR(INDEX(Skill!$AJ:$AJ, MATCH(CY$4, Skill!$C:$C, 0), 1), "")</f>
        <v/>
      </c>
      <c r="CZ15" s="94" t="str">
        <f t="array" ref="CZ15">IFERROR(INDEX(Skill!$AJ:$AJ, MATCH(CZ$4, Skill!$C:$C, 0), 1), "")</f>
        <v/>
      </c>
      <c r="DA15" s="94" t="str">
        <f t="array" ref="DA15">IFERROR(INDEX(Skill!$AJ:$AJ, MATCH(DA$4, Skill!$C:$C, 0), 1), "")</f>
        <v/>
      </c>
      <c r="DB15" s="94" t="str">
        <f t="array" ref="DB15">IFERROR(INDEX(Skill!$AJ:$AJ, MATCH(DB$4, Skill!$C:$C, 0), 1), "")</f>
        <v/>
      </c>
      <c r="DC15" s="94" t="str">
        <f t="array" ref="DC15">IFERROR(INDEX(Skill!$AJ:$AJ, MATCH(DC$4, Skill!$C:$C, 0), 1), "")</f>
        <v/>
      </c>
      <c r="DD15" s="94" t="str">
        <f t="array" ref="DD15">IFERROR(INDEX(Skill!$AJ:$AJ, MATCH(DD$4, Skill!$C:$C, 0), 1), "")</f>
        <v/>
      </c>
      <c r="DE15" s="94" t="str">
        <f t="array" ref="DE15">IFERROR(INDEX(Skill!$AJ:$AJ, MATCH(DE$4, Skill!$C:$C, 0), 1), "")</f>
        <v/>
      </c>
      <c r="DF15" s="94" t="str">
        <f t="array" ref="DF15">IFERROR(INDEX(Skill!$AJ:$AJ, MATCH(DF$4, Skill!$C:$C, 0), 1), "")</f>
        <v/>
      </c>
      <c r="DG15" s="94" t="str">
        <f t="array" ref="DG15">IFERROR(INDEX(Skill!$AJ:$AJ, MATCH(DG$4, Skill!$C:$C, 0), 1), "")</f>
        <v/>
      </c>
      <c r="DH15" s="94" t="str">
        <f t="array" ref="DH15">IFERROR(INDEX(Skill!$AJ:$AJ, MATCH(DH$4, Skill!$C:$C, 0), 1), "")</f>
        <v/>
      </c>
      <c r="DI15" s="94" t="str">
        <f t="array" ref="DI15">IFERROR(INDEX(Skill!$AJ:$AJ, MATCH(DI$4, Skill!$C:$C, 0), 1), "")</f>
        <v/>
      </c>
      <c r="DJ15" s="94" t="str">
        <f t="array" ref="DJ15">IFERROR(INDEX(Skill!$AJ:$AJ, MATCH(DJ$4, Skill!$C:$C, 0), 1), "")</f>
        <v/>
      </c>
      <c r="DK15" s="94" t="str">
        <f t="array" ref="DK15">IFERROR(INDEX(Skill!$AJ:$AJ, MATCH(DK$4, Skill!$C:$C, 0), 1), "")</f>
        <v/>
      </c>
      <c r="DL15" s="94" t="str">
        <f t="array" ref="DL15">IFERROR(INDEX(Skill!$AJ:$AJ, MATCH(DL$4, Skill!$C:$C, 0), 1), "")</f>
        <v/>
      </c>
      <c r="DM15" s="94" t="str">
        <f t="array" ref="DM15">IFERROR(INDEX(Skill!$AJ:$AJ, MATCH(DM$4, Skill!$C:$C, 0), 1), "")</f>
        <v/>
      </c>
      <c r="DN15" s="94" t="str">
        <f t="array" ref="DN15">IFERROR(INDEX(Skill!$AJ:$AJ, MATCH(DN$4, Skill!$C:$C, 0), 1), "")</f>
        <v/>
      </c>
      <c r="DO15" s="94" t="str">
        <f t="array" ref="DO15">IFERROR(INDEX(Skill!$AJ:$AJ, MATCH(DO$4, Skill!$C:$C, 0), 1), "")</f>
        <v/>
      </c>
      <c r="DP15" s="94" t="str">
        <f t="array" ref="DP15">IFERROR(INDEX(Skill!$AJ:$AJ, MATCH(DP$4, Skill!$C:$C, 0), 1), "")</f>
        <v/>
      </c>
      <c r="DQ15" s="94" t="str">
        <f t="array" ref="DQ15">IFERROR(INDEX(Skill!$AJ:$AJ, MATCH(DQ$4, Skill!$C:$C, 0), 1), "")</f>
        <v/>
      </c>
      <c r="DR15" s="94" t="str">
        <f t="array" ref="DR15">IFERROR(INDEX(Skill!$AJ:$AJ, MATCH(DR$4, Skill!$C:$C, 0), 1), "")</f>
        <v/>
      </c>
      <c r="DS15" s="94" t="str">
        <f t="array" ref="DS15">IFERROR(INDEX(Skill!$AJ:$AJ, MATCH(DS$4, Skill!$C:$C, 0), 1), "")</f>
        <v/>
      </c>
      <c r="DT15" s="94" t="str">
        <f t="array" ref="DT15">IFERROR(INDEX(Skill!$AJ:$AJ, MATCH(DT$4, Skill!$C:$C, 0), 1), "")</f>
        <v/>
      </c>
      <c r="DU15" s="94" t="str">
        <f t="array" ref="DU15">IFERROR(INDEX(Skill!$AJ:$AJ, MATCH(DU$4, Skill!$C:$C, 0), 1), "")</f>
        <v/>
      </c>
      <c r="DV15" s="94">
        <f t="array" ref="DV15">IFERROR(INDEX(Skill!$AJ:$AJ, MATCH(DV$4, Skill!$C:$C, 0), 1), "")</f>
        <v>0.05</v>
      </c>
      <c r="DW15" s="94" t="str">
        <f t="array" ref="DW15">IFERROR(INDEX(Skill!$AJ:$AJ, MATCH(DW$4, Skill!$C:$C, 0), 1), "")</f>
        <v/>
      </c>
      <c r="DX15" s="94" t="str">
        <f t="array" ref="DX15">IFERROR(INDEX(Skill!$AJ:$AJ, MATCH(DX$4, Skill!$C:$C, 0), 1), "")</f>
        <v/>
      </c>
      <c r="DY15" s="94" t="str">
        <f t="array" ref="DY15">IFERROR(INDEX(Skill!$AJ:$AJ, MATCH(DY$4, Skill!$C:$C, 0), 1), "")</f>
        <v/>
      </c>
      <c r="DZ15" s="94" t="str">
        <f t="array" ref="DZ15">IFERROR(INDEX(Skill!$AJ:$AJ, MATCH(DZ$4, Skill!$C:$C, 0), 1), "")</f>
        <v/>
      </c>
      <c r="EA15" s="89" t="str">
        <f t="array" ref="EA15">IFERROR(INDEX(Skill!$AJ:$AJ, MATCH(EA$4, Skill!$C:$C, 0), 1), "")</f>
        <v/>
      </c>
      <c r="EB15" s="89" t="str">
        <f t="array" ref="EB15">IFERROR(INDEX(Skill!$AJ:$AJ, MATCH(EB$4, Skill!$C:$C, 0), 1), "")</f>
        <v/>
      </c>
      <c r="EC15" s="89">
        <f t="array" ref="EC15">IFERROR(INDEX(Skill!$AJ:$AJ, MATCH(EC$4, Skill!$C:$C, 0), 1), "")</f>
        <v>0.1</v>
      </c>
      <c r="ED15" s="94" t="str">
        <f t="array" ref="ED15">IFERROR(INDEX(Skill!$AJ:$AJ, MATCH(ED$4, Skill!$C:$C, 0), 1), "")</f>
        <v/>
      </c>
      <c r="EE15" s="97"/>
      <c r="EF15" s="97"/>
      <c r="EG15" s="97"/>
      <c r="EH15" s="97"/>
      <c r="EI15" s="97"/>
      <c r="EJ15" s="97"/>
      <c r="EK15" s="97"/>
      <c r="EL15" s="97"/>
      <c r="EM15" s="97"/>
      <c r="EN15" s="97"/>
      <c r="EO15" s="97"/>
      <c r="EP15" s="97"/>
      <c r="EQ15" s="97"/>
      <c r="ER15" s="100"/>
      <c r="ES15" s="100"/>
      <c r="ET15" s="100"/>
      <c r="EU15" s="101"/>
      <c r="EV15" s="101"/>
      <c r="EW15" s="101"/>
      <c r="EX15" s="101"/>
      <c r="EY15" s="101"/>
      <c r="EZ15" s="101"/>
      <c r="FA15" s="101"/>
      <c r="FB15" s="101"/>
      <c r="FC15" s="101"/>
      <c r="FD15" s="101"/>
      <c r="FE15" s="101"/>
      <c r="FF15" s="101"/>
      <c r="FG15" s="101"/>
      <c r="FH15" s="101"/>
      <c r="FI15" s="101"/>
      <c r="FJ15" s="101"/>
      <c r="FK15" s="101"/>
      <c r="FL15" s="101"/>
      <c r="FM15" s="101"/>
      <c r="FN15" s="101"/>
      <c r="FO15" s="99"/>
    </row>
    <row r="16" hidden="1">
      <c r="B16" s="84"/>
      <c r="C16" s="83"/>
      <c r="D16" s="83"/>
      <c r="E16" s="84" t="s">
        <v>1043</v>
      </c>
      <c r="F16" s="84"/>
      <c r="G16" s="84"/>
      <c r="H16" s="84"/>
      <c r="I16" s="84"/>
      <c r="J16" s="84"/>
      <c r="K16" s="94" t="str">
        <f t="array" ref="K16">IFERROR(INDEX(Skill!$AP:$AP, MATCH(K$4, Skill!$C:$C, 0), 1), "")</f>
        <v/>
      </c>
      <c r="L16" s="94" t="str">
        <f t="array" ref="L16">IFERROR(INDEX(Skill!$AP:$AP, MATCH(L$4, Skill!$C:$C, 0), 1), "")</f>
        <v/>
      </c>
      <c r="M16" s="94" t="str">
        <f t="array" ref="M16">IFERROR(INDEX(Skill!$AP:$AP, MATCH(M$4, Skill!$C:$C, 0), 1), "")</f>
        <v/>
      </c>
      <c r="N16" s="94" t="str">
        <f t="array" ref="N16">IFERROR(INDEX(Skill!$AP:$AP, MATCH(N$4, Skill!$C:$C, 0), 1), "")</f>
        <v/>
      </c>
      <c r="O16" s="94" t="str">
        <f t="array" ref="O16">IFERROR(INDEX(Skill!$AP:$AP, MATCH(O$4, Skill!$C:$C, 0), 1), "")</f>
        <v/>
      </c>
      <c r="P16" s="94" t="str">
        <f t="array" ref="P16">IFERROR(INDEX(Skill!$AP:$AP, MATCH(P$4, Skill!$C:$C, 0), 1), "")</f>
        <v/>
      </c>
      <c r="Q16" s="94">
        <f t="array" ref="Q16">IFERROR(INDEX(Skill!$AP:$AP, MATCH(Q$4, Skill!$C:$C, 0), 1), "")</f>
        <v>1000</v>
      </c>
      <c r="R16" s="94" t="str">
        <f t="array" ref="R16">IFERROR(INDEX(Skill!$AP:$AP, MATCH(R$4, Skill!$C:$C, 0), 1), "")</f>
        <v/>
      </c>
      <c r="S16" s="94" t="str">
        <f t="array" ref="S16">IFERROR(INDEX(Skill!$AP:$AP, MATCH(S$4, Skill!$C:$C, 0), 1), "")</f>
        <v/>
      </c>
      <c r="T16" s="94" t="str">
        <f t="array" ref="T16">IFERROR(INDEX(Skill!$AP:$AP, MATCH(T$4, Skill!$C:$C, 0), 1), "")</f>
        <v/>
      </c>
      <c r="U16" s="94" t="str">
        <f t="array" ref="U16">IFERROR(INDEX(Skill!$AP:$AP, MATCH(U$4, Skill!$C:$C, 0), 1), "")</f>
        <v/>
      </c>
      <c r="V16" s="94" t="str">
        <f t="array" ref="V16">IFERROR(INDEX(Skill!$AP:$AP, MATCH(V$4, Skill!$C:$C, 0), 1), "")</f>
        <v/>
      </c>
      <c r="W16" s="94" t="str">
        <f t="array" ref="W16">IFERROR(INDEX(Skill!$AP:$AP, MATCH(W$4, Skill!$C:$C, 0), 1), "")</f>
        <v/>
      </c>
      <c r="X16" s="94" t="str">
        <f t="array" ref="X16">IFERROR(INDEX(Skill!$AP:$AP, MATCH(X$4, Skill!$C:$C, 0), 1), "")</f>
        <v/>
      </c>
      <c r="Y16" s="94" t="str">
        <f t="array" ref="Y16">IFERROR(INDEX(Skill!$AP:$AP, MATCH(Y$4, Skill!$C:$C, 0), 1), "")</f>
        <v/>
      </c>
      <c r="Z16" s="94" t="str">
        <f t="array" ref="Z16">IFERROR(INDEX(Skill!$AP:$AP, MATCH(Z$4, Skill!$C:$C, 0), 1), "")</f>
        <v/>
      </c>
      <c r="AA16" s="94" t="str">
        <f t="array" ref="AA16">IFERROR(INDEX(Skill!$AP:$AP, MATCH(AA$4, Skill!$C:$C, 0), 1), "")</f>
        <v/>
      </c>
      <c r="AB16" s="94" t="str">
        <f t="array" ref="AB16">IFERROR(INDEX(Skill!$AP:$AP, MATCH(AB$4, Skill!$C:$C, 0), 1), "")</f>
        <v/>
      </c>
      <c r="AC16" s="94" t="str">
        <f t="array" ref="AC16">IFERROR(INDEX(Skill!$AP:$AP, MATCH(AC$4, Skill!$C:$C, 0), 1), "")</f>
        <v/>
      </c>
      <c r="AD16" s="94" t="str">
        <f t="array" ref="AD16">IFERROR(INDEX(Skill!$AP:$AP, MATCH(AD$4, Skill!$C:$C, 0), 1), "")</f>
        <v/>
      </c>
      <c r="AE16" s="94" t="str">
        <f t="array" ref="AE16">IFERROR(INDEX(Skill!$AP:$AP, MATCH(AE$4, Skill!$C:$C, 0), 1), "")</f>
        <v/>
      </c>
      <c r="AF16" s="94" t="str">
        <f t="array" ref="AF16">IFERROR(INDEX(Skill!$AP:$AP, MATCH(AF$4, Skill!$C:$C, 0), 1), "")</f>
        <v/>
      </c>
      <c r="AG16" s="94" t="str">
        <f t="array" ref="AG16">IFERROR(INDEX(Skill!$AP:$AP, MATCH(AG$4, Skill!$C:$C, 0), 1), "")</f>
        <v/>
      </c>
      <c r="AH16" s="94" t="str">
        <f t="array" ref="AH16">IFERROR(INDEX(Skill!$AP:$AP, MATCH(AH$4, Skill!$C:$C, 0), 1), "")</f>
        <v/>
      </c>
      <c r="AI16" s="94" t="str">
        <f t="array" ref="AI16">IFERROR(INDEX(Skill!$AP:$AP, MATCH(AI$4, Skill!$C:$C, 0), 1), "")</f>
        <v/>
      </c>
      <c r="AJ16" s="94" t="str">
        <f t="array" ref="AJ16">IFERROR(INDEX(Skill!$AP:$AP, MATCH(AJ$4, Skill!$C:$C, 0), 1), "")</f>
        <v/>
      </c>
      <c r="AK16" s="94" t="str">
        <f t="array" ref="AK16">IFERROR(INDEX(Skill!$AP:$AP, MATCH(AK$4, Skill!$C:$C, 0), 1), "")</f>
        <v/>
      </c>
      <c r="AL16" s="94" t="str">
        <f t="array" ref="AL16">IFERROR(INDEX(Skill!$AP:$AP, MATCH(AL$4, Skill!$C:$C, 0), 1), "")</f>
        <v/>
      </c>
      <c r="AM16" s="94" t="str">
        <f t="array" ref="AM16">IFERROR(INDEX(Skill!$AP:$AP, MATCH(AM$4, Skill!$C:$C, 0), 1), "")</f>
        <v/>
      </c>
      <c r="AN16" s="94" t="str">
        <f t="array" ref="AN16">IFERROR(INDEX(Skill!$AP:$AP, MATCH(AN$4, Skill!$C:$C, 0), 1), "")</f>
        <v/>
      </c>
      <c r="AO16" s="94" t="str">
        <f t="array" ref="AO16">IFERROR(INDEX(Skill!$AP:$AP, MATCH(AO$4, Skill!$C:$C, 0), 1), "")</f>
        <v/>
      </c>
      <c r="AP16" s="94" t="str">
        <f t="array" ref="AP16">IFERROR(INDEX(Skill!$AP:$AP, MATCH(AP$4, Skill!$C:$C, 0), 1), "")</f>
        <v/>
      </c>
      <c r="AQ16" s="94" t="str">
        <f t="array" ref="AQ16">IFERROR(INDEX(Skill!$AP:$AP, MATCH(AQ$4, Skill!$C:$C, 0), 1), "")</f>
        <v/>
      </c>
      <c r="AR16" s="94" t="str">
        <f t="array" ref="AR16">IFERROR(INDEX(Skill!$AP:$AP, MATCH(AR$4, Skill!$C:$C, 0), 1), "")</f>
        <v/>
      </c>
      <c r="AS16" s="94" t="str">
        <f t="array" ref="AS16">IFERROR(INDEX(Skill!$AP:$AP, MATCH(AS$4, Skill!$C:$C, 0), 1), "")</f>
        <v/>
      </c>
      <c r="AT16" s="94">
        <f t="array" ref="AT16">IFERROR(INDEX(Skill!$AP:$AP, MATCH(AT$4, Skill!$C:$C, 0), 1), "")</f>
        <v>400</v>
      </c>
      <c r="AU16" s="94" t="str">
        <f t="array" ref="AU16">IFERROR(INDEX(Skill!$AP:$AP, MATCH(AU$4, Skill!$C:$C, 0), 1), "")</f>
        <v/>
      </c>
      <c r="AV16" s="94" t="str">
        <f t="array" ref="AV16">IFERROR(INDEX(Skill!$AP:$AP, MATCH(AV$4, Skill!$C:$C, 0), 1), "")</f>
        <v/>
      </c>
      <c r="AW16" s="94" t="str">
        <f t="array" ref="AW16">IFERROR(INDEX(Skill!$AP:$AP, MATCH(AW$4, Skill!$C:$C, 0), 1), "")</f>
        <v/>
      </c>
      <c r="AX16" s="94" t="str">
        <f t="array" ref="AX16">IFERROR(INDEX(Skill!$AP:$AP, MATCH(AX$4, Skill!$C:$C, 0), 1), "")</f>
        <v/>
      </c>
      <c r="AY16" s="94" t="str">
        <f t="array" ref="AY16">IFERROR(INDEX(Skill!$AP:$AP, MATCH(AY$4, Skill!$C:$C, 0), 1), "")</f>
        <v/>
      </c>
      <c r="AZ16" s="94">
        <f t="array" ref="AZ16">IFERROR(INDEX(Skill!$AP:$AP, MATCH(AZ$4, Skill!$C:$C, 0), 1), "")</f>
        <v>500</v>
      </c>
      <c r="BA16" s="94" t="str">
        <f t="array" ref="BA16">IFERROR(INDEX(Skill!$AP:$AP, MATCH(BA$4, Skill!$C:$C, 0), 1), "")</f>
        <v/>
      </c>
      <c r="BB16" s="94" t="str">
        <f t="array" ref="BB16">IFERROR(INDEX(Skill!$AP:$AP, MATCH(BB$4, Skill!$C:$C, 0), 1), "")</f>
        <v/>
      </c>
      <c r="BC16" s="94" t="str">
        <f t="array" ref="BC16">IFERROR(INDEX(Skill!$AP:$AP, MATCH(BC$4, Skill!$C:$C, 0), 1), "")</f>
        <v/>
      </c>
      <c r="BD16" s="94" t="str">
        <f t="array" ref="BD16">IFERROR(INDEX(Skill!$AP:$AP, MATCH(BD$4, Skill!$C:$C, 0), 1), "")</f>
        <v/>
      </c>
      <c r="BE16" s="94" t="str">
        <f t="array" ref="BE16">IFERROR(INDEX(Skill!$AP:$AP, MATCH(BE$4, Skill!$C:$C, 0), 1), "")</f>
        <v/>
      </c>
      <c r="BF16" s="94" t="str">
        <f t="array" ref="BF16">IFERROR(INDEX(Skill!$AP:$AP, MATCH(BF$4, Skill!$C:$C, 0), 1), "")</f>
        <v/>
      </c>
      <c r="BG16" s="94" t="str">
        <f t="array" ref="BG16">IFERROR(INDEX(Skill!$AP:$AP, MATCH(BG$4, Skill!$C:$C, 0), 1), "")</f>
        <v/>
      </c>
      <c r="BH16" s="94" t="str">
        <f t="array" ref="BH16">IFERROR(INDEX(Skill!$AP:$AP, MATCH(BH$4, Skill!$C:$C, 0), 1), "")</f>
        <v/>
      </c>
      <c r="BI16" s="94" t="str">
        <f t="array" ref="BI16">IFERROR(INDEX(Skill!$AP:$AP, MATCH(BI$4, Skill!$C:$C, 0), 1), "")</f>
        <v/>
      </c>
      <c r="BJ16" s="94" t="str">
        <f t="array" ref="BJ16">IFERROR(INDEX(Skill!$AP:$AP, MATCH(BJ$4, Skill!$C:$C, 0), 1), "")</f>
        <v/>
      </c>
      <c r="BK16" s="94" t="str">
        <f t="array" ref="BK16">IFERROR(INDEX(Skill!$AP:$AP, MATCH(BK$4, Skill!$C:$C, 0), 1), "")</f>
        <v/>
      </c>
      <c r="BL16" s="94" t="str">
        <f t="array" ref="BL16">IFERROR(INDEX(Skill!$AP:$AP, MATCH(BL$4, Skill!$C:$C, 0), 1), "")</f>
        <v/>
      </c>
      <c r="BM16" s="94" t="str">
        <f t="array" ref="BM16">IFERROR(INDEX(Skill!$AP:$AP, MATCH(BM$4, Skill!$C:$C, 0), 1), "")</f>
        <v/>
      </c>
      <c r="BN16" s="94" t="str">
        <f t="array" ref="BN16">IFERROR(INDEX(Skill!$AP:$AP, MATCH(BN$4, Skill!$C:$C, 0), 1), "")</f>
        <v/>
      </c>
      <c r="BO16" s="94" t="str">
        <f t="array" ref="BO16">IFERROR(INDEX(Skill!$AP:$AP, MATCH(BO$4, Skill!$C:$C, 0), 1), "")</f>
        <v/>
      </c>
      <c r="BP16" s="94">
        <f t="array" ref="BP16">IFERROR(INDEX(Skill!$AP:$AP, MATCH(BP$4, Skill!$C:$C, 0), 1), "")</f>
        <v>400</v>
      </c>
      <c r="BQ16" s="94" t="str">
        <f t="array" ref="BQ16">IFERROR(INDEX(Skill!$AP:$AP, MATCH(BQ$4, Skill!$C:$C, 0), 1), "")</f>
        <v/>
      </c>
      <c r="BR16" s="94" t="str">
        <f t="array" ref="BR16">IFERROR(INDEX(Skill!$AP:$AP, MATCH(BR$4, Skill!$C:$C, 0), 1), "")</f>
        <v/>
      </c>
      <c r="BS16" s="94" t="str">
        <f t="array" ref="BS16">IFERROR(INDEX(Skill!$AP:$AP, MATCH(BS$4, Skill!$C:$C, 0), 1), "")</f>
        <v/>
      </c>
      <c r="BT16" s="94" t="str">
        <f t="array" ref="BT16">IFERROR(INDEX(Skill!$AP:$AP, MATCH(BT$4, Skill!$C:$C, 0), 1), "")</f>
        <v/>
      </c>
      <c r="BU16" s="94" t="str">
        <f t="array" ref="BU16">IFERROR(INDEX(Skill!$AP:$AP, MATCH(BU$4, Skill!$C:$C, 0), 1), "")</f>
        <v/>
      </c>
      <c r="BV16" s="94">
        <f t="array" ref="BV16">IFERROR(INDEX(Skill!$AP:$AP, MATCH(BV$4, Skill!$C:$C, 0), 1), "")</f>
        <v>400</v>
      </c>
      <c r="BW16" s="94" t="str">
        <f t="array" ref="BW16">IFERROR(INDEX(Skill!$AP:$AP, MATCH(BW$4, Skill!$C:$C, 0), 1), "")</f>
        <v/>
      </c>
      <c r="BX16" s="94" t="str">
        <f t="array" ref="BX16">IFERROR(INDEX(Skill!$AP:$AP, MATCH(BX$4, Skill!$C:$C, 0), 1), "")</f>
        <v/>
      </c>
      <c r="BY16" s="94" t="str">
        <f t="array" ref="BY16">IFERROR(INDEX(Skill!$AP:$AP, MATCH(BY$4, Skill!$C:$C, 0), 1), "")</f>
        <v/>
      </c>
      <c r="BZ16" s="94" t="str">
        <f t="array" ref="BZ16">IFERROR(INDEX(Skill!$AP:$AP, MATCH(BZ$4, Skill!$C:$C, 0), 1), "")</f>
        <v/>
      </c>
      <c r="CA16" s="94" t="str">
        <f t="array" ref="CA16">IFERROR(INDEX(Skill!$AP:$AP, MATCH(CA$4, Skill!$C:$C, 0), 1), "")</f>
        <v/>
      </c>
      <c r="CB16" s="94" t="str">
        <f t="array" ref="CB16">IFERROR(INDEX(Skill!$AP:$AP, MATCH(CB$4, Skill!$C:$C, 0), 1), "")</f>
        <v/>
      </c>
      <c r="CC16" s="94">
        <f t="array" ref="CC16">IFERROR(INDEX(Skill!$AP:$AP, MATCH(CC$4, Skill!$C:$C, 0), 1), "")</f>
        <v>360</v>
      </c>
      <c r="CD16" s="94" t="str">
        <f t="array" ref="CD16">IFERROR(INDEX(Skill!$AP:$AP, MATCH(CD$4, Skill!$C:$C, 0), 1), "")</f>
        <v/>
      </c>
      <c r="CE16" s="94" t="str">
        <f t="array" ref="CE16">IFERROR(INDEX(Skill!$AP:$AP, MATCH(CE$4, Skill!$C:$C, 0), 1), "")</f>
        <v/>
      </c>
      <c r="CF16" s="94" t="str">
        <f t="array" ref="CF16">IFERROR(INDEX(Skill!$AP:$AP, MATCH(CF$4, Skill!$C:$C, 0), 1), "")</f>
        <v/>
      </c>
      <c r="CG16" s="94" t="str">
        <f t="array" ref="CG16">IFERROR(INDEX(Skill!$AP:$AP, MATCH(CG$4, Skill!$C:$C, 0), 1), "")</f>
        <v/>
      </c>
      <c r="CH16" s="94">
        <f t="array" ref="CH16">IFERROR(INDEX(Skill!$AP:$AP, MATCH(CH$4, Skill!$C:$C, 0), 1), "")</f>
        <v>162.5</v>
      </c>
      <c r="CI16" s="94" t="str">
        <f t="array" ref="CI16">IFERROR(INDEX(Skill!$AP:$AP, MATCH(CI$4, Skill!$C:$C, 0), 1), "")</f>
        <v/>
      </c>
      <c r="CJ16" s="94" t="str">
        <f t="array" ref="CJ16">IFERROR(INDEX(Skill!$AP:$AP, MATCH(CJ$4, Skill!$C:$C, 0), 1), "")</f>
        <v/>
      </c>
      <c r="CK16" s="94" t="str">
        <f t="array" ref="CK16">IFERROR(INDEX(Skill!$AP:$AP, MATCH(CK$4, Skill!$C:$C, 0), 1), "")</f>
        <v/>
      </c>
      <c r="CL16" s="94">
        <f t="array" ref="CL16">IFERROR(INDEX(Skill!$AP:$AP, MATCH(CL$4, Skill!$C:$C, 0), 1), "")</f>
        <v>432</v>
      </c>
      <c r="CM16" s="94">
        <f t="array" ref="CM16">IFERROR(INDEX(Skill!$AP:$AP, MATCH(CM$4, Skill!$C:$C, 0), 1), "")</f>
        <v>648</v>
      </c>
      <c r="CN16" s="94" t="str">
        <f t="array" ref="CN16">IFERROR(INDEX(Skill!$AP:$AP, MATCH(CN$4, Skill!$C:$C, 0), 1), "")</f>
        <v/>
      </c>
      <c r="CO16" s="94" t="str">
        <f t="array" ref="CO16">IFERROR(INDEX(Skill!$AP:$AP, MATCH(CO$4, Skill!$C:$C, 0), 1), "")</f>
        <v/>
      </c>
      <c r="CP16" s="94">
        <f t="array" ref="CP16">IFERROR(INDEX(Skill!$AP:$AP, MATCH(CP$4, Skill!$C:$C, 0), 1), "")</f>
        <v>540</v>
      </c>
      <c r="CQ16" s="94" t="str">
        <f t="array" ref="CQ16">IFERROR(INDEX(Skill!$AP:$AP, MATCH(CQ$4, Skill!$C:$C, 0), 1), "")</f>
        <v/>
      </c>
      <c r="CR16" s="94" t="str">
        <f t="array" ref="CR16">IFERROR(INDEX(Skill!$AP:$AP, MATCH(CR$4, Skill!$C:$C, 0), 1), "")</f>
        <v/>
      </c>
      <c r="CS16" s="94" t="str">
        <f t="array" ref="CS16">IFERROR(INDEX(Skill!$AP:$AP, MATCH(CS$4, Skill!$C:$C, 0), 1), "")</f>
        <v/>
      </c>
      <c r="CT16" s="94">
        <f t="array" ref="CT16">IFERROR(INDEX(Skill!$AP:$AP, MATCH(CT$4, Skill!$C:$C, 0), 1), "")</f>
        <v>300</v>
      </c>
      <c r="CU16" s="94" t="str">
        <f t="array" ref="CU16">IFERROR(INDEX(Skill!$AP:$AP, MATCH(CU$4, Skill!$C:$C, 0), 1), "")</f>
        <v/>
      </c>
      <c r="CV16" s="94">
        <f t="array" ref="CV16">IFERROR(INDEX(Skill!$AP:$AP, MATCH(CV$4, Skill!$C:$C, 0), 1), "")</f>
        <v>360</v>
      </c>
      <c r="CW16" s="94">
        <f t="array" ref="CW16">IFERROR(INDEX(Skill!$AP:$AP, MATCH(CW$4, Skill!$C:$C, 0), 1), "")</f>
        <v>200</v>
      </c>
      <c r="CX16" s="94" t="str">
        <f t="array" ref="CX16">IFERROR(INDEX(Skill!$AP:$AP, MATCH(CX$4, Skill!$C:$C, 0), 1), "")</f>
        <v/>
      </c>
      <c r="CY16" s="94" t="str">
        <f t="array" ref="CY16">IFERROR(INDEX(Skill!$AP:$AP, MATCH(CY$4, Skill!$C:$C, 0), 1), "")</f>
        <v/>
      </c>
      <c r="CZ16" s="94" t="str">
        <f t="array" ref="CZ16">IFERROR(INDEX(Skill!$AP:$AP, MATCH(CZ$4, Skill!$C:$C, 0), 1), "")</f>
        <v/>
      </c>
      <c r="DA16" s="94" t="str">
        <f t="array" ref="DA16">IFERROR(INDEX(Skill!$AP:$AP, MATCH(DA$4, Skill!$C:$C, 0), 1), "")</f>
        <v/>
      </c>
      <c r="DB16" s="94" t="str">
        <f t="array" ref="DB16">IFERROR(INDEX(Skill!$AP:$AP, MATCH(DB$4, Skill!$C:$C, 0), 1), "")</f>
        <v/>
      </c>
      <c r="DC16" s="94" t="str">
        <f t="array" ref="DC16">IFERROR(INDEX(Skill!$AP:$AP, MATCH(DC$4, Skill!$C:$C, 0), 1), "")</f>
        <v/>
      </c>
      <c r="DD16" s="94" t="str">
        <f t="array" ref="DD16">IFERROR(INDEX(Skill!$AP:$AP, MATCH(DD$4, Skill!$C:$C, 0), 1), "")</f>
        <v/>
      </c>
      <c r="DE16" s="94" t="str">
        <f t="array" ref="DE16">IFERROR(INDEX(Skill!$AP:$AP, MATCH(DE$4, Skill!$C:$C, 0), 1), "")</f>
        <v/>
      </c>
      <c r="DF16" s="94">
        <f t="array" ref="DF16">IFERROR(INDEX(Skill!$AP:$AP, MATCH(DF$4, Skill!$C:$C, 0), 1), "")</f>
        <v>540</v>
      </c>
      <c r="DG16" s="94">
        <f t="array" ref="DG16">IFERROR(INDEX(Skill!$AP:$AP, MATCH(DG$4, Skill!$C:$C, 0), 1), "")</f>
        <v>300</v>
      </c>
      <c r="DH16" s="94" t="str">
        <f t="array" ref="DH16">IFERROR(INDEX(Skill!$AP:$AP, MATCH(DH$4, Skill!$C:$C, 0), 1), "")</f>
        <v/>
      </c>
      <c r="DI16" s="94" t="str">
        <f t="array" ref="DI16">IFERROR(INDEX(Skill!$AP:$AP, MATCH(DI$4, Skill!$C:$C, 0), 1), "")</f>
        <v/>
      </c>
      <c r="DJ16" s="94" t="str">
        <f t="array" ref="DJ16">IFERROR(INDEX(Skill!$AP:$AP, MATCH(DJ$4, Skill!$C:$C, 0), 1), "")</f>
        <v/>
      </c>
      <c r="DK16" s="94" t="str">
        <f t="array" ref="DK16">IFERROR(INDEX(Skill!$AP:$AP, MATCH(DK$4, Skill!$C:$C, 0), 1), "")</f>
        <v/>
      </c>
      <c r="DL16" s="94" t="str">
        <f t="array" ref="DL16">IFERROR(INDEX(Skill!$AP:$AP, MATCH(DL$4, Skill!$C:$C, 0), 1), "")</f>
        <v/>
      </c>
      <c r="DM16" s="94" t="str">
        <f t="array" ref="DM16">IFERROR(INDEX(Skill!$AP:$AP, MATCH(DM$4, Skill!$C:$C, 0), 1), "")</f>
        <v/>
      </c>
      <c r="DN16" s="94" t="str">
        <f t="array" ref="DN16">IFERROR(INDEX(Skill!$AP:$AP, MATCH(DN$4, Skill!$C:$C, 0), 1), "")</f>
        <v/>
      </c>
      <c r="DO16" s="94" t="str">
        <f t="array" ref="DO16">IFERROR(INDEX(Skill!$AP:$AP, MATCH(DO$4, Skill!$C:$C, 0), 1), "")</f>
        <v/>
      </c>
      <c r="DP16" s="94" t="str">
        <f t="array" ref="DP16">IFERROR(INDEX(Skill!$AP:$AP, MATCH(DP$4, Skill!$C:$C, 0), 1), "")</f>
        <v/>
      </c>
      <c r="DQ16" s="94" t="str">
        <f t="array" ref="DQ16">IFERROR(INDEX(Skill!$AP:$AP, MATCH(DQ$4, Skill!$C:$C, 0), 1), "")</f>
        <v/>
      </c>
      <c r="DR16" s="94" t="str">
        <f t="array" ref="DR16">IFERROR(INDEX(Skill!$AP:$AP, MATCH(DR$4, Skill!$C:$C, 0), 1), "")</f>
        <v/>
      </c>
      <c r="DS16" s="94" t="str">
        <f t="array" ref="DS16">IFERROR(INDEX(Skill!$AP:$AP, MATCH(DS$4, Skill!$C:$C, 0), 1), "")</f>
        <v/>
      </c>
      <c r="DT16" s="94" t="str">
        <f t="array" ref="DT16">IFERROR(INDEX(Skill!$AP:$AP, MATCH(DT$4, Skill!$C:$C, 0), 1), "")</f>
        <v/>
      </c>
      <c r="DU16" s="94" t="str">
        <f t="array" ref="DU16">IFERROR(INDEX(Skill!$AP:$AP, MATCH(DU$4, Skill!$C:$C, 0), 1), "")</f>
        <v/>
      </c>
      <c r="DV16" s="94" t="str">
        <f t="array" ref="DV16">IFERROR(INDEX(Skill!$AP:$AP, MATCH(DV$4, Skill!$C:$C, 0), 1), "")</f>
        <v/>
      </c>
      <c r="DW16" s="94" t="str">
        <f t="array" ref="DW16">IFERROR(INDEX(Skill!$AP:$AP, MATCH(DW$4, Skill!$C:$C, 0), 1), "")</f>
        <v/>
      </c>
      <c r="DX16" s="94" t="str">
        <f t="array" ref="DX16">IFERROR(INDEX(Skill!$AP:$AP, MATCH(DX$4, Skill!$C:$C, 0), 1), "")</f>
        <v/>
      </c>
      <c r="DY16" s="94" t="str">
        <f t="array" ref="DY16">IFERROR(INDEX(Skill!$AP:$AP, MATCH(DY$4, Skill!$C:$C, 0), 1), "")</f>
        <v/>
      </c>
      <c r="DZ16" s="94" t="str">
        <f t="array" ref="DZ16">IFERROR(INDEX(Skill!$AP:$AP, MATCH(DZ$4, Skill!$C:$C, 0), 1), "")</f>
        <v/>
      </c>
      <c r="EA16" s="89" t="str">
        <f t="array" ref="EA16">IFERROR(INDEX(Skill!$AP:$AP, MATCH(EA$4, Skill!$C:$C, 0), 1), "")</f>
        <v/>
      </c>
      <c r="EB16" s="89" t="str">
        <f t="array" ref="EB16">IFERROR(INDEX(Skill!$AP:$AP, MATCH(EB$4, Skill!$C:$C, 0), 1), "")</f>
        <v/>
      </c>
      <c r="EC16" s="89" t="str">
        <f t="array" ref="EC16">IFERROR(INDEX(Skill!$AP:$AP, MATCH(EC$4, Skill!$C:$C, 0), 1), "")</f>
        <v/>
      </c>
      <c r="ED16" s="94" t="str">
        <f t="array" ref="ED16">IFERROR(INDEX(Skill!$AP:$AP, MATCH(ED$4, Skill!$C:$C, 0), 1), "")</f>
        <v/>
      </c>
      <c r="EE16" s="102"/>
      <c r="EF16" s="102"/>
      <c r="EG16" s="102"/>
      <c r="EH16" s="102"/>
      <c r="EI16" s="102"/>
      <c r="EJ16" s="102"/>
      <c r="EK16" s="102"/>
      <c r="EL16" s="102"/>
      <c r="EM16" s="102"/>
      <c r="EN16" s="102"/>
      <c r="EO16" s="102"/>
      <c r="EP16" s="102"/>
      <c r="EQ16" s="102"/>
      <c r="ER16" s="103"/>
      <c r="ES16" s="103"/>
      <c r="ET16" s="103"/>
      <c r="EU16" s="76"/>
      <c r="EV16" s="76"/>
      <c r="EW16" s="76"/>
      <c r="EX16" s="76"/>
      <c r="EY16" s="76"/>
      <c r="EZ16" s="76"/>
      <c r="FA16" s="76"/>
      <c r="FB16" s="76"/>
      <c r="FC16" s="76"/>
      <c r="FD16" s="76"/>
      <c r="FE16" s="76"/>
      <c r="FF16" s="76"/>
      <c r="FG16" s="76"/>
      <c r="FH16" s="76"/>
      <c r="FI16" s="76"/>
      <c r="FJ16" s="76"/>
      <c r="FK16" s="76"/>
      <c r="FL16" s="76"/>
      <c r="FM16" s="76"/>
      <c r="FN16" s="76"/>
      <c r="FO16" s="91"/>
    </row>
    <row r="17" hidden="1">
      <c r="B17" s="84"/>
      <c r="C17" s="83"/>
      <c r="D17" s="83"/>
      <c r="E17" s="104" t="s">
        <v>16</v>
      </c>
      <c r="F17" s="84"/>
      <c r="G17" s="84"/>
      <c r="H17" s="84"/>
      <c r="I17" s="84"/>
      <c r="J17" s="84"/>
      <c r="K17" s="94" t="str">
        <f t="array" ref="K17">IFERROR(INDEX(Skill!$U:$U, MATCH(K$4, Skill!$C:$C, 0), 1), "")</f>
        <v/>
      </c>
      <c r="L17" s="94" t="str">
        <f t="array" ref="L17">IFERROR(INDEX(Skill!$U:$U, MATCH(L$4, Skill!$C:$C, 0), 1), "")</f>
        <v/>
      </c>
      <c r="M17" s="94" t="str">
        <f t="array" ref="M17">IFERROR(INDEX(Skill!$U:$U, MATCH(M$4, Skill!$C:$C, 0), 1), "")</f>
        <v/>
      </c>
      <c r="N17" s="94" t="str">
        <f t="array" ref="N17">IFERROR(INDEX(Skill!$U:$U, MATCH(N$4, Skill!$C:$C, 0), 1), "")</f>
        <v>ランパート|センチネル|エクストリームガード</v>
      </c>
      <c r="O17" s="94" t="str">
        <f t="array" ref="O17">IFERROR(INDEX(Skill!$U:$U, MATCH(O$4, Skill!$C:$C, 0), 1), "")</f>
        <v/>
      </c>
      <c r="P17" s="94" t="str">
        <f t="array" ref="P17">IFERROR(INDEX(Skill!$U:$U, MATCH(P$4, Skill!$C:$C, 0), 1), "")</f>
        <v/>
      </c>
      <c r="Q17" s="94" t="str">
        <f t="array" ref="Q17">IFERROR(INDEX(Skill!$U:$U, MATCH(Q$4, Skill!$C:$C, 0), 1), "")</f>
        <v/>
      </c>
      <c r="R17" s="94" t="str">
        <f t="array" ref="R17">IFERROR(INDEX(Skill!$U:$U, MATCH(R$4, Skill!$C:$C, 0), 1), "")</f>
        <v/>
      </c>
      <c r="S17" s="94" t="str">
        <f t="array" ref="S17">IFERROR(INDEX(Skill!$U:$U, MATCH(S$4, Skill!$C:$C, 0), 1), "")</f>
        <v/>
      </c>
      <c r="T17" s="94" t="str">
        <f t="array" ref="T17">IFERROR(INDEX(Skill!$U:$U, MATCH(T$4, Skill!$C:$C, 0), 1), "")</f>
        <v/>
      </c>
      <c r="U17" s="94" t="str">
        <f t="array" ref="U17">IFERROR(INDEX(Skill!$U:$U, MATCH(U$4, Skill!$C:$C, 0), 1), "")</f>
        <v/>
      </c>
      <c r="V17" s="94" t="str">
        <f t="array" ref="V17">IFERROR(INDEX(Skill!$U:$U, MATCH(V$4, Skill!$C:$C, 0), 1), "")</f>
        <v/>
      </c>
      <c r="W17" s="94" t="str">
        <f t="array" ref="W17">IFERROR(INDEX(Skill!$U:$U, MATCH(W$4, Skill!$C:$C, 0), 1), "")</f>
        <v/>
      </c>
      <c r="X17" s="94" t="str">
        <f t="array" ref="X17">IFERROR(INDEX(Skill!$U:$U, MATCH(X$4, Skill!$C:$C, 0), 1), "")</f>
        <v/>
      </c>
      <c r="Y17" s="94" t="str">
        <f t="array" ref="Y17">IFERROR(INDEX(Skill!$U:$U, MATCH(Y$4, Skill!$C:$C, 0), 1), "")</f>
        <v/>
      </c>
      <c r="Z17" s="94" t="str">
        <f t="array" ref="Z17">IFERROR(INDEX(Skill!$U:$U, MATCH(Z$4, Skill!$C:$C, 0), 1), "")</f>
        <v/>
      </c>
      <c r="AA17" s="94" t="str">
        <f t="array" ref="AA17">IFERROR(INDEX(Skill!$U:$U, MATCH(AA$4, Skill!$C:$C, 0), 1), "")</f>
        <v/>
      </c>
      <c r="AB17" s="94" t="str">
        <f t="array" ref="AB17">IFERROR(INDEX(Skill!$U:$U, MATCH(AB$4, Skill!$C:$C, 0), 1), "")</f>
        <v/>
      </c>
      <c r="AC17" s="94" t="str">
        <f t="array" ref="AC17">IFERROR(INDEX(Skill!$U:$U, MATCH(AC$4, Skill!$C:$C, 0), 1), "")</f>
        <v/>
      </c>
      <c r="AD17" s="94" t="str">
        <f t="array" ref="AD17">IFERROR(INDEX(Skill!$U:$U, MATCH(AD$4, Skill!$C:$C, 0), 1), "")</f>
        <v/>
      </c>
      <c r="AE17" s="94" t="str">
        <f t="array" ref="AE17">IFERROR(INDEX(Skill!$U:$U, MATCH(AE$4, Skill!$C:$C, 0), 1), "")</f>
        <v/>
      </c>
      <c r="AF17" s="94" t="str">
        <f t="array" ref="AF17">IFERROR(INDEX(Skill!$U:$U, MATCH(AF$4, Skill!$C:$C, 0), 1), "")</f>
        <v/>
      </c>
      <c r="AG17" s="94" t="str">
        <f t="array" ref="AG17">IFERROR(INDEX(Skill!$U:$U, MATCH(AG$4, Skill!$C:$C, 0), 1), "")</f>
        <v/>
      </c>
      <c r="AH17" s="94" t="str">
        <f t="array" ref="AH17">IFERROR(INDEX(Skill!$U:$U, MATCH(AH$4, Skill!$C:$C, 0), 1), "")</f>
        <v/>
      </c>
      <c r="AI17" s="94" t="str">
        <f t="array" ref="AI17">IFERROR(INDEX(Skill!$U:$U, MATCH(AI$4, Skill!$C:$C, 0), 1), "")</f>
        <v/>
      </c>
      <c r="AJ17" s="94" t="str">
        <f t="array" ref="AJ17">IFERROR(INDEX(Skill!$U:$U, MATCH(AJ$4, Skill!$C:$C, 0), 1), "")</f>
        <v/>
      </c>
      <c r="AK17" s="94" t="str">
        <f t="array" ref="AK17">IFERROR(INDEX(Skill!$U:$U, MATCH(AK$4, Skill!$C:$C, 0), 1), "")</f>
        <v/>
      </c>
      <c r="AL17" s="94" t="str">
        <f t="array" ref="AL17">IFERROR(INDEX(Skill!$U:$U, MATCH(AL$4, Skill!$C:$C, 0), 1), "")</f>
        <v/>
      </c>
      <c r="AM17" s="94" t="str">
        <f t="array" ref="AM17">IFERROR(INDEX(Skill!$U:$U, MATCH(AM$4, Skill!$C:$C, 0), 1), "")</f>
        <v/>
      </c>
      <c r="AN17" s="94" t="str">
        <f t="array" ref="AN17">IFERROR(INDEX(Skill!$U:$U, MATCH(AN$4, Skill!$C:$C, 0), 1), "")</f>
        <v/>
      </c>
      <c r="AO17" s="94" t="str">
        <f t="array" ref="AO17">IFERROR(INDEX(Skill!$U:$U, MATCH(AO$4, Skill!$C:$C, 0), 1), "")</f>
        <v/>
      </c>
      <c r="AP17" s="94" t="str">
        <f t="array" ref="AP17">IFERROR(INDEX(Skill!$U:$U, MATCH(AP$4, Skill!$C:$C, 0), 1), "")</f>
        <v/>
      </c>
      <c r="AQ17" s="94" t="str">
        <f t="array" ref="AQ17">IFERROR(INDEX(Skill!$U:$U, MATCH(AQ$4, Skill!$C:$C, 0), 1), "")</f>
        <v/>
      </c>
      <c r="AR17" s="94" t="str">
        <f t="array" ref="AR17">IFERROR(INDEX(Skill!$U:$U, MATCH(AR$4, Skill!$C:$C, 0), 1), "")</f>
        <v/>
      </c>
      <c r="AS17" s="94" t="str">
        <f t="array" ref="AS17">IFERROR(INDEX(Skill!$U:$U, MATCH(AS$4, Skill!$C:$C, 0), 1), "")</f>
        <v/>
      </c>
      <c r="AT17" s="94" t="str">
        <f t="array" ref="AT17">IFERROR(INDEX(Skill!$U:$U, MATCH(AT$4, Skill!$C:$C, 0), 1), "")</f>
        <v/>
      </c>
      <c r="AU17" s="94" t="str">
        <f t="array" ref="AU17">IFERROR(INDEX(Skill!$U:$U, MATCH(AU$4, Skill!$C:$C, 0), 1), "")</f>
        <v/>
      </c>
      <c r="AV17" s="94" t="str">
        <f t="array" ref="AV17">IFERROR(INDEX(Skill!$U:$U, MATCH(AV$4, Skill!$C:$C, 0), 1), "")</f>
        <v/>
      </c>
      <c r="AW17" s="94" t="str">
        <f t="array" ref="AW17">IFERROR(INDEX(Skill!$U:$U, MATCH(AW$4, Skill!$C:$C, 0), 1), "")</f>
        <v/>
      </c>
      <c r="AX17" s="94" t="str">
        <f t="array" ref="AX17">IFERROR(INDEX(Skill!$U:$U, MATCH(AX$4, Skill!$C:$C, 0), 1), "")</f>
        <v/>
      </c>
      <c r="AY17" s="94" t="str">
        <f t="array" ref="AY17">IFERROR(INDEX(Skill!$U:$U, MATCH(AY$4, Skill!$C:$C, 0), 1), "")</f>
        <v/>
      </c>
      <c r="AZ17" s="94" t="str">
        <f t="array" ref="AZ17">IFERROR(INDEX(Skill!$U:$U, MATCH(AZ$4, Skill!$C:$C, 0), 1), "")</f>
        <v/>
      </c>
      <c r="BA17" s="94" t="str">
        <f t="array" ref="BA17">IFERROR(INDEX(Skill!$U:$U, MATCH(BA$4, Skill!$C:$C, 0), 1), "")</f>
        <v/>
      </c>
      <c r="BB17" s="94" t="str">
        <f t="array" ref="BB17">IFERROR(INDEX(Skill!$U:$U, MATCH(BB$4, Skill!$C:$C, 0), 1), "")</f>
        <v/>
      </c>
      <c r="BC17" s="94" t="str">
        <f t="array" ref="BC17">IFERROR(INDEX(Skill!$U:$U, MATCH(BC$4, Skill!$C:$C, 0), 1), "")</f>
        <v/>
      </c>
      <c r="BD17" s="94" t="str">
        <f t="array" ref="BD17">IFERROR(INDEX(Skill!$U:$U, MATCH(BD$4, Skill!$C:$C, 0), 1), "")</f>
        <v/>
      </c>
      <c r="BE17" s="94" t="str">
        <f t="array" ref="BE17">IFERROR(INDEX(Skill!$U:$U, MATCH(BE$4, Skill!$C:$C, 0), 1), "")</f>
        <v/>
      </c>
      <c r="BF17" s="94" t="str">
        <f t="array" ref="BF17">IFERROR(INDEX(Skill!$U:$U, MATCH(BF$4, Skill!$C:$C, 0), 1), "")</f>
        <v/>
      </c>
      <c r="BG17" s="94" t="str">
        <f t="array" ref="BG17">IFERROR(INDEX(Skill!$U:$U, MATCH(BG$4, Skill!$C:$C, 0), 1), "")</f>
        <v/>
      </c>
      <c r="BH17" s="94" t="str">
        <f t="array" ref="BH17">IFERROR(INDEX(Skill!$U:$U, MATCH(BH$4, Skill!$C:$C, 0), 1), "")</f>
        <v>ニュートラルセクト</v>
      </c>
      <c r="BI17" s="94" t="str">
        <f t="array" ref="BI17">IFERROR(INDEX(Skill!$U:$U, MATCH(BI$4, Skill!$C:$C, 0), 1), "")</f>
        <v/>
      </c>
      <c r="BJ17" s="94" t="str">
        <f t="array" ref="BJ17">IFERROR(INDEX(Skill!$U:$U, MATCH(BJ$4, Skill!$C:$C, 0), 1), "")</f>
        <v/>
      </c>
      <c r="BK17" s="94" t="str">
        <f t="array" ref="BK17">IFERROR(INDEX(Skill!$U:$U, MATCH(BK$4, Skill!$C:$C, 0), 1), "")</f>
        <v/>
      </c>
      <c r="BL17" s="94" t="str">
        <f t="array" ref="BL17">IFERROR(INDEX(Skill!$U:$U, MATCH(BL$4, Skill!$C:$C, 0), 1), "")</f>
        <v/>
      </c>
      <c r="BM17" s="94" t="str">
        <f t="array" ref="BM17">IFERROR(INDEX(Skill!$U:$U, MATCH(BM$4, Skill!$C:$C, 0), 1), "")</f>
        <v/>
      </c>
      <c r="BN17" s="94" t="str">
        <f t="array" ref="BN17">IFERROR(INDEX(Skill!$U:$U, MATCH(BN$4, Skill!$C:$C, 0), 1), "")</f>
        <v/>
      </c>
      <c r="BO17" s="94" t="str">
        <f t="array" ref="BO17">IFERROR(INDEX(Skill!$U:$U, MATCH(BO$4, Skill!$C:$C, 0), 1), "")</f>
        <v/>
      </c>
      <c r="BP17" s="94" t="str">
        <f t="array" ref="BP17">IFERROR(INDEX(Skill!$U:$U, MATCH(BP$4, Skill!$C:$C, 0), 1), "")</f>
        <v/>
      </c>
      <c r="BQ17" s="94" t="str">
        <f t="array" ref="BQ17">IFERROR(INDEX(Skill!$U:$U, MATCH(BQ$4, Skill!$C:$C, 0), 1), "")</f>
        <v/>
      </c>
      <c r="BR17" s="94" t="str">
        <f t="array" ref="BR17">IFERROR(INDEX(Skill!$U:$U, MATCH(BR$4, Skill!$C:$C, 0), 1), "")</f>
        <v/>
      </c>
      <c r="BS17" s="94" t="str">
        <f t="array" ref="BS17">IFERROR(INDEX(Skill!$U:$U, MATCH(BS$4, Skill!$C:$C, 0), 1), "")</f>
        <v/>
      </c>
      <c r="BT17" s="94" t="str">
        <f t="array" ref="BT17">IFERROR(INDEX(Skill!$U:$U, MATCH(BT$4, Skill!$C:$C, 0), 1), "")</f>
        <v/>
      </c>
      <c r="BU17" s="94" t="str">
        <f t="array" ref="BU17">IFERROR(INDEX(Skill!$U:$U, MATCH(BU$4, Skill!$C:$C, 0), 1), "")</f>
        <v/>
      </c>
      <c r="BV17" s="94" t="str">
        <f t="array" ref="BV17">IFERROR(INDEX(Skill!$U:$U, MATCH(BV$4, Skill!$C:$C, 0), 1), "")</f>
        <v/>
      </c>
      <c r="BW17" s="94" t="str">
        <f t="array" ref="BW17">IFERROR(INDEX(Skill!$U:$U, MATCH(BW$4, Skill!$C:$C, 0), 1), "")</f>
        <v/>
      </c>
      <c r="BX17" s="94" t="str">
        <f t="array" ref="BX17">IFERROR(INDEX(Skill!$U:$U, MATCH(BX$4, Skill!$C:$C, 0), 1), "")</f>
        <v>ニュートラルセクト</v>
      </c>
      <c r="BY17" s="94" t="str">
        <f t="array" ref="BY17">IFERROR(INDEX(Skill!$U:$U, MATCH(BY$4, Skill!$C:$C, 0), 1), "")</f>
        <v/>
      </c>
      <c r="BZ17" s="94" t="str">
        <f t="array" ref="BZ17">IFERROR(INDEX(Skill!$U:$U, MATCH(BZ$4, Skill!$C:$C, 0), 1), "")</f>
        <v/>
      </c>
      <c r="CA17" s="94" t="str">
        <f t="array" ref="CA17">IFERROR(INDEX(Skill!$U:$U, MATCH(CA$4, Skill!$C:$C, 0), 1), "")</f>
        <v/>
      </c>
      <c r="CB17" s="94" t="str">
        <f t="array" ref="CB17">IFERROR(INDEX(Skill!$U:$U, MATCH(CB$4, Skill!$C:$C, 0), 1), "")</f>
        <v/>
      </c>
      <c r="CC17" s="94" t="str">
        <f t="array" ref="CC17">IFERROR(INDEX(Skill!$U:$U, MATCH(CC$4, Skill!$C:$C, 0), 1), "")</f>
        <v/>
      </c>
      <c r="CD17" s="94" t="str">
        <f t="array" ref="CD17">IFERROR(INDEX(Skill!$U:$U, MATCH(CD$4, Skill!$C:$C, 0), 1), "")</f>
        <v/>
      </c>
      <c r="CE17" s="94" t="str">
        <f t="array" ref="CE17">IFERROR(INDEX(Skill!$U:$U, MATCH(CE$4, Skill!$C:$C, 0), 1), "")</f>
        <v/>
      </c>
      <c r="CF17" s="94" t="str">
        <f t="array" ref="CF17">IFERROR(INDEX(Skill!$U:$U, MATCH(CF$4, Skill!$C:$C, 0), 1), "")</f>
        <v/>
      </c>
      <c r="CG17" s="94" t="str">
        <f t="array" ref="CG17">IFERROR(INDEX(Skill!$U:$U, MATCH(CG$4, Skill!$C:$C, 0), 1), "")</f>
        <v/>
      </c>
      <c r="CH17" s="94" t="str">
        <f t="array" ref="CH17">IFERROR(INDEX(Skill!$U:$U, MATCH(CH$4, Skill!$C:$C, 0), 1), "")</f>
        <v/>
      </c>
      <c r="CI17" s="94" t="str">
        <f t="array" ref="CI17">IFERROR(INDEX(Skill!$U:$U, MATCH(CI$4, Skill!$C:$C, 0), 1), "")</f>
        <v/>
      </c>
      <c r="CJ17" s="94" t="str">
        <f t="array" ref="CJ17">IFERROR(INDEX(Skill!$U:$U, MATCH(CJ$4, Skill!$C:$C, 0), 1), "")</f>
        <v/>
      </c>
      <c r="CK17" s="94" t="str">
        <f t="array" ref="CK17">IFERROR(INDEX(Skill!$U:$U, MATCH(CK$4, Skill!$C:$C, 0), 1), "")</f>
        <v/>
      </c>
      <c r="CL17" s="94" t="str">
        <f t="array" ref="CL17">IFERROR(INDEX(Skill!$U:$U, MATCH(CL$4, Skill!$C:$C, 0), 1), "")</f>
        <v/>
      </c>
      <c r="CM17" s="94" t="str">
        <f t="array" ref="CM17">IFERROR(INDEX(Skill!$U:$U, MATCH(CM$4, Skill!$C:$C, 0), 1), "")</f>
        <v>秘策</v>
      </c>
      <c r="CN17" s="94" t="str">
        <f t="array" ref="CN17">IFERROR(INDEX(Skill!$U:$U, MATCH(CN$4, Skill!$C:$C, 0), 1), "")</f>
        <v/>
      </c>
      <c r="CO17" s="94" t="str">
        <f t="array" ref="CO17">IFERROR(INDEX(Skill!$U:$U, MATCH(CO$4, Skill!$C:$C, 0), 1), "")</f>
        <v/>
      </c>
      <c r="CP17" s="94" t="str">
        <f t="array" ref="CP17">IFERROR(INDEX(Skill!$U:$U, MATCH(CP$4, Skill!$C:$C, 0), 1), "")</f>
        <v>秘策</v>
      </c>
      <c r="CQ17" s="94" t="str">
        <f t="array" ref="CQ17">IFERROR(INDEX(Skill!$U:$U, MATCH(CQ$4, Skill!$C:$C, 0), 1), "")</f>
        <v/>
      </c>
      <c r="CR17" s="94" t="str">
        <f t="array" ref="CR17">IFERROR(INDEX(Skill!$U:$U, MATCH(CR$4, Skill!$C:$C, 0), 1), "")</f>
        <v/>
      </c>
      <c r="CS17" s="94" t="str">
        <f t="array" ref="CS17">IFERROR(INDEX(Skill!$U:$U, MATCH(CS$4, Skill!$C:$C, 0), 1), "")</f>
        <v/>
      </c>
      <c r="CT17" s="94" t="str">
        <f t="array" ref="CT17">IFERROR(INDEX(Skill!$U:$U, MATCH(CT$4, Skill!$C:$C, 0), 1), "")</f>
        <v/>
      </c>
      <c r="CU17" s="94" t="str">
        <f t="array" ref="CU17">IFERROR(INDEX(Skill!$U:$U, MATCH(CU$4, Skill!$C:$C, 0), 1), "")</f>
        <v/>
      </c>
      <c r="CV17" s="94" t="str">
        <f t="array" ref="CV17">IFERROR(INDEX(Skill!$U:$U, MATCH(CV$4, Skill!$C:$C, 0), 1), "")</f>
        <v/>
      </c>
      <c r="CW17" s="94" t="str">
        <f t="array" ref="CW17">IFERROR(INDEX(Skill!$U:$U, MATCH(CW$4, Skill!$C:$C, 0), 1), "")</f>
        <v/>
      </c>
      <c r="CX17" s="94" t="str">
        <f t="array" ref="CX17">IFERROR(INDEX(Skill!$U:$U, MATCH(CX$4, Skill!$C:$C, 0), 1), "")</f>
        <v/>
      </c>
      <c r="CY17" s="94" t="str">
        <f t="array" ref="CY17">IFERROR(INDEX(Skill!$U:$U, MATCH(CY$4, Skill!$C:$C, 0), 1), "")</f>
        <v/>
      </c>
      <c r="CZ17" s="94" t="str">
        <f t="array" ref="CZ17">IFERROR(INDEX(Skill!$U:$U, MATCH(CZ$4, Skill!$C:$C, 0), 1), "")</f>
        <v/>
      </c>
      <c r="DA17" s="94" t="str">
        <f t="array" ref="DA17">IFERROR(INDEX(Skill!$U:$U, MATCH(DA$4, Skill!$C:$C, 0), 1), "")</f>
        <v/>
      </c>
      <c r="DB17" s="94" t="str">
        <f t="array" ref="DB17">IFERROR(INDEX(Skill!$U:$U, MATCH(DB$4, Skill!$C:$C, 0), 1), "")</f>
        <v/>
      </c>
      <c r="DC17" s="94" t="str">
        <f t="array" ref="DC17">IFERROR(INDEX(Skill!$U:$U, MATCH(DC$4, Skill!$C:$C, 0), 1), "")</f>
        <v/>
      </c>
      <c r="DD17" s="94" t="str">
        <f t="array" ref="DD17">IFERROR(INDEX(Skill!$U:$U, MATCH(DD$4, Skill!$C:$C, 0), 1), "")</f>
        <v/>
      </c>
      <c r="DE17" s="94" t="str">
        <f t="array" ref="DE17">IFERROR(INDEX(Skill!$U:$U, MATCH(DE$4, Skill!$C:$C, 0), 1), "")</f>
        <v/>
      </c>
      <c r="DF17" s="94" t="str">
        <f t="array" ref="DF17">IFERROR(INDEX(Skill!$U:$U, MATCH(DF$4, Skill!$C:$C, 0), 1), "")</f>
        <v/>
      </c>
      <c r="DG17" s="94" t="str">
        <f t="array" ref="DG17">IFERROR(INDEX(Skill!$U:$U, MATCH(DG$4, Skill!$C:$C, 0), 1), "")</f>
        <v/>
      </c>
      <c r="DH17" s="94" t="str">
        <f t="array" ref="DH17">IFERROR(INDEX(Skill!$U:$U, MATCH(DH$4, Skill!$C:$C, 0), 1), "")</f>
        <v/>
      </c>
      <c r="DI17" s="94" t="str">
        <f t="array" ref="DI17">IFERROR(INDEX(Skill!$U:$U, MATCH(DI$4, Skill!$C:$C, 0), 1), "")</f>
        <v/>
      </c>
      <c r="DJ17" s="94" t="str">
        <f t="array" ref="DJ17">IFERROR(INDEX(Skill!$U:$U, MATCH(DJ$4, Skill!$C:$C, 0), 1), "")</f>
        <v/>
      </c>
      <c r="DK17" s="94" t="str">
        <f t="array" ref="DK17">IFERROR(INDEX(Skill!$U:$U, MATCH(DK$4, Skill!$C:$C, 0), 1), "")</f>
        <v/>
      </c>
      <c r="DL17" s="94" t="str">
        <f t="array" ref="DL17">IFERROR(INDEX(Skill!$U:$U, MATCH(DL$4, Skill!$C:$C, 0), 1), "")</f>
        <v/>
      </c>
      <c r="DM17" s="94" t="str">
        <f t="array" ref="DM17">IFERROR(INDEX(Skill!$U:$U, MATCH(DM$4, Skill!$C:$C, 0), 1), "")</f>
        <v/>
      </c>
      <c r="DN17" s="94" t="str">
        <f t="array" ref="DN17">IFERROR(INDEX(Skill!$U:$U, MATCH(DN$4, Skill!$C:$C, 0), 1), "")</f>
        <v/>
      </c>
      <c r="DO17" s="94" t="str">
        <f t="array" ref="DO17">IFERROR(INDEX(Skill!$U:$U, MATCH(DO$4, Skill!$C:$C, 0), 1), "")</f>
        <v/>
      </c>
      <c r="DP17" s="94" t="str">
        <f t="array" ref="DP17">IFERROR(INDEX(Skill!$U:$U, MATCH(DP$4, Skill!$C:$C, 0), 1), "")</f>
        <v/>
      </c>
      <c r="DQ17" s="94" t="str">
        <f t="array" ref="DQ17">IFERROR(INDEX(Skill!$U:$U, MATCH(DQ$4, Skill!$C:$C, 0), 1), "")</f>
        <v/>
      </c>
      <c r="DR17" s="94" t="str">
        <f t="array" ref="DR17">IFERROR(INDEX(Skill!$U:$U, MATCH(DR$4, Skill!$C:$C, 0), 1), "")</f>
        <v/>
      </c>
      <c r="DS17" s="94" t="str">
        <f t="array" ref="DS17">IFERROR(INDEX(Skill!$U:$U, MATCH(DS$4, Skill!$C:$C, 0), 1), "")</f>
        <v/>
      </c>
      <c r="DT17" s="94" t="str">
        <f t="array" ref="DT17">IFERROR(INDEX(Skill!$U:$U, MATCH(DT$4, Skill!$C:$C, 0), 1), "")</f>
        <v/>
      </c>
      <c r="DU17" s="94" t="str">
        <f t="array" ref="DU17">IFERROR(INDEX(Skill!$U:$U, MATCH(DU$4, Skill!$C:$C, 0), 1), "")</f>
        <v/>
      </c>
      <c r="DV17" s="94" t="str">
        <f t="array" ref="DV17">IFERROR(INDEX(Skill!$U:$U, MATCH(DV$4, Skill!$C:$C, 0), 1), "")</f>
        <v/>
      </c>
      <c r="DW17" s="94" t="str">
        <f t="array" ref="DW17">IFERROR(INDEX(Skill!$U:$U, MATCH(DW$4, Skill!$C:$C, 0), 1), "")</f>
        <v/>
      </c>
      <c r="DX17" s="94" t="str">
        <f t="array" ref="DX17">IFERROR(INDEX(Skill!$U:$U, MATCH(DX$4, Skill!$C:$C, 0), 1), "")</f>
        <v/>
      </c>
      <c r="DY17" s="94" t="str">
        <f t="array" ref="DY17">IFERROR(INDEX(Skill!$U:$U, MATCH(DY$4, Skill!$C:$C, 0), 1), "")</f>
        <v/>
      </c>
      <c r="DZ17" s="94" t="str">
        <f t="array" ref="DZ17">IFERROR(INDEX(Skill!$U:$U, MATCH(DZ$4, Skill!$C:$C, 0), 1), "")</f>
        <v/>
      </c>
      <c r="EA17" s="89" t="str">
        <f t="array" ref="EA17">IFERROR(INDEX(Skill!$U:$U, MATCH(EA$4, Skill!$C:$C, 0), 1), "")</f>
        <v/>
      </c>
      <c r="EB17" s="89" t="str">
        <f t="array" ref="EB17">IFERROR(INDEX(Skill!$U:$U, MATCH(EB$4, Skill!$C:$C, 0), 1), "")</f>
        <v/>
      </c>
      <c r="EC17" s="89" t="str">
        <f t="array" ref="EC17">IFERROR(INDEX(Skill!$U:$U, MATCH(EC$4, Skill!$C:$C, 0), 1), "")</f>
        <v/>
      </c>
      <c r="ED17" s="94" t="str">
        <f t="array" ref="ED17">IFERROR(INDEX(Skill!$U:$U, MATCH(ED$4, Skill!$C:$C, 0), 1), "")</f>
        <v/>
      </c>
      <c r="EE17" s="102"/>
      <c r="EF17" s="102"/>
      <c r="EG17" s="102"/>
      <c r="EH17" s="102"/>
      <c r="EI17" s="102"/>
      <c r="EJ17" s="102"/>
      <c r="EK17" s="102"/>
      <c r="EL17" s="102"/>
      <c r="EM17" s="102"/>
      <c r="EN17" s="102"/>
      <c r="EO17" s="102"/>
      <c r="EP17" s="102"/>
      <c r="EQ17" s="102"/>
      <c r="ER17" s="103"/>
      <c r="ES17" s="103"/>
      <c r="ET17" s="103"/>
      <c r="EU17" s="76"/>
      <c r="EV17" s="76"/>
      <c r="EW17" s="76"/>
      <c r="EX17" s="76"/>
      <c r="EY17" s="76"/>
      <c r="EZ17" s="76"/>
      <c r="FA17" s="76"/>
      <c r="FB17" s="76"/>
      <c r="FC17" s="76"/>
      <c r="FD17" s="76"/>
      <c r="FE17" s="76"/>
      <c r="FF17" s="76"/>
      <c r="FG17" s="76"/>
      <c r="FH17" s="76"/>
      <c r="FI17" s="76"/>
      <c r="FJ17" s="76"/>
      <c r="FK17" s="76"/>
      <c r="FL17" s="76"/>
      <c r="FM17" s="76"/>
      <c r="FN17" s="76"/>
      <c r="FO17" s="91"/>
    </row>
    <row r="18" hidden="1">
      <c r="B18" s="84"/>
      <c r="C18" s="83"/>
      <c r="D18" s="83"/>
      <c r="E18" s="105" t="s">
        <v>11</v>
      </c>
      <c r="F18" s="84"/>
      <c r="G18" s="84"/>
      <c r="H18" s="84"/>
      <c r="I18" s="84"/>
      <c r="J18" s="84"/>
      <c r="K18" s="94" t="str">
        <f t="array" ref="K18">IFERROR(INDEX(Skill!$X:$X, MATCH(K$4, Skill!$C:$C, 0), 1), "")</f>
        <v/>
      </c>
      <c r="L18" s="94" t="str">
        <f t="array" ref="L18">IFERROR(INDEX(Skill!$X:$X, MATCH(L$4, Skill!$C:$C, 0), 1), "")</f>
        <v/>
      </c>
      <c r="M18" s="94" t="str">
        <f t="array" ref="M18">IFERROR(INDEX(Skill!$X:$X, MATCH(M$4, Skill!$C:$C, 0), 1), "")</f>
        <v/>
      </c>
      <c r="N18" s="94">
        <f t="array" ref="N18">IFERROR(INDEX(Skill!$X:$X, MATCH(N$4, Skill!$C:$C, 0), 1), "")</f>
        <v>0.8</v>
      </c>
      <c r="O18" s="94" t="str">
        <f t="array" ref="O18">IFERROR(INDEX(Skill!$X:$X, MATCH(O$4, Skill!$C:$C, 0), 1), "")</f>
        <v/>
      </c>
      <c r="P18" s="94" t="str">
        <f t="array" ref="P18">IFERROR(INDEX(Skill!$X:$X, MATCH(P$4, Skill!$C:$C, 0), 1), "")</f>
        <v/>
      </c>
      <c r="Q18" s="94" t="str">
        <f t="array" ref="Q18">IFERROR(INDEX(Skill!$X:$X, MATCH(Q$4, Skill!$C:$C, 0), 1), "")</f>
        <v/>
      </c>
      <c r="R18" s="94" t="str">
        <f t="array" ref="R18">IFERROR(INDEX(Skill!$X:$X, MATCH(R$4, Skill!$C:$C, 0), 1), "")</f>
        <v/>
      </c>
      <c r="S18" s="94" t="str">
        <f t="array" ref="S18">IFERROR(INDEX(Skill!$X:$X, MATCH(S$4, Skill!$C:$C, 0), 1), "")</f>
        <v/>
      </c>
      <c r="T18" s="94" t="str">
        <f t="array" ref="T18">IFERROR(INDEX(Skill!$X:$X, MATCH(T$4, Skill!$C:$C, 0), 1), "")</f>
        <v/>
      </c>
      <c r="U18" s="94" t="str">
        <f t="array" ref="U18">IFERROR(INDEX(Skill!$X:$X, MATCH(U$4, Skill!$C:$C, 0), 1), "")</f>
        <v/>
      </c>
      <c r="V18" s="94" t="str">
        <f t="array" ref="V18">IFERROR(INDEX(Skill!$X:$X, MATCH(V$4, Skill!$C:$C, 0), 1), "")</f>
        <v/>
      </c>
      <c r="W18" s="94" t="str">
        <f t="array" ref="W18">IFERROR(INDEX(Skill!$X:$X, MATCH(W$4, Skill!$C:$C, 0), 1), "")</f>
        <v/>
      </c>
      <c r="X18" s="94" t="str">
        <f t="array" ref="X18">IFERROR(INDEX(Skill!$X:$X, MATCH(X$4, Skill!$C:$C, 0), 1), "")</f>
        <v/>
      </c>
      <c r="Y18" s="94" t="str">
        <f t="array" ref="Y18">IFERROR(INDEX(Skill!$X:$X, MATCH(Y$4, Skill!$C:$C, 0), 1), "")</f>
        <v/>
      </c>
      <c r="Z18" s="94" t="str">
        <f t="array" ref="Z18">IFERROR(INDEX(Skill!$X:$X, MATCH(Z$4, Skill!$C:$C, 0), 1), "")</f>
        <v/>
      </c>
      <c r="AA18" s="94" t="str">
        <f t="array" ref="AA18">IFERROR(INDEX(Skill!$X:$X, MATCH(AA$4, Skill!$C:$C, 0), 1), "")</f>
        <v/>
      </c>
      <c r="AB18" s="94" t="str">
        <f t="array" ref="AB18">IFERROR(INDEX(Skill!$X:$X, MATCH(AB$4, Skill!$C:$C, 0), 1), "")</f>
        <v/>
      </c>
      <c r="AC18" s="94" t="str">
        <f t="array" ref="AC18">IFERROR(INDEX(Skill!$X:$X, MATCH(AC$4, Skill!$C:$C, 0), 1), "")</f>
        <v/>
      </c>
      <c r="AD18" s="94" t="str">
        <f t="array" ref="AD18">IFERROR(INDEX(Skill!$X:$X, MATCH(AD$4, Skill!$C:$C, 0), 1), "")</f>
        <v/>
      </c>
      <c r="AE18" s="94" t="str">
        <f t="array" ref="AE18">IFERROR(INDEX(Skill!$X:$X, MATCH(AE$4, Skill!$C:$C, 0), 1), "")</f>
        <v/>
      </c>
      <c r="AF18" s="94" t="str">
        <f t="array" ref="AF18">IFERROR(INDEX(Skill!$X:$X, MATCH(AF$4, Skill!$C:$C, 0), 1), "")</f>
        <v/>
      </c>
      <c r="AG18" s="94" t="str">
        <f t="array" ref="AG18">IFERROR(INDEX(Skill!$X:$X, MATCH(AG$4, Skill!$C:$C, 0), 1), "")</f>
        <v/>
      </c>
      <c r="AH18" s="94" t="str">
        <f t="array" ref="AH18">IFERROR(INDEX(Skill!$X:$X, MATCH(AH$4, Skill!$C:$C, 0), 1), "")</f>
        <v/>
      </c>
      <c r="AI18" s="94" t="str">
        <f t="array" ref="AI18">IFERROR(INDEX(Skill!$X:$X, MATCH(AI$4, Skill!$C:$C, 0), 1), "")</f>
        <v/>
      </c>
      <c r="AJ18" s="94" t="str">
        <f t="array" ref="AJ18">IFERROR(INDEX(Skill!$X:$X, MATCH(AJ$4, Skill!$C:$C, 0), 1), "")</f>
        <v/>
      </c>
      <c r="AK18" s="94" t="str">
        <f t="array" ref="AK18">IFERROR(INDEX(Skill!$X:$X, MATCH(AK$4, Skill!$C:$C, 0), 1), "")</f>
        <v/>
      </c>
      <c r="AL18" s="94" t="str">
        <f t="array" ref="AL18">IFERROR(INDEX(Skill!$X:$X, MATCH(AL$4, Skill!$C:$C, 0), 1), "")</f>
        <v/>
      </c>
      <c r="AM18" s="94" t="str">
        <f t="array" ref="AM18">IFERROR(INDEX(Skill!$X:$X, MATCH(AM$4, Skill!$C:$C, 0), 1), "")</f>
        <v/>
      </c>
      <c r="AN18" s="94" t="str">
        <f t="array" ref="AN18">IFERROR(INDEX(Skill!$X:$X, MATCH(AN$4, Skill!$C:$C, 0), 1), "")</f>
        <v/>
      </c>
      <c r="AO18" s="94" t="str">
        <f t="array" ref="AO18">IFERROR(INDEX(Skill!$X:$X, MATCH(AO$4, Skill!$C:$C, 0), 1), "")</f>
        <v/>
      </c>
      <c r="AP18" s="94" t="str">
        <f t="array" ref="AP18">IFERROR(INDEX(Skill!$X:$X, MATCH(AP$4, Skill!$C:$C, 0), 1), "")</f>
        <v/>
      </c>
      <c r="AQ18" s="94" t="str">
        <f t="array" ref="AQ18">IFERROR(INDEX(Skill!$X:$X, MATCH(AQ$4, Skill!$C:$C, 0), 1), "")</f>
        <v/>
      </c>
      <c r="AR18" s="94" t="str">
        <f t="array" ref="AR18">IFERROR(INDEX(Skill!$X:$X, MATCH(AR$4, Skill!$C:$C, 0), 1), "")</f>
        <v/>
      </c>
      <c r="AS18" s="94" t="str">
        <f t="array" ref="AS18">IFERROR(INDEX(Skill!$X:$X, MATCH(AS$4, Skill!$C:$C, 0), 1), "")</f>
        <v/>
      </c>
      <c r="AT18" s="94" t="str">
        <f t="array" ref="AT18">IFERROR(INDEX(Skill!$X:$X, MATCH(AT$4, Skill!$C:$C, 0), 1), "")</f>
        <v/>
      </c>
      <c r="AU18" s="94" t="str">
        <f t="array" ref="AU18">IFERROR(INDEX(Skill!$X:$X, MATCH(AU$4, Skill!$C:$C, 0), 1), "")</f>
        <v/>
      </c>
      <c r="AV18" s="94" t="str">
        <f t="array" ref="AV18">IFERROR(INDEX(Skill!$X:$X, MATCH(AV$4, Skill!$C:$C, 0), 1), "")</f>
        <v/>
      </c>
      <c r="AW18" s="94" t="str">
        <f t="array" ref="AW18">IFERROR(INDEX(Skill!$X:$X, MATCH(AW$4, Skill!$C:$C, 0), 1), "")</f>
        <v/>
      </c>
      <c r="AX18" s="94" t="str">
        <f t="array" ref="AX18">IFERROR(INDEX(Skill!$X:$X, MATCH(AX$4, Skill!$C:$C, 0), 1), "")</f>
        <v/>
      </c>
      <c r="AY18" s="94" t="str">
        <f t="array" ref="AY18">IFERROR(INDEX(Skill!$X:$X, MATCH(AY$4, Skill!$C:$C, 0), 1), "")</f>
        <v/>
      </c>
      <c r="AZ18" s="94" t="str">
        <f t="array" ref="AZ18">IFERROR(INDEX(Skill!$X:$X, MATCH(AZ$4, Skill!$C:$C, 0), 1), "")</f>
        <v/>
      </c>
      <c r="BA18" s="94" t="str">
        <f t="array" ref="BA18">IFERROR(INDEX(Skill!$X:$X, MATCH(BA$4, Skill!$C:$C, 0), 1), "")</f>
        <v/>
      </c>
      <c r="BB18" s="94" t="str">
        <f t="array" ref="BB18">IFERROR(INDEX(Skill!$X:$X, MATCH(BB$4, Skill!$C:$C, 0), 1), "")</f>
        <v/>
      </c>
      <c r="BC18" s="94" t="str">
        <f t="array" ref="BC18">IFERROR(INDEX(Skill!$X:$X, MATCH(BC$4, Skill!$C:$C, 0), 1), "")</f>
        <v/>
      </c>
      <c r="BD18" s="94" t="str">
        <f t="array" ref="BD18">IFERROR(INDEX(Skill!$X:$X, MATCH(BD$4, Skill!$C:$C, 0), 1), "")</f>
        <v/>
      </c>
      <c r="BE18" s="94" t="str">
        <f t="array" ref="BE18">IFERROR(INDEX(Skill!$X:$X, MATCH(BE$4, Skill!$C:$C, 0), 1), "")</f>
        <v/>
      </c>
      <c r="BF18" s="94" t="str">
        <f t="array" ref="BF18">IFERROR(INDEX(Skill!$X:$X, MATCH(BF$4, Skill!$C:$C, 0), 1), "")</f>
        <v/>
      </c>
      <c r="BG18" s="94" t="str">
        <f t="array" ref="BG18">IFERROR(INDEX(Skill!$X:$X, MATCH(BG$4, Skill!$C:$C, 0), 1), "")</f>
        <v/>
      </c>
      <c r="BH18" s="94" t="str">
        <f t="array" ref="BH18">IFERROR(INDEX(Skill!$X:$X, MATCH(BH$4, Skill!$C:$C, 0), 1), "")</f>
        <v/>
      </c>
      <c r="BI18" s="94" t="str">
        <f t="array" ref="BI18">IFERROR(INDEX(Skill!$X:$X, MATCH(BI$4, Skill!$C:$C, 0), 1), "")</f>
        <v/>
      </c>
      <c r="BJ18" s="94" t="str">
        <f t="array" ref="BJ18">IFERROR(INDEX(Skill!$X:$X, MATCH(BJ$4, Skill!$C:$C, 0), 1), "")</f>
        <v/>
      </c>
      <c r="BK18" s="94" t="str">
        <f t="array" ref="BK18">IFERROR(INDEX(Skill!$X:$X, MATCH(BK$4, Skill!$C:$C, 0), 1), "")</f>
        <v/>
      </c>
      <c r="BL18" s="94" t="str">
        <f t="array" ref="BL18">IFERROR(INDEX(Skill!$X:$X, MATCH(BL$4, Skill!$C:$C, 0), 1), "")</f>
        <v/>
      </c>
      <c r="BM18" s="94" t="str">
        <f t="array" ref="BM18">IFERROR(INDEX(Skill!$X:$X, MATCH(BM$4, Skill!$C:$C, 0), 1), "")</f>
        <v/>
      </c>
      <c r="BN18" s="94" t="str">
        <f t="array" ref="BN18">IFERROR(INDEX(Skill!$X:$X, MATCH(BN$4, Skill!$C:$C, 0), 1), "")</f>
        <v/>
      </c>
      <c r="BO18" s="94" t="str">
        <f t="array" ref="BO18">IFERROR(INDEX(Skill!$X:$X, MATCH(BO$4, Skill!$C:$C, 0), 1), "")</f>
        <v/>
      </c>
      <c r="BP18" s="94" t="str">
        <f t="array" ref="BP18">IFERROR(INDEX(Skill!$X:$X, MATCH(BP$4, Skill!$C:$C, 0), 1), "")</f>
        <v/>
      </c>
      <c r="BQ18" s="94" t="str">
        <f t="array" ref="BQ18">IFERROR(INDEX(Skill!$X:$X, MATCH(BQ$4, Skill!$C:$C, 0), 1), "")</f>
        <v/>
      </c>
      <c r="BR18" s="94" t="str">
        <f t="array" ref="BR18">IFERROR(INDEX(Skill!$X:$X, MATCH(BR$4, Skill!$C:$C, 0), 1), "")</f>
        <v/>
      </c>
      <c r="BS18" s="94" t="str">
        <f t="array" ref="BS18">IFERROR(INDEX(Skill!$X:$X, MATCH(BS$4, Skill!$C:$C, 0), 1), "")</f>
        <v/>
      </c>
      <c r="BT18" s="94" t="str">
        <f t="array" ref="BT18">IFERROR(INDEX(Skill!$X:$X, MATCH(BT$4, Skill!$C:$C, 0), 1), "")</f>
        <v/>
      </c>
      <c r="BU18" s="94" t="str">
        <f t="array" ref="BU18">IFERROR(INDEX(Skill!$X:$X, MATCH(BU$4, Skill!$C:$C, 0), 1), "")</f>
        <v/>
      </c>
      <c r="BV18" s="94" t="str">
        <f t="array" ref="BV18">IFERROR(INDEX(Skill!$X:$X, MATCH(BV$4, Skill!$C:$C, 0), 1), "")</f>
        <v/>
      </c>
      <c r="BW18" s="94" t="str">
        <f t="array" ref="BW18">IFERROR(INDEX(Skill!$X:$X, MATCH(BW$4, Skill!$C:$C, 0), 1), "")</f>
        <v/>
      </c>
      <c r="BX18" s="94" t="str">
        <f t="array" ref="BX18">IFERROR(INDEX(Skill!$X:$X, MATCH(BX$4, Skill!$C:$C, 0), 1), "")</f>
        <v/>
      </c>
      <c r="BY18" s="94" t="str">
        <f t="array" ref="BY18">IFERROR(INDEX(Skill!$X:$X, MATCH(BY$4, Skill!$C:$C, 0), 1), "")</f>
        <v/>
      </c>
      <c r="BZ18" s="94" t="str">
        <f t="array" ref="BZ18">IFERROR(INDEX(Skill!$X:$X, MATCH(BZ$4, Skill!$C:$C, 0), 1), "")</f>
        <v/>
      </c>
      <c r="CA18" s="94" t="str">
        <f t="array" ref="CA18">IFERROR(INDEX(Skill!$X:$X, MATCH(CA$4, Skill!$C:$C, 0), 1), "")</f>
        <v/>
      </c>
      <c r="CB18" s="94" t="str">
        <f t="array" ref="CB18">IFERROR(INDEX(Skill!$X:$X, MATCH(CB$4, Skill!$C:$C, 0), 1), "")</f>
        <v/>
      </c>
      <c r="CC18" s="94" t="str">
        <f t="array" ref="CC18">IFERROR(INDEX(Skill!$X:$X, MATCH(CC$4, Skill!$C:$C, 0), 1), "")</f>
        <v/>
      </c>
      <c r="CD18" s="94" t="str">
        <f t="array" ref="CD18">IFERROR(INDEX(Skill!$X:$X, MATCH(CD$4, Skill!$C:$C, 0), 1), "")</f>
        <v/>
      </c>
      <c r="CE18" s="94" t="str">
        <f t="array" ref="CE18">IFERROR(INDEX(Skill!$X:$X, MATCH(CE$4, Skill!$C:$C, 0), 1), "")</f>
        <v/>
      </c>
      <c r="CF18" s="94" t="str">
        <f t="array" ref="CF18">IFERROR(INDEX(Skill!$X:$X, MATCH(CF$4, Skill!$C:$C, 0), 1), "")</f>
        <v/>
      </c>
      <c r="CG18" s="94" t="str">
        <f t="array" ref="CG18">IFERROR(INDEX(Skill!$X:$X, MATCH(CG$4, Skill!$C:$C, 0), 1), "")</f>
        <v/>
      </c>
      <c r="CH18" s="94" t="str">
        <f t="array" ref="CH18">IFERROR(INDEX(Skill!$X:$X, MATCH(CH$4, Skill!$C:$C, 0), 1), "")</f>
        <v/>
      </c>
      <c r="CI18" s="94" t="str">
        <f t="array" ref="CI18">IFERROR(INDEX(Skill!$X:$X, MATCH(CI$4, Skill!$C:$C, 0), 1), "")</f>
        <v/>
      </c>
      <c r="CJ18" s="94" t="str">
        <f t="array" ref="CJ18">IFERROR(INDEX(Skill!$X:$X, MATCH(CJ$4, Skill!$C:$C, 0), 1), "")</f>
        <v/>
      </c>
      <c r="CK18" s="94" t="str">
        <f t="array" ref="CK18">IFERROR(INDEX(Skill!$X:$X, MATCH(CK$4, Skill!$C:$C, 0), 1), "")</f>
        <v/>
      </c>
      <c r="CL18" s="94" t="str">
        <f t="array" ref="CL18">IFERROR(INDEX(Skill!$X:$X, MATCH(CL$4, Skill!$C:$C, 0), 1), "")</f>
        <v/>
      </c>
      <c r="CM18" s="94" t="str">
        <f t="array" ref="CM18">IFERROR(INDEX(Skill!$X:$X, MATCH(CM$4, Skill!$C:$C, 0), 1), "")</f>
        <v/>
      </c>
      <c r="CN18" s="94" t="str">
        <f t="array" ref="CN18">IFERROR(INDEX(Skill!$X:$X, MATCH(CN$4, Skill!$C:$C, 0), 1), "")</f>
        <v/>
      </c>
      <c r="CO18" s="94" t="str">
        <f t="array" ref="CO18">IFERROR(INDEX(Skill!$X:$X, MATCH(CO$4, Skill!$C:$C, 0), 1), "")</f>
        <v/>
      </c>
      <c r="CP18" s="94" t="str">
        <f t="array" ref="CP18">IFERROR(INDEX(Skill!$X:$X, MATCH(CP$4, Skill!$C:$C, 0), 1), "")</f>
        <v/>
      </c>
      <c r="CQ18" s="94" t="str">
        <f t="array" ref="CQ18">IFERROR(INDEX(Skill!$X:$X, MATCH(CQ$4, Skill!$C:$C, 0), 1), "")</f>
        <v/>
      </c>
      <c r="CR18" s="94" t="str">
        <f t="array" ref="CR18">IFERROR(INDEX(Skill!$X:$X, MATCH(CR$4, Skill!$C:$C, 0), 1), "")</f>
        <v/>
      </c>
      <c r="CS18" s="94" t="str">
        <f t="array" ref="CS18">IFERROR(INDEX(Skill!$X:$X, MATCH(CS$4, Skill!$C:$C, 0), 1), "")</f>
        <v/>
      </c>
      <c r="CT18" s="94" t="str">
        <f t="array" ref="CT18">IFERROR(INDEX(Skill!$X:$X, MATCH(CT$4, Skill!$C:$C, 0), 1), "")</f>
        <v/>
      </c>
      <c r="CU18" s="94" t="str">
        <f t="array" ref="CU18">IFERROR(INDEX(Skill!$X:$X, MATCH(CU$4, Skill!$C:$C, 0), 1), "")</f>
        <v/>
      </c>
      <c r="CV18" s="94" t="str">
        <f t="array" ref="CV18">IFERROR(INDEX(Skill!$X:$X, MATCH(CV$4, Skill!$C:$C, 0), 1), "")</f>
        <v/>
      </c>
      <c r="CW18" s="94" t="str">
        <f t="array" ref="CW18">IFERROR(INDEX(Skill!$X:$X, MATCH(CW$4, Skill!$C:$C, 0), 1), "")</f>
        <v/>
      </c>
      <c r="CX18" s="94" t="str">
        <f t="array" ref="CX18">IFERROR(INDEX(Skill!$X:$X, MATCH(CX$4, Skill!$C:$C, 0), 1), "")</f>
        <v/>
      </c>
      <c r="CY18" s="94" t="str">
        <f t="array" ref="CY18">IFERROR(INDEX(Skill!$X:$X, MATCH(CY$4, Skill!$C:$C, 0), 1), "")</f>
        <v/>
      </c>
      <c r="CZ18" s="94" t="str">
        <f t="array" ref="CZ18">IFERROR(INDEX(Skill!$X:$X, MATCH(CZ$4, Skill!$C:$C, 0), 1), "")</f>
        <v/>
      </c>
      <c r="DA18" s="94" t="str">
        <f t="array" ref="DA18">IFERROR(INDEX(Skill!$X:$X, MATCH(DA$4, Skill!$C:$C, 0), 1), "")</f>
        <v/>
      </c>
      <c r="DB18" s="94" t="str">
        <f t="array" ref="DB18">IFERROR(INDEX(Skill!$X:$X, MATCH(DB$4, Skill!$C:$C, 0), 1), "")</f>
        <v/>
      </c>
      <c r="DC18" s="94" t="str">
        <f t="array" ref="DC18">IFERROR(INDEX(Skill!$X:$X, MATCH(DC$4, Skill!$C:$C, 0), 1), "")</f>
        <v/>
      </c>
      <c r="DD18" s="94" t="str">
        <f t="array" ref="DD18">IFERROR(INDEX(Skill!$X:$X, MATCH(DD$4, Skill!$C:$C, 0), 1), "")</f>
        <v/>
      </c>
      <c r="DE18" s="94" t="str">
        <f t="array" ref="DE18">IFERROR(INDEX(Skill!$X:$X, MATCH(DE$4, Skill!$C:$C, 0), 1), "")</f>
        <v/>
      </c>
      <c r="DF18" s="94" t="str">
        <f t="array" ref="DF18">IFERROR(INDEX(Skill!$X:$X, MATCH(DF$4, Skill!$C:$C, 0), 1), "")</f>
        <v/>
      </c>
      <c r="DG18" s="94" t="str">
        <f t="array" ref="DG18">IFERROR(INDEX(Skill!$X:$X, MATCH(DG$4, Skill!$C:$C, 0), 1), "")</f>
        <v/>
      </c>
      <c r="DH18" s="94" t="str">
        <f t="array" ref="DH18">IFERROR(INDEX(Skill!$X:$X, MATCH(DH$4, Skill!$C:$C, 0), 1), "")</f>
        <v/>
      </c>
      <c r="DI18" s="94" t="str">
        <f t="array" ref="DI18">IFERROR(INDEX(Skill!$X:$X, MATCH(DI$4, Skill!$C:$C, 0), 1), "")</f>
        <v/>
      </c>
      <c r="DJ18" s="94" t="str">
        <f t="array" ref="DJ18">IFERROR(INDEX(Skill!$X:$X, MATCH(DJ$4, Skill!$C:$C, 0), 1), "")</f>
        <v/>
      </c>
      <c r="DK18" s="94" t="str">
        <f t="array" ref="DK18">IFERROR(INDEX(Skill!$X:$X, MATCH(DK$4, Skill!$C:$C, 0), 1), "")</f>
        <v/>
      </c>
      <c r="DL18" s="94" t="str">
        <f t="array" ref="DL18">IFERROR(INDEX(Skill!$X:$X, MATCH(DL$4, Skill!$C:$C, 0), 1), "")</f>
        <v/>
      </c>
      <c r="DM18" s="94" t="str">
        <f t="array" ref="DM18">IFERROR(INDEX(Skill!$X:$X, MATCH(DM$4, Skill!$C:$C, 0), 1), "")</f>
        <v/>
      </c>
      <c r="DN18" s="94" t="str">
        <f t="array" ref="DN18">IFERROR(INDEX(Skill!$X:$X, MATCH(DN$4, Skill!$C:$C, 0), 1), "")</f>
        <v/>
      </c>
      <c r="DO18" s="94" t="str">
        <f t="array" ref="DO18">IFERROR(INDEX(Skill!$X:$X, MATCH(DO$4, Skill!$C:$C, 0), 1), "")</f>
        <v/>
      </c>
      <c r="DP18" s="94" t="str">
        <f t="array" ref="DP18">IFERROR(INDEX(Skill!$X:$X, MATCH(DP$4, Skill!$C:$C, 0), 1), "")</f>
        <v/>
      </c>
      <c r="DQ18" s="94" t="str">
        <f t="array" ref="DQ18">IFERROR(INDEX(Skill!$X:$X, MATCH(DQ$4, Skill!$C:$C, 0), 1), "")</f>
        <v/>
      </c>
      <c r="DR18" s="94" t="str">
        <f t="array" ref="DR18">IFERROR(INDEX(Skill!$X:$X, MATCH(DR$4, Skill!$C:$C, 0), 1), "")</f>
        <v/>
      </c>
      <c r="DS18" s="94" t="str">
        <f t="array" ref="DS18">IFERROR(INDEX(Skill!$X:$X, MATCH(DS$4, Skill!$C:$C, 0), 1), "")</f>
        <v/>
      </c>
      <c r="DT18" s="94" t="str">
        <f t="array" ref="DT18">IFERROR(INDEX(Skill!$X:$X, MATCH(DT$4, Skill!$C:$C, 0), 1), "")</f>
        <v/>
      </c>
      <c r="DU18" s="94" t="str">
        <f t="array" ref="DU18">IFERROR(INDEX(Skill!$X:$X, MATCH(DU$4, Skill!$C:$C, 0), 1), "")</f>
        <v/>
      </c>
      <c r="DV18" s="94" t="str">
        <f t="array" ref="DV18">IFERROR(INDEX(Skill!$X:$X, MATCH(DV$4, Skill!$C:$C, 0), 1), "")</f>
        <v/>
      </c>
      <c r="DW18" s="94" t="str">
        <f t="array" ref="DW18">IFERROR(INDEX(Skill!$X:$X, MATCH(DW$4, Skill!$C:$C, 0), 1), "")</f>
        <v/>
      </c>
      <c r="DX18" s="94" t="str">
        <f t="array" ref="DX18">IFERROR(INDEX(Skill!$X:$X, MATCH(DX$4, Skill!$C:$C, 0), 1), "")</f>
        <v/>
      </c>
      <c r="DY18" s="94" t="str">
        <f t="array" ref="DY18">IFERROR(INDEX(Skill!$X:$X, MATCH(DY$4, Skill!$C:$C, 0), 1), "")</f>
        <v/>
      </c>
      <c r="DZ18" s="94" t="str">
        <f t="array" ref="DZ18">IFERROR(INDEX(Skill!$X:$X, MATCH(DZ$4, Skill!$C:$C, 0), 1), "")</f>
        <v/>
      </c>
      <c r="EA18" s="89" t="str">
        <f t="array" ref="EA18">IFERROR(INDEX(Skill!$X:$X, MATCH(EA$4, Skill!$C:$C, 0), 1), "")</f>
        <v/>
      </c>
      <c r="EB18" s="89" t="str">
        <f t="array" ref="EB18">IFERROR(INDEX(Skill!$X:$X, MATCH(EB$4, Skill!$C:$C, 0), 1), "")</f>
        <v/>
      </c>
      <c r="EC18" s="89" t="str">
        <f t="array" ref="EC18">IFERROR(INDEX(Skill!$X:$X, MATCH(EC$4, Skill!$C:$C, 0), 1), "")</f>
        <v/>
      </c>
      <c r="ED18" s="94" t="str">
        <f t="array" ref="ED18">IFERROR(INDEX(Skill!$X:$X, MATCH(ED$4, Skill!$C:$C, 0), 1), "")</f>
        <v/>
      </c>
      <c r="EE18" s="102"/>
      <c r="EF18" s="102"/>
      <c r="EG18" s="102"/>
      <c r="EH18" s="102"/>
      <c r="EI18" s="102"/>
      <c r="EJ18" s="102"/>
      <c r="EK18" s="102"/>
      <c r="EL18" s="102"/>
      <c r="EM18" s="102"/>
      <c r="EN18" s="102"/>
      <c r="EO18" s="102"/>
      <c r="EP18" s="102"/>
      <c r="EQ18" s="102"/>
      <c r="ER18" s="103"/>
      <c r="ES18" s="103"/>
      <c r="ET18" s="103"/>
      <c r="EU18" s="76"/>
      <c r="EV18" s="76"/>
      <c r="EW18" s="76"/>
      <c r="EX18" s="76"/>
      <c r="EY18" s="76"/>
      <c r="EZ18" s="76"/>
      <c r="FA18" s="76"/>
      <c r="FB18" s="76"/>
      <c r="FC18" s="76"/>
      <c r="FD18" s="76"/>
      <c r="FE18" s="76"/>
      <c r="FF18" s="76"/>
      <c r="FG18" s="76"/>
      <c r="FH18" s="76"/>
      <c r="FI18" s="76"/>
      <c r="FJ18" s="76"/>
      <c r="FK18" s="76"/>
      <c r="FL18" s="76"/>
      <c r="FM18" s="76"/>
      <c r="FN18" s="76"/>
      <c r="FO18" s="91"/>
    </row>
    <row r="19" hidden="1">
      <c r="B19" s="84"/>
      <c r="C19" s="83"/>
      <c r="D19" s="83"/>
      <c r="E19" s="105" t="s">
        <v>10</v>
      </c>
      <c r="F19" s="84"/>
      <c r="G19" s="84"/>
      <c r="H19" s="84"/>
      <c r="I19" s="84"/>
      <c r="J19" s="84"/>
      <c r="K19" s="94" t="str">
        <f t="array" ref="K19">IFERROR(INDEX(Skill!$W:$W, MATCH(K$4, Skill!$C:$C, 0), 1), "")</f>
        <v/>
      </c>
      <c r="L19" s="94" t="str">
        <f t="array" ref="L19">IFERROR(INDEX(Skill!$W:$W, MATCH(L$4, Skill!$C:$C, 0), 1), "")</f>
        <v/>
      </c>
      <c r="M19" s="94" t="str">
        <f t="array" ref="M19">IFERROR(INDEX(Skill!$W:$W, MATCH(M$4, Skill!$C:$C, 0), 1), "")</f>
        <v/>
      </c>
      <c r="N19" s="94">
        <f t="array" ref="N19">IFERROR(INDEX(Skill!$W:$W, MATCH(N$4, Skill!$C:$C, 0), 1), "")</f>
        <v>0.8</v>
      </c>
      <c r="O19" s="94" t="str">
        <f t="array" ref="O19">IFERROR(INDEX(Skill!$W:$W, MATCH(O$4, Skill!$C:$C, 0), 1), "")</f>
        <v/>
      </c>
      <c r="P19" s="94" t="str">
        <f t="array" ref="P19">IFERROR(INDEX(Skill!$W:$W, MATCH(P$4, Skill!$C:$C, 0), 1), "")</f>
        <v/>
      </c>
      <c r="Q19" s="94" t="str">
        <f t="array" ref="Q19">IFERROR(INDEX(Skill!$W:$W, MATCH(Q$4, Skill!$C:$C, 0), 1), "")</f>
        <v/>
      </c>
      <c r="R19" s="94" t="str">
        <f t="array" ref="R19">IFERROR(INDEX(Skill!$W:$W, MATCH(R$4, Skill!$C:$C, 0), 1), "")</f>
        <v/>
      </c>
      <c r="S19" s="94" t="str">
        <f t="array" ref="S19">IFERROR(INDEX(Skill!$W:$W, MATCH(S$4, Skill!$C:$C, 0), 1), "")</f>
        <v/>
      </c>
      <c r="T19" s="94" t="str">
        <f t="array" ref="T19">IFERROR(INDEX(Skill!$W:$W, MATCH(T$4, Skill!$C:$C, 0), 1), "")</f>
        <v/>
      </c>
      <c r="U19" s="94" t="str">
        <f t="array" ref="U19">IFERROR(INDEX(Skill!$W:$W, MATCH(U$4, Skill!$C:$C, 0), 1), "")</f>
        <v/>
      </c>
      <c r="V19" s="94" t="str">
        <f t="array" ref="V19">IFERROR(INDEX(Skill!$W:$W, MATCH(V$4, Skill!$C:$C, 0), 1), "")</f>
        <v/>
      </c>
      <c r="W19" s="94" t="str">
        <f t="array" ref="W19">IFERROR(INDEX(Skill!$W:$W, MATCH(W$4, Skill!$C:$C, 0), 1), "")</f>
        <v/>
      </c>
      <c r="X19" s="94" t="str">
        <f t="array" ref="X19">IFERROR(INDEX(Skill!$W:$W, MATCH(X$4, Skill!$C:$C, 0), 1), "")</f>
        <v/>
      </c>
      <c r="Y19" s="94" t="str">
        <f t="array" ref="Y19">IFERROR(INDEX(Skill!$W:$W, MATCH(Y$4, Skill!$C:$C, 0), 1), "")</f>
        <v/>
      </c>
      <c r="Z19" s="94" t="str">
        <f t="array" ref="Z19">IFERROR(INDEX(Skill!$W:$W, MATCH(Z$4, Skill!$C:$C, 0), 1), "")</f>
        <v/>
      </c>
      <c r="AA19" s="94" t="str">
        <f t="array" ref="AA19">IFERROR(INDEX(Skill!$W:$W, MATCH(AA$4, Skill!$C:$C, 0), 1), "")</f>
        <v/>
      </c>
      <c r="AB19" s="94" t="str">
        <f t="array" ref="AB19">IFERROR(INDEX(Skill!$W:$W, MATCH(AB$4, Skill!$C:$C, 0), 1), "")</f>
        <v/>
      </c>
      <c r="AC19" s="94" t="str">
        <f t="array" ref="AC19">IFERROR(INDEX(Skill!$W:$W, MATCH(AC$4, Skill!$C:$C, 0), 1), "")</f>
        <v/>
      </c>
      <c r="AD19" s="94" t="str">
        <f t="array" ref="AD19">IFERROR(INDEX(Skill!$W:$W, MATCH(AD$4, Skill!$C:$C, 0), 1), "")</f>
        <v/>
      </c>
      <c r="AE19" s="94" t="str">
        <f t="array" ref="AE19">IFERROR(INDEX(Skill!$W:$W, MATCH(AE$4, Skill!$C:$C, 0), 1), "")</f>
        <v/>
      </c>
      <c r="AF19" s="94" t="str">
        <f t="array" ref="AF19">IFERROR(INDEX(Skill!$W:$W, MATCH(AF$4, Skill!$C:$C, 0), 1), "")</f>
        <v/>
      </c>
      <c r="AG19" s="94" t="str">
        <f t="array" ref="AG19">IFERROR(INDEX(Skill!$W:$W, MATCH(AG$4, Skill!$C:$C, 0), 1), "")</f>
        <v/>
      </c>
      <c r="AH19" s="94" t="str">
        <f t="array" ref="AH19">IFERROR(INDEX(Skill!$W:$W, MATCH(AH$4, Skill!$C:$C, 0), 1), "")</f>
        <v/>
      </c>
      <c r="AI19" s="94" t="str">
        <f t="array" ref="AI19">IFERROR(INDEX(Skill!$W:$W, MATCH(AI$4, Skill!$C:$C, 0), 1), "")</f>
        <v/>
      </c>
      <c r="AJ19" s="94" t="str">
        <f t="array" ref="AJ19">IFERROR(INDEX(Skill!$W:$W, MATCH(AJ$4, Skill!$C:$C, 0), 1), "")</f>
        <v/>
      </c>
      <c r="AK19" s="94" t="str">
        <f t="array" ref="AK19">IFERROR(INDEX(Skill!$W:$W, MATCH(AK$4, Skill!$C:$C, 0), 1), "")</f>
        <v/>
      </c>
      <c r="AL19" s="94" t="str">
        <f t="array" ref="AL19">IFERROR(INDEX(Skill!$W:$W, MATCH(AL$4, Skill!$C:$C, 0), 1), "")</f>
        <v/>
      </c>
      <c r="AM19" s="94" t="str">
        <f t="array" ref="AM19">IFERROR(INDEX(Skill!$W:$W, MATCH(AM$4, Skill!$C:$C, 0), 1), "")</f>
        <v/>
      </c>
      <c r="AN19" s="94" t="str">
        <f t="array" ref="AN19">IFERROR(INDEX(Skill!$W:$W, MATCH(AN$4, Skill!$C:$C, 0), 1), "")</f>
        <v/>
      </c>
      <c r="AO19" s="94" t="str">
        <f t="array" ref="AO19">IFERROR(INDEX(Skill!$W:$W, MATCH(AO$4, Skill!$C:$C, 0), 1), "")</f>
        <v/>
      </c>
      <c r="AP19" s="94" t="str">
        <f t="array" ref="AP19">IFERROR(INDEX(Skill!$W:$W, MATCH(AP$4, Skill!$C:$C, 0), 1), "")</f>
        <v/>
      </c>
      <c r="AQ19" s="94" t="str">
        <f t="array" ref="AQ19">IFERROR(INDEX(Skill!$W:$W, MATCH(AQ$4, Skill!$C:$C, 0), 1), "")</f>
        <v/>
      </c>
      <c r="AR19" s="94" t="str">
        <f t="array" ref="AR19">IFERROR(INDEX(Skill!$W:$W, MATCH(AR$4, Skill!$C:$C, 0), 1), "")</f>
        <v/>
      </c>
      <c r="AS19" s="94" t="str">
        <f t="array" ref="AS19">IFERROR(INDEX(Skill!$W:$W, MATCH(AS$4, Skill!$C:$C, 0), 1), "")</f>
        <v/>
      </c>
      <c r="AT19" s="94" t="str">
        <f t="array" ref="AT19">IFERROR(INDEX(Skill!$W:$W, MATCH(AT$4, Skill!$C:$C, 0), 1), "")</f>
        <v/>
      </c>
      <c r="AU19" s="94" t="str">
        <f t="array" ref="AU19">IFERROR(INDEX(Skill!$W:$W, MATCH(AU$4, Skill!$C:$C, 0), 1), "")</f>
        <v/>
      </c>
      <c r="AV19" s="94" t="str">
        <f t="array" ref="AV19">IFERROR(INDEX(Skill!$W:$W, MATCH(AV$4, Skill!$C:$C, 0), 1), "")</f>
        <v/>
      </c>
      <c r="AW19" s="94" t="str">
        <f t="array" ref="AW19">IFERROR(INDEX(Skill!$W:$W, MATCH(AW$4, Skill!$C:$C, 0), 1), "")</f>
        <v/>
      </c>
      <c r="AX19" s="94" t="str">
        <f t="array" ref="AX19">IFERROR(INDEX(Skill!$W:$W, MATCH(AX$4, Skill!$C:$C, 0), 1), "")</f>
        <v/>
      </c>
      <c r="AY19" s="94" t="str">
        <f t="array" ref="AY19">IFERROR(INDEX(Skill!$W:$W, MATCH(AY$4, Skill!$C:$C, 0), 1), "")</f>
        <v/>
      </c>
      <c r="AZ19" s="94" t="str">
        <f t="array" ref="AZ19">IFERROR(INDEX(Skill!$W:$W, MATCH(AZ$4, Skill!$C:$C, 0), 1), "")</f>
        <v/>
      </c>
      <c r="BA19" s="94" t="str">
        <f t="array" ref="BA19">IFERROR(INDEX(Skill!$W:$W, MATCH(BA$4, Skill!$C:$C, 0), 1), "")</f>
        <v/>
      </c>
      <c r="BB19" s="94" t="str">
        <f t="array" ref="BB19">IFERROR(INDEX(Skill!$W:$W, MATCH(BB$4, Skill!$C:$C, 0), 1), "")</f>
        <v/>
      </c>
      <c r="BC19" s="94" t="str">
        <f t="array" ref="BC19">IFERROR(INDEX(Skill!$W:$W, MATCH(BC$4, Skill!$C:$C, 0), 1), "")</f>
        <v/>
      </c>
      <c r="BD19" s="94" t="str">
        <f t="array" ref="BD19">IFERROR(INDEX(Skill!$W:$W, MATCH(BD$4, Skill!$C:$C, 0), 1), "")</f>
        <v/>
      </c>
      <c r="BE19" s="94" t="str">
        <f t="array" ref="BE19">IFERROR(INDEX(Skill!$W:$W, MATCH(BE$4, Skill!$C:$C, 0), 1), "")</f>
        <v/>
      </c>
      <c r="BF19" s="94" t="str">
        <f t="array" ref="BF19">IFERROR(INDEX(Skill!$W:$W, MATCH(BF$4, Skill!$C:$C, 0), 1), "")</f>
        <v/>
      </c>
      <c r="BG19" s="94" t="str">
        <f t="array" ref="BG19">IFERROR(INDEX(Skill!$W:$W, MATCH(BG$4, Skill!$C:$C, 0), 1), "")</f>
        <v/>
      </c>
      <c r="BH19" s="94" t="str">
        <f t="array" ref="BH19">IFERROR(INDEX(Skill!$W:$W, MATCH(BH$4, Skill!$C:$C, 0), 1), "")</f>
        <v/>
      </c>
      <c r="BI19" s="94" t="str">
        <f t="array" ref="BI19">IFERROR(INDEX(Skill!$W:$W, MATCH(BI$4, Skill!$C:$C, 0), 1), "")</f>
        <v/>
      </c>
      <c r="BJ19" s="94" t="str">
        <f t="array" ref="BJ19">IFERROR(INDEX(Skill!$W:$W, MATCH(BJ$4, Skill!$C:$C, 0), 1), "")</f>
        <v/>
      </c>
      <c r="BK19" s="94" t="str">
        <f t="array" ref="BK19">IFERROR(INDEX(Skill!$W:$W, MATCH(BK$4, Skill!$C:$C, 0), 1), "")</f>
        <v/>
      </c>
      <c r="BL19" s="94" t="str">
        <f t="array" ref="BL19">IFERROR(INDEX(Skill!$W:$W, MATCH(BL$4, Skill!$C:$C, 0), 1), "")</f>
        <v/>
      </c>
      <c r="BM19" s="94" t="str">
        <f t="array" ref="BM19">IFERROR(INDEX(Skill!$W:$W, MATCH(BM$4, Skill!$C:$C, 0), 1), "")</f>
        <v/>
      </c>
      <c r="BN19" s="94" t="str">
        <f t="array" ref="BN19">IFERROR(INDEX(Skill!$W:$W, MATCH(BN$4, Skill!$C:$C, 0), 1), "")</f>
        <v/>
      </c>
      <c r="BO19" s="94" t="str">
        <f t="array" ref="BO19">IFERROR(INDEX(Skill!$W:$W, MATCH(BO$4, Skill!$C:$C, 0), 1), "")</f>
        <v/>
      </c>
      <c r="BP19" s="94" t="str">
        <f t="array" ref="BP19">IFERROR(INDEX(Skill!$W:$W, MATCH(BP$4, Skill!$C:$C, 0), 1), "")</f>
        <v/>
      </c>
      <c r="BQ19" s="94" t="str">
        <f t="array" ref="BQ19">IFERROR(INDEX(Skill!$W:$W, MATCH(BQ$4, Skill!$C:$C, 0), 1), "")</f>
        <v/>
      </c>
      <c r="BR19" s="94" t="str">
        <f t="array" ref="BR19">IFERROR(INDEX(Skill!$W:$W, MATCH(BR$4, Skill!$C:$C, 0), 1), "")</f>
        <v/>
      </c>
      <c r="BS19" s="94" t="str">
        <f t="array" ref="BS19">IFERROR(INDEX(Skill!$W:$W, MATCH(BS$4, Skill!$C:$C, 0), 1), "")</f>
        <v/>
      </c>
      <c r="BT19" s="94" t="str">
        <f t="array" ref="BT19">IFERROR(INDEX(Skill!$W:$W, MATCH(BT$4, Skill!$C:$C, 0), 1), "")</f>
        <v/>
      </c>
      <c r="BU19" s="94" t="str">
        <f t="array" ref="BU19">IFERROR(INDEX(Skill!$W:$W, MATCH(BU$4, Skill!$C:$C, 0), 1), "")</f>
        <v/>
      </c>
      <c r="BV19" s="94" t="str">
        <f t="array" ref="BV19">IFERROR(INDEX(Skill!$W:$W, MATCH(BV$4, Skill!$C:$C, 0), 1), "")</f>
        <v/>
      </c>
      <c r="BW19" s="94" t="str">
        <f t="array" ref="BW19">IFERROR(INDEX(Skill!$W:$W, MATCH(BW$4, Skill!$C:$C, 0), 1), "")</f>
        <v/>
      </c>
      <c r="BX19" s="94" t="str">
        <f t="array" ref="BX19">IFERROR(INDEX(Skill!$W:$W, MATCH(BX$4, Skill!$C:$C, 0), 1), "")</f>
        <v/>
      </c>
      <c r="BY19" s="94" t="str">
        <f t="array" ref="BY19">IFERROR(INDEX(Skill!$W:$W, MATCH(BY$4, Skill!$C:$C, 0), 1), "")</f>
        <v/>
      </c>
      <c r="BZ19" s="94" t="str">
        <f t="array" ref="BZ19">IFERROR(INDEX(Skill!$W:$W, MATCH(BZ$4, Skill!$C:$C, 0), 1), "")</f>
        <v/>
      </c>
      <c r="CA19" s="94" t="str">
        <f t="array" ref="CA19">IFERROR(INDEX(Skill!$W:$W, MATCH(CA$4, Skill!$C:$C, 0), 1), "")</f>
        <v/>
      </c>
      <c r="CB19" s="94" t="str">
        <f t="array" ref="CB19">IFERROR(INDEX(Skill!$W:$W, MATCH(CB$4, Skill!$C:$C, 0), 1), "")</f>
        <v/>
      </c>
      <c r="CC19" s="94" t="str">
        <f t="array" ref="CC19">IFERROR(INDEX(Skill!$W:$W, MATCH(CC$4, Skill!$C:$C, 0), 1), "")</f>
        <v/>
      </c>
      <c r="CD19" s="94" t="str">
        <f t="array" ref="CD19">IFERROR(INDEX(Skill!$W:$W, MATCH(CD$4, Skill!$C:$C, 0), 1), "")</f>
        <v/>
      </c>
      <c r="CE19" s="94" t="str">
        <f t="array" ref="CE19">IFERROR(INDEX(Skill!$W:$W, MATCH(CE$4, Skill!$C:$C, 0), 1), "")</f>
        <v/>
      </c>
      <c r="CF19" s="94" t="str">
        <f t="array" ref="CF19">IFERROR(INDEX(Skill!$W:$W, MATCH(CF$4, Skill!$C:$C, 0), 1), "")</f>
        <v/>
      </c>
      <c r="CG19" s="94" t="str">
        <f t="array" ref="CG19">IFERROR(INDEX(Skill!$W:$W, MATCH(CG$4, Skill!$C:$C, 0), 1), "")</f>
        <v/>
      </c>
      <c r="CH19" s="94" t="str">
        <f t="array" ref="CH19">IFERROR(INDEX(Skill!$W:$W, MATCH(CH$4, Skill!$C:$C, 0), 1), "")</f>
        <v/>
      </c>
      <c r="CI19" s="94" t="str">
        <f t="array" ref="CI19">IFERROR(INDEX(Skill!$W:$W, MATCH(CI$4, Skill!$C:$C, 0), 1), "")</f>
        <v/>
      </c>
      <c r="CJ19" s="94" t="str">
        <f t="array" ref="CJ19">IFERROR(INDEX(Skill!$W:$W, MATCH(CJ$4, Skill!$C:$C, 0), 1), "")</f>
        <v/>
      </c>
      <c r="CK19" s="94" t="str">
        <f t="array" ref="CK19">IFERROR(INDEX(Skill!$W:$W, MATCH(CK$4, Skill!$C:$C, 0), 1), "")</f>
        <v/>
      </c>
      <c r="CL19" s="94" t="str">
        <f t="array" ref="CL19">IFERROR(INDEX(Skill!$W:$W, MATCH(CL$4, Skill!$C:$C, 0), 1), "")</f>
        <v/>
      </c>
      <c r="CM19" s="94" t="str">
        <f t="array" ref="CM19">IFERROR(INDEX(Skill!$W:$W, MATCH(CM$4, Skill!$C:$C, 0), 1), "")</f>
        <v/>
      </c>
      <c r="CN19" s="94" t="str">
        <f t="array" ref="CN19">IFERROR(INDEX(Skill!$W:$W, MATCH(CN$4, Skill!$C:$C, 0), 1), "")</f>
        <v/>
      </c>
      <c r="CO19" s="94" t="str">
        <f t="array" ref="CO19">IFERROR(INDEX(Skill!$W:$W, MATCH(CO$4, Skill!$C:$C, 0), 1), "")</f>
        <v/>
      </c>
      <c r="CP19" s="94" t="str">
        <f t="array" ref="CP19">IFERROR(INDEX(Skill!$W:$W, MATCH(CP$4, Skill!$C:$C, 0), 1), "")</f>
        <v/>
      </c>
      <c r="CQ19" s="94" t="str">
        <f t="array" ref="CQ19">IFERROR(INDEX(Skill!$W:$W, MATCH(CQ$4, Skill!$C:$C, 0), 1), "")</f>
        <v/>
      </c>
      <c r="CR19" s="94" t="str">
        <f t="array" ref="CR19">IFERROR(INDEX(Skill!$W:$W, MATCH(CR$4, Skill!$C:$C, 0), 1), "")</f>
        <v/>
      </c>
      <c r="CS19" s="94" t="str">
        <f t="array" ref="CS19">IFERROR(INDEX(Skill!$W:$W, MATCH(CS$4, Skill!$C:$C, 0), 1), "")</f>
        <v/>
      </c>
      <c r="CT19" s="94" t="str">
        <f t="array" ref="CT19">IFERROR(INDEX(Skill!$W:$W, MATCH(CT$4, Skill!$C:$C, 0), 1), "")</f>
        <v/>
      </c>
      <c r="CU19" s="94" t="str">
        <f t="array" ref="CU19">IFERROR(INDEX(Skill!$W:$W, MATCH(CU$4, Skill!$C:$C, 0), 1), "")</f>
        <v/>
      </c>
      <c r="CV19" s="94" t="str">
        <f t="array" ref="CV19">IFERROR(INDEX(Skill!$W:$W, MATCH(CV$4, Skill!$C:$C, 0), 1), "")</f>
        <v/>
      </c>
      <c r="CW19" s="94" t="str">
        <f t="array" ref="CW19">IFERROR(INDEX(Skill!$W:$W, MATCH(CW$4, Skill!$C:$C, 0), 1), "")</f>
        <v/>
      </c>
      <c r="CX19" s="94" t="str">
        <f t="array" ref="CX19">IFERROR(INDEX(Skill!$W:$W, MATCH(CX$4, Skill!$C:$C, 0), 1), "")</f>
        <v/>
      </c>
      <c r="CY19" s="94" t="str">
        <f t="array" ref="CY19">IFERROR(INDEX(Skill!$W:$W, MATCH(CY$4, Skill!$C:$C, 0), 1), "")</f>
        <v/>
      </c>
      <c r="CZ19" s="94" t="str">
        <f t="array" ref="CZ19">IFERROR(INDEX(Skill!$W:$W, MATCH(CZ$4, Skill!$C:$C, 0), 1), "")</f>
        <v/>
      </c>
      <c r="DA19" s="94" t="str">
        <f t="array" ref="DA19">IFERROR(INDEX(Skill!$W:$W, MATCH(DA$4, Skill!$C:$C, 0), 1), "")</f>
        <v/>
      </c>
      <c r="DB19" s="94" t="str">
        <f t="array" ref="DB19">IFERROR(INDEX(Skill!$W:$W, MATCH(DB$4, Skill!$C:$C, 0), 1), "")</f>
        <v/>
      </c>
      <c r="DC19" s="94" t="str">
        <f t="array" ref="DC19">IFERROR(INDEX(Skill!$W:$W, MATCH(DC$4, Skill!$C:$C, 0), 1), "")</f>
        <v/>
      </c>
      <c r="DD19" s="94" t="str">
        <f t="array" ref="DD19">IFERROR(INDEX(Skill!$W:$W, MATCH(DD$4, Skill!$C:$C, 0), 1), "")</f>
        <v/>
      </c>
      <c r="DE19" s="94" t="str">
        <f t="array" ref="DE19">IFERROR(INDEX(Skill!$W:$W, MATCH(DE$4, Skill!$C:$C, 0), 1), "")</f>
        <v/>
      </c>
      <c r="DF19" s="94" t="str">
        <f t="array" ref="DF19">IFERROR(INDEX(Skill!$W:$W, MATCH(DF$4, Skill!$C:$C, 0), 1), "")</f>
        <v/>
      </c>
      <c r="DG19" s="94" t="str">
        <f t="array" ref="DG19">IFERROR(INDEX(Skill!$W:$W, MATCH(DG$4, Skill!$C:$C, 0), 1), "")</f>
        <v/>
      </c>
      <c r="DH19" s="94" t="str">
        <f t="array" ref="DH19">IFERROR(INDEX(Skill!$W:$W, MATCH(DH$4, Skill!$C:$C, 0), 1), "")</f>
        <v/>
      </c>
      <c r="DI19" s="94" t="str">
        <f t="array" ref="DI19">IFERROR(INDEX(Skill!$W:$W, MATCH(DI$4, Skill!$C:$C, 0), 1), "")</f>
        <v/>
      </c>
      <c r="DJ19" s="94" t="str">
        <f t="array" ref="DJ19">IFERROR(INDEX(Skill!$W:$W, MATCH(DJ$4, Skill!$C:$C, 0), 1), "")</f>
        <v/>
      </c>
      <c r="DK19" s="94" t="str">
        <f t="array" ref="DK19">IFERROR(INDEX(Skill!$W:$W, MATCH(DK$4, Skill!$C:$C, 0), 1), "")</f>
        <v/>
      </c>
      <c r="DL19" s="94" t="str">
        <f t="array" ref="DL19">IFERROR(INDEX(Skill!$W:$W, MATCH(DL$4, Skill!$C:$C, 0), 1), "")</f>
        <v/>
      </c>
      <c r="DM19" s="94" t="str">
        <f t="array" ref="DM19">IFERROR(INDEX(Skill!$W:$W, MATCH(DM$4, Skill!$C:$C, 0), 1), "")</f>
        <v/>
      </c>
      <c r="DN19" s="94" t="str">
        <f t="array" ref="DN19">IFERROR(INDEX(Skill!$W:$W, MATCH(DN$4, Skill!$C:$C, 0), 1), "")</f>
        <v/>
      </c>
      <c r="DO19" s="94" t="str">
        <f t="array" ref="DO19">IFERROR(INDEX(Skill!$W:$W, MATCH(DO$4, Skill!$C:$C, 0), 1), "")</f>
        <v/>
      </c>
      <c r="DP19" s="94" t="str">
        <f t="array" ref="DP19">IFERROR(INDEX(Skill!$W:$W, MATCH(DP$4, Skill!$C:$C, 0), 1), "")</f>
        <v/>
      </c>
      <c r="DQ19" s="94" t="str">
        <f t="array" ref="DQ19">IFERROR(INDEX(Skill!$W:$W, MATCH(DQ$4, Skill!$C:$C, 0), 1), "")</f>
        <v/>
      </c>
      <c r="DR19" s="94" t="str">
        <f t="array" ref="DR19">IFERROR(INDEX(Skill!$W:$W, MATCH(DR$4, Skill!$C:$C, 0), 1), "")</f>
        <v/>
      </c>
      <c r="DS19" s="94" t="str">
        <f t="array" ref="DS19">IFERROR(INDEX(Skill!$W:$W, MATCH(DS$4, Skill!$C:$C, 0), 1), "")</f>
        <v/>
      </c>
      <c r="DT19" s="94" t="str">
        <f t="array" ref="DT19">IFERROR(INDEX(Skill!$W:$W, MATCH(DT$4, Skill!$C:$C, 0), 1), "")</f>
        <v/>
      </c>
      <c r="DU19" s="94" t="str">
        <f t="array" ref="DU19">IFERROR(INDEX(Skill!$W:$W, MATCH(DU$4, Skill!$C:$C, 0), 1), "")</f>
        <v/>
      </c>
      <c r="DV19" s="94" t="str">
        <f t="array" ref="DV19">IFERROR(INDEX(Skill!$W:$W, MATCH(DV$4, Skill!$C:$C, 0), 1), "")</f>
        <v/>
      </c>
      <c r="DW19" s="94" t="str">
        <f t="array" ref="DW19">IFERROR(INDEX(Skill!$W:$W, MATCH(DW$4, Skill!$C:$C, 0), 1), "")</f>
        <v/>
      </c>
      <c r="DX19" s="94" t="str">
        <f t="array" ref="DX19">IFERROR(INDEX(Skill!$W:$W, MATCH(DX$4, Skill!$C:$C, 0), 1), "")</f>
        <v/>
      </c>
      <c r="DY19" s="94" t="str">
        <f t="array" ref="DY19">IFERROR(INDEX(Skill!$W:$W, MATCH(DY$4, Skill!$C:$C, 0), 1), "")</f>
        <v/>
      </c>
      <c r="DZ19" s="94" t="str">
        <f t="array" ref="DZ19">IFERROR(INDEX(Skill!$W:$W, MATCH(DZ$4, Skill!$C:$C, 0), 1), "")</f>
        <v/>
      </c>
      <c r="EA19" s="89" t="str">
        <f t="array" ref="EA19">IFERROR(INDEX(Skill!$W:$W, MATCH(EA$4, Skill!$C:$C, 0), 1), "")</f>
        <v/>
      </c>
      <c r="EB19" s="89" t="str">
        <f t="array" ref="EB19">IFERROR(INDEX(Skill!$W:$W, MATCH(EB$4, Skill!$C:$C, 0), 1), "")</f>
        <v/>
      </c>
      <c r="EC19" s="89" t="str">
        <f t="array" ref="EC19">IFERROR(INDEX(Skill!$W:$W, MATCH(EC$4, Skill!$C:$C, 0), 1), "")</f>
        <v/>
      </c>
      <c r="ED19" s="94" t="str">
        <f t="array" ref="ED19">IFERROR(INDEX(Skill!$W:$W, MATCH(ED$4, Skill!$C:$C, 0), 1), "")</f>
        <v/>
      </c>
      <c r="EE19" s="102"/>
      <c r="EF19" s="102"/>
      <c r="EG19" s="102"/>
      <c r="EH19" s="102"/>
      <c r="EI19" s="102"/>
      <c r="EJ19" s="102"/>
      <c r="EK19" s="102"/>
      <c r="EL19" s="102"/>
      <c r="EM19" s="102"/>
      <c r="EN19" s="102"/>
      <c r="EO19" s="102"/>
      <c r="EP19" s="102"/>
      <c r="EQ19" s="102"/>
      <c r="ER19" s="103"/>
      <c r="ES19" s="103"/>
      <c r="ET19" s="103"/>
      <c r="EU19" s="76"/>
      <c r="EV19" s="76"/>
      <c r="EW19" s="76"/>
      <c r="EX19" s="76"/>
      <c r="EY19" s="76"/>
      <c r="EZ19" s="76"/>
      <c r="FA19" s="76"/>
      <c r="FB19" s="76"/>
      <c r="FC19" s="76"/>
      <c r="FD19" s="76"/>
      <c r="FE19" s="76"/>
      <c r="FF19" s="76"/>
      <c r="FG19" s="76"/>
      <c r="FH19" s="76"/>
      <c r="FI19" s="76"/>
      <c r="FJ19" s="76"/>
      <c r="FK19" s="76"/>
      <c r="FL19" s="76"/>
      <c r="FM19" s="76"/>
      <c r="FN19" s="76"/>
      <c r="FO19" s="91"/>
    </row>
    <row r="20" hidden="1">
      <c r="B20" s="84"/>
      <c r="C20" s="83"/>
      <c r="D20" s="83"/>
      <c r="E20" s="105" t="s">
        <v>12</v>
      </c>
      <c r="F20" s="84"/>
      <c r="G20" s="84"/>
      <c r="H20" s="84"/>
      <c r="I20" s="84"/>
      <c r="J20" s="84"/>
      <c r="K20" s="94" t="str">
        <f t="array" ref="K20">IFERROR(INDEX(Skill!$Y:$Y, MATCH(K$4, Skill!$C:$C, 0), 1), "")</f>
        <v/>
      </c>
      <c r="L20" s="94" t="str">
        <f t="array" ref="L20">IFERROR(INDEX(Skill!$Y:$Y, MATCH(L$4, Skill!$C:$C, 0), 1), "")</f>
        <v/>
      </c>
      <c r="M20" s="94" t="str">
        <f t="array" ref="M20">IFERROR(INDEX(Skill!$Y:$Y, MATCH(M$4, Skill!$C:$C, 0), 1), "")</f>
        <v/>
      </c>
      <c r="N20" s="94">
        <f t="array" ref="N20">IFERROR(INDEX(Skill!$Y:$Y, MATCH(N$4, Skill!$C:$C, 0), 1), "")</f>
        <v>0.8</v>
      </c>
      <c r="O20" s="94" t="str">
        <f t="array" ref="O20">IFERROR(INDEX(Skill!$Y:$Y, MATCH(O$4, Skill!$C:$C, 0), 1), "")</f>
        <v/>
      </c>
      <c r="P20" s="94" t="str">
        <f t="array" ref="P20">IFERROR(INDEX(Skill!$Y:$Y, MATCH(P$4, Skill!$C:$C, 0), 1), "")</f>
        <v/>
      </c>
      <c r="Q20" s="94" t="str">
        <f t="array" ref="Q20">IFERROR(INDEX(Skill!$Y:$Y, MATCH(Q$4, Skill!$C:$C, 0), 1), "")</f>
        <v/>
      </c>
      <c r="R20" s="94" t="str">
        <f t="array" ref="R20">IFERROR(INDEX(Skill!$Y:$Y, MATCH(R$4, Skill!$C:$C, 0), 1), "")</f>
        <v/>
      </c>
      <c r="S20" s="94" t="str">
        <f t="array" ref="S20">IFERROR(INDEX(Skill!$Y:$Y, MATCH(S$4, Skill!$C:$C, 0), 1), "")</f>
        <v/>
      </c>
      <c r="T20" s="94" t="str">
        <f t="array" ref="T20">IFERROR(INDEX(Skill!$Y:$Y, MATCH(T$4, Skill!$C:$C, 0), 1), "")</f>
        <v/>
      </c>
      <c r="U20" s="94" t="str">
        <f t="array" ref="U20">IFERROR(INDEX(Skill!$Y:$Y, MATCH(U$4, Skill!$C:$C, 0), 1), "")</f>
        <v/>
      </c>
      <c r="V20" s="94" t="str">
        <f t="array" ref="V20">IFERROR(INDEX(Skill!$Y:$Y, MATCH(V$4, Skill!$C:$C, 0), 1), "")</f>
        <v/>
      </c>
      <c r="W20" s="94" t="str">
        <f t="array" ref="W20">IFERROR(INDEX(Skill!$Y:$Y, MATCH(W$4, Skill!$C:$C, 0), 1), "")</f>
        <v/>
      </c>
      <c r="X20" s="94" t="str">
        <f t="array" ref="X20">IFERROR(INDEX(Skill!$Y:$Y, MATCH(X$4, Skill!$C:$C, 0), 1), "")</f>
        <v/>
      </c>
      <c r="Y20" s="94" t="str">
        <f t="array" ref="Y20">IFERROR(INDEX(Skill!$Y:$Y, MATCH(Y$4, Skill!$C:$C, 0), 1), "")</f>
        <v/>
      </c>
      <c r="Z20" s="94" t="str">
        <f t="array" ref="Z20">IFERROR(INDEX(Skill!$Y:$Y, MATCH(Z$4, Skill!$C:$C, 0), 1), "")</f>
        <v/>
      </c>
      <c r="AA20" s="94" t="str">
        <f t="array" ref="AA20">IFERROR(INDEX(Skill!$Y:$Y, MATCH(AA$4, Skill!$C:$C, 0), 1), "")</f>
        <v/>
      </c>
      <c r="AB20" s="94" t="str">
        <f t="array" ref="AB20">IFERROR(INDEX(Skill!$Y:$Y, MATCH(AB$4, Skill!$C:$C, 0), 1), "")</f>
        <v/>
      </c>
      <c r="AC20" s="94" t="str">
        <f t="array" ref="AC20">IFERROR(INDEX(Skill!$Y:$Y, MATCH(AC$4, Skill!$C:$C, 0), 1), "")</f>
        <v/>
      </c>
      <c r="AD20" s="94" t="str">
        <f t="array" ref="AD20">IFERROR(INDEX(Skill!$Y:$Y, MATCH(AD$4, Skill!$C:$C, 0), 1), "")</f>
        <v/>
      </c>
      <c r="AE20" s="94" t="str">
        <f t="array" ref="AE20">IFERROR(INDEX(Skill!$Y:$Y, MATCH(AE$4, Skill!$C:$C, 0), 1), "")</f>
        <v/>
      </c>
      <c r="AF20" s="94" t="str">
        <f t="array" ref="AF20">IFERROR(INDEX(Skill!$Y:$Y, MATCH(AF$4, Skill!$C:$C, 0), 1), "")</f>
        <v/>
      </c>
      <c r="AG20" s="94" t="str">
        <f t="array" ref="AG20">IFERROR(INDEX(Skill!$Y:$Y, MATCH(AG$4, Skill!$C:$C, 0), 1), "")</f>
        <v/>
      </c>
      <c r="AH20" s="94" t="str">
        <f t="array" ref="AH20">IFERROR(INDEX(Skill!$Y:$Y, MATCH(AH$4, Skill!$C:$C, 0), 1), "")</f>
        <v/>
      </c>
      <c r="AI20" s="94" t="str">
        <f t="array" ref="AI20">IFERROR(INDEX(Skill!$Y:$Y, MATCH(AI$4, Skill!$C:$C, 0), 1), "")</f>
        <v/>
      </c>
      <c r="AJ20" s="94" t="str">
        <f t="array" ref="AJ20">IFERROR(INDEX(Skill!$Y:$Y, MATCH(AJ$4, Skill!$C:$C, 0), 1), "")</f>
        <v/>
      </c>
      <c r="AK20" s="94" t="str">
        <f t="array" ref="AK20">IFERROR(INDEX(Skill!$Y:$Y, MATCH(AK$4, Skill!$C:$C, 0), 1), "")</f>
        <v/>
      </c>
      <c r="AL20" s="94" t="str">
        <f t="array" ref="AL20">IFERROR(INDEX(Skill!$Y:$Y, MATCH(AL$4, Skill!$C:$C, 0), 1), "")</f>
        <v/>
      </c>
      <c r="AM20" s="94" t="str">
        <f t="array" ref="AM20">IFERROR(INDEX(Skill!$Y:$Y, MATCH(AM$4, Skill!$C:$C, 0), 1), "")</f>
        <v/>
      </c>
      <c r="AN20" s="94" t="str">
        <f t="array" ref="AN20">IFERROR(INDEX(Skill!$Y:$Y, MATCH(AN$4, Skill!$C:$C, 0), 1), "")</f>
        <v/>
      </c>
      <c r="AO20" s="94" t="str">
        <f t="array" ref="AO20">IFERROR(INDEX(Skill!$Y:$Y, MATCH(AO$4, Skill!$C:$C, 0), 1), "")</f>
        <v/>
      </c>
      <c r="AP20" s="94" t="str">
        <f t="array" ref="AP20">IFERROR(INDEX(Skill!$Y:$Y, MATCH(AP$4, Skill!$C:$C, 0), 1), "")</f>
        <v/>
      </c>
      <c r="AQ20" s="94" t="str">
        <f t="array" ref="AQ20">IFERROR(INDEX(Skill!$Y:$Y, MATCH(AQ$4, Skill!$C:$C, 0), 1), "")</f>
        <v/>
      </c>
      <c r="AR20" s="94" t="str">
        <f t="array" ref="AR20">IFERROR(INDEX(Skill!$Y:$Y, MATCH(AR$4, Skill!$C:$C, 0), 1), "")</f>
        <v/>
      </c>
      <c r="AS20" s="94" t="str">
        <f t="array" ref="AS20">IFERROR(INDEX(Skill!$Y:$Y, MATCH(AS$4, Skill!$C:$C, 0), 1), "")</f>
        <v/>
      </c>
      <c r="AT20" s="94" t="str">
        <f t="array" ref="AT20">IFERROR(INDEX(Skill!$Y:$Y, MATCH(AT$4, Skill!$C:$C, 0), 1), "")</f>
        <v/>
      </c>
      <c r="AU20" s="94" t="str">
        <f t="array" ref="AU20">IFERROR(INDEX(Skill!$Y:$Y, MATCH(AU$4, Skill!$C:$C, 0), 1), "")</f>
        <v/>
      </c>
      <c r="AV20" s="94" t="str">
        <f t="array" ref="AV20">IFERROR(INDEX(Skill!$Y:$Y, MATCH(AV$4, Skill!$C:$C, 0), 1), "")</f>
        <v/>
      </c>
      <c r="AW20" s="94" t="str">
        <f t="array" ref="AW20">IFERROR(INDEX(Skill!$Y:$Y, MATCH(AW$4, Skill!$C:$C, 0), 1), "")</f>
        <v/>
      </c>
      <c r="AX20" s="94" t="str">
        <f t="array" ref="AX20">IFERROR(INDEX(Skill!$Y:$Y, MATCH(AX$4, Skill!$C:$C, 0), 1), "")</f>
        <v/>
      </c>
      <c r="AY20" s="94" t="str">
        <f t="array" ref="AY20">IFERROR(INDEX(Skill!$Y:$Y, MATCH(AY$4, Skill!$C:$C, 0), 1), "")</f>
        <v/>
      </c>
      <c r="AZ20" s="94" t="str">
        <f t="array" ref="AZ20">IFERROR(INDEX(Skill!$Y:$Y, MATCH(AZ$4, Skill!$C:$C, 0), 1), "")</f>
        <v/>
      </c>
      <c r="BA20" s="94" t="str">
        <f t="array" ref="BA20">IFERROR(INDEX(Skill!$Y:$Y, MATCH(BA$4, Skill!$C:$C, 0), 1), "")</f>
        <v/>
      </c>
      <c r="BB20" s="94" t="str">
        <f t="array" ref="BB20">IFERROR(INDEX(Skill!$Y:$Y, MATCH(BB$4, Skill!$C:$C, 0), 1), "")</f>
        <v/>
      </c>
      <c r="BC20" s="94" t="str">
        <f t="array" ref="BC20">IFERROR(INDEX(Skill!$Y:$Y, MATCH(BC$4, Skill!$C:$C, 0), 1), "")</f>
        <v/>
      </c>
      <c r="BD20" s="94" t="str">
        <f t="array" ref="BD20">IFERROR(INDEX(Skill!$Y:$Y, MATCH(BD$4, Skill!$C:$C, 0), 1), "")</f>
        <v/>
      </c>
      <c r="BE20" s="94" t="str">
        <f t="array" ref="BE20">IFERROR(INDEX(Skill!$Y:$Y, MATCH(BE$4, Skill!$C:$C, 0), 1), "")</f>
        <v/>
      </c>
      <c r="BF20" s="94" t="str">
        <f t="array" ref="BF20">IFERROR(INDEX(Skill!$Y:$Y, MATCH(BF$4, Skill!$C:$C, 0), 1), "")</f>
        <v/>
      </c>
      <c r="BG20" s="94" t="str">
        <f t="array" ref="BG20">IFERROR(INDEX(Skill!$Y:$Y, MATCH(BG$4, Skill!$C:$C, 0), 1), "")</f>
        <v/>
      </c>
      <c r="BH20" s="94" t="str">
        <f t="array" ref="BH20">IFERROR(INDEX(Skill!$Y:$Y, MATCH(BH$4, Skill!$C:$C, 0), 1), "")</f>
        <v/>
      </c>
      <c r="BI20" s="94" t="str">
        <f t="array" ref="BI20">IFERROR(INDEX(Skill!$Y:$Y, MATCH(BI$4, Skill!$C:$C, 0), 1), "")</f>
        <v/>
      </c>
      <c r="BJ20" s="94" t="str">
        <f t="array" ref="BJ20">IFERROR(INDEX(Skill!$Y:$Y, MATCH(BJ$4, Skill!$C:$C, 0), 1), "")</f>
        <v/>
      </c>
      <c r="BK20" s="94" t="str">
        <f t="array" ref="BK20">IFERROR(INDEX(Skill!$Y:$Y, MATCH(BK$4, Skill!$C:$C, 0), 1), "")</f>
        <v/>
      </c>
      <c r="BL20" s="94" t="str">
        <f t="array" ref="BL20">IFERROR(INDEX(Skill!$Y:$Y, MATCH(BL$4, Skill!$C:$C, 0), 1), "")</f>
        <v/>
      </c>
      <c r="BM20" s="94" t="str">
        <f t="array" ref="BM20">IFERROR(INDEX(Skill!$Y:$Y, MATCH(BM$4, Skill!$C:$C, 0), 1), "")</f>
        <v/>
      </c>
      <c r="BN20" s="94" t="str">
        <f t="array" ref="BN20">IFERROR(INDEX(Skill!$Y:$Y, MATCH(BN$4, Skill!$C:$C, 0), 1), "")</f>
        <v/>
      </c>
      <c r="BO20" s="94" t="str">
        <f t="array" ref="BO20">IFERROR(INDEX(Skill!$Y:$Y, MATCH(BO$4, Skill!$C:$C, 0), 1), "")</f>
        <v/>
      </c>
      <c r="BP20" s="94" t="str">
        <f t="array" ref="BP20">IFERROR(INDEX(Skill!$Y:$Y, MATCH(BP$4, Skill!$C:$C, 0), 1), "")</f>
        <v/>
      </c>
      <c r="BQ20" s="94" t="str">
        <f t="array" ref="BQ20">IFERROR(INDEX(Skill!$Y:$Y, MATCH(BQ$4, Skill!$C:$C, 0), 1), "")</f>
        <v/>
      </c>
      <c r="BR20" s="94" t="str">
        <f t="array" ref="BR20">IFERROR(INDEX(Skill!$Y:$Y, MATCH(BR$4, Skill!$C:$C, 0), 1), "")</f>
        <v/>
      </c>
      <c r="BS20" s="94" t="str">
        <f t="array" ref="BS20">IFERROR(INDEX(Skill!$Y:$Y, MATCH(BS$4, Skill!$C:$C, 0), 1), "")</f>
        <v/>
      </c>
      <c r="BT20" s="94" t="str">
        <f t="array" ref="BT20">IFERROR(INDEX(Skill!$Y:$Y, MATCH(BT$4, Skill!$C:$C, 0), 1), "")</f>
        <v/>
      </c>
      <c r="BU20" s="94" t="str">
        <f t="array" ref="BU20">IFERROR(INDEX(Skill!$Y:$Y, MATCH(BU$4, Skill!$C:$C, 0), 1), "")</f>
        <v/>
      </c>
      <c r="BV20" s="94" t="str">
        <f t="array" ref="BV20">IFERROR(INDEX(Skill!$Y:$Y, MATCH(BV$4, Skill!$C:$C, 0), 1), "")</f>
        <v/>
      </c>
      <c r="BW20" s="94" t="str">
        <f t="array" ref="BW20">IFERROR(INDEX(Skill!$Y:$Y, MATCH(BW$4, Skill!$C:$C, 0), 1), "")</f>
        <v/>
      </c>
      <c r="BX20" s="94" t="str">
        <f t="array" ref="BX20">IFERROR(INDEX(Skill!$Y:$Y, MATCH(BX$4, Skill!$C:$C, 0), 1), "")</f>
        <v/>
      </c>
      <c r="BY20" s="94" t="str">
        <f t="array" ref="BY20">IFERROR(INDEX(Skill!$Y:$Y, MATCH(BY$4, Skill!$C:$C, 0), 1), "")</f>
        <v/>
      </c>
      <c r="BZ20" s="94" t="str">
        <f t="array" ref="BZ20">IFERROR(INDEX(Skill!$Y:$Y, MATCH(BZ$4, Skill!$C:$C, 0), 1), "")</f>
        <v/>
      </c>
      <c r="CA20" s="94" t="str">
        <f t="array" ref="CA20">IFERROR(INDEX(Skill!$Y:$Y, MATCH(CA$4, Skill!$C:$C, 0), 1), "")</f>
        <v/>
      </c>
      <c r="CB20" s="94" t="str">
        <f t="array" ref="CB20">IFERROR(INDEX(Skill!$Y:$Y, MATCH(CB$4, Skill!$C:$C, 0), 1), "")</f>
        <v/>
      </c>
      <c r="CC20" s="94" t="str">
        <f t="array" ref="CC20">IFERROR(INDEX(Skill!$Y:$Y, MATCH(CC$4, Skill!$C:$C, 0), 1), "")</f>
        <v/>
      </c>
      <c r="CD20" s="94" t="str">
        <f t="array" ref="CD20">IFERROR(INDEX(Skill!$Y:$Y, MATCH(CD$4, Skill!$C:$C, 0), 1), "")</f>
        <v/>
      </c>
      <c r="CE20" s="94" t="str">
        <f t="array" ref="CE20">IFERROR(INDEX(Skill!$Y:$Y, MATCH(CE$4, Skill!$C:$C, 0), 1), "")</f>
        <v/>
      </c>
      <c r="CF20" s="94" t="str">
        <f t="array" ref="CF20">IFERROR(INDEX(Skill!$Y:$Y, MATCH(CF$4, Skill!$C:$C, 0), 1), "")</f>
        <v/>
      </c>
      <c r="CG20" s="94" t="str">
        <f t="array" ref="CG20">IFERROR(INDEX(Skill!$Y:$Y, MATCH(CG$4, Skill!$C:$C, 0), 1), "")</f>
        <v/>
      </c>
      <c r="CH20" s="94" t="str">
        <f t="array" ref="CH20">IFERROR(INDEX(Skill!$Y:$Y, MATCH(CH$4, Skill!$C:$C, 0), 1), "")</f>
        <v/>
      </c>
      <c r="CI20" s="94" t="str">
        <f t="array" ref="CI20">IFERROR(INDEX(Skill!$Y:$Y, MATCH(CI$4, Skill!$C:$C, 0), 1), "")</f>
        <v/>
      </c>
      <c r="CJ20" s="94" t="str">
        <f t="array" ref="CJ20">IFERROR(INDEX(Skill!$Y:$Y, MATCH(CJ$4, Skill!$C:$C, 0), 1), "")</f>
        <v/>
      </c>
      <c r="CK20" s="94" t="str">
        <f t="array" ref="CK20">IFERROR(INDEX(Skill!$Y:$Y, MATCH(CK$4, Skill!$C:$C, 0), 1), "")</f>
        <v/>
      </c>
      <c r="CL20" s="94" t="str">
        <f t="array" ref="CL20">IFERROR(INDEX(Skill!$Y:$Y, MATCH(CL$4, Skill!$C:$C, 0), 1), "")</f>
        <v/>
      </c>
      <c r="CM20" s="94" t="str">
        <f t="array" ref="CM20">IFERROR(INDEX(Skill!$Y:$Y, MATCH(CM$4, Skill!$C:$C, 0), 1), "")</f>
        <v/>
      </c>
      <c r="CN20" s="94" t="str">
        <f t="array" ref="CN20">IFERROR(INDEX(Skill!$Y:$Y, MATCH(CN$4, Skill!$C:$C, 0), 1), "")</f>
        <v/>
      </c>
      <c r="CO20" s="94" t="str">
        <f t="array" ref="CO20">IFERROR(INDEX(Skill!$Y:$Y, MATCH(CO$4, Skill!$C:$C, 0), 1), "")</f>
        <v/>
      </c>
      <c r="CP20" s="94" t="str">
        <f t="array" ref="CP20">IFERROR(INDEX(Skill!$Y:$Y, MATCH(CP$4, Skill!$C:$C, 0), 1), "")</f>
        <v/>
      </c>
      <c r="CQ20" s="94" t="str">
        <f t="array" ref="CQ20">IFERROR(INDEX(Skill!$Y:$Y, MATCH(CQ$4, Skill!$C:$C, 0), 1), "")</f>
        <v/>
      </c>
      <c r="CR20" s="94" t="str">
        <f t="array" ref="CR20">IFERROR(INDEX(Skill!$Y:$Y, MATCH(CR$4, Skill!$C:$C, 0), 1), "")</f>
        <v/>
      </c>
      <c r="CS20" s="94" t="str">
        <f t="array" ref="CS20">IFERROR(INDEX(Skill!$Y:$Y, MATCH(CS$4, Skill!$C:$C, 0), 1), "")</f>
        <v/>
      </c>
      <c r="CT20" s="94" t="str">
        <f t="array" ref="CT20">IFERROR(INDEX(Skill!$Y:$Y, MATCH(CT$4, Skill!$C:$C, 0), 1), "")</f>
        <v/>
      </c>
      <c r="CU20" s="94" t="str">
        <f t="array" ref="CU20">IFERROR(INDEX(Skill!$Y:$Y, MATCH(CU$4, Skill!$C:$C, 0), 1), "")</f>
        <v/>
      </c>
      <c r="CV20" s="94" t="str">
        <f t="array" ref="CV20">IFERROR(INDEX(Skill!$Y:$Y, MATCH(CV$4, Skill!$C:$C, 0), 1), "")</f>
        <v/>
      </c>
      <c r="CW20" s="94" t="str">
        <f t="array" ref="CW20">IFERROR(INDEX(Skill!$Y:$Y, MATCH(CW$4, Skill!$C:$C, 0), 1), "")</f>
        <v/>
      </c>
      <c r="CX20" s="94" t="str">
        <f t="array" ref="CX20">IFERROR(INDEX(Skill!$Y:$Y, MATCH(CX$4, Skill!$C:$C, 0), 1), "")</f>
        <v/>
      </c>
      <c r="CY20" s="94" t="str">
        <f t="array" ref="CY20">IFERROR(INDEX(Skill!$Y:$Y, MATCH(CY$4, Skill!$C:$C, 0), 1), "")</f>
        <v/>
      </c>
      <c r="CZ20" s="94" t="str">
        <f t="array" ref="CZ20">IFERROR(INDEX(Skill!$Y:$Y, MATCH(CZ$4, Skill!$C:$C, 0), 1), "")</f>
        <v/>
      </c>
      <c r="DA20" s="94" t="str">
        <f t="array" ref="DA20">IFERROR(INDEX(Skill!$Y:$Y, MATCH(DA$4, Skill!$C:$C, 0), 1), "")</f>
        <v/>
      </c>
      <c r="DB20" s="94" t="str">
        <f t="array" ref="DB20">IFERROR(INDEX(Skill!$Y:$Y, MATCH(DB$4, Skill!$C:$C, 0), 1), "")</f>
        <v/>
      </c>
      <c r="DC20" s="94" t="str">
        <f t="array" ref="DC20">IFERROR(INDEX(Skill!$Y:$Y, MATCH(DC$4, Skill!$C:$C, 0), 1), "")</f>
        <v/>
      </c>
      <c r="DD20" s="94" t="str">
        <f t="array" ref="DD20">IFERROR(INDEX(Skill!$Y:$Y, MATCH(DD$4, Skill!$C:$C, 0), 1), "")</f>
        <v/>
      </c>
      <c r="DE20" s="94" t="str">
        <f t="array" ref="DE20">IFERROR(INDEX(Skill!$Y:$Y, MATCH(DE$4, Skill!$C:$C, 0), 1), "")</f>
        <v/>
      </c>
      <c r="DF20" s="94" t="str">
        <f t="array" ref="DF20">IFERROR(INDEX(Skill!$Y:$Y, MATCH(DF$4, Skill!$C:$C, 0), 1), "")</f>
        <v/>
      </c>
      <c r="DG20" s="94" t="str">
        <f t="array" ref="DG20">IFERROR(INDEX(Skill!$Y:$Y, MATCH(DG$4, Skill!$C:$C, 0), 1), "")</f>
        <v/>
      </c>
      <c r="DH20" s="94" t="str">
        <f t="array" ref="DH20">IFERROR(INDEX(Skill!$Y:$Y, MATCH(DH$4, Skill!$C:$C, 0), 1), "")</f>
        <v/>
      </c>
      <c r="DI20" s="94" t="str">
        <f t="array" ref="DI20">IFERROR(INDEX(Skill!$Y:$Y, MATCH(DI$4, Skill!$C:$C, 0), 1), "")</f>
        <v/>
      </c>
      <c r="DJ20" s="94" t="str">
        <f t="array" ref="DJ20">IFERROR(INDEX(Skill!$Y:$Y, MATCH(DJ$4, Skill!$C:$C, 0), 1), "")</f>
        <v/>
      </c>
      <c r="DK20" s="94" t="str">
        <f t="array" ref="DK20">IFERROR(INDEX(Skill!$Y:$Y, MATCH(DK$4, Skill!$C:$C, 0), 1), "")</f>
        <v/>
      </c>
      <c r="DL20" s="94" t="str">
        <f t="array" ref="DL20">IFERROR(INDEX(Skill!$Y:$Y, MATCH(DL$4, Skill!$C:$C, 0), 1), "")</f>
        <v/>
      </c>
      <c r="DM20" s="94" t="str">
        <f t="array" ref="DM20">IFERROR(INDEX(Skill!$Y:$Y, MATCH(DM$4, Skill!$C:$C, 0), 1), "")</f>
        <v/>
      </c>
      <c r="DN20" s="94" t="str">
        <f t="array" ref="DN20">IFERROR(INDEX(Skill!$Y:$Y, MATCH(DN$4, Skill!$C:$C, 0), 1), "")</f>
        <v/>
      </c>
      <c r="DO20" s="94" t="str">
        <f t="array" ref="DO20">IFERROR(INDEX(Skill!$Y:$Y, MATCH(DO$4, Skill!$C:$C, 0), 1), "")</f>
        <v/>
      </c>
      <c r="DP20" s="94" t="str">
        <f t="array" ref="DP20">IFERROR(INDEX(Skill!$Y:$Y, MATCH(DP$4, Skill!$C:$C, 0), 1), "")</f>
        <v/>
      </c>
      <c r="DQ20" s="94" t="str">
        <f t="array" ref="DQ20">IFERROR(INDEX(Skill!$Y:$Y, MATCH(DQ$4, Skill!$C:$C, 0), 1), "")</f>
        <v/>
      </c>
      <c r="DR20" s="94" t="str">
        <f t="array" ref="DR20">IFERROR(INDEX(Skill!$Y:$Y, MATCH(DR$4, Skill!$C:$C, 0), 1), "")</f>
        <v/>
      </c>
      <c r="DS20" s="94" t="str">
        <f t="array" ref="DS20">IFERROR(INDEX(Skill!$Y:$Y, MATCH(DS$4, Skill!$C:$C, 0), 1), "")</f>
        <v/>
      </c>
      <c r="DT20" s="94" t="str">
        <f t="array" ref="DT20">IFERROR(INDEX(Skill!$Y:$Y, MATCH(DT$4, Skill!$C:$C, 0), 1), "")</f>
        <v/>
      </c>
      <c r="DU20" s="94" t="str">
        <f t="array" ref="DU20">IFERROR(INDEX(Skill!$Y:$Y, MATCH(DU$4, Skill!$C:$C, 0), 1), "")</f>
        <v/>
      </c>
      <c r="DV20" s="94" t="str">
        <f t="array" ref="DV20">IFERROR(INDEX(Skill!$Y:$Y, MATCH(DV$4, Skill!$C:$C, 0), 1), "")</f>
        <v/>
      </c>
      <c r="DW20" s="94" t="str">
        <f t="array" ref="DW20">IFERROR(INDEX(Skill!$Y:$Y, MATCH(DW$4, Skill!$C:$C, 0), 1), "")</f>
        <v/>
      </c>
      <c r="DX20" s="94" t="str">
        <f t="array" ref="DX20">IFERROR(INDEX(Skill!$Y:$Y, MATCH(DX$4, Skill!$C:$C, 0), 1), "")</f>
        <v/>
      </c>
      <c r="DY20" s="94" t="str">
        <f t="array" ref="DY20">IFERROR(INDEX(Skill!$Y:$Y, MATCH(DY$4, Skill!$C:$C, 0), 1), "")</f>
        <v/>
      </c>
      <c r="DZ20" s="94" t="str">
        <f t="array" ref="DZ20">IFERROR(INDEX(Skill!$Y:$Y, MATCH(DZ$4, Skill!$C:$C, 0), 1), "")</f>
        <v/>
      </c>
      <c r="EA20" s="89" t="str">
        <f t="array" ref="EA20">IFERROR(INDEX(Skill!$Y:$Y, MATCH(EA$4, Skill!$C:$C, 0), 1), "")</f>
        <v/>
      </c>
      <c r="EB20" s="89" t="str">
        <f t="array" ref="EB20">IFERROR(INDEX(Skill!$Y:$Y, MATCH(EB$4, Skill!$C:$C, 0), 1), "")</f>
        <v/>
      </c>
      <c r="EC20" s="89" t="str">
        <f t="array" ref="EC20">IFERROR(INDEX(Skill!$Y:$Y, MATCH(EC$4, Skill!$C:$C, 0), 1), "")</f>
        <v/>
      </c>
      <c r="ED20" s="94" t="str">
        <f t="array" ref="ED20">IFERROR(INDEX(Skill!$Y:$Y, MATCH(ED$4, Skill!$C:$C, 0), 1), "")</f>
        <v/>
      </c>
      <c r="EE20" s="102"/>
      <c r="EF20" s="102"/>
      <c r="EG20" s="102"/>
      <c r="EH20" s="102"/>
      <c r="EI20" s="102"/>
      <c r="EJ20" s="102"/>
      <c r="EK20" s="102"/>
      <c r="EL20" s="102"/>
      <c r="EM20" s="102"/>
      <c r="EN20" s="102"/>
      <c r="EO20" s="102"/>
      <c r="EP20" s="102"/>
      <c r="EQ20" s="102"/>
      <c r="ER20" s="103"/>
      <c r="ES20" s="103"/>
      <c r="ET20" s="103"/>
      <c r="EU20" s="76"/>
      <c r="EV20" s="76"/>
      <c r="EW20" s="76"/>
      <c r="EX20" s="76"/>
      <c r="EY20" s="76"/>
      <c r="EZ20" s="76"/>
      <c r="FA20" s="76"/>
      <c r="FB20" s="76"/>
      <c r="FC20" s="76"/>
      <c r="FD20" s="76"/>
      <c r="FE20" s="76"/>
      <c r="FF20" s="76"/>
      <c r="FG20" s="76"/>
      <c r="FH20" s="76"/>
      <c r="FI20" s="76"/>
      <c r="FJ20" s="76"/>
      <c r="FK20" s="76"/>
      <c r="FL20" s="76"/>
      <c r="FM20" s="76"/>
      <c r="FN20" s="76"/>
      <c r="FO20" s="91"/>
    </row>
    <row r="21" hidden="1">
      <c r="B21" s="84"/>
      <c r="C21" s="83"/>
      <c r="D21" s="83"/>
      <c r="E21" s="84" t="s">
        <v>1043</v>
      </c>
      <c r="F21" s="84"/>
      <c r="G21" s="84"/>
      <c r="H21" s="84"/>
      <c r="I21" s="84"/>
      <c r="J21" s="84"/>
      <c r="K21" s="94" t="str">
        <f t="array" ref="K21">IFERROR(INDEX(Skill!$AB:$AB, MATCH(K$4, Skill!$C:$C, 0), 1), "")</f>
        <v/>
      </c>
      <c r="L21" s="94" t="str">
        <f t="array" ref="L21">IFERROR(INDEX(Skill!$AB:$AB, MATCH(L$4, Skill!$C:$C, 0), 1), "")</f>
        <v/>
      </c>
      <c r="M21" s="94" t="str">
        <f t="array" ref="M21">IFERROR(INDEX(Skill!$AB:$AB, MATCH(M$4, Skill!$C:$C, 0), 1), "")</f>
        <v/>
      </c>
      <c r="N21" s="94" t="str">
        <f t="array" ref="N21">IFERROR(INDEX(Skill!$AB:$AB, MATCH(N$4, Skill!$C:$C, 0), 1), "")</f>
        <v/>
      </c>
      <c r="O21" s="94" t="str">
        <f t="array" ref="O21">IFERROR(INDEX(Skill!$AB:$AB, MATCH(O$4, Skill!$C:$C, 0), 1), "")</f>
        <v/>
      </c>
      <c r="P21" s="94" t="str">
        <f t="array" ref="P21">IFERROR(INDEX(Skill!$AB:$AB, MATCH(P$4, Skill!$C:$C, 0), 1), "")</f>
        <v/>
      </c>
      <c r="Q21" s="94" t="str">
        <f t="array" ref="Q21">IFERROR(INDEX(Skill!$AB:$AB, MATCH(Q$4, Skill!$C:$C, 0), 1), "")</f>
        <v/>
      </c>
      <c r="R21" s="94" t="str">
        <f t="array" ref="R21">IFERROR(INDEX(Skill!$AB:$AB, MATCH(R$4, Skill!$C:$C, 0), 1), "")</f>
        <v/>
      </c>
      <c r="S21" s="94" t="str">
        <f t="array" ref="S21">IFERROR(INDEX(Skill!$AB:$AB, MATCH(S$4, Skill!$C:$C, 0), 1), "")</f>
        <v/>
      </c>
      <c r="T21" s="94" t="str">
        <f t="array" ref="T21">IFERROR(INDEX(Skill!$AB:$AB, MATCH(T$4, Skill!$C:$C, 0), 1), "")</f>
        <v/>
      </c>
      <c r="U21" s="94" t="str">
        <f t="array" ref="U21">IFERROR(INDEX(Skill!$AB:$AB, MATCH(U$4, Skill!$C:$C, 0), 1), "")</f>
        <v/>
      </c>
      <c r="V21" s="94" t="str">
        <f t="array" ref="V21">IFERROR(INDEX(Skill!$AB:$AB, MATCH(V$4, Skill!$C:$C, 0), 1), "")</f>
        <v/>
      </c>
      <c r="W21" s="94" t="str">
        <f t="array" ref="W21">IFERROR(INDEX(Skill!$AB:$AB, MATCH(W$4, Skill!$C:$C, 0), 1), "")</f>
        <v/>
      </c>
      <c r="X21" s="94" t="str">
        <f t="array" ref="X21">IFERROR(INDEX(Skill!$AB:$AB, MATCH(X$4, Skill!$C:$C, 0), 1), "")</f>
        <v/>
      </c>
      <c r="Y21" s="94" t="str">
        <f t="array" ref="Y21">IFERROR(INDEX(Skill!$AB:$AB, MATCH(Y$4, Skill!$C:$C, 0), 1), "")</f>
        <v/>
      </c>
      <c r="Z21" s="94" t="str">
        <f t="array" ref="Z21">IFERROR(INDEX(Skill!$AB:$AB, MATCH(Z$4, Skill!$C:$C, 0), 1), "")</f>
        <v/>
      </c>
      <c r="AA21" s="94" t="str">
        <f t="array" ref="AA21">IFERROR(INDEX(Skill!$AB:$AB, MATCH(AA$4, Skill!$C:$C, 0), 1), "")</f>
        <v/>
      </c>
      <c r="AB21" s="94" t="str">
        <f t="array" ref="AB21">IFERROR(INDEX(Skill!$AB:$AB, MATCH(AB$4, Skill!$C:$C, 0), 1), "")</f>
        <v/>
      </c>
      <c r="AC21" s="94" t="str">
        <f t="array" ref="AC21">IFERROR(INDEX(Skill!$AB:$AB, MATCH(AC$4, Skill!$C:$C, 0), 1), "")</f>
        <v/>
      </c>
      <c r="AD21" s="94" t="str">
        <f t="array" ref="AD21">IFERROR(INDEX(Skill!$AB:$AB, MATCH(AD$4, Skill!$C:$C, 0), 1), "")</f>
        <v/>
      </c>
      <c r="AE21" s="94" t="str">
        <f t="array" ref="AE21">IFERROR(INDEX(Skill!$AB:$AB, MATCH(AE$4, Skill!$C:$C, 0), 1), "")</f>
        <v/>
      </c>
      <c r="AF21" s="94" t="str">
        <f t="array" ref="AF21">IFERROR(INDEX(Skill!$AB:$AB, MATCH(AF$4, Skill!$C:$C, 0), 1), "")</f>
        <v/>
      </c>
      <c r="AG21" s="94" t="str">
        <f t="array" ref="AG21">IFERROR(INDEX(Skill!$AB:$AB, MATCH(AG$4, Skill!$C:$C, 0), 1), "")</f>
        <v/>
      </c>
      <c r="AH21" s="94" t="str">
        <f t="array" ref="AH21">IFERROR(INDEX(Skill!$AB:$AB, MATCH(AH$4, Skill!$C:$C, 0), 1), "")</f>
        <v/>
      </c>
      <c r="AI21" s="94" t="str">
        <f t="array" ref="AI21">IFERROR(INDEX(Skill!$AB:$AB, MATCH(AI$4, Skill!$C:$C, 0), 1), "")</f>
        <v/>
      </c>
      <c r="AJ21" s="94" t="str">
        <f t="array" ref="AJ21">IFERROR(INDEX(Skill!$AB:$AB, MATCH(AJ$4, Skill!$C:$C, 0), 1), "")</f>
        <v/>
      </c>
      <c r="AK21" s="94" t="str">
        <f t="array" ref="AK21">IFERROR(INDEX(Skill!$AB:$AB, MATCH(AK$4, Skill!$C:$C, 0), 1), "")</f>
        <v/>
      </c>
      <c r="AL21" s="94" t="str">
        <f t="array" ref="AL21">IFERROR(INDEX(Skill!$AB:$AB, MATCH(AL$4, Skill!$C:$C, 0), 1), "")</f>
        <v/>
      </c>
      <c r="AM21" s="94" t="str">
        <f t="array" ref="AM21">IFERROR(INDEX(Skill!$AB:$AB, MATCH(AM$4, Skill!$C:$C, 0), 1), "")</f>
        <v/>
      </c>
      <c r="AN21" s="94" t="str">
        <f t="array" ref="AN21">IFERROR(INDEX(Skill!$AB:$AB, MATCH(AN$4, Skill!$C:$C, 0), 1), "")</f>
        <v/>
      </c>
      <c r="AO21" s="94" t="str">
        <f t="array" ref="AO21">IFERROR(INDEX(Skill!$AB:$AB, MATCH(AO$4, Skill!$C:$C, 0), 1), "")</f>
        <v/>
      </c>
      <c r="AP21" s="94" t="str">
        <f t="array" ref="AP21">IFERROR(INDEX(Skill!$AB:$AB, MATCH(AP$4, Skill!$C:$C, 0), 1), "")</f>
        <v/>
      </c>
      <c r="AQ21" s="94" t="str">
        <f t="array" ref="AQ21">IFERROR(INDEX(Skill!$AB:$AB, MATCH(AQ$4, Skill!$C:$C, 0), 1), "")</f>
        <v/>
      </c>
      <c r="AR21" s="94" t="str">
        <f t="array" ref="AR21">IFERROR(INDEX(Skill!$AB:$AB, MATCH(AR$4, Skill!$C:$C, 0), 1), "")</f>
        <v/>
      </c>
      <c r="AS21" s="94" t="str">
        <f t="array" ref="AS21">IFERROR(INDEX(Skill!$AB:$AB, MATCH(AS$4, Skill!$C:$C, 0), 1), "")</f>
        <v/>
      </c>
      <c r="AT21" s="94" t="str">
        <f t="array" ref="AT21">IFERROR(INDEX(Skill!$AB:$AB, MATCH(AT$4, Skill!$C:$C, 0), 1), "")</f>
        <v/>
      </c>
      <c r="AU21" s="94" t="str">
        <f t="array" ref="AU21">IFERROR(INDEX(Skill!$AB:$AB, MATCH(AU$4, Skill!$C:$C, 0), 1), "")</f>
        <v/>
      </c>
      <c r="AV21" s="94" t="str">
        <f t="array" ref="AV21">IFERROR(INDEX(Skill!$AB:$AB, MATCH(AV$4, Skill!$C:$C, 0), 1), "")</f>
        <v/>
      </c>
      <c r="AW21" s="94" t="str">
        <f t="array" ref="AW21">IFERROR(INDEX(Skill!$AB:$AB, MATCH(AW$4, Skill!$C:$C, 0), 1), "")</f>
        <v/>
      </c>
      <c r="AX21" s="94" t="str">
        <f t="array" ref="AX21">IFERROR(INDEX(Skill!$AB:$AB, MATCH(AX$4, Skill!$C:$C, 0), 1), "")</f>
        <v/>
      </c>
      <c r="AY21" s="94" t="str">
        <f t="array" ref="AY21">IFERROR(INDEX(Skill!$AB:$AB, MATCH(AY$4, Skill!$C:$C, 0), 1), "")</f>
        <v/>
      </c>
      <c r="AZ21" s="94" t="str">
        <f t="array" ref="AZ21">IFERROR(INDEX(Skill!$AB:$AB, MATCH(AZ$4, Skill!$C:$C, 0), 1), "")</f>
        <v/>
      </c>
      <c r="BA21" s="94" t="str">
        <f t="array" ref="BA21">IFERROR(INDEX(Skill!$AB:$AB, MATCH(BA$4, Skill!$C:$C, 0), 1), "")</f>
        <v/>
      </c>
      <c r="BB21" s="94" t="str">
        <f t="array" ref="BB21">IFERROR(INDEX(Skill!$AB:$AB, MATCH(BB$4, Skill!$C:$C, 0), 1), "")</f>
        <v/>
      </c>
      <c r="BC21" s="94" t="str">
        <f t="array" ref="BC21">IFERROR(INDEX(Skill!$AB:$AB, MATCH(BC$4, Skill!$C:$C, 0), 1), "")</f>
        <v/>
      </c>
      <c r="BD21" s="94" t="str">
        <f t="array" ref="BD21">IFERROR(INDEX(Skill!$AB:$AB, MATCH(BD$4, Skill!$C:$C, 0), 1), "")</f>
        <v/>
      </c>
      <c r="BE21" s="94" t="str">
        <f t="array" ref="BE21">IFERROR(INDEX(Skill!$AB:$AB, MATCH(BE$4, Skill!$C:$C, 0), 1), "")</f>
        <v/>
      </c>
      <c r="BF21" s="94" t="str">
        <f t="array" ref="BF21">IFERROR(INDEX(Skill!$AB:$AB, MATCH(BF$4, Skill!$C:$C, 0), 1), "")</f>
        <v/>
      </c>
      <c r="BG21" s="94" t="str">
        <f t="array" ref="BG21">IFERROR(INDEX(Skill!$AB:$AB, MATCH(BG$4, Skill!$C:$C, 0), 1), "")</f>
        <v/>
      </c>
      <c r="BH21" s="94">
        <f t="array" ref="BH21">IFERROR(INDEX(Skill!$AB:$AB, MATCH(BH$4, Skill!$C:$C, 0), 1), "")</f>
        <v>312.5</v>
      </c>
      <c r="BI21" s="94" t="str">
        <f t="array" ref="BI21">IFERROR(INDEX(Skill!$AB:$AB, MATCH(BI$4, Skill!$C:$C, 0), 1), "")</f>
        <v/>
      </c>
      <c r="BJ21" s="94" t="str">
        <f t="array" ref="BJ21">IFERROR(INDEX(Skill!$AB:$AB, MATCH(BJ$4, Skill!$C:$C, 0), 1), "")</f>
        <v/>
      </c>
      <c r="BK21" s="94" t="str">
        <f t="array" ref="BK21">IFERROR(INDEX(Skill!$AB:$AB, MATCH(BK$4, Skill!$C:$C, 0), 1), "")</f>
        <v/>
      </c>
      <c r="BL21" s="94" t="str">
        <f t="array" ref="BL21">IFERROR(INDEX(Skill!$AB:$AB, MATCH(BL$4, Skill!$C:$C, 0), 1), "")</f>
        <v/>
      </c>
      <c r="BM21" s="94" t="str">
        <f t="array" ref="BM21">IFERROR(INDEX(Skill!$AB:$AB, MATCH(BM$4, Skill!$C:$C, 0), 1), "")</f>
        <v/>
      </c>
      <c r="BN21" s="94" t="str">
        <f t="array" ref="BN21">IFERROR(INDEX(Skill!$AB:$AB, MATCH(BN$4, Skill!$C:$C, 0), 1), "")</f>
        <v/>
      </c>
      <c r="BO21" s="94" t="str">
        <f t="array" ref="BO21">IFERROR(INDEX(Skill!$AB:$AB, MATCH(BO$4, Skill!$C:$C, 0), 1), "")</f>
        <v/>
      </c>
      <c r="BP21" s="94" t="str">
        <f t="array" ref="BP21">IFERROR(INDEX(Skill!$AB:$AB, MATCH(BP$4, Skill!$C:$C, 0), 1), "")</f>
        <v/>
      </c>
      <c r="BQ21" s="94" t="str">
        <f t="array" ref="BQ21">IFERROR(INDEX(Skill!$AB:$AB, MATCH(BQ$4, Skill!$C:$C, 0), 1), "")</f>
        <v/>
      </c>
      <c r="BR21" s="94" t="str">
        <f t="array" ref="BR21">IFERROR(INDEX(Skill!$AB:$AB, MATCH(BR$4, Skill!$C:$C, 0), 1), "")</f>
        <v/>
      </c>
      <c r="BS21" s="94" t="str">
        <f t="array" ref="BS21">IFERROR(INDEX(Skill!$AB:$AB, MATCH(BS$4, Skill!$C:$C, 0), 1), "")</f>
        <v/>
      </c>
      <c r="BT21" s="94" t="str">
        <f t="array" ref="BT21">IFERROR(INDEX(Skill!$AB:$AB, MATCH(BT$4, Skill!$C:$C, 0), 1), "")</f>
        <v/>
      </c>
      <c r="BU21" s="94" t="str">
        <f t="array" ref="BU21">IFERROR(INDEX(Skill!$AB:$AB, MATCH(BU$4, Skill!$C:$C, 0), 1), "")</f>
        <v/>
      </c>
      <c r="BV21" s="94" t="str">
        <f t="array" ref="BV21">IFERROR(INDEX(Skill!$AB:$AB, MATCH(BV$4, Skill!$C:$C, 0), 1), "")</f>
        <v/>
      </c>
      <c r="BW21" s="94" t="str">
        <f t="array" ref="BW21">IFERROR(INDEX(Skill!$AB:$AB, MATCH(BW$4, Skill!$C:$C, 0), 1), "")</f>
        <v/>
      </c>
      <c r="BX21" s="94">
        <f t="array" ref="BX21">IFERROR(INDEX(Skill!$AB:$AB, MATCH(BX$4, Skill!$C:$C, 0), 1), "")</f>
        <v>625</v>
      </c>
      <c r="BY21" s="94" t="str">
        <f t="array" ref="BY21">IFERROR(INDEX(Skill!$AB:$AB, MATCH(BY$4, Skill!$C:$C, 0), 1), "")</f>
        <v/>
      </c>
      <c r="BZ21" s="94" t="str">
        <f t="array" ref="BZ21">IFERROR(INDEX(Skill!$AB:$AB, MATCH(BZ$4, Skill!$C:$C, 0), 1), "")</f>
        <v/>
      </c>
      <c r="CA21" s="94" t="str">
        <f t="array" ref="CA21">IFERROR(INDEX(Skill!$AB:$AB, MATCH(CA$4, Skill!$C:$C, 0), 1), "")</f>
        <v/>
      </c>
      <c r="CB21" s="94" t="str">
        <f t="array" ref="CB21">IFERROR(INDEX(Skill!$AB:$AB, MATCH(CB$4, Skill!$C:$C, 0), 1), "")</f>
        <v/>
      </c>
      <c r="CC21" s="94" t="str">
        <f t="array" ref="CC21">IFERROR(INDEX(Skill!$AB:$AB, MATCH(CC$4, Skill!$C:$C, 0), 1), "")</f>
        <v/>
      </c>
      <c r="CD21" s="94" t="str">
        <f t="array" ref="CD21">IFERROR(INDEX(Skill!$AB:$AB, MATCH(CD$4, Skill!$C:$C, 0), 1), "")</f>
        <v/>
      </c>
      <c r="CE21" s="94" t="str">
        <f t="array" ref="CE21">IFERROR(INDEX(Skill!$AB:$AB, MATCH(CE$4, Skill!$C:$C, 0), 1), "")</f>
        <v/>
      </c>
      <c r="CF21" s="94" t="str">
        <f t="array" ref="CF21">IFERROR(INDEX(Skill!$AB:$AB, MATCH(CF$4, Skill!$C:$C, 0), 1), "")</f>
        <v/>
      </c>
      <c r="CG21" s="94" t="str">
        <f t="array" ref="CG21">IFERROR(INDEX(Skill!$AB:$AB, MATCH(CG$4, Skill!$C:$C, 0), 1), "")</f>
        <v/>
      </c>
      <c r="CH21" s="94" t="str">
        <f t="array" ref="CH21">IFERROR(INDEX(Skill!$AB:$AB, MATCH(CH$4, Skill!$C:$C, 0), 1), "")</f>
        <v/>
      </c>
      <c r="CI21" s="94" t="str">
        <f t="array" ref="CI21">IFERROR(INDEX(Skill!$AB:$AB, MATCH(CI$4, Skill!$C:$C, 0), 1), "")</f>
        <v/>
      </c>
      <c r="CJ21" s="94" t="str">
        <f t="array" ref="CJ21">IFERROR(INDEX(Skill!$AB:$AB, MATCH(CJ$4, Skill!$C:$C, 0), 1), "")</f>
        <v/>
      </c>
      <c r="CK21" s="94" t="str">
        <f t="array" ref="CK21">IFERROR(INDEX(Skill!$AB:$AB, MATCH(CK$4, Skill!$C:$C, 0), 1), "")</f>
        <v/>
      </c>
      <c r="CL21" s="94" t="str">
        <f t="array" ref="CL21">IFERROR(INDEX(Skill!$AB:$AB, MATCH(CL$4, Skill!$C:$C, 0), 1), "")</f>
        <v/>
      </c>
      <c r="CM21" s="94">
        <f t="array" ref="CM21">IFERROR(INDEX(Skill!$AB:$AB, MATCH(CM$4, Skill!$C:$C, 0), 1), "")</f>
        <v>648</v>
      </c>
      <c r="CN21" s="94" t="str">
        <f t="array" ref="CN21">IFERROR(INDEX(Skill!$AB:$AB, MATCH(CN$4, Skill!$C:$C, 0), 1), "")</f>
        <v/>
      </c>
      <c r="CO21" s="94" t="str">
        <f t="array" ref="CO21">IFERROR(INDEX(Skill!$AB:$AB, MATCH(CO$4, Skill!$C:$C, 0), 1), "")</f>
        <v/>
      </c>
      <c r="CP21" s="94">
        <f t="array" ref="CP21">IFERROR(INDEX(Skill!$AB:$AB, MATCH(CP$4, Skill!$C:$C, 0), 1), "")</f>
        <v>540</v>
      </c>
      <c r="CQ21" s="94" t="str">
        <f t="array" ref="CQ21">IFERROR(INDEX(Skill!$AB:$AB, MATCH(CQ$4, Skill!$C:$C, 0), 1), "")</f>
        <v/>
      </c>
      <c r="CR21" s="94" t="str">
        <f t="array" ref="CR21">IFERROR(INDEX(Skill!$AB:$AB, MATCH(CR$4, Skill!$C:$C, 0), 1), "")</f>
        <v/>
      </c>
      <c r="CS21" s="94" t="str">
        <f t="array" ref="CS21">IFERROR(INDEX(Skill!$AB:$AB, MATCH(CS$4, Skill!$C:$C, 0), 1), "")</f>
        <v/>
      </c>
      <c r="CT21" s="94" t="str">
        <f t="array" ref="CT21">IFERROR(INDEX(Skill!$AB:$AB, MATCH(CT$4, Skill!$C:$C, 0), 1), "")</f>
        <v/>
      </c>
      <c r="CU21" s="94" t="str">
        <f t="array" ref="CU21">IFERROR(INDEX(Skill!$AB:$AB, MATCH(CU$4, Skill!$C:$C, 0), 1), "")</f>
        <v/>
      </c>
      <c r="CV21" s="94" t="str">
        <f t="array" ref="CV21">IFERROR(INDEX(Skill!$AB:$AB, MATCH(CV$4, Skill!$C:$C, 0), 1), "")</f>
        <v/>
      </c>
      <c r="CW21" s="94" t="str">
        <f t="array" ref="CW21">IFERROR(INDEX(Skill!$AB:$AB, MATCH(CW$4, Skill!$C:$C, 0), 1), "")</f>
        <v/>
      </c>
      <c r="CX21" s="94" t="str">
        <f t="array" ref="CX21">IFERROR(INDEX(Skill!$AB:$AB, MATCH(CX$4, Skill!$C:$C, 0), 1), "")</f>
        <v/>
      </c>
      <c r="CY21" s="94" t="str">
        <f t="array" ref="CY21">IFERROR(INDEX(Skill!$AB:$AB, MATCH(CY$4, Skill!$C:$C, 0), 1), "")</f>
        <v/>
      </c>
      <c r="CZ21" s="94" t="str">
        <f t="array" ref="CZ21">IFERROR(INDEX(Skill!$AB:$AB, MATCH(CZ$4, Skill!$C:$C, 0), 1), "")</f>
        <v/>
      </c>
      <c r="DA21" s="94" t="str">
        <f t="array" ref="DA21">IFERROR(INDEX(Skill!$AB:$AB, MATCH(DA$4, Skill!$C:$C, 0), 1), "")</f>
        <v/>
      </c>
      <c r="DB21" s="94" t="str">
        <f t="array" ref="DB21">IFERROR(INDEX(Skill!$AB:$AB, MATCH(DB$4, Skill!$C:$C, 0), 1), "")</f>
        <v/>
      </c>
      <c r="DC21" s="94" t="str">
        <f t="array" ref="DC21">IFERROR(INDEX(Skill!$AB:$AB, MATCH(DC$4, Skill!$C:$C, 0), 1), "")</f>
        <v/>
      </c>
      <c r="DD21" s="94" t="str">
        <f t="array" ref="DD21">IFERROR(INDEX(Skill!$AB:$AB, MATCH(DD$4, Skill!$C:$C, 0), 1), "")</f>
        <v/>
      </c>
      <c r="DE21" s="94" t="str">
        <f t="array" ref="DE21">IFERROR(INDEX(Skill!$AB:$AB, MATCH(DE$4, Skill!$C:$C, 0), 1), "")</f>
        <v/>
      </c>
      <c r="DF21" s="94" t="str">
        <f t="array" ref="DF21">IFERROR(INDEX(Skill!$AB:$AB, MATCH(DF$4, Skill!$C:$C, 0), 1), "")</f>
        <v/>
      </c>
      <c r="DG21" s="94" t="str">
        <f t="array" ref="DG21">IFERROR(INDEX(Skill!$AB:$AB, MATCH(DG$4, Skill!$C:$C, 0), 1), "")</f>
        <v/>
      </c>
      <c r="DH21" s="94" t="str">
        <f t="array" ref="DH21">IFERROR(INDEX(Skill!$AB:$AB, MATCH(DH$4, Skill!$C:$C, 0), 1), "")</f>
        <v/>
      </c>
      <c r="DI21" s="94" t="str">
        <f t="array" ref="DI21">IFERROR(INDEX(Skill!$AB:$AB, MATCH(DI$4, Skill!$C:$C, 0), 1), "")</f>
        <v/>
      </c>
      <c r="DJ21" s="94" t="str">
        <f t="array" ref="DJ21">IFERROR(INDEX(Skill!$AB:$AB, MATCH(DJ$4, Skill!$C:$C, 0), 1), "")</f>
        <v/>
      </c>
      <c r="DK21" s="94" t="str">
        <f t="array" ref="DK21">IFERROR(INDEX(Skill!$AB:$AB, MATCH(DK$4, Skill!$C:$C, 0), 1), "")</f>
        <v/>
      </c>
      <c r="DL21" s="94" t="str">
        <f t="array" ref="DL21">IFERROR(INDEX(Skill!$AB:$AB, MATCH(DL$4, Skill!$C:$C, 0), 1), "")</f>
        <v/>
      </c>
      <c r="DM21" s="94" t="str">
        <f t="array" ref="DM21">IFERROR(INDEX(Skill!$AB:$AB, MATCH(DM$4, Skill!$C:$C, 0), 1), "")</f>
        <v/>
      </c>
      <c r="DN21" s="94" t="str">
        <f t="array" ref="DN21">IFERROR(INDEX(Skill!$AB:$AB, MATCH(DN$4, Skill!$C:$C, 0), 1), "")</f>
        <v/>
      </c>
      <c r="DO21" s="94" t="str">
        <f t="array" ref="DO21">IFERROR(INDEX(Skill!$AB:$AB, MATCH(DO$4, Skill!$C:$C, 0), 1), "")</f>
        <v/>
      </c>
      <c r="DP21" s="94" t="str">
        <f t="array" ref="DP21">IFERROR(INDEX(Skill!$AB:$AB, MATCH(DP$4, Skill!$C:$C, 0), 1), "")</f>
        <v/>
      </c>
      <c r="DQ21" s="94" t="str">
        <f t="array" ref="DQ21">IFERROR(INDEX(Skill!$AB:$AB, MATCH(DQ$4, Skill!$C:$C, 0), 1), "")</f>
        <v/>
      </c>
      <c r="DR21" s="94" t="str">
        <f t="array" ref="DR21">IFERROR(INDEX(Skill!$AB:$AB, MATCH(DR$4, Skill!$C:$C, 0), 1), "")</f>
        <v/>
      </c>
      <c r="DS21" s="94" t="str">
        <f t="array" ref="DS21">IFERROR(INDEX(Skill!$AB:$AB, MATCH(DS$4, Skill!$C:$C, 0), 1), "")</f>
        <v/>
      </c>
      <c r="DT21" s="94" t="str">
        <f t="array" ref="DT21">IFERROR(INDEX(Skill!$AB:$AB, MATCH(DT$4, Skill!$C:$C, 0), 1), "")</f>
        <v/>
      </c>
      <c r="DU21" s="94" t="str">
        <f t="array" ref="DU21">IFERROR(INDEX(Skill!$AB:$AB, MATCH(DU$4, Skill!$C:$C, 0), 1), "")</f>
        <v/>
      </c>
      <c r="DV21" s="94" t="str">
        <f t="array" ref="DV21">IFERROR(INDEX(Skill!$AB:$AB, MATCH(DV$4, Skill!$C:$C, 0), 1), "")</f>
        <v/>
      </c>
      <c r="DW21" s="94" t="str">
        <f t="array" ref="DW21">IFERROR(INDEX(Skill!$AB:$AB, MATCH(DW$4, Skill!$C:$C, 0), 1), "")</f>
        <v/>
      </c>
      <c r="DX21" s="94" t="str">
        <f t="array" ref="DX21">IFERROR(INDEX(Skill!$AB:$AB, MATCH(DX$4, Skill!$C:$C, 0), 1), "")</f>
        <v/>
      </c>
      <c r="DY21" s="94" t="str">
        <f t="array" ref="DY21">IFERROR(INDEX(Skill!$AB:$AB, MATCH(DY$4, Skill!$C:$C, 0), 1), "")</f>
        <v/>
      </c>
      <c r="DZ21" s="94" t="str">
        <f t="array" ref="DZ21">IFERROR(INDEX(Skill!$AB:$AB, MATCH(DZ$4, Skill!$C:$C, 0), 1), "")</f>
        <v/>
      </c>
      <c r="EA21" s="89" t="str">
        <f t="array" ref="EA21">IFERROR(INDEX(Skill!$AB:$AB, MATCH(EA$4, Skill!$C:$C, 0), 1), "")</f>
        <v/>
      </c>
      <c r="EB21" s="89" t="str">
        <f t="array" ref="EB21">IFERROR(INDEX(Skill!$AB:$AB, MATCH(EB$4, Skill!$C:$C, 0), 1), "")</f>
        <v/>
      </c>
      <c r="EC21" s="89" t="str">
        <f t="array" ref="EC21">IFERROR(INDEX(Skill!$AB:$AB, MATCH(EC$4, Skill!$C:$C, 0), 1), "")</f>
        <v/>
      </c>
      <c r="ED21" s="94" t="str">
        <f t="array" ref="ED21">IFERROR(INDEX(Skill!$AB:$AB, MATCH(ED$4, Skill!$C:$C, 0), 1), "")</f>
        <v/>
      </c>
      <c r="EE21" s="102"/>
      <c r="EF21" s="102"/>
      <c r="EG21" s="102"/>
      <c r="EH21" s="102"/>
      <c r="EI21" s="102"/>
      <c r="EJ21" s="102"/>
      <c r="EK21" s="102"/>
      <c r="EL21" s="102"/>
      <c r="EM21" s="102"/>
      <c r="EN21" s="102"/>
      <c r="EO21" s="102"/>
      <c r="EP21" s="102"/>
      <c r="EQ21" s="102"/>
      <c r="ER21" s="103"/>
      <c r="ES21" s="103"/>
      <c r="ET21" s="103"/>
      <c r="EU21" s="76"/>
      <c r="EV21" s="76"/>
      <c r="EW21" s="76"/>
      <c r="EX21" s="76"/>
      <c r="EY21" s="76"/>
      <c r="EZ21" s="76"/>
      <c r="FA21" s="76"/>
      <c r="FB21" s="76"/>
      <c r="FC21" s="76"/>
      <c r="FD21" s="76"/>
      <c r="FE21" s="76"/>
      <c r="FF21" s="76"/>
      <c r="FG21" s="76"/>
      <c r="FH21" s="76"/>
      <c r="FI21" s="76"/>
      <c r="FJ21" s="76"/>
      <c r="FK21" s="76"/>
      <c r="FL21" s="76"/>
      <c r="FM21" s="76"/>
      <c r="FN21" s="76"/>
      <c r="FO21" s="91"/>
    </row>
    <row r="22">
      <c r="B22" s="106" t="s">
        <v>1036</v>
      </c>
      <c r="C22" s="107" t="s">
        <v>1038</v>
      </c>
      <c r="D22" s="108"/>
      <c r="E22" s="106" t="s">
        <v>1039</v>
      </c>
      <c r="F22" s="109" t="s">
        <v>1040</v>
      </c>
      <c r="G22" s="108"/>
      <c r="H22" s="110" t="s">
        <v>1041</v>
      </c>
      <c r="I22" s="111"/>
      <c r="J22" s="108"/>
      <c r="K22" s="112" t="s">
        <v>1042</v>
      </c>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c r="AY22" s="113"/>
      <c r="AZ22" s="113"/>
      <c r="BA22" s="113"/>
      <c r="BB22" s="113"/>
      <c r="BC22" s="113"/>
      <c r="BD22" s="113"/>
      <c r="BE22" s="113"/>
      <c r="BF22" s="113"/>
      <c r="BG22" s="113"/>
      <c r="BH22" s="113"/>
      <c r="BI22" s="113"/>
      <c r="BJ22" s="113"/>
      <c r="BK22" s="113"/>
      <c r="BL22" s="113"/>
      <c r="BM22" s="113"/>
      <c r="BN22" s="113"/>
      <c r="BO22" s="113"/>
      <c r="BP22" s="113"/>
      <c r="BQ22" s="113"/>
      <c r="BR22" s="113"/>
      <c r="BS22" s="113"/>
      <c r="BT22" s="113"/>
      <c r="BU22" s="113"/>
      <c r="BV22" s="113"/>
      <c r="BW22" s="113"/>
      <c r="BX22" s="113"/>
      <c r="BY22" s="113"/>
      <c r="BZ22" s="113"/>
      <c r="CA22" s="113"/>
      <c r="CB22" s="113"/>
      <c r="CC22" s="113"/>
      <c r="CD22" s="113"/>
      <c r="CE22" s="113"/>
      <c r="CF22" s="113"/>
      <c r="CG22" s="113"/>
      <c r="CH22" s="113"/>
      <c r="CI22" s="113"/>
      <c r="CJ22" s="113"/>
      <c r="CK22" s="113"/>
      <c r="CL22" s="113"/>
      <c r="CM22" s="113"/>
      <c r="CN22" s="113"/>
      <c r="CO22" s="113"/>
      <c r="CP22" s="113"/>
      <c r="CQ22" s="113"/>
      <c r="CR22" s="113"/>
      <c r="CS22" s="113"/>
      <c r="CT22" s="113"/>
      <c r="CU22" s="113"/>
      <c r="CV22" s="113"/>
      <c r="CW22" s="113"/>
      <c r="CX22" s="113"/>
      <c r="CY22" s="113"/>
      <c r="CZ22" s="113"/>
      <c r="DA22" s="113"/>
      <c r="DB22" s="113"/>
      <c r="DC22" s="113"/>
      <c r="DD22" s="113"/>
      <c r="DE22" s="113"/>
      <c r="DF22" s="113"/>
      <c r="DG22" s="113"/>
      <c r="DH22" s="113"/>
      <c r="DI22" s="113"/>
      <c r="DJ22" s="113"/>
      <c r="DK22" s="113"/>
      <c r="DL22" s="113"/>
      <c r="DM22" s="113"/>
      <c r="DN22" s="113"/>
      <c r="DO22" s="113"/>
      <c r="DP22" s="113"/>
      <c r="DQ22" s="113"/>
      <c r="DR22" s="113"/>
      <c r="DS22" s="113"/>
      <c r="DT22" s="113"/>
      <c r="DU22" s="113"/>
      <c r="DV22" s="113"/>
      <c r="DW22" s="113"/>
      <c r="DX22" s="113"/>
      <c r="DY22" s="113"/>
      <c r="DZ22" s="113"/>
      <c r="EA22" s="113"/>
      <c r="EB22" s="113"/>
      <c r="EC22" s="113"/>
      <c r="ED22" s="113"/>
      <c r="EE22" s="114" t="s">
        <v>1054</v>
      </c>
      <c r="EF22" s="113"/>
      <c r="EG22" s="113"/>
      <c r="EH22" s="113"/>
      <c r="EI22" s="113"/>
      <c r="EJ22" s="113"/>
      <c r="EK22" s="113"/>
      <c r="EL22" s="113"/>
      <c r="EM22" s="113"/>
      <c r="EN22" s="113"/>
      <c r="EO22" s="113"/>
      <c r="EP22" s="113"/>
      <c r="EQ22" s="115"/>
      <c r="ER22" s="110" t="s">
        <v>1055</v>
      </c>
      <c r="ES22" s="111"/>
      <c r="ET22" s="116" t="s">
        <v>1056</v>
      </c>
      <c r="EU22" s="117" t="s">
        <v>1054</v>
      </c>
      <c r="EY22" s="118" t="s">
        <v>1056</v>
      </c>
      <c r="EZ22" s="117" t="s">
        <v>1054</v>
      </c>
      <c r="FD22" s="118" t="s">
        <v>1056</v>
      </c>
      <c r="FE22" s="117" t="s">
        <v>1054</v>
      </c>
      <c r="FI22" s="118" t="s">
        <v>1056</v>
      </c>
      <c r="FJ22" s="117" t="s">
        <v>1054</v>
      </c>
      <c r="FN22" s="118" t="s">
        <v>1056</v>
      </c>
      <c r="FO22" s="91"/>
    </row>
    <row r="23">
      <c r="B23" s="119"/>
      <c r="C23" s="120"/>
      <c r="D23" s="121"/>
      <c r="E23" s="119"/>
      <c r="F23" s="120"/>
      <c r="G23" s="121"/>
      <c r="H23" s="122"/>
      <c r="I23" s="122"/>
      <c r="J23" s="123"/>
      <c r="K23" s="124" t="str">
        <f>IMAGE("https://xivapi.com/i/062000/062119.png")</f>
        <v/>
      </c>
      <c r="L23" s="113"/>
      <c r="M23" s="113"/>
      <c r="N23" s="113"/>
      <c r="O23" s="113"/>
      <c r="P23" s="113"/>
      <c r="Q23" s="113"/>
      <c r="R23" s="113"/>
      <c r="S23" s="115"/>
      <c r="T23" s="125" t="str">
        <f>IMAGE("https://xivapi.com/i/062000/062121.png")</f>
        <v/>
      </c>
      <c r="U23" s="113"/>
      <c r="V23" s="113"/>
      <c r="W23" s="113"/>
      <c r="X23" s="113"/>
      <c r="Y23" s="113"/>
      <c r="Z23" s="113"/>
      <c r="AA23" s="113"/>
      <c r="AB23" s="115"/>
      <c r="AC23" s="125" t="str">
        <f>IMAGE("https://xivapi.com/i/062000/062132.png")</f>
        <v/>
      </c>
      <c r="AD23" s="113"/>
      <c r="AE23" s="113"/>
      <c r="AF23" s="113"/>
      <c r="AG23" s="113"/>
      <c r="AH23" s="113"/>
      <c r="AI23" s="113"/>
      <c r="AJ23" s="113"/>
      <c r="AK23" s="115"/>
      <c r="AL23" s="125" t="str">
        <f>IMAGE("https://xivapi.com/i/062000/062137.png")</f>
        <v/>
      </c>
      <c r="AM23" s="113"/>
      <c r="AN23" s="113"/>
      <c r="AO23" s="113"/>
      <c r="AP23" s="113"/>
      <c r="AQ23" s="113"/>
      <c r="AR23" s="115"/>
      <c r="AS23" s="126" t="str">
        <f>IMAGE("https://xivapi.com/i/062000/062124.png")</f>
        <v/>
      </c>
      <c r="AT23" s="113"/>
      <c r="AU23" s="113"/>
      <c r="AV23" s="113"/>
      <c r="AW23" s="113"/>
      <c r="AX23" s="113"/>
      <c r="AY23" s="113"/>
      <c r="AZ23" s="113"/>
      <c r="BA23" s="113"/>
      <c r="BB23" s="113"/>
      <c r="BC23" s="113"/>
      <c r="BD23" s="115"/>
      <c r="BE23" s="126" t="str">
        <f>IMAGE("https://xivapi.com/i/062000/062133.png")</f>
        <v/>
      </c>
      <c r="BF23" s="113"/>
      <c r="BG23" s="113"/>
      <c r="BH23" s="113"/>
      <c r="BI23" s="113"/>
      <c r="BJ23" s="113"/>
      <c r="BK23" s="113"/>
      <c r="BL23" s="113"/>
      <c r="BM23" s="113"/>
      <c r="BN23" s="113"/>
      <c r="BO23" s="113"/>
      <c r="BP23" s="113"/>
      <c r="BQ23" s="113"/>
      <c r="BR23" s="113"/>
      <c r="BS23" s="113"/>
      <c r="BT23" s="113"/>
      <c r="BU23" s="113"/>
      <c r="BV23" s="113"/>
      <c r="BW23" s="113"/>
      <c r="BX23" s="115"/>
      <c r="BY23" s="126" t="str">
        <f>IMAGE("https://xivapi.com/i/062000/062128.png")</f>
        <v/>
      </c>
      <c r="BZ23" s="113"/>
      <c r="CA23" s="113"/>
      <c r="CB23" s="113"/>
      <c r="CC23" s="113"/>
      <c r="CD23" s="113"/>
      <c r="CE23" s="113"/>
      <c r="CF23" s="113"/>
      <c r="CG23" s="113"/>
      <c r="CH23" s="113"/>
      <c r="CI23" s="113"/>
      <c r="CJ23" s="113"/>
      <c r="CK23" s="113"/>
      <c r="CL23" s="113"/>
      <c r="CM23" s="113"/>
      <c r="CN23" s="113"/>
      <c r="CO23" s="113"/>
      <c r="CP23" s="113"/>
      <c r="CQ23" s="113"/>
      <c r="CR23" s="113"/>
      <c r="CS23" s="115"/>
      <c r="CT23" s="126" t="str">
        <f>IMAGE("https://xivapi.com/i/062000/062140.png")</f>
        <v/>
      </c>
      <c r="CU23" s="113"/>
      <c r="CV23" s="113"/>
      <c r="CW23" s="113"/>
      <c r="CX23" s="113"/>
      <c r="CY23" s="113"/>
      <c r="CZ23" s="113"/>
      <c r="DA23" s="113"/>
      <c r="DB23" s="113"/>
      <c r="DC23" s="113"/>
      <c r="DD23" s="113"/>
      <c r="DE23" s="113"/>
      <c r="DF23" s="113"/>
      <c r="DG23" s="113"/>
      <c r="DH23" s="113"/>
      <c r="DI23" s="115"/>
      <c r="DJ23" s="127" t="str">
        <f>IMAGE("https://xivapi.com/i/062000/062120.png")</f>
        <v/>
      </c>
      <c r="DK23" s="115"/>
      <c r="DL23" s="127" t="str">
        <f>IMAGE("https://xivapi.com/i/062000/062122.png")</f>
        <v/>
      </c>
      <c r="DM23" s="127" t="str">
        <f>IMAGE("https://xivapi.com/i/062000/062130.png")</f>
        <v/>
      </c>
      <c r="DN23" s="127" t="str">
        <f>IMAGE("https://xivapi.com/i/062000/062134.png")</f>
        <v/>
      </c>
      <c r="DO23" s="127" t="str">
        <f>IMAGE("https://xivapi.com/i/062000/062139.png")</f>
        <v/>
      </c>
      <c r="DP23" s="127" t="str">
        <f>IMAGE("https://xivapi.com/i/062000/062141.png")</f>
        <v/>
      </c>
      <c r="DQ23" s="128" t="str">
        <f>IMAGE("https://xivapi.com/i/062000/062123.png")</f>
        <v/>
      </c>
      <c r="DR23" s="115"/>
      <c r="DS23" s="128" t="str">
        <f>IMAGE("https://xivapi.com/i/062000/062131.png")</f>
        <v/>
      </c>
      <c r="DT23" s="115"/>
      <c r="DU23" s="128" t="str">
        <f>IMAGE("https://xivapi.com/i/062000/062138.png")</f>
        <v/>
      </c>
      <c r="DV23" s="115"/>
      <c r="DW23" s="129" t="str">
        <f>IMAGE("https://xivapi.com/i/062000/062125.png")</f>
        <v/>
      </c>
      <c r="DX23" s="129" t="str">
        <f>IMAGE("https://xivapi.com/i/062000/062127.png")</f>
        <v/>
      </c>
      <c r="DY23" s="129" t="str">
        <f>IMAGE("https://xivapi.com/i/062000/062135.png")</f>
        <v/>
      </c>
      <c r="DZ23" s="115"/>
      <c r="EA23" s="129" t="str">
        <f>IMAGE("https://xivapi.com/i/062000/062142.png")</f>
        <v/>
      </c>
      <c r="EB23" s="113"/>
      <c r="EC23" s="115"/>
      <c r="ED23" s="130" t="str">
        <f>IMAGE("https://xivapi.com/cj/misc/bordered_tank.png")</f>
        <v/>
      </c>
      <c r="EE23" s="131" t="s">
        <v>1042</v>
      </c>
      <c r="EF23" s="132" t="s">
        <v>1057</v>
      </c>
      <c r="EG23" s="111"/>
      <c r="EH23" s="132" t="s">
        <v>1058</v>
      </c>
      <c r="EI23" s="111"/>
      <c r="EJ23" s="132" t="s">
        <v>1059</v>
      </c>
      <c r="EK23" s="111"/>
      <c r="EL23" s="132" t="s">
        <v>1060</v>
      </c>
      <c r="EM23" s="111"/>
      <c r="EN23" s="132" t="s">
        <v>1061</v>
      </c>
      <c r="EO23" s="111"/>
      <c r="EP23" s="132" t="s">
        <v>1062</v>
      </c>
      <c r="EQ23" s="133" t="s">
        <v>1063</v>
      </c>
      <c r="ET23" s="134" t="s">
        <v>1064</v>
      </c>
      <c r="EU23" s="135" t="str">
        <f>IMAGE("https://xivapi.com/cj/companion/paladin.png")</f>
        <v/>
      </c>
      <c r="EZ23" s="135" t="str">
        <f>IMAGE("https://xivapi.com/cj/companion/warrior.png")</f>
        <v/>
      </c>
      <c r="FE23" s="135" t="str">
        <f>IMAGE("https://xivapi.com/cj/companion/darkknight.png")</f>
        <v/>
      </c>
      <c r="FJ23" s="135" t="str">
        <f>IMAGE("https://xivapi.com/cj/companion/gunbreaker.png")</f>
        <v/>
      </c>
      <c r="FO23" s="91"/>
    </row>
    <row r="24">
      <c r="B24" s="136"/>
      <c r="C24" s="137"/>
      <c r="D24" s="123"/>
      <c r="E24" s="136"/>
      <c r="F24" s="137"/>
      <c r="G24" s="123"/>
      <c r="H24" s="138" t="s">
        <v>1065</v>
      </c>
      <c r="I24" s="139" t="s">
        <v>1066</v>
      </c>
      <c r="J24" s="139" t="s">
        <v>1067</v>
      </c>
      <c r="K24" s="140" t="str">
        <f t="array" ref="K24">IFERROR(INDEX(Skill!$D:$D, MATCH(K$4, Skill!$C:$C, 0), 1), "")</f>
        <v/>
      </c>
      <c r="L24" s="140" t="str">
        <f t="array" ref="L24">IFERROR(INDEX(Skill!$D:$D, MATCH(L$4, Skill!$C:$C, 0), 1), "")</f>
        <v/>
      </c>
      <c r="M24" s="140" t="str">
        <f t="array" ref="M24">IFERROR(INDEX(Skill!$D:$D, MATCH(M$4, Skill!$C:$C, 0), 1), "")</f>
        <v/>
      </c>
      <c r="N24" s="140" t="str">
        <f t="array" ref="N24">IFERROR(INDEX(Skill!$D:$D, MATCH(N$4, Skill!$C:$C, 0), 1), "")</f>
        <v/>
      </c>
      <c r="O24" s="140" t="str">
        <f t="array" ref="O24">IFERROR(INDEX(Skill!$D:$D, MATCH(O$4, Skill!$C:$C, 0), 1), "")</f>
        <v/>
      </c>
      <c r="P24" s="140" t="str">
        <f t="array" ref="P24">IFERROR(INDEX(Skill!$D:$D, MATCH(P$4, Skill!$C:$C, 0), 1), "")</f>
        <v/>
      </c>
      <c r="Q24" s="140" t="str">
        <f t="array" ref="Q24">IFERROR(INDEX(Skill!$D:$D, MATCH(Q$4, Skill!$C:$C, 0), 1), "")</f>
        <v/>
      </c>
      <c r="R24" s="140" t="str">
        <f t="array" ref="R24">IFERROR(INDEX(Skill!$D:$D, MATCH(R$4, Skill!$C:$C, 0), 1), "")</f>
        <v/>
      </c>
      <c r="S24" s="140" t="str">
        <f t="array" ref="S24">IFERROR(INDEX(Skill!$D:$D, MATCH(S$4, Skill!$C:$C, 0), 1), "")</f>
        <v/>
      </c>
      <c r="T24" s="141" t="str">
        <f t="array" ref="T24">IFERROR(INDEX(Skill!$D:$D, MATCH(T$4, Skill!$C:$C, 0), 1), "")</f>
        <v/>
      </c>
      <c r="U24" s="124" t="str">
        <f t="array" ref="U24">IFERROR(INDEX(Skill!$D:$D, MATCH(U$4, Skill!$C:$C, 0), 1), "")</f>
        <v/>
      </c>
      <c r="V24" s="124" t="str">
        <f t="array" ref="V24">IFERROR(INDEX(Skill!$D:$D, MATCH(V$4, Skill!$C:$C, 0), 1), "")</f>
        <v/>
      </c>
      <c r="W24" s="124" t="str">
        <f t="array" ref="W24">IFERROR(INDEX(Skill!$D:$D, MATCH(W$4, Skill!$C:$C, 0), 1), "")</f>
        <v/>
      </c>
      <c r="X24" s="124" t="str">
        <f t="array" ref="X24">IFERROR(INDEX(Skill!$D:$D, MATCH(X$4, Skill!$C:$C, 0), 1), "")</f>
        <v/>
      </c>
      <c r="Y24" s="124" t="str">
        <f t="array" ref="Y24">IFERROR(INDEX(Skill!$D:$D, MATCH(Y$4, Skill!$C:$C, 0), 1), "")</f>
        <v/>
      </c>
      <c r="Z24" s="124" t="str">
        <f t="array" ref="Z24">IFERROR(INDEX(Skill!$D:$D, MATCH(Z$4, Skill!$C:$C, 0), 1), "")</f>
        <v/>
      </c>
      <c r="AA24" s="124" t="str">
        <f t="array" ref="AA24">IFERROR(INDEX(Skill!$D:$D, MATCH(AA$4, Skill!$C:$C, 0), 1), "")</f>
        <v/>
      </c>
      <c r="AB24" s="124" t="str">
        <f t="array" ref="AB24">IFERROR(INDEX(Skill!$D:$D, MATCH(AB$4, Skill!$C:$C, 0), 1), "")</f>
        <v/>
      </c>
      <c r="AC24" s="141" t="str">
        <f t="array" ref="AC24">IFERROR(INDEX(Skill!$D:$D, MATCH(AC$4, Skill!$C:$C, 0), 1), "")</f>
        <v/>
      </c>
      <c r="AD24" s="142" t="str">
        <f t="array" ref="AD24">IFERROR(INDEX(Skill!$D:$D, MATCH(AD$4, Skill!$C:$C, 0), 1), "")</f>
        <v/>
      </c>
      <c r="AE24" s="142" t="str">
        <f t="array" ref="AE24">IFERROR(INDEX(Skill!$D:$D, MATCH(AE$4, Skill!$C:$C, 0), 1), "")</f>
        <v/>
      </c>
      <c r="AF24" s="143" t="str">
        <f t="array" ref="AF24">IFERROR(INDEX(Skill!$D:$D, MATCH(AF$4, Skill!$C:$C, 0), 1), "")</f>
        <v/>
      </c>
      <c r="AG24" s="115"/>
      <c r="AH24" s="142" t="str">
        <f t="array" ref="AH24">IFERROR(INDEX(Skill!$D:$D, MATCH(AH$4, Skill!$C:$C, 0), 1), "")</f>
        <v/>
      </c>
      <c r="AI24" s="142" t="str">
        <f t="array" ref="AI24">IFERROR(INDEX(Skill!$D:$D, MATCH(AI$4, Skill!$C:$C, 0), 1), "")</f>
        <v/>
      </c>
      <c r="AJ24" s="142" t="str">
        <f t="array" ref="AJ24">IFERROR(INDEX(Skill!$D:$D, MATCH(AJ$4, Skill!$C:$C, 0), 1), "")</f>
        <v/>
      </c>
      <c r="AK24" s="142" t="str">
        <f t="array" ref="AK24">IFERROR(INDEX(Skill!$D:$D, MATCH(AK$4, Skill!$C:$C, 0), 1), "")</f>
        <v/>
      </c>
      <c r="AL24" s="141" t="str">
        <f t="array" ref="AL24">IFERROR(INDEX(Skill!$D:$D, MATCH(AL$4, Skill!$C:$C, 0), 1), "")</f>
        <v/>
      </c>
      <c r="AM24" s="140" t="str">
        <f t="array" ref="AM24">IFERROR(INDEX(Skill!$D:$D, MATCH(AM$4, Skill!$C:$C, 0), 1), "")</f>
        <v/>
      </c>
      <c r="AN24" s="140" t="str">
        <f t="array" ref="AN24">IFERROR(INDEX(Skill!$D:$D, MATCH(AN$4, Skill!$C:$C, 0), 1), "")</f>
        <v/>
      </c>
      <c r="AO24" s="140" t="str">
        <f t="array" ref="AO24">IFERROR(INDEX(Skill!$D:$D, MATCH(AO$4, Skill!$C:$C, 0), 1), "")</f>
        <v/>
      </c>
      <c r="AP24" s="140" t="str">
        <f t="array" ref="AP24">IFERROR(INDEX(Skill!$D:$D, MATCH(AP$4, Skill!$C:$C, 0), 1), "")</f>
        <v/>
      </c>
      <c r="AQ24" s="140" t="str">
        <f t="array" ref="AQ24">IFERROR(INDEX(Skill!$D:$D, MATCH(AQ$4, Skill!$C:$C, 0), 1), "")</f>
        <v/>
      </c>
      <c r="AR24" s="140" t="str">
        <f t="array" ref="AR24">IFERROR(INDEX(Skill!$D:$D, MATCH(AR$4, Skill!$C:$C, 0), 1), "")</f>
        <v/>
      </c>
      <c r="AS24" s="144" t="str">
        <f t="array" ref="AS24">IFERROR(INDEX(Skill!$D:$D, MATCH(AS$4, Skill!$C:$C, 0), 1), "")</f>
        <v/>
      </c>
      <c r="AT24" s="145" t="str">
        <f t="array" ref="AT24">IFERROR(INDEX(Skill!$D:$D, MATCH(AT$4, Skill!$C:$C, 0), 1), "")</f>
        <v/>
      </c>
      <c r="AU24" s="145" t="str">
        <f t="array" ref="AU24">IFERROR(INDEX(Skill!$D:$D, MATCH(AU$4, Skill!$C:$C, 0), 1), "")</f>
        <v/>
      </c>
      <c r="AV24" s="145" t="str">
        <f t="array" ref="AV24">IFERROR(INDEX(Skill!$D:$D, MATCH(AV$4, Skill!$C:$C, 0), 1), "")</f>
        <v/>
      </c>
      <c r="AW24" s="145" t="str">
        <f t="array" ref="AW24">IFERROR(INDEX(Skill!$D:$D, MATCH(AW$4, Skill!$C:$C, 0), 1), "")</f>
        <v/>
      </c>
      <c r="AX24" s="145" t="str">
        <f t="array" ref="AX24">IFERROR(INDEX(Skill!$D:$D, MATCH(AX$4, Skill!$C:$C, 0), 1), "")</f>
        <v/>
      </c>
      <c r="AY24" s="145" t="str">
        <f t="array" ref="AY24">IFERROR(INDEX(Skill!$D:$D, MATCH(AY$4, Skill!$C:$C, 0), 1), "")</f>
        <v/>
      </c>
      <c r="AZ24" s="146" t="str">
        <f t="array" ref="AZ24">IFERROR(INDEX(Skill!$D:$D, MATCH(AZ$4, Skill!$C:$C, 0), 1), "")</f>
        <v/>
      </c>
      <c r="BA24" s="115"/>
      <c r="BB24" s="146" t="str">
        <f t="array" ref="BB24">IFERROR(INDEX(Skill!$D:$D, MATCH(BB$4, Skill!$C:$C, 0), 1), "")</f>
        <v/>
      </c>
      <c r="BC24" s="115"/>
      <c r="BD24" s="145" t="str">
        <f t="array" ref="BD24">IFERROR(INDEX(Skill!$D:$D, MATCH(BD$4, Skill!$C:$C, 0), 1), "")</f>
        <v/>
      </c>
      <c r="BE24" s="144" t="str">
        <f t="array" ref="BE24">IFERROR(INDEX(Skill!$D:$D, MATCH(BE$4, Skill!$C:$C, 0), 1), "")</f>
        <v/>
      </c>
      <c r="BF24" s="147" t="str">
        <f t="array" ref="BF24">IFERROR(INDEX(Skill!$D:$D, MATCH(BF$4, Skill!$C:$C, 0), 1), "")</f>
        <v/>
      </c>
      <c r="BG24" s="147" t="str">
        <f t="array" ref="BG24">IFERROR(INDEX(Skill!$D:$D, MATCH(BG$4, Skill!$C:$C, 0), 1), "")</f>
        <v/>
      </c>
      <c r="BH24" s="147" t="str">
        <f t="array" ref="BH24">IFERROR(INDEX(Skill!$D:$D, MATCH(BH$4, Skill!$C:$C, 0), 1), "")</f>
        <v/>
      </c>
      <c r="BI24" s="147" t="str">
        <f t="array" ref="BI24">IFERROR(INDEX(Skill!$D:$D, MATCH(BI$4, Skill!$C:$C, 0), 1), "")</f>
        <v/>
      </c>
      <c r="BJ24" s="147" t="str">
        <f t="array" ref="BJ24">IFERROR(INDEX(Skill!$D:$D, MATCH(BJ$4, Skill!$C:$C, 0), 1), "")</f>
        <v/>
      </c>
      <c r="BK24" s="147" t="str">
        <f t="array" ref="BK24">IFERROR(INDEX(Skill!$D:$D, MATCH(BK$4, Skill!$C:$C, 0), 1), "")</f>
        <v/>
      </c>
      <c r="BL24" s="147" t="str">
        <f t="array" ref="BL24">IFERROR(INDEX(Skill!$D:$D, MATCH(BL$4, Skill!$C:$C, 0), 1), "")</f>
        <v/>
      </c>
      <c r="BM24" s="147" t="str">
        <f t="array" ref="BM24">IFERROR(INDEX(Skill!$D:$D, MATCH(BM$4, Skill!$C:$C, 0), 1), "")</f>
        <v/>
      </c>
      <c r="BN24" s="147" t="str">
        <f t="array" ref="BN24">IFERROR(INDEX(Skill!$D:$D, MATCH(BN$4, Skill!$C:$C, 0), 1), "")</f>
        <v/>
      </c>
      <c r="BO24" s="147" t="str">
        <f t="array" ref="BO24">IFERROR(INDEX(Skill!$D:$D, MATCH(BO$4, Skill!$C:$C, 0), 1), "")</f>
        <v/>
      </c>
      <c r="BP24" s="147" t="str">
        <f t="array" ref="BP24">IFERROR(INDEX(Skill!$D:$D, MATCH(BP$4, Skill!$C:$C, 0), 1), "")</f>
        <v/>
      </c>
      <c r="BQ24" s="147" t="str">
        <f t="array" ref="BQ24">IFERROR(INDEX(Skill!$D:$D, MATCH(BQ$4, Skill!$C:$C, 0), 1), "")</f>
        <v/>
      </c>
      <c r="BR24" s="147" t="str">
        <f t="array" ref="BR24">IFERROR(INDEX(Skill!$D:$D, MATCH(BR$4, Skill!$C:$C, 0), 1), "")</f>
        <v/>
      </c>
      <c r="BS24" s="148" t="str">
        <f t="array" ref="BS24">IFERROR(INDEX(Skill!$D:$D, MATCH(BS$4, Skill!$C:$C, 0), 1), "")</f>
        <v/>
      </c>
      <c r="BT24" s="115"/>
      <c r="BU24" s="147" t="str">
        <f t="array" ref="BU24">IFERROR(INDEX(Skill!$D:$D, MATCH(BU$4, Skill!$C:$C, 0), 1), "")</f>
        <v/>
      </c>
      <c r="BV24" s="148" t="str">
        <f t="array" ref="BV24">IFERROR(INDEX(Skill!$D:$D, MATCH(BV$4, Skill!$C:$C, 0), 1), "")</f>
        <v/>
      </c>
      <c r="BW24" s="115"/>
      <c r="BX24" s="147" t="str">
        <f t="array" ref="BX24">IFERROR(INDEX(Skill!$D:$D, MATCH(BX$4, Skill!$C:$C, 0), 1), "")</f>
        <v/>
      </c>
      <c r="BY24" s="144" t="str">
        <f t="array" ref="BY24">IFERROR(INDEX(Skill!$D:$D, MATCH(BY$4, Skill!$C:$C, 0), 1), "")</f>
        <v/>
      </c>
      <c r="BZ24" s="147" t="str">
        <f t="array" ref="BZ24">IFERROR(INDEX(Skill!$D:$D, MATCH(BZ$4, Skill!$C:$C, 0), 1), "")</f>
        <v/>
      </c>
      <c r="CA24" s="147" t="str">
        <f t="array" ref="CA24">IFERROR(INDEX(Skill!$D:$D, MATCH(CA$4, Skill!$C:$C, 0), 1), "")</f>
        <v/>
      </c>
      <c r="CB24" s="147" t="str">
        <f t="array" ref="CB24">IFERROR(INDEX(Skill!$D:$D, MATCH(CB$4, Skill!$C:$C, 0), 1), "")</f>
        <v/>
      </c>
      <c r="CC24" s="147" t="str">
        <f t="array" ref="CC24">IFERROR(INDEX(Skill!$D:$D, MATCH(CC$4, Skill!$C:$C, 0), 1), "")</f>
        <v/>
      </c>
      <c r="CD24" s="147" t="str">
        <f t="array" ref="CD24">IFERROR(INDEX(Skill!$D:$D, MATCH(CD$4, Skill!$C:$C, 0), 1), "")</f>
        <v/>
      </c>
      <c r="CE24" s="147" t="str">
        <f t="array" ref="CE24">IFERROR(INDEX(Skill!$D:$D, MATCH(CE$4, Skill!$C:$C, 0), 1), "")</f>
        <v/>
      </c>
      <c r="CF24" s="147" t="str">
        <f t="array" ref="CF24">IFERROR(INDEX(Skill!$D:$D, MATCH(CF$4, Skill!$C:$C, 0), 1), "")</f>
        <v/>
      </c>
      <c r="CG24" s="147" t="str">
        <f t="array" ref="CG24">IFERROR(INDEX(Skill!$D:$D, MATCH(CG$4, Skill!$C:$C, 0), 1), "")</f>
        <v/>
      </c>
      <c r="CH24" s="147" t="str">
        <f t="array" ref="CH24">IFERROR(INDEX(Skill!$D:$D, MATCH(CH$4, Skill!$C:$C, 0), 1), "")</f>
        <v/>
      </c>
      <c r="CI24" s="147" t="str">
        <f t="array" ref="CI24">IFERROR(INDEX(Skill!$D:$D, MATCH(CI$4, Skill!$C:$C, 0), 1), "")</f>
        <v/>
      </c>
      <c r="CJ24" s="147" t="str">
        <f t="array" ref="CJ24">IFERROR(INDEX(Skill!$D:$D, MATCH(CJ$4, Skill!$C:$C, 0), 1), "")</f>
        <v/>
      </c>
      <c r="CK24" s="147" t="str">
        <f t="array" ref="CK24">IFERROR(INDEX(Skill!$D:$D, MATCH(CK$4, Skill!$C:$C, 0), 1), "")</f>
        <v/>
      </c>
      <c r="CL24" s="147" t="str">
        <f t="array" ref="CL24">IFERROR(INDEX(Skill!$D:$D, MATCH(CL$4, Skill!$C:$C, 0), 1), "")</f>
        <v/>
      </c>
      <c r="CM24" s="147" t="str">
        <f t="array" ref="CM24">IFERROR(INDEX(Skill!$D:$D, MATCH(CM$4, Skill!$C:$C, 0), 1), "")</f>
        <v/>
      </c>
      <c r="CN24" s="147" t="str">
        <f t="array" ref="CN24">IFERROR(INDEX(Skill!$D:$D, MATCH(CN$4, Skill!$C:$C, 0), 1), "")</f>
        <v/>
      </c>
      <c r="CO24" s="147" t="str">
        <f t="array" ref="CO24">IFERROR(INDEX(Skill!$D:$D, MATCH(CO$4, Skill!$C:$C, 0), 1), "")</f>
        <v/>
      </c>
      <c r="CP24" s="147" t="str">
        <f t="array" ref="CP24">IFERROR(INDEX(Skill!$D:$D, MATCH(CP$4, Skill!$C:$C, 0), 1), "")</f>
        <v/>
      </c>
      <c r="CQ24" s="147" t="str">
        <f t="array" ref="CQ24">IFERROR(INDEX(Skill!$D:$D, MATCH(CQ$4, Skill!$C:$C, 0), 1), "")</f>
        <v/>
      </c>
      <c r="CR24" s="147" t="str">
        <f t="array" ref="CR24">IFERROR(INDEX(Skill!$D:$D, MATCH(CR$4, Skill!$C:$C, 0), 1), "")</f>
        <v/>
      </c>
      <c r="CS24" s="147" t="str">
        <f>IMAGE("http://drive.google.com/uc?export=view&amp;id=1AdMXq2oDpA84xtFE73ql3oAKBb8YsCwr")</f>
        <v/>
      </c>
      <c r="CT24" s="144" t="str">
        <f t="array" ref="CT24">IFERROR(INDEX(Skill!$D:$D, MATCH(CT$4, Skill!$C:$C, 0), 1), "")</f>
        <v/>
      </c>
      <c r="CU24" s="147" t="str">
        <f t="array" ref="CU24">IFERROR(INDEX(Skill!$D:$D, MATCH(CU$4, Skill!$C:$C, 0), 1), "")</f>
        <v/>
      </c>
      <c r="CV24" s="147" t="str">
        <f t="array" ref="CV24">IFERROR(INDEX(Skill!$D:$D, MATCH(CV$4, Skill!$C:$C, 0), 1), "")</f>
        <v/>
      </c>
      <c r="CW24" s="147" t="str">
        <f t="array" ref="CW24">IFERROR(INDEX(Skill!$D:$D, MATCH(CW$4, Skill!$C:$C, 0), 1), "")</f>
        <v/>
      </c>
      <c r="CX24" s="147" t="str">
        <f t="array" ref="CX24">IFERROR(INDEX(Skill!$D:$D, MATCH(CX$4, Skill!$C:$C, 0), 1), "")</f>
        <v/>
      </c>
      <c r="CY24" s="147" t="str">
        <f t="array" ref="CY24">IFERROR(INDEX(Skill!$D:$D, MATCH(CY$4, Skill!$C:$C, 0), 1), "")</f>
        <v/>
      </c>
      <c r="CZ24" s="147" t="str">
        <f t="array" ref="CZ24">IFERROR(INDEX(Skill!$D:$D, MATCH(CZ$4, Skill!$C:$C, 0), 1), "")</f>
        <v/>
      </c>
      <c r="DA24" s="147" t="str">
        <f t="array" ref="DA24">IFERROR(INDEX(Skill!$D:$D, MATCH(DA$4, Skill!$C:$C, 0), 1), "")</f>
        <v/>
      </c>
      <c r="DB24" s="147" t="str">
        <f t="array" ref="DB24">IFERROR(INDEX(Skill!$D:$D, MATCH(DB$4, Skill!$C:$C, 0), 1), "")</f>
        <v/>
      </c>
      <c r="DC24" s="147" t="str">
        <f t="array" ref="DC24">IFERROR(INDEX(Skill!$D:$D, MATCH(DC$4, Skill!$C:$C, 0), 1), "")</f>
        <v/>
      </c>
      <c r="DD24" s="147" t="str">
        <f t="array" ref="DD24">IFERROR(INDEX(Skill!$D:$D, MATCH(DD$4, Skill!$C:$C, 0), 1), "")</f>
        <v/>
      </c>
      <c r="DE24" s="147" t="str">
        <f t="array" ref="DE24">IFERROR(INDEX(Skill!$D:$D, MATCH(DE$4, Skill!$C:$C, 0), 1), "")</f>
        <v/>
      </c>
      <c r="DF24" s="147" t="str">
        <f t="array" ref="DF24">IFERROR(INDEX(Skill!$D:$D, MATCH(DF$4, Skill!$C:$C, 0), 1), "")</f>
        <v/>
      </c>
      <c r="DG24" s="147" t="str">
        <f t="array" ref="DG24">IFERROR(INDEX(Skill!$D:$D, MATCH(DG$4, Skill!$C:$C, 0), 1), "")</f>
        <v/>
      </c>
      <c r="DH24" s="147" t="str">
        <f t="array" ref="DH24">IFERROR(INDEX(Skill!$D:$D, MATCH(DH$4, Skill!$C:$C, 0), 1), "")</f>
        <v/>
      </c>
      <c r="DI24" s="149" t="str">
        <f>IMAGE("http://drive.google.com/uc?export=view&amp;id=1FcMZkz9P-d2sGOIP9AD8bApVpM0bcRKd")</f>
        <v/>
      </c>
      <c r="DJ24" s="150" t="str">
        <f t="array" ref="DJ24">IFERROR(INDEX(Skill!$D:$D, MATCH(DJ$4, Skill!$C:$C, 0), 1), "")</f>
        <v/>
      </c>
      <c r="DK24" s="151" t="str">
        <f t="array" ref="DK24">IFERROR(INDEX(Skill!$D:$D, MATCH(DK$4, Skill!$C:$C, 0), 1), "")</f>
        <v/>
      </c>
      <c r="DL24" s="127" t="str">
        <f t="array" ref="DL24">IFERROR(INDEX(Skill!$D:$D, MATCH(DL$4, Skill!$C:$C, 0), 1), "")</f>
        <v/>
      </c>
      <c r="DM24" s="127" t="str">
        <f t="array" ref="DM24">IFERROR(INDEX(Skill!$D:$D, MATCH(DM$4, Skill!$C:$C, 0), 1), "")</f>
        <v/>
      </c>
      <c r="DN24" s="127" t="str">
        <f t="array" ref="DN24">IFERROR(INDEX(Skill!$D:$D, MATCH(DN$4, Skill!$C:$C, 0), 1), "")</f>
        <v/>
      </c>
      <c r="DO24" s="127" t="str">
        <f t="array" ref="DO24">IFERROR(INDEX(Skill!$D:$D, MATCH(DO$4, Skill!$C:$C, 0), 1), "")</f>
        <v/>
      </c>
      <c r="DP24" s="127" t="str">
        <f t="array" ref="DP24">IFERROR(INDEX(Skill!$D:$D, MATCH(DP$4, Skill!$C:$C, 0), 1), "")</f>
        <v/>
      </c>
      <c r="DQ24" s="152" t="str">
        <f t="array" ref="DQ24">IFERROR(INDEX(Skill!$D:$D, MATCH(DQ$4, Skill!$C:$C, 0), 1), "")</f>
        <v/>
      </c>
      <c r="DR24" s="153" t="str">
        <f t="array" ref="DR24">IFERROR(INDEX(Skill!$D:$D, MATCH(DR$4, Skill!$C:$C, 0), 1), "")</f>
        <v/>
      </c>
      <c r="DS24" s="152" t="str">
        <f t="array" ref="DS24">IFERROR(INDEX(Skill!$D:$D, MATCH(DS$4, Skill!$C:$C, 0), 1), "")</f>
        <v/>
      </c>
      <c r="DT24" s="153" t="str">
        <f t="array" ref="DT24">IFERROR(INDEX(Skill!$D:$D, MATCH(DT$4, Skill!$C:$C, 0), 1), "")</f>
        <v/>
      </c>
      <c r="DU24" s="152" t="str">
        <f t="array" ref="DU24">IFERROR(INDEX(Skill!$D:$D, MATCH(DU$4, Skill!$C:$C, 0), 1), "")</f>
        <v/>
      </c>
      <c r="DV24" s="153" t="str">
        <f t="array" ref="DV24">IFERROR(INDEX(Skill!$D:$D, MATCH(DV$4, Skill!$C:$C, 0), 1), "")</f>
        <v/>
      </c>
      <c r="DW24" s="129" t="str">
        <f t="array" ref="DW24">IFERROR(INDEX(Skill!$D:$D, MATCH(DW$4, Skill!$C:$C, 0), 1), "")</f>
        <v/>
      </c>
      <c r="DX24" s="129" t="str">
        <f t="array" ref="DX24">IFERROR(INDEX(Skill!$D:$D, MATCH(DX$4, Skill!$C:$C, 0), 1), "")</f>
        <v/>
      </c>
      <c r="DY24" s="154" t="str">
        <f t="array" ref="DY24">IFERROR(INDEX(Skill!$D:$D, MATCH(DY$4, Skill!$C:$C, 0), 1), "")</f>
        <v/>
      </c>
      <c r="DZ24" s="155" t="str">
        <f t="array" ref="DZ24">IFERROR(INDEX(Skill!$D:$D, MATCH(DZ$4, Skill!$C:$C, 0), 1), "")</f>
        <v/>
      </c>
      <c r="EA24" s="154" t="str">
        <f t="array" ref="EA24">IFERROR(INDEX(Skill!$D:$D, MATCH(EA$4, Skill!$C:$C, 0), 1), "")</f>
        <v/>
      </c>
      <c r="EB24" s="154" t="str">
        <f t="array" ref="EB24">IFERROR(INDEX(Skill!$D:$D, MATCH(EB$4, Skill!$C:$C, 0), 1), "")</f>
        <v/>
      </c>
      <c r="EC24" s="154" t="str">
        <f t="array" ref="EC24">IFERROR(INDEX(Skill!$D:$D, MATCH(EC$4, Skill!$C:$C, 0), 1), "")</f>
        <v/>
      </c>
      <c r="ED24" s="125" t="str">
        <f t="array" ref="ED24">IFERROR(INDEX(Skill!$D:$D, MATCH(ED$4, Skill!$C:$C, 0), 1), "")</f>
        <v/>
      </c>
      <c r="EE24" s="156"/>
      <c r="EF24" s="132" t="s">
        <v>1068</v>
      </c>
      <c r="EG24" s="132" t="s">
        <v>1069</v>
      </c>
      <c r="EH24" s="132" t="s">
        <v>1068</v>
      </c>
      <c r="EI24" s="132" t="s">
        <v>1069</v>
      </c>
      <c r="EJ24" s="132" t="s">
        <v>1068</v>
      </c>
      <c r="EK24" s="132" t="s">
        <v>1069</v>
      </c>
      <c r="EL24" s="132" t="s">
        <v>1068</v>
      </c>
      <c r="EM24" s="132" t="s">
        <v>1069</v>
      </c>
      <c r="EN24" s="132" t="s">
        <v>1068</v>
      </c>
      <c r="EO24" s="132" t="s">
        <v>1069</v>
      </c>
      <c r="EP24" s="137"/>
      <c r="EQ24" s="122"/>
      <c r="ER24" s="157" t="s">
        <v>1065</v>
      </c>
      <c r="ES24" s="158" t="s">
        <v>1066</v>
      </c>
      <c r="ET24" s="159">
        <f>Option!$D$21</f>
        <v>142000</v>
      </c>
      <c r="EU24" s="160" t="s">
        <v>1042</v>
      </c>
      <c r="EV24" s="158" t="s">
        <v>1041</v>
      </c>
      <c r="EW24" s="158" t="s">
        <v>1052</v>
      </c>
      <c r="EX24" s="158" t="s">
        <v>1043</v>
      </c>
      <c r="EY24" s="161">
        <f>Option!$D$17</f>
        <v>225800</v>
      </c>
      <c r="EZ24" s="160" t="s">
        <v>1042</v>
      </c>
      <c r="FA24" s="158" t="s">
        <v>1041</v>
      </c>
      <c r="FB24" s="158" t="s">
        <v>1052</v>
      </c>
      <c r="FC24" s="158" t="s">
        <v>1043</v>
      </c>
      <c r="FD24" s="161">
        <f>Option!$D$18</f>
        <v>225800</v>
      </c>
      <c r="FE24" s="160" t="s">
        <v>1042</v>
      </c>
      <c r="FF24" s="158" t="s">
        <v>1041</v>
      </c>
      <c r="FG24" s="158" t="s">
        <v>1052</v>
      </c>
      <c r="FH24" s="158" t="s">
        <v>1043</v>
      </c>
      <c r="FI24" s="161">
        <f>Option!$D$19</f>
        <v>225800</v>
      </c>
      <c r="FJ24" s="160" t="s">
        <v>1042</v>
      </c>
      <c r="FK24" s="158" t="s">
        <v>1041</v>
      </c>
      <c r="FL24" s="158" t="s">
        <v>1052</v>
      </c>
      <c r="FM24" s="158" t="s">
        <v>1043</v>
      </c>
      <c r="FN24" s="161">
        <f>Option!$D$20</f>
        <v>225800</v>
      </c>
      <c r="FO24" s="162"/>
    </row>
    <row r="25">
      <c r="B25" s="229"/>
      <c r="C25" s="217">
        <f t="shared" ref="C25:C76" si="1">IFERROR(C$3+D25, D25)</f>
        <v>0</v>
      </c>
      <c r="D25" s="242"/>
      <c r="E25" s="243"/>
      <c r="F25" s="167"/>
      <c r="G25" s="168" t="str">
        <f t="shared" ref="G25:G76" si="2">SWITCH(F25,
"Physical", image("https://xivapi.com/i/060000/060011.png"),
"Magic", image("https://xivapi.com/i/060000/060012.png"),
"Unique", image("https://xivapi.com/i/060000/060013.png"),
"")</f>
        <v/>
      </c>
      <c r="H25" s="169"/>
      <c r="I25" s="169"/>
      <c r="J25" s="169"/>
      <c r="K25" s="170" t="b">
        <v>0</v>
      </c>
      <c r="L25" s="170" t="b">
        <v>0</v>
      </c>
      <c r="M25" s="170" t="b">
        <v>0</v>
      </c>
      <c r="N25" s="171" t="s">
        <v>1070</v>
      </c>
      <c r="O25" s="172" t="b">
        <v>0</v>
      </c>
      <c r="P25" s="173" t="b">
        <v>0</v>
      </c>
      <c r="Q25" s="173" t="b">
        <v>0</v>
      </c>
      <c r="R25" s="173" t="b">
        <v>0</v>
      </c>
      <c r="S25" s="174" t="b">
        <v>0</v>
      </c>
      <c r="T25" s="175" t="b">
        <v>0</v>
      </c>
      <c r="U25" s="173" t="b">
        <v>0</v>
      </c>
      <c r="V25" s="171" t="s">
        <v>1070</v>
      </c>
      <c r="W25" s="172" t="b">
        <v>0</v>
      </c>
      <c r="X25" s="173" t="b">
        <v>0</v>
      </c>
      <c r="Y25" s="173" t="b">
        <v>0</v>
      </c>
      <c r="Z25" s="173" t="b">
        <v>0</v>
      </c>
      <c r="AA25" s="174" t="b">
        <v>0</v>
      </c>
      <c r="AB25" s="174" t="b">
        <v>0</v>
      </c>
      <c r="AC25" s="175" t="b">
        <v>0</v>
      </c>
      <c r="AD25" s="173" t="b">
        <v>0</v>
      </c>
      <c r="AE25" s="176" t="s">
        <v>1070</v>
      </c>
      <c r="AF25" s="171" t="s">
        <v>1070</v>
      </c>
      <c r="AG25" s="177">
        <f>IFERROR(__xludf.DUMMYFUNCTION("IF(
  ISNUMBER(#REF!),
  MIN(MAX(
    #REF!
    + MAX(
      ROUNDDOWN(($D25 - MAX(IFERROR(FILTER($D$24:$D24, AG$24:AG24 &lt;&gt; AF$6, AG$23:AG24 = AF$6), 0))) * (60 * 60 * 24) / AF$9) - ROUNDDOWN((#REF! - MAX(IFERROR(FILTER($D$23:$D24, AG$23:AG24 &lt;&gt; AF$6, AG$"&amp;"22:AG24 = AF$6), 0))) * (60 * 60 * 24) / 60),
      0
    )
    - COUNTIF(AF25, ""&lt;&gt;-""),
  0), AF$6),
  AF$6 - COUNTIF(AF25, ""&lt;&gt;-"")
)"),2.0)</f>
        <v>2</v>
      </c>
      <c r="AH25" s="173" t="b">
        <v>0</v>
      </c>
      <c r="AI25" s="173" t="b">
        <v>0</v>
      </c>
      <c r="AJ25" s="173" t="b">
        <v>0</v>
      </c>
      <c r="AK25" s="174" t="b">
        <v>0</v>
      </c>
      <c r="AL25" s="175" t="b">
        <v>0</v>
      </c>
      <c r="AM25" s="173" t="b">
        <v>0</v>
      </c>
      <c r="AN25" s="171" t="s">
        <v>1070</v>
      </c>
      <c r="AO25" s="173" t="b">
        <v>0</v>
      </c>
      <c r="AP25" s="173" t="b">
        <v>0</v>
      </c>
      <c r="AQ25" s="173" t="b">
        <v>0</v>
      </c>
      <c r="AR25" s="174" t="b">
        <v>0</v>
      </c>
      <c r="AS25" s="178" t="b">
        <v>0</v>
      </c>
      <c r="AT25" s="179" t="b">
        <v>0</v>
      </c>
      <c r="AU25" s="180" t="b">
        <v>0</v>
      </c>
      <c r="AV25" s="180" t="b">
        <v>0</v>
      </c>
      <c r="AW25" s="180" t="b">
        <v>0</v>
      </c>
      <c r="AX25" s="180" t="b">
        <v>0</v>
      </c>
      <c r="AY25" s="181" t="s">
        <v>1070</v>
      </c>
      <c r="AZ25" s="181" t="s">
        <v>1070</v>
      </c>
      <c r="BA25" s="184">
        <f>IFERROR(__xludf.DUMMYFUNCTION("IF(
  ISNUMBER(#REF!),
  MIN(MAX(
    #REF!
    + MAX(
      ROUNDDOWN((D25 - MAX(IFERROR(FILTER(D$24:D24, BA$24:BA24 &lt;&gt; AZ$6, BA$23:BA24 = AZ$6), 0))) * (60 * 60 * 24) / AZ$9) - ROUNDDOWN((#REF! - MAX(IFERROR(FILTER(D$23:D24, BA$23:BA24 &lt;&gt; AZ$6, BA$22:BA"&amp;"24 = AZ$6), 0))) * (60 * 60 * 24) / AZ$9),
      0
    )
    - COUNTIF(AZ25, ""&lt;&gt;-""),
  0), AZ$6),
  AZ$6 - COUNTIF(AZ25, ""&lt;&gt;-"")
)"),2.0)</f>
        <v>2</v>
      </c>
      <c r="BB25" s="181" t="s">
        <v>1070</v>
      </c>
      <c r="BC25" s="183">
        <f>IFERROR(__xludf.DUMMYFUNCTION("IF(
  ISNUMBER(#REF!),
  MIN(MAX(
    #REF!
    + MAX(
      ROUNDDOWN(($D25 - MAX(IFERROR(FILTER($D$24:$D24, BC$24:BC24 &lt;&gt; BB$6, BC$23:BC24 = BB$6), 0))) * (60 * 60 * 24) / BB$9) - ROUNDDOWN((#REF! - MAX(IFERROR(FILTER($D$23:$D24, BC$23:BC24 &lt;&gt; BB$6, BC$"&amp;"22:BC24 = BB$6), 0))) * (60 * 60 * 24) / 60),
      0
    )
    - COUNTIF(BB25, ""&lt;&gt;-""),
  0), BB$6),
  BB$6 - COUNTIF(BB25, ""&lt;&gt;-"")
)"),2.0)</f>
        <v>2</v>
      </c>
      <c r="BD25" s="181" t="s">
        <v>1070</v>
      </c>
      <c r="BE25" s="178" t="b">
        <v>0</v>
      </c>
      <c r="BF25" s="180" t="b">
        <v>0</v>
      </c>
      <c r="BG25" s="180" t="b">
        <v>0</v>
      </c>
      <c r="BH25" s="180" t="b">
        <v>0</v>
      </c>
      <c r="BI25" s="180" t="b">
        <v>0</v>
      </c>
      <c r="BJ25" s="180" t="b">
        <v>0</v>
      </c>
      <c r="BK25" s="180" t="b">
        <v>0</v>
      </c>
      <c r="BL25" s="180" t="b">
        <v>0</v>
      </c>
      <c r="BM25" s="180" t="b">
        <v>0</v>
      </c>
      <c r="BN25" s="180" t="b">
        <v>0</v>
      </c>
      <c r="BO25" s="181" t="s">
        <v>1070</v>
      </c>
      <c r="BP25" s="181" t="s">
        <v>1070</v>
      </c>
      <c r="BQ25" s="181" t="s">
        <v>1070</v>
      </c>
      <c r="BR25" s="181" t="s">
        <v>1070</v>
      </c>
      <c r="BS25" s="181" t="s">
        <v>1070</v>
      </c>
      <c r="BT25" s="184">
        <f>IFERROR(__xludf.DUMMYFUNCTION("IF(
  ISNUMBER(#REF!),
  MIN(MAX(
    #REF!
    + MAX(
      ROUNDDOWN((D25 - MAX(IFERROR(FILTER(D$24:D24, BT$24:BT24 &lt;&gt; BS$6, BT$23:BT24 = BS$6), 0))) * (60 * 60 * 24) / BS$9) - ROUNDDOWN((#REF! - MAX(IFERROR(FILTER(D$23:D24, BT$23:BT24 &lt;&gt; BS$6, BT$22:BT"&amp;"24 = BS$6), 0))) * (60 * 60 * 24) / BS$9),
      0
    )
    - COUNTIF(BS25, ""&lt;&gt;-""),
  0), BS$6),
  BS$6 - COUNTIF(BS25, ""&lt;&gt;-"")
)"),3.0)</f>
        <v>3</v>
      </c>
      <c r="BU25" s="181" t="s">
        <v>1070</v>
      </c>
      <c r="BV25" s="181" t="s">
        <v>1070</v>
      </c>
      <c r="BW25" s="184">
        <f>IFERROR(__xludf.DUMMYFUNCTION("IF(
  ISNUMBER(#REF!),
  MIN(MAX(
    #REF!
    + MAX(
      ROUNDDOWN((D25 - MAX(IFERROR(FILTER(D$24:D24, BW$24:BW24 &lt;&gt; BV$6, BW$23:BW24 = BV$6), 0))) * (60 * 60 * 24) / BV$9) - ROUNDDOWN((#REF! - MAX(IFERROR(FILTER(D$23:D24, BW$23:BW24 &lt;&gt; BV$6, BW$22:BW"&amp;"24 = BV$6), 0))) * (60 * 60 * 24) / BV$9),
      0
    )
    - COUNTIF(BV25, ""&lt;&gt;-""),
  0), BV$6),
  BV$6 - COUNTIF(BV25, ""&lt;&gt;-"")
)"),2.0)</f>
        <v>2</v>
      </c>
      <c r="BX25" s="185" t="s">
        <v>1070</v>
      </c>
      <c r="BY25" s="178" t="b">
        <v>0</v>
      </c>
      <c r="BZ25" s="180" t="b">
        <v>0</v>
      </c>
      <c r="CA25" s="180" t="b">
        <v>0</v>
      </c>
      <c r="CB25" s="180" t="b">
        <v>0</v>
      </c>
      <c r="CC25" s="180" t="b">
        <v>0</v>
      </c>
      <c r="CD25" s="180" t="b">
        <v>0</v>
      </c>
      <c r="CE25" s="180" t="b">
        <v>0</v>
      </c>
      <c r="CF25" s="180" t="b">
        <v>0</v>
      </c>
      <c r="CG25" s="180" t="b">
        <v>0</v>
      </c>
      <c r="CH25" s="180" t="b">
        <v>0</v>
      </c>
      <c r="CI25" s="180" t="b">
        <v>0</v>
      </c>
      <c r="CJ25" s="180" t="b">
        <v>0</v>
      </c>
      <c r="CK25" s="180" t="b">
        <v>0</v>
      </c>
      <c r="CL25" s="180" t="b">
        <v>0</v>
      </c>
      <c r="CM25" s="181" t="s">
        <v>1070</v>
      </c>
      <c r="CN25" s="181" t="s">
        <v>1070</v>
      </c>
      <c r="CO25" s="181" t="s">
        <v>1070</v>
      </c>
      <c r="CP25" s="181" t="s">
        <v>1070</v>
      </c>
      <c r="CQ25" s="185" t="s">
        <v>1070</v>
      </c>
      <c r="CR25" s="180" t="b">
        <v>0</v>
      </c>
      <c r="CS25" s="186" t="str">
        <f t="array" ref="CS25">SWITCH(
    IF(OR(AND(CI25, #REF!&lt;&gt;TRUE), CR25), 3, IF(ISTEXT(#REF!), FIND("◇", #REF!&amp;"◇") - 1, 0))
  - COUNTIFS({BZ25,CE25}, "=TRUE", {#REF!,#REF!}, "&lt;&gt;TRUE")
  - COUNTIF({CN25,CQ25}, "&lt;&gt;-")
  + IF(COUNTIFS({BZ25,CE25}, "=TRUE", {#REF!,#REF!}, "&lt;&gt;TRUE") + COUNTIF({CN25,CQ25}, "&lt;&gt;-"), COUNTIFS(CJ25, "=TRUE", #REF!, "&lt;&gt;TRUE"), 0),
  0, "◇◇◇", 1, "◆◇◇", 2, "◆◆◇", 3, "◆◆◆", "◇◇◇"
)</f>
        <v>#REF!</v>
      </c>
      <c r="CT25" s="178" t="b">
        <v>0</v>
      </c>
      <c r="CU25" s="180" t="b">
        <v>0</v>
      </c>
      <c r="CV25" s="180" t="b">
        <v>0</v>
      </c>
      <c r="CW25" s="180" t="b">
        <v>0</v>
      </c>
      <c r="CX25" s="180" t="b">
        <v>0</v>
      </c>
      <c r="CY25" s="180" t="b">
        <v>0</v>
      </c>
      <c r="CZ25" s="180" t="b">
        <v>0</v>
      </c>
      <c r="DA25" s="180" t="b">
        <v>0</v>
      </c>
      <c r="DB25" s="180" t="b">
        <v>0</v>
      </c>
      <c r="DC25" s="180" t="b">
        <v>0</v>
      </c>
      <c r="DD25" s="181" t="s">
        <v>1070</v>
      </c>
      <c r="DE25" s="181" t="s">
        <v>1070</v>
      </c>
      <c r="DF25" s="181" t="s">
        <v>1070</v>
      </c>
      <c r="DG25" s="185" t="s">
        <v>1070</v>
      </c>
      <c r="DH25" s="180" t="b">
        <v>0</v>
      </c>
      <c r="DI25" s="187" t="str">
        <f>IFERROR(__xludf.DUMMYFUNCTION("SWITCH(
  IF(
    ISTEXT(#REF!),
    IF (
      FIND(""○"", #REF!&amp;""○"") &gt; 3,
      3,
      FIND(""○"", #REF!&amp;""○"")
      + MAX(
        ROUNDDOWN(($D25 - MAX(IFERROR(FILTER(D$24:D24, DI$24:DI24 &lt;&gt; ""●●●"", DI$23:DI24 = ""●●●""), 0))) * (60 * 60 * 24) /"&amp;" 20) - ROUNDDOWN((#REF! - MAX(IFERROR(FILTER(D$23:D24, DI$23:DI24 &lt;&gt; ""●●●"", DI$22:DI24 = ""●●●""), 0))) * (60 * 60 * 24) / 20),
        0
      ) - 1
    ) - COUNTIFS(CU25, ""=TRUE"", #REF!, ""&lt;&gt;TRUE"") - COUNTIF(CZ25, ""=TRUE"") - COUNTIF({DD25,DE25}, "&amp;"""&lt;&gt;-"") + COUNTIF(DH25, ""=TRUE""),
    3
  ),
  0, ""○○○"", 1, ""●○○"", 2, ""●●○"", 3, ""●●●"", 4, ""●●●"", ""○○○""
)"),"●●●")</f>
        <v>●●●</v>
      </c>
      <c r="DJ25" s="188" t="b">
        <v>0</v>
      </c>
      <c r="DK25" s="189" t="b">
        <v>0</v>
      </c>
      <c r="DL25" s="190" t="b">
        <v>0</v>
      </c>
      <c r="DM25" s="190" t="b">
        <v>0</v>
      </c>
      <c r="DN25" s="190" t="b">
        <v>0</v>
      </c>
      <c r="DO25" s="190" t="b">
        <v>0</v>
      </c>
      <c r="DP25" s="190" t="b">
        <v>0</v>
      </c>
      <c r="DQ25" s="191" t="b">
        <v>0</v>
      </c>
      <c r="DR25" s="192" t="b">
        <v>0</v>
      </c>
      <c r="DS25" s="191" t="b">
        <v>0</v>
      </c>
      <c r="DT25" s="192" t="b">
        <v>0</v>
      </c>
      <c r="DU25" s="191" t="b">
        <v>0</v>
      </c>
      <c r="DV25" s="193" t="s">
        <v>1070</v>
      </c>
      <c r="DW25" s="194" t="b">
        <v>0</v>
      </c>
      <c r="DX25" s="194" t="b">
        <v>0</v>
      </c>
      <c r="DY25" s="195" t="b">
        <v>0</v>
      </c>
      <c r="DZ25" s="196" t="b">
        <v>0</v>
      </c>
      <c r="EA25" s="195" t="b">
        <v>0</v>
      </c>
      <c r="EB25" s="197" t="b">
        <v>0</v>
      </c>
      <c r="EC25" s="197" t="b">
        <v>0</v>
      </c>
      <c r="ED25" s="212" t="b">
        <v>0</v>
      </c>
      <c r="EE25" s="199">
        <f>IFERROR(__xludf.DUMMYFUNCTION("IFERROR(
   PRODUCT(
     MAP(
       INDEX(TRANSPOSE(UNIQUE(TRANSPOSE(FILTER({IF($F25=""Physical"", K$10:ED$10, IF($F25=""Magic"", K$11:ED$11, K$12:ED$12));K$4:ED$4;K25:ED25}, K25:ED25=TRUE)))), 1, 0),
       INDEX(TRANSPOSE(UNIQUE(TRANSPOSE(FILTER({IF($"&amp;"F25=""Physical"", K$18:ED$18, IF($F25=""Magic"", K$19:ED$19, K$20:ED$20));K$4:ED$4;K25:ED25}, K25:ED25=TRUE)))), 1, 0),
       INDEX(TRANSPOSE(UNIQUE(TRANSPOSE(FILTER({K$5:ED$5;K$4:ED$4;K25:ED25}, K25:ED25=TRUE)))), 1, 0),
       INDEX(TRANSPOSE(UNIQUE(TR"&amp;"ANSPOSE(FILTER({K$17:ED$17;K$4:ED$4;K25:ED25}, K25:ED25=TRUE)))), 1, 0),
       LAMBDA(
         mitigation,
         enhance,
         assign,
         precondition,
         IF(
           REGEXMATCH(assign, ""RANGE_PARTY|SINGLE_ENEMY|RANGE_ENEMY""),
  "&amp;"         IF(
             OR(ARRAYFORMULA((IF(precondition="""", FALSE, REGEXMATCH(K$4:ED$4, precondition))) * (K25:ED25=TRUE))),
             IF(ISNUMBER(enhance), enhance, 1),
             IF(ISNUMBER(mitigation), mitigation, 1)
           ),
          "&amp;" 1
         )
       )
     )
   ),
   1
 )"),1.0)</f>
        <v>1</v>
      </c>
      <c r="EF25" s="200" t="str">
        <f>IFERROR(__xludf.DUMMYFUNCTION("PRODUCT(
   MAP(
     K$14:ED$14,
     K$13:ED$13,
     K25:ED25,
     LAMBDA(
       buff,
       target,
       check,
       IF(
         AND(check=TRUE, REGEXMATCH(target, ""RANGE_AFFECTED_ALL|RANGE_EFFECTED_ALL""), ISNUMBER(buff)),
         buff,
   "&amp;"      1
       )
     )
   )
 )"),"#REF!")</f>
        <v>#REF!</v>
      </c>
      <c r="EG25" s="200" t="str">
        <f>IFERROR(__xludf.DUMMYFUNCTION("PRODUCT(
   MAP(
     K$14:ED$14,
     K$13:ED$13,
     K25:ED25,
     LAMBDA(
       buff,
       target,
       check,
       IF(
         AND(check=TRUE, REGEXMATCH(target, ""RANGE_AFFECTED_GCD|RANGE_EFFECTED_GCD""), ISNUMBER(buff)),
         buff,
   "&amp;"      1
       )
     )
   )
 )"),"#REF!")</f>
        <v>#REF!</v>
      </c>
      <c r="EH25" s="200" t="str">
        <f>IFERROR(__xludf.DUMMYFUNCTION("PRODUCT(
   MAP(
     K$3:ED$3,
     K$14:ED$14,
     K$13:ED$13,
     K25:ED25,
     LAMBDA(
       job,
       buff,
       target,
       check,
       IF(
         AND(check=TRUE, REGEXMATCH(target, ""SELF_EFFECTED_ALL""), ISNUMBER(buff), job=""白魔道士"""&amp;"),
         buff,
         1
       )
     )
   )
 )"),"#REF!")</f>
        <v>#REF!</v>
      </c>
      <c r="EI25" s="200" t="str">
        <f>IFERROR(__xludf.DUMMYFUNCTION("PRODUCT(
   MAP(
     K$3:ED$3,
     K$14:ED$14,
     K$13:ED$13,
     K25:ED25,
     LAMBDA(
       job,
       buff,
       target,
       check,
       IF(
         AND(check=TRUE, REGEXMATCH(target, ""SELF_EFFECTED_GCD""), ISNUMBER(buff), job=""白魔道士"""&amp;"),
         buff,
         1
       )
     )
   )
 )"),"#REF!")</f>
        <v>#REF!</v>
      </c>
      <c r="EJ25" s="200" t="str">
        <f>IFERROR(__xludf.DUMMYFUNCTION("PRODUCT(
   MAP(
     K$3:ED$3,
     K$14:ED$14,
     K$13:ED$13,
     K25:ED25,
     LAMBDA(
       job,
       buff,
       target,
       check,
       IF(
         AND(check=TRUE, REGEXMATCH(target, ""SELF_EFFECTED_ALL""), ISNUMBER(buff), job=""占星術師"""&amp;"),
         buff,
         1
       )
     )
   )
 )"),"#REF!")</f>
        <v>#REF!</v>
      </c>
      <c r="EK25" s="200" t="str">
        <f>IFERROR(__xludf.DUMMYFUNCTION("PRODUCT(
   MAP(
     K$3:ED$3,
     K$14:ED$14,
     K$13:ED$13,
     K25:ED25,
     LAMBDA(
       job,
       buff,
       target,
       check,
       IF(
         AND(check=TRUE, REGEXMATCH(target, ""SELF_EFFECTED_GCD""), ISNUMBER(buff), job=""占星術師"""&amp;"),
         buff,
         1
       )
     )
   )
 )"),"#REF!")</f>
        <v>#REF!</v>
      </c>
      <c r="EL25" s="200" t="str">
        <f>IFERROR(__xludf.DUMMYFUNCTION("PRODUCT(
   MAP(
     K$3:ED$3,
     K$14:ED$14,
     K$13:ED$13,
     K25:ED25,
     LAMBDA(
       job,
       buff,
       target,
       check,
       IF(
         AND(check=TRUE, REGEXMATCH(target, ""SELF_EFFECTED_ALL""), ISNUMBER(buff), job=""学者""),"&amp;"
         buff,
         1
       )
     )
   )
 )"),"#REF!")</f>
        <v>#REF!</v>
      </c>
      <c r="EM25" s="200" t="str">
        <f>IFERROR(__xludf.DUMMYFUNCTION("PRODUCT(
   MAP(
     K$3:ED$3,
     K$14:ED$14,
     K$13:ED$13,
     K25:ED25,
     LAMBDA(
       job,
       buff,
       target,
       check,
       IF(
         AND(check=TRUE, REGEXMATCH(target, ""SELF_EFFECTED_GCD""), ISNUMBER(buff), job=""学者""),"&amp;"
         buff,
         1
       )
     )
   )
 )"),"#REF!")</f>
        <v>#REF!</v>
      </c>
      <c r="EN25" s="200" t="str">
        <f>IFERROR(__xludf.DUMMYFUNCTION("PRODUCT(
   MAP(
     K$3:ED$3,
     K$14:ED$14,
     K$13:ED$13,
     K25:ED25,
     LAMBDA(
       job,
       buff,
       target,
       check,
       IF(
         AND(check=TRUE, REGEXMATCH(target, ""SELF_EFFECTED_ALL""), ISNUMBER(buff), job=""賢者""),"&amp;"
         buff,
         1
       )
     )
   )
 )"),"#REF!")</f>
        <v>#REF!</v>
      </c>
      <c r="EO25" s="200" t="str">
        <f>IFERROR(__xludf.DUMMYFUNCTION("PRODUCT(
   MAP(
     K$3:ED$3,
     K$14:ED$14,
     K$13:ED$13,
     K25:ED25,
     LAMBDA(
       job,
       buff,
       target,
       check,
       IF(
         AND(check=TRUE, REGEXMATCH(target, ""SELF_EFFECTED_GCD""), ISNUMBER(buff), job=""賢者""),"&amp;"
         buff,
         1
       )
     )
   )
 )"),"#REF!")</f>
        <v>#REF!</v>
      </c>
      <c r="EP25" s="201">
        <f t="shared" ref="EP25:EP76" si="3">H25*EE25</f>
        <v>0</v>
      </c>
      <c r="EQ25" s="201" t="str">
        <f>IFERROR(__xludf.DUMMYFUNCTION("SUM(
   MAP(
     K$4:ED$4,
     K$3:ED$3,
     K$7:ED$7,
     K$15:ED$15,
     K$16:ED$16,
     K$21:ED$21,
     K$5:ED$5,
     K$17:ED$17,
     K25:ED25,
     LAMBDA(
       name,
       job,
       abillity,
       buff,
       barrier,
       enhance,"&amp;"
       assign,
       precondition,
       check,
       SWITCH(
         name,
         ""シェイクオフ"", IF(check=TRUE, buff + (0.02 * COUNTIF(ARRAYFORMULA((REGEXMATCH($K$4:$ED$4, ""スリル・オブ・バトル|ヴェンジェンス|原初の血気|ダムネーション"")) * (K25:ED25=TRUE)), 1)), 0),
         "&amp;"""インプロビゼーションフィニッシュ(踊りの激情0)"", IF(ISNUMBER(check), INDEX(Skill!$AJ:$AJ, MATCH(SUBSTITUTE(DV$4, 0, check), Skill!$C:$C, 0)), 0),
         IF(
           AND(check=TRUE, REGEXMATCH(assign, ""RANGE_PARTY"")),
           IF(
             OR(ARRAYFORMULA((IF(pr"&amp;"econdition="""", FALSE, REGEXMATCH($K$4:$ED$4, precondition))) * (K25:ED25=TRUE))),
             enhance,
             IF(barrier="""", buff, barrier)
           ),
           0
         )
       ) *
       SWITCH(
         job,
         ""ナイト"", EY$24,
 "&amp;"        ""戦士"", FD$24,
         ""踊り子"", ET$24,
         ""ピクトマンサー"", ET$24,
         ""白魔道士"", EF25 * EH25 * IF(abillity, 1, EG25 * EI25) * (Option!$D$22 * 0.81 / 100),
         ""占星術師"", EF25 * EJ25 * IF(abillity, 1, EG25 * EK25) * (Option!$D$23 * 0.81 "&amp;"/ 100),
         ""学者"", EF25 * EL25 * IF(abillity, 1, EG25 * EM25) * (Option!$D$24 * 0.81 / 100),
         ""賢者"", EF25 * EN25 * IF(abillity, 1, EG25 * EO25) * (Option!$D$25 * 0.81 / 100),
         1
       )
     )
   )
 )"),"#REF!")</f>
        <v>#REF!</v>
      </c>
      <c r="ER25" s="202" t="str">
        <f t="shared" ref="ER25:ER76" si="4">IF(EP25 &lt; EQ25, 0, EP25 - EQ25)</f>
        <v>#REF!</v>
      </c>
      <c r="ES25" s="203">
        <f t="shared" ref="ES25:ES76" si="5">I25*J25*EE25</f>
        <v>0</v>
      </c>
      <c r="ET25" s="204" t="str">
        <f>IFERROR(__xludf.DUMMYFUNCTION("IFS(
  EP25 &gt; $ET$24 + EQ25,
  SPARKLINE({ 1, 0 }, {""charttype"",""bar"";""max"", 1;""color1"",Option!$D$30;""color2"",Option!$D$30}),
  EP25 &lt; EQ25,
  SPARKLINE({EQ25 - EP25, $ET$24 - (EQ25 - EP25)}, {""charttype"",""bar"";""max"",$ET$24;""color1"",Opti"&amp;"on!$D$28;""color2"",Option!$D$29}),
  EP25 &gt;= EQ25,
  SPARKLINE({$ET$24 + EQ25 - EP25,EP25 - EQ25}, {""charttype"",""bar"";""max"",$ET$24;""color1"",Option!$D$29;""color2"",Option!$D$30})
)"),"#REF!")</f>
        <v>#REF!</v>
      </c>
      <c r="EU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job=""ナイト""), AND(check=Option!$E$13, REGEXMATCH(assign, ""SINGLE_PARTY""))),
      "&amp;"   IF(
           OR(ARRAYFORMULA((IF(precondition="""", FALSE, REGEXMATCH($K$4:$ED$4, precondition))) * (K25:ED25=TRUE))),
           enhance,
           mitigation
         ),
         1
       )
     )
   )
 ) * EE25"),"#REF!")</f>
        <v>#REF!</v>
      </c>
      <c r="EV25" s="206" t="str">
        <f t="shared" ref="EV25:EV76" si="6">H25 * EU25 * 0.8</f>
        <v>#REF!</v>
      </c>
      <c r="EW25" s="205" t="str">
        <f>IFERROR(__xludf.DUMMYFUNCTION("PRODUCT(
   MAP(
     K$3:ED$3,
     K$14:ED$14,
     K$13:ED$13,
     K25:ED25,
     LAMBDA(
       job,
       buff,
       target,
       check,
       IF(
         OR(AND(check=TRUE, REGEXMATCH(target, ""SELF_AFFECTED_ALL""), job=""ナイト""), AND(check=O"&amp;"ption!$E$13, REGEXMATCH(target, ""SINGLE_AFFECTED_ALL""))),
         buff,
         1
       )
     )
   )
 )"),"#REF!")</f>
        <v>#REF!</v>
      </c>
      <c r="EX25" s="206" t="str">
        <f>IFERROR(__xludf.DUMMYFUNCTION("SUM(
   MAP(
     K$3:ED$3,
     K$7:ED$7,
     K$15:ED$15,
     K$16:ED$16,
     K$21:ED$21,
     K$5:ED$5,
     K$17:ED$17,
     K25:ED25,
     LAMBDA(
       job,
       abillity,
       buff,
       barrier,
       enhance,
       assign,
       preco"&amp;"ndition,
       check,
       IF(
         OR(AND(check=TRUE, REGEXMATCH(assign, ""SELF""), job=""ナイト""), AND(check=Option!$E$13, REGEXMATCH(assign, ""SINGLE_PARTY""))),
         IF(
           OR(ARRAYFORMULA((IF(precondition="""", FALSE, REGEXMATCH($K$4"&amp;":$ED$4, precondition))) * (K25:ED25=TRUE))),
           enhance,
           IF(barrier="""", buff, barrier)
         ),
         0
       ) *
       SWITCH(
         job,
         ""暗黒騎士"", EY$24,
         ""白魔道士"", EF25 * EH25 * EW25 * IF(abillity, 1, EG"&amp;"25 * EI25) * (Option!$D$22 * 0.81 / 100),
         ""占星術師"", EF25 * EJ25 * EW25 * IF(abillity, 1, EG25 * EK25) * (Option!$D$23 * 0.81 / 100),
         ""学者"", EF25 * EL25 * EW25 * IF(abillity, 1, EG25 * EM25) * (Option!$D$24 * 0.81 / 100),
         ""賢者"""&amp;", EF25 * EN25 * EW25 * IF(abillity, 1, EG25 * EO25) * (Option!$D$25 * 0.81 / 100),
         1
       )
     )
   )
 ) + EQ25"),"#REF!")</f>
        <v>#REF!</v>
      </c>
      <c r="EY25" s="206" t="str">
        <f t="shared" ref="EY25:EY76" si="7">MAX(EV25 - EX25, 0)</f>
        <v>#REF!</v>
      </c>
      <c r="EZ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job=""戦士""), AND(check=Option!$F$13, REGEXMATCH(assign, ""SINGLE_PARTY""))),
       "&amp;"  IF(
           OR(ARRAYFORMULA((IF(precondition="""", FALSE, REGEXMATCH($K$4:$ED$4, precondition))) * (K25:ED25=TRUE))),
           enhance,
           mitigation
         ),
         1
       )
     )
   )
 ) * EE25"),"#REF!")</f>
        <v>#REF!</v>
      </c>
      <c r="FA25" s="206" t="str">
        <f t="shared" ref="FA25:FA76" si="8">H25 * EZ25 * 0.8</f>
        <v>#REF!</v>
      </c>
      <c r="FB25" s="205" t="str">
        <f>IFERROR(__xludf.DUMMYFUNCTION("PRODUCT(
   MAP(
     K$3:ED$3,
     K$14:ED$14,
     K$13:ED$13,
     K25:ED25,
     LAMBDA(
       job,
       buff,
       target,
       check,
       IF(
         OR(AND(check=TRUE, REGEXMATCH(target, ""SELF_AFFECTED_ALL""), job=""戦士""), AND(check=Op"&amp;"tion!$F$13, REGEXMATCH(target, ""SINGLE_AFFECTED_ALL""))),
         buff,
         1
       )
     )
   )
 )"),"#REF!")</f>
        <v>#REF!</v>
      </c>
      <c r="FC25" s="206" t="str">
        <f>IFERROR(__xludf.DUMMYFUNCTION("SUM(
   MAP(
     K$3:ED$3,
     K$7:ED$7,
     K$15:ED$15,
     K$16:ED$16,
     K$21:ED$21,
     K$5:ED$5,
     K$17:ED$17,
     K25:ED25,
     LAMBDA(
       job,
       abillity,
       buff,
       barrier,
       enhance,
       assign,
       preco"&amp;"ndition,
       check,
       IF(
         OR(AND(check=TRUE, REGEXMATCH(assign, ""SELF""), job=""戦士""), AND(check=Option!$F$13, REGEXMATCH(assign, ""SINGLE_PARTY""))),
         IF(
           OR(ARRAYFORMULA((IF(precondition="""", FALSE, REGEXMATCH($K$4:"&amp;"$ED$4, precondition))) * (K25:ED25=TRUE))),
           enhance,
           IF(barrier="""", buff, barrier)
         ),
         0
       ) *
       SWITCH(
         job,
         ""暗黒騎士"", FD$24,
         ""白魔道士"", EF25 * EH25 * FB25 * IF(abillity, 1, EG2"&amp;"5 * EI25) * (Option!$D$22 * 0.81 / 100),
         ""占星術師"", EF25 * EJ25 * FFB25 * IF(abillity, 1, EG25 * EK25) * (Option!$D$23 * 0.81 / 100),
         ""学者"", EF25 * EL25 * FB25 * IF(abillity, 1, EG25 * EM25) * (Option!$D$24 * 0.81 / 100),
         ""賢者"""&amp;", EF25 * EN25 * FB25 * IF(abillity, 1, EG25 * EO25) * (Option!$D$25 * 0.81 / 100),
         1
       )
     )
   )
 ) + EQ25"),"#REF!")</f>
        <v>#REF!</v>
      </c>
      <c r="FD25" s="206" t="str">
        <f t="shared" ref="FD25:FD76" si="9">MAX(FA25 - FC25, 0)</f>
        <v>#REF!</v>
      </c>
      <c r="FE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job=""暗黒騎士""), AND(check=Option!$G$13, REGEXMATCH(assign, ""SINGLE_PARTY""))),
     "&amp;"    IF(
           OR(ARRAYFORMULA((IF(precondition="""", FALSE, REGEXMATCH($K$4:$ED$4, precondition))) * (K25:ED25=TRUE))),
           enhance,
           mitigation
         ),
         1
       )
     )
   )
 ) * EE25"),"#REF!")</f>
        <v>#REF!</v>
      </c>
      <c r="FF25" s="206" t="str">
        <f t="shared" ref="FF25:FF76" si="10">H25 * FE25 * 0.8</f>
        <v>#REF!</v>
      </c>
      <c r="FG25" s="205" t="str">
        <f>IFERROR(__xludf.DUMMYFUNCTION("PRODUCT(
   MAP(
     K$3:ED$3,
     K$14:ED$14,
     K$13:ED$13,
     K25:ED25,
     LAMBDA(
       job,
       buff,
       target,
       check,
       IF(
         OR(AND(check=TRUE, REGEXMATCH(target, ""SELF_AFFECTED_ALL""), job=""暗黒騎士""), AND(check="&amp;"Option!$G$13, REGEXMATCH(target, ""SINGLE_AFFECTED_ALL""))),
         buff,
         1
       )
     )
   )
 )"),"#REF!")</f>
        <v>#REF!</v>
      </c>
      <c r="FH25" s="206" t="str">
        <f>IFERROR(__xludf.DUMMYFUNCTION("SUM(
   MAP(
     K$3:ED$3,
     K$7:ED$7,
     K$15:ED$15,
     K$16:ED$16,
     K$21:ED$21,
     K$5:ED$5,
     K$17:ED$17,
     K25:ED25,
     LAMBDA(
       job,
       abillity,
       buff,
       barrier,
       enhance,
       assign,
       preco"&amp;"ndition,
       check,
       IF(
         OR(AND(check=TRUE, REGEXMATCH(assign, ""SELF""), job=""暗黒騎士""), AND(check=Option!$G$13, REGEXMATCH(assign, ""SINGLE_PARTY""))),
         IF(
           OR(ARRAYFORMULA((IF(precondition="""", FALSE, REGEXMATCH($K$"&amp;"4:$ED$4, precondition))) * (K25:ED25=TRUE))),
           enhance,
           IF(barrier="""", buff, barrier)
         ),
         0
       ) *
       SWITCH(
         job,
         ""暗黒騎士"", FI$24,
         ""白魔道士"", EF25 * EH25 * FG25 * IF(abillity, 1, E"&amp;"G25 * EI25) * (Option!$D$22 * 0.81 / 100),
         ""占星術師"", EF25 * EJ25 * FG25 * IF(abillity, 1, EG25 * EK25) * (Option!$D$23 * 0.81 / 100),
         ""学者"", EF25 * EL25 * FG25 * IF(abillity, 1, EG25 * EM25) * (Option!$D$24 * 0.81 / 100),
         ""賢者"&amp;""", EF25 * EN25 * FG25 * IF(abillity, 1, EG25 * EO25) * (Option!$D$25 * 0.81 / 100),
         1
       )
     )
   )
 ) + EQ25"),"#REF!")</f>
        <v>#REF!</v>
      </c>
      <c r="FI25" s="206" t="str">
        <f t="shared" ref="FI25:FI76" si="11">MAX(FF25 - FH25, 0)</f>
        <v>#REF!</v>
      </c>
      <c r="FJ25" s="205" t="str">
        <f>IFERROR(__xludf.DUMMYFUNCTION("PRODUCT(
   MAP(
     IF($F25=""Physical"", K$10:ED$10, IF($F25=""Magic"", K$11:ED$11, K$12:ED$12)),
     IF($F25=""Physical"", K$18:ED$18, IF($F25=""Magic"", K$19:ED$19, K$20:ED$20)),
     K$3:ED$3,
     K$5:ED$5,
     K$17:ED$17,
     K25:ED25,
     LAM"&amp;"BDA(
       mitigation,
       enhance,
       job,
       assign,
       precondition,
       check,
       IF(
         OR(AND(check=TRUE, REGEXMATCH(assign, ""SELF""), job=""ガンブレイカー""), AND(check=Option!$H$13, REGEXMATCH(assign, ""SINGLE_PARTY""))),
  "&amp;"       IF(
           OR(ARRAYFORMULA((IF(precondition="""", FALSE, REGEXMATCH($K$4:$ED$4, precondition))) * (K25:ED25=TRUE))),
           enhance,
           mitigation
         ),
         1
       )
     )
   )
 ) * EE25"),"#REF!")</f>
        <v>#REF!</v>
      </c>
      <c r="FK25" s="206" t="str">
        <f t="shared" ref="FK25:FK76" si="12">H25 * FJ25 * 0.8</f>
        <v>#REF!</v>
      </c>
      <c r="FL25" s="205" t="str">
        <f>IFERROR(__xludf.DUMMYFUNCTION("PRODUCT(
   MAP(
     K$3:ED$3,
     K$14:ED$14,
     K$13:ED$13,
     K25:ED25,
     LAMBDA(
       job,
       buff,
       target,
       check,
       IF(
         OR(AND(check=TRUE, REGEXMATCH(target, ""SELF_AFFECTED_ALL""), job=""ガンブレイカー""), AND(che"&amp;"ck=Option!$H$13, REGEXMATCH(target, ""SINGLE_AFFECTED_ALL""))),
         buff,
         1
       )
     )
   )
 )"),"#REF!")</f>
        <v>#REF!</v>
      </c>
      <c r="FM25" s="206" t="str">
        <f>IFERROR(__xludf.DUMMYFUNCTION("SUM(
   MAP(
     K$3:ED$3,
     K$7:ED$7,
     K$15:ED$15,
     K$16:ED$16,
     K$21:ED$21,
     K$5:ED$5,
     K$17:ED$17,
     K25:ED25,
     LAMBDA(
       job,
       abillity,
       buff,
       barrier,
       enhance,
       assign,
       preco"&amp;"ndition,
       check,
       IF(
         OR(AND(check=TRUE, REGEXMATCH(assign, ""SELF""), job=""ガンブレイカー""), AND(check=Option!$H$13, REGEXMATCH(assign, ""SINGLE_PARTY""))),
         IF(
           OR(ARRAYFORMULA((IF(precondition="""", FALSE, REGEXMATCH("&amp;"$K$4:$ED$4, precondition))) * (K25:ED25=TRUE))),
           enhance,
           IF(barrier="""", buff, barrier)
         ),
         0
       ) *
       SWITCH(
         job,
         ""暗黒騎士"", FN$24,
         ""白魔道士"", EF25 * EH25 * FL25 * IF(abillity, 1"&amp;", EG25 * EI25) * (Option!$D$22 * 0.81 / 100),
         ""占星術師"", EF25 * EJ25 * FL25 * IF(abillity, 1, EG25 * EK25) * (Option!$D$23 * 0.81 / 100),
         ""学者"", EF25 * EL25 * FL25 * IF(abillity, 1, EG25 * EM25) * (Option!$D$24 * 0.81 / 100),
         """&amp;"賢者"", EF25 * EN25 * FL25 * IF(abillity, 1, EG25 * EO25) * (Option!$D$25 * 0.81 / 100),
         1
       )
     )
   )
 ) + EQ25"),"#REF!")</f>
        <v>#REF!</v>
      </c>
      <c r="FN25" s="206" t="str">
        <f t="shared" ref="FN25:FN76" si="13">MAX(FK25 - FM25, 0)</f>
        <v>#REF!</v>
      </c>
      <c r="FO25" s="213"/>
    </row>
    <row r="26">
      <c r="B26" s="229"/>
      <c r="C26" s="217">
        <f t="shared" si="1"/>
        <v>0</v>
      </c>
      <c r="D26" s="236"/>
      <c r="E26" s="244"/>
      <c r="F26" s="167"/>
      <c r="G26" s="168" t="str">
        <f t="shared" si="2"/>
        <v/>
      </c>
      <c r="H26" s="169"/>
      <c r="I26" s="169"/>
      <c r="J26" s="169"/>
      <c r="K26" s="170" t="b">
        <v>0</v>
      </c>
      <c r="L26" s="170" t="b">
        <v>0</v>
      </c>
      <c r="M26" s="170" t="b">
        <v>0</v>
      </c>
      <c r="N26" s="171" t="s">
        <v>1070</v>
      </c>
      <c r="O26" s="172" t="b">
        <v>0</v>
      </c>
      <c r="P26" s="173" t="b">
        <v>0</v>
      </c>
      <c r="Q26" s="173" t="b">
        <v>0</v>
      </c>
      <c r="R26" s="173" t="b">
        <v>0</v>
      </c>
      <c r="S26" s="174" t="b">
        <v>0</v>
      </c>
      <c r="T26" s="175" t="b">
        <v>0</v>
      </c>
      <c r="U26" s="173" t="b">
        <v>0</v>
      </c>
      <c r="V26" s="171" t="s">
        <v>1070</v>
      </c>
      <c r="W26" s="172" t="b">
        <v>0</v>
      </c>
      <c r="X26" s="173" t="b">
        <v>0</v>
      </c>
      <c r="Y26" s="173" t="b">
        <v>0</v>
      </c>
      <c r="Z26" s="173" t="b">
        <v>0</v>
      </c>
      <c r="AA26" s="174" t="b">
        <v>0</v>
      </c>
      <c r="AB26" s="174" t="b">
        <v>0</v>
      </c>
      <c r="AC26" s="175" t="b">
        <v>0</v>
      </c>
      <c r="AD26" s="173" t="b">
        <v>0</v>
      </c>
      <c r="AE26" s="176" t="s">
        <v>1070</v>
      </c>
      <c r="AF26" s="171" t="s">
        <v>1070</v>
      </c>
      <c r="AG26" s="177">
        <f>IFERROR(__xludf.DUMMYFUNCTION("IF(
  ISNUMBER(AG25),
  MIN(MAX(
    AG25
    + MAX(
      ROUNDDOWN(($D26 - MAX(IFERROR(FILTER($D$24:$D25, AG$24:AG25 &lt;&gt; AF$6, AG$23:AG24 = AF$6), 0))) * (60 * 60 * 24) / AF$9) - ROUNDDOWN(($D25 - MAX(IFERROR(FILTER($D$23:$D24, AG$23:AG24 &lt;&gt; AF$6, AG$22:"&amp;"AG24 = AF$6), 0))) * (60 * 60 * 24) / 60),
      0
    )
    - COUNTIF(AF26, ""&lt;&gt;-""),
  0), AF$6),
  AF$6 - COUNTIF(AF26, ""&lt;&gt;-"")
)"),2.0)</f>
        <v>2</v>
      </c>
      <c r="AH26" s="173" t="b">
        <v>0</v>
      </c>
      <c r="AI26" s="173" t="b">
        <v>0</v>
      </c>
      <c r="AJ26" s="173" t="b">
        <v>0</v>
      </c>
      <c r="AK26" s="174" t="b">
        <v>0</v>
      </c>
      <c r="AL26" s="175" t="b">
        <v>0</v>
      </c>
      <c r="AM26" s="173" t="b">
        <v>0</v>
      </c>
      <c r="AN26" s="171" t="s">
        <v>1070</v>
      </c>
      <c r="AO26" s="173" t="b">
        <v>0</v>
      </c>
      <c r="AP26" s="173" t="b">
        <v>0</v>
      </c>
      <c r="AQ26" s="173" t="b">
        <v>0</v>
      </c>
      <c r="AR26" s="174" t="b">
        <v>0</v>
      </c>
      <c r="AS26" s="178" t="b">
        <v>0</v>
      </c>
      <c r="AT26" s="179" t="b">
        <v>0</v>
      </c>
      <c r="AU26" s="180" t="b">
        <v>0</v>
      </c>
      <c r="AV26" s="180" t="b">
        <v>0</v>
      </c>
      <c r="AW26" s="180" t="b">
        <v>0</v>
      </c>
      <c r="AX26" s="180" t="b">
        <v>0</v>
      </c>
      <c r="AY26" s="181" t="s">
        <v>1070</v>
      </c>
      <c r="AZ26" s="181" t="s">
        <v>1070</v>
      </c>
      <c r="BA26" s="184">
        <f>IFERROR(__xludf.DUMMYFUNCTION("IF(
  ISNUMBER(BA25),
  MIN(MAX(
    BA25
    + MAX(
      ROUNDDOWN((D26 - MAX(IFERROR(FILTER(D$24:D25, BA$24:BA25 &lt;&gt; AZ$6, BA$23:BA24 = AZ$6), 0))) * (60 * 60 * 24) / AZ$9) - ROUNDDOWN((D25 - MAX(IFERROR(FILTER(D$23:D24, BA$23:BA24 &lt;&gt; AZ$6, BA$22:BA24 ="&amp;" AZ$6), 0))) * (60 * 60 * 24) / AZ$9),
      0
    )
    - COUNTIF(AZ26, ""&lt;&gt;-""),
  0), AZ$6),
  AZ$6 - COUNTIF(AZ26, ""&lt;&gt;-"")
)"),2.0)</f>
        <v>2</v>
      </c>
      <c r="BB26" s="181" t="s">
        <v>1070</v>
      </c>
      <c r="BC26" s="183">
        <f>IFERROR(__xludf.DUMMYFUNCTION("IF(
  ISNUMBER(BC25),
  MIN(MAX(
    BC25
    + MAX(
      ROUNDDOWN(($D26 - MAX(IFERROR(FILTER($D$24:$D25, BC$24:BC25 &lt;&gt; BB$6, BC$23:BC24 = BB$6), 0))) * (60 * 60 * 24) / BB$9) - ROUNDDOWN(($D25 - MAX(IFERROR(FILTER($D$23:$D24, BC$23:BC24 &lt;&gt; BB$6, BC$22:"&amp;"BC24 = BB$6), 0))) * (60 * 60 * 24) / 60),
      0
    )
    - COUNTIF(BB26, ""&lt;&gt;-""),
  0), BB$6),
  BB$6 - COUNTIF(BB26, ""&lt;&gt;-"")
)"),2.0)</f>
        <v>2</v>
      </c>
      <c r="BD26" s="181" t="s">
        <v>1070</v>
      </c>
      <c r="BE26" s="178" t="b">
        <v>0</v>
      </c>
      <c r="BF26" s="180" t="b">
        <v>0</v>
      </c>
      <c r="BG26" s="180" t="b">
        <v>0</v>
      </c>
      <c r="BH26" s="180" t="b">
        <v>0</v>
      </c>
      <c r="BI26" s="180" t="b">
        <v>0</v>
      </c>
      <c r="BJ26" s="180" t="b">
        <v>0</v>
      </c>
      <c r="BK26" s="180" t="b">
        <v>0</v>
      </c>
      <c r="BL26" s="180" t="b">
        <v>0</v>
      </c>
      <c r="BM26" s="180" t="b">
        <v>0</v>
      </c>
      <c r="BN26" s="180" t="b">
        <v>0</v>
      </c>
      <c r="BO26" s="181" t="s">
        <v>1070</v>
      </c>
      <c r="BP26" s="181" t="s">
        <v>1070</v>
      </c>
      <c r="BQ26" s="181" t="s">
        <v>1070</v>
      </c>
      <c r="BR26" s="181" t="s">
        <v>1070</v>
      </c>
      <c r="BS26" s="181" t="s">
        <v>1070</v>
      </c>
      <c r="BT26" s="184">
        <f>IFERROR(__xludf.DUMMYFUNCTION("IF(
  ISNUMBER(BT25),
  MIN(MAX(
    BT25
    + MAX(
      ROUNDDOWN((D26 - MAX(IFERROR(FILTER(D$24:D25, BT$24:BT25 &lt;&gt; BS$6, BT$23:BT24 = BS$6), 0))) * (60 * 60 * 24) / BS$9) - ROUNDDOWN((D25 - MAX(IFERROR(FILTER(D$23:D24, BT$23:BT24 &lt;&gt; BS$6, BT$22:BT24 ="&amp;" BS$6), 0))) * (60 * 60 * 24) / BS$9),
      0
    )
    - COUNTIF(BS26, ""&lt;&gt;-""),
  0), BS$6),
  BS$6 - COUNTIF(BS26, ""&lt;&gt;-"")
)"),3.0)</f>
        <v>3</v>
      </c>
      <c r="BU26" s="181" t="s">
        <v>1070</v>
      </c>
      <c r="BV26" s="181" t="s">
        <v>1070</v>
      </c>
      <c r="BW26" s="184">
        <f>IFERROR(__xludf.DUMMYFUNCTION("IF(
  ISNUMBER(BW25),
  MIN(MAX(
    BW25
    + MAX(
      ROUNDDOWN((D26 - MAX(IFERROR(FILTER(D$24:D25, BW$24:BW25 &lt;&gt; BV$6, BW$23:BW24 = BV$6), 0))) * (60 * 60 * 24) / BV$9) - ROUNDDOWN((D25 - MAX(IFERROR(FILTER(D$23:D24, BW$23:BW24 &lt;&gt; BV$6, BW$22:BW24 ="&amp;" BV$6), 0))) * (60 * 60 * 24) / BV$9),
      0
    )
    - COUNTIF(BV26, ""&lt;&gt;-""),
  0), BV$6),
  BV$6 - COUNTIF(BV26, ""&lt;&gt;-"")
)"),2.0)</f>
        <v>2</v>
      </c>
      <c r="BX26" s="185" t="s">
        <v>1070</v>
      </c>
      <c r="BY26" s="178" t="b">
        <v>0</v>
      </c>
      <c r="BZ26" s="180" t="b">
        <v>0</v>
      </c>
      <c r="CA26" s="180" t="b">
        <v>0</v>
      </c>
      <c r="CB26" s="180" t="b">
        <v>0</v>
      </c>
      <c r="CC26" s="180" t="b">
        <v>0</v>
      </c>
      <c r="CD26" s="180" t="b">
        <v>0</v>
      </c>
      <c r="CE26" s="180" t="b">
        <v>0</v>
      </c>
      <c r="CF26" s="180" t="b">
        <v>0</v>
      </c>
      <c r="CG26" s="180" t="b">
        <v>0</v>
      </c>
      <c r="CH26" s="180" t="b">
        <v>0</v>
      </c>
      <c r="CI26" s="180" t="b">
        <v>0</v>
      </c>
      <c r="CJ26" s="180" t="b">
        <v>0</v>
      </c>
      <c r="CK26" s="180" t="b">
        <v>0</v>
      </c>
      <c r="CL26" s="180" t="b">
        <v>0</v>
      </c>
      <c r="CM26" s="181" t="s">
        <v>1070</v>
      </c>
      <c r="CN26" s="181" t="s">
        <v>1070</v>
      </c>
      <c r="CO26" s="181" t="s">
        <v>1070</v>
      </c>
      <c r="CP26" s="181" t="s">
        <v>1070</v>
      </c>
      <c r="CQ26" s="185" t="s">
        <v>1070</v>
      </c>
      <c r="CR26" s="180" t="b">
        <v>0</v>
      </c>
      <c r="CS26" s="186" t="str">
        <f t="shared" ref="CS26:CS76" si="14">SWITCH(
    IF(OR(AND(CI26, CI25&lt;&gt;TRUE), CR26), 3, IF(ISTEXT(CS25), FIND("◇", CS25&amp;"◇") - 1, 0))
  - COUNTIFS({BZ26,CE26}, "=TRUE", {BZ25,CE25}, "&lt;&gt;TRUE")
  - COUNTIF({CN26,CQ26}, "&lt;&gt;-")
  + IF(COUNTIFS({BZ26,CE26}, "=TRUE", {BZ25,CE25}, "&lt;&gt;TRUE") + COUNTIF({CN26,CQ26}, "&lt;&gt;-"), COUNTIFS(CJ26, "=TRUE", CJ25, "&lt;&gt;TRUE"), 0),
  0, "◇◇◇", 1, "◆◇◇", 2, "◆◆◇", 3, "◆◆◆", "◇◇◇"
)</f>
        <v>◇◇◇</v>
      </c>
      <c r="CT26" s="178" t="b">
        <v>0</v>
      </c>
      <c r="CU26" s="180" t="b">
        <v>0</v>
      </c>
      <c r="CV26" s="180" t="b">
        <v>0</v>
      </c>
      <c r="CW26" s="180" t="b">
        <v>0</v>
      </c>
      <c r="CX26" s="180" t="b">
        <v>0</v>
      </c>
      <c r="CY26" s="180" t="b">
        <v>0</v>
      </c>
      <c r="CZ26" s="180" t="b">
        <v>0</v>
      </c>
      <c r="DA26" s="180" t="b">
        <v>0</v>
      </c>
      <c r="DB26" s="180" t="b">
        <v>0</v>
      </c>
      <c r="DC26" s="180" t="b">
        <v>0</v>
      </c>
      <c r="DD26" s="181" t="s">
        <v>1070</v>
      </c>
      <c r="DE26" s="181" t="s">
        <v>1070</v>
      </c>
      <c r="DF26" s="181" t="s">
        <v>1070</v>
      </c>
      <c r="DG26" s="185" t="s">
        <v>1070</v>
      </c>
      <c r="DH26" s="180" t="b">
        <v>0</v>
      </c>
      <c r="DI26" s="187" t="str">
        <f>IFERROR(__xludf.DUMMYFUNCTION("SWITCH(
  IF(
    ISTEXT(DI25),
    IF (
      FIND(""○"", DI25&amp;""○"") &gt; 3,
      3,
      FIND(""○"", DI25&amp;""○"")
      + MAX(
        ROUNDDOWN(($D26 - MAX(IFERROR(FILTER(D$24:D25, DI$24:DI25 &lt;&gt; ""●●●"", DI$23:DI24 = ""●●●""), 0))) * (60 * 60 * 24) / 20"&amp;") - ROUNDDOWN(($D25 - MAX(IFERROR(FILTER(D$23:D24, DI$23:DI24 &lt;&gt; ""●●●"", DI$22:DI24 = ""●●●""), 0))) * (60 * 60 * 24) / 20),
        0
      ) - 1
    ) - COUNTIFS(CU26, ""=TRUE"", CU25, ""&lt;&gt;TRUE"") - COUNTIF(CZ26, ""=TRUE"") - COUNTIF({DD26,DE26}, ""&lt;&gt;-"&amp;""") + COUNTIF(DH26, ""=TRUE""),
    3
  ),
  0, ""○○○"", 1, ""●○○"", 2, ""●●○"", 3, ""●●●"", 4, ""●●●"", ""○○○""
)"),"●●●")</f>
        <v>●●●</v>
      </c>
      <c r="DJ26" s="188" t="b">
        <v>0</v>
      </c>
      <c r="DK26" s="189" t="b">
        <v>0</v>
      </c>
      <c r="DL26" s="190" t="b">
        <v>0</v>
      </c>
      <c r="DM26" s="190" t="b">
        <v>0</v>
      </c>
      <c r="DN26" s="190" t="b">
        <v>0</v>
      </c>
      <c r="DO26" s="190" t="b">
        <v>0</v>
      </c>
      <c r="DP26" s="190" t="b">
        <v>0</v>
      </c>
      <c r="DQ26" s="191" t="b">
        <v>0</v>
      </c>
      <c r="DR26" s="192" t="b">
        <v>0</v>
      </c>
      <c r="DS26" s="191" t="b">
        <v>0</v>
      </c>
      <c r="DT26" s="192" t="b">
        <v>0</v>
      </c>
      <c r="DU26" s="191" t="b">
        <v>0</v>
      </c>
      <c r="DV26" s="193" t="s">
        <v>1070</v>
      </c>
      <c r="DW26" s="194" t="b">
        <v>0</v>
      </c>
      <c r="DX26" s="194" t="b">
        <v>0</v>
      </c>
      <c r="DY26" s="195" t="b">
        <v>0</v>
      </c>
      <c r="DZ26" s="196" t="b">
        <v>0</v>
      </c>
      <c r="EA26" s="195" t="b">
        <v>0</v>
      </c>
      <c r="EB26" s="197" t="b">
        <v>0</v>
      </c>
      <c r="EC26" s="197" t="b">
        <v>0</v>
      </c>
      <c r="ED26" s="212" t="b">
        <v>0</v>
      </c>
      <c r="EE26" s="199">
        <f>IFERROR(__xludf.DUMMYFUNCTION("IFERROR(
   PRODUCT(
     MAP(
       INDEX(TRANSPOSE(UNIQUE(TRANSPOSE(FILTER({IF($F26=""Physical"", K$10:ED$10, IF($F26=""Magic"", K$11:ED$11, K$12:ED$12));K$4:ED$4;K26:ED26}, K26:ED26=TRUE)))), 1, 0),
       INDEX(TRANSPOSE(UNIQUE(TRANSPOSE(FILTER({IF($"&amp;"F26=""Physical"", K$18:ED$18, IF($F26=""Magic"", K$19:ED$19, K$20:ED$20));K$4:ED$4;K26:ED26}, K26:ED26=TRUE)))), 1, 0),
       INDEX(TRANSPOSE(UNIQUE(TRANSPOSE(FILTER({K$5:ED$5;K$4:ED$4;K26:ED26}, K26:ED26=TRUE)))), 1, 0),
       INDEX(TRANSPOSE(UNIQUE(TR"&amp;"ANSPOSE(FILTER({K$17:ED$17;K$4:ED$4;K26:ED26}, K26:ED26=TRUE)))), 1, 0),
       LAMBDA(
         mitigation,
         enhance,
         assign,
         precondition,
         IF(
           REGEXMATCH(assign, ""RANGE_PARTY|SINGLE_ENEMY|RANGE_ENEMY""),
  "&amp;"         IF(
             OR(ARRAYFORMULA((IF(precondition="""", FALSE, REGEXMATCH(K$4:ED$4, precondition))) * (K26:ED26=TRUE))),
             IF(ISNUMBER(enhance), enhance, 1),
             IF(ISNUMBER(mitigation), mitigation, 1)
           ),
          "&amp;" 1
         )
       )
     )
   ),
   1
 )"),1.0)</f>
        <v>1</v>
      </c>
      <c r="EF26" s="200">
        <f>IFERROR(__xludf.DUMMYFUNCTION("PRODUCT(
   MAP(
     K$14:ED$14,
     K$13:ED$13,
     K26:ED26,
     LAMBDA(
       buff,
       target,
       check,
       IF(
         AND(check=TRUE, REGEXMATCH(target, ""RANGE_AFFECTED_ALL|RANGE_EFFECTED_ALL""), ISNUMBER(buff)),
         buff,
   "&amp;"      1
       )
     )
   )
 )"),1.0)</f>
        <v>1</v>
      </c>
      <c r="EG26" s="200">
        <f>IFERROR(__xludf.DUMMYFUNCTION("PRODUCT(
   MAP(
     K$14:ED$14,
     K$13:ED$13,
     K26:ED26,
     LAMBDA(
       buff,
       target,
       check,
       IF(
         AND(check=TRUE, REGEXMATCH(target, ""RANGE_AFFECTED_GCD|RANGE_EFFECTED_GCD""), ISNUMBER(buff)),
         buff,
   "&amp;"      1
       )
     )
   )
 )"),1.0)</f>
        <v>1</v>
      </c>
      <c r="EH26" s="200">
        <f>IFERROR(__xludf.DUMMYFUNCTION("PRODUCT(
   MAP(
     K$3:ED$3,
     K$14:ED$14,
     K$13:ED$13,
     K26:ED26,
     LAMBDA(
       job,
       buff,
       target,
       check,
       IF(
         AND(check=TRUE, REGEXMATCH(target, ""SELF_EFFECTED_ALL""), ISNUMBER(buff), job=""白魔道士"""&amp;"),
         buff,
         1
       )
     )
   )
 )"),1.0)</f>
        <v>1</v>
      </c>
      <c r="EI26" s="200">
        <f>IFERROR(__xludf.DUMMYFUNCTION("PRODUCT(
   MAP(
     K$3:ED$3,
     K$14:ED$14,
     K$13:ED$13,
     K26:ED26,
     LAMBDA(
       job,
       buff,
       target,
       check,
       IF(
         AND(check=TRUE, REGEXMATCH(target, ""SELF_EFFECTED_GCD""), ISNUMBER(buff), job=""白魔道士"""&amp;"),
         buff,
         1
       )
     )
   )
 )"),1.0)</f>
        <v>1</v>
      </c>
      <c r="EJ26" s="200">
        <f>IFERROR(__xludf.DUMMYFUNCTION("PRODUCT(
   MAP(
     K$3:ED$3,
     K$14:ED$14,
     K$13:ED$13,
     K26:ED26,
     LAMBDA(
       job,
       buff,
       target,
       check,
       IF(
         AND(check=TRUE, REGEXMATCH(target, ""SELF_EFFECTED_ALL""), ISNUMBER(buff), job=""占星術師"""&amp;"),
         buff,
         1
       )
     )
   )
 )"),1.0)</f>
        <v>1</v>
      </c>
      <c r="EK26" s="200">
        <f>IFERROR(__xludf.DUMMYFUNCTION("PRODUCT(
   MAP(
     K$3:ED$3,
     K$14:ED$14,
     K$13:ED$13,
     K26:ED26,
     LAMBDA(
       job,
       buff,
       target,
       check,
       IF(
         AND(check=TRUE, REGEXMATCH(target, ""SELF_EFFECTED_GCD""), ISNUMBER(buff), job=""占星術師"""&amp;"),
         buff,
         1
       )
     )
   )
 )"),1.0)</f>
        <v>1</v>
      </c>
      <c r="EL26" s="200">
        <f>IFERROR(__xludf.DUMMYFUNCTION("PRODUCT(
   MAP(
     K$3:ED$3,
     K$14:ED$14,
     K$13:ED$13,
     K26:ED26,
     LAMBDA(
       job,
       buff,
       target,
       check,
       IF(
         AND(check=TRUE, REGEXMATCH(target, ""SELF_EFFECTED_ALL""), ISNUMBER(buff), job=""学者""),"&amp;"
         buff,
         1
       )
     )
   )
 )"),1.0)</f>
        <v>1</v>
      </c>
      <c r="EM26" s="200">
        <f>IFERROR(__xludf.DUMMYFUNCTION("PRODUCT(
   MAP(
     K$3:ED$3,
     K$14:ED$14,
     K$13:ED$13,
     K26:ED26,
     LAMBDA(
       job,
       buff,
       target,
       check,
       IF(
         AND(check=TRUE, REGEXMATCH(target, ""SELF_EFFECTED_GCD""), ISNUMBER(buff), job=""学者""),"&amp;"
         buff,
         1
       )
     )
   )
 )"),1.0)</f>
        <v>1</v>
      </c>
      <c r="EN26" s="200">
        <f>IFERROR(__xludf.DUMMYFUNCTION("PRODUCT(
   MAP(
     K$3:ED$3,
     K$14:ED$14,
     K$13:ED$13,
     K26:ED26,
     LAMBDA(
       job,
       buff,
       target,
       check,
       IF(
         AND(check=TRUE, REGEXMATCH(target, ""SELF_EFFECTED_ALL""), ISNUMBER(buff), job=""賢者""),"&amp;"
         buff,
         1
       )
     )
   )
 )"),1.0)</f>
        <v>1</v>
      </c>
      <c r="EO26" s="200">
        <f>IFERROR(__xludf.DUMMYFUNCTION("PRODUCT(
   MAP(
     K$3:ED$3,
     K$14:ED$14,
     K$13:ED$13,
     K26:ED26,
     LAMBDA(
       job,
       buff,
       target,
       check,
       IF(
         AND(check=TRUE, REGEXMATCH(target, ""SELF_EFFECTED_GCD""), ISNUMBER(buff), job=""賢者""),"&amp;"
         buff,
         1
       )
     )
   )
 )"),1.0)</f>
        <v>1</v>
      </c>
      <c r="EP26" s="201">
        <f t="shared" si="3"/>
        <v>0</v>
      </c>
      <c r="EQ26" s="201">
        <f>IFERROR(__xludf.DUMMYFUNCTION("SUM(
   MAP(
     K$4:ED$4,
     K$3:ED$3,
     K$7:ED$7,
     K$15:ED$15,
     K$16:ED$16,
     K$21:ED$21,
     K$5:ED$5,
     K$17:ED$17,
     K26:ED26,
     LAMBDA(
       name,
       job,
       abillity,
       buff,
       barrier,
       enhance,"&amp;"
       assign,
       precondition,
       check,
       SWITCH(
         name,
         ""シェイクオフ"", IF(check=TRUE, buff + (0.02 * COUNTIF(ARRAYFORMULA((REGEXMATCH($K$4:$ED$4, ""スリル・オブ・バトル|ヴェンジェンス|原初の血気|ダムネーション"")) * (K26:ED26=TRUE)), 1)), 0),
         "&amp;"""インプロビゼーションフィニッシュ(踊りの激情0)"", IF(ISNUMBER(check), INDEX(Skill!$AJ:$AJ, MATCH(SUBSTITUTE(DV$4, 0, check), Skill!$C:$C, 0)), 0),
         IF(
           AND(check=TRUE, REGEXMATCH(assign, ""RANGE_PARTY"")),
           IF(
             OR(ARRAYFORMULA((IF(pr"&amp;"econdition="""", FALSE, REGEXMATCH($K$4:$ED$4, precondition))) * (K26:ED26=TRUE))),
             enhance,
             IF(barrier="""", buff, barrier)
           ),
           0
         )
       ) *
       SWITCH(
         job,
         ""ナイト"", EY$24,
 "&amp;"        ""戦士"", FD$24,
         ""踊り子"", ET$24,
         ""ピクトマンサー"", ET$24,
         ""白魔道士"", EF26 * EH26 * IF(abillity, 1, EG26 * EI26) * (Option!$D$22 * 0.81 / 100),
         ""占星術師"", EF26 * EJ26 * IF(abillity, 1, EG26 * EK26) * (Option!$D$23 * 0.81 "&amp;"/ 100),
         ""学者"", EF26 * EL26 * IF(abillity, 1, EG26 * EM26) * (Option!$D$24 * 0.81 / 100),
         ""賢者"", EF26 * EN26 * IF(abillity, 1, EG26 * EO26) * (Option!$D$25 * 0.81 / 100),
         1
       )
     )
   )
 )"),0.0)</f>
        <v>0</v>
      </c>
      <c r="ER26" s="202">
        <f t="shared" si="4"/>
        <v>0</v>
      </c>
      <c r="ES26" s="203">
        <f t="shared" si="5"/>
        <v>0</v>
      </c>
      <c r="ET26" s="204" t="str">
        <f>IFERROR(__xludf.DUMMYFUNCTION("IFS(
  EP26 &gt; $ET$24 + EQ26,
  SPARKLINE({ 1, 0 }, {""charttype"",""bar"";""max"", 1;""color1"",Option!$D$30;""color2"",Option!$D$30}),
  EP26 &lt; EQ26,
  SPARKLINE({EQ26 - EP26, $ET$24 - (EQ26 - EP26)}, {""charttype"",""bar"";""max"",$ET$24;""color1"",Opti"&amp;"on!$D$28;""color2"",Option!$D$29}),
  EP26 &gt;= EQ26,
  SPARKLINE({$ET$24 + EQ26 - EP26,EP26 - EQ26}, {""charttype"",""bar"";""max"",$ET$24;""color1"",Option!$D$29;""color2"",Option!$D$30})
)"),"")</f>
        <v/>
      </c>
      <c r="EU26" s="205">
        <f>IFERROR(__xludf.DUMMYFUNCTION("PRODUCT(
   MAP(
     IF($F26=""Physical"", K$10:ED$10, IF($F26=""Magic"", K$11:ED$11, K$12:ED$12)),
     IF($F26=""Physical"", K$18:ED$18, IF($F26=""Magic"", K$19:ED$19, K$20:ED$20)),
     K$3:ED$3,
     K$5:ED$5,
     K$17:ED$17,
     K26:ED26,
     LAM"&amp;"BDA(
       mitigation,
       enhance,
       job,
       assign,
       precondition,
       check,
       IF(
         OR(AND(check=TRUE, REGEXMATCH(assign, ""SELF""), job=""ナイト""), AND(check=Option!$E$13, REGEXMATCH(assign, ""SINGLE_PARTY""))),
      "&amp;"   IF(
           OR(ARRAYFORMULA((IF(precondition="""", FALSE, REGEXMATCH($K$4:$ED$4, precondition))) * (K26:ED26=TRUE))),
           enhance,
           mitigation
         ),
         1
       )
     )
   )
 ) * EE26"),1.0)</f>
        <v>1</v>
      </c>
      <c r="EV26" s="206">
        <f t="shared" si="6"/>
        <v>0</v>
      </c>
      <c r="EW26" s="205">
        <f>IFERROR(__xludf.DUMMYFUNCTION("PRODUCT(
   MAP(
     K$3:ED$3,
     K$14:ED$14,
     K$13:ED$13,
     K26:ED26,
     LAMBDA(
       job,
       buff,
       target,
       check,
       IF(
         OR(AND(check=TRUE, REGEXMATCH(target, ""SELF_AFFECTED_ALL""), job=""ナイト""), AND(check=O"&amp;"ption!$E$13, REGEXMATCH(target, ""SINGLE_AFFECTED_ALL""))),
         buff,
         1
       )
     )
   )
 )"),1.0)</f>
        <v>1</v>
      </c>
      <c r="EX26" s="206">
        <f>IFERROR(__xludf.DUMMYFUNCTION("SUM(
   MAP(
     K$3:ED$3,
     K$7:ED$7,
     K$15:ED$15,
     K$16:ED$16,
     K$21:ED$21,
     K$5:ED$5,
     K$17:ED$17,
     K26:ED26,
     LAMBDA(
       job,
       abillity,
       buff,
       barrier,
       enhance,
       assign,
       preco"&amp;"ndition,
       check,
       IF(
         OR(AND(check=TRUE, REGEXMATCH(assign, ""SELF""), job=""ナイト""), AND(check=Option!$E$13, REGEXMATCH(assign, ""SINGLE_PARTY""))),
         IF(
           OR(ARRAYFORMULA((IF(precondition="""", FALSE, REGEXMATCH($K$4"&amp;":$ED$4, precondition))) * (K26:ED26=TRUE))),
           enhance,
           IF(barrier="""", buff, barrier)
         ),
         0
       ) *
       SWITCH(
         job,
         ""暗黒騎士"", EY$24,
         ""白魔道士"", EF26 * EH26 * EW26 * IF(abillity, 1, EG"&amp;"26 * EI26) * (Option!$D$22 * 0.81 / 100),
         ""占星術師"", EF26 * EJ26 * EW26 * IF(abillity, 1, EG26 * EK26) * (Option!$D$23 * 0.81 / 100),
         ""学者"", EF26 * EL26 * EW26 * IF(abillity, 1, EG26 * EM26) * (Option!$D$24 * 0.81 / 100),
         ""賢者"""&amp;", EF26 * EN26 * EW26 * IF(abillity, 1, EG26 * EO26) * (Option!$D$25 * 0.81 / 100),
         1
       )
     )
   )
 ) + EQ26"),0.0)</f>
        <v>0</v>
      </c>
      <c r="EY26" s="206">
        <f t="shared" si="7"/>
        <v>0</v>
      </c>
      <c r="EZ26" s="205">
        <f>IFERROR(__xludf.DUMMYFUNCTION("PRODUCT(
   MAP(
     IF($F26=""Physical"", K$10:ED$10, IF($F26=""Magic"", K$11:ED$11, K$12:ED$12)),
     IF($F26=""Physical"", K$18:ED$18, IF($F26=""Magic"", K$19:ED$19, K$20:ED$20)),
     K$3:ED$3,
     K$5:ED$5,
     K$17:ED$17,
     K26:ED26,
     LAM"&amp;"BDA(
       mitigation,
       enhance,
       job,
       assign,
       precondition,
       check,
       IF(
         OR(AND(check=TRUE, REGEXMATCH(assign, ""SELF""), job=""戦士""), AND(check=Option!$F$13, REGEXMATCH(assign, ""SINGLE_PARTY""))),
       "&amp;"  IF(
           OR(ARRAYFORMULA((IF(precondition="""", FALSE, REGEXMATCH($K$4:$ED$4, precondition))) * (K26:ED26=TRUE))),
           enhance,
           mitigation
         ),
         1
       )
     )
   )
 ) * EE26"),1.0)</f>
        <v>1</v>
      </c>
      <c r="FA26" s="206">
        <f t="shared" si="8"/>
        <v>0</v>
      </c>
      <c r="FB26" s="205">
        <f>IFERROR(__xludf.DUMMYFUNCTION("PRODUCT(
   MAP(
     K$3:ED$3,
     K$14:ED$14,
     K$13:ED$13,
     K26:ED26,
     LAMBDA(
       job,
       buff,
       target,
       check,
       IF(
         OR(AND(check=TRUE, REGEXMATCH(target, ""SELF_AFFECTED_ALL""), job=""戦士""), AND(check=Op"&amp;"tion!$F$13, REGEXMATCH(target, ""SINGLE_AFFECTED_ALL""))),
         buff,
         1
       )
     )
   )
 )"),1.0)</f>
        <v>1</v>
      </c>
      <c r="FC26" s="206">
        <f>IFERROR(__xludf.DUMMYFUNCTION("SUM(
   MAP(
     K$3:ED$3,
     K$7:ED$7,
     K$15:ED$15,
     K$16:ED$16,
     K$21:ED$21,
     K$5:ED$5,
     K$17:ED$17,
     K26:ED26,
     LAMBDA(
       job,
       abillity,
       buff,
       barrier,
       enhance,
       assign,
       preco"&amp;"ndition,
       check,
       IF(
         OR(AND(check=TRUE, REGEXMATCH(assign, ""SELF""), job=""戦士""), AND(check=Option!$F$13, REGEXMATCH(assign, ""SINGLE_PARTY""))),
         IF(
           OR(ARRAYFORMULA((IF(precondition="""", FALSE, REGEXMATCH($K$4:"&amp;"$ED$4, precondition))) * (K26:ED26=TRUE))),
           enhance,
           IF(barrier="""", buff, barrier)
         ),
         0
       ) *
       SWITCH(
         job,
         ""暗黒騎士"", FD$24,
         ""白魔道士"", EF26 * EH26 * FB26 * IF(abillity, 1, EG2"&amp;"6 * EI26) * (Option!$D$22 * 0.81 / 100),
         ""占星術師"", EF26 * EJ26 * FFB26 * IF(abillity, 1, EG26 * EK26) * (Option!$D$23 * 0.81 / 100),
         ""学者"", EF26 * EL26 * FB26 * IF(abillity, 1, EG26 * EM26) * (Option!$D$24 * 0.81 / 100),
         ""賢者"""&amp;", EF26 * EN26 * FB26 * IF(abillity, 1, EG26 * EO26) * (Option!$D$25 * 0.81 / 100),
         1
       )
     )
   )
 ) + EQ26"),0.0)</f>
        <v>0</v>
      </c>
      <c r="FD26" s="206">
        <f t="shared" si="9"/>
        <v>0</v>
      </c>
      <c r="FE26" s="205">
        <f>IFERROR(__xludf.DUMMYFUNCTION("PRODUCT(
   MAP(
     IF($F26=""Physical"", K$10:ED$10, IF($F26=""Magic"", K$11:ED$11, K$12:ED$12)),
     IF($F26=""Physical"", K$18:ED$18, IF($F26=""Magic"", K$19:ED$19, K$20:ED$20)),
     K$3:ED$3,
     K$5:ED$5,
     K$17:ED$17,
     K26:ED26,
     LAM"&amp;"BDA(
       mitigation,
       enhance,
       job,
       assign,
       precondition,
       check,
       IF(
         OR(AND(check=TRUE, REGEXMATCH(assign, ""SELF""), job=""暗黒騎士""), AND(check=Option!$G$13, REGEXMATCH(assign, ""SINGLE_PARTY""))),
     "&amp;"    IF(
           OR(ARRAYFORMULA((IF(precondition="""", FALSE, REGEXMATCH($K$4:$ED$4, precondition))) * (K26:ED26=TRUE))),
           enhance,
           mitigation
         ),
         1
       )
     )
   )
 ) * EE26"),1.0)</f>
        <v>1</v>
      </c>
      <c r="FF26" s="206">
        <f t="shared" si="10"/>
        <v>0</v>
      </c>
      <c r="FG26" s="205">
        <f>IFERROR(__xludf.DUMMYFUNCTION("PRODUCT(
   MAP(
     K$3:ED$3,
     K$14:ED$14,
     K$13:ED$13,
     K26:ED26,
     LAMBDA(
       job,
       buff,
       target,
       check,
       IF(
         OR(AND(check=TRUE, REGEXMATCH(target, ""SELF_AFFECTED_ALL""), job=""暗黒騎士""), AND(check="&amp;"Option!$G$13, REGEXMATCH(target, ""SINGLE_AFFECTED_ALL""))),
         buff,
         1
       )
     )
   )
 )"),1.0)</f>
        <v>1</v>
      </c>
      <c r="FH26" s="206">
        <f>IFERROR(__xludf.DUMMYFUNCTION("SUM(
   MAP(
     K$3:ED$3,
     K$7:ED$7,
     K$15:ED$15,
     K$16:ED$16,
     K$21:ED$21,
     K$5:ED$5,
     K$17:ED$17,
     K26:ED26,
     LAMBDA(
       job,
       abillity,
       buff,
       barrier,
       enhance,
       assign,
       preco"&amp;"ndition,
       check,
       IF(
         OR(AND(check=TRUE, REGEXMATCH(assign, ""SELF""), job=""暗黒騎士""), AND(check=Option!$G$13, REGEXMATCH(assign, ""SINGLE_PARTY""))),
         IF(
           OR(ARRAYFORMULA((IF(precondition="""", FALSE, REGEXMATCH($K$"&amp;"4:$ED$4, precondition))) * (K26:ED26=TRUE))),
           enhance,
           IF(barrier="""", buff, barrier)
         ),
         0
       ) *
       SWITCH(
         job,
         ""暗黒騎士"", FI$24,
         ""白魔道士"", EF26 * EH26 * FG26 * IF(abillity, 1, E"&amp;"G26 * EI26) * (Option!$D$22 * 0.81 / 100),
         ""占星術師"", EF26 * EJ26 * FG26 * IF(abillity, 1, EG26 * EK26) * (Option!$D$23 * 0.81 / 100),
         ""学者"", EF26 * EL26 * FG26 * IF(abillity, 1, EG26 * EM26) * (Option!$D$24 * 0.81 / 100),
         ""賢者"&amp;""", EF26 * EN26 * FG26 * IF(abillity, 1, EG26 * EO26) * (Option!$D$25 * 0.81 / 100),
         1
       )
     )
   )
 ) + EQ26"),0.0)</f>
        <v>0</v>
      </c>
      <c r="FI26" s="206">
        <f t="shared" si="11"/>
        <v>0</v>
      </c>
      <c r="FJ26" s="205">
        <f>IFERROR(__xludf.DUMMYFUNCTION("PRODUCT(
   MAP(
     IF($F26=""Physical"", K$10:ED$10, IF($F26=""Magic"", K$11:ED$11, K$12:ED$12)),
     IF($F26=""Physical"", K$18:ED$18, IF($F26=""Magic"", K$19:ED$19, K$20:ED$20)),
     K$3:ED$3,
     K$5:ED$5,
     K$17:ED$17,
     K26:ED26,
     LAM"&amp;"BDA(
       mitigation,
       enhance,
       job,
       assign,
       precondition,
       check,
       IF(
         OR(AND(check=TRUE, REGEXMATCH(assign, ""SELF""), job=""ガンブレイカー""), AND(check=Option!$H$13, REGEXMATCH(assign, ""SINGLE_PARTY""))),
  "&amp;"       IF(
           OR(ARRAYFORMULA((IF(precondition="""", FALSE, REGEXMATCH($K$4:$ED$4, precondition))) * (K26:ED26=TRUE))),
           enhance,
           mitigation
         ),
         1
       )
     )
   )
 ) * EE26"),1.0)</f>
        <v>1</v>
      </c>
      <c r="FK26" s="206">
        <f t="shared" si="12"/>
        <v>0</v>
      </c>
      <c r="FL26" s="205">
        <f>IFERROR(__xludf.DUMMYFUNCTION("PRODUCT(
   MAP(
     K$3:ED$3,
     K$14:ED$14,
     K$13:ED$13,
     K26:ED26,
     LAMBDA(
       job,
       buff,
       target,
       check,
       IF(
         OR(AND(check=TRUE, REGEXMATCH(target, ""SELF_AFFECTED_ALL""), job=""ガンブレイカー""), AND(che"&amp;"ck=Option!$H$13, REGEXMATCH(target, ""SINGLE_AFFECTED_ALL""))),
         buff,
         1
       )
     )
   )
 )"),1.0)</f>
        <v>1</v>
      </c>
      <c r="FM26" s="206">
        <f>IFERROR(__xludf.DUMMYFUNCTION("SUM(
   MAP(
     K$3:ED$3,
     K$7:ED$7,
     K$15:ED$15,
     K$16:ED$16,
     K$21:ED$21,
     K$5:ED$5,
     K$17:ED$17,
     K26:ED26,
     LAMBDA(
       job,
       abillity,
       buff,
       barrier,
       enhance,
       assign,
       preco"&amp;"ndition,
       check,
       IF(
         OR(AND(check=TRUE, REGEXMATCH(assign, ""SELF""), job=""ガンブレイカー""), AND(check=Option!$H$13, REGEXMATCH(assign, ""SINGLE_PARTY""))),
         IF(
           OR(ARRAYFORMULA((IF(precondition="""", FALSE, REGEXMATCH("&amp;"$K$4:$ED$4, precondition))) * (K26:ED26=TRUE))),
           enhance,
           IF(barrier="""", buff, barrier)
         ),
         0
       ) *
       SWITCH(
         job,
         ""暗黒騎士"", FN$24,
         ""白魔道士"", EF26 * EH26 * FL26 * IF(abillity, 1"&amp;", EG26 * EI26) * (Option!$D$22 * 0.81 / 100),
         ""占星術師"", EF26 * EJ26 * FL26 * IF(abillity, 1, EG26 * EK26) * (Option!$D$23 * 0.81 / 100),
         ""学者"", EF26 * EL26 * FL26 * IF(abillity, 1, EG26 * EM26) * (Option!$D$24 * 0.81 / 100),
         """&amp;"賢者"", EF26 * EN26 * FL26 * IF(abillity, 1, EG26 * EO26) * (Option!$D$25 * 0.81 / 100),
         1
       )
     )
   )
 ) + EQ26"),0.0)</f>
        <v>0</v>
      </c>
      <c r="FN26" s="206">
        <f t="shared" si="13"/>
        <v>0</v>
      </c>
      <c r="FO26" s="213"/>
    </row>
    <row r="27">
      <c r="B27" s="229"/>
      <c r="C27" s="217">
        <f t="shared" si="1"/>
        <v>0</v>
      </c>
      <c r="D27" s="236"/>
      <c r="E27" s="244"/>
      <c r="F27" s="167"/>
      <c r="G27" s="168" t="str">
        <f t="shared" si="2"/>
        <v/>
      </c>
      <c r="H27" s="169"/>
      <c r="I27" s="169"/>
      <c r="J27" s="169"/>
      <c r="K27" s="170" t="b">
        <v>0</v>
      </c>
      <c r="L27" s="170" t="b">
        <v>0</v>
      </c>
      <c r="M27" s="170" t="b">
        <v>0</v>
      </c>
      <c r="N27" s="171" t="s">
        <v>1070</v>
      </c>
      <c r="O27" s="172" t="b">
        <v>0</v>
      </c>
      <c r="P27" s="173" t="b">
        <v>0</v>
      </c>
      <c r="Q27" s="173" t="b">
        <v>0</v>
      </c>
      <c r="R27" s="173" t="b">
        <v>0</v>
      </c>
      <c r="S27" s="174" t="b">
        <v>0</v>
      </c>
      <c r="T27" s="175" t="b">
        <v>0</v>
      </c>
      <c r="U27" s="173" t="b">
        <v>0</v>
      </c>
      <c r="V27" s="171" t="s">
        <v>1070</v>
      </c>
      <c r="W27" s="172" t="b">
        <v>0</v>
      </c>
      <c r="X27" s="173" t="b">
        <v>0</v>
      </c>
      <c r="Y27" s="173" t="b">
        <v>0</v>
      </c>
      <c r="Z27" s="173" t="b">
        <v>0</v>
      </c>
      <c r="AA27" s="174" t="b">
        <v>0</v>
      </c>
      <c r="AB27" s="174" t="b">
        <v>0</v>
      </c>
      <c r="AC27" s="175" t="b">
        <v>0</v>
      </c>
      <c r="AD27" s="173" t="b">
        <v>0</v>
      </c>
      <c r="AE27" s="176" t="s">
        <v>1070</v>
      </c>
      <c r="AF27" s="171" t="s">
        <v>1070</v>
      </c>
      <c r="AG27" s="177">
        <f>IFERROR(__xludf.DUMMYFUNCTION("IF(
  ISNUMBER(AG26),
  MIN(MAX(
    AG26
    + MAX(
      ROUNDDOWN(($D27 - MAX(IFERROR(FILTER($D$24:$D26, AG$24:AG26 &lt;&gt; AF$6, AG$23:AG25 = AF$6), 0))) * (60 * 60 * 24) / AF$9) - ROUNDDOWN(($D26 - MAX(IFERROR(FILTER($D$23:$D25, AG$23:AG25 &lt;&gt; AF$6, AG$22:"&amp;"AG24 = AF$6), 0))) * (60 * 60 * 24) / 60),
      0
    )
    - COUNTIF(AF27, ""&lt;&gt;-""),
  0), AF$6),
  AF$6 - COUNTIF(AF27, ""&lt;&gt;-"")
)"),2.0)</f>
        <v>2</v>
      </c>
      <c r="AH27" s="173" t="b">
        <v>0</v>
      </c>
      <c r="AI27" s="173" t="b">
        <v>0</v>
      </c>
      <c r="AJ27" s="173" t="b">
        <v>0</v>
      </c>
      <c r="AK27" s="174" t="b">
        <v>0</v>
      </c>
      <c r="AL27" s="175" t="b">
        <v>0</v>
      </c>
      <c r="AM27" s="173" t="b">
        <v>0</v>
      </c>
      <c r="AN27" s="171" t="s">
        <v>1070</v>
      </c>
      <c r="AO27" s="173" t="b">
        <v>0</v>
      </c>
      <c r="AP27" s="173" t="b">
        <v>0</v>
      </c>
      <c r="AQ27" s="173" t="b">
        <v>0</v>
      </c>
      <c r="AR27" s="174" t="b">
        <v>0</v>
      </c>
      <c r="AS27" s="178" t="b">
        <v>0</v>
      </c>
      <c r="AT27" s="179" t="b">
        <v>0</v>
      </c>
      <c r="AU27" s="180" t="b">
        <v>0</v>
      </c>
      <c r="AV27" s="180" t="b">
        <v>0</v>
      </c>
      <c r="AW27" s="180" t="b">
        <v>0</v>
      </c>
      <c r="AX27" s="180" t="b">
        <v>0</v>
      </c>
      <c r="AY27" s="181" t="s">
        <v>1070</v>
      </c>
      <c r="AZ27" s="181" t="s">
        <v>1070</v>
      </c>
      <c r="BA27" s="184">
        <f>IFERROR(__xludf.DUMMYFUNCTION("IF(
  ISNUMBER(BA26),
  MIN(MAX(
    BA26
    + MAX(
      ROUNDDOWN((D27 - MAX(IFERROR(FILTER(D$24:D26, BA$24:BA26 &lt;&gt; AZ$6, BA$23:BA25 = AZ$6), 0))) * (60 * 60 * 24) / AZ$9) - ROUNDDOWN((D26 - MAX(IFERROR(FILTER(D$23:D25, BA$23:BA25 &lt;&gt; AZ$6, BA$22:BA24 ="&amp;" AZ$6), 0))) * (60 * 60 * 24) / AZ$9),
      0
    )
    - COUNTIF(AZ27, ""&lt;&gt;-""),
  0), AZ$6),
  AZ$6 - COUNTIF(AZ27, ""&lt;&gt;-"")
)"),2.0)</f>
        <v>2</v>
      </c>
      <c r="BB27" s="181" t="s">
        <v>1070</v>
      </c>
      <c r="BC27" s="183">
        <f>IFERROR(__xludf.DUMMYFUNCTION("IF(
  ISNUMBER(BC26),
  MIN(MAX(
    BC26
    + MAX(
      ROUNDDOWN(($D27 - MAX(IFERROR(FILTER($D$24:$D26, BC$24:BC26 &lt;&gt; BB$6, BC$23:BC25 = BB$6), 0))) * (60 * 60 * 24) / BB$9) - ROUNDDOWN(($D26 - MAX(IFERROR(FILTER($D$23:$D25, BC$23:BC25 &lt;&gt; BB$6, BC$22:"&amp;"BC24 = BB$6), 0))) * (60 * 60 * 24) / 60),
      0
    )
    - COUNTIF(BB27, ""&lt;&gt;-""),
  0), BB$6),
  BB$6 - COUNTIF(BB27, ""&lt;&gt;-"")
)"),2.0)</f>
        <v>2</v>
      </c>
      <c r="BD27" s="181" t="s">
        <v>1070</v>
      </c>
      <c r="BE27" s="178" t="b">
        <v>0</v>
      </c>
      <c r="BF27" s="180" t="b">
        <v>0</v>
      </c>
      <c r="BG27" s="180" t="b">
        <v>0</v>
      </c>
      <c r="BH27" s="180" t="b">
        <v>0</v>
      </c>
      <c r="BI27" s="180" t="b">
        <v>0</v>
      </c>
      <c r="BJ27" s="180" t="b">
        <v>0</v>
      </c>
      <c r="BK27" s="180" t="b">
        <v>0</v>
      </c>
      <c r="BL27" s="180" t="b">
        <v>0</v>
      </c>
      <c r="BM27" s="180" t="b">
        <v>0</v>
      </c>
      <c r="BN27" s="180" t="b">
        <v>0</v>
      </c>
      <c r="BO27" s="181" t="s">
        <v>1070</v>
      </c>
      <c r="BP27" s="181" t="s">
        <v>1070</v>
      </c>
      <c r="BQ27" s="181" t="s">
        <v>1070</v>
      </c>
      <c r="BR27" s="181" t="s">
        <v>1070</v>
      </c>
      <c r="BS27" s="181" t="s">
        <v>1070</v>
      </c>
      <c r="BT27" s="184">
        <f>IFERROR(__xludf.DUMMYFUNCTION("IF(
  ISNUMBER(BT26),
  MIN(MAX(
    BT26
    + MAX(
      ROUNDDOWN((D27 - MAX(IFERROR(FILTER(D$24:D26, BT$24:BT26 &lt;&gt; BS$6, BT$23:BT25 = BS$6), 0))) * (60 * 60 * 24) / BS$9) - ROUNDDOWN((D26 - MAX(IFERROR(FILTER(D$23:D25, BT$23:BT25 &lt;&gt; BS$6, BT$22:BT24 ="&amp;" BS$6), 0))) * (60 * 60 * 24) / BS$9),
      0
    )
    - COUNTIF(BS27, ""&lt;&gt;-""),
  0), BS$6),
  BS$6 - COUNTIF(BS27, ""&lt;&gt;-"")
)"),3.0)</f>
        <v>3</v>
      </c>
      <c r="BU27" s="181" t="s">
        <v>1070</v>
      </c>
      <c r="BV27" s="181" t="s">
        <v>1070</v>
      </c>
      <c r="BW27" s="184">
        <f>IFERROR(__xludf.DUMMYFUNCTION("IF(
  ISNUMBER(BW26),
  MIN(MAX(
    BW26
    + MAX(
      ROUNDDOWN((D27 - MAX(IFERROR(FILTER(D$24:D26, BW$24:BW26 &lt;&gt; BV$6, BW$23:BW25 = BV$6), 0))) * (60 * 60 * 24) / BV$9) - ROUNDDOWN((D26 - MAX(IFERROR(FILTER(D$23:D25, BW$23:BW25 &lt;&gt; BV$6, BW$22:BW24 ="&amp;" BV$6), 0))) * (60 * 60 * 24) / BV$9),
      0
    )
    - COUNTIF(BV27, ""&lt;&gt;-""),
  0), BV$6),
  BV$6 - COUNTIF(BV27, ""&lt;&gt;-"")
)"),2.0)</f>
        <v>2</v>
      </c>
      <c r="BX27" s="185" t="s">
        <v>1070</v>
      </c>
      <c r="BY27" s="178" t="b">
        <v>0</v>
      </c>
      <c r="BZ27" s="180" t="b">
        <v>0</v>
      </c>
      <c r="CA27" s="180" t="b">
        <v>0</v>
      </c>
      <c r="CB27" s="180" t="b">
        <v>0</v>
      </c>
      <c r="CC27" s="180" t="b">
        <v>0</v>
      </c>
      <c r="CD27" s="180" t="b">
        <v>0</v>
      </c>
      <c r="CE27" s="180" t="b">
        <v>0</v>
      </c>
      <c r="CF27" s="180" t="b">
        <v>0</v>
      </c>
      <c r="CG27" s="180" t="b">
        <v>0</v>
      </c>
      <c r="CH27" s="180" t="b">
        <v>0</v>
      </c>
      <c r="CI27" s="180" t="b">
        <v>0</v>
      </c>
      <c r="CJ27" s="180" t="b">
        <v>0</v>
      </c>
      <c r="CK27" s="180" t="b">
        <v>0</v>
      </c>
      <c r="CL27" s="180" t="b">
        <v>0</v>
      </c>
      <c r="CM27" s="181" t="s">
        <v>1070</v>
      </c>
      <c r="CN27" s="181" t="s">
        <v>1070</v>
      </c>
      <c r="CO27" s="181" t="s">
        <v>1070</v>
      </c>
      <c r="CP27" s="181" t="s">
        <v>1070</v>
      </c>
      <c r="CQ27" s="185" t="s">
        <v>1070</v>
      </c>
      <c r="CR27" s="180" t="b">
        <v>0</v>
      </c>
      <c r="CS27" s="186" t="str">
        <f t="shared" si="14"/>
        <v>◇◇◇</v>
      </c>
      <c r="CT27" s="178" t="b">
        <v>0</v>
      </c>
      <c r="CU27" s="180" t="b">
        <v>0</v>
      </c>
      <c r="CV27" s="180" t="b">
        <v>0</v>
      </c>
      <c r="CW27" s="180" t="b">
        <v>0</v>
      </c>
      <c r="CX27" s="180" t="b">
        <v>0</v>
      </c>
      <c r="CY27" s="180" t="b">
        <v>0</v>
      </c>
      <c r="CZ27" s="180" t="b">
        <v>0</v>
      </c>
      <c r="DA27" s="180" t="b">
        <v>0</v>
      </c>
      <c r="DB27" s="180" t="b">
        <v>0</v>
      </c>
      <c r="DC27" s="180" t="b">
        <v>0</v>
      </c>
      <c r="DD27" s="181" t="s">
        <v>1070</v>
      </c>
      <c r="DE27" s="181" t="s">
        <v>1070</v>
      </c>
      <c r="DF27" s="181" t="s">
        <v>1070</v>
      </c>
      <c r="DG27" s="185" t="s">
        <v>1070</v>
      </c>
      <c r="DH27" s="180" t="b">
        <v>0</v>
      </c>
      <c r="DI27" s="187" t="str">
        <f>IFERROR(__xludf.DUMMYFUNCTION("SWITCH(
  IF(
    ISTEXT(DI26),
    IF (
      FIND(""○"", DI26&amp;""○"") &gt; 3,
      3,
      FIND(""○"", DI26&amp;""○"")
      + MAX(
        ROUNDDOWN(($D27 - MAX(IFERROR(FILTER(D$24:D26, DI$24:DI26 &lt;&gt; ""●●●"", DI$23:DI25 = ""●●●""), 0))) * (60 * 60 * 24) / 20"&amp;") - ROUNDDOWN(($D26 - MAX(IFERROR(FILTER(D$23:D25, DI$23:DI25 &lt;&gt; ""●●●"", DI$22:DI24 = ""●●●""), 0))) * (60 * 60 * 24) / 20),
        0
      ) - 1
    ) - COUNTIFS(CU27, ""=TRUE"", CU26, ""&lt;&gt;TRUE"") - COUNTIF(CZ27, ""=TRUE"") - COUNTIF({DD27,DE27}, ""&lt;&gt;-"&amp;""") + COUNTIF(DH27, ""=TRUE""),
    3
  ),
  0, ""○○○"", 1, ""●○○"", 2, ""●●○"", 3, ""●●●"", 4, ""●●●"", ""○○○""
)"),"●●●")</f>
        <v>●●●</v>
      </c>
      <c r="DJ27" s="188" t="b">
        <v>0</v>
      </c>
      <c r="DK27" s="189" t="b">
        <v>0</v>
      </c>
      <c r="DL27" s="190" t="b">
        <v>0</v>
      </c>
      <c r="DM27" s="190" t="b">
        <v>0</v>
      </c>
      <c r="DN27" s="190" t="b">
        <v>0</v>
      </c>
      <c r="DO27" s="190" t="b">
        <v>0</v>
      </c>
      <c r="DP27" s="190" t="b">
        <v>0</v>
      </c>
      <c r="DQ27" s="191" t="b">
        <v>0</v>
      </c>
      <c r="DR27" s="192" t="b">
        <v>0</v>
      </c>
      <c r="DS27" s="191" t="b">
        <v>0</v>
      </c>
      <c r="DT27" s="192" t="b">
        <v>0</v>
      </c>
      <c r="DU27" s="191" t="b">
        <v>0</v>
      </c>
      <c r="DV27" s="193" t="s">
        <v>1070</v>
      </c>
      <c r="DW27" s="194" t="b">
        <v>0</v>
      </c>
      <c r="DX27" s="194" t="b">
        <v>0</v>
      </c>
      <c r="DY27" s="195" t="b">
        <v>0</v>
      </c>
      <c r="DZ27" s="196" t="b">
        <v>0</v>
      </c>
      <c r="EA27" s="195" t="b">
        <v>0</v>
      </c>
      <c r="EB27" s="197" t="b">
        <v>0</v>
      </c>
      <c r="EC27" s="197" t="b">
        <v>0</v>
      </c>
      <c r="ED27" s="212" t="b">
        <v>0</v>
      </c>
      <c r="EE27" s="199">
        <f>IFERROR(__xludf.DUMMYFUNCTION("IFERROR(
   PRODUCT(
     MAP(
       INDEX(TRANSPOSE(UNIQUE(TRANSPOSE(FILTER({IF($F27=""Physical"", K$10:ED$10, IF($F27=""Magic"", K$11:ED$11, K$12:ED$12));K$4:ED$4;K27:ED27}, K27:ED27=TRUE)))), 1, 0),
       INDEX(TRANSPOSE(UNIQUE(TRANSPOSE(FILTER({IF($"&amp;"F27=""Physical"", K$18:ED$18, IF($F27=""Magic"", K$19:ED$19, K$20:ED$20));K$4:ED$4;K27:ED27}, K27:ED27=TRUE)))), 1, 0),
       INDEX(TRANSPOSE(UNIQUE(TRANSPOSE(FILTER({K$5:ED$5;K$4:ED$4;K27:ED27}, K27:ED27=TRUE)))), 1, 0),
       INDEX(TRANSPOSE(UNIQUE(TR"&amp;"ANSPOSE(FILTER({K$17:ED$17;K$4:ED$4;K27:ED27}, K27:ED27=TRUE)))), 1, 0),
       LAMBDA(
         mitigation,
         enhance,
         assign,
         precondition,
         IF(
           REGEXMATCH(assign, ""RANGE_PARTY|SINGLE_ENEMY|RANGE_ENEMY""),
  "&amp;"         IF(
             OR(ARRAYFORMULA((IF(precondition="""", FALSE, REGEXMATCH(K$4:ED$4, precondition))) * (K27:ED27=TRUE))),
             IF(ISNUMBER(enhance), enhance, 1),
             IF(ISNUMBER(mitigation), mitigation, 1)
           ),
          "&amp;" 1
         )
       )
     )
   ),
   1
 )"),1.0)</f>
        <v>1</v>
      </c>
      <c r="EF27" s="200">
        <f>IFERROR(__xludf.DUMMYFUNCTION("PRODUCT(
   MAP(
     K$14:ED$14,
     K$13:ED$13,
     K27:ED27,
     LAMBDA(
       buff,
       target,
       check,
       IF(
         AND(check=TRUE, REGEXMATCH(target, ""RANGE_AFFECTED_ALL|RANGE_EFFECTED_ALL""), ISNUMBER(buff)),
         buff,
   "&amp;"      1
       )
     )
   )
 )"),1.0)</f>
        <v>1</v>
      </c>
      <c r="EG27" s="200">
        <f>IFERROR(__xludf.DUMMYFUNCTION("PRODUCT(
   MAP(
     K$14:ED$14,
     K$13:ED$13,
     K27:ED27,
     LAMBDA(
       buff,
       target,
       check,
       IF(
         AND(check=TRUE, REGEXMATCH(target, ""RANGE_AFFECTED_GCD|RANGE_EFFECTED_GCD""), ISNUMBER(buff)),
         buff,
   "&amp;"      1
       )
     )
   )
 )"),1.0)</f>
        <v>1</v>
      </c>
      <c r="EH27" s="200">
        <f>IFERROR(__xludf.DUMMYFUNCTION("PRODUCT(
   MAP(
     K$3:ED$3,
     K$14:ED$14,
     K$13:ED$13,
     K27:ED27,
     LAMBDA(
       job,
       buff,
       target,
       check,
       IF(
         AND(check=TRUE, REGEXMATCH(target, ""SELF_EFFECTED_ALL""), ISNUMBER(buff), job=""白魔道士"""&amp;"),
         buff,
         1
       )
     )
   )
 )"),1.0)</f>
        <v>1</v>
      </c>
      <c r="EI27" s="200">
        <f>IFERROR(__xludf.DUMMYFUNCTION("PRODUCT(
   MAP(
     K$3:ED$3,
     K$14:ED$14,
     K$13:ED$13,
     K27:ED27,
     LAMBDA(
       job,
       buff,
       target,
       check,
       IF(
         AND(check=TRUE, REGEXMATCH(target, ""SELF_EFFECTED_GCD""), ISNUMBER(buff), job=""白魔道士"""&amp;"),
         buff,
         1
       )
     )
   )
 )"),1.0)</f>
        <v>1</v>
      </c>
      <c r="EJ27" s="200">
        <f>IFERROR(__xludf.DUMMYFUNCTION("PRODUCT(
   MAP(
     K$3:ED$3,
     K$14:ED$14,
     K$13:ED$13,
     K27:ED27,
     LAMBDA(
       job,
       buff,
       target,
       check,
       IF(
         AND(check=TRUE, REGEXMATCH(target, ""SELF_EFFECTED_ALL""), ISNUMBER(buff), job=""占星術師"""&amp;"),
         buff,
         1
       )
     )
   )
 )"),1.0)</f>
        <v>1</v>
      </c>
      <c r="EK27" s="200">
        <f>IFERROR(__xludf.DUMMYFUNCTION("PRODUCT(
   MAP(
     K$3:ED$3,
     K$14:ED$14,
     K$13:ED$13,
     K27:ED27,
     LAMBDA(
       job,
       buff,
       target,
       check,
       IF(
         AND(check=TRUE, REGEXMATCH(target, ""SELF_EFFECTED_GCD""), ISNUMBER(buff), job=""占星術師"""&amp;"),
         buff,
         1
       )
     )
   )
 )"),1.0)</f>
        <v>1</v>
      </c>
      <c r="EL27" s="200">
        <f>IFERROR(__xludf.DUMMYFUNCTION("PRODUCT(
   MAP(
     K$3:ED$3,
     K$14:ED$14,
     K$13:ED$13,
     K27:ED27,
     LAMBDA(
       job,
       buff,
       target,
       check,
       IF(
         AND(check=TRUE, REGEXMATCH(target, ""SELF_EFFECTED_ALL""), ISNUMBER(buff), job=""学者""),"&amp;"
         buff,
         1
       )
     )
   )
 )"),1.0)</f>
        <v>1</v>
      </c>
      <c r="EM27" s="200">
        <f>IFERROR(__xludf.DUMMYFUNCTION("PRODUCT(
   MAP(
     K$3:ED$3,
     K$14:ED$14,
     K$13:ED$13,
     K27:ED27,
     LAMBDA(
       job,
       buff,
       target,
       check,
       IF(
         AND(check=TRUE, REGEXMATCH(target, ""SELF_EFFECTED_GCD""), ISNUMBER(buff), job=""学者""),"&amp;"
         buff,
         1
       )
     )
   )
 )"),1.0)</f>
        <v>1</v>
      </c>
      <c r="EN27" s="200">
        <f>IFERROR(__xludf.DUMMYFUNCTION("PRODUCT(
   MAP(
     K$3:ED$3,
     K$14:ED$14,
     K$13:ED$13,
     K27:ED27,
     LAMBDA(
       job,
       buff,
       target,
       check,
       IF(
         AND(check=TRUE, REGEXMATCH(target, ""SELF_EFFECTED_ALL""), ISNUMBER(buff), job=""賢者""),"&amp;"
         buff,
         1
       )
     )
   )
 )"),1.0)</f>
        <v>1</v>
      </c>
      <c r="EO27" s="200">
        <f>IFERROR(__xludf.DUMMYFUNCTION("PRODUCT(
   MAP(
     K$3:ED$3,
     K$14:ED$14,
     K$13:ED$13,
     K27:ED27,
     LAMBDA(
       job,
       buff,
       target,
       check,
       IF(
         AND(check=TRUE, REGEXMATCH(target, ""SELF_EFFECTED_GCD""), ISNUMBER(buff), job=""賢者""),"&amp;"
         buff,
         1
       )
     )
   )
 )"),1.0)</f>
        <v>1</v>
      </c>
      <c r="EP27" s="201">
        <f t="shared" si="3"/>
        <v>0</v>
      </c>
      <c r="EQ27" s="201">
        <f>IFERROR(__xludf.DUMMYFUNCTION("SUM(
   MAP(
     K$4:ED$4,
     K$3:ED$3,
     K$7:ED$7,
     K$15:ED$15,
     K$16:ED$16,
     K$21:ED$21,
     K$5:ED$5,
     K$17:ED$17,
     K27:ED27,
     LAMBDA(
       name,
       job,
       abillity,
       buff,
       barrier,
       enhance,"&amp;"
       assign,
       precondition,
       check,
       SWITCH(
         name,
         ""シェイクオフ"", IF(check=TRUE, buff + (0.02 * COUNTIF(ARRAYFORMULA((REGEXMATCH($K$4:$ED$4, ""スリル・オブ・バトル|ヴェンジェンス|原初の血気|ダムネーション"")) * (K27:ED27=TRUE)), 1)), 0),
         "&amp;"""インプロビゼーションフィニッシュ(踊りの激情0)"", IF(ISNUMBER(check), INDEX(Skill!$AJ:$AJ, MATCH(SUBSTITUTE(DV$4, 0, check), Skill!$C:$C, 0)), 0),
         IF(
           AND(check=TRUE, REGEXMATCH(assign, ""RANGE_PARTY"")),
           IF(
             OR(ARRAYFORMULA((IF(pr"&amp;"econdition="""", FALSE, REGEXMATCH($K$4:$ED$4, precondition))) * (K27:ED27=TRUE))),
             enhance,
             IF(barrier="""", buff, barrier)
           ),
           0
         )
       ) *
       SWITCH(
         job,
         ""ナイト"", EY$24,
 "&amp;"        ""戦士"", FD$24,
         ""踊り子"", ET$24,
         ""ピクトマンサー"", ET$24,
         ""白魔道士"", EF27 * EH27 * IF(abillity, 1, EG27 * EI27) * (Option!$D$22 * 0.81 / 100),
         ""占星術師"", EF27 * EJ27 * IF(abillity, 1, EG27 * EK27) * (Option!$D$23 * 0.81 "&amp;"/ 100),
         ""学者"", EF27 * EL27 * IF(abillity, 1, EG27 * EM27) * (Option!$D$24 * 0.81 / 100),
         ""賢者"", EF27 * EN27 * IF(abillity, 1, EG27 * EO27) * (Option!$D$25 * 0.81 / 100),
         1
       )
     )
   )
 )"),0.0)</f>
        <v>0</v>
      </c>
      <c r="ER27" s="202">
        <f t="shared" si="4"/>
        <v>0</v>
      </c>
      <c r="ES27" s="203">
        <f t="shared" si="5"/>
        <v>0</v>
      </c>
      <c r="ET27" s="204" t="str">
        <f>IFERROR(__xludf.DUMMYFUNCTION("IFS(
  EP27 &gt; $ET$24 + EQ27,
  SPARKLINE({ 1, 0 }, {""charttype"",""bar"";""max"", 1;""color1"",Option!$D$30;""color2"",Option!$D$30}),
  EP27 &lt; EQ27,
  SPARKLINE({EQ27 - EP27, $ET$24 - (EQ27 - EP27)}, {""charttype"",""bar"";""max"",$ET$24;""color1"",Opti"&amp;"on!$D$28;""color2"",Option!$D$29}),
  EP27 &gt;= EQ27,
  SPARKLINE({$ET$24 + EQ27 - EP27,EP27 - EQ27}, {""charttype"",""bar"";""max"",$ET$24;""color1"",Option!$D$29;""color2"",Option!$D$30})
)"),"")</f>
        <v/>
      </c>
      <c r="EU27" s="205">
        <f>IFERROR(__xludf.DUMMYFUNCTION("PRODUCT(
   MAP(
     IF($F27=""Physical"", K$10:ED$10, IF($F27=""Magic"", K$11:ED$11, K$12:ED$12)),
     IF($F27=""Physical"", K$18:ED$18, IF($F27=""Magic"", K$19:ED$19, K$20:ED$20)),
     K$3:ED$3,
     K$5:ED$5,
     K$17:ED$17,
     K27:ED27,
     LAM"&amp;"BDA(
       mitigation,
       enhance,
       job,
       assign,
       precondition,
       check,
       IF(
         OR(AND(check=TRUE, REGEXMATCH(assign, ""SELF""), job=""ナイト""), AND(check=Option!$E$13, REGEXMATCH(assign, ""SINGLE_PARTY""))),
      "&amp;"   IF(
           OR(ARRAYFORMULA((IF(precondition="""", FALSE, REGEXMATCH($K$4:$ED$4, precondition))) * (K27:ED27=TRUE))),
           enhance,
           mitigation
         ),
         1
       )
     )
   )
 ) * EE27"),1.0)</f>
        <v>1</v>
      </c>
      <c r="EV27" s="206">
        <f t="shared" si="6"/>
        <v>0</v>
      </c>
      <c r="EW27" s="205">
        <f>IFERROR(__xludf.DUMMYFUNCTION("PRODUCT(
   MAP(
     K$3:ED$3,
     K$14:ED$14,
     K$13:ED$13,
     K27:ED27,
     LAMBDA(
       job,
       buff,
       target,
       check,
       IF(
         OR(AND(check=TRUE, REGEXMATCH(target, ""SELF_AFFECTED_ALL""), job=""ナイト""), AND(check=O"&amp;"ption!$E$13, REGEXMATCH(target, ""SINGLE_AFFECTED_ALL""))),
         buff,
         1
       )
     )
   )
 )"),1.0)</f>
        <v>1</v>
      </c>
      <c r="EX27" s="206">
        <f>IFERROR(__xludf.DUMMYFUNCTION("SUM(
   MAP(
     K$3:ED$3,
     K$7:ED$7,
     K$15:ED$15,
     K$16:ED$16,
     K$21:ED$21,
     K$5:ED$5,
     K$17:ED$17,
     K27:ED27,
     LAMBDA(
       job,
       abillity,
       buff,
       barrier,
       enhance,
       assign,
       preco"&amp;"ndition,
       check,
       IF(
         OR(AND(check=TRUE, REGEXMATCH(assign, ""SELF""), job=""ナイト""), AND(check=Option!$E$13, REGEXMATCH(assign, ""SINGLE_PARTY""))),
         IF(
           OR(ARRAYFORMULA((IF(precondition="""", FALSE, REGEXMATCH($K$4"&amp;":$ED$4, precondition))) * (K27:ED27=TRUE))),
           enhance,
           IF(barrier="""", buff, barrier)
         ),
         0
       ) *
       SWITCH(
         job,
         ""暗黒騎士"", EY$24,
         ""白魔道士"", EF27 * EH27 * EW27 * IF(abillity, 1, EG"&amp;"27 * EI27) * (Option!$D$22 * 0.81 / 100),
         ""占星術師"", EF27 * EJ27 * EW27 * IF(abillity, 1, EG27 * EK27) * (Option!$D$23 * 0.81 / 100),
         ""学者"", EF27 * EL27 * EW27 * IF(abillity, 1, EG27 * EM27) * (Option!$D$24 * 0.81 / 100),
         ""賢者"""&amp;", EF27 * EN27 * EW27 * IF(abillity, 1, EG27 * EO27) * (Option!$D$25 * 0.81 / 100),
         1
       )
     )
   )
 ) + EQ27"),0.0)</f>
        <v>0</v>
      </c>
      <c r="EY27" s="206">
        <f t="shared" si="7"/>
        <v>0</v>
      </c>
      <c r="EZ27" s="205">
        <f>IFERROR(__xludf.DUMMYFUNCTION("PRODUCT(
   MAP(
     IF($F27=""Physical"", K$10:ED$10, IF($F27=""Magic"", K$11:ED$11, K$12:ED$12)),
     IF($F27=""Physical"", K$18:ED$18, IF($F27=""Magic"", K$19:ED$19, K$20:ED$20)),
     K$3:ED$3,
     K$5:ED$5,
     K$17:ED$17,
     K27:ED27,
     LAM"&amp;"BDA(
       mitigation,
       enhance,
       job,
       assign,
       precondition,
       check,
       IF(
         OR(AND(check=TRUE, REGEXMATCH(assign, ""SELF""), job=""戦士""), AND(check=Option!$F$13, REGEXMATCH(assign, ""SINGLE_PARTY""))),
       "&amp;"  IF(
           OR(ARRAYFORMULA((IF(precondition="""", FALSE, REGEXMATCH($K$4:$ED$4, precondition))) * (K27:ED27=TRUE))),
           enhance,
           mitigation
         ),
         1
       )
     )
   )
 ) * EE27"),1.0)</f>
        <v>1</v>
      </c>
      <c r="FA27" s="206">
        <f t="shared" si="8"/>
        <v>0</v>
      </c>
      <c r="FB27" s="205">
        <f>IFERROR(__xludf.DUMMYFUNCTION("PRODUCT(
   MAP(
     K$3:ED$3,
     K$14:ED$14,
     K$13:ED$13,
     K27:ED27,
     LAMBDA(
       job,
       buff,
       target,
       check,
       IF(
         OR(AND(check=TRUE, REGEXMATCH(target, ""SELF_AFFECTED_ALL""), job=""戦士""), AND(check=Op"&amp;"tion!$F$13, REGEXMATCH(target, ""SINGLE_AFFECTED_ALL""))),
         buff,
         1
       )
     )
   )
 )"),1.0)</f>
        <v>1</v>
      </c>
      <c r="FC27" s="206">
        <f>IFERROR(__xludf.DUMMYFUNCTION("SUM(
   MAP(
     K$3:ED$3,
     K$7:ED$7,
     K$15:ED$15,
     K$16:ED$16,
     K$21:ED$21,
     K$5:ED$5,
     K$17:ED$17,
     K27:ED27,
     LAMBDA(
       job,
       abillity,
       buff,
       barrier,
       enhance,
       assign,
       preco"&amp;"ndition,
       check,
       IF(
         OR(AND(check=TRUE, REGEXMATCH(assign, ""SELF""), job=""戦士""), AND(check=Option!$F$13, REGEXMATCH(assign, ""SINGLE_PARTY""))),
         IF(
           OR(ARRAYFORMULA((IF(precondition="""", FALSE, REGEXMATCH($K$4:"&amp;"$ED$4, precondition))) * (K27:ED27=TRUE))),
           enhance,
           IF(barrier="""", buff, barrier)
         ),
         0
       ) *
       SWITCH(
         job,
         ""暗黒騎士"", FD$24,
         ""白魔道士"", EF27 * EH27 * FB27 * IF(abillity, 1, EG2"&amp;"7 * EI27) * (Option!$D$22 * 0.81 / 100),
         ""占星術師"", EF27 * EJ27 * FFB27 * IF(abillity, 1, EG27 * EK27) * (Option!$D$23 * 0.81 / 100),
         ""学者"", EF27 * EL27 * FB27 * IF(abillity, 1, EG27 * EM27) * (Option!$D$24 * 0.81 / 100),
         ""賢者"""&amp;", EF27 * EN27 * FB27 * IF(abillity, 1, EG27 * EO27) * (Option!$D$25 * 0.81 / 100),
         1
       )
     )
   )
 ) + EQ27"),0.0)</f>
        <v>0</v>
      </c>
      <c r="FD27" s="206">
        <f t="shared" si="9"/>
        <v>0</v>
      </c>
      <c r="FE27" s="205">
        <f>IFERROR(__xludf.DUMMYFUNCTION("PRODUCT(
   MAP(
     IF($F27=""Physical"", K$10:ED$10, IF($F27=""Magic"", K$11:ED$11, K$12:ED$12)),
     IF($F27=""Physical"", K$18:ED$18, IF($F27=""Magic"", K$19:ED$19, K$20:ED$20)),
     K$3:ED$3,
     K$5:ED$5,
     K$17:ED$17,
     K27:ED27,
     LAM"&amp;"BDA(
       mitigation,
       enhance,
       job,
       assign,
       precondition,
       check,
       IF(
         OR(AND(check=TRUE, REGEXMATCH(assign, ""SELF""), job=""暗黒騎士""), AND(check=Option!$G$13, REGEXMATCH(assign, ""SINGLE_PARTY""))),
     "&amp;"    IF(
           OR(ARRAYFORMULA((IF(precondition="""", FALSE, REGEXMATCH($K$4:$ED$4, precondition))) * (K27:ED27=TRUE))),
           enhance,
           mitigation
         ),
         1
       )
     )
   )
 ) * EE27"),1.0)</f>
        <v>1</v>
      </c>
      <c r="FF27" s="206">
        <f t="shared" si="10"/>
        <v>0</v>
      </c>
      <c r="FG27" s="205">
        <f>IFERROR(__xludf.DUMMYFUNCTION("PRODUCT(
   MAP(
     K$3:ED$3,
     K$14:ED$14,
     K$13:ED$13,
     K27:ED27,
     LAMBDA(
       job,
       buff,
       target,
       check,
       IF(
         OR(AND(check=TRUE, REGEXMATCH(target, ""SELF_AFFECTED_ALL""), job=""暗黒騎士""), AND(check="&amp;"Option!$G$13, REGEXMATCH(target, ""SINGLE_AFFECTED_ALL""))),
         buff,
         1
       )
     )
   )
 )"),1.0)</f>
        <v>1</v>
      </c>
      <c r="FH27" s="206">
        <f>IFERROR(__xludf.DUMMYFUNCTION("SUM(
   MAP(
     K$3:ED$3,
     K$7:ED$7,
     K$15:ED$15,
     K$16:ED$16,
     K$21:ED$21,
     K$5:ED$5,
     K$17:ED$17,
     K27:ED27,
     LAMBDA(
       job,
       abillity,
       buff,
       barrier,
       enhance,
       assign,
       preco"&amp;"ndition,
       check,
       IF(
         OR(AND(check=TRUE, REGEXMATCH(assign, ""SELF""), job=""暗黒騎士""), AND(check=Option!$G$13, REGEXMATCH(assign, ""SINGLE_PARTY""))),
         IF(
           OR(ARRAYFORMULA((IF(precondition="""", FALSE, REGEXMATCH($K$"&amp;"4:$ED$4, precondition))) * (K27:ED27=TRUE))),
           enhance,
           IF(barrier="""", buff, barrier)
         ),
         0
       ) *
       SWITCH(
         job,
         ""暗黒騎士"", FI$24,
         ""白魔道士"", EF27 * EH27 * FG27 * IF(abillity, 1, E"&amp;"G27 * EI27) * (Option!$D$22 * 0.81 / 100),
         ""占星術師"", EF27 * EJ27 * FG27 * IF(abillity, 1, EG27 * EK27) * (Option!$D$23 * 0.81 / 100),
         ""学者"", EF27 * EL27 * FG27 * IF(abillity, 1, EG27 * EM27) * (Option!$D$24 * 0.81 / 100),
         ""賢者"&amp;""", EF27 * EN27 * FG27 * IF(abillity, 1, EG27 * EO27) * (Option!$D$25 * 0.81 / 100),
         1
       )
     )
   )
 ) + EQ27"),0.0)</f>
        <v>0</v>
      </c>
      <c r="FI27" s="206">
        <f t="shared" si="11"/>
        <v>0</v>
      </c>
      <c r="FJ27" s="205">
        <f>IFERROR(__xludf.DUMMYFUNCTION("PRODUCT(
   MAP(
     IF($F27=""Physical"", K$10:ED$10, IF($F27=""Magic"", K$11:ED$11, K$12:ED$12)),
     IF($F27=""Physical"", K$18:ED$18, IF($F27=""Magic"", K$19:ED$19, K$20:ED$20)),
     K$3:ED$3,
     K$5:ED$5,
     K$17:ED$17,
     K27:ED27,
     LAM"&amp;"BDA(
       mitigation,
       enhance,
       job,
       assign,
       precondition,
       check,
       IF(
         OR(AND(check=TRUE, REGEXMATCH(assign, ""SELF""), job=""ガンブレイカー""), AND(check=Option!$H$13, REGEXMATCH(assign, ""SINGLE_PARTY""))),
  "&amp;"       IF(
           OR(ARRAYFORMULA((IF(precondition="""", FALSE, REGEXMATCH($K$4:$ED$4, precondition))) * (K27:ED27=TRUE))),
           enhance,
           mitigation
         ),
         1
       )
     )
   )
 ) * EE27"),1.0)</f>
        <v>1</v>
      </c>
      <c r="FK27" s="206">
        <f t="shared" si="12"/>
        <v>0</v>
      </c>
      <c r="FL27" s="205">
        <f>IFERROR(__xludf.DUMMYFUNCTION("PRODUCT(
   MAP(
     K$3:ED$3,
     K$14:ED$14,
     K$13:ED$13,
     K27:ED27,
     LAMBDA(
       job,
       buff,
       target,
       check,
       IF(
         OR(AND(check=TRUE, REGEXMATCH(target, ""SELF_AFFECTED_ALL""), job=""ガンブレイカー""), AND(che"&amp;"ck=Option!$H$13, REGEXMATCH(target, ""SINGLE_AFFECTED_ALL""))),
         buff,
         1
       )
     )
   )
 )"),1.0)</f>
        <v>1</v>
      </c>
      <c r="FM27" s="206">
        <f>IFERROR(__xludf.DUMMYFUNCTION("SUM(
   MAP(
     K$3:ED$3,
     K$7:ED$7,
     K$15:ED$15,
     K$16:ED$16,
     K$21:ED$21,
     K$5:ED$5,
     K$17:ED$17,
     K27:ED27,
     LAMBDA(
       job,
       abillity,
       buff,
       barrier,
       enhance,
       assign,
       preco"&amp;"ndition,
       check,
       IF(
         OR(AND(check=TRUE, REGEXMATCH(assign, ""SELF""), job=""ガンブレイカー""), AND(check=Option!$H$13, REGEXMATCH(assign, ""SINGLE_PARTY""))),
         IF(
           OR(ARRAYFORMULA((IF(precondition="""", FALSE, REGEXMATCH("&amp;"$K$4:$ED$4, precondition))) * (K27:ED27=TRUE))),
           enhance,
           IF(barrier="""", buff, barrier)
         ),
         0
       ) *
       SWITCH(
         job,
         ""暗黒騎士"", FN$24,
         ""白魔道士"", EF27 * EH27 * FL27 * IF(abillity, 1"&amp;", EG27 * EI27) * (Option!$D$22 * 0.81 / 100),
         ""占星術師"", EF27 * EJ27 * FL27 * IF(abillity, 1, EG27 * EK27) * (Option!$D$23 * 0.81 / 100),
         ""学者"", EF27 * EL27 * FL27 * IF(abillity, 1, EG27 * EM27) * (Option!$D$24 * 0.81 / 100),
         """&amp;"賢者"", EF27 * EN27 * FL27 * IF(abillity, 1, EG27 * EO27) * (Option!$D$25 * 0.81 / 100),
         1
       )
     )
   )
 ) + EQ27"),0.0)</f>
        <v>0</v>
      </c>
      <c r="FN27" s="206">
        <f t="shared" si="13"/>
        <v>0</v>
      </c>
      <c r="FO27" s="213"/>
    </row>
    <row r="28">
      <c r="B28" s="229"/>
      <c r="C28" s="217">
        <f t="shared" si="1"/>
        <v>0</v>
      </c>
      <c r="D28" s="236"/>
      <c r="E28" s="244"/>
      <c r="F28" s="167"/>
      <c r="G28" s="168" t="str">
        <f t="shared" si="2"/>
        <v/>
      </c>
      <c r="H28" s="169"/>
      <c r="I28" s="169"/>
      <c r="J28" s="169"/>
      <c r="K28" s="170" t="b">
        <v>0</v>
      </c>
      <c r="L28" s="170" t="b">
        <v>0</v>
      </c>
      <c r="M28" s="170" t="b">
        <v>0</v>
      </c>
      <c r="N28" s="171" t="s">
        <v>1070</v>
      </c>
      <c r="O28" s="172" t="b">
        <v>0</v>
      </c>
      <c r="P28" s="173" t="b">
        <v>0</v>
      </c>
      <c r="Q28" s="173" t="b">
        <v>0</v>
      </c>
      <c r="R28" s="173" t="b">
        <v>0</v>
      </c>
      <c r="S28" s="174" t="b">
        <v>0</v>
      </c>
      <c r="T28" s="175" t="b">
        <v>0</v>
      </c>
      <c r="U28" s="173" t="b">
        <v>0</v>
      </c>
      <c r="V28" s="171" t="s">
        <v>1070</v>
      </c>
      <c r="W28" s="172" t="b">
        <v>0</v>
      </c>
      <c r="X28" s="173" t="b">
        <v>0</v>
      </c>
      <c r="Y28" s="173" t="b">
        <v>0</v>
      </c>
      <c r="Z28" s="173" t="b">
        <v>0</v>
      </c>
      <c r="AA28" s="174" t="b">
        <v>0</v>
      </c>
      <c r="AB28" s="174" t="b">
        <v>0</v>
      </c>
      <c r="AC28" s="175" t="b">
        <v>0</v>
      </c>
      <c r="AD28" s="173" t="b">
        <v>0</v>
      </c>
      <c r="AE28" s="176" t="s">
        <v>1070</v>
      </c>
      <c r="AF28" s="171" t="s">
        <v>1070</v>
      </c>
      <c r="AG28" s="177">
        <f>IFERROR(__xludf.DUMMYFUNCTION("IF(
  ISNUMBER(AG27),
  MIN(MAX(
    AG27
    + MAX(
      ROUNDDOWN(($D28 - MAX(IFERROR(FILTER($D$24:$D27, AG$24:AG27 &lt;&gt; AF$6, AG$23:AG26 = AF$6), 0))) * (60 * 60 * 24) / AF$9) - ROUNDDOWN(($D27 - MAX(IFERROR(FILTER($D$23:$D26, AG$23:AG26 &lt;&gt; AF$6, AG$22:"&amp;"AG25 = AF$6), 0))) * (60 * 60 * 24) / 60),
      0
    )
    - COUNTIF(AF28, ""&lt;&gt;-""),
  0), AF$6),
  AF$6 - COUNTIF(AF28, ""&lt;&gt;-"")
)"),2.0)</f>
        <v>2</v>
      </c>
      <c r="AH28" s="173" t="b">
        <v>0</v>
      </c>
      <c r="AI28" s="173" t="b">
        <v>0</v>
      </c>
      <c r="AJ28" s="173" t="b">
        <v>0</v>
      </c>
      <c r="AK28" s="174" t="b">
        <v>0</v>
      </c>
      <c r="AL28" s="175" t="b">
        <v>0</v>
      </c>
      <c r="AM28" s="173" t="b">
        <v>0</v>
      </c>
      <c r="AN28" s="171" t="s">
        <v>1070</v>
      </c>
      <c r="AO28" s="173" t="b">
        <v>0</v>
      </c>
      <c r="AP28" s="173" t="b">
        <v>0</v>
      </c>
      <c r="AQ28" s="173" t="b">
        <v>0</v>
      </c>
      <c r="AR28" s="174" t="b">
        <v>0</v>
      </c>
      <c r="AS28" s="178" t="b">
        <v>0</v>
      </c>
      <c r="AT28" s="179" t="b">
        <v>0</v>
      </c>
      <c r="AU28" s="180" t="b">
        <v>0</v>
      </c>
      <c r="AV28" s="180" t="b">
        <v>0</v>
      </c>
      <c r="AW28" s="180" t="b">
        <v>0</v>
      </c>
      <c r="AX28" s="180" t="b">
        <v>0</v>
      </c>
      <c r="AY28" s="181" t="s">
        <v>1070</v>
      </c>
      <c r="AZ28" s="181" t="s">
        <v>1070</v>
      </c>
      <c r="BA28" s="184">
        <f>IFERROR(__xludf.DUMMYFUNCTION("IF(
  ISNUMBER(BA27),
  MIN(MAX(
    BA27
    + MAX(
      ROUNDDOWN((D28 - MAX(IFERROR(FILTER(D$24:D27, BA$24:BA27 &lt;&gt; AZ$6, BA$23:BA26 = AZ$6), 0))) * (60 * 60 * 24) / AZ$9) - ROUNDDOWN((D27 - MAX(IFERROR(FILTER(D$23:D26, BA$23:BA26 &lt;&gt; AZ$6, BA$22:BA25 ="&amp;" AZ$6), 0))) * (60 * 60 * 24) / AZ$9),
      0
    )
    - COUNTIF(AZ28, ""&lt;&gt;-""),
  0), AZ$6),
  AZ$6 - COUNTIF(AZ28, ""&lt;&gt;-"")
)"),2.0)</f>
        <v>2</v>
      </c>
      <c r="BB28" s="181" t="s">
        <v>1070</v>
      </c>
      <c r="BC28" s="183">
        <f>IFERROR(__xludf.DUMMYFUNCTION("IF(
  ISNUMBER(BC27),
  MIN(MAX(
    BC27
    + MAX(
      ROUNDDOWN(($D28 - MAX(IFERROR(FILTER($D$24:$D27, BC$24:BC27 &lt;&gt; BB$6, BC$23:BC26 = BB$6), 0))) * (60 * 60 * 24) / BB$9) - ROUNDDOWN(($D27 - MAX(IFERROR(FILTER($D$23:$D26, BC$23:BC26 &lt;&gt; BB$6, BC$22:"&amp;"BC25 = BB$6), 0))) * (60 * 60 * 24) / 60),
      0
    )
    - COUNTIF(BB28, ""&lt;&gt;-""),
  0), BB$6),
  BB$6 - COUNTIF(BB28, ""&lt;&gt;-"")
)"),2.0)</f>
        <v>2</v>
      </c>
      <c r="BD28" s="181" t="s">
        <v>1070</v>
      </c>
      <c r="BE28" s="178" t="b">
        <v>0</v>
      </c>
      <c r="BF28" s="180" t="b">
        <v>0</v>
      </c>
      <c r="BG28" s="180" t="b">
        <v>0</v>
      </c>
      <c r="BH28" s="180" t="b">
        <v>0</v>
      </c>
      <c r="BI28" s="180" t="b">
        <v>0</v>
      </c>
      <c r="BJ28" s="180" t="b">
        <v>0</v>
      </c>
      <c r="BK28" s="180" t="b">
        <v>0</v>
      </c>
      <c r="BL28" s="180" t="b">
        <v>0</v>
      </c>
      <c r="BM28" s="180" t="b">
        <v>0</v>
      </c>
      <c r="BN28" s="180" t="b">
        <v>0</v>
      </c>
      <c r="BO28" s="181" t="s">
        <v>1070</v>
      </c>
      <c r="BP28" s="181" t="s">
        <v>1070</v>
      </c>
      <c r="BQ28" s="181" t="s">
        <v>1070</v>
      </c>
      <c r="BR28" s="181" t="s">
        <v>1070</v>
      </c>
      <c r="BS28" s="181" t="s">
        <v>1070</v>
      </c>
      <c r="BT28" s="184">
        <f>IFERROR(__xludf.DUMMYFUNCTION("IF(
  ISNUMBER(BT27),
  MIN(MAX(
    BT27
    + MAX(
      ROUNDDOWN((D28 - MAX(IFERROR(FILTER(D$24:D27, BT$24:BT27 &lt;&gt; BS$6, BT$23:BT26 = BS$6), 0))) * (60 * 60 * 24) / BS$9) - ROUNDDOWN((D27 - MAX(IFERROR(FILTER(D$23:D26, BT$23:BT26 &lt;&gt; BS$6, BT$22:BT25 ="&amp;" BS$6), 0))) * (60 * 60 * 24) / BS$9),
      0
    )
    - COUNTIF(BS28, ""&lt;&gt;-""),
  0), BS$6),
  BS$6 - COUNTIF(BS28, ""&lt;&gt;-"")
)"),3.0)</f>
        <v>3</v>
      </c>
      <c r="BU28" s="181" t="s">
        <v>1070</v>
      </c>
      <c r="BV28" s="181" t="s">
        <v>1070</v>
      </c>
      <c r="BW28" s="184">
        <f>IFERROR(__xludf.DUMMYFUNCTION("IF(
  ISNUMBER(BW27),
  MIN(MAX(
    BW27
    + MAX(
      ROUNDDOWN((D28 - MAX(IFERROR(FILTER(D$24:D27, BW$24:BW27 &lt;&gt; BV$6, BW$23:BW26 = BV$6), 0))) * (60 * 60 * 24) / BV$9) - ROUNDDOWN((D27 - MAX(IFERROR(FILTER(D$23:D26, BW$23:BW26 &lt;&gt; BV$6, BW$22:BW25 ="&amp;" BV$6), 0))) * (60 * 60 * 24) / BV$9),
      0
    )
    - COUNTIF(BV28, ""&lt;&gt;-""),
  0), BV$6),
  BV$6 - COUNTIF(BV28, ""&lt;&gt;-"")
)"),2.0)</f>
        <v>2</v>
      </c>
      <c r="BX28" s="185" t="s">
        <v>1070</v>
      </c>
      <c r="BY28" s="178" t="b">
        <v>0</v>
      </c>
      <c r="BZ28" s="180" t="b">
        <v>0</v>
      </c>
      <c r="CA28" s="180" t="b">
        <v>0</v>
      </c>
      <c r="CB28" s="180" t="b">
        <v>0</v>
      </c>
      <c r="CC28" s="180" t="b">
        <v>0</v>
      </c>
      <c r="CD28" s="180" t="b">
        <v>0</v>
      </c>
      <c r="CE28" s="180" t="b">
        <v>0</v>
      </c>
      <c r="CF28" s="180" t="b">
        <v>0</v>
      </c>
      <c r="CG28" s="180" t="b">
        <v>0</v>
      </c>
      <c r="CH28" s="180" t="b">
        <v>0</v>
      </c>
      <c r="CI28" s="180" t="b">
        <v>0</v>
      </c>
      <c r="CJ28" s="180" t="b">
        <v>0</v>
      </c>
      <c r="CK28" s="180" t="b">
        <v>0</v>
      </c>
      <c r="CL28" s="180" t="b">
        <v>0</v>
      </c>
      <c r="CM28" s="181" t="s">
        <v>1070</v>
      </c>
      <c r="CN28" s="181" t="s">
        <v>1070</v>
      </c>
      <c r="CO28" s="181" t="s">
        <v>1070</v>
      </c>
      <c r="CP28" s="181" t="s">
        <v>1070</v>
      </c>
      <c r="CQ28" s="185" t="s">
        <v>1070</v>
      </c>
      <c r="CR28" s="180" t="b">
        <v>0</v>
      </c>
      <c r="CS28" s="186" t="str">
        <f t="shared" si="14"/>
        <v>◇◇◇</v>
      </c>
      <c r="CT28" s="178" t="b">
        <v>0</v>
      </c>
      <c r="CU28" s="180" t="b">
        <v>0</v>
      </c>
      <c r="CV28" s="180" t="b">
        <v>0</v>
      </c>
      <c r="CW28" s="180" t="b">
        <v>0</v>
      </c>
      <c r="CX28" s="180" t="b">
        <v>0</v>
      </c>
      <c r="CY28" s="180" t="b">
        <v>0</v>
      </c>
      <c r="CZ28" s="180" t="b">
        <v>0</v>
      </c>
      <c r="DA28" s="180" t="b">
        <v>0</v>
      </c>
      <c r="DB28" s="180" t="b">
        <v>0</v>
      </c>
      <c r="DC28" s="180" t="b">
        <v>0</v>
      </c>
      <c r="DD28" s="181" t="s">
        <v>1070</v>
      </c>
      <c r="DE28" s="181" t="s">
        <v>1070</v>
      </c>
      <c r="DF28" s="181" t="s">
        <v>1070</v>
      </c>
      <c r="DG28" s="185" t="s">
        <v>1070</v>
      </c>
      <c r="DH28" s="180" t="b">
        <v>0</v>
      </c>
      <c r="DI28" s="187" t="str">
        <f>IFERROR(__xludf.DUMMYFUNCTION("SWITCH(
  IF(
    ISTEXT(DI27),
    IF (
      FIND(""○"", DI27&amp;""○"") &gt; 3,
      3,
      FIND(""○"", DI27&amp;""○"")
      + MAX(
        ROUNDDOWN(($D28 - MAX(IFERROR(FILTER(D$24:D27, DI$24:DI27 &lt;&gt; ""●●●"", DI$23:DI26 = ""●●●""), 0))) * (60 * 60 * 24) / 20"&amp;") - ROUNDDOWN(($D27 - MAX(IFERROR(FILTER(D$23:D26, DI$23:DI26 &lt;&gt; ""●●●"", DI$22:DI25 = ""●●●""), 0))) * (60 * 60 * 24) / 20),
        0
      ) - 1
    ) - COUNTIFS(CU28, ""=TRUE"", CU27, ""&lt;&gt;TRUE"") - COUNTIF(CZ28, ""=TRUE"") - COUNTIF({DD28,DE28}, ""&lt;&gt;-"&amp;""") + COUNTIF(DH28, ""=TRUE""),
    3
  ),
  0, ""○○○"", 1, ""●○○"", 2, ""●●○"", 3, ""●●●"", 4, ""●●●"", ""○○○""
)"),"●●●")</f>
        <v>●●●</v>
      </c>
      <c r="DJ28" s="188" t="b">
        <v>0</v>
      </c>
      <c r="DK28" s="189" t="b">
        <v>0</v>
      </c>
      <c r="DL28" s="190" t="b">
        <v>0</v>
      </c>
      <c r="DM28" s="190" t="b">
        <v>0</v>
      </c>
      <c r="DN28" s="190" t="b">
        <v>0</v>
      </c>
      <c r="DO28" s="190" t="b">
        <v>0</v>
      </c>
      <c r="DP28" s="190" t="b">
        <v>0</v>
      </c>
      <c r="DQ28" s="191" t="b">
        <v>0</v>
      </c>
      <c r="DR28" s="192" t="b">
        <v>0</v>
      </c>
      <c r="DS28" s="191" t="b">
        <v>0</v>
      </c>
      <c r="DT28" s="192" t="b">
        <v>0</v>
      </c>
      <c r="DU28" s="191" t="b">
        <v>0</v>
      </c>
      <c r="DV28" s="193" t="s">
        <v>1070</v>
      </c>
      <c r="DW28" s="194" t="b">
        <v>0</v>
      </c>
      <c r="DX28" s="194" t="b">
        <v>0</v>
      </c>
      <c r="DY28" s="195" t="b">
        <v>0</v>
      </c>
      <c r="DZ28" s="196" t="b">
        <v>0</v>
      </c>
      <c r="EA28" s="195" t="b">
        <v>0</v>
      </c>
      <c r="EB28" s="197" t="b">
        <v>0</v>
      </c>
      <c r="EC28" s="197" t="b">
        <v>0</v>
      </c>
      <c r="ED28" s="212" t="b">
        <v>0</v>
      </c>
      <c r="EE28" s="199">
        <f>IFERROR(__xludf.DUMMYFUNCTION("IFERROR(
   PRODUCT(
     MAP(
       INDEX(TRANSPOSE(UNIQUE(TRANSPOSE(FILTER({IF($F28=""Physical"", K$10:ED$10, IF($F28=""Magic"", K$11:ED$11, K$12:ED$12));K$4:ED$4;K28:ED28}, K28:ED28=TRUE)))), 1, 0),
       INDEX(TRANSPOSE(UNIQUE(TRANSPOSE(FILTER({IF($"&amp;"F28=""Physical"", K$18:ED$18, IF($F28=""Magic"", K$19:ED$19, K$20:ED$20));K$4:ED$4;K28:ED28}, K28:ED28=TRUE)))), 1, 0),
       INDEX(TRANSPOSE(UNIQUE(TRANSPOSE(FILTER({K$5:ED$5;K$4:ED$4;K28:ED28}, K28:ED28=TRUE)))), 1, 0),
       INDEX(TRANSPOSE(UNIQUE(TR"&amp;"ANSPOSE(FILTER({K$17:ED$17;K$4:ED$4;K28:ED28}, K28:ED28=TRUE)))), 1, 0),
       LAMBDA(
         mitigation,
         enhance,
         assign,
         precondition,
         IF(
           REGEXMATCH(assign, ""RANGE_PARTY|SINGLE_ENEMY|RANGE_ENEMY""),
  "&amp;"         IF(
             OR(ARRAYFORMULA((IF(precondition="""", FALSE, REGEXMATCH(K$4:ED$4, precondition))) * (K28:ED28=TRUE))),
             IF(ISNUMBER(enhance), enhance, 1),
             IF(ISNUMBER(mitigation), mitigation, 1)
           ),
          "&amp;" 1
         )
       )
     )
   ),
   1
 )"),1.0)</f>
        <v>1</v>
      </c>
      <c r="EF28" s="200">
        <f>IFERROR(__xludf.DUMMYFUNCTION("PRODUCT(
   MAP(
     K$14:ED$14,
     K$13:ED$13,
     K28:ED28,
     LAMBDA(
       buff,
       target,
       check,
       IF(
         AND(check=TRUE, REGEXMATCH(target, ""RANGE_AFFECTED_ALL|RANGE_EFFECTED_ALL""), ISNUMBER(buff)),
         buff,
   "&amp;"      1
       )
     )
   )
 )"),1.0)</f>
        <v>1</v>
      </c>
      <c r="EG28" s="200">
        <f>IFERROR(__xludf.DUMMYFUNCTION("PRODUCT(
   MAP(
     K$14:ED$14,
     K$13:ED$13,
     K28:ED28,
     LAMBDA(
       buff,
       target,
       check,
       IF(
         AND(check=TRUE, REGEXMATCH(target, ""RANGE_AFFECTED_GCD|RANGE_EFFECTED_GCD""), ISNUMBER(buff)),
         buff,
   "&amp;"      1
       )
     )
   )
 )"),1.0)</f>
        <v>1</v>
      </c>
      <c r="EH28" s="200">
        <f>IFERROR(__xludf.DUMMYFUNCTION("PRODUCT(
   MAP(
     K$3:ED$3,
     K$14:ED$14,
     K$13:ED$13,
     K28:ED28,
     LAMBDA(
       job,
       buff,
       target,
       check,
       IF(
         AND(check=TRUE, REGEXMATCH(target, ""SELF_EFFECTED_ALL""), ISNUMBER(buff), job=""白魔道士"""&amp;"),
         buff,
         1
       )
     )
   )
 )"),1.0)</f>
        <v>1</v>
      </c>
      <c r="EI28" s="200">
        <f>IFERROR(__xludf.DUMMYFUNCTION("PRODUCT(
   MAP(
     K$3:ED$3,
     K$14:ED$14,
     K$13:ED$13,
     K28:ED28,
     LAMBDA(
       job,
       buff,
       target,
       check,
       IF(
         AND(check=TRUE, REGEXMATCH(target, ""SELF_EFFECTED_GCD""), ISNUMBER(buff), job=""白魔道士"""&amp;"),
         buff,
         1
       )
     )
   )
 )"),1.0)</f>
        <v>1</v>
      </c>
      <c r="EJ28" s="200">
        <f>IFERROR(__xludf.DUMMYFUNCTION("PRODUCT(
   MAP(
     K$3:ED$3,
     K$14:ED$14,
     K$13:ED$13,
     K28:ED28,
     LAMBDA(
       job,
       buff,
       target,
       check,
       IF(
         AND(check=TRUE, REGEXMATCH(target, ""SELF_EFFECTED_ALL""), ISNUMBER(buff), job=""占星術師"""&amp;"),
         buff,
         1
       )
     )
   )
 )"),1.0)</f>
        <v>1</v>
      </c>
      <c r="EK28" s="200">
        <f>IFERROR(__xludf.DUMMYFUNCTION("PRODUCT(
   MAP(
     K$3:ED$3,
     K$14:ED$14,
     K$13:ED$13,
     K28:ED28,
     LAMBDA(
       job,
       buff,
       target,
       check,
       IF(
         AND(check=TRUE, REGEXMATCH(target, ""SELF_EFFECTED_GCD""), ISNUMBER(buff), job=""占星術師"""&amp;"),
         buff,
         1
       )
     )
   )
 )"),1.0)</f>
        <v>1</v>
      </c>
      <c r="EL28" s="200">
        <f>IFERROR(__xludf.DUMMYFUNCTION("PRODUCT(
   MAP(
     K$3:ED$3,
     K$14:ED$14,
     K$13:ED$13,
     K28:ED28,
     LAMBDA(
       job,
       buff,
       target,
       check,
       IF(
         AND(check=TRUE, REGEXMATCH(target, ""SELF_EFFECTED_ALL""), ISNUMBER(buff), job=""学者""),"&amp;"
         buff,
         1
       )
     )
   )
 )"),1.0)</f>
        <v>1</v>
      </c>
      <c r="EM28" s="200">
        <f>IFERROR(__xludf.DUMMYFUNCTION("PRODUCT(
   MAP(
     K$3:ED$3,
     K$14:ED$14,
     K$13:ED$13,
     K28:ED28,
     LAMBDA(
       job,
       buff,
       target,
       check,
       IF(
         AND(check=TRUE, REGEXMATCH(target, ""SELF_EFFECTED_GCD""), ISNUMBER(buff), job=""学者""),"&amp;"
         buff,
         1
       )
     )
   )
 )"),1.0)</f>
        <v>1</v>
      </c>
      <c r="EN28" s="200">
        <f>IFERROR(__xludf.DUMMYFUNCTION("PRODUCT(
   MAP(
     K$3:ED$3,
     K$14:ED$14,
     K$13:ED$13,
     K28:ED28,
     LAMBDA(
       job,
       buff,
       target,
       check,
       IF(
         AND(check=TRUE, REGEXMATCH(target, ""SELF_EFFECTED_ALL""), ISNUMBER(buff), job=""賢者""),"&amp;"
         buff,
         1
       )
     )
   )
 )"),1.0)</f>
        <v>1</v>
      </c>
      <c r="EO28" s="200">
        <f>IFERROR(__xludf.DUMMYFUNCTION("PRODUCT(
   MAP(
     K$3:ED$3,
     K$14:ED$14,
     K$13:ED$13,
     K28:ED28,
     LAMBDA(
       job,
       buff,
       target,
       check,
       IF(
         AND(check=TRUE, REGEXMATCH(target, ""SELF_EFFECTED_GCD""), ISNUMBER(buff), job=""賢者""),"&amp;"
         buff,
         1
       )
     )
   )
 )"),1.0)</f>
        <v>1</v>
      </c>
      <c r="EP28" s="201">
        <f t="shared" si="3"/>
        <v>0</v>
      </c>
      <c r="EQ28" s="201">
        <f>IFERROR(__xludf.DUMMYFUNCTION("SUM(
   MAP(
     K$4:ED$4,
     K$3:ED$3,
     K$7:ED$7,
     K$15:ED$15,
     K$16:ED$16,
     K$21:ED$21,
     K$5:ED$5,
     K$17:ED$17,
     K28:ED28,
     LAMBDA(
       name,
       job,
       abillity,
       buff,
       barrier,
       enhance,"&amp;"
       assign,
       precondition,
       check,
       SWITCH(
         name,
         ""シェイクオフ"", IF(check=TRUE, buff + (0.02 * COUNTIF(ARRAYFORMULA((REGEXMATCH($K$4:$ED$4, ""スリル・オブ・バトル|ヴェンジェンス|原初の血気|ダムネーション"")) * (K28:ED28=TRUE)), 1)), 0),
         "&amp;"""インプロビゼーションフィニッシュ(踊りの激情0)"", IF(ISNUMBER(check), INDEX(Skill!$AJ:$AJ, MATCH(SUBSTITUTE(DV$4, 0, check), Skill!$C:$C, 0)), 0),
         IF(
           AND(check=TRUE, REGEXMATCH(assign, ""RANGE_PARTY"")),
           IF(
             OR(ARRAYFORMULA((IF(pr"&amp;"econdition="""", FALSE, REGEXMATCH($K$4:$ED$4, precondition))) * (K28:ED28=TRUE))),
             enhance,
             IF(barrier="""", buff, barrier)
           ),
           0
         )
       ) *
       SWITCH(
         job,
         ""ナイト"", EY$24,
 "&amp;"        ""戦士"", FD$24,
         ""踊り子"", ET$24,
         ""ピクトマンサー"", ET$24,
         ""白魔道士"", EF28 * EH28 * IF(abillity, 1, EG28 * EI28) * (Option!$D$22 * 0.81 / 100),
         ""占星術師"", EF28 * EJ28 * IF(abillity, 1, EG28 * EK28) * (Option!$D$23 * 0.81 "&amp;"/ 100),
         ""学者"", EF28 * EL28 * IF(abillity, 1, EG28 * EM28) * (Option!$D$24 * 0.81 / 100),
         ""賢者"", EF28 * EN28 * IF(abillity, 1, EG28 * EO28) * (Option!$D$25 * 0.81 / 100),
         1
       )
     )
   )
 )"),0.0)</f>
        <v>0</v>
      </c>
      <c r="ER28" s="202">
        <f t="shared" si="4"/>
        <v>0</v>
      </c>
      <c r="ES28" s="203">
        <f t="shared" si="5"/>
        <v>0</v>
      </c>
      <c r="ET28" s="204" t="str">
        <f>IFERROR(__xludf.DUMMYFUNCTION("IFS(
  EP28 &gt; $ET$24 + EQ28,
  SPARKLINE({ 1, 0 }, {""charttype"",""bar"";""max"", 1;""color1"",Option!$D$30;""color2"",Option!$D$30}),
  EP28 &lt; EQ28,
  SPARKLINE({EQ28 - EP28, $ET$24 - (EQ28 - EP28)}, {""charttype"",""bar"";""max"",$ET$24;""color1"",Opti"&amp;"on!$D$28;""color2"",Option!$D$29}),
  EP28 &gt;= EQ28,
  SPARKLINE({$ET$24 + EQ28 - EP28,EP28 - EQ28}, {""charttype"",""bar"";""max"",$ET$24;""color1"",Option!$D$29;""color2"",Option!$D$30})
)"),"")</f>
        <v/>
      </c>
      <c r="EU28" s="205">
        <f>IFERROR(__xludf.DUMMYFUNCTION("PRODUCT(
   MAP(
     IF($F28=""Physical"", K$10:ED$10, IF($F28=""Magic"", K$11:ED$11, K$12:ED$12)),
     IF($F28=""Physical"", K$18:ED$18, IF($F28=""Magic"", K$19:ED$19, K$20:ED$20)),
     K$3:ED$3,
     K$5:ED$5,
     K$17:ED$17,
     K28:ED28,
     LAM"&amp;"BDA(
       mitigation,
       enhance,
       job,
       assign,
       precondition,
       check,
       IF(
         OR(AND(check=TRUE, REGEXMATCH(assign, ""SELF""), job=""ナイト""), AND(check=Option!$E$13, REGEXMATCH(assign, ""SINGLE_PARTY""))),
      "&amp;"   IF(
           OR(ARRAYFORMULA((IF(precondition="""", FALSE, REGEXMATCH($K$4:$ED$4, precondition))) * (K28:ED28=TRUE))),
           enhance,
           mitigation
         ),
         1
       )
     )
   )
 ) * EE28"),1.0)</f>
        <v>1</v>
      </c>
      <c r="EV28" s="206">
        <f t="shared" si="6"/>
        <v>0</v>
      </c>
      <c r="EW28" s="205">
        <f>IFERROR(__xludf.DUMMYFUNCTION("PRODUCT(
   MAP(
     K$3:ED$3,
     K$14:ED$14,
     K$13:ED$13,
     K28:ED28,
     LAMBDA(
       job,
       buff,
       target,
       check,
       IF(
         OR(AND(check=TRUE, REGEXMATCH(target, ""SELF_AFFECTED_ALL""), job=""ナイト""), AND(check=O"&amp;"ption!$E$13, REGEXMATCH(target, ""SINGLE_AFFECTED_ALL""))),
         buff,
         1
       )
     )
   )
 )"),1.0)</f>
        <v>1</v>
      </c>
      <c r="EX28" s="206">
        <f>IFERROR(__xludf.DUMMYFUNCTION("SUM(
   MAP(
     K$3:ED$3,
     K$7:ED$7,
     K$15:ED$15,
     K$16:ED$16,
     K$21:ED$21,
     K$5:ED$5,
     K$17:ED$17,
     K28:ED28,
     LAMBDA(
       job,
       abillity,
       buff,
       barrier,
       enhance,
       assign,
       preco"&amp;"ndition,
       check,
       IF(
         OR(AND(check=TRUE, REGEXMATCH(assign, ""SELF""), job=""ナイト""), AND(check=Option!$E$13, REGEXMATCH(assign, ""SINGLE_PARTY""))),
         IF(
           OR(ARRAYFORMULA((IF(precondition="""", FALSE, REGEXMATCH($K$4"&amp;":$ED$4, precondition))) * (K28:ED28=TRUE))),
           enhance,
           IF(barrier="""", buff, barrier)
         ),
         0
       ) *
       SWITCH(
         job,
         ""暗黒騎士"", EY$24,
         ""白魔道士"", EF28 * EH28 * EW28 * IF(abillity, 1, EG"&amp;"28 * EI28) * (Option!$D$22 * 0.81 / 100),
         ""占星術師"", EF28 * EJ28 * EW28 * IF(abillity, 1, EG28 * EK28) * (Option!$D$23 * 0.81 / 100),
         ""学者"", EF28 * EL28 * EW28 * IF(abillity, 1, EG28 * EM28) * (Option!$D$24 * 0.81 / 100),
         ""賢者"""&amp;", EF28 * EN28 * EW28 * IF(abillity, 1, EG28 * EO28) * (Option!$D$25 * 0.81 / 100),
         1
       )
     )
   )
 ) + EQ28"),0.0)</f>
        <v>0</v>
      </c>
      <c r="EY28" s="206">
        <f t="shared" si="7"/>
        <v>0</v>
      </c>
      <c r="EZ28" s="205">
        <f>IFERROR(__xludf.DUMMYFUNCTION("PRODUCT(
   MAP(
     IF($F28=""Physical"", K$10:ED$10, IF($F28=""Magic"", K$11:ED$11, K$12:ED$12)),
     IF($F28=""Physical"", K$18:ED$18, IF($F28=""Magic"", K$19:ED$19, K$20:ED$20)),
     K$3:ED$3,
     K$5:ED$5,
     K$17:ED$17,
     K28:ED28,
     LAM"&amp;"BDA(
       mitigation,
       enhance,
       job,
       assign,
       precondition,
       check,
       IF(
         OR(AND(check=TRUE, REGEXMATCH(assign, ""SELF""), job=""戦士""), AND(check=Option!$F$13, REGEXMATCH(assign, ""SINGLE_PARTY""))),
       "&amp;"  IF(
           OR(ARRAYFORMULA((IF(precondition="""", FALSE, REGEXMATCH($K$4:$ED$4, precondition))) * (K28:ED28=TRUE))),
           enhance,
           mitigation
         ),
         1
       )
     )
   )
 ) * EE28"),1.0)</f>
        <v>1</v>
      </c>
      <c r="FA28" s="206">
        <f t="shared" si="8"/>
        <v>0</v>
      </c>
      <c r="FB28" s="205">
        <f>IFERROR(__xludf.DUMMYFUNCTION("PRODUCT(
   MAP(
     K$3:ED$3,
     K$14:ED$14,
     K$13:ED$13,
     K28:ED28,
     LAMBDA(
       job,
       buff,
       target,
       check,
       IF(
         OR(AND(check=TRUE, REGEXMATCH(target, ""SELF_AFFECTED_ALL""), job=""戦士""), AND(check=Op"&amp;"tion!$F$13, REGEXMATCH(target, ""SINGLE_AFFECTED_ALL""))),
         buff,
         1
       )
     )
   )
 )"),1.0)</f>
        <v>1</v>
      </c>
      <c r="FC28" s="206">
        <f>IFERROR(__xludf.DUMMYFUNCTION("SUM(
   MAP(
     K$3:ED$3,
     K$7:ED$7,
     K$15:ED$15,
     K$16:ED$16,
     K$21:ED$21,
     K$5:ED$5,
     K$17:ED$17,
     K28:ED28,
     LAMBDA(
       job,
       abillity,
       buff,
       barrier,
       enhance,
       assign,
       preco"&amp;"ndition,
       check,
       IF(
         OR(AND(check=TRUE, REGEXMATCH(assign, ""SELF""), job=""戦士""), AND(check=Option!$F$13, REGEXMATCH(assign, ""SINGLE_PARTY""))),
         IF(
           OR(ARRAYFORMULA((IF(precondition="""", FALSE, REGEXMATCH($K$4:"&amp;"$ED$4, precondition))) * (K28:ED28=TRUE))),
           enhance,
           IF(barrier="""", buff, barrier)
         ),
         0
       ) *
       SWITCH(
         job,
         ""暗黒騎士"", FD$24,
         ""白魔道士"", EF28 * EH28 * FB28 * IF(abillity, 1, EG2"&amp;"8 * EI28) * (Option!$D$22 * 0.81 / 100),
         ""占星術師"", EF28 * EJ28 * FFB28 * IF(abillity, 1, EG28 * EK28) * (Option!$D$23 * 0.81 / 100),
         ""学者"", EF28 * EL28 * FB28 * IF(abillity, 1, EG28 * EM28) * (Option!$D$24 * 0.81 / 100),
         ""賢者"""&amp;", EF28 * EN28 * FB28 * IF(abillity, 1, EG28 * EO28) * (Option!$D$25 * 0.81 / 100),
         1
       )
     )
   )
 ) + EQ28"),0.0)</f>
        <v>0</v>
      </c>
      <c r="FD28" s="206">
        <f t="shared" si="9"/>
        <v>0</v>
      </c>
      <c r="FE28" s="205">
        <f>IFERROR(__xludf.DUMMYFUNCTION("PRODUCT(
   MAP(
     IF($F28=""Physical"", K$10:ED$10, IF($F28=""Magic"", K$11:ED$11, K$12:ED$12)),
     IF($F28=""Physical"", K$18:ED$18, IF($F28=""Magic"", K$19:ED$19, K$20:ED$20)),
     K$3:ED$3,
     K$5:ED$5,
     K$17:ED$17,
     K28:ED28,
     LAM"&amp;"BDA(
       mitigation,
       enhance,
       job,
       assign,
       precondition,
       check,
       IF(
         OR(AND(check=TRUE, REGEXMATCH(assign, ""SELF""), job=""暗黒騎士""), AND(check=Option!$G$13, REGEXMATCH(assign, ""SINGLE_PARTY""))),
     "&amp;"    IF(
           OR(ARRAYFORMULA((IF(precondition="""", FALSE, REGEXMATCH($K$4:$ED$4, precondition))) * (K28:ED28=TRUE))),
           enhance,
           mitigation
         ),
         1
       )
     )
   )
 ) * EE28"),1.0)</f>
        <v>1</v>
      </c>
      <c r="FF28" s="206">
        <f t="shared" si="10"/>
        <v>0</v>
      </c>
      <c r="FG28" s="205">
        <f>IFERROR(__xludf.DUMMYFUNCTION("PRODUCT(
   MAP(
     K$3:ED$3,
     K$14:ED$14,
     K$13:ED$13,
     K28:ED28,
     LAMBDA(
       job,
       buff,
       target,
       check,
       IF(
         OR(AND(check=TRUE, REGEXMATCH(target, ""SELF_AFFECTED_ALL""), job=""暗黒騎士""), AND(check="&amp;"Option!$G$13, REGEXMATCH(target, ""SINGLE_AFFECTED_ALL""))),
         buff,
         1
       )
     )
   )
 )"),1.0)</f>
        <v>1</v>
      </c>
      <c r="FH28" s="206">
        <f>IFERROR(__xludf.DUMMYFUNCTION("SUM(
   MAP(
     K$3:ED$3,
     K$7:ED$7,
     K$15:ED$15,
     K$16:ED$16,
     K$21:ED$21,
     K$5:ED$5,
     K$17:ED$17,
     K28:ED28,
     LAMBDA(
       job,
       abillity,
       buff,
       barrier,
       enhance,
       assign,
       preco"&amp;"ndition,
       check,
       IF(
         OR(AND(check=TRUE, REGEXMATCH(assign, ""SELF""), job=""暗黒騎士""), AND(check=Option!$G$13, REGEXMATCH(assign, ""SINGLE_PARTY""))),
         IF(
           OR(ARRAYFORMULA((IF(precondition="""", FALSE, REGEXMATCH($K$"&amp;"4:$ED$4, precondition))) * (K28:ED28=TRUE))),
           enhance,
           IF(barrier="""", buff, barrier)
         ),
         0
       ) *
       SWITCH(
         job,
         ""暗黒騎士"", FI$24,
         ""白魔道士"", EF28 * EH28 * FG28 * IF(abillity, 1, E"&amp;"G28 * EI28) * (Option!$D$22 * 0.81 / 100),
         ""占星術師"", EF28 * EJ28 * FG28 * IF(abillity, 1, EG28 * EK28) * (Option!$D$23 * 0.81 / 100),
         ""学者"", EF28 * EL28 * FG28 * IF(abillity, 1, EG28 * EM28) * (Option!$D$24 * 0.81 / 100),
         ""賢者"&amp;""", EF28 * EN28 * FG28 * IF(abillity, 1, EG28 * EO28) * (Option!$D$25 * 0.81 / 100),
         1
       )
     )
   )
 ) + EQ28"),0.0)</f>
        <v>0</v>
      </c>
      <c r="FI28" s="206">
        <f t="shared" si="11"/>
        <v>0</v>
      </c>
      <c r="FJ28" s="205">
        <f>IFERROR(__xludf.DUMMYFUNCTION("PRODUCT(
   MAP(
     IF($F28=""Physical"", K$10:ED$10, IF($F28=""Magic"", K$11:ED$11, K$12:ED$12)),
     IF($F28=""Physical"", K$18:ED$18, IF($F28=""Magic"", K$19:ED$19, K$20:ED$20)),
     K$3:ED$3,
     K$5:ED$5,
     K$17:ED$17,
     K28:ED28,
     LAM"&amp;"BDA(
       mitigation,
       enhance,
       job,
       assign,
       precondition,
       check,
       IF(
         OR(AND(check=TRUE, REGEXMATCH(assign, ""SELF""), job=""ガンブレイカー""), AND(check=Option!$H$13, REGEXMATCH(assign, ""SINGLE_PARTY""))),
  "&amp;"       IF(
           OR(ARRAYFORMULA((IF(precondition="""", FALSE, REGEXMATCH($K$4:$ED$4, precondition))) * (K28:ED28=TRUE))),
           enhance,
           mitigation
         ),
         1
       )
     )
   )
 ) * EE28"),1.0)</f>
        <v>1</v>
      </c>
      <c r="FK28" s="206">
        <f t="shared" si="12"/>
        <v>0</v>
      </c>
      <c r="FL28" s="205">
        <f>IFERROR(__xludf.DUMMYFUNCTION("PRODUCT(
   MAP(
     K$3:ED$3,
     K$14:ED$14,
     K$13:ED$13,
     K28:ED28,
     LAMBDA(
       job,
       buff,
       target,
       check,
       IF(
         OR(AND(check=TRUE, REGEXMATCH(target, ""SELF_AFFECTED_ALL""), job=""ガンブレイカー""), AND(che"&amp;"ck=Option!$H$13, REGEXMATCH(target, ""SINGLE_AFFECTED_ALL""))),
         buff,
         1
       )
     )
   )
 )"),1.0)</f>
        <v>1</v>
      </c>
      <c r="FM28" s="206">
        <f>IFERROR(__xludf.DUMMYFUNCTION("SUM(
   MAP(
     K$3:ED$3,
     K$7:ED$7,
     K$15:ED$15,
     K$16:ED$16,
     K$21:ED$21,
     K$5:ED$5,
     K$17:ED$17,
     K28:ED28,
     LAMBDA(
       job,
       abillity,
       buff,
       barrier,
       enhance,
       assign,
       preco"&amp;"ndition,
       check,
       IF(
         OR(AND(check=TRUE, REGEXMATCH(assign, ""SELF""), job=""ガンブレイカー""), AND(check=Option!$H$13, REGEXMATCH(assign, ""SINGLE_PARTY""))),
         IF(
           OR(ARRAYFORMULA((IF(precondition="""", FALSE, REGEXMATCH("&amp;"$K$4:$ED$4, precondition))) * (K28:ED28=TRUE))),
           enhance,
           IF(barrier="""", buff, barrier)
         ),
         0
       ) *
       SWITCH(
         job,
         ""暗黒騎士"", FN$24,
         ""白魔道士"", EF28 * EH28 * FL28 * IF(abillity, 1"&amp;", EG28 * EI28) * (Option!$D$22 * 0.81 / 100),
         ""占星術師"", EF28 * EJ28 * FL28 * IF(abillity, 1, EG28 * EK28) * (Option!$D$23 * 0.81 / 100),
         ""学者"", EF28 * EL28 * FL28 * IF(abillity, 1, EG28 * EM28) * (Option!$D$24 * 0.81 / 100),
         """&amp;"賢者"", EF28 * EN28 * FL28 * IF(abillity, 1, EG28 * EO28) * (Option!$D$25 * 0.81 / 100),
         1
       )
     )
   )
 ) + EQ28"),0.0)</f>
        <v>0</v>
      </c>
      <c r="FN28" s="206">
        <f t="shared" si="13"/>
        <v>0</v>
      </c>
      <c r="FO28" s="213"/>
    </row>
    <row r="29">
      <c r="B29" s="229"/>
      <c r="C29" s="217">
        <f t="shared" si="1"/>
        <v>0</v>
      </c>
      <c r="D29" s="236"/>
      <c r="E29" s="219"/>
      <c r="F29" s="167"/>
      <c r="G29" s="168" t="str">
        <f t="shared" si="2"/>
        <v/>
      </c>
      <c r="H29" s="169"/>
      <c r="I29" s="169"/>
      <c r="J29" s="169"/>
      <c r="K29" s="170" t="b">
        <v>0</v>
      </c>
      <c r="L29" s="170" t="b">
        <v>0</v>
      </c>
      <c r="M29" s="170" t="b">
        <v>0</v>
      </c>
      <c r="N29" s="171" t="s">
        <v>1070</v>
      </c>
      <c r="O29" s="172" t="b">
        <v>0</v>
      </c>
      <c r="P29" s="173" t="b">
        <v>0</v>
      </c>
      <c r="Q29" s="173" t="b">
        <v>0</v>
      </c>
      <c r="R29" s="173" t="b">
        <v>0</v>
      </c>
      <c r="S29" s="174" t="b">
        <v>0</v>
      </c>
      <c r="T29" s="175" t="b">
        <v>0</v>
      </c>
      <c r="U29" s="173" t="b">
        <v>0</v>
      </c>
      <c r="V29" s="171" t="s">
        <v>1070</v>
      </c>
      <c r="W29" s="172" t="b">
        <v>0</v>
      </c>
      <c r="X29" s="173" t="b">
        <v>0</v>
      </c>
      <c r="Y29" s="173" t="b">
        <v>0</v>
      </c>
      <c r="Z29" s="173" t="b">
        <v>0</v>
      </c>
      <c r="AA29" s="174" t="b">
        <v>0</v>
      </c>
      <c r="AB29" s="174" t="b">
        <v>0</v>
      </c>
      <c r="AC29" s="175" t="b">
        <v>0</v>
      </c>
      <c r="AD29" s="173" t="b">
        <v>0</v>
      </c>
      <c r="AE29" s="176" t="s">
        <v>1070</v>
      </c>
      <c r="AF29" s="171" t="s">
        <v>1070</v>
      </c>
      <c r="AG29" s="177">
        <f>IFERROR(__xludf.DUMMYFUNCTION("IF(
  ISNUMBER(AG28),
  MIN(MAX(
    AG28
    + MAX(
      ROUNDDOWN(($D29 - MAX(IFERROR(FILTER($D$24:$D28, AG$24:AG28 &lt;&gt; AF$6, AG$23:AG27 = AF$6), 0))) * (60 * 60 * 24) / AF$9) - ROUNDDOWN(($D28 - MAX(IFERROR(FILTER($D$23:$D27, AG$23:AG27 &lt;&gt; AF$6, AG$22:"&amp;"AG26 = AF$6), 0))) * (60 * 60 * 24) / 60),
      0
    )
    - COUNTIF(AF29, ""&lt;&gt;-""),
  0), AF$6),
  AF$6 - COUNTIF(AF29, ""&lt;&gt;-"")
)"),2.0)</f>
        <v>2</v>
      </c>
      <c r="AH29" s="173" t="b">
        <v>0</v>
      </c>
      <c r="AI29" s="173" t="b">
        <v>0</v>
      </c>
      <c r="AJ29" s="173" t="b">
        <v>0</v>
      </c>
      <c r="AK29" s="174" t="b">
        <v>0</v>
      </c>
      <c r="AL29" s="175" t="b">
        <v>0</v>
      </c>
      <c r="AM29" s="173" t="b">
        <v>0</v>
      </c>
      <c r="AN29" s="171" t="s">
        <v>1070</v>
      </c>
      <c r="AO29" s="173" t="b">
        <v>0</v>
      </c>
      <c r="AP29" s="173" t="b">
        <v>0</v>
      </c>
      <c r="AQ29" s="173" t="b">
        <v>0</v>
      </c>
      <c r="AR29" s="174" t="b">
        <v>0</v>
      </c>
      <c r="AS29" s="178" t="b">
        <v>0</v>
      </c>
      <c r="AT29" s="179" t="b">
        <v>0</v>
      </c>
      <c r="AU29" s="180" t="b">
        <v>0</v>
      </c>
      <c r="AV29" s="180" t="b">
        <v>0</v>
      </c>
      <c r="AW29" s="180" t="b">
        <v>0</v>
      </c>
      <c r="AX29" s="180" t="b">
        <v>0</v>
      </c>
      <c r="AY29" s="181" t="s">
        <v>1070</v>
      </c>
      <c r="AZ29" s="181" t="s">
        <v>1070</v>
      </c>
      <c r="BA29" s="184">
        <f>IFERROR(__xludf.DUMMYFUNCTION("IF(
  ISNUMBER(BA28),
  MIN(MAX(
    BA28
    + MAX(
      ROUNDDOWN((D29 - MAX(IFERROR(FILTER(D$24:D28, BA$24:BA28 &lt;&gt; AZ$6, BA$23:BA27 = AZ$6), 0))) * (60 * 60 * 24) / AZ$9) - ROUNDDOWN((D28 - MAX(IFERROR(FILTER(D$23:D27, BA$23:BA27 &lt;&gt; AZ$6, BA$22:BA26 ="&amp;" AZ$6), 0))) * (60 * 60 * 24) / AZ$9),
      0
    )
    - COUNTIF(AZ29, ""&lt;&gt;-""),
  0), AZ$6),
  AZ$6 - COUNTIF(AZ29, ""&lt;&gt;-"")
)"),2.0)</f>
        <v>2</v>
      </c>
      <c r="BB29" s="181" t="s">
        <v>1070</v>
      </c>
      <c r="BC29" s="183">
        <f>IFERROR(__xludf.DUMMYFUNCTION("IF(
  ISNUMBER(BC28),
  MIN(MAX(
    BC28
    + MAX(
      ROUNDDOWN(($D29 - MAX(IFERROR(FILTER($D$24:$D28, BC$24:BC28 &lt;&gt; BB$6, BC$23:BC27 = BB$6), 0))) * (60 * 60 * 24) / BB$9) - ROUNDDOWN(($D28 - MAX(IFERROR(FILTER($D$23:$D27, BC$23:BC27 &lt;&gt; BB$6, BC$22:"&amp;"BC26 = BB$6), 0))) * (60 * 60 * 24) / 60),
      0
    )
    - COUNTIF(BB29, ""&lt;&gt;-""),
  0), BB$6),
  BB$6 - COUNTIF(BB29, ""&lt;&gt;-"")
)"),2.0)</f>
        <v>2</v>
      </c>
      <c r="BD29" s="181" t="s">
        <v>1070</v>
      </c>
      <c r="BE29" s="178" t="b">
        <v>0</v>
      </c>
      <c r="BF29" s="180" t="b">
        <v>0</v>
      </c>
      <c r="BG29" s="180" t="b">
        <v>0</v>
      </c>
      <c r="BH29" s="180" t="b">
        <v>0</v>
      </c>
      <c r="BI29" s="180" t="b">
        <v>0</v>
      </c>
      <c r="BJ29" s="180" t="b">
        <v>0</v>
      </c>
      <c r="BK29" s="180" t="b">
        <v>0</v>
      </c>
      <c r="BL29" s="180" t="b">
        <v>0</v>
      </c>
      <c r="BM29" s="180" t="b">
        <v>0</v>
      </c>
      <c r="BN29" s="180" t="b">
        <v>0</v>
      </c>
      <c r="BO29" s="181" t="s">
        <v>1070</v>
      </c>
      <c r="BP29" s="181" t="s">
        <v>1070</v>
      </c>
      <c r="BQ29" s="181" t="s">
        <v>1070</v>
      </c>
      <c r="BR29" s="181" t="s">
        <v>1070</v>
      </c>
      <c r="BS29" s="181" t="s">
        <v>1070</v>
      </c>
      <c r="BT29" s="184">
        <f>IFERROR(__xludf.DUMMYFUNCTION("IF(
  ISNUMBER(BT28),
  MIN(MAX(
    BT28
    + MAX(
      ROUNDDOWN((D29 - MAX(IFERROR(FILTER(D$24:D28, BT$24:BT28 &lt;&gt; BS$6, BT$23:BT27 = BS$6), 0))) * (60 * 60 * 24) / BS$9) - ROUNDDOWN((D28 - MAX(IFERROR(FILTER(D$23:D27, BT$23:BT27 &lt;&gt; BS$6, BT$22:BT26 ="&amp;" BS$6), 0))) * (60 * 60 * 24) / BS$9),
      0
    )
    - COUNTIF(BS29, ""&lt;&gt;-""),
  0), BS$6),
  BS$6 - COUNTIF(BS29, ""&lt;&gt;-"")
)"),3.0)</f>
        <v>3</v>
      </c>
      <c r="BU29" s="181" t="s">
        <v>1070</v>
      </c>
      <c r="BV29" s="181" t="s">
        <v>1070</v>
      </c>
      <c r="BW29" s="184">
        <f>IFERROR(__xludf.DUMMYFUNCTION("IF(
  ISNUMBER(BW28),
  MIN(MAX(
    BW28
    + MAX(
      ROUNDDOWN((D29 - MAX(IFERROR(FILTER(D$24:D28, BW$24:BW28 &lt;&gt; BV$6, BW$23:BW27 = BV$6), 0))) * (60 * 60 * 24) / BV$9) - ROUNDDOWN((D28 - MAX(IFERROR(FILTER(D$23:D27, BW$23:BW27 &lt;&gt; BV$6, BW$22:BW26 ="&amp;" BV$6), 0))) * (60 * 60 * 24) / BV$9),
      0
    )
    - COUNTIF(BV29, ""&lt;&gt;-""),
  0), BV$6),
  BV$6 - COUNTIF(BV29, ""&lt;&gt;-"")
)"),2.0)</f>
        <v>2</v>
      </c>
      <c r="BX29" s="185" t="s">
        <v>1070</v>
      </c>
      <c r="BY29" s="178" t="b">
        <v>0</v>
      </c>
      <c r="BZ29" s="180" t="b">
        <v>0</v>
      </c>
      <c r="CA29" s="180" t="b">
        <v>0</v>
      </c>
      <c r="CB29" s="180" t="b">
        <v>0</v>
      </c>
      <c r="CC29" s="180" t="b">
        <v>0</v>
      </c>
      <c r="CD29" s="180" t="b">
        <v>0</v>
      </c>
      <c r="CE29" s="180" t="b">
        <v>0</v>
      </c>
      <c r="CF29" s="180" t="b">
        <v>0</v>
      </c>
      <c r="CG29" s="180" t="b">
        <v>0</v>
      </c>
      <c r="CH29" s="180" t="b">
        <v>0</v>
      </c>
      <c r="CI29" s="180" t="b">
        <v>0</v>
      </c>
      <c r="CJ29" s="180" t="b">
        <v>0</v>
      </c>
      <c r="CK29" s="180" t="b">
        <v>0</v>
      </c>
      <c r="CL29" s="180" t="b">
        <v>0</v>
      </c>
      <c r="CM29" s="181" t="s">
        <v>1070</v>
      </c>
      <c r="CN29" s="181" t="s">
        <v>1070</v>
      </c>
      <c r="CO29" s="181" t="s">
        <v>1070</v>
      </c>
      <c r="CP29" s="181" t="s">
        <v>1070</v>
      </c>
      <c r="CQ29" s="185" t="s">
        <v>1070</v>
      </c>
      <c r="CR29" s="180" t="b">
        <v>0</v>
      </c>
      <c r="CS29" s="186" t="str">
        <f t="shared" si="14"/>
        <v>◇◇◇</v>
      </c>
      <c r="CT29" s="178" t="b">
        <v>0</v>
      </c>
      <c r="CU29" s="180" t="b">
        <v>0</v>
      </c>
      <c r="CV29" s="180" t="b">
        <v>0</v>
      </c>
      <c r="CW29" s="180" t="b">
        <v>0</v>
      </c>
      <c r="CX29" s="180" t="b">
        <v>0</v>
      </c>
      <c r="CY29" s="180" t="b">
        <v>0</v>
      </c>
      <c r="CZ29" s="180" t="b">
        <v>0</v>
      </c>
      <c r="DA29" s="180" t="b">
        <v>0</v>
      </c>
      <c r="DB29" s="180" t="b">
        <v>0</v>
      </c>
      <c r="DC29" s="180" t="b">
        <v>0</v>
      </c>
      <c r="DD29" s="181" t="s">
        <v>1070</v>
      </c>
      <c r="DE29" s="181" t="s">
        <v>1070</v>
      </c>
      <c r="DF29" s="181" t="s">
        <v>1070</v>
      </c>
      <c r="DG29" s="185" t="s">
        <v>1070</v>
      </c>
      <c r="DH29" s="180" t="b">
        <v>0</v>
      </c>
      <c r="DI29" s="187" t="str">
        <f>IFERROR(__xludf.DUMMYFUNCTION("SWITCH(
  IF(
    ISTEXT(DI28),
    IF (
      FIND(""○"", DI28&amp;""○"") &gt; 3,
      3,
      FIND(""○"", DI28&amp;""○"")
      + MAX(
        ROUNDDOWN(($D29 - MAX(IFERROR(FILTER(D$24:D28, DI$24:DI28 &lt;&gt; ""●●●"", DI$23:DI27 = ""●●●""), 0))) * (60 * 60 * 24) / 20"&amp;") - ROUNDDOWN(($D28 - MAX(IFERROR(FILTER(D$23:D27, DI$23:DI27 &lt;&gt; ""●●●"", DI$22:DI26 = ""●●●""), 0))) * (60 * 60 * 24) / 20),
        0
      ) - 1
    ) - COUNTIFS(CU29, ""=TRUE"", CU28, ""&lt;&gt;TRUE"") - COUNTIF(CZ29, ""=TRUE"") - COUNTIF({DD29,DE29}, ""&lt;&gt;-"&amp;""") + COUNTIF(DH29, ""=TRUE""),
    3
  ),
  0, ""○○○"", 1, ""●○○"", 2, ""●●○"", 3, ""●●●"", 4, ""●●●"", ""○○○""
)"),"●●●")</f>
        <v>●●●</v>
      </c>
      <c r="DJ29" s="188" t="b">
        <v>0</v>
      </c>
      <c r="DK29" s="189" t="b">
        <v>0</v>
      </c>
      <c r="DL29" s="190" t="b">
        <v>0</v>
      </c>
      <c r="DM29" s="190" t="b">
        <v>0</v>
      </c>
      <c r="DN29" s="190" t="b">
        <v>0</v>
      </c>
      <c r="DO29" s="190" t="b">
        <v>0</v>
      </c>
      <c r="DP29" s="190" t="b">
        <v>0</v>
      </c>
      <c r="DQ29" s="191" t="b">
        <v>0</v>
      </c>
      <c r="DR29" s="192" t="b">
        <v>0</v>
      </c>
      <c r="DS29" s="191" t="b">
        <v>0</v>
      </c>
      <c r="DT29" s="192" t="b">
        <v>0</v>
      </c>
      <c r="DU29" s="191" t="b">
        <v>0</v>
      </c>
      <c r="DV29" s="193" t="s">
        <v>1070</v>
      </c>
      <c r="DW29" s="194" t="b">
        <v>0</v>
      </c>
      <c r="DX29" s="194" t="b">
        <v>0</v>
      </c>
      <c r="DY29" s="195" t="b">
        <v>0</v>
      </c>
      <c r="DZ29" s="196" t="b">
        <v>0</v>
      </c>
      <c r="EA29" s="195" t="b">
        <v>0</v>
      </c>
      <c r="EB29" s="197" t="b">
        <v>0</v>
      </c>
      <c r="EC29" s="197" t="b">
        <v>0</v>
      </c>
      <c r="ED29" s="212" t="b">
        <v>0</v>
      </c>
      <c r="EE29" s="199">
        <f>IFERROR(__xludf.DUMMYFUNCTION("IFERROR(
   PRODUCT(
     MAP(
       INDEX(TRANSPOSE(UNIQUE(TRANSPOSE(FILTER({IF($F29=""Physical"", K$10:ED$10, IF($F29=""Magic"", K$11:ED$11, K$12:ED$12));K$4:ED$4;K29:ED29}, K29:ED29=TRUE)))), 1, 0),
       INDEX(TRANSPOSE(UNIQUE(TRANSPOSE(FILTER({IF($"&amp;"F29=""Physical"", K$18:ED$18, IF($F29=""Magic"", K$19:ED$19, K$20:ED$20));K$4:ED$4;K29:ED29}, K29:ED29=TRUE)))), 1, 0),
       INDEX(TRANSPOSE(UNIQUE(TRANSPOSE(FILTER({K$5:ED$5;K$4:ED$4;K29:ED29}, K29:ED29=TRUE)))), 1, 0),
       INDEX(TRANSPOSE(UNIQUE(TR"&amp;"ANSPOSE(FILTER({K$17:ED$17;K$4:ED$4;K29:ED29}, K29:ED29=TRUE)))), 1, 0),
       LAMBDA(
         mitigation,
         enhance,
         assign,
         precondition,
         IF(
           REGEXMATCH(assign, ""RANGE_PARTY|SINGLE_ENEMY|RANGE_ENEMY""),
  "&amp;"         IF(
             OR(ARRAYFORMULA((IF(precondition="""", FALSE, REGEXMATCH(K$4:ED$4, precondition))) * (K29:ED29=TRUE))),
             IF(ISNUMBER(enhance), enhance, 1),
             IF(ISNUMBER(mitigation), mitigation, 1)
           ),
          "&amp;" 1
         )
       )
     )
   ),
   1
 )"),1.0)</f>
        <v>1</v>
      </c>
      <c r="EF29" s="200">
        <f>IFERROR(__xludf.DUMMYFUNCTION("PRODUCT(
   MAP(
     K$14:ED$14,
     K$13:ED$13,
     K29:ED29,
     LAMBDA(
       buff,
       target,
       check,
       IF(
         AND(check=TRUE, REGEXMATCH(target, ""RANGE_AFFECTED_ALL|RANGE_EFFECTED_ALL""), ISNUMBER(buff)),
         buff,
   "&amp;"      1
       )
     )
   )
 )"),1.0)</f>
        <v>1</v>
      </c>
      <c r="EG29" s="200">
        <f>IFERROR(__xludf.DUMMYFUNCTION("PRODUCT(
   MAP(
     K$14:ED$14,
     K$13:ED$13,
     K29:ED29,
     LAMBDA(
       buff,
       target,
       check,
       IF(
         AND(check=TRUE, REGEXMATCH(target, ""RANGE_AFFECTED_GCD|RANGE_EFFECTED_GCD""), ISNUMBER(buff)),
         buff,
   "&amp;"      1
       )
     )
   )
 )"),1.0)</f>
        <v>1</v>
      </c>
      <c r="EH29" s="200">
        <f>IFERROR(__xludf.DUMMYFUNCTION("PRODUCT(
   MAP(
     K$3:ED$3,
     K$14:ED$14,
     K$13:ED$13,
     K29:ED29,
     LAMBDA(
       job,
       buff,
       target,
       check,
       IF(
         AND(check=TRUE, REGEXMATCH(target, ""SELF_EFFECTED_ALL""), ISNUMBER(buff), job=""白魔道士"""&amp;"),
         buff,
         1
       )
     )
   )
 )"),1.0)</f>
        <v>1</v>
      </c>
      <c r="EI29" s="200">
        <f>IFERROR(__xludf.DUMMYFUNCTION("PRODUCT(
   MAP(
     K$3:ED$3,
     K$14:ED$14,
     K$13:ED$13,
     K29:ED29,
     LAMBDA(
       job,
       buff,
       target,
       check,
       IF(
         AND(check=TRUE, REGEXMATCH(target, ""SELF_EFFECTED_GCD""), ISNUMBER(buff), job=""白魔道士"""&amp;"),
         buff,
         1
       )
     )
   )
 )"),1.0)</f>
        <v>1</v>
      </c>
      <c r="EJ29" s="200">
        <f>IFERROR(__xludf.DUMMYFUNCTION("PRODUCT(
   MAP(
     K$3:ED$3,
     K$14:ED$14,
     K$13:ED$13,
     K29:ED29,
     LAMBDA(
       job,
       buff,
       target,
       check,
       IF(
         AND(check=TRUE, REGEXMATCH(target, ""SELF_EFFECTED_ALL""), ISNUMBER(buff), job=""占星術師"""&amp;"),
         buff,
         1
       )
     )
   )
 )"),1.0)</f>
        <v>1</v>
      </c>
      <c r="EK29" s="200">
        <f>IFERROR(__xludf.DUMMYFUNCTION("PRODUCT(
   MAP(
     K$3:ED$3,
     K$14:ED$14,
     K$13:ED$13,
     K29:ED29,
     LAMBDA(
       job,
       buff,
       target,
       check,
       IF(
         AND(check=TRUE, REGEXMATCH(target, ""SELF_EFFECTED_GCD""), ISNUMBER(buff), job=""占星術師"""&amp;"),
         buff,
         1
       )
     )
   )
 )"),1.0)</f>
        <v>1</v>
      </c>
      <c r="EL29" s="200">
        <f>IFERROR(__xludf.DUMMYFUNCTION("PRODUCT(
   MAP(
     K$3:ED$3,
     K$14:ED$14,
     K$13:ED$13,
     K29:ED29,
     LAMBDA(
       job,
       buff,
       target,
       check,
       IF(
         AND(check=TRUE, REGEXMATCH(target, ""SELF_EFFECTED_ALL""), ISNUMBER(buff), job=""学者""),"&amp;"
         buff,
         1
       )
     )
   )
 )"),1.0)</f>
        <v>1</v>
      </c>
      <c r="EM29" s="200">
        <f>IFERROR(__xludf.DUMMYFUNCTION("PRODUCT(
   MAP(
     K$3:ED$3,
     K$14:ED$14,
     K$13:ED$13,
     K29:ED29,
     LAMBDA(
       job,
       buff,
       target,
       check,
       IF(
         AND(check=TRUE, REGEXMATCH(target, ""SELF_EFFECTED_GCD""), ISNUMBER(buff), job=""学者""),"&amp;"
         buff,
         1
       )
     )
   )
 )"),1.0)</f>
        <v>1</v>
      </c>
      <c r="EN29" s="200">
        <f>IFERROR(__xludf.DUMMYFUNCTION("PRODUCT(
   MAP(
     K$3:ED$3,
     K$14:ED$14,
     K$13:ED$13,
     K29:ED29,
     LAMBDA(
       job,
       buff,
       target,
       check,
       IF(
         AND(check=TRUE, REGEXMATCH(target, ""SELF_EFFECTED_ALL""), ISNUMBER(buff), job=""賢者""),"&amp;"
         buff,
         1
       )
     )
   )
 )"),1.0)</f>
        <v>1</v>
      </c>
      <c r="EO29" s="200">
        <f>IFERROR(__xludf.DUMMYFUNCTION("PRODUCT(
   MAP(
     K$3:ED$3,
     K$14:ED$14,
     K$13:ED$13,
     K29:ED29,
     LAMBDA(
       job,
       buff,
       target,
       check,
       IF(
         AND(check=TRUE, REGEXMATCH(target, ""SELF_EFFECTED_GCD""), ISNUMBER(buff), job=""賢者""),"&amp;"
         buff,
         1
       )
     )
   )
 )"),1.0)</f>
        <v>1</v>
      </c>
      <c r="EP29" s="201">
        <f t="shared" si="3"/>
        <v>0</v>
      </c>
      <c r="EQ29" s="201">
        <f>IFERROR(__xludf.DUMMYFUNCTION("SUM(
   MAP(
     K$4:ED$4,
     K$3:ED$3,
     K$7:ED$7,
     K$15:ED$15,
     K$16:ED$16,
     K$21:ED$21,
     K$5:ED$5,
     K$17:ED$17,
     K29:ED29,
     LAMBDA(
       name,
       job,
       abillity,
       buff,
       barrier,
       enhance,"&amp;"
       assign,
       precondition,
       check,
       SWITCH(
         name,
         ""シェイクオフ"", IF(check=TRUE, buff + (0.02 * COUNTIF(ARRAYFORMULA((REGEXMATCH($K$4:$ED$4, ""スリル・オブ・バトル|ヴェンジェンス|原初の血気|ダムネーション"")) * (K29:ED29=TRUE)), 1)), 0),
         "&amp;"""インプロビゼーションフィニッシュ(踊りの激情0)"", IF(ISNUMBER(check), INDEX(Skill!$AJ:$AJ, MATCH(SUBSTITUTE(DV$4, 0, check), Skill!$C:$C, 0)), 0),
         IF(
           AND(check=TRUE, REGEXMATCH(assign, ""RANGE_PARTY"")),
           IF(
             OR(ARRAYFORMULA((IF(pr"&amp;"econdition="""", FALSE, REGEXMATCH($K$4:$ED$4, precondition))) * (K29:ED29=TRUE))),
             enhance,
             IF(barrier="""", buff, barrier)
           ),
           0
         )
       ) *
       SWITCH(
         job,
         ""ナイト"", EY$24,
 "&amp;"        ""戦士"", FD$24,
         ""踊り子"", ET$24,
         ""ピクトマンサー"", ET$24,
         ""白魔道士"", EF29 * EH29 * IF(abillity, 1, EG29 * EI29) * (Option!$D$22 * 0.81 / 100),
         ""占星術師"", EF29 * EJ29 * IF(abillity, 1, EG29 * EK29) * (Option!$D$23 * 0.81 "&amp;"/ 100),
         ""学者"", EF29 * EL29 * IF(abillity, 1, EG29 * EM29) * (Option!$D$24 * 0.81 / 100),
         ""賢者"", EF29 * EN29 * IF(abillity, 1, EG29 * EO29) * (Option!$D$25 * 0.81 / 100),
         1
       )
     )
   )
 )"),0.0)</f>
        <v>0</v>
      </c>
      <c r="ER29" s="202">
        <f t="shared" si="4"/>
        <v>0</v>
      </c>
      <c r="ES29" s="203">
        <f t="shared" si="5"/>
        <v>0</v>
      </c>
      <c r="ET29" s="204" t="str">
        <f>IFERROR(__xludf.DUMMYFUNCTION("IFS(
  EP29 &gt; $ET$24 + EQ29,
  SPARKLINE({ 1, 0 }, {""charttype"",""bar"";""max"", 1;""color1"",Option!$D$30;""color2"",Option!$D$30}),
  EP29 &lt; EQ29,
  SPARKLINE({EQ29 - EP29, $ET$24 - (EQ29 - EP29)}, {""charttype"",""bar"";""max"",$ET$24;""color1"",Opti"&amp;"on!$D$28;""color2"",Option!$D$29}),
  EP29 &gt;= EQ29,
  SPARKLINE({$ET$24 + EQ29 - EP29,EP29 - EQ29}, {""charttype"",""bar"";""max"",$ET$24;""color1"",Option!$D$29;""color2"",Option!$D$30})
)"),"")</f>
        <v/>
      </c>
      <c r="EU29" s="205">
        <f>IFERROR(__xludf.DUMMYFUNCTION("PRODUCT(
   MAP(
     IF($F29=""Physical"", K$10:ED$10, IF($F29=""Magic"", K$11:ED$11, K$12:ED$12)),
     IF($F29=""Physical"", K$18:ED$18, IF($F29=""Magic"", K$19:ED$19, K$20:ED$20)),
     K$3:ED$3,
     K$5:ED$5,
     K$17:ED$17,
     K29:ED29,
     LAM"&amp;"BDA(
       mitigation,
       enhance,
       job,
       assign,
       precondition,
       check,
       IF(
         OR(AND(check=TRUE, REGEXMATCH(assign, ""SELF""), job=""ナイト""), AND(check=Option!$E$13, REGEXMATCH(assign, ""SINGLE_PARTY""))),
      "&amp;"   IF(
           OR(ARRAYFORMULA((IF(precondition="""", FALSE, REGEXMATCH($K$4:$ED$4, precondition))) * (K29:ED29=TRUE))),
           enhance,
           mitigation
         ),
         1
       )
     )
   )
 ) * EE29"),1.0)</f>
        <v>1</v>
      </c>
      <c r="EV29" s="206">
        <f t="shared" si="6"/>
        <v>0</v>
      </c>
      <c r="EW29" s="205">
        <f>IFERROR(__xludf.DUMMYFUNCTION("PRODUCT(
   MAP(
     K$3:ED$3,
     K$14:ED$14,
     K$13:ED$13,
     K29:ED29,
     LAMBDA(
       job,
       buff,
       target,
       check,
       IF(
         OR(AND(check=TRUE, REGEXMATCH(target, ""SELF_AFFECTED_ALL""), job=""ナイト""), AND(check=O"&amp;"ption!$E$13, REGEXMATCH(target, ""SINGLE_AFFECTED_ALL""))),
         buff,
         1
       )
     )
   )
 )"),1.0)</f>
        <v>1</v>
      </c>
      <c r="EX29" s="206">
        <f>IFERROR(__xludf.DUMMYFUNCTION("SUM(
   MAP(
     K$3:ED$3,
     K$7:ED$7,
     K$15:ED$15,
     K$16:ED$16,
     K$21:ED$21,
     K$5:ED$5,
     K$17:ED$17,
     K29:ED29,
     LAMBDA(
       job,
       abillity,
       buff,
       barrier,
       enhance,
       assign,
       preco"&amp;"ndition,
       check,
       IF(
         OR(AND(check=TRUE, REGEXMATCH(assign, ""SELF""), job=""ナイト""), AND(check=Option!$E$13, REGEXMATCH(assign, ""SINGLE_PARTY""))),
         IF(
           OR(ARRAYFORMULA((IF(precondition="""", FALSE, REGEXMATCH($K$4"&amp;":$ED$4, precondition))) * (K29:ED29=TRUE))),
           enhance,
           IF(barrier="""", buff, barrier)
         ),
         0
       ) *
       SWITCH(
         job,
         ""暗黒騎士"", EY$24,
         ""白魔道士"", EF29 * EH29 * EW29 * IF(abillity, 1, EG"&amp;"29 * EI29) * (Option!$D$22 * 0.81 / 100),
         ""占星術師"", EF29 * EJ29 * EW29 * IF(abillity, 1, EG29 * EK29) * (Option!$D$23 * 0.81 / 100),
         ""学者"", EF29 * EL29 * EW29 * IF(abillity, 1, EG29 * EM29) * (Option!$D$24 * 0.81 / 100),
         ""賢者"""&amp;", EF29 * EN29 * EW29 * IF(abillity, 1, EG29 * EO29) * (Option!$D$25 * 0.81 / 100),
         1
       )
     )
   )
 ) + EQ29"),0.0)</f>
        <v>0</v>
      </c>
      <c r="EY29" s="206">
        <f t="shared" si="7"/>
        <v>0</v>
      </c>
      <c r="EZ29" s="205">
        <f>IFERROR(__xludf.DUMMYFUNCTION("PRODUCT(
   MAP(
     IF($F29=""Physical"", K$10:ED$10, IF($F29=""Magic"", K$11:ED$11, K$12:ED$12)),
     IF($F29=""Physical"", K$18:ED$18, IF($F29=""Magic"", K$19:ED$19, K$20:ED$20)),
     K$3:ED$3,
     K$5:ED$5,
     K$17:ED$17,
     K29:ED29,
     LAM"&amp;"BDA(
       mitigation,
       enhance,
       job,
       assign,
       precondition,
       check,
       IF(
         OR(AND(check=TRUE, REGEXMATCH(assign, ""SELF""), job=""戦士""), AND(check=Option!$F$13, REGEXMATCH(assign, ""SINGLE_PARTY""))),
       "&amp;"  IF(
           OR(ARRAYFORMULA((IF(precondition="""", FALSE, REGEXMATCH($K$4:$ED$4, precondition))) * (K29:ED29=TRUE))),
           enhance,
           mitigation
         ),
         1
       )
     )
   )
 ) * EE29"),1.0)</f>
        <v>1</v>
      </c>
      <c r="FA29" s="206">
        <f t="shared" si="8"/>
        <v>0</v>
      </c>
      <c r="FB29" s="205">
        <f>IFERROR(__xludf.DUMMYFUNCTION("PRODUCT(
   MAP(
     K$3:ED$3,
     K$14:ED$14,
     K$13:ED$13,
     K29:ED29,
     LAMBDA(
       job,
       buff,
       target,
       check,
       IF(
         OR(AND(check=TRUE, REGEXMATCH(target, ""SELF_AFFECTED_ALL""), job=""戦士""), AND(check=Op"&amp;"tion!$F$13, REGEXMATCH(target, ""SINGLE_AFFECTED_ALL""))),
         buff,
         1
       )
     )
   )
 )"),1.0)</f>
        <v>1</v>
      </c>
      <c r="FC29" s="206">
        <f>IFERROR(__xludf.DUMMYFUNCTION("SUM(
   MAP(
     K$3:ED$3,
     K$7:ED$7,
     K$15:ED$15,
     K$16:ED$16,
     K$21:ED$21,
     K$5:ED$5,
     K$17:ED$17,
     K29:ED29,
     LAMBDA(
       job,
       abillity,
       buff,
       barrier,
       enhance,
       assign,
       preco"&amp;"ndition,
       check,
       IF(
         OR(AND(check=TRUE, REGEXMATCH(assign, ""SELF""), job=""戦士""), AND(check=Option!$F$13, REGEXMATCH(assign, ""SINGLE_PARTY""))),
         IF(
           OR(ARRAYFORMULA((IF(precondition="""", FALSE, REGEXMATCH($K$4:"&amp;"$ED$4, precondition))) * (K29:ED29=TRUE))),
           enhance,
           IF(barrier="""", buff, barrier)
         ),
         0
       ) *
       SWITCH(
         job,
         ""暗黒騎士"", FD$24,
         ""白魔道士"", EF29 * EH29 * FB29 * IF(abillity, 1, EG2"&amp;"9 * EI29) * (Option!$D$22 * 0.81 / 100),
         ""占星術師"", EF29 * EJ29 * FFB29 * IF(abillity, 1, EG29 * EK29) * (Option!$D$23 * 0.81 / 100),
         ""学者"", EF29 * EL29 * FB29 * IF(abillity, 1, EG29 * EM29) * (Option!$D$24 * 0.81 / 100),
         ""賢者"""&amp;", EF29 * EN29 * FB29 * IF(abillity, 1, EG29 * EO29) * (Option!$D$25 * 0.81 / 100),
         1
       )
     )
   )
 ) + EQ29"),0.0)</f>
        <v>0</v>
      </c>
      <c r="FD29" s="206">
        <f t="shared" si="9"/>
        <v>0</v>
      </c>
      <c r="FE29" s="205">
        <f>IFERROR(__xludf.DUMMYFUNCTION("PRODUCT(
   MAP(
     IF($F29=""Physical"", K$10:ED$10, IF($F29=""Magic"", K$11:ED$11, K$12:ED$12)),
     IF($F29=""Physical"", K$18:ED$18, IF($F29=""Magic"", K$19:ED$19, K$20:ED$20)),
     K$3:ED$3,
     K$5:ED$5,
     K$17:ED$17,
     K29:ED29,
     LAM"&amp;"BDA(
       mitigation,
       enhance,
       job,
       assign,
       precondition,
       check,
       IF(
         OR(AND(check=TRUE, REGEXMATCH(assign, ""SELF""), job=""暗黒騎士""), AND(check=Option!$G$13, REGEXMATCH(assign, ""SINGLE_PARTY""))),
     "&amp;"    IF(
           OR(ARRAYFORMULA((IF(precondition="""", FALSE, REGEXMATCH($K$4:$ED$4, precondition))) * (K29:ED29=TRUE))),
           enhance,
           mitigation
         ),
         1
       )
     )
   )
 ) * EE29"),1.0)</f>
        <v>1</v>
      </c>
      <c r="FF29" s="206">
        <f t="shared" si="10"/>
        <v>0</v>
      </c>
      <c r="FG29" s="205">
        <f>IFERROR(__xludf.DUMMYFUNCTION("PRODUCT(
   MAP(
     K$3:ED$3,
     K$14:ED$14,
     K$13:ED$13,
     K29:ED29,
     LAMBDA(
       job,
       buff,
       target,
       check,
       IF(
         OR(AND(check=TRUE, REGEXMATCH(target, ""SELF_AFFECTED_ALL""), job=""暗黒騎士""), AND(check="&amp;"Option!$G$13, REGEXMATCH(target, ""SINGLE_AFFECTED_ALL""))),
         buff,
         1
       )
     )
   )
 )"),1.0)</f>
        <v>1</v>
      </c>
      <c r="FH29" s="206">
        <f>IFERROR(__xludf.DUMMYFUNCTION("SUM(
   MAP(
     K$3:ED$3,
     K$7:ED$7,
     K$15:ED$15,
     K$16:ED$16,
     K$21:ED$21,
     K$5:ED$5,
     K$17:ED$17,
     K29:ED29,
     LAMBDA(
       job,
       abillity,
       buff,
       barrier,
       enhance,
       assign,
       preco"&amp;"ndition,
       check,
       IF(
         OR(AND(check=TRUE, REGEXMATCH(assign, ""SELF""), job=""暗黒騎士""), AND(check=Option!$G$13, REGEXMATCH(assign, ""SINGLE_PARTY""))),
         IF(
           OR(ARRAYFORMULA((IF(precondition="""", FALSE, REGEXMATCH($K$"&amp;"4:$ED$4, precondition))) * (K29:ED29=TRUE))),
           enhance,
           IF(barrier="""", buff, barrier)
         ),
         0
       ) *
       SWITCH(
         job,
         ""暗黒騎士"", FI$24,
         ""白魔道士"", EF29 * EH29 * FG29 * IF(abillity, 1, E"&amp;"G29 * EI29) * (Option!$D$22 * 0.81 / 100),
         ""占星術師"", EF29 * EJ29 * FG29 * IF(abillity, 1, EG29 * EK29) * (Option!$D$23 * 0.81 / 100),
         ""学者"", EF29 * EL29 * FG29 * IF(abillity, 1, EG29 * EM29) * (Option!$D$24 * 0.81 / 100),
         ""賢者"&amp;""", EF29 * EN29 * FG29 * IF(abillity, 1, EG29 * EO29) * (Option!$D$25 * 0.81 / 100),
         1
       )
     )
   )
 ) + EQ29"),0.0)</f>
        <v>0</v>
      </c>
      <c r="FI29" s="206">
        <f t="shared" si="11"/>
        <v>0</v>
      </c>
      <c r="FJ29" s="205">
        <f>IFERROR(__xludf.DUMMYFUNCTION("PRODUCT(
   MAP(
     IF($F29=""Physical"", K$10:ED$10, IF($F29=""Magic"", K$11:ED$11, K$12:ED$12)),
     IF($F29=""Physical"", K$18:ED$18, IF($F29=""Magic"", K$19:ED$19, K$20:ED$20)),
     K$3:ED$3,
     K$5:ED$5,
     K$17:ED$17,
     K29:ED29,
     LAM"&amp;"BDA(
       mitigation,
       enhance,
       job,
       assign,
       precondition,
       check,
       IF(
         OR(AND(check=TRUE, REGEXMATCH(assign, ""SELF""), job=""ガンブレイカー""), AND(check=Option!$H$13, REGEXMATCH(assign, ""SINGLE_PARTY""))),
  "&amp;"       IF(
           OR(ARRAYFORMULA((IF(precondition="""", FALSE, REGEXMATCH($K$4:$ED$4, precondition))) * (K29:ED29=TRUE))),
           enhance,
           mitigation
         ),
         1
       )
     )
   )
 ) * EE29"),1.0)</f>
        <v>1</v>
      </c>
      <c r="FK29" s="206">
        <f t="shared" si="12"/>
        <v>0</v>
      </c>
      <c r="FL29" s="205">
        <f>IFERROR(__xludf.DUMMYFUNCTION("PRODUCT(
   MAP(
     K$3:ED$3,
     K$14:ED$14,
     K$13:ED$13,
     K29:ED29,
     LAMBDA(
       job,
       buff,
       target,
       check,
       IF(
         OR(AND(check=TRUE, REGEXMATCH(target, ""SELF_AFFECTED_ALL""), job=""ガンブレイカー""), AND(che"&amp;"ck=Option!$H$13, REGEXMATCH(target, ""SINGLE_AFFECTED_ALL""))),
         buff,
         1
       )
     )
   )
 )"),1.0)</f>
        <v>1</v>
      </c>
      <c r="FM29" s="206">
        <f>IFERROR(__xludf.DUMMYFUNCTION("SUM(
   MAP(
     K$3:ED$3,
     K$7:ED$7,
     K$15:ED$15,
     K$16:ED$16,
     K$21:ED$21,
     K$5:ED$5,
     K$17:ED$17,
     K29:ED29,
     LAMBDA(
       job,
       abillity,
       buff,
       barrier,
       enhance,
       assign,
       preco"&amp;"ndition,
       check,
       IF(
         OR(AND(check=TRUE, REGEXMATCH(assign, ""SELF""), job=""ガンブレイカー""), AND(check=Option!$H$13, REGEXMATCH(assign, ""SINGLE_PARTY""))),
         IF(
           OR(ARRAYFORMULA((IF(precondition="""", FALSE, REGEXMATCH("&amp;"$K$4:$ED$4, precondition))) * (K29:ED29=TRUE))),
           enhance,
           IF(barrier="""", buff, barrier)
         ),
         0
       ) *
       SWITCH(
         job,
         ""暗黒騎士"", FN$24,
         ""白魔道士"", EF29 * EH29 * FL29 * IF(abillity, 1"&amp;", EG29 * EI29) * (Option!$D$22 * 0.81 / 100),
         ""占星術師"", EF29 * EJ29 * FL29 * IF(abillity, 1, EG29 * EK29) * (Option!$D$23 * 0.81 / 100),
         ""学者"", EF29 * EL29 * FL29 * IF(abillity, 1, EG29 * EM29) * (Option!$D$24 * 0.81 / 100),
         """&amp;"賢者"", EF29 * EN29 * FL29 * IF(abillity, 1, EG29 * EO29) * (Option!$D$25 * 0.81 / 100),
         1
       )
     )
   )
 ) + EQ29"),0.0)</f>
        <v>0</v>
      </c>
      <c r="FN29" s="206">
        <f t="shared" si="13"/>
        <v>0</v>
      </c>
      <c r="FO29" s="213"/>
    </row>
    <row r="30">
      <c r="B30" s="229"/>
      <c r="C30" s="217">
        <f t="shared" si="1"/>
        <v>0</v>
      </c>
      <c r="D30" s="236"/>
      <c r="E30" s="226"/>
      <c r="F30" s="167"/>
      <c r="G30" s="168" t="str">
        <f t="shared" si="2"/>
        <v/>
      </c>
      <c r="H30" s="169"/>
      <c r="I30" s="169"/>
      <c r="J30" s="169"/>
      <c r="K30" s="170" t="b">
        <v>0</v>
      </c>
      <c r="L30" s="170" t="b">
        <v>0</v>
      </c>
      <c r="M30" s="170" t="b">
        <v>0</v>
      </c>
      <c r="N30" s="171" t="s">
        <v>1070</v>
      </c>
      <c r="O30" s="172" t="b">
        <v>0</v>
      </c>
      <c r="P30" s="173" t="b">
        <v>0</v>
      </c>
      <c r="Q30" s="173" t="b">
        <v>0</v>
      </c>
      <c r="R30" s="173" t="b">
        <v>0</v>
      </c>
      <c r="S30" s="174" t="b">
        <v>0</v>
      </c>
      <c r="T30" s="175" t="b">
        <v>0</v>
      </c>
      <c r="U30" s="173" t="b">
        <v>0</v>
      </c>
      <c r="V30" s="171" t="s">
        <v>1070</v>
      </c>
      <c r="W30" s="172" t="b">
        <v>0</v>
      </c>
      <c r="X30" s="173" t="b">
        <v>0</v>
      </c>
      <c r="Y30" s="173" t="b">
        <v>0</v>
      </c>
      <c r="Z30" s="173" t="b">
        <v>0</v>
      </c>
      <c r="AA30" s="174" t="b">
        <v>0</v>
      </c>
      <c r="AB30" s="174" t="b">
        <v>0</v>
      </c>
      <c r="AC30" s="175" t="b">
        <v>0</v>
      </c>
      <c r="AD30" s="173" t="b">
        <v>0</v>
      </c>
      <c r="AE30" s="176" t="s">
        <v>1070</v>
      </c>
      <c r="AF30" s="171" t="s">
        <v>1070</v>
      </c>
      <c r="AG30" s="177">
        <f>IFERROR(__xludf.DUMMYFUNCTION("IF(
  ISNUMBER(AG29),
  MIN(MAX(
    AG29
    + MAX(
      ROUNDDOWN(($D30 - MAX(IFERROR(FILTER($D$24:$D29, AG$24:AG29 &lt;&gt; AF$6, AG$23:AG28 = AF$6), 0))) * (60 * 60 * 24) / AF$9) - ROUNDDOWN(($D29 - MAX(IFERROR(FILTER($D$23:$D28, AG$23:AG28 &lt;&gt; AF$6, AG$22:"&amp;"AG27 = AF$6), 0))) * (60 * 60 * 24) / 60),
      0
    )
    - COUNTIF(AF30, ""&lt;&gt;-""),
  0), AF$6),
  AF$6 - COUNTIF(AF30, ""&lt;&gt;-"")
)"),2.0)</f>
        <v>2</v>
      </c>
      <c r="AH30" s="173" t="b">
        <v>0</v>
      </c>
      <c r="AI30" s="173" t="b">
        <v>0</v>
      </c>
      <c r="AJ30" s="173" t="b">
        <v>0</v>
      </c>
      <c r="AK30" s="174" t="b">
        <v>0</v>
      </c>
      <c r="AL30" s="175" t="b">
        <v>0</v>
      </c>
      <c r="AM30" s="173" t="b">
        <v>0</v>
      </c>
      <c r="AN30" s="171" t="s">
        <v>1070</v>
      </c>
      <c r="AO30" s="173" t="b">
        <v>0</v>
      </c>
      <c r="AP30" s="173" t="b">
        <v>0</v>
      </c>
      <c r="AQ30" s="173" t="b">
        <v>0</v>
      </c>
      <c r="AR30" s="174" t="b">
        <v>0</v>
      </c>
      <c r="AS30" s="178" t="b">
        <v>0</v>
      </c>
      <c r="AT30" s="179" t="b">
        <v>0</v>
      </c>
      <c r="AU30" s="180" t="b">
        <v>0</v>
      </c>
      <c r="AV30" s="180" t="b">
        <v>0</v>
      </c>
      <c r="AW30" s="180" t="b">
        <v>0</v>
      </c>
      <c r="AX30" s="180" t="b">
        <v>0</v>
      </c>
      <c r="AY30" s="181" t="s">
        <v>1070</v>
      </c>
      <c r="AZ30" s="181" t="s">
        <v>1070</v>
      </c>
      <c r="BA30" s="184">
        <f>IFERROR(__xludf.DUMMYFUNCTION("IF(
  ISNUMBER(BA29),
  MIN(MAX(
    BA29
    + MAX(
      ROUNDDOWN((D30 - MAX(IFERROR(FILTER(D$24:D29, BA$24:BA29 &lt;&gt; AZ$6, BA$23:BA28 = AZ$6), 0))) * (60 * 60 * 24) / AZ$9) - ROUNDDOWN((D29 - MAX(IFERROR(FILTER(D$23:D28, BA$23:BA28 &lt;&gt; AZ$6, BA$22:BA27 ="&amp;" AZ$6), 0))) * (60 * 60 * 24) / AZ$9),
      0
    )
    - COUNTIF(AZ30, ""&lt;&gt;-""),
  0), AZ$6),
  AZ$6 - COUNTIF(AZ30, ""&lt;&gt;-"")
)"),2.0)</f>
        <v>2</v>
      </c>
      <c r="BB30" s="181" t="s">
        <v>1070</v>
      </c>
      <c r="BC30" s="183">
        <f>IFERROR(__xludf.DUMMYFUNCTION("IF(
  ISNUMBER(BC29),
  MIN(MAX(
    BC29
    + MAX(
      ROUNDDOWN(($D30 - MAX(IFERROR(FILTER($D$24:$D29, BC$24:BC29 &lt;&gt; BB$6, BC$23:BC28 = BB$6), 0))) * (60 * 60 * 24) / BB$9) - ROUNDDOWN(($D29 - MAX(IFERROR(FILTER($D$23:$D28, BC$23:BC28 &lt;&gt; BB$6, BC$22:"&amp;"BC27 = BB$6), 0))) * (60 * 60 * 24) / 60),
      0
    )
    - COUNTIF(BB30, ""&lt;&gt;-""),
  0), BB$6),
  BB$6 - COUNTIF(BB30, ""&lt;&gt;-"")
)"),2.0)</f>
        <v>2</v>
      </c>
      <c r="BD30" s="181" t="s">
        <v>1070</v>
      </c>
      <c r="BE30" s="178" t="b">
        <v>0</v>
      </c>
      <c r="BF30" s="180" t="b">
        <v>0</v>
      </c>
      <c r="BG30" s="180" t="b">
        <v>0</v>
      </c>
      <c r="BH30" s="180" t="b">
        <v>0</v>
      </c>
      <c r="BI30" s="180" t="b">
        <v>0</v>
      </c>
      <c r="BJ30" s="180" t="b">
        <v>0</v>
      </c>
      <c r="BK30" s="180" t="b">
        <v>0</v>
      </c>
      <c r="BL30" s="180" t="b">
        <v>0</v>
      </c>
      <c r="BM30" s="180" t="b">
        <v>0</v>
      </c>
      <c r="BN30" s="180" t="b">
        <v>0</v>
      </c>
      <c r="BO30" s="181" t="s">
        <v>1070</v>
      </c>
      <c r="BP30" s="181" t="s">
        <v>1070</v>
      </c>
      <c r="BQ30" s="181" t="s">
        <v>1070</v>
      </c>
      <c r="BR30" s="181" t="s">
        <v>1070</v>
      </c>
      <c r="BS30" s="181" t="s">
        <v>1070</v>
      </c>
      <c r="BT30" s="184">
        <f>IFERROR(__xludf.DUMMYFUNCTION("IF(
  ISNUMBER(BT29),
  MIN(MAX(
    BT29
    + MAX(
      ROUNDDOWN((D30 - MAX(IFERROR(FILTER(D$24:D29, BT$24:BT29 &lt;&gt; BS$6, BT$23:BT28 = BS$6), 0))) * (60 * 60 * 24) / BS$9) - ROUNDDOWN((D29 - MAX(IFERROR(FILTER(D$23:D28, BT$23:BT28 &lt;&gt; BS$6, BT$22:BT27 ="&amp;" BS$6), 0))) * (60 * 60 * 24) / BS$9),
      0
    )
    - COUNTIF(BS30, ""&lt;&gt;-""),
  0), BS$6),
  BS$6 - COUNTIF(BS30, ""&lt;&gt;-"")
)"),3.0)</f>
        <v>3</v>
      </c>
      <c r="BU30" s="181" t="s">
        <v>1070</v>
      </c>
      <c r="BV30" s="181" t="s">
        <v>1070</v>
      </c>
      <c r="BW30" s="184">
        <f>IFERROR(__xludf.DUMMYFUNCTION("IF(
  ISNUMBER(BW29),
  MIN(MAX(
    BW29
    + MAX(
      ROUNDDOWN((D30 - MAX(IFERROR(FILTER(D$24:D29, BW$24:BW29 &lt;&gt; BV$6, BW$23:BW28 = BV$6), 0))) * (60 * 60 * 24) / BV$9) - ROUNDDOWN((D29 - MAX(IFERROR(FILTER(D$23:D28, BW$23:BW28 &lt;&gt; BV$6, BW$22:BW27 ="&amp;" BV$6), 0))) * (60 * 60 * 24) / BV$9),
      0
    )
    - COUNTIF(BV30, ""&lt;&gt;-""),
  0), BV$6),
  BV$6 - COUNTIF(BV30, ""&lt;&gt;-"")
)"),2.0)</f>
        <v>2</v>
      </c>
      <c r="BX30" s="185" t="s">
        <v>1070</v>
      </c>
      <c r="BY30" s="178" t="b">
        <v>0</v>
      </c>
      <c r="BZ30" s="180" t="b">
        <v>0</v>
      </c>
      <c r="CA30" s="180" t="b">
        <v>0</v>
      </c>
      <c r="CB30" s="180" t="b">
        <v>0</v>
      </c>
      <c r="CC30" s="180" t="b">
        <v>0</v>
      </c>
      <c r="CD30" s="180" t="b">
        <v>0</v>
      </c>
      <c r="CE30" s="180" t="b">
        <v>0</v>
      </c>
      <c r="CF30" s="180" t="b">
        <v>0</v>
      </c>
      <c r="CG30" s="180" t="b">
        <v>0</v>
      </c>
      <c r="CH30" s="180" t="b">
        <v>0</v>
      </c>
      <c r="CI30" s="180" t="b">
        <v>0</v>
      </c>
      <c r="CJ30" s="180" t="b">
        <v>0</v>
      </c>
      <c r="CK30" s="180" t="b">
        <v>0</v>
      </c>
      <c r="CL30" s="180" t="b">
        <v>0</v>
      </c>
      <c r="CM30" s="181" t="s">
        <v>1070</v>
      </c>
      <c r="CN30" s="181" t="s">
        <v>1070</v>
      </c>
      <c r="CO30" s="181" t="s">
        <v>1070</v>
      </c>
      <c r="CP30" s="181" t="s">
        <v>1070</v>
      </c>
      <c r="CQ30" s="185" t="s">
        <v>1070</v>
      </c>
      <c r="CR30" s="180" t="b">
        <v>0</v>
      </c>
      <c r="CS30" s="186" t="str">
        <f t="shared" si="14"/>
        <v>◇◇◇</v>
      </c>
      <c r="CT30" s="178" t="b">
        <v>0</v>
      </c>
      <c r="CU30" s="180" t="b">
        <v>0</v>
      </c>
      <c r="CV30" s="180" t="b">
        <v>0</v>
      </c>
      <c r="CW30" s="180" t="b">
        <v>0</v>
      </c>
      <c r="CX30" s="180" t="b">
        <v>0</v>
      </c>
      <c r="CY30" s="180" t="b">
        <v>0</v>
      </c>
      <c r="CZ30" s="180" t="b">
        <v>0</v>
      </c>
      <c r="DA30" s="180" t="b">
        <v>0</v>
      </c>
      <c r="DB30" s="180" t="b">
        <v>0</v>
      </c>
      <c r="DC30" s="180" t="b">
        <v>0</v>
      </c>
      <c r="DD30" s="181" t="s">
        <v>1070</v>
      </c>
      <c r="DE30" s="181" t="s">
        <v>1070</v>
      </c>
      <c r="DF30" s="181" t="s">
        <v>1070</v>
      </c>
      <c r="DG30" s="185" t="s">
        <v>1070</v>
      </c>
      <c r="DH30" s="180" t="b">
        <v>0</v>
      </c>
      <c r="DI30" s="187" t="str">
        <f>IFERROR(__xludf.DUMMYFUNCTION("SWITCH(
  IF(
    ISTEXT(DI29),
    IF (
      FIND(""○"", DI29&amp;""○"") &gt; 3,
      3,
      FIND(""○"", DI29&amp;""○"")
      + MAX(
        ROUNDDOWN(($D30 - MAX(IFERROR(FILTER(D$24:D29, DI$24:DI29 &lt;&gt; ""●●●"", DI$23:DI28 = ""●●●""), 0))) * (60 * 60 * 24) / 20"&amp;") - ROUNDDOWN(($D29 - MAX(IFERROR(FILTER(D$23:D28, DI$23:DI28 &lt;&gt; ""●●●"", DI$22:DI27 = ""●●●""), 0))) * (60 * 60 * 24) / 20),
        0
      ) - 1
    ) - COUNTIFS(CU30, ""=TRUE"", CU29, ""&lt;&gt;TRUE"") - COUNTIF(CZ30, ""=TRUE"") - COUNTIF({DD30,DE30}, ""&lt;&gt;-"&amp;""") + COUNTIF(DH30, ""=TRUE""),
    3
  ),
  0, ""○○○"", 1, ""●○○"", 2, ""●●○"", 3, ""●●●"", 4, ""●●●"", ""○○○""
)"),"●●●")</f>
        <v>●●●</v>
      </c>
      <c r="DJ30" s="188" t="b">
        <v>0</v>
      </c>
      <c r="DK30" s="189" t="b">
        <v>0</v>
      </c>
      <c r="DL30" s="190" t="b">
        <v>0</v>
      </c>
      <c r="DM30" s="190" t="b">
        <v>0</v>
      </c>
      <c r="DN30" s="190" t="b">
        <v>0</v>
      </c>
      <c r="DO30" s="190" t="b">
        <v>0</v>
      </c>
      <c r="DP30" s="190" t="b">
        <v>0</v>
      </c>
      <c r="DQ30" s="191" t="b">
        <v>0</v>
      </c>
      <c r="DR30" s="192" t="b">
        <v>0</v>
      </c>
      <c r="DS30" s="191" t="b">
        <v>0</v>
      </c>
      <c r="DT30" s="192" t="b">
        <v>0</v>
      </c>
      <c r="DU30" s="191" t="b">
        <v>0</v>
      </c>
      <c r="DV30" s="193" t="s">
        <v>1070</v>
      </c>
      <c r="DW30" s="194" t="b">
        <v>0</v>
      </c>
      <c r="DX30" s="194" t="b">
        <v>0</v>
      </c>
      <c r="DY30" s="195" t="b">
        <v>0</v>
      </c>
      <c r="DZ30" s="196" t="b">
        <v>0</v>
      </c>
      <c r="EA30" s="195" t="b">
        <v>0</v>
      </c>
      <c r="EB30" s="197" t="b">
        <v>0</v>
      </c>
      <c r="EC30" s="197" t="b">
        <v>0</v>
      </c>
      <c r="ED30" s="212" t="b">
        <v>0</v>
      </c>
      <c r="EE30" s="199">
        <f>IFERROR(__xludf.DUMMYFUNCTION("IFERROR(
   PRODUCT(
     MAP(
       INDEX(TRANSPOSE(UNIQUE(TRANSPOSE(FILTER({IF($F30=""Physical"", K$10:ED$10, IF($F30=""Magic"", K$11:ED$11, K$12:ED$12));K$4:ED$4;K30:ED30}, K30:ED30=TRUE)))), 1, 0),
       INDEX(TRANSPOSE(UNIQUE(TRANSPOSE(FILTER({IF($"&amp;"F30=""Physical"", K$18:ED$18, IF($F30=""Magic"", K$19:ED$19, K$20:ED$20));K$4:ED$4;K30:ED30}, K30:ED30=TRUE)))), 1, 0),
       INDEX(TRANSPOSE(UNIQUE(TRANSPOSE(FILTER({K$5:ED$5;K$4:ED$4;K30:ED30}, K30:ED30=TRUE)))), 1, 0),
       INDEX(TRANSPOSE(UNIQUE(TR"&amp;"ANSPOSE(FILTER({K$17:ED$17;K$4:ED$4;K30:ED30}, K30:ED30=TRUE)))), 1, 0),
       LAMBDA(
         mitigation,
         enhance,
         assign,
         precondition,
         IF(
           REGEXMATCH(assign, ""RANGE_PARTY|SINGLE_ENEMY|RANGE_ENEMY""),
  "&amp;"         IF(
             OR(ARRAYFORMULA((IF(precondition="""", FALSE, REGEXMATCH(K$4:ED$4, precondition))) * (K30:ED30=TRUE))),
             IF(ISNUMBER(enhance), enhance, 1),
             IF(ISNUMBER(mitigation), mitigation, 1)
           ),
          "&amp;" 1
         )
       )
     )
   ),
   1
 )"),1.0)</f>
        <v>1</v>
      </c>
      <c r="EF30" s="200">
        <f>IFERROR(__xludf.DUMMYFUNCTION("PRODUCT(
   MAP(
     K$14:ED$14,
     K$13:ED$13,
     K30:ED30,
     LAMBDA(
       buff,
       target,
       check,
       IF(
         AND(check=TRUE, REGEXMATCH(target, ""RANGE_AFFECTED_ALL|RANGE_EFFECTED_ALL""), ISNUMBER(buff)),
         buff,
   "&amp;"      1
       )
     )
   )
 )"),1.0)</f>
        <v>1</v>
      </c>
      <c r="EG30" s="200">
        <f>IFERROR(__xludf.DUMMYFUNCTION("PRODUCT(
   MAP(
     K$14:ED$14,
     K$13:ED$13,
     K30:ED30,
     LAMBDA(
       buff,
       target,
       check,
       IF(
         AND(check=TRUE, REGEXMATCH(target, ""RANGE_AFFECTED_GCD|RANGE_EFFECTED_GCD""), ISNUMBER(buff)),
         buff,
   "&amp;"      1
       )
     )
   )
 )"),1.0)</f>
        <v>1</v>
      </c>
      <c r="EH30" s="200">
        <f>IFERROR(__xludf.DUMMYFUNCTION("PRODUCT(
   MAP(
     K$3:ED$3,
     K$14:ED$14,
     K$13:ED$13,
     K30:ED30,
     LAMBDA(
       job,
       buff,
       target,
       check,
       IF(
         AND(check=TRUE, REGEXMATCH(target, ""SELF_EFFECTED_ALL""), ISNUMBER(buff), job=""白魔道士"""&amp;"),
         buff,
         1
       )
     )
   )
 )"),1.0)</f>
        <v>1</v>
      </c>
      <c r="EI30" s="200">
        <f>IFERROR(__xludf.DUMMYFUNCTION("PRODUCT(
   MAP(
     K$3:ED$3,
     K$14:ED$14,
     K$13:ED$13,
     K30:ED30,
     LAMBDA(
       job,
       buff,
       target,
       check,
       IF(
         AND(check=TRUE, REGEXMATCH(target, ""SELF_EFFECTED_GCD""), ISNUMBER(buff), job=""白魔道士"""&amp;"),
         buff,
         1
       )
     )
   )
 )"),1.0)</f>
        <v>1</v>
      </c>
      <c r="EJ30" s="200">
        <f>IFERROR(__xludf.DUMMYFUNCTION("PRODUCT(
   MAP(
     K$3:ED$3,
     K$14:ED$14,
     K$13:ED$13,
     K30:ED30,
     LAMBDA(
       job,
       buff,
       target,
       check,
       IF(
         AND(check=TRUE, REGEXMATCH(target, ""SELF_EFFECTED_ALL""), ISNUMBER(buff), job=""占星術師"""&amp;"),
         buff,
         1
       )
     )
   )
 )"),1.0)</f>
        <v>1</v>
      </c>
      <c r="EK30" s="200">
        <f>IFERROR(__xludf.DUMMYFUNCTION("PRODUCT(
   MAP(
     K$3:ED$3,
     K$14:ED$14,
     K$13:ED$13,
     K30:ED30,
     LAMBDA(
       job,
       buff,
       target,
       check,
       IF(
         AND(check=TRUE, REGEXMATCH(target, ""SELF_EFFECTED_GCD""), ISNUMBER(buff), job=""占星術師"""&amp;"),
         buff,
         1
       )
     )
   )
 )"),1.0)</f>
        <v>1</v>
      </c>
      <c r="EL30" s="200">
        <f>IFERROR(__xludf.DUMMYFUNCTION("PRODUCT(
   MAP(
     K$3:ED$3,
     K$14:ED$14,
     K$13:ED$13,
     K30:ED30,
     LAMBDA(
       job,
       buff,
       target,
       check,
       IF(
         AND(check=TRUE, REGEXMATCH(target, ""SELF_EFFECTED_ALL""), ISNUMBER(buff), job=""学者""),"&amp;"
         buff,
         1
       )
     )
   )
 )"),1.0)</f>
        <v>1</v>
      </c>
      <c r="EM30" s="200">
        <f>IFERROR(__xludf.DUMMYFUNCTION("PRODUCT(
   MAP(
     K$3:ED$3,
     K$14:ED$14,
     K$13:ED$13,
     K30:ED30,
     LAMBDA(
       job,
       buff,
       target,
       check,
       IF(
         AND(check=TRUE, REGEXMATCH(target, ""SELF_EFFECTED_GCD""), ISNUMBER(buff), job=""学者""),"&amp;"
         buff,
         1
       )
     )
   )
 )"),1.0)</f>
        <v>1</v>
      </c>
      <c r="EN30" s="200">
        <f>IFERROR(__xludf.DUMMYFUNCTION("PRODUCT(
   MAP(
     K$3:ED$3,
     K$14:ED$14,
     K$13:ED$13,
     K30:ED30,
     LAMBDA(
       job,
       buff,
       target,
       check,
       IF(
         AND(check=TRUE, REGEXMATCH(target, ""SELF_EFFECTED_ALL""), ISNUMBER(buff), job=""賢者""),"&amp;"
         buff,
         1
       )
     )
   )
 )"),1.0)</f>
        <v>1</v>
      </c>
      <c r="EO30" s="200">
        <f>IFERROR(__xludf.DUMMYFUNCTION("PRODUCT(
   MAP(
     K$3:ED$3,
     K$14:ED$14,
     K$13:ED$13,
     K30:ED30,
     LAMBDA(
       job,
       buff,
       target,
       check,
       IF(
         AND(check=TRUE, REGEXMATCH(target, ""SELF_EFFECTED_GCD""), ISNUMBER(buff), job=""賢者""),"&amp;"
         buff,
         1
       )
     )
   )
 )"),1.0)</f>
        <v>1</v>
      </c>
      <c r="EP30" s="201">
        <f t="shared" si="3"/>
        <v>0</v>
      </c>
      <c r="EQ30" s="201">
        <f>IFERROR(__xludf.DUMMYFUNCTION("SUM(
   MAP(
     K$4:ED$4,
     K$3:ED$3,
     K$7:ED$7,
     K$15:ED$15,
     K$16:ED$16,
     K$21:ED$21,
     K$5:ED$5,
     K$17:ED$17,
     K30:ED30,
     LAMBDA(
       name,
       job,
       abillity,
       buff,
       barrier,
       enhance,"&amp;"
       assign,
       precondition,
       check,
       SWITCH(
         name,
         ""シェイクオフ"", IF(check=TRUE, buff + (0.02 * COUNTIF(ARRAYFORMULA((REGEXMATCH($K$4:$ED$4, ""スリル・オブ・バトル|ヴェンジェンス|原初の血気|ダムネーション"")) * (K30:ED30=TRUE)), 1)), 0),
         "&amp;"""インプロビゼーションフィニッシュ(踊りの激情0)"", IF(ISNUMBER(check), INDEX(Skill!$AJ:$AJ, MATCH(SUBSTITUTE(DV$4, 0, check), Skill!$C:$C, 0)), 0),
         IF(
           AND(check=TRUE, REGEXMATCH(assign, ""RANGE_PARTY"")),
           IF(
             OR(ARRAYFORMULA((IF(pr"&amp;"econdition="""", FALSE, REGEXMATCH($K$4:$ED$4, precondition))) * (K30:ED30=TRUE))),
             enhance,
             IF(barrier="""", buff, barrier)
           ),
           0
         )
       ) *
       SWITCH(
         job,
         ""ナイト"", EY$24,
 "&amp;"        ""戦士"", FD$24,
         ""踊り子"", ET$24,
         ""ピクトマンサー"", ET$24,
         ""白魔道士"", EF30 * EH30 * IF(abillity, 1, EG30 * EI30) * (Option!$D$22 * 0.81 / 100),
         ""占星術師"", EF30 * EJ30 * IF(abillity, 1, EG30 * EK30) * (Option!$D$23 * 0.81 "&amp;"/ 100),
         ""学者"", EF30 * EL30 * IF(abillity, 1, EG30 * EM30) * (Option!$D$24 * 0.81 / 100),
         ""賢者"", EF30 * EN30 * IF(abillity, 1, EG30 * EO30) * (Option!$D$25 * 0.81 / 100),
         1
       )
     )
   )
 )"),0.0)</f>
        <v>0</v>
      </c>
      <c r="ER30" s="202">
        <f t="shared" si="4"/>
        <v>0</v>
      </c>
      <c r="ES30" s="203">
        <f t="shared" si="5"/>
        <v>0</v>
      </c>
      <c r="ET30" s="204" t="str">
        <f>IFERROR(__xludf.DUMMYFUNCTION("IFS(
  EP30 &gt; $ET$24 + EQ30,
  SPARKLINE({ 1, 0 }, {""charttype"",""bar"";""max"", 1;""color1"",Option!$D$30;""color2"",Option!$D$30}),
  EP30 &lt; EQ30,
  SPARKLINE({EQ30 - EP30, $ET$24 - (EQ30 - EP30)}, {""charttype"",""bar"";""max"",$ET$24;""color1"",Opti"&amp;"on!$D$28;""color2"",Option!$D$29}),
  EP30 &gt;= EQ30,
  SPARKLINE({$ET$24 + EQ30 - EP30,EP30 - EQ30}, {""charttype"",""bar"";""max"",$ET$24;""color1"",Option!$D$29;""color2"",Option!$D$30})
)"),"")</f>
        <v/>
      </c>
      <c r="EU30" s="205">
        <f>IFERROR(__xludf.DUMMYFUNCTION("PRODUCT(
   MAP(
     IF($F30=""Physical"", K$10:ED$10, IF($F30=""Magic"", K$11:ED$11, K$12:ED$12)),
     IF($F30=""Physical"", K$18:ED$18, IF($F30=""Magic"", K$19:ED$19, K$20:ED$20)),
     K$3:ED$3,
     K$5:ED$5,
     K$17:ED$17,
     K30:ED30,
     LAM"&amp;"BDA(
       mitigation,
       enhance,
       job,
       assign,
       precondition,
       check,
       IF(
         OR(AND(check=TRUE, REGEXMATCH(assign, ""SELF""), job=""ナイト""), AND(check=Option!$E$13, REGEXMATCH(assign, ""SINGLE_PARTY""))),
      "&amp;"   IF(
           OR(ARRAYFORMULA((IF(precondition="""", FALSE, REGEXMATCH($K$4:$ED$4, precondition))) * (K30:ED30=TRUE))),
           enhance,
           mitigation
         ),
         1
       )
     )
   )
 ) * EE30"),1.0)</f>
        <v>1</v>
      </c>
      <c r="EV30" s="206">
        <f t="shared" si="6"/>
        <v>0</v>
      </c>
      <c r="EW30" s="205">
        <f>IFERROR(__xludf.DUMMYFUNCTION("PRODUCT(
   MAP(
     K$3:ED$3,
     K$14:ED$14,
     K$13:ED$13,
     K30:ED30,
     LAMBDA(
       job,
       buff,
       target,
       check,
       IF(
         OR(AND(check=TRUE, REGEXMATCH(target, ""SELF_AFFECTED_ALL""), job=""ナイト""), AND(check=O"&amp;"ption!$E$13, REGEXMATCH(target, ""SINGLE_AFFECTED_ALL""))),
         buff,
         1
       )
     )
   )
 )"),1.0)</f>
        <v>1</v>
      </c>
      <c r="EX30" s="206">
        <f>IFERROR(__xludf.DUMMYFUNCTION("SUM(
   MAP(
     K$3:ED$3,
     K$7:ED$7,
     K$15:ED$15,
     K$16:ED$16,
     K$21:ED$21,
     K$5:ED$5,
     K$17:ED$17,
     K30:ED30,
     LAMBDA(
       job,
       abillity,
       buff,
       barrier,
       enhance,
       assign,
       preco"&amp;"ndition,
       check,
       IF(
         OR(AND(check=TRUE, REGEXMATCH(assign, ""SELF""), job=""ナイト""), AND(check=Option!$E$13, REGEXMATCH(assign, ""SINGLE_PARTY""))),
         IF(
           OR(ARRAYFORMULA((IF(precondition="""", FALSE, REGEXMATCH($K$4"&amp;":$ED$4, precondition))) * (K30:ED30=TRUE))),
           enhance,
           IF(barrier="""", buff, barrier)
         ),
         0
       ) *
       SWITCH(
         job,
         ""暗黒騎士"", EY$24,
         ""白魔道士"", EF30 * EH30 * EW30 * IF(abillity, 1, EG"&amp;"30 * EI30) * (Option!$D$22 * 0.81 / 100),
         ""占星術師"", EF30 * EJ30 * EW30 * IF(abillity, 1, EG30 * EK30) * (Option!$D$23 * 0.81 / 100),
         ""学者"", EF30 * EL30 * EW30 * IF(abillity, 1, EG30 * EM30) * (Option!$D$24 * 0.81 / 100),
         ""賢者"""&amp;", EF30 * EN30 * EW30 * IF(abillity, 1, EG30 * EO30) * (Option!$D$25 * 0.81 / 100),
         1
       )
     )
   )
 ) + EQ30"),0.0)</f>
        <v>0</v>
      </c>
      <c r="EY30" s="206">
        <f t="shared" si="7"/>
        <v>0</v>
      </c>
      <c r="EZ30" s="205">
        <f>IFERROR(__xludf.DUMMYFUNCTION("PRODUCT(
   MAP(
     IF($F30=""Physical"", K$10:ED$10, IF($F30=""Magic"", K$11:ED$11, K$12:ED$12)),
     IF($F30=""Physical"", K$18:ED$18, IF($F30=""Magic"", K$19:ED$19, K$20:ED$20)),
     K$3:ED$3,
     K$5:ED$5,
     K$17:ED$17,
     K30:ED30,
     LAM"&amp;"BDA(
       mitigation,
       enhance,
       job,
       assign,
       precondition,
       check,
       IF(
         OR(AND(check=TRUE, REGEXMATCH(assign, ""SELF""), job=""戦士""), AND(check=Option!$F$13, REGEXMATCH(assign, ""SINGLE_PARTY""))),
       "&amp;"  IF(
           OR(ARRAYFORMULA((IF(precondition="""", FALSE, REGEXMATCH($K$4:$ED$4, precondition))) * (K30:ED30=TRUE))),
           enhance,
           mitigation
         ),
         1
       )
     )
   )
 ) * EE30"),1.0)</f>
        <v>1</v>
      </c>
      <c r="FA30" s="206">
        <f t="shared" si="8"/>
        <v>0</v>
      </c>
      <c r="FB30" s="205">
        <f>IFERROR(__xludf.DUMMYFUNCTION("PRODUCT(
   MAP(
     K$3:ED$3,
     K$14:ED$14,
     K$13:ED$13,
     K30:ED30,
     LAMBDA(
       job,
       buff,
       target,
       check,
       IF(
         OR(AND(check=TRUE, REGEXMATCH(target, ""SELF_AFFECTED_ALL""), job=""戦士""), AND(check=Op"&amp;"tion!$F$13, REGEXMATCH(target, ""SINGLE_AFFECTED_ALL""))),
         buff,
         1
       )
     )
   )
 )"),1.0)</f>
        <v>1</v>
      </c>
      <c r="FC30" s="206">
        <f>IFERROR(__xludf.DUMMYFUNCTION("SUM(
   MAP(
     K$3:ED$3,
     K$7:ED$7,
     K$15:ED$15,
     K$16:ED$16,
     K$21:ED$21,
     K$5:ED$5,
     K$17:ED$17,
     K30:ED30,
     LAMBDA(
       job,
       abillity,
       buff,
       barrier,
       enhance,
       assign,
       preco"&amp;"ndition,
       check,
       IF(
         OR(AND(check=TRUE, REGEXMATCH(assign, ""SELF""), job=""戦士""), AND(check=Option!$F$13, REGEXMATCH(assign, ""SINGLE_PARTY""))),
         IF(
           OR(ARRAYFORMULA((IF(precondition="""", FALSE, REGEXMATCH($K$4:"&amp;"$ED$4, precondition))) * (K30:ED30=TRUE))),
           enhance,
           IF(barrier="""", buff, barrier)
         ),
         0
       ) *
       SWITCH(
         job,
         ""暗黒騎士"", FD$24,
         ""白魔道士"", EF30 * EH30 * FB30 * IF(abillity, 1, EG3"&amp;"0 * EI30) * (Option!$D$22 * 0.81 / 100),
         ""占星術師"", EF30 * EJ30 * FFB30 * IF(abillity, 1, EG30 * EK30) * (Option!$D$23 * 0.81 / 100),
         ""学者"", EF30 * EL30 * FB30 * IF(abillity, 1, EG30 * EM30) * (Option!$D$24 * 0.81 / 100),
         ""賢者"""&amp;", EF30 * EN30 * FB30 * IF(abillity, 1, EG30 * EO30) * (Option!$D$25 * 0.81 / 100),
         1
       )
     )
   )
 ) + EQ30"),0.0)</f>
        <v>0</v>
      </c>
      <c r="FD30" s="206">
        <f t="shared" si="9"/>
        <v>0</v>
      </c>
      <c r="FE30" s="205">
        <f>IFERROR(__xludf.DUMMYFUNCTION("PRODUCT(
   MAP(
     IF($F30=""Physical"", K$10:ED$10, IF($F30=""Magic"", K$11:ED$11, K$12:ED$12)),
     IF($F30=""Physical"", K$18:ED$18, IF($F30=""Magic"", K$19:ED$19, K$20:ED$20)),
     K$3:ED$3,
     K$5:ED$5,
     K$17:ED$17,
     K30:ED30,
     LAM"&amp;"BDA(
       mitigation,
       enhance,
       job,
       assign,
       precondition,
       check,
       IF(
         OR(AND(check=TRUE, REGEXMATCH(assign, ""SELF""), job=""暗黒騎士""), AND(check=Option!$G$13, REGEXMATCH(assign, ""SINGLE_PARTY""))),
     "&amp;"    IF(
           OR(ARRAYFORMULA((IF(precondition="""", FALSE, REGEXMATCH($K$4:$ED$4, precondition))) * (K30:ED30=TRUE))),
           enhance,
           mitigation
         ),
         1
       )
     )
   )
 ) * EE30"),1.0)</f>
        <v>1</v>
      </c>
      <c r="FF30" s="206">
        <f t="shared" si="10"/>
        <v>0</v>
      </c>
      <c r="FG30" s="205">
        <f>IFERROR(__xludf.DUMMYFUNCTION("PRODUCT(
   MAP(
     K$3:ED$3,
     K$14:ED$14,
     K$13:ED$13,
     K30:ED30,
     LAMBDA(
       job,
       buff,
       target,
       check,
       IF(
         OR(AND(check=TRUE, REGEXMATCH(target, ""SELF_AFFECTED_ALL""), job=""暗黒騎士""), AND(check="&amp;"Option!$G$13, REGEXMATCH(target, ""SINGLE_AFFECTED_ALL""))),
         buff,
         1
       )
     )
   )
 )"),1.0)</f>
        <v>1</v>
      </c>
      <c r="FH30" s="206">
        <f>IFERROR(__xludf.DUMMYFUNCTION("SUM(
   MAP(
     K$3:ED$3,
     K$7:ED$7,
     K$15:ED$15,
     K$16:ED$16,
     K$21:ED$21,
     K$5:ED$5,
     K$17:ED$17,
     K30:ED30,
     LAMBDA(
       job,
       abillity,
       buff,
       barrier,
       enhance,
       assign,
       preco"&amp;"ndition,
       check,
       IF(
         OR(AND(check=TRUE, REGEXMATCH(assign, ""SELF""), job=""暗黒騎士""), AND(check=Option!$G$13, REGEXMATCH(assign, ""SINGLE_PARTY""))),
         IF(
           OR(ARRAYFORMULA((IF(precondition="""", FALSE, REGEXMATCH($K$"&amp;"4:$ED$4, precondition))) * (K30:ED30=TRUE))),
           enhance,
           IF(barrier="""", buff, barrier)
         ),
         0
       ) *
       SWITCH(
         job,
         ""暗黒騎士"", FI$24,
         ""白魔道士"", EF30 * EH30 * FG30 * IF(abillity, 1, E"&amp;"G30 * EI30) * (Option!$D$22 * 0.81 / 100),
         ""占星術師"", EF30 * EJ30 * FG30 * IF(abillity, 1, EG30 * EK30) * (Option!$D$23 * 0.81 / 100),
         ""学者"", EF30 * EL30 * FG30 * IF(abillity, 1, EG30 * EM30) * (Option!$D$24 * 0.81 / 100),
         ""賢者"&amp;""", EF30 * EN30 * FG30 * IF(abillity, 1, EG30 * EO30) * (Option!$D$25 * 0.81 / 100),
         1
       )
     )
   )
 ) + EQ30"),0.0)</f>
        <v>0</v>
      </c>
      <c r="FI30" s="206">
        <f t="shared" si="11"/>
        <v>0</v>
      </c>
      <c r="FJ30" s="205">
        <f>IFERROR(__xludf.DUMMYFUNCTION("PRODUCT(
   MAP(
     IF($F30=""Physical"", K$10:ED$10, IF($F30=""Magic"", K$11:ED$11, K$12:ED$12)),
     IF($F30=""Physical"", K$18:ED$18, IF($F30=""Magic"", K$19:ED$19, K$20:ED$20)),
     K$3:ED$3,
     K$5:ED$5,
     K$17:ED$17,
     K30:ED30,
     LAM"&amp;"BDA(
       mitigation,
       enhance,
       job,
       assign,
       precondition,
       check,
       IF(
         OR(AND(check=TRUE, REGEXMATCH(assign, ""SELF""), job=""ガンブレイカー""), AND(check=Option!$H$13, REGEXMATCH(assign, ""SINGLE_PARTY""))),
  "&amp;"       IF(
           OR(ARRAYFORMULA((IF(precondition="""", FALSE, REGEXMATCH($K$4:$ED$4, precondition))) * (K30:ED30=TRUE))),
           enhance,
           mitigation
         ),
         1
       )
     )
   )
 ) * EE30"),1.0)</f>
        <v>1</v>
      </c>
      <c r="FK30" s="206">
        <f t="shared" si="12"/>
        <v>0</v>
      </c>
      <c r="FL30" s="205">
        <f>IFERROR(__xludf.DUMMYFUNCTION("PRODUCT(
   MAP(
     K$3:ED$3,
     K$14:ED$14,
     K$13:ED$13,
     K30:ED30,
     LAMBDA(
       job,
       buff,
       target,
       check,
       IF(
         OR(AND(check=TRUE, REGEXMATCH(target, ""SELF_AFFECTED_ALL""), job=""ガンブレイカー""), AND(che"&amp;"ck=Option!$H$13, REGEXMATCH(target, ""SINGLE_AFFECTED_ALL""))),
         buff,
         1
       )
     )
   )
 )"),1.0)</f>
        <v>1</v>
      </c>
      <c r="FM30" s="206">
        <f>IFERROR(__xludf.DUMMYFUNCTION("SUM(
   MAP(
     K$3:ED$3,
     K$7:ED$7,
     K$15:ED$15,
     K$16:ED$16,
     K$21:ED$21,
     K$5:ED$5,
     K$17:ED$17,
     K30:ED30,
     LAMBDA(
       job,
       abillity,
       buff,
       barrier,
       enhance,
       assign,
       preco"&amp;"ndition,
       check,
       IF(
         OR(AND(check=TRUE, REGEXMATCH(assign, ""SELF""), job=""ガンブレイカー""), AND(check=Option!$H$13, REGEXMATCH(assign, ""SINGLE_PARTY""))),
         IF(
           OR(ARRAYFORMULA((IF(precondition="""", FALSE, REGEXMATCH("&amp;"$K$4:$ED$4, precondition))) * (K30:ED30=TRUE))),
           enhance,
           IF(barrier="""", buff, barrier)
         ),
         0
       ) *
       SWITCH(
         job,
         ""暗黒騎士"", FN$24,
         ""白魔道士"", EF30 * EH30 * FL30 * IF(abillity, 1"&amp;", EG30 * EI30) * (Option!$D$22 * 0.81 / 100),
         ""占星術師"", EF30 * EJ30 * FL30 * IF(abillity, 1, EG30 * EK30) * (Option!$D$23 * 0.81 / 100),
         ""学者"", EF30 * EL30 * FL30 * IF(abillity, 1, EG30 * EM30) * (Option!$D$24 * 0.81 / 100),
         """&amp;"賢者"", EF30 * EN30 * FL30 * IF(abillity, 1, EG30 * EO30) * (Option!$D$25 * 0.81 / 100),
         1
       )
     )
   )
 ) + EQ30"),0.0)</f>
        <v>0</v>
      </c>
      <c r="FN30" s="206">
        <f t="shared" si="13"/>
        <v>0</v>
      </c>
      <c r="FO30" s="213"/>
    </row>
    <row r="31">
      <c r="B31" s="229"/>
      <c r="C31" s="217">
        <f t="shared" si="1"/>
        <v>0</v>
      </c>
      <c r="D31" s="236"/>
      <c r="E31" s="219"/>
      <c r="F31" s="167"/>
      <c r="G31" s="168" t="str">
        <f t="shared" si="2"/>
        <v/>
      </c>
      <c r="H31" s="169"/>
      <c r="I31" s="169"/>
      <c r="J31" s="169"/>
      <c r="K31" s="170" t="b">
        <v>0</v>
      </c>
      <c r="L31" s="170" t="b">
        <v>0</v>
      </c>
      <c r="M31" s="170" t="b">
        <v>0</v>
      </c>
      <c r="N31" s="171" t="s">
        <v>1070</v>
      </c>
      <c r="O31" s="172" t="b">
        <v>0</v>
      </c>
      <c r="P31" s="173" t="b">
        <v>0</v>
      </c>
      <c r="Q31" s="173" t="b">
        <v>0</v>
      </c>
      <c r="R31" s="173" t="b">
        <v>0</v>
      </c>
      <c r="S31" s="174" t="b">
        <v>0</v>
      </c>
      <c r="T31" s="175" t="b">
        <v>0</v>
      </c>
      <c r="U31" s="173" t="b">
        <v>0</v>
      </c>
      <c r="V31" s="171" t="s">
        <v>1070</v>
      </c>
      <c r="W31" s="172" t="b">
        <v>0</v>
      </c>
      <c r="X31" s="173" t="b">
        <v>0</v>
      </c>
      <c r="Y31" s="173" t="b">
        <v>0</v>
      </c>
      <c r="Z31" s="173" t="b">
        <v>0</v>
      </c>
      <c r="AA31" s="174" t="b">
        <v>0</v>
      </c>
      <c r="AB31" s="174" t="b">
        <v>0</v>
      </c>
      <c r="AC31" s="175" t="b">
        <v>0</v>
      </c>
      <c r="AD31" s="173" t="b">
        <v>0</v>
      </c>
      <c r="AE31" s="176" t="s">
        <v>1070</v>
      </c>
      <c r="AF31" s="171" t="s">
        <v>1070</v>
      </c>
      <c r="AG31" s="177">
        <f>IFERROR(__xludf.DUMMYFUNCTION("IF(
  ISNUMBER(AG30),
  MIN(MAX(
    AG30
    + MAX(
      ROUNDDOWN(($D31 - MAX(IFERROR(FILTER($D$24:$D30, AG$24:AG30 &lt;&gt; AF$6, AG$23:AG29 = AF$6), 0))) * (60 * 60 * 24) / AF$9) - ROUNDDOWN(($D30 - MAX(IFERROR(FILTER($D$23:$D29, AG$23:AG29 &lt;&gt; AF$6, AG$22:"&amp;"AG28 = AF$6), 0))) * (60 * 60 * 24) / 60),
      0
    )
    - COUNTIF(AF31, ""&lt;&gt;-""),
  0), AF$6),
  AF$6 - COUNTIF(AF31, ""&lt;&gt;-"")
)"),2.0)</f>
        <v>2</v>
      </c>
      <c r="AH31" s="173" t="b">
        <v>0</v>
      </c>
      <c r="AI31" s="173" t="b">
        <v>0</v>
      </c>
      <c r="AJ31" s="173" t="b">
        <v>0</v>
      </c>
      <c r="AK31" s="174" t="b">
        <v>0</v>
      </c>
      <c r="AL31" s="175" t="b">
        <v>0</v>
      </c>
      <c r="AM31" s="173" t="b">
        <v>0</v>
      </c>
      <c r="AN31" s="171" t="s">
        <v>1070</v>
      </c>
      <c r="AO31" s="173" t="b">
        <v>0</v>
      </c>
      <c r="AP31" s="173" t="b">
        <v>0</v>
      </c>
      <c r="AQ31" s="173" t="b">
        <v>0</v>
      </c>
      <c r="AR31" s="174" t="b">
        <v>0</v>
      </c>
      <c r="AS31" s="178" t="b">
        <v>0</v>
      </c>
      <c r="AT31" s="179" t="b">
        <v>0</v>
      </c>
      <c r="AU31" s="180" t="b">
        <v>0</v>
      </c>
      <c r="AV31" s="180" t="b">
        <v>0</v>
      </c>
      <c r="AW31" s="180" t="b">
        <v>0</v>
      </c>
      <c r="AX31" s="180" t="b">
        <v>0</v>
      </c>
      <c r="AY31" s="181" t="s">
        <v>1070</v>
      </c>
      <c r="AZ31" s="181" t="s">
        <v>1070</v>
      </c>
      <c r="BA31" s="184">
        <f>IFERROR(__xludf.DUMMYFUNCTION("IF(
  ISNUMBER(BA30),
  MIN(MAX(
    BA30
    + MAX(
      ROUNDDOWN((D31 - MAX(IFERROR(FILTER(D$24:D30, BA$24:BA30 &lt;&gt; AZ$6, BA$23:BA29 = AZ$6), 0))) * (60 * 60 * 24) / AZ$9) - ROUNDDOWN((D30 - MAX(IFERROR(FILTER(D$23:D29, BA$23:BA29 &lt;&gt; AZ$6, BA$22:BA28 ="&amp;" AZ$6), 0))) * (60 * 60 * 24) / AZ$9),
      0
    )
    - COUNTIF(AZ31, ""&lt;&gt;-""),
  0), AZ$6),
  AZ$6 - COUNTIF(AZ31, ""&lt;&gt;-"")
)"),2.0)</f>
        <v>2</v>
      </c>
      <c r="BB31" s="181" t="s">
        <v>1070</v>
      </c>
      <c r="BC31" s="183">
        <f>IFERROR(__xludf.DUMMYFUNCTION("IF(
  ISNUMBER(BC30),
  MIN(MAX(
    BC30
    + MAX(
      ROUNDDOWN(($D31 - MAX(IFERROR(FILTER($D$24:$D30, BC$24:BC30 &lt;&gt; BB$6, BC$23:BC29 = BB$6), 0))) * (60 * 60 * 24) / BB$9) - ROUNDDOWN(($D30 - MAX(IFERROR(FILTER($D$23:$D29, BC$23:BC29 &lt;&gt; BB$6, BC$22:"&amp;"BC28 = BB$6), 0))) * (60 * 60 * 24) / 60),
      0
    )
    - COUNTIF(BB31, ""&lt;&gt;-""),
  0), BB$6),
  BB$6 - COUNTIF(BB31, ""&lt;&gt;-"")
)"),2.0)</f>
        <v>2</v>
      </c>
      <c r="BD31" s="181" t="s">
        <v>1070</v>
      </c>
      <c r="BE31" s="178" t="b">
        <v>0</v>
      </c>
      <c r="BF31" s="180" t="b">
        <v>0</v>
      </c>
      <c r="BG31" s="180" t="b">
        <v>0</v>
      </c>
      <c r="BH31" s="180" t="b">
        <v>0</v>
      </c>
      <c r="BI31" s="180" t="b">
        <v>0</v>
      </c>
      <c r="BJ31" s="180" t="b">
        <v>0</v>
      </c>
      <c r="BK31" s="180" t="b">
        <v>0</v>
      </c>
      <c r="BL31" s="180" t="b">
        <v>0</v>
      </c>
      <c r="BM31" s="180" t="b">
        <v>0</v>
      </c>
      <c r="BN31" s="180" t="b">
        <v>0</v>
      </c>
      <c r="BO31" s="181" t="s">
        <v>1070</v>
      </c>
      <c r="BP31" s="181" t="s">
        <v>1070</v>
      </c>
      <c r="BQ31" s="181" t="s">
        <v>1070</v>
      </c>
      <c r="BR31" s="181" t="s">
        <v>1070</v>
      </c>
      <c r="BS31" s="181" t="s">
        <v>1070</v>
      </c>
      <c r="BT31" s="184">
        <f>IFERROR(__xludf.DUMMYFUNCTION("IF(
  ISNUMBER(BT30),
  MIN(MAX(
    BT30
    + MAX(
      ROUNDDOWN((D31 - MAX(IFERROR(FILTER(D$24:D30, BT$24:BT30 &lt;&gt; BS$6, BT$23:BT29 = BS$6), 0))) * (60 * 60 * 24) / BS$9) - ROUNDDOWN((D30 - MAX(IFERROR(FILTER(D$23:D29, BT$23:BT29 &lt;&gt; BS$6, BT$22:BT28 ="&amp;" BS$6), 0))) * (60 * 60 * 24) / BS$9),
      0
    )
    - COUNTIF(BS31, ""&lt;&gt;-""),
  0), BS$6),
  BS$6 - COUNTIF(BS31, ""&lt;&gt;-"")
)"),3.0)</f>
        <v>3</v>
      </c>
      <c r="BU31" s="181" t="s">
        <v>1070</v>
      </c>
      <c r="BV31" s="181" t="s">
        <v>1070</v>
      </c>
      <c r="BW31" s="184">
        <f>IFERROR(__xludf.DUMMYFUNCTION("IF(
  ISNUMBER(BW30),
  MIN(MAX(
    BW30
    + MAX(
      ROUNDDOWN((D31 - MAX(IFERROR(FILTER(D$24:D30, BW$24:BW30 &lt;&gt; BV$6, BW$23:BW29 = BV$6), 0))) * (60 * 60 * 24) / BV$9) - ROUNDDOWN((D30 - MAX(IFERROR(FILTER(D$23:D29, BW$23:BW29 &lt;&gt; BV$6, BW$22:BW28 ="&amp;" BV$6), 0))) * (60 * 60 * 24) / BV$9),
      0
    )
    - COUNTIF(BV31, ""&lt;&gt;-""),
  0), BV$6),
  BV$6 - COUNTIF(BV31, ""&lt;&gt;-"")
)"),2.0)</f>
        <v>2</v>
      </c>
      <c r="BX31" s="185" t="s">
        <v>1070</v>
      </c>
      <c r="BY31" s="178" t="b">
        <v>0</v>
      </c>
      <c r="BZ31" s="180" t="b">
        <v>0</v>
      </c>
      <c r="CA31" s="180" t="b">
        <v>0</v>
      </c>
      <c r="CB31" s="180" t="b">
        <v>0</v>
      </c>
      <c r="CC31" s="180" t="b">
        <v>0</v>
      </c>
      <c r="CD31" s="180" t="b">
        <v>0</v>
      </c>
      <c r="CE31" s="180" t="b">
        <v>0</v>
      </c>
      <c r="CF31" s="180" t="b">
        <v>0</v>
      </c>
      <c r="CG31" s="180" t="b">
        <v>0</v>
      </c>
      <c r="CH31" s="180" t="b">
        <v>0</v>
      </c>
      <c r="CI31" s="180" t="b">
        <v>0</v>
      </c>
      <c r="CJ31" s="180" t="b">
        <v>0</v>
      </c>
      <c r="CK31" s="180" t="b">
        <v>0</v>
      </c>
      <c r="CL31" s="180" t="b">
        <v>0</v>
      </c>
      <c r="CM31" s="181" t="s">
        <v>1070</v>
      </c>
      <c r="CN31" s="181" t="s">
        <v>1070</v>
      </c>
      <c r="CO31" s="181" t="s">
        <v>1070</v>
      </c>
      <c r="CP31" s="181" t="s">
        <v>1070</v>
      </c>
      <c r="CQ31" s="185" t="s">
        <v>1070</v>
      </c>
      <c r="CR31" s="180" t="b">
        <v>0</v>
      </c>
      <c r="CS31" s="186" t="str">
        <f t="shared" si="14"/>
        <v>◇◇◇</v>
      </c>
      <c r="CT31" s="178" t="b">
        <v>0</v>
      </c>
      <c r="CU31" s="180" t="b">
        <v>0</v>
      </c>
      <c r="CV31" s="180" t="b">
        <v>0</v>
      </c>
      <c r="CW31" s="180" t="b">
        <v>0</v>
      </c>
      <c r="CX31" s="180" t="b">
        <v>0</v>
      </c>
      <c r="CY31" s="180" t="b">
        <v>0</v>
      </c>
      <c r="CZ31" s="180" t="b">
        <v>0</v>
      </c>
      <c r="DA31" s="180" t="b">
        <v>0</v>
      </c>
      <c r="DB31" s="180" t="b">
        <v>0</v>
      </c>
      <c r="DC31" s="180" t="b">
        <v>0</v>
      </c>
      <c r="DD31" s="181" t="s">
        <v>1070</v>
      </c>
      <c r="DE31" s="181" t="s">
        <v>1070</v>
      </c>
      <c r="DF31" s="181" t="s">
        <v>1070</v>
      </c>
      <c r="DG31" s="185" t="s">
        <v>1070</v>
      </c>
      <c r="DH31" s="180" t="b">
        <v>0</v>
      </c>
      <c r="DI31" s="187" t="str">
        <f>IFERROR(__xludf.DUMMYFUNCTION("SWITCH(
  IF(
    ISTEXT(DI30),
    IF (
      FIND(""○"", DI30&amp;""○"") &gt; 3,
      3,
      FIND(""○"", DI30&amp;""○"")
      + MAX(
        ROUNDDOWN(($D31 - MAX(IFERROR(FILTER(D$24:D30, DI$24:DI30 &lt;&gt; ""●●●"", DI$23:DI29 = ""●●●""), 0))) * (60 * 60 * 24) / 20"&amp;") - ROUNDDOWN(($D30 - MAX(IFERROR(FILTER(D$23:D29, DI$23:DI29 &lt;&gt; ""●●●"", DI$22:DI28 = ""●●●""), 0))) * (60 * 60 * 24) / 20),
        0
      ) - 1
    ) - COUNTIFS(CU31, ""=TRUE"", CU30, ""&lt;&gt;TRUE"") - COUNTIF(CZ31, ""=TRUE"") - COUNTIF({DD31,DE31}, ""&lt;&gt;-"&amp;""") + COUNTIF(DH31, ""=TRUE""),
    3
  ),
  0, ""○○○"", 1, ""●○○"", 2, ""●●○"", 3, ""●●●"", 4, ""●●●"", ""○○○""
)"),"●●●")</f>
        <v>●●●</v>
      </c>
      <c r="DJ31" s="188" t="b">
        <v>0</v>
      </c>
      <c r="DK31" s="189" t="b">
        <v>0</v>
      </c>
      <c r="DL31" s="190" t="b">
        <v>0</v>
      </c>
      <c r="DM31" s="190" t="b">
        <v>0</v>
      </c>
      <c r="DN31" s="190" t="b">
        <v>0</v>
      </c>
      <c r="DO31" s="190" t="b">
        <v>0</v>
      </c>
      <c r="DP31" s="190" t="b">
        <v>0</v>
      </c>
      <c r="DQ31" s="191" t="b">
        <v>0</v>
      </c>
      <c r="DR31" s="192" t="b">
        <v>0</v>
      </c>
      <c r="DS31" s="191" t="b">
        <v>0</v>
      </c>
      <c r="DT31" s="192" t="b">
        <v>0</v>
      </c>
      <c r="DU31" s="191" t="b">
        <v>0</v>
      </c>
      <c r="DV31" s="193" t="s">
        <v>1070</v>
      </c>
      <c r="DW31" s="194" t="b">
        <v>0</v>
      </c>
      <c r="DX31" s="194" t="b">
        <v>0</v>
      </c>
      <c r="DY31" s="195" t="b">
        <v>0</v>
      </c>
      <c r="DZ31" s="196" t="b">
        <v>0</v>
      </c>
      <c r="EA31" s="195" t="b">
        <v>0</v>
      </c>
      <c r="EB31" s="197" t="b">
        <v>0</v>
      </c>
      <c r="EC31" s="197" t="b">
        <v>0</v>
      </c>
      <c r="ED31" s="212" t="b">
        <v>0</v>
      </c>
      <c r="EE31" s="199">
        <f>IFERROR(__xludf.DUMMYFUNCTION("IFERROR(
   PRODUCT(
     MAP(
       INDEX(TRANSPOSE(UNIQUE(TRANSPOSE(FILTER({IF($F31=""Physical"", K$10:ED$10, IF($F31=""Magic"", K$11:ED$11, K$12:ED$12));K$4:ED$4;K31:ED31}, K31:ED31=TRUE)))), 1, 0),
       INDEX(TRANSPOSE(UNIQUE(TRANSPOSE(FILTER({IF($"&amp;"F31=""Physical"", K$18:ED$18, IF($F31=""Magic"", K$19:ED$19, K$20:ED$20));K$4:ED$4;K31:ED31}, K31:ED31=TRUE)))), 1, 0),
       INDEX(TRANSPOSE(UNIQUE(TRANSPOSE(FILTER({K$5:ED$5;K$4:ED$4;K31:ED31}, K31:ED31=TRUE)))), 1, 0),
       INDEX(TRANSPOSE(UNIQUE(TR"&amp;"ANSPOSE(FILTER({K$17:ED$17;K$4:ED$4;K31:ED31}, K31:ED31=TRUE)))), 1, 0),
       LAMBDA(
         mitigation,
         enhance,
         assign,
         precondition,
         IF(
           REGEXMATCH(assign, ""RANGE_PARTY|SINGLE_ENEMY|RANGE_ENEMY""),
  "&amp;"         IF(
             OR(ARRAYFORMULA((IF(precondition="""", FALSE, REGEXMATCH(K$4:ED$4, precondition))) * (K31:ED31=TRUE))),
             IF(ISNUMBER(enhance), enhance, 1),
             IF(ISNUMBER(mitigation), mitigation, 1)
           ),
          "&amp;" 1
         )
       )
     )
   ),
   1
 )"),1.0)</f>
        <v>1</v>
      </c>
      <c r="EF31" s="200">
        <f>IFERROR(__xludf.DUMMYFUNCTION("PRODUCT(
   MAP(
     K$14:ED$14,
     K$13:ED$13,
     K31:ED31,
     LAMBDA(
       buff,
       target,
       check,
       IF(
         AND(check=TRUE, REGEXMATCH(target, ""RANGE_AFFECTED_ALL|RANGE_EFFECTED_ALL""), ISNUMBER(buff)),
         buff,
   "&amp;"      1
       )
     )
   )
 )"),1.0)</f>
        <v>1</v>
      </c>
      <c r="EG31" s="200">
        <f>IFERROR(__xludf.DUMMYFUNCTION("PRODUCT(
   MAP(
     K$14:ED$14,
     K$13:ED$13,
     K31:ED31,
     LAMBDA(
       buff,
       target,
       check,
       IF(
         AND(check=TRUE, REGEXMATCH(target, ""RANGE_AFFECTED_GCD|RANGE_EFFECTED_GCD""), ISNUMBER(buff)),
         buff,
   "&amp;"      1
       )
     )
   )
 )"),1.0)</f>
        <v>1</v>
      </c>
      <c r="EH31" s="200">
        <f>IFERROR(__xludf.DUMMYFUNCTION("PRODUCT(
   MAP(
     K$3:ED$3,
     K$14:ED$14,
     K$13:ED$13,
     K31:ED31,
     LAMBDA(
       job,
       buff,
       target,
       check,
       IF(
         AND(check=TRUE, REGEXMATCH(target, ""SELF_EFFECTED_ALL""), ISNUMBER(buff), job=""白魔道士"""&amp;"),
         buff,
         1
       )
     )
   )
 )"),1.0)</f>
        <v>1</v>
      </c>
      <c r="EI31" s="200">
        <f>IFERROR(__xludf.DUMMYFUNCTION("PRODUCT(
   MAP(
     K$3:ED$3,
     K$14:ED$14,
     K$13:ED$13,
     K31:ED31,
     LAMBDA(
       job,
       buff,
       target,
       check,
       IF(
         AND(check=TRUE, REGEXMATCH(target, ""SELF_EFFECTED_GCD""), ISNUMBER(buff), job=""白魔道士"""&amp;"),
         buff,
         1
       )
     )
   )
 )"),1.0)</f>
        <v>1</v>
      </c>
      <c r="EJ31" s="200">
        <f>IFERROR(__xludf.DUMMYFUNCTION("PRODUCT(
   MAP(
     K$3:ED$3,
     K$14:ED$14,
     K$13:ED$13,
     K31:ED31,
     LAMBDA(
       job,
       buff,
       target,
       check,
       IF(
         AND(check=TRUE, REGEXMATCH(target, ""SELF_EFFECTED_ALL""), ISNUMBER(buff), job=""占星術師"""&amp;"),
         buff,
         1
       )
     )
   )
 )"),1.0)</f>
        <v>1</v>
      </c>
      <c r="EK31" s="200">
        <f>IFERROR(__xludf.DUMMYFUNCTION("PRODUCT(
   MAP(
     K$3:ED$3,
     K$14:ED$14,
     K$13:ED$13,
     K31:ED31,
     LAMBDA(
       job,
       buff,
       target,
       check,
       IF(
         AND(check=TRUE, REGEXMATCH(target, ""SELF_EFFECTED_GCD""), ISNUMBER(buff), job=""占星術師"""&amp;"),
         buff,
         1
       )
     )
   )
 )"),1.0)</f>
        <v>1</v>
      </c>
      <c r="EL31" s="200">
        <f>IFERROR(__xludf.DUMMYFUNCTION("PRODUCT(
   MAP(
     K$3:ED$3,
     K$14:ED$14,
     K$13:ED$13,
     K31:ED31,
     LAMBDA(
       job,
       buff,
       target,
       check,
       IF(
         AND(check=TRUE, REGEXMATCH(target, ""SELF_EFFECTED_ALL""), ISNUMBER(buff), job=""学者""),"&amp;"
         buff,
         1
       )
     )
   )
 )"),1.0)</f>
        <v>1</v>
      </c>
      <c r="EM31" s="200">
        <f>IFERROR(__xludf.DUMMYFUNCTION("PRODUCT(
   MAP(
     K$3:ED$3,
     K$14:ED$14,
     K$13:ED$13,
     K31:ED31,
     LAMBDA(
       job,
       buff,
       target,
       check,
       IF(
         AND(check=TRUE, REGEXMATCH(target, ""SELF_EFFECTED_GCD""), ISNUMBER(buff), job=""学者""),"&amp;"
         buff,
         1
       )
     )
   )
 )"),1.0)</f>
        <v>1</v>
      </c>
      <c r="EN31" s="200">
        <f>IFERROR(__xludf.DUMMYFUNCTION("PRODUCT(
   MAP(
     K$3:ED$3,
     K$14:ED$14,
     K$13:ED$13,
     K31:ED31,
     LAMBDA(
       job,
       buff,
       target,
       check,
       IF(
         AND(check=TRUE, REGEXMATCH(target, ""SELF_EFFECTED_ALL""), ISNUMBER(buff), job=""賢者""),"&amp;"
         buff,
         1
       )
     )
   )
 )"),1.0)</f>
        <v>1</v>
      </c>
      <c r="EO31" s="200">
        <f>IFERROR(__xludf.DUMMYFUNCTION("PRODUCT(
   MAP(
     K$3:ED$3,
     K$14:ED$14,
     K$13:ED$13,
     K31:ED31,
     LAMBDA(
       job,
       buff,
       target,
       check,
       IF(
         AND(check=TRUE, REGEXMATCH(target, ""SELF_EFFECTED_GCD""), ISNUMBER(buff), job=""賢者""),"&amp;"
         buff,
         1
       )
     )
   )
 )"),1.0)</f>
        <v>1</v>
      </c>
      <c r="EP31" s="201">
        <f t="shared" si="3"/>
        <v>0</v>
      </c>
      <c r="EQ31" s="201">
        <f>IFERROR(__xludf.DUMMYFUNCTION("SUM(
   MAP(
     K$4:ED$4,
     K$3:ED$3,
     K$7:ED$7,
     K$15:ED$15,
     K$16:ED$16,
     K$21:ED$21,
     K$5:ED$5,
     K$17:ED$17,
     K31:ED31,
     LAMBDA(
       name,
       job,
       abillity,
       buff,
       barrier,
       enhance,"&amp;"
       assign,
       precondition,
       check,
       SWITCH(
         name,
         ""シェイクオフ"", IF(check=TRUE, buff + (0.02 * COUNTIF(ARRAYFORMULA((REGEXMATCH($K$4:$ED$4, ""スリル・オブ・バトル|ヴェンジェンス|原初の血気|ダムネーション"")) * (K31:ED31=TRUE)), 1)), 0),
         "&amp;"""インプロビゼーションフィニッシュ(踊りの激情0)"", IF(ISNUMBER(check), INDEX(Skill!$AJ:$AJ, MATCH(SUBSTITUTE(DV$4, 0, check), Skill!$C:$C, 0)), 0),
         IF(
           AND(check=TRUE, REGEXMATCH(assign, ""RANGE_PARTY"")),
           IF(
             OR(ARRAYFORMULA((IF(pr"&amp;"econdition="""", FALSE, REGEXMATCH($K$4:$ED$4, precondition))) * (K31:ED31=TRUE))),
             enhance,
             IF(barrier="""", buff, barrier)
           ),
           0
         )
       ) *
       SWITCH(
         job,
         ""ナイト"", EY$24,
 "&amp;"        ""戦士"", FD$24,
         ""踊り子"", ET$24,
         ""ピクトマンサー"", ET$24,
         ""白魔道士"", EF31 * EH31 * IF(abillity, 1, EG31 * EI31) * (Option!$D$22 * 0.81 / 100),
         ""占星術師"", EF31 * EJ31 * IF(abillity, 1, EG31 * EK31) * (Option!$D$23 * 0.81 "&amp;"/ 100),
         ""学者"", EF31 * EL31 * IF(abillity, 1, EG31 * EM31) * (Option!$D$24 * 0.81 / 100),
         ""賢者"", EF31 * EN31 * IF(abillity, 1, EG31 * EO31) * (Option!$D$25 * 0.81 / 100),
         1
       )
     )
   )
 )"),0.0)</f>
        <v>0</v>
      </c>
      <c r="ER31" s="202">
        <f t="shared" si="4"/>
        <v>0</v>
      </c>
      <c r="ES31" s="203">
        <f t="shared" si="5"/>
        <v>0</v>
      </c>
      <c r="ET31" s="204" t="str">
        <f>IFERROR(__xludf.DUMMYFUNCTION("IFS(
  EP31 &gt; $ET$24 + EQ31,
  SPARKLINE({ 1, 0 }, {""charttype"",""bar"";""max"", 1;""color1"",Option!$D$30;""color2"",Option!$D$30}),
  EP31 &lt; EQ31,
  SPARKLINE({EQ31 - EP31, $ET$24 - (EQ31 - EP31)}, {""charttype"",""bar"";""max"",$ET$24;""color1"",Opti"&amp;"on!$D$28;""color2"",Option!$D$29}),
  EP31 &gt;= EQ31,
  SPARKLINE({$ET$24 + EQ31 - EP31,EP31 - EQ31}, {""charttype"",""bar"";""max"",$ET$24;""color1"",Option!$D$29;""color2"",Option!$D$30})
)"),"")</f>
        <v/>
      </c>
      <c r="EU31" s="205">
        <f>IFERROR(__xludf.DUMMYFUNCTION("PRODUCT(
   MAP(
     IF($F31=""Physical"", K$10:ED$10, IF($F31=""Magic"", K$11:ED$11, K$12:ED$12)),
     IF($F31=""Physical"", K$18:ED$18, IF($F31=""Magic"", K$19:ED$19, K$20:ED$20)),
     K$3:ED$3,
     K$5:ED$5,
     K$17:ED$17,
     K31:ED31,
     LAM"&amp;"BDA(
       mitigation,
       enhance,
       job,
       assign,
       precondition,
       check,
       IF(
         OR(AND(check=TRUE, REGEXMATCH(assign, ""SELF""), job=""ナイト""), AND(check=Option!$E$13, REGEXMATCH(assign, ""SINGLE_PARTY""))),
      "&amp;"   IF(
           OR(ARRAYFORMULA((IF(precondition="""", FALSE, REGEXMATCH($K$4:$ED$4, precondition))) * (K31:ED31=TRUE))),
           enhance,
           mitigation
         ),
         1
       )
     )
   )
 ) * EE31"),1.0)</f>
        <v>1</v>
      </c>
      <c r="EV31" s="206">
        <f t="shared" si="6"/>
        <v>0</v>
      </c>
      <c r="EW31" s="205">
        <f>IFERROR(__xludf.DUMMYFUNCTION("PRODUCT(
   MAP(
     K$3:ED$3,
     K$14:ED$14,
     K$13:ED$13,
     K31:ED31,
     LAMBDA(
       job,
       buff,
       target,
       check,
       IF(
         OR(AND(check=TRUE, REGEXMATCH(target, ""SELF_AFFECTED_ALL""), job=""ナイト""), AND(check=O"&amp;"ption!$E$13, REGEXMATCH(target, ""SINGLE_AFFECTED_ALL""))),
         buff,
         1
       )
     )
   )
 )"),1.0)</f>
        <v>1</v>
      </c>
      <c r="EX31" s="206">
        <f>IFERROR(__xludf.DUMMYFUNCTION("SUM(
   MAP(
     K$3:ED$3,
     K$7:ED$7,
     K$15:ED$15,
     K$16:ED$16,
     K$21:ED$21,
     K$5:ED$5,
     K$17:ED$17,
     K31:ED31,
     LAMBDA(
       job,
       abillity,
       buff,
       barrier,
       enhance,
       assign,
       preco"&amp;"ndition,
       check,
       IF(
         OR(AND(check=TRUE, REGEXMATCH(assign, ""SELF""), job=""ナイト""), AND(check=Option!$E$13, REGEXMATCH(assign, ""SINGLE_PARTY""))),
         IF(
           OR(ARRAYFORMULA((IF(precondition="""", FALSE, REGEXMATCH($K$4"&amp;":$ED$4, precondition))) * (K31:ED31=TRUE))),
           enhance,
           IF(barrier="""", buff, barrier)
         ),
         0
       ) *
       SWITCH(
         job,
         ""暗黒騎士"", EY$24,
         ""白魔道士"", EF31 * EH31 * EW31 * IF(abillity, 1, EG"&amp;"31 * EI31) * (Option!$D$22 * 0.81 / 100),
         ""占星術師"", EF31 * EJ31 * EW31 * IF(abillity, 1, EG31 * EK31) * (Option!$D$23 * 0.81 / 100),
         ""学者"", EF31 * EL31 * EW31 * IF(abillity, 1, EG31 * EM31) * (Option!$D$24 * 0.81 / 100),
         ""賢者"""&amp;", EF31 * EN31 * EW31 * IF(abillity, 1, EG31 * EO31) * (Option!$D$25 * 0.81 / 100),
         1
       )
     )
   )
 ) + EQ31"),0.0)</f>
        <v>0</v>
      </c>
      <c r="EY31" s="206">
        <f t="shared" si="7"/>
        <v>0</v>
      </c>
      <c r="EZ31" s="205">
        <f>IFERROR(__xludf.DUMMYFUNCTION("PRODUCT(
   MAP(
     IF($F31=""Physical"", K$10:ED$10, IF($F31=""Magic"", K$11:ED$11, K$12:ED$12)),
     IF($F31=""Physical"", K$18:ED$18, IF($F31=""Magic"", K$19:ED$19, K$20:ED$20)),
     K$3:ED$3,
     K$5:ED$5,
     K$17:ED$17,
     K31:ED31,
     LAM"&amp;"BDA(
       mitigation,
       enhance,
       job,
       assign,
       precondition,
       check,
       IF(
         OR(AND(check=TRUE, REGEXMATCH(assign, ""SELF""), job=""戦士""), AND(check=Option!$F$13, REGEXMATCH(assign, ""SINGLE_PARTY""))),
       "&amp;"  IF(
           OR(ARRAYFORMULA((IF(precondition="""", FALSE, REGEXMATCH($K$4:$ED$4, precondition))) * (K31:ED31=TRUE))),
           enhance,
           mitigation
         ),
         1
       )
     )
   )
 ) * EE31"),1.0)</f>
        <v>1</v>
      </c>
      <c r="FA31" s="206">
        <f t="shared" si="8"/>
        <v>0</v>
      </c>
      <c r="FB31" s="205">
        <f>IFERROR(__xludf.DUMMYFUNCTION("PRODUCT(
   MAP(
     K$3:ED$3,
     K$14:ED$14,
     K$13:ED$13,
     K31:ED31,
     LAMBDA(
       job,
       buff,
       target,
       check,
       IF(
         OR(AND(check=TRUE, REGEXMATCH(target, ""SELF_AFFECTED_ALL""), job=""戦士""), AND(check=Op"&amp;"tion!$F$13, REGEXMATCH(target, ""SINGLE_AFFECTED_ALL""))),
         buff,
         1
       )
     )
   )
 )"),1.0)</f>
        <v>1</v>
      </c>
      <c r="FC31" s="206">
        <f>IFERROR(__xludf.DUMMYFUNCTION("SUM(
   MAP(
     K$3:ED$3,
     K$7:ED$7,
     K$15:ED$15,
     K$16:ED$16,
     K$21:ED$21,
     K$5:ED$5,
     K$17:ED$17,
     K31:ED31,
     LAMBDA(
       job,
       abillity,
       buff,
       barrier,
       enhance,
       assign,
       preco"&amp;"ndition,
       check,
       IF(
         OR(AND(check=TRUE, REGEXMATCH(assign, ""SELF""), job=""戦士""), AND(check=Option!$F$13, REGEXMATCH(assign, ""SINGLE_PARTY""))),
         IF(
           OR(ARRAYFORMULA((IF(precondition="""", FALSE, REGEXMATCH($K$4:"&amp;"$ED$4, precondition))) * (K31:ED31=TRUE))),
           enhance,
           IF(barrier="""", buff, barrier)
         ),
         0
       ) *
       SWITCH(
         job,
         ""暗黒騎士"", FD$24,
         ""白魔道士"", EF31 * EH31 * FB31 * IF(abillity, 1, EG3"&amp;"1 * EI31) * (Option!$D$22 * 0.81 / 100),
         ""占星術師"", EF31 * EJ31 * FFB31 * IF(abillity, 1, EG31 * EK31) * (Option!$D$23 * 0.81 / 100),
         ""学者"", EF31 * EL31 * FB31 * IF(abillity, 1, EG31 * EM31) * (Option!$D$24 * 0.81 / 100),
         ""賢者"""&amp;", EF31 * EN31 * FB31 * IF(abillity, 1, EG31 * EO31) * (Option!$D$25 * 0.81 / 100),
         1
       )
     )
   )
 ) + EQ31"),0.0)</f>
        <v>0</v>
      </c>
      <c r="FD31" s="206">
        <f t="shared" si="9"/>
        <v>0</v>
      </c>
      <c r="FE31" s="205">
        <f>IFERROR(__xludf.DUMMYFUNCTION("PRODUCT(
   MAP(
     IF($F31=""Physical"", K$10:ED$10, IF($F31=""Magic"", K$11:ED$11, K$12:ED$12)),
     IF($F31=""Physical"", K$18:ED$18, IF($F31=""Magic"", K$19:ED$19, K$20:ED$20)),
     K$3:ED$3,
     K$5:ED$5,
     K$17:ED$17,
     K31:ED31,
     LAM"&amp;"BDA(
       mitigation,
       enhance,
       job,
       assign,
       precondition,
       check,
       IF(
         OR(AND(check=TRUE, REGEXMATCH(assign, ""SELF""), job=""暗黒騎士""), AND(check=Option!$G$13, REGEXMATCH(assign, ""SINGLE_PARTY""))),
     "&amp;"    IF(
           OR(ARRAYFORMULA((IF(precondition="""", FALSE, REGEXMATCH($K$4:$ED$4, precondition))) * (K31:ED31=TRUE))),
           enhance,
           mitigation
         ),
         1
       )
     )
   )
 ) * EE31"),1.0)</f>
        <v>1</v>
      </c>
      <c r="FF31" s="206">
        <f t="shared" si="10"/>
        <v>0</v>
      </c>
      <c r="FG31" s="205">
        <f>IFERROR(__xludf.DUMMYFUNCTION("PRODUCT(
   MAP(
     K$3:ED$3,
     K$14:ED$14,
     K$13:ED$13,
     K31:ED31,
     LAMBDA(
       job,
       buff,
       target,
       check,
       IF(
         OR(AND(check=TRUE, REGEXMATCH(target, ""SELF_AFFECTED_ALL""), job=""暗黒騎士""), AND(check="&amp;"Option!$G$13, REGEXMATCH(target, ""SINGLE_AFFECTED_ALL""))),
         buff,
         1
       )
     )
   )
 )"),1.0)</f>
        <v>1</v>
      </c>
      <c r="FH31" s="206">
        <f>IFERROR(__xludf.DUMMYFUNCTION("SUM(
   MAP(
     K$3:ED$3,
     K$7:ED$7,
     K$15:ED$15,
     K$16:ED$16,
     K$21:ED$21,
     K$5:ED$5,
     K$17:ED$17,
     K31:ED31,
     LAMBDA(
       job,
       abillity,
       buff,
       barrier,
       enhance,
       assign,
       preco"&amp;"ndition,
       check,
       IF(
         OR(AND(check=TRUE, REGEXMATCH(assign, ""SELF""), job=""暗黒騎士""), AND(check=Option!$G$13, REGEXMATCH(assign, ""SINGLE_PARTY""))),
         IF(
           OR(ARRAYFORMULA((IF(precondition="""", FALSE, REGEXMATCH($K$"&amp;"4:$ED$4, precondition))) * (K31:ED31=TRUE))),
           enhance,
           IF(barrier="""", buff, barrier)
         ),
         0
       ) *
       SWITCH(
         job,
         ""暗黒騎士"", FI$24,
         ""白魔道士"", EF31 * EH31 * FG31 * IF(abillity, 1, E"&amp;"G31 * EI31) * (Option!$D$22 * 0.81 / 100),
         ""占星術師"", EF31 * EJ31 * FG31 * IF(abillity, 1, EG31 * EK31) * (Option!$D$23 * 0.81 / 100),
         ""学者"", EF31 * EL31 * FG31 * IF(abillity, 1, EG31 * EM31) * (Option!$D$24 * 0.81 / 100),
         ""賢者"&amp;""", EF31 * EN31 * FG31 * IF(abillity, 1, EG31 * EO31) * (Option!$D$25 * 0.81 / 100),
         1
       )
     )
   )
 ) + EQ31"),0.0)</f>
        <v>0</v>
      </c>
      <c r="FI31" s="206">
        <f t="shared" si="11"/>
        <v>0</v>
      </c>
      <c r="FJ31" s="205">
        <f>IFERROR(__xludf.DUMMYFUNCTION("PRODUCT(
   MAP(
     IF($F31=""Physical"", K$10:ED$10, IF($F31=""Magic"", K$11:ED$11, K$12:ED$12)),
     IF($F31=""Physical"", K$18:ED$18, IF($F31=""Magic"", K$19:ED$19, K$20:ED$20)),
     K$3:ED$3,
     K$5:ED$5,
     K$17:ED$17,
     K31:ED31,
     LAM"&amp;"BDA(
       mitigation,
       enhance,
       job,
       assign,
       precondition,
       check,
       IF(
         OR(AND(check=TRUE, REGEXMATCH(assign, ""SELF""), job=""ガンブレイカー""), AND(check=Option!$H$13, REGEXMATCH(assign, ""SINGLE_PARTY""))),
  "&amp;"       IF(
           OR(ARRAYFORMULA((IF(precondition="""", FALSE, REGEXMATCH($K$4:$ED$4, precondition))) * (K31:ED31=TRUE))),
           enhance,
           mitigation
         ),
         1
       )
     )
   )
 ) * EE31"),1.0)</f>
        <v>1</v>
      </c>
      <c r="FK31" s="206">
        <f t="shared" si="12"/>
        <v>0</v>
      </c>
      <c r="FL31" s="205">
        <f>IFERROR(__xludf.DUMMYFUNCTION("PRODUCT(
   MAP(
     K$3:ED$3,
     K$14:ED$14,
     K$13:ED$13,
     K31:ED31,
     LAMBDA(
       job,
       buff,
       target,
       check,
       IF(
         OR(AND(check=TRUE, REGEXMATCH(target, ""SELF_AFFECTED_ALL""), job=""ガンブレイカー""), AND(che"&amp;"ck=Option!$H$13, REGEXMATCH(target, ""SINGLE_AFFECTED_ALL""))),
         buff,
         1
       )
     )
   )
 )"),1.0)</f>
        <v>1</v>
      </c>
      <c r="FM31" s="206">
        <f>IFERROR(__xludf.DUMMYFUNCTION("SUM(
   MAP(
     K$3:ED$3,
     K$7:ED$7,
     K$15:ED$15,
     K$16:ED$16,
     K$21:ED$21,
     K$5:ED$5,
     K$17:ED$17,
     K31:ED31,
     LAMBDA(
       job,
       abillity,
       buff,
       barrier,
       enhance,
       assign,
       preco"&amp;"ndition,
       check,
       IF(
         OR(AND(check=TRUE, REGEXMATCH(assign, ""SELF""), job=""ガンブレイカー""), AND(check=Option!$H$13, REGEXMATCH(assign, ""SINGLE_PARTY""))),
         IF(
           OR(ARRAYFORMULA((IF(precondition="""", FALSE, REGEXMATCH("&amp;"$K$4:$ED$4, precondition))) * (K31:ED31=TRUE))),
           enhance,
           IF(barrier="""", buff, barrier)
         ),
         0
       ) *
       SWITCH(
         job,
         ""暗黒騎士"", FN$24,
         ""白魔道士"", EF31 * EH31 * FL31 * IF(abillity, 1"&amp;", EG31 * EI31) * (Option!$D$22 * 0.81 / 100),
         ""占星術師"", EF31 * EJ31 * FL31 * IF(abillity, 1, EG31 * EK31) * (Option!$D$23 * 0.81 / 100),
         ""学者"", EF31 * EL31 * FL31 * IF(abillity, 1, EG31 * EM31) * (Option!$D$24 * 0.81 / 100),
         """&amp;"賢者"", EF31 * EN31 * FL31 * IF(abillity, 1, EG31 * EO31) * (Option!$D$25 * 0.81 / 100),
         1
       )
     )
   )
 ) + EQ31"),0.0)</f>
        <v>0</v>
      </c>
      <c r="FN31" s="206">
        <f t="shared" si="13"/>
        <v>0</v>
      </c>
      <c r="FO31" s="213"/>
    </row>
    <row r="32">
      <c r="B32" s="229"/>
      <c r="C32" s="217">
        <f t="shared" si="1"/>
        <v>0</v>
      </c>
      <c r="D32" s="236"/>
      <c r="E32" s="226"/>
      <c r="F32" s="167"/>
      <c r="G32" s="168" t="str">
        <f t="shared" si="2"/>
        <v/>
      </c>
      <c r="H32" s="169"/>
      <c r="I32" s="169"/>
      <c r="J32" s="169"/>
      <c r="K32" s="170" t="b">
        <v>0</v>
      </c>
      <c r="L32" s="170" t="b">
        <v>0</v>
      </c>
      <c r="M32" s="170" t="b">
        <v>0</v>
      </c>
      <c r="N32" s="171" t="s">
        <v>1070</v>
      </c>
      <c r="O32" s="172" t="b">
        <v>0</v>
      </c>
      <c r="P32" s="173" t="b">
        <v>0</v>
      </c>
      <c r="Q32" s="173" t="b">
        <v>0</v>
      </c>
      <c r="R32" s="173" t="b">
        <v>0</v>
      </c>
      <c r="S32" s="174" t="b">
        <v>0</v>
      </c>
      <c r="T32" s="175" t="b">
        <v>0</v>
      </c>
      <c r="U32" s="173" t="b">
        <v>0</v>
      </c>
      <c r="V32" s="171" t="s">
        <v>1070</v>
      </c>
      <c r="W32" s="172" t="b">
        <v>0</v>
      </c>
      <c r="X32" s="173" t="b">
        <v>0</v>
      </c>
      <c r="Y32" s="173" t="b">
        <v>0</v>
      </c>
      <c r="Z32" s="173" t="b">
        <v>0</v>
      </c>
      <c r="AA32" s="174" t="b">
        <v>0</v>
      </c>
      <c r="AB32" s="174" t="b">
        <v>0</v>
      </c>
      <c r="AC32" s="175" t="b">
        <v>0</v>
      </c>
      <c r="AD32" s="173" t="b">
        <v>0</v>
      </c>
      <c r="AE32" s="176" t="s">
        <v>1070</v>
      </c>
      <c r="AF32" s="171" t="s">
        <v>1070</v>
      </c>
      <c r="AG32" s="177">
        <f>IFERROR(__xludf.DUMMYFUNCTION("IF(
  ISNUMBER(AG31),
  MIN(MAX(
    AG31
    + MAX(
      ROUNDDOWN(($D32 - MAX(IFERROR(FILTER($D$24:$D31, AG$24:AG31 &lt;&gt; AF$6, AG$23:AG30 = AF$6), 0))) * (60 * 60 * 24) / AF$9) - ROUNDDOWN(($D31 - MAX(IFERROR(FILTER($D$23:$D30, AG$23:AG30 &lt;&gt; AF$6, AG$22:"&amp;"AG29 = AF$6), 0))) * (60 * 60 * 24) / 60),
      0
    )
    - COUNTIF(AF32, ""&lt;&gt;-""),
  0), AF$6),
  AF$6 - COUNTIF(AF32, ""&lt;&gt;-"")
)"),2.0)</f>
        <v>2</v>
      </c>
      <c r="AH32" s="173" t="b">
        <v>0</v>
      </c>
      <c r="AI32" s="173" t="b">
        <v>0</v>
      </c>
      <c r="AJ32" s="173" t="b">
        <v>0</v>
      </c>
      <c r="AK32" s="174" t="b">
        <v>0</v>
      </c>
      <c r="AL32" s="175" t="b">
        <v>0</v>
      </c>
      <c r="AM32" s="173" t="b">
        <v>0</v>
      </c>
      <c r="AN32" s="171" t="s">
        <v>1070</v>
      </c>
      <c r="AO32" s="173" t="b">
        <v>0</v>
      </c>
      <c r="AP32" s="173" t="b">
        <v>0</v>
      </c>
      <c r="AQ32" s="173" t="b">
        <v>0</v>
      </c>
      <c r="AR32" s="174" t="b">
        <v>0</v>
      </c>
      <c r="AS32" s="178" t="b">
        <v>0</v>
      </c>
      <c r="AT32" s="179" t="b">
        <v>0</v>
      </c>
      <c r="AU32" s="180" t="b">
        <v>0</v>
      </c>
      <c r="AV32" s="180" t="b">
        <v>0</v>
      </c>
      <c r="AW32" s="180" t="b">
        <v>0</v>
      </c>
      <c r="AX32" s="180" t="b">
        <v>0</v>
      </c>
      <c r="AY32" s="181" t="s">
        <v>1070</v>
      </c>
      <c r="AZ32" s="181" t="s">
        <v>1070</v>
      </c>
      <c r="BA32" s="184">
        <f>IFERROR(__xludf.DUMMYFUNCTION("IF(
  ISNUMBER(BA31),
  MIN(MAX(
    BA31
    + MAX(
      ROUNDDOWN((D32 - MAX(IFERROR(FILTER(D$24:D31, BA$24:BA31 &lt;&gt; AZ$6, BA$23:BA30 = AZ$6), 0))) * (60 * 60 * 24) / AZ$9) - ROUNDDOWN((D31 - MAX(IFERROR(FILTER(D$23:D30, BA$23:BA30 &lt;&gt; AZ$6, BA$22:BA29 ="&amp;" AZ$6), 0))) * (60 * 60 * 24) / AZ$9),
      0
    )
    - COUNTIF(AZ32, ""&lt;&gt;-""),
  0), AZ$6),
  AZ$6 - COUNTIF(AZ32, ""&lt;&gt;-"")
)"),2.0)</f>
        <v>2</v>
      </c>
      <c r="BB32" s="181" t="s">
        <v>1070</v>
      </c>
      <c r="BC32" s="183">
        <f>IFERROR(__xludf.DUMMYFUNCTION("IF(
  ISNUMBER(BC31),
  MIN(MAX(
    BC31
    + MAX(
      ROUNDDOWN(($D32 - MAX(IFERROR(FILTER($D$24:$D31, BC$24:BC31 &lt;&gt; BB$6, BC$23:BC30 = BB$6), 0))) * (60 * 60 * 24) / BB$9) - ROUNDDOWN(($D31 - MAX(IFERROR(FILTER($D$23:$D30, BC$23:BC30 &lt;&gt; BB$6, BC$22:"&amp;"BC29 = BB$6), 0))) * (60 * 60 * 24) / 60),
      0
    )
    - COUNTIF(BB32, ""&lt;&gt;-""),
  0), BB$6),
  BB$6 - COUNTIF(BB32, ""&lt;&gt;-"")
)"),2.0)</f>
        <v>2</v>
      </c>
      <c r="BD32" s="181" t="s">
        <v>1070</v>
      </c>
      <c r="BE32" s="178" t="b">
        <v>0</v>
      </c>
      <c r="BF32" s="180" t="b">
        <v>0</v>
      </c>
      <c r="BG32" s="180" t="b">
        <v>0</v>
      </c>
      <c r="BH32" s="180" t="b">
        <v>0</v>
      </c>
      <c r="BI32" s="180" t="b">
        <v>0</v>
      </c>
      <c r="BJ32" s="180" t="b">
        <v>0</v>
      </c>
      <c r="BK32" s="180" t="b">
        <v>0</v>
      </c>
      <c r="BL32" s="180" t="b">
        <v>0</v>
      </c>
      <c r="BM32" s="180" t="b">
        <v>0</v>
      </c>
      <c r="BN32" s="180" t="b">
        <v>0</v>
      </c>
      <c r="BO32" s="181" t="s">
        <v>1070</v>
      </c>
      <c r="BP32" s="181" t="s">
        <v>1070</v>
      </c>
      <c r="BQ32" s="181" t="s">
        <v>1070</v>
      </c>
      <c r="BR32" s="181" t="s">
        <v>1070</v>
      </c>
      <c r="BS32" s="181" t="s">
        <v>1070</v>
      </c>
      <c r="BT32" s="184">
        <f>IFERROR(__xludf.DUMMYFUNCTION("IF(
  ISNUMBER(BT31),
  MIN(MAX(
    BT31
    + MAX(
      ROUNDDOWN((D32 - MAX(IFERROR(FILTER(D$24:D31, BT$24:BT31 &lt;&gt; BS$6, BT$23:BT30 = BS$6), 0))) * (60 * 60 * 24) / BS$9) - ROUNDDOWN((D31 - MAX(IFERROR(FILTER(D$23:D30, BT$23:BT30 &lt;&gt; BS$6, BT$22:BT29 ="&amp;" BS$6), 0))) * (60 * 60 * 24) / BS$9),
      0
    )
    - COUNTIF(BS32, ""&lt;&gt;-""),
  0), BS$6),
  BS$6 - COUNTIF(BS32, ""&lt;&gt;-"")
)"),3.0)</f>
        <v>3</v>
      </c>
      <c r="BU32" s="181" t="s">
        <v>1070</v>
      </c>
      <c r="BV32" s="181" t="s">
        <v>1070</v>
      </c>
      <c r="BW32" s="184">
        <f>IFERROR(__xludf.DUMMYFUNCTION("IF(
  ISNUMBER(BW31),
  MIN(MAX(
    BW31
    + MAX(
      ROUNDDOWN((D32 - MAX(IFERROR(FILTER(D$24:D31, BW$24:BW31 &lt;&gt; BV$6, BW$23:BW30 = BV$6), 0))) * (60 * 60 * 24) / BV$9) - ROUNDDOWN((D31 - MAX(IFERROR(FILTER(D$23:D30, BW$23:BW30 &lt;&gt; BV$6, BW$22:BW29 ="&amp;" BV$6), 0))) * (60 * 60 * 24) / BV$9),
      0
    )
    - COUNTIF(BV32, ""&lt;&gt;-""),
  0), BV$6),
  BV$6 - COUNTIF(BV32, ""&lt;&gt;-"")
)"),2.0)</f>
        <v>2</v>
      </c>
      <c r="BX32" s="185" t="s">
        <v>1070</v>
      </c>
      <c r="BY32" s="178" t="b">
        <v>0</v>
      </c>
      <c r="BZ32" s="180" t="b">
        <v>0</v>
      </c>
      <c r="CA32" s="180" t="b">
        <v>0</v>
      </c>
      <c r="CB32" s="180" t="b">
        <v>0</v>
      </c>
      <c r="CC32" s="180" t="b">
        <v>0</v>
      </c>
      <c r="CD32" s="180" t="b">
        <v>0</v>
      </c>
      <c r="CE32" s="180" t="b">
        <v>0</v>
      </c>
      <c r="CF32" s="180" t="b">
        <v>0</v>
      </c>
      <c r="CG32" s="180" t="b">
        <v>0</v>
      </c>
      <c r="CH32" s="180" t="b">
        <v>0</v>
      </c>
      <c r="CI32" s="180" t="b">
        <v>0</v>
      </c>
      <c r="CJ32" s="180" t="b">
        <v>0</v>
      </c>
      <c r="CK32" s="180" t="b">
        <v>0</v>
      </c>
      <c r="CL32" s="180" t="b">
        <v>0</v>
      </c>
      <c r="CM32" s="181" t="s">
        <v>1070</v>
      </c>
      <c r="CN32" s="181" t="s">
        <v>1070</v>
      </c>
      <c r="CO32" s="181" t="s">
        <v>1070</v>
      </c>
      <c r="CP32" s="181" t="s">
        <v>1070</v>
      </c>
      <c r="CQ32" s="185" t="s">
        <v>1070</v>
      </c>
      <c r="CR32" s="180" t="b">
        <v>0</v>
      </c>
      <c r="CS32" s="186" t="str">
        <f t="shared" si="14"/>
        <v>◇◇◇</v>
      </c>
      <c r="CT32" s="178" t="b">
        <v>0</v>
      </c>
      <c r="CU32" s="180" t="b">
        <v>0</v>
      </c>
      <c r="CV32" s="180" t="b">
        <v>0</v>
      </c>
      <c r="CW32" s="180" t="b">
        <v>0</v>
      </c>
      <c r="CX32" s="180" t="b">
        <v>0</v>
      </c>
      <c r="CY32" s="180" t="b">
        <v>0</v>
      </c>
      <c r="CZ32" s="180" t="b">
        <v>0</v>
      </c>
      <c r="DA32" s="180" t="b">
        <v>0</v>
      </c>
      <c r="DB32" s="180" t="b">
        <v>0</v>
      </c>
      <c r="DC32" s="180" t="b">
        <v>0</v>
      </c>
      <c r="DD32" s="181" t="s">
        <v>1070</v>
      </c>
      <c r="DE32" s="181" t="s">
        <v>1070</v>
      </c>
      <c r="DF32" s="181" t="s">
        <v>1070</v>
      </c>
      <c r="DG32" s="185" t="s">
        <v>1070</v>
      </c>
      <c r="DH32" s="180" t="b">
        <v>0</v>
      </c>
      <c r="DI32" s="187" t="str">
        <f>IFERROR(__xludf.DUMMYFUNCTION("SWITCH(
  IF(
    ISTEXT(DI31),
    IF (
      FIND(""○"", DI31&amp;""○"") &gt; 3,
      3,
      FIND(""○"", DI31&amp;""○"")
      + MAX(
        ROUNDDOWN(($D32 - MAX(IFERROR(FILTER(D$24:D31, DI$24:DI31 &lt;&gt; ""●●●"", DI$23:DI30 = ""●●●""), 0))) * (60 * 60 * 24) / 20"&amp;") - ROUNDDOWN(($D31 - MAX(IFERROR(FILTER(D$23:D30, DI$23:DI30 &lt;&gt; ""●●●"", DI$22:DI29 = ""●●●""), 0))) * (60 * 60 * 24) / 20),
        0
      ) - 1
    ) - COUNTIFS(CU32, ""=TRUE"", CU31, ""&lt;&gt;TRUE"") - COUNTIF(CZ32, ""=TRUE"") - COUNTIF({DD32,DE32}, ""&lt;&gt;-"&amp;""") + COUNTIF(DH32, ""=TRUE""),
    3
  ),
  0, ""○○○"", 1, ""●○○"", 2, ""●●○"", 3, ""●●●"", 4, ""●●●"", ""○○○""
)"),"●●●")</f>
        <v>●●●</v>
      </c>
      <c r="DJ32" s="188" t="b">
        <v>0</v>
      </c>
      <c r="DK32" s="189" t="b">
        <v>0</v>
      </c>
      <c r="DL32" s="190" t="b">
        <v>0</v>
      </c>
      <c r="DM32" s="190" t="b">
        <v>0</v>
      </c>
      <c r="DN32" s="190" t="b">
        <v>0</v>
      </c>
      <c r="DO32" s="190" t="b">
        <v>0</v>
      </c>
      <c r="DP32" s="190" t="b">
        <v>0</v>
      </c>
      <c r="DQ32" s="191" t="b">
        <v>0</v>
      </c>
      <c r="DR32" s="192" t="b">
        <v>0</v>
      </c>
      <c r="DS32" s="191" t="b">
        <v>0</v>
      </c>
      <c r="DT32" s="192" t="b">
        <v>0</v>
      </c>
      <c r="DU32" s="191" t="b">
        <v>0</v>
      </c>
      <c r="DV32" s="193" t="s">
        <v>1070</v>
      </c>
      <c r="DW32" s="194" t="b">
        <v>0</v>
      </c>
      <c r="DX32" s="194" t="b">
        <v>0</v>
      </c>
      <c r="DY32" s="195" t="b">
        <v>0</v>
      </c>
      <c r="DZ32" s="196" t="b">
        <v>0</v>
      </c>
      <c r="EA32" s="195" t="b">
        <v>0</v>
      </c>
      <c r="EB32" s="197" t="b">
        <v>0</v>
      </c>
      <c r="EC32" s="197" t="b">
        <v>0</v>
      </c>
      <c r="ED32" s="212" t="b">
        <v>0</v>
      </c>
      <c r="EE32" s="199">
        <f>IFERROR(__xludf.DUMMYFUNCTION("IFERROR(
   PRODUCT(
     MAP(
       INDEX(TRANSPOSE(UNIQUE(TRANSPOSE(FILTER({IF($F32=""Physical"", K$10:ED$10, IF($F32=""Magic"", K$11:ED$11, K$12:ED$12));K$4:ED$4;K32:ED32}, K32:ED32=TRUE)))), 1, 0),
       INDEX(TRANSPOSE(UNIQUE(TRANSPOSE(FILTER({IF($"&amp;"F32=""Physical"", K$18:ED$18, IF($F32=""Magic"", K$19:ED$19, K$20:ED$20));K$4:ED$4;K32:ED32}, K32:ED32=TRUE)))), 1, 0),
       INDEX(TRANSPOSE(UNIQUE(TRANSPOSE(FILTER({K$5:ED$5;K$4:ED$4;K32:ED32}, K32:ED32=TRUE)))), 1, 0),
       INDEX(TRANSPOSE(UNIQUE(TR"&amp;"ANSPOSE(FILTER({K$17:ED$17;K$4:ED$4;K32:ED32}, K32:ED32=TRUE)))), 1, 0),
       LAMBDA(
         mitigation,
         enhance,
         assign,
         precondition,
         IF(
           REGEXMATCH(assign, ""RANGE_PARTY|SINGLE_ENEMY|RANGE_ENEMY""),
  "&amp;"         IF(
             OR(ARRAYFORMULA((IF(precondition="""", FALSE, REGEXMATCH(K$4:ED$4, precondition))) * (K32:ED32=TRUE))),
             IF(ISNUMBER(enhance), enhance, 1),
             IF(ISNUMBER(mitigation), mitigation, 1)
           ),
          "&amp;" 1
         )
       )
     )
   ),
   1
 )"),1.0)</f>
        <v>1</v>
      </c>
      <c r="EF32" s="200">
        <f>IFERROR(__xludf.DUMMYFUNCTION("PRODUCT(
   MAP(
     K$14:ED$14,
     K$13:ED$13,
     K32:ED32,
     LAMBDA(
       buff,
       target,
       check,
       IF(
         AND(check=TRUE, REGEXMATCH(target, ""RANGE_AFFECTED_ALL|RANGE_EFFECTED_ALL""), ISNUMBER(buff)),
         buff,
   "&amp;"      1
       )
     )
   )
 )"),1.0)</f>
        <v>1</v>
      </c>
      <c r="EG32" s="200">
        <f>IFERROR(__xludf.DUMMYFUNCTION("PRODUCT(
   MAP(
     K$14:ED$14,
     K$13:ED$13,
     K32:ED32,
     LAMBDA(
       buff,
       target,
       check,
       IF(
         AND(check=TRUE, REGEXMATCH(target, ""RANGE_AFFECTED_GCD|RANGE_EFFECTED_GCD""), ISNUMBER(buff)),
         buff,
   "&amp;"      1
       )
     )
   )
 )"),1.0)</f>
        <v>1</v>
      </c>
      <c r="EH32" s="200">
        <f>IFERROR(__xludf.DUMMYFUNCTION("PRODUCT(
   MAP(
     K$3:ED$3,
     K$14:ED$14,
     K$13:ED$13,
     K32:ED32,
     LAMBDA(
       job,
       buff,
       target,
       check,
       IF(
         AND(check=TRUE, REGEXMATCH(target, ""SELF_EFFECTED_ALL""), ISNUMBER(buff), job=""白魔道士"""&amp;"),
         buff,
         1
       )
     )
   )
 )"),1.0)</f>
        <v>1</v>
      </c>
      <c r="EI32" s="200">
        <f>IFERROR(__xludf.DUMMYFUNCTION("PRODUCT(
   MAP(
     K$3:ED$3,
     K$14:ED$14,
     K$13:ED$13,
     K32:ED32,
     LAMBDA(
       job,
       buff,
       target,
       check,
       IF(
         AND(check=TRUE, REGEXMATCH(target, ""SELF_EFFECTED_GCD""), ISNUMBER(buff), job=""白魔道士"""&amp;"),
         buff,
         1
       )
     )
   )
 )"),1.0)</f>
        <v>1</v>
      </c>
      <c r="EJ32" s="200">
        <f>IFERROR(__xludf.DUMMYFUNCTION("PRODUCT(
   MAP(
     K$3:ED$3,
     K$14:ED$14,
     K$13:ED$13,
     K32:ED32,
     LAMBDA(
       job,
       buff,
       target,
       check,
       IF(
         AND(check=TRUE, REGEXMATCH(target, ""SELF_EFFECTED_ALL""), ISNUMBER(buff), job=""占星術師"""&amp;"),
         buff,
         1
       )
     )
   )
 )"),1.0)</f>
        <v>1</v>
      </c>
      <c r="EK32" s="200">
        <f>IFERROR(__xludf.DUMMYFUNCTION("PRODUCT(
   MAP(
     K$3:ED$3,
     K$14:ED$14,
     K$13:ED$13,
     K32:ED32,
     LAMBDA(
       job,
       buff,
       target,
       check,
       IF(
         AND(check=TRUE, REGEXMATCH(target, ""SELF_EFFECTED_GCD""), ISNUMBER(buff), job=""占星術師"""&amp;"),
         buff,
         1
       )
     )
   )
 )"),1.0)</f>
        <v>1</v>
      </c>
      <c r="EL32" s="200">
        <f>IFERROR(__xludf.DUMMYFUNCTION("PRODUCT(
   MAP(
     K$3:ED$3,
     K$14:ED$14,
     K$13:ED$13,
     K32:ED32,
     LAMBDA(
       job,
       buff,
       target,
       check,
       IF(
         AND(check=TRUE, REGEXMATCH(target, ""SELF_EFFECTED_ALL""), ISNUMBER(buff), job=""学者""),"&amp;"
         buff,
         1
       )
     )
   )
 )"),1.0)</f>
        <v>1</v>
      </c>
      <c r="EM32" s="200">
        <f>IFERROR(__xludf.DUMMYFUNCTION("PRODUCT(
   MAP(
     K$3:ED$3,
     K$14:ED$14,
     K$13:ED$13,
     K32:ED32,
     LAMBDA(
       job,
       buff,
       target,
       check,
       IF(
         AND(check=TRUE, REGEXMATCH(target, ""SELF_EFFECTED_GCD""), ISNUMBER(buff), job=""学者""),"&amp;"
         buff,
         1
       )
     )
   )
 )"),1.0)</f>
        <v>1</v>
      </c>
      <c r="EN32" s="200">
        <f>IFERROR(__xludf.DUMMYFUNCTION("PRODUCT(
   MAP(
     K$3:ED$3,
     K$14:ED$14,
     K$13:ED$13,
     K32:ED32,
     LAMBDA(
       job,
       buff,
       target,
       check,
       IF(
         AND(check=TRUE, REGEXMATCH(target, ""SELF_EFFECTED_ALL""), ISNUMBER(buff), job=""賢者""),"&amp;"
         buff,
         1
       )
     )
   )
 )"),1.0)</f>
        <v>1</v>
      </c>
      <c r="EO32" s="200">
        <f>IFERROR(__xludf.DUMMYFUNCTION("PRODUCT(
   MAP(
     K$3:ED$3,
     K$14:ED$14,
     K$13:ED$13,
     K32:ED32,
     LAMBDA(
       job,
       buff,
       target,
       check,
       IF(
         AND(check=TRUE, REGEXMATCH(target, ""SELF_EFFECTED_GCD""), ISNUMBER(buff), job=""賢者""),"&amp;"
         buff,
         1
       )
     )
   )
 )"),1.0)</f>
        <v>1</v>
      </c>
      <c r="EP32" s="201">
        <f t="shared" si="3"/>
        <v>0</v>
      </c>
      <c r="EQ32" s="201">
        <f>IFERROR(__xludf.DUMMYFUNCTION("SUM(
   MAP(
     K$4:ED$4,
     K$3:ED$3,
     K$7:ED$7,
     K$15:ED$15,
     K$16:ED$16,
     K$21:ED$21,
     K$5:ED$5,
     K$17:ED$17,
     K32:ED32,
     LAMBDA(
       name,
       job,
       abillity,
       buff,
       barrier,
       enhance,"&amp;"
       assign,
       precondition,
       check,
       SWITCH(
         name,
         ""シェイクオフ"", IF(check=TRUE, buff + (0.02 * COUNTIF(ARRAYFORMULA((REGEXMATCH($K$4:$ED$4, ""スリル・オブ・バトル|ヴェンジェンス|原初の血気|ダムネーション"")) * (K32:ED32=TRUE)), 1)), 0),
         "&amp;"""インプロビゼーションフィニッシュ(踊りの激情0)"", IF(ISNUMBER(check), INDEX(Skill!$AJ:$AJ, MATCH(SUBSTITUTE(DV$4, 0, check), Skill!$C:$C, 0)), 0),
         IF(
           AND(check=TRUE, REGEXMATCH(assign, ""RANGE_PARTY"")),
           IF(
             OR(ARRAYFORMULA((IF(pr"&amp;"econdition="""", FALSE, REGEXMATCH($K$4:$ED$4, precondition))) * (K32:ED32=TRUE))),
             enhance,
             IF(barrier="""", buff, barrier)
           ),
           0
         )
       ) *
       SWITCH(
         job,
         ""ナイト"", EY$24,
 "&amp;"        ""戦士"", FD$24,
         ""踊り子"", ET$24,
         ""ピクトマンサー"", ET$24,
         ""白魔道士"", EF32 * EH32 * IF(abillity, 1, EG32 * EI32) * (Option!$D$22 * 0.81 / 100),
         ""占星術師"", EF32 * EJ32 * IF(abillity, 1, EG32 * EK32) * (Option!$D$23 * 0.81 "&amp;"/ 100),
         ""学者"", EF32 * EL32 * IF(abillity, 1, EG32 * EM32) * (Option!$D$24 * 0.81 / 100),
         ""賢者"", EF32 * EN32 * IF(abillity, 1, EG32 * EO32) * (Option!$D$25 * 0.81 / 100),
         1
       )
     )
   )
 )"),0.0)</f>
        <v>0</v>
      </c>
      <c r="ER32" s="202">
        <f t="shared" si="4"/>
        <v>0</v>
      </c>
      <c r="ES32" s="203">
        <f t="shared" si="5"/>
        <v>0</v>
      </c>
      <c r="ET32" s="204" t="str">
        <f>IFERROR(__xludf.DUMMYFUNCTION("IFS(
  EP32 &gt; $ET$24 + EQ32,
  SPARKLINE({ 1, 0 }, {""charttype"",""bar"";""max"", 1;""color1"",Option!$D$30;""color2"",Option!$D$30}),
  EP32 &lt; EQ32,
  SPARKLINE({EQ32 - EP32, $ET$24 - (EQ32 - EP32)}, {""charttype"",""bar"";""max"",$ET$24;""color1"",Opti"&amp;"on!$D$28;""color2"",Option!$D$29}),
  EP32 &gt;= EQ32,
  SPARKLINE({$ET$24 + EQ32 - EP32,EP32 - EQ32}, {""charttype"",""bar"";""max"",$ET$24;""color1"",Option!$D$29;""color2"",Option!$D$30})
)"),"")</f>
        <v/>
      </c>
      <c r="EU32" s="205">
        <f>IFERROR(__xludf.DUMMYFUNCTION("PRODUCT(
   MAP(
     IF($F32=""Physical"", K$10:ED$10, IF($F32=""Magic"", K$11:ED$11, K$12:ED$12)),
     IF($F32=""Physical"", K$18:ED$18, IF($F32=""Magic"", K$19:ED$19, K$20:ED$20)),
     K$3:ED$3,
     K$5:ED$5,
     K$17:ED$17,
     K32:ED32,
     LAM"&amp;"BDA(
       mitigation,
       enhance,
       job,
       assign,
       precondition,
       check,
       IF(
         OR(AND(check=TRUE, REGEXMATCH(assign, ""SELF""), job=""ナイト""), AND(check=Option!$E$13, REGEXMATCH(assign, ""SINGLE_PARTY""))),
      "&amp;"   IF(
           OR(ARRAYFORMULA((IF(precondition="""", FALSE, REGEXMATCH($K$4:$ED$4, precondition))) * (K32:ED32=TRUE))),
           enhance,
           mitigation
         ),
         1
       )
     )
   )
 ) * EE32"),1.0)</f>
        <v>1</v>
      </c>
      <c r="EV32" s="206">
        <f t="shared" si="6"/>
        <v>0</v>
      </c>
      <c r="EW32" s="205">
        <f>IFERROR(__xludf.DUMMYFUNCTION("PRODUCT(
   MAP(
     K$3:ED$3,
     K$14:ED$14,
     K$13:ED$13,
     K32:ED32,
     LAMBDA(
       job,
       buff,
       target,
       check,
       IF(
         OR(AND(check=TRUE, REGEXMATCH(target, ""SELF_AFFECTED_ALL""), job=""ナイト""), AND(check=O"&amp;"ption!$E$13, REGEXMATCH(target, ""SINGLE_AFFECTED_ALL""))),
         buff,
         1
       )
     )
   )
 )"),1.0)</f>
        <v>1</v>
      </c>
      <c r="EX32" s="206">
        <f>IFERROR(__xludf.DUMMYFUNCTION("SUM(
   MAP(
     K$3:ED$3,
     K$7:ED$7,
     K$15:ED$15,
     K$16:ED$16,
     K$21:ED$21,
     K$5:ED$5,
     K$17:ED$17,
     K32:ED32,
     LAMBDA(
       job,
       abillity,
       buff,
       barrier,
       enhance,
       assign,
       preco"&amp;"ndition,
       check,
       IF(
         OR(AND(check=TRUE, REGEXMATCH(assign, ""SELF""), job=""ナイト""), AND(check=Option!$E$13, REGEXMATCH(assign, ""SINGLE_PARTY""))),
         IF(
           OR(ARRAYFORMULA((IF(precondition="""", FALSE, REGEXMATCH($K$4"&amp;":$ED$4, precondition))) * (K32:ED32=TRUE))),
           enhance,
           IF(barrier="""", buff, barrier)
         ),
         0
       ) *
       SWITCH(
         job,
         ""暗黒騎士"", EY$24,
         ""白魔道士"", EF32 * EH32 * EW32 * IF(abillity, 1, EG"&amp;"32 * EI32) * (Option!$D$22 * 0.81 / 100),
         ""占星術師"", EF32 * EJ32 * EW32 * IF(abillity, 1, EG32 * EK32) * (Option!$D$23 * 0.81 / 100),
         ""学者"", EF32 * EL32 * EW32 * IF(abillity, 1, EG32 * EM32) * (Option!$D$24 * 0.81 / 100),
         ""賢者"""&amp;", EF32 * EN32 * EW32 * IF(abillity, 1, EG32 * EO32) * (Option!$D$25 * 0.81 / 100),
         1
       )
     )
   )
 ) + EQ32"),0.0)</f>
        <v>0</v>
      </c>
      <c r="EY32" s="206">
        <f t="shared" si="7"/>
        <v>0</v>
      </c>
      <c r="EZ32" s="205">
        <f>IFERROR(__xludf.DUMMYFUNCTION("PRODUCT(
   MAP(
     IF($F32=""Physical"", K$10:ED$10, IF($F32=""Magic"", K$11:ED$11, K$12:ED$12)),
     IF($F32=""Physical"", K$18:ED$18, IF($F32=""Magic"", K$19:ED$19, K$20:ED$20)),
     K$3:ED$3,
     K$5:ED$5,
     K$17:ED$17,
     K32:ED32,
     LAM"&amp;"BDA(
       mitigation,
       enhance,
       job,
       assign,
       precondition,
       check,
       IF(
         OR(AND(check=TRUE, REGEXMATCH(assign, ""SELF""), job=""戦士""), AND(check=Option!$F$13, REGEXMATCH(assign, ""SINGLE_PARTY""))),
       "&amp;"  IF(
           OR(ARRAYFORMULA((IF(precondition="""", FALSE, REGEXMATCH($K$4:$ED$4, precondition))) * (K32:ED32=TRUE))),
           enhance,
           mitigation
         ),
         1
       )
     )
   )
 ) * EE32"),1.0)</f>
        <v>1</v>
      </c>
      <c r="FA32" s="206">
        <f t="shared" si="8"/>
        <v>0</v>
      </c>
      <c r="FB32" s="205">
        <f>IFERROR(__xludf.DUMMYFUNCTION("PRODUCT(
   MAP(
     K$3:ED$3,
     K$14:ED$14,
     K$13:ED$13,
     K32:ED32,
     LAMBDA(
       job,
       buff,
       target,
       check,
       IF(
         OR(AND(check=TRUE, REGEXMATCH(target, ""SELF_AFFECTED_ALL""), job=""戦士""), AND(check=Op"&amp;"tion!$F$13, REGEXMATCH(target, ""SINGLE_AFFECTED_ALL""))),
         buff,
         1
       )
     )
   )
 )"),1.0)</f>
        <v>1</v>
      </c>
      <c r="FC32" s="206">
        <f>IFERROR(__xludf.DUMMYFUNCTION("SUM(
   MAP(
     K$3:ED$3,
     K$7:ED$7,
     K$15:ED$15,
     K$16:ED$16,
     K$21:ED$21,
     K$5:ED$5,
     K$17:ED$17,
     K32:ED32,
     LAMBDA(
       job,
       abillity,
       buff,
       barrier,
       enhance,
       assign,
       preco"&amp;"ndition,
       check,
       IF(
         OR(AND(check=TRUE, REGEXMATCH(assign, ""SELF""), job=""戦士""), AND(check=Option!$F$13, REGEXMATCH(assign, ""SINGLE_PARTY""))),
         IF(
           OR(ARRAYFORMULA((IF(precondition="""", FALSE, REGEXMATCH($K$4:"&amp;"$ED$4, precondition))) * (K32:ED32=TRUE))),
           enhance,
           IF(barrier="""", buff, barrier)
         ),
         0
       ) *
       SWITCH(
         job,
         ""暗黒騎士"", FD$24,
         ""白魔道士"", EF32 * EH32 * FB32 * IF(abillity, 1, EG3"&amp;"2 * EI32) * (Option!$D$22 * 0.81 / 100),
         ""占星術師"", EF32 * EJ32 * FFB32 * IF(abillity, 1, EG32 * EK32) * (Option!$D$23 * 0.81 / 100),
         ""学者"", EF32 * EL32 * FB32 * IF(abillity, 1, EG32 * EM32) * (Option!$D$24 * 0.81 / 100),
         ""賢者"""&amp;", EF32 * EN32 * FB32 * IF(abillity, 1, EG32 * EO32) * (Option!$D$25 * 0.81 / 100),
         1
       )
     )
   )
 ) + EQ32"),0.0)</f>
        <v>0</v>
      </c>
      <c r="FD32" s="206">
        <f t="shared" si="9"/>
        <v>0</v>
      </c>
      <c r="FE32" s="205">
        <f>IFERROR(__xludf.DUMMYFUNCTION("PRODUCT(
   MAP(
     IF($F32=""Physical"", K$10:ED$10, IF($F32=""Magic"", K$11:ED$11, K$12:ED$12)),
     IF($F32=""Physical"", K$18:ED$18, IF($F32=""Magic"", K$19:ED$19, K$20:ED$20)),
     K$3:ED$3,
     K$5:ED$5,
     K$17:ED$17,
     K32:ED32,
     LAM"&amp;"BDA(
       mitigation,
       enhance,
       job,
       assign,
       precondition,
       check,
       IF(
         OR(AND(check=TRUE, REGEXMATCH(assign, ""SELF""), job=""暗黒騎士""), AND(check=Option!$G$13, REGEXMATCH(assign, ""SINGLE_PARTY""))),
     "&amp;"    IF(
           OR(ARRAYFORMULA((IF(precondition="""", FALSE, REGEXMATCH($K$4:$ED$4, precondition))) * (K32:ED32=TRUE))),
           enhance,
           mitigation
         ),
         1
       )
     )
   )
 ) * EE32"),1.0)</f>
        <v>1</v>
      </c>
      <c r="FF32" s="206">
        <f t="shared" si="10"/>
        <v>0</v>
      </c>
      <c r="FG32" s="205">
        <f>IFERROR(__xludf.DUMMYFUNCTION("PRODUCT(
   MAP(
     K$3:ED$3,
     K$14:ED$14,
     K$13:ED$13,
     K32:ED32,
     LAMBDA(
       job,
       buff,
       target,
       check,
       IF(
         OR(AND(check=TRUE, REGEXMATCH(target, ""SELF_AFFECTED_ALL""), job=""暗黒騎士""), AND(check="&amp;"Option!$G$13, REGEXMATCH(target, ""SINGLE_AFFECTED_ALL""))),
         buff,
         1
       )
     )
   )
 )"),1.0)</f>
        <v>1</v>
      </c>
      <c r="FH32" s="206">
        <f>IFERROR(__xludf.DUMMYFUNCTION("SUM(
   MAP(
     K$3:ED$3,
     K$7:ED$7,
     K$15:ED$15,
     K$16:ED$16,
     K$21:ED$21,
     K$5:ED$5,
     K$17:ED$17,
     K32:ED32,
     LAMBDA(
       job,
       abillity,
       buff,
       barrier,
       enhance,
       assign,
       preco"&amp;"ndition,
       check,
       IF(
         OR(AND(check=TRUE, REGEXMATCH(assign, ""SELF""), job=""暗黒騎士""), AND(check=Option!$G$13, REGEXMATCH(assign, ""SINGLE_PARTY""))),
         IF(
           OR(ARRAYFORMULA((IF(precondition="""", FALSE, REGEXMATCH($K$"&amp;"4:$ED$4, precondition))) * (K32:ED32=TRUE))),
           enhance,
           IF(barrier="""", buff, barrier)
         ),
         0
       ) *
       SWITCH(
         job,
         ""暗黒騎士"", FI$24,
         ""白魔道士"", EF32 * EH32 * FG32 * IF(abillity, 1, E"&amp;"G32 * EI32) * (Option!$D$22 * 0.81 / 100),
         ""占星術師"", EF32 * EJ32 * FG32 * IF(abillity, 1, EG32 * EK32) * (Option!$D$23 * 0.81 / 100),
         ""学者"", EF32 * EL32 * FG32 * IF(abillity, 1, EG32 * EM32) * (Option!$D$24 * 0.81 / 100),
         ""賢者"&amp;""", EF32 * EN32 * FG32 * IF(abillity, 1, EG32 * EO32) * (Option!$D$25 * 0.81 / 100),
         1
       )
     )
   )
 ) + EQ32"),0.0)</f>
        <v>0</v>
      </c>
      <c r="FI32" s="206">
        <f t="shared" si="11"/>
        <v>0</v>
      </c>
      <c r="FJ32" s="205">
        <f>IFERROR(__xludf.DUMMYFUNCTION("PRODUCT(
   MAP(
     IF($F32=""Physical"", K$10:ED$10, IF($F32=""Magic"", K$11:ED$11, K$12:ED$12)),
     IF($F32=""Physical"", K$18:ED$18, IF($F32=""Magic"", K$19:ED$19, K$20:ED$20)),
     K$3:ED$3,
     K$5:ED$5,
     K$17:ED$17,
     K32:ED32,
     LAM"&amp;"BDA(
       mitigation,
       enhance,
       job,
       assign,
       precondition,
       check,
       IF(
         OR(AND(check=TRUE, REGEXMATCH(assign, ""SELF""), job=""ガンブレイカー""), AND(check=Option!$H$13, REGEXMATCH(assign, ""SINGLE_PARTY""))),
  "&amp;"       IF(
           OR(ARRAYFORMULA((IF(precondition="""", FALSE, REGEXMATCH($K$4:$ED$4, precondition))) * (K32:ED32=TRUE))),
           enhance,
           mitigation
         ),
         1
       )
     )
   )
 ) * EE32"),1.0)</f>
        <v>1</v>
      </c>
      <c r="FK32" s="206">
        <f t="shared" si="12"/>
        <v>0</v>
      </c>
      <c r="FL32" s="205">
        <f>IFERROR(__xludf.DUMMYFUNCTION("PRODUCT(
   MAP(
     K$3:ED$3,
     K$14:ED$14,
     K$13:ED$13,
     K32:ED32,
     LAMBDA(
       job,
       buff,
       target,
       check,
       IF(
         OR(AND(check=TRUE, REGEXMATCH(target, ""SELF_AFFECTED_ALL""), job=""ガンブレイカー""), AND(che"&amp;"ck=Option!$H$13, REGEXMATCH(target, ""SINGLE_AFFECTED_ALL""))),
         buff,
         1
       )
     )
   )
 )"),1.0)</f>
        <v>1</v>
      </c>
      <c r="FM32" s="206">
        <f>IFERROR(__xludf.DUMMYFUNCTION("SUM(
   MAP(
     K$3:ED$3,
     K$7:ED$7,
     K$15:ED$15,
     K$16:ED$16,
     K$21:ED$21,
     K$5:ED$5,
     K$17:ED$17,
     K32:ED32,
     LAMBDA(
       job,
       abillity,
       buff,
       barrier,
       enhance,
       assign,
       preco"&amp;"ndition,
       check,
       IF(
         OR(AND(check=TRUE, REGEXMATCH(assign, ""SELF""), job=""ガンブレイカー""), AND(check=Option!$H$13, REGEXMATCH(assign, ""SINGLE_PARTY""))),
         IF(
           OR(ARRAYFORMULA((IF(precondition="""", FALSE, REGEXMATCH("&amp;"$K$4:$ED$4, precondition))) * (K32:ED32=TRUE))),
           enhance,
           IF(barrier="""", buff, barrier)
         ),
         0
       ) *
       SWITCH(
         job,
         ""暗黒騎士"", FN$24,
         ""白魔道士"", EF32 * EH32 * FL32 * IF(abillity, 1"&amp;", EG32 * EI32) * (Option!$D$22 * 0.81 / 100),
         ""占星術師"", EF32 * EJ32 * FL32 * IF(abillity, 1, EG32 * EK32) * (Option!$D$23 * 0.81 / 100),
         ""学者"", EF32 * EL32 * FL32 * IF(abillity, 1, EG32 * EM32) * (Option!$D$24 * 0.81 / 100),
         """&amp;"賢者"", EF32 * EN32 * FL32 * IF(abillity, 1, EG32 * EO32) * (Option!$D$25 * 0.81 / 100),
         1
       )
     )
   )
 ) + EQ32"),0.0)</f>
        <v>0</v>
      </c>
      <c r="FN32" s="206">
        <f t="shared" si="13"/>
        <v>0</v>
      </c>
      <c r="FO32" s="213"/>
    </row>
    <row r="33">
      <c r="B33" s="229"/>
      <c r="C33" s="217">
        <f t="shared" si="1"/>
        <v>0</v>
      </c>
      <c r="D33" s="236"/>
      <c r="E33" s="219"/>
      <c r="F33" s="167"/>
      <c r="G33" s="168" t="str">
        <f t="shared" si="2"/>
        <v/>
      </c>
      <c r="H33" s="169"/>
      <c r="I33" s="169"/>
      <c r="J33" s="169"/>
      <c r="K33" s="170" t="b">
        <v>0</v>
      </c>
      <c r="L33" s="170" t="b">
        <v>0</v>
      </c>
      <c r="M33" s="170" t="b">
        <v>0</v>
      </c>
      <c r="N33" s="171" t="s">
        <v>1070</v>
      </c>
      <c r="O33" s="172" t="b">
        <v>0</v>
      </c>
      <c r="P33" s="173" t="b">
        <v>0</v>
      </c>
      <c r="Q33" s="173" t="b">
        <v>0</v>
      </c>
      <c r="R33" s="173" t="b">
        <v>0</v>
      </c>
      <c r="S33" s="174" t="b">
        <v>0</v>
      </c>
      <c r="T33" s="175" t="b">
        <v>0</v>
      </c>
      <c r="U33" s="173" t="b">
        <v>0</v>
      </c>
      <c r="V33" s="171" t="s">
        <v>1070</v>
      </c>
      <c r="W33" s="172" t="b">
        <v>0</v>
      </c>
      <c r="X33" s="173" t="b">
        <v>0</v>
      </c>
      <c r="Y33" s="173" t="b">
        <v>0</v>
      </c>
      <c r="Z33" s="173" t="b">
        <v>0</v>
      </c>
      <c r="AA33" s="174" t="b">
        <v>0</v>
      </c>
      <c r="AB33" s="174" t="b">
        <v>0</v>
      </c>
      <c r="AC33" s="175" t="b">
        <v>0</v>
      </c>
      <c r="AD33" s="173" t="b">
        <v>0</v>
      </c>
      <c r="AE33" s="176" t="s">
        <v>1070</v>
      </c>
      <c r="AF33" s="171" t="s">
        <v>1070</v>
      </c>
      <c r="AG33" s="177">
        <f>IFERROR(__xludf.DUMMYFUNCTION("IF(
  ISNUMBER(AG32),
  MIN(MAX(
    AG32
    + MAX(
      ROUNDDOWN(($D33 - MAX(IFERROR(FILTER($D$24:$D32, AG$24:AG32 &lt;&gt; AF$6, AG$23:AG31 = AF$6), 0))) * (60 * 60 * 24) / AF$9) - ROUNDDOWN(($D32 - MAX(IFERROR(FILTER($D$23:$D31, AG$23:AG31 &lt;&gt; AF$6, AG$22:"&amp;"AG30 = AF$6), 0))) * (60 * 60 * 24) / 60),
      0
    )
    - COUNTIF(AF33, ""&lt;&gt;-""),
  0), AF$6),
  AF$6 - COUNTIF(AF33, ""&lt;&gt;-"")
)"),2.0)</f>
        <v>2</v>
      </c>
      <c r="AH33" s="173" t="b">
        <v>0</v>
      </c>
      <c r="AI33" s="173" t="b">
        <v>0</v>
      </c>
      <c r="AJ33" s="173" t="b">
        <v>0</v>
      </c>
      <c r="AK33" s="174" t="b">
        <v>0</v>
      </c>
      <c r="AL33" s="175" t="b">
        <v>0</v>
      </c>
      <c r="AM33" s="173" t="b">
        <v>0</v>
      </c>
      <c r="AN33" s="171" t="s">
        <v>1070</v>
      </c>
      <c r="AO33" s="173" t="b">
        <v>0</v>
      </c>
      <c r="AP33" s="173" t="b">
        <v>0</v>
      </c>
      <c r="AQ33" s="173" t="b">
        <v>0</v>
      </c>
      <c r="AR33" s="174" t="b">
        <v>0</v>
      </c>
      <c r="AS33" s="178" t="b">
        <v>0</v>
      </c>
      <c r="AT33" s="179" t="b">
        <v>0</v>
      </c>
      <c r="AU33" s="180" t="b">
        <v>0</v>
      </c>
      <c r="AV33" s="180" t="b">
        <v>0</v>
      </c>
      <c r="AW33" s="180" t="b">
        <v>0</v>
      </c>
      <c r="AX33" s="180" t="b">
        <v>0</v>
      </c>
      <c r="AY33" s="181" t="s">
        <v>1070</v>
      </c>
      <c r="AZ33" s="181" t="s">
        <v>1070</v>
      </c>
      <c r="BA33" s="184">
        <f>IFERROR(__xludf.DUMMYFUNCTION("IF(
  ISNUMBER(BA32),
  MIN(MAX(
    BA32
    + MAX(
      ROUNDDOWN((D33 - MAX(IFERROR(FILTER(D$24:D32, BA$24:BA32 &lt;&gt; AZ$6, BA$23:BA31 = AZ$6), 0))) * (60 * 60 * 24) / AZ$9) - ROUNDDOWN((D32 - MAX(IFERROR(FILTER(D$23:D31, BA$23:BA31 &lt;&gt; AZ$6, BA$22:BA30 ="&amp;" AZ$6), 0))) * (60 * 60 * 24) / AZ$9),
      0
    )
    - COUNTIF(AZ33, ""&lt;&gt;-""),
  0), AZ$6),
  AZ$6 - COUNTIF(AZ33, ""&lt;&gt;-"")
)"),2.0)</f>
        <v>2</v>
      </c>
      <c r="BB33" s="181" t="s">
        <v>1070</v>
      </c>
      <c r="BC33" s="183">
        <f>IFERROR(__xludf.DUMMYFUNCTION("IF(
  ISNUMBER(BC32),
  MIN(MAX(
    BC32
    + MAX(
      ROUNDDOWN(($D33 - MAX(IFERROR(FILTER($D$24:$D32, BC$24:BC32 &lt;&gt; BB$6, BC$23:BC31 = BB$6), 0))) * (60 * 60 * 24) / BB$9) - ROUNDDOWN(($D32 - MAX(IFERROR(FILTER($D$23:$D31, BC$23:BC31 &lt;&gt; BB$6, BC$22:"&amp;"BC30 = BB$6), 0))) * (60 * 60 * 24) / 60),
      0
    )
    - COUNTIF(BB33, ""&lt;&gt;-""),
  0), BB$6),
  BB$6 - COUNTIF(BB33, ""&lt;&gt;-"")
)"),2.0)</f>
        <v>2</v>
      </c>
      <c r="BD33" s="181" t="s">
        <v>1070</v>
      </c>
      <c r="BE33" s="178" t="b">
        <v>0</v>
      </c>
      <c r="BF33" s="180" t="b">
        <v>0</v>
      </c>
      <c r="BG33" s="180" t="b">
        <v>0</v>
      </c>
      <c r="BH33" s="180" t="b">
        <v>0</v>
      </c>
      <c r="BI33" s="180" t="b">
        <v>0</v>
      </c>
      <c r="BJ33" s="180" t="b">
        <v>0</v>
      </c>
      <c r="BK33" s="180" t="b">
        <v>0</v>
      </c>
      <c r="BL33" s="180" t="b">
        <v>0</v>
      </c>
      <c r="BM33" s="180" t="b">
        <v>0</v>
      </c>
      <c r="BN33" s="180" t="b">
        <v>0</v>
      </c>
      <c r="BO33" s="181" t="s">
        <v>1070</v>
      </c>
      <c r="BP33" s="181" t="s">
        <v>1070</v>
      </c>
      <c r="BQ33" s="181" t="s">
        <v>1070</v>
      </c>
      <c r="BR33" s="181" t="s">
        <v>1070</v>
      </c>
      <c r="BS33" s="181" t="s">
        <v>1070</v>
      </c>
      <c r="BT33" s="184">
        <f>IFERROR(__xludf.DUMMYFUNCTION("IF(
  ISNUMBER(BT32),
  MIN(MAX(
    BT32
    + MAX(
      ROUNDDOWN((D33 - MAX(IFERROR(FILTER(D$24:D32, BT$24:BT32 &lt;&gt; BS$6, BT$23:BT31 = BS$6), 0))) * (60 * 60 * 24) / BS$9) - ROUNDDOWN((D32 - MAX(IFERROR(FILTER(D$23:D31, BT$23:BT31 &lt;&gt; BS$6, BT$22:BT30 ="&amp;" BS$6), 0))) * (60 * 60 * 24) / BS$9),
      0
    )
    - COUNTIF(BS33, ""&lt;&gt;-""),
  0), BS$6),
  BS$6 - COUNTIF(BS33, ""&lt;&gt;-"")
)"),3.0)</f>
        <v>3</v>
      </c>
      <c r="BU33" s="181" t="s">
        <v>1070</v>
      </c>
      <c r="BV33" s="181" t="s">
        <v>1070</v>
      </c>
      <c r="BW33" s="184">
        <f>IFERROR(__xludf.DUMMYFUNCTION("IF(
  ISNUMBER(BW32),
  MIN(MAX(
    BW32
    + MAX(
      ROUNDDOWN((D33 - MAX(IFERROR(FILTER(D$24:D32, BW$24:BW32 &lt;&gt; BV$6, BW$23:BW31 = BV$6), 0))) * (60 * 60 * 24) / BV$9) - ROUNDDOWN((D32 - MAX(IFERROR(FILTER(D$23:D31, BW$23:BW31 &lt;&gt; BV$6, BW$22:BW30 ="&amp;" BV$6), 0))) * (60 * 60 * 24) / BV$9),
      0
    )
    - COUNTIF(BV33, ""&lt;&gt;-""),
  0), BV$6),
  BV$6 - COUNTIF(BV33, ""&lt;&gt;-"")
)"),2.0)</f>
        <v>2</v>
      </c>
      <c r="BX33" s="185" t="s">
        <v>1070</v>
      </c>
      <c r="BY33" s="178" t="b">
        <v>0</v>
      </c>
      <c r="BZ33" s="180" t="b">
        <v>0</v>
      </c>
      <c r="CA33" s="180" t="b">
        <v>0</v>
      </c>
      <c r="CB33" s="180" t="b">
        <v>0</v>
      </c>
      <c r="CC33" s="180" t="b">
        <v>0</v>
      </c>
      <c r="CD33" s="180" t="b">
        <v>0</v>
      </c>
      <c r="CE33" s="180" t="b">
        <v>0</v>
      </c>
      <c r="CF33" s="180" t="b">
        <v>0</v>
      </c>
      <c r="CG33" s="180" t="b">
        <v>0</v>
      </c>
      <c r="CH33" s="180" t="b">
        <v>0</v>
      </c>
      <c r="CI33" s="180" t="b">
        <v>0</v>
      </c>
      <c r="CJ33" s="180" t="b">
        <v>0</v>
      </c>
      <c r="CK33" s="180" t="b">
        <v>0</v>
      </c>
      <c r="CL33" s="180" t="b">
        <v>0</v>
      </c>
      <c r="CM33" s="181" t="s">
        <v>1070</v>
      </c>
      <c r="CN33" s="181" t="s">
        <v>1070</v>
      </c>
      <c r="CO33" s="181" t="s">
        <v>1070</v>
      </c>
      <c r="CP33" s="181" t="s">
        <v>1070</v>
      </c>
      <c r="CQ33" s="185" t="s">
        <v>1070</v>
      </c>
      <c r="CR33" s="180" t="b">
        <v>0</v>
      </c>
      <c r="CS33" s="186" t="str">
        <f t="shared" si="14"/>
        <v>◇◇◇</v>
      </c>
      <c r="CT33" s="178" t="b">
        <v>0</v>
      </c>
      <c r="CU33" s="180" t="b">
        <v>0</v>
      </c>
      <c r="CV33" s="180" t="b">
        <v>0</v>
      </c>
      <c r="CW33" s="180" t="b">
        <v>0</v>
      </c>
      <c r="CX33" s="180" t="b">
        <v>0</v>
      </c>
      <c r="CY33" s="180" t="b">
        <v>0</v>
      </c>
      <c r="CZ33" s="180" t="b">
        <v>0</v>
      </c>
      <c r="DA33" s="180" t="b">
        <v>0</v>
      </c>
      <c r="DB33" s="180" t="b">
        <v>0</v>
      </c>
      <c r="DC33" s="180" t="b">
        <v>0</v>
      </c>
      <c r="DD33" s="181" t="s">
        <v>1070</v>
      </c>
      <c r="DE33" s="181" t="s">
        <v>1070</v>
      </c>
      <c r="DF33" s="181" t="s">
        <v>1070</v>
      </c>
      <c r="DG33" s="185" t="s">
        <v>1070</v>
      </c>
      <c r="DH33" s="180" t="b">
        <v>0</v>
      </c>
      <c r="DI33" s="187" t="str">
        <f>IFERROR(__xludf.DUMMYFUNCTION("SWITCH(
  IF(
    ISTEXT(DI32),
    IF (
      FIND(""○"", DI32&amp;""○"") &gt; 3,
      3,
      FIND(""○"", DI32&amp;""○"")
      + MAX(
        ROUNDDOWN(($D33 - MAX(IFERROR(FILTER(D$24:D32, DI$24:DI32 &lt;&gt; ""●●●"", DI$23:DI31 = ""●●●""), 0))) * (60 * 60 * 24) / 20"&amp;") - ROUNDDOWN(($D32 - MAX(IFERROR(FILTER(D$23:D31, DI$23:DI31 &lt;&gt; ""●●●"", DI$22:DI30 = ""●●●""), 0))) * (60 * 60 * 24) / 20),
        0
      ) - 1
    ) - COUNTIFS(CU33, ""=TRUE"", CU32, ""&lt;&gt;TRUE"") - COUNTIF(CZ33, ""=TRUE"") - COUNTIF({DD33,DE33}, ""&lt;&gt;-"&amp;""") + COUNTIF(DH33, ""=TRUE""),
    3
  ),
  0, ""○○○"", 1, ""●○○"", 2, ""●●○"", 3, ""●●●"", 4, ""●●●"", ""○○○""
)"),"●●●")</f>
        <v>●●●</v>
      </c>
      <c r="DJ33" s="188" t="b">
        <v>0</v>
      </c>
      <c r="DK33" s="189" t="b">
        <v>0</v>
      </c>
      <c r="DL33" s="190" t="b">
        <v>0</v>
      </c>
      <c r="DM33" s="190" t="b">
        <v>0</v>
      </c>
      <c r="DN33" s="190" t="b">
        <v>0</v>
      </c>
      <c r="DO33" s="190" t="b">
        <v>0</v>
      </c>
      <c r="DP33" s="190" t="b">
        <v>0</v>
      </c>
      <c r="DQ33" s="191" t="b">
        <v>0</v>
      </c>
      <c r="DR33" s="192" t="b">
        <v>0</v>
      </c>
      <c r="DS33" s="191" t="b">
        <v>0</v>
      </c>
      <c r="DT33" s="192" t="b">
        <v>0</v>
      </c>
      <c r="DU33" s="191" t="b">
        <v>0</v>
      </c>
      <c r="DV33" s="193" t="s">
        <v>1070</v>
      </c>
      <c r="DW33" s="194" t="b">
        <v>0</v>
      </c>
      <c r="DX33" s="194" t="b">
        <v>0</v>
      </c>
      <c r="DY33" s="195" t="b">
        <v>0</v>
      </c>
      <c r="DZ33" s="196" t="b">
        <v>0</v>
      </c>
      <c r="EA33" s="195" t="b">
        <v>0</v>
      </c>
      <c r="EB33" s="197" t="b">
        <v>0</v>
      </c>
      <c r="EC33" s="197" t="b">
        <v>0</v>
      </c>
      <c r="ED33" s="212" t="b">
        <v>0</v>
      </c>
      <c r="EE33" s="199">
        <f>IFERROR(__xludf.DUMMYFUNCTION("IFERROR(
   PRODUCT(
     MAP(
       INDEX(TRANSPOSE(UNIQUE(TRANSPOSE(FILTER({IF($F33=""Physical"", K$10:ED$10, IF($F33=""Magic"", K$11:ED$11, K$12:ED$12));K$4:ED$4;K33:ED33}, K33:ED33=TRUE)))), 1, 0),
       INDEX(TRANSPOSE(UNIQUE(TRANSPOSE(FILTER({IF($"&amp;"F33=""Physical"", K$18:ED$18, IF($F33=""Magic"", K$19:ED$19, K$20:ED$20));K$4:ED$4;K33:ED33}, K33:ED33=TRUE)))), 1, 0),
       INDEX(TRANSPOSE(UNIQUE(TRANSPOSE(FILTER({K$5:ED$5;K$4:ED$4;K33:ED33}, K33:ED33=TRUE)))), 1, 0),
       INDEX(TRANSPOSE(UNIQUE(TR"&amp;"ANSPOSE(FILTER({K$17:ED$17;K$4:ED$4;K33:ED33}, K33:ED33=TRUE)))), 1, 0),
       LAMBDA(
         mitigation,
         enhance,
         assign,
         precondition,
         IF(
           REGEXMATCH(assign, ""RANGE_PARTY|SINGLE_ENEMY|RANGE_ENEMY""),
  "&amp;"         IF(
             OR(ARRAYFORMULA((IF(precondition="""", FALSE, REGEXMATCH(K$4:ED$4, precondition))) * (K33:ED33=TRUE))),
             IF(ISNUMBER(enhance), enhance, 1),
             IF(ISNUMBER(mitigation), mitigation, 1)
           ),
          "&amp;" 1
         )
       )
     )
   ),
   1
 )"),1.0)</f>
        <v>1</v>
      </c>
      <c r="EF33" s="200">
        <f>IFERROR(__xludf.DUMMYFUNCTION("PRODUCT(
   MAP(
     K$14:ED$14,
     K$13:ED$13,
     K33:ED33,
     LAMBDA(
       buff,
       target,
       check,
       IF(
         AND(check=TRUE, REGEXMATCH(target, ""RANGE_AFFECTED_ALL|RANGE_EFFECTED_ALL""), ISNUMBER(buff)),
         buff,
   "&amp;"      1
       )
     )
   )
 )"),1.0)</f>
        <v>1</v>
      </c>
      <c r="EG33" s="200">
        <f>IFERROR(__xludf.DUMMYFUNCTION("PRODUCT(
   MAP(
     K$14:ED$14,
     K$13:ED$13,
     K33:ED33,
     LAMBDA(
       buff,
       target,
       check,
       IF(
         AND(check=TRUE, REGEXMATCH(target, ""RANGE_AFFECTED_GCD|RANGE_EFFECTED_GCD""), ISNUMBER(buff)),
         buff,
   "&amp;"      1
       )
     )
   )
 )"),1.0)</f>
        <v>1</v>
      </c>
      <c r="EH33" s="200">
        <f>IFERROR(__xludf.DUMMYFUNCTION("PRODUCT(
   MAP(
     K$3:ED$3,
     K$14:ED$14,
     K$13:ED$13,
     K33:ED33,
     LAMBDA(
       job,
       buff,
       target,
       check,
       IF(
         AND(check=TRUE, REGEXMATCH(target, ""SELF_EFFECTED_ALL""), ISNUMBER(buff), job=""白魔道士"""&amp;"),
         buff,
         1
       )
     )
   )
 )"),1.0)</f>
        <v>1</v>
      </c>
      <c r="EI33" s="200">
        <f>IFERROR(__xludf.DUMMYFUNCTION("PRODUCT(
   MAP(
     K$3:ED$3,
     K$14:ED$14,
     K$13:ED$13,
     K33:ED33,
     LAMBDA(
       job,
       buff,
       target,
       check,
       IF(
         AND(check=TRUE, REGEXMATCH(target, ""SELF_EFFECTED_GCD""), ISNUMBER(buff), job=""白魔道士"""&amp;"),
         buff,
         1
       )
     )
   )
 )"),1.0)</f>
        <v>1</v>
      </c>
      <c r="EJ33" s="200">
        <f>IFERROR(__xludf.DUMMYFUNCTION("PRODUCT(
   MAP(
     K$3:ED$3,
     K$14:ED$14,
     K$13:ED$13,
     K33:ED33,
     LAMBDA(
       job,
       buff,
       target,
       check,
       IF(
         AND(check=TRUE, REGEXMATCH(target, ""SELF_EFFECTED_ALL""), ISNUMBER(buff), job=""占星術師"""&amp;"),
         buff,
         1
       )
     )
   )
 )"),1.0)</f>
        <v>1</v>
      </c>
      <c r="EK33" s="200">
        <f>IFERROR(__xludf.DUMMYFUNCTION("PRODUCT(
   MAP(
     K$3:ED$3,
     K$14:ED$14,
     K$13:ED$13,
     K33:ED33,
     LAMBDA(
       job,
       buff,
       target,
       check,
       IF(
         AND(check=TRUE, REGEXMATCH(target, ""SELF_EFFECTED_GCD""), ISNUMBER(buff), job=""占星術師"""&amp;"),
         buff,
         1
       )
     )
   )
 )"),1.0)</f>
        <v>1</v>
      </c>
      <c r="EL33" s="200">
        <f>IFERROR(__xludf.DUMMYFUNCTION("PRODUCT(
   MAP(
     K$3:ED$3,
     K$14:ED$14,
     K$13:ED$13,
     K33:ED33,
     LAMBDA(
       job,
       buff,
       target,
       check,
       IF(
         AND(check=TRUE, REGEXMATCH(target, ""SELF_EFFECTED_ALL""), ISNUMBER(buff), job=""学者""),"&amp;"
         buff,
         1
       )
     )
   )
 )"),1.0)</f>
        <v>1</v>
      </c>
      <c r="EM33" s="200">
        <f>IFERROR(__xludf.DUMMYFUNCTION("PRODUCT(
   MAP(
     K$3:ED$3,
     K$14:ED$14,
     K$13:ED$13,
     K33:ED33,
     LAMBDA(
       job,
       buff,
       target,
       check,
       IF(
         AND(check=TRUE, REGEXMATCH(target, ""SELF_EFFECTED_GCD""), ISNUMBER(buff), job=""学者""),"&amp;"
         buff,
         1
       )
     )
   )
 )"),1.0)</f>
        <v>1</v>
      </c>
      <c r="EN33" s="200">
        <f>IFERROR(__xludf.DUMMYFUNCTION("PRODUCT(
   MAP(
     K$3:ED$3,
     K$14:ED$14,
     K$13:ED$13,
     K33:ED33,
     LAMBDA(
       job,
       buff,
       target,
       check,
       IF(
         AND(check=TRUE, REGEXMATCH(target, ""SELF_EFFECTED_ALL""), ISNUMBER(buff), job=""賢者""),"&amp;"
         buff,
         1
       )
     )
   )
 )"),1.0)</f>
        <v>1</v>
      </c>
      <c r="EO33" s="200">
        <f>IFERROR(__xludf.DUMMYFUNCTION("PRODUCT(
   MAP(
     K$3:ED$3,
     K$14:ED$14,
     K$13:ED$13,
     K33:ED33,
     LAMBDA(
       job,
       buff,
       target,
       check,
       IF(
         AND(check=TRUE, REGEXMATCH(target, ""SELF_EFFECTED_GCD""), ISNUMBER(buff), job=""賢者""),"&amp;"
         buff,
         1
       )
     )
   )
 )"),1.0)</f>
        <v>1</v>
      </c>
      <c r="EP33" s="201">
        <f t="shared" si="3"/>
        <v>0</v>
      </c>
      <c r="EQ33" s="201">
        <f>IFERROR(__xludf.DUMMYFUNCTION("SUM(
   MAP(
     K$4:ED$4,
     K$3:ED$3,
     K$7:ED$7,
     K$15:ED$15,
     K$16:ED$16,
     K$21:ED$21,
     K$5:ED$5,
     K$17:ED$17,
     K33:ED33,
     LAMBDA(
       name,
       job,
       abillity,
       buff,
       barrier,
       enhance,"&amp;"
       assign,
       precondition,
       check,
       SWITCH(
         name,
         ""シェイクオフ"", IF(check=TRUE, buff + (0.02 * COUNTIF(ARRAYFORMULA((REGEXMATCH($K$4:$ED$4, ""スリル・オブ・バトル|ヴェンジェンス|原初の血気|ダムネーション"")) * (K33:ED33=TRUE)), 1)), 0),
         "&amp;"""インプロビゼーションフィニッシュ(踊りの激情0)"", IF(ISNUMBER(check), INDEX(Skill!$AJ:$AJ, MATCH(SUBSTITUTE(DV$4, 0, check), Skill!$C:$C, 0)), 0),
         IF(
           AND(check=TRUE, REGEXMATCH(assign, ""RANGE_PARTY"")),
           IF(
             OR(ARRAYFORMULA((IF(pr"&amp;"econdition="""", FALSE, REGEXMATCH($K$4:$ED$4, precondition))) * (K33:ED33=TRUE))),
             enhance,
             IF(barrier="""", buff, barrier)
           ),
           0
         )
       ) *
       SWITCH(
         job,
         ""ナイト"", EY$24,
 "&amp;"        ""戦士"", FD$24,
         ""踊り子"", ET$24,
         ""ピクトマンサー"", ET$24,
         ""白魔道士"", EF33 * EH33 * IF(abillity, 1, EG33 * EI33) * (Option!$D$22 * 0.81 / 100),
         ""占星術師"", EF33 * EJ33 * IF(abillity, 1, EG33 * EK33) * (Option!$D$23 * 0.81 "&amp;"/ 100),
         ""学者"", EF33 * EL33 * IF(abillity, 1, EG33 * EM33) * (Option!$D$24 * 0.81 / 100),
         ""賢者"", EF33 * EN33 * IF(abillity, 1, EG33 * EO33) * (Option!$D$25 * 0.81 / 100),
         1
       )
     )
   )
 )"),0.0)</f>
        <v>0</v>
      </c>
      <c r="ER33" s="202">
        <f t="shared" si="4"/>
        <v>0</v>
      </c>
      <c r="ES33" s="203">
        <f t="shared" si="5"/>
        <v>0</v>
      </c>
      <c r="ET33" s="204" t="str">
        <f>IFERROR(__xludf.DUMMYFUNCTION("IFS(
  EP33 &gt; $ET$24 + EQ33,
  SPARKLINE({ 1, 0 }, {""charttype"",""bar"";""max"", 1;""color1"",Option!$D$30;""color2"",Option!$D$30}),
  EP33 &lt; EQ33,
  SPARKLINE({EQ33 - EP33, $ET$24 - (EQ33 - EP33)}, {""charttype"",""bar"";""max"",$ET$24;""color1"",Opti"&amp;"on!$D$28;""color2"",Option!$D$29}),
  EP33 &gt;= EQ33,
  SPARKLINE({$ET$24 + EQ33 - EP33,EP33 - EQ33}, {""charttype"",""bar"";""max"",$ET$24;""color1"",Option!$D$29;""color2"",Option!$D$30})
)"),"")</f>
        <v/>
      </c>
      <c r="EU33" s="205">
        <f>IFERROR(__xludf.DUMMYFUNCTION("PRODUCT(
   MAP(
     IF($F33=""Physical"", K$10:ED$10, IF($F33=""Magic"", K$11:ED$11, K$12:ED$12)),
     IF($F33=""Physical"", K$18:ED$18, IF($F33=""Magic"", K$19:ED$19, K$20:ED$20)),
     K$3:ED$3,
     K$5:ED$5,
     K$17:ED$17,
     K33:ED33,
     LAM"&amp;"BDA(
       mitigation,
       enhance,
       job,
       assign,
       precondition,
       check,
       IF(
         OR(AND(check=TRUE, REGEXMATCH(assign, ""SELF""), job=""ナイト""), AND(check=Option!$E$13, REGEXMATCH(assign, ""SINGLE_PARTY""))),
      "&amp;"   IF(
           OR(ARRAYFORMULA((IF(precondition="""", FALSE, REGEXMATCH($K$4:$ED$4, precondition))) * (K33:ED33=TRUE))),
           enhance,
           mitigation
         ),
         1
       )
     )
   )
 ) * EE33"),1.0)</f>
        <v>1</v>
      </c>
      <c r="EV33" s="206">
        <f t="shared" si="6"/>
        <v>0</v>
      </c>
      <c r="EW33" s="205">
        <f>IFERROR(__xludf.DUMMYFUNCTION("PRODUCT(
   MAP(
     K$3:ED$3,
     K$14:ED$14,
     K$13:ED$13,
     K33:ED33,
     LAMBDA(
       job,
       buff,
       target,
       check,
       IF(
         OR(AND(check=TRUE, REGEXMATCH(target, ""SELF_AFFECTED_ALL""), job=""ナイト""), AND(check=O"&amp;"ption!$E$13, REGEXMATCH(target, ""SINGLE_AFFECTED_ALL""))),
         buff,
         1
       )
     )
   )
 )"),1.0)</f>
        <v>1</v>
      </c>
      <c r="EX33" s="206">
        <f>IFERROR(__xludf.DUMMYFUNCTION("SUM(
   MAP(
     K$3:ED$3,
     K$7:ED$7,
     K$15:ED$15,
     K$16:ED$16,
     K$21:ED$21,
     K$5:ED$5,
     K$17:ED$17,
     K33:ED33,
     LAMBDA(
       job,
       abillity,
       buff,
       barrier,
       enhance,
       assign,
       preco"&amp;"ndition,
       check,
       IF(
         OR(AND(check=TRUE, REGEXMATCH(assign, ""SELF""), job=""ナイト""), AND(check=Option!$E$13, REGEXMATCH(assign, ""SINGLE_PARTY""))),
         IF(
           OR(ARRAYFORMULA((IF(precondition="""", FALSE, REGEXMATCH($K$4"&amp;":$ED$4, precondition))) * (K33:ED33=TRUE))),
           enhance,
           IF(barrier="""", buff, barrier)
         ),
         0
       ) *
       SWITCH(
         job,
         ""暗黒騎士"", EY$24,
         ""白魔道士"", EF33 * EH33 * EW33 * IF(abillity, 1, EG"&amp;"33 * EI33) * (Option!$D$22 * 0.81 / 100),
         ""占星術師"", EF33 * EJ33 * EW33 * IF(abillity, 1, EG33 * EK33) * (Option!$D$23 * 0.81 / 100),
         ""学者"", EF33 * EL33 * EW33 * IF(abillity, 1, EG33 * EM33) * (Option!$D$24 * 0.81 / 100),
         ""賢者"""&amp;", EF33 * EN33 * EW33 * IF(abillity, 1, EG33 * EO33) * (Option!$D$25 * 0.81 / 100),
         1
       )
     )
   )
 ) + EQ33"),0.0)</f>
        <v>0</v>
      </c>
      <c r="EY33" s="206">
        <f t="shared" si="7"/>
        <v>0</v>
      </c>
      <c r="EZ33" s="205">
        <f>IFERROR(__xludf.DUMMYFUNCTION("PRODUCT(
   MAP(
     IF($F33=""Physical"", K$10:ED$10, IF($F33=""Magic"", K$11:ED$11, K$12:ED$12)),
     IF($F33=""Physical"", K$18:ED$18, IF($F33=""Magic"", K$19:ED$19, K$20:ED$20)),
     K$3:ED$3,
     K$5:ED$5,
     K$17:ED$17,
     K33:ED33,
     LAM"&amp;"BDA(
       mitigation,
       enhance,
       job,
       assign,
       precondition,
       check,
       IF(
         OR(AND(check=TRUE, REGEXMATCH(assign, ""SELF""), job=""戦士""), AND(check=Option!$F$13, REGEXMATCH(assign, ""SINGLE_PARTY""))),
       "&amp;"  IF(
           OR(ARRAYFORMULA((IF(precondition="""", FALSE, REGEXMATCH($K$4:$ED$4, precondition))) * (K33:ED33=TRUE))),
           enhance,
           mitigation
         ),
         1
       )
     )
   )
 ) * EE33"),1.0)</f>
        <v>1</v>
      </c>
      <c r="FA33" s="206">
        <f t="shared" si="8"/>
        <v>0</v>
      </c>
      <c r="FB33" s="205">
        <f>IFERROR(__xludf.DUMMYFUNCTION("PRODUCT(
   MAP(
     K$3:ED$3,
     K$14:ED$14,
     K$13:ED$13,
     K33:ED33,
     LAMBDA(
       job,
       buff,
       target,
       check,
       IF(
         OR(AND(check=TRUE, REGEXMATCH(target, ""SELF_AFFECTED_ALL""), job=""戦士""), AND(check=Op"&amp;"tion!$F$13, REGEXMATCH(target, ""SINGLE_AFFECTED_ALL""))),
         buff,
         1
       )
     )
   )
 )"),1.0)</f>
        <v>1</v>
      </c>
      <c r="FC33" s="206">
        <f>IFERROR(__xludf.DUMMYFUNCTION("SUM(
   MAP(
     K$3:ED$3,
     K$7:ED$7,
     K$15:ED$15,
     K$16:ED$16,
     K$21:ED$21,
     K$5:ED$5,
     K$17:ED$17,
     K33:ED33,
     LAMBDA(
       job,
       abillity,
       buff,
       barrier,
       enhance,
       assign,
       preco"&amp;"ndition,
       check,
       IF(
         OR(AND(check=TRUE, REGEXMATCH(assign, ""SELF""), job=""戦士""), AND(check=Option!$F$13, REGEXMATCH(assign, ""SINGLE_PARTY""))),
         IF(
           OR(ARRAYFORMULA((IF(precondition="""", FALSE, REGEXMATCH($K$4:"&amp;"$ED$4, precondition))) * (K33:ED33=TRUE))),
           enhance,
           IF(barrier="""", buff, barrier)
         ),
         0
       ) *
       SWITCH(
         job,
         ""暗黒騎士"", FD$24,
         ""白魔道士"", EF33 * EH33 * FB33 * IF(abillity, 1, EG3"&amp;"3 * EI33) * (Option!$D$22 * 0.81 / 100),
         ""占星術師"", EF33 * EJ33 * FFB33 * IF(abillity, 1, EG33 * EK33) * (Option!$D$23 * 0.81 / 100),
         ""学者"", EF33 * EL33 * FB33 * IF(abillity, 1, EG33 * EM33) * (Option!$D$24 * 0.81 / 100),
         ""賢者"""&amp;", EF33 * EN33 * FB33 * IF(abillity, 1, EG33 * EO33) * (Option!$D$25 * 0.81 / 100),
         1
       )
     )
   )
 ) + EQ33"),0.0)</f>
        <v>0</v>
      </c>
      <c r="FD33" s="206">
        <f t="shared" si="9"/>
        <v>0</v>
      </c>
      <c r="FE33" s="205">
        <f>IFERROR(__xludf.DUMMYFUNCTION("PRODUCT(
   MAP(
     IF($F33=""Physical"", K$10:ED$10, IF($F33=""Magic"", K$11:ED$11, K$12:ED$12)),
     IF($F33=""Physical"", K$18:ED$18, IF($F33=""Magic"", K$19:ED$19, K$20:ED$20)),
     K$3:ED$3,
     K$5:ED$5,
     K$17:ED$17,
     K33:ED33,
     LAM"&amp;"BDA(
       mitigation,
       enhance,
       job,
       assign,
       precondition,
       check,
       IF(
         OR(AND(check=TRUE, REGEXMATCH(assign, ""SELF""), job=""暗黒騎士""), AND(check=Option!$G$13, REGEXMATCH(assign, ""SINGLE_PARTY""))),
     "&amp;"    IF(
           OR(ARRAYFORMULA((IF(precondition="""", FALSE, REGEXMATCH($K$4:$ED$4, precondition))) * (K33:ED33=TRUE))),
           enhance,
           mitigation
         ),
         1
       )
     )
   )
 ) * EE33"),1.0)</f>
        <v>1</v>
      </c>
      <c r="FF33" s="206">
        <f t="shared" si="10"/>
        <v>0</v>
      </c>
      <c r="FG33" s="205">
        <f>IFERROR(__xludf.DUMMYFUNCTION("PRODUCT(
   MAP(
     K$3:ED$3,
     K$14:ED$14,
     K$13:ED$13,
     K33:ED33,
     LAMBDA(
       job,
       buff,
       target,
       check,
       IF(
         OR(AND(check=TRUE, REGEXMATCH(target, ""SELF_AFFECTED_ALL""), job=""暗黒騎士""), AND(check="&amp;"Option!$G$13, REGEXMATCH(target, ""SINGLE_AFFECTED_ALL""))),
         buff,
         1
       )
     )
   )
 )"),1.0)</f>
        <v>1</v>
      </c>
      <c r="FH33" s="206">
        <f>IFERROR(__xludf.DUMMYFUNCTION("SUM(
   MAP(
     K$3:ED$3,
     K$7:ED$7,
     K$15:ED$15,
     K$16:ED$16,
     K$21:ED$21,
     K$5:ED$5,
     K$17:ED$17,
     K33:ED33,
     LAMBDA(
       job,
       abillity,
       buff,
       barrier,
       enhance,
       assign,
       preco"&amp;"ndition,
       check,
       IF(
         OR(AND(check=TRUE, REGEXMATCH(assign, ""SELF""), job=""暗黒騎士""), AND(check=Option!$G$13, REGEXMATCH(assign, ""SINGLE_PARTY""))),
         IF(
           OR(ARRAYFORMULA((IF(precondition="""", FALSE, REGEXMATCH($K$"&amp;"4:$ED$4, precondition))) * (K33:ED33=TRUE))),
           enhance,
           IF(barrier="""", buff, barrier)
         ),
         0
       ) *
       SWITCH(
         job,
         ""暗黒騎士"", FI$24,
         ""白魔道士"", EF33 * EH33 * FG33 * IF(abillity, 1, E"&amp;"G33 * EI33) * (Option!$D$22 * 0.81 / 100),
         ""占星術師"", EF33 * EJ33 * FG33 * IF(abillity, 1, EG33 * EK33) * (Option!$D$23 * 0.81 / 100),
         ""学者"", EF33 * EL33 * FG33 * IF(abillity, 1, EG33 * EM33) * (Option!$D$24 * 0.81 / 100),
         ""賢者"&amp;""", EF33 * EN33 * FG33 * IF(abillity, 1, EG33 * EO33) * (Option!$D$25 * 0.81 / 100),
         1
       )
     )
   )
 ) + EQ33"),0.0)</f>
        <v>0</v>
      </c>
      <c r="FI33" s="206">
        <f t="shared" si="11"/>
        <v>0</v>
      </c>
      <c r="FJ33" s="205">
        <f>IFERROR(__xludf.DUMMYFUNCTION("PRODUCT(
   MAP(
     IF($F33=""Physical"", K$10:ED$10, IF($F33=""Magic"", K$11:ED$11, K$12:ED$12)),
     IF($F33=""Physical"", K$18:ED$18, IF($F33=""Magic"", K$19:ED$19, K$20:ED$20)),
     K$3:ED$3,
     K$5:ED$5,
     K$17:ED$17,
     K33:ED33,
     LAM"&amp;"BDA(
       mitigation,
       enhance,
       job,
       assign,
       precondition,
       check,
       IF(
         OR(AND(check=TRUE, REGEXMATCH(assign, ""SELF""), job=""ガンブレイカー""), AND(check=Option!$H$13, REGEXMATCH(assign, ""SINGLE_PARTY""))),
  "&amp;"       IF(
           OR(ARRAYFORMULA((IF(precondition="""", FALSE, REGEXMATCH($K$4:$ED$4, precondition))) * (K33:ED33=TRUE))),
           enhance,
           mitigation
         ),
         1
       )
     )
   )
 ) * EE33"),1.0)</f>
        <v>1</v>
      </c>
      <c r="FK33" s="206">
        <f t="shared" si="12"/>
        <v>0</v>
      </c>
      <c r="FL33" s="205">
        <f>IFERROR(__xludf.DUMMYFUNCTION("PRODUCT(
   MAP(
     K$3:ED$3,
     K$14:ED$14,
     K$13:ED$13,
     K33:ED33,
     LAMBDA(
       job,
       buff,
       target,
       check,
       IF(
         OR(AND(check=TRUE, REGEXMATCH(target, ""SELF_AFFECTED_ALL""), job=""ガンブレイカー""), AND(che"&amp;"ck=Option!$H$13, REGEXMATCH(target, ""SINGLE_AFFECTED_ALL""))),
         buff,
         1
       )
     )
   )
 )"),1.0)</f>
        <v>1</v>
      </c>
      <c r="FM33" s="206">
        <f>IFERROR(__xludf.DUMMYFUNCTION("SUM(
   MAP(
     K$3:ED$3,
     K$7:ED$7,
     K$15:ED$15,
     K$16:ED$16,
     K$21:ED$21,
     K$5:ED$5,
     K$17:ED$17,
     K33:ED33,
     LAMBDA(
       job,
       abillity,
       buff,
       barrier,
       enhance,
       assign,
       preco"&amp;"ndition,
       check,
       IF(
         OR(AND(check=TRUE, REGEXMATCH(assign, ""SELF""), job=""ガンブレイカー""), AND(check=Option!$H$13, REGEXMATCH(assign, ""SINGLE_PARTY""))),
         IF(
           OR(ARRAYFORMULA((IF(precondition="""", FALSE, REGEXMATCH("&amp;"$K$4:$ED$4, precondition))) * (K33:ED33=TRUE))),
           enhance,
           IF(barrier="""", buff, barrier)
         ),
         0
       ) *
       SWITCH(
         job,
         ""暗黒騎士"", FN$24,
         ""白魔道士"", EF33 * EH33 * FL33 * IF(abillity, 1"&amp;", EG33 * EI33) * (Option!$D$22 * 0.81 / 100),
         ""占星術師"", EF33 * EJ33 * FL33 * IF(abillity, 1, EG33 * EK33) * (Option!$D$23 * 0.81 / 100),
         ""学者"", EF33 * EL33 * FL33 * IF(abillity, 1, EG33 * EM33) * (Option!$D$24 * 0.81 / 100),
         """&amp;"賢者"", EF33 * EN33 * FL33 * IF(abillity, 1, EG33 * EO33) * (Option!$D$25 * 0.81 / 100),
         1
       )
     )
   )
 ) + EQ33"),0.0)</f>
        <v>0</v>
      </c>
      <c r="FN33" s="206">
        <f t="shared" si="13"/>
        <v>0</v>
      </c>
      <c r="FO33" s="213"/>
    </row>
    <row r="34">
      <c r="B34" s="229"/>
      <c r="C34" s="217">
        <f t="shared" si="1"/>
        <v>0</v>
      </c>
      <c r="D34" s="236"/>
      <c r="E34" s="226"/>
      <c r="F34" s="167"/>
      <c r="G34" s="168" t="str">
        <f t="shared" si="2"/>
        <v/>
      </c>
      <c r="H34" s="169"/>
      <c r="I34" s="169"/>
      <c r="J34" s="169"/>
      <c r="K34" s="170" t="b">
        <v>0</v>
      </c>
      <c r="L34" s="170" t="b">
        <v>0</v>
      </c>
      <c r="M34" s="170" t="b">
        <v>0</v>
      </c>
      <c r="N34" s="171" t="s">
        <v>1070</v>
      </c>
      <c r="O34" s="172" t="b">
        <v>0</v>
      </c>
      <c r="P34" s="173" t="b">
        <v>0</v>
      </c>
      <c r="Q34" s="173" t="b">
        <v>0</v>
      </c>
      <c r="R34" s="173" t="b">
        <v>0</v>
      </c>
      <c r="S34" s="174" t="b">
        <v>0</v>
      </c>
      <c r="T34" s="175" t="b">
        <v>0</v>
      </c>
      <c r="U34" s="173" t="b">
        <v>0</v>
      </c>
      <c r="V34" s="171" t="s">
        <v>1070</v>
      </c>
      <c r="W34" s="172" t="b">
        <v>0</v>
      </c>
      <c r="X34" s="173" t="b">
        <v>0</v>
      </c>
      <c r="Y34" s="173" t="b">
        <v>0</v>
      </c>
      <c r="Z34" s="173" t="b">
        <v>0</v>
      </c>
      <c r="AA34" s="174" t="b">
        <v>0</v>
      </c>
      <c r="AB34" s="174" t="b">
        <v>0</v>
      </c>
      <c r="AC34" s="175" t="b">
        <v>0</v>
      </c>
      <c r="AD34" s="173" t="b">
        <v>0</v>
      </c>
      <c r="AE34" s="176" t="s">
        <v>1070</v>
      </c>
      <c r="AF34" s="171" t="s">
        <v>1070</v>
      </c>
      <c r="AG34" s="177">
        <f>IFERROR(__xludf.DUMMYFUNCTION("IF(
  ISNUMBER(AG33),
  MIN(MAX(
    AG33
    + MAX(
      ROUNDDOWN(($D34 - MAX(IFERROR(FILTER($D$24:$D33, AG$24:AG33 &lt;&gt; AF$6, AG$23:AG32 = AF$6), 0))) * (60 * 60 * 24) / AF$9) - ROUNDDOWN(($D33 - MAX(IFERROR(FILTER($D$23:$D32, AG$23:AG32 &lt;&gt; AF$6, AG$22:"&amp;"AG31 = AF$6), 0))) * (60 * 60 * 24) / 60),
      0
    )
    - COUNTIF(AF34, ""&lt;&gt;-""),
  0), AF$6),
  AF$6 - COUNTIF(AF34, ""&lt;&gt;-"")
)"),2.0)</f>
        <v>2</v>
      </c>
      <c r="AH34" s="173" t="b">
        <v>0</v>
      </c>
      <c r="AI34" s="173" t="b">
        <v>0</v>
      </c>
      <c r="AJ34" s="173" t="b">
        <v>0</v>
      </c>
      <c r="AK34" s="174" t="b">
        <v>0</v>
      </c>
      <c r="AL34" s="175" t="b">
        <v>0</v>
      </c>
      <c r="AM34" s="173" t="b">
        <v>0</v>
      </c>
      <c r="AN34" s="171" t="s">
        <v>1070</v>
      </c>
      <c r="AO34" s="173" t="b">
        <v>0</v>
      </c>
      <c r="AP34" s="173" t="b">
        <v>0</v>
      </c>
      <c r="AQ34" s="173" t="b">
        <v>0</v>
      </c>
      <c r="AR34" s="174" t="b">
        <v>0</v>
      </c>
      <c r="AS34" s="178" t="b">
        <v>0</v>
      </c>
      <c r="AT34" s="179" t="b">
        <v>0</v>
      </c>
      <c r="AU34" s="180" t="b">
        <v>0</v>
      </c>
      <c r="AV34" s="180" t="b">
        <v>0</v>
      </c>
      <c r="AW34" s="180" t="b">
        <v>0</v>
      </c>
      <c r="AX34" s="180" t="b">
        <v>0</v>
      </c>
      <c r="AY34" s="181" t="s">
        <v>1070</v>
      </c>
      <c r="AZ34" s="181" t="s">
        <v>1070</v>
      </c>
      <c r="BA34" s="184">
        <f>IFERROR(__xludf.DUMMYFUNCTION("IF(
  ISNUMBER(BA33),
  MIN(MAX(
    BA33
    + MAX(
      ROUNDDOWN((D34 - MAX(IFERROR(FILTER(D$24:D33, BA$24:BA33 &lt;&gt; AZ$6, BA$23:BA32 = AZ$6), 0))) * (60 * 60 * 24) / AZ$9) - ROUNDDOWN((D33 - MAX(IFERROR(FILTER(D$23:D32, BA$23:BA32 &lt;&gt; AZ$6, BA$22:BA31 ="&amp;" AZ$6), 0))) * (60 * 60 * 24) / AZ$9),
      0
    )
    - COUNTIF(AZ34, ""&lt;&gt;-""),
  0), AZ$6),
  AZ$6 - COUNTIF(AZ34, ""&lt;&gt;-"")
)"),2.0)</f>
        <v>2</v>
      </c>
      <c r="BB34" s="181" t="s">
        <v>1070</v>
      </c>
      <c r="BC34" s="183">
        <f>IFERROR(__xludf.DUMMYFUNCTION("IF(
  ISNUMBER(BC33),
  MIN(MAX(
    BC33
    + MAX(
      ROUNDDOWN(($D34 - MAX(IFERROR(FILTER($D$24:$D33, BC$24:BC33 &lt;&gt; BB$6, BC$23:BC32 = BB$6), 0))) * (60 * 60 * 24) / BB$9) - ROUNDDOWN(($D33 - MAX(IFERROR(FILTER($D$23:$D32, BC$23:BC32 &lt;&gt; BB$6, BC$22:"&amp;"BC31 = BB$6), 0))) * (60 * 60 * 24) / 60),
      0
    )
    - COUNTIF(BB34, ""&lt;&gt;-""),
  0), BB$6),
  BB$6 - COUNTIF(BB34, ""&lt;&gt;-"")
)"),2.0)</f>
        <v>2</v>
      </c>
      <c r="BD34" s="181" t="s">
        <v>1070</v>
      </c>
      <c r="BE34" s="178" t="b">
        <v>0</v>
      </c>
      <c r="BF34" s="180" t="b">
        <v>0</v>
      </c>
      <c r="BG34" s="180" t="b">
        <v>0</v>
      </c>
      <c r="BH34" s="180" t="b">
        <v>0</v>
      </c>
      <c r="BI34" s="180" t="b">
        <v>0</v>
      </c>
      <c r="BJ34" s="180" t="b">
        <v>0</v>
      </c>
      <c r="BK34" s="180" t="b">
        <v>0</v>
      </c>
      <c r="BL34" s="180" t="b">
        <v>0</v>
      </c>
      <c r="BM34" s="180" t="b">
        <v>0</v>
      </c>
      <c r="BN34" s="180" t="b">
        <v>0</v>
      </c>
      <c r="BO34" s="181" t="s">
        <v>1070</v>
      </c>
      <c r="BP34" s="181" t="s">
        <v>1070</v>
      </c>
      <c r="BQ34" s="181" t="s">
        <v>1070</v>
      </c>
      <c r="BR34" s="181" t="s">
        <v>1070</v>
      </c>
      <c r="BS34" s="181" t="s">
        <v>1070</v>
      </c>
      <c r="BT34" s="184">
        <f>IFERROR(__xludf.DUMMYFUNCTION("IF(
  ISNUMBER(BT33),
  MIN(MAX(
    BT33
    + MAX(
      ROUNDDOWN((D34 - MAX(IFERROR(FILTER(D$24:D33, BT$24:BT33 &lt;&gt; BS$6, BT$23:BT32 = BS$6), 0))) * (60 * 60 * 24) / BS$9) - ROUNDDOWN((D33 - MAX(IFERROR(FILTER(D$23:D32, BT$23:BT32 &lt;&gt; BS$6, BT$22:BT31 ="&amp;" BS$6), 0))) * (60 * 60 * 24) / BS$9),
      0
    )
    - COUNTIF(BS34, ""&lt;&gt;-""),
  0), BS$6),
  BS$6 - COUNTIF(BS34, ""&lt;&gt;-"")
)"),3.0)</f>
        <v>3</v>
      </c>
      <c r="BU34" s="181" t="s">
        <v>1070</v>
      </c>
      <c r="BV34" s="181" t="s">
        <v>1070</v>
      </c>
      <c r="BW34" s="184">
        <f>IFERROR(__xludf.DUMMYFUNCTION("IF(
  ISNUMBER(BW33),
  MIN(MAX(
    BW33
    + MAX(
      ROUNDDOWN((D34 - MAX(IFERROR(FILTER(D$24:D33, BW$24:BW33 &lt;&gt; BV$6, BW$23:BW32 = BV$6), 0))) * (60 * 60 * 24) / BV$9) - ROUNDDOWN((D33 - MAX(IFERROR(FILTER(D$23:D32, BW$23:BW32 &lt;&gt; BV$6, BW$22:BW31 ="&amp;" BV$6), 0))) * (60 * 60 * 24) / BV$9),
      0
    )
    - COUNTIF(BV34, ""&lt;&gt;-""),
  0), BV$6),
  BV$6 - COUNTIF(BV34, ""&lt;&gt;-"")
)"),2.0)</f>
        <v>2</v>
      </c>
      <c r="BX34" s="185" t="s">
        <v>1070</v>
      </c>
      <c r="BY34" s="178" t="b">
        <v>0</v>
      </c>
      <c r="BZ34" s="180" t="b">
        <v>0</v>
      </c>
      <c r="CA34" s="180" t="b">
        <v>0</v>
      </c>
      <c r="CB34" s="180" t="b">
        <v>0</v>
      </c>
      <c r="CC34" s="180" t="b">
        <v>0</v>
      </c>
      <c r="CD34" s="180" t="b">
        <v>0</v>
      </c>
      <c r="CE34" s="180" t="b">
        <v>0</v>
      </c>
      <c r="CF34" s="180" t="b">
        <v>0</v>
      </c>
      <c r="CG34" s="180" t="b">
        <v>0</v>
      </c>
      <c r="CH34" s="180" t="b">
        <v>0</v>
      </c>
      <c r="CI34" s="180" t="b">
        <v>0</v>
      </c>
      <c r="CJ34" s="180" t="b">
        <v>0</v>
      </c>
      <c r="CK34" s="180" t="b">
        <v>0</v>
      </c>
      <c r="CL34" s="180" t="b">
        <v>0</v>
      </c>
      <c r="CM34" s="181" t="s">
        <v>1070</v>
      </c>
      <c r="CN34" s="181" t="s">
        <v>1070</v>
      </c>
      <c r="CO34" s="181" t="s">
        <v>1070</v>
      </c>
      <c r="CP34" s="181" t="s">
        <v>1070</v>
      </c>
      <c r="CQ34" s="185" t="s">
        <v>1070</v>
      </c>
      <c r="CR34" s="180" t="b">
        <v>0</v>
      </c>
      <c r="CS34" s="186" t="str">
        <f t="shared" si="14"/>
        <v>◇◇◇</v>
      </c>
      <c r="CT34" s="178" t="b">
        <v>0</v>
      </c>
      <c r="CU34" s="180" t="b">
        <v>0</v>
      </c>
      <c r="CV34" s="180" t="b">
        <v>0</v>
      </c>
      <c r="CW34" s="180" t="b">
        <v>0</v>
      </c>
      <c r="CX34" s="180" t="b">
        <v>0</v>
      </c>
      <c r="CY34" s="180" t="b">
        <v>0</v>
      </c>
      <c r="CZ34" s="180" t="b">
        <v>0</v>
      </c>
      <c r="DA34" s="180" t="b">
        <v>0</v>
      </c>
      <c r="DB34" s="180" t="b">
        <v>0</v>
      </c>
      <c r="DC34" s="180" t="b">
        <v>0</v>
      </c>
      <c r="DD34" s="181" t="s">
        <v>1070</v>
      </c>
      <c r="DE34" s="181" t="s">
        <v>1070</v>
      </c>
      <c r="DF34" s="181" t="s">
        <v>1070</v>
      </c>
      <c r="DG34" s="185" t="s">
        <v>1070</v>
      </c>
      <c r="DH34" s="180" t="b">
        <v>0</v>
      </c>
      <c r="DI34" s="187" t="str">
        <f>IFERROR(__xludf.DUMMYFUNCTION("SWITCH(
  IF(
    ISTEXT(DI33),
    IF (
      FIND(""○"", DI33&amp;""○"") &gt; 3,
      3,
      FIND(""○"", DI33&amp;""○"")
      + MAX(
        ROUNDDOWN(($D34 - MAX(IFERROR(FILTER(D$24:D33, DI$24:DI33 &lt;&gt; ""●●●"", DI$23:DI32 = ""●●●""), 0))) * (60 * 60 * 24) / 20"&amp;") - ROUNDDOWN(($D33 - MAX(IFERROR(FILTER(D$23:D32, DI$23:DI32 &lt;&gt; ""●●●"", DI$22:DI31 = ""●●●""), 0))) * (60 * 60 * 24) / 20),
        0
      ) - 1
    ) - COUNTIFS(CU34, ""=TRUE"", CU33, ""&lt;&gt;TRUE"") - COUNTIF(CZ34, ""=TRUE"") - COUNTIF({DD34,DE34}, ""&lt;&gt;-"&amp;""") + COUNTIF(DH34, ""=TRUE""),
    3
  ),
  0, ""○○○"", 1, ""●○○"", 2, ""●●○"", 3, ""●●●"", 4, ""●●●"", ""○○○""
)"),"●●●")</f>
        <v>●●●</v>
      </c>
      <c r="DJ34" s="188" t="b">
        <v>0</v>
      </c>
      <c r="DK34" s="189" t="b">
        <v>0</v>
      </c>
      <c r="DL34" s="190" t="b">
        <v>0</v>
      </c>
      <c r="DM34" s="190" t="b">
        <v>0</v>
      </c>
      <c r="DN34" s="190" t="b">
        <v>0</v>
      </c>
      <c r="DO34" s="190" t="b">
        <v>0</v>
      </c>
      <c r="DP34" s="190" t="b">
        <v>0</v>
      </c>
      <c r="DQ34" s="191" t="b">
        <v>0</v>
      </c>
      <c r="DR34" s="192" t="b">
        <v>0</v>
      </c>
      <c r="DS34" s="191" t="b">
        <v>0</v>
      </c>
      <c r="DT34" s="192" t="b">
        <v>0</v>
      </c>
      <c r="DU34" s="191" t="b">
        <v>0</v>
      </c>
      <c r="DV34" s="193" t="s">
        <v>1070</v>
      </c>
      <c r="DW34" s="194" t="b">
        <v>0</v>
      </c>
      <c r="DX34" s="194" t="b">
        <v>0</v>
      </c>
      <c r="DY34" s="195" t="b">
        <v>0</v>
      </c>
      <c r="DZ34" s="196" t="b">
        <v>0</v>
      </c>
      <c r="EA34" s="195" t="b">
        <v>0</v>
      </c>
      <c r="EB34" s="197" t="b">
        <v>0</v>
      </c>
      <c r="EC34" s="197" t="b">
        <v>0</v>
      </c>
      <c r="ED34" s="212" t="b">
        <v>0</v>
      </c>
      <c r="EE34" s="199">
        <f>IFERROR(__xludf.DUMMYFUNCTION("IFERROR(
   PRODUCT(
     MAP(
       INDEX(TRANSPOSE(UNIQUE(TRANSPOSE(FILTER({IF($F34=""Physical"", K$10:ED$10, IF($F34=""Magic"", K$11:ED$11, K$12:ED$12));K$4:ED$4;K34:ED34}, K34:ED34=TRUE)))), 1, 0),
       INDEX(TRANSPOSE(UNIQUE(TRANSPOSE(FILTER({IF($"&amp;"F34=""Physical"", K$18:ED$18, IF($F34=""Magic"", K$19:ED$19, K$20:ED$20));K$4:ED$4;K34:ED34}, K34:ED34=TRUE)))), 1, 0),
       INDEX(TRANSPOSE(UNIQUE(TRANSPOSE(FILTER({K$5:ED$5;K$4:ED$4;K34:ED34}, K34:ED34=TRUE)))), 1, 0),
       INDEX(TRANSPOSE(UNIQUE(TR"&amp;"ANSPOSE(FILTER({K$17:ED$17;K$4:ED$4;K34:ED34}, K34:ED34=TRUE)))), 1, 0),
       LAMBDA(
         mitigation,
         enhance,
         assign,
         precondition,
         IF(
           REGEXMATCH(assign, ""RANGE_PARTY|SINGLE_ENEMY|RANGE_ENEMY""),
  "&amp;"         IF(
             OR(ARRAYFORMULA((IF(precondition="""", FALSE, REGEXMATCH(K$4:ED$4, precondition))) * (K34:ED34=TRUE))),
             IF(ISNUMBER(enhance), enhance, 1),
             IF(ISNUMBER(mitigation), mitigation, 1)
           ),
          "&amp;" 1
         )
       )
     )
   ),
   1
 )"),1.0)</f>
        <v>1</v>
      </c>
      <c r="EF34" s="200">
        <f>IFERROR(__xludf.DUMMYFUNCTION("PRODUCT(
   MAP(
     K$14:ED$14,
     K$13:ED$13,
     K34:ED34,
     LAMBDA(
       buff,
       target,
       check,
       IF(
         AND(check=TRUE, REGEXMATCH(target, ""RANGE_AFFECTED_ALL|RANGE_EFFECTED_ALL""), ISNUMBER(buff)),
         buff,
   "&amp;"      1
       )
     )
   )
 )"),1.0)</f>
        <v>1</v>
      </c>
      <c r="EG34" s="200">
        <f>IFERROR(__xludf.DUMMYFUNCTION("PRODUCT(
   MAP(
     K$14:ED$14,
     K$13:ED$13,
     K34:ED34,
     LAMBDA(
       buff,
       target,
       check,
       IF(
         AND(check=TRUE, REGEXMATCH(target, ""RANGE_AFFECTED_GCD|RANGE_EFFECTED_GCD""), ISNUMBER(buff)),
         buff,
   "&amp;"      1
       )
     )
   )
 )"),1.0)</f>
        <v>1</v>
      </c>
      <c r="EH34" s="200">
        <f>IFERROR(__xludf.DUMMYFUNCTION("PRODUCT(
   MAP(
     K$3:ED$3,
     K$14:ED$14,
     K$13:ED$13,
     K34:ED34,
     LAMBDA(
       job,
       buff,
       target,
       check,
       IF(
         AND(check=TRUE, REGEXMATCH(target, ""SELF_EFFECTED_ALL""), ISNUMBER(buff), job=""白魔道士"""&amp;"),
         buff,
         1
       )
     )
   )
 )"),1.0)</f>
        <v>1</v>
      </c>
      <c r="EI34" s="200">
        <f>IFERROR(__xludf.DUMMYFUNCTION("PRODUCT(
   MAP(
     K$3:ED$3,
     K$14:ED$14,
     K$13:ED$13,
     K34:ED34,
     LAMBDA(
       job,
       buff,
       target,
       check,
       IF(
         AND(check=TRUE, REGEXMATCH(target, ""SELF_EFFECTED_GCD""), ISNUMBER(buff), job=""白魔道士"""&amp;"),
         buff,
         1
       )
     )
   )
 )"),1.0)</f>
        <v>1</v>
      </c>
      <c r="EJ34" s="200">
        <f>IFERROR(__xludf.DUMMYFUNCTION("PRODUCT(
   MAP(
     K$3:ED$3,
     K$14:ED$14,
     K$13:ED$13,
     K34:ED34,
     LAMBDA(
       job,
       buff,
       target,
       check,
       IF(
         AND(check=TRUE, REGEXMATCH(target, ""SELF_EFFECTED_ALL""), ISNUMBER(buff), job=""占星術師"""&amp;"),
         buff,
         1
       )
     )
   )
 )"),1.0)</f>
        <v>1</v>
      </c>
      <c r="EK34" s="200">
        <f>IFERROR(__xludf.DUMMYFUNCTION("PRODUCT(
   MAP(
     K$3:ED$3,
     K$14:ED$14,
     K$13:ED$13,
     K34:ED34,
     LAMBDA(
       job,
       buff,
       target,
       check,
       IF(
         AND(check=TRUE, REGEXMATCH(target, ""SELF_EFFECTED_GCD""), ISNUMBER(buff), job=""占星術師"""&amp;"),
         buff,
         1
       )
     )
   )
 )"),1.0)</f>
        <v>1</v>
      </c>
      <c r="EL34" s="200">
        <f>IFERROR(__xludf.DUMMYFUNCTION("PRODUCT(
   MAP(
     K$3:ED$3,
     K$14:ED$14,
     K$13:ED$13,
     K34:ED34,
     LAMBDA(
       job,
       buff,
       target,
       check,
       IF(
         AND(check=TRUE, REGEXMATCH(target, ""SELF_EFFECTED_ALL""), ISNUMBER(buff), job=""学者""),"&amp;"
         buff,
         1
       )
     )
   )
 )"),1.0)</f>
        <v>1</v>
      </c>
      <c r="EM34" s="200">
        <f>IFERROR(__xludf.DUMMYFUNCTION("PRODUCT(
   MAP(
     K$3:ED$3,
     K$14:ED$14,
     K$13:ED$13,
     K34:ED34,
     LAMBDA(
       job,
       buff,
       target,
       check,
       IF(
         AND(check=TRUE, REGEXMATCH(target, ""SELF_EFFECTED_GCD""), ISNUMBER(buff), job=""学者""),"&amp;"
         buff,
         1
       )
     )
   )
 )"),1.0)</f>
        <v>1</v>
      </c>
      <c r="EN34" s="200">
        <f>IFERROR(__xludf.DUMMYFUNCTION("PRODUCT(
   MAP(
     K$3:ED$3,
     K$14:ED$14,
     K$13:ED$13,
     K34:ED34,
     LAMBDA(
       job,
       buff,
       target,
       check,
       IF(
         AND(check=TRUE, REGEXMATCH(target, ""SELF_EFFECTED_ALL""), ISNUMBER(buff), job=""賢者""),"&amp;"
         buff,
         1
       )
     )
   )
 )"),1.0)</f>
        <v>1</v>
      </c>
      <c r="EO34" s="200">
        <f>IFERROR(__xludf.DUMMYFUNCTION("PRODUCT(
   MAP(
     K$3:ED$3,
     K$14:ED$14,
     K$13:ED$13,
     K34:ED34,
     LAMBDA(
       job,
       buff,
       target,
       check,
       IF(
         AND(check=TRUE, REGEXMATCH(target, ""SELF_EFFECTED_GCD""), ISNUMBER(buff), job=""賢者""),"&amp;"
         buff,
         1
       )
     )
   )
 )"),1.0)</f>
        <v>1</v>
      </c>
      <c r="EP34" s="201">
        <f t="shared" si="3"/>
        <v>0</v>
      </c>
      <c r="EQ34" s="201">
        <f>IFERROR(__xludf.DUMMYFUNCTION("SUM(
   MAP(
     K$4:ED$4,
     K$3:ED$3,
     K$7:ED$7,
     K$15:ED$15,
     K$16:ED$16,
     K$21:ED$21,
     K$5:ED$5,
     K$17:ED$17,
     K34:ED34,
     LAMBDA(
       name,
       job,
       abillity,
       buff,
       barrier,
       enhance,"&amp;"
       assign,
       precondition,
       check,
       SWITCH(
         name,
         ""シェイクオフ"", IF(check=TRUE, buff + (0.02 * COUNTIF(ARRAYFORMULA((REGEXMATCH($K$4:$ED$4, ""スリル・オブ・バトル|ヴェンジェンス|原初の血気|ダムネーション"")) * (K34:ED34=TRUE)), 1)), 0),
         "&amp;"""インプロビゼーションフィニッシュ(踊りの激情0)"", IF(ISNUMBER(check), INDEX(Skill!$AJ:$AJ, MATCH(SUBSTITUTE(DV$4, 0, check), Skill!$C:$C, 0)), 0),
         IF(
           AND(check=TRUE, REGEXMATCH(assign, ""RANGE_PARTY"")),
           IF(
             OR(ARRAYFORMULA((IF(pr"&amp;"econdition="""", FALSE, REGEXMATCH($K$4:$ED$4, precondition))) * (K34:ED34=TRUE))),
             enhance,
             IF(barrier="""", buff, barrier)
           ),
           0
         )
       ) *
       SWITCH(
         job,
         ""ナイト"", EY$24,
 "&amp;"        ""戦士"", FD$24,
         ""踊り子"", ET$24,
         ""ピクトマンサー"", ET$24,
         ""白魔道士"", EF34 * EH34 * IF(abillity, 1, EG34 * EI34) * (Option!$D$22 * 0.81 / 100),
         ""占星術師"", EF34 * EJ34 * IF(abillity, 1, EG34 * EK34) * (Option!$D$23 * 0.81 "&amp;"/ 100),
         ""学者"", EF34 * EL34 * IF(abillity, 1, EG34 * EM34) * (Option!$D$24 * 0.81 / 100),
         ""賢者"", EF34 * EN34 * IF(abillity, 1, EG34 * EO34) * (Option!$D$25 * 0.81 / 100),
         1
       )
     )
   )
 )"),0.0)</f>
        <v>0</v>
      </c>
      <c r="ER34" s="202">
        <f t="shared" si="4"/>
        <v>0</v>
      </c>
      <c r="ES34" s="203">
        <f t="shared" si="5"/>
        <v>0</v>
      </c>
      <c r="ET34" s="204" t="str">
        <f>IFERROR(__xludf.DUMMYFUNCTION("IFS(
  EP34 &gt; $ET$24 + EQ34,
  SPARKLINE({ 1, 0 }, {""charttype"",""bar"";""max"", 1;""color1"",Option!$D$30;""color2"",Option!$D$30}),
  EP34 &lt; EQ34,
  SPARKLINE({EQ34 - EP34, $ET$24 - (EQ34 - EP34)}, {""charttype"",""bar"";""max"",$ET$24;""color1"",Opti"&amp;"on!$D$28;""color2"",Option!$D$29}),
  EP34 &gt;= EQ34,
  SPARKLINE({$ET$24 + EQ34 - EP34,EP34 - EQ34}, {""charttype"",""bar"";""max"",$ET$24;""color1"",Option!$D$29;""color2"",Option!$D$30})
)"),"")</f>
        <v/>
      </c>
      <c r="EU34" s="205">
        <f>IFERROR(__xludf.DUMMYFUNCTION("PRODUCT(
   MAP(
     IF($F34=""Physical"", K$10:ED$10, IF($F34=""Magic"", K$11:ED$11, K$12:ED$12)),
     IF($F34=""Physical"", K$18:ED$18, IF($F34=""Magic"", K$19:ED$19, K$20:ED$20)),
     K$3:ED$3,
     K$5:ED$5,
     K$17:ED$17,
     K34:ED34,
     LAM"&amp;"BDA(
       mitigation,
       enhance,
       job,
       assign,
       precondition,
       check,
       IF(
         OR(AND(check=TRUE, REGEXMATCH(assign, ""SELF""), job=""ナイト""), AND(check=Option!$E$13, REGEXMATCH(assign, ""SINGLE_PARTY""))),
      "&amp;"   IF(
           OR(ARRAYFORMULA((IF(precondition="""", FALSE, REGEXMATCH($K$4:$ED$4, precondition))) * (K34:ED34=TRUE))),
           enhance,
           mitigation
         ),
         1
       )
     )
   )
 ) * EE34"),1.0)</f>
        <v>1</v>
      </c>
      <c r="EV34" s="206">
        <f t="shared" si="6"/>
        <v>0</v>
      </c>
      <c r="EW34" s="205">
        <f>IFERROR(__xludf.DUMMYFUNCTION("PRODUCT(
   MAP(
     K$3:ED$3,
     K$14:ED$14,
     K$13:ED$13,
     K34:ED34,
     LAMBDA(
       job,
       buff,
       target,
       check,
       IF(
         OR(AND(check=TRUE, REGEXMATCH(target, ""SELF_AFFECTED_ALL""), job=""ナイト""), AND(check=O"&amp;"ption!$E$13, REGEXMATCH(target, ""SINGLE_AFFECTED_ALL""))),
         buff,
         1
       )
     )
   )
 )"),1.0)</f>
        <v>1</v>
      </c>
      <c r="EX34" s="206">
        <f>IFERROR(__xludf.DUMMYFUNCTION("SUM(
   MAP(
     K$3:ED$3,
     K$7:ED$7,
     K$15:ED$15,
     K$16:ED$16,
     K$21:ED$21,
     K$5:ED$5,
     K$17:ED$17,
     K34:ED34,
     LAMBDA(
       job,
       abillity,
       buff,
       barrier,
       enhance,
       assign,
       preco"&amp;"ndition,
       check,
       IF(
         OR(AND(check=TRUE, REGEXMATCH(assign, ""SELF""), job=""ナイト""), AND(check=Option!$E$13, REGEXMATCH(assign, ""SINGLE_PARTY""))),
         IF(
           OR(ARRAYFORMULA((IF(precondition="""", FALSE, REGEXMATCH($K$4"&amp;":$ED$4, precondition))) * (K34:ED34=TRUE))),
           enhance,
           IF(barrier="""", buff, barrier)
         ),
         0
       ) *
       SWITCH(
         job,
         ""暗黒騎士"", EY$24,
         ""白魔道士"", EF34 * EH34 * EW34 * IF(abillity, 1, EG"&amp;"34 * EI34) * (Option!$D$22 * 0.81 / 100),
         ""占星術師"", EF34 * EJ34 * EW34 * IF(abillity, 1, EG34 * EK34) * (Option!$D$23 * 0.81 / 100),
         ""学者"", EF34 * EL34 * EW34 * IF(abillity, 1, EG34 * EM34) * (Option!$D$24 * 0.81 / 100),
         ""賢者"""&amp;", EF34 * EN34 * EW34 * IF(abillity, 1, EG34 * EO34) * (Option!$D$25 * 0.81 / 100),
         1
       )
     )
   )
 ) + EQ34"),0.0)</f>
        <v>0</v>
      </c>
      <c r="EY34" s="206">
        <f t="shared" si="7"/>
        <v>0</v>
      </c>
      <c r="EZ34" s="205">
        <f>IFERROR(__xludf.DUMMYFUNCTION("PRODUCT(
   MAP(
     IF($F34=""Physical"", K$10:ED$10, IF($F34=""Magic"", K$11:ED$11, K$12:ED$12)),
     IF($F34=""Physical"", K$18:ED$18, IF($F34=""Magic"", K$19:ED$19, K$20:ED$20)),
     K$3:ED$3,
     K$5:ED$5,
     K$17:ED$17,
     K34:ED34,
     LAM"&amp;"BDA(
       mitigation,
       enhance,
       job,
       assign,
       precondition,
       check,
       IF(
         OR(AND(check=TRUE, REGEXMATCH(assign, ""SELF""), job=""戦士""), AND(check=Option!$F$13, REGEXMATCH(assign, ""SINGLE_PARTY""))),
       "&amp;"  IF(
           OR(ARRAYFORMULA((IF(precondition="""", FALSE, REGEXMATCH($K$4:$ED$4, precondition))) * (K34:ED34=TRUE))),
           enhance,
           mitigation
         ),
         1
       )
     )
   )
 ) * EE34"),1.0)</f>
        <v>1</v>
      </c>
      <c r="FA34" s="206">
        <f t="shared" si="8"/>
        <v>0</v>
      </c>
      <c r="FB34" s="205">
        <f>IFERROR(__xludf.DUMMYFUNCTION("PRODUCT(
   MAP(
     K$3:ED$3,
     K$14:ED$14,
     K$13:ED$13,
     K34:ED34,
     LAMBDA(
       job,
       buff,
       target,
       check,
       IF(
         OR(AND(check=TRUE, REGEXMATCH(target, ""SELF_AFFECTED_ALL""), job=""戦士""), AND(check=Op"&amp;"tion!$F$13, REGEXMATCH(target, ""SINGLE_AFFECTED_ALL""))),
         buff,
         1
       )
     )
   )
 )"),1.0)</f>
        <v>1</v>
      </c>
      <c r="FC34" s="206">
        <f>IFERROR(__xludf.DUMMYFUNCTION("SUM(
   MAP(
     K$3:ED$3,
     K$7:ED$7,
     K$15:ED$15,
     K$16:ED$16,
     K$21:ED$21,
     K$5:ED$5,
     K$17:ED$17,
     K34:ED34,
     LAMBDA(
       job,
       abillity,
       buff,
       barrier,
       enhance,
       assign,
       preco"&amp;"ndition,
       check,
       IF(
         OR(AND(check=TRUE, REGEXMATCH(assign, ""SELF""), job=""戦士""), AND(check=Option!$F$13, REGEXMATCH(assign, ""SINGLE_PARTY""))),
         IF(
           OR(ARRAYFORMULA((IF(precondition="""", FALSE, REGEXMATCH($K$4:"&amp;"$ED$4, precondition))) * (K34:ED34=TRUE))),
           enhance,
           IF(barrier="""", buff, barrier)
         ),
         0
       ) *
       SWITCH(
         job,
         ""暗黒騎士"", FD$24,
         ""白魔道士"", EF34 * EH34 * FB34 * IF(abillity, 1, EG3"&amp;"4 * EI34) * (Option!$D$22 * 0.81 / 100),
         ""占星術師"", EF34 * EJ34 * FFB34 * IF(abillity, 1, EG34 * EK34) * (Option!$D$23 * 0.81 / 100),
         ""学者"", EF34 * EL34 * FB34 * IF(abillity, 1, EG34 * EM34) * (Option!$D$24 * 0.81 / 100),
         ""賢者"""&amp;", EF34 * EN34 * FB34 * IF(abillity, 1, EG34 * EO34) * (Option!$D$25 * 0.81 / 100),
         1
       )
     )
   )
 ) + EQ34"),0.0)</f>
        <v>0</v>
      </c>
      <c r="FD34" s="206">
        <f t="shared" si="9"/>
        <v>0</v>
      </c>
      <c r="FE34" s="205">
        <f>IFERROR(__xludf.DUMMYFUNCTION("PRODUCT(
   MAP(
     IF($F34=""Physical"", K$10:ED$10, IF($F34=""Magic"", K$11:ED$11, K$12:ED$12)),
     IF($F34=""Physical"", K$18:ED$18, IF($F34=""Magic"", K$19:ED$19, K$20:ED$20)),
     K$3:ED$3,
     K$5:ED$5,
     K$17:ED$17,
     K34:ED34,
     LAM"&amp;"BDA(
       mitigation,
       enhance,
       job,
       assign,
       precondition,
       check,
       IF(
         OR(AND(check=TRUE, REGEXMATCH(assign, ""SELF""), job=""暗黒騎士""), AND(check=Option!$G$13, REGEXMATCH(assign, ""SINGLE_PARTY""))),
     "&amp;"    IF(
           OR(ARRAYFORMULA((IF(precondition="""", FALSE, REGEXMATCH($K$4:$ED$4, precondition))) * (K34:ED34=TRUE))),
           enhance,
           mitigation
         ),
         1
       )
     )
   )
 ) * EE34"),1.0)</f>
        <v>1</v>
      </c>
      <c r="FF34" s="206">
        <f t="shared" si="10"/>
        <v>0</v>
      </c>
      <c r="FG34" s="205">
        <f>IFERROR(__xludf.DUMMYFUNCTION("PRODUCT(
   MAP(
     K$3:ED$3,
     K$14:ED$14,
     K$13:ED$13,
     K34:ED34,
     LAMBDA(
       job,
       buff,
       target,
       check,
       IF(
         OR(AND(check=TRUE, REGEXMATCH(target, ""SELF_AFFECTED_ALL""), job=""暗黒騎士""), AND(check="&amp;"Option!$G$13, REGEXMATCH(target, ""SINGLE_AFFECTED_ALL""))),
         buff,
         1
       )
     )
   )
 )"),1.0)</f>
        <v>1</v>
      </c>
      <c r="FH34" s="206">
        <f>IFERROR(__xludf.DUMMYFUNCTION("SUM(
   MAP(
     K$3:ED$3,
     K$7:ED$7,
     K$15:ED$15,
     K$16:ED$16,
     K$21:ED$21,
     K$5:ED$5,
     K$17:ED$17,
     K34:ED34,
     LAMBDA(
       job,
       abillity,
       buff,
       barrier,
       enhance,
       assign,
       preco"&amp;"ndition,
       check,
       IF(
         OR(AND(check=TRUE, REGEXMATCH(assign, ""SELF""), job=""暗黒騎士""), AND(check=Option!$G$13, REGEXMATCH(assign, ""SINGLE_PARTY""))),
         IF(
           OR(ARRAYFORMULA((IF(precondition="""", FALSE, REGEXMATCH($K$"&amp;"4:$ED$4, precondition))) * (K34:ED34=TRUE))),
           enhance,
           IF(barrier="""", buff, barrier)
         ),
         0
       ) *
       SWITCH(
         job,
         ""暗黒騎士"", FI$24,
         ""白魔道士"", EF34 * EH34 * FG34 * IF(abillity, 1, E"&amp;"G34 * EI34) * (Option!$D$22 * 0.81 / 100),
         ""占星術師"", EF34 * EJ34 * FG34 * IF(abillity, 1, EG34 * EK34) * (Option!$D$23 * 0.81 / 100),
         ""学者"", EF34 * EL34 * FG34 * IF(abillity, 1, EG34 * EM34) * (Option!$D$24 * 0.81 / 100),
         ""賢者"&amp;""", EF34 * EN34 * FG34 * IF(abillity, 1, EG34 * EO34) * (Option!$D$25 * 0.81 / 100),
         1
       )
     )
   )
 ) + EQ34"),0.0)</f>
        <v>0</v>
      </c>
      <c r="FI34" s="206">
        <f t="shared" si="11"/>
        <v>0</v>
      </c>
      <c r="FJ34" s="205">
        <f>IFERROR(__xludf.DUMMYFUNCTION("PRODUCT(
   MAP(
     IF($F34=""Physical"", K$10:ED$10, IF($F34=""Magic"", K$11:ED$11, K$12:ED$12)),
     IF($F34=""Physical"", K$18:ED$18, IF($F34=""Magic"", K$19:ED$19, K$20:ED$20)),
     K$3:ED$3,
     K$5:ED$5,
     K$17:ED$17,
     K34:ED34,
     LAM"&amp;"BDA(
       mitigation,
       enhance,
       job,
       assign,
       precondition,
       check,
       IF(
         OR(AND(check=TRUE, REGEXMATCH(assign, ""SELF""), job=""ガンブレイカー""), AND(check=Option!$H$13, REGEXMATCH(assign, ""SINGLE_PARTY""))),
  "&amp;"       IF(
           OR(ARRAYFORMULA((IF(precondition="""", FALSE, REGEXMATCH($K$4:$ED$4, precondition))) * (K34:ED34=TRUE))),
           enhance,
           mitigation
         ),
         1
       )
     )
   )
 ) * EE34"),1.0)</f>
        <v>1</v>
      </c>
      <c r="FK34" s="206">
        <f t="shared" si="12"/>
        <v>0</v>
      </c>
      <c r="FL34" s="205">
        <f>IFERROR(__xludf.DUMMYFUNCTION("PRODUCT(
   MAP(
     K$3:ED$3,
     K$14:ED$14,
     K$13:ED$13,
     K34:ED34,
     LAMBDA(
       job,
       buff,
       target,
       check,
       IF(
         OR(AND(check=TRUE, REGEXMATCH(target, ""SELF_AFFECTED_ALL""), job=""ガンブレイカー""), AND(che"&amp;"ck=Option!$H$13, REGEXMATCH(target, ""SINGLE_AFFECTED_ALL""))),
         buff,
         1
       )
     )
   )
 )"),1.0)</f>
        <v>1</v>
      </c>
      <c r="FM34" s="206">
        <f>IFERROR(__xludf.DUMMYFUNCTION("SUM(
   MAP(
     K$3:ED$3,
     K$7:ED$7,
     K$15:ED$15,
     K$16:ED$16,
     K$21:ED$21,
     K$5:ED$5,
     K$17:ED$17,
     K34:ED34,
     LAMBDA(
       job,
       abillity,
       buff,
       barrier,
       enhance,
       assign,
       preco"&amp;"ndition,
       check,
       IF(
         OR(AND(check=TRUE, REGEXMATCH(assign, ""SELF""), job=""ガンブレイカー""), AND(check=Option!$H$13, REGEXMATCH(assign, ""SINGLE_PARTY""))),
         IF(
           OR(ARRAYFORMULA((IF(precondition="""", FALSE, REGEXMATCH("&amp;"$K$4:$ED$4, precondition))) * (K34:ED34=TRUE))),
           enhance,
           IF(barrier="""", buff, barrier)
         ),
         0
       ) *
       SWITCH(
         job,
         ""暗黒騎士"", FN$24,
         ""白魔道士"", EF34 * EH34 * FL34 * IF(abillity, 1"&amp;", EG34 * EI34) * (Option!$D$22 * 0.81 / 100),
         ""占星術師"", EF34 * EJ34 * FL34 * IF(abillity, 1, EG34 * EK34) * (Option!$D$23 * 0.81 / 100),
         ""学者"", EF34 * EL34 * FL34 * IF(abillity, 1, EG34 * EM34) * (Option!$D$24 * 0.81 / 100),
         """&amp;"賢者"", EF34 * EN34 * FL34 * IF(abillity, 1, EG34 * EO34) * (Option!$D$25 * 0.81 / 100),
         1
       )
     )
   )
 ) + EQ34"),0.0)</f>
        <v>0</v>
      </c>
      <c r="FN34" s="206">
        <f t="shared" si="13"/>
        <v>0</v>
      </c>
      <c r="FO34" s="213"/>
    </row>
    <row r="35">
      <c r="B35" s="229"/>
      <c r="C35" s="217">
        <f t="shared" si="1"/>
        <v>0</v>
      </c>
      <c r="D35" s="236"/>
      <c r="E35" s="244"/>
      <c r="F35" s="167"/>
      <c r="G35" s="168" t="str">
        <f t="shared" si="2"/>
        <v/>
      </c>
      <c r="H35" s="169"/>
      <c r="I35" s="169"/>
      <c r="J35" s="169"/>
      <c r="K35" s="170" t="b">
        <v>0</v>
      </c>
      <c r="L35" s="170" t="b">
        <v>0</v>
      </c>
      <c r="M35" s="170" t="b">
        <v>0</v>
      </c>
      <c r="N35" s="171" t="s">
        <v>1070</v>
      </c>
      <c r="O35" s="172" t="b">
        <v>0</v>
      </c>
      <c r="P35" s="173" t="b">
        <v>0</v>
      </c>
      <c r="Q35" s="173" t="b">
        <v>0</v>
      </c>
      <c r="R35" s="173" t="b">
        <v>0</v>
      </c>
      <c r="S35" s="174" t="b">
        <v>0</v>
      </c>
      <c r="T35" s="175" t="b">
        <v>0</v>
      </c>
      <c r="U35" s="173" t="b">
        <v>0</v>
      </c>
      <c r="V35" s="171" t="s">
        <v>1070</v>
      </c>
      <c r="W35" s="172" t="b">
        <v>0</v>
      </c>
      <c r="X35" s="173" t="b">
        <v>0</v>
      </c>
      <c r="Y35" s="173" t="b">
        <v>0</v>
      </c>
      <c r="Z35" s="173" t="b">
        <v>0</v>
      </c>
      <c r="AA35" s="174" t="b">
        <v>0</v>
      </c>
      <c r="AB35" s="174" t="b">
        <v>0</v>
      </c>
      <c r="AC35" s="175" t="b">
        <v>0</v>
      </c>
      <c r="AD35" s="173" t="b">
        <v>0</v>
      </c>
      <c r="AE35" s="176" t="s">
        <v>1070</v>
      </c>
      <c r="AF35" s="171" t="s">
        <v>1070</v>
      </c>
      <c r="AG35" s="177">
        <f>IFERROR(__xludf.DUMMYFUNCTION("IF(
  ISNUMBER(AG34),
  MIN(MAX(
    AG34
    + MAX(
      ROUNDDOWN(($D35 - MAX(IFERROR(FILTER($D$24:$D34, AG$24:AG34 &lt;&gt; AF$6, AG$23:AG33 = AF$6), 0))) * (60 * 60 * 24) / AF$9) - ROUNDDOWN(($D34 - MAX(IFERROR(FILTER($D$23:$D33, AG$23:AG33 &lt;&gt; AF$6, AG$22:"&amp;"AG32 = AF$6), 0))) * (60 * 60 * 24) / 60),
      0
    )
    - COUNTIF(AF35, ""&lt;&gt;-""),
  0), AF$6),
  AF$6 - COUNTIF(AF35, ""&lt;&gt;-"")
)"),2.0)</f>
        <v>2</v>
      </c>
      <c r="AH35" s="173" t="b">
        <v>0</v>
      </c>
      <c r="AI35" s="173" t="b">
        <v>0</v>
      </c>
      <c r="AJ35" s="173" t="b">
        <v>0</v>
      </c>
      <c r="AK35" s="174" t="b">
        <v>0</v>
      </c>
      <c r="AL35" s="175" t="b">
        <v>0</v>
      </c>
      <c r="AM35" s="173" t="b">
        <v>0</v>
      </c>
      <c r="AN35" s="171" t="s">
        <v>1070</v>
      </c>
      <c r="AO35" s="173" t="b">
        <v>0</v>
      </c>
      <c r="AP35" s="173" t="b">
        <v>0</v>
      </c>
      <c r="AQ35" s="173" t="b">
        <v>0</v>
      </c>
      <c r="AR35" s="174" t="b">
        <v>0</v>
      </c>
      <c r="AS35" s="178" t="b">
        <v>0</v>
      </c>
      <c r="AT35" s="179" t="b">
        <v>0</v>
      </c>
      <c r="AU35" s="180" t="b">
        <v>0</v>
      </c>
      <c r="AV35" s="180" t="b">
        <v>0</v>
      </c>
      <c r="AW35" s="180" t="b">
        <v>0</v>
      </c>
      <c r="AX35" s="180" t="b">
        <v>0</v>
      </c>
      <c r="AY35" s="181" t="s">
        <v>1070</v>
      </c>
      <c r="AZ35" s="181" t="s">
        <v>1070</v>
      </c>
      <c r="BA35" s="184">
        <f>IFERROR(__xludf.DUMMYFUNCTION("IF(
  ISNUMBER(BA34),
  MIN(MAX(
    BA34
    + MAX(
      ROUNDDOWN((D35 - MAX(IFERROR(FILTER(D$24:D34, BA$24:BA34 &lt;&gt; AZ$6, BA$23:BA33 = AZ$6), 0))) * (60 * 60 * 24) / AZ$9) - ROUNDDOWN((D34 - MAX(IFERROR(FILTER(D$23:D33, BA$23:BA33 &lt;&gt; AZ$6, BA$22:BA32 ="&amp;" AZ$6), 0))) * (60 * 60 * 24) / AZ$9),
      0
    )
    - COUNTIF(AZ35, ""&lt;&gt;-""),
  0), AZ$6),
  AZ$6 - COUNTIF(AZ35, ""&lt;&gt;-"")
)"),2.0)</f>
        <v>2</v>
      </c>
      <c r="BB35" s="181" t="s">
        <v>1070</v>
      </c>
      <c r="BC35" s="183">
        <f>IFERROR(__xludf.DUMMYFUNCTION("IF(
  ISNUMBER(BC34),
  MIN(MAX(
    BC34
    + MAX(
      ROUNDDOWN(($D35 - MAX(IFERROR(FILTER($D$24:$D34, BC$24:BC34 &lt;&gt; BB$6, BC$23:BC33 = BB$6), 0))) * (60 * 60 * 24) / BB$9) - ROUNDDOWN(($D34 - MAX(IFERROR(FILTER($D$23:$D33, BC$23:BC33 &lt;&gt; BB$6, BC$22:"&amp;"BC32 = BB$6), 0))) * (60 * 60 * 24) / 60),
      0
    )
    - COUNTIF(BB35, ""&lt;&gt;-""),
  0), BB$6),
  BB$6 - COUNTIF(BB35, ""&lt;&gt;-"")
)"),2.0)</f>
        <v>2</v>
      </c>
      <c r="BD35" s="181" t="s">
        <v>1070</v>
      </c>
      <c r="BE35" s="178" t="b">
        <v>0</v>
      </c>
      <c r="BF35" s="180" t="b">
        <v>0</v>
      </c>
      <c r="BG35" s="180" t="b">
        <v>0</v>
      </c>
      <c r="BH35" s="180" t="b">
        <v>0</v>
      </c>
      <c r="BI35" s="180" t="b">
        <v>0</v>
      </c>
      <c r="BJ35" s="180" t="b">
        <v>0</v>
      </c>
      <c r="BK35" s="180" t="b">
        <v>0</v>
      </c>
      <c r="BL35" s="180" t="b">
        <v>0</v>
      </c>
      <c r="BM35" s="180" t="b">
        <v>0</v>
      </c>
      <c r="BN35" s="180" t="b">
        <v>0</v>
      </c>
      <c r="BO35" s="181" t="s">
        <v>1070</v>
      </c>
      <c r="BP35" s="181" t="s">
        <v>1070</v>
      </c>
      <c r="BQ35" s="181" t="s">
        <v>1070</v>
      </c>
      <c r="BR35" s="181" t="s">
        <v>1070</v>
      </c>
      <c r="BS35" s="181" t="s">
        <v>1070</v>
      </c>
      <c r="BT35" s="184">
        <f>IFERROR(__xludf.DUMMYFUNCTION("IF(
  ISNUMBER(BT34),
  MIN(MAX(
    BT34
    + MAX(
      ROUNDDOWN((D35 - MAX(IFERROR(FILTER(D$24:D34, BT$24:BT34 &lt;&gt; BS$6, BT$23:BT33 = BS$6), 0))) * (60 * 60 * 24) / BS$9) - ROUNDDOWN((D34 - MAX(IFERROR(FILTER(D$23:D33, BT$23:BT33 &lt;&gt; BS$6, BT$22:BT32 ="&amp;" BS$6), 0))) * (60 * 60 * 24) / BS$9),
      0
    )
    - COUNTIF(BS35, ""&lt;&gt;-""),
  0), BS$6),
  BS$6 - COUNTIF(BS35, ""&lt;&gt;-"")
)"),3.0)</f>
        <v>3</v>
      </c>
      <c r="BU35" s="181" t="s">
        <v>1070</v>
      </c>
      <c r="BV35" s="181" t="s">
        <v>1070</v>
      </c>
      <c r="BW35" s="184">
        <f>IFERROR(__xludf.DUMMYFUNCTION("IF(
  ISNUMBER(BW34),
  MIN(MAX(
    BW34
    + MAX(
      ROUNDDOWN((D35 - MAX(IFERROR(FILTER(D$24:D34, BW$24:BW34 &lt;&gt; BV$6, BW$23:BW33 = BV$6), 0))) * (60 * 60 * 24) / BV$9) - ROUNDDOWN((D34 - MAX(IFERROR(FILTER(D$23:D33, BW$23:BW33 &lt;&gt; BV$6, BW$22:BW32 ="&amp;" BV$6), 0))) * (60 * 60 * 24) / BV$9),
      0
    )
    - COUNTIF(BV35, ""&lt;&gt;-""),
  0), BV$6),
  BV$6 - COUNTIF(BV35, ""&lt;&gt;-"")
)"),2.0)</f>
        <v>2</v>
      </c>
      <c r="BX35" s="185" t="s">
        <v>1070</v>
      </c>
      <c r="BY35" s="178" t="b">
        <v>0</v>
      </c>
      <c r="BZ35" s="180" t="b">
        <v>0</v>
      </c>
      <c r="CA35" s="180" t="b">
        <v>0</v>
      </c>
      <c r="CB35" s="180" t="b">
        <v>0</v>
      </c>
      <c r="CC35" s="180" t="b">
        <v>0</v>
      </c>
      <c r="CD35" s="180" t="b">
        <v>0</v>
      </c>
      <c r="CE35" s="180" t="b">
        <v>0</v>
      </c>
      <c r="CF35" s="180" t="b">
        <v>0</v>
      </c>
      <c r="CG35" s="180" t="b">
        <v>0</v>
      </c>
      <c r="CH35" s="180" t="b">
        <v>0</v>
      </c>
      <c r="CI35" s="180" t="b">
        <v>0</v>
      </c>
      <c r="CJ35" s="180" t="b">
        <v>0</v>
      </c>
      <c r="CK35" s="180" t="b">
        <v>0</v>
      </c>
      <c r="CL35" s="180" t="b">
        <v>0</v>
      </c>
      <c r="CM35" s="181" t="s">
        <v>1070</v>
      </c>
      <c r="CN35" s="181" t="s">
        <v>1070</v>
      </c>
      <c r="CO35" s="181" t="s">
        <v>1070</v>
      </c>
      <c r="CP35" s="181" t="s">
        <v>1070</v>
      </c>
      <c r="CQ35" s="185" t="s">
        <v>1070</v>
      </c>
      <c r="CR35" s="180" t="b">
        <v>0</v>
      </c>
      <c r="CS35" s="186" t="str">
        <f t="shared" si="14"/>
        <v>◇◇◇</v>
      </c>
      <c r="CT35" s="178" t="b">
        <v>0</v>
      </c>
      <c r="CU35" s="180" t="b">
        <v>0</v>
      </c>
      <c r="CV35" s="180" t="b">
        <v>0</v>
      </c>
      <c r="CW35" s="180" t="b">
        <v>0</v>
      </c>
      <c r="CX35" s="180" t="b">
        <v>0</v>
      </c>
      <c r="CY35" s="180" t="b">
        <v>0</v>
      </c>
      <c r="CZ35" s="180" t="b">
        <v>0</v>
      </c>
      <c r="DA35" s="180" t="b">
        <v>0</v>
      </c>
      <c r="DB35" s="180" t="b">
        <v>0</v>
      </c>
      <c r="DC35" s="180" t="b">
        <v>0</v>
      </c>
      <c r="DD35" s="181" t="s">
        <v>1070</v>
      </c>
      <c r="DE35" s="181" t="s">
        <v>1070</v>
      </c>
      <c r="DF35" s="181" t="s">
        <v>1070</v>
      </c>
      <c r="DG35" s="185" t="s">
        <v>1070</v>
      </c>
      <c r="DH35" s="180" t="b">
        <v>0</v>
      </c>
      <c r="DI35" s="187" t="str">
        <f>IFERROR(__xludf.DUMMYFUNCTION("SWITCH(
  IF(
    ISTEXT(DI34),
    IF (
      FIND(""○"", DI34&amp;""○"") &gt; 3,
      3,
      FIND(""○"", DI34&amp;""○"")
      + MAX(
        ROUNDDOWN(($D35 - MAX(IFERROR(FILTER(D$24:D34, DI$24:DI34 &lt;&gt; ""●●●"", DI$23:DI33 = ""●●●""), 0))) * (60 * 60 * 24) / 20"&amp;") - ROUNDDOWN(($D34 - MAX(IFERROR(FILTER(D$23:D33, DI$23:DI33 &lt;&gt; ""●●●"", DI$22:DI32 = ""●●●""), 0))) * (60 * 60 * 24) / 20),
        0
      ) - 1
    ) - COUNTIFS(CU35, ""=TRUE"", CU34, ""&lt;&gt;TRUE"") - COUNTIF(CZ35, ""=TRUE"") - COUNTIF({DD35,DE35}, ""&lt;&gt;-"&amp;""") + COUNTIF(DH35, ""=TRUE""),
    3
  ),
  0, ""○○○"", 1, ""●○○"", 2, ""●●○"", 3, ""●●●"", 4, ""●●●"", ""○○○""
)"),"●●●")</f>
        <v>●●●</v>
      </c>
      <c r="DJ35" s="188" t="b">
        <v>0</v>
      </c>
      <c r="DK35" s="189" t="b">
        <v>0</v>
      </c>
      <c r="DL35" s="190" t="b">
        <v>0</v>
      </c>
      <c r="DM35" s="190" t="b">
        <v>0</v>
      </c>
      <c r="DN35" s="190" t="b">
        <v>0</v>
      </c>
      <c r="DO35" s="190" t="b">
        <v>0</v>
      </c>
      <c r="DP35" s="190" t="b">
        <v>0</v>
      </c>
      <c r="DQ35" s="191" t="b">
        <v>0</v>
      </c>
      <c r="DR35" s="192" t="b">
        <v>0</v>
      </c>
      <c r="DS35" s="191" t="b">
        <v>0</v>
      </c>
      <c r="DT35" s="192" t="b">
        <v>0</v>
      </c>
      <c r="DU35" s="191" t="b">
        <v>0</v>
      </c>
      <c r="DV35" s="193" t="s">
        <v>1070</v>
      </c>
      <c r="DW35" s="194" t="b">
        <v>0</v>
      </c>
      <c r="DX35" s="194" t="b">
        <v>0</v>
      </c>
      <c r="DY35" s="195" t="b">
        <v>0</v>
      </c>
      <c r="DZ35" s="196" t="b">
        <v>0</v>
      </c>
      <c r="EA35" s="195" t="b">
        <v>0</v>
      </c>
      <c r="EB35" s="197" t="b">
        <v>0</v>
      </c>
      <c r="EC35" s="197" t="b">
        <v>0</v>
      </c>
      <c r="ED35" s="212" t="b">
        <v>0</v>
      </c>
      <c r="EE35" s="199">
        <f>IFERROR(__xludf.DUMMYFUNCTION("IFERROR(
   PRODUCT(
     MAP(
       INDEX(TRANSPOSE(UNIQUE(TRANSPOSE(FILTER({IF($F35=""Physical"", K$10:ED$10, IF($F35=""Magic"", K$11:ED$11, K$12:ED$12));K$4:ED$4;K35:ED35}, K35:ED35=TRUE)))), 1, 0),
       INDEX(TRANSPOSE(UNIQUE(TRANSPOSE(FILTER({IF($"&amp;"F35=""Physical"", K$18:ED$18, IF($F35=""Magic"", K$19:ED$19, K$20:ED$20));K$4:ED$4;K35:ED35}, K35:ED35=TRUE)))), 1, 0),
       INDEX(TRANSPOSE(UNIQUE(TRANSPOSE(FILTER({K$5:ED$5;K$4:ED$4;K35:ED35}, K35:ED35=TRUE)))), 1, 0),
       INDEX(TRANSPOSE(UNIQUE(TR"&amp;"ANSPOSE(FILTER({K$17:ED$17;K$4:ED$4;K35:ED35}, K35:ED35=TRUE)))), 1, 0),
       LAMBDA(
         mitigation,
         enhance,
         assign,
         precondition,
         IF(
           REGEXMATCH(assign, ""RANGE_PARTY|SINGLE_ENEMY|RANGE_ENEMY""),
  "&amp;"         IF(
             OR(ARRAYFORMULA((IF(precondition="""", FALSE, REGEXMATCH(K$4:ED$4, precondition))) * (K35:ED35=TRUE))),
             IF(ISNUMBER(enhance), enhance, 1),
             IF(ISNUMBER(mitigation), mitigation, 1)
           ),
          "&amp;" 1
         )
       )
     )
   ),
   1
 )"),1.0)</f>
        <v>1</v>
      </c>
      <c r="EF35" s="200">
        <f>IFERROR(__xludf.DUMMYFUNCTION("PRODUCT(
   MAP(
     K$14:ED$14,
     K$13:ED$13,
     K35:ED35,
     LAMBDA(
       buff,
       target,
       check,
       IF(
         AND(check=TRUE, REGEXMATCH(target, ""RANGE_AFFECTED_ALL|RANGE_EFFECTED_ALL""), ISNUMBER(buff)),
         buff,
   "&amp;"      1
       )
     )
   )
 )"),1.0)</f>
        <v>1</v>
      </c>
      <c r="EG35" s="200">
        <f>IFERROR(__xludf.DUMMYFUNCTION("PRODUCT(
   MAP(
     K$14:ED$14,
     K$13:ED$13,
     K35:ED35,
     LAMBDA(
       buff,
       target,
       check,
       IF(
         AND(check=TRUE, REGEXMATCH(target, ""RANGE_AFFECTED_GCD|RANGE_EFFECTED_GCD""), ISNUMBER(buff)),
         buff,
   "&amp;"      1
       )
     )
   )
 )"),1.0)</f>
        <v>1</v>
      </c>
      <c r="EH35" s="200">
        <f>IFERROR(__xludf.DUMMYFUNCTION("PRODUCT(
   MAP(
     K$3:ED$3,
     K$14:ED$14,
     K$13:ED$13,
     K35:ED35,
     LAMBDA(
       job,
       buff,
       target,
       check,
       IF(
         AND(check=TRUE, REGEXMATCH(target, ""SELF_EFFECTED_ALL""), ISNUMBER(buff), job=""白魔道士"""&amp;"),
         buff,
         1
       )
     )
   )
 )"),1.0)</f>
        <v>1</v>
      </c>
      <c r="EI35" s="200">
        <f>IFERROR(__xludf.DUMMYFUNCTION("PRODUCT(
   MAP(
     K$3:ED$3,
     K$14:ED$14,
     K$13:ED$13,
     K35:ED35,
     LAMBDA(
       job,
       buff,
       target,
       check,
       IF(
         AND(check=TRUE, REGEXMATCH(target, ""SELF_EFFECTED_GCD""), ISNUMBER(buff), job=""白魔道士"""&amp;"),
         buff,
         1
       )
     )
   )
 )"),1.0)</f>
        <v>1</v>
      </c>
      <c r="EJ35" s="200">
        <f>IFERROR(__xludf.DUMMYFUNCTION("PRODUCT(
   MAP(
     K$3:ED$3,
     K$14:ED$14,
     K$13:ED$13,
     K35:ED35,
     LAMBDA(
       job,
       buff,
       target,
       check,
       IF(
         AND(check=TRUE, REGEXMATCH(target, ""SELF_EFFECTED_ALL""), ISNUMBER(buff), job=""占星術師"""&amp;"),
         buff,
         1
       )
     )
   )
 )"),1.0)</f>
        <v>1</v>
      </c>
      <c r="EK35" s="200">
        <f>IFERROR(__xludf.DUMMYFUNCTION("PRODUCT(
   MAP(
     K$3:ED$3,
     K$14:ED$14,
     K$13:ED$13,
     K35:ED35,
     LAMBDA(
       job,
       buff,
       target,
       check,
       IF(
         AND(check=TRUE, REGEXMATCH(target, ""SELF_EFFECTED_GCD""), ISNUMBER(buff), job=""占星術師"""&amp;"),
         buff,
         1
       )
     )
   )
 )"),1.0)</f>
        <v>1</v>
      </c>
      <c r="EL35" s="200">
        <f>IFERROR(__xludf.DUMMYFUNCTION("PRODUCT(
   MAP(
     K$3:ED$3,
     K$14:ED$14,
     K$13:ED$13,
     K35:ED35,
     LAMBDA(
       job,
       buff,
       target,
       check,
       IF(
         AND(check=TRUE, REGEXMATCH(target, ""SELF_EFFECTED_ALL""), ISNUMBER(buff), job=""学者""),"&amp;"
         buff,
         1
       )
     )
   )
 )"),1.0)</f>
        <v>1</v>
      </c>
      <c r="EM35" s="200">
        <f>IFERROR(__xludf.DUMMYFUNCTION("PRODUCT(
   MAP(
     K$3:ED$3,
     K$14:ED$14,
     K$13:ED$13,
     K35:ED35,
     LAMBDA(
       job,
       buff,
       target,
       check,
       IF(
         AND(check=TRUE, REGEXMATCH(target, ""SELF_EFFECTED_GCD""), ISNUMBER(buff), job=""学者""),"&amp;"
         buff,
         1
       )
     )
   )
 )"),1.0)</f>
        <v>1</v>
      </c>
      <c r="EN35" s="200">
        <f>IFERROR(__xludf.DUMMYFUNCTION("PRODUCT(
   MAP(
     K$3:ED$3,
     K$14:ED$14,
     K$13:ED$13,
     K35:ED35,
     LAMBDA(
       job,
       buff,
       target,
       check,
       IF(
         AND(check=TRUE, REGEXMATCH(target, ""SELF_EFFECTED_ALL""), ISNUMBER(buff), job=""賢者""),"&amp;"
         buff,
         1
       )
     )
   )
 )"),1.0)</f>
        <v>1</v>
      </c>
      <c r="EO35" s="200">
        <f>IFERROR(__xludf.DUMMYFUNCTION("PRODUCT(
   MAP(
     K$3:ED$3,
     K$14:ED$14,
     K$13:ED$13,
     K35:ED35,
     LAMBDA(
       job,
       buff,
       target,
       check,
       IF(
         AND(check=TRUE, REGEXMATCH(target, ""SELF_EFFECTED_GCD""), ISNUMBER(buff), job=""賢者""),"&amp;"
         buff,
         1
       )
     )
   )
 )"),1.0)</f>
        <v>1</v>
      </c>
      <c r="EP35" s="201">
        <f t="shared" si="3"/>
        <v>0</v>
      </c>
      <c r="EQ35" s="201">
        <f>IFERROR(__xludf.DUMMYFUNCTION("SUM(
   MAP(
     K$4:ED$4,
     K$3:ED$3,
     K$7:ED$7,
     K$15:ED$15,
     K$16:ED$16,
     K$21:ED$21,
     K$5:ED$5,
     K$17:ED$17,
     K35:ED35,
     LAMBDA(
       name,
       job,
       abillity,
       buff,
       barrier,
       enhance,"&amp;"
       assign,
       precondition,
       check,
       SWITCH(
         name,
         ""シェイクオフ"", IF(check=TRUE, buff + (0.02 * COUNTIF(ARRAYFORMULA((REGEXMATCH($K$4:$ED$4, ""スリル・オブ・バトル|ヴェンジェンス|原初の血気|ダムネーション"")) * (K35:ED35=TRUE)), 1)), 0),
         "&amp;"""インプロビゼーションフィニッシュ(踊りの激情0)"", IF(ISNUMBER(check), INDEX(Skill!$AJ:$AJ, MATCH(SUBSTITUTE(DV$4, 0, check), Skill!$C:$C, 0)), 0),
         IF(
           AND(check=TRUE, REGEXMATCH(assign, ""RANGE_PARTY"")),
           IF(
             OR(ARRAYFORMULA((IF(pr"&amp;"econdition="""", FALSE, REGEXMATCH($K$4:$ED$4, precondition))) * (K35:ED35=TRUE))),
             enhance,
             IF(barrier="""", buff, barrier)
           ),
           0
         )
       ) *
       SWITCH(
         job,
         ""ナイト"", EY$24,
 "&amp;"        ""戦士"", FD$24,
         ""踊り子"", ET$24,
         ""ピクトマンサー"", ET$24,
         ""白魔道士"", EF35 * EH35 * IF(abillity, 1, EG35 * EI35) * (Option!$D$22 * 0.81 / 100),
         ""占星術師"", EF35 * EJ35 * IF(abillity, 1, EG35 * EK35) * (Option!$D$23 * 0.81 "&amp;"/ 100),
         ""学者"", EF35 * EL35 * IF(abillity, 1, EG35 * EM35) * (Option!$D$24 * 0.81 / 100),
         ""賢者"", EF35 * EN35 * IF(abillity, 1, EG35 * EO35) * (Option!$D$25 * 0.81 / 100),
         1
       )
     )
   )
 )"),0.0)</f>
        <v>0</v>
      </c>
      <c r="ER35" s="202">
        <f t="shared" si="4"/>
        <v>0</v>
      </c>
      <c r="ES35" s="203">
        <f t="shared" si="5"/>
        <v>0</v>
      </c>
      <c r="ET35" s="204" t="str">
        <f>IFERROR(__xludf.DUMMYFUNCTION("IFS(
  EP35 &gt; $ET$24 + EQ35,
  SPARKLINE({ 1, 0 }, {""charttype"",""bar"";""max"", 1;""color1"",Option!$D$30;""color2"",Option!$D$30}),
  EP35 &lt; EQ35,
  SPARKLINE({EQ35 - EP35, $ET$24 - (EQ35 - EP35)}, {""charttype"",""bar"";""max"",$ET$24;""color1"",Opti"&amp;"on!$D$28;""color2"",Option!$D$29}),
  EP35 &gt;= EQ35,
  SPARKLINE({$ET$24 + EQ35 - EP35,EP35 - EQ35}, {""charttype"",""bar"";""max"",$ET$24;""color1"",Option!$D$29;""color2"",Option!$D$30})
)"),"")</f>
        <v/>
      </c>
      <c r="EU35" s="205">
        <f>IFERROR(__xludf.DUMMYFUNCTION("PRODUCT(
   MAP(
     IF($F35=""Physical"", K$10:ED$10, IF($F35=""Magic"", K$11:ED$11, K$12:ED$12)),
     IF($F35=""Physical"", K$18:ED$18, IF($F35=""Magic"", K$19:ED$19, K$20:ED$20)),
     K$3:ED$3,
     K$5:ED$5,
     K$17:ED$17,
     K35:ED35,
     LAM"&amp;"BDA(
       mitigation,
       enhance,
       job,
       assign,
       precondition,
       check,
       IF(
         OR(AND(check=TRUE, REGEXMATCH(assign, ""SELF""), job=""ナイト""), AND(check=Option!$E$13, REGEXMATCH(assign, ""SINGLE_PARTY""))),
      "&amp;"   IF(
           OR(ARRAYFORMULA((IF(precondition="""", FALSE, REGEXMATCH($K$4:$ED$4, precondition))) * (K35:ED35=TRUE))),
           enhance,
           mitigation
         ),
         1
       )
     )
   )
 ) * EE35"),1.0)</f>
        <v>1</v>
      </c>
      <c r="EV35" s="206">
        <f t="shared" si="6"/>
        <v>0</v>
      </c>
      <c r="EW35" s="205">
        <f>IFERROR(__xludf.DUMMYFUNCTION("PRODUCT(
   MAP(
     K$3:ED$3,
     K$14:ED$14,
     K$13:ED$13,
     K35:ED35,
     LAMBDA(
       job,
       buff,
       target,
       check,
       IF(
         OR(AND(check=TRUE, REGEXMATCH(target, ""SELF_AFFECTED_ALL""), job=""ナイト""), AND(check=O"&amp;"ption!$E$13, REGEXMATCH(target, ""SINGLE_AFFECTED_ALL""))),
         buff,
         1
       )
     )
   )
 )"),1.0)</f>
        <v>1</v>
      </c>
      <c r="EX35" s="206">
        <f>IFERROR(__xludf.DUMMYFUNCTION("SUM(
   MAP(
     K$3:ED$3,
     K$7:ED$7,
     K$15:ED$15,
     K$16:ED$16,
     K$21:ED$21,
     K$5:ED$5,
     K$17:ED$17,
     K35:ED35,
     LAMBDA(
       job,
       abillity,
       buff,
       barrier,
       enhance,
       assign,
       preco"&amp;"ndition,
       check,
       IF(
         OR(AND(check=TRUE, REGEXMATCH(assign, ""SELF""), job=""ナイト""), AND(check=Option!$E$13, REGEXMATCH(assign, ""SINGLE_PARTY""))),
         IF(
           OR(ARRAYFORMULA((IF(precondition="""", FALSE, REGEXMATCH($K$4"&amp;":$ED$4, precondition))) * (K35:ED35=TRUE))),
           enhance,
           IF(barrier="""", buff, barrier)
         ),
         0
       ) *
       SWITCH(
         job,
         ""暗黒騎士"", EY$24,
         ""白魔道士"", EF35 * EH35 * EW35 * IF(abillity, 1, EG"&amp;"35 * EI35) * (Option!$D$22 * 0.81 / 100),
         ""占星術師"", EF35 * EJ35 * EW35 * IF(abillity, 1, EG35 * EK35) * (Option!$D$23 * 0.81 / 100),
         ""学者"", EF35 * EL35 * EW35 * IF(abillity, 1, EG35 * EM35) * (Option!$D$24 * 0.81 / 100),
         ""賢者"""&amp;", EF35 * EN35 * EW35 * IF(abillity, 1, EG35 * EO35) * (Option!$D$25 * 0.81 / 100),
         1
       )
     )
   )
 ) + EQ35"),0.0)</f>
        <v>0</v>
      </c>
      <c r="EY35" s="206">
        <f t="shared" si="7"/>
        <v>0</v>
      </c>
      <c r="EZ35" s="205">
        <f>IFERROR(__xludf.DUMMYFUNCTION("PRODUCT(
   MAP(
     IF($F35=""Physical"", K$10:ED$10, IF($F35=""Magic"", K$11:ED$11, K$12:ED$12)),
     IF($F35=""Physical"", K$18:ED$18, IF($F35=""Magic"", K$19:ED$19, K$20:ED$20)),
     K$3:ED$3,
     K$5:ED$5,
     K$17:ED$17,
     K35:ED35,
     LAM"&amp;"BDA(
       mitigation,
       enhance,
       job,
       assign,
       precondition,
       check,
       IF(
         OR(AND(check=TRUE, REGEXMATCH(assign, ""SELF""), job=""戦士""), AND(check=Option!$F$13, REGEXMATCH(assign, ""SINGLE_PARTY""))),
       "&amp;"  IF(
           OR(ARRAYFORMULA((IF(precondition="""", FALSE, REGEXMATCH($K$4:$ED$4, precondition))) * (K35:ED35=TRUE))),
           enhance,
           mitigation
         ),
         1
       )
     )
   )
 ) * EE35"),1.0)</f>
        <v>1</v>
      </c>
      <c r="FA35" s="206">
        <f t="shared" si="8"/>
        <v>0</v>
      </c>
      <c r="FB35" s="205">
        <f>IFERROR(__xludf.DUMMYFUNCTION("PRODUCT(
   MAP(
     K$3:ED$3,
     K$14:ED$14,
     K$13:ED$13,
     K35:ED35,
     LAMBDA(
       job,
       buff,
       target,
       check,
       IF(
         OR(AND(check=TRUE, REGEXMATCH(target, ""SELF_AFFECTED_ALL""), job=""戦士""), AND(check=Op"&amp;"tion!$F$13, REGEXMATCH(target, ""SINGLE_AFFECTED_ALL""))),
         buff,
         1
       )
     )
   )
 )"),1.0)</f>
        <v>1</v>
      </c>
      <c r="FC35" s="206">
        <f>IFERROR(__xludf.DUMMYFUNCTION("SUM(
   MAP(
     K$3:ED$3,
     K$7:ED$7,
     K$15:ED$15,
     K$16:ED$16,
     K$21:ED$21,
     K$5:ED$5,
     K$17:ED$17,
     K35:ED35,
     LAMBDA(
       job,
       abillity,
       buff,
       barrier,
       enhance,
       assign,
       preco"&amp;"ndition,
       check,
       IF(
         OR(AND(check=TRUE, REGEXMATCH(assign, ""SELF""), job=""戦士""), AND(check=Option!$F$13, REGEXMATCH(assign, ""SINGLE_PARTY""))),
         IF(
           OR(ARRAYFORMULA((IF(precondition="""", FALSE, REGEXMATCH($K$4:"&amp;"$ED$4, precondition))) * (K35:ED35=TRUE))),
           enhance,
           IF(barrier="""", buff, barrier)
         ),
         0
       ) *
       SWITCH(
         job,
         ""暗黒騎士"", FD$24,
         ""白魔道士"", EF35 * EH35 * FB35 * IF(abillity, 1, EG3"&amp;"5 * EI35) * (Option!$D$22 * 0.81 / 100),
         ""占星術師"", EF35 * EJ35 * FFB35 * IF(abillity, 1, EG35 * EK35) * (Option!$D$23 * 0.81 / 100),
         ""学者"", EF35 * EL35 * FB35 * IF(abillity, 1, EG35 * EM35) * (Option!$D$24 * 0.81 / 100),
         ""賢者"""&amp;", EF35 * EN35 * FB35 * IF(abillity, 1, EG35 * EO35) * (Option!$D$25 * 0.81 / 100),
         1
       )
     )
   )
 ) + EQ35"),0.0)</f>
        <v>0</v>
      </c>
      <c r="FD35" s="206">
        <f t="shared" si="9"/>
        <v>0</v>
      </c>
      <c r="FE35" s="205">
        <f>IFERROR(__xludf.DUMMYFUNCTION("PRODUCT(
   MAP(
     IF($F35=""Physical"", K$10:ED$10, IF($F35=""Magic"", K$11:ED$11, K$12:ED$12)),
     IF($F35=""Physical"", K$18:ED$18, IF($F35=""Magic"", K$19:ED$19, K$20:ED$20)),
     K$3:ED$3,
     K$5:ED$5,
     K$17:ED$17,
     K35:ED35,
     LAM"&amp;"BDA(
       mitigation,
       enhance,
       job,
       assign,
       precondition,
       check,
       IF(
         OR(AND(check=TRUE, REGEXMATCH(assign, ""SELF""), job=""暗黒騎士""), AND(check=Option!$G$13, REGEXMATCH(assign, ""SINGLE_PARTY""))),
     "&amp;"    IF(
           OR(ARRAYFORMULA((IF(precondition="""", FALSE, REGEXMATCH($K$4:$ED$4, precondition))) * (K35:ED35=TRUE))),
           enhance,
           mitigation
         ),
         1
       )
     )
   )
 ) * EE35"),1.0)</f>
        <v>1</v>
      </c>
      <c r="FF35" s="206">
        <f t="shared" si="10"/>
        <v>0</v>
      </c>
      <c r="FG35" s="205">
        <f>IFERROR(__xludf.DUMMYFUNCTION("PRODUCT(
   MAP(
     K$3:ED$3,
     K$14:ED$14,
     K$13:ED$13,
     K35:ED35,
     LAMBDA(
       job,
       buff,
       target,
       check,
       IF(
         OR(AND(check=TRUE, REGEXMATCH(target, ""SELF_AFFECTED_ALL""), job=""暗黒騎士""), AND(check="&amp;"Option!$G$13, REGEXMATCH(target, ""SINGLE_AFFECTED_ALL""))),
         buff,
         1
       )
     )
   )
 )"),1.0)</f>
        <v>1</v>
      </c>
      <c r="FH35" s="206">
        <f>IFERROR(__xludf.DUMMYFUNCTION("SUM(
   MAP(
     K$3:ED$3,
     K$7:ED$7,
     K$15:ED$15,
     K$16:ED$16,
     K$21:ED$21,
     K$5:ED$5,
     K$17:ED$17,
     K35:ED35,
     LAMBDA(
       job,
       abillity,
       buff,
       barrier,
       enhance,
       assign,
       preco"&amp;"ndition,
       check,
       IF(
         OR(AND(check=TRUE, REGEXMATCH(assign, ""SELF""), job=""暗黒騎士""), AND(check=Option!$G$13, REGEXMATCH(assign, ""SINGLE_PARTY""))),
         IF(
           OR(ARRAYFORMULA((IF(precondition="""", FALSE, REGEXMATCH($K$"&amp;"4:$ED$4, precondition))) * (K35:ED35=TRUE))),
           enhance,
           IF(barrier="""", buff, barrier)
         ),
         0
       ) *
       SWITCH(
         job,
         ""暗黒騎士"", FI$24,
         ""白魔道士"", EF35 * EH35 * FG35 * IF(abillity, 1, E"&amp;"G35 * EI35) * (Option!$D$22 * 0.81 / 100),
         ""占星術師"", EF35 * EJ35 * FG35 * IF(abillity, 1, EG35 * EK35) * (Option!$D$23 * 0.81 / 100),
         ""学者"", EF35 * EL35 * FG35 * IF(abillity, 1, EG35 * EM35) * (Option!$D$24 * 0.81 / 100),
         ""賢者"&amp;""", EF35 * EN35 * FG35 * IF(abillity, 1, EG35 * EO35) * (Option!$D$25 * 0.81 / 100),
         1
       )
     )
   )
 ) + EQ35"),0.0)</f>
        <v>0</v>
      </c>
      <c r="FI35" s="206">
        <f t="shared" si="11"/>
        <v>0</v>
      </c>
      <c r="FJ35" s="205">
        <f>IFERROR(__xludf.DUMMYFUNCTION("PRODUCT(
   MAP(
     IF($F35=""Physical"", K$10:ED$10, IF($F35=""Magic"", K$11:ED$11, K$12:ED$12)),
     IF($F35=""Physical"", K$18:ED$18, IF($F35=""Magic"", K$19:ED$19, K$20:ED$20)),
     K$3:ED$3,
     K$5:ED$5,
     K$17:ED$17,
     K35:ED35,
     LAM"&amp;"BDA(
       mitigation,
       enhance,
       job,
       assign,
       precondition,
       check,
       IF(
         OR(AND(check=TRUE, REGEXMATCH(assign, ""SELF""), job=""ガンブレイカー""), AND(check=Option!$H$13, REGEXMATCH(assign, ""SINGLE_PARTY""))),
  "&amp;"       IF(
           OR(ARRAYFORMULA((IF(precondition="""", FALSE, REGEXMATCH($K$4:$ED$4, precondition))) * (K35:ED35=TRUE))),
           enhance,
           mitigation
         ),
         1
       )
     )
   )
 ) * EE35"),1.0)</f>
        <v>1</v>
      </c>
      <c r="FK35" s="206">
        <f t="shared" si="12"/>
        <v>0</v>
      </c>
      <c r="FL35" s="205">
        <f>IFERROR(__xludf.DUMMYFUNCTION("PRODUCT(
   MAP(
     K$3:ED$3,
     K$14:ED$14,
     K$13:ED$13,
     K35:ED35,
     LAMBDA(
       job,
       buff,
       target,
       check,
       IF(
         OR(AND(check=TRUE, REGEXMATCH(target, ""SELF_AFFECTED_ALL""), job=""ガンブレイカー""), AND(che"&amp;"ck=Option!$H$13, REGEXMATCH(target, ""SINGLE_AFFECTED_ALL""))),
         buff,
         1
       )
     )
   )
 )"),1.0)</f>
        <v>1</v>
      </c>
      <c r="FM35" s="206">
        <f>IFERROR(__xludf.DUMMYFUNCTION("SUM(
   MAP(
     K$3:ED$3,
     K$7:ED$7,
     K$15:ED$15,
     K$16:ED$16,
     K$21:ED$21,
     K$5:ED$5,
     K$17:ED$17,
     K35:ED35,
     LAMBDA(
       job,
       abillity,
       buff,
       barrier,
       enhance,
       assign,
       preco"&amp;"ndition,
       check,
       IF(
         OR(AND(check=TRUE, REGEXMATCH(assign, ""SELF""), job=""ガンブレイカー""), AND(check=Option!$H$13, REGEXMATCH(assign, ""SINGLE_PARTY""))),
         IF(
           OR(ARRAYFORMULA((IF(precondition="""", FALSE, REGEXMATCH("&amp;"$K$4:$ED$4, precondition))) * (K35:ED35=TRUE))),
           enhance,
           IF(barrier="""", buff, barrier)
         ),
         0
       ) *
       SWITCH(
         job,
         ""暗黒騎士"", FN$24,
         ""白魔道士"", EF35 * EH35 * FL35 * IF(abillity, 1"&amp;", EG35 * EI35) * (Option!$D$22 * 0.81 / 100),
         ""占星術師"", EF35 * EJ35 * FL35 * IF(abillity, 1, EG35 * EK35) * (Option!$D$23 * 0.81 / 100),
         ""学者"", EF35 * EL35 * FL35 * IF(abillity, 1, EG35 * EM35) * (Option!$D$24 * 0.81 / 100),
         """&amp;"賢者"", EF35 * EN35 * FL35 * IF(abillity, 1, EG35 * EO35) * (Option!$D$25 * 0.81 / 100),
         1
       )
     )
   )
 ) + EQ35"),0.0)</f>
        <v>0</v>
      </c>
      <c r="FN35" s="206">
        <f t="shared" si="13"/>
        <v>0</v>
      </c>
      <c r="FO35" s="213"/>
    </row>
    <row r="36">
      <c r="B36" s="229"/>
      <c r="C36" s="217">
        <f t="shared" si="1"/>
        <v>0</v>
      </c>
      <c r="D36" s="236"/>
      <c r="E36" s="244"/>
      <c r="F36" s="167"/>
      <c r="G36" s="168" t="str">
        <f t="shared" si="2"/>
        <v/>
      </c>
      <c r="H36" s="169"/>
      <c r="I36" s="169"/>
      <c r="J36" s="169"/>
      <c r="K36" s="170" t="b">
        <v>0</v>
      </c>
      <c r="L36" s="170" t="b">
        <v>0</v>
      </c>
      <c r="M36" s="170" t="b">
        <v>0</v>
      </c>
      <c r="N36" s="171" t="s">
        <v>1070</v>
      </c>
      <c r="O36" s="172" t="b">
        <v>0</v>
      </c>
      <c r="P36" s="173" t="b">
        <v>0</v>
      </c>
      <c r="Q36" s="173" t="b">
        <v>0</v>
      </c>
      <c r="R36" s="173" t="b">
        <v>0</v>
      </c>
      <c r="S36" s="174" t="b">
        <v>0</v>
      </c>
      <c r="T36" s="175" t="b">
        <v>0</v>
      </c>
      <c r="U36" s="173" t="b">
        <v>0</v>
      </c>
      <c r="V36" s="171" t="s">
        <v>1070</v>
      </c>
      <c r="W36" s="172" t="b">
        <v>0</v>
      </c>
      <c r="X36" s="173" t="b">
        <v>0</v>
      </c>
      <c r="Y36" s="173" t="b">
        <v>0</v>
      </c>
      <c r="Z36" s="173" t="b">
        <v>0</v>
      </c>
      <c r="AA36" s="174" t="b">
        <v>0</v>
      </c>
      <c r="AB36" s="174" t="b">
        <v>0</v>
      </c>
      <c r="AC36" s="175" t="b">
        <v>0</v>
      </c>
      <c r="AD36" s="173" t="b">
        <v>0</v>
      </c>
      <c r="AE36" s="176" t="s">
        <v>1070</v>
      </c>
      <c r="AF36" s="171" t="s">
        <v>1070</v>
      </c>
      <c r="AG36" s="177">
        <f>IFERROR(__xludf.DUMMYFUNCTION("IF(
  ISNUMBER(AG35),
  MIN(MAX(
    AG35
    + MAX(
      ROUNDDOWN(($D36 - MAX(IFERROR(FILTER($D$24:$D35, AG$24:AG35 &lt;&gt; AF$6, AG$23:AG34 = AF$6), 0))) * (60 * 60 * 24) / AF$9) - ROUNDDOWN(($D35 - MAX(IFERROR(FILTER($D$23:$D34, AG$23:AG34 &lt;&gt; AF$6, AG$22:"&amp;"AG33 = AF$6), 0))) * (60 * 60 * 24) / 60),
      0
    )
    - COUNTIF(AF36, ""&lt;&gt;-""),
  0), AF$6),
  AF$6 - COUNTIF(AF36, ""&lt;&gt;-"")
)"),2.0)</f>
        <v>2</v>
      </c>
      <c r="AH36" s="173" t="b">
        <v>0</v>
      </c>
      <c r="AI36" s="173" t="b">
        <v>0</v>
      </c>
      <c r="AJ36" s="173" t="b">
        <v>0</v>
      </c>
      <c r="AK36" s="174" t="b">
        <v>0</v>
      </c>
      <c r="AL36" s="175" t="b">
        <v>0</v>
      </c>
      <c r="AM36" s="173" t="b">
        <v>0</v>
      </c>
      <c r="AN36" s="171" t="s">
        <v>1070</v>
      </c>
      <c r="AO36" s="173" t="b">
        <v>0</v>
      </c>
      <c r="AP36" s="173" t="b">
        <v>0</v>
      </c>
      <c r="AQ36" s="173" t="b">
        <v>0</v>
      </c>
      <c r="AR36" s="174" t="b">
        <v>0</v>
      </c>
      <c r="AS36" s="178" t="b">
        <v>0</v>
      </c>
      <c r="AT36" s="179" t="b">
        <v>0</v>
      </c>
      <c r="AU36" s="180" t="b">
        <v>0</v>
      </c>
      <c r="AV36" s="180" t="b">
        <v>0</v>
      </c>
      <c r="AW36" s="180" t="b">
        <v>0</v>
      </c>
      <c r="AX36" s="180" t="b">
        <v>0</v>
      </c>
      <c r="AY36" s="181" t="s">
        <v>1070</v>
      </c>
      <c r="AZ36" s="181" t="s">
        <v>1070</v>
      </c>
      <c r="BA36" s="184">
        <f>IFERROR(__xludf.DUMMYFUNCTION("IF(
  ISNUMBER(BA35),
  MIN(MAX(
    BA35
    + MAX(
      ROUNDDOWN((D36 - MAX(IFERROR(FILTER(D$24:D35, BA$24:BA35 &lt;&gt; AZ$6, BA$23:BA34 = AZ$6), 0))) * (60 * 60 * 24) / AZ$9) - ROUNDDOWN((D35 - MAX(IFERROR(FILTER(D$23:D34, BA$23:BA34 &lt;&gt; AZ$6, BA$22:BA33 ="&amp;" AZ$6), 0))) * (60 * 60 * 24) / AZ$9),
      0
    )
    - COUNTIF(AZ36, ""&lt;&gt;-""),
  0), AZ$6),
  AZ$6 - COUNTIF(AZ36, ""&lt;&gt;-"")
)"),2.0)</f>
        <v>2</v>
      </c>
      <c r="BB36" s="181" t="s">
        <v>1070</v>
      </c>
      <c r="BC36" s="183">
        <f>IFERROR(__xludf.DUMMYFUNCTION("IF(
  ISNUMBER(BC35),
  MIN(MAX(
    BC35
    + MAX(
      ROUNDDOWN(($D36 - MAX(IFERROR(FILTER($D$24:$D35, BC$24:BC35 &lt;&gt; BB$6, BC$23:BC34 = BB$6), 0))) * (60 * 60 * 24) / BB$9) - ROUNDDOWN(($D35 - MAX(IFERROR(FILTER($D$23:$D34, BC$23:BC34 &lt;&gt; BB$6, BC$22:"&amp;"BC33 = BB$6), 0))) * (60 * 60 * 24) / 60),
      0
    )
    - COUNTIF(BB36, ""&lt;&gt;-""),
  0), BB$6),
  BB$6 - COUNTIF(BB36, ""&lt;&gt;-"")
)"),2.0)</f>
        <v>2</v>
      </c>
      <c r="BD36" s="181" t="s">
        <v>1070</v>
      </c>
      <c r="BE36" s="178" t="b">
        <v>0</v>
      </c>
      <c r="BF36" s="180" t="b">
        <v>0</v>
      </c>
      <c r="BG36" s="180" t="b">
        <v>0</v>
      </c>
      <c r="BH36" s="180" t="b">
        <v>0</v>
      </c>
      <c r="BI36" s="180" t="b">
        <v>0</v>
      </c>
      <c r="BJ36" s="180" t="b">
        <v>0</v>
      </c>
      <c r="BK36" s="180" t="b">
        <v>0</v>
      </c>
      <c r="BL36" s="180" t="b">
        <v>0</v>
      </c>
      <c r="BM36" s="180" t="b">
        <v>0</v>
      </c>
      <c r="BN36" s="180" t="b">
        <v>0</v>
      </c>
      <c r="BO36" s="181" t="s">
        <v>1070</v>
      </c>
      <c r="BP36" s="181" t="s">
        <v>1070</v>
      </c>
      <c r="BQ36" s="181" t="s">
        <v>1070</v>
      </c>
      <c r="BR36" s="181" t="s">
        <v>1070</v>
      </c>
      <c r="BS36" s="181" t="s">
        <v>1070</v>
      </c>
      <c r="BT36" s="184">
        <f>IFERROR(__xludf.DUMMYFUNCTION("IF(
  ISNUMBER(BT35),
  MIN(MAX(
    BT35
    + MAX(
      ROUNDDOWN((D36 - MAX(IFERROR(FILTER(D$24:D35, BT$24:BT35 &lt;&gt; BS$6, BT$23:BT34 = BS$6), 0))) * (60 * 60 * 24) / BS$9) - ROUNDDOWN((D35 - MAX(IFERROR(FILTER(D$23:D34, BT$23:BT34 &lt;&gt; BS$6, BT$22:BT33 ="&amp;" BS$6), 0))) * (60 * 60 * 24) / BS$9),
      0
    )
    - COUNTIF(BS36, ""&lt;&gt;-""),
  0), BS$6),
  BS$6 - COUNTIF(BS36, ""&lt;&gt;-"")
)"),3.0)</f>
        <v>3</v>
      </c>
      <c r="BU36" s="181" t="s">
        <v>1070</v>
      </c>
      <c r="BV36" s="181" t="s">
        <v>1070</v>
      </c>
      <c r="BW36" s="184">
        <f>IFERROR(__xludf.DUMMYFUNCTION("IF(
  ISNUMBER(BW35),
  MIN(MAX(
    BW35
    + MAX(
      ROUNDDOWN((D36 - MAX(IFERROR(FILTER(D$24:D35, BW$24:BW35 &lt;&gt; BV$6, BW$23:BW34 = BV$6), 0))) * (60 * 60 * 24) / BV$9) - ROUNDDOWN((D35 - MAX(IFERROR(FILTER(D$23:D34, BW$23:BW34 &lt;&gt; BV$6, BW$22:BW33 ="&amp;" BV$6), 0))) * (60 * 60 * 24) / BV$9),
      0
    )
    - COUNTIF(BV36, ""&lt;&gt;-""),
  0), BV$6),
  BV$6 - COUNTIF(BV36, ""&lt;&gt;-"")
)"),2.0)</f>
        <v>2</v>
      </c>
      <c r="BX36" s="185" t="s">
        <v>1070</v>
      </c>
      <c r="BY36" s="178" t="b">
        <v>0</v>
      </c>
      <c r="BZ36" s="180" t="b">
        <v>0</v>
      </c>
      <c r="CA36" s="180" t="b">
        <v>0</v>
      </c>
      <c r="CB36" s="180" t="b">
        <v>0</v>
      </c>
      <c r="CC36" s="180" t="b">
        <v>0</v>
      </c>
      <c r="CD36" s="180" t="b">
        <v>0</v>
      </c>
      <c r="CE36" s="180" t="b">
        <v>0</v>
      </c>
      <c r="CF36" s="180" t="b">
        <v>0</v>
      </c>
      <c r="CG36" s="180" t="b">
        <v>0</v>
      </c>
      <c r="CH36" s="180" t="b">
        <v>0</v>
      </c>
      <c r="CI36" s="180" t="b">
        <v>0</v>
      </c>
      <c r="CJ36" s="180" t="b">
        <v>0</v>
      </c>
      <c r="CK36" s="180" t="b">
        <v>0</v>
      </c>
      <c r="CL36" s="180" t="b">
        <v>0</v>
      </c>
      <c r="CM36" s="181" t="s">
        <v>1070</v>
      </c>
      <c r="CN36" s="181" t="s">
        <v>1070</v>
      </c>
      <c r="CO36" s="181" t="s">
        <v>1070</v>
      </c>
      <c r="CP36" s="181" t="s">
        <v>1070</v>
      </c>
      <c r="CQ36" s="185" t="s">
        <v>1070</v>
      </c>
      <c r="CR36" s="180" t="b">
        <v>0</v>
      </c>
      <c r="CS36" s="186" t="str">
        <f t="shared" si="14"/>
        <v>◇◇◇</v>
      </c>
      <c r="CT36" s="178" t="b">
        <v>0</v>
      </c>
      <c r="CU36" s="180" t="b">
        <v>0</v>
      </c>
      <c r="CV36" s="180" t="b">
        <v>0</v>
      </c>
      <c r="CW36" s="180" t="b">
        <v>0</v>
      </c>
      <c r="CX36" s="180" t="b">
        <v>0</v>
      </c>
      <c r="CY36" s="180" t="b">
        <v>0</v>
      </c>
      <c r="CZ36" s="180" t="b">
        <v>0</v>
      </c>
      <c r="DA36" s="180" t="b">
        <v>0</v>
      </c>
      <c r="DB36" s="180" t="b">
        <v>0</v>
      </c>
      <c r="DC36" s="180" t="b">
        <v>0</v>
      </c>
      <c r="DD36" s="181" t="s">
        <v>1070</v>
      </c>
      <c r="DE36" s="181" t="s">
        <v>1070</v>
      </c>
      <c r="DF36" s="181" t="s">
        <v>1070</v>
      </c>
      <c r="DG36" s="185" t="s">
        <v>1070</v>
      </c>
      <c r="DH36" s="180" t="b">
        <v>0</v>
      </c>
      <c r="DI36" s="187" t="str">
        <f>IFERROR(__xludf.DUMMYFUNCTION("SWITCH(
  IF(
    ISTEXT(DI35),
    IF (
      FIND(""○"", DI35&amp;""○"") &gt; 3,
      3,
      FIND(""○"", DI35&amp;""○"")
      + MAX(
        ROUNDDOWN(($D36 - MAX(IFERROR(FILTER(D$24:D35, DI$24:DI35 &lt;&gt; ""●●●"", DI$23:DI34 = ""●●●""), 0))) * (60 * 60 * 24) / 20"&amp;") - ROUNDDOWN(($D35 - MAX(IFERROR(FILTER(D$23:D34, DI$23:DI34 &lt;&gt; ""●●●"", DI$22:DI33 = ""●●●""), 0))) * (60 * 60 * 24) / 20),
        0
      ) - 1
    ) - COUNTIFS(CU36, ""=TRUE"", CU35, ""&lt;&gt;TRUE"") - COUNTIF(CZ36, ""=TRUE"") - COUNTIF({DD36,DE36}, ""&lt;&gt;-"&amp;""") + COUNTIF(DH36, ""=TRUE""),
    3
  ),
  0, ""○○○"", 1, ""●○○"", 2, ""●●○"", 3, ""●●●"", 4, ""●●●"", ""○○○""
)"),"●●●")</f>
        <v>●●●</v>
      </c>
      <c r="DJ36" s="188" t="b">
        <v>0</v>
      </c>
      <c r="DK36" s="189" t="b">
        <v>0</v>
      </c>
      <c r="DL36" s="190" t="b">
        <v>0</v>
      </c>
      <c r="DM36" s="190" t="b">
        <v>0</v>
      </c>
      <c r="DN36" s="190" t="b">
        <v>0</v>
      </c>
      <c r="DO36" s="190" t="b">
        <v>0</v>
      </c>
      <c r="DP36" s="190" t="b">
        <v>0</v>
      </c>
      <c r="DQ36" s="191" t="b">
        <v>0</v>
      </c>
      <c r="DR36" s="192" t="b">
        <v>0</v>
      </c>
      <c r="DS36" s="191" t="b">
        <v>0</v>
      </c>
      <c r="DT36" s="192" t="b">
        <v>0</v>
      </c>
      <c r="DU36" s="191" t="b">
        <v>0</v>
      </c>
      <c r="DV36" s="193" t="s">
        <v>1070</v>
      </c>
      <c r="DW36" s="194" t="b">
        <v>0</v>
      </c>
      <c r="DX36" s="194" t="b">
        <v>0</v>
      </c>
      <c r="DY36" s="195" t="b">
        <v>0</v>
      </c>
      <c r="DZ36" s="196" t="b">
        <v>0</v>
      </c>
      <c r="EA36" s="195" t="b">
        <v>0</v>
      </c>
      <c r="EB36" s="197" t="b">
        <v>0</v>
      </c>
      <c r="EC36" s="197" t="b">
        <v>0</v>
      </c>
      <c r="ED36" s="212" t="b">
        <v>0</v>
      </c>
      <c r="EE36" s="199">
        <f>IFERROR(__xludf.DUMMYFUNCTION("IFERROR(
   PRODUCT(
     MAP(
       INDEX(TRANSPOSE(UNIQUE(TRANSPOSE(FILTER({IF($F36=""Physical"", K$10:ED$10, IF($F36=""Magic"", K$11:ED$11, K$12:ED$12));K$4:ED$4;K36:ED36}, K36:ED36=TRUE)))), 1, 0),
       INDEX(TRANSPOSE(UNIQUE(TRANSPOSE(FILTER({IF($"&amp;"F36=""Physical"", K$18:ED$18, IF($F36=""Magic"", K$19:ED$19, K$20:ED$20));K$4:ED$4;K36:ED36}, K36:ED36=TRUE)))), 1, 0),
       INDEX(TRANSPOSE(UNIQUE(TRANSPOSE(FILTER({K$5:ED$5;K$4:ED$4;K36:ED36}, K36:ED36=TRUE)))), 1, 0),
       INDEX(TRANSPOSE(UNIQUE(TR"&amp;"ANSPOSE(FILTER({K$17:ED$17;K$4:ED$4;K36:ED36}, K36:ED36=TRUE)))), 1, 0),
       LAMBDA(
         mitigation,
         enhance,
         assign,
         precondition,
         IF(
           REGEXMATCH(assign, ""RANGE_PARTY|SINGLE_ENEMY|RANGE_ENEMY""),
  "&amp;"         IF(
             OR(ARRAYFORMULA((IF(precondition="""", FALSE, REGEXMATCH(K$4:ED$4, precondition))) * (K36:ED36=TRUE))),
             IF(ISNUMBER(enhance), enhance, 1),
             IF(ISNUMBER(mitigation), mitigation, 1)
           ),
          "&amp;" 1
         )
       )
     )
   ),
   1
 )"),1.0)</f>
        <v>1</v>
      </c>
      <c r="EF36" s="200">
        <f>IFERROR(__xludf.DUMMYFUNCTION("PRODUCT(
   MAP(
     K$14:ED$14,
     K$13:ED$13,
     K36:ED36,
     LAMBDA(
       buff,
       target,
       check,
       IF(
         AND(check=TRUE, REGEXMATCH(target, ""RANGE_AFFECTED_ALL|RANGE_EFFECTED_ALL""), ISNUMBER(buff)),
         buff,
   "&amp;"      1
       )
     )
   )
 )"),1.0)</f>
        <v>1</v>
      </c>
      <c r="EG36" s="200">
        <f>IFERROR(__xludf.DUMMYFUNCTION("PRODUCT(
   MAP(
     K$14:ED$14,
     K$13:ED$13,
     K36:ED36,
     LAMBDA(
       buff,
       target,
       check,
       IF(
         AND(check=TRUE, REGEXMATCH(target, ""RANGE_AFFECTED_GCD|RANGE_EFFECTED_GCD""), ISNUMBER(buff)),
         buff,
   "&amp;"      1
       )
     )
   )
 )"),1.0)</f>
        <v>1</v>
      </c>
      <c r="EH36" s="200">
        <f>IFERROR(__xludf.DUMMYFUNCTION("PRODUCT(
   MAP(
     K$3:ED$3,
     K$14:ED$14,
     K$13:ED$13,
     K36:ED36,
     LAMBDA(
       job,
       buff,
       target,
       check,
       IF(
         AND(check=TRUE, REGEXMATCH(target, ""SELF_EFFECTED_ALL""), ISNUMBER(buff), job=""白魔道士"""&amp;"),
         buff,
         1
       )
     )
   )
 )"),1.0)</f>
        <v>1</v>
      </c>
      <c r="EI36" s="200">
        <f>IFERROR(__xludf.DUMMYFUNCTION("PRODUCT(
   MAP(
     K$3:ED$3,
     K$14:ED$14,
     K$13:ED$13,
     K36:ED36,
     LAMBDA(
       job,
       buff,
       target,
       check,
       IF(
         AND(check=TRUE, REGEXMATCH(target, ""SELF_EFFECTED_GCD""), ISNUMBER(buff), job=""白魔道士"""&amp;"),
         buff,
         1
       )
     )
   )
 )"),1.0)</f>
        <v>1</v>
      </c>
      <c r="EJ36" s="200">
        <f>IFERROR(__xludf.DUMMYFUNCTION("PRODUCT(
   MAP(
     K$3:ED$3,
     K$14:ED$14,
     K$13:ED$13,
     K36:ED36,
     LAMBDA(
       job,
       buff,
       target,
       check,
       IF(
         AND(check=TRUE, REGEXMATCH(target, ""SELF_EFFECTED_ALL""), ISNUMBER(buff), job=""占星術師"""&amp;"),
         buff,
         1
       )
     )
   )
 )"),1.0)</f>
        <v>1</v>
      </c>
      <c r="EK36" s="200">
        <f>IFERROR(__xludf.DUMMYFUNCTION("PRODUCT(
   MAP(
     K$3:ED$3,
     K$14:ED$14,
     K$13:ED$13,
     K36:ED36,
     LAMBDA(
       job,
       buff,
       target,
       check,
       IF(
         AND(check=TRUE, REGEXMATCH(target, ""SELF_EFFECTED_GCD""), ISNUMBER(buff), job=""占星術師"""&amp;"),
         buff,
         1
       )
     )
   )
 )"),1.0)</f>
        <v>1</v>
      </c>
      <c r="EL36" s="200">
        <f>IFERROR(__xludf.DUMMYFUNCTION("PRODUCT(
   MAP(
     K$3:ED$3,
     K$14:ED$14,
     K$13:ED$13,
     K36:ED36,
     LAMBDA(
       job,
       buff,
       target,
       check,
       IF(
         AND(check=TRUE, REGEXMATCH(target, ""SELF_EFFECTED_ALL""), ISNUMBER(buff), job=""学者""),"&amp;"
         buff,
         1
       )
     )
   )
 )"),1.0)</f>
        <v>1</v>
      </c>
      <c r="EM36" s="200">
        <f>IFERROR(__xludf.DUMMYFUNCTION("PRODUCT(
   MAP(
     K$3:ED$3,
     K$14:ED$14,
     K$13:ED$13,
     K36:ED36,
     LAMBDA(
       job,
       buff,
       target,
       check,
       IF(
         AND(check=TRUE, REGEXMATCH(target, ""SELF_EFFECTED_GCD""), ISNUMBER(buff), job=""学者""),"&amp;"
         buff,
         1
       )
     )
   )
 )"),1.0)</f>
        <v>1</v>
      </c>
      <c r="EN36" s="200">
        <f>IFERROR(__xludf.DUMMYFUNCTION("PRODUCT(
   MAP(
     K$3:ED$3,
     K$14:ED$14,
     K$13:ED$13,
     K36:ED36,
     LAMBDA(
       job,
       buff,
       target,
       check,
       IF(
         AND(check=TRUE, REGEXMATCH(target, ""SELF_EFFECTED_ALL""), ISNUMBER(buff), job=""賢者""),"&amp;"
         buff,
         1
       )
     )
   )
 )"),1.0)</f>
        <v>1</v>
      </c>
      <c r="EO36" s="200">
        <f>IFERROR(__xludf.DUMMYFUNCTION("PRODUCT(
   MAP(
     K$3:ED$3,
     K$14:ED$14,
     K$13:ED$13,
     K36:ED36,
     LAMBDA(
       job,
       buff,
       target,
       check,
       IF(
         AND(check=TRUE, REGEXMATCH(target, ""SELF_EFFECTED_GCD""), ISNUMBER(buff), job=""賢者""),"&amp;"
         buff,
         1
       )
     )
   )
 )"),1.0)</f>
        <v>1</v>
      </c>
      <c r="EP36" s="201">
        <f t="shared" si="3"/>
        <v>0</v>
      </c>
      <c r="EQ36" s="201">
        <f>IFERROR(__xludf.DUMMYFUNCTION("SUM(
   MAP(
     K$4:ED$4,
     K$3:ED$3,
     K$7:ED$7,
     K$15:ED$15,
     K$16:ED$16,
     K$21:ED$21,
     K$5:ED$5,
     K$17:ED$17,
     K36:ED36,
     LAMBDA(
       name,
       job,
       abillity,
       buff,
       barrier,
       enhance,"&amp;"
       assign,
       precondition,
       check,
       SWITCH(
         name,
         ""シェイクオフ"", IF(check=TRUE, buff + (0.02 * COUNTIF(ARRAYFORMULA((REGEXMATCH($K$4:$ED$4, ""スリル・オブ・バトル|ヴェンジェンス|原初の血気|ダムネーション"")) * (K36:ED36=TRUE)), 1)), 0),
         "&amp;"""インプロビゼーションフィニッシュ(踊りの激情0)"", IF(ISNUMBER(check), INDEX(Skill!$AJ:$AJ, MATCH(SUBSTITUTE(DV$4, 0, check), Skill!$C:$C, 0)), 0),
         IF(
           AND(check=TRUE, REGEXMATCH(assign, ""RANGE_PARTY"")),
           IF(
             OR(ARRAYFORMULA((IF(pr"&amp;"econdition="""", FALSE, REGEXMATCH($K$4:$ED$4, precondition))) * (K36:ED36=TRUE))),
             enhance,
             IF(barrier="""", buff, barrier)
           ),
           0
         )
       ) *
       SWITCH(
         job,
         ""ナイト"", EY$24,
 "&amp;"        ""戦士"", FD$24,
         ""踊り子"", ET$24,
         ""ピクトマンサー"", ET$24,
         ""白魔道士"", EF36 * EH36 * IF(abillity, 1, EG36 * EI36) * (Option!$D$22 * 0.81 / 100),
         ""占星術師"", EF36 * EJ36 * IF(abillity, 1, EG36 * EK36) * (Option!$D$23 * 0.81 "&amp;"/ 100),
         ""学者"", EF36 * EL36 * IF(abillity, 1, EG36 * EM36) * (Option!$D$24 * 0.81 / 100),
         ""賢者"", EF36 * EN36 * IF(abillity, 1, EG36 * EO36) * (Option!$D$25 * 0.81 / 100),
         1
       )
     )
   )
 )"),0.0)</f>
        <v>0</v>
      </c>
      <c r="ER36" s="202">
        <f t="shared" si="4"/>
        <v>0</v>
      </c>
      <c r="ES36" s="203">
        <f t="shared" si="5"/>
        <v>0</v>
      </c>
      <c r="ET36" s="204" t="str">
        <f>IFERROR(__xludf.DUMMYFUNCTION("IFS(
  EP36 &gt; $ET$24 + EQ36,
  SPARKLINE({ 1, 0 }, {""charttype"",""bar"";""max"", 1;""color1"",Option!$D$30;""color2"",Option!$D$30}),
  EP36 &lt; EQ36,
  SPARKLINE({EQ36 - EP36, $ET$24 - (EQ36 - EP36)}, {""charttype"",""bar"";""max"",$ET$24;""color1"",Opti"&amp;"on!$D$28;""color2"",Option!$D$29}),
  EP36 &gt;= EQ36,
  SPARKLINE({$ET$24 + EQ36 - EP36,EP36 - EQ36}, {""charttype"",""bar"";""max"",$ET$24;""color1"",Option!$D$29;""color2"",Option!$D$30})
)"),"")</f>
        <v/>
      </c>
      <c r="EU36" s="205">
        <f>IFERROR(__xludf.DUMMYFUNCTION("PRODUCT(
   MAP(
     IF($F36=""Physical"", K$10:ED$10, IF($F36=""Magic"", K$11:ED$11, K$12:ED$12)),
     IF($F36=""Physical"", K$18:ED$18, IF($F36=""Magic"", K$19:ED$19, K$20:ED$20)),
     K$3:ED$3,
     K$5:ED$5,
     K$17:ED$17,
     K36:ED36,
     LAM"&amp;"BDA(
       mitigation,
       enhance,
       job,
       assign,
       precondition,
       check,
       IF(
         OR(AND(check=TRUE, REGEXMATCH(assign, ""SELF""), job=""ナイト""), AND(check=Option!$E$13, REGEXMATCH(assign, ""SINGLE_PARTY""))),
      "&amp;"   IF(
           OR(ARRAYFORMULA((IF(precondition="""", FALSE, REGEXMATCH($K$4:$ED$4, precondition))) * (K36:ED36=TRUE))),
           enhance,
           mitigation
         ),
         1
       )
     )
   )
 ) * EE36"),1.0)</f>
        <v>1</v>
      </c>
      <c r="EV36" s="206">
        <f t="shared" si="6"/>
        <v>0</v>
      </c>
      <c r="EW36" s="205">
        <f>IFERROR(__xludf.DUMMYFUNCTION("PRODUCT(
   MAP(
     K$3:ED$3,
     K$14:ED$14,
     K$13:ED$13,
     K36:ED36,
     LAMBDA(
       job,
       buff,
       target,
       check,
       IF(
         OR(AND(check=TRUE, REGEXMATCH(target, ""SELF_AFFECTED_ALL""), job=""ナイト""), AND(check=O"&amp;"ption!$E$13, REGEXMATCH(target, ""SINGLE_AFFECTED_ALL""))),
         buff,
         1
       )
     )
   )
 )"),1.0)</f>
        <v>1</v>
      </c>
      <c r="EX36" s="206">
        <f>IFERROR(__xludf.DUMMYFUNCTION("SUM(
   MAP(
     K$3:ED$3,
     K$7:ED$7,
     K$15:ED$15,
     K$16:ED$16,
     K$21:ED$21,
     K$5:ED$5,
     K$17:ED$17,
     K36:ED36,
     LAMBDA(
       job,
       abillity,
       buff,
       barrier,
       enhance,
       assign,
       preco"&amp;"ndition,
       check,
       IF(
         OR(AND(check=TRUE, REGEXMATCH(assign, ""SELF""), job=""ナイト""), AND(check=Option!$E$13, REGEXMATCH(assign, ""SINGLE_PARTY""))),
         IF(
           OR(ARRAYFORMULA((IF(precondition="""", FALSE, REGEXMATCH($K$4"&amp;":$ED$4, precondition))) * (K36:ED36=TRUE))),
           enhance,
           IF(barrier="""", buff, barrier)
         ),
         0
       ) *
       SWITCH(
         job,
         ""暗黒騎士"", EY$24,
         ""白魔道士"", EF36 * EH36 * EW36 * IF(abillity, 1, EG"&amp;"36 * EI36) * (Option!$D$22 * 0.81 / 100),
         ""占星術師"", EF36 * EJ36 * EW36 * IF(abillity, 1, EG36 * EK36) * (Option!$D$23 * 0.81 / 100),
         ""学者"", EF36 * EL36 * EW36 * IF(abillity, 1, EG36 * EM36) * (Option!$D$24 * 0.81 / 100),
         ""賢者"""&amp;", EF36 * EN36 * EW36 * IF(abillity, 1, EG36 * EO36) * (Option!$D$25 * 0.81 / 100),
         1
       )
     )
   )
 ) + EQ36"),0.0)</f>
        <v>0</v>
      </c>
      <c r="EY36" s="206">
        <f t="shared" si="7"/>
        <v>0</v>
      </c>
      <c r="EZ36" s="205">
        <f>IFERROR(__xludf.DUMMYFUNCTION("PRODUCT(
   MAP(
     IF($F36=""Physical"", K$10:ED$10, IF($F36=""Magic"", K$11:ED$11, K$12:ED$12)),
     IF($F36=""Physical"", K$18:ED$18, IF($F36=""Magic"", K$19:ED$19, K$20:ED$20)),
     K$3:ED$3,
     K$5:ED$5,
     K$17:ED$17,
     K36:ED36,
     LAM"&amp;"BDA(
       mitigation,
       enhance,
       job,
       assign,
       precondition,
       check,
       IF(
         OR(AND(check=TRUE, REGEXMATCH(assign, ""SELF""), job=""戦士""), AND(check=Option!$F$13, REGEXMATCH(assign, ""SINGLE_PARTY""))),
       "&amp;"  IF(
           OR(ARRAYFORMULA((IF(precondition="""", FALSE, REGEXMATCH($K$4:$ED$4, precondition))) * (K36:ED36=TRUE))),
           enhance,
           mitigation
         ),
         1
       )
     )
   )
 ) * EE36"),1.0)</f>
        <v>1</v>
      </c>
      <c r="FA36" s="206">
        <f t="shared" si="8"/>
        <v>0</v>
      </c>
      <c r="FB36" s="205">
        <f>IFERROR(__xludf.DUMMYFUNCTION("PRODUCT(
   MAP(
     K$3:ED$3,
     K$14:ED$14,
     K$13:ED$13,
     K36:ED36,
     LAMBDA(
       job,
       buff,
       target,
       check,
       IF(
         OR(AND(check=TRUE, REGEXMATCH(target, ""SELF_AFFECTED_ALL""), job=""戦士""), AND(check=Op"&amp;"tion!$F$13, REGEXMATCH(target, ""SINGLE_AFFECTED_ALL""))),
         buff,
         1
       )
     )
   )
 )"),1.0)</f>
        <v>1</v>
      </c>
      <c r="FC36" s="206">
        <f>IFERROR(__xludf.DUMMYFUNCTION("SUM(
   MAP(
     K$3:ED$3,
     K$7:ED$7,
     K$15:ED$15,
     K$16:ED$16,
     K$21:ED$21,
     K$5:ED$5,
     K$17:ED$17,
     K36:ED36,
     LAMBDA(
       job,
       abillity,
       buff,
       barrier,
       enhance,
       assign,
       preco"&amp;"ndition,
       check,
       IF(
         OR(AND(check=TRUE, REGEXMATCH(assign, ""SELF""), job=""戦士""), AND(check=Option!$F$13, REGEXMATCH(assign, ""SINGLE_PARTY""))),
         IF(
           OR(ARRAYFORMULA((IF(precondition="""", FALSE, REGEXMATCH($K$4:"&amp;"$ED$4, precondition))) * (K36:ED36=TRUE))),
           enhance,
           IF(barrier="""", buff, barrier)
         ),
         0
       ) *
       SWITCH(
         job,
         ""暗黒騎士"", FD$24,
         ""白魔道士"", EF36 * EH36 * FB36 * IF(abillity, 1, EG3"&amp;"6 * EI36) * (Option!$D$22 * 0.81 / 100),
         ""占星術師"", EF36 * EJ36 * FFB36 * IF(abillity, 1, EG36 * EK36) * (Option!$D$23 * 0.81 / 100),
         ""学者"", EF36 * EL36 * FB36 * IF(abillity, 1, EG36 * EM36) * (Option!$D$24 * 0.81 / 100),
         ""賢者"""&amp;", EF36 * EN36 * FB36 * IF(abillity, 1, EG36 * EO36) * (Option!$D$25 * 0.81 / 100),
         1
       )
     )
   )
 ) + EQ36"),0.0)</f>
        <v>0</v>
      </c>
      <c r="FD36" s="206">
        <f t="shared" si="9"/>
        <v>0</v>
      </c>
      <c r="FE36" s="205">
        <f>IFERROR(__xludf.DUMMYFUNCTION("PRODUCT(
   MAP(
     IF($F36=""Physical"", K$10:ED$10, IF($F36=""Magic"", K$11:ED$11, K$12:ED$12)),
     IF($F36=""Physical"", K$18:ED$18, IF($F36=""Magic"", K$19:ED$19, K$20:ED$20)),
     K$3:ED$3,
     K$5:ED$5,
     K$17:ED$17,
     K36:ED36,
     LAM"&amp;"BDA(
       mitigation,
       enhance,
       job,
       assign,
       precondition,
       check,
       IF(
         OR(AND(check=TRUE, REGEXMATCH(assign, ""SELF""), job=""暗黒騎士""), AND(check=Option!$G$13, REGEXMATCH(assign, ""SINGLE_PARTY""))),
     "&amp;"    IF(
           OR(ARRAYFORMULA((IF(precondition="""", FALSE, REGEXMATCH($K$4:$ED$4, precondition))) * (K36:ED36=TRUE))),
           enhance,
           mitigation
         ),
         1
       )
     )
   )
 ) * EE36"),1.0)</f>
        <v>1</v>
      </c>
      <c r="FF36" s="206">
        <f t="shared" si="10"/>
        <v>0</v>
      </c>
      <c r="FG36" s="205">
        <f>IFERROR(__xludf.DUMMYFUNCTION("PRODUCT(
   MAP(
     K$3:ED$3,
     K$14:ED$14,
     K$13:ED$13,
     K36:ED36,
     LAMBDA(
       job,
       buff,
       target,
       check,
       IF(
         OR(AND(check=TRUE, REGEXMATCH(target, ""SELF_AFFECTED_ALL""), job=""暗黒騎士""), AND(check="&amp;"Option!$G$13, REGEXMATCH(target, ""SINGLE_AFFECTED_ALL""))),
         buff,
         1
       )
     )
   )
 )"),1.0)</f>
        <v>1</v>
      </c>
      <c r="FH36" s="206">
        <f>IFERROR(__xludf.DUMMYFUNCTION("SUM(
   MAP(
     K$3:ED$3,
     K$7:ED$7,
     K$15:ED$15,
     K$16:ED$16,
     K$21:ED$21,
     K$5:ED$5,
     K$17:ED$17,
     K36:ED36,
     LAMBDA(
       job,
       abillity,
       buff,
       barrier,
       enhance,
       assign,
       preco"&amp;"ndition,
       check,
       IF(
         OR(AND(check=TRUE, REGEXMATCH(assign, ""SELF""), job=""暗黒騎士""), AND(check=Option!$G$13, REGEXMATCH(assign, ""SINGLE_PARTY""))),
         IF(
           OR(ARRAYFORMULA((IF(precondition="""", FALSE, REGEXMATCH($K$"&amp;"4:$ED$4, precondition))) * (K36:ED36=TRUE))),
           enhance,
           IF(barrier="""", buff, barrier)
         ),
         0
       ) *
       SWITCH(
         job,
         ""暗黒騎士"", FI$24,
         ""白魔道士"", EF36 * EH36 * FG36 * IF(abillity, 1, E"&amp;"G36 * EI36) * (Option!$D$22 * 0.81 / 100),
         ""占星術師"", EF36 * EJ36 * FG36 * IF(abillity, 1, EG36 * EK36) * (Option!$D$23 * 0.81 / 100),
         ""学者"", EF36 * EL36 * FG36 * IF(abillity, 1, EG36 * EM36) * (Option!$D$24 * 0.81 / 100),
         ""賢者"&amp;""", EF36 * EN36 * FG36 * IF(abillity, 1, EG36 * EO36) * (Option!$D$25 * 0.81 / 100),
         1
       )
     )
   )
 ) + EQ36"),0.0)</f>
        <v>0</v>
      </c>
      <c r="FI36" s="206">
        <f t="shared" si="11"/>
        <v>0</v>
      </c>
      <c r="FJ36" s="205">
        <f>IFERROR(__xludf.DUMMYFUNCTION("PRODUCT(
   MAP(
     IF($F36=""Physical"", K$10:ED$10, IF($F36=""Magic"", K$11:ED$11, K$12:ED$12)),
     IF($F36=""Physical"", K$18:ED$18, IF($F36=""Magic"", K$19:ED$19, K$20:ED$20)),
     K$3:ED$3,
     K$5:ED$5,
     K$17:ED$17,
     K36:ED36,
     LAM"&amp;"BDA(
       mitigation,
       enhance,
       job,
       assign,
       precondition,
       check,
       IF(
         OR(AND(check=TRUE, REGEXMATCH(assign, ""SELF""), job=""ガンブレイカー""), AND(check=Option!$H$13, REGEXMATCH(assign, ""SINGLE_PARTY""))),
  "&amp;"       IF(
           OR(ARRAYFORMULA((IF(precondition="""", FALSE, REGEXMATCH($K$4:$ED$4, precondition))) * (K36:ED36=TRUE))),
           enhance,
           mitigation
         ),
         1
       )
     )
   )
 ) * EE36"),1.0)</f>
        <v>1</v>
      </c>
      <c r="FK36" s="206">
        <f t="shared" si="12"/>
        <v>0</v>
      </c>
      <c r="FL36" s="205">
        <f>IFERROR(__xludf.DUMMYFUNCTION("PRODUCT(
   MAP(
     K$3:ED$3,
     K$14:ED$14,
     K$13:ED$13,
     K36:ED36,
     LAMBDA(
       job,
       buff,
       target,
       check,
       IF(
         OR(AND(check=TRUE, REGEXMATCH(target, ""SELF_AFFECTED_ALL""), job=""ガンブレイカー""), AND(che"&amp;"ck=Option!$H$13, REGEXMATCH(target, ""SINGLE_AFFECTED_ALL""))),
         buff,
         1
       )
     )
   )
 )"),1.0)</f>
        <v>1</v>
      </c>
      <c r="FM36" s="206">
        <f>IFERROR(__xludf.DUMMYFUNCTION("SUM(
   MAP(
     K$3:ED$3,
     K$7:ED$7,
     K$15:ED$15,
     K$16:ED$16,
     K$21:ED$21,
     K$5:ED$5,
     K$17:ED$17,
     K36:ED36,
     LAMBDA(
       job,
       abillity,
       buff,
       barrier,
       enhance,
       assign,
       preco"&amp;"ndition,
       check,
       IF(
         OR(AND(check=TRUE, REGEXMATCH(assign, ""SELF""), job=""ガンブレイカー""), AND(check=Option!$H$13, REGEXMATCH(assign, ""SINGLE_PARTY""))),
         IF(
           OR(ARRAYFORMULA((IF(precondition="""", FALSE, REGEXMATCH("&amp;"$K$4:$ED$4, precondition))) * (K36:ED36=TRUE))),
           enhance,
           IF(barrier="""", buff, barrier)
         ),
         0
       ) *
       SWITCH(
         job,
         ""暗黒騎士"", FN$24,
         ""白魔道士"", EF36 * EH36 * FL36 * IF(abillity, 1"&amp;", EG36 * EI36) * (Option!$D$22 * 0.81 / 100),
         ""占星術師"", EF36 * EJ36 * FL36 * IF(abillity, 1, EG36 * EK36) * (Option!$D$23 * 0.81 / 100),
         ""学者"", EF36 * EL36 * FL36 * IF(abillity, 1, EG36 * EM36) * (Option!$D$24 * 0.81 / 100),
         """&amp;"賢者"", EF36 * EN36 * FL36 * IF(abillity, 1, EG36 * EO36) * (Option!$D$25 * 0.81 / 100),
         1
       )
     )
   )
 ) + EQ36"),0.0)</f>
        <v>0</v>
      </c>
      <c r="FN36" s="206">
        <f t="shared" si="13"/>
        <v>0</v>
      </c>
      <c r="FO36" s="213"/>
    </row>
    <row r="37">
      <c r="B37" s="229"/>
      <c r="C37" s="217">
        <f t="shared" si="1"/>
        <v>0</v>
      </c>
      <c r="D37" s="236"/>
      <c r="E37" s="219"/>
      <c r="F37" s="167"/>
      <c r="G37" s="168" t="str">
        <f t="shared" si="2"/>
        <v/>
      </c>
      <c r="H37" s="169"/>
      <c r="I37" s="169"/>
      <c r="J37" s="169"/>
      <c r="K37" s="170" t="b">
        <v>0</v>
      </c>
      <c r="L37" s="170" t="b">
        <v>0</v>
      </c>
      <c r="M37" s="170" t="b">
        <v>0</v>
      </c>
      <c r="N37" s="171" t="s">
        <v>1070</v>
      </c>
      <c r="O37" s="172" t="b">
        <v>0</v>
      </c>
      <c r="P37" s="173" t="b">
        <v>0</v>
      </c>
      <c r="Q37" s="173" t="b">
        <v>0</v>
      </c>
      <c r="R37" s="173" t="b">
        <v>0</v>
      </c>
      <c r="S37" s="174" t="b">
        <v>0</v>
      </c>
      <c r="T37" s="175" t="b">
        <v>0</v>
      </c>
      <c r="U37" s="173" t="b">
        <v>0</v>
      </c>
      <c r="V37" s="171" t="s">
        <v>1070</v>
      </c>
      <c r="W37" s="172" t="b">
        <v>0</v>
      </c>
      <c r="X37" s="173" t="b">
        <v>0</v>
      </c>
      <c r="Y37" s="173" t="b">
        <v>0</v>
      </c>
      <c r="Z37" s="173" t="b">
        <v>0</v>
      </c>
      <c r="AA37" s="174" t="b">
        <v>0</v>
      </c>
      <c r="AB37" s="174" t="b">
        <v>0</v>
      </c>
      <c r="AC37" s="175" t="b">
        <v>0</v>
      </c>
      <c r="AD37" s="173" t="b">
        <v>0</v>
      </c>
      <c r="AE37" s="176" t="s">
        <v>1070</v>
      </c>
      <c r="AF37" s="171" t="s">
        <v>1070</v>
      </c>
      <c r="AG37" s="177">
        <f>IFERROR(__xludf.DUMMYFUNCTION("IF(
  ISNUMBER(AG36),
  MIN(MAX(
    AG36
    + MAX(
      ROUNDDOWN(($D37 - MAX(IFERROR(FILTER($D$24:$D36, AG$24:AG36 &lt;&gt; AF$6, AG$23:AG35 = AF$6), 0))) * (60 * 60 * 24) / AF$9) - ROUNDDOWN(($D36 - MAX(IFERROR(FILTER($D$23:$D35, AG$23:AG35 &lt;&gt; AF$6, AG$22:"&amp;"AG34 = AF$6), 0))) * (60 * 60 * 24) / 60),
      0
    )
    - COUNTIF(AF37, ""&lt;&gt;-""),
  0), AF$6),
  AF$6 - COUNTIF(AF37, ""&lt;&gt;-"")
)"),2.0)</f>
        <v>2</v>
      </c>
      <c r="AH37" s="173" t="b">
        <v>0</v>
      </c>
      <c r="AI37" s="173" t="b">
        <v>0</v>
      </c>
      <c r="AJ37" s="173" t="b">
        <v>0</v>
      </c>
      <c r="AK37" s="174" t="b">
        <v>0</v>
      </c>
      <c r="AL37" s="175" t="b">
        <v>0</v>
      </c>
      <c r="AM37" s="173" t="b">
        <v>0</v>
      </c>
      <c r="AN37" s="171" t="s">
        <v>1070</v>
      </c>
      <c r="AO37" s="173" t="b">
        <v>0</v>
      </c>
      <c r="AP37" s="173" t="b">
        <v>0</v>
      </c>
      <c r="AQ37" s="173" t="b">
        <v>0</v>
      </c>
      <c r="AR37" s="174" t="b">
        <v>0</v>
      </c>
      <c r="AS37" s="178" t="b">
        <v>0</v>
      </c>
      <c r="AT37" s="179" t="b">
        <v>0</v>
      </c>
      <c r="AU37" s="180" t="b">
        <v>0</v>
      </c>
      <c r="AV37" s="180" t="b">
        <v>0</v>
      </c>
      <c r="AW37" s="180" t="b">
        <v>0</v>
      </c>
      <c r="AX37" s="180" t="b">
        <v>0</v>
      </c>
      <c r="AY37" s="181" t="s">
        <v>1070</v>
      </c>
      <c r="AZ37" s="181" t="s">
        <v>1070</v>
      </c>
      <c r="BA37" s="184">
        <f>IFERROR(__xludf.DUMMYFUNCTION("IF(
  ISNUMBER(BA36),
  MIN(MAX(
    BA36
    + MAX(
      ROUNDDOWN((D37 - MAX(IFERROR(FILTER(D$24:D36, BA$24:BA36 &lt;&gt; AZ$6, BA$23:BA35 = AZ$6), 0))) * (60 * 60 * 24) / AZ$9) - ROUNDDOWN((D36 - MAX(IFERROR(FILTER(D$23:D35, BA$23:BA35 &lt;&gt; AZ$6, BA$22:BA34 ="&amp;" AZ$6), 0))) * (60 * 60 * 24) / AZ$9),
      0
    )
    - COUNTIF(AZ37, ""&lt;&gt;-""),
  0), AZ$6),
  AZ$6 - COUNTIF(AZ37, ""&lt;&gt;-"")
)"),2.0)</f>
        <v>2</v>
      </c>
      <c r="BB37" s="181" t="s">
        <v>1070</v>
      </c>
      <c r="BC37" s="183">
        <f>IFERROR(__xludf.DUMMYFUNCTION("IF(
  ISNUMBER(BC36),
  MIN(MAX(
    BC36
    + MAX(
      ROUNDDOWN(($D37 - MAX(IFERROR(FILTER($D$24:$D36, BC$24:BC36 &lt;&gt; BB$6, BC$23:BC35 = BB$6), 0))) * (60 * 60 * 24) / BB$9) - ROUNDDOWN(($D36 - MAX(IFERROR(FILTER($D$23:$D35, BC$23:BC35 &lt;&gt; BB$6, BC$22:"&amp;"BC34 = BB$6), 0))) * (60 * 60 * 24) / 60),
      0
    )
    - COUNTIF(BB37, ""&lt;&gt;-""),
  0), BB$6),
  BB$6 - COUNTIF(BB37, ""&lt;&gt;-"")
)"),2.0)</f>
        <v>2</v>
      </c>
      <c r="BD37" s="181" t="s">
        <v>1070</v>
      </c>
      <c r="BE37" s="178" t="b">
        <v>0</v>
      </c>
      <c r="BF37" s="180" t="b">
        <v>0</v>
      </c>
      <c r="BG37" s="180" t="b">
        <v>0</v>
      </c>
      <c r="BH37" s="180" t="b">
        <v>0</v>
      </c>
      <c r="BI37" s="180" t="b">
        <v>0</v>
      </c>
      <c r="BJ37" s="180" t="b">
        <v>0</v>
      </c>
      <c r="BK37" s="180" t="b">
        <v>0</v>
      </c>
      <c r="BL37" s="180" t="b">
        <v>0</v>
      </c>
      <c r="BM37" s="180" t="b">
        <v>0</v>
      </c>
      <c r="BN37" s="180" t="b">
        <v>0</v>
      </c>
      <c r="BO37" s="181" t="s">
        <v>1070</v>
      </c>
      <c r="BP37" s="181" t="s">
        <v>1070</v>
      </c>
      <c r="BQ37" s="181" t="s">
        <v>1070</v>
      </c>
      <c r="BR37" s="181" t="s">
        <v>1070</v>
      </c>
      <c r="BS37" s="181" t="s">
        <v>1070</v>
      </c>
      <c r="BT37" s="184">
        <f>IFERROR(__xludf.DUMMYFUNCTION("IF(
  ISNUMBER(BT36),
  MIN(MAX(
    BT36
    + MAX(
      ROUNDDOWN((D37 - MAX(IFERROR(FILTER(D$24:D36, BT$24:BT36 &lt;&gt; BS$6, BT$23:BT35 = BS$6), 0))) * (60 * 60 * 24) / BS$9) - ROUNDDOWN((D36 - MAX(IFERROR(FILTER(D$23:D35, BT$23:BT35 &lt;&gt; BS$6, BT$22:BT34 ="&amp;" BS$6), 0))) * (60 * 60 * 24) / BS$9),
      0
    )
    - COUNTIF(BS37, ""&lt;&gt;-""),
  0), BS$6),
  BS$6 - COUNTIF(BS37, ""&lt;&gt;-"")
)"),3.0)</f>
        <v>3</v>
      </c>
      <c r="BU37" s="181" t="s">
        <v>1070</v>
      </c>
      <c r="BV37" s="181" t="s">
        <v>1070</v>
      </c>
      <c r="BW37" s="184">
        <f>IFERROR(__xludf.DUMMYFUNCTION("IF(
  ISNUMBER(BW36),
  MIN(MAX(
    BW36
    + MAX(
      ROUNDDOWN((D37 - MAX(IFERROR(FILTER(D$24:D36, BW$24:BW36 &lt;&gt; BV$6, BW$23:BW35 = BV$6), 0))) * (60 * 60 * 24) / BV$9) - ROUNDDOWN((D36 - MAX(IFERROR(FILTER(D$23:D35, BW$23:BW35 &lt;&gt; BV$6, BW$22:BW34 ="&amp;" BV$6), 0))) * (60 * 60 * 24) / BV$9),
      0
    )
    - COUNTIF(BV37, ""&lt;&gt;-""),
  0), BV$6),
  BV$6 - COUNTIF(BV37, ""&lt;&gt;-"")
)"),2.0)</f>
        <v>2</v>
      </c>
      <c r="BX37" s="185" t="s">
        <v>1070</v>
      </c>
      <c r="BY37" s="178" t="b">
        <v>0</v>
      </c>
      <c r="BZ37" s="180" t="b">
        <v>0</v>
      </c>
      <c r="CA37" s="180" t="b">
        <v>0</v>
      </c>
      <c r="CB37" s="180" t="b">
        <v>0</v>
      </c>
      <c r="CC37" s="180" t="b">
        <v>0</v>
      </c>
      <c r="CD37" s="180" t="b">
        <v>0</v>
      </c>
      <c r="CE37" s="180" t="b">
        <v>0</v>
      </c>
      <c r="CF37" s="180" t="b">
        <v>0</v>
      </c>
      <c r="CG37" s="180" t="b">
        <v>0</v>
      </c>
      <c r="CH37" s="180" t="b">
        <v>0</v>
      </c>
      <c r="CI37" s="180" t="b">
        <v>0</v>
      </c>
      <c r="CJ37" s="180" t="b">
        <v>0</v>
      </c>
      <c r="CK37" s="180" t="b">
        <v>0</v>
      </c>
      <c r="CL37" s="180" t="b">
        <v>0</v>
      </c>
      <c r="CM37" s="181" t="s">
        <v>1070</v>
      </c>
      <c r="CN37" s="181" t="s">
        <v>1070</v>
      </c>
      <c r="CO37" s="181" t="s">
        <v>1070</v>
      </c>
      <c r="CP37" s="181" t="s">
        <v>1070</v>
      </c>
      <c r="CQ37" s="185" t="s">
        <v>1070</v>
      </c>
      <c r="CR37" s="180" t="b">
        <v>0</v>
      </c>
      <c r="CS37" s="186" t="str">
        <f t="shared" si="14"/>
        <v>◇◇◇</v>
      </c>
      <c r="CT37" s="178" t="b">
        <v>0</v>
      </c>
      <c r="CU37" s="180" t="b">
        <v>0</v>
      </c>
      <c r="CV37" s="180" t="b">
        <v>0</v>
      </c>
      <c r="CW37" s="180" t="b">
        <v>0</v>
      </c>
      <c r="CX37" s="180" t="b">
        <v>0</v>
      </c>
      <c r="CY37" s="180" t="b">
        <v>0</v>
      </c>
      <c r="CZ37" s="180" t="b">
        <v>0</v>
      </c>
      <c r="DA37" s="180" t="b">
        <v>0</v>
      </c>
      <c r="DB37" s="180" t="b">
        <v>0</v>
      </c>
      <c r="DC37" s="180" t="b">
        <v>0</v>
      </c>
      <c r="DD37" s="181" t="s">
        <v>1070</v>
      </c>
      <c r="DE37" s="181" t="s">
        <v>1070</v>
      </c>
      <c r="DF37" s="181" t="s">
        <v>1070</v>
      </c>
      <c r="DG37" s="185" t="s">
        <v>1070</v>
      </c>
      <c r="DH37" s="180" t="b">
        <v>0</v>
      </c>
      <c r="DI37" s="187" t="str">
        <f>IFERROR(__xludf.DUMMYFUNCTION("SWITCH(
  IF(
    ISTEXT(DI36),
    IF (
      FIND(""○"", DI36&amp;""○"") &gt; 3,
      3,
      FIND(""○"", DI36&amp;""○"")
      + MAX(
        ROUNDDOWN(($D37 - MAX(IFERROR(FILTER(D$24:D36, DI$24:DI36 &lt;&gt; ""●●●"", DI$23:DI35 = ""●●●""), 0))) * (60 * 60 * 24) / 20"&amp;") - ROUNDDOWN(($D36 - MAX(IFERROR(FILTER(D$23:D35, DI$23:DI35 &lt;&gt; ""●●●"", DI$22:DI34 = ""●●●""), 0))) * (60 * 60 * 24) / 20),
        0
      ) - 1
    ) - COUNTIFS(CU37, ""=TRUE"", CU36, ""&lt;&gt;TRUE"") - COUNTIF(CZ37, ""=TRUE"") - COUNTIF({DD37,DE37}, ""&lt;&gt;-"&amp;""") + COUNTIF(DH37, ""=TRUE""),
    3
  ),
  0, ""○○○"", 1, ""●○○"", 2, ""●●○"", 3, ""●●●"", 4, ""●●●"", ""○○○""
)"),"●●●")</f>
        <v>●●●</v>
      </c>
      <c r="DJ37" s="188" t="b">
        <v>0</v>
      </c>
      <c r="DK37" s="189" t="b">
        <v>0</v>
      </c>
      <c r="DL37" s="190" t="b">
        <v>0</v>
      </c>
      <c r="DM37" s="190" t="b">
        <v>0</v>
      </c>
      <c r="DN37" s="190" t="b">
        <v>0</v>
      </c>
      <c r="DO37" s="190" t="b">
        <v>0</v>
      </c>
      <c r="DP37" s="190" t="b">
        <v>0</v>
      </c>
      <c r="DQ37" s="191" t="b">
        <v>0</v>
      </c>
      <c r="DR37" s="192" t="b">
        <v>0</v>
      </c>
      <c r="DS37" s="191" t="b">
        <v>0</v>
      </c>
      <c r="DT37" s="192" t="b">
        <v>0</v>
      </c>
      <c r="DU37" s="191" t="b">
        <v>0</v>
      </c>
      <c r="DV37" s="193" t="s">
        <v>1070</v>
      </c>
      <c r="DW37" s="194" t="b">
        <v>0</v>
      </c>
      <c r="DX37" s="194" t="b">
        <v>0</v>
      </c>
      <c r="DY37" s="195" t="b">
        <v>0</v>
      </c>
      <c r="DZ37" s="196" t="b">
        <v>0</v>
      </c>
      <c r="EA37" s="195" t="b">
        <v>0</v>
      </c>
      <c r="EB37" s="197" t="b">
        <v>0</v>
      </c>
      <c r="EC37" s="197" t="b">
        <v>0</v>
      </c>
      <c r="ED37" s="212" t="b">
        <v>0</v>
      </c>
      <c r="EE37" s="199">
        <f>IFERROR(__xludf.DUMMYFUNCTION("IFERROR(
   PRODUCT(
     MAP(
       INDEX(TRANSPOSE(UNIQUE(TRANSPOSE(FILTER({IF($F37=""Physical"", K$10:ED$10, IF($F37=""Magic"", K$11:ED$11, K$12:ED$12));K$4:ED$4;K37:ED37}, K37:ED37=TRUE)))), 1, 0),
       INDEX(TRANSPOSE(UNIQUE(TRANSPOSE(FILTER({IF($"&amp;"F37=""Physical"", K$18:ED$18, IF($F37=""Magic"", K$19:ED$19, K$20:ED$20));K$4:ED$4;K37:ED37}, K37:ED37=TRUE)))), 1, 0),
       INDEX(TRANSPOSE(UNIQUE(TRANSPOSE(FILTER({K$5:ED$5;K$4:ED$4;K37:ED37}, K37:ED37=TRUE)))), 1, 0),
       INDEX(TRANSPOSE(UNIQUE(TR"&amp;"ANSPOSE(FILTER({K$17:ED$17;K$4:ED$4;K37:ED37}, K37:ED37=TRUE)))), 1, 0),
       LAMBDA(
         mitigation,
         enhance,
         assign,
         precondition,
         IF(
           REGEXMATCH(assign, ""RANGE_PARTY|SINGLE_ENEMY|RANGE_ENEMY""),
  "&amp;"         IF(
             OR(ARRAYFORMULA((IF(precondition="""", FALSE, REGEXMATCH(K$4:ED$4, precondition))) * (K37:ED37=TRUE))),
             IF(ISNUMBER(enhance), enhance, 1),
             IF(ISNUMBER(mitigation), mitigation, 1)
           ),
          "&amp;" 1
         )
       )
     )
   ),
   1
 )"),1.0)</f>
        <v>1</v>
      </c>
      <c r="EF37" s="200">
        <f>IFERROR(__xludf.DUMMYFUNCTION("PRODUCT(
   MAP(
     K$14:ED$14,
     K$13:ED$13,
     K37:ED37,
     LAMBDA(
       buff,
       target,
       check,
       IF(
         AND(check=TRUE, REGEXMATCH(target, ""RANGE_AFFECTED_ALL|RANGE_EFFECTED_ALL""), ISNUMBER(buff)),
         buff,
   "&amp;"      1
       )
     )
   )
 )"),1.0)</f>
        <v>1</v>
      </c>
      <c r="EG37" s="200">
        <f>IFERROR(__xludf.DUMMYFUNCTION("PRODUCT(
   MAP(
     K$14:ED$14,
     K$13:ED$13,
     K37:ED37,
     LAMBDA(
       buff,
       target,
       check,
       IF(
         AND(check=TRUE, REGEXMATCH(target, ""RANGE_AFFECTED_GCD|RANGE_EFFECTED_GCD""), ISNUMBER(buff)),
         buff,
   "&amp;"      1
       )
     )
   )
 )"),1.0)</f>
        <v>1</v>
      </c>
      <c r="EH37" s="200">
        <f>IFERROR(__xludf.DUMMYFUNCTION("PRODUCT(
   MAP(
     K$3:ED$3,
     K$14:ED$14,
     K$13:ED$13,
     K37:ED37,
     LAMBDA(
       job,
       buff,
       target,
       check,
       IF(
         AND(check=TRUE, REGEXMATCH(target, ""SELF_EFFECTED_ALL""), ISNUMBER(buff), job=""白魔道士"""&amp;"),
         buff,
         1
       )
     )
   )
 )"),1.0)</f>
        <v>1</v>
      </c>
      <c r="EI37" s="200">
        <f>IFERROR(__xludf.DUMMYFUNCTION("PRODUCT(
   MAP(
     K$3:ED$3,
     K$14:ED$14,
     K$13:ED$13,
     K37:ED37,
     LAMBDA(
       job,
       buff,
       target,
       check,
       IF(
         AND(check=TRUE, REGEXMATCH(target, ""SELF_EFFECTED_GCD""), ISNUMBER(buff), job=""白魔道士"""&amp;"),
         buff,
         1
       )
     )
   )
 )"),1.0)</f>
        <v>1</v>
      </c>
      <c r="EJ37" s="200">
        <f>IFERROR(__xludf.DUMMYFUNCTION("PRODUCT(
   MAP(
     K$3:ED$3,
     K$14:ED$14,
     K$13:ED$13,
     K37:ED37,
     LAMBDA(
       job,
       buff,
       target,
       check,
       IF(
         AND(check=TRUE, REGEXMATCH(target, ""SELF_EFFECTED_ALL""), ISNUMBER(buff), job=""占星術師"""&amp;"),
         buff,
         1
       )
     )
   )
 )"),1.0)</f>
        <v>1</v>
      </c>
      <c r="EK37" s="200">
        <f>IFERROR(__xludf.DUMMYFUNCTION("PRODUCT(
   MAP(
     K$3:ED$3,
     K$14:ED$14,
     K$13:ED$13,
     K37:ED37,
     LAMBDA(
       job,
       buff,
       target,
       check,
       IF(
         AND(check=TRUE, REGEXMATCH(target, ""SELF_EFFECTED_GCD""), ISNUMBER(buff), job=""占星術師"""&amp;"),
         buff,
         1
       )
     )
   )
 )"),1.0)</f>
        <v>1</v>
      </c>
      <c r="EL37" s="200">
        <f>IFERROR(__xludf.DUMMYFUNCTION("PRODUCT(
   MAP(
     K$3:ED$3,
     K$14:ED$14,
     K$13:ED$13,
     K37:ED37,
     LAMBDA(
       job,
       buff,
       target,
       check,
       IF(
         AND(check=TRUE, REGEXMATCH(target, ""SELF_EFFECTED_ALL""), ISNUMBER(buff), job=""学者""),"&amp;"
         buff,
         1
       )
     )
   )
 )"),1.0)</f>
        <v>1</v>
      </c>
      <c r="EM37" s="200">
        <f>IFERROR(__xludf.DUMMYFUNCTION("PRODUCT(
   MAP(
     K$3:ED$3,
     K$14:ED$14,
     K$13:ED$13,
     K37:ED37,
     LAMBDA(
       job,
       buff,
       target,
       check,
       IF(
         AND(check=TRUE, REGEXMATCH(target, ""SELF_EFFECTED_GCD""), ISNUMBER(buff), job=""学者""),"&amp;"
         buff,
         1
       )
     )
   )
 )"),1.0)</f>
        <v>1</v>
      </c>
      <c r="EN37" s="200">
        <f>IFERROR(__xludf.DUMMYFUNCTION("PRODUCT(
   MAP(
     K$3:ED$3,
     K$14:ED$14,
     K$13:ED$13,
     K37:ED37,
     LAMBDA(
       job,
       buff,
       target,
       check,
       IF(
         AND(check=TRUE, REGEXMATCH(target, ""SELF_EFFECTED_ALL""), ISNUMBER(buff), job=""賢者""),"&amp;"
         buff,
         1
       )
     )
   )
 )"),1.0)</f>
        <v>1</v>
      </c>
      <c r="EO37" s="200">
        <f>IFERROR(__xludf.DUMMYFUNCTION("PRODUCT(
   MAP(
     K$3:ED$3,
     K$14:ED$14,
     K$13:ED$13,
     K37:ED37,
     LAMBDA(
       job,
       buff,
       target,
       check,
       IF(
         AND(check=TRUE, REGEXMATCH(target, ""SELF_EFFECTED_GCD""), ISNUMBER(buff), job=""賢者""),"&amp;"
         buff,
         1
       )
     )
   )
 )"),1.0)</f>
        <v>1</v>
      </c>
      <c r="EP37" s="201">
        <f t="shared" si="3"/>
        <v>0</v>
      </c>
      <c r="EQ37" s="201">
        <f>IFERROR(__xludf.DUMMYFUNCTION("SUM(
   MAP(
     K$4:ED$4,
     K$3:ED$3,
     K$7:ED$7,
     K$15:ED$15,
     K$16:ED$16,
     K$21:ED$21,
     K$5:ED$5,
     K$17:ED$17,
     K37:ED37,
     LAMBDA(
       name,
       job,
       abillity,
       buff,
       barrier,
       enhance,"&amp;"
       assign,
       precondition,
       check,
       SWITCH(
         name,
         ""シェイクオフ"", IF(check=TRUE, buff + (0.02 * COUNTIF(ARRAYFORMULA((REGEXMATCH($K$4:$ED$4, ""スリル・オブ・バトル|ヴェンジェンス|原初の血気|ダムネーション"")) * (K37:ED37=TRUE)), 1)), 0),
         "&amp;"""インプロビゼーションフィニッシュ(踊りの激情0)"", IF(ISNUMBER(check), INDEX(Skill!$AJ:$AJ, MATCH(SUBSTITUTE(DV$4, 0, check), Skill!$C:$C, 0)), 0),
         IF(
           AND(check=TRUE, REGEXMATCH(assign, ""RANGE_PARTY"")),
           IF(
             OR(ARRAYFORMULA((IF(pr"&amp;"econdition="""", FALSE, REGEXMATCH($K$4:$ED$4, precondition))) * (K37:ED37=TRUE))),
             enhance,
             IF(barrier="""", buff, barrier)
           ),
           0
         )
       ) *
       SWITCH(
         job,
         ""ナイト"", EY$24,
 "&amp;"        ""戦士"", FD$24,
         ""踊り子"", ET$24,
         ""ピクトマンサー"", ET$24,
         ""白魔道士"", EF37 * EH37 * IF(abillity, 1, EG37 * EI37) * (Option!$D$22 * 0.81 / 100),
         ""占星術師"", EF37 * EJ37 * IF(abillity, 1, EG37 * EK37) * (Option!$D$23 * 0.81 "&amp;"/ 100),
         ""学者"", EF37 * EL37 * IF(abillity, 1, EG37 * EM37) * (Option!$D$24 * 0.81 / 100),
         ""賢者"", EF37 * EN37 * IF(abillity, 1, EG37 * EO37) * (Option!$D$25 * 0.81 / 100),
         1
       )
     )
   )
 )"),0.0)</f>
        <v>0</v>
      </c>
      <c r="ER37" s="202">
        <f t="shared" si="4"/>
        <v>0</v>
      </c>
      <c r="ES37" s="203">
        <f t="shared" si="5"/>
        <v>0</v>
      </c>
      <c r="ET37" s="204" t="str">
        <f>IFERROR(__xludf.DUMMYFUNCTION("IFS(
  EP37 &gt; $ET$24 + EQ37,
  SPARKLINE({ 1, 0 }, {""charttype"",""bar"";""max"", 1;""color1"",Option!$D$30;""color2"",Option!$D$30}),
  EP37 &lt; EQ37,
  SPARKLINE({EQ37 - EP37, $ET$24 - (EQ37 - EP37)}, {""charttype"",""bar"";""max"",$ET$24;""color1"",Opti"&amp;"on!$D$28;""color2"",Option!$D$29}),
  EP37 &gt;= EQ37,
  SPARKLINE({$ET$24 + EQ37 - EP37,EP37 - EQ37}, {""charttype"",""bar"";""max"",$ET$24;""color1"",Option!$D$29;""color2"",Option!$D$30})
)"),"")</f>
        <v/>
      </c>
      <c r="EU37" s="205">
        <f>IFERROR(__xludf.DUMMYFUNCTION("PRODUCT(
   MAP(
     IF($F37=""Physical"", K$10:ED$10, IF($F37=""Magic"", K$11:ED$11, K$12:ED$12)),
     IF($F37=""Physical"", K$18:ED$18, IF($F37=""Magic"", K$19:ED$19, K$20:ED$20)),
     K$3:ED$3,
     K$5:ED$5,
     K$17:ED$17,
     K37:ED37,
     LAM"&amp;"BDA(
       mitigation,
       enhance,
       job,
       assign,
       precondition,
       check,
       IF(
         OR(AND(check=TRUE, REGEXMATCH(assign, ""SELF""), job=""ナイト""), AND(check=Option!$E$13, REGEXMATCH(assign, ""SINGLE_PARTY""))),
      "&amp;"   IF(
           OR(ARRAYFORMULA((IF(precondition="""", FALSE, REGEXMATCH($K$4:$ED$4, precondition))) * (K37:ED37=TRUE))),
           enhance,
           mitigation
         ),
         1
       )
     )
   )
 ) * EE37"),1.0)</f>
        <v>1</v>
      </c>
      <c r="EV37" s="206">
        <f t="shared" si="6"/>
        <v>0</v>
      </c>
      <c r="EW37" s="205">
        <f>IFERROR(__xludf.DUMMYFUNCTION("PRODUCT(
   MAP(
     K$3:ED$3,
     K$14:ED$14,
     K$13:ED$13,
     K37:ED37,
     LAMBDA(
       job,
       buff,
       target,
       check,
       IF(
         OR(AND(check=TRUE, REGEXMATCH(target, ""SELF_AFFECTED_ALL""), job=""ナイト""), AND(check=O"&amp;"ption!$E$13, REGEXMATCH(target, ""SINGLE_AFFECTED_ALL""))),
         buff,
         1
       )
     )
   )
 )"),1.0)</f>
        <v>1</v>
      </c>
      <c r="EX37" s="206">
        <f>IFERROR(__xludf.DUMMYFUNCTION("SUM(
   MAP(
     K$3:ED$3,
     K$7:ED$7,
     K$15:ED$15,
     K$16:ED$16,
     K$21:ED$21,
     K$5:ED$5,
     K$17:ED$17,
     K37:ED37,
     LAMBDA(
       job,
       abillity,
       buff,
       barrier,
       enhance,
       assign,
       preco"&amp;"ndition,
       check,
       IF(
         OR(AND(check=TRUE, REGEXMATCH(assign, ""SELF""), job=""ナイト""), AND(check=Option!$E$13, REGEXMATCH(assign, ""SINGLE_PARTY""))),
         IF(
           OR(ARRAYFORMULA((IF(precondition="""", FALSE, REGEXMATCH($K$4"&amp;":$ED$4, precondition))) * (K37:ED37=TRUE))),
           enhance,
           IF(barrier="""", buff, barrier)
         ),
         0
       ) *
       SWITCH(
         job,
         ""暗黒騎士"", EY$24,
         ""白魔道士"", EF37 * EH37 * EW37 * IF(abillity, 1, EG"&amp;"37 * EI37) * (Option!$D$22 * 0.81 / 100),
         ""占星術師"", EF37 * EJ37 * EW37 * IF(abillity, 1, EG37 * EK37) * (Option!$D$23 * 0.81 / 100),
         ""学者"", EF37 * EL37 * EW37 * IF(abillity, 1, EG37 * EM37) * (Option!$D$24 * 0.81 / 100),
         ""賢者"""&amp;", EF37 * EN37 * EW37 * IF(abillity, 1, EG37 * EO37) * (Option!$D$25 * 0.81 / 100),
         1
       )
     )
   )
 ) + EQ37"),0.0)</f>
        <v>0</v>
      </c>
      <c r="EY37" s="206">
        <f t="shared" si="7"/>
        <v>0</v>
      </c>
      <c r="EZ37" s="205">
        <f>IFERROR(__xludf.DUMMYFUNCTION("PRODUCT(
   MAP(
     IF($F37=""Physical"", K$10:ED$10, IF($F37=""Magic"", K$11:ED$11, K$12:ED$12)),
     IF($F37=""Physical"", K$18:ED$18, IF($F37=""Magic"", K$19:ED$19, K$20:ED$20)),
     K$3:ED$3,
     K$5:ED$5,
     K$17:ED$17,
     K37:ED37,
     LAM"&amp;"BDA(
       mitigation,
       enhance,
       job,
       assign,
       precondition,
       check,
       IF(
         OR(AND(check=TRUE, REGEXMATCH(assign, ""SELF""), job=""戦士""), AND(check=Option!$F$13, REGEXMATCH(assign, ""SINGLE_PARTY""))),
       "&amp;"  IF(
           OR(ARRAYFORMULA((IF(precondition="""", FALSE, REGEXMATCH($K$4:$ED$4, precondition))) * (K37:ED37=TRUE))),
           enhance,
           mitigation
         ),
         1
       )
     )
   )
 ) * EE37"),1.0)</f>
        <v>1</v>
      </c>
      <c r="FA37" s="206">
        <f t="shared" si="8"/>
        <v>0</v>
      </c>
      <c r="FB37" s="205">
        <f>IFERROR(__xludf.DUMMYFUNCTION("PRODUCT(
   MAP(
     K$3:ED$3,
     K$14:ED$14,
     K$13:ED$13,
     K37:ED37,
     LAMBDA(
       job,
       buff,
       target,
       check,
       IF(
         OR(AND(check=TRUE, REGEXMATCH(target, ""SELF_AFFECTED_ALL""), job=""戦士""), AND(check=Op"&amp;"tion!$F$13, REGEXMATCH(target, ""SINGLE_AFFECTED_ALL""))),
         buff,
         1
       )
     )
   )
 )"),1.0)</f>
        <v>1</v>
      </c>
      <c r="FC37" s="206">
        <f>IFERROR(__xludf.DUMMYFUNCTION("SUM(
   MAP(
     K$3:ED$3,
     K$7:ED$7,
     K$15:ED$15,
     K$16:ED$16,
     K$21:ED$21,
     K$5:ED$5,
     K$17:ED$17,
     K37:ED37,
     LAMBDA(
       job,
       abillity,
       buff,
       barrier,
       enhance,
       assign,
       preco"&amp;"ndition,
       check,
       IF(
         OR(AND(check=TRUE, REGEXMATCH(assign, ""SELF""), job=""戦士""), AND(check=Option!$F$13, REGEXMATCH(assign, ""SINGLE_PARTY""))),
         IF(
           OR(ARRAYFORMULA((IF(precondition="""", FALSE, REGEXMATCH($K$4:"&amp;"$ED$4, precondition))) * (K37:ED37=TRUE))),
           enhance,
           IF(barrier="""", buff, barrier)
         ),
         0
       ) *
       SWITCH(
         job,
         ""暗黒騎士"", FD$24,
         ""白魔道士"", EF37 * EH37 * FB37 * IF(abillity, 1, EG3"&amp;"7 * EI37) * (Option!$D$22 * 0.81 / 100),
         ""占星術師"", EF37 * EJ37 * FFB37 * IF(abillity, 1, EG37 * EK37) * (Option!$D$23 * 0.81 / 100),
         ""学者"", EF37 * EL37 * FB37 * IF(abillity, 1, EG37 * EM37) * (Option!$D$24 * 0.81 / 100),
         ""賢者"""&amp;", EF37 * EN37 * FB37 * IF(abillity, 1, EG37 * EO37) * (Option!$D$25 * 0.81 / 100),
         1
       )
     )
   )
 ) + EQ37"),0.0)</f>
        <v>0</v>
      </c>
      <c r="FD37" s="206">
        <f t="shared" si="9"/>
        <v>0</v>
      </c>
      <c r="FE37" s="205">
        <f>IFERROR(__xludf.DUMMYFUNCTION("PRODUCT(
   MAP(
     IF($F37=""Physical"", K$10:ED$10, IF($F37=""Magic"", K$11:ED$11, K$12:ED$12)),
     IF($F37=""Physical"", K$18:ED$18, IF($F37=""Magic"", K$19:ED$19, K$20:ED$20)),
     K$3:ED$3,
     K$5:ED$5,
     K$17:ED$17,
     K37:ED37,
     LAM"&amp;"BDA(
       mitigation,
       enhance,
       job,
       assign,
       precondition,
       check,
       IF(
         OR(AND(check=TRUE, REGEXMATCH(assign, ""SELF""), job=""暗黒騎士""), AND(check=Option!$G$13, REGEXMATCH(assign, ""SINGLE_PARTY""))),
     "&amp;"    IF(
           OR(ARRAYFORMULA((IF(precondition="""", FALSE, REGEXMATCH($K$4:$ED$4, precondition))) * (K37:ED37=TRUE))),
           enhance,
           mitigation
         ),
         1
       )
     )
   )
 ) * EE37"),1.0)</f>
        <v>1</v>
      </c>
      <c r="FF37" s="206">
        <f t="shared" si="10"/>
        <v>0</v>
      </c>
      <c r="FG37" s="205">
        <f>IFERROR(__xludf.DUMMYFUNCTION("PRODUCT(
   MAP(
     K$3:ED$3,
     K$14:ED$14,
     K$13:ED$13,
     K37:ED37,
     LAMBDA(
       job,
       buff,
       target,
       check,
       IF(
         OR(AND(check=TRUE, REGEXMATCH(target, ""SELF_AFFECTED_ALL""), job=""暗黒騎士""), AND(check="&amp;"Option!$G$13, REGEXMATCH(target, ""SINGLE_AFFECTED_ALL""))),
         buff,
         1
       )
     )
   )
 )"),1.0)</f>
        <v>1</v>
      </c>
      <c r="FH37" s="206">
        <f>IFERROR(__xludf.DUMMYFUNCTION("SUM(
   MAP(
     K$3:ED$3,
     K$7:ED$7,
     K$15:ED$15,
     K$16:ED$16,
     K$21:ED$21,
     K$5:ED$5,
     K$17:ED$17,
     K37:ED37,
     LAMBDA(
       job,
       abillity,
       buff,
       barrier,
       enhance,
       assign,
       preco"&amp;"ndition,
       check,
       IF(
         OR(AND(check=TRUE, REGEXMATCH(assign, ""SELF""), job=""暗黒騎士""), AND(check=Option!$G$13, REGEXMATCH(assign, ""SINGLE_PARTY""))),
         IF(
           OR(ARRAYFORMULA((IF(precondition="""", FALSE, REGEXMATCH($K$"&amp;"4:$ED$4, precondition))) * (K37:ED37=TRUE))),
           enhance,
           IF(barrier="""", buff, barrier)
         ),
         0
       ) *
       SWITCH(
         job,
         ""暗黒騎士"", FI$24,
         ""白魔道士"", EF37 * EH37 * FG37 * IF(abillity, 1, E"&amp;"G37 * EI37) * (Option!$D$22 * 0.81 / 100),
         ""占星術師"", EF37 * EJ37 * FG37 * IF(abillity, 1, EG37 * EK37) * (Option!$D$23 * 0.81 / 100),
         ""学者"", EF37 * EL37 * FG37 * IF(abillity, 1, EG37 * EM37) * (Option!$D$24 * 0.81 / 100),
         ""賢者"&amp;""", EF37 * EN37 * FG37 * IF(abillity, 1, EG37 * EO37) * (Option!$D$25 * 0.81 / 100),
         1
       )
     )
   )
 ) + EQ37"),0.0)</f>
        <v>0</v>
      </c>
      <c r="FI37" s="206">
        <f t="shared" si="11"/>
        <v>0</v>
      </c>
      <c r="FJ37" s="205">
        <f>IFERROR(__xludf.DUMMYFUNCTION("PRODUCT(
   MAP(
     IF($F37=""Physical"", K$10:ED$10, IF($F37=""Magic"", K$11:ED$11, K$12:ED$12)),
     IF($F37=""Physical"", K$18:ED$18, IF($F37=""Magic"", K$19:ED$19, K$20:ED$20)),
     K$3:ED$3,
     K$5:ED$5,
     K$17:ED$17,
     K37:ED37,
     LAM"&amp;"BDA(
       mitigation,
       enhance,
       job,
       assign,
       precondition,
       check,
       IF(
         OR(AND(check=TRUE, REGEXMATCH(assign, ""SELF""), job=""ガンブレイカー""), AND(check=Option!$H$13, REGEXMATCH(assign, ""SINGLE_PARTY""))),
  "&amp;"       IF(
           OR(ARRAYFORMULA((IF(precondition="""", FALSE, REGEXMATCH($K$4:$ED$4, precondition))) * (K37:ED37=TRUE))),
           enhance,
           mitigation
         ),
         1
       )
     )
   )
 ) * EE37"),1.0)</f>
        <v>1</v>
      </c>
      <c r="FK37" s="206">
        <f t="shared" si="12"/>
        <v>0</v>
      </c>
      <c r="FL37" s="205">
        <f>IFERROR(__xludf.DUMMYFUNCTION("PRODUCT(
   MAP(
     K$3:ED$3,
     K$14:ED$14,
     K$13:ED$13,
     K37:ED37,
     LAMBDA(
       job,
       buff,
       target,
       check,
       IF(
         OR(AND(check=TRUE, REGEXMATCH(target, ""SELF_AFFECTED_ALL""), job=""ガンブレイカー""), AND(che"&amp;"ck=Option!$H$13, REGEXMATCH(target, ""SINGLE_AFFECTED_ALL""))),
         buff,
         1
       )
     )
   )
 )"),1.0)</f>
        <v>1</v>
      </c>
      <c r="FM37" s="206">
        <f>IFERROR(__xludf.DUMMYFUNCTION("SUM(
   MAP(
     K$3:ED$3,
     K$7:ED$7,
     K$15:ED$15,
     K$16:ED$16,
     K$21:ED$21,
     K$5:ED$5,
     K$17:ED$17,
     K37:ED37,
     LAMBDA(
       job,
       abillity,
       buff,
       barrier,
       enhance,
       assign,
       preco"&amp;"ndition,
       check,
       IF(
         OR(AND(check=TRUE, REGEXMATCH(assign, ""SELF""), job=""ガンブレイカー""), AND(check=Option!$H$13, REGEXMATCH(assign, ""SINGLE_PARTY""))),
         IF(
           OR(ARRAYFORMULA((IF(precondition="""", FALSE, REGEXMATCH("&amp;"$K$4:$ED$4, precondition))) * (K37:ED37=TRUE))),
           enhance,
           IF(barrier="""", buff, barrier)
         ),
         0
       ) *
       SWITCH(
         job,
         ""暗黒騎士"", FN$24,
         ""白魔道士"", EF37 * EH37 * FL37 * IF(abillity, 1"&amp;", EG37 * EI37) * (Option!$D$22 * 0.81 / 100),
         ""占星術師"", EF37 * EJ37 * FL37 * IF(abillity, 1, EG37 * EK37) * (Option!$D$23 * 0.81 / 100),
         ""学者"", EF37 * EL37 * FL37 * IF(abillity, 1, EG37 * EM37) * (Option!$D$24 * 0.81 / 100),
         """&amp;"賢者"", EF37 * EN37 * FL37 * IF(abillity, 1, EG37 * EO37) * (Option!$D$25 * 0.81 / 100),
         1
       )
     )
   )
 ) + EQ37"),0.0)</f>
        <v>0</v>
      </c>
      <c r="FN37" s="206">
        <f t="shared" si="13"/>
        <v>0</v>
      </c>
      <c r="FO37" s="213"/>
    </row>
    <row r="38">
      <c r="B38" s="229"/>
      <c r="C38" s="217">
        <f t="shared" si="1"/>
        <v>0</v>
      </c>
      <c r="D38" s="236"/>
      <c r="E38" s="226"/>
      <c r="F38" s="167"/>
      <c r="G38" s="168" t="str">
        <f t="shared" si="2"/>
        <v/>
      </c>
      <c r="H38" s="169"/>
      <c r="I38" s="169"/>
      <c r="J38" s="169"/>
      <c r="K38" s="170" t="b">
        <v>0</v>
      </c>
      <c r="L38" s="170" t="b">
        <v>0</v>
      </c>
      <c r="M38" s="170" t="b">
        <v>0</v>
      </c>
      <c r="N38" s="171" t="s">
        <v>1070</v>
      </c>
      <c r="O38" s="172" t="b">
        <v>0</v>
      </c>
      <c r="P38" s="173" t="b">
        <v>0</v>
      </c>
      <c r="Q38" s="173" t="b">
        <v>0</v>
      </c>
      <c r="R38" s="173" t="b">
        <v>0</v>
      </c>
      <c r="S38" s="174" t="b">
        <v>0</v>
      </c>
      <c r="T38" s="175" t="b">
        <v>0</v>
      </c>
      <c r="U38" s="173" t="b">
        <v>0</v>
      </c>
      <c r="V38" s="171" t="s">
        <v>1070</v>
      </c>
      <c r="W38" s="172" t="b">
        <v>0</v>
      </c>
      <c r="X38" s="173" t="b">
        <v>0</v>
      </c>
      <c r="Y38" s="173" t="b">
        <v>0</v>
      </c>
      <c r="Z38" s="173" t="b">
        <v>0</v>
      </c>
      <c r="AA38" s="174" t="b">
        <v>0</v>
      </c>
      <c r="AB38" s="174" t="b">
        <v>0</v>
      </c>
      <c r="AC38" s="175" t="b">
        <v>0</v>
      </c>
      <c r="AD38" s="173" t="b">
        <v>0</v>
      </c>
      <c r="AE38" s="176" t="s">
        <v>1070</v>
      </c>
      <c r="AF38" s="171" t="s">
        <v>1070</v>
      </c>
      <c r="AG38" s="177">
        <f>IFERROR(__xludf.DUMMYFUNCTION("IF(
  ISNUMBER(AG37),
  MIN(MAX(
    AG37
    + MAX(
      ROUNDDOWN(($D38 - MAX(IFERROR(FILTER($D$24:$D37, AG$24:AG37 &lt;&gt; AF$6, AG$23:AG36 = AF$6), 0))) * (60 * 60 * 24) / AF$9) - ROUNDDOWN(($D37 - MAX(IFERROR(FILTER($D$23:$D36, AG$23:AG36 &lt;&gt; AF$6, AG$22:"&amp;"AG35 = AF$6), 0))) * (60 * 60 * 24) / 60),
      0
    )
    - COUNTIF(AF38, ""&lt;&gt;-""),
  0), AF$6),
  AF$6 - COUNTIF(AF38, ""&lt;&gt;-"")
)"),2.0)</f>
        <v>2</v>
      </c>
      <c r="AH38" s="173" t="b">
        <v>0</v>
      </c>
      <c r="AI38" s="173" t="b">
        <v>0</v>
      </c>
      <c r="AJ38" s="173" t="b">
        <v>0</v>
      </c>
      <c r="AK38" s="174" t="b">
        <v>0</v>
      </c>
      <c r="AL38" s="175" t="b">
        <v>0</v>
      </c>
      <c r="AM38" s="173" t="b">
        <v>0</v>
      </c>
      <c r="AN38" s="171" t="s">
        <v>1070</v>
      </c>
      <c r="AO38" s="173" t="b">
        <v>0</v>
      </c>
      <c r="AP38" s="173" t="b">
        <v>0</v>
      </c>
      <c r="AQ38" s="173" t="b">
        <v>0</v>
      </c>
      <c r="AR38" s="174" t="b">
        <v>0</v>
      </c>
      <c r="AS38" s="178" t="b">
        <v>0</v>
      </c>
      <c r="AT38" s="179" t="b">
        <v>0</v>
      </c>
      <c r="AU38" s="180" t="b">
        <v>0</v>
      </c>
      <c r="AV38" s="180" t="b">
        <v>0</v>
      </c>
      <c r="AW38" s="180" t="b">
        <v>0</v>
      </c>
      <c r="AX38" s="180" t="b">
        <v>0</v>
      </c>
      <c r="AY38" s="181" t="s">
        <v>1070</v>
      </c>
      <c r="AZ38" s="181" t="s">
        <v>1070</v>
      </c>
      <c r="BA38" s="184">
        <f>IFERROR(__xludf.DUMMYFUNCTION("IF(
  ISNUMBER(BA37),
  MIN(MAX(
    BA37
    + MAX(
      ROUNDDOWN((D38 - MAX(IFERROR(FILTER(D$24:D37, BA$24:BA37 &lt;&gt; AZ$6, BA$23:BA36 = AZ$6), 0))) * (60 * 60 * 24) / AZ$9) - ROUNDDOWN((D37 - MAX(IFERROR(FILTER(D$23:D36, BA$23:BA36 &lt;&gt; AZ$6, BA$22:BA35 ="&amp;" AZ$6), 0))) * (60 * 60 * 24) / AZ$9),
      0
    )
    - COUNTIF(AZ38, ""&lt;&gt;-""),
  0), AZ$6),
  AZ$6 - COUNTIF(AZ38, ""&lt;&gt;-"")
)"),2.0)</f>
        <v>2</v>
      </c>
      <c r="BB38" s="181" t="s">
        <v>1070</v>
      </c>
      <c r="BC38" s="183">
        <f>IFERROR(__xludf.DUMMYFUNCTION("IF(
  ISNUMBER(BC37),
  MIN(MAX(
    BC37
    + MAX(
      ROUNDDOWN(($D38 - MAX(IFERROR(FILTER($D$24:$D37, BC$24:BC37 &lt;&gt; BB$6, BC$23:BC36 = BB$6), 0))) * (60 * 60 * 24) / BB$9) - ROUNDDOWN(($D37 - MAX(IFERROR(FILTER($D$23:$D36, BC$23:BC36 &lt;&gt; BB$6, BC$22:"&amp;"BC35 = BB$6), 0))) * (60 * 60 * 24) / 60),
      0
    )
    - COUNTIF(BB38, ""&lt;&gt;-""),
  0), BB$6),
  BB$6 - COUNTIF(BB38, ""&lt;&gt;-"")
)"),2.0)</f>
        <v>2</v>
      </c>
      <c r="BD38" s="181" t="s">
        <v>1070</v>
      </c>
      <c r="BE38" s="178" t="b">
        <v>0</v>
      </c>
      <c r="BF38" s="180" t="b">
        <v>0</v>
      </c>
      <c r="BG38" s="180" t="b">
        <v>0</v>
      </c>
      <c r="BH38" s="180" t="b">
        <v>0</v>
      </c>
      <c r="BI38" s="180" t="b">
        <v>0</v>
      </c>
      <c r="BJ38" s="180" t="b">
        <v>0</v>
      </c>
      <c r="BK38" s="180" t="b">
        <v>0</v>
      </c>
      <c r="BL38" s="180" t="b">
        <v>0</v>
      </c>
      <c r="BM38" s="180" t="b">
        <v>0</v>
      </c>
      <c r="BN38" s="180" t="b">
        <v>0</v>
      </c>
      <c r="BO38" s="181" t="s">
        <v>1070</v>
      </c>
      <c r="BP38" s="181" t="s">
        <v>1070</v>
      </c>
      <c r="BQ38" s="181" t="s">
        <v>1070</v>
      </c>
      <c r="BR38" s="181" t="s">
        <v>1070</v>
      </c>
      <c r="BS38" s="181" t="s">
        <v>1070</v>
      </c>
      <c r="BT38" s="184">
        <f>IFERROR(__xludf.DUMMYFUNCTION("IF(
  ISNUMBER(BT37),
  MIN(MAX(
    BT37
    + MAX(
      ROUNDDOWN((D38 - MAX(IFERROR(FILTER(D$24:D37, BT$24:BT37 &lt;&gt; BS$6, BT$23:BT36 = BS$6), 0))) * (60 * 60 * 24) / BS$9) - ROUNDDOWN((D37 - MAX(IFERROR(FILTER(D$23:D36, BT$23:BT36 &lt;&gt; BS$6, BT$22:BT35 ="&amp;" BS$6), 0))) * (60 * 60 * 24) / BS$9),
      0
    )
    - COUNTIF(BS38, ""&lt;&gt;-""),
  0), BS$6),
  BS$6 - COUNTIF(BS38, ""&lt;&gt;-"")
)"),3.0)</f>
        <v>3</v>
      </c>
      <c r="BU38" s="181" t="s">
        <v>1070</v>
      </c>
      <c r="BV38" s="181" t="s">
        <v>1070</v>
      </c>
      <c r="BW38" s="184">
        <f>IFERROR(__xludf.DUMMYFUNCTION("IF(
  ISNUMBER(BW37),
  MIN(MAX(
    BW37
    + MAX(
      ROUNDDOWN((D38 - MAX(IFERROR(FILTER(D$24:D37, BW$24:BW37 &lt;&gt; BV$6, BW$23:BW36 = BV$6), 0))) * (60 * 60 * 24) / BV$9) - ROUNDDOWN((D37 - MAX(IFERROR(FILTER(D$23:D36, BW$23:BW36 &lt;&gt; BV$6, BW$22:BW35 ="&amp;" BV$6), 0))) * (60 * 60 * 24) / BV$9),
      0
    )
    - COUNTIF(BV38, ""&lt;&gt;-""),
  0), BV$6),
  BV$6 - COUNTIF(BV38, ""&lt;&gt;-"")
)"),2.0)</f>
        <v>2</v>
      </c>
      <c r="BX38" s="185" t="s">
        <v>1070</v>
      </c>
      <c r="BY38" s="178" t="b">
        <v>0</v>
      </c>
      <c r="BZ38" s="180" t="b">
        <v>0</v>
      </c>
      <c r="CA38" s="180" t="b">
        <v>0</v>
      </c>
      <c r="CB38" s="180" t="b">
        <v>0</v>
      </c>
      <c r="CC38" s="180" t="b">
        <v>0</v>
      </c>
      <c r="CD38" s="180" t="b">
        <v>0</v>
      </c>
      <c r="CE38" s="180" t="b">
        <v>0</v>
      </c>
      <c r="CF38" s="180" t="b">
        <v>0</v>
      </c>
      <c r="CG38" s="180" t="b">
        <v>0</v>
      </c>
      <c r="CH38" s="180" t="b">
        <v>0</v>
      </c>
      <c r="CI38" s="180" t="b">
        <v>0</v>
      </c>
      <c r="CJ38" s="180" t="b">
        <v>0</v>
      </c>
      <c r="CK38" s="180" t="b">
        <v>0</v>
      </c>
      <c r="CL38" s="180" t="b">
        <v>0</v>
      </c>
      <c r="CM38" s="181" t="s">
        <v>1070</v>
      </c>
      <c r="CN38" s="181" t="s">
        <v>1070</v>
      </c>
      <c r="CO38" s="181" t="s">
        <v>1070</v>
      </c>
      <c r="CP38" s="181" t="s">
        <v>1070</v>
      </c>
      <c r="CQ38" s="185" t="s">
        <v>1070</v>
      </c>
      <c r="CR38" s="180" t="b">
        <v>0</v>
      </c>
      <c r="CS38" s="186" t="str">
        <f t="shared" si="14"/>
        <v>◇◇◇</v>
      </c>
      <c r="CT38" s="178" t="b">
        <v>0</v>
      </c>
      <c r="CU38" s="180" t="b">
        <v>0</v>
      </c>
      <c r="CV38" s="180" t="b">
        <v>0</v>
      </c>
      <c r="CW38" s="180" t="b">
        <v>0</v>
      </c>
      <c r="CX38" s="180" t="b">
        <v>0</v>
      </c>
      <c r="CY38" s="180" t="b">
        <v>0</v>
      </c>
      <c r="CZ38" s="180" t="b">
        <v>0</v>
      </c>
      <c r="DA38" s="180" t="b">
        <v>0</v>
      </c>
      <c r="DB38" s="180" t="b">
        <v>0</v>
      </c>
      <c r="DC38" s="180" t="b">
        <v>0</v>
      </c>
      <c r="DD38" s="181" t="s">
        <v>1070</v>
      </c>
      <c r="DE38" s="181" t="s">
        <v>1070</v>
      </c>
      <c r="DF38" s="181" t="s">
        <v>1070</v>
      </c>
      <c r="DG38" s="185" t="s">
        <v>1070</v>
      </c>
      <c r="DH38" s="180" t="b">
        <v>0</v>
      </c>
      <c r="DI38" s="187" t="str">
        <f>IFERROR(__xludf.DUMMYFUNCTION("SWITCH(
  IF(
    ISTEXT(DI37),
    IF (
      FIND(""○"", DI37&amp;""○"") &gt; 3,
      3,
      FIND(""○"", DI37&amp;""○"")
      + MAX(
        ROUNDDOWN(($D38 - MAX(IFERROR(FILTER(D$24:D37, DI$24:DI37 &lt;&gt; ""●●●"", DI$23:DI36 = ""●●●""), 0))) * (60 * 60 * 24) / 20"&amp;") - ROUNDDOWN(($D37 - MAX(IFERROR(FILTER(D$23:D36, DI$23:DI36 &lt;&gt; ""●●●"", DI$22:DI35 = ""●●●""), 0))) * (60 * 60 * 24) / 20),
        0
      ) - 1
    ) - COUNTIFS(CU38, ""=TRUE"", CU37, ""&lt;&gt;TRUE"") - COUNTIF(CZ38, ""=TRUE"") - COUNTIF({DD38,DE38}, ""&lt;&gt;-"&amp;""") + COUNTIF(DH38, ""=TRUE""),
    3
  ),
  0, ""○○○"", 1, ""●○○"", 2, ""●●○"", 3, ""●●●"", 4, ""●●●"", ""○○○""
)"),"●●●")</f>
        <v>●●●</v>
      </c>
      <c r="DJ38" s="188" t="b">
        <v>0</v>
      </c>
      <c r="DK38" s="189" t="b">
        <v>0</v>
      </c>
      <c r="DL38" s="190" t="b">
        <v>0</v>
      </c>
      <c r="DM38" s="190" t="b">
        <v>0</v>
      </c>
      <c r="DN38" s="190" t="b">
        <v>0</v>
      </c>
      <c r="DO38" s="190" t="b">
        <v>0</v>
      </c>
      <c r="DP38" s="190" t="b">
        <v>0</v>
      </c>
      <c r="DQ38" s="191" t="b">
        <v>0</v>
      </c>
      <c r="DR38" s="192" t="b">
        <v>0</v>
      </c>
      <c r="DS38" s="191" t="b">
        <v>0</v>
      </c>
      <c r="DT38" s="192" t="b">
        <v>0</v>
      </c>
      <c r="DU38" s="191" t="b">
        <v>0</v>
      </c>
      <c r="DV38" s="193" t="s">
        <v>1070</v>
      </c>
      <c r="DW38" s="194" t="b">
        <v>0</v>
      </c>
      <c r="DX38" s="194" t="b">
        <v>0</v>
      </c>
      <c r="DY38" s="195" t="b">
        <v>0</v>
      </c>
      <c r="DZ38" s="196" t="b">
        <v>0</v>
      </c>
      <c r="EA38" s="195" t="b">
        <v>0</v>
      </c>
      <c r="EB38" s="197" t="b">
        <v>0</v>
      </c>
      <c r="EC38" s="197" t="b">
        <v>0</v>
      </c>
      <c r="ED38" s="212" t="b">
        <v>0</v>
      </c>
      <c r="EE38" s="199">
        <f>IFERROR(__xludf.DUMMYFUNCTION("IFERROR(
   PRODUCT(
     MAP(
       INDEX(TRANSPOSE(UNIQUE(TRANSPOSE(FILTER({IF($F38=""Physical"", K$10:ED$10, IF($F38=""Magic"", K$11:ED$11, K$12:ED$12));K$4:ED$4;K38:ED38}, K38:ED38=TRUE)))), 1, 0),
       INDEX(TRANSPOSE(UNIQUE(TRANSPOSE(FILTER({IF($"&amp;"F38=""Physical"", K$18:ED$18, IF($F38=""Magic"", K$19:ED$19, K$20:ED$20));K$4:ED$4;K38:ED38}, K38:ED38=TRUE)))), 1, 0),
       INDEX(TRANSPOSE(UNIQUE(TRANSPOSE(FILTER({K$5:ED$5;K$4:ED$4;K38:ED38}, K38:ED38=TRUE)))), 1, 0),
       INDEX(TRANSPOSE(UNIQUE(TR"&amp;"ANSPOSE(FILTER({K$17:ED$17;K$4:ED$4;K38:ED38}, K38:ED38=TRUE)))), 1, 0),
       LAMBDA(
         mitigation,
         enhance,
         assign,
         precondition,
         IF(
           REGEXMATCH(assign, ""RANGE_PARTY|SINGLE_ENEMY|RANGE_ENEMY""),
  "&amp;"         IF(
             OR(ARRAYFORMULA((IF(precondition="""", FALSE, REGEXMATCH(K$4:ED$4, precondition))) * (K38:ED38=TRUE))),
             IF(ISNUMBER(enhance), enhance, 1),
             IF(ISNUMBER(mitigation), mitigation, 1)
           ),
          "&amp;" 1
         )
       )
     )
   ),
   1
 )"),1.0)</f>
        <v>1</v>
      </c>
      <c r="EF38" s="200">
        <f>IFERROR(__xludf.DUMMYFUNCTION("PRODUCT(
   MAP(
     K$14:ED$14,
     K$13:ED$13,
     K38:ED38,
     LAMBDA(
       buff,
       target,
       check,
       IF(
         AND(check=TRUE, REGEXMATCH(target, ""RANGE_AFFECTED_ALL|RANGE_EFFECTED_ALL""), ISNUMBER(buff)),
         buff,
   "&amp;"      1
       )
     )
   )
 )"),1.0)</f>
        <v>1</v>
      </c>
      <c r="EG38" s="200">
        <f>IFERROR(__xludf.DUMMYFUNCTION("PRODUCT(
   MAP(
     K$14:ED$14,
     K$13:ED$13,
     K38:ED38,
     LAMBDA(
       buff,
       target,
       check,
       IF(
         AND(check=TRUE, REGEXMATCH(target, ""RANGE_AFFECTED_GCD|RANGE_EFFECTED_GCD""), ISNUMBER(buff)),
         buff,
   "&amp;"      1
       )
     )
   )
 )"),1.0)</f>
        <v>1</v>
      </c>
      <c r="EH38" s="200">
        <f>IFERROR(__xludf.DUMMYFUNCTION("PRODUCT(
   MAP(
     K$3:ED$3,
     K$14:ED$14,
     K$13:ED$13,
     K38:ED38,
     LAMBDA(
       job,
       buff,
       target,
       check,
       IF(
         AND(check=TRUE, REGEXMATCH(target, ""SELF_EFFECTED_ALL""), ISNUMBER(buff), job=""白魔道士"""&amp;"),
         buff,
         1
       )
     )
   )
 )"),1.0)</f>
        <v>1</v>
      </c>
      <c r="EI38" s="200">
        <f>IFERROR(__xludf.DUMMYFUNCTION("PRODUCT(
   MAP(
     K$3:ED$3,
     K$14:ED$14,
     K$13:ED$13,
     K38:ED38,
     LAMBDA(
       job,
       buff,
       target,
       check,
       IF(
         AND(check=TRUE, REGEXMATCH(target, ""SELF_EFFECTED_GCD""), ISNUMBER(buff), job=""白魔道士"""&amp;"),
         buff,
         1
       )
     )
   )
 )"),1.0)</f>
        <v>1</v>
      </c>
      <c r="EJ38" s="200">
        <f>IFERROR(__xludf.DUMMYFUNCTION("PRODUCT(
   MAP(
     K$3:ED$3,
     K$14:ED$14,
     K$13:ED$13,
     K38:ED38,
     LAMBDA(
       job,
       buff,
       target,
       check,
       IF(
         AND(check=TRUE, REGEXMATCH(target, ""SELF_EFFECTED_ALL""), ISNUMBER(buff), job=""占星術師"""&amp;"),
         buff,
         1
       )
     )
   )
 )"),1.0)</f>
        <v>1</v>
      </c>
      <c r="EK38" s="200">
        <f>IFERROR(__xludf.DUMMYFUNCTION("PRODUCT(
   MAP(
     K$3:ED$3,
     K$14:ED$14,
     K$13:ED$13,
     K38:ED38,
     LAMBDA(
       job,
       buff,
       target,
       check,
       IF(
         AND(check=TRUE, REGEXMATCH(target, ""SELF_EFFECTED_GCD""), ISNUMBER(buff), job=""占星術師"""&amp;"),
         buff,
         1
       )
     )
   )
 )"),1.0)</f>
        <v>1</v>
      </c>
      <c r="EL38" s="200">
        <f>IFERROR(__xludf.DUMMYFUNCTION("PRODUCT(
   MAP(
     K$3:ED$3,
     K$14:ED$14,
     K$13:ED$13,
     K38:ED38,
     LAMBDA(
       job,
       buff,
       target,
       check,
       IF(
         AND(check=TRUE, REGEXMATCH(target, ""SELF_EFFECTED_ALL""), ISNUMBER(buff), job=""学者""),"&amp;"
         buff,
         1
       )
     )
   )
 )"),1.0)</f>
        <v>1</v>
      </c>
      <c r="EM38" s="200">
        <f>IFERROR(__xludf.DUMMYFUNCTION("PRODUCT(
   MAP(
     K$3:ED$3,
     K$14:ED$14,
     K$13:ED$13,
     K38:ED38,
     LAMBDA(
       job,
       buff,
       target,
       check,
       IF(
         AND(check=TRUE, REGEXMATCH(target, ""SELF_EFFECTED_GCD""), ISNUMBER(buff), job=""学者""),"&amp;"
         buff,
         1
       )
     )
   )
 )"),1.0)</f>
        <v>1</v>
      </c>
      <c r="EN38" s="200">
        <f>IFERROR(__xludf.DUMMYFUNCTION("PRODUCT(
   MAP(
     K$3:ED$3,
     K$14:ED$14,
     K$13:ED$13,
     K38:ED38,
     LAMBDA(
       job,
       buff,
       target,
       check,
       IF(
         AND(check=TRUE, REGEXMATCH(target, ""SELF_EFFECTED_ALL""), ISNUMBER(buff), job=""賢者""),"&amp;"
         buff,
         1
       )
     )
   )
 )"),1.0)</f>
        <v>1</v>
      </c>
      <c r="EO38" s="200">
        <f>IFERROR(__xludf.DUMMYFUNCTION("PRODUCT(
   MAP(
     K$3:ED$3,
     K$14:ED$14,
     K$13:ED$13,
     K38:ED38,
     LAMBDA(
       job,
       buff,
       target,
       check,
       IF(
         AND(check=TRUE, REGEXMATCH(target, ""SELF_EFFECTED_GCD""), ISNUMBER(buff), job=""賢者""),"&amp;"
         buff,
         1
       )
     )
   )
 )"),1.0)</f>
        <v>1</v>
      </c>
      <c r="EP38" s="201">
        <f t="shared" si="3"/>
        <v>0</v>
      </c>
      <c r="EQ38" s="201">
        <f>IFERROR(__xludf.DUMMYFUNCTION("SUM(
   MAP(
     K$4:ED$4,
     K$3:ED$3,
     K$7:ED$7,
     K$15:ED$15,
     K$16:ED$16,
     K$21:ED$21,
     K$5:ED$5,
     K$17:ED$17,
     K38:ED38,
     LAMBDA(
       name,
       job,
       abillity,
       buff,
       barrier,
       enhance,"&amp;"
       assign,
       precondition,
       check,
       SWITCH(
         name,
         ""シェイクオフ"", IF(check=TRUE, buff + (0.02 * COUNTIF(ARRAYFORMULA((REGEXMATCH($K$4:$ED$4, ""スリル・オブ・バトル|ヴェンジェンス|原初の血気|ダムネーション"")) * (K38:ED38=TRUE)), 1)), 0),
         "&amp;"""インプロビゼーションフィニッシュ(踊りの激情0)"", IF(ISNUMBER(check), INDEX(Skill!$AJ:$AJ, MATCH(SUBSTITUTE(DV$4, 0, check), Skill!$C:$C, 0)), 0),
         IF(
           AND(check=TRUE, REGEXMATCH(assign, ""RANGE_PARTY"")),
           IF(
             OR(ARRAYFORMULA((IF(pr"&amp;"econdition="""", FALSE, REGEXMATCH($K$4:$ED$4, precondition))) * (K38:ED38=TRUE))),
             enhance,
             IF(barrier="""", buff, barrier)
           ),
           0
         )
       ) *
       SWITCH(
         job,
         ""ナイト"", EY$24,
 "&amp;"        ""戦士"", FD$24,
         ""踊り子"", ET$24,
         ""ピクトマンサー"", ET$24,
         ""白魔道士"", EF38 * EH38 * IF(abillity, 1, EG38 * EI38) * (Option!$D$22 * 0.81 / 100),
         ""占星術師"", EF38 * EJ38 * IF(abillity, 1, EG38 * EK38) * (Option!$D$23 * 0.81 "&amp;"/ 100),
         ""学者"", EF38 * EL38 * IF(abillity, 1, EG38 * EM38) * (Option!$D$24 * 0.81 / 100),
         ""賢者"", EF38 * EN38 * IF(abillity, 1, EG38 * EO38) * (Option!$D$25 * 0.81 / 100),
         1
       )
     )
   )
 )"),0.0)</f>
        <v>0</v>
      </c>
      <c r="ER38" s="202">
        <f t="shared" si="4"/>
        <v>0</v>
      </c>
      <c r="ES38" s="203">
        <f t="shared" si="5"/>
        <v>0</v>
      </c>
      <c r="ET38" s="204" t="str">
        <f>IFERROR(__xludf.DUMMYFUNCTION("IFS(
  EP38 &gt; $ET$24 + EQ38,
  SPARKLINE({ 1, 0 }, {""charttype"",""bar"";""max"", 1;""color1"",Option!$D$30;""color2"",Option!$D$30}),
  EP38 &lt; EQ38,
  SPARKLINE({EQ38 - EP38, $ET$24 - (EQ38 - EP38)}, {""charttype"",""bar"";""max"",$ET$24;""color1"",Opti"&amp;"on!$D$28;""color2"",Option!$D$29}),
  EP38 &gt;= EQ38,
  SPARKLINE({$ET$24 + EQ38 - EP38,EP38 - EQ38}, {""charttype"",""bar"";""max"",$ET$24;""color1"",Option!$D$29;""color2"",Option!$D$30})
)"),"")</f>
        <v/>
      </c>
      <c r="EU38" s="205">
        <f>IFERROR(__xludf.DUMMYFUNCTION("PRODUCT(
   MAP(
     IF($F38=""Physical"", K$10:ED$10, IF($F38=""Magic"", K$11:ED$11, K$12:ED$12)),
     IF($F38=""Physical"", K$18:ED$18, IF($F38=""Magic"", K$19:ED$19, K$20:ED$20)),
     K$3:ED$3,
     K$5:ED$5,
     K$17:ED$17,
     K38:ED38,
     LAM"&amp;"BDA(
       mitigation,
       enhance,
       job,
       assign,
       precondition,
       check,
       IF(
         OR(AND(check=TRUE, REGEXMATCH(assign, ""SELF""), job=""ナイト""), AND(check=Option!$E$13, REGEXMATCH(assign, ""SINGLE_PARTY""))),
      "&amp;"   IF(
           OR(ARRAYFORMULA((IF(precondition="""", FALSE, REGEXMATCH($K$4:$ED$4, precondition))) * (K38:ED38=TRUE))),
           enhance,
           mitigation
         ),
         1
       )
     )
   )
 ) * EE38"),1.0)</f>
        <v>1</v>
      </c>
      <c r="EV38" s="206">
        <f t="shared" si="6"/>
        <v>0</v>
      </c>
      <c r="EW38" s="205">
        <f>IFERROR(__xludf.DUMMYFUNCTION("PRODUCT(
   MAP(
     K$3:ED$3,
     K$14:ED$14,
     K$13:ED$13,
     K38:ED38,
     LAMBDA(
       job,
       buff,
       target,
       check,
       IF(
         OR(AND(check=TRUE, REGEXMATCH(target, ""SELF_AFFECTED_ALL""), job=""ナイト""), AND(check=O"&amp;"ption!$E$13, REGEXMATCH(target, ""SINGLE_AFFECTED_ALL""))),
         buff,
         1
       )
     )
   )
 )"),1.0)</f>
        <v>1</v>
      </c>
      <c r="EX38" s="206">
        <f>IFERROR(__xludf.DUMMYFUNCTION("SUM(
   MAP(
     K$3:ED$3,
     K$7:ED$7,
     K$15:ED$15,
     K$16:ED$16,
     K$21:ED$21,
     K$5:ED$5,
     K$17:ED$17,
     K38:ED38,
     LAMBDA(
       job,
       abillity,
       buff,
       barrier,
       enhance,
       assign,
       preco"&amp;"ndition,
       check,
       IF(
         OR(AND(check=TRUE, REGEXMATCH(assign, ""SELF""), job=""ナイト""), AND(check=Option!$E$13, REGEXMATCH(assign, ""SINGLE_PARTY""))),
         IF(
           OR(ARRAYFORMULA((IF(precondition="""", FALSE, REGEXMATCH($K$4"&amp;":$ED$4, precondition))) * (K38:ED38=TRUE))),
           enhance,
           IF(barrier="""", buff, barrier)
         ),
         0
       ) *
       SWITCH(
         job,
         ""暗黒騎士"", EY$24,
         ""白魔道士"", EF38 * EH38 * EW38 * IF(abillity, 1, EG"&amp;"38 * EI38) * (Option!$D$22 * 0.81 / 100),
         ""占星術師"", EF38 * EJ38 * EW38 * IF(abillity, 1, EG38 * EK38) * (Option!$D$23 * 0.81 / 100),
         ""学者"", EF38 * EL38 * EW38 * IF(abillity, 1, EG38 * EM38) * (Option!$D$24 * 0.81 / 100),
         ""賢者"""&amp;", EF38 * EN38 * EW38 * IF(abillity, 1, EG38 * EO38) * (Option!$D$25 * 0.81 / 100),
         1
       )
     )
   )
 ) + EQ38"),0.0)</f>
        <v>0</v>
      </c>
      <c r="EY38" s="206">
        <f t="shared" si="7"/>
        <v>0</v>
      </c>
      <c r="EZ38" s="205">
        <f>IFERROR(__xludf.DUMMYFUNCTION("PRODUCT(
   MAP(
     IF($F38=""Physical"", K$10:ED$10, IF($F38=""Magic"", K$11:ED$11, K$12:ED$12)),
     IF($F38=""Physical"", K$18:ED$18, IF($F38=""Magic"", K$19:ED$19, K$20:ED$20)),
     K$3:ED$3,
     K$5:ED$5,
     K$17:ED$17,
     K38:ED38,
     LAM"&amp;"BDA(
       mitigation,
       enhance,
       job,
       assign,
       precondition,
       check,
       IF(
         OR(AND(check=TRUE, REGEXMATCH(assign, ""SELF""), job=""戦士""), AND(check=Option!$F$13, REGEXMATCH(assign, ""SINGLE_PARTY""))),
       "&amp;"  IF(
           OR(ARRAYFORMULA((IF(precondition="""", FALSE, REGEXMATCH($K$4:$ED$4, precondition))) * (K38:ED38=TRUE))),
           enhance,
           mitigation
         ),
         1
       )
     )
   )
 ) * EE38"),1.0)</f>
        <v>1</v>
      </c>
      <c r="FA38" s="206">
        <f t="shared" si="8"/>
        <v>0</v>
      </c>
      <c r="FB38" s="205">
        <f>IFERROR(__xludf.DUMMYFUNCTION("PRODUCT(
   MAP(
     K$3:ED$3,
     K$14:ED$14,
     K$13:ED$13,
     K38:ED38,
     LAMBDA(
       job,
       buff,
       target,
       check,
       IF(
         OR(AND(check=TRUE, REGEXMATCH(target, ""SELF_AFFECTED_ALL""), job=""戦士""), AND(check=Op"&amp;"tion!$F$13, REGEXMATCH(target, ""SINGLE_AFFECTED_ALL""))),
         buff,
         1
       )
     )
   )
 )"),1.0)</f>
        <v>1</v>
      </c>
      <c r="FC38" s="206">
        <f>IFERROR(__xludf.DUMMYFUNCTION("SUM(
   MAP(
     K$3:ED$3,
     K$7:ED$7,
     K$15:ED$15,
     K$16:ED$16,
     K$21:ED$21,
     K$5:ED$5,
     K$17:ED$17,
     K38:ED38,
     LAMBDA(
       job,
       abillity,
       buff,
       barrier,
       enhance,
       assign,
       preco"&amp;"ndition,
       check,
       IF(
         OR(AND(check=TRUE, REGEXMATCH(assign, ""SELF""), job=""戦士""), AND(check=Option!$F$13, REGEXMATCH(assign, ""SINGLE_PARTY""))),
         IF(
           OR(ARRAYFORMULA((IF(precondition="""", FALSE, REGEXMATCH($K$4:"&amp;"$ED$4, precondition))) * (K38:ED38=TRUE))),
           enhance,
           IF(barrier="""", buff, barrier)
         ),
         0
       ) *
       SWITCH(
         job,
         ""暗黒騎士"", FD$24,
         ""白魔道士"", EF38 * EH38 * FB38 * IF(abillity, 1, EG3"&amp;"8 * EI38) * (Option!$D$22 * 0.81 / 100),
         ""占星術師"", EF38 * EJ38 * FFB38 * IF(abillity, 1, EG38 * EK38) * (Option!$D$23 * 0.81 / 100),
         ""学者"", EF38 * EL38 * FB38 * IF(abillity, 1, EG38 * EM38) * (Option!$D$24 * 0.81 / 100),
         ""賢者"""&amp;", EF38 * EN38 * FB38 * IF(abillity, 1, EG38 * EO38) * (Option!$D$25 * 0.81 / 100),
         1
       )
     )
   )
 ) + EQ38"),0.0)</f>
        <v>0</v>
      </c>
      <c r="FD38" s="206">
        <f t="shared" si="9"/>
        <v>0</v>
      </c>
      <c r="FE38" s="205">
        <f>IFERROR(__xludf.DUMMYFUNCTION("PRODUCT(
   MAP(
     IF($F38=""Physical"", K$10:ED$10, IF($F38=""Magic"", K$11:ED$11, K$12:ED$12)),
     IF($F38=""Physical"", K$18:ED$18, IF($F38=""Magic"", K$19:ED$19, K$20:ED$20)),
     K$3:ED$3,
     K$5:ED$5,
     K$17:ED$17,
     K38:ED38,
     LAM"&amp;"BDA(
       mitigation,
       enhance,
       job,
       assign,
       precondition,
       check,
       IF(
         OR(AND(check=TRUE, REGEXMATCH(assign, ""SELF""), job=""暗黒騎士""), AND(check=Option!$G$13, REGEXMATCH(assign, ""SINGLE_PARTY""))),
     "&amp;"    IF(
           OR(ARRAYFORMULA((IF(precondition="""", FALSE, REGEXMATCH($K$4:$ED$4, precondition))) * (K38:ED38=TRUE))),
           enhance,
           mitigation
         ),
         1
       )
     )
   )
 ) * EE38"),1.0)</f>
        <v>1</v>
      </c>
      <c r="FF38" s="206">
        <f t="shared" si="10"/>
        <v>0</v>
      </c>
      <c r="FG38" s="205">
        <f>IFERROR(__xludf.DUMMYFUNCTION("PRODUCT(
   MAP(
     K$3:ED$3,
     K$14:ED$14,
     K$13:ED$13,
     K38:ED38,
     LAMBDA(
       job,
       buff,
       target,
       check,
       IF(
         OR(AND(check=TRUE, REGEXMATCH(target, ""SELF_AFFECTED_ALL""), job=""暗黒騎士""), AND(check="&amp;"Option!$G$13, REGEXMATCH(target, ""SINGLE_AFFECTED_ALL""))),
         buff,
         1
       )
     )
   )
 )"),1.0)</f>
        <v>1</v>
      </c>
      <c r="FH38" s="206">
        <f>IFERROR(__xludf.DUMMYFUNCTION("SUM(
   MAP(
     K$3:ED$3,
     K$7:ED$7,
     K$15:ED$15,
     K$16:ED$16,
     K$21:ED$21,
     K$5:ED$5,
     K$17:ED$17,
     K38:ED38,
     LAMBDA(
       job,
       abillity,
       buff,
       barrier,
       enhance,
       assign,
       preco"&amp;"ndition,
       check,
       IF(
         OR(AND(check=TRUE, REGEXMATCH(assign, ""SELF""), job=""暗黒騎士""), AND(check=Option!$G$13, REGEXMATCH(assign, ""SINGLE_PARTY""))),
         IF(
           OR(ARRAYFORMULA((IF(precondition="""", FALSE, REGEXMATCH($K$"&amp;"4:$ED$4, precondition))) * (K38:ED38=TRUE))),
           enhance,
           IF(barrier="""", buff, barrier)
         ),
         0
       ) *
       SWITCH(
         job,
         ""暗黒騎士"", FI$24,
         ""白魔道士"", EF38 * EH38 * FG38 * IF(abillity, 1, E"&amp;"G38 * EI38) * (Option!$D$22 * 0.81 / 100),
         ""占星術師"", EF38 * EJ38 * FG38 * IF(abillity, 1, EG38 * EK38) * (Option!$D$23 * 0.81 / 100),
         ""学者"", EF38 * EL38 * FG38 * IF(abillity, 1, EG38 * EM38) * (Option!$D$24 * 0.81 / 100),
         ""賢者"&amp;""", EF38 * EN38 * FG38 * IF(abillity, 1, EG38 * EO38) * (Option!$D$25 * 0.81 / 100),
         1
       )
     )
   )
 ) + EQ38"),0.0)</f>
        <v>0</v>
      </c>
      <c r="FI38" s="206">
        <f t="shared" si="11"/>
        <v>0</v>
      </c>
      <c r="FJ38" s="205">
        <f>IFERROR(__xludf.DUMMYFUNCTION("PRODUCT(
   MAP(
     IF($F38=""Physical"", K$10:ED$10, IF($F38=""Magic"", K$11:ED$11, K$12:ED$12)),
     IF($F38=""Physical"", K$18:ED$18, IF($F38=""Magic"", K$19:ED$19, K$20:ED$20)),
     K$3:ED$3,
     K$5:ED$5,
     K$17:ED$17,
     K38:ED38,
     LAM"&amp;"BDA(
       mitigation,
       enhance,
       job,
       assign,
       precondition,
       check,
       IF(
         OR(AND(check=TRUE, REGEXMATCH(assign, ""SELF""), job=""ガンブレイカー""), AND(check=Option!$H$13, REGEXMATCH(assign, ""SINGLE_PARTY""))),
  "&amp;"       IF(
           OR(ARRAYFORMULA((IF(precondition="""", FALSE, REGEXMATCH($K$4:$ED$4, precondition))) * (K38:ED38=TRUE))),
           enhance,
           mitigation
         ),
         1
       )
     )
   )
 ) * EE38"),1.0)</f>
        <v>1</v>
      </c>
      <c r="FK38" s="206">
        <f t="shared" si="12"/>
        <v>0</v>
      </c>
      <c r="FL38" s="205">
        <f>IFERROR(__xludf.DUMMYFUNCTION("PRODUCT(
   MAP(
     K$3:ED$3,
     K$14:ED$14,
     K$13:ED$13,
     K38:ED38,
     LAMBDA(
       job,
       buff,
       target,
       check,
       IF(
         OR(AND(check=TRUE, REGEXMATCH(target, ""SELF_AFFECTED_ALL""), job=""ガンブレイカー""), AND(che"&amp;"ck=Option!$H$13, REGEXMATCH(target, ""SINGLE_AFFECTED_ALL""))),
         buff,
         1
       )
     )
   )
 )"),1.0)</f>
        <v>1</v>
      </c>
      <c r="FM38" s="206">
        <f>IFERROR(__xludf.DUMMYFUNCTION("SUM(
   MAP(
     K$3:ED$3,
     K$7:ED$7,
     K$15:ED$15,
     K$16:ED$16,
     K$21:ED$21,
     K$5:ED$5,
     K$17:ED$17,
     K38:ED38,
     LAMBDA(
       job,
       abillity,
       buff,
       barrier,
       enhance,
       assign,
       preco"&amp;"ndition,
       check,
       IF(
         OR(AND(check=TRUE, REGEXMATCH(assign, ""SELF""), job=""ガンブレイカー""), AND(check=Option!$H$13, REGEXMATCH(assign, ""SINGLE_PARTY""))),
         IF(
           OR(ARRAYFORMULA((IF(precondition="""", FALSE, REGEXMATCH("&amp;"$K$4:$ED$4, precondition))) * (K38:ED38=TRUE))),
           enhance,
           IF(barrier="""", buff, barrier)
         ),
         0
       ) *
       SWITCH(
         job,
         ""暗黒騎士"", FN$24,
         ""白魔道士"", EF38 * EH38 * FL38 * IF(abillity, 1"&amp;", EG38 * EI38) * (Option!$D$22 * 0.81 / 100),
         ""占星術師"", EF38 * EJ38 * FL38 * IF(abillity, 1, EG38 * EK38) * (Option!$D$23 * 0.81 / 100),
         ""学者"", EF38 * EL38 * FL38 * IF(abillity, 1, EG38 * EM38) * (Option!$D$24 * 0.81 / 100),
         """&amp;"賢者"", EF38 * EN38 * FL38 * IF(abillity, 1, EG38 * EO38) * (Option!$D$25 * 0.81 / 100),
         1
       )
     )
   )
 ) + EQ38"),0.0)</f>
        <v>0</v>
      </c>
      <c r="FN38" s="206">
        <f t="shared" si="13"/>
        <v>0</v>
      </c>
      <c r="FO38" s="213"/>
    </row>
    <row r="39">
      <c r="B39" s="229"/>
      <c r="C39" s="217">
        <f t="shared" si="1"/>
        <v>0</v>
      </c>
      <c r="D39" s="236"/>
      <c r="E39" s="219"/>
      <c r="F39" s="167"/>
      <c r="G39" s="168" t="str">
        <f t="shared" si="2"/>
        <v/>
      </c>
      <c r="H39" s="169"/>
      <c r="I39" s="169"/>
      <c r="J39" s="169"/>
      <c r="K39" s="170" t="b">
        <v>0</v>
      </c>
      <c r="L39" s="170" t="b">
        <v>0</v>
      </c>
      <c r="M39" s="170" t="b">
        <v>0</v>
      </c>
      <c r="N39" s="171" t="s">
        <v>1070</v>
      </c>
      <c r="O39" s="172" t="b">
        <v>0</v>
      </c>
      <c r="P39" s="173" t="b">
        <v>0</v>
      </c>
      <c r="Q39" s="173" t="b">
        <v>0</v>
      </c>
      <c r="R39" s="173" t="b">
        <v>0</v>
      </c>
      <c r="S39" s="174" t="b">
        <v>0</v>
      </c>
      <c r="T39" s="175" t="b">
        <v>0</v>
      </c>
      <c r="U39" s="173" t="b">
        <v>0</v>
      </c>
      <c r="V39" s="171" t="s">
        <v>1070</v>
      </c>
      <c r="W39" s="172" t="b">
        <v>0</v>
      </c>
      <c r="X39" s="173" t="b">
        <v>0</v>
      </c>
      <c r="Y39" s="173" t="b">
        <v>0</v>
      </c>
      <c r="Z39" s="173" t="b">
        <v>0</v>
      </c>
      <c r="AA39" s="174" t="b">
        <v>0</v>
      </c>
      <c r="AB39" s="174" t="b">
        <v>0</v>
      </c>
      <c r="AC39" s="175" t="b">
        <v>0</v>
      </c>
      <c r="AD39" s="173" t="b">
        <v>0</v>
      </c>
      <c r="AE39" s="176" t="s">
        <v>1070</v>
      </c>
      <c r="AF39" s="171" t="s">
        <v>1070</v>
      </c>
      <c r="AG39" s="177">
        <f>IFERROR(__xludf.DUMMYFUNCTION("IF(
  ISNUMBER(AG38),
  MIN(MAX(
    AG38
    + MAX(
      ROUNDDOWN(($D39 - MAX(IFERROR(FILTER($D$24:$D38, AG$24:AG38 &lt;&gt; AF$6, AG$23:AG37 = AF$6), 0))) * (60 * 60 * 24) / AF$9) - ROUNDDOWN(($D38 - MAX(IFERROR(FILTER($D$23:$D37, AG$23:AG37 &lt;&gt; AF$6, AG$22:"&amp;"AG36 = AF$6), 0))) * (60 * 60 * 24) / 60),
      0
    )
    - COUNTIF(AF39, ""&lt;&gt;-""),
  0), AF$6),
  AF$6 - COUNTIF(AF39, ""&lt;&gt;-"")
)"),2.0)</f>
        <v>2</v>
      </c>
      <c r="AH39" s="173" t="b">
        <v>0</v>
      </c>
      <c r="AI39" s="173" t="b">
        <v>0</v>
      </c>
      <c r="AJ39" s="173" t="b">
        <v>0</v>
      </c>
      <c r="AK39" s="174" t="b">
        <v>0</v>
      </c>
      <c r="AL39" s="175" t="b">
        <v>0</v>
      </c>
      <c r="AM39" s="173" t="b">
        <v>0</v>
      </c>
      <c r="AN39" s="171" t="s">
        <v>1070</v>
      </c>
      <c r="AO39" s="173" t="b">
        <v>0</v>
      </c>
      <c r="AP39" s="173" t="b">
        <v>0</v>
      </c>
      <c r="AQ39" s="173" t="b">
        <v>0</v>
      </c>
      <c r="AR39" s="174" t="b">
        <v>0</v>
      </c>
      <c r="AS39" s="178" t="b">
        <v>0</v>
      </c>
      <c r="AT39" s="179" t="b">
        <v>0</v>
      </c>
      <c r="AU39" s="180" t="b">
        <v>0</v>
      </c>
      <c r="AV39" s="180" t="b">
        <v>0</v>
      </c>
      <c r="AW39" s="180" t="b">
        <v>0</v>
      </c>
      <c r="AX39" s="180" t="b">
        <v>0</v>
      </c>
      <c r="AY39" s="181" t="s">
        <v>1070</v>
      </c>
      <c r="AZ39" s="181" t="s">
        <v>1070</v>
      </c>
      <c r="BA39" s="184">
        <f>IFERROR(__xludf.DUMMYFUNCTION("IF(
  ISNUMBER(BA38),
  MIN(MAX(
    BA38
    + MAX(
      ROUNDDOWN((D39 - MAX(IFERROR(FILTER(D$24:D38, BA$24:BA38 &lt;&gt; AZ$6, BA$23:BA37 = AZ$6), 0))) * (60 * 60 * 24) / AZ$9) - ROUNDDOWN((D38 - MAX(IFERROR(FILTER(D$23:D37, BA$23:BA37 &lt;&gt; AZ$6, BA$22:BA36 ="&amp;" AZ$6), 0))) * (60 * 60 * 24) / AZ$9),
      0
    )
    - COUNTIF(AZ39, ""&lt;&gt;-""),
  0), AZ$6),
  AZ$6 - COUNTIF(AZ39, ""&lt;&gt;-"")
)"),2.0)</f>
        <v>2</v>
      </c>
      <c r="BB39" s="181" t="s">
        <v>1070</v>
      </c>
      <c r="BC39" s="183">
        <f>IFERROR(__xludf.DUMMYFUNCTION("IF(
  ISNUMBER(BC38),
  MIN(MAX(
    BC38
    + MAX(
      ROUNDDOWN(($D39 - MAX(IFERROR(FILTER($D$24:$D38, BC$24:BC38 &lt;&gt; BB$6, BC$23:BC37 = BB$6), 0))) * (60 * 60 * 24) / BB$9) - ROUNDDOWN(($D38 - MAX(IFERROR(FILTER($D$23:$D37, BC$23:BC37 &lt;&gt; BB$6, BC$22:"&amp;"BC36 = BB$6), 0))) * (60 * 60 * 24) / 60),
      0
    )
    - COUNTIF(BB39, ""&lt;&gt;-""),
  0), BB$6),
  BB$6 - COUNTIF(BB39, ""&lt;&gt;-"")
)"),2.0)</f>
        <v>2</v>
      </c>
      <c r="BD39" s="181" t="s">
        <v>1070</v>
      </c>
      <c r="BE39" s="178" t="b">
        <v>0</v>
      </c>
      <c r="BF39" s="180" t="b">
        <v>0</v>
      </c>
      <c r="BG39" s="180" t="b">
        <v>0</v>
      </c>
      <c r="BH39" s="180" t="b">
        <v>0</v>
      </c>
      <c r="BI39" s="180" t="b">
        <v>0</v>
      </c>
      <c r="BJ39" s="180" t="b">
        <v>0</v>
      </c>
      <c r="BK39" s="180" t="b">
        <v>0</v>
      </c>
      <c r="BL39" s="180" t="b">
        <v>0</v>
      </c>
      <c r="BM39" s="180" t="b">
        <v>0</v>
      </c>
      <c r="BN39" s="180" t="b">
        <v>0</v>
      </c>
      <c r="BO39" s="181" t="s">
        <v>1070</v>
      </c>
      <c r="BP39" s="181" t="s">
        <v>1070</v>
      </c>
      <c r="BQ39" s="181" t="s">
        <v>1070</v>
      </c>
      <c r="BR39" s="181" t="s">
        <v>1070</v>
      </c>
      <c r="BS39" s="181" t="s">
        <v>1070</v>
      </c>
      <c r="BT39" s="184">
        <f>IFERROR(__xludf.DUMMYFUNCTION("IF(
  ISNUMBER(BT38),
  MIN(MAX(
    BT38
    + MAX(
      ROUNDDOWN((D39 - MAX(IFERROR(FILTER(D$24:D38, BT$24:BT38 &lt;&gt; BS$6, BT$23:BT37 = BS$6), 0))) * (60 * 60 * 24) / BS$9) - ROUNDDOWN((D38 - MAX(IFERROR(FILTER(D$23:D37, BT$23:BT37 &lt;&gt; BS$6, BT$22:BT36 ="&amp;" BS$6), 0))) * (60 * 60 * 24) / BS$9),
      0
    )
    - COUNTIF(BS39, ""&lt;&gt;-""),
  0), BS$6),
  BS$6 - COUNTIF(BS39, ""&lt;&gt;-"")
)"),3.0)</f>
        <v>3</v>
      </c>
      <c r="BU39" s="181" t="s">
        <v>1070</v>
      </c>
      <c r="BV39" s="181" t="s">
        <v>1070</v>
      </c>
      <c r="BW39" s="184">
        <f>IFERROR(__xludf.DUMMYFUNCTION("IF(
  ISNUMBER(BW38),
  MIN(MAX(
    BW38
    + MAX(
      ROUNDDOWN((D39 - MAX(IFERROR(FILTER(D$24:D38, BW$24:BW38 &lt;&gt; BV$6, BW$23:BW37 = BV$6), 0))) * (60 * 60 * 24) / BV$9) - ROUNDDOWN((D38 - MAX(IFERROR(FILTER(D$23:D37, BW$23:BW37 &lt;&gt; BV$6, BW$22:BW36 ="&amp;" BV$6), 0))) * (60 * 60 * 24) / BV$9),
      0
    )
    - COUNTIF(BV39, ""&lt;&gt;-""),
  0), BV$6),
  BV$6 - COUNTIF(BV39, ""&lt;&gt;-"")
)"),2.0)</f>
        <v>2</v>
      </c>
      <c r="BX39" s="185" t="s">
        <v>1070</v>
      </c>
      <c r="BY39" s="178" t="b">
        <v>0</v>
      </c>
      <c r="BZ39" s="180" t="b">
        <v>0</v>
      </c>
      <c r="CA39" s="180" t="b">
        <v>0</v>
      </c>
      <c r="CB39" s="180" t="b">
        <v>0</v>
      </c>
      <c r="CC39" s="180" t="b">
        <v>0</v>
      </c>
      <c r="CD39" s="180" t="b">
        <v>0</v>
      </c>
      <c r="CE39" s="180" t="b">
        <v>0</v>
      </c>
      <c r="CF39" s="180" t="b">
        <v>0</v>
      </c>
      <c r="CG39" s="180" t="b">
        <v>0</v>
      </c>
      <c r="CH39" s="180" t="b">
        <v>0</v>
      </c>
      <c r="CI39" s="180" t="b">
        <v>0</v>
      </c>
      <c r="CJ39" s="180" t="b">
        <v>0</v>
      </c>
      <c r="CK39" s="180" t="b">
        <v>0</v>
      </c>
      <c r="CL39" s="180" t="b">
        <v>0</v>
      </c>
      <c r="CM39" s="181" t="s">
        <v>1070</v>
      </c>
      <c r="CN39" s="181" t="s">
        <v>1070</v>
      </c>
      <c r="CO39" s="181" t="s">
        <v>1070</v>
      </c>
      <c r="CP39" s="181" t="s">
        <v>1070</v>
      </c>
      <c r="CQ39" s="185" t="s">
        <v>1070</v>
      </c>
      <c r="CR39" s="180" t="b">
        <v>0</v>
      </c>
      <c r="CS39" s="186" t="str">
        <f t="shared" si="14"/>
        <v>◇◇◇</v>
      </c>
      <c r="CT39" s="178" t="b">
        <v>0</v>
      </c>
      <c r="CU39" s="180" t="b">
        <v>0</v>
      </c>
      <c r="CV39" s="180" t="b">
        <v>0</v>
      </c>
      <c r="CW39" s="180" t="b">
        <v>0</v>
      </c>
      <c r="CX39" s="180" t="b">
        <v>0</v>
      </c>
      <c r="CY39" s="180" t="b">
        <v>0</v>
      </c>
      <c r="CZ39" s="180" t="b">
        <v>0</v>
      </c>
      <c r="DA39" s="180" t="b">
        <v>0</v>
      </c>
      <c r="DB39" s="180" t="b">
        <v>0</v>
      </c>
      <c r="DC39" s="180" t="b">
        <v>0</v>
      </c>
      <c r="DD39" s="181" t="s">
        <v>1070</v>
      </c>
      <c r="DE39" s="181" t="s">
        <v>1070</v>
      </c>
      <c r="DF39" s="181" t="s">
        <v>1070</v>
      </c>
      <c r="DG39" s="185" t="s">
        <v>1070</v>
      </c>
      <c r="DH39" s="180" t="b">
        <v>0</v>
      </c>
      <c r="DI39" s="187" t="str">
        <f>IFERROR(__xludf.DUMMYFUNCTION("SWITCH(
  IF(
    ISTEXT(DI38),
    IF (
      FIND(""○"", DI38&amp;""○"") &gt; 3,
      3,
      FIND(""○"", DI38&amp;""○"")
      + MAX(
        ROUNDDOWN(($D39 - MAX(IFERROR(FILTER(D$24:D38, DI$24:DI38 &lt;&gt; ""●●●"", DI$23:DI37 = ""●●●""), 0))) * (60 * 60 * 24) / 20"&amp;") - ROUNDDOWN(($D38 - MAX(IFERROR(FILTER(D$23:D37, DI$23:DI37 &lt;&gt; ""●●●"", DI$22:DI36 = ""●●●""), 0))) * (60 * 60 * 24) / 20),
        0
      ) - 1
    ) - COUNTIFS(CU39, ""=TRUE"", CU38, ""&lt;&gt;TRUE"") - COUNTIF(CZ39, ""=TRUE"") - COUNTIF({DD39,DE39}, ""&lt;&gt;-"&amp;""") + COUNTIF(DH39, ""=TRUE""),
    3
  ),
  0, ""○○○"", 1, ""●○○"", 2, ""●●○"", 3, ""●●●"", 4, ""●●●"", ""○○○""
)"),"●●●")</f>
        <v>●●●</v>
      </c>
      <c r="DJ39" s="188" t="b">
        <v>0</v>
      </c>
      <c r="DK39" s="189" t="b">
        <v>0</v>
      </c>
      <c r="DL39" s="190" t="b">
        <v>0</v>
      </c>
      <c r="DM39" s="190" t="b">
        <v>0</v>
      </c>
      <c r="DN39" s="190" t="b">
        <v>0</v>
      </c>
      <c r="DO39" s="190" t="b">
        <v>0</v>
      </c>
      <c r="DP39" s="190" t="b">
        <v>0</v>
      </c>
      <c r="DQ39" s="191" t="b">
        <v>0</v>
      </c>
      <c r="DR39" s="192" t="b">
        <v>0</v>
      </c>
      <c r="DS39" s="191" t="b">
        <v>0</v>
      </c>
      <c r="DT39" s="192" t="b">
        <v>0</v>
      </c>
      <c r="DU39" s="191" t="b">
        <v>0</v>
      </c>
      <c r="DV39" s="193" t="s">
        <v>1070</v>
      </c>
      <c r="DW39" s="194" t="b">
        <v>0</v>
      </c>
      <c r="DX39" s="194" t="b">
        <v>0</v>
      </c>
      <c r="DY39" s="195" t="b">
        <v>0</v>
      </c>
      <c r="DZ39" s="196" t="b">
        <v>0</v>
      </c>
      <c r="EA39" s="195" t="b">
        <v>0</v>
      </c>
      <c r="EB39" s="197" t="b">
        <v>0</v>
      </c>
      <c r="EC39" s="197" t="b">
        <v>0</v>
      </c>
      <c r="ED39" s="212" t="b">
        <v>0</v>
      </c>
      <c r="EE39" s="199">
        <f>IFERROR(__xludf.DUMMYFUNCTION("IFERROR(
   PRODUCT(
     MAP(
       INDEX(TRANSPOSE(UNIQUE(TRANSPOSE(FILTER({IF($F39=""Physical"", K$10:ED$10, IF($F39=""Magic"", K$11:ED$11, K$12:ED$12));K$4:ED$4;K39:ED39}, K39:ED39=TRUE)))), 1, 0),
       INDEX(TRANSPOSE(UNIQUE(TRANSPOSE(FILTER({IF($"&amp;"F39=""Physical"", K$18:ED$18, IF($F39=""Magic"", K$19:ED$19, K$20:ED$20));K$4:ED$4;K39:ED39}, K39:ED39=TRUE)))), 1, 0),
       INDEX(TRANSPOSE(UNIQUE(TRANSPOSE(FILTER({K$5:ED$5;K$4:ED$4;K39:ED39}, K39:ED39=TRUE)))), 1, 0),
       INDEX(TRANSPOSE(UNIQUE(TR"&amp;"ANSPOSE(FILTER({K$17:ED$17;K$4:ED$4;K39:ED39}, K39:ED39=TRUE)))), 1, 0),
       LAMBDA(
         mitigation,
         enhance,
         assign,
         precondition,
         IF(
           REGEXMATCH(assign, ""RANGE_PARTY|SINGLE_ENEMY|RANGE_ENEMY""),
  "&amp;"         IF(
             OR(ARRAYFORMULA((IF(precondition="""", FALSE, REGEXMATCH(K$4:ED$4, precondition))) * (K39:ED39=TRUE))),
             IF(ISNUMBER(enhance), enhance, 1),
             IF(ISNUMBER(mitigation), mitigation, 1)
           ),
          "&amp;" 1
         )
       )
     )
   ),
   1
 )"),1.0)</f>
        <v>1</v>
      </c>
      <c r="EF39" s="200">
        <f>IFERROR(__xludf.DUMMYFUNCTION("PRODUCT(
   MAP(
     K$14:ED$14,
     K$13:ED$13,
     K39:ED39,
     LAMBDA(
       buff,
       target,
       check,
       IF(
         AND(check=TRUE, REGEXMATCH(target, ""RANGE_AFFECTED_ALL|RANGE_EFFECTED_ALL""), ISNUMBER(buff)),
         buff,
   "&amp;"      1
       )
     )
   )
 )"),1.0)</f>
        <v>1</v>
      </c>
      <c r="EG39" s="200">
        <f>IFERROR(__xludf.DUMMYFUNCTION("PRODUCT(
   MAP(
     K$14:ED$14,
     K$13:ED$13,
     K39:ED39,
     LAMBDA(
       buff,
       target,
       check,
       IF(
         AND(check=TRUE, REGEXMATCH(target, ""RANGE_AFFECTED_GCD|RANGE_EFFECTED_GCD""), ISNUMBER(buff)),
         buff,
   "&amp;"      1
       )
     )
   )
 )"),1.0)</f>
        <v>1</v>
      </c>
      <c r="EH39" s="200">
        <f>IFERROR(__xludf.DUMMYFUNCTION("PRODUCT(
   MAP(
     K$3:ED$3,
     K$14:ED$14,
     K$13:ED$13,
     K39:ED39,
     LAMBDA(
       job,
       buff,
       target,
       check,
       IF(
         AND(check=TRUE, REGEXMATCH(target, ""SELF_EFFECTED_ALL""), ISNUMBER(buff), job=""白魔道士"""&amp;"),
         buff,
         1
       )
     )
   )
 )"),1.0)</f>
        <v>1</v>
      </c>
      <c r="EI39" s="200">
        <f>IFERROR(__xludf.DUMMYFUNCTION("PRODUCT(
   MAP(
     K$3:ED$3,
     K$14:ED$14,
     K$13:ED$13,
     K39:ED39,
     LAMBDA(
       job,
       buff,
       target,
       check,
       IF(
         AND(check=TRUE, REGEXMATCH(target, ""SELF_EFFECTED_GCD""), ISNUMBER(buff), job=""白魔道士"""&amp;"),
         buff,
         1
       )
     )
   )
 )"),1.0)</f>
        <v>1</v>
      </c>
      <c r="EJ39" s="200">
        <f>IFERROR(__xludf.DUMMYFUNCTION("PRODUCT(
   MAP(
     K$3:ED$3,
     K$14:ED$14,
     K$13:ED$13,
     K39:ED39,
     LAMBDA(
       job,
       buff,
       target,
       check,
       IF(
         AND(check=TRUE, REGEXMATCH(target, ""SELF_EFFECTED_ALL""), ISNUMBER(buff), job=""占星術師"""&amp;"),
         buff,
         1
       )
     )
   )
 )"),1.0)</f>
        <v>1</v>
      </c>
      <c r="EK39" s="200">
        <f>IFERROR(__xludf.DUMMYFUNCTION("PRODUCT(
   MAP(
     K$3:ED$3,
     K$14:ED$14,
     K$13:ED$13,
     K39:ED39,
     LAMBDA(
       job,
       buff,
       target,
       check,
       IF(
         AND(check=TRUE, REGEXMATCH(target, ""SELF_EFFECTED_GCD""), ISNUMBER(buff), job=""占星術師"""&amp;"),
         buff,
         1
       )
     )
   )
 )"),1.0)</f>
        <v>1</v>
      </c>
      <c r="EL39" s="200">
        <f>IFERROR(__xludf.DUMMYFUNCTION("PRODUCT(
   MAP(
     K$3:ED$3,
     K$14:ED$14,
     K$13:ED$13,
     K39:ED39,
     LAMBDA(
       job,
       buff,
       target,
       check,
       IF(
         AND(check=TRUE, REGEXMATCH(target, ""SELF_EFFECTED_ALL""), ISNUMBER(buff), job=""学者""),"&amp;"
         buff,
         1
       )
     )
   )
 )"),1.0)</f>
        <v>1</v>
      </c>
      <c r="EM39" s="200">
        <f>IFERROR(__xludf.DUMMYFUNCTION("PRODUCT(
   MAP(
     K$3:ED$3,
     K$14:ED$14,
     K$13:ED$13,
     K39:ED39,
     LAMBDA(
       job,
       buff,
       target,
       check,
       IF(
         AND(check=TRUE, REGEXMATCH(target, ""SELF_EFFECTED_GCD""), ISNUMBER(buff), job=""学者""),"&amp;"
         buff,
         1
       )
     )
   )
 )"),1.0)</f>
        <v>1</v>
      </c>
      <c r="EN39" s="200">
        <f>IFERROR(__xludf.DUMMYFUNCTION("PRODUCT(
   MAP(
     K$3:ED$3,
     K$14:ED$14,
     K$13:ED$13,
     K39:ED39,
     LAMBDA(
       job,
       buff,
       target,
       check,
       IF(
         AND(check=TRUE, REGEXMATCH(target, ""SELF_EFFECTED_ALL""), ISNUMBER(buff), job=""賢者""),"&amp;"
         buff,
         1
       )
     )
   )
 )"),1.0)</f>
        <v>1</v>
      </c>
      <c r="EO39" s="200">
        <f>IFERROR(__xludf.DUMMYFUNCTION("PRODUCT(
   MAP(
     K$3:ED$3,
     K$14:ED$14,
     K$13:ED$13,
     K39:ED39,
     LAMBDA(
       job,
       buff,
       target,
       check,
       IF(
         AND(check=TRUE, REGEXMATCH(target, ""SELF_EFFECTED_GCD""), ISNUMBER(buff), job=""賢者""),"&amp;"
         buff,
         1
       )
     )
   )
 )"),1.0)</f>
        <v>1</v>
      </c>
      <c r="EP39" s="201">
        <f t="shared" si="3"/>
        <v>0</v>
      </c>
      <c r="EQ39" s="201">
        <f>IFERROR(__xludf.DUMMYFUNCTION("SUM(
   MAP(
     K$4:ED$4,
     K$3:ED$3,
     K$7:ED$7,
     K$15:ED$15,
     K$16:ED$16,
     K$21:ED$21,
     K$5:ED$5,
     K$17:ED$17,
     K39:ED39,
     LAMBDA(
       name,
       job,
       abillity,
       buff,
       barrier,
       enhance,"&amp;"
       assign,
       precondition,
       check,
       SWITCH(
         name,
         ""シェイクオフ"", IF(check=TRUE, buff + (0.02 * COUNTIF(ARRAYFORMULA((REGEXMATCH($K$4:$ED$4, ""スリル・オブ・バトル|ヴェンジェンス|原初の血気|ダムネーション"")) * (K39:ED39=TRUE)), 1)), 0),
         "&amp;"""インプロビゼーションフィニッシュ(踊りの激情0)"", IF(ISNUMBER(check), INDEX(Skill!$AJ:$AJ, MATCH(SUBSTITUTE(DV$4, 0, check), Skill!$C:$C, 0)), 0),
         IF(
           AND(check=TRUE, REGEXMATCH(assign, ""RANGE_PARTY"")),
           IF(
             OR(ARRAYFORMULA((IF(pr"&amp;"econdition="""", FALSE, REGEXMATCH($K$4:$ED$4, precondition))) * (K39:ED39=TRUE))),
             enhance,
             IF(barrier="""", buff, barrier)
           ),
           0
         )
       ) *
       SWITCH(
         job,
         ""ナイト"", EY$24,
 "&amp;"        ""戦士"", FD$24,
         ""踊り子"", ET$24,
         ""ピクトマンサー"", ET$24,
         ""白魔道士"", EF39 * EH39 * IF(abillity, 1, EG39 * EI39) * (Option!$D$22 * 0.81 / 100),
         ""占星術師"", EF39 * EJ39 * IF(abillity, 1, EG39 * EK39) * (Option!$D$23 * 0.81 "&amp;"/ 100),
         ""学者"", EF39 * EL39 * IF(abillity, 1, EG39 * EM39) * (Option!$D$24 * 0.81 / 100),
         ""賢者"", EF39 * EN39 * IF(abillity, 1, EG39 * EO39) * (Option!$D$25 * 0.81 / 100),
         1
       )
     )
   )
 )"),0.0)</f>
        <v>0</v>
      </c>
      <c r="ER39" s="202">
        <f t="shared" si="4"/>
        <v>0</v>
      </c>
      <c r="ES39" s="203">
        <f t="shared" si="5"/>
        <v>0</v>
      </c>
      <c r="ET39" s="204" t="str">
        <f>IFERROR(__xludf.DUMMYFUNCTION("IFS(
  EP39 &gt; $ET$24 + EQ39,
  SPARKLINE({ 1, 0 }, {""charttype"",""bar"";""max"", 1;""color1"",Option!$D$30;""color2"",Option!$D$30}),
  EP39 &lt; EQ39,
  SPARKLINE({EQ39 - EP39, $ET$24 - (EQ39 - EP39)}, {""charttype"",""bar"";""max"",$ET$24;""color1"",Opti"&amp;"on!$D$28;""color2"",Option!$D$29}),
  EP39 &gt;= EQ39,
  SPARKLINE({$ET$24 + EQ39 - EP39,EP39 - EQ39}, {""charttype"",""bar"";""max"",$ET$24;""color1"",Option!$D$29;""color2"",Option!$D$30})
)"),"")</f>
        <v/>
      </c>
      <c r="EU39" s="205">
        <f>IFERROR(__xludf.DUMMYFUNCTION("PRODUCT(
   MAP(
     IF($F39=""Physical"", K$10:ED$10, IF($F39=""Magic"", K$11:ED$11, K$12:ED$12)),
     IF($F39=""Physical"", K$18:ED$18, IF($F39=""Magic"", K$19:ED$19, K$20:ED$20)),
     K$3:ED$3,
     K$5:ED$5,
     K$17:ED$17,
     K39:ED39,
     LAM"&amp;"BDA(
       mitigation,
       enhance,
       job,
       assign,
       precondition,
       check,
       IF(
         OR(AND(check=TRUE, REGEXMATCH(assign, ""SELF""), job=""ナイト""), AND(check=Option!$E$13, REGEXMATCH(assign, ""SINGLE_PARTY""))),
      "&amp;"   IF(
           OR(ARRAYFORMULA((IF(precondition="""", FALSE, REGEXMATCH($K$4:$ED$4, precondition))) * (K39:ED39=TRUE))),
           enhance,
           mitigation
         ),
         1
       )
     )
   )
 ) * EE39"),1.0)</f>
        <v>1</v>
      </c>
      <c r="EV39" s="206">
        <f t="shared" si="6"/>
        <v>0</v>
      </c>
      <c r="EW39" s="205">
        <f>IFERROR(__xludf.DUMMYFUNCTION("PRODUCT(
   MAP(
     K$3:ED$3,
     K$14:ED$14,
     K$13:ED$13,
     K39:ED39,
     LAMBDA(
       job,
       buff,
       target,
       check,
       IF(
         OR(AND(check=TRUE, REGEXMATCH(target, ""SELF_AFFECTED_ALL""), job=""ナイト""), AND(check=O"&amp;"ption!$E$13, REGEXMATCH(target, ""SINGLE_AFFECTED_ALL""))),
         buff,
         1
       )
     )
   )
 )"),1.0)</f>
        <v>1</v>
      </c>
      <c r="EX39" s="206">
        <f>IFERROR(__xludf.DUMMYFUNCTION("SUM(
   MAP(
     K$3:ED$3,
     K$7:ED$7,
     K$15:ED$15,
     K$16:ED$16,
     K$21:ED$21,
     K$5:ED$5,
     K$17:ED$17,
     K39:ED39,
     LAMBDA(
       job,
       abillity,
       buff,
       barrier,
       enhance,
       assign,
       preco"&amp;"ndition,
       check,
       IF(
         OR(AND(check=TRUE, REGEXMATCH(assign, ""SELF""), job=""ナイト""), AND(check=Option!$E$13, REGEXMATCH(assign, ""SINGLE_PARTY""))),
         IF(
           OR(ARRAYFORMULA((IF(precondition="""", FALSE, REGEXMATCH($K$4"&amp;":$ED$4, precondition))) * (K39:ED39=TRUE))),
           enhance,
           IF(barrier="""", buff, barrier)
         ),
         0
       ) *
       SWITCH(
         job,
         ""暗黒騎士"", EY$24,
         ""白魔道士"", EF39 * EH39 * EW39 * IF(abillity, 1, EG"&amp;"39 * EI39) * (Option!$D$22 * 0.81 / 100),
         ""占星術師"", EF39 * EJ39 * EW39 * IF(abillity, 1, EG39 * EK39) * (Option!$D$23 * 0.81 / 100),
         ""学者"", EF39 * EL39 * EW39 * IF(abillity, 1, EG39 * EM39) * (Option!$D$24 * 0.81 / 100),
         ""賢者"""&amp;", EF39 * EN39 * EW39 * IF(abillity, 1, EG39 * EO39) * (Option!$D$25 * 0.81 / 100),
         1
       )
     )
   )
 ) + EQ39"),0.0)</f>
        <v>0</v>
      </c>
      <c r="EY39" s="206">
        <f t="shared" si="7"/>
        <v>0</v>
      </c>
      <c r="EZ39" s="205">
        <f>IFERROR(__xludf.DUMMYFUNCTION("PRODUCT(
   MAP(
     IF($F39=""Physical"", K$10:ED$10, IF($F39=""Magic"", K$11:ED$11, K$12:ED$12)),
     IF($F39=""Physical"", K$18:ED$18, IF($F39=""Magic"", K$19:ED$19, K$20:ED$20)),
     K$3:ED$3,
     K$5:ED$5,
     K$17:ED$17,
     K39:ED39,
     LAM"&amp;"BDA(
       mitigation,
       enhance,
       job,
       assign,
       precondition,
       check,
       IF(
         OR(AND(check=TRUE, REGEXMATCH(assign, ""SELF""), job=""戦士""), AND(check=Option!$F$13, REGEXMATCH(assign, ""SINGLE_PARTY""))),
       "&amp;"  IF(
           OR(ARRAYFORMULA((IF(precondition="""", FALSE, REGEXMATCH($K$4:$ED$4, precondition))) * (K39:ED39=TRUE))),
           enhance,
           mitigation
         ),
         1
       )
     )
   )
 ) * EE39"),1.0)</f>
        <v>1</v>
      </c>
      <c r="FA39" s="206">
        <f t="shared" si="8"/>
        <v>0</v>
      </c>
      <c r="FB39" s="205">
        <f>IFERROR(__xludf.DUMMYFUNCTION("PRODUCT(
   MAP(
     K$3:ED$3,
     K$14:ED$14,
     K$13:ED$13,
     K39:ED39,
     LAMBDA(
       job,
       buff,
       target,
       check,
       IF(
         OR(AND(check=TRUE, REGEXMATCH(target, ""SELF_AFFECTED_ALL""), job=""戦士""), AND(check=Op"&amp;"tion!$F$13, REGEXMATCH(target, ""SINGLE_AFFECTED_ALL""))),
         buff,
         1
       )
     )
   )
 )"),1.0)</f>
        <v>1</v>
      </c>
      <c r="FC39" s="206">
        <f>IFERROR(__xludf.DUMMYFUNCTION("SUM(
   MAP(
     K$3:ED$3,
     K$7:ED$7,
     K$15:ED$15,
     K$16:ED$16,
     K$21:ED$21,
     K$5:ED$5,
     K$17:ED$17,
     K39:ED39,
     LAMBDA(
       job,
       abillity,
       buff,
       barrier,
       enhance,
       assign,
       preco"&amp;"ndition,
       check,
       IF(
         OR(AND(check=TRUE, REGEXMATCH(assign, ""SELF""), job=""戦士""), AND(check=Option!$F$13, REGEXMATCH(assign, ""SINGLE_PARTY""))),
         IF(
           OR(ARRAYFORMULA((IF(precondition="""", FALSE, REGEXMATCH($K$4:"&amp;"$ED$4, precondition))) * (K39:ED39=TRUE))),
           enhance,
           IF(barrier="""", buff, barrier)
         ),
         0
       ) *
       SWITCH(
         job,
         ""暗黒騎士"", FD$24,
         ""白魔道士"", EF39 * EH39 * FB39 * IF(abillity, 1, EG3"&amp;"9 * EI39) * (Option!$D$22 * 0.81 / 100),
         ""占星術師"", EF39 * EJ39 * FFB39 * IF(abillity, 1, EG39 * EK39) * (Option!$D$23 * 0.81 / 100),
         ""学者"", EF39 * EL39 * FB39 * IF(abillity, 1, EG39 * EM39) * (Option!$D$24 * 0.81 / 100),
         ""賢者"""&amp;", EF39 * EN39 * FB39 * IF(abillity, 1, EG39 * EO39) * (Option!$D$25 * 0.81 / 100),
         1
       )
     )
   )
 ) + EQ39"),0.0)</f>
        <v>0</v>
      </c>
      <c r="FD39" s="206">
        <f t="shared" si="9"/>
        <v>0</v>
      </c>
      <c r="FE39" s="205">
        <f>IFERROR(__xludf.DUMMYFUNCTION("PRODUCT(
   MAP(
     IF($F39=""Physical"", K$10:ED$10, IF($F39=""Magic"", K$11:ED$11, K$12:ED$12)),
     IF($F39=""Physical"", K$18:ED$18, IF($F39=""Magic"", K$19:ED$19, K$20:ED$20)),
     K$3:ED$3,
     K$5:ED$5,
     K$17:ED$17,
     K39:ED39,
     LAM"&amp;"BDA(
       mitigation,
       enhance,
       job,
       assign,
       precondition,
       check,
       IF(
         OR(AND(check=TRUE, REGEXMATCH(assign, ""SELF""), job=""暗黒騎士""), AND(check=Option!$G$13, REGEXMATCH(assign, ""SINGLE_PARTY""))),
     "&amp;"    IF(
           OR(ARRAYFORMULA((IF(precondition="""", FALSE, REGEXMATCH($K$4:$ED$4, precondition))) * (K39:ED39=TRUE))),
           enhance,
           mitigation
         ),
         1
       )
     )
   )
 ) * EE39"),1.0)</f>
        <v>1</v>
      </c>
      <c r="FF39" s="206">
        <f t="shared" si="10"/>
        <v>0</v>
      </c>
      <c r="FG39" s="205">
        <f>IFERROR(__xludf.DUMMYFUNCTION("PRODUCT(
   MAP(
     K$3:ED$3,
     K$14:ED$14,
     K$13:ED$13,
     K39:ED39,
     LAMBDA(
       job,
       buff,
       target,
       check,
       IF(
         OR(AND(check=TRUE, REGEXMATCH(target, ""SELF_AFFECTED_ALL""), job=""暗黒騎士""), AND(check="&amp;"Option!$G$13, REGEXMATCH(target, ""SINGLE_AFFECTED_ALL""))),
         buff,
         1
       )
     )
   )
 )"),1.0)</f>
        <v>1</v>
      </c>
      <c r="FH39" s="206">
        <f>IFERROR(__xludf.DUMMYFUNCTION("SUM(
   MAP(
     K$3:ED$3,
     K$7:ED$7,
     K$15:ED$15,
     K$16:ED$16,
     K$21:ED$21,
     K$5:ED$5,
     K$17:ED$17,
     K39:ED39,
     LAMBDA(
       job,
       abillity,
       buff,
       barrier,
       enhance,
       assign,
       preco"&amp;"ndition,
       check,
       IF(
         OR(AND(check=TRUE, REGEXMATCH(assign, ""SELF""), job=""暗黒騎士""), AND(check=Option!$G$13, REGEXMATCH(assign, ""SINGLE_PARTY""))),
         IF(
           OR(ARRAYFORMULA((IF(precondition="""", FALSE, REGEXMATCH($K$"&amp;"4:$ED$4, precondition))) * (K39:ED39=TRUE))),
           enhance,
           IF(barrier="""", buff, barrier)
         ),
         0
       ) *
       SWITCH(
         job,
         ""暗黒騎士"", FI$24,
         ""白魔道士"", EF39 * EH39 * FG39 * IF(abillity, 1, E"&amp;"G39 * EI39) * (Option!$D$22 * 0.81 / 100),
         ""占星術師"", EF39 * EJ39 * FG39 * IF(abillity, 1, EG39 * EK39) * (Option!$D$23 * 0.81 / 100),
         ""学者"", EF39 * EL39 * FG39 * IF(abillity, 1, EG39 * EM39) * (Option!$D$24 * 0.81 / 100),
         ""賢者"&amp;""", EF39 * EN39 * FG39 * IF(abillity, 1, EG39 * EO39) * (Option!$D$25 * 0.81 / 100),
         1
       )
     )
   )
 ) + EQ39"),0.0)</f>
        <v>0</v>
      </c>
      <c r="FI39" s="206">
        <f t="shared" si="11"/>
        <v>0</v>
      </c>
      <c r="FJ39" s="205">
        <f>IFERROR(__xludf.DUMMYFUNCTION("PRODUCT(
   MAP(
     IF($F39=""Physical"", K$10:ED$10, IF($F39=""Magic"", K$11:ED$11, K$12:ED$12)),
     IF($F39=""Physical"", K$18:ED$18, IF($F39=""Magic"", K$19:ED$19, K$20:ED$20)),
     K$3:ED$3,
     K$5:ED$5,
     K$17:ED$17,
     K39:ED39,
     LAM"&amp;"BDA(
       mitigation,
       enhance,
       job,
       assign,
       precondition,
       check,
       IF(
         OR(AND(check=TRUE, REGEXMATCH(assign, ""SELF""), job=""ガンブレイカー""), AND(check=Option!$H$13, REGEXMATCH(assign, ""SINGLE_PARTY""))),
  "&amp;"       IF(
           OR(ARRAYFORMULA((IF(precondition="""", FALSE, REGEXMATCH($K$4:$ED$4, precondition))) * (K39:ED39=TRUE))),
           enhance,
           mitigation
         ),
         1
       )
     )
   )
 ) * EE39"),1.0)</f>
        <v>1</v>
      </c>
      <c r="FK39" s="206">
        <f t="shared" si="12"/>
        <v>0</v>
      </c>
      <c r="FL39" s="205">
        <f>IFERROR(__xludf.DUMMYFUNCTION("PRODUCT(
   MAP(
     K$3:ED$3,
     K$14:ED$14,
     K$13:ED$13,
     K39:ED39,
     LAMBDA(
       job,
       buff,
       target,
       check,
       IF(
         OR(AND(check=TRUE, REGEXMATCH(target, ""SELF_AFFECTED_ALL""), job=""ガンブレイカー""), AND(che"&amp;"ck=Option!$H$13, REGEXMATCH(target, ""SINGLE_AFFECTED_ALL""))),
         buff,
         1
       )
     )
   )
 )"),1.0)</f>
        <v>1</v>
      </c>
      <c r="FM39" s="206">
        <f>IFERROR(__xludf.DUMMYFUNCTION("SUM(
   MAP(
     K$3:ED$3,
     K$7:ED$7,
     K$15:ED$15,
     K$16:ED$16,
     K$21:ED$21,
     K$5:ED$5,
     K$17:ED$17,
     K39:ED39,
     LAMBDA(
       job,
       abillity,
       buff,
       barrier,
       enhance,
       assign,
       preco"&amp;"ndition,
       check,
       IF(
         OR(AND(check=TRUE, REGEXMATCH(assign, ""SELF""), job=""ガンブレイカー""), AND(check=Option!$H$13, REGEXMATCH(assign, ""SINGLE_PARTY""))),
         IF(
           OR(ARRAYFORMULA((IF(precondition="""", FALSE, REGEXMATCH("&amp;"$K$4:$ED$4, precondition))) * (K39:ED39=TRUE))),
           enhance,
           IF(barrier="""", buff, barrier)
         ),
         0
       ) *
       SWITCH(
         job,
         ""暗黒騎士"", FN$24,
         ""白魔道士"", EF39 * EH39 * FL39 * IF(abillity, 1"&amp;", EG39 * EI39) * (Option!$D$22 * 0.81 / 100),
         ""占星術師"", EF39 * EJ39 * FL39 * IF(abillity, 1, EG39 * EK39) * (Option!$D$23 * 0.81 / 100),
         ""学者"", EF39 * EL39 * FL39 * IF(abillity, 1, EG39 * EM39) * (Option!$D$24 * 0.81 / 100),
         """&amp;"賢者"", EF39 * EN39 * FL39 * IF(abillity, 1, EG39 * EO39) * (Option!$D$25 * 0.81 / 100),
         1
       )
     )
   )
 ) + EQ39"),0.0)</f>
        <v>0</v>
      </c>
      <c r="FN39" s="206">
        <f t="shared" si="13"/>
        <v>0</v>
      </c>
      <c r="FO39" s="213"/>
    </row>
    <row r="40">
      <c r="B40" s="229"/>
      <c r="C40" s="217">
        <f t="shared" si="1"/>
        <v>0</v>
      </c>
      <c r="D40" s="236"/>
      <c r="E40" s="226"/>
      <c r="F40" s="167"/>
      <c r="G40" s="168" t="str">
        <f t="shared" si="2"/>
        <v/>
      </c>
      <c r="H40" s="169"/>
      <c r="I40" s="169"/>
      <c r="J40" s="169"/>
      <c r="K40" s="170" t="b">
        <v>0</v>
      </c>
      <c r="L40" s="170" t="b">
        <v>0</v>
      </c>
      <c r="M40" s="170" t="b">
        <v>0</v>
      </c>
      <c r="N40" s="171" t="s">
        <v>1070</v>
      </c>
      <c r="O40" s="172" t="b">
        <v>0</v>
      </c>
      <c r="P40" s="173" t="b">
        <v>0</v>
      </c>
      <c r="Q40" s="173" t="b">
        <v>0</v>
      </c>
      <c r="R40" s="173" t="b">
        <v>0</v>
      </c>
      <c r="S40" s="174" t="b">
        <v>0</v>
      </c>
      <c r="T40" s="175" t="b">
        <v>0</v>
      </c>
      <c r="U40" s="173" t="b">
        <v>0</v>
      </c>
      <c r="V40" s="171" t="s">
        <v>1070</v>
      </c>
      <c r="W40" s="172" t="b">
        <v>0</v>
      </c>
      <c r="X40" s="173" t="b">
        <v>0</v>
      </c>
      <c r="Y40" s="173" t="b">
        <v>0</v>
      </c>
      <c r="Z40" s="173" t="b">
        <v>0</v>
      </c>
      <c r="AA40" s="174" t="b">
        <v>0</v>
      </c>
      <c r="AB40" s="174" t="b">
        <v>0</v>
      </c>
      <c r="AC40" s="175" t="b">
        <v>0</v>
      </c>
      <c r="AD40" s="173" t="b">
        <v>0</v>
      </c>
      <c r="AE40" s="176" t="s">
        <v>1070</v>
      </c>
      <c r="AF40" s="171" t="s">
        <v>1070</v>
      </c>
      <c r="AG40" s="177">
        <f>IFERROR(__xludf.DUMMYFUNCTION("IF(
  ISNUMBER(AG39),
  MIN(MAX(
    AG39
    + MAX(
      ROUNDDOWN(($D40 - MAX(IFERROR(FILTER($D$24:$D39, AG$24:AG39 &lt;&gt; AF$6, AG$23:AG38 = AF$6), 0))) * (60 * 60 * 24) / AF$9) - ROUNDDOWN(($D39 - MAX(IFERROR(FILTER($D$23:$D38, AG$23:AG38 &lt;&gt; AF$6, AG$22:"&amp;"AG37 = AF$6), 0))) * (60 * 60 * 24) / 60),
      0
    )
    - COUNTIF(AF40, ""&lt;&gt;-""),
  0), AF$6),
  AF$6 - COUNTIF(AF40, ""&lt;&gt;-"")
)"),2.0)</f>
        <v>2</v>
      </c>
      <c r="AH40" s="173" t="b">
        <v>0</v>
      </c>
      <c r="AI40" s="173" t="b">
        <v>0</v>
      </c>
      <c r="AJ40" s="173" t="b">
        <v>0</v>
      </c>
      <c r="AK40" s="174" t="b">
        <v>0</v>
      </c>
      <c r="AL40" s="175" t="b">
        <v>0</v>
      </c>
      <c r="AM40" s="173" t="b">
        <v>0</v>
      </c>
      <c r="AN40" s="171" t="s">
        <v>1070</v>
      </c>
      <c r="AO40" s="173" t="b">
        <v>0</v>
      </c>
      <c r="AP40" s="173" t="b">
        <v>0</v>
      </c>
      <c r="AQ40" s="173" t="b">
        <v>0</v>
      </c>
      <c r="AR40" s="174" t="b">
        <v>0</v>
      </c>
      <c r="AS40" s="178" t="b">
        <v>0</v>
      </c>
      <c r="AT40" s="179" t="b">
        <v>0</v>
      </c>
      <c r="AU40" s="180" t="b">
        <v>0</v>
      </c>
      <c r="AV40" s="180" t="b">
        <v>0</v>
      </c>
      <c r="AW40" s="180" t="b">
        <v>0</v>
      </c>
      <c r="AX40" s="180" t="b">
        <v>0</v>
      </c>
      <c r="AY40" s="181" t="s">
        <v>1070</v>
      </c>
      <c r="AZ40" s="181" t="s">
        <v>1070</v>
      </c>
      <c r="BA40" s="184">
        <f>IFERROR(__xludf.DUMMYFUNCTION("IF(
  ISNUMBER(BA39),
  MIN(MAX(
    BA39
    + MAX(
      ROUNDDOWN((D40 - MAX(IFERROR(FILTER(D$24:D39, BA$24:BA39 &lt;&gt; AZ$6, BA$23:BA38 = AZ$6), 0))) * (60 * 60 * 24) / AZ$9) - ROUNDDOWN((D39 - MAX(IFERROR(FILTER(D$23:D38, BA$23:BA38 &lt;&gt; AZ$6, BA$22:BA37 ="&amp;" AZ$6), 0))) * (60 * 60 * 24) / AZ$9),
      0
    )
    - COUNTIF(AZ40, ""&lt;&gt;-""),
  0), AZ$6),
  AZ$6 - COUNTIF(AZ40, ""&lt;&gt;-"")
)"),2.0)</f>
        <v>2</v>
      </c>
      <c r="BB40" s="181" t="s">
        <v>1070</v>
      </c>
      <c r="BC40" s="183">
        <f>IFERROR(__xludf.DUMMYFUNCTION("IF(
  ISNUMBER(BC39),
  MIN(MAX(
    BC39
    + MAX(
      ROUNDDOWN(($D40 - MAX(IFERROR(FILTER($D$24:$D39, BC$24:BC39 &lt;&gt; BB$6, BC$23:BC38 = BB$6), 0))) * (60 * 60 * 24) / BB$9) - ROUNDDOWN(($D39 - MAX(IFERROR(FILTER($D$23:$D38, BC$23:BC38 &lt;&gt; BB$6, BC$22:"&amp;"BC37 = BB$6), 0))) * (60 * 60 * 24) / 60),
      0
    )
    - COUNTIF(BB40, ""&lt;&gt;-""),
  0), BB$6),
  BB$6 - COUNTIF(BB40, ""&lt;&gt;-"")
)"),2.0)</f>
        <v>2</v>
      </c>
      <c r="BD40" s="181" t="s">
        <v>1070</v>
      </c>
      <c r="BE40" s="178" t="b">
        <v>0</v>
      </c>
      <c r="BF40" s="180" t="b">
        <v>0</v>
      </c>
      <c r="BG40" s="180" t="b">
        <v>0</v>
      </c>
      <c r="BH40" s="180" t="b">
        <v>0</v>
      </c>
      <c r="BI40" s="180" t="b">
        <v>0</v>
      </c>
      <c r="BJ40" s="180" t="b">
        <v>0</v>
      </c>
      <c r="BK40" s="180" t="b">
        <v>0</v>
      </c>
      <c r="BL40" s="180" t="b">
        <v>0</v>
      </c>
      <c r="BM40" s="180" t="b">
        <v>0</v>
      </c>
      <c r="BN40" s="180" t="b">
        <v>0</v>
      </c>
      <c r="BO40" s="181" t="s">
        <v>1070</v>
      </c>
      <c r="BP40" s="181" t="s">
        <v>1070</v>
      </c>
      <c r="BQ40" s="181" t="s">
        <v>1070</v>
      </c>
      <c r="BR40" s="181" t="s">
        <v>1070</v>
      </c>
      <c r="BS40" s="181" t="s">
        <v>1070</v>
      </c>
      <c r="BT40" s="184">
        <f>IFERROR(__xludf.DUMMYFUNCTION("IF(
  ISNUMBER(BT39),
  MIN(MAX(
    BT39
    + MAX(
      ROUNDDOWN((D40 - MAX(IFERROR(FILTER(D$24:D39, BT$24:BT39 &lt;&gt; BS$6, BT$23:BT38 = BS$6), 0))) * (60 * 60 * 24) / BS$9) - ROUNDDOWN((D39 - MAX(IFERROR(FILTER(D$23:D38, BT$23:BT38 &lt;&gt; BS$6, BT$22:BT37 ="&amp;" BS$6), 0))) * (60 * 60 * 24) / BS$9),
      0
    )
    - COUNTIF(BS40, ""&lt;&gt;-""),
  0), BS$6),
  BS$6 - COUNTIF(BS40, ""&lt;&gt;-"")
)"),3.0)</f>
        <v>3</v>
      </c>
      <c r="BU40" s="181" t="s">
        <v>1070</v>
      </c>
      <c r="BV40" s="181" t="s">
        <v>1070</v>
      </c>
      <c r="BW40" s="184">
        <f>IFERROR(__xludf.DUMMYFUNCTION("IF(
  ISNUMBER(BW39),
  MIN(MAX(
    BW39
    + MAX(
      ROUNDDOWN((D40 - MAX(IFERROR(FILTER(D$24:D39, BW$24:BW39 &lt;&gt; BV$6, BW$23:BW38 = BV$6), 0))) * (60 * 60 * 24) / BV$9) - ROUNDDOWN((D39 - MAX(IFERROR(FILTER(D$23:D38, BW$23:BW38 &lt;&gt; BV$6, BW$22:BW37 ="&amp;" BV$6), 0))) * (60 * 60 * 24) / BV$9),
      0
    )
    - COUNTIF(BV40, ""&lt;&gt;-""),
  0), BV$6),
  BV$6 - COUNTIF(BV40, ""&lt;&gt;-"")
)"),2.0)</f>
        <v>2</v>
      </c>
      <c r="BX40" s="185" t="s">
        <v>1070</v>
      </c>
      <c r="BY40" s="178" t="b">
        <v>0</v>
      </c>
      <c r="BZ40" s="180" t="b">
        <v>0</v>
      </c>
      <c r="CA40" s="180" t="b">
        <v>0</v>
      </c>
      <c r="CB40" s="180" t="b">
        <v>0</v>
      </c>
      <c r="CC40" s="180" t="b">
        <v>0</v>
      </c>
      <c r="CD40" s="180" t="b">
        <v>0</v>
      </c>
      <c r="CE40" s="180" t="b">
        <v>0</v>
      </c>
      <c r="CF40" s="180" t="b">
        <v>0</v>
      </c>
      <c r="CG40" s="180" t="b">
        <v>0</v>
      </c>
      <c r="CH40" s="180" t="b">
        <v>0</v>
      </c>
      <c r="CI40" s="180" t="b">
        <v>0</v>
      </c>
      <c r="CJ40" s="180" t="b">
        <v>0</v>
      </c>
      <c r="CK40" s="180" t="b">
        <v>0</v>
      </c>
      <c r="CL40" s="180" t="b">
        <v>0</v>
      </c>
      <c r="CM40" s="181" t="s">
        <v>1070</v>
      </c>
      <c r="CN40" s="181" t="s">
        <v>1070</v>
      </c>
      <c r="CO40" s="181" t="s">
        <v>1070</v>
      </c>
      <c r="CP40" s="181" t="s">
        <v>1070</v>
      </c>
      <c r="CQ40" s="185" t="s">
        <v>1070</v>
      </c>
      <c r="CR40" s="180" t="b">
        <v>0</v>
      </c>
      <c r="CS40" s="186" t="str">
        <f t="shared" si="14"/>
        <v>◇◇◇</v>
      </c>
      <c r="CT40" s="178" t="b">
        <v>0</v>
      </c>
      <c r="CU40" s="180" t="b">
        <v>0</v>
      </c>
      <c r="CV40" s="180" t="b">
        <v>0</v>
      </c>
      <c r="CW40" s="180" t="b">
        <v>0</v>
      </c>
      <c r="CX40" s="180" t="b">
        <v>0</v>
      </c>
      <c r="CY40" s="180" t="b">
        <v>0</v>
      </c>
      <c r="CZ40" s="180" t="b">
        <v>0</v>
      </c>
      <c r="DA40" s="180" t="b">
        <v>0</v>
      </c>
      <c r="DB40" s="180" t="b">
        <v>0</v>
      </c>
      <c r="DC40" s="180" t="b">
        <v>0</v>
      </c>
      <c r="DD40" s="181" t="s">
        <v>1070</v>
      </c>
      <c r="DE40" s="181" t="s">
        <v>1070</v>
      </c>
      <c r="DF40" s="181" t="s">
        <v>1070</v>
      </c>
      <c r="DG40" s="185" t="s">
        <v>1070</v>
      </c>
      <c r="DH40" s="180" t="b">
        <v>0</v>
      </c>
      <c r="DI40" s="187" t="str">
        <f>IFERROR(__xludf.DUMMYFUNCTION("SWITCH(
  IF(
    ISTEXT(DI39),
    IF (
      FIND(""○"", DI39&amp;""○"") &gt; 3,
      3,
      FIND(""○"", DI39&amp;""○"")
      + MAX(
        ROUNDDOWN(($D40 - MAX(IFERROR(FILTER(D$24:D39, DI$24:DI39 &lt;&gt; ""●●●"", DI$23:DI38 = ""●●●""), 0))) * (60 * 60 * 24) / 20"&amp;") - ROUNDDOWN(($D39 - MAX(IFERROR(FILTER(D$23:D38, DI$23:DI38 &lt;&gt; ""●●●"", DI$22:DI37 = ""●●●""), 0))) * (60 * 60 * 24) / 20),
        0
      ) - 1
    ) - COUNTIFS(CU40, ""=TRUE"", CU39, ""&lt;&gt;TRUE"") - COUNTIF(CZ40, ""=TRUE"") - COUNTIF({DD40,DE40}, ""&lt;&gt;-"&amp;""") + COUNTIF(DH40, ""=TRUE""),
    3
  ),
  0, ""○○○"", 1, ""●○○"", 2, ""●●○"", 3, ""●●●"", 4, ""●●●"", ""○○○""
)"),"●●●")</f>
        <v>●●●</v>
      </c>
      <c r="DJ40" s="188" t="b">
        <v>0</v>
      </c>
      <c r="DK40" s="189" t="b">
        <v>0</v>
      </c>
      <c r="DL40" s="190" t="b">
        <v>0</v>
      </c>
      <c r="DM40" s="190" t="b">
        <v>0</v>
      </c>
      <c r="DN40" s="190" t="b">
        <v>0</v>
      </c>
      <c r="DO40" s="190" t="b">
        <v>0</v>
      </c>
      <c r="DP40" s="190" t="b">
        <v>0</v>
      </c>
      <c r="DQ40" s="191" t="b">
        <v>0</v>
      </c>
      <c r="DR40" s="192" t="b">
        <v>0</v>
      </c>
      <c r="DS40" s="191" t="b">
        <v>0</v>
      </c>
      <c r="DT40" s="192" t="b">
        <v>0</v>
      </c>
      <c r="DU40" s="191" t="b">
        <v>0</v>
      </c>
      <c r="DV40" s="193" t="s">
        <v>1070</v>
      </c>
      <c r="DW40" s="194" t="b">
        <v>0</v>
      </c>
      <c r="DX40" s="194" t="b">
        <v>0</v>
      </c>
      <c r="DY40" s="195" t="b">
        <v>0</v>
      </c>
      <c r="DZ40" s="196" t="b">
        <v>0</v>
      </c>
      <c r="EA40" s="195" t="b">
        <v>0</v>
      </c>
      <c r="EB40" s="197" t="b">
        <v>0</v>
      </c>
      <c r="EC40" s="197" t="b">
        <v>0</v>
      </c>
      <c r="ED40" s="212" t="b">
        <v>0</v>
      </c>
      <c r="EE40" s="199">
        <f>IFERROR(__xludf.DUMMYFUNCTION("IFERROR(
   PRODUCT(
     MAP(
       INDEX(TRANSPOSE(UNIQUE(TRANSPOSE(FILTER({IF($F40=""Physical"", K$10:ED$10, IF($F40=""Magic"", K$11:ED$11, K$12:ED$12));K$4:ED$4;K40:ED40}, K40:ED40=TRUE)))), 1, 0),
       INDEX(TRANSPOSE(UNIQUE(TRANSPOSE(FILTER({IF($"&amp;"F40=""Physical"", K$18:ED$18, IF($F40=""Magic"", K$19:ED$19, K$20:ED$20));K$4:ED$4;K40:ED40}, K40:ED40=TRUE)))), 1, 0),
       INDEX(TRANSPOSE(UNIQUE(TRANSPOSE(FILTER({K$5:ED$5;K$4:ED$4;K40:ED40}, K40:ED40=TRUE)))), 1, 0),
       INDEX(TRANSPOSE(UNIQUE(TR"&amp;"ANSPOSE(FILTER({K$17:ED$17;K$4:ED$4;K40:ED40}, K40:ED40=TRUE)))), 1, 0),
       LAMBDA(
         mitigation,
         enhance,
         assign,
         precondition,
         IF(
           REGEXMATCH(assign, ""RANGE_PARTY|SINGLE_ENEMY|RANGE_ENEMY""),
  "&amp;"         IF(
             OR(ARRAYFORMULA((IF(precondition="""", FALSE, REGEXMATCH(K$4:ED$4, precondition))) * (K40:ED40=TRUE))),
             IF(ISNUMBER(enhance), enhance, 1),
             IF(ISNUMBER(mitigation), mitigation, 1)
           ),
          "&amp;" 1
         )
       )
     )
   ),
   1
 )"),1.0)</f>
        <v>1</v>
      </c>
      <c r="EF40" s="200">
        <f>IFERROR(__xludf.DUMMYFUNCTION("PRODUCT(
   MAP(
     K$14:ED$14,
     K$13:ED$13,
     K40:ED40,
     LAMBDA(
       buff,
       target,
       check,
       IF(
         AND(check=TRUE, REGEXMATCH(target, ""RANGE_AFFECTED_ALL|RANGE_EFFECTED_ALL""), ISNUMBER(buff)),
         buff,
   "&amp;"      1
       )
     )
   )
 )"),1.0)</f>
        <v>1</v>
      </c>
      <c r="EG40" s="200">
        <f>IFERROR(__xludf.DUMMYFUNCTION("PRODUCT(
   MAP(
     K$14:ED$14,
     K$13:ED$13,
     K40:ED40,
     LAMBDA(
       buff,
       target,
       check,
       IF(
         AND(check=TRUE, REGEXMATCH(target, ""RANGE_AFFECTED_GCD|RANGE_EFFECTED_GCD""), ISNUMBER(buff)),
         buff,
   "&amp;"      1
       )
     )
   )
 )"),1.0)</f>
        <v>1</v>
      </c>
      <c r="EH40" s="200">
        <f>IFERROR(__xludf.DUMMYFUNCTION("PRODUCT(
   MAP(
     K$3:ED$3,
     K$14:ED$14,
     K$13:ED$13,
     K40:ED40,
     LAMBDA(
       job,
       buff,
       target,
       check,
       IF(
         AND(check=TRUE, REGEXMATCH(target, ""SELF_EFFECTED_ALL""), ISNUMBER(buff), job=""白魔道士"""&amp;"),
         buff,
         1
       )
     )
   )
 )"),1.0)</f>
        <v>1</v>
      </c>
      <c r="EI40" s="200">
        <f>IFERROR(__xludf.DUMMYFUNCTION("PRODUCT(
   MAP(
     K$3:ED$3,
     K$14:ED$14,
     K$13:ED$13,
     K40:ED40,
     LAMBDA(
       job,
       buff,
       target,
       check,
       IF(
         AND(check=TRUE, REGEXMATCH(target, ""SELF_EFFECTED_GCD""), ISNUMBER(buff), job=""白魔道士"""&amp;"),
         buff,
         1
       )
     )
   )
 )"),1.0)</f>
        <v>1</v>
      </c>
      <c r="EJ40" s="200">
        <f>IFERROR(__xludf.DUMMYFUNCTION("PRODUCT(
   MAP(
     K$3:ED$3,
     K$14:ED$14,
     K$13:ED$13,
     K40:ED40,
     LAMBDA(
       job,
       buff,
       target,
       check,
       IF(
         AND(check=TRUE, REGEXMATCH(target, ""SELF_EFFECTED_ALL""), ISNUMBER(buff), job=""占星術師"""&amp;"),
         buff,
         1
       )
     )
   )
 )"),1.0)</f>
        <v>1</v>
      </c>
      <c r="EK40" s="200">
        <f>IFERROR(__xludf.DUMMYFUNCTION("PRODUCT(
   MAP(
     K$3:ED$3,
     K$14:ED$14,
     K$13:ED$13,
     K40:ED40,
     LAMBDA(
       job,
       buff,
       target,
       check,
       IF(
         AND(check=TRUE, REGEXMATCH(target, ""SELF_EFFECTED_GCD""), ISNUMBER(buff), job=""占星術師"""&amp;"),
         buff,
         1
       )
     )
   )
 )"),1.0)</f>
        <v>1</v>
      </c>
      <c r="EL40" s="200">
        <f>IFERROR(__xludf.DUMMYFUNCTION("PRODUCT(
   MAP(
     K$3:ED$3,
     K$14:ED$14,
     K$13:ED$13,
     K40:ED40,
     LAMBDA(
       job,
       buff,
       target,
       check,
       IF(
         AND(check=TRUE, REGEXMATCH(target, ""SELF_EFFECTED_ALL""), ISNUMBER(buff), job=""学者""),"&amp;"
         buff,
         1
       )
     )
   )
 )"),1.0)</f>
        <v>1</v>
      </c>
      <c r="EM40" s="200">
        <f>IFERROR(__xludf.DUMMYFUNCTION("PRODUCT(
   MAP(
     K$3:ED$3,
     K$14:ED$14,
     K$13:ED$13,
     K40:ED40,
     LAMBDA(
       job,
       buff,
       target,
       check,
       IF(
         AND(check=TRUE, REGEXMATCH(target, ""SELF_EFFECTED_GCD""), ISNUMBER(buff), job=""学者""),"&amp;"
         buff,
         1
       )
     )
   )
 )"),1.0)</f>
        <v>1</v>
      </c>
      <c r="EN40" s="200">
        <f>IFERROR(__xludf.DUMMYFUNCTION("PRODUCT(
   MAP(
     K$3:ED$3,
     K$14:ED$14,
     K$13:ED$13,
     K40:ED40,
     LAMBDA(
       job,
       buff,
       target,
       check,
       IF(
         AND(check=TRUE, REGEXMATCH(target, ""SELF_EFFECTED_ALL""), ISNUMBER(buff), job=""賢者""),"&amp;"
         buff,
         1
       )
     )
   )
 )"),1.0)</f>
        <v>1</v>
      </c>
      <c r="EO40" s="200">
        <f>IFERROR(__xludf.DUMMYFUNCTION("PRODUCT(
   MAP(
     K$3:ED$3,
     K$14:ED$14,
     K$13:ED$13,
     K40:ED40,
     LAMBDA(
       job,
       buff,
       target,
       check,
       IF(
         AND(check=TRUE, REGEXMATCH(target, ""SELF_EFFECTED_GCD""), ISNUMBER(buff), job=""賢者""),"&amp;"
         buff,
         1
       )
     )
   )
 )"),1.0)</f>
        <v>1</v>
      </c>
      <c r="EP40" s="201">
        <f t="shared" si="3"/>
        <v>0</v>
      </c>
      <c r="EQ40" s="201">
        <f>IFERROR(__xludf.DUMMYFUNCTION("SUM(
   MAP(
     K$4:ED$4,
     K$3:ED$3,
     K$7:ED$7,
     K$15:ED$15,
     K$16:ED$16,
     K$21:ED$21,
     K$5:ED$5,
     K$17:ED$17,
     K40:ED40,
     LAMBDA(
       name,
       job,
       abillity,
       buff,
       barrier,
       enhance,"&amp;"
       assign,
       precondition,
       check,
       SWITCH(
         name,
         ""シェイクオフ"", IF(check=TRUE, buff + (0.02 * COUNTIF(ARRAYFORMULA((REGEXMATCH($K$4:$ED$4, ""スリル・オブ・バトル|ヴェンジェンス|原初の血気|ダムネーション"")) * (K40:ED40=TRUE)), 1)), 0),
         "&amp;"""インプロビゼーションフィニッシュ(踊りの激情0)"", IF(ISNUMBER(check), INDEX(Skill!$AJ:$AJ, MATCH(SUBSTITUTE(DV$4, 0, check), Skill!$C:$C, 0)), 0),
         IF(
           AND(check=TRUE, REGEXMATCH(assign, ""RANGE_PARTY"")),
           IF(
             OR(ARRAYFORMULA((IF(pr"&amp;"econdition="""", FALSE, REGEXMATCH($K$4:$ED$4, precondition))) * (K40:ED40=TRUE))),
             enhance,
             IF(barrier="""", buff, barrier)
           ),
           0
         )
       ) *
       SWITCH(
         job,
         ""ナイト"", EY$24,
 "&amp;"        ""戦士"", FD$24,
         ""踊り子"", ET$24,
         ""ピクトマンサー"", ET$24,
         ""白魔道士"", EF40 * EH40 * IF(abillity, 1, EG40 * EI40) * (Option!$D$22 * 0.81 / 100),
         ""占星術師"", EF40 * EJ40 * IF(abillity, 1, EG40 * EK40) * (Option!$D$23 * 0.81 "&amp;"/ 100),
         ""学者"", EF40 * EL40 * IF(abillity, 1, EG40 * EM40) * (Option!$D$24 * 0.81 / 100),
         ""賢者"", EF40 * EN40 * IF(abillity, 1, EG40 * EO40) * (Option!$D$25 * 0.81 / 100),
         1
       )
     )
   )
 )"),0.0)</f>
        <v>0</v>
      </c>
      <c r="ER40" s="202">
        <f t="shared" si="4"/>
        <v>0</v>
      </c>
      <c r="ES40" s="203">
        <f t="shared" si="5"/>
        <v>0</v>
      </c>
      <c r="ET40" s="204" t="str">
        <f>IFERROR(__xludf.DUMMYFUNCTION("IFS(
  EP40 &gt; $ET$24 + EQ40,
  SPARKLINE({ 1, 0 }, {""charttype"",""bar"";""max"", 1;""color1"",Option!$D$30;""color2"",Option!$D$30}),
  EP40 &lt; EQ40,
  SPARKLINE({EQ40 - EP40, $ET$24 - (EQ40 - EP40)}, {""charttype"",""bar"";""max"",$ET$24;""color1"",Opti"&amp;"on!$D$28;""color2"",Option!$D$29}),
  EP40 &gt;= EQ40,
  SPARKLINE({$ET$24 + EQ40 - EP40,EP40 - EQ40}, {""charttype"",""bar"";""max"",$ET$24;""color1"",Option!$D$29;""color2"",Option!$D$30})
)"),"")</f>
        <v/>
      </c>
      <c r="EU40" s="205">
        <f>IFERROR(__xludf.DUMMYFUNCTION("PRODUCT(
   MAP(
     IF($F40=""Physical"", K$10:ED$10, IF($F40=""Magic"", K$11:ED$11, K$12:ED$12)),
     IF($F40=""Physical"", K$18:ED$18, IF($F40=""Magic"", K$19:ED$19, K$20:ED$20)),
     K$3:ED$3,
     K$5:ED$5,
     K$17:ED$17,
     K40:ED40,
     LAM"&amp;"BDA(
       mitigation,
       enhance,
       job,
       assign,
       precondition,
       check,
       IF(
         OR(AND(check=TRUE, REGEXMATCH(assign, ""SELF""), job=""ナイト""), AND(check=Option!$E$13, REGEXMATCH(assign, ""SINGLE_PARTY""))),
      "&amp;"   IF(
           OR(ARRAYFORMULA((IF(precondition="""", FALSE, REGEXMATCH($K$4:$ED$4, precondition))) * (K40:ED40=TRUE))),
           enhance,
           mitigation
         ),
         1
       )
     )
   )
 ) * EE40"),1.0)</f>
        <v>1</v>
      </c>
      <c r="EV40" s="206">
        <f t="shared" si="6"/>
        <v>0</v>
      </c>
      <c r="EW40" s="205">
        <f>IFERROR(__xludf.DUMMYFUNCTION("PRODUCT(
   MAP(
     K$3:ED$3,
     K$14:ED$14,
     K$13:ED$13,
     K40:ED40,
     LAMBDA(
       job,
       buff,
       target,
       check,
       IF(
         OR(AND(check=TRUE, REGEXMATCH(target, ""SELF_AFFECTED_ALL""), job=""ナイト""), AND(check=O"&amp;"ption!$E$13, REGEXMATCH(target, ""SINGLE_AFFECTED_ALL""))),
         buff,
         1
       )
     )
   )
 )"),1.0)</f>
        <v>1</v>
      </c>
      <c r="EX40" s="206">
        <f>IFERROR(__xludf.DUMMYFUNCTION("SUM(
   MAP(
     K$3:ED$3,
     K$7:ED$7,
     K$15:ED$15,
     K$16:ED$16,
     K$21:ED$21,
     K$5:ED$5,
     K$17:ED$17,
     K40:ED40,
     LAMBDA(
       job,
       abillity,
       buff,
       barrier,
       enhance,
       assign,
       preco"&amp;"ndition,
       check,
       IF(
         OR(AND(check=TRUE, REGEXMATCH(assign, ""SELF""), job=""ナイト""), AND(check=Option!$E$13, REGEXMATCH(assign, ""SINGLE_PARTY""))),
         IF(
           OR(ARRAYFORMULA((IF(precondition="""", FALSE, REGEXMATCH($K$4"&amp;":$ED$4, precondition))) * (K40:ED40=TRUE))),
           enhance,
           IF(barrier="""", buff, barrier)
         ),
         0
       ) *
       SWITCH(
         job,
         ""暗黒騎士"", EY$24,
         ""白魔道士"", EF40 * EH40 * EW40 * IF(abillity, 1, EG"&amp;"40 * EI40) * (Option!$D$22 * 0.81 / 100),
         ""占星術師"", EF40 * EJ40 * EW40 * IF(abillity, 1, EG40 * EK40) * (Option!$D$23 * 0.81 / 100),
         ""学者"", EF40 * EL40 * EW40 * IF(abillity, 1, EG40 * EM40) * (Option!$D$24 * 0.81 / 100),
         ""賢者"""&amp;", EF40 * EN40 * EW40 * IF(abillity, 1, EG40 * EO40) * (Option!$D$25 * 0.81 / 100),
         1
       )
     )
   )
 ) + EQ40"),0.0)</f>
        <v>0</v>
      </c>
      <c r="EY40" s="206">
        <f t="shared" si="7"/>
        <v>0</v>
      </c>
      <c r="EZ40" s="205">
        <f>IFERROR(__xludf.DUMMYFUNCTION("PRODUCT(
   MAP(
     IF($F40=""Physical"", K$10:ED$10, IF($F40=""Magic"", K$11:ED$11, K$12:ED$12)),
     IF($F40=""Physical"", K$18:ED$18, IF($F40=""Magic"", K$19:ED$19, K$20:ED$20)),
     K$3:ED$3,
     K$5:ED$5,
     K$17:ED$17,
     K40:ED40,
     LAM"&amp;"BDA(
       mitigation,
       enhance,
       job,
       assign,
       precondition,
       check,
       IF(
         OR(AND(check=TRUE, REGEXMATCH(assign, ""SELF""), job=""戦士""), AND(check=Option!$F$13, REGEXMATCH(assign, ""SINGLE_PARTY""))),
       "&amp;"  IF(
           OR(ARRAYFORMULA((IF(precondition="""", FALSE, REGEXMATCH($K$4:$ED$4, precondition))) * (K40:ED40=TRUE))),
           enhance,
           mitigation
         ),
         1
       )
     )
   )
 ) * EE40"),1.0)</f>
        <v>1</v>
      </c>
      <c r="FA40" s="206">
        <f t="shared" si="8"/>
        <v>0</v>
      </c>
      <c r="FB40" s="205">
        <f>IFERROR(__xludf.DUMMYFUNCTION("PRODUCT(
   MAP(
     K$3:ED$3,
     K$14:ED$14,
     K$13:ED$13,
     K40:ED40,
     LAMBDA(
       job,
       buff,
       target,
       check,
       IF(
         OR(AND(check=TRUE, REGEXMATCH(target, ""SELF_AFFECTED_ALL""), job=""戦士""), AND(check=Op"&amp;"tion!$F$13, REGEXMATCH(target, ""SINGLE_AFFECTED_ALL""))),
         buff,
         1
       )
     )
   )
 )"),1.0)</f>
        <v>1</v>
      </c>
      <c r="FC40" s="206">
        <f>IFERROR(__xludf.DUMMYFUNCTION("SUM(
   MAP(
     K$3:ED$3,
     K$7:ED$7,
     K$15:ED$15,
     K$16:ED$16,
     K$21:ED$21,
     K$5:ED$5,
     K$17:ED$17,
     K40:ED40,
     LAMBDA(
       job,
       abillity,
       buff,
       barrier,
       enhance,
       assign,
       preco"&amp;"ndition,
       check,
       IF(
         OR(AND(check=TRUE, REGEXMATCH(assign, ""SELF""), job=""戦士""), AND(check=Option!$F$13, REGEXMATCH(assign, ""SINGLE_PARTY""))),
         IF(
           OR(ARRAYFORMULA((IF(precondition="""", FALSE, REGEXMATCH($K$4:"&amp;"$ED$4, precondition))) * (K40:ED40=TRUE))),
           enhance,
           IF(barrier="""", buff, barrier)
         ),
         0
       ) *
       SWITCH(
         job,
         ""暗黒騎士"", FD$24,
         ""白魔道士"", EF40 * EH40 * FB40 * IF(abillity, 1, EG4"&amp;"0 * EI40) * (Option!$D$22 * 0.81 / 100),
         ""占星術師"", EF40 * EJ40 * FFB40 * IF(abillity, 1, EG40 * EK40) * (Option!$D$23 * 0.81 / 100),
         ""学者"", EF40 * EL40 * FB40 * IF(abillity, 1, EG40 * EM40) * (Option!$D$24 * 0.81 / 100),
         ""賢者"""&amp;", EF40 * EN40 * FB40 * IF(abillity, 1, EG40 * EO40) * (Option!$D$25 * 0.81 / 100),
         1
       )
     )
   )
 ) + EQ40"),0.0)</f>
        <v>0</v>
      </c>
      <c r="FD40" s="206">
        <f t="shared" si="9"/>
        <v>0</v>
      </c>
      <c r="FE40" s="205">
        <f>IFERROR(__xludf.DUMMYFUNCTION("PRODUCT(
   MAP(
     IF($F40=""Physical"", K$10:ED$10, IF($F40=""Magic"", K$11:ED$11, K$12:ED$12)),
     IF($F40=""Physical"", K$18:ED$18, IF($F40=""Magic"", K$19:ED$19, K$20:ED$20)),
     K$3:ED$3,
     K$5:ED$5,
     K$17:ED$17,
     K40:ED40,
     LAM"&amp;"BDA(
       mitigation,
       enhance,
       job,
       assign,
       precondition,
       check,
       IF(
         OR(AND(check=TRUE, REGEXMATCH(assign, ""SELF""), job=""暗黒騎士""), AND(check=Option!$G$13, REGEXMATCH(assign, ""SINGLE_PARTY""))),
     "&amp;"    IF(
           OR(ARRAYFORMULA((IF(precondition="""", FALSE, REGEXMATCH($K$4:$ED$4, precondition))) * (K40:ED40=TRUE))),
           enhance,
           mitigation
         ),
         1
       )
     )
   )
 ) * EE40"),1.0)</f>
        <v>1</v>
      </c>
      <c r="FF40" s="206">
        <f t="shared" si="10"/>
        <v>0</v>
      </c>
      <c r="FG40" s="205">
        <f>IFERROR(__xludf.DUMMYFUNCTION("PRODUCT(
   MAP(
     K$3:ED$3,
     K$14:ED$14,
     K$13:ED$13,
     K40:ED40,
     LAMBDA(
       job,
       buff,
       target,
       check,
       IF(
         OR(AND(check=TRUE, REGEXMATCH(target, ""SELF_AFFECTED_ALL""), job=""暗黒騎士""), AND(check="&amp;"Option!$G$13, REGEXMATCH(target, ""SINGLE_AFFECTED_ALL""))),
         buff,
         1
       )
     )
   )
 )"),1.0)</f>
        <v>1</v>
      </c>
      <c r="FH40" s="206">
        <f>IFERROR(__xludf.DUMMYFUNCTION("SUM(
   MAP(
     K$3:ED$3,
     K$7:ED$7,
     K$15:ED$15,
     K$16:ED$16,
     K$21:ED$21,
     K$5:ED$5,
     K$17:ED$17,
     K40:ED40,
     LAMBDA(
       job,
       abillity,
       buff,
       barrier,
       enhance,
       assign,
       preco"&amp;"ndition,
       check,
       IF(
         OR(AND(check=TRUE, REGEXMATCH(assign, ""SELF""), job=""暗黒騎士""), AND(check=Option!$G$13, REGEXMATCH(assign, ""SINGLE_PARTY""))),
         IF(
           OR(ARRAYFORMULA((IF(precondition="""", FALSE, REGEXMATCH($K$"&amp;"4:$ED$4, precondition))) * (K40:ED40=TRUE))),
           enhance,
           IF(barrier="""", buff, barrier)
         ),
         0
       ) *
       SWITCH(
         job,
         ""暗黒騎士"", FI$24,
         ""白魔道士"", EF40 * EH40 * FG40 * IF(abillity, 1, E"&amp;"G40 * EI40) * (Option!$D$22 * 0.81 / 100),
         ""占星術師"", EF40 * EJ40 * FG40 * IF(abillity, 1, EG40 * EK40) * (Option!$D$23 * 0.81 / 100),
         ""学者"", EF40 * EL40 * FG40 * IF(abillity, 1, EG40 * EM40) * (Option!$D$24 * 0.81 / 100),
         ""賢者"&amp;""", EF40 * EN40 * FG40 * IF(abillity, 1, EG40 * EO40) * (Option!$D$25 * 0.81 / 100),
         1
       )
     )
   )
 ) + EQ40"),0.0)</f>
        <v>0</v>
      </c>
      <c r="FI40" s="206">
        <f t="shared" si="11"/>
        <v>0</v>
      </c>
      <c r="FJ40" s="205">
        <f>IFERROR(__xludf.DUMMYFUNCTION("PRODUCT(
   MAP(
     IF($F40=""Physical"", K$10:ED$10, IF($F40=""Magic"", K$11:ED$11, K$12:ED$12)),
     IF($F40=""Physical"", K$18:ED$18, IF($F40=""Magic"", K$19:ED$19, K$20:ED$20)),
     K$3:ED$3,
     K$5:ED$5,
     K$17:ED$17,
     K40:ED40,
     LAM"&amp;"BDA(
       mitigation,
       enhance,
       job,
       assign,
       precondition,
       check,
       IF(
         OR(AND(check=TRUE, REGEXMATCH(assign, ""SELF""), job=""ガンブレイカー""), AND(check=Option!$H$13, REGEXMATCH(assign, ""SINGLE_PARTY""))),
  "&amp;"       IF(
           OR(ARRAYFORMULA((IF(precondition="""", FALSE, REGEXMATCH($K$4:$ED$4, precondition))) * (K40:ED40=TRUE))),
           enhance,
           mitigation
         ),
         1
       )
     )
   )
 ) * EE40"),1.0)</f>
        <v>1</v>
      </c>
      <c r="FK40" s="206">
        <f t="shared" si="12"/>
        <v>0</v>
      </c>
      <c r="FL40" s="205">
        <f>IFERROR(__xludf.DUMMYFUNCTION("PRODUCT(
   MAP(
     K$3:ED$3,
     K$14:ED$14,
     K$13:ED$13,
     K40:ED40,
     LAMBDA(
       job,
       buff,
       target,
       check,
       IF(
         OR(AND(check=TRUE, REGEXMATCH(target, ""SELF_AFFECTED_ALL""), job=""ガンブレイカー""), AND(che"&amp;"ck=Option!$H$13, REGEXMATCH(target, ""SINGLE_AFFECTED_ALL""))),
         buff,
         1
       )
     )
   )
 )"),1.0)</f>
        <v>1</v>
      </c>
      <c r="FM40" s="206">
        <f>IFERROR(__xludf.DUMMYFUNCTION("SUM(
   MAP(
     K$3:ED$3,
     K$7:ED$7,
     K$15:ED$15,
     K$16:ED$16,
     K$21:ED$21,
     K$5:ED$5,
     K$17:ED$17,
     K40:ED40,
     LAMBDA(
       job,
       abillity,
       buff,
       barrier,
       enhance,
       assign,
       preco"&amp;"ndition,
       check,
       IF(
         OR(AND(check=TRUE, REGEXMATCH(assign, ""SELF""), job=""ガンブレイカー""), AND(check=Option!$H$13, REGEXMATCH(assign, ""SINGLE_PARTY""))),
         IF(
           OR(ARRAYFORMULA((IF(precondition="""", FALSE, REGEXMATCH("&amp;"$K$4:$ED$4, precondition))) * (K40:ED40=TRUE))),
           enhance,
           IF(barrier="""", buff, barrier)
         ),
         0
       ) *
       SWITCH(
         job,
         ""暗黒騎士"", FN$24,
         ""白魔道士"", EF40 * EH40 * FL40 * IF(abillity, 1"&amp;", EG40 * EI40) * (Option!$D$22 * 0.81 / 100),
         ""占星術師"", EF40 * EJ40 * FL40 * IF(abillity, 1, EG40 * EK40) * (Option!$D$23 * 0.81 / 100),
         ""学者"", EF40 * EL40 * FL40 * IF(abillity, 1, EG40 * EM40) * (Option!$D$24 * 0.81 / 100),
         """&amp;"賢者"", EF40 * EN40 * FL40 * IF(abillity, 1, EG40 * EO40) * (Option!$D$25 * 0.81 / 100),
         1
       )
     )
   )
 ) + EQ40"),0.0)</f>
        <v>0</v>
      </c>
      <c r="FN40" s="206">
        <f t="shared" si="13"/>
        <v>0</v>
      </c>
      <c r="FO40" s="213"/>
    </row>
    <row r="41">
      <c r="B41" s="229"/>
      <c r="C41" s="217">
        <f t="shared" si="1"/>
        <v>0</v>
      </c>
      <c r="D41" s="236"/>
      <c r="E41" s="219"/>
      <c r="F41" s="167"/>
      <c r="G41" s="168" t="str">
        <f t="shared" si="2"/>
        <v/>
      </c>
      <c r="H41" s="169"/>
      <c r="I41" s="169"/>
      <c r="J41" s="169"/>
      <c r="K41" s="170" t="b">
        <v>0</v>
      </c>
      <c r="L41" s="170" t="b">
        <v>0</v>
      </c>
      <c r="M41" s="170" t="b">
        <v>0</v>
      </c>
      <c r="N41" s="171" t="s">
        <v>1070</v>
      </c>
      <c r="O41" s="172" t="b">
        <v>0</v>
      </c>
      <c r="P41" s="173" t="b">
        <v>0</v>
      </c>
      <c r="Q41" s="173" t="b">
        <v>0</v>
      </c>
      <c r="R41" s="173" t="b">
        <v>0</v>
      </c>
      <c r="S41" s="174" t="b">
        <v>0</v>
      </c>
      <c r="T41" s="175" t="b">
        <v>0</v>
      </c>
      <c r="U41" s="173" t="b">
        <v>0</v>
      </c>
      <c r="V41" s="171" t="s">
        <v>1070</v>
      </c>
      <c r="W41" s="172" t="b">
        <v>0</v>
      </c>
      <c r="X41" s="173" t="b">
        <v>0</v>
      </c>
      <c r="Y41" s="173" t="b">
        <v>0</v>
      </c>
      <c r="Z41" s="173" t="b">
        <v>0</v>
      </c>
      <c r="AA41" s="174" t="b">
        <v>0</v>
      </c>
      <c r="AB41" s="174" t="b">
        <v>0</v>
      </c>
      <c r="AC41" s="175" t="b">
        <v>0</v>
      </c>
      <c r="AD41" s="173" t="b">
        <v>0</v>
      </c>
      <c r="AE41" s="176" t="s">
        <v>1070</v>
      </c>
      <c r="AF41" s="171" t="s">
        <v>1070</v>
      </c>
      <c r="AG41" s="177">
        <f>IFERROR(__xludf.DUMMYFUNCTION("IF(
  ISNUMBER(AG40),
  MIN(MAX(
    AG40
    + MAX(
      ROUNDDOWN(($D41 - MAX(IFERROR(FILTER($D$24:$D40, AG$24:AG40 &lt;&gt; AF$6, AG$23:AG39 = AF$6), 0))) * (60 * 60 * 24) / AF$9) - ROUNDDOWN(($D40 - MAX(IFERROR(FILTER($D$23:$D39, AG$23:AG39 &lt;&gt; AF$6, AG$22:"&amp;"AG38 = AF$6), 0))) * (60 * 60 * 24) / 60),
      0
    )
    - COUNTIF(AF41, ""&lt;&gt;-""),
  0), AF$6),
  AF$6 - COUNTIF(AF41, ""&lt;&gt;-"")
)"),2.0)</f>
        <v>2</v>
      </c>
      <c r="AH41" s="173" t="b">
        <v>0</v>
      </c>
      <c r="AI41" s="173" t="b">
        <v>0</v>
      </c>
      <c r="AJ41" s="173" t="b">
        <v>0</v>
      </c>
      <c r="AK41" s="174" t="b">
        <v>0</v>
      </c>
      <c r="AL41" s="175" t="b">
        <v>0</v>
      </c>
      <c r="AM41" s="173" t="b">
        <v>0</v>
      </c>
      <c r="AN41" s="171" t="s">
        <v>1070</v>
      </c>
      <c r="AO41" s="173" t="b">
        <v>0</v>
      </c>
      <c r="AP41" s="173" t="b">
        <v>0</v>
      </c>
      <c r="AQ41" s="173" t="b">
        <v>0</v>
      </c>
      <c r="AR41" s="174" t="b">
        <v>0</v>
      </c>
      <c r="AS41" s="178" t="b">
        <v>0</v>
      </c>
      <c r="AT41" s="179" t="b">
        <v>0</v>
      </c>
      <c r="AU41" s="180" t="b">
        <v>0</v>
      </c>
      <c r="AV41" s="180" t="b">
        <v>0</v>
      </c>
      <c r="AW41" s="180" t="b">
        <v>0</v>
      </c>
      <c r="AX41" s="180" t="b">
        <v>0</v>
      </c>
      <c r="AY41" s="181" t="s">
        <v>1070</v>
      </c>
      <c r="AZ41" s="181" t="s">
        <v>1070</v>
      </c>
      <c r="BA41" s="184">
        <f>IFERROR(__xludf.DUMMYFUNCTION("IF(
  ISNUMBER(BA40),
  MIN(MAX(
    BA40
    + MAX(
      ROUNDDOWN((D41 - MAX(IFERROR(FILTER(D$24:D40, BA$24:BA40 &lt;&gt; AZ$6, BA$23:BA39 = AZ$6), 0))) * (60 * 60 * 24) / AZ$9) - ROUNDDOWN((D40 - MAX(IFERROR(FILTER(D$23:D39, BA$23:BA39 &lt;&gt; AZ$6, BA$22:BA38 ="&amp;" AZ$6), 0))) * (60 * 60 * 24) / AZ$9),
      0
    )
    - COUNTIF(AZ41, ""&lt;&gt;-""),
  0), AZ$6),
  AZ$6 - COUNTIF(AZ41, ""&lt;&gt;-"")
)"),2.0)</f>
        <v>2</v>
      </c>
      <c r="BB41" s="181" t="s">
        <v>1070</v>
      </c>
      <c r="BC41" s="183">
        <f>IFERROR(__xludf.DUMMYFUNCTION("IF(
  ISNUMBER(BC40),
  MIN(MAX(
    BC40
    + MAX(
      ROUNDDOWN(($D41 - MAX(IFERROR(FILTER($D$24:$D40, BC$24:BC40 &lt;&gt; BB$6, BC$23:BC39 = BB$6), 0))) * (60 * 60 * 24) / BB$9) - ROUNDDOWN(($D40 - MAX(IFERROR(FILTER($D$23:$D39, BC$23:BC39 &lt;&gt; BB$6, BC$22:"&amp;"BC38 = BB$6), 0))) * (60 * 60 * 24) / 60),
      0
    )
    - COUNTIF(BB41, ""&lt;&gt;-""),
  0), BB$6),
  BB$6 - COUNTIF(BB41, ""&lt;&gt;-"")
)"),2.0)</f>
        <v>2</v>
      </c>
      <c r="BD41" s="181" t="s">
        <v>1070</v>
      </c>
      <c r="BE41" s="178" t="b">
        <v>0</v>
      </c>
      <c r="BF41" s="180" t="b">
        <v>0</v>
      </c>
      <c r="BG41" s="180" t="b">
        <v>0</v>
      </c>
      <c r="BH41" s="180" t="b">
        <v>0</v>
      </c>
      <c r="BI41" s="180" t="b">
        <v>0</v>
      </c>
      <c r="BJ41" s="180" t="b">
        <v>0</v>
      </c>
      <c r="BK41" s="180" t="b">
        <v>0</v>
      </c>
      <c r="BL41" s="180" t="b">
        <v>0</v>
      </c>
      <c r="BM41" s="180" t="b">
        <v>0</v>
      </c>
      <c r="BN41" s="180" t="b">
        <v>0</v>
      </c>
      <c r="BO41" s="181" t="s">
        <v>1070</v>
      </c>
      <c r="BP41" s="181" t="s">
        <v>1070</v>
      </c>
      <c r="BQ41" s="181" t="s">
        <v>1070</v>
      </c>
      <c r="BR41" s="181" t="s">
        <v>1070</v>
      </c>
      <c r="BS41" s="181" t="s">
        <v>1070</v>
      </c>
      <c r="BT41" s="184">
        <f>IFERROR(__xludf.DUMMYFUNCTION("IF(
  ISNUMBER(BT40),
  MIN(MAX(
    BT40
    + MAX(
      ROUNDDOWN((D41 - MAX(IFERROR(FILTER(D$24:D40, BT$24:BT40 &lt;&gt; BS$6, BT$23:BT39 = BS$6), 0))) * (60 * 60 * 24) / BS$9) - ROUNDDOWN((D40 - MAX(IFERROR(FILTER(D$23:D39, BT$23:BT39 &lt;&gt; BS$6, BT$22:BT38 ="&amp;" BS$6), 0))) * (60 * 60 * 24) / BS$9),
      0
    )
    - COUNTIF(BS41, ""&lt;&gt;-""),
  0), BS$6),
  BS$6 - COUNTIF(BS41, ""&lt;&gt;-"")
)"),3.0)</f>
        <v>3</v>
      </c>
      <c r="BU41" s="181" t="s">
        <v>1070</v>
      </c>
      <c r="BV41" s="181" t="s">
        <v>1070</v>
      </c>
      <c r="BW41" s="184">
        <f>IFERROR(__xludf.DUMMYFUNCTION("IF(
  ISNUMBER(BW40),
  MIN(MAX(
    BW40
    + MAX(
      ROUNDDOWN((D41 - MAX(IFERROR(FILTER(D$24:D40, BW$24:BW40 &lt;&gt; BV$6, BW$23:BW39 = BV$6), 0))) * (60 * 60 * 24) / BV$9) - ROUNDDOWN((D40 - MAX(IFERROR(FILTER(D$23:D39, BW$23:BW39 &lt;&gt; BV$6, BW$22:BW38 ="&amp;" BV$6), 0))) * (60 * 60 * 24) / BV$9),
      0
    )
    - COUNTIF(BV41, ""&lt;&gt;-""),
  0), BV$6),
  BV$6 - COUNTIF(BV41, ""&lt;&gt;-"")
)"),2.0)</f>
        <v>2</v>
      </c>
      <c r="BX41" s="185" t="s">
        <v>1070</v>
      </c>
      <c r="BY41" s="178" t="b">
        <v>0</v>
      </c>
      <c r="BZ41" s="180" t="b">
        <v>0</v>
      </c>
      <c r="CA41" s="180" t="b">
        <v>0</v>
      </c>
      <c r="CB41" s="180" t="b">
        <v>0</v>
      </c>
      <c r="CC41" s="180" t="b">
        <v>0</v>
      </c>
      <c r="CD41" s="180" t="b">
        <v>0</v>
      </c>
      <c r="CE41" s="180" t="b">
        <v>0</v>
      </c>
      <c r="CF41" s="180" t="b">
        <v>0</v>
      </c>
      <c r="CG41" s="180" t="b">
        <v>0</v>
      </c>
      <c r="CH41" s="180" t="b">
        <v>0</v>
      </c>
      <c r="CI41" s="180" t="b">
        <v>0</v>
      </c>
      <c r="CJ41" s="180" t="b">
        <v>0</v>
      </c>
      <c r="CK41" s="180" t="b">
        <v>0</v>
      </c>
      <c r="CL41" s="180" t="b">
        <v>0</v>
      </c>
      <c r="CM41" s="181" t="s">
        <v>1070</v>
      </c>
      <c r="CN41" s="181" t="s">
        <v>1070</v>
      </c>
      <c r="CO41" s="181" t="s">
        <v>1070</v>
      </c>
      <c r="CP41" s="181" t="s">
        <v>1070</v>
      </c>
      <c r="CQ41" s="185" t="s">
        <v>1070</v>
      </c>
      <c r="CR41" s="180" t="b">
        <v>0</v>
      </c>
      <c r="CS41" s="186" t="str">
        <f t="shared" si="14"/>
        <v>◇◇◇</v>
      </c>
      <c r="CT41" s="178" t="b">
        <v>0</v>
      </c>
      <c r="CU41" s="180" t="b">
        <v>0</v>
      </c>
      <c r="CV41" s="180" t="b">
        <v>0</v>
      </c>
      <c r="CW41" s="180" t="b">
        <v>0</v>
      </c>
      <c r="CX41" s="180" t="b">
        <v>0</v>
      </c>
      <c r="CY41" s="180" t="b">
        <v>0</v>
      </c>
      <c r="CZ41" s="180" t="b">
        <v>0</v>
      </c>
      <c r="DA41" s="180" t="b">
        <v>0</v>
      </c>
      <c r="DB41" s="180" t="b">
        <v>0</v>
      </c>
      <c r="DC41" s="180" t="b">
        <v>0</v>
      </c>
      <c r="DD41" s="181" t="s">
        <v>1070</v>
      </c>
      <c r="DE41" s="181" t="s">
        <v>1070</v>
      </c>
      <c r="DF41" s="181" t="s">
        <v>1070</v>
      </c>
      <c r="DG41" s="185" t="s">
        <v>1070</v>
      </c>
      <c r="DH41" s="180" t="b">
        <v>0</v>
      </c>
      <c r="DI41" s="187" t="str">
        <f>IFERROR(__xludf.DUMMYFUNCTION("SWITCH(
  IF(
    ISTEXT(DI40),
    IF (
      FIND(""○"", DI40&amp;""○"") &gt; 3,
      3,
      FIND(""○"", DI40&amp;""○"")
      + MAX(
        ROUNDDOWN(($D41 - MAX(IFERROR(FILTER(D$24:D40, DI$24:DI40 &lt;&gt; ""●●●"", DI$23:DI39 = ""●●●""), 0))) * (60 * 60 * 24) / 20"&amp;") - ROUNDDOWN(($D40 - MAX(IFERROR(FILTER(D$23:D39, DI$23:DI39 &lt;&gt; ""●●●"", DI$22:DI38 = ""●●●""), 0))) * (60 * 60 * 24) / 20),
        0
      ) - 1
    ) - COUNTIFS(CU41, ""=TRUE"", CU40, ""&lt;&gt;TRUE"") - COUNTIF(CZ41, ""=TRUE"") - COUNTIF({DD41,DE41}, ""&lt;&gt;-"&amp;""") + COUNTIF(DH41, ""=TRUE""),
    3
  ),
  0, ""○○○"", 1, ""●○○"", 2, ""●●○"", 3, ""●●●"", 4, ""●●●"", ""○○○""
)"),"●●●")</f>
        <v>●●●</v>
      </c>
      <c r="DJ41" s="188" t="b">
        <v>0</v>
      </c>
      <c r="DK41" s="189" t="b">
        <v>0</v>
      </c>
      <c r="DL41" s="190" t="b">
        <v>0</v>
      </c>
      <c r="DM41" s="190" t="b">
        <v>0</v>
      </c>
      <c r="DN41" s="190" t="b">
        <v>0</v>
      </c>
      <c r="DO41" s="190" t="b">
        <v>0</v>
      </c>
      <c r="DP41" s="190" t="b">
        <v>0</v>
      </c>
      <c r="DQ41" s="191" t="b">
        <v>0</v>
      </c>
      <c r="DR41" s="192" t="b">
        <v>0</v>
      </c>
      <c r="DS41" s="191" t="b">
        <v>0</v>
      </c>
      <c r="DT41" s="192" t="b">
        <v>0</v>
      </c>
      <c r="DU41" s="191" t="b">
        <v>0</v>
      </c>
      <c r="DV41" s="193" t="s">
        <v>1070</v>
      </c>
      <c r="DW41" s="194" t="b">
        <v>0</v>
      </c>
      <c r="DX41" s="194" t="b">
        <v>0</v>
      </c>
      <c r="DY41" s="195" t="b">
        <v>0</v>
      </c>
      <c r="DZ41" s="196" t="b">
        <v>0</v>
      </c>
      <c r="EA41" s="195" t="b">
        <v>0</v>
      </c>
      <c r="EB41" s="197" t="b">
        <v>0</v>
      </c>
      <c r="EC41" s="197" t="b">
        <v>0</v>
      </c>
      <c r="ED41" s="212" t="b">
        <v>0</v>
      </c>
      <c r="EE41" s="199">
        <f>IFERROR(__xludf.DUMMYFUNCTION("IFERROR(
   PRODUCT(
     MAP(
       INDEX(TRANSPOSE(UNIQUE(TRANSPOSE(FILTER({IF($F41=""Physical"", K$10:ED$10, IF($F41=""Magic"", K$11:ED$11, K$12:ED$12));K$4:ED$4;K41:ED41}, K41:ED41=TRUE)))), 1, 0),
       INDEX(TRANSPOSE(UNIQUE(TRANSPOSE(FILTER({IF($"&amp;"F41=""Physical"", K$18:ED$18, IF($F41=""Magic"", K$19:ED$19, K$20:ED$20));K$4:ED$4;K41:ED41}, K41:ED41=TRUE)))), 1, 0),
       INDEX(TRANSPOSE(UNIQUE(TRANSPOSE(FILTER({K$5:ED$5;K$4:ED$4;K41:ED41}, K41:ED41=TRUE)))), 1, 0),
       INDEX(TRANSPOSE(UNIQUE(TR"&amp;"ANSPOSE(FILTER({K$17:ED$17;K$4:ED$4;K41:ED41}, K41:ED41=TRUE)))), 1, 0),
       LAMBDA(
         mitigation,
         enhance,
         assign,
         precondition,
         IF(
           REGEXMATCH(assign, ""RANGE_PARTY|SINGLE_ENEMY|RANGE_ENEMY""),
  "&amp;"         IF(
             OR(ARRAYFORMULA((IF(precondition="""", FALSE, REGEXMATCH(K$4:ED$4, precondition))) * (K41:ED41=TRUE))),
             IF(ISNUMBER(enhance), enhance, 1),
             IF(ISNUMBER(mitigation), mitigation, 1)
           ),
          "&amp;" 1
         )
       )
     )
   ),
   1
 )"),1.0)</f>
        <v>1</v>
      </c>
      <c r="EF41" s="200">
        <f>IFERROR(__xludf.DUMMYFUNCTION("PRODUCT(
   MAP(
     K$14:ED$14,
     K$13:ED$13,
     K41:ED41,
     LAMBDA(
       buff,
       target,
       check,
       IF(
         AND(check=TRUE, REGEXMATCH(target, ""RANGE_AFFECTED_ALL|RANGE_EFFECTED_ALL""), ISNUMBER(buff)),
         buff,
   "&amp;"      1
       )
     )
   )
 )"),1.0)</f>
        <v>1</v>
      </c>
      <c r="EG41" s="200">
        <f>IFERROR(__xludf.DUMMYFUNCTION("PRODUCT(
   MAP(
     K$14:ED$14,
     K$13:ED$13,
     K41:ED41,
     LAMBDA(
       buff,
       target,
       check,
       IF(
         AND(check=TRUE, REGEXMATCH(target, ""RANGE_AFFECTED_GCD|RANGE_EFFECTED_GCD""), ISNUMBER(buff)),
         buff,
   "&amp;"      1
       )
     )
   )
 )"),1.0)</f>
        <v>1</v>
      </c>
      <c r="EH41" s="200">
        <f>IFERROR(__xludf.DUMMYFUNCTION("PRODUCT(
   MAP(
     K$3:ED$3,
     K$14:ED$14,
     K$13:ED$13,
     K41:ED41,
     LAMBDA(
       job,
       buff,
       target,
       check,
       IF(
         AND(check=TRUE, REGEXMATCH(target, ""SELF_EFFECTED_ALL""), ISNUMBER(buff), job=""白魔道士"""&amp;"),
         buff,
         1
       )
     )
   )
 )"),1.0)</f>
        <v>1</v>
      </c>
      <c r="EI41" s="200">
        <f>IFERROR(__xludf.DUMMYFUNCTION("PRODUCT(
   MAP(
     K$3:ED$3,
     K$14:ED$14,
     K$13:ED$13,
     K41:ED41,
     LAMBDA(
       job,
       buff,
       target,
       check,
       IF(
         AND(check=TRUE, REGEXMATCH(target, ""SELF_EFFECTED_GCD""), ISNUMBER(buff), job=""白魔道士"""&amp;"),
         buff,
         1
       )
     )
   )
 )"),1.0)</f>
        <v>1</v>
      </c>
      <c r="EJ41" s="200">
        <f>IFERROR(__xludf.DUMMYFUNCTION("PRODUCT(
   MAP(
     K$3:ED$3,
     K$14:ED$14,
     K$13:ED$13,
     K41:ED41,
     LAMBDA(
       job,
       buff,
       target,
       check,
       IF(
         AND(check=TRUE, REGEXMATCH(target, ""SELF_EFFECTED_ALL""), ISNUMBER(buff), job=""占星術師"""&amp;"),
         buff,
         1
       )
     )
   )
 )"),1.0)</f>
        <v>1</v>
      </c>
      <c r="EK41" s="200">
        <f>IFERROR(__xludf.DUMMYFUNCTION("PRODUCT(
   MAP(
     K$3:ED$3,
     K$14:ED$14,
     K$13:ED$13,
     K41:ED41,
     LAMBDA(
       job,
       buff,
       target,
       check,
       IF(
         AND(check=TRUE, REGEXMATCH(target, ""SELF_EFFECTED_GCD""), ISNUMBER(buff), job=""占星術師"""&amp;"),
         buff,
         1
       )
     )
   )
 )"),1.0)</f>
        <v>1</v>
      </c>
      <c r="EL41" s="200">
        <f>IFERROR(__xludf.DUMMYFUNCTION("PRODUCT(
   MAP(
     K$3:ED$3,
     K$14:ED$14,
     K$13:ED$13,
     K41:ED41,
     LAMBDA(
       job,
       buff,
       target,
       check,
       IF(
         AND(check=TRUE, REGEXMATCH(target, ""SELF_EFFECTED_ALL""), ISNUMBER(buff), job=""学者""),"&amp;"
         buff,
         1
       )
     )
   )
 )"),1.0)</f>
        <v>1</v>
      </c>
      <c r="EM41" s="200">
        <f>IFERROR(__xludf.DUMMYFUNCTION("PRODUCT(
   MAP(
     K$3:ED$3,
     K$14:ED$14,
     K$13:ED$13,
     K41:ED41,
     LAMBDA(
       job,
       buff,
       target,
       check,
       IF(
         AND(check=TRUE, REGEXMATCH(target, ""SELF_EFFECTED_GCD""), ISNUMBER(buff), job=""学者""),"&amp;"
         buff,
         1
       )
     )
   )
 )"),1.0)</f>
        <v>1</v>
      </c>
      <c r="EN41" s="200">
        <f>IFERROR(__xludf.DUMMYFUNCTION("PRODUCT(
   MAP(
     K$3:ED$3,
     K$14:ED$14,
     K$13:ED$13,
     K41:ED41,
     LAMBDA(
       job,
       buff,
       target,
       check,
       IF(
         AND(check=TRUE, REGEXMATCH(target, ""SELF_EFFECTED_ALL""), ISNUMBER(buff), job=""賢者""),"&amp;"
         buff,
         1
       )
     )
   )
 )"),1.0)</f>
        <v>1</v>
      </c>
      <c r="EO41" s="200">
        <f>IFERROR(__xludf.DUMMYFUNCTION("PRODUCT(
   MAP(
     K$3:ED$3,
     K$14:ED$14,
     K$13:ED$13,
     K41:ED41,
     LAMBDA(
       job,
       buff,
       target,
       check,
       IF(
         AND(check=TRUE, REGEXMATCH(target, ""SELF_EFFECTED_GCD""), ISNUMBER(buff), job=""賢者""),"&amp;"
         buff,
         1
       )
     )
   )
 )"),1.0)</f>
        <v>1</v>
      </c>
      <c r="EP41" s="201">
        <f t="shared" si="3"/>
        <v>0</v>
      </c>
      <c r="EQ41" s="201">
        <f>IFERROR(__xludf.DUMMYFUNCTION("SUM(
   MAP(
     K$4:ED$4,
     K$3:ED$3,
     K$7:ED$7,
     K$15:ED$15,
     K$16:ED$16,
     K$21:ED$21,
     K$5:ED$5,
     K$17:ED$17,
     K41:ED41,
     LAMBDA(
       name,
       job,
       abillity,
       buff,
       barrier,
       enhance,"&amp;"
       assign,
       precondition,
       check,
       SWITCH(
         name,
         ""シェイクオフ"", IF(check=TRUE, buff + (0.02 * COUNTIF(ARRAYFORMULA((REGEXMATCH($K$4:$ED$4, ""スリル・オブ・バトル|ヴェンジェンス|原初の血気|ダムネーション"")) * (K41:ED41=TRUE)), 1)), 0),
         "&amp;"""インプロビゼーションフィニッシュ(踊りの激情0)"", IF(ISNUMBER(check), INDEX(Skill!$AJ:$AJ, MATCH(SUBSTITUTE(DV$4, 0, check), Skill!$C:$C, 0)), 0),
         IF(
           AND(check=TRUE, REGEXMATCH(assign, ""RANGE_PARTY"")),
           IF(
             OR(ARRAYFORMULA((IF(pr"&amp;"econdition="""", FALSE, REGEXMATCH($K$4:$ED$4, precondition))) * (K41:ED41=TRUE))),
             enhance,
             IF(barrier="""", buff, barrier)
           ),
           0
         )
       ) *
       SWITCH(
         job,
         ""ナイト"", EY$24,
 "&amp;"        ""戦士"", FD$24,
         ""踊り子"", ET$24,
         ""ピクトマンサー"", ET$24,
         ""白魔道士"", EF41 * EH41 * IF(abillity, 1, EG41 * EI41) * (Option!$D$22 * 0.81 / 100),
         ""占星術師"", EF41 * EJ41 * IF(abillity, 1, EG41 * EK41) * (Option!$D$23 * 0.81 "&amp;"/ 100),
         ""学者"", EF41 * EL41 * IF(abillity, 1, EG41 * EM41) * (Option!$D$24 * 0.81 / 100),
         ""賢者"", EF41 * EN41 * IF(abillity, 1, EG41 * EO41) * (Option!$D$25 * 0.81 / 100),
         1
       )
     )
   )
 )"),0.0)</f>
        <v>0</v>
      </c>
      <c r="ER41" s="202">
        <f t="shared" si="4"/>
        <v>0</v>
      </c>
      <c r="ES41" s="203">
        <f t="shared" si="5"/>
        <v>0</v>
      </c>
      <c r="ET41" s="204" t="str">
        <f>IFERROR(__xludf.DUMMYFUNCTION("IFS(
  EP41 &gt; $ET$24 + EQ41,
  SPARKLINE({ 1, 0 }, {""charttype"",""bar"";""max"", 1;""color1"",Option!$D$30;""color2"",Option!$D$30}),
  EP41 &lt; EQ41,
  SPARKLINE({EQ41 - EP41, $ET$24 - (EQ41 - EP41)}, {""charttype"",""bar"";""max"",$ET$24;""color1"",Opti"&amp;"on!$D$28;""color2"",Option!$D$29}),
  EP41 &gt;= EQ41,
  SPARKLINE({$ET$24 + EQ41 - EP41,EP41 - EQ41}, {""charttype"",""bar"";""max"",$ET$24;""color1"",Option!$D$29;""color2"",Option!$D$30})
)"),"")</f>
        <v/>
      </c>
      <c r="EU41" s="205">
        <f>IFERROR(__xludf.DUMMYFUNCTION("PRODUCT(
   MAP(
     IF($F41=""Physical"", K$10:ED$10, IF($F41=""Magic"", K$11:ED$11, K$12:ED$12)),
     IF($F41=""Physical"", K$18:ED$18, IF($F41=""Magic"", K$19:ED$19, K$20:ED$20)),
     K$3:ED$3,
     K$5:ED$5,
     K$17:ED$17,
     K41:ED41,
     LAM"&amp;"BDA(
       mitigation,
       enhance,
       job,
       assign,
       precondition,
       check,
       IF(
         OR(AND(check=TRUE, REGEXMATCH(assign, ""SELF""), job=""ナイト""), AND(check=Option!$E$13, REGEXMATCH(assign, ""SINGLE_PARTY""))),
      "&amp;"   IF(
           OR(ARRAYFORMULA((IF(precondition="""", FALSE, REGEXMATCH($K$4:$ED$4, precondition))) * (K41:ED41=TRUE))),
           enhance,
           mitigation
         ),
         1
       )
     )
   )
 ) * EE41"),1.0)</f>
        <v>1</v>
      </c>
      <c r="EV41" s="206">
        <f t="shared" si="6"/>
        <v>0</v>
      </c>
      <c r="EW41" s="205">
        <f>IFERROR(__xludf.DUMMYFUNCTION("PRODUCT(
   MAP(
     K$3:ED$3,
     K$14:ED$14,
     K$13:ED$13,
     K41:ED41,
     LAMBDA(
       job,
       buff,
       target,
       check,
       IF(
         OR(AND(check=TRUE, REGEXMATCH(target, ""SELF_AFFECTED_ALL""), job=""ナイト""), AND(check=O"&amp;"ption!$E$13, REGEXMATCH(target, ""SINGLE_AFFECTED_ALL""))),
         buff,
         1
       )
     )
   )
 )"),1.0)</f>
        <v>1</v>
      </c>
      <c r="EX41" s="206">
        <f>IFERROR(__xludf.DUMMYFUNCTION("SUM(
   MAP(
     K$3:ED$3,
     K$7:ED$7,
     K$15:ED$15,
     K$16:ED$16,
     K$21:ED$21,
     K$5:ED$5,
     K$17:ED$17,
     K41:ED41,
     LAMBDA(
       job,
       abillity,
       buff,
       barrier,
       enhance,
       assign,
       preco"&amp;"ndition,
       check,
       IF(
         OR(AND(check=TRUE, REGEXMATCH(assign, ""SELF""), job=""ナイト""), AND(check=Option!$E$13, REGEXMATCH(assign, ""SINGLE_PARTY""))),
         IF(
           OR(ARRAYFORMULA((IF(precondition="""", FALSE, REGEXMATCH($K$4"&amp;":$ED$4, precondition))) * (K41:ED41=TRUE))),
           enhance,
           IF(barrier="""", buff, barrier)
         ),
         0
       ) *
       SWITCH(
         job,
         ""暗黒騎士"", EY$24,
         ""白魔道士"", EF41 * EH41 * EW41 * IF(abillity, 1, EG"&amp;"41 * EI41) * (Option!$D$22 * 0.81 / 100),
         ""占星術師"", EF41 * EJ41 * EW41 * IF(abillity, 1, EG41 * EK41) * (Option!$D$23 * 0.81 / 100),
         ""学者"", EF41 * EL41 * EW41 * IF(abillity, 1, EG41 * EM41) * (Option!$D$24 * 0.81 / 100),
         ""賢者"""&amp;", EF41 * EN41 * EW41 * IF(abillity, 1, EG41 * EO41) * (Option!$D$25 * 0.81 / 100),
         1
       )
     )
   )
 ) + EQ41"),0.0)</f>
        <v>0</v>
      </c>
      <c r="EY41" s="206">
        <f t="shared" si="7"/>
        <v>0</v>
      </c>
      <c r="EZ41" s="205">
        <f>IFERROR(__xludf.DUMMYFUNCTION("PRODUCT(
   MAP(
     IF($F41=""Physical"", K$10:ED$10, IF($F41=""Magic"", K$11:ED$11, K$12:ED$12)),
     IF($F41=""Physical"", K$18:ED$18, IF($F41=""Magic"", K$19:ED$19, K$20:ED$20)),
     K$3:ED$3,
     K$5:ED$5,
     K$17:ED$17,
     K41:ED41,
     LAM"&amp;"BDA(
       mitigation,
       enhance,
       job,
       assign,
       precondition,
       check,
       IF(
         OR(AND(check=TRUE, REGEXMATCH(assign, ""SELF""), job=""戦士""), AND(check=Option!$F$13, REGEXMATCH(assign, ""SINGLE_PARTY""))),
       "&amp;"  IF(
           OR(ARRAYFORMULA((IF(precondition="""", FALSE, REGEXMATCH($K$4:$ED$4, precondition))) * (K41:ED41=TRUE))),
           enhance,
           mitigation
         ),
         1
       )
     )
   )
 ) * EE41"),1.0)</f>
        <v>1</v>
      </c>
      <c r="FA41" s="206">
        <f t="shared" si="8"/>
        <v>0</v>
      </c>
      <c r="FB41" s="205">
        <f>IFERROR(__xludf.DUMMYFUNCTION("PRODUCT(
   MAP(
     K$3:ED$3,
     K$14:ED$14,
     K$13:ED$13,
     K41:ED41,
     LAMBDA(
       job,
       buff,
       target,
       check,
       IF(
         OR(AND(check=TRUE, REGEXMATCH(target, ""SELF_AFFECTED_ALL""), job=""戦士""), AND(check=Op"&amp;"tion!$F$13, REGEXMATCH(target, ""SINGLE_AFFECTED_ALL""))),
         buff,
         1
       )
     )
   )
 )"),1.0)</f>
        <v>1</v>
      </c>
      <c r="FC41" s="206">
        <f>IFERROR(__xludf.DUMMYFUNCTION("SUM(
   MAP(
     K$3:ED$3,
     K$7:ED$7,
     K$15:ED$15,
     K$16:ED$16,
     K$21:ED$21,
     K$5:ED$5,
     K$17:ED$17,
     K41:ED41,
     LAMBDA(
       job,
       abillity,
       buff,
       barrier,
       enhance,
       assign,
       preco"&amp;"ndition,
       check,
       IF(
         OR(AND(check=TRUE, REGEXMATCH(assign, ""SELF""), job=""戦士""), AND(check=Option!$F$13, REGEXMATCH(assign, ""SINGLE_PARTY""))),
         IF(
           OR(ARRAYFORMULA((IF(precondition="""", FALSE, REGEXMATCH($K$4:"&amp;"$ED$4, precondition))) * (K41:ED41=TRUE))),
           enhance,
           IF(barrier="""", buff, barrier)
         ),
         0
       ) *
       SWITCH(
         job,
         ""暗黒騎士"", FD$24,
         ""白魔道士"", EF41 * EH41 * FB41 * IF(abillity, 1, EG4"&amp;"1 * EI41) * (Option!$D$22 * 0.81 / 100),
         ""占星術師"", EF41 * EJ41 * FFB41 * IF(abillity, 1, EG41 * EK41) * (Option!$D$23 * 0.81 / 100),
         ""学者"", EF41 * EL41 * FB41 * IF(abillity, 1, EG41 * EM41) * (Option!$D$24 * 0.81 / 100),
         ""賢者"""&amp;", EF41 * EN41 * FB41 * IF(abillity, 1, EG41 * EO41) * (Option!$D$25 * 0.81 / 100),
         1
       )
     )
   )
 ) + EQ41"),0.0)</f>
        <v>0</v>
      </c>
      <c r="FD41" s="206">
        <f t="shared" si="9"/>
        <v>0</v>
      </c>
      <c r="FE41" s="205">
        <f>IFERROR(__xludf.DUMMYFUNCTION("PRODUCT(
   MAP(
     IF($F41=""Physical"", K$10:ED$10, IF($F41=""Magic"", K$11:ED$11, K$12:ED$12)),
     IF($F41=""Physical"", K$18:ED$18, IF($F41=""Magic"", K$19:ED$19, K$20:ED$20)),
     K$3:ED$3,
     K$5:ED$5,
     K$17:ED$17,
     K41:ED41,
     LAM"&amp;"BDA(
       mitigation,
       enhance,
       job,
       assign,
       precondition,
       check,
       IF(
         OR(AND(check=TRUE, REGEXMATCH(assign, ""SELF""), job=""暗黒騎士""), AND(check=Option!$G$13, REGEXMATCH(assign, ""SINGLE_PARTY""))),
     "&amp;"    IF(
           OR(ARRAYFORMULA((IF(precondition="""", FALSE, REGEXMATCH($K$4:$ED$4, precondition))) * (K41:ED41=TRUE))),
           enhance,
           mitigation
         ),
         1
       )
     )
   )
 ) * EE41"),1.0)</f>
        <v>1</v>
      </c>
      <c r="FF41" s="206">
        <f t="shared" si="10"/>
        <v>0</v>
      </c>
      <c r="FG41" s="205">
        <f>IFERROR(__xludf.DUMMYFUNCTION("PRODUCT(
   MAP(
     K$3:ED$3,
     K$14:ED$14,
     K$13:ED$13,
     K41:ED41,
     LAMBDA(
       job,
       buff,
       target,
       check,
       IF(
         OR(AND(check=TRUE, REGEXMATCH(target, ""SELF_AFFECTED_ALL""), job=""暗黒騎士""), AND(check="&amp;"Option!$G$13, REGEXMATCH(target, ""SINGLE_AFFECTED_ALL""))),
         buff,
         1
       )
     )
   )
 )"),1.0)</f>
        <v>1</v>
      </c>
      <c r="FH41" s="206">
        <f>IFERROR(__xludf.DUMMYFUNCTION("SUM(
   MAP(
     K$3:ED$3,
     K$7:ED$7,
     K$15:ED$15,
     K$16:ED$16,
     K$21:ED$21,
     K$5:ED$5,
     K$17:ED$17,
     K41:ED41,
     LAMBDA(
       job,
       abillity,
       buff,
       barrier,
       enhance,
       assign,
       preco"&amp;"ndition,
       check,
       IF(
         OR(AND(check=TRUE, REGEXMATCH(assign, ""SELF""), job=""暗黒騎士""), AND(check=Option!$G$13, REGEXMATCH(assign, ""SINGLE_PARTY""))),
         IF(
           OR(ARRAYFORMULA((IF(precondition="""", FALSE, REGEXMATCH($K$"&amp;"4:$ED$4, precondition))) * (K41:ED41=TRUE))),
           enhance,
           IF(barrier="""", buff, barrier)
         ),
         0
       ) *
       SWITCH(
         job,
         ""暗黒騎士"", FI$24,
         ""白魔道士"", EF41 * EH41 * FG41 * IF(abillity, 1, E"&amp;"G41 * EI41) * (Option!$D$22 * 0.81 / 100),
         ""占星術師"", EF41 * EJ41 * FG41 * IF(abillity, 1, EG41 * EK41) * (Option!$D$23 * 0.81 / 100),
         ""学者"", EF41 * EL41 * FG41 * IF(abillity, 1, EG41 * EM41) * (Option!$D$24 * 0.81 / 100),
         ""賢者"&amp;""", EF41 * EN41 * FG41 * IF(abillity, 1, EG41 * EO41) * (Option!$D$25 * 0.81 / 100),
         1
       )
     )
   )
 ) + EQ41"),0.0)</f>
        <v>0</v>
      </c>
      <c r="FI41" s="206">
        <f t="shared" si="11"/>
        <v>0</v>
      </c>
      <c r="FJ41" s="205">
        <f>IFERROR(__xludf.DUMMYFUNCTION("PRODUCT(
   MAP(
     IF($F41=""Physical"", K$10:ED$10, IF($F41=""Magic"", K$11:ED$11, K$12:ED$12)),
     IF($F41=""Physical"", K$18:ED$18, IF($F41=""Magic"", K$19:ED$19, K$20:ED$20)),
     K$3:ED$3,
     K$5:ED$5,
     K$17:ED$17,
     K41:ED41,
     LAM"&amp;"BDA(
       mitigation,
       enhance,
       job,
       assign,
       precondition,
       check,
       IF(
         OR(AND(check=TRUE, REGEXMATCH(assign, ""SELF""), job=""ガンブレイカー""), AND(check=Option!$H$13, REGEXMATCH(assign, ""SINGLE_PARTY""))),
  "&amp;"       IF(
           OR(ARRAYFORMULA((IF(precondition="""", FALSE, REGEXMATCH($K$4:$ED$4, precondition))) * (K41:ED41=TRUE))),
           enhance,
           mitigation
         ),
         1
       )
     )
   )
 ) * EE41"),1.0)</f>
        <v>1</v>
      </c>
      <c r="FK41" s="206">
        <f t="shared" si="12"/>
        <v>0</v>
      </c>
      <c r="FL41" s="205">
        <f>IFERROR(__xludf.DUMMYFUNCTION("PRODUCT(
   MAP(
     K$3:ED$3,
     K$14:ED$14,
     K$13:ED$13,
     K41:ED41,
     LAMBDA(
       job,
       buff,
       target,
       check,
       IF(
         OR(AND(check=TRUE, REGEXMATCH(target, ""SELF_AFFECTED_ALL""), job=""ガンブレイカー""), AND(che"&amp;"ck=Option!$H$13, REGEXMATCH(target, ""SINGLE_AFFECTED_ALL""))),
         buff,
         1
       )
     )
   )
 )"),1.0)</f>
        <v>1</v>
      </c>
      <c r="FM41" s="206">
        <f>IFERROR(__xludf.DUMMYFUNCTION("SUM(
   MAP(
     K$3:ED$3,
     K$7:ED$7,
     K$15:ED$15,
     K$16:ED$16,
     K$21:ED$21,
     K$5:ED$5,
     K$17:ED$17,
     K41:ED41,
     LAMBDA(
       job,
       abillity,
       buff,
       barrier,
       enhance,
       assign,
       preco"&amp;"ndition,
       check,
       IF(
         OR(AND(check=TRUE, REGEXMATCH(assign, ""SELF""), job=""ガンブレイカー""), AND(check=Option!$H$13, REGEXMATCH(assign, ""SINGLE_PARTY""))),
         IF(
           OR(ARRAYFORMULA((IF(precondition="""", FALSE, REGEXMATCH("&amp;"$K$4:$ED$4, precondition))) * (K41:ED41=TRUE))),
           enhance,
           IF(barrier="""", buff, barrier)
         ),
         0
       ) *
       SWITCH(
         job,
         ""暗黒騎士"", FN$24,
         ""白魔道士"", EF41 * EH41 * FL41 * IF(abillity, 1"&amp;", EG41 * EI41) * (Option!$D$22 * 0.81 / 100),
         ""占星術師"", EF41 * EJ41 * FL41 * IF(abillity, 1, EG41 * EK41) * (Option!$D$23 * 0.81 / 100),
         ""学者"", EF41 * EL41 * FL41 * IF(abillity, 1, EG41 * EM41) * (Option!$D$24 * 0.81 / 100),
         """&amp;"賢者"", EF41 * EN41 * FL41 * IF(abillity, 1, EG41 * EO41) * (Option!$D$25 * 0.81 / 100),
         1
       )
     )
   )
 ) + EQ41"),0.0)</f>
        <v>0</v>
      </c>
      <c r="FN41" s="206">
        <f t="shared" si="13"/>
        <v>0</v>
      </c>
      <c r="FO41" s="213"/>
    </row>
    <row r="42">
      <c r="B42" s="229"/>
      <c r="C42" s="217">
        <f t="shared" si="1"/>
        <v>0</v>
      </c>
      <c r="D42" s="236"/>
      <c r="E42" s="226"/>
      <c r="F42" s="167"/>
      <c r="G42" s="168" t="str">
        <f t="shared" si="2"/>
        <v/>
      </c>
      <c r="H42" s="169"/>
      <c r="I42" s="169"/>
      <c r="J42" s="169"/>
      <c r="K42" s="170" t="b">
        <v>0</v>
      </c>
      <c r="L42" s="170" t="b">
        <v>0</v>
      </c>
      <c r="M42" s="170" t="b">
        <v>0</v>
      </c>
      <c r="N42" s="171" t="s">
        <v>1070</v>
      </c>
      <c r="O42" s="172" t="b">
        <v>0</v>
      </c>
      <c r="P42" s="173" t="b">
        <v>0</v>
      </c>
      <c r="Q42" s="173" t="b">
        <v>0</v>
      </c>
      <c r="R42" s="173" t="b">
        <v>0</v>
      </c>
      <c r="S42" s="174" t="b">
        <v>0</v>
      </c>
      <c r="T42" s="175" t="b">
        <v>0</v>
      </c>
      <c r="U42" s="173" t="b">
        <v>0</v>
      </c>
      <c r="V42" s="171" t="s">
        <v>1070</v>
      </c>
      <c r="W42" s="172" t="b">
        <v>0</v>
      </c>
      <c r="X42" s="173" t="b">
        <v>0</v>
      </c>
      <c r="Y42" s="173" t="b">
        <v>0</v>
      </c>
      <c r="Z42" s="173" t="b">
        <v>0</v>
      </c>
      <c r="AA42" s="174" t="b">
        <v>0</v>
      </c>
      <c r="AB42" s="174" t="b">
        <v>0</v>
      </c>
      <c r="AC42" s="175" t="b">
        <v>0</v>
      </c>
      <c r="AD42" s="173" t="b">
        <v>0</v>
      </c>
      <c r="AE42" s="176" t="s">
        <v>1070</v>
      </c>
      <c r="AF42" s="171" t="s">
        <v>1070</v>
      </c>
      <c r="AG42" s="177">
        <f>IFERROR(__xludf.DUMMYFUNCTION("IF(
  ISNUMBER(AG41),
  MIN(MAX(
    AG41
    + MAX(
      ROUNDDOWN(($D42 - MAX(IFERROR(FILTER($D$24:$D41, AG$24:AG41 &lt;&gt; AF$6, AG$23:AG40 = AF$6), 0))) * (60 * 60 * 24) / AF$9) - ROUNDDOWN(($D41 - MAX(IFERROR(FILTER($D$23:$D40, AG$23:AG40 &lt;&gt; AF$6, AG$22:"&amp;"AG39 = AF$6), 0))) * (60 * 60 * 24) / 60),
      0
    )
    - COUNTIF(AF42, ""&lt;&gt;-""),
  0), AF$6),
  AF$6 - COUNTIF(AF42, ""&lt;&gt;-"")
)"),2.0)</f>
        <v>2</v>
      </c>
      <c r="AH42" s="173" t="b">
        <v>0</v>
      </c>
      <c r="AI42" s="173" t="b">
        <v>0</v>
      </c>
      <c r="AJ42" s="173" t="b">
        <v>0</v>
      </c>
      <c r="AK42" s="174" t="b">
        <v>0</v>
      </c>
      <c r="AL42" s="175" t="b">
        <v>0</v>
      </c>
      <c r="AM42" s="173" t="b">
        <v>0</v>
      </c>
      <c r="AN42" s="171" t="s">
        <v>1070</v>
      </c>
      <c r="AO42" s="173" t="b">
        <v>0</v>
      </c>
      <c r="AP42" s="173" t="b">
        <v>0</v>
      </c>
      <c r="AQ42" s="173" t="b">
        <v>0</v>
      </c>
      <c r="AR42" s="174" t="b">
        <v>0</v>
      </c>
      <c r="AS42" s="178" t="b">
        <v>0</v>
      </c>
      <c r="AT42" s="179" t="b">
        <v>0</v>
      </c>
      <c r="AU42" s="180" t="b">
        <v>0</v>
      </c>
      <c r="AV42" s="180" t="b">
        <v>0</v>
      </c>
      <c r="AW42" s="180" t="b">
        <v>0</v>
      </c>
      <c r="AX42" s="180" t="b">
        <v>0</v>
      </c>
      <c r="AY42" s="181" t="s">
        <v>1070</v>
      </c>
      <c r="AZ42" s="181" t="s">
        <v>1070</v>
      </c>
      <c r="BA42" s="184">
        <f>IFERROR(__xludf.DUMMYFUNCTION("IF(
  ISNUMBER(BA41),
  MIN(MAX(
    BA41
    + MAX(
      ROUNDDOWN((D42 - MAX(IFERROR(FILTER(D$24:D41, BA$24:BA41 &lt;&gt; AZ$6, BA$23:BA40 = AZ$6), 0))) * (60 * 60 * 24) / AZ$9) - ROUNDDOWN((D41 - MAX(IFERROR(FILTER(D$23:D40, BA$23:BA40 &lt;&gt; AZ$6, BA$22:BA39 ="&amp;" AZ$6), 0))) * (60 * 60 * 24) / AZ$9),
      0
    )
    - COUNTIF(AZ42, ""&lt;&gt;-""),
  0), AZ$6),
  AZ$6 - COUNTIF(AZ42, ""&lt;&gt;-"")
)"),2.0)</f>
        <v>2</v>
      </c>
      <c r="BB42" s="181" t="s">
        <v>1070</v>
      </c>
      <c r="BC42" s="183">
        <f>IFERROR(__xludf.DUMMYFUNCTION("IF(
  ISNUMBER(BC41),
  MIN(MAX(
    BC41
    + MAX(
      ROUNDDOWN(($D42 - MAX(IFERROR(FILTER($D$24:$D41, BC$24:BC41 &lt;&gt; BB$6, BC$23:BC40 = BB$6), 0))) * (60 * 60 * 24) / BB$9) - ROUNDDOWN(($D41 - MAX(IFERROR(FILTER($D$23:$D40, BC$23:BC40 &lt;&gt; BB$6, BC$22:"&amp;"BC39 = BB$6), 0))) * (60 * 60 * 24) / 60),
      0
    )
    - COUNTIF(BB42, ""&lt;&gt;-""),
  0), BB$6),
  BB$6 - COUNTIF(BB42, ""&lt;&gt;-"")
)"),2.0)</f>
        <v>2</v>
      </c>
      <c r="BD42" s="181" t="s">
        <v>1070</v>
      </c>
      <c r="BE42" s="178" t="b">
        <v>0</v>
      </c>
      <c r="BF42" s="180" t="b">
        <v>0</v>
      </c>
      <c r="BG42" s="180" t="b">
        <v>0</v>
      </c>
      <c r="BH42" s="180" t="b">
        <v>0</v>
      </c>
      <c r="BI42" s="180" t="b">
        <v>0</v>
      </c>
      <c r="BJ42" s="180" t="b">
        <v>0</v>
      </c>
      <c r="BK42" s="180" t="b">
        <v>0</v>
      </c>
      <c r="BL42" s="180" t="b">
        <v>0</v>
      </c>
      <c r="BM42" s="180" t="b">
        <v>0</v>
      </c>
      <c r="BN42" s="180" t="b">
        <v>0</v>
      </c>
      <c r="BO42" s="181" t="s">
        <v>1070</v>
      </c>
      <c r="BP42" s="181" t="s">
        <v>1070</v>
      </c>
      <c r="BQ42" s="181" t="s">
        <v>1070</v>
      </c>
      <c r="BR42" s="181" t="s">
        <v>1070</v>
      </c>
      <c r="BS42" s="181" t="s">
        <v>1070</v>
      </c>
      <c r="BT42" s="184">
        <f>IFERROR(__xludf.DUMMYFUNCTION("IF(
  ISNUMBER(BT41),
  MIN(MAX(
    BT41
    + MAX(
      ROUNDDOWN((D42 - MAX(IFERROR(FILTER(D$24:D41, BT$24:BT41 &lt;&gt; BS$6, BT$23:BT40 = BS$6), 0))) * (60 * 60 * 24) / BS$9) - ROUNDDOWN((D41 - MAX(IFERROR(FILTER(D$23:D40, BT$23:BT40 &lt;&gt; BS$6, BT$22:BT39 ="&amp;" BS$6), 0))) * (60 * 60 * 24) / BS$9),
      0
    )
    - COUNTIF(BS42, ""&lt;&gt;-""),
  0), BS$6),
  BS$6 - COUNTIF(BS42, ""&lt;&gt;-"")
)"),3.0)</f>
        <v>3</v>
      </c>
      <c r="BU42" s="181" t="s">
        <v>1070</v>
      </c>
      <c r="BV42" s="181" t="s">
        <v>1070</v>
      </c>
      <c r="BW42" s="184">
        <f>IFERROR(__xludf.DUMMYFUNCTION("IF(
  ISNUMBER(BW41),
  MIN(MAX(
    BW41
    + MAX(
      ROUNDDOWN((D42 - MAX(IFERROR(FILTER(D$24:D41, BW$24:BW41 &lt;&gt; BV$6, BW$23:BW40 = BV$6), 0))) * (60 * 60 * 24) / BV$9) - ROUNDDOWN((D41 - MAX(IFERROR(FILTER(D$23:D40, BW$23:BW40 &lt;&gt; BV$6, BW$22:BW39 ="&amp;" BV$6), 0))) * (60 * 60 * 24) / BV$9),
      0
    )
    - COUNTIF(BV42, ""&lt;&gt;-""),
  0), BV$6),
  BV$6 - COUNTIF(BV42, ""&lt;&gt;-"")
)"),2.0)</f>
        <v>2</v>
      </c>
      <c r="BX42" s="185" t="s">
        <v>1070</v>
      </c>
      <c r="BY42" s="178" t="b">
        <v>0</v>
      </c>
      <c r="BZ42" s="180" t="b">
        <v>0</v>
      </c>
      <c r="CA42" s="180" t="b">
        <v>0</v>
      </c>
      <c r="CB42" s="180" t="b">
        <v>0</v>
      </c>
      <c r="CC42" s="180" t="b">
        <v>0</v>
      </c>
      <c r="CD42" s="180" t="b">
        <v>0</v>
      </c>
      <c r="CE42" s="180" t="b">
        <v>0</v>
      </c>
      <c r="CF42" s="180" t="b">
        <v>0</v>
      </c>
      <c r="CG42" s="180" t="b">
        <v>0</v>
      </c>
      <c r="CH42" s="180" t="b">
        <v>0</v>
      </c>
      <c r="CI42" s="180" t="b">
        <v>0</v>
      </c>
      <c r="CJ42" s="180" t="b">
        <v>0</v>
      </c>
      <c r="CK42" s="180" t="b">
        <v>0</v>
      </c>
      <c r="CL42" s="180" t="b">
        <v>0</v>
      </c>
      <c r="CM42" s="181" t="s">
        <v>1070</v>
      </c>
      <c r="CN42" s="181" t="s">
        <v>1070</v>
      </c>
      <c r="CO42" s="181" t="s">
        <v>1070</v>
      </c>
      <c r="CP42" s="181" t="s">
        <v>1070</v>
      </c>
      <c r="CQ42" s="185" t="s">
        <v>1070</v>
      </c>
      <c r="CR42" s="180" t="b">
        <v>0</v>
      </c>
      <c r="CS42" s="186" t="str">
        <f t="shared" si="14"/>
        <v>◇◇◇</v>
      </c>
      <c r="CT42" s="178" t="b">
        <v>0</v>
      </c>
      <c r="CU42" s="180" t="b">
        <v>0</v>
      </c>
      <c r="CV42" s="180" t="b">
        <v>0</v>
      </c>
      <c r="CW42" s="180" t="b">
        <v>0</v>
      </c>
      <c r="CX42" s="180" t="b">
        <v>0</v>
      </c>
      <c r="CY42" s="180" t="b">
        <v>0</v>
      </c>
      <c r="CZ42" s="180" t="b">
        <v>0</v>
      </c>
      <c r="DA42" s="180" t="b">
        <v>0</v>
      </c>
      <c r="DB42" s="180" t="b">
        <v>0</v>
      </c>
      <c r="DC42" s="180" t="b">
        <v>0</v>
      </c>
      <c r="DD42" s="181" t="s">
        <v>1070</v>
      </c>
      <c r="DE42" s="181" t="s">
        <v>1070</v>
      </c>
      <c r="DF42" s="181" t="s">
        <v>1070</v>
      </c>
      <c r="DG42" s="185" t="s">
        <v>1070</v>
      </c>
      <c r="DH42" s="180" t="b">
        <v>0</v>
      </c>
      <c r="DI42" s="187" t="str">
        <f>IFERROR(__xludf.DUMMYFUNCTION("SWITCH(
  IF(
    ISTEXT(DI41),
    IF (
      FIND(""○"", DI41&amp;""○"") &gt; 3,
      3,
      FIND(""○"", DI41&amp;""○"")
      + MAX(
        ROUNDDOWN(($D42 - MAX(IFERROR(FILTER(D$24:D41, DI$24:DI41 &lt;&gt; ""●●●"", DI$23:DI40 = ""●●●""), 0))) * (60 * 60 * 24) / 20"&amp;") - ROUNDDOWN(($D41 - MAX(IFERROR(FILTER(D$23:D40, DI$23:DI40 &lt;&gt; ""●●●"", DI$22:DI39 = ""●●●""), 0))) * (60 * 60 * 24) / 20),
        0
      ) - 1
    ) - COUNTIFS(CU42, ""=TRUE"", CU41, ""&lt;&gt;TRUE"") - COUNTIF(CZ42, ""=TRUE"") - COUNTIF({DD42,DE42}, ""&lt;&gt;-"&amp;""") + COUNTIF(DH42, ""=TRUE""),
    3
  ),
  0, ""○○○"", 1, ""●○○"", 2, ""●●○"", 3, ""●●●"", 4, ""●●●"", ""○○○""
)"),"●●●")</f>
        <v>●●●</v>
      </c>
      <c r="DJ42" s="188" t="b">
        <v>0</v>
      </c>
      <c r="DK42" s="189" t="b">
        <v>0</v>
      </c>
      <c r="DL42" s="190" t="b">
        <v>0</v>
      </c>
      <c r="DM42" s="190" t="b">
        <v>0</v>
      </c>
      <c r="DN42" s="190" t="b">
        <v>0</v>
      </c>
      <c r="DO42" s="190" t="b">
        <v>0</v>
      </c>
      <c r="DP42" s="190" t="b">
        <v>0</v>
      </c>
      <c r="DQ42" s="191" t="b">
        <v>0</v>
      </c>
      <c r="DR42" s="192" t="b">
        <v>0</v>
      </c>
      <c r="DS42" s="191" t="b">
        <v>0</v>
      </c>
      <c r="DT42" s="192" t="b">
        <v>0</v>
      </c>
      <c r="DU42" s="191" t="b">
        <v>0</v>
      </c>
      <c r="DV42" s="193" t="s">
        <v>1070</v>
      </c>
      <c r="DW42" s="194" t="b">
        <v>0</v>
      </c>
      <c r="DX42" s="194" t="b">
        <v>0</v>
      </c>
      <c r="DY42" s="195" t="b">
        <v>0</v>
      </c>
      <c r="DZ42" s="196" t="b">
        <v>0</v>
      </c>
      <c r="EA42" s="195" t="b">
        <v>0</v>
      </c>
      <c r="EB42" s="197" t="b">
        <v>0</v>
      </c>
      <c r="EC42" s="197" t="b">
        <v>0</v>
      </c>
      <c r="ED42" s="212" t="b">
        <v>0</v>
      </c>
      <c r="EE42" s="199">
        <f>IFERROR(__xludf.DUMMYFUNCTION("IFERROR(
   PRODUCT(
     MAP(
       INDEX(TRANSPOSE(UNIQUE(TRANSPOSE(FILTER({IF($F42=""Physical"", K$10:ED$10, IF($F42=""Magic"", K$11:ED$11, K$12:ED$12));K$4:ED$4;K42:ED42}, K42:ED42=TRUE)))), 1, 0),
       INDEX(TRANSPOSE(UNIQUE(TRANSPOSE(FILTER({IF($"&amp;"F42=""Physical"", K$18:ED$18, IF($F42=""Magic"", K$19:ED$19, K$20:ED$20));K$4:ED$4;K42:ED42}, K42:ED42=TRUE)))), 1, 0),
       INDEX(TRANSPOSE(UNIQUE(TRANSPOSE(FILTER({K$5:ED$5;K$4:ED$4;K42:ED42}, K42:ED42=TRUE)))), 1, 0),
       INDEX(TRANSPOSE(UNIQUE(TR"&amp;"ANSPOSE(FILTER({K$17:ED$17;K$4:ED$4;K42:ED42}, K42:ED42=TRUE)))), 1, 0),
       LAMBDA(
         mitigation,
         enhance,
         assign,
         precondition,
         IF(
           REGEXMATCH(assign, ""RANGE_PARTY|SINGLE_ENEMY|RANGE_ENEMY""),
  "&amp;"         IF(
             OR(ARRAYFORMULA((IF(precondition="""", FALSE, REGEXMATCH(K$4:ED$4, precondition))) * (K42:ED42=TRUE))),
             IF(ISNUMBER(enhance), enhance, 1),
             IF(ISNUMBER(mitigation), mitigation, 1)
           ),
          "&amp;" 1
         )
       )
     )
   ),
   1
 )"),1.0)</f>
        <v>1</v>
      </c>
      <c r="EF42" s="200">
        <f>IFERROR(__xludf.DUMMYFUNCTION("PRODUCT(
   MAP(
     K$14:ED$14,
     K$13:ED$13,
     K42:ED42,
     LAMBDA(
       buff,
       target,
       check,
       IF(
         AND(check=TRUE, REGEXMATCH(target, ""RANGE_AFFECTED_ALL|RANGE_EFFECTED_ALL""), ISNUMBER(buff)),
         buff,
   "&amp;"      1
       )
     )
   )
 )"),1.0)</f>
        <v>1</v>
      </c>
      <c r="EG42" s="200">
        <f>IFERROR(__xludf.DUMMYFUNCTION("PRODUCT(
   MAP(
     K$14:ED$14,
     K$13:ED$13,
     K42:ED42,
     LAMBDA(
       buff,
       target,
       check,
       IF(
         AND(check=TRUE, REGEXMATCH(target, ""RANGE_AFFECTED_GCD|RANGE_EFFECTED_GCD""), ISNUMBER(buff)),
         buff,
   "&amp;"      1
       )
     )
   )
 )"),1.0)</f>
        <v>1</v>
      </c>
      <c r="EH42" s="200">
        <f>IFERROR(__xludf.DUMMYFUNCTION("PRODUCT(
   MAP(
     K$3:ED$3,
     K$14:ED$14,
     K$13:ED$13,
     K42:ED42,
     LAMBDA(
       job,
       buff,
       target,
       check,
       IF(
         AND(check=TRUE, REGEXMATCH(target, ""SELF_EFFECTED_ALL""), ISNUMBER(buff), job=""白魔道士"""&amp;"),
         buff,
         1
       )
     )
   )
 )"),1.0)</f>
        <v>1</v>
      </c>
      <c r="EI42" s="200">
        <f>IFERROR(__xludf.DUMMYFUNCTION("PRODUCT(
   MAP(
     K$3:ED$3,
     K$14:ED$14,
     K$13:ED$13,
     K42:ED42,
     LAMBDA(
       job,
       buff,
       target,
       check,
       IF(
         AND(check=TRUE, REGEXMATCH(target, ""SELF_EFFECTED_GCD""), ISNUMBER(buff), job=""白魔道士"""&amp;"),
         buff,
         1
       )
     )
   )
 )"),1.0)</f>
        <v>1</v>
      </c>
      <c r="EJ42" s="200">
        <f>IFERROR(__xludf.DUMMYFUNCTION("PRODUCT(
   MAP(
     K$3:ED$3,
     K$14:ED$14,
     K$13:ED$13,
     K42:ED42,
     LAMBDA(
       job,
       buff,
       target,
       check,
       IF(
         AND(check=TRUE, REGEXMATCH(target, ""SELF_EFFECTED_ALL""), ISNUMBER(buff), job=""占星術師"""&amp;"),
         buff,
         1
       )
     )
   )
 )"),1.0)</f>
        <v>1</v>
      </c>
      <c r="EK42" s="200">
        <f>IFERROR(__xludf.DUMMYFUNCTION("PRODUCT(
   MAP(
     K$3:ED$3,
     K$14:ED$14,
     K$13:ED$13,
     K42:ED42,
     LAMBDA(
       job,
       buff,
       target,
       check,
       IF(
         AND(check=TRUE, REGEXMATCH(target, ""SELF_EFFECTED_GCD""), ISNUMBER(buff), job=""占星術師"""&amp;"),
         buff,
         1
       )
     )
   )
 )"),1.0)</f>
        <v>1</v>
      </c>
      <c r="EL42" s="200">
        <f>IFERROR(__xludf.DUMMYFUNCTION("PRODUCT(
   MAP(
     K$3:ED$3,
     K$14:ED$14,
     K$13:ED$13,
     K42:ED42,
     LAMBDA(
       job,
       buff,
       target,
       check,
       IF(
         AND(check=TRUE, REGEXMATCH(target, ""SELF_EFFECTED_ALL""), ISNUMBER(buff), job=""学者""),"&amp;"
         buff,
         1
       )
     )
   )
 )"),1.0)</f>
        <v>1</v>
      </c>
      <c r="EM42" s="200">
        <f>IFERROR(__xludf.DUMMYFUNCTION("PRODUCT(
   MAP(
     K$3:ED$3,
     K$14:ED$14,
     K$13:ED$13,
     K42:ED42,
     LAMBDA(
       job,
       buff,
       target,
       check,
       IF(
         AND(check=TRUE, REGEXMATCH(target, ""SELF_EFFECTED_GCD""), ISNUMBER(buff), job=""学者""),"&amp;"
         buff,
         1
       )
     )
   )
 )"),1.0)</f>
        <v>1</v>
      </c>
      <c r="EN42" s="200">
        <f>IFERROR(__xludf.DUMMYFUNCTION("PRODUCT(
   MAP(
     K$3:ED$3,
     K$14:ED$14,
     K$13:ED$13,
     K42:ED42,
     LAMBDA(
       job,
       buff,
       target,
       check,
       IF(
         AND(check=TRUE, REGEXMATCH(target, ""SELF_EFFECTED_ALL""), ISNUMBER(buff), job=""賢者""),"&amp;"
         buff,
         1
       )
     )
   )
 )"),1.0)</f>
        <v>1</v>
      </c>
      <c r="EO42" s="200">
        <f>IFERROR(__xludf.DUMMYFUNCTION("PRODUCT(
   MAP(
     K$3:ED$3,
     K$14:ED$14,
     K$13:ED$13,
     K42:ED42,
     LAMBDA(
       job,
       buff,
       target,
       check,
       IF(
         AND(check=TRUE, REGEXMATCH(target, ""SELF_EFFECTED_GCD""), ISNUMBER(buff), job=""賢者""),"&amp;"
         buff,
         1
       )
     )
   )
 )"),1.0)</f>
        <v>1</v>
      </c>
      <c r="EP42" s="201">
        <f t="shared" si="3"/>
        <v>0</v>
      </c>
      <c r="EQ42" s="201">
        <f>IFERROR(__xludf.DUMMYFUNCTION("SUM(
   MAP(
     K$4:ED$4,
     K$3:ED$3,
     K$7:ED$7,
     K$15:ED$15,
     K$16:ED$16,
     K$21:ED$21,
     K$5:ED$5,
     K$17:ED$17,
     K42:ED42,
     LAMBDA(
       name,
       job,
       abillity,
       buff,
       barrier,
       enhance,"&amp;"
       assign,
       precondition,
       check,
       SWITCH(
         name,
         ""シェイクオフ"", IF(check=TRUE, buff + (0.02 * COUNTIF(ARRAYFORMULA((REGEXMATCH($K$4:$ED$4, ""スリル・オブ・バトル|ヴェンジェンス|原初の血気|ダムネーション"")) * (K42:ED42=TRUE)), 1)), 0),
         "&amp;"""インプロビゼーションフィニッシュ(踊りの激情0)"", IF(ISNUMBER(check), INDEX(Skill!$AJ:$AJ, MATCH(SUBSTITUTE(DV$4, 0, check), Skill!$C:$C, 0)), 0),
         IF(
           AND(check=TRUE, REGEXMATCH(assign, ""RANGE_PARTY"")),
           IF(
             OR(ARRAYFORMULA((IF(pr"&amp;"econdition="""", FALSE, REGEXMATCH($K$4:$ED$4, precondition))) * (K42:ED42=TRUE))),
             enhance,
             IF(barrier="""", buff, barrier)
           ),
           0
         )
       ) *
       SWITCH(
         job,
         ""ナイト"", EY$24,
 "&amp;"        ""戦士"", FD$24,
         ""踊り子"", ET$24,
         ""ピクトマンサー"", ET$24,
         ""白魔道士"", EF42 * EH42 * IF(abillity, 1, EG42 * EI42) * (Option!$D$22 * 0.81 / 100),
         ""占星術師"", EF42 * EJ42 * IF(abillity, 1, EG42 * EK42) * (Option!$D$23 * 0.81 "&amp;"/ 100),
         ""学者"", EF42 * EL42 * IF(abillity, 1, EG42 * EM42) * (Option!$D$24 * 0.81 / 100),
         ""賢者"", EF42 * EN42 * IF(abillity, 1, EG42 * EO42) * (Option!$D$25 * 0.81 / 100),
         1
       )
     )
   )
 )"),0.0)</f>
        <v>0</v>
      </c>
      <c r="ER42" s="202">
        <f t="shared" si="4"/>
        <v>0</v>
      </c>
      <c r="ES42" s="203">
        <f t="shared" si="5"/>
        <v>0</v>
      </c>
      <c r="ET42" s="204" t="str">
        <f>IFERROR(__xludf.DUMMYFUNCTION("IFS(
  EP42 &gt; $ET$24 + EQ42,
  SPARKLINE({ 1, 0 }, {""charttype"",""bar"";""max"", 1;""color1"",Option!$D$30;""color2"",Option!$D$30}),
  EP42 &lt; EQ42,
  SPARKLINE({EQ42 - EP42, $ET$24 - (EQ42 - EP42)}, {""charttype"",""bar"";""max"",$ET$24;""color1"",Opti"&amp;"on!$D$28;""color2"",Option!$D$29}),
  EP42 &gt;= EQ42,
  SPARKLINE({$ET$24 + EQ42 - EP42,EP42 - EQ42}, {""charttype"",""bar"";""max"",$ET$24;""color1"",Option!$D$29;""color2"",Option!$D$30})
)"),"")</f>
        <v/>
      </c>
      <c r="EU42" s="205">
        <f>IFERROR(__xludf.DUMMYFUNCTION("PRODUCT(
   MAP(
     IF($F42=""Physical"", K$10:ED$10, IF($F42=""Magic"", K$11:ED$11, K$12:ED$12)),
     IF($F42=""Physical"", K$18:ED$18, IF($F42=""Magic"", K$19:ED$19, K$20:ED$20)),
     K$3:ED$3,
     K$5:ED$5,
     K$17:ED$17,
     K42:ED42,
     LAM"&amp;"BDA(
       mitigation,
       enhance,
       job,
       assign,
       precondition,
       check,
       IF(
         OR(AND(check=TRUE, REGEXMATCH(assign, ""SELF""), job=""ナイト""), AND(check=Option!$E$13, REGEXMATCH(assign, ""SINGLE_PARTY""))),
      "&amp;"   IF(
           OR(ARRAYFORMULA((IF(precondition="""", FALSE, REGEXMATCH($K$4:$ED$4, precondition))) * (K42:ED42=TRUE))),
           enhance,
           mitigation
         ),
         1
       )
     )
   )
 ) * EE42"),1.0)</f>
        <v>1</v>
      </c>
      <c r="EV42" s="206">
        <f t="shared" si="6"/>
        <v>0</v>
      </c>
      <c r="EW42" s="205">
        <f>IFERROR(__xludf.DUMMYFUNCTION("PRODUCT(
   MAP(
     K$3:ED$3,
     K$14:ED$14,
     K$13:ED$13,
     K42:ED42,
     LAMBDA(
       job,
       buff,
       target,
       check,
       IF(
         OR(AND(check=TRUE, REGEXMATCH(target, ""SELF_AFFECTED_ALL""), job=""ナイト""), AND(check=O"&amp;"ption!$E$13, REGEXMATCH(target, ""SINGLE_AFFECTED_ALL""))),
         buff,
         1
       )
     )
   )
 )"),1.0)</f>
        <v>1</v>
      </c>
      <c r="EX42" s="206">
        <f>IFERROR(__xludf.DUMMYFUNCTION("SUM(
   MAP(
     K$3:ED$3,
     K$7:ED$7,
     K$15:ED$15,
     K$16:ED$16,
     K$21:ED$21,
     K$5:ED$5,
     K$17:ED$17,
     K42:ED42,
     LAMBDA(
       job,
       abillity,
       buff,
       barrier,
       enhance,
       assign,
       preco"&amp;"ndition,
       check,
       IF(
         OR(AND(check=TRUE, REGEXMATCH(assign, ""SELF""), job=""ナイト""), AND(check=Option!$E$13, REGEXMATCH(assign, ""SINGLE_PARTY""))),
         IF(
           OR(ARRAYFORMULA((IF(precondition="""", FALSE, REGEXMATCH($K$4"&amp;":$ED$4, precondition))) * (K42:ED42=TRUE))),
           enhance,
           IF(barrier="""", buff, barrier)
         ),
         0
       ) *
       SWITCH(
         job,
         ""暗黒騎士"", EY$24,
         ""白魔道士"", EF42 * EH42 * EW42 * IF(abillity, 1, EG"&amp;"42 * EI42) * (Option!$D$22 * 0.81 / 100),
         ""占星術師"", EF42 * EJ42 * EW42 * IF(abillity, 1, EG42 * EK42) * (Option!$D$23 * 0.81 / 100),
         ""学者"", EF42 * EL42 * EW42 * IF(abillity, 1, EG42 * EM42) * (Option!$D$24 * 0.81 / 100),
         ""賢者"""&amp;", EF42 * EN42 * EW42 * IF(abillity, 1, EG42 * EO42) * (Option!$D$25 * 0.81 / 100),
         1
       )
     )
   )
 ) + EQ42"),0.0)</f>
        <v>0</v>
      </c>
      <c r="EY42" s="206">
        <f t="shared" si="7"/>
        <v>0</v>
      </c>
      <c r="EZ42" s="205">
        <f>IFERROR(__xludf.DUMMYFUNCTION("PRODUCT(
   MAP(
     IF($F42=""Physical"", K$10:ED$10, IF($F42=""Magic"", K$11:ED$11, K$12:ED$12)),
     IF($F42=""Physical"", K$18:ED$18, IF($F42=""Magic"", K$19:ED$19, K$20:ED$20)),
     K$3:ED$3,
     K$5:ED$5,
     K$17:ED$17,
     K42:ED42,
     LAM"&amp;"BDA(
       mitigation,
       enhance,
       job,
       assign,
       precondition,
       check,
       IF(
         OR(AND(check=TRUE, REGEXMATCH(assign, ""SELF""), job=""戦士""), AND(check=Option!$F$13, REGEXMATCH(assign, ""SINGLE_PARTY""))),
       "&amp;"  IF(
           OR(ARRAYFORMULA((IF(precondition="""", FALSE, REGEXMATCH($K$4:$ED$4, precondition))) * (K42:ED42=TRUE))),
           enhance,
           mitigation
         ),
         1
       )
     )
   )
 ) * EE42"),1.0)</f>
        <v>1</v>
      </c>
      <c r="FA42" s="206">
        <f t="shared" si="8"/>
        <v>0</v>
      </c>
      <c r="FB42" s="205">
        <f>IFERROR(__xludf.DUMMYFUNCTION("PRODUCT(
   MAP(
     K$3:ED$3,
     K$14:ED$14,
     K$13:ED$13,
     K42:ED42,
     LAMBDA(
       job,
       buff,
       target,
       check,
       IF(
         OR(AND(check=TRUE, REGEXMATCH(target, ""SELF_AFFECTED_ALL""), job=""戦士""), AND(check=Op"&amp;"tion!$F$13, REGEXMATCH(target, ""SINGLE_AFFECTED_ALL""))),
         buff,
         1
       )
     )
   )
 )"),1.0)</f>
        <v>1</v>
      </c>
      <c r="FC42" s="206">
        <f>IFERROR(__xludf.DUMMYFUNCTION("SUM(
   MAP(
     K$3:ED$3,
     K$7:ED$7,
     K$15:ED$15,
     K$16:ED$16,
     K$21:ED$21,
     K$5:ED$5,
     K$17:ED$17,
     K42:ED42,
     LAMBDA(
       job,
       abillity,
       buff,
       barrier,
       enhance,
       assign,
       preco"&amp;"ndition,
       check,
       IF(
         OR(AND(check=TRUE, REGEXMATCH(assign, ""SELF""), job=""戦士""), AND(check=Option!$F$13, REGEXMATCH(assign, ""SINGLE_PARTY""))),
         IF(
           OR(ARRAYFORMULA((IF(precondition="""", FALSE, REGEXMATCH($K$4:"&amp;"$ED$4, precondition))) * (K42:ED42=TRUE))),
           enhance,
           IF(barrier="""", buff, barrier)
         ),
         0
       ) *
       SWITCH(
         job,
         ""暗黒騎士"", FD$24,
         ""白魔道士"", EF42 * EH42 * FB42 * IF(abillity, 1, EG4"&amp;"2 * EI42) * (Option!$D$22 * 0.81 / 100),
         ""占星術師"", EF42 * EJ42 * FFB42 * IF(abillity, 1, EG42 * EK42) * (Option!$D$23 * 0.81 / 100),
         ""学者"", EF42 * EL42 * FB42 * IF(abillity, 1, EG42 * EM42) * (Option!$D$24 * 0.81 / 100),
         ""賢者"""&amp;", EF42 * EN42 * FB42 * IF(abillity, 1, EG42 * EO42) * (Option!$D$25 * 0.81 / 100),
         1
       )
     )
   )
 ) + EQ42"),0.0)</f>
        <v>0</v>
      </c>
      <c r="FD42" s="206">
        <f t="shared" si="9"/>
        <v>0</v>
      </c>
      <c r="FE42" s="205">
        <f>IFERROR(__xludf.DUMMYFUNCTION("PRODUCT(
   MAP(
     IF($F42=""Physical"", K$10:ED$10, IF($F42=""Magic"", K$11:ED$11, K$12:ED$12)),
     IF($F42=""Physical"", K$18:ED$18, IF($F42=""Magic"", K$19:ED$19, K$20:ED$20)),
     K$3:ED$3,
     K$5:ED$5,
     K$17:ED$17,
     K42:ED42,
     LAM"&amp;"BDA(
       mitigation,
       enhance,
       job,
       assign,
       precondition,
       check,
       IF(
         OR(AND(check=TRUE, REGEXMATCH(assign, ""SELF""), job=""暗黒騎士""), AND(check=Option!$G$13, REGEXMATCH(assign, ""SINGLE_PARTY""))),
     "&amp;"    IF(
           OR(ARRAYFORMULA((IF(precondition="""", FALSE, REGEXMATCH($K$4:$ED$4, precondition))) * (K42:ED42=TRUE))),
           enhance,
           mitigation
         ),
         1
       )
     )
   )
 ) * EE42"),1.0)</f>
        <v>1</v>
      </c>
      <c r="FF42" s="206">
        <f t="shared" si="10"/>
        <v>0</v>
      </c>
      <c r="FG42" s="205">
        <f>IFERROR(__xludf.DUMMYFUNCTION("PRODUCT(
   MAP(
     K$3:ED$3,
     K$14:ED$14,
     K$13:ED$13,
     K42:ED42,
     LAMBDA(
       job,
       buff,
       target,
       check,
       IF(
         OR(AND(check=TRUE, REGEXMATCH(target, ""SELF_AFFECTED_ALL""), job=""暗黒騎士""), AND(check="&amp;"Option!$G$13, REGEXMATCH(target, ""SINGLE_AFFECTED_ALL""))),
         buff,
         1
       )
     )
   )
 )"),1.0)</f>
        <v>1</v>
      </c>
      <c r="FH42" s="206">
        <f>IFERROR(__xludf.DUMMYFUNCTION("SUM(
   MAP(
     K$3:ED$3,
     K$7:ED$7,
     K$15:ED$15,
     K$16:ED$16,
     K$21:ED$21,
     K$5:ED$5,
     K$17:ED$17,
     K42:ED42,
     LAMBDA(
       job,
       abillity,
       buff,
       barrier,
       enhance,
       assign,
       preco"&amp;"ndition,
       check,
       IF(
         OR(AND(check=TRUE, REGEXMATCH(assign, ""SELF""), job=""暗黒騎士""), AND(check=Option!$G$13, REGEXMATCH(assign, ""SINGLE_PARTY""))),
         IF(
           OR(ARRAYFORMULA((IF(precondition="""", FALSE, REGEXMATCH($K$"&amp;"4:$ED$4, precondition))) * (K42:ED42=TRUE))),
           enhance,
           IF(barrier="""", buff, barrier)
         ),
         0
       ) *
       SWITCH(
         job,
         ""暗黒騎士"", FI$24,
         ""白魔道士"", EF42 * EH42 * FG42 * IF(abillity, 1, E"&amp;"G42 * EI42) * (Option!$D$22 * 0.81 / 100),
         ""占星術師"", EF42 * EJ42 * FG42 * IF(abillity, 1, EG42 * EK42) * (Option!$D$23 * 0.81 / 100),
         ""学者"", EF42 * EL42 * FG42 * IF(abillity, 1, EG42 * EM42) * (Option!$D$24 * 0.81 / 100),
         ""賢者"&amp;""", EF42 * EN42 * FG42 * IF(abillity, 1, EG42 * EO42) * (Option!$D$25 * 0.81 / 100),
         1
       )
     )
   )
 ) + EQ42"),0.0)</f>
        <v>0</v>
      </c>
      <c r="FI42" s="206">
        <f t="shared" si="11"/>
        <v>0</v>
      </c>
      <c r="FJ42" s="205">
        <f>IFERROR(__xludf.DUMMYFUNCTION("PRODUCT(
   MAP(
     IF($F42=""Physical"", K$10:ED$10, IF($F42=""Magic"", K$11:ED$11, K$12:ED$12)),
     IF($F42=""Physical"", K$18:ED$18, IF($F42=""Magic"", K$19:ED$19, K$20:ED$20)),
     K$3:ED$3,
     K$5:ED$5,
     K$17:ED$17,
     K42:ED42,
     LAM"&amp;"BDA(
       mitigation,
       enhance,
       job,
       assign,
       precondition,
       check,
       IF(
         OR(AND(check=TRUE, REGEXMATCH(assign, ""SELF""), job=""ガンブレイカー""), AND(check=Option!$H$13, REGEXMATCH(assign, ""SINGLE_PARTY""))),
  "&amp;"       IF(
           OR(ARRAYFORMULA((IF(precondition="""", FALSE, REGEXMATCH($K$4:$ED$4, precondition))) * (K42:ED42=TRUE))),
           enhance,
           mitigation
         ),
         1
       )
     )
   )
 ) * EE42"),1.0)</f>
        <v>1</v>
      </c>
      <c r="FK42" s="206">
        <f t="shared" si="12"/>
        <v>0</v>
      </c>
      <c r="FL42" s="205">
        <f>IFERROR(__xludf.DUMMYFUNCTION("PRODUCT(
   MAP(
     K$3:ED$3,
     K$14:ED$14,
     K$13:ED$13,
     K42:ED42,
     LAMBDA(
       job,
       buff,
       target,
       check,
       IF(
         OR(AND(check=TRUE, REGEXMATCH(target, ""SELF_AFFECTED_ALL""), job=""ガンブレイカー""), AND(che"&amp;"ck=Option!$H$13, REGEXMATCH(target, ""SINGLE_AFFECTED_ALL""))),
         buff,
         1
       )
     )
   )
 )"),1.0)</f>
        <v>1</v>
      </c>
      <c r="FM42" s="206">
        <f>IFERROR(__xludf.DUMMYFUNCTION("SUM(
   MAP(
     K$3:ED$3,
     K$7:ED$7,
     K$15:ED$15,
     K$16:ED$16,
     K$21:ED$21,
     K$5:ED$5,
     K$17:ED$17,
     K42:ED42,
     LAMBDA(
       job,
       abillity,
       buff,
       barrier,
       enhance,
       assign,
       preco"&amp;"ndition,
       check,
       IF(
         OR(AND(check=TRUE, REGEXMATCH(assign, ""SELF""), job=""ガンブレイカー""), AND(check=Option!$H$13, REGEXMATCH(assign, ""SINGLE_PARTY""))),
         IF(
           OR(ARRAYFORMULA((IF(precondition="""", FALSE, REGEXMATCH("&amp;"$K$4:$ED$4, precondition))) * (K42:ED42=TRUE))),
           enhance,
           IF(barrier="""", buff, barrier)
         ),
         0
       ) *
       SWITCH(
         job,
         ""暗黒騎士"", FN$24,
         ""白魔道士"", EF42 * EH42 * FL42 * IF(abillity, 1"&amp;", EG42 * EI42) * (Option!$D$22 * 0.81 / 100),
         ""占星術師"", EF42 * EJ42 * FL42 * IF(abillity, 1, EG42 * EK42) * (Option!$D$23 * 0.81 / 100),
         ""学者"", EF42 * EL42 * FL42 * IF(abillity, 1, EG42 * EM42) * (Option!$D$24 * 0.81 / 100),
         """&amp;"賢者"", EF42 * EN42 * FL42 * IF(abillity, 1, EG42 * EO42) * (Option!$D$25 * 0.81 / 100),
         1
       )
     )
   )
 ) + EQ42"),0.0)</f>
        <v>0</v>
      </c>
      <c r="FN42" s="206">
        <f t="shared" si="13"/>
        <v>0</v>
      </c>
      <c r="FO42" s="213"/>
    </row>
    <row r="43">
      <c r="B43" s="229"/>
      <c r="C43" s="217">
        <f t="shared" si="1"/>
        <v>0</v>
      </c>
      <c r="D43" s="236"/>
      <c r="E43" s="219"/>
      <c r="F43" s="167"/>
      <c r="G43" s="168" t="str">
        <f t="shared" si="2"/>
        <v/>
      </c>
      <c r="H43" s="169"/>
      <c r="I43" s="169"/>
      <c r="J43" s="169"/>
      <c r="K43" s="170" t="b">
        <v>0</v>
      </c>
      <c r="L43" s="170" t="b">
        <v>0</v>
      </c>
      <c r="M43" s="170" t="b">
        <v>0</v>
      </c>
      <c r="N43" s="171" t="s">
        <v>1070</v>
      </c>
      <c r="O43" s="172" t="b">
        <v>0</v>
      </c>
      <c r="P43" s="173" t="b">
        <v>0</v>
      </c>
      <c r="Q43" s="173" t="b">
        <v>0</v>
      </c>
      <c r="R43" s="173" t="b">
        <v>0</v>
      </c>
      <c r="S43" s="174" t="b">
        <v>0</v>
      </c>
      <c r="T43" s="175" t="b">
        <v>0</v>
      </c>
      <c r="U43" s="173" t="b">
        <v>0</v>
      </c>
      <c r="V43" s="171" t="s">
        <v>1070</v>
      </c>
      <c r="W43" s="172" t="b">
        <v>0</v>
      </c>
      <c r="X43" s="173" t="b">
        <v>0</v>
      </c>
      <c r="Y43" s="173" t="b">
        <v>0</v>
      </c>
      <c r="Z43" s="173" t="b">
        <v>0</v>
      </c>
      <c r="AA43" s="174" t="b">
        <v>0</v>
      </c>
      <c r="AB43" s="174" t="b">
        <v>0</v>
      </c>
      <c r="AC43" s="175" t="b">
        <v>0</v>
      </c>
      <c r="AD43" s="173" t="b">
        <v>0</v>
      </c>
      <c r="AE43" s="176" t="s">
        <v>1070</v>
      </c>
      <c r="AF43" s="171" t="s">
        <v>1070</v>
      </c>
      <c r="AG43" s="177">
        <f>IFERROR(__xludf.DUMMYFUNCTION("IF(
  ISNUMBER(AG42),
  MIN(MAX(
    AG42
    + MAX(
      ROUNDDOWN(($D43 - MAX(IFERROR(FILTER($D$24:$D42, AG$24:AG42 &lt;&gt; AF$6, AG$23:AG41 = AF$6), 0))) * (60 * 60 * 24) / AF$9) - ROUNDDOWN(($D42 - MAX(IFERROR(FILTER($D$23:$D41, AG$23:AG41 &lt;&gt; AF$6, AG$22:"&amp;"AG40 = AF$6), 0))) * (60 * 60 * 24) / 60),
      0
    )
    - COUNTIF(AF43, ""&lt;&gt;-""),
  0), AF$6),
  AF$6 - COUNTIF(AF43, ""&lt;&gt;-"")
)"),2.0)</f>
        <v>2</v>
      </c>
      <c r="AH43" s="173" t="b">
        <v>0</v>
      </c>
      <c r="AI43" s="173" t="b">
        <v>0</v>
      </c>
      <c r="AJ43" s="173" t="b">
        <v>0</v>
      </c>
      <c r="AK43" s="174" t="b">
        <v>0</v>
      </c>
      <c r="AL43" s="175" t="b">
        <v>0</v>
      </c>
      <c r="AM43" s="173" t="b">
        <v>0</v>
      </c>
      <c r="AN43" s="171" t="s">
        <v>1070</v>
      </c>
      <c r="AO43" s="173" t="b">
        <v>0</v>
      </c>
      <c r="AP43" s="173" t="b">
        <v>0</v>
      </c>
      <c r="AQ43" s="173" t="b">
        <v>0</v>
      </c>
      <c r="AR43" s="174" t="b">
        <v>0</v>
      </c>
      <c r="AS43" s="178" t="b">
        <v>0</v>
      </c>
      <c r="AT43" s="179" t="b">
        <v>0</v>
      </c>
      <c r="AU43" s="180" t="b">
        <v>0</v>
      </c>
      <c r="AV43" s="180" t="b">
        <v>0</v>
      </c>
      <c r="AW43" s="180" t="b">
        <v>0</v>
      </c>
      <c r="AX43" s="180" t="b">
        <v>0</v>
      </c>
      <c r="AY43" s="181" t="s">
        <v>1070</v>
      </c>
      <c r="AZ43" s="181" t="s">
        <v>1070</v>
      </c>
      <c r="BA43" s="184">
        <f>IFERROR(__xludf.DUMMYFUNCTION("IF(
  ISNUMBER(BA42),
  MIN(MAX(
    BA42
    + MAX(
      ROUNDDOWN((D43 - MAX(IFERROR(FILTER(D$24:D42, BA$24:BA42 &lt;&gt; AZ$6, BA$23:BA41 = AZ$6), 0))) * (60 * 60 * 24) / AZ$9) - ROUNDDOWN((D42 - MAX(IFERROR(FILTER(D$23:D41, BA$23:BA41 &lt;&gt; AZ$6, BA$22:BA40 ="&amp;" AZ$6), 0))) * (60 * 60 * 24) / AZ$9),
      0
    )
    - COUNTIF(AZ43, ""&lt;&gt;-""),
  0), AZ$6),
  AZ$6 - COUNTIF(AZ43, ""&lt;&gt;-"")
)"),2.0)</f>
        <v>2</v>
      </c>
      <c r="BB43" s="181" t="s">
        <v>1070</v>
      </c>
      <c r="BC43" s="183">
        <f>IFERROR(__xludf.DUMMYFUNCTION("IF(
  ISNUMBER(BC42),
  MIN(MAX(
    BC42
    + MAX(
      ROUNDDOWN(($D43 - MAX(IFERROR(FILTER($D$24:$D42, BC$24:BC42 &lt;&gt; BB$6, BC$23:BC41 = BB$6), 0))) * (60 * 60 * 24) / BB$9) - ROUNDDOWN(($D42 - MAX(IFERROR(FILTER($D$23:$D41, BC$23:BC41 &lt;&gt; BB$6, BC$22:"&amp;"BC40 = BB$6), 0))) * (60 * 60 * 24) / 60),
      0
    )
    - COUNTIF(BB43, ""&lt;&gt;-""),
  0), BB$6),
  BB$6 - COUNTIF(BB43, ""&lt;&gt;-"")
)"),2.0)</f>
        <v>2</v>
      </c>
      <c r="BD43" s="181" t="s">
        <v>1070</v>
      </c>
      <c r="BE43" s="178" t="b">
        <v>0</v>
      </c>
      <c r="BF43" s="180" t="b">
        <v>0</v>
      </c>
      <c r="BG43" s="180" t="b">
        <v>0</v>
      </c>
      <c r="BH43" s="180" t="b">
        <v>0</v>
      </c>
      <c r="BI43" s="180" t="b">
        <v>0</v>
      </c>
      <c r="BJ43" s="180" t="b">
        <v>0</v>
      </c>
      <c r="BK43" s="180" t="b">
        <v>0</v>
      </c>
      <c r="BL43" s="180" t="b">
        <v>0</v>
      </c>
      <c r="BM43" s="180" t="b">
        <v>0</v>
      </c>
      <c r="BN43" s="180" t="b">
        <v>0</v>
      </c>
      <c r="BO43" s="181" t="s">
        <v>1070</v>
      </c>
      <c r="BP43" s="181" t="s">
        <v>1070</v>
      </c>
      <c r="BQ43" s="181" t="s">
        <v>1070</v>
      </c>
      <c r="BR43" s="181" t="s">
        <v>1070</v>
      </c>
      <c r="BS43" s="181" t="s">
        <v>1070</v>
      </c>
      <c r="BT43" s="184">
        <f>IFERROR(__xludf.DUMMYFUNCTION("IF(
  ISNUMBER(BT42),
  MIN(MAX(
    BT42
    + MAX(
      ROUNDDOWN((D43 - MAX(IFERROR(FILTER(D$24:D42, BT$24:BT42 &lt;&gt; BS$6, BT$23:BT41 = BS$6), 0))) * (60 * 60 * 24) / BS$9) - ROUNDDOWN((D42 - MAX(IFERROR(FILTER(D$23:D41, BT$23:BT41 &lt;&gt; BS$6, BT$22:BT40 ="&amp;" BS$6), 0))) * (60 * 60 * 24) / BS$9),
      0
    )
    - COUNTIF(BS43, ""&lt;&gt;-""),
  0), BS$6),
  BS$6 - COUNTIF(BS43, ""&lt;&gt;-"")
)"),3.0)</f>
        <v>3</v>
      </c>
      <c r="BU43" s="181" t="s">
        <v>1070</v>
      </c>
      <c r="BV43" s="181" t="s">
        <v>1070</v>
      </c>
      <c r="BW43" s="184">
        <f>IFERROR(__xludf.DUMMYFUNCTION("IF(
  ISNUMBER(BW42),
  MIN(MAX(
    BW42
    + MAX(
      ROUNDDOWN((D43 - MAX(IFERROR(FILTER(D$24:D42, BW$24:BW42 &lt;&gt; BV$6, BW$23:BW41 = BV$6), 0))) * (60 * 60 * 24) / BV$9) - ROUNDDOWN((D42 - MAX(IFERROR(FILTER(D$23:D41, BW$23:BW41 &lt;&gt; BV$6, BW$22:BW40 ="&amp;" BV$6), 0))) * (60 * 60 * 24) / BV$9),
      0
    )
    - COUNTIF(BV43, ""&lt;&gt;-""),
  0), BV$6),
  BV$6 - COUNTIF(BV43, ""&lt;&gt;-"")
)"),2.0)</f>
        <v>2</v>
      </c>
      <c r="BX43" s="185" t="s">
        <v>1070</v>
      </c>
      <c r="BY43" s="178" t="b">
        <v>0</v>
      </c>
      <c r="BZ43" s="180" t="b">
        <v>0</v>
      </c>
      <c r="CA43" s="180" t="b">
        <v>0</v>
      </c>
      <c r="CB43" s="180" t="b">
        <v>0</v>
      </c>
      <c r="CC43" s="180" t="b">
        <v>0</v>
      </c>
      <c r="CD43" s="180" t="b">
        <v>0</v>
      </c>
      <c r="CE43" s="180" t="b">
        <v>0</v>
      </c>
      <c r="CF43" s="180" t="b">
        <v>0</v>
      </c>
      <c r="CG43" s="180" t="b">
        <v>0</v>
      </c>
      <c r="CH43" s="180" t="b">
        <v>0</v>
      </c>
      <c r="CI43" s="180" t="b">
        <v>0</v>
      </c>
      <c r="CJ43" s="180" t="b">
        <v>0</v>
      </c>
      <c r="CK43" s="180" t="b">
        <v>0</v>
      </c>
      <c r="CL43" s="180" t="b">
        <v>0</v>
      </c>
      <c r="CM43" s="181" t="s">
        <v>1070</v>
      </c>
      <c r="CN43" s="181" t="s">
        <v>1070</v>
      </c>
      <c r="CO43" s="181" t="s">
        <v>1070</v>
      </c>
      <c r="CP43" s="181" t="s">
        <v>1070</v>
      </c>
      <c r="CQ43" s="185" t="s">
        <v>1070</v>
      </c>
      <c r="CR43" s="180" t="b">
        <v>0</v>
      </c>
      <c r="CS43" s="186" t="str">
        <f t="shared" si="14"/>
        <v>◇◇◇</v>
      </c>
      <c r="CT43" s="178" t="b">
        <v>0</v>
      </c>
      <c r="CU43" s="180" t="b">
        <v>0</v>
      </c>
      <c r="CV43" s="180" t="b">
        <v>0</v>
      </c>
      <c r="CW43" s="180" t="b">
        <v>0</v>
      </c>
      <c r="CX43" s="180" t="b">
        <v>0</v>
      </c>
      <c r="CY43" s="180" t="b">
        <v>0</v>
      </c>
      <c r="CZ43" s="180" t="b">
        <v>0</v>
      </c>
      <c r="DA43" s="180" t="b">
        <v>0</v>
      </c>
      <c r="DB43" s="180" t="b">
        <v>0</v>
      </c>
      <c r="DC43" s="180" t="b">
        <v>0</v>
      </c>
      <c r="DD43" s="181" t="s">
        <v>1070</v>
      </c>
      <c r="DE43" s="181" t="s">
        <v>1070</v>
      </c>
      <c r="DF43" s="181" t="s">
        <v>1070</v>
      </c>
      <c r="DG43" s="185" t="s">
        <v>1070</v>
      </c>
      <c r="DH43" s="180" t="b">
        <v>0</v>
      </c>
      <c r="DI43" s="187" t="str">
        <f>IFERROR(__xludf.DUMMYFUNCTION("SWITCH(
  IF(
    ISTEXT(DI42),
    IF (
      FIND(""○"", DI42&amp;""○"") &gt; 3,
      3,
      FIND(""○"", DI42&amp;""○"")
      + MAX(
        ROUNDDOWN(($D43 - MAX(IFERROR(FILTER(D$24:D42, DI$24:DI42 &lt;&gt; ""●●●"", DI$23:DI41 = ""●●●""), 0))) * (60 * 60 * 24) / 20"&amp;") - ROUNDDOWN(($D42 - MAX(IFERROR(FILTER(D$23:D41, DI$23:DI41 &lt;&gt; ""●●●"", DI$22:DI40 = ""●●●""), 0))) * (60 * 60 * 24) / 20),
        0
      ) - 1
    ) - COUNTIFS(CU43, ""=TRUE"", CU42, ""&lt;&gt;TRUE"") - COUNTIF(CZ43, ""=TRUE"") - COUNTIF({DD43,DE43}, ""&lt;&gt;-"&amp;""") + COUNTIF(DH43, ""=TRUE""),
    3
  ),
  0, ""○○○"", 1, ""●○○"", 2, ""●●○"", 3, ""●●●"", 4, ""●●●"", ""○○○""
)"),"●●●")</f>
        <v>●●●</v>
      </c>
      <c r="DJ43" s="188" t="b">
        <v>0</v>
      </c>
      <c r="DK43" s="189" t="b">
        <v>0</v>
      </c>
      <c r="DL43" s="190" t="b">
        <v>0</v>
      </c>
      <c r="DM43" s="190" t="b">
        <v>0</v>
      </c>
      <c r="DN43" s="190" t="b">
        <v>0</v>
      </c>
      <c r="DO43" s="190" t="b">
        <v>0</v>
      </c>
      <c r="DP43" s="190" t="b">
        <v>0</v>
      </c>
      <c r="DQ43" s="191" t="b">
        <v>0</v>
      </c>
      <c r="DR43" s="192" t="b">
        <v>0</v>
      </c>
      <c r="DS43" s="191" t="b">
        <v>0</v>
      </c>
      <c r="DT43" s="192" t="b">
        <v>0</v>
      </c>
      <c r="DU43" s="191" t="b">
        <v>0</v>
      </c>
      <c r="DV43" s="193" t="s">
        <v>1070</v>
      </c>
      <c r="DW43" s="194" t="b">
        <v>0</v>
      </c>
      <c r="DX43" s="194" t="b">
        <v>0</v>
      </c>
      <c r="DY43" s="195" t="b">
        <v>0</v>
      </c>
      <c r="DZ43" s="196" t="b">
        <v>0</v>
      </c>
      <c r="EA43" s="195" t="b">
        <v>0</v>
      </c>
      <c r="EB43" s="197" t="b">
        <v>0</v>
      </c>
      <c r="EC43" s="197" t="b">
        <v>0</v>
      </c>
      <c r="ED43" s="212" t="b">
        <v>0</v>
      </c>
      <c r="EE43" s="199">
        <f>IFERROR(__xludf.DUMMYFUNCTION("IFERROR(
   PRODUCT(
     MAP(
       INDEX(TRANSPOSE(UNIQUE(TRANSPOSE(FILTER({IF($F43=""Physical"", K$10:ED$10, IF($F43=""Magic"", K$11:ED$11, K$12:ED$12));K$4:ED$4;K43:ED43}, K43:ED43=TRUE)))), 1, 0),
       INDEX(TRANSPOSE(UNIQUE(TRANSPOSE(FILTER({IF($"&amp;"F43=""Physical"", K$18:ED$18, IF($F43=""Magic"", K$19:ED$19, K$20:ED$20));K$4:ED$4;K43:ED43}, K43:ED43=TRUE)))), 1, 0),
       INDEX(TRANSPOSE(UNIQUE(TRANSPOSE(FILTER({K$5:ED$5;K$4:ED$4;K43:ED43}, K43:ED43=TRUE)))), 1, 0),
       INDEX(TRANSPOSE(UNIQUE(TR"&amp;"ANSPOSE(FILTER({K$17:ED$17;K$4:ED$4;K43:ED43}, K43:ED43=TRUE)))), 1, 0),
       LAMBDA(
         mitigation,
         enhance,
         assign,
         precondition,
         IF(
           REGEXMATCH(assign, ""RANGE_PARTY|SINGLE_ENEMY|RANGE_ENEMY""),
  "&amp;"         IF(
             OR(ARRAYFORMULA((IF(precondition="""", FALSE, REGEXMATCH(K$4:ED$4, precondition))) * (K43:ED43=TRUE))),
             IF(ISNUMBER(enhance), enhance, 1),
             IF(ISNUMBER(mitigation), mitigation, 1)
           ),
          "&amp;" 1
         )
       )
     )
   ),
   1
 )"),1.0)</f>
        <v>1</v>
      </c>
      <c r="EF43" s="200">
        <f>IFERROR(__xludf.DUMMYFUNCTION("PRODUCT(
   MAP(
     K$14:ED$14,
     K$13:ED$13,
     K43:ED43,
     LAMBDA(
       buff,
       target,
       check,
       IF(
         AND(check=TRUE, REGEXMATCH(target, ""RANGE_AFFECTED_ALL|RANGE_EFFECTED_ALL""), ISNUMBER(buff)),
         buff,
   "&amp;"      1
       )
     )
   )
 )"),1.0)</f>
        <v>1</v>
      </c>
      <c r="EG43" s="200">
        <f>IFERROR(__xludf.DUMMYFUNCTION("PRODUCT(
   MAP(
     K$14:ED$14,
     K$13:ED$13,
     K43:ED43,
     LAMBDA(
       buff,
       target,
       check,
       IF(
         AND(check=TRUE, REGEXMATCH(target, ""RANGE_AFFECTED_GCD|RANGE_EFFECTED_GCD""), ISNUMBER(buff)),
         buff,
   "&amp;"      1
       )
     )
   )
 )"),1.0)</f>
        <v>1</v>
      </c>
      <c r="EH43" s="200">
        <f>IFERROR(__xludf.DUMMYFUNCTION("PRODUCT(
   MAP(
     K$3:ED$3,
     K$14:ED$14,
     K$13:ED$13,
     K43:ED43,
     LAMBDA(
       job,
       buff,
       target,
       check,
       IF(
         AND(check=TRUE, REGEXMATCH(target, ""SELF_EFFECTED_ALL""), ISNUMBER(buff), job=""白魔道士"""&amp;"),
         buff,
         1
       )
     )
   )
 )"),1.0)</f>
        <v>1</v>
      </c>
      <c r="EI43" s="200">
        <f>IFERROR(__xludf.DUMMYFUNCTION("PRODUCT(
   MAP(
     K$3:ED$3,
     K$14:ED$14,
     K$13:ED$13,
     K43:ED43,
     LAMBDA(
       job,
       buff,
       target,
       check,
       IF(
         AND(check=TRUE, REGEXMATCH(target, ""SELF_EFFECTED_GCD""), ISNUMBER(buff), job=""白魔道士"""&amp;"),
         buff,
         1
       )
     )
   )
 )"),1.0)</f>
        <v>1</v>
      </c>
      <c r="EJ43" s="200">
        <f>IFERROR(__xludf.DUMMYFUNCTION("PRODUCT(
   MAP(
     K$3:ED$3,
     K$14:ED$14,
     K$13:ED$13,
     K43:ED43,
     LAMBDA(
       job,
       buff,
       target,
       check,
       IF(
         AND(check=TRUE, REGEXMATCH(target, ""SELF_EFFECTED_ALL""), ISNUMBER(buff), job=""占星術師"""&amp;"),
         buff,
         1
       )
     )
   )
 )"),1.0)</f>
        <v>1</v>
      </c>
      <c r="EK43" s="200">
        <f>IFERROR(__xludf.DUMMYFUNCTION("PRODUCT(
   MAP(
     K$3:ED$3,
     K$14:ED$14,
     K$13:ED$13,
     K43:ED43,
     LAMBDA(
       job,
       buff,
       target,
       check,
       IF(
         AND(check=TRUE, REGEXMATCH(target, ""SELF_EFFECTED_GCD""), ISNUMBER(buff), job=""占星術師"""&amp;"),
         buff,
         1
       )
     )
   )
 )"),1.0)</f>
        <v>1</v>
      </c>
      <c r="EL43" s="200">
        <f>IFERROR(__xludf.DUMMYFUNCTION("PRODUCT(
   MAP(
     K$3:ED$3,
     K$14:ED$14,
     K$13:ED$13,
     K43:ED43,
     LAMBDA(
       job,
       buff,
       target,
       check,
       IF(
         AND(check=TRUE, REGEXMATCH(target, ""SELF_EFFECTED_ALL""), ISNUMBER(buff), job=""学者""),"&amp;"
         buff,
         1
       )
     )
   )
 )"),1.0)</f>
        <v>1</v>
      </c>
      <c r="EM43" s="200">
        <f>IFERROR(__xludf.DUMMYFUNCTION("PRODUCT(
   MAP(
     K$3:ED$3,
     K$14:ED$14,
     K$13:ED$13,
     K43:ED43,
     LAMBDA(
       job,
       buff,
       target,
       check,
       IF(
         AND(check=TRUE, REGEXMATCH(target, ""SELF_EFFECTED_GCD""), ISNUMBER(buff), job=""学者""),"&amp;"
         buff,
         1
       )
     )
   )
 )"),1.0)</f>
        <v>1</v>
      </c>
      <c r="EN43" s="200">
        <f>IFERROR(__xludf.DUMMYFUNCTION("PRODUCT(
   MAP(
     K$3:ED$3,
     K$14:ED$14,
     K$13:ED$13,
     K43:ED43,
     LAMBDA(
       job,
       buff,
       target,
       check,
       IF(
         AND(check=TRUE, REGEXMATCH(target, ""SELF_EFFECTED_ALL""), ISNUMBER(buff), job=""賢者""),"&amp;"
         buff,
         1
       )
     )
   )
 )"),1.0)</f>
        <v>1</v>
      </c>
      <c r="EO43" s="200">
        <f>IFERROR(__xludf.DUMMYFUNCTION("PRODUCT(
   MAP(
     K$3:ED$3,
     K$14:ED$14,
     K$13:ED$13,
     K43:ED43,
     LAMBDA(
       job,
       buff,
       target,
       check,
       IF(
         AND(check=TRUE, REGEXMATCH(target, ""SELF_EFFECTED_GCD""), ISNUMBER(buff), job=""賢者""),"&amp;"
         buff,
         1
       )
     )
   )
 )"),1.0)</f>
        <v>1</v>
      </c>
      <c r="EP43" s="201">
        <f t="shared" si="3"/>
        <v>0</v>
      </c>
      <c r="EQ43" s="201">
        <f>IFERROR(__xludf.DUMMYFUNCTION("SUM(
   MAP(
     K$4:ED$4,
     K$3:ED$3,
     K$7:ED$7,
     K$15:ED$15,
     K$16:ED$16,
     K$21:ED$21,
     K$5:ED$5,
     K$17:ED$17,
     K43:ED43,
     LAMBDA(
       name,
       job,
       abillity,
       buff,
       barrier,
       enhance,"&amp;"
       assign,
       precondition,
       check,
       SWITCH(
         name,
         ""シェイクオフ"", IF(check=TRUE, buff + (0.02 * COUNTIF(ARRAYFORMULA((REGEXMATCH($K$4:$ED$4, ""スリル・オブ・バトル|ヴェンジェンス|原初の血気|ダムネーション"")) * (K43:ED43=TRUE)), 1)), 0),
         "&amp;"""インプロビゼーションフィニッシュ(踊りの激情0)"", IF(ISNUMBER(check), INDEX(Skill!$AJ:$AJ, MATCH(SUBSTITUTE(DV$4, 0, check), Skill!$C:$C, 0)), 0),
         IF(
           AND(check=TRUE, REGEXMATCH(assign, ""RANGE_PARTY"")),
           IF(
             OR(ARRAYFORMULA((IF(pr"&amp;"econdition="""", FALSE, REGEXMATCH($K$4:$ED$4, precondition))) * (K43:ED43=TRUE))),
             enhance,
             IF(barrier="""", buff, barrier)
           ),
           0
         )
       ) *
       SWITCH(
         job,
         ""ナイト"", EY$24,
 "&amp;"        ""戦士"", FD$24,
         ""踊り子"", ET$24,
         ""ピクトマンサー"", ET$24,
         ""白魔道士"", EF43 * EH43 * IF(abillity, 1, EG43 * EI43) * (Option!$D$22 * 0.81 / 100),
         ""占星術師"", EF43 * EJ43 * IF(abillity, 1, EG43 * EK43) * (Option!$D$23 * 0.81 "&amp;"/ 100),
         ""学者"", EF43 * EL43 * IF(abillity, 1, EG43 * EM43) * (Option!$D$24 * 0.81 / 100),
         ""賢者"", EF43 * EN43 * IF(abillity, 1, EG43 * EO43) * (Option!$D$25 * 0.81 / 100),
         1
       )
     )
   )
 )"),0.0)</f>
        <v>0</v>
      </c>
      <c r="ER43" s="202">
        <f t="shared" si="4"/>
        <v>0</v>
      </c>
      <c r="ES43" s="203">
        <f t="shared" si="5"/>
        <v>0</v>
      </c>
      <c r="ET43" s="204" t="str">
        <f>IFERROR(__xludf.DUMMYFUNCTION("IFS(
  EP43 &gt; $ET$24 + EQ43,
  SPARKLINE({ 1, 0 }, {""charttype"",""bar"";""max"", 1;""color1"",Option!$D$30;""color2"",Option!$D$30}),
  EP43 &lt; EQ43,
  SPARKLINE({EQ43 - EP43, $ET$24 - (EQ43 - EP43)}, {""charttype"",""bar"";""max"",$ET$24;""color1"",Opti"&amp;"on!$D$28;""color2"",Option!$D$29}),
  EP43 &gt;= EQ43,
  SPARKLINE({$ET$24 + EQ43 - EP43,EP43 - EQ43}, {""charttype"",""bar"";""max"",$ET$24;""color1"",Option!$D$29;""color2"",Option!$D$30})
)"),"")</f>
        <v/>
      </c>
      <c r="EU43" s="205">
        <f>IFERROR(__xludf.DUMMYFUNCTION("PRODUCT(
   MAP(
     IF($F43=""Physical"", K$10:ED$10, IF($F43=""Magic"", K$11:ED$11, K$12:ED$12)),
     IF($F43=""Physical"", K$18:ED$18, IF($F43=""Magic"", K$19:ED$19, K$20:ED$20)),
     K$3:ED$3,
     K$5:ED$5,
     K$17:ED$17,
     K43:ED43,
     LAM"&amp;"BDA(
       mitigation,
       enhance,
       job,
       assign,
       precondition,
       check,
       IF(
         OR(AND(check=TRUE, REGEXMATCH(assign, ""SELF""), job=""ナイト""), AND(check=Option!$E$13, REGEXMATCH(assign, ""SINGLE_PARTY""))),
      "&amp;"   IF(
           OR(ARRAYFORMULA((IF(precondition="""", FALSE, REGEXMATCH($K$4:$ED$4, precondition))) * (K43:ED43=TRUE))),
           enhance,
           mitigation
         ),
         1
       )
     )
   )
 ) * EE43"),1.0)</f>
        <v>1</v>
      </c>
      <c r="EV43" s="206">
        <f t="shared" si="6"/>
        <v>0</v>
      </c>
      <c r="EW43" s="205">
        <f>IFERROR(__xludf.DUMMYFUNCTION("PRODUCT(
   MAP(
     K$3:ED$3,
     K$14:ED$14,
     K$13:ED$13,
     K43:ED43,
     LAMBDA(
       job,
       buff,
       target,
       check,
       IF(
         OR(AND(check=TRUE, REGEXMATCH(target, ""SELF_AFFECTED_ALL""), job=""ナイト""), AND(check=O"&amp;"ption!$E$13, REGEXMATCH(target, ""SINGLE_AFFECTED_ALL""))),
         buff,
         1
       )
     )
   )
 )"),1.0)</f>
        <v>1</v>
      </c>
      <c r="EX43" s="206">
        <f>IFERROR(__xludf.DUMMYFUNCTION("SUM(
   MAP(
     K$3:ED$3,
     K$7:ED$7,
     K$15:ED$15,
     K$16:ED$16,
     K$21:ED$21,
     K$5:ED$5,
     K$17:ED$17,
     K43:ED43,
     LAMBDA(
       job,
       abillity,
       buff,
       barrier,
       enhance,
       assign,
       preco"&amp;"ndition,
       check,
       IF(
         OR(AND(check=TRUE, REGEXMATCH(assign, ""SELF""), job=""ナイト""), AND(check=Option!$E$13, REGEXMATCH(assign, ""SINGLE_PARTY""))),
         IF(
           OR(ARRAYFORMULA((IF(precondition="""", FALSE, REGEXMATCH($K$4"&amp;":$ED$4, precondition))) * (K43:ED43=TRUE))),
           enhance,
           IF(barrier="""", buff, barrier)
         ),
         0
       ) *
       SWITCH(
         job,
         ""暗黒騎士"", EY$24,
         ""白魔道士"", EF43 * EH43 * EW43 * IF(abillity, 1, EG"&amp;"43 * EI43) * (Option!$D$22 * 0.81 / 100),
         ""占星術師"", EF43 * EJ43 * EW43 * IF(abillity, 1, EG43 * EK43) * (Option!$D$23 * 0.81 / 100),
         ""学者"", EF43 * EL43 * EW43 * IF(abillity, 1, EG43 * EM43) * (Option!$D$24 * 0.81 / 100),
         ""賢者"""&amp;", EF43 * EN43 * EW43 * IF(abillity, 1, EG43 * EO43) * (Option!$D$25 * 0.81 / 100),
         1
       )
     )
   )
 ) + EQ43"),0.0)</f>
        <v>0</v>
      </c>
      <c r="EY43" s="206">
        <f t="shared" si="7"/>
        <v>0</v>
      </c>
      <c r="EZ43" s="205">
        <f>IFERROR(__xludf.DUMMYFUNCTION("PRODUCT(
   MAP(
     IF($F43=""Physical"", K$10:ED$10, IF($F43=""Magic"", K$11:ED$11, K$12:ED$12)),
     IF($F43=""Physical"", K$18:ED$18, IF($F43=""Magic"", K$19:ED$19, K$20:ED$20)),
     K$3:ED$3,
     K$5:ED$5,
     K$17:ED$17,
     K43:ED43,
     LAM"&amp;"BDA(
       mitigation,
       enhance,
       job,
       assign,
       precondition,
       check,
       IF(
         OR(AND(check=TRUE, REGEXMATCH(assign, ""SELF""), job=""戦士""), AND(check=Option!$F$13, REGEXMATCH(assign, ""SINGLE_PARTY""))),
       "&amp;"  IF(
           OR(ARRAYFORMULA((IF(precondition="""", FALSE, REGEXMATCH($K$4:$ED$4, precondition))) * (K43:ED43=TRUE))),
           enhance,
           mitigation
         ),
         1
       )
     )
   )
 ) * EE43"),1.0)</f>
        <v>1</v>
      </c>
      <c r="FA43" s="206">
        <f t="shared" si="8"/>
        <v>0</v>
      </c>
      <c r="FB43" s="205">
        <f>IFERROR(__xludf.DUMMYFUNCTION("PRODUCT(
   MAP(
     K$3:ED$3,
     K$14:ED$14,
     K$13:ED$13,
     K43:ED43,
     LAMBDA(
       job,
       buff,
       target,
       check,
       IF(
         OR(AND(check=TRUE, REGEXMATCH(target, ""SELF_AFFECTED_ALL""), job=""戦士""), AND(check=Op"&amp;"tion!$F$13, REGEXMATCH(target, ""SINGLE_AFFECTED_ALL""))),
         buff,
         1
       )
     )
   )
 )"),1.0)</f>
        <v>1</v>
      </c>
      <c r="FC43" s="206">
        <f>IFERROR(__xludf.DUMMYFUNCTION("SUM(
   MAP(
     K$3:ED$3,
     K$7:ED$7,
     K$15:ED$15,
     K$16:ED$16,
     K$21:ED$21,
     K$5:ED$5,
     K$17:ED$17,
     K43:ED43,
     LAMBDA(
       job,
       abillity,
       buff,
       barrier,
       enhance,
       assign,
       preco"&amp;"ndition,
       check,
       IF(
         OR(AND(check=TRUE, REGEXMATCH(assign, ""SELF""), job=""戦士""), AND(check=Option!$F$13, REGEXMATCH(assign, ""SINGLE_PARTY""))),
         IF(
           OR(ARRAYFORMULA((IF(precondition="""", FALSE, REGEXMATCH($K$4:"&amp;"$ED$4, precondition))) * (K43:ED43=TRUE))),
           enhance,
           IF(barrier="""", buff, barrier)
         ),
         0
       ) *
       SWITCH(
         job,
         ""暗黒騎士"", FD$24,
         ""白魔道士"", EF43 * EH43 * FB43 * IF(abillity, 1, EG4"&amp;"3 * EI43) * (Option!$D$22 * 0.81 / 100),
         ""占星術師"", EF43 * EJ43 * FFB43 * IF(abillity, 1, EG43 * EK43) * (Option!$D$23 * 0.81 / 100),
         ""学者"", EF43 * EL43 * FB43 * IF(abillity, 1, EG43 * EM43) * (Option!$D$24 * 0.81 / 100),
         ""賢者"""&amp;", EF43 * EN43 * FB43 * IF(abillity, 1, EG43 * EO43) * (Option!$D$25 * 0.81 / 100),
         1
       )
     )
   )
 ) + EQ43"),0.0)</f>
        <v>0</v>
      </c>
      <c r="FD43" s="206">
        <f t="shared" si="9"/>
        <v>0</v>
      </c>
      <c r="FE43" s="205">
        <f>IFERROR(__xludf.DUMMYFUNCTION("PRODUCT(
   MAP(
     IF($F43=""Physical"", K$10:ED$10, IF($F43=""Magic"", K$11:ED$11, K$12:ED$12)),
     IF($F43=""Physical"", K$18:ED$18, IF($F43=""Magic"", K$19:ED$19, K$20:ED$20)),
     K$3:ED$3,
     K$5:ED$5,
     K$17:ED$17,
     K43:ED43,
     LAM"&amp;"BDA(
       mitigation,
       enhance,
       job,
       assign,
       precondition,
       check,
       IF(
         OR(AND(check=TRUE, REGEXMATCH(assign, ""SELF""), job=""暗黒騎士""), AND(check=Option!$G$13, REGEXMATCH(assign, ""SINGLE_PARTY""))),
     "&amp;"    IF(
           OR(ARRAYFORMULA((IF(precondition="""", FALSE, REGEXMATCH($K$4:$ED$4, precondition))) * (K43:ED43=TRUE))),
           enhance,
           mitigation
         ),
         1
       )
     )
   )
 ) * EE43"),1.0)</f>
        <v>1</v>
      </c>
      <c r="FF43" s="206">
        <f t="shared" si="10"/>
        <v>0</v>
      </c>
      <c r="FG43" s="205">
        <f>IFERROR(__xludf.DUMMYFUNCTION("PRODUCT(
   MAP(
     K$3:ED$3,
     K$14:ED$14,
     K$13:ED$13,
     K43:ED43,
     LAMBDA(
       job,
       buff,
       target,
       check,
       IF(
         OR(AND(check=TRUE, REGEXMATCH(target, ""SELF_AFFECTED_ALL""), job=""暗黒騎士""), AND(check="&amp;"Option!$G$13, REGEXMATCH(target, ""SINGLE_AFFECTED_ALL""))),
         buff,
         1
       )
     )
   )
 )"),1.0)</f>
        <v>1</v>
      </c>
      <c r="FH43" s="206">
        <f>IFERROR(__xludf.DUMMYFUNCTION("SUM(
   MAP(
     K$3:ED$3,
     K$7:ED$7,
     K$15:ED$15,
     K$16:ED$16,
     K$21:ED$21,
     K$5:ED$5,
     K$17:ED$17,
     K43:ED43,
     LAMBDA(
       job,
       abillity,
       buff,
       barrier,
       enhance,
       assign,
       preco"&amp;"ndition,
       check,
       IF(
         OR(AND(check=TRUE, REGEXMATCH(assign, ""SELF""), job=""暗黒騎士""), AND(check=Option!$G$13, REGEXMATCH(assign, ""SINGLE_PARTY""))),
         IF(
           OR(ARRAYFORMULA((IF(precondition="""", FALSE, REGEXMATCH($K$"&amp;"4:$ED$4, precondition))) * (K43:ED43=TRUE))),
           enhance,
           IF(barrier="""", buff, barrier)
         ),
         0
       ) *
       SWITCH(
         job,
         ""暗黒騎士"", FI$24,
         ""白魔道士"", EF43 * EH43 * FG43 * IF(abillity, 1, E"&amp;"G43 * EI43) * (Option!$D$22 * 0.81 / 100),
         ""占星術師"", EF43 * EJ43 * FG43 * IF(abillity, 1, EG43 * EK43) * (Option!$D$23 * 0.81 / 100),
         ""学者"", EF43 * EL43 * FG43 * IF(abillity, 1, EG43 * EM43) * (Option!$D$24 * 0.81 / 100),
         ""賢者"&amp;""", EF43 * EN43 * FG43 * IF(abillity, 1, EG43 * EO43) * (Option!$D$25 * 0.81 / 100),
         1
       )
     )
   )
 ) + EQ43"),0.0)</f>
        <v>0</v>
      </c>
      <c r="FI43" s="206">
        <f t="shared" si="11"/>
        <v>0</v>
      </c>
      <c r="FJ43" s="205">
        <f>IFERROR(__xludf.DUMMYFUNCTION("PRODUCT(
   MAP(
     IF($F43=""Physical"", K$10:ED$10, IF($F43=""Magic"", K$11:ED$11, K$12:ED$12)),
     IF($F43=""Physical"", K$18:ED$18, IF($F43=""Magic"", K$19:ED$19, K$20:ED$20)),
     K$3:ED$3,
     K$5:ED$5,
     K$17:ED$17,
     K43:ED43,
     LAM"&amp;"BDA(
       mitigation,
       enhance,
       job,
       assign,
       precondition,
       check,
       IF(
         OR(AND(check=TRUE, REGEXMATCH(assign, ""SELF""), job=""ガンブレイカー""), AND(check=Option!$H$13, REGEXMATCH(assign, ""SINGLE_PARTY""))),
  "&amp;"       IF(
           OR(ARRAYFORMULA((IF(precondition="""", FALSE, REGEXMATCH($K$4:$ED$4, precondition))) * (K43:ED43=TRUE))),
           enhance,
           mitigation
         ),
         1
       )
     )
   )
 ) * EE43"),1.0)</f>
        <v>1</v>
      </c>
      <c r="FK43" s="206">
        <f t="shared" si="12"/>
        <v>0</v>
      </c>
      <c r="FL43" s="205">
        <f>IFERROR(__xludf.DUMMYFUNCTION("PRODUCT(
   MAP(
     K$3:ED$3,
     K$14:ED$14,
     K$13:ED$13,
     K43:ED43,
     LAMBDA(
       job,
       buff,
       target,
       check,
       IF(
         OR(AND(check=TRUE, REGEXMATCH(target, ""SELF_AFFECTED_ALL""), job=""ガンブレイカー""), AND(che"&amp;"ck=Option!$H$13, REGEXMATCH(target, ""SINGLE_AFFECTED_ALL""))),
         buff,
         1
       )
     )
   )
 )"),1.0)</f>
        <v>1</v>
      </c>
      <c r="FM43" s="206">
        <f>IFERROR(__xludf.DUMMYFUNCTION("SUM(
   MAP(
     K$3:ED$3,
     K$7:ED$7,
     K$15:ED$15,
     K$16:ED$16,
     K$21:ED$21,
     K$5:ED$5,
     K$17:ED$17,
     K43:ED43,
     LAMBDA(
       job,
       abillity,
       buff,
       barrier,
       enhance,
       assign,
       preco"&amp;"ndition,
       check,
       IF(
         OR(AND(check=TRUE, REGEXMATCH(assign, ""SELF""), job=""ガンブレイカー""), AND(check=Option!$H$13, REGEXMATCH(assign, ""SINGLE_PARTY""))),
         IF(
           OR(ARRAYFORMULA((IF(precondition="""", FALSE, REGEXMATCH("&amp;"$K$4:$ED$4, precondition))) * (K43:ED43=TRUE))),
           enhance,
           IF(barrier="""", buff, barrier)
         ),
         0
       ) *
       SWITCH(
         job,
         ""暗黒騎士"", FN$24,
         ""白魔道士"", EF43 * EH43 * FL43 * IF(abillity, 1"&amp;", EG43 * EI43) * (Option!$D$22 * 0.81 / 100),
         ""占星術師"", EF43 * EJ43 * FL43 * IF(abillity, 1, EG43 * EK43) * (Option!$D$23 * 0.81 / 100),
         ""学者"", EF43 * EL43 * FL43 * IF(abillity, 1, EG43 * EM43) * (Option!$D$24 * 0.81 / 100),
         """&amp;"賢者"", EF43 * EN43 * FL43 * IF(abillity, 1, EG43 * EO43) * (Option!$D$25 * 0.81 / 100),
         1
       )
     )
   )
 ) + EQ43"),0.0)</f>
        <v>0</v>
      </c>
      <c r="FN43" s="206">
        <f t="shared" si="13"/>
        <v>0</v>
      </c>
      <c r="FO43" s="213"/>
    </row>
    <row r="44">
      <c r="B44" s="229"/>
      <c r="C44" s="217">
        <f t="shared" si="1"/>
        <v>0</v>
      </c>
      <c r="D44" s="236"/>
      <c r="E44" s="226"/>
      <c r="F44" s="167"/>
      <c r="G44" s="168" t="str">
        <f t="shared" si="2"/>
        <v/>
      </c>
      <c r="H44" s="169"/>
      <c r="I44" s="169"/>
      <c r="J44" s="169"/>
      <c r="K44" s="170" t="b">
        <v>0</v>
      </c>
      <c r="L44" s="170" t="b">
        <v>0</v>
      </c>
      <c r="M44" s="170" t="b">
        <v>0</v>
      </c>
      <c r="N44" s="171" t="s">
        <v>1070</v>
      </c>
      <c r="O44" s="172" t="b">
        <v>0</v>
      </c>
      <c r="P44" s="173" t="b">
        <v>0</v>
      </c>
      <c r="Q44" s="173" t="b">
        <v>0</v>
      </c>
      <c r="R44" s="173" t="b">
        <v>0</v>
      </c>
      <c r="S44" s="174" t="b">
        <v>0</v>
      </c>
      <c r="T44" s="175" t="b">
        <v>0</v>
      </c>
      <c r="U44" s="173" t="b">
        <v>0</v>
      </c>
      <c r="V44" s="171" t="s">
        <v>1070</v>
      </c>
      <c r="W44" s="172" t="b">
        <v>0</v>
      </c>
      <c r="X44" s="173" t="b">
        <v>0</v>
      </c>
      <c r="Y44" s="173" t="b">
        <v>0</v>
      </c>
      <c r="Z44" s="173" t="b">
        <v>0</v>
      </c>
      <c r="AA44" s="174" t="b">
        <v>0</v>
      </c>
      <c r="AB44" s="174" t="b">
        <v>0</v>
      </c>
      <c r="AC44" s="175" t="b">
        <v>0</v>
      </c>
      <c r="AD44" s="173" t="b">
        <v>0</v>
      </c>
      <c r="AE44" s="176" t="s">
        <v>1070</v>
      </c>
      <c r="AF44" s="171" t="s">
        <v>1070</v>
      </c>
      <c r="AG44" s="177">
        <f>IFERROR(__xludf.DUMMYFUNCTION("IF(
  ISNUMBER(AG43),
  MIN(MAX(
    AG43
    + MAX(
      ROUNDDOWN(($D44 - MAX(IFERROR(FILTER($D$24:$D43, AG$24:AG43 &lt;&gt; AF$6, AG$23:AG42 = AF$6), 0))) * (60 * 60 * 24) / AF$9) - ROUNDDOWN(($D43 - MAX(IFERROR(FILTER($D$23:$D42, AG$23:AG42 &lt;&gt; AF$6, AG$22:"&amp;"AG41 = AF$6), 0))) * (60 * 60 * 24) / 60),
      0
    )
    - COUNTIF(AF44, ""&lt;&gt;-""),
  0), AF$6),
  AF$6 - COUNTIF(AF44, ""&lt;&gt;-"")
)"),2.0)</f>
        <v>2</v>
      </c>
      <c r="AH44" s="173" t="b">
        <v>0</v>
      </c>
      <c r="AI44" s="173" t="b">
        <v>0</v>
      </c>
      <c r="AJ44" s="173" t="b">
        <v>0</v>
      </c>
      <c r="AK44" s="174" t="b">
        <v>0</v>
      </c>
      <c r="AL44" s="175" t="b">
        <v>0</v>
      </c>
      <c r="AM44" s="173" t="b">
        <v>0</v>
      </c>
      <c r="AN44" s="171" t="s">
        <v>1070</v>
      </c>
      <c r="AO44" s="173" t="b">
        <v>0</v>
      </c>
      <c r="AP44" s="173" t="b">
        <v>0</v>
      </c>
      <c r="AQ44" s="173" t="b">
        <v>0</v>
      </c>
      <c r="AR44" s="174" t="b">
        <v>0</v>
      </c>
      <c r="AS44" s="178" t="b">
        <v>0</v>
      </c>
      <c r="AT44" s="179" t="b">
        <v>0</v>
      </c>
      <c r="AU44" s="180" t="b">
        <v>0</v>
      </c>
      <c r="AV44" s="180" t="b">
        <v>0</v>
      </c>
      <c r="AW44" s="180" t="b">
        <v>0</v>
      </c>
      <c r="AX44" s="180" t="b">
        <v>0</v>
      </c>
      <c r="AY44" s="181" t="s">
        <v>1070</v>
      </c>
      <c r="AZ44" s="181" t="s">
        <v>1070</v>
      </c>
      <c r="BA44" s="184">
        <f>IFERROR(__xludf.DUMMYFUNCTION("IF(
  ISNUMBER(BA43),
  MIN(MAX(
    BA43
    + MAX(
      ROUNDDOWN((D44 - MAX(IFERROR(FILTER(D$24:D43, BA$24:BA43 &lt;&gt; AZ$6, BA$23:BA42 = AZ$6), 0))) * (60 * 60 * 24) / AZ$9) - ROUNDDOWN((D43 - MAX(IFERROR(FILTER(D$23:D42, BA$23:BA42 &lt;&gt; AZ$6, BA$22:BA41 ="&amp;" AZ$6), 0))) * (60 * 60 * 24) / AZ$9),
      0
    )
    - COUNTIF(AZ44, ""&lt;&gt;-""),
  0), AZ$6),
  AZ$6 - COUNTIF(AZ44, ""&lt;&gt;-"")
)"),2.0)</f>
        <v>2</v>
      </c>
      <c r="BB44" s="181" t="s">
        <v>1070</v>
      </c>
      <c r="BC44" s="183">
        <f>IFERROR(__xludf.DUMMYFUNCTION("IF(
  ISNUMBER(BC43),
  MIN(MAX(
    BC43
    + MAX(
      ROUNDDOWN(($D44 - MAX(IFERROR(FILTER($D$24:$D43, BC$24:BC43 &lt;&gt; BB$6, BC$23:BC42 = BB$6), 0))) * (60 * 60 * 24) / BB$9) - ROUNDDOWN(($D43 - MAX(IFERROR(FILTER($D$23:$D42, BC$23:BC42 &lt;&gt; BB$6, BC$22:"&amp;"BC41 = BB$6), 0))) * (60 * 60 * 24) / 60),
      0
    )
    - COUNTIF(BB44, ""&lt;&gt;-""),
  0), BB$6),
  BB$6 - COUNTIF(BB44, ""&lt;&gt;-"")
)"),2.0)</f>
        <v>2</v>
      </c>
      <c r="BD44" s="181" t="s">
        <v>1070</v>
      </c>
      <c r="BE44" s="178" t="b">
        <v>0</v>
      </c>
      <c r="BF44" s="180" t="b">
        <v>0</v>
      </c>
      <c r="BG44" s="180" t="b">
        <v>0</v>
      </c>
      <c r="BH44" s="180" t="b">
        <v>0</v>
      </c>
      <c r="BI44" s="180" t="b">
        <v>0</v>
      </c>
      <c r="BJ44" s="180" t="b">
        <v>0</v>
      </c>
      <c r="BK44" s="180" t="b">
        <v>0</v>
      </c>
      <c r="BL44" s="180" t="b">
        <v>0</v>
      </c>
      <c r="BM44" s="180" t="b">
        <v>0</v>
      </c>
      <c r="BN44" s="180" t="b">
        <v>0</v>
      </c>
      <c r="BO44" s="181" t="s">
        <v>1070</v>
      </c>
      <c r="BP44" s="181" t="s">
        <v>1070</v>
      </c>
      <c r="BQ44" s="181" t="s">
        <v>1070</v>
      </c>
      <c r="BR44" s="181" t="s">
        <v>1070</v>
      </c>
      <c r="BS44" s="181" t="s">
        <v>1070</v>
      </c>
      <c r="BT44" s="184">
        <f>IFERROR(__xludf.DUMMYFUNCTION("IF(
  ISNUMBER(BT43),
  MIN(MAX(
    BT43
    + MAX(
      ROUNDDOWN((D44 - MAX(IFERROR(FILTER(D$24:D43, BT$24:BT43 &lt;&gt; BS$6, BT$23:BT42 = BS$6), 0))) * (60 * 60 * 24) / BS$9) - ROUNDDOWN((D43 - MAX(IFERROR(FILTER(D$23:D42, BT$23:BT42 &lt;&gt; BS$6, BT$22:BT41 ="&amp;" BS$6), 0))) * (60 * 60 * 24) / BS$9),
      0
    )
    - COUNTIF(BS44, ""&lt;&gt;-""),
  0), BS$6),
  BS$6 - COUNTIF(BS44, ""&lt;&gt;-"")
)"),3.0)</f>
        <v>3</v>
      </c>
      <c r="BU44" s="181" t="s">
        <v>1070</v>
      </c>
      <c r="BV44" s="181" t="s">
        <v>1070</v>
      </c>
      <c r="BW44" s="184">
        <f>IFERROR(__xludf.DUMMYFUNCTION("IF(
  ISNUMBER(BW43),
  MIN(MAX(
    BW43
    + MAX(
      ROUNDDOWN((D44 - MAX(IFERROR(FILTER(D$24:D43, BW$24:BW43 &lt;&gt; BV$6, BW$23:BW42 = BV$6), 0))) * (60 * 60 * 24) / BV$9) - ROUNDDOWN((D43 - MAX(IFERROR(FILTER(D$23:D42, BW$23:BW42 &lt;&gt; BV$6, BW$22:BW41 ="&amp;" BV$6), 0))) * (60 * 60 * 24) / BV$9),
      0
    )
    - COUNTIF(BV44, ""&lt;&gt;-""),
  0), BV$6),
  BV$6 - COUNTIF(BV44, ""&lt;&gt;-"")
)"),2.0)</f>
        <v>2</v>
      </c>
      <c r="BX44" s="185" t="s">
        <v>1070</v>
      </c>
      <c r="BY44" s="178" t="b">
        <v>0</v>
      </c>
      <c r="BZ44" s="180" t="b">
        <v>0</v>
      </c>
      <c r="CA44" s="180" t="b">
        <v>0</v>
      </c>
      <c r="CB44" s="180" t="b">
        <v>0</v>
      </c>
      <c r="CC44" s="180" t="b">
        <v>0</v>
      </c>
      <c r="CD44" s="180" t="b">
        <v>0</v>
      </c>
      <c r="CE44" s="180" t="b">
        <v>0</v>
      </c>
      <c r="CF44" s="180" t="b">
        <v>0</v>
      </c>
      <c r="CG44" s="180" t="b">
        <v>0</v>
      </c>
      <c r="CH44" s="180" t="b">
        <v>0</v>
      </c>
      <c r="CI44" s="180" t="b">
        <v>0</v>
      </c>
      <c r="CJ44" s="180" t="b">
        <v>0</v>
      </c>
      <c r="CK44" s="180" t="b">
        <v>0</v>
      </c>
      <c r="CL44" s="180" t="b">
        <v>0</v>
      </c>
      <c r="CM44" s="181" t="s">
        <v>1070</v>
      </c>
      <c r="CN44" s="181" t="s">
        <v>1070</v>
      </c>
      <c r="CO44" s="181" t="s">
        <v>1070</v>
      </c>
      <c r="CP44" s="181" t="s">
        <v>1070</v>
      </c>
      <c r="CQ44" s="185" t="s">
        <v>1070</v>
      </c>
      <c r="CR44" s="180" t="b">
        <v>0</v>
      </c>
      <c r="CS44" s="186" t="str">
        <f t="shared" si="14"/>
        <v>◇◇◇</v>
      </c>
      <c r="CT44" s="178" t="b">
        <v>0</v>
      </c>
      <c r="CU44" s="180" t="b">
        <v>0</v>
      </c>
      <c r="CV44" s="180" t="b">
        <v>0</v>
      </c>
      <c r="CW44" s="180" t="b">
        <v>0</v>
      </c>
      <c r="CX44" s="180" t="b">
        <v>0</v>
      </c>
      <c r="CY44" s="180" t="b">
        <v>0</v>
      </c>
      <c r="CZ44" s="180" t="b">
        <v>0</v>
      </c>
      <c r="DA44" s="180" t="b">
        <v>0</v>
      </c>
      <c r="DB44" s="180" t="b">
        <v>0</v>
      </c>
      <c r="DC44" s="180" t="b">
        <v>0</v>
      </c>
      <c r="DD44" s="181" t="s">
        <v>1070</v>
      </c>
      <c r="DE44" s="181" t="s">
        <v>1070</v>
      </c>
      <c r="DF44" s="181" t="s">
        <v>1070</v>
      </c>
      <c r="DG44" s="185" t="s">
        <v>1070</v>
      </c>
      <c r="DH44" s="180" t="b">
        <v>0</v>
      </c>
      <c r="DI44" s="187" t="str">
        <f>IFERROR(__xludf.DUMMYFUNCTION("SWITCH(
  IF(
    ISTEXT(DI43),
    IF (
      FIND(""○"", DI43&amp;""○"") &gt; 3,
      3,
      FIND(""○"", DI43&amp;""○"")
      + MAX(
        ROUNDDOWN(($D44 - MAX(IFERROR(FILTER(D$24:D43, DI$24:DI43 &lt;&gt; ""●●●"", DI$23:DI42 = ""●●●""), 0))) * (60 * 60 * 24) / 20"&amp;") - ROUNDDOWN(($D43 - MAX(IFERROR(FILTER(D$23:D42, DI$23:DI42 &lt;&gt; ""●●●"", DI$22:DI41 = ""●●●""), 0))) * (60 * 60 * 24) / 20),
        0
      ) - 1
    ) - COUNTIFS(CU44, ""=TRUE"", CU43, ""&lt;&gt;TRUE"") - COUNTIF(CZ44, ""=TRUE"") - COUNTIF({DD44,DE44}, ""&lt;&gt;-"&amp;""") + COUNTIF(DH44, ""=TRUE""),
    3
  ),
  0, ""○○○"", 1, ""●○○"", 2, ""●●○"", 3, ""●●●"", 4, ""●●●"", ""○○○""
)"),"●●●")</f>
        <v>●●●</v>
      </c>
      <c r="DJ44" s="188" t="b">
        <v>0</v>
      </c>
      <c r="DK44" s="189" t="b">
        <v>0</v>
      </c>
      <c r="DL44" s="190" t="b">
        <v>0</v>
      </c>
      <c r="DM44" s="190" t="b">
        <v>0</v>
      </c>
      <c r="DN44" s="190" t="b">
        <v>0</v>
      </c>
      <c r="DO44" s="190" t="b">
        <v>0</v>
      </c>
      <c r="DP44" s="190" t="b">
        <v>0</v>
      </c>
      <c r="DQ44" s="191" t="b">
        <v>0</v>
      </c>
      <c r="DR44" s="192" t="b">
        <v>0</v>
      </c>
      <c r="DS44" s="191" t="b">
        <v>0</v>
      </c>
      <c r="DT44" s="192" t="b">
        <v>0</v>
      </c>
      <c r="DU44" s="191" t="b">
        <v>0</v>
      </c>
      <c r="DV44" s="193" t="s">
        <v>1070</v>
      </c>
      <c r="DW44" s="194" t="b">
        <v>0</v>
      </c>
      <c r="DX44" s="194" t="b">
        <v>0</v>
      </c>
      <c r="DY44" s="195" t="b">
        <v>0</v>
      </c>
      <c r="DZ44" s="196" t="b">
        <v>0</v>
      </c>
      <c r="EA44" s="195" t="b">
        <v>0</v>
      </c>
      <c r="EB44" s="197" t="b">
        <v>0</v>
      </c>
      <c r="EC44" s="197" t="b">
        <v>0</v>
      </c>
      <c r="ED44" s="212" t="b">
        <v>0</v>
      </c>
      <c r="EE44" s="199">
        <f>IFERROR(__xludf.DUMMYFUNCTION("IFERROR(
   PRODUCT(
     MAP(
       INDEX(TRANSPOSE(UNIQUE(TRANSPOSE(FILTER({IF($F44=""Physical"", K$10:ED$10, IF($F44=""Magic"", K$11:ED$11, K$12:ED$12));K$4:ED$4;K44:ED44}, K44:ED44=TRUE)))), 1, 0),
       INDEX(TRANSPOSE(UNIQUE(TRANSPOSE(FILTER({IF($"&amp;"F44=""Physical"", K$18:ED$18, IF($F44=""Magic"", K$19:ED$19, K$20:ED$20));K$4:ED$4;K44:ED44}, K44:ED44=TRUE)))), 1, 0),
       INDEX(TRANSPOSE(UNIQUE(TRANSPOSE(FILTER({K$5:ED$5;K$4:ED$4;K44:ED44}, K44:ED44=TRUE)))), 1, 0),
       INDEX(TRANSPOSE(UNIQUE(TR"&amp;"ANSPOSE(FILTER({K$17:ED$17;K$4:ED$4;K44:ED44}, K44:ED44=TRUE)))), 1, 0),
       LAMBDA(
         mitigation,
         enhance,
         assign,
         precondition,
         IF(
           REGEXMATCH(assign, ""RANGE_PARTY|SINGLE_ENEMY|RANGE_ENEMY""),
  "&amp;"         IF(
             OR(ARRAYFORMULA((IF(precondition="""", FALSE, REGEXMATCH(K$4:ED$4, precondition))) * (K44:ED44=TRUE))),
             IF(ISNUMBER(enhance), enhance, 1),
             IF(ISNUMBER(mitigation), mitigation, 1)
           ),
          "&amp;" 1
         )
       )
     )
   ),
   1
 )"),1.0)</f>
        <v>1</v>
      </c>
      <c r="EF44" s="200">
        <f>IFERROR(__xludf.DUMMYFUNCTION("PRODUCT(
   MAP(
     K$14:ED$14,
     K$13:ED$13,
     K44:ED44,
     LAMBDA(
       buff,
       target,
       check,
       IF(
         AND(check=TRUE, REGEXMATCH(target, ""RANGE_AFFECTED_ALL|RANGE_EFFECTED_ALL""), ISNUMBER(buff)),
         buff,
   "&amp;"      1
       )
     )
   )
 )"),1.0)</f>
        <v>1</v>
      </c>
      <c r="EG44" s="200">
        <f>IFERROR(__xludf.DUMMYFUNCTION("PRODUCT(
   MAP(
     K$14:ED$14,
     K$13:ED$13,
     K44:ED44,
     LAMBDA(
       buff,
       target,
       check,
       IF(
         AND(check=TRUE, REGEXMATCH(target, ""RANGE_AFFECTED_GCD|RANGE_EFFECTED_GCD""), ISNUMBER(buff)),
         buff,
   "&amp;"      1
       )
     )
   )
 )"),1.0)</f>
        <v>1</v>
      </c>
      <c r="EH44" s="200">
        <f>IFERROR(__xludf.DUMMYFUNCTION("PRODUCT(
   MAP(
     K$3:ED$3,
     K$14:ED$14,
     K$13:ED$13,
     K44:ED44,
     LAMBDA(
       job,
       buff,
       target,
       check,
       IF(
         AND(check=TRUE, REGEXMATCH(target, ""SELF_EFFECTED_ALL""), ISNUMBER(buff), job=""白魔道士"""&amp;"),
         buff,
         1
       )
     )
   )
 )"),1.0)</f>
        <v>1</v>
      </c>
      <c r="EI44" s="200">
        <f>IFERROR(__xludf.DUMMYFUNCTION("PRODUCT(
   MAP(
     K$3:ED$3,
     K$14:ED$14,
     K$13:ED$13,
     K44:ED44,
     LAMBDA(
       job,
       buff,
       target,
       check,
       IF(
         AND(check=TRUE, REGEXMATCH(target, ""SELF_EFFECTED_GCD""), ISNUMBER(buff), job=""白魔道士"""&amp;"),
         buff,
         1
       )
     )
   )
 )"),1.0)</f>
        <v>1</v>
      </c>
      <c r="EJ44" s="200">
        <f>IFERROR(__xludf.DUMMYFUNCTION("PRODUCT(
   MAP(
     K$3:ED$3,
     K$14:ED$14,
     K$13:ED$13,
     K44:ED44,
     LAMBDA(
       job,
       buff,
       target,
       check,
       IF(
         AND(check=TRUE, REGEXMATCH(target, ""SELF_EFFECTED_ALL""), ISNUMBER(buff), job=""占星術師"""&amp;"),
         buff,
         1
       )
     )
   )
 )"),1.0)</f>
        <v>1</v>
      </c>
      <c r="EK44" s="200">
        <f>IFERROR(__xludf.DUMMYFUNCTION("PRODUCT(
   MAP(
     K$3:ED$3,
     K$14:ED$14,
     K$13:ED$13,
     K44:ED44,
     LAMBDA(
       job,
       buff,
       target,
       check,
       IF(
         AND(check=TRUE, REGEXMATCH(target, ""SELF_EFFECTED_GCD""), ISNUMBER(buff), job=""占星術師"""&amp;"),
         buff,
         1
       )
     )
   )
 )"),1.0)</f>
        <v>1</v>
      </c>
      <c r="EL44" s="200">
        <f>IFERROR(__xludf.DUMMYFUNCTION("PRODUCT(
   MAP(
     K$3:ED$3,
     K$14:ED$14,
     K$13:ED$13,
     K44:ED44,
     LAMBDA(
       job,
       buff,
       target,
       check,
       IF(
         AND(check=TRUE, REGEXMATCH(target, ""SELF_EFFECTED_ALL""), ISNUMBER(buff), job=""学者""),"&amp;"
         buff,
         1
       )
     )
   )
 )"),1.0)</f>
        <v>1</v>
      </c>
      <c r="EM44" s="200">
        <f>IFERROR(__xludf.DUMMYFUNCTION("PRODUCT(
   MAP(
     K$3:ED$3,
     K$14:ED$14,
     K$13:ED$13,
     K44:ED44,
     LAMBDA(
       job,
       buff,
       target,
       check,
       IF(
         AND(check=TRUE, REGEXMATCH(target, ""SELF_EFFECTED_GCD""), ISNUMBER(buff), job=""学者""),"&amp;"
         buff,
         1
       )
     )
   )
 )"),1.0)</f>
        <v>1</v>
      </c>
      <c r="EN44" s="200">
        <f>IFERROR(__xludf.DUMMYFUNCTION("PRODUCT(
   MAP(
     K$3:ED$3,
     K$14:ED$14,
     K$13:ED$13,
     K44:ED44,
     LAMBDA(
       job,
       buff,
       target,
       check,
       IF(
         AND(check=TRUE, REGEXMATCH(target, ""SELF_EFFECTED_ALL""), ISNUMBER(buff), job=""賢者""),"&amp;"
         buff,
         1
       )
     )
   )
 )"),1.0)</f>
        <v>1</v>
      </c>
      <c r="EO44" s="200">
        <f>IFERROR(__xludf.DUMMYFUNCTION("PRODUCT(
   MAP(
     K$3:ED$3,
     K$14:ED$14,
     K$13:ED$13,
     K44:ED44,
     LAMBDA(
       job,
       buff,
       target,
       check,
       IF(
         AND(check=TRUE, REGEXMATCH(target, ""SELF_EFFECTED_GCD""), ISNUMBER(buff), job=""賢者""),"&amp;"
         buff,
         1
       )
     )
   )
 )"),1.0)</f>
        <v>1</v>
      </c>
      <c r="EP44" s="201">
        <f t="shared" si="3"/>
        <v>0</v>
      </c>
      <c r="EQ44" s="201">
        <f>IFERROR(__xludf.DUMMYFUNCTION("SUM(
   MAP(
     K$4:ED$4,
     K$3:ED$3,
     K$7:ED$7,
     K$15:ED$15,
     K$16:ED$16,
     K$21:ED$21,
     K$5:ED$5,
     K$17:ED$17,
     K44:ED44,
     LAMBDA(
       name,
       job,
       abillity,
       buff,
       barrier,
       enhance,"&amp;"
       assign,
       precondition,
       check,
       SWITCH(
         name,
         ""シェイクオフ"", IF(check=TRUE, buff + (0.02 * COUNTIF(ARRAYFORMULA((REGEXMATCH($K$4:$ED$4, ""スリル・オブ・バトル|ヴェンジェンス|原初の血気|ダムネーション"")) * (K44:ED44=TRUE)), 1)), 0),
         "&amp;"""インプロビゼーションフィニッシュ(踊りの激情0)"", IF(ISNUMBER(check), INDEX(Skill!$AJ:$AJ, MATCH(SUBSTITUTE(DV$4, 0, check), Skill!$C:$C, 0)), 0),
         IF(
           AND(check=TRUE, REGEXMATCH(assign, ""RANGE_PARTY"")),
           IF(
             OR(ARRAYFORMULA((IF(pr"&amp;"econdition="""", FALSE, REGEXMATCH($K$4:$ED$4, precondition))) * (K44:ED44=TRUE))),
             enhance,
             IF(barrier="""", buff, barrier)
           ),
           0
         )
       ) *
       SWITCH(
         job,
         ""ナイト"", EY$24,
 "&amp;"        ""戦士"", FD$24,
         ""踊り子"", ET$24,
         ""ピクトマンサー"", ET$24,
         ""白魔道士"", EF44 * EH44 * IF(abillity, 1, EG44 * EI44) * (Option!$D$22 * 0.81 / 100),
         ""占星術師"", EF44 * EJ44 * IF(abillity, 1, EG44 * EK44) * (Option!$D$23 * 0.81 "&amp;"/ 100),
         ""学者"", EF44 * EL44 * IF(abillity, 1, EG44 * EM44) * (Option!$D$24 * 0.81 / 100),
         ""賢者"", EF44 * EN44 * IF(abillity, 1, EG44 * EO44) * (Option!$D$25 * 0.81 / 100),
         1
       )
     )
   )
 )"),0.0)</f>
        <v>0</v>
      </c>
      <c r="ER44" s="202">
        <f t="shared" si="4"/>
        <v>0</v>
      </c>
      <c r="ES44" s="203">
        <f t="shared" si="5"/>
        <v>0</v>
      </c>
      <c r="ET44" s="204" t="str">
        <f>IFERROR(__xludf.DUMMYFUNCTION("IFS(
  EP44 &gt; $ET$24 + EQ44,
  SPARKLINE({ 1, 0 }, {""charttype"",""bar"";""max"", 1;""color1"",Option!$D$30;""color2"",Option!$D$30}),
  EP44 &lt; EQ44,
  SPARKLINE({EQ44 - EP44, $ET$24 - (EQ44 - EP44)}, {""charttype"",""bar"";""max"",$ET$24;""color1"",Opti"&amp;"on!$D$28;""color2"",Option!$D$29}),
  EP44 &gt;= EQ44,
  SPARKLINE({$ET$24 + EQ44 - EP44,EP44 - EQ44}, {""charttype"",""bar"";""max"",$ET$24;""color1"",Option!$D$29;""color2"",Option!$D$30})
)"),"")</f>
        <v/>
      </c>
      <c r="EU44" s="205">
        <f>IFERROR(__xludf.DUMMYFUNCTION("PRODUCT(
   MAP(
     IF($F44=""Physical"", K$10:ED$10, IF($F44=""Magic"", K$11:ED$11, K$12:ED$12)),
     IF($F44=""Physical"", K$18:ED$18, IF($F44=""Magic"", K$19:ED$19, K$20:ED$20)),
     K$3:ED$3,
     K$5:ED$5,
     K$17:ED$17,
     K44:ED44,
     LAM"&amp;"BDA(
       mitigation,
       enhance,
       job,
       assign,
       precondition,
       check,
       IF(
         OR(AND(check=TRUE, REGEXMATCH(assign, ""SELF""), job=""ナイト""), AND(check=Option!$E$13, REGEXMATCH(assign, ""SINGLE_PARTY""))),
      "&amp;"   IF(
           OR(ARRAYFORMULA((IF(precondition="""", FALSE, REGEXMATCH($K$4:$ED$4, precondition))) * (K44:ED44=TRUE))),
           enhance,
           mitigation
         ),
         1
       )
     )
   )
 ) * EE44"),1.0)</f>
        <v>1</v>
      </c>
      <c r="EV44" s="206">
        <f t="shared" si="6"/>
        <v>0</v>
      </c>
      <c r="EW44" s="205">
        <f>IFERROR(__xludf.DUMMYFUNCTION("PRODUCT(
   MAP(
     K$3:ED$3,
     K$14:ED$14,
     K$13:ED$13,
     K44:ED44,
     LAMBDA(
       job,
       buff,
       target,
       check,
       IF(
         OR(AND(check=TRUE, REGEXMATCH(target, ""SELF_AFFECTED_ALL""), job=""ナイト""), AND(check=O"&amp;"ption!$E$13, REGEXMATCH(target, ""SINGLE_AFFECTED_ALL""))),
         buff,
         1
       )
     )
   )
 )"),1.0)</f>
        <v>1</v>
      </c>
      <c r="EX44" s="206">
        <f>IFERROR(__xludf.DUMMYFUNCTION("SUM(
   MAP(
     K$3:ED$3,
     K$7:ED$7,
     K$15:ED$15,
     K$16:ED$16,
     K$21:ED$21,
     K$5:ED$5,
     K$17:ED$17,
     K44:ED44,
     LAMBDA(
       job,
       abillity,
       buff,
       barrier,
       enhance,
       assign,
       preco"&amp;"ndition,
       check,
       IF(
         OR(AND(check=TRUE, REGEXMATCH(assign, ""SELF""), job=""ナイト""), AND(check=Option!$E$13, REGEXMATCH(assign, ""SINGLE_PARTY""))),
         IF(
           OR(ARRAYFORMULA((IF(precondition="""", FALSE, REGEXMATCH($K$4"&amp;":$ED$4, precondition))) * (K44:ED44=TRUE))),
           enhance,
           IF(barrier="""", buff, barrier)
         ),
         0
       ) *
       SWITCH(
         job,
         ""暗黒騎士"", EY$24,
         ""白魔道士"", EF44 * EH44 * EW44 * IF(abillity, 1, EG"&amp;"44 * EI44) * (Option!$D$22 * 0.81 / 100),
         ""占星術師"", EF44 * EJ44 * EW44 * IF(abillity, 1, EG44 * EK44) * (Option!$D$23 * 0.81 / 100),
         ""学者"", EF44 * EL44 * EW44 * IF(abillity, 1, EG44 * EM44) * (Option!$D$24 * 0.81 / 100),
         ""賢者"""&amp;", EF44 * EN44 * EW44 * IF(abillity, 1, EG44 * EO44) * (Option!$D$25 * 0.81 / 100),
         1
       )
     )
   )
 ) + EQ44"),0.0)</f>
        <v>0</v>
      </c>
      <c r="EY44" s="206">
        <f t="shared" si="7"/>
        <v>0</v>
      </c>
      <c r="EZ44" s="205">
        <f>IFERROR(__xludf.DUMMYFUNCTION("PRODUCT(
   MAP(
     IF($F44=""Physical"", K$10:ED$10, IF($F44=""Magic"", K$11:ED$11, K$12:ED$12)),
     IF($F44=""Physical"", K$18:ED$18, IF($F44=""Magic"", K$19:ED$19, K$20:ED$20)),
     K$3:ED$3,
     K$5:ED$5,
     K$17:ED$17,
     K44:ED44,
     LAM"&amp;"BDA(
       mitigation,
       enhance,
       job,
       assign,
       precondition,
       check,
       IF(
         OR(AND(check=TRUE, REGEXMATCH(assign, ""SELF""), job=""戦士""), AND(check=Option!$F$13, REGEXMATCH(assign, ""SINGLE_PARTY""))),
       "&amp;"  IF(
           OR(ARRAYFORMULA((IF(precondition="""", FALSE, REGEXMATCH($K$4:$ED$4, precondition))) * (K44:ED44=TRUE))),
           enhance,
           mitigation
         ),
         1
       )
     )
   )
 ) * EE44"),1.0)</f>
        <v>1</v>
      </c>
      <c r="FA44" s="206">
        <f t="shared" si="8"/>
        <v>0</v>
      </c>
      <c r="FB44" s="205">
        <f>IFERROR(__xludf.DUMMYFUNCTION("PRODUCT(
   MAP(
     K$3:ED$3,
     K$14:ED$14,
     K$13:ED$13,
     K44:ED44,
     LAMBDA(
       job,
       buff,
       target,
       check,
       IF(
         OR(AND(check=TRUE, REGEXMATCH(target, ""SELF_AFFECTED_ALL""), job=""戦士""), AND(check=Op"&amp;"tion!$F$13, REGEXMATCH(target, ""SINGLE_AFFECTED_ALL""))),
         buff,
         1
       )
     )
   )
 )"),1.0)</f>
        <v>1</v>
      </c>
      <c r="FC44" s="206">
        <f>IFERROR(__xludf.DUMMYFUNCTION("SUM(
   MAP(
     K$3:ED$3,
     K$7:ED$7,
     K$15:ED$15,
     K$16:ED$16,
     K$21:ED$21,
     K$5:ED$5,
     K$17:ED$17,
     K44:ED44,
     LAMBDA(
       job,
       abillity,
       buff,
       barrier,
       enhance,
       assign,
       preco"&amp;"ndition,
       check,
       IF(
         OR(AND(check=TRUE, REGEXMATCH(assign, ""SELF""), job=""戦士""), AND(check=Option!$F$13, REGEXMATCH(assign, ""SINGLE_PARTY""))),
         IF(
           OR(ARRAYFORMULA((IF(precondition="""", FALSE, REGEXMATCH($K$4:"&amp;"$ED$4, precondition))) * (K44:ED44=TRUE))),
           enhance,
           IF(barrier="""", buff, barrier)
         ),
         0
       ) *
       SWITCH(
         job,
         ""暗黒騎士"", FD$24,
         ""白魔道士"", EF44 * EH44 * FB44 * IF(abillity, 1, EG4"&amp;"4 * EI44) * (Option!$D$22 * 0.81 / 100),
         ""占星術師"", EF44 * EJ44 * FFB44 * IF(abillity, 1, EG44 * EK44) * (Option!$D$23 * 0.81 / 100),
         ""学者"", EF44 * EL44 * FB44 * IF(abillity, 1, EG44 * EM44) * (Option!$D$24 * 0.81 / 100),
         ""賢者"""&amp;", EF44 * EN44 * FB44 * IF(abillity, 1, EG44 * EO44) * (Option!$D$25 * 0.81 / 100),
         1
       )
     )
   )
 ) + EQ44"),0.0)</f>
        <v>0</v>
      </c>
      <c r="FD44" s="206">
        <f t="shared" si="9"/>
        <v>0</v>
      </c>
      <c r="FE44" s="205">
        <f>IFERROR(__xludf.DUMMYFUNCTION("PRODUCT(
   MAP(
     IF($F44=""Physical"", K$10:ED$10, IF($F44=""Magic"", K$11:ED$11, K$12:ED$12)),
     IF($F44=""Physical"", K$18:ED$18, IF($F44=""Magic"", K$19:ED$19, K$20:ED$20)),
     K$3:ED$3,
     K$5:ED$5,
     K$17:ED$17,
     K44:ED44,
     LAM"&amp;"BDA(
       mitigation,
       enhance,
       job,
       assign,
       precondition,
       check,
       IF(
         OR(AND(check=TRUE, REGEXMATCH(assign, ""SELF""), job=""暗黒騎士""), AND(check=Option!$G$13, REGEXMATCH(assign, ""SINGLE_PARTY""))),
     "&amp;"    IF(
           OR(ARRAYFORMULA((IF(precondition="""", FALSE, REGEXMATCH($K$4:$ED$4, precondition))) * (K44:ED44=TRUE))),
           enhance,
           mitigation
         ),
         1
       )
     )
   )
 ) * EE44"),1.0)</f>
        <v>1</v>
      </c>
      <c r="FF44" s="206">
        <f t="shared" si="10"/>
        <v>0</v>
      </c>
      <c r="FG44" s="205">
        <f>IFERROR(__xludf.DUMMYFUNCTION("PRODUCT(
   MAP(
     K$3:ED$3,
     K$14:ED$14,
     K$13:ED$13,
     K44:ED44,
     LAMBDA(
       job,
       buff,
       target,
       check,
       IF(
         OR(AND(check=TRUE, REGEXMATCH(target, ""SELF_AFFECTED_ALL""), job=""暗黒騎士""), AND(check="&amp;"Option!$G$13, REGEXMATCH(target, ""SINGLE_AFFECTED_ALL""))),
         buff,
         1
       )
     )
   )
 )"),1.0)</f>
        <v>1</v>
      </c>
      <c r="FH44" s="206">
        <f>IFERROR(__xludf.DUMMYFUNCTION("SUM(
   MAP(
     K$3:ED$3,
     K$7:ED$7,
     K$15:ED$15,
     K$16:ED$16,
     K$21:ED$21,
     K$5:ED$5,
     K$17:ED$17,
     K44:ED44,
     LAMBDA(
       job,
       abillity,
       buff,
       barrier,
       enhance,
       assign,
       preco"&amp;"ndition,
       check,
       IF(
         OR(AND(check=TRUE, REGEXMATCH(assign, ""SELF""), job=""暗黒騎士""), AND(check=Option!$G$13, REGEXMATCH(assign, ""SINGLE_PARTY""))),
         IF(
           OR(ARRAYFORMULA((IF(precondition="""", FALSE, REGEXMATCH($K$"&amp;"4:$ED$4, precondition))) * (K44:ED44=TRUE))),
           enhance,
           IF(barrier="""", buff, barrier)
         ),
         0
       ) *
       SWITCH(
         job,
         ""暗黒騎士"", FI$24,
         ""白魔道士"", EF44 * EH44 * FG44 * IF(abillity, 1, E"&amp;"G44 * EI44) * (Option!$D$22 * 0.81 / 100),
         ""占星術師"", EF44 * EJ44 * FG44 * IF(abillity, 1, EG44 * EK44) * (Option!$D$23 * 0.81 / 100),
         ""学者"", EF44 * EL44 * FG44 * IF(abillity, 1, EG44 * EM44) * (Option!$D$24 * 0.81 / 100),
         ""賢者"&amp;""", EF44 * EN44 * FG44 * IF(abillity, 1, EG44 * EO44) * (Option!$D$25 * 0.81 / 100),
         1
       )
     )
   )
 ) + EQ44"),0.0)</f>
        <v>0</v>
      </c>
      <c r="FI44" s="206">
        <f t="shared" si="11"/>
        <v>0</v>
      </c>
      <c r="FJ44" s="205">
        <f>IFERROR(__xludf.DUMMYFUNCTION("PRODUCT(
   MAP(
     IF($F44=""Physical"", K$10:ED$10, IF($F44=""Magic"", K$11:ED$11, K$12:ED$12)),
     IF($F44=""Physical"", K$18:ED$18, IF($F44=""Magic"", K$19:ED$19, K$20:ED$20)),
     K$3:ED$3,
     K$5:ED$5,
     K$17:ED$17,
     K44:ED44,
     LAM"&amp;"BDA(
       mitigation,
       enhance,
       job,
       assign,
       precondition,
       check,
       IF(
         OR(AND(check=TRUE, REGEXMATCH(assign, ""SELF""), job=""ガンブレイカー""), AND(check=Option!$H$13, REGEXMATCH(assign, ""SINGLE_PARTY""))),
  "&amp;"       IF(
           OR(ARRAYFORMULA((IF(precondition="""", FALSE, REGEXMATCH($K$4:$ED$4, precondition))) * (K44:ED44=TRUE))),
           enhance,
           mitigation
         ),
         1
       )
     )
   )
 ) * EE44"),1.0)</f>
        <v>1</v>
      </c>
      <c r="FK44" s="206">
        <f t="shared" si="12"/>
        <v>0</v>
      </c>
      <c r="FL44" s="205">
        <f>IFERROR(__xludf.DUMMYFUNCTION("PRODUCT(
   MAP(
     K$3:ED$3,
     K$14:ED$14,
     K$13:ED$13,
     K44:ED44,
     LAMBDA(
       job,
       buff,
       target,
       check,
       IF(
         OR(AND(check=TRUE, REGEXMATCH(target, ""SELF_AFFECTED_ALL""), job=""ガンブレイカー""), AND(che"&amp;"ck=Option!$H$13, REGEXMATCH(target, ""SINGLE_AFFECTED_ALL""))),
         buff,
         1
       )
     )
   )
 )"),1.0)</f>
        <v>1</v>
      </c>
      <c r="FM44" s="206">
        <f>IFERROR(__xludf.DUMMYFUNCTION("SUM(
   MAP(
     K$3:ED$3,
     K$7:ED$7,
     K$15:ED$15,
     K$16:ED$16,
     K$21:ED$21,
     K$5:ED$5,
     K$17:ED$17,
     K44:ED44,
     LAMBDA(
       job,
       abillity,
       buff,
       barrier,
       enhance,
       assign,
       preco"&amp;"ndition,
       check,
       IF(
         OR(AND(check=TRUE, REGEXMATCH(assign, ""SELF""), job=""ガンブレイカー""), AND(check=Option!$H$13, REGEXMATCH(assign, ""SINGLE_PARTY""))),
         IF(
           OR(ARRAYFORMULA((IF(precondition="""", FALSE, REGEXMATCH("&amp;"$K$4:$ED$4, precondition))) * (K44:ED44=TRUE))),
           enhance,
           IF(barrier="""", buff, barrier)
         ),
         0
       ) *
       SWITCH(
         job,
         ""暗黒騎士"", FN$24,
         ""白魔道士"", EF44 * EH44 * FL44 * IF(abillity, 1"&amp;", EG44 * EI44) * (Option!$D$22 * 0.81 / 100),
         ""占星術師"", EF44 * EJ44 * FL44 * IF(abillity, 1, EG44 * EK44) * (Option!$D$23 * 0.81 / 100),
         ""学者"", EF44 * EL44 * FL44 * IF(abillity, 1, EG44 * EM44) * (Option!$D$24 * 0.81 / 100),
         """&amp;"賢者"", EF44 * EN44 * FL44 * IF(abillity, 1, EG44 * EO44) * (Option!$D$25 * 0.81 / 100),
         1
       )
     )
   )
 ) + EQ44"),0.0)</f>
        <v>0</v>
      </c>
      <c r="FN44" s="206">
        <f t="shared" si="13"/>
        <v>0</v>
      </c>
      <c r="FO44" s="213"/>
    </row>
    <row r="45">
      <c r="B45" s="229"/>
      <c r="C45" s="217">
        <f t="shared" si="1"/>
        <v>0</v>
      </c>
      <c r="D45" s="236"/>
      <c r="E45" s="219"/>
      <c r="F45" s="167"/>
      <c r="G45" s="168" t="str">
        <f t="shared" si="2"/>
        <v/>
      </c>
      <c r="H45" s="169"/>
      <c r="I45" s="169"/>
      <c r="J45" s="169"/>
      <c r="K45" s="170" t="b">
        <v>0</v>
      </c>
      <c r="L45" s="170" t="b">
        <v>0</v>
      </c>
      <c r="M45" s="170" t="b">
        <v>0</v>
      </c>
      <c r="N45" s="171" t="s">
        <v>1070</v>
      </c>
      <c r="O45" s="172" t="b">
        <v>0</v>
      </c>
      <c r="P45" s="173" t="b">
        <v>0</v>
      </c>
      <c r="Q45" s="173" t="b">
        <v>0</v>
      </c>
      <c r="R45" s="173" t="b">
        <v>0</v>
      </c>
      <c r="S45" s="174" t="b">
        <v>0</v>
      </c>
      <c r="T45" s="175" t="b">
        <v>0</v>
      </c>
      <c r="U45" s="173" t="b">
        <v>0</v>
      </c>
      <c r="V45" s="171" t="s">
        <v>1070</v>
      </c>
      <c r="W45" s="172" t="b">
        <v>0</v>
      </c>
      <c r="X45" s="173" t="b">
        <v>0</v>
      </c>
      <c r="Y45" s="173" t="b">
        <v>0</v>
      </c>
      <c r="Z45" s="173" t="b">
        <v>0</v>
      </c>
      <c r="AA45" s="174" t="b">
        <v>0</v>
      </c>
      <c r="AB45" s="174" t="b">
        <v>0</v>
      </c>
      <c r="AC45" s="175" t="b">
        <v>0</v>
      </c>
      <c r="AD45" s="173" t="b">
        <v>0</v>
      </c>
      <c r="AE45" s="176" t="s">
        <v>1070</v>
      </c>
      <c r="AF45" s="171" t="s">
        <v>1070</v>
      </c>
      <c r="AG45" s="177">
        <f>IFERROR(__xludf.DUMMYFUNCTION("IF(
  ISNUMBER(AG44),
  MIN(MAX(
    AG44
    + MAX(
      ROUNDDOWN(($D45 - MAX(IFERROR(FILTER($D$24:$D44, AG$24:AG44 &lt;&gt; AF$6, AG$23:AG43 = AF$6), 0))) * (60 * 60 * 24) / AF$9) - ROUNDDOWN(($D44 - MAX(IFERROR(FILTER($D$23:$D43, AG$23:AG43 &lt;&gt; AF$6, AG$22:"&amp;"AG42 = AF$6), 0))) * (60 * 60 * 24) / 60),
      0
    )
    - COUNTIF(AF45, ""&lt;&gt;-""),
  0), AF$6),
  AF$6 - COUNTIF(AF45, ""&lt;&gt;-"")
)"),2.0)</f>
        <v>2</v>
      </c>
      <c r="AH45" s="173" t="b">
        <v>0</v>
      </c>
      <c r="AI45" s="173" t="b">
        <v>0</v>
      </c>
      <c r="AJ45" s="173" t="b">
        <v>0</v>
      </c>
      <c r="AK45" s="174" t="b">
        <v>0</v>
      </c>
      <c r="AL45" s="175" t="b">
        <v>0</v>
      </c>
      <c r="AM45" s="173" t="b">
        <v>0</v>
      </c>
      <c r="AN45" s="171" t="s">
        <v>1070</v>
      </c>
      <c r="AO45" s="173" t="b">
        <v>0</v>
      </c>
      <c r="AP45" s="173" t="b">
        <v>0</v>
      </c>
      <c r="AQ45" s="173" t="b">
        <v>0</v>
      </c>
      <c r="AR45" s="174" t="b">
        <v>0</v>
      </c>
      <c r="AS45" s="178" t="b">
        <v>0</v>
      </c>
      <c r="AT45" s="179" t="b">
        <v>0</v>
      </c>
      <c r="AU45" s="180" t="b">
        <v>0</v>
      </c>
      <c r="AV45" s="180" t="b">
        <v>0</v>
      </c>
      <c r="AW45" s="180" t="b">
        <v>0</v>
      </c>
      <c r="AX45" s="180" t="b">
        <v>0</v>
      </c>
      <c r="AY45" s="181" t="s">
        <v>1070</v>
      </c>
      <c r="AZ45" s="181" t="s">
        <v>1070</v>
      </c>
      <c r="BA45" s="184">
        <f>IFERROR(__xludf.DUMMYFUNCTION("IF(
  ISNUMBER(BA44),
  MIN(MAX(
    BA44
    + MAX(
      ROUNDDOWN((D45 - MAX(IFERROR(FILTER(D$24:D44, BA$24:BA44 &lt;&gt; AZ$6, BA$23:BA43 = AZ$6), 0))) * (60 * 60 * 24) / AZ$9) - ROUNDDOWN((D44 - MAX(IFERROR(FILTER(D$23:D43, BA$23:BA43 &lt;&gt; AZ$6, BA$22:BA42 ="&amp;" AZ$6), 0))) * (60 * 60 * 24) / AZ$9),
      0
    )
    - COUNTIF(AZ45, ""&lt;&gt;-""),
  0), AZ$6),
  AZ$6 - COUNTIF(AZ45, ""&lt;&gt;-"")
)"),2.0)</f>
        <v>2</v>
      </c>
      <c r="BB45" s="181" t="s">
        <v>1070</v>
      </c>
      <c r="BC45" s="183">
        <f>IFERROR(__xludf.DUMMYFUNCTION("IF(
  ISNUMBER(BC44),
  MIN(MAX(
    BC44
    + MAX(
      ROUNDDOWN(($D45 - MAX(IFERROR(FILTER($D$24:$D44, BC$24:BC44 &lt;&gt; BB$6, BC$23:BC43 = BB$6), 0))) * (60 * 60 * 24) / BB$9) - ROUNDDOWN(($D44 - MAX(IFERROR(FILTER($D$23:$D43, BC$23:BC43 &lt;&gt; BB$6, BC$22:"&amp;"BC42 = BB$6), 0))) * (60 * 60 * 24) / 60),
      0
    )
    - COUNTIF(BB45, ""&lt;&gt;-""),
  0), BB$6),
  BB$6 - COUNTIF(BB45, ""&lt;&gt;-"")
)"),2.0)</f>
        <v>2</v>
      </c>
      <c r="BD45" s="181" t="s">
        <v>1070</v>
      </c>
      <c r="BE45" s="178" t="b">
        <v>0</v>
      </c>
      <c r="BF45" s="180" t="b">
        <v>0</v>
      </c>
      <c r="BG45" s="180" t="b">
        <v>0</v>
      </c>
      <c r="BH45" s="180" t="b">
        <v>0</v>
      </c>
      <c r="BI45" s="180" t="b">
        <v>0</v>
      </c>
      <c r="BJ45" s="180" t="b">
        <v>0</v>
      </c>
      <c r="BK45" s="180" t="b">
        <v>0</v>
      </c>
      <c r="BL45" s="180" t="b">
        <v>0</v>
      </c>
      <c r="BM45" s="180" t="b">
        <v>0</v>
      </c>
      <c r="BN45" s="180" t="b">
        <v>0</v>
      </c>
      <c r="BO45" s="181" t="s">
        <v>1070</v>
      </c>
      <c r="BP45" s="181" t="s">
        <v>1070</v>
      </c>
      <c r="BQ45" s="181" t="s">
        <v>1070</v>
      </c>
      <c r="BR45" s="181" t="s">
        <v>1070</v>
      </c>
      <c r="BS45" s="181" t="s">
        <v>1070</v>
      </c>
      <c r="BT45" s="184">
        <f>IFERROR(__xludf.DUMMYFUNCTION("IF(
  ISNUMBER(BT44),
  MIN(MAX(
    BT44
    + MAX(
      ROUNDDOWN((D45 - MAX(IFERROR(FILTER(D$24:D44, BT$24:BT44 &lt;&gt; BS$6, BT$23:BT43 = BS$6), 0))) * (60 * 60 * 24) / BS$9) - ROUNDDOWN((D44 - MAX(IFERROR(FILTER(D$23:D43, BT$23:BT43 &lt;&gt; BS$6, BT$22:BT42 ="&amp;" BS$6), 0))) * (60 * 60 * 24) / BS$9),
      0
    )
    - COUNTIF(BS45, ""&lt;&gt;-""),
  0), BS$6),
  BS$6 - COUNTIF(BS45, ""&lt;&gt;-"")
)"),3.0)</f>
        <v>3</v>
      </c>
      <c r="BU45" s="181" t="s">
        <v>1070</v>
      </c>
      <c r="BV45" s="181" t="s">
        <v>1070</v>
      </c>
      <c r="BW45" s="184">
        <f>IFERROR(__xludf.DUMMYFUNCTION("IF(
  ISNUMBER(BW44),
  MIN(MAX(
    BW44
    + MAX(
      ROUNDDOWN((D45 - MAX(IFERROR(FILTER(D$24:D44, BW$24:BW44 &lt;&gt; BV$6, BW$23:BW43 = BV$6), 0))) * (60 * 60 * 24) / BV$9) - ROUNDDOWN((D44 - MAX(IFERROR(FILTER(D$23:D43, BW$23:BW43 &lt;&gt; BV$6, BW$22:BW42 ="&amp;" BV$6), 0))) * (60 * 60 * 24) / BV$9),
      0
    )
    - COUNTIF(BV45, ""&lt;&gt;-""),
  0), BV$6),
  BV$6 - COUNTIF(BV45, ""&lt;&gt;-"")
)"),2.0)</f>
        <v>2</v>
      </c>
      <c r="BX45" s="185" t="s">
        <v>1070</v>
      </c>
      <c r="BY45" s="178" t="b">
        <v>0</v>
      </c>
      <c r="BZ45" s="180" t="b">
        <v>0</v>
      </c>
      <c r="CA45" s="180" t="b">
        <v>0</v>
      </c>
      <c r="CB45" s="180" t="b">
        <v>0</v>
      </c>
      <c r="CC45" s="180" t="b">
        <v>0</v>
      </c>
      <c r="CD45" s="180" t="b">
        <v>0</v>
      </c>
      <c r="CE45" s="180" t="b">
        <v>0</v>
      </c>
      <c r="CF45" s="180" t="b">
        <v>0</v>
      </c>
      <c r="CG45" s="180" t="b">
        <v>0</v>
      </c>
      <c r="CH45" s="180" t="b">
        <v>0</v>
      </c>
      <c r="CI45" s="180" t="b">
        <v>0</v>
      </c>
      <c r="CJ45" s="180" t="b">
        <v>0</v>
      </c>
      <c r="CK45" s="180" t="b">
        <v>0</v>
      </c>
      <c r="CL45" s="180" t="b">
        <v>0</v>
      </c>
      <c r="CM45" s="181" t="s">
        <v>1070</v>
      </c>
      <c r="CN45" s="181" t="s">
        <v>1070</v>
      </c>
      <c r="CO45" s="181" t="s">
        <v>1070</v>
      </c>
      <c r="CP45" s="181" t="s">
        <v>1070</v>
      </c>
      <c r="CQ45" s="185" t="s">
        <v>1070</v>
      </c>
      <c r="CR45" s="180" t="b">
        <v>0</v>
      </c>
      <c r="CS45" s="186" t="str">
        <f t="shared" si="14"/>
        <v>◇◇◇</v>
      </c>
      <c r="CT45" s="178" t="b">
        <v>0</v>
      </c>
      <c r="CU45" s="180" t="b">
        <v>0</v>
      </c>
      <c r="CV45" s="180" t="b">
        <v>0</v>
      </c>
      <c r="CW45" s="180" t="b">
        <v>0</v>
      </c>
      <c r="CX45" s="180" t="b">
        <v>0</v>
      </c>
      <c r="CY45" s="180" t="b">
        <v>0</v>
      </c>
      <c r="CZ45" s="180" t="b">
        <v>0</v>
      </c>
      <c r="DA45" s="180" t="b">
        <v>0</v>
      </c>
      <c r="DB45" s="180" t="b">
        <v>0</v>
      </c>
      <c r="DC45" s="180" t="b">
        <v>0</v>
      </c>
      <c r="DD45" s="181" t="s">
        <v>1070</v>
      </c>
      <c r="DE45" s="181" t="s">
        <v>1070</v>
      </c>
      <c r="DF45" s="181" t="s">
        <v>1070</v>
      </c>
      <c r="DG45" s="185" t="s">
        <v>1070</v>
      </c>
      <c r="DH45" s="180" t="b">
        <v>0</v>
      </c>
      <c r="DI45" s="187" t="str">
        <f>IFERROR(__xludf.DUMMYFUNCTION("SWITCH(
  IF(
    ISTEXT(DI44),
    IF (
      FIND(""○"", DI44&amp;""○"") &gt; 3,
      3,
      FIND(""○"", DI44&amp;""○"")
      + MAX(
        ROUNDDOWN(($D45 - MAX(IFERROR(FILTER(D$24:D44, DI$24:DI44 &lt;&gt; ""●●●"", DI$23:DI43 = ""●●●""), 0))) * (60 * 60 * 24) / 20"&amp;") - ROUNDDOWN(($D44 - MAX(IFERROR(FILTER(D$23:D43, DI$23:DI43 &lt;&gt; ""●●●"", DI$22:DI42 = ""●●●""), 0))) * (60 * 60 * 24) / 20),
        0
      ) - 1
    ) - COUNTIFS(CU45, ""=TRUE"", CU44, ""&lt;&gt;TRUE"") - COUNTIF(CZ45, ""=TRUE"") - COUNTIF({DD45,DE45}, ""&lt;&gt;-"&amp;""") + COUNTIF(DH45, ""=TRUE""),
    3
  ),
  0, ""○○○"", 1, ""●○○"", 2, ""●●○"", 3, ""●●●"", 4, ""●●●"", ""○○○""
)"),"●●●")</f>
        <v>●●●</v>
      </c>
      <c r="DJ45" s="188" t="b">
        <v>0</v>
      </c>
      <c r="DK45" s="189" t="b">
        <v>0</v>
      </c>
      <c r="DL45" s="190" t="b">
        <v>0</v>
      </c>
      <c r="DM45" s="190" t="b">
        <v>0</v>
      </c>
      <c r="DN45" s="190" t="b">
        <v>0</v>
      </c>
      <c r="DO45" s="190" t="b">
        <v>0</v>
      </c>
      <c r="DP45" s="190" t="b">
        <v>0</v>
      </c>
      <c r="DQ45" s="191" t="b">
        <v>0</v>
      </c>
      <c r="DR45" s="192" t="b">
        <v>0</v>
      </c>
      <c r="DS45" s="191" t="b">
        <v>0</v>
      </c>
      <c r="DT45" s="192" t="b">
        <v>0</v>
      </c>
      <c r="DU45" s="191" t="b">
        <v>0</v>
      </c>
      <c r="DV45" s="193" t="s">
        <v>1070</v>
      </c>
      <c r="DW45" s="194" t="b">
        <v>0</v>
      </c>
      <c r="DX45" s="194" t="b">
        <v>0</v>
      </c>
      <c r="DY45" s="195" t="b">
        <v>0</v>
      </c>
      <c r="DZ45" s="196" t="b">
        <v>0</v>
      </c>
      <c r="EA45" s="195" t="b">
        <v>0</v>
      </c>
      <c r="EB45" s="197" t="b">
        <v>0</v>
      </c>
      <c r="EC45" s="197" t="b">
        <v>0</v>
      </c>
      <c r="ED45" s="212" t="b">
        <v>0</v>
      </c>
      <c r="EE45" s="199">
        <f>IFERROR(__xludf.DUMMYFUNCTION("IFERROR(
   PRODUCT(
     MAP(
       INDEX(TRANSPOSE(UNIQUE(TRANSPOSE(FILTER({IF($F45=""Physical"", K$10:ED$10, IF($F45=""Magic"", K$11:ED$11, K$12:ED$12));K$4:ED$4;K45:ED45}, K45:ED45=TRUE)))), 1, 0),
       INDEX(TRANSPOSE(UNIQUE(TRANSPOSE(FILTER({IF($"&amp;"F45=""Physical"", K$18:ED$18, IF($F45=""Magic"", K$19:ED$19, K$20:ED$20));K$4:ED$4;K45:ED45}, K45:ED45=TRUE)))), 1, 0),
       INDEX(TRANSPOSE(UNIQUE(TRANSPOSE(FILTER({K$5:ED$5;K$4:ED$4;K45:ED45}, K45:ED45=TRUE)))), 1, 0),
       INDEX(TRANSPOSE(UNIQUE(TR"&amp;"ANSPOSE(FILTER({K$17:ED$17;K$4:ED$4;K45:ED45}, K45:ED45=TRUE)))), 1, 0),
       LAMBDA(
         mitigation,
         enhance,
         assign,
         precondition,
         IF(
           REGEXMATCH(assign, ""RANGE_PARTY|SINGLE_ENEMY|RANGE_ENEMY""),
  "&amp;"         IF(
             OR(ARRAYFORMULA((IF(precondition="""", FALSE, REGEXMATCH(K$4:ED$4, precondition))) * (K45:ED45=TRUE))),
             IF(ISNUMBER(enhance), enhance, 1),
             IF(ISNUMBER(mitigation), mitigation, 1)
           ),
          "&amp;" 1
         )
       )
     )
   ),
   1
 )"),1.0)</f>
        <v>1</v>
      </c>
      <c r="EF45" s="200">
        <f>IFERROR(__xludf.DUMMYFUNCTION("PRODUCT(
   MAP(
     K$14:ED$14,
     K$13:ED$13,
     K45:ED45,
     LAMBDA(
       buff,
       target,
       check,
       IF(
         AND(check=TRUE, REGEXMATCH(target, ""RANGE_AFFECTED_ALL|RANGE_EFFECTED_ALL""), ISNUMBER(buff)),
         buff,
   "&amp;"      1
       )
     )
   )
 )"),1.0)</f>
        <v>1</v>
      </c>
      <c r="EG45" s="200">
        <f>IFERROR(__xludf.DUMMYFUNCTION("PRODUCT(
   MAP(
     K$14:ED$14,
     K$13:ED$13,
     K45:ED45,
     LAMBDA(
       buff,
       target,
       check,
       IF(
         AND(check=TRUE, REGEXMATCH(target, ""RANGE_AFFECTED_GCD|RANGE_EFFECTED_GCD""), ISNUMBER(buff)),
         buff,
   "&amp;"      1
       )
     )
   )
 )"),1.0)</f>
        <v>1</v>
      </c>
      <c r="EH45" s="200">
        <f>IFERROR(__xludf.DUMMYFUNCTION("PRODUCT(
   MAP(
     K$3:ED$3,
     K$14:ED$14,
     K$13:ED$13,
     K45:ED45,
     LAMBDA(
       job,
       buff,
       target,
       check,
       IF(
         AND(check=TRUE, REGEXMATCH(target, ""SELF_EFFECTED_ALL""), ISNUMBER(buff), job=""白魔道士"""&amp;"),
         buff,
         1
       )
     )
   )
 )"),1.0)</f>
        <v>1</v>
      </c>
      <c r="EI45" s="200">
        <f>IFERROR(__xludf.DUMMYFUNCTION("PRODUCT(
   MAP(
     K$3:ED$3,
     K$14:ED$14,
     K$13:ED$13,
     K45:ED45,
     LAMBDA(
       job,
       buff,
       target,
       check,
       IF(
         AND(check=TRUE, REGEXMATCH(target, ""SELF_EFFECTED_GCD""), ISNUMBER(buff), job=""白魔道士"""&amp;"),
         buff,
         1
       )
     )
   )
 )"),1.0)</f>
        <v>1</v>
      </c>
      <c r="EJ45" s="200">
        <f>IFERROR(__xludf.DUMMYFUNCTION("PRODUCT(
   MAP(
     K$3:ED$3,
     K$14:ED$14,
     K$13:ED$13,
     K45:ED45,
     LAMBDA(
       job,
       buff,
       target,
       check,
       IF(
         AND(check=TRUE, REGEXMATCH(target, ""SELF_EFFECTED_ALL""), ISNUMBER(buff), job=""占星術師"""&amp;"),
         buff,
         1
       )
     )
   )
 )"),1.0)</f>
        <v>1</v>
      </c>
      <c r="EK45" s="200">
        <f>IFERROR(__xludf.DUMMYFUNCTION("PRODUCT(
   MAP(
     K$3:ED$3,
     K$14:ED$14,
     K$13:ED$13,
     K45:ED45,
     LAMBDA(
       job,
       buff,
       target,
       check,
       IF(
         AND(check=TRUE, REGEXMATCH(target, ""SELF_EFFECTED_GCD""), ISNUMBER(buff), job=""占星術師"""&amp;"),
         buff,
         1
       )
     )
   )
 )"),1.0)</f>
        <v>1</v>
      </c>
      <c r="EL45" s="200">
        <f>IFERROR(__xludf.DUMMYFUNCTION("PRODUCT(
   MAP(
     K$3:ED$3,
     K$14:ED$14,
     K$13:ED$13,
     K45:ED45,
     LAMBDA(
       job,
       buff,
       target,
       check,
       IF(
         AND(check=TRUE, REGEXMATCH(target, ""SELF_EFFECTED_ALL""), ISNUMBER(buff), job=""学者""),"&amp;"
         buff,
         1
       )
     )
   )
 )"),1.0)</f>
        <v>1</v>
      </c>
      <c r="EM45" s="200">
        <f>IFERROR(__xludf.DUMMYFUNCTION("PRODUCT(
   MAP(
     K$3:ED$3,
     K$14:ED$14,
     K$13:ED$13,
     K45:ED45,
     LAMBDA(
       job,
       buff,
       target,
       check,
       IF(
         AND(check=TRUE, REGEXMATCH(target, ""SELF_EFFECTED_GCD""), ISNUMBER(buff), job=""学者""),"&amp;"
         buff,
         1
       )
     )
   )
 )"),1.0)</f>
        <v>1</v>
      </c>
      <c r="EN45" s="200">
        <f>IFERROR(__xludf.DUMMYFUNCTION("PRODUCT(
   MAP(
     K$3:ED$3,
     K$14:ED$14,
     K$13:ED$13,
     K45:ED45,
     LAMBDA(
       job,
       buff,
       target,
       check,
       IF(
         AND(check=TRUE, REGEXMATCH(target, ""SELF_EFFECTED_ALL""), ISNUMBER(buff), job=""賢者""),"&amp;"
         buff,
         1
       )
     )
   )
 )"),1.0)</f>
        <v>1</v>
      </c>
      <c r="EO45" s="200">
        <f>IFERROR(__xludf.DUMMYFUNCTION("PRODUCT(
   MAP(
     K$3:ED$3,
     K$14:ED$14,
     K$13:ED$13,
     K45:ED45,
     LAMBDA(
       job,
       buff,
       target,
       check,
       IF(
         AND(check=TRUE, REGEXMATCH(target, ""SELF_EFFECTED_GCD""), ISNUMBER(buff), job=""賢者""),"&amp;"
         buff,
         1
       )
     )
   )
 )"),1.0)</f>
        <v>1</v>
      </c>
      <c r="EP45" s="201">
        <f t="shared" si="3"/>
        <v>0</v>
      </c>
      <c r="EQ45" s="201">
        <f>IFERROR(__xludf.DUMMYFUNCTION("SUM(
   MAP(
     K$4:ED$4,
     K$3:ED$3,
     K$7:ED$7,
     K$15:ED$15,
     K$16:ED$16,
     K$21:ED$21,
     K$5:ED$5,
     K$17:ED$17,
     K45:ED45,
     LAMBDA(
       name,
       job,
       abillity,
       buff,
       barrier,
       enhance,"&amp;"
       assign,
       precondition,
       check,
       SWITCH(
         name,
         ""シェイクオフ"", IF(check=TRUE, buff + (0.02 * COUNTIF(ARRAYFORMULA((REGEXMATCH($K$4:$ED$4, ""スリル・オブ・バトル|ヴェンジェンス|原初の血気|ダムネーション"")) * (K45:ED45=TRUE)), 1)), 0),
         "&amp;"""インプロビゼーションフィニッシュ(踊りの激情0)"", IF(ISNUMBER(check), INDEX(Skill!$AJ:$AJ, MATCH(SUBSTITUTE(DV$4, 0, check), Skill!$C:$C, 0)), 0),
         IF(
           AND(check=TRUE, REGEXMATCH(assign, ""RANGE_PARTY"")),
           IF(
             OR(ARRAYFORMULA((IF(pr"&amp;"econdition="""", FALSE, REGEXMATCH($K$4:$ED$4, precondition))) * (K45:ED45=TRUE))),
             enhance,
             IF(barrier="""", buff, barrier)
           ),
           0
         )
       ) *
       SWITCH(
         job,
         ""ナイト"", EY$24,
 "&amp;"        ""戦士"", FD$24,
         ""踊り子"", ET$24,
         ""ピクトマンサー"", ET$24,
         ""白魔道士"", EF45 * EH45 * IF(abillity, 1, EG45 * EI45) * (Option!$D$22 * 0.81 / 100),
         ""占星術師"", EF45 * EJ45 * IF(abillity, 1, EG45 * EK45) * (Option!$D$23 * 0.81 "&amp;"/ 100),
         ""学者"", EF45 * EL45 * IF(abillity, 1, EG45 * EM45) * (Option!$D$24 * 0.81 / 100),
         ""賢者"", EF45 * EN45 * IF(abillity, 1, EG45 * EO45) * (Option!$D$25 * 0.81 / 100),
         1
       )
     )
   )
 )"),0.0)</f>
        <v>0</v>
      </c>
      <c r="ER45" s="202">
        <f t="shared" si="4"/>
        <v>0</v>
      </c>
      <c r="ES45" s="203">
        <f t="shared" si="5"/>
        <v>0</v>
      </c>
      <c r="ET45" s="204" t="str">
        <f>IFERROR(__xludf.DUMMYFUNCTION("IFS(
  EP45 &gt; $ET$24 + EQ45,
  SPARKLINE({ 1, 0 }, {""charttype"",""bar"";""max"", 1;""color1"",Option!$D$30;""color2"",Option!$D$30}),
  EP45 &lt; EQ45,
  SPARKLINE({EQ45 - EP45, $ET$24 - (EQ45 - EP45)}, {""charttype"",""bar"";""max"",$ET$24;""color1"",Opti"&amp;"on!$D$28;""color2"",Option!$D$29}),
  EP45 &gt;= EQ45,
  SPARKLINE({$ET$24 + EQ45 - EP45,EP45 - EQ45}, {""charttype"",""bar"";""max"",$ET$24;""color1"",Option!$D$29;""color2"",Option!$D$30})
)"),"")</f>
        <v/>
      </c>
      <c r="EU45" s="205">
        <f>IFERROR(__xludf.DUMMYFUNCTION("PRODUCT(
   MAP(
     IF($F45=""Physical"", K$10:ED$10, IF($F45=""Magic"", K$11:ED$11, K$12:ED$12)),
     IF($F45=""Physical"", K$18:ED$18, IF($F45=""Magic"", K$19:ED$19, K$20:ED$20)),
     K$3:ED$3,
     K$5:ED$5,
     K$17:ED$17,
     K45:ED45,
     LAM"&amp;"BDA(
       mitigation,
       enhance,
       job,
       assign,
       precondition,
       check,
       IF(
         OR(AND(check=TRUE, REGEXMATCH(assign, ""SELF""), job=""ナイト""), AND(check=Option!$E$13, REGEXMATCH(assign, ""SINGLE_PARTY""))),
      "&amp;"   IF(
           OR(ARRAYFORMULA((IF(precondition="""", FALSE, REGEXMATCH($K$4:$ED$4, precondition))) * (K45:ED45=TRUE))),
           enhance,
           mitigation
         ),
         1
       )
     )
   )
 ) * EE45"),1.0)</f>
        <v>1</v>
      </c>
      <c r="EV45" s="206">
        <f t="shared" si="6"/>
        <v>0</v>
      </c>
      <c r="EW45" s="205">
        <f>IFERROR(__xludf.DUMMYFUNCTION("PRODUCT(
   MAP(
     K$3:ED$3,
     K$14:ED$14,
     K$13:ED$13,
     K45:ED45,
     LAMBDA(
       job,
       buff,
       target,
       check,
       IF(
         OR(AND(check=TRUE, REGEXMATCH(target, ""SELF_AFFECTED_ALL""), job=""ナイト""), AND(check=O"&amp;"ption!$E$13, REGEXMATCH(target, ""SINGLE_AFFECTED_ALL""))),
         buff,
         1
       )
     )
   )
 )"),1.0)</f>
        <v>1</v>
      </c>
      <c r="EX45" s="206">
        <f>IFERROR(__xludf.DUMMYFUNCTION("SUM(
   MAP(
     K$3:ED$3,
     K$7:ED$7,
     K$15:ED$15,
     K$16:ED$16,
     K$21:ED$21,
     K$5:ED$5,
     K$17:ED$17,
     K45:ED45,
     LAMBDA(
       job,
       abillity,
       buff,
       barrier,
       enhance,
       assign,
       preco"&amp;"ndition,
       check,
       IF(
         OR(AND(check=TRUE, REGEXMATCH(assign, ""SELF""), job=""ナイト""), AND(check=Option!$E$13, REGEXMATCH(assign, ""SINGLE_PARTY""))),
         IF(
           OR(ARRAYFORMULA((IF(precondition="""", FALSE, REGEXMATCH($K$4"&amp;":$ED$4, precondition))) * (K45:ED45=TRUE))),
           enhance,
           IF(barrier="""", buff, barrier)
         ),
         0
       ) *
       SWITCH(
         job,
         ""暗黒騎士"", EY$24,
         ""白魔道士"", EF45 * EH45 * EW45 * IF(abillity, 1, EG"&amp;"45 * EI45) * (Option!$D$22 * 0.81 / 100),
         ""占星術師"", EF45 * EJ45 * EW45 * IF(abillity, 1, EG45 * EK45) * (Option!$D$23 * 0.81 / 100),
         ""学者"", EF45 * EL45 * EW45 * IF(abillity, 1, EG45 * EM45) * (Option!$D$24 * 0.81 / 100),
         ""賢者"""&amp;", EF45 * EN45 * EW45 * IF(abillity, 1, EG45 * EO45) * (Option!$D$25 * 0.81 / 100),
         1
       )
     )
   )
 ) + EQ45"),0.0)</f>
        <v>0</v>
      </c>
      <c r="EY45" s="206">
        <f t="shared" si="7"/>
        <v>0</v>
      </c>
      <c r="EZ45" s="205">
        <f>IFERROR(__xludf.DUMMYFUNCTION("PRODUCT(
   MAP(
     IF($F45=""Physical"", K$10:ED$10, IF($F45=""Magic"", K$11:ED$11, K$12:ED$12)),
     IF($F45=""Physical"", K$18:ED$18, IF($F45=""Magic"", K$19:ED$19, K$20:ED$20)),
     K$3:ED$3,
     K$5:ED$5,
     K$17:ED$17,
     K45:ED45,
     LAM"&amp;"BDA(
       mitigation,
       enhance,
       job,
       assign,
       precondition,
       check,
       IF(
         OR(AND(check=TRUE, REGEXMATCH(assign, ""SELF""), job=""戦士""), AND(check=Option!$F$13, REGEXMATCH(assign, ""SINGLE_PARTY""))),
       "&amp;"  IF(
           OR(ARRAYFORMULA((IF(precondition="""", FALSE, REGEXMATCH($K$4:$ED$4, precondition))) * (K45:ED45=TRUE))),
           enhance,
           mitigation
         ),
         1
       )
     )
   )
 ) * EE45"),1.0)</f>
        <v>1</v>
      </c>
      <c r="FA45" s="206">
        <f t="shared" si="8"/>
        <v>0</v>
      </c>
      <c r="FB45" s="205">
        <f>IFERROR(__xludf.DUMMYFUNCTION("PRODUCT(
   MAP(
     K$3:ED$3,
     K$14:ED$14,
     K$13:ED$13,
     K45:ED45,
     LAMBDA(
       job,
       buff,
       target,
       check,
       IF(
         OR(AND(check=TRUE, REGEXMATCH(target, ""SELF_AFFECTED_ALL""), job=""戦士""), AND(check=Op"&amp;"tion!$F$13, REGEXMATCH(target, ""SINGLE_AFFECTED_ALL""))),
         buff,
         1
       )
     )
   )
 )"),1.0)</f>
        <v>1</v>
      </c>
      <c r="FC45" s="206">
        <f>IFERROR(__xludf.DUMMYFUNCTION("SUM(
   MAP(
     K$3:ED$3,
     K$7:ED$7,
     K$15:ED$15,
     K$16:ED$16,
     K$21:ED$21,
     K$5:ED$5,
     K$17:ED$17,
     K45:ED45,
     LAMBDA(
       job,
       abillity,
       buff,
       barrier,
       enhance,
       assign,
       preco"&amp;"ndition,
       check,
       IF(
         OR(AND(check=TRUE, REGEXMATCH(assign, ""SELF""), job=""戦士""), AND(check=Option!$F$13, REGEXMATCH(assign, ""SINGLE_PARTY""))),
         IF(
           OR(ARRAYFORMULA((IF(precondition="""", FALSE, REGEXMATCH($K$4:"&amp;"$ED$4, precondition))) * (K45:ED45=TRUE))),
           enhance,
           IF(barrier="""", buff, barrier)
         ),
         0
       ) *
       SWITCH(
         job,
         ""暗黒騎士"", FD$24,
         ""白魔道士"", EF45 * EH45 * FB45 * IF(abillity, 1, EG4"&amp;"5 * EI45) * (Option!$D$22 * 0.81 / 100),
         ""占星術師"", EF45 * EJ45 * FFB45 * IF(abillity, 1, EG45 * EK45) * (Option!$D$23 * 0.81 / 100),
         ""学者"", EF45 * EL45 * FB45 * IF(abillity, 1, EG45 * EM45) * (Option!$D$24 * 0.81 / 100),
         ""賢者"""&amp;", EF45 * EN45 * FB45 * IF(abillity, 1, EG45 * EO45) * (Option!$D$25 * 0.81 / 100),
         1
       )
     )
   )
 ) + EQ45"),0.0)</f>
        <v>0</v>
      </c>
      <c r="FD45" s="206">
        <f t="shared" si="9"/>
        <v>0</v>
      </c>
      <c r="FE45" s="205">
        <f>IFERROR(__xludf.DUMMYFUNCTION("PRODUCT(
   MAP(
     IF($F45=""Physical"", K$10:ED$10, IF($F45=""Magic"", K$11:ED$11, K$12:ED$12)),
     IF($F45=""Physical"", K$18:ED$18, IF($F45=""Magic"", K$19:ED$19, K$20:ED$20)),
     K$3:ED$3,
     K$5:ED$5,
     K$17:ED$17,
     K45:ED45,
     LAM"&amp;"BDA(
       mitigation,
       enhance,
       job,
       assign,
       precondition,
       check,
       IF(
         OR(AND(check=TRUE, REGEXMATCH(assign, ""SELF""), job=""暗黒騎士""), AND(check=Option!$G$13, REGEXMATCH(assign, ""SINGLE_PARTY""))),
     "&amp;"    IF(
           OR(ARRAYFORMULA((IF(precondition="""", FALSE, REGEXMATCH($K$4:$ED$4, precondition))) * (K45:ED45=TRUE))),
           enhance,
           mitigation
         ),
         1
       )
     )
   )
 ) * EE45"),1.0)</f>
        <v>1</v>
      </c>
      <c r="FF45" s="206">
        <f t="shared" si="10"/>
        <v>0</v>
      </c>
      <c r="FG45" s="205">
        <f>IFERROR(__xludf.DUMMYFUNCTION("PRODUCT(
   MAP(
     K$3:ED$3,
     K$14:ED$14,
     K$13:ED$13,
     K45:ED45,
     LAMBDA(
       job,
       buff,
       target,
       check,
       IF(
         OR(AND(check=TRUE, REGEXMATCH(target, ""SELF_AFFECTED_ALL""), job=""暗黒騎士""), AND(check="&amp;"Option!$G$13, REGEXMATCH(target, ""SINGLE_AFFECTED_ALL""))),
         buff,
         1
       )
     )
   )
 )"),1.0)</f>
        <v>1</v>
      </c>
      <c r="FH45" s="206">
        <f>IFERROR(__xludf.DUMMYFUNCTION("SUM(
   MAP(
     K$3:ED$3,
     K$7:ED$7,
     K$15:ED$15,
     K$16:ED$16,
     K$21:ED$21,
     K$5:ED$5,
     K$17:ED$17,
     K45:ED45,
     LAMBDA(
       job,
       abillity,
       buff,
       barrier,
       enhance,
       assign,
       preco"&amp;"ndition,
       check,
       IF(
         OR(AND(check=TRUE, REGEXMATCH(assign, ""SELF""), job=""暗黒騎士""), AND(check=Option!$G$13, REGEXMATCH(assign, ""SINGLE_PARTY""))),
         IF(
           OR(ARRAYFORMULA((IF(precondition="""", FALSE, REGEXMATCH($K$"&amp;"4:$ED$4, precondition))) * (K45:ED45=TRUE))),
           enhance,
           IF(barrier="""", buff, barrier)
         ),
         0
       ) *
       SWITCH(
         job,
         ""暗黒騎士"", FI$24,
         ""白魔道士"", EF45 * EH45 * FG45 * IF(abillity, 1, E"&amp;"G45 * EI45) * (Option!$D$22 * 0.81 / 100),
         ""占星術師"", EF45 * EJ45 * FG45 * IF(abillity, 1, EG45 * EK45) * (Option!$D$23 * 0.81 / 100),
         ""学者"", EF45 * EL45 * FG45 * IF(abillity, 1, EG45 * EM45) * (Option!$D$24 * 0.81 / 100),
         ""賢者"&amp;""", EF45 * EN45 * FG45 * IF(abillity, 1, EG45 * EO45) * (Option!$D$25 * 0.81 / 100),
         1
       )
     )
   )
 ) + EQ45"),0.0)</f>
        <v>0</v>
      </c>
      <c r="FI45" s="206">
        <f t="shared" si="11"/>
        <v>0</v>
      </c>
      <c r="FJ45" s="205">
        <f>IFERROR(__xludf.DUMMYFUNCTION("PRODUCT(
   MAP(
     IF($F45=""Physical"", K$10:ED$10, IF($F45=""Magic"", K$11:ED$11, K$12:ED$12)),
     IF($F45=""Physical"", K$18:ED$18, IF($F45=""Magic"", K$19:ED$19, K$20:ED$20)),
     K$3:ED$3,
     K$5:ED$5,
     K$17:ED$17,
     K45:ED45,
     LAM"&amp;"BDA(
       mitigation,
       enhance,
       job,
       assign,
       precondition,
       check,
       IF(
         OR(AND(check=TRUE, REGEXMATCH(assign, ""SELF""), job=""ガンブレイカー""), AND(check=Option!$H$13, REGEXMATCH(assign, ""SINGLE_PARTY""))),
  "&amp;"       IF(
           OR(ARRAYFORMULA((IF(precondition="""", FALSE, REGEXMATCH($K$4:$ED$4, precondition))) * (K45:ED45=TRUE))),
           enhance,
           mitigation
         ),
         1
       )
     )
   )
 ) * EE45"),1.0)</f>
        <v>1</v>
      </c>
      <c r="FK45" s="206">
        <f t="shared" si="12"/>
        <v>0</v>
      </c>
      <c r="FL45" s="205">
        <f>IFERROR(__xludf.DUMMYFUNCTION("PRODUCT(
   MAP(
     K$3:ED$3,
     K$14:ED$14,
     K$13:ED$13,
     K45:ED45,
     LAMBDA(
       job,
       buff,
       target,
       check,
       IF(
         OR(AND(check=TRUE, REGEXMATCH(target, ""SELF_AFFECTED_ALL""), job=""ガンブレイカー""), AND(che"&amp;"ck=Option!$H$13, REGEXMATCH(target, ""SINGLE_AFFECTED_ALL""))),
         buff,
         1
       )
     )
   )
 )"),1.0)</f>
        <v>1</v>
      </c>
      <c r="FM45" s="206">
        <f>IFERROR(__xludf.DUMMYFUNCTION("SUM(
   MAP(
     K$3:ED$3,
     K$7:ED$7,
     K$15:ED$15,
     K$16:ED$16,
     K$21:ED$21,
     K$5:ED$5,
     K$17:ED$17,
     K45:ED45,
     LAMBDA(
       job,
       abillity,
       buff,
       barrier,
       enhance,
       assign,
       preco"&amp;"ndition,
       check,
       IF(
         OR(AND(check=TRUE, REGEXMATCH(assign, ""SELF""), job=""ガンブレイカー""), AND(check=Option!$H$13, REGEXMATCH(assign, ""SINGLE_PARTY""))),
         IF(
           OR(ARRAYFORMULA((IF(precondition="""", FALSE, REGEXMATCH("&amp;"$K$4:$ED$4, precondition))) * (K45:ED45=TRUE))),
           enhance,
           IF(barrier="""", buff, barrier)
         ),
         0
       ) *
       SWITCH(
         job,
         ""暗黒騎士"", FN$24,
         ""白魔道士"", EF45 * EH45 * FL45 * IF(abillity, 1"&amp;", EG45 * EI45) * (Option!$D$22 * 0.81 / 100),
         ""占星術師"", EF45 * EJ45 * FL45 * IF(abillity, 1, EG45 * EK45) * (Option!$D$23 * 0.81 / 100),
         ""学者"", EF45 * EL45 * FL45 * IF(abillity, 1, EG45 * EM45) * (Option!$D$24 * 0.81 / 100),
         """&amp;"賢者"", EF45 * EN45 * FL45 * IF(abillity, 1, EG45 * EO45) * (Option!$D$25 * 0.81 / 100),
         1
       )
     )
   )
 ) + EQ45"),0.0)</f>
        <v>0</v>
      </c>
      <c r="FN45" s="206">
        <f t="shared" si="13"/>
        <v>0</v>
      </c>
      <c r="FO45" s="213"/>
    </row>
    <row r="46">
      <c r="B46" s="229"/>
      <c r="C46" s="217">
        <f t="shared" si="1"/>
        <v>0</v>
      </c>
      <c r="D46" s="236"/>
      <c r="E46" s="226"/>
      <c r="F46" s="167"/>
      <c r="G46" s="168" t="str">
        <f t="shared" si="2"/>
        <v/>
      </c>
      <c r="H46" s="169"/>
      <c r="I46" s="169"/>
      <c r="J46" s="169"/>
      <c r="K46" s="170" t="b">
        <v>0</v>
      </c>
      <c r="L46" s="170" t="b">
        <v>0</v>
      </c>
      <c r="M46" s="170" t="b">
        <v>0</v>
      </c>
      <c r="N46" s="171" t="s">
        <v>1070</v>
      </c>
      <c r="O46" s="172" t="b">
        <v>0</v>
      </c>
      <c r="P46" s="173" t="b">
        <v>0</v>
      </c>
      <c r="Q46" s="173" t="b">
        <v>0</v>
      </c>
      <c r="R46" s="173" t="b">
        <v>0</v>
      </c>
      <c r="S46" s="174" t="b">
        <v>0</v>
      </c>
      <c r="T46" s="175" t="b">
        <v>0</v>
      </c>
      <c r="U46" s="173" t="b">
        <v>0</v>
      </c>
      <c r="V46" s="171" t="s">
        <v>1070</v>
      </c>
      <c r="W46" s="172" t="b">
        <v>0</v>
      </c>
      <c r="X46" s="173" t="b">
        <v>0</v>
      </c>
      <c r="Y46" s="173" t="b">
        <v>0</v>
      </c>
      <c r="Z46" s="173" t="b">
        <v>0</v>
      </c>
      <c r="AA46" s="174" t="b">
        <v>0</v>
      </c>
      <c r="AB46" s="174" t="b">
        <v>0</v>
      </c>
      <c r="AC46" s="175" t="b">
        <v>0</v>
      </c>
      <c r="AD46" s="173" t="b">
        <v>0</v>
      </c>
      <c r="AE46" s="176" t="s">
        <v>1070</v>
      </c>
      <c r="AF46" s="171" t="s">
        <v>1070</v>
      </c>
      <c r="AG46" s="177">
        <f>IFERROR(__xludf.DUMMYFUNCTION("IF(
  ISNUMBER(AG45),
  MIN(MAX(
    AG45
    + MAX(
      ROUNDDOWN(($D46 - MAX(IFERROR(FILTER($D$24:$D45, AG$24:AG45 &lt;&gt; AF$6, AG$23:AG44 = AF$6), 0))) * (60 * 60 * 24) / AF$9) - ROUNDDOWN(($D45 - MAX(IFERROR(FILTER($D$23:$D44, AG$23:AG44 &lt;&gt; AF$6, AG$22:"&amp;"AG43 = AF$6), 0))) * (60 * 60 * 24) / 60),
      0
    )
    - COUNTIF(AF46, ""&lt;&gt;-""),
  0), AF$6),
  AF$6 - COUNTIF(AF46, ""&lt;&gt;-"")
)"),2.0)</f>
        <v>2</v>
      </c>
      <c r="AH46" s="173" t="b">
        <v>0</v>
      </c>
      <c r="AI46" s="173" t="b">
        <v>0</v>
      </c>
      <c r="AJ46" s="173" t="b">
        <v>0</v>
      </c>
      <c r="AK46" s="174" t="b">
        <v>0</v>
      </c>
      <c r="AL46" s="175" t="b">
        <v>0</v>
      </c>
      <c r="AM46" s="173" t="b">
        <v>0</v>
      </c>
      <c r="AN46" s="171" t="s">
        <v>1070</v>
      </c>
      <c r="AO46" s="173" t="b">
        <v>0</v>
      </c>
      <c r="AP46" s="173" t="b">
        <v>0</v>
      </c>
      <c r="AQ46" s="173" t="b">
        <v>0</v>
      </c>
      <c r="AR46" s="174" t="b">
        <v>0</v>
      </c>
      <c r="AS46" s="178" t="b">
        <v>0</v>
      </c>
      <c r="AT46" s="179" t="b">
        <v>0</v>
      </c>
      <c r="AU46" s="180" t="b">
        <v>0</v>
      </c>
      <c r="AV46" s="180" t="b">
        <v>0</v>
      </c>
      <c r="AW46" s="180" t="b">
        <v>0</v>
      </c>
      <c r="AX46" s="180" t="b">
        <v>0</v>
      </c>
      <c r="AY46" s="181" t="s">
        <v>1070</v>
      </c>
      <c r="AZ46" s="181" t="s">
        <v>1070</v>
      </c>
      <c r="BA46" s="184">
        <f>IFERROR(__xludf.DUMMYFUNCTION("IF(
  ISNUMBER(BA45),
  MIN(MAX(
    BA45
    + MAX(
      ROUNDDOWN((D46 - MAX(IFERROR(FILTER(D$24:D45, BA$24:BA45 &lt;&gt; AZ$6, BA$23:BA44 = AZ$6), 0))) * (60 * 60 * 24) / AZ$9) - ROUNDDOWN((D45 - MAX(IFERROR(FILTER(D$23:D44, BA$23:BA44 &lt;&gt; AZ$6, BA$22:BA43 ="&amp;" AZ$6), 0))) * (60 * 60 * 24) / AZ$9),
      0
    )
    - COUNTIF(AZ46, ""&lt;&gt;-""),
  0), AZ$6),
  AZ$6 - COUNTIF(AZ46, ""&lt;&gt;-"")
)"),2.0)</f>
        <v>2</v>
      </c>
      <c r="BB46" s="181" t="s">
        <v>1070</v>
      </c>
      <c r="BC46" s="183">
        <f>IFERROR(__xludf.DUMMYFUNCTION("IF(
  ISNUMBER(BC45),
  MIN(MAX(
    BC45
    + MAX(
      ROUNDDOWN(($D46 - MAX(IFERROR(FILTER($D$24:$D45, BC$24:BC45 &lt;&gt; BB$6, BC$23:BC44 = BB$6), 0))) * (60 * 60 * 24) / BB$9) - ROUNDDOWN(($D45 - MAX(IFERROR(FILTER($D$23:$D44, BC$23:BC44 &lt;&gt; BB$6, BC$22:"&amp;"BC43 = BB$6), 0))) * (60 * 60 * 24) / 60),
      0
    )
    - COUNTIF(BB46, ""&lt;&gt;-""),
  0), BB$6),
  BB$6 - COUNTIF(BB46, ""&lt;&gt;-"")
)"),2.0)</f>
        <v>2</v>
      </c>
      <c r="BD46" s="181" t="s">
        <v>1070</v>
      </c>
      <c r="BE46" s="178" t="b">
        <v>0</v>
      </c>
      <c r="BF46" s="180" t="b">
        <v>0</v>
      </c>
      <c r="BG46" s="180" t="b">
        <v>0</v>
      </c>
      <c r="BH46" s="180" t="b">
        <v>0</v>
      </c>
      <c r="BI46" s="180" t="b">
        <v>0</v>
      </c>
      <c r="BJ46" s="180" t="b">
        <v>0</v>
      </c>
      <c r="BK46" s="180" t="b">
        <v>0</v>
      </c>
      <c r="BL46" s="180" t="b">
        <v>0</v>
      </c>
      <c r="BM46" s="180" t="b">
        <v>0</v>
      </c>
      <c r="BN46" s="180" t="b">
        <v>0</v>
      </c>
      <c r="BO46" s="181" t="s">
        <v>1070</v>
      </c>
      <c r="BP46" s="181" t="s">
        <v>1070</v>
      </c>
      <c r="BQ46" s="181" t="s">
        <v>1070</v>
      </c>
      <c r="BR46" s="181" t="s">
        <v>1070</v>
      </c>
      <c r="BS46" s="181" t="s">
        <v>1070</v>
      </c>
      <c r="BT46" s="184">
        <f>IFERROR(__xludf.DUMMYFUNCTION("IF(
  ISNUMBER(BT45),
  MIN(MAX(
    BT45
    + MAX(
      ROUNDDOWN((D46 - MAX(IFERROR(FILTER(D$24:D45, BT$24:BT45 &lt;&gt; BS$6, BT$23:BT44 = BS$6), 0))) * (60 * 60 * 24) / BS$9) - ROUNDDOWN((D45 - MAX(IFERROR(FILTER(D$23:D44, BT$23:BT44 &lt;&gt; BS$6, BT$22:BT43 ="&amp;" BS$6), 0))) * (60 * 60 * 24) / BS$9),
      0
    )
    - COUNTIF(BS46, ""&lt;&gt;-""),
  0), BS$6),
  BS$6 - COUNTIF(BS46, ""&lt;&gt;-"")
)"),3.0)</f>
        <v>3</v>
      </c>
      <c r="BU46" s="181" t="s">
        <v>1070</v>
      </c>
      <c r="BV46" s="181" t="s">
        <v>1070</v>
      </c>
      <c r="BW46" s="184">
        <f>IFERROR(__xludf.DUMMYFUNCTION("IF(
  ISNUMBER(BW45),
  MIN(MAX(
    BW45
    + MAX(
      ROUNDDOWN((D46 - MAX(IFERROR(FILTER(D$24:D45, BW$24:BW45 &lt;&gt; BV$6, BW$23:BW44 = BV$6), 0))) * (60 * 60 * 24) / BV$9) - ROUNDDOWN((D45 - MAX(IFERROR(FILTER(D$23:D44, BW$23:BW44 &lt;&gt; BV$6, BW$22:BW43 ="&amp;" BV$6), 0))) * (60 * 60 * 24) / BV$9),
      0
    )
    - COUNTIF(BV46, ""&lt;&gt;-""),
  0), BV$6),
  BV$6 - COUNTIF(BV46, ""&lt;&gt;-"")
)"),2.0)</f>
        <v>2</v>
      </c>
      <c r="BX46" s="185" t="s">
        <v>1070</v>
      </c>
      <c r="BY46" s="178" t="b">
        <v>0</v>
      </c>
      <c r="BZ46" s="180" t="b">
        <v>0</v>
      </c>
      <c r="CA46" s="180" t="b">
        <v>0</v>
      </c>
      <c r="CB46" s="180" t="b">
        <v>0</v>
      </c>
      <c r="CC46" s="180" t="b">
        <v>0</v>
      </c>
      <c r="CD46" s="180" t="b">
        <v>0</v>
      </c>
      <c r="CE46" s="180" t="b">
        <v>0</v>
      </c>
      <c r="CF46" s="180" t="b">
        <v>0</v>
      </c>
      <c r="CG46" s="180" t="b">
        <v>0</v>
      </c>
      <c r="CH46" s="180" t="b">
        <v>0</v>
      </c>
      <c r="CI46" s="180" t="b">
        <v>0</v>
      </c>
      <c r="CJ46" s="180" t="b">
        <v>0</v>
      </c>
      <c r="CK46" s="180" t="b">
        <v>0</v>
      </c>
      <c r="CL46" s="180" t="b">
        <v>0</v>
      </c>
      <c r="CM46" s="181" t="s">
        <v>1070</v>
      </c>
      <c r="CN46" s="181" t="s">
        <v>1070</v>
      </c>
      <c r="CO46" s="181" t="s">
        <v>1070</v>
      </c>
      <c r="CP46" s="181" t="s">
        <v>1070</v>
      </c>
      <c r="CQ46" s="185" t="s">
        <v>1070</v>
      </c>
      <c r="CR46" s="180" t="b">
        <v>0</v>
      </c>
      <c r="CS46" s="186" t="str">
        <f t="shared" si="14"/>
        <v>◇◇◇</v>
      </c>
      <c r="CT46" s="178" t="b">
        <v>0</v>
      </c>
      <c r="CU46" s="180" t="b">
        <v>0</v>
      </c>
      <c r="CV46" s="180" t="b">
        <v>0</v>
      </c>
      <c r="CW46" s="180" t="b">
        <v>0</v>
      </c>
      <c r="CX46" s="180" t="b">
        <v>0</v>
      </c>
      <c r="CY46" s="180" t="b">
        <v>0</v>
      </c>
      <c r="CZ46" s="180" t="b">
        <v>0</v>
      </c>
      <c r="DA46" s="180" t="b">
        <v>0</v>
      </c>
      <c r="DB46" s="180" t="b">
        <v>0</v>
      </c>
      <c r="DC46" s="180" t="b">
        <v>0</v>
      </c>
      <c r="DD46" s="181" t="s">
        <v>1070</v>
      </c>
      <c r="DE46" s="181" t="s">
        <v>1070</v>
      </c>
      <c r="DF46" s="181" t="s">
        <v>1070</v>
      </c>
      <c r="DG46" s="185" t="s">
        <v>1070</v>
      </c>
      <c r="DH46" s="180" t="b">
        <v>0</v>
      </c>
      <c r="DI46" s="187" t="str">
        <f>IFERROR(__xludf.DUMMYFUNCTION("SWITCH(
  IF(
    ISTEXT(DI45),
    IF (
      FIND(""○"", DI45&amp;""○"") &gt; 3,
      3,
      FIND(""○"", DI45&amp;""○"")
      + MAX(
        ROUNDDOWN(($D46 - MAX(IFERROR(FILTER(D$24:D45, DI$24:DI45 &lt;&gt; ""●●●"", DI$23:DI44 = ""●●●""), 0))) * (60 * 60 * 24) / 20"&amp;") - ROUNDDOWN(($D45 - MAX(IFERROR(FILTER(D$23:D44, DI$23:DI44 &lt;&gt; ""●●●"", DI$22:DI43 = ""●●●""), 0))) * (60 * 60 * 24) / 20),
        0
      ) - 1
    ) - COUNTIFS(CU46, ""=TRUE"", CU45, ""&lt;&gt;TRUE"") - COUNTIF(CZ46, ""=TRUE"") - COUNTIF({DD46,DE46}, ""&lt;&gt;-"&amp;""") + COUNTIF(DH46, ""=TRUE""),
    3
  ),
  0, ""○○○"", 1, ""●○○"", 2, ""●●○"", 3, ""●●●"", 4, ""●●●"", ""○○○""
)"),"●●●")</f>
        <v>●●●</v>
      </c>
      <c r="DJ46" s="188" t="b">
        <v>0</v>
      </c>
      <c r="DK46" s="189" t="b">
        <v>0</v>
      </c>
      <c r="DL46" s="190" t="b">
        <v>0</v>
      </c>
      <c r="DM46" s="190" t="b">
        <v>0</v>
      </c>
      <c r="DN46" s="190" t="b">
        <v>0</v>
      </c>
      <c r="DO46" s="190" t="b">
        <v>0</v>
      </c>
      <c r="DP46" s="190" t="b">
        <v>0</v>
      </c>
      <c r="DQ46" s="191" t="b">
        <v>0</v>
      </c>
      <c r="DR46" s="192" t="b">
        <v>0</v>
      </c>
      <c r="DS46" s="191" t="b">
        <v>0</v>
      </c>
      <c r="DT46" s="192" t="b">
        <v>0</v>
      </c>
      <c r="DU46" s="191" t="b">
        <v>0</v>
      </c>
      <c r="DV46" s="193" t="s">
        <v>1070</v>
      </c>
      <c r="DW46" s="194" t="b">
        <v>0</v>
      </c>
      <c r="DX46" s="194" t="b">
        <v>0</v>
      </c>
      <c r="DY46" s="195" t="b">
        <v>0</v>
      </c>
      <c r="DZ46" s="196" t="b">
        <v>0</v>
      </c>
      <c r="EA46" s="195" t="b">
        <v>0</v>
      </c>
      <c r="EB46" s="197" t="b">
        <v>0</v>
      </c>
      <c r="EC46" s="197" t="b">
        <v>0</v>
      </c>
      <c r="ED46" s="212" t="b">
        <v>0</v>
      </c>
      <c r="EE46" s="199">
        <f>IFERROR(__xludf.DUMMYFUNCTION("IFERROR(
   PRODUCT(
     MAP(
       INDEX(TRANSPOSE(UNIQUE(TRANSPOSE(FILTER({IF($F46=""Physical"", K$10:ED$10, IF($F46=""Magic"", K$11:ED$11, K$12:ED$12));K$4:ED$4;K46:ED46}, K46:ED46=TRUE)))), 1, 0),
       INDEX(TRANSPOSE(UNIQUE(TRANSPOSE(FILTER({IF($"&amp;"F46=""Physical"", K$18:ED$18, IF($F46=""Magic"", K$19:ED$19, K$20:ED$20));K$4:ED$4;K46:ED46}, K46:ED46=TRUE)))), 1, 0),
       INDEX(TRANSPOSE(UNIQUE(TRANSPOSE(FILTER({K$5:ED$5;K$4:ED$4;K46:ED46}, K46:ED46=TRUE)))), 1, 0),
       INDEX(TRANSPOSE(UNIQUE(TR"&amp;"ANSPOSE(FILTER({K$17:ED$17;K$4:ED$4;K46:ED46}, K46:ED46=TRUE)))), 1, 0),
       LAMBDA(
         mitigation,
         enhance,
         assign,
         precondition,
         IF(
           REGEXMATCH(assign, ""RANGE_PARTY|SINGLE_ENEMY|RANGE_ENEMY""),
  "&amp;"         IF(
             OR(ARRAYFORMULA((IF(precondition="""", FALSE, REGEXMATCH(K$4:ED$4, precondition))) * (K46:ED46=TRUE))),
             IF(ISNUMBER(enhance), enhance, 1),
             IF(ISNUMBER(mitigation), mitigation, 1)
           ),
          "&amp;" 1
         )
       )
     )
   ),
   1
 )"),1.0)</f>
        <v>1</v>
      </c>
      <c r="EF46" s="200">
        <f>IFERROR(__xludf.DUMMYFUNCTION("PRODUCT(
   MAP(
     K$14:ED$14,
     K$13:ED$13,
     K46:ED46,
     LAMBDA(
       buff,
       target,
       check,
       IF(
         AND(check=TRUE, REGEXMATCH(target, ""RANGE_AFFECTED_ALL|RANGE_EFFECTED_ALL""), ISNUMBER(buff)),
         buff,
   "&amp;"      1
       )
     )
   )
 )"),1.0)</f>
        <v>1</v>
      </c>
      <c r="EG46" s="200">
        <f>IFERROR(__xludf.DUMMYFUNCTION("PRODUCT(
   MAP(
     K$14:ED$14,
     K$13:ED$13,
     K46:ED46,
     LAMBDA(
       buff,
       target,
       check,
       IF(
         AND(check=TRUE, REGEXMATCH(target, ""RANGE_AFFECTED_GCD|RANGE_EFFECTED_GCD""), ISNUMBER(buff)),
         buff,
   "&amp;"      1
       )
     )
   )
 )"),1.0)</f>
        <v>1</v>
      </c>
      <c r="EH46" s="200">
        <f>IFERROR(__xludf.DUMMYFUNCTION("PRODUCT(
   MAP(
     K$3:ED$3,
     K$14:ED$14,
     K$13:ED$13,
     K46:ED46,
     LAMBDA(
       job,
       buff,
       target,
       check,
       IF(
         AND(check=TRUE, REGEXMATCH(target, ""SELF_EFFECTED_ALL""), ISNUMBER(buff), job=""白魔道士"""&amp;"),
         buff,
         1
       )
     )
   )
 )"),1.0)</f>
        <v>1</v>
      </c>
      <c r="EI46" s="200">
        <f>IFERROR(__xludf.DUMMYFUNCTION("PRODUCT(
   MAP(
     K$3:ED$3,
     K$14:ED$14,
     K$13:ED$13,
     K46:ED46,
     LAMBDA(
       job,
       buff,
       target,
       check,
       IF(
         AND(check=TRUE, REGEXMATCH(target, ""SELF_EFFECTED_GCD""), ISNUMBER(buff), job=""白魔道士"""&amp;"),
         buff,
         1
       )
     )
   )
 )"),1.0)</f>
        <v>1</v>
      </c>
      <c r="EJ46" s="200">
        <f>IFERROR(__xludf.DUMMYFUNCTION("PRODUCT(
   MAP(
     K$3:ED$3,
     K$14:ED$14,
     K$13:ED$13,
     K46:ED46,
     LAMBDA(
       job,
       buff,
       target,
       check,
       IF(
         AND(check=TRUE, REGEXMATCH(target, ""SELF_EFFECTED_ALL""), ISNUMBER(buff), job=""占星術師"""&amp;"),
         buff,
         1
       )
     )
   )
 )"),1.0)</f>
        <v>1</v>
      </c>
      <c r="EK46" s="200">
        <f>IFERROR(__xludf.DUMMYFUNCTION("PRODUCT(
   MAP(
     K$3:ED$3,
     K$14:ED$14,
     K$13:ED$13,
     K46:ED46,
     LAMBDA(
       job,
       buff,
       target,
       check,
       IF(
         AND(check=TRUE, REGEXMATCH(target, ""SELF_EFFECTED_GCD""), ISNUMBER(buff), job=""占星術師"""&amp;"),
         buff,
         1
       )
     )
   )
 )"),1.0)</f>
        <v>1</v>
      </c>
      <c r="EL46" s="200">
        <f>IFERROR(__xludf.DUMMYFUNCTION("PRODUCT(
   MAP(
     K$3:ED$3,
     K$14:ED$14,
     K$13:ED$13,
     K46:ED46,
     LAMBDA(
       job,
       buff,
       target,
       check,
       IF(
         AND(check=TRUE, REGEXMATCH(target, ""SELF_EFFECTED_ALL""), ISNUMBER(buff), job=""学者""),"&amp;"
         buff,
         1
       )
     )
   )
 )"),1.0)</f>
        <v>1</v>
      </c>
      <c r="EM46" s="200">
        <f>IFERROR(__xludf.DUMMYFUNCTION("PRODUCT(
   MAP(
     K$3:ED$3,
     K$14:ED$14,
     K$13:ED$13,
     K46:ED46,
     LAMBDA(
       job,
       buff,
       target,
       check,
       IF(
         AND(check=TRUE, REGEXMATCH(target, ""SELF_EFFECTED_GCD""), ISNUMBER(buff), job=""学者""),"&amp;"
         buff,
         1
       )
     )
   )
 )"),1.0)</f>
        <v>1</v>
      </c>
      <c r="EN46" s="200">
        <f>IFERROR(__xludf.DUMMYFUNCTION("PRODUCT(
   MAP(
     K$3:ED$3,
     K$14:ED$14,
     K$13:ED$13,
     K46:ED46,
     LAMBDA(
       job,
       buff,
       target,
       check,
       IF(
         AND(check=TRUE, REGEXMATCH(target, ""SELF_EFFECTED_ALL""), ISNUMBER(buff), job=""賢者""),"&amp;"
         buff,
         1
       )
     )
   )
 )"),1.0)</f>
        <v>1</v>
      </c>
      <c r="EO46" s="200">
        <f>IFERROR(__xludf.DUMMYFUNCTION("PRODUCT(
   MAP(
     K$3:ED$3,
     K$14:ED$14,
     K$13:ED$13,
     K46:ED46,
     LAMBDA(
       job,
       buff,
       target,
       check,
       IF(
         AND(check=TRUE, REGEXMATCH(target, ""SELF_EFFECTED_GCD""), ISNUMBER(buff), job=""賢者""),"&amp;"
         buff,
         1
       )
     )
   )
 )"),1.0)</f>
        <v>1</v>
      </c>
      <c r="EP46" s="201">
        <f t="shared" si="3"/>
        <v>0</v>
      </c>
      <c r="EQ46" s="201">
        <f>IFERROR(__xludf.DUMMYFUNCTION("SUM(
   MAP(
     K$4:ED$4,
     K$3:ED$3,
     K$7:ED$7,
     K$15:ED$15,
     K$16:ED$16,
     K$21:ED$21,
     K$5:ED$5,
     K$17:ED$17,
     K46:ED46,
     LAMBDA(
       name,
       job,
       abillity,
       buff,
       barrier,
       enhance,"&amp;"
       assign,
       precondition,
       check,
       SWITCH(
         name,
         ""シェイクオフ"", IF(check=TRUE, buff + (0.02 * COUNTIF(ARRAYFORMULA((REGEXMATCH($K$4:$ED$4, ""スリル・オブ・バトル|ヴェンジェンス|原初の血気|ダムネーション"")) * (K46:ED46=TRUE)), 1)), 0),
         "&amp;"""インプロビゼーションフィニッシュ(踊りの激情0)"", IF(ISNUMBER(check), INDEX(Skill!$AJ:$AJ, MATCH(SUBSTITUTE(DV$4, 0, check), Skill!$C:$C, 0)), 0),
         IF(
           AND(check=TRUE, REGEXMATCH(assign, ""RANGE_PARTY"")),
           IF(
             OR(ARRAYFORMULA((IF(pr"&amp;"econdition="""", FALSE, REGEXMATCH($K$4:$ED$4, precondition))) * (K46:ED46=TRUE))),
             enhance,
             IF(barrier="""", buff, barrier)
           ),
           0
         )
       ) *
       SWITCH(
         job,
         ""ナイト"", EY$24,
 "&amp;"        ""戦士"", FD$24,
         ""踊り子"", ET$24,
         ""ピクトマンサー"", ET$24,
         ""白魔道士"", EF46 * EH46 * IF(abillity, 1, EG46 * EI46) * (Option!$D$22 * 0.81 / 100),
         ""占星術師"", EF46 * EJ46 * IF(abillity, 1, EG46 * EK46) * (Option!$D$23 * 0.81 "&amp;"/ 100),
         ""学者"", EF46 * EL46 * IF(abillity, 1, EG46 * EM46) * (Option!$D$24 * 0.81 / 100),
         ""賢者"", EF46 * EN46 * IF(abillity, 1, EG46 * EO46) * (Option!$D$25 * 0.81 / 100),
         1
       )
     )
   )
 )"),0.0)</f>
        <v>0</v>
      </c>
      <c r="ER46" s="202">
        <f t="shared" si="4"/>
        <v>0</v>
      </c>
      <c r="ES46" s="203">
        <f t="shared" si="5"/>
        <v>0</v>
      </c>
      <c r="ET46" s="204" t="str">
        <f>IFERROR(__xludf.DUMMYFUNCTION("IFS(
  EP46 &gt; $ET$24 + EQ46,
  SPARKLINE({ 1, 0 }, {""charttype"",""bar"";""max"", 1;""color1"",Option!$D$30;""color2"",Option!$D$30}),
  EP46 &lt; EQ46,
  SPARKLINE({EQ46 - EP46, $ET$24 - (EQ46 - EP46)}, {""charttype"",""bar"";""max"",$ET$24;""color1"",Opti"&amp;"on!$D$28;""color2"",Option!$D$29}),
  EP46 &gt;= EQ46,
  SPARKLINE({$ET$24 + EQ46 - EP46,EP46 - EQ46}, {""charttype"",""bar"";""max"",$ET$24;""color1"",Option!$D$29;""color2"",Option!$D$30})
)"),"")</f>
        <v/>
      </c>
      <c r="EU46" s="205">
        <f>IFERROR(__xludf.DUMMYFUNCTION("PRODUCT(
   MAP(
     IF($F46=""Physical"", K$10:ED$10, IF($F46=""Magic"", K$11:ED$11, K$12:ED$12)),
     IF($F46=""Physical"", K$18:ED$18, IF($F46=""Magic"", K$19:ED$19, K$20:ED$20)),
     K$3:ED$3,
     K$5:ED$5,
     K$17:ED$17,
     K46:ED46,
     LAM"&amp;"BDA(
       mitigation,
       enhance,
       job,
       assign,
       precondition,
       check,
       IF(
         OR(AND(check=TRUE, REGEXMATCH(assign, ""SELF""), job=""ナイト""), AND(check=Option!$E$13, REGEXMATCH(assign, ""SINGLE_PARTY""))),
      "&amp;"   IF(
           OR(ARRAYFORMULA((IF(precondition="""", FALSE, REGEXMATCH($K$4:$ED$4, precondition))) * (K46:ED46=TRUE))),
           enhance,
           mitigation
         ),
         1
       )
     )
   )
 ) * EE46"),1.0)</f>
        <v>1</v>
      </c>
      <c r="EV46" s="206">
        <f t="shared" si="6"/>
        <v>0</v>
      </c>
      <c r="EW46" s="205">
        <f>IFERROR(__xludf.DUMMYFUNCTION("PRODUCT(
   MAP(
     K$3:ED$3,
     K$14:ED$14,
     K$13:ED$13,
     K46:ED46,
     LAMBDA(
       job,
       buff,
       target,
       check,
       IF(
         OR(AND(check=TRUE, REGEXMATCH(target, ""SELF_AFFECTED_ALL""), job=""ナイト""), AND(check=O"&amp;"ption!$E$13, REGEXMATCH(target, ""SINGLE_AFFECTED_ALL""))),
         buff,
         1
       )
     )
   )
 )"),1.0)</f>
        <v>1</v>
      </c>
      <c r="EX46" s="206">
        <f>IFERROR(__xludf.DUMMYFUNCTION("SUM(
   MAP(
     K$3:ED$3,
     K$7:ED$7,
     K$15:ED$15,
     K$16:ED$16,
     K$21:ED$21,
     K$5:ED$5,
     K$17:ED$17,
     K46:ED46,
     LAMBDA(
       job,
       abillity,
       buff,
       barrier,
       enhance,
       assign,
       preco"&amp;"ndition,
       check,
       IF(
         OR(AND(check=TRUE, REGEXMATCH(assign, ""SELF""), job=""ナイト""), AND(check=Option!$E$13, REGEXMATCH(assign, ""SINGLE_PARTY""))),
         IF(
           OR(ARRAYFORMULA((IF(precondition="""", FALSE, REGEXMATCH($K$4"&amp;":$ED$4, precondition))) * (K46:ED46=TRUE))),
           enhance,
           IF(barrier="""", buff, barrier)
         ),
         0
       ) *
       SWITCH(
         job,
         ""暗黒騎士"", EY$24,
         ""白魔道士"", EF46 * EH46 * EW46 * IF(abillity, 1, EG"&amp;"46 * EI46) * (Option!$D$22 * 0.81 / 100),
         ""占星術師"", EF46 * EJ46 * EW46 * IF(abillity, 1, EG46 * EK46) * (Option!$D$23 * 0.81 / 100),
         ""学者"", EF46 * EL46 * EW46 * IF(abillity, 1, EG46 * EM46) * (Option!$D$24 * 0.81 / 100),
         ""賢者"""&amp;", EF46 * EN46 * EW46 * IF(abillity, 1, EG46 * EO46) * (Option!$D$25 * 0.81 / 100),
         1
       )
     )
   )
 ) + EQ46"),0.0)</f>
        <v>0</v>
      </c>
      <c r="EY46" s="206">
        <f t="shared" si="7"/>
        <v>0</v>
      </c>
      <c r="EZ46" s="205">
        <f>IFERROR(__xludf.DUMMYFUNCTION("PRODUCT(
   MAP(
     IF($F46=""Physical"", K$10:ED$10, IF($F46=""Magic"", K$11:ED$11, K$12:ED$12)),
     IF($F46=""Physical"", K$18:ED$18, IF($F46=""Magic"", K$19:ED$19, K$20:ED$20)),
     K$3:ED$3,
     K$5:ED$5,
     K$17:ED$17,
     K46:ED46,
     LAM"&amp;"BDA(
       mitigation,
       enhance,
       job,
       assign,
       precondition,
       check,
       IF(
         OR(AND(check=TRUE, REGEXMATCH(assign, ""SELF""), job=""戦士""), AND(check=Option!$F$13, REGEXMATCH(assign, ""SINGLE_PARTY""))),
       "&amp;"  IF(
           OR(ARRAYFORMULA((IF(precondition="""", FALSE, REGEXMATCH($K$4:$ED$4, precondition))) * (K46:ED46=TRUE))),
           enhance,
           mitigation
         ),
         1
       )
     )
   )
 ) * EE46"),1.0)</f>
        <v>1</v>
      </c>
      <c r="FA46" s="206">
        <f t="shared" si="8"/>
        <v>0</v>
      </c>
      <c r="FB46" s="205">
        <f>IFERROR(__xludf.DUMMYFUNCTION("PRODUCT(
   MAP(
     K$3:ED$3,
     K$14:ED$14,
     K$13:ED$13,
     K46:ED46,
     LAMBDA(
       job,
       buff,
       target,
       check,
       IF(
         OR(AND(check=TRUE, REGEXMATCH(target, ""SELF_AFFECTED_ALL""), job=""戦士""), AND(check=Op"&amp;"tion!$F$13, REGEXMATCH(target, ""SINGLE_AFFECTED_ALL""))),
         buff,
         1
       )
     )
   )
 )"),1.0)</f>
        <v>1</v>
      </c>
      <c r="FC46" s="206">
        <f>IFERROR(__xludf.DUMMYFUNCTION("SUM(
   MAP(
     K$3:ED$3,
     K$7:ED$7,
     K$15:ED$15,
     K$16:ED$16,
     K$21:ED$21,
     K$5:ED$5,
     K$17:ED$17,
     K46:ED46,
     LAMBDA(
       job,
       abillity,
       buff,
       barrier,
       enhance,
       assign,
       preco"&amp;"ndition,
       check,
       IF(
         OR(AND(check=TRUE, REGEXMATCH(assign, ""SELF""), job=""戦士""), AND(check=Option!$F$13, REGEXMATCH(assign, ""SINGLE_PARTY""))),
         IF(
           OR(ARRAYFORMULA((IF(precondition="""", FALSE, REGEXMATCH($K$4:"&amp;"$ED$4, precondition))) * (K46:ED46=TRUE))),
           enhance,
           IF(barrier="""", buff, barrier)
         ),
         0
       ) *
       SWITCH(
         job,
         ""暗黒騎士"", FD$24,
         ""白魔道士"", EF46 * EH46 * FB46 * IF(abillity, 1, EG4"&amp;"6 * EI46) * (Option!$D$22 * 0.81 / 100),
         ""占星術師"", EF46 * EJ46 * FFB46 * IF(abillity, 1, EG46 * EK46) * (Option!$D$23 * 0.81 / 100),
         ""学者"", EF46 * EL46 * FB46 * IF(abillity, 1, EG46 * EM46) * (Option!$D$24 * 0.81 / 100),
         ""賢者"""&amp;", EF46 * EN46 * FB46 * IF(abillity, 1, EG46 * EO46) * (Option!$D$25 * 0.81 / 100),
         1
       )
     )
   )
 ) + EQ46"),0.0)</f>
        <v>0</v>
      </c>
      <c r="FD46" s="206">
        <f t="shared" si="9"/>
        <v>0</v>
      </c>
      <c r="FE46" s="205">
        <f>IFERROR(__xludf.DUMMYFUNCTION("PRODUCT(
   MAP(
     IF($F46=""Physical"", K$10:ED$10, IF($F46=""Magic"", K$11:ED$11, K$12:ED$12)),
     IF($F46=""Physical"", K$18:ED$18, IF($F46=""Magic"", K$19:ED$19, K$20:ED$20)),
     K$3:ED$3,
     K$5:ED$5,
     K$17:ED$17,
     K46:ED46,
     LAM"&amp;"BDA(
       mitigation,
       enhance,
       job,
       assign,
       precondition,
       check,
       IF(
         OR(AND(check=TRUE, REGEXMATCH(assign, ""SELF""), job=""暗黒騎士""), AND(check=Option!$G$13, REGEXMATCH(assign, ""SINGLE_PARTY""))),
     "&amp;"    IF(
           OR(ARRAYFORMULA((IF(precondition="""", FALSE, REGEXMATCH($K$4:$ED$4, precondition))) * (K46:ED46=TRUE))),
           enhance,
           mitigation
         ),
         1
       )
     )
   )
 ) * EE46"),1.0)</f>
        <v>1</v>
      </c>
      <c r="FF46" s="206">
        <f t="shared" si="10"/>
        <v>0</v>
      </c>
      <c r="FG46" s="205">
        <f>IFERROR(__xludf.DUMMYFUNCTION("PRODUCT(
   MAP(
     K$3:ED$3,
     K$14:ED$14,
     K$13:ED$13,
     K46:ED46,
     LAMBDA(
       job,
       buff,
       target,
       check,
       IF(
         OR(AND(check=TRUE, REGEXMATCH(target, ""SELF_AFFECTED_ALL""), job=""暗黒騎士""), AND(check="&amp;"Option!$G$13, REGEXMATCH(target, ""SINGLE_AFFECTED_ALL""))),
         buff,
         1
       )
     )
   )
 )"),1.0)</f>
        <v>1</v>
      </c>
      <c r="FH46" s="206">
        <f>IFERROR(__xludf.DUMMYFUNCTION("SUM(
   MAP(
     K$3:ED$3,
     K$7:ED$7,
     K$15:ED$15,
     K$16:ED$16,
     K$21:ED$21,
     K$5:ED$5,
     K$17:ED$17,
     K46:ED46,
     LAMBDA(
       job,
       abillity,
       buff,
       barrier,
       enhance,
       assign,
       preco"&amp;"ndition,
       check,
       IF(
         OR(AND(check=TRUE, REGEXMATCH(assign, ""SELF""), job=""暗黒騎士""), AND(check=Option!$G$13, REGEXMATCH(assign, ""SINGLE_PARTY""))),
         IF(
           OR(ARRAYFORMULA((IF(precondition="""", FALSE, REGEXMATCH($K$"&amp;"4:$ED$4, precondition))) * (K46:ED46=TRUE))),
           enhance,
           IF(barrier="""", buff, barrier)
         ),
         0
       ) *
       SWITCH(
         job,
         ""暗黒騎士"", FI$24,
         ""白魔道士"", EF46 * EH46 * FG46 * IF(abillity, 1, E"&amp;"G46 * EI46) * (Option!$D$22 * 0.81 / 100),
         ""占星術師"", EF46 * EJ46 * FG46 * IF(abillity, 1, EG46 * EK46) * (Option!$D$23 * 0.81 / 100),
         ""学者"", EF46 * EL46 * FG46 * IF(abillity, 1, EG46 * EM46) * (Option!$D$24 * 0.81 / 100),
         ""賢者"&amp;""", EF46 * EN46 * FG46 * IF(abillity, 1, EG46 * EO46) * (Option!$D$25 * 0.81 / 100),
         1
       )
     )
   )
 ) + EQ46"),0.0)</f>
        <v>0</v>
      </c>
      <c r="FI46" s="206">
        <f t="shared" si="11"/>
        <v>0</v>
      </c>
      <c r="FJ46" s="205">
        <f>IFERROR(__xludf.DUMMYFUNCTION("PRODUCT(
   MAP(
     IF($F46=""Physical"", K$10:ED$10, IF($F46=""Magic"", K$11:ED$11, K$12:ED$12)),
     IF($F46=""Physical"", K$18:ED$18, IF($F46=""Magic"", K$19:ED$19, K$20:ED$20)),
     K$3:ED$3,
     K$5:ED$5,
     K$17:ED$17,
     K46:ED46,
     LAM"&amp;"BDA(
       mitigation,
       enhance,
       job,
       assign,
       precondition,
       check,
       IF(
         OR(AND(check=TRUE, REGEXMATCH(assign, ""SELF""), job=""ガンブレイカー""), AND(check=Option!$H$13, REGEXMATCH(assign, ""SINGLE_PARTY""))),
  "&amp;"       IF(
           OR(ARRAYFORMULA((IF(precondition="""", FALSE, REGEXMATCH($K$4:$ED$4, precondition))) * (K46:ED46=TRUE))),
           enhance,
           mitigation
         ),
         1
       )
     )
   )
 ) * EE46"),1.0)</f>
        <v>1</v>
      </c>
      <c r="FK46" s="206">
        <f t="shared" si="12"/>
        <v>0</v>
      </c>
      <c r="FL46" s="205">
        <f>IFERROR(__xludf.DUMMYFUNCTION("PRODUCT(
   MAP(
     K$3:ED$3,
     K$14:ED$14,
     K$13:ED$13,
     K46:ED46,
     LAMBDA(
       job,
       buff,
       target,
       check,
       IF(
         OR(AND(check=TRUE, REGEXMATCH(target, ""SELF_AFFECTED_ALL""), job=""ガンブレイカー""), AND(che"&amp;"ck=Option!$H$13, REGEXMATCH(target, ""SINGLE_AFFECTED_ALL""))),
         buff,
         1
       )
     )
   )
 )"),1.0)</f>
        <v>1</v>
      </c>
      <c r="FM46" s="206">
        <f>IFERROR(__xludf.DUMMYFUNCTION("SUM(
   MAP(
     K$3:ED$3,
     K$7:ED$7,
     K$15:ED$15,
     K$16:ED$16,
     K$21:ED$21,
     K$5:ED$5,
     K$17:ED$17,
     K46:ED46,
     LAMBDA(
       job,
       abillity,
       buff,
       barrier,
       enhance,
       assign,
       preco"&amp;"ndition,
       check,
       IF(
         OR(AND(check=TRUE, REGEXMATCH(assign, ""SELF""), job=""ガンブレイカー""), AND(check=Option!$H$13, REGEXMATCH(assign, ""SINGLE_PARTY""))),
         IF(
           OR(ARRAYFORMULA((IF(precondition="""", FALSE, REGEXMATCH("&amp;"$K$4:$ED$4, precondition))) * (K46:ED46=TRUE))),
           enhance,
           IF(barrier="""", buff, barrier)
         ),
         0
       ) *
       SWITCH(
         job,
         ""暗黒騎士"", FN$24,
         ""白魔道士"", EF46 * EH46 * FL46 * IF(abillity, 1"&amp;", EG46 * EI46) * (Option!$D$22 * 0.81 / 100),
         ""占星術師"", EF46 * EJ46 * FL46 * IF(abillity, 1, EG46 * EK46) * (Option!$D$23 * 0.81 / 100),
         ""学者"", EF46 * EL46 * FL46 * IF(abillity, 1, EG46 * EM46) * (Option!$D$24 * 0.81 / 100),
         """&amp;"賢者"", EF46 * EN46 * FL46 * IF(abillity, 1, EG46 * EO46) * (Option!$D$25 * 0.81 / 100),
         1
       )
     )
   )
 ) + EQ46"),0.0)</f>
        <v>0</v>
      </c>
      <c r="FN46" s="206">
        <f t="shared" si="13"/>
        <v>0</v>
      </c>
      <c r="FO46" s="213"/>
    </row>
    <row r="47">
      <c r="B47" s="229"/>
      <c r="C47" s="217">
        <f t="shared" si="1"/>
        <v>0</v>
      </c>
      <c r="D47" s="236"/>
      <c r="E47" s="219"/>
      <c r="F47" s="167"/>
      <c r="G47" s="168" t="str">
        <f t="shared" si="2"/>
        <v/>
      </c>
      <c r="H47" s="169"/>
      <c r="I47" s="169"/>
      <c r="J47" s="169"/>
      <c r="K47" s="170" t="b">
        <v>0</v>
      </c>
      <c r="L47" s="170" t="b">
        <v>0</v>
      </c>
      <c r="M47" s="170" t="b">
        <v>0</v>
      </c>
      <c r="N47" s="171" t="s">
        <v>1070</v>
      </c>
      <c r="O47" s="172" t="b">
        <v>0</v>
      </c>
      <c r="P47" s="173" t="b">
        <v>0</v>
      </c>
      <c r="Q47" s="173" t="b">
        <v>0</v>
      </c>
      <c r="R47" s="173" t="b">
        <v>0</v>
      </c>
      <c r="S47" s="174" t="b">
        <v>0</v>
      </c>
      <c r="T47" s="175" t="b">
        <v>0</v>
      </c>
      <c r="U47" s="173" t="b">
        <v>0</v>
      </c>
      <c r="V47" s="171" t="s">
        <v>1070</v>
      </c>
      <c r="W47" s="172" t="b">
        <v>0</v>
      </c>
      <c r="X47" s="173" t="b">
        <v>0</v>
      </c>
      <c r="Y47" s="173" t="b">
        <v>0</v>
      </c>
      <c r="Z47" s="173" t="b">
        <v>0</v>
      </c>
      <c r="AA47" s="174" t="b">
        <v>0</v>
      </c>
      <c r="AB47" s="174" t="b">
        <v>0</v>
      </c>
      <c r="AC47" s="175" t="b">
        <v>0</v>
      </c>
      <c r="AD47" s="173" t="b">
        <v>0</v>
      </c>
      <c r="AE47" s="176" t="s">
        <v>1070</v>
      </c>
      <c r="AF47" s="171" t="s">
        <v>1070</v>
      </c>
      <c r="AG47" s="177">
        <f>IFERROR(__xludf.DUMMYFUNCTION("IF(
  ISNUMBER(AG46),
  MIN(MAX(
    AG46
    + MAX(
      ROUNDDOWN(($D47 - MAX(IFERROR(FILTER($D$24:$D46, AG$24:AG46 &lt;&gt; AF$6, AG$23:AG45 = AF$6), 0))) * (60 * 60 * 24) / AF$9) - ROUNDDOWN(($D46 - MAX(IFERROR(FILTER($D$23:$D45, AG$23:AG45 &lt;&gt; AF$6, AG$22:"&amp;"AG44 = AF$6), 0))) * (60 * 60 * 24) / 60),
      0
    )
    - COUNTIF(AF47, ""&lt;&gt;-""),
  0), AF$6),
  AF$6 - COUNTIF(AF47, ""&lt;&gt;-"")
)"),2.0)</f>
        <v>2</v>
      </c>
      <c r="AH47" s="173" t="b">
        <v>0</v>
      </c>
      <c r="AI47" s="173" t="b">
        <v>0</v>
      </c>
      <c r="AJ47" s="173" t="b">
        <v>0</v>
      </c>
      <c r="AK47" s="174" t="b">
        <v>0</v>
      </c>
      <c r="AL47" s="175" t="b">
        <v>0</v>
      </c>
      <c r="AM47" s="173" t="b">
        <v>0</v>
      </c>
      <c r="AN47" s="171" t="s">
        <v>1070</v>
      </c>
      <c r="AO47" s="173" t="b">
        <v>0</v>
      </c>
      <c r="AP47" s="173" t="b">
        <v>0</v>
      </c>
      <c r="AQ47" s="173" t="b">
        <v>0</v>
      </c>
      <c r="AR47" s="174" t="b">
        <v>0</v>
      </c>
      <c r="AS47" s="178" t="b">
        <v>0</v>
      </c>
      <c r="AT47" s="179" t="b">
        <v>0</v>
      </c>
      <c r="AU47" s="180" t="b">
        <v>0</v>
      </c>
      <c r="AV47" s="180" t="b">
        <v>0</v>
      </c>
      <c r="AW47" s="180" t="b">
        <v>0</v>
      </c>
      <c r="AX47" s="180" t="b">
        <v>0</v>
      </c>
      <c r="AY47" s="181" t="s">
        <v>1070</v>
      </c>
      <c r="AZ47" s="181" t="s">
        <v>1070</v>
      </c>
      <c r="BA47" s="184">
        <f>IFERROR(__xludf.DUMMYFUNCTION("IF(
  ISNUMBER(BA46),
  MIN(MAX(
    BA46
    + MAX(
      ROUNDDOWN((D47 - MAX(IFERROR(FILTER(D$24:D46, BA$24:BA46 &lt;&gt; AZ$6, BA$23:BA45 = AZ$6), 0))) * (60 * 60 * 24) / AZ$9) - ROUNDDOWN((D46 - MAX(IFERROR(FILTER(D$23:D45, BA$23:BA45 &lt;&gt; AZ$6, BA$22:BA44 ="&amp;" AZ$6), 0))) * (60 * 60 * 24) / AZ$9),
      0
    )
    - COUNTIF(AZ47, ""&lt;&gt;-""),
  0), AZ$6),
  AZ$6 - COUNTIF(AZ47, ""&lt;&gt;-"")
)"),2.0)</f>
        <v>2</v>
      </c>
      <c r="BB47" s="181" t="s">
        <v>1070</v>
      </c>
      <c r="BC47" s="183">
        <f>IFERROR(__xludf.DUMMYFUNCTION("IF(
  ISNUMBER(BC46),
  MIN(MAX(
    BC46
    + MAX(
      ROUNDDOWN(($D47 - MAX(IFERROR(FILTER($D$24:$D46, BC$24:BC46 &lt;&gt; BB$6, BC$23:BC45 = BB$6), 0))) * (60 * 60 * 24) / BB$9) - ROUNDDOWN(($D46 - MAX(IFERROR(FILTER($D$23:$D45, BC$23:BC45 &lt;&gt; BB$6, BC$22:"&amp;"BC44 = BB$6), 0))) * (60 * 60 * 24) / 60),
      0
    )
    - COUNTIF(BB47, ""&lt;&gt;-""),
  0), BB$6),
  BB$6 - COUNTIF(BB47, ""&lt;&gt;-"")
)"),2.0)</f>
        <v>2</v>
      </c>
      <c r="BD47" s="181" t="s">
        <v>1070</v>
      </c>
      <c r="BE47" s="178" t="b">
        <v>0</v>
      </c>
      <c r="BF47" s="180" t="b">
        <v>0</v>
      </c>
      <c r="BG47" s="180" t="b">
        <v>0</v>
      </c>
      <c r="BH47" s="180" t="b">
        <v>0</v>
      </c>
      <c r="BI47" s="180" t="b">
        <v>0</v>
      </c>
      <c r="BJ47" s="180" t="b">
        <v>0</v>
      </c>
      <c r="BK47" s="180" t="b">
        <v>0</v>
      </c>
      <c r="BL47" s="180" t="b">
        <v>0</v>
      </c>
      <c r="BM47" s="180" t="b">
        <v>0</v>
      </c>
      <c r="BN47" s="180" t="b">
        <v>0</v>
      </c>
      <c r="BO47" s="181" t="s">
        <v>1070</v>
      </c>
      <c r="BP47" s="181" t="s">
        <v>1070</v>
      </c>
      <c r="BQ47" s="181" t="s">
        <v>1070</v>
      </c>
      <c r="BR47" s="181" t="s">
        <v>1070</v>
      </c>
      <c r="BS47" s="181" t="s">
        <v>1070</v>
      </c>
      <c r="BT47" s="184">
        <f>IFERROR(__xludf.DUMMYFUNCTION("IF(
  ISNUMBER(BT46),
  MIN(MAX(
    BT46
    + MAX(
      ROUNDDOWN((D47 - MAX(IFERROR(FILTER(D$24:D46, BT$24:BT46 &lt;&gt; BS$6, BT$23:BT45 = BS$6), 0))) * (60 * 60 * 24) / BS$9) - ROUNDDOWN((D46 - MAX(IFERROR(FILTER(D$23:D45, BT$23:BT45 &lt;&gt; BS$6, BT$22:BT44 ="&amp;" BS$6), 0))) * (60 * 60 * 24) / BS$9),
      0
    )
    - COUNTIF(BS47, ""&lt;&gt;-""),
  0), BS$6),
  BS$6 - COUNTIF(BS47, ""&lt;&gt;-"")
)"),3.0)</f>
        <v>3</v>
      </c>
      <c r="BU47" s="181" t="s">
        <v>1070</v>
      </c>
      <c r="BV47" s="181" t="s">
        <v>1070</v>
      </c>
      <c r="BW47" s="184">
        <f>IFERROR(__xludf.DUMMYFUNCTION("IF(
  ISNUMBER(BW46),
  MIN(MAX(
    BW46
    + MAX(
      ROUNDDOWN((D47 - MAX(IFERROR(FILTER(D$24:D46, BW$24:BW46 &lt;&gt; BV$6, BW$23:BW45 = BV$6), 0))) * (60 * 60 * 24) / BV$9) - ROUNDDOWN((D46 - MAX(IFERROR(FILTER(D$23:D45, BW$23:BW45 &lt;&gt; BV$6, BW$22:BW44 ="&amp;" BV$6), 0))) * (60 * 60 * 24) / BV$9),
      0
    )
    - COUNTIF(BV47, ""&lt;&gt;-""),
  0), BV$6),
  BV$6 - COUNTIF(BV47, ""&lt;&gt;-"")
)"),2.0)</f>
        <v>2</v>
      </c>
      <c r="BX47" s="185" t="s">
        <v>1070</v>
      </c>
      <c r="BY47" s="178" t="b">
        <v>0</v>
      </c>
      <c r="BZ47" s="180" t="b">
        <v>0</v>
      </c>
      <c r="CA47" s="180" t="b">
        <v>0</v>
      </c>
      <c r="CB47" s="180" t="b">
        <v>0</v>
      </c>
      <c r="CC47" s="180" t="b">
        <v>0</v>
      </c>
      <c r="CD47" s="180" t="b">
        <v>0</v>
      </c>
      <c r="CE47" s="180" t="b">
        <v>0</v>
      </c>
      <c r="CF47" s="180" t="b">
        <v>0</v>
      </c>
      <c r="CG47" s="180" t="b">
        <v>0</v>
      </c>
      <c r="CH47" s="180" t="b">
        <v>0</v>
      </c>
      <c r="CI47" s="180" t="b">
        <v>0</v>
      </c>
      <c r="CJ47" s="180" t="b">
        <v>0</v>
      </c>
      <c r="CK47" s="180" t="b">
        <v>0</v>
      </c>
      <c r="CL47" s="180" t="b">
        <v>0</v>
      </c>
      <c r="CM47" s="181" t="s">
        <v>1070</v>
      </c>
      <c r="CN47" s="181" t="s">
        <v>1070</v>
      </c>
      <c r="CO47" s="181" t="s">
        <v>1070</v>
      </c>
      <c r="CP47" s="181" t="s">
        <v>1070</v>
      </c>
      <c r="CQ47" s="185" t="s">
        <v>1070</v>
      </c>
      <c r="CR47" s="180" t="b">
        <v>0</v>
      </c>
      <c r="CS47" s="186" t="str">
        <f t="shared" si="14"/>
        <v>◇◇◇</v>
      </c>
      <c r="CT47" s="178" t="b">
        <v>0</v>
      </c>
      <c r="CU47" s="180" t="b">
        <v>0</v>
      </c>
      <c r="CV47" s="180" t="b">
        <v>0</v>
      </c>
      <c r="CW47" s="180" t="b">
        <v>0</v>
      </c>
      <c r="CX47" s="180" t="b">
        <v>0</v>
      </c>
      <c r="CY47" s="180" t="b">
        <v>0</v>
      </c>
      <c r="CZ47" s="180" t="b">
        <v>0</v>
      </c>
      <c r="DA47" s="180" t="b">
        <v>0</v>
      </c>
      <c r="DB47" s="180" t="b">
        <v>0</v>
      </c>
      <c r="DC47" s="180" t="b">
        <v>0</v>
      </c>
      <c r="DD47" s="181" t="s">
        <v>1070</v>
      </c>
      <c r="DE47" s="181" t="s">
        <v>1070</v>
      </c>
      <c r="DF47" s="181" t="s">
        <v>1070</v>
      </c>
      <c r="DG47" s="185" t="s">
        <v>1070</v>
      </c>
      <c r="DH47" s="180" t="b">
        <v>0</v>
      </c>
      <c r="DI47" s="187" t="str">
        <f>IFERROR(__xludf.DUMMYFUNCTION("SWITCH(
  IF(
    ISTEXT(DI46),
    IF (
      FIND(""○"", DI46&amp;""○"") &gt; 3,
      3,
      FIND(""○"", DI46&amp;""○"")
      + MAX(
        ROUNDDOWN(($D47 - MAX(IFERROR(FILTER(D$24:D46, DI$24:DI46 &lt;&gt; ""●●●"", DI$23:DI45 = ""●●●""), 0))) * (60 * 60 * 24) / 20"&amp;") - ROUNDDOWN(($D46 - MAX(IFERROR(FILTER(D$23:D45, DI$23:DI45 &lt;&gt; ""●●●"", DI$22:DI44 = ""●●●""), 0))) * (60 * 60 * 24) / 20),
        0
      ) - 1
    ) - COUNTIFS(CU47, ""=TRUE"", CU46, ""&lt;&gt;TRUE"") - COUNTIF(CZ47, ""=TRUE"") - COUNTIF({DD47,DE47}, ""&lt;&gt;-"&amp;""") + COUNTIF(DH47, ""=TRUE""),
    3
  ),
  0, ""○○○"", 1, ""●○○"", 2, ""●●○"", 3, ""●●●"", 4, ""●●●"", ""○○○""
)"),"●●●")</f>
        <v>●●●</v>
      </c>
      <c r="DJ47" s="188" t="b">
        <v>0</v>
      </c>
      <c r="DK47" s="189" t="b">
        <v>0</v>
      </c>
      <c r="DL47" s="190" t="b">
        <v>0</v>
      </c>
      <c r="DM47" s="190" t="b">
        <v>0</v>
      </c>
      <c r="DN47" s="190" t="b">
        <v>0</v>
      </c>
      <c r="DO47" s="190" t="b">
        <v>0</v>
      </c>
      <c r="DP47" s="190" t="b">
        <v>0</v>
      </c>
      <c r="DQ47" s="191" t="b">
        <v>0</v>
      </c>
      <c r="DR47" s="192" t="b">
        <v>0</v>
      </c>
      <c r="DS47" s="191" t="b">
        <v>0</v>
      </c>
      <c r="DT47" s="192" t="b">
        <v>0</v>
      </c>
      <c r="DU47" s="191" t="b">
        <v>0</v>
      </c>
      <c r="DV47" s="193" t="s">
        <v>1070</v>
      </c>
      <c r="DW47" s="194" t="b">
        <v>0</v>
      </c>
      <c r="DX47" s="194" t="b">
        <v>0</v>
      </c>
      <c r="DY47" s="195" t="b">
        <v>0</v>
      </c>
      <c r="DZ47" s="196" t="b">
        <v>0</v>
      </c>
      <c r="EA47" s="195" t="b">
        <v>0</v>
      </c>
      <c r="EB47" s="197" t="b">
        <v>0</v>
      </c>
      <c r="EC47" s="197" t="b">
        <v>0</v>
      </c>
      <c r="ED47" s="212" t="b">
        <v>0</v>
      </c>
      <c r="EE47" s="199">
        <f>IFERROR(__xludf.DUMMYFUNCTION("IFERROR(
   PRODUCT(
     MAP(
       INDEX(TRANSPOSE(UNIQUE(TRANSPOSE(FILTER({IF($F47=""Physical"", K$10:ED$10, IF($F47=""Magic"", K$11:ED$11, K$12:ED$12));K$4:ED$4;K47:ED47}, K47:ED47=TRUE)))), 1, 0),
       INDEX(TRANSPOSE(UNIQUE(TRANSPOSE(FILTER({IF($"&amp;"F47=""Physical"", K$18:ED$18, IF($F47=""Magic"", K$19:ED$19, K$20:ED$20));K$4:ED$4;K47:ED47}, K47:ED47=TRUE)))), 1, 0),
       INDEX(TRANSPOSE(UNIQUE(TRANSPOSE(FILTER({K$5:ED$5;K$4:ED$4;K47:ED47}, K47:ED47=TRUE)))), 1, 0),
       INDEX(TRANSPOSE(UNIQUE(TR"&amp;"ANSPOSE(FILTER({K$17:ED$17;K$4:ED$4;K47:ED47}, K47:ED47=TRUE)))), 1, 0),
       LAMBDA(
         mitigation,
         enhance,
         assign,
         precondition,
         IF(
           REGEXMATCH(assign, ""RANGE_PARTY|SINGLE_ENEMY|RANGE_ENEMY""),
  "&amp;"         IF(
             OR(ARRAYFORMULA((IF(precondition="""", FALSE, REGEXMATCH(K$4:ED$4, precondition))) * (K47:ED47=TRUE))),
             IF(ISNUMBER(enhance), enhance, 1),
             IF(ISNUMBER(mitigation), mitigation, 1)
           ),
          "&amp;" 1
         )
       )
     )
   ),
   1
 )"),1.0)</f>
        <v>1</v>
      </c>
      <c r="EF47" s="200">
        <f>IFERROR(__xludf.DUMMYFUNCTION("PRODUCT(
   MAP(
     K$14:ED$14,
     K$13:ED$13,
     K47:ED47,
     LAMBDA(
       buff,
       target,
       check,
       IF(
         AND(check=TRUE, REGEXMATCH(target, ""RANGE_AFFECTED_ALL|RANGE_EFFECTED_ALL""), ISNUMBER(buff)),
         buff,
   "&amp;"      1
       )
     )
   )
 )"),1.0)</f>
        <v>1</v>
      </c>
      <c r="EG47" s="200">
        <f>IFERROR(__xludf.DUMMYFUNCTION("PRODUCT(
   MAP(
     K$14:ED$14,
     K$13:ED$13,
     K47:ED47,
     LAMBDA(
       buff,
       target,
       check,
       IF(
         AND(check=TRUE, REGEXMATCH(target, ""RANGE_AFFECTED_GCD|RANGE_EFFECTED_GCD""), ISNUMBER(buff)),
         buff,
   "&amp;"      1
       )
     )
   )
 )"),1.0)</f>
        <v>1</v>
      </c>
      <c r="EH47" s="200">
        <f>IFERROR(__xludf.DUMMYFUNCTION("PRODUCT(
   MAP(
     K$3:ED$3,
     K$14:ED$14,
     K$13:ED$13,
     K47:ED47,
     LAMBDA(
       job,
       buff,
       target,
       check,
       IF(
         AND(check=TRUE, REGEXMATCH(target, ""SELF_EFFECTED_ALL""), ISNUMBER(buff), job=""白魔道士"""&amp;"),
         buff,
         1
       )
     )
   )
 )"),1.0)</f>
        <v>1</v>
      </c>
      <c r="EI47" s="200">
        <f>IFERROR(__xludf.DUMMYFUNCTION("PRODUCT(
   MAP(
     K$3:ED$3,
     K$14:ED$14,
     K$13:ED$13,
     K47:ED47,
     LAMBDA(
       job,
       buff,
       target,
       check,
       IF(
         AND(check=TRUE, REGEXMATCH(target, ""SELF_EFFECTED_GCD""), ISNUMBER(buff), job=""白魔道士"""&amp;"),
         buff,
         1
       )
     )
   )
 )"),1.0)</f>
        <v>1</v>
      </c>
      <c r="EJ47" s="200">
        <f>IFERROR(__xludf.DUMMYFUNCTION("PRODUCT(
   MAP(
     K$3:ED$3,
     K$14:ED$14,
     K$13:ED$13,
     K47:ED47,
     LAMBDA(
       job,
       buff,
       target,
       check,
       IF(
         AND(check=TRUE, REGEXMATCH(target, ""SELF_EFFECTED_ALL""), ISNUMBER(buff), job=""占星術師"""&amp;"),
         buff,
         1
       )
     )
   )
 )"),1.0)</f>
        <v>1</v>
      </c>
      <c r="EK47" s="200">
        <f>IFERROR(__xludf.DUMMYFUNCTION("PRODUCT(
   MAP(
     K$3:ED$3,
     K$14:ED$14,
     K$13:ED$13,
     K47:ED47,
     LAMBDA(
       job,
       buff,
       target,
       check,
       IF(
         AND(check=TRUE, REGEXMATCH(target, ""SELF_EFFECTED_GCD""), ISNUMBER(buff), job=""占星術師"""&amp;"),
         buff,
         1
       )
     )
   )
 )"),1.0)</f>
        <v>1</v>
      </c>
      <c r="EL47" s="200">
        <f>IFERROR(__xludf.DUMMYFUNCTION("PRODUCT(
   MAP(
     K$3:ED$3,
     K$14:ED$14,
     K$13:ED$13,
     K47:ED47,
     LAMBDA(
       job,
       buff,
       target,
       check,
       IF(
         AND(check=TRUE, REGEXMATCH(target, ""SELF_EFFECTED_ALL""), ISNUMBER(buff), job=""学者""),"&amp;"
         buff,
         1
       )
     )
   )
 )"),1.0)</f>
        <v>1</v>
      </c>
      <c r="EM47" s="200">
        <f>IFERROR(__xludf.DUMMYFUNCTION("PRODUCT(
   MAP(
     K$3:ED$3,
     K$14:ED$14,
     K$13:ED$13,
     K47:ED47,
     LAMBDA(
       job,
       buff,
       target,
       check,
       IF(
         AND(check=TRUE, REGEXMATCH(target, ""SELF_EFFECTED_GCD""), ISNUMBER(buff), job=""学者""),"&amp;"
         buff,
         1
       )
     )
   )
 )"),1.0)</f>
        <v>1</v>
      </c>
      <c r="EN47" s="200">
        <f>IFERROR(__xludf.DUMMYFUNCTION("PRODUCT(
   MAP(
     K$3:ED$3,
     K$14:ED$14,
     K$13:ED$13,
     K47:ED47,
     LAMBDA(
       job,
       buff,
       target,
       check,
       IF(
         AND(check=TRUE, REGEXMATCH(target, ""SELF_EFFECTED_ALL""), ISNUMBER(buff), job=""賢者""),"&amp;"
         buff,
         1
       )
     )
   )
 )"),1.0)</f>
        <v>1</v>
      </c>
      <c r="EO47" s="200">
        <f>IFERROR(__xludf.DUMMYFUNCTION("PRODUCT(
   MAP(
     K$3:ED$3,
     K$14:ED$14,
     K$13:ED$13,
     K47:ED47,
     LAMBDA(
       job,
       buff,
       target,
       check,
       IF(
         AND(check=TRUE, REGEXMATCH(target, ""SELF_EFFECTED_GCD""), ISNUMBER(buff), job=""賢者""),"&amp;"
         buff,
         1
       )
     )
   )
 )"),1.0)</f>
        <v>1</v>
      </c>
      <c r="EP47" s="201">
        <f t="shared" si="3"/>
        <v>0</v>
      </c>
      <c r="EQ47" s="201">
        <f>IFERROR(__xludf.DUMMYFUNCTION("SUM(
   MAP(
     K$4:ED$4,
     K$3:ED$3,
     K$7:ED$7,
     K$15:ED$15,
     K$16:ED$16,
     K$21:ED$21,
     K$5:ED$5,
     K$17:ED$17,
     K47:ED47,
     LAMBDA(
       name,
       job,
       abillity,
       buff,
       barrier,
       enhance,"&amp;"
       assign,
       precondition,
       check,
       SWITCH(
         name,
         ""シェイクオフ"", IF(check=TRUE, buff + (0.02 * COUNTIF(ARRAYFORMULA((REGEXMATCH($K$4:$ED$4, ""スリル・オブ・バトル|ヴェンジェンス|原初の血気|ダムネーション"")) * (K47:ED47=TRUE)), 1)), 0),
         "&amp;"""インプロビゼーションフィニッシュ(踊りの激情0)"", IF(ISNUMBER(check), INDEX(Skill!$AJ:$AJ, MATCH(SUBSTITUTE(DV$4, 0, check), Skill!$C:$C, 0)), 0),
         IF(
           AND(check=TRUE, REGEXMATCH(assign, ""RANGE_PARTY"")),
           IF(
             OR(ARRAYFORMULA((IF(pr"&amp;"econdition="""", FALSE, REGEXMATCH($K$4:$ED$4, precondition))) * (K47:ED47=TRUE))),
             enhance,
             IF(barrier="""", buff, barrier)
           ),
           0
         )
       ) *
       SWITCH(
         job,
         ""ナイト"", EY$24,
 "&amp;"        ""戦士"", FD$24,
         ""踊り子"", ET$24,
         ""ピクトマンサー"", ET$24,
         ""白魔道士"", EF47 * EH47 * IF(abillity, 1, EG47 * EI47) * (Option!$D$22 * 0.81 / 100),
         ""占星術師"", EF47 * EJ47 * IF(abillity, 1, EG47 * EK47) * (Option!$D$23 * 0.81 "&amp;"/ 100),
         ""学者"", EF47 * EL47 * IF(abillity, 1, EG47 * EM47) * (Option!$D$24 * 0.81 / 100),
         ""賢者"", EF47 * EN47 * IF(abillity, 1, EG47 * EO47) * (Option!$D$25 * 0.81 / 100),
         1
       )
     )
   )
 )"),0.0)</f>
        <v>0</v>
      </c>
      <c r="ER47" s="202">
        <f t="shared" si="4"/>
        <v>0</v>
      </c>
      <c r="ES47" s="203">
        <f t="shared" si="5"/>
        <v>0</v>
      </c>
      <c r="ET47" s="204" t="str">
        <f>IFERROR(__xludf.DUMMYFUNCTION("IFS(
  EP47 &gt; $ET$24 + EQ47,
  SPARKLINE({ 1, 0 }, {""charttype"",""bar"";""max"", 1;""color1"",Option!$D$30;""color2"",Option!$D$30}),
  EP47 &lt; EQ47,
  SPARKLINE({EQ47 - EP47, $ET$24 - (EQ47 - EP47)}, {""charttype"",""bar"";""max"",$ET$24;""color1"",Opti"&amp;"on!$D$28;""color2"",Option!$D$29}),
  EP47 &gt;= EQ47,
  SPARKLINE({$ET$24 + EQ47 - EP47,EP47 - EQ47}, {""charttype"",""bar"";""max"",$ET$24;""color1"",Option!$D$29;""color2"",Option!$D$30})
)"),"")</f>
        <v/>
      </c>
      <c r="EU47" s="205">
        <f>IFERROR(__xludf.DUMMYFUNCTION("PRODUCT(
   MAP(
     IF($F47=""Physical"", K$10:ED$10, IF($F47=""Magic"", K$11:ED$11, K$12:ED$12)),
     IF($F47=""Physical"", K$18:ED$18, IF($F47=""Magic"", K$19:ED$19, K$20:ED$20)),
     K$3:ED$3,
     K$5:ED$5,
     K$17:ED$17,
     K47:ED47,
     LAM"&amp;"BDA(
       mitigation,
       enhance,
       job,
       assign,
       precondition,
       check,
       IF(
         OR(AND(check=TRUE, REGEXMATCH(assign, ""SELF""), job=""ナイト""), AND(check=Option!$E$13, REGEXMATCH(assign, ""SINGLE_PARTY""))),
      "&amp;"   IF(
           OR(ARRAYFORMULA((IF(precondition="""", FALSE, REGEXMATCH($K$4:$ED$4, precondition))) * (K47:ED47=TRUE))),
           enhance,
           mitigation
         ),
         1
       )
     )
   )
 ) * EE47"),1.0)</f>
        <v>1</v>
      </c>
      <c r="EV47" s="206">
        <f t="shared" si="6"/>
        <v>0</v>
      </c>
      <c r="EW47" s="205">
        <f>IFERROR(__xludf.DUMMYFUNCTION("PRODUCT(
   MAP(
     K$3:ED$3,
     K$14:ED$14,
     K$13:ED$13,
     K47:ED47,
     LAMBDA(
       job,
       buff,
       target,
       check,
       IF(
         OR(AND(check=TRUE, REGEXMATCH(target, ""SELF_AFFECTED_ALL""), job=""ナイト""), AND(check=O"&amp;"ption!$E$13, REGEXMATCH(target, ""SINGLE_AFFECTED_ALL""))),
         buff,
         1
       )
     )
   )
 )"),1.0)</f>
        <v>1</v>
      </c>
      <c r="EX47" s="206">
        <f>IFERROR(__xludf.DUMMYFUNCTION("SUM(
   MAP(
     K$3:ED$3,
     K$7:ED$7,
     K$15:ED$15,
     K$16:ED$16,
     K$21:ED$21,
     K$5:ED$5,
     K$17:ED$17,
     K47:ED47,
     LAMBDA(
       job,
       abillity,
       buff,
       barrier,
       enhance,
       assign,
       preco"&amp;"ndition,
       check,
       IF(
         OR(AND(check=TRUE, REGEXMATCH(assign, ""SELF""), job=""ナイト""), AND(check=Option!$E$13, REGEXMATCH(assign, ""SINGLE_PARTY""))),
         IF(
           OR(ARRAYFORMULA((IF(precondition="""", FALSE, REGEXMATCH($K$4"&amp;":$ED$4, precondition))) * (K47:ED47=TRUE))),
           enhance,
           IF(barrier="""", buff, barrier)
         ),
         0
       ) *
       SWITCH(
         job,
         ""暗黒騎士"", EY$24,
         ""白魔道士"", EF47 * EH47 * EW47 * IF(abillity, 1, EG"&amp;"47 * EI47) * (Option!$D$22 * 0.81 / 100),
         ""占星術師"", EF47 * EJ47 * EW47 * IF(abillity, 1, EG47 * EK47) * (Option!$D$23 * 0.81 / 100),
         ""学者"", EF47 * EL47 * EW47 * IF(abillity, 1, EG47 * EM47) * (Option!$D$24 * 0.81 / 100),
         ""賢者"""&amp;", EF47 * EN47 * EW47 * IF(abillity, 1, EG47 * EO47) * (Option!$D$25 * 0.81 / 100),
         1
       )
     )
   )
 ) + EQ47"),0.0)</f>
        <v>0</v>
      </c>
      <c r="EY47" s="206">
        <f t="shared" si="7"/>
        <v>0</v>
      </c>
      <c r="EZ47" s="205">
        <f>IFERROR(__xludf.DUMMYFUNCTION("PRODUCT(
   MAP(
     IF($F47=""Physical"", K$10:ED$10, IF($F47=""Magic"", K$11:ED$11, K$12:ED$12)),
     IF($F47=""Physical"", K$18:ED$18, IF($F47=""Magic"", K$19:ED$19, K$20:ED$20)),
     K$3:ED$3,
     K$5:ED$5,
     K$17:ED$17,
     K47:ED47,
     LAM"&amp;"BDA(
       mitigation,
       enhance,
       job,
       assign,
       precondition,
       check,
       IF(
         OR(AND(check=TRUE, REGEXMATCH(assign, ""SELF""), job=""戦士""), AND(check=Option!$F$13, REGEXMATCH(assign, ""SINGLE_PARTY""))),
       "&amp;"  IF(
           OR(ARRAYFORMULA((IF(precondition="""", FALSE, REGEXMATCH($K$4:$ED$4, precondition))) * (K47:ED47=TRUE))),
           enhance,
           mitigation
         ),
         1
       )
     )
   )
 ) * EE47"),1.0)</f>
        <v>1</v>
      </c>
      <c r="FA47" s="206">
        <f t="shared" si="8"/>
        <v>0</v>
      </c>
      <c r="FB47" s="205">
        <f>IFERROR(__xludf.DUMMYFUNCTION("PRODUCT(
   MAP(
     K$3:ED$3,
     K$14:ED$14,
     K$13:ED$13,
     K47:ED47,
     LAMBDA(
       job,
       buff,
       target,
       check,
       IF(
         OR(AND(check=TRUE, REGEXMATCH(target, ""SELF_AFFECTED_ALL""), job=""戦士""), AND(check=Op"&amp;"tion!$F$13, REGEXMATCH(target, ""SINGLE_AFFECTED_ALL""))),
         buff,
         1
       )
     )
   )
 )"),1.0)</f>
        <v>1</v>
      </c>
      <c r="FC47" s="206">
        <f>IFERROR(__xludf.DUMMYFUNCTION("SUM(
   MAP(
     K$3:ED$3,
     K$7:ED$7,
     K$15:ED$15,
     K$16:ED$16,
     K$21:ED$21,
     K$5:ED$5,
     K$17:ED$17,
     K47:ED47,
     LAMBDA(
       job,
       abillity,
       buff,
       barrier,
       enhance,
       assign,
       preco"&amp;"ndition,
       check,
       IF(
         OR(AND(check=TRUE, REGEXMATCH(assign, ""SELF""), job=""戦士""), AND(check=Option!$F$13, REGEXMATCH(assign, ""SINGLE_PARTY""))),
         IF(
           OR(ARRAYFORMULA((IF(precondition="""", FALSE, REGEXMATCH($K$4:"&amp;"$ED$4, precondition))) * (K47:ED47=TRUE))),
           enhance,
           IF(barrier="""", buff, barrier)
         ),
         0
       ) *
       SWITCH(
         job,
         ""暗黒騎士"", FD$24,
         ""白魔道士"", EF47 * EH47 * FB47 * IF(abillity, 1, EG4"&amp;"7 * EI47) * (Option!$D$22 * 0.81 / 100),
         ""占星術師"", EF47 * EJ47 * FFB47 * IF(abillity, 1, EG47 * EK47) * (Option!$D$23 * 0.81 / 100),
         ""学者"", EF47 * EL47 * FB47 * IF(abillity, 1, EG47 * EM47) * (Option!$D$24 * 0.81 / 100),
         ""賢者"""&amp;", EF47 * EN47 * FB47 * IF(abillity, 1, EG47 * EO47) * (Option!$D$25 * 0.81 / 100),
         1
       )
     )
   )
 ) + EQ47"),0.0)</f>
        <v>0</v>
      </c>
      <c r="FD47" s="206">
        <f t="shared" si="9"/>
        <v>0</v>
      </c>
      <c r="FE47" s="205">
        <f>IFERROR(__xludf.DUMMYFUNCTION("PRODUCT(
   MAP(
     IF($F47=""Physical"", K$10:ED$10, IF($F47=""Magic"", K$11:ED$11, K$12:ED$12)),
     IF($F47=""Physical"", K$18:ED$18, IF($F47=""Magic"", K$19:ED$19, K$20:ED$20)),
     K$3:ED$3,
     K$5:ED$5,
     K$17:ED$17,
     K47:ED47,
     LAM"&amp;"BDA(
       mitigation,
       enhance,
       job,
       assign,
       precondition,
       check,
       IF(
         OR(AND(check=TRUE, REGEXMATCH(assign, ""SELF""), job=""暗黒騎士""), AND(check=Option!$G$13, REGEXMATCH(assign, ""SINGLE_PARTY""))),
     "&amp;"    IF(
           OR(ARRAYFORMULA((IF(precondition="""", FALSE, REGEXMATCH($K$4:$ED$4, precondition))) * (K47:ED47=TRUE))),
           enhance,
           mitigation
         ),
         1
       )
     )
   )
 ) * EE47"),1.0)</f>
        <v>1</v>
      </c>
      <c r="FF47" s="206">
        <f t="shared" si="10"/>
        <v>0</v>
      </c>
      <c r="FG47" s="205">
        <f>IFERROR(__xludf.DUMMYFUNCTION("PRODUCT(
   MAP(
     K$3:ED$3,
     K$14:ED$14,
     K$13:ED$13,
     K47:ED47,
     LAMBDA(
       job,
       buff,
       target,
       check,
       IF(
         OR(AND(check=TRUE, REGEXMATCH(target, ""SELF_AFFECTED_ALL""), job=""暗黒騎士""), AND(check="&amp;"Option!$G$13, REGEXMATCH(target, ""SINGLE_AFFECTED_ALL""))),
         buff,
         1
       )
     )
   )
 )"),1.0)</f>
        <v>1</v>
      </c>
      <c r="FH47" s="206">
        <f>IFERROR(__xludf.DUMMYFUNCTION("SUM(
   MAP(
     K$3:ED$3,
     K$7:ED$7,
     K$15:ED$15,
     K$16:ED$16,
     K$21:ED$21,
     K$5:ED$5,
     K$17:ED$17,
     K47:ED47,
     LAMBDA(
       job,
       abillity,
       buff,
       barrier,
       enhance,
       assign,
       preco"&amp;"ndition,
       check,
       IF(
         OR(AND(check=TRUE, REGEXMATCH(assign, ""SELF""), job=""暗黒騎士""), AND(check=Option!$G$13, REGEXMATCH(assign, ""SINGLE_PARTY""))),
         IF(
           OR(ARRAYFORMULA((IF(precondition="""", FALSE, REGEXMATCH($K$"&amp;"4:$ED$4, precondition))) * (K47:ED47=TRUE))),
           enhance,
           IF(barrier="""", buff, barrier)
         ),
         0
       ) *
       SWITCH(
         job,
         ""暗黒騎士"", FI$24,
         ""白魔道士"", EF47 * EH47 * FG47 * IF(abillity, 1, E"&amp;"G47 * EI47) * (Option!$D$22 * 0.81 / 100),
         ""占星術師"", EF47 * EJ47 * FG47 * IF(abillity, 1, EG47 * EK47) * (Option!$D$23 * 0.81 / 100),
         ""学者"", EF47 * EL47 * FG47 * IF(abillity, 1, EG47 * EM47) * (Option!$D$24 * 0.81 / 100),
         ""賢者"&amp;""", EF47 * EN47 * FG47 * IF(abillity, 1, EG47 * EO47) * (Option!$D$25 * 0.81 / 100),
         1
       )
     )
   )
 ) + EQ47"),0.0)</f>
        <v>0</v>
      </c>
      <c r="FI47" s="206">
        <f t="shared" si="11"/>
        <v>0</v>
      </c>
      <c r="FJ47" s="205">
        <f>IFERROR(__xludf.DUMMYFUNCTION("PRODUCT(
   MAP(
     IF($F47=""Physical"", K$10:ED$10, IF($F47=""Magic"", K$11:ED$11, K$12:ED$12)),
     IF($F47=""Physical"", K$18:ED$18, IF($F47=""Magic"", K$19:ED$19, K$20:ED$20)),
     K$3:ED$3,
     K$5:ED$5,
     K$17:ED$17,
     K47:ED47,
     LAM"&amp;"BDA(
       mitigation,
       enhance,
       job,
       assign,
       precondition,
       check,
       IF(
         OR(AND(check=TRUE, REGEXMATCH(assign, ""SELF""), job=""ガンブレイカー""), AND(check=Option!$H$13, REGEXMATCH(assign, ""SINGLE_PARTY""))),
  "&amp;"       IF(
           OR(ARRAYFORMULA((IF(precondition="""", FALSE, REGEXMATCH($K$4:$ED$4, precondition))) * (K47:ED47=TRUE))),
           enhance,
           mitigation
         ),
         1
       )
     )
   )
 ) * EE47"),1.0)</f>
        <v>1</v>
      </c>
      <c r="FK47" s="206">
        <f t="shared" si="12"/>
        <v>0</v>
      </c>
      <c r="FL47" s="205">
        <f>IFERROR(__xludf.DUMMYFUNCTION("PRODUCT(
   MAP(
     K$3:ED$3,
     K$14:ED$14,
     K$13:ED$13,
     K47:ED47,
     LAMBDA(
       job,
       buff,
       target,
       check,
       IF(
         OR(AND(check=TRUE, REGEXMATCH(target, ""SELF_AFFECTED_ALL""), job=""ガンブレイカー""), AND(che"&amp;"ck=Option!$H$13, REGEXMATCH(target, ""SINGLE_AFFECTED_ALL""))),
         buff,
         1
       )
     )
   )
 )"),1.0)</f>
        <v>1</v>
      </c>
      <c r="FM47" s="206">
        <f>IFERROR(__xludf.DUMMYFUNCTION("SUM(
   MAP(
     K$3:ED$3,
     K$7:ED$7,
     K$15:ED$15,
     K$16:ED$16,
     K$21:ED$21,
     K$5:ED$5,
     K$17:ED$17,
     K47:ED47,
     LAMBDA(
       job,
       abillity,
       buff,
       barrier,
       enhance,
       assign,
       preco"&amp;"ndition,
       check,
       IF(
         OR(AND(check=TRUE, REGEXMATCH(assign, ""SELF""), job=""ガンブレイカー""), AND(check=Option!$H$13, REGEXMATCH(assign, ""SINGLE_PARTY""))),
         IF(
           OR(ARRAYFORMULA((IF(precondition="""", FALSE, REGEXMATCH("&amp;"$K$4:$ED$4, precondition))) * (K47:ED47=TRUE))),
           enhance,
           IF(barrier="""", buff, barrier)
         ),
         0
       ) *
       SWITCH(
         job,
         ""暗黒騎士"", FN$24,
         ""白魔道士"", EF47 * EH47 * FL47 * IF(abillity, 1"&amp;", EG47 * EI47) * (Option!$D$22 * 0.81 / 100),
         ""占星術師"", EF47 * EJ47 * FL47 * IF(abillity, 1, EG47 * EK47) * (Option!$D$23 * 0.81 / 100),
         ""学者"", EF47 * EL47 * FL47 * IF(abillity, 1, EG47 * EM47) * (Option!$D$24 * 0.81 / 100),
         """&amp;"賢者"", EF47 * EN47 * FL47 * IF(abillity, 1, EG47 * EO47) * (Option!$D$25 * 0.81 / 100),
         1
       )
     )
   )
 ) + EQ47"),0.0)</f>
        <v>0</v>
      </c>
      <c r="FN47" s="206">
        <f t="shared" si="13"/>
        <v>0</v>
      </c>
      <c r="FO47" s="213"/>
    </row>
    <row r="48">
      <c r="B48" s="229"/>
      <c r="C48" s="217">
        <f t="shared" si="1"/>
        <v>0</v>
      </c>
      <c r="D48" s="236"/>
      <c r="E48" s="226"/>
      <c r="F48" s="167"/>
      <c r="G48" s="168" t="str">
        <f t="shared" si="2"/>
        <v/>
      </c>
      <c r="H48" s="169"/>
      <c r="I48" s="169"/>
      <c r="J48" s="169"/>
      <c r="K48" s="170" t="b">
        <v>0</v>
      </c>
      <c r="L48" s="170" t="b">
        <v>0</v>
      </c>
      <c r="M48" s="170" t="b">
        <v>0</v>
      </c>
      <c r="N48" s="171" t="s">
        <v>1070</v>
      </c>
      <c r="O48" s="172" t="b">
        <v>0</v>
      </c>
      <c r="P48" s="173" t="b">
        <v>0</v>
      </c>
      <c r="Q48" s="173" t="b">
        <v>0</v>
      </c>
      <c r="R48" s="173" t="b">
        <v>0</v>
      </c>
      <c r="S48" s="174" t="b">
        <v>0</v>
      </c>
      <c r="T48" s="175" t="b">
        <v>0</v>
      </c>
      <c r="U48" s="173" t="b">
        <v>0</v>
      </c>
      <c r="V48" s="171" t="s">
        <v>1070</v>
      </c>
      <c r="W48" s="172" t="b">
        <v>0</v>
      </c>
      <c r="X48" s="173" t="b">
        <v>0</v>
      </c>
      <c r="Y48" s="173" t="b">
        <v>0</v>
      </c>
      <c r="Z48" s="173" t="b">
        <v>0</v>
      </c>
      <c r="AA48" s="174" t="b">
        <v>0</v>
      </c>
      <c r="AB48" s="174" t="b">
        <v>0</v>
      </c>
      <c r="AC48" s="175" t="b">
        <v>0</v>
      </c>
      <c r="AD48" s="173" t="b">
        <v>0</v>
      </c>
      <c r="AE48" s="176" t="s">
        <v>1070</v>
      </c>
      <c r="AF48" s="171" t="s">
        <v>1070</v>
      </c>
      <c r="AG48" s="177">
        <f>IFERROR(__xludf.DUMMYFUNCTION("IF(
  ISNUMBER(AG47),
  MIN(MAX(
    AG47
    + MAX(
      ROUNDDOWN(($D48 - MAX(IFERROR(FILTER($D$24:$D47, AG$24:AG47 &lt;&gt; AF$6, AG$23:AG46 = AF$6), 0))) * (60 * 60 * 24) / AF$9) - ROUNDDOWN(($D47 - MAX(IFERROR(FILTER($D$23:$D46, AG$23:AG46 &lt;&gt; AF$6, AG$22:"&amp;"AG45 = AF$6), 0))) * (60 * 60 * 24) / 60),
      0
    )
    - COUNTIF(AF48, ""&lt;&gt;-""),
  0), AF$6),
  AF$6 - COUNTIF(AF48, ""&lt;&gt;-"")
)"),2.0)</f>
        <v>2</v>
      </c>
      <c r="AH48" s="173" t="b">
        <v>0</v>
      </c>
      <c r="AI48" s="173" t="b">
        <v>0</v>
      </c>
      <c r="AJ48" s="173" t="b">
        <v>0</v>
      </c>
      <c r="AK48" s="174" t="b">
        <v>0</v>
      </c>
      <c r="AL48" s="175" t="b">
        <v>0</v>
      </c>
      <c r="AM48" s="173" t="b">
        <v>0</v>
      </c>
      <c r="AN48" s="171" t="s">
        <v>1070</v>
      </c>
      <c r="AO48" s="173" t="b">
        <v>0</v>
      </c>
      <c r="AP48" s="173" t="b">
        <v>0</v>
      </c>
      <c r="AQ48" s="173" t="b">
        <v>0</v>
      </c>
      <c r="AR48" s="174" t="b">
        <v>0</v>
      </c>
      <c r="AS48" s="178" t="b">
        <v>0</v>
      </c>
      <c r="AT48" s="179" t="b">
        <v>0</v>
      </c>
      <c r="AU48" s="180" t="b">
        <v>0</v>
      </c>
      <c r="AV48" s="180" t="b">
        <v>0</v>
      </c>
      <c r="AW48" s="180" t="b">
        <v>0</v>
      </c>
      <c r="AX48" s="180" t="b">
        <v>0</v>
      </c>
      <c r="AY48" s="181" t="s">
        <v>1070</v>
      </c>
      <c r="AZ48" s="181" t="s">
        <v>1070</v>
      </c>
      <c r="BA48" s="184">
        <f>IFERROR(__xludf.DUMMYFUNCTION("IF(
  ISNUMBER(BA47),
  MIN(MAX(
    BA47
    + MAX(
      ROUNDDOWN((D48 - MAX(IFERROR(FILTER(D$24:D47, BA$24:BA47 &lt;&gt; AZ$6, BA$23:BA46 = AZ$6), 0))) * (60 * 60 * 24) / AZ$9) - ROUNDDOWN((D47 - MAX(IFERROR(FILTER(D$23:D46, BA$23:BA46 &lt;&gt; AZ$6, BA$22:BA45 ="&amp;" AZ$6), 0))) * (60 * 60 * 24) / AZ$9),
      0
    )
    - COUNTIF(AZ48, ""&lt;&gt;-""),
  0), AZ$6),
  AZ$6 - COUNTIF(AZ48, ""&lt;&gt;-"")
)"),2.0)</f>
        <v>2</v>
      </c>
      <c r="BB48" s="181" t="s">
        <v>1070</v>
      </c>
      <c r="BC48" s="183">
        <f>IFERROR(__xludf.DUMMYFUNCTION("IF(
  ISNUMBER(BC47),
  MIN(MAX(
    BC47
    + MAX(
      ROUNDDOWN(($D48 - MAX(IFERROR(FILTER($D$24:$D47, BC$24:BC47 &lt;&gt; BB$6, BC$23:BC46 = BB$6), 0))) * (60 * 60 * 24) / BB$9) - ROUNDDOWN(($D47 - MAX(IFERROR(FILTER($D$23:$D46, BC$23:BC46 &lt;&gt; BB$6, BC$22:"&amp;"BC45 = BB$6), 0))) * (60 * 60 * 24) / 60),
      0
    )
    - COUNTIF(BB48, ""&lt;&gt;-""),
  0), BB$6),
  BB$6 - COUNTIF(BB48, ""&lt;&gt;-"")
)"),2.0)</f>
        <v>2</v>
      </c>
      <c r="BD48" s="181" t="s">
        <v>1070</v>
      </c>
      <c r="BE48" s="178" t="b">
        <v>0</v>
      </c>
      <c r="BF48" s="180" t="b">
        <v>0</v>
      </c>
      <c r="BG48" s="180" t="b">
        <v>0</v>
      </c>
      <c r="BH48" s="180" t="b">
        <v>0</v>
      </c>
      <c r="BI48" s="180" t="b">
        <v>0</v>
      </c>
      <c r="BJ48" s="180" t="b">
        <v>0</v>
      </c>
      <c r="BK48" s="180" t="b">
        <v>0</v>
      </c>
      <c r="BL48" s="180" t="b">
        <v>0</v>
      </c>
      <c r="BM48" s="180" t="b">
        <v>0</v>
      </c>
      <c r="BN48" s="180" t="b">
        <v>0</v>
      </c>
      <c r="BO48" s="181" t="s">
        <v>1070</v>
      </c>
      <c r="BP48" s="181" t="s">
        <v>1070</v>
      </c>
      <c r="BQ48" s="181" t="s">
        <v>1070</v>
      </c>
      <c r="BR48" s="181" t="s">
        <v>1070</v>
      </c>
      <c r="BS48" s="181" t="s">
        <v>1070</v>
      </c>
      <c r="BT48" s="184">
        <f>IFERROR(__xludf.DUMMYFUNCTION("IF(
  ISNUMBER(BT47),
  MIN(MAX(
    BT47
    + MAX(
      ROUNDDOWN((D48 - MAX(IFERROR(FILTER(D$24:D47, BT$24:BT47 &lt;&gt; BS$6, BT$23:BT46 = BS$6), 0))) * (60 * 60 * 24) / BS$9) - ROUNDDOWN((D47 - MAX(IFERROR(FILTER(D$23:D46, BT$23:BT46 &lt;&gt; BS$6, BT$22:BT45 ="&amp;" BS$6), 0))) * (60 * 60 * 24) / BS$9),
      0
    )
    - COUNTIF(BS48, ""&lt;&gt;-""),
  0), BS$6),
  BS$6 - COUNTIF(BS48, ""&lt;&gt;-"")
)"),3.0)</f>
        <v>3</v>
      </c>
      <c r="BU48" s="181" t="s">
        <v>1070</v>
      </c>
      <c r="BV48" s="181" t="s">
        <v>1070</v>
      </c>
      <c r="BW48" s="184">
        <f>IFERROR(__xludf.DUMMYFUNCTION("IF(
  ISNUMBER(BW47),
  MIN(MAX(
    BW47
    + MAX(
      ROUNDDOWN((D48 - MAX(IFERROR(FILTER(D$24:D47, BW$24:BW47 &lt;&gt; BV$6, BW$23:BW46 = BV$6), 0))) * (60 * 60 * 24) / BV$9) - ROUNDDOWN((D47 - MAX(IFERROR(FILTER(D$23:D46, BW$23:BW46 &lt;&gt; BV$6, BW$22:BW45 ="&amp;" BV$6), 0))) * (60 * 60 * 24) / BV$9),
      0
    )
    - COUNTIF(BV48, ""&lt;&gt;-""),
  0), BV$6),
  BV$6 - COUNTIF(BV48, ""&lt;&gt;-"")
)"),2.0)</f>
        <v>2</v>
      </c>
      <c r="BX48" s="185" t="s">
        <v>1070</v>
      </c>
      <c r="BY48" s="178" t="b">
        <v>0</v>
      </c>
      <c r="BZ48" s="180" t="b">
        <v>0</v>
      </c>
      <c r="CA48" s="180" t="b">
        <v>0</v>
      </c>
      <c r="CB48" s="180" t="b">
        <v>0</v>
      </c>
      <c r="CC48" s="180" t="b">
        <v>0</v>
      </c>
      <c r="CD48" s="180" t="b">
        <v>0</v>
      </c>
      <c r="CE48" s="180" t="b">
        <v>0</v>
      </c>
      <c r="CF48" s="180" t="b">
        <v>0</v>
      </c>
      <c r="CG48" s="180" t="b">
        <v>0</v>
      </c>
      <c r="CH48" s="180" t="b">
        <v>0</v>
      </c>
      <c r="CI48" s="180" t="b">
        <v>0</v>
      </c>
      <c r="CJ48" s="180" t="b">
        <v>0</v>
      </c>
      <c r="CK48" s="180" t="b">
        <v>0</v>
      </c>
      <c r="CL48" s="180" t="b">
        <v>0</v>
      </c>
      <c r="CM48" s="181" t="s">
        <v>1070</v>
      </c>
      <c r="CN48" s="181" t="s">
        <v>1070</v>
      </c>
      <c r="CO48" s="181" t="s">
        <v>1070</v>
      </c>
      <c r="CP48" s="181" t="s">
        <v>1070</v>
      </c>
      <c r="CQ48" s="185" t="s">
        <v>1070</v>
      </c>
      <c r="CR48" s="180" t="b">
        <v>0</v>
      </c>
      <c r="CS48" s="186" t="str">
        <f t="shared" si="14"/>
        <v>◇◇◇</v>
      </c>
      <c r="CT48" s="178" t="b">
        <v>0</v>
      </c>
      <c r="CU48" s="180" t="b">
        <v>0</v>
      </c>
      <c r="CV48" s="180" t="b">
        <v>0</v>
      </c>
      <c r="CW48" s="180" t="b">
        <v>0</v>
      </c>
      <c r="CX48" s="180" t="b">
        <v>0</v>
      </c>
      <c r="CY48" s="180" t="b">
        <v>0</v>
      </c>
      <c r="CZ48" s="180" t="b">
        <v>0</v>
      </c>
      <c r="DA48" s="180" t="b">
        <v>0</v>
      </c>
      <c r="DB48" s="180" t="b">
        <v>0</v>
      </c>
      <c r="DC48" s="180" t="b">
        <v>0</v>
      </c>
      <c r="DD48" s="181" t="s">
        <v>1070</v>
      </c>
      <c r="DE48" s="181" t="s">
        <v>1070</v>
      </c>
      <c r="DF48" s="181" t="s">
        <v>1070</v>
      </c>
      <c r="DG48" s="185" t="s">
        <v>1070</v>
      </c>
      <c r="DH48" s="180" t="b">
        <v>0</v>
      </c>
      <c r="DI48" s="187" t="str">
        <f>IFERROR(__xludf.DUMMYFUNCTION("SWITCH(
  IF(
    ISTEXT(DI47),
    IF (
      FIND(""○"", DI47&amp;""○"") &gt; 3,
      3,
      FIND(""○"", DI47&amp;""○"")
      + MAX(
        ROUNDDOWN(($D48 - MAX(IFERROR(FILTER(D$24:D47, DI$24:DI47 &lt;&gt; ""●●●"", DI$23:DI46 = ""●●●""), 0))) * (60 * 60 * 24) / 20"&amp;") - ROUNDDOWN(($D47 - MAX(IFERROR(FILTER(D$23:D46, DI$23:DI46 &lt;&gt; ""●●●"", DI$22:DI45 = ""●●●""), 0))) * (60 * 60 * 24) / 20),
        0
      ) - 1
    ) - COUNTIFS(CU48, ""=TRUE"", CU47, ""&lt;&gt;TRUE"") - COUNTIF(CZ48, ""=TRUE"") - COUNTIF({DD48,DE48}, ""&lt;&gt;-"&amp;""") + COUNTIF(DH48, ""=TRUE""),
    3
  ),
  0, ""○○○"", 1, ""●○○"", 2, ""●●○"", 3, ""●●●"", 4, ""●●●"", ""○○○""
)"),"●●●")</f>
        <v>●●●</v>
      </c>
      <c r="DJ48" s="188" t="b">
        <v>0</v>
      </c>
      <c r="DK48" s="189" t="b">
        <v>0</v>
      </c>
      <c r="DL48" s="190" t="b">
        <v>0</v>
      </c>
      <c r="DM48" s="190" t="b">
        <v>0</v>
      </c>
      <c r="DN48" s="190" t="b">
        <v>0</v>
      </c>
      <c r="DO48" s="190" t="b">
        <v>0</v>
      </c>
      <c r="DP48" s="190" t="b">
        <v>0</v>
      </c>
      <c r="DQ48" s="191" t="b">
        <v>0</v>
      </c>
      <c r="DR48" s="192" t="b">
        <v>0</v>
      </c>
      <c r="DS48" s="191" t="b">
        <v>0</v>
      </c>
      <c r="DT48" s="192" t="b">
        <v>0</v>
      </c>
      <c r="DU48" s="191" t="b">
        <v>0</v>
      </c>
      <c r="DV48" s="193" t="s">
        <v>1070</v>
      </c>
      <c r="DW48" s="194" t="b">
        <v>0</v>
      </c>
      <c r="DX48" s="194" t="b">
        <v>0</v>
      </c>
      <c r="DY48" s="195" t="b">
        <v>0</v>
      </c>
      <c r="DZ48" s="196" t="b">
        <v>0</v>
      </c>
      <c r="EA48" s="195" t="b">
        <v>0</v>
      </c>
      <c r="EB48" s="197" t="b">
        <v>0</v>
      </c>
      <c r="EC48" s="197" t="b">
        <v>0</v>
      </c>
      <c r="ED48" s="212" t="b">
        <v>0</v>
      </c>
      <c r="EE48" s="199">
        <f>IFERROR(__xludf.DUMMYFUNCTION("IFERROR(
   PRODUCT(
     MAP(
       INDEX(TRANSPOSE(UNIQUE(TRANSPOSE(FILTER({IF($F48=""Physical"", K$10:ED$10, IF($F48=""Magic"", K$11:ED$11, K$12:ED$12));K$4:ED$4;K48:ED48}, K48:ED48=TRUE)))), 1, 0),
       INDEX(TRANSPOSE(UNIQUE(TRANSPOSE(FILTER({IF($"&amp;"F48=""Physical"", K$18:ED$18, IF($F48=""Magic"", K$19:ED$19, K$20:ED$20));K$4:ED$4;K48:ED48}, K48:ED48=TRUE)))), 1, 0),
       INDEX(TRANSPOSE(UNIQUE(TRANSPOSE(FILTER({K$5:ED$5;K$4:ED$4;K48:ED48}, K48:ED48=TRUE)))), 1, 0),
       INDEX(TRANSPOSE(UNIQUE(TR"&amp;"ANSPOSE(FILTER({K$17:ED$17;K$4:ED$4;K48:ED48}, K48:ED48=TRUE)))), 1, 0),
       LAMBDA(
         mitigation,
         enhance,
         assign,
         precondition,
         IF(
           REGEXMATCH(assign, ""RANGE_PARTY|SINGLE_ENEMY|RANGE_ENEMY""),
  "&amp;"         IF(
             OR(ARRAYFORMULA((IF(precondition="""", FALSE, REGEXMATCH(K$4:ED$4, precondition))) * (K48:ED48=TRUE))),
             IF(ISNUMBER(enhance), enhance, 1),
             IF(ISNUMBER(mitigation), mitigation, 1)
           ),
          "&amp;" 1
         )
       )
     )
   ),
   1
 )"),1.0)</f>
        <v>1</v>
      </c>
      <c r="EF48" s="200">
        <f>IFERROR(__xludf.DUMMYFUNCTION("PRODUCT(
   MAP(
     K$14:ED$14,
     K$13:ED$13,
     K48:ED48,
     LAMBDA(
       buff,
       target,
       check,
       IF(
         AND(check=TRUE, REGEXMATCH(target, ""RANGE_AFFECTED_ALL|RANGE_EFFECTED_ALL""), ISNUMBER(buff)),
         buff,
   "&amp;"      1
       )
     )
   )
 )"),1.0)</f>
        <v>1</v>
      </c>
      <c r="EG48" s="200">
        <f>IFERROR(__xludf.DUMMYFUNCTION("PRODUCT(
   MAP(
     K$14:ED$14,
     K$13:ED$13,
     K48:ED48,
     LAMBDA(
       buff,
       target,
       check,
       IF(
         AND(check=TRUE, REGEXMATCH(target, ""RANGE_AFFECTED_GCD|RANGE_EFFECTED_GCD""), ISNUMBER(buff)),
         buff,
   "&amp;"      1
       )
     )
   )
 )"),1.0)</f>
        <v>1</v>
      </c>
      <c r="EH48" s="200">
        <f>IFERROR(__xludf.DUMMYFUNCTION("PRODUCT(
   MAP(
     K$3:ED$3,
     K$14:ED$14,
     K$13:ED$13,
     K48:ED48,
     LAMBDA(
       job,
       buff,
       target,
       check,
       IF(
         AND(check=TRUE, REGEXMATCH(target, ""SELF_EFFECTED_ALL""), ISNUMBER(buff), job=""白魔道士"""&amp;"),
         buff,
         1
       )
     )
   )
 )"),1.0)</f>
        <v>1</v>
      </c>
      <c r="EI48" s="200">
        <f>IFERROR(__xludf.DUMMYFUNCTION("PRODUCT(
   MAP(
     K$3:ED$3,
     K$14:ED$14,
     K$13:ED$13,
     K48:ED48,
     LAMBDA(
       job,
       buff,
       target,
       check,
       IF(
         AND(check=TRUE, REGEXMATCH(target, ""SELF_EFFECTED_GCD""), ISNUMBER(buff), job=""白魔道士"""&amp;"),
         buff,
         1
       )
     )
   )
 )"),1.0)</f>
        <v>1</v>
      </c>
      <c r="EJ48" s="200">
        <f>IFERROR(__xludf.DUMMYFUNCTION("PRODUCT(
   MAP(
     K$3:ED$3,
     K$14:ED$14,
     K$13:ED$13,
     K48:ED48,
     LAMBDA(
       job,
       buff,
       target,
       check,
       IF(
         AND(check=TRUE, REGEXMATCH(target, ""SELF_EFFECTED_ALL""), ISNUMBER(buff), job=""占星術師"""&amp;"),
         buff,
         1
       )
     )
   )
 )"),1.0)</f>
        <v>1</v>
      </c>
      <c r="EK48" s="200">
        <f>IFERROR(__xludf.DUMMYFUNCTION("PRODUCT(
   MAP(
     K$3:ED$3,
     K$14:ED$14,
     K$13:ED$13,
     K48:ED48,
     LAMBDA(
       job,
       buff,
       target,
       check,
       IF(
         AND(check=TRUE, REGEXMATCH(target, ""SELF_EFFECTED_GCD""), ISNUMBER(buff), job=""占星術師"""&amp;"),
         buff,
         1
       )
     )
   )
 )"),1.0)</f>
        <v>1</v>
      </c>
      <c r="EL48" s="200">
        <f>IFERROR(__xludf.DUMMYFUNCTION("PRODUCT(
   MAP(
     K$3:ED$3,
     K$14:ED$14,
     K$13:ED$13,
     K48:ED48,
     LAMBDA(
       job,
       buff,
       target,
       check,
       IF(
         AND(check=TRUE, REGEXMATCH(target, ""SELF_EFFECTED_ALL""), ISNUMBER(buff), job=""学者""),"&amp;"
         buff,
         1
       )
     )
   )
 )"),1.0)</f>
        <v>1</v>
      </c>
      <c r="EM48" s="200">
        <f>IFERROR(__xludf.DUMMYFUNCTION("PRODUCT(
   MAP(
     K$3:ED$3,
     K$14:ED$14,
     K$13:ED$13,
     K48:ED48,
     LAMBDA(
       job,
       buff,
       target,
       check,
       IF(
         AND(check=TRUE, REGEXMATCH(target, ""SELF_EFFECTED_GCD""), ISNUMBER(buff), job=""学者""),"&amp;"
         buff,
         1
       )
     )
   )
 )"),1.0)</f>
        <v>1</v>
      </c>
      <c r="EN48" s="200">
        <f>IFERROR(__xludf.DUMMYFUNCTION("PRODUCT(
   MAP(
     K$3:ED$3,
     K$14:ED$14,
     K$13:ED$13,
     K48:ED48,
     LAMBDA(
       job,
       buff,
       target,
       check,
       IF(
         AND(check=TRUE, REGEXMATCH(target, ""SELF_EFFECTED_ALL""), ISNUMBER(buff), job=""賢者""),"&amp;"
         buff,
         1
       )
     )
   )
 )"),1.0)</f>
        <v>1</v>
      </c>
      <c r="EO48" s="200">
        <f>IFERROR(__xludf.DUMMYFUNCTION("PRODUCT(
   MAP(
     K$3:ED$3,
     K$14:ED$14,
     K$13:ED$13,
     K48:ED48,
     LAMBDA(
       job,
       buff,
       target,
       check,
       IF(
         AND(check=TRUE, REGEXMATCH(target, ""SELF_EFFECTED_GCD""), ISNUMBER(buff), job=""賢者""),"&amp;"
         buff,
         1
       )
     )
   )
 )"),1.0)</f>
        <v>1</v>
      </c>
      <c r="EP48" s="201">
        <f t="shared" si="3"/>
        <v>0</v>
      </c>
      <c r="EQ48" s="201">
        <f>IFERROR(__xludf.DUMMYFUNCTION("SUM(
   MAP(
     K$4:ED$4,
     K$3:ED$3,
     K$7:ED$7,
     K$15:ED$15,
     K$16:ED$16,
     K$21:ED$21,
     K$5:ED$5,
     K$17:ED$17,
     K48:ED48,
     LAMBDA(
       name,
       job,
       abillity,
       buff,
       barrier,
       enhance,"&amp;"
       assign,
       precondition,
       check,
       SWITCH(
         name,
         ""シェイクオフ"", IF(check=TRUE, buff + (0.02 * COUNTIF(ARRAYFORMULA((REGEXMATCH($K$4:$ED$4, ""スリル・オブ・バトル|ヴェンジェンス|原初の血気|ダムネーション"")) * (K48:ED48=TRUE)), 1)), 0),
         "&amp;"""インプロビゼーションフィニッシュ(踊りの激情0)"", IF(ISNUMBER(check), INDEX(Skill!$AJ:$AJ, MATCH(SUBSTITUTE(DV$4, 0, check), Skill!$C:$C, 0)), 0),
         IF(
           AND(check=TRUE, REGEXMATCH(assign, ""RANGE_PARTY"")),
           IF(
             OR(ARRAYFORMULA((IF(pr"&amp;"econdition="""", FALSE, REGEXMATCH($K$4:$ED$4, precondition))) * (K48:ED48=TRUE))),
             enhance,
             IF(barrier="""", buff, barrier)
           ),
           0
         )
       ) *
       SWITCH(
         job,
         ""ナイト"", EY$24,
 "&amp;"        ""戦士"", FD$24,
         ""踊り子"", ET$24,
         ""ピクトマンサー"", ET$24,
         ""白魔道士"", EF48 * EH48 * IF(abillity, 1, EG48 * EI48) * (Option!$D$22 * 0.81 / 100),
         ""占星術師"", EF48 * EJ48 * IF(abillity, 1, EG48 * EK48) * (Option!$D$23 * 0.81 "&amp;"/ 100),
         ""学者"", EF48 * EL48 * IF(abillity, 1, EG48 * EM48) * (Option!$D$24 * 0.81 / 100),
         ""賢者"", EF48 * EN48 * IF(abillity, 1, EG48 * EO48) * (Option!$D$25 * 0.81 / 100),
         1
       )
     )
   )
 )"),0.0)</f>
        <v>0</v>
      </c>
      <c r="ER48" s="202">
        <f t="shared" si="4"/>
        <v>0</v>
      </c>
      <c r="ES48" s="203">
        <f t="shared" si="5"/>
        <v>0</v>
      </c>
      <c r="ET48" s="204" t="str">
        <f>IFERROR(__xludf.DUMMYFUNCTION("IFS(
  EP48 &gt; $ET$24 + EQ48,
  SPARKLINE({ 1, 0 }, {""charttype"",""bar"";""max"", 1;""color1"",Option!$D$30;""color2"",Option!$D$30}),
  EP48 &lt; EQ48,
  SPARKLINE({EQ48 - EP48, $ET$24 - (EQ48 - EP48)}, {""charttype"",""bar"";""max"",$ET$24;""color1"",Opti"&amp;"on!$D$28;""color2"",Option!$D$29}),
  EP48 &gt;= EQ48,
  SPARKLINE({$ET$24 + EQ48 - EP48,EP48 - EQ48}, {""charttype"",""bar"";""max"",$ET$24;""color1"",Option!$D$29;""color2"",Option!$D$30})
)"),"")</f>
        <v/>
      </c>
      <c r="EU48" s="205">
        <f>IFERROR(__xludf.DUMMYFUNCTION("PRODUCT(
   MAP(
     IF($F48=""Physical"", K$10:ED$10, IF($F48=""Magic"", K$11:ED$11, K$12:ED$12)),
     IF($F48=""Physical"", K$18:ED$18, IF($F48=""Magic"", K$19:ED$19, K$20:ED$20)),
     K$3:ED$3,
     K$5:ED$5,
     K$17:ED$17,
     K48:ED48,
     LAM"&amp;"BDA(
       mitigation,
       enhance,
       job,
       assign,
       precondition,
       check,
       IF(
         OR(AND(check=TRUE, REGEXMATCH(assign, ""SELF""), job=""ナイト""), AND(check=Option!$E$13, REGEXMATCH(assign, ""SINGLE_PARTY""))),
      "&amp;"   IF(
           OR(ARRAYFORMULA((IF(precondition="""", FALSE, REGEXMATCH($K$4:$ED$4, precondition))) * (K48:ED48=TRUE))),
           enhance,
           mitigation
         ),
         1
       )
     )
   )
 ) * EE48"),1.0)</f>
        <v>1</v>
      </c>
      <c r="EV48" s="206">
        <f t="shared" si="6"/>
        <v>0</v>
      </c>
      <c r="EW48" s="205">
        <f>IFERROR(__xludf.DUMMYFUNCTION("PRODUCT(
   MAP(
     K$3:ED$3,
     K$14:ED$14,
     K$13:ED$13,
     K48:ED48,
     LAMBDA(
       job,
       buff,
       target,
       check,
       IF(
         OR(AND(check=TRUE, REGEXMATCH(target, ""SELF_AFFECTED_ALL""), job=""ナイト""), AND(check=O"&amp;"ption!$E$13, REGEXMATCH(target, ""SINGLE_AFFECTED_ALL""))),
         buff,
         1
       )
     )
   )
 )"),1.0)</f>
        <v>1</v>
      </c>
      <c r="EX48" s="206">
        <f>IFERROR(__xludf.DUMMYFUNCTION("SUM(
   MAP(
     K$3:ED$3,
     K$7:ED$7,
     K$15:ED$15,
     K$16:ED$16,
     K$21:ED$21,
     K$5:ED$5,
     K$17:ED$17,
     K48:ED48,
     LAMBDA(
       job,
       abillity,
       buff,
       barrier,
       enhance,
       assign,
       preco"&amp;"ndition,
       check,
       IF(
         OR(AND(check=TRUE, REGEXMATCH(assign, ""SELF""), job=""ナイト""), AND(check=Option!$E$13, REGEXMATCH(assign, ""SINGLE_PARTY""))),
         IF(
           OR(ARRAYFORMULA((IF(precondition="""", FALSE, REGEXMATCH($K$4"&amp;":$ED$4, precondition))) * (K48:ED48=TRUE))),
           enhance,
           IF(barrier="""", buff, barrier)
         ),
         0
       ) *
       SWITCH(
         job,
         ""暗黒騎士"", EY$24,
         ""白魔道士"", EF48 * EH48 * EW48 * IF(abillity, 1, EG"&amp;"48 * EI48) * (Option!$D$22 * 0.81 / 100),
         ""占星術師"", EF48 * EJ48 * EW48 * IF(abillity, 1, EG48 * EK48) * (Option!$D$23 * 0.81 / 100),
         ""学者"", EF48 * EL48 * EW48 * IF(abillity, 1, EG48 * EM48) * (Option!$D$24 * 0.81 / 100),
         ""賢者"""&amp;", EF48 * EN48 * EW48 * IF(abillity, 1, EG48 * EO48) * (Option!$D$25 * 0.81 / 100),
         1
       )
     )
   )
 ) + EQ48"),0.0)</f>
        <v>0</v>
      </c>
      <c r="EY48" s="206">
        <f t="shared" si="7"/>
        <v>0</v>
      </c>
      <c r="EZ48" s="205">
        <f>IFERROR(__xludf.DUMMYFUNCTION("PRODUCT(
   MAP(
     IF($F48=""Physical"", K$10:ED$10, IF($F48=""Magic"", K$11:ED$11, K$12:ED$12)),
     IF($F48=""Physical"", K$18:ED$18, IF($F48=""Magic"", K$19:ED$19, K$20:ED$20)),
     K$3:ED$3,
     K$5:ED$5,
     K$17:ED$17,
     K48:ED48,
     LAM"&amp;"BDA(
       mitigation,
       enhance,
       job,
       assign,
       precondition,
       check,
       IF(
         OR(AND(check=TRUE, REGEXMATCH(assign, ""SELF""), job=""戦士""), AND(check=Option!$F$13, REGEXMATCH(assign, ""SINGLE_PARTY""))),
       "&amp;"  IF(
           OR(ARRAYFORMULA((IF(precondition="""", FALSE, REGEXMATCH($K$4:$ED$4, precondition))) * (K48:ED48=TRUE))),
           enhance,
           mitigation
         ),
         1
       )
     )
   )
 ) * EE48"),1.0)</f>
        <v>1</v>
      </c>
      <c r="FA48" s="206">
        <f t="shared" si="8"/>
        <v>0</v>
      </c>
      <c r="FB48" s="205">
        <f>IFERROR(__xludf.DUMMYFUNCTION("PRODUCT(
   MAP(
     K$3:ED$3,
     K$14:ED$14,
     K$13:ED$13,
     K48:ED48,
     LAMBDA(
       job,
       buff,
       target,
       check,
       IF(
         OR(AND(check=TRUE, REGEXMATCH(target, ""SELF_AFFECTED_ALL""), job=""戦士""), AND(check=Op"&amp;"tion!$F$13, REGEXMATCH(target, ""SINGLE_AFFECTED_ALL""))),
         buff,
         1
       )
     )
   )
 )"),1.0)</f>
        <v>1</v>
      </c>
      <c r="FC48" s="206">
        <f>IFERROR(__xludf.DUMMYFUNCTION("SUM(
   MAP(
     K$3:ED$3,
     K$7:ED$7,
     K$15:ED$15,
     K$16:ED$16,
     K$21:ED$21,
     K$5:ED$5,
     K$17:ED$17,
     K48:ED48,
     LAMBDA(
       job,
       abillity,
       buff,
       barrier,
       enhance,
       assign,
       preco"&amp;"ndition,
       check,
       IF(
         OR(AND(check=TRUE, REGEXMATCH(assign, ""SELF""), job=""戦士""), AND(check=Option!$F$13, REGEXMATCH(assign, ""SINGLE_PARTY""))),
         IF(
           OR(ARRAYFORMULA((IF(precondition="""", FALSE, REGEXMATCH($K$4:"&amp;"$ED$4, precondition))) * (K48:ED48=TRUE))),
           enhance,
           IF(barrier="""", buff, barrier)
         ),
         0
       ) *
       SWITCH(
         job,
         ""暗黒騎士"", FD$24,
         ""白魔道士"", EF48 * EH48 * FB48 * IF(abillity, 1, EG4"&amp;"8 * EI48) * (Option!$D$22 * 0.81 / 100),
         ""占星術師"", EF48 * EJ48 * FFB48 * IF(abillity, 1, EG48 * EK48) * (Option!$D$23 * 0.81 / 100),
         ""学者"", EF48 * EL48 * FB48 * IF(abillity, 1, EG48 * EM48) * (Option!$D$24 * 0.81 / 100),
         ""賢者"""&amp;", EF48 * EN48 * FB48 * IF(abillity, 1, EG48 * EO48) * (Option!$D$25 * 0.81 / 100),
         1
       )
     )
   )
 ) + EQ48"),0.0)</f>
        <v>0</v>
      </c>
      <c r="FD48" s="206">
        <f t="shared" si="9"/>
        <v>0</v>
      </c>
      <c r="FE48" s="205">
        <f>IFERROR(__xludf.DUMMYFUNCTION("PRODUCT(
   MAP(
     IF($F48=""Physical"", K$10:ED$10, IF($F48=""Magic"", K$11:ED$11, K$12:ED$12)),
     IF($F48=""Physical"", K$18:ED$18, IF($F48=""Magic"", K$19:ED$19, K$20:ED$20)),
     K$3:ED$3,
     K$5:ED$5,
     K$17:ED$17,
     K48:ED48,
     LAM"&amp;"BDA(
       mitigation,
       enhance,
       job,
       assign,
       precondition,
       check,
       IF(
         OR(AND(check=TRUE, REGEXMATCH(assign, ""SELF""), job=""暗黒騎士""), AND(check=Option!$G$13, REGEXMATCH(assign, ""SINGLE_PARTY""))),
     "&amp;"    IF(
           OR(ARRAYFORMULA((IF(precondition="""", FALSE, REGEXMATCH($K$4:$ED$4, precondition))) * (K48:ED48=TRUE))),
           enhance,
           mitigation
         ),
         1
       )
     )
   )
 ) * EE48"),1.0)</f>
        <v>1</v>
      </c>
      <c r="FF48" s="206">
        <f t="shared" si="10"/>
        <v>0</v>
      </c>
      <c r="FG48" s="205">
        <f>IFERROR(__xludf.DUMMYFUNCTION("PRODUCT(
   MAP(
     K$3:ED$3,
     K$14:ED$14,
     K$13:ED$13,
     K48:ED48,
     LAMBDA(
       job,
       buff,
       target,
       check,
       IF(
         OR(AND(check=TRUE, REGEXMATCH(target, ""SELF_AFFECTED_ALL""), job=""暗黒騎士""), AND(check="&amp;"Option!$G$13, REGEXMATCH(target, ""SINGLE_AFFECTED_ALL""))),
         buff,
         1
       )
     )
   )
 )"),1.0)</f>
        <v>1</v>
      </c>
      <c r="FH48" s="206">
        <f>IFERROR(__xludf.DUMMYFUNCTION("SUM(
   MAP(
     K$3:ED$3,
     K$7:ED$7,
     K$15:ED$15,
     K$16:ED$16,
     K$21:ED$21,
     K$5:ED$5,
     K$17:ED$17,
     K48:ED48,
     LAMBDA(
       job,
       abillity,
       buff,
       barrier,
       enhance,
       assign,
       preco"&amp;"ndition,
       check,
       IF(
         OR(AND(check=TRUE, REGEXMATCH(assign, ""SELF""), job=""暗黒騎士""), AND(check=Option!$G$13, REGEXMATCH(assign, ""SINGLE_PARTY""))),
         IF(
           OR(ARRAYFORMULA((IF(precondition="""", FALSE, REGEXMATCH($K$"&amp;"4:$ED$4, precondition))) * (K48:ED48=TRUE))),
           enhance,
           IF(barrier="""", buff, barrier)
         ),
         0
       ) *
       SWITCH(
         job,
         ""暗黒騎士"", FI$24,
         ""白魔道士"", EF48 * EH48 * FG48 * IF(abillity, 1, E"&amp;"G48 * EI48) * (Option!$D$22 * 0.81 / 100),
         ""占星術師"", EF48 * EJ48 * FG48 * IF(abillity, 1, EG48 * EK48) * (Option!$D$23 * 0.81 / 100),
         ""学者"", EF48 * EL48 * FG48 * IF(abillity, 1, EG48 * EM48) * (Option!$D$24 * 0.81 / 100),
         ""賢者"&amp;""", EF48 * EN48 * FG48 * IF(abillity, 1, EG48 * EO48) * (Option!$D$25 * 0.81 / 100),
         1
       )
     )
   )
 ) + EQ48"),0.0)</f>
        <v>0</v>
      </c>
      <c r="FI48" s="206">
        <f t="shared" si="11"/>
        <v>0</v>
      </c>
      <c r="FJ48" s="205">
        <f>IFERROR(__xludf.DUMMYFUNCTION("PRODUCT(
   MAP(
     IF($F48=""Physical"", K$10:ED$10, IF($F48=""Magic"", K$11:ED$11, K$12:ED$12)),
     IF($F48=""Physical"", K$18:ED$18, IF($F48=""Magic"", K$19:ED$19, K$20:ED$20)),
     K$3:ED$3,
     K$5:ED$5,
     K$17:ED$17,
     K48:ED48,
     LAM"&amp;"BDA(
       mitigation,
       enhance,
       job,
       assign,
       precondition,
       check,
       IF(
         OR(AND(check=TRUE, REGEXMATCH(assign, ""SELF""), job=""ガンブレイカー""), AND(check=Option!$H$13, REGEXMATCH(assign, ""SINGLE_PARTY""))),
  "&amp;"       IF(
           OR(ARRAYFORMULA((IF(precondition="""", FALSE, REGEXMATCH($K$4:$ED$4, precondition))) * (K48:ED48=TRUE))),
           enhance,
           mitigation
         ),
         1
       )
     )
   )
 ) * EE48"),1.0)</f>
        <v>1</v>
      </c>
      <c r="FK48" s="206">
        <f t="shared" si="12"/>
        <v>0</v>
      </c>
      <c r="FL48" s="205">
        <f>IFERROR(__xludf.DUMMYFUNCTION("PRODUCT(
   MAP(
     K$3:ED$3,
     K$14:ED$14,
     K$13:ED$13,
     K48:ED48,
     LAMBDA(
       job,
       buff,
       target,
       check,
       IF(
         OR(AND(check=TRUE, REGEXMATCH(target, ""SELF_AFFECTED_ALL""), job=""ガンブレイカー""), AND(che"&amp;"ck=Option!$H$13, REGEXMATCH(target, ""SINGLE_AFFECTED_ALL""))),
         buff,
         1
       )
     )
   )
 )"),1.0)</f>
        <v>1</v>
      </c>
      <c r="FM48" s="206">
        <f>IFERROR(__xludf.DUMMYFUNCTION("SUM(
   MAP(
     K$3:ED$3,
     K$7:ED$7,
     K$15:ED$15,
     K$16:ED$16,
     K$21:ED$21,
     K$5:ED$5,
     K$17:ED$17,
     K48:ED48,
     LAMBDA(
       job,
       abillity,
       buff,
       barrier,
       enhance,
       assign,
       preco"&amp;"ndition,
       check,
       IF(
         OR(AND(check=TRUE, REGEXMATCH(assign, ""SELF""), job=""ガンブレイカー""), AND(check=Option!$H$13, REGEXMATCH(assign, ""SINGLE_PARTY""))),
         IF(
           OR(ARRAYFORMULA((IF(precondition="""", FALSE, REGEXMATCH("&amp;"$K$4:$ED$4, precondition))) * (K48:ED48=TRUE))),
           enhance,
           IF(barrier="""", buff, barrier)
         ),
         0
       ) *
       SWITCH(
         job,
         ""暗黒騎士"", FN$24,
         ""白魔道士"", EF48 * EH48 * FL48 * IF(abillity, 1"&amp;", EG48 * EI48) * (Option!$D$22 * 0.81 / 100),
         ""占星術師"", EF48 * EJ48 * FL48 * IF(abillity, 1, EG48 * EK48) * (Option!$D$23 * 0.81 / 100),
         ""学者"", EF48 * EL48 * FL48 * IF(abillity, 1, EG48 * EM48) * (Option!$D$24 * 0.81 / 100),
         """&amp;"賢者"", EF48 * EN48 * FL48 * IF(abillity, 1, EG48 * EO48) * (Option!$D$25 * 0.81 / 100),
         1
       )
     )
   )
 ) + EQ48"),0.0)</f>
        <v>0</v>
      </c>
      <c r="FN48" s="206">
        <f t="shared" si="13"/>
        <v>0</v>
      </c>
      <c r="FO48" s="213"/>
    </row>
    <row r="49">
      <c r="B49" s="229"/>
      <c r="C49" s="217">
        <f t="shared" si="1"/>
        <v>0</v>
      </c>
      <c r="D49" s="236"/>
      <c r="E49" s="219"/>
      <c r="F49" s="167"/>
      <c r="G49" s="168" t="str">
        <f t="shared" si="2"/>
        <v/>
      </c>
      <c r="H49" s="169"/>
      <c r="I49" s="169"/>
      <c r="J49" s="169"/>
      <c r="K49" s="170" t="b">
        <v>0</v>
      </c>
      <c r="L49" s="170" t="b">
        <v>0</v>
      </c>
      <c r="M49" s="170" t="b">
        <v>0</v>
      </c>
      <c r="N49" s="171" t="s">
        <v>1070</v>
      </c>
      <c r="O49" s="172" t="b">
        <v>0</v>
      </c>
      <c r="P49" s="173" t="b">
        <v>0</v>
      </c>
      <c r="Q49" s="173" t="b">
        <v>0</v>
      </c>
      <c r="R49" s="173" t="b">
        <v>0</v>
      </c>
      <c r="S49" s="174" t="b">
        <v>0</v>
      </c>
      <c r="T49" s="175" t="b">
        <v>0</v>
      </c>
      <c r="U49" s="173" t="b">
        <v>0</v>
      </c>
      <c r="V49" s="171" t="s">
        <v>1070</v>
      </c>
      <c r="W49" s="172" t="b">
        <v>0</v>
      </c>
      <c r="X49" s="173" t="b">
        <v>0</v>
      </c>
      <c r="Y49" s="173" t="b">
        <v>0</v>
      </c>
      <c r="Z49" s="173" t="b">
        <v>0</v>
      </c>
      <c r="AA49" s="174" t="b">
        <v>0</v>
      </c>
      <c r="AB49" s="174" t="b">
        <v>0</v>
      </c>
      <c r="AC49" s="175" t="b">
        <v>0</v>
      </c>
      <c r="AD49" s="173" t="b">
        <v>0</v>
      </c>
      <c r="AE49" s="176" t="s">
        <v>1070</v>
      </c>
      <c r="AF49" s="171" t="s">
        <v>1070</v>
      </c>
      <c r="AG49" s="177">
        <f>IFERROR(__xludf.DUMMYFUNCTION("IF(
  ISNUMBER(AG48),
  MIN(MAX(
    AG48
    + MAX(
      ROUNDDOWN(($D49 - MAX(IFERROR(FILTER($D$24:$D48, AG$24:AG48 &lt;&gt; AF$6, AG$23:AG47 = AF$6), 0))) * (60 * 60 * 24) / AF$9) - ROUNDDOWN(($D48 - MAX(IFERROR(FILTER($D$23:$D47, AG$23:AG47 &lt;&gt; AF$6, AG$22:"&amp;"AG46 = AF$6), 0))) * (60 * 60 * 24) / 60),
      0
    )
    - COUNTIF(AF49, ""&lt;&gt;-""),
  0), AF$6),
  AF$6 - COUNTIF(AF49, ""&lt;&gt;-"")
)"),2.0)</f>
        <v>2</v>
      </c>
      <c r="AH49" s="173" t="b">
        <v>0</v>
      </c>
      <c r="AI49" s="173" t="b">
        <v>0</v>
      </c>
      <c r="AJ49" s="173" t="b">
        <v>0</v>
      </c>
      <c r="AK49" s="174" t="b">
        <v>0</v>
      </c>
      <c r="AL49" s="175" t="b">
        <v>0</v>
      </c>
      <c r="AM49" s="173" t="b">
        <v>0</v>
      </c>
      <c r="AN49" s="171" t="s">
        <v>1070</v>
      </c>
      <c r="AO49" s="173" t="b">
        <v>0</v>
      </c>
      <c r="AP49" s="173" t="b">
        <v>0</v>
      </c>
      <c r="AQ49" s="173" t="b">
        <v>0</v>
      </c>
      <c r="AR49" s="174" t="b">
        <v>0</v>
      </c>
      <c r="AS49" s="178" t="b">
        <v>0</v>
      </c>
      <c r="AT49" s="179" t="b">
        <v>0</v>
      </c>
      <c r="AU49" s="180" t="b">
        <v>0</v>
      </c>
      <c r="AV49" s="180" t="b">
        <v>0</v>
      </c>
      <c r="AW49" s="180" t="b">
        <v>0</v>
      </c>
      <c r="AX49" s="180" t="b">
        <v>0</v>
      </c>
      <c r="AY49" s="181" t="s">
        <v>1070</v>
      </c>
      <c r="AZ49" s="181" t="s">
        <v>1070</v>
      </c>
      <c r="BA49" s="184">
        <f>IFERROR(__xludf.DUMMYFUNCTION("IF(
  ISNUMBER(BA48),
  MIN(MAX(
    BA48
    + MAX(
      ROUNDDOWN((D49 - MAX(IFERROR(FILTER(D$24:D48, BA$24:BA48 &lt;&gt; AZ$6, BA$23:BA47 = AZ$6), 0))) * (60 * 60 * 24) / AZ$9) - ROUNDDOWN((D48 - MAX(IFERROR(FILTER(D$23:D47, BA$23:BA47 &lt;&gt; AZ$6, BA$22:BA46 ="&amp;" AZ$6), 0))) * (60 * 60 * 24) / AZ$9),
      0
    )
    - COUNTIF(AZ49, ""&lt;&gt;-""),
  0), AZ$6),
  AZ$6 - COUNTIF(AZ49, ""&lt;&gt;-"")
)"),2.0)</f>
        <v>2</v>
      </c>
      <c r="BB49" s="181" t="s">
        <v>1070</v>
      </c>
      <c r="BC49" s="183">
        <f>IFERROR(__xludf.DUMMYFUNCTION("IF(
  ISNUMBER(BC48),
  MIN(MAX(
    BC48
    + MAX(
      ROUNDDOWN(($D49 - MAX(IFERROR(FILTER($D$24:$D48, BC$24:BC48 &lt;&gt; BB$6, BC$23:BC47 = BB$6), 0))) * (60 * 60 * 24) / BB$9) - ROUNDDOWN(($D48 - MAX(IFERROR(FILTER($D$23:$D47, BC$23:BC47 &lt;&gt; BB$6, BC$22:"&amp;"BC46 = BB$6), 0))) * (60 * 60 * 24) / 60),
      0
    )
    - COUNTIF(BB49, ""&lt;&gt;-""),
  0), BB$6),
  BB$6 - COUNTIF(BB49, ""&lt;&gt;-"")
)"),2.0)</f>
        <v>2</v>
      </c>
      <c r="BD49" s="181" t="s">
        <v>1070</v>
      </c>
      <c r="BE49" s="178" t="b">
        <v>0</v>
      </c>
      <c r="BF49" s="180" t="b">
        <v>0</v>
      </c>
      <c r="BG49" s="180" t="b">
        <v>0</v>
      </c>
      <c r="BH49" s="180" t="b">
        <v>0</v>
      </c>
      <c r="BI49" s="180" t="b">
        <v>0</v>
      </c>
      <c r="BJ49" s="180" t="b">
        <v>0</v>
      </c>
      <c r="BK49" s="180" t="b">
        <v>0</v>
      </c>
      <c r="BL49" s="180" t="b">
        <v>0</v>
      </c>
      <c r="BM49" s="180" t="b">
        <v>0</v>
      </c>
      <c r="BN49" s="180" t="b">
        <v>0</v>
      </c>
      <c r="BO49" s="181" t="s">
        <v>1070</v>
      </c>
      <c r="BP49" s="181" t="s">
        <v>1070</v>
      </c>
      <c r="BQ49" s="181" t="s">
        <v>1070</v>
      </c>
      <c r="BR49" s="181" t="s">
        <v>1070</v>
      </c>
      <c r="BS49" s="181" t="s">
        <v>1070</v>
      </c>
      <c r="BT49" s="184">
        <f>IFERROR(__xludf.DUMMYFUNCTION("IF(
  ISNUMBER(BT48),
  MIN(MAX(
    BT48
    + MAX(
      ROUNDDOWN((D49 - MAX(IFERROR(FILTER(D$24:D48, BT$24:BT48 &lt;&gt; BS$6, BT$23:BT47 = BS$6), 0))) * (60 * 60 * 24) / BS$9) - ROUNDDOWN((D48 - MAX(IFERROR(FILTER(D$23:D47, BT$23:BT47 &lt;&gt; BS$6, BT$22:BT46 ="&amp;" BS$6), 0))) * (60 * 60 * 24) / BS$9),
      0
    )
    - COUNTIF(BS49, ""&lt;&gt;-""),
  0), BS$6),
  BS$6 - COUNTIF(BS49, ""&lt;&gt;-"")
)"),3.0)</f>
        <v>3</v>
      </c>
      <c r="BU49" s="181" t="s">
        <v>1070</v>
      </c>
      <c r="BV49" s="181" t="s">
        <v>1070</v>
      </c>
      <c r="BW49" s="184">
        <f>IFERROR(__xludf.DUMMYFUNCTION("IF(
  ISNUMBER(BW48),
  MIN(MAX(
    BW48
    + MAX(
      ROUNDDOWN((D49 - MAX(IFERROR(FILTER(D$24:D48, BW$24:BW48 &lt;&gt; BV$6, BW$23:BW47 = BV$6), 0))) * (60 * 60 * 24) / BV$9) - ROUNDDOWN((D48 - MAX(IFERROR(FILTER(D$23:D47, BW$23:BW47 &lt;&gt; BV$6, BW$22:BW46 ="&amp;" BV$6), 0))) * (60 * 60 * 24) / BV$9),
      0
    )
    - COUNTIF(BV49, ""&lt;&gt;-""),
  0), BV$6),
  BV$6 - COUNTIF(BV49, ""&lt;&gt;-"")
)"),2.0)</f>
        <v>2</v>
      </c>
      <c r="BX49" s="185" t="s">
        <v>1070</v>
      </c>
      <c r="BY49" s="178" t="b">
        <v>0</v>
      </c>
      <c r="BZ49" s="180" t="b">
        <v>0</v>
      </c>
      <c r="CA49" s="180" t="b">
        <v>0</v>
      </c>
      <c r="CB49" s="180" t="b">
        <v>0</v>
      </c>
      <c r="CC49" s="180" t="b">
        <v>0</v>
      </c>
      <c r="CD49" s="180" t="b">
        <v>0</v>
      </c>
      <c r="CE49" s="180" t="b">
        <v>0</v>
      </c>
      <c r="CF49" s="180" t="b">
        <v>0</v>
      </c>
      <c r="CG49" s="180" t="b">
        <v>0</v>
      </c>
      <c r="CH49" s="180" t="b">
        <v>0</v>
      </c>
      <c r="CI49" s="180" t="b">
        <v>0</v>
      </c>
      <c r="CJ49" s="180" t="b">
        <v>0</v>
      </c>
      <c r="CK49" s="180" t="b">
        <v>0</v>
      </c>
      <c r="CL49" s="180" t="b">
        <v>0</v>
      </c>
      <c r="CM49" s="181" t="s">
        <v>1070</v>
      </c>
      <c r="CN49" s="181" t="s">
        <v>1070</v>
      </c>
      <c r="CO49" s="181" t="s">
        <v>1070</v>
      </c>
      <c r="CP49" s="181" t="s">
        <v>1070</v>
      </c>
      <c r="CQ49" s="185" t="s">
        <v>1070</v>
      </c>
      <c r="CR49" s="180" t="b">
        <v>0</v>
      </c>
      <c r="CS49" s="186" t="str">
        <f t="shared" si="14"/>
        <v>◇◇◇</v>
      </c>
      <c r="CT49" s="178" t="b">
        <v>0</v>
      </c>
      <c r="CU49" s="180" t="b">
        <v>0</v>
      </c>
      <c r="CV49" s="180" t="b">
        <v>0</v>
      </c>
      <c r="CW49" s="180" t="b">
        <v>0</v>
      </c>
      <c r="CX49" s="180" t="b">
        <v>0</v>
      </c>
      <c r="CY49" s="180" t="b">
        <v>0</v>
      </c>
      <c r="CZ49" s="180" t="b">
        <v>0</v>
      </c>
      <c r="DA49" s="180" t="b">
        <v>0</v>
      </c>
      <c r="DB49" s="180" t="b">
        <v>0</v>
      </c>
      <c r="DC49" s="180" t="b">
        <v>0</v>
      </c>
      <c r="DD49" s="181" t="s">
        <v>1070</v>
      </c>
      <c r="DE49" s="181" t="s">
        <v>1070</v>
      </c>
      <c r="DF49" s="181" t="s">
        <v>1070</v>
      </c>
      <c r="DG49" s="185" t="s">
        <v>1070</v>
      </c>
      <c r="DH49" s="180" t="b">
        <v>0</v>
      </c>
      <c r="DI49" s="187" t="str">
        <f>IFERROR(__xludf.DUMMYFUNCTION("SWITCH(
  IF(
    ISTEXT(DI48),
    IF (
      FIND(""○"", DI48&amp;""○"") &gt; 3,
      3,
      FIND(""○"", DI48&amp;""○"")
      + MAX(
        ROUNDDOWN(($D49 - MAX(IFERROR(FILTER(D$24:D48, DI$24:DI48 &lt;&gt; ""●●●"", DI$23:DI47 = ""●●●""), 0))) * (60 * 60 * 24) / 20"&amp;") - ROUNDDOWN(($D48 - MAX(IFERROR(FILTER(D$23:D47, DI$23:DI47 &lt;&gt; ""●●●"", DI$22:DI46 = ""●●●""), 0))) * (60 * 60 * 24) / 20),
        0
      ) - 1
    ) - COUNTIFS(CU49, ""=TRUE"", CU48, ""&lt;&gt;TRUE"") - COUNTIF(CZ49, ""=TRUE"") - COUNTIF({DD49,DE49}, ""&lt;&gt;-"&amp;""") + COUNTIF(DH49, ""=TRUE""),
    3
  ),
  0, ""○○○"", 1, ""●○○"", 2, ""●●○"", 3, ""●●●"", 4, ""●●●"", ""○○○""
)"),"●●●")</f>
        <v>●●●</v>
      </c>
      <c r="DJ49" s="188" t="b">
        <v>0</v>
      </c>
      <c r="DK49" s="189" t="b">
        <v>0</v>
      </c>
      <c r="DL49" s="190" t="b">
        <v>0</v>
      </c>
      <c r="DM49" s="190" t="b">
        <v>0</v>
      </c>
      <c r="DN49" s="190" t="b">
        <v>0</v>
      </c>
      <c r="DO49" s="190" t="b">
        <v>0</v>
      </c>
      <c r="DP49" s="190" t="b">
        <v>0</v>
      </c>
      <c r="DQ49" s="191" t="b">
        <v>0</v>
      </c>
      <c r="DR49" s="192" t="b">
        <v>0</v>
      </c>
      <c r="DS49" s="191" t="b">
        <v>0</v>
      </c>
      <c r="DT49" s="192" t="b">
        <v>0</v>
      </c>
      <c r="DU49" s="191" t="b">
        <v>0</v>
      </c>
      <c r="DV49" s="193" t="s">
        <v>1070</v>
      </c>
      <c r="DW49" s="194" t="b">
        <v>0</v>
      </c>
      <c r="DX49" s="194" t="b">
        <v>0</v>
      </c>
      <c r="DY49" s="195" t="b">
        <v>0</v>
      </c>
      <c r="DZ49" s="196" t="b">
        <v>0</v>
      </c>
      <c r="EA49" s="195" t="b">
        <v>0</v>
      </c>
      <c r="EB49" s="197" t="b">
        <v>0</v>
      </c>
      <c r="EC49" s="197" t="b">
        <v>0</v>
      </c>
      <c r="ED49" s="212" t="b">
        <v>0</v>
      </c>
      <c r="EE49" s="199">
        <f>IFERROR(__xludf.DUMMYFUNCTION("IFERROR(
   PRODUCT(
     MAP(
       INDEX(TRANSPOSE(UNIQUE(TRANSPOSE(FILTER({IF($F49=""Physical"", K$10:ED$10, IF($F49=""Magic"", K$11:ED$11, K$12:ED$12));K$4:ED$4;K49:ED49}, K49:ED49=TRUE)))), 1, 0),
       INDEX(TRANSPOSE(UNIQUE(TRANSPOSE(FILTER({IF($"&amp;"F49=""Physical"", K$18:ED$18, IF($F49=""Magic"", K$19:ED$19, K$20:ED$20));K$4:ED$4;K49:ED49}, K49:ED49=TRUE)))), 1, 0),
       INDEX(TRANSPOSE(UNIQUE(TRANSPOSE(FILTER({K$5:ED$5;K$4:ED$4;K49:ED49}, K49:ED49=TRUE)))), 1, 0),
       INDEX(TRANSPOSE(UNIQUE(TR"&amp;"ANSPOSE(FILTER({K$17:ED$17;K$4:ED$4;K49:ED49}, K49:ED49=TRUE)))), 1, 0),
       LAMBDA(
         mitigation,
         enhance,
         assign,
         precondition,
         IF(
           REGEXMATCH(assign, ""RANGE_PARTY|SINGLE_ENEMY|RANGE_ENEMY""),
  "&amp;"         IF(
             OR(ARRAYFORMULA((IF(precondition="""", FALSE, REGEXMATCH(K$4:ED$4, precondition))) * (K49:ED49=TRUE))),
             IF(ISNUMBER(enhance), enhance, 1),
             IF(ISNUMBER(mitigation), mitigation, 1)
           ),
          "&amp;" 1
         )
       )
     )
   ),
   1
 )"),1.0)</f>
        <v>1</v>
      </c>
      <c r="EF49" s="200">
        <f>IFERROR(__xludf.DUMMYFUNCTION("PRODUCT(
   MAP(
     K$14:ED$14,
     K$13:ED$13,
     K49:ED49,
     LAMBDA(
       buff,
       target,
       check,
       IF(
         AND(check=TRUE, REGEXMATCH(target, ""RANGE_AFFECTED_ALL|RANGE_EFFECTED_ALL""), ISNUMBER(buff)),
         buff,
   "&amp;"      1
       )
     )
   )
 )"),1.0)</f>
        <v>1</v>
      </c>
      <c r="EG49" s="200">
        <f>IFERROR(__xludf.DUMMYFUNCTION("PRODUCT(
   MAP(
     K$14:ED$14,
     K$13:ED$13,
     K49:ED49,
     LAMBDA(
       buff,
       target,
       check,
       IF(
         AND(check=TRUE, REGEXMATCH(target, ""RANGE_AFFECTED_GCD|RANGE_EFFECTED_GCD""), ISNUMBER(buff)),
         buff,
   "&amp;"      1
       )
     )
   )
 )"),1.0)</f>
        <v>1</v>
      </c>
      <c r="EH49" s="200">
        <f>IFERROR(__xludf.DUMMYFUNCTION("PRODUCT(
   MAP(
     K$3:ED$3,
     K$14:ED$14,
     K$13:ED$13,
     K49:ED49,
     LAMBDA(
       job,
       buff,
       target,
       check,
       IF(
         AND(check=TRUE, REGEXMATCH(target, ""SELF_EFFECTED_ALL""), ISNUMBER(buff), job=""白魔道士"""&amp;"),
         buff,
         1
       )
     )
   )
 )"),1.0)</f>
        <v>1</v>
      </c>
      <c r="EI49" s="200">
        <f>IFERROR(__xludf.DUMMYFUNCTION("PRODUCT(
   MAP(
     K$3:ED$3,
     K$14:ED$14,
     K$13:ED$13,
     K49:ED49,
     LAMBDA(
       job,
       buff,
       target,
       check,
       IF(
         AND(check=TRUE, REGEXMATCH(target, ""SELF_EFFECTED_GCD""), ISNUMBER(buff), job=""白魔道士"""&amp;"),
         buff,
         1
       )
     )
   )
 )"),1.0)</f>
        <v>1</v>
      </c>
      <c r="EJ49" s="200">
        <f>IFERROR(__xludf.DUMMYFUNCTION("PRODUCT(
   MAP(
     K$3:ED$3,
     K$14:ED$14,
     K$13:ED$13,
     K49:ED49,
     LAMBDA(
       job,
       buff,
       target,
       check,
       IF(
         AND(check=TRUE, REGEXMATCH(target, ""SELF_EFFECTED_ALL""), ISNUMBER(buff), job=""占星術師"""&amp;"),
         buff,
         1
       )
     )
   )
 )"),1.0)</f>
        <v>1</v>
      </c>
      <c r="EK49" s="200">
        <f>IFERROR(__xludf.DUMMYFUNCTION("PRODUCT(
   MAP(
     K$3:ED$3,
     K$14:ED$14,
     K$13:ED$13,
     K49:ED49,
     LAMBDA(
       job,
       buff,
       target,
       check,
       IF(
         AND(check=TRUE, REGEXMATCH(target, ""SELF_EFFECTED_GCD""), ISNUMBER(buff), job=""占星術師"""&amp;"),
         buff,
         1
       )
     )
   )
 )"),1.0)</f>
        <v>1</v>
      </c>
      <c r="EL49" s="200">
        <f>IFERROR(__xludf.DUMMYFUNCTION("PRODUCT(
   MAP(
     K$3:ED$3,
     K$14:ED$14,
     K$13:ED$13,
     K49:ED49,
     LAMBDA(
       job,
       buff,
       target,
       check,
       IF(
         AND(check=TRUE, REGEXMATCH(target, ""SELF_EFFECTED_ALL""), ISNUMBER(buff), job=""学者""),"&amp;"
         buff,
         1
       )
     )
   )
 )"),1.0)</f>
        <v>1</v>
      </c>
      <c r="EM49" s="200">
        <f>IFERROR(__xludf.DUMMYFUNCTION("PRODUCT(
   MAP(
     K$3:ED$3,
     K$14:ED$14,
     K$13:ED$13,
     K49:ED49,
     LAMBDA(
       job,
       buff,
       target,
       check,
       IF(
         AND(check=TRUE, REGEXMATCH(target, ""SELF_EFFECTED_GCD""), ISNUMBER(buff), job=""学者""),"&amp;"
         buff,
         1
       )
     )
   )
 )"),1.0)</f>
        <v>1</v>
      </c>
      <c r="EN49" s="200">
        <f>IFERROR(__xludf.DUMMYFUNCTION("PRODUCT(
   MAP(
     K$3:ED$3,
     K$14:ED$14,
     K$13:ED$13,
     K49:ED49,
     LAMBDA(
       job,
       buff,
       target,
       check,
       IF(
         AND(check=TRUE, REGEXMATCH(target, ""SELF_EFFECTED_ALL""), ISNUMBER(buff), job=""賢者""),"&amp;"
         buff,
         1
       )
     )
   )
 )"),1.0)</f>
        <v>1</v>
      </c>
      <c r="EO49" s="200">
        <f>IFERROR(__xludf.DUMMYFUNCTION("PRODUCT(
   MAP(
     K$3:ED$3,
     K$14:ED$14,
     K$13:ED$13,
     K49:ED49,
     LAMBDA(
       job,
       buff,
       target,
       check,
       IF(
         AND(check=TRUE, REGEXMATCH(target, ""SELF_EFFECTED_GCD""), ISNUMBER(buff), job=""賢者""),"&amp;"
         buff,
         1
       )
     )
   )
 )"),1.0)</f>
        <v>1</v>
      </c>
      <c r="EP49" s="201">
        <f t="shared" si="3"/>
        <v>0</v>
      </c>
      <c r="EQ49" s="201">
        <f>IFERROR(__xludf.DUMMYFUNCTION("SUM(
   MAP(
     K$4:ED$4,
     K$3:ED$3,
     K$7:ED$7,
     K$15:ED$15,
     K$16:ED$16,
     K$21:ED$21,
     K$5:ED$5,
     K$17:ED$17,
     K49:ED49,
     LAMBDA(
       name,
       job,
       abillity,
       buff,
       barrier,
       enhance,"&amp;"
       assign,
       precondition,
       check,
       SWITCH(
         name,
         ""シェイクオフ"", IF(check=TRUE, buff + (0.02 * COUNTIF(ARRAYFORMULA((REGEXMATCH($K$4:$ED$4, ""スリル・オブ・バトル|ヴェンジェンス|原初の血気|ダムネーション"")) * (K49:ED49=TRUE)), 1)), 0),
         "&amp;"""インプロビゼーションフィニッシュ(踊りの激情0)"", IF(ISNUMBER(check), INDEX(Skill!$AJ:$AJ, MATCH(SUBSTITUTE(DV$4, 0, check), Skill!$C:$C, 0)), 0),
         IF(
           AND(check=TRUE, REGEXMATCH(assign, ""RANGE_PARTY"")),
           IF(
             OR(ARRAYFORMULA((IF(pr"&amp;"econdition="""", FALSE, REGEXMATCH($K$4:$ED$4, precondition))) * (K49:ED49=TRUE))),
             enhance,
             IF(barrier="""", buff, barrier)
           ),
           0
         )
       ) *
       SWITCH(
         job,
         ""ナイト"", EY$24,
 "&amp;"        ""戦士"", FD$24,
         ""踊り子"", ET$24,
         ""ピクトマンサー"", ET$24,
         ""白魔道士"", EF49 * EH49 * IF(abillity, 1, EG49 * EI49) * (Option!$D$22 * 0.81 / 100),
         ""占星術師"", EF49 * EJ49 * IF(abillity, 1, EG49 * EK49) * (Option!$D$23 * 0.81 "&amp;"/ 100),
         ""学者"", EF49 * EL49 * IF(abillity, 1, EG49 * EM49) * (Option!$D$24 * 0.81 / 100),
         ""賢者"", EF49 * EN49 * IF(abillity, 1, EG49 * EO49) * (Option!$D$25 * 0.81 / 100),
         1
       )
     )
   )
 )"),0.0)</f>
        <v>0</v>
      </c>
      <c r="ER49" s="202">
        <f t="shared" si="4"/>
        <v>0</v>
      </c>
      <c r="ES49" s="203">
        <f t="shared" si="5"/>
        <v>0</v>
      </c>
      <c r="ET49" s="204" t="str">
        <f>IFERROR(__xludf.DUMMYFUNCTION("IFS(
  EP49 &gt; $ET$24 + EQ49,
  SPARKLINE({ 1, 0 }, {""charttype"",""bar"";""max"", 1;""color1"",Option!$D$30;""color2"",Option!$D$30}),
  EP49 &lt; EQ49,
  SPARKLINE({EQ49 - EP49, $ET$24 - (EQ49 - EP49)}, {""charttype"",""bar"";""max"",$ET$24;""color1"",Opti"&amp;"on!$D$28;""color2"",Option!$D$29}),
  EP49 &gt;= EQ49,
  SPARKLINE({$ET$24 + EQ49 - EP49,EP49 - EQ49}, {""charttype"",""bar"";""max"",$ET$24;""color1"",Option!$D$29;""color2"",Option!$D$30})
)"),"")</f>
        <v/>
      </c>
      <c r="EU49" s="205">
        <f>IFERROR(__xludf.DUMMYFUNCTION("PRODUCT(
   MAP(
     IF($F49=""Physical"", K$10:ED$10, IF($F49=""Magic"", K$11:ED$11, K$12:ED$12)),
     IF($F49=""Physical"", K$18:ED$18, IF($F49=""Magic"", K$19:ED$19, K$20:ED$20)),
     K$3:ED$3,
     K$5:ED$5,
     K$17:ED$17,
     K49:ED49,
     LAM"&amp;"BDA(
       mitigation,
       enhance,
       job,
       assign,
       precondition,
       check,
       IF(
         OR(AND(check=TRUE, REGEXMATCH(assign, ""SELF""), job=""ナイト""), AND(check=Option!$E$13, REGEXMATCH(assign, ""SINGLE_PARTY""))),
      "&amp;"   IF(
           OR(ARRAYFORMULA((IF(precondition="""", FALSE, REGEXMATCH($K$4:$ED$4, precondition))) * (K49:ED49=TRUE))),
           enhance,
           mitigation
         ),
         1
       )
     )
   )
 ) * EE49"),1.0)</f>
        <v>1</v>
      </c>
      <c r="EV49" s="206">
        <f t="shared" si="6"/>
        <v>0</v>
      </c>
      <c r="EW49" s="205">
        <f>IFERROR(__xludf.DUMMYFUNCTION("PRODUCT(
   MAP(
     K$3:ED$3,
     K$14:ED$14,
     K$13:ED$13,
     K49:ED49,
     LAMBDA(
       job,
       buff,
       target,
       check,
       IF(
         OR(AND(check=TRUE, REGEXMATCH(target, ""SELF_AFFECTED_ALL""), job=""ナイト""), AND(check=O"&amp;"ption!$E$13, REGEXMATCH(target, ""SINGLE_AFFECTED_ALL""))),
         buff,
         1
       )
     )
   )
 )"),1.0)</f>
        <v>1</v>
      </c>
      <c r="EX49" s="206">
        <f>IFERROR(__xludf.DUMMYFUNCTION("SUM(
   MAP(
     K$3:ED$3,
     K$7:ED$7,
     K$15:ED$15,
     K$16:ED$16,
     K$21:ED$21,
     K$5:ED$5,
     K$17:ED$17,
     K49:ED49,
     LAMBDA(
       job,
       abillity,
       buff,
       barrier,
       enhance,
       assign,
       preco"&amp;"ndition,
       check,
       IF(
         OR(AND(check=TRUE, REGEXMATCH(assign, ""SELF""), job=""ナイト""), AND(check=Option!$E$13, REGEXMATCH(assign, ""SINGLE_PARTY""))),
         IF(
           OR(ARRAYFORMULA((IF(precondition="""", FALSE, REGEXMATCH($K$4"&amp;":$ED$4, precondition))) * (K49:ED49=TRUE))),
           enhance,
           IF(barrier="""", buff, barrier)
         ),
         0
       ) *
       SWITCH(
         job,
         ""暗黒騎士"", EY$24,
         ""白魔道士"", EF49 * EH49 * EW49 * IF(abillity, 1, EG"&amp;"49 * EI49) * (Option!$D$22 * 0.81 / 100),
         ""占星術師"", EF49 * EJ49 * EW49 * IF(abillity, 1, EG49 * EK49) * (Option!$D$23 * 0.81 / 100),
         ""学者"", EF49 * EL49 * EW49 * IF(abillity, 1, EG49 * EM49) * (Option!$D$24 * 0.81 / 100),
         ""賢者"""&amp;", EF49 * EN49 * EW49 * IF(abillity, 1, EG49 * EO49) * (Option!$D$25 * 0.81 / 100),
         1
       )
     )
   )
 ) + EQ49"),0.0)</f>
        <v>0</v>
      </c>
      <c r="EY49" s="206">
        <f t="shared" si="7"/>
        <v>0</v>
      </c>
      <c r="EZ49" s="205">
        <f>IFERROR(__xludf.DUMMYFUNCTION("PRODUCT(
   MAP(
     IF($F49=""Physical"", K$10:ED$10, IF($F49=""Magic"", K$11:ED$11, K$12:ED$12)),
     IF($F49=""Physical"", K$18:ED$18, IF($F49=""Magic"", K$19:ED$19, K$20:ED$20)),
     K$3:ED$3,
     K$5:ED$5,
     K$17:ED$17,
     K49:ED49,
     LAM"&amp;"BDA(
       mitigation,
       enhance,
       job,
       assign,
       precondition,
       check,
       IF(
         OR(AND(check=TRUE, REGEXMATCH(assign, ""SELF""), job=""戦士""), AND(check=Option!$F$13, REGEXMATCH(assign, ""SINGLE_PARTY""))),
       "&amp;"  IF(
           OR(ARRAYFORMULA((IF(precondition="""", FALSE, REGEXMATCH($K$4:$ED$4, precondition))) * (K49:ED49=TRUE))),
           enhance,
           mitigation
         ),
         1
       )
     )
   )
 ) * EE49"),1.0)</f>
        <v>1</v>
      </c>
      <c r="FA49" s="206">
        <f t="shared" si="8"/>
        <v>0</v>
      </c>
      <c r="FB49" s="205">
        <f>IFERROR(__xludf.DUMMYFUNCTION("PRODUCT(
   MAP(
     K$3:ED$3,
     K$14:ED$14,
     K$13:ED$13,
     K49:ED49,
     LAMBDA(
       job,
       buff,
       target,
       check,
       IF(
         OR(AND(check=TRUE, REGEXMATCH(target, ""SELF_AFFECTED_ALL""), job=""戦士""), AND(check=Op"&amp;"tion!$F$13, REGEXMATCH(target, ""SINGLE_AFFECTED_ALL""))),
         buff,
         1
       )
     )
   )
 )"),1.0)</f>
        <v>1</v>
      </c>
      <c r="FC49" s="206">
        <f>IFERROR(__xludf.DUMMYFUNCTION("SUM(
   MAP(
     K$3:ED$3,
     K$7:ED$7,
     K$15:ED$15,
     K$16:ED$16,
     K$21:ED$21,
     K$5:ED$5,
     K$17:ED$17,
     K49:ED49,
     LAMBDA(
       job,
       abillity,
       buff,
       barrier,
       enhance,
       assign,
       preco"&amp;"ndition,
       check,
       IF(
         OR(AND(check=TRUE, REGEXMATCH(assign, ""SELF""), job=""戦士""), AND(check=Option!$F$13, REGEXMATCH(assign, ""SINGLE_PARTY""))),
         IF(
           OR(ARRAYFORMULA((IF(precondition="""", FALSE, REGEXMATCH($K$4:"&amp;"$ED$4, precondition))) * (K49:ED49=TRUE))),
           enhance,
           IF(barrier="""", buff, barrier)
         ),
         0
       ) *
       SWITCH(
         job,
         ""暗黒騎士"", FD$24,
         ""白魔道士"", EF49 * EH49 * FB49 * IF(abillity, 1, EG4"&amp;"9 * EI49) * (Option!$D$22 * 0.81 / 100),
         ""占星術師"", EF49 * EJ49 * FFB49 * IF(abillity, 1, EG49 * EK49) * (Option!$D$23 * 0.81 / 100),
         ""学者"", EF49 * EL49 * FB49 * IF(abillity, 1, EG49 * EM49) * (Option!$D$24 * 0.81 / 100),
         ""賢者"""&amp;", EF49 * EN49 * FB49 * IF(abillity, 1, EG49 * EO49) * (Option!$D$25 * 0.81 / 100),
         1
       )
     )
   )
 ) + EQ49"),0.0)</f>
        <v>0</v>
      </c>
      <c r="FD49" s="206">
        <f t="shared" si="9"/>
        <v>0</v>
      </c>
      <c r="FE49" s="205">
        <f>IFERROR(__xludf.DUMMYFUNCTION("PRODUCT(
   MAP(
     IF($F49=""Physical"", K$10:ED$10, IF($F49=""Magic"", K$11:ED$11, K$12:ED$12)),
     IF($F49=""Physical"", K$18:ED$18, IF($F49=""Magic"", K$19:ED$19, K$20:ED$20)),
     K$3:ED$3,
     K$5:ED$5,
     K$17:ED$17,
     K49:ED49,
     LAM"&amp;"BDA(
       mitigation,
       enhance,
       job,
       assign,
       precondition,
       check,
       IF(
         OR(AND(check=TRUE, REGEXMATCH(assign, ""SELF""), job=""暗黒騎士""), AND(check=Option!$G$13, REGEXMATCH(assign, ""SINGLE_PARTY""))),
     "&amp;"    IF(
           OR(ARRAYFORMULA((IF(precondition="""", FALSE, REGEXMATCH($K$4:$ED$4, precondition))) * (K49:ED49=TRUE))),
           enhance,
           mitigation
         ),
         1
       )
     )
   )
 ) * EE49"),1.0)</f>
        <v>1</v>
      </c>
      <c r="FF49" s="206">
        <f t="shared" si="10"/>
        <v>0</v>
      </c>
      <c r="FG49" s="205">
        <f>IFERROR(__xludf.DUMMYFUNCTION("PRODUCT(
   MAP(
     K$3:ED$3,
     K$14:ED$14,
     K$13:ED$13,
     K49:ED49,
     LAMBDA(
       job,
       buff,
       target,
       check,
       IF(
         OR(AND(check=TRUE, REGEXMATCH(target, ""SELF_AFFECTED_ALL""), job=""暗黒騎士""), AND(check="&amp;"Option!$G$13, REGEXMATCH(target, ""SINGLE_AFFECTED_ALL""))),
         buff,
         1
       )
     )
   )
 )"),1.0)</f>
        <v>1</v>
      </c>
      <c r="FH49" s="206">
        <f>IFERROR(__xludf.DUMMYFUNCTION("SUM(
   MAP(
     K$3:ED$3,
     K$7:ED$7,
     K$15:ED$15,
     K$16:ED$16,
     K$21:ED$21,
     K$5:ED$5,
     K$17:ED$17,
     K49:ED49,
     LAMBDA(
       job,
       abillity,
       buff,
       barrier,
       enhance,
       assign,
       preco"&amp;"ndition,
       check,
       IF(
         OR(AND(check=TRUE, REGEXMATCH(assign, ""SELF""), job=""暗黒騎士""), AND(check=Option!$G$13, REGEXMATCH(assign, ""SINGLE_PARTY""))),
         IF(
           OR(ARRAYFORMULA((IF(precondition="""", FALSE, REGEXMATCH($K$"&amp;"4:$ED$4, precondition))) * (K49:ED49=TRUE))),
           enhance,
           IF(barrier="""", buff, barrier)
         ),
         0
       ) *
       SWITCH(
         job,
         ""暗黒騎士"", FI$24,
         ""白魔道士"", EF49 * EH49 * FG49 * IF(abillity, 1, E"&amp;"G49 * EI49) * (Option!$D$22 * 0.81 / 100),
         ""占星術師"", EF49 * EJ49 * FG49 * IF(abillity, 1, EG49 * EK49) * (Option!$D$23 * 0.81 / 100),
         ""学者"", EF49 * EL49 * FG49 * IF(abillity, 1, EG49 * EM49) * (Option!$D$24 * 0.81 / 100),
         ""賢者"&amp;""", EF49 * EN49 * FG49 * IF(abillity, 1, EG49 * EO49) * (Option!$D$25 * 0.81 / 100),
         1
       )
     )
   )
 ) + EQ49"),0.0)</f>
        <v>0</v>
      </c>
      <c r="FI49" s="206">
        <f t="shared" si="11"/>
        <v>0</v>
      </c>
      <c r="FJ49" s="205">
        <f>IFERROR(__xludf.DUMMYFUNCTION("PRODUCT(
   MAP(
     IF($F49=""Physical"", K$10:ED$10, IF($F49=""Magic"", K$11:ED$11, K$12:ED$12)),
     IF($F49=""Physical"", K$18:ED$18, IF($F49=""Magic"", K$19:ED$19, K$20:ED$20)),
     K$3:ED$3,
     K$5:ED$5,
     K$17:ED$17,
     K49:ED49,
     LAM"&amp;"BDA(
       mitigation,
       enhance,
       job,
       assign,
       precondition,
       check,
       IF(
         OR(AND(check=TRUE, REGEXMATCH(assign, ""SELF""), job=""ガンブレイカー""), AND(check=Option!$H$13, REGEXMATCH(assign, ""SINGLE_PARTY""))),
  "&amp;"       IF(
           OR(ARRAYFORMULA((IF(precondition="""", FALSE, REGEXMATCH($K$4:$ED$4, precondition))) * (K49:ED49=TRUE))),
           enhance,
           mitigation
         ),
         1
       )
     )
   )
 ) * EE49"),1.0)</f>
        <v>1</v>
      </c>
      <c r="FK49" s="206">
        <f t="shared" si="12"/>
        <v>0</v>
      </c>
      <c r="FL49" s="205">
        <f>IFERROR(__xludf.DUMMYFUNCTION("PRODUCT(
   MAP(
     K$3:ED$3,
     K$14:ED$14,
     K$13:ED$13,
     K49:ED49,
     LAMBDA(
       job,
       buff,
       target,
       check,
       IF(
         OR(AND(check=TRUE, REGEXMATCH(target, ""SELF_AFFECTED_ALL""), job=""ガンブレイカー""), AND(che"&amp;"ck=Option!$H$13, REGEXMATCH(target, ""SINGLE_AFFECTED_ALL""))),
         buff,
         1
       )
     )
   )
 )"),1.0)</f>
        <v>1</v>
      </c>
      <c r="FM49" s="206">
        <f>IFERROR(__xludf.DUMMYFUNCTION("SUM(
   MAP(
     K$3:ED$3,
     K$7:ED$7,
     K$15:ED$15,
     K$16:ED$16,
     K$21:ED$21,
     K$5:ED$5,
     K$17:ED$17,
     K49:ED49,
     LAMBDA(
       job,
       abillity,
       buff,
       barrier,
       enhance,
       assign,
       preco"&amp;"ndition,
       check,
       IF(
         OR(AND(check=TRUE, REGEXMATCH(assign, ""SELF""), job=""ガンブレイカー""), AND(check=Option!$H$13, REGEXMATCH(assign, ""SINGLE_PARTY""))),
         IF(
           OR(ARRAYFORMULA((IF(precondition="""", FALSE, REGEXMATCH("&amp;"$K$4:$ED$4, precondition))) * (K49:ED49=TRUE))),
           enhance,
           IF(barrier="""", buff, barrier)
         ),
         0
       ) *
       SWITCH(
         job,
         ""暗黒騎士"", FN$24,
         ""白魔道士"", EF49 * EH49 * FL49 * IF(abillity, 1"&amp;", EG49 * EI49) * (Option!$D$22 * 0.81 / 100),
         ""占星術師"", EF49 * EJ49 * FL49 * IF(abillity, 1, EG49 * EK49) * (Option!$D$23 * 0.81 / 100),
         ""学者"", EF49 * EL49 * FL49 * IF(abillity, 1, EG49 * EM49) * (Option!$D$24 * 0.81 / 100),
         """&amp;"賢者"", EF49 * EN49 * FL49 * IF(abillity, 1, EG49 * EO49) * (Option!$D$25 * 0.81 / 100),
         1
       )
     )
   )
 ) + EQ49"),0.0)</f>
        <v>0</v>
      </c>
      <c r="FN49" s="206">
        <f t="shared" si="13"/>
        <v>0</v>
      </c>
      <c r="FO49" s="213"/>
    </row>
    <row r="50">
      <c r="B50" s="229"/>
      <c r="C50" s="217">
        <f t="shared" si="1"/>
        <v>0</v>
      </c>
      <c r="D50" s="236"/>
      <c r="E50" s="226"/>
      <c r="F50" s="167"/>
      <c r="G50" s="168" t="str">
        <f t="shared" si="2"/>
        <v/>
      </c>
      <c r="H50" s="169"/>
      <c r="I50" s="169"/>
      <c r="J50" s="169"/>
      <c r="K50" s="170" t="b">
        <v>0</v>
      </c>
      <c r="L50" s="170" t="b">
        <v>0</v>
      </c>
      <c r="M50" s="170" t="b">
        <v>0</v>
      </c>
      <c r="N50" s="171" t="s">
        <v>1070</v>
      </c>
      <c r="O50" s="172" t="b">
        <v>0</v>
      </c>
      <c r="P50" s="173" t="b">
        <v>0</v>
      </c>
      <c r="Q50" s="173" t="b">
        <v>0</v>
      </c>
      <c r="R50" s="173" t="b">
        <v>0</v>
      </c>
      <c r="S50" s="174" t="b">
        <v>0</v>
      </c>
      <c r="T50" s="175" t="b">
        <v>0</v>
      </c>
      <c r="U50" s="173" t="b">
        <v>0</v>
      </c>
      <c r="V50" s="171" t="s">
        <v>1070</v>
      </c>
      <c r="W50" s="172" t="b">
        <v>0</v>
      </c>
      <c r="X50" s="173" t="b">
        <v>0</v>
      </c>
      <c r="Y50" s="173" t="b">
        <v>0</v>
      </c>
      <c r="Z50" s="173" t="b">
        <v>0</v>
      </c>
      <c r="AA50" s="174" t="b">
        <v>0</v>
      </c>
      <c r="AB50" s="174" t="b">
        <v>0</v>
      </c>
      <c r="AC50" s="175" t="b">
        <v>0</v>
      </c>
      <c r="AD50" s="173" t="b">
        <v>0</v>
      </c>
      <c r="AE50" s="176" t="s">
        <v>1070</v>
      </c>
      <c r="AF50" s="171" t="s">
        <v>1070</v>
      </c>
      <c r="AG50" s="177">
        <f>IFERROR(__xludf.DUMMYFUNCTION("IF(
  ISNUMBER(AG49),
  MIN(MAX(
    AG49
    + MAX(
      ROUNDDOWN(($D50 - MAX(IFERROR(FILTER($D$24:$D49, AG$24:AG49 &lt;&gt; AF$6, AG$23:AG48 = AF$6), 0))) * (60 * 60 * 24) / AF$9) - ROUNDDOWN(($D49 - MAX(IFERROR(FILTER($D$23:$D48, AG$23:AG48 &lt;&gt; AF$6, AG$22:"&amp;"AG47 = AF$6), 0))) * (60 * 60 * 24) / 60),
      0
    )
    - COUNTIF(AF50, ""&lt;&gt;-""),
  0), AF$6),
  AF$6 - COUNTIF(AF50, ""&lt;&gt;-"")
)"),2.0)</f>
        <v>2</v>
      </c>
      <c r="AH50" s="173" t="b">
        <v>0</v>
      </c>
      <c r="AI50" s="173" t="b">
        <v>0</v>
      </c>
      <c r="AJ50" s="173" t="b">
        <v>0</v>
      </c>
      <c r="AK50" s="174" t="b">
        <v>0</v>
      </c>
      <c r="AL50" s="175" t="b">
        <v>0</v>
      </c>
      <c r="AM50" s="173" t="b">
        <v>0</v>
      </c>
      <c r="AN50" s="171" t="s">
        <v>1070</v>
      </c>
      <c r="AO50" s="173" t="b">
        <v>0</v>
      </c>
      <c r="AP50" s="173" t="b">
        <v>0</v>
      </c>
      <c r="AQ50" s="173" t="b">
        <v>0</v>
      </c>
      <c r="AR50" s="174" t="b">
        <v>0</v>
      </c>
      <c r="AS50" s="178" t="b">
        <v>0</v>
      </c>
      <c r="AT50" s="179" t="b">
        <v>0</v>
      </c>
      <c r="AU50" s="180" t="b">
        <v>0</v>
      </c>
      <c r="AV50" s="180" t="b">
        <v>0</v>
      </c>
      <c r="AW50" s="180" t="b">
        <v>0</v>
      </c>
      <c r="AX50" s="180" t="b">
        <v>0</v>
      </c>
      <c r="AY50" s="181" t="s">
        <v>1070</v>
      </c>
      <c r="AZ50" s="181" t="s">
        <v>1070</v>
      </c>
      <c r="BA50" s="184">
        <f>IFERROR(__xludf.DUMMYFUNCTION("IF(
  ISNUMBER(BA49),
  MIN(MAX(
    BA49
    + MAX(
      ROUNDDOWN((D50 - MAX(IFERROR(FILTER(D$24:D49, BA$24:BA49 &lt;&gt; AZ$6, BA$23:BA48 = AZ$6), 0))) * (60 * 60 * 24) / AZ$9) - ROUNDDOWN((D49 - MAX(IFERROR(FILTER(D$23:D48, BA$23:BA48 &lt;&gt; AZ$6, BA$22:BA47 ="&amp;" AZ$6), 0))) * (60 * 60 * 24) / AZ$9),
      0
    )
    - COUNTIF(AZ50, ""&lt;&gt;-""),
  0), AZ$6),
  AZ$6 - COUNTIF(AZ50, ""&lt;&gt;-"")
)"),2.0)</f>
        <v>2</v>
      </c>
      <c r="BB50" s="181" t="s">
        <v>1070</v>
      </c>
      <c r="BC50" s="183">
        <f>IFERROR(__xludf.DUMMYFUNCTION("IF(
  ISNUMBER(BC49),
  MIN(MAX(
    BC49
    + MAX(
      ROUNDDOWN(($D50 - MAX(IFERROR(FILTER($D$24:$D49, BC$24:BC49 &lt;&gt; BB$6, BC$23:BC48 = BB$6), 0))) * (60 * 60 * 24) / BB$9) - ROUNDDOWN(($D49 - MAX(IFERROR(FILTER($D$23:$D48, BC$23:BC48 &lt;&gt; BB$6, BC$22:"&amp;"BC47 = BB$6), 0))) * (60 * 60 * 24) / 60),
      0
    )
    - COUNTIF(BB50, ""&lt;&gt;-""),
  0), BB$6),
  BB$6 - COUNTIF(BB50, ""&lt;&gt;-"")
)"),2.0)</f>
        <v>2</v>
      </c>
      <c r="BD50" s="181" t="s">
        <v>1070</v>
      </c>
      <c r="BE50" s="178" t="b">
        <v>0</v>
      </c>
      <c r="BF50" s="180" t="b">
        <v>0</v>
      </c>
      <c r="BG50" s="180" t="b">
        <v>0</v>
      </c>
      <c r="BH50" s="180" t="b">
        <v>0</v>
      </c>
      <c r="BI50" s="180" t="b">
        <v>0</v>
      </c>
      <c r="BJ50" s="180" t="b">
        <v>0</v>
      </c>
      <c r="BK50" s="180" t="b">
        <v>0</v>
      </c>
      <c r="BL50" s="180" t="b">
        <v>0</v>
      </c>
      <c r="BM50" s="180" t="b">
        <v>0</v>
      </c>
      <c r="BN50" s="180" t="b">
        <v>0</v>
      </c>
      <c r="BO50" s="181" t="s">
        <v>1070</v>
      </c>
      <c r="BP50" s="181" t="s">
        <v>1070</v>
      </c>
      <c r="BQ50" s="181" t="s">
        <v>1070</v>
      </c>
      <c r="BR50" s="181" t="s">
        <v>1070</v>
      </c>
      <c r="BS50" s="181" t="s">
        <v>1070</v>
      </c>
      <c r="BT50" s="184">
        <f>IFERROR(__xludf.DUMMYFUNCTION("IF(
  ISNUMBER(BT49),
  MIN(MAX(
    BT49
    + MAX(
      ROUNDDOWN((D50 - MAX(IFERROR(FILTER(D$24:D49, BT$24:BT49 &lt;&gt; BS$6, BT$23:BT48 = BS$6), 0))) * (60 * 60 * 24) / BS$9) - ROUNDDOWN((D49 - MAX(IFERROR(FILTER(D$23:D48, BT$23:BT48 &lt;&gt; BS$6, BT$22:BT47 ="&amp;" BS$6), 0))) * (60 * 60 * 24) / BS$9),
      0
    )
    - COUNTIF(BS50, ""&lt;&gt;-""),
  0), BS$6),
  BS$6 - COUNTIF(BS50, ""&lt;&gt;-"")
)"),3.0)</f>
        <v>3</v>
      </c>
      <c r="BU50" s="181" t="s">
        <v>1070</v>
      </c>
      <c r="BV50" s="181" t="s">
        <v>1070</v>
      </c>
      <c r="BW50" s="184">
        <f>IFERROR(__xludf.DUMMYFUNCTION("IF(
  ISNUMBER(BW49),
  MIN(MAX(
    BW49
    + MAX(
      ROUNDDOWN((D50 - MAX(IFERROR(FILTER(D$24:D49, BW$24:BW49 &lt;&gt; BV$6, BW$23:BW48 = BV$6), 0))) * (60 * 60 * 24) / BV$9) - ROUNDDOWN((D49 - MAX(IFERROR(FILTER(D$23:D48, BW$23:BW48 &lt;&gt; BV$6, BW$22:BW47 ="&amp;" BV$6), 0))) * (60 * 60 * 24) / BV$9),
      0
    )
    - COUNTIF(BV50, ""&lt;&gt;-""),
  0), BV$6),
  BV$6 - COUNTIF(BV50, ""&lt;&gt;-"")
)"),2.0)</f>
        <v>2</v>
      </c>
      <c r="BX50" s="185" t="s">
        <v>1070</v>
      </c>
      <c r="BY50" s="178" t="b">
        <v>0</v>
      </c>
      <c r="BZ50" s="180" t="b">
        <v>0</v>
      </c>
      <c r="CA50" s="180" t="b">
        <v>0</v>
      </c>
      <c r="CB50" s="180" t="b">
        <v>0</v>
      </c>
      <c r="CC50" s="180" t="b">
        <v>0</v>
      </c>
      <c r="CD50" s="180" t="b">
        <v>0</v>
      </c>
      <c r="CE50" s="180" t="b">
        <v>0</v>
      </c>
      <c r="CF50" s="180" t="b">
        <v>0</v>
      </c>
      <c r="CG50" s="180" t="b">
        <v>0</v>
      </c>
      <c r="CH50" s="180" t="b">
        <v>0</v>
      </c>
      <c r="CI50" s="180" t="b">
        <v>0</v>
      </c>
      <c r="CJ50" s="180" t="b">
        <v>0</v>
      </c>
      <c r="CK50" s="180" t="b">
        <v>0</v>
      </c>
      <c r="CL50" s="180" t="b">
        <v>0</v>
      </c>
      <c r="CM50" s="181" t="s">
        <v>1070</v>
      </c>
      <c r="CN50" s="181" t="s">
        <v>1070</v>
      </c>
      <c r="CO50" s="181" t="s">
        <v>1070</v>
      </c>
      <c r="CP50" s="181" t="s">
        <v>1070</v>
      </c>
      <c r="CQ50" s="185" t="s">
        <v>1070</v>
      </c>
      <c r="CR50" s="180" t="b">
        <v>0</v>
      </c>
      <c r="CS50" s="186" t="str">
        <f t="shared" si="14"/>
        <v>◇◇◇</v>
      </c>
      <c r="CT50" s="178" t="b">
        <v>0</v>
      </c>
      <c r="CU50" s="180" t="b">
        <v>0</v>
      </c>
      <c r="CV50" s="180" t="b">
        <v>0</v>
      </c>
      <c r="CW50" s="180" t="b">
        <v>0</v>
      </c>
      <c r="CX50" s="180" t="b">
        <v>0</v>
      </c>
      <c r="CY50" s="180" t="b">
        <v>0</v>
      </c>
      <c r="CZ50" s="180" t="b">
        <v>0</v>
      </c>
      <c r="DA50" s="180" t="b">
        <v>0</v>
      </c>
      <c r="DB50" s="180" t="b">
        <v>0</v>
      </c>
      <c r="DC50" s="180" t="b">
        <v>0</v>
      </c>
      <c r="DD50" s="181" t="s">
        <v>1070</v>
      </c>
      <c r="DE50" s="181" t="s">
        <v>1070</v>
      </c>
      <c r="DF50" s="181" t="s">
        <v>1070</v>
      </c>
      <c r="DG50" s="185" t="s">
        <v>1070</v>
      </c>
      <c r="DH50" s="180" t="b">
        <v>0</v>
      </c>
      <c r="DI50" s="187" t="str">
        <f>IFERROR(__xludf.DUMMYFUNCTION("SWITCH(
  IF(
    ISTEXT(DI49),
    IF (
      FIND(""○"", DI49&amp;""○"") &gt; 3,
      3,
      FIND(""○"", DI49&amp;""○"")
      + MAX(
        ROUNDDOWN(($D50 - MAX(IFERROR(FILTER(D$24:D49, DI$24:DI49 &lt;&gt; ""●●●"", DI$23:DI48 = ""●●●""), 0))) * (60 * 60 * 24) / 20"&amp;") - ROUNDDOWN(($D49 - MAX(IFERROR(FILTER(D$23:D48, DI$23:DI48 &lt;&gt; ""●●●"", DI$22:DI47 = ""●●●""), 0))) * (60 * 60 * 24) / 20),
        0
      ) - 1
    ) - COUNTIFS(CU50, ""=TRUE"", CU49, ""&lt;&gt;TRUE"") - COUNTIF(CZ50, ""=TRUE"") - COUNTIF({DD50,DE50}, ""&lt;&gt;-"&amp;""") + COUNTIF(DH50, ""=TRUE""),
    3
  ),
  0, ""○○○"", 1, ""●○○"", 2, ""●●○"", 3, ""●●●"", 4, ""●●●"", ""○○○""
)"),"●●●")</f>
        <v>●●●</v>
      </c>
      <c r="DJ50" s="188" t="b">
        <v>0</v>
      </c>
      <c r="DK50" s="189" t="b">
        <v>0</v>
      </c>
      <c r="DL50" s="190" t="b">
        <v>0</v>
      </c>
      <c r="DM50" s="190" t="b">
        <v>0</v>
      </c>
      <c r="DN50" s="190" t="b">
        <v>0</v>
      </c>
      <c r="DO50" s="190" t="b">
        <v>0</v>
      </c>
      <c r="DP50" s="190" t="b">
        <v>0</v>
      </c>
      <c r="DQ50" s="191" t="b">
        <v>0</v>
      </c>
      <c r="DR50" s="192" t="b">
        <v>0</v>
      </c>
      <c r="DS50" s="191" t="b">
        <v>0</v>
      </c>
      <c r="DT50" s="192" t="b">
        <v>0</v>
      </c>
      <c r="DU50" s="191" t="b">
        <v>0</v>
      </c>
      <c r="DV50" s="193" t="s">
        <v>1070</v>
      </c>
      <c r="DW50" s="194" t="b">
        <v>0</v>
      </c>
      <c r="DX50" s="194" t="b">
        <v>0</v>
      </c>
      <c r="DY50" s="195" t="b">
        <v>0</v>
      </c>
      <c r="DZ50" s="196" t="b">
        <v>0</v>
      </c>
      <c r="EA50" s="195" t="b">
        <v>0</v>
      </c>
      <c r="EB50" s="197" t="b">
        <v>0</v>
      </c>
      <c r="EC50" s="197" t="b">
        <v>0</v>
      </c>
      <c r="ED50" s="212" t="b">
        <v>0</v>
      </c>
      <c r="EE50" s="199">
        <f>IFERROR(__xludf.DUMMYFUNCTION("IFERROR(
   PRODUCT(
     MAP(
       INDEX(TRANSPOSE(UNIQUE(TRANSPOSE(FILTER({IF($F50=""Physical"", K$10:ED$10, IF($F50=""Magic"", K$11:ED$11, K$12:ED$12));K$4:ED$4;K50:ED50}, K50:ED50=TRUE)))), 1, 0),
       INDEX(TRANSPOSE(UNIQUE(TRANSPOSE(FILTER({IF($"&amp;"F50=""Physical"", K$18:ED$18, IF($F50=""Magic"", K$19:ED$19, K$20:ED$20));K$4:ED$4;K50:ED50}, K50:ED50=TRUE)))), 1, 0),
       INDEX(TRANSPOSE(UNIQUE(TRANSPOSE(FILTER({K$5:ED$5;K$4:ED$4;K50:ED50}, K50:ED50=TRUE)))), 1, 0),
       INDEX(TRANSPOSE(UNIQUE(TR"&amp;"ANSPOSE(FILTER({K$17:ED$17;K$4:ED$4;K50:ED50}, K50:ED50=TRUE)))), 1, 0),
       LAMBDA(
         mitigation,
         enhance,
         assign,
         precondition,
         IF(
           REGEXMATCH(assign, ""RANGE_PARTY|SINGLE_ENEMY|RANGE_ENEMY""),
  "&amp;"         IF(
             OR(ARRAYFORMULA((IF(precondition="""", FALSE, REGEXMATCH(K$4:ED$4, precondition))) * (K50:ED50=TRUE))),
             IF(ISNUMBER(enhance), enhance, 1),
             IF(ISNUMBER(mitigation), mitigation, 1)
           ),
          "&amp;" 1
         )
       )
     )
   ),
   1
 )"),1.0)</f>
        <v>1</v>
      </c>
      <c r="EF50" s="200">
        <f>IFERROR(__xludf.DUMMYFUNCTION("PRODUCT(
   MAP(
     K$14:ED$14,
     K$13:ED$13,
     K50:ED50,
     LAMBDA(
       buff,
       target,
       check,
       IF(
         AND(check=TRUE, REGEXMATCH(target, ""RANGE_AFFECTED_ALL|RANGE_EFFECTED_ALL""), ISNUMBER(buff)),
         buff,
   "&amp;"      1
       )
     )
   )
 )"),1.0)</f>
        <v>1</v>
      </c>
      <c r="EG50" s="200">
        <f>IFERROR(__xludf.DUMMYFUNCTION("PRODUCT(
   MAP(
     K$14:ED$14,
     K$13:ED$13,
     K50:ED50,
     LAMBDA(
       buff,
       target,
       check,
       IF(
         AND(check=TRUE, REGEXMATCH(target, ""RANGE_AFFECTED_GCD|RANGE_EFFECTED_GCD""), ISNUMBER(buff)),
         buff,
   "&amp;"      1
       )
     )
   )
 )"),1.0)</f>
        <v>1</v>
      </c>
      <c r="EH50" s="200">
        <f>IFERROR(__xludf.DUMMYFUNCTION("PRODUCT(
   MAP(
     K$3:ED$3,
     K$14:ED$14,
     K$13:ED$13,
     K50:ED50,
     LAMBDA(
       job,
       buff,
       target,
       check,
       IF(
         AND(check=TRUE, REGEXMATCH(target, ""SELF_EFFECTED_ALL""), ISNUMBER(buff), job=""白魔道士"""&amp;"),
         buff,
         1
       )
     )
   )
 )"),1.0)</f>
        <v>1</v>
      </c>
      <c r="EI50" s="200">
        <f>IFERROR(__xludf.DUMMYFUNCTION("PRODUCT(
   MAP(
     K$3:ED$3,
     K$14:ED$14,
     K$13:ED$13,
     K50:ED50,
     LAMBDA(
       job,
       buff,
       target,
       check,
       IF(
         AND(check=TRUE, REGEXMATCH(target, ""SELF_EFFECTED_GCD""), ISNUMBER(buff), job=""白魔道士"""&amp;"),
         buff,
         1
       )
     )
   )
 )"),1.0)</f>
        <v>1</v>
      </c>
      <c r="EJ50" s="200">
        <f>IFERROR(__xludf.DUMMYFUNCTION("PRODUCT(
   MAP(
     K$3:ED$3,
     K$14:ED$14,
     K$13:ED$13,
     K50:ED50,
     LAMBDA(
       job,
       buff,
       target,
       check,
       IF(
         AND(check=TRUE, REGEXMATCH(target, ""SELF_EFFECTED_ALL""), ISNUMBER(buff), job=""占星術師"""&amp;"),
         buff,
         1
       )
     )
   )
 )"),1.0)</f>
        <v>1</v>
      </c>
      <c r="EK50" s="200">
        <f>IFERROR(__xludf.DUMMYFUNCTION("PRODUCT(
   MAP(
     K$3:ED$3,
     K$14:ED$14,
     K$13:ED$13,
     K50:ED50,
     LAMBDA(
       job,
       buff,
       target,
       check,
       IF(
         AND(check=TRUE, REGEXMATCH(target, ""SELF_EFFECTED_GCD""), ISNUMBER(buff), job=""占星術師"""&amp;"),
         buff,
         1
       )
     )
   )
 )"),1.0)</f>
        <v>1</v>
      </c>
      <c r="EL50" s="200">
        <f>IFERROR(__xludf.DUMMYFUNCTION("PRODUCT(
   MAP(
     K$3:ED$3,
     K$14:ED$14,
     K$13:ED$13,
     K50:ED50,
     LAMBDA(
       job,
       buff,
       target,
       check,
       IF(
         AND(check=TRUE, REGEXMATCH(target, ""SELF_EFFECTED_ALL""), ISNUMBER(buff), job=""学者""),"&amp;"
         buff,
         1
       )
     )
   )
 )"),1.0)</f>
        <v>1</v>
      </c>
      <c r="EM50" s="200">
        <f>IFERROR(__xludf.DUMMYFUNCTION("PRODUCT(
   MAP(
     K$3:ED$3,
     K$14:ED$14,
     K$13:ED$13,
     K50:ED50,
     LAMBDA(
       job,
       buff,
       target,
       check,
       IF(
         AND(check=TRUE, REGEXMATCH(target, ""SELF_EFFECTED_GCD""), ISNUMBER(buff), job=""学者""),"&amp;"
         buff,
         1
       )
     )
   )
 )"),1.0)</f>
        <v>1</v>
      </c>
      <c r="EN50" s="200">
        <f>IFERROR(__xludf.DUMMYFUNCTION("PRODUCT(
   MAP(
     K$3:ED$3,
     K$14:ED$14,
     K$13:ED$13,
     K50:ED50,
     LAMBDA(
       job,
       buff,
       target,
       check,
       IF(
         AND(check=TRUE, REGEXMATCH(target, ""SELF_EFFECTED_ALL""), ISNUMBER(buff), job=""賢者""),"&amp;"
         buff,
         1
       )
     )
   )
 )"),1.0)</f>
        <v>1</v>
      </c>
      <c r="EO50" s="200">
        <f>IFERROR(__xludf.DUMMYFUNCTION("PRODUCT(
   MAP(
     K$3:ED$3,
     K$14:ED$14,
     K$13:ED$13,
     K50:ED50,
     LAMBDA(
       job,
       buff,
       target,
       check,
       IF(
         AND(check=TRUE, REGEXMATCH(target, ""SELF_EFFECTED_GCD""), ISNUMBER(buff), job=""賢者""),"&amp;"
         buff,
         1
       )
     )
   )
 )"),1.0)</f>
        <v>1</v>
      </c>
      <c r="EP50" s="201">
        <f t="shared" si="3"/>
        <v>0</v>
      </c>
      <c r="EQ50" s="201">
        <f>IFERROR(__xludf.DUMMYFUNCTION("SUM(
   MAP(
     K$4:ED$4,
     K$3:ED$3,
     K$7:ED$7,
     K$15:ED$15,
     K$16:ED$16,
     K$21:ED$21,
     K$5:ED$5,
     K$17:ED$17,
     K50:ED50,
     LAMBDA(
       name,
       job,
       abillity,
       buff,
       barrier,
       enhance,"&amp;"
       assign,
       precondition,
       check,
       SWITCH(
         name,
         ""シェイクオフ"", IF(check=TRUE, buff + (0.02 * COUNTIF(ARRAYFORMULA((REGEXMATCH($K$4:$ED$4, ""スリル・オブ・バトル|ヴェンジェンス|原初の血気|ダムネーション"")) * (K50:ED50=TRUE)), 1)), 0),
         "&amp;"""インプロビゼーションフィニッシュ(踊りの激情0)"", IF(ISNUMBER(check), INDEX(Skill!$AJ:$AJ, MATCH(SUBSTITUTE(DV$4, 0, check), Skill!$C:$C, 0)), 0),
         IF(
           AND(check=TRUE, REGEXMATCH(assign, ""RANGE_PARTY"")),
           IF(
             OR(ARRAYFORMULA((IF(pr"&amp;"econdition="""", FALSE, REGEXMATCH($K$4:$ED$4, precondition))) * (K50:ED50=TRUE))),
             enhance,
             IF(barrier="""", buff, barrier)
           ),
           0
         )
       ) *
       SWITCH(
         job,
         ""ナイト"", EY$24,
 "&amp;"        ""戦士"", FD$24,
         ""踊り子"", ET$24,
         ""ピクトマンサー"", ET$24,
         ""白魔道士"", EF50 * EH50 * IF(abillity, 1, EG50 * EI50) * (Option!$D$22 * 0.81 / 100),
         ""占星術師"", EF50 * EJ50 * IF(abillity, 1, EG50 * EK50) * (Option!$D$23 * 0.81 "&amp;"/ 100),
         ""学者"", EF50 * EL50 * IF(abillity, 1, EG50 * EM50) * (Option!$D$24 * 0.81 / 100),
         ""賢者"", EF50 * EN50 * IF(abillity, 1, EG50 * EO50) * (Option!$D$25 * 0.81 / 100),
         1
       )
     )
   )
 )"),0.0)</f>
        <v>0</v>
      </c>
      <c r="ER50" s="202">
        <f t="shared" si="4"/>
        <v>0</v>
      </c>
      <c r="ES50" s="203">
        <f t="shared" si="5"/>
        <v>0</v>
      </c>
      <c r="ET50" s="204" t="str">
        <f>IFERROR(__xludf.DUMMYFUNCTION("IFS(
  EP50 &gt; $ET$24 + EQ50,
  SPARKLINE({ 1, 0 }, {""charttype"",""bar"";""max"", 1;""color1"",Option!$D$30;""color2"",Option!$D$30}),
  EP50 &lt; EQ50,
  SPARKLINE({EQ50 - EP50, $ET$24 - (EQ50 - EP50)}, {""charttype"",""bar"";""max"",$ET$24;""color1"",Opti"&amp;"on!$D$28;""color2"",Option!$D$29}),
  EP50 &gt;= EQ50,
  SPARKLINE({$ET$24 + EQ50 - EP50,EP50 - EQ50}, {""charttype"",""bar"";""max"",$ET$24;""color1"",Option!$D$29;""color2"",Option!$D$30})
)"),"")</f>
        <v/>
      </c>
      <c r="EU50" s="205">
        <f>IFERROR(__xludf.DUMMYFUNCTION("PRODUCT(
   MAP(
     IF($F50=""Physical"", K$10:ED$10, IF($F50=""Magic"", K$11:ED$11, K$12:ED$12)),
     IF($F50=""Physical"", K$18:ED$18, IF($F50=""Magic"", K$19:ED$19, K$20:ED$20)),
     K$3:ED$3,
     K$5:ED$5,
     K$17:ED$17,
     K50:ED50,
     LAM"&amp;"BDA(
       mitigation,
       enhance,
       job,
       assign,
       precondition,
       check,
       IF(
         OR(AND(check=TRUE, REGEXMATCH(assign, ""SELF""), job=""ナイト""), AND(check=Option!$E$13, REGEXMATCH(assign, ""SINGLE_PARTY""))),
      "&amp;"   IF(
           OR(ARRAYFORMULA((IF(precondition="""", FALSE, REGEXMATCH($K$4:$ED$4, precondition))) * (K50:ED50=TRUE))),
           enhance,
           mitigation
         ),
         1
       )
     )
   )
 ) * EE50"),1.0)</f>
        <v>1</v>
      </c>
      <c r="EV50" s="206">
        <f t="shared" si="6"/>
        <v>0</v>
      </c>
      <c r="EW50" s="205">
        <f>IFERROR(__xludf.DUMMYFUNCTION("PRODUCT(
   MAP(
     K$3:ED$3,
     K$14:ED$14,
     K$13:ED$13,
     K50:ED50,
     LAMBDA(
       job,
       buff,
       target,
       check,
       IF(
         OR(AND(check=TRUE, REGEXMATCH(target, ""SELF_AFFECTED_ALL""), job=""ナイト""), AND(check=O"&amp;"ption!$E$13, REGEXMATCH(target, ""SINGLE_AFFECTED_ALL""))),
         buff,
         1
       )
     )
   )
 )"),1.0)</f>
        <v>1</v>
      </c>
      <c r="EX50" s="206">
        <f>IFERROR(__xludf.DUMMYFUNCTION("SUM(
   MAP(
     K$3:ED$3,
     K$7:ED$7,
     K$15:ED$15,
     K$16:ED$16,
     K$21:ED$21,
     K$5:ED$5,
     K$17:ED$17,
     K50:ED50,
     LAMBDA(
       job,
       abillity,
       buff,
       barrier,
       enhance,
       assign,
       preco"&amp;"ndition,
       check,
       IF(
         OR(AND(check=TRUE, REGEXMATCH(assign, ""SELF""), job=""ナイト""), AND(check=Option!$E$13, REGEXMATCH(assign, ""SINGLE_PARTY""))),
         IF(
           OR(ARRAYFORMULA((IF(precondition="""", FALSE, REGEXMATCH($K$4"&amp;":$ED$4, precondition))) * (K50:ED50=TRUE))),
           enhance,
           IF(barrier="""", buff, barrier)
         ),
         0
       ) *
       SWITCH(
         job,
         ""暗黒騎士"", EY$24,
         ""白魔道士"", EF50 * EH50 * EW50 * IF(abillity, 1, EG"&amp;"50 * EI50) * (Option!$D$22 * 0.81 / 100),
         ""占星術師"", EF50 * EJ50 * EW50 * IF(abillity, 1, EG50 * EK50) * (Option!$D$23 * 0.81 / 100),
         ""学者"", EF50 * EL50 * EW50 * IF(abillity, 1, EG50 * EM50) * (Option!$D$24 * 0.81 / 100),
         ""賢者"""&amp;", EF50 * EN50 * EW50 * IF(abillity, 1, EG50 * EO50) * (Option!$D$25 * 0.81 / 100),
         1
       )
     )
   )
 ) + EQ50"),0.0)</f>
        <v>0</v>
      </c>
      <c r="EY50" s="206">
        <f t="shared" si="7"/>
        <v>0</v>
      </c>
      <c r="EZ50" s="205">
        <f>IFERROR(__xludf.DUMMYFUNCTION("PRODUCT(
   MAP(
     IF($F50=""Physical"", K$10:ED$10, IF($F50=""Magic"", K$11:ED$11, K$12:ED$12)),
     IF($F50=""Physical"", K$18:ED$18, IF($F50=""Magic"", K$19:ED$19, K$20:ED$20)),
     K$3:ED$3,
     K$5:ED$5,
     K$17:ED$17,
     K50:ED50,
     LAM"&amp;"BDA(
       mitigation,
       enhance,
       job,
       assign,
       precondition,
       check,
       IF(
         OR(AND(check=TRUE, REGEXMATCH(assign, ""SELF""), job=""戦士""), AND(check=Option!$F$13, REGEXMATCH(assign, ""SINGLE_PARTY""))),
       "&amp;"  IF(
           OR(ARRAYFORMULA((IF(precondition="""", FALSE, REGEXMATCH($K$4:$ED$4, precondition))) * (K50:ED50=TRUE))),
           enhance,
           mitigation
         ),
         1
       )
     )
   )
 ) * EE50"),1.0)</f>
        <v>1</v>
      </c>
      <c r="FA50" s="206">
        <f t="shared" si="8"/>
        <v>0</v>
      </c>
      <c r="FB50" s="205">
        <f>IFERROR(__xludf.DUMMYFUNCTION("PRODUCT(
   MAP(
     K$3:ED$3,
     K$14:ED$14,
     K$13:ED$13,
     K50:ED50,
     LAMBDA(
       job,
       buff,
       target,
       check,
       IF(
         OR(AND(check=TRUE, REGEXMATCH(target, ""SELF_AFFECTED_ALL""), job=""戦士""), AND(check=Op"&amp;"tion!$F$13, REGEXMATCH(target, ""SINGLE_AFFECTED_ALL""))),
         buff,
         1
       )
     )
   )
 )"),1.0)</f>
        <v>1</v>
      </c>
      <c r="FC50" s="206">
        <f>IFERROR(__xludf.DUMMYFUNCTION("SUM(
   MAP(
     K$3:ED$3,
     K$7:ED$7,
     K$15:ED$15,
     K$16:ED$16,
     K$21:ED$21,
     K$5:ED$5,
     K$17:ED$17,
     K50:ED50,
     LAMBDA(
       job,
       abillity,
       buff,
       barrier,
       enhance,
       assign,
       preco"&amp;"ndition,
       check,
       IF(
         OR(AND(check=TRUE, REGEXMATCH(assign, ""SELF""), job=""戦士""), AND(check=Option!$F$13, REGEXMATCH(assign, ""SINGLE_PARTY""))),
         IF(
           OR(ARRAYFORMULA((IF(precondition="""", FALSE, REGEXMATCH($K$4:"&amp;"$ED$4, precondition))) * (K50:ED50=TRUE))),
           enhance,
           IF(barrier="""", buff, barrier)
         ),
         0
       ) *
       SWITCH(
         job,
         ""暗黒騎士"", FD$24,
         ""白魔道士"", EF50 * EH50 * FB50 * IF(abillity, 1, EG5"&amp;"0 * EI50) * (Option!$D$22 * 0.81 / 100),
         ""占星術師"", EF50 * EJ50 * FFB50 * IF(abillity, 1, EG50 * EK50) * (Option!$D$23 * 0.81 / 100),
         ""学者"", EF50 * EL50 * FB50 * IF(abillity, 1, EG50 * EM50) * (Option!$D$24 * 0.81 / 100),
         ""賢者"""&amp;", EF50 * EN50 * FB50 * IF(abillity, 1, EG50 * EO50) * (Option!$D$25 * 0.81 / 100),
         1
       )
     )
   )
 ) + EQ50"),0.0)</f>
        <v>0</v>
      </c>
      <c r="FD50" s="206">
        <f t="shared" si="9"/>
        <v>0</v>
      </c>
      <c r="FE50" s="205">
        <f>IFERROR(__xludf.DUMMYFUNCTION("PRODUCT(
   MAP(
     IF($F50=""Physical"", K$10:ED$10, IF($F50=""Magic"", K$11:ED$11, K$12:ED$12)),
     IF($F50=""Physical"", K$18:ED$18, IF($F50=""Magic"", K$19:ED$19, K$20:ED$20)),
     K$3:ED$3,
     K$5:ED$5,
     K$17:ED$17,
     K50:ED50,
     LAM"&amp;"BDA(
       mitigation,
       enhance,
       job,
       assign,
       precondition,
       check,
       IF(
         OR(AND(check=TRUE, REGEXMATCH(assign, ""SELF""), job=""暗黒騎士""), AND(check=Option!$G$13, REGEXMATCH(assign, ""SINGLE_PARTY""))),
     "&amp;"    IF(
           OR(ARRAYFORMULA((IF(precondition="""", FALSE, REGEXMATCH($K$4:$ED$4, precondition))) * (K50:ED50=TRUE))),
           enhance,
           mitigation
         ),
         1
       )
     )
   )
 ) * EE50"),1.0)</f>
        <v>1</v>
      </c>
      <c r="FF50" s="206">
        <f t="shared" si="10"/>
        <v>0</v>
      </c>
      <c r="FG50" s="205">
        <f>IFERROR(__xludf.DUMMYFUNCTION("PRODUCT(
   MAP(
     K$3:ED$3,
     K$14:ED$14,
     K$13:ED$13,
     K50:ED50,
     LAMBDA(
       job,
       buff,
       target,
       check,
       IF(
         OR(AND(check=TRUE, REGEXMATCH(target, ""SELF_AFFECTED_ALL""), job=""暗黒騎士""), AND(check="&amp;"Option!$G$13, REGEXMATCH(target, ""SINGLE_AFFECTED_ALL""))),
         buff,
         1
       )
     )
   )
 )"),1.0)</f>
        <v>1</v>
      </c>
      <c r="FH50" s="206">
        <f>IFERROR(__xludf.DUMMYFUNCTION("SUM(
   MAP(
     K$3:ED$3,
     K$7:ED$7,
     K$15:ED$15,
     K$16:ED$16,
     K$21:ED$21,
     K$5:ED$5,
     K$17:ED$17,
     K50:ED50,
     LAMBDA(
       job,
       abillity,
       buff,
       barrier,
       enhance,
       assign,
       preco"&amp;"ndition,
       check,
       IF(
         OR(AND(check=TRUE, REGEXMATCH(assign, ""SELF""), job=""暗黒騎士""), AND(check=Option!$G$13, REGEXMATCH(assign, ""SINGLE_PARTY""))),
         IF(
           OR(ARRAYFORMULA((IF(precondition="""", FALSE, REGEXMATCH($K$"&amp;"4:$ED$4, precondition))) * (K50:ED50=TRUE))),
           enhance,
           IF(barrier="""", buff, barrier)
         ),
         0
       ) *
       SWITCH(
         job,
         ""暗黒騎士"", FI$24,
         ""白魔道士"", EF50 * EH50 * FG50 * IF(abillity, 1, E"&amp;"G50 * EI50) * (Option!$D$22 * 0.81 / 100),
         ""占星術師"", EF50 * EJ50 * FG50 * IF(abillity, 1, EG50 * EK50) * (Option!$D$23 * 0.81 / 100),
         ""学者"", EF50 * EL50 * FG50 * IF(abillity, 1, EG50 * EM50) * (Option!$D$24 * 0.81 / 100),
         ""賢者"&amp;""", EF50 * EN50 * FG50 * IF(abillity, 1, EG50 * EO50) * (Option!$D$25 * 0.81 / 100),
         1
       )
     )
   )
 ) + EQ50"),0.0)</f>
        <v>0</v>
      </c>
      <c r="FI50" s="206">
        <f t="shared" si="11"/>
        <v>0</v>
      </c>
      <c r="FJ50" s="205">
        <f>IFERROR(__xludf.DUMMYFUNCTION("PRODUCT(
   MAP(
     IF($F50=""Physical"", K$10:ED$10, IF($F50=""Magic"", K$11:ED$11, K$12:ED$12)),
     IF($F50=""Physical"", K$18:ED$18, IF($F50=""Magic"", K$19:ED$19, K$20:ED$20)),
     K$3:ED$3,
     K$5:ED$5,
     K$17:ED$17,
     K50:ED50,
     LAM"&amp;"BDA(
       mitigation,
       enhance,
       job,
       assign,
       precondition,
       check,
       IF(
         OR(AND(check=TRUE, REGEXMATCH(assign, ""SELF""), job=""ガンブレイカー""), AND(check=Option!$H$13, REGEXMATCH(assign, ""SINGLE_PARTY""))),
  "&amp;"       IF(
           OR(ARRAYFORMULA((IF(precondition="""", FALSE, REGEXMATCH($K$4:$ED$4, precondition))) * (K50:ED50=TRUE))),
           enhance,
           mitigation
         ),
         1
       )
     )
   )
 ) * EE50"),1.0)</f>
        <v>1</v>
      </c>
      <c r="FK50" s="206">
        <f t="shared" si="12"/>
        <v>0</v>
      </c>
      <c r="FL50" s="205">
        <f>IFERROR(__xludf.DUMMYFUNCTION("PRODUCT(
   MAP(
     K$3:ED$3,
     K$14:ED$14,
     K$13:ED$13,
     K50:ED50,
     LAMBDA(
       job,
       buff,
       target,
       check,
       IF(
         OR(AND(check=TRUE, REGEXMATCH(target, ""SELF_AFFECTED_ALL""), job=""ガンブレイカー""), AND(che"&amp;"ck=Option!$H$13, REGEXMATCH(target, ""SINGLE_AFFECTED_ALL""))),
         buff,
         1
       )
     )
   )
 )"),1.0)</f>
        <v>1</v>
      </c>
      <c r="FM50" s="206">
        <f>IFERROR(__xludf.DUMMYFUNCTION("SUM(
   MAP(
     K$3:ED$3,
     K$7:ED$7,
     K$15:ED$15,
     K$16:ED$16,
     K$21:ED$21,
     K$5:ED$5,
     K$17:ED$17,
     K50:ED50,
     LAMBDA(
       job,
       abillity,
       buff,
       barrier,
       enhance,
       assign,
       preco"&amp;"ndition,
       check,
       IF(
         OR(AND(check=TRUE, REGEXMATCH(assign, ""SELF""), job=""ガンブレイカー""), AND(check=Option!$H$13, REGEXMATCH(assign, ""SINGLE_PARTY""))),
         IF(
           OR(ARRAYFORMULA((IF(precondition="""", FALSE, REGEXMATCH("&amp;"$K$4:$ED$4, precondition))) * (K50:ED50=TRUE))),
           enhance,
           IF(barrier="""", buff, barrier)
         ),
         0
       ) *
       SWITCH(
         job,
         ""暗黒騎士"", FN$24,
         ""白魔道士"", EF50 * EH50 * FL50 * IF(abillity, 1"&amp;", EG50 * EI50) * (Option!$D$22 * 0.81 / 100),
         ""占星術師"", EF50 * EJ50 * FL50 * IF(abillity, 1, EG50 * EK50) * (Option!$D$23 * 0.81 / 100),
         ""学者"", EF50 * EL50 * FL50 * IF(abillity, 1, EG50 * EM50) * (Option!$D$24 * 0.81 / 100),
         """&amp;"賢者"", EF50 * EN50 * FL50 * IF(abillity, 1, EG50 * EO50) * (Option!$D$25 * 0.81 / 100),
         1
       )
     )
   )
 ) + EQ50"),0.0)</f>
        <v>0</v>
      </c>
      <c r="FN50" s="206">
        <f t="shared" si="13"/>
        <v>0</v>
      </c>
      <c r="FO50" s="213"/>
    </row>
    <row r="51">
      <c r="B51" s="229"/>
      <c r="C51" s="217">
        <f t="shared" si="1"/>
        <v>0</v>
      </c>
      <c r="D51" s="236"/>
      <c r="E51" s="219"/>
      <c r="F51" s="167"/>
      <c r="G51" s="168" t="str">
        <f t="shared" si="2"/>
        <v/>
      </c>
      <c r="H51" s="169"/>
      <c r="I51" s="169"/>
      <c r="J51" s="169"/>
      <c r="K51" s="170" t="b">
        <v>0</v>
      </c>
      <c r="L51" s="170" t="b">
        <v>0</v>
      </c>
      <c r="M51" s="170" t="b">
        <v>0</v>
      </c>
      <c r="N51" s="171" t="s">
        <v>1070</v>
      </c>
      <c r="O51" s="172" t="b">
        <v>0</v>
      </c>
      <c r="P51" s="173" t="b">
        <v>0</v>
      </c>
      <c r="Q51" s="173" t="b">
        <v>0</v>
      </c>
      <c r="R51" s="173" t="b">
        <v>0</v>
      </c>
      <c r="S51" s="174" t="b">
        <v>0</v>
      </c>
      <c r="T51" s="175" t="b">
        <v>0</v>
      </c>
      <c r="U51" s="173" t="b">
        <v>0</v>
      </c>
      <c r="V51" s="171" t="s">
        <v>1070</v>
      </c>
      <c r="W51" s="172" t="b">
        <v>0</v>
      </c>
      <c r="X51" s="173" t="b">
        <v>0</v>
      </c>
      <c r="Y51" s="173" t="b">
        <v>0</v>
      </c>
      <c r="Z51" s="173" t="b">
        <v>0</v>
      </c>
      <c r="AA51" s="174" t="b">
        <v>0</v>
      </c>
      <c r="AB51" s="174" t="b">
        <v>0</v>
      </c>
      <c r="AC51" s="175" t="b">
        <v>0</v>
      </c>
      <c r="AD51" s="173" t="b">
        <v>0</v>
      </c>
      <c r="AE51" s="176" t="s">
        <v>1070</v>
      </c>
      <c r="AF51" s="171" t="s">
        <v>1070</v>
      </c>
      <c r="AG51" s="177">
        <f>IFERROR(__xludf.DUMMYFUNCTION("IF(
  ISNUMBER(AG50),
  MIN(MAX(
    AG50
    + MAX(
      ROUNDDOWN(($D51 - MAX(IFERROR(FILTER($D$24:$D50, AG$24:AG50 &lt;&gt; AF$6, AG$23:AG49 = AF$6), 0))) * (60 * 60 * 24) / AF$9) - ROUNDDOWN(($D50 - MAX(IFERROR(FILTER($D$23:$D49, AG$23:AG49 &lt;&gt; AF$6, AG$22:"&amp;"AG48 = AF$6), 0))) * (60 * 60 * 24) / 60),
      0
    )
    - COUNTIF(AF51, ""&lt;&gt;-""),
  0), AF$6),
  AF$6 - COUNTIF(AF51, ""&lt;&gt;-"")
)"),2.0)</f>
        <v>2</v>
      </c>
      <c r="AH51" s="173" t="b">
        <v>0</v>
      </c>
      <c r="AI51" s="173" t="b">
        <v>0</v>
      </c>
      <c r="AJ51" s="173" t="b">
        <v>0</v>
      </c>
      <c r="AK51" s="174" t="b">
        <v>0</v>
      </c>
      <c r="AL51" s="175" t="b">
        <v>0</v>
      </c>
      <c r="AM51" s="173" t="b">
        <v>0</v>
      </c>
      <c r="AN51" s="171" t="s">
        <v>1070</v>
      </c>
      <c r="AO51" s="173" t="b">
        <v>0</v>
      </c>
      <c r="AP51" s="173" t="b">
        <v>0</v>
      </c>
      <c r="AQ51" s="173" t="b">
        <v>0</v>
      </c>
      <c r="AR51" s="174" t="b">
        <v>0</v>
      </c>
      <c r="AS51" s="178" t="b">
        <v>0</v>
      </c>
      <c r="AT51" s="179" t="b">
        <v>0</v>
      </c>
      <c r="AU51" s="180" t="b">
        <v>0</v>
      </c>
      <c r="AV51" s="180" t="b">
        <v>0</v>
      </c>
      <c r="AW51" s="180" t="b">
        <v>0</v>
      </c>
      <c r="AX51" s="180" t="b">
        <v>0</v>
      </c>
      <c r="AY51" s="181" t="s">
        <v>1070</v>
      </c>
      <c r="AZ51" s="181" t="s">
        <v>1070</v>
      </c>
      <c r="BA51" s="184">
        <f>IFERROR(__xludf.DUMMYFUNCTION("IF(
  ISNUMBER(BA50),
  MIN(MAX(
    BA50
    + MAX(
      ROUNDDOWN((D51 - MAX(IFERROR(FILTER(D$24:D50, BA$24:BA50 &lt;&gt; AZ$6, BA$23:BA49 = AZ$6), 0))) * (60 * 60 * 24) / AZ$9) - ROUNDDOWN((D50 - MAX(IFERROR(FILTER(D$23:D49, BA$23:BA49 &lt;&gt; AZ$6, BA$22:BA48 ="&amp;" AZ$6), 0))) * (60 * 60 * 24) / AZ$9),
      0
    )
    - COUNTIF(AZ51, ""&lt;&gt;-""),
  0), AZ$6),
  AZ$6 - COUNTIF(AZ51, ""&lt;&gt;-"")
)"),2.0)</f>
        <v>2</v>
      </c>
      <c r="BB51" s="181" t="s">
        <v>1070</v>
      </c>
      <c r="BC51" s="183">
        <f>IFERROR(__xludf.DUMMYFUNCTION("IF(
  ISNUMBER(BC50),
  MIN(MAX(
    BC50
    + MAX(
      ROUNDDOWN(($D51 - MAX(IFERROR(FILTER($D$24:$D50, BC$24:BC50 &lt;&gt; BB$6, BC$23:BC49 = BB$6), 0))) * (60 * 60 * 24) / BB$9) - ROUNDDOWN(($D50 - MAX(IFERROR(FILTER($D$23:$D49, BC$23:BC49 &lt;&gt; BB$6, BC$22:"&amp;"BC48 = BB$6), 0))) * (60 * 60 * 24) / 60),
      0
    )
    - COUNTIF(BB51, ""&lt;&gt;-""),
  0), BB$6),
  BB$6 - COUNTIF(BB51, ""&lt;&gt;-"")
)"),2.0)</f>
        <v>2</v>
      </c>
      <c r="BD51" s="181" t="s">
        <v>1070</v>
      </c>
      <c r="BE51" s="178" t="b">
        <v>0</v>
      </c>
      <c r="BF51" s="180" t="b">
        <v>0</v>
      </c>
      <c r="BG51" s="180" t="b">
        <v>0</v>
      </c>
      <c r="BH51" s="180" t="b">
        <v>0</v>
      </c>
      <c r="BI51" s="180" t="b">
        <v>0</v>
      </c>
      <c r="BJ51" s="180" t="b">
        <v>0</v>
      </c>
      <c r="BK51" s="180" t="b">
        <v>0</v>
      </c>
      <c r="BL51" s="180" t="b">
        <v>0</v>
      </c>
      <c r="BM51" s="180" t="b">
        <v>0</v>
      </c>
      <c r="BN51" s="180" t="b">
        <v>0</v>
      </c>
      <c r="BO51" s="181" t="s">
        <v>1070</v>
      </c>
      <c r="BP51" s="181" t="s">
        <v>1070</v>
      </c>
      <c r="BQ51" s="181" t="s">
        <v>1070</v>
      </c>
      <c r="BR51" s="181" t="s">
        <v>1070</v>
      </c>
      <c r="BS51" s="181" t="s">
        <v>1070</v>
      </c>
      <c r="BT51" s="184">
        <f>IFERROR(__xludf.DUMMYFUNCTION("IF(
  ISNUMBER(BT50),
  MIN(MAX(
    BT50
    + MAX(
      ROUNDDOWN((D51 - MAX(IFERROR(FILTER(D$24:D50, BT$24:BT50 &lt;&gt; BS$6, BT$23:BT49 = BS$6), 0))) * (60 * 60 * 24) / BS$9) - ROUNDDOWN((D50 - MAX(IFERROR(FILTER(D$23:D49, BT$23:BT49 &lt;&gt; BS$6, BT$22:BT48 ="&amp;" BS$6), 0))) * (60 * 60 * 24) / BS$9),
      0
    )
    - COUNTIF(BS51, ""&lt;&gt;-""),
  0), BS$6),
  BS$6 - COUNTIF(BS51, ""&lt;&gt;-"")
)"),3.0)</f>
        <v>3</v>
      </c>
      <c r="BU51" s="181" t="s">
        <v>1070</v>
      </c>
      <c r="BV51" s="181" t="s">
        <v>1070</v>
      </c>
      <c r="BW51" s="184">
        <f>IFERROR(__xludf.DUMMYFUNCTION("IF(
  ISNUMBER(BW50),
  MIN(MAX(
    BW50
    + MAX(
      ROUNDDOWN((D51 - MAX(IFERROR(FILTER(D$24:D50, BW$24:BW50 &lt;&gt; BV$6, BW$23:BW49 = BV$6), 0))) * (60 * 60 * 24) / BV$9) - ROUNDDOWN((D50 - MAX(IFERROR(FILTER(D$23:D49, BW$23:BW49 &lt;&gt; BV$6, BW$22:BW48 ="&amp;" BV$6), 0))) * (60 * 60 * 24) / BV$9),
      0
    )
    - COUNTIF(BV51, ""&lt;&gt;-""),
  0), BV$6),
  BV$6 - COUNTIF(BV51, ""&lt;&gt;-"")
)"),2.0)</f>
        <v>2</v>
      </c>
      <c r="BX51" s="185" t="s">
        <v>1070</v>
      </c>
      <c r="BY51" s="178" t="b">
        <v>0</v>
      </c>
      <c r="BZ51" s="180" t="b">
        <v>0</v>
      </c>
      <c r="CA51" s="180" t="b">
        <v>0</v>
      </c>
      <c r="CB51" s="180" t="b">
        <v>0</v>
      </c>
      <c r="CC51" s="180" t="b">
        <v>0</v>
      </c>
      <c r="CD51" s="180" t="b">
        <v>0</v>
      </c>
      <c r="CE51" s="180" t="b">
        <v>0</v>
      </c>
      <c r="CF51" s="180" t="b">
        <v>0</v>
      </c>
      <c r="CG51" s="180" t="b">
        <v>0</v>
      </c>
      <c r="CH51" s="180" t="b">
        <v>0</v>
      </c>
      <c r="CI51" s="180" t="b">
        <v>0</v>
      </c>
      <c r="CJ51" s="180" t="b">
        <v>0</v>
      </c>
      <c r="CK51" s="180" t="b">
        <v>0</v>
      </c>
      <c r="CL51" s="180" t="b">
        <v>0</v>
      </c>
      <c r="CM51" s="181" t="s">
        <v>1070</v>
      </c>
      <c r="CN51" s="181" t="s">
        <v>1070</v>
      </c>
      <c r="CO51" s="181" t="s">
        <v>1070</v>
      </c>
      <c r="CP51" s="181" t="s">
        <v>1070</v>
      </c>
      <c r="CQ51" s="185" t="s">
        <v>1070</v>
      </c>
      <c r="CR51" s="180" t="b">
        <v>0</v>
      </c>
      <c r="CS51" s="186" t="str">
        <f t="shared" si="14"/>
        <v>◇◇◇</v>
      </c>
      <c r="CT51" s="178" t="b">
        <v>0</v>
      </c>
      <c r="CU51" s="180" t="b">
        <v>0</v>
      </c>
      <c r="CV51" s="180" t="b">
        <v>0</v>
      </c>
      <c r="CW51" s="180" t="b">
        <v>0</v>
      </c>
      <c r="CX51" s="180" t="b">
        <v>0</v>
      </c>
      <c r="CY51" s="180" t="b">
        <v>0</v>
      </c>
      <c r="CZ51" s="180" t="b">
        <v>0</v>
      </c>
      <c r="DA51" s="180" t="b">
        <v>0</v>
      </c>
      <c r="DB51" s="180" t="b">
        <v>0</v>
      </c>
      <c r="DC51" s="180" t="b">
        <v>0</v>
      </c>
      <c r="DD51" s="181" t="s">
        <v>1070</v>
      </c>
      <c r="DE51" s="181" t="s">
        <v>1070</v>
      </c>
      <c r="DF51" s="181" t="s">
        <v>1070</v>
      </c>
      <c r="DG51" s="185" t="s">
        <v>1070</v>
      </c>
      <c r="DH51" s="180" t="b">
        <v>0</v>
      </c>
      <c r="DI51" s="187" t="str">
        <f>IFERROR(__xludf.DUMMYFUNCTION("SWITCH(
  IF(
    ISTEXT(DI50),
    IF (
      FIND(""○"", DI50&amp;""○"") &gt; 3,
      3,
      FIND(""○"", DI50&amp;""○"")
      + MAX(
        ROUNDDOWN(($D51 - MAX(IFERROR(FILTER(D$24:D50, DI$24:DI50 &lt;&gt; ""●●●"", DI$23:DI49 = ""●●●""), 0))) * (60 * 60 * 24) / 20"&amp;") - ROUNDDOWN(($D50 - MAX(IFERROR(FILTER(D$23:D49, DI$23:DI49 &lt;&gt; ""●●●"", DI$22:DI48 = ""●●●""), 0))) * (60 * 60 * 24) / 20),
        0
      ) - 1
    ) - COUNTIFS(CU51, ""=TRUE"", CU50, ""&lt;&gt;TRUE"") - COUNTIF(CZ51, ""=TRUE"") - COUNTIF({DD51,DE51}, ""&lt;&gt;-"&amp;""") + COUNTIF(DH51, ""=TRUE""),
    3
  ),
  0, ""○○○"", 1, ""●○○"", 2, ""●●○"", 3, ""●●●"", 4, ""●●●"", ""○○○""
)"),"●●●")</f>
        <v>●●●</v>
      </c>
      <c r="DJ51" s="188" t="b">
        <v>0</v>
      </c>
      <c r="DK51" s="189" t="b">
        <v>0</v>
      </c>
      <c r="DL51" s="190" t="b">
        <v>0</v>
      </c>
      <c r="DM51" s="190" t="b">
        <v>0</v>
      </c>
      <c r="DN51" s="190" t="b">
        <v>0</v>
      </c>
      <c r="DO51" s="190" t="b">
        <v>0</v>
      </c>
      <c r="DP51" s="190" t="b">
        <v>0</v>
      </c>
      <c r="DQ51" s="191" t="b">
        <v>0</v>
      </c>
      <c r="DR51" s="192" t="b">
        <v>0</v>
      </c>
      <c r="DS51" s="191" t="b">
        <v>0</v>
      </c>
      <c r="DT51" s="192" t="b">
        <v>0</v>
      </c>
      <c r="DU51" s="191" t="b">
        <v>0</v>
      </c>
      <c r="DV51" s="193" t="s">
        <v>1070</v>
      </c>
      <c r="DW51" s="194" t="b">
        <v>0</v>
      </c>
      <c r="DX51" s="194" t="b">
        <v>0</v>
      </c>
      <c r="DY51" s="195" t="b">
        <v>0</v>
      </c>
      <c r="DZ51" s="196" t="b">
        <v>0</v>
      </c>
      <c r="EA51" s="195" t="b">
        <v>0</v>
      </c>
      <c r="EB51" s="197" t="b">
        <v>0</v>
      </c>
      <c r="EC51" s="197" t="b">
        <v>0</v>
      </c>
      <c r="ED51" s="212" t="b">
        <v>0</v>
      </c>
      <c r="EE51" s="199">
        <f>IFERROR(__xludf.DUMMYFUNCTION("IFERROR(
   PRODUCT(
     MAP(
       INDEX(TRANSPOSE(UNIQUE(TRANSPOSE(FILTER({IF($F51=""Physical"", K$10:ED$10, IF($F51=""Magic"", K$11:ED$11, K$12:ED$12));K$4:ED$4;K51:ED51}, K51:ED51=TRUE)))), 1, 0),
       INDEX(TRANSPOSE(UNIQUE(TRANSPOSE(FILTER({IF($"&amp;"F51=""Physical"", K$18:ED$18, IF($F51=""Magic"", K$19:ED$19, K$20:ED$20));K$4:ED$4;K51:ED51}, K51:ED51=TRUE)))), 1, 0),
       INDEX(TRANSPOSE(UNIQUE(TRANSPOSE(FILTER({K$5:ED$5;K$4:ED$4;K51:ED51}, K51:ED51=TRUE)))), 1, 0),
       INDEX(TRANSPOSE(UNIQUE(TR"&amp;"ANSPOSE(FILTER({K$17:ED$17;K$4:ED$4;K51:ED51}, K51:ED51=TRUE)))), 1, 0),
       LAMBDA(
         mitigation,
         enhance,
         assign,
         precondition,
         IF(
           REGEXMATCH(assign, ""RANGE_PARTY|SINGLE_ENEMY|RANGE_ENEMY""),
  "&amp;"         IF(
             OR(ARRAYFORMULA((IF(precondition="""", FALSE, REGEXMATCH(K$4:ED$4, precondition))) * (K51:ED51=TRUE))),
             IF(ISNUMBER(enhance), enhance, 1),
             IF(ISNUMBER(mitigation), mitigation, 1)
           ),
          "&amp;" 1
         )
       )
     )
   ),
   1
 )"),1.0)</f>
        <v>1</v>
      </c>
      <c r="EF51" s="200">
        <f>IFERROR(__xludf.DUMMYFUNCTION("PRODUCT(
   MAP(
     K$14:ED$14,
     K$13:ED$13,
     K51:ED51,
     LAMBDA(
       buff,
       target,
       check,
       IF(
         AND(check=TRUE, REGEXMATCH(target, ""RANGE_AFFECTED_ALL|RANGE_EFFECTED_ALL""), ISNUMBER(buff)),
         buff,
   "&amp;"      1
       )
     )
   )
 )"),1.0)</f>
        <v>1</v>
      </c>
      <c r="EG51" s="200">
        <f>IFERROR(__xludf.DUMMYFUNCTION("PRODUCT(
   MAP(
     K$14:ED$14,
     K$13:ED$13,
     K51:ED51,
     LAMBDA(
       buff,
       target,
       check,
       IF(
         AND(check=TRUE, REGEXMATCH(target, ""RANGE_AFFECTED_GCD|RANGE_EFFECTED_GCD""), ISNUMBER(buff)),
         buff,
   "&amp;"      1
       )
     )
   )
 )"),1.0)</f>
        <v>1</v>
      </c>
      <c r="EH51" s="200">
        <f>IFERROR(__xludf.DUMMYFUNCTION("PRODUCT(
   MAP(
     K$3:ED$3,
     K$14:ED$14,
     K$13:ED$13,
     K51:ED51,
     LAMBDA(
       job,
       buff,
       target,
       check,
       IF(
         AND(check=TRUE, REGEXMATCH(target, ""SELF_EFFECTED_ALL""), ISNUMBER(buff), job=""白魔道士"""&amp;"),
         buff,
         1
       )
     )
   )
 )"),1.0)</f>
        <v>1</v>
      </c>
      <c r="EI51" s="200">
        <f>IFERROR(__xludf.DUMMYFUNCTION("PRODUCT(
   MAP(
     K$3:ED$3,
     K$14:ED$14,
     K$13:ED$13,
     K51:ED51,
     LAMBDA(
       job,
       buff,
       target,
       check,
       IF(
         AND(check=TRUE, REGEXMATCH(target, ""SELF_EFFECTED_GCD""), ISNUMBER(buff), job=""白魔道士"""&amp;"),
         buff,
         1
       )
     )
   )
 )"),1.0)</f>
        <v>1</v>
      </c>
      <c r="EJ51" s="200">
        <f>IFERROR(__xludf.DUMMYFUNCTION("PRODUCT(
   MAP(
     K$3:ED$3,
     K$14:ED$14,
     K$13:ED$13,
     K51:ED51,
     LAMBDA(
       job,
       buff,
       target,
       check,
       IF(
         AND(check=TRUE, REGEXMATCH(target, ""SELF_EFFECTED_ALL""), ISNUMBER(buff), job=""占星術師"""&amp;"),
         buff,
         1
       )
     )
   )
 )"),1.0)</f>
        <v>1</v>
      </c>
      <c r="EK51" s="200">
        <f>IFERROR(__xludf.DUMMYFUNCTION("PRODUCT(
   MAP(
     K$3:ED$3,
     K$14:ED$14,
     K$13:ED$13,
     K51:ED51,
     LAMBDA(
       job,
       buff,
       target,
       check,
       IF(
         AND(check=TRUE, REGEXMATCH(target, ""SELF_EFFECTED_GCD""), ISNUMBER(buff), job=""占星術師"""&amp;"),
         buff,
         1
       )
     )
   )
 )"),1.0)</f>
        <v>1</v>
      </c>
      <c r="EL51" s="200">
        <f>IFERROR(__xludf.DUMMYFUNCTION("PRODUCT(
   MAP(
     K$3:ED$3,
     K$14:ED$14,
     K$13:ED$13,
     K51:ED51,
     LAMBDA(
       job,
       buff,
       target,
       check,
       IF(
         AND(check=TRUE, REGEXMATCH(target, ""SELF_EFFECTED_ALL""), ISNUMBER(buff), job=""学者""),"&amp;"
         buff,
         1
       )
     )
   )
 )"),1.0)</f>
        <v>1</v>
      </c>
      <c r="EM51" s="200">
        <f>IFERROR(__xludf.DUMMYFUNCTION("PRODUCT(
   MAP(
     K$3:ED$3,
     K$14:ED$14,
     K$13:ED$13,
     K51:ED51,
     LAMBDA(
       job,
       buff,
       target,
       check,
       IF(
         AND(check=TRUE, REGEXMATCH(target, ""SELF_EFFECTED_GCD""), ISNUMBER(buff), job=""学者""),"&amp;"
         buff,
         1
       )
     )
   )
 )"),1.0)</f>
        <v>1</v>
      </c>
      <c r="EN51" s="200">
        <f>IFERROR(__xludf.DUMMYFUNCTION("PRODUCT(
   MAP(
     K$3:ED$3,
     K$14:ED$14,
     K$13:ED$13,
     K51:ED51,
     LAMBDA(
       job,
       buff,
       target,
       check,
       IF(
         AND(check=TRUE, REGEXMATCH(target, ""SELF_EFFECTED_ALL""), ISNUMBER(buff), job=""賢者""),"&amp;"
         buff,
         1
       )
     )
   )
 )"),1.0)</f>
        <v>1</v>
      </c>
      <c r="EO51" s="200">
        <f>IFERROR(__xludf.DUMMYFUNCTION("PRODUCT(
   MAP(
     K$3:ED$3,
     K$14:ED$14,
     K$13:ED$13,
     K51:ED51,
     LAMBDA(
       job,
       buff,
       target,
       check,
       IF(
         AND(check=TRUE, REGEXMATCH(target, ""SELF_EFFECTED_GCD""), ISNUMBER(buff), job=""賢者""),"&amp;"
         buff,
         1
       )
     )
   )
 )"),1.0)</f>
        <v>1</v>
      </c>
      <c r="EP51" s="201">
        <f t="shared" si="3"/>
        <v>0</v>
      </c>
      <c r="EQ51" s="201">
        <f>IFERROR(__xludf.DUMMYFUNCTION("SUM(
   MAP(
     K$4:ED$4,
     K$3:ED$3,
     K$7:ED$7,
     K$15:ED$15,
     K$16:ED$16,
     K$21:ED$21,
     K$5:ED$5,
     K$17:ED$17,
     K51:ED51,
     LAMBDA(
       name,
       job,
       abillity,
       buff,
       barrier,
       enhance,"&amp;"
       assign,
       precondition,
       check,
       SWITCH(
         name,
         ""シェイクオフ"", IF(check=TRUE, buff + (0.02 * COUNTIF(ARRAYFORMULA((REGEXMATCH($K$4:$ED$4, ""スリル・オブ・バトル|ヴェンジェンス|原初の血気|ダムネーション"")) * (K51:ED51=TRUE)), 1)), 0),
         "&amp;"""インプロビゼーションフィニッシュ(踊りの激情0)"", IF(ISNUMBER(check), INDEX(Skill!$AJ:$AJ, MATCH(SUBSTITUTE(DV$4, 0, check), Skill!$C:$C, 0)), 0),
         IF(
           AND(check=TRUE, REGEXMATCH(assign, ""RANGE_PARTY"")),
           IF(
             OR(ARRAYFORMULA((IF(pr"&amp;"econdition="""", FALSE, REGEXMATCH($K$4:$ED$4, precondition))) * (K51:ED51=TRUE))),
             enhance,
             IF(barrier="""", buff, barrier)
           ),
           0
         )
       ) *
       SWITCH(
         job,
         ""ナイト"", EY$24,
 "&amp;"        ""戦士"", FD$24,
         ""踊り子"", ET$24,
         ""ピクトマンサー"", ET$24,
         ""白魔道士"", EF51 * EH51 * IF(abillity, 1, EG51 * EI51) * (Option!$D$22 * 0.81 / 100),
         ""占星術師"", EF51 * EJ51 * IF(abillity, 1, EG51 * EK51) * (Option!$D$23 * 0.81 "&amp;"/ 100),
         ""学者"", EF51 * EL51 * IF(abillity, 1, EG51 * EM51) * (Option!$D$24 * 0.81 / 100),
         ""賢者"", EF51 * EN51 * IF(abillity, 1, EG51 * EO51) * (Option!$D$25 * 0.81 / 100),
         1
       )
     )
   )
 )"),0.0)</f>
        <v>0</v>
      </c>
      <c r="ER51" s="202">
        <f t="shared" si="4"/>
        <v>0</v>
      </c>
      <c r="ES51" s="203">
        <f t="shared" si="5"/>
        <v>0</v>
      </c>
      <c r="ET51" s="204" t="str">
        <f>IFERROR(__xludf.DUMMYFUNCTION("IFS(
  EP51 &gt; $ET$24 + EQ51,
  SPARKLINE({ 1, 0 }, {""charttype"",""bar"";""max"", 1;""color1"",Option!$D$30;""color2"",Option!$D$30}),
  EP51 &lt; EQ51,
  SPARKLINE({EQ51 - EP51, $ET$24 - (EQ51 - EP51)}, {""charttype"",""bar"";""max"",$ET$24;""color1"",Opti"&amp;"on!$D$28;""color2"",Option!$D$29}),
  EP51 &gt;= EQ51,
  SPARKLINE({$ET$24 + EQ51 - EP51,EP51 - EQ51}, {""charttype"",""bar"";""max"",$ET$24;""color1"",Option!$D$29;""color2"",Option!$D$30})
)"),"")</f>
        <v/>
      </c>
      <c r="EU51" s="205">
        <f>IFERROR(__xludf.DUMMYFUNCTION("PRODUCT(
   MAP(
     IF($F51=""Physical"", K$10:ED$10, IF($F51=""Magic"", K$11:ED$11, K$12:ED$12)),
     IF($F51=""Physical"", K$18:ED$18, IF($F51=""Magic"", K$19:ED$19, K$20:ED$20)),
     K$3:ED$3,
     K$5:ED$5,
     K$17:ED$17,
     K51:ED51,
     LAM"&amp;"BDA(
       mitigation,
       enhance,
       job,
       assign,
       precondition,
       check,
       IF(
         OR(AND(check=TRUE, REGEXMATCH(assign, ""SELF""), job=""ナイト""), AND(check=Option!$E$13, REGEXMATCH(assign, ""SINGLE_PARTY""))),
      "&amp;"   IF(
           OR(ARRAYFORMULA((IF(precondition="""", FALSE, REGEXMATCH($K$4:$ED$4, precondition))) * (K51:ED51=TRUE))),
           enhance,
           mitigation
         ),
         1
       )
     )
   )
 ) * EE51"),1.0)</f>
        <v>1</v>
      </c>
      <c r="EV51" s="206">
        <f t="shared" si="6"/>
        <v>0</v>
      </c>
      <c r="EW51" s="205">
        <f>IFERROR(__xludf.DUMMYFUNCTION("PRODUCT(
   MAP(
     K$3:ED$3,
     K$14:ED$14,
     K$13:ED$13,
     K51:ED51,
     LAMBDA(
       job,
       buff,
       target,
       check,
       IF(
         OR(AND(check=TRUE, REGEXMATCH(target, ""SELF_AFFECTED_ALL""), job=""ナイト""), AND(check=O"&amp;"ption!$E$13, REGEXMATCH(target, ""SINGLE_AFFECTED_ALL""))),
         buff,
         1
       )
     )
   )
 )"),1.0)</f>
        <v>1</v>
      </c>
      <c r="EX51" s="206">
        <f>IFERROR(__xludf.DUMMYFUNCTION("SUM(
   MAP(
     K$3:ED$3,
     K$7:ED$7,
     K$15:ED$15,
     K$16:ED$16,
     K$21:ED$21,
     K$5:ED$5,
     K$17:ED$17,
     K51:ED51,
     LAMBDA(
       job,
       abillity,
       buff,
       barrier,
       enhance,
       assign,
       preco"&amp;"ndition,
       check,
       IF(
         OR(AND(check=TRUE, REGEXMATCH(assign, ""SELF""), job=""ナイト""), AND(check=Option!$E$13, REGEXMATCH(assign, ""SINGLE_PARTY""))),
         IF(
           OR(ARRAYFORMULA((IF(precondition="""", FALSE, REGEXMATCH($K$4"&amp;":$ED$4, precondition))) * (K51:ED51=TRUE))),
           enhance,
           IF(barrier="""", buff, barrier)
         ),
         0
       ) *
       SWITCH(
         job,
         ""暗黒騎士"", EY$24,
         ""白魔道士"", EF51 * EH51 * EW51 * IF(abillity, 1, EG"&amp;"51 * EI51) * (Option!$D$22 * 0.81 / 100),
         ""占星術師"", EF51 * EJ51 * EW51 * IF(abillity, 1, EG51 * EK51) * (Option!$D$23 * 0.81 / 100),
         ""学者"", EF51 * EL51 * EW51 * IF(abillity, 1, EG51 * EM51) * (Option!$D$24 * 0.81 / 100),
         ""賢者"""&amp;", EF51 * EN51 * EW51 * IF(abillity, 1, EG51 * EO51) * (Option!$D$25 * 0.81 / 100),
         1
       )
     )
   )
 ) + EQ51"),0.0)</f>
        <v>0</v>
      </c>
      <c r="EY51" s="206">
        <f t="shared" si="7"/>
        <v>0</v>
      </c>
      <c r="EZ51" s="205">
        <f>IFERROR(__xludf.DUMMYFUNCTION("PRODUCT(
   MAP(
     IF($F51=""Physical"", K$10:ED$10, IF($F51=""Magic"", K$11:ED$11, K$12:ED$12)),
     IF($F51=""Physical"", K$18:ED$18, IF($F51=""Magic"", K$19:ED$19, K$20:ED$20)),
     K$3:ED$3,
     K$5:ED$5,
     K$17:ED$17,
     K51:ED51,
     LAM"&amp;"BDA(
       mitigation,
       enhance,
       job,
       assign,
       precondition,
       check,
       IF(
         OR(AND(check=TRUE, REGEXMATCH(assign, ""SELF""), job=""戦士""), AND(check=Option!$F$13, REGEXMATCH(assign, ""SINGLE_PARTY""))),
       "&amp;"  IF(
           OR(ARRAYFORMULA((IF(precondition="""", FALSE, REGEXMATCH($K$4:$ED$4, precondition))) * (K51:ED51=TRUE))),
           enhance,
           mitigation
         ),
         1
       )
     )
   )
 ) * EE51"),1.0)</f>
        <v>1</v>
      </c>
      <c r="FA51" s="206">
        <f t="shared" si="8"/>
        <v>0</v>
      </c>
      <c r="FB51" s="205">
        <f>IFERROR(__xludf.DUMMYFUNCTION("PRODUCT(
   MAP(
     K$3:ED$3,
     K$14:ED$14,
     K$13:ED$13,
     K51:ED51,
     LAMBDA(
       job,
       buff,
       target,
       check,
       IF(
         OR(AND(check=TRUE, REGEXMATCH(target, ""SELF_AFFECTED_ALL""), job=""戦士""), AND(check=Op"&amp;"tion!$F$13, REGEXMATCH(target, ""SINGLE_AFFECTED_ALL""))),
         buff,
         1
       )
     )
   )
 )"),1.0)</f>
        <v>1</v>
      </c>
      <c r="FC51" s="206">
        <f>IFERROR(__xludf.DUMMYFUNCTION("SUM(
   MAP(
     K$3:ED$3,
     K$7:ED$7,
     K$15:ED$15,
     K$16:ED$16,
     K$21:ED$21,
     K$5:ED$5,
     K$17:ED$17,
     K51:ED51,
     LAMBDA(
       job,
       abillity,
       buff,
       barrier,
       enhance,
       assign,
       preco"&amp;"ndition,
       check,
       IF(
         OR(AND(check=TRUE, REGEXMATCH(assign, ""SELF""), job=""戦士""), AND(check=Option!$F$13, REGEXMATCH(assign, ""SINGLE_PARTY""))),
         IF(
           OR(ARRAYFORMULA((IF(precondition="""", FALSE, REGEXMATCH($K$4:"&amp;"$ED$4, precondition))) * (K51:ED51=TRUE))),
           enhance,
           IF(barrier="""", buff, barrier)
         ),
         0
       ) *
       SWITCH(
         job,
         ""暗黒騎士"", FD$24,
         ""白魔道士"", EF51 * EH51 * FB51 * IF(abillity, 1, EG5"&amp;"1 * EI51) * (Option!$D$22 * 0.81 / 100),
         ""占星術師"", EF51 * EJ51 * FFB51 * IF(abillity, 1, EG51 * EK51) * (Option!$D$23 * 0.81 / 100),
         ""学者"", EF51 * EL51 * FB51 * IF(abillity, 1, EG51 * EM51) * (Option!$D$24 * 0.81 / 100),
         ""賢者"""&amp;", EF51 * EN51 * FB51 * IF(abillity, 1, EG51 * EO51) * (Option!$D$25 * 0.81 / 100),
         1
       )
     )
   )
 ) + EQ51"),0.0)</f>
        <v>0</v>
      </c>
      <c r="FD51" s="206">
        <f t="shared" si="9"/>
        <v>0</v>
      </c>
      <c r="FE51" s="205">
        <f>IFERROR(__xludf.DUMMYFUNCTION("PRODUCT(
   MAP(
     IF($F51=""Physical"", K$10:ED$10, IF($F51=""Magic"", K$11:ED$11, K$12:ED$12)),
     IF($F51=""Physical"", K$18:ED$18, IF($F51=""Magic"", K$19:ED$19, K$20:ED$20)),
     K$3:ED$3,
     K$5:ED$5,
     K$17:ED$17,
     K51:ED51,
     LAM"&amp;"BDA(
       mitigation,
       enhance,
       job,
       assign,
       precondition,
       check,
       IF(
         OR(AND(check=TRUE, REGEXMATCH(assign, ""SELF""), job=""暗黒騎士""), AND(check=Option!$G$13, REGEXMATCH(assign, ""SINGLE_PARTY""))),
     "&amp;"    IF(
           OR(ARRAYFORMULA((IF(precondition="""", FALSE, REGEXMATCH($K$4:$ED$4, precondition))) * (K51:ED51=TRUE))),
           enhance,
           mitigation
         ),
         1
       )
     )
   )
 ) * EE51"),1.0)</f>
        <v>1</v>
      </c>
      <c r="FF51" s="206">
        <f t="shared" si="10"/>
        <v>0</v>
      </c>
      <c r="FG51" s="205">
        <f>IFERROR(__xludf.DUMMYFUNCTION("PRODUCT(
   MAP(
     K$3:ED$3,
     K$14:ED$14,
     K$13:ED$13,
     K51:ED51,
     LAMBDA(
       job,
       buff,
       target,
       check,
       IF(
         OR(AND(check=TRUE, REGEXMATCH(target, ""SELF_AFFECTED_ALL""), job=""暗黒騎士""), AND(check="&amp;"Option!$G$13, REGEXMATCH(target, ""SINGLE_AFFECTED_ALL""))),
         buff,
         1
       )
     )
   )
 )"),1.0)</f>
        <v>1</v>
      </c>
      <c r="FH51" s="206">
        <f>IFERROR(__xludf.DUMMYFUNCTION("SUM(
   MAP(
     K$3:ED$3,
     K$7:ED$7,
     K$15:ED$15,
     K$16:ED$16,
     K$21:ED$21,
     K$5:ED$5,
     K$17:ED$17,
     K51:ED51,
     LAMBDA(
       job,
       abillity,
       buff,
       barrier,
       enhance,
       assign,
       preco"&amp;"ndition,
       check,
       IF(
         OR(AND(check=TRUE, REGEXMATCH(assign, ""SELF""), job=""暗黒騎士""), AND(check=Option!$G$13, REGEXMATCH(assign, ""SINGLE_PARTY""))),
         IF(
           OR(ARRAYFORMULA((IF(precondition="""", FALSE, REGEXMATCH($K$"&amp;"4:$ED$4, precondition))) * (K51:ED51=TRUE))),
           enhance,
           IF(barrier="""", buff, barrier)
         ),
         0
       ) *
       SWITCH(
         job,
         ""暗黒騎士"", FI$24,
         ""白魔道士"", EF51 * EH51 * FG51 * IF(abillity, 1, E"&amp;"G51 * EI51) * (Option!$D$22 * 0.81 / 100),
         ""占星術師"", EF51 * EJ51 * FG51 * IF(abillity, 1, EG51 * EK51) * (Option!$D$23 * 0.81 / 100),
         ""学者"", EF51 * EL51 * FG51 * IF(abillity, 1, EG51 * EM51) * (Option!$D$24 * 0.81 / 100),
         ""賢者"&amp;""", EF51 * EN51 * FG51 * IF(abillity, 1, EG51 * EO51) * (Option!$D$25 * 0.81 / 100),
         1
       )
     )
   )
 ) + EQ51"),0.0)</f>
        <v>0</v>
      </c>
      <c r="FI51" s="206">
        <f t="shared" si="11"/>
        <v>0</v>
      </c>
      <c r="FJ51" s="205">
        <f>IFERROR(__xludf.DUMMYFUNCTION("PRODUCT(
   MAP(
     IF($F51=""Physical"", K$10:ED$10, IF($F51=""Magic"", K$11:ED$11, K$12:ED$12)),
     IF($F51=""Physical"", K$18:ED$18, IF($F51=""Magic"", K$19:ED$19, K$20:ED$20)),
     K$3:ED$3,
     K$5:ED$5,
     K$17:ED$17,
     K51:ED51,
     LAM"&amp;"BDA(
       mitigation,
       enhance,
       job,
       assign,
       precondition,
       check,
       IF(
         OR(AND(check=TRUE, REGEXMATCH(assign, ""SELF""), job=""ガンブレイカー""), AND(check=Option!$H$13, REGEXMATCH(assign, ""SINGLE_PARTY""))),
  "&amp;"       IF(
           OR(ARRAYFORMULA((IF(precondition="""", FALSE, REGEXMATCH($K$4:$ED$4, precondition))) * (K51:ED51=TRUE))),
           enhance,
           mitigation
         ),
         1
       )
     )
   )
 ) * EE51"),1.0)</f>
        <v>1</v>
      </c>
      <c r="FK51" s="206">
        <f t="shared" si="12"/>
        <v>0</v>
      </c>
      <c r="FL51" s="205">
        <f>IFERROR(__xludf.DUMMYFUNCTION("PRODUCT(
   MAP(
     K$3:ED$3,
     K$14:ED$14,
     K$13:ED$13,
     K51:ED51,
     LAMBDA(
       job,
       buff,
       target,
       check,
       IF(
         OR(AND(check=TRUE, REGEXMATCH(target, ""SELF_AFFECTED_ALL""), job=""ガンブレイカー""), AND(che"&amp;"ck=Option!$H$13, REGEXMATCH(target, ""SINGLE_AFFECTED_ALL""))),
         buff,
         1
       )
     )
   )
 )"),1.0)</f>
        <v>1</v>
      </c>
      <c r="FM51" s="206">
        <f>IFERROR(__xludf.DUMMYFUNCTION("SUM(
   MAP(
     K$3:ED$3,
     K$7:ED$7,
     K$15:ED$15,
     K$16:ED$16,
     K$21:ED$21,
     K$5:ED$5,
     K$17:ED$17,
     K51:ED51,
     LAMBDA(
       job,
       abillity,
       buff,
       barrier,
       enhance,
       assign,
       preco"&amp;"ndition,
       check,
       IF(
         OR(AND(check=TRUE, REGEXMATCH(assign, ""SELF""), job=""ガンブレイカー""), AND(check=Option!$H$13, REGEXMATCH(assign, ""SINGLE_PARTY""))),
         IF(
           OR(ARRAYFORMULA((IF(precondition="""", FALSE, REGEXMATCH("&amp;"$K$4:$ED$4, precondition))) * (K51:ED51=TRUE))),
           enhance,
           IF(barrier="""", buff, barrier)
         ),
         0
       ) *
       SWITCH(
         job,
         ""暗黒騎士"", FN$24,
         ""白魔道士"", EF51 * EH51 * FL51 * IF(abillity, 1"&amp;", EG51 * EI51) * (Option!$D$22 * 0.81 / 100),
         ""占星術師"", EF51 * EJ51 * FL51 * IF(abillity, 1, EG51 * EK51) * (Option!$D$23 * 0.81 / 100),
         ""学者"", EF51 * EL51 * FL51 * IF(abillity, 1, EG51 * EM51) * (Option!$D$24 * 0.81 / 100),
         """&amp;"賢者"", EF51 * EN51 * FL51 * IF(abillity, 1, EG51 * EO51) * (Option!$D$25 * 0.81 / 100),
         1
       )
     )
   )
 ) + EQ51"),0.0)</f>
        <v>0</v>
      </c>
      <c r="FN51" s="206">
        <f t="shared" si="13"/>
        <v>0</v>
      </c>
      <c r="FO51" s="213"/>
    </row>
    <row r="52">
      <c r="B52" s="229"/>
      <c r="C52" s="217">
        <f t="shared" si="1"/>
        <v>0</v>
      </c>
      <c r="D52" s="236"/>
      <c r="E52" s="226"/>
      <c r="F52" s="167"/>
      <c r="G52" s="168" t="str">
        <f t="shared" si="2"/>
        <v/>
      </c>
      <c r="H52" s="169"/>
      <c r="I52" s="169"/>
      <c r="J52" s="169"/>
      <c r="K52" s="170" t="b">
        <v>0</v>
      </c>
      <c r="L52" s="170" t="b">
        <v>0</v>
      </c>
      <c r="M52" s="170" t="b">
        <v>0</v>
      </c>
      <c r="N52" s="171" t="s">
        <v>1070</v>
      </c>
      <c r="O52" s="172" t="b">
        <v>0</v>
      </c>
      <c r="P52" s="173" t="b">
        <v>0</v>
      </c>
      <c r="Q52" s="173" t="b">
        <v>0</v>
      </c>
      <c r="R52" s="173" t="b">
        <v>0</v>
      </c>
      <c r="S52" s="174" t="b">
        <v>0</v>
      </c>
      <c r="T52" s="175" t="b">
        <v>0</v>
      </c>
      <c r="U52" s="173" t="b">
        <v>0</v>
      </c>
      <c r="V52" s="171" t="s">
        <v>1070</v>
      </c>
      <c r="W52" s="172" t="b">
        <v>0</v>
      </c>
      <c r="X52" s="173" t="b">
        <v>0</v>
      </c>
      <c r="Y52" s="173" t="b">
        <v>0</v>
      </c>
      <c r="Z52" s="173" t="b">
        <v>0</v>
      </c>
      <c r="AA52" s="174" t="b">
        <v>0</v>
      </c>
      <c r="AB52" s="174" t="b">
        <v>0</v>
      </c>
      <c r="AC52" s="175" t="b">
        <v>0</v>
      </c>
      <c r="AD52" s="173" t="b">
        <v>0</v>
      </c>
      <c r="AE52" s="176" t="s">
        <v>1070</v>
      </c>
      <c r="AF52" s="171" t="s">
        <v>1070</v>
      </c>
      <c r="AG52" s="177">
        <f>IFERROR(__xludf.DUMMYFUNCTION("IF(
  ISNUMBER(AG51),
  MIN(MAX(
    AG51
    + MAX(
      ROUNDDOWN(($D52 - MAX(IFERROR(FILTER($D$24:$D51, AG$24:AG51 &lt;&gt; AF$6, AG$23:AG50 = AF$6), 0))) * (60 * 60 * 24) / AF$9) - ROUNDDOWN(($D51 - MAX(IFERROR(FILTER($D$23:$D50, AG$23:AG50 &lt;&gt; AF$6, AG$22:"&amp;"AG49 = AF$6), 0))) * (60 * 60 * 24) / 60),
      0
    )
    - COUNTIF(AF52, ""&lt;&gt;-""),
  0), AF$6),
  AF$6 - COUNTIF(AF52, ""&lt;&gt;-"")
)"),2.0)</f>
        <v>2</v>
      </c>
      <c r="AH52" s="173" t="b">
        <v>0</v>
      </c>
      <c r="AI52" s="173" t="b">
        <v>0</v>
      </c>
      <c r="AJ52" s="173" t="b">
        <v>0</v>
      </c>
      <c r="AK52" s="174" t="b">
        <v>0</v>
      </c>
      <c r="AL52" s="175" t="b">
        <v>0</v>
      </c>
      <c r="AM52" s="173" t="b">
        <v>0</v>
      </c>
      <c r="AN52" s="171" t="s">
        <v>1070</v>
      </c>
      <c r="AO52" s="173" t="b">
        <v>0</v>
      </c>
      <c r="AP52" s="173" t="b">
        <v>0</v>
      </c>
      <c r="AQ52" s="173" t="b">
        <v>0</v>
      </c>
      <c r="AR52" s="174" t="b">
        <v>0</v>
      </c>
      <c r="AS52" s="178" t="b">
        <v>0</v>
      </c>
      <c r="AT52" s="179" t="b">
        <v>0</v>
      </c>
      <c r="AU52" s="180" t="b">
        <v>0</v>
      </c>
      <c r="AV52" s="180" t="b">
        <v>0</v>
      </c>
      <c r="AW52" s="180" t="b">
        <v>0</v>
      </c>
      <c r="AX52" s="180" t="b">
        <v>0</v>
      </c>
      <c r="AY52" s="181" t="s">
        <v>1070</v>
      </c>
      <c r="AZ52" s="181" t="s">
        <v>1070</v>
      </c>
      <c r="BA52" s="184">
        <f>IFERROR(__xludf.DUMMYFUNCTION("IF(
  ISNUMBER(BA51),
  MIN(MAX(
    BA51
    + MAX(
      ROUNDDOWN((D52 - MAX(IFERROR(FILTER(D$24:D51, BA$24:BA51 &lt;&gt; AZ$6, BA$23:BA50 = AZ$6), 0))) * (60 * 60 * 24) / AZ$9) - ROUNDDOWN((D51 - MAX(IFERROR(FILTER(D$23:D50, BA$23:BA50 &lt;&gt; AZ$6, BA$22:BA49 ="&amp;" AZ$6), 0))) * (60 * 60 * 24) / AZ$9),
      0
    )
    - COUNTIF(AZ52, ""&lt;&gt;-""),
  0), AZ$6),
  AZ$6 - COUNTIF(AZ52, ""&lt;&gt;-"")
)"),2.0)</f>
        <v>2</v>
      </c>
      <c r="BB52" s="181" t="s">
        <v>1070</v>
      </c>
      <c r="BC52" s="183">
        <f>IFERROR(__xludf.DUMMYFUNCTION("IF(
  ISNUMBER(BC51),
  MIN(MAX(
    BC51
    + MAX(
      ROUNDDOWN(($D52 - MAX(IFERROR(FILTER($D$24:$D51, BC$24:BC51 &lt;&gt; BB$6, BC$23:BC50 = BB$6), 0))) * (60 * 60 * 24) / BB$9) - ROUNDDOWN(($D51 - MAX(IFERROR(FILTER($D$23:$D50, BC$23:BC50 &lt;&gt; BB$6, BC$22:"&amp;"BC49 = BB$6), 0))) * (60 * 60 * 24) / 60),
      0
    )
    - COUNTIF(BB52, ""&lt;&gt;-""),
  0), BB$6),
  BB$6 - COUNTIF(BB52, ""&lt;&gt;-"")
)"),2.0)</f>
        <v>2</v>
      </c>
      <c r="BD52" s="181" t="s">
        <v>1070</v>
      </c>
      <c r="BE52" s="178" t="b">
        <v>0</v>
      </c>
      <c r="BF52" s="180" t="b">
        <v>0</v>
      </c>
      <c r="BG52" s="180" t="b">
        <v>0</v>
      </c>
      <c r="BH52" s="180" t="b">
        <v>0</v>
      </c>
      <c r="BI52" s="180" t="b">
        <v>0</v>
      </c>
      <c r="BJ52" s="180" t="b">
        <v>0</v>
      </c>
      <c r="BK52" s="180" t="b">
        <v>0</v>
      </c>
      <c r="BL52" s="180" t="b">
        <v>0</v>
      </c>
      <c r="BM52" s="180" t="b">
        <v>0</v>
      </c>
      <c r="BN52" s="180" t="b">
        <v>0</v>
      </c>
      <c r="BO52" s="181" t="s">
        <v>1070</v>
      </c>
      <c r="BP52" s="181" t="s">
        <v>1070</v>
      </c>
      <c r="BQ52" s="181" t="s">
        <v>1070</v>
      </c>
      <c r="BR52" s="181" t="s">
        <v>1070</v>
      </c>
      <c r="BS52" s="181" t="s">
        <v>1070</v>
      </c>
      <c r="BT52" s="184">
        <f>IFERROR(__xludf.DUMMYFUNCTION("IF(
  ISNUMBER(BT51),
  MIN(MAX(
    BT51
    + MAX(
      ROUNDDOWN((D52 - MAX(IFERROR(FILTER(D$24:D51, BT$24:BT51 &lt;&gt; BS$6, BT$23:BT50 = BS$6), 0))) * (60 * 60 * 24) / BS$9) - ROUNDDOWN((D51 - MAX(IFERROR(FILTER(D$23:D50, BT$23:BT50 &lt;&gt; BS$6, BT$22:BT49 ="&amp;" BS$6), 0))) * (60 * 60 * 24) / BS$9),
      0
    )
    - COUNTIF(BS52, ""&lt;&gt;-""),
  0), BS$6),
  BS$6 - COUNTIF(BS52, ""&lt;&gt;-"")
)"),3.0)</f>
        <v>3</v>
      </c>
      <c r="BU52" s="181" t="s">
        <v>1070</v>
      </c>
      <c r="BV52" s="181" t="s">
        <v>1070</v>
      </c>
      <c r="BW52" s="184">
        <f>IFERROR(__xludf.DUMMYFUNCTION("IF(
  ISNUMBER(BW51),
  MIN(MAX(
    BW51
    + MAX(
      ROUNDDOWN((D52 - MAX(IFERROR(FILTER(D$24:D51, BW$24:BW51 &lt;&gt; BV$6, BW$23:BW50 = BV$6), 0))) * (60 * 60 * 24) / BV$9) - ROUNDDOWN((D51 - MAX(IFERROR(FILTER(D$23:D50, BW$23:BW50 &lt;&gt; BV$6, BW$22:BW49 ="&amp;" BV$6), 0))) * (60 * 60 * 24) / BV$9),
      0
    )
    - COUNTIF(BV52, ""&lt;&gt;-""),
  0), BV$6),
  BV$6 - COUNTIF(BV52, ""&lt;&gt;-"")
)"),2.0)</f>
        <v>2</v>
      </c>
      <c r="BX52" s="185" t="s">
        <v>1070</v>
      </c>
      <c r="BY52" s="178" t="b">
        <v>0</v>
      </c>
      <c r="BZ52" s="180" t="b">
        <v>0</v>
      </c>
      <c r="CA52" s="180" t="b">
        <v>0</v>
      </c>
      <c r="CB52" s="180" t="b">
        <v>0</v>
      </c>
      <c r="CC52" s="180" t="b">
        <v>0</v>
      </c>
      <c r="CD52" s="180" t="b">
        <v>0</v>
      </c>
      <c r="CE52" s="180" t="b">
        <v>0</v>
      </c>
      <c r="CF52" s="180" t="b">
        <v>0</v>
      </c>
      <c r="CG52" s="180" t="b">
        <v>0</v>
      </c>
      <c r="CH52" s="180" t="b">
        <v>0</v>
      </c>
      <c r="CI52" s="180" t="b">
        <v>0</v>
      </c>
      <c r="CJ52" s="180" t="b">
        <v>0</v>
      </c>
      <c r="CK52" s="180" t="b">
        <v>0</v>
      </c>
      <c r="CL52" s="180" t="b">
        <v>0</v>
      </c>
      <c r="CM52" s="181" t="s">
        <v>1070</v>
      </c>
      <c r="CN52" s="181" t="s">
        <v>1070</v>
      </c>
      <c r="CO52" s="181" t="s">
        <v>1070</v>
      </c>
      <c r="CP52" s="181" t="s">
        <v>1070</v>
      </c>
      <c r="CQ52" s="185" t="s">
        <v>1070</v>
      </c>
      <c r="CR52" s="180" t="b">
        <v>0</v>
      </c>
      <c r="CS52" s="186" t="str">
        <f t="shared" si="14"/>
        <v>◇◇◇</v>
      </c>
      <c r="CT52" s="178" t="b">
        <v>0</v>
      </c>
      <c r="CU52" s="180" t="b">
        <v>0</v>
      </c>
      <c r="CV52" s="180" t="b">
        <v>0</v>
      </c>
      <c r="CW52" s="180" t="b">
        <v>0</v>
      </c>
      <c r="CX52" s="180" t="b">
        <v>0</v>
      </c>
      <c r="CY52" s="180" t="b">
        <v>0</v>
      </c>
      <c r="CZ52" s="180" t="b">
        <v>0</v>
      </c>
      <c r="DA52" s="180" t="b">
        <v>0</v>
      </c>
      <c r="DB52" s="180" t="b">
        <v>0</v>
      </c>
      <c r="DC52" s="180" t="b">
        <v>0</v>
      </c>
      <c r="DD52" s="181" t="s">
        <v>1070</v>
      </c>
      <c r="DE52" s="181" t="s">
        <v>1070</v>
      </c>
      <c r="DF52" s="181" t="s">
        <v>1070</v>
      </c>
      <c r="DG52" s="185" t="s">
        <v>1070</v>
      </c>
      <c r="DH52" s="180" t="b">
        <v>0</v>
      </c>
      <c r="DI52" s="187" t="str">
        <f>IFERROR(__xludf.DUMMYFUNCTION("SWITCH(
  IF(
    ISTEXT(DI51),
    IF (
      FIND(""○"", DI51&amp;""○"") &gt; 3,
      3,
      FIND(""○"", DI51&amp;""○"")
      + MAX(
        ROUNDDOWN(($D52 - MAX(IFERROR(FILTER(D$24:D51, DI$24:DI51 &lt;&gt; ""●●●"", DI$23:DI50 = ""●●●""), 0))) * (60 * 60 * 24) / 20"&amp;") - ROUNDDOWN(($D51 - MAX(IFERROR(FILTER(D$23:D50, DI$23:DI50 &lt;&gt; ""●●●"", DI$22:DI49 = ""●●●""), 0))) * (60 * 60 * 24) / 20),
        0
      ) - 1
    ) - COUNTIFS(CU52, ""=TRUE"", CU51, ""&lt;&gt;TRUE"") - COUNTIF(CZ52, ""=TRUE"") - COUNTIF({DD52,DE52}, ""&lt;&gt;-"&amp;""") + COUNTIF(DH52, ""=TRUE""),
    3
  ),
  0, ""○○○"", 1, ""●○○"", 2, ""●●○"", 3, ""●●●"", 4, ""●●●"", ""○○○""
)"),"●●●")</f>
        <v>●●●</v>
      </c>
      <c r="DJ52" s="188" t="b">
        <v>0</v>
      </c>
      <c r="DK52" s="189" t="b">
        <v>0</v>
      </c>
      <c r="DL52" s="190" t="b">
        <v>0</v>
      </c>
      <c r="DM52" s="190" t="b">
        <v>0</v>
      </c>
      <c r="DN52" s="190" t="b">
        <v>0</v>
      </c>
      <c r="DO52" s="190" t="b">
        <v>0</v>
      </c>
      <c r="DP52" s="190" t="b">
        <v>0</v>
      </c>
      <c r="DQ52" s="191" t="b">
        <v>0</v>
      </c>
      <c r="DR52" s="192" t="b">
        <v>0</v>
      </c>
      <c r="DS52" s="191" t="b">
        <v>0</v>
      </c>
      <c r="DT52" s="192" t="b">
        <v>0</v>
      </c>
      <c r="DU52" s="191" t="b">
        <v>0</v>
      </c>
      <c r="DV52" s="193" t="s">
        <v>1070</v>
      </c>
      <c r="DW52" s="194" t="b">
        <v>0</v>
      </c>
      <c r="DX52" s="194" t="b">
        <v>0</v>
      </c>
      <c r="DY52" s="195" t="b">
        <v>0</v>
      </c>
      <c r="DZ52" s="196" t="b">
        <v>0</v>
      </c>
      <c r="EA52" s="195" t="b">
        <v>0</v>
      </c>
      <c r="EB52" s="197" t="b">
        <v>0</v>
      </c>
      <c r="EC52" s="197" t="b">
        <v>0</v>
      </c>
      <c r="ED52" s="212" t="b">
        <v>0</v>
      </c>
      <c r="EE52" s="199">
        <f>IFERROR(__xludf.DUMMYFUNCTION("IFERROR(
   PRODUCT(
     MAP(
       INDEX(TRANSPOSE(UNIQUE(TRANSPOSE(FILTER({IF($F52=""Physical"", K$10:ED$10, IF($F52=""Magic"", K$11:ED$11, K$12:ED$12));K$4:ED$4;K52:ED52}, K52:ED52=TRUE)))), 1, 0),
       INDEX(TRANSPOSE(UNIQUE(TRANSPOSE(FILTER({IF($"&amp;"F52=""Physical"", K$18:ED$18, IF($F52=""Magic"", K$19:ED$19, K$20:ED$20));K$4:ED$4;K52:ED52}, K52:ED52=TRUE)))), 1, 0),
       INDEX(TRANSPOSE(UNIQUE(TRANSPOSE(FILTER({K$5:ED$5;K$4:ED$4;K52:ED52}, K52:ED52=TRUE)))), 1, 0),
       INDEX(TRANSPOSE(UNIQUE(TR"&amp;"ANSPOSE(FILTER({K$17:ED$17;K$4:ED$4;K52:ED52}, K52:ED52=TRUE)))), 1, 0),
       LAMBDA(
         mitigation,
         enhance,
         assign,
         precondition,
         IF(
           REGEXMATCH(assign, ""RANGE_PARTY|SINGLE_ENEMY|RANGE_ENEMY""),
  "&amp;"         IF(
             OR(ARRAYFORMULA((IF(precondition="""", FALSE, REGEXMATCH(K$4:ED$4, precondition))) * (K52:ED52=TRUE))),
             IF(ISNUMBER(enhance), enhance, 1),
             IF(ISNUMBER(mitigation), mitigation, 1)
           ),
          "&amp;" 1
         )
       )
     )
   ),
   1
 )"),1.0)</f>
        <v>1</v>
      </c>
      <c r="EF52" s="200">
        <f>IFERROR(__xludf.DUMMYFUNCTION("PRODUCT(
   MAP(
     K$14:ED$14,
     K$13:ED$13,
     K52:ED52,
     LAMBDA(
       buff,
       target,
       check,
       IF(
         AND(check=TRUE, REGEXMATCH(target, ""RANGE_AFFECTED_ALL|RANGE_EFFECTED_ALL""), ISNUMBER(buff)),
         buff,
   "&amp;"      1
       )
     )
   )
 )"),1.0)</f>
        <v>1</v>
      </c>
      <c r="EG52" s="200">
        <f>IFERROR(__xludf.DUMMYFUNCTION("PRODUCT(
   MAP(
     K$14:ED$14,
     K$13:ED$13,
     K52:ED52,
     LAMBDA(
       buff,
       target,
       check,
       IF(
         AND(check=TRUE, REGEXMATCH(target, ""RANGE_AFFECTED_GCD|RANGE_EFFECTED_GCD""), ISNUMBER(buff)),
         buff,
   "&amp;"      1
       )
     )
   )
 )"),1.0)</f>
        <v>1</v>
      </c>
      <c r="EH52" s="200">
        <f>IFERROR(__xludf.DUMMYFUNCTION("PRODUCT(
   MAP(
     K$3:ED$3,
     K$14:ED$14,
     K$13:ED$13,
     K52:ED52,
     LAMBDA(
       job,
       buff,
       target,
       check,
       IF(
         AND(check=TRUE, REGEXMATCH(target, ""SELF_EFFECTED_ALL""), ISNUMBER(buff), job=""白魔道士"""&amp;"),
         buff,
         1
       )
     )
   )
 )"),1.0)</f>
        <v>1</v>
      </c>
      <c r="EI52" s="200">
        <f>IFERROR(__xludf.DUMMYFUNCTION("PRODUCT(
   MAP(
     K$3:ED$3,
     K$14:ED$14,
     K$13:ED$13,
     K52:ED52,
     LAMBDA(
       job,
       buff,
       target,
       check,
       IF(
         AND(check=TRUE, REGEXMATCH(target, ""SELF_EFFECTED_GCD""), ISNUMBER(buff), job=""白魔道士"""&amp;"),
         buff,
         1
       )
     )
   )
 )"),1.0)</f>
        <v>1</v>
      </c>
      <c r="EJ52" s="200">
        <f>IFERROR(__xludf.DUMMYFUNCTION("PRODUCT(
   MAP(
     K$3:ED$3,
     K$14:ED$14,
     K$13:ED$13,
     K52:ED52,
     LAMBDA(
       job,
       buff,
       target,
       check,
       IF(
         AND(check=TRUE, REGEXMATCH(target, ""SELF_EFFECTED_ALL""), ISNUMBER(buff), job=""占星術師"""&amp;"),
         buff,
         1
       )
     )
   )
 )"),1.0)</f>
        <v>1</v>
      </c>
      <c r="EK52" s="200">
        <f>IFERROR(__xludf.DUMMYFUNCTION("PRODUCT(
   MAP(
     K$3:ED$3,
     K$14:ED$14,
     K$13:ED$13,
     K52:ED52,
     LAMBDA(
       job,
       buff,
       target,
       check,
       IF(
         AND(check=TRUE, REGEXMATCH(target, ""SELF_EFFECTED_GCD""), ISNUMBER(buff), job=""占星術師"""&amp;"),
         buff,
         1
       )
     )
   )
 )"),1.0)</f>
        <v>1</v>
      </c>
      <c r="EL52" s="200">
        <f>IFERROR(__xludf.DUMMYFUNCTION("PRODUCT(
   MAP(
     K$3:ED$3,
     K$14:ED$14,
     K$13:ED$13,
     K52:ED52,
     LAMBDA(
       job,
       buff,
       target,
       check,
       IF(
         AND(check=TRUE, REGEXMATCH(target, ""SELF_EFFECTED_ALL""), ISNUMBER(buff), job=""学者""),"&amp;"
         buff,
         1
       )
     )
   )
 )"),1.0)</f>
        <v>1</v>
      </c>
      <c r="EM52" s="200">
        <f>IFERROR(__xludf.DUMMYFUNCTION("PRODUCT(
   MAP(
     K$3:ED$3,
     K$14:ED$14,
     K$13:ED$13,
     K52:ED52,
     LAMBDA(
       job,
       buff,
       target,
       check,
       IF(
         AND(check=TRUE, REGEXMATCH(target, ""SELF_EFFECTED_GCD""), ISNUMBER(buff), job=""学者""),"&amp;"
         buff,
         1
       )
     )
   )
 )"),1.0)</f>
        <v>1</v>
      </c>
      <c r="EN52" s="200">
        <f>IFERROR(__xludf.DUMMYFUNCTION("PRODUCT(
   MAP(
     K$3:ED$3,
     K$14:ED$14,
     K$13:ED$13,
     K52:ED52,
     LAMBDA(
       job,
       buff,
       target,
       check,
       IF(
         AND(check=TRUE, REGEXMATCH(target, ""SELF_EFFECTED_ALL""), ISNUMBER(buff), job=""賢者""),"&amp;"
         buff,
         1
       )
     )
   )
 )"),1.0)</f>
        <v>1</v>
      </c>
      <c r="EO52" s="200">
        <f>IFERROR(__xludf.DUMMYFUNCTION("PRODUCT(
   MAP(
     K$3:ED$3,
     K$14:ED$14,
     K$13:ED$13,
     K52:ED52,
     LAMBDA(
       job,
       buff,
       target,
       check,
       IF(
         AND(check=TRUE, REGEXMATCH(target, ""SELF_EFFECTED_GCD""), ISNUMBER(buff), job=""賢者""),"&amp;"
         buff,
         1
       )
     )
   )
 )"),1.0)</f>
        <v>1</v>
      </c>
      <c r="EP52" s="201">
        <f t="shared" si="3"/>
        <v>0</v>
      </c>
      <c r="EQ52" s="201">
        <f>IFERROR(__xludf.DUMMYFUNCTION("SUM(
   MAP(
     K$4:ED$4,
     K$3:ED$3,
     K$7:ED$7,
     K$15:ED$15,
     K$16:ED$16,
     K$21:ED$21,
     K$5:ED$5,
     K$17:ED$17,
     K52:ED52,
     LAMBDA(
       name,
       job,
       abillity,
       buff,
       barrier,
       enhance,"&amp;"
       assign,
       precondition,
       check,
       SWITCH(
         name,
         ""シェイクオフ"", IF(check=TRUE, buff + (0.02 * COUNTIF(ARRAYFORMULA((REGEXMATCH($K$4:$ED$4, ""スリル・オブ・バトル|ヴェンジェンス|原初の血気|ダムネーション"")) * (K52:ED52=TRUE)), 1)), 0),
         "&amp;"""インプロビゼーションフィニッシュ(踊りの激情0)"", IF(ISNUMBER(check), INDEX(Skill!$AJ:$AJ, MATCH(SUBSTITUTE(DV$4, 0, check), Skill!$C:$C, 0)), 0),
         IF(
           AND(check=TRUE, REGEXMATCH(assign, ""RANGE_PARTY"")),
           IF(
             OR(ARRAYFORMULA((IF(pr"&amp;"econdition="""", FALSE, REGEXMATCH($K$4:$ED$4, precondition))) * (K52:ED52=TRUE))),
             enhance,
             IF(barrier="""", buff, barrier)
           ),
           0
         )
       ) *
       SWITCH(
         job,
         ""ナイト"", EY$24,
 "&amp;"        ""戦士"", FD$24,
         ""踊り子"", ET$24,
         ""ピクトマンサー"", ET$24,
         ""白魔道士"", EF52 * EH52 * IF(abillity, 1, EG52 * EI52) * (Option!$D$22 * 0.81 / 100),
         ""占星術師"", EF52 * EJ52 * IF(abillity, 1, EG52 * EK52) * (Option!$D$23 * 0.81 "&amp;"/ 100),
         ""学者"", EF52 * EL52 * IF(abillity, 1, EG52 * EM52) * (Option!$D$24 * 0.81 / 100),
         ""賢者"", EF52 * EN52 * IF(abillity, 1, EG52 * EO52) * (Option!$D$25 * 0.81 / 100),
         1
       )
     )
   )
 )"),0.0)</f>
        <v>0</v>
      </c>
      <c r="ER52" s="202">
        <f t="shared" si="4"/>
        <v>0</v>
      </c>
      <c r="ES52" s="203">
        <f t="shared" si="5"/>
        <v>0</v>
      </c>
      <c r="ET52" s="204" t="str">
        <f>IFERROR(__xludf.DUMMYFUNCTION("IFS(
  EP52 &gt; $ET$24 + EQ52,
  SPARKLINE({ 1, 0 }, {""charttype"",""bar"";""max"", 1;""color1"",Option!$D$30;""color2"",Option!$D$30}),
  EP52 &lt; EQ52,
  SPARKLINE({EQ52 - EP52, $ET$24 - (EQ52 - EP52)}, {""charttype"",""bar"";""max"",$ET$24;""color1"",Opti"&amp;"on!$D$28;""color2"",Option!$D$29}),
  EP52 &gt;= EQ52,
  SPARKLINE({$ET$24 + EQ52 - EP52,EP52 - EQ52}, {""charttype"",""bar"";""max"",$ET$24;""color1"",Option!$D$29;""color2"",Option!$D$30})
)"),"")</f>
        <v/>
      </c>
      <c r="EU52" s="205">
        <f>IFERROR(__xludf.DUMMYFUNCTION("PRODUCT(
   MAP(
     IF($F52=""Physical"", K$10:ED$10, IF($F52=""Magic"", K$11:ED$11, K$12:ED$12)),
     IF($F52=""Physical"", K$18:ED$18, IF($F52=""Magic"", K$19:ED$19, K$20:ED$20)),
     K$3:ED$3,
     K$5:ED$5,
     K$17:ED$17,
     K52:ED52,
     LAM"&amp;"BDA(
       mitigation,
       enhance,
       job,
       assign,
       precondition,
       check,
       IF(
         OR(AND(check=TRUE, REGEXMATCH(assign, ""SELF""), job=""ナイト""), AND(check=Option!$E$13, REGEXMATCH(assign, ""SINGLE_PARTY""))),
      "&amp;"   IF(
           OR(ARRAYFORMULA((IF(precondition="""", FALSE, REGEXMATCH($K$4:$ED$4, precondition))) * (K52:ED52=TRUE))),
           enhance,
           mitigation
         ),
         1
       )
     )
   )
 ) * EE52"),1.0)</f>
        <v>1</v>
      </c>
      <c r="EV52" s="206">
        <f t="shared" si="6"/>
        <v>0</v>
      </c>
      <c r="EW52" s="205">
        <f>IFERROR(__xludf.DUMMYFUNCTION("PRODUCT(
   MAP(
     K$3:ED$3,
     K$14:ED$14,
     K$13:ED$13,
     K52:ED52,
     LAMBDA(
       job,
       buff,
       target,
       check,
       IF(
         OR(AND(check=TRUE, REGEXMATCH(target, ""SELF_AFFECTED_ALL""), job=""ナイト""), AND(check=O"&amp;"ption!$E$13, REGEXMATCH(target, ""SINGLE_AFFECTED_ALL""))),
         buff,
         1
       )
     )
   )
 )"),1.0)</f>
        <v>1</v>
      </c>
      <c r="EX52" s="206">
        <f>IFERROR(__xludf.DUMMYFUNCTION("SUM(
   MAP(
     K$3:ED$3,
     K$7:ED$7,
     K$15:ED$15,
     K$16:ED$16,
     K$21:ED$21,
     K$5:ED$5,
     K$17:ED$17,
     K52:ED52,
     LAMBDA(
       job,
       abillity,
       buff,
       barrier,
       enhance,
       assign,
       preco"&amp;"ndition,
       check,
       IF(
         OR(AND(check=TRUE, REGEXMATCH(assign, ""SELF""), job=""ナイト""), AND(check=Option!$E$13, REGEXMATCH(assign, ""SINGLE_PARTY""))),
         IF(
           OR(ARRAYFORMULA((IF(precondition="""", FALSE, REGEXMATCH($K$4"&amp;":$ED$4, precondition))) * (K52:ED52=TRUE))),
           enhance,
           IF(barrier="""", buff, barrier)
         ),
         0
       ) *
       SWITCH(
         job,
         ""暗黒騎士"", EY$24,
         ""白魔道士"", EF52 * EH52 * EW52 * IF(abillity, 1, EG"&amp;"52 * EI52) * (Option!$D$22 * 0.81 / 100),
         ""占星術師"", EF52 * EJ52 * EW52 * IF(abillity, 1, EG52 * EK52) * (Option!$D$23 * 0.81 / 100),
         ""学者"", EF52 * EL52 * EW52 * IF(abillity, 1, EG52 * EM52) * (Option!$D$24 * 0.81 / 100),
         ""賢者"""&amp;", EF52 * EN52 * EW52 * IF(abillity, 1, EG52 * EO52) * (Option!$D$25 * 0.81 / 100),
         1
       )
     )
   )
 ) + EQ52"),0.0)</f>
        <v>0</v>
      </c>
      <c r="EY52" s="206">
        <f t="shared" si="7"/>
        <v>0</v>
      </c>
      <c r="EZ52" s="205">
        <f>IFERROR(__xludf.DUMMYFUNCTION("PRODUCT(
   MAP(
     IF($F52=""Physical"", K$10:ED$10, IF($F52=""Magic"", K$11:ED$11, K$12:ED$12)),
     IF($F52=""Physical"", K$18:ED$18, IF($F52=""Magic"", K$19:ED$19, K$20:ED$20)),
     K$3:ED$3,
     K$5:ED$5,
     K$17:ED$17,
     K52:ED52,
     LAM"&amp;"BDA(
       mitigation,
       enhance,
       job,
       assign,
       precondition,
       check,
       IF(
         OR(AND(check=TRUE, REGEXMATCH(assign, ""SELF""), job=""戦士""), AND(check=Option!$F$13, REGEXMATCH(assign, ""SINGLE_PARTY""))),
       "&amp;"  IF(
           OR(ARRAYFORMULA((IF(precondition="""", FALSE, REGEXMATCH($K$4:$ED$4, precondition))) * (K52:ED52=TRUE))),
           enhance,
           mitigation
         ),
         1
       )
     )
   )
 ) * EE52"),1.0)</f>
        <v>1</v>
      </c>
      <c r="FA52" s="206">
        <f t="shared" si="8"/>
        <v>0</v>
      </c>
      <c r="FB52" s="205">
        <f>IFERROR(__xludf.DUMMYFUNCTION("PRODUCT(
   MAP(
     K$3:ED$3,
     K$14:ED$14,
     K$13:ED$13,
     K52:ED52,
     LAMBDA(
       job,
       buff,
       target,
       check,
       IF(
         OR(AND(check=TRUE, REGEXMATCH(target, ""SELF_AFFECTED_ALL""), job=""戦士""), AND(check=Op"&amp;"tion!$F$13, REGEXMATCH(target, ""SINGLE_AFFECTED_ALL""))),
         buff,
         1
       )
     )
   )
 )"),1.0)</f>
        <v>1</v>
      </c>
      <c r="FC52" s="206">
        <f>IFERROR(__xludf.DUMMYFUNCTION("SUM(
   MAP(
     K$3:ED$3,
     K$7:ED$7,
     K$15:ED$15,
     K$16:ED$16,
     K$21:ED$21,
     K$5:ED$5,
     K$17:ED$17,
     K52:ED52,
     LAMBDA(
       job,
       abillity,
       buff,
       barrier,
       enhance,
       assign,
       preco"&amp;"ndition,
       check,
       IF(
         OR(AND(check=TRUE, REGEXMATCH(assign, ""SELF""), job=""戦士""), AND(check=Option!$F$13, REGEXMATCH(assign, ""SINGLE_PARTY""))),
         IF(
           OR(ARRAYFORMULA((IF(precondition="""", FALSE, REGEXMATCH($K$4:"&amp;"$ED$4, precondition))) * (K52:ED52=TRUE))),
           enhance,
           IF(barrier="""", buff, barrier)
         ),
         0
       ) *
       SWITCH(
         job,
         ""暗黒騎士"", FD$24,
         ""白魔道士"", EF52 * EH52 * FB52 * IF(abillity, 1, EG5"&amp;"2 * EI52) * (Option!$D$22 * 0.81 / 100),
         ""占星術師"", EF52 * EJ52 * FFB52 * IF(abillity, 1, EG52 * EK52) * (Option!$D$23 * 0.81 / 100),
         ""学者"", EF52 * EL52 * FB52 * IF(abillity, 1, EG52 * EM52) * (Option!$D$24 * 0.81 / 100),
         ""賢者"""&amp;", EF52 * EN52 * FB52 * IF(abillity, 1, EG52 * EO52) * (Option!$D$25 * 0.81 / 100),
         1
       )
     )
   )
 ) + EQ52"),0.0)</f>
        <v>0</v>
      </c>
      <c r="FD52" s="206">
        <f t="shared" si="9"/>
        <v>0</v>
      </c>
      <c r="FE52" s="205">
        <f>IFERROR(__xludf.DUMMYFUNCTION("PRODUCT(
   MAP(
     IF($F52=""Physical"", K$10:ED$10, IF($F52=""Magic"", K$11:ED$11, K$12:ED$12)),
     IF($F52=""Physical"", K$18:ED$18, IF($F52=""Magic"", K$19:ED$19, K$20:ED$20)),
     K$3:ED$3,
     K$5:ED$5,
     K$17:ED$17,
     K52:ED52,
     LAM"&amp;"BDA(
       mitigation,
       enhance,
       job,
       assign,
       precondition,
       check,
       IF(
         OR(AND(check=TRUE, REGEXMATCH(assign, ""SELF""), job=""暗黒騎士""), AND(check=Option!$G$13, REGEXMATCH(assign, ""SINGLE_PARTY""))),
     "&amp;"    IF(
           OR(ARRAYFORMULA((IF(precondition="""", FALSE, REGEXMATCH($K$4:$ED$4, precondition))) * (K52:ED52=TRUE))),
           enhance,
           mitigation
         ),
         1
       )
     )
   )
 ) * EE52"),1.0)</f>
        <v>1</v>
      </c>
      <c r="FF52" s="206">
        <f t="shared" si="10"/>
        <v>0</v>
      </c>
      <c r="FG52" s="205">
        <f>IFERROR(__xludf.DUMMYFUNCTION("PRODUCT(
   MAP(
     K$3:ED$3,
     K$14:ED$14,
     K$13:ED$13,
     K52:ED52,
     LAMBDA(
       job,
       buff,
       target,
       check,
       IF(
         OR(AND(check=TRUE, REGEXMATCH(target, ""SELF_AFFECTED_ALL""), job=""暗黒騎士""), AND(check="&amp;"Option!$G$13, REGEXMATCH(target, ""SINGLE_AFFECTED_ALL""))),
         buff,
         1
       )
     )
   )
 )"),1.0)</f>
        <v>1</v>
      </c>
      <c r="FH52" s="206">
        <f>IFERROR(__xludf.DUMMYFUNCTION("SUM(
   MAP(
     K$3:ED$3,
     K$7:ED$7,
     K$15:ED$15,
     K$16:ED$16,
     K$21:ED$21,
     K$5:ED$5,
     K$17:ED$17,
     K52:ED52,
     LAMBDA(
       job,
       abillity,
       buff,
       barrier,
       enhance,
       assign,
       preco"&amp;"ndition,
       check,
       IF(
         OR(AND(check=TRUE, REGEXMATCH(assign, ""SELF""), job=""暗黒騎士""), AND(check=Option!$G$13, REGEXMATCH(assign, ""SINGLE_PARTY""))),
         IF(
           OR(ARRAYFORMULA((IF(precondition="""", FALSE, REGEXMATCH($K$"&amp;"4:$ED$4, precondition))) * (K52:ED52=TRUE))),
           enhance,
           IF(barrier="""", buff, barrier)
         ),
         0
       ) *
       SWITCH(
         job,
         ""暗黒騎士"", FI$24,
         ""白魔道士"", EF52 * EH52 * FG52 * IF(abillity, 1, E"&amp;"G52 * EI52) * (Option!$D$22 * 0.81 / 100),
         ""占星術師"", EF52 * EJ52 * FG52 * IF(abillity, 1, EG52 * EK52) * (Option!$D$23 * 0.81 / 100),
         ""学者"", EF52 * EL52 * FG52 * IF(abillity, 1, EG52 * EM52) * (Option!$D$24 * 0.81 / 100),
         ""賢者"&amp;""", EF52 * EN52 * FG52 * IF(abillity, 1, EG52 * EO52) * (Option!$D$25 * 0.81 / 100),
         1
       )
     )
   )
 ) + EQ52"),0.0)</f>
        <v>0</v>
      </c>
      <c r="FI52" s="206">
        <f t="shared" si="11"/>
        <v>0</v>
      </c>
      <c r="FJ52" s="205">
        <f>IFERROR(__xludf.DUMMYFUNCTION("PRODUCT(
   MAP(
     IF($F52=""Physical"", K$10:ED$10, IF($F52=""Magic"", K$11:ED$11, K$12:ED$12)),
     IF($F52=""Physical"", K$18:ED$18, IF($F52=""Magic"", K$19:ED$19, K$20:ED$20)),
     K$3:ED$3,
     K$5:ED$5,
     K$17:ED$17,
     K52:ED52,
     LAM"&amp;"BDA(
       mitigation,
       enhance,
       job,
       assign,
       precondition,
       check,
       IF(
         OR(AND(check=TRUE, REGEXMATCH(assign, ""SELF""), job=""ガンブレイカー""), AND(check=Option!$H$13, REGEXMATCH(assign, ""SINGLE_PARTY""))),
  "&amp;"       IF(
           OR(ARRAYFORMULA((IF(precondition="""", FALSE, REGEXMATCH($K$4:$ED$4, precondition))) * (K52:ED52=TRUE))),
           enhance,
           mitigation
         ),
         1
       )
     )
   )
 ) * EE52"),1.0)</f>
        <v>1</v>
      </c>
      <c r="FK52" s="206">
        <f t="shared" si="12"/>
        <v>0</v>
      </c>
      <c r="FL52" s="205">
        <f>IFERROR(__xludf.DUMMYFUNCTION("PRODUCT(
   MAP(
     K$3:ED$3,
     K$14:ED$14,
     K$13:ED$13,
     K52:ED52,
     LAMBDA(
       job,
       buff,
       target,
       check,
       IF(
         OR(AND(check=TRUE, REGEXMATCH(target, ""SELF_AFFECTED_ALL""), job=""ガンブレイカー""), AND(che"&amp;"ck=Option!$H$13, REGEXMATCH(target, ""SINGLE_AFFECTED_ALL""))),
         buff,
         1
       )
     )
   )
 )"),1.0)</f>
        <v>1</v>
      </c>
      <c r="FM52" s="206">
        <f>IFERROR(__xludf.DUMMYFUNCTION("SUM(
   MAP(
     K$3:ED$3,
     K$7:ED$7,
     K$15:ED$15,
     K$16:ED$16,
     K$21:ED$21,
     K$5:ED$5,
     K$17:ED$17,
     K52:ED52,
     LAMBDA(
       job,
       abillity,
       buff,
       barrier,
       enhance,
       assign,
       preco"&amp;"ndition,
       check,
       IF(
         OR(AND(check=TRUE, REGEXMATCH(assign, ""SELF""), job=""ガンブレイカー""), AND(check=Option!$H$13, REGEXMATCH(assign, ""SINGLE_PARTY""))),
         IF(
           OR(ARRAYFORMULA((IF(precondition="""", FALSE, REGEXMATCH("&amp;"$K$4:$ED$4, precondition))) * (K52:ED52=TRUE))),
           enhance,
           IF(barrier="""", buff, barrier)
         ),
         0
       ) *
       SWITCH(
         job,
         ""暗黒騎士"", FN$24,
         ""白魔道士"", EF52 * EH52 * FL52 * IF(abillity, 1"&amp;", EG52 * EI52) * (Option!$D$22 * 0.81 / 100),
         ""占星術師"", EF52 * EJ52 * FL52 * IF(abillity, 1, EG52 * EK52) * (Option!$D$23 * 0.81 / 100),
         ""学者"", EF52 * EL52 * FL52 * IF(abillity, 1, EG52 * EM52) * (Option!$D$24 * 0.81 / 100),
         """&amp;"賢者"", EF52 * EN52 * FL52 * IF(abillity, 1, EG52 * EO52) * (Option!$D$25 * 0.81 / 100),
         1
       )
     )
   )
 ) + EQ52"),0.0)</f>
        <v>0</v>
      </c>
      <c r="FN52" s="206">
        <f t="shared" si="13"/>
        <v>0</v>
      </c>
      <c r="FO52" s="213"/>
    </row>
    <row r="53">
      <c r="B53" s="229"/>
      <c r="C53" s="217">
        <f t="shared" si="1"/>
        <v>0</v>
      </c>
      <c r="D53" s="236"/>
      <c r="E53" s="244"/>
      <c r="F53" s="167"/>
      <c r="G53" s="168" t="str">
        <f t="shared" si="2"/>
        <v/>
      </c>
      <c r="H53" s="169"/>
      <c r="I53" s="169"/>
      <c r="J53" s="169"/>
      <c r="K53" s="170" t="b">
        <v>0</v>
      </c>
      <c r="L53" s="170" t="b">
        <v>0</v>
      </c>
      <c r="M53" s="170" t="b">
        <v>0</v>
      </c>
      <c r="N53" s="171" t="s">
        <v>1070</v>
      </c>
      <c r="O53" s="172" t="b">
        <v>0</v>
      </c>
      <c r="P53" s="173" t="b">
        <v>0</v>
      </c>
      <c r="Q53" s="173" t="b">
        <v>0</v>
      </c>
      <c r="R53" s="173" t="b">
        <v>0</v>
      </c>
      <c r="S53" s="174" t="b">
        <v>0</v>
      </c>
      <c r="T53" s="175" t="b">
        <v>0</v>
      </c>
      <c r="U53" s="173" t="b">
        <v>0</v>
      </c>
      <c r="V53" s="171" t="s">
        <v>1070</v>
      </c>
      <c r="W53" s="172" t="b">
        <v>0</v>
      </c>
      <c r="X53" s="173" t="b">
        <v>0</v>
      </c>
      <c r="Y53" s="173" t="b">
        <v>0</v>
      </c>
      <c r="Z53" s="173" t="b">
        <v>0</v>
      </c>
      <c r="AA53" s="174" t="b">
        <v>0</v>
      </c>
      <c r="AB53" s="174" t="b">
        <v>0</v>
      </c>
      <c r="AC53" s="175" t="b">
        <v>0</v>
      </c>
      <c r="AD53" s="173" t="b">
        <v>0</v>
      </c>
      <c r="AE53" s="176" t="s">
        <v>1070</v>
      </c>
      <c r="AF53" s="171" t="s">
        <v>1070</v>
      </c>
      <c r="AG53" s="177">
        <f>IFERROR(__xludf.DUMMYFUNCTION("IF(
  ISNUMBER(AG52),
  MIN(MAX(
    AG52
    + MAX(
      ROUNDDOWN(($D53 - MAX(IFERROR(FILTER($D$24:$D52, AG$24:AG52 &lt;&gt; AF$6, AG$23:AG51 = AF$6), 0))) * (60 * 60 * 24) / AF$9) - ROUNDDOWN(($D52 - MAX(IFERROR(FILTER($D$23:$D51, AG$23:AG51 &lt;&gt; AF$6, AG$22:"&amp;"AG50 = AF$6), 0))) * (60 * 60 * 24) / 60),
      0
    )
    - COUNTIF(AF53, ""&lt;&gt;-""),
  0), AF$6),
  AF$6 - COUNTIF(AF53, ""&lt;&gt;-"")
)"),2.0)</f>
        <v>2</v>
      </c>
      <c r="AH53" s="173" t="b">
        <v>0</v>
      </c>
      <c r="AI53" s="173" t="b">
        <v>0</v>
      </c>
      <c r="AJ53" s="173" t="b">
        <v>0</v>
      </c>
      <c r="AK53" s="174" t="b">
        <v>0</v>
      </c>
      <c r="AL53" s="175" t="b">
        <v>0</v>
      </c>
      <c r="AM53" s="173" t="b">
        <v>0</v>
      </c>
      <c r="AN53" s="171" t="s">
        <v>1070</v>
      </c>
      <c r="AO53" s="173" t="b">
        <v>0</v>
      </c>
      <c r="AP53" s="173" t="b">
        <v>0</v>
      </c>
      <c r="AQ53" s="173" t="b">
        <v>0</v>
      </c>
      <c r="AR53" s="174" t="b">
        <v>0</v>
      </c>
      <c r="AS53" s="178" t="b">
        <v>0</v>
      </c>
      <c r="AT53" s="179" t="b">
        <v>0</v>
      </c>
      <c r="AU53" s="180" t="b">
        <v>0</v>
      </c>
      <c r="AV53" s="180" t="b">
        <v>0</v>
      </c>
      <c r="AW53" s="180" t="b">
        <v>0</v>
      </c>
      <c r="AX53" s="180" t="b">
        <v>0</v>
      </c>
      <c r="AY53" s="181" t="s">
        <v>1070</v>
      </c>
      <c r="AZ53" s="181" t="s">
        <v>1070</v>
      </c>
      <c r="BA53" s="184">
        <f>IFERROR(__xludf.DUMMYFUNCTION("IF(
  ISNUMBER(BA52),
  MIN(MAX(
    BA52
    + MAX(
      ROUNDDOWN((D53 - MAX(IFERROR(FILTER(D$24:D52, BA$24:BA52 &lt;&gt; AZ$6, BA$23:BA51 = AZ$6), 0))) * (60 * 60 * 24) / AZ$9) - ROUNDDOWN((D52 - MAX(IFERROR(FILTER(D$23:D51, BA$23:BA51 &lt;&gt; AZ$6, BA$22:BA50 ="&amp;" AZ$6), 0))) * (60 * 60 * 24) / AZ$9),
      0
    )
    - COUNTIF(AZ53, ""&lt;&gt;-""),
  0), AZ$6),
  AZ$6 - COUNTIF(AZ53, ""&lt;&gt;-"")
)"),2.0)</f>
        <v>2</v>
      </c>
      <c r="BB53" s="181" t="s">
        <v>1070</v>
      </c>
      <c r="BC53" s="183">
        <f>IFERROR(__xludf.DUMMYFUNCTION("IF(
  ISNUMBER(BC52),
  MIN(MAX(
    BC52
    + MAX(
      ROUNDDOWN(($D53 - MAX(IFERROR(FILTER($D$24:$D52, BC$24:BC52 &lt;&gt; BB$6, BC$23:BC51 = BB$6), 0))) * (60 * 60 * 24) / BB$9) - ROUNDDOWN(($D52 - MAX(IFERROR(FILTER($D$23:$D51, BC$23:BC51 &lt;&gt; BB$6, BC$22:"&amp;"BC50 = BB$6), 0))) * (60 * 60 * 24) / 60),
      0
    )
    - COUNTIF(BB53, ""&lt;&gt;-""),
  0), BB$6),
  BB$6 - COUNTIF(BB53, ""&lt;&gt;-"")
)"),2.0)</f>
        <v>2</v>
      </c>
      <c r="BD53" s="181" t="s">
        <v>1070</v>
      </c>
      <c r="BE53" s="178" t="b">
        <v>0</v>
      </c>
      <c r="BF53" s="180" t="b">
        <v>0</v>
      </c>
      <c r="BG53" s="180" t="b">
        <v>0</v>
      </c>
      <c r="BH53" s="180" t="b">
        <v>0</v>
      </c>
      <c r="BI53" s="180" t="b">
        <v>0</v>
      </c>
      <c r="BJ53" s="180" t="b">
        <v>0</v>
      </c>
      <c r="BK53" s="180" t="b">
        <v>0</v>
      </c>
      <c r="BL53" s="180" t="b">
        <v>0</v>
      </c>
      <c r="BM53" s="180" t="b">
        <v>0</v>
      </c>
      <c r="BN53" s="180" t="b">
        <v>0</v>
      </c>
      <c r="BO53" s="181" t="s">
        <v>1070</v>
      </c>
      <c r="BP53" s="181" t="s">
        <v>1070</v>
      </c>
      <c r="BQ53" s="181" t="s">
        <v>1070</v>
      </c>
      <c r="BR53" s="181" t="s">
        <v>1070</v>
      </c>
      <c r="BS53" s="181" t="s">
        <v>1070</v>
      </c>
      <c r="BT53" s="184">
        <f>IFERROR(__xludf.DUMMYFUNCTION("IF(
  ISNUMBER(BT52),
  MIN(MAX(
    BT52
    + MAX(
      ROUNDDOWN((D53 - MAX(IFERROR(FILTER(D$24:D52, BT$24:BT52 &lt;&gt; BS$6, BT$23:BT51 = BS$6), 0))) * (60 * 60 * 24) / BS$9) - ROUNDDOWN((D52 - MAX(IFERROR(FILTER(D$23:D51, BT$23:BT51 &lt;&gt; BS$6, BT$22:BT50 ="&amp;" BS$6), 0))) * (60 * 60 * 24) / BS$9),
      0
    )
    - COUNTIF(BS53, ""&lt;&gt;-""),
  0), BS$6),
  BS$6 - COUNTIF(BS53, ""&lt;&gt;-"")
)"),3.0)</f>
        <v>3</v>
      </c>
      <c r="BU53" s="181" t="s">
        <v>1070</v>
      </c>
      <c r="BV53" s="181" t="s">
        <v>1070</v>
      </c>
      <c r="BW53" s="184">
        <f>IFERROR(__xludf.DUMMYFUNCTION("IF(
  ISNUMBER(BW52),
  MIN(MAX(
    BW52
    + MAX(
      ROUNDDOWN((D53 - MAX(IFERROR(FILTER(D$24:D52, BW$24:BW52 &lt;&gt; BV$6, BW$23:BW51 = BV$6), 0))) * (60 * 60 * 24) / BV$9) - ROUNDDOWN((D52 - MAX(IFERROR(FILTER(D$23:D51, BW$23:BW51 &lt;&gt; BV$6, BW$22:BW50 ="&amp;" BV$6), 0))) * (60 * 60 * 24) / BV$9),
      0
    )
    - COUNTIF(BV53, ""&lt;&gt;-""),
  0), BV$6),
  BV$6 - COUNTIF(BV53, ""&lt;&gt;-"")
)"),2.0)</f>
        <v>2</v>
      </c>
      <c r="BX53" s="185" t="s">
        <v>1070</v>
      </c>
      <c r="BY53" s="178" t="b">
        <v>0</v>
      </c>
      <c r="BZ53" s="180" t="b">
        <v>0</v>
      </c>
      <c r="CA53" s="180" t="b">
        <v>0</v>
      </c>
      <c r="CB53" s="180" t="b">
        <v>0</v>
      </c>
      <c r="CC53" s="180" t="b">
        <v>0</v>
      </c>
      <c r="CD53" s="180" t="b">
        <v>0</v>
      </c>
      <c r="CE53" s="180" t="b">
        <v>0</v>
      </c>
      <c r="CF53" s="180" t="b">
        <v>0</v>
      </c>
      <c r="CG53" s="180" t="b">
        <v>0</v>
      </c>
      <c r="CH53" s="180" t="b">
        <v>0</v>
      </c>
      <c r="CI53" s="180" t="b">
        <v>0</v>
      </c>
      <c r="CJ53" s="180" t="b">
        <v>0</v>
      </c>
      <c r="CK53" s="180" t="b">
        <v>0</v>
      </c>
      <c r="CL53" s="180" t="b">
        <v>0</v>
      </c>
      <c r="CM53" s="181" t="s">
        <v>1070</v>
      </c>
      <c r="CN53" s="181" t="s">
        <v>1070</v>
      </c>
      <c r="CO53" s="181" t="s">
        <v>1070</v>
      </c>
      <c r="CP53" s="181" t="s">
        <v>1070</v>
      </c>
      <c r="CQ53" s="185" t="s">
        <v>1070</v>
      </c>
      <c r="CR53" s="180" t="b">
        <v>0</v>
      </c>
      <c r="CS53" s="186" t="str">
        <f t="shared" si="14"/>
        <v>◇◇◇</v>
      </c>
      <c r="CT53" s="178" t="b">
        <v>0</v>
      </c>
      <c r="CU53" s="180" t="b">
        <v>0</v>
      </c>
      <c r="CV53" s="180" t="b">
        <v>0</v>
      </c>
      <c r="CW53" s="180" t="b">
        <v>0</v>
      </c>
      <c r="CX53" s="180" t="b">
        <v>0</v>
      </c>
      <c r="CY53" s="180" t="b">
        <v>0</v>
      </c>
      <c r="CZ53" s="180" t="b">
        <v>0</v>
      </c>
      <c r="DA53" s="180" t="b">
        <v>0</v>
      </c>
      <c r="DB53" s="180" t="b">
        <v>0</v>
      </c>
      <c r="DC53" s="180" t="b">
        <v>0</v>
      </c>
      <c r="DD53" s="181" t="s">
        <v>1070</v>
      </c>
      <c r="DE53" s="181" t="s">
        <v>1070</v>
      </c>
      <c r="DF53" s="181" t="s">
        <v>1070</v>
      </c>
      <c r="DG53" s="185" t="s">
        <v>1070</v>
      </c>
      <c r="DH53" s="180" t="b">
        <v>0</v>
      </c>
      <c r="DI53" s="187" t="str">
        <f>IFERROR(__xludf.DUMMYFUNCTION("SWITCH(
  IF(
    ISTEXT(DI52),
    IF (
      FIND(""○"", DI52&amp;""○"") &gt; 3,
      3,
      FIND(""○"", DI52&amp;""○"")
      + MAX(
        ROUNDDOWN(($D53 - MAX(IFERROR(FILTER(D$24:D52, DI$24:DI52 &lt;&gt; ""●●●"", DI$23:DI51 = ""●●●""), 0))) * (60 * 60 * 24) / 20"&amp;") - ROUNDDOWN(($D52 - MAX(IFERROR(FILTER(D$23:D51, DI$23:DI51 &lt;&gt; ""●●●"", DI$22:DI50 = ""●●●""), 0))) * (60 * 60 * 24) / 20),
        0
      ) - 1
    ) - COUNTIFS(CU53, ""=TRUE"", CU52, ""&lt;&gt;TRUE"") - COUNTIF(CZ53, ""=TRUE"") - COUNTIF({DD53,DE53}, ""&lt;&gt;-"&amp;""") + COUNTIF(DH53, ""=TRUE""),
    3
  ),
  0, ""○○○"", 1, ""●○○"", 2, ""●●○"", 3, ""●●●"", 4, ""●●●"", ""○○○""
)"),"●●●")</f>
        <v>●●●</v>
      </c>
      <c r="DJ53" s="188" t="b">
        <v>0</v>
      </c>
      <c r="DK53" s="189" t="b">
        <v>0</v>
      </c>
      <c r="DL53" s="190" t="b">
        <v>0</v>
      </c>
      <c r="DM53" s="190" t="b">
        <v>0</v>
      </c>
      <c r="DN53" s="190" t="b">
        <v>0</v>
      </c>
      <c r="DO53" s="190" t="b">
        <v>0</v>
      </c>
      <c r="DP53" s="190" t="b">
        <v>0</v>
      </c>
      <c r="DQ53" s="191" t="b">
        <v>0</v>
      </c>
      <c r="DR53" s="192" t="b">
        <v>0</v>
      </c>
      <c r="DS53" s="191" t="b">
        <v>0</v>
      </c>
      <c r="DT53" s="192" t="b">
        <v>0</v>
      </c>
      <c r="DU53" s="191" t="b">
        <v>0</v>
      </c>
      <c r="DV53" s="193" t="s">
        <v>1070</v>
      </c>
      <c r="DW53" s="194" t="b">
        <v>0</v>
      </c>
      <c r="DX53" s="194" t="b">
        <v>0</v>
      </c>
      <c r="DY53" s="195" t="b">
        <v>0</v>
      </c>
      <c r="DZ53" s="196" t="b">
        <v>0</v>
      </c>
      <c r="EA53" s="195" t="b">
        <v>0</v>
      </c>
      <c r="EB53" s="197" t="b">
        <v>0</v>
      </c>
      <c r="EC53" s="197" t="b">
        <v>0</v>
      </c>
      <c r="ED53" s="212" t="b">
        <v>0</v>
      </c>
      <c r="EE53" s="199">
        <f>IFERROR(__xludf.DUMMYFUNCTION("IFERROR(
   PRODUCT(
     MAP(
       INDEX(TRANSPOSE(UNIQUE(TRANSPOSE(FILTER({IF($F53=""Physical"", K$10:ED$10, IF($F53=""Magic"", K$11:ED$11, K$12:ED$12));K$4:ED$4;K53:ED53}, K53:ED53=TRUE)))), 1, 0),
       INDEX(TRANSPOSE(UNIQUE(TRANSPOSE(FILTER({IF($"&amp;"F53=""Physical"", K$18:ED$18, IF($F53=""Magic"", K$19:ED$19, K$20:ED$20));K$4:ED$4;K53:ED53}, K53:ED53=TRUE)))), 1, 0),
       INDEX(TRANSPOSE(UNIQUE(TRANSPOSE(FILTER({K$5:ED$5;K$4:ED$4;K53:ED53}, K53:ED53=TRUE)))), 1, 0),
       INDEX(TRANSPOSE(UNIQUE(TR"&amp;"ANSPOSE(FILTER({K$17:ED$17;K$4:ED$4;K53:ED53}, K53:ED53=TRUE)))), 1, 0),
       LAMBDA(
         mitigation,
         enhance,
         assign,
         precondition,
         IF(
           REGEXMATCH(assign, ""RANGE_PARTY|SINGLE_ENEMY|RANGE_ENEMY""),
  "&amp;"         IF(
             OR(ARRAYFORMULA((IF(precondition="""", FALSE, REGEXMATCH(K$4:ED$4, precondition))) * (K53:ED53=TRUE))),
             IF(ISNUMBER(enhance), enhance, 1),
             IF(ISNUMBER(mitigation), mitigation, 1)
           ),
          "&amp;" 1
         )
       )
     )
   ),
   1
 )"),1.0)</f>
        <v>1</v>
      </c>
      <c r="EF53" s="200">
        <f>IFERROR(__xludf.DUMMYFUNCTION("PRODUCT(
   MAP(
     K$14:ED$14,
     K$13:ED$13,
     K53:ED53,
     LAMBDA(
       buff,
       target,
       check,
       IF(
         AND(check=TRUE, REGEXMATCH(target, ""RANGE_AFFECTED_ALL|RANGE_EFFECTED_ALL""), ISNUMBER(buff)),
         buff,
   "&amp;"      1
       )
     )
   )
 )"),1.0)</f>
        <v>1</v>
      </c>
      <c r="EG53" s="200">
        <f>IFERROR(__xludf.DUMMYFUNCTION("PRODUCT(
   MAP(
     K$14:ED$14,
     K$13:ED$13,
     K53:ED53,
     LAMBDA(
       buff,
       target,
       check,
       IF(
         AND(check=TRUE, REGEXMATCH(target, ""RANGE_AFFECTED_GCD|RANGE_EFFECTED_GCD""), ISNUMBER(buff)),
         buff,
   "&amp;"      1
       )
     )
   )
 )"),1.0)</f>
        <v>1</v>
      </c>
      <c r="EH53" s="200">
        <f>IFERROR(__xludf.DUMMYFUNCTION("PRODUCT(
   MAP(
     K$3:ED$3,
     K$14:ED$14,
     K$13:ED$13,
     K53:ED53,
     LAMBDA(
       job,
       buff,
       target,
       check,
       IF(
         AND(check=TRUE, REGEXMATCH(target, ""SELF_EFFECTED_ALL""), ISNUMBER(buff), job=""白魔道士"""&amp;"),
         buff,
         1
       )
     )
   )
 )"),1.0)</f>
        <v>1</v>
      </c>
      <c r="EI53" s="200">
        <f>IFERROR(__xludf.DUMMYFUNCTION("PRODUCT(
   MAP(
     K$3:ED$3,
     K$14:ED$14,
     K$13:ED$13,
     K53:ED53,
     LAMBDA(
       job,
       buff,
       target,
       check,
       IF(
         AND(check=TRUE, REGEXMATCH(target, ""SELF_EFFECTED_GCD""), ISNUMBER(buff), job=""白魔道士"""&amp;"),
         buff,
         1
       )
     )
   )
 )"),1.0)</f>
        <v>1</v>
      </c>
      <c r="EJ53" s="200">
        <f>IFERROR(__xludf.DUMMYFUNCTION("PRODUCT(
   MAP(
     K$3:ED$3,
     K$14:ED$14,
     K$13:ED$13,
     K53:ED53,
     LAMBDA(
       job,
       buff,
       target,
       check,
       IF(
         AND(check=TRUE, REGEXMATCH(target, ""SELF_EFFECTED_ALL""), ISNUMBER(buff), job=""占星術師"""&amp;"),
         buff,
         1
       )
     )
   )
 )"),1.0)</f>
        <v>1</v>
      </c>
      <c r="EK53" s="200">
        <f>IFERROR(__xludf.DUMMYFUNCTION("PRODUCT(
   MAP(
     K$3:ED$3,
     K$14:ED$14,
     K$13:ED$13,
     K53:ED53,
     LAMBDA(
       job,
       buff,
       target,
       check,
       IF(
         AND(check=TRUE, REGEXMATCH(target, ""SELF_EFFECTED_GCD""), ISNUMBER(buff), job=""占星術師"""&amp;"),
         buff,
         1
       )
     )
   )
 )"),1.0)</f>
        <v>1</v>
      </c>
      <c r="EL53" s="200">
        <f>IFERROR(__xludf.DUMMYFUNCTION("PRODUCT(
   MAP(
     K$3:ED$3,
     K$14:ED$14,
     K$13:ED$13,
     K53:ED53,
     LAMBDA(
       job,
       buff,
       target,
       check,
       IF(
         AND(check=TRUE, REGEXMATCH(target, ""SELF_EFFECTED_ALL""), ISNUMBER(buff), job=""学者""),"&amp;"
         buff,
         1
       )
     )
   )
 )"),1.0)</f>
        <v>1</v>
      </c>
      <c r="EM53" s="200">
        <f>IFERROR(__xludf.DUMMYFUNCTION("PRODUCT(
   MAP(
     K$3:ED$3,
     K$14:ED$14,
     K$13:ED$13,
     K53:ED53,
     LAMBDA(
       job,
       buff,
       target,
       check,
       IF(
         AND(check=TRUE, REGEXMATCH(target, ""SELF_EFFECTED_GCD""), ISNUMBER(buff), job=""学者""),"&amp;"
         buff,
         1
       )
     )
   )
 )"),1.0)</f>
        <v>1</v>
      </c>
      <c r="EN53" s="200">
        <f>IFERROR(__xludf.DUMMYFUNCTION("PRODUCT(
   MAP(
     K$3:ED$3,
     K$14:ED$14,
     K$13:ED$13,
     K53:ED53,
     LAMBDA(
       job,
       buff,
       target,
       check,
       IF(
         AND(check=TRUE, REGEXMATCH(target, ""SELF_EFFECTED_ALL""), ISNUMBER(buff), job=""賢者""),"&amp;"
         buff,
         1
       )
     )
   )
 )"),1.0)</f>
        <v>1</v>
      </c>
      <c r="EO53" s="200">
        <f>IFERROR(__xludf.DUMMYFUNCTION("PRODUCT(
   MAP(
     K$3:ED$3,
     K$14:ED$14,
     K$13:ED$13,
     K53:ED53,
     LAMBDA(
       job,
       buff,
       target,
       check,
       IF(
         AND(check=TRUE, REGEXMATCH(target, ""SELF_EFFECTED_GCD""), ISNUMBER(buff), job=""賢者""),"&amp;"
         buff,
         1
       )
     )
   )
 )"),1.0)</f>
        <v>1</v>
      </c>
      <c r="EP53" s="201">
        <f t="shared" si="3"/>
        <v>0</v>
      </c>
      <c r="EQ53" s="201">
        <f>IFERROR(__xludf.DUMMYFUNCTION("SUM(
   MAP(
     K$4:ED$4,
     K$3:ED$3,
     K$7:ED$7,
     K$15:ED$15,
     K$16:ED$16,
     K$21:ED$21,
     K$5:ED$5,
     K$17:ED$17,
     K53:ED53,
     LAMBDA(
       name,
       job,
       abillity,
       buff,
       barrier,
       enhance,"&amp;"
       assign,
       precondition,
       check,
       SWITCH(
         name,
         ""シェイクオフ"", IF(check=TRUE, buff + (0.02 * COUNTIF(ARRAYFORMULA((REGEXMATCH($K$4:$ED$4, ""スリル・オブ・バトル|ヴェンジェンス|原初の血気|ダムネーション"")) * (K53:ED53=TRUE)), 1)), 0),
         "&amp;"""インプロビゼーションフィニッシュ(踊りの激情0)"", IF(ISNUMBER(check), INDEX(Skill!$AJ:$AJ, MATCH(SUBSTITUTE(DV$4, 0, check), Skill!$C:$C, 0)), 0),
         IF(
           AND(check=TRUE, REGEXMATCH(assign, ""RANGE_PARTY"")),
           IF(
             OR(ARRAYFORMULA((IF(pr"&amp;"econdition="""", FALSE, REGEXMATCH($K$4:$ED$4, precondition))) * (K53:ED53=TRUE))),
             enhance,
             IF(barrier="""", buff, barrier)
           ),
           0
         )
       ) *
       SWITCH(
         job,
         ""ナイト"", EY$24,
 "&amp;"        ""戦士"", FD$24,
         ""踊り子"", ET$24,
         ""ピクトマンサー"", ET$24,
         ""白魔道士"", EF53 * EH53 * IF(abillity, 1, EG53 * EI53) * (Option!$D$22 * 0.81 / 100),
         ""占星術師"", EF53 * EJ53 * IF(abillity, 1, EG53 * EK53) * (Option!$D$23 * 0.81 "&amp;"/ 100),
         ""学者"", EF53 * EL53 * IF(abillity, 1, EG53 * EM53) * (Option!$D$24 * 0.81 / 100),
         ""賢者"", EF53 * EN53 * IF(abillity, 1, EG53 * EO53) * (Option!$D$25 * 0.81 / 100),
         1
       )
     )
   )
 )"),0.0)</f>
        <v>0</v>
      </c>
      <c r="ER53" s="202">
        <f t="shared" si="4"/>
        <v>0</v>
      </c>
      <c r="ES53" s="203">
        <f t="shared" si="5"/>
        <v>0</v>
      </c>
      <c r="ET53" s="204" t="str">
        <f>IFERROR(__xludf.DUMMYFUNCTION("IFS(
  EP53 &gt; $ET$24 + EQ53,
  SPARKLINE({ 1, 0 }, {""charttype"",""bar"";""max"", 1;""color1"",Option!$D$30;""color2"",Option!$D$30}),
  EP53 &lt; EQ53,
  SPARKLINE({EQ53 - EP53, $ET$24 - (EQ53 - EP53)}, {""charttype"",""bar"";""max"",$ET$24;""color1"",Opti"&amp;"on!$D$28;""color2"",Option!$D$29}),
  EP53 &gt;= EQ53,
  SPARKLINE({$ET$24 + EQ53 - EP53,EP53 - EQ53}, {""charttype"",""bar"";""max"",$ET$24;""color1"",Option!$D$29;""color2"",Option!$D$30})
)"),"")</f>
        <v/>
      </c>
      <c r="EU53" s="205">
        <f>IFERROR(__xludf.DUMMYFUNCTION("PRODUCT(
   MAP(
     IF($F53=""Physical"", K$10:ED$10, IF($F53=""Magic"", K$11:ED$11, K$12:ED$12)),
     IF($F53=""Physical"", K$18:ED$18, IF($F53=""Magic"", K$19:ED$19, K$20:ED$20)),
     K$3:ED$3,
     K$5:ED$5,
     K$17:ED$17,
     K53:ED53,
     LAM"&amp;"BDA(
       mitigation,
       enhance,
       job,
       assign,
       precondition,
       check,
       IF(
         OR(AND(check=TRUE, REGEXMATCH(assign, ""SELF""), job=""ナイト""), AND(check=Option!$E$13, REGEXMATCH(assign, ""SINGLE_PARTY""))),
      "&amp;"   IF(
           OR(ARRAYFORMULA((IF(precondition="""", FALSE, REGEXMATCH($K$4:$ED$4, precondition))) * (K53:ED53=TRUE))),
           enhance,
           mitigation
         ),
         1
       )
     )
   )
 ) * EE53"),1.0)</f>
        <v>1</v>
      </c>
      <c r="EV53" s="206">
        <f t="shared" si="6"/>
        <v>0</v>
      </c>
      <c r="EW53" s="205">
        <f>IFERROR(__xludf.DUMMYFUNCTION("PRODUCT(
   MAP(
     K$3:ED$3,
     K$14:ED$14,
     K$13:ED$13,
     K53:ED53,
     LAMBDA(
       job,
       buff,
       target,
       check,
       IF(
         OR(AND(check=TRUE, REGEXMATCH(target, ""SELF_AFFECTED_ALL""), job=""ナイト""), AND(check=O"&amp;"ption!$E$13, REGEXMATCH(target, ""SINGLE_AFFECTED_ALL""))),
         buff,
         1
       )
     )
   )
 )"),1.0)</f>
        <v>1</v>
      </c>
      <c r="EX53" s="206">
        <f>IFERROR(__xludf.DUMMYFUNCTION("SUM(
   MAP(
     K$3:ED$3,
     K$7:ED$7,
     K$15:ED$15,
     K$16:ED$16,
     K$21:ED$21,
     K$5:ED$5,
     K$17:ED$17,
     K53:ED53,
     LAMBDA(
       job,
       abillity,
       buff,
       barrier,
       enhance,
       assign,
       preco"&amp;"ndition,
       check,
       IF(
         OR(AND(check=TRUE, REGEXMATCH(assign, ""SELF""), job=""ナイト""), AND(check=Option!$E$13, REGEXMATCH(assign, ""SINGLE_PARTY""))),
         IF(
           OR(ARRAYFORMULA((IF(precondition="""", FALSE, REGEXMATCH($K$4"&amp;":$ED$4, precondition))) * (K53:ED53=TRUE))),
           enhance,
           IF(barrier="""", buff, barrier)
         ),
         0
       ) *
       SWITCH(
         job,
         ""暗黒騎士"", EY$24,
         ""白魔道士"", EF53 * EH53 * EW53 * IF(abillity, 1, EG"&amp;"53 * EI53) * (Option!$D$22 * 0.81 / 100),
         ""占星術師"", EF53 * EJ53 * EW53 * IF(abillity, 1, EG53 * EK53) * (Option!$D$23 * 0.81 / 100),
         ""学者"", EF53 * EL53 * EW53 * IF(abillity, 1, EG53 * EM53) * (Option!$D$24 * 0.81 / 100),
         ""賢者"""&amp;", EF53 * EN53 * EW53 * IF(abillity, 1, EG53 * EO53) * (Option!$D$25 * 0.81 / 100),
         1
       )
     )
   )
 ) + EQ53"),0.0)</f>
        <v>0</v>
      </c>
      <c r="EY53" s="206">
        <f t="shared" si="7"/>
        <v>0</v>
      </c>
      <c r="EZ53" s="205">
        <f>IFERROR(__xludf.DUMMYFUNCTION("PRODUCT(
   MAP(
     IF($F53=""Physical"", K$10:ED$10, IF($F53=""Magic"", K$11:ED$11, K$12:ED$12)),
     IF($F53=""Physical"", K$18:ED$18, IF($F53=""Magic"", K$19:ED$19, K$20:ED$20)),
     K$3:ED$3,
     K$5:ED$5,
     K$17:ED$17,
     K53:ED53,
     LAM"&amp;"BDA(
       mitigation,
       enhance,
       job,
       assign,
       precondition,
       check,
       IF(
         OR(AND(check=TRUE, REGEXMATCH(assign, ""SELF""), job=""戦士""), AND(check=Option!$F$13, REGEXMATCH(assign, ""SINGLE_PARTY""))),
       "&amp;"  IF(
           OR(ARRAYFORMULA((IF(precondition="""", FALSE, REGEXMATCH($K$4:$ED$4, precondition))) * (K53:ED53=TRUE))),
           enhance,
           mitigation
         ),
         1
       )
     )
   )
 ) * EE53"),1.0)</f>
        <v>1</v>
      </c>
      <c r="FA53" s="206">
        <f t="shared" si="8"/>
        <v>0</v>
      </c>
      <c r="FB53" s="205">
        <f>IFERROR(__xludf.DUMMYFUNCTION("PRODUCT(
   MAP(
     K$3:ED$3,
     K$14:ED$14,
     K$13:ED$13,
     K53:ED53,
     LAMBDA(
       job,
       buff,
       target,
       check,
       IF(
         OR(AND(check=TRUE, REGEXMATCH(target, ""SELF_AFFECTED_ALL""), job=""戦士""), AND(check=Op"&amp;"tion!$F$13, REGEXMATCH(target, ""SINGLE_AFFECTED_ALL""))),
         buff,
         1
       )
     )
   )
 )"),1.0)</f>
        <v>1</v>
      </c>
      <c r="FC53" s="206">
        <f>IFERROR(__xludf.DUMMYFUNCTION("SUM(
   MAP(
     K$3:ED$3,
     K$7:ED$7,
     K$15:ED$15,
     K$16:ED$16,
     K$21:ED$21,
     K$5:ED$5,
     K$17:ED$17,
     K53:ED53,
     LAMBDA(
       job,
       abillity,
       buff,
       barrier,
       enhance,
       assign,
       preco"&amp;"ndition,
       check,
       IF(
         OR(AND(check=TRUE, REGEXMATCH(assign, ""SELF""), job=""戦士""), AND(check=Option!$F$13, REGEXMATCH(assign, ""SINGLE_PARTY""))),
         IF(
           OR(ARRAYFORMULA((IF(precondition="""", FALSE, REGEXMATCH($K$4:"&amp;"$ED$4, precondition))) * (K53:ED53=TRUE))),
           enhance,
           IF(barrier="""", buff, barrier)
         ),
         0
       ) *
       SWITCH(
         job,
         ""暗黒騎士"", FD$24,
         ""白魔道士"", EF53 * EH53 * FB53 * IF(abillity, 1, EG5"&amp;"3 * EI53) * (Option!$D$22 * 0.81 / 100),
         ""占星術師"", EF53 * EJ53 * FFB53 * IF(abillity, 1, EG53 * EK53) * (Option!$D$23 * 0.81 / 100),
         ""学者"", EF53 * EL53 * FB53 * IF(abillity, 1, EG53 * EM53) * (Option!$D$24 * 0.81 / 100),
         ""賢者"""&amp;", EF53 * EN53 * FB53 * IF(abillity, 1, EG53 * EO53) * (Option!$D$25 * 0.81 / 100),
         1
       )
     )
   )
 ) + EQ53"),0.0)</f>
        <v>0</v>
      </c>
      <c r="FD53" s="206">
        <f t="shared" si="9"/>
        <v>0</v>
      </c>
      <c r="FE53" s="205">
        <f>IFERROR(__xludf.DUMMYFUNCTION("PRODUCT(
   MAP(
     IF($F53=""Physical"", K$10:ED$10, IF($F53=""Magic"", K$11:ED$11, K$12:ED$12)),
     IF($F53=""Physical"", K$18:ED$18, IF($F53=""Magic"", K$19:ED$19, K$20:ED$20)),
     K$3:ED$3,
     K$5:ED$5,
     K$17:ED$17,
     K53:ED53,
     LAM"&amp;"BDA(
       mitigation,
       enhance,
       job,
       assign,
       precondition,
       check,
       IF(
         OR(AND(check=TRUE, REGEXMATCH(assign, ""SELF""), job=""暗黒騎士""), AND(check=Option!$G$13, REGEXMATCH(assign, ""SINGLE_PARTY""))),
     "&amp;"    IF(
           OR(ARRAYFORMULA((IF(precondition="""", FALSE, REGEXMATCH($K$4:$ED$4, precondition))) * (K53:ED53=TRUE))),
           enhance,
           mitigation
         ),
         1
       )
     )
   )
 ) * EE53"),1.0)</f>
        <v>1</v>
      </c>
      <c r="FF53" s="206">
        <f t="shared" si="10"/>
        <v>0</v>
      </c>
      <c r="FG53" s="205">
        <f>IFERROR(__xludf.DUMMYFUNCTION("PRODUCT(
   MAP(
     K$3:ED$3,
     K$14:ED$14,
     K$13:ED$13,
     K53:ED53,
     LAMBDA(
       job,
       buff,
       target,
       check,
       IF(
         OR(AND(check=TRUE, REGEXMATCH(target, ""SELF_AFFECTED_ALL""), job=""暗黒騎士""), AND(check="&amp;"Option!$G$13, REGEXMATCH(target, ""SINGLE_AFFECTED_ALL""))),
         buff,
         1
       )
     )
   )
 )"),1.0)</f>
        <v>1</v>
      </c>
      <c r="FH53" s="206">
        <f>IFERROR(__xludf.DUMMYFUNCTION("SUM(
   MAP(
     K$3:ED$3,
     K$7:ED$7,
     K$15:ED$15,
     K$16:ED$16,
     K$21:ED$21,
     K$5:ED$5,
     K$17:ED$17,
     K53:ED53,
     LAMBDA(
       job,
       abillity,
       buff,
       barrier,
       enhance,
       assign,
       preco"&amp;"ndition,
       check,
       IF(
         OR(AND(check=TRUE, REGEXMATCH(assign, ""SELF""), job=""暗黒騎士""), AND(check=Option!$G$13, REGEXMATCH(assign, ""SINGLE_PARTY""))),
         IF(
           OR(ARRAYFORMULA((IF(precondition="""", FALSE, REGEXMATCH($K$"&amp;"4:$ED$4, precondition))) * (K53:ED53=TRUE))),
           enhance,
           IF(barrier="""", buff, barrier)
         ),
         0
       ) *
       SWITCH(
         job,
         ""暗黒騎士"", FI$24,
         ""白魔道士"", EF53 * EH53 * FG53 * IF(abillity, 1, E"&amp;"G53 * EI53) * (Option!$D$22 * 0.81 / 100),
         ""占星術師"", EF53 * EJ53 * FG53 * IF(abillity, 1, EG53 * EK53) * (Option!$D$23 * 0.81 / 100),
         ""学者"", EF53 * EL53 * FG53 * IF(abillity, 1, EG53 * EM53) * (Option!$D$24 * 0.81 / 100),
         ""賢者"&amp;""", EF53 * EN53 * FG53 * IF(abillity, 1, EG53 * EO53) * (Option!$D$25 * 0.81 / 100),
         1
       )
     )
   )
 ) + EQ53"),0.0)</f>
        <v>0</v>
      </c>
      <c r="FI53" s="206">
        <f t="shared" si="11"/>
        <v>0</v>
      </c>
      <c r="FJ53" s="205">
        <f>IFERROR(__xludf.DUMMYFUNCTION("PRODUCT(
   MAP(
     IF($F53=""Physical"", K$10:ED$10, IF($F53=""Magic"", K$11:ED$11, K$12:ED$12)),
     IF($F53=""Physical"", K$18:ED$18, IF($F53=""Magic"", K$19:ED$19, K$20:ED$20)),
     K$3:ED$3,
     K$5:ED$5,
     K$17:ED$17,
     K53:ED53,
     LAM"&amp;"BDA(
       mitigation,
       enhance,
       job,
       assign,
       precondition,
       check,
       IF(
         OR(AND(check=TRUE, REGEXMATCH(assign, ""SELF""), job=""ガンブレイカー""), AND(check=Option!$H$13, REGEXMATCH(assign, ""SINGLE_PARTY""))),
  "&amp;"       IF(
           OR(ARRAYFORMULA((IF(precondition="""", FALSE, REGEXMATCH($K$4:$ED$4, precondition))) * (K53:ED53=TRUE))),
           enhance,
           mitigation
         ),
         1
       )
     )
   )
 ) * EE53"),1.0)</f>
        <v>1</v>
      </c>
      <c r="FK53" s="206">
        <f t="shared" si="12"/>
        <v>0</v>
      </c>
      <c r="FL53" s="205">
        <f>IFERROR(__xludf.DUMMYFUNCTION("PRODUCT(
   MAP(
     K$3:ED$3,
     K$14:ED$14,
     K$13:ED$13,
     K53:ED53,
     LAMBDA(
       job,
       buff,
       target,
       check,
       IF(
         OR(AND(check=TRUE, REGEXMATCH(target, ""SELF_AFFECTED_ALL""), job=""ガンブレイカー""), AND(che"&amp;"ck=Option!$H$13, REGEXMATCH(target, ""SINGLE_AFFECTED_ALL""))),
         buff,
         1
       )
     )
   )
 )"),1.0)</f>
        <v>1</v>
      </c>
      <c r="FM53" s="206">
        <f>IFERROR(__xludf.DUMMYFUNCTION("SUM(
   MAP(
     K$3:ED$3,
     K$7:ED$7,
     K$15:ED$15,
     K$16:ED$16,
     K$21:ED$21,
     K$5:ED$5,
     K$17:ED$17,
     K53:ED53,
     LAMBDA(
       job,
       abillity,
       buff,
       barrier,
       enhance,
       assign,
       preco"&amp;"ndition,
       check,
       IF(
         OR(AND(check=TRUE, REGEXMATCH(assign, ""SELF""), job=""ガンブレイカー""), AND(check=Option!$H$13, REGEXMATCH(assign, ""SINGLE_PARTY""))),
         IF(
           OR(ARRAYFORMULA((IF(precondition="""", FALSE, REGEXMATCH("&amp;"$K$4:$ED$4, precondition))) * (K53:ED53=TRUE))),
           enhance,
           IF(barrier="""", buff, barrier)
         ),
         0
       ) *
       SWITCH(
         job,
         ""暗黒騎士"", FN$24,
         ""白魔道士"", EF53 * EH53 * FL53 * IF(abillity, 1"&amp;", EG53 * EI53) * (Option!$D$22 * 0.81 / 100),
         ""占星術師"", EF53 * EJ53 * FL53 * IF(abillity, 1, EG53 * EK53) * (Option!$D$23 * 0.81 / 100),
         ""学者"", EF53 * EL53 * FL53 * IF(abillity, 1, EG53 * EM53) * (Option!$D$24 * 0.81 / 100),
         """&amp;"賢者"", EF53 * EN53 * FL53 * IF(abillity, 1, EG53 * EO53) * (Option!$D$25 * 0.81 / 100),
         1
       )
     )
   )
 ) + EQ53"),0.0)</f>
        <v>0</v>
      </c>
      <c r="FN53" s="206">
        <f t="shared" si="13"/>
        <v>0</v>
      </c>
      <c r="FO53" s="213"/>
    </row>
    <row r="54">
      <c r="B54" s="229"/>
      <c r="C54" s="217">
        <f t="shared" si="1"/>
        <v>0</v>
      </c>
      <c r="D54" s="236"/>
      <c r="E54" s="226"/>
      <c r="F54" s="167"/>
      <c r="G54" s="168" t="str">
        <f t="shared" si="2"/>
        <v/>
      </c>
      <c r="H54" s="169"/>
      <c r="I54" s="169"/>
      <c r="J54" s="169"/>
      <c r="K54" s="170" t="b">
        <v>0</v>
      </c>
      <c r="L54" s="170" t="b">
        <v>0</v>
      </c>
      <c r="M54" s="170" t="b">
        <v>0</v>
      </c>
      <c r="N54" s="171" t="s">
        <v>1070</v>
      </c>
      <c r="O54" s="172" t="b">
        <v>0</v>
      </c>
      <c r="P54" s="173" t="b">
        <v>0</v>
      </c>
      <c r="Q54" s="173" t="b">
        <v>0</v>
      </c>
      <c r="R54" s="173" t="b">
        <v>0</v>
      </c>
      <c r="S54" s="174" t="b">
        <v>0</v>
      </c>
      <c r="T54" s="175" t="b">
        <v>0</v>
      </c>
      <c r="U54" s="173" t="b">
        <v>0</v>
      </c>
      <c r="V54" s="171" t="s">
        <v>1070</v>
      </c>
      <c r="W54" s="172" t="b">
        <v>0</v>
      </c>
      <c r="X54" s="173" t="b">
        <v>0</v>
      </c>
      <c r="Y54" s="173" t="b">
        <v>0</v>
      </c>
      <c r="Z54" s="173" t="b">
        <v>0</v>
      </c>
      <c r="AA54" s="174" t="b">
        <v>0</v>
      </c>
      <c r="AB54" s="174" t="b">
        <v>0</v>
      </c>
      <c r="AC54" s="175" t="b">
        <v>0</v>
      </c>
      <c r="AD54" s="173" t="b">
        <v>0</v>
      </c>
      <c r="AE54" s="176" t="s">
        <v>1070</v>
      </c>
      <c r="AF54" s="171" t="s">
        <v>1070</v>
      </c>
      <c r="AG54" s="177">
        <f>IFERROR(__xludf.DUMMYFUNCTION("IF(
  ISNUMBER(AG53),
  MIN(MAX(
    AG53
    + MAX(
      ROUNDDOWN(($D54 - MAX(IFERROR(FILTER($D$24:$D53, AG$24:AG53 &lt;&gt; AF$6, AG$23:AG52 = AF$6), 0))) * (60 * 60 * 24) / AF$9) - ROUNDDOWN(($D53 - MAX(IFERROR(FILTER($D$23:$D52, AG$23:AG52 &lt;&gt; AF$6, AG$22:"&amp;"AG51 = AF$6), 0))) * (60 * 60 * 24) / 60),
      0
    )
    - COUNTIF(AF54, ""&lt;&gt;-""),
  0), AF$6),
  AF$6 - COUNTIF(AF54, ""&lt;&gt;-"")
)"),2.0)</f>
        <v>2</v>
      </c>
      <c r="AH54" s="173" t="b">
        <v>0</v>
      </c>
      <c r="AI54" s="173" t="b">
        <v>0</v>
      </c>
      <c r="AJ54" s="173" t="b">
        <v>0</v>
      </c>
      <c r="AK54" s="174" t="b">
        <v>0</v>
      </c>
      <c r="AL54" s="175" t="b">
        <v>0</v>
      </c>
      <c r="AM54" s="173" t="b">
        <v>0</v>
      </c>
      <c r="AN54" s="171" t="s">
        <v>1070</v>
      </c>
      <c r="AO54" s="173" t="b">
        <v>0</v>
      </c>
      <c r="AP54" s="173" t="b">
        <v>0</v>
      </c>
      <c r="AQ54" s="173" t="b">
        <v>0</v>
      </c>
      <c r="AR54" s="174" t="b">
        <v>0</v>
      </c>
      <c r="AS54" s="178" t="b">
        <v>0</v>
      </c>
      <c r="AT54" s="179" t="b">
        <v>0</v>
      </c>
      <c r="AU54" s="180" t="b">
        <v>0</v>
      </c>
      <c r="AV54" s="180" t="b">
        <v>0</v>
      </c>
      <c r="AW54" s="180" t="b">
        <v>0</v>
      </c>
      <c r="AX54" s="180" t="b">
        <v>0</v>
      </c>
      <c r="AY54" s="181" t="s">
        <v>1070</v>
      </c>
      <c r="AZ54" s="181" t="s">
        <v>1070</v>
      </c>
      <c r="BA54" s="184">
        <f>IFERROR(__xludf.DUMMYFUNCTION("IF(
  ISNUMBER(BA53),
  MIN(MAX(
    BA53
    + MAX(
      ROUNDDOWN((D54 - MAX(IFERROR(FILTER(D$24:D53, BA$24:BA53 &lt;&gt; AZ$6, BA$23:BA52 = AZ$6), 0))) * (60 * 60 * 24) / AZ$9) - ROUNDDOWN((D53 - MAX(IFERROR(FILTER(D$23:D52, BA$23:BA52 &lt;&gt; AZ$6, BA$22:BA51 ="&amp;" AZ$6), 0))) * (60 * 60 * 24) / AZ$9),
      0
    )
    - COUNTIF(AZ54, ""&lt;&gt;-""),
  0), AZ$6),
  AZ$6 - COUNTIF(AZ54, ""&lt;&gt;-"")
)"),2.0)</f>
        <v>2</v>
      </c>
      <c r="BB54" s="181" t="s">
        <v>1070</v>
      </c>
      <c r="BC54" s="183">
        <f>IFERROR(__xludf.DUMMYFUNCTION("IF(
  ISNUMBER(BC53),
  MIN(MAX(
    BC53
    + MAX(
      ROUNDDOWN(($D54 - MAX(IFERROR(FILTER($D$24:$D53, BC$24:BC53 &lt;&gt; BB$6, BC$23:BC52 = BB$6), 0))) * (60 * 60 * 24) / BB$9) - ROUNDDOWN(($D53 - MAX(IFERROR(FILTER($D$23:$D52, BC$23:BC52 &lt;&gt; BB$6, BC$22:"&amp;"BC51 = BB$6), 0))) * (60 * 60 * 24) / 60),
      0
    )
    - COUNTIF(BB54, ""&lt;&gt;-""),
  0), BB$6),
  BB$6 - COUNTIF(BB54, ""&lt;&gt;-"")
)"),2.0)</f>
        <v>2</v>
      </c>
      <c r="BD54" s="181" t="s">
        <v>1070</v>
      </c>
      <c r="BE54" s="178" t="b">
        <v>0</v>
      </c>
      <c r="BF54" s="180" t="b">
        <v>0</v>
      </c>
      <c r="BG54" s="180" t="b">
        <v>0</v>
      </c>
      <c r="BH54" s="180" t="b">
        <v>0</v>
      </c>
      <c r="BI54" s="180" t="b">
        <v>0</v>
      </c>
      <c r="BJ54" s="180" t="b">
        <v>0</v>
      </c>
      <c r="BK54" s="180" t="b">
        <v>0</v>
      </c>
      <c r="BL54" s="180" t="b">
        <v>0</v>
      </c>
      <c r="BM54" s="180" t="b">
        <v>0</v>
      </c>
      <c r="BN54" s="180" t="b">
        <v>0</v>
      </c>
      <c r="BO54" s="181" t="s">
        <v>1070</v>
      </c>
      <c r="BP54" s="181" t="s">
        <v>1070</v>
      </c>
      <c r="BQ54" s="181" t="s">
        <v>1070</v>
      </c>
      <c r="BR54" s="181" t="s">
        <v>1070</v>
      </c>
      <c r="BS54" s="181" t="s">
        <v>1070</v>
      </c>
      <c r="BT54" s="184">
        <f>IFERROR(__xludf.DUMMYFUNCTION("IF(
  ISNUMBER(BT53),
  MIN(MAX(
    BT53
    + MAX(
      ROUNDDOWN((D54 - MAX(IFERROR(FILTER(D$24:D53, BT$24:BT53 &lt;&gt; BS$6, BT$23:BT52 = BS$6), 0))) * (60 * 60 * 24) / BS$9) - ROUNDDOWN((D53 - MAX(IFERROR(FILTER(D$23:D52, BT$23:BT52 &lt;&gt; BS$6, BT$22:BT51 ="&amp;" BS$6), 0))) * (60 * 60 * 24) / BS$9),
      0
    )
    - COUNTIF(BS54, ""&lt;&gt;-""),
  0), BS$6),
  BS$6 - COUNTIF(BS54, ""&lt;&gt;-"")
)"),3.0)</f>
        <v>3</v>
      </c>
      <c r="BU54" s="181" t="s">
        <v>1070</v>
      </c>
      <c r="BV54" s="181" t="s">
        <v>1070</v>
      </c>
      <c r="BW54" s="184">
        <f>IFERROR(__xludf.DUMMYFUNCTION("IF(
  ISNUMBER(BW53),
  MIN(MAX(
    BW53
    + MAX(
      ROUNDDOWN((D54 - MAX(IFERROR(FILTER(D$24:D53, BW$24:BW53 &lt;&gt; BV$6, BW$23:BW52 = BV$6), 0))) * (60 * 60 * 24) / BV$9) - ROUNDDOWN((D53 - MAX(IFERROR(FILTER(D$23:D52, BW$23:BW52 &lt;&gt; BV$6, BW$22:BW51 ="&amp;" BV$6), 0))) * (60 * 60 * 24) / BV$9),
      0
    )
    - COUNTIF(BV54, ""&lt;&gt;-""),
  0), BV$6),
  BV$6 - COUNTIF(BV54, ""&lt;&gt;-"")
)"),2.0)</f>
        <v>2</v>
      </c>
      <c r="BX54" s="185" t="s">
        <v>1070</v>
      </c>
      <c r="BY54" s="178" t="b">
        <v>0</v>
      </c>
      <c r="BZ54" s="180" t="b">
        <v>0</v>
      </c>
      <c r="CA54" s="180" t="b">
        <v>0</v>
      </c>
      <c r="CB54" s="180" t="b">
        <v>0</v>
      </c>
      <c r="CC54" s="180" t="b">
        <v>0</v>
      </c>
      <c r="CD54" s="180" t="b">
        <v>0</v>
      </c>
      <c r="CE54" s="180" t="b">
        <v>0</v>
      </c>
      <c r="CF54" s="180" t="b">
        <v>0</v>
      </c>
      <c r="CG54" s="180" t="b">
        <v>0</v>
      </c>
      <c r="CH54" s="180" t="b">
        <v>0</v>
      </c>
      <c r="CI54" s="180" t="b">
        <v>0</v>
      </c>
      <c r="CJ54" s="180" t="b">
        <v>0</v>
      </c>
      <c r="CK54" s="180" t="b">
        <v>0</v>
      </c>
      <c r="CL54" s="180" t="b">
        <v>0</v>
      </c>
      <c r="CM54" s="181" t="s">
        <v>1070</v>
      </c>
      <c r="CN54" s="181" t="s">
        <v>1070</v>
      </c>
      <c r="CO54" s="181" t="s">
        <v>1070</v>
      </c>
      <c r="CP54" s="181" t="s">
        <v>1070</v>
      </c>
      <c r="CQ54" s="185" t="s">
        <v>1070</v>
      </c>
      <c r="CR54" s="180" t="b">
        <v>0</v>
      </c>
      <c r="CS54" s="186" t="str">
        <f t="shared" si="14"/>
        <v>◇◇◇</v>
      </c>
      <c r="CT54" s="178" t="b">
        <v>0</v>
      </c>
      <c r="CU54" s="180" t="b">
        <v>0</v>
      </c>
      <c r="CV54" s="180" t="b">
        <v>0</v>
      </c>
      <c r="CW54" s="180" t="b">
        <v>0</v>
      </c>
      <c r="CX54" s="180" t="b">
        <v>0</v>
      </c>
      <c r="CY54" s="180" t="b">
        <v>0</v>
      </c>
      <c r="CZ54" s="180" t="b">
        <v>0</v>
      </c>
      <c r="DA54" s="180" t="b">
        <v>0</v>
      </c>
      <c r="DB54" s="180" t="b">
        <v>0</v>
      </c>
      <c r="DC54" s="180" t="b">
        <v>0</v>
      </c>
      <c r="DD54" s="181" t="s">
        <v>1070</v>
      </c>
      <c r="DE54" s="181" t="s">
        <v>1070</v>
      </c>
      <c r="DF54" s="181" t="s">
        <v>1070</v>
      </c>
      <c r="DG54" s="185" t="s">
        <v>1070</v>
      </c>
      <c r="DH54" s="180" t="b">
        <v>0</v>
      </c>
      <c r="DI54" s="187" t="str">
        <f>IFERROR(__xludf.DUMMYFUNCTION("SWITCH(
  IF(
    ISTEXT(DI53),
    IF (
      FIND(""○"", DI53&amp;""○"") &gt; 3,
      3,
      FIND(""○"", DI53&amp;""○"")
      + MAX(
        ROUNDDOWN(($D54 - MAX(IFERROR(FILTER(D$24:D53, DI$24:DI53 &lt;&gt; ""●●●"", DI$23:DI52 = ""●●●""), 0))) * (60 * 60 * 24) / 20"&amp;") - ROUNDDOWN(($D53 - MAX(IFERROR(FILTER(D$23:D52, DI$23:DI52 &lt;&gt; ""●●●"", DI$22:DI51 = ""●●●""), 0))) * (60 * 60 * 24) / 20),
        0
      ) - 1
    ) - COUNTIFS(CU54, ""=TRUE"", CU53, ""&lt;&gt;TRUE"") - COUNTIF(CZ54, ""=TRUE"") - COUNTIF({DD54,DE54}, ""&lt;&gt;-"&amp;""") + COUNTIF(DH54, ""=TRUE""),
    3
  ),
  0, ""○○○"", 1, ""●○○"", 2, ""●●○"", 3, ""●●●"", 4, ""●●●"", ""○○○""
)"),"●●●")</f>
        <v>●●●</v>
      </c>
      <c r="DJ54" s="188" t="b">
        <v>0</v>
      </c>
      <c r="DK54" s="189" t="b">
        <v>0</v>
      </c>
      <c r="DL54" s="190" t="b">
        <v>0</v>
      </c>
      <c r="DM54" s="190" t="b">
        <v>0</v>
      </c>
      <c r="DN54" s="190" t="b">
        <v>0</v>
      </c>
      <c r="DO54" s="190" t="b">
        <v>0</v>
      </c>
      <c r="DP54" s="190" t="b">
        <v>0</v>
      </c>
      <c r="DQ54" s="191" t="b">
        <v>0</v>
      </c>
      <c r="DR54" s="192" t="b">
        <v>0</v>
      </c>
      <c r="DS54" s="191" t="b">
        <v>0</v>
      </c>
      <c r="DT54" s="192" t="b">
        <v>0</v>
      </c>
      <c r="DU54" s="191" t="b">
        <v>0</v>
      </c>
      <c r="DV54" s="193">
        <v>0.0</v>
      </c>
      <c r="DW54" s="194" t="b">
        <v>0</v>
      </c>
      <c r="DX54" s="194" t="b">
        <v>0</v>
      </c>
      <c r="DY54" s="195" t="b">
        <v>0</v>
      </c>
      <c r="DZ54" s="196" t="b">
        <v>0</v>
      </c>
      <c r="EA54" s="195" t="b">
        <v>0</v>
      </c>
      <c r="EB54" s="197" t="b">
        <v>0</v>
      </c>
      <c r="EC54" s="197" t="b">
        <v>0</v>
      </c>
      <c r="ED54" s="212" t="b">
        <v>0</v>
      </c>
      <c r="EE54" s="199">
        <f>IFERROR(__xludf.DUMMYFUNCTION("IFERROR(
   PRODUCT(
     MAP(
       INDEX(TRANSPOSE(UNIQUE(TRANSPOSE(FILTER({IF($F54=""Physical"", K$10:ED$10, IF($F54=""Magic"", K$11:ED$11, K$12:ED$12));K$4:ED$4;K54:ED54}, K54:ED54=TRUE)))), 1, 0),
       INDEX(TRANSPOSE(UNIQUE(TRANSPOSE(FILTER({IF($"&amp;"F54=""Physical"", K$18:ED$18, IF($F54=""Magic"", K$19:ED$19, K$20:ED$20));K$4:ED$4;K54:ED54}, K54:ED54=TRUE)))), 1, 0),
       INDEX(TRANSPOSE(UNIQUE(TRANSPOSE(FILTER({K$5:ED$5;K$4:ED$4;K54:ED54}, K54:ED54=TRUE)))), 1, 0),
       INDEX(TRANSPOSE(UNIQUE(TR"&amp;"ANSPOSE(FILTER({K$17:ED$17;K$4:ED$4;K54:ED54}, K54:ED54=TRUE)))), 1, 0),
       LAMBDA(
         mitigation,
         enhance,
         assign,
         precondition,
         IF(
           REGEXMATCH(assign, ""RANGE_PARTY|SINGLE_ENEMY|RANGE_ENEMY""),
  "&amp;"         IF(
             OR(ARRAYFORMULA((IF(precondition="""", FALSE, REGEXMATCH(K$4:ED$4, precondition))) * (K54:ED54=TRUE))),
             IF(ISNUMBER(enhance), enhance, 1),
             IF(ISNUMBER(mitigation), mitigation, 1)
           ),
          "&amp;" 1
         )
       )
     )
   ),
   1
 )"),1.0)</f>
        <v>1</v>
      </c>
      <c r="EF54" s="200">
        <f>IFERROR(__xludf.DUMMYFUNCTION("PRODUCT(
   MAP(
     K$14:ED$14,
     K$13:ED$13,
     K54:ED54,
     LAMBDA(
       buff,
       target,
       check,
       IF(
         AND(check=TRUE, REGEXMATCH(target, ""RANGE_AFFECTED_ALL|RANGE_EFFECTED_ALL""), ISNUMBER(buff)),
         buff,
   "&amp;"      1
       )
     )
   )
 )"),1.0)</f>
        <v>1</v>
      </c>
      <c r="EG54" s="200">
        <f>IFERROR(__xludf.DUMMYFUNCTION("PRODUCT(
   MAP(
     K$14:ED$14,
     K$13:ED$13,
     K54:ED54,
     LAMBDA(
       buff,
       target,
       check,
       IF(
         AND(check=TRUE, REGEXMATCH(target, ""RANGE_AFFECTED_GCD|RANGE_EFFECTED_GCD""), ISNUMBER(buff)),
         buff,
   "&amp;"      1
       )
     )
   )
 )"),1.0)</f>
        <v>1</v>
      </c>
      <c r="EH54" s="200">
        <f>IFERROR(__xludf.DUMMYFUNCTION("PRODUCT(
   MAP(
     K$3:ED$3,
     K$14:ED$14,
     K$13:ED$13,
     K54:ED54,
     LAMBDA(
       job,
       buff,
       target,
       check,
       IF(
         AND(check=TRUE, REGEXMATCH(target, ""SELF_EFFECTED_ALL""), ISNUMBER(buff), job=""白魔道士"""&amp;"),
         buff,
         1
       )
     )
   )
 )"),1.0)</f>
        <v>1</v>
      </c>
      <c r="EI54" s="200">
        <f>IFERROR(__xludf.DUMMYFUNCTION("PRODUCT(
   MAP(
     K$3:ED$3,
     K$14:ED$14,
     K$13:ED$13,
     K54:ED54,
     LAMBDA(
       job,
       buff,
       target,
       check,
       IF(
         AND(check=TRUE, REGEXMATCH(target, ""SELF_EFFECTED_GCD""), ISNUMBER(buff), job=""白魔道士"""&amp;"),
         buff,
         1
       )
     )
   )
 )"),1.0)</f>
        <v>1</v>
      </c>
      <c r="EJ54" s="200">
        <f>IFERROR(__xludf.DUMMYFUNCTION("PRODUCT(
   MAP(
     K$3:ED$3,
     K$14:ED$14,
     K$13:ED$13,
     K54:ED54,
     LAMBDA(
       job,
       buff,
       target,
       check,
       IF(
         AND(check=TRUE, REGEXMATCH(target, ""SELF_EFFECTED_ALL""), ISNUMBER(buff), job=""占星術師"""&amp;"),
         buff,
         1
       )
     )
   )
 )"),1.0)</f>
        <v>1</v>
      </c>
      <c r="EK54" s="200">
        <f>IFERROR(__xludf.DUMMYFUNCTION("PRODUCT(
   MAP(
     K$3:ED$3,
     K$14:ED$14,
     K$13:ED$13,
     K54:ED54,
     LAMBDA(
       job,
       buff,
       target,
       check,
       IF(
         AND(check=TRUE, REGEXMATCH(target, ""SELF_EFFECTED_GCD""), ISNUMBER(buff), job=""占星術師"""&amp;"),
         buff,
         1
       )
     )
   )
 )"),1.0)</f>
        <v>1</v>
      </c>
      <c r="EL54" s="200">
        <f>IFERROR(__xludf.DUMMYFUNCTION("PRODUCT(
   MAP(
     K$3:ED$3,
     K$14:ED$14,
     K$13:ED$13,
     K54:ED54,
     LAMBDA(
       job,
       buff,
       target,
       check,
       IF(
         AND(check=TRUE, REGEXMATCH(target, ""SELF_EFFECTED_ALL""), ISNUMBER(buff), job=""学者""),"&amp;"
         buff,
         1
       )
     )
   )
 )"),1.0)</f>
        <v>1</v>
      </c>
      <c r="EM54" s="200">
        <f>IFERROR(__xludf.DUMMYFUNCTION("PRODUCT(
   MAP(
     K$3:ED$3,
     K$14:ED$14,
     K$13:ED$13,
     K54:ED54,
     LAMBDA(
       job,
       buff,
       target,
       check,
       IF(
         AND(check=TRUE, REGEXMATCH(target, ""SELF_EFFECTED_GCD""), ISNUMBER(buff), job=""学者""),"&amp;"
         buff,
         1
       )
     )
   )
 )"),1.0)</f>
        <v>1</v>
      </c>
      <c r="EN54" s="200">
        <f>IFERROR(__xludf.DUMMYFUNCTION("PRODUCT(
   MAP(
     K$3:ED$3,
     K$14:ED$14,
     K$13:ED$13,
     K54:ED54,
     LAMBDA(
       job,
       buff,
       target,
       check,
       IF(
         AND(check=TRUE, REGEXMATCH(target, ""SELF_EFFECTED_ALL""), ISNUMBER(buff), job=""賢者""),"&amp;"
         buff,
         1
       )
     )
   )
 )"),1.0)</f>
        <v>1</v>
      </c>
      <c r="EO54" s="200">
        <f>IFERROR(__xludf.DUMMYFUNCTION("PRODUCT(
   MAP(
     K$3:ED$3,
     K$14:ED$14,
     K$13:ED$13,
     K54:ED54,
     LAMBDA(
       job,
       buff,
       target,
       check,
       IF(
         AND(check=TRUE, REGEXMATCH(target, ""SELF_EFFECTED_GCD""), ISNUMBER(buff), job=""賢者""),"&amp;"
         buff,
         1
       )
     )
   )
 )"),1.0)</f>
        <v>1</v>
      </c>
      <c r="EP54" s="201">
        <f t="shared" si="3"/>
        <v>0</v>
      </c>
      <c r="EQ54" s="201">
        <f>IFERROR(__xludf.DUMMYFUNCTION("SUM(
   MAP(
     K$4:ED$4,
     K$3:ED$3,
     K$7:ED$7,
     K$15:ED$15,
     K$16:ED$16,
     K$21:ED$21,
     K$5:ED$5,
     K$17:ED$17,
     K54:ED54,
     LAMBDA(
       name,
       job,
       abillity,
       buff,
       barrier,
       enhance,"&amp;"
       assign,
       precondition,
       check,
       SWITCH(
         name,
         ""シェイクオフ"", IF(check=TRUE, buff + (0.02 * COUNTIF(ARRAYFORMULA((REGEXMATCH($K$4:$ED$4, ""スリル・オブ・バトル|ヴェンジェンス|原初の血気|ダムネーション"")) * (K54:ED54=TRUE)), 1)), 0),
         "&amp;"""インプロビゼーションフィニッシュ(踊りの激情0)"", IF(ISNUMBER(check), INDEX(Skill!$AJ:$AJ, MATCH(SUBSTITUTE(DV$4, 0, check), Skill!$C:$C, 0)), 0),
         IF(
           AND(check=TRUE, REGEXMATCH(assign, ""RANGE_PARTY"")),
           IF(
             OR(ARRAYFORMULA((IF(pr"&amp;"econdition="""", FALSE, REGEXMATCH($K$4:$ED$4, precondition))) * (K54:ED54=TRUE))),
             enhance,
             IF(barrier="""", buff, barrier)
           ),
           0
         )
       ) *
       SWITCH(
         job,
         ""ナイト"", EY$24,
 "&amp;"        ""戦士"", FD$24,
         ""踊り子"", ET$24,
         ""ピクトマンサー"", ET$24,
         ""白魔道士"", EF54 * EH54 * IF(abillity, 1, EG54 * EI54) * (Option!$D$22 * 0.81 / 100),
         ""占星術師"", EF54 * EJ54 * IF(abillity, 1, EG54 * EK54) * (Option!$D$23 * 0.81 "&amp;"/ 100),
         ""学者"", EF54 * EL54 * IF(abillity, 1, EG54 * EM54) * (Option!$D$24 * 0.81 / 100),
         ""賢者"", EF54 * EN54 * IF(abillity, 1, EG54 * EO54) * (Option!$D$25 * 0.81 / 100),
         1
       )
     )
   )
 )"),7100.0)</f>
        <v>7100</v>
      </c>
      <c r="ER54" s="202">
        <f t="shared" si="4"/>
        <v>0</v>
      </c>
      <c r="ES54" s="203">
        <f t="shared" si="5"/>
        <v>0</v>
      </c>
      <c r="ET54" s="204" t="str">
        <f>IFERROR(__xludf.DUMMYFUNCTION("IFS(
  EP54 &gt; $ET$24 + EQ54,
  SPARKLINE({ 1, 0 }, {""charttype"",""bar"";""max"", 1;""color1"",Option!$D$30;""color2"",Option!$D$30}),
  EP54 &lt; EQ54,
  SPARKLINE({EQ54 - EP54, $ET$24 - (EQ54 - EP54)}, {""charttype"",""bar"";""max"",$ET$24;""color1"",Opti"&amp;"on!$D$28;""color2"",Option!$D$29}),
  EP54 &gt;= EQ54,
  SPARKLINE({$ET$24 + EQ54 - EP54,EP54 - EQ54}, {""charttype"",""bar"";""max"",$ET$24;""color1"",Option!$D$29;""color2"",Option!$D$30})
)"),"")</f>
        <v/>
      </c>
      <c r="EU54" s="205">
        <f>IFERROR(__xludf.DUMMYFUNCTION("PRODUCT(
   MAP(
     IF($F54=""Physical"", K$10:ED$10, IF($F54=""Magic"", K$11:ED$11, K$12:ED$12)),
     IF($F54=""Physical"", K$18:ED$18, IF($F54=""Magic"", K$19:ED$19, K$20:ED$20)),
     K$3:ED$3,
     K$5:ED$5,
     K$17:ED$17,
     K54:ED54,
     LAM"&amp;"BDA(
       mitigation,
       enhance,
       job,
       assign,
       precondition,
       check,
       IF(
         OR(AND(check=TRUE, REGEXMATCH(assign, ""SELF""), job=""ナイト""), AND(check=Option!$E$13, REGEXMATCH(assign, ""SINGLE_PARTY""))),
      "&amp;"   IF(
           OR(ARRAYFORMULA((IF(precondition="""", FALSE, REGEXMATCH($K$4:$ED$4, precondition))) * (K54:ED54=TRUE))),
           enhance,
           mitigation
         ),
         1
       )
     )
   )
 ) * EE54"),1.0)</f>
        <v>1</v>
      </c>
      <c r="EV54" s="206">
        <f t="shared" si="6"/>
        <v>0</v>
      </c>
      <c r="EW54" s="205">
        <f>IFERROR(__xludf.DUMMYFUNCTION("PRODUCT(
   MAP(
     K$3:ED$3,
     K$14:ED$14,
     K$13:ED$13,
     K54:ED54,
     LAMBDA(
       job,
       buff,
       target,
       check,
       IF(
         OR(AND(check=TRUE, REGEXMATCH(target, ""SELF_AFFECTED_ALL""), job=""ナイト""), AND(check=O"&amp;"ption!$E$13, REGEXMATCH(target, ""SINGLE_AFFECTED_ALL""))),
         buff,
         1
       )
     )
   )
 )"),1.0)</f>
        <v>1</v>
      </c>
      <c r="EX54" s="206">
        <f>IFERROR(__xludf.DUMMYFUNCTION("SUM(
   MAP(
     K$3:ED$3,
     K$7:ED$7,
     K$15:ED$15,
     K$16:ED$16,
     K$21:ED$21,
     K$5:ED$5,
     K$17:ED$17,
     K54:ED54,
     LAMBDA(
       job,
       abillity,
       buff,
       barrier,
       enhance,
       assign,
       preco"&amp;"ndition,
       check,
       IF(
         OR(AND(check=TRUE, REGEXMATCH(assign, ""SELF""), job=""ナイト""), AND(check=Option!$E$13, REGEXMATCH(assign, ""SINGLE_PARTY""))),
         IF(
           OR(ARRAYFORMULA((IF(precondition="""", FALSE, REGEXMATCH($K$4"&amp;":$ED$4, precondition))) * (K54:ED54=TRUE))),
           enhance,
           IF(barrier="""", buff, barrier)
         ),
         0
       ) *
       SWITCH(
         job,
         ""暗黒騎士"", EY$24,
         ""白魔道士"", EF54 * EH54 * EW54 * IF(abillity, 1, EG"&amp;"54 * EI54) * (Option!$D$22 * 0.81 / 100),
         ""占星術師"", EF54 * EJ54 * EW54 * IF(abillity, 1, EG54 * EK54) * (Option!$D$23 * 0.81 / 100),
         ""学者"", EF54 * EL54 * EW54 * IF(abillity, 1, EG54 * EM54) * (Option!$D$24 * 0.81 / 100),
         ""賢者"""&amp;", EF54 * EN54 * EW54 * IF(abillity, 1, EG54 * EO54) * (Option!$D$25 * 0.81 / 100),
         1
       )
     )
   )
 ) + EQ54"),7100.0)</f>
        <v>7100</v>
      </c>
      <c r="EY54" s="206">
        <f t="shared" si="7"/>
        <v>0</v>
      </c>
      <c r="EZ54" s="205">
        <f>IFERROR(__xludf.DUMMYFUNCTION("PRODUCT(
   MAP(
     IF($F54=""Physical"", K$10:ED$10, IF($F54=""Magic"", K$11:ED$11, K$12:ED$12)),
     IF($F54=""Physical"", K$18:ED$18, IF($F54=""Magic"", K$19:ED$19, K$20:ED$20)),
     K$3:ED$3,
     K$5:ED$5,
     K$17:ED$17,
     K54:ED54,
     LAM"&amp;"BDA(
       mitigation,
       enhance,
       job,
       assign,
       precondition,
       check,
       IF(
         OR(AND(check=TRUE, REGEXMATCH(assign, ""SELF""), job=""戦士""), AND(check=Option!$F$13, REGEXMATCH(assign, ""SINGLE_PARTY""))),
       "&amp;"  IF(
           OR(ARRAYFORMULA((IF(precondition="""", FALSE, REGEXMATCH($K$4:$ED$4, precondition))) * (K54:ED54=TRUE))),
           enhance,
           mitigation
         ),
         1
       )
     )
   )
 ) * EE54"),1.0)</f>
        <v>1</v>
      </c>
      <c r="FA54" s="206">
        <f t="shared" si="8"/>
        <v>0</v>
      </c>
      <c r="FB54" s="205">
        <f>IFERROR(__xludf.DUMMYFUNCTION("PRODUCT(
   MAP(
     K$3:ED$3,
     K$14:ED$14,
     K$13:ED$13,
     K54:ED54,
     LAMBDA(
       job,
       buff,
       target,
       check,
       IF(
         OR(AND(check=TRUE, REGEXMATCH(target, ""SELF_AFFECTED_ALL""), job=""戦士""), AND(check=Op"&amp;"tion!$F$13, REGEXMATCH(target, ""SINGLE_AFFECTED_ALL""))),
         buff,
         1
       )
     )
   )
 )"),1.0)</f>
        <v>1</v>
      </c>
      <c r="FC54" s="206">
        <f>IFERROR(__xludf.DUMMYFUNCTION("SUM(
   MAP(
     K$3:ED$3,
     K$7:ED$7,
     K$15:ED$15,
     K$16:ED$16,
     K$21:ED$21,
     K$5:ED$5,
     K$17:ED$17,
     K54:ED54,
     LAMBDA(
       job,
       abillity,
       buff,
       barrier,
       enhance,
       assign,
       preco"&amp;"ndition,
       check,
       IF(
         OR(AND(check=TRUE, REGEXMATCH(assign, ""SELF""), job=""戦士""), AND(check=Option!$F$13, REGEXMATCH(assign, ""SINGLE_PARTY""))),
         IF(
           OR(ARRAYFORMULA((IF(precondition="""", FALSE, REGEXMATCH($K$4:"&amp;"$ED$4, precondition))) * (K54:ED54=TRUE))),
           enhance,
           IF(barrier="""", buff, barrier)
         ),
         0
       ) *
       SWITCH(
         job,
         ""暗黒騎士"", FD$24,
         ""白魔道士"", EF54 * EH54 * FB54 * IF(abillity, 1, EG5"&amp;"4 * EI54) * (Option!$D$22 * 0.81 / 100),
         ""占星術師"", EF54 * EJ54 * FFB54 * IF(abillity, 1, EG54 * EK54) * (Option!$D$23 * 0.81 / 100),
         ""学者"", EF54 * EL54 * FB54 * IF(abillity, 1, EG54 * EM54) * (Option!$D$24 * 0.81 / 100),
         ""賢者"""&amp;", EF54 * EN54 * FB54 * IF(abillity, 1, EG54 * EO54) * (Option!$D$25 * 0.81 / 100),
         1
       )
     )
   )
 ) + EQ54"),7100.0)</f>
        <v>7100</v>
      </c>
      <c r="FD54" s="206">
        <f t="shared" si="9"/>
        <v>0</v>
      </c>
      <c r="FE54" s="205">
        <f>IFERROR(__xludf.DUMMYFUNCTION("PRODUCT(
   MAP(
     IF($F54=""Physical"", K$10:ED$10, IF($F54=""Magic"", K$11:ED$11, K$12:ED$12)),
     IF($F54=""Physical"", K$18:ED$18, IF($F54=""Magic"", K$19:ED$19, K$20:ED$20)),
     K$3:ED$3,
     K$5:ED$5,
     K$17:ED$17,
     K54:ED54,
     LAM"&amp;"BDA(
       mitigation,
       enhance,
       job,
       assign,
       precondition,
       check,
       IF(
         OR(AND(check=TRUE, REGEXMATCH(assign, ""SELF""), job=""暗黒騎士""), AND(check=Option!$G$13, REGEXMATCH(assign, ""SINGLE_PARTY""))),
     "&amp;"    IF(
           OR(ARRAYFORMULA((IF(precondition="""", FALSE, REGEXMATCH($K$4:$ED$4, precondition))) * (K54:ED54=TRUE))),
           enhance,
           mitigation
         ),
         1
       )
     )
   )
 ) * EE54"),1.0)</f>
        <v>1</v>
      </c>
      <c r="FF54" s="206">
        <f t="shared" si="10"/>
        <v>0</v>
      </c>
      <c r="FG54" s="205">
        <f>IFERROR(__xludf.DUMMYFUNCTION("PRODUCT(
   MAP(
     K$3:ED$3,
     K$14:ED$14,
     K$13:ED$13,
     K54:ED54,
     LAMBDA(
       job,
       buff,
       target,
       check,
       IF(
         OR(AND(check=TRUE, REGEXMATCH(target, ""SELF_AFFECTED_ALL""), job=""暗黒騎士""), AND(check="&amp;"Option!$G$13, REGEXMATCH(target, ""SINGLE_AFFECTED_ALL""))),
         buff,
         1
       )
     )
   )
 )"),1.0)</f>
        <v>1</v>
      </c>
      <c r="FH54" s="206">
        <f>IFERROR(__xludf.DUMMYFUNCTION("SUM(
   MAP(
     K$3:ED$3,
     K$7:ED$7,
     K$15:ED$15,
     K$16:ED$16,
     K$21:ED$21,
     K$5:ED$5,
     K$17:ED$17,
     K54:ED54,
     LAMBDA(
       job,
       abillity,
       buff,
       barrier,
       enhance,
       assign,
       preco"&amp;"ndition,
       check,
       IF(
         OR(AND(check=TRUE, REGEXMATCH(assign, ""SELF""), job=""暗黒騎士""), AND(check=Option!$G$13, REGEXMATCH(assign, ""SINGLE_PARTY""))),
         IF(
           OR(ARRAYFORMULA((IF(precondition="""", FALSE, REGEXMATCH($K$"&amp;"4:$ED$4, precondition))) * (K54:ED54=TRUE))),
           enhance,
           IF(barrier="""", buff, barrier)
         ),
         0
       ) *
       SWITCH(
         job,
         ""暗黒騎士"", FI$24,
         ""白魔道士"", EF54 * EH54 * FG54 * IF(abillity, 1, E"&amp;"G54 * EI54) * (Option!$D$22 * 0.81 / 100),
         ""占星術師"", EF54 * EJ54 * FG54 * IF(abillity, 1, EG54 * EK54) * (Option!$D$23 * 0.81 / 100),
         ""学者"", EF54 * EL54 * FG54 * IF(abillity, 1, EG54 * EM54) * (Option!$D$24 * 0.81 / 100),
         ""賢者"&amp;""", EF54 * EN54 * FG54 * IF(abillity, 1, EG54 * EO54) * (Option!$D$25 * 0.81 / 100),
         1
       )
     )
   )
 ) + EQ54"),7100.0)</f>
        <v>7100</v>
      </c>
      <c r="FI54" s="206">
        <f t="shared" si="11"/>
        <v>0</v>
      </c>
      <c r="FJ54" s="205">
        <f>IFERROR(__xludf.DUMMYFUNCTION("PRODUCT(
   MAP(
     IF($F54=""Physical"", K$10:ED$10, IF($F54=""Magic"", K$11:ED$11, K$12:ED$12)),
     IF($F54=""Physical"", K$18:ED$18, IF($F54=""Magic"", K$19:ED$19, K$20:ED$20)),
     K$3:ED$3,
     K$5:ED$5,
     K$17:ED$17,
     K54:ED54,
     LAM"&amp;"BDA(
       mitigation,
       enhance,
       job,
       assign,
       precondition,
       check,
       IF(
         OR(AND(check=TRUE, REGEXMATCH(assign, ""SELF""), job=""ガンブレイカー""), AND(check=Option!$H$13, REGEXMATCH(assign, ""SINGLE_PARTY""))),
  "&amp;"       IF(
           OR(ARRAYFORMULA((IF(precondition="""", FALSE, REGEXMATCH($K$4:$ED$4, precondition))) * (K54:ED54=TRUE))),
           enhance,
           mitigation
         ),
         1
       )
     )
   )
 ) * EE54"),1.0)</f>
        <v>1</v>
      </c>
      <c r="FK54" s="206">
        <f t="shared" si="12"/>
        <v>0</v>
      </c>
      <c r="FL54" s="205">
        <f>IFERROR(__xludf.DUMMYFUNCTION("PRODUCT(
   MAP(
     K$3:ED$3,
     K$14:ED$14,
     K$13:ED$13,
     K54:ED54,
     LAMBDA(
       job,
       buff,
       target,
       check,
       IF(
         OR(AND(check=TRUE, REGEXMATCH(target, ""SELF_AFFECTED_ALL""), job=""ガンブレイカー""), AND(che"&amp;"ck=Option!$H$13, REGEXMATCH(target, ""SINGLE_AFFECTED_ALL""))),
         buff,
         1
       )
     )
   )
 )"),1.0)</f>
        <v>1</v>
      </c>
      <c r="FM54" s="206">
        <f>IFERROR(__xludf.DUMMYFUNCTION("SUM(
   MAP(
     K$3:ED$3,
     K$7:ED$7,
     K$15:ED$15,
     K$16:ED$16,
     K$21:ED$21,
     K$5:ED$5,
     K$17:ED$17,
     K54:ED54,
     LAMBDA(
       job,
       abillity,
       buff,
       barrier,
       enhance,
       assign,
       preco"&amp;"ndition,
       check,
       IF(
         OR(AND(check=TRUE, REGEXMATCH(assign, ""SELF""), job=""ガンブレイカー""), AND(check=Option!$H$13, REGEXMATCH(assign, ""SINGLE_PARTY""))),
         IF(
           OR(ARRAYFORMULA((IF(precondition="""", FALSE, REGEXMATCH("&amp;"$K$4:$ED$4, precondition))) * (K54:ED54=TRUE))),
           enhance,
           IF(barrier="""", buff, barrier)
         ),
         0
       ) *
       SWITCH(
         job,
         ""暗黒騎士"", FN$24,
         ""白魔道士"", EF54 * EH54 * FL54 * IF(abillity, 1"&amp;", EG54 * EI54) * (Option!$D$22 * 0.81 / 100),
         ""占星術師"", EF54 * EJ54 * FL54 * IF(abillity, 1, EG54 * EK54) * (Option!$D$23 * 0.81 / 100),
         ""学者"", EF54 * EL54 * FL54 * IF(abillity, 1, EG54 * EM54) * (Option!$D$24 * 0.81 / 100),
         """&amp;"賢者"", EF54 * EN54 * FL54 * IF(abillity, 1, EG54 * EO54) * (Option!$D$25 * 0.81 / 100),
         1
       )
     )
   )
 ) + EQ54"),7100.0)</f>
        <v>7100</v>
      </c>
      <c r="FN54" s="206">
        <f t="shared" si="13"/>
        <v>0</v>
      </c>
      <c r="FO54" s="213"/>
    </row>
    <row r="55">
      <c r="B55" s="229"/>
      <c r="C55" s="217">
        <f t="shared" si="1"/>
        <v>0</v>
      </c>
      <c r="D55" s="236"/>
      <c r="E55" s="244"/>
      <c r="F55" s="167"/>
      <c r="G55" s="168" t="str">
        <f t="shared" si="2"/>
        <v/>
      </c>
      <c r="H55" s="169"/>
      <c r="I55" s="169"/>
      <c r="J55" s="169"/>
      <c r="K55" s="170" t="b">
        <v>0</v>
      </c>
      <c r="L55" s="170" t="b">
        <v>0</v>
      </c>
      <c r="M55" s="170" t="b">
        <v>0</v>
      </c>
      <c r="N55" s="171" t="s">
        <v>1070</v>
      </c>
      <c r="O55" s="172" t="b">
        <v>0</v>
      </c>
      <c r="P55" s="173" t="b">
        <v>0</v>
      </c>
      <c r="Q55" s="173" t="b">
        <v>0</v>
      </c>
      <c r="R55" s="173" t="b">
        <v>0</v>
      </c>
      <c r="S55" s="174" t="b">
        <v>0</v>
      </c>
      <c r="T55" s="175" t="b">
        <v>0</v>
      </c>
      <c r="U55" s="173" t="b">
        <v>0</v>
      </c>
      <c r="V55" s="171" t="s">
        <v>1070</v>
      </c>
      <c r="W55" s="172" t="b">
        <v>0</v>
      </c>
      <c r="X55" s="173" t="b">
        <v>0</v>
      </c>
      <c r="Y55" s="173" t="b">
        <v>0</v>
      </c>
      <c r="Z55" s="173" t="b">
        <v>0</v>
      </c>
      <c r="AA55" s="174" t="b">
        <v>0</v>
      </c>
      <c r="AB55" s="174" t="b">
        <v>0</v>
      </c>
      <c r="AC55" s="175" t="b">
        <v>0</v>
      </c>
      <c r="AD55" s="173" t="b">
        <v>0</v>
      </c>
      <c r="AE55" s="176" t="s">
        <v>1070</v>
      </c>
      <c r="AF55" s="171" t="s">
        <v>1070</v>
      </c>
      <c r="AG55" s="177">
        <f>IFERROR(__xludf.DUMMYFUNCTION("IF(
  ISNUMBER(AG54),
  MIN(MAX(
    AG54
    + MAX(
      ROUNDDOWN(($D55 - MAX(IFERROR(FILTER($D$24:$D54, AG$24:AG54 &lt;&gt; AF$6, AG$23:AG53 = AF$6), 0))) * (60 * 60 * 24) / AF$9) - ROUNDDOWN(($D54 - MAX(IFERROR(FILTER($D$23:$D53, AG$23:AG53 &lt;&gt; AF$6, AG$22:"&amp;"AG52 = AF$6), 0))) * (60 * 60 * 24) / 60),
      0
    )
    - COUNTIF(AF55, ""&lt;&gt;-""),
  0), AF$6),
  AF$6 - COUNTIF(AF55, ""&lt;&gt;-"")
)"),2.0)</f>
        <v>2</v>
      </c>
      <c r="AH55" s="173" t="b">
        <v>0</v>
      </c>
      <c r="AI55" s="173" t="b">
        <v>0</v>
      </c>
      <c r="AJ55" s="173" t="b">
        <v>0</v>
      </c>
      <c r="AK55" s="174" t="b">
        <v>0</v>
      </c>
      <c r="AL55" s="175" t="b">
        <v>0</v>
      </c>
      <c r="AM55" s="173" t="b">
        <v>0</v>
      </c>
      <c r="AN55" s="171" t="s">
        <v>1070</v>
      </c>
      <c r="AO55" s="173" t="b">
        <v>0</v>
      </c>
      <c r="AP55" s="173" t="b">
        <v>0</v>
      </c>
      <c r="AQ55" s="173" t="b">
        <v>0</v>
      </c>
      <c r="AR55" s="174" t="b">
        <v>0</v>
      </c>
      <c r="AS55" s="178" t="b">
        <v>0</v>
      </c>
      <c r="AT55" s="179" t="b">
        <v>0</v>
      </c>
      <c r="AU55" s="180" t="b">
        <v>0</v>
      </c>
      <c r="AV55" s="180" t="b">
        <v>0</v>
      </c>
      <c r="AW55" s="180" t="b">
        <v>0</v>
      </c>
      <c r="AX55" s="180" t="b">
        <v>0</v>
      </c>
      <c r="AY55" s="181" t="s">
        <v>1070</v>
      </c>
      <c r="AZ55" s="181" t="s">
        <v>1070</v>
      </c>
      <c r="BA55" s="184">
        <f>IFERROR(__xludf.DUMMYFUNCTION("IF(
  ISNUMBER(BA54),
  MIN(MAX(
    BA54
    + MAX(
      ROUNDDOWN((D55 - MAX(IFERROR(FILTER(D$24:D54, BA$24:BA54 &lt;&gt; AZ$6, BA$23:BA53 = AZ$6), 0))) * (60 * 60 * 24) / AZ$9) - ROUNDDOWN((D54 - MAX(IFERROR(FILTER(D$23:D53, BA$23:BA53 &lt;&gt; AZ$6, BA$22:BA52 ="&amp;" AZ$6), 0))) * (60 * 60 * 24) / AZ$9),
      0
    )
    - COUNTIF(AZ55, ""&lt;&gt;-""),
  0), AZ$6),
  AZ$6 - COUNTIF(AZ55, ""&lt;&gt;-"")
)"),2.0)</f>
        <v>2</v>
      </c>
      <c r="BB55" s="181" t="s">
        <v>1070</v>
      </c>
      <c r="BC55" s="183">
        <f>IFERROR(__xludf.DUMMYFUNCTION("IF(
  ISNUMBER(BC54),
  MIN(MAX(
    BC54
    + MAX(
      ROUNDDOWN(($D55 - MAX(IFERROR(FILTER($D$24:$D54, BC$24:BC54 &lt;&gt; BB$6, BC$23:BC53 = BB$6), 0))) * (60 * 60 * 24) / BB$9) - ROUNDDOWN(($D54 - MAX(IFERROR(FILTER($D$23:$D53, BC$23:BC53 &lt;&gt; BB$6, BC$22:"&amp;"BC52 = BB$6), 0))) * (60 * 60 * 24) / 60),
      0
    )
    - COUNTIF(BB55, ""&lt;&gt;-""),
  0), BB$6),
  BB$6 - COUNTIF(BB55, ""&lt;&gt;-"")
)"),2.0)</f>
        <v>2</v>
      </c>
      <c r="BD55" s="181" t="s">
        <v>1070</v>
      </c>
      <c r="BE55" s="178" t="b">
        <v>0</v>
      </c>
      <c r="BF55" s="180" t="b">
        <v>0</v>
      </c>
      <c r="BG55" s="180" t="b">
        <v>0</v>
      </c>
      <c r="BH55" s="180" t="b">
        <v>0</v>
      </c>
      <c r="BI55" s="180" t="b">
        <v>0</v>
      </c>
      <c r="BJ55" s="180" t="b">
        <v>0</v>
      </c>
      <c r="BK55" s="180" t="b">
        <v>0</v>
      </c>
      <c r="BL55" s="180" t="b">
        <v>0</v>
      </c>
      <c r="BM55" s="180" t="b">
        <v>0</v>
      </c>
      <c r="BN55" s="180" t="b">
        <v>0</v>
      </c>
      <c r="BO55" s="181" t="s">
        <v>1070</v>
      </c>
      <c r="BP55" s="181" t="s">
        <v>1070</v>
      </c>
      <c r="BQ55" s="181" t="s">
        <v>1070</v>
      </c>
      <c r="BR55" s="181" t="s">
        <v>1070</v>
      </c>
      <c r="BS55" s="181" t="s">
        <v>1070</v>
      </c>
      <c r="BT55" s="184">
        <f>IFERROR(__xludf.DUMMYFUNCTION("IF(
  ISNUMBER(BT54),
  MIN(MAX(
    BT54
    + MAX(
      ROUNDDOWN((D55 - MAX(IFERROR(FILTER(D$24:D54, BT$24:BT54 &lt;&gt; BS$6, BT$23:BT53 = BS$6), 0))) * (60 * 60 * 24) / BS$9) - ROUNDDOWN((D54 - MAX(IFERROR(FILTER(D$23:D53, BT$23:BT53 &lt;&gt; BS$6, BT$22:BT52 ="&amp;" BS$6), 0))) * (60 * 60 * 24) / BS$9),
      0
    )
    - COUNTIF(BS55, ""&lt;&gt;-""),
  0), BS$6),
  BS$6 - COUNTIF(BS55, ""&lt;&gt;-"")
)"),3.0)</f>
        <v>3</v>
      </c>
      <c r="BU55" s="181" t="s">
        <v>1070</v>
      </c>
      <c r="BV55" s="181" t="s">
        <v>1070</v>
      </c>
      <c r="BW55" s="184">
        <f>IFERROR(__xludf.DUMMYFUNCTION("IF(
  ISNUMBER(BW54),
  MIN(MAX(
    BW54
    + MAX(
      ROUNDDOWN((D55 - MAX(IFERROR(FILTER(D$24:D54, BW$24:BW54 &lt;&gt; BV$6, BW$23:BW53 = BV$6), 0))) * (60 * 60 * 24) / BV$9) - ROUNDDOWN((D54 - MAX(IFERROR(FILTER(D$23:D53, BW$23:BW53 &lt;&gt; BV$6, BW$22:BW52 ="&amp;" BV$6), 0))) * (60 * 60 * 24) / BV$9),
      0
    )
    - COUNTIF(BV55, ""&lt;&gt;-""),
  0), BV$6),
  BV$6 - COUNTIF(BV55, ""&lt;&gt;-"")
)"),2.0)</f>
        <v>2</v>
      </c>
      <c r="BX55" s="185" t="s">
        <v>1070</v>
      </c>
      <c r="BY55" s="178" t="b">
        <v>0</v>
      </c>
      <c r="BZ55" s="180" t="b">
        <v>0</v>
      </c>
      <c r="CA55" s="180" t="b">
        <v>0</v>
      </c>
      <c r="CB55" s="180" t="b">
        <v>0</v>
      </c>
      <c r="CC55" s="180" t="b">
        <v>0</v>
      </c>
      <c r="CD55" s="180" t="b">
        <v>0</v>
      </c>
      <c r="CE55" s="180" t="b">
        <v>0</v>
      </c>
      <c r="CF55" s="180" t="b">
        <v>0</v>
      </c>
      <c r="CG55" s="180" t="b">
        <v>0</v>
      </c>
      <c r="CH55" s="180" t="b">
        <v>0</v>
      </c>
      <c r="CI55" s="180" t="b">
        <v>0</v>
      </c>
      <c r="CJ55" s="180" t="b">
        <v>0</v>
      </c>
      <c r="CK55" s="180" t="b">
        <v>0</v>
      </c>
      <c r="CL55" s="180" t="b">
        <v>0</v>
      </c>
      <c r="CM55" s="181" t="s">
        <v>1070</v>
      </c>
      <c r="CN55" s="181" t="s">
        <v>1070</v>
      </c>
      <c r="CO55" s="181" t="s">
        <v>1070</v>
      </c>
      <c r="CP55" s="181" t="s">
        <v>1070</v>
      </c>
      <c r="CQ55" s="185" t="s">
        <v>1070</v>
      </c>
      <c r="CR55" s="180" t="b">
        <v>0</v>
      </c>
      <c r="CS55" s="186" t="str">
        <f t="shared" si="14"/>
        <v>◇◇◇</v>
      </c>
      <c r="CT55" s="178" t="b">
        <v>0</v>
      </c>
      <c r="CU55" s="180" t="b">
        <v>0</v>
      </c>
      <c r="CV55" s="180" t="b">
        <v>0</v>
      </c>
      <c r="CW55" s="180" t="b">
        <v>0</v>
      </c>
      <c r="CX55" s="180" t="b">
        <v>0</v>
      </c>
      <c r="CY55" s="180" t="b">
        <v>0</v>
      </c>
      <c r="CZ55" s="180" t="b">
        <v>0</v>
      </c>
      <c r="DA55" s="180" t="b">
        <v>0</v>
      </c>
      <c r="DB55" s="180" t="b">
        <v>0</v>
      </c>
      <c r="DC55" s="180" t="b">
        <v>0</v>
      </c>
      <c r="DD55" s="181" t="s">
        <v>1070</v>
      </c>
      <c r="DE55" s="181" t="s">
        <v>1070</v>
      </c>
      <c r="DF55" s="181" t="s">
        <v>1070</v>
      </c>
      <c r="DG55" s="185" t="s">
        <v>1070</v>
      </c>
      <c r="DH55" s="180" t="b">
        <v>0</v>
      </c>
      <c r="DI55" s="187" t="str">
        <f>IFERROR(__xludf.DUMMYFUNCTION("SWITCH(
  IF(
    ISTEXT(DI54),
    IF (
      FIND(""○"", DI54&amp;""○"") &gt; 3,
      3,
      FIND(""○"", DI54&amp;""○"")
      + MAX(
        ROUNDDOWN(($D55 - MAX(IFERROR(FILTER(D$24:D54, DI$24:DI54 &lt;&gt; ""●●●"", DI$23:DI53 = ""●●●""), 0))) * (60 * 60 * 24) / 20"&amp;") - ROUNDDOWN(($D54 - MAX(IFERROR(FILTER(D$23:D53, DI$23:DI53 &lt;&gt; ""●●●"", DI$22:DI52 = ""●●●""), 0))) * (60 * 60 * 24) / 20),
        0
      ) - 1
    ) - COUNTIFS(CU55, ""=TRUE"", CU54, ""&lt;&gt;TRUE"") - COUNTIF(CZ55, ""=TRUE"") - COUNTIF({DD55,DE55}, ""&lt;&gt;-"&amp;""") + COUNTIF(DH55, ""=TRUE""),
    3
  ),
  0, ""○○○"", 1, ""●○○"", 2, ""●●○"", 3, ""●●●"", 4, ""●●●"", ""○○○""
)"),"●●●")</f>
        <v>●●●</v>
      </c>
      <c r="DJ55" s="188" t="b">
        <v>0</v>
      </c>
      <c r="DK55" s="189" t="b">
        <v>0</v>
      </c>
      <c r="DL55" s="190" t="b">
        <v>0</v>
      </c>
      <c r="DM55" s="190" t="b">
        <v>0</v>
      </c>
      <c r="DN55" s="190" t="b">
        <v>0</v>
      </c>
      <c r="DO55" s="190" t="b">
        <v>0</v>
      </c>
      <c r="DP55" s="190" t="b">
        <v>0</v>
      </c>
      <c r="DQ55" s="191" t="b">
        <v>0</v>
      </c>
      <c r="DR55" s="192" t="b">
        <v>0</v>
      </c>
      <c r="DS55" s="191" t="b">
        <v>0</v>
      </c>
      <c r="DT55" s="192" t="b">
        <v>0</v>
      </c>
      <c r="DU55" s="191" t="b">
        <v>0</v>
      </c>
      <c r="DV55" s="193" t="s">
        <v>1070</v>
      </c>
      <c r="DW55" s="194" t="b">
        <v>0</v>
      </c>
      <c r="DX55" s="194" t="b">
        <v>0</v>
      </c>
      <c r="DY55" s="195" t="b">
        <v>0</v>
      </c>
      <c r="DZ55" s="196" t="b">
        <v>0</v>
      </c>
      <c r="EA55" s="195" t="b">
        <v>0</v>
      </c>
      <c r="EB55" s="197" t="b">
        <v>0</v>
      </c>
      <c r="EC55" s="197" t="b">
        <v>0</v>
      </c>
      <c r="ED55" s="212" t="b">
        <v>0</v>
      </c>
      <c r="EE55" s="199">
        <f>IFERROR(__xludf.DUMMYFUNCTION("IFERROR(
   PRODUCT(
     MAP(
       INDEX(TRANSPOSE(UNIQUE(TRANSPOSE(FILTER({IF($F55=""Physical"", K$10:ED$10, IF($F55=""Magic"", K$11:ED$11, K$12:ED$12));K$4:ED$4;K55:ED55}, K55:ED55=TRUE)))), 1, 0),
       INDEX(TRANSPOSE(UNIQUE(TRANSPOSE(FILTER({IF($"&amp;"F55=""Physical"", K$18:ED$18, IF($F55=""Magic"", K$19:ED$19, K$20:ED$20));K$4:ED$4;K55:ED55}, K55:ED55=TRUE)))), 1, 0),
       INDEX(TRANSPOSE(UNIQUE(TRANSPOSE(FILTER({K$5:ED$5;K$4:ED$4;K55:ED55}, K55:ED55=TRUE)))), 1, 0),
       INDEX(TRANSPOSE(UNIQUE(TR"&amp;"ANSPOSE(FILTER({K$17:ED$17;K$4:ED$4;K55:ED55}, K55:ED55=TRUE)))), 1, 0),
       LAMBDA(
         mitigation,
         enhance,
         assign,
         precondition,
         IF(
           REGEXMATCH(assign, ""RANGE_PARTY|SINGLE_ENEMY|RANGE_ENEMY""),
  "&amp;"         IF(
             OR(ARRAYFORMULA((IF(precondition="""", FALSE, REGEXMATCH(K$4:ED$4, precondition))) * (K55:ED55=TRUE))),
             IF(ISNUMBER(enhance), enhance, 1),
             IF(ISNUMBER(mitigation), mitigation, 1)
           ),
          "&amp;" 1
         )
       )
     )
   ),
   1
 )"),1.0)</f>
        <v>1</v>
      </c>
      <c r="EF55" s="200">
        <f>IFERROR(__xludf.DUMMYFUNCTION("PRODUCT(
   MAP(
     K$14:ED$14,
     K$13:ED$13,
     K55:ED55,
     LAMBDA(
       buff,
       target,
       check,
       IF(
         AND(check=TRUE, REGEXMATCH(target, ""RANGE_AFFECTED_ALL|RANGE_EFFECTED_ALL""), ISNUMBER(buff)),
         buff,
   "&amp;"      1
       )
     )
   )
 )"),1.0)</f>
        <v>1</v>
      </c>
      <c r="EG55" s="200">
        <f>IFERROR(__xludf.DUMMYFUNCTION("PRODUCT(
   MAP(
     K$14:ED$14,
     K$13:ED$13,
     K55:ED55,
     LAMBDA(
       buff,
       target,
       check,
       IF(
         AND(check=TRUE, REGEXMATCH(target, ""RANGE_AFFECTED_GCD|RANGE_EFFECTED_GCD""), ISNUMBER(buff)),
         buff,
   "&amp;"      1
       )
     )
   )
 )"),1.0)</f>
        <v>1</v>
      </c>
      <c r="EH55" s="200">
        <f>IFERROR(__xludf.DUMMYFUNCTION("PRODUCT(
   MAP(
     K$3:ED$3,
     K$14:ED$14,
     K$13:ED$13,
     K55:ED55,
     LAMBDA(
       job,
       buff,
       target,
       check,
       IF(
         AND(check=TRUE, REGEXMATCH(target, ""SELF_EFFECTED_ALL""), ISNUMBER(buff), job=""白魔道士"""&amp;"),
         buff,
         1
       )
     )
   )
 )"),1.0)</f>
        <v>1</v>
      </c>
      <c r="EI55" s="200">
        <f>IFERROR(__xludf.DUMMYFUNCTION("PRODUCT(
   MAP(
     K$3:ED$3,
     K$14:ED$14,
     K$13:ED$13,
     K55:ED55,
     LAMBDA(
       job,
       buff,
       target,
       check,
       IF(
         AND(check=TRUE, REGEXMATCH(target, ""SELF_EFFECTED_GCD""), ISNUMBER(buff), job=""白魔道士"""&amp;"),
         buff,
         1
       )
     )
   )
 )"),1.0)</f>
        <v>1</v>
      </c>
      <c r="EJ55" s="200">
        <f>IFERROR(__xludf.DUMMYFUNCTION("PRODUCT(
   MAP(
     K$3:ED$3,
     K$14:ED$14,
     K$13:ED$13,
     K55:ED55,
     LAMBDA(
       job,
       buff,
       target,
       check,
       IF(
         AND(check=TRUE, REGEXMATCH(target, ""SELF_EFFECTED_ALL""), ISNUMBER(buff), job=""占星術師"""&amp;"),
         buff,
         1
       )
     )
   )
 )"),1.0)</f>
        <v>1</v>
      </c>
      <c r="EK55" s="200">
        <f>IFERROR(__xludf.DUMMYFUNCTION("PRODUCT(
   MAP(
     K$3:ED$3,
     K$14:ED$14,
     K$13:ED$13,
     K55:ED55,
     LAMBDA(
       job,
       buff,
       target,
       check,
       IF(
         AND(check=TRUE, REGEXMATCH(target, ""SELF_EFFECTED_GCD""), ISNUMBER(buff), job=""占星術師"""&amp;"),
         buff,
         1
       )
     )
   )
 )"),1.0)</f>
        <v>1</v>
      </c>
      <c r="EL55" s="200">
        <f>IFERROR(__xludf.DUMMYFUNCTION("PRODUCT(
   MAP(
     K$3:ED$3,
     K$14:ED$14,
     K$13:ED$13,
     K55:ED55,
     LAMBDA(
       job,
       buff,
       target,
       check,
       IF(
         AND(check=TRUE, REGEXMATCH(target, ""SELF_EFFECTED_ALL""), ISNUMBER(buff), job=""学者""),"&amp;"
         buff,
         1
       )
     )
   )
 )"),1.0)</f>
        <v>1</v>
      </c>
      <c r="EM55" s="200">
        <f>IFERROR(__xludf.DUMMYFUNCTION("PRODUCT(
   MAP(
     K$3:ED$3,
     K$14:ED$14,
     K$13:ED$13,
     K55:ED55,
     LAMBDA(
       job,
       buff,
       target,
       check,
       IF(
         AND(check=TRUE, REGEXMATCH(target, ""SELF_EFFECTED_GCD""), ISNUMBER(buff), job=""学者""),"&amp;"
         buff,
         1
       )
     )
   )
 )"),1.0)</f>
        <v>1</v>
      </c>
      <c r="EN55" s="200">
        <f>IFERROR(__xludf.DUMMYFUNCTION("PRODUCT(
   MAP(
     K$3:ED$3,
     K$14:ED$14,
     K$13:ED$13,
     K55:ED55,
     LAMBDA(
       job,
       buff,
       target,
       check,
       IF(
         AND(check=TRUE, REGEXMATCH(target, ""SELF_EFFECTED_ALL""), ISNUMBER(buff), job=""賢者""),"&amp;"
         buff,
         1
       )
     )
   )
 )"),1.0)</f>
        <v>1</v>
      </c>
      <c r="EO55" s="200">
        <f>IFERROR(__xludf.DUMMYFUNCTION("PRODUCT(
   MAP(
     K$3:ED$3,
     K$14:ED$14,
     K$13:ED$13,
     K55:ED55,
     LAMBDA(
       job,
       buff,
       target,
       check,
       IF(
         AND(check=TRUE, REGEXMATCH(target, ""SELF_EFFECTED_GCD""), ISNUMBER(buff), job=""賢者""),"&amp;"
         buff,
         1
       )
     )
   )
 )"),1.0)</f>
        <v>1</v>
      </c>
      <c r="EP55" s="201">
        <f t="shared" si="3"/>
        <v>0</v>
      </c>
      <c r="EQ55" s="201">
        <f>IFERROR(__xludf.DUMMYFUNCTION("SUM(
   MAP(
     K$4:ED$4,
     K$3:ED$3,
     K$7:ED$7,
     K$15:ED$15,
     K$16:ED$16,
     K$21:ED$21,
     K$5:ED$5,
     K$17:ED$17,
     K55:ED55,
     LAMBDA(
       name,
       job,
       abillity,
       buff,
       barrier,
       enhance,"&amp;"
       assign,
       precondition,
       check,
       SWITCH(
         name,
         ""シェイクオフ"", IF(check=TRUE, buff + (0.02 * COUNTIF(ARRAYFORMULA((REGEXMATCH($K$4:$ED$4, ""スリル・オブ・バトル|ヴェンジェンス|原初の血気|ダムネーション"")) * (K55:ED55=TRUE)), 1)), 0),
         "&amp;"""インプロビゼーションフィニッシュ(踊りの激情0)"", IF(ISNUMBER(check), INDEX(Skill!$AJ:$AJ, MATCH(SUBSTITUTE(DV$4, 0, check), Skill!$C:$C, 0)), 0),
         IF(
           AND(check=TRUE, REGEXMATCH(assign, ""RANGE_PARTY"")),
           IF(
             OR(ARRAYFORMULA((IF(pr"&amp;"econdition="""", FALSE, REGEXMATCH($K$4:$ED$4, precondition))) * (K55:ED55=TRUE))),
             enhance,
             IF(barrier="""", buff, barrier)
           ),
           0
         )
       ) *
       SWITCH(
         job,
         ""ナイト"", EY$24,
 "&amp;"        ""戦士"", FD$24,
         ""踊り子"", ET$24,
         ""ピクトマンサー"", ET$24,
         ""白魔道士"", EF55 * EH55 * IF(abillity, 1, EG55 * EI55) * (Option!$D$22 * 0.81 / 100),
         ""占星術師"", EF55 * EJ55 * IF(abillity, 1, EG55 * EK55) * (Option!$D$23 * 0.81 "&amp;"/ 100),
         ""学者"", EF55 * EL55 * IF(abillity, 1, EG55 * EM55) * (Option!$D$24 * 0.81 / 100),
         ""賢者"", EF55 * EN55 * IF(abillity, 1, EG55 * EO55) * (Option!$D$25 * 0.81 / 100),
         1
       )
     )
   )
 )"),0.0)</f>
        <v>0</v>
      </c>
      <c r="ER55" s="202">
        <f t="shared" si="4"/>
        <v>0</v>
      </c>
      <c r="ES55" s="203">
        <f t="shared" si="5"/>
        <v>0</v>
      </c>
      <c r="ET55" s="204" t="str">
        <f>IFERROR(__xludf.DUMMYFUNCTION("IFS(
  EP55 &gt; $ET$24 + EQ55,
  SPARKLINE({ 1, 0 }, {""charttype"",""bar"";""max"", 1;""color1"",Option!$D$30;""color2"",Option!$D$30}),
  EP55 &lt; EQ55,
  SPARKLINE({EQ55 - EP55, $ET$24 - (EQ55 - EP55)}, {""charttype"",""bar"";""max"",$ET$24;""color1"",Opti"&amp;"on!$D$28;""color2"",Option!$D$29}),
  EP55 &gt;= EQ55,
  SPARKLINE({$ET$24 + EQ55 - EP55,EP55 - EQ55}, {""charttype"",""bar"";""max"",$ET$24;""color1"",Option!$D$29;""color2"",Option!$D$30})
)"),"")</f>
        <v/>
      </c>
      <c r="EU55" s="205">
        <f>IFERROR(__xludf.DUMMYFUNCTION("PRODUCT(
   MAP(
     IF($F55=""Physical"", K$10:ED$10, IF($F55=""Magic"", K$11:ED$11, K$12:ED$12)),
     IF($F55=""Physical"", K$18:ED$18, IF($F55=""Magic"", K$19:ED$19, K$20:ED$20)),
     K$3:ED$3,
     K$5:ED$5,
     K$17:ED$17,
     K55:ED55,
     LAM"&amp;"BDA(
       mitigation,
       enhance,
       job,
       assign,
       precondition,
       check,
       IF(
         OR(AND(check=TRUE, REGEXMATCH(assign, ""SELF""), job=""ナイト""), AND(check=Option!$E$13, REGEXMATCH(assign, ""SINGLE_PARTY""))),
      "&amp;"   IF(
           OR(ARRAYFORMULA((IF(precondition="""", FALSE, REGEXMATCH($K$4:$ED$4, precondition))) * (K55:ED55=TRUE))),
           enhance,
           mitigation
         ),
         1
       )
     )
   )
 ) * EE55"),1.0)</f>
        <v>1</v>
      </c>
      <c r="EV55" s="206">
        <f t="shared" si="6"/>
        <v>0</v>
      </c>
      <c r="EW55" s="205">
        <f>IFERROR(__xludf.DUMMYFUNCTION("PRODUCT(
   MAP(
     K$3:ED$3,
     K$14:ED$14,
     K$13:ED$13,
     K55:ED55,
     LAMBDA(
       job,
       buff,
       target,
       check,
       IF(
         OR(AND(check=TRUE, REGEXMATCH(target, ""SELF_AFFECTED_ALL""), job=""ナイト""), AND(check=O"&amp;"ption!$E$13, REGEXMATCH(target, ""SINGLE_AFFECTED_ALL""))),
         buff,
         1
       )
     )
   )
 )"),1.0)</f>
        <v>1</v>
      </c>
      <c r="EX55" s="206">
        <f>IFERROR(__xludf.DUMMYFUNCTION("SUM(
   MAP(
     K$3:ED$3,
     K$7:ED$7,
     K$15:ED$15,
     K$16:ED$16,
     K$21:ED$21,
     K$5:ED$5,
     K$17:ED$17,
     K55:ED55,
     LAMBDA(
       job,
       abillity,
       buff,
       barrier,
       enhance,
       assign,
       preco"&amp;"ndition,
       check,
       IF(
         OR(AND(check=TRUE, REGEXMATCH(assign, ""SELF""), job=""ナイト""), AND(check=Option!$E$13, REGEXMATCH(assign, ""SINGLE_PARTY""))),
         IF(
           OR(ARRAYFORMULA((IF(precondition="""", FALSE, REGEXMATCH($K$4"&amp;":$ED$4, precondition))) * (K55:ED55=TRUE))),
           enhance,
           IF(barrier="""", buff, barrier)
         ),
         0
       ) *
       SWITCH(
         job,
         ""暗黒騎士"", EY$24,
         ""白魔道士"", EF55 * EH55 * EW55 * IF(abillity, 1, EG"&amp;"55 * EI55) * (Option!$D$22 * 0.81 / 100),
         ""占星術師"", EF55 * EJ55 * EW55 * IF(abillity, 1, EG55 * EK55) * (Option!$D$23 * 0.81 / 100),
         ""学者"", EF55 * EL55 * EW55 * IF(abillity, 1, EG55 * EM55) * (Option!$D$24 * 0.81 / 100),
         ""賢者"""&amp;", EF55 * EN55 * EW55 * IF(abillity, 1, EG55 * EO55) * (Option!$D$25 * 0.81 / 100),
         1
       )
     )
   )
 ) + EQ55"),0.0)</f>
        <v>0</v>
      </c>
      <c r="EY55" s="206">
        <f t="shared" si="7"/>
        <v>0</v>
      </c>
      <c r="EZ55" s="205">
        <f>IFERROR(__xludf.DUMMYFUNCTION("PRODUCT(
   MAP(
     IF($F55=""Physical"", K$10:ED$10, IF($F55=""Magic"", K$11:ED$11, K$12:ED$12)),
     IF($F55=""Physical"", K$18:ED$18, IF($F55=""Magic"", K$19:ED$19, K$20:ED$20)),
     K$3:ED$3,
     K$5:ED$5,
     K$17:ED$17,
     K55:ED55,
     LAM"&amp;"BDA(
       mitigation,
       enhance,
       job,
       assign,
       precondition,
       check,
       IF(
         OR(AND(check=TRUE, REGEXMATCH(assign, ""SELF""), job=""戦士""), AND(check=Option!$F$13, REGEXMATCH(assign, ""SINGLE_PARTY""))),
       "&amp;"  IF(
           OR(ARRAYFORMULA((IF(precondition="""", FALSE, REGEXMATCH($K$4:$ED$4, precondition))) * (K55:ED55=TRUE))),
           enhance,
           mitigation
         ),
         1
       )
     )
   )
 ) * EE55"),1.0)</f>
        <v>1</v>
      </c>
      <c r="FA55" s="206">
        <f t="shared" si="8"/>
        <v>0</v>
      </c>
      <c r="FB55" s="205">
        <f>IFERROR(__xludf.DUMMYFUNCTION("PRODUCT(
   MAP(
     K$3:ED$3,
     K$14:ED$14,
     K$13:ED$13,
     K55:ED55,
     LAMBDA(
       job,
       buff,
       target,
       check,
       IF(
         OR(AND(check=TRUE, REGEXMATCH(target, ""SELF_AFFECTED_ALL""), job=""戦士""), AND(check=Op"&amp;"tion!$F$13, REGEXMATCH(target, ""SINGLE_AFFECTED_ALL""))),
         buff,
         1
       )
     )
   )
 )"),1.0)</f>
        <v>1</v>
      </c>
      <c r="FC55" s="206">
        <f>IFERROR(__xludf.DUMMYFUNCTION("SUM(
   MAP(
     K$3:ED$3,
     K$7:ED$7,
     K$15:ED$15,
     K$16:ED$16,
     K$21:ED$21,
     K$5:ED$5,
     K$17:ED$17,
     K55:ED55,
     LAMBDA(
       job,
       abillity,
       buff,
       barrier,
       enhance,
       assign,
       preco"&amp;"ndition,
       check,
       IF(
         OR(AND(check=TRUE, REGEXMATCH(assign, ""SELF""), job=""戦士""), AND(check=Option!$F$13, REGEXMATCH(assign, ""SINGLE_PARTY""))),
         IF(
           OR(ARRAYFORMULA((IF(precondition="""", FALSE, REGEXMATCH($K$4:"&amp;"$ED$4, precondition))) * (K55:ED55=TRUE))),
           enhance,
           IF(barrier="""", buff, barrier)
         ),
         0
       ) *
       SWITCH(
         job,
         ""暗黒騎士"", FD$24,
         ""白魔道士"", EF55 * EH55 * FB55 * IF(abillity, 1, EG5"&amp;"5 * EI55) * (Option!$D$22 * 0.81 / 100),
         ""占星術師"", EF55 * EJ55 * FFB55 * IF(abillity, 1, EG55 * EK55) * (Option!$D$23 * 0.81 / 100),
         ""学者"", EF55 * EL55 * FB55 * IF(abillity, 1, EG55 * EM55) * (Option!$D$24 * 0.81 / 100),
         ""賢者"""&amp;", EF55 * EN55 * FB55 * IF(abillity, 1, EG55 * EO55) * (Option!$D$25 * 0.81 / 100),
         1
       )
     )
   )
 ) + EQ55"),0.0)</f>
        <v>0</v>
      </c>
      <c r="FD55" s="206">
        <f t="shared" si="9"/>
        <v>0</v>
      </c>
      <c r="FE55" s="205">
        <f>IFERROR(__xludf.DUMMYFUNCTION("PRODUCT(
   MAP(
     IF($F55=""Physical"", K$10:ED$10, IF($F55=""Magic"", K$11:ED$11, K$12:ED$12)),
     IF($F55=""Physical"", K$18:ED$18, IF($F55=""Magic"", K$19:ED$19, K$20:ED$20)),
     K$3:ED$3,
     K$5:ED$5,
     K$17:ED$17,
     K55:ED55,
     LAM"&amp;"BDA(
       mitigation,
       enhance,
       job,
       assign,
       precondition,
       check,
       IF(
         OR(AND(check=TRUE, REGEXMATCH(assign, ""SELF""), job=""暗黒騎士""), AND(check=Option!$G$13, REGEXMATCH(assign, ""SINGLE_PARTY""))),
     "&amp;"    IF(
           OR(ARRAYFORMULA((IF(precondition="""", FALSE, REGEXMATCH($K$4:$ED$4, precondition))) * (K55:ED55=TRUE))),
           enhance,
           mitigation
         ),
         1
       )
     )
   )
 ) * EE55"),1.0)</f>
        <v>1</v>
      </c>
      <c r="FF55" s="206">
        <f t="shared" si="10"/>
        <v>0</v>
      </c>
      <c r="FG55" s="205">
        <f>IFERROR(__xludf.DUMMYFUNCTION("PRODUCT(
   MAP(
     K$3:ED$3,
     K$14:ED$14,
     K$13:ED$13,
     K55:ED55,
     LAMBDA(
       job,
       buff,
       target,
       check,
       IF(
         OR(AND(check=TRUE, REGEXMATCH(target, ""SELF_AFFECTED_ALL""), job=""暗黒騎士""), AND(check="&amp;"Option!$G$13, REGEXMATCH(target, ""SINGLE_AFFECTED_ALL""))),
         buff,
         1
       )
     )
   )
 )"),1.0)</f>
        <v>1</v>
      </c>
      <c r="FH55" s="206">
        <f>IFERROR(__xludf.DUMMYFUNCTION("SUM(
   MAP(
     K$3:ED$3,
     K$7:ED$7,
     K$15:ED$15,
     K$16:ED$16,
     K$21:ED$21,
     K$5:ED$5,
     K$17:ED$17,
     K55:ED55,
     LAMBDA(
       job,
       abillity,
       buff,
       barrier,
       enhance,
       assign,
       preco"&amp;"ndition,
       check,
       IF(
         OR(AND(check=TRUE, REGEXMATCH(assign, ""SELF""), job=""暗黒騎士""), AND(check=Option!$G$13, REGEXMATCH(assign, ""SINGLE_PARTY""))),
         IF(
           OR(ARRAYFORMULA((IF(precondition="""", FALSE, REGEXMATCH($K$"&amp;"4:$ED$4, precondition))) * (K55:ED55=TRUE))),
           enhance,
           IF(barrier="""", buff, barrier)
         ),
         0
       ) *
       SWITCH(
         job,
         ""暗黒騎士"", FI$24,
         ""白魔道士"", EF55 * EH55 * FG55 * IF(abillity, 1, E"&amp;"G55 * EI55) * (Option!$D$22 * 0.81 / 100),
         ""占星術師"", EF55 * EJ55 * FG55 * IF(abillity, 1, EG55 * EK55) * (Option!$D$23 * 0.81 / 100),
         ""学者"", EF55 * EL55 * FG55 * IF(abillity, 1, EG55 * EM55) * (Option!$D$24 * 0.81 / 100),
         ""賢者"&amp;""", EF55 * EN55 * FG55 * IF(abillity, 1, EG55 * EO55) * (Option!$D$25 * 0.81 / 100),
         1
       )
     )
   )
 ) + EQ55"),0.0)</f>
        <v>0</v>
      </c>
      <c r="FI55" s="206">
        <f t="shared" si="11"/>
        <v>0</v>
      </c>
      <c r="FJ55" s="205">
        <f>IFERROR(__xludf.DUMMYFUNCTION("PRODUCT(
   MAP(
     IF($F55=""Physical"", K$10:ED$10, IF($F55=""Magic"", K$11:ED$11, K$12:ED$12)),
     IF($F55=""Physical"", K$18:ED$18, IF($F55=""Magic"", K$19:ED$19, K$20:ED$20)),
     K$3:ED$3,
     K$5:ED$5,
     K$17:ED$17,
     K55:ED55,
     LAM"&amp;"BDA(
       mitigation,
       enhance,
       job,
       assign,
       precondition,
       check,
       IF(
         OR(AND(check=TRUE, REGEXMATCH(assign, ""SELF""), job=""ガンブレイカー""), AND(check=Option!$H$13, REGEXMATCH(assign, ""SINGLE_PARTY""))),
  "&amp;"       IF(
           OR(ARRAYFORMULA((IF(precondition="""", FALSE, REGEXMATCH($K$4:$ED$4, precondition))) * (K55:ED55=TRUE))),
           enhance,
           mitigation
         ),
         1
       )
     )
   )
 ) * EE55"),1.0)</f>
        <v>1</v>
      </c>
      <c r="FK55" s="206">
        <f t="shared" si="12"/>
        <v>0</v>
      </c>
      <c r="FL55" s="205">
        <f>IFERROR(__xludf.DUMMYFUNCTION("PRODUCT(
   MAP(
     K$3:ED$3,
     K$14:ED$14,
     K$13:ED$13,
     K55:ED55,
     LAMBDA(
       job,
       buff,
       target,
       check,
       IF(
         OR(AND(check=TRUE, REGEXMATCH(target, ""SELF_AFFECTED_ALL""), job=""ガンブレイカー""), AND(che"&amp;"ck=Option!$H$13, REGEXMATCH(target, ""SINGLE_AFFECTED_ALL""))),
         buff,
         1
       )
     )
   )
 )"),1.0)</f>
        <v>1</v>
      </c>
      <c r="FM55" s="206">
        <f>IFERROR(__xludf.DUMMYFUNCTION("SUM(
   MAP(
     K$3:ED$3,
     K$7:ED$7,
     K$15:ED$15,
     K$16:ED$16,
     K$21:ED$21,
     K$5:ED$5,
     K$17:ED$17,
     K55:ED55,
     LAMBDA(
       job,
       abillity,
       buff,
       barrier,
       enhance,
       assign,
       preco"&amp;"ndition,
       check,
       IF(
         OR(AND(check=TRUE, REGEXMATCH(assign, ""SELF""), job=""ガンブレイカー""), AND(check=Option!$H$13, REGEXMATCH(assign, ""SINGLE_PARTY""))),
         IF(
           OR(ARRAYFORMULA((IF(precondition="""", FALSE, REGEXMATCH("&amp;"$K$4:$ED$4, precondition))) * (K55:ED55=TRUE))),
           enhance,
           IF(barrier="""", buff, barrier)
         ),
         0
       ) *
       SWITCH(
         job,
         ""暗黒騎士"", FN$24,
         ""白魔道士"", EF55 * EH55 * FL55 * IF(abillity, 1"&amp;", EG55 * EI55) * (Option!$D$22 * 0.81 / 100),
         ""占星術師"", EF55 * EJ55 * FL55 * IF(abillity, 1, EG55 * EK55) * (Option!$D$23 * 0.81 / 100),
         ""学者"", EF55 * EL55 * FL55 * IF(abillity, 1, EG55 * EM55) * (Option!$D$24 * 0.81 / 100),
         """&amp;"賢者"", EF55 * EN55 * FL55 * IF(abillity, 1, EG55 * EO55) * (Option!$D$25 * 0.81 / 100),
         1
       )
     )
   )
 ) + EQ55"),0.0)</f>
        <v>0</v>
      </c>
      <c r="FN55" s="206">
        <f t="shared" si="13"/>
        <v>0</v>
      </c>
      <c r="FO55" s="213"/>
    </row>
    <row r="56">
      <c r="B56" s="229"/>
      <c r="C56" s="217">
        <f t="shared" si="1"/>
        <v>0</v>
      </c>
      <c r="D56" s="236"/>
      <c r="E56" s="244"/>
      <c r="F56" s="167"/>
      <c r="G56" s="168" t="str">
        <f t="shared" si="2"/>
        <v/>
      </c>
      <c r="H56" s="169"/>
      <c r="I56" s="169"/>
      <c r="J56" s="169"/>
      <c r="K56" s="170" t="b">
        <v>0</v>
      </c>
      <c r="L56" s="170" t="b">
        <v>0</v>
      </c>
      <c r="M56" s="170" t="b">
        <v>0</v>
      </c>
      <c r="N56" s="171" t="s">
        <v>1070</v>
      </c>
      <c r="O56" s="172" t="b">
        <v>0</v>
      </c>
      <c r="P56" s="173" t="b">
        <v>0</v>
      </c>
      <c r="Q56" s="173" t="b">
        <v>0</v>
      </c>
      <c r="R56" s="173" t="b">
        <v>0</v>
      </c>
      <c r="S56" s="174" t="b">
        <v>0</v>
      </c>
      <c r="T56" s="175" t="b">
        <v>0</v>
      </c>
      <c r="U56" s="173" t="b">
        <v>0</v>
      </c>
      <c r="V56" s="171" t="s">
        <v>1070</v>
      </c>
      <c r="W56" s="172" t="b">
        <v>0</v>
      </c>
      <c r="X56" s="173" t="b">
        <v>0</v>
      </c>
      <c r="Y56" s="173" t="b">
        <v>0</v>
      </c>
      <c r="Z56" s="173" t="b">
        <v>0</v>
      </c>
      <c r="AA56" s="174" t="b">
        <v>0</v>
      </c>
      <c r="AB56" s="174" t="b">
        <v>0</v>
      </c>
      <c r="AC56" s="175" t="b">
        <v>0</v>
      </c>
      <c r="AD56" s="173" t="b">
        <v>0</v>
      </c>
      <c r="AE56" s="176" t="s">
        <v>1070</v>
      </c>
      <c r="AF56" s="171" t="s">
        <v>1070</v>
      </c>
      <c r="AG56" s="177">
        <f>IFERROR(__xludf.DUMMYFUNCTION("IF(
  ISNUMBER(AG55),
  MIN(MAX(
    AG55
    + MAX(
      ROUNDDOWN(($D56 - MAX(IFERROR(FILTER($D$24:$D55, AG$24:AG55 &lt;&gt; AF$6, AG$23:AG54 = AF$6), 0))) * (60 * 60 * 24) / AF$9) - ROUNDDOWN(($D55 - MAX(IFERROR(FILTER($D$23:$D54, AG$23:AG54 &lt;&gt; AF$6, AG$22:"&amp;"AG53 = AF$6), 0))) * (60 * 60 * 24) / 60),
      0
    )
    - COUNTIF(AF56, ""&lt;&gt;-""),
  0), AF$6),
  AF$6 - COUNTIF(AF56, ""&lt;&gt;-"")
)"),2.0)</f>
        <v>2</v>
      </c>
      <c r="AH56" s="173" t="b">
        <v>0</v>
      </c>
      <c r="AI56" s="173" t="b">
        <v>0</v>
      </c>
      <c r="AJ56" s="173" t="b">
        <v>0</v>
      </c>
      <c r="AK56" s="174" t="b">
        <v>0</v>
      </c>
      <c r="AL56" s="175" t="b">
        <v>0</v>
      </c>
      <c r="AM56" s="239" t="b">
        <v>0</v>
      </c>
      <c r="AN56" s="171" t="s">
        <v>1070</v>
      </c>
      <c r="AO56" s="173" t="b">
        <v>0</v>
      </c>
      <c r="AP56" s="173" t="b">
        <v>0</v>
      </c>
      <c r="AQ56" s="173" t="b">
        <v>0</v>
      </c>
      <c r="AR56" s="174" t="b">
        <v>0</v>
      </c>
      <c r="AS56" s="178" t="b">
        <v>0</v>
      </c>
      <c r="AT56" s="179" t="b">
        <v>0</v>
      </c>
      <c r="AU56" s="180" t="b">
        <v>0</v>
      </c>
      <c r="AV56" s="180" t="b">
        <v>0</v>
      </c>
      <c r="AW56" s="180" t="b">
        <v>0</v>
      </c>
      <c r="AX56" s="180" t="b">
        <v>0</v>
      </c>
      <c r="AY56" s="181" t="s">
        <v>1070</v>
      </c>
      <c r="AZ56" s="181" t="s">
        <v>1070</v>
      </c>
      <c r="BA56" s="184">
        <f>IFERROR(__xludf.DUMMYFUNCTION("IF(
  ISNUMBER(BA55),
  MIN(MAX(
    BA55
    + MAX(
      ROUNDDOWN((D56 - MAX(IFERROR(FILTER(D$24:D55, BA$24:BA55 &lt;&gt; AZ$6, BA$23:BA54 = AZ$6), 0))) * (60 * 60 * 24) / AZ$9) - ROUNDDOWN((D55 - MAX(IFERROR(FILTER(D$23:D54, BA$23:BA54 &lt;&gt; AZ$6, BA$22:BA53 ="&amp;" AZ$6), 0))) * (60 * 60 * 24) / AZ$9),
      0
    )
    - COUNTIF(AZ56, ""&lt;&gt;-""),
  0), AZ$6),
  AZ$6 - COUNTIF(AZ56, ""&lt;&gt;-"")
)"),2.0)</f>
        <v>2</v>
      </c>
      <c r="BB56" s="181" t="s">
        <v>1070</v>
      </c>
      <c r="BC56" s="183">
        <f>IFERROR(__xludf.DUMMYFUNCTION("IF(
  ISNUMBER(BC55),
  MIN(MAX(
    BC55
    + MAX(
      ROUNDDOWN(($D56 - MAX(IFERROR(FILTER($D$24:$D55, BC$24:BC55 &lt;&gt; BB$6, BC$23:BC54 = BB$6), 0))) * (60 * 60 * 24) / BB$9) - ROUNDDOWN(($D55 - MAX(IFERROR(FILTER($D$23:$D54, BC$23:BC54 &lt;&gt; BB$6, BC$22:"&amp;"BC53 = BB$6), 0))) * (60 * 60 * 24) / 60),
      0
    )
    - COUNTIF(BB56, ""&lt;&gt;-""),
  0), BB$6),
  BB$6 - COUNTIF(BB56, ""&lt;&gt;-"")
)"),2.0)</f>
        <v>2</v>
      </c>
      <c r="BD56" s="181" t="s">
        <v>1070</v>
      </c>
      <c r="BE56" s="178" t="b">
        <v>0</v>
      </c>
      <c r="BF56" s="180" t="b">
        <v>0</v>
      </c>
      <c r="BG56" s="180" t="b">
        <v>0</v>
      </c>
      <c r="BH56" s="180" t="b">
        <v>0</v>
      </c>
      <c r="BI56" s="180" t="b">
        <v>0</v>
      </c>
      <c r="BJ56" s="180" t="b">
        <v>0</v>
      </c>
      <c r="BK56" s="180" t="b">
        <v>0</v>
      </c>
      <c r="BL56" s="180" t="b">
        <v>0</v>
      </c>
      <c r="BM56" s="180" t="b">
        <v>0</v>
      </c>
      <c r="BN56" s="180" t="b">
        <v>0</v>
      </c>
      <c r="BO56" s="181" t="s">
        <v>1070</v>
      </c>
      <c r="BP56" s="181" t="s">
        <v>1070</v>
      </c>
      <c r="BQ56" s="181" t="s">
        <v>1070</v>
      </c>
      <c r="BR56" s="181" t="s">
        <v>1070</v>
      </c>
      <c r="BS56" s="181" t="s">
        <v>1070</v>
      </c>
      <c r="BT56" s="184">
        <f>IFERROR(__xludf.DUMMYFUNCTION("IF(
  ISNUMBER(BT55),
  MIN(MAX(
    BT55
    + MAX(
      ROUNDDOWN((D56 - MAX(IFERROR(FILTER(D$24:D55, BT$24:BT55 &lt;&gt; BS$6, BT$23:BT54 = BS$6), 0))) * (60 * 60 * 24) / BS$9) - ROUNDDOWN((D55 - MAX(IFERROR(FILTER(D$23:D54, BT$23:BT54 &lt;&gt; BS$6, BT$22:BT53 ="&amp;" BS$6), 0))) * (60 * 60 * 24) / BS$9),
      0
    )
    - COUNTIF(BS56, ""&lt;&gt;-""),
  0), BS$6),
  BS$6 - COUNTIF(BS56, ""&lt;&gt;-"")
)"),3.0)</f>
        <v>3</v>
      </c>
      <c r="BU56" s="181" t="s">
        <v>1070</v>
      </c>
      <c r="BV56" s="181" t="s">
        <v>1070</v>
      </c>
      <c r="BW56" s="184">
        <f>IFERROR(__xludf.DUMMYFUNCTION("IF(
  ISNUMBER(BW55),
  MIN(MAX(
    BW55
    + MAX(
      ROUNDDOWN((D56 - MAX(IFERROR(FILTER(D$24:D55, BW$24:BW55 &lt;&gt; BV$6, BW$23:BW54 = BV$6), 0))) * (60 * 60 * 24) / BV$9) - ROUNDDOWN((D55 - MAX(IFERROR(FILTER(D$23:D54, BW$23:BW54 &lt;&gt; BV$6, BW$22:BW53 ="&amp;" BV$6), 0))) * (60 * 60 * 24) / BV$9),
      0
    )
    - COUNTIF(BV56, ""&lt;&gt;-""),
  0), BV$6),
  BV$6 - COUNTIF(BV56, ""&lt;&gt;-"")
)"),2.0)</f>
        <v>2</v>
      </c>
      <c r="BX56" s="185" t="s">
        <v>1070</v>
      </c>
      <c r="BY56" s="178" t="b">
        <v>0</v>
      </c>
      <c r="BZ56" s="180" t="b">
        <v>0</v>
      </c>
      <c r="CA56" s="180" t="b">
        <v>0</v>
      </c>
      <c r="CB56" s="180" t="b">
        <v>0</v>
      </c>
      <c r="CC56" s="180" t="b">
        <v>0</v>
      </c>
      <c r="CD56" s="180" t="b">
        <v>0</v>
      </c>
      <c r="CE56" s="180" t="b">
        <v>0</v>
      </c>
      <c r="CF56" s="180" t="b">
        <v>0</v>
      </c>
      <c r="CG56" s="180" t="b">
        <v>0</v>
      </c>
      <c r="CH56" s="180" t="b">
        <v>0</v>
      </c>
      <c r="CI56" s="180" t="b">
        <v>0</v>
      </c>
      <c r="CJ56" s="180" t="b">
        <v>0</v>
      </c>
      <c r="CK56" s="180" t="b">
        <v>0</v>
      </c>
      <c r="CL56" s="180" t="b">
        <v>0</v>
      </c>
      <c r="CM56" s="181" t="s">
        <v>1070</v>
      </c>
      <c r="CN56" s="181" t="s">
        <v>1070</v>
      </c>
      <c r="CO56" s="181" t="s">
        <v>1070</v>
      </c>
      <c r="CP56" s="181" t="s">
        <v>1070</v>
      </c>
      <c r="CQ56" s="185" t="s">
        <v>1070</v>
      </c>
      <c r="CR56" s="180" t="b">
        <v>0</v>
      </c>
      <c r="CS56" s="186" t="str">
        <f t="shared" si="14"/>
        <v>◇◇◇</v>
      </c>
      <c r="CT56" s="178" t="b">
        <v>0</v>
      </c>
      <c r="CU56" s="180" t="b">
        <v>0</v>
      </c>
      <c r="CV56" s="180" t="b">
        <v>0</v>
      </c>
      <c r="CW56" s="180" t="b">
        <v>0</v>
      </c>
      <c r="CX56" s="180" t="b">
        <v>0</v>
      </c>
      <c r="CY56" s="180" t="b">
        <v>0</v>
      </c>
      <c r="CZ56" s="180" t="b">
        <v>0</v>
      </c>
      <c r="DA56" s="180" t="b">
        <v>0</v>
      </c>
      <c r="DB56" s="180" t="b">
        <v>0</v>
      </c>
      <c r="DC56" s="180" t="b">
        <v>0</v>
      </c>
      <c r="DD56" s="181" t="s">
        <v>1070</v>
      </c>
      <c r="DE56" s="181" t="s">
        <v>1070</v>
      </c>
      <c r="DF56" s="181" t="s">
        <v>1070</v>
      </c>
      <c r="DG56" s="185" t="s">
        <v>1070</v>
      </c>
      <c r="DH56" s="180" t="b">
        <v>0</v>
      </c>
      <c r="DI56" s="187" t="str">
        <f>IFERROR(__xludf.DUMMYFUNCTION("SWITCH(
  IF(
    ISTEXT(DI55),
    IF (
      FIND(""○"", DI55&amp;""○"") &gt; 3,
      3,
      FIND(""○"", DI55&amp;""○"")
      + MAX(
        ROUNDDOWN(($D56 - MAX(IFERROR(FILTER(D$24:D55, DI$24:DI55 &lt;&gt; ""●●●"", DI$23:DI54 = ""●●●""), 0))) * (60 * 60 * 24) / 20"&amp;") - ROUNDDOWN(($D55 - MAX(IFERROR(FILTER(D$23:D54, DI$23:DI54 &lt;&gt; ""●●●"", DI$22:DI53 = ""●●●""), 0))) * (60 * 60 * 24) / 20),
        0
      ) - 1
    ) - COUNTIFS(CU56, ""=TRUE"", CU55, ""&lt;&gt;TRUE"") - COUNTIF(CZ56, ""=TRUE"") - COUNTIF({DD56,DE56}, ""&lt;&gt;-"&amp;""") + COUNTIF(DH56, ""=TRUE""),
    3
  ),
  0, ""○○○"", 1, ""●○○"", 2, ""●●○"", 3, ""●●●"", 4, ""●●●"", ""○○○""
)"),"●●●")</f>
        <v>●●●</v>
      </c>
      <c r="DJ56" s="188" t="b">
        <v>0</v>
      </c>
      <c r="DK56" s="189" t="b">
        <v>0</v>
      </c>
      <c r="DL56" s="190" t="b">
        <v>0</v>
      </c>
      <c r="DM56" s="190" t="b">
        <v>0</v>
      </c>
      <c r="DN56" s="190" t="b">
        <v>0</v>
      </c>
      <c r="DO56" s="190" t="b">
        <v>0</v>
      </c>
      <c r="DP56" s="190" t="b">
        <v>0</v>
      </c>
      <c r="DQ56" s="191" t="b">
        <v>0</v>
      </c>
      <c r="DR56" s="192" t="b">
        <v>0</v>
      </c>
      <c r="DS56" s="191" t="b">
        <v>0</v>
      </c>
      <c r="DT56" s="192" t="b">
        <v>0</v>
      </c>
      <c r="DU56" s="191" t="b">
        <v>0</v>
      </c>
      <c r="DV56" s="193" t="s">
        <v>1070</v>
      </c>
      <c r="DW56" s="194" t="b">
        <v>0</v>
      </c>
      <c r="DX56" s="194" t="b">
        <v>0</v>
      </c>
      <c r="DY56" s="195" t="b">
        <v>0</v>
      </c>
      <c r="DZ56" s="196" t="b">
        <v>0</v>
      </c>
      <c r="EA56" s="195" t="b">
        <v>0</v>
      </c>
      <c r="EB56" s="197" t="b">
        <v>0</v>
      </c>
      <c r="EC56" s="197" t="b">
        <v>0</v>
      </c>
      <c r="ED56" s="212" t="b">
        <v>0</v>
      </c>
      <c r="EE56" s="199">
        <f>IFERROR(__xludf.DUMMYFUNCTION("IFERROR(
   PRODUCT(
     MAP(
       INDEX(TRANSPOSE(UNIQUE(TRANSPOSE(FILTER({IF($F56=""Physical"", K$10:ED$10, IF($F56=""Magic"", K$11:ED$11, K$12:ED$12));K$4:ED$4;K56:ED56}, K56:ED56=TRUE)))), 1, 0),
       INDEX(TRANSPOSE(UNIQUE(TRANSPOSE(FILTER({IF($"&amp;"F56=""Physical"", K$18:ED$18, IF($F56=""Magic"", K$19:ED$19, K$20:ED$20));K$4:ED$4;K56:ED56}, K56:ED56=TRUE)))), 1, 0),
       INDEX(TRANSPOSE(UNIQUE(TRANSPOSE(FILTER({K$5:ED$5;K$4:ED$4;K56:ED56}, K56:ED56=TRUE)))), 1, 0),
       INDEX(TRANSPOSE(UNIQUE(TR"&amp;"ANSPOSE(FILTER({K$17:ED$17;K$4:ED$4;K56:ED56}, K56:ED56=TRUE)))), 1, 0),
       LAMBDA(
         mitigation,
         enhance,
         assign,
         precondition,
         IF(
           REGEXMATCH(assign, ""RANGE_PARTY|SINGLE_ENEMY|RANGE_ENEMY""),
  "&amp;"         IF(
             OR(ARRAYFORMULA((IF(precondition="""", FALSE, REGEXMATCH(K$4:ED$4, precondition))) * (K56:ED56=TRUE))),
             IF(ISNUMBER(enhance), enhance, 1),
             IF(ISNUMBER(mitigation), mitigation, 1)
           ),
          "&amp;" 1
         )
       )
     )
   ),
   1
 )"),1.0)</f>
        <v>1</v>
      </c>
      <c r="EF56" s="200">
        <f>IFERROR(__xludf.DUMMYFUNCTION("PRODUCT(
   MAP(
     K$14:ED$14,
     K$13:ED$13,
     K56:ED56,
     LAMBDA(
       buff,
       target,
       check,
       IF(
         AND(check=TRUE, REGEXMATCH(target, ""RANGE_AFFECTED_ALL|RANGE_EFFECTED_ALL""), ISNUMBER(buff)),
         buff,
   "&amp;"      1
       )
     )
   )
 )"),1.0)</f>
        <v>1</v>
      </c>
      <c r="EG56" s="200">
        <f>IFERROR(__xludf.DUMMYFUNCTION("PRODUCT(
   MAP(
     K$14:ED$14,
     K$13:ED$13,
     K56:ED56,
     LAMBDA(
       buff,
       target,
       check,
       IF(
         AND(check=TRUE, REGEXMATCH(target, ""RANGE_AFFECTED_GCD|RANGE_EFFECTED_GCD""), ISNUMBER(buff)),
         buff,
   "&amp;"      1
       )
     )
   )
 )"),1.0)</f>
        <v>1</v>
      </c>
      <c r="EH56" s="200">
        <f>IFERROR(__xludf.DUMMYFUNCTION("PRODUCT(
   MAP(
     K$3:ED$3,
     K$14:ED$14,
     K$13:ED$13,
     K56:ED56,
     LAMBDA(
       job,
       buff,
       target,
       check,
       IF(
         AND(check=TRUE, REGEXMATCH(target, ""SELF_EFFECTED_ALL""), ISNUMBER(buff), job=""白魔道士"""&amp;"),
         buff,
         1
       )
     )
   )
 )"),1.0)</f>
        <v>1</v>
      </c>
      <c r="EI56" s="200">
        <f>IFERROR(__xludf.DUMMYFUNCTION("PRODUCT(
   MAP(
     K$3:ED$3,
     K$14:ED$14,
     K$13:ED$13,
     K56:ED56,
     LAMBDA(
       job,
       buff,
       target,
       check,
       IF(
         AND(check=TRUE, REGEXMATCH(target, ""SELF_EFFECTED_GCD""), ISNUMBER(buff), job=""白魔道士"""&amp;"),
         buff,
         1
       )
     )
   )
 )"),1.0)</f>
        <v>1</v>
      </c>
      <c r="EJ56" s="200">
        <f>IFERROR(__xludf.DUMMYFUNCTION("PRODUCT(
   MAP(
     K$3:ED$3,
     K$14:ED$14,
     K$13:ED$13,
     K56:ED56,
     LAMBDA(
       job,
       buff,
       target,
       check,
       IF(
         AND(check=TRUE, REGEXMATCH(target, ""SELF_EFFECTED_ALL""), ISNUMBER(buff), job=""占星術師"""&amp;"),
         buff,
         1
       )
     )
   )
 )"),1.0)</f>
        <v>1</v>
      </c>
      <c r="EK56" s="200">
        <f>IFERROR(__xludf.DUMMYFUNCTION("PRODUCT(
   MAP(
     K$3:ED$3,
     K$14:ED$14,
     K$13:ED$13,
     K56:ED56,
     LAMBDA(
       job,
       buff,
       target,
       check,
       IF(
         AND(check=TRUE, REGEXMATCH(target, ""SELF_EFFECTED_GCD""), ISNUMBER(buff), job=""占星術師"""&amp;"),
         buff,
         1
       )
     )
   )
 )"),1.0)</f>
        <v>1</v>
      </c>
      <c r="EL56" s="200">
        <f>IFERROR(__xludf.DUMMYFUNCTION("PRODUCT(
   MAP(
     K$3:ED$3,
     K$14:ED$14,
     K$13:ED$13,
     K56:ED56,
     LAMBDA(
       job,
       buff,
       target,
       check,
       IF(
         AND(check=TRUE, REGEXMATCH(target, ""SELF_EFFECTED_ALL""), ISNUMBER(buff), job=""学者""),"&amp;"
         buff,
         1
       )
     )
   )
 )"),1.0)</f>
        <v>1</v>
      </c>
      <c r="EM56" s="200">
        <f>IFERROR(__xludf.DUMMYFUNCTION("PRODUCT(
   MAP(
     K$3:ED$3,
     K$14:ED$14,
     K$13:ED$13,
     K56:ED56,
     LAMBDA(
       job,
       buff,
       target,
       check,
       IF(
         AND(check=TRUE, REGEXMATCH(target, ""SELF_EFFECTED_GCD""), ISNUMBER(buff), job=""学者""),"&amp;"
         buff,
         1
       )
     )
   )
 )"),1.0)</f>
        <v>1</v>
      </c>
      <c r="EN56" s="200">
        <f>IFERROR(__xludf.DUMMYFUNCTION("PRODUCT(
   MAP(
     K$3:ED$3,
     K$14:ED$14,
     K$13:ED$13,
     K56:ED56,
     LAMBDA(
       job,
       buff,
       target,
       check,
       IF(
         AND(check=TRUE, REGEXMATCH(target, ""SELF_EFFECTED_ALL""), ISNUMBER(buff), job=""賢者""),"&amp;"
         buff,
         1
       )
     )
   )
 )"),1.0)</f>
        <v>1</v>
      </c>
      <c r="EO56" s="200">
        <f>IFERROR(__xludf.DUMMYFUNCTION("PRODUCT(
   MAP(
     K$3:ED$3,
     K$14:ED$14,
     K$13:ED$13,
     K56:ED56,
     LAMBDA(
       job,
       buff,
       target,
       check,
       IF(
         AND(check=TRUE, REGEXMATCH(target, ""SELF_EFFECTED_GCD""), ISNUMBER(buff), job=""賢者""),"&amp;"
         buff,
         1
       )
     )
   )
 )"),1.0)</f>
        <v>1</v>
      </c>
      <c r="EP56" s="201">
        <f t="shared" si="3"/>
        <v>0</v>
      </c>
      <c r="EQ56" s="201">
        <f>IFERROR(__xludf.DUMMYFUNCTION("SUM(
   MAP(
     K$4:ED$4,
     K$3:ED$3,
     K$7:ED$7,
     K$15:ED$15,
     K$16:ED$16,
     K$21:ED$21,
     K$5:ED$5,
     K$17:ED$17,
     K56:ED56,
     LAMBDA(
       name,
       job,
       abillity,
       buff,
       barrier,
       enhance,"&amp;"
       assign,
       precondition,
       check,
       SWITCH(
         name,
         ""シェイクオフ"", IF(check=TRUE, buff + (0.02 * COUNTIF(ARRAYFORMULA((REGEXMATCH($K$4:$ED$4, ""スリル・オブ・バトル|ヴェンジェンス|原初の血気|ダムネーション"")) * (K56:ED56=TRUE)), 1)), 0),
         "&amp;"""インプロビゼーションフィニッシュ(踊りの激情0)"", IF(ISNUMBER(check), INDEX(Skill!$AJ:$AJ, MATCH(SUBSTITUTE(DV$4, 0, check), Skill!$C:$C, 0)), 0),
         IF(
           AND(check=TRUE, REGEXMATCH(assign, ""RANGE_PARTY"")),
           IF(
             OR(ARRAYFORMULA((IF(pr"&amp;"econdition="""", FALSE, REGEXMATCH($K$4:$ED$4, precondition))) * (K56:ED56=TRUE))),
             enhance,
             IF(barrier="""", buff, barrier)
           ),
           0
         )
       ) *
       SWITCH(
         job,
         ""ナイト"", EY$24,
 "&amp;"        ""戦士"", FD$24,
         ""踊り子"", ET$24,
         ""ピクトマンサー"", ET$24,
         ""白魔道士"", EF56 * EH56 * IF(abillity, 1, EG56 * EI56) * (Option!$D$22 * 0.81 / 100),
         ""占星術師"", EF56 * EJ56 * IF(abillity, 1, EG56 * EK56) * (Option!$D$23 * 0.81 "&amp;"/ 100),
         ""学者"", EF56 * EL56 * IF(abillity, 1, EG56 * EM56) * (Option!$D$24 * 0.81 / 100),
         ""賢者"", EF56 * EN56 * IF(abillity, 1, EG56 * EO56) * (Option!$D$25 * 0.81 / 100),
         1
       )
     )
   )
 )"),0.0)</f>
        <v>0</v>
      </c>
      <c r="ER56" s="202">
        <f t="shared" si="4"/>
        <v>0</v>
      </c>
      <c r="ES56" s="203">
        <f t="shared" si="5"/>
        <v>0</v>
      </c>
      <c r="ET56" s="204" t="str">
        <f>IFERROR(__xludf.DUMMYFUNCTION("IFS(
  EP56 &gt; $ET$24 + EQ56,
  SPARKLINE({ 1, 0 }, {""charttype"",""bar"";""max"", 1;""color1"",Option!$D$30;""color2"",Option!$D$30}),
  EP56 &lt; EQ56,
  SPARKLINE({EQ56 - EP56, $ET$24 - (EQ56 - EP56)}, {""charttype"",""bar"";""max"",$ET$24;""color1"",Opti"&amp;"on!$D$28;""color2"",Option!$D$29}),
  EP56 &gt;= EQ56,
  SPARKLINE({$ET$24 + EQ56 - EP56,EP56 - EQ56}, {""charttype"",""bar"";""max"",$ET$24;""color1"",Option!$D$29;""color2"",Option!$D$30})
)"),"")</f>
        <v/>
      </c>
      <c r="EU56" s="205">
        <f>IFERROR(__xludf.DUMMYFUNCTION("PRODUCT(
   MAP(
     IF($F56=""Physical"", K$10:ED$10, IF($F56=""Magic"", K$11:ED$11, K$12:ED$12)),
     IF($F56=""Physical"", K$18:ED$18, IF($F56=""Magic"", K$19:ED$19, K$20:ED$20)),
     K$3:ED$3,
     K$5:ED$5,
     K$17:ED$17,
     K56:ED56,
     LAM"&amp;"BDA(
       mitigation,
       enhance,
       job,
       assign,
       precondition,
       check,
       IF(
         OR(AND(check=TRUE, REGEXMATCH(assign, ""SELF""), job=""ナイト""), AND(check=Option!$E$13, REGEXMATCH(assign, ""SINGLE_PARTY""))),
      "&amp;"   IF(
           OR(ARRAYFORMULA((IF(precondition="""", FALSE, REGEXMATCH($K$4:$ED$4, precondition))) * (K56:ED56=TRUE))),
           enhance,
           mitigation
         ),
         1
       )
     )
   )
 ) * EE56"),1.0)</f>
        <v>1</v>
      </c>
      <c r="EV56" s="206">
        <f t="shared" si="6"/>
        <v>0</v>
      </c>
      <c r="EW56" s="205">
        <f>IFERROR(__xludf.DUMMYFUNCTION("PRODUCT(
   MAP(
     K$3:ED$3,
     K$14:ED$14,
     K$13:ED$13,
     K56:ED56,
     LAMBDA(
       job,
       buff,
       target,
       check,
       IF(
         OR(AND(check=TRUE, REGEXMATCH(target, ""SELF_AFFECTED_ALL""), job=""ナイト""), AND(check=O"&amp;"ption!$E$13, REGEXMATCH(target, ""SINGLE_AFFECTED_ALL""))),
         buff,
         1
       )
     )
   )
 )"),1.0)</f>
        <v>1</v>
      </c>
      <c r="EX56" s="206">
        <f>IFERROR(__xludf.DUMMYFUNCTION("SUM(
   MAP(
     K$3:ED$3,
     K$7:ED$7,
     K$15:ED$15,
     K$16:ED$16,
     K$21:ED$21,
     K$5:ED$5,
     K$17:ED$17,
     K56:ED56,
     LAMBDA(
       job,
       abillity,
       buff,
       barrier,
       enhance,
       assign,
       preco"&amp;"ndition,
       check,
       IF(
         OR(AND(check=TRUE, REGEXMATCH(assign, ""SELF""), job=""ナイト""), AND(check=Option!$E$13, REGEXMATCH(assign, ""SINGLE_PARTY""))),
         IF(
           OR(ARRAYFORMULA((IF(precondition="""", FALSE, REGEXMATCH($K$4"&amp;":$ED$4, precondition))) * (K56:ED56=TRUE))),
           enhance,
           IF(barrier="""", buff, barrier)
         ),
         0
       ) *
       SWITCH(
         job,
         ""暗黒騎士"", EY$24,
         ""白魔道士"", EF56 * EH56 * EW56 * IF(abillity, 1, EG"&amp;"56 * EI56) * (Option!$D$22 * 0.81 / 100),
         ""占星術師"", EF56 * EJ56 * EW56 * IF(abillity, 1, EG56 * EK56) * (Option!$D$23 * 0.81 / 100),
         ""学者"", EF56 * EL56 * EW56 * IF(abillity, 1, EG56 * EM56) * (Option!$D$24 * 0.81 / 100),
         ""賢者"""&amp;", EF56 * EN56 * EW56 * IF(abillity, 1, EG56 * EO56) * (Option!$D$25 * 0.81 / 100),
         1
       )
     )
   )
 ) + EQ56"),0.0)</f>
        <v>0</v>
      </c>
      <c r="EY56" s="206">
        <f t="shared" si="7"/>
        <v>0</v>
      </c>
      <c r="EZ56" s="205">
        <f>IFERROR(__xludf.DUMMYFUNCTION("PRODUCT(
   MAP(
     IF($F56=""Physical"", K$10:ED$10, IF($F56=""Magic"", K$11:ED$11, K$12:ED$12)),
     IF($F56=""Physical"", K$18:ED$18, IF($F56=""Magic"", K$19:ED$19, K$20:ED$20)),
     K$3:ED$3,
     K$5:ED$5,
     K$17:ED$17,
     K56:ED56,
     LAM"&amp;"BDA(
       mitigation,
       enhance,
       job,
       assign,
       precondition,
       check,
       IF(
         OR(AND(check=TRUE, REGEXMATCH(assign, ""SELF""), job=""戦士""), AND(check=Option!$F$13, REGEXMATCH(assign, ""SINGLE_PARTY""))),
       "&amp;"  IF(
           OR(ARRAYFORMULA((IF(precondition="""", FALSE, REGEXMATCH($K$4:$ED$4, precondition))) * (K56:ED56=TRUE))),
           enhance,
           mitigation
         ),
         1
       )
     )
   )
 ) * EE56"),1.0)</f>
        <v>1</v>
      </c>
      <c r="FA56" s="206">
        <f t="shared" si="8"/>
        <v>0</v>
      </c>
      <c r="FB56" s="205">
        <f>IFERROR(__xludf.DUMMYFUNCTION("PRODUCT(
   MAP(
     K$3:ED$3,
     K$14:ED$14,
     K$13:ED$13,
     K56:ED56,
     LAMBDA(
       job,
       buff,
       target,
       check,
       IF(
         OR(AND(check=TRUE, REGEXMATCH(target, ""SELF_AFFECTED_ALL""), job=""戦士""), AND(check=Op"&amp;"tion!$F$13, REGEXMATCH(target, ""SINGLE_AFFECTED_ALL""))),
         buff,
         1
       )
     )
   )
 )"),1.0)</f>
        <v>1</v>
      </c>
      <c r="FC56" s="206">
        <f>IFERROR(__xludf.DUMMYFUNCTION("SUM(
   MAP(
     K$3:ED$3,
     K$7:ED$7,
     K$15:ED$15,
     K$16:ED$16,
     K$21:ED$21,
     K$5:ED$5,
     K$17:ED$17,
     K56:ED56,
     LAMBDA(
       job,
       abillity,
       buff,
       barrier,
       enhance,
       assign,
       preco"&amp;"ndition,
       check,
       IF(
         OR(AND(check=TRUE, REGEXMATCH(assign, ""SELF""), job=""戦士""), AND(check=Option!$F$13, REGEXMATCH(assign, ""SINGLE_PARTY""))),
         IF(
           OR(ARRAYFORMULA((IF(precondition="""", FALSE, REGEXMATCH($K$4:"&amp;"$ED$4, precondition))) * (K56:ED56=TRUE))),
           enhance,
           IF(barrier="""", buff, barrier)
         ),
         0
       ) *
       SWITCH(
         job,
         ""暗黒騎士"", FD$24,
         ""白魔道士"", EF56 * EH56 * FB56 * IF(abillity, 1, EG5"&amp;"6 * EI56) * (Option!$D$22 * 0.81 / 100),
         ""占星術師"", EF56 * EJ56 * FFB56 * IF(abillity, 1, EG56 * EK56) * (Option!$D$23 * 0.81 / 100),
         ""学者"", EF56 * EL56 * FB56 * IF(abillity, 1, EG56 * EM56) * (Option!$D$24 * 0.81 / 100),
         ""賢者"""&amp;", EF56 * EN56 * FB56 * IF(abillity, 1, EG56 * EO56) * (Option!$D$25 * 0.81 / 100),
         1
       )
     )
   )
 ) + EQ56"),0.0)</f>
        <v>0</v>
      </c>
      <c r="FD56" s="206">
        <f t="shared" si="9"/>
        <v>0</v>
      </c>
      <c r="FE56" s="205">
        <f>IFERROR(__xludf.DUMMYFUNCTION("PRODUCT(
   MAP(
     IF($F56=""Physical"", K$10:ED$10, IF($F56=""Magic"", K$11:ED$11, K$12:ED$12)),
     IF($F56=""Physical"", K$18:ED$18, IF($F56=""Magic"", K$19:ED$19, K$20:ED$20)),
     K$3:ED$3,
     K$5:ED$5,
     K$17:ED$17,
     K56:ED56,
     LAM"&amp;"BDA(
       mitigation,
       enhance,
       job,
       assign,
       precondition,
       check,
       IF(
         OR(AND(check=TRUE, REGEXMATCH(assign, ""SELF""), job=""暗黒騎士""), AND(check=Option!$G$13, REGEXMATCH(assign, ""SINGLE_PARTY""))),
     "&amp;"    IF(
           OR(ARRAYFORMULA((IF(precondition="""", FALSE, REGEXMATCH($K$4:$ED$4, precondition))) * (K56:ED56=TRUE))),
           enhance,
           mitigation
         ),
         1
       )
     )
   )
 ) * EE56"),1.0)</f>
        <v>1</v>
      </c>
      <c r="FF56" s="206">
        <f t="shared" si="10"/>
        <v>0</v>
      </c>
      <c r="FG56" s="205">
        <f>IFERROR(__xludf.DUMMYFUNCTION("PRODUCT(
   MAP(
     K$3:ED$3,
     K$14:ED$14,
     K$13:ED$13,
     K56:ED56,
     LAMBDA(
       job,
       buff,
       target,
       check,
       IF(
         OR(AND(check=TRUE, REGEXMATCH(target, ""SELF_AFFECTED_ALL""), job=""暗黒騎士""), AND(check="&amp;"Option!$G$13, REGEXMATCH(target, ""SINGLE_AFFECTED_ALL""))),
         buff,
         1
       )
     )
   )
 )"),1.0)</f>
        <v>1</v>
      </c>
      <c r="FH56" s="206">
        <f>IFERROR(__xludf.DUMMYFUNCTION("SUM(
   MAP(
     K$3:ED$3,
     K$7:ED$7,
     K$15:ED$15,
     K$16:ED$16,
     K$21:ED$21,
     K$5:ED$5,
     K$17:ED$17,
     K56:ED56,
     LAMBDA(
       job,
       abillity,
       buff,
       barrier,
       enhance,
       assign,
       preco"&amp;"ndition,
       check,
       IF(
         OR(AND(check=TRUE, REGEXMATCH(assign, ""SELF""), job=""暗黒騎士""), AND(check=Option!$G$13, REGEXMATCH(assign, ""SINGLE_PARTY""))),
         IF(
           OR(ARRAYFORMULA((IF(precondition="""", FALSE, REGEXMATCH($K$"&amp;"4:$ED$4, precondition))) * (K56:ED56=TRUE))),
           enhance,
           IF(barrier="""", buff, barrier)
         ),
         0
       ) *
       SWITCH(
         job,
         ""暗黒騎士"", FI$24,
         ""白魔道士"", EF56 * EH56 * FG56 * IF(abillity, 1, E"&amp;"G56 * EI56) * (Option!$D$22 * 0.81 / 100),
         ""占星術師"", EF56 * EJ56 * FG56 * IF(abillity, 1, EG56 * EK56) * (Option!$D$23 * 0.81 / 100),
         ""学者"", EF56 * EL56 * FG56 * IF(abillity, 1, EG56 * EM56) * (Option!$D$24 * 0.81 / 100),
         ""賢者"&amp;""", EF56 * EN56 * FG56 * IF(abillity, 1, EG56 * EO56) * (Option!$D$25 * 0.81 / 100),
         1
       )
     )
   )
 ) + EQ56"),0.0)</f>
        <v>0</v>
      </c>
      <c r="FI56" s="206">
        <f t="shared" si="11"/>
        <v>0</v>
      </c>
      <c r="FJ56" s="205">
        <f>IFERROR(__xludf.DUMMYFUNCTION("PRODUCT(
   MAP(
     IF($F56=""Physical"", K$10:ED$10, IF($F56=""Magic"", K$11:ED$11, K$12:ED$12)),
     IF($F56=""Physical"", K$18:ED$18, IF($F56=""Magic"", K$19:ED$19, K$20:ED$20)),
     K$3:ED$3,
     K$5:ED$5,
     K$17:ED$17,
     K56:ED56,
     LAM"&amp;"BDA(
       mitigation,
       enhance,
       job,
       assign,
       precondition,
       check,
       IF(
         OR(AND(check=TRUE, REGEXMATCH(assign, ""SELF""), job=""ガンブレイカー""), AND(check=Option!$H$13, REGEXMATCH(assign, ""SINGLE_PARTY""))),
  "&amp;"       IF(
           OR(ARRAYFORMULA((IF(precondition="""", FALSE, REGEXMATCH($K$4:$ED$4, precondition))) * (K56:ED56=TRUE))),
           enhance,
           mitigation
         ),
         1
       )
     )
   )
 ) * EE56"),1.0)</f>
        <v>1</v>
      </c>
      <c r="FK56" s="206">
        <f t="shared" si="12"/>
        <v>0</v>
      </c>
      <c r="FL56" s="205">
        <f>IFERROR(__xludf.DUMMYFUNCTION("PRODUCT(
   MAP(
     K$3:ED$3,
     K$14:ED$14,
     K$13:ED$13,
     K56:ED56,
     LAMBDA(
       job,
       buff,
       target,
       check,
       IF(
         OR(AND(check=TRUE, REGEXMATCH(target, ""SELF_AFFECTED_ALL""), job=""ガンブレイカー""), AND(che"&amp;"ck=Option!$H$13, REGEXMATCH(target, ""SINGLE_AFFECTED_ALL""))),
         buff,
         1
       )
     )
   )
 )"),1.0)</f>
        <v>1</v>
      </c>
      <c r="FM56" s="206">
        <f>IFERROR(__xludf.DUMMYFUNCTION("SUM(
   MAP(
     K$3:ED$3,
     K$7:ED$7,
     K$15:ED$15,
     K$16:ED$16,
     K$21:ED$21,
     K$5:ED$5,
     K$17:ED$17,
     K56:ED56,
     LAMBDA(
       job,
       abillity,
       buff,
       barrier,
       enhance,
       assign,
       preco"&amp;"ndition,
       check,
       IF(
         OR(AND(check=TRUE, REGEXMATCH(assign, ""SELF""), job=""ガンブレイカー""), AND(check=Option!$H$13, REGEXMATCH(assign, ""SINGLE_PARTY""))),
         IF(
           OR(ARRAYFORMULA((IF(precondition="""", FALSE, REGEXMATCH("&amp;"$K$4:$ED$4, precondition))) * (K56:ED56=TRUE))),
           enhance,
           IF(barrier="""", buff, barrier)
         ),
         0
       ) *
       SWITCH(
         job,
         ""暗黒騎士"", FN$24,
         ""白魔道士"", EF56 * EH56 * FL56 * IF(abillity, 1"&amp;", EG56 * EI56) * (Option!$D$22 * 0.81 / 100),
         ""占星術師"", EF56 * EJ56 * FL56 * IF(abillity, 1, EG56 * EK56) * (Option!$D$23 * 0.81 / 100),
         ""学者"", EF56 * EL56 * FL56 * IF(abillity, 1, EG56 * EM56) * (Option!$D$24 * 0.81 / 100),
         """&amp;"賢者"", EF56 * EN56 * FL56 * IF(abillity, 1, EG56 * EO56) * (Option!$D$25 * 0.81 / 100),
         1
       )
     )
   )
 ) + EQ56"),0.0)</f>
        <v>0</v>
      </c>
      <c r="FN56" s="206">
        <f t="shared" si="13"/>
        <v>0</v>
      </c>
      <c r="FO56" s="213"/>
    </row>
    <row r="57">
      <c r="B57" s="229"/>
      <c r="C57" s="217">
        <f t="shared" si="1"/>
        <v>0</v>
      </c>
      <c r="D57" s="236"/>
      <c r="E57" s="219"/>
      <c r="F57" s="167"/>
      <c r="G57" s="168" t="str">
        <f t="shared" si="2"/>
        <v/>
      </c>
      <c r="H57" s="169"/>
      <c r="I57" s="169"/>
      <c r="J57" s="169"/>
      <c r="K57" s="170" t="b">
        <v>0</v>
      </c>
      <c r="L57" s="170" t="b">
        <v>0</v>
      </c>
      <c r="M57" s="170" t="b">
        <v>0</v>
      </c>
      <c r="N57" s="171" t="s">
        <v>1070</v>
      </c>
      <c r="O57" s="172" t="b">
        <v>0</v>
      </c>
      <c r="P57" s="173" t="b">
        <v>0</v>
      </c>
      <c r="Q57" s="173" t="b">
        <v>0</v>
      </c>
      <c r="R57" s="173" t="b">
        <v>0</v>
      </c>
      <c r="S57" s="174" t="b">
        <v>0</v>
      </c>
      <c r="T57" s="175" t="b">
        <v>0</v>
      </c>
      <c r="U57" s="173" t="b">
        <v>0</v>
      </c>
      <c r="V57" s="171" t="s">
        <v>1070</v>
      </c>
      <c r="W57" s="172" t="b">
        <v>0</v>
      </c>
      <c r="X57" s="173" t="b">
        <v>0</v>
      </c>
      <c r="Y57" s="173" t="b">
        <v>0</v>
      </c>
      <c r="Z57" s="173" t="b">
        <v>0</v>
      </c>
      <c r="AA57" s="174" t="b">
        <v>0</v>
      </c>
      <c r="AB57" s="174" t="b">
        <v>0</v>
      </c>
      <c r="AC57" s="175" t="b">
        <v>0</v>
      </c>
      <c r="AD57" s="173" t="b">
        <v>0</v>
      </c>
      <c r="AE57" s="176" t="s">
        <v>1070</v>
      </c>
      <c r="AF57" s="171" t="s">
        <v>1070</v>
      </c>
      <c r="AG57" s="177">
        <f>IFERROR(__xludf.DUMMYFUNCTION("IF(
  ISNUMBER(AG56),
  MIN(MAX(
    AG56
    + MAX(
      ROUNDDOWN(($D57 - MAX(IFERROR(FILTER($D$24:$D56, AG$24:AG56 &lt;&gt; AF$6, AG$23:AG55 = AF$6), 0))) * (60 * 60 * 24) / AF$9) - ROUNDDOWN(($D56 - MAX(IFERROR(FILTER($D$23:$D55, AG$23:AG55 &lt;&gt; AF$6, AG$22:"&amp;"AG54 = AF$6), 0))) * (60 * 60 * 24) / 60),
      0
    )
    - COUNTIF(AF57, ""&lt;&gt;-""),
  0), AF$6),
  AF$6 - COUNTIF(AF57, ""&lt;&gt;-"")
)"),2.0)</f>
        <v>2</v>
      </c>
      <c r="AH57" s="173" t="b">
        <v>0</v>
      </c>
      <c r="AI57" s="173" t="b">
        <v>0</v>
      </c>
      <c r="AJ57" s="173" t="b">
        <v>0</v>
      </c>
      <c r="AK57" s="174" t="b">
        <v>0</v>
      </c>
      <c r="AL57" s="175" t="b">
        <v>0</v>
      </c>
      <c r="AM57" s="173" t="b">
        <v>0</v>
      </c>
      <c r="AN57" s="171" t="s">
        <v>1070</v>
      </c>
      <c r="AO57" s="173" t="b">
        <v>0</v>
      </c>
      <c r="AP57" s="173" t="b">
        <v>0</v>
      </c>
      <c r="AQ57" s="173" t="b">
        <v>0</v>
      </c>
      <c r="AR57" s="174" t="b">
        <v>0</v>
      </c>
      <c r="AS57" s="178" t="b">
        <v>0</v>
      </c>
      <c r="AT57" s="179" t="b">
        <v>0</v>
      </c>
      <c r="AU57" s="180" t="b">
        <v>0</v>
      </c>
      <c r="AV57" s="180" t="b">
        <v>0</v>
      </c>
      <c r="AW57" s="180" t="b">
        <v>0</v>
      </c>
      <c r="AX57" s="180" t="b">
        <v>0</v>
      </c>
      <c r="AY57" s="181" t="s">
        <v>1070</v>
      </c>
      <c r="AZ57" s="181" t="s">
        <v>1070</v>
      </c>
      <c r="BA57" s="184">
        <f>IFERROR(__xludf.DUMMYFUNCTION("IF(
  ISNUMBER(BA56),
  MIN(MAX(
    BA56
    + MAX(
      ROUNDDOWN((D57 - MAX(IFERROR(FILTER(D$24:D56, BA$24:BA56 &lt;&gt; AZ$6, BA$23:BA55 = AZ$6), 0))) * (60 * 60 * 24) / AZ$9) - ROUNDDOWN((D56 - MAX(IFERROR(FILTER(D$23:D55, BA$23:BA55 &lt;&gt; AZ$6, BA$22:BA54 ="&amp;" AZ$6), 0))) * (60 * 60 * 24) / AZ$9),
      0
    )
    - COUNTIF(AZ57, ""&lt;&gt;-""),
  0), AZ$6),
  AZ$6 - COUNTIF(AZ57, ""&lt;&gt;-"")
)"),2.0)</f>
        <v>2</v>
      </c>
      <c r="BB57" s="181" t="s">
        <v>1070</v>
      </c>
      <c r="BC57" s="183">
        <f>IFERROR(__xludf.DUMMYFUNCTION("IF(
  ISNUMBER(BC56),
  MIN(MAX(
    BC56
    + MAX(
      ROUNDDOWN(($D57 - MAX(IFERROR(FILTER($D$24:$D56, BC$24:BC56 &lt;&gt; BB$6, BC$23:BC55 = BB$6), 0))) * (60 * 60 * 24) / BB$9) - ROUNDDOWN(($D56 - MAX(IFERROR(FILTER($D$23:$D55, BC$23:BC55 &lt;&gt; BB$6, BC$22:"&amp;"BC54 = BB$6), 0))) * (60 * 60 * 24) / 60),
      0
    )
    - COUNTIF(BB57, ""&lt;&gt;-""),
  0), BB$6),
  BB$6 - COUNTIF(BB57, ""&lt;&gt;-"")
)"),2.0)</f>
        <v>2</v>
      </c>
      <c r="BD57" s="181" t="s">
        <v>1070</v>
      </c>
      <c r="BE57" s="178" t="b">
        <v>0</v>
      </c>
      <c r="BF57" s="180" t="b">
        <v>0</v>
      </c>
      <c r="BG57" s="180" t="b">
        <v>0</v>
      </c>
      <c r="BH57" s="180" t="b">
        <v>0</v>
      </c>
      <c r="BI57" s="180" t="b">
        <v>0</v>
      </c>
      <c r="BJ57" s="180" t="b">
        <v>0</v>
      </c>
      <c r="BK57" s="180" t="b">
        <v>0</v>
      </c>
      <c r="BL57" s="180" t="b">
        <v>0</v>
      </c>
      <c r="BM57" s="180" t="b">
        <v>0</v>
      </c>
      <c r="BN57" s="180" t="b">
        <v>0</v>
      </c>
      <c r="BO57" s="181" t="s">
        <v>1070</v>
      </c>
      <c r="BP57" s="181" t="s">
        <v>1070</v>
      </c>
      <c r="BQ57" s="181" t="s">
        <v>1070</v>
      </c>
      <c r="BR57" s="181" t="s">
        <v>1070</v>
      </c>
      <c r="BS57" s="181" t="s">
        <v>1070</v>
      </c>
      <c r="BT57" s="184">
        <f>IFERROR(__xludf.DUMMYFUNCTION("IF(
  ISNUMBER(BT56),
  MIN(MAX(
    BT56
    + MAX(
      ROUNDDOWN((D57 - MAX(IFERROR(FILTER(D$24:D56, BT$24:BT56 &lt;&gt; BS$6, BT$23:BT55 = BS$6), 0))) * (60 * 60 * 24) / BS$9) - ROUNDDOWN((D56 - MAX(IFERROR(FILTER(D$23:D55, BT$23:BT55 &lt;&gt; BS$6, BT$22:BT54 ="&amp;" BS$6), 0))) * (60 * 60 * 24) / BS$9),
      0
    )
    - COUNTIF(BS57, ""&lt;&gt;-""),
  0), BS$6),
  BS$6 - COUNTIF(BS57, ""&lt;&gt;-"")
)"),3.0)</f>
        <v>3</v>
      </c>
      <c r="BU57" s="181" t="s">
        <v>1070</v>
      </c>
      <c r="BV57" s="181" t="s">
        <v>1070</v>
      </c>
      <c r="BW57" s="184">
        <f>IFERROR(__xludf.DUMMYFUNCTION("IF(
  ISNUMBER(BW56),
  MIN(MAX(
    BW56
    + MAX(
      ROUNDDOWN((D57 - MAX(IFERROR(FILTER(D$24:D56, BW$24:BW56 &lt;&gt; BV$6, BW$23:BW55 = BV$6), 0))) * (60 * 60 * 24) / BV$9) - ROUNDDOWN((D56 - MAX(IFERROR(FILTER(D$23:D55, BW$23:BW55 &lt;&gt; BV$6, BW$22:BW54 ="&amp;" BV$6), 0))) * (60 * 60 * 24) / BV$9),
      0
    )
    - COUNTIF(BV57, ""&lt;&gt;-""),
  0), BV$6),
  BV$6 - COUNTIF(BV57, ""&lt;&gt;-"")
)"),2.0)</f>
        <v>2</v>
      </c>
      <c r="BX57" s="185" t="s">
        <v>1070</v>
      </c>
      <c r="BY57" s="178" t="b">
        <v>0</v>
      </c>
      <c r="BZ57" s="180" t="b">
        <v>0</v>
      </c>
      <c r="CA57" s="180" t="b">
        <v>0</v>
      </c>
      <c r="CB57" s="180" t="b">
        <v>0</v>
      </c>
      <c r="CC57" s="180" t="b">
        <v>0</v>
      </c>
      <c r="CD57" s="180" t="b">
        <v>0</v>
      </c>
      <c r="CE57" s="180" t="b">
        <v>0</v>
      </c>
      <c r="CF57" s="180" t="b">
        <v>0</v>
      </c>
      <c r="CG57" s="180" t="b">
        <v>0</v>
      </c>
      <c r="CH57" s="180" t="b">
        <v>0</v>
      </c>
      <c r="CI57" s="180" t="b">
        <v>0</v>
      </c>
      <c r="CJ57" s="180" t="b">
        <v>0</v>
      </c>
      <c r="CK57" s="180" t="b">
        <v>0</v>
      </c>
      <c r="CL57" s="180" t="b">
        <v>0</v>
      </c>
      <c r="CM57" s="181" t="s">
        <v>1070</v>
      </c>
      <c r="CN57" s="181" t="s">
        <v>1070</v>
      </c>
      <c r="CO57" s="181" t="s">
        <v>1070</v>
      </c>
      <c r="CP57" s="181" t="s">
        <v>1070</v>
      </c>
      <c r="CQ57" s="185" t="s">
        <v>1070</v>
      </c>
      <c r="CR57" s="180" t="b">
        <v>0</v>
      </c>
      <c r="CS57" s="186" t="str">
        <f t="shared" si="14"/>
        <v>◇◇◇</v>
      </c>
      <c r="CT57" s="178" t="b">
        <v>0</v>
      </c>
      <c r="CU57" s="180" t="b">
        <v>0</v>
      </c>
      <c r="CV57" s="180" t="b">
        <v>0</v>
      </c>
      <c r="CW57" s="180" t="b">
        <v>0</v>
      </c>
      <c r="CX57" s="180" t="b">
        <v>0</v>
      </c>
      <c r="CY57" s="180" t="b">
        <v>0</v>
      </c>
      <c r="CZ57" s="180" t="b">
        <v>0</v>
      </c>
      <c r="DA57" s="180" t="b">
        <v>0</v>
      </c>
      <c r="DB57" s="180" t="b">
        <v>0</v>
      </c>
      <c r="DC57" s="180" t="b">
        <v>0</v>
      </c>
      <c r="DD57" s="181" t="s">
        <v>1070</v>
      </c>
      <c r="DE57" s="181" t="s">
        <v>1070</v>
      </c>
      <c r="DF57" s="181" t="s">
        <v>1070</v>
      </c>
      <c r="DG57" s="185" t="s">
        <v>1070</v>
      </c>
      <c r="DH57" s="180" t="b">
        <v>0</v>
      </c>
      <c r="DI57" s="187" t="str">
        <f>IFERROR(__xludf.DUMMYFUNCTION("SWITCH(
  IF(
    ISTEXT(DI56),
    IF (
      FIND(""○"", DI56&amp;""○"") &gt; 3,
      3,
      FIND(""○"", DI56&amp;""○"")
      + MAX(
        ROUNDDOWN(($D57 - MAX(IFERROR(FILTER(D$24:D56, DI$24:DI56 &lt;&gt; ""●●●"", DI$23:DI55 = ""●●●""), 0))) * (60 * 60 * 24) / 20"&amp;") - ROUNDDOWN(($D56 - MAX(IFERROR(FILTER(D$23:D55, DI$23:DI55 &lt;&gt; ""●●●"", DI$22:DI54 = ""●●●""), 0))) * (60 * 60 * 24) / 20),
        0
      ) - 1
    ) - COUNTIFS(CU57, ""=TRUE"", CU56, ""&lt;&gt;TRUE"") - COUNTIF(CZ57, ""=TRUE"") - COUNTIF({DD57,DE57}, ""&lt;&gt;-"&amp;""") + COUNTIF(DH57, ""=TRUE""),
    3
  ),
  0, ""○○○"", 1, ""●○○"", 2, ""●●○"", 3, ""●●●"", 4, ""●●●"", ""○○○""
)"),"●●●")</f>
        <v>●●●</v>
      </c>
      <c r="DJ57" s="188" t="b">
        <v>0</v>
      </c>
      <c r="DK57" s="189" t="b">
        <v>0</v>
      </c>
      <c r="DL57" s="190" t="b">
        <v>0</v>
      </c>
      <c r="DM57" s="190" t="b">
        <v>0</v>
      </c>
      <c r="DN57" s="190" t="b">
        <v>0</v>
      </c>
      <c r="DO57" s="190" t="b">
        <v>0</v>
      </c>
      <c r="DP57" s="190" t="b">
        <v>0</v>
      </c>
      <c r="DQ57" s="191" t="b">
        <v>0</v>
      </c>
      <c r="DR57" s="192" t="b">
        <v>0</v>
      </c>
      <c r="DS57" s="191" t="b">
        <v>0</v>
      </c>
      <c r="DT57" s="192" t="b">
        <v>0</v>
      </c>
      <c r="DU57" s="191" t="b">
        <v>0</v>
      </c>
      <c r="DV57" s="193" t="s">
        <v>1070</v>
      </c>
      <c r="DW57" s="194" t="b">
        <v>0</v>
      </c>
      <c r="DX57" s="194" t="b">
        <v>0</v>
      </c>
      <c r="DY57" s="195" t="b">
        <v>0</v>
      </c>
      <c r="DZ57" s="196" t="b">
        <v>0</v>
      </c>
      <c r="EA57" s="195" t="b">
        <v>0</v>
      </c>
      <c r="EB57" s="197" t="b">
        <v>0</v>
      </c>
      <c r="EC57" s="197" t="b">
        <v>0</v>
      </c>
      <c r="ED57" s="212" t="b">
        <v>0</v>
      </c>
      <c r="EE57" s="199">
        <f>IFERROR(__xludf.DUMMYFUNCTION("IFERROR(
   PRODUCT(
     MAP(
       INDEX(TRANSPOSE(UNIQUE(TRANSPOSE(FILTER({IF($F57=""Physical"", K$10:ED$10, IF($F57=""Magic"", K$11:ED$11, K$12:ED$12));K$4:ED$4;K57:ED57}, K57:ED57=TRUE)))), 1, 0),
       INDEX(TRANSPOSE(UNIQUE(TRANSPOSE(FILTER({IF($"&amp;"F57=""Physical"", K$18:ED$18, IF($F57=""Magic"", K$19:ED$19, K$20:ED$20));K$4:ED$4;K57:ED57}, K57:ED57=TRUE)))), 1, 0),
       INDEX(TRANSPOSE(UNIQUE(TRANSPOSE(FILTER({K$5:ED$5;K$4:ED$4;K57:ED57}, K57:ED57=TRUE)))), 1, 0),
       INDEX(TRANSPOSE(UNIQUE(TR"&amp;"ANSPOSE(FILTER({K$17:ED$17;K$4:ED$4;K57:ED57}, K57:ED57=TRUE)))), 1, 0),
       LAMBDA(
         mitigation,
         enhance,
         assign,
         precondition,
         IF(
           REGEXMATCH(assign, ""RANGE_PARTY|SINGLE_ENEMY|RANGE_ENEMY""),
  "&amp;"         IF(
             OR(ARRAYFORMULA((IF(precondition="""", FALSE, REGEXMATCH(K$4:ED$4, precondition))) * (K57:ED57=TRUE))),
             IF(ISNUMBER(enhance), enhance, 1),
             IF(ISNUMBER(mitigation), mitigation, 1)
           ),
          "&amp;" 1
         )
       )
     )
   ),
   1
 )"),1.0)</f>
        <v>1</v>
      </c>
      <c r="EF57" s="200">
        <f>IFERROR(__xludf.DUMMYFUNCTION("PRODUCT(
   MAP(
     K$14:ED$14,
     K$13:ED$13,
     K57:ED57,
     LAMBDA(
       buff,
       target,
       check,
       IF(
         AND(check=TRUE, REGEXMATCH(target, ""RANGE_AFFECTED_ALL|RANGE_EFFECTED_ALL""), ISNUMBER(buff)),
         buff,
   "&amp;"      1
       )
     )
   )
 )"),1.0)</f>
        <v>1</v>
      </c>
      <c r="EG57" s="200">
        <f>IFERROR(__xludf.DUMMYFUNCTION("PRODUCT(
   MAP(
     K$14:ED$14,
     K$13:ED$13,
     K57:ED57,
     LAMBDA(
       buff,
       target,
       check,
       IF(
         AND(check=TRUE, REGEXMATCH(target, ""RANGE_AFFECTED_GCD|RANGE_EFFECTED_GCD""), ISNUMBER(buff)),
         buff,
   "&amp;"      1
       )
     )
   )
 )"),1.0)</f>
        <v>1</v>
      </c>
      <c r="EH57" s="200">
        <f>IFERROR(__xludf.DUMMYFUNCTION("PRODUCT(
   MAP(
     K$3:ED$3,
     K$14:ED$14,
     K$13:ED$13,
     K57:ED57,
     LAMBDA(
       job,
       buff,
       target,
       check,
       IF(
         AND(check=TRUE, REGEXMATCH(target, ""SELF_EFFECTED_ALL""), ISNUMBER(buff), job=""白魔道士"""&amp;"),
         buff,
         1
       )
     )
   )
 )"),1.0)</f>
        <v>1</v>
      </c>
      <c r="EI57" s="200">
        <f>IFERROR(__xludf.DUMMYFUNCTION("PRODUCT(
   MAP(
     K$3:ED$3,
     K$14:ED$14,
     K$13:ED$13,
     K57:ED57,
     LAMBDA(
       job,
       buff,
       target,
       check,
       IF(
         AND(check=TRUE, REGEXMATCH(target, ""SELF_EFFECTED_GCD""), ISNUMBER(buff), job=""白魔道士"""&amp;"),
         buff,
         1
       )
     )
   )
 )"),1.0)</f>
        <v>1</v>
      </c>
      <c r="EJ57" s="200">
        <f>IFERROR(__xludf.DUMMYFUNCTION("PRODUCT(
   MAP(
     K$3:ED$3,
     K$14:ED$14,
     K$13:ED$13,
     K57:ED57,
     LAMBDA(
       job,
       buff,
       target,
       check,
       IF(
         AND(check=TRUE, REGEXMATCH(target, ""SELF_EFFECTED_ALL""), ISNUMBER(buff), job=""占星術師"""&amp;"),
         buff,
         1
       )
     )
   )
 )"),1.0)</f>
        <v>1</v>
      </c>
      <c r="EK57" s="200">
        <f>IFERROR(__xludf.DUMMYFUNCTION("PRODUCT(
   MAP(
     K$3:ED$3,
     K$14:ED$14,
     K$13:ED$13,
     K57:ED57,
     LAMBDA(
       job,
       buff,
       target,
       check,
       IF(
         AND(check=TRUE, REGEXMATCH(target, ""SELF_EFFECTED_GCD""), ISNUMBER(buff), job=""占星術師"""&amp;"),
         buff,
         1
       )
     )
   )
 )"),1.0)</f>
        <v>1</v>
      </c>
      <c r="EL57" s="200">
        <f>IFERROR(__xludf.DUMMYFUNCTION("PRODUCT(
   MAP(
     K$3:ED$3,
     K$14:ED$14,
     K$13:ED$13,
     K57:ED57,
     LAMBDA(
       job,
       buff,
       target,
       check,
       IF(
         AND(check=TRUE, REGEXMATCH(target, ""SELF_EFFECTED_ALL""), ISNUMBER(buff), job=""学者""),"&amp;"
         buff,
         1
       )
     )
   )
 )"),1.0)</f>
        <v>1</v>
      </c>
      <c r="EM57" s="200">
        <f>IFERROR(__xludf.DUMMYFUNCTION("PRODUCT(
   MAP(
     K$3:ED$3,
     K$14:ED$14,
     K$13:ED$13,
     K57:ED57,
     LAMBDA(
       job,
       buff,
       target,
       check,
       IF(
         AND(check=TRUE, REGEXMATCH(target, ""SELF_EFFECTED_GCD""), ISNUMBER(buff), job=""学者""),"&amp;"
         buff,
         1
       )
     )
   )
 )"),1.0)</f>
        <v>1</v>
      </c>
      <c r="EN57" s="200">
        <f>IFERROR(__xludf.DUMMYFUNCTION("PRODUCT(
   MAP(
     K$3:ED$3,
     K$14:ED$14,
     K$13:ED$13,
     K57:ED57,
     LAMBDA(
       job,
       buff,
       target,
       check,
       IF(
         AND(check=TRUE, REGEXMATCH(target, ""SELF_EFFECTED_ALL""), ISNUMBER(buff), job=""賢者""),"&amp;"
         buff,
         1
       )
     )
   )
 )"),1.0)</f>
        <v>1</v>
      </c>
      <c r="EO57" s="200">
        <f>IFERROR(__xludf.DUMMYFUNCTION("PRODUCT(
   MAP(
     K$3:ED$3,
     K$14:ED$14,
     K$13:ED$13,
     K57:ED57,
     LAMBDA(
       job,
       buff,
       target,
       check,
       IF(
         AND(check=TRUE, REGEXMATCH(target, ""SELF_EFFECTED_GCD""), ISNUMBER(buff), job=""賢者""),"&amp;"
         buff,
         1
       )
     )
   )
 )"),1.0)</f>
        <v>1</v>
      </c>
      <c r="EP57" s="201">
        <f t="shared" si="3"/>
        <v>0</v>
      </c>
      <c r="EQ57" s="201">
        <f>IFERROR(__xludf.DUMMYFUNCTION("SUM(
   MAP(
     K$4:ED$4,
     K$3:ED$3,
     K$7:ED$7,
     K$15:ED$15,
     K$16:ED$16,
     K$21:ED$21,
     K$5:ED$5,
     K$17:ED$17,
     K57:ED57,
     LAMBDA(
       name,
       job,
       abillity,
       buff,
       barrier,
       enhance,"&amp;"
       assign,
       precondition,
       check,
       SWITCH(
         name,
         ""シェイクオフ"", IF(check=TRUE, buff + (0.02 * COUNTIF(ARRAYFORMULA((REGEXMATCH($K$4:$ED$4, ""スリル・オブ・バトル|ヴェンジェンス|原初の血気|ダムネーション"")) * (K57:ED57=TRUE)), 1)), 0),
         "&amp;"""インプロビゼーションフィニッシュ(踊りの激情0)"", IF(ISNUMBER(check), INDEX(Skill!$AJ:$AJ, MATCH(SUBSTITUTE(DV$4, 0, check), Skill!$C:$C, 0)), 0),
         IF(
           AND(check=TRUE, REGEXMATCH(assign, ""RANGE_PARTY"")),
           IF(
             OR(ARRAYFORMULA((IF(pr"&amp;"econdition="""", FALSE, REGEXMATCH($K$4:$ED$4, precondition))) * (K57:ED57=TRUE))),
             enhance,
             IF(barrier="""", buff, barrier)
           ),
           0
         )
       ) *
       SWITCH(
         job,
         ""ナイト"", EY$24,
 "&amp;"        ""戦士"", FD$24,
         ""踊り子"", ET$24,
         ""ピクトマンサー"", ET$24,
         ""白魔道士"", EF57 * EH57 * IF(abillity, 1, EG57 * EI57) * (Option!$D$22 * 0.81 / 100),
         ""占星術師"", EF57 * EJ57 * IF(abillity, 1, EG57 * EK57) * (Option!$D$23 * 0.81 "&amp;"/ 100),
         ""学者"", EF57 * EL57 * IF(abillity, 1, EG57 * EM57) * (Option!$D$24 * 0.81 / 100),
         ""賢者"", EF57 * EN57 * IF(abillity, 1, EG57 * EO57) * (Option!$D$25 * 0.81 / 100),
         1
       )
     )
   )
 )"),0.0)</f>
        <v>0</v>
      </c>
      <c r="ER57" s="202">
        <f t="shared" si="4"/>
        <v>0</v>
      </c>
      <c r="ES57" s="203">
        <f t="shared" si="5"/>
        <v>0</v>
      </c>
      <c r="ET57" s="204" t="str">
        <f>IFERROR(__xludf.DUMMYFUNCTION("IFS(
  EP57 &gt; $ET$24 + EQ57,
  SPARKLINE({ 1, 0 }, {""charttype"",""bar"";""max"", 1;""color1"",Option!$D$30;""color2"",Option!$D$30}),
  EP57 &lt; EQ57,
  SPARKLINE({EQ57 - EP57, $ET$24 - (EQ57 - EP57)}, {""charttype"",""bar"";""max"",$ET$24;""color1"",Opti"&amp;"on!$D$28;""color2"",Option!$D$29}),
  EP57 &gt;= EQ57,
  SPARKLINE({$ET$24 + EQ57 - EP57,EP57 - EQ57}, {""charttype"",""bar"";""max"",$ET$24;""color1"",Option!$D$29;""color2"",Option!$D$30})
)"),"")</f>
        <v/>
      </c>
      <c r="EU57" s="205">
        <f>IFERROR(__xludf.DUMMYFUNCTION("PRODUCT(
   MAP(
     IF($F57=""Physical"", K$10:ED$10, IF($F57=""Magic"", K$11:ED$11, K$12:ED$12)),
     IF($F57=""Physical"", K$18:ED$18, IF($F57=""Magic"", K$19:ED$19, K$20:ED$20)),
     K$3:ED$3,
     K$5:ED$5,
     K$17:ED$17,
     K57:ED57,
     LAM"&amp;"BDA(
       mitigation,
       enhance,
       job,
       assign,
       precondition,
       check,
       IF(
         OR(AND(check=TRUE, REGEXMATCH(assign, ""SELF""), job=""ナイト""), AND(check=Option!$E$13, REGEXMATCH(assign, ""SINGLE_PARTY""))),
      "&amp;"   IF(
           OR(ARRAYFORMULA((IF(precondition="""", FALSE, REGEXMATCH($K$4:$ED$4, precondition))) * (K57:ED57=TRUE))),
           enhance,
           mitigation
         ),
         1
       )
     )
   )
 ) * EE57"),1.0)</f>
        <v>1</v>
      </c>
      <c r="EV57" s="206">
        <f t="shared" si="6"/>
        <v>0</v>
      </c>
      <c r="EW57" s="205">
        <f>IFERROR(__xludf.DUMMYFUNCTION("PRODUCT(
   MAP(
     K$3:ED$3,
     K$14:ED$14,
     K$13:ED$13,
     K57:ED57,
     LAMBDA(
       job,
       buff,
       target,
       check,
       IF(
         OR(AND(check=TRUE, REGEXMATCH(target, ""SELF_AFFECTED_ALL""), job=""ナイト""), AND(check=O"&amp;"ption!$E$13, REGEXMATCH(target, ""SINGLE_AFFECTED_ALL""))),
         buff,
         1
       )
     )
   )
 )"),1.0)</f>
        <v>1</v>
      </c>
      <c r="EX57" s="206">
        <f>IFERROR(__xludf.DUMMYFUNCTION("SUM(
   MAP(
     K$3:ED$3,
     K$7:ED$7,
     K$15:ED$15,
     K$16:ED$16,
     K$21:ED$21,
     K$5:ED$5,
     K$17:ED$17,
     K57:ED57,
     LAMBDA(
       job,
       abillity,
       buff,
       barrier,
       enhance,
       assign,
       preco"&amp;"ndition,
       check,
       IF(
         OR(AND(check=TRUE, REGEXMATCH(assign, ""SELF""), job=""ナイト""), AND(check=Option!$E$13, REGEXMATCH(assign, ""SINGLE_PARTY""))),
         IF(
           OR(ARRAYFORMULA((IF(precondition="""", FALSE, REGEXMATCH($K$4"&amp;":$ED$4, precondition))) * (K57:ED57=TRUE))),
           enhance,
           IF(barrier="""", buff, barrier)
         ),
         0
       ) *
       SWITCH(
         job,
         ""暗黒騎士"", EY$24,
         ""白魔道士"", EF57 * EH57 * EW57 * IF(abillity, 1, EG"&amp;"57 * EI57) * (Option!$D$22 * 0.81 / 100),
         ""占星術師"", EF57 * EJ57 * EW57 * IF(abillity, 1, EG57 * EK57) * (Option!$D$23 * 0.81 / 100),
         ""学者"", EF57 * EL57 * EW57 * IF(abillity, 1, EG57 * EM57) * (Option!$D$24 * 0.81 / 100),
         ""賢者"""&amp;", EF57 * EN57 * EW57 * IF(abillity, 1, EG57 * EO57) * (Option!$D$25 * 0.81 / 100),
         1
       )
     )
   )
 ) + EQ57"),0.0)</f>
        <v>0</v>
      </c>
      <c r="EY57" s="206">
        <f t="shared" si="7"/>
        <v>0</v>
      </c>
      <c r="EZ57" s="205">
        <f>IFERROR(__xludf.DUMMYFUNCTION("PRODUCT(
   MAP(
     IF($F57=""Physical"", K$10:ED$10, IF($F57=""Magic"", K$11:ED$11, K$12:ED$12)),
     IF($F57=""Physical"", K$18:ED$18, IF($F57=""Magic"", K$19:ED$19, K$20:ED$20)),
     K$3:ED$3,
     K$5:ED$5,
     K$17:ED$17,
     K57:ED57,
     LAM"&amp;"BDA(
       mitigation,
       enhance,
       job,
       assign,
       precondition,
       check,
       IF(
         OR(AND(check=TRUE, REGEXMATCH(assign, ""SELF""), job=""戦士""), AND(check=Option!$F$13, REGEXMATCH(assign, ""SINGLE_PARTY""))),
       "&amp;"  IF(
           OR(ARRAYFORMULA((IF(precondition="""", FALSE, REGEXMATCH($K$4:$ED$4, precondition))) * (K57:ED57=TRUE))),
           enhance,
           mitigation
         ),
         1
       )
     )
   )
 ) * EE57"),1.0)</f>
        <v>1</v>
      </c>
      <c r="FA57" s="206">
        <f t="shared" si="8"/>
        <v>0</v>
      </c>
      <c r="FB57" s="205">
        <f>IFERROR(__xludf.DUMMYFUNCTION("PRODUCT(
   MAP(
     K$3:ED$3,
     K$14:ED$14,
     K$13:ED$13,
     K57:ED57,
     LAMBDA(
       job,
       buff,
       target,
       check,
       IF(
         OR(AND(check=TRUE, REGEXMATCH(target, ""SELF_AFFECTED_ALL""), job=""戦士""), AND(check=Op"&amp;"tion!$F$13, REGEXMATCH(target, ""SINGLE_AFFECTED_ALL""))),
         buff,
         1
       )
     )
   )
 )"),1.0)</f>
        <v>1</v>
      </c>
      <c r="FC57" s="206">
        <f>IFERROR(__xludf.DUMMYFUNCTION("SUM(
   MAP(
     K$3:ED$3,
     K$7:ED$7,
     K$15:ED$15,
     K$16:ED$16,
     K$21:ED$21,
     K$5:ED$5,
     K$17:ED$17,
     K57:ED57,
     LAMBDA(
       job,
       abillity,
       buff,
       barrier,
       enhance,
       assign,
       preco"&amp;"ndition,
       check,
       IF(
         OR(AND(check=TRUE, REGEXMATCH(assign, ""SELF""), job=""戦士""), AND(check=Option!$F$13, REGEXMATCH(assign, ""SINGLE_PARTY""))),
         IF(
           OR(ARRAYFORMULA((IF(precondition="""", FALSE, REGEXMATCH($K$4:"&amp;"$ED$4, precondition))) * (K57:ED57=TRUE))),
           enhance,
           IF(barrier="""", buff, barrier)
         ),
         0
       ) *
       SWITCH(
         job,
         ""暗黒騎士"", FD$24,
         ""白魔道士"", EF57 * EH57 * FB57 * IF(abillity, 1, EG5"&amp;"7 * EI57) * (Option!$D$22 * 0.81 / 100),
         ""占星術師"", EF57 * EJ57 * FFB57 * IF(abillity, 1, EG57 * EK57) * (Option!$D$23 * 0.81 / 100),
         ""学者"", EF57 * EL57 * FB57 * IF(abillity, 1, EG57 * EM57) * (Option!$D$24 * 0.81 / 100),
         ""賢者"""&amp;", EF57 * EN57 * FB57 * IF(abillity, 1, EG57 * EO57) * (Option!$D$25 * 0.81 / 100),
         1
       )
     )
   )
 ) + EQ57"),0.0)</f>
        <v>0</v>
      </c>
      <c r="FD57" s="206">
        <f t="shared" si="9"/>
        <v>0</v>
      </c>
      <c r="FE57" s="205">
        <f>IFERROR(__xludf.DUMMYFUNCTION("PRODUCT(
   MAP(
     IF($F57=""Physical"", K$10:ED$10, IF($F57=""Magic"", K$11:ED$11, K$12:ED$12)),
     IF($F57=""Physical"", K$18:ED$18, IF($F57=""Magic"", K$19:ED$19, K$20:ED$20)),
     K$3:ED$3,
     K$5:ED$5,
     K$17:ED$17,
     K57:ED57,
     LAM"&amp;"BDA(
       mitigation,
       enhance,
       job,
       assign,
       precondition,
       check,
       IF(
         OR(AND(check=TRUE, REGEXMATCH(assign, ""SELF""), job=""暗黒騎士""), AND(check=Option!$G$13, REGEXMATCH(assign, ""SINGLE_PARTY""))),
     "&amp;"    IF(
           OR(ARRAYFORMULA((IF(precondition="""", FALSE, REGEXMATCH($K$4:$ED$4, precondition))) * (K57:ED57=TRUE))),
           enhance,
           mitigation
         ),
         1
       )
     )
   )
 ) * EE57"),1.0)</f>
        <v>1</v>
      </c>
      <c r="FF57" s="206">
        <f t="shared" si="10"/>
        <v>0</v>
      </c>
      <c r="FG57" s="205">
        <f>IFERROR(__xludf.DUMMYFUNCTION("PRODUCT(
   MAP(
     K$3:ED$3,
     K$14:ED$14,
     K$13:ED$13,
     K57:ED57,
     LAMBDA(
       job,
       buff,
       target,
       check,
       IF(
         OR(AND(check=TRUE, REGEXMATCH(target, ""SELF_AFFECTED_ALL""), job=""暗黒騎士""), AND(check="&amp;"Option!$G$13, REGEXMATCH(target, ""SINGLE_AFFECTED_ALL""))),
         buff,
         1
       )
     )
   )
 )"),1.0)</f>
        <v>1</v>
      </c>
      <c r="FH57" s="206">
        <f>IFERROR(__xludf.DUMMYFUNCTION("SUM(
   MAP(
     K$3:ED$3,
     K$7:ED$7,
     K$15:ED$15,
     K$16:ED$16,
     K$21:ED$21,
     K$5:ED$5,
     K$17:ED$17,
     K57:ED57,
     LAMBDA(
       job,
       abillity,
       buff,
       barrier,
       enhance,
       assign,
       preco"&amp;"ndition,
       check,
       IF(
         OR(AND(check=TRUE, REGEXMATCH(assign, ""SELF""), job=""暗黒騎士""), AND(check=Option!$G$13, REGEXMATCH(assign, ""SINGLE_PARTY""))),
         IF(
           OR(ARRAYFORMULA((IF(precondition="""", FALSE, REGEXMATCH($K$"&amp;"4:$ED$4, precondition))) * (K57:ED57=TRUE))),
           enhance,
           IF(barrier="""", buff, barrier)
         ),
         0
       ) *
       SWITCH(
         job,
         ""暗黒騎士"", FI$24,
         ""白魔道士"", EF57 * EH57 * FG57 * IF(abillity, 1, E"&amp;"G57 * EI57) * (Option!$D$22 * 0.81 / 100),
         ""占星術師"", EF57 * EJ57 * FG57 * IF(abillity, 1, EG57 * EK57) * (Option!$D$23 * 0.81 / 100),
         ""学者"", EF57 * EL57 * FG57 * IF(abillity, 1, EG57 * EM57) * (Option!$D$24 * 0.81 / 100),
         ""賢者"&amp;""", EF57 * EN57 * FG57 * IF(abillity, 1, EG57 * EO57) * (Option!$D$25 * 0.81 / 100),
         1
       )
     )
   )
 ) + EQ57"),0.0)</f>
        <v>0</v>
      </c>
      <c r="FI57" s="206">
        <f t="shared" si="11"/>
        <v>0</v>
      </c>
      <c r="FJ57" s="205">
        <f>IFERROR(__xludf.DUMMYFUNCTION("PRODUCT(
   MAP(
     IF($F57=""Physical"", K$10:ED$10, IF($F57=""Magic"", K$11:ED$11, K$12:ED$12)),
     IF($F57=""Physical"", K$18:ED$18, IF($F57=""Magic"", K$19:ED$19, K$20:ED$20)),
     K$3:ED$3,
     K$5:ED$5,
     K$17:ED$17,
     K57:ED57,
     LAM"&amp;"BDA(
       mitigation,
       enhance,
       job,
       assign,
       precondition,
       check,
       IF(
         OR(AND(check=TRUE, REGEXMATCH(assign, ""SELF""), job=""ガンブレイカー""), AND(check=Option!$H$13, REGEXMATCH(assign, ""SINGLE_PARTY""))),
  "&amp;"       IF(
           OR(ARRAYFORMULA((IF(precondition="""", FALSE, REGEXMATCH($K$4:$ED$4, precondition))) * (K57:ED57=TRUE))),
           enhance,
           mitigation
         ),
         1
       )
     )
   )
 ) * EE57"),1.0)</f>
        <v>1</v>
      </c>
      <c r="FK57" s="206">
        <f t="shared" si="12"/>
        <v>0</v>
      </c>
      <c r="FL57" s="205">
        <f>IFERROR(__xludf.DUMMYFUNCTION("PRODUCT(
   MAP(
     K$3:ED$3,
     K$14:ED$14,
     K$13:ED$13,
     K57:ED57,
     LAMBDA(
       job,
       buff,
       target,
       check,
       IF(
         OR(AND(check=TRUE, REGEXMATCH(target, ""SELF_AFFECTED_ALL""), job=""ガンブレイカー""), AND(che"&amp;"ck=Option!$H$13, REGEXMATCH(target, ""SINGLE_AFFECTED_ALL""))),
         buff,
         1
       )
     )
   )
 )"),1.0)</f>
        <v>1</v>
      </c>
      <c r="FM57" s="206">
        <f>IFERROR(__xludf.DUMMYFUNCTION("SUM(
   MAP(
     K$3:ED$3,
     K$7:ED$7,
     K$15:ED$15,
     K$16:ED$16,
     K$21:ED$21,
     K$5:ED$5,
     K$17:ED$17,
     K57:ED57,
     LAMBDA(
       job,
       abillity,
       buff,
       barrier,
       enhance,
       assign,
       preco"&amp;"ndition,
       check,
       IF(
         OR(AND(check=TRUE, REGEXMATCH(assign, ""SELF""), job=""ガンブレイカー""), AND(check=Option!$H$13, REGEXMATCH(assign, ""SINGLE_PARTY""))),
         IF(
           OR(ARRAYFORMULA((IF(precondition="""", FALSE, REGEXMATCH("&amp;"$K$4:$ED$4, precondition))) * (K57:ED57=TRUE))),
           enhance,
           IF(barrier="""", buff, barrier)
         ),
         0
       ) *
       SWITCH(
         job,
         ""暗黒騎士"", FN$24,
         ""白魔道士"", EF57 * EH57 * FL57 * IF(abillity, 1"&amp;", EG57 * EI57) * (Option!$D$22 * 0.81 / 100),
         ""占星術師"", EF57 * EJ57 * FL57 * IF(abillity, 1, EG57 * EK57) * (Option!$D$23 * 0.81 / 100),
         ""学者"", EF57 * EL57 * FL57 * IF(abillity, 1, EG57 * EM57) * (Option!$D$24 * 0.81 / 100),
         """&amp;"賢者"", EF57 * EN57 * FL57 * IF(abillity, 1, EG57 * EO57) * (Option!$D$25 * 0.81 / 100),
         1
       )
     )
   )
 ) + EQ57"),0.0)</f>
        <v>0</v>
      </c>
      <c r="FN57" s="206">
        <f t="shared" si="13"/>
        <v>0</v>
      </c>
      <c r="FO57" s="213"/>
    </row>
    <row r="58">
      <c r="B58" s="229"/>
      <c r="C58" s="217">
        <f t="shared" si="1"/>
        <v>0</v>
      </c>
      <c r="D58" s="236"/>
      <c r="E58" s="226"/>
      <c r="F58" s="167"/>
      <c r="G58" s="168" t="str">
        <f t="shared" si="2"/>
        <v/>
      </c>
      <c r="H58" s="169"/>
      <c r="I58" s="169"/>
      <c r="J58" s="169"/>
      <c r="K58" s="170" t="b">
        <v>0</v>
      </c>
      <c r="L58" s="170" t="b">
        <v>0</v>
      </c>
      <c r="M58" s="170" t="b">
        <v>0</v>
      </c>
      <c r="N58" s="171" t="s">
        <v>1070</v>
      </c>
      <c r="O58" s="172" t="b">
        <v>0</v>
      </c>
      <c r="P58" s="173" t="b">
        <v>0</v>
      </c>
      <c r="Q58" s="173" t="b">
        <v>0</v>
      </c>
      <c r="R58" s="173" t="b">
        <v>0</v>
      </c>
      <c r="S58" s="174" t="b">
        <v>0</v>
      </c>
      <c r="T58" s="175" t="b">
        <v>0</v>
      </c>
      <c r="U58" s="173" t="b">
        <v>0</v>
      </c>
      <c r="V58" s="171" t="s">
        <v>1070</v>
      </c>
      <c r="W58" s="172" t="b">
        <v>0</v>
      </c>
      <c r="X58" s="173" t="b">
        <v>0</v>
      </c>
      <c r="Y58" s="173" t="b">
        <v>0</v>
      </c>
      <c r="Z58" s="173" t="b">
        <v>0</v>
      </c>
      <c r="AA58" s="174" t="b">
        <v>0</v>
      </c>
      <c r="AB58" s="174" t="b">
        <v>0</v>
      </c>
      <c r="AC58" s="175" t="b">
        <v>0</v>
      </c>
      <c r="AD58" s="173" t="b">
        <v>0</v>
      </c>
      <c r="AE58" s="176" t="s">
        <v>1070</v>
      </c>
      <c r="AF58" s="171" t="s">
        <v>1070</v>
      </c>
      <c r="AG58" s="177">
        <f>IFERROR(__xludf.DUMMYFUNCTION("IF(
  ISNUMBER(AG57),
  MIN(MAX(
    AG57
    + MAX(
      ROUNDDOWN(($D58 - MAX(IFERROR(FILTER($D$24:$D57, AG$24:AG57 &lt;&gt; AF$6, AG$23:AG56 = AF$6), 0))) * (60 * 60 * 24) / AF$9) - ROUNDDOWN(($D57 - MAX(IFERROR(FILTER($D$23:$D56, AG$23:AG56 &lt;&gt; AF$6, AG$22:"&amp;"AG55 = AF$6), 0))) * (60 * 60 * 24) / 60),
      0
    )
    - COUNTIF(AF58, ""&lt;&gt;-""),
  0), AF$6),
  AF$6 - COUNTIF(AF58, ""&lt;&gt;-"")
)"),2.0)</f>
        <v>2</v>
      </c>
      <c r="AH58" s="173" t="b">
        <v>0</v>
      </c>
      <c r="AI58" s="173" t="b">
        <v>0</v>
      </c>
      <c r="AJ58" s="173" t="b">
        <v>0</v>
      </c>
      <c r="AK58" s="174" t="b">
        <v>0</v>
      </c>
      <c r="AL58" s="175" t="b">
        <v>0</v>
      </c>
      <c r="AM58" s="173" t="b">
        <v>0</v>
      </c>
      <c r="AN58" s="171" t="s">
        <v>1070</v>
      </c>
      <c r="AO58" s="173" t="b">
        <v>0</v>
      </c>
      <c r="AP58" s="173" t="b">
        <v>0</v>
      </c>
      <c r="AQ58" s="173" t="b">
        <v>0</v>
      </c>
      <c r="AR58" s="174" t="b">
        <v>0</v>
      </c>
      <c r="AS58" s="178" t="b">
        <v>0</v>
      </c>
      <c r="AT58" s="179" t="b">
        <v>0</v>
      </c>
      <c r="AU58" s="180" t="b">
        <v>0</v>
      </c>
      <c r="AV58" s="180" t="b">
        <v>0</v>
      </c>
      <c r="AW58" s="180" t="b">
        <v>0</v>
      </c>
      <c r="AX58" s="180" t="b">
        <v>0</v>
      </c>
      <c r="AY58" s="181" t="s">
        <v>1070</v>
      </c>
      <c r="AZ58" s="181" t="s">
        <v>1070</v>
      </c>
      <c r="BA58" s="184">
        <f>IFERROR(__xludf.DUMMYFUNCTION("IF(
  ISNUMBER(BA57),
  MIN(MAX(
    BA57
    + MAX(
      ROUNDDOWN((D58 - MAX(IFERROR(FILTER(D$24:D57, BA$24:BA57 &lt;&gt; AZ$6, BA$23:BA56 = AZ$6), 0))) * (60 * 60 * 24) / AZ$9) - ROUNDDOWN((D57 - MAX(IFERROR(FILTER(D$23:D56, BA$23:BA56 &lt;&gt; AZ$6, BA$22:BA55 ="&amp;" AZ$6), 0))) * (60 * 60 * 24) / AZ$9),
      0
    )
    - COUNTIF(AZ58, ""&lt;&gt;-""),
  0), AZ$6),
  AZ$6 - COUNTIF(AZ58, ""&lt;&gt;-"")
)"),2.0)</f>
        <v>2</v>
      </c>
      <c r="BB58" s="181" t="s">
        <v>1070</v>
      </c>
      <c r="BC58" s="183">
        <f>IFERROR(__xludf.DUMMYFUNCTION("IF(
  ISNUMBER(BC57),
  MIN(MAX(
    BC57
    + MAX(
      ROUNDDOWN(($D58 - MAX(IFERROR(FILTER($D$24:$D57, BC$24:BC57 &lt;&gt; BB$6, BC$23:BC56 = BB$6), 0))) * (60 * 60 * 24) / BB$9) - ROUNDDOWN(($D57 - MAX(IFERROR(FILTER($D$23:$D56, BC$23:BC56 &lt;&gt; BB$6, BC$22:"&amp;"BC55 = BB$6), 0))) * (60 * 60 * 24) / 60),
      0
    )
    - COUNTIF(BB58, ""&lt;&gt;-""),
  0), BB$6),
  BB$6 - COUNTIF(BB58, ""&lt;&gt;-"")
)"),2.0)</f>
        <v>2</v>
      </c>
      <c r="BD58" s="181" t="s">
        <v>1070</v>
      </c>
      <c r="BE58" s="178" t="b">
        <v>0</v>
      </c>
      <c r="BF58" s="180" t="b">
        <v>0</v>
      </c>
      <c r="BG58" s="180" t="b">
        <v>0</v>
      </c>
      <c r="BH58" s="180" t="b">
        <v>0</v>
      </c>
      <c r="BI58" s="180" t="b">
        <v>0</v>
      </c>
      <c r="BJ58" s="180" t="b">
        <v>0</v>
      </c>
      <c r="BK58" s="180" t="b">
        <v>0</v>
      </c>
      <c r="BL58" s="180" t="b">
        <v>0</v>
      </c>
      <c r="BM58" s="180" t="b">
        <v>0</v>
      </c>
      <c r="BN58" s="180" t="b">
        <v>0</v>
      </c>
      <c r="BO58" s="181" t="s">
        <v>1070</v>
      </c>
      <c r="BP58" s="181" t="s">
        <v>1070</v>
      </c>
      <c r="BQ58" s="181" t="s">
        <v>1070</v>
      </c>
      <c r="BR58" s="181" t="s">
        <v>1070</v>
      </c>
      <c r="BS58" s="181" t="s">
        <v>1070</v>
      </c>
      <c r="BT58" s="184">
        <f>IFERROR(__xludf.DUMMYFUNCTION("IF(
  ISNUMBER(BT57),
  MIN(MAX(
    BT57
    + MAX(
      ROUNDDOWN((D58 - MAX(IFERROR(FILTER(D$24:D57, BT$24:BT57 &lt;&gt; BS$6, BT$23:BT56 = BS$6), 0))) * (60 * 60 * 24) / BS$9) - ROUNDDOWN((D57 - MAX(IFERROR(FILTER(D$23:D56, BT$23:BT56 &lt;&gt; BS$6, BT$22:BT55 ="&amp;" BS$6), 0))) * (60 * 60 * 24) / BS$9),
      0
    )
    - COUNTIF(BS58, ""&lt;&gt;-""),
  0), BS$6),
  BS$6 - COUNTIF(BS58, ""&lt;&gt;-"")
)"),3.0)</f>
        <v>3</v>
      </c>
      <c r="BU58" s="181" t="s">
        <v>1070</v>
      </c>
      <c r="BV58" s="181" t="s">
        <v>1070</v>
      </c>
      <c r="BW58" s="184">
        <f>IFERROR(__xludf.DUMMYFUNCTION("IF(
  ISNUMBER(BW57),
  MIN(MAX(
    BW57
    + MAX(
      ROUNDDOWN((D58 - MAX(IFERROR(FILTER(D$24:D57, BW$24:BW57 &lt;&gt; BV$6, BW$23:BW56 = BV$6), 0))) * (60 * 60 * 24) / BV$9) - ROUNDDOWN((D57 - MAX(IFERROR(FILTER(D$23:D56, BW$23:BW56 &lt;&gt; BV$6, BW$22:BW55 ="&amp;" BV$6), 0))) * (60 * 60 * 24) / BV$9),
      0
    )
    - COUNTIF(BV58, ""&lt;&gt;-""),
  0), BV$6),
  BV$6 - COUNTIF(BV58, ""&lt;&gt;-"")
)"),2.0)</f>
        <v>2</v>
      </c>
      <c r="BX58" s="185" t="s">
        <v>1070</v>
      </c>
      <c r="BY58" s="178" t="b">
        <v>0</v>
      </c>
      <c r="BZ58" s="180" t="b">
        <v>0</v>
      </c>
      <c r="CA58" s="180" t="b">
        <v>0</v>
      </c>
      <c r="CB58" s="180" t="b">
        <v>0</v>
      </c>
      <c r="CC58" s="180" t="b">
        <v>0</v>
      </c>
      <c r="CD58" s="180" t="b">
        <v>0</v>
      </c>
      <c r="CE58" s="180" t="b">
        <v>0</v>
      </c>
      <c r="CF58" s="180" t="b">
        <v>0</v>
      </c>
      <c r="CG58" s="180" t="b">
        <v>0</v>
      </c>
      <c r="CH58" s="180" t="b">
        <v>0</v>
      </c>
      <c r="CI58" s="180" t="b">
        <v>0</v>
      </c>
      <c r="CJ58" s="180" t="b">
        <v>0</v>
      </c>
      <c r="CK58" s="180" t="b">
        <v>0</v>
      </c>
      <c r="CL58" s="180" t="b">
        <v>0</v>
      </c>
      <c r="CM58" s="181" t="s">
        <v>1070</v>
      </c>
      <c r="CN58" s="181" t="s">
        <v>1070</v>
      </c>
      <c r="CO58" s="181" t="s">
        <v>1070</v>
      </c>
      <c r="CP58" s="181" t="s">
        <v>1070</v>
      </c>
      <c r="CQ58" s="185" t="s">
        <v>1070</v>
      </c>
      <c r="CR58" s="180" t="b">
        <v>0</v>
      </c>
      <c r="CS58" s="186" t="str">
        <f t="shared" si="14"/>
        <v>◇◇◇</v>
      </c>
      <c r="CT58" s="178" t="b">
        <v>0</v>
      </c>
      <c r="CU58" s="180" t="b">
        <v>0</v>
      </c>
      <c r="CV58" s="180" t="b">
        <v>0</v>
      </c>
      <c r="CW58" s="180" t="b">
        <v>0</v>
      </c>
      <c r="CX58" s="180" t="b">
        <v>0</v>
      </c>
      <c r="CY58" s="180" t="b">
        <v>0</v>
      </c>
      <c r="CZ58" s="180" t="b">
        <v>0</v>
      </c>
      <c r="DA58" s="180" t="b">
        <v>0</v>
      </c>
      <c r="DB58" s="180" t="b">
        <v>0</v>
      </c>
      <c r="DC58" s="180" t="b">
        <v>0</v>
      </c>
      <c r="DD58" s="181" t="s">
        <v>1070</v>
      </c>
      <c r="DE58" s="181" t="s">
        <v>1070</v>
      </c>
      <c r="DF58" s="181" t="s">
        <v>1070</v>
      </c>
      <c r="DG58" s="185" t="s">
        <v>1070</v>
      </c>
      <c r="DH58" s="180" t="b">
        <v>0</v>
      </c>
      <c r="DI58" s="187" t="str">
        <f>IFERROR(__xludf.DUMMYFUNCTION("SWITCH(
  IF(
    ISTEXT(DI57),
    IF (
      FIND(""○"", DI57&amp;""○"") &gt; 3,
      3,
      FIND(""○"", DI57&amp;""○"")
      + MAX(
        ROUNDDOWN(($D58 - MAX(IFERROR(FILTER(D$24:D57, DI$24:DI57 &lt;&gt; ""●●●"", DI$23:DI56 = ""●●●""), 0))) * (60 * 60 * 24) / 20"&amp;") - ROUNDDOWN(($D57 - MAX(IFERROR(FILTER(D$23:D56, DI$23:DI56 &lt;&gt; ""●●●"", DI$22:DI55 = ""●●●""), 0))) * (60 * 60 * 24) / 20),
        0
      ) - 1
    ) - COUNTIFS(CU58, ""=TRUE"", CU57, ""&lt;&gt;TRUE"") - COUNTIF(CZ58, ""=TRUE"") - COUNTIF({DD58,DE58}, ""&lt;&gt;-"&amp;""") + COUNTIF(DH58, ""=TRUE""),
    3
  ),
  0, ""○○○"", 1, ""●○○"", 2, ""●●○"", 3, ""●●●"", 4, ""●●●"", ""○○○""
)"),"●●●")</f>
        <v>●●●</v>
      </c>
      <c r="DJ58" s="188" t="b">
        <v>0</v>
      </c>
      <c r="DK58" s="189" t="b">
        <v>0</v>
      </c>
      <c r="DL58" s="190" t="b">
        <v>0</v>
      </c>
      <c r="DM58" s="190" t="b">
        <v>0</v>
      </c>
      <c r="DN58" s="190" t="b">
        <v>0</v>
      </c>
      <c r="DO58" s="190" t="b">
        <v>0</v>
      </c>
      <c r="DP58" s="190" t="b">
        <v>0</v>
      </c>
      <c r="DQ58" s="191" t="b">
        <v>0</v>
      </c>
      <c r="DR58" s="192" t="b">
        <v>0</v>
      </c>
      <c r="DS58" s="191" t="b">
        <v>0</v>
      </c>
      <c r="DT58" s="192" t="b">
        <v>0</v>
      </c>
      <c r="DU58" s="191" t="b">
        <v>0</v>
      </c>
      <c r="DV58" s="193" t="s">
        <v>1070</v>
      </c>
      <c r="DW58" s="194" t="b">
        <v>0</v>
      </c>
      <c r="DX58" s="194" t="b">
        <v>0</v>
      </c>
      <c r="DY58" s="195" t="b">
        <v>0</v>
      </c>
      <c r="DZ58" s="196" t="b">
        <v>0</v>
      </c>
      <c r="EA58" s="195" t="b">
        <v>0</v>
      </c>
      <c r="EB58" s="197" t="b">
        <v>0</v>
      </c>
      <c r="EC58" s="197" t="b">
        <v>0</v>
      </c>
      <c r="ED58" s="212" t="b">
        <v>0</v>
      </c>
      <c r="EE58" s="199">
        <f>IFERROR(__xludf.DUMMYFUNCTION("IFERROR(
   PRODUCT(
     MAP(
       INDEX(TRANSPOSE(UNIQUE(TRANSPOSE(FILTER({IF($F58=""Physical"", K$10:ED$10, IF($F58=""Magic"", K$11:ED$11, K$12:ED$12));K$4:ED$4;K58:ED58}, K58:ED58=TRUE)))), 1, 0),
       INDEX(TRANSPOSE(UNIQUE(TRANSPOSE(FILTER({IF($"&amp;"F58=""Physical"", K$18:ED$18, IF($F58=""Magic"", K$19:ED$19, K$20:ED$20));K$4:ED$4;K58:ED58}, K58:ED58=TRUE)))), 1, 0),
       INDEX(TRANSPOSE(UNIQUE(TRANSPOSE(FILTER({K$5:ED$5;K$4:ED$4;K58:ED58}, K58:ED58=TRUE)))), 1, 0),
       INDEX(TRANSPOSE(UNIQUE(TR"&amp;"ANSPOSE(FILTER({K$17:ED$17;K$4:ED$4;K58:ED58}, K58:ED58=TRUE)))), 1, 0),
       LAMBDA(
         mitigation,
         enhance,
         assign,
         precondition,
         IF(
           REGEXMATCH(assign, ""RANGE_PARTY|SINGLE_ENEMY|RANGE_ENEMY""),
  "&amp;"         IF(
             OR(ARRAYFORMULA((IF(precondition="""", FALSE, REGEXMATCH(K$4:ED$4, precondition))) * (K58:ED58=TRUE))),
             IF(ISNUMBER(enhance), enhance, 1),
             IF(ISNUMBER(mitigation), mitigation, 1)
           ),
          "&amp;" 1
         )
       )
     )
   ),
   1
 )"),1.0)</f>
        <v>1</v>
      </c>
      <c r="EF58" s="200">
        <f>IFERROR(__xludf.DUMMYFUNCTION("PRODUCT(
   MAP(
     K$14:ED$14,
     K$13:ED$13,
     K58:ED58,
     LAMBDA(
       buff,
       target,
       check,
       IF(
         AND(check=TRUE, REGEXMATCH(target, ""RANGE_AFFECTED_ALL|RANGE_EFFECTED_ALL""), ISNUMBER(buff)),
         buff,
   "&amp;"      1
       )
     )
   )
 )"),1.0)</f>
        <v>1</v>
      </c>
      <c r="EG58" s="200">
        <f>IFERROR(__xludf.DUMMYFUNCTION("PRODUCT(
   MAP(
     K$14:ED$14,
     K$13:ED$13,
     K58:ED58,
     LAMBDA(
       buff,
       target,
       check,
       IF(
         AND(check=TRUE, REGEXMATCH(target, ""RANGE_AFFECTED_GCD|RANGE_EFFECTED_GCD""), ISNUMBER(buff)),
         buff,
   "&amp;"      1
       )
     )
   )
 )"),1.0)</f>
        <v>1</v>
      </c>
      <c r="EH58" s="200">
        <f>IFERROR(__xludf.DUMMYFUNCTION("PRODUCT(
   MAP(
     K$3:ED$3,
     K$14:ED$14,
     K$13:ED$13,
     K58:ED58,
     LAMBDA(
       job,
       buff,
       target,
       check,
       IF(
         AND(check=TRUE, REGEXMATCH(target, ""SELF_EFFECTED_ALL""), ISNUMBER(buff), job=""白魔道士"""&amp;"),
         buff,
         1
       )
     )
   )
 )"),1.0)</f>
        <v>1</v>
      </c>
      <c r="EI58" s="200">
        <f>IFERROR(__xludf.DUMMYFUNCTION("PRODUCT(
   MAP(
     K$3:ED$3,
     K$14:ED$14,
     K$13:ED$13,
     K58:ED58,
     LAMBDA(
       job,
       buff,
       target,
       check,
       IF(
         AND(check=TRUE, REGEXMATCH(target, ""SELF_EFFECTED_GCD""), ISNUMBER(buff), job=""白魔道士"""&amp;"),
         buff,
         1
       )
     )
   )
 )"),1.0)</f>
        <v>1</v>
      </c>
      <c r="EJ58" s="200">
        <f>IFERROR(__xludf.DUMMYFUNCTION("PRODUCT(
   MAP(
     K$3:ED$3,
     K$14:ED$14,
     K$13:ED$13,
     K58:ED58,
     LAMBDA(
       job,
       buff,
       target,
       check,
       IF(
         AND(check=TRUE, REGEXMATCH(target, ""SELF_EFFECTED_ALL""), ISNUMBER(buff), job=""占星術師"""&amp;"),
         buff,
         1
       )
     )
   )
 )"),1.0)</f>
        <v>1</v>
      </c>
      <c r="EK58" s="200">
        <f>IFERROR(__xludf.DUMMYFUNCTION("PRODUCT(
   MAP(
     K$3:ED$3,
     K$14:ED$14,
     K$13:ED$13,
     K58:ED58,
     LAMBDA(
       job,
       buff,
       target,
       check,
       IF(
         AND(check=TRUE, REGEXMATCH(target, ""SELF_EFFECTED_GCD""), ISNUMBER(buff), job=""占星術師"""&amp;"),
         buff,
         1
       )
     )
   )
 )"),1.0)</f>
        <v>1</v>
      </c>
      <c r="EL58" s="200">
        <f>IFERROR(__xludf.DUMMYFUNCTION("PRODUCT(
   MAP(
     K$3:ED$3,
     K$14:ED$14,
     K$13:ED$13,
     K58:ED58,
     LAMBDA(
       job,
       buff,
       target,
       check,
       IF(
         AND(check=TRUE, REGEXMATCH(target, ""SELF_EFFECTED_ALL""), ISNUMBER(buff), job=""学者""),"&amp;"
         buff,
         1
       )
     )
   )
 )"),1.0)</f>
        <v>1</v>
      </c>
      <c r="EM58" s="200">
        <f>IFERROR(__xludf.DUMMYFUNCTION("PRODUCT(
   MAP(
     K$3:ED$3,
     K$14:ED$14,
     K$13:ED$13,
     K58:ED58,
     LAMBDA(
       job,
       buff,
       target,
       check,
       IF(
         AND(check=TRUE, REGEXMATCH(target, ""SELF_EFFECTED_GCD""), ISNUMBER(buff), job=""学者""),"&amp;"
         buff,
         1
       )
     )
   )
 )"),1.0)</f>
        <v>1</v>
      </c>
      <c r="EN58" s="200">
        <f>IFERROR(__xludf.DUMMYFUNCTION("PRODUCT(
   MAP(
     K$3:ED$3,
     K$14:ED$14,
     K$13:ED$13,
     K58:ED58,
     LAMBDA(
       job,
       buff,
       target,
       check,
       IF(
         AND(check=TRUE, REGEXMATCH(target, ""SELF_EFFECTED_ALL""), ISNUMBER(buff), job=""賢者""),"&amp;"
         buff,
         1
       )
     )
   )
 )"),1.0)</f>
        <v>1</v>
      </c>
      <c r="EO58" s="200">
        <f>IFERROR(__xludf.DUMMYFUNCTION("PRODUCT(
   MAP(
     K$3:ED$3,
     K$14:ED$14,
     K$13:ED$13,
     K58:ED58,
     LAMBDA(
       job,
       buff,
       target,
       check,
       IF(
         AND(check=TRUE, REGEXMATCH(target, ""SELF_EFFECTED_GCD""), ISNUMBER(buff), job=""賢者""),"&amp;"
         buff,
         1
       )
     )
   )
 )"),1.0)</f>
        <v>1</v>
      </c>
      <c r="EP58" s="201">
        <f t="shared" si="3"/>
        <v>0</v>
      </c>
      <c r="EQ58" s="201">
        <f>IFERROR(__xludf.DUMMYFUNCTION("SUM(
   MAP(
     K$4:ED$4,
     K$3:ED$3,
     K$7:ED$7,
     K$15:ED$15,
     K$16:ED$16,
     K$21:ED$21,
     K$5:ED$5,
     K$17:ED$17,
     K58:ED58,
     LAMBDA(
       name,
       job,
       abillity,
       buff,
       barrier,
       enhance,"&amp;"
       assign,
       precondition,
       check,
       SWITCH(
         name,
         ""シェイクオフ"", IF(check=TRUE, buff + (0.02 * COUNTIF(ARRAYFORMULA((REGEXMATCH($K$4:$ED$4, ""スリル・オブ・バトル|ヴェンジェンス|原初の血気|ダムネーション"")) * (K58:ED58=TRUE)), 1)), 0),
         "&amp;"""インプロビゼーションフィニッシュ(踊りの激情0)"", IF(ISNUMBER(check), INDEX(Skill!$AJ:$AJ, MATCH(SUBSTITUTE(DV$4, 0, check), Skill!$C:$C, 0)), 0),
         IF(
           AND(check=TRUE, REGEXMATCH(assign, ""RANGE_PARTY"")),
           IF(
             OR(ARRAYFORMULA((IF(pr"&amp;"econdition="""", FALSE, REGEXMATCH($K$4:$ED$4, precondition))) * (K58:ED58=TRUE))),
             enhance,
             IF(barrier="""", buff, barrier)
           ),
           0
         )
       ) *
       SWITCH(
         job,
         ""ナイト"", EY$24,
 "&amp;"        ""戦士"", FD$24,
         ""踊り子"", ET$24,
         ""ピクトマンサー"", ET$24,
         ""白魔道士"", EF58 * EH58 * IF(abillity, 1, EG58 * EI58) * (Option!$D$22 * 0.81 / 100),
         ""占星術師"", EF58 * EJ58 * IF(abillity, 1, EG58 * EK58) * (Option!$D$23 * 0.81 "&amp;"/ 100),
         ""学者"", EF58 * EL58 * IF(abillity, 1, EG58 * EM58) * (Option!$D$24 * 0.81 / 100),
         ""賢者"", EF58 * EN58 * IF(abillity, 1, EG58 * EO58) * (Option!$D$25 * 0.81 / 100),
         1
       )
     )
   )
 )"),0.0)</f>
        <v>0</v>
      </c>
      <c r="ER58" s="202">
        <f t="shared" si="4"/>
        <v>0</v>
      </c>
      <c r="ES58" s="203">
        <f t="shared" si="5"/>
        <v>0</v>
      </c>
      <c r="ET58" s="204" t="str">
        <f>IFERROR(__xludf.DUMMYFUNCTION("IFS(
  EP58 &gt; $ET$24 + EQ58,
  SPARKLINE({ 1, 0 }, {""charttype"",""bar"";""max"", 1;""color1"",Option!$D$30;""color2"",Option!$D$30}),
  EP58 &lt; EQ58,
  SPARKLINE({EQ58 - EP58, $ET$24 - (EQ58 - EP58)}, {""charttype"",""bar"";""max"",$ET$24;""color1"",Opti"&amp;"on!$D$28;""color2"",Option!$D$29}),
  EP58 &gt;= EQ58,
  SPARKLINE({$ET$24 + EQ58 - EP58,EP58 - EQ58}, {""charttype"",""bar"";""max"",$ET$24;""color1"",Option!$D$29;""color2"",Option!$D$30})
)"),"")</f>
        <v/>
      </c>
      <c r="EU58" s="205">
        <f>IFERROR(__xludf.DUMMYFUNCTION("PRODUCT(
   MAP(
     IF($F58=""Physical"", K$10:ED$10, IF($F58=""Magic"", K$11:ED$11, K$12:ED$12)),
     IF($F58=""Physical"", K$18:ED$18, IF($F58=""Magic"", K$19:ED$19, K$20:ED$20)),
     K$3:ED$3,
     K$5:ED$5,
     K$17:ED$17,
     K58:ED58,
     LAM"&amp;"BDA(
       mitigation,
       enhance,
       job,
       assign,
       precondition,
       check,
       IF(
         OR(AND(check=TRUE, REGEXMATCH(assign, ""SELF""), job=""ナイト""), AND(check=Option!$E$13, REGEXMATCH(assign, ""SINGLE_PARTY""))),
      "&amp;"   IF(
           OR(ARRAYFORMULA((IF(precondition="""", FALSE, REGEXMATCH($K$4:$ED$4, precondition))) * (K58:ED58=TRUE))),
           enhance,
           mitigation
         ),
         1
       )
     )
   )
 ) * EE58"),1.0)</f>
        <v>1</v>
      </c>
      <c r="EV58" s="206">
        <f t="shared" si="6"/>
        <v>0</v>
      </c>
      <c r="EW58" s="205">
        <f>IFERROR(__xludf.DUMMYFUNCTION("PRODUCT(
   MAP(
     K$3:ED$3,
     K$14:ED$14,
     K$13:ED$13,
     K58:ED58,
     LAMBDA(
       job,
       buff,
       target,
       check,
       IF(
         OR(AND(check=TRUE, REGEXMATCH(target, ""SELF_AFFECTED_ALL""), job=""ナイト""), AND(check=O"&amp;"ption!$E$13, REGEXMATCH(target, ""SINGLE_AFFECTED_ALL""))),
         buff,
         1
       )
     )
   )
 )"),1.0)</f>
        <v>1</v>
      </c>
      <c r="EX58" s="206">
        <f>IFERROR(__xludf.DUMMYFUNCTION("SUM(
   MAP(
     K$3:ED$3,
     K$7:ED$7,
     K$15:ED$15,
     K$16:ED$16,
     K$21:ED$21,
     K$5:ED$5,
     K$17:ED$17,
     K58:ED58,
     LAMBDA(
       job,
       abillity,
       buff,
       barrier,
       enhance,
       assign,
       preco"&amp;"ndition,
       check,
       IF(
         OR(AND(check=TRUE, REGEXMATCH(assign, ""SELF""), job=""ナイト""), AND(check=Option!$E$13, REGEXMATCH(assign, ""SINGLE_PARTY""))),
         IF(
           OR(ARRAYFORMULA((IF(precondition="""", FALSE, REGEXMATCH($K$4"&amp;":$ED$4, precondition))) * (K58:ED58=TRUE))),
           enhance,
           IF(barrier="""", buff, barrier)
         ),
         0
       ) *
       SWITCH(
         job,
         ""暗黒騎士"", EY$24,
         ""白魔道士"", EF58 * EH58 * EW58 * IF(abillity, 1, EG"&amp;"58 * EI58) * (Option!$D$22 * 0.81 / 100),
         ""占星術師"", EF58 * EJ58 * EW58 * IF(abillity, 1, EG58 * EK58) * (Option!$D$23 * 0.81 / 100),
         ""学者"", EF58 * EL58 * EW58 * IF(abillity, 1, EG58 * EM58) * (Option!$D$24 * 0.81 / 100),
         ""賢者"""&amp;", EF58 * EN58 * EW58 * IF(abillity, 1, EG58 * EO58) * (Option!$D$25 * 0.81 / 100),
         1
       )
     )
   )
 ) + EQ58"),0.0)</f>
        <v>0</v>
      </c>
      <c r="EY58" s="206">
        <f t="shared" si="7"/>
        <v>0</v>
      </c>
      <c r="EZ58" s="205">
        <f>IFERROR(__xludf.DUMMYFUNCTION("PRODUCT(
   MAP(
     IF($F58=""Physical"", K$10:ED$10, IF($F58=""Magic"", K$11:ED$11, K$12:ED$12)),
     IF($F58=""Physical"", K$18:ED$18, IF($F58=""Magic"", K$19:ED$19, K$20:ED$20)),
     K$3:ED$3,
     K$5:ED$5,
     K$17:ED$17,
     K58:ED58,
     LAM"&amp;"BDA(
       mitigation,
       enhance,
       job,
       assign,
       precondition,
       check,
       IF(
         OR(AND(check=TRUE, REGEXMATCH(assign, ""SELF""), job=""戦士""), AND(check=Option!$F$13, REGEXMATCH(assign, ""SINGLE_PARTY""))),
       "&amp;"  IF(
           OR(ARRAYFORMULA((IF(precondition="""", FALSE, REGEXMATCH($K$4:$ED$4, precondition))) * (K58:ED58=TRUE))),
           enhance,
           mitigation
         ),
         1
       )
     )
   )
 ) * EE58"),1.0)</f>
        <v>1</v>
      </c>
      <c r="FA58" s="206">
        <f t="shared" si="8"/>
        <v>0</v>
      </c>
      <c r="FB58" s="205">
        <f>IFERROR(__xludf.DUMMYFUNCTION("PRODUCT(
   MAP(
     K$3:ED$3,
     K$14:ED$14,
     K$13:ED$13,
     K58:ED58,
     LAMBDA(
       job,
       buff,
       target,
       check,
       IF(
         OR(AND(check=TRUE, REGEXMATCH(target, ""SELF_AFFECTED_ALL""), job=""戦士""), AND(check=Op"&amp;"tion!$F$13, REGEXMATCH(target, ""SINGLE_AFFECTED_ALL""))),
         buff,
         1
       )
     )
   )
 )"),1.0)</f>
        <v>1</v>
      </c>
      <c r="FC58" s="206">
        <f>IFERROR(__xludf.DUMMYFUNCTION("SUM(
   MAP(
     K$3:ED$3,
     K$7:ED$7,
     K$15:ED$15,
     K$16:ED$16,
     K$21:ED$21,
     K$5:ED$5,
     K$17:ED$17,
     K58:ED58,
     LAMBDA(
       job,
       abillity,
       buff,
       barrier,
       enhance,
       assign,
       preco"&amp;"ndition,
       check,
       IF(
         OR(AND(check=TRUE, REGEXMATCH(assign, ""SELF""), job=""戦士""), AND(check=Option!$F$13, REGEXMATCH(assign, ""SINGLE_PARTY""))),
         IF(
           OR(ARRAYFORMULA((IF(precondition="""", FALSE, REGEXMATCH($K$4:"&amp;"$ED$4, precondition))) * (K58:ED58=TRUE))),
           enhance,
           IF(barrier="""", buff, barrier)
         ),
         0
       ) *
       SWITCH(
         job,
         ""暗黒騎士"", FD$24,
         ""白魔道士"", EF58 * EH58 * FB58 * IF(abillity, 1, EG5"&amp;"8 * EI58) * (Option!$D$22 * 0.81 / 100),
         ""占星術師"", EF58 * EJ58 * FFB58 * IF(abillity, 1, EG58 * EK58) * (Option!$D$23 * 0.81 / 100),
         ""学者"", EF58 * EL58 * FB58 * IF(abillity, 1, EG58 * EM58) * (Option!$D$24 * 0.81 / 100),
         ""賢者"""&amp;", EF58 * EN58 * FB58 * IF(abillity, 1, EG58 * EO58) * (Option!$D$25 * 0.81 / 100),
         1
       )
     )
   )
 ) + EQ58"),0.0)</f>
        <v>0</v>
      </c>
      <c r="FD58" s="206">
        <f t="shared" si="9"/>
        <v>0</v>
      </c>
      <c r="FE58" s="205">
        <f>IFERROR(__xludf.DUMMYFUNCTION("PRODUCT(
   MAP(
     IF($F58=""Physical"", K$10:ED$10, IF($F58=""Magic"", K$11:ED$11, K$12:ED$12)),
     IF($F58=""Physical"", K$18:ED$18, IF($F58=""Magic"", K$19:ED$19, K$20:ED$20)),
     K$3:ED$3,
     K$5:ED$5,
     K$17:ED$17,
     K58:ED58,
     LAM"&amp;"BDA(
       mitigation,
       enhance,
       job,
       assign,
       precondition,
       check,
       IF(
         OR(AND(check=TRUE, REGEXMATCH(assign, ""SELF""), job=""暗黒騎士""), AND(check=Option!$G$13, REGEXMATCH(assign, ""SINGLE_PARTY""))),
     "&amp;"    IF(
           OR(ARRAYFORMULA((IF(precondition="""", FALSE, REGEXMATCH($K$4:$ED$4, precondition))) * (K58:ED58=TRUE))),
           enhance,
           mitigation
         ),
         1
       )
     )
   )
 ) * EE58"),1.0)</f>
        <v>1</v>
      </c>
      <c r="FF58" s="206">
        <f t="shared" si="10"/>
        <v>0</v>
      </c>
      <c r="FG58" s="205">
        <f>IFERROR(__xludf.DUMMYFUNCTION("PRODUCT(
   MAP(
     K$3:ED$3,
     K$14:ED$14,
     K$13:ED$13,
     K58:ED58,
     LAMBDA(
       job,
       buff,
       target,
       check,
       IF(
         OR(AND(check=TRUE, REGEXMATCH(target, ""SELF_AFFECTED_ALL""), job=""暗黒騎士""), AND(check="&amp;"Option!$G$13, REGEXMATCH(target, ""SINGLE_AFFECTED_ALL""))),
         buff,
         1
       )
     )
   )
 )"),1.0)</f>
        <v>1</v>
      </c>
      <c r="FH58" s="206">
        <f>IFERROR(__xludf.DUMMYFUNCTION("SUM(
   MAP(
     K$3:ED$3,
     K$7:ED$7,
     K$15:ED$15,
     K$16:ED$16,
     K$21:ED$21,
     K$5:ED$5,
     K$17:ED$17,
     K58:ED58,
     LAMBDA(
       job,
       abillity,
       buff,
       barrier,
       enhance,
       assign,
       preco"&amp;"ndition,
       check,
       IF(
         OR(AND(check=TRUE, REGEXMATCH(assign, ""SELF""), job=""暗黒騎士""), AND(check=Option!$G$13, REGEXMATCH(assign, ""SINGLE_PARTY""))),
         IF(
           OR(ARRAYFORMULA((IF(precondition="""", FALSE, REGEXMATCH($K$"&amp;"4:$ED$4, precondition))) * (K58:ED58=TRUE))),
           enhance,
           IF(barrier="""", buff, barrier)
         ),
         0
       ) *
       SWITCH(
         job,
         ""暗黒騎士"", FI$24,
         ""白魔道士"", EF58 * EH58 * FG58 * IF(abillity, 1, E"&amp;"G58 * EI58) * (Option!$D$22 * 0.81 / 100),
         ""占星術師"", EF58 * EJ58 * FG58 * IF(abillity, 1, EG58 * EK58) * (Option!$D$23 * 0.81 / 100),
         ""学者"", EF58 * EL58 * FG58 * IF(abillity, 1, EG58 * EM58) * (Option!$D$24 * 0.81 / 100),
         ""賢者"&amp;""", EF58 * EN58 * FG58 * IF(abillity, 1, EG58 * EO58) * (Option!$D$25 * 0.81 / 100),
         1
       )
     )
   )
 ) + EQ58"),0.0)</f>
        <v>0</v>
      </c>
      <c r="FI58" s="206">
        <f t="shared" si="11"/>
        <v>0</v>
      </c>
      <c r="FJ58" s="205">
        <f>IFERROR(__xludf.DUMMYFUNCTION("PRODUCT(
   MAP(
     IF($F58=""Physical"", K$10:ED$10, IF($F58=""Magic"", K$11:ED$11, K$12:ED$12)),
     IF($F58=""Physical"", K$18:ED$18, IF($F58=""Magic"", K$19:ED$19, K$20:ED$20)),
     K$3:ED$3,
     K$5:ED$5,
     K$17:ED$17,
     K58:ED58,
     LAM"&amp;"BDA(
       mitigation,
       enhance,
       job,
       assign,
       precondition,
       check,
       IF(
         OR(AND(check=TRUE, REGEXMATCH(assign, ""SELF""), job=""ガンブレイカー""), AND(check=Option!$H$13, REGEXMATCH(assign, ""SINGLE_PARTY""))),
  "&amp;"       IF(
           OR(ARRAYFORMULA((IF(precondition="""", FALSE, REGEXMATCH($K$4:$ED$4, precondition))) * (K58:ED58=TRUE))),
           enhance,
           mitigation
         ),
         1
       )
     )
   )
 ) * EE58"),1.0)</f>
        <v>1</v>
      </c>
      <c r="FK58" s="206">
        <f t="shared" si="12"/>
        <v>0</v>
      </c>
      <c r="FL58" s="205">
        <f>IFERROR(__xludf.DUMMYFUNCTION("PRODUCT(
   MAP(
     K$3:ED$3,
     K$14:ED$14,
     K$13:ED$13,
     K58:ED58,
     LAMBDA(
       job,
       buff,
       target,
       check,
       IF(
         OR(AND(check=TRUE, REGEXMATCH(target, ""SELF_AFFECTED_ALL""), job=""ガンブレイカー""), AND(che"&amp;"ck=Option!$H$13, REGEXMATCH(target, ""SINGLE_AFFECTED_ALL""))),
         buff,
         1
       )
     )
   )
 )"),1.0)</f>
        <v>1</v>
      </c>
      <c r="FM58" s="206">
        <f>IFERROR(__xludf.DUMMYFUNCTION("SUM(
   MAP(
     K$3:ED$3,
     K$7:ED$7,
     K$15:ED$15,
     K$16:ED$16,
     K$21:ED$21,
     K$5:ED$5,
     K$17:ED$17,
     K58:ED58,
     LAMBDA(
       job,
       abillity,
       buff,
       barrier,
       enhance,
       assign,
       preco"&amp;"ndition,
       check,
       IF(
         OR(AND(check=TRUE, REGEXMATCH(assign, ""SELF""), job=""ガンブレイカー""), AND(check=Option!$H$13, REGEXMATCH(assign, ""SINGLE_PARTY""))),
         IF(
           OR(ARRAYFORMULA((IF(precondition="""", FALSE, REGEXMATCH("&amp;"$K$4:$ED$4, precondition))) * (K58:ED58=TRUE))),
           enhance,
           IF(barrier="""", buff, barrier)
         ),
         0
       ) *
       SWITCH(
         job,
         ""暗黒騎士"", FN$24,
         ""白魔道士"", EF58 * EH58 * FL58 * IF(abillity, 1"&amp;", EG58 * EI58) * (Option!$D$22 * 0.81 / 100),
         ""占星術師"", EF58 * EJ58 * FL58 * IF(abillity, 1, EG58 * EK58) * (Option!$D$23 * 0.81 / 100),
         ""学者"", EF58 * EL58 * FL58 * IF(abillity, 1, EG58 * EM58) * (Option!$D$24 * 0.81 / 100),
         """&amp;"賢者"", EF58 * EN58 * FL58 * IF(abillity, 1, EG58 * EO58) * (Option!$D$25 * 0.81 / 100),
         1
       )
     )
   )
 ) + EQ58"),0.0)</f>
        <v>0</v>
      </c>
      <c r="FN58" s="206">
        <f t="shared" si="13"/>
        <v>0</v>
      </c>
      <c r="FO58" s="213"/>
    </row>
    <row r="59">
      <c r="B59" s="229"/>
      <c r="C59" s="217">
        <f t="shared" si="1"/>
        <v>0</v>
      </c>
      <c r="D59" s="236"/>
      <c r="E59" s="219"/>
      <c r="F59" s="167"/>
      <c r="G59" s="168" t="str">
        <f t="shared" si="2"/>
        <v/>
      </c>
      <c r="H59" s="169"/>
      <c r="I59" s="169"/>
      <c r="J59" s="169"/>
      <c r="K59" s="170" t="b">
        <v>0</v>
      </c>
      <c r="L59" s="170" t="b">
        <v>0</v>
      </c>
      <c r="M59" s="170" t="b">
        <v>0</v>
      </c>
      <c r="N59" s="171" t="s">
        <v>1070</v>
      </c>
      <c r="O59" s="172" t="b">
        <v>0</v>
      </c>
      <c r="P59" s="173" t="b">
        <v>0</v>
      </c>
      <c r="Q59" s="173" t="b">
        <v>0</v>
      </c>
      <c r="R59" s="173" t="b">
        <v>0</v>
      </c>
      <c r="S59" s="174" t="b">
        <v>0</v>
      </c>
      <c r="T59" s="175" t="b">
        <v>0</v>
      </c>
      <c r="U59" s="173" t="b">
        <v>0</v>
      </c>
      <c r="V59" s="171" t="s">
        <v>1070</v>
      </c>
      <c r="W59" s="172" t="b">
        <v>0</v>
      </c>
      <c r="X59" s="173" t="b">
        <v>0</v>
      </c>
      <c r="Y59" s="173" t="b">
        <v>0</v>
      </c>
      <c r="Z59" s="173" t="b">
        <v>0</v>
      </c>
      <c r="AA59" s="174" t="b">
        <v>0</v>
      </c>
      <c r="AB59" s="174" t="b">
        <v>0</v>
      </c>
      <c r="AC59" s="175" t="b">
        <v>0</v>
      </c>
      <c r="AD59" s="173" t="b">
        <v>0</v>
      </c>
      <c r="AE59" s="176" t="s">
        <v>1070</v>
      </c>
      <c r="AF59" s="171" t="s">
        <v>1070</v>
      </c>
      <c r="AG59" s="177">
        <f>IFERROR(__xludf.DUMMYFUNCTION("IF(
  ISNUMBER(AG58),
  MIN(MAX(
    AG58
    + MAX(
      ROUNDDOWN(($D59 - MAX(IFERROR(FILTER($D$24:$D58, AG$24:AG58 &lt;&gt; AF$6, AG$23:AG57 = AF$6), 0))) * (60 * 60 * 24) / AF$9) - ROUNDDOWN(($D58 - MAX(IFERROR(FILTER($D$23:$D57, AG$23:AG57 &lt;&gt; AF$6, AG$22:"&amp;"AG56 = AF$6), 0))) * (60 * 60 * 24) / 60),
      0
    )
    - COUNTIF(AF59, ""&lt;&gt;-""),
  0), AF$6),
  AF$6 - COUNTIF(AF59, ""&lt;&gt;-"")
)"),2.0)</f>
        <v>2</v>
      </c>
      <c r="AH59" s="173" t="b">
        <v>0</v>
      </c>
      <c r="AI59" s="173" t="b">
        <v>0</v>
      </c>
      <c r="AJ59" s="173" t="b">
        <v>0</v>
      </c>
      <c r="AK59" s="174" t="b">
        <v>0</v>
      </c>
      <c r="AL59" s="175" t="b">
        <v>0</v>
      </c>
      <c r="AM59" s="173" t="b">
        <v>0</v>
      </c>
      <c r="AN59" s="171" t="s">
        <v>1070</v>
      </c>
      <c r="AO59" s="173" t="b">
        <v>0</v>
      </c>
      <c r="AP59" s="173" t="b">
        <v>0</v>
      </c>
      <c r="AQ59" s="173" t="b">
        <v>0</v>
      </c>
      <c r="AR59" s="174" t="b">
        <v>0</v>
      </c>
      <c r="AS59" s="178" t="b">
        <v>0</v>
      </c>
      <c r="AT59" s="179" t="b">
        <v>0</v>
      </c>
      <c r="AU59" s="180" t="b">
        <v>0</v>
      </c>
      <c r="AV59" s="180" t="b">
        <v>0</v>
      </c>
      <c r="AW59" s="180" t="b">
        <v>0</v>
      </c>
      <c r="AX59" s="180" t="b">
        <v>0</v>
      </c>
      <c r="AY59" s="181" t="s">
        <v>1070</v>
      </c>
      <c r="AZ59" s="181" t="s">
        <v>1070</v>
      </c>
      <c r="BA59" s="184">
        <f>IFERROR(__xludf.DUMMYFUNCTION("IF(
  ISNUMBER(BA58),
  MIN(MAX(
    BA58
    + MAX(
      ROUNDDOWN((D59 - MAX(IFERROR(FILTER(D$24:D58, BA$24:BA58 &lt;&gt; AZ$6, BA$23:BA57 = AZ$6), 0))) * (60 * 60 * 24) / AZ$9) - ROUNDDOWN((D58 - MAX(IFERROR(FILTER(D$23:D57, BA$23:BA57 &lt;&gt; AZ$6, BA$22:BA56 ="&amp;" AZ$6), 0))) * (60 * 60 * 24) / AZ$9),
      0
    )
    - COUNTIF(AZ59, ""&lt;&gt;-""),
  0), AZ$6),
  AZ$6 - COUNTIF(AZ59, ""&lt;&gt;-"")
)"),2.0)</f>
        <v>2</v>
      </c>
      <c r="BB59" s="181" t="s">
        <v>1070</v>
      </c>
      <c r="BC59" s="183">
        <f>IFERROR(__xludf.DUMMYFUNCTION("IF(
  ISNUMBER(BC58),
  MIN(MAX(
    BC58
    + MAX(
      ROUNDDOWN(($D59 - MAX(IFERROR(FILTER($D$24:$D58, BC$24:BC58 &lt;&gt; BB$6, BC$23:BC57 = BB$6), 0))) * (60 * 60 * 24) / BB$9) - ROUNDDOWN(($D58 - MAX(IFERROR(FILTER($D$23:$D57, BC$23:BC57 &lt;&gt; BB$6, BC$22:"&amp;"BC56 = BB$6), 0))) * (60 * 60 * 24) / 60),
      0
    )
    - COUNTIF(BB59, ""&lt;&gt;-""),
  0), BB$6),
  BB$6 - COUNTIF(BB59, ""&lt;&gt;-"")
)"),2.0)</f>
        <v>2</v>
      </c>
      <c r="BD59" s="181" t="s">
        <v>1070</v>
      </c>
      <c r="BE59" s="178" t="b">
        <v>0</v>
      </c>
      <c r="BF59" s="180" t="b">
        <v>0</v>
      </c>
      <c r="BG59" s="180" t="b">
        <v>0</v>
      </c>
      <c r="BH59" s="180" t="b">
        <v>0</v>
      </c>
      <c r="BI59" s="180" t="b">
        <v>0</v>
      </c>
      <c r="BJ59" s="180" t="b">
        <v>0</v>
      </c>
      <c r="BK59" s="180" t="b">
        <v>0</v>
      </c>
      <c r="BL59" s="180" t="b">
        <v>0</v>
      </c>
      <c r="BM59" s="180" t="b">
        <v>0</v>
      </c>
      <c r="BN59" s="180" t="b">
        <v>0</v>
      </c>
      <c r="BO59" s="181" t="s">
        <v>1070</v>
      </c>
      <c r="BP59" s="181" t="s">
        <v>1070</v>
      </c>
      <c r="BQ59" s="181" t="s">
        <v>1070</v>
      </c>
      <c r="BR59" s="181" t="s">
        <v>1070</v>
      </c>
      <c r="BS59" s="181" t="s">
        <v>1070</v>
      </c>
      <c r="BT59" s="184">
        <f>IFERROR(__xludf.DUMMYFUNCTION("IF(
  ISNUMBER(BT58),
  MIN(MAX(
    BT58
    + MAX(
      ROUNDDOWN((D59 - MAX(IFERROR(FILTER(D$24:D58, BT$24:BT58 &lt;&gt; BS$6, BT$23:BT57 = BS$6), 0))) * (60 * 60 * 24) / BS$9) - ROUNDDOWN((D58 - MAX(IFERROR(FILTER(D$23:D57, BT$23:BT57 &lt;&gt; BS$6, BT$22:BT56 ="&amp;" BS$6), 0))) * (60 * 60 * 24) / BS$9),
      0
    )
    - COUNTIF(BS59, ""&lt;&gt;-""),
  0), BS$6),
  BS$6 - COUNTIF(BS59, ""&lt;&gt;-"")
)"),3.0)</f>
        <v>3</v>
      </c>
      <c r="BU59" s="181" t="s">
        <v>1070</v>
      </c>
      <c r="BV59" s="181" t="s">
        <v>1070</v>
      </c>
      <c r="BW59" s="184">
        <f>IFERROR(__xludf.DUMMYFUNCTION("IF(
  ISNUMBER(BW58),
  MIN(MAX(
    BW58
    + MAX(
      ROUNDDOWN((D59 - MAX(IFERROR(FILTER(D$24:D58, BW$24:BW58 &lt;&gt; BV$6, BW$23:BW57 = BV$6), 0))) * (60 * 60 * 24) / BV$9) - ROUNDDOWN((D58 - MAX(IFERROR(FILTER(D$23:D57, BW$23:BW57 &lt;&gt; BV$6, BW$22:BW56 ="&amp;" BV$6), 0))) * (60 * 60 * 24) / BV$9),
      0
    )
    - COUNTIF(BV59, ""&lt;&gt;-""),
  0), BV$6),
  BV$6 - COUNTIF(BV59, ""&lt;&gt;-"")
)"),2.0)</f>
        <v>2</v>
      </c>
      <c r="BX59" s="185" t="s">
        <v>1070</v>
      </c>
      <c r="BY59" s="178" t="b">
        <v>0</v>
      </c>
      <c r="BZ59" s="180" t="b">
        <v>0</v>
      </c>
      <c r="CA59" s="180" t="b">
        <v>0</v>
      </c>
      <c r="CB59" s="180" t="b">
        <v>0</v>
      </c>
      <c r="CC59" s="180" t="b">
        <v>0</v>
      </c>
      <c r="CD59" s="180" t="b">
        <v>0</v>
      </c>
      <c r="CE59" s="180" t="b">
        <v>0</v>
      </c>
      <c r="CF59" s="180" t="b">
        <v>0</v>
      </c>
      <c r="CG59" s="180" t="b">
        <v>0</v>
      </c>
      <c r="CH59" s="180" t="b">
        <v>0</v>
      </c>
      <c r="CI59" s="180" t="b">
        <v>0</v>
      </c>
      <c r="CJ59" s="180" t="b">
        <v>0</v>
      </c>
      <c r="CK59" s="180" t="b">
        <v>0</v>
      </c>
      <c r="CL59" s="180" t="b">
        <v>0</v>
      </c>
      <c r="CM59" s="181" t="s">
        <v>1070</v>
      </c>
      <c r="CN59" s="181" t="s">
        <v>1070</v>
      </c>
      <c r="CO59" s="181" t="s">
        <v>1070</v>
      </c>
      <c r="CP59" s="181" t="s">
        <v>1070</v>
      </c>
      <c r="CQ59" s="185" t="s">
        <v>1070</v>
      </c>
      <c r="CR59" s="180" t="b">
        <v>0</v>
      </c>
      <c r="CS59" s="186" t="str">
        <f t="shared" si="14"/>
        <v>◇◇◇</v>
      </c>
      <c r="CT59" s="178" t="b">
        <v>0</v>
      </c>
      <c r="CU59" s="180" t="b">
        <v>0</v>
      </c>
      <c r="CV59" s="180" t="b">
        <v>0</v>
      </c>
      <c r="CW59" s="180" t="b">
        <v>0</v>
      </c>
      <c r="CX59" s="180" t="b">
        <v>0</v>
      </c>
      <c r="CY59" s="180" t="b">
        <v>0</v>
      </c>
      <c r="CZ59" s="180" t="b">
        <v>0</v>
      </c>
      <c r="DA59" s="180" t="b">
        <v>0</v>
      </c>
      <c r="DB59" s="180" t="b">
        <v>0</v>
      </c>
      <c r="DC59" s="180" t="b">
        <v>0</v>
      </c>
      <c r="DD59" s="181" t="s">
        <v>1070</v>
      </c>
      <c r="DE59" s="181" t="s">
        <v>1070</v>
      </c>
      <c r="DF59" s="181" t="s">
        <v>1070</v>
      </c>
      <c r="DG59" s="185" t="s">
        <v>1070</v>
      </c>
      <c r="DH59" s="180" t="b">
        <v>0</v>
      </c>
      <c r="DI59" s="187" t="str">
        <f>IFERROR(__xludf.DUMMYFUNCTION("SWITCH(
  IF(
    ISTEXT(DI58),
    IF (
      FIND(""○"", DI58&amp;""○"") &gt; 3,
      3,
      FIND(""○"", DI58&amp;""○"")
      + MAX(
        ROUNDDOWN(($D59 - MAX(IFERROR(FILTER(D$24:D58, DI$24:DI58 &lt;&gt; ""●●●"", DI$23:DI57 = ""●●●""), 0))) * (60 * 60 * 24) / 20"&amp;") - ROUNDDOWN(($D58 - MAX(IFERROR(FILTER(D$23:D57, DI$23:DI57 &lt;&gt; ""●●●"", DI$22:DI56 = ""●●●""), 0))) * (60 * 60 * 24) / 20),
        0
      ) - 1
    ) - COUNTIFS(CU59, ""=TRUE"", CU58, ""&lt;&gt;TRUE"") - COUNTIF(CZ59, ""=TRUE"") - COUNTIF({DD59,DE59}, ""&lt;&gt;-"&amp;""") + COUNTIF(DH59, ""=TRUE""),
    3
  ),
  0, ""○○○"", 1, ""●○○"", 2, ""●●○"", 3, ""●●●"", 4, ""●●●"", ""○○○""
)"),"●●●")</f>
        <v>●●●</v>
      </c>
      <c r="DJ59" s="188" t="b">
        <v>0</v>
      </c>
      <c r="DK59" s="189" t="b">
        <v>0</v>
      </c>
      <c r="DL59" s="190" t="b">
        <v>0</v>
      </c>
      <c r="DM59" s="190" t="b">
        <v>0</v>
      </c>
      <c r="DN59" s="190" t="b">
        <v>0</v>
      </c>
      <c r="DO59" s="190" t="b">
        <v>0</v>
      </c>
      <c r="DP59" s="190" t="b">
        <v>0</v>
      </c>
      <c r="DQ59" s="191" t="b">
        <v>0</v>
      </c>
      <c r="DR59" s="192" t="b">
        <v>0</v>
      </c>
      <c r="DS59" s="191" t="b">
        <v>0</v>
      </c>
      <c r="DT59" s="192" t="b">
        <v>0</v>
      </c>
      <c r="DU59" s="191" t="b">
        <v>0</v>
      </c>
      <c r="DV59" s="193" t="s">
        <v>1070</v>
      </c>
      <c r="DW59" s="194" t="b">
        <v>0</v>
      </c>
      <c r="DX59" s="194" t="b">
        <v>0</v>
      </c>
      <c r="DY59" s="195" t="b">
        <v>0</v>
      </c>
      <c r="DZ59" s="196" t="b">
        <v>0</v>
      </c>
      <c r="EA59" s="195" t="b">
        <v>0</v>
      </c>
      <c r="EB59" s="197" t="b">
        <v>0</v>
      </c>
      <c r="EC59" s="197" t="b">
        <v>0</v>
      </c>
      <c r="ED59" s="212" t="b">
        <v>0</v>
      </c>
      <c r="EE59" s="199">
        <f>IFERROR(__xludf.DUMMYFUNCTION("IFERROR(
   PRODUCT(
     MAP(
       INDEX(TRANSPOSE(UNIQUE(TRANSPOSE(FILTER({IF($F59=""Physical"", K$10:ED$10, IF($F59=""Magic"", K$11:ED$11, K$12:ED$12));K$4:ED$4;K59:ED59}, K59:ED59=TRUE)))), 1, 0),
       INDEX(TRANSPOSE(UNIQUE(TRANSPOSE(FILTER({IF($"&amp;"F59=""Physical"", K$18:ED$18, IF($F59=""Magic"", K$19:ED$19, K$20:ED$20));K$4:ED$4;K59:ED59}, K59:ED59=TRUE)))), 1, 0),
       INDEX(TRANSPOSE(UNIQUE(TRANSPOSE(FILTER({K$5:ED$5;K$4:ED$4;K59:ED59}, K59:ED59=TRUE)))), 1, 0),
       INDEX(TRANSPOSE(UNIQUE(TR"&amp;"ANSPOSE(FILTER({K$17:ED$17;K$4:ED$4;K59:ED59}, K59:ED59=TRUE)))), 1, 0),
       LAMBDA(
         mitigation,
         enhance,
         assign,
         precondition,
         IF(
           REGEXMATCH(assign, ""RANGE_PARTY|SINGLE_ENEMY|RANGE_ENEMY""),
  "&amp;"         IF(
             OR(ARRAYFORMULA((IF(precondition="""", FALSE, REGEXMATCH(K$4:ED$4, precondition))) * (K59:ED59=TRUE))),
             IF(ISNUMBER(enhance), enhance, 1),
             IF(ISNUMBER(mitigation), mitigation, 1)
           ),
          "&amp;" 1
         )
       )
     )
   ),
   1
 )"),1.0)</f>
        <v>1</v>
      </c>
      <c r="EF59" s="200">
        <f>IFERROR(__xludf.DUMMYFUNCTION("PRODUCT(
   MAP(
     K$14:ED$14,
     K$13:ED$13,
     K59:ED59,
     LAMBDA(
       buff,
       target,
       check,
       IF(
         AND(check=TRUE, REGEXMATCH(target, ""RANGE_AFFECTED_ALL|RANGE_EFFECTED_ALL""), ISNUMBER(buff)),
         buff,
   "&amp;"      1
       )
     )
   )
 )"),1.0)</f>
        <v>1</v>
      </c>
      <c r="EG59" s="200">
        <f>IFERROR(__xludf.DUMMYFUNCTION("PRODUCT(
   MAP(
     K$14:ED$14,
     K$13:ED$13,
     K59:ED59,
     LAMBDA(
       buff,
       target,
       check,
       IF(
         AND(check=TRUE, REGEXMATCH(target, ""RANGE_AFFECTED_GCD|RANGE_EFFECTED_GCD""), ISNUMBER(buff)),
         buff,
   "&amp;"      1
       )
     )
   )
 )"),1.0)</f>
        <v>1</v>
      </c>
      <c r="EH59" s="200">
        <f>IFERROR(__xludf.DUMMYFUNCTION("PRODUCT(
   MAP(
     K$3:ED$3,
     K$14:ED$14,
     K$13:ED$13,
     K59:ED59,
     LAMBDA(
       job,
       buff,
       target,
       check,
       IF(
         AND(check=TRUE, REGEXMATCH(target, ""SELF_EFFECTED_ALL""), ISNUMBER(buff), job=""白魔道士"""&amp;"),
         buff,
         1
       )
     )
   )
 )"),1.0)</f>
        <v>1</v>
      </c>
      <c r="EI59" s="200">
        <f>IFERROR(__xludf.DUMMYFUNCTION("PRODUCT(
   MAP(
     K$3:ED$3,
     K$14:ED$14,
     K$13:ED$13,
     K59:ED59,
     LAMBDA(
       job,
       buff,
       target,
       check,
       IF(
         AND(check=TRUE, REGEXMATCH(target, ""SELF_EFFECTED_GCD""), ISNUMBER(buff), job=""白魔道士"""&amp;"),
         buff,
         1
       )
     )
   )
 )"),1.0)</f>
        <v>1</v>
      </c>
      <c r="EJ59" s="200">
        <f>IFERROR(__xludf.DUMMYFUNCTION("PRODUCT(
   MAP(
     K$3:ED$3,
     K$14:ED$14,
     K$13:ED$13,
     K59:ED59,
     LAMBDA(
       job,
       buff,
       target,
       check,
       IF(
         AND(check=TRUE, REGEXMATCH(target, ""SELF_EFFECTED_ALL""), ISNUMBER(buff), job=""占星術師"""&amp;"),
         buff,
         1
       )
     )
   )
 )"),1.0)</f>
        <v>1</v>
      </c>
      <c r="EK59" s="200">
        <f>IFERROR(__xludf.DUMMYFUNCTION("PRODUCT(
   MAP(
     K$3:ED$3,
     K$14:ED$14,
     K$13:ED$13,
     K59:ED59,
     LAMBDA(
       job,
       buff,
       target,
       check,
       IF(
         AND(check=TRUE, REGEXMATCH(target, ""SELF_EFFECTED_GCD""), ISNUMBER(buff), job=""占星術師"""&amp;"),
         buff,
         1
       )
     )
   )
 )"),1.0)</f>
        <v>1</v>
      </c>
      <c r="EL59" s="200">
        <f>IFERROR(__xludf.DUMMYFUNCTION("PRODUCT(
   MAP(
     K$3:ED$3,
     K$14:ED$14,
     K$13:ED$13,
     K59:ED59,
     LAMBDA(
       job,
       buff,
       target,
       check,
       IF(
         AND(check=TRUE, REGEXMATCH(target, ""SELF_EFFECTED_ALL""), ISNUMBER(buff), job=""学者""),"&amp;"
         buff,
         1
       )
     )
   )
 )"),1.0)</f>
        <v>1</v>
      </c>
      <c r="EM59" s="200">
        <f>IFERROR(__xludf.DUMMYFUNCTION("PRODUCT(
   MAP(
     K$3:ED$3,
     K$14:ED$14,
     K$13:ED$13,
     K59:ED59,
     LAMBDA(
       job,
       buff,
       target,
       check,
       IF(
         AND(check=TRUE, REGEXMATCH(target, ""SELF_EFFECTED_GCD""), ISNUMBER(buff), job=""学者""),"&amp;"
         buff,
         1
       )
     )
   )
 )"),1.0)</f>
        <v>1</v>
      </c>
      <c r="EN59" s="200">
        <f>IFERROR(__xludf.DUMMYFUNCTION("PRODUCT(
   MAP(
     K$3:ED$3,
     K$14:ED$14,
     K$13:ED$13,
     K59:ED59,
     LAMBDA(
       job,
       buff,
       target,
       check,
       IF(
         AND(check=TRUE, REGEXMATCH(target, ""SELF_EFFECTED_ALL""), ISNUMBER(buff), job=""賢者""),"&amp;"
         buff,
         1
       )
     )
   )
 )"),1.0)</f>
        <v>1</v>
      </c>
      <c r="EO59" s="200">
        <f>IFERROR(__xludf.DUMMYFUNCTION("PRODUCT(
   MAP(
     K$3:ED$3,
     K$14:ED$14,
     K$13:ED$13,
     K59:ED59,
     LAMBDA(
       job,
       buff,
       target,
       check,
       IF(
         AND(check=TRUE, REGEXMATCH(target, ""SELF_EFFECTED_GCD""), ISNUMBER(buff), job=""賢者""),"&amp;"
         buff,
         1
       )
     )
   )
 )"),1.0)</f>
        <v>1</v>
      </c>
      <c r="EP59" s="201">
        <f t="shared" si="3"/>
        <v>0</v>
      </c>
      <c r="EQ59" s="201">
        <f>IFERROR(__xludf.DUMMYFUNCTION("SUM(
   MAP(
     K$4:ED$4,
     K$3:ED$3,
     K$7:ED$7,
     K$15:ED$15,
     K$16:ED$16,
     K$21:ED$21,
     K$5:ED$5,
     K$17:ED$17,
     K59:ED59,
     LAMBDA(
       name,
       job,
       abillity,
       buff,
       barrier,
       enhance,"&amp;"
       assign,
       precondition,
       check,
       SWITCH(
         name,
         ""シェイクオフ"", IF(check=TRUE, buff + (0.02 * COUNTIF(ARRAYFORMULA((REGEXMATCH($K$4:$ED$4, ""スリル・オブ・バトル|ヴェンジェンス|原初の血気|ダムネーション"")) * (K59:ED59=TRUE)), 1)), 0),
         "&amp;"""インプロビゼーションフィニッシュ(踊りの激情0)"", IF(ISNUMBER(check), INDEX(Skill!$AJ:$AJ, MATCH(SUBSTITUTE(DV$4, 0, check), Skill!$C:$C, 0)), 0),
         IF(
           AND(check=TRUE, REGEXMATCH(assign, ""RANGE_PARTY"")),
           IF(
             OR(ARRAYFORMULA((IF(pr"&amp;"econdition="""", FALSE, REGEXMATCH($K$4:$ED$4, precondition))) * (K59:ED59=TRUE))),
             enhance,
             IF(barrier="""", buff, barrier)
           ),
           0
         )
       ) *
       SWITCH(
         job,
         ""ナイト"", EY$24,
 "&amp;"        ""戦士"", FD$24,
         ""踊り子"", ET$24,
         ""ピクトマンサー"", ET$24,
         ""白魔道士"", EF59 * EH59 * IF(abillity, 1, EG59 * EI59) * (Option!$D$22 * 0.81 / 100),
         ""占星術師"", EF59 * EJ59 * IF(abillity, 1, EG59 * EK59) * (Option!$D$23 * 0.81 "&amp;"/ 100),
         ""学者"", EF59 * EL59 * IF(abillity, 1, EG59 * EM59) * (Option!$D$24 * 0.81 / 100),
         ""賢者"", EF59 * EN59 * IF(abillity, 1, EG59 * EO59) * (Option!$D$25 * 0.81 / 100),
         1
       )
     )
   )
 )"),0.0)</f>
        <v>0</v>
      </c>
      <c r="ER59" s="202">
        <f t="shared" si="4"/>
        <v>0</v>
      </c>
      <c r="ES59" s="203">
        <f t="shared" si="5"/>
        <v>0</v>
      </c>
      <c r="ET59" s="204" t="str">
        <f>IFERROR(__xludf.DUMMYFUNCTION("IFS(
  EP59 &gt; $ET$24 + EQ59,
  SPARKLINE({ 1, 0 }, {""charttype"",""bar"";""max"", 1;""color1"",Option!$D$30;""color2"",Option!$D$30}),
  EP59 &lt; EQ59,
  SPARKLINE({EQ59 - EP59, $ET$24 - (EQ59 - EP59)}, {""charttype"",""bar"";""max"",$ET$24;""color1"",Opti"&amp;"on!$D$28;""color2"",Option!$D$29}),
  EP59 &gt;= EQ59,
  SPARKLINE({$ET$24 + EQ59 - EP59,EP59 - EQ59}, {""charttype"",""bar"";""max"",$ET$24;""color1"",Option!$D$29;""color2"",Option!$D$30})
)"),"")</f>
        <v/>
      </c>
      <c r="EU59" s="205">
        <f>IFERROR(__xludf.DUMMYFUNCTION("PRODUCT(
   MAP(
     IF($F59=""Physical"", K$10:ED$10, IF($F59=""Magic"", K$11:ED$11, K$12:ED$12)),
     IF($F59=""Physical"", K$18:ED$18, IF($F59=""Magic"", K$19:ED$19, K$20:ED$20)),
     K$3:ED$3,
     K$5:ED$5,
     K$17:ED$17,
     K59:ED59,
     LAM"&amp;"BDA(
       mitigation,
       enhance,
       job,
       assign,
       precondition,
       check,
       IF(
         OR(AND(check=TRUE, REGEXMATCH(assign, ""SELF""), job=""ナイト""), AND(check=Option!$E$13, REGEXMATCH(assign, ""SINGLE_PARTY""))),
      "&amp;"   IF(
           OR(ARRAYFORMULA((IF(precondition="""", FALSE, REGEXMATCH($K$4:$ED$4, precondition))) * (K59:ED59=TRUE))),
           enhance,
           mitigation
         ),
         1
       )
     )
   )
 ) * EE59"),1.0)</f>
        <v>1</v>
      </c>
      <c r="EV59" s="206">
        <f t="shared" si="6"/>
        <v>0</v>
      </c>
      <c r="EW59" s="205">
        <f>IFERROR(__xludf.DUMMYFUNCTION("PRODUCT(
   MAP(
     K$3:ED$3,
     K$14:ED$14,
     K$13:ED$13,
     K59:ED59,
     LAMBDA(
       job,
       buff,
       target,
       check,
       IF(
         OR(AND(check=TRUE, REGEXMATCH(target, ""SELF_AFFECTED_ALL""), job=""ナイト""), AND(check=O"&amp;"ption!$E$13, REGEXMATCH(target, ""SINGLE_AFFECTED_ALL""))),
         buff,
         1
       )
     )
   )
 )"),1.0)</f>
        <v>1</v>
      </c>
      <c r="EX59" s="206">
        <f>IFERROR(__xludf.DUMMYFUNCTION("SUM(
   MAP(
     K$3:ED$3,
     K$7:ED$7,
     K$15:ED$15,
     K$16:ED$16,
     K$21:ED$21,
     K$5:ED$5,
     K$17:ED$17,
     K59:ED59,
     LAMBDA(
       job,
       abillity,
       buff,
       barrier,
       enhance,
       assign,
       preco"&amp;"ndition,
       check,
       IF(
         OR(AND(check=TRUE, REGEXMATCH(assign, ""SELF""), job=""ナイト""), AND(check=Option!$E$13, REGEXMATCH(assign, ""SINGLE_PARTY""))),
         IF(
           OR(ARRAYFORMULA((IF(precondition="""", FALSE, REGEXMATCH($K$4"&amp;":$ED$4, precondition))) * (K59:ED59=TRUE))),
           enhance,
           IF(barrier="""", buff, barrier)
         ),
         0
       ) *
       SWITCH(
         job,
         ""暗黒騎士"", EY$24,
         ""白魔道士"", EF59 * EH59 * EW59 * IF(abillity, 1, EG"&amp;"59 * EI59) * (Option!$D$22 * 0.81 / 100),
         ""占星術師"", EF59 * EJ59 * EW59 * IF(abillity, 1, EG59 * EK59) * (Option!$D$23 * 0.81 / 100),
         ""学者"", EF59 * EL59 * EW59 * IF(abillity, 1, EG59 * EM59) * (Option!$D$24 * 0.81 / 100),
         ""賢者"""&amp;", EF59 * EN59 * EW59 * IF(abillity, 1, EG59 * EO59) * (Option!$D$25 * 0.81 / 100),
         1
       )
     )
   )
 ) + EQ59"),0.0)</f>
        <v>0</v>
      </c>
      <c r="EY59" s="206">
        <f t="shared" si="7"/>
        <v>0</v>
      </c>
      <c r="EZ59" s="205">
        <f>IFERROR(__xludf.DUMMYFUNCTION("PRODUCT(
   MAP(
     IF($F59=""Physical"", K$10:ED$10, IF($F59=""Magic"", K$11:ED$11, K$12:ED$12)),
     IF($F59=""Physical"", K$18:ED$18, IF($F59=""Magic"", K$19:ED$19, K$20:ED$20)),
     K$3:ED$3,
     K$5:ED$5,
     K$17:ED$17,
     K59:ED59,
     LAM"&amp;"BDA(
       mitigation,
       enhance,
       job,
       assign,
       precondition,
       check,
       IF(
         OR(AND(check=TRUE, REGEXMATCH(assign, ""SELF""), job=""戦士""), AND(check=Option!$F$13, REGEXMATCH(assign, ""SINGLE_PARTY""))),
       "&amp;"  IF(
           OR(ARRAYFORMULA((IF(precondition="""", FALSE, REGEXMATCH($K$4:$ED$4, precondition))) * (K59:ED59=TRUE))),
           enhance,
           mitigation
         ),
         1
       )
     )
   )
 ) * EE59"),1.0)</f>
        <v>1</v>
      </c>
      <c r="FA59" s="206">
        <f t="shared" si="8"/>
        <v>0</v>
      </c>
      <c r="FB59" s="205">
        <f>IFERROR(__xludf.DUMMYFUNCTION("PRODUCT(
   MAP(
     K$3:ED$3,
     K$14:ED$14,
     K$13:ED$13,
     K59:ED59,
     LAMBDA(
       job,
       buff,
       target,
       check,
       IF(
         OR(AND(check=TRUE, REGEXMATCH(target, ""SELF_AFFECTED_ALL""), job=""戦士""), AND(check=Op"&amp;"tion!$F$13, REGEXMATCH(target, ""SINGLE_AFFECTED_ALL""))),
         buff,
         1
       )
     )
   )
 )"),1.0)</f>
        <v>1</v>
      </c>
      <c r="FC59" s="206">
        <f>IFERROR(__xludf.DUMMYFUNCTION("SUM(
   MAP(
     K$3:ED$3,
     K$7:ED$7,
     K$15:ED$15,
     K$16:ED$16,
     K$21:ED$21,
     K$5:ED$5,
     K$17:ED$17,
     K59:ED59,
     LAMBDA(
       job,
       abillity,
       buff,
       barrier,
       enhance,
       assign,
       preco"&amp;"ndition,
       check,
       IF(
         OR(AND(check=TRUE, REGEXMATCH(assign, ""SELF""), job=""戦士""), AND(check=Option!$F$13, REGEXMATCH(assign, ""SINGLE_PARTY""))),
         IF(
           OR(ARRAYFORMULA((IF(precondition="""", FALSE, REGEXMATCH($K$4:"&amp;"$ED$4, precondition))) * (K59:ED59=TRUE))),
           enhance,
           IF(barrier="""", buff, barrier)
         ),
         0
       ) *
       SWITCH(
         job,
         ""暗黒騎士"", FD$24,
         ""白魔道士"", EF59 * EH59 * FB59 * IF(abillity, 1, EG5"&amp;"9 * EI59) * (Option!$D$22 * 0.81 / 100),
         ""占星術師"", EF59 * EJ59 * FFB59 * IF(abillity, 1, EG59 * EK59) * (Option!$D$23 * 0.81 / 100),
         ""学者"", EF59 * EL59 * FB59 * IF(abillity, 1, EG59 * EM59) * (Option!$D$24 * 0.81 / 100),
         ""賢者"""&amp;", EF59 * EN59 * FB59 * IF(abillity, 1, EG59 * EO59) * (Option!$D$25 * 0.81 / 100),
         1
       )
     )
   )
 ) + EQ59"),0.0)</f>
        <v>0</v>
      </c>
      <c r="FD59" s="206">
        <f t="shared" si="9"/>
        <v>0</v>
      </c>
      <c r="FE59" s="205">
        <f>IFERROR(__xludf.DUMMYFUNCTION("PRODUCT(
   MAP(
     IF($F59=""Physical"", K$10:ED$10, IF($F59=""Magic"", K$11:ED$11, K$12:ED$12)),
     IF($F59=""Physical"", K$18:ED$18, IF($F59=""Magic"", K$19:ED$19, K$20:ED$20)),
     K$3:ED$3,
     K$5:ED$5,
     K$17:ED$17,
     K59:ED59,
     LAM"&amp;"BDA(
       mitigation,
       enhance,
       job,
       assign,
       precondition,
       check,
       IF(
         OR(AND(check=TRUE, REGEXMATCH(assign, ""SELF""), job=""暗黒騎士""), AND(check=Option!$G$13, REGEXMATCH(assign, ""SINGLE_PARTY""))),
     "&amp;"    IF(
           OR(ARRAYFORMULA((IF(precondition="""", FALSE, REGEXMATCH($K$4:$ED$4, precondition))) * (K59:ED59=TRUE))),
           enhance,
           mitigation
         ),
         1
       )
     )
   )
 ) * EE59"),1.0)</f>
        <v>1</v>
      </c>
      <c r="FF59" s="206">
        <f t="shared" si="10"/>
        <v>0</v>
      </c>
      <c r="FG59" s="205">
        <f>IFERROR(__xludf.DUMMYFUNCTION("PRODUCT(
   MAP(
     K$3:ED$3,
     K$14:ED$14,
     K$13:ED$13,
     K59:ED59,
     LAMBDA(
       job,
       buff,
       target,
       check,
       IF(
         OR(AND(check=TRUE, REGEXMATCH(target, ""SELF_AFFECTED_ALL""), job=""暗黒騎士""), AND(check="&amp;"Option!$G$13, REGEXMATCH(target, ""SINGLE_AFFECTED_ALL""))),
         buff,
         1
       )
     )
   )
 )"),1.0)</f>
        <v>1</v>
      </c>
      <c r="FH59" s="206">
        <f>IFERROR(__xludf.DUMMYFUNCTION("SUM(
   MAP(
     K$3:ED$3,
     K$7:ED$7,
     K$15:ED$15,
     K$16:ED$16,
     K$21:ED$21,
     K$5:ED$5,
     K$17:ED$17,
     K59:ED59,
     LAMBDA(
       job,
       abillity,
       buff,
       barrier,
       enhance,
       assign,
       preco"&amp;"ndition,
       check,
       IF(
         OR(AND(check=TRUE, REGEXMATCH(assign, ""SELF""), job=""暗黒騎士""), AND(check=Option!$G$13, REGEXMATCH(assign, ""SINGLE_PARTY""))),
         IF(
           OR(ARRAYFORMULA((IF(precondition="""", FALSE, REGEXMATCH($K$"&amp;"4:$ED$4, precondition))) * (K59:ED59=TRUE))),
           enhance,
           IF(barrier="""", buff, barrier)
         ),
         0
       ) *
       SWITCH(
         job,
         ""暗黒騎士"", FI$24,
         ""白魔道士"", EF59 * EH59 * FG59 * IF(abillity, 1, E"&amp;"G59 * EI59) * (Option!$D$22 * 0.81 / 100),
         ""占星術師"", EF59 * EJ59 * FG59 * IF(abillity, 1, EG59 * EK59) * (Option!$D$23 * 0.81 / 100),
         ""学者"", EF59 * EL59 * FG59 * IF(abillity, 1, EG59 * EM59) * (Option!$D$24 * 0.81 / 100),
         ""賢者"&amp;""", EF59 * EN59 * FG59 * IF(abillity, 1, EG59 * EO59) * (Option!$D$25 * 0.81 / 100),
         1
       )
     )
   )
 ) + EQ59"),0.0)</f>
        <v>0</v>
      </c>
      <c r="FI59" s="206">
        <f t="shared" si="11"/>
        <v>0</v>
      </c>
      <c r="FJ59" s="205">
        <f>IFERROR(__xludf.DUMMYFUNCTION("PRODUCT(
   MAP(
     IF($F59=""Physical"", K$10:ED$10, IF($F59=""Magic"", K$11:ED$11, K$12:ED$12)),
     IF($F59=""Physical"", K$18:ED$18, IF($F59=""Magic"", K$19:ED$19, K$20:ED$20)),
     K$3:ED$3,
     K$5:ED$5,
     K$17:ED$17,
     K59:ED59,
     LAM"&amp;"BDA(
       mitigation,
       enhance,
       job,
       assign,
       precondition,
       check,
       IF(
         OR(AND(check=TRUE, REGEXMATCH(assign, ""SELF""), job=""ガンブレイカー""), AND(check=Option!$H$13, REGEXMATCH(assign, ""SINGLE_PARTY""))),
  "&amp;"       IF(
           OR(ARRAYFORMULA((IF(precondition="""", FALSE, REGEXMATCH($K$4:$ED$4, precondition))) * (K59:ED59=TRUE))),
           enhance,
           mitigation
         ),
         1
       )
     )
   )
 ) * EE59"),1.0)</f>
        <v>1</v>
      </c>
      <c r="FK59" s="206">
        <f t="shared" si="12"/>
        <v>0</v>
      </c>
      <c r="FL59" s="205">
        <f>IFERROR(__xludf.DUMMYFUNCTION("PRODUCT(
   MAP(
     K$3:ED$3,
     K$14:ED$14,
     K$13:ED$13,
     K59:ED59,
     LAMBDA(
       job,
       buff,
       target,
       check,
       IF(
         OR(AND(check=TRUE, REGEXMATCH(target, ""SELF_AFFECTED_ALL""), job=""ガンブレイカー""), AND(che"&amp;"ck=Option!$H$13, REGEXMATCH(target, ""SINGLE_AFFECTED_ALL""))),
         buff,
         1
       )
     )
   )
 )"),1.0)</f>
        <v>1</v>
      </c>
      <c r="FM59" s="206">
        <f>IFERROR(__xludf.DUMMYFUNCTION("SUM(
   MAP(
     K$3:ED$3,
     K$7:ED$7,
     K$15:ED$15,
     K$16:ED$16,
     K$21:ED$21,
     K$5:ED$5,
     K$17:ED$17,
     K59:ED59,
     LAMBDA(
       job,
       abillity,
       buff,
       barrier,
       enhance,
       assign,
       preco"&amp;"ndition,
       check,
       IF(
         OR(AND(check=TRUE, REGEXMATCH(assign, ""SELF""), job=""ガンブレイカー""), AND(check=Option!$H$13, REGEXMATCH(assign, ""SINGLE_PARTY""))),
         IF(
           OR(ARRAYFORMULA((IF(precondition="""", FALSE, REGEXMATCH("&amp;"$K$4:$ED$4, precondition))) * (K59:ED59=TRUE))),
           enhance,
           IF(barrier="""", buff, barrier)
         ),
         0
       ) *
       SWITCH(
         job,
         ""暗黒騎士"", FN$24,
         ""白魔道士"", EF59 * EH59 * FL59 * IF(abillity, 1"&amp;", EG59 * EI59) * (Option!$D$22 * 0.81 / 100),
         ""占星術師"", EF59 * EJ59 * FL59 * IF(abillity, 1, EG59 * EK59) * (Option!$D$23 * 0.81 / 100),
         ""学者"", EF59 * EL59 * FL59 * IF(abillity, 1, EG59 * EM59) * (Option!$D$24 * 0.81 / 100),
         """&amp;"賢者"", EF59 * EN59 * FL59 * IF(abillity, 1, EG59 * EO59) * (Option!$D$25 * 0.81 / 100),
         1
       )
     )
   )
 ) + EQ59"),0.0)</f>
        <v>0</v>
      </c>
      <c r="FN59" s="206">
        <f t="shared" si="13"/>
        <v>0</v>
      </c>
      <c r="FO59" s="213"/>
    </row>
    <row r="60">
      <c r="B60" s="229"/>
      <c r="C60" s="217">
        <f t="shared" si="1"/>
        <v>0</v>
      </c>
      <c r="D60" s="236"/>
      <c r="E60" s="226"/>
      <c r="F60" s="167"/>
      <c r="G60" s="168" t="str">
        <f t="shared" si="2"/>
        <v/>
      </c>
      <c r="H60" s="169"/>
      <c r="I60" s="169"/>
      <c r="J60" s="169"/>
      <c r="K60" s="170" t="b">
        <v>0</v>
      </c>
      <c r="L60" s="170" t="b">
        <v>0</v>
      </c>
      <c r="M60" s="170" t="b">
        <v>0</v>
      </c>
      <c r="N60" s="171" t="s">
        <v>1070</v>
      </c>
      <c r="O60" s="172" t="b">
        <v>0</v>
      </c>
      <c r="P60" s="173" t="b">
        <v>0</v>
      </c>
      <c r="Q60" s="173" t="b">
        <v>0</v>
      </c>
      <c r="R60" s="173" t="b">
        <v>0</v>
      </c>
      <c r="S60" s="174" t="b">
        <v>0</v>
      </c>
      <c r="T60" s="175" t="b">
        <v>0</v>
      </c>
      <c r="U60" s="173" t="b">
        <v>0</v>
      </c>
      <c r="V60" s="171" t="s">
        <v>1070</v>
      </c>
      <c r="W60" s="172" t="b">
        <v>0</v>
      </c>
      <c r="X60" s="173" t="b">
        <v>0</v>
      </c>
      <c r="Y60" s="173" t="b">
        <v>0</v>
      </c>
      <c r="Z60" s="173" t="b">
        <v>0</v>
      </c>
      <c r="AA60" s="174" t="b">
        <v>0</v>
      </c>
      <c r="AB60" s="174" t="b">
        <v>0</v>
      </c>
      <c r="AC60" s="175" t="b">
        <v>0</v>
      </c>
      <c r="AD60" s="173" t="b">
        <v>0</v>
      </c>
      <c r="AE60" s="176" t="s">
        <v>1070</v>
      </c>
      <c r="AF60" s="171" t="s">
        <v>1070</v>
      </c>
      <c r="AG60" s="177">
        <f>IFERROR(__xludf.DUMMYFUNCTION("IF(
  ISNUMBER(AG59),
  MIN(MAX(
    AG59
    + MAX(
      ROUNDDOWN(($D60 - MAX(IFERROR(FILTER($D$24:$D59, AG$24:AG59 &lt;&gt; AF$6, AG$23:AG58 = AF$6), 0))) * (60 * 60 * 24) / AF$9) - ROUNDDOWN(($D59 - MAX(IFERROR(FILTER($D$23:$D58, AG$23:AG58 &lt;&gt; AF$6, AG$22:"&amp;"AG57 = AF$6), 0))) * (60 * 60 * 24) / 60),
      0
    )
    - COUNTIF(AF60, ""&lt;&gt;-""),
  0), AF$6),
  AF$6 - COUNTIF(AF60, ""&lt;&gt;-"")
)"),2.0)</f>
        <v>2</v>
      </c>
      <c r="AH60" s="173" t="b">
        <v>0</v>
      </c>
      <c r="AI60" s="173" t="b">
        <v>0</v>
      </c>
      <c r="AJ60" s="173" t="b">
        <v>0</v>
      </c>
      <c r="AK60" s="174" t="b">
        <v>0</v>
      </c>
      <c r="AL60" s="175" t="b">
        <v>0</v>
      </c>
      <c r="AM60" s="173" t="b">
        <v>0</v>
      </c>
      <c r="AN60" s="171" t="s">
        <v>1070</v>
      </c>
      <c r="AO60" s="173" t="b">
        <v>0</v>
      </c>
      <c r="AP60" s="173" t="b">
        <v>0</v>
      </c>
      <c r="AQ60" s="173" t="b">
        <v>0</v>
      </c>
      <c r="AR60" s="174" t="b">
        <v>0</v>
      </c>
      <c r="AS60" s="178" t="b">
        <v>0</v>
      </c>
      <c r="AT60" s="179" t="b">
        <v>0</v>
      </c>
      <c r="AU60" s="180" t="b">
        <v>0</v>
      </c>
      <c r="AV60" s="180" t="b">
        <v>0</v>
      </c>
      <c r="AW60" s="180" t="b">
        <v>0</v>
      </c>
      <c r="AX60" s="180" t="b">
        <v>0</v>
      </c>
      <c r="AY60" s="181" t="s">
        <v>1070</v>
      </c>
      <c r="AZ60" s="181" t="s">
        <v>1070</v>
      </c>
      <c r="BA60" s="184">
        <f>IFERROR(__xludf.DUMMYFUNCTION("IF(
  ISNUMBER(BA59),
  MIN(MAX(
    BA59
    + MAX(
      ROUNDDOWN((D60 - MAX(IFERROR(FILTER(D$24:D59, BA$24:BA59 &lt;&gt; AZ$6, BA$23:BA58 = AZ$6), 0))) * (60 * 60 * 24) / AZ$9) - ROUNDDOWN((D59 - MAX(IFERROR(FILTER(D$23:D58, BA$23:BA58 &lt;&gt; AZ$6, BA$22:BA57 ="&amp;" AZ$6), 0))) * (60 * 60 * 24) / AZ$9),
      0
    )
    - COUNTIF(AZ60, ""&lt;&gt;-""),
  0), AZ$6),
  AZ$6 - COUNTIF(AZ60, ""&lt;&gt;-"")
)"),2.0)</f>
        <v>2</v>
      </c>
      <c r="BB60" s="181" t="s">
        <v>1070</v>
      </c>
      <c r="BC60" s="183">
        <f>IFERROR(__xludf.DUMMYFUNCTION("IF(
  ISNUMBER(BC59),
  MIN(MAX(
    BC59
    + MAX(
      ROUNDDOWN(($D60 - MAX(IFERROR(FILTER($D$24:$D59, BC$24:BC59 &lt;&gt; BB$6, BC$23:BC58 = BB$6), 0))) * (60 * 60 * 24) / BB$9) - ROUNDDOWN(($D59 - MAX(IFERROR(FILTER($D$23:$D58, BC$23:BC58 &lt;&gt; BB$6, BC$22:"&amp;"BC57 = BB$6), 0))) * (60 * 60 * 24) / 60),
      0
    )
    - COUNTIF(BB60, ""&lt;&gt;-""),
  0), BB$6),
  BB$6 - COUNTIF(BB60, ""&lt;&gt;-"")
)"),2.0)</f>
        <v>2</v>
      </c>
      <c r="BD60" s="181" t="s">
        <v>1070</v>
      </c>
      <c r="BE60" s="178" t="b">
        <v>0</v>
      </c>
      <c r="BF60" s="180" t="b">
        <v>0</v>
      </c>
      <c r="BG60" s="180" t="b">
        <v>0</v>
      </c>
      <c r="BH60" s="180" t="b">
        <v>0</v>
      </c>
      <c r="BI60" s="180" t="b">
        <v>0</v>
      </c>
      <c r="BJ60" s="180" t="b">
        <v>0</v>
      </c>
      <c r="BK60" s="180" t="b">
        <v>0</v>
      </c>
      <c r="BL60" s="180" t="b">
        <v>0</v>
      </c>
      <c r="BM60" s="180" t="b">
        <v>0</v>
      </c>
      <c r="BN60" s="180" t="b">
        <v>0</v>
      </c>
      <c r="BO60" s="181" t="s">
        <v>1070</v>
      </c>
      <c r="BP60" s="181" t="s">
        <v>1070</v>
      </c>
      <c r="BQ60" s="181" t="s">
        <v>1070</v>
      </c>
      <c r="BR60" s="181" t="s">
        <v>1070</v>
      </c>
      <c r="BS60" s="181" t="s">
        <v>1070</v>
      </c>
      <c r="BT60" s="184">
        <f>IFERROR(__xludf.DUMMYFUNCTION("IF(
  ISNUMBER(BT59),
  MIN(MAX(
    BT59
    + MAX(
      ROUNDDOWN((D60 - MAX(IFERROR(FILTER(D$24:D59, BT$24:BT59 &lt;&gt; BS$6, BT$23:BT58 = BS$6), 0))) * (60 * 60 * 24) / BS$9) - ROUNDDOWN((D59 - MAX(IFERROR(FILTER(D$23:D58, BT$23:BT58 &lt;&gt; BS$6, BT$22:BT57 ="&amp;" BS$6), 0))) * (60 * 60 * 24) / BS$9),
      0
    )
    - COUNTIF(BS60, ""&lt;&gt;-""),
  0), BS$6),
  BS$6 - COUNTIF(BS60, ""&lt;&gt;-"")
)"),3.0)</f>
        <v>3</v>
      </c>
      <c r="BU60" s="181" t="s">
        <v>1070</v>
      </c>
      <c r="BV60" s="181" t="s">
        <v>1070</v>
      </c>
      <c r="BW60" s="184">
        <f>IFERROR(__xludf.DUMMYFUNCTION("IF(
  ISNUMBER(BW59),
  MIN(MAX(
    BW59
    + MAX(
      ROUNDDOWN((D60 - MAX(IFERROR(FILTER(D$24:D59, BW$24:BW59 &lt;&gt; BV$6, BW$23:BW58 = BV$6), 0))) * (60 * 60 * 24) / BV$9) - ROUNDDOWN((D59 - MAX(IFERROR(FILTER(D$23:D58, BW$23:BW58 &lt;&gt; BV$6, BW$22:BW57 ="&amp;" BV$6), 0))) * (60 * 60 * 24) / BV$9),
      0
    )
    - COUNTIF(BV60, ""&lt;&gt;-""),
  0), BV$6),
  BV$6 - COUNTIF(BV60, ""&lt;&gt;-"")
)"),2.0)</f>
        <v>2</v>
      </c>
      <c r="BX60" s="185" t="s">
        <v>1070</v>
      </c>
      <c r="BY60" s="178" t="b">
        <v>0</v>
      </c>
      <c r="BZ60" s="180" t="b">
        <v>0</v>
      </c>
      <c r="CA60" s="180" t="b">
        <v>0</v>
      </c>
      <c r="CB60" s="180" t="b">
        <v>0</v>
      </c>
      <c r="CC60" s="180" t="b">
        <v>0</v>
      </c>
      <c r="CD60" s="180" t="b">
        <v>0</v>
      </c>
      <c r="CE60" s="180" t="b">
        <v>0</v>
      </c>
      <c r="CF60" s="180" t="b">
        <v>0</v>
      </c>
      <c r="CG60" s="180" t="b">
        <v>0</v>
      </c>
      <c r="CH60" s="180" t="b">
        <v>0</v>
      </c>
      <c r="CI60" s="180" t="b">
        <v>0</v>
      </c>
      <c r="CJ60" s="180" t="b">
        <v>0</v>
      </c>
      <c r="CK60" s="180" t="b">
        <v>0</v>
      </c>
      <c r="CL60" s="180" t="b">
        <v>0</v>
      </c>
      <c r="CM60" s="181" t="s">
        <v>1070</v>
      </c>
      <c r="CN60" s="181" t="s">
        <v>1070</v>
      </c>
      <c r="CO60" s="181" t="s">
        <v>1070</v>
      </c>
      <c r="CP60" s="181" t="s">
        <v>1070</v>
      </c>
      <c r="CQ60" s="185" t="s">
        <v>1070</v>
      </c>
      <c r="CR60" s="180" t="b">
        <v>0</v>
      </c>
      <c r="CS60" s="186" t="str">
        <f t="shared" si="14"/>
        <v>◇◇◇</v>
      </c>
      <c r="CT60" s="178" t="b">
        <v>0</v>
      </c>
      <c r="CU60" s="180" t="b">
        <v>0</v>
      </c>
      <c r="CV60" s="180" t="b">
        <v>0</v>
      </c>
      <c r="CW60" s="180" t="b">
        <v>0</v>
      </c>
      <c r="CX60" s="180" t="b">
        <v>0</v>
      </c>
      <c r="CY60" s="180" t="b">
        <v>0</v>
      </c>
      <c r="CZ60" s="180" t="b">
        <v>0</v>
      </c>
      <c r="DA60" s="180" t="b">
        <v>0</v>
      </c>
      <c r="DB60" s="180" t="b">
        <v>0</v>
      </c>
      <c r="DC60" s="180" t="b">
        <v>0</v>
      </c>
      <c r="DD60" s="181" t="s">
        <v>1070</v>
      </c>
      <c r="DE60" s="181" t="s">
        <v>1070</v>
      </c>
      <c r="DF60" s="181" t="s">
        <v>1070</v>
      </c>
      <c r="DG60" s="185" t="s">
        <v>1070</v>
      </c>
      <c r="DH60" s="180" t="b">
        <v>0</v>
      </c>
      <c r="DI60" s="187" t="str">
        <f>IFERROR(__xludf.DUMMYFUNCTION("SWITCH(
  IF(
    ISTEXT(DI59),
    IF (
      FIND(""○"", DI59&amp;""○"") &gt; 3,
      3,
      FIND(""○"", DI59&amp;""○"")
      + MAX(
        ROUNDDOWN(($D60 - MAX(IFERROR(FILTER(D$24:D59, DI$24:DI59 &lt;&gt; ""●●●"", DI$23:DI58 = ""●●●""), 0))) * (60 * 60 * 24) / 20"&amp;") - ROUNDDOWN(($D59 - MAX(IFERROR(FILTER(D$23:D58, DI$23:DI58 &lt;&gt; ""●●●"", DI$22:DI57 = ""●●●""), 0))) * (60 * 60 * 24) / 20),
        0
      ) - 1
    ) - COUNTIFS(CU60, ""=TRUE"", CU59, ""&lt;&gt;TRUE"") - COUNTIF(CZ60, ""=TRUE"") - COUNTIF({DD60,DE60}, ""&lt;&gt;-"&amp;""") + COUNTIF(DH60, ""=TRUE""),
    3
  ),
  0, ""○○○"", 1, ""●○○"", 2, ""●●○"", 3, ""●●●"", 4, ""●●●"", ""○○○""
)"),"●●●")</f>
        <v>●●●</v>
      </c>
      <c r="DJ60" s="188" t="b">
        <v>0</v>
      </c>
      <c r="DK60" s="189" t="b">
        <v>0</v>
      </c>
      <c r="DL60" s="190" t="b">
        <v>0</v>
      </c>
      <c r="DM60" s="190" t="b">
        <v>0</v>
      </c>
      <c r="DN60" s="190" t="b">
        <v>0</v>
      </c>
      <c r="DO60" s="190" t="b">
        <v>0</v>
      </c>
      <c r="DP60" s="190" t="b">
        <v>0</v>
      </c>
      <c r="DQ60" s="191" t="b">
        <v>0</v>
      </c>
      <c r="DR60" s="192" t="b">
        <v>0</v>
      </c>
      <c r="DS60" s="191" t="b">
        <v>0</v>
      </c>
      <c r="DT60" s="192" t="b">
        <v>0</v>
      </c>
      <c r="DU60" s="191" t="b">
        <v>0</v>
      </c>
      <c r="DV60" s="193" t="s">
        <v>1070</v>
      </c>
      <c r="DW60" s="194" t="b">
        <v>0</v>
      </c>
      <c r="DX60" s="194" t="b">
        <v>0</v>
      </c>
      <c r="DY60" s="195" t="b">
        <v>0</v>
      </c>
      <c r="DZ60" s="196" t="b">
        <v>0</v>
      </c>
      <c r="EA60" s="195" t="b">
        <v>0</v>
      </c>
      <c r="EB60" s="197" t="b">
        <v>0</v>
      </c>
      <c r="EC60" s="197" t="b">
        <v>0</v>
      </c>
      <c r="ED60" s="212" t="b">
        <v>0</v>
      </c>
      <c r="EE60" s="199">
        <f>IFERROR(__xludf.DUMMYFUNCTION("IFERROR(
   PRODUCT(
     MAP(
       INDEX(TRANSPOSE(UNIQUE(TRANSPOSE(FILTER({IF($F60=""Physical"", K$10:ED$10, IF($F60=""Magic"", K$11:ED$11, K$12:ED$12));K$4:ED$4;K60:ED60}, K60:ED60=TRUE)))), 1, 0),
       INDEX(TRANSPOSE(UNIQUE(TRANSPOSE(FILTER({IF($"&amp;"F60=""Physical"", K$18:ED$18, IF($F60=""Magic"", K$19:ED$19, K$20:ED$20));K$4:ED$4;K60:ED60}, K60:ED60=TRUE)))), 1, 0),
       INDEX(TRANSPOSE(UNIQUE(TRANSPOSE(FILTER({K$5:ED$5;K$4:ED$4;K60:ED60}, K60:ED60=TRUE)))), 1, 0),
       INDEX(TRANSPOSE(UNIQUE(TR"&amp;"ANSPOSE(FILTER({K$17:ED$17;K$4:ED$4;K60:ED60}, K60:ED60=TRUE)))), 1, 0),
       LAMBDA(
         mitigation,
         enhance,
         assign,
         precondition,
         IF(
           REGEXMATCH(assign, ""RANGE_PARTY|SINGLE_ENEMY|RANGE_ENEMY""),
  "&amp;"         IF(
             OR(ARRAYFORMULA((IF(precondition="""", FALSE, REGEXMATCH(K$4:ED$4, precondition))) * (K60:ED60=TRUE))),
             IF(ISNUMBER(enhance), enhance, 1),
             IF(ISNUMBER(mitigation), mitigation, 1)
           ),
          "&amp;" 1
         )
       )
     )
   ),
   1
 )"),1.0)</f>
        <v>1</v>
      </c>
      <c r="EF60" s="200">
        <f>IFERROR(__xludf.DUMMYFUNCTION("PRODUCT(
   MAP(
     K$14:ED$14,
     K$13:ED$13,
     K60:ED60,
     LAMBDA(
       buff,
       target,
       check,
       IF(
         AND(check=TRUE, REGEXMATCH(target, ""RANGE_AFFECTED_ALL|RANGE_EFFECTED_ALL""), ISNUMBER(buff)),
         buff,
   "&amp;"      1
       )
     )
   )
 )"),1.0)</f>
        <v>1</v>
      </c>
      <c r="EG60" s="200">
        <f>IFERROR(__xludf.DUMMYFUNCTION("PRODUCT(
   MAP(
     K$14:ED$14,
     K$13:ED$13,
     K60:ED60,
     LAMBDA(
       buff,
       target,
       check,
       IF(
         AND(check=TRUE, REGEXMATCH(target, ""RANGE_AFFECTED_GCD|RANGE_EFFECTED_GCD""), ISNUMBER(buff)),
         buff,
   "&amp;"      1
       )
     )
   )
 )"),1.0)</f>
        <v>1</v>
      </c>
      <c r="EH60" s="200">
        <f>IFERROR(__xludf.DUMMYFUNCTION("PRODUCT(
   MAP(
     K$3:ED$3,
     K$14:ED$14,
     K$13:ED$13,
     K60:ED60,
     LAMBDA(
       job,
       buff,
       target,
       check,
       IF(
         AND(check=TRUE, REGEXMATCH(target, ""SELF_EFFECTED_ALL""), ISNUMBER(buff), job=""白魔道士"""&amp;"),
         buff,
         1
       )
     )
   )
 )"),1.0)</f>
        <v>1</v>
      </c>
      <c r="EI60" s="200">
        <f>IFERROR(__xludf.DUMMYFUNCTION("PRODUCT(
   MAP(
     K$3:ED$3,
     K$14:ED$14,
     K$13:ED$13,
     K60:ED60,
     LAMBDA(
       job,
       buff,
       target,
       check,
       IF(
         AND(check=TRUE, REGEXMATCH(target, ""SELF_EFFECTED_GCD""), ISNUMBER(buff), job=""白魔道士"""&amp;"),
         buff,
         1
       )
     )
   )
 )"),1.0)</f>
        <v>1</v>
      </c>
      <c r="EJ60" s="200">
        <f>IFERROR(__xludf.DUMMYFUNCTION("PRODUCT(
   MAP(
     K$3:ED$3,
     K$14:ED$14,
     K$13:ED$13,
     K60:ED60,
     LAMBDA(
       job,
       buff,
       target,
       check,
       IF(
         AND(check=TRUE, REGEXMATCH(target, ""SELF_EFFECTED_ALL""), ISNUMBER(buff), job=""占星術師"""&amp;"),
         buff,
         1
       )
     )
   )
 )"),1.0)</f>
        <v>1</v>
      </c>
      <c r="EK60" s="200">
        <f>IFERROR(__xludf.DUMMYFUNCTION("PRODUCT(
   MAP(
     K$3:ED$3,
     K$14:ED$14,
     K$13:ED$13,
     K60:ED60,
     LAMBDA(
       job,
       buff,
       target,
       check,
       IF(
         AND(check=TRUE, REGEXMATCH(target, ""SELF_EFFECTED_GCD""), ISNUMBER(buff), job=""占星術師"""&amp;"),
         buff,
         1
       )
     )
   )
 )"),1.0)</f>
        <v>1</v>
      </c>
      <c r="EL60" s="200">
        <f>IFERROR(__xludf.DUMMYFUNCTION("PRODUCT(
   MAP(
     K$3:ED$3,
     K$14:ED$14,
     K$13:ED$13,
     K60:ED60,
     LAMBDA(
       job,
       buff,
       target,
       check,
       IF(
         AND(check=TRUE, REGEXMATCH(target, ""SELF_EFFECTED_ALL""), ISNUMBER(buff), job=""学者""),"&amp;"
         buff,
         1
       )
     )
   )
 )"),1.0)</f>
        <v>1</v>
      </c>
      <c r="EM60" s="200">
        <f>IFERROR(__xludf.DUMMYFUNCTION("PRODUCT(
   MAP(
     K$3:ED$3,
     K$14:ED$14,
     K$13:ED$13,
     K60:ED60,
     LAMBDA(
       job,
       buff,
       target,
       check,
       IF(
         AND(check=TRUE, REGEXMATCH(target, ""SELF_EFFECTED_GCD""), ISNUMBER(buff), job=""学者""),"&amp;"
         buff,
         1
       )
     )
   )
 )"),1.0)</f>
        <v>1</v>
      </c>
      <c r="EN60" s="200">
        <f>IFERROR(__xludf.DUMMYFUNCTION("PRODUCT(
   MAP(
     K$3:ED$3,
     K$14:ED$14,
     K$13:ED$13,
     K60:ED60,
     LAMBDA(
       job,
       buff,
       target,
       check,
       IF(
         AND(check=TRUE, REGEXMATCH(target, ""SELF_EFFECTED_ALL""), ISNUMBER(buff), job=""賢者""),"&amp;"
         buff,
         1
       )
     )
   )
 )"),1.0)</f>
        <v>1</v>
      </c>
      <c r="EO60" s="200">
        <f>IFERROR(__xludf.DUMMYFUNCTION("PRODUCT(
   MAP(
     K$3:ED$3,
     K$14:ED$14,
     K$13:ED$13,
     K60:ED60,
     LAMBDA(
       job,
       buff,
       target,
       check,
       IF(
         AND(check=TRUE, REGEXMATCH(target, ""SELF_EFFECTED_GCD""), ISNUMBER(buff), job=""賢者""),"&amp;"
         buff,
         1
       )
     )
   )
 )"),1.0)</f>
        <v>1</v>
      </c>
      <c r="EP60" s="201">
        <f t="shared" si="3"/>
        <v>0</v>
      </c>
      <c r="EQ60" s="201">
        <f>IFERROR(__xludf.DUMMYFUNCTION("SUM(
   MAP(
     K$4:ED$4,
     K$3:ED$3,
     K$7:ED$7,
     K$15:ED$15,
     K$16:ED$16,
     K$21:ED$21,
     K$5:ED$5,
     K$17:ED$17,
     K60:ED60,
     LAMBDA(
       name,
       job,
       abillity,
       buff,
       barrier,
       enhance,"&amp;"
       assign,
       precondition,
       check,
       SWITCH(
         name,
         ""シェイクオフ"", IF(check=TRUE, buff + (0.02 * COUNTIF(ARRAYFORMULA((REGEXMATCH($K$4:$ED$4, ""スリル・オブ・バトル|ヴェンジェンス|原初の血気|ダムネーション"")) * (K60:ED60=TRUE)), 1)), 0),
         "&amp;"""インプロビゼーションフィニッシュ(踊りの激情0)"", IF(ISNUMBER(check), INDEX(Skill!$AJ:$AJ, MATCH(SUBSTITUTE(DV$4, 0, check), Skill!$C:$C, 0)), 0),
         IF(
           AND(check=TRUE, REGEXMATCH(assign, ""RANGE_PARTY"")),
           IF(
             OR(ARRAYFORMULA((IF(pr"&amp;"econdition="""", FALSE, REGEXMATCH($K$4:$ED$4, precondition))) * (K60:ED60=TRUE))),
             enhance,
             IF(barrier="""", buff, barrier)
           ),
           0
         )
       ) *
       SWITCH(
         job,
         ""ナイト"", EY$24,
 "&amp;"        ""戦士"", FD$24,
         ""踊り子"", ET$24,
         ""ピクトマンサー"", ET$24,
         ""白魔道士"", EF60 * EH60 * IF(abillity, 1, EG60 * EI60) * (Option!$D$22 * 0.81 / 100),
         ""占星術師"", EF60 * EJ60 * IF(abillity, 1, EG60 * EK60) * (Option!$D$23 * 0.81 "&amp;"/ 100),
         ""学者"", EF60 * EL60 * IF(abillity, 1, EG60 * EM60) * (Option!$D$24 * 0.81 / 100),
         ""賢者"", EF60 * EN60 * IF(abillity, 1, EG60 * EO60) * (Option!$D$25 * 0.81 / 100),
         1
       )
     )
   )
 )"),0.0)</f>
        <v>0</v>
      </c>
      <c r="ER60" s="202">
        <f t="shared" si="4"/>
        <v>0</v>
      </c>
      <c r="ES60" s="203">
        <f t="shared" si="5"/>
        <v>0</v>
      </c>
      <c r="ET60" s="204" t="str">
        <f>IFERROR(__xludf.DUMMYFUNCTION("IFS(
  EP60 &gt; $ET$24 + EQ60,
  SPARKLINE({ 1, 0 }, {""charttype"",""bar"";""max"", 1;""color1"",Option!$D$30;""color2"",Option!$D$30}),
  EP60 &lt; EQ60,
  SPARKLINE({EQ60 - EP60, $ET$24 - (EQ60 - EP60)}, {""charttype"",""bar"";""max"",$ET$24;""color1"",Opti"&amp;"on!$D$28;""color2"",Option!$D$29}),
  EP60 &gt;= EQ60,
  SPARKLINE({$ET$24 + EQ60 - EP60,EP60 - EQ60}, {""charttype"",""bar"";""max"",$ET$24;""color1"",Option!$D$29;""color2"",Option!$D$30})
)"),"")</f>
        <v/>
      </c>
      <c r="EU60" s="205">
        <f>IFERROR(__xludf.DUMMYFUNCTION("PRODUCT(
   MAP(
     IF($F60=""Physical"", K$10:ED$10, IF($F60=""Magic"", K$11:ED$11, K$12:ED$12)),
     IF($F60=""Physical"", K$18:ED$18, IF($F60=""Magic"", K$19:ED$19, K$20:ED$20)),
     K$3:ED$3,
     K$5:ED$5,
     K$17:ED$17,
     K60:ED60,
     LAM"&amp;"BDA(
       mitigation,
       enhance,
       job,
       assign,
       precondition,
       check,
       IF(
         OR(AND(check=TRUE, REGEXMATCH(assign, ""SELF""), job=""ナイト""), AND(check=Option!$E$13, REGEXMATCH(assign, ""SINGLE_PARTY""))),
      "&amp;"   IF(
           OR(ARRAYFORMULA((IF(precondition="""", FALSE, REGEXMATCH($K$4:$ED$4, precondition))) * (K60:ED60=TRUE))),
           enhance,
           mitigation
         ),
         1
       )
     )
   )
 ) * EE60"),1.0)</f>
        <v>1</v>
      </c>
      <c r="EV60" s="206">
        <f t="shared" si="6"/>
        <v>0</v>
      </c>
      <c r="EW60" s="205">
        <f>IFERROR(__xludf.DUMMYFUNCTION("PRODUCT(
   MAP(
     K$3:ED$3,
     K$14:ED$14,
     K$13:ED$13,
     K60:ED60,
     LAMBDA(
       job,
       buff,
       target,
       check,
       IF(
         OR(AND(check=TRUE, REGEXMATCH(target, ""SELF_AFFECTED_ALL""), job=""ナイト""), AND(check=O"&amp;"ption!$E$13, REGEXMATCH(target, ""SINGLE_AFFECTED_ALL""))),
         buff,
         1
       )
     )
   )
 )"),1.0)</f>
        <v>1</v>
      </c>
      <c r="EX60" s="206">
        <f>IFERROR(__xludf.DUMMYFUNCTION("SUM(
   MAP(
     K$3:ED$3,
     K$7:ED$7,
     K$15:ED$15,
     K$16:ED$16,
     K$21:ED$21,
     K$5:ED$5,
     K$17:ED$17,
     K60:ED60,
     LAMBDA(
       job,
       abillity,
       buff,
       barrier,
       enhance,
       assign,
       preco"&amp;"ndition,
       check,
       IF(
         OR(AND(check=TRUE, REGEXMATCH(assign, ""SELF""), job=""ナイト""), AND(check=Option!$E$13, REGEXMATCH(assign, ""SINGLE_PARTY""))),
         IF(
           OR(ARRAYFORMULA((IF(precondition="""", FALSE, REGEXMATCH($K$4"&amp;":$ED$4, precondition))) * (K60:ED60=TRUE))),
           enhance,
           IF(barrier="""", buff, barrier)
         ),
         0
       ) *
       SWITCH(
         job,
         ""暗黒騎士"", EY$24,
         ""白魔道士"", EF60 * EH60 * EW60 * IF(abillity, 1, EG"&amp;"60 * EI60) * (Option!$D$22 * 0.81 / 100),
         ""占星術師"", EF60 * EJ60 * EW60 * IF(abillity, 1, EG60 * EK60) * (Option!$D$23 * 0.81 / 100),
         ""学者"", EF60 * EL60 * EW60 * IF(abillity, 1, EG60 * EM60) * (Option!$D$24 * 0.81 / 100),
         ""賢者"""&amp;", EF60 * EN60 * EW60 * IF(abillity, 1, EG60 * EO60) * (Option!$D$25 * 0.81 / 100),
         1
       )
     )
   )
 ) + EQ60"),0.0)</f>
        <v>0</v>
      </c>
      <c r="EY60" s="206">
        <f t="shared" si="7"/>
        <v>0</v>
      </c>
      <c r="EZ60" s="205">
        <f>IFERROR(__xludf.DUMMYFUNCTION("PRODUCT(
   MAP(
     IF($F60=""Physical"", K$10:ED$10, IF($F60=""Magic"", K$11:ED$11, K$12:ED$12)),
     IF($F60=""Physical"", K$18:ED$18, IF($F60=""Magic"", K$19:ED$19, K$20:ED$20)),
     K$3:ED$3,
     K$5:ED$5,
     K$17:ED$17,
     K60:ED60,
     LAM"&amp;"BDA(
       mitigation,
       enhance,
       job,
       assign,
       precondition,
       check,
       IF(
         OR(AND(check=TRUE, REGEXMATCH(assign, ""SELF""), job=""戦士""), AND(check=Option!$F$13, REGEXMATCH(assign, ""SINGLE_PARTY""))),
       "&amp;"  IF(
           OR(ARRAYFORMULA((IF(precondition="""", FALSE, REGEXMATCH($K$4:$ED$4, precondition))) * (K60:ED60=TRUE))),
           enhance,
           mitigation
         ),
         1
       )
     )
   )
 ) * EE60"),1.0)</f>
        <v>1</v>
      </c>
      <c r="FA60" s="206">
        <f t="shared" si="8"/>
        <v>0</v>
      </c>
      <c r="FB60" s="205">
        <f>IFERROR(__xludf.DUMMYFUNCTION("PRODUCT(
   MAP(
     K$3:ED$3,
     K$14:ED$14,
     K$13:ED$13,
     K60:ED60,
     LAMBDA(
       job,
       buff,
       target,
       check,
       IF(
         OR(AND(check=TRUE, REGEXMATCH(target, ""SELF_AFFECTED_ALL""), job=""戦士""), AND(check=Op"&amp;"tion!$F$13, REGEXMATCH(target, ""SINGLE_AFFECTED_ALL""))),
         buff,
         1
       )
     )
   )
 )"),1.0)</f>
        <v>1</v>
      </c>
      <c r="FC60" s="206">
        <f>IFERROR(__xludf.DUMMYFUNCTION("SUM(
   MAP(
     K$3:ED$3,
     K$7:ED$7,
     K$15:ED$15,
     K$16:ED$16,
     K$21:ED$21,
     K$5:ED$5,
     K$17:ED$17,
     K60:ED60,
     LAMBDA(
       job,
       abillity,
       buff,
       barrier,
       enhance,
       assign,
       preco"&amp;"ndition,
       check,
       IF(
         OR(AND(check=TRUE, REGEXMATCH(assign, ""SELF""), job=""戦士""), AND(check=Option!$F$13, REGEXMATCH(assign, ""SINGLE_PARTY""))),
         IF(
           OR(ARRAYFORMULA((IF(precondition="""", FALSE, REGEXMATCH($K$4:"&amp;"$ED$4, precondition))) * (K60:ED60=TRUE))),
           enhance,
           IF(barrier="""", buff, barrier)
         ),
         0
       ) *
       SWITCH(
         job,
         ""暗黒騎士"", FD$24,
         ""白魔道士"", EF60 * EH60 * FB60 * IF(abillity, 1, EG6"&amp;"0 * EI60) * (Option!$D$22 * 0.81 / 100),
         ""占星術師"", EF60 * EJ60 * FFB60 * IF(abillity, 1, EG60 * EK60) * (Option!$D$23 * 0.81 / 100),
         ""学者"", EF60 * EL60 * FB60 * IF(abillity, 1, EG60 * EM60) * (Option!$D$24 * 0.81 / 100),
         ""賢者"""&amp;", EF60 * EN60 * FB60 * IF(abillity, 1, EG60 * EO60) * (Option!$D$25 * 0.81 / 100),
         1
       )
     )
   )
 ) + EQ60"),0.0)</f>
        <v>0</v>
      </c>
      <c r="FD60" s="206">
        <f t="shared" si="9"/>
        <v>0</v>
      </c>
      <c r="FE60" s="205">
        <f>IFERROR(__xludf.DUMMYFUNCTION("PRODUCT(
   MAP(
     IF($F60=""Physical"", K$10:ED$10, IF($F60=""Magic"", K$11:ED$11, K$12:ED$12)),
     IF($F60=""Physical"", K$18:ED$18, IF($F60=""Magic"", K$19:ED$19, K$20:ED$20)),
     K$3:ED$3,
     K$5:ED$5,
     K$17:ED$17,
     K60:ED60,
     LAM"&amp;"BDA(
       mitigation,
       enhance,
       job,
       assign,
       precondition,
       check,
       IF(
         OR(AND(check=TRUE, REGEXMATCH(assign, ""SELF""), job=""暗黒騎士""), AND(check=Option!$G$13, REGEXMATCH(assign, ""SINGLE_PARTY""))),
     "&amp;"    IF(
           OR(ARRAYFORMULA((IF(precondition="""", FALSE, REGEXMATCH($K$4:$ED$4, precondition))) * (K60:ED60=TRUE))),
           enhance,
           mitigation
         ),
         1
       )
     )
   )
 ) * EE60"),1.0)</f>
        <v>1</v>
      </c>
      <c r="FF60" s="206">
        <f t="shared" si="10"/>
        <v>0</v>
      </c>
      <c r="FG60" s="205">
        <f>IFERROR(__xludf.DUMMYFUNCTION("PRODUCT(
   MAP(
     K$3:ED$3,
     K$14:ED$14,
     K$13:ED$13,
     K60:ED60,
     LAMBDA(
       job,
       buff,
       target,
       check,
       IF(
         OR(AND(check=TRUE, REGEXMATCH(target, ""SELF_AFFECTED_ALL""), job=""暗黒騎士""), AND(check="&amp;"Option!$G$13, REGEXMATCH(target, ""SINGLE_AFFECTED_ALL""))),
         buff,
         1
       )
     )
   )
 )"),1.0)</f>
        <v>1</v>
      </c>
      <c r="FH60" s="206">
        <f>IFERROR(__xludf.DUMMYFUNCTION("SUM(
   MAP(
     K$3:ED$3,
     K$7:ED$7,
     K$15:ED$15,
     K$16:ED$16,
     K$21:ED$21,
     K$5:ED$5,
     K$17:ED$17,
     K60:ED60,
     LAMBDA(
       job,
       abillity,
       buff,
       barrier,
       enhance,
       assign,
       preco"&amp;"ndition,
       check,
       IF(
         OR(AND(check=TRUE, REGEXMATCH(assign, ""SELF""), job=""暗黒騎士""), AND(check=Option!$G$13, REGEXMATCH(assign, ""SINGLE_PARTY""))),
         IF(
           OR(ARRAYFORMULA((IF(precondition="""", FALSE, REGEXMATCH($K$"&amp;"4:$ED$4, precondition))) * (K60:ED60=TRUE))),
           enhance,
           IF(barrier="""", buff, barrier)
         ),
         0
       ) *
       SWITCH(
         job,
         ""暗黒騎士"", FI$24,
         ""白魔道士"", EF60 * EH60 * FG60 * IF(abillity, 1, E"&amp;"G60 * EI60) * (Option!$D$22 * 0.81 / 100),
         ""占星術師"", EF60 * EJ60 * FG60 * IF(abillity, 1, EG60 * EK60) * (Option!$D$23 * 0.81 / 100),
         ""学者"", EF60 * EL60 * FG60 * IF(abillity, 1, EG60 * EM60) * (Option!$D$24 * 0.81 / 100),
         ""賢者"&amp;""", EF60 * EN60 * FG60 * IF(abillity, 1, EG60 * EO60) * (Option!$D$25 * 0.81 / 100),
         1
       )
     )
   )
 ) + EQ60"),0.0)</f>
        <v>0</v>
      </c>
      <c r="FI60" s="206">
        <f t="shared" si="11"/>
        <v>0</v>
      </c>
      <c r="FJ60" s="205">
        <f>IFERROR(__xludf.DUMMYFUNCTION("PRODUCT(
   MAP(
     IF($F60=""Physical"", K$10:ED$10, IF($F60=""Magic"", K$11:ED$11, K$12:ED$12)),
     IF($F60=""Physical"", K$18:ED$18, IF($F60=""Magic"", K$19:ED$19, K$20:ED$20)),
     K$3:ED$3,
     K$5:ED$5,
     K$17:ED$17,
     K60:ED60,
     LAM"&amp;"BDA(
       mitigation,
       enhance,
       job,
       assign,
       precondition,
       check,
       IF(
         OR(AND(check=TRUE, REGEXMATCH(assign, ""SELF""), job=""ガンブレイカー""), AND(check=Option!$H$13, REGEXMATCH(assign, ""SINGLE_PARTY""))),
  "&amp;"       IF(
           OR(ARRAYFORMULA((IF(precondition="""", FALSE, REGEXMATCH($K$4:$ED$4, precondition))) * (K60:ED60=TRUE))),
           enhance,
           mitigation
         ),
         1
       )
     )
   )
 ) * EE60"),1.0)</f>
        <v>1</v>
      </c>
      <c r="FK60" s="206">
        <f t="shared" si="12"/>
        <v>0</v>
      </c>
      <c r="FL60" s="205">
        <f>IFERROR(__xludf.DUMMYFUNCTION("PRODUCT(
   MAP(
     K$3:ED$3,
     K$14:ED$14,
     K$13:ED$13,
     K60:ED60,
     LAMBDA(
       job,
       buff,
       target,
       check,
       IF(
         OR(AND(check=TRUE, REGEXMATCH(target, ""SELF_AFFECTED_ALL""), job=""ガンブレイカー""), AND(che"&amp;"ck=Option!$H$13, REGEXMATCH(target, ""SINGLE_AFFECTED_ALL""))),
         buff,
         1
       )
     )
   )
 )"),1.0)</f>
        <v>1</v>
      </c>
      <c r="FM60" s="206">
        <f>IFERROR(__xludf.DUMMYFUNCTION("SUM(
   MAP(
     K$3:ED$3,
     K$7:ED$7,
     K$15:ED$15,
     K$16:ED$16,
     K$21:ED$21,
     K$5:ED$5,
     K$17:ED$17,
     K60:ED60,
     LAMBDA(
       job,
       abillity,
       buff,
       barrier,
       enhance,
       assign,
       preco"&amp;"ndition,
       check,
       IF(
         OR(AND(check=TRUE, REGEXMATCH(assign, ""SELF""), job=""ガンブレイカー""), AND(check=Option!$H$13, REGEXMATCH(assign, ""SINGLE_PARTY""))),
         IF(
           OR(ARRAYFORMULA((IF(precondition="""", FALSE, REGEXMATCH("&amp;"$K$4:$ED$4, precondition))) * (K60:ED60=TRUE))),
           enhance,
           IF(barrier="""", buff, barrier)
         ),
         0
       ) *
       SWITCH(
         job,
         ""暗黒騎士"", FN$24,
         ""白魔道士"", EF60 * EH60 * FL60 * IF(abillity, 1"&amp;", EG60 * EI60) * (Option!$D$22 * 0.81 / 100),
         ""占星術師"", EF60 * EJ60 * FL60 * IF(abillity, 1, EG60 * EK60) * (Option!$D$23 * 0.81 / 100),
         ""学者"", EF60 * EL60 * FL60 * IF(abillity, 1, EG60 * EM60) * (Option!$D$24 * 0.81 / 100),
         """&amp;"賢者"", EF60 * EN60 * FL60 * IF(abillity, 1, EG60 * EO60) * (Option!$D$25 * 0.81 / 100),
         1
       )
     )
   )
 ) + EQ60"),0.0)</f>
        <v>0</v>
      </c>
      <c r="FN60" s="206">
        <f t="shared" si="13"/>
        <v>0</v>
      </c>
      <c r="FO60" s="213"/>
    </row>
    <row r="61">
      <c r="B61" s="229"/>
      <c r="C61" s="217">
        <f t="shared" si="1"/>
        <v>0</v>
      </c>
      <c r="D61" s="236"/>
      <c r="E61" s="219"/>
      <c r="F61" s="167"/>
      <c r="G61" s="168" t="str">
        <f t="shared" si="2"/>
        <v/>
      </c>
      <c r="H61" s="169"/>
      <c r="I61" s="169"/>
      <c r="J61" s="169"/>
      <c r="K61" s="170" t="b">
        <v>0</v>
      </c>
      <c r="L61" s="170" t="b">
        <v>0</v>
      </c>
      <c r="M61" s="170" t="b">
        <v>0</v>
      </c>
      <c r="N61" s="171" t="s">
        <v>1070</v>
      </c>
      <c r="O61" s="172" t="b">
        <v>0</v>
      </c>
      <c r="P61" s="173" t="b">
        <v>0</v>
      </c>
      <c r="Q61" s="173" t="b">
        <v>0</v>
      </c>
      <c r="R61" s="173" t="b">
        <v>0</v>
      </c>
      <c r="S61" s="174" t="b">
        <v>0</v>
      </c>
      <c r="T61" s="175" t="b">
        <v>0</v>
      </c>
      <c r="U61" s="173" t="b">
        <v>0</v>
      </c>
      <c r="V61" s="171" t="s">
        <v>1070</v>
      </c>
      <c r="W61" s="172" t="b">
        <v>0</v>
      </c>
      <c r="X61" s="173" t="b">
        <v>0</v>
      </c>
      <c r="Y61" s="173" t="b">
        <v>0</v>
      </c>
      <c r="Z61" s="173" t="b">
        <v>0</v>
      </c>
      <c r="AA61" s="174" t="b">
        <v>0</v>
      </c>
      <c r="AB61" s="174" t="b">
        <v>0</v>
      </c>
      <c r="AC61" s="175" t="b">
        <v>0</v>
      </c>
      <c r="AD61" s="173" t="b">
        <v>0</v>
      </c>
      <c r="AE61" s="176" t="s">
        <v>1070</v>
      </c>
      <c r="AF61" s="171" t="s">
        <v>1070</v>
      </c>
      <c r="AG61" s="177">
        <f>IFERROR(__xludf.DUMMYFUNCTION("IF(
  ISNUMBER(AG60),
  MIN(MAX(
    AG60
    + MAX(
      ROUNDDOWN(($D61 - MAX(IFERROR(FILTER($D$24:$D60, AG$24:AG60 &lt;&gt; AF$6, AG$23:AG59 = AF$6), 0))) * (60 * 60 * 24) / AF$9) - ROUNDDOWN(($D60 - MAX(IFERROR(FILTER($D$23:$D59, AG$23:AG59 &lt;&gt; AF$6, AG$22:"&amp;"AG58 = AF$6), 0))) * (60 * 60 * 24) / 60),
      0
    )
    - COUNTIF(AF61, ""&lt;&gt;-""),
  0), AF$6),
  AF$6 - COUNTIF(AF61, ""&lt;&gt;-"")
)"),2.0)</f>
        <v>2</v>
      </c>
      <c r="AH61" s="173" t="b">
        <v>0</v>
      </c>
      <c r="AI61" s="173" t="b">
        <v>0</v>
      </c>
      <c r="AJ61" s="173" t="b">
        <v>0</v>
      </c>
      <c r="AK61" s="174" t="b">
        <v>0</v>
      </c>
      <c r="AL61" s="175" t="b">
        <v>0</v>
      </c>
      <c r="AM61" s="173" t="b">
        <v>0</v>
      </c>
      <c r="AN61" s="171" t="s">
        <v>1070</v>
      </c>
      <c r="AO61" s="173" t="b">
        <v>0</v>
      </c>
      <c r="AP61" s="173" t="b">
        <v>0</v>
      </c>
      <c r="AQ61" s="173" t="b">
        <v>0</v>
      </c>
      <c r="AR61" s="174" t="b">
        <v>0</v>
      </c>
      <c r="AS61" s="178" t="b">
        <v>0</v>
      </c>
      <c r="AT61" s="179" t="b">
        <v>0</v>
      </c>
      <c r="AU61" s="180" t="b">
        <v>0</v>
      </c>
      <c r="AV61" s="180" t="b">
        <v>0</v>
      </c>
      <c r="AW61" s="180" t="b">
        <v>0</v>
      </c>
      <c r="AX61" s="180" t="b">
        <v>0</v>
      </c>
      <c r="AY61" s="181" t="s">
        <v>1070</v>
      </c>
      <c r="AZ61" s="181" t="s">
        <v>1070</v>
      </c>
      <c r="BA61" s="184">
        <f>IFERROR(__xludf.DUMMYFUNCTION("IF(
  ISNUMBER(BA60),
  MIN(MAX(
    BA60
    + MAX(
      ROUNDDOWN((D61 - MAX(IFERROR(FILTER(D$24:D60, BA$24:BA60 &lt;&gt; AZ$6, BA$23:BA59 = AZ$6), 0))) * (60 * 60 * 24) / AZ$9) - ROUNDDOWN((D60 - MAX(IFERROR(FILTER(D$23:D59, BA$23:BA59 &lt;&gt; AZ$6, BA$22:BA58 ="&amp;" AZ$6), 0))) * (60 * 60 * 24) / AZ$9),
      0
    )
    - COUNTIF(AZ61, ""&lt;&gt;-""),
  0), AZ$6),
  AZ$6 - COUNTIF(AZ61, ""&lt;&gt;-"")
)"),2.0)</f>
        <v>2</v>
      </c>
      <c r="BB61" s="181" t="s">
        <v>1070</v>
      </c>
      <c r="BC61" s="183">
        <f>IFERROR(__xludf.DUMMYFUNCTION("IF(
  ISNUMBER(BC60),
  MIN(MAX(
    BC60
    + MAX(
      ROUNDDOWN(($D61 - MAX(IFERROR(FILTER($D$24:$D60, BC$24:BC60 &lt;&gt; BB$6, BC$23:BC59 = BB$6), 0))) * (60 * 60 * 24) / BB$9) - ROUNDDOWN(($D60 - MAX(IFERROR(FILTER($D$23:$D59, BC$23:BC59 &lt;&gt; BB$6, BC$22:"&amp;"BC58 = BB$6), 0))) * (60 * 60 * 24) / 60),
      0
    )
    - COUNTIF(BB61, ""&lt;&gt;-""),
  0), BB$6),
  BB$6 - COUNTIF(BB61, ""&lt;&gt;-"")
)"),2.0)</f>
        <v>2</v>
      </c>
      <c r="BD61" s="181" t="s">
        <v>1070</v>
      </c>
      <c r="BE61" s="178" t="b">
        <v>0</v>
      </c>
      <c r="BF61" s="180" t="b">
        <v>0</v>
      </c>
      <c r="BG61" s="180" t="b">
        <v>0</v>
      </c>
      <c r="BH61" s="180" t="b">
        <v>0</v>
      </c>
      <c r="BI61" s="180" t="b">
        <v>0</v>
      </c>
      <c r="BJ61" s="180" t="b">
        <v>0</v>
      </c>
      <c r="BK61" s="180" t="b">
        <v>0</v>
      </c>
      <c r="BL61" s="180" t="b">
        <v>0</v>
      </c>
      <c r="BM61" s="180" t="b">
        <v>0</v>
      </c>
      <c r="BN61" s="180" t="b">
        <v>0</v>
      </c>
      <c r="BO61" s="181" t="s">
        <v>1070</v>
      </c>
      <c r="BP61" s="181" t="s">
        <v>1070</v>
      </c>
      <c r="BQ61" s="181" t="s">
        <v>1070</v>
      </c>
      <c r="BR61" s="181" t="s">
        <v>1070</v>
      </c>
      <c r="BS61" s="181" t="s">
        <v>1070</v>
      </c>
      <c r="BT61" s="184">
        <f>IFERROR(__xludf.DUMMYFUNCTION("IF(
  ISNUMBER(BT60),
  MIN(MAX(
    BT60
    + MAX(
      ROUNDDOWN((D61 - MAX(IFERROR(FILTER(D$24:D60, BT$24:BT60 &lt;&gt; BS$6, BT$23:BT59 = BS$6), 0))) * (60 * 60 * 24) / BS$9) - ROUNDDOWN((D60 - MAX(IFERROR(FILTER(D$23:D59, BT$23:BT59 &lt;&gt; BS$6, BT$22:BT58 ="&amp;" BS$6), 0))) * (60 * 60 * 24) / BS$9),
      0
    )
    - COUNTIF(BS61, ""&lt;&gt;-""),
  0), BS$6),
  BS$6 - COUNTIF(BS61, ""&lt;&gt;-"")
)"),3.0)</f>
        <v>3</v>
      </c>
      <c r="BU61" s="181" t="s">
        <v>1070</v>
      </c>
      <c r="BV61" s="181" t="s">
        <v>1070</v>
      </c>
      <c r="BW61" s="184">
        <f>IFERROR(__xludf.DUMMYFUNCTION("IF(
  ISNUMBER(BW60),
  MIN(MAX(
    BW60
    + MAX(
      ROUNDDOWN((D61 - MAX(IFERROR(FILTER(D$24:D60, BW$24:BW60 &lt;&gt; BV$6, BW$23:BW59 = BV$6), 0))) * (60 * 60 * 24) / BV$9) - ROUNDDOWN((D60 - MAX(IFERROR(FILTER(D$23:D59, BW$23:BW59 &lt;&gt; BV$6, BW$22:BW58 ="&amp;" BV$6), 0))) * (60 * 60 * 24) / BV$9),
      0
    )
    - COUNTIF(BV61, ""&lt;&gt;-""),
  0), BV$6),
  BV$6 - COUNTIF(BV61, ""&lt;&gt;-"")
)"),2.0)</f>
        <v>2</v>
      </c>
      <c r="BX61" s="185" t="s">
        <v>1070</v>
      </c>
      <c r="BY61" s="178" t="b">
        <v>0</v>
      </c>
      <c r="BZ61" s="180" t="b">
        <v>0</v>
      </c>
      <c r="CA61" s="180" t="b">
        <v>0</v>
      </c>
      <c r="CB61" s="180" t="b">
        <v>0</v>
      </c>
      <c r="CC61" s="180" t="b">
        <v>0</v>
      </c>
      <c r="CD61" s="180" t="b">
        <v>0</v>
      </c>
      <c r="CE61" s="180" t="b">
        <v>0</v>
      </c>
      <c r="CF61" s="180" t="b">
        <v>0</v>
      </c>
      <c r="CG61" s="180" t="b">
        <v>0</v>
      </c>
      <c r="CH61" s="180" t="b">
        <v>0</v>
      </c>
      <c r="CI61" s="180" t="b">
        <v>0</v>
      </c>
      <c r="CJ61" s="180" t="b">
        <v>0</v>
      </c>
      <c r="CK61" s="180" t="b">
        <v>0</v>
      </c>
      <c r="CL61" s="180" t="b">
        <v>0</v>
      </c>
      <c r="CM61" s="181" t="s">
        <v>1070</v>
      </c>
      <c r="CN61" s="181" t="s">
        <v>1070</v>
      </c>
      <c r="CO61" s="181" t="s">
        <v>1070</v>
      </c>
      <c r="CP61" s="181" t="s">
        <v>1070</v>
      </c>
      <c r="CQ61" s="185" t="s">
        <v>1070</v>
      </c>
      <c r="CR61" s="180" t="b">
        <v>0</v>
      </c>
      <c r="CS61" s="186" t="str">
        <f t="shared" si="14"/>
        <v>◇◇◇</v>
      </c>
      <c r="CT61" s="178" t="b">
        <v>0</v>
      </c>
      <c r="CU61" s="180" t="b">
        <v>0</v>
      </c>
      <c r="CV61" s="180" t="b">
        <v>0</v>
      </c>
      <c r="CW61" s="180" t="b">
        <v>0</v>
      </c>
      <c r="CX61" s="180" t="b">
        <v>0</v>
      </c>
      <c r="CY61" s="180" t="b">
        <v>0</v>
      </c>
      <c r="CZ61" s="180" t="b">
        <v>0</v>
      </c>
      <c r="DA61" s="180" t="b">
        <v>0</v>
      </c>
      <c r="DB61" s="180" t="b">
        <v>0</v>
      </c>
      <c r="DC61" s="180" t="b">
        <v>0</v>
      </c>
      <c r="DD61" s="181" t="s">
        <v>1070</v>
      </c>
      <c r="DE61" s="181" t="s">
        <v>1070</v>
      </c>
      <c r="DF61" s="181" t="s">
        <v>1070</v>
      </c>
      <c r="DG61" s="185" t="s">
        <v>1070</v>
      </c>
      <c r="DH61" s="180" t="b">
        <v>0</v>
      </c>
      <c r="DI61" s="187" t="str">
        <f>IFERROR(__xludf.DUMMYFUNCTION("SWITCH(
  IF(
    ISTEXT(DI60),
    IF (
      FIND(""○"", DI60&amp;""○"") &gt; 3,
      3,
      FIND(""○"", DI60&amp;""○"")
      + MAX(
        ROUNDDOWN(($D61 - MAX(IFERROR(FILTER(D$24:D60, DI$24:DI60 &lt;&gt; ""●●●"", DI$23:DI59 = ""●●●""), 0))) * (60 * 60 * 24) / 20"&amp;") - ROUNDDOWN(($D60 - MAX(IFERROR(FILTER(D$23:D59, DI$23:DI59 &lt;&gt; ""●●●"", DI$22:DI58 = ""●●●""), 0))) * (60 * 60 * 24) / 20),
        0
      ) - 1
    ) - COUNTIFS(CU61, ""=TRUE"", CU60, ""&lt;&gt;TRUE"") - COUNTIF(CZ61, ""=TRUE"") - COUNTIF({DD61,DE61}, ""&lt;&gt;-"&amp;""") + COUNTIF(DH61, ""=TRUE""),
    3
  ),
  0, ""○○○"", 1, ""●○○"", 2, ""●●○"", 3, ""●●●"", 4, ""●●●"", ""○○○""
)"),"●●●")</f>
        <v>●●●</v>
      </c>
      <c r="DJ61" s="188" t="b">
        <v>0</v>
      </c>
      <c r="DK61" s="189" t="b">
        <v>0</v>
      </c>
      <c r="DL61" s="190" t="b">
        <v>0</v>
      </c>
      <c r="DM61" s="190" t="b">
        <v>0</v>
      </c>
      <c r="DN61" s="190" t="b">
        <v>0</v>
      </c>
      <c r="DO61" s="190" t="b">
        <v>0</v>
      </c>
      <c r="DP61" s="190" t="b">
        <v>0</v>
      </c>
      <c r="DQ61" s="191" t="b">
        <v>0</v>
      </c>
      <c r="DR61" s="192" t="b">
        <v>0</v>
      </c>
      <c r="DS61" s="191" t="b">
        <v>0</v>
      </c>
      <c r="DT61" s="192" t="b">
        <v>0</v>
      </c>
      <c r="DU61" s="191" t="b">
        <v>0</v>
      </c>
      <c r="DV61" s="193" t="s">
        <v>1070</v>
      </c>
      <c r="DW61" s="194" t="b">
        <v>0</v>
      </c>
      <c r="DX61" s="194" t="b">
        <v>0</v>
      </c>
      <c r="DY61" s="195" t="b">
        <v>0</v>
      </c>
      <c r="DZ61" s="196" t="b">
        <v>0</v>
      </c>
      <c r="EA61" s="195" t="b">
        <v>0</v>
      </c>
      <c r="EB61" s="197" t="b">
        <v>0</v>
      </c>
      <c r="EC61" s="197" t="b">
        <v>0</v>
      </c>
      <c r="ED61" s="212" t="b">
        <v>0</v>
      </c>
      <c r="EE61" s="199">
        <f>IFERROR(__xludf.DUMMYFUNCTION("IFERROR(
   PRODUCT(
     MAP(
       INDEX(TRANSPOSE(UNIQUE(TRANSPOSE(FILTER({IF($F61=""Physical"", K$10:ED$10, IF($F61=""Magic"", K$11:ED$11, K$12:ED$12));K$4:ED$4;K61:ED61}, K61:ED61=TRUE)))), 1, 0),
       INDEX(TRANSPOSE(UNIQUE(TRANSPOSE(FILTER({IF($"&amp;"F61=""Physical"", K$18:ED$18, IF($F61=""Magic"", K$19:ED$19, K$20:ED$20));K$4:ED$4;K61:ED61}, K61:ED61=TRUE)))), 1, 0),
       INDEX(TRANSPOSE(UNIQUE(TRANSPOSE(FILTER({K$5:ED$5;K$4:ED$4;K61:ED61}, K61:ED61=TRUE)))), 1, 0),
       INDEX(TRANSPOSE(UNIQUE(TR"&amp;"ANSPOSE(FILTER({K$17:ED$17;K$4:ED$4;K61:ED61}, K61:ED61=TRUE)))), 1, 0),
       LAMBDA(
         mitigation,
         enhance,
         assign,
         precondition,
         IF(
           REGEXMATCH(assign, ""RANGE_PARTY|SINGLE_ENEMY|RANGE_ENEMY""),
  "&amp;"         IF(
             OR(ARRAYFORMULA((IF(precondition="""", FALSE, REGEXMATCH(K$4:ED$4, precondition))) * (K61:ED61=TRUE))),
             IF(ISNUMBER(enhance), enhance, 1),
             IF(ISNUMBER(mitigation), mitigation, 1)
           ),
          "&amp;" 1
         )
       )
     )
   ),
   1
 )"),1.0)</f>
        <v>1</v>
      </c>
      <c r="EF61" s="200">
        <f>IFERROR(__xludf.DUMMYFUNCTION("PRODUCT(
   MAP(
     K$14:ED$14,
     K$13:ED$13,
     K61:ED61,
     LAMBDA(
       buff,
       target,
       check,
       IF(
         AND(check=TRUE, REGEXMATCH(target, ""RANGE_AFFECTED_ALL|RANGE_EFFECTED_ALL""), ISNUMBER(buff)),
         buff,
   "&amp;"      1
       )
     )
   )
 )"),1.0)</f>
        <v>1</v>
      </c>
      <c r="EG61" s="200">
        <f>IFERROR(__xludf.DUMMYFUNCTION("PRODUCT(
   MAP(
     K$14:ED$14,
     K$13:ED$13,
     K61:ED61,
     LAMBDA(
       buff,
       target,
       check,
       IF(
         AND(check=TRUE, REGEXMATCH(target, ""RANGE_AFFECTED_GCD|RANGE_EFFECTED_GCD""), ISNUMBER(buff)),
         buff,
   "&amp;"      1
       )
     )
   )
 )"),1.0)</f>
        <v>1</v>
      </c>
      <c r="EH61" s="200">
        <f>IFERROR(__xludf.DUMMYFUNCTION("PRODUCT(
   MAP(
     K$3:ED$3,
     K$14:ED$14,
     K$13:ED$13,
     K61:ED61,
     LAMBDA(
       job,
       buff,
       target,
       check,
       IF(
         AND(check=TRUE, REGEXMATCH(target, ""SELF_EFFECTED_ALL""), ISNUMBER(buff), job=""白魔道士"""&amp;"),
         buff,
         1
       )
     )
   )
 )"),1.0)</f>
        <v>1</v>
      </c>
      <c r="EI61" s="200">
        <f>IFERROR(__xludf.DUMMYFUNCTION("PRODUCT(
   MAP(
     K$3:ED$3,
     K$14:ED$14,
     K$13:ED$13,
     K61:ED61,
     LAMBDA(
       job,
       buff,
       target,
       check,
       IF(
         AND(check=TRUE, REGEXMATCH(target, ""SELF_EFFECTED_GCD""), ISNUMBER(buff), job=""白魔道士"""&amp;"),
         buff,
         1
       )
     )
   )
 )"),1.0)</f>
        <v>1</v>
      </c>
      <c r="EJ61" s="200">
        <f>IFERROR(__xludf.DUMMYFUNCTION("PRODUCT(
   MAP(
     K$3:ED$3,
     K$14:ED$14,
     K$13:ED$13,
     K61:ED61,
     LAMBDA(
       job,
       buff,
       target,
       check,
       IF(
         AND(check=TRUE, REGEXMATCH(target, ""SELF_EFFECTED_ALL""), ISNUMBER(buff), job=""占星術師"""&amp;"),
         buff,
         1
       )
     )
   )
 )"),1.0)</f>
        <v>1</v>
      </c>
      <c r="EK61" s="200">
        <f>IFERROR(__xludf.DUMMYFUNCTION("PRODUCT(
   MAP(
     K$3:ED$3,
     K$14:ED$14,
     K$13:ED$13,
     K61:ED61,
     LAMBDA(
       job,
       buff,
       target,
       check,
       IF(
         AND(check=TRUE, REGEXMATCH(target, ""SELF_EFFECTED_GCD""), ISNUMBER(buff), job=""占星術師"""&amp;"),
         buff,
         1
       )
     )
   )
 )"),1.0)</f>
        <v>1</v>
      </c>
      <c r="EL61" s="200">
        <f>IFERROR(__xludf.DUMMYFUNCTION("PRODUCT(
   MAP(
     K$3:ED$3,
     K$14:ED$14,
     K$13:ED$13,
     K61:ED61,
     LAMBDA(
       job,
       buff,
       target,
       check,
       IF(
         AND(check=TRUE, REGEXMATCH(target, ""SELF_EFFECTED_ALL""), ISNUMBER(buff), job=""学者""),"&amp;"
         buff,
         1
       )
     )
   )
 )"),1.0)</f>
        <v>1</v>
      </c>
      <c r="EM61" s="200">
        <f>IFERROR(__xludf.DUMMYFUNCTION("PRODUCT(
   MAP(
     K$3:ED$3,
     K$14:ED$14,
     K$13:ED$13,
     K61:ED61,
     LAMBDA(
       job,
       buff,
       target,
       check,
       IF(
         AND(check=TRUE, REGEXMATCH(target, ""SELF_EFFECTED_GCD""), ISNUMBER(buff), job=""学者""),"&amp;"
         buff,
         1
       )
     )
   )
 )"),1.0)</f>
        <v>1</v>
      </c>
      <c r="EN61" s="200">
        <f>IFERROR(__xludf.DUMMYFUNCTION("PRODUCT(
   MAP(
     K$3:ED$3,
     K$14:ED$14,
     K$13:ED$13,
     K61:ED61,
     LAMBDA(
       job,
       buff,
       target,
       check,
       IF(
         AND(check=TRUE, REGEXMATCH(target, ""SELF_EFFECTED_ALL""), ISNUMBER(buff), job=""賢者""),"&amp;"
         buff,
         1
       )
     )
   )
 )"),1.0)</f>
        <v>1</v>
      </c>
      <c r="EO61" s="200">
        <f>IFERROR(__xludf.DUMMYFUNCTION("PRODUCT(
   MAP(
     K$3:ED$3,
     K$14:ED$14,
     K$13:ED$13,
     K61:ED61,
     LAMBDA(
       job,
       buff,
       target,
       check,
       IF(
         AND(check=TRUE, REGEXMATCH(target, ""SELF_EFFECTED_GCD""), ISNUMBER(buff), job=""賢者""),"&amp;"
         buff,
         1
       )
     )
   )
 )"),1.0)</f>
        <v>1</v>
      </c>
      <c r="EP61" s="201">
        <f t="shared" si="3"/>
        <v>0</v>
      </c>
      <c r="EQ61" s="201">
        <f>IFERROR(__xludf.DUMMYFUNCTION("SUM(
   MAP(
     K$4:ED$4,
     K$3:ED$3,
     K$7:ED$7,
     K$15:ED$15,
     K$16:ED$16,
     K$21:ED$21,
     K$5:ED$5,
     K$17:ED$17,
     K61:ED61,
     LAMBDA(
       name,
       job,
       abillity,
       buff,
       barrier,
       enhance,"&amp;"
       assign,
       precondition,
       check,
       SWITCH(
         name,
         ""シェイクオフ"", IF(check=TRUE, buff + (0.02 * COUNTIF(ARRAYFORMULA((REGEXMATCH($K$4:$ED$4, ""スリル・オブ・バトル|ヴェンジェンス|原初の血気|ダムネーション"")) * (K61:ED61=TRUE)), 1)), 0),
         "&amp;"""インプロビゼーションフィニッシュ(踊りの激情0)"", IF(ISNUMBER(check), INDEX(Skill!$AJ:$AJ, MATCH(SUBSTITUTE(DV$4, 0, check), Skill!$C:$C, 0)), 0),
         IF(
           AND(check=TRUE, REGEXMATCH(assign, ""RANGE_PARTY"")),
           IF(
             OR(ARRAYFORMULA((IF(pr"&amp;"econdition="""", FALSE, REGEXMATCH($K$4:$ED$4, precondition))) * (K61:ED61=TRUE))),
             enhance,
             IF(barrier="""", buff, barrier)
           ),
           0
         )
       ) *
       SWITCH(
         job,
         ""ナイト"", EY$24,
 "&amp;"        ""戦士"", FD$24,
         ""踊り子"", ET$24,
         ""ピクトマンサー"", ET$24,
         ""白魔道士"", EF61 * EH61 * IF(abillity, 1, EG61 * EI61) * (Option!$D$22 * 0.81 / 100),
         ""占星術師"", EF61 * EJ61 * IF(abillity, 1, EG61 * EK61) * (Option!$D$23 * 0.81 "&amp;"/ 100),
         ""学者"", EF61 * EL61 * IF(abillity, 1, EG61 * EM61) * (Option!$D$24 * 0.81 / 100),
         ""賢者"", EF61 * EN61 * IF(abillity, 1, EG61 * EO61) * (Option!$D$25 * 0.81 / 100),
         1
       )
     )
   )
 )"),0.0)</f>
        <v>0</v>
      </c>
      <c r="ER61" s="202">
        <f t="shared" si="4"/>
        <v>0</v>
      </c>
      <c r="ES61" s="203">
        <f t="shared" si="5"/>
        <v>0</v>
      </c>
      <c r="ET61" s="204" t="str">
        <f>IFERROR(__xludf.DUMMYFUNCTION("IFS(
  EP61 &gt; $ET$24 + EQ61,
  SPARKLINE({ 1, 0 }, {""charttype"",""bar"";""max"", 1;""color1"",Option!$D$30;""color2"",Option!$D$30}),
  EP61 &lt; EQ61,
  SPARKLINE({EQ61 - EP61, $ET$24 - (EQ61 - EP61)}, {""charttype"",""bar"";""max"",$ET$24;""color1"",Opti"&amp;"on!$D$28;""color2"",Option!$D$29}),
  EP61 &gt;= EQ61,
  SPARKLINE({$ET$24 + EQ61 - EP61,EP61 - EQ61}, {""charttype"",""bar"";""max"",$ET$24;""color1"",Option!$D$29;""color2"",Option!$D$30})
)"),"")</f>
        <v/>
      </c>
      <c r="EU61" s="205">
        <f>IFERROR(__xludf.DUMMYFUNCTION("PRODUCT(
   MAP(
     IF($F61=""Physical"", K$10:ED$10, IF($F61=""Magic"", K$11:ED$11, K$12:ED$12)),
     IF($F61=""Physical"", K$18:ED$18, IF($F61=""Magic"", K$19:ED$19, K$20:ED$20)),
     K$3:ED$3,
     K$5:ED$5,
     K$17:ED$17,
     K61:ED61,
     LAM"&amp;"BDA(
       mitigation,
       enhance,
       job,
       assign,
       precondition,
       check,
       IF(
         OR(AND(check=TRUE, REGEXMATCH(assign, ""SELF""), job=""ナイト""), AND(check=Option!$E$13, REGEXMATCH(assign, ""SINGLE_PARTY""))),
      "&amp;"   IF(
           OR(ARRAYFORMULA((IF(precondition="""", FALSE, REGEXMATCH($K$4:$ED$4, precondition))) * (K61:ED61=TRUE))),
           enhance,
           mitigation
         ),
         1
       )
     )
   )
 ) * EE61"),1.0)</f>
        <v>1</v>
      </c>
      <c r="EV61" s="206">
        <f t="shared" si="6"/>
        <v>0</v>
      </c>
      <c r="EW61" s="205">
        <f>IFERROR(__xludf.DUMMYFUNCTION("PRODUCT(
   MAP(
     K$3:ED$3,
     K$14:ED$14,
     K$13:ED$13,
     K61:ED61,
     LAMBDA(
       job,
       buff,
       target,
       check,
       IF(
         OR(AND(check=TRUE, REGEXMATCH(target, ""SELF_AFFECTED_ALL""), job=""ナイト""), AND(check=O"&amp;"ption!$E$13, REGEXMATCH(target, ""SINGLE_AFFECTED_ALL""))),
         buff,
         1
       )
     )
   )
 )"),1.0)</f>
        <v>1</v>
      </c>
      <c r="EX61" s="206">
        <f>IFERROR(__xludf.DUMMYFUNCTION("SUM(
   MAP(
     K$3:ED$3,
     K$7:ED$7,
     K$15:ED$15,
     K$16:ED$16,
     K$21:ED$21,
     K$5:ED$5,
     K$17:ED$17,
     K61:ED61,
     LAMBDA(
       job,
       abillity,
       buff,
       barrier,
       enhance,
       assign,
       preco"&amp;"ndition,
       check,
       IF(
         OR(AND(check=TRUE, REGEXMATCH(assign, ""SELF""), job=""ナイト""), AND(check=Option!$E$13, REGEXMATCH(assign, ""SINGLE_PARTY""))),
         IF(
           OR(ARRAYFORMULA((IF(precondition="""", FALSE, REGEXMATCH($K$4"&amp;":$ED$4, precondition))) * (K61:ED61=TRUE))),
           enhance,
           IF(barrier="""", buff, barrier)
         ),
         0
       ) *
       SWITCH(
         job,
         ""暗黒騎士"", EY$24,
         ""白魔道士"", EF61 * EH61 * EW61 * IF(abillity, 1, EG"&amp;"61 * EI61) * (Option!$D$22 * 0.81 / 100),
         ""占星術師"", EF61 * EJ61 * EW61 * IF(abillity, 1, EG61 * EK61) * (Option!$D$23 * 0.81 / 100),
         ""学者"", EF61 * EL61 * EW61 * IF(abillity, 1, EG61 * EM61) * (Option!$D$24 * 0.81 / 100),
         ""賢者"""&amp;", EF61 * EN61 * EW61 * IF(abillity, 1, EG61 * EO61) * (Option!$D$25 * 0.81 / 100),
         1
       )
     )
   )
 ) + EQ61"),0.0)</f>
        <v>0</v>
      </c>
      <c r="EY61" s="206">
        <f t="shared" si="7"/>
        <v>0</v>
      </c>
      <c r="EZ61" s="205">
        <f>IFERROR(__xludf.DUMMYFUNCTION("PRODUCT(
   MAP(
     IF($F61=""Physical"", K$10:ED$10, IF($F61=""Magic"", K$11:ED$11, K$12:ED$12)),
     IF($F61=""Physical"", K$18:ED$18, IF($F61=""Magic"", K$19:ED$19, K$20:ED$20)),
     K$3:ED$3,
     K$5:ED$5,
     K$17:ED$17,
     K61:ED61,
     LAM"&amp;"BDA(
       mitigation,
       enhance,
       job,
       assign,
       precondition,
       check,
       IF(
         OR(AND(check=TRUE, REGEXMATCH(assign, ""SELF""), job=""戦士""), AND(check=Option!$F$13, REGEXMATCH(assign, ""SINGLE_PARTY""))),
       "&amp;"  IF(
           OR(ARRAYFORMULA((IF(precondition="""", FALSE, REGEXMATCH($K$4:$ED$4, precondition))) * (K61:ED61=TRUE))),
           enhance,
           mitigation
         ),
         1
       )
     )
   )
 ) * EE61"),1.0)</f>
        <v>1</v>
      </c>
      <c r="FA61" s="206">
        <f t="shared" si="8"/>
        <v>0</v>
      </c>
      <c r="FB61" s="205">
        <f>IFERROR(__xludf.DUMMYFUNCTION("PRODUCT(
   MAP(
     K$3:ED$3,
     K$14:ED$14,
     K$13:ED$13,
     K61:ED61,
     LAMBDA(
       job,
       buff,
       target,
       check,
       IF(
         OR(AND(check=TRUE, REGEXMATCH(target, ""SELF_AFFECTED_ALL""), job=""戦士""), AND(check=Op"&amp;"tion!$F$13, REGEXMATCH(target, ""SINGLE_AFFECTED_ALL""))),
         buff,
         1
       )
     )
   )
 )"),1.0)</f>
        <v>1</v>
      </c>
      <c r="FC61" s="206">
        <f>IFERROR(__xludf.DUMMYFUNCTION("SUM(
   MAP(
     K$3:ED$3,
     K$7:ED$7,
     K$15:ED$15,
     K$16:ED$16,
     K$21:ED$21,
     K$5:ED$5,
     K$17:ED$17,
     K61:ED61,
     LAMBDA(
       job,
       abillity,
       buff,
       barrier,
       enhance,
       assign,
       preco"&amp;"ndition,
       check,
       IF(
         OR(AND(check=TRUE, REGEXMATCH(assign, ""SELF""), job=""戦士""), AND(check=Option!$F$13, REGEXMATCH(assign, ""SINGLE_PARTY""))),
         IF(
           OR(ARRAYFORMULA((IF(precondition="""", FALSE, REGEXMATCH($K$4:"&amp;"$ED$4, precondition))) * (K61:ED61=TRUE))),
           enhance,
           IF(barrier="""", buff, barrier)
         ),
         0
       ) *
       SWITCH(
         job,
         ""暗黒騎士"", FD$24,
         ""白魔道士"", EF61 * EH61 * FB61 * IF(abillity, 1, EG6"&amp;"1 * EI61) * (Option!$D$22 * 0.81 / 100),
         ""占星術師"", EF61 * EJ61 * FFB61 * IF(abillity, 1, EG61 * EK61) * (Option!$D$23 * 0.81 / 100),
         ""学者"", EF61 * EL61 * FB61 * IF(abillity, 1, EG61 * EM61) * (Option!$D$24 * 0.81 / 100),
         ""賢者"""&amp;", EF61 * EN61 * FB61 * IF(abillity, 1, EG61 * EO61) * (Option!$D$25 * 0.81 / 100),
         1
       )
     )
   )
 ) + EQ61"),0.0)</f>
        <v>0</v>
      </c>
      <c r="FD61" s="206">
        <f t="shared" si="9"/>
        <v>0</v>
      </c>
      <c r="FE61" s="205">
        <f>IFERROR(__xludf.DUMMYFUNCTION("PRODUCT(
   MAP(
     IF($F61=""Physical"", K$10:ED$10, IF($F61=""Magic"", K$11:ED$11, K$12:ED$12)),
     IF($F61=""Physical"", K$18:ED$18, IF($F61=""Magic"", K$19:ED$19, K$20:ED$20)),
     K$3:ED$3,
     K$5:ED$5,
     K$17:ED$17,
     K61:ED61,
     LAM"&amp;"BDA(
       mitigation,
       enhance,
       job,
       assign,
       precondition,
       check,
       IF(
         OR(AND(check=TRUE, REGEXMATCH(assign, ""SELF""), job=""暗黒騎士""), AND(check=Option!$G$13, REGEXMATCH(assign, ""SINGLE_PARTY""))),
     "&amp;"    IF(
           OR(ARRAYFORMULA((IF(precondition="""", FALSE, REGEXMATCH($K$4:$ED$4, precondition))) * (K61:ED61=TRUE))),
           enhance,
           mitigation
         ),
         1
       )
     )
   )
 ) * EE61"),1.0)</f>
        <v>1</v>
      </c>
      <c r="FF61" s="206">
        <f t="shared" si="10"/>
        <v>0</v>
      </c>
      <c r="FG61" s="205">
        <f>IFERROR(__xludf.DUMMYFUNCTION("PRODUCT(
   MAP(
     K$3:ED$3,
     K$14:ED$14,
     K$13:ED$13,
     K61:ED61,
     LAMBDA(
       job,
       buff,
       target,
       check,
       IF(
         OR(AND(check=TRUE, REGEXMATCH(target, ""SELF_AFFECTED_ALL""), job=""暗黒騎士""), AND(check="&amp;"Option!$G$13, REGEXMATCH(target, ""SINGLE_AFFECTED_ALL""))),
         buff,
         1
       )
     )
   )
 )"),1.0)</f>
        <v>1</v>
      </c>
      <c r="FH61" s="206">
        <f>IFERROR(__xludf.DUMMYFUNCTION("SUM(
   MAP(
     K$3:ED$3,
     K$7:ED$7,
     K$15:ED$15,
     K$16:ED$16,
     K$21:ED$21,
     K$5:ED$5,
     K$17:ED$17,
     K61:ED61,
     LAMBDA(
       job,
       abillity,
       buff,
       barrier,
       enhance,
       assign,
       preco"&amp;"ndition,
       check,
       IF(
         OR(AND(check=TRUE, REGEXMATCH(assign, ""SELF""), job=""暗黒騎士""), AND(check=Option!$G$13, REGEXMATCH(assign, ""SINGLE_PARTY""))),
         IF(
           OR(ARRAYFORMULA((IF(precondition="""", FALSE, REGEXMATCH($K$"&amp;"4:$ED$4, precondition))) * (K61:ED61=TRUE))),
           enhance,
           IF(barrier="""", buff, barrier)
         ),
         0
       ) *
       SWITCH(
         job,
         ""暗黒騎士"", FI$24,
         ""白魔道士"", EF61 * EH61 * FG61 * IF(abillity, 1, E"&amp;"G61 * EI61) * (Option!$D$22 * 0.81 / 100),
         ""占星術師"", EF61 * EJ61 * FG61 * IF(abillity, 1, EG61 * EK61) * (Option!$D$23 * 0.81 / 100),
         ""学者"", EF61 * EL61 * FG61 * IF(abillity, 1, EG61 * EM61) * (Option!$D$24 * 0.81 / 100),
         ""賢者"&amp;""", EF61 * EN61 * FG61 * IF(abillity, 1, EG61 * EO61) * (Option!$D$25 * 0.81 / 100),
         1
       )
     )
   )
 ) + EQ61"),0.0)</f>
        <v>0</v>
      </c>
      <c r="FI61" s="206">
        <f t="shared" si="11"/>
        <v>0</v>
      </c>
      <c r="FJ61" s="205">
        <f>IFERROR(__xludf.DUMMYFUNCTION("PRODUCT(
   MAP(
     IF($F61=""Physical"", K$10:ED$10, IF($F61=""Magic"", K$11:ED$11, K$12:ED$12)),
     IF($F61=""Physical"", K$18:ED$18, IF($F61=""Magic"", K$19:ED$19, K$20:ED$20)),
     K$3:ED$3,
     K$5:ED$5,
     K$17:ED$17,
     K61:ED61,
     LAM"&amp;"BDA(
       mitigation,
       enhance,
       job,
       assign,
       precondition,
       check,
       IF(
         OR(AND(check=TRUE, REGEXMATCH(assign, ""SELF""), job=""ガンブレイカー""), AND(check=Option!$H$13, REGEXMATCH(assign, ""SINGLE_PARTY""))),
  "&amp;"       IF(
           OR(ARRAYFORMULA((IF(precondition="""", FALSE, REGEXMATCH($K$4:$ED$4, precondition))) * (K61:ED61=TRUE))),
           enhance,
           mitigation
         ),
         1
       )
     )
   )
 ) * EE61"),1.0)</f>
        <v>1</v>
      </c>
      <c r="FK61" s="206">
        <f t="shared" si="12"/>
        <v>0</v>
      </c>
      <c r="FL61" s="205">
        <f>IFERROR(__xludf.DUMMYFUNCTION("PRODUCT(
   MAP(
     K$3:ED$3,
     K$14:ED$14,
     K$13:ED$13,
     K61:ED61,
     LAMBDA(
       job,
       buff,
       target,
       check,
       IF(
         OR(AND(check=TRUE, REGEXMATCH(target, ""SELF_AFFECTED_ALL""), job=""ガンブレイカー""), AND(che"&amp;"ck=Option!$H$13, REGEXMATCH(target, ""SINGLE_AFFECTED_ALL""))),
         buff,
         1
       )
     )
   )
 )"),1.0)</f>
        <v>1</v>
      </c>
      <c r="FM61" s="206">
        <f>IFERROR(__xludf.DUMMYFUNCTION("SUM(
   MAP(
     K$3:ED$3,
     K$7:ED$7,
     K$15:ED$15,
     K$16:ED$16,
     K$21:ED$21,
     K$5:ED$5,
     K$17:ED$17,
     K61:ED61,
     LAMBDA(
       job,
       abillity,
       buff,
       barrier,
       enhance,
       assign,
       preco"&amp;"ndition,
       check,
       IF(
         OR(AND(check=TRUE, REGEXMATCH(assign, ""SELF""), job=""ガンブレイカー""), AND(check=Option!$H$13, REGEXMATCH(assign, ""SINGLE_PARTY""))),
         IF(
           OR(ARRAYFORMULA((IF(precondition="""", FALSE, REGEXMATCH("&amp;"$K$4:$ED$4, precondition))) * (K61:ED61=TRUE))),
           enhance,
           IF(barrier="""", buff, barrier)
         ),
         0
       ) *
       SWITCH(
         job,
         ""暗黒騎士"", FN$24,
         ""白魔道士"", EF61 * EH61 * FL61 * IF(abillity, 1"&amp;", EG61 * EI61) * (Option!$D$22 * 0.81 / 100),
         ""占星術師"", EF61 * EJ61 * FL61 * IF(abillity, 1, EG61 * EK61) * (Option!$D$23 * 0.81 / 100),
         ""学者"", EF61 * EL61 * FL61 * IF(abillity, 1, EG61 * EM61) * (Option!$D$24 * 0.81 / 100),
         """&amp;"賢者"", EF61 * EN61 * FL61 * IF(abillity, 1, EG61 * EO61) * (Option!$D$25 * 0.81 / 100),
         1
       )
     )
   )
 ) + EQ61"),0.0)</f>
        <v>0</v>
      </c>
      <c r="FN61" s="206">
        <f t="shared" si="13"/>
        <v>0</v>
      </c>
      <c r="FO61" s="213"/>
    </row>
    <row r="62">
      <c r="B62" s="229"/>
      <c r="C62" s="217">
        <f t="shared" si="1"/>
        <v>0</v>
      </c>
      <c r="D62" s="236"/>
      <c r="E62" s="226"/>
      <c r="F62" s="167"/>
      <c r="G62" s="168" t="str">
        <f t="shared" si="2"/>
        <v/>
      </c>
      <c r="H62" s="169"/>
      <c r="I62" s="169"/>
      <c r="J62" s="169"/>
      <c r="K62" s="170" t="b">
        <v>0</v>
      </c>
      <c r="L62" s="170" t="b">
        <v>0</v>
      </c>
      <c r="M62" s="170" t="b">
        <v>0</v>
      </c>
      <c r="N62" s="171" t="s">
        <v>1070</v>
      </c>
      <c r="O62" s="172" t="b">
        <v>0</v>
      </c>
      <c r="P62" s="173" t="b">
        <v>0</v>
      </c>
      <c r="Q62" s="173" t="b">
        <v>0</v>
      </c>
      <c r="R62" s="173" t="b">
        <v>0</v>
      </c>
      <c r="S62" s="174" t="b">
        <v>0</v>
      </c>
      <c r="T62" s="175" t="b">
        <v>0</v>
      </c>
      <c r="U62" s="173" t="b">
        <v>0</v>
      </c>
      <c r="V62" s="171" t="s">
        <v>1070</v>
      </c>
      <c r="W62" s="172" t="b">
        <v>0</v>
      </c>
      <c r="X62" s="173" t="b">
        <v>0</v>
      </c>
      <c r="Y62" s="173" t="b">
        <v>0</v>
      </c>
      <c r="Z62" s="173" t="b">
        <v>0</v>
      </c>
      <c r="AA62" s="174" t="b">
        <v>0</v>
      </c>
      <c r="AB62" s="174" t="b">
        <v>0</v>
      </c>
      <c r="AC62" s="175" t="b">
        <v>0</v>
      </c>
      <c r="AD62" s="173" t="b">
        <v>0</v>
      </c>
      <c r="AE62" s="176" t="s">
        <v>1070</v>
      </c>
      <c r="AF62" s="171" t="s">
        <v>1070</v>
      </c>
      <c r="AG62" s="177">
        <f>IFERROR(__xludf.DUMMYFUNCTION("IF(
  ISNUMBER(AG61),
  MIN(MAX(
    AG61
    + MAX(
      ROUNDDOWN(($D62 - MAX(IFERROR(FILTER($D$24:$D61, AG$24:AG61 &lt;&gt; AF$6, AG$23:AG60 = AF$6), 0))) * (60 * 60 * 24) / AF$9) - ROUNDDOWN(($D61 - MAX(IFERROR(FILTER($D$23:$D60, AG$23:AG60 &lt;&gt; AF$6, AG$22:"&amp;"AG59 = AF$6), 0))) * (60 * 60 * 24) / 60),
      0
    )
    - COUNTIF(AF62, ""&lt;&gt;-""),
  0), AF$6),
  AF$6 - COUNTIF(AF62, ""&lt;&gt;-"")
)"),2.0)</f>
        <v>2</v>
      </c>
      <c r="AH62" s="173" t="b">
        <v>0</v>
      </c>
      <c r="AI62" s="173" t="b">
        <v>0</v>
      </c>
      <c r="AJ62" s="173" t="b">
        <v>0</v>
      </c>
      <c r="AK62" s="174" t="b">
        <v>0</v>
      </c>
      <c r="AL62" s="175" t="b">
        <v>0</v>
      </c>
      <c r="AM62" s="173" t="b">
        <v>0</v>
      </c>
      <c r="AN62" s="171" t="s">
        <v>1070</v>
      </c>
      <c r="AO62" s="173" t="b">
        <v>0</v>
      </c>
      <c r="AP62" s="173" t="b">
        <v>0</v>
      </c>
      <c r="AQ62" s="173" t="b">
        <v>0</v>
      </c>
      <c r="AR62" s="174" t="b">
        <v>0</v>
      </c>
      <c r="AS62" s="178" t="b">
        <v>0</v>
      </c>
      <c r="AT62" s="179" t="b">
        <v>0</v>
      </c>
      <c r="AU62" s="180" t="b">
        <v>0</v>
      </c>
      <c r="AV62" s="180" t="b">
        <v>0</v>
      </c>
      <c r="AW62" s="180" t="b">
        <v>0</v>
      </c>
      <c r="AX62" s="180" t="b">
        <v>0</v>
      </c>
      <c r="AY62" s="181" t="s">
        <v>1070</v>
      </c>
      <c r="AZ62" s="181" t="s">
        <v>1070</v>
      </c>
      <c r="BA62" s="184">
        <f>IFERROR(__xludf.DUMMYFUNCTION("IF(
  ISNUMBER(BA61),
  MIN(MAX(
    BA61
    + MAX(
      ROUNDDOWN((D62 - MAX(IFERROR(FILTER(D$24:D61, BA$24:BA61 &lt;&gt; AZ$6, BA$23:BA60 = AZ$6), 0))) * (60 * 60 * 24) / AZ$9) - ROUNDDOWN((D61 - MAX(IFERROR(FILTER(D$23:D60, BA$23:BA60 &lt;&gt; AZ$6, BA$22:BA59 ="&amp;" AZ$6), 0))) * (60 * 60 * 24) / AZ$9),
      0
    )
    - COUNTIF(AZ62, ""&lt;&gt;-""),
  0), AZ$6),
  AZ$6 - COUNTIF(AZ62, ""&lt;&gt;-"")
)"),2.0)</f>
        <v>2</v>
      </c>
      <c r="BB62" s="181" t="s">
        <v>1070</v>
      </c>
      <c r="BC62" s="183">
        <f>IFERROR(__xludf.DUMMYFUNCTION("IF(
  ISNUMBER(BC61),
  MIN(MAX(
    BC61
    + MAX(
      ROUNDDOWN(($D62 - MAX(IFERROR(FILTER($D$24:$D61, BC$24:BC61 &lt;&gt; BB$6, BC$23:BC60 = BB$6), 0))) * (60 * 60 * 24) / BB$9) - ROUNDDOWN(($D61 - MAX(IFERROR(FILTER($D$23:$D60, BC$23:BC60 &lt;&gt; BB$6, BC$22:"&amp;"BC59 = BB$6), 0))) * (60 * 60 * 24) / 60),
      0
    )
    - COUNTIF(BB62, ""&lt;&gt;-""),
  0), BB$6),
  BB$6 - COUNTIF(BB62, ""&lt;&gt;-"")
)"),2.0)</f>
        <v>2</v>
      </c>
      <c r="BD62" s="181" t="s">
        <v>1070</v>
      </c>
      <c r="BE62" s="178" t="b">
        <v>0</v>
      </c>
      <c r="BF62" s="180" t="b">
        <v>0</v>
      </c>
      <c r="BG62" s="180" t="b">
        <v>0</v>
      </c>
      <c r="BH62" s="180" t="b">
        <v>0</v>
      </c>
      <c r="BI62" s="180" t="b">
        <v>0</v>
      </c>
      <c r="BJ62" s="180" t="b">
        <v>0</v>
      </c>
      <c r="BK62" s="180" t="b">
        <v>0</v>
      </c>
      <c r="BL62" s="180" t="b">
        <v>0</v>
      </c>
      <c r="BM62" s="180" t="b">
        <v>0</v>
      </c>
      <c r="BN62" s="180" t="b">
        <v>0</v>
      </c>
      <c r="BO62" s="181" t="s">
        <v>1070</v>
      </c>
      <c r="BP62" s="181" t="s">
        <v>1070</v>
      </c>
      <c r="BQ62" s="181" t="s">
        <v>1070</v>
      </c>
      <c r="BR62" s="181" t="s">
        <v>1070</v>
      </c>
      <c r="BS62" s="181" t="s">
        <v>1070</v>
      </c>
      <c r="BT62" s="184">
        <f>IFERROR(__xludf.DUMMYFUNCTION("IF(
  ISNUMBER(BT61),
  MIN(MAX(
    BT61
    + MAX(
      ROUNDDOWN((D62 - MAX(IFERROR(FILTER(D$24:D61, BT$24:BT61 &lt;&gt; BS$6, BT$23:BT60 = BS$6), 0))) * (60 * 60 * 24) / BS$9) - ROUNDDOWN((D61 - MAX(IFERROR(FILTER(D$23:D60, BT$23:BT60 &lt;&gt; BS$6, BT$22:BT59 ="&amp;" BS$6), 0))) * (60 * 60 * 24) / BS$9),
      0
    )
    - COUNTIF(BS62, ""&lt;&gt;-""),
  0), BS$6),
  BS$6 - COUNTIF(BS62, ""&lt;&gt;-"")
)"),3.0)</f>
        <v>3</v>
      </c>
      <c r="BU62" s="181" t="s">
        <v>1070</v>
      </c>
      <c r="BV62" s="181" t="s">
        <v>1070</v>
      </c>
      <c r="BW62" s="184">
        <f>IFERROR(__xludf.DUMMYFUNCTION("IF(
  ISNUMBER(BW61),
  MIN(MAX(
    BW61
    + MAX(
      ROUNDDOWN((D62 - MAX(IFERROR(FILTER(D$24:D61, BW$24:BW61 &lt;&gt; BV$6, BW$23:BW60 = BV$6), 0))) * (60 * 60 * 24) / BV$9) - ROUNDDOWN((D61 - MAX(IFERROR(FILTER(D$23:D60, BW$23:BW60 &lt;&gt; BV$6, BW$22:BW59 ="&amp;" BV$6), 0))) * (60 * 60 * 24) / BV$9),
      0
    )
    - COUNTIF(BV62, ""&lt;&gt;-""),
  0), BV$6),
  BV$6 - COUNTIF(BV62, ""&lt;&gt;-"")
)"),2.0)</f>
        <v>2</v>
      </c>
      <c r="BX62" s="185" t="s">
        <v>1070</v>
      </c>
      <c r="BY62" s="178" t="b">
        <v>0</v>
      </c>
      <c r="BZ62" s="180" t="b">
        <v>0</v>
      </c>
      <c r="CA62" s="180" t="b">
        <v>0</v>
      </c>
      <c r="CB62" s="180" t="b">
        <v>0</v>
      </c>
      <c r="CC62" s="180" t="b">
        <v>0</v>
      </c>
      <c r="CD62" s="180" t="b">
        <v>0</v>
      </c>
      <c r="CE62" s="180" t="b">
        <v>0</v>
      </c>
      <c r="CF62" s="180" t="b">
        <v>0</v>
      </c>
      <c r="CG62" s="180" t="b">
        <v>0</v>
      </c>
      <c r="CH62" s="180" t="b">
        <v>0</v>
      </c>
      <c r="CI62" s="180" t="b">
        <v>0</v>
      </c>
      <c r="CJ62" s="180" t="b">
        <v>0</v>
      </c>
      <c r="CK62" s="180" t="b">
        <v>0</v>
      </c>
      <c r="CL62" s="180" t="b">
        <v>0</v>
      </c>
      <c r="CM62" s="181" t="s">
        <v>1070</v>
      </c>
      <c r="CN62" s="181" t="s">
        <v>1070</v>
      </c>
      <c r="CO62" s="181" t="s">
        <v>1070</v>
      </c>
      <c r="CP62" s="181" t="s">
        <v>1070</v>
      </c>
      <c r="CQ62" s="185" t="s">
        <v>1070</v>
      </c>
      <c r="CR62" s="180" t="b">
        <v>0</v>
      </c>
      <c r="CS62" s="186" t="str">
        <f t="shared" si="14"/>
        <v>◇◇◇</v>
      </c>
      <c r="CT62" s="178" t="b">
        <v>0</v>
      </c>
      <c r="CU62" s="180" t="b">
        <v>0</v>
      </c>
      <c r="CV62" s="180" t="b">
        <v>0</v>
      </c>
      <c r="CW62" s="180" t="b">
        <v>0</v>
      </c>
      <c r="CX62" s="180" t="b">
        <v>0</v>
      </c>
      <c r="CY62" s="180" t="b">
        <v>0</v>
      </c>
      <c r="CZ62" s="180" t="b">
        <v>0</v>
      </c>
      <c r="DA62" s="180" t="b">
        <v>0</v>
      </c>
      <c r="DB62" s="180" t="b">
        <v>0</v>
      </c>
      <c r="DC62" s="180" t="b">
        <v>0</v>
      </c>
      <c r="DD62" s="181" t="s">
        <v>1070</v>
      </c>
      <c r="DE62" s="181" t="s">
        <v>1070</v>
      </c>
      <c r="DF62" s="181" t="s">
        <v>1070</v>
      </c>
      <c r="DG62" s="185" t="s">
        <v>1070</v>
      </c>
      <c r="DH62" s="180" t="b">
        <v>0</v>
      </c>
      <c r="DI62" s="187" t="str">
        <f>IFERROR(__xludf.DUMMYFUNCTION("SWITCH(
  IF(
    ISTEXT(DI61),
    IF (
      FIND(""○"", DI61&amp;""○"") &gt; 3,
      3,
      FIND(""○"", DI61&amp;""○"")
      + MAX(
        ROUNDDOWN(($D62 - MAX(IFERROR(FILTER(D$24:D61, DI$24:DI61 &lt;&gt; ""●●●"", DI$23:DI60 = ""●●●""), 0))) * (60 * 60 * 24) / 20"&amp;") - ROUNDDOWN(($D61 - MAX(IFERROR(FILTER(D$23:D60, DI$23:DI60 &lt;&gt; ""●●●"", DI$22:DI59 = ""●●●""), 0))) * (60 * 60 * 24) / 20),
        0
      ) - 1
    ) - COUNTIFS(CU62, ""=TRUE"", CU61, ""&lt;&gt;TRUE"") - COUNTIF(CZ62, ""=TRUE"") - COUNTIF({DD62,DE62}, ""&lt;&gt;-"&amp;""") + COUNTIF(DH62, ""=TRUE""),
    3
  ),
  0, ""○○○"", 1, ""●○○"", 2, ""●●○"", 3, ""●●●"", 4, ""●●●"", ""○○○""
)"),"●●●")</f>
        <v>●●●</v>
      </c>
      <c r="DJ62" s="188" t="b">
        <v>0</v>
      </c>
      <c r="DK62" s="189" t="b">
        <v>0</v>
      </c>
      <c r="DL62" s="190" t="b">
        <v>0</v>
      </c>
      <c r="DM62" s="190" t="b">
        <v>0</v>
      </c>
      <c r="DN62" s="190" t="b">
        <v>0</v>
      </c>
      <c r="DO62" s="190" t="b">
        <v>0</v>
      </c>
      <c r="DP62" s="190" t="b">
        <v>0</v>
      </c>
      <c r="DQ62" s="191" t="b">
        <v>0</v>
      </c>
      <c r="DR62" s="192" t="b">
        <v>0</v>
      </c>
      <c r="DS62" s="191" t="b">
        <v>0</v>
      </c>
      <c r="DT62" s="192" t="b">
        <v>0</v>
      </c>
      <c r="DU62" s="191" t="b">
        <v>0</v>
      </c>
      <c r="DV62" s="193" t="s">
        <v>1070</v>
      </c>
      <c r="DW62" s="194" t="b">
        <v>0</v>
      </c>
      <c r="DX62" s="194" t="b">
        <v>0</v>
      </c>
      <c r="DY62" s="195" t="b">
        <v>0</v>
      </c>
      <c r="DZ62" s="196" t="b">
        <v>0</v>
      </c>
      <c r="EA62" s="195" t="b">
        <v>0</v>
      </c>
      <c r="EB62" s="197" t="b">
        <v>0</v>
      </c>
      <c r="EC62" s="197" t="b">
        <v>0</v>
      </c>
      <c r="ED62" s="212" t="b">
        <v>0</v>
      </c>
      <c r="EE62" s="199">
        <f>IFERROR(__xludf.DUMMYFUNCTION("IFERROR(
   PRODUCT(
     MAP(
       INDEX(TRANSPOSE(UNIQUE(TRANSPOSE(FILTER({IF($F62=""Physical"", K$10:ED$10, IF($F62=""Magic"", K$11:ED$11, K$12:ED$12));K$4:ED$4;K62:ED62}, K62:ED62=TRUE)))), 1, 0),
       INDEX(TRANSPOSE(UNIQUE(TRANSPOSE(FILTER({IF($"&amp;"F62=""Physical"", K$18:ED$18, IF($F62=""Magic"", K$19:ED$19, K$20:ED$20));K$4:ED$4;K62:ED62}, K62:ED62=TRUE)))), 1, 0),
       INDEX(TRANSPOSE(UNIQUE(TRANSPOSE(FILTER({K$5:ED$5;K$4:ED$4;K62:ED62}, K62:ED62=TRUE)))), 1, 0),
       INDEX(TRANSPOSE(UNIQUE(TR"&amp;"ANSPOSE(FILTER({K$17:ED$17;K$4:ED$4;K62:ED62}, K62:ED62=TRUE)))), 1, 0),
       LAMBDA(
         mitigation,
         enhance,
         assign,
         precondition,
         IF(
           REGEXMATCH(assign, ""RANGE_PARTY|SINGLE_ENEMY|RANGE_ENEMY""),
  "&amp;"         IF(
             OR(ARRAYFORMULA((IF(precondition="""", FALSE, REGEXMATCH(K$4:ED$4, precondition))) * (K62:ED62=TRUE))),
             IF(ISNUMBER(enhance), enhance, 1),
             IF(ISNUMBER(mitigation), mitigation, 1)
           ),
          "&amp;" 1
         )
       )
     )
   ),
   1
 )"),1.0)</f>
        <v>1</v>
      </c>
      <c r="EF62" s="200">
        <f>IFERROR(__xludf.DUMMYFUNCTION("PRODUCT(
   MAP(
     K$14:ED$14,
     K$13:ED$13,
     K62:ED62,
     LAMBDA(
       buff,
       target,
       check,
       IF(
         AND(check=TRUE, REGEXMATCH(target, ""RANGE_AFFECTED_ALL|RANGE_EFFECTED_ALL""), ISNUMBER(buff)),
         buff,
   "&amp;"      1
       )
     )
   )
 )"),1.0)</f>
        <v>1</v>
      </c>
      <c r="EG62" s="200">
        <f>IFERROR(__xludf.DUMMYFUNCTION("PRODUCT(
   MAP(
     K$14:ED$14,
     K$13:ED$13,
     K62:ED62,
     LAMBDA(
       buff,
       target,
       check,
       IF(
         AND(check=TRUE, REGEXMATCH(target, ""RANGE_AFFECTED_GCD|RANGE_EFFECTED_GCD""), ISNUMBER(buff)),
         buff,
   "&amp;"      1
       )
     )
   )
 )"),1.0)</f>
        <v>1</v>
      </c>
      <c r="EH62" s="200">
        <f>IFERROR(__xludf.DUMMYFUNCTION("PRODUCT(
   MAP(
     K$3:ED$3,
     K$14:ED$14,
     K$13:ED$13,
     K62:ED62,
     LAMBDA(
       job,
       buff,
       target,
       check,
       IF(
         AND(check=TRUE, REGEXMATCH(target, ""SELF_EFFECTED_ALL""), ISNUMBER(buff), job=""白魔道士"""&amp;"),
         buff,
         1
       )
     )
   )
 )"),1.0)</f>
        <v>1</v>
      </c>
      <c r="EI62" s="200">
        <f>IFERROR(__xludf.DUMMYFUNCTION("PRODUCT(
   MAP(
     K$3:ED$3,
     K$14:ED$14,
     K$13:ED$13,
     K62:ED62,
     LAMBDA(
       job,
       buff,
       target,
       check,
       IF(
         AND(check=TRUE, REGEXMATCH(target, ""SELF_EFFECTED_GCD""), ISNUMBER(buff), job=""白魔道士"""&amp;"),
         buff,
         1
       )
     )
   )
 )"),1.0)</f>
        <v>1</v>
      </c>
      <c r="EJ62" s="200">
        <f>IFERROR(__xludf.DUMMYFUNCTION("PRODUCT(
   MAP(
     K$3:ED$3,
     K$14:ED$14,
     K$13:ED$13,
     K62:ED62,
     LAMBDA(
       job,
       buff,
       target,
       check,
       IF(
         AND(check=TRUE, REGEXMATCH(target, ""SELF_EFFECTED_ALL""), ISNUMBER(buff), job=""占星術師"""&amp;"),
         buff,
         1
       )
     )
   )
 )"),1.0)</f>
        <v>1</v>
      </c>
      <c r="EK62" s="200">
        <f>IFERROR(__xludf.DUMMYFUNCTION("PRODUCT(
   MAP(
     K$3:ED$3,
     K$14:ED$14,
     K$13:ED$13,
     K62:ED62,
     LAMBDA(
       job,
       buff,
       target,
       check,
       IF(
         AND(check=TRUE, REGEXMATCH(target, ""SELF_EFFECTED_GCD""), ISNUMBER(buff), job=""占星術師"""&amp;"),
         buff,
         1
       )
     )
   )
 )"),1.0)</f>
        <v>1</v>
      </c>
      <c r="EL62" s="200">
        <f>IFERROR(__xludf.DUMMYFUNCTION("PRODUCT(
   MAP(
     K$3:ED$3,
     K$14:ED$14,
     K$13:ED$13,
     K62:ED62,
     LAMBDA(
       job,
       buff,
       target,
       check,
       IF(
         AND(check=TRUE, REGEXMATCH(target, ""SELF_EFFECTED_ALL""), ISNUMBER(buff), job=""学者""),"&amp;"
         buff,
         1
       )
     )
   )
 )"),1.0)</f>
        <v>1</v>
      </c>
      <c r="EM62" s="200">
        <f>IFERROR(__xludf.DUMMYFUNCTION("PRODUCT(
   MAP(
     K$3:ED$3,
     K$14:ED$14,
     K$13:ED$13,
     K62:ED62,
     LAMBDA(
       job,
       buff,
       target,
       check,
       IF(
         AND(check=TRUE, REGEXMATCH(target, ""SELF_EFFECTED_GCD""), ISNUMBER(buff), job=""学者""),"&amp;"
         buff,
         1
       )
     )
   )
 )"),1.0)</f>
        <v>1</v>
      </c>
      <c r="EN62" s="200">
        <f>IFERROR(__xludf.DUMMYFUNCTION("PRODUCT(
   MAP(
     K$3:ED$3,
     K$14:ED$14,
     K$13:ED$13,
     K62:ED62,
     LAMBDA(
       job,
       buff,
       target,
       check,
       IF(
         AND(check=TRUE, REGEXMATCH(target, ""SELF_EFFECTED_ALL""), ISNUMBER(buff), job=""賢者""),"&amp;"
         buff,
         1
       )
     )
   )
 )"),1.0)</f>
        <v>1</v>
      </c>
      <c r="EO62" s="200">
        <f>IFERROR(__xludf.DUMMYFUNCTION("PRODUCT(
   MAP(
     K$3:ED$3,
     K$14:ED$14,
     K$13:ED$13,
     K62:ED62,
     LAMBDA(
       job,
       buff,
       target,
       check,
       IF(
         AND(check=TRUE, REGEXMATCH(target, ""SELF_EFFECTED_GCD""), ISNUMBER(buff), job=""賢者""),"&amp;"
         buff,
         1
       )
     )
   )
 )"),1.0)</f>
        <v>1</v>
      </c>
      <c r="EP62" s="201">
        <f t="shared" si="3"/>
        <v>0</v>
      </c>
      <c r="EQ62" s="201">
        <f>IFERROR(__xludf.DUMMYFUNCTION("SUM(
   MAP(
     K$4:ED$4,
     K$3:ED$3,
     K$7:ED$7,
     K$15:ED$15,
     K$16:ED$16,
     K$21:ED$21,
     K$5:ED$5,
     K$17:ED$17,
     K62:ED62,
     LAMBDA(
       name,
       job,
       abillity,
       buff,
       barrier,
       enhance,"&amp;"
       assign,
       precondition,
       check,
       SWITCH(
         name,
         ""シェイクオフ"", IF(check=TRUE, buff + (0.02 * COUNTIF(ARRAYFORMULA((REGEXMATCH($K$4:$ED$4, ""スリル・オブ・バトル|ヴェンジェンス|原初の血気|ダムネーション"")) * (K62:ED62=TRUE)), 1)), 0),
         "&amp;"""インプロビゼーションフィニッシュ(踊りの激情0)"", IF(ISNUMBER(check), INDEX(Skill!$AJ:$AJ, MATCH(SUBSTITUTE(DV$4, 0, check), Skill!$C:$C, 0)), 0),
         IF(
           AND(check=TRUE, REGEXMATCH(assign, ""RANGE_PARTY"")),
           IF(
             OR(ARRAYFORMULA((IF(pr"&amp;"econdition="""", FALSE, REGEXMATCH($K$4:$ED$4, precondition))) * (K62:ED62=TRUE))),
             enhance,
             IF(barrier="""", buff, barrier)
           ),
           0
         )
       ) *
       SWITCH(
         job,
         ""ナイト"", EY$24,
 "&amp;"        ""戦士"", FD$24,
         ""踊り子"", ET$24,
         ""ピクトマンサー"", ET$24,
         ""白魔道士"", EF62 * EH62 * IF(abillity, 1, EG62 * EI62) * (Option!$D$22 * 0.81 / 100),
         ""占星術師"", EF62 * EJ62 * IF(abillity, 1, EG62 * EK62) * (Option!$D$23 * 0.81 "&amp;"/ 100),
         ""学者"", EF62 * EL62 * IF(abillity, 1, EG62 * EM62) * (Option!$D$24 * 0.81 / 100),
         ""賢者"", EF62 * EN62 * IF(abillity, 1, EG62 * EO62) * (Option!$D$25 * 0.81 / 100),
         1
       )
     )
   )
 )"),0.0)</f>
        <v>0</v>
      </c>
      <c r="ER62" s="202">
        <f t="shared" si="4"/>
        <v>0</v>
      </c>
      <c r="ES62" s="203">
        <f t="shared" si="5"/>
        <v>0</v>
      </c>
      <c r="ET62" s="204" t="str">
        <f>IFERROR(__xludf.DUMMYFUNCTION("IFS(
  EP62 &gt; $ET$24 + EQ62,
  SPARKLINE({ 1, 0 }, {""charttype"",""bar"";""max"", 1;""color1"",Option!$D$30;""color2"",Option!$D$30}),
  EP62 &lt; EQ62,
  SPARKLINE({EQ62 - EP62, $ET$24 - (EQ62 - EP62)}, {""charttype"",""bar"";""max"",$ET$24;""color1"",Opti"&amp;"on!$D$28;""color2"",Option!$D$29}),
  EP62 &gt;= EQ62,
  SPARKLINE({$ET$24 + EQ62 - EP62,EP62 - EQ62}, {""charttype"",""bar"";""max"",$ET$24;""color1"",Option!$D$29;""color2"",Option!$D$30})
)"),"")</f>
        <v/>
      </c>
      <c r="EU62" s="205">
        <f>IFERROR(__xludf.DUMMYFUNCTION("PRODUCT(
   MAP(
     IF($F62=""Physical"", K$10:ED$10, IF($F62=""Magic"", K$11:ED$11, K$12:ED$12)),
     IF($F62=""Physical"", K$18:ED$18, IF($F62=""Magic"", K$19:ED$19, K$20:ED$20)),
     K$3:ED$3,
     K$5:ED$5,
     K$17:ED$17,
     K62:ED62,
     LAM"&amp;"BDA(
       mitigation,
       enhance,
       job,
       assign,
       precondition,
       check,
       IF(
         OR(AND(check=TRUE, REGEXMATCH(assign, ""SELF""), job=""ナイト""), AND(check=Option!$E$13, REGEXMATCH(assign, ""SINGLE_PARTY""))),
      "&amp;"   IF(
           OR(ARRAYFORMULA((IF(precondition="""", FALSE, REGEXMATCH($K$4:$ED$4, precondition))) * (K62:ED62=TRUE))),
           enhance,
           mitigation
         ),
         1
       )
     )
   )
 ) * EE62"),1.0)</f>
        <v>1</v>
      </c>
      <c r="EV62" s="206">
        <f t="shared" si="6"/>
        <v>0</v>
      </c>
      <c r="EW62" s="205">
        <f>IFERROR(__xludf.DUMMYFUNCTION("PRODUCT(
   MAP(
     K$3:ED$3,
     K$14:ED$14,
     K$13:ED$13,
     K62:ED62,
     LAMBDA(
       job,
       buff,
       target,
       check,
       IF(
         OR(AND(check=TRUE, REGEXMATCH(target, ""SELF_AFFECTED_ALL""), job=""ナイト""), AND(check=O"&amp;"ption!$E$13, REGEXMATCH(target, ""SINGLE_AFFECTED_ALL""))),
         buff,
         1
       )
     )
   )
 )"),1.0)</f>
        <v>1</v>
      </c>
      <c r="EX62" s="206">
        <f>IFERROR(__xludf.DUMMYFUNCTION("SUM(
   MAP(
     K$3:ED$3,
     K$7:ED$7,
     K$15:ED$15,
     K$16:ED$16,
     K$21:ED$21,
     K$5:ED$5,
     K$17:ED$17,
     K62:ED62,
     LAMBDA(
       job,
       abillity,
       buff,
       barrier,
       enhance,
       assign,
       preco"&amp;"ndition,
       check,
       IF(
         OR(AND(check=TRUE, REGEXMATCH(assign, ""SELF""), job=""ナイト""), AND(check=Option!$E$13, REGEXMATCH(assign, ""SINGLE_PARTY""))),
         IF(
           OR(ARRAYFORMULA((IF(precondition="""", FALSE, REGEXMATCH($K$4"&amp;":$ED$4, precondition))) * (K62:ED62=TRUE))),
           enhance,
           IF(barrier="""", buff, barrier)
         ),
         0
       ) *
       SWITCH(
         job,
         ""暗黒騎士"", EY$24,
         ""白魔道士"", EF62 * EH62 * EW62 * IF(abillity, 1, EG"&amp;"62 * EI62) * (Option!$D$22 * 0.81 / 100),
         ""占星術師"", EF62 * EJ62 * EW62 * IF(abillity, 1, EG62 * EK62) * (Option!$D$23 * 0.81 / 100),
         ""学者"", EF62 * EL62 * EW62 * IF(abillity, 1, EG62 * EM62) * (Option!$D$24 * 0.81 / 100),
         ""賢者"""&amp;", EF62 * EN62 * EW62 * IF(abillity, 1, EG62 * EO62) * (Option!$D$25 * 0.81 / 100),
         1
       )
     )
   )
 ) + EQ62"),0.0)</f>
        <v>0</v>
      </c>
      <c r="EY62" s="206">
        <f t="shared" si="7"/>
        <v>0</v>
      </c>
      <c r="EZ62" s="205">
        <f>IFERROR(__xludf.DUMMYFUNCTION("PRODUCT(
   MAP(
     IF($F62=""Physical"", K$10:ED$10, IF($F62=""Magic"", K$11:ED$11, K$12:ED$12)),
     IF($F62=""Physical"", K$18:ED$18, IF($F62=""Magic"", K$19:ED$19, K$20:ED$20)),
     K$3:ED$3,
     K$5:ED$5,
     K$17:ED$17,
     K62:ED62,
     LAM"&amp;"BDA(
       mitigation,
       enhance,
       job,
       assign,
       precondition,
       check,
       IF(
         OR(AND(check=TRUE, REGEXMATCH(assign, ""SELF""), job=""戦士""), AND(check=Option!$F$13, REGEXMATCH(assign, ""SINGLE_PARTY""))),
       "&amp;"  IF(
           OR(ARRAYFORMULA((IF(precondition="""", FALSE, REGEXMATCH($K$4:$ED$4, precondition))) * (K62:ED62=TRUE))),
           enhance,
           mitigation
         ),
         1
       )
     )
   )
 ) * EE62"),1.0)</f>
        <v>1</v>
      </c>
      <c r="FA62" s="206">
        <f t="shared" si="8"/>
        <v>0</v>
      </c>
      <c r="FB62" s="205">
        <f>IFERROR(__xludf.DUMMYFUNCTION("PRODUCT(
   MAP(
     K$3:ED$3,
     K$14:ED$14,
     K$13:ED$13,
     K62:ED62,
     LAMBDA(
       job,
       buff,
       target,
       check,
       IF(
         OR(AND(check=TRUE, REGEXMATCH(target, ""SELF_AFFECTED_ALL""), job=""戦士""), AND(check=Op"&amp;"tion!$F$13, REGEXMATCH(target, ""SINGLE_AFFECTED_ALL""))),
         buff,
         1
       )
     )
   )
 )"),1.0)</f>
        <v>1</v>
      </c>
      <c r="FC62" s="206">
        <f>IFERROR(__xludf.DUMMYFUNCTION("SUM(
   MAP(
     K$3:ED$3,
     K$7:ED$7,
     K$15:ED$15,
     K$16:ED$16,
     K$21:ED$21,
     K$5:ED$5,
     K$17:ED$17,
     K62:ED62,
     LAMBDA(
       job,
       abillity,
       buff,
       barrier,
       enhance,
       assign,
       preco"&amp;"ndition,
       check,
       IF(
         OR(AND(check=TRUE, REGEXMATCH(assign, ""SELF""), job=""戦士""), AND(check=Option!$F$13, REGEXMATCH(assign, ""SINGLE_PARTY""))),
         IF(
           OR(ARRAYFORMULA((IF(precondition="""", FALSE, REGEXMATCH($K$4:"&amp;"$ED$4, precondition))) * (K62:ED62=TRUE))),
           enhance,
           IF(barrier="""", buff, barrier)
         ),
         0
       ) *
       SWITCH(
         job,
         ""暗黒騎士"", FD$24,
         ""白魔道士"", EF62 * EH62 * FB62 * IF(abillity, 1, EG6"&amp;"2 * EI62) * (Option!$D$22 * 0.81 / 100),
         ""占星術師"", EF62 * EJ62 * FFB62 * IF(abillity, 1, EG62 * EK62) * (Option!$D$23 * 0.81 / 100),
         ""学者"", EF62 * EL62 * FB62 * IF(abillity, 1, EG62 * EM62) * (Option!$D$24 * 0.81 / 100),
         ""賢者"""&amp;", EF62 * EN62 * FB62 * IF(abillity, 1, EG62 * EO62) * (Option!$D$25 * 0.81 / 100),
         1
       )
     )
   )
 ) + EQ62"),0.0)</f>
        <v>0</v>
      </c>
      <c r="FD62" s="206">
        <f t="shared" si="9"/>
        <v>0</v>
      </c>
      <c r="FE62" s="205">
        <f>IFERROR(__xludf.DUMMYFUNCTION("PRODUCT(
   MAP(
     IF($F62=""Physical"", K$10:ED$10, IF($F62=""Magic"", K$11:ED$11, K$12:ED$12)),
     IF($F62=""Physical"", K$18:ED$18, IF($F62=""Magic"", K$19:ED$19, K$20:ED$20)),
     K$3:ED$3,
     K$5:ED$5,
     K$17:ED$17,
     K62:ED62,
     LAM"&amp;"BDA(
       mitigation,
       enhance,
       job,
       assign,
       precondition,
       check,
       IF(
         OR(AND(check=TRUE, REGEXMATCH(assign, ""SELF""), job=""暗黒騎士""), AND(check=Option!$G$13, REGEXMATCH(assign, ""SINGLE_PARTY""))),
     "&amp;"    IF(
           OR(ARRAYFORMULA((IF(precondition="""", FALSE, REGEXMATCH($K$4:$ED$4, precondition))) * (K62:ED62=TRUE))),
           enhance,
           mitigation
         ),
         1
       )
     )
   )
 ) * EE62"),1.0)</f>
        <v>1</v>
      </c>
      <c r="FF62" s="206">
        <f t="shared" si="10"/>
        <v>0</v>
      </c>
      <c r="FG62" s="205">
        <f>IFERROR(__xludf.DUMMYFUNCTION("PRODUCT(
   MAP(
     K$3:ED$3,
     K$14:ED$14,
     K$13:ED$13,
     K62:ED62,
     LAMBDA(
       job,
       buff,
       target,
       check,
       IF(
         OR(AND(check=TRUE, REGEXMATCH(target, ""SELF_AFFECTED_ALL""), job=""暗黒騎士""), AND(check="&amp;"Option!$G$13, REGEXMATCH(target, ""SINGLE_AFFECTED_ALL""))),
         buff,
         1
       )
     )
   )
 )"),1.0)</f>
        <v>1</v>
      </c>
      <c r="FH62" s="206">
        <f>IFERROR(__xludf.DUMMYFUNCTION("SUM(
   MAP(
     K$3:ED$3,
     K$7:ED$7,
     K$15:ED$15,
     K$16:ED$16,
     K$21:ED$21,
     K$5:ED$5,
     K$17:ED$17,
     K62:ED62,
     LAMBDA(
       job,
       abillity,
       buff,
       barrier,
       enhance,
       assign,
       preco"&amp;"ndition,
       check,
       IF(
         OR(AND(check=TRUE, REGEXMATCH(assign, ""SELF""), job=""暗黒騎士""), AND(check=Option!$G$13, REGEXMATCH(assign, ""SINGLE_PARTY""))),
         IF(
           OR(ARRAYFORMULA((IF(precondition="""", FALSE, REGEXMATCH($K$"&amp;"4:$ED$4, precondition))) * (K62:ED62=TRUE))),
           enhance,
           IF(barrier="""", buff, barrier)
         ),
         0
       ) *
       SWITCH(
         job,
         ""暗黒騎士"", FI$24,
         ""白魔道士"", EF62 * EH62 * FG62 * IF(abillity, 1, E"&amp;"G62 * EI62) * (Option!$D$22 * 0.81 / 100),
         ""占星術師"", EF62 * EJ62 * FG62 * IF(abillity, 1, EG62 * EK62) * (Option!$D$23 * 0.81 / 100),
         ""学者"", EF62 * EL62 * FG62 * IF(abillity, 1, EG62 * EM62) * (Option!$D$24 * 0.81 / 100),
         ""賢者"&amp;""", EF62 * EN62 * FG62 * IF(abillity, 1, EG62 * EO62) * (Option!$D$25 * 0.81 / 100),
         1
       )
     )
   )
 ) + EQ62"),0.0)</f>
        <v>0</v>
      </c>
      <c r="FI62" s="206">
        <f t="shared" si="11"/>
        <v>0</v>
      </c>
      <c r="FJ62" s="205">
        <f>IFERROR(__xludf.DUMMYFUNCTION("PRODUCT(
   MAP(
     IF($F62=""Physical"", K$10:ED$10, IF($F62=""Magic"", K$11:ED$11, K$12:ED$12)),
     IF($F62=""Physical"", K$18:ED$18, IF($F62=""Magic"", K$19:ED$19, K$20:ED$20)),
     K$3:ED$3,
     K$5:ED$5,
     K$17:ED$17,
     K62:ED62,
     LAM"&amp;"BDA(
       mitigation,
       enhance,
       job,
       assign,
       precondition,
       check,
       IF(
         OR(AND(check=TRUE, REGEXMATCH(assign, ""SELF""), job=""ガンブレイカー""), AND(check=Option!$H$13, REGEXMATCH(assign, ""SINGLE_PARTY""))),
  "&amp;"       IF(
           OR(ARRAYFORMULA((IF(precondition="""", FALSE, REGEXMATCH($K$4:$ED$4, precondition))) * (K62:ED62=TRUE))),
           enhance,
           mitigation
         ),
         1
       )
     )
   )
 ) * EE62"),1.0)</f>
        <v>1</v>
      </c>
      <c r="FK62" s="206">
        <f t="shared" si="12"/>
        <v>0</v>
      </c>
      <c r="FL62" s="205">
        <f>IFERROR(__xludf.DUMMYFUNCTION("PRODUCT(
   MAP(
     K$3:ED$3,
     K$14:ED$14,
     K$13:ED$13,
     K62:ED62,
     LAMBDA(
       job,
       buff,
       target,
       check,
       IF(
         OR(AND(check=TRUE, REGEXMATCH(target, ""SELF_AFFECTED_ALL""), job=""ガンブレイカー""), AND(che"&amp;"ck=Option!$H$13, REGEXMATCH(target, ""SINGLE_AFFECTED_ALL""))),
         buff,
         1
       )
     )
   )
 )"),1.0)</f>
        <v>1</v>
      </c>
      <c r="FM62" s="206">
        <f>IFERROR(__xludf.DUMMYFUNCTION("SUM(
   MAP(
     K$3:ED$3,
     K$7:ED$7,
     K$15:ED$15,
     K$16:ED$16,
     K$21:ED$21,
     K$5:ED$5,
     K$17:ED$17,
     K62:ED62,
     LAMBDA(
       job,
       abillity,
       buff,
       barrier,
       enhance,
       assign,
       preco"&amp;"ndition,
       check,
       IF(
         OR(AND(check=TRUE, REGEXMATCH(assign, ""SELF""), job=""ガンブレイカー""), AND(check=Option!$H$13, REGEXMATCH(assign, ""SINGLE_PARTY""))),
         IF(
           OR(ARRAYFORMULA((IF(precondition="""", FALSE, REGEXMATCH("&amp;"$K$4:$ED$4, precondition))) * (K62:ED62=TRUE))),
           enhance,
           IF(barrier="""", buff, barrier)
         ),
         0
       ) *
       SWITCH(
         job,
         ""暗黒騎士"", FN$24,
         ""白魔道士"", EF62 * EH62 * FL62 * IF(abillity, 1"&amp;", EG62 * EI62) * (Option!$D$22 * 0.81 / 100),
         ""占星術師"", EF62 * EJ62 * FL62 * IF(abillity, 1, EG62 * EK62) * (Option!$D$23 * 0.81 / 100),
         ""学者"", EF62 * EL62 * FL62 * IF(abillity, 1, EG62 * EM62) * (Option!$D$24 * 0.81 / 100),
         """&amp;"賢者"", EF62 * EN62 * FL62 * IF(abillity, 1, EG62 * EO62) * (Option!$D$25 * 0.81 / 100),
         1
       )
     )
   )
 ) + EQ62"),0.0)</f>
        <v>0</v>
      </c>
      <c r="FN62" s="206">
        <f t="shared" si="13"/>
        <v>0</v>
      </c>
      <c r="FO62" s="213"/>
    </row>
    <row r="63">
      <c r="B63" s="229"/>
      <c r="C63" s="217">
        <f t="shared" si="1"/>
        <v>0</v>
      </c>
      <c r="D63" s="236"/>
      <c r="E63" s="219"/>
      <c r="F63" s="167"/>
      <c r="G63" s="168" t="str">
        <f t="shared" si="2"/>
        <v/>
      </c>
      <c r="H63" s="169"/>
      <c r="I63" s="169"/>
      <c r="J63" s="169"/>
      <c r="K63" s="170" t="b">
        <v>0</v>
      </c>
      <c r="L63" s="170" t="b">
        <v>0</v>
      </c>
      <c r="M63" s="170" t="b">
        <v>0</v>
      </c>
      <c r="N63" s="171" t="s">
        <v>1070</v>
      </c>
      <c r="O63" s="172" t="b">
        <v>0</v>
      </c>
      <c r="P63" s="173" t="b">
        <v>0</v>
      </c>
      <c r="Q63" s="173" t="b">
        <v>0</v>
      </c>
      <c r="R63" s="173" t="b">
        <v>0</v>
      </c>
      <c r="S63" s="174" t="b">
        <v>0</v>
      </c>
      <c r="T63" s="175" t="b">
        <v>0</v>
      </c>
      <c r="U63" s="173" t="b">
        <v>0</v>
      </c>
      <c r="V63" s="171" t="s">
        <v>1070</v>
      </c>
      <c r="W63" s="172" t="b">
        <v>0</v>
      </c>
      <c r="X63" s="173" t="b">
        <v>0</v>
      </c>
      <c r="Y63" s="173" t="b">
        <v>0</v>
      </c>
      <c r="Z63" s="173" t="b">
        <v>0</v>
      </c>
      <c r="AA63" s="174" t="b">
        <v>0</v>
      </c>
      <c r="AB63" s="174" t="b">
        <v>0</v>
      </c>
      <c r="AC63" s="175" t="b">
        <v>0</v>
      </c>
      <c r="AD63" s="173" t="b">
        <v>0</v>
      </c>
      <c r="AE63" s="176" t="s">
        <v>1070</v>
      </c>
      <c r="AF63" s="171" t="s">
        <v>1070</v>
      </c>
      <c r="AG63" s="177">
        <f>IFERROR(__xludf.DUMMYFUNCTION("IF(
  ISNUMBER(AG62),
  MIN(MAX(
    AG62
    + MAX(
      ROUNDDOWN(($D63 - MAX(IFERROR(FILTER($D$24:$D62, AG$24:AG62 &lt;&gt; AF$6, AG$23:AG61 = AF$6), 0))) * (60 * 60 * 24) / AF$9) - ROUNDDOWN(($D62 - MAX(IFERROR(FILTER($D$23:$D61, AG$23:AG61 &lt;&gt; AF$6, AG$22:"&amp;"AG60 = AF$6), 0))) * (60 * 60 * 24) / 60),
      0
    )
    - COUNTIF(AF63, ""&lt;&gt;-""),
  0), AF$6),
  AF$6 - COUNTIF(AF63, ""&lt;&gt;-"")
)"),2.0)</f>
        <v>2</v>
      </c>
      <c r="AH63" s="173" t="b">
        <v>0</v>
      </c>
      <c r="AI63" s="173" t="b">
        <v>0</v>
      </c>
      <c r="AJ63" s="173" t="b">
        <v>0</v>
      </c>
      <c r="AK63" s="174" t="b">
        <v>0</v>
      </c>
      <c r="AL63" s="175" t="b">
        <v>0</v>
      </c>
      <c r="AM63" s="173" t="b">
        <v>0</v>
      </c>
      <c r="AN63" s="171" t="s">
        <v>1070</v>
      </c>
      <c r="AO63" s="173" t="b">
        <v>0</v>
      </c>
      <c r="AP63" s="173" t="b">
        <v>0</v>
      </c>
      <c r="AQ63" s="173" t="b">
        <v>0</v>
      </c>
      <c r="AR63" s="174" t="b">
        <v>0</v>
      </c>
      <c r="AS63" s="178" t="b">
        <v>0</v>
      </c>
      <c r="AT63" s="179" t="b">
        <v>0</v>
      </c>
      <c r="AU63" s="180" t="b">
        <v>0</v>
      </c>
      <c r="AV63" s="180" t="b">
        <v>0</v>
      </c>
      <c r="AW63" s="180" t="b">
        <v>0</v>
      </c>
      <c r="AX63" s="180" t="b">
        <v>0</v>
      </c>
      <c r="AY63" s="181" t="s">
        <v>1070</v>
      </c>
      <c r="AZ63" s="181" t="s">
        <v>1070</v>
      </c>
      <c r="BA63" s="184">
        <f>IFERROR(__xludf.DUMMYFUNCTION("IF(
  ISNUMBER(BA62),
  MIN(MAX(
    BA62
    + MAX(
      ROUNDDOWN((D63 - MAX(IFERROR(FILTER(D$24:D62, BA$24:BA62 &lt;&gt; AZ$6, BA$23:BA61 = AZ$6), 0))) * (60 * 60 * 24) / AZ$9) - ROUNDDOWN((D62 - MAX(IFERROR(FILTER(D$23:D61, BA$23:BA61 &lt;&gt; AZ$6, BA$22:BA60 ="&amp;" AZ$6), 0))) * (60 * 60 * 24) / AZ$9),
      0
    )
    - COUNTIF(AZ63, ""&lt;&gt;-""),
  0), AZ$6),
  AZ$6 - COUNTIF(AZ63, ""&lt;&gt;-"")
)"),2.0)</f>
        <v>2</v>
      </c>
      <c r="BB63" s="181" t="s">
        <v>1070</v>
      </c>
      <c r="BC63" s="183">
        <f>IFERROR(__xludf.DUMMYFUNCTION("IF(
  ISNUMBER(BC62),
  MIN(MAX(
    BC62
    + MAX(
      ROUNDDOWN(($D63 - MAX(IFERROR(FILTER($D$24:$D62, BC$24:BC62 &lt;&gt; BB$6, BC$23:BC61 = BB$6), 0))) * (60 * 60 * 24) / BB$9) - ROUNDDOWN(($D62 - MAX(IFERROR(FILTER($D$23:$D61, BC$23:BC61 &lt;&gt; BB$6, BC$22:"&amp;"BC60 = BB$6), 0))) * (60 * 60 * 24) / 60),
      0
    )
    - COUNTIF(BB63, ""&lt;&gt;-""),
  0), BB$6),
  BB$6 - COUNTIF(BB63, ""&lt;&gt;-"")
)"),2.0)</f>
        <v>2</v>
      </c>
      <c r="BD63" s="181" t="s">
        <v>1070</v>
      </c>
      <c r="BE63" s="178" t="b">
        <v>0</v>
      </c>
      <c r="BF63" s="180" t="b">
        <v>0</v>
      </c>
      <c r="BG63" s="180" t="b">
        <v>0</v>
      </c>
      <c r="BH63" s="180" t="b">
        <v>0</v>
      </c>
      <c r="BI63" s="180" t="b">
        <v>0</v>
      </c>
      <c r="BJ63" s="180" t="b">
        <v>0</v>
      </c>
      <c r="BK63" s="180" t="b">
        <v>0</v>
      </c>
      <c r="BL63" s="180" t="b">
        <v>0</v>
      </c>
      <c r="BM63" s="180" t="b">
        <v>0</v>
      </c>
      <c r="BN63" s="180" t="b">
        <v>0</v>
      </c>
      <c r="BO63" s="181" t="s">
        <v>1070</v>
      </c>
      <c r="BP63" s="181" t="s">
        <v>1070</v>
      </c>
      <c r="BQ63" s="181" t="s">
        <v>1070</v>
      </c>
      <c r="BR63" s="181" t="s">
        <v>1070</v>
      </c>
      <c r="BS63" s="181" t="s">
        <v>1070</v>
      </c>
      <c r="BT63" s="184">
        <f>IFERROR(__xludf.DUMMYFUNCTION("IF(
  ISNUMBER(BT62),
  MIN(MAX(
    BT62
    + MAX(
      ROUNDDOWN((D63 - MAX(IFERROR(FILTER(D$24:D62, BT$24:BT62 &lt;&gt; BS$6, BT$23:BT61 = BS$6), 0))) * (60 * 60 * 24) / BS$9) - ROUNDDOWN((D62 - MAX(IFERROR(FILTER(D$23:D61, BT$23:BT61 &lt;&gt; BS$6, BT$22:BT60 ="&amp;" BS$6), 0))) * (60 * 60 * 24) / BS$9),
      0
    )
    - COUNTIF(BS63, ""&lt;&gt;-""),
  0), BS$6),
  BS$6 - COUNTIF(BS63, ""&lt;&gt;-"")
)"),3.0)</f>
        <v>3</v>
      </c>
      <c r="BU63" s="181" t="s">
        <v>1070</v>
      </c>
      <c r="BV63" s="181" t="s">
        <v>1070</v>
      </c>
      <c r="BW63" s="184">
        <f>IFERROR(__xludf.DUMMYFUNCTION("IF(
  ISNUMBER(BW62),
  MIN(MAX(
    BW62
    + MAX(
      ROUNDDOWN((D63 - MAX(IFERROR(FILTER(D$24:D62, BW$24:BW62 &lt;&gt; BV$6, BW$23:BW61 = BV$6), 0))) * (60 * 60 * 24) / BV$9) - ROUNDDOWN((D62 - MAX(IFERROR(FILTER(D$23:D61, BW$23:BW61 &lt;&gt; BV$6, BW$22:BW60 ="&amp;" BV$6), 0))) * (60 * 60 * 24) / BV$9),
      0
    )
    - COUNTIF(BV63, ""&lt;&gt;-""),
  0), BV$6),
  BV$6 - COUNTIF(BV63, ""&lt;&gt;-"")
)"),2.0)</f>
        <v>2</v>
      </c>
      <c r="BX63" s="185" t="s">
        <v>1070</v>
      </c>
      <c r="BY63" s="178" t="b">
        <v>0</v>
      </c>
      <c r="BZ63" s="180" t="b">
        <v>0</v>
      </c>
      <c r="CA63" s="180" t="b">
        <v>0</v>
      </c>
      <c r="CB63" s="180" t="b">
        <v>0</v>
      </c>
      <c r="CC63" s="180" t="b">
        <v>0</v>
      </c>
      <c r="CD63" s="180" t="b">
        <v>0</v>
      </c>
      <c r="CE63" s="180" t="b">
        <v>0</v>
      </c>
      <c r="CF63" s="180" t="b">
        <v>0</v>
      </c>
      <c r="CG63" s="180" t="b">
        <v>0</v>
      </c>
      <c r="CH63" s="180" t="b">
        <v>0</v>
      </c>
      <c r="CI63" s="180" t="b">
        <v>0</v>
      </c>
      <c r="CJ63" s="180" t="b">
        <v>0</v>
      </c>
      <c r="CK63" s="180" t="b">
        <v>0</v>
      </c>
      <c r="CL63" s="180" t="b">
        <v>0</v>
      </c>
      <c r="CM63" s="181" t="s">
        <v>1070</v>
      </c>
      <c r="CN63" s="181" t="s">
        <v>1070</v>
      </c>
      <c r="CO63" s="181" t="s">
        <v>1070</v>
      </c>
      <c r="CP63" s="181" t="s">
        <v>1070</v>
      </c>
      <c r="CQ63" s="185" t="s">
        <v>1070</v>
      </c>
      <c r="CR63" s="180" t="b">
        <v>0</v>
      </c>
      <c r="CS63" s="186" t="str">
        <f t="shared" si="14"/>
        <v>◇◇◇</v>
      </c>
      <c r="CT63" s="178" t="b">
        <v>0</v>
      </c>
      <c r="CU63" s="180" t="b">
        <v>0</v>
      </c>
      <c r="CV63" s="180" t="b">
        <v>0</v>
      </c>
      <c r="CW63" s="180" t="b">
        <v>0</v>
      </c>
      <c r="CX63" s="180" t="b">
        <v>0</v>
      </c>
      <c r="CY63" s="180" t="b">
        <v>0</v>
      </c>
      <c r="CZ63" s="180" t="b">
        <v>0</v>
      </c>
      <c r="DA63" s="180" t="b">
        <v>0</v>
      </c>
      <c r="DB63" s="180" t="b">
        <v>0</v>
      </c>
      <c r="DC63" s="180" t="b">
        <v>0</v>
      </c>
      <c r="DD63" s="181" t="s">
        <v>1070</v>
      </c>
      <c r="DE63" s="181" t="s">
        <v>1070</v>
      </c>
      <c r="DF63" s="181" t="s">
        <v>1070</v>
      </c>
      <c r="DG63" s="185" t="s">
        <v>1070</v>
      </c>
      <c r="DH63" s="180" t="b">
        <v>0</v>
      </c>
      <c r="DI63" s="187" t="str">
        <f>IFERROR(__xludf.DUMMYFUNCTION("SWITCH(
  IF(
    ISTEXT(DI62),
    IF (
      FIND(""○"", DI62&amp;""○"") &gt; 3,
      3,
      FIND(""○"", DI62&amp;""○"")
      + MAX(
        ROUNDDOWN(($D63 - MAX(IFERROR(FILTER(D$24:D62, DI$24:DI62 &lt;&gt; ""●●●"", DI$23:DI61 = ""●●●""), 0))) * (60 * 60 * 24) / 20"&amp;") - ROUNDDOWN(($D62 - MAX(IFERROR(FILTER(D$23:D61, DI$23:DI61 &lt;&gt; ""●●●"", DI$22:DI60 = ""●●●""), 0))) * (60 * 60 * 24) / 20),
        0
      ) - 1
    ) - COUNTIFS(CU63, ""=TRUE"", CU62, ""&lt;&gt;TRUE"") - COUNTIF(CZ63, ""=TRUE"") - COUNTIF({DD63,DE63}, ""&lt;&gt;-"&amp;""") + COUNTIF(DH63, ""=TRUE""),
    3
  ),
  0, ""○○○"", 1, ""●○○"", 2, ""●●○"", 3, ""●●●"", 4, ""●●●"", ""○○○""
)"),"●●●")</f>
        <v>●●●</v>
      </c>
      <c r="DJ63" s="188" t="b">
        <v>0</v>
      </c>
      <c r="DK63" s="189" t="b">
        <v>0</v>
      </c>
      <c r="DL63" s="190" t="b">
        <v>0</v>
      </c>
      <c r="DM63" s="190" t="b">
        <v>0</v>
      </c>
      <c r="DN63" s="190" t="b">
        <v>0</v>
      </c>
      <c r="DO63" s="190" t="b">
        <v>0</v>
      </c>
      <c r="DP63" s="190" t="b">
        <v>0</v>
      </c>
      <c r="DQ63" s="191" t="b">
        <v>0</v>
      </c>
      <c r="DR63" s="192" t="b">
        <v>0</v>
      </c>
      <c r="DS63" s="191" t="b">
        <v>0</v>
      </c>
      <c r="DT63" s="192" t="b">
        <v>0</v>
      </c>
      <c r="DU63" s="191" t="b">
        <v>0</v>
      </c>
      <c r="DV63" s="193" t="s">
        <v>1070</v>
      </c>
      <c r="DW63" s="194" t="b">
        <v>0</v>
      </c>
      <c r="DX63" s="194" t="b">
        <v>0</v>
      </c>
      <c r="DY63" s="195" t="b">
        <v>0</v>
      </c>
      <c r="DZ63" s="196" t="b">
        <v>0</v>
      </c>
      <c r="EA63" s="195" t="b">
        <v>0</v>
      </c>
      <c r="EB63" s="197" t="b">
        <v>0</v>
      </c>
      <c r="EC63" s="197" t="b">
        <v>0</v>
      </c>
      <c r="ED63" s="212" t="b">
        <v>0</v>
      </c>
      <c r="EE63" s="199">
        <f>IFERROR(__xludf.DUMMYFUNCTION("IFERROR(
   PRODUCT(
     MAP(
       INDEX(TRANSPOSE(UNIQUE(TRANSPOSE(FILTER({IF($F63=""Physical"", K$10:ED$10, IF($F63=""Magic"", K$11:ED$11, K$12:ED$12));K$4:ED$4;K63:ED63}, K63:ED63=TRUE)))), 1, 0),
       INDEX(TRANSPOSE(UNIQUE(TRANSPOSE(FILTER({IF($"&amp;"F63=""Physical"", K$18:ED$18, IF($F63=""Magic"", K$19:ED$19, K$20:ED$20));K$4:ED$4;K63:ED63}, K63:ED63=TRUE)))), 1, 0),
       INDEX(TRANSPOSE(UNIQUE(TRANSPOSE(FILTER({K$5:ED$5;K$4:ED$4;K63:ED63}, K63:ED63=TRUE)))), 1, 0),
       INDEX(TRANSPOSE(UNIQUE(TR"&amp;"ANSPOSE(FILTER({K$17:ED$17;K$4:ED$4;K63:ED63}, K63:ED63=TRUE)))), 1, 0),
       LAMBDA(
         mitigation,
         enhance,
         assign,
         precondition,
         IF(
           REGEXMATCH(assign, ""RANGE_PARTY|SINGLE_ENEMY|RANGE_ENEMY""),
  "&amp;"         IF(
             OR(ARRAYFORMULA((IF(precondition="""", FALSE, REGEXMATCH(K$4:ED$4, precondition))) * (K63:ED63=TRUE))),
             IF(ISNUMBER(enhance), enhance, 1),
             IF(ISNUMBER(mitigation), mitigation, 1)
           ),
          "&amp;" 1
         )
       )
     )
   ),
   1
 )"),1.0)</f>
        <v>1</v>
      </c>
      <c r="EF63" s="200">
        <f>IFERROR(__xludf.DUMMYFUNCTION("PRODUCT(
   MAP(
     K$14:ED$14,
     K$13:ED$13,
     K63:ED63,
     LAMBDA(
       buff,
       target,
       check,
       IF(
         AND(check=TRUE, REGEXMATCH(target, ""RANGE_AFFECTED_ALL|RANGE_EFFECTED_ALL""), ISNUMBER(buff)),
         buff,
   "&amp;"      1
       )
     )
   )
 )"),1.0)</f>
        <v>1</v>
      </c>
      <c r="EG63" s="200">
        <f>IFERROR(__xludf.DUMMYFUNCTION("PRODUCT(
   MAP(
     K$14:ED$14,
     K$13:ED$13,
     K63:ED63,
     LAMBDA(
       buff,
       target,
       check,
       IF(
         AND(check=TRUE, REGEXMATCH(target, ""RANGE_AFFECTED_GCD|RANGE_EFFECTED_GCD""), ISNUMBER(buff)),
         buff,
   "&amp;"      1
       )
     )
   )
 )"),1.0)</f>
        <v>1</v>
      </c>
      <c r="EH63" s="200">
        <f>IFERROR(__xludf.DUMMYFUNCTION("PRODUCT(
   MAP(
     K$3:ED$3,
     K$14:ED$14,
     K$13:ED$13,
     K63:ED63,
     LAMBDA(
       job,
       buff,
       target,
       check,
       IF(
         AND(check=TRUE, REGEXMATCH(target, ""SELF_EFFECTED_ALL""), ISNUMBER(buff), job=""白魔道士"""&amp;"),
         buff,
         1
       )
     )
   )
 )"),1.0)</f>
        <v>1</v>
      </c>
      <c r="EI63" s="200">
        <f>IFERROR(__xludf.DUMMYFUNCTION("PRODUCT(
   MAP(
     K$3:ED$3,
     K$14:ED$14,
     K$13:ED$13,
     K63:ED63,
     LAMBDA(
       job,
       buff,
       target,
       check,
       IF(
         AND(check=TRUE, REGEXMATCH(target, ""SELF_EFFECTED_GCD""), ISNUMBER(buff), job=""白魔道士"""&amp;"),
         buff,
         1
       )
     )
   )
 )"),1.0)</f>
        <v>1</v>
      </c>
      <c r="EJ63" s="200">
        <f>IFERROR(__xludf.DUMMYFUNCTION("PRODUCT(
   MAP(
     K$3:ED$3,
     K$14:ED$14,
     K$13:ED$13,
     K63:ED63,
     LAMBDA(
       job,
       buff,
       target,
       check,
       IF(
         AND(check=TRUE, REGEXMATCH(target, ""SELF_EFFECTED_ALL""), ISNUMBER(buff), job=""占星術師"""&amp;"),
         buff,
         1
       )
     )
   )
 )"),1.0)</f>
        <v>1</v>
      </c>
      <c r="EK63" s="200">
        <f>IFERROR(__xludf.DUMMYFUNCTION("PRODUCT(
   MAP(
     K$3:ED$3,
     K$14:ED$14,
     K$13:ED$13,
     K63:ED63,
     LAMBDA(
       job,
       buff,
       target,
       check,
       IF(
         AND(check=TRUE, REGEXMATCH(target, ""SELF_EFFECTED_GCD""), ISNUMBER(buff), job=""占星術師"""&amp;"),
         buff,
         1
       )
     )
   )
 )"),1.0)</f>
        <v>1</v>
      </c>
      <c r="EL63" s="200">
        <f>IFERROR(__xludf.DUMMYFUNCTION("PRODUCT(
   MAP(
     K$3:ED$3,
     K$14:ED$14,
     K$13:ED$13,
     K63:ED63,
     LAMBDA(
       job,
       buff,
       target,
       check,
       IF(
         AND(check=TRUE, REGEXMATCH(target, ""SELF_EFFECTED_ALL""), ISNUMBER(buff), job=""学者""),"&amp;"
         buff,
         1
       )
     )
   )
 )"),1.0)</f>
        <v>1</v>
      </c>
      <c r="EM63" s="200">
        <f>IFERROR(__xludf.DUMMYFUNCTION("PRODUCT(
   MAP(
     K$3:ED$3,
     K$14:ED$14,
     K$13:ED$13,
     K63:ED63,
     LAMBDA(
       job,
       buff,
       target,
       check,
       IF(
         AND(check=TRUE, REGEXMATCH(target, ""SELF_EFFECTED_GCD""), ISNUMBER(buff), job=""学者""),"&amp;"
         buff,
         1
       )
     )
   )
 )"),1.0)</f>
        <v>1</v>
      </c>
      <c r="EN63" s="200">
        <f>IFERROR(__xludf.DUMMYFUNCTION("PRODUCT(
   MAP(
     K$3:ED$3,
     K$14:ED$14,
     K$13:ED$13,
     K63:ED63,
     LAMBDA(
       job,
       buff,
       target,
       check,
       IF(
         AND(check=TRUE, REGEXMATCH(target, ""SELF_EFFECTED_ALL""), ISNUMBER(buff), job=""賢者""),"&amp;"
         buff,
         1
       )
     )
   )
 )"),1.0)</f>
        <v>1</v>
      </c>
      <c r="EO63" s="200">
        <f>IFERROR(__xludf.DUMMYFUNCTION("PRODUCT(
   MAP(
     K$3:ED$3,
     K$14:ED$14,
     K$13:ED$13,
     K63:ED63,
     LAMBDA(
       job,
       buff,
       target,
       check,
       IF(
         AND(check=TRUE, REGEXMATCH(target, ""SELF_EFFECTED_GCD""), ISNUMBER(buff), job=""賢者""),"&amp;"
         buff,
         1
       )
     )
   )
 )"),1.0)</f>
        <v>1</v>
      </c>
      <c r="EP63" s="201">
        <f t="shared" si="3"/>
        <v>0</v>
      </c>
      <c r="EQ63" s="201">
        <f>IFERROR(__xludf.DUMMYFUNCTION("SUM(
   MAP(
     K$4:ED$4,
     K$3:ED$3,
     K$7:ED$7,
     K$15:ED$15,
     K$16:ED$16,
     K$21:ED$21,
     K$5:ED$5,
     K$17:ED$17,
     K63:ED63,
     LAMBDA(
       name,
       job,
       abillity,
       buff,
       barrier,
       enhance,"&amp;"
       assign,
       precondition,
       check,
       SWITCH(
         name,
         ""シェイクオフ"", IF(check=TRUE, buff + (0.02 * COUNTIF(ARRAYFORMULA((REGEXMATCH($K$4:$ED$4, ""スリル・オブ・バトル|ヴェンジェンス|原初の血気|ダムネーション"")) * (K63:ED63=TRUE)), 1)), 0),
         "&amp;"""インプロビゼーションフィニッシュ(踊りの激情0)"", IF(ISNUMBER(check), INDEX(Skill!$AJ:$AJ, MATCH(SUBSTITUTE(DV$4, 0, check), Skill!$C:$C, 0)), 0),
         IF(
           AND(check=TRUE, REGEXMATCH(assign, ""RANGE_PARTY"")),
           IF(
             OR(ARRAYFORMULA((IF(pr"&amp;"econdition="""", FALSE, REGEXMATCH($K$4:$ED$4, precondition))) * (K63:ED63=TRUE))),
             enhance,
             IF(barrier="""", buff, barrier)
           ),
           0
         )
       ) *
       SWITCH(
         job,
         ""ナイト"", EY$24,
 "&amp;"        ""戦士"", FD$24,
         ""踊り子"", ET$24,
         ""ピクトマンサー"", ET$24,
         ""白魔道士"", EF63 * EH63 * IF(abillity, 1, EG63 * EI63) * (Option!$D$22 * 0.81 / 100),
         ""占星術師"", EF63 * EJ63 * IF(abillity, 1, EG63 * EK63) * (Option!$D$23 * 0.81 "&amp;"/ 100),
         ""学者"", EF63 * EL63 * IF(abillity, 1, EG63 * EM63) * (Option!$D$24 * 0.81 / 100),
         ""賢者"", EF63 * EN63 * IF(abillity, 1, EG63 * EO63) * (Option!$D$25 * 0.81 / 100),
         1
       )
     )
   )
 )"),0.0)</f>
        <v>0</v>
      </c>
      <c r="ER63" s="202">
        <f t="shared" si="4"/>
        <v>0</v>
      </c>
      <c r="ES63" s="203">
        <f t="shared" si="5"/>
        <v>0</v>
      </c>
      <c r="ET63" s="204" t="str">
        <f>IFERROR(__xludf.DUMMYFUNCTION("IFS(
  EP63 &gt; $ET$24 + EQ63,
  SPARKLINE({ 1, 0 }, {""charttype"",""bar"";""max"", 1;""color1"",Option!$D$30;""color2"",Option!$D$30}),
  EP63 &lt; EQ63,
  SPARKLINE({EQ63 - EP63, $ET$24 - (EQ63 - EP63)}, {""charttype"",""bar"";""max"",$ET$24;""color1"",Opti"&amp;"on!$D$28;""color2"",Option!$D$29}),
  EP63 &gt;= EQ63,
  SPARKLINE({$ET$24 + EQ63 - EP63,EP63 - EQ63}, {""charttype"",""bar"";""max"",$ET$24;""color1"",Option!$D$29;""color2"",Option!$D$30})
)"),"")</f>
        <v/>
      </c>
      <c r="EU63" s="205">
        <f>IFERROR(__xludf.DUMMYFUNCTION("PRODUCT(
   MAP(
     IF($F63=""Physical"", K$10:ED$10, IF($F63=""Magic"", K$11:ED$11, K$12:ED$12)),
     IF($F63=""Physical"", K$18:ED$18, IF($F63=""Magic"", K$19:ED$19, K$20:ED$20)),
     K$3:ED$3,
     K$5:ED$5,
     K$17:ED$17,
     K63:ED63,
     LAM"&amp;"BDA(
       mitigation,
       enhance,
       job,
       assign,
       precondition,
       check,
       IF(
         OR(AND(check=TRUE, REGEXMATCH(assign, ""SELF""), job=""ナイト""), AND(check=Option!$E$13, REGEXMATCH(assign, ""SINGLE_PARTY""))),
      "&amp;"   IF(
           OR(ARRAYFORMULA((IF(precondition="""", FALSE, REGEXMATCH($K$4:$ED$4, precondition))) * (K63:ED63=TRUE))),
           enhance,
           mitigation
         ),
         1
       )
     )
   )
 ) * EE63"),1.0)</f>
        <v>1</v>
      </c>
      <c r="EV63" s="206">
        <f t="shared" si="6"/>
        <v>0</v>
      </c>
      <c r="EW63" s="205">
        <f>IFERROR(__xludf.DUMMYFUNCTION("PRODUCT(
   MAP(
     K$3:ED$3,
     K$14:ED$14,
     K$13:ED$13,
     K63:ED63,
     LAMBDA(
       job,
       buff,
       target,
       check,
       IF(
         OR(AND(check=TRUE, REGEXMATCH(target, ""SELF_AFFECTED_ALL""), job=""ナイト""), AND(check=O"&amp;"ption!$E$13, REGEXMATCH(target, ""SINGLE_AFFECTED_ALL""))),
         buff,
         1
       )
     )
   )
 )"),1.0)</f>
        <v>1</v>
      </c>
      <c r="EX63" s="206">
        <f>IFERROR(__xludf.DUMMYFUNCTION("SUM(
   MAP(
     K$3:ED$3,
     K$7:ED$7,
     K$15:ED$15,
     K$16:ED$16,
     K$21:ED$21,
     K$5:ED$5,
     K$17:ED$17,
     K63:ED63,
     LAMBDA(
       job,
       abillity,
       buff,
       barrier,
       enhance,
       assign,
       preco"&amp;"ndition,
       check,
       IF(
         OR(AND(check=TRUE, REGEXMATCH(assign, ""SELF""), job=""ナイト""), AND(check=Option!$E$13, REGEXMATCH(assign, ""SINGLE_PARTY""))),
         IF(
           OR(ARRAYFORMULA((IF(precondition="""", FALSE, REGEXMATCH($K$4"&amp;":$ED$4, precondition))) * (K63:ED63=TRUE))),
           enhance,
           IF(barrier="""", buff, barrier)
         ),
         0
       ) *
       SWITCH(
         job,
         ""暗黒騎士"", EY$24,
         ""白魔道士"", EF63 * EH63 * EW63 * IF(abillity, 1, EG"&amp;"63 * EI63) * (Option!$D$22 * 0.81 / 100),
         ""占星術師"", EF63 * EJ63 * EW63 * IF(abillity, 1, EG63 * EK63) * (Option!$D$23 * 0.81 / 100),
         ""学者"", EF63 * EL63 * EW63 * IF(abillity, 1, EG63 * EM63) * (Option!$D$24 * 0.81 / 100),
         ""賢者"""&amp;", EF63 * EN63 * EW63 * IF(abillity, 1, EG63 * EO63) * (Option!$D$25 * 0.81 / 100),
         1
       )
     )
   )
 ) + EQ63"),0.0)</f>
        <v>0</v>
      </c>
      <c r="EY63" s="206">
        <f t="shared" si="7"/>
        <v>0</v>
      </c>
      <c r="EZ63" s="205">
        <f>IFERROR(__xludf.DUMMYFUNCTION("PRODUCT(
   MAP(
     IF($F63=""Physical"", K$10:ED$10, IF($F63=""Magic"", K$11:ED$11, K$12:ED$12)),
     IF($F63=""Physical"", K$18:ED$18, IF($F63=""Magic"", K$19:ED$19, K$20:ED$20)),
     K$3:ED$3,
     K$5:ED$5,
     K$17:ED$17,
     K63:ED63,
     LAM"&amp;"BDA(
       mitigation,
       enhance,
       job,
       assign,
       precondition,
       check,
       IF(
         OR(AND(check=TRUE, REGEXMATCH(assign, ""SELF""), job=""戦士""), AND(check=Option!$F$13, REGEXMATCH(assign, ""SINGLE_PARTY""))),
       "&amp;"  IF(
           OR(ARRAYFORMULA((IF(precondition="""", FALSE, REGEXMATCH($K$4:$ED$4, precondition))) * (K63:ED63=TRUE))),
           enhance,
           mitigation
         ),
         1
       )
     )
   )
 ) * EE63"),1.0)</f>
        <v>1</v>
      </c>
      <c r="FA63" s="206">
        <f t="shared" si="8"/>
        <v>0</v>
      </c>
      <c r="FB63" s="205">
        <f>IFERROR(__xludf.DUMMYFUNCTION("PRODUCT(
   MAP(
     K$3:ED$3,
     K$14:ED$14,
     K$13:ED$13,
     K63:ED63,
     LAMBDA(
       job,
       buff,
       target,
       check,
       IF(
         OR(AND(check=TRUE, REGEXMATCH(target, ""SELF_AFFECTED_ALL""), job=""戦士""), AND(check=Op"&amp;"tion!$F$13, REGEXMATCH(target, ""SINGLE_AFFECTED_ALL""))),
         buff,
         1
       )
     )
   )
 )"),1.0)</f>
        <v>1</v>
      </c>
      <c r="FC63" s="206">
        <f>IFERROR(__xludf.DUMMYFUNCTION("SUM(
   MAP(
     K$3:ED$3,
     K$7:ED$7,
     K$15:ED$15,
     K$16:ED$16,
     K$21:ED$21,
     K$5:ED$5,
     K$17:ED$17,
     K63:ED63,
     LAMBDA(
       job,
       abillity,
       buff,
       barrier,
       enhance,
       assign,
       preco"&amp;"ndition,
       check,
       IF(
         OR(AND(check=TRUE, REGEXMATCH(assign, ""SELF""), job=""戦士""), AND(check=Option!$F$13, REGEXMATCH(assign, ""SINGLE_PARTY""))),
         IF(
           OR(ARRAYFORMULA((IF(precondition="""", FALSE, REGEXMATCH($K$4:"&amp;"$ED$4, precondition))) * (K63:ED63=TRUE))),
           enhance,
           IF(barrier="""", buff, barrier)
         ),
         0
       ) *
       SWITCH(
         job,
         ""暗黒騎士"", FD$24,
         ""白魔道士"", EF63 * EH63 * FB63 * IF(abillity, 1, EG6"&amp;"3 * EI63) * (Option!$D$22 * 0.81 / 100),
         ""占星術師"", EF63 * EJ63 * FFB63 * IF(abillity, 1, EG63 * EK63) * (Option!$D$23 * 0.81 / 100),
         ""学者"", EF63 * EL63 * FB63 * IF(abillity, 1, EG63 * EM63) * (Option!$D$24 * 0.81 / 100),
         ""賢者"""&amp;", EF63 * EN63 * FB63 * IF(abillity, 1, EG63 * EO63) * (Option!$D$25 * 0.81 / 100),
         1
       )
     )
   )
 ) + EQ63"),0.0)</f>
        <v>0</v>
      </c>
      <c r="FD63" s="206">
        <f t="shared" si="9"/>
        <v>0</v>
      </c>
      <c r="FE63" s="205">
        <f>IFERROR(__xludf.DUMMYFUNCTION("PRODUCT(
   MAP(
     IF($F63=""Physical"", K$10:ED$10, IF($F63=""Magic"", K$11:ED$11, K$12:ED$12)),
     IF($F63=""Physical"", K$18:ED$18, IF($F63=""Magic"", K$19:ED$19, K$20:ED$20)),
     K$3:ED$3,
     K$5:ED$5,
     K$17:ED$17,
     K63:ED63,
     LAM"&amp;"BDA(
       mitigation,
       enhance,
       job,
       assign,
       precondition,
       check,
       IF(
         OR(AND(check=TRUE, REGEXMATCH(assign, ""SELF""), job=""暗黒騎士""), AND(check=Option!$G$13, REGEXMATCH(assign, ""SINGLE_PARTY""))),
     "&amp;"    IF(
           OR(ARRAYFORMULA((IF(precondition="""", FALSE, REGEXMATCH($K$4:$ED$4, precondition))) * (K63:ED63=TRUE))),
           enhance,
           mitigation
         ),
         1
       )
     )
   )
 ) * EE63"),1.0)</f>
        <v>1</v>
      </c>
      <c r="FF63" s="206">
        <f t="shared" si="10"/>
        <v>0</v>
      </c>
      <c r="FG63" s="205">
        <f>IFERROR(__xludf.DUMMYFUNCTION("PRODUCT(
   MAP(
     K$3:ED$3,
     K$14:ED$14,
     K$13:ED$13,
     K63:ED63,
     LAMBDA(
       job,
       buff,
       target,
       check,
       IF(
         OR(AND(check=TRUE, REGEXMATCH(target, ""SELF_AFFECTED_ALL""), job=""暗黒騎士""), AND(check="&amp;"Option!$G$13, REGEXMATCH(target, ""SINGLE_AFFECTED_ALL""))),
         buff,
         1
       )
     )
   )
 )"),1.0)</f>
        <v>1</v>
      </c>
      <c r="FH63" s="206">
        <f>IFERROR(__xludf.DUMMYFUNCTION("SUM(
   MAP(
     K$3:ED$3,
     K$7:ED$7,
     K$15:ED$15,
     K$16:ED$16,
     K$21:ED$21,
     K$5:ED$5,
     K$17:ED$17,
     K63:ED63,
     LAMBDA(
       job,
       abillity,
       buff,
       barrier,
       enhance,
       assign,
       preco"&amp;"ndition,
       check,
       IF(
         OR(AND(check=TRUE, REGEXMATCH(assign, ""SELF""), job=""暗黒騎士""), AND(check=Option!$G$13, REGEXMATCH(assign, ""SINGLE_PARTY""))),
         IF(
           OR(ARRAYFORMULA((IF(precondition="""", FALSE, REGEXMATCH($K$"&amp;"4:$ED$4, precondition))) * (K63:ED63=TRUE))),
           enhance,
           IF(barrier="""", buff, barrier)
         ),
         0
       ) *
       SWITCH(
         job,
         ""暗黒騎士"", FI$24,
         ""白魔道士"", EF63 * EH63 * FG63 * IF(abillity, 1, E"&amp;"G63 * EI63) * (Option!$D$22 * 0.81 / 100),
         ""占星術師"", EF63 * EJ63 * FG63 * IF(abillity, 1, EG63 * EK63) * (Option!$D$23 * 0.81 / 100),
         ""学者"", EF63 * EL63 * FG63 * IF(abillity, 1, EG63 * EM63) * (Option!$D$24 * 0.81 / 100),
         ""賢者"&amp;""", EF63 * EN63 * FG63 * IF(abillity, 1, EG63 * EO63) * (Option!$D$25 * 0.81 / 100),
         1
       )
     )
   )
 ) + EQ63"),0.0)</f>
        <v>0</v>
      </c>
      <c r="FI63" s="206">
        <f t="shared" si="11"/>
        <v>0</v>
      </c>
      <c r="FJ63" s="205">
        <f>IFERROR(__xludf.DUMMYFUNCTION("PRODUCT(
   MAP(
     IF($F63=""Physical"", K$10:ED$10, IF($F63=""Magic"", K$11:ED$11, K$12:ED$12)),
     IF($F63=""Physical"", K$18:ED$18, IF($F63=""Magic"", K$19:ED$19, K$20:ED$20)),
     K$3:ED$3,
     K$5:ED$5,
     K$17:ED$17,
     K63:ED63,
     LAM"&amp;"BDA(
       mitigation,
       enhance,
       job,
       assign,
       precondition,
       check,
       IF(
         OR(AND(check=TRUE, REGEXMATCH(assign, ""SELF""), job=""ガンブレイカー""), AND(check=Option!$H$13, REGEXMATCH(assign, ""SINGLE_PARTY""))),
  "&amp;"       IF(
           OR(ARRAYFORMULA((IF(precondition="""", FALSE, REGEXMATCH($K$4:$ED$4, precondition))) * (K63:ED63=TRUE))),
           enhance,
           mitigation
         ),
         1
       )
     )
   )
 ) * EE63"),1.0)</f>
        <v>1</v>
      </c>
      <c r="FK63" s="206">
        <f t="shared" si="12"/>
        <v>0</v>
      </c>
      <c r="FL63" s="205">
        <f>IFERROR(__xludf.DUMMYFUNCTION("PRODUCT(
   MAP(
     K$3:ED$3,
     K$14:ED$14,
     K$13:ED$13,
     K63:ED63,
     LAMBDA(
       job,
       buff,
       target,
       check,
       IF(
         OR(AND(check=TRUE, REGEXMATCH(target, ""SELF_AFFECTED_ALL""), job=""ガンブレイカー""), AND(che"&amp;"ck=Option!$H$13, REGEXMATCH(target, ""SINGLE_AFFECTED_ALL""))),
         buff,
         1
       )
     )
   )
 )"),1.0)</f>
        <v>1</v>
      </c>
      <c r="FM63" s="206">
        <f>IFERROR(__xludf.DUMMYFUNCTION("SUM(
   MAP(
     K$3:ED$3,
     K$7:ED$7,
     K$15:ED$15,
     K$16:ED$16,
     K$21:ED$21,
     K$5:ED$5,
     K$17:ED$17,
     K63:ED63,
     LAMBDA(
       job,
       abillity,
       buff,
       barrier,
       enhance,
       assign,
       preco"&amp;"ndition,
       check,
       IF(
         OR(AND(check=TRUE, REGEXMATCH(assign, ""SELF""), job=""ガンブレイカー""), AND(check=Option!$H$13, REGEXMATCH(assign, ""SINGLE_PARTY""))),
         IF(
           OR(ARRAYFORMULA((IF(precondition="""", FALSE, REGEXMATCH("&amp;"$K$4:$ED$4, precondition))) * (K63:ED63=TRUE))),
           enhance,
           IF(barrier="""", buff, barrier)
         ),
         0
       ) *
       SWITCH(
         job,
         ""暗黒騎士"", FN$24,
         ""白魔道士"", EF63 * EH63 * FL63 * IF(abillity, 1"&amp;", EG63 * EI63) * (Option!$D$22 * 0.81 / 100),
         ""占星術師"", EF63 * EJ63 * FL63 * IF(abillity, 1, EG63 * EK63) * (Option!$D$23 * 0.81 / 100),
         ""学者"", EF63 * EL63 * FL63 * IF(abillity, 1, EG63 * EM63) * (Option!$D$24 * 0.81 / 100),
         """&amp;"賢者"", EF63 * EN63 * FL63 * IF(abillity, 1, EG63 * EO63) * (Option!$D$25 * 0.81 / 100),
         1
       )
     )
   )
 ) + EQ63"),0.0)</f>
        <v>0</v>
      </c>
      <c r="FN63" s="206">
        <f t="shared" si="13"/>
        <v>0</v>
      </c>
      <c r="FO63" s="213"/>
    </row>
    <row r="64">
      <c r="B64" s="229"/>
      <c r="C64" s="217">
        <f t="shared" si="1"/>
        <v>0</v>
      </c>
      <c r="D64" s="236"/>
      <c r="E64" s="226"/>
      <c r="F64" s="167"/>
      <c r="G64" s="168" t="str">
        <f t="shared" si="2"/>
        <v/>
      </c>
      <c r="H64" s="169"/>
      <c r="I64" s="169"/>
      <c r="J64" s="169"/>
      <c r="K64" s="170" t="b">
        <v>0</v>
      </c>
      <c r="L64" s="170" t="b">
        <v>0</v>
      </c>
      <c r="M64" s="170" t="b">
        <v>0</v>
      </c>
      <c r="N64" s="171" t="s">
        <v>1070</v>
      </c>
      <c r="O64" s="172" t="b">
        <v>0</v>
      </c>
      <c r="P64" s="173" t="b">
        <v>0</v>
      </c>
      <c r="Q64" s="173" t="b">
        <v>0</v>
      </c>
      <c r="R64" s="173" t="b">
        <v>0</v>
      </c>
      <c r="S64" s="174" t="b">
        <v>0</v>
      </c>
      <c r="T64" s="175" t="b">
        <v>0</v>
      </c>
      <c r="U64" s="173" t="b">
        <v>0</v>
      </c>
      <c r="V64" s="171" t="s">
        <v>1070</v>
      </c>
      <c r="W64" s="172" t="b">
        <v>0</v>
      </c>
      <c r="X64" s="173" t="b">
        <v>0</v>
      </c>
      <c r="Y64" s="173" t="b">
        <v>0</v>
      </c>
      <c r="Z64" s="173" t="b">
        <v>0</v>
      </c>
      <c r="AA64" s="174" t="b">
        <v>0</v>
      </c>
      <c r="AB64" s="174" t="b">
        <v>0</v>
      </c>
      <c r="AC64" s="175" t="b">
        <v>0</v>
      </c>
      <c r="AD64" s="173" t="b">
        <v>0</v>
      </c>
      <c r="AE64" s="176" t="s">
        <v>1070</v>
      </c>
      <c r="AF64" s="171" t="s">
        <v>1070</v>
      </c>
      <c r="AG64" s="177">
        <f>IFERROR(__xludf.DUMMYFUNCTION("IF(
  ISNUMBER(AG63),
  MIN(MAX(
    AG63
    + MAX(
      ROUNDDOWN(($D64 - MAX(IFERROR(FILTER($D$24:$D63, AG$24:AG63 &lt;&gt; AF$6, AG$23:AG62 = AF$6), 0))) * (60 * 60 * 24) / AF$9) - ROUNDDOWN(($D63 - MAX(IFERROR(FILTER($D$23:$D62, AG$23:AG62 &lt;&gt; AF$6, AG$22:"&amp;"AG61 = AF$6), 0))) * (60 * 60 * 24) / 60),
      0
    )
    - COUNTIF(AF64, ""&lt;&gt;-""),
  0), AF$6),
  AF$6 - COUNTIF(AF64, ""&lt;&gt;-"")
)"),2.0)</f>
        <v>2</v>
      </c>
      <c r="AH64" s="173" t="b">
        <v>0</v>
      </c>
      <c r="AI64" s="173" t="b">
        <v>0</v>
      </c>
      <c r="AJ64" s="173" t="b">
        <v>0</v>
      </c>
      <c r="AK64" s="174" t="b">
        <v>0</v>
      </c>
      <c r="AL64" s="175" t="b">
        <v>0</v>
      </c>
      <c r="AM64" s="173" t="b">
        <v>0</v>
      </c>
      <c r="AN64" s="171" t="s">
        <v>1070</v>
      </c>
      <c r="AO64" s="173" t="b">
        <v>0</v>
      </c>
      <c r="AP64" s="173" t="b">
        <v>0</v>
      </c>
      <c r="AQ64" s="173" t="b">
        <v>0</v>
      </c>
      <c r="AR64" s="174" t="b">
        <v>0</v>
      </c>
      <c r="AS64" s="178" t="b">
        <v>0</v>
      </c>
      <c r="AT64" s="179" t="b">
        <v>0</v>
      </c>
      <c r="AU64" s="180" t="b">
        <v>0</v>
      </c>
      <c r="AV64" s="180" t="b">
        <v>0</v>
      </c>
      <c r="AW64" s="180" t="b">
        <v>0</v>
      </c>
      <c r="AX64" s="180" t="b">
        <v>0</v>
      </c>
      <c r="AY64" s="181" t="s">
        <v>1070</v>
      </c>
      <c r="AZ64" s="181" t="s">
        <v>1070</v>
      </c>
      <c r="BA64" s="184">
        <f>IFERROR(__xludf.DUMMYFUNCTION("IF(
  ISNUMBER(BA63),
  MIN(MAX(
    BA63
    + MAX(
      ROUNDDOWN((D64 - MAX(IFERROR(FILTER(D$24:D63, BA$24:BA63 &lt;&gt; AZ$6, BA$23:BA62 = AZ$6), 0))) * (60 * 60 * 24) / AZ$9) - ROUNDDOWN((D63 - MAX(IFERROR(FILTER(D$23:D62, BA$23:BA62 &lt;&gt; AZ$6, BA$22:BA61 ="&amp;" AZ$6), 0))) * (60 * 60 * 24) / AZ$9),
      0
    )
    - COUNTIF(AZ64, ""&lt;&gt;-""),
  0), AZ$6),
  AZ$6 - COUNTIF(AZ64, ""&lt;&gt;-"")
)"),2.0)</f>
        <v>2</v>
      </c>
      <c r="BB64" s="181" t="s">
        <v>1070</v>
      </c>
      <c r="BC64" s="183">
        <f>IFERROR(__xludf.DUMMYFUNCTION("IF(
  ISNUMBER(BC63),
  MIN(MAX(
    BC63
    + MAX(
      ROUNDDOWN(($D64 - MAX(IFERROR(FILTER($D$24:$D63, BC$24:BC63 &lt;&gt; BB$6, BC$23:BC62 = BB$6), 0))) * (60 * 60 * 24) / BB$9) - ROUNDDOWN(($D63 - MAX(IFERROR(FILTER($D$23:$D62, BC$23:BC62 &lt;&gt; BB$6, BC$22:"&amp;"BC61 = BB$6), 0))) * (60 * 60 * 24) / 60),
      0
    )
    - COUNTIF(BB64, ""&lt;&gt;-""),
  0), BB$6),
  BB$6 - COUNTIF(BB64, ""&lt;&gt;-"")
)"),2.0)</f>
        <v>2</v>
      </c>
      <c r="BD64" s="181" t="s">
        <v>1070</v>
      </c>
      <c r="BE64" s="178" t="b">
        <v>0</v>
      </c>
      <c r="BF64" s="180" t="b">
        <v>0</v>
      </c>
      <c r="BG64" s="180" t="b">
        <v>0</v>
      </c>
      <c r="BH64" s="180" t="b">
        <v>0</v>
      </c>
      <c r="BI64" s="180" t="b">
        <v>0</v>
      </c>
      <c r="BJ64" s="180" t="b">
        <v>0</v>
      </c>
      <c r="BK64" s="180" t="b">
        <v>0</v>
      </c>
      <c r="BL64" s="180" t="b">
        <v>0</v>
      </c>
      <c r="BM64" s="180" t="b">
        <v>0</v>
      </c>
      <c r="BN64" s="180" t="b">
        <v>0</v>
      </c>
      <c r="BO64" s="181" t="s">
        <v>1070</v>
      </c>
      <c r="BP64" s="181" t="s">
        <v>1070</v>
      </c>
      <c r="BQ64" s="181" t="s">
        <v>1070</v>
      </c>
      <c r="BR64" s="181" t="s">
        <v>1070</v>
      </c>
      <c r="BS64" s="181" t="s">
        <v>1070</v>
      </c>
      <c r="BT64" s="184">
        <f>IFERROR(__xludf.DUMMYFUNCTION("IF(
  ISNUMBER(BT63),
  MIN(MAX(
    BT63
    + MAX(
      ROUNDDOWN((D64 - MAX(IFERROR(FILTER(D$24:D63, BT$24:BT63 &lt;&gt; BS$6, BT$23:BT62 = BS$6), 0))) * (60 * 60 * 24) / BS$9) - ROUNDDOWN((D63 - MAX(IFERROR(FILTER(D$23:D62, BT$23:BT62 &lt;&gt; BS$6, BT$22:BT61 ="&amp;" BS$6), 0))) * (60 * 60 * 24) / BS$9),
      0
    )
    - COUNTIF(BS64, ""&lt;&gt;-""),
  0), BS$6),
  BS$6 - COUNTIF(BS64, ""&lt;&gt;-"")
)"),3.0)</f>
        <v>3</v>
      </c>
      <c r="BU64" s="181" t="s">
        <v>1070</v>
      </c>
      <c r="BV64" s="181" t="s">
        <v>1070</v>
      </c>
      <c r="BW64" s="184">
        <f>IFERROR(__xludf.DUMMYFUNCTION("IF(
  ISNUMBER(BW63),
  MIN(MAX(
    BW63
    + MAX(
      ROUNDDOWN((D64 - MAX(IFERROR(FILTER(D$24:D63, BW$24:BW63 &lt;&gt; BV$6, BW$23:BW62 = BV$6), 0))) * (60 * 60 * 24) / BV$9) - ROUNDDOWN((D63 - MAX(IFERROR(FILTER(D$23:D62, BW$23:BW62 &lt;&gt; BV$6, BW$22:BW61 ="&amp;" BV$6), 0))) * (60 * 60 * 24) / BV$9),
      0
    )
    - COUNTIF(BV64, ""&lt;&gt;-""),
  0), BV$6),
  BV$6 - COUNTIF(BV64, ""&lt;&gt;-"")
)"),2.0)</f>
        <v>2</v>
      </c>
      <c r="BX64" s="185" t="s">
        <v>1070</v>
      </c>
      <c r="BY64" s="178" t="b">
        <v>0</v>
      </c>
      <c r="BZ64" s="180" t="b">
        <v>0</v>
      </c>
      <c r="CA64" s="180" t="b">
        <v>0</v>
      </c>
      <c r="CB64" s="180" t="b">
        <v>0</v>
      </c>
      <c r="CC64" s="180" t="b">
        <v>0</v>
      </c>
      <c r="CD64" s="180" t="b">
        <v>0</v>
      </c>
      <c r="CE64" s="180" t="b">
        <v>0</v>
      </c>
      <c r="CF64" s="180" t="b">
        <v>0</v>
      </c>
      <c r="CG64" s="180" t="b">
        <v>0</v>
      </c>
      <c r="CH64" s="180" t="b">
        <v>0</v>
      </c>
      <c r="CI64" s="180" t="b">
        <v>0</v>
      </c>
      <c r="CJ64" s="180" t="b">
        <v>0</v>
      </c>
      <c r="CK64" s="180" t="b">
        <v>0</v>
      </c>
      <c r="CL64" s="180" t="b">
        <v>0</v>
      </c>
      <c r="CM64" s="181" t="s">
        <v>1070</v>
      </c>
      <c r="CN64" s="181" t="s">
        <v>1070</v>
      </c>
      <c r="CO64" s="181" t="s">
        <v>1070</v>
      </c>
      <c r="CP64" s="181" t="s">
        <v>1070</v>
      </c>
      <c r="CQ64" s="185" t="s">
        <v>1070</v>
      </c>
      <c r="CR64" s="180" t="b">
        <v>0</v>
      </c>
      <c r="CS64" s="186" t="str">
        <f t="shared" si="14"/>
        <v>◇◇◇</v>
      </c>
      <c r="CT64" s="178" t="b">
        <v>0</v>
      </c>
      <c r="CU64" s="180" t="b">
        <v>0</v>
      </c>
      <c r="CV64" s="180" t="b">
        <v>0</v>
      </c>
      <c r="CW64" s="180" t="b">
        <v>0</v>
      </c>
      <c r="CX64" s="180" t="b">
        <v>0</v>
      </c>
      <c r="CY64" s="180" t="b">
        <v>0</v>
      </c>
      <c r="CZ64" s="180" t="b">
        <v>0</v>
      </c>
      <c r="DA64" s="180" t="b">
        <v>0</v>
      </c>
      <c r="DB64" s="180" t="b">
        <v>0</v>
      </c>
      <c r="DC64" s="180" t="b">
        <v>0</v>
      </c>
      <c r="DD64" s="181" t="s">
        <v>1070</v>
      </c>
      <c r="DE64" s="181" t="s">
        <v>1070</v>
      </c>
      <c r="DF64" s="181" t="s">
        <v>1070</v>
      </c>
      <c r="DG64" s="185" t="s">
        <v>1070</v>
      </c>
      <c r="DH64" s="180" t="b">
        <v>0</v>
      </c>
      <c r="DI64" s="187" t="str">
        <f>IFERROR(__xludf.DUMMYFUNCTION("SWITCH(
  IF(
    ISTEXT(DI63),
    IF (
      FIND(""○"", DI63&amp;""○"") &gt; 3,
      3,
      FIND(""○"", DI63&amp;""○"")
      + MAX(
        ROUNDDOWN(($D64 - MAX(IFERROR(FILTER(D$24:D63, DI$24:DI63 &lt;&gt; ""●●●"", DI$23:DI62 = ""●●●""), 0))) * (60 * 60 * 24) / 20"&amp;") - ROUNDDOWN(($D63 - MAX(IFERROR(FILTER(D$23:D62, DI$23:DI62 &lt;&gt; ""●●●"", DI$22:DI61 = ""●●●""), 0))) * (60 * 60 * 24) / 20),
        0
      ) - 1
    ) - COUNTIFS(CU64, ""=TRUE"", CU63, ""&lt;&gt;TRUE"") - COUNTIF(CZ64, ""=TRUE"") - COUNTIF({DD64,DE64}, ""&lt;&gt;-"&amp;""") + COUNTIF(DH64, ""=TRUE""),
    3
  ),
  0, ""○○○"", 1, ""●○○"", 2, ""●●○"", 3, ""●●●"", 4, ""●●●"", ""○○○""
)"),"●●●")</f>
        <v>●●●</v>
      </c>
      <c r="DJ64" s="188" t="b">
        <v>0</v>
      </c>
      <c r="DK64" s="189" t="b">
        <v>0</v>
      </c>
      <c r="DL64" s="190" t="b">
        <v>0</v>
      </c>
      <c r="DM64" s="190" t="b">
        <v>0</v>
      </c>
      <c r="DN64" s="190" t="b">
        <v>0</v>
      </c>
      <c r="DO64" s="190" t="b">
        <v>0</v>
      </c>
      <c r="DP64" s="190" t="b">
        <v>0</v>
      </c>
      <c r="DQ64" s="191" t="b">
        <v>0</v>
      </c>
      <c r="DR64" s="192" t="b">
        <v>0</v>
      </c>
      <c r="DS64" s="191" t="b">
        <v>0</v>
      </c>
      <c r="DT64" s="192" t="b">
        <v>0</v>
      </c>
      <c r="DU64" s="191" t="b">
        <v>0</v>
      </c>
      <c r="DV64" s="193" t="s">
        <v>1070</v>
      </c>
      <c r="DW64" s="194" t="b">
        <v>0</v>
      </c>
      <c r="DX64" s="194" t="b">
        <v>0</v>
      </c>
      <c r="DY64" s="195" t="b">
        <v>0</v>
      </c>
      <c r="DZ64" s="196" t="b">
        <v>0</v>
      </c>
      <c r="EA64" s="195" t="b">
        <v>0</v>
      </c>
      <c r="EB64" s="197" t="b">
        <v>0</v>
      </c>
      <c r="EC64" s="197" t="b">
        <v>0</v>
      </c>
      <c r="ED64" s="212" t="b">
        <v>0</v>
      </c>
      <c r="EE64" s="199">
        <f>IFERROR(__xludf.DUMMYFUNCTION("IFERROR(
   PRODUCT(
     MAP(
       INDEX(TRANSPOSE(UNIQUE(TRANSPOSE(FILTER({IF($F64=""Physical"", K$10:ED$10, IF($F64=""Magic"", K$11:ED$11, K$12:ED$12));K$4:ED$4;K64:ED64}, K64:ED64=TRUE)))), 1, 0),
       INDEX(TRANSPOSE(UNIQUE(TRANSPOSE(FILTER({IF($"&amp;"F64=""Physical"", K$18:ED$18, IF($F64=""Magic"", K$19:ED$19, K$20:ED$20));K$4:ED$4;K64:ED64}, K64:ED64=TRUE)))), 1, 0),
       INDEX(TRANSPOSE(UNIQUE(TRANSPOSE(FILTER({K$5:ED$5;K$4:ED$4;K64:ED64}, K64:ED64=TRUE)))), 1, 0),
       INDEX(TRANSPOSE(UNIQUE(TR"&amp;"ANSPOSE(FILTER({K$17:ED$17;K$4:ED$4;K64:ED64}, K64:ED64=TRUE)))), 1, 0),
       LAMBDA(
         mitigation,
         enhance,
         assign,
         precondition,
         IF(
           REGEXMATCH(assign, ""RANGE_PARTY|SINGLE_ENEMY|RANGE_ENEMY""),
  "&amp;"         IF(
             OR(ARRAYFORMULA((IF(precondition="""", FALSE, REGEXMATCH(K$4:ED$4, precondition))) * (K64:ED64=TRUE))),
             IF(ISNUMBER(enhance), enhance, 1),
             IF(ISNUMBER(mitigation), mitigation, 1)
           ),
          "&amp;" 1
         )
       )
     )
   ),
   1
 )"),1.0)</f>
        <v>1</v>
      </c>
      <c r="EF64" s="200">
        <f>IFERROR(__xludf.DUMMYFUNCTION("PRODUCT(
   MAP(
     K$14:ED$14,
     K$13:ED$13,
     K64:ED64,
     LAMBDA(
       buff,
       target,
       check,
       IF(
         AND(check=TRUE, REGEXMATCH(target, ""RANGE_AFFECTED_ALL|RANGE_EFFECTED_ALL""), ISNUMBER(buff)),
         buff,
   "&amp;"      1
       )
     )
   )
 )"),1.0)</f>
        <v>1</v>
      </c>
      <c r="EG64" s="200">
        <f>IFERROR(__xludf.DUMMYFUNCTION("PRODUCT(
   MAP(
     K$14:ED$14,
     K$13:ED$13,
     K64:ED64,
     LAMBDA(
       buff,
       target,
       check,
       IF(
         AND(check=TRUE, REGEXMATCH(target, ""RANGE_AFFECTED_GCD|RANGE_EFFECTED_GCD""), ISNUMBER(buff)),
         buff,
   "&amp;"      1
       )
     )
   )
 )"),1.0)</f>
        <v>1</v>
      </c>
      <c r="EH64" s="200">
        <f>IFERROR(__xludf.DUMMYFUNCTION("PRODUCT(
   MAP(
     K$3:ED$3,
     K$14:ED$14,
     K$13:ED$13,
     K64:ED64,
     LAMBDA(
       job,
       buff,
       target,
       check,
       IF(
         AND(check=TRUE, REGEXMATCH(target, ""SELF_EFFECTED_ALL""), ISNUMBER(buff), job=""白魔道士"""&amp;"),
         buff,
         1
       )
     )
   )
 )"),1.0)</f>
        <v>1</v>
      </c>
      <c r="EI64" s="200">
        <f>IFERROR(__xludf.DUMMYFUNCTION("PRODUCT(
   MAP(
     K$3:ED$3,
     K$14:ED$14,
     K$13:ED$13,
     K64:ED64,
     LAMBDA(
       job,
       buff,
       target,
       check,
       IF(
         AND(check=TRUE, REGEXMATCH(target, ""SELF_EFFECTED_GCD""), ISNUMBER(buff), job=""白魔道士"""&amp;"),
         buff,
         1
       )
     )
   )
 )"),1.0)</f>
        <v>1</v>
      </c>
      <c r="EJ64" s="200">
        <f>IFERROR(__xludf.DUMMYFUNCTION("PRODUCT(
   MAP(
     K$3:ED$3,
     K$14:ED$14,
     K$13:ED$13,
     K64:ED64,
     LAMBDA(
       job,
       buff,
       target,
       check,
       IF(
         AND(check=TRUE, REGEXMATCH(target, ""SELF_EFFECTED_ALL""), ISNUMBER(buff), job=""占星術師"""&amp;"),
         buff,
         1
       )
     )
   )
 )"),1.0)</f>
        <v>1</v>
      </c>
      <c r="EK64" s="200">
        <f>IFERROR(__xludf.DUMMYFUNCTION("PRODUCT(
   MAP(
     K$3:ED$3,
     K$14:ED$14,
     K$13:ED$13,
     K64:ED64,
     LAMBDA(
       job,
       buff,
       target,
       check,
       IF(
         AND(check=TRUE, REGEXMATCH(target, ""SELF_EFFECTED_GCD""), ISNUMBER(buff), job=""占星術師"""&amp;"),
         buff,
         1
       )
     )
   )
 )"),1.0)</f>
        <v>1</v>
      </c>
      <c r="EL64" s="200">
        <f>IFERROR(__xludf.DUMMYFUNCTION("PRODUCT(
   MAP(
     K$3:ED$3,
     K$14:ED$14,
     K$13:ED$13,
     K64:ED64,
     LAMBDA(
       job,
       buff,
       target,
       check,
       IF(
         AND(check=TRUE, REGEXMATCH(target, ""SELF_EFFECTED_ALL""), ISNUMBER(buff), job=""学者""),"&amp;"
         buff,
         1
       )
     )
   )
 )"),1.0)</f>
        <v>1</v>
      </c>
      <c r="EM64" s="200">
        <f>IFERROR(__xludf.DUMMYFUNCTION("PRODUCT(
   MAP(
     K$3:ED$3,
     K$14:ED$14,
     K$13:ED$13,
     K64:ED64,
     LAMBDA(
       job,
       buff,
       target,
       check,
       IF(
         AND(check=TRUE, REGEXMATCH(target, ""SELF_EFFECTED_GCD""), ISNUMBER(buff), job=""学者""),"&amp;"
         buff,
         1
       )
     )
   )
 )"),1.0)</f>
        <v>1</v>
      </c>
      <c r="EN64" s="200">
        <f>IFERROR(__xludf.DUMMYFUNCTION("PRODUCT(
   MAP(
     K$3:ED$3,
     K$14:ED$14,
     K$13:ED$13,
     K64:ED64,
     LAMBDA(
       job,
       buff,
       target,
       check,
       IF(
         AND(check=TRUE, REGEXMATCH(target, ""SELF_EFFECTED_ALL""), ISNUMBER(buff), job=""賢者""),"&amp;"
         buff,
         1
       )
     )
   )
 )"),1.0)</f>
        <v>1</v>
      </c>
      <c r="EO64" s="200">
        <f>IFERROR(__xludf.DUMMYFUNCTION("PRODUCT(
   MAP(
     K$3:ED$3,
     K$14:ED$14,
     K$13:ED$13,
     K64:ED64,
     LAMBDA(
       job,
       buff,
       target,
       check,
       IF(
         AND(check=TRUE, REGEXMATCH(target, ""SELF_EFFECTED_GCD""), ISNUMBER(buff), job=""賢者""),"&amp;"
         buff,
         1
       )
     )
   )
 )"),1.0)</f>
        <v>1</v>
      </c>
      <c r="EP64" s="201">
        <f t="shared" si="3"/>
        <v>0</v>
      </c>
      <c r="EQ64" s="201">
        <f>IFERROR(__xludf.DUMMYFUNCTION("SUM(
   MAP(
     K$4:ED$4,
     K$3:ED$3,
     K$7:ED$7,
     K$15:ED$15,
     K$16:ED$16,
     K$21:ED$21,
     K$5:ED$5,
     K$17:ED$17,
     K64:ED64,
     LAMBDA(
       name,
       job,
       abillity,
       buff,
       barrier,
       enhance,"&amp;"
       assign,
       precondition,
       check,
       SWITCH(
         name,
         ""シェイクオフ"", IF(check=TRUE, buff + (0.02 * COUNTIF(ARRAYFORMULA((REGEXMATCH($K$4:$ED$4, ""スリル・オブ・バトル|ヴェンジェンス|原初の血気|ダムネーション"")) * (K64:ED64=TRUE)), 1)), 0),
         "&amp;"""インプロビゼーションフィニッシュ(踊りの激情0)"", IF(ISNUMBER(check), INDEX(Skill!$AJ:$AJ, MATCH(SUBSTITUTE(DV$4, 0, check), Skill!$C:$C, 0)), 0),
         IF(
           AND(check=TRUE, REGEXMATCH(assign, ""RANGE_PARTY"")),
           IF(
             OR(ARRAYFORMULA((IF(pr"&amp;"econdition="""", FALSE, REGEXMATCH($K$4:$ED$4, precondition))) * (K64:ED64=TRUE))),
             enhance,
             IF(barrier="""", buff, barrier)
           ),
           0
         )
       ) *
       SWITCH(
         job,
         ""ナイト"", EY$24,
 "&amp;"        ""戦士"", FD$24,
         ""踊り子"", ET$24,
         ""ピクトマンサー"", ET$24,
         ""白魔道士"", EF64 * EH64 * IF(abillity, 1, EG64 * EI64) * (Option!$D$22 * 0.81 / 100),
         ""占星術師"", EF64 * EJ64 * IF(abillity, 1, EG64 * EK64) * (Option!$D$23 * 0.81 "&amp;"/ 100),
         ""学者"", EF64 * EL64 * IF(abillity, 1, EG64 * EM64) * (Option!$D$24 * 0.81 / 100),
         ""賢者"", EF64 * EN64 * IF(abillity, 1, EG64 * EO64) * (Option!$D$25 * 0.81 / 100),
         1
       )
     )
   )
 )"),0.0)</f>
        <v>0</v>
      </c>
      <c r="ER64" s="202">
        <f t="shared" si="4"/>
        <v>0</v>
      </c>
      <c r="ES64" s="203">
        <f t="shared" si="5"/>
        <v>0</v>
      </c>
      <c r="ET64" s="204" t="str">
        <f>IFERROR(__xludf.DUMMYFUNCTION("IFS(
  EP64 &gt; $ET$24 + EQ64,
  SPARKLINE({ 1, 0 }, {""charttype"",""bar"";""max"", 1;""color1"",Option!$D$30;""color2"",Option!$D$30}),
  EP64 &lt; EQ64,
  SPARKLINE({EQ64 - EP64, $ET$24 - (EQ64 - EP64)}, {""charttype"",""bar"";""max"",$ET$24;""color1"",Opti"&amp;"on!$D$28;""color2"",Option!$D$29}),
  EP64 &gt;= EQ64,
  SPARKLINE({$ET$24 + EQ64 - EP64,EP64 - EQ64}, {""charttype"",""bar"";""max"",$ET$24;""color1"",Option!$D$29;""color2"",Option!$D$30})
)"),"")</f>
        <v/>
      </c>
      <c r="EU64" s="205">
        <f>IFERROR(__xludf.DUMMYFUNCTION("PRODUCT(
   MAP(
     IF($F64=""Physical"", K$10:ED$10, IF($F64=""Magic"", K$11:ED$11, K$12:ED$12)),
     IF($F64=""Physical"", K$18:ED$18, IF($F64=""Magic"", K$19:ED$19, K$20:ED$20)),
     K$3:ED$3,
     K$5:ED$5,
     K$17:ED$17,
     K64:ED64,
     LAM"&amp;"BDA(
       mitigation,
       enhance,
       job,
       assign,
       precondition,
       check,
       IF(
         OR(AND(check=TRUE, REGEXMATCH(assign, ""SELF""), job=""ナイト""), AND(check=Option!$E$13, REGEXMATCH(assign, ""SINGLE_PARTY""))),
      "&amp;"   IF(
           OR(ARRAYFORMULA((IF(precondition="""", FALSE, REGEXMATCH($K$4:$ED$4, precondition))) * (K64:ED64=TRUE))),
           enhance,
           mitigation
         ),
         1
       )
     )
   )
 ) * EE64"),1.0)</f>
        <v>1</v>
      </c>
      <c r="EV64" s="206">
        <f t="shared" si="6"/>
        <v>0</v>
      </c>
      <c r="EW64" s="205">
        <f>IFERROR(__xludf.DUMMYFUNCTION("PRODUCT(
   MAP(
     K$3:ED$3,
     K$14:ED$14,
     K$13:ED$13,
     K64:ED64,
     LAMBDA(
       job,
       buff,
       target,
       check,
       IF(
         OR(AND(check=TRUE, REGEXMATCH(target, ""SELF_AFFECTED_ALL""), job=""ナイト""), AND(check=O"&amp;"ption!$E$13, REGEXMATCH(target, ""SINGLE_AFFECTED_ALL""))),
         buff,
         1
       )
     )
   )
 )"),1.0)</f>
        <v>1</v>
      </c>
      <c r="EX64" s="206">
        <f>IFERROR(__xludf.DUMMYFUNCTION("SUM(
   MAP(
     K$3:ED$3,
     K$7:ED$7,
     K$15:ED$15,
     K$16:ED$16,
     K$21:ED$21,
     K$5:ED$5,
     K$17:ED$17,
     K64:ED64,
     LAMBDA(
       job,
       abillity,
       buff,
       barrier,
       enhance,
       assign,
       preco"&amp;"ndition,
       check,
       IF(
         OR(AND(check=TRUE, REGEXMATCH(assign, ""SELF""), job=""ナイト""), AND(check=Option!$E$13, REGEXMATCH(assign, ""SINGLE_PARTY""))),
         IF(
           OR(ARRAYFORMULA((IF(precondition="""", FALSE, REGEXMATCH($K$4"&amp;":$ED$4, precondition))) * (K64:ED64=TRUE))),
           enhance,
           IF(barrier="""", buff, barrier)
         ),
         0
       ) *
       SWITCH(
         job,
         ""暗黒騎士"", EY$24,
         ""白魔道士"", EF64 * EH64 * EW64 * IF(abillity, 1, EG"&amp;"64 * EI64) * (Option!$D$22 * 0.81 / 100),
         ""占星術師"", EF64 * EJ64 * EW64 * IF(abillity, 1, EG64 * EK64) * (Option!$D$23 * 0.81 / 100),
         ""学者"", EF64 * EL64 * EW64 * IF(abillity, 1, EG64 * EM64) * (Option!$D$24 * 0.81 / 100),
         ""賢者"""&amp;", EF64 * EN64 * EW64 * IF(abillity, 1, EG64 * EO64) * (Option!$D$25 * 0.81 / 100),
         1
       )
     )
   )
 ) + EQ64"),0.0)</f>
        <v>0</v>
      </c>
      <c r="EY64" s="206">
        <f t="shared" si="7"/>
        <v>0</v>
      </c>
      <c r="EZ64" s="205">
        <f>IFERROR(__xludf.DUMMYFUNCTION("PRODUCT(
   MAP(
     IF($F64=""Physical"", K$10:ED$10, IF($F64=""Magic"", K$11:ED$11, K$12:ED$12)),
     IF($F64=""Physical"", K$18:ED$18, IF($F64=""Magic"", K$19:ED$19, K$20:ED$20)),
     K$3:ED$3,
     K$5:ED$5,
     K$17:ED$17,
     K64:ED64,
     LAM"&amp;"BDA(
       mitigation,
       enhance,
       job,
       assign,
       precondition,
       check,
       IF(
         OR(AND(check=TRUE, REGEXMATCH(assign, ""SELF""), job=""戦士""), AND(check=Option!$F$13, REGEXMATCH(assign, ""SINGLE_PARTY""))),
       "&amp;"  IF(
           OR(ARRAYFORMULA((IF(precondition="""", FALSE, REGEXMATCH($K$4:$ED$4, precondition))) * (K64:ED64=TRUE))),
           enhance,
           mitigation
         ),
         1
       )
     )
   )
 ) * EE64"),1.0)</f>
        <v>1</v>
      </c>
      <c r="FA64" s="206">
        <f t="shared" si="8"/>
        <v>0</v>
      </c>
      <c r="FB64" s="205">
        <f>IFERROR(__xludf.DUMMYFUNCTION("PRODUCT(
   MAP(
     K$3:ED$3,
     K$14:ED$14,
     K$13:ED$13,
     K64:ED64,
     LAMBDA(
       job,
       buff,
       target,
       check,
       IF(
         OR(AND(check=TRUE, REGEXMATCH(target, ""SELF_AFFECTED_ALL""), job=""戦士""), AND(check=Op"&amp;"tion!$F$13, REGEXMATCH(target, ""SINGLE_AFFECTED_ALL""))),
         buff,
         1
       )
     )
   )
 )"),1.0)</f>
        <v>1</v>
      </c>
      <c r="FC64" s="206">
        <f>IFERROR(__xludf.DUMMYFUNCTION("SUM(
   MAP(
     K$3:ED$3,
     K$7:ED$7,
     K$15:ED$15,
     K$16:ED$16,
     K$21:ED$21,
     K$5:ED$5,
     K$17:ED$17,
     K64:ED64,
     LAMBDA(
       job,
       abillity,
       buff,
       barrier,
       enhance,
       assign,
       preco"&amp;"ndition,
       check,
       IF(
         OR(AND(check=TRUE, REGEXMATCH(assign, ""SELF""), job=""戦士""), AND(check=Option!$F$13, REGEXMATCH(assign, ""SINGLE_PARTY""))),
         IF(
           OR(ARRAYFORMULA((IF(precondition="""", FALSE, REGEXMATCH($K$4:"&amp;"$ED$4, precondition))) * (K64:ED64=TRUE))),
           enhance,
           IF(barrier="""", buff, barrier)
         ),
         0
       ) *
       SWITCH(
         job,
         ""暗黒騎士"", FD$24,
         ""白魔道士"", EF64 * EH64 * FB64 * IF(abillity, 1, EG6"&amp;"4 * EI64) * (Option!$D$22 * 0.81 / 100),
         ""占星術師"", EF64 * EJ64 * FFB64 * IF(abillity, 1, EG64 * EK64) * (Option!$D$23 * 0.81 / 100),
         ""学者"", EF64 * EL64 * FB64 * IF(abillity, 1, EG64 * EM64) * (Option!$D$24 * 0.81 / 100),
         ""賢者"""&amp;", EF64 * EN64 * FB64 * IF(abillity, 1, EG64 * EO64) * (Option!$D$25 * 0.81 / 100),
         1
       )
     )
   )
 ) + EQ64"),0.0)</f>
        <v>0</v>
      </c>
      <c r="FD64" s="206">
        <f t="shared" si="9"/>
        <v>0</v>
      </c>
      <c r="FE64" s="205">
        <f>IFERROR(__xludf.DUMMYFUNCTION("PRODUCT(
   MAP(
     IF($F64=""Physical"", K$10:ED$10, IF($F64=""Magic"", K$11:ED$11, K$12:ED$12)),
     IF($F64=""Physical"", K$18:ED$18, IF($F64=""Magic"", K$19:ED$19, K$20:ED$20)),
     K$3:ED$3,
     K$5:ED$5,
     K$17:ED$17,
     K64:ED64,
     LAM"&amp;"BDA(
       mitigation,
       enhance,
       job,
       assign,
       precondition,
       check,
       IF(
         OR(AND(check=TRUE, REGEXMATCH(assign, ""SELF""), job=""暗黒騎士""), AND(check=Option!$G$13, REGEXMATCH(assign, ""SINGLE_PARTY""))),
     "&amp;"    IF(
           OR(ARRAYFORMULA((IF(precondition="""", FALSE, REGEXMATCH($K$4:$ED$4, precondition))) * (K64:ED64=TRUE))),
           enhance,
           mitigation
         ),
         1
       )
     )
   )
 ) * EE64"),1.0)</f>
        <v>1</v>
      </c>
      <c r="FF64" s="206">
        <f t="shared" si="10"/>
        <v>0</v>
      </c>
      <c r="FG64" s="205">
        <f>IFERROR(__xludf.DUMMYFUNCTION("PRODUCT(
   MAP(
     K$3:ED$3,
     K$14:ED$14,
     K$13:ED$13,
     K64:ED64,
     LAMBDA(
       job,
       buff,
       target,
       check,
       IF(
         OR(AND(check=TRUE, REGEXMATCH(target, ""SELF_AFFECTED_ALL""), job=""暗黒騎士""), AND(check="&amp;"Option!$G$13, REGEXMATCH(target, ""SINGLE_AFFECTED_ALL""))),
         buff,
         1
       )
     )
   )
 )"),1.0)</f>
        <v>1</v>
      </c>
      <c r="FH64" s="206">
        <f>IFERROR(__xludf.DUMMYFUNCTION("SUM(
   MAP(
     K$3:ED$3,
     K$7:ED$7,
     K$15:ED$15,
     K$16:ED$16,
     K$21:ED$21,
     K$5:ED$5,
     K$17:ED$17,
     K64:ED64,
     LAMBDA(
       job,
       abillity,
       buff,
       barrier,
       enhance,
       assign,
       preco"&amp;"ndition,
       check,
       IF(
         OR(AND(check=TRUE, REGEXMATCH(assign, ""SELF""), job=""暗黒騎士""), AND(check=Option!$G$13, REGEXMATCH(assign, ""SINGLE_PARTY""))),
         IF(
           OR(ARRAYFORMULA((IF(precondition="""", FALSE, REGEXMATCH($K$"&amp;"4:$ED$4, precondition))) * (K64:ED64=TRUE))),
           enhance,
           IF(barrier="""", buff, barrier)
         ),
         0
       ) *
       SWITCH(
         job,
         ""暗黒騎士"", FI$24,
         ""白魔道士"", EF64 * EH64 * FG64 * IF(abillity, 1, E"&amp;"G64 * EI64) * (Option!$D$22 * 0.81 / 100),
         ""占星術師"", EF64 * EJ64 * FG64 * IF(abillity, 1, EG64 * EK64) * (Option!$D$23 * 0.81 / 100),
         ""学者"", EF64 * EL64 * FG64 * IF(abillity, 1, EG64 * EM64) * (Option!$D$24 * 0.81 / 100),
         ""賢者"&amp;""", EF64 * EN64 * FG64 * IF(abillity, 1, EG64 * EO64) * (Option!$D$25 * 0.81 / 100),
         1
       )
     )
   )
 ) + EQ64"),0.0)</f>
        <v>0</v>
      </c>
      <c r="FI64" s="206">
        <f t="shared" si="11"/>
        <v>0</v>
      </c>
      <c r="FJ64" s="205">
        <f>IFERROR(__xludf.DUMMYFUNCTION("PRODUCT(
   MAP(
     IF($F64=""Physical"", K$10:ED$10, IF($F64=""Magic"", K$11:ED$11, K$12:ED$12)),
     IF($F64=""Physical"", K$18:ED$18, IF($F64=""Magic"", K$19:ED$19, K$20:ED$20)),
     K$3:ED$3,
     K$5:ED$5,
     K$17:ED$17,
     K64:ED64,
     LAM"&amp;"BDA(
       mitigation,
       enhance,
       job,
       assign,
       precondition,
       check,
       IF(
         OR(AND(check=TRUE, REGEXMATCH(assign, ""SELF""), job=""ガンブレイカー""), AND(check=Option!$H$13, REGEXMATCH(assign, ""SINGLE_PARTY""))),
  "&amp;"       IF(
           OR(ARRAYFORMULA((IF(precondition="""", FALSE, REGEXMATCH($K$4:$ED$4, precondition))) * (K64:ED64=TRUE))),
           enhance,
           mitigation
         ),
         1
       )
     )
   )
 ) * EE64"),1.0)</f>
        <v>1</v>
      </c>
      <c r="FK64" s="206">
        <f t="shared" si="12"/>
        <v>0</v>
      </c>
      <c r="FL64" s="205">
        <f>IFERROR(__xludf.DUMMYFUNCTION("PRODUCT(
   MAP(
     K$3:ED$3,
     K$14:ED$14,
     K$13:ED$13,
     K64:ED64,
     LAMBDA(
       job,
       buff,
       target,
       check,
       IF(
         OR(AND(check=TRUE, REGEXMATCH(target, ""SELF_AFFECTED_ALL""), job=""ガンブレイカー""), AND(che"&amp;"ck=Option!$H$13, REGEXMATCH(target, ""SINGLE_AFFECTED_ALL""))),
         buff,
         1
       )
     )
   )
 )"),1.0)</f>
        <v>1</v>
      </c>
      <c r="FM64" s="206">
        <f>IFERROR(__xludf.DUMMYFUNCTION("SUM(
   MAP(
     K$3:ED$3,
     K$7:ED$7,
     K$15:ED$15,
     K$16:ED$16,
     K$21:ED$21,
     K$5:ED$5,
     K$17:ED$17,
     K64:ED64,
     LAMBDA(
       job,
       abillity,
       buff,
       barrier,
       enhance,
       assign,
       preco"&amp;"ndition,
       check,
       IF(
         OR(AND(check=TRUE, REGEXMATCH(assign, ""SELF""), job=""ガンブレイカー""), AND(check=Option!$H$13, REGEXMATCH(assign, ""SINGLE_PARTY""))),
         IF(
           OR(ARRAYFORMULA((IF(precondition="""", FALSE, REGEXMATCH("&amp;"$K$4:$ED$4, precondition))) * (K64:ED64=TRUE))),
           enhance,
           IF(barrier="""", buff, barrier)
         ),
         0
       ) *
       SWITCH(
         job,
         ""暗黒騎士"", FN$24,
         ""白魔道士"", EF64 * EH64 * FL64 * IF(abillity, 1"&amp;", EG64 * EI64) * (Option!$D$22 * 0.81 / 100),
         ""占星術師"", EF64 * EJ64 * FL64 * IF(abillity, 1, EG64 * EK64) * (Option!$D$23 * 0.81 / 100),
         ""学者"", EF64 * EL64 * FL64 * IF(abillity, 1, EG64 * EM64) * (Option!$D$24 * 0.81 / 100),
         """&amp;"賢者"", EF64 * EN64 * FL64 * IF(abillity, 1, EG64 * EO64) * (Option!$D$25 * 0.81 / 100),
         1
       )
     )
   )
 ) + EQ64"),0.0)</f>
        <v>0</v>
      </c>
      <c r="FN64" s="206">
        <f t="shared" si="13"/>
        <v>0</v>
      </c>
      <c r="FO64" s="213"/>
    </row>
    <row r="65">
      <c r="B65" s="229"/>
      <c r="C65" s="217">
        <f t="shared" si="1"/>
        <v>0</v>
      </c>
      <c r="D65" s="236"/>
      <c r="E65" s="219"/>
      <c r="F65" s="167"/>
      <c r="G65" s="168" t="str">
        <f t="shared" si="2"/>
        <v/>
      </c>
      <c r="H65" s="169"/>
      <c r="I65" s="169"/>
      <c r="J65" s="169"/>
      <c r="K65" s="170" t="b">
        <v>0</v>
      </c>
      <c r="L65" s="170" t="b">
        <v>0</v>
      </c>
      <c r="M65" s="170" t="b">
        <v>0</v>
      </c>
      <c r="N65" s="171" t="s">
        <v>1070</v>
      </c>
      <c r="O65" s="172" t="b">
        <v>0</v>
      </c>
      <c r="P65" s="173" t="b">
        <v>0</v>
      </c>
      <c r="Q65" s="173" t="b">
        <v>0</v>
      </c>
      <c r="R65" s="173" t="b">
        <v>0</v>
      </c>
      <c r="S65" s="174" t="b">
        <v>0</v>
      </c>
      <c r="T65" s="175" t="b">
        <v>0</v>
      </c>
      <c r="U65" s="173" t="b">
        <v>0</v>
      </c>
      <c r="V65" s="171" t="s">
        <v>1070</v>
      </c>
      <c r="W65" s="172" t="b">
        <v>0</v>
      </c>
      <c r="X65" s="173" t="b">
        <v>0</v>
      </c>
      <c r="Y65" s="173" t="b">
        <v>0</v>
      </c>
      <c r="Z65" s="173" t="b">
        <v>0</v>
      </c>
      <c r="AA65" s="174" t="b">
        <v>0</v>
      </c>
      <c r="AB65" s="174" t="b">
        <v>0</v>
      </c>
      <c r="AC65" s="175" t="b">
        <v>0</v>
      </c>
      <c r="AD65" s="173" t="b">
        <v>0</v>
      </c>
      <c r="AE65" s="176" t="s">
        <v>1070</v>
      </c>
      <c r="AF65" s="171" t="s">
        <v>1070</v>
      </c>
      <c r="AG65" s="177">
        <f>IFERROR(__xludf.DUMMYFUNCTION("IF(
  ISNUMBER(AG64),
  MIN(MAX(
    AG64
    + MAX(
      ROUNDDOWN(($D65 - MAX(IFERROR(FILTER($D$24:$D64, AG$24:AG64 &lt;&gt; AF$6, AG$23:AG63 = AF$6), 0))) * (60 * 60 * 24) / AF$9) - ROUNDDOWN(($D64 - MAX(IFERROR(FILTER($D$23:$D63, AG$23:AG63 &lt;&gt; AF$6, AG$22:"&amp;"AG62 = AF$6), 0))) * (60 * 60 * 24) / 60),
      0
    )
    - COUNTIF(AF65, ""&lt;&gt;-""),
  0), AF$6),
  AF$6 - COUNTIF(AF65, ""&lt;&gt;-"")
)"),2.0)</f>
        <v>2</v>
      </c>
      <c r="AH65" s="173" t="b">
        <v>0</v>
      </c>
      <c r="AI65" s="173" t="b">
        <v>0</v>
      </c>
      <c r="AJ65" s="173" t="b">
        <v>0</v>
      </c>
      <c r="AK65" s="174" t="b">
        <v>0</v>
      </c>
      <c r="AL65" s="175" t="b">
        <v>0</v>
      </c>
      <c r="AM65" s="173" t="b">
        <v>0</v>
      </c>
      <c r="AN65" s="171" t="s">
        <v>1070</v>
      </c>
      <c r="AO65" s="173" t="b">
        <v>0</v>
      </c>
      <c r="AP65" s="173" t="b">
        <v>0</v>
      </c>
      <c r="AQ65" s="173" t="b">
        <v>0</v>
      </c>
      <c r="AR65" s="174" t="b">
        <v>0</v>
      </c>
      <c r="AS65" s="178" t="b">
        <v>0</v>
      </c>
      <c r="AT65" s="179" t="b">
        <v>0</v>
      </c>
      <c r="AU65" s="180" t="b">
        <v>0</v>
      </c>
      <c r="AV65" s="180" t="b">
        <v>0</v>
      </c>
      <c r="AW65" s="180" t="b">
        <v>0</v>
      </c>
      <c r="AX65" s="180" t="b">
        <v>0</v>
      </c>
      <c r="AY65" s="181" t="s">
        <v>1070</v>
      </c>
      <c r="AZ65" s="181" t="s">
        <v>1070</v>
      </c>
      <c r="BA65" s="184">
        <f>IFERROR(__xludf.DUMMYFUNCTION("IF(
  ISNUMBER(BA64),
  MIN(MAX(
    BA64
    + MAX(
      ROUNDDOWN((D65 - MAX(IFERROR(FILTER(D$24:D64, BA$24:BA64 &lt;&gt; AZ$6, BA$23:BA63 = AZ$6), 0))) * (60 * 60 * 24) / AZ$9) - ROUNDDOWN((D64 - MAX(IFERROR(FILTER(D$23:D63, BA$23:BA63 &lt;&gt; AZ$6, BA$22:BA62 ="&amp;" AZ$6), 0))) * (60 * 60 * 24) / AZ$9),
      0
    )
    - COUNTIF(AZ65, ""&lt;&gt;-""),
  0), AZ$6),
  AZ$6 - COUNTIF(AZ65, ""&lt;&gt;-"")
)"),2.0)</f>
        <v>2</v>
      </c>
      <c r="BB65" s="181" t="s">
        <v>1070</v>
      </c>
      <c r="BC65" s="183">
        <f>IFERROR(__xludf.DUMMYFUNCTION("IF(
  ISNUMBER(BC64),
  MIN(MAX(
    BC64
    + MAX(
      ROUNDDOWN(($D65 - MAX(IFERROR(FILTER($D$24:$D64, BC$24:BC64 &lt;&gt; BB$6, BC$23:BC63 = BB$6), 0))) * (60 * 60 * 24) / BB$9) - ROUNDDOWN(($D64 - MAX(IFERROR(FILTER($D$23:$D63, BC$23:BC63 &lt;&gt; BB$6, BC$22:"&amp;"BC62 = BB$6), 0))) * (60 * 60 * 24) / 60),
      0
    )
    - COUNTIF(BB65, ""&lt;&gt;-""),
  0), BB$6),
  BB$6 - COUNTIF(BB65, ""&lt;&gt;-"")
)"),2.0)</f>
        <v>2</v>
      </c>
      <c r="BD65" s="181" t="s">
        <v>1070</v>
      </c>
      <c r="BE65" s="178" t="b">
        <v>0</v>
      </c>
      <c r="BF65" s="180" t="b">
        <v>0</v>
      </c>
      <c r="BG65" s="180" t="b">
        <v>0</v>
      </c>
      <c r="BH65" s="180" t="b">
        <v>0</v>
      </c>
      <c r="BI65" s="180" t="b">
        <v>0</v>
      </c>
      <c r="BJ65" s="180" t="b">
        <v>0</v>
      </c>
      <c r="BK65" s="180" t="b">
        <v>0</v>
      </c>
      <c r="BL65" s="180" t="b">
        <v>0</v>
      </c>
      <c r="BM65" s="180" t="b">
        <v>0</v>
      </c>
      <c r="BN65" s="180" t="b">
        <v>0</v>
      </c>
      <c r="BO65" s="181" t="s">
        <v>1070</v>
      </c>
      <c r="BP65" s="181" t="s">
        <v>1070</v>
      </c>
      <c r="BQ65" s="181" t="s">
        <v>1070</v>
      </c>
      <c r="BR65" s="181" t="s">
        <v>1070</v>
      </c>
      <c r="BS65" s="181" t="s">
        <v>1070</v>
      </c>
      <c r="BT65" s="184">
        <f>IFERROR(__xludf.DUMMYFUNCTION("IF(
  ISNUMBER(BT64),
  MIN(MAX(
    BT64
    + MAX(
      ROUNDDOWN((D65 - MAX(IFERROR(FILTER(D$24:D64, BT$24:BT64 &lt;&gt; BS$6, BT$23:BT63 = BS$6), 0))) * (60 * 60 * 24) / BS$9) - ROUNDDOWN((D64 - MAX(IFERROR(FILTER(D$23:D63, BT$23:BT63 &lt;&gt; BS$6, BT$22:BT62 ="&amp;" BS$6), 0))) * (60 * 60 * 24) / BS$9),
      0
    )
    - COUNTIF(BS65, ""&lt;&gt;-""),
  0), BS$6),
  BS$6 - COUNTIF(BS65, ""&lt;&gt;-"")
)"),3.0)</f>
        <v>3</v>
      </c>
      <c r="BU65" s="181" t="s">
        <v>1070</v>
      </c>
      <c r="BV65" s="181" t="s">
        <v>1070</v>
      </c>
      <c r="BW65" s="184">
        <f>IFERROR(__xludf.DUMMYFUNCTION("IF(
  ISNUMBER(BW64),
  MIN(MAX(
    BW64
    + MAX(
      ROUNDDOWN((D65 - MAX(IFERROR(FILTER(D$24:D64, BW$24:BW64 &lt;&gt; BV$6, BW$23:BW63 = BV$6), 0))) * (60 * 60 * 24) / BV$9) - ROUNDDOWN((D64 - MAX(IFERROR(FILTER(D$23:D63, BW$23:BW63 &lt;&gt; BV$6, BW$22:BW62 ="&amp;" BV$6), 0))) * (60 * 60 * 24) / BV$9),
      0
    )
    - COUNTIF(BV65, ""&lt;&gt;-""),
  0), BV$6),
  BV$6 - COUNTIF(BV65, ""&lt;&gt;-"")
)"),2.0)</f>
        <v>2</v>
      </c>
      <c r="BX65" s="185" t="s">
        <v>1070</v>
      </c>
      <c r="BY65" s="178" t="b">
        <v>0</v>
      </c>
      <c r="BZ65" s="180" t="b">
        <v>0</v>
      </c>
      <c r="CA65" s="180" t="b">
        <v>0</v>
      </c>
      <c r="CB65" s="180" t="b">
        <v>0</v>
      </c>
      <c r="CC65" s="180" t="b">
        <v>0</v>
      </c>
      <c r="CD65" s="180" t="b">
        <v>0</v>
      </c>
      <c r="CE65" s="180" t="b">
        <v>0</v>
      </c>
      <c r="CF65" s="180" t="b">
        <v>0</v>
      </c>
      <c r="CG65" s="180" t="b">
        <v>0</v>
      </c>
      <c r="CH65" s="180" t="b">
        <v>0</v>
      </c>
      <c r="CI65" s="180" t="b">
        <v>0</v>
      </c>
      <c r="CJ65" s="180" t="b">
        <v>0</v>
      </c>
      <c r="CK65" s="180" t="b">
        <v>0</v>
      </c>
      <c r="CL65" s="180" t="b">
        <v>0</v>
      </c>
      <c r="CM65" s="181" t="s">
        <v>1070</v>
      </c>
      <c r="CN65" s="181" t="s">
        <v>1070</v>
      </c>
      <c r="CO65" s="181" t="s">
        <v>1070</v>
      </c>
      <c r="CP65" s="181" t="s">
        <v>1070</v>
      </c>
      <c r="CQ65" s="185" t="s">
        <v>1070</v>
      </c>
      <c r="CR65" s="180" t="b">
        <v>0</v>
      </c>
      <c r="CS65" s="186" t="str">
        <f t="shared" si="14"/>
        <v>◇◇◇</v>
      </c>
      <c r="CT65" s="178" t="b">
        <v>0</v>
      </c>
      <c r="CU65" s="180" t="b">
        <v>0</v>
      </c>
      <c r="CV65" s="180" t="b">
        <v>0</v>
      </c>
      <c r="CW65" s="180" t="b">
        <v>0</v>
      </c>
      <c r="CX65" s="180" t="b">
        <v>0</v>
      </c>
      <c r="CY65" s="180" t="b">
        <v>0</v>
      </c>
      <c r="CZ65" s="180" t="b">
        <v>0</v>
      </c>
      <c r="DA65" s="180" t="b">
        <v>0</v>
      </c>
      <c r="DB65" s="180" t="b">
        <v>0</v>
      </c>
      <c r="DC65" s="180" t="b">
        <v>0</v>
      </c>
      <c r="DD65" s="181" t="s">
        <v>1070</v>
      </c>
      <c r="DE65" s="181" t="s">
        <v>1070</v>
      </c>
      <c r="DF65" s="181" t="s">
        <v>1070</v>
      </c>
      <c r="DG65" s="185" t="s">
        <v>1070</v>
      </c>
      <c r="DH65" s="180" t="b">
        <v>0</v>
      </c>
      <c r="DI65" s="187" t="str">
        <f>IFERROR(__xludf.DUMMYFUNCTION("SWITCH(
  IF(
    ISTEXT(DI64),
    IF (
      FIND(""○"", DI64&amp;""○"") &gt; 3,
      3,
      FIND(""○"", DI64&amp;""○"")
      + MAX(
        ROUNDDOWN(($D65 - MAX(IFERROR(FILTER(D$24:D64, DI$24:DI64 &lt;&gt; ""●●●"", DI$23:DI63 = ""●●●""), 0))) * (60 * 60 * 24) / 20"&amp;") - ROUNDDOWN(($D64 - MAX(IFERROR(FILTER(D$23:D63, DI$23:DI63 &lt;&gt; ""●●●"", DI$22:DI62 = ""●●●""), 0))) * (60 * 60 * 24) / 20),
        0
      ) - 1
    ) - COUNTIFS(CU65, ""=TRUE"", CU64, ""&lt;&gt;TRUE"") - COUNTIF(CZ65, ""=TRUE"") - COUNTIF({DD65,DE65}, ""&lt;&gt;-"&amp;""") + COUNTIF(DH65, ""=TRUE""),
    3
  ),
  0, ""○○○"", 1, ""●○○"", 2, ""●●○"", 3, ""●●●"", 4, ""●●●"", ""○○○""
)"),"●●●")</f>
        <v>●●●</v>
      </c>
      <c r="DJ65" s="188" t="b">
        <v>0</v>
      </c>
      <c r="DK65" s="189" t="b">
        <v>0</v>
      </c>
      <c r="DL65" s="190" t="b">
        <v>0</v>
      </c>
      <c r="DM65" s="190" t="b">
        <v>0</v>
      </c>
      <c r="DN65" s="190" t="b">
        <v>0</v>
      </c>
      <c r="DO65" s="190" t="b">
        <v>0</v>
      </c>
      <c r="DP65" s="190" t="b">
        <v>0</v>
      </c>
      <c r="DQ65" s="191" t="b">
        <v>0</v>
      </c>
      <c r="DR65" s="192" t="b">
        <v>0</v>
      </c>
      <c r="DS65" s="191" t="b">
        <v>0</v>
      </c>
      <c r="DT65" s="192" t="b">
        <v>0</v>
      </c>
      <c r="DU65" s="191" t="b">
        <v>0</v>
      </c>
      <c r="DV65" s="193" t="s">
        <v>1070</v>
      </c>
      <c r="DW65" s="194" t="b">
        <v>0</v>
      </c>
      <c r="DX65" s="194" t="b">
        <v>0</v>
      </c>
      <c r="DY65" s="195" t="b">
        <v>0</v>
      </c>
      <c r="DZ65" s="196" t="b">
        <v>0</v>
      </c>
      <c r="EA65" s="195" t="b">
        <v>0</v>
      </c>
      <c r="EB65" s="197" t="b">
        <v>0</v>
      </c>
      <c r="EC65" s="197" t="b">
        <v>0</v>
      </c>
      <c r="ED65" s="212" t="b">
        <v>0</v>
      </c>
      <c r="EE65" s="199">
        <f>IFERROR(__xludf.DUMMYFUNCTION("IFERROR(
   PRODUCT(
     MAP(
       INDEX(TRANSPOSE(UNIQUE(TRANSPOSE(FILTER({IF($F65=""Physical"", K$10:ED$10, IF($F65=""Magic"", K$11:ED$11, K$12:ED$12));K$4:ED$4;K65:ED65}, K65:ED65=TRUE)))), 1, 0),
       INDEX(TRANSPOSE(UNIQUE(TRANSPOSE(FILTER({IF($"&amp;"F65=""Physical"", K$18:ED$18, IF($F65=""Magic"", K$19:ED$19, K$20:ED$20));K$4:ED$4;K65:ED65}, K65:ED65=TRUE)))), 1, 0),
       INDEX(TRANSPOSE(UNIQUE(TRANSPOSE(FILTER({K$5:ED$5;K$4:ED$4;K65:ED65}, K65:ED65=TRUE)))), 1, 0),
       INDEX(TRANSPOSE(UNIQUE(TR"&amp;"ANSPOSE(FILTER({K$17:ED$17;K$4:ED$4;K65:ED65}, K65:ED65=TRUE)))), 1, 0),
       LAMBDA(
         mitigation,
         enhance,
         assign,
         precondition,
         IF(
           REGEXMATCH(assign, ""RANGE_PARTY|SINGLE_ENEMY|RANGE_ENEMY""),
  "&amp;"         IF(
             OR(ARRAYFORMULA((IF(precondition="""", FALSE, REGEXMATCH(K$4:ED$4, precondition))) * (K65:ED65=TRUE))),
             IF(ISNUMBER(enhance), enhance, 1),
             IF(ISNUMBER(mitigation), mitigation, 1)
           ),
          "&amp;" 1
         )
       )
     )
   ),
   1
 )"),1.0)</f>
        <v>1</v>
      </c>
      <c r="EF65" s="200">
        <f>IFERROR(__xludf.DUMMYFUNCTION("PRODUCT(
   MAP(
     K$14:ED$14,
     K$13:ED$13,
     K65:ED65,
     LAMBDA(
       buff,
       target,
       check,
       IF(
         AND(check=TRUE, REGEXMATCH(target, ""RANGE_AFFECTED_ALL|RANGE_EFFECTED_ALL""), ISNUMBER(buff)),
         buff,
   "&amp;"      1
       )
     )
   )
 )"),1.0)</f>
        <v>1</v>
      </c>
      <c r="EG65" s="200">
        <f>IFERROR(__xludf.DUMMYFUNCTION("PRODUCT(
   MAP(
     K$14:ED$14,
     K$13:ED$13,
     K65:ED65,
     LAMBDA(
       buff,
       target,
       check,
       IF(
         AND(check=TRUE, REGEXMATCH(target, ""RANGE_AFFECTED_GCD|RANGE_EFFECTED_GCD""), ISNUMBER(buff)),
         buff,
   "&amp;"      1
       )
     )
   )
 )"),1.0)</f>
        <v>1</v>
      </c>
      <c r="EH65" s="200">
        <f>IFERROR(__xludf.DUMMYFUNCTION("PRODUCT(
   MAP(
     K$3:ED$3,
     K$14:ED$14,
     K$13:ED$13,
     K65:ED65,
     LAMBDA(
       job,
       buff,
       target,
       check,
       IF(
         AND(check=TRUE, REGEXMATCH(target, ""SELF_EFFECTED_ALL""), ISNUMBER(buff), job=""白魔道士"""&amp;"),
         buff,
         1
       )
     )
   )
 )"),1.0)</f>
        <v>1</v>
      </c>
      <c r="EI65" s="200">
        <f>IFERROR(__xludf.DUMMYFUNCTION("PRODUCT(
   MAP(
     K$3:ED$3,
     K$14:ED$14,
     K$13:ED$13,
     K65:ED65,
     LAMBDA(
       job,
       buff,
       target,
       check,
       IF(
         AND(check=TRUE, REGEXMATCH(target, ""SELF_EFFECTED_GCD""), ISNUMBER(buff), job=""白魔道士"""&amp;"),
         buff,
         1
       )
     )
   )
 )"),1.0)</f>
        <v>1</v>
      </c>
      <c r="EJ65" s="200">
        <f>IFERROR(__xludf.DUMMYFUNCTION("PRODUCT(
   MAP(
     K$3:ED$3,
     K$14:ED$14,
     K$13:ED$13,
     K65:ED65,
     LAMBDA(
       job,
       buff,
       target,
       check,
       IF(
         AND(check=TRUE, REGEXMATCH(target, ""SELF_EFFECTED_ALL""), ISNUMBER(buff), job=""占星術師"""&amp;"),
         buff,
         1
       )
     )
   )
 )"),1.0)</f>
        <v>1</v>
      </c>
      <c r="EK65" s="200">
        <f>IFERROR(__xludf.DUMMYFUNCTION("PRODUCT(
   MAP(
     K$3:ED$3,
     K$14:ED$14,
     K$13:ED$13,
     K65:ED65,
     LAMBDA(
       job,
       buff,
       target,
       check,
       IF(
         AND(check=TRUE, REGEXMATCH(target, ""SELF_EFFECTED_GCD""), ISNUMBER(buff), job=""占星術師"""&amp;"),
         buff,
         1
       )
     )
   )
 )"),1.0)</f>
        <v>1</v>
      </c>
      <c r="EL65" s="200">
        <f>IFERROR(__xludf.DUMMYFUNCTION("PRODUCT(
   MAP(
     K$3:ED$3,
     K$14:ED$14,
     K$13:ED$13,
     K65:ED65,
     LAMBDA(
       job,
       buff,
       target,
       check,
       IF(
         AND(check=TRUE, REGEXMATCH(target, ""SELF_EFFECTED_ALL""), ISNUMBER(buff), job=""学者""),"&amp;"
         buff,
         1
       )
     )
   )
 )"),1.0)</f>
        <v>1</v>
      </c>
      <c r="EM65" s="200">
        <f>IFERROR(__xludf.DUMMYFUNCTION("PRODUCT(
   MAP(
     K$3:ED$3,
     K$14:ED$14,
     K$13:ED$13,
     K65:ED65,
     LAMBDA(
       job,
       buff,
       target,
       check,
       IF(
         AND(check=TRUE, REGEXMATCH(target, ""SELF_EFFECTED_GCD""), ISNUMBER(buff), job=""学者""),"&amp;"
         buff,
         1
       )
     )
   )
 )"),1.0)</f>
        <v>1</v>
      </c>
      <c r="EN65" s="200">
        <f>IFERROR(__xludf.DUMMYFUNCTION("PRODUCT(
   MAP(
     K$3:ED$3,
     K$14:ED$14,
     K$13:ED$13,
     K65:ED65,
     LAMBDA(
       job,
       buff,
       target,
       check,
       IF(
         AND(check=TRUE, REGEXMATCH(target, ""SELF_EFFECTED_ALL""), ISNUMBER(buff), job=""賢者""),"&amp;"
         buff,
         1
       )
     )
   )
 )"),1.0)</f>
        <v>1</v>
      </c>
      <c r="EO65" s="200">
        <f>IFERROR(__xludf.DUMMYFUNCTION("PRODUCT(
   MAP(
     K$3:ED$3,
     K$14:ED$14,
     K$13:ED$13,
     K65:ED65,
     LAMBDA(
       job,
       buff,
       target,
       check,
       IF(
         AND(check=TRUE, REGEXMATCH(target, ""SELF_EFFECTED_GCD""), ISNUMBER(buff), job=""賢者""),"&amp;"
         buff,
         1
       )
     )
   )
 )"),1.0)</f>
        <v>1</v>
      </c>
      <c r="EP65" s="201">
        <f t="shared" si="3"/>
        <v>0</v>
      </c>
      <c r="EQ65" s="201">
        <f>IFERROR(__xludf.DUMMYFUNCTION("SUM(
   MAP(
     K$4:ED$4,
     K$3:ED$3,
     K$7:ED$7,
     K$15:ED$15,
     K$16:ED$16,
     K$21:ED$21,
     K$5:ED$5,
     K$17:ED$17,
     K65:ED65,
     LAMBDA(
       name,
       job,
       abillity,
       buff,
       barrier,
       enhance,"&amp;"
       assign,
       precondition,
       check,
       SWITCH(
         name,
         ""シェイクオフ"", IF(check=TRUE, buff + (0.02 * COUNTIF(ARRAYFORMULA((REGEXMATCH($K$4:$ED$4, ""スリル・オブ・バトル|ヴェンジェンス|原初の血気|ダムネーション"")) * (K65:ED65=TRUE)), 1)), 0),
         "&amp;"""インプロビゼーションフィニッシュ(踊りの激情0)"", IF(ISNUMBER(check), INDEX(Skill!$AJ:$AJ, MATCH(SUBSTITUTE(DV$4, 0, check), Skill!$C:$C, 0)), 0),
         IF(
           AND(check=TRUE, REGEXMATCH(assign, ""RANGE_PARTY"")),
           IF(
             OR(ARRAYFORMULA((IF(pr"&amp;"econdition="""", FALSE, REGEXMATCH($K$4:$ED$4, precondition))) * (K65:ED65=TRUE))),
             enhance,
             IF(barrier="""", buff, barrier)
           ),
           0
         )
       ) *
       SWITCH(
         job,
         ""ナイト"", EY$24,
 "&amp;"        ""戦士"", FD$24,
         ""踊り子"", ET$24,
         ""ピクトマンサー"", ET$24,
         ""白魔道士"", EF65 * EH65 * IF(abillity, 1, EG65 * EI65) * (Option!$D$22 * 0.81 / 100),
         ""占星術師"", EF65 * EJ65 * IF(abillity, 1, EG65 * EK65) * (Option!$D$23 * 0.81 "&amp;"/ 100),
         ""学者"", EF65 * EL65 * IF(abillity, 1, EG65 * EM65) * (Option!$D$24 * 0.81 / 100),
         ""賢者"", EF65 * EN65 * IF(abillity, 1, EG65 * EO65) * (Option!$D$25 * 0.81 / 100),
         1
       )
     )
   )
 )"),0.0)</f>
        <v>0</v>
      </c>
      <c r="ER65" s="202">
        <f t="shared" si="4"/>
        <v>0</v>
      </c>
      <c r="ES65" s="203">
        <f t="shared" si="5"/>
        <v>0</v>
      </c>
      <c r="ET65" s="204" t="str">
        <f>IFERROR(__xludf.DUMMYFUNCTION("IFS(
  EP65 &gt; $ET$24 + EQ65,
  SPARKLINE({ 1, 0 }, {""charttype"",""bar"";""max"", 1;""color1"",Option!$D$30;""color2"",Option!$D$30}),
  EP65 &lt; EQ65,
  SPARKLINE({EQ65 - EP65, $ET$24 - (EQ65 - EP65)}, {""charttype"",""bar"";""max"",$ET$24;""color1"",Opti"&amp;"on!$D$28;""color2"",Option!$D$29}),
  EP65 &gt;= EQ65,
  SPARKLINE({$ET$24 + EQ65 - EP65,EP65 - EQ65}, {""charttype"",""bar"";""max"",$ET$24;""color1"",Option!$D$29;""color2"",Option!$D$30})
)"),"")</f>
        <v/>
      </c>
      <c r="EU65" s="205">
        <f>IFERROR(__xludf.DUMMYFUNCTION("PRODUCT(
   MAP(
     IF($F65=""Physical"", K$10:ED$10, IF($F65=""Magic"", K$11:ED$11, K$12:ED$12)),
     IF($F65=""Physical"", K$18:ED$18, IF($F65=""Magic"", K$19:ED$19, K$20:ED$20)),
     K$3:ED$3,
     K$5:ED$5,
     K$17:ED$17,
     K65:ED65,
     LAM"&amp;"BDA(
       mitigation,
       enhance,
       job,
       assign,
       precondition,
       check,
       IF(
         OR(AND(check=TRUE, REGEXMATCH(assign, ""SELF""), job=""ナイト""), AND(check=Option!$E$13, REGEXMATCH(assign, ""SINGLE_PARTY""))),
      "&amp;"   IF(
           OR(ARRAYFORMULA((IF(precondition="""", FALSE, REGEXMATCH($K$4:$ED$4, precondition))) * (K65:ED65=TRUE))),
           enhance,
           mitigation
         ),
         1
       )
     )
   )
 ) * EE65"),1.0)</f>
        <v>1</v>
      </c>
      <c r="EV65" s="206">
        <f t="shared" si="6"/>
        <v>0</v>
      </c>
      <c r="EW65" s="205">
        <f>IFERROR(__xludf.DUMMYFUNCTION("PRODUCT(
   MAP(
     K$3:ED$3,
     K$14:ED$14,
     K$13:ED$13,
     K65:ED65,
     LAMBDA(
       job,
       buff,
       target,
       check,
       IF(
         OR(AND(check=TRUE, REGEXMATCH(target, ""SELF_AFFECTED_ALL""), job=""ナイト""), AND(check=O"&amp;"ption!$E$13, REGEXMATCH(target, ""SINGLE_AFFECTED_ALL""))),
         buff,
         1
       )
     )
   )
 )"),1.0)</f>
        <v>1</v>
      </c>
      <c r="EX65" s="206">
        <f>IFERROR(__xludf.DUMMYFUNCTION("SUM(
   MAP(
     K$3:ED$3,
     K$7:ED$7,
     K$15:ED$15,
     K$16:ED$16,
     K$21:ED$21,
     K$5:ED$5,
     K$17:ED$17,
     K65:ED65,
     LAMBDA(
       job,
       abillity,
       buff,
       barrier,
       enhance,
       assign,
       preco"&amp;"ndition,
       check,
       IF(
         OR(AND(check=TRUE, REGEXMATCH(assign, ""SELF""), job=""ナイト""), AND(check=Option!$E$13, REGEXMATCH(assign, ""SINGLE_PARTY""))),
         IF(
           OR(ARRAYFORMULA((IF(precondition="""", FALSE, REGEXMATCH($K$4"&amp;":$ED$4, precondition))) * (K65:ED65=TRUE))),
           enhance,
           IF(barrier="""", buff, barrier)
         ),
         0
       ) *
       SWITCH(
         job,
         ""暗黒騎士"", EY$24,
         ""白魔道士"", EF65 * EH65 * EW65 * IF(abillity, 1, EG"&amp;"65 * EI65) * (Option!$D$22 * 0.81 / 100),
         ""占星術師"", EF65 * EJ65 * EW65 * IF(abillity, 1, EG65 * EK65) * (Option!$D$23 * 0.81 / 100),
         ""学者"", EF65 * EL65 * EW65 * IF(abillity, 1, EG65 * EM65) * (Option!$D$24 * 0.81 / 100),
         ""賢者"""&amp;", EF65 * EN65 * EW65 * IF(abillity, 1, EG65 * EO65) * (Option!$D$25 * 0.81 / 100),
         1
       )
     )
   )
 ) + EQ65"),0.0)</f>
        <v>0</v>
      </c>
      <c r="EY65" s="206">
        <f t="shared" si="7"/>
        <v>0</v>
      </c>
      <c r="EZ65" s="205">
        <f>IFERROR(__xludf.DUMMYFUNCTION("PRODUCT(
   MAP(
     IF($F65=""Physical"", K$10:ED$10, IF($F65=""Magic"", K$11:ED$11, K$12:ED$12)),
     IF($F65=""Physical"", K$18:ED$18, IF($F65=""Magic"", K$19:ED$19, K$20:ED$20)),
     K$3:ED$3,
     K$5:ED$5,
     K$17:ED$17,
     K65:ED65,
     LAM"&amp;"BDA(
       mitigation,
       enhance,
       job,
       assign,
       precondition,
       check,
       IF(
         OR(AND(check=TRUE, REGEXMATCH(assign, ""SELF""), job=""戦士""), AND(check=Option!$F$13, REGEXMATCH(assign, ""SINGLE_PARTY""))),
       "&amp;"  IF(
           OR(ARRAYFORMULA((IF(precondition="""", FALSE, REGEXMATCH($K$4:$ED$4, precondition))) * (K65:ED65=TRUE))),
           enhance,
           mitigation
         ),
         1
       )
     )
   )
 ) * EE65"),1.0)</f>
        <v>1</v>
      </c>
      <c r="FA65" s="206">
        <f t="shared" si="8"/>
        <v>0</v>
      </c>
      <c r="FB65" s="205">
        <f>IFERROR(__xludf.DUMMYFUNCTION("PRODUCT(
   MAP(
     K$3:ED$3,
     K$14:ED$14,
     K$13:ED$13,
     K65:ED65,
     LAMBDA(
       job,
       buff,
       target,
       check,
       IF(
         OR(AND(check=TRUE, REGEXMATCH(target, ""SELF_AFFECTED_ALL""), job=""戦士""), AND(check=Op"&amp;"tion!$F$13, REGEXMATCH(target, ""SINGLE_AFFECTED_ALL""))),
         buff,
         1
       )
     )
   )
 )"),1.0)</f>
        <v>1</v>
      </c>
      <c r="FC65" s="206">
        <f>IFERROR(__xludf.DUMMYFUNCTION("SUM(
   MAP(
     K$3:ED$3,
     K$7:ED$7,
     K$15:ED$15,
     K$16:ED$16,
     K$21:ED$21,
     K$5:ED$5,
     K$17:ED$17,
     K65:ED65,
     LAMBDA(
       job,
       abillity,
       buff,
       barrier,
       enhance,
       assign,
       preco"&amp;"ndition,
       check,
       IF(
         OR(AND(check=TRUE, REGEXMATCH(assign, ""SELF""), job=""戦士""), AND(check=Option!$F$13, REGEXMATCH(assign, ""SINGLE_PARTY""))),
         IF(
           OR(ARRAYFORMULA((IF(precondition="""", FALSE, REGEXMATCH($K$4:"&amp;"$ED$4, precondition))) * (K65:ED65=TRUE))),
           enhance,
           IF(barrier="""", buff, barrier)
         ),
         0
       ) *
       SWITCH(
         job,
         ""暗黒騎士"", FD$24,
         ""白魔道士"", EF65 * EH65 * FB65 * IF(abillity, 1, EG6"&amp;"5 * EI65) * (Option!$D$22 * 0.81 / 100),
         ""占星術師"", EF65 * EJ65 * FFB65 * IF(abillity, 1, EG65 * EK65) * (Option!$D$23 * 0.81 / 100),
         ""学者"", EF65 * EL65 * FB65 * IF(abillity, 1, EG65 * EM65) * (Option!$D$24 * 0.81 / 100),
         ""賢者"""&amp;", EF65 * EN65 * FB65 * IF(abillity, 1, EG65 * EO65) * (Option!$D$25 * 0.81 / 100),
         1
       )
     )
   )
 ) + EQ65"),0.0)</f>
        <v>0</v>
      </c>
      <c r="FD65" s="206">
        <f t="shared" si="9"/>
        <v>0</v>
      </c>
      <c r="FE65" s="205">
        <f>IFERROR(__xludf.DUMMYFUNCTION("PRODUCT(
   MAP(
     IF($F65=""Physical"", K$10:ED$10, IF($F65=""Magic"", K$11:ED$11, K$12:ED$12)),
     IF($F65=""Physical"", K$18:ED$18, IF($F65=""Magic"", K$19:ED$19, K$20:ED$20)),
     K$3:ED$3,
     K$5:ED$5,
     K$17:ED$17,
     K65:ED65,
     LAM"&amp;"BDA(
       mitigation,
       enhance,
       job,
       assign,
       precondition,
       check,
       IF(
         OR(AND(check=TRUE, REGEXMATCH(assign, ""SELF""), job=""暗黒騎士""), AND(check=Option!$G$13, REGEXMATCH(assign, ""SINGLE_PARTY""))),
     "&amp;"    IF(
           OR(ARRAYFORMULA((IF(precondition="""", FALSE, REGEXMATCH($K$4:$ED$4, precondition))) * (K65:ED65=TRUE))),
           enhance,
           mitigation
         ),
         1
       )
     )
   )
 ) * EE65"),1.0)</f>
        <v>1</v>
      </c>
      <c r="FF65" s="206">
        <f t="shared" si="10"/>
        <v>0</v>
      </c>
      <c r="FG65" s="205">
        <f>IFERROR(__xludf.DUMMYFUNCTION("PRODUCT(
   MAP(
     K$3:ED$3,
     K$14:ED$14,
     K$13:ED$13,
     K65:ED65,
     LAMBDA(
       job,
       buff,
       target,
       check,
       IF(
         OR(AND(check=TRUE, REGEXMATCH(target, ""SELF_AFFECTED_ALL""), job=""暗黒騎士""), AND(check="&amp;"Option!$G$13, REGEXMATCH(target, ""SINGLE_AFFECTED_ALL""))),
         buff,
         1
       )
     )
   )
 )"),1.0)</f>
        <v>1</v>
      </c>
      <c r="FH65" s="206">
        <f>IFERROR(__xludf.DUMMYFUNCTION("SUM(
   MAP(
     K$3:ED$3,
     K$7:ED$7,
     K$15:ED$15,
     K$16:ED$16,
     K$21:ED$21,
     K$5:ED$5,
     K$17:ED$17,
     K65:ED65,
     LAMBDA(
       job,
       abillity,
       buff,
       barrier,
       enhance,
       assign,
       preco"&amp;"ndition,
       check,
       IF(
         OR(AND(check=TRUE, REGEXMATCH(assign, ""SELF""), job=""暗黒騎士""), AND(check=Option!$G$13, REGEXMATCH(assign, ""SINGLE_PARTY""))),
         IF(
           OR(ARRAYFORMULA((IF(precondition="""", FALSE, REGEXMATCH($K$"&amp;"4:$ED$4, precondition))) * (K65:ED65=TRUE))),
           enhance,
           IF(barrier="""", buff, barrier)
         ),
         0
       ) *
       SWITCH(
         job,
         ""暗黒騎士"", FI$24,
         ""白魔道士"", EF65 * EH65 * FG65 * IF(abillity, 1, E"&amp;"G65 * EI65) * (Option!$D$22 * 0.81 / 100),
         ""占星術師"", EF65 * EJ65 * FG65 * IF(abillity, 1, EG65 * EK65) * (Option!$D$23 * 0.81 / 100),
         ""学者"", EF65 * EL65 * FG65 * IF(abillity, 1, EG65 * EM65) * (Option!$D$24 * 0.81 / 100),
         ""賢者"&amp;""", EF65 * EN65 * FG65 * IF(abillity, 1, EG65 * EO65) * (Option!$D$25 * 0.81 / 100),
         1
       )
     )
   )
 ) + EQ65"),0.0)</f>
        <v>0</v>
      </c>
      <c r="FI65" s="206">
        <f t="shared" si="11"/>
        <v>0</v>
      </c>
      <c r="FJ65" s="205">
        <f>IFERROR(__xludf.DUMMYFUNCTION("PRODUCT(
   MAP(
     IF($F65=""Physical"", K$10:ED$10, IF($F65=""Magic"", K$11:ED$11, K$12:ED$12)),
     IF($F65=""Physical"", K$18:ED$18, IF($F65=""Magic"", K$19:ED$19, K$20:ED$20)),
     K$3:ED$3,
     K$5:ED$5,
     K$17:ED$17,
     K65:ED65,
     LAM"&amp;"BDA(
       mitigation,
       enhance,
       job,
       assign,
       precondition,
       check,
       IF(
         OR(AND(check=TRUE, REGEXMATCH(assign, ""SELF""), job=""ガンブレイカー""), AND(check=Option!$H$13, REGEXMATCH(assign, ""SINGLE_PARTY""))),
  "&amp;"       IF(
           OR(ARRAYFORMULA((IF(precondition="""", FALSE, REGEXMATCH($K$4:$ED$4, precondition))) * (K65:ED65=TRUE))),
           enhance,
           mitigation
         ),
         1
       )
     )
   )
 ) * EE65"),1.0)</f>
        <v>1</v>
      </c>
      <c r="FK65" s="206">
        <f t="shared" si="12"/>
        <v>0</v>
      </c>
      <c r="FL65" s="205">
        <f>IFERROR(__xludf.DUMMYFUNCTION("PRODUCT(
   MAP(
     K$3:ED$3,
     K$14:ED$14,
     K$13:ED$13,
     K65:ED65,
     LAMBDA(
       job,
       buff,
       target,
       check,
       IF(
         OR(AND(check=TRUE, REGEXMATCH(target, ""SELF_AFFECTED_ALL""), job=""ガンブレイカー""), AND(che"&amp;"ck=Option!$H$13, REGEXMATCH(target, ""SINGLE_AFFECTED_ALL""))),
         buff,
         1
       )
     )
   )
 )"),1.0)</f>
        <v>1</v>
      </c>
      <c r="FM65" s="206">
        <f>IFERROR(__xludf.DUMMYFUNCTION("SUM(
   MAP(
     K$3:ED$3,
     K$7:ED$7,
     K$15:ED$15,
     K$16:ED$16,
     K$21:ED$21,
     K$5:ED$5,
     K$17:ED$17,
     K65:ED65,
     LAMBDA(
       job,
       abillity,
       buff,
       barrier,
       enhance,
       assign,
       preco"&amp;"ndition,
       check,
       IF(
         OR(AND(check=TRUE, REGEXMATCH(assign, ""SELF""), job=""ガンブレイカー""), AND(check=Option!$H$13, REGEXMATCH(assign, ""SINGLE_PARTY""))),
         IF(
           OR(ARRAYFORMULA((IF(precondition="""", FALSE, REGEXMATCH("&amp;"$K$4:$ED$4, precondition))) * (K65:ED65=TRUE))),
           enhance,
           IF(barrier="""", buff, barrier)
         ),
         0
       ) *
       SWITCH(
         job,
         ""暗黒騎士"", FN$24,
         ""白魔道士"", EF65 * EH65 * FL65 * IF(abillity, 1"&amp;", EG65 * EI65) * (Option!$D$22 * 0.81 / 100),
         ""占星術師"", EF65 * EJ65 * FL65 * IF(abillity, 1, EG65 * EK65) * (Option!$D$23 * 0.81 / 100),
         ""学者"", EF65 * EL65 * FL65 * IF(abillity, 1, EG65 * EM65) * (Option!$D$24 * 0.81 / 100),
         """&amp;"賢者"", EF65 * EN65 * FL65 * IF(abillity, 1, EG65 * EO65) * (Option!$D$25 * 0.81 / 100),
         1
       )
     )
   )
 ) + EQ65"),0.0)</f>
        <v>0</v>
      </c>
      <c r="FN65" s="206">
        <f t="shared" si="13"/>
        <v>0</v>
      </c>
      <c r="FO65" s="213"/>
    </row>
    <row r="66">
      <c r="B66" s="229"/>
      <c r="C66" s="217">
        <f t="shared" si="1"/>
        <v>0</v>
      </c>
      <c r="D66" s="236"/>
      <c r="E66" s="244"/>
      <c r="F66" s="167"/>
      <c r="G66" s="168" t="str">
        <f t="shared" si="2"/>
        <v/>
      </c>
      <c r="H66" s="169"/>
      <c r="I66" s="169"/>
      <c r="J66" s="169"/>
      <c r="K66" s="170" t="b">
        <v>0</v>
      </c>
      <c r="L66" s="170" t="b">
        <v>0</v>
      </c>
      <c r="M66" s="170" t="b">
        <v>0</v>
      </c>
      <c r="N66" s="171" t="s">
        <v>1070</v>
      </c>
      <c r="O66" s="172" t="b">
        <v>0</v>
      </c>
      <c r="P66" s="173" t="b">
        <v>0</v>
      </c>
      <c r="Q66" s="173" t="b">
        <v>0</v>
      </c>
      <c r="R66" s="173" t="b">
        <v>0</v>
      </c>
      <c r="S66" s="174" t="b">
        <v>0</v>
      </c>
      <c r="T66" s="175" t="b">
        <v>0</v>
      </c>
      <c r="U66" s="173" t="b">
        <v>0</v>
      </c>
      <c r="V66" s="171" t="s">
        <v>1070</v>
      </c>
      <c r="W66" s="172" t="b">
        <v>0</v>
      </c>
      <c r="X66" s="173" t="b">
        <v>0</v>
      </c>
      <c r="Y66" s="173" t="b">
        <v>0</v>
      </c>
      <c r="Z66" s="173" t="b">
        <v>0</v>
      </c>
      <c r="AA66" s="174" t="b">
        <v>0</v>
      </c>
      <c r="AB66" s="174" t="b">
        <v>0</v>
      </c>
      <c r="AC66" s="175" t="b">
        <v>0</v>
      </c>
      <c r="AD66" s="173" t="b">
        <v>0</v>
      </c>
      <c r="AE66" s="176" t="s">
        <v>1070</v>
      </c>
      <c r="AF66" s="171" t="s">
        <v>1070</v>
      </c>
      <c r="AG66" s="177">
        <f>IFERROR(__xludf.DUMMYFUNCTION("IF(
  ISNUMBER(AG65),
  MIN(MAX(
    AG65
    + MAX(
      ROUNDDOWN(($D66 - MAX(IFERROR(FILTER($D$24:$D65, AG$24:AG65 &lt;&gt; AF$6, AG$23:AG64 = AF$6), 0))) * (60 * 60 * 24) / AF$9) - ROUNDDOWN(($D65 - MAX(IFERROR(FILTER($D$23:$D64, AG$23:AG64 &lt;&gt; AF$6, AG$22:"&amp;"AG63 = AF$6), 0))) * (60 * 60 * 24) / 60),
      0
    )
    - COUNTIF(AF66, ""&lt;&gt;-""),
  0), AF$6),
  AF$6 - COUNTIF(AF66, ""&lt;&gt;-"")
)"),2.0)</f>
        <v>2</v>
      </c>
      <c r="AH66" s="173" t="b">
        <v>0</v>
      </c>
      <c r="AI66" s="173" t="b">
        <v>0</v>
      </c>
      <c r="AJ66" s="173" t="b">
        <v>0</v>
      </c>
      <c r="AK66" s="174" t="b">
        <v>0</v>
      </c>
      <c r="AL66" s="175" t="b">
        <v>0</v>
      </c>
      <c r="AM66" s="173" t="b">
        <v>0</v>
      </c>
      <c r="AN66" s="171" t="s">
        <v>1070</v>
      </c>
      <c r="AO66" s="173" t="b">
        <v>0</v>
      </c>
      <c r="AP66" s="173" t="b">
        <v>0</v>
      </c>
      <c r="AQ66" s="173" t="b">
        <v>0</v>
      </c>
      <c r="AR66" s="174" t="b">
        <v>0</v>
      </c>
      <c r="AS66" s="178" t="b">
        <v>0</v>
      </c>
      <c r="AT66" s="179" t="b">
        <v>0</v>
      </c>
      <c r="AU66" s="180" t="b">
        <v>0</v>
      </c>
      <c r="AV66" s="180" t="b">
        <v>0</v>
      </c>
      <c r="AW66" s="180" t="b">
        <v>0</v>
      </c>
      <c r="AX66" s="180" t="b">
        <v>0</v>
      </c>
      <c r="AY66" s="181" t="s">
        <v>1070</v>
      </c>
      <c r="AZ66" s="181" t="s">
        <v>1070</v>
      </c>
      <c r="BA66" s="184">
        <f>IFERROR(__xludf.DUMMYFUNCTION("IF(
  ISNUMBER(BA65),
  MIN(MAX(
    BA65
    + MAX(
      ROUNDDOWN((D66 - MAX(IFERROR(FILTER(D$24:D65, BA$24:BA65 &lt;&gt; AZ$6, BA$23:BA64 = AZ$6), 0))) * (60 * 60 * 24) / AZ$9) - ROUNDDOWN((D65 - MAX(IFERROR(FILTER(D$23:D64, BA$23:BA64 &lt;&gt; AZ$6, BA$22:BA63 ="&amp;" AZ$6), 0))) * (60 * 60 * 24) / AZ$9),
      0
    )
    - COUNTIF(AZ66, ""&lt;&gt;-""),
  0), AZ$6),
  AZ$6 - COUNTIF(AZ66, ""&lt;&gt;-"")
)"),2.0)</f>
        <v>2</v>
      </c>
      <c r="BB66" s="181" t="s">
        <v>1070</v>
      </c>
      <c r="BC66" s="183">
        <f>IFERROR(__xludf.DUMMYFUNCTION("IF(
  ISNUMBER(BC65),
  MIN(MAX(
    BC65
    + MAX(
      ROUNDDOWN(($D66 - MAX(IFERROR(FILTER($D$24:$D65, BC$24:BC65 &lt;&gt; BB$6, BC$23:BC64 = BB$6), 0))) * (60 * 60 * 24) / BB$9) - ROUNDDOWN(($D65 - MAX(IFERROR(FILTER($D$23:$D64, BC$23:BC64 &lt;&gt; BB$6, BC$22:"&amp;"BC63 = BB$6), 0))) * (60 * 60 * 24) / 60),
      0
    )
    - COUNTIF(BB66, ""&lt;&gt;-""),
  0), BB$6),
  BB$6 - COUNTIF(BB66, ""&lt;&gt;-"")
)"),2.0)</f>
        <v>2</v>
      </c>
      <c r="BD66" s="181" t="s">
        <v>1070</v>
      </c>
      <c r="BE66" s="178" t="b">
        <v>0</v>
      </c>
      <c r="BF66" s="180" t="b">
        <v>0</v>
      </c>
      <c r="BG66" s="180" t="b">
        <v>0</v>
      </c>
      <c r="BH66" s="180" t="b">
        <v>0</v>
      </c>
      <c r="BI66" s="180" t="b">
        <v>0</v>
      </c>
      <c r="BJ66" s="180" t="b">
        <v>0</v>
      </c>
      <c r="BK66" s="180" t="b">
        <v>0</v>
      </c>
      <c r="BL66" s="180" t="b">
        <v>0</v>
      </c>
      <c r="BM66" s="180" t="b">
        <v>0</v>
      </c>
      <c r="BN66" s="180" t="b">
        <v>0</v>
      </c>
      <c r="BO66" s="181" t="s">
        <v>1070</v>
      </c>
      <c r="BP66" s="181" t="s">
        <v>1070</v>
      </c>
      <c r="BQ66" s="181" t="s">
        <v>1070</v>
      </c>
      <c r="BR66" s="181" t="s">
        <v>1070</v>
      </c>
      <c r="BS66" s="181" t="s">
        <v>1070</v>
      </c>
      <c r="BT66" s="184">
        <f>IFERROR(__xludf.DUMMYFUNCTION("IF(
  ISNUMBER(BT65),
  MIN(MAX(
    BT65
    + MAX(
      ROUNDDOWN((D66 - MAX(IFERROR(FILTER(D$24:D65, BT$24:BT65 &lt;&gt; BS$6, BT$23:BT64 = BS$6), 0))) * (60 * 60 * 24) / BS$9) - ROUNDDOWN((D65 - MAX(IFERROR(FILTER(D$23:D64, BT$23:BT64 &lt;&gt; BS$6, BT$22:BT63 ="&amp;" BS$6), 0))) * (60 * 60 * 24) / BS$9),
      0
    )
    - COUNTIF(BS66, ""&lt;&gt;-""),
  0), BS$6),
  BS$6 - COUNTIF(BS66, ""&lt;&gt;-"")
)"),3.0)</f>
        <v>3</v>
      </c>
      <c r="BU66" s="181" t="s">
        <v>1070</v>
      </c>
      <c r="BV66" s="181" t="s">
        <v>1070</v>
      </c>
      <c r="BW66" s="184">
        <f>IFERROR(__xludf.DUMMYFUNCTION("IF(
  ISNUMBER(BW65),
  MIN(MAX(
    BW65
    + MAX(
      ROUNDDOWN((D66 - MAX(IFERROR(FILTER(D$24:D65, BW$24:BW65 &lt;&gt; BV$6, BW$23:BW64 = BV$6), 0))) * (60 * 60 * 24) / BV$9) - ROUNDDOWN((D65 - MAX(IFERROR(FILTER(D$23:D64, BW$23:BW64 &lt;&gt; BV$6, BW$22:BW63 ="&amp;" BV$6), 0))) * (60 * 60 * 24) / BV$9),
      0
    )
    - COUNTIF(BV66, ""&lt;&gt;-""),
  0), BV$6),
  BV$6 - COUNTIF(BV66, ""&lt;&gt;-"")
)"),2.0)</f>
        <v>2</v>
      </c>
      <c r="BX66" s="185" t="s">
        <v>1070</v>
      </c>
      <c r="BY66" s="178" t="b">
        <v>0</v>
      </c>
      <c r="BZ66" s="180" t="b">
        <v>0</v>
      </c>
      <c r="CA66" s="180" t="b">
        <v>0</v>
      </c>
      <c r="CB66" s="180" t="b">
        <v>0</v>
      </c>
      <c r="CC66" s="180" t="b">
        <v>0</v>
      </c>
      <c r="CD66" s="180" t="b">
        <v>0</v>
      </c>
      <c r="CE66" s="180" t="b">
        <v>0</v>
      </c>
      <c r="CF66" s="180" t="b">
        <v>0</v>
      </c>
      <c r="CG66" s="180" t="b">
        <v>0</v>
      </c>
      <c r="CH66" s="180" t="b">
        <v>0</v>
      </c>
      <c r="CI66" s="180" t="b">
        <v>0</v>
      </c>
      <c r="CJ66" s="180" t="b">
        <v>0</v>
      </c>
      <c r="CK66" s="180" t="b">
        <v>0</v>
      </c>
      <c r="CL66" s="180" t="b">
        <v>0</v>
      </c>
      <c r="CM66" s="181" t="s">
        <v>1070</v>
      </c>
      <c r="CN66" s="181" t="s">
        <v>1070</v>
      </c>
      <c r="CO66" s="181" t="s">
        <v>1070</v>
      </c>
      <c r="CP66" s="181" t="s">
        <v>1070</v>
      </c>
      <c r="CQ66" s="185" t="s">
        <v>1070</v>
      </c>
      <c r="CR66" s="180" t="b">
        <v>0</v>
      </c>
      <c r="CS66" s="186" t="str">
        <f t="shared" si="14"/>
        <v>◇◇◇</v>
      </c>
      <c r="CT66" s="178" t="b">
        <v>0</v>
      </c>
      <c r="CU66" s="180" t="b">
        <v>0</v>
      </c>
      <c r="CV66" s="180" t="b">
        <v>0</v>
      </c>
      <c r="CW66" s="180" t="b">
        <v>0</v>
      </c>
      <c r="CX66" s="180" t="b">
        <v>0</v>
      </c>
      <c r="CY66" s="180" t="b">
        <v>0</v>
      </c>
      <c r="CZ66" s="180" t="b">
        <v>0</v>
      </c>
      <c r="DA66" s="180" t="b">
        <v>0</v>
      </c>
      <c r="DB66" s="180" t="b">
        <v>0</v>
      </c>
      <c r="DC66" s="180" t="b">
        <v>0</v>
      </c>
      <c r="DD66" s="181" t="s">
        <v>1070</v>
      </c>
      <c r="DE66" s="181" t="s">
        <v>1070</v>
      </c>
      <c r="DF66" s="181" t="s">
        <v>1070</v>
      </c>
      <c r="DG66" s="185" t="s">
        <v>1070</v>
      </c>
      <c r="DH66" s="180" t="b">
        <v>0</v>
      </c>
      <c r="DI66" s="187" t="str">
        <f>IFERROR(__xludf.DUMMYFUNCTION("SWITCH(
  IF(
    ISTEXT(DI65),
    IF (
      FIND(""○"", DI65&amp;""○"") &gt; 3,
      3,
      FIND(""○"", DI65&amp;""○"")
      + MAX(
        ROUNDDOWN(($D66 - MAX(IFERROR(FILTER(D$24:D65, DI$24:DI65 &lt;&gt; ""●●●"", DI$23:DI64 = ""●●●""), 0))) * (60 * 60 * 24) / 20"&amp;") - ROUNDDOWN(($D65 - MAX(IFERROR(FILTER(D$23:D64, DI$23:DI64 &lt;&gt; ""●●●"", DI$22:DI63 = ""●●●""), 0))) * (60 * 60 * 24) / 20),
        0
      ) - 1
    ) - COUNTIFS(CU66, ""=TRUE"", CU65, ""&lt;&gt;TRUE"") - COUNTIF(CZ66, ""=TRUE"") - COUNTIF({DD66,DE66}, ""&lt;&gt;-"&amp;""") + COUNTIF(DH66, ""=TRUE""),
    3
  ),
  0, ""○○○"", 1, ""●○○"", 2, ""●●○"", 3, ""●●●"", 4, ""●●●"", ""○○○""
)"),"●●●")</f>
        <v>●●●</v>
      </c>
      <c r="DJ66" s="188" t="b">
        <v>0</v>
      </c>
      <c r="DK66" s="189" t="b">
        <v>0</v>
      </c>
      <c r="DL66" s="190" t="b">
        <v>0</v>
      </c>
      <c r="DM66" s="190" t="b">
        <v>0</v>
      </c>
      <c r="DN66" s="190" t="b">
        <v>0</v>
      </c>
      <c r="DO66" s="190" t="b">
        <v>0</v>
      </c>
      <c r="DP66" s="190" t="b">
        <v>0</v>
      </c>
      <c r="DQ66" s="191" t="b">
        <v>0</v>
      </c>
      <c r="DR66" s="192" t="b">
        <v>0</v>
      </c>
      <c r="DS66" s="191" t="b">
        <v>0</v>
      </c>
      <c r="DT66" s="192" t="b">
        <v>0</v>
      </c>
      <c r="DU66" s="191" t="b">
        <v>0</v>
      </c>
      <c r="DV66" s="193" t="s">
        <v>1070</v>
      </c>
      <c r="DW66" s="194" t="b">
        <v>0</v>
      </c>
      <c r="DX66" s="194" t="b">
        <v>0</v>
      </c>
      <c r="DY66" s="195" t="b">
        <v>0</v>
      </c>
      <c r="DZ66" s="196" t="b">
        <v>0</v>
      </c>
      <c r="EA66" s="195" t="b">
        <v>0</v>
      </c>
      <c r="EB66" s="197" t="b">
        <v>0</v>
      </c>
      <c r="EC66" s="197" t="b">
        <v>0</v>
      </c>
      <c r="ED66" s="212" t="b">
        <v>0</v>
      </c>
      <c r="EE66" s="199">
        <f>IFERROR(__xludf.DUMMYFUNCTION("IFERROR(
   PRODUCT(
     MAP(
       INDEX(TRANSPOSE(UNIQUE(TRANSPOSE(FILTER({IF($F66=""Physical"", K$10:ED$10, IF($F66=""Magic"", K$11:ED$11, K$12:ED$12));K$4:ED$4;K66:ED66}, K66:ED66=TRUE)))), 1, 0),
       INDEX(TRANSPOSE(UNIQUE(TRANSPOSE(FILTER({IF($"&amp;"F66=""Physical"", K$18:ED$18, IF($F66=""Magic"", K$19:ED$19, K$20:ED$20));K$4:ED$4;K66:ED66}, K66:ED66=TRUE)))), 1, 0),
       INDEX(TRANSPOSE(UNIQUE(TRANSPOSE(FILTER({K$5:ED$5;K$4:ED$4;K66:ED66}, K66:ED66=TRUE)))), 1, 0),
       INDEX(TRANSPOSE(UNIQUE(TR"&amp;"ANSPOSE(FILTER({K$17:ED$17;K$4:ED$4;K66:ED66}, K66:ED66=TRUE)))), 1, 0),
       LAMBDA(
         mitigation,
         enhance,
         assign,
         precondition,
         IF(
           REGEXMATCH(assign, ""RANGE_PARTY|SINGLE_ENEMY|RANGE_ENEMY""),
  "&amp;"         IF(
             OR(ARRAYFORMULA((IF(precondition="""", FALSE, REGEXMATCH(K$4:ED$4, precondition))) * (K66:ED66=TRUE))),
             IF(ISNUMBER(enhance), enhance, 1),
             IF(ISNUMBER(mitigation), mitigation, 1)
           ),
          "&amp;" 1
         )
       )
     )
   ),
   1
 )"),1.0)</f>
        <v>1</v>
      </c>
      <c r="EF66" s="200">
        <f>IFERROR(__xludf.DUMMYFUNCTION("PRODUCT(
   MAP(
     K$14:ED$14,
     K$13:ED$13,
     K66:ED66,
     LAMBDA(
       buff,
       target,
       check,
       IF(
         AND(check=TRUE, REGEXMATCH(target, ""RANGE_AFFECTED_ALL|RANGE_EFFECTED_ALL""), ISNUMBER(buff)),
         buff,
   "&amp;"      1
       )
     )
   )
 )"),1.0)</f>
        <v>1</v>
      </c>
      <c r="EG66" s="200">
        <f>IFERROR(__xludf.DUMMYFUNCTION("PRODUCT(
   MAP(
     K$14:ED$14,
     K$13:ED$13,
     K66:ED66,
     LAMBDA(
       buff,
       target,
       check,
       IF(
         AND(check=TRUE, REGEXMATCH(target, ""RANGE_AFFECTED_GCD|RANGE_EFFECTED_GCD""), ISNUMBER(buff)),
         buff,
   "&amp;"      1
       )
     )
   )
 )"),1.0)</f>
        <v>1</v>
      </c>
      <c r="EH66" s="200">
        <f>IFERROR(__xludf.DUMMYFUNCTION("PRODUCT(
   MAP(
     K$3:ED$3,
     K$14:ED$14,
     K$13:ED$13,
     K66:ED66,
     LAMBDA(
       job,
       buff,
       target,
       check,
       IF(
         AND(check=TRUE, REGEXMATCH(target, ""SELF_EFFECTED_ALL""), ISNUMBER(buff), job=""白魔道士"""&amp;"),
         buff,
         1
       )
     )
   )
 )"),1.0)</f>
        <v>1</v>
      </c>
      <c r="EI66" s="200">
        <f>IFERROR(__xludf.DUMMYFUNCTION("PRODUCT(
   MAP(
     K$3:ED$3,
     K$14:ED$14,
     K$13:ED$13,
     K66:ED66,
     LAMBDA(
       job,
       buff,
       target,
       check,
       IF(
         AND(check=TRUE, REGEXMATCH(target, ""SELF_EFFECTED_GCD""), ISNUMBER(buff), job=""白魔道士"""&amp;"),
         buff,
         1
       )
     )
   )
 )"),1.0)</f>
        <v>1</v>
      </c>
      <c r="EJ66" s="200">
        <f>IFERROR(__xludf.DUMMYFUNCTION("PRODUCT(
   MAP(
     K$3:ED$3,
     K$14:ED$14,
     K$13:ED$13,
     K66:ED66,
     LAMBDA(
       job,
       buff,
       target,
       check,
       IF(
         AND(check=TRUE, REGEXMATCH(target, ""SELF_EFFECTED_ALL""), ISNUMBER(buff), job=""占星術師"""&amp;"),
         buff,
         1
       )
     )
   )
 )"),1.0)</f>
        <v>1</v>
      </c>
      <c r="EK66" s="200">
        <f>IFERROR(__xludf.DUMMYFUNCTION("PRODUCT(
   MAP(
     K$3:ED$3,
     K$14:ED$14,
     K$13:ED$13,
     K66:ED66,
     LAMBDA(
       job,
       buff,
       target,
       check,
       IF(
         AND(check=TRUE, REGEXMATCH(target, ""SELF_EFFECTED_GCD""), ISNUMBER(buff), job=""占星術師"""&amp;"),
         buff,
         1
       )
     )
   )
 )"),1.0)</f>
        <v>1</v>
      </c>
      <c r="EL66" s="200">
        <f>IFERROR(__xludf.DUMMYFUNCTION("PRODUCT(
   MAP(
     K$3:ED$3,
     K$14:ED$14,
     K$13:ED$13,
     K66:ED66,
     LAMBDA(
       job,
       buff,
       target,
       check,
       IF(
         AND(check=TRUE, REGEXMATCH(target, ""SELF_EFFECTED_ALL""), ISNUMBER(buff), job=""学者""),"&amp;"
         buff,
         1
       )
     )
   )
 )"),1.0)</f>
        <v>1</v>
      </c>
      <c r="EM66" s="200">
        <f>IFERROR(__xludf.DUMMYFUNCTION("PRODUCT(
   MAP(
     K$3:ED$3,
     K$14:ED$14,
     K$13:ED$13,
     K66:ED66,
     LAMBDA(
       job,
       buff,
       target,
       check,
       IF(
         AND(check=TRUE, REGEXMATCH(target, ""SELF_EFFECTED_GCD""), ISNUMBER(buff), job=""学者""),"&amp;"
         buff,
         1
       )
     )
   )
 )"),1.0)</f>
        <v>1</v>
      </c>
      <c r="EN66" s="200">
        <f>IFERROR(__xludf.DUMMYFUNCTION("PRODUCT(
   MAP(
     K$3:ED$3,
     K$14:ED$14,
     K$13:ED$13,
     K66:ED66,
     LAMBDA(
       job,
       buff,
       target,
       check,
       IF(
         AND(check=TRUE, REGEXMATCH(target, ""SELF_EFFECTED_ALL""), ISNUMBER(buff), job=""賢者""),"&amp;"
         buff,
         1
       )
     )
   )
 )"),1.0)</f>
        <v>1</v>
      </c>
      <c r="EO66" s="200">
        <f>IFERROR(__xludf.DUMMYFUNCTION("PRODUCT(
   MAP(
     K$3:ED$3,
     K$14:ED$14,
     K$13:ED$13,
     K66:ED66,
     LAMBDA(
       job,
       buff,
       target,
       check,
       IF(
         AND(check=TRUE, REGEXMATCH(target, ""SELF_EFFECTED_GCD""), ISNUMBER(buff), job=""賢者""),"&amp;"
         buff,
         1
       )
     )
   )
 )"),1.0)</f>
        <v>1</v>
      </c>
      <c r="EP66" s="201">
        <f t="shared" si="3"/>
        <v>0</v>
      </c>
      <c r="EQ66" s="201">
        <f>IFERROR(__xludf.DUMMYFUNCTION("SUM(
   MAP(
     K$4:ED$4,
     K$3:ED$3,
     K$7:ED$7,
     K$15:ED$15,
     K$16:ED$16,
     K$21:ED$21,
     K$5:ED$5,
     K$17:ED$17,
     K66:ED66,
     LAMBDA(
       name,
       job,
       abillity,
       buff,
       barrier,
       enhance,"&amp;"
       assign,
       precondition,
       check,
       SWITCH(
         name,
         ""シェイクオフ"", IF(check=TRUE, buff + (0.02 * COUNTIF(ARRAYFORMULA((REGEXMATCH($K$4:$ED$4, ""スリル・オブ・バトル|ヴェンジェンス|原初の血気|ダムネーション"")) * (K66:ED66=TRUE)), 1)), 0),
         "&amp;"""インプロビゼーションフィニッシュ(踊りの激情0)"", IF(ISNUMBER(check), INDEX(Skill!$AJ:$AJ, MATCH(SUBSTITUTE(DV$4, 0, check), Skill!$C:$C, 0)), 0),
         IF(
           AND(check=TRUE, REGEXMATCH(assign, ""RANGE_PARTY"")),
           IF(
             OR(ARRAYFORMULA((IF(pr"&amp;"econdition="""", FALSE, REGEXMATCH($K$4:$ED$4, precondition))) * (K66:ED66=TRUE))),
             enhance,
             IF(barrier="""", buff, barrier)
           ),
           0
         )
       ) *
       SWITCH(
         job,
         ""ナイト"", EY$24,
 "&amp;"        ""戦士"", FD$24,
         ""踊り子"", ET$24,
         ""ピクトマンサー"", ET$24,
         ""白魔道士"", EF66 * EH66 * IF(abillity, 1, EG66 * EI66) * (Option!$D$22 * 0.81 / 100),
         ""占星術師"", EF66 * EJ66 * IF(abillity, 1, EG66 * EK66) * (Option!$D$23 * 0.81 "&amp;"/ 100),
         ""学者"", EF66 * EL66 * IF(abillity, 1, EG66 * EM66) * (Option!$D$24 * 0.81 / 100),
         ""賢者"", EF66 * EN66 * IF(abillity, 1, EG66 * EO66) * (Option!$D$25 * 0.81 / 100),
         1
       )
     )
   )
 )"),0.0)</f>
        <v>0</v>
      </c>
      <c r="ER66" s="202">
        <f t="shared" si="4"/>
        <v>0</v>
      </c>
      <c r="ES66" s="203">
        <f t="shared" si="5"/>
        <v>0</v>
      </c>
      <c r="ET66" s="204" t="str">
        <f>IFERROR(__xludf.DUMMYFUNCTION("IFS(
  EP66 &gt; $ET$24 + EQ66,
  SPARKLINE({ 1, 0 }, {""charttype"",""bar"";""max"", 1;""color1"",Option!$D$30;""color2"",Option!$D$30}),
  EP66 &lt; EQ66,
  SPARKLINE({EQ66 - EP66, $ET$24 - (EQ66 - EP66)}, {""charttype"",""bar"";""max"",$ET$24;""color1"",Opti"&amp;"on!$D$28;""color2"",Option!$D$29}),
  EP66 &gt;= EQ66,
  SPARKLINE({$ET$24 + EQ66 - EP66,EP66 - EQ66}, {""charttype"",""bar"";""max"",$ET$24;""color1"",Option!$D$29;""color2"",Option!$D$30})
)"),"")</f>
        <v/>
      </c>
      <c r="EU66" s="205">
        <f>IFERROR(__xludf.DUMMYFUNCTION("PRODUCT(
   MAP(
     IF($F66=""Physical"", K$10:ED$10, IF($F66=""Magic"", K$11:ED$11, K$12:ED$12)),
     IF($F66=""Physical"", K$18:ED$18, IF($F66=""Magic"", K$19:ED$19, K$20:ED$20)),
     K$3:ED$3,
     K$5:ED$5,
     K$17:ED$17,
     K66:ED66,
     LAM"&amp;"BDA(
       mitigation,
       enhance,
       job,
       assign,
       precondition,
       check,
       IF(
         OR(AND(check=TRUE, REGEXMATCH(assign, ""SELF""), job=""ナイト""), AND(check=Option!$E$13, REGEXMATCH(assign, ""SINGLE_PARTY""))),
      "&amp;"   IF(
           OR(ARRAYFORMULA((IF(precondition="""", FALSE, REGEXMATCH($K$4:$ED$4, precondition))) * (K66:ED66=TRUE))),
           enhance,
           mitigation
         ),
         1
       )
     )
   )
 ) * EE66"),1.0)</f>
        <v>1</v>
      </c>
      <c r="EV66" s="206">
        <f t="shared" si="6"/>
        <v>0</v>
      </c>
      <c r="EW66" s="205">
        <f>IFERROR(__xludf.DUMMYFUNCTION("PRODUCT(
   MAP(
     K$3:ED$3,
     K$14:ED$14,
     K$13:ED$13,
     K66:ED66,
     LAMBDA(
       job,
       buff,
       target,
       check,
       IF(
         OR(AND(check=TRUE, REGEXMATCH(target, ""SELF_AFFECTED_ALL""), job=""ナイト""), AND(check=O"&amp;"ption!$E$13, REGEXMATCH(target, ""SINGLE_AFFECTED_ALL""))),
         buff,
         1
       )
     )
   )
 )"),1.0)</f>
        <v>1</v>
      </c>
      <c r="EX66" s="206">
        <f>IFERROR(__xludf.DUMMYFUNCTION("SUM(
   MAP(
     K$3:ED$3,
     K$7:ED$7,
     K$15:ED$15,
     K$16:ED$16,
     K$21:ED$21,
     K$5:ED$5,
     K$17:ED$17,
     K66:ED66,
     LAMBDA(
       job,
       abillity,
       buff,
       barrier,
       enhance,
       assign,
       preco"&amp;"ndition,
       check,
       IF(
         OR(AND(check=TRUE, REGEXMATCH(assign, ""SELF""), job=""ナイト""), AND(check=Option!$E$13, REGEXMATCH(assign, ""SINGLE_PARTY""))),
         IF(
           OR(ARRAYFORMULA((IF(precondition="""", FALSE, REGEXMATCH($K$4"&amp;":$ED$4, precondition))) * (K66:ED66=TRUE))),
           enhance,
           IF(barrier="""", buff, barrier)
         ),
         0
       ) *
       SWITCH(
         job,
         ""暗黒騎士"", EY$24,
         ""白魔道士"", EF66 * EH66 * EW66 * IF(abillity, 1, EG"&amp;"66 * EI66) * (Option!$D$22 * 0.81 / 100),
         ""占星術師"", EF66 * EJ66 * EW66 * IF(abillity, 1, EG66 * EK66) * (Option!$D$23 * 0.81 / 100),
         ""学者"", EF66 * EL66 * EW66 * IF(abillity, 1, EG66 * EM66) * (Option!$D$24 * 0.81 / 100),
         ""賢者"""&amp;", EF66 * EN66 * EW66 * IF(abillity, 1, EG66 * EO66) * (Option!$D$25 * 0.81 / 100),
         1
       )
     )
   )
 ) + EQ66"),0.0)</f>
        <v>0</v>
      </c>
      <c r="EY66" s="206">
        <f t="shared" si="7"/>
        <v>0</v>
      </c>
      <c r="EZ66" s="205">
        <f>IFERROR(__xludf.DUMMYFUNCTION("PRODUCT(
   MAP(
     IF($F66=""Physical"", K$10:ED$10, IF($F66=""Magic"", K$11:ED$11, K$12:ED$12)),
     IF($F66=""Physical"", K$18:ED$18, IF($F66=""Magic"", K$19:ED$19, K$20:ED$20)),
     K$3:ED$3,
     K$5:ED$5,
     K$17:ED$17,
     K66:ED66,
     LAM"&amp;"BDA(
       mitigation,
       enhance,
       job,
       assign,
       precondition,
       check,
       IF(
         OR(AND(check=TRUE, REGEXMATCH(assign, ""SELF""), job=""戦士""), AND(check=Option!$F$13, REGEXMATCH(assign, ""SINGLE_PARTY""))),
       "&amp;"  IF(
           OR(ARRAYFORMULA((IF(precondition="""", FALSE, REGEXMATCH($K$4:$ED$4, precondition))) * (K66:ED66=TRUE))),
           enhance,
           mitigation
         ),
         1
       )
     )
   )
 ) * EE66"),1.0)</f>
        <v>1</v>
      </c>
      <c r="FA66" s="206">
        <f t="shared" si="8"/>
        <v>0</v>
      </c>
      <c r="FB66" s="205">
        <f>IFERROR(__xludf.DUMMYFUNCTION("PRODUCT(
   MAP(
     K$3:ED$3,
     K$14:ED$14,
     K$13:ED$13,
     K66:ED66,
     LAMBDA(
       job,
       buff,
       target,
       check,
       IF(
         OR(AND(check=TRUE, REGEXMATCH(target, ""SELF_AFFECTED_ALL""), job=""戦士""), AND(check=Op"&amp;"tion!$F$13, REGEXMATCH(target, ""SINGLE_AFFECTED_ALL""))),
         buff,
         1
       )
     )
   )
 )"),1.0)</f>
        <v>1</v>
      </c>
      <c r="FC66" s="206">
        <f>IFERROR(__xludf.DUMMYFUNCTION("SUM(
   MAP(
     K$3:ED$3,
     K$7:ED$7,
     K$15:ED$15,
     K$16:ED$16,
     K$21:ED$21,
     K$5:ED$5,
     K$17:ED$17,
     K66:ED66,
     LAMBDA(
       job,
       abillity,
       buff,
       barrier,
       enhance,
       assign,
       preco"&amp;"ndition,
       check,
       IF(
         OR(AND(check=TRUE, REGEXMATCH(assign, ""SELF""), job=""戦士""), AND(check=Option!$F$13, REGEXMATCH(assign, ""SINGLE_PARTY""))),
         IF(
           OR(ARRAYFORMULA((IF(precondition="""", FALSE, REGEXMATCH($K$4:"&amp;"$ED$4, precondition))) * (K66:ED66=TRUE))),
           enhance,
           IF(barrier="""", buff, barrier)
         ),
         0
       ) *
       SWITCH(
         job,
         ""暗黒騎士"", FD$24,
         ""白魔道士"", EF66 * EH66 * FB66 * IF(abillity, 1, EG6"&amp;"6 * EI66) * (Option!$D$22 * 0.81 / 100),
         ""占星術師"", EF66 * EJ66 * FFB66 * IF(abillity, 1, EG66 * EK66) * (Option!$D$23 * 0.81 / 100),
         ""学者"", EF66 * EL66 * FB66 * IF(abillity, 1, EG66 * EM66) * (Option!$D$24 * 0.81 / 100),
         ""賢者"""&amp;", EF66 * EN66 * FB66 * IF(abillity, 1, EG66 * EO66) * (Option!$D$25 * 0.81 / 100),
         1
       )
     )
   )
 ) + EQ66"),0.0)</f>
        <v>0</v>
      </c>
      <c r="FD66" s="206">
        <f t="shared" si="9"/>
        <v>0</v>
      </c>
      <c r="FE66" s="205">
        <f>IFERROR(__xludf.DUMMYFUNCTION("PRODUCT(
   MAP(
     IF($F66=""Physical"", K$10:ED$10, IF($F66=""Magic"", K$11:ED$11, K$12:ED$12)),
     IF($F66=""Physical"", K$18:ED$18, IF($F66=""Magic"", K$19:ED$19, K$20:ED$20)),
     K$3:ED$3,
     K$5:ED$5,
     K$17:ED$17,
     K66:ED66,
     LAM"&amp;"BDA(
       mitigation,
       enhance,
       job,
       assign,
       precondition,
       check,
       IF(
         OR(AND(check=TRUE, REGEXMATCH(assign, ""SELF""), job=""暗黒騎士""), AND(check=Option!$G$13, REGEXMATCH(assign, ""SINGLE_PARTY""))),
     "&amp;"    IF(
           OR(ARRAYFORMULA((IF(precondition="""", FALSE, REGEXMATCH($K$4:$ED$4, precondition))) * (K66:ED66=TRUE))),
           enhance,
           mitigation
         ),
         1
       )
     )
   )
 ) * EE66"),1.0)</f>
        <v>1</v>
      </c>
      <c r="FF66" s="206">
        <f t="shared" si="10"/>
        <v>0</v>
      </c>
      <c r="FG66" s="205">
        <f>IFERROR(__xludf.DUMMYFUNCTION("PRODUCT(
   MAP(
     K$3:ED$3,
     K$14:ED$14,
     K$13:ED$13,
     K66:ED66,
     LAMBDA(
       job,
       buff,
       target,
       check,
       IF(
         OR(AND(check=TRUE, REGEXMATCH(target, ""SELF_AFFECTED_ALL""), job=""暗黒騎士""), AND(check="&amp;"Option!$G$13, REGEXMATCH(target, ""SINGLE_AFFECTED_ALL""))),
         buff,
         1
       )
     )
   )
 )"),1.0)</f>
        <v>1</v>
      </c>
      <c r="FH66" s="206">
        <f>IFERROR(__xludf.DUMMYFUNCTION("SUM(
   MAP(
     K$3:ED$3,
     K$7:ED$7,
     K$15:ED$15,
     K$16:ED$16,
     K$21:ED$21,
     K$5:ED$5,
     K$17:ED$17,
     K66:ED66,
     LAMBDA(
       job,
       abillity,
       buff,
       barrier,
       enhance,
       assign,
       preco"&amp;"ndition,
       check,
       IF(
         OR(AND(check=TRUE, REGEXMATCH(assign, ""SELF""), job=""暗黒騎士""), AND(check=Option!$G$13, REGEXMATCH(assign, ""SINGLE_PARTY""))),
         IF(
           OR(ARRAYFORMULA((IF(precondition="""", FALSE, REGEXMATCH($K$"&amp;"4:$ED$4, precondition))) * (K66:ED66=TRUE))),
           enhance,
           IF(barrier="""", buff, barrier)
         ),
         0
       ) *
       SWITCH(
         job,
         ""暗黒騎士"", FI$24,
         ""白魔道士"", EF66 * EH66 * FG66 * IF(abillity, 1, E"&amp;"G66 * EI66) * (Option!$D$22 * 0.81 / 100),
         ""占星術師"", EF66 * EJ66 * FG66 * IF(abillity, 1, EG66 * EK66) * (Option!$D$23 * 0.81 / 100),
         ""学者"", EF66 * EL66 * FG66 * IF(abillity, 1, EG66 * EM66) * (Option!$D$24 * 0.81 / 100),
         ""賢者"&amp;""", EF66 * EN66 * FG66 * IF(abillity, 1, EG66 * EO66) * (Option!$D$25 * 0.81 / 100),
         1
       )
     )
   )
 ) + EQ66"),0.0)</f>
        <v>0</v>
      </c>
      <c r="FI66" s="206">
        <f t="shared" si="11"/>
        <v>0</v>
      </c>
      <c r="FJ66" s="205">
        <f>IFERROR(__xludf.DUMMYFUNCTION("PRODUCT(
   MAP(
     IF($F66=""Physical"", K$10:ED$10, IF($F66=""Magic"", K$11:ED$11, K$12:ED$12)),
     IF($F66=""Physical"", K$18:ED$18, IF($F66=""Magic"", K$19:ED$19, K$20:ED$20)),
     K$3:ED$3,
     K$5:ED$5,
     K$17:ED$17,
     K66:ED66,
     LAM"&amp;"BDA(
       mitigation,
       enhance,
       job,
       assign,
       precondition,
       check,
       IF(
         OR(AND(check=TRUE, REGEXMATCH(assign, ""SELF""), job=""ガンブレイカー""), AND(check=Option!$H$13, REGEXMATCH(assign, ""SINGLE_PARTY""))),
  "&amp;"       IF(
           OR(ARRAYFORMULA((IF(precondition="""", FALSE, REGEXMATCH($K$4:$ED$4, precondition))) * (K66:ED66=TRUE))),
           enhance,
           mitigation
         ),
         1
       )
     )
   )
 ) * EE66"),1.0)</f>
        <v>1</v>
      </c>
      <c r="FK66" s="206">
        <f t="shared" si="12"/>
        <v>0</v>
      </c>
      <c r="FL66" s="205">
        <f>IFERROR(__xludf.DUMMYFUNCTION("PRODUCT(
   MAP(
     K$3:ED$3,
     K$14:ED$14,
     K$13:ED$13,
     K66:ED66,
     LAMBDA(
       job,
       buff,
       target,
       check,
       IF(
         OR(AND(check=TRUE, REGEXMATCH(target, ""SELF_AFFECTED_ALL""), job=""ガンブレイカー""), AND(che"&amp;"ck=Option!$H$13, REGEXMATCH(target, ""SINGLE_AFFECTED_ALL""))),
         buff,
         1
       )
     )
   )
 )"),1.0)</f>
        <v>1</v>
      </c>
      <c r="FM66" s="206">
        <f>IFERROR(__xludf.DUMMYFUNCTION("SUM(
   MAP(
     K$3:ED$3,
     K$7:ED$7,
     K$15:ED$15,
     K$16:ED$16,
     K$21:ED$21,
     K$5:ED$5,
     K$17:ED$17,
     K66:ED66,
     LAMBDA(
       job,
       abillity,
       buff,
       barrier,
       enhance,
       assign,
       preco"&amp;"ndition,
       check,
       IF(
         OR(AND(check=TRUE, REGEXMATCH(assign, ""SELF""), job=""ガンブレイカー""), AND(check=Option!$H$13, REGEXMATCH(assign, ""SINGLE_PARTY""))),
         IF(
           OR(ARRAYFORMULA((IF(precondition="""", FALSE, REGEXMATCH("&amp;"$K$4:$ED$4, precondition))) * (K66:ED66=TRUE))),
           enhance,
           IF(barrier="""", buff, barrier)
         ),
         0
       ) *
       SWITCH(
         job,
         ""暗黒騎士"", FN$24,
         ""白魔道士"", EF66 * EH66 * FL66 * IF(abillity, 1"&amp;", EG66 * EI66) * (Option!$D$22 * 0.81 / 100),
         ""占星術師"", EF66 * EJ66 * FL66 * IF(abillity, 1, EG66 * EK66) * (Option!$D$23 * 0.81 / 100),
         ""学者"", EF66 * EL66 * FL66 * IF(abillity, 1, EG66 * EM66) * (Option!$D$24 * 0.81 / 100),
         """&amp;"賢者"", EF66 * EN66 * FL66 * IF(abillity, 1, EG66 * EO66) * (Option!$D$25 * 0.81 / 100),
         1
       )
     )
   )
 ) + EQ66"),0.0)</f>
        <v>0</v>
      </c>
      <c r="FN66" s="206">
        <f t="shared" si="13"/>
        <v>0</v>
      </c>
      <c r="FO66" s="213"/>
    </row>
    <row r="67">
      <c r="B67" s="229"/>
      <c r="C67" s="217">
        <f t="shared" si="1"/>
        <v>0</v>
      </c>
      <c r="D67" s="236"/>
      <c r="E67" s="219"/>
      <c r="F67" s="167"/>
      <c r="G67" s="168" t="str">
        <f t="shared" si="2"/>
        <v/>
      </c>
      <c r="H67" s="169"/>
      <c r="I67" s="169"/>
      <c r="J67" s="169"/>
      <c r="K67" s="170" t="b">
        <v>0</v>
      </c>
      <c r="L67" s="170" t="b">
        <v>0</v>
      </c>
      <c r="M67" s="170" t="b">
        <v>0</v>
      </c>
      <c r="N67" s="171" t="s">
        <v>1070</v>
      </c>
      <c r="O67" s="172" t="b">
        <v>0</v>
      </c>
      <c r="P67" s="173" t="b">
        <v>0</v>
      </c>
      <c r="Q67" s="173" t="b">
        <v>0</v>
      </c>
      <c r="R67" s="173" t="b">
        <v>0</v>
      </c>
      <c r="S67" s="174" t="b">
        <v>0</v>
      </c>
      <c r="T67" s="175" t="b">
        <v>0</v>
      </c>
      <c r="U67" s="173" t="b">
        <v>0</v>
      </c>
      <c r="V67" s="171" t="s">
        <v>1070</v>
      </c>
      <c r="W67" s="172" t="b">
        <v>0</v>
      </c>
      <c r="X67" s="173" t="b">
        <v>0</v>
      </c>
      <c r="Y67" s="173" t="b">
        <v>0</v>
      </c>
      <c r="Z67" s="173" t="b">
        <v>0</v>
      </c>
      <c r="AA67" s="174" t="b">
        <v>0</v>
      </c>
      <c r="AB67" s="174" t="b">
        <v>0</v>
      </c>
      <c r="AC67" s="175" t="b">
        <v>0</v>
      </c>
      <c r="AD67" s="173" t="b">
        <v>0</v>
      </c>
      <c r="AE67" s="176" t="s">
        <v>1070</v>
      </c>
      <c r="AF67" s="171" t="s">
        <v>1070</v>
      </c>
      <c r="AG67" s="177">
        <f>IFERROR(__xludf.DUMMYFUNCTION("IF(
  ISNUMBER(AG66),
  MIN(MAX(
    AG66
    + MAX(
      ROUNDDOWN(($D67 - MAX(IFERROR(FILTER($D$24:$D66, AG$24:AG66 &lt;&gt; AF$6, AG$23:AG65 = AF$6), 0))) * (60 * 60 * 24) / AF$9) - ROUNDDOWN(($D66 - MAX(IFERROR(FILTER($D$23:$D65, AG$23:AG65 &lt;&gt; AF$6, AG$22:"&amp;"AG64 = AF$6), 0))) * (60 * 60 * 24) / 60),
      0
    )
    - COUNTIF(AF67, ""&lt;&gt;-""),
  0), AF$6),
  AF$6 - COUNTIF(AF67, ""&lt;&gt;-"")
)"),2.0)</f>
        <v>2</v>
      </c>
      <c r="AH67" s="173" t="b">
        <v>0</v>
      </c>
      <c r="AI67" s="173" t="b">
        <v>0</v>
      </c>
      <c r="AJ67" s="173" t="b">
        <v>0</v>
      </c>
      <c r="AK67" s="174" t="b">
        <v>0</v>
      </c>
      <c r="AL67" s="175" t="b">
        <v>0</v>
      </c>
      <c r="AM67" s="173" t="b">
        <v>0</v>
      </c>
      <c r="AN67" s="171" t="s">
        <v>1070</v>
      </c>
      <c r="AO67" s="173" t="b">
        <v>0</v>
      </c>
      <c r="AP67" s="173" t="b">
        <v>0</v>
      </c>
      <c r="AQ67" s="173" t="b">
        <v>0</v>
      </c>
      <c r="AR67" s="174" t="b">
        <v>0</v>
      </c>
      <c r="AS67" s="178" t="b">
        <v>0</v>
      </c>
      <c r="AT67" s="179" t="b">
        <v>0</v>
      </c>
      <c r="AU67" s="180" t="b">
        <v>0</v>
      </c>
      <c r="AV67" s="180" t="b">
        <v>0</v>
      </c>
      <c r="AW67" s="180" t="b">
        <v>0</v>
      </c>
      <c r="AX67" s="180" t="b">
        <v>0</v>
      </c>
      <c r="AY67" s="181" t="s">
        <v>1070</v>
      </c>
      <c r="AZ67" s="181" t="s">
        <v>1070</v>
      </c>
      <c r="BA67" s="184">
        <f>IFERROR(__xludf.DUMMYFUNCTION("IF(
  ISNUMBER(BA66),
  MIN(MAX(
    BA66
    + MAX(
      ROUNDDOWN((D67 - MAX(IFERROR(FILTER(D$24:D66, BA$24:BA66 &lt;&gt; AZ$6, BA$23:BA65 = AZ$6), 0))) * (60 * 60 * 24) / AZ$9) - ROUNDDOWN((D66 - MAX(IFERROR(FILTER(D$23:D65, BA$23:BA65 &lt;&gt; AZ$6, BA$22:BA64 ="&amp;" AZ$6), 0))) * (60 * 60 * 24) / AZ$9),
      0
    )
    - COUNTIF(AZ67, ""&lt;&gt;-""),
  0), AZ$6),
  AZ$6 - COUNTIF(AZ67, ""&lt;&gt;-"")
)"),2.0)</f>
        <v>2</v>
      </c>
      <c r="BB67" s="181" t="s">
        <v>1070</v>
      </c>
      <c r="BC67" s="183">
        <f>IFERROR(__xludf.DUMMYFUNCTION("IF(
  ISNUMBER(BC66),
  MIN(MAX(
    BC66
    + MAX(
      ROUNDDOWN(($D67 - MAX(IFERROR(FILTER($D$24:$D66, BC$24:BC66 &lt;&gt; BB$6, BC$23:BC65 = BB$6), 0))) * (60 * 60 * 24) / BB$9) - ROUNDDOWN(($D66 - MAX(IFERROR(FILTER($D$23:$D65, BC$23:BC65 &lt;&gt; BB$6, BC$22:"&amp;"BC64 = BB$6), 0))) * (60 * 60 * 24) / 60),
      0
    )
    - COUNTIF(BB67, ""&lt;&gt;-""),
  0), BB$6),
  BB$6 - COUNTIF(BB67, ""&lt;&gt;-"")
)"),2.0)</f>
        <v>2</v>
      </c>
      <c r="BD67" s="181" t="s">
        <v>1070</v>
      </c>
      <c r="BE67" s="178" t="b">
        <v>0</v>
      </c>
      <c r="BF67" s="180" t="b">
        <v>0</v>
      </c>
      <c r="BG67" s="180" t="b">
        <v>0</v>
      </c>
      <c r="BH67" s="180" t="b">
        <v>0</v>
      </c>
      <c r="BI67" s="180" t="b">
        <v>0</v>
      </c>
      <c r="BJ67" s="180" t="b">
        <v>0</v>
      </c>
      <c r="BK67" s="180" t="b">
        <v>0</v>
      </c>
      <c r="BL67" s="180" t="b">
        <v>0</v>
      </c>
      <c r="BM67" s="180" t="b">
        <v>0</v>
      </c>
      <c r="BN67" s="180" t="b">
        <v>0</v>
      </c>
      <c r="BO67" s="181" t="s">
        <v>1070</v>
      </c>
      <c r="BP67" s="181" t="s">
        <v>1070</v>
      </c>
      <c r="BQ67" s="181" t="s">
        <v>1070</v>
      </c>
      <c r="BR67" s="181" t="s">
        <v>1070</v>
      </c>
      <c r="BS67" s="181" t="s">
        <v>1070</v>
      </c>
      <c r="BT67" s="184">
        <f>IFERROR(__xludf.DUMMYFUNCTION("IF(
  ISNUMBER(BT66),
  MIN(MAX(
    BT66
    + MAX(
      ROUNDDOWN((D67 - MAX(IFERROR(FILTER(D$24:D66, BT$24:BT66 &lt;&gt; BS$6, BT$23:BT65 = BS$6), 0))) * (60 * 60 * 24) / BS$9) - ROUNDDOWN((D66 - MAX(IFERROR(FILTER(D$23:D65, BT$23:BT65 &lt;&gt; BS$6, BT$22:BT64 ="&amp;" BS$6), 0))) * (60 * 60 * 24) / BS$9),
      0
    )
    - COUNTIF(BS67, ""&lt;&gt;-""),
  0), BS$6),
  BS$6 - COUNTIF(BS67, ""&lt;&gt;-"")
)"),3.0)</f>
        <v>3</v>
      </c>
      <c r="BU67" s="181" t="s">
        <v>1070</v>
      </c>
      <c r="BV67" s="181" t="s">
        <v>1070</v>
      </c>
      <c r="BW67" s="184">
        <f>IFERROR(__xludf.DUMMYFUNCTION("IF(
  ISNUMBER(BW66),
  MIN(MAX(
    BW66
    + MAX(
      ROUNDDOWN((D67 - MAX(IFERROR(FILTER(D$24:D66, BW$24:BW66 &lt;&gt; BV$6, BW$23:BW65 = BV$6), 0))) * (60 * 60 * 24) / BV$9) - ROUNDDOWN((D66 - MAX(IFERROR(FILTER(D$23:D65, BW$23:BW65 &lt;&gt; BV$6, BW$22:BW64 ="&amp;" BV$6), 0))) * (60 * 60 * 24) / BV$9),
      0
    )
    - COUNTIF(BV67, ""&lt;&gt;-""),
  0), BV$6),
  BV$6 - COUNTIF(BV67, ""&lt;&gt;-"")
)"),2.0)</f>
        <v>2</v>
      </c>
      <c r="BX67" s="185" t="s">
        <v>1070</v>
      </c>
      <c r="BY67" s="178" t="b">
        <v>0</v>
      </c>
      <c r="BZ67" s="180" t="b">
        <v>0</v>
      </c>
      <c r="CA67" s="180" t="b">
        <v>0</v>
      </c>
      <c r="CB67" s="180" t="b">
        <v>0</v>
      </c>
      <c r="CC67" s="180" t="b">
        <v>0</v>
      </c>
      <c r="CD67" s="180" t="b">
        <v>0</v>
      </c>
      <c r="CE67" s="180" t="b">
        <v>0</v>
      </c>
      <c r="CF67" s="180" t="b">
        <v>0</v>
      </c>
      <c r="CG67" s="180" t="b">
        <v>0</v>
      </c>
      <c r="CH67" s="180" t="b">
        <v>0</v>
      </c>
      <c r="CI67" s="180" t="b">
        <v>0</v>
      </c>
      <c r="CJ67" s="180" t="b">
        <v>0</v>
      </c>
      <c r="CK67" s="180" t="b">
        <v>0</v>
      </c>
      <c r="CL67" s="180" t="b">
        <v>0</v>
      </c>
      <c r="CM67" s="181" t="s">
        <v>1070</v>
      </c>
      <c r="CN67" s="181" t="s">
        <v>1070</v>
      </c>
      <c r="CO67" s="181" t="s">
        <v>1070</v>
      </c>
      <c r="CP67" s="181" t="s">
        <v>1070</v>
      </c>
      <c r="CQ67" s="185" t="s">
        <v>1070</v>
      </c>
      <c r="CR67" s="180" t="b">
        <v>0</v>
      </c>
      <c r="CS67" s="186" t="str">
        <f t="shared" si="14"/>
        <v>◇◇◇</v>
      </c>
      <c r="CT67" s="178" t="b">
        <v>0</v>
      </c>
      <c r="CU67" s="180" t="b">
        <v>0</v>
      </c>
      <c r="CV67" s="180" t="b">
        <v>0</v>
      </c>
      <c r="CW67" s="180" t="b">
        <v>0</v>
      </c>
      <c r="CX67" s="180" t="b">
        <v>0</v>
      </c>
      <c r="CY67" s="180" t="b">
        <v>0</v>
      </c>
      <c r="CZ67" s="180" t="b">
        <v>0</v>
      </c>
      <c r="DA67" s="180" t="b">
        <v>0</v>
      </c>
      <c r="DB67" s="180" t="b">
        <v>0</v>
      </c>
      <c r="DC67" s="180" t="b">
        <v>0</v>
      </c>
      <c r="DD67" s="181" t="s">
        <v>1070</v>
      </c>
      <c r="DE67" s="181" t="s">
        <v>1070</v>
      </c>
      <c r="DF67" s="181" t="s">
        <v>1070</v>
      </c>
      <c r="DG67" s="185" t="s">
        <v>1070</v>
      </c>
      <c r="DH67" s="180" t="b">
        <v>0</v>
      </c>
      <c r="DI67" s="187" t="str">
        <f>IFERROR(__xludf.DUMMYFUNCTION("SWITCH(
  IF(
    ISTEXT(DI66),
    IF (
      FIND(""○"", DI66&amp;""○"") &gt; 3,
      3,
      FIND(""○"", DI66&amp;""○"")
      + MAX(
        ROUNDDOWN(($D67 - MAX(IFERROR(FILTER(D$24:D66, DI$24:DI66 &lt;&gt; ""●●●"", DI$23:DI65 = ""●●●""), 0))) * (60 * 60 * 24) / 20"&amp;") - ROUNDDOWN(($D66 - MAX(IFERROR(FILTER(D$23:D65, DI$23:DI65 &lt;&gt; ""●●●"", DI$22:DI64 = ""●●●""), 0))) * (60 * 60 * 24) / 20),
        0
      ) - 1
    ) - COUNTIFS(CU67, ""=TRUE"", CU66, ""&lt;&gt;TRUE"") - COUNTIF(CZ67, ""=TRUE"") - COUNTIF({DD67,DE67}, ""&lt;&gt;-"&amp;""") + COUNTIF(DH67, ""=TRUE""),
    3
  ),
  0, ""○○○"", 1, ""●○○"", 2, ""●●○"", 3, ""●●●"", 4, ""●●●"", ""○○○""
)"),"●●●")</f>
        <v>●●●</v>
      </c>
      <c r="DJ67" s="188" t="b">
        <v>0</v>
      </c>
      <c r="DK67" s="189" t="b">
        <v>0</v>
      </c>
      <c r="DL67" s="190" t="b">
        <v>0</v>
      </c>
      <c r="DM67" s="190" t="b">
        <v>0</v>
      </c>
      <c r="DN67" s="190" t="b">
        <v>0</v>
      </c>
      <c r="DO67" s="190" t="b">
        <v>0</v>
      </c>
      <c r="DP67" s="190" t="b">
        <v>0</v>
      </c>
      <c r="DQ67" s="191" t="b">
        <v>0</v>
      </c>
      <c r="DR67" s="192" t="b">
        <v>0</v>
      </c>
      <c r="DS67" s="191" t="b">
        <v>0</v>
      </c>
      <c r="DT67" s="192" t="b">
        <v>0</v>
      </c>
      <c r="DU67" s="191" t="b">
        <v>0</v>
      </c>
      <c r="DV67" s="193" t="s">
        <v>1070</v>
      </c>
      <c r="DW67" s="194" t="b">
        <v>0</v>
      </c>
      <c r="DX67" s="194" t="b">
        <v>0</v>
      </c>
      <c r="DY67" s="195" t="b">
        <v>0</v>
      </c>
      <c r="DZ67" s="196" t="b">
        <v>0</v>
      </c>
      <c r="EA67" s="195" t="b">
        <v>0</v>
      </c>
      <c r="EB67" s="197" t="b">
        <v>0</v>
      </c>
      <c r="EC67" s="197" t="b">
        <v>0</v>
      </c>
      <c r="ED67" s="212" t="b">
        <v>0</v>
      </c>
      <c r="EE67" s="199">
        <f>IFERROR(__xludf.DUMMYFUNCTION("IFERROR(
   PRODUCT(
     MAP(
       INDEX(TRANSPOSE(UNIQUE(TRANSPOSE(FILTER({IF($F67=""Physical"", K$10:ED$10, IF($F67=""Magic"", K$11:ED$11, K$12:ED$12));K$4:ED$4;K67:ED67}, K67:ED67=TRUE)))), 1, 0),
       INDEX(TRANSPOSE(UNIQUE(TRANSPOSE(FILTER({IF($"&amp;"F67=""Physical"", K$18:ED$18, IF($F67=""Magic"", K$19:ED$19, K$20:ED$20));K$4:ED$4;K67:ED67}, K67:ED67=TRUE)))), 1, 0),
       INDEX(TRANSPOSE(UNIQUE(TRANSPOSE(FILTER({K$5:ED$5;K$4:ED$4;K67:ED67}, K67:ED67=TRUE)))), 1, 0),
       INDEX(TRANSPOSE(UNIQUE(TR"&amp;"ANSPOSE(FILTER({K$17:ED$17;K$4:ED$4;K67:ED67}, K67:ED67=TRUE)))), 1, 0),
       LAMBDA(
         mitigation,
         enhance,
         assign,
         precondition,
         IF(
           REGEXMATCH(assign, ""RANGE_PARTY|SINGLE_ENEMY|RANGE_ENEMY""),
  "&amp;"         IF(
             OR(ARRAYFORMULA((IF(precondition="""", FALSE, REGEXMATCH(K$4:ED$4, precondition))) * (K67:ED67=TRUE))),
             IF(ISNUMBER(enhance), enhance, 1),
             IF(ISNUMBER(mitigation), mitigation, 1)
           ),
          "&amp;" 1
         )
       )
     )
   ),
   1
 )"),1.0)</f>
        <v>1</v>
      </c>
      <c r="EF67" s="200">
        <f>IFERROR(__xludf.DUMMYFUNCTION("PRODUCT(
   MAP(
     K$14:ED$14,
     K$13:ED$13,
     K67:ED67,
     LAMBDA(
       buff,
       target,
       check,
       IF(
         AND(check=TRUE, REGEXMATCH(target, ""RANGE_AFFECTED_ALL|RANGE_EFFECTED_ALL""), ISNUMBER(buff)),
         buff,
   "&amp;"      1
       )
     )
   )
 )"),1.0)</f>
        <v>1</v>
      </c>
      <c r="EG67" s="200">
        <f>IFERROR(__xludf.DUMMYFUNCTION("PRODUCT(
   MAP(
     K$14:ED$14,
     K$13:ED$13,
     K67:ED67,
     LAMBDA(
       buff,
       target,
       check,
       IF(
         AND(check=TRUE, REGEXMATCH(target, ""RANGE_AFFECTED_GCD|RANGE_EFFECTED_GCD""), ISNUMBER(buff)),
         buff,
   "&amp;"      1
       )
     )
   )
 )"),1.0)</f>
        <v>1</v>
      </c>
      <c r="EH67" s="200">
        <f>IFERROR(__xludf.DUMMYFUNCTION("PRODUCT(
   MAP(
     K$3:ED$3,
     K$14:ED$14,
     K$13:ED$13,
     K67:ED67,
     LAMBDA(
       job,
       buff,
       target,
       check,
       IF(
         AND(check=TRUE, REGEXMATCH(target, ""SELF_EFFECTED_ALL""), ISNUMBER(buff), job=""白魔道士"""&amp;"),
         buff,
         1
       )
     )
   )
 )"),1.0)</f>
        <v>1</v>
      </c>
      <c r="EI67" s="200">
        <f>IFERROR(__xludf.DUMMYFUNCTION("PRODUCT(
   MAP(
     K$3:ED$3,
     K$14:ED$14,
     K$13:ED$13,
     K67:ED67,
     LAMBDA(
       job,
       buff,
       target,
       check,
       IF(
         AND(check=TRUE, REGEXMATCH(target, ""SELF_EFFECTED_GCD""), ISNUMBER(buff), job=""白魔道士"""&amp;"),
         buff,
         1
       )
     )
   )
 )"),1.0)</f>
        <v>1</v>
      </c>
      <c r="EJ67" s="200">
        <f>IFERROR(__xludf.DUMMYFUNCTION("PRODUCT(
   MAP(
     K$3:ED$3,
     K$14:ED$14,
     K$13:ED$13,
     K67:ED67,
     LAMBDA(
       job,
       buff,
       target,
       check,
       IF(
         AND(check=TRUE, REGEXMATCH(target, ""SELF_EFFECTED_ALL""), ISNUMBER(buff), job=""占星術師"""&amp;"),
         buff,
         1
       )
     )
   )
 )"),1.0)</f>
        <v>1</v>
      </c>
      <c r="EK67" s="200">
        <f>IFERROR(__xludf.DUMMYFUNCTION("PRODUCT(
   MAP(
     K$3:ED$3,
     K$14:ED$14,
     K$13:ED$13,
     K67:ED67,
     LAMBDA(
       job,
       buff,
       target,
       check,
       IF(
         AND(check=TRUE, REGEXMATCH(target, ""SELF_EFFECTED_GCD""), ISNUMBER(buff), job=""占星術師"""&amp;"),
         buff,
         1
       )
     )
   )
 )"),1.0)</f>
        <v>1</v>
      </c>
      <c r="EL67" s="200">
        <f>IFERROR(__xludf.DUMMYFUNCTION("PRODUCT(
   MAP(
     K$3:ED$3,
     K$14:ED$14,
     K$13:ED$13,
     K67:ED67,
     LAMBDA(
       job,
       buff,
       target,
       check,
       IF(
         AND(check=TRUE, REGEXMATCH(target, ""SELF_EFFECTED_ALL""), ISNUMBER(buff), job=""学者""),"&amp;"
         buff,
         1
       )
     )
   )
 )"),1.0)</f>
        <v>1</v>
      </c>
      <c r="EM67" s="200">
        <f>IFERROR(__xludf.DUMMYFUNCTION("PRODUCT(
   MAP(
     K$3:ED$3,
     K$14:ED$14,
     K$13:ED$13,
     K67:ED67,
     LAMBDA(
       job,
       buff,
       target,
       check,
       IF(
         AND(check=TRUE, REGEXMATCH(target, ""SELF_EFFECTED_GCD""), ISNUMBER(buff), job=""学者""),"&amp;"
         buff,
         1
       )
     )
   )
 )"),1.0)</f>
        <v>1</v>
      </c>
      <c r="EN67" s="200">
        <f>IFERROR(__xludf.DUMMYFUNCTION("PRODUCT(
   MAP(
     K$3:ED$3,
     K$14:ED$14,
     K$13:ED$13,
     K67:ED67,
     LAMBDA(
       job,
       buff,
       target,
       check,
       IF(
         AND(check=TRUE, REGEXMATCH(target, ""SELF_EFFECTED_ALL""), ISNUMBER(buff), job=""賢者""),"&amp;"
         buff,
         1
       )
     )
   )
 )"),1.0)</f>
        <v>1</v>
      </c>
      <c r="EO67" s="200">
        <f>IFERROR(__xludf.DUMMYFUNCTION("PRODUCT(
   MAP(
     K$3:ED$3,
     K$14:ED$14,
     K$13:ED$13,
     K67:ED67,
     LAMBDA(
       job,
       buff,
       target,
       check,
       IF(
         AND(check=TRUE, REGEXMATCH(target, ""SELF_EFFECTED_GCD""), ISNUMBER(buff), job=""賢者""),"&amp;"
         buff,
         1
       )
     )
   )
 )"),1.0)</f>
        <v>1</v>
      </c>
      <c r="EP67" s="201">
        <f t="shared" si="3"/>
        <v>0</v>
      </c>
      <c r="EQ67" s="201">
        <f>IFERROR(__xludf.DUMMYFUNCTION("SUM(
   MAP(
     K$4:ED$4,
     K$3:ED$3,
     K$7:ED$7,
     K$15:ED$15,
     K$16:ED$16,
     K$21:ED$21,
     K$5:ED$5,
     K$17:ED$17,
     K67:ED67,
     LAMBDA(
       name,
       job,
       abillity,
       buff,
       barrier,
       enhance,"&amp;"
       assign,
       precondition,
       check,
       SWITCH(
         name,
         ""シェイクオフ"", IF(check=TRUE, buff + (0.02 * COUNTIF(ARRAYFORMULA((REGEXMATCH($K$4:$ED$4, ""スリル・オブ・バトル|ヴェンジェンス|原初の血気|ダムネーション"")) * (K67:ED67=TRUE)), 1)), 0),
         "&amp;"""インプロビゼーションフィニッシュ(踊りの激情0)"", IF(ISNUMBER(check), INDEX(Skill!$AJ:$AJ, MATCH(SUBSTITUTE(DV$4, 0, check), Skill!$C:$C, 0)), 0),
         IF(
           AND(check=TRUE, REGEXMATCH(assign, ""RANGE_PARTY"")),
           IF(
             OR(ARRAYFORMULA((IF(pr"&amp;"econdition="""", FALSE, REGEXMATCH($K$4:$ED$4, precondition))) * (K67:ED67=TRUE))),
             enhance,
             IF(barrier="""", buff, barrier)
           ),
           0
         )
       ) *
       SWITCH(
         job,
         ""ナイト"", EY$24,
 "&amp;"        ""戦士"", FD$24,
         ""踊り子"", ET$24,
         ""ピクトマンサー"", ET$24,
         ""白魔道士"", EF67 * EH67 * IF(abillity, 1, EG67 * EI67) * (Option!$D$22 * 0.81 / 100),
         ""占星術師"", EF67 * EJ67 * IF(abillity, 1, EG67 * EK67) * (Option!$D$23 * 0.81 "&amp;"/ 100),
         ""学者"", EF67 * EL67 * IF(abillity, 1, EG67 * EM67) * (Option!$D$24 * 0.81 / 100),
         ""賢者"", EF67 * EN67 * IF(abillity, 1, EG67 * EO67) * (Option!$D$25 * 0.81 / 100),
         1
       )
     )
   )
 )"),0.0)</f>
        <v>0</v>
      </c>
      <c r="ER67" s="202">
        <f t="shared" si="4"/>
        <v>0</v>
      </c>
      <c r="ES67" s="203">
        <f t="shared" si="5"/>
        <v>0</v>
      </c>
      <c r="ET67" s="204" t="str">
        <f>IFERROR(__xludf.DUMMYFUNCTION("IFS(
  EP67 &gt; $ET$24 + EQ67,
  SPARKLINE({ 1, 0 }, {""charttype"",""bar"";""max"", 1;""color1"",Option!$D$30;""color2"",Option!$D$30}),
  EP67 &lt; EQ67,
  SPARKLINE({EQ67 - EP67, $ET$24 - (EQ67 - EP67)}, {""charttype"",""bar"";""max"",$ET$24;""color1"",Opti"&amp;"on!$D$28;""color2"",Option!$D$29}),
  EP67 &gt;= EQ67,
  SPARKLINE({$ET$24 + EQ67 - EP67,EP67 - EQ67}, {""charttype"",""bar"";""max"",$ET$24;""color1"",Option!$D$29;""color2"",Option!$D$30})
)"),"")</f>
        <v/>
      </c>
      <c r="EU67" s="205">
        <f>IFERROR(__xludf.DUMMYFUNCTION("PRODUCT(
   MAP(
     IF($F67=""Physical"", K$10:ED$10, IF($F67=""Magic"", K$11:ED$11, K$12:ED$12)),
     IF($F67=""Physical"", K$18:ED$18, IF($F67=""Magic"", K$19:ED$19, K$20:ED$20)),
     K$3:ED$3,
     K$5:ED$5,
     K$17:ED$17,
     K67:ED67,
     LAM"&amp;"BDA(
       mitigation,
       enhance,
       job,
       assign,
       precondition,
       check,
       IF(
         OR(AND(check=TRUE, REGEXMATCH(assign, ""SELF""), job=""ナイト""), AND(check=Option!$E$13, REGEXMATCH(assign, ""SINGLE_PARTY""))),
      "&amp;"   IF(
           OR(ARRAYFORMULA((IF(precondition="""", FALSE, REGEXMATCH($K$4:$ED$4, precondition))) * (K67:ED67=TRUE))),
           enhance,
           mitigation
         ),
         1
       )
     )
   )
 ) * EE67"),1.0)</f>
        <v>1</v>
      </c>
      <c r="EV67" s="206">
        <f t="shared" si="6"/>
        <v>0</v>
      </c>
      <c r="EW67" s="205">
        <f>IFERROR(__xludf.DUMMYFUNCTION("PRODUCT(
   MAP(
     K$3:ED$3,
     K$14:ED$14,
     K$13:ED$13,
     K67:ED67,
     LAMBDA(
       job,
       buff,
       target,
       check,
       IF(
         OR(AND(check=TRUE, REGEXMATCH(target, ""SELF_AFFECTED_ALL""), job=""ナイト""), AND(check=O"&amp;"ption!$E$13, REGEXMATCH(target, ""SINGLE_AFFECTED_ALL""))),
         buff,
         1
       )
     )
   )
 )"),1.0)</f>
        <v>1</v>
      </c>
      <c r="EX67" s="206">
        <f>IFERROR(__xludf.DUMMYFUNCTION("SUM(
   MAP(
     K$3:ED$3,
     K$7:ED$7,
     K$15:ED$15,
     K$16:ED$16,
     K$21:ED$21,
     K$5:ED$5,
     K$17:ED$17,
     K67:ED67,
     LAMBDA(
       job,
       abillity,
       buff,
       barrier,
       enhance,
       assign,
       preco"&amp;"ndition,
       check,
       IF(
         OR(AND(check=TRUE, REGEXMATCH(assign, ""SELF""), job=""ナイト""), AND(check=Option!$E$13, REGEXMATCH(assign, ""SINGLE_PARTY""))),
         IF(
           OR(ARRAYFORMULA((IF(precondition="""", FALSE, REGEXMATCH($K$4"&amp;":$ED$4, precondition))) * (K67:ED67=TRUE))),
           enhance,
           IF(barrier="""", buff, barrier)
         ),
         0
       ) *
       SWITCH(
         job,
         ""暗黒騎士"", EY$24,
         ""白魔道士"", EF67 * EH67 * EW67 * IF(abillity, 1, EG"&amp;"67 * EI67) * (Option!$D$22 * 0.81 / 100),
         ""占星術師"", EF67 * EJ67 * EW67 * IF(abillity, 1, EG67 * EK67) * (Option!$D$23 * 0.81 / 100),
         ""学者"", EF67 * EL67 * EW67 * IF(abillity, 1, EG67 * EM67) * (Option!$D$24 * 0.81 / 100),
         ""賢者"""&amp;", EF67 * EN67 * EW67 * IF(abillity, 1, EG67 * EO67) * (Option!$D$25 * 0.81 / 100),
         1
       )
     )
   )
 ) + EQ67"),0.0)</f>
        <v>0</v>
      </c>
      <c r="EY67" s="206">
        <f t="shared" si="7"/>
        <v>0</v>
      </c>
      <c r="EZ67" s="205">
        <f>IFERROR(__xludf.DUMMYFUNCTION("PRODUCT(
   MAP(
     IF($F67=""Physical"", K$10:ED$10, IF($F67=""Magic"", K$11:ED$11, K$12:ED$12)),
     IF($F67=""Physical"", K$18:ED$18, IF($F67=""Magic"", K$19:ED$19, K$20:ED$20)),
     K$3:ED$3,
     K$5:ED$5,
     K$17:ED$17,
     K67:ED67,
     LAM"&amp;"BDA(
       mitigation,
       enhance,
       job,
       assign,
       precondition,
       check,
       IF(
         OR(AND(check=TRUE, REGEXMATCH(assign, ""SELF""), job=""戦士""), AND(check=Option!$F$13, REGEXMATCH(assign, ""SINGLE_PARTY""))),
       "&amp;"  IF(
           OR(ARRAYFORMULA((IF(precondition="""", FALSE, REGEXMATCH($K$4:$ED$4, precondition))) * (K67:ED67=TRUE))),
           enhance,
           mitigation
         ),
         1
       )
     )
   )
 ) * EE67"),1.0)</f>
        <v>1</v>
      </c>
      <c r="FA67" s="206">
        <f t="shared" si="8"/>
        <v>0</v>
      </c>
      <c r="FB67" s="205">
        <f>IFERROR(__xludf.DUMMYFUNCTION("PRODUCT(
   MAP(
     K$3:ED$3,
     K$14:ED$14,
     K$13:ED$13,
     K67:ED67,
     LAMBDA(
       job,
       buff,
       target,
       check,
       IF(
         OR(AND(check=TRUE, REGEXMATCH(target, ""SELF_AFFECTED_ALL""), job=""戦士""), AND(check=Op"&amp;"tion!$F$13, REGEXMATCH(target, ""SINGLE_AFFECTED_ALL""))),
         buff,
         1
       )
     )
   )
 )"),1.0)</f>
        <v>1</v>
      </c>
      <c r="FC67" s="206">
        <f>IFERROR(__xludf.DUMMYFUNCTION("SUM(
   MAP(
     K$3:ED$3,
     K$7:ED$7,
     K$15:ED$15,
     K$16:ED$16,
     K$21:ED$21,
     K$5:ED$5,
     K$17:ED$17,
     K67:ED67,
     LAMBDA(
       job,
       abillity,
       buff,
       barrier,
       enhance,
       assign,
       preco"&amp;"ndition,
       check,
       IF(
         OR(AND(check=TRUE, REGEXMATCH(assign, ""SELF""), job=""戦士""), AND(check=Option!$F$13, REGEXMATCH(assign, ""SINGLE_PARTY""))),
         IF(
           OR(ARRAYFORMULA((IF(precondition="""", FALSE, REGEXMATCH($K$4:"&amp;"$ED$4, precondition))) * (K67:ED67=TRUE))),
           enhance,
           IF(barrier="""", buff, barrier)
         ),
         0
       ) *
       SWITCH(
         job,
         ""暗黒騎士"", FD$24,
         ""白魔道士"", EF67 * EH67 * FB67 * IF(abillity, 1, EG6"&amp;"7 * EI67) * (Option!$D$22 * 0.81 / 100),
         ""占星術師"", EF67 * EJ67 * FFB67 * IF(abillity, 1, EG67 * EK67) * (Option!$D$23 * 0.81 / 100),
         ""学者"", EF67 * EL67 * FB67 * IF(abillity, 1, EG67 * EM67) * (Option!$D$24 * 0.81 / 100),
         ""賢者"""&amp;", EF67 * EN67 * FB67 * IF(abillity, 1, EG67 * EO67) * (Option!$D$25 * 0.81 / 100),
         1
       )
     )
   )
 ) + EQ67"),0.0)</f>
        <v>0</v>
      </c>
      <c r="FD67" s="206">
        <f t="shared" si="9"/>
        <v>0</v>
      </c>
      <c r="FE67" s="205">
        <f>IFERROR(__xludf.DUMMYFUNCTION("PRODUCT(
   MAP(
     IF($F67=""Physical"", K$10:ED$10, IF($F67=""Magic"", K$11:ED$11, K$12:ED$12)),
     IF($F67=""Physical"", K$18:ED$18, IF($F67=""Magic"", K$19:ED$19, K$20:ED$20)),
     K$3:ED$3,
     K$5:ED$5,
     K$17:ED$17,
     K67:ED67,
     LAM"&amp;"BDA(
       mitigation,
       enhance,
       job,
       assign,
       precondition,
       check,
       IF(
         OR(AND(check=TRUE, REGEXMATCH(assign, ""SELF""), job=""暗黒騎士""), AND(check=Option!$G$13, REGEXMATCH(assign, ""SINGLE_PARTY""))),
     "&amp;"    IF(
           OR(ARRAYFORMULA((IF(precondition="""", FALSE, REGEXMATCH($K$4:$ED$4, precondition))) * (K67:ED67=TRUE))),
           enhance,
           mitigation
         ),
         1
       )
     )
   )
 ) * EE67"),1.0)</f>
        <v>1</v>
      </c>
      <c r="FF67" s="206">
        <f t="shared" si="10"/>
        <v>0</v>
      </c>
      <c r="FG67" s="205">
        <f>IFERROR(__xludf.DUMMYFUNCTION("PRODUCT(
   MAP(
     K$3:ED$3,
     K$14:ED$14,
     K$13:ED$13,
     K67:ED67,
     LAMBDA(
       job,
       buff,
       target,
       check,
       IF(
         OR(AND(check=TRUE, REGEXMATCH(target, ""SELF_AFFECTED_ALL""), job=""暗黒騎士""), AND(check="&amp;"Option!$G$13, REGEXMATCH(target, ""SINGLE_AFFECTED_ALL""))),
         buff,
         1
       )
     )
   )
 )"),1.0)</f>
        <v>1</v>
      </c>
      <c r="FH67" s="206">
        <f>IFERROR(__xludf.DUMMYFUNCTION("SUM(
   MAP(
     K$3:ED$3,
     K$7:ED$7,
     K$15:ED$15,
     K$16:ED$16,
     K$21:ED$21,
     K$5:ED$5,
     K$17:ED$17,
     K67:ED67,
     LAMBDA(
       job,
       abillity,
       buff,
       barrier,
       enhance,
       assign,
       preco"&amp;"ndition,
       check,
       IF(
         OR(AND(check=TRUE, REGEXMATCH(assign, ""SELF""), job=""暗黒騎士""), AND(check=Option!$G$13, REGEXMATCH(assign, ""SINGLE_PARTY""))),
         IF(
           OR(ARRAYFORMULA((IF(precondition="""", FALSE, REGEXMATCH($K$"&amp;"4:$ED$4, precondition))) * (K67:ED67=TRUE))),
           enhance,
           IF(barrier="""", buff, barrier)
         ),
         0
       ) *
       SWITCH(
         job,
         ""暗黒騎士"", FI$24,
         ""白魔道士"", EF67 * EH67 * FG67 * IF(abillity, 1, E"&amp;"G67 * EI67) * (Option!$D$22 * 0.81 / 100),
         ""占星術師"", EF67 * EJ67 * FG67 * IF(abillity, 1, EG67 * EK67) * (Option!$D$23 * 0.81 / 100),
         ""学者"", EF67 * EL67 * FG67 * IF(abillity, 1, EG67 * EM67) * (Option!$D$24 * 0.81 / 100),
         ""賢者"&amp;""", EF67 * EN67 * FG67 * IF(abillity, 1, EG67 * EO67) * (Option!$D$25 * 0.81 / 100),
         1
       )
     )
   )
 ) + EQ67"),0.0)</f>
        <v>0</v>
      </c>
      <c r="FI67" s="206">
        <f t="shared" si="11"/>
        <v>0</v>
      </c>
      <c r="FJ67" s="205">
        <f>IFERROR(__xludf.DUMMYFUNCTION("PRODUCT(
   MAP(
     IF($F67=""Physical"", K$10:ED$10, IF($F67=""Magic"", K$11:ED$11, K$12:ED$12)),
     IF($F67=""Physical"", K$18:ED$18, IF($F67=""Magic"", K$19:ED$19, K$20:ED$20)),
     K$3:ED$3,
     K$5:ED$5,
     K$17:ED$17,
     K67:ED67,
     LAM"&amp;"BDA(
       mitigation,
       enhance,
       job,
       assign,
       precondition,
       check,
       IF(
         OR(AND(check=TRUE, REGEXMATCH(assign, ""SELF""), job=""ガンブレイカー""), AND(check=Option!$H$13, REGEXMATCH(assign, ""SINGLE_PARTY""))),
  "&amp;"       IF(
           OR(ARRAYFORMULA((IF(precondition="""", FALSE, REGEXMATCH($K$4:$ED$4, precondition))) * (K67:ED67=TRUE))),
           enhance,
           mitigation
         ),
         1
       )
     )
   )
 ) * EE67"),1.0)</f>
        <v>1</v>
      </c>
      <c r="FK67" s="206">
        <f t="shared" si="12"/>
        <v>0</v>
      </c>
      <c r="FL67" s="205">
        <f>IFERROR(__xludf.DUMMYFUNCTION("PRODUCT(
   MAP(
     K$3:ED$3,
     K$14:ED$14,
     K$13:ED$13,
     K67:ED67,
     LAMBDA(
       job,
       buff,
       target,
       check,
       IF(
         OR(AND(check=TRUE, REGEXMATCH(target, ""SELF_AFFECTED_ALL""), job=""ガンブレイカー""), AND(che"&amp;"ck=Option!$H$13, REGEXMATCH(target, ""SINGLE_AFFECTED_ALL""))),
         buff,
         1
       )
     )
   )
 )"),1.0)</f>
        <v>1</v>
      </c>
      <c r="FM67" s="206">
        <f>IFERROR(__xludf.DUMMYFUNCTION("SUM(
   MAP(
     K$3:ED$3,
     K$7:ED$7,
     K$15:ED$15,
     K$16:ED$16,
     K$21:ED$21,
     K$5:ED$5,
     K$17:ED$17,
     K67:ED67,
     LAMBDA(
       job,
       abillity,
       buff,
       barrier,
       enhance,
       assign,
       preco"&amp;"ndition,
       check,
       IF(
         OR(AND(check=TRUE, REGEXMATCH(assign, ""SELF""), job=""ガンブレイカー""), AND(check=Option!$H$13, REGEXMATCH(assign, ""SINGLE_PARTY""))),
         IF(
           OR(ARRAYFORMULA((IF(precondition="""", FALSE, REGEXMATCH("&amp;"$K$4:$ED$4, precondition))) * (K67:ED67=TRUE))),
           enhance,
           IF(barrier="""", buff, barrier)
         ),
         0
       ) *
       SWITCH(
         job,
         ""暗黒騎士"", FN$24,
         ""白魔道士"", EF67 * EH67 * FL67 * IF(abillity, 1"&amp;", EG67 * EI67) * (Option!$D$22 * 0.81 / 100),
         ""占星術師"", EF67 * EJ67 * FL67 * IF(abillity, 1, EG67 * EK67) * (Option!$D$23 * 0.81 / 100),
         ""学者"", EF67 * EL67 * FL67 * IF(abillity, 1, EG67 * EM67) * (Option!$D$24 * 0.81 / 100),
         """&amp;"賢者"", EF67 * EN67 * FL67 * IF(abillity, 1, EG67 * EO67) * (Option!$D$25 * 0.81 / 100),
         1
       )
     )
   )
 ) + EQ67"),0.0)</f>
        <v>0</v>
      </c>
      <c r="FN67" s="206">
        <f t="shared" si="13"/>
        <v>0</v>
      </c>
      <c r="FO67" s="213"/>
    </row>
    <row r="68">
      <c r="B68" s="229"/>
      <c r="C68" s="217">
        <f t="shared" si="1"/>
        <v>0</v>
      </c>
      <c r="D68" s="236"/>
      <c r="E68" s="226"/>
      <c r="F68" s="167"/>
      <c r="G68" s="168" t="str">
        <f t="shared" si="2"/>
        <v/>
      </c>
      <c r="H68" s="169"/>
      <c r="I68" s="169"/>
      <c r="J68" s="169"/>
      <c r="K68" s="170" t="b">
        <v>0</v>
      </c>
      <c r="L68" s="170" t="b">
        <v>0</v>
      </c>
      <c r="M68" s="170" t="b">
        <v>0</v>
      </c>
      <c r="N68" s="171" t="s">
        <v>1070</v>
      </c>
      <c r="O68" s="172" t="b">
        <v>0</v>
      </c>
      <c r="P68" s="173" t="b">
        <v>0</v>
      </c>
      <c r="Q68" s="173" t="b">
        <v>0</v>
      </c>
      <c r="R68" s="173" t="b">
        <v>0</v>
      </c>
      <c r="S68" s="174" t="b">
        <v>0</v>
      </c>
      <c r="T68" s="175" t="b">
        <v>0</v>
      </c>
      <c r="U68" s="173" t="b">
        <v>0</v>
      </c>
      <c r="V68" s="171" t="s">
        <v>1070</v>
      </c>
      <c r="W68" s="172" t="b">
        <v>0</v>
      </c>
      <c r="X68" s="173" t="b">
        <v>0</v>
      </c>
      <c r="Y68" s="173" t="b">
        <v>0</v>
      </c>
      <c r="Z68" s="173" t="b">
        <v>0</v>
      </c>
      <c r="AA68" s="174" t="b">
        <v>0</v>
      </c>
      <c r="AB68" s="174" t="b">
        <v>0</v>
      </c>
      <c r="AC68" s="175" t="b">
        <v>0</v>
      </c>
      <c r="AD68" s="173" t="b">
        <v>0</v>
      </c>
      <c r="AE68" s="176" t="s">
        <v>1070</v>
      </c>
      <c r="AF68" s="171" t="s">
        <v>1070</v>
      </c>
      <c r="AG68" s="177">
        <f>IFERROR(__xludf.DUMMYFUNCTION("IF(
  ISNUMBER(AG67),
  MIN(MAX(
    AG67
    + MAX(
      ROUNDDOWN(($D68 - MAX(IFERROR(FILTER($D$24:$D67, AG$24:AG67 &lt;&gt; AF$6, AG$23:AG66 = AF$6), 0))) * (60 * 60 * 24) / AF$9) - ROUNDDOWN(($D67 - MAX(IFERROR(FILTER($D$23:$D66, AG$23:AG66 &lt;&gt; AF$6, AG$22:"&amp;"AG65 = AF$6), 0))) * (60 * 60 * 24) / 60),
      0
    )
    - COUNTIF(AF68, ""&lt;&gt;-""),
  0), AF$6),
  AF$6 - COUNTIF(AF68, ""&lt;&gt;-"")
)"),2.0)</f>
        <v>2</v>
      </c>
      <c r="AH68" s="173" t="b">
        <v>0</v>
      </c>
      <c r="AI68" s="173" t="b">
        <v>0</v>
      </c>
      <c r="AJ68" s="173" t="b">
        <v>0</v>
      </c>
      <c r="AK68" s="174" t="b">
        <v>0</v>
      </c>
      <c r="AL68" s="175" t="b">
        <v>0</v>
      </c>
      <c r="AM68" s="173" t="b">
        <v>0</v>
      </c>
      <c r="AN68" s="171" t="s">
        <v>1070</v>
      </c>
      <c r="AO68" s="173" t="b">
        <v>0</v>
      </c>
      <c r="AP68" s="173" t="b">
        <v>0</v>
      </c>
      <c r="AQ68" s="173" t="b">
        <v>0</v>
      </c>
      <c r="AR68" s="174" t="b">
        <v>0</v>
      </c>
      <c r="AS68" s="178" t="b">
        <v>0</v>
      </c>
      <c r="AT68" s="179" t="b">
        <v>0</v>
      </c>
      <c r="AU68" s="180" t="b">
        <v>0</v>
      </c>
      <c r="AV68" s="180" t="b">
        <v>0</v>
      </c>
      <c r="AW68" s="180" t="b">
        <v>0</v>
      </c>
      <c r="AX68" s="180" t="b">
        <v>0</v>
      </c>
      <c r="AY68" s="181" t="s">
        <v>1070</v>
      </c>
      <c r="AZ68" s="181" t="s">
        <v>1070</v>
      </c>
      <c r="BA68" s="184">
        <f>IFERROR(__xludf.DUMMYFUNCTION("IF(
  ISNUMBER(BA67),
  MIN(MAX(
    BA67
    + MAX(
      ROUNDDOWN((D68 - MAX(IFERROR(FILTER(D$24:D67, BA$24:BA67 &lt;&gt; AZ$6, BA$23:BA66 = AZ$6), 0))) * (60 * 60 * 24) / AZ$9) - ROUNDDOWN((D67 - MAX(IFERROR(FILTER(D$23:D66, BA$23:BA66 &lt;&gt; AZ$6, BA$22:BA65 ="&amp;" AZ$6), 0))) * (60 * 60 * 24) / AZ$9),
      0
    )
    - COUNTIF(AZ68, ""&lt;&gt;-""),
  0), AZ$6),
  AZ$6 - COUNTIF(AZ68, ""&lt;&gt;-"")
)"),2.0)</f>
        <v>2</v>
      </c>
      <c r="BB68" s="181" t="s">
        <v>1070</v>
      </c>
      <c r="BC68" s="183">
        <f>IFERROR(__xludf.DUMMYFUNCTION("IF(
  ISNUMBER(BC67),
  MIN(MAX(
    BC67
    + MAX(
      ROUNDDOWN(($D68 - MAX(IFERROR(FILTER($D$24:$D67, BC$24:BC67 &lt;&gt; BB$6, BC$23:BC66 = BB$6), 0))) * (60 * 60 * 24) / BB$9) - ROUNDDOWN(($D67 - MAX(IFERROR(FILTER($D$23:$D66, BC$23:BC66 &lt;&gt; BB$6, BC$22:"&amp;"BC65 = BB$6), 0))) * (60 * 60 * 24) / 60),
      0
    )
    - COUNTIF(BB68, ""&lt;&gt;-""),
  0), BB$6),
  BB$6 - COUNTIF(BB68, ""&lt;&gt;-"")
)"),2.0)</f>
        <v>2</v>
      </c>
      <c r="BD68" s="181" t="s">
        <v>1070</v>
      </c>
      <c r="BE68" s="178" t="b">
        <v>0</v>
      </c>
      <c r="BF68" s="180" t="b">
        <v>0</v>
      </c>
      <c r="BG68" s="180" t="b">
        <v>0</v>
      </c>
      <c r="BH68" s="180" t="b">
        <v>0</v>
      </c>
      <c r="BI68" s="180" t="b">
        <v>0</v>
      </c>
      <c r="BJ68" s="180" t="b">
        <v>0</v>
      </c>
      <c r="BK68" s="180" t="b">
        <v>0</v>
      </c>
      <c r="BL68" s="180" t="b">
        <v>0</v>
      </c>
      <c r="BM68" s="180" t="b">
        <v>0</v>
      </c>
      <c r="BN68" s="180" t="b">
        <v>0</v>
      </c>
      <c r="BO68" s="181" t="s">
        <v>1070</v>
      </c>
      <c r="BP68" s="181" t="s">
        <v>1070</v>
      </c>
      <c r="BQ68" s="181" t="s">
        <v>1070</v>
      </c>
      <c r="BR68" s="181" t="s">
        <v>1070</v>
      </c>
      <c r="BS68" s="181" t="s">
        <v>1070</v>
      </c>
      <c r="BT68" s="184">
        <f>IFERROR(__xludf.DUMMYFUNCTION("IF(
  ISNUMBER(BT67),
  MIN(MAX(
    BT67
    + MAX(
      ROUNDDOWN((D68 - MAX(IFERROR(FILTER(D$24:D67, BT$24:BT67 &lt;&gt; BS$6, BT$23:BT66 = BS$6), 0))) * (60 * 60 * 24) / BS$9) - ROUNDDOWN((D67 - MAX(IFERROR(FILTER(D$23:D66, BT$23:BT66 &lt;&gt; BS$6, BT$22:BT65 ="&amp;" BS$6), 0))) * (60 * 60 * 24) / BS$9),
      0
    )
    - COUNTIF(BS68, ""&lt;&gt;-""),
  0), BS$6),
  BS$6 - COUNTIF(BS68, ""&lt;&gt;-"")
)"),3.0)</f>
        <v>3</v>
      </c>
      <c r="BU68" s="181" t="s">
        <v>1070</v>
      </c>
      <c r="BV68" s="181" t="s">
        <v>1070</v>
      </c>
      <c r="BW68" s="184">
        <f>IFERROR(__xludf.DUMMYFUNCTION("IF(
  ISNUMBER(BW67),
  MIN(MAX(
    BW67
    + MAX(
      ROUNDDOWN((D68 - MAX(IFERROR(FILTER(D$24:D67, BW$24:BW67 &lt;&gt; BV$6, BW$23:BW66 = BV$6), 0))) * (60 * 60 * 24) / BV$9) - ROUNDDOWN((D67 - MAX(IFERROR(FILTER(D$23:D66, BW$23:BW66 &lt;&gt; BV$6, BW$22:BW65 ="&amp;" BV$6), 0))) * (60 * 60 * 24) / BV$9),
      0
    )
    - COUNTIF(BV68, ""&lt;&gt;-""),
  0), BV$6),
  BV$6 - COUNTIF(BV68, ""&lt;&gt;-"")
)"),2.0)</f>
        <v>2</v>
      </c>
      <c r="BX68" s="185" t="s">
        <v>1070</v>
      </c>
      <c r="BY68" s="178" t="b">
        <v>0</v>
      </c>
      <c r="BZ68" s="180" t="b">
        <v>0</v>
      </c>
      <c r="CA68" s="180" t="b">
        <v>0</v>
      </c>
      <c r="CB68" s="180" t="b">
        <v>0</v>
      </c>
      <c r="CC68" s="180" t="b">
        <v>0</v>
      </c>
      <c r="CD68" s="180" t="b">
        <v>0</v>
      </c>
      <c r="CE68" s="180" t="b">
        <v>0</v>
      </c>
      <c r="CF68" s="180" t="b">
        <v>0</v>
      </c>
      <c r="CG68" s="180" t="b">
        <v>0</v>
      </c>
      <c r="CH68" s="180" t="b">
        <v>0</v>
      </c>
      <c r="CI68" s="180" t="b">
        <v>0</v>
      </c>
      <c r="CJ68" s="180" t="b">
        <v>0</v>
      </c>
      <c r="CK68" s="180" t="b">
        <v>0</v>
      </c>
      <c r="CL68" s="180" t="b">
        <v>0</v>
      </c>
      <c r="CM68" s="181" t="s">
        <v>1070</v>
      </c>
      <c r="CN68" s="181" t="s">
        <v>1070</v>
      </c>
      <c r="CO68" s="181" t="s">
        <v>1070</v>
      </c>
      <c r="CP68" s="181" t="s">
        <v>1070</v>
      </c>
      <c r="CQ68" s="185" t="s">
        <v>1070</v>
      </c>
      <c r="CR68" s="180" t="b">
        <v>0</v>
      </c>
      <c r="CS68" s="186" t="str">
        <f t="shared" si="14"/>
        <v>◇◇◇</v>
      </c>
      <c r="CT68" s="178" t="b">
        <v>0</v>
      </c>
      <c r="CU68" s="180" t="b">
        <v>0</v>
      </c>
      <c r="CV68" s="180" t="b">
        <v>0</v>
      </c>
      <c r="CW68" s="180" t="b">
        <v>0</v>
      </c>
      <c r="CX68" s="180" t="b">
        <v>0</v>
      </c>
      <c r="CY68" s="180" t="b">
        <v>0</v>
      </c>
      <c r="CZ68" s="180" t="b">
        <v>0</v>
      </c>
      <c r="DA68" s="180" t="b">
        <v>0</v>
      </c>
      <c r="DB68" s="180" t="b">
        <v>0</v>
      </c>
      <c r="DC68" s="180" t="b">
        <v>0</v>
      </c>
      <c r="DD68" s="181" t="s">
        <v>1070</v>
      </c>
      <c r="DE68" s="181" t="s">
        <v>1070</v>
      </c>
      <c r="DF68" s="181" t="s">
        <v>1070</v>
      </c>
      <c r="DG68" s="185" t="s">
        <v>1070</v>
      </c>
      <c r="DH68" s="180" t="b">
        <v>0</v>
      </c>
      <c r="DI68" s="187" t="str">
        <f>IFERROR(__xludf.DUMMYFUNCTION("SWITCH(
  IF(
    ISTEXT(DI67),
    IF (
      FIND(""○"", DI67&amp;""○"") &gt; 3,
      3,
      FIND(""○"", DI67&amp;""○"")
      + MAX(
        ROUNDDOWN(($D68 - MAX(IFERROR(FILTER(D$24:D67, DI$24:DI67 &lt;&gt; ""●●●"", DI$23:DI66 = ""●●●""), 0))) * (60 * 60 * 24) / 20"&amp;") - ROUNDDOWN(($D67 - MAX(IFERROR(FILTER(D$23:D66, DI$23:DI66 &lt;&gt; ""●●●"", DI$22:DI65 = ""●●●""), 0))) * (60 * 60 * 24) / 20),
        0
      ) - 1
    ) - COUNTIFS(CU68, ""=TRUE"", CU67, ""&lt;&gt;TRUE"") - COUNTIF(CZ68, ""=TRUE"") - COUNTIF({DD68,DE68}, ""&lt;&gt;-"&amp;""") + COUNTIF(DH68, ""=TRUE""),
    3
  ),
  0, ""○○○"", 1, ""●○○"", 2, ""●●○"", 3, ""●●●"", 4, ""●●●"", ""○○○""
)"),"●●●")</f>
        <v>●●●</v>
      </c>
      <c r="DJ68" s="188" t="b">
        <v>0</v>
      </c>
      <c r="DK68" s="189" t="b">
        <v>0</v>
      </c>
      <c r="DL68" s="190" t="b">
        <v>0</v>
      </c>
      <c r="DM68" s="190" t="b">
        <v>0</v>
      </c>
      <c r="DN68" s="190" t="b">
        <v>0</v>
      </c>
      <c r="DO68" s="190" t="b">
        <v>0</v>
      </c>
      <c r="DP68" s="190" t="b">
        <v>0</v>
      </c>
      <c r="DQ68" s="191" t="b">
        <v>0</v>
      </c>
      <c r="DR68" s="192" t="b">
        <v>0</v>
      </c>
      <c r="DS68" s="191" t="b">
        <v>0</v>
      </c>
      <c r="DT68" s="192" t="b">
        <v>0</v>
      </c>
      <c r="DU68" s="191" t="b">
        <v>0</v>
      </c>
      <c r="DV68" s="193" t="s">
        <v>1070</v>
      </c>
      <c r="DW68" s="194" t="b">
        <v>0</v>
      </c>
      <c r="DX68" s="194" t="b">
        <v>0</v>
      </c>
      <c r="DY68" s="195" t="b">
        <v>0</v>
      </c>
      <c r="DZ68" s="196" t="b">
        <v>0</v>
      </c>
      <c r="EA68" s="195" t="b">
        <v>0</v>
      </c>
      <c r="EB68" s="197" t="b">
        <v>0</v>
      </c>
      <c r="EC68" s="197" t="b">
        <v>0</v>
      </c>
      <c r="ED68" s="212" t="b">
        <v>0</v>
      </c>
      <c r="EE68" s="199">
        <f>IFERROR(__xludf.DUMMYFUNCTION("IFERROR(
   PRODUCT(
     MAP(
       INDEX(TRANSPOSE(UNIQUE(TRANSPOSE(FILTER({IF($F68=""Physical"", K$10:ED$10, IF($F68=""Magic"", K$11:ED$11, K$12:ED$12));K$4:ED$4;K68:ED68}, K68:ED68=TRUE)))), 1, 0),
       INDEX(TRANSPOSE(UNIQUE(TRANSPOSE(FILTER({IF($"&amp;"F68=""Physical"", K$18:ED$18, IF($F68=""Magic"", K$19:ED$19, K$20:ED$20));K$4:ED$4;K68:ED68}, K68:ED68=TRUE)))), 1, 0),
       INDEX(TRANSPOSE(UNIQUE(TRANSPOSE(FILTER({K$5:ED$5;K$4:ED$4;K68:ED68}, K68:ED68=TRUE)))), 1, 0),
       INDEX(TRANSPOSE(UNIQUE(TR"&amp;"ANSPOSE(FILTER({K$17:ED$17;K$4:ED$4;K68:ED68}, K68:ED68=TRUE)))), 1, 0),
       LAMBDA(
         mitigation,
         enhance,
         assign,
         precondition,
         IF(
           REGEXMATCH(assign, ""RANGE_PARTY|SINGLE_ENEMY|RANGE_ENEMY""),
  "&amp;"         IF(
             OR(ARRAYFORMULA((IF(precondition="""", FALSE, REGEXMATCH(K$4:ED$4, precondition))) * (K68:ED68=TRUE))),
             IF(ISNUMBER(enhance), enhance, 1),
             IF(ISNUMBER(mitigation), mitigation, 1)
           ),
          "&amp;" 1
         )
       )
     )
   ),
   1
 )"),1.0)</f>
        <v>1</v>
      </c>
      <c r="EF68" s="200">
        <f>IFERROR(__xludf.DUMMYFUNCTION("PRODUCT(
   MAP(
     K$14:ED$14,
     K$13:ED$13,
     K68:ED68,
     LAMBDA(
       buff,
       target,
       check,
       IF(
         AND(check=TRUE, REGEXMATCH(target, ""RANGE_AFFECTED_ALL|RANGE_EFFECTED_ALL""), ISNUMBER(buff)),
         buff,
   "&amp;"      1
       )
     )
   )
 )"),1.0)</f>
        <v>1</v>
      </c>
      <c r="EG68" s="200">
        <f>IFERROR(__xludf.DUMMYFUNCTION("PRODUCT(
   MAP(
     K$14:ED$14,
     K$13:ED$13,
     K68:ED68,
     LAMBDA(
       buff,
       target,
       check,
       IF(
         AND(check=TRUE, REGEXMATCH(target, ""RANGE_AFFECTED_GCD|RANGE_EFFECTED_GCD""), ISNUMBER(buff)),
         buff,
   "&amp;"      1
       )
     )
   )
 )"),1.0)</f>
        <v>1</v>
      </c>
      <c r="EH68" s="200">
        <f>IFERROR(__xludf.DUMMYFUNCTION("PRODUCT(
   MAP(
     K$3:ED$3,
     K$14:ED$14,
     K$13:ED$13,
     K68:ED68,
     LAMBDA(
       job,
       buff,
       target,
       check,
       IF(
         AND(check=TRUE, REGEXMATCH(target, ""SELF_EFFECTED_ALL""), ISNUMBER(buff), job=""白魔道士"""&amp;"),
         buff,
         1
       )
     )
   )
 )"),1.0)</f>
        <v>1</v>
      </c>
      <c r="EI68" s="200">
        <f>IFERROR(__xludf.DUMMYFUNCTION("PRODUCT(
   MAP(
     K$3:ED$3,
     K$14:ED$14,
     K$13:ED$13,
     K68:ED68,
     LAMBDA(
       job,
       buff,
       target,
       check,
       IF(
         AND(check=TRUE, REGEXMATCH(target, ""SELF_EFFECTED_GCD""), ISNUMBER(buff), job=""白魔道士"""&amp;"),
         buff,
         1
       )
     )
   )
 )"),1.0)</f>
        <v>1</v>
      </c>
      <c r="EJ68" s="200">
        <f>IFERROR(__xludf.DUMMYFUNCTION("PRODUCT(
   MAP(
     K$3:ED$3,
     K$14:ED$14,
     K$13:ED$13,
     K68:ED68,
     LAMBDA(
       job,
       buff,
       target,
       check,
       IF(
         AND(check=TRUE, REGEXMATCH(target, ""SELF_EFFECTED_ALL""), ISNUMBER(buff), job=""占星術師"""&amp;"),
         buff,
         1
       )
     )
   )
 )"),1.0)</f>
        <v>1</v>
      </c>
      <c r="EK68" s="200">
        <f>IFERROR(__xludf.DUMMYFUNCTION("PRODUCT(
   MAP(
     K$3:ED$3,
     K$14:ED$14,
     K$13:ED$13,
     K68:ED68,
     LAMBDA(
       job,
       buff,
       target,
       check,
       IF(
         AND(check=TRUE, REGEXMATCH(target, ""SELF_EFFECTED_GCD""), ISNUMBER(buff), job=""占星術師"""&amp;"),
         buff,
         1
       )
     )
   )
 )"),1.0)</f>
        <v>1</v>
      </c>
      <c r="EL68" s="200">
        <f>IFERROR(__xludf.DUMMYFUNCTION("PRODUCT(
   MAP(
     K$3:ED$3,
     K$14:ED$14,
     K$13:ED$13,
     K68:ED68,
     LAMBDA(
       job,
       buff,
       target,
       check,
       IF(
         AND(check=TRUE, REGEXMATCH(target, ""SELF_EFFECTED_ALL""), ISNUMBER(buff), job=""学者""),"&amp;"
         buff,
         1
       )
     )
   )
 )"),1.0)</f>
        <v>1</v>
      </c>
      <c r="EM68" s="200">
        <f>IFERROR(__xludf.DUMMYFUNCTION("PRODUCT(
   MAP(
     K$3:ED$3,
     K$14:ED$14,
     K$13:ED$13,
     K68:ED68,
     LAMBDA(
       job,
       buff,
       target,
       check,
       IF(
         AND(check=TRUE, REGEXMATCH(target, ""SELF_EFFECTED_GCD""), ISNUMBER(buff), job=""学者""),"&amp;"
         buff,
         1
       )
     )
   )
 )"),1.0)</f>
        <v>1</v>
      </c>
      <c r="EN68" s="200">
        <f>IFERROR(__xludf.DUMMYFUNCTION("PRODUCT(
   MAP(
     K$3:ED$3,
     K$14:ED$14,
     K$13:ED$13,
     K68:ED68,
     LAMBDA(
       job,
       buff,
       target,
       check,
       IF(
         AND(check=TRUE, REGEXMATCH(target, ""SELF_EFFECTED_ALL""), ISNUMBER(buff), job=""賢者""),"&amp;"
         buff,
         1
       )
     )
   )
 )"),1.0)</f>
        <v>1</v>
      </c>
      <c r="EO68" s="200">
        <f>IFERROR(__xludf.DUMMYFUNCTION("PRODUCT(
   MAP(
     K$3:ED$3,
     K$14:ED$14,
     K$13:ED$13,
     K68:ED68,
     LAMBDA(
       job,
       buff,
       target,
       check,
       IF(
         AND(check=TRUE, REGEXMATCH(target, ""SELF_EFFECTED_GCD""), ISNUMBER(buff), job=""賢者""),"&amp;"
         buff,
         1
       )
     )
   )
 )"),1.0)</f>
        <v>1</v>
      </c>
      <c r="EP68" s="201">
        <f t="shared" si="3"/>
        <v>0</v>
      </c>
      <c r="EQ68" s="201">
        <f>IFERROR(__xludf.DUMMYFUNCTION("SUM(
   MAP(
     K$4:ED$4,
     K$3:ED$3,
     K$7:ED$7,
     K$15:ED$15,
     K$16:ED$16,
     K$21:ED$21,
     K$5:ED$5,
     K$17:ED$17,
     K68:ED68,
     LAMBDA(
       name,
       job,
       abillity,
       buff,
       barrier,
       enhance,"&amp;"
       assign,
       precondition,
       check,
       SWITCH(
         name,
         ""シェイクオフ"", IF(check=TRUE, buff + (0.02 * COUNTIF(ARRAYFORMULA((REGEXMATCH($K$4:$ED$4, ""スリル・オブ・バトル|ヴェンジェンス|原初の血気|ダムネーション"")) * (K68:ED68=TRUE)), 1)), 0),
         "&amp;"""インプロビゼーションフィニッシュ(踊りの激情0)"", IF(ISNUMBER(check), INDEX(Skill!$AJ:$AJ, MATCH(SUBSTITUTE(DV$4, 0, check), Skill!$C:$C, 0)), 0),
         IF(
           AND(check=TRUE, REGEXMATCH(assign, ""RANGE_PARTY"")),
           IF(
             OR(ARRAYFORMULA((IF(pr"&amp;"econdition="""", FALSE, REGEXMATCH($K$4:$ED$4, precondition))) * (K68:ED68=TRUE))),
             enhance,
             IF(barrier="""", buff, barrier)
           ),
           0
         )
       ) *
       SWITCH(
         job,
         ""ナイト"", EY$24,
 "&amp;"        ""戦士"", FD$24,
         ""踊り子"", ET$24,
         ""ピクトマンサー"", ET$24,
         ""白魔道士"", EF68 * EH68 * IF(abillity, 1, EG68 * EI68) * (Option!$D$22 * 0.81 / 100),
         ""占星術師"", EF68 * EJ68 * IF(abillity, 1, EG68 * EK68) * (Option!$D$23 * 0.81 "&amp;"/ 100),
         ""学者"", EF68 * EL68 * IF(abillity, 1, EG68 * EM68) * (Option!$D$24 * 0.81 / 100),
         ""賢者"", EF68 * EN68 * IF(abillity, 1, EG68 * EO68) * (Option!$D$25 * 0.81 / 100),
         1
       )
     )
   )
 )"),0.0)</f>
        <v>0</v>
      </c>
      <c r="ER68" s="202">
        <f t="shared" si="4"/>
        <v>0</v>
      </c>
      <c r="ES68" s="203">
        <f t="shared" si="5"/>
        <v>0</v>
      </c>
      <c r="ET68" s="204" t="str">
        <f>IFERROR(__xludf.DUMMYFUNCTION("IFS(
  EP68 &gt; $ET$24 + EQ68,
  SPARKLINE({ 1, 0 }, {""charttype"",""bar"";""max"", 1;""color1"",Option!$D$30;""color2"",Option!$D$30}),
  EP68 &lt; EQ68,
  SPARKLINE({EQ68 - EP68, $ET$24 - (EQ68 - EP68)}, {""charttype"",""bar"";""max"",$ET$24;""color1"",Opti"&amp;"on!$D$28;""color2"",Option!$D$29}),
  EP68 &gt;= EQ68,
  SPARKLINE({$ET$24 + EQ68 - EP68,EP68 - EQ68}, {""charttype"",""bar"";""max"",$ET$24;""color1"",Option!$D$29;""color2"",Option!$D$30})
)"),"")</f>
        <v/>
      </c>
      <c r="EU68" s="205">
        <f>IFERROR(__xludf.DUMMYFUNCTION("PRODUCT(
   MAP(
     IF($F68=""Physical"", K$10:ED$10, IF($F68=""Magic"", K$11:ED$11, K$12:ED$12)),
     IF($F68=""Physical"", K$18:ED$18, IF($F68=""Magic"", K$19:ED$19, K$20:ED$20)),
     K$3:ED$3,
     K$5:ED$5,
     K$17:ED$17,
     K68:ED68,
     LAM"&amp;"BDA(
       mitigation,
       enhance,
       job,
       assign,
       precondition,
       check,
       IF(
         OR(AND(check=TRUE, REGEXMATCH(assign, ""SELF""), job=""ナイト""), AND(check=Option!$E$13, REGEXMATCH(assign, ""SINGLE_PARTY""))),
      "&amp;"   IF(
           OR(ARRAYFORMULA((IF(precondition="""", FALSE, REGEXMATCH($K$4:$ED$4, precondition))) * (K68:ED68=TRUE))),
           enhance,
           mitigation
         ),
         1
       )
     )
   )
 ) * EE68"),1.0)</f>
        <v>1</v>
      </c>
      <c r="EV68" s="206">
        <f t="shared" si="6"/>
        <v>0</v>
      </c>
      <c r="EW68" s="205">
        <f>IFERROR(__xludf.DUMMYFUNCTION("PRODUCT(
   MAP(
     K$3:ED$3,
     K$14:ED$14,
     K$13:ED$13,
     K68:ED68,
     LAMBDA(
       job,
       buff,
       target,
       check,
       IF(
         OR(AND(check=TRUE, REGEXMATCH(target, ""SELF_AFFECTED_ALL""), job=""ナイト""), AND(check=O"&amp;"ption!$E$13, REGEXMATCH(target, ""SINGLE_AFFECTED_ALL""))),
         buff,
         1
       )
     )
   )
 )"),1.0)</f>
        <v>1</v>
      </c>
      <c r="EX68" s="206">
        <f>IFERROR(__xludf.DUMMYFUNCTION("SUM(
   MAP(
     K$3:ED$3,
     K$7:ED$7,
     K$15:ED$15,
     K$16:ED$16,
     K$21:ED$21,
     K$5:ED$5,
     K$17:ED$17,
     K68:ED68,
     LAMBDA(
       job,
       abillity,
       buff,
       barrier,
       enhance,
       assign,
       preco"&amp;"ndition,
       check,
       IF(
         OR(AND(check=TRUE, REGEXMATCH(assign, ""SELF""), job=""ナイト""), AND(check=Option!$E$13, REGEXMATCH(assign, ""SINGLE_PARTY""))),
         IF(
           OR(ARRAYFORMULA((IF(precondition="""", FALSE, REGEXMATCH($K$4"&amp;":$ED$4, precondition))) * (K68:ED68=TRUE))),
           enhance,
           IF(barrier="""", buff, barrier)
         ),
         0
       ) *
       SWITCH(
         job,
         ""暗黒騎士"", EY$24,
         ""白魔道士"", EF68 * EH68 * EW68 * IF(abillity, 1, EG"&amp;"68 * EI68) * (Option!$D$22 * 0.81 / 100),
         ""占星術師"", EF68 * EJ68 * EW68 * IF(abillity, 1, EG68 * EK68) * (Option!$D$23 * 0.81 / 100),
         ""学者"", EF68 * EL68 * EW68 * IF(abillity, 1, EG68 * EM68) * (Option!$D$24 * 0.81 / 100),
         ""賢者"""&amp;", EF68 * EN68 * EW68 * IF(abillity, 1, EG68 * EO68) * (Option!$D$25 * 0.81 / 100),
         1
       )
     )
   )
 ) + EQ68"),0.0)</f>
        <v>0</v>
      </c>
      <c r="EY68" s="206">
        <f t="shared" si="7"/>
        <v>0</v>
      </c>
      <c r="EZ68" s="205">
        <f>IFERROR(__xludf.DUMMYFUNCTION("PRODUCT(
   MAP(
     IF($F68=""Physical"", K$10:ED$10, IF($F68=""Magic"", K$11:ED$11, K$12:ED$12)),
     IF($F68=""Physical"", K$18:ED$18, IF($F68=""Magic"", K$19:ED$19, K$20:ED$20)),
     K$3:ED$3,
     K$5:ED$5,
     K$17:ED$17,
     K68:ED68,
     LAM"&amp;"BDA(
       mitigation,
       enhance,
       job,
       assign,
       precondition,
       check,
       IF(
         OR(AND(check=TRUE, REGEXMATCH(assign, ""SELF""), job=""戦士""), AND(check=Option!$F$13, REGEXMATCH(assign, ""SINGLE_PARTY""))),
       "&amp;"  IF(
           OR(ARRAYFORMULA((IF(precondition="""", FALSE, REGEXMATCH($K$4:$ED$4, precondition))) * (K68:ED68=TRUE))),
           enhance,
           mitigation
         ),
         1
       )
     )
   )
 ) * EE68"),1.0)</f>
        <v>1</v>
      </c>
      <c r="FA68" s="206">
        <f t="shared" si="8"/>
        <v>0</v>
      </c>
      <c r="FB68" s="205">
        <f>IFERROR(__xludf.DUMMYFUNCTION("PRODUCT(
   MAP(
     K$3:ED$3,
     K$14:ED$14,
     K$13:ED$13,
     K68:ED68,
     LAMBDA(
       job,
       buff,
       target,
       check,
       IF(
         OR(AND(check=TRUE, REGEXMATCH(target, ""SELF_AFFECTED_ALL""), job=""戦士""), AND(check=Op"&amp;"tion!$F$13, REGEXMATCH(target, ""SINGLE_AFFECTED_ALL""))),
         buff,
         1
       )
     )
   )
 )"),1.0)</f>
        <v>1</v>
      </c>
      <c r="FC68" s="206">
        <f>IFERROR(__xludf.DUMMYFUNCTION("SUM(
   MAP(
     K$3:ED$3,
     K$7:ED$7,
     K$15:ED$15,
     K$16:ED$16,
     K$21:ED$21,
     K$5:ED$5,
     K$17:ED$17,
     K68:ED68,
     LAMBDA(
       job,
       abillity,
       buff,
       barrier,
       enhance,
       assign,
       preco"&amp;"ndition,
       check,
       IF(
         OR(AND(check=TRUE, REGEXMATCH(assign, ""SELF""), job=""戦士""), AND(check=Option!$F$13, REGEXMATCH(assign, ""SINGLE_PARTY""))),
         IF(
           OR(ARRAYFORMULA((IF(precondition="""", FALSE, REGEXMATCH($K$4:"&amp;"$ED$4, precondition))) * (K68:ED68=TRUE))),
           enhance,
           IF(barrier="""", buff, barrier)
         ),
         0
       ) *
       SWITCH(
         job,
         ""暗黒騎士"", FD$24,
         ""白魔道士"", EF68 * EH68 * FB68 * IF(abillity, 1, EG6"&amp;"8 * EI68) * (Option!$D$22 * 0.81 / 100),
         ""占星術師"", EF68 * EJ68 * FFB68 * IF(abillity, 1, EG68 * EK68) * (Option!$D$23 * 0.81 / 100),
         ""学者"", EF68 * EL68 * FB68 * IF(abillity, 1, EG68 * EM68) * (Option!$D$24 * 0.81 / 100),
         ""賢者"""&amp;", EF68 * EN68 * FB68 * IF(abillity, 1, EG68 * EO68) * (Option!$D$25 * 0.81 / 100),
         1
       )
     )
   )
 ) + EQ68"),0.0)</f>
        <v>0</v>
      </c>
      <c r="FD68" s="206">
        <f t="shared" si="9"/>
        <v>0</v>
      </c>
      <c r="FE68" s="205">
        <f>IFERROR(__xludf.DUMMYFUNCTION("PRODUCT(
   MAP(
     IF($F68=""Physical"", K$10:ED$10, IF($F68=""Magic"", K$11:ED$11, K$12:ED$12)),
     IF($F68=""Physical"", K$18:ED$18, IF($F68=""Magic"", K$19:ED$19, K$20:ED$20)),
     K$3:ED$3,
     K$5:ED$5,
     K$17:ED$17,
     K68:ED68,
     LAM"&amp;"BDA(
       mitigation,
       enhance,
       job,
       assign,
       precondition,
       check,
       IF(
         OR(AND(check=TRUE, REGEXMATCH(assign, ""SELF""), job=""暗黒騎士""), AND(check=Option!$G$13, REGEXMATCH(assign, ""SINGLE_PARTY""))),
     "&amp;"    IF(
           OR(ARRAYFORMULA((IF(precondition="""", FALSE, REGEXMATCH($K$4:$ED$4, precondition))) * (K68:ED68=TRUE))),
           enhance,
           mitigation
         ),
         1
       )
     )
   )
 ) * EE68"),1.0)</f>
        <v>1</v>
      </c>
      <c r="FF68" s="206">
        <f t="shared" si="10"/>
        <v>0</v>
      </c>
      <c r="FG68" s="205">
        <f>IFERROR(__xludf.DUMMYFUNCTION("PRODUCT(
   MAP(
     K$3:ED$3,
     K$14:ED$14,
     K$13:ED$13,
     K68:ED68,
     LAMBDA(
       job,
       buff,
       target,
       check,
       IF(
         OR(AND(check=TRUE, REGEXMATCH(target, ""SELF_AFFECTED_ALL""), job=""暗黒騎士""), AND(check="&amp;"Option!$G$13, REGEXMATCH(target, ""SINGLE_AFFECTED_ALL""))),
         buff,
         1
       )
     )
   )
 )"),1.0)</f>
        <v>1</v>
      </c>
      <c r="FH68" s="206">
        <f>IFERROR(__xludf.DUMMYFUNCTION("SUM(
   MAP(
     K$3:ED$3,
     K$7:ED$7,
     K$15:ED$15,
     K$16:ED$16,
     K$21:ED$21,
     K$5:ED$5,
     K$17:ED$17,
     K68:ED68,
     LAMBDA(
       job,
       abillity,
       buff,
       barrier,
       enhance,
       assign,
       preco"&amp;"ndition,
       check,
       IF(
         OR(AND(check=TRUE, REGEXMATCH(assign, ""SELF""), job=""暗黒騎士""), AND(check=Option!$G$13, REGEXMATCH(assign, ""SINGLE_PARTY""))),
         IF(
           OR(ARRAYFORMULA((IF(precondition="""", FALSE, REGEXMATCH($K$"&amp;"4:$ED$4, precondition))) * (K68:ED68=TRUE))),
           enhance,
           IF(barrier="""", buff, barrier)
         ),
         0
       ) *
       SWITCH(
         job,
         ""暗黒騎士"", FI$24,
         ""白魔道士"", EF68 * EH68 * FG68 * IF(abillity, 1, E"&amp;"G68 * EI68) * (Option!$D$22 * 0.81 / 100),
         ""占星術師"", EF68 * EJ68 * FG68 * IF(abillity, 1, EG68 * EK68) * (Option!$D$23 * 0.81 / 100),
         ""学者"", EF68 * EL68 * FG68 * IF(abillity, 1, EG68 * EM68) * (Option!$D$24 * 0.81 / 100),
         ""賢者"&amp;""", EF68 * EN68 * FG68 * IF(abillity, 1, EG68 * EO68) * (Option!$D$25 * 0.81 / 100),
         1
       )
     )
   )
 ) + EQ68"),0.0)</f>
        <v>0</v>
      </c>
      <c r="FI68" s="206">
        <f t="shared" si="11"/>
        <v>0</v>
      </c>
      <c r="FJ68" s="205">
        <f>IFERROR(__xludf.DUMMYFUNCTION("PRODUCT(
   MAP(
     IF($F68=""Physical"", K$10:ED$10, IF($F68=""Magic"", K$11:ED$11, K$12:ED$12)),
     IF($F68=""Physical"", K$18:ED$18, IF($F68=""Magic"", K$19:ED$19, K$20:ED$20)),
     K$3:ED$3,
     K$5:ED$5,
     K$17:ED$17,
     K68:ED68,
     LAM"&amp;"BDA(
       mitigation,
       enhance,
       job,
       assign,
       precondition,
       check,
       IF(
         OR(AND(check=TRUE, REGEXMATCH(assign, ""SELF""), job=""ガンブレイカー""), AND(check=Option!$H$13, REGEXMATCH(assign, ""SINGLE_PARTY""))),
  "&amp;"       IF(
           OR(ARRAYFORMULA((IF(precondition="""", FALSE, REGEXMATCH($K$4:$ED$4, precondition))) * (K68:ED68=TRUE))),
           enhance,
           mitigation
         ),
         1
       )
     )
   )
 ) * EE68"),1.0)</f>
        <v>1</v>
      </c>
      <c r="FK68" s="206">
        <f t="shared" si="12"/>
        <v>0</v>
      </c>
      <c r="FL68" s="205">
        <f>IFERROR(__xludf.DUMMYFUNCTION("PRODUCT(
   MAP(
     K$3:ED$3,
     K$14:ED$14,
     K$13:ED$13,
     K68:ED68,
     LAMBDA(
       job,
       buff,
       target,
       check,
       IF(
         OR(AND(check=TRUE, REGEXMATCH(target, ""SELF_AFFECTED_ALL""), job=""ガンブレイカー""), AND(che"&amp;"ck=Option!$H$13, REGEXMATCH(target, ""SINGLE_AFFECTED_ALL""))),
         buff,
         1
       )
     )
   )
 )"),1.0)</f>
        <v>1</v>
      </c>
      <c r="FM68" s="206">
        <f>IFERROR(__xludf.DUMMYFUNCTION("SUM(
   MAP(
     K$3:ED$3,
     K$7:ED$7,
     K$15:ED$15,
     K$16:ED$16,
     K$21:ED$21,
     K$5:ED$5,
     K$17:ED$17,
     K68:ED68,
     LAMBDA(
       job,
       abillity,
       buff,
       barrier,
       enhance,
       assign,
       preco"&amp;"ndition,
       check,
       IF(
         OR(AND(check=TRUE, REGEXMATCH(assign, ""SELF""), job=""ガンブレイカー""), AND(check=Option!$H$13, REGEXMATCH(assign, ""SINGLE_PARTY""))),
         IF(
           OR(ARRAYFORMULA((IF(precondition="""", FALSE, REGEXMATCH("&amp;"$K$4:$ED$4, precondition))) * (K68:ED68=TRUE))),
           enhance,
           IF(barrier="""", buff, barrier)
         ),
         0
       ) *
       SWITCH(
         job,
         ""暗黒騎士"", FN$24,
         ""白魔道士"", EF68 * EH68 * FL68 * IF(abillity, 1"&amp;", EG68 * EI68) * (Option!$D$22 * 0.81 / 100),
         ""占星術師"", EF68 * EJ68 * FL68 * IF(abillity, 1, EG68 * EK68) * (Option!$D$23 * 0.81 / 100),
         ""学者"", EF68 * EL68 * FL68 * IF(abillity, 1, EG68 * EM68) * (Option!$D$24 * 0.81 / 100),
         """&amp;"賢者"", EF68 * EN68 * FL68 * IF(abillity, 1, EG68 * EO68) * (Option!$D$25 * 0.81 / 100),
         1
       )
     )
   )
 ) + EQ68"),0.0)</f>
        <v>0</v>
      </c>
      <c r="FN68" s="206">
        <f t="shared" si="13"/>
        <v>0</v>
      </c>
      <c r="FO68" s="213"/>
    </row>
    <row r="69">
      <c r="B69" s="229"/>
      <c r="C69" s="217">
        <f t="shared" si="1"/>
        <v>0</v>
      </c>
      <c r="D69" s="236"/>
      <c r="E69" s="244"/>
      <c r="F69" s="167"/>
      <c r="G69" s="168" t="str">
        <f t="shared" si="2"/>
        <v/>
      </c>
      <c r="H69" s="169"/>
      <c r="I69" s="169"/>
      <c r="J69" s="169"/>
      <c r="K69" s="170" t="b">
        <v>0</v>
      </c>
      <c r="L69" s="170" t="b">
        <v>0</v>
      </c>
      <c r="M69" s="170" t="b">
        <v>0</v>
      </c>
      <c r="N69" s="171" t="s">
        <v>1070</v>
      </c>
      <c r="O69" s="172" t="b">
        <v>0</v>
      </c>
      <c r="P69" s="173" t="b">
        <v>0</v>
      </c>
      <c r="Q69" s="173" t="b">
        <v>0</v>
      </c>
      <c r="R69" s="173" t="b">
        <v>0</v>
      </c>
      <c r="S69" s="174" t="b">
        <v>0</v>
      </c>
      <c r="T69" s="175" t="b">
        <v>0</v>
      </c>
      <c r="U69" s="173" t="b">
        <v>0</v>
      </c>
      <c r="V69" s="171" t="s">
        <v>1070</v>
      </c>
      <c r="W69" s="172" t="b">
        <v>0</v>
      </c>
      <c r="X69" s="173" t="b">
        <v>0</v>
      </c>
      <c r="Y69" s="173" t="b">
        <v>0</v>
      </c>
      <c r="Z69" s="173" t="b">
        <v>0</v>
      </c>
      <c r="AA69" s="174" t="b">
        <v>0</v>
      </c>
      <c r="AB69" s="174" t="b">
        <v>0</v>
      </c>
      <c r="AC69" s="175" t="b">
        <v>0</v>
      </c>
      <c r="AD69" s="173" t="b">
        <v>0</v>
      </c>
      <c r="AE69" s="176" t="s">
        <v>1070</v>
      </c>
      <c r="AF69" s="171" t="s">
        <v>1070</v>
      </c>
      <c r="AG69" s="177">
        <f>IFERROR(__xludf.DUMMYFUNCTION("IF(
  ISNUMBER(AG68),
  MIN(MAX(
    AG68
    + MAX(
      ROUNDDOWN(($D69 - MAX(IFERROR(FILTER($D$24:$D68, AG$24:AG68 &lt;&gt; AF$6, AG$23:AG67 = AF$6), 0))) * (60 * 60 * 24) / AF$9) - ROUNDDOWN(($D68 - MAX(IFERROR(FILTER($D$23:$D67, AG$23:AG67 &lt;&gt; AF$6, AG$22:"&amp;"AG66 = AF$6), 0))) * (60 * 60 * 24) / 60),
      0
    )
    - COUNTIF(AF69, ""&lt;&gt;-""),
  0), AF$6),
  AF$6 - COUNTIF(AF69, ""&lt;&gt;-"")
)"),2.0)</f>
        <v>2</v>
      </c>
      <c r="AH69" s="173" t="b">
        <v>0</v>
      </c>
      <c r="AI69" s="173" t="b">
        <v>0</v>
      </c>
      <c r="AJ69" s="173" t="b">
        <v>0</v>
      </c>
      <c r="AK69" s="174" t="b">
        <v>0</v>
      </c>
      <c r="AL69" s="175" t="b">
        <v>0</v>
      </c>
      <c r="AM69" s="173" t="b">
        <v>0</v>
      </c>
      <c r="AN69" s="171" t="s">
        <v>1070</v>
      </c>
      <c r="AO69" s="173" t="b">
        <v>0</v>
      </c>
      <c r="AP69" s="173" t="b">
        <v>0</v>
      </c>
      <c r="AQ69" s="173" t="b">
        <v>0</v>
      </c>
      <c r="AR69" s="174" t="b">
        <v>0</v>
      </c>
      <c r="AS69" s="178" t="b">
        <v>0</v>
      </c>
      <c r="AT69" s="179" t="b">
        <v>0</v>
      </c>
      <c r="AU69" s="180" t="b">
        <v>0</v>
      </c>
      <c r="AV69" s="180" t="b">
        <v>0</v>
      </c>
      <c r="AW69" s="180" t="b">
        <v>0</v>
      </c>
      <c r="AX69" s="180" t="b">
        <v>0</v>
      </c>
      <c r="AY69" s="181" t="s">
        <v>1070</v>
      </c>
      <c r="AZ69" s="181" t="s">
        <v>1070</v>
      </c>
      <c r="BA69" s="184">
        <f>IFERROR(__xludf.DUMMYFUNCTION("IF(
  ISNUMBER(BA68),
  MIN(MAX(
    BA68
    + MAX(
      ROUNDDOWN((D69 - MAX(IFERROR(FILTER(D$24:D68, BA$24:BA68 &lt;&gt; AZ$6, BA$23:BA67 = AZ$6), 0))) * (60 * 60 * 24) / AZ$9) - ROUNDDOWN((D68 - MAX(IFERROR(FILTER(D$23:D67, BA$23:BA67 &lt;&gt; AZ$6, BA$22:BA66 ="&amp;" AZ$6), 0))) * (60 * 60 * 24) / AZ$9),
      0
    )
    - COUNTIF(AZ69, ""&lt;&gt;-""),
  0), AZ$6),
  AZ$6 - COUNTIF(AZ69, ""&lt;&gt;-"")
)"),2.0)</f>
        <v>2</v>
      </c>
      <c r="BB69" s="181" t="s">
        <v>1070</v>
      </c>
      <c r="BC69" s="183">
        <f>IFERROR(__xludf.DUMMYFUNCTION("IF(
  ISNUMBER(BC68),
  MIN(MAX(
    BC68
    + MAX(
      ROUNDDOWN(($D69 - MAX(IFERROR(FILTER($D$24:$D68, BC$24:BC68 &lt;&gt; BB$6, BC$23:BC67 = BB$6), 0))) * (60 * 60 * 24) / BB$9) - ROUNDDOWN(($D68 - MAX(IFERROR(FILTER($D$23:$D67, BC$23:BC67 &lt;&gt; BB$6, BC$22:"&amp;"BC66 = BB$6), 0))) * (60 * 60 * 24) / 60),
      0
    )
    - COUNTIF(BB69, ""&lt;&gt;-""),
  0), BB$6),
  BB$6 - COUNTIF(BB69, ""&lt;&gt;-"")
)"),2.0)</f>
        <v>2</v>
      </c>
      <c r="BD69" s="181" t="s">
        <v>1070</v>
      </c>
      <c r="BE69" s="178" t="b">
        <v>0</v>
      </c>
      <c r="BF69" s="180" t="b">
        <v>0</v>
      </c>
      <c r="BG69" s="180" t="b">
        <v>0</v>
      </c>
      <c r="BH69" s="180" t="b">
        <v>0</v>
      </c>
      <c r="BI69" s="180" t="b">
        <v>0</v>
      </c>
      <c r="BJ69" s="180" t="b">
        <v>0</v>
      </c>
      <c r="BK69" s="180" t="b">
        <v>0</v>
      </c>
      <c r="BL69" s="180" t="b">
        <v>0</v>
      </c>
      <c r="BM69" s="180" t="b">
        <v>0</v>
      </c>
      <c r="BN69" s="180" t="b">
        <v>0</v>
      </c>
      <c r="BO69" s="181" t="s">
        <v>1070</v>
      </c>
      <c r="BP69" s="181" t="s">
        <v>1070</v>
      </c>
      <c r="BQ69" s="181" t="s">
        <v>1070</v>
      </c>
      <c r="BR69" s="181" t="s">
        <v>1070</v>
      </c>
      <c r="BS69" s="181" t="s">
        <v>1070</v>
      </c>
      <c r="BT69" s="184">
        <f>IFERROR(__xludf.DUMMYFUNCTION("IF(
  ISNUMBER(BT68),
  MIN(MAX(
    BT68
    + MAX(
      ROUNDDOWN((D69 - MAX(IFERROR(FILTER(D$24:D68, BT$24:BT68 &lt;&gt; BS$6, BT$23:BT67 = BS$6), 0))) * (60 * 60 * 24) / BS$9) - ROUNDDOWN((D68 - MAX(IFERROR(FILTER(D$23:D67, BT$23:BT67 &lt;&gt; BS$6, BT$22:BT66 ="&amp;" BS$6), 0))) * (60 * 60 * 24) / BS$9),
      0
    )
    - COUNTIF(BS69, ""&lt;&gt;-""),
  0), BS$6),
  BS$6 - COUNTIF(BS69, ""&lt;&gt;-"")
)"),3.0)</f>
        <v>3</v>
      </c>
      <c r="BU69" s="181" t="s">
        <v>1070</v>
      </c>
      <c r="BV69" s="181" t="s">
        <v>1070</v>
      </c>
      <c r="BW69" s="184">
        <f>IFERROR(__xludf.DUMMYFUNCTION("IF(
  ISNUMBER(BW68),
  MIN(MAX(
    BW68
    + MAX(
      ROUNDDOWN((D69 - MAX(IFERROR(FILTER(D$24:D68, BW$24:BW68 &lt;&gt; BV$6, BW$23:BW67 = BV$6), 0))) * (60 * 60 * 24) / BV$9) - ROUNDDOWN((D68 - MAX(IFERROR(FILTER(D$23:D67, BW$23:BW67 &lt;&gt; BV$6, BW$22:BW66 ="&amp;" BV$6), 0))) * (60 * 60 * 24) / BV$9),
      0
    )
    - COUNTIF(BV69, ""&lt;&gt;-""),
  0), BV$6),
  BV$6 - COUNTIF(BV69, ""&lt;&gt;-"")
)"),2.0)</f>
        <v>2</v>
      </c>
      <c r="BX69" s="185" t="s">
        <v>1070</v>
      </c>
      <c r="BY69" s="178" t="b">
        <v>0</v>
      </c>
      <c r="BZ69" s="180" t="b">
        <v>0</v>
      </c>
      <c r="CA69" s="180" t="b">
        <v>0</v>
      </c>
      <c r="CB69" s="180" t="b">
        <v>0</v>
      </c>
      <c r="CC69" s="180" t="b">
        <v>0</v>
      </c>
      <c r="CD69" s="180" t="b">
        <v>0</v>
      </c>
      <c r="CE69" s="180" t="b">
        <v>0</v>
      </c>
      <c r="CF69" s="180" t="b">
        <v>0</v>
      </c>
      <c r="CG69" s="180" t="b">
        <v>0</v>
      </c>
      <c r="CH69" s="180" t="b">
        <v>0</v>
      </c>
      <c r="CI69" s="180" t="b">
        <v>0</v>
      </c>
      <c r="CJ69" s="180" t="b">
        <v>0</v>
      </c>
      <c r="CK69" s="180" t="b">
        <v>0</v>
      </c>
      <c r="CL69" s="180" t="b">
        <v>0</v>
      </c>
      <c r="CM69" s="181" t="s">
        <v>1070</v>
      </c>
      <c r="CN69" s="181" t="s">
        <v>1070</v>
      </c>
      <c r="CO69" s="181" t="s">
        <v>1070</v>
      </c>
      <c r="CP69" s="181" t="s">
        <v>1070</v>
      </c>
      <c r="CQ69" s="185" t="s">
        <v>1070</v>
      </c>
      <c r="CR69" s="180" t="b">
        <v>0</v>
      </c>
      <c r="CS69" s="186" t="str">
        <f t="shared" si="14"/>
        <v>◇◇◇</v>
      </c>
      <c r="CT69" s="178" t="b">
        <v>0</v>
      </c>
      <c r="CU69" s="180" t="b">
        <v>0</v>
      </c>
      <c r="CV69" s="180" t="b">
        <v>0</v>
      </c>
      <c r="CW69" s="180" t="b">
        <v>0</v>
      </c>
      <c r="CX69" s="180" t="b">
        <v>0</v>
      </c>
      <c r="CY69" s="180" t="b">
        <v>0</v>
      </c>
      <c r="CZ69" s="180" t="b">
        <v>0</v>
      </c>
      <c r="DA69" s="180" t="b">
        <v>0</v>
      </c>
      <c r="DB69" s="180" t="b">
        <v>0</v>
      </c>
      <c r="DC69" s="180" t="b">
        <v>0</v>
      </c>
      <c r="DD69" s="181" t="s">
        <v>1070</v>
      </c>
      <c r="DE69" s="181" t="s">
        <v>1070</v>
      </c>
      <c r="DF69" s="181" t="s">
        <v>1070</v>
      </c>
      <c r="DG69" s="185" t="s">
        <v>1070</v>
      </c>
      <c r="DH69" s="180" t="b">
        <v>0</v>
      </c>
      <c r="DI69" s="187" t="str">
        <f>IFERROR(__xludf.DUMMYFUNCTION("SWITCH(
  IF(
    ISTEXT(DI68),
    IF (
      FIND(""○"", DI68&amp;""○"") &gt; 3,
      3,
      FIND(""○"", DI68&amp;""○"")
      + MAX(
        ROUNDDOWN(($D69 - MAX(IFERROR(FILTER(D$24:D68, DI$24:DI68 &lt;&gt; ""●●●"", DI$23:DI67 = ""●●●""), 0))) * (60 * 60 * 24) / 20"&amp;") - ROUNDDOWN(($D68 - MAX(IFERROR(FILTER(D$23:D67, DI$23:DI67 &lt;&gt; ""●●●"", DI$22:DI66 = ""●●●""), 0))) * (60 * 60 * 24) / 20),
        0
      ) - 1
    ) - COUNTIFS(CU69, ""=TRUE"", CU68, ""&lt;&gt;TRUE"") - COUNTIF(CZ69, ""=TRUE"") - COUNTIF({DD69,DE69}, ""&lt;&gt;-"&amp;""") + COUNTIF(DH69, ""=TRUE""),
    3
  ),
  0, ""○○○"", 1, ""●○○"", 2, ""●●○"", 3, ""●●●"", 4, ""●●●"", ""○○○""
)"),"●●●")</f>
        <v>●●●</v>
      </c>
      <c r="DJ69" s="188" t="b">
        <v>0</v>
      </c>
      <c r="DK69" s="189" t="b">
        <v>0</v>
      </c>
      <c r="DL69" s="190" t="b">
        <v>0</v>
      </c>
      <c r="DM69" s="190" t="b">
        <v>0</v>
      </c>
      <c r="DN69" s="190" t="b">
        <v>0</v>
      </c>
      <c r="DO69" s="190" t="b">
        <v>0</v>
      </c>
      <c r="DP69" s="190" t="b">
        <v>0</v>
      </c>
      <c r="DQ69" s="191" t="b">
        <v>0</v>
      </c>
      <c r="DR69" s="192" t="b">
        <v>0</v>
      </c>
      <c r="DS69" s="191" t="b">
        <v>0</v>
      </c>
      <c r="DT69" s="192" t="b">
        <v>0</v>
      </c>
      <c r="DU69" s="191" t="b">
        <v>0</v>
      </c>
      <c r="DV69" s="193" t="s">
        <v>1070</v>
      </c>
      <c r="DW69" s="194" t="b">
        <v>0</v>
      </c>
      <c r="DX69" s="194" t="b">
        <v>0</v>
      </c>
      <c r="DY69" s="195" t="b">
        <v>0</v>
      </c>
      <c r="DZ69" s="196" t="b">
        <v>0</v>
      </c>
      <c r="EA69" s="195" t="b">
        <v>0</v>
      </c>
      <c r="EB69" s="197" t="b">
        <v>0</v>
      </c>
      <c r="EC69" s="197" t="b">
        <v>0</v>
      </c>
      <c r="ED69" s="212" t="b">
        <v>0</v>
      </c>
      <c r="EE69" s="199">
        <f>IFERROR(__xludf.DUMMYFUNCTION("IFERROR(
   PRODUCT(
     MAP(
       INDEX(TRANSPOSE(UNIQUE(TRANSPOSE(FILTER({IF($F69=""Physical"", K$10:ED$10, IF($F69=""Magic"", K$11:ED$11, K$12:ED$12));K$4:ED$4;K69:ED69}, K69:ED69=TRUE)))), 1, 0),
       INDEX(TRANSPOSE(UNIQUE(TRANSPOSE(FILTER({IF($"&amp;"F69=""Physical"", K$18:ED$18, IF($F69=""Magic"", K$19:ED$19, K$20:ED$20));K$4:ED$4;K69:ED69}, K69:ED69=TRUE)))), 1, 0),
       INDEX(TRANSPOSE(UNIQUE(TRANSPOSE(FILTER({K$5:ED$5;K$4:ED$4;K69:ED69}, K69:ED69=TRUE)))), 1, 0),
       INDEX(TRANSPOSE(UNIQUE(TR"&amp;"ANSPOSE(FILTER({K$17:ED$17;K$4:ED$4;K69:ED69}, K69:ED69=TRUE)))), 1, 0),
       LAMBDA(
         mitigation,
         enhance,
         assign,
         precondition,
         IF(
           REGEXMATCH(assign, ""RANGE_PARTY|SINGLE_ENEMY|RANGE_ENEMY""),
  "&amp;"         IF(
             OR(ARRAYFORMULA((IF(precondition="""", FALSE, REGEXMATCH(K$4:ED$4, precondition))) * (K69:ED69=TRUE))),
             IF(ISNUMBER(enhance), enhance, 1),
             IF(ISNUMBER(mitigation), mitigation, 1)
           ),
          "&amp;" 1
         )
       )
     )
   ),
   1
 )"),1.0)</f>
        <v>1</v>
      </c>
      <c r="EF69" s="200">
        <f>IFERROR(__xludf.DUMMYFUNCTION("PRODUCT(
   MAP(
     K$14:ED$14,
     K$13:ED$13,
     K69:ED69,
     LAMBDA(
       buff,
       target,
       check,
       IF(
         AND(check=TRUE, REGEXMATCH(target, ""RANGE_AFFECTED_ALL|RANGE_EFFECTED_ALL""), ISNUMBER(buff)),
         buff,
   "&amp;"      1
       )
     )
   )
 )"),1.0)</f>
        <v>1</v>
      </c>
      <c r="EG69" s="200">
        <f>IFERROR(__xludf.DUMMYFUNCTION("PRODUCT(
   MAP(
     K$14:ED$14,
     K$13:ED$13,
     K69:ED69,
     LAMBDA(
       buff,
       target,
       check,
       IF(
         AND(check=TRUE, REGEXMATCH(target, ""RANGE_AFFECTED_GCD|RANGE_EFFECTED_GCD""), ISNUMBER(buff)),
         buff,
   "&amp;"      1
       )
     )
   )
 )"),1.0)</f>
        <v>1</v>
      </c>
      <c r="EH69" s="200">
        <f>IFERROR(__xludf.DUMMYFUNCTION("PRODUCT(
   MAP(
     K$3:ED$3,
     K$14:ED$14,
     K$13:ED$13,
     K69:ED69,
     LAMBDA(
       job,
       buff,
       target,
       check,
       IF(
         AND(check=TRUE, REGEXMATCH(target, ""SELF_EFFECTED_ALL""), ISNUMBER(buff), job=""白魔道士"""&amp;"),
         buff,
         1
       )
     )
   )
 )"),1.0)</f>
        <v>1</v>
      </c>
      <c r="EI69" s="200">
        <f>IFERROR(__xludf.DUMMYFUNCTION("PRODUCT(
   MAP(
     K$3:ED$3,
     K$14:ED$14,
     K$13:ED$13,
     K69:ED69,
     LAMBDA(
       job,
       buff,
       target,
       check,
       IF(
         AND(check=TRUE, REGEXMATCH(target, ""SELF_EFFECTED_GCD""), ISNUMBER(buff), job=""白魔道士"""&amp;"),
         buff,
         1
       )
     )
   )
 )"),1.0)</f>
        <v>1</v>
      </c>
      <c r="EJ69" s="200">
        <f>IFERROR(__xludf.DUMMYFUNCTION("PRODUCT(
   MAP(
     K$3:ED$3,
     K$14:ED$14,
     K$13:ED$13,
     K69:ED69,
     LAMBDA(
       job,
       buff,
       target,
       check,
       IF(
         AND(check=TRUE, REGEXMATCH(target, ""SELF_EFFECTED_ALL""), ISNUMBER(buff), job=""占星術師"""&amp;"),
         buff,
         1
       )
     )
   )
 )"),1.0)</f>
        <v>1</v>
      </c>
      <c r="EK69" s="200">
        <f>IFERROR(__xludf.DUMMYFUNCTION("PRODUCT(
   MAP(
     K$3:ED$3,
     K$14:ED$14,
     K$13:ED$13,
     K69:ED69,
     LAMBDA(
       job,
       buff,
       target,
       check,
       IF(
         AND(check=TRUE, REGEXMATCH(target, ""SELF_EFFECTED_GCD""), ISNUMBER(buff), job=""占星術師"""&amp;"),
         buff,
         1
       )
     )
   )
 )"),1.0)</f>
        <v>1</v>
      </c>
      <c r="EL69" s="200">
        <f>IFERROR(__xludf.DUMMYFUNCTION("PRODUCT(
   MAP(
     K$3:ED$3,
     K$14:ED$14,
     K$13:ED$13,
     K69:ED69,
     LAMBDA(
       job,
       buff,
       target,
       check,
       IF(
         AND(check=TRUE, REGEXMATCH(target, ""SELF_EFFECTED_ALL""), ISNUMBER(buff), job=""学者""),"&amp;"
         buff,
         1
       )
     )
   )
 )"),1.0)</f>
        <v>1</v>
      </c>
      <c r="EM69" s="200">
        <f>IFERROR(__xludf.DUMMYFUNCTION("PRODUCT(
   MAP(
     K$3:ED$3,
     K$14:ED$14,
     K$13:ED$13,
     K69:ED69,
     LAMBDA(
       job,
       buff,
       target,
       check,
       IF(
         AND(check=TRUE, REGEXMATCH(target, ""SELF_EFFECTED_GCD""), ISNUMBER(buff), job=""学者""),"&amp;"
         buff,
         1
       )
     )
   )
 )"),1.0)</f>
        <v>1</v>
      </c>
      <c r="EN69" s="200">
        <f>IFERROR(__xludf.DUMMYFUNCTION("PRODUCT(
   MAP(
     K$3:ED$3,
     K$14:ED$14,
     K$13:ED$13,
     K69:ED69,
     LAMBDA(
       job,
       buff,
       target,
       check,
       IF(
         AND(check=TRUE, REGEXMATCH(target, ""SELF_EFFECTED_ALL""), ISNUMBER(buff), job=""賢者""),"&amp;"
         buff,
         1
       )
     )
   )
 )"),1.0)</f>
        <v>1</v>
      </c>
      <c r="EO69" s="200">
        <f>IFERROR(__xludf.DUMMYFUNCTION("PRODUCT(
   MAP(
     K$3:ED$3,
     K$14:ED$14,
     K$13:ED$13,
     K69:ED69,
     LAMBDA(
       job,
       buff,
       target,
       check,
       IF(
         AND(check=TRUE, REGEXMATCH(target, ""SELF_EFFECTED_GCD""), ISNUMBER(buff), job=""賢者""),"&amp;"
         buff,
         1
       )
     )
   )
 )"),1.0)</f>
        <v>1</v>
      </c>
      <c r="EP69" s="201">
        <f t="shared" si="3"/>
        <v>0</v>
      </c>
      <c r="EQ69" s="201">
        <f>IFERROR(__xludf.DUMMYFUNCTION("SUM(
   MAP(
     K$4:ED$4,
     K$3:ED$3,
     K$7:ED$7,
     K$15:ED$15,
     K$16:ED$16,
     K$21:ED$21,
     K$5:ED$5,
     K$17:ED$17,
     K69:ED69,
     LAMBDA(
       name,
       job,
       abillity,
       buff,
       barrier,
       enhance,"&amp;"
       assign,
       precondition,
       check,
       SWITCH(
         name,
         ""シェイクオフ"", IF(check=TRUE, buff + (0.02 * COUNTIF(ARRAYFORMULA((REGEXMATCH($K$4:$ED$4, ""スリル・オブ・バトル|ヴェンジェンス|原初の血気|ダムネーション"")) * (K69:ED69=TRUE)), 1)), 0),
         "&amp;"""インプロビゼーションフィニッシュ(踊りの激情0)"", IF(ISNUMBER(check), INDEX(Skill!$AJ:$AJ, MATCH(SUBSTITUTE(DV$4, 0, check), Skill!$C:$C, 0)), 0),
         IF(
           AND(check=TRUE, REGEXMATCH(assign, ""RANGE_PARTY"")),
           IF(
             OR(ARRAYFORMULA((IF(pr"&amp;"econdition="""", FALSE, REGEXMATCH($K$4:$ED$4, precondition))) * (K69:ED69=TRUE))),
             enhance,
             IF(barrier="""", buff, barrier)
           ),
           0
         )
       ) *
       SWITCH(
         job,
         ""ナイト"", EY$24,
 "&amp;"        ""戦士"", FD$24,
         ""踊り子"", ET$24,
         ""ピクトマンサー"", ET$24,
         ""白魔道士"", EF69 * EH69 * IF(abillity, 1, EG69 * EI69) * (Option!$D$22 * 0.81 / 100),
         ""占星術師"", EF69 * EJ69 * IF(abillity, 1, EG69 * EK69) * (Option!$D$23 * 0.81 "&amp;"/ 100),
         ""学者"", EF69 * EL69 * IF(abillity, 1, EG69 * EM69) * (Option!$D$24 * 0.81 / 100),
         ""賢者"", EF69 * EN69 * IF(abillity, 1, EG69 * EO69) * (Option!$D$25 * 0.81 / 100),
         1
       )
     )
   )
 )"),0.0)</f>
        <v>0</v>
      </c>
      <c r="ER69" s="202">
        <f t="shared" si="4"/>
        <v>0</v>
      </c>
      <c r="ES69" s="203">
        <f t="shared" si="5"/>
        <v>0</v>
      </c>
      <c r="ET69" s="204" t="str">
        <f>IFERROR(__xludf.DUMMYFUNCTION("IFS(
  EP69 &gt; $ET$24 + EQ69,
  SPARKLINE({ 1, 0 }, {""charttype"",""bar"";""max"", 1;""color1"",Option!$D$30;""color2"",Option!$D$30}),
  EP69 &lt; EQ69,
  SPARKLINE({EQ69 - EP69, $ET$24 - (EQ69 - EP69)}, {""charttype"",""bar"";""max"",$ET$24;""color1"",Opti"&amp;"on!$D$28;""color2"",Option!$D$29}),
  EP69 &gt;= EQ69,
  SPARKLINE({$ET$24 + EQ69 - EP69,EP69 - EQ69}, {""charttype"",""bar"";""max"",$ET$24;""color1"",Option!$D$29;""color2"",Option!$D$30})
)"),"")</f>
        <v/>
      </c>
      <c r="EU69" s="205">
        <f>IFERROR(__xludf.DUMMYFUNCTION("PRODUCT(
   MAP(
     IF($F69=""Physical"", K$10:ED$10, IF($F69=""Magic"", K$11:ED$11, K$12:ED$12)),
     IF($F69=""Physical"", K$18:ED$18, IF($F69=""Magic"", K$19:ED$19, K$20:ED$20)),
     K$3:ED$3,
     K$5:ED$5,
     K$17:ED$17,
     K69:ED69,
     LAM"&amp;"BDA(
       mitigation,
       enhance,
       job,
       assign,
       precondition,
       check,
       IF(
         OR(AND(check=TRUE, REGEXMATCH(assign, ""SELF""), job=""ナイト""), AND(check=Option!$E$13, REGEXMATCH(assign, ""SINGLE_PARTY""))),
      "&amp;"   IF(
           OR(ARRAYFORMULA((IF(precondition="""", FALSE, REGEXMATCH($K$4:$ED$4, precondition))) * (K69:ED69=TRUE))),
           enhance,
           mitigation
         ),
         1
       )
     )
   )
 ) * EE69"),1.0)</f>
        <v>1</v>
      </c>
      <c r="EV69" s="206">
        <f t="shared" si="6"/>
        <v>0</v>
      </c>
      <c r="EW69" s="205">
        <f>IFERROR(__xludf.DUMMYFUNCTION("PRODUCT(
   MAP(
     K$3:ED$3,
     K$14:ED$14,
     K$13:ED$13,
     K69:ED69,
     LAMBDA(
       job,
       buff,
       target,
       check,
       IF(
         OR(AND(check=TRUE, REGEXMATCH(target, ""SELF_AFFECTED_ALL""), job=""ナイト""), AND(check=O"&amp;"ption!$E$13, REGEXMATCH(target, ""SINGLE_AFFECTED_ALL""))),
         buff,
         1
       )
     )
   )
 )"),1.0)</f>
        <v>1</v>
      </c>
      <c r="EX69" s="206">
        <f>IFERROR(__xludf.DUMMYFUNCTION("SUM(
   MAP(
     K$3:ED$3,
     K$7:ED$7,
     K$15:ED$15,
     K$16:ED$16,
     K$21:ED$21,
     K$5:ED$5,
     K$17:ED$17,
     K69:ED69,
     LAMBDA(
       job,
       abillity,
       buff,
       barrier,
       enhance,
       assign,
       preco"&amp;"ndition,
       check,
       IF(
         OR(AND(check=TRUE, REGEXMATCH(assign, ""SELF""), job=""ナイト""), AND(check=Option!$E$13, REGEXMATCH(assign, ""SINGLE_PARTY""))),
         IF(
           OR(ARRAYFORMULA((IF(precondition="""", FALSE, REGEXMATCH($K$4"&amp;":$ED$4, precondition))) * (K69:ED69=TRUE))),
           enhance,
           IF(barrier="""", buff, barrier)
         ),
         0
       ) *
       SWITCH(
         job,
         ""暗黒騎士"", EY$24,
         ""白魔道士"", EF69 * EH69 * EW69 * IF(abillity, 1, EG"&amp;"69 * EI69) * (Option!$D$22 * 0.81 / 100),
         ""占星術師"", EF69 * EJ69 * EW69 * IF(abillity, 1, EG69 * EK69) * (Option!$D$23 * 0.81 / 100),
         ""学者"", EF69 * EL69 * EW69 * IF(abillity, 1, EG69 * EM69) * (Option!$D$24 * 0.81 / 100),
         ""賢者"""&amp;", EF69 * EN69 * EW69 * IF(abillity, 1, EG69 * EO69) * (Option!$D$25 * 0.81 / 100),
         1
       )
     )
   )
 ) + EQ69"),0.0)</f>
        <v>0</v>
      </c>
      <c r="EY69" s="206">
        <f t="shared" si="7"/>
        <v>0</v>
      </c>
      <c r="EZ69" s="205">
        <f>IFERROR(__xludf.DUMMYFUNCTION("PRODUCT(
   MAP(
     IF($F69=""Physical"", K$10:ED$10, IF($F69=""Magic"", K$11:ED$11, K$12:ED$12)),
     IF($F69=""Physical"", K$18:ED$18, IF($F69=""Magic"", K$19:ED$19, K$20:ED$20)),
     K$3:ED$3,
     K$5:ED$5,
     K$17:ED$17,
     K69:ED69,
     LAM"&amp;"BDA(
       mitigation,
       enhance,
       job,
       assign,
       precondition,
       check,
       IF(
         OR(AND(check=TRUE, REGEXMATCH(assign, ""SELF""), job=""戦士""), AND(check=Option!$F$13, REGEXMATCH(assign, ""SINGLE_PARTY""))),
       "&amp;"  IF(
           OR(ARRAYFORMULA((IF(precondition="""", FALSE, REGEXMATCH($K$4:$ED$4, precondition))) * (K69:ED69=TRUE))),
           enhance,
           mitigation
         ),
         1
       )
     )
   )
 ) * EE69"),1.0)</f>
        <v>1</v>
      </c>
      <c r="FA69" s="206">
        <f t="shared" si="8"/>
        <v>0</v>
      </c>
      <c r="FB69" s="205">
        <f>IFERROR(__xludf.DUMMYFUNCTION("PRODUCT(
   MAP(
     K$3:ED$3,
     K$14:ED$14,
     K$13:ED$13,
     K69:ED69,
     LAMBDA(
       job,
       buff,
       target,
       check,
       IF(
         OR(AND(check=TRUE, REGEXMATCH(target, ""SELF_AFFECTED_ALL""), job=""戦士""), AND(check=Op"&amp;"tion!$F$13, REGEXMATCH(target, ""SINGLE_AFFECTED_ALL""))),
         buff,
         1
       )
     )
   )
 )"),1.0)</f>
        <v>1</v>
      </c>
      <c r="FC69" s="206">
        <f>IFERROR(__xludf.DUMMYFUNCTION("SUM(
   MAP(
     K$3:ED$3,
     K$7:ED$7,
     K$15:ED$15,
     K$16:ED$16,
     K$21:ED$21,
     K$5:ED$5,
     K$17:ED$17,
     K69:ED69,
     LAMBDA(
       job,
       abillity,
       buff,
       barrier,
       enhance,
       assign,
       preco"&amp;"ndition,
       check,
       IF(
         OR(AND(check=TRUE, REGEXMATCH(assign, ""SELF""), job=""戦士""), AND(check=Option!$F$13, REGEXMATCH(assign, ""SINGLE_PARTY""))),
         IF(
           OR(ARRAYFORMULA((IF(precondition="""", FALSE, REGEXMATCH($K$4:"&amp;"$ED$4, precondition))) * (K69:ED69=TRUE))),
           enhance,
           IF(barrier="""", buff, barrier)
         ),
         0
       ) *
       SWITCH(
         job,
         ""暗黒騎士"", FD$24,
         ""白魔道士"", EF69 * EH69 * FB69 * IF(abillity, 1, EG6"&amp;"9 * EI69) * (Option!$D$22 * 0.81 / 100),
         ""占星術師"", EF69 * EJ69 * FFB69 * IF(abillity, 1, EG69 * EK69) * (Option!$D$23 * 0.81 / 100),
         ""学者"", EF69 * EL69 * FB69 * IF(abillity, 1, EG69 * EM69) * (Option!$D$24 * 0.81 / 100),
         ""賢者"""&amp;", EF69 * EN69 * FB69 * IF(abillity, 1, EG69 * EO69) * (Option!$D$25 * 0.81 / 100),
         1
       )
     )
   )
 ) + EQ69"),0.0)</f>
        <v>0</v>
      </c>
      <c r="FD69" s="206">
        <f t="shared" si="9"/>
        <v>0</v>
      </c>
      <c r="FE69" s="205">
        <f>IFERROR(__xludf.DUMMYFUNCTION("PRODUCT(
   MAP(
     IF($F69=""Physical"", K$10:ED$10, IF($F69=""Magic"", K$11:ED$11, K$12:ED$12)),
     IF($F69=""Physical"", K$18:ED$18, IF($F69=""Magic"", K$19:ED$19, K$20:ED$20)),
     K$3:ED$3,
     K$5:ED$5,
     K$17:ED$17,
     K69:ED69,
     LAM"&amp;"BDA(
       mitigation,
       enhance,
       job,
       assign,
       precondition,
       check,
       IF(
         OR(AND(check=TRUE, REGEXMATCH(assign, ""SELF""), job=""暗黒騎士""), AND(check=Option!$G$13, REGEXMATCH(assign, ""SINGLE_PARTY""))),
     "&amp;"    IF(
           OR(ARRAYFORMULA((IF(precondition="""", FALSE, REGEXMATCH($K$4:$ED$4, precondition))) * (K69:ED69=TRUE))),
           enhance,
           mitigation
         ),
         1
       )
     )
   )
 ) * EE69"),1.0)</f>
        <v>1</v>
      </c>
      <c r="FF69" s="206">
        <f t="shared" si="10"/>
        <v>0</v>
      </c>
      <c r="FG69" s="205">
        <f>IFERROR(__xludf.DUMMYFUNCTION("PRODUCT(
   MAP(
     K$3:ED$3,
     K$14:ED$14,
     K$13:ED$13,
     K69:ED69,
     LAMBDA(
       job,
       buff,
       target,
       check,
       IF(
         OR(AND(check=TRUE, REGEXMATCH(target, ""SELF_AFFECTED_ALL""), job=""暗黒騎士""), AND(check="&amp;"Option!$G$13, REGEXMATCH(target, ""SINGLE_AFFECTED_ALL""))),
         buff,
         1
       )
     )
   )
 )"),1.0)</f>
        <v>1</v>
      </c>
      <c r="FH69" s="206">
        <f>IFERROR(__xludf.DUMMYFUNCTION("SUM(
   MAP(
     K$3:ED$3,
     K$7:ED$7,
     K$15:ED$15,
     K$16:ED$16,
     K$21:ED$21,
     K$5:ED$5,
     K$17:ED$17,
     K69:ED69,
     LAMBDA(
       job,
       abillity,
       buff,
       barrier,
       enhance,
       assign,
       preco"&amp;"ndition,
       check,
       IF(
         OR(AND(check=TRUE, REGEXMATCH(assign, ""SELF""), job=""暗黒騎士""), AND(check=Option!$G$13, REGEXMATCH(assign, ""SINGLE_PARTY""))),
         IF(
           OR(ARRAYFORMULA((IF(precondition="""", FALSE, REGEXMATCH($K$"&amp;"4:$ED$4, precondition))) * (K69:ED69=TRUE))),
           enhance,
           IF(barrier="""", buff, barrier)
         ),
         0
       ) *
       SWITCH(
         job,
         ""暗黒騎士"", FI$24,
         ""白魔道士"", EF69 * EH69 * FG69 * IF(abillity, 1, E"&amp;"G69 * EI69) * (Option!$D$22 * 0.81 / 100),
         ""占星術師"", EF69 * EJ69 * FG69 * IF(abillity, 1, EG69 * EK69) * (Option!$D$23 * 0.81 / 100),
         ""学者"", EF69 * EL69 * FG69 * IF(abillity, 1, EG69 * EM69) * (Option!$D$24 * 0.81 / 100),
         ""賢者"&amp;""", EF69 * EN69 * FG69 * IF(abillity, 1, EG69 * EO69) * (Option!$D$25 * 0.81 / 100),
         1
       )
     )
   )
 ) + EQ69"),0.0)</f>
        <v>0</v>
      </c>
      <c r="FI69" s="206">
        <f t="shared" si="11"/>
        <v>0</v>
      </c>
      <c r="FJ69" s="205">
        <f>IFERROR(__xludf.DUMMYFUNCTION("PRODUCT(
   MAP(
     IF($F69=""Physical"", K$10:ED$10, IF($F69=""Magic"", K$11:ED$11, K$12:ED$12)),
     IF($F69=""Physical"", K$18:ED$18, IF($F69=""Magic"", K$19:ED$19, K$20:ED$20)),
     K$3:ED$3,
     K$5:ED$5,
     K$17:ED$17,
     K69:ED69,
     LAM"&amp;"BDA(
       mitigation,
       enhance,
       job,
       assign,
       precondition,
       check,
       IF(
         OR(AND(check=TRUE, REGEXMATCH(assign, ""SELF""), job=""ガンブレイカー""), AND(check=Option!$H$13, REGEXMATCH(assign, ""SINGLE_PARTY""))),
  "&amp;"       IF(
           OR(ARRAYFORMULA((IF(precondition="""", FALSE, REGEXMATCH($K$4:$ED$4, precondition))) * (K69:ED69=TRUE))),
           enhance,
           mitigation
         ),
         1
       )
     )
   )
 ) * EE69"),1.0)</f>
        <v>1</v>
      </c>
      <c r="FK69" s="206">
        <f t="shared" si="12"/>
        <v>0</v>
      </c>
      <c r="FL69" s="205">
        <f>IFERROR(__xludf.DUMMYFUNCTION("PRODUCT(
   MAP(
     K$3:ED$3,
     K$14:ED$14,
     K$13:ED$13,
     K69:ED69,
     LAMBDA(
       job,
       buff,
       target,
       check,
       IF(
         OR(AND(check=TRUE, REGEXMATCH(target, ""SELF_AFFECTED_ALL""), job=""ガンブレイカー""), AND(che"&amp;"ck=Option!$H$13, REGEXMATCH(target, ""SINGLE_AFFECTED_ALL""))),
         buff,
         1
       )
     )
   )
 )"),1.0)</f>
        <v>1</v>
      </c>
      <c r="FM69" s="206">
        <f>IFERROR(__xludf.DUMMYFUNCTION("SUM(
   MAP(
     K$3:ED$3,
     K$7:ED$7,
     K$15:ED$15,
     K$16:ED$16,
     K$21:ED$21,
     K$5:ED$5,
     K$17:ED$17,
     K69:ED69,
     LAMBDA(
       job,
       abillity,
       buff,
       barrier,
       enhance,
       assign,
       preco"&amp;"ndition,
       check,
       IF(
         OR(AND(check=TRUE, REGEXMATCH(assign, ""SELF""), job=""ガンブレイカー""), AND(check=Option!$H$13, REGEXMATCH(assign, ""SINGLE_PARTY""))),
         IF(
           OR(ARRAYFORMULA((IF(precondition="""", FALSE, REGEXMATCH("&amp;"$K$4:$ED$4, precondition))) * (K69:ED69=TRUE))),
           enhance,
           IF(barrier="""", buff, barrier)
         ),
         0
       ) *
       SWITCH(
         job,
         ""暗黒騎士"", FN$24,
         ""白魔道士"", EF69 * EH69 * FL69 * IF(abillity, 1"&amp;", EG69 * EI69) * (Option!$D$22 * 0.81 / 100),
         ""占星術師"", EF69 * EJ69 * FL69 * IF(abillity, 1, EG69 * EK69) * (Option!$D$23 * 0.81 / 100),
         ""学者"", EF69 * EL69 * FL69 * IF(abillity, 1, EG69 * EM69) * (Option!$D$24 * 0.81 / 100),
         """&amp;"賢者"", EF69 * EN69 * FL69 * IF(abillity, 1, EG69 * EO69) * (Option!$D$25 * 0.81 / 100),
         1
       )
     )
   )
 ) + EQ69"),0.0)</f>
        <v>0</v>
      </c>
      <c r="FN69" s="206">
        <f t="shared" si="13"/>
        <v>0</v>
      </c>
      <c r="FO69" s="213"/>
    </row>
    <row r="70">
      <c r="B70" s="229"/>
      <c r="C70" s="217">
        <f t="shared" si="1"/>
        <v>0</v>
      </c>
      <c r="D70" s="236"/>
      <c r="E70" s="226"/>
      <c r="F70" s="167"/>
      <c r="G70" s="168" t="str">
        <f t="shared" si="2"/>
        <v/>
      </c>
      <c r="H70" s="169"/>
      <c r="I70" s="169"/>
      <c r="J70" s="169"/>
      <c r="K70" s="170" t="b">
        <v>0</v>
      </c>
      <c r="L70" s="170" t="b">
        <v>0</v>
      </c>
      <c r="M70" s="170" t="b">
        <v>0</v>
      </c>
      <c r="N70" s="171" t="s">
        <v>1070</v>
      </c>
      <c r="O70" s="172" t="b">
        <v>0</v>
      </c>
      <c r="P70" s="173" t="b">
        <v>0</v>
      </c>
      <c r="Q70" s="173" t="b">
        <v>0</v>
      </c>
      <c r="R70" s="173" t="b">
        <v>0</v>
      </c>
      <c r="S70" s="174" t="b">
        <v>0</v>
      </c>
      <c r="T70" s="175" t="b">
        <v>0</v>
      </c>
      <c r="U70" s="173" t="b">
        <v>0</v>
      </c>
      <c r="V70" s="171" t="s">
        <v>1070</v>
      </c>
      <c r="W70" s="172" t="b">
        <v>0</v>
      </c>
      <c r="X70" s="173" t="b">
        <v>0</v>
      </c>
      <c r="Y70" s="173" t="b">
        <v>0</v>
      </c>
      <c r="Z70" s="173" t="b">
        <v>0</v>
      </c>
      <c r="AA70" s="174" t="b">
        <v>0</v>
      </c>
      <c r="AB70" s="174" t="b">
        <v>0</v>
      </c>
      <c r="AC70" s="175" t="b">
        <v>0</v>
      </c>
      <c r="AD70" s="173" t="b">
        <v>0</v>
      </c>
      <c r="AE70" s="176" t="s">
        <v>1070</v>
      </c>
      <c r="AF70" s="171" t="s">
        <v>1070</v>
      </c>
      <c r="AG70" s="177">
        <f>IFERROR(__xludf.DUMMYFUNCTION("IF(
  ISNUMBER(AG69),
  MIN(MAX(
    AG69
    + MAX(
      ROUNDDOWN(($D70 - MAX(IFERROR(FILTER($D$24:$D69, AG$24:AG69 &lt;&gt; AF$6, AG$23:AG68 = AF$6), 0))) * (60 * 60 * 24) / AF$9) - ROUNDDOWN(($D69 - MAX(IFERROR(FILTER($D$23:$D68, AG$23:AG68 &lt;&gt; AF$6, AG$22:"&amp;"AG67 = AF$6), 0))) * (60 * 60 * 24) / 60),
      0
    )
    - COUNTIF(AF70, ""&lt;&gt;-""),
  0), AF$6),
  AF$6 - COUNTIF(AF70, ""&lt;&gt;-"")
)"),2.0)</f>
        <v>2</v>
      </c>
      <c r="AH70" s="173" t="b">
        <v>0</v>
      </c>
      <c r="AI70" s="173" t="b">
        <v>0</v>
      </c>
      <c r="AJ70" s="173" t="b">
        <v>0</v>
      </c>
      <c r="AK70" s="174" t="b">
        <v>0</v>
      </c>
      <c r="AL70" s="175" t="b">
        <v>0</v>
      </c>
      <c r="AM70" s="173" t="b">
        <v>0</v>
      </c>
      <c r="AN70" s="171" t="s">
        <v>1070</v>
      </c>
      <c r="AO70" s="173" t="b">
        <v>0</v>
      </c>
      <c r="AP70" s="173" t="b">
        <v>0</v>
      </c>
      <c r="AQ70" s="173" t="b">
        <v>0</v>
      </c>
      <c r="AR70" s="174" t="b">
        <v>0</v>
      </c>
      <c r="AS70" s="178" t="b">
        <v>0</v>
      </c>
      <c r="AT70" s="179" t="b">
        <v>0</v>
      </c>
      <c r="AU70" s="180" t="b">
        <v>0</v>
      </c>
      <c r="AV70" s="180" t="b">
        <v>0</v>
      </c>
      <c r="AW70" s="180" t="b">
        <v>0</v>
      </c>
      <c r="AX70" s="180" t="b">
        <v>0</v>
      </c>
      <c r="AY70" s="181" t="s">
        <v>1070</v>
      </c>
      <c r="AZ70" s="181" t="s">
        <v>1070</v>
      </c>
      <c r="BA70" s="184">
        <f>IFERROR(__xludf.DUMMYFUNCTION("IF(
  ISNUMBER(BA69),
  MIN(MAX(
    BA69
    + MAX(
      ROUNDDOWN((D70 - MAX(IFERROR(FILTER(D$24:D69, BA$24:BA69 &lt;&gt; AZ$6, BA$23:BA68 = AZ$6), 0))) * (60 * 60 * 24) / AZ$9) - ROUNDDOWN((D69 - MAX(IFERROR(FILTER(D$23:D68, BA$23:BA68 &lt;&gt; AZ$6, BA$22:BA67 ="&amp;" AZ$6), 0))) * (60 * 60 * 24) / AZ$9),
      0
    )
    - COUNTIF(AZ70, ""&lt;&gt;-""),
  0), AZ$6),
  AZ$6 - COUNTIF(AZ70, ""&lt;&gt;-"")
)"),2.0)</f>
        <v>2</v>
      </c>
      <c r="BB70" s="181" t="s">
        <v>1070</v>
      </c>
      <c r="BC70" s="183">
        <f>IFERROR(__xludf.DUMMYFUNCTION("IF(
  ISNUMBER(BC69),
  MIN(MAX(
    BC69
    + MAX(
      ROUNDDOWN(($D70 - MAX(IFERROR(FILTER($D$24:$D69, BC$24:BC69 &lt;&gt; BB$6, BC$23:BC68 = BB$6), 0))) * (60 * 60 * 24) / BB$9) - ROUNDDOWN(($D69 - MAX(IFERROR(FILTER($D$23:$D68, BC$23:BC68 &lt;&gt; BB$6, BC$22:"&amp;"BC67 = BB$6), 0))) * (60 * 60 * 24) / 60),
      0
    )
    - COUNTIF(BB70, ""&lt;&gt;-""),
  0), BB$6),
  BB$6 - COUNTIF(BB70, ""&lt;&gt;-"")
)"),2.0)</f>
        <v>2</v>
      </c>
      <c r="BD70" s="181" t="s">
        <v>1070</v>
      </c>
      <c r="BE70" s="178" t="b">
        <v>0</v>
      </c>
      <c r="BF70" s="180" t="b">
        <v>0</v>
      </c>
      <c r="BG70" s="180" t="b">
        <v>0</v>
      </c>
      <c r="BH70" s="180" t="b">
        <v>0</v>
      </c>
      <c r="BI70" s="180" t="b">
        <v>0</v>
      </c>
      <c r="BJ70" s="180" t="b">
        <v>0</v>
      </c>
      <c r="BK70" s="180" t="b">
        <v>0</v>
      </c>
      <c r="BL70" s="180" t="b">
        <v>0</v>
      </c>
      <c r="BM70" s="180" t="b">
        <v>0</v>
      </c>
      <c r="BN70" s="180" t="b">
        <v>0</v>
      </c>
      <c r="BO70" s="181" t="s">
        <v>1070</v>
      </c>
      <c r="BP70" s="181" t="s">
        <v>1070</v>
      </c>
      <c r="BQ70" s="181" t="s">
        <v>1070</v>
      </c>
      <c r="BR70" s="181" t="s">
        <v>1070</v>
      </c>
      <c r="BS70" s="181" t="s">
        <v>1070</v>
      </c>
      <c r="BT70" s="184">
        <f>IFERROR(__xludf.DUMMYFUNCTION("IF(
  ISNUMBER(BT69),
  MIN(MAX(
    BT69
    + MAX(
      ROUNDDOWN((D70 - MAX(IFERROR(FILTER(D$24:D69, BT$24:BT69 &lt;&gt; BS$6, BT$23:BT68 = BS$6), 0))) * (60 * 60 * 24) / BS$9) - ROUNDDOWN((D69 - MAX(IFERROR(FILTER(D$23:D68, BT$23:BT68 &lt;&gt; BS$6, BT$22:BT67 ="&amp;" BS$6), 0))) * (60 * 60 * 24) / BS$9),
      0
    )
    - COUNTIF(BS70, ""&lt;&gt;-""),
  0), BS$6),
  BS$6 - COUNTIF(BS70, ""&lt;&gt;-"")
)"),3.0)</f>
        <v>3</v>
      </c>
      <c r="BU70" s="181" t="s">
        <v>1070</v>
      </c>
      <c r="BV70" s="181" t="s">
        <v>1070</v>
      </c>
      <c r="BW70" s="184">
        <f>IFERROR(__xludf.DUMMYFUNCTION("IF(
  ISNUMBER(BW69),
  MIN(MAX(
    BW69
    + MAX(
      ROUNDDOWN((D70 - MAX(IFERROR(FILTER(D$24:D69, BW$24:BW69 &lt;&gt; BV$6, BW$23:BW68 = BV$6), 0))) * (60 * 60 * 24) / BV$9) - ROUNDDOWN((D69 - MAX(IFERROR(FILTER(D$23:D68, BW$23:BW68 &lt;&gt; BV$6, BW$22:BW67 ="&amp;" BV$6), 0))) * (60 * 60 * 24) / BV$9),
      0
    )
    - COUNTIF(BV70, ""&lt;&gt;-""),
  0), BV$6),
  BV$6 - COUNTIF(BV70, ""&lt;&gt;-"")
)"),2.0)</f>
        <v>2</v>
      </c>
      <c r="BX70" s="185" t="s">
        <v>1070</v>
      </c>
      <c r="BY70" s="178" t="b">
        <v>0</v>
      </c>
      <c r="BZ70" s="180" t="b">
        <v>0</v>
      </c>
      <c r="CA70" s="180" t="b">
        <v>0</v>
      </c>
      <c r="CB70" s="180" t="b">
        <v>0</v>
      </c>
      <c r="CC70" s="180" t="b">
        <v>0</v>
      </c>
      <c r="CD70" s="180" t="b">
        <v>0</v>
      </c>
      <c r="CE70" s="180" t="b">
        <v>0</v>
      </c>
      <c r="CF70" s="180" t="b">
        <v>0</v>
      </c>
      <c r="CG70" s="180" t="b">
        <v>0</v>
      </c>
      <c r="CH70" s="180" t="b">
        <v>0</v>
      </c>
      <c r="CI70" s="180" t="b">
        <v>0</v>
      </c>
      <c r="CJ70" s="180" t="b">
        <v>0</v>
      </c>
      <c r="CK70" s="180" t="b">
        <v>0</v>
      </c>
      <c r="CL70" s="180" t="b">
        <v>0</v>
      </c>
      <c r="CM70" s="181" t="s">
        <v>1070</v>
      </c>
      <c r="CN70" s="181" t="s">
        <v>1070</v>
      </c>
      <c r="CO70" s="181" t="s">
        <v>1070</v>
      </c>
      <c r="CP70" s="181" t="s">
        <v>1070</v>
      </c>
      <c r="CQ70" s="185" t="s">
        <v>1070</v>
      </c>
      <c r="CR70" s="180" t="b">
        <v>0</v>
      </c>
      <c r="CS70" s="186" t="str">
        <f t="shared" si="14"/>
        <v>◇◇◇</v>
      </c>
      <c r="CT70" s="178" t="b">
        <v>0</v>
      </c>
      <c r="CU70" s="180" t="b">
        <v>0</v>
      </c>
      <c r="CV70" s="180" t="b">
        <v>0</v>
      </c>
      <c r="CW70" s="180" t="b">
        <v>0</v>
      </c>
      <c r="CX70" s="180" t="b">
        <v>0</v>
      </c>
      <c r="CY70" s="180" t="b">
        <v>0</v>
      </c>
      <c r="CZ70" s="180" t="b">
        <v>0</v>
      </c>
      <c r="DA70" s="180" t="b">
        <v>0</v>
      </c>
      <c r="DB70" s="180" t="b">
        <v>0</v>
      </c>
      <c r="DC70" s="180" t="b">
        <v>0</v>
      </c>
      <c r="DD70" s="181" t="s">
        <v>1070</v>
      </c>
      <c r="DE70" s="181" t="s">
        <v>1070</v>
      </c>
      <c r="DF70" s="181" t="s">
        <v>1070</v>
      </c>
      <c r="DG70" s="185" t="s">
        <v>1070</v>
      </c>
      <c r="DH70" s="180" t="b">
        <v>0</v>
      </c>
      <c r="DI70" s="187" t="str">
        <f>IFERROR(__xludf.DUMMYFUNCTION("SWITCH(
  IF(
    ISTEXT(DI69),
    IF (
      FIND(""○"", DI69&amp;""○"") &gt; 3,
      3,
      FIND(""○"", DI69&amp;""○"")
      + MAX(
        ROUNDDOWN(($D70 - MAX(IFERROR(FILTER(D$24:D69, DI$24:DI69 &lt;&gt; ""●●●"", DI$23:DI68 = ""●●●""), 0))) * (60 * 60 * 24) / 20"&amp;") - ROUNDDOWN(($D69 - MAX(IFERROR(FILTER(D$23:D68, DI$23:DI68 &lt;&gt; ""●●●"", DI$22:DI67 = ""●●●""), 0))) * (60 * 60 * 24) / 20),
        0
      ) - 1
    ) - COUNTIFS(CU70, ""=TRUE"", CU69, ""&lt;&gt;TRUE"") - COUNTIF(CZ70, ""=TRUE"") - COUNTIF({DD70,DE70}, ""&lt;&gt;-"&amp;""") + COUNTIF(DH70, ""=TRUE""),
    3
  ),
  0, ""○○○"", 1, ""●○○"", 2, ""●●○"", 3, ""●●●"", 4, ""●●●"", ""○○○""
)"),"●●●")</f>
        <v>●●●</v>
      </c>
      <c r="DJ70" s="188" t="b">
        <v>0</v>
      </c>
      <c r="DK70" s="189" t="b">
        <v>0</v>
      </c>
      <c r="DL70" s="190" t="b">
        <v>0</v>
      </c>
      <c r="DM70" s="190" t="b">
        <v>0</v>
      </c>
      <c r="DN70" s="190" t="b">
        <v>0</v>
      </c>
      <c r="DO70" s="190" t="b">
        <v>0</v>
      </c>
      <c r="DP70" s="190" t="b">
        <v>0</v>
      </c>
      <c r="DQ70" s="191" t="b">
        <v>0</v>
      </c>
      <c r="DR70" s="192" t="b">
        <v>0</v>
      </c>
      <c r="DS70" s="191" t="b">
        <v>0</v>
      </c>
      <c r="DT70" s="192" t="b">
        <v>0</v>
      </c>
      <c r="DU70" s="191" t="b">
        <v>0</v>
      </c>
      <c r="DV70" s="193" t="s">
        <v>1070</v>
      </c>
      <c r="DW70" s="194" t="b">
        <v>0</v>
      </c>
      <c r="DX70" s="194" t="b">
        <v>0</v>
      </c>
      <c r="DY70" s="195" t="b">
        <v>0</v>
      </c>
      <c r="DZ70" s="196" t="b">
        <v>0</v>
      </c>
      <c r="EA70" s="195" t="b">
        <v>0</v>
      </c>
      <c r="EB70" s="197" t="b">
        <v>0</v>
      </c>
      <c r="EC70" s="197" t="b">
        <v>0</v>
      </c>
      <c r="ED70" s="212" t="b">
        <v>0</v>
      </c>
      <c r="EE70" s="199">
        <f>IFERROR(__xludf.DUMMYFUNCTION("IFERROR(
   PRODUCT(
     MAP(
       INDEX(TRANSPOSE(UNIQUE(TRANSPOSE(FILTER({IF($F70=""Physical"", K$10:ED$10, IF($F70=""Magic"", K$11:ED$11, K$12:ED$12));K$4:ED$4;K70:ED70}, K70:ED70=TRUE)))), 1, 0),
       INDEX(TRANSPOSE(UNIQUE(TRANSPOSE(FILTER({IF($"&amp;"F70=""Physical"", K$18:ED$18, IF($F70=""Magic"", K$19:ED$19, K$20:ED$20));K$4:ED$4;K70:ED70}, K70:ED70=TRUE)))), 1, 0),
       INDEX(TRANSPOSE(UNIQUE(TRANSPOSE(FILTER({K$5:ED$5;K$4:ED$4;K70:ED70}, K70:ED70=TRUE)))), 1, 0),
       INDEX(TRANSPOSE(UNIQUE(TR"&amp;"ANSPOSE(FILTER({K$17:ED$17;K$4:ED$4;K70:ED70}, K70:ED70=TRUE)))), 1, 0),
       LAMBDA(
         mitigation,
         enhance,
         assign,
         precondition,
         IF(
           REGEXMATCH(assign, ""RANGE_PARTY|SINGLE_ENEMY|RANGE_ENEMY""),
  "&amp;"         IF(
             OR(ARRAYFORMULA((IF(precondition="""", FALSE, REGEXMATCH(K$4:ED$4, precondition))) * (K70:ED70=TRUE))),
             IF(ISNUMBER(enhance), enhance, 1),
             IF(ISNUMBER(mitigation), mitigation, 1)
           ),
          "&amp;" 1
         )
       )
     )
   ),
   1
 )"),1.0)</f>
        <v>1</v>
      </c>
      <c r="EF70" s="200">
        <f>IFERROR(__xludf.DUMMYFUNCTION("PRODUCT(
   MAP(
     K$14:ED$14,
     K$13:ED$13,
     K70:ED70,
     LAMBDA(
       buff,
       target,
       check,
       IF(
         AND(check=TRUE, REGEXMATCH(target, ""RANGE_AFFECTED_ALL|RANGE_EFFECTED_ALL""), ISNUMBER(buff)),
         buff,
   "&amp;"      1
       )
     )
   )
 )"),1.0)</f>
        <v>1</v>
      </c>
      <c r="EG70" s="200">
        <f>IFERROR(__xludf.DUMMYFUNCTION("PRODUCT(
   MAP(
     K$14:ED$14,
     K$13:ED$13,
     K70:ED70,
     LAMBDA(
       buff,
       target,
       check,
       IF(
         AND(check=TRUE, REGEXMATCH(target, ""RANGE_AFFECTED_GCD|RANGE_EFFECTED_GCD""), ISNUMBER(buff)),
         buff,
   "&amp;"      1
       )
     )
   )
 )"),1.0)</f>
        <v>1</v>
      </c>
      <c r="EH70" s="200">
        <f>IFERROR(__xludf.DUMMYFUNCTION("PRODUCT(
   MAP(
     K$3:ED$3,
     K$14:ED$14,
     K$13:ED$13,
     K70:ED70,
     LAMBDA(
       job,
       buff,
       target,
       check,
       IF(
         AND(check=TRUE, REGEXMATCH(target, ""SELF_EFFECTED_ALL""), ISNUMBER(buff), job=""白魔道士"""&amp;"),
         buff,
         1
       )
     )
   )
 )"),1.0)</f>
        <v>1</v>
      </c>
      <c r="EI70" s="200">
        <f>IFERROR(__xludf.DUMMYFUNCTION("PRODUCT(
   MAP(
     K$3:ED$3,
     K$14:ED$14,
     K$13:ED$13,
     K70:ED70,
     LAMBDA(
       job,
       buff,
       target,
       check,
       IF(
         AND(check=TRUE, REGEXMATCH(target, ""SELF_EFFECTED_GCD""), ISNUMBER(buff), job=""白魔道士"""&amp;"),
         buff,
         1
       )
     )
   )
 )"),1.0)</f>
        <v>1</v>
      </c>
      <c r="EJ70" s="200">
        <f>IFERROR(__xludf.DUMMYFUNCTION("PRODUCT(
   MAP(
     K$3:ED$3,
     K$14:ED$14,
     K$13:ED$13,
     K70:ED70,
     LAMBDA(
       job,
       buff,
       target,
       check,
       IF(
         AND(check=TRUE, REGEXMATCH(target, ""SELF_EFFECTED_ALL""), ISNUMBER(buff), job=""占星術師"""&amp;"),
         buff,
         1
       )
     )
   )
 )"),1.0)</f>
        <v>1</v>
      </c>
      <c r="EK70" s="200">
        <f>IFERROR(__xludf.DUMMYFUNCTION("PRODUCT(
   MAP(
     K$3:ED$3,
     K$14:ED$14,
     K$13:ED$13,
     K70:ED70,
     LAMBDA(
       job,
       buff,
       target,
       check,
       IF(
         AND(check=TRUE, REGEXMATCH(target, ""SELF_EFFECTED_GCD""), ISNUMBER(buff), job=""占星術師"""&amp;"),
         buff,
         1
       )
     )
   )
 )"),1.0)</f>
        <v>1</v>
      </c>
      <c r="EL70" s="200">
        <f>IFERROR(__xludf.DUMMYFUNCTION("PRODUCT(
   MAP(
     K$3:ED$3,
     K$14:ED$14,
     K$13:ED$13,
     K70:ED70,
     LAMBDA(
       job,
       buff,
       target,
       check,
       IF(
         AND(check=TRUE, REGEXMATCH(target, ""SELF_EFFECTED_ALL""), ISNUMBER(buff), job=""学者""),"&amp;"
         buff,
         1
       )
     )
   )
 )"),1.0)</f>
        <v>1</v>
      </c>
      <c r="EM70" s="200">
        <f>IFERROR(__xludf.DUMMYFUNCTION("PRODUCT(
   MAP(
     K$3:ED$3,
     K$14:ED$14,
     K$13:ED$13,
     K70:ED70,
     LAMBDA(
       job,
       buff,
       target,
       check,
       IF(
         AND(check=TRUE, REGEXMATCH(target, ""SELF_EFFECTED_GCD""), ISNUMBER(buff), job=""学者""),"&amp;"
         buff,
         1
       )
     )
   )
 )"),1.0)</f>
        <v>1</v>
      </c>
      <c r="EN70" s="200">
        <f>IFERROR(__xludf.DUMMYFUNCTION("PRODUCT(
   MAP(
     K$3:ED$3,
     K$14:ED$14,
     K$13:ED$13,
     K70:ED70,
     LAMBDA(
       job,
       buff,
       target,
       check,
       IF(
         AND(check=TRUE, REGEXMATCH(target, ""SELF_EFFECTED_ALL""), ISNUMBER(buff), job=""賢者""),"&amp;"
         buff,
         1
       )
     )
   )
 )"),1.0)</f>
        <v>1</v>
      </c>
      <c r="EO70" s="200">
        <f>IFERROR(__xludf.DUMMYFUNCTION("PRODUCT(
   MAP(
     K$3:ED$3,
     K$14:ED$14,
     K$13:ED$13,
     K70:ED70,
     LAMBDA(
       job,
       buff,
       target,
       check,
       IF(
         AND(check=TRUE, REGEXMATCH(target, ""SELF_EFFECTED_GCD""), ISNUMBER(buff), job=""賢者""),"&amp;"
         buff,
         1
       )
     )
   )
 )"),1.0)</f>
        <v>1</v>
      </c>
      <c r="EP70" s="201">
        <f t="shared" si="3"/>
        <v>0</v>
      </c>
      <c r="EQ70" s="201">
        <f>IFERROR(__xludf.DUMMYFUNCTION("SUM(
   MAP(
     K$4:ED$4,
     K$3:ED$3,
     K$7:ED$7,
     K$15:ED$15,
     K$16:ED$16,
     K$21:ED$21,
     K$5:ED$5,
     K$17:ED$17,
     K70:ED70,
     LAMBDA(
       name,
       job,
       abillity,
       buff,
       barrier,
       enhance,"&amp;"
       assign,
       precondition,
       check,
       SWITCH(
         name,
         ""シェイクオフ"", IF(check=TRUE, buff + (0.02 * COUNTIF(ARRAYFORMULA((REGEXMATCH($K$4:$ED$4, ""スリル・オブ・バトル|ヴェンジェンス|原初の血気|ダムネーション"")) * (K70:ED70=TRUE)), 1)), 0),
         "&amp;"""インプロビゼーションフィニッシュ(踊りの激情0)"", IF(ISNUMBER(check), INDEX(Skill!$AJ:$AJ, MATCH(SUBSTITUTE(DV$4, 0, check), Skill!$C:$C, 0)), 0),
         IF(
           AND(check=TRUE, REGEXMATCH(assign, ""RANGE_PARTY"")),
           IF(
             OR(ARRAYFORMULA((IF(pr"&amp;"econdition="""", FALSE, REGEXMATCH($K$4:$ED$4, precondition))) * (K70:ED70=TRUE))),
             enhance,
             IF(barrier="""", buff, barrier)
           ),
           0
         )
       ) *
       SWITCH(
         job,
         ""ナイト"", EY$24,
 "&amp;"        ""戦士"", FD$24,
         ""踊り子"", ET$24,
         ""ピクトマンサー"", ET$24,
         ""白魔道士"", EF70 * EH70 * IF(abillity, 1, EG70 * EI70) * (Option!$D$22 * 0.81 / 100),
         ""占星術師"", EF70 * EJ70 * IF(abillity, 1, EG70 * EK70) * (Option!$D$23 * 0.81 "&amp;"/ 100),
         ""学者"", EF70 * EL70 * IF(abillity, 1, EG70 * EM70) * (Option!$D$24 * 0.81 / 100),
         ""賢者"", EF70 * EN70 * IF(abillity, 1, EG70 * EO70) * (Option!$D$25 * 0.81 / 100),
         1
       )
     )
   )
 )"),0.0)</f>
        <v>0</v>
      </c>
      <c r="ER70" s="202">
        <f t="shared" si="4"/>
        <v>0</v>
      </c>
      <c r="ES70" s="203">
        <f t="shared" si="5"/>
        <v>0</v>
      </c>
      <c r="ET70" s="204" t="str">
        <f>IFERROR(__xludf.DUMMYFUNCTION("IFS(
  EP70 &gt; $ET$24 + EQ70,
  SPARKLINE({ 1, 0 }, {""charttype"",""bar"";""max"", 1;""color1"",Option!$D$30;""color2"",Option!$D$30}),
  EP70 &lt; EQ70,
  SPARKLINE({EQ70 - EP70, $ET$24 - (EQ70 - EP70)}, {""charttype"",""bar"";""max"",$ET$24;""color1"",Opti"&amp;"on!$D$28;""color2"",Option!$D$29}),
  EP70 &gt;= EQ70,
  SPARKLINE({$ET$24 + EQ70 - EP70,EP70 - EQ70}, {""charttype"",""bar"";""max"",$ET$24;""color1"",Option!$D$29;""color2"",Option!$D$30})
)"),"")</f>
        <v/>
      </c>
      <c r="EU70" s="205">
        <f>IFERROR(__xludf.DUMMYFUNCTION("PRODUCT(
   MAP(
     IF($F70=""Physical"", K$10:ED$10, IF($F70=""Magic"", K$11:ED$11, K$12:ED$12)),
     IF($F70=""Physical"", K$18:ED$18, IF($F70=""Magic"", K$19:ED$19, K$20:ED$20)),
     K$3:ED$3,
     K$5:ED$5,
     K$17:ED$17,
     K70:ED70,
     LAM"&amp;"BDA(
       mitigation,
       enhance,
       job,
       assign,
       precondition,
       check,
       IF(
         OR(AND(check=TRUE, REGEXMATCH(assign, ""SELF""), job=""ナイト""), AND(check=Option!$E$13, REGEXMATCH(assign, ""SINGLE_PARTY""))),
      "&amp;"   IF(
           OR(ARRAYFORMULA((IF(precondition="""", FALSE, REGEXMATCH($K$4:$ED$4, precondition))) * (K70:ED70=TRUE))),
           enhance,
           mitigation
         ),
         1
       )
     )
   )
 ) * EE70"),1.0)</f>
        <v>1</v>
      </c>
      <c r="EV70" s="206">
        <f t="shared" si="6"/>
        <v>0</v>
      </c>
      <c r="EW70" s="205">
        <f>IFERROR(__xludf.DUMMYFUNCTION("PRODUCT(
   MAP(
     K$3:ED$3,
     K$14:ED$14,
     K$13:ED$13,
     K70:ED70,
     LAMBDA(
       job,
       buff,
       target,
       check,
       IF(
         OR(AND(check=TRUE, REGEXMATCH(target, ""SELF_AFFECTED_ALL""), job=""ナイト""), AND(check=O"&amp;"ption!$E$13, REGEXMATCH(target, ""SINGLE_AFFECTED_ALL""))),
         buff,
         1
       )
     )
   )
 )"),1.0)</f>
        <v>1</v>
      </c>
      <c r="EX70" s="206">
        <f>IFERROR(__xludf.DUMMYFUNCTION("SUM(
   MAP(
     K$3:ED$3,
     K$7:ED$7,
     K$15:ED$15,
     K$16:ED$16,
     K$21:ED$21,
     K$5:ED$5,
     K$17:ED$17,
     K70:ED70,
     LAMBDA(
       job,
       abillity,
       buff,
       barrier,
       enhance,
       assign,
       preco"&amp;"ndition,
       check,
       IF(
         OR(AND(check=TRUE, REGEXMATCH(assign, ""SELF""), job=""ナイト""), AND(check=Option!$E$13, REGEXMATCH(assign, ""SINGLE_PARTY""))),
         IF(
           OR(ARRAYFORMULA((IF(precondition="""", FALSE, REGEXMATCH($K$4"&amp;":$ED$4, precondition))) * (K70:ED70=TRUE))),
           enhance,
           IF(barrier="""", buff, barrier)
         ),
         0
       ) *
       SWITCH(
         job,
         ""暗黒騎士"", EY$24,
         ""白魔道士"", EF70 * EH70 * EW70 * IF(abillity, 1, EG"&amp;"70 * EI70) * (Option!$D$22 * 0.81 / 100),
         ""占星術師"", EF70 * EJ70 * EW70 * IF(abillity, 1, EG70 * EK70) * (Option!$D$23 * 0.81 / 100),
         ""学者"", EF70 * EL70 * EW70 * IF(abillity, 1, EG70 * EM70) * (Option!$D$24 * 0.81 / 100),
         ""賢者"""&amp;", EF70 * EN70 * EW70 * IF(abillity, 1, EG70 * EO70) * (Option!$D$25 * 0.81 / 100),
         1
       )
     )
   )
 ) + EQ70"),0.0)</f>
        <v>0</v>
      </c>
      <c r="EY70" s="206">
        <f t="shared" si="7"/>
        <v>0</v>
      </c>
      <c r="EZ70" s="205">
        <f>IFERROR(__xludf.DUMMYFUNCTION("PRODUCT(
   MAP(
     IF($F70=""Physical"", K$10:ED$10, IF($F70=""Magic"", K$11:ED$11, K$12:ED$12)),
     IF($F70=""Physical"", K$18:ED$18, IF($F70=""Magic"", K$19:ED$19, K$20:ED$20)),
     K$3:ED$3,
     K$5:ED$5,
     K$17:ED$17,
     K70:ED70,
     LAM"&amp;"BDA(
       mitigation,
       enhance,
       job,
       assign,
       precondition,
       check,
       IF(
         OR(AND(check=TRUE, REGEXMATCH(assign, ""SELF""), job=""戦士""), AND(check=Option!$F$13, REGEXMATCH(assign, ""SINGLE_PARTY""))),
       "&amp;"  IF(
           OR(ARRAYFORMULA((IF(precondition="""", FALSE, REGEXMATCH($K$4:$ED$4, precondition))) * (K70:ED70=TRUE))),
           enhance,
           mitigation
         ),
         1
       )
     )
   )
 ) * EE70"),1.0)</f>
        <v>1</v>
      </c>
      <c r="FA70" s="206">
        <f t="shared" si="8"/>
        <v>0</v>
      </c>
      <c r="FB70" s="205">
        <f>IFERROR(__xludf.DUMMYFUNCTION("PRODUCT(
   MAP(
     K$3:ED$3,
     K$14:ED$14,
     K$13:ED$13,
     K70:ED70,
     LAMBDA(
       job,
       buff,
       target,
       check,
       IF(
         OR(AND(check=TRUE, REGEXMATCH(target, ""SELF_AFFECTED_ALL""), job=""戦士""), AND(check=Op"&amp;"tion!$F$13, REGEXMATCH(target, ""SINGLE_AFFECTED_ALL""))),
         buff,
         1
       )
     )
   )
 )"),1.0)</f>
        <v>1</v>
      </c>
      <c r="FC70" s="206">
        <f>IFERROR(__xludf.DUMMYFUNCTION("SUM(
   MAP(
     K$3:ED$3,
     K$7:ED$7,
     K$15:ED$15,
     K$16:ED$16,
     K$21:ED$21,
     K$5:ED$5,
     K$17:ED$17,
     K70:ED70,
     LAMBDA(
       job,
       abillity,
       buff,
       barrier,
       enhance,
       assign,
       preco"&amp;"ndition,
       check,
       IF(
         OR(AND(check=TRUE, REGEXMATCH(assign, ""SELF""), job=""戦士""), AND(check=Option!$F$13, REGEXMATCH(assign, ""SINGLE_PARTY""))),
         IF(
           OR(ARRAYFORMULA((IF(precondition="""", FALSE, REGEXMATCH($K$4:"&amp;"$ED$4, precondition))) * (K70:ED70=TRUE))),
           enhance,
           IF(barrier="""", buff, barrier)
         ),
         0
       ) *
       SWITCH(
         job,
         ""暗黒騎士"", FD$24,
         ""白魔道士"", EF70 * EH70 * FB70 * IF(abillity, 1, EG7"&amp;"0 * EI70) * (Option!$D$22 * 0.81 / 100),
         ""占星術師"", EF70 * EJ70 * FFB70 * IF(abillity, 1, EG70 * EK70) * (Option!$D$23 * 0.81 / 100),
         ""学者"", EF70 * EL70 * FB70 * IF(abillity, 1, EG70 * EM70) * (Option!$D$24 * 0.81 / 100),
         ""賢者"""&amp;", EF70 * EN70 * FB70 * IF(abillity, 1, EG70 * EO70) * (Option!$D$25 * 0.81 / 100),
         1
       )
     )
   )
 ) + EQ70"),0.0)</f>
        <v>0</v>
      </c>
      <c r="FD70" s="206">
        <f t="shared" si="9"/>
        <v>0</v>
      </c>
      <c r="FE70" s="205">
        <f>IFERROR(__xludf.DUMMYFUNCTION("PRODUCT(
   MAP(
     IF($F70=""Physical"", K$10:ED$10, IF($F70=""Magic"", K$11:ED$11, K$12:ED$12)),
     IF($F70=""Physical"", K$18:ED$18, IF($F70=""Magic"", K$19:ED$19, K$20:ED$20)),
     K$3:ED$3,
     K$5:ED$5,
     K$17:ED$17,
     K70:ED70,
     LAM"&amp;"BDA(
       mitigation,
       enhance,
       job,
       assign,
       precondition,
       check,
       IF(
         OR(AND(check=TRUE, REGEXMATCH(assign, ""SELF""), job=""暗黒騎士""), AND(check=Option!$G$13, REGEXMATCH(assign, ""SINGLE_PARTY""))),
     "&amp;"    IF(
           OR(ARRAYFORMULA((IF(precondition="""", FALSE, REGEXMATCH($K$4:$ED$4, precondition))) * (K70:ED70=TRUE))),
           enhance,
           mitigation
         ),
         1
       )
     )
   )
 ) * EE70"),1.0)</f>
        <v>1</v>
      </c>
      <c r="FF70" s="206">
        <f t="shared" si="10"/>
        <v>0</v>
      </c>
      <c r="FG70" s="205">
        <f>IFERROR(__xludf.DUMMYFUNCTION("PRODUCT(
   MAP(
     K$3:ED$3,
     K$14:ED$14,
     K$13:ED$13,
     K70:ED70,
     LAMBDA(
       job,
       buff,
       target,
       check,
       IF(
         OR(AND(check=TRUE, REGEXMATCH(target, ""SELF_AFFECTED_ALL""), job=""暗黒騎士""), AND(check="&amp;"Option!$G$13, REGEXMATCH(target, ""SINGLE_AFFECTED_ALL""))),
         buff,
         1
       )
     )
   )
 )"),1.0)</f>
        <v>1</v>
      </c>
      <c r="FH70" s="206">
        <f>IFERROR(__xludf.DUMMYFUNCTION("SUM(
   MAP(
     K$3:ED$3,
     K$7:ED$7,
     K$15:ED$15,
     K$16:ED$16,
     K$21:ED$21,
     K$5:ED$5,
     K$17:ED$17,
     K70:ED70,
     LAMBDA(
       job,
       abillity,
       buff,
       barrier,
       enhance,
       assign,
       preco"&amp;"ndition,
       check,
       IF(
         OR(AND(check=TRUE, REGEXMATCH(assign, ""SELF""), job=""暗黒騎士""), AND(check=Option!$G$13, REGEXMATCH(assign, ""SINGLE_PARTY""))),
         IF(
           OR(ARRAYFORMULA((IF(precondition="""", FALSE, REGEXMATCH($K$"&amp;"4:$ED$4, precondition))) * (K70:ED70=TRUE))),
           enhance,
           IF(barrier="""", buff, barrier)
         ),
         0
       ) *
       SWITCH(
         job,
         ""暗黒騎士"", FI$24,
         ""白魔道士"", EF70 * EH70 * FG70 * IF(abillity, 1, E"&amp;"G70 * EI70) * (Option!$D$22 * 0.81 / 100),
         ""占星術師"", EF70 * EJ70 * FG70 * IF(abillity, 1, EG70 * EK70) * (Option!$D$23 * 0.81 / 100),
         ""学者"", EF70 * EL70 * FG70 * IF(abillity, 1, EG70 * EM70) * (Option!$D$24 * 0.81 / 100),
         ""賢者"&amp;""", EF70 * EN70 * FG70 * IF(abillity, 1, EG70 * EO70) * (Option!$D$25 * 0.81 / 100),
         1
       )
     )
   )
 ) + EQ70"),0.0)</f>
        <v>0</v>
      </c>
      <c r="FI70" s="206">
        <f t="shared" si="11"/>
        <v>0</v>
      </c>
      <c r="FJ70" s="205">
        <f>IFERROR(__xludf.DUMMYFUNCTION("PRODUCT(
   MAP(
     IF($F70=""Physical"", K$10:ED$10, IF($F70=""Magic"", K$11:ED$11, K$12:ED$12)),
     IF($F70=""Physical"", K$18:ED$18, IF($F70=""Magic"", K$19:ED$19, K$20:ED$20)),
     K$3:ED$3,
     K$5:ED$5,
     K$17:ED$17,
     K70:ED70,
     LAM"&amp;"BDA(
       mitigation,
       enhance,
       job,
       assign,
       precondition,
       check,
       IF(
         OR(AND(check=TRUE, REGEXMATCH(assign, ""SELF""), job=""ガンブレイカー""), AND(check=Option!$H$13, REGEXMATCH(assign, ""SINGLE_PARTY""))),
  "&amp;"       IF(
           OR(ARRAYFORMULA((IF(precondition="""", FALSE, REGEXMATCH($K$4:$ED$4, precondition))) * (K70:ED70=TRUE))),
           enhance,
           mitigation
         ),
         1
       )
     )
   )
 ) * EE70"),1.0)</f>
        <v>1</v>
      </c>
      <c r="FK70" s="206">
        <f t="shared" si="12"/>
        <v>0</v>
      </c>
      <c r="FL70" s="205">
        <f>IFERROR(__xludf.DUMMYFUNCTION("PRODUCT(
   MAP(
     K$3:ED$3,
     K$14:ED$14,
     K$13:ED$13,
     K70:ED70,
     LAMBDA(
       job,
       buff,
       target,
       check,
       IF(
         OR(AND(check=TRUE, REGEXMATCH(target, ""SELF_AFFECTED_ALL""), job=""ガンブレイカー""), AND(che"&amp;"ck=Option!$H$13, REGEXMATCH(target, ""SINGLE_AFFECTED_ALL""))),
         buff,
         1
       )
     )
   )
 )"),1.0)</f>
        <v>1</v>
      </c>
      <c r="FM70" s="206">
        <f>IFERROR(__xludf.DUMMYFUNCTION("SUM(
   MAP(
     K$3:ED$3,
     K$7:ED$7,
     K$15:ED$15,
     K$16:ED$16,
     K$21:ED$21,
     K$5:ED$5,
     K$17:ED$17,
     K70:ED70,
     LAMBDA(
       job,
       abillity,
       buff,
       barrier,
       enhance,
       assign,
       preco"&amp;"ndition,
       check,
       IF(
         OR(AND(check=TRUE, REGEXMATCH(assign, ""SELF""), job=""ガンブレイカー""), AND(check=Option!$H$13, REGEXMATCH(assign, ""SINGLE_PARTY""))),
         IF(
           OR(ARRAYFORMULA((IF(precondition="""", FALSE, REGEXMATCH("&amp;"$K$4:$ED$4, precondition))) * (K70:ED70=TRUE))),
           enhance,
           IF(barrier="""", buff, barrier)
         ),
         0
       ) *
       SWITCH(
         job,
         ""暗黒騎士"", FN$24,
         ""白魔道士"", EF70 * EH70 * FL70 * IF(abillity, 1"&amp;", EG70 * EI70) * (Option!$D$22 * 0.81 / 100),
         ""占星術師"", EF70 * EJ70 * FL70 * IF(abillity, 1, EG70 * EK70) * (Option!$D$23 * 0.81 / 100),
         ""学者"", EF70 * EL70 * FL70 * IF(abillity, 1, EG70 * EM70) * (Option!$D$24 * 0.81 / 100),
         """&amp;"賢者"", EF70 * EN70 * FL70 * IF(abillity, 1, EG70 * EO70) * (Option!$D$25 * 0.81 / 100),
         1
       )
     )
   )
 ) + EQ70"),0.0)</f>
        <v>0</v>
      </c>
      <c r="FN70" s="206">
        <f t="shared" si="13"/>
        <v>0</v>
      </c>
      <c r="FO70" s="213"/>
    </row>
    <row r="71">
      <c r="B71" s="229"/>
      <c r="C71" s="217">
        <f t="shared" si="1"/>
        <v>0</v>
      </c>
      <c r="D71" s="236"/>
      <c r="E71" s="219"/>
      <c r="F71" s="167"/>
      <c r="G71" s="168" t="str">
        <f t="shared" si="2"/>
        <v/>
      </c>
      <c r="H71" s="169"/>
      <c r="I71" s="169"/>
      <c r="J71" s="169"/>
      <c r="K71" s="170" t="b">
        <v>0</v>
      </c>
      <c r="L71" s="170" t="b">
        <v>0</v>
      </c>
      <c r="M71" s="170" t="b">
        <v>0</v>
      </c>
      <c r="N71" s="171" t="s">
        <v>1070</v>
      </c>
      <c r="O71" s="172" t="b">
        <v>0</v>
      </c>
      <c r="P71" s="173" t="b">
        <v>0</v>
      </c>
      <c r="Q71" s="173" t="b">
        <v>0</v>
      </c>
      <c r="R71" s="173" t="b">
        <v>0</v>
      </c>
      <c r="S71" s="174" t="b">
        <v>0</v>
      </c>
      <c r="T71" s="175" t="b">
        <v>0</v>
      </c>
      <c r="U71" s="173" t="b">
        <v>0</v>
      </c>
      <c r="V71" s="171" t="s">
        <v>1070</v>
      </c>
      <c r="W71" s="172" t="b">
        <v>0</v>
      </c>
      <c r="X71" s="173" t="b">
        <v>0</v>
      </c>
      <c r="Y71" s="173" t="b">
        <v>0</v>
      </c>
      <c r="Z71" s="173" t="b">
        <v>0</v>
      </c>
      <c r="AA71" s="174" t="b">
        <v>0</v>
      </c>
      <c r="AB71" s="174" t="b">
        <v>0</v>
      </c>
      <c r="AC71" s="175" t="b">
        <v>0</v>
      </c>
      <c r="AD71" s="173" t="b">
        <v>0</v>
      </c>
      <c r="AE71" s="176" t="s">
        <v>1070</v>
      </c>
      <c r="AF71" s="171" t="s">
        <v>1070</v>
      </c>
      <c r="AG71" s="177">
        <f>IFERROR(__xludf.DUMMYFUNCTION("IF(
  ISNUMBER(AG70),
  MIN(MAX(
    AG70
    + MAX(
      ROUNDDOWN(($D71 - MAX(IFERROR(FILTER($D$24:$D70, AG$24:AG70 &lt;&gt; AF$6, AG$23:AG69 = AF$6), 0))) * (60 * 60 * 24) / AF$9) - ROUNDDOWN(($D70 - MAX(IFERROR(FILTER($D$23:$D69, AG$23:AG69 &lt;&gt; AF$6, AG$22:"&amp;"AG68 = AF$6), 0))) * (60 * 60 * 24) / 60),
      0
    )
    - COUNTIF(AF71, ""&lt;&gt;-""),
  0), AF$6),
  AF$6 - COUNTIF(AF71, ""&lt;&gt;-"")
)"),2.0)</f>
        <v>2</v>
      </c>
      <c r="AH71" s="173" t="b">
        <v>0</v>
      </c>
      <c r="AI71" s="173" t="b">
        <v>0</v>
      </c>
      <c r="AJ71" s="173" t="b">
        <v>0</v>
      </c>
      <c r="AK71" s="174" t="b">
        <v>0</v>
      </c>
      <c r="AL71" s="175" t="b">
        <v>0</v>
      </c>
      <c r="AM71" s="173" t="b">
        <v>0</v>
      </c>
      <c r="AN71" s="171" t="s">
        <v>1070</v>
      </c>
      <c r="AO71" s="173" t="b">
        <v>0</v>
      </c>
      <c r="AP71" s="173" t="b">
        <v>0</v>
      </c>
      <c r="AQ71" s="173" t="b">
        <v>0</v>
      </c>
      <c r="AR71" s="174" t="b">
        <v>0</v>
      </c>
      <c r="AS71" s="178" t="b">
        <v>0</v>
      </c>
      <c r="AT71" s="179" t="b">
        <v>0</v>
      </c>
      <c r="AU71" s="180" t="b">
        <v>0</v>
      </c>
      <c r="AV71" s="180" t="b">
        <v>0</v>
      </c>
      <c r="AW71" s="180" t="b">
        <v>0</v>
      </c>
      <c r="AX71" s="180" t="b">
        <v>0</v>
      </c>
      <c r="AY71" s="181" t="s">
        <v>1070</v>
      </c>
      <c r="AZ71" s="181" t="s">
        <v>1070</v>
      </c>
      <c r="BA71" s="184">
        <f>IFERROR(__xludf.DUMMYFUNCTION("IF(
  ISNUMBER(BA70),
  MIN(MAX(
    BA70
    + MAX(
      ROUNDDOWN((D71 - MAX(IFERROR(FILTER(D$24:D70, BA$24:BA70 &lt;&gt; AZ$6, BA$23:BA69 = AZ$6), 0))) * (60 * 60 * 24) / AZ$9) - ROUNDDOWN((D70 - MAX(IFERROR(FILTER(D$23:D69, BA$23:BA69 &lt;&gt; AZ$6, BA$22:BA68 ="&amp;" AZ$6), 0))) * (60 * 60 * 24) / AZ$9),
      0
    )
    - COUNTIF(AZ71, ""&lt;&gt;-""),
  0), AZ$6),
  AZ$6 - COUNTIF(AZ71, ""&lt;&gt;-"")
)"),2.0)</f>
        <v>2</v>
      </c>
      <c r="BB71" s="181" t="s">
        <v>1070</v>
      </c>
      <c r="BC71" s="183">
        <f>IFERROR(__xludf.DUMMYFUNCTION("IF(
  ISNUMBER(BC70),
  MIN(MAX(
    BC70
    + MAX(
      ROUNDDOWN(($D71 - MAX(IFERROR(FILTER($D$24:$D70, BC$24:BC70 &lt;&gt; BB$6, BC$23:BC69 = BB$6), 0))) * (60 * 60 * 24) / BB$9) - ROUNDDOWN(($D70 - MAX(IFERROR(FILTER($D$23:$D69, BC$23:BC69 &lt;&gt; BB$6, BC$22:"&amp;"BC68 = BB$6), 0))) * (60 * 60 * 24) / 60),
      0
    )
    - COUNTIF(BB71, ""&lt;&gt;-""),
  0), BB$6),
  BB$6 - COUNTIF(BB71, ""&lt;&gt;-"")
)"),2.0)</f>
        <v>2</v>
      </c>
      <c r="BD71" s="181" t="s">
        <v>1070</v>
      </c>
      <c r="BE71" s="178" t="b">
        <v>0</v>
      </c>
      <c r="BF71" s="180" t="b">
        <v>0</v>
      </c>
      <c r="BG71" s="180" t="b">
        <v>0</v>
      </c>
      <c r="BH71" s="180" t="b">
        <v>0</v>
      </c>
      <c r="BI71" s="180" t="b">
        <v>0</v>
      </c>
      <c r="BJ71" s="180" t="b">
        <v>0</v>
      </c>
      <c r="BK71" s="180" t="b">
        <v>0</v>
      </c>
      <c r="BL71" s="180" t="b">
        <v>0</v>
      </c>
      <c r="BM71" s="180" t="b">
        <v>0</v>
      </c>
      <c r="BN71" s="180" t="b">
        <v>0</v>
      </c>
      <c r="BO71" s="181" t="s">
        <v>1070</v>
      </c>
      <c r="BP71" s="181" t="s">
        <v>1070</v>
      </c>
      <c r="BQ71" s="181" t="s">
        <v>1070</v>
      </c>
      <c r="BR71" s="181" t="s">
        <v>1070</v>
      </c>
      <c r="BS71" s="181" t="s">
        <v>1070</v>
      </c>
      <c r="BT71" s="184">
        <f>IFERROR(__xludf.DUMMYFUNCTION("IF(
  ISNUMBER(BT70),
  MIN(MAX(
    BT70
    + MAX(
      ROUNDDOWN((D71 - MAX(IFERROR(FILTER(D$24:D70, BT$24:BT70 &lt;&gt; BS$6, BT$23:BT69 = BS$6), 0))) * (60 * 60 * 24) / BS$9) - ROUNDDOWN((D70 - MAX(IFERROR(FILTER(D$23:D69, BT$23:BT69 &lt;&gt; BS$6, BT$22:BT68 ="&amp;" BS$6), 0))) * (60 * 60 * 24) / BS$9),
      0
    )
    - COUNTIF(BS71, ""&lt;&gt;-""),
  0), BS$6),
  BS$6 - COUNTIF(BS71, ""&lt;&gt;-"")
)"),3.0)</f>
        <v>3</v>
      </c>
      <c r="BU71" s="181" t="s">
        <v>1070</v>
      </c>
      <c r="BV71" s="181" t="s">
        <v>1070</v>
      </c>
      <c r="BW71" s="184">
        <f>IFERROR(__xludf.DUMMYFUNCTION("IF(
  ISNUMBER(BW70),
  MIN(MAX(
    BW70
    + MAX(
      ROUNDDOWN((D71 - MAX(IFERROR(FILTER(D$24:D70, BW$24:BW70 &lt;&gt; BV$6, BW$23:BW69 = BV$6), 0))) * (60 * 60 * 24) / BV$9) - ROUNDDOWN((D70 - MAX(IFERROR(FILTER(D$23:D69, BW$23:BW69 &lt;&gt; BV$6, BW$22:BW68 ="&amp;" BV$6), 0))) * (60 * 60 * 24) / BV$9),
      0
    )
    - COUNTIF(BV71, ""&lt;&gt;-""),
  0), BV$6),
  BV$6 - COUNTIF(BV71, ""&lt;&gt;-"")
)"),2.0)</f>
        <v>2</v>
      </c>
      <c r="BX71" s="185" t="s">
        <v>1070</v>
      </c>
      <c r="BY71" s="178" t="b">
        <v>0</v>
      </c>
      <c r="BZ71" s="180" t="b">
        <v>0</v>
      </c>
      <c r="CA71" s="180" t="b">
        <v>0</v>
      </c>
      <c r="CB71" s="180" t="b">
        <v>0</v>
      </c>
      <c r="CC71" s="180" t="b">
        <v>0</v>
      </c>
      <c r="CD71" s="180" t="b">
        <v>0</v>
      </c>
      <c r="CE71" s="180" t="b">
        <v>0</v>
      </c>
      <c r="CF71" s="180" t="b">
        <v>0</v>
      </c>
      <c r="CG71" s="180" t="b">
        <v>0</v>
      </c>
      <c r="CH71" s="180" t="b">
        <v>0</v>
      </c>
      <c r="CI71" s="180" t="b">
        <v>0</v>
      </c>
      <c r="CJ71" s="180" t="b">
        <v>0</v>
      </c>
      <c r="CK71" s="180" t="b">
        <v>0</v>
      </c>
      <c r="CL71" s="180" t="b">
        <v>0</v>
      </c>
      <c r="CM71" s="181" t="s">
        <v>1070</v>
      </c>
      <c r="CN71" s="181" t="s">
        <v>1070</v>
      </c>
      <c r="CO71" s="181" t="s">
        <v>1070</v>
      </c>
      <c r="CP71" s="181" t="s">
        <v>1070</v>
      </c>
      <c r="CQ71" s="185" t="s">
        <v>1070</v>
      </c>
      <c r="CR71" s="180" t="b">
        <v>0</v>
      </c>
      <c r="CS71" s="186" t="str">
        <f t="shared" si="14"/>
        <v>◇◇◇</v>
      </c>
      <c r="CT71" s="178" t="b">
        <v>0</v>
      </c>
      <c r="CU71" s="180" t="b">
        <v>0</v>
      </c>
      <c r="CV71" s="180" t="b">
        <v>0</v>
      </c>
      <c r="CW71" s="180" t="b">
        <v>0</v>
      </c>
      <c r="CX71" s="180" t="b">
        <v>0</v>
      </c>
      <c r="CY71" s="180" t="b">
        <v>0</v>
      </c>
      <c r="CZ71" s="180" t="b">
        <v>0</v>
      </c>
      <c r="DA71" s="180" t="b">
        <v>0</v>
      </c>
      <c r="DB71" s="180" t="b">
        <v>0</v>
      </c>
      <c r="DC71" s="180" t="b">
        <v>0</v>
      </c>
      <c r="DD71" s="181" t="s">
        <v>1070</v>
      </c>
      <c r="DE71" s="181" t="s">
        <v>1070</v>
      </c>
      <c r="DF71" s="181" t="s">
        <v>1070</v>
      </c>
      <c r="DG71" s="185" t="s">
        <v>1070</v>
      </c>
      <c r="DH71" s="180" t="b">
        <v>0</v>
      </c>
      <c r="DI71" s="187" t="str">
        <f>IFERROR(__xludf.DUMMYFUNCTION("SWITCH(
  IF(
    ISTEXT(DI70),
    IF (
      FIND(""○"", DI70&amp;""○"") &gt; 3,
      3,
      FIND(""○"", DI70&amp;""○"")
      + MAX(
        ROUNDDOWN(($D71 - MAX(IFERROR(FILTER(D$24:D70, DI$24:DI70 &lt;&gt; ""●●●"", DI$23:DI69 = ""●●●""), 0))) * (60 * 60 * 24) / 20"&amp;") - ROUNDDOWN(($D70 - MAX(IFERROR(FILTER(D$23:D69, DI$23:DI69 &lt;&gt; ""●●●"", DI$22:DI68 = ""●●●""), 0))) * (60 * 60 * 24) / 20),
        0
      ) - 1
    ) - COUNTIFS(CU71, ""=TRUE"", CU70, ""&lt;&gt;TRUE"") - COUNTIF(CZ71, ""=TRUE"") - COUNTIF({DD71,DE71}, ""&lt;&gt;-"&amp;""") + COUNTIF(DH71, ""=TRUE""),
    3
  ),
  0, ""○○○"", 1, ""●○○"", 2, ""●●○"", 3, ""●●●"", 4, ""●●●"", ""○○○""
)"),"●●●")</f>
        <v>●●●</v>
      </c>
      <c r="DJ71" s="188" t="b">
        <v>0</v>
      </c>
      <c r="DK71" s="189" t="b">
        <v>0</v>
      </c>
      <c r="DL71" s="190" t="b">
        <v>0</v>
      </c>
      <c r="DM71" s="190" t="b">
        <v>0</v>
      </c>
      <c r="DN71" s="190" t="b">
        <v>0</v>
      </c>
      <c r="DO71" s="190" t="b">
        <v>0</v>
      </c>
      <c r="DP71" s="190" t="b">
        <v>0</v>
      </c>
      <c r="DQ71" s="191" t="b">
        <v>0</v>
      </c>
      <c r="DR71" s="192" t="b">
        <v>0</v>
      </c>
      <c r="DS71" s="191" t="b">
        <v>0</v>
      </c>
      <c r="DT71" s="192" t="b">
        <v>0</v>
      </c>
      <c r="DU71" s="191" t="b">
        <v>0</v>
      </c>
      <c r="DV71" s="193" t="s">
        <v>1070</v>
      </c>
      <c r="DW71" s="194" t="b">
        <v>0</v>
      </c>
      <c r="DX71" s="194" t="b">
        <v>0</v>
      </c>
      <c r="DY71" s="195" t="b">
        <v>0</v>
      </c>
      <c r="DZ71" s="196" t="b">
        <v>0</v>
      </c>
      <c r="EA71" s="195" t="b">
        <v>0</v>
      </c>
      <c r="EB71" s="197" t="b">
        <v>0</v>
      </c>
      <c r="EC71" s="197" t="b">
        <v>0</v>
      </c>
      <c r="ED71" s="212" t="b">
        <v>0</v>
      </c>
      <c r="EE71" s="199">
        <f>IFERROR(__xludf.DUMMYFUNCTION("IFERROR(
   PRODUCT(
     MAP(
       INDEX(TRANSPOSE(UNIQUE(TRANSPOSE(FILTER({IF($F71=""Physical"", K$10:ED$10, IF($F71=""Magic"", K$11:ED$11, K$12:ED$12));K$4:ED$4;K71:ED71}, K71:ED71=TRUE)))), 1, 0),
       INDEX(TRANSPOSE(UNIQUE(TRANSPOSE(FILTER({IF($"&amp;"F71=""Physical"", K$18:ED$18, IF($F71=""Magic"", K$19:ED$19, K$20:ED$20));K$4:ED$4;K71:ED71}, K71:ED71=TRUE)))), 1, 0),
       INDEX(TRANSPOSE(UNIQUE(TRANSPOSE(FILTER({K$5:ED$5;K$4:ED$4;K71:ED71}, K71:ED71=TRUE)))), 1, 0),
       INDEX(TRANSPOSE(UNIQUE(TR"&amp;"ANSPOSE(FILTER({K$17:ED$17;K$4:ED$4;K71:ED71}, K71:ED71=TRUE)))), 1, 0),
       LAMBDA(
         mitigation,
         enhance,
         assign,
         precondition,
         IF(
           REGEXMATCH(assign, ""RANGE_PARTY|SINGLE_ENEMY|RANGE_ENEMY""),
  "&amp;"         IF(
             OR(ARRAYFORMULA((IF(precondition="""", FALSE, REGEXMATCH(K$4:ED$4, precondition))) * (K71:ED71=TRUE))),
             IF(ISNUMBER(enhance), enhance, 1),
             IF(ISNUMBER(mitigation), mitigation, 1)
           ),
          "&amp;" 1
         )
       )
     )
   ),
   1
 )"),1.0)</f>
        <v>1</v>
      </c>
      <c r="EF71" s="200">
        <f>IFERROR(__xludf.DUMMYFUNCTION("PRODUCT(
   MAP(
     K$14:ED$14,
     K$13:ED$13,
     K71:ED71,
     LAMBDA(
       buff,
       target,
       check,
       IF(
         AND(check=TRUE, REGEXMATCH(target, ""RANGE_AFFECTED_ALL|RANGE_EFFECTED_ALL""), ISNUMBER(buff)),
         buff,
   "&amp;"      1
       )
     )
   )
 )"),1.0)</f>
        <v>1</v>
      </c>
      <c r="EG71" s="200">
        <f>IFERROR(__xludf.DUMMYFUNCTION("PRODUCT(
   MAP(
     K$14:ED$14,
     K$13:ED$13,
     K71:ED71,
     LAMBDA(
       buff,
       target,
       check,
       IF(
         AND(check=TRUE, REGEXMATCH(target, ""RANGE_AFFECTED_GCD|RANGE_EFFECTED_GCD""), ISNUMBER(buff)),
         buff,
   "&amp;"      1
       )
     )
   )
 )"),1.0)</f>
        <v>1</v>
      </c>
      <c r="EH71" s="200">
        <f>IFERROR(__xludf.DUMMYFUNCTION("PRODUCT(
   MAP(
     K$3:ED$3,
     K$14:ED$14,
     K$13:ED$13,
     K71:ED71,
     LAMBDA(
       job,
       buff,
       target,
       check,
       IF(
         AND(check=TRUE, REGEXMATCH(target, ""SELF_EFFECTED_ALL""), ISNUMBER(buff), job=""白魔道士"""&amp;"),
         buff,
         1
       )
     )
   )
 )"),1.0)</f>
        <v>1</v>
      </c>
      <c r="EI71" s="200">
        <f>IFERROR(__xludf.DUMMYFUNCTION("PRODUCT(
   MAP(
     K$3:ED$3,
     K$14:ED$14,
     K$13:ED$13,
     K71:ED71,
     LAMBDA(
       job,
       buff,
       target,
       check,
       IF(
         AND(check=TRUE, REGEXMATCH(target, ""SELF_EFFECTED_GCD""), ISNUMBER(buff), job=""白魔道士"""&amp;"),
         buff,
         1
       )
     )
   )
 )"),1.0)</f>
        <v>1</v>
      </c>
      <c r="EJ71" s="200">
        <f>IFERROR(__xludf.DUMMYFUNCTION("PRODUCT(
   MAP(
     K$3:ED$3,
     K$14:ED$14,
     K$13:ED$13,
     K71:ED71,
     LAMBDA(
       job,
       buff,
       target,
       check,
       IF(
         AND(check=TRUE, REGEXMATCH(target, ""SELF_EFFECTED_ALL""), ISNUMBER(buff), job=""占星術師"""&amp;"),
         buff,
         1
       )
     )
   )
 )"),1.0)</f>
        <v>1</v>
      </c>
      <c r="EK71" s="200">
        <f>IFERROR(__xludf.DUMMYFUNCTION("PRODUCT(
   MAP(
     K$3:ED$3,
     K$14:ED$14,
     K$13:ED$13,
     K71:ED71,
     LAMBDA(
       job,
       buff,
       target,
       check,
       IF(
         AND(check=TRUE, REGEXMATCH(target, ""SELF_EFFECTED_GCD""), ISNUMBER(buff), job=""占星術師"""&amp;"),
         buff,
         1
       )
     )
   )
 )"),1.0)</f>
        <v>1</v>
      </c>
      <c r="EL71" s="200">
        <f>IFERROR(__xludf.DUMMYFUNCTION("PRODUCT(
   MAP(
     K$3:ED$3,
     K$14:ED$14,
     K$13:ED$13,
     K71:ED71,
     LAMBDA(
       job,
       buff,
       target,
       check,
       IF(
         AND(check=TRUE, REGEXMATCH(target, ""SELF_EFFECTED_ALL""), ISNUMBER(buff), job=""学者""),"&amp;"
         buff,
         1
       )
     )
   )
 )"),1.0)</f>
        <v>1</v>
      </c>
      <c r="EM71" s="200">
        <f>IFERROR(__xludf.DUMMYFUNCTION("PRODUCT(
   MAP(
     K$3:ED$3,
     K$14:ED$14,
     K$13:ED$13,
     K71:ED71,
     LAMBDA(
       job,
       buff,
       target,
       check,
       IF(
         AND(check=TRUE, REGEXMATCH(target, ""SELF_EFFECTED_GCD""), ISNUMBER(buff), job=""学者""),"&amp;"
         buff,
         1
       )
     )
   )
 )"),1.0)</f>
        <v>1</v>
      </c>
      <c r="EN71" s="200">
        <f>IFERROR(__xludf.DUMMYFUNCTION("PRODUCT(
   MAP(
     K$3:ED$3,
     K$14:ED$14,
     K$13:ED$13,
     K71:ED71,
     LAMBDA(
       job,
       buff,
       target,
       check,
       IF(
         AND(check=TRUE, REGEXMATCH(target, ""SELF_EFFECTED_ALL""), ISNUMBER(buff), job=""賢者""),"&amp;"
         buff,
         1
       )
     )
   )
 )"),1.0)</f>
        <v>1</v>
      </c>
      <c r="EO71" s="200">
        <f>IFERROR(__xludf.DUMMYFUNCTION("PRODUCT(
   MAP(
     K$3:ED$3,
     K$14:ED$14,
     K$13:ED$13,
     K71:ED71,
     LAMBDA(
       job,
       buff,
       target,
       check,
       IF(
         AND(check=TRUE, REGEXMATCH(target, ""SELF_EFFECTED_GCD""), ISNUMBER(buff), job=""賢者""),"&amp;"
         buff,
         1
       )
     )
   )
 )"),1.0)</f>
        <v>1</v>
      </c>
      <c r="EP71" s="201">
        <f t="shared" si="3"/>
        <v>0</v>
      </c>
      <c r="EQ71" s="201">
        <f>IFERROR(__xludf.DUMMYFUNCTION("SUM(
   MAP(
     K$4:ED$4,
     K$3:ED$3,
     K$7:ED$7,
     K$15:ED$15,
     K$16:ED$16,
     K$21:ED$21,
     K$5:ED$5,
     K$17:ED$17,
     K71:ED71,
     LAMBDA(
       name,
       job,
       abillity,
       buff,
       barrier,
       enhance,"&amp;"
       assign,
       precondition,
       check,
       SWITCH(
         name,
         ""シェイクオフ"", IF(check=TRUE, buff + (0.02 * COUNTIF(ARRAYFORMULA((REGEXMATCH($K$4:$ED$4, ""スリル・オブ・バトル|ヴェンジェンス|原初の血気|ダムネーション"")) * (K71:ED71=TRUE)), 1)), 0),
         "&amp;"""インプロビゼーションフィニッシュ(踊りの激情0)"", IF(ISNUMBER(check), INDEX(Skill!$AJ:$AJ, MATCH(SUBSTITUTE(DV$4, 0, check), Skill!$C:$C, 0)), 0),
         IF(
           AND(check=TRUE, REGEXMATCH(assign, ""RANGE_PARTY"")),
           IF(
             OR(ARRAYFORMULA((IF(pr"&amp;"econdition="""", FALSE, REGEXMATCH($K$4:$ED$4, precondition))) * (K71:ED71=TRUE))),
             enhance,
             IF(barrier="""", buff, barrier)
           ),
           0
         )
       ) *
       SWITCH(
         job,
         ""ナイト"", EY$24,
 "&amp;"        ""戦士"", FD$24,
         ""踊り子"", ET$24,
         ""ピクトマンサー"", ET$24,
         ""白魔道士"", EF71 * EH71 * IF(abillity, 1, EG71 * EI71) * (Option!$D$22 * 0.81 / 100),
         ""占星術師"", EF71 * EJ71 * IF(abillity, 1, EG71 * EK71) * (Option!$D$23 * 0.81 "&amp;"/ 100),
         ""学者"", EF71 * EL71 * IF(abillity, 1, EG71 * EM71) * (Option!$D$24 * 0.81 / 100),
         ""賢者"", EF71 * EN71 * IF(abillity, 1, EG71 * EO71) * (Option!$D$25 * 0.81 / 100),
         1
       )
     )
   )
 )"),0.0)</f>
        <v>0</v>
      </c>
      <c r="ER71" s="202">
        <f t="shared" si="4"/>
        <v>0</v>
      </c>
      <c r="ES71" s="203">
        <f t="shared" si="5"/>
        <v>0</v>
      </c>
      <c r="ET71" s="204" t="str">
        <f>IFERROR(__xludf.DUMMYFUNCTION("IFS(
  EP71 &gt; $ET$24 + EQ71,
  SPARKLINE({ 1, 0 }, {""charttype"",""bar"";""max"", 1;""color1"",Option!$D$30;""color2"",Option!$D$30}),
  EP71 &lt; EQ71,
  SPARKLINE({EQ71 - EP71, $ET$24 - (EQ71 - EP71)}, {""charttype"",""bar"";""max"",$ET$24;""color1"",Opti"&amp;"on!$D$28;""color2"",Option!$D$29}),
  EP71 &gt;= EQ71,
  SPARKLINE({$ET$24 + EQ71 - EP71,EP71 - EQ71}, {""charttype"",""bar"";""max"",$ET$24;""color1"",Option!$D$29;""color2"",Option!$D$30})
)"),"")</f>
        <v/>
      </c>
      <c r="EU71" s="205">
        <f>IFERROR(__xludf.DUMMYFUNCTION("PRODUCT(
   MAP(
     IF($F71=""Physical"", K$10:ED$10, IF($F71=""Magic"", K$11:ED$11, K$12:ED$12)),
     IF($F71=""Physical"", K$18:ED$18, IF($F71=""Magic"", K$19:ED$19, K$20:ED$20)),
     K$3:ED$3,
     K$5:ED$5,
     K$17:ED$17,
     K71:ED71,
     LAM"&amp;"BDA(
       mitigation,
       enhance,
       job,
       assign,
       precondition,
       check,
       IF(
         OR(AND(check=TRUE, REGEXMATCH(assign, ""SELF""), job=""ナイト""), AND(check=Option!$E$13, REGEXMATCH(assign, ""SINGLE_PARTY""))),
      "&amp;"   IF(
           OR(ARRAYFORMULA((IF(precondition="""", FALSE, REGEXMATCH($K$4:$ED$4, precondition))) * (K71:ED71=TRUE))),
           enhance,
           mitigation
         ),
         1
       )
     )
   )
 ) * EE71"),1.0)</f>
        <v>1</v>
      </c>
      <c r="EV71" s="206">
        <f t="shared" si="6"/>
        <v>0</v>
      </c>
      <c r="EW71" s="205">
        <f>IFERROR(__xludf.DUMMYFUNCTION("PRODUCT(
   MAP(
     K$3:ED$3,
     K$14:ED$14,
     K$13:ED$13,
     K71:ED71,
     LAMBDA(
       job,
       buff,
       target,
       check,
       IF(
         OR(AND(check=TRUE, REGEXMATCH(target, ""SELF_AFFECTED_ALL""), job=""ナイト""), AND(check=O"&amp;"ption!$E$13, REGEXMATCH(target, ""SINGLE_AFFECTED_ALL""))),
         buff,
         1
       )
     )
   )
 )"),1.0)</f>
        <v>1</v>
      </c>
      <c r="EX71" s="206">
        <f>IFERROR(__xludf.DUMMYFUNCTION("SUM(
   MAP(
     K$3:ED$3,
     K$7:ED$7,
     K$15:ED$15,
     K$16:ED$16,
     K$21:ED$21,
     K$5:ED$5,
     K$17:ED$17,
     K71:ED71,
     LAMBDA(
       job,
       abillity,
       buff,
       barrier,
       enhance,
       assign,
       preco"&amp;"ndition,
       check,
       IF(
         OR(AND(check=TRUE, REGEXMATCH(assign, ""SELF""), job=""ナイト""), AND(check=Option!$E$13, REGEXMATCH(assign, ""SINGLE_PARTY""))),
         IF(
           OR(ARRAYFORMULA((IF(precondition="""", FALSE, REGEXMATCH($K$4"&amp;":$ED$4, precondition))) * (K71:ED71=TRUE))),
           enhance,
           IF(barrier="""", buff, barrier)
         ),
         0
       ) *
       SWITCH(
         job,
         ""暗黒騎士"", EY$24,
         ""白魔道士"", EF71 * EH71 * EW71 * IF(abillity, 1, EG"&amp;"71 * EI71) * (Option!$D$22 * 0.81 / 100),
         ""占星術師"", EF71 * EJ71 * EW71 * IF(abillity, 1, EG71 * EK71) * (Option!$D$23 * 0.81 / 100),
         ""学者"", EF71 * EL71 * EW71 * IF(abillity, 1, EG71 * EM71) * (Option!$D$24 * 0.81 / 100),
         ""賢者"""&amp;", EF71 * EN71 * EW71 * IF(abillity, 1, EG71 * EO71) * (Option!$D$25 * 0.81 / 100),
         1
       )
     )
   )
 ) + EQ71"),0.0)</f>
        <v>0</v>
      </c>
      <c r="EY71" s="206">
        <f t="shared" si="7"/>
        <v>0</v>
      </c>
      <c r="EZ71" s="205">
        <f>IFERROR(__xludf.DUMMYFUNCTION("PRODUCT(
   MAP(
     IF($F71=""Physical"", K$10:ED$10, IF($F71=""Magic"", K$11:ED$11, K$12:ED$12)),
     IF($F71=""Physical"", K$18:ED$18, IF($F71=""Magic"", K$19:ED$19, K$20:ED$20)),
     K$3:ED$3,
     K$5:ED$5,
     K$17:ED$17,
     K71:ED71,
     LAM"&amp;"BDA(
       mitigation,
       enhance,
       job,
       assign,
       precondition,
       check,
       IF(
         OR(AND(check=TRUE, REGEXMATCH(assign, ""SELF""), job=""戦士""), AND(check=Option!$F$13, REGEXMATCH(assign, ""SINGLE_PARTY""))),
       "&amp;"  IF(
           OR(ARRAYFORMULA((IF(precondition="""", FALSE, REGEXMATCH($K$4:$ED$4, precondition))) * (K71:ED71=TRUE))),
           enhance,
           mitigation
         ),
         1
       )
     )
   )
 ) * EE71"),1.0)</f>
        <v>1</v>
      </c>
      <c r="FA71" s="206">
        <f t="shared" si="8"/>
        <v>0</v>
      </c>
      <c r="FB71" s="205">
        <f>IFERROR(__xludf.DUMMYFUNCTION("PRODUCT(
   MAP(
     K$3:ED$3,
     K$14:ED$14,
     K$13:ED$13,
     K71:ED71,
     LAMBDA(
       job,
       buff,
       target,
       check,
       IF(
         OR(AND(check=TRUE, REGEXMATCH(target, ""SELF_AFFECTED_ALL""), job=""戦士""), AND(check=Op"&amp;"tion!$F$13, REGEXMATCH(target, ""SINGLE_AFFECTED_ALL""))),
         buff,
         1
       )
     )
   )
 )"),1.0)</f>
        <v>1</v>
      </c>
      <c r="FC71" s="206">
        <f>IFERROR(__xludf.DUMMYFUNCTION("SUM(
   MAP(
     K$3:ED$3,
     K$7:ED$7,
     K$15:ED$15,
     K$16:ED$16,
     K$21:ED$21,
     K$5:ED$5,
     K$17:ED$17,
     K71:ED71,
     LAMBDA(
       job,
       abillity,
       buff,
       barrier,
       enhance,
       assign,
       preco"&amp;"ndition,
       check,
       IF(
         OR(AND(check=TRUE, REGEXMATCH(assign, ""SELF""), job=""戦士""), AND(check=Option!$F$13, REGEXMATCH(assign, ""SINGLE_PARTY""))),
         IF(
           OR(ARRAYFORMULA((IF(precondition="""", FALSE, REGEXMATCH($K$4:"&amp;"$ED$4, precondition))) * (K71:ED71=TRUE))),
           enhance,
           IF(barrier="""", buff, barrier)
         ),
         0
       ) *
       SWITCH(
         job,
         ""暗黒騎士"", FD$24,
         ""白魔道士"", EF71 * EH71 * FB71 * IF(abillity, 1, EG7"&amp;"1 * EI71) * (Option!$D$22 * 0.81 / 100),
         ""占星術師"", EF71 * EJ71 * FFB71 * IF(abillity, 1, EG71 * EK71) * (Option!$D$23 * 0.81 / 100),
         ""学者"", EF71 * EL71 * FB71 * IF(abillity, 1, EG71 * EM71) * (Option!$D$24 * 0.81 / 100),
         ""賢者"""&amp;", EF71 * EN71 * FB71 * IF(abillity, 1, EG71 * EO71) * (Option!$D$25 * 0.81 / 100),
         1
       )
     )
   )
 ) + EQ71"),0.0)</f>
        <v>0</v>
      </c>
      <c r="FD71" s="206">
        <f t="shared" si="9"/>
        <v>0</v>
      </c>
      <c r="FE71" s="205">
        <f>IFERROR(__xludf.DUMMYFUNCTION("PRODUCT(
   MAP(
     IF($F71=""Physical"", K$10:ED$10, IF($F71=""Magic"", K$11:ED$11, K$12:ED$12)),
     IF($F71=""Physical"", K$18:ED$18, IF($F71=""Magic"", K$19:ED$19, K$20:ED$20)),
     K$3:ED$3,
     K$5:ED$5,
     K$17:ED$17,
     K71:ED71,
     LAM"&amp;"BDA(
       mitigation,
       enhance,
       job,
       assign,
       precondition,
       check,
       IF(
         OR(AND(check=TRUE, REGEXMATCH(assign, ""SELF""), job=""暗黒騎士""), AND(check=Option!$G$13, REGEXMATCH(assign, ""SINGLE_PARTY""))),
     "&amp;"    IF(
           OR(ARRAYFORMULA((IF(precondition="""", FALSE, REGEXMATCH($K$4:$ED$4, precondition))) * (K71:ED71=TRUE))),
           enhance,
           mitigation
         ),
         1
       )
     )
   )
 ) * EE71"),1.0)</f>
        <v>1</v>
      </c>
      <c r="FF71" s="206">
        <f t="shared" si="10"/>
        <v>0</v>
      </c>
      <c r="FG71" s="205">
        <f>IFERROR(__xludf.DUMMYFUNCTION("PRODUCT(
   MAP(
     K$3:ED$3,
     K$14:ED$14,
     K$13:ED$13,
     K71:ED71,
     LAMBDA(
       job,
       buff,
       target,
       check,
       IF(
         OR(AND(check=TRUE, REGEXMATCH(target, ""SELF_AFFECTED_ALL""), job=""暗黒騎士""), AND(check="&amp;"Option!$G$13, REGEXMATCH(target, ""SINGLE_AFFECTED_ALL""))),
         buff,
         1
       )
     )
   )
 )"),1.0)</f>
        <v>1</v>
      </c>
      <c r="FH71" s="206">
        <f>IFERROR(__xludf.DUMMYFUNCTION("SUM(
   MAP(
     K$3:ED$3,
     K$7:ED$7,
     K$15:ED$15,
     K$16:ED$16,
     K$21:ED$21,
     K$5:ED$5,
     K$17:ED$17,
     K71:ED71,
     LAMBDA(
       job,
       abillity,
       buff,
       barrier,
       enhance,
       assign,
       preco"&amp;"ndition,
       check,
       IF(
         OR(AND(check=TRUE, REGEXMATCH(assign, ""SELF""), job=""暗黒騎士""), AND(check=Option!$G$13, REGEXMATCH(assign, ""SINGLE_PARTY""))),
         IF(
           OR(ARRAYFORMULA((IF(precondition="""", FALSE, REGEXMATCH($K$"&amp;"4:$ED$4, precondition))) * (K71:ED71=TRUE))),
           enhance,
           IF(barrier="""", buff, barrier)
         ),
         0
       ) *
       SWITCH(
         job,
         ""暗黒騎士"", FI$24,
         ""白魔道士"", EF71 * EH71 * FG71 * IF(abillity, 1, E"&amp;"G71 * EI71) * (Option!$D$22 * 0.81 / 100),
         ""占星術師"", EF71 * EJ71 * FG71 * IF(abillity, 1, EG71 * EK71) * (Option!$D$23 * 0.81 / 100),
         ""学者"", EF71 * EL71 * FG71 * IF(abillity, 1, EG71 * EM71) * (Option!$D$24 * 0.81 / 100),
         ""賢者"&amp;""", EF71 * EN71 * FG71 * IF(abillity, 1, EG71 * EO71) * (Option!$D$25 * 0.81 / 100),
         1
       )
     )
   )
 ) + EQ71"),0.0)</f>
        <v>0</v>
      </c>
      <c r="FI71" s="206">
        <f t="shared" si="11"/>
        <v>0</v>
      </c>
      <c r="FJ71" s="205">
        <f>IFERROR(__xludf.DUMMYFUNCTION("PRODUCT(
   MAP(
     IF($F71=""Physical"", K$10:ED$10, IF($F71=""Magic"", K$11:ED$11, K$12:ED$12)),
     IF($F71=""Physical"", K$18:ED$18, IF($F71=""Magic"", K$19:ED$19, K$20:ED$20)),
     K$3:ED$3,
     K$5:ED$5,
     K$17:ED$17,
     K71:ED71,
     LAM"&amp;"BDA(
       mitigation,
       enhance,
       job,
       assign,
       precondition,
       check,
       IF(
         OR(AND(check=TRUE, REGEXMATCH(assign, ""SELF""), job=""ガンブレイカー""), AND(check=Option!$H$13, REGEXMATCH(assign, ""SINGLE_PARTY""))),
  "&amp;"       IF(
           OR(ARRAYFORMULA((IF(precondition="""", FALSE, REGEXMATCH($K$4:$ED$4, precondition))) * (K71:ED71=TRUE))),
           enhance,
           mitigation
         ),
         1
       )
     )
   )
 ) * EE71"),1.0)</f>
        <v>1</v>
      </c>
      <c r="FK71" s="206">
        <f t="shared" si="12"/>
        <v>0</v>
      </c>
      <c r="FL71" s="205">
        <f>IFERROR(__xludf.DUMMYFUNCTION("PRODUCT(
   MAP(
     K$3:ED$3,
     K$14:ED$14,
     K$13:ED$13,
     K71:ED71,
     LAMBDA(
       job,
       buff,
       target,
       check,
       IF(
         OR(AND(check=TRUE, REGEXMATCH(target, ""SELF_AFFECTED_ALL""), job=""ガンブレイカー""), AND(che"&amp;"ck=Option!$H$13, REGEXMATCH(target, ""SINGLE_AFFECTED_ALL""))),
         buff,
         1
       )
     )
   )
 )"),1.0)</f>
        <v>1</v>
      </c>
      <c r="FM71" s="206">
        <f>IFERROR(__xludf.DUMMYFUNCTION("SUM(
   MAP(
     K$3:ED$3,
     K$7:ED$7,
     K$15:ED$15,
     K$16:ED$16,
     K$21:ED$21,
     K$5:ED$5,
     K$17:ED$17,
     K71:ED71,
     LAMBDA(
       job,
       abillity,
       buff,
       barrier,
       enhance,
       assign,
       preco"&amp;"ndition,
       check,
       IF(
         OR(AND(check=TRUE, REGEXMATCH(assign, ""SELF""), job=""ガンブレイカー""), AND(check=Option!$H$13, REGEXMATCH(assign, ""SINGLE_PARTY""))),
         IF(
           OR(ARRAYFORMULA((IF(precondition="""", FALSE, REGEXMATCH("&amp;"$K$4:$ED$4, precondition))) * (K71:ED71=TRUE))),
           enhance,
           IF(barrier="""", buff, barrier)
         ),
         0
       ) *
       SWITCH(
         job,
         ""暗黒騎士"", FN$24,
         ""白魔道士"", EF71 * EH71 * FL71 * IF(abillity, 1"&amp;", EG71 * EI71) * (Option!$D$22 * 0.81 / 100),
         ""占星術師"", EF71 * EJ71 * FL71 * IF(abillity, 1, EG71 * EK71) * (Option!$D$23 * 0.81 / 100),
         ""学者"", EF71 * EL71 * FL71 * IF(abillity, 1, EG71 * EM71) * (Option!$D$24 * 0.81 / 100),
         """&amp;"賢者"", EF71 * EN71 * FL71 * IF(abillity, 1, EG71 * EO71) * (Option!$D$25 * 0.81 / 100),
         1
       )
     )
   )
 ) + EQ71"),0.0)</f>
        <v>0</v>
      </c>
      <c r="FN71" s="206">
        <f t="shared" si="13"/>
        <v>0</v>
      </c>
      <c r="FO71" s="213"/>
    </row>
    <row r="72">
      <c r="B72" s="229"/>
      <c r="C72" s="217">
        <f t="shared" si="1"/>
        <v>0</v>
      </c>
      <c r="D72" s="236"/>
      <c r="E72" s="226"/>
      <c r="F72" s="167"/>
      <c r="G72" s="168" t="str">
        <f t="shared" si="2"/>
        <v/>
      </c>
      <c r="H72" s="169"/>
      <c r="I72" s="169"/>
      <c r="J72" s="169"/>
      <c r="K72" s="170" t="b">
        <v>0</v>
      </c>
      <c r="L72" s="170" t="b">
        <v>0</v>
      </c>
      <c r="M72" s="170" t="b">
        <v>0</v>
      </c>
      <c r="N72" s="171" t="s">
        <v>1070</v>
      </c>
      <c r="O72" s="172" t="b">
        <v>0</v>
      </c>
      <c r="P72" s="173" t="b">
        <v>0</v>
      </c>
      <c r="Q72" s="173" t="b">
        <v>0</v>
      </c>
      <c r="R72" s="173" t="b">
        <v>0</v>
      </c>
      <c r="S72" s="174" t="b">
        <v>0</v>
      </c>
      <c r="T72" s="175" t="b">
        <v>0</v>
      </c>
      <c r="U72" s="173" t="b">
        <v>0</v>
      </c>
      <c r="V72" s="171" t="s">
        <v>1070</v>
      </c>
      <c r="W72" s="172" t="b">
        <v>0</v>
      </c>
      <c r="X72" s="173" t="b">
        <v>0</v>
      </c>
      <c r="Y72" s="173" t="b">
        <v>0</v>
      </c>
      <c r="Z72" s="173" t="b">
        <v>0</v>
      </c>
      <c r="AA72" s="174" t="b">
        <v>0</v>
      </c>
      <c r="AB72" s="174" t="b">
        <v>0</v>
      </c>
      <c r="AC72" s="175" t="b">
        <v>0</v>
      </c>
      <c r="AD72" s="173" t="b">
        <v>0</v>
      </c>
      <c r="AE72" s="176" t="s">
        <v>1070</v>
      </c>
      <c r="AF72" s="171" t="s">
        <v>1070</v>
      </c>
      <c r="AG72" s="177">
        <f>IFERROR(__xludf.DUMMYFUNCTION("IF(
  ISNUMBER(AG71),
  MIN(MAX(
    AG71
    + MAX(
      ROUNDDOWN(($D72 - MAX(IFERROR(FILTER($D$24:$D71, AG$24:AG71 &lt;&gt; AF$6, AG$23:AG70 = AF$6), 0))) * (60 * 60 * 24) / AF$9) - ROUNDDOWN(($D71 - MAX(IFERROR(FILTER($D$23:$D70, AG$23:AG70 &lt;&gt; AF$6, AG$22:"&amp;"AG69 = AF$6), 0))) * (60 * 60 * 24) / 60),
      0
    )
    - COUNTIF(AF72, ""&lt;&gt;-""),
  0), AF$6),
  AF$6 - COUNTIF(AF72, ""&lt;&gt;-"")
)"),2.0)</f>
        <v>2</v>
      </c>
      <c r="AH72" s="173" t="b">
        <v>0</v>
      </c>
      <c r="AI72" s="173" t="b">
        <v>0</v>
      </c>
      <c r="AJ72" s="173" t="b">
        <v>0</v>
      </c>
      <c r="AK72" s="174" t="b">
        <v>0</v>
      </c>
      <c r="AL72" s="175" t="b">
        <v>0</v>
      </c>
      <c r="AM72" s="173" t="b">
        <v>0</v>
      </c>
      <c r="AN72" s="171" t="s">
        <v>1070</v>
      </c>
      <c r="AO72" s="173" t="b">
        <v>0</v>
      </c>
      <c r="AP72" s="173" t="b">
        <v>0</v>
      </c>
      <c r="AQ72" s="173" t="b">
        <v>0</v>
      </c>
      <c r="AR72" s="174" t="b">
        <v>0</v>
      </c>
      <c r="AS72" s="178" t="b">
        <v>0</v>
      </c>
      <c r="AT72" s="179" t="b">
        <v>0</v>
      </c>
      <c r="AU72" s="180" t="b">
        <v>0</v>
      </c>
      <c r="AV72" s="180" t="b">
        <v>0</v>
      </c>
      <c r="AW72" s="180" t="b">
        <v>0</v>
      </c>
      <c r="AX72" s="180" t="b">
        <v>0</v>
      </c>
      <c r="AY72" s="181" t="s">
        <v>1070</v>
      </c>
      <c r="AZ72" s="181" t="s">
        <v>1070</v>
      </c>
      <c r="BA72" s="184">
        <f>IFERROR(__xludf.DUMMYFUNCTION("IF(
  ISNUMBER(BA71),
  MIN(MAX(
    BA71
    + MAX(
      ROUNDDOWN((D72 - MAX(IFERROR(FILTER(D$24:D71, BA$24:BA71 &lt;&gt; AZ$6, BA$23:BA70 = AZ$6), 0))) * (60 * 60 * 24) / AZ$9) - ROUNDDOWN((D71 - MAX(IFERROR(FILTER(D$23:D70, BA$23:BA70 &lt;&gt; AZ$6, BA$22:BA69 ="&amp;" AZ$6), 0))) * (60 * 60 * 24) / AZ$9),
      0
    )
    - COUNTIF(AZ72, ""&lt;&gt;-""),
  0), AZ$6),
  AZ$6 - COUNTIF(AZ72, ""&lt;&gt;-"")
)"),2.0)</f>
        <v>2</v>
      </c>
      <c r="BB72" s="181" t="s">
        <v>1070</v>
      </c>
      <c r="BC72" s="183">
        <f>IFERROR(__xludf.DUMMYFUNCTION("IF(
  ISNUMBER(BC71),
  MIN(MAX(
    BC71
    + MAX(
      ROUNDDOWN(($D72 - MAX(IFERROR(FILTER($D$24:$D71, BC$24:BC71 &lt;&gt; BB$6, BC$23:BC70 = BB$6), 0))) * (60 * 60 * 24) / BB$9) - ROUNDDOWN(($D71 - MAX(IFERROR(FILTER($D$23:$D70, BC$23:BC70 &lt;&gt; BB$6, BC$22:"&amp;"BC69 = BB$6), 0))) * (60 * 60 * 24) / 60),
      0
    )
    - COUNTIF(BB72, ""&lt;&gt;-""),
  0), BB$6),
  BB$6 - COUNTIF(BB72, ""&lt;&gt;-"")
)"),2.0)</f>
        <v>2</v>
      </c>
      <c r="BD72" s="181" t="s">
        <v>1070</v>
      </c>
      <c r="BE72" s="178" t="b">
        <v>0</v>
      </c>
      <c r="BF72" s="180" t="b">
        <v>0</v>
      </c>
      <c r="BG72" s="180" t="b">
        <v>0</v>
      </c>
      <c r="BH72" s="180" t="b">
        <v>0</v>
      </c>
      <c r="BI72" s="180" t="b">
        <v>0</v>
      </c>
      <c r="BJ72" s="180" t="b">
        <v>0</v>
      </c>
      <c r="BK72" s="180" t="b">
        <v>0</v>
      </c>
      <c r="BL72" s="180" t="b">
        <v>0</v>
      </c>
      <c r="BM72" s="180" t="b">
        <v>0</v>
      </c>
      <c r="BN72" s="180" t="b">
        <v>0</v>
      </c>
      <c r="BO72" s="181" t="s">
        <v>1070</v>
      </c>
      <c r="BP72" s="181" t="s">
        <v>1070</v>
      </c>
      <c r="BQ72" s="181" t="s">
        <v>1070</v>
      </c>
      <c r="BR72" s="181" t="s">
        <v>1070</v>
      </c>
      <c r="BS72" s="181" t="s">
        <v>1070</v>
      </c>
      <c r="BT72" s="184">
        <f>IFERROR(__xludf.DUMMYFUNCTION("IF(
  ISNUMBER(BT71),
  MIN(MAX(
    BT71
    + MAX(
      ROUNDDOWN((D72 - MAX(IFERROR(FILTER(D$24:D71, BT$24:BT71 &lt;&gt; BS$6, BT$23:BT70 = BS$6), 0))) * (60 * 60 * 24) / BS$9) - ROUNDDOWN((D71 - MAX(IFERROR(FILTER(D$23:D70, BT$23:BT70 &lt;&gt; BS$6, BT$22:BT69 ="&amp;" BS$6), 0))) * (60 * 60 * 24) / BS$9),
      0
    )
    - COUNTIF(BS72, ""&lt;&gt;-""),
  0), BS$6),
  BS$6 - COUNTIF(BS72, ""&lt;&gt;-"")
)"),3.0)</f>
        <v>3</v>
      </c>
      <c r="BU72" s="181" t="s">
        <v>1070</v>
      </c>
      <c r="BV72" s="181" t="s">
        <v>1070</v>
      </c>
      <c r="BW72" s="184">
        <f>IFERROR(__xludf.DUMMYFUNCTION("IF(
  ISNUMBER(BW71),
  MIN(MAX(
    BW71
    + MAX(
      ROUNDDOWN((D72 - MAX(IFERROR(FILTER(D$24:D71, BW$24:BW71 &lt;&gt; BV$6, BW$23:BW70 = BV$6), 0))) * (60 * 60 * 24) / BV$9) - ROUNDDOWN((D71 - MAX(IFERROR(FILTER(D$23:D70, BW$23:BW70 &lt;&gt; BV$6, BW$22:BW69 ="&amp;" BV$6), 0))) * (60 * 60 * 24) / BV$9),
      0
    )
    - COUNTIF(BV72, ""&lt;&gt;-""),
  0), BV$6),
  BV$6 - COUNTIF(BV72, ""&lt;&gt;-"")
)"),2.0)</f>
        <v>2</v>
      </c>
      <c r="BX72" s="185" t="s">
        <v>1070</v>
      </c>
      <c r="BY72" s="178" t="b">
        <v>0</v>
      </c>
      <c r="BZ72" s="180" t="b">
        <v>0</v>
      </c>
      <c r="CA72" s="180" t="b">
        <v>0</v>
      </c>
      <c r="CB72" s="180" t="b">
        <v>0</v>
      </c>
      <c r="CC72" s="180" t="b">
        <v>0</v>
      </c>
      <c r="CD72" s="180" t="b">
        <v>0</v>
      </c>
      <c r="CE72" s="180" t="b">
        <v>0</v>
      </c>
      <c r="CF72" s="180" t="b">
        <v>0</v>
      </c>
      <c r="CG72" s="180" t="b">
        <v>0</v>
      </c>
      <c r="CH72" s="180" t="b">
        <v>0</v>
      </c>
      <c r="CI72" s="180" t="b">
        <v>0</v>
      </c>
      <c r="CJ72" s="180" t="b">
        <v>0</v>
      </c>
      <c r="CK72" s="180" t="b">
        <v>0</v>
      </c>
      <c r="CL72" s="180" t="b">
        <v>0</v>
      </c>
      <c r="CM72" s="181" t="s">
        <v>1070</v>
      </c>
      <c r="CN72" s="181" t="s">
        <v>1070</v>
      </c>
      <c r="CO72" s="181" t="s">
        <v>1070</v>
      </c>
      <c r="CP72" s="181" t="s">
        <v>1070</v>
      </c>
      <c r="CQ72" s="185" t="s">
        <v>1070</v>
      </c>
      <c r="CR72" s="180" t="b">
        <v>0</v>
      </c>
      <c r="CS72" s="186" t="str">
        <f t="shared" si="14"/>
        <v>◇◇◇</v>
      </c>
      <c r="CT72" s="178" t="b">
        <v>0</v>
      </c>
      <c r="CU72" s="180" t="b">
        <v>0</v>
      </c>
      <c r="CV72" s="180" t="b">
        <v>0</v>
      </c>
      <c r="CW72" s="180" t="b">
        <v>0</v>
      </c>
      <c r="CX72" s="180" t="b">
        <v>0</v>
      </c>
      <c r="CY72" s="180" t="b">
        <v>0</v>
      </c>
      <c r="CZ72" s="180" t="b">
        <v>0</v>
      </c>
      <c r="DA72" s="180" t="b">
        <v>0</v>
      </c>
      <c r="DB72" s="180" t="b">
        <v>0</v>
      </c>
      <c r="DC72" s="180" t="b">
        <v>0</v>
      </c>
      <c r="DD72" s="181" t="s">
        <v>1070</v>
      </c>
      <c r="DE72" s="181" t="s">
        <v>1070</v>
      </c>
      <c r="DF72" s="181" t="s">
        <v>1070</v>
      </c>
      <c r="DG72" s="185" t="s">
        <v>1070</v>
      </c>
      <c r="DH72" s="180" t="b">
        <v>0</v>
      </c>
      <c r="DI72" s="187" t="str">
        <f>IFERROR(__xludf.DUMMYFUNCTION("SWITCH(
  IF(
    ISTEXT(DI71),
    IF (
      FIND(""○"", DI71&amp;""○"") &gt; 3,
      3,
      FIND(""○"", DI71&amp;""○"")
      + MAX(
        ROUNDDOWN(($D72 - MAX(IFERROR(FILTER(D$24:D71, DI$24:DI71 &lt;&gt; ""●●●"", DI$23:DI70 = ""●●●""), 0))) * (60 * 60 * 24) / 20"&amp;") - ROUNDDOWN(($D71 - MAX(IFERROR(FILTER(D$23:D70, DI$23:DI70 &lt;&gt; ""●●●"", DI$22:DI69 = ""●●●""), 0))) * (60 * 60 * 24) / 20),
        0
      ) - 1
    ) - COUNTIFS(CU72, ""=TRUE"", CU71, ""&lt;&gt;TRUE"") - COUNTIF(CZ72, ""=TRUE"") - COUNTIF({DD72,DE72}, ""&lt;&gt;-"&amp;""") + COUNTIF(DH72, ""=TRUE""),
    3
  ),
  0, ""○○○"", 1, ""●○○"", 2, ""●●○"", 3, ""●●●"", 4, ""●●●"", ""○○○""
)"),"●●●")</f>
        <v>●●●</v>
      </c>
      <c r="DJ72" s="188" t="b">
        <v>0</v>
      </c>
      <c r="DK72" s="189" t="b">
        <v>0</v>
      </c>
      <c r="DL72" s="190" t="b">
        <v>0</v>
      </c>
      <c r="DM72" s="190" t="b">
        <v>0</v>
      </c>
      <c r="DN72" s="190" t="b">
        <v>0</v>
      </c>
      <c r="DO72" s="190" t="b">
        <v>0</v>
      </c>
      <c r="DP72" s="190" t="b">
        <v>0</v>
      </c>
      <c r="DQ72" s="191" t="b">
        <v>0</v>
      </c>
      <c r="DR72" s="192" t="b">
        <v>0</v>
      </c>
      <c r="DS72" s="191" t="b">
        <v>0</v>
      </c>
      <c r="DT72" s="192" t="b">
        <v>0</v>
      </c>
      <c r="DU72" s="191" t="b">
        <v>0</v>
      </c>
      <c r="DV72" s="193" t="s">
        <v>1070</v>
      </c>
      <c r="DW72" s="194" t="b">
        <v>0</v>
      </c>
      <c r="DX72" s="194" t="b">
        <v>0</v>
      </c>
      <c r="DY72" s="195" t="b">
        <v>0</v>
      </c>
      <c r="DZ72" s="196" t="b">
        <v>0</v>
      </c>
      <c r="EA72" s="195" t="b">
        <v>0</v>
      </c>
      <c r="EB72" s="197" t="b">
        <v>0</v>
      </c>
      <c r="EC72" s="197" t="b">
        <v>0</v>
      </c>
      <c r="ED72" s="212" t="b">
        <v>0</v>
      </c>
      <c r="EE72" s="199">
        <f>IFERROR(__xludf.DUMMYFUNCTION("IFERROR(
   PRODUCT(
     MAP(
       INDEX(TRANSPOSE(UNIQUE(TRANSPOSE(FILTER({IF($F72=""Physical"", K$10:ED$10, IF($F72=""Magic"", K$11:ED$11, K$12:ED$12));K$4:ED$4;K72:ED72}, K72:ED72=TRUE)))), 1, 0),
       INDEX(TRANSPOSE(UNIQUE(TRANSPOSE(FILTER({IF($"&amp;"F72=""Physical"", K$18:ED$18, IF($F72=""Magic"", K$19:ED$19, K$20:ED$20));K$4:ED$4;K72:ED72}, K72:ED72=TRUE)))), 1, 0),
       INDEX(TRANSPOSE(UNIQUE(TRANSPOSE(FILTER({K$5:ED$5;K$4:ED$4;K72:ED72}, K72:ED72=TRUE)))), 1, 0),
       INDEX(TRANSPOSE(UNIQUE(TR"&amp;"ANSPOSE(FILTER({K$17:ED$17;K$4:ED$4;K72:ED72}, K72:ED72=TRUE)))), 1, 0),
       LAMBDA(
         mitigation,
         enhance,
         assign,
         precondition,
         IF(
           REGEXMATCH(assign, ""RANGE_PARTY|SINGLE_ENEMY|RANGE_ENEMY""),
  "&amp;"         IF(
             OR(ARRAYFORMULA((IF(precondition="""", FALSE, REGEXMATCH(K$4:ED$4, precondition))) * (K72:ED72=TRUE))),
             IF(ISNUMBER(enhance), enhance, 1),
             IF(ISNUMBER(mitigation), mitigation, 1)
           ),
          "&amp;" 1
         )
       )
     )
   ),
   1
 )"),1.0)</f>
        <v>1</v>
      </c>
      <c r="EF72" s="200">
        <f>IFERROR(__xludf.DUMMYFUNCTION("PRODUCT(
   MAP(
     K$14:ED$14,
     K$13:ED$13,
     K72:ED72,
     LAMBDA(
       buff,
       target,
       check,
       IF(
         AND(check=TRUE, REGEXMATCH(target, ""RANGE_AFFECTED_ALL|RANGE_EFFECTED_ALL""), ISNUMBER(buff)),
         buff,
   "&amp;"      1
       )
     )
   )
 )"),1.0)</f>
        <v>1</v>
      </c>
      <c r="EG72" s="200">
        <f>IFERROR(__xludf.DUMMYFUNCTION("PRODUCT(
   MAP(
     K$14:ED$14,
     K$13:ED$13,
     K72:ED72,
     LAMBDA(
       buff,
       target,
       check,
       IF(
         AND(check=TRUE, REGEXMATCH(target, ""RANGE_AFFECTED_GCD|RANGE_EFFECTED_GCD""), ISNUMBER(buff)),
         buff,
   "&amp;"      1
       )
     )
   )
 )"),1.0)</f>
        <v>1</v>
      </c>
      <c r="EH72" s="200">
        <f>IFERROR(__xludf.DUMMYFUNCTION("PRODUCT(
   MAP(
     K$3:ED$3,
     K$14:ED$14,
     K$13:ED$13,
     K72:ED72,
     LAMBDA(
       job,
       buff,
       target,
       check,
       IF(
         AND(check=TRUE, REGEXMATCH(target, ""SELF_EFFECTED_ALL""), ISNUMBER(buff), job=""白魔道士"""&amp;"),
         buff,
         1
       )
     )
   )
 )"),1.0)</f>
        <v>1</v>
      </c>
      <c r="EI72" s="200">
        <f>IFERROR(__xludf.DUMMYFUNCTION("PRODUCT(
   MAP(
     K$3:ED$3,
     K$14:ED$14,
     K$13:ED$13,
     K72:ED72,
     LAMBDA(
       job,
       buff,
       target,
       check,
       IF(
         AND(check=TRUE, REGEXMATCH(target, ""SELF_EFFECTED_GCD""), ISNUMBER(buff), job=""白魔道士"""&amp;"),
         buff,
         1
       )
     )
   )
 )"),1.0)</f>
        <v>1</v>
      </c>
      <c r="EJ72" s="200">
        <f>IFERROR(__xludf.DUMMYFUNCTION("PRODUCT(
   MAP(
     K$3:ED$3,
     K$14:ED$14,
     K$13:ED$13,
     K72:ED72,
     LAMBDA(
       job,
       buff,
       target,
       check,
       IF(
         AND(check=TRUE, REGEXMATCH(target, ""SELF_EFFECTED_ALL""), ISNUMBER(buff), job=""占星術師"""&amp;"),
         buff,
         1
       )
     )
   )
 )"),1.0)</f>
        <v>1</v>
      </c>
      <c r="EK72" s="200">
        <f>IFERROR(__xludf.DUMMYFUNCTION("PRODUCT(
   MAP(
     K$3:ED$3,
     K$14:ED$14,
     K$13:ED$13,
     K72:ED72,
     LAMBDA(
       job,
       buff,
       target,
       check,
       IF(
         AND(check=TRUE, REGEXMATCH(target, ""SELF_EFFECTED_GCD""), ISNUMBER(buff), job=""占星術師"""&amp;"),
         buff,
         1
       )
     )
   )
 )"),1.0)</f>
        <v>1</v>
      </c>
      <c r="EL72" s="200">
        <f>IFERROR(__xludf.DUMMYFUNCTION("PRODUCT(
   MAP(
     K$3:ED$3,
     K$14:ED$14,
     K$13:ED$13,
     K72:ED72,
     LAMBDA(
       job,
       buff,
       target,
       check,
       IF(
         AND(check=TRUE, REGEXMATCH(target, ""SELF_EFFECTED_ALL""), ISNUMBER(buff), job=""学者""),"&amp;"
         buff,
         1
       )
     )
   )
 )"),1.0)</f>
        <v>1</v>
      </c>
      <c r="EM72" s="200">
        <f>IFERROR(__xludf.DUMMYFUNCTION("PRODUCT(
   MAP(
     K$3:ED$3,
     K$14:ED$14,
     K$13:ED$13,
     K72:ED72,
     LAMBDA(
       job,
       buff,
       target,
       check,
       IF(
         AND(check=TRUE, REGEXMATCH(target, ""SELF_EFFECTED_GCD""), ISNUMBER(buff), job=""学者""),"&amp;"
         buff,
         1
       )
     )
   )
 )"),1.0)</f>
        <v>1</v>
      </c>
      <c r="EN72" s="200">
        <f>IFERROR(__xludf.DUMMYFUNCTION("PRODUCT(
   MAP(
     K$3:ED$3,
     K$14:ED$14,
     K$13:ED$13,
     K72:ED72,
     LAMBDA(
       job,
       buff,
       target,
       check,
       IF(
         AND(check=TRUE, REGEXMATCH(target, ""SELF_EFFECTED_ALL""), ISNUMBER(buff), job=""賢者""),"&amp;"
         buff,
         1
       )
     )
   )
 )"),1.0)</f>
        <v>1</v>
      </c>
      <c r="EO72" s="200">
        <f>IFERROR(__xludf.DUMMYFUNCTION("PRODUCT(
   MAP(
     K$3:ED$3,
     K$14:ED$14,
     K$13:ED$13,
     K72:ED72,
     LAMBDA(
       job,
       buff,
       target,
       check,
       IF(
         AND(check=TRUE, REGEXMATCH(target, ""SELF_EFFECTED_GCD""), ISNUMBER(buff), job=""賢者""),"&amp;"
         buff,
         1
       )
     )
   )
 )"),1.0)</f>
        <v>1</v>
      </c>
      <c r="EP72" s="201">
        <f t="shared" si="3"/>
        <v>0</v>
      </c>
      <c r="EQ72" s="201">
        <f>IFERROR(__xludf.DUMMYFUNCTION("SUM(
   MAP(
     K$4:ED$4,
     K$3:ED$3,
     K$7:ED$7,
     K$15:ED$15,
     K$16:ED$16,
     K$21:ED$21,
     K$5:ED$5,
     K$17:ED$17,
     K72:ED72,
     LAMBDA(
       name,
       job,
       abillity,
       buff,
       barrier,
       enhance,"&amp;"
       assign,
       precondition,
       check,
       SWITCH(
         name,
         ""シェイクオフ"", IF(check=TRUE, buff + (0.02 * COUNTIF(ARRAYFORMULA((REGEXMATCH($K$4:$ED$4, ""スリル・オブ・バトル|ヴェンジェンス|原初の血気|ダムネーション"")) * (K72:ED72=TRUE)), 1)), 0),
         "&amp;"""インプロビゼーションフィニッシュ(踊りの激情0)"", IF(ISNUMBER(check), INDEX(Skill!$AJ:$AJ, MATCH(SUBSTITUTE(DV$4, 0, check), Skill!$C:$C, 0)), 0),
         IF(
           AND(check=TRUE, REGEXMATCH(assign, ""RANGE_PARTY"")),
           IF(
             OR(ARRAYFORMULA((IF(pr"&amp;"econdition="""", FALSE, REGEXMATCH($K$4:$ED$4, precondition))) * (K72:ED72=TRUE))),
             enhance,
             IF(barrier="""", buff, barrier)
           ),
           0
         )
       ) *
       SWITCH(
         job,
         ""ナイト"", EY$24,
 "&amp;"        ""戦士"", FD$24,
         ""踊り子"", ET$24,
         ""ピクトマンサー"", ET$24,
         ""白魔道士"", EF72 * EH72 * IF(abillity, 1, EG72 * EI72) * (Option!$D$22 * 0.81 / 100),
         ""占星術師"", EF72 * EJ72 * IF(abillity, 1, EG72 * EK72) * (Option!$D$23 * 0.81 "&amp;"/ 100),
         ""学者"", EF72 * EL72 * IF(abillity, 1, EG72 * EM72) * (Option!$D$24 * 0.81 / 100),
         ""賢者"", EF72 * EN72 * IF(abillity, 1, EG72 * EO72) * (Option!$D$25 * 0.81 / 100),
         1
       )
     )
   )
 )"),0.0)</f>
        <v>0</v>
      </c>
      <c r="ER72" s="202">
        <f t="shared" si="4"/>
        <v>0</v>
      </c>
      <c r="ES72" s="203">
        <f t="shared" si="5"/>
        <v>0</v>
      </c>
      <c r="ET72" s="204" t="str">
        <f>IFERROR(__xludf.DUMMYFUNCTION("IFS(
  EP72 &gt; $ET$24 + EQ72,
  SPARKLINE({ 1, 0 }, {""charttype"",""bar"";""max"", 1;""color1"",Option!$D$30;""color2"",Option!$D$30}),
  EP72 &lt; EQ72,
  SPARKLINE({EQ72 - EP72, $ET$24 - (EQ72 - EP72)}, {""charttype"",""bar"";""max"",$ET$24;""color1"",Opti"&amp;"on!$D$28;""color2"",Option!$D$29}),
  EP72 &gt;= EQ72,
  SPARKLINE({$ET$24 + EQ72 - EP72,EP72 - EQ72}, {""charttype"",""bar"";""max"",$ET$24;""color1"",Option!$D$29;""color2"",Option!$D$30})
)"),"")</f>
        <v/>
      </c>
      <c r="EU72" s="205">
        <f>IFERROR(__xludf.DUMMYFUNCTION("PRODUCT(
   MAP(
     IF($F72=""Physical"", K$10:ED$10, IF($F72=""Magic"", K$11:ED$11, K$12:ED$12)),
     IF($F72=""Physical"", K$18:ED$18, IF($F72=""Magic"", K$19:ED$19, K$20:ED$20)),
     K$3:ED$3,
     K$5:ED$5,
     K$17:ED$17,
     K72:ED72,
     LAM"&amp;"BDA(
       mitigation,
       enhance,
       job,
       assign,
       precondition,
       check,
       IF(
         OR(AND(check=TRUE, REGEXMATCH(assign, ""SELF""), job=""ナイト""), AND(check=Option!$E$13, REGEXMATCH(assign, ""SINGLE_PARTY""))),
      "&amp;"   IF(
           OR(ARRAYFORMULA((IF(precondition="""", FALSE, REGEXMATCH($K$4:$ED$4, precondition))) * (K72:ED72=TRUE))),
           enhance,
           mitigation
         ),
         1
       )
     )
   )
 ) * EE72"),1.0)</f>
        <v>1</v>
      </c>
      <c r="EV72" s="206">
        <f t="shared" si="6"/>
        <v>0</v>
      </c>
      <c r="EW72" s="205">
        <f>IFERROR(__xludf.DUMMYFUNCTION("PRODUCT(
   MAP(
     K$3:ED$3,
     K$14:ED$14,
     K$13:ED$13,
     K72:ED72,
     LAMBDA(
       job,
       buff,
       target,
       check,
       IF(
         OR(AND(check=TRUE, REGEXMATCH(target, ""SELF_AFFECTED_ALL""), job=""ナイト""), AND(check=O"&amp;"ption!$E$13, REGEXMATCH(target, ""SINGLE_AFFECTED_ALL""))),
         buff,
         1
       )
     )
   )
 )"),1.0)</f>
        <v>1</v>
      </c>
      <c r="EX72" s="206">
        <f>IFERROR(__xludf.DUMMYFUNCTION("SUM(
   MAP(
     K$3:ED$3,
     K$7:ED$7,
     K$15:ED$15,
     K$16:ED$16,
     K$21:ED$21,
     K$5:ED$5,
     K$17:ED$17,
     K72:ED72,
     LAMBDA(
       job,
       abillity,
       buff,
       barrier,
       enhance,
       assign,
       preco"&amp;"ndition,
       check,
       IF(
         OR(AND(check=TRUE, REGEXMATCH(assign, ""SELF""), job=""ナイト""), AND(check=Option!$E$13, REGEXMATCH(assign, ""SINGLE_PARTY""))),
         IF(
           OR(ARRAYFORMULA((IF(precondition="""", FALSE, REGEXMATCH($K$4"&amp;":$ED$4, precondition))) * (K72:ED72=TRUE))),
           enhance,
           IF(barrier="""", buff, barrier)
         ),
         0
       ) *
       SWITCH(
         job,
         ""暗黒騎士"", EY$24,
         ""白魔道士"", EF72 * EH72 * EW72 * IF(abillity, 1, EG"&amp;"72 * EI72) * (Option!$D$22 * 0.81 / 100),
         ""占星術師"", EF72 * EJ72 * EW72 * IF(abillity, 1, EG72 * EK72) * (Option!$D$23 * 0.81 / 100),
         ""学者"", EF72 * EL72 * EW72 * IF(abillity, 1, EG72 * EM72) * (Option!$D$24 * 0.81 / 100),
         ""賢者"""&amp;", EF72 * EN72 * EW72 * IF(abillity, 1, EG72 * EO72) * (Option!$D$25 * 0.81 / 100),
         1
       )
     )
   )
 ) + EQ72"),0.0)</f>
        <v>0</v>
      </c>
      <c r="EY72" s="206">
        <f t="shared" si="7"/>
        <v>0</v>
      </c>
      <c r="EZ72" s="205">
        <f>IFERROR(__xludf.DUMMYFUNCTION("PRODUCT(
   MAP(
     IF($F72=""Physical"", K$10:ED$10, IF($F72=""Magic"", K$11:ED$11, K$12:ED$12)),
     IF($F72=""Physical"", K$18:ED$18, IF($F72=""Magic"", K$19:ED$19, K$20:ED$20)),
     K$3:ED$3,
     K$5:ED$5,
     K$17:ED$17,
     K72:ED72,
     LAM"&amp;"BDA(
       mitigation,
       enhance,
       job,
       assign,
       precondition,
       check,
       IF(
         OR(AND(check=TRUE, REGEXMATCH(assign, ""SELF""), job=""戦士""), AND(check=Option!$F$13, REGEXMATCH(assign, ""SINGLE_PARTY""))),
       "&amp;"  IF(
           OR(ARRAYFORMULA((IF(precondition="""", FALSE, REGEXMATCH($K$4:$ED$4, precondition))) * (K72:ED72=TRUE))),
           enhance,
           mitigation
         ),
         1
       )
     )
   )
 ) * EE72"),1.0)</f>
        <v>1</v>
      </c>
      <c r="FA72" s="206">
        <f t="shared" si="8"/>
        <v>0</v>
      </c>
      <c r="FB72" s="205">
        <f>IFERROR(__xludf.DUMMYFUNCTION("PRODUCT(
   MAP(
     K$3:ED$3,
     K$14:ED$14,
     K$13:ED$13,
     K72:ED72,
     LAMBDA(
       job,
       buff,
       target,
       check,
       IF(
         OR(AND(check=TRUE, REGEXMATCH(target, ""SELF_AFFECTED_ALL""), job=""戦士""), AND(check=Op"&amp;"tion!$F$13, REGEXMATCH(target, ""SINGLE_AFFECTED_ALL""))),
         buff,
         1
       )
     )
   )
 )"),1.0)</f>
        <v>1</v>
      </c>
      <c r="FC72" s="206">
        <f>IFERROR(__xludf.DUMMYFUNCTION("SUM(
   MAP(
     K$3:ED$3,
     K$7:ED$7,
     K$15:ED$15,
     K$16:ED$16,
     K$21:ED$21,
     K$5:ED$5,
     K$17:ED$17,
     K72:ED72,
     LAMBDA(
       job,
       abillity,
       buff,
       barrier,
       enhance,
       assign,
       preco"&amp;"ndition,
       check,
       IF(
         OR(AND(check=TRUE, REGEXMATCH(assign, ""SELF""), job=""戦士""), AND(check=Option!$F$13, REGEXMATCH(assign, ""SINGLE_PARTY""))),
         IF(
           OR(ARRAYFORMULA((IF(precondition="""", FALSE, REGEXMATCH($K$4:"&amp;"$ED$4, precondition))) * (K72:ED72=TRUE))),
           enhance,
           IF(barrier="""", buff, barrier)
         ),
         0
       ) *
       SWITCH(
         job,
         ""暗黒騎士"", FD$24,
         ""白魔道士"", EF72 * EH72 * FB72 * IF(abillity, 1, EG7"&amp;"2 * EI72) * (Option!$D$22 * 0.81 / 100),
         ""占星術師"", EF72 * EJ72 * FFB72 * IF(abillity, 1, EG72 * EK72) * (Option!$D$23 * 0.81 / 100),
         ""学者"", EF72 * EL72 * FB72 * IF(abillity, 1, EG72 * EM72) * (Option!$D$24 * 0.81 / 100),
         ""賢者"""&amp;", EF72 * EN72 * FB72 * IF(abillity, 1, EG72 * EO72) * (Option!$D$25 * 0.81 / 100),
         1
       )
     )
   )
 ) + EQ72"),0.0)</f>
        <v>0</v>
      </c>
      <c r="FD72" s="206">
        <f t="shared" si="9"/>
        <v>0</v>
      </c>
      <c r="FE72" s="205">
        <f>IFERROR(__xludf.DUMMYFUNCTION("PRODUCT(
   MAP(
     IF($F72=""Physical"", K$10:ED$10, IF($F72=""Magic"", K$11:ED$11, K$12:ED$12)),
     IF($F72=""Physical"", K$18:ED$18, IF($F72=""Magic"", K$19:ED$19, K$20:ED$20)),
     K$3:ED$3,
     K$5:ED$5,
     K$17:ED$17,
     K72:ED72,
     LAM"&amp;"BDA(
       mitigation,
       enhance,
       job,
       assign,
       precondition,
       check,
       IF(
         OR(AND(check=TRUE, REGEXMATCH(assign, ""SELF""), job=""暗黒騎士""), AND(check=Option!$G$13, REGEXMATCH(assign, ""SINGLE_PARTY""))),
     "&amp;"    IF(
           OR(ARRAYFORMULA((IF(precondition="""", FALSE, REGEXMATCH($K$4:$ED$4, precondition))) * (K72:ED72=TRUE))),
           enhance,
           mitigation
         ),
         1
       )
     )
   )
 ) * EE72"),1.0)</f>
        <v>1</v>
      </c>
      <c r="FF72" s="206">
        <f t="shared" si="10"/>
        <v>0</v>
      </c>
      <c r="FG72" s="205">
        <f>IFERROR(__xludf.DUMMYFUNCTION("PRODUCT(
   MAP(
     K$3:ED$3,
     K$14:ED$14,
     K$13:ED$13,
     K72:ED72,
     LAMBDA(
       job,
       buff,
       target,
       check,
       IF(
         OR(AND(check=TRUE, REGEXMATCH(target, ""SELF_AFFECTED_ALL""), job=""暗黒騎士""), AND(check="&amp;"Option!$G$13, REGEXMATCH(target, ""SINGLE_AFFECTED_ALL""))),
         buff,
         1
       )
     )
   )
 )"),1.0)</f>
        <v>1</v>
      </c>
      <c r="FH72" s="206">
        <f>IFERROR(__xludf.DUMMYFUNCTION("SUM(
   MAP(
     K$3:ED$3,
     K$7:ED$7,
     K$15:ED$15,
     K$16:ED$16,
     K$21:ED$21,
     K$5:ED$5,
     K$17:ED$17,
     K72:ED72,
     LAMBDA(
       job,
       abillity,
       buff,
       barrier,
       enhance,
       assign,
       preco"&amp;"ndition,
       check,
       IF(
         OR(AND(check=TRUE, REGEXMATCH(assign, ""SELF""), job=""暗黒騎士""), AND(check=Option!$G$13, REGEXMATCH(assign, ""SINGLE_PARTY""))),
         IF(
           OR(ARRAYFORMULA((IF(precondition="""", FALSE, REGEXMATCH($K$"&amp;"4:$ED$4, precondition))) * (K72:ED72=TRUE))),
           enhance,
           IF(barrier="""", buff, barrier)
         ),
         0
       ) *
       SWITCH(
         job,
         ""暗黒騎士"", FI$24,
         ""白魔道士"", EF72 * EH72 * FG72 * IF(abillity, 1, E"&amp;"G72 * EI72) * (Option!$D$22 * 0.81 / 100),
         ""占星術師"", EF72 * EJ72 * FG72 * IF(abillity, 1, EG72 * EK72) * (Option!$D$23 * 0.81 / 100),
         ""学者"", EF72 * EL72 * FG72 * IF(abillity, 1, EG72 * EM72) * (Option!$D$24 * 0.81 / 100),
         ""賢者"&amp;""", EF72 * EN72 * FG72 * IF(abillity, 1, EG72 * EO72) * (Option!$D$25 * 0.81 / 100),
         1
       )
     )
   )
 ) + EQ72"),0.0)</f>
        <v>0</v>
      </c>
      <c r="FI72" s="206">
        <f t="shared" si="11"/>
        <v>0</v>
      </c>
      <c r="FJ72" s="205">
        <f>IFERROR(__xludf.DUMMYFUNCTION("PRODUCT(
   MAP(
     IF($F72=""Physical"", K$10:ED$10, IF($F72=""Magic"", K$11:ED$11, K$12:ED$12)),
     IF($F72=""Physical"", K$18:ED$18, IF($F72=""Magic"", K$19:ED$19, K$20:ED$20)),
     K$3:ED$3,
     K$5:ED$5,
     K$17:ED$17,
     K72:ED72,
     LAM"&amp;"BDA(
       mitigation,
       enhance,
       job,
       assign,
       precondition,
       check,
       IF(
         OR(AND(check=TRUE, REGEXMATCH(assign, ""SELF""), job=""ガンブレイカー""), AND(check=Option!$H$13, REGEXMATCH(assign, ""SINGLE_PARTY""))),
  "&amp;"       IF(
           OR(ARRAYFORMULA((IF(precondition="""", FALSE, REGEXMATCH($K$4:$ED$4, precondition))) * (K72:ED72=TRUE))),
           enhance,
           mitigation
         ),
         1
       )
     )
   )
 ) * EE72"),1.0)</f>
        <v>1</v>
      </c>
      <c r="FK72" s="206">
        <f t="shared" si="12"/>
        <v>0</v>
      </c>
      <c r="FL72" s="205">
        <f>IFERROR(__xludf.DUMMYFUNCTION("PRODUCT(
   MAP(
     K$3:ED$3,
     K$14:ED$14,
     K$13:ED$13,
     K72:ED72,
     LAMBDA(
       job,
       buff,
       target,
       check,
       IF(
         OR(AND(check=TRUE, REGEXMATCH(target, ""SELF_AFFECTED_ALL""), job=""ガンブレイカー""), AND(che"&amp;"ck=Option!$H$13, REGEXMATCH(target, ""SINGLE_AFFECTED_ALL""))),
         buff,
         1
       )
     )
   )
 )"),1.0)</f>
        <v>1</v>
      </c>
      <c r="FM72" s="206">
        <f>IFERROR(__xludf.DUMMYFUNCTION("SUM(
   MAP(
     K$3:ED$3,
     K$7:ED$7,
     K$15:ED$15,
     K$16:ED$16,
     K$21:ED$21,
     K$5:ED$5,
     K$17:ED$17,
     K72:ED72,
     LAMBDA(
       job,
       abillity,
       buff,
       barrier,
       enhance,
       assign,
       preco"&amp;"ndition,
       check,
       IF(
         OR(AND(check=TRUE, REGEXMATCH(assign, ""SELF""), job=""ガンブレイカー""), AND(check=Option!$H$13, REGEXMATCH(assign, ""SINGLE_PARTY""))),
         IF(
           OR(ARRAYFORMULA((IF(precondition="""", FALSE, REGEXMATCH("&amp;"$K$4:$ED$4, precondition))) * (K72:ED72=TRUE))),
           enhance,
           IF(barrier="""", buff, barrier)
         ),
         0
       ) *
       SWITCH(
         job,
         ""暗黒騎士"", FN$24,
         ""白魔道士"", EF72 * EH72 * FL72 * IF(abillity, 1"&amp;", EG72 * EI72) * (Option!$D$22 * 0.81 / 100),
         ""占星術師"", EF72 * EJ72 * FL72 * IF(abillity, 1, EG72 * EK72) * (Option!$D$23 * 0.81 / 100),
         ""学者"", EF72 * EL72 * FL72 * IF(abillity, 1, EG72 * EM72) * (Option!$D$24 * 0.81 / 100),
         """&amp;"賢者"", EF72 * EN72 * FL72 * IF(abillity, 1, EG72 * EO72) * (Option!$D$25 * 0.81 / 100),
         1
       )
     )
   )
 ) + EQ72"),0.0)</f>
        <v>0</v>
      </c>
      <c r="FN72" s="206">
        <f t="shared" si="13"/>
        <v>0</v>
      </c>
      <c r="FO72" s="213"/>
    </row>
    <row r="73">
      <c r="B73" s="229"/>
      <c r="C73" s="217">
        <f t="shared" si="1"/>
        <v>0</v>
      </c>
      <c r="D73" s="236"/>
      <c r="E73" s="244"/>
      <c r="F73" s="167"/>
      <c r="G73" s="168" t="str">
        <f t="shared" si="2"/>
        <v/>
      </c>
      <c r="H73" s="169"/>
      <c r="I73" s="169"/>
      <c r="J73" s="169"/>
      <c r="K73" s="170" t="b">
        <v>0</v>
      </c>
      <c r="L73" s="170" t="b">
        <v>0</v>
      </c>
      <c r="M73" s="170" t="b">
        <v>0</v>
      </c>
      <c r="N73" s="171" t="s">
        <v>1070</v>
      </c>
      <c r="O73" s="172" t="b">
        <v>0</v>
      </c>
      <c r="P73" s="173" t="b">
        <v>0</v>
      </c>
      <c r="Q73" s="173" t="b">
        <v>0</v>
      </c>
      <c r="R73" s="173" t="b">
        <v>0</v>
      </c>
      <c r="S73" s="174" t="b">
        <v>0</v>
      </c>
      <c r="T73" s="175" t="b">
        <v>0</v>
      </c>
      <c r="U73" s="173" t="b">
        <v>0</v>
      </c>
      <c r="V73" s="171" t="s">
        <v>1070</v>
      </c>
      <c r="W73" s="172" t="b">
        <v>0</v>
      </c>
      <c r="X73" s="173" t="b">
        <v>0</v>
      </c>
      <c r="Y73" s="173" t="b">
        <v>0</v>
      </c>
      <c r="Z73" s="173" t="b">
        <v>0</v>
      </c>
      <c r="AA73" s="174" t="b">
        <v>0</v>
      </c>
      <c r="AB73" s="174" t="b">
        <v>0</v>
      </c>
      <c r="AC73" s="175" t="b">
        <v>0</v>
      </c>
      <c r="AD73" s="173" t="b">
        <v>0</v>
      </c>
      <c r="AE73" s="176" t="s">
        <v>1070</v>
      </c>
      <c r="AF73" s="171" t="s">
        <v>1070</v>
      </c>
      <c r="AG73" s="177">
        <f>IFERROR(__xludf.DUMMYFUNCTION("IF(
  ISNUMBER(AG72),
  MIN(MAX(
    AG72
    + MAX(
      ROUNDDOWN(($D73 - MAX(IFERROR(FILTER($D$24:$D72, AG$24:AG72 &lt;&gt; AF$6, AG$23:AG71 = AF$6), 0))) * (60 * 60 * 24) / AF$9) - ROUNDDOWN(($D72 - MAX(IFERROR(FILTER($D$23:$D71, AG$23:AG71 &lt;&gt; AF$6, AG$22:"&amp;"AG70 = AF$6), 0))) * (60 * 60 * 24) / 60),
      0
    )
    - COUNTIF(AF73, ""&lt;&gt;-""),
  0), AF$6),
  AF$6 - COUNTIF(AF73, ""&lt;&gt;-"")
)"),2.0)</f>
        <v>2</v>
      </c>
      <c r="AH73" s="173" t="b">
        <v>0</v>
      </c>
      <c r="AI73" s="173" t="b">
        <v>0</v>
      </c>
      <c r="AJ73" s="173" t="b">
        <v>0</v>
      </c>
      <c r="AK73" s="174" t="b">
        <v>0</v>
      </c>
      <c r="AL73" s="175" t="b">
        <v>0</v>
      </c>
      <c r="AM73" s="173" t="b">
        <v>0</v>
      </c>
      <c r="AN73" s="171" t="s">
        <v>1070</v>
      </c>
      <c r="AO73" s="173" t="b">
        <v>0</v>
      </c>
      <c r="AP73" s="173" t="b">
        <v>0</v>
      </c>
      <c r="AQ73" s="173" t="b">
        <v>0</v>
      </c>
      <c r="AR73" s="174" t="b">
        <v>0</v>
      </c>
      <c r="AS73" s="178" t="b">
        <v>0</v>
      </c>
      <c r="AT73" s="179" t="b">
        <v>0</v>
      </c>
      <c r="AU73" s="180" t="b">
        <v>0</v>
      </c>
      <c r="AV73" s="180" t="b">
        <v>0</v>
      </c>
      <c r="AW73" s="180" t="b">
        <v>0</v>
      </c>
      <c r="AX73" s="180" t="b">
        <v>0</v>
      </c>
      <c r="AY73" s="181" t="s">
        <v>1070</v>
      </c>
      <c r="AZ73" s="181" t="s">
        <v>1070</v>
      </c>
      <c r="BA73" s="184">
        <f>IFERROR(__xludf.DUMMYFUNCTION("IF(
  ISNUMBER(BA72),
  MIN(MAX(
    BA72
    + MAX(
      ROUNDDOWN((D73 - MAX(IFERROR(FILTER(D$24:D72, BA$24:BA72 &lt;&gt; AZ$6, BA$23:BA71 = AZ$6), 0))) * (60 * 60 * 24) / AZ$9) - ROUNDDOWN((D72 - MAX(IFERROR(FILTER(D$23:D71, BA$23:BA71 &lt;&gt; AZ$6, BA$22:BA70 ="&amp;" AZ$6), 0))) * (60 * 60 * 24) / AZ$9),
      0
    )
    - COUNTIF(AZ73, ""&lt;&gt;-""),
  0), AZ$6),
  AZ$6 - COUNTIF(AZ73, ""&lt;&gt;-"")
)"),2.0)</f>
        <v>2</v>
      </c>
      <c r="BB73" s="181" t="s">
        <v>1070</v>
      </c>
      <c r="BC73" s="183">
        <f>IFERROR(__xludf.DUMMYFUNCTION("IF(
  ISNUMBER(BC72),
  MIN(MAX(
    BC72
    + MAX(
      ROUNDDOWN(($D73 - MAX(IFERROR(FILTER($D$24:$D72, BC$24:BC72 &lt;&gt; BB$6, BC$23:BC71 = BB$6), 0))) * (60 * 60 * 24) / BB$9) - ROUNDDOWN(($D72 - MAX(IFERROR(FILTER($D$23:$D71, BC$23:BC71 &lt;&gt; BB$6, BC$22:"&amp;"BC70 = BB$6), 0))) * (60 * 60 * 24) / 60),
      0
    )
    - COUNTIF(BB73, ""&lt;&gt;-""),
  0), BB$6),
  BB$6 - COUNTIF(BB73, ""&lt;&gt;-"")
)"),2.0)</f>
        <v>2</v>
      </c>
      <c r="BD73" s="181" t="s">
        <v>1070</v>
      </c>
      <c r="BE73" s="178" t="b">
        <v>0</v>
      </c>
      <c r="BF73" s="180" t="b">
        <v>0</v>
      </c>
      <c r="BG73" s="180" t="b">
        <v>0</v>
      </c>
      <c r="BH73" s="180" t="b">
        <v>0</v>
      </c>
      <c r="BI73" s="180" t="b">
        <v>0</v>
      </c>
      <c r="BJ73" s="180" t="b">
        <v>0</v>
      </c>
      <c r="BK73" s="180" t="b">
        <v>0</v>
      </c>
      <c r="BL73" s="180" t="b">
        <v>0</v>
      </c>
      <c r="BM73" s="180" t="b">
        <v>0</v>
      </c>
      <c r="BN73" s="180" t="b">
        <v>0</v>
      </c>
      <c r="BO73" s="181" t="s">
        <v>1070</v>
      </c>
      <c r="BP73" s="181" t="s">
        <v>1070</v>
      </c>
      <c r="BQ73" s="181" t="s">
        <v>1070</v>
      </c>
      <c r="BR73" s="181" t="s">
        <v>1070</v>
      </c>
      <c r="BS73" s="181" t="s">
        <v>1070</v>
      </c>
      <c r="BT73" s="184">
        <f>IFERROR(__xludf.DUMMYFUNCTION("IF(
  ISNUMBER(BT72),
  MIN(MAX(
    BT72
    + MAX(
      ROUNDDOWN((D73 - MAX(IFERROR(FILTER(D$24:D72, BT$24:BT72 &lt;&gt; BS$6, BT$23:BT71 = BS$6), 0))) * (60 * 60 * 24) / BS$9) - ROUNDDOWN((D72 - MAX(IFERROR(FILTER(D$23:D71, BT$23:BT71 &lt;&gt; BS$6, BT$22:BT70 ="&amp;" BS$6), 0))) * (60 * 60 * 24) / BS$9),
      0
    )
    - COUNTIF(BS73, ""&lt;&gt;-""),
  0), BS$6),
  BS$6 - COUNTIF(BS73, ""&lt;&gt;-"")
)"),3.0)</f>
        <v>3</v>
      </c>
      <c r="BU73" s="181" t="s">
        <v>1070</v>
      </c>
      <c r="BV73" s="181" t="s">
        <v>1070</v>
      </c>
      <c r="BW73" s="184">
        <f>IFERROR(__xludf.DUMMYFUNCTION("IF(
  ISNUMBER(BW72),
  MIN(MAX(
    BW72
    + MAX(
      ROUNDDOWN((D73 - MAX(IFERROR(FILTER(D$24:D72, BW$24:BW72 &lt;&gt; BV$6, BW$23:BW71 = BV$6), 0))) * (60 * 60 * 24) / BV$9) - ROUNDDOWN((D72 - MAX(IFERROR(FILTER(D$23:D71, BW$23:BW71 &lt;&gt; BV$6, BW$22:BW70 ="&amp;" BV$6), 0))) * (60 * 60 * 24) / BV$9),
      0
    )
    - COUNTIF(BV73, ""&lt;&gt;-""),
  0), BV$6),
  BV$6 - COUNTIF(BV73, ""&lt;&gt;-"")
)"),2.0)</f>
        <v>2</v>
      </c>
      <c r="BX73" s="185" t="s">
        <v>1070</v>
      </c>
      <c r="BY73" s="178" t="b">
        <v>0</v>
      </c>
      <c r="BZ73" s="180" t="b">
        <v>0</v>
      </c>
      <c r="CA73" s="180" t="b">
        <v>0</v>
      </c>
      <c r="CB73" s="180" t="b">
        <v>0</v>
      </c>
      <c r="CC73" s="180" t="b">
        <v>0</v>
      </c>
      <c r="CD73" s="180" t="b">
        <v>0</v>
      </c>
      <c r="CE73" s="180" t="b">
        <v>0</v>
      </c>
      <c r="CF73" s="180" t="b">
        <v>0</v>
      </c>
      <c r="CG73" s="180" t="b">
        <v>0</v>
      </c>
      <c r="CH73" s="180" t="b">
        <v>0</v>
      </c>
      <c r="CI73" s="180" t="b">
        <v>0</v>
      </c>
      <c r="CJ73" s="180" t="b">
        <v>0</v>
      </c>
      <c r="CK73" s="180" t="b">
        <v>0</v>
      </c>
      <c r="CL73" s="180" t="b">
        <v>0</v>
      </c>
      <c r="CM73" s="181" t="s">
        <v>1070</v>
      </c>
      <c r="CN73" s="181" t="s">
        <v>1070</v>
      </c>
      <c r="CO73" s="181" t="s">
        <v>1070</v>
      </c>
      <c r="CP73" s="181" t="s">
        <v>1070</v>
      </c>
      <c r="CQ73" s="185" t="s">
        <v>1070</v>
      </c>
      <c r="CR73" s="180" t="b">
        <v>0</v>
      </c>
      <c r="CS73" s="186" t="str">
        <f t="shared" si="14"/>
        <v>◇◇◇</v>
      </c>
      <c r="CT73" s="178" t="b">
        <v>0</v>
      </c>
      <c r="CU73" s="180" t="b">
        <v>0</v>
      </c>
      <c r="CV73" s="180" t="b">
        <v>0</v>
      </c>
      <c r="CW73" s="180" t="b">
        <v>0</v>
      </c>
      <c r="CX73" s="180" t="b">
        <v>0</v>
      </c>
      <c r="CY73" s="180" t="b">
        <v>0</v>
      </c>
      <c r="CZ73" s="180" t="b">
        <v>0</v>
      </c>
      <c r="DA73" s="180" t="b">
        <v>0</v>
      </c>
      <c r="DB73" s="180" t="b">
        <v>0</v>
      </c>
      <c r="DC73" s="180" t="b">
        <v>0</v>
      </c>
      <c r="DD73" s="181" t="s">
        <v>1070</v>
      </c>
      <c r="DE73" s="181" t="s">
        <v>1070</v>
      </c>
      <c r="DF73" s="181" t="s">
        <v>1070</v>
      </c>
      <c r="DG73" s="185" t="s">
        <v>1070</v>
      </c>
      <c r="DH73" s="180" t="b">
        <v>0</v>
      </c>
      <c r="DI73" s="187" t="str">
        <f>IFERROR(__xludf.DUMMYFUNCTION("SWITCH(
  IF(
    ISTEXT(DI72),
    IF (
      FIND(""○"", DI72&amp;""○"") &gt; 3,
      3,
      FIND(""○"", DI72&amp;""○"")
      + MAX(
        ROUNDDOWN(($D73 - MAX(IFERROR(FILTER(D$24:D72, DI$24:DI72 &lt;&gt; ""●●●"", DI$23:DI71 = ""●●●""), 0))) * (60 * 60 * 24) / 20"&amp;") - ROUNDDOWN(($D72 - MAX(IFERROR(FILTER(D$23:D71, DI$23:DI71 &lt;&gt; ""●●●"", DI$22:DI70 = ""●●●""), 0))) * (60 * 60 * 24) / 20),
        0
      ) - 1
    ) - COUNTIFS(CU73, ""=TRUE"", CU72, ""&lt;&gt;TRUE"") - COUNTIF(CZ73, ""=TRUE"") - COUNTIF({DD73,DE73}, ""&lt;&gt;-"&amp;""") + COUNTIF(DH73, ""=TRUE""),
    3
  ),
  0, ""○○○"", 1, ""●○○"", 2, ""●●○"", 3, ""●●●"", 4, ""●●●"", ""○○○""
)"),"●●●")</f>
        <v>●●●</v>
      </c>
      <c r="DJ73" s="188" t="b">
        <v>0</v>
      </c>
      <c r="DK73" s="189" t="b">
        <v>0</v>
      </c>
      <c r="DL73" s="190" t="b">
        <v>0</v>
      </c>
      <c r="DM73" s="190" t="b">
        <v>0</v>
      </c>
      <c r="DN73" s="190" t="b">
        <v>0</v>
      </c>
      <c r="DO73" s="190" t="b">
        <v>0</v>
      </c>
      <c r="DP73" s="190" t="b">
        <v>0</v>
      </c>
      <c r="DQ73" s="191" t="b">
        <v>0</v>
      </c>
      <c r="DR73" s="192" t="b">
        <v>0</v>
      </c>
      <c r="DS73" s="191" t="b">
        <v>0</v>
      </c>
      <c r="DT73" s="192" t="b">
        <v>0</v>
      </c>
      <c r="DU73" s="191" t="b">
        <v>0</v>
      </c>
      <c r="DV73" s="193" t="s">
        <v>1070</v>
      </c>
      <c r="DW73" s="194" t="b">
        <v>0</v>
      </c>
      <c r="DX73" s="194" t="b">
        <v>0</v>
      </c>
      <c r="DY73" s="195" t="b">
        <v>0</v>
      </c>
      <c r="DZ73" s="196" t="b">
        <v>0</v>
      </c>
      <c r="EA73" s="195" t="b">
        <v>0</v>
      </c>
      <c r="EB73" s="197" t="b">
        <v>0</v>
      </c>
      <c r="EC73" s="197" t="b">
        <v>0</v>
      </c>
      <c r="ED73" s="212" t="b">
        <v>0</v>
      </c>
      <c r="EE73" s="199">
        <f>IFERROR(__xludf.DUMMYFUNCTION("IFERROR(
   PRODUCT(
     MAP(
       INDEX(TRANSPOSE(UNIQUE(TRANSPOSE(FILTER({IF($F73=""Physical"", K$10:ED$10, IF($F73=""Magic"", K$11:ED$11, K$12:ED$12));K$4:ED$4;K73:ED73}, K73:ED73=TRUE)))), 1, 0),
       INDEX(TRANSPOSE(UNIQUE(TRANSPOSE(FILTER({IF($"&amp;"F73=""Physical"", K$18:ED$18, IF($F73=""Magic"", K$19:ED$19, K$20:ED$20));K$4:ED$4;K73:ED73}, K73:ED73=TRUE)))), 1, 0),
       INDEX(TRANSPOSE(UNIQUE(TRANSPOSE(FILTER({K$5:ED$5;K$4:ED$4;K73:ED73}, K73:ED73=TRUE)))), 1, 0),
       INDEX(TRANSPOSE(UNIQUE(TR"&amp;"ANSPOSE(FILTER({K$17:ED$17;K$4:ED$4;K73:ED73}, K73:ED73=TRUE)))), 1, 0),
       LAMBDA(
         mitigation,
         enhance,
         assign,
         precondition,
         IF(
           REGEXMATCH(assign, ""RANGE_PARTY|SINGLE_ENEMY|RANGE_ENEMY""),
  "&amp;"         IF(
             OR(ARRAYFORMULA((IF(precondition="""", FALSE, REGEXMATCH(K$4:ED$4, precondition))) * (K73:ED73=TRUE))),
             IF(ISNUMBER(enhance), enhance, 1),
             IF(ISNUMBER(mitigation), mitigation, 1)
           ),
          "&amp;" 1
         )
       )
     )
   ),
   1
 )"),1.0)</f>
        <v>1</v>
      </c>
      <c r="EF73" s="200">
        <f>IFERROR(__xludf.DUMMYFUNCTION("PRODUCT(
   MAP(
     K$14:ED$14,
     K$13:ED$13,
     K73:ED73,
     LAMBDA(
       buff,
       target,
       check,
       IF(
         AND(check=TRUE, REGEXMATCH(target, ""RANGE_AFFECTED_ALL|RANGE_EFFECTED_ALL""), ISNUMBER(buff)),
         buff,
   "&amp;"      1
       )
     )
   )
 )"),1.0)</f>
        <v>1</v>
      </c>
      <c r="EG73" s="200">
        <f>IFERROR(__xludf.DUMMYFUNCTION("PRODUCT(
   MAP(
     K$14:ED$14,
     K$13:ED$13,
     K73:ED73,
     LAMBDA(
       buff,
       target,
       check,
       IF(
         AND(check=TRUE, REGEXMATCH(target, ""RANGE_AFFECTED_GCD|RANGE_EFFECTED_GCD""), ISNUMBER(buff)),
         buff,
   "&amp;"      1
       )
     )
   )
 )"),1.0)</f>
        <v>1</v>
      </c>
      <c r="EH73" s="200">
        <f>IFERROR(__xludf.DUMMYFUNCTION("PRODUCT(
   MAP(
     K$3:ED$3,
     K$14:ED$14,
     K$13:ED$13,
     K73:ED73,
     LAMBDA(
       job,
       buff,
       target,
       check,
       IF(
         AND(check=TRUE, REGEXMATCH(target, ""SELF_EFFECTED_ALL""), ISNUMBER(buff), job=""白魔道士"""&amp;"),
         buff,
         1
       )
     )
   )
 )"),1.0)</f>
        <v>1</v>
      </c>
      <c r="EI73" s="200">
        <f>IFERROR(__xludf.DUMMYFUNCTION("PRODUCT(
   MAP(
     K$3:ED$3,
     K$14:ED$14,
     K$13:ED$13,
     K73:ED73,
     LAMBDA(
       job,
       buff,
       target,
       check,
       IF(
         AND(check=TRUE, REGEXMATCH(target, ""SELF_EFFECTED_GCD""), ISNUMBER(buff), job=""白魔道士"""&amp;"),
         buff,
         1
       )
     )
   )
 )"),1.0)</f>
        <v>1</v>
      </c>
      <c r="EJ73" s="200">
        <f>IFERROR(__xludf.DUMMYFUNCTION("PRODUCT(
   MAP(
     K$3:ED$3,
     K$14:ED$14,
     K$13:ED$13,
     K73:ED73,
     LAMBDA(
       job,
       buff,
       target,
       check,
       IF(
         AND(check=TRUE, REGEXMATCH(target, ""SELF_EFFECTED_ALL""), ISNUMBER(buff), job=""占星術師"""&amp;"),
         buff,
         1
       )
     )
   )
 )"),1.0)</f>
        <v>1</v>
      </c>
      <c r="EK73" s="200">
        <f>IFERROR(__xludf.DUMMYFUNCTION("PRODUCT(
   MAP(
     K$3:ED$3,
     K$14:ED$14,
     K$13:ED$13,
     K73:ED73,
     LAMBDA(
       job,
       buff,
       target,
       check,
       IF(
         AND(check=TRUE, REGEXMATCH(target, ""SELF_EFFECTED_GCD""), ISNUMBER(buff), job=""占星術師"""&amp;"),
         buff,
         1
       )
     )
   )
 )"),1.0)</f>
        <v>1</v>
      </c>
      <c r="EL73" s="200">
        <f>IFERROR(__xludf.DUMMYFUNCTION("PRODUCT(
   MAP(
     K$3:ED$3,
     K$14:ED$14,
     K$13:ED$13,
     K73:ED73,
     LAMBDA(
       job,
       buff,
       target,
       check,
       IF(
         AND(check=TRUE, REGEXMATCH(target, ""SELF_EFFECTED_ALL""), ISNUMBER(buff), job=""学者""),"&amp;"
         buff,
         1
       )
     )
   )
 )"),1.0)</f>
        <v>1</v>
      </c>
      <c r="EM73" s="200">
        <f>IFERROR(__xludf.DUMMYFUNCTION("PRODUCT(
   MAP(
     K$3:ED$3,
     K$14:ED$14,
     K$13:ED$13,
     K73:ED73,
     LAMBDA(
       job,
       buff,
       target,
       check,
       IF(
         AND(check=TRUE, REGEXMATCH(target, ""SELF_EFFECTED_GCD""), ISNUMBER(buff), job=""学者""),"&amp;"
         buff,
         1
       )
     )
   )
 )"),1.0)</f>
        <v>1</v>
      </c>
      <c r="EN73" s="200">
        <f>IFERROR(__xludf.DUMMYFUNCTION("PRODUCT(
   MAP(
     K$3:ED$3,
     K$14:ED$14,
     K$13:ED$13,
     K73:ED73,
     LAMBDA(
       job,
       buff,
       target,
       check,
       IF(
         AND(check=TRUE, REGEXMATCH(target, ""SELF_EFFECTED_ALL""), ISNUMBER(buff), job=""賢者""),"&amp;"
         buff,
         1
       )
     )
   )
 )"),1.0)</f>
        <v>1</v>
      </c>
      <c r="EO73" s="200">
        <f>IFERROR(__xludf.DUMMYFUNCTION("PRODUCT(
   MAP(
     K$3:ED$3,
     K$14:ED$14,
     K$13:ED$13,
     K73:ED73,
     LAMBDA(
       job,
       buff,
       target,
       check,
       IF(
         AND(check=TRUE, REGEXMATCH(target, ""SELF_EFFECTED_GCD""), ISNUMBER(buff), job=""賢者""),"&amp;"
         buff,
         1
       )
     )
   )
 )"),1.0)</f>
        <v>1</v>
      </c>
      <c r="EP73" s="201">
        <f t="shared" si="3"/>
        <v>0</v>
      </c>
      <c r="EQ73" s="201">
        <f>IFERROR(__xludf.DUMMYFUNCTION("SUM(
   MAP(
     K$4:ED$4,
     K$3:ED$3,
     K$7:ED$7,
     K$15:ED$15,
     K$16:ED$16,
     K$21:ED$21,
     K$5:ED$5,
     K$17:ED$17,
     K73:ED73,
     LAMBDA(
       name,
       job,
       abillity,
       buff,
       barrier,
       enhance,"&amp;"
       assign,
       precondition,
       check,
       SWITCH(
         name,
         ""シェイクオフ"", IF(check=TRUE, buff + (0.02 * COUNTIF(ARRAYFORMULA((REGEXMATCH($K$4:$ED$4, ""スリル・オブ・バトル|ヴェンジェンス|原初の血気|ダムネーション"")) * (K73:ED73=TRUE)), 1)), 0),
         "&amp;"""インプロビゼーションフィニッシュ(踊りの激情0)"", IF(ISNUMBER(check), INDEX(Skill!$AJ:$AJ, MATCH(SUBSTITUTE(DV$4, 0, check), Skill!$C:$C, 0)), 0),
         IF(
           AND(check=TRUE, REGEXMATCH(assign, ""RANGE_PARTY"")),
           IF(
             OR(ARRAYFORMULA((IF(pr"&amp;"econdition="""", FALSE, REGEXMATCH($K$4:$ED$4, precondition))) * (K73:ED73=TRUE))),
             enhance,
             IF(barrier="""", buff, barrier)
           ),
           0
         )
       ) *
       SWITCH(
         job,
         ""ナイト"", EY$24,
 "&amp;"        ""戦士"", FD$24,
         ""踊り子"", ET$24,
         ""ピクトマンサー"", ET$24,
         ""白魔道士"", EF73 * EH73 * IF(abillity, 1, EG73 * EI73) * (Option!$D$22 * 0.81 / 100),
         ""占星術師"", EF73 * EJ73 * IF(abillity, 1, EG73 * EK73) * (Option!$D$23 * 0.81 "&amp;"/ 100),
         ""学者"", EF73 * EL73 * IF(abillity, 1, EG73 * EM73) * (Option!$D$24 * 0.81 / 100),
         ""賢者"", EF73 * EN73 * IF(abillity, 1, EG73 * EO73) * (Option!$D$25 * 0.81 / 100),
         1
       )
     )
   )
 )"),0.0)</f>
        <v>0</v>
      </c>
      <c r="ER73" s="202">
        <f t="shared" si="4"/>
        <v>0</v>
      </c>
      <c r="ES73" s="203">
        <f t="shared" si="5"/>
        <v>0</v>
      </c>
      <c r="ET73" s="204" t="str">
        <f>IFERROR(__xludf.DUMMYFUNCTION("IFS(
  EP73 &gt; $ET$24 + EQ73,
  SPARKLINE({ 1, 0 }, {""charttype"",""bar"";""max"", 1;""color1"",Option!$D$30;""color2"",Option!$D$30}),
  EP73 &lt; EQ73,
  SPARKLINE({EQ73 - EP73, $ET$24 - (EQ73 - EP73)}, {""charttype"",""bar"";""max"",$ET$24;""color1"",Opti"&amp;"on!$D$28;""color2"",Option!$D$29}),
  EP73 &gt;= EQ73,
  SPARKLINE({$ET$24 + EQ73 - EP73,EP73 - EQ73}, {""charttype"",""bar"";""max"",$ET$24;""color1"",Option!$D$29;""color2"",Option!$D$30})
)"),"")</f>
        <v/>
      </c>
      <c r="EU73" s="205">
        <f>IFERROR(__xludf.DUMMYFUNCTION("PRODUCT(
   MAP(
     IF($F73=""Physical"", K$10:ED$10, IF($F73=""Magic"", K$11:ED$11, K$12:ED$12)),
     IF($F73=""Physical"", K$18:ED$18, IF($F73=""Magic"", K$19:ED$19, K$20:ED$20)),
     K$3:ED$3,
     K$5:ED$5,
     K$17:ED$17,
     K73:ED73,
     LAM"&amp;"BDA(
       mitigation,
       enhance,
       job,
       assign,
       precondition,
       check,
       IF(
         OR(AND(check=TRUE, REGEXMATCH(assign, ""SELF""), job=""ナイト""), AND(check=Option!$E$13, REGEXMATCH(assign, ""SINGLE_PARTY""))),
      "&amp;"   IF(
           OR(ARRAYFORMULA((IF(precondition="""", FALSE, REGEXMATCH($K$4:$ED$4, precondition))) * (K73:ED73=TRUE))),
           enhance,
           mitigation
         ),
         1
       )
     )
   )
 ) * EE73"),1.0)</f>
        <v>1</v>
      </c>
      <c r="EV73" s="206">
        <f t="shared" si="6"/>
        <v>0</v>
      </c>
      <c r="EW73" s="205">
        <f>IFERROR(__xludf.DUMMYFUNCTION("PRODUCT(
   MAP(
     K$3:ED$3,
     K$14:ED$14,
     K$13:ED$13,
     K73:ED73,
     LAMBDA(
       job,
       buff,
       target,
       check,
       IF(
         OR(AND(check=TRUE, REGEXMATCH(target, ""SELF_AFFECTED_ALL""), job=""ナイト""), AND(check=O"&amp;"ption!$E$13, REGEXMATCH(target, ""SINGLE_AFFECTED_ALL""))),
         buff,
         1
       )
     )
   )
 )"),1.0)</f>
        <v>1</v>
      </c>
      <c r="EX73" s="206">
        <f>IFERROR(__xludf.DUMMYFUNCTION("SUM(
   MAP(
     K$3:ED$3,
     K$7:ED$7,
     K$15:ED$15,
     K$16:ED$16,
     K$21:ED$21,
     K$5:ED$5,
     K$17:ED$17,
     K73:ED73,
     LAMBDA(
       job,
       abillity,
       buff,
       barrier,
       enhance,
       assign,
       preco"&amp;"ndition,
       check,
       IF(
         OR(AND(check=TRUE, REGEXMATCH(assign, ""SELF""), job=""ナイト""), AND(check=Option!$E$13, REGEXMATCH(assign, ""SINGLE_PARTY""))),
         IF(
           OR(ARRAYFORMULA((IF(precondition="""", FALSE, REGEXMATCH($K$4"&amp;":$ED$4, precondition))) * (K73:ED73=TRUE))),
           enhance,
           IF(barrier="""", buff, barrier)
         ),
         0
       ) *
       SWITCH(
         job,
         ""暗黒騎士"", EY$24,
         ""白魔道士"", EF73 * EH73 * EW73 * IF(abillity, 1, EG"&amp;"73 * EI73) * (Option!$D$22 * 0.81 / 100),
         ""占星術師"", EF73 * EJ73 * EW73 * IF(abillity, 1, EG73 * EK73) * (Option!$D$23 * 0.81 / 100),
         ""学者"", EF73 * EL73 * EW73 * IF(abillity, 1, EG73 * EM73) * (Option!$D$24 * 0.81 / 100),
         ""賢者"""&amp;", EF73 * EN73 * EW73 * IF(abillity, 1, EG73 * EO73) * (Option!$D$25 * 0.81 / 100),
         1
       )
     )
   )
 ) + EQ73"),0.0)</f>
        <v>0</v>
      </c>
      <c r="EY73" s="206">
        <f t="shared" si="7"/>
        <v>0</v>
      </c>
      <c r="EZ73" s="205">
        <f>IFERROR(__xludf.DUMMYFUNCTION("PRODUCT(
   MAP(
     IF($F73=""Physical"", K$10:ED$10, IF($F73=""Magic"", K$11:ED$11, K$12:ED$12)),
     IF($F73=""Physical"", K$18:ED$18, IF($F73=""Magic"", K$19:ED$19, K$20:ED$20)),
     K$3:ED$3,
     K$5:ED$5,
     K$17:ED$17,
     K73:ED73,
     LAM"&amp;"BDA(
       mitigation,
       enhance,
       job,
       assign,
       precondition,
       check,
       IF(
         OR(AND(check=TRUE, REGEXMATCH(assign, ""SELF""), job=""戦士""), AND(check=Option!$F$13, REGEXMATCH(assign, ""SINGLE_PARTY""))),
       "&amp;"  IF(
           OR(ARRAYFORMULA((IF(precondition="""", FALSE, REGEXMATCH($K$4:$ED$4, precondition))) * (K73:ED73=TRUE))),
           enhance,
           mitigation
         ),
         1
       )
     )
   )
 ) * EE73"),1.0)</f>
        <v>1</v>
      </c>
      <c r="FA73" s="206">
        <f t="shared" si="8"/>
        <v>0</v>
      </c>
      <c r="FB73" s="205">
        <f>IFERROR(__xludf.DUMMYFUNCTION("PRODUCT(
   MAP(
     K$3:ED$3,
     K$14:ED$14,
     K$13:ED$13,
     K73:ED73,
     LAMBDA(
       job,
       buff,
       target,
       check,
       IF(
         OR(AND(check=TRUE, REGEXMATCH(target, ""SELF_AFFECTED_ALL""), job=""戦士""), AND(check=Op"&amp;"tion!$F$13, REGEXMATCH(target, ""SINGLE_AFFECTED_ALL""))),
         buff,
         1
       )
     )
   )
 )"),1.0)</f>
        <v>1</v>
      </c>
      <c r="FC73" s="206">
        <f>IFERROR(__xludf.DUMMYFUNCTION("SUM(
   MAP(
     K$3:ED$3,
     K$7:ED$7,
     K$15:ED$15,
     K$16:ED$16,
     K$21:ED$21,
     K$5:ED$5,
     K$17:ED$17,
     K73:ED73,
     LAMBDA(
       job,
       abillity,
       buff,
       barrier,
       enhance,
       assign,
       preco"&amp;"ndition,
       check,
       IF(
         OR(AND(check=TRUE, REGEXMATCH(assign, ""SELF""), job=""戦士""), AND(check=Option!$F$13, REGEXMATCH(assign, ""SINGLE_PARTY""))),
         IF(
           OR(ARRAYFORMULA((IF(precondition="""", FALSE, REGEXMATCH($K$4:"&amp;"$ED$4, precondition))) * (K73:ED73=TRUE))),
           enhance,
           IF(barrier="""", buff, barrier)
         ),
         0
       ) *
       SWITCH(
         job,
         ""暗黒騎士"", FD$24,
         ""白魔道士"", EF73 * EH73 * FB73 * IF(abillity, 1, EG7"&amp;"3 * EI73) * (Option!$D$22 * 0.81 / 100),
         ""占星術師"", EF73 * EJ73 * FFB73 * IF(abillity, 1, EG73 * EK73) * (Option!$D$23 * 0.81 / 100),
         ""学者"", EF73 * EL73 * FB73 * IF(abillity, 1, EG73 * EM73) * (Option!$D$24 * 0.81 / 100),
         ""賢者"""&amp;", EF73 * EN73 * FB73 * IF(abillity, 1, EG73 * EO73) * (Option!$D$25 * 0.81 / 100),
         1
       )
     )
   )
 ) + EQ73"),0.0)</f>
        <v>0</v>
      </c>
      <c r="FD73" s="206">
        <f t="shared" si="9"/>
        <v>0</v>
      </c>
      <c r="FE73" s="205">
        <f>IFERROR(__xludf.DUMMYFUNCTION("PRODUCT(
   MAP(
     IF($F73=""Physical"", K$10:ED$10, IF($F73=""Magic"", K$11:ED$11, K$12:ED$12)),
     IF($F73=""Physical"", K$18:ED$18, IF($F73=""Magic"", K$19:ED$19, K$20:ED$20)),
     K$3:ED$3,
     K$5:ED$5,
     K$17:ED$17,
     K73:ED73,
     LAM"&amp;"BDA(
       mitigation,
       enhance,
       job,
       assign,
       precondition,
       check,
       IF(
         OR(AND(check=TRUE, REGEXMATCH(assign, ""SELF""), job=""暗黒騎士""), AND(check=Option!$G$13, REGEXMATCH(assign, ""SINGLE_PARTY""))),
     "&amp;"    IF(
           OR(ARRAYFORMULA((IF(precondition="""", FALSE, REGEXMATCH($K$4:$ED$4, precondition))) * (K73:ED73=TRUE))),
           enhance,
           mitigation
         ),
         1
       )
     )
   )
 ) * EE73"),1.0)</f>
        <v>1</v>
      </c>
      <c r="FF73" s="206">
        <f t="shared" si="10"/>
        <v>0</v>
      </c>
      <c r="FG73" s="205">
        <f>IFERROR(__xludf.DUMMYFUNCTION("PRODUCT(
   MAP(
     K$3:ED$3,
     K$14:ED$14,
     K$13:ED$13,
     K73:ED73,
     LAMBDA(
       job,
       buff,
       target,
       check,
       IF(
         OR(AND(check=TRUE, REGEXMATCH(target, ""SELF_AFFECTED_ALL""), job=""暗黒騎士""), AND(check="&amp;"Option!$G$13, REGEXMATCH(target, ""SINGLE_AFFECTED_ALL""))),
         buff,
         1
       )
     )
   )
 )"),1.0)</f>
        <v>1</v>
      </c>
      <c r="FH73" s="206">
        <f>IFERROR(__xludf.DUMMYFUNCTION("SUM(
   MAP(
     K$3:ED$3,
     K$7:ED$7,
     K$15:ED$15,
     K$16:ED$16,
     K$21:ED$21,
     K$5:ED$5,
     K$17:ED$17,
     K73:ED73,
     LAMBDA(
       job,
       abillity,
       buff,
       barrier,
       enhance,
       assign,
       preco"&amp;"ndition,
       check,
       IF(
         OR(AND(check=TRUE, REGEXMATCH(assign, ""SELF""), job=""暗黒騎士""), AND(check=Option!$G$13, REGEXMATCH(assign, ""SINGLE_PARTY""))),
         IF(
           OR(ARRAYFORMULA((IF(precondition="""", FALSE, REGEXMATCH($K$"&amp;"4:$ED$4, precondition))) * (K73:ED73=TRUE))),
           enhance,
           IF(barrier="""", buff, barrier)
         ),
         0
       ) *
       SWITCH(
         job,
         ""暗黒騎士"", FI$24,
         ""白魔道士"", EF73 * EH73 * FG73 * IF(abillity, 1, E"&amp;"G73 * EI73) * (Option!$D$22 * 0.81 / 100),
         ""占星術師"", EF73 * EJ73 * FG73 * IF(abillity, 1, EG73 * EK73) * (Option!$D$23 * 0.81 / 100),
         ""学者"", EF73 * EL73 * FG73 * IF(abillity, 1, EG73 * EM73) * (Option!$D$24 * 0.81 / 100),
         ""賢者"&amp;""", EF73 * EN73 * FG73 * IF(abillity, 1, EG73 * EO73) * (Option!$D$25 * 0.81 / 100),
         1
       )
     )
   )
 ) + EQ73"),0.0)</f>
        <v>0</v>
      </c>
      <c r="FI73" s="206">
        <f t="shared" si="11"/>
        <v>0</v>
      </c>
      <c r="FJ73" s="205">
        <f>IFERROR(__xludf.DUMMYFUNCTION("PRODUCT(
   MAP(
     IF($F73=""Physical"", K$10:ED$10, IF($F73=""Magic"", K$11:ED$11, K$12:ED$12)),
     IF($F73=""Physical"", K$18:ED$18, IF($F73=""Magic"", K$19:ED$19, K$20:ED$20)),
     K$3:ED$3,
     K$5:ED$5,
     K$17:ED$17,
     K73:ED73,
     LAM"&amp;"BDA(
       mitigation,
       enhance,
       job,
       assign,
       precondition,
       check,
       IF(
         OR(AND(check=TRUE, REGEXMATCH(assign, ""SELF""), job=""ガンブレイカー""), AND(check=Option!$H$13, REGEXMATCH(assign, ""SINGLE_PARTY""))),
  "&amp;"       IF(
           OR(ARRAYFORMULA((IF(precondition="""", FALSE, REGEXMATCH($K$4:$ED$4, precondition))) * (K73:ED73=TRUE))),
           enhance,
           mitigation
         ),
         1
       )
     )
   )
 ) * EE73"),1.0)</f>
        <v>1</v>
      </c>
      <c r="FK73" s="206">
        <f t="shared" si="12"/>
        <v>0</v>
      </c>
      <c r="FL73" s="205">
        <f>IFERROR(__xludf.DUMMYFUNCTION("PRODUCT(
   MAP(
     K$3:ED$3,
     K$14:ED$14,
     K$13:ED$13,
     K73:ED73,
     LAMBDA(
       job,
       buff,
       target,
       check,
       IF(
         OR(AND(check=TRUE, REGEXMATCH(target, ""SELF_AFFECTED_ALL""), job=""ガンブレイカー""), AND(che"&amp;"ck=Option!$H$13, REGEXMATCH(target, ""SINGLE_AFFECTED_ALL""))),
         buff,
         1
       )
     )
   )
 )"),1.0)</f>
        <v>1</v>
      </c>
      <c r="FM73" s="206">
        <f>IFERROR(__xludf.DUMMYFUNCTION("SUM(
   MAP(
     K$3:ED$3,
     K$7:ED$7,
     K$15:ED$15,
     K$16:ED$16,
     K$21:ED$21,
     K$5:ED$5,
     K$17:ED$17,
     K73:ED73,
     LAMBDA(
       job,
       abillity,
       buff,
       barrier,
       enhance,
       assign,
       preco"&amp;"ndition,
       check,
       IF(
         OR(AND(check=TRUE, REGEXMATCH(assign, ""SELF""), job=""ガンブレイカー""), AND(check=Option!$H$13, REGEXMATCH(assign, ""SINGLE_PARTY""))),
         IF(
           OR(ARRAYFORMULA((IF(precondition="""", FALSE, REGEXMATCH("&amp;"$K$4:$ED$4, precondition))) * (K73:ED73=TRUE))),
           enhance,
           IF(barrier="""", buff, barrier)
         ),
         0
       ) *
       SWITCH(
         job,
         ""暗黒騎士"", FN$24,
         ""白魔道士"", EF73 * EH73 * FL73 * IF(abillity, 1"&amp;", EG73 * EI73) * (Option!$D$22 * 0.81 / 100),
         ""占星術師"", EF73 * EJ73 * FL73 * IF(abillity, 1, EG73 * EK73) * (Option!$D$23 * 0.81 / 100),
         ""学者"", EF73 * EL73 * FL73 * IF(abillity, 1, EG73 * EM73) * (Option!$D$24 * 0.81 / 100),
         """&amp;"賢者"", EF73 * EN73 * FL73 * IF(abillity, 1, EG73 * EO73) * (Option!$D$25 * 0.81 / 100),
         1
       )
     )
   )
 ) + EQ73"),0.0)</f>
        <v>0</v>
      </c>
      <c r="FN73" s="206">
        <f t="shared" si="13"/>
        <v>0</v>
      </c>
      <c r="FO73" s="213"/>
    </row>
    <row r="74">
      <c r="B74" s="229"/>
      <c r="C74" s="217">
        <f t="shared" si="1"/>
        <v>0</v>
      </c>
      <c r="D74" s="236"/>
      <c r="E74" s="226"/>
      <c r="F74" s="167"/>
      <c r="G74" s="168" t="str">
        <f t="shared" si="2"/>
        <v/>
      </c>
      <c r="H74" s="169"/>
      <c r="I74" s="169"/>
      <c r="J74" s="169"/>
      <c r="K74" s="170" t="b">
        <v>0</v>
      </c>
      <c r="L74" s="170" t="b">
        <v>0</v>
      </c>
      <c r="M74" s="170" t="b">
        <v>0</v>
      </c>
      <c r="N74" s="171" t="s">
        <v>1070</v>
      </c>
      <c r="O74" s="172" t="b">
        <v>0</v>
      </c>
      <c r="P74" s="173" t="b">
        <v>0</v>
      </c>
      <c r="Q74" s="173" t="b">
        <v>0</v>
      </c>
      <c r="R74" s="173" t="b">
        <v>0</v>
      </c>
      <c r="S74" s="174" t="b">
        <v>0</v>
      </c>
      <c r="T74" s="175" t="b">
        <v>0</v>
      </c>
      <c r="U74" s="173" t="b">
        <v>0</v>
      </c>
      <c r="V74" s="171" t="s">
        <v>1070</v>
      </c>
      <c r="W74" s="172" t="b">
        <v>0</v>
      </c>
      <c r="X74" s="173" t="b">
        <v>0</v>
      </c>
      <c r="Y74" s="173" t="b">
        <v>0</v>
      </c>
      <c r="Z74" s="173" t="b">
        <v>0</v>
      </c>
      <c r="AA74" s="174" t="b">
        <v>0</v>
      </c>
      <c r="AB74" s="174" t="b">
        <v>0</v>
      </c>
      <c r="AC74" s="175" t="b">
        <v>0</v>
      </c>
      <c r="AD74" s="173" t="b">
        <v>0</v>
      </c>
      <c r="AE74" s="176" t="s">
        <v>1070</v>
      </c>
      <c r="AF74" s="171" t="s">
        <v>1070</v>
      </c>
      <c r="AG74" s="177">
        <f>IFERROR(__xludf.DUMMYFUNCTION("IF(
  ISNUMBER(AG73),
  MIN(MAX(
    AG73
    + MAX(
      ROUNDDOWN(($D74 - MAX(IFERROR(FILTER($D$24:$D73, AG$24:AG73 &lt;&gt; AF$6, AG$23:AG72 = AF$6), 0))) * (60 * 60 * 24) / AF$9) - ROUNDDOWN(($D73 - MAX(IFERROR(FILTER($D$23:$D72, AG$23:AG72 &lt;&gt; AF$6, AG$22:"&amp;"AG71 = AF$6), 0))) * (60 * 60 * 24) / 60),
      0
    )
    - COUNTIF(AF74, ""&lt;&gt;-""),
  0), AF$6),
  AF$6 - COUNTIF(AF74, ""&lt;&gt;-"")
)"),2.0)</f>
        <v>2</v>
      </c>
      <c r="AH74" s="173" t="b">
        <v>0</v>
      </c>
      <c r="AI74" s="173" t="b">
        <v>0</v>
      </c>
      <c r="AJ74" s="173" t="b">
        <v>0</v>
      </c>
      <c r="AK74" s="174" t="b">
        <v>0</v>
      </c>
      <c r="AL74" s="175" t="b">
        <v>0</v>
      </c>
      <c r="AM74" s="173" t="b">
        <v>0</v>
      </c>
      <c r="AN74" s="171" t="s">
        <v>1070</v>
      </c>
      <c r="AO74" s="173" t="b">
        <v>0</v>
      </c>
      <c r="AP74" s="173" t="b">
        <v>0</v>
      </c>
      <c r="AQ74" s="173" t="b">
        <v>0</v>
      </c>
      <c r="AR74" s="174" t="b">
        <v>0</v>
      </c>
      <c r="AS74" s="178" t="b">
        <v>0</v>
      </c>
      <c r="AT74" s="179" t="b">
        <v>0</v>
      </c>
      <c r="AU74" s="180" t="b">
        <v>0</v>
      </c>
      <c r="AV74" s="180" t="b">
        <v>0</v>
      </c>
      <c r="AW74" s="180" t="b">
        <v>0</v>
      </c>
      <c r="AX74" s="180" t="b">
        <v>0</v>
      </c>
      <c r="AY74" s="181" t="s">
        <v>1070</v>
      </c>
      <c r="AZ74" s="181" t="s">
        <v>1070</v>
      </c>
      <c r="BA74" s="184">
        <f>IFERROR(__xludf.DUMMYFUNCTION("IF(
  ISNUMBER(BA73),
  MIN(MAX(
    BA73
    + MAX(
      ROUNDDOWN((D74 - MAX(IFERROR(FILTER(D$24:D73, BA$24:BA73 &lt;&gt; AZ$6, BA$23:BA72 = AZ$6), 0))) * (60 * 60 * 24) / AZ$9) - ROUNDDOWN((D73 - MAX(IFERROR(FILTER(D$23:D72, BA$23:BA72 &lt;&gt; AZ$6, BA$22:BA71 ="&amp;" AZ$6), 0))) * (60 * 60 * 24) / AZ$9),
      0
    )
    - COUNTIF(AZ74, ""&lt;&gt;-""),
  0), AZ$6),
  AZ$6 - COUNTIF(AZ74, ""&lt;&gt;-"")
)"),2.0)</f>
        <v>2</v>
      </c>
      <c r="BB74" s="181" t="s">
        <v>1070</v>
      </c>
      <c r="BC74" s="183">
        <f>IFERROR(__xludf.DUMMYFUNCTION("IF(
  ISNUMBER(BC73),
  MIN(MAX(
    BC73
    + MAX(
      ROUNDDOWN(($D74 - MAX(IFERROR(FILTER($D$24:$D73, BC$24:BC73 &lt;&gt; BB$6, BC$23:BC72 = BB$6), 0))) * (60 * 60 * 24) / BB$9) - ROUNDDOWN(($D73 - MAX(IFERROR(FILTER($D$23:$D72, BC$23:BC72 &lt;&gt; BB$6, BC$22:"&amp;"BC71 = BB$6), 0))) * (60 * 60 * 24) / 60),
      0
    )
    - COUNTIF(BB74, ""&lt;&gt;-""),
  0), BB$6),
  BB$6 - COUNTIF(BB74, ""&lt;&gt;-"")
)"),2.0)</f>
        <v>2</v>
      </c>
      <c r="BD74" s="181" t="s">
        <v>1070</v>
      </c>
      <c r="BE74" s="178" t="b">
        <v>0</v>
      </c>
      <c r="BF74" s="180" t="b">
        <v>0</v>
      </c>
      <c r="BG74" s="180" t="b">
        <v>0</v>
      </c>
      <c r="BH74" s="180" t="b">
        <v>0</v>
      </c>
      <c r="BI74" s="180" t="b">
        <v>0</v>
      </c>
      <c r="BJ74" s="180" t="b">
        <v>0</v>
      </c>
      <c r="BK74" s="180" t="b">
        <v>0</v>
      </c>
      <c r="BL74" s="180" t="b">
        <v>0</v>
      </c>
      <c r="BM74" s="180" t="b">
        <v>0</v>
      </c>
      <c r="BN74" s="180" t="b">
        <v>0</v>
      </c>
      <c r="BO74" s="181" t="s">
        <v>1070</v>
      </c>
      <c r="BP74" s="181" t="s">
        <v>1070</v>
      </c>
      <c r="BQ74" s="181" t="s">
        <v>1070</v>
      </c>
      <c r="BR74" s="181" t="s">
        <v>1070</v>
      </c>
      <c r="BS74" s="181" t="s">
        <v>1070</v>
      </c>
      <c r="BT74" s="184">
        <f>IFERROR(__xludf.DUMMYFUNCTION("IF(
  ISNUMBER(BT73),
  MIN(MAX(
    BT73
    + MAX(
      ROUNDDOWN((D74 - MAX(IFERROR(FILTER(D$24:D73, BT$24:BT73 &lt;&gt; BS$6, BT$23:BT72 = BS$6), 0))) * (60 * 60 * 24) / BS$9) - ROUNDDOWN((D73 - MAX(IFERROR(FILTER(D$23:D72, BT$23:BT72 &lt;&gt; BS$6, BT$22:BT71 ="&amp;" BS$6), 0))) * (60 * 60 * 24) / BS$9),
      0
    )
    - COUNTIF(BS74, ""&lt;&gt;-""),
  0), BS$6),
  BS$6 - COUNTIF(BS74, ""&lt;&gt;-"")
)"),3.0)</f>
        <v>3</v>
      </c>
      <c r="BU74" s="181" t="s">
        <v>1070</v>
      </c>
      <c r="BV74" s="181" t="s">
        <v>1070</v>
      </c>
      <c r="BW74" s="184">
        <f>IFERROR(__xludf.DUMMYFUNCTION("IF(
  ISNUMBER(BW73),
  MIN(MAX(
    BW73
    + MAX(
      ROUNDDOWN((D74 - MAX(IFERROR(FILTER(D$24:D73, BW$24:BW73 &lt;&gt; BV$6, BW$23:BW72 = BV$6), 0))) * (60 * 60 * 24) / BV$9) - ROUNDDOWN((D73 - MAX(IFERROR(FILTER(D$23:D72, BW$23:BW72 &lt;&gt; BV$6, BW$22:BW71 ="&amp;" BV$6), 0))) * (60 * 60 * 24) / BV$9),
      0
    )
    - COUNTIF(BV74, ""&lt;&gt;-""),
  0), BV$6),
  BV$6 - COUNTIF(BV74, ""&lt;&gt;-"")
)"),2.0)</f>
        <v>2</v>
      </c>
      <c r="BX74" s="185" t="s">
        <v>1070</v>
      </c>
      <c r="BY74" s="178" t="b">
        <v>0</v>
      </c>
      <c r="BZ74" s="180" t="b">
        <v>0</v>
      </c>
      <c r="CA74" s="180" t="b">
        <v>0</v>
      </c>
      <c r="CB74" s="180" t="b">
        <v>0</v>
      </c>
      <c r="CC74" s="180" t="b">
        <v>0</v>
      </c>
      <c r="CD74" s="180" t="b">
        <v>0</v>
      </c>
      <c r="CE74" s="180" t="b">
        <v>0</v>
      </c>
      <c r="CF74" s="180" t="b">
        <v>0</v>
      </c>
      <c r="CG74" s="180" t="b">
        <v>0</v>
      </c>
      <c r="CH74" s="180" t="b">
        <v>0</v>
      </c>
      <c r="CI74" s="180" t="b">
        <v>0</v>
      </c>
      <c r="CJ74" s="180" t="b">
        <v>0</v>
      </c>
      <c r="CK74" s="180" t="b">
        <v>0</v>
      </c>
      <c r="CL74" s="180" t="b">
        <v>0</v>
      </c>
      <c r="CM74" s="181" t="s">
        <v>1070</v>
      </c>
      <c r="CN74" s="181" t="s">
        <v>1070</v>
      </c>
      <c r="CO74" s="181" t="s">
        <v>1070</v>
      </c>
      <c r="CP74" s="181" t="s">
        <v>1070</v>
      </c>
      <c r="CQ74" s="185" t="s">
        <v>1070</v>
      </c>
      <c r="CR74" s="180" t="b">
        <v>0</v>
      </c>
      <c r="CS74" s="186" t="str">
        <f t="shared" si="14"/>
        <v>◇◇◇</v>
      </c>
      <c r="CT74" s="178" t="b">
        <v>0</v>
      </c>
      <c r="CU74" s="180" t="b">
        <v>0</v>
      </c>
      <c r="CV74" s="180" t="b">
        <v>0</v>
      </c>
      <c r="CW74" s="180" t="b">
        <v>0</v>
      </c>
      <c r="CX74" s="180" t="b">
        <v>0</v>
      </c>
      <c r="CY74" s="180" t="b">
        <v>0</v>
      </c>
      <c r="CZ74" s="180" t="b">
        <v>0</v>
      </c>
      <c r="DA74" s="180" t="b">
        <v>0</v>
      </c>
      <c r="DB74" s="180" t="b">
        <v>0</v>
      </c>
      <c r="DC74" s="180" t="b">
        <v>0</v>
      </c>
      <c r="DD74" s="181" t="s">
        <v>1070</v>
      </c>
      <c r="DE74" s="181" t="s">
        <v>1070</v>
      </c>
      <c r="DF74" s="181" t="s">
        <v>1070</v>
      </c>
      <c r="DG74" s="185" t="s">
        <v>1070</v>
      </c>
      <c r="DH74" s="180" t="b">
        <v>0</v>
      </c>
      <c r="DI74" s="187" t="str">
        <f>IFERROR(__xludf.DUMMYFUNCTION("SWITCH(
  IF(
    ISTEXT(DI73),
    IF (
      FIND(""○"", DI73&amp;""○"") &gt; 3,
      3,
      FIND(""○"", DI73&amp;""○"")
      + MAX(
        ROUNDDOWN(($D74 - MAX(IFERROR(FILTER(D$24:D73, DI$24:DI73 &lt;&gt; ""●●●"", DI$23:DI72 = ""●●●""), 0))) * (60 * 60 * 24) / 20"&amp;") - ROUNDDOWN(($D73 - MAX(IFERROR(FILTER(D$23:D72, DI$23:DI72 &lt;&gt; ""●●●"", DI$22:DI71 = ""●●●""), 0))) * (60 * 60 * 24) / 20),
        0
      ) - 1
    ) - COUNTIFS(CU74, ""=TRUE"", CU73, ""&lt;&gt;TRUE"") - COUNTIF(CZ74, ""=TRUE"") - COUNTIF({DD74,DE74}, ""&lt;&gt;-"&amp;""") + COUNTIF(DH74, ""=TRUE""),
    3
  ),
  0, ""○○○"", 1, ""●○○"", 2, ""●●○"", 3, ""●●●"", 4, ""●●●"", ""○○○""
)"),"●●●")</f>
        <v>●●●</v>
      </c>
      <c r="DJ74" s="188" t="b">
        <v>0</v>
      </c>
      <c r="DK74" s="189" t="b">
        <v>0</v>
      </c>
      <c r="DL74" s="190" t="b">
        <v>0</v>
      </c>
      <c r="DM74" s="190" t="b">
        <v>0</v>
      </c>
      <c r="DN74" s="190" t="b">
        <v>0</v>
      </c>
      <c r="DO74" s="190" t="b">
        <v>0</v>
      </c>
      <c r="DP74" s="190" t="b">
        <v>0</v>
      </c>
      <c r="DQ74" s="191" t="b">
        <v>0</v>
      </c>
      <c r="DR74" s="192" t="b">
        <v>0</v>
      </c>
      <c r="DS74" s="191" t="b">
        <v>0</v>
      </c>
      <c r="DT74" s="192" t="b">
        <v>0</v>
      </c>
      <c r="DU74" s="191" t="b">
        <v>0</v>
      </c>
      <c r="DV74" s="193" t="s">
        <v>1070</v>
      </c>
      <c r="DW74" s="194" t="b">
        <v>0</v>
      </c>
      <c r="DX74" s="194" t="b">
        <v>0</v>
      </c>
      <c r="DY74" s="195" t="b">
        <v>0</v>
      </c>
      <c r="DZ74" s="196" t="b">
        <v>0</v>
      </c>
      <c r="EA74" s="195" t="b">
        <v>0</v>
      </c>
      <c r="EB74" s="197" t="b">
        <v>0</v>
      </c>
      <c r="EC74" s="197" t="b">
        <v>0</v>
      </c>
      <c r="ED74" s="212" t="b">
        <v>0</v>
      </c>
      <c r="EE74" s="199">
        <f>IFERROR(__xludf.DUMMYFUNCTION("IFERROR(
   PRODUCT(
     MAP(
       INDEX(TRANSPOSE(UNIQUE(TRANSPOSE(FILTER({IF($F74=""Physical"", K$10:ED$10, IF($F74=""Magic"", K$11:ED$11, K$12:ED$12));K$4:ED$4;K74:ED74}, K74:ED74=TRUE)))), 1, 0),
       INDEX(TRANSPOSE(UNIQUE(TRANSPOSE(FILTER({IF($"&amp;"F74=""Physical"", K$18:ED$18, IF($F74=""Magic"", K$19:ED$19, K$20:ED$20));K$4:ED$4;K74:ED74}, K74:ED74=TRUE)))), 1, 0),
       INDEX(TRANSPOSE(UNIQUE(TRANSPOSE(FILTER({K$5:ED$5;K$4:ED$4;K74:ED74}, K74:ED74=TRUE)))), 1, 0),
       INDEX(TRANSPOSE(UNIQUE(TR"&amp;"ANSPOSE(FILTER({K$17:ED$17;K$4:ED$4;K74:ED74}, K74:ED74=TRUE)))), 1, 0),
       LAMBDA(
         mitigation,
         enhance,
         assign,
         precondition,
         IF(
           REGEXMATCH(assign, ""RANGE_PARTY|SINGLE_ENEMY|RANGE_ENEMY""),
  "&amp;"         IF(
             OR(ARRAYFORMULA((IF(precondition="""", FALSE, REGEXMATCH(K$4:ED$4, precondition))) * (K74:ED74=TRUE))),
             IF(ISNUMBER(enhance), enhance, 1),
             IF(ISNUMBER(mitigation), mitigation, 1)
           ),
          "&amp;" 1
         )
       )
     )
   ),
   1
 )"),1.0)</f>
        <v>1</v>
      </c>
      <c r="EF74" s="200">
        <f>IFERROR(__xludf.DUMMYFUNCTION("PRODUCT(
   MAP(
     K$14:ED$14,
     K$13:ED$13,
     K74:ED74,
     LAMBDA(
       buff,
       target,
       check,
       IF(
         AND(check=TRUE, REGEXMATCH(target, ""RANGE_AFFECTED_ALL|RANGE_EFFECTED_ALL""), ISNUMBER(buff)),
         buff,
   "&amp;"      1
       )
     )
   )
 )"),1.0)</f>
        <v>1</v>
      </c>
      <c r="EG74" s="200">
        <f>IFERROR(__xludf.DUMMYFUNCTION("PRODUCT(
   MAP(
     K$14:ED$14,
     K$13:ED$13,
     K74:ED74,
     LAMBDA(
       buff,
       target,
       check,
       IF(
         AND(check=TRUE, REGEXMATCH(target, ""RANGE_AFFECTED_GCD|RANGE_EFFECTED_GCD""), ISNUMBER(buff)),
         buff,
   "&amp;"      1
       )
     )
   )
 )"),1.0)</f>
        <v>1</v>
      </c>
      <c r="EH74" s="200">
        <f>IFERROR(__xludf.DUMMYFUNCTION("PRODUCT(
   MAP(
     K$3:ED$3,
     K$14:ED$14,
     K$13:ED$13,
     K74:ED74,
     LAMBDA(
       job,
       buff,
       target,
       check,
       IF(
         AND(check=TRUE, REGEXMATCH(target, ""SELF_EFFECTED_ALL""), ISNUMBER(buff), job=""白魔道士"""&amp;"),
         buff,
         1
       )
     )
   )
 )"),1.0)</f>
        <v>1</v>
      </c>
      <c r="EI74" s="200">
        <f>IFERROR(__xludf.DUMMYFUNCTION("PRODUCT(
   MAP(
     K$3:ED$3,
     K$14:ED$14,
     K$13:ED$13,
     K74:ED74,
     LAMBDA(
       job,
       buff,
       target,
       check,
       IF(
         AND(check=TRUE, REGEXMATCH(target, ""SELF_EFFECTED_GCD""), ISNUMBER(buff), job=""白魔道士"""&amp;"),
         buff,
         1
       )
     )
   )
 )"),1.0)</f>
        <v>1</v>
      </c>
      <c r="EJ74" s="200">
        <f>IFERROR(__xludf.DUMMYFUNCTION("PRODUCT(
   MAP(
     K$3:ED$3,
     K$14:ED$14,
     K$13:ED$13,
     K74:ED74,
     LAMBDA(
       job,
       buff,
       target,
       check,
       IF(
         AND(check=TRUE, REGEXMATCH(target, ""SELF_EFFECTED_ALL""), ISNUMBER(buff), job=""占星術師"""&amp;"),
         buff,
         1
       )
     )
   )
 )"),1.0)</f>
        <v>1</v>
      </c>
      <c r="EK74" s="200">
        <f>IFERROR(__xludf.DUMMYFUNCTION("PRODUCT(
   MAP(
     K$3:ED$3,
     K$14:ED$14,
     K$13:ED$13,
     K74:ED74,
     LAMBDA(
       job,
       buff,
       target,
       check,
       IF(
         AND(check=TRUE, REGEXMATCH(target, ""SELF_EFFECTED_GCD""), ISNUMBER(buff), job=""占星術師"""&amp;"),
         buff,
         1
       )
     )
   )
 )"),1.0)</f>
        <v>1</v>
      </c>
      <c r="EL74" s="200">
        <f>IFERROR(__xludf.DUMMYFUNCTION("PRODUCT(
   MAP(
     K$3:ED$3,
     K$14:ED$14,
     K$13:ED$13,
     K74:ED74,
     LAMBDA(
       job,
       buff,
       target,
       check,
       IF(
         AND(check=TRUE, REGEXMATCH(target, ""SELF_EFFECTED_ALL""), ISNUMBER(buff), job=""学者""),"&amp;"
         buff,
         1
       )
     )
   )
 )"),1.0)</f>
        <v>1</v>
      </c>
      <c r="EM74" s="200">
        <f>IFERROR(__xludf.DUMMYFUNCTION("PRODUCT(
   MAP(
     K$3:ED$3,
     K$14:ED$14,
     K$13:ED$13,
     K74:ED74,
     LAMBDA(
       job,
       buff,
       target,
       check,
       IF(
         AND(check=TRUE, REGEXMATCH(target, ""SELF_EFFECTED_GCD""), ISNUMBER(buff), job=""学者""),"&amp;"
         buff,
         1
       )
     )
   )
 )"),1.0)</f>
        <v>1</v>
      </c>
      <c r="EN74" s="200">
        <f>IFERROR(__xludf.DUMMYFUNCTION("PRODUCT(
   MAP(
     K$3:ED$3,
     K$14:ED$14,
     K$13:ED$13,
     K74:ED74,
     LAMBDA(
       job,
       buff,
       target,
       check,
       IF(
         AND(check=TRUE, REGEXMATCH(target, ""SELF_EFFECTED_ALL""), ISNUMBER(buff), job=""賢者""),"&amp;"
         buff,
         1
       )
     )
   )
 )"),1.0)</f>
        <v>1</v>
      </c>
      <c r="EO74" s="200">
        <f>IFERROR(__xludf.DUMMYFUNCTION("PRODUCT(
   MAP(
     K$3:ED$3,
     K$14:ED$14,
     K$13:ED$13,
     K74:ED74,
     LAMBDA(
       job,
       buff,
       target,
       check,
       IF(
         AND(check=TRUE, REGEXMATCH(target, ""SELF_EFFECTED_GCD""), ISNUMBER(buff), job=""賢者""),"&amp;"
         buff,
         1
       )
     )
   )
 )"),1.0)</f>
        <v>1</v>
      </c>
      <c r="EP74" s="201">
        <f t="shared" si="3"/>
        <v>0</v>
      </c>
      <c r="EQ74" s="201">
        <f>IFERROR(__xludf.DUMMYFUNCTION("SUM(
   MAP(
     K$4:ED$4,
     K$3:ED$3,
     K$7:ED$7,
     K$15:ED$15,
     K$16:ED$16,
     K$21:ED$21,
     K$5:ED$5,
     K$17:ED$17,
     K74:ED74,
     LAMBDA(
       name,
       job,
       abillity,
       buff,
       barrier,
       enhance,"&amp;"
       assign,
       precondition,
       check,
       SWITCH(
         name,
         ""シェイクオフ"", IF(check=TRUE, buff + (0.02 * COUNTIF(ARRAYFORMULA((REGEXMATCH($K$4:$ED$4, ""スリル・オブ・バトル|ヴェンジェンス|原初の血気|ダムネーション"")) * (K74:ED74=TRUE)), 1)), 0),
         "&amp;"""インプロビゼーションフィニッシュ(踊りの激情0)"", IF(ISNUMBER(check), INDEX(Skill!$AJ:$AJ, MATCH(SUBSTITUTE(DV$4, 0, check), Skill!$C:$C, 0)), 0),
         IF(
           AND(check=TRUE, REGEXMATCH(assign, ""RANGE_PARTY"")),
           IF(
             OR(ARRAYFORMULA((IF(pr"&amp;"econdition="""", FALSE, REGEXMATCH($K$4:$ED$4, precondition))) * (K74:ED74=TRUE))),
             enhance,
             IF(barrier="""", buff, barrier)
           ),
           0
         )
       ) *
       SWITCH(
         job,
         ""ナイト"", EY$24,
 "&amp;"        ""戦士"", FD$24,
         ""踊り子"", ET$24,
         ""ピクトマンサー"", ET$24,
         ""白魔道士"", EF74 * EH74 * IF(abillity, 1, EG74 * EI74) * (Option!$D$22 * 0.81 / 100),
         ""占星術師"", EF74 * EJ74 * IF(abillity, 1, EG74 * EK74) * (Option!$D$23 * 0.81 "&amp;"/ 100),
         ""学者"", EF74 * EL74 * IF(abillity, 1, EG74 * EM74) * (Option!$D$24 * 0.81 / 100),
         ""賢者"", EF74 * EN74 * IF(abillity, 1, EG74 * EO74) * (Option!$D$25 * 0.81 / 100),
         1
       )
     )
   )
 )"),0.0)</f>
        <v>0</v>
      </c>
      <c r="ER74" s="202">
        <f t="shared" si="4"/>
        <v>0</v>
      </c>
      <c r="ES74" s="203">
        <f t="shared" si="5"/>
        <v>0</v>
      </c>
      <c r="ET74" s="204" t="str">
        <f>IFERROR(__xludf.DUMMYFUNCTION("IFS(
  EP74 &gt; $ET$24 + EQ74,
  SPARKLINE({ 1, 0 }, {""charttype"",""bar"";""max"", 1;""color1"",Option!$D$30;""color2"",Option!$D$30}),
  EP74 &lt; EQ74,
  SPARKLINE({EQ74 - EP74, $ET$24 - (EQ74 - EP74)}, {""charttype"",""bar"";""max"",$ET$24;""color1"",Opti"&amp;"on!$D$28;""color2"",Option!$D$29}),
  EP74 &gt;= EQ74,
  SPARKLINE({$ET$24 + EQ74 - EP74,EP74 - EQ74}, {""charttype"",""bar"";""max"",$ET$24;""color1"",Option!$D$29;""color2"",Option!$D$30})
)"),"")</f>
        <v/>
      </c>
      <c r="EU74" s="205">
        <f>IFERROR(__xludf.DUMMYFUNCTION("PRODUCT(
   MAP(
     IF($F74=""Physical"", K$10:ED$10, IF($F74=""Magic"", K$11:ED$11, K$12:ED$12)),
     IF($F74=""Physical"", K$18:ED$18, IF($F74=""Magic"", K$19:ED$19, K$20:ED$20)),
     K$3:ED$3,
     K$5:ED$5,
     K$17:ED$17,
     K74:ED74,
     LAM"&amp;"BDA(
       mitigation,
       enhance,
       job,
       assign,
       precondition,
       check,
       IF(
         OR(AND(check=TRUE, REGEXMATCH(assign, ""SELF""), job=""ナイト""), AND(check=Option!$E$13, REGEXMATCH(assign, ""SINGLE_PARTY""))),
      "&amp;"   IF(
           OR(ARRAYFORMULA((IF(precondition="""", FALSE, REGEXMATCH($K$4:$ED$4, precondition))) * (K74:ED74=TRUE))),
           enhance,
           mitigation
         ),
         1
       )
     )
   )
 ) * EE74"),1.0)</f>
        <v>1</v>
      </c>
      <c r="EV74" s="206">
        <f t="shared" si="6"/>
        <v>0</v>
      </c>
      <c r="EW74" s="205">
        <f>IFERROR(__xludf.DUMMYFUNCTION("PRODUCT(
   MAP(
     K$3:ED$3,
     K$14:ED$14,
     K$13:ED$13,
     K74:ED74,
     LAMBDA(
       job,
       buff,
       target,
       check,
       IF(
         OR(AND(check=TRUE, REGEXMATCH(target, ""SELF_AFFECTED_ALL""), job=""ナイト""), AND(check=O"&amp;"ption!$E$13, REGEXMATCH(target, ""SINGLE_AFFECTED_ALL""))),
         buff,
         1
       )
     )
   )
 )"),1.0)</f>
        <v>1</v>
      </c>
      <c r="EX74" s="206">
        <f>IFERROR(__xludf.DUMMYFUNCTION("SUM(
   MAP(
     K$3:ED$3,
     K$7:ED$7,
     K$15:ED$15,
     K$16:ED$16,
     K$21:ED$21,
     K$5:ED$5,
     K$17:ED$17,
     K74:ED74,
     LAMBDA(
       job,
       abillity,
       buff,
       barrier,
       enhance,
       assign,
       preco"&amp;"ndition,
       check,
       IF(
         OR(AND(check=TRUE, REGEXMATCH(assign, ""SELF""), job=""ナイト""), AND(check=Option!$E$13, REGEXMATCH(assign, ""SINGLE_PARTY""))),
         IF(
           OR(ARRAYFORMULA((IF(precondition="""", FALSE, REGEXMATCH($K$4"&amp;":$ED$4, precondition))) * (K74:ED74=TRUE))),
           enhance,
           IF(barrier="""", buff, barrier)
         ),
         0
       ) *
       SWITCH(
         job,
         ""暗黒騎士"", EY$24,
         ""白魔道士"", EF74 * EH74 * EW74 * IF(abillity, 1, EG"&amp;"74 * EI74) * (Option!$D$22 * 0.81 / 100),
         ""占星術師"", EF74 * EJ74 * EW74 * IF(abillity, 1, EG74 * EK74) * (Option!$D$23 * 0.81 / 100),
         ""学者"", EF74 * EL74 * EW74 * IF(abillity, 1, EG74 * EM74) * (Option!$D$24 * 0.81 / 100),
         ""賢者"""&amp;", EF74 * EN74 * EW74 * IF(abillity, 1, EG74 * EO74) * (Option!$D$25 * 0.81 / 100),
         1
       )
     )
   )
 ) + EQ74"),0.0)</f>
        <v>0</v>
      </c>
      <c r="EY74" s="206">
        <f t="shared" si="7"/>
        <v>0</v>
      </c>
      <c r="EZ74" s="205">
        <f>IFERROR(__xludf.DUMMYFUNCTION("PRODUCT(
   MAP(
     IF($F74=""Physical"", K$10:ED$10, IF($F74=""Magic"", K$11:ED$11, K$12:ED$12)),
     IF($F74=""Physical"", K$18:ED$18, IF($F74=""Magic"", K$19:ED$19, K$20:ED$20)),
     K$3:ED$3,
     K$5:ED$5,
     K$17:ED$17,
     K74:ED74,
     LAM"&amp;"BDA(
       mitigation,
       enhance,
       job,
       assign,
       precondition,
       check,
       IF(
         OR(AND(check=TRUE, REGEXMATCH(assign, ""SELF""), job=""戦士""), AND(check=Option!$F$13, REGEXMATCH(assign, ""SINGLE_PARTY""))),
       "&amp;"  IF(
           OR(ARRAYFORMULA((IF(precondition="""", FALSE, REGEXMATCH($K$4:$ED$4, precondition))) * (K74:ED74=TRUE))),
           enhance,
           mitigation
         ),
         1
       )
     )
   )
 ) * EE74"),1.0)</f>
        <v>1</v>
      </c>
      <c r="FA74" s="206">
        <f t="shared" si="8"/>
        <v>0</v>
      </c>
      <c r="FB74" s="205">
        <f>IFERROR(__xludf.DUMMYFUNCTION("PRODUCT(
   MAP(
     K$3:ED$3,
     K$14:ED$14,
     K$13:ED$13,
     K74:ED74,
     LAMBDA(
       job,
       buff,
       target,
       check,
       IF(
         OR(AND(check=TRUE, REGEXMATCH(target, ""SELF_AFFECTED_ALL""), job=""戦士""), AND(check=Op"&amp;"tion!$F$13, REGEXMATCH(target, ""SINGLE_AFFECTED_ALL""))),
         buff,
         1
       )
     )
   )
 )"),1.0)</f>
        <v>1</v>
      </c>
      <c r="FC74" s="206">
        <f>IFERROR(__xludf.DUMMYFUNCTION("SUM(
   MAP(
     K$3:ED$3,
     K$7:ED$7,
     K$15:ED$15,
     K$16:ED$16,
     K$21:ED$21,
     K$5:ED$5,
     K$17:ED$17,
     K74:ED74,
     LAMBDA(
       job,
       abillity,
       buff,
       barrier,
       enhance,
       assign,
       preco"&amp;"ndition,
       check,
       IF(
         OR(AND(check=TRUE, REGEXMATCH(assign, ""SELF""), job=""戦士""), AND(check=Option!$F$13, REGEXMATCH(assign, ""SINGLE_PARTY""))),
         IF(
           OR(ARRAYFORMULA((IF(precondition="""", FALSE, REGEXMATCH($K$4:"&amp;"$ED$4, precondition))) * (K74:ED74=TRUE))),
           enhance,
           IF(barrier="""", buff, barrier)
         ),
         0
       ) *
       SWITCH(
         job,
         ""暗黒騎士"", FD$24,
         ""白魔道士"", EF74 * EH74 * FB74 * IF(abillity, 1, EG7"&amp;"4 * EI74) * (Option!$D$22 * 0.81 / 100),
         ""占星術師"", EF74 * EJ74 * FFB74 * IF(abillity, 1, EG74 * EK74) * (Option!$D$23 * 0.81 / 100),
         ""学者"", EF74 * EL74 * FB74 * IF(abillity, 1, EG74 * EM74) * (Option!$D$24 * 0.81 / 100),
         ""賢者"""&amp;", EF74 * EN74 * FB74 * IF(abillity, 1, EG74 * EO74) * (Option!$D$25 * 0.81 / 100),
         1
       )
     )
   )
 ) + EQ74"),0.0)</f>
        <v>0</v>
      </c>
      <c r="FD74" s="206">
        <f t="shared" si="9"/>
        <v>0</v>
      </c>
      <c r="FE74" s="205">
        <f>IFERROR(__xludf.DUMMYFUNCTION("PRODUCT(
   MAP(
     IF($F74=""Physical"", K$10:ED$10, IF($F74=""Magic"", K$11:ED$11, K$12:ED$12)),
     IF($F74=""Physical"", K$18:ED$18, IF($F74=""Magic"", K$19:ED$19, K$20:ED$20)),
     K$3:ED$3,
     K$5:ED$5,
     K$17:ED$17,
     K74:ED74,
     LAM"&amp;"BDA(
       mitigation,
       enhance,
       job,
       assign,
       precondition,
       check,
       IF(
         OR(AND(check=TRUE, REGEXMATCH(assign, ""SELF""), job=""暗黒騎士""), AND(check=Option!$G$13, REGEXMATCH(assign, ""SINGLE_PARTY""))),
     "&amp;"    IF(
           OR(ARRAYFORMULA((IF(precondition="""", FALSE, REGEXMATCH($K$4:$ED$4, precondition))) * (K74:ED74=TRUE))),
           enhance,
           mitigation
         ),
         1
       )
     )
   )
 ) * EE74"),1.0)</f>
        <v>1</v>
      </c>
      <c r="FF74" s="206">
        <f t="shared" si="10"/>
        <v>0</v>
      </c>
      <c r="FG74" s="205">
        <f>IFERROR(__xludf.DUMMYFUNCTION("PRODUCT(
   MAP(
     K$3:ED$3,
     K$14:ED$14,
     K$13:ED$13,
     K74:ED74,
     LAMBDA(
       job,
       buff,
       target,
       check,
       IF(
         OR(AND(check=TRUE, REGEXMATCH(target, ""SELF_AFFECTED_ALL""), job=""暗黒騎士""), AND(check="&amp;"Option!$G$13, REGEXMATCH(target, ""SINGLE_AFFECTED_ALL""))),
         buff,
         1
       )
     )
   )
 )"),1.0)</f>
        <v>1</v>
      </c>
      <c r="FH74" s="206">
        <f>IFERROR(__xludf.DUMMYFUNCTION("SUM(
   MAP(
     K$3:ED$3,
     K$7:ED$7,
     K$15:ED$15,
     K$16:ED$16,
     K$21:ED$21,
     K$5:ED$5,
     K$17:ED$17,
     K74:ED74,
     LAMBDA(
       job,
       abillity,
       buff,
       barrier,
       enhance,
       assign,
       preco"&amp;"ndition,
       check,
       IF(
         OR(AND(check=TRUE, REGEXMATCH(assign, ""SELF""), job=""暗黒騎士""), AND(check=Option!$G$13, REGEXMATCH(assign, ""SINGLE_PARTY""))),
         IF(
           OR(ARRAYFORMULA((IF(precondition="""", FALSE, REGEXMATCH($K$"&amp;"4:$ED$4, precondition))) * (K74:ED74=TRUE))),
           enhance,
           IF(barrier="""", buff, barrier)
         ),
         0
       ) *
       SWITCH(
         job,
         ""暗黒騎士"", FI$24,
         ""白魔道士"", EF74 * EH74 * FG74 * IF(abillity, 1, E"&amp;"G74 * EI74) * (Option!$D$22 * 0.81 / 100),
         ""占星術師"", EF74 * EJ74 * FG74 * IF(abillity, 1, EG74 * EK74) * (Option!$D$23 * 0.81 / 100),
         ""学者"", EF74 * EL74 * FG74 * IF(abillity, 1, EG74 * EM74) * (Option!$D$24 * 0.81 / 100),
         ""賢者"&amp;""", EF74 * EN74 * FG74 * IF(abillity, 1, EG74 * EO74) * (Option!$D$25 * 0.81 / 100),
         1
       )
     )
   )
 ) + EQ74"),0.0)</f>
        <v>0</v>
      </c>
      <c r="FI74" s="206">
        <f t="shared" si="11"/>
        <v>0</v>
      </c>
      <c r="FJ74" s="205">
        <f>IFERROR(__xludf.DUMMYFUNCTION("PRODUCT(
   MAP(
     IF($F74=""Physical"", K$10:ED$10, IF($F74=""Magic"", K$11:ED$11, K$12:ED$12)),
     IF($F74=""Physical"", K$18:ED$18, IF($F74=""Magic"", K$19:ED$19, K$20:ED$20)),
     K$3:ED$3,
     K$5:ED$5,
     K$17:ED$17,
     K74:ED74,
     LAM"&amp;"BDA(
       mitigation,
       enhance,
       job,
       assign,
       precondition,
       check,
       IF(
         OR(AND(check=TRUE, REGEXMATCH(assign, ""SELF""), job=""ガンブレイカー""), AND(check=Option!$H$13, REGEXMATCH(assign, ""SINGLE_PARTY""))),
  "&amp;"       IF(
           OR(ARRAYFORMULA((IF(precondition="""", FALSE, REGEXMATCH($K$4:$ED$4, precondition))) * (K74:ED74=TRUE))),
           enhance,
           mitigation
         ),
         1
       )
     )
   )
 ) * EE74"),1.0)</f>
        <v>1</v>
      </c>
      <c r="FK74" s="206">
        <f t="shared" si="12"/>
        <v>0</v>
      </c>
      <c r="FL74" s="205">
        <f>IFERROR(__xludf.DUMMYFUNCTION("PRODUCT(
   MAP(
     K$3:ED$3,
     K$14:ED$14,
     K$13:ED$13,
     K74:ED74,
     LAMBDA(
       job,
       buff,
       target,
       check,
       IF(
         OR(AND(check=TRUE, REGEXMATCH(target, ""SELF_AFFECTED_ALL""), job=""ガンブレイカー""), AND(che"&amp;"ck=Option!$H$13, REGEXMATCH(target, ""SINGLE_AFFECTED_ALL""))),
         buff,
         1
       )
     )
   )
 )"),1.0)</f>
        <v>1</v>
      </c>
      <c r="FM74" s="206">
        <f>IFERROR(__xludf.DUMMYFUNCTION("SUM(
   MAP(
     K$3:ED$3,
     K$7:ED$7,
     K$15:ED$15,
     K$16:ED$16,
     K$21:ED$21,
     K$5:ED$5,
     K$17:ED$17,
     K74:ED74,
     LAMBDA(
       job,
       abillity,
       buff,
       barrier,
       enhance,
       assign,
       preco"&amp;"ndition,
       check,
       IF(
         OR(AND(check=TRUE, REGEXMATCH(assign, ""SELF""), job=""ガンブレイカー""), AND(check=Option!$H$13, REGEXMATCH(assign, ""SINGLE_PARTY""))),
         IF(
           OR(ARRAYFORMULA((IF(precondition="""", FALSE, REGEXMATCH("&amp;"$K$4:$ED$4, precondition))) * (K74:ED74=TRUE))),
           enhance,
           IF(barrier="""", buff, barrier)
         ),
         0
       ) *
       SWITCH(
         job,
         ""暗黒騎士"", FN$24,
         ""白魔道士"", EF74 * EH74 * FL74 * IF(abillity, 1"&amp;", EG74 * EI74) * (Option!$D$22 * 0.81 / 100),
         ""占星術師"", EF74 * EJ74 * FL74 * IF(abillity, 1, EG74 * EK74) * (Option!$D$23 * 0.81 / 100),
         ""学者"", EF74 * EL74 * FL74 * IF(abillity, 1, EG74 * EM74) * (Option!$D$24 * 0.81 / 100),
         """&amp;"賢者"", EF74 * EN74 * FL74 * IF(abillity, 1, EG74 * EO74) * (Option!$D$25 * 0.81 / 100),
         1
       )
     )
   )
 ) + EQ74"),0.0)</f>
        <v>0</v>
      </c>
      <c r="FN74" s="206">
        <f t="shared" si="13"/>
        <v>0</v>
      </c>
      <c r="FO74" s="213"/>
    </row>
    <row r="75">
      <c r="B75" s="229"/>
      <c r="C75" s="217">
        <f t="shared" si="1"/>
        <v>0</v>
      </c>
      <c r="D75" s="236"/>
      <c r="E75" s="244"/>
      <c r="F75" s="167"/>
      <c r="G75" s="168" t="str">
        <f t="shared" si="2"/>
        <v/>
      </c>
      <c r="H75" s="169"/>
      <c r="I75" s="169"/>
      <c r="J75" s="169"/>
      <c r="K75" s="170" t="b">
        <v>0</v>
      </c>
      <c r="L75" s="170" t="b">
        <v>0</v>
      </c>
      <c r="M75" s="170" t="b">
        <v>0</v>
      </c>
      <c r="N75" s="171" t="s">
        <v>1070</v>
      </c>
      <c r="O75" s="172" t="b">
        <v>0</v>
      </c>
      <c r="P75" s="173" t="b">
        <v>0</v>
      </c>
      <c r="Q75" s="173" t="b">
        <v>0</v>
      </c>
      <c r="R75" s="173" t="b">
        <v>0</v>
      </c>
      <c r="S75" s="174" t="b">
        <v>0</v>
      </c>
      <c r="T75" s="175" t="b">
        <v>0</v>
      </c>
      <c r="U75" s="173" t="b">
        <v>0</v>
      </c>
      <c r="V75" s="171" t="s">
        <v>1070</v>
      </c>
      <c r="W75" s="172" t="b">
        <v>0</v>
      </c>
      <c r="X75" s="173" t="b">
        <v>0</v>
      </c>
      <c r="Y75" s="173" t="b">
        <v>0</v>
      </c>
      <c r="Z75" s="173" t="b">
        <v>0</v>
      </c>
      <c r="AA75" s="174" t="b">
        <v>0</v>
      </c>
      <c r="AB75" s="174" t="b">
        <v>0</v>
      </c>
      <c r="AC75" s="175" t="b">
        <v>0</v>
      </c>
      <c r="AD75" s="173" t="b">
        <v>0</v>
      </c>
      <c r="AE75" s="176" t="s">
        <v>1070</v>
      </c>
      <c r="AF75" s="171" t="s">
        <v>1070</v>
      </c>
      <c r="AG75" s="177">
        <f>IFERROR(__xludf.DUMMYFUNCTION("IF(
  ISNUMBER(AG74),
  MIN(MAX(
    AG74
    + MAX(
      ROUNDDOWN(($D75 - MAX(IFERROR(FILTER($D$24:$D74, AG$24:AG74 &lt;&gt; AF$6, AG$23:AG73 = AF$6), 0))) * (60 * 60 * 24) / AF$9) - ROUNDDOWN(($D74 - MAX(IFERROR(FILTER($D$23:$D73, AG$23:AG73 &lt;&gt; AF$6, AG$22:"&amp;"AG72 = AF$6), 0))) * (60 * 60 * 24) / 60),
      0
    )
    - COUNTIF(AF75, ""&lt;&gt;-""),
  0), AF$6),
  AF$6 - COUNTIF(AF75, ""&lt;&gt;-"")
)"),2.0)</f>
        <v>2</v>
      </c>
      <c r="AH75" s="173" t="b">
        <v>0</v>
      </c>
      <c r="AI75" s="173" t="b">
        <v>0</v>
      </c>
      <c r="AJ75" s="173" t="b">
        <v>0</v>
      </c>
      <c r="AK75" s="174" t="b">
        <v>0</v>
      </c>
      <c r="AL75" s="175" t="b">
        <v>0</v>
      </c>
      <c r="AM75" s="173" t="b">
        <v>0</v>
      </c>
      <c r="AN75" s="171" t="s">
        <v>1070</v>
      </c>
      <c r="AO75" s="173" t="b">
        <v>0</v>
      </c>
      <c r="AP75" s="173" t="b">
        <v>0</v>
      </c>
      <c r="AQ75" s="173" t="b">
        <v>0</v>
      </c>
      <c r="AR75" s="174" t="b">
        <v>0</v>
      </c>
      <c r="AS75" s="178" t="b">
        <v>0</v>
      </c>
      <c r="AT75" s="179" t="b">
        <v>0</v>
      </c>
      <c r="AU75" s="180" t="b">
        <v>0</v>
      </c>
      <c r="AV75" s="180" t="b">
        <v>0</v>
      </c>
      <c r="AW75" s="180" t="b">
        <v>0</v>
      </c>
      <c r="AX75" s="180" t="b">
        <v>0</v>
      </c>
      <c r="AY75" s="181" t="s">
        <v>1070</v>
      </c>
      <c r="AZ75" s="181" t="s">
        <v>1070</v>
      </c>
      <c r="BA75" s="184">
        <f>IFERROR(__xludf.DUMMYFUNCTION("IF(
  ISNUMBER(BA74),
  MIN(MAX(
    BA74
    + MAX(
      ROUNDDOWN((D75 - MAX(IFERROR(FILTER(D$24:D74, BA$24:BA74 &lt;&gt; AZ$6, BA$23:BA73 = AZ$6), 0))) * (60 * 60 * 24) / AZ$9) - ROUNDDOWN((D74 - MAX(IFERROR(FILTER(D$23:D73, BA$23:BA73 &lt;&gt; AZ$6, BA$22:BA72 ="&amp;" AZ$6), 0))) * (60 * 60 * 24) / AZ$9),
      0
    )
    - COUNTIF(AZ75, ""&lt;&gt;-""),
  0), AZ$6),
  AZ$6 - COUNTIF(AZ75, ""&lt;&gt;-"")
)"),2.0)</f>
        <v>2</v>
      </c>
      <c r="BB75" s="181" t="s">
        <v>1070</v>
      </c>
      <c r="BC75" s="183">
        <f>IFERROR(__xludf.DUMMYFUNCTION("IF(
  ISNUMBER(BC74),
  MIN(MAX(
    BC74
    + MAX(
      ROUNDDOWN(($D75 - MAX(IFERROR(FILTER($D$24:$D74, BC$24:BC74 &lt;&gt; BB$6, BC$23:BC73 = BB$6), 0))) * (60 * 60 * 24) / BB$9) - ROUNDDOWN(($D74 - MAX(IFERROR(FILTER($D$23:$D73, BC$23:BC73 &lt;&gt; BB$6, BC$22:"&amp;"BC72 = BB$6), 0))) * (60 * 60 * 24) / 60),
      0
    )
    - COUNTIF(BB75, ""&lt;&gt;-""),
  0), BB$6),
  BB$6 - COUNTIF(BB75, ""&lt;&gt;-"")
)"),2.0)</f>
        <v>2</v>
      </c>
      <c r="BD75" s="181" t="s">
        <v>1070</v>
      </c>
      <c r="BE75" s="178" t="b">
        <v>0</v>
      </c>
      <c r="BF75" s="180" t="b">
        <v>0</v>
      </c>
      <c r="BG75" s="180" t="b">
        <v>0</v>
      </c>
      <c r="BH75" s="180" t="b">
        <v>0</v>
      </c>
      <c r="BI75" s="180" t="b">
        <v>0</v>
      </c>
      <c r="BJ75" s="180" t="b">
        <v>0</v>
      </c>
      <c r="BK75" s="180" t="b">
        <v>0</v>
      </c>
      <c r="BL75" s="180" t="b">
        <v>0</v>
      </c>
      <c r="BM75" s="180" t="b">
        <v>0</v>
      </c>
      <c r="BN75" s="180" t="b">
        <v>0</v>
      </c>
      <c r="BO75" s="181" t="s">
        <v>1070</v>
      </c>
      <c r="BP75" s="181" t="s">
        <v>1070</v>
      </c>
      <c r="BQ75" s="181" t="s">
        <v>1070</v>
      </c>
      <c r="BR75" s="181" t="s">
        <v>1070</v>
      </c>
      <c r="BS75" s="181" t="s">
        <v>1070</v>
      </c>
      <c r="BT75" s="184">
        <f>IFERROR(__xludf.DUMMYFUNCTION("IF(
  ISNUMBER(BT74),
  MIN(MAX(
    BT74
    + MAX(
      ROUNDDOWN((D75 - MAX(IFERROR(FILTER(D$24:D74, BT$24:BT74 &lt;&gt; BS$6, BT$23:BT73 = BS$6), 0))) * (60 * 60 * 24) / BS$9) - ROUNDDOWN((D74 - MAX(IFERROR(FILTER(D$23:D73, BT$23:BT73 &lt;&gt; BS$6, BT$22:BT72 ="&amp;" BS$6), 0))) * (60 * 60 * 24) / BS$9),
      0
    )
    - COUNTIF(BS75, ""&lt;&gt;-""),
  0), BS$6),
  BS$6 - COUNTIF(BS75, ""&lt;&gt;-"")
)"),3.0)</f>
        <v>3</v>
      </c>
      <c r="BU75" s="181" t="s">
        <v>1070</v>
      </c>
      <c r="BV75" s="181" t="s">
        <v>1070</v>
      </c>
      <c r="BW75" s="184">
        <f>IFERROR(__xludf.DUMMYFUNCTION("IF(
  ISNUMBER(BW74),
  MIN(MAX(
    BW74
    + MAX(
      ROUNDDOWN((D75 - MAX(IFERROR(FILTER(D$24:D74, BW$24:BW74 &lt;&gt; BV$6, BW$23:BW73 = BV$6), 0))) * (60 * 60 * 24) / BV$9) - ROUNDDOWN((D74 - MAX(IFERROR(FILTER(D$23:D73, BW$23:BW73 &lt;&gt; BV$6, BW$22:BW72 ="&amp;" BV$6), 0))) * (60 * 60 * 24) / BV$9),
      0
    )
    - COUNTIF(BV75, ""&lt;&gt;-""),
  0), BV$6),
  BV$6 - COUNTIF(BV75, ""&lt;&gt;-"")
)"),2.0)</f>
        <v>2</v>
      </c>
      <c r="BX75" s="185" t="s">
        <v>1070</v>
      </c>
      <c r="BY75" s="178" t="b">
        <v>0</v>
      </c>
      <c r="BZ75" s="180" t="b">
        <v>0</v>
      </c>
      <c r="CA75" s="180" t="b">
        <v>0</v>
      </c>
      <c r="CB75" s="180" t="b">
        <v>0</v>
      </c>
      <c r="CC75" s="180" t="b">
        <v>0</v>
      </c>
      <c r="CD75" s="180" t="b">
        <v>0</v>
      </c>
      <c r="CE75" s="180" t="b">
        <v>0</v>
      </c>
      <c r="CF75" s="180" t="b">
        <v>0</v>
      </c>
      <c r="CG75" s="180" t="b">
        <v>0</v>
      </c>
      <c r="CH75" s="180" t="b">
        <v>0</v>
      </c>
      <c r="CI75" s="180" t="b">
        <v>0</v>
      </c>
      <c r="CJ75" s="180" t="b">
        <v>0</v>
      </c>
      <c r="CK75" s="180" t="b">
        <v>0</v>
      </c>
      <c r="CL75" s="180" t="b">
        <v>0</v>
      </c>
      <c r="CM75" s="181" t="s">
        <v>1070</v>
      </c>
      <c r="CN75" s="181" t="s">
        <v>1070</v>
      </c>
      <c r="CO75" s="181" t="s">
        <v>1070</v>
      </c>
      <c r="CP75" s="181" t="s">
        <v>1070</v>
      </c>
      <c r="CQ75" s="185" t="s">
        <v>1070</v>
      </c>
      <c r="CR75" s="180" t="b">
        <v>0</v>
      </c>
      <c r="CS75" s="186" t="str">
        <f t="shared" si="14"/>
        <v>◇◇◇</v>
      </c>
      <c r="CT75" s="178" t="b">
        <v>0</v>
      </c>
      <c r="CU75" s="180" t="b">
        <v>0</v>
      </c>
      <c r="CV75" s="180" t="b">
        <v>0</v>
      </c>
      <c r="CW75" s="180" t="b">
        <v>0</v>
      </c>
      <c r="CX75" s="180" t="b">
        <v>0</v>
      </c>
      <c r="CY75" s="180" t="b">
        <v>0</v>
      </c>
      <c r="CZ75" s="180" t="b">
        <v>0</v>
      </c>
      <c r="DA75" s="180" t="b">
        <v>0</v>
      </c>
      <c r="DB75" s="180" t="b">
        <v>0</v>
      </c>
      <c r="DC75" s="180" t="b">
        <v>0</v>
      </c>
      <c r="DD75" s="181" t="s">
        <v>1070</v>
      </c>
      <c r="DE75" s="181" t="s">
        <v>1070</v>
      </c>
      <c r="DF75" s="181" t="s">
        <v>1070</v>
      </c>
      <c r="DG75" s="185" t="s">
        <v>1070</v>
      </c>
      <c r="DH75" s="180" t="b">
        <v>0</v>
      </c>
      <c r="DI75" s="187" t="str">
        <f>IFERROR(__xludf.DUMMYFUNCTION("SWITCH(
  IF(
    ISTEXT(DI74),
    IF (
      FIND(""○"", DI74&amp;""○"") &gt; 3,
      3,
      FIND(""○"", DI74&amp;""○"")
      + MAX(
        ROUNDDOWN(($D75 - MAX(IFERROR(FILTER(D$24:D74, DI$24:DI74 &lt;&gt; ""●●●"", DI$23:DI73 = ""●●●""), 0))) * (60 * 60 * 24) / 20"&amp;") - ROUNDDOWN(($D74 - MAX(IFERROR(FILTER(D$23:D73, DI$23:DI73 &lt;&gt; ""●●●"", DI$22:DI72 = ""●●●""), 0))) * (60 * 60 * 24) / 20),
        0
      ) - 1
    ) - COUNTIFS(CU75, ""=TRUE"", CU74, ""&lt;&gt;TRUE"") - COUNTIF(CZ75, ""=TRUE"") - COUNTIF({DD75,DE75}, ""&lt;&gt;-"&amp;""") + COUNTIF(DH75, ""=TRUE""),
    3
  ),
  0, ""○○○"", 1, ""●○○"", 2, ""●●○"", 3, ""●●●"", 4, ""●●●"", ""○○○""
)"),"●●●")</f>
        <v>●●●</v>
      </c>
      <c r="DJ75" s="188" t="b">
        <v>0</v>
      </c>
      <c r="DK75" s="189" t="b">
        <v>0</v>
      </c>
      <c r="DL75" s="190" t="b">
        <v>0</v>
      </c>
      <c r="DM75" s="190" t="b">
        <v>0</v>
      </c>
      <c r="DN75" s="190" t="b">
        <v>0</v>
      </c>
      <c r="DO75" s="190" t="b">
        <v>0</v>
      </c>
      <c r="DP75" s="190" t="b">
        <v>0</v>
      </c>
      <c r="DQ75" s="191" t="b">
        <v>0</v>
      </c>
      <c r="DR75" s="192" t="b">
        <v>0</v>
      </c>
      <c r="DS75" s="191" t="b">
        <v>0</v>
      </c>
      <c r="DT75" s="192" t="b">
        <v>0</v>
      </c>
      <c r="DU75" s="191" t="b">
        <v>0</v>
      </c>
      <c r="DV75" s="193" t="s">
        <v>1070</v>
      </c>
      <c r="DW75" s="194" t="b">
        <v>0</v>
      </c>
      <c r="DX75" s="194" t="b">
        <v>0</v>
      </c>
      <c r="DY75" s="195" t="b">
        <v>0</v>
      </c>
      <c r="DZ75" s="196" t="b">
        <v>0</v>
      </c>
      <c r="EA75" s="195" t="b">
        <v>0</v>
      </c>
      <c r="EB75" s="197" t="b">
        <v>0</v>
      </c>
      <c r="EC75" s="197" t="b">
        <v>0</v>
      </c>
      <c r="ED75" s="212" t="b">
        <v>0</v>
      </c>
      <c r="EE75" s="199">
        <f>IFERROR(__xludf.DUMMYFUNCTION("IFERROR(
   PRODUCT(
     MAP(
       INDEX(TRANSPOSE(UNIQUE(TRANSPOSE(FILTER({IF($F75=""Physical"", K$10:ED$10, IF($F75=""Magic"", K$11:ED$11, K$12:ED$12));K$4:ED$4;K75:ED75}, K75:ED75=TRUE)))), 1, 0),
       INDEX(TRANSPOSE(UNIQUE(TRANSPOSE(FILTER({IF($"&amp;"F75=""Physical"", K$18:ED$18, IF($F75=""Magic"", K$19:ED$19, K$20:ED$20));K$4:ED$4;K75:ED75}, K75:ED75=TRUE)))), 1, 0),
       INDEX(TRANSPOSE(UNIQUE(TRANSPOSE(FILTER({K$5:ED$5;K$4:ED$4;K75:ED75}, K75:ED75=TRUE)))), 1, 0),
       INDEX(TRANSPOSE(UNIQUE(TR"&amp;"ANSPOSE(FILTER({K$17:ED$17;K$4:ED$4;K75:ED75}, K75:ED75=TRUE)))), 1, 0),
       LAMBDA(
         mitigation,
         enhance,
         assign,
         precondition,
         IF(
           REGEXMATCH(assign, ""RANGE_PARTY|SINGLE_ENEMY|RANGE_ENEMY""),
  "&amp;"         IF(
             OR(ARRAYFORMULA((IF(precondition="""", FALSE, REGEXMATCH(K$4:ED$4, precondition))) * (K75:ED75=TRUE))),
             IF(ISNUMBER(enhance), enhance, 1),
             IF(ISNUMBER(mitigation), mitigation, 1)
           ),
          "&amp;" 1
         )
       )
     )
   ),
   1
 )"),1.0)</f>
        <v>1</v>
      </c>
      <c r="EF75" s="200">
        <f>IFERROR(__xludf.DUMMYFUNCTION("PRODUCT(
   MAP(
     K$14:ED$14,
     K$13:ED$13,
     K75:ED75,
     LAMBDA(
       buff,
       target,
       check,
       IF(
         AND(check=TRUE, REGEXMATCH(target, ""RANGE_AFFECTED_ALL|RANGE_EFFECTED_ALL""), ISNUMBER(buff)),
         buff,
   "&amp;"      1
       )
     )
   )
 )"),1.0)</f>
        <v>1</v>
      </c>
      <c r="EG75" s="200">
        <f>IFERROR(__xludf.DUMMYFUNCTION("PRODUCT(
   MAP(
     K$14:ED$14,
     K$13:ED$13,
     K75:ED75,
     LAMBDA(
       buff,
       target,
       check,
       IF(
         AND(check=TRUE, REGEXMATCH(target, ""RANGE_AFFECTED_GCD|RANGE_EFFECTED_GCD""), ISNUMBER(buff)),
         buff,
   "&amp;"      1
       )
     )
   )
 )"),1.0)</f>
        <v>1</v>
      </c>
      <c r="EH75" s="200">
        <f>IFERROR(__xludf.DUMMYFUNCTION("PRODUCT(
   MAP(
     K$3:ED$3,
     K$14:ED$14,
     K$13:ED$13,
     K75:ED75,
     LAMBDA(
       job,
       buff,
       target,
       check,
       IF(
         AND(check=TRUE, REGEXMATCH(target, ""SELF_EFFECTED_ALL""), ISNUMBER(buff), job=""白魔道士"""&amp;"),
         buff,
         1
       )
     )
   )
 )"),1.0)</f>
        <v>1</v>
      </c>
      <c r="EI75" s="200">
        <f>IFERROR(__xludf.DUMMYFUNCTION("PRODUCT(
   MAP(
     K$3:ED$3,
     K$14:ED$14,
     K$13:ED$13,
     K75:ED75,
     LAMBDA(
       job,
       buff,
       target,
       check,
       IF(
         AND(check=TRUE, REGEXMATCH(target, ""SELF_EFFECTED_GCD""), ISNUMBER(buff), job=""白魔道士"""&amp;"),
         buff,
         1
       )
     )
   )
 )"),1.0)</f>
        <v>1</v>
      </c>
      <c r="EJ75" s="200">
        <f>IFERROR(__xludf.DUMMYFUNCTION("PRODUCT(
   MAP(
     K$3:ED$3,
     K$14:ED$14,
     K$13:ED$13,
     K75:ED75,
     LAMBDA(
       job,
       buff,
       target,
       check,
       IF(
         AND(check=TRUE, REGEXMATCH(target, ""SELF_EFFECTED_ALL""), ISNUMBER(buff), job=""占星術師"""&amp;"),
         buff,
         1
       )
     )
   )
 )"),1.0)</f>
        <v>1</v>
      </c>
      <c r="EK75" s="200">
        <f>IFERROR(__xludf.DUMMYFUNCTION("PRODUCT(
   MAP(
     K$3:ED$3,
     K$14:ED$14,
     K$13:ED$13,
     K75:ED75,
     LAMBDA(
       job,
       buff,
       target,
       check,
       IF(
         AND(check=TRUE, REGEXMATCH(target, ""SELF_EFFECTED_GCD""), ISNUMBER(buff), job=""占星術師"""&amp;"),
         buff,
         1
       )
     )
   )
 )"),1.0)</f>
        <v>1</v>
      </c>
      <c r="EL75" s="200">
        <f>IFERROR(__xludf.DUMMYFUNCTION("PRODUCT(
   MAP(
     K$3:ED$3,
     K$14:ED$14,
     K$13:ED$13,
     K75:ED75,
     LAMBDA(
       job,
       buff,
       target,
       check,
       IF(
         AND(check=TRUE, REGEXMATCH(target, ""SELF_EFFECTED_ALL""), ISNUMBER(buff), job=""学者""),"&amp;"
         buff,
         1
       )
     )
   )
 )"),1.0)</f>
        <v>1</v>
      </c>
      <c r="EM75" s="200">
        <f>IFERROR(__xludf.DUMMYFUNCTION("PRODUCT(
   MAP(
     K$3:ED$3,
     K$14:ED$14,
     K$13:ED$13,
     K75:ED75,
     LAMBDA(
       job,
       buff,
       target,
       check,
       IF(
         AND(check=TRUE, REGEXMATCH(target, ""SELF_EFFECTED_GCD""), ISNUMBER(buff), job=""学者""),"&amp;"
         buff,
         1
       )
     )
   )
 )"),1.0)</f>
        <v>1</v>
      </c>
      <c r="EN75" s="200">
        <f>IFERROR(__xludf.DUMMYFUNCTION("PRODUCT(
   MAP(
     K$3:ED$3,
     K$14:ED$14,
     K$13:ED$13,
     K75:ED75,
     LAMBDA(
       job,
       buff,
       target,
       check,
       IF(
         AND(check=TRUE, REGEXMATCH(target, ""SELF_EFFECTED_ALL""), ISNUMBER(buff), job=""賢者""),"&amp;"
         buff,
         1
       )
     )
   )
 )"),1.0)</f>
        <v>1</v>
      </c>
      <c r="EO75" s="200">
        <f>IFERROR(__xludf.DUMMYFUNCTION("PRODUCT(
   MAP(
     K$3:ED$3,
     K$14:ED$14,
     K$13:ED$13,
     K75:ED75,
     LAMBDA(
       job,
       buff,
       target,
       check,
       IF(
         AND(check=TRUE, REGEXMATCH(target, ""SELF_EFFECTED_GCD""), ISNUMBER(buff), job=""賢者""),"&amp;"
         buff,
         1
       )
     )
   )
 )"),1.0)</f>
        <v>1</v>
      </c>
      <c r="EP75" s="201">
        <f t="shared" si="3"/>
        <v>0</v>
      </c>
      <c r="EQ75" s="201">
        <f>IFERROR(__xludf.DUMMYFUNCTION("SUM(
   MAP(
     K$4:ED$4,
     K$3:ED$3,
     K$7:ED$7,
     K$15:ED$15,
     K$16:ED$16,
     K$21:ED$21,
     K$5:ED$5,
     K$17:ED$17,
     K75:ED75,
     LAMBDA(
       name,
       job,
       abillity,
       buff,
       barrier,
       enhance,"&amp;"
       assign,
       precondition,
       check,
       SWITCH(
         name,
         ""シェイクオフ"", IF(check=TRUE, buff + (0.02 * COUNTIF(ARRAYFORMULA((REGEXMATCH($K$4:$ED$4, ""スリル・オブ・バトル|ヴェンジェンス|原初の血気|ダムネーション"")) * (K75:ED75=TRUE)), 1)), 0),
         "&amp;"""インプロビゼーションフィニッシュ(踊りの激情0)"", IF(ISNUMBER(check), INDEX(Skill!$AJ:$AJ, MATCH(SUBSTITUTE(DV$4, 0, check), Skill!$C:$C, 0)), 0),
         IF(
           AND(check=TRUE, REGEXMATCH(assign, ""RANGE_PARTY"")),
           IF(
             OR(ARRAYFORMULA((IF(pr"&amp;"econdition="""", FALSE, REGEXMATCH($K$4:$ED$4, precondition))) * (K75:ED75=TRUE))),
             enhance,
             IF(barrier="""", buff, barrier)
           ),
           0
         )
       ) *
       SWITCH(
         job,
         ""ナイト"", EY$24,
 "&amp;"        ""戦士"", FD$24,
         ""踊り子"", ET$24,
         ""ピクトマンサー"", ET$24,
         ""白魔道士"", EF75 * EH75 * IF(abillity, 1, EG75 * EI75) * (Option!$D$22 * 0.81 / 100),
         ""占星術師"", EF75 * EJ75 * IF(abillity, 1, EG75 * EK75) * (Option!$D$23 * 0.81 "&amp;"/ 100),
         ""学者"", EF75 * EL75 * IF(abillity, 1, EG75 * EM75) * (Option!$D$24 * 0.81 / 100),
         ""賢者"", EF75 * EN75 * IF(abillity, 1, EG75 * EO75) * (Option!$D$25 * 0.81 / 100),
         1
       )
     )
   )
 )"),0.0)</f>
        <v>0</v>
      </c>
      <c r="ER75" s="202">
        <f t="shared" si="4"/>
        <v>0</v>
      </c>
      <c r="ES75" s="203">
        <f t="shared" si="5"/>
        <v>0</v>
      </c>
      <c r="ET75" s="204" t="str">
        <f>IFERROR(__xludf.DUMMYFUNCTION("IFS(
  EP75 &gt; $ET$24 + EQ75,
  SPARKLINE({ 1, 0 }, {""charttype"",""bar"";""max"", 1;""color1"",Option!$D$30;""color2"",Option!$D$30}),
  EP75 &lt; EQ75,
  SPARKLINE({EQ75 - EP75, $ET$24 - (EQ75 - EP75)}, {""charttype"",""bar"";""max"",$ET$24;""color1"",Opti"&amp;"on!$D$28;""color2"",Option!$D$29}),
  EP75 &gt;= EQ75,
  SPARKLINE({$ET$24 + EQ75 - EP75,EP75 - EQ75}, {""charttype"",""bar"";""max"",$ET$24;""color1"",Option!$D$29;""color2"",Option!$D$30})
)"),"")</f>
        <v/>
      </c>
      <c r="EU75" s="205">
        <f>IFERROR(__xludf.DUMMYFUNCTION("PRODUCT(
   MAP(
     IF($F75=""Physical"", K$10:ED$10, IF($F75=""Magic"", K$11:ED$11, K$12:ED$12)),
     IF($F75=""Physical"", K$18:ED$18, IF($F75=""Magic"", K$19:ED$19, K$20:ED$20)),
     K$3:ED$3,
     K$5:ED$5,
     K$17:ED$17,
     K75:ED75,
     LAM"&amp;"BDA(
       mitigation,
       enhance,
       job,
       assign,
       precondition,
       check,
       IF(
         OR(AND(check=TRUE, REGEXMATCH(assign, ""SELF""), job=""ナイト""), AND(check=Option!$E$13, REGEXMATCH(assign, ""SINGLE_PARTY""))),
      "&amp;"   IF(
           OR(ARRAYFORMULA((IF(precondition="""", FALSE, REGEXMATCH($K$4:$ED$4, precondition))) * (K75:ED75=TRUE))),
           enhance,
           mitigation
         ),
         1
       )
     )
   )
 ) * EE75"),1.0)</f>
        <v>1</v>
      </c>
      <c r="EV75" s="206">
        <f t="shared" si="6"/>
        <v>0</v>
      </c>
      <c r="EW75" s="205">
        <f>IFERROR(__xludf.DUMMYFUNCTION("PRODUCT(
   MAP(
     K$3:ED$3,
     K$14:ED$14,
     K$13:ED$13,
     K75:ED75,
     LAMBDA(
       job,
       buff,
       target,
       check,
       IF(
         OR(AND(check=TRUE, REGEXMATCH(target, ""SELF_AFFECTED_ALL""), job=""ナイト""), AND(check=O"&amp;"ption!$E$13, REGEXMATCH(target, ""SINGLE_AFFECTED_ALL""))),
         buff,
         1
       )
     )
   )
 )"),1.0)</f>
        <v>1</v>
      </c>
      <c r="EX75" s="206">
        <f>IFERROR(__xludf.DUMMYFUNCTION("SUM(
   MAP(
     K$3:ED$3,
     K$7:ED$7,
     K$15:ED$15,
     K$16:ED$16,
     K$21:ED$21,
     K$5:ED$5,
     K$17:ED$17,
     K75:ED75,
     LAMBDA(
       job,
       abillity,
       buff,
       barrier,
       enhance,
       assign,
       preco"&amp;"ndition,
       check,
       IF(
         OR(AND(check=TRUE, REGEXMATCH(assign, ""SELF""), job=""ナイト""), AND(check=Option!$E$13, REGEXMATCH(assign, ""SINGLE_PARTY""))),
         IF(
           OR(ARRAYFORMULA((IF(precondition="""", FALSE, REGEXMATCH($K$4"&amp;":$ED$4, precondition))) * (K75:ED75=TRUE))),
           enhance,
           IF(barrier="""", buff, barrier)
         ),
         0
       ) *
       SWITCH(
         job,
         ""暗黒騎士"", EY$24,
         ""白魔道士"", EF75 * EH75 * EW75 * IF(abillity, 1, EG"&amp;"75 * EI75) * (Option!$D$22 * 0.81 / 100),
         ""占星術師"", EF75 * EJ75 * EW75 * IF(abillity, 1, EG75 * EK75) * (Option!$D$23 * 0.81 / 100),
         ""学者"", EF75 * EL75 * EW75 * IF(abillity, 1, EG75 * EM75) * (Option!$D$24 * 0.81 / 100),
         ""賢者"""&amp;", EF75 * EN75 * EW75 * IF(abillity, 1, EG75 * EO75) * (Option!$D$25 * 0.81 / 100),
         1
       )
     )
   )
 ) + EQ75"),0.0)</f>
        <v>0</v>
      </c>
      <c r="EY75" s="206">
        <f t="shared" si="7"/>
        <v>0</v>
      </c>
      <c r="EZ75" s="205">
        <f>IFERROR(__xludf.DUMMYFUNCTION("PRODUCT(
   MAP(
     IF($F75=""Physical"", K$10:ED$10, IF($F75=""Magic"", K$11:ED$11, K$12:ED$12)),
     IF($F75=""Physical"", K$18:ED$18, IF($F75=""Magic"", K$19:ED$19, K$20:ED$20)),
     K$3:ED$3,
     K$5:ED$5,
     K$17:ED$17,
     K75:ED75,
     LAM"&amp;"BDA(
       mitigation,
       enhance,
       job,
       assign,
       precondition,
       check,
       IF(
         OR(AND(check=TRUE, REGEXMATCH(assign, ""SELF""), job=""戦士""), AND(check=Option!$F$13, REGEXMATCH(assign, ""SINGLE_PARTY""))),
       "&amp;"  IF(
           OR(ARRAYFORMULA((IF(precondition="""", FALSE, REGEXMATCH($K$4:$ED$4, precondition))) * (K75:ED75=TRUE))),
           enhance,
           mitigation
         ),
         1
       )
     )
   )
 ) * EE75"),1.0)</f>
        <v>1</v>
      </c>
      <c r="FA75" s="206">
        <f t="shared" si="8"/>
        <v>0</v>
      </c>
      <c r="FB75" s="205">
        <f>IFERROR(__xludf.DUMMYFUNCTION("PRODUCT(
   MAP(
     K$3:ED$3,
     K$14:ED$14,
     K$13:ED$13,
     K75:ED75,
     LAMBDA(
       job,
       buff,
       target,
       check,
       IF(
         OR(AND(check=TRUE, REGEXMATCH(target, ""SELF_AFFECTED_ALL""), job=""戦士""), AND(check=Op"&amp;"tion!$F$13, REGEXMATCH(target, ""SINGLE_AFFECTED_ALL""))),
         buff,
         1
       )
     )
   )
 )"),1.0)</f>
        <v>1</v>
      </c>
      <c r="FC75" s="206">
        <f>IFERROR(__xludf.DUMMYFUNCTION("SUM(
   MAP(
     K$3:ED$3,
     K$7:ED$7,
     K$15:ED$15,
     K$16:ED$16,
     K$21:ED$21,
     K$5:ED$5,
     K$17:ED$17,
     K75:ED75,
     LAMBDA(
       job,
       abillity,
       buff,
       barrier,
       enhance,
       assign,
       preco"&amp;"ndition,
       check,
       IF(
         OR(AND(check=TRUE, REGEXMATCH(assign, ""SELF""), job=""戦士""), AND(check=Option!$F$13, REGEXMATCH(assign, ""SINGLE_PARTY""))),
         IF(
           OR(ARRAYFORMULA((IF(precondition="""", FALSE, REGEXMATCH($K$4:"&amp;"$ED$4, precondition))) * (K75:ED75=TRUE))),
           enhance,
           IF(barrier="""", buff, barrier)
         ),
         0
       ) *
       SWITCH(
         job,
         ""暗黒騎士"", FD$24,
         ""白魔道士"", EF75 * EH75 * FB75 * IF(abillity, 1, EG7"&amp;"5 * EI75) * (Option!$D$22 * 0.81 / 100),
         ""占星術師"", EF75 * EJ75 * FFB75 * IF(abillity, 1, EG75 * EK75) * (Option!$D$23 * 0.81 / 100),
         ""学者"", EF75 * EL75 * FB75 * IF(abillity, 1, EG75 * EM75) * (Option!$D$24 * 0.81 / 100),
         ""賢者"""&amp;", EF75 * EN75 * FB75 * IF(abillity, 1, EG75 * EO75) * (Option!$D$25 * 0.81 / 100),
         1
       )
     )
   )
 ) + EQ75"),0.0)</f>
        <v>0</v>
      </c>
      <c r="FD75" s="206">
        <f t="shared" si="9"/>
        <v>0</v>
      </c>
      <c r="FE75" s="205">
        <f>IFERROR(__xludf.DUMMYFUNCTION("PRODUCT(
   MAP(
     IF($F75=""Physical"", K$10:ED$10, IF($F75=""Magic"", K$11:ED$11, K$12:ED$12)),
     IF($F75=""Physical"", K$18:ED$18, IF($F75=""Magic"", K$19:ED$19, K$20:ED$20)),
     K$3:ED$3,
     K$5:ED$5,
     K$17:ED$17,
     K75:ED75,
     LAM"&amp;"BDA(
       mitigation,
       enhance,
       job,
       assign,
       precondition,
       check,
       IF(
         OR(AND(check=TRUE, REGEXMATCH(assign, ""SELF""), job=""暗黒騎士""), AND(check=Option!$G$13, REGEXMATCH(assign, ""SINGLE_PARTY""))),
     "&amp;"    IF(
           OR(ARRAYFORMULA((IF(precondition="""", FALSE, REGEXMATCH($K$4:$ED$4, precondition))) * (K75:ED75=TRUE))),
           enhance,
           mitigation
         ),
         1
       )
     )
   )
 ) * EE75"),1.0)</f>
        <v>1</v>
      </c>
      <c r="FF75" s="206">
        <f t="shared" si="10"/>
        <v>0</v>
      </c>
      <c r="FG75" s="205">
        <f>IFERROR(__xludf.DUMMYFUNCTION("PRODUCT(
   MAP(
     K$3:ED$3,
     K$14:ED$14,
     K$13:ED$13,
     K75:ED75,
     LAMBDA(
       job,
       buff,
       target,
       check,
       IF(
         OR(AND(check=TRUE, REGEXMATCH(target, ""SELF_AFFECTED_ALL""), job=""暗黒騎士""), AND(check="&amp;"Option!$G$13, REGEXMATCH(target, ""SINGLE_AFFECTED_ALL""))),
         buff,
         1
       )
     )
   )
 )"),1.0)</f>
        <v>1</v>
      </c>
      <c r="FH75" s="206">
        <f>IFERROR(__xludf.DUMMYFUNCTION("SUM(
   MAP(
     K$3:ED$3,
     K$7:ED$7,
     K$15:ED$15,
     K$16:ED$16,
     K$21:ED$21,
     K$5:ED$5,
     K$17:ED$17,
     K75:ED75,
     LAMBDA(
       job,
       abillity,
       buff,
       barrier,
       enhance,
       assign,
       preco"&amp;"ndition,
       check,
       IF(
         OR(AND(check=TRUE, REGEXMATCH(assign, ""SELF""), job=""暗黒騎士""), AND(check=Option!$G$13, REGEXMATCH(assign, ""SINGLE_PARTY""))),
         IF(
           OR(ARRAYFORMULA((IF(precondition="""", FALSE, REGEXMATCH($K$"&amp;"4:$ED$4, precondition))) * (K75:ED75=TRUE))),
           enhance,
           IF(barrier="""", buff, barrier)
         ),
         0
       ) *
       SWITCH(
         job,
         ""暗黒騎士"", FI$24,
         ""白魔道士"", EF75 * EH75 * FG75 * IF(abillity, 1, E"&amp;"G75 * EI75) * (Option!$D$22 * 0.81 / 100),
         ""占星術師"", EF75 * EJ75 * FG75 * IF(abillity, 1, EG75 * EK75) * (Option!$D$23 * 0.81 / 100),
         ""学者"", EF75 * EL75 * FG75 * IF(abillity, 1, EG75 * EM75) * (Option!$D$24 * 0.81 / 100),
         ""賢者"&amp;""", EF75 * EN75 * FG75 * IF(abillity, 1, EG75 * EO75) * (Option!$D$25 * 0.81 / 100),
         1
       )
     )
   )
 ) + EQ75"),0.0)</f>
        <v>0</v>
      </c>
      <c r="FI75" s="206">
        <f t="shared" si="11"/>
        <v>0</v>
      </c>
      <c r="FJ75" s="205">
        <f>IFERROR(__xludf.DUMMYFUNCTION("PRODUCT(
   MAP(
     IF($F75=""Physical"", K$10:ED$10, IF($F75=""Magic"", K$11:ED$11, K$12:ED$12)),
     IF($F75=""Physical"", K$18:ED$18, IF($F75=""Magic"", K$19:ED$19, K$20:ED$20)),
     K$3:ED$3,
     K$5:ED$5,
     K$17:ED$17,
     K75:ED75,
     LAM"&amp;"BDA(
       mitigation,
       enhance,
       job,
       assign,
       precondition,
       check,
       IF(
         OR(AND(check=TRUE, REGEXMATCH(assign, ""SELF""), job=""ガンブレイカー""), AND(check=Option!$H$13, REGEXMATCH(assign, ""SINGLE_PARTY""))),
  "&amp;"       IF(
           OR(ARRAYFORMULA((IF(precondition="""", FALSE, REGEXMATCH($K$4:$ED$4, precondition))) * (K75:ED75=TRUE))),
           enhance,
           mitigation
         ),
         1
       )
     )
   )
 ) * EE75"),1.0)</f>
        <v>1</v>
      </c>
      <c r="FK75" s="206">
        <f t="shared" si="12"/>
        <v>0</v>
      </c>
      <c r="FL75" s="205">
        <f>IFERROR(__xludf.DUMMYFUNCTION("PRODUCT(
   MAP(
     K$3:ED$3,
     K$14:ED$14,
     K$13:ED$13,
     K75:ED75,
     LAMBDA(
       job,
       buff,
       target,
       check,
       IF(
         OR(AND(check=TRUE, REGEXMATCH(target, ""SELF_AFFECTED_ALL""), job=""ガンブレイカー""), AND(che"&amp;"ck=Option!$H$13, REGEXMATCH(target, ""SINGLE_AFFECTED_ALL""))),
         buff,
         1
       )
     )
   )
 )"),1.0)</f>
        <v>1</v>
      </c>
      <c r="FM75" s="206">
        <f>IFERROR(__xludf.DUMMYFUNCTION("SUM(
   MAP(
     K$3:ED$3,
     K$7:ED$7,
     K$15:ED$15,
     K$16:ED$16,
     K$21:ED$21,
     K$5:ED$5,
     K$17:ED$17,
     K75:ED75,
     LAMBDA(
       job,
       abillity,
       buff,
       barrier,
       enhance,
       assign,
       preco"&amp;"ndition,
       check,
       IF(
         OR(AND(check=TRUE, REGEXMATCH(assign, ""SELF""), job=""ガンブレイカー""), AND(check=Option!$H$13, REGEXMATCH(assign, ""SINGLE_PARTY""))),
         IF(
           OR(ARRAYFORMULA((IF(precondition="""", FALSE, REGEXMATCH("&amp;"$K$4:$ED$4, precondition))) * (K75:ED75=TRUE))),
           enhance,
           IF(barrier="""", buff, barrier)
         ),
         0
       ) *
       SWITCH(
         job,
         ""暗黒騎士"", FN$24,
         ""白魔道士"", EF75 * EH75 * FL75 * IF(abillity, 1"&amp;", EG75 * EI75) * (Option!$D$22 * 0.81 / 100),
         ""占星術師"", EF75 * EJ75 * FL75 * IF(abillity, 1, EG75 * EK75) * (Option!$D$23 * 0.81 / 100),
         ""学者"", EF75 * EL75 * FL75 * IF(abillity, 1, EG75 * EM75) * (Option!$D$24 * 0.81 / 100),
         """&amp;"賢者"", EF75 * EN75 * FL75 * IF(abillity, 1, EG75 * EO75) * (Option!$D$25 * 0.81 / 100),
         1
       )
     )
   )
 ) + EQ75"),0.0)</f>
        <v>0</v>
      </c>
      <c r="FN75" s="206">
        <f t="shared" si="13"/>
        <v>0</v>
      </c>
      <c r="FO75" s="213"/>
    </row>
    <row r="76">
      <c r="B76" s="240"/>
      <c r="C76" s="217">
        <f t="shared" si="1"/>
        <v>0</v>
      </c>
      <c r="D76" s="236"/>
      <c r="E76" s="241"/>
      <c r="F76" s="167"/>
      <c r="G76" s="168" t="str">
        <f t="shared" si="2"/>
        <v/>
      </c>
      <c r="H76" s="169"/>
      <c r="I76" s="169"/>
      <c r="J76" s="169"/>
      <c r="K76" s="170" t="b">
        <v>0</v>
      </c>
      <c r="L76" s="170" t="b">
        <v>0</v>
      </c>
      <c r="M76" s="170" t="b">
        <v>0</v>
      </c>
      <c r="N76" s="171" t="s">
        <v>1070</v>
      </c>
      <c r="O76" s="172" t="b">
        <v>0</v>
      </c>
      <c r="P76" s="173" t="b">
        <v>0</v>
      </c>
      <c r="Q76" s="173" t="b">
        <v>0</v>
      </c>
      <c r="R76" s="173" t="b">
        <v>0</v>
      </c>
      <c r="S76" s="174" t="b">
        <v>0</v>
      </c>
      <c r="T76" s="175" t="b">
        <v>0</v>
      </c>
      <c r="U76" s="173" t="b">
        <v>0</v>
      </c>
      <c r="V76" s="171" t="s">
        <v>1070</v>
      </c>
      <c r="W76" s="172" t="b">
        <v>0</v>
      </c>
      <c r="X76" s="173" t="b">
        <v>0</v>
      </c>
      <c r="Y76" s="173" t="b">
        <v>0</v>
      </c>
      <c r="Z76" s="173" t="b">
        <v>0</v>
      </c>
      <c r="AA76" s="174" t="b">
        <v>0</v>
      </c>
      <c r="AB76" s="174" t="b">
        <v>0</v>
      </c>
      <c r="AC76" s="175" t="b">
        <v>0</v>
      </c>
      <c r="AD76" s="173" t="b">
        <v>0</v>
      </c>
      <c r="AE76" s="176" t="s">
        <v>1070</v>
      </c>
      <c r="AF76" s="171" t="s">
        <v>1070</v>
      </c>
      <c r="AG76" s="177">
        <f>IFERROR(__xludf.DUMMYFUNCTION("IF(
  ISNUMBER(AG75),
  MIN(MAX(
    AG75
    + MAX(
      ROUNDDOWN(($D76 - MAX(IFERROR(FILTER($D$24:$D75, AG$24:AG75 &lt;&gt; AF$6, AG$23:AG74 = AF$6), 0))) * (60 * 60 * 24) / AF$9) - ROUNDDOWN(($D75 - MAX(IFERROR(FILTER($D$23:$D74, AG$23:AG74 &lt;&gt; AF$6, AG$22:"&amp;"AG73 = AF$6), 0))) * (60 * 60 * 24) / 60),
      0
    )
    - COUNTIF(AF76, ""&lt;&gt;-""),
  0), AF$6),
  AF$6 - COUNTIF(AF76, ""&lt;&gt;-"")
)"),2.0)</f>
        <v>2</v>
      </c>
      <c r="AH76" s="173" t="b">
        <v>0</v>
      </c>
      <c r="AI76" s="173" t="b">
        <v>0</v>
      </c>
      <c r="AJ76" s="173" t="b">
        <v>0</v>
      </c>
      <c r="AK76" s="174" t="b">
        <v>0</v>
      </c>
      <c r="AL76" s="175" t="b">
        <v>0</v>
      </c>
      <c r="AM76" s="173" t="b">
        <v>0</v>
      </c>
      <c r="AN76" s="171" t="s">
        <v>1070</v>
      </c>
      <c r="AO76" s="173" t="b">
        <v>0</v>
      </c>
      <c r="AP76" s="173" t="b">
        <v>0</v>
      </c>
      <c r="AQ76" s="173" t="b">
        <v>0</v>
      </c>
      <c r="AR76" s="174" t="b">
        <v>0</v>
      </c>
      <c r="AS76" s="178" t="b">
        <v>0</v>
      </c>
      <c r="AT76" s="179" t="b">
        <v>0</v>
      </c>
      <c r="AU76" s="180" t="b">
        <v>0</v>
      </c>
      <c r="AV76" s="180" t="b">
        <v>0</v>
      </c>
      <c r="AW76" s="180" t="b">
        <v>0</v>
      </c>
      <c r="AX76" s="180" t="b">
        <v>0</v>
      </c>
      <c r="AY76" s="181" t="s">
        <v>1070</v>
      </c>
      <c r="AZ76" s="181" t="s">
        <v>1070</v>
      </c>
      <c r="BA76" s="184">
        <f>IFERROR(__xludf.DUMMYFUNCTION("IF(
  ISNUMBER(BA75),
  MIN(MAX(
    BA75
    + MAX(
      ROUNDDOWN((D76 - MAX(IFERROR(FILTER(D$24:D75, BA$24:BA75 &lt;&gt; AZ$6, BA$23:BA74 = AZ$6), 0))) * (60 * 60 * 24) / AZ$9) - ROUNDDOWN((D75 - MAX(IFERROR(FILTER(D$23:D74, BA$23:BA74 &lt;&gt; AZ$6, BA$22:BA73 ="&amp;" AZ$6), 0))) * (60 * 60 * 24) / AZ$9),
      0
    )
    - COUNTIF(AZ76, ""&lt;&gt;-""),
  0), AZ$6),
  AZ$6 - COUNTIF(AZ76, ""&lt;&gt;-"")
)"),2.0)</f>
        <v>2</v>
      </c>
      <c r="BB76" s="181" t="s">
        <v>1070</v>
      </c>
      <c r="BC76" s="183">
        <f>IFERROR(__xludf.DUMMYFUNCTION("IF(
  ISNUMBER(BC75),
  MIN(MAX(
    BC75
    + MAX(
      ROUNDDOWN(($D76 - MAX(IFERROR(FILTER($D$24:$D75, BC$24:BC75 &lt;&gt; BB$6, BC$23:BC74 = BB$6), 0))) * (60 * 60 * 24) / BB$9) - ROUNDDOWN(($D75 - MAX(IFERROR(FILTER($D$23:$D74, BC$23:BC74 &lt;&gt; BB$6, BC$22:"&amp;"BC73 = BB$6), 0))) * (60 * 60 * 24) / 60),
      0
    )
    - COUNTIF(BB76, ""&lt;&gt;-""),
  0), BB$6),
  BB$6 - COUNTIF(BB76, ""&lt;&gt;-"")
)"),2.0)</f>
        <v>2</v>
      </c>
      <c r="BD76" s="181" t="s">
        <v>1070</v>
      </c>
      <c r="BE76" s="178" t="b">
        <v>0</v>
      </c>
      <c r="BF76" s="180" t="b">
        <v>0</v>
      </c>
      <c r="BG76" s="180" t="b">
        <v>0</v>
      </c>
      <c r="BH76" s="180" t="b">
        <v>0</v>
      </c>
      <c r="BI76" s="180" t="b">
        <v>0</v>
      </c>
      <c r="BJ76" s="180" t="b">
        <v>0</v>
      </c>
      <c r="BK76" s="180" t="b">
        <v>0</v>
      </c>
      <c r="BL76" s="180" t="b">
        <v>0</v>
      </c>
      <c r="BM76" s="180" t="b">
        <v>0</v>
      </c>
      <c r="BN76" s="180" t="b">
        <v>0</v>
      </c>
      <c r="BO76" s="181" t="s">
        <v>1070</v>
      </c>
      <c r="BP76" s="181" t="s">
        <v>1070</v>
      </c>
      <c r="BQ76" s="181" t="s">
        <v>1070</v>
      </c>
      <c r="BR76" s="181" t="s">
        <v>1070</v>
      </c>
      <c r="BS76" s="181" t="s">
        <v>1070</v>
      </c>
      <c r="BT76" s="184">
        <f>IFERROR(__xludf.DUMMYFUNCTION("IF(
  ISNUMBER(BT75),
  MIN(MAX(
    BT75
    + MAX(
      ROUNDDOWN((D76 - MAX(IFERROR(FILTER(D$24:D75, BT$24:BT75 &lt;&gt; BS$6, BT$23:BT74 = BS$6), 0))) * (60 * 60 * 24) / BS$9) - ROUNDDOWN((D75 - MAX(IFERROR(FILTER(D$23:D74, BT$23:BT74 &lt;&gt; BS$6, BT$22:BT73 ="&amp;" BS$6), 0))) * (60 * 60 * 24) / BS$9),
      0
    )
    - COUNTIF(BS76, ""&lt;&gt;-""),
  0), BS$6),
  BS$6 - COUNTIF(BS76, ""&lt;&gt;-"")
)"),3.0)</f>
        <v>3</v>
      </c>
      <c r="BU76" s="181" t="s">
        <v>1070</v>
      </c>
      <c r="BV76" s="181" t="s">
        <v>1070</v>
      </c>
      <c r="BW76" s="184">
        <f>IFERROR(__xludf.DUMMYFUNCTION("IF(
  ISNUMBER(BW75),
  MIN(MAX(
    BW75
    + MAX(
      ROUNDDOWN((D76 - MAX(IFERROR(FILTER(D$24:D75, BW$24:BW75 &lt;&gt; BV$6, BW$23:BW74 = BV$6), 0))) * (60 * 60 * 24) / BV$9) - ROUNDDOWN((D75 - MAX(IFERROR(FILTER(D$23:D74, BW$23:BW74 &lt;&gt; BV$6, BW$22:BW73 ="&amp;" BV$6), 0))) * (60 * 60 * 24) / BV$9),
      0
    )
    - COUNTIF(BV76, ""&lt;&gt;-""),
  0), BV$6),
  BV$6 - COUNTIF(BV76, ""&lt;&gt;-"")
)"),2.0)</f>
        <v>2</v>
      </c>
      <c r="BX76" s="185" t="s">
        <v>1070</v>
      </c>
      <c r="BY76" s="178" t="b">
        <v>0</v>
      </c>
      <c r="BZ76" s="180" t="b">
        <v>0</v>
      </c>
      <c r="CA76" s="180" t="b">
        <v>0</v>
      </c>
      <c r="CB76" s="180" t="b">
        <v>0</v>
      </c>
      <c r="CC76" s="180" t="b">
        <v>0</v>
      </c>
      <c r="CD76" s="180" t="b">
        <v>0</v>
      </c>
      <c r="CE76" s="180" t="b">
        <v>0</v>
      </c>
      <c r="CF76" s="180" t="b">
        <v>0</v>
      </c>
      <c r="CG76" s="180" t="b">
        <v>0</v>
      </c>
      <c r="CH76" s="180" t="b">
        <v>0</v>
      </c>
      <c r="CI76" s="180" t="b">
        <v>0</v>
      </c>
      <c r="CJ76" s="180" t="b">
        <v>0</v>
      </c>
      <c r="CK76" s="180" t="b">
        <v>0</v>
      </c>
      <c r="CL76" s="180" t="b">
        <v>0</v>
      </c>
      <c r="CM76" s="181" t="s">
        <v>1070</v>
      </c>
      <c r="CN76" s="181" t="s">
        <v>1070</v>
      </c>
      <c r="CO76" s="181" t="s">
        <v>1070</v>
      </c>
      <c r="CP76" s="181" t="s">
        <v>1070</v>
      </c>
      <c r="CQ76" s="185" t="s">
        <v>1070</v>
      </c>
      <c r="CR76" s="180" t="b">
        <v>0</v>
      </c>
      <c r="CS76" s="186" t="str">
        <f t="shared" si="14"/>
        <v>◇◇◇</v>
      </c>
      <c r="CT76" s="178" t="b">
        <v>0</v>
      </c>
      <c r="CU76" s="180" t="b">
        <v>0</v>
      </c>
      <c r="CV76" s="180" t="b">
        <v>0</v>
      </c>
      <c r="CW76" s="180" t="b">
        <v>0</v>
      </c>
      <c r="CX76" s="180" t="b">
        <v>0</v>
      </c>
      <c r="CY76" s="180" t="b">
        <v>0</v>
      </c>
      <c r="CZ76" s="180" t="b">
        <v>0</v>
      </c>
      <c r="DA76" s="180" t="b">
        <v>0</v>
      </c>
      <c r="DB76" s="180" t="b">
        <v>0</v>
      </c>
      <c r="DC76" s="180" t="b">
        <v>0</v>
      </c>
      <c r="DD76" s="181" t="s">
        <v>1070</v>
      </c>
      <c r="DE76" s="181" t="s">
        <v>1070</v>
      </c>
      <c r="DF76" s="181" t="s">
        <v>1070</v>
      </c>
      <c r="DG76" s="185" t="s">
        <v>1070</v>
      </c>
      <c r="DH76" s="180" t="b">
        <v>0</v>
      </c>
      <c r="DI76" s="187" t="str">
        <f>IFERROR(__xludf.DUMMYFUNCTION("SWITCH(
  IF(
    ISTEXT(DI75),
    IF (
      FIND(""○"", DI75&amp;""○"") &gt; 3,
      3,
      FIND(""○"", DI75&amp;""○"")
      + MAX(
        ROUNDDOWN(($D76 - MAX(IFERROR(FILTER(D$24:D75, DI$24:DI75 &lt;&gt; ""●●●"", DI$23:DI74 = ""●●●""), 0))) * (60 * 60 * 24) / 20"&amp;") - ROUNDDOWN(($D75 - MAX(IFERROR(FILTER(D$23:D74, DI$23:DI74 &lt;&gt; ""●●●"", DI$22:DI73 = ""●●●""), 0))) * (60 * 60 * 24) / 20),
        0
      ) - 1
    ) - COUNTIFS(CU76, ""=TRUE"", CU75, ""&lt;&gt;TRUE"") - COUNTIF(CZ76, ""=TRUE"") - COUNTIF({DD76,DE76}, ""&lt;&gt;-"&amp;""") + COUNTIF(DH76, ""=TRUE""),
    3
  ),
  0, ""○○○"", 1, ""●○○"", 2, ""●●○"", 3, ""●●●"", 4, ""●●●"", ""○○○""
)"),"●●●")</f>
        <v>●●●</v>
      </c>
      <c r="DJ76" s="188" t="b">
        <v>0</v>
      </c>
      <c r="DK76" s="189" t="b">
        <v>0</v>
      </c>
      <c r="DL76" s="190" t="b">
        <v>0</v>
      </c>
      <c r="DM76" s="190" t="b">
        <v>0</v>
      </c>
      <c r="DN76" s="190" t="b">
        <v>0</v>
      </c>
      <c r="DO76" s="190" t="b">
        <v>0</v>
      </c>
      <c r="DP76" s="190" t="b">
        <v>0</v>
      </c>
      <c r="DQ76" s="191" t="b">
        <v>0</v>
      </c>
      <c r="DR76" s="192" t="b">
        <v>0</v>
      </c>
      <c r="DS76" s="191" t="b">
        <v>0</v>
      </c>
      <c r="DT76" s="192" t="b">
        <v>0</v>
      </c>
      <c r="DU76" s="191" t="b">
        <v>0</v>
      </c>
      <c r="DV76" s="193" t="s">
        <v>1070</v>
      </c>
      <c r="DW76" s="194" t="b">
        <v>0</v>
      </c>
      <c r="DX76" s="194" t="b">
        <v>0</v>
      </c>
      <c r="DY76" s="195" t="b">
        <v>0</v>
      </c>
      <c r="DZ76" s="196" t="b">
        <v>0</v>
      </c>
      <c r="EA76" s="195" t="b">
        <v>0</v>
      </c>
      <c r="EB76" s="197" t="b">
        <v>0</v>
      </c>
      <c r="EC76" s="197" t="b">
        <v>0</v>
      </c>
      <c r="ED76" s="212" t="b">
        <v>0</v>
      </c>
      <c r="EE76" s="199">
        <f>IFERROR(__xludf.DUMMYFUNCTION("IFERROR(
   PRODUCT(
     MAP(
       INDEX(TRANSPOSE(UNIQUE(TRANSPOSE(FILTER({IF($F76=""Physical"", K$10:ED$10, IF($F76=""Magic"", K$11:ED$11, K$12:ED$12));K$4:ED$4;K76:ED76}, K76:ED76=TRUE)))), 1, 0),
       INDEX(TRANSPOSE(UNIQUE(TRANSPOSE(FILTER({IF($"&amp;"F76=""Physical"", K$18:ED$18, IF($F76=""Magic"", K$19:ED$19, K$20:ED$20));K$4:ED$4;K76:ED76}, K76:ED76=TRUE)))), 1, 0),
       INDEX(TRANSPOSE(UNIQUE(TRANSPOSE(FILTER({K$5:ED$5;K$4:ED$4;K76:ED76}, K76:ED76=TRUE)))), 1, 0),
       INDEX(TRANSPOSE(UNIQUE(TR"&amp;"ANSPOSE(FILTER({K$17:ED$17;K$4:ED$4;K76:ED76}, K76:ED76=TRUE)))), 1, 0),
       LAMBDA(
         mitigation,
         enhance,
         assign,
         precondition,
         IF(
           REGEXMATCH(assign, ""RANGE_PARTY|SINGLE_ENEMY|RANGE_ENEMY""),
  "&amp;"         IF(
             OR(ARRAYFORMULA((IF(precondition="""", FALSE, REGEXMATCH(K$4:ED$4, precondition))) * (K76:ED76=TRUE))),
             IF(ISNUMBER(enhance), enhance, 1),
             IF(ISNUMBER(mitigation), mitigation, 1)
           ),
          "&amp;" 1
         )
       )
     )
   ),
   1
 )"),1.0)</f>
        <v>1</v>
      </c>
      <c r="EF76" s="200">
        <f>IFERROR(__xludf.DUMMYFUNCTION("PRODUCT(
   MAP(
     K$14:ED$14,
     K$13:ED$13,
     K76:ED76,
     LAMBDA(
       buff,
       target,
       check,
       IF(
         AND(check=TRUE, REGEXMATCH(target, ""RANGE_AFFECTED_ALL|RANGE_EFFECTED_ALL""), ISNUMBER(buff)),
         buff,
   "&amp;"      1
       )
     )
   )
 )"),1.0)</f>
        <v>1</v>
      </c>
      <c r="EG76" s="200">
        <f>IFERROR(__xludf.DUMMYFUNCTION("PRODUCT(
   MAP(
     K$14:ED$14,
     K$13:ED$13,
     K76:ED76,
     LAMBDA(
       buff,
       target,
       check,
       IF(
         AND(check=TRUE, REGEXMATCH(target, ""RANGE_AFFECTED_GCD|RANGE_EFFECTED_GCD""), ISNUMBER(buff)),
         buff,
   "&amp;"      1
       )
     )
   )
 )"),1.0)</f>
        <v>1</v>
      </c>
      <c r="EH76" s="200">
        <f>IFERROR(__xludf.DUMMYFUNCTION("PRODUCT(
   MAP(
     K$3:ED$3,
     K$14:ED$14,
     K$13:ED$13,
     K76:ED76,
     LAMBDA(
       job,
       buff,
       target,
       check,
       IF(
         AND(check=TRUE, REGEXMATCH(target, ""SELF_EFFECTED_ALL""), ISNUMBER(buff), job=""白魔道士"""&amp;"),
         buff,
         1
       )
     )
   )
 )"),1.0)</f>
        <v>1</v>
      </c>
      <c r="EI76" s="200">
        <f>IFERROR(__xludf.DUMMYFUNCTION("PRODUCT(
   MAP(
     K$3:ED$3,
     K$14:ED$14,
     K$13:ED$13,
     K76:ED76,
     LAMBDA(
       job,
       buff,
       target,
       check,
       IF(
         AND(check=TRUE, REGEXMATCH(target, ""SELF_EFFECTED_GCD""), ISNUMBER(buff), job=""白魔道士"""&amp;"),
         buff,
         1
       )
     )
   )
 )"),1.0)</f>
        <v>1</v>
      </c>
      <c r="EJ76" s="200">
        <f>IFERROR(__xludf.DUMMYFUNCTION("PRODUCT(
   MAP(
     K$3:ED$3,
     K$14:ED$14,
     K$13:ED$13,
     K76:ED76,
     LAMBDA(
       job,
       buff,
       target,
       check,
       IF(
         AND(check=TRUE, REGEXMATCH(target, ""SELF_EFFECTED_ALL""), ISNUMBER(buff), job=""占星術師"""&amp;"),
         buff,
         1
       )
     )
   )
 )"),1.0)</f>
        <v>1</v>
      </c>
      <c r="EK76" s="200">
        <f>IFERROR(__xludf.DUMMYFUNCTION("PRODUCT(
   MAP(
     K$3:ED$3,
     K$14:ED$14,
     K$13:ED$13,
     K76:ED76,
     LAMBDA(
       job,
       buff,
       target,
       check,
       IF(
         AND(check=TRUE, REGEXMATCH(target, ""SELF_EFFECTED_GCD""), ISNUMBER(buff), job=""占星術師"""&amp;"),
         buff,
         1
       )
     )
   )
 )"),1.0)</f>
        <v>1</v>
      </c>
      <c r="EL76" s="200">
        <f>IFERROR(__xludf.DUMMYFUNCTION("PRODUCT(
   MAP(
     K$3:ED$3,
     K$14:ED$14,
     K$13:ED$13,
     K76:ED76,
     LAMBDA(
       job,
       buff,
       target,
       check,
       IF(
         AND(check=TRUE, REGEXMATCH(target, ""SELF_EFFECTED_ALL""), ISNUMBER(buff), job=""学者""),"&amp;"
         buff,
         1
       )
     )
   )
 )"),1.0)</f>
        <v>1</v>
      </c>
      <c r="EM76" s="200">
        <f>IFERROR(__xludf.DUMMYFUNCTION("PRODUCT(
   MAP(
     K$3:ED$3,
     K$14:ED$14,
     K$13:ED$13,
     K76:ED76,
     LAMBDA(
       job,
       buff,
       target,
       check,
       IF(
         AND(check=TRUE, REGEXMATCH(target, ""SELF_EFFECTED_GCD""), ISNUMBER(buff), job=""学者""),"&amp;"
         buff,
         1
       )
     )
   )
 )"),1.0)</f>
        <v>1</v>
      </c>
      <c r="EN76" s="200">
        <f>IFERROR(__xludf.DUMMYFUNCTION("PRODUCT(
   MAP(
     K$3:ED$3,
     K$14:ED$14,
     K$13:ED$13,
     K76:ED76,
     LAMBDA(
       job,
       buff,
       target,
       check,
       IF(
         AND(check=TRUE, REGEXMATCH(target, ""SELF_EFFECTED_ALL""), ISNUMBER(buff), job=""賢者""),"&amp;"
         buff,
         1
       )
     )
   )
 )"),1.0)</f>
        <v>1</v>
      </c>
      <c r="EO76" s="200">
        <f>IFERROR(__xludf.DUMMYFUNCTION("PRODUCT(
   MAP(
     K$3:ED$3,
     K$14:ED$14,
     K$13:ED$13,
     K76:ED76,
     LAMBDA(
       job,
       buff,
       target,
       check,
       IF(
         AND(check=TRUE, REGEXMATCH(target, ""SELF_EFFECTED_GCD""), ISNUMBER(buff), job=""賢者""),"&amp;"
         buff,
         1
       )
     )
   )
 )"),1.0)</f>
        <v>1</v>
      </c>
      <c r="EP76" s="201">
        <f t="shared" si="3"/>
        <v>0</v>
      </c>
      <c r="EQ76" s="201">
        <f>IFERROR(__xludf.DUMMYFUNCTION("SUM(
   MAP(
     K$4:ED$4,
     K$3:ED$3,
     K$7:ED$7,
     K$15:ED$15,
     K$16:ED$16,
     K$21:ED$21,
     K$5:ED$5,
     K$17:ED$17,
     K76:ED76,
     LAMBDA(
       name,
       job,
       abillity,
       buff,
       barrier,
       enhance,"&amp;"
       assign,
       precondition,
       check,
       SWITCH(
         name,
         ""シェイクオフ"", IF(check=TRUE, buff + (0.02 * COUNTIF(ARRAYFORMULA((REGEXMATCH($K$4:$ED$4, ""スリル・オブ・バトル|ヴェンジェンス|原初の血気|ダムネーション"")) * (K76:ED76=TRUE)), 1)), 0),
         "&amp;"""インプロビゼーションフィニッシュ(踊りの激情0)"", IF(ISNUMBER(check), INDEX(Skill!$AJ:$AJ, MATCH(SUBSTITUTE(DV$4, 0, check), Skill!$C:$C, 0)), 0),
         IF(
           AND(check=TRUE, REGEXMATCH(assign, ""RANGE_PARTY"")),
           IF(
             OR(ARRAYFORMULA((IF(pr"&amp;"econdition="""", FALSE, REGEXMATCH($K$4:$ED$4, precondition))) * (K76:ED76=TRUE))),
             enhance,
             IF(barrier="""", buff, barrier)
           ),
           0
         )
       ) *
       SWITCH(
         job,
         ""ナイト"", EY$24,
 "&amp;"        ""戦士"", FD$24,
         ""踊り子"", ET$24,
         ""ピクトマンサー"", ET$24,
         ""白魔道士"", EF76 * EH76 * IF(abillity, 1, EG76 * EI76) * (Option!$D$22 * 0.81 / 100),
         ""占星術師"", EF76 * EJ76 * IF(abillity, 1, EG76 * EK76) * (Option!$D$23 * 0.81 "&amp;"/ 100),
         ""学者"", EF76 * EL76 * IF(abillity, 1, EG76 * EM76) * (Option!$D$24 * 0.81 / 100),
         ""賢者"", EF76 * EN76 * IF(abillity, 1, EG76 * EO76) * (Option!$D$25 * 0.81 / 100),
         1
       )
     )
   )
 )"),0.0)</f>
        <v>0</v>
      </c>
      <c r="ER76" s="202">
        <f t="shared" si="4"/>
        <v>0</v>
      </c>
      <c r="ES76" s="203">
        <f t="shared" si="5"/>
        <v>0</v>
      </c>
      <c r="ET76" s="204" t="str">
        <f>IFERROR(__xludf.DUMMYFUNCTION("IFS(
  EP76 &gt; $ET$24 + EQ76,
  SPARKLINE({ 1, 0 }, {""charttype"",""bar"";""max"", 1;""color1"",Option!$D$30;""color2"",Option!$D$30}),
  EP76 &lt; EQ76,
  SPARKLINE({EQ76 - EP76, $ET$24 - (EQ76 - EP76)}, {""charttype"",""bar"";""max"",$ET$24;""color1"",Opti"&amp;"on!$D$28;""color2"",Option!$D$29}),
  EP76 &gt;= EQ76,
  SPARKLINE({$ET$24 + EQ76 - EP76,EP76 - EQ76}, {""charttype"",""bar"";""max"",$ET$24;""color1"",Option!$D$29;""color2"",Option!$D$30})
)"),"")</f>
        <v/>
      </c>
      <c r="EU76" s="205">
        <f>IFERROR(__xludf.DUMMYFUNCTION("PRODUCT(
   MAP(
     IF($F76=""Physical"", K$10:ED$10, IF($F76=""Magic"", K$11:ED$11, K$12:ED$12)),
     IF($F76=""Physical"", K$18:ED$18, IF($F76=""Magic"", K$19:ED$19, K$20:ED$20)),
     K$3:ED$3,
     K$5:ED$5,
     K$17:ED$17,
     K76:ED76,
     LAM"&amp;"BDA(
       mitigation,
       enhance,
       job,
       assign,
       precondition,
       check,
       IF(
         OR(AND(check=TRUE, REGEXMATCH(assign, ""SELF""), job=""ナイト""), AND(check=Option!$E$13, REGEXMATCH(assign, ""SINGLE_PARTY""))),
      "&amp;"   IF(
           OR(ARRAYFORMULA((IF(precondition="""", FALSE, REGEXMATCH($K$4:$ED$4, precondition))) * (K76:ED76=TRUE))),
           enhance,
           mitigation
         ),
         1
       )
     )
   )
 ) * EE76"),1.0)</f>
        <v>1</v>
      </c>
      <c r="EV76" s="206">
        <f t="shared" si="6"/>
        <v>0</v>
      </c>
      <c r="EW76" s="205">
        <f>IFERROR(__xludf.DUMMYFUNCTION("PRODUCT(
   MAP(
     K$3:ED$3,
     K$14:ED$14,
     K$13:ED$13,
     K76:ED76,
     LAMBDA(
       job,
       buff,
       target,
       check,
       IF(
         OR(AND(check=TRUE, REGEXMATCH(target, ""SELF_AFFECTED_ALL""), job=""ナイト""), AND(check=O"&amp;"ption!$E$13, REGEXMATCH(target, ""SINGLE_AFFECTED_ALL""))),
         buff,
         1
       )
     )
   )
 )"),1.0)</f>
        <v>1</v>
      </c>
      <c r="EX76" s="206">
        <f>IFERROR(__xludf.DUMMYFUNCTION("SUM(
   MAP(
     K$3:ED$3,
     K$7:ED$7,
     K$15:ED$15,
     K$16:ED$16,
     K$21:ED$21,
     K$5:ED$5,
     K$17:ED$17,
     K76:ED76,
     LAMBDA(
       job,
       abillity,
       buff,
       barrier,
       enhance,
       assign,
       preco"&amp;"ndition,
       check,
       IF(
         OR(AND(check=TRUE, REGEXMATCH(assign, ""SELF""), job=""ナイト""), AND(check=Option!$E$13, REGEXMATCH(assign, ""SINGLE_PARTY""))),
         IF(
           OR(ARRAYFORMULA((IF(precondition="""", FALSE, REGEXMATCH($K$4"&amp;":$ED$4, precondition))) * (K76:ED76=TRUE))),
           enhance,
           IF(barrier="""", buff, barrier)
         ),
         0
       ) *
       SWITCH(
         job,
         ""暗黒騎士"", EY$24,
         ""白魔道士"", EF76 * EH76 * EW76 * IF(abillity, 1, EG"&amp;"76 * EI76) * (Option!$D$22 * 0.81 / 100),
         ""占星術師"", EF76 * EJ76 * EW76 * IF(abillity, 1, EG76 * EK76) * (Option!$D$23 * 0.81 / 100),
         ""学者"", EF76 * EL76 * EW76 * IF(abillity, 1, EG76 * EM76) * (Option!$D$24 * 0.81 / 100),
         ""賢者"""&amp;", EF76 * EN76 * EW76 * IF(abillity, 1, EG76 * EO76) * (Option!$D$25 * 0.81 / 100),
         1
       )
     )
   )
 ) + EQ76"),0.0)</f>
        <v>0</v>
      </c>
      <c r="EY76" s="206">
        <f t="shared" si="7"/>
        <v>0</v>
      </c>
      <c r="EZ76" s="205">
        <f>IFERROR(__xludf.DUMMYFUNCTION("PRODUCT(
   MAP(
     IF($F76=""Physical"", K$10:ED$10, IF($F76=""Magic"", K$11:ED$11, K$12:ED$12)),
     IF($F76=""Physical"", K$18:ED$18, IF($F76=""Magic"", K$19:ED$19, K$20:ED$20)),
     K$3:ED$3,
     K$5:ED$5,
     K$17:ED$17,
     K76:ED76,
     LAM"&amp;"BDA(
       mitigation,
       enhance,
       job,
       assign,
       precondition,
       check,
       IF(
         OR(AND(check=TRUE, REGEXMATCH(assign, ""SELF""), job=""戦士""), AND(check=Option!$F$13, REGEXMATCH(assign, ""SINGLE_PARTY""))),
       "&amp;"  IF(
           OR(ARRAYFORMULA((IF(precondition="""", FALSE, REGEXMATCH($K$4:$ED$4, precondition))) * (K76:ED76=TRUE))),
           enhance,
           mitigation
         ),
         1
       )
     )
   )
 ) * EE76"),1.0)</f>
        <v>1</v>
      </c>
      <c r="FA76" s="206">
        <f t="shared" si="8"/>
        <v>0</v>
      </c>
      <c r="FB76" s="205">
        <f>IFERROR(__xludf.DUMMYFUNCTION("PRODUCT(
   MAP(
     K$3:ED$3,
     K$14:ED$14,
     K$13:ED$13,
     K76:ED76,
     LAMBDA(
       job,
       buff,
       target,
       check,
       IF(
         OR(AND(check=TRUE, REGEXMATCH(target, ""SELF_AFFECTED_ALL""), job=""戦士""), AND(check=Op"&amp;"tion!$F$13, REGEXMATCH(target, ""SINGLE_AFFECTED_ALL""))),
         buff,
         1
       )
     )
   )
 )"),1.0)</f>
        <v>1</v>
      </c>
      <c r="FC76" s="206">
        <f>IFERROR(__xludf.DUMMYFUNCTION("SUM(
   MAP(
     K$3:ED$3,
     K$7:ED$7,
     K$15:ED$15,
     K$16:ED$16,
     K$21:ED$21,
     K$5:ED$5,
     K$17:ED$17,
     K76:ED76,
     LAMBDA(
       job,
       abillity,
       buff,
       barrier,
       enhance,
       assign,
       preco"&amp;"ndition,
       check,
       IF(
         OR(AND(check=TRUE, REGEXMATCH(assign, ""SELF""), job=""戦士""), AND(check=Option!$F$13, REGEXMATCH(assign, ""SINGLE_PARTY""))),
         IF(
           OR(ARRAYFORMULA((IF(precondition="""", FALSE, REGEXMATCH($K$4:"&amp;"$ED$4, precondition))) * (K76:ED76=TRUE))),
           enhance,
           IF(barrier="""", buff, barrier)
         ),
         0
       ) *
       SWITCH(
         job,
         ""暗黒騎士"", FD$24,
         ""白魔道士"", EF76 * EH76 * FB76 * IF(abillity, 1, EG7"&amp;"6 * EI76) * (Option!$D$22 * 0.81 / 100),
         ""占星術師"", EF76 * EJ76 * FFB76 * IF(abillity, 1, EG76 * EK76) * (Option!$D$23 * 0.81 / 100),
         ""学者"", EF76 * EL76 * FB76 * IF(abillity, 1, EG76 * EM76) * (Option!$D$24 * 0.81 / 100),
         ""賢者"""&amp;", EF76 * EN76 * FB76 * IF(abillity, 1, EG76 * EO76) * (Option!$D$25 * 0.81 / 100),
         1
       )
     )
   )
 ) + EQ76"),0.0)</f>
        <v>0</v>
      </c>
      <c r="FD76" s="206">
        <f t="shared" si="9"/>
        <v>0</v>
      </c>
      <c r="FE76" s="205">
        <f>IFERROR(__xludf.DUMMYFUNCTION("PRODUCT(
   MAP(
     IF($F76=""Physical"", K$10:ED$10, IF($F76=""Magic"", K$11:ED$11, K$12:ED$12)),
     IF($F76=""Physical"", K$18:ED$18, IF($F76=""Magic"", K$19:ED$19, K$20:ED$20)),
     K$3:ED$3,
     K$5:ED$5,
     K$17:ED$17,
     K76:ED76,
     LAM"&amp;"BDA(
       mitigation,
       enhance,
       job,
       assign,
       precondition,
       check,
       IF(
         OR(AND(check=TRUE, REGEXMATCH(assign, ""SELF""), job=""暗黒騎士""), AND(check=Option!$G$13, REGEXMATCH(assign, ""SINGLE_PARTY""))),
     "&amp;"    IF(
           OR(ARRAYFORMULA((IF(precondition="""", FALSE, REGEXMATCH($K$4:$ED$4, precondition))) * (K76:ED76=TRUE))),
           enhance,
           mitigation
         ),
         1
       )
     )
   )
 ) * EE76"),1.0)</f>
        <v>1</v>
      </c>
      <c r="FF76" s="206">
        <f t="shared" si="10"/>
        <v>0</v>
      </c>
      <c r="FG76" s="205">
        <f>IFERROR(__xludf.DUMMYFUNCTION("PRODUCT(
   MAP(
     K$3:ED$3,
     K$14:ED$14,
     K$13:ED$13,
     K76:ED76,
     LAMBDA(
       job,
       buff,
       target,
       check,
       IF(
         OR(AND(check=TRUE, REGEXMATCH(target, ""SELF_AFFECTED_ALL""), job=""暗黒騎士""), AND(check="&amp;"Option!$G$13, REGEXMATCH(target, ""SINGLE_AFFECTED_ALL""))),
         buff,
         1
       )
     )
   )
 )"),1.0)</f>
        <v>1</v>
      </c>
      <c r="FH76" s="206">
        <f>IFERROR(__xludf.DUMMYFUNCTION("SUM(
   MAP(
     K$3:ED$3,
     K$7:ED$7,
     K$15:ED$15,
     K$16:ED$16,
     K$21:ED$21,
     K$5:ED$5,
     K$17:ED$17,
     K76:ED76,
     LAMBDA(
       job,
       abillity,
       buff,
       barrier,
       enhance,
       assign,
       preco"&amp;"ndition,
       check,
       IF(
         OR(AND(check=TRUE, REGEXMATCH(assign, ""SELF""), job=""暗黒騎士""), AND(check=Option!$G$13, REGEXMATCH(assign, ""SINGLE_PARTY""))),
         IF(
           OR(ARRAYFORMULA((IF(precondition="""", FALSE, REGEXMATCH($K$"&amp;"4:$ED$4, precondition))) * (K76:ED76=TRUE))),
           enhance,
           IF(barrier="""", buff, barrier)
         ),
         0
       ) *
       SWITCH(
         job,
         ""暗黒騎士"", FI$24,
         ""白魔道士"", EF76 * EH76 * FG76 * IF(abillity, 1, E"&amp;"G76 * EI76) * (Option!$D$22 * 0.81 / 100),
         ""占星術師"", EF76 * EJ76 * FG76 * IF(abillity, 1, EG76 * EK76) * (Option!$D$23 * 0.81 / 100),
         ""学者"", EF76 * EL76 * FG76 * IF(abillity, 1, EG76 * EM76) * (Option!$D$24 * 0.81 / 100),
         ""賢者"&amp;""", EF76 * EN76 * FG76 * IF(abillity, 1, EG76 * EO76) * (Option!$D$25 * 0.81 / 100),
         1
       )
     )
   )
 ) + EQ76"),0.0)</f>
        <v>0</v>
      </c>
      <c r="FI76" s="206">
        <f t="shared" si="11"/>
        <v>0</v>
      </c>
      <c r="FJ76" s="205">
        <f>IFERROR(__xludf.DUMMYFUNCTION("PRODUCT(
   MAP(
     IF($F76=""Physical"", K$10:ED$10, IF($F76=""Magic"", K$11:ED$11, K$12:ED$12)),
     IF($F76=""Physical"", K$18:ED$18, IF($F76=""Magic"", K$19:ED$19, K$20:ED$20)),
     K$3:ED$3,
     K$5:ED$5,
     K$17:ED$17,
     K76:ED76,
     LAM"&amp;"BDA(
       mitigation,
       enhance,
       job,
       assign,
       precondition,
       check,
       IF(
         OR(AND(check=TRUE, REGEXMATCH(assign, ""SELF""), job=""ガンブレイカー""), AND(check=Option!$H$13, REGEXMATCH(assign, ""SINGLE_PARTY""))),
  "&amp;"       IF(
           OR(ARRAYFORMULA((IF(precondition="""", FALSE, REGEXMATCH($K$4:$ED$4, precondition))) * (K76:ED76=TRUE))),
           enhance,
           mitigation
         ),
         1
       )
     )
   )
 ) * EE76"),1.0)</f>
        <v>1</v>
      </c>
      <c r="FK76" s="206">
        <f t="shared" si="12"/>
        <v>0</v>
      </c>
      <c r="FL76" s="205">
        <f>IFERROR(__xludf.DUMMYFUNCTION("PRODUCT(
   MAP(
     K$3:ED$3,
     K$14:ED$14,
     K$13:ED$13,
     K76:ED76,
     LAMBDA(
       job,
       buff,
       target,
       check,
       IF(
         OR(AND(check=TRUE, REGEXMATCH(target, ""SELF_AFFECTED_ALL""), job=""ガンブレイカー""), AND(che"&amp;"ck=Option!$H$13, REGEXMATCH(target, ""SINGLE_AFFECTED_ALL""))),
         buff,
         1
       )
     )
   )
 )"),1.0)</f>
        <v>1</v>
      </c>
      <c r="FM76" s="206">
        <f>IFERROR(__xludf.DUMMYFUNCTION("SUM(
   MAP(
     K$3:ED$3,
     K$7:ED$7,
     K$15:ED$15,
     K$16:ED$16,
     K$21:ED$21,
     K$5:ED$5,
     K$17:ED$17,
     K76:ED76,
     LAMBDA(
       job,
       abillity,
       buff,
       barrier,
       enhance,
       assign,
       preco"&amp;"ndition,
       check,
       IF(
         OR(AND(check=TRUE, REGEXMATCH(assign, ""SELF""), job=""ガンブレイカー""), AND(check=Option!$H$13, REGEXMATCH(assign, ""SINGLE_PARTY""))),
         IF(
           OR(ARRAYFORMULA((IF(precondition="""", FALSE, REGEXMATCH("&amp;"$K$4:$ED$4, precondition))) * (K76:ED76=TRUE))),
           enhance,
           IF(barrier="""", buff, barrier)
         ),
         0
       ) *
       SWITCH(
         job,
         ""暗黒騎士"", FN$24,
         ""白魔道士"", EF76 * EH76 * FL76 * IF(abillity, 1"&amp;", EG76 * EI76) * (Option!$D$22 * 0.81 / 100),
         ""占星術師"", EF76 * EJ76 * FL76 * IF(abillity, 1, EG76 * EK76) * (Option!$D$23 * 0.81 / 100),
         ""学者"", EF76 * EL76 * FL76 * IF(abillity, 1, EG76 * EM76) * (Option!$D$24 * 0.81 / 100),
         """&amp;"賢者"", EF76 * EN76 * FL76 * IF(abillity, 1, EG76 * EO76) * (Option!$D$25 * 0.81 / 100),
         1
       )
     )
   )
 ) + EQ76"),0.0)</f>
        <v>0</v>
      </c>
      <c r="FN76" s="206">
        <f t="shared" si="13"/>
        <v>0</v>
      </c>
      <c r="FO76" s="213"/>
    </row>
    <row r="77">
      <c r="C77" s="65"/>
      <c r="D77" s="65"/>
      <c r="G77" s="66"/>
      <c r="H77" s="4"/>
      <c r="I77" s="4"/>
      <c r="J77" s="4"/>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X77" s="66"/>
      <c r="BY77" s="66"/>
      <c r="BZ77" s="66"/>
      <c r="CA77" s="66"/>
      <c r="CB77" s="66"/>
      <c r="CC77" s="66"/>
      <c r="CD77" s="66"/>
      <c r="CE77" s="66"/>
      <c r="CF77" s="66"/>
      <c r="CG77" s="66"/>
      <c r="CH77" s="66"/>
      <c r="CI77" s="66"/>
      <c r="CJ77" s="66"/>
      <c r="CK77" s="66"/>
      <c r="CL77" s="66"/>
      <c r="CM77" s="66"/>
      <c r="CN77" s="66"/>
      <c r="CO77" s="66"/>
      <c r="CP77" s="66"/>
      <c r="CQ77" s="66"/>
      <c r="CR77" s="66"/>
      <c r="CS77" s="66"/>
      <c r="CT77" s="66"/>
      <c r="CU77" s="66"/>
      <c r="CV77" s="66"/>
      <c r="CW77" s="66"/>
      <c r="CX77" s="66"/>
      <c r="CY77" s="66"/>
      <c r="CZ77" s="66"/>
      <c r="DA77" s="66"/>
      <c r="DB77" s="66"/>
      <c r="DC77" s="66"/>
      <c r="DD77" s="66"/>
      <c r="DE77" s="66"/>
      <c r="DF77" s="66"/>
      <c r="DG77" s="66"/>
      <c r="DH77" s="66"/>
      <c r="DI77" s="68"/>
      <c r="DJ77" s="66"/>
      <c r="DK77" s="66"/>
      <c r="DL77" s="66"/>
      <c r="DM77" s="66"/>
      <c r="DN77" s="66"/>
      <c r="DO77" s="66"/>
      <c r="DP77" s="66"/>
      <c r="DQ77" s="66"/>
      <c r="DR77" s="66"/>
      <c r="DS77" s="66"/>
      <c r="DT77" s="66"/>
      <c r="DU77" s="66"/>
      <c r="DV77" s="66"/>
      <c r="DW77" s="66"/>
      <c r="DX77" s="66"/>
      <c r="DY77" s="66"/>
      <c r="DZ77" s="66"/>
      <c r="EA77" s="69"/>
      <c r="EB77" s="66"/>
      <c r="EC77" s="66"/>
      <c r="ED77" s="66"/>
      <c r="EE77" s="3"/>
      <c r="EF77" s="4"/>
      <c r="EG77" s="4"/>
      <c r="EH77" s="4"/>
      <c r="EI77" s="4"/>
      <c r="EJ77" s="4"/>
      <c r="EK77" s="4"/>
      <c r="EL77" s="4"/>
      <c r="EM77" s="4"/>
      <c r="EN77" s="4"/>
      <c r="EO77" s="4"/>
      <c r="EP77" s="4"/>
      <c r="EQ77" s="70"/>
      <c r="ER77" s="70"/>
      <c r="ES77" s="70"/>
      <c r="ET77" s="70"/>
      <c r="EU77" s="71"/>
      <c r="EV77" s="70"/>
      <c r="EW77" s="70"/>
      <c r="EX77" s="70"/>
      <c r="EY77" s="70"/>
      <c r="EZ77" s="71"/>
      <c r="FA77" s="70"/>
      <c r="FB77" s="70"/>
      <c r="FC77" s="70"/>
      <c r="FD77" s="70"/>
      <c r="FE77" s="71"/>
      <c r="FF77" s="70"/>
      <c r="FG77" s="70"/>
      <c r="FH77" s="70"/>
      <c r="FI77" s="70"/>
      <c r="FJ77" s="71"/>
      <c r="FK77" s="70"/>
      <c r="FL77" s="70"/>
      <c r="FM77" s="70"/>
      <c r="FN77" s="70"/>
      <c r="FO77" s="70"/>
    </row>
  </sheetData>
  <mergeCells count="43">
    <mergeCell ref="BY23:CS23"/>
    <mergeCell ref="CT23:DI23"/>
    <mergeCell ref="EE23:EE24"/>
    <mergeCell ref="EF23:EG23"/>
    <mergeCell ref="EH23:EI23"/>
    <mergeCell ref="EJ23:EK23"/>
    <mergeCell ref="EL23:EM23"/>
    <mergeCell ref="EN23:EO23"/>
    <mergeCell ref="EP23:EP24"/>
    <mergeCell ref="EQ23:EQ24"/>
    <mergeCell ref="AF24:AG24"/>
    <mergeCell ref="AZ24:BA24"/>
    <mergeCell ref="BB24:BC24"/>
    <mergeCell ref="BS24:BT24"/>
    <mergeCell ref="B22:B24"/>
    <mergeCell ref="C22:D24"/>
    <mergeCell ref="E22:E24"/>
    <mergeCell ref="F22:G24"/>
    <mergeCell ref="H22:J23"/>
    <mergeCell ref="K22:ED22"/>
    <mergeCell ref="ER22:ES23"/>
    <mergeCell ref="BV24:BW24"/>
    <mergeCell ref="EE22:EQ22"/>
    <mergeCell ref="EU22:EX22"/>
    <mergeCell ref="EZ22:FC22"/>
    <mergeCell ref="FE22:FH22"/>
    <mergeCell ref="FJ22:FM22"/>
    <mergeCell ref="K23:S23"/>
    <mergeCell ref="T23:AB23"/>
    <mergeCell ref="AC23:AK23"/>
    <mergeCell ref="AL23:AR23"/>
    <mergeCell ref="AS23:BD23"/>
    <mergeCell ref="BE23:BX23"/>
    <mergeCell ref="DJ23:DK23"/>
    <mergeCell ref="DQ23:DR23"/>
    <mergeCell ref="DS23:DT23"/>
    <mergeCell ref="DU23:DV23"/>
    <mergeCell ref="DY23:DZ23"/>
    <mergeCell ref="EA23:EC23"/>
    <mergeCell ref="EU23:EY23"/>
    <mergeCell ref="EZ23:FD23"/>
    <mergeCell ref="FE23:FI23"/>
    <mergeCell ref="FJ23:FN23"/>
  </mergeCells>
  <conditionalFormatting sqref="K25:ED76">
    <cfRule type="expression" dxfId="7" priority="1">
      <formula>OR(COUNTIFS($D$25:$D25,"&gt;"&amp;$D25 - K$8/(60*60*24), K$25:K25, "=TRUE", K$24:K24, "&lt;&gt;TRUE"), COUNTIFS($D$25:$D25,"&gt;"&amp;$D25 - K$8/(60*60*24), K$25:K25, "&lt;&gt;TRUE", K$25:K25, "&lt;&gt;FALSE", K$25:K25, "&lt;&gt;-", K$24:K24, "=-"), IF(ISBLANK($K10), COUNTIFS(#REF!,"&gt;"&amp;$D25 - K$8/(60*60*24), #REF!, "&lt;&gt;TRUE", #REF!, "&lt;&gt;FALSE", #REF!, "&lt;&gt;-"), 0))</formula>
    </cfRule>
  </conditionalFormatting>
  <conditionalFormatting sqref="K25:ED76">
    <cfRule type="expression" dxfId="8" priority="2">
      <formula>IF(K$6&gt;1, 0, COUNTIFS($D$25:$D25,"&gt;"&amp;$D25 - K$9/(60*60*24), K$25:K25, "=TRUE", K$24:K24, "&lt;&gt;TRUE")+COUNTIFS($D$25:$D25,"&gt;"&amp;$D25 - K$9/(60*60*24), K$25:K25, "&lt;&gt;TRUE", K$25:K25, "&lt;&gt;FALSE", K$25:K25, "&lt;&gt;-", K$24:K24, "=-")+COUNTIFS(#REF!,"&gt;"&amp;$D25 - K$9/(60*60*24), #REF!, "&lt;&gt;TRUE", #REF!, "&lt;&gt;FALSE", #REF!, "&lt;&gt;-")) &gt;0</formula>
    </cfRule>
  </conditionalFormatting>
  <conditionalFormatting sqref="K25:ED76">
    <cfRule type="expression" dxfId="8" priority="3">
      <formula>AND(K$6 &gt; 1, L25 = 0)</formula>
    </cfRule>
  </conditionalFormatting>
  <conditionalFormatting sqref="K25:ED76">
    <cfRule type="expression" dxfId="9" priority="4">
      <formula>AND(K$6 &gt; 1, L25 &lt; K$6)</formula>
    </cfRule>
  </conditionalFormatting>
  <conditionalFormatting sqref="E25:E76">
    <cfRule type="containsText" dxfId="10" priority="5" operator="containsText" text="AA">
      <formula>NOT(ISERROR(SEARCH(("AA"),(E25))))</formula>
    </cfRule>
  </conditionalFormatting>
  <dataValidations>
    <dataValidation type="list" allowBlank="1" sqref="F25:F76">
      <formula1>"Physical,Magic,Unique"</formula1>
    </dataValidation>
    <dataValidation type="list" allowBlank="1" showErrorMessage="1" sqref="DV25:DV76">
      <formula1>"-,0,1,2,3,4"</formula1>
    </dataValidation>
    <dataValidation type="list" allowBlank="1" sqref="N25:N76 V25:V76 AE25:AF76 AN25:AN76 AY25:AZ76 BB25:BB76 BD25:BD76 BO25:BS76 BU25:BV76 BX25:BX76 CM25:CQ76 DD25:DG76">
      <formula1>Option!$D$14:$X$14</formula1>
    </dataValidation>
  </dataValidation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2" max="2" width="26.75"/>
    <col customWidth="1" min="3" max="3" width="9.5"/>
    <col customWidth="1" min="4" max="4" width="76.75"/>
    <col customWidth="1" min="5" max="25" width="4.13"/>
  </cols>
  <sheetData>
    <row r="2">
      <c r="B2" s="245" t="s">
        <v>1105</v>
      </c>
      <c r="C2" s="246" t="s">
        <v>1106</v>
      </c>
      <c r="D2" s="247" t="s">
        <v>1107</v>
      </c>
    </row>
    <row r="3">
      <c r="B3" s="248" t="s">
        <v>1108</v>
      </c>
      <c r="C3" s="249" t="s">
        <v>1109</v>
      </c>
      <c r="D3" s="250" t="s">
        <v>1110</v>
      </c>
    </row>
    <row r="5">
      <c r="B5" s="251" t="s">
        <v>1105</v>
      </c>
      <c r="C5" s="251" t="s">
        <v>1111</v>
      </c>
      <c r="D5" s="252" t="s">
        <v>1107</v>
      </c>
    </row>
    <row r="6">
      <c r="B6" s="253" t="s">
        <v>1112</v>
      </c>
      <c r="C6" s="254" t="b">
        <v>1</v>
      </c>
      <c r="D6" s="255" t="s">
        <v>1113</v>
      </c>
    </row>
    <row r="7">
      <c r="B7" s="253" t="s">
        <v>1114</v>
      </c>
      <c r="C7" s="254" t="b">
        <v>1</v>
      </c>
      <c r="D7" s="255" t="s">
        <v>1115</v>
      </c>
    </row>
    <row r="8">
      <c r="B8" s="253" t="s">
        <v>1116</v>
      </c>
      <c r="C8" s="254" t="b">
        <v>1</v>
      </c>
      <c r="D8" s="255" t="s">
        <v>1117</v>
      </c>
    </row>
    <row r="9">
      <c r="B9" s="253" t="s">
        <v>1118</v>
      </c>
      <c r="C9" s="254" t="b">
        <v>1</v>
      </c>
      <c r="D9" s="255" t="s">
        <v>1119</v>
      </c>
    </row>
    <row r="10" hidden="1">
      <c r="B10" s="256" t="s">
        <v>1120</v>
      </c>
      <c r="C10" s="257" t="s">
        <v>1070</v>
      </c>
      <c r="D10" s="258" t="s">
        <v>1121</v>
      </c>
      <c r="E10" s="259" t="s">
        <v>186</v>
      </c>
      <c r="F10" s="259" t="s">
        <v>198</v>
      </c>
      <c r="G10" s="259" t="s">
        <v>192</v>
      </c>
      <c r="H10" s="259" t="s">
        <v>180</v>
      </c>
      <c r="I10" s="260" t="s">
        <v>72</v>
      </c>
      <c r="J10" s="260" t="s">
        <v>65</v>
      </c>
      <c r="K10" s="260" t="s">
        <v>43</v>
      </c>
      <c r="L10" s="260" t="s">
        <v>60</v>
      </c>
      <c r="M10" s="261" t="s">
        <v>767</v>
      </c>
      <c r="N10" s="261" t="s">
        <v>1045</v>
      </c>
      <c r="O10" s="261" t="s">
        <v>1046</v>
      </c>
      <c r="P10" s="261" t="s">
        <v>1047</v>
      </c>
      <c r="Q10" s="261" t="s">
        <v>1048</v>
      </c>
      <c r="R10" s="261" t="s">
        <v>1049</v>
      </c>
      <c r="S10" s="262" t="s">
        <v>118</v>
      </c>
      <c r="T10" s="262" t="s">
        <v>102</v>
      </c>
      <c r="U10" s="262" t="s">
        <v>149</v>
      </c>
      <c r="V10" s="263" t="s">
        <v>1050</v>
      </c>
      <c r="W10" s="263" t="s">
        <v>1051</v>
      </c>
      <c r="X10" s="263" t="s">
        <v>316</v>
      </c>
      <c r="Y10" s="264" t="s">
        <v>278</v>
      </c>
    </row>
    <row r="11" ht="25.5" hidden="1" customHeight="1">
      <c r="B11" s="119"/>
      <c r="C11" s="119"/>
      <c r="D11" s="119"/>
      <c r="E11" s="265" t="str">
        <f>IMAGE("https://xivapi.com/i/062000/062119.png")</f>
        <v/>
      </c>
      <c r="F11" s="265" t="str">
        <f>IMAGE("https://xivapi.com/i/062000/062121.png")</f>
        <v/>
      </c>
      <c r="G11" s="265" t="str">
        <f>IMAGE("https://xivapi.com/i/062000/062132.png")</f>
        <v/>
      </c>
      <c r="H11" s="265" t="str">
        <f>IMAGE("https://xivapi.com/i/062000/062137.png")</f>
        <v/>
      </c>
      <c r="I11" s="266" t="str">
        <f>IMAGE("https://xivapi.com/i/062000/062124.png")</f>
        <v/>
      </c>
      <c r="J11" s="266" t="str">
        <f>IMAGE("https://xivapi.com/i/062000/062133.png")</f>
        <v/>
      </c>
      <c r="K11" s="266" t="str">
        <f>IMAGE("https://xivapi.com/i/062000/062128.png")</f>
        <v/>
      </c>
      <c r="L11" s="266" t="str">
        <f>IMAGE("https://xivapi.com/i/062000/062140.png")</f>
        <v/>
      </c>
      <c r="M11" s="267" t="str">
        <f>IMAGE("https://xivapi.com/i/062000/062120.png")</f>
        <v/>
      </c>
      <c r="N11" s="267" t="str">
        <f>IMAGE("https://xivapi.com/i/062000/062122.png")</f>
        <v/>
      </c>
      <c r="O11" s="267" t="str">
        <f>IMAGE("https://xivapi.com/i/062000/062130.png")</f>
        <v/>
      </c>
      <c r="P11" s="267" t="str">
        <f>IMAGE("https://xivapi.com/i/062000/062134.png")</f>
        <v/>
      </c>
      <c r="Q11" s="267" t="str">
        <f>IMAGE("https://xivapi.com/i/062000/062139.png")</f>
        <v/>
      </c>
      <c r="R11" s="267" t="str">
        <f>IMAGE("https://xivapi.com/i/062000/062141.png")</f>
        <v/>
      </c>
      <c r="S11" s="268" t="str">
        <f>IMAGE("https://xivapi.com/i/062000/062123.png")</f>
        <v/>
      </c>
      <c r="T11" s="268" t="str">
        <f>IMAGE("https://xivapi.com/i/062000/062131.png")</f>
        <v/>
      </c>
      <c r="U11" s="268" t="str">
        <f>IMAGE("https://xivapi.com/i/062000/062138.png")</f>
        <v/>
      </c>
      <c r="V11" s="269" t="str">
        <f>IMAGE("https://xivapi.com/i/062000/062125.png")</f>
        <v/>
      </c>
      <c r="W11" s="269" t="str">
        <f>IMAGE("https://xivapi.com/i/062000/062127.png")</f>
        <v/>
      </c>
      <c r="X11" s="269" t="str">
        <f>IMAGE("https://xivapi.com/i/062000/062135.png")</f>
        <v/>
      </c>
      <c r="Y11" s="269" t="str">
        <f>IMAGE("https://xivapi.com/i/062000/062142.png")</f>
        <v/>
      </c>
    </row>
    <row r="12" ht="25.5" hidden="1" customHeight="1">
      <c r="B12" s="119"/>
      <c r="C12" s="119"/>
      <c r="D12" s="136"/>
      <c r="E12" s="270" t="b">
        <v>0</v>
      </c>
      <c r="F12" s="270" t="b">
        <v>0</v>
      </c>
      <c r="G12" s="270" t="b">
        <v>0</v>
      </c>
      <c r="H12" s="270" t="b">
        <v>0</v>
      </c>
      <c r="I12" s="271" t="b">
        <v>0</v>
      </c>
      <c r="J12" s="271" t="b">
        <v>0</v>
      </c>
      <c r="K12" s="271" t="b">
        <v>0</v>
      </c>
      <c r="L12" s="271" t="b">
        <v>0</v>
      </c>
      <c r="M12" s="272" t="b">
        <v>0</v>
      </c>
      <c r="N12" s="272" t="b">
        <v>0</v>
      </c>
      <c r="O12" s="272" t="b">
        <v>0</v>
      </c>
      <c r="P12" s="272" t="b">
        <v>0</v>
      </c>
      <c r="Q12" s="272" t="b">
        <v>0</v>
      </c>
      <c r="R12" s="272" t="b">
        <v>0</v>
      </c>
      <c r="S12" s="273" t="b">
        <v>0</v>
      </c>
      <c r="T12" s="273" t="b">
        <v>0</v>
      </c>
      <c r="U12" s="273" t="b">
        <v>0</v>
      </c>
      <c r="V12" s="274" t="b">
        <v>0</v>
      </c>
      <c r="W12" s="274" t="b">
        <v>0</v>
      </c>
      <c r="X12" s="274" t="b">
        <v>0</v>
      </c>
      <c r="Y12" s="275" t="b">
        <v>0</v>
      </c>
    </row>
    <row r="13" hidden="1">
      <c r="B13" s="119"/>
      <c r="C13" s="119"/>
      <c r="D13" s="276" t="s">
        <v>1070</v>
      </c>
      <c r="E13" s="277" t="str">
        <f>IFERROR(__xludf.DUMMYFUNCTION("FILTER(
  {
  ""ナ"",""戦"",""暗"",""ガ"",""白"",""占"",""学"",""賢"",""モ"",""竜"",""忍"",""侍"",""リ"",""ヴ"",""詩"",""機"",""踊"",""黒"",""召"",""赤"",""ピ"";
  ""ナ"",""戦"",""暗"",""ガ"",""白"",""占"",""学"",""賢"",""モ"",""竜"",""忍"",""侍"",""リ"",""ヴ"",""詩"",""機"",""踊"",""黒"",""召"&amp;""",""赤"",""ピ"";
  ""PLD"",""WAR"",""DRK"",""GNB"",""WHM"",""AST"",""SCH"",""SGE"",""MNK"",""DRG"",""NIN"",""SAM"",""RPR"",""ヴ"",""BRD"",""MCH"",""DNC"",""BLM"",""SMN"",""RDM"",""ピ"";
  ""PLD"",""KRG"",""DKR"",""REV"",""WMA"",""AST"",""GLT"",""WEI"",""MÖN"&amp;""",""DRG"",""NIN"",""SAM"",""SNT"",""ヴ"",""BRD"",""MCH"",""TÄN"",""SMA"",""BSW"",""RMA"",""ピ"";
  ""PLD"",""GUE"",""CHN"",""PSB"",""MBL"",""AST"",""ÉRU"",""SAG"",""NOI"",""DRG"",""NIN"",""SAM"",""FCH"",""ヴ"",""BRD"",""MCH"",""DNS"",""MNO"",""INV"",""MRG"""&amp;",""ピ"";
  ""나"",""전"",""암"",""건"",""백"",""점"",""학"",""현"",""몽"",""용"",""닌"",""사"",""리"",""ヴ"",""음"",""기"",""무"",""흑"",""소"",""적"",""ピ"";
  ""骑"",""战"",""暗"",""绝"",""白"",""占"",""学"",""贤"",""僧"",""龙"",""忍"",""武"",""钐"",""ヴ"",""诗"",""机"",""舞"",""黑"",""召"","""&amp;"赤"",""ピ""
  },
  {"""";""日本語"";""English"";""Deutsch"";""Français"";""한국어"";""简体中文""}=$C$3
)"),"PLD")</f>
        <v>PLD</v>
      </c>
      <c r="F13" s="277" t="str">
        <f>IFERROR(__xludf.DUMMYFUNCTION("""COMPUTED_VALUE"""),"WAR")</f>
        <v>WAR</v>
      </c>
      <c r="G13" s="277" t="str">
        <f>IFERROR(__xludf.DUMMYFUNCTION("""COMPUTED_VALUE"""),"DRK")</f>
        <v>DRK</v>
      </c>
      <c r="H13" s="277" t="str">
        <f>IFERROR(__xludf.DUMMYFUNCTION("""COMPUTED_VALUE"""),"GNB")</f>
        <v>GNB</v>
      </c>
      <c r="I13" s="277" t="str">
        <f>IFERROR(__xludf.DUMMYFUNCTION("""COMPUTED_VALUE"""),"WHM")</f>
        <v>WHM</v>
      </c>
      <c r="J13" s="277" t="str">
        <f>IFERROR(__xludf.DUMMYFUNCTION("""COMPUTED_VALUE"""),"AST")</f>
        <v>AST</v>
      </c>
      <c r="K13" s="277" t="str">
        <f>IFERROR(__xludf.DUMMYFUNCTION("""COMPUTED_VALUE"""),"SCH")</f>
        <v>SCH</v>
      </c>
      <c r="L13" s="277" t="str">
        <f>IFERROR(__xludf.DUMMYFUNCTION("""COMPUTED_VALUE"""),"SGE")</f>
        <v>SGE</v>
      </c>
      <c r="M13" s="277" t="str">
        <f>IFERROR(__xludf.DUMMYFUNCTION("""COMPUTED_VALUE"""),"MNK")</f>
        <v>MNK</v>
      </c>
      <c r="N13" s="277" t="str">
        <f>IFERROR(__xludf.DUMMYFUNCTION("""COMPUTED_VALUE"""),"DRG")</f>
        <v>DRG</v>
      </c>
      <c r="O13" s="277" t="str">
        <f>IFERROR(__xludf.DUMMYFUNCTION("""COMPUTED_VALUE"""),"NIN")</f>
        <v>NIN</v>
      </c>
      <c r="P13" s="277" t="str">
        <f>IFERROR(__xludf.DUMMYFUNCTION("""COMPUTED_VALUE"""),"SAM")</f>
        <v>SAM</v>
      </c>
      <c r="Q13" s="277" t="str">
        <f>IFERROR(__xludf.DUMMYFUNCTION("""COMPUTED_VALUE"""),"RPR")</f>
        <v>RPR</v>
      </c>
      <c r="R13" s="277" t="str">
        <f>IFERROR(__xludf.DUMMYFUNCTION("""COMPUTED_VALUE"""),"ヴ")</f>
        <v>ヴ</v>
      </c>
      <c r="S13" s="277" t="str">
        <f>IFERROR(__xludf.DUMMYFUNCTION("""COMPUTED_VALUE"""),"BRD")</f>
        <v>BRD</v>
      </c>
      <c r="T13" s="277" t="str">
        <f>IFERROR(__xludf.DUMMYFUNCTION("""COMPUTED_VALUE"""),"MCH")</f>
        <v>MCH</v>
      </c>
      <c r="U13" s="277" t="str">
        <f>IFERROR(__xludf.DUMMYFUNCTION("""COMPUTED_VALUE"""),"DNC")</f>
        <v>DNC</v>
      </c>
      <c r="V13" s="277" t="str">
        <f>IFERROR(__xludf.DUMMYFUNCTION("""COMPUTED_VALUE"""),"BLM")</f>
        <v>BLM</v>
      </c>
      <c r="W13" s="277" t="str">
        <f>IFERROR(__xludf.DUMMYFUNCTION("""COMPUTED_VALUE"""),"SMN")</f>
        <v>SMN</v>
      </c>
      <c r="X13" s="277" t="str">
        <f>IFERROR(__xludf.DUMMYFUNCTION("""COMPUTED_VALUE"""),"RDM")</f>
        <v>RDM</v>
      </c>
      <c r="Y13" s="277" t="str">
        <f>IFERROR(__xludf.DUMMYFUNCTION("""COMPUTED_VALUE"""),"ピ")</f>
        <v>ピ</v>
      </c>
    </row>
    <row r="14" hidden="1">
      <c r="B14" s="136"/>
      <c r="C14" s="136"/>
      <c r="D14" s="276" t="str">
        <f>IFERROR(__xludf.DUMMYFUNCTION("IF(
  COUNTIF(E12:Y12, TRUE) &gt; 0,
  {""-"", FILTER(FILTER({E13:Y13;E11:Y12}, E12:Y12=TRUE), COUNTIF(E10:E11,E10:E12))},
  {""-"",E13:Y13}
)"),"-")</f>
        <v>-</v>
      </c>
      <c r="E14" s="277" t="str">
        <f>IFERROR(__xludf.DUMMYFUNCTION("""COMPUTED_VALUE"""),"PLD")</f>
        <v>PLD</v>
      </c>
      <c r="F14" s="277" t="str">
        <f>IFERROR(__xludf.DUMMYFUNCTION("""COMPUTED_VALUE"""),"WAR")</f>
        <v>WAR</v>
      </c>
      <c r="G14" s="277" t="str">
        <f>IFERROR(__xludf.DUMMYFUNCTION("""COMPUTED_VALUE"""),"DRK")</f>
        <v>DRK</v>
      </c>
      <c r="H14" s="277" t="str">
        <f>IFERROR(__xludf.DUMMYFUNCTION("""COMPUTED_VALUE"""),"GNB")</f>
        <v>GNB</v>
      </c>
      <c r="I14" s="277" t="str">
        <f>IFERROR(__xludf.DUMMYFUNCTION("""COMPUTED_VALUE"""),"WHM")</f>
        <v>WHM</v>
      </c>
      <c r="J14" s="277" t="str">
        <f>IFERROR(__xludf.DUMMYFUNCTION("""COMPUTED_VALUE"""),"AST")</f>
        <v>AST</v>
      </c>
      <c r="K14" s="277" t="str">
        <f>IFERROR(__xludf.DUMMYFUNCTION("""COMPUTED_VALUE"""),"SCH")</f>
        <v>SCH</v>
      </c>
      <c r="L14" s="277" t="str">
        <f>IFERROR(__xludf.DUMMYFUNCTION("""COMPUTED_VALUE"""),"SGE")</f>
        <v>SGE</v>
      </c>
      <c r="M14" s="277" t="str">
        <f>IFERROR(__xludf.DUMMYFUNCTION("""COMPUTED_VALUE"""),"MNK")</f>
        <v>MNK</v>
      </c>
      <c r="N14" s="277" t="str">
        <f>IFERROR(__xludf.DUMMYFUNCTION("""COMPUTED_VALUE"""),"DRG")</f>
        <v>DRG</v>
      </c>
      <c r="O14" s="277" t="str">
        <f>IFERROR(__xludf.DUMMYFUNCTION("""COMPUTED_VALUE"""),"NIN")</f>
        <v>NIN</v>
      </c>
      <c r="P14" s="277" t="str">
        <f>IFERROR(__xludf.DUMMYFUNCTION("""COMPUTED_VALUE"""),"SAM")</f>
        <v>SAM</v>
      </c>
      <c r="Q14" s="277" t="str">
        <f>IFERROR(__xludf.DUMMYFUNCTION("""COMPUTED_VALUE"""),"RPR")</f>
        <v>RPR</v>
      </c>
      <c r="R14" s="277" t="str">
        <f>IFERROR(__xludf.DUMMYFUNCTION("""COMPUTED_VALUE"""),"ヴ")</f>
        <v>ヴ</v>
      </c>
      <c r="S14" s="277" t="str">
        <f>IFERROR(__xludf.DUMMYFUNCTION("""COMPUTED_VALUE"""),"BRD")</f>
        <v>BRD</v>
      </c>
      <c r="T14" s="277" t="str">
        <f>IFERROR(__xludf.DUMMYFUNCTION("""COMPUTED_VALUE"""),"MCH")</f>
        <v>MCH</v>
      </c>
      <c r="U14" s="277" t="str">
        <f>IFERROR(__xludf.DUMMYFUNCTION("""COMPUTED_VALUE"""),"DNC")</f>
        <v>DNC</v>
      </c>
      <c r="V14" s="277" t="str">
        <f>IFERROR(__xludf.DUMMYFUNCTION("""COMPUTED_VALUE"""),"BLM")</f>
        <v>BLM</v>
      </c>
      <c r="W14" s="277" t="str">
        <f>IFERROR(__xludf.DUMMYFUNCTION("""COMPUTED_VALUE"""),"SMN")</f>
        <v>SMN</v>
      </c>
      <c r="X14" s="277" t="str">
        <f>IFERROR(__xludf.DUMMYFUNCTION("""COMPUTED_VALUE"""),"RDM")</f>
        <v>RDM</v>
      </c>
      <c r="Y14" s="277" t="str">
        <f>IFERROR(__xludf.DUMMYFUNCTION("""COMPUTED_VALUE"""),"ピ")</f>
        <v>ピ</v>
      </c>
    </row>
    <row r="16">
      <c r="B16" s="278" t="s">
        <v>1122</v>
      </c>
      <c r="C16" s="278" t="s">
        <v>1040</v>
      </c>
      <c r="D16" s="278" t="s">
        <v>1123</v>
      </c>
    </row>
    <row r="17">
      <c r="B17" s="279" t="s">
        <v>186</v>
      </c>
      <c r="C17" s="279" t="s">
        <v>1124</v>
      </c>
      <c r="D17" s="280">
        <v>225800.0</v>
      </c>
    </row>
    <row r="18">
      <c r="B18" s="279" t="s">
        <v>198</v>
      </c>
      <c r="C18" s="279" t="s">
        <v>1124</v>
      </c>
      <c r="D18" s="280">
        <v>225800.0</v>
      </c>
      <c r="E18" s="281"/>
      <c r="F18" s="281"/>
      <c r="G18" s="281"/>
      <c r="H18" s="281"/>
      <c r="I18" s="281"/>
      <c r="K18" s="281"/>
      <c r="L18" s="281"/>
      <c r="M18" s="281"/>
      <c r="N18" s="281"/>
      <c r="O18" s="281"/>
      <c r="P18" s="281"/>
      <c r="Q18" s="281"/>
      <c r="R18" s="281"/>
      <c r="S18" s="281"/>
      <c r="T18" s="281"/>
      <c r="U18" s="281"/>
      <c r="V18" s="281"/>
      <c r="W18" s="281"/>
      <c r="X18" s="281"/>
      <c r="Y18" s="281"/>
    </row>
    <row r="19">
      <c r="B19" s="279" t="s">
        <v>192</v>
      </c>
      <c r="C19" s="279" t="s">
        <v>1124</v>
      </c>
      <c r="D19" s="280">
        <v>225800.0</v>
      </c>
    </row>
    <row r="20">
      <c r="B20" s="279" t="s">
        <v>180</v>
      </c>
      <c r="C20" s="279" t="s">
        <v>1124</v>
      </c>
      <c r="D20" s="280">
        <v>225800.0</v>
      </c>
      <c r="E20" s="281"/>
      <c r="F20" s="282"/>
      <c r="G20" s="282"/>
      <c r="H20" s="282"/>
      <c r="I20" s="282"/>
      <c r="K20" s="282"/>
      <c r="L20" s="282"/>
      <c r="M20" s="282"/>
      <c r="N20" s="281"/>
      <c r="O20" s="281"/>
      <c r="P20" s="281"/>
      <c r="Q20" s="282"/>
      <c r="R20" s="282"/>
      <c r="S20" s="281"/>
      <c r="T20" s="281"/>
      <c r="U20" s="282"/>
      <c r="V20" s="282"/>
      <c r="W20" s="282"/>
      <c r="X20" s="282"/>
      <c r="Y20" s="282"/>
    </row>
    <row r="21">
      <c r="B21" s="279" t="s">
        <v>1125</v>
      </c>
      <c r="C21" s="279" t="s">
        <v>1124</v>
      </c>
      <c r="D21" s="280">
        <v>142000.0</v>
      </c>
    </row>
    <row r="22">
      <c r="B22" s="279" t="s">
        <v>72</v>
      </c>
      <c r="C22" s="279" t="s">
        <v>1126</v>
      </c>
      <c r="D22" s="280">
        <v>3250.0</v>
      </c>
    </row>
    <row r="23">
      <c r="B23" s="279" t="s">
        <v>65</v>
      </c>
      <c r="C23" s="279" t="s">
        <v>1126</v>
      </c>
      <c r="D23" s="280">
        <v>3250.0</v>
      </c>
    </row>
    <row r="24">
      <c r="B24" s="279" t="s">
        <v>43</v>
      </c>
      <c r="C24" s="279" t="s">
        <v>1126</v>
      </c>
      <c r="D24" s="280">
        <v>3250.0</v>
      </c>
    </row>
    <row r="25">
      <c r="B25" s="279" t="s">
        <v>60</v>
      </c>
      <c r="C25" s="279" t="s">
        <v>1126</v>
      </c>
      <c r="D25" s="280">
        <v>3250.0</v>
      </c>
    </row>
    <row r="27">
      <c r="B27" s="283" t="s">
        <v>1127</v>
      </c>
      <c r="C27" s="113"/>
      <c r="D27" s="115"/>
    </row>
    <row r="28">
      <c r="B28" s="253" t="s">
        <v>1043</v>
      </c>
      <c r="C28" s="284" t="s">
        <v>1128</v>
      </c>
      <c r="D28" s="254" t="s">
        <v>1129</v>
      </c>
    </row>
    <row r="29">
      <c r="B29" s="253" t="s">
        <v>1130</v>
      </c>
      <c r="C29" s="284" t="s">
        <v>1128</v>
      </c>
      <c r="D29" s="254" t="s">
        <v>1131</v>
      </c>
    </row>
    <row r="30">
      <c r="B30" s="253" t="s">
        <v>1041</v>
      </c>
      <c r="C30" s="284" t="s">
        <v>1128</v>
      </c>
      <c r="D30" s="254" t="s">
        <v>1132</v>
      </c>
    </row>
    <row r="32">
      <c r="D32" s="285" t="s">
        <v>1133</v>
      </c>
    </row>
    <row r="33">
      <c r="B33" s="286" t="s">
        <v>1134</v>
      </c>
      <c r="C33" s="287">
        <v>7.11</v>
      </c>
      <c r="D33" s="285" t="s">
        <v>1135</v>
      </c>
    </row>
  </sheetData>
  <mergeCells count="4">
    <mergeCell ref="B10:B14"/>
    <mergeCell ref="C10:C14"/>
    <mergeCell ref="D10:D12"/>
    <mergeCell ref="B27:D27"/>
  </mergeCells>
  <conditionalFormatting sqref="E12:Y12">
    <cfRule type="expression" dxfId="7" priority="1">
      <formula>COUNTIFS($C$12:$C12,"&gt;"&amp;($C12 - VLOOKUP(E$10, INDIRECT("Cast Time(Query)!$A:$C"), 2, false)/(60*60*24)), E$12:E12, "=true", E$11:E11, "&lt;&gt;true") &gt;0</formula>
    </cfRule>
  </conditionalFormatting>
  <conditionalFormatting sqref="E12:Y12">
    <cfRule type="expression" dxfId="8" priority="2">
      <formula>COUNTIFS($C$12:$C12,"&gt;"&amp;($C12 - VLOOKUP(E$10, INDIRECT("Cast Time(Query)!$A:$C"), 3, false)/(60*60*24)), E$12:E12, "=true", E$11:E11, "&lt;&gt;true") &gt;0</formula>
    </cfRule>
  </conditionalFormatting>
  <dataValidations>
    <dataValidation type="list" allowBlank="1" sqref="C3">
      <formula1>"日本語,English,Deutsch,Français,한국어,简体中文"</formula1>
    </dataValidation>
  </dataValidations>
  <hyperlinks>
    <hyperlink r:id="rId1" ref="D32"/>
    <hyperlink r:id="rId2" ref="D33"/>
  </hyperlinks>
  <drawing r:id="rId3"/>
  <tableParts count="2">
    <tablePart r:id="rId6"/>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A7D6"/>
    <outlinePr summaryBelow="0" summaryRight="0"/>
  </sheetPr>
  <sheetViews>
    <sheetView workbookViewId="0"/>
  </sheetViews>
  <sheetFormatPr customHeight="1" defaultColWidth="12.63" defaultRowHeight="15.75"/>
  <cols>
    <col customWidth="1" min="2" max="2" width="10.0"/>
    <col customWidth="1" min="3" max="3" width="37.38"/>
  </cols>
  <sheetData>
    <row r="1">
      <c r="D1" s="65"/>
      <c r="E1" s="65"/>
      <c r="F1" s="288" t="str">
        <f>GETSHEETSNAMES()</f>
        <v>Phase 1</v>
      </c>
    </row>
    <row r="2">
      <c r="B2" s="289" t="s">
        <v>1036</v>
      </c>
      <c r="C2" s="289" t="s">
        <v>1136</v>
      </c>
      <c r="D2" s="290" t="s">
        <v>1137</v>
      </c>
      <c r="E2" s="290" t="s">
        <v>1138</v>
      </c>
      <c r="F2" s="288" t="s">
        <v>1139</v>
      </c>
      <c r="G2" s="291" t="s">
        <v>1140</v>
      </c>
    </row>
    <row r="3">
      <c r="B3" s="5" t="s">
        <v>1141</v>
      </c>
      <c r="C3" s="289" t="s">
        <v>1142</v>
      </c>
      <c r="D3" s="292">
        <v>0.0017013888888888888</v>
      </c>
      <c r="E3" s="293"/>
      <c r="F3" s="288" t="s">
        <v>1143</v>
      </c>
      <c r="G3" s="291" t="s">
        <v>1142</v>
      </c>
    </row>
    <row r="4">
      <c r="B4" s="5" t="s">
        <v>1144</v>
      </c>
      <c r="C4" s="289" t="s">
        <v>1139</v>
      </c>
      <c r="D4" s="292">
        <v>0.0038078703703703703</v>
      </c>
      <c r="E4" s="290">
        <v>0.0017013888888888888</v>
      </c>
      <c r="F4" s="288" t="s">
        <v>1145</v>
      </c>
      <c r="G4" s="291" t="s">
        <v>1139</v>
      </c>
    </row>
    <row r="5">
      <c r="B5" s="5" t="s">
        <v>1146</v>
      </c>
      <c r="C5" s="289" t="s">
        <v>1143</v>
      </c>
      <c r="D5" s="292">
        <v>0.0021064814814814813</v>
      </c>
      <c r="E5" s="290">
        <v>0.0038078703703703703</v>
      </c>
      <c r="F5" s="288" t="s">
        <v>1147</v>
      </c>
      <c r="G5" s="291" t="s">
        <v>1143</v>
      </c>
    </row>
    <row r="6">
      <c r="B6" s="5" t="s">
        <v>1148</v>
      </c>
      <c r="C6" s="289" t="s">
        <v>1145</v>
      </c>
      <c r="D6" s="292"/>
      <c r="E6" s="290"/>
      <c r="F6" s="288" t="s">
        <v>1149</v>
      </c>
      <c r="G6" s="291" t="s">
        <v>1145</v>
      </c>
    </row>
    <row r="7">
      <c r="B7" s="5" t="s">
        <v>1150</v>
      </c>
      <c r="C7" s="289" t="s">
        <v>1147</v>
      </c>
      <c r="D7" s="294"/>
      <c r="E7" s="290"/>
      <c r="F7" s="288" t="s">
        <v>1151</v>
      </c>
      <c r="G7" s="291" t="s">
        <v>1147</v>
      </c>
    </row>
    <row r="8">
      <c r="B8" s="5" t="s">
        <v>1152</v>
      </c>
      <c r="C8" s="295"/>
      <c r="D8" s="294"/>
      <c r="E8" s="290" t="str">
        <f t="shared" ref="E8:E12" si="1">IF(ISBLANK(D7), "", SUM(D$3:D7))</f>
        <v/>
      </c>
      <c r="F8" s="288"/>
    </row>
    <row r="9">
      <c r="B9" s="5" t="s">
        <v>1153</v>
      </c>
      <c r="C9" s="296"/>
      <c r="D9" s="292"/>
      <c r="E9" s="290" t="str">
        <f t="shared" si="1"/>
        <v/>
      </c>
      <c r="F9" s="288"/>
    </row>
    <row r="10">
      <c r="B10" s="5" t="s">
        <v>1154</v>
      </c>
      <c r="C10" s="296"/>
      <c r="D10" s="292"/>
      <c r="E10" s="290" t="str">
        <f t="shared" si="1"/>
        <v/>
      </c>
      <c r="F10" s="288"/>
    </row>
    <row r="11">
      <c r="B11" s="5" t="s">
        <v>1155</v>
      </c>
      <c r="C11" s="296"/>
      <c r="D11" s="292"/>
      <c r="E11" s="290" t="str">
        <f t="shared" si="1"/>
        <v/>
      </c>
      <c r="F11" s="288"/>
    </row>
    <row r="12">
      <c r="B12" s="5" t="s">
        <v>1156</v>
      </c>
      <c r="C12" s="296"/>
      <c r="D12" s="292"/>
      <c r="E12" s="290" t="str">
        <f t="shared" si="1"/>
        <v/>
      </c>
      <c r="F12" s="288"/>
    </row>
    <row r="13">
      <c r="D13" s="65"/>
      <c r="E13" s="65"/>
      <c r="F13" s="288"/>
    </row>
  </sheetData>
  <dataValidations>
    <dataValidation type="list" allowBlank="1" sqref="C3:C12">
      <formula1>'Phase Map'!$G$3:$G$7</formula1>
    </dataValidation>
  </dataValidations>
  <drawing r:id="rId1"/>
  <tableParts count="1">
    <tablePart r:id="rId3"/>
  </tableParts>
</worksheet>
</file>